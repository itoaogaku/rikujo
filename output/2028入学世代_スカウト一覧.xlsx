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選手一覧" sheetId="1" state="visible" r:id="rId3"/>
    <sheet name="5000m" sheetId="2" state="visible" r:id="rId4"/>
    <sheet name="高校別" sheetId="3" state="visible" r:id="rId5"/>
    <sheet name="日本海駅伝" sheetId="4" state="visible" r:id="rId6"/>
    <sheet name="奥球磨駅伝" sheetId="5" state="visible" r:id="rId7"/>
    <sheet name="3000mSC" sheetId="6" state="visible" r:id="rId8"/>
    <sheet name="1500m" sheetId="7" state="visible" r:id="rId9"/>
  </sheets>
  <definedNames>
    <definedName function="false" hidden="true" localSheetId="6" name="_xlnm._FilterDatabase" vbProcedure="false">1500m!$A$4:$J$1361</definedName>
    <definedName function="false" hidden="true" localSheetId="5" name="_xlnm._FilterDatabase" vbProcedure="false">3000mSC!$A$4:$J$1381</definedName>
    <definedName function="false" hidden="true" localSheetId="1" name="_xlnm._FilterDatabase" vbProcedure="false">5000m!$A$4:$J$1295</definedName>
    <definedName function="false" hidden="true" localSheetId="4" name="_xlnm._FilterDatabase" vbProcedure="false">奥球磨駅伝!$A$4:$Q$115</definedName>
    <definedName function="false" hidden="true" localSheetId="3" name="_xlnm._FilterDatabase" vbProcedure="false">日本海駅伝!$A$4:$Q$229</definedName>
    <definedName function="false" hidden="true" localSheetId="0" name="_xlnm._FilterDatabase" vbProcedure="false">選手一覧!$A$6:$Q$2738</definedName>
    <definedName function="false" hidden="true" localSheetId="2" name="_xlnm._FilterDatabase" vbProcedure="false">高校別!$A$4:$H$1076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<sst xmlns="http://schemas.openxmlformats.org/spreadsheetml/2006/main" count="16024" uniqueCount="4773">
  <si>
    <r>
      <rPr>
        <b val="true"/>
        <sz val="14"/>
        <color rgb="FF000000"/>
        <rFont val="HGPｺﾞｼｯｸM"/>
        <family val="0"/>
        <charset val="1"/>
      </rPr>
      <t xml:space="preserve">2028</t>
    </r>
    <r>
      <rPr>
        <b val="true"/>
        <sz val="14"/>
        <color rgb="FF000000"/>
        <rFont val="WenQuanYi Zen Hei"/>
        <family val="2"/>
      </rPr>
      <t xml:space="preserve">年入学世代（現高校</t>
    </r>
    <r>
      <rPr>
        <b val="true"/>
        <sz val="14"/>
        <color rgb="FF000000"/>
        <rFont val="HGPｺﾞｼｯｸM"/>
        <family val="0"/>
        <charset val="1"/>
      </rPr>
      <t xml:space="preserve">2</t>
    </r>
    <r>
      <rPr>
        <b val="true"/>
        <sz val="14"/>
        <color rgb="FF000000"/>
        <rFont val="WenQuanYi Zen Hei"/>
        <family val="2"/>
      </rPr>
      <t xml:space="preserve">年）中長距離 選手一覧（</t>
    </r>
    <r>
      <rPr>
        <b val="true"/>
        <sz val="14"/>
        <color rgb="FF000000"/>
        <rFont val="HGPｺﾞｼｯｸM"/>
        <family val="0"/>
        <charset val="1"/>
      </rPr>
      <t xml:space="preserve">5000m</t>
    </r>
    <r>
      <rPr>
        <b val="true"/>
        <sz val="14"/>
        <color rgb="FF000000"/>
        <rFont val="WenQuanYi Zen Hei"/>
        <family val="2"/>
      </rPr>
      <t xml:space="preserve">順）</t>
    </r>
  </si>
  <si>
    <r>
      <rPr>
        <sz val="9"/>
        <color rgb="FF000000"/>
        <rFont val="WenQuanYi Zen Hei"/>
        <family val="2"/>
      </rPr>
      <t xml:space="preserve">陸マガの</t>
    </r>
    <r>
      <rPr>
        <sz val="9"/>
        <color rgb="FF000000"/>
        <rFont val="HGPｺﾞｼｯｸM"/>
        <family val="0"/>
        <charset val="1"/>
      </rPr>
      <t xml:space="preserve">5000m</t>
    </r>
    <r>
      <rPr>
        <sz val="9"/>
        <color rgb="FF000000"/>
        <rFont val="WenQuanYi Zen Hei"/>
        <family val="2"/>
      </rPr>
      <t xml:space="preserve">・</t>
    </r>
    <r>
      <rPr>
        <sz val="9"/>
        <color rgb="FF000000"/>
        <rFont val="HGPｺﾞｼｯｸM"/>
        <family val="0"/>
        <charset val="1"/>
      </rPr>
      <t xml:space="preserve">3000mSC</t>
    </r>
    <r>
      <rPr>
        <sz val="9"/>
        <color rgb="FF000000"/>
        <rFont val="WenQuanYi Zen Hei"/>
        <family val="2"/>
      </rPr>
      <t xml:space="preserve">・</t>
    </r>
    <r>
      <rPr>
        <sz val="9"/>
        <color rgb="FF000000"/>
        <rFont val="HGPｺﾞｼｯｸM"/>
        <family val="0"/>
        <charset val="1"/>
      </rPr>
      <t xml:space="preserve">1500m</t>
    </r>
    <r>
      <rPr>
        <sz val="9"/>
        <color rgb="FF000000"/>
        <rFont val="WenQuanYi Zen Hei"/>
        <family val="2"/>
      </rPr>
      <t xml:space="preserve">ランキングを選手ごとに</t>
    </r>
    <r>
      <rPr>
        <sz val="9"/>
        <color rgb="FF000000"/>
        <rFont val="HGPｺﾞｼｯｸM"/>
        <family val="0"/>
        <charset val="1"/>
      </rPr>
      <t xml:space="preserve">1</t>
    </r>
    <r>
      <rPr>
        <sz val="9"/>
        <color rgb="FF000000"/>
        <rFont val="WenQuanYi Zen Hei"/>
        <family val="2"/>
      </rPr>
      <t xml:space="preserve">行にまとめたもの。並び順＝</t>
    </r>
    <r>
      <rPr>
        <sz val="9"/>
        <color rgb="FF000000"/>
        <rFont val="HGPｺﾞｼｯｸM"/>
        <family val="0"/>
        <charset val="1"/>
      </rPr>
      <t xml:space="preserve">5000m</t>
    </r>
    <r>
      <rPr>
        <sz val="9"/>
        <color rgb="FF000000"/>
        <rFont val="WenQuanYi Zen Hei"/>
        <family val="2"/>
      </rPr>
      <t xml:space="preserve">の順位（</t>
    </r>
    <r>
      <rPr>
        <sz val="9"/>
        <color rgb="FF000000"/>
        <rFont val="HGPｺﾞｼｯｸM"/>
        <family val="0"/>
        <charset val="1"/>
      </rPr>
      <t xml:space="preserve">5000m</t>
    </r>
    <r>
      <rPr>
        <sz val="9"/>
        <color rgb="FF000000"/>
        <rFont val="WenQuanYi Zen Hei"/>
        <family val="2"/>
      </rPr>
      <t xml:space="preserve">の記録がない選手はその後ろに他種目の最高順位順）。順位の色：濃い緑＝</t>
    </r>
    <r>
      <rPr>
        <sz val="9"/>
        <color rgb="FF000000"/>
        <rFont val="HGPｺﾞｼｯｸM"/>
        <family val="0"/>
        <charset val="1"/>
      </rPr>
      <t xml:space="preserve">10</t>
    </r>
    <r>
      <rPr>
        <sz val="9"/>
        <color rgb="FF000000"/>
        <rFont val="WenQuanYi Zen Hei"/>
        <family val="2"/>
      </rPr>
      <t xml:space="preserve">位以内、緑＝</t>
    </r>
    <r>
      <rPr>
        <sz val="9"/>
        <color rgb="FF000000"/>
        <rFont val="HGPｺﾞｼｯｸM"/>
        <family val="0"/>
        <charset val="1"/>
      </rPr>
      <t xml:space="preserve">50</t>
    </r>
    <r>
      <rPr>
        <sz val="9"/>
        <color rgb="FF000000"/>
        <rFont val="WenQuanYi Zen Hei"/>
        <family val="2"/>
      </rPr>
      <t xml:space="preserve">位以内、薄緑＝</t>
    </r>
    <r>
      <rPr>
        <sz val="9"/>
        <color rgb="FF000000"/>
        <rFont val="HGPｺﾞｼｯｸM"/>
        <family val="0"/>
        <charset val="1"/>
      </rPr>
      <t xml:space="preserve">100</t>
    </r>
    <r>
      <rPr>
        <sz val="9"/>
        <color rgb="FF000000"/>
        <rFont val="WenQuanYi Zen Hei"/>
        <family val="2"/>
      </rPr>
      <t xml:space="preserve">位以内。見出しのフィルターで高校名・駅伝出場などを絞り込めます。</t>
    </r>
  </si>
  <si>
    <t xml:space="preserve">基準記録（黄色セルを編集）→</t>
  </si>
  <si>
    <t xml:space="preserve">5000m</t>
  </si>
  <si>
    <t xml:space="preserve">3000mSC</t>
  </si>
  <si>
    <t xml:space="preserve">1500m</t>
  </si>
  <si>
    <r>
      <rPr>
        <sz val="9"/>
        <color rgb="FF000000"/>
        <rFont val="WenQuanYi Zen Hei"/>
        <family val="2"/>
      </rPr>
      <t xml:space="preserve">基準記録の初期値は仮の値です。「</t>
    </r>
    <r>
      <rPr>
        <sz val="9"/>
        <color rgb="FF000000"/>
        <rFont val="HGPｺﾞｼｯｸM"/>
        <family val="0"/>
        <charset val="1"/>
      </rPr>
      <t xml:space="preserve">5000m</t>
    </r>
    <r>
      <rPr>
        <sz val="9"/>
        <color rgb="FF000000"/>
        <rFont val="WenQuanYi Zen Hei"/>
        <family val="2"/>
      </rPr>
      <t xml:space="preserve">基準」列は</t>
    </r>
    <r>
      <rPr>
        <sz val="9"/>
        <color rgb="FF000000"/>
        <rFont val="HGPｺﾞｼｯｸM"/>
        <family val="0"/>
        <charset val="1"/>
      </rPr>
      <t xml:space="preserve">5000m</t>
    </r>
    <r>
      <rPr>
        <sz val="9"/>
        <color rgb="FF000000"/>
        <rFont val="WenQuanYi Zen Hei"/>
        <family val="2"/>
      </rPr>
      <t xml:space="preserve">が基準以内なら○、「基準クリア」列は</t>
    </r>
    <r>
      <rPr>
        <sz val="9"/>
        <color rgb="FF000000"/>
        <rFont val="HGPｺﾞｼｯｸM"/>
        <family val="0"/>
        <charset val="1"/>
      </rPr>
      <t xml:space="preserve">3</t>
    </r>
    <r>
      <rPr>
        <sz val="9"/>
        <color rgb="FF000000"/>
        <rFont val="WenQuanYi Zen Hei"/>
        <family val="2"/>
      </rPr>
      <t xml:space="preserve">種目のうち基準以内の種目数。メモ列（黄色）は自由に記入してください。</t>
    </r>
  </si>
  <si>
    <t xml:space="preserve">No</t>
  </si>
  <si>
    <t xml:space="preserve">氏名</t>
  </si>
  <si>
    <t xml:space="preserve">高校</t>
  </si>
  <si>
    <r>
      <rPr>
        <b val="true"/>
        <sz val="10"/>
        <color rgb="FFFFFFFF"/>
        <rFont val="HGPｺﾞｼｯｸM"/>
        <family val="0"/>
        <charset val="1"/>
      </rPr>
      <t xml:space="preserve">5000m
</t>
    </r>
    <r>
      <rPr>
        <b val="true"/>
        <sz val="10"/>
        <color rgb="FFFFFFFF"/>
        <rFont val="WenQuanYi Zen Hei"/>
        <family val="2"/>
      </rPr>
      <t xml:space="preserve">記録</t>
    </r>
  </si>
  <si>
    <r>
      <rPr>
        <b val="true"/>
        <sz val="10"/>
        <color rgb="FFFFFFFF"/>
        <rFont val="HGPｺﾞｼｯｸM"/>
        <family val="0"/>
        <charset val="1"/>
      </rPr>
      <t xml:space="preserve">5000m
</t>
    </r>
    <r>
      <rPr>
        <b val="true"/>
        <sz val="10"/>
        <color rgb="FFFFFFFF"/>
        <rFont val="WenQuanYi Zen Hei"/>
        <family val="2"/>
      </rPr>
      <t xml:space="preserve">順位</t>
    </r>
  </si>
  <si>
    <r>
      <rPr>
        <b val="true"/>
        <sz val="10"/>
        <color rgb="FFFFFFFF"/>
        <rFont val="HGPｺﾞｼｯｸM"/>
        <family val="0"/>
        <charset val="1"/>
      </rPr>
      <t xml:space="preserve">5000m
</t>
    </r>
    <r>
      <rPr>
        <b val="true"/>
        <sz val="10"/>
        <color rgb="FFFFFFFF"/>
        <rFont val="WenQuanYi Zen Hei"/>
        <family val="2"/>
      </rPr>
      <t xml:space="preserve">トップ差</t>
    </r>
    <r>
      <rPr>
        <b val="true"/>
        <sz val="10"/>
        <color rgb="FFFFFFFF"/>
        <rFont val="HGPｺﾞｼｯｸM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秒</t>
    </r>
    <r>
      <rPr>
        <b val="true"/>
        <sz val="10"/>
        <color rgb="FFFFFFFF"/>
        <rFont val="HGPｺﾞｼｯｸM"/>
        <family val="0"/>
        <charset val="1"/>
      </rPr>
      <t xml:space="preserve">)</t>
    </r>
  </si>
  <si>
    <r>
      <rPr>
        <b val="true"/>
        <sz val="10"/>
        <color rgb="FFFFFFFF"/>
        <rFont val="HGPｺﾞｼｯｸM"/>
        <family val="0"/>
        <charset val="1"/>
      </rPr>
      <t xml:space="preserve">5000m
</t>
    </r>
    <r>
      <rPr>
        <b val="true"/>
        <sz val="10"/>
        <color rgb="FFFFFFFF"/>
        <rFont val="WenQuanYi Zen Hei"/>
        <family val="2"/>
      </rPr>
      <t xml:space="preserve">基準</t>
    </r>
  </si>
  <si>
    <r>
      <rPr>
        <b val="true"/>
        <sz val="10"/>
        <color rgb="FF000000"/>
        <rFont val="HGPｺﾞｼｯｸM"/>
        <family val="0"/>
        <charset val="1"/>
      </rPr>
      <t xml:space="preserve">3000mSC
</t>
    </r>
    <r>
      <rPr>
        <b val="true"/>
        <sz val="10"/>
        <color rgb="FF000000"/>
        <rFont val="WenQuanYi Zen Hei"/>
        <family val="2"/>
      </rPr>
      <t xml:space="preserve">記録</t>
    </r>
  </si>
  <si>
    <r>
      <rPr>
        <b val="true"/>
        <sz val="10"/>
        <color rgb="FF000000"/>
        <rFont val="HGPｺﾞｼｯｸM"/>
        <family val="0"/>
        <charset val="1"/>
      </rPr>
      <t xml:space="preserve">3000mSC
</t>
    </r>
    <r>
      <rPr>
        <b val="true"/>
        <sz val="10"/>
        <color rgb="FF000000"/>
        <rFont val="WenQuanYi Zen Hei"/>
        <family val="2"/>
      </rPr>
      <t xml:space="preserve">順位</t>
    </r>
  </si>
  <si>
    <r>
      <rPr>
        <b val="true"/>
        <sz val="10"/>
        <color rgb="FF000000"/>
        <rFont val="HGPｺﾞｼｯｸM"/>
        <family val="0"/>
        <charset val="1"/>
      </rPr>
      <t xml:space="preserve">1500m
</t>
    </r>
    <r>
      <rPr>
        <b val="true"/>
        <sz val="10"/>
        <color rgb="FF000000"/>
        <rFont val="WenQuanYi Zen Hei"/>
        <family val="2"/>
      </rPr>
      <t xml:space="preserve">記録</t>
    </r>
  </si>
  <si>
    <r>
      <rPr>
        <b val="true"/>
        <sz val="10"/>
        <color rgb="FF000000"/>
        <rFont val="HGPｺﾞｼｯｸM"/>
        <family val="0"/>
        <charset val="1"/>
      </rPr>
      <t xml:space="preserve">1500m
</t>
    </r>
    <r>
      <rPr>
        <b val="true"/>
        <sz val="10"/>
        <color rgb="FF000000"/>
        <rFont val="WenQuanYi Zen Hei"/>
        <family val="2"/>
      </rPr>
      <t xml:space="preserve">順位</t>
    </r>
  </si>
  <si>
    <t xml:space="preserve">ランク入り
種目数</t>
  </si>
  <si>
    <t xml:space="preserve">基準
クリア</t>
  </si>
  <si>
    <t xml:space="preserve">日本海駅伝
（区・区間順位）</t>
  </si>
  <si>
    <t xml:space="preserve">奥球磨駅伝
（区・区間順位）</t>
  </si>
  <si>
    <t xml:space="preserve">備考</t>
  </si>
  <si>
    <t xml:space="preserve">メモ</t>
  </si>
  <si>
    <t xml:space="preserve">ボイ　ビリス</t>
  </si>
  <si>
    <t xml:space="preserve">札幌山の手高</t>
  </si>
  <si>
    <t xml:space="preserve">稲垣　翔馴</t>
  </si>
  <si>
    <t xml:space="preserve">洛南高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</si>
  <si>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28:54</t>
    </r>
    <r>
      <rPr>
        <sz val="10"/>
        <color rgb="FF000000"/>
        <rFont val="WenQuanYi Zen Hei"/>
        <family val="2"/>
      </rPr>
      <t xml:space="preserve">）</t>
    </r>
  </si>
  <si>
    <t xml:space="preserve">石原　向規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</si>
  <si>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14:28</t>
    </r>
    <r>
      <rPr>
        <sz val="10"/>
        <color rgb="FF000000"/>
        <rFont val="WenQuanYi Zen Hei"/>
        <family val="2"/>
      </rPr>
      <t xml:space="preserve">）</t>
    </r>
  </si>
  <si>
    <t xml:space="preserve">若田　大尚</t>
  </si>
  <si>
    <t xml:space="preserve">学法石川高</t>
  </si>
  <si>
    <t xml:space="preserve">パレイヨ　アントニーイタ</t>
  </si>
  <si>
    <t xml:space="preserve">福岡一高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</si>
  <si>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8:06</t>
    </r>
    <r>
      <rPr>
        <sz val="10"/>
        <color rgb="FF000000"/>
        <rFont val="WenQuanYi Zen Hei"/>
        <family val="2"/>
      </rPr>
      <t xml:space="preserve">）</t>
    </r>
  </si>
  <si>
    <t xml:space="preserve">橋本　蒼平</t>
  </si>
  <si>
    <t xml:space="preserve">佐久長聖高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</si>
  <si>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28:58</t>
    </r>
    <r>
      <rPr>
        <sz val="10"/>
        <color rgb="FF000000"/>
        <rFont val="WenQuanYi Zen Hei"/>
        <family val="2"/>
      </rPr>
      <t xml:space="preserve">）</t>
    </r>
  </si>
  <si>
    <t xml:space="preserve">サイモン　ムッソーニ</t>
  </si>
  <si>
    <t xml:space="preserve">鎮西学院高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</si>
  <si>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8:36</t>
    </r>
    <r>
      <rPr>
        <sz val="10"/>
        <color rgb="FF000000"/>
        <rFont val="WenQuanYi Zen Hei"/>
        <family val="2"/>
      </rPr>
      <t xml:space="preserve">）</t>
    </r>
  </si>
  <si>
    <t xml:space="preserve">ポール　ジョロゲ</t>
  </si>
  <si>
    <t xml:space="preserve">東海大附福岡高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</si>
  <si>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8:16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</si>
  <si>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は二重掲載（</t>
    </r>
    <r>
      <rPr>
        <sz val="10"/>
        <color rgb="FF000000"/>
        <rFont val="HGPｺﾞｼｯｸM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位と</t>
    </r>
    <r>
      <rPr>
        <sz val="10"/>
        <color rgb="FF000000"/>
        <rFont val="HGPｺﾞｼｯｸM"/>
        <family val="0"/>
        <charset val="1"/>
      </rPr>
      <t xml:space="preserve">13</t>
    </r>
    <r>
      <rPr>
        <sz val="10"/>
        <color rgb="FF000000"/>
        <rFont val="WenQuanYi Zen Hei"/>
        <family val="2"/>
      </rPr>
      <t xml:space="preserve">位）→上位を採用／</t>
    </r>
    <r>
      <rPr>
        <sz val="10"/>
        <color rgb="FF000000"/>
        <rFont val="HGPｺﾞｼｯｸM"/>
        <family val="0"/>
        <charset val="1"/>
      </rPr>
      <t xml:space="preserve">1500m</t>
    </r>
    <r>
      <rPr>
        <sz val="10"/>
        <color rgb="FF000000"/>
        <rFont val="WenQuanYi Zen Hei"/>
        <family val="2"/>
      </rPr>
      <t xml:space="preserve">は二重掲載（</t>
    </r>
    <r>
      <rPr>
        <sz val="10"/>
        <color rgb="FF000000"/>
        <rFont val="HGPｺﾞｼｯｸM"/>
        <family val="0"/>
        <charset val="1"/>
      </rPr>
      <t xml:space="preserve">24</t>
    </r>
    <r>
      <rPr>
        <sz val="10"/>
        <color rgb="FF000000"/>
        <rFont val="WenQuanYi Zen Hei"/>
        <family val="2"/>
      </rPr>
      <t xml:space="preserve">位と</t>
    </r>
    <r>
      <rPr>
        <sz val="10"/>
        <color rgb="FF000000"/>
        <rFont val="HGPｺﾞｼｯｸM"/>
        <family val="0"/>
        <charset val="1"/>
      </rPr>
      <t xml:space="preserve">49</t>
    </r>
    <r>
      <rPr>
        <sz val="10"/>
        <color rgb="FF000000"/>
        <rFont val="WenQuanYi Zen Hei"/>
        <family val="2"/>
      </rPr>
      <t xml:space="preserve">位）→上位を採用</t>
    </r>
  </si>
  <si>
    <t xml:space="preserve">美沢　央佑</t>
  </si>
  <si>
    <t xml:space="preserve">伊藤　遼</t>
  </si>
  <si>
    <t xml:space="preserve">酒井　琉史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</si>
  <si>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29:06</t>
    </r>
    <r>
      <rPr>
        <sz val="10"/>
        <color rgb="FF000000"/>
        <rFont val="WenQuanYi Zen Hei"/>
        <family val="2"/>
      </rPr>
      <t xml:space="preserve">）</t>
    </r>
  </si>
  <si>
    <t xml:space="preserve">野口　琉太</t>
  </si>
  <si>
    <t xml:space="preserve">小林高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</si>
  <si>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13:45</t>
    </r>
    <r>
      <rPr>
        <sz val="10"/>
        <color rgb="FF000000"/>
        <rFont val="WenQuanYi Zen Hei"/>
        <family val="2"/>
      </rPr>
      <t xml:space="preserve">）</t>
    </r>
  </si>
  <si>
    <t xml:space="preserve">朝倉　悠羽</t>
  </si>
  <si>
    <t xml:space="preserve">山梨学院高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</si>
  <si>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29:47</t>
    </r>
    <r>
      <rPr>
        <sz val="10"/>
        <color rgb="FF000000"/>
        <rFont val="WenQuanYi Zen Hei"/>
        <family val="2"/>
      </rPr>
      <t xml:space="preserve">）</t>
    </r>
  </si>
  <si>
    <t xml:space="preserve">竹田　櫂司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</si>
  <si>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23:54</t>
    </r>
    <r>
      <rPr>
        <sz val="10"/>
        <color rgb="FF000000"/>
        <rFont val="WenQuanYi Zen Hei"/>
        <family val="2"/>
      </rPr>
      <t xml:space="preserve">）</t>
    </r>
  </si>
  <si>
    <t xml:space="preserve">鴨作　大夢</t>
  </si>
  <si>
    <t xml:space="preserve">東海大甲府高</t>
  </si>
  <si>
    <t xml:space="preserve">上杉　創亮</t>
  </si>
  <si>
    <t xml:space="preserve">八千代松陰高</t>
  </si>
  <si>
    <t xml:space="preserve">平井　啓太郎</t>
  </si>
  <si>
    <t xml:space="preserve">西条農高</t>
  </si>
  <si>
    <t xml:space="preserve">山田　莉生</t>
  </si>
  <si>
    <t xml:space="preserve">拓大一高</t>
  </si>
  <si>
    <t xml:space="preserve">西川　晴貴</t>
  </si>
  <si>
    <t xml:space="preserve">洛北高</t>
  </si>
  <si>
    <t xml:space="preserve">小原　健太郎</t>
  </si>
  <si>
    <t xml:space="preserve">花巻東高</t>
  </si>
  <si>
    <t xml:space="preserve">高田　康介</t>
  </si>
  <si>
    <t xml:space="preserve">東海大附相模高</t>
  </si>
  <si>
    <t xml:space="preserve">熊谷　颯柊</t>
  </si>
  <si>
    <t xml:space="preserve">武蔵野学院高</t>
  </si>
  <si>
    <t xml:space="preserve">武村　翔月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</si>
  <si>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24:31</t>
    </r>
    <r>
      <rPr>
        <sz val="10"/>
        <color rgb="FF000000"/>
        <rFont val="WenQuanYi Zen Hei"/>
        <family val="2"/>
      </rPr>
      <t xml:space="preserve">）</t>
    </r>
  </si>
  <si>
    <t xml:space="preserve">杉平　颯志</t>
  </si>
  <si>
    <t xml:space="preserve">鳥栖工高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</si>
  <si>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29:50</t>
    </r>
    <r>
      <rPr>
        <sz val="10"/>
        <color rgb="FF000000"/>
        <rFont val="WenQuanYi Zen Hei"/>
        <family val="2"/>
      </rPr>
      <t xml:space="preserve">）</t>
    </r>
  </si>
  <si>
    <t xml:space="preserve">増田　大誠</t>
  </si>
  <si>
    <t xml:space="preserve">上田西高</t>
  </si>
  <si>
    <t xml:space="preserve">千葉　海虎</t>
  </si>
  <si>
    <t xml:space="preserve">小田　桜雅</t>
  </si>
  <si>
    <t xml:space="preserve">仙台育英学園高</t>
  </si>
  <si>
    <t xml:space="preserve">田代　悠翔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</si>
  <si>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23:56</t>
    </r>
    <r>
      <rPr>
        <sz val="10"/>
        <color rgb="FF000000"/>
        <rFont val="WenQuanYi Zen Hei"/>
        <family val="2"/>
      </rPr>
      <t xml:space="preserve">）</t>
    </r>
  </si>
  <si>
    <t xml:space="preserve">亀山　純平</t>
  </si>
  <si>
    <t xml:space="preserve">佐野日大高</t>
  </si>
  <si>
    <t xml:space="preserve">小林　柾輝</t>
  </si>
  <si>
    <t xml:space="preserve">長尾　羚煌</t>
  </si>
  <si>
    <t xml:space="preserve">市長崎商高</t>
  </si>
  <si>
    <t xml:space="preserve">中沢　侑己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</si>
  <si>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23:52</t>
    </r>
    <r>
      <rPr>
        <sz val="10"/>
        <color rgb="FF000000"/>
        <rFont val="WenQuanYi Zen Hei"/>
        <family val="2"/>
      </rPr>
      <t xml:space="preserve">）</t>
    </r>
  </si>
  <si>
    <t xml:space="preserve">薮下　殿傑</t>
  </si>
  <si>
    <t xml:space="preserve">須磨学園高</t>
  </si>
  <si>
    <t xml:space="preserve">長　 　煌介</t>
  </si>
  <si>
    <t xml:space="preserve">鳥取城北高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</si>
  <si>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23:53</t>
    </r>
    <r>
      <rPr>
        <sz val="10"/>
        <color rgb="FF000000"/>
        <rFont val="WenQuanYi Zen Hei"/>
        <family val="2"/>
      </rPr>
      <t xml:space="preserve">）</t>
    </r>
  </si>
  <si>
    <t xml:space="preserve">後藤　大晴</t>
  </si>
  <si>
    <t xml:space="preserve">相洋高</t>
  </si>
  <si>
    <t xml:space="preserve">中川　悠晴</t>
  </si>
  <si>
    <t xml:space="preserve">富山商高</t>
  </si>
  <si>
    <t xml:space="preserve">向岩　玖恩</t>
  </si>
  <si>
    <t xml:space="preserve">敦賀気比高</t>
  </si>
  <si>
    <t xml:space="preserve">増田　優太朗</t>
  </si>
  <si>
    <t xml:space="preserve">原　 　心傘</t>
  </si>
  <si>
    <t xml:space="preserve">田尻　清雅</t>
  </si>
  <si>
    <t xml:space="preserve">慶誠高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</si>
  <si>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29:47</t>
    </r>
    <r>
      <rPr>
        <sz val="10"/>
        <color rgb="FF000000"/>
        <rFont val="WenQuanYi Zen Hei"/>
        <family val="2"/>
      </rPr>
      <t xml:space="preserve">）</t>
    </r>
  </si>
  <si>
    <t xml:space="preserve">山岸　大智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</si>
  <si>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8:19</t>
    </r>
    <r>
      <rPr>
        <sz val="10"/>
        <color rgb="FF000000"/>
        <rFont val="WenQuanYi Zen Hei"/>
        <family val="2"/>
      </rPr>
      <t xml:space="preserve">）</t>
    </r>
  </si>
  <si>
    <t xml:space="preserve">小畑　瑞貴</t>
  </si>
  <si>
    <t xml:space="preserve">平田　千隼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</si>
  <si>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29:25</t>
    </r>
    <r>
      <rPr>
        <sz val="10"/>
        <color rgb="FF000000"/>
        <rFont val="WenQuanYi Zen Hei"/>
        <family val="2"/>
      </rPr>
      <t xml:space="preserve">）</t>
    </r>
  </si>
  <si>
    <t xml:space="preserve">坂場　凱仁</t>
  </si>
  <si>
    <t xml:space="preserve">水城高</t>
  </si>
  <si>
    <t xml:space="preserve">岩田　健志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</si>
  <si>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8:26</t>
    </r>
    <r>
      <rPr>
        <sz val="10"/>
        <color rgb="FF000000"/>
        <rFont val="WenQuanYi Zen Hei"/>
        <family val="2"/>
      </rPr>
      <t xml:space="preserve">）</t>
    </r>
  </si>
  <si>
    <t xml:space="preserve">星　 　柊斗</t>
  </si>
  <si>
    <t xml:space="preserve">岡島　稜</t>
  </si>
  <si>
    <t xml:space="preserve">伊賀白鳳高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</si>
  <si>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30:21</t>
    </r>
    <r>
      <rPr>
        <sz val="10"/>
        <color rgb="FF000000"/>
        <rFont val="WenQuanYi Zen Hei"/>
        <family val="2"/>
      </rPr>
      <t xml:space="preserve">）</t>
    </r>
  </si>
  <si>
    <t xml:space="preserve">渡部　喜市</t>
  </si>
  <si>
    <t xml:space="preserve">美濃加茂高</t>
  </si>
  <si>
    <t xml:space="preserve">杉田　来翔</t>
  </si>
  <si>
    <t xml:space="preserve">東海大附札幌高</t>
  </si>
  <si>
    <t xml:space="preserve">岩崎　奏</t>
  </si>
  <si>
    <t xml:space="preserve">西脇工高</t>
  </si>
  <si>
    <t xml:space="preserve">富永　永輝愛</t>
  </si>
  <si>
    <t xml:space="preserve">開新高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</si>
  <si>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30:11</t>
    </r>
    <r>
      <rPr>
        <sz val="10"/>
        <color rgb="FF000000"/>
        <rFont val="WenQuanYi Zen Hei"/>
        <family val="2"/>
      </rPr>
      <t xml:space="preserve">）</t>
    </r>
  </si>
  <si>
    <t xml:space="preserve">長瀬　礼</t>
  </si>
  <si>
    <t xml:space="preserve">岸本　周真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</si>
  <si>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29:26</t>
    </r>
    <r>
      <rPr>
        <sz val="10"/>
        <color rgb="FF000000"/>
        <rFont val="WenQuanYi Zen Hei"/>
        <family val="2"/>
      </rPr>
      <t xml:space="preserve">）</t>
    </r>
  </si>
  <si>
    <t xml:space="preserve">加賀龍之介</t>
  </si>
  <si>
    <t xml:space="preserve">国学院大久我山高</t>
  </si>
  <si>
    <t xml:space="preserve">沢　 　佑斗</t>
  </si>
  <si>
    <t xml:space="preserve">中央学院高</t>
  </si>
  <si>
    <t xml:space="preserve">小松　隼太</t>
  </si>
  <si>
    <t xml:space="preserve">川口　頼輝</t>
  </si>
  <si>
    <t xml:space="preserve">宮川　晴斗</t>
  </si>
  <si>
    <t xml:space="preserve">智弁学園奈良カレッジ高</t>
  </si>
  <si>
    <t xml:space="preserve">柘植　源太</t>
  </si>
  <si>
    <t xml:space="preserve">浜松日体高</t>
  </si>
  <si>
    <t xml:space="preserve">譲次郎</t>
  </si>
  <si>
    <t xml:space="preserve">長野日大高</t>
  </si>
  <si>
    <t xml:space="preserve">佐藤　凌誠</t>
  </si>
  <si>
    <t xml:space="preserve">松下　悠真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</si>
  <si>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24:30</t>
    </r>
    <r>
      <rPr>
        <sz val="10"/>
        <color rgb="FF000000"/>
        <rFont val="WenQuanYi Zen Hei"/>
        <family val="2"/>
      </rPr>
      <t xml:space="preserve">）</t>
    </r>
  </si>
  <si>
    <t xml:space="preserve">入江　佑典</t>
  </si>
  <si>
    <t xml:space="preserve">那須拓陽高</t>
  </si>
  <si>
    <t xml:space="preserve">舛谷　夢生</t>
  </si>
  <si>
    <t xml:space="preserve">倉敷高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</si>
  <si>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14:28</t>
    </r>
    <r>
      <rPr>
        <sz val="10"/>
        <color rgb="FF000000"/>
        <rFont val="WenQuanYi Zen Hei"/>
        <family val="2"/>
      </rPr>
      <t xml:space="preserve">）</t>
    </r>
  </si>
  <si>
    <t xml:space="preserve">中岫　奏輔</t>
  </si>
  <si>
    <t xml:space="preserve">青森山田高</t>
  </si>
  <si>
    <t xml:space="preserve">時本　宝琉</t>
  </si>
  <si>
    <t xml:space="preserve">埼玉栄高</t>
  </si>
  <si>
    <t xml:space="preserve">村田　凌唯</t>
  </si>
  <si>
    <t xml:space="preserve">文星芸大附高</t>
  </si>
  <si>
    <t xml:space="preserve">東　 　海斗</t>
  </si>
  <si>
    <t xml:space="preserve">興国高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</si>
  <si>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24:21</t>
    </r>
    <r>
      <rPr>
        <sz val="10"/>
        <color rgb="FF000000"/>
        <rFont val="WenQuanYi Zen Hei"/>
        <family val="2"/>
      </rPr>
      <t xml:space="preserve">）</t>
    </r>
  </si>
  <si>
    <t xml:space="preserve">仲重　柊晴</t>
  </si>
  <si>
    <t xml:space="preserve">森田　航聖</t>
  </si>
  <si>
    <t xml:space="preserve">浦和実学高</t>
  </si>
  <si>
    <t xml:space="preserve">西井　健真</t>
  </si>
  <si>
    <t xml:space="preserve">豊川高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</si>
  <si>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14:07</t>
    </r>
    <r>
      <rPr>
        <sz val="10"/>
        <color rgb="FF000000"/>
        <rFont val="WenQuanYi Zen Hei"/>
        <family val="2"/>
      </rPr>
      <t xml:space="preserve">）</t>
    </r>
  </si>
  <si>
    <t xml:space="preserve">川人　仁嘉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</si>
  <si>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30:13</t>
    </r>
    <r>
      <rPr>
        <sz val="10"/>
        <color rgb="FF000000"/>
        <rFont val="WenQuanYi Zen Hei"/>
        <family val="2"/>
      </rPr>
      <t xml:space="preserve">）</t>
    </r>
  </si>
  <si>
    <t xml:space="preserve">エゼ　ディリチュク勇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</si>
  <si>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24:32</t>
    </r>
    <r>
      <rPr>
        <sz val="10"/>
        <color rgb="FF000000"/>
        <rFont val="WenQuanYi Zen Hei"/>
        <family val="2"/>
      </rPr>
      <t xml:space="preserve">）</t>
    </r>
  </si>
  <si>
    <t xml:space="preserve">真船　煌大</t>
  </si>
  <si>
    <t xml:space="preserve">内藤　大輔</t>
  </si>
  <si>
    <t xml:space="preserve">藤田　昂</t>
  </si>
  <si>
    <t xml:space="preserve">代田　真司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</si>
  <si>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9:07</t>
    </r>
    <r>
      <rPr>
        <sz val="10"/>
        <color rgb="FF000000"/>
        <rFont val="WenQuanYi Zen Hei"/>
        <family val="2"/>
      </rPr>
      <t xml:space="preserve">）</t>
    </r>
  </si>
  <si>
    <t xml:space="preserve">星野　駿人</t>
  </si>
  <si>
    <t xml:space="preserve">稲生高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</si>
  <si>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24:44</t>
    </r>
    <r>
      <rPr>
        <sz val="10"/>
        <color rgb="FF000000"/>
        <rFont val="WenQuanYi Zen Hei"/>
        <family val="2"/>
      </rPr>
      <t xml:space="preserve">）</t>
    </r>
  </si>
  <si>
    <t xml:space="preserve">前　 　春馬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</si>
  <si>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30:03</t>
    </r>
    <r>
      <rPr>
        <sz val="10"/>
        <color rgb="FF000000"/>
        <rFont val="WenQuanYi Zen Hei"/>
        <family val="2"/>
      </rPr>
      <t xml:space="preserve">）</t>
    </r>
  </si>
  <si>
    <t xml:space="preserve">井上　悠夢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</si>
  <si>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14:10</t>
    </r>
    <r>
      <rPr>
        <sz val="10"/>
        <color rgb="FF000000"/>
        <rFont val="WenQuanYi Zen Hei"/>
        <family val="2"/>
      </rPr>
      <t xml:space="preserve">）</t>
    </r>
  </si>
  <si>
    <t xml:space="preserve">河野　莉空</t>
  </si>
  <si>
    <t xml:space="preserve">中京高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</si>
  <si>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25:06</t>
    </r>
    <r>
      <rPr>
        <sz val="10"/>
        <color rgb="FF000000"/>
        <rFont val="WenQuanYi Zen Hei"/>
        <family val="2"/>
      </rPr>
      <t xml:space="preserve">）</t>
    </r>
  </si>
  <si>
    <t xml:space="preserve">加藤　心翔</t>
  </si>
  <si>
    <t xml:space="preserve">小早川　駿也</t>
  </si>
  <si>
    <t xml:space="preserve">谷崎　大翔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</si>
  <si>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24:01</t>
    </r>
    <r>
      <rPr>
        <sz val="10"/>
        <color rgb="FF000000"/>
        <rFont val="WenQuanYi Zen Hei"/>
        <family val="2"/>
      </rPr>
      <t xml:space="preserve">）</t>
    </r>
  </si>
  <si>
    <t xml:space="preserve">本川　竜光</t>
  </si>
  <si>
    <t xml:space="preserve">東京実高</t>
  </si>
  <si>
    <t xml:space="preserve">雑賀　温大</t>
  </si>
  <si>
    <t xml:space="preserve">土浦日大高</t>
  </si>
  <si>
    <t xml:space="preserve">松本　陽樹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</si>
  <si>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14:46</t>
    </r>
    <r>
      <rPr>
        <sz val="10"/>
        <color rgb="FF000000"/>
        <rFont val="WenQuanYi Zen Hei"/>
        <family val="2"/>
      </rPr>
      <t xml:space="preserve">）</t>
    </r>
  </si>
  <si>
    <t xml:space="preserve">五社　泰至</t>
  </si>
  <si>
    <t xml:space="preserve">東洋大附牛久高</t>
  </si>
  <si>
    <t xml:space="preserve">佐々木　凉蒼</t>
  </si>
  <si>
    <t xml:space="preserve">金子　陽翔</t>
  </si>
  <si>
    <t xml:space="preserve">小石沢　大翔</t>
  </si>
  <si>
    <t xml:space="preserve">山下　匠</t>
  </si>
  <si>
    <t xml:space="preserve">水戸葵陵高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</si>
  <si>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24:57</t>
    </r>
    <r>
      <rPr>
        <sz val="10"/>
        <color rgb="FF000000"/>
        <rFont val="WenQuanYi Zen Hei"/>
        <family val="2"/>
      </rPr>
      <t xml:space="preserve">）</t>
    </r>
  </si>
  <si>
    <t xml:space="preserve">植野　元唯</t>
  </si>
  <si>
    <t xml:space="preserve">清風高</t>
  </si>
  <si>
    <t xml:space="preserve">新垣　蓮</t>
  </si>
  <si>
    <t xml:space="preserve">富士宮北高</t>
  </si>
  <si>
    <t xml:space="preserve">谷　 　颯真</t>
  </si>
  <si>
    <t xml:space="preserve">田中　寿樹</t>
  </si>
  <si>
    <t xml:space="preserve">伊豆中央高</t>
  </si>
  <si>
    <t xml:space="preserve">辻井　智稀</t>
  </si>
  <si>
    <t xml:space="preserve">関大北陽高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</si>
  <si>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8:29</t>
    </r>
    <r>
      <rPr>
        <sz val="10"/>
        <color rgb="FF000000"/>
        <rFont val="WenQuanYi Zen Hei"/>
        <family val="2"/>
      </rPr>
      <t xml:space="preserve">）</t>
    </r>
  </si>
  <si>
    <t xml:space="preserve">岩尾　春</t>
  </si>
  <si>
    <t xml:space="preserve">東京国際大学：関東学連高</t>
  </si>
  <si>
    <t xml:space="preserve">気賀沢　勇之助</t>
  </si>
  <si>
    <t xml:space="preserve">駒大高</t>
  </si>
  <si>
    <t xml:space="preserve">山崎　圭人</t>
  </si>
  <si>
    <t xml:space="preserve">亀田　十羽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</si>
  <si>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8:23</t>
    </r>
    <r>
      <rPr>
        <sz val="10"/>
        <color rgb="FF000000"/>
        <rFont val="WenQuanYi Zen Hei"/>
        <family val="2"/>
      </rPr>
      <t xml:space="preserve">）</t>
    </r>
  </si>
  <si>
    <t xml:space="preserve">神谷　勇輝</t>
  </si>
  <si>
    <t xml:space="preserve">横浜　慶</t>
  </si>
  <si>
    <t xml:space="preserve">大野　真吾</t>
  </si>
  <si>
    <t xml:space="preserve">高橋　空</t>
  </si>
  <si>
    <t xml:space="preserve">原田　隼</t>
  </si>
  <si>
    <t xml:space="preserve">自由ケ丘高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</si>
  <si>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8:40</t>
    </r>
    <r>
      <rPr>
        <sz val="10"/>
        <color rgb="FF000000"/>
        <rFont val="WenQuanYi Zen Hei"/>
        <family val="2"/>
      </rPr>
      <t xml:space="preserve">）</t>
    </r>
  </si>
  <si>
    <t xml:space="preserve">西中川　和真</t>
  </si>
  <si>
    <t xml:space="preserve">山寺　慧太</t>
  </si>
  <si>
    <t xml:space="preserve">菊池　大夢</t>
  </si>
  <si>
    <t xml:space="preserve">木村　剛士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</si>
  <si>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29:50</t>
    </r>
    <r>
      <rPr>
        <sz val="10"/>
        <color rgb="FF000000"/>
        <rFont val="WenQuanYi Zen Hei"/>
        <family val="2"/>
      </rPr>
      <t xml:space="preserve">）</t>
    </r>
  </si>
  <si>
    <t xml:space="preserve">漆畑　颯恭</t>
  </si>
  <si>
    <t xml:space="preserve">飛龍高</t>
  </si>
  <si>
    <t xml:space="preserve">清水　大馳</t>
  </si>
  <si>
    <t xml:space="preserve">鳥谷部凌央</t>
  </si>
  <si>
    <t xml:space="preserve">坂口　太弥</t>
  </si>
  <si>
    <t xml:space="preserve">和歌山北高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</si>
  <si>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29:45</t>
    </r>
    <r>
      <rPr>
        <sz val="10"/>
        <color rgb="FF000000"/>
        <rFont val="WenQuanYi Zen Hei"/>
        <family val="2"/>
      </rPr>
      <t xml:space="preserve">）</t>
    </r>
  </si>
  <si>
    <t xml:space="preserve">渡部　湧斗</t>
  </si>
  <si>
    <t xml:space="preserve">帝京安積高</t>
  </si>
  <si>
    <t xml:space="preserve">杉山　力斗</t>
  </si>
  <si>
    <t xml:space="preserve">九州学院高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</si>
  <si>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13:52</t>
    </r>
    <r>
      <rPr>
        <sz val="10"/>
        <color rgb="FF000000"/>
        <rFont val="WenQuanYi Zen Hei"/>
        <family val="2"/>
      </rPr>
      <t xml:space="preserve">）</t>
    </r>
  </si>
  <si>
    <t xml:space="preserve">徳永　昇生</t>
  </si>
  <si>
    <t xml:space="preserve">大分東明高</t>
  </si>
  <si>
    <t xml:space="preserve">高森　稀隆</t>
  </si>
  <si>
    <t xml:space="preserve">金沢学院大附高</t>
  </si>
  <si>
    <t xml:space="preserve">校名表記：金沢学院大附高／金沢学大附高</t>
  </si>
  <si>
    <t xml:space="preserve">前川　侑大</t>
  </si>
  <si>
    <t xml:space="preserve">今治北高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</si>
  <si>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30:15</t>
    </r>
    <r>
      <rPr>
        <sz val="10"/>
        <color rgb="FF000000"/>
        <rFont val="WenQuanYi Zen Hei"/>
        <family val="2"/>
      </rPr>
      <t xml:space="preserve">）</t>
    </r>
  </si>
  <si>
    <t xml:space="preserve">藤井　真生</t>
  </si>
  <si>
    <t xml:space="preserve">東海大山形高</t>
  </si>
  <si>
    <t xml:space="preserve">千葉　海頼</t>
  </si>
  <si>
    <t xml:space="preserve">木村　太郎</t>
  </si>
  <si>
    <t xml:space="preserve">希望が丘高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</si>
  <si>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13:58</t>
    </r>
    <r>
      <rPr>
        <sz val="10"/>
        <color rgb="FF000000"/>
        <rFont val="WenQuanYi Zen Hei"/>
        <family val="2"/>
      </rPr>
      <t xml:space="preserve">）</t>
    </r>
  </si>
  <si>
    <t xml:space="preserve">向井　駿輔</t>
  </si>
  <si>
    <t xml:space="preserve">麻溝台高</t>
  </si>
  <si>
    <t xml:space="preserve">高松　龍星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</si>
  <si>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24:50</t>
    </r>
    <r>
      <rPr>
        <sz val="10"/>
        <color rgb="FF000000"/>
        <rFont val="WenQuanYi Zen Hei"/>
        <family val="2"/>
      </rPr>
      <t xml:space="preserve">）</t>
    </r>
  </si>
  <si>
    <t xml:space="preserve">中島　希</t>
  </si>
  <si>
    <t xml:space="preserve">比叡山高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</si>
  <si>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30:18</t>
    </r>
    <r>
      <rPr>
        <sz val="10"/>
        <color rgb="FF000000"/>
        <rFont val="WenQuanYi Zen Hei"/>
        <family val="2"/>
      </rPr>
      <t xml:space="preserve">）</t>
    </r>
  </si>
  <si>
    <t xml:space="preserve">中村　碧吹</t>
  </si>
  <si>
    <t xml:space="preserve">市船橋高</t>
  </si>
  <si>
    <t xml:space="preserve">藤田　翔蒼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</si>
  <si>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15:06</t>
    </r>
    <r>
      <rPr>
        <sz val="10"/>
        <color rgb="FF000000"/>
        <rFont val="WenQuanYi Zen Hei"/>
        <family val="2"/>
      </rPr>
      <t xml:space="preserve">）</t>
    </r>
  </si>
  <si>
    <t xml:space="preserve">石川　幸輝</t>
  </si>
  <si>
    <t xml:space="preserve">益田東高</t>
  </si>
  <si>
    <t xml:space="preserve">上田　浩士</t>
  </si>
  <si>
    <t xml:space="preserve">神大附中等・兵庫高</t>
  </si>
  <si>
    <t xml:space="preserve">校名表記：神大附中等・兵庫高／神戸大附中等</t>
  </si>
  <si>
    <t xml:space="preserve">田　 　有希也</t>
  </si>
  <si>
    <t xml:space="preserve">蛭田　渉正</t>
  </si>
  <si>
    <t xml:space="preserve">橋　 　空</t>
  </si>
  <si>
    <t xml:space="preserve">深沢　暖斗</t>
  </si>
  <si>
    <t xml:space="preserve">東農大二高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</si>
  <si>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8:43</t>
    </r>
    <r>
      <rPr>
        <sz val="10"/>
        <color rgb="FF000000"/>
        <rFont val="WenQuanYi Zen Hei"/>
        <family val="2"/>
      </rPr>
      <t xml:space="preserve">）</t>
    </r>
  </si>
  <si>
    <t xml:space="preserve">角田　寛維</t>
  </si>
  <si>
    <t xml:space="preserve">大野　晃誠</t>
  </si>
  <si>
    <t xml:space="preserve">飯塚高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</si>
  <si>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30:30</t>
    </r>
    <r>
      <rPr>
        <sz val="10"/>
        <color rgb="FF000000"/>
        <rFont val="WenQuanYi Zen Hei"/>
        <family val="2"/>
      </rPr>
      <t xml:space="preserve">）</t>
    </r>
  </si>
  <si>
    <t xml:space="preserve">米川　翔</t>
  </si>
  <si>
    <t xml:space="preserve">川崎橘高</t>
  </si>
  <si>
    <t xml:space="preserve">吉村　悠希</t>
  </si>
  <si>
    <t xml:space="preserve">名古屋経大高蔵高</t>
  </si>
  <si>
    <t xml:space="preserve">周　 　凱文</t>
  </si>
  <si>
    <t xml:space="preserve">藤野　健太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</si>
  <si>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24:05</t>
    </r>
    <r>
      <rPr>
        <sz val="10"/>
        <color rgb="FF000000"/>
        <rFont val="WenQuanYi Zen Hei"/>
        <family val="2"/>
      </rPr>
      <t xml:space="preserve">）</t>
    </r>
  </si>
  <si>
    <t xml:space="preserve">江口　優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</si>
  <si>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15:27</t>
    </r>
    <r>
      <rPr>
        <sz val="10"/>
        <color rgb="FF000000"/>
        <rFont val="WenQuanYi Zen Hei"/>
        <family val="2"/>
      </rPr>
      <t xml:space="preserve">）</t>
    </r>
  </si>
  <si>
    <t xml:space="preserve">吉本　健心</t>
  </si>
  <si>
    <t xml:space="preserve">岡崎城西高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</si>
  <si>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24:27</t>
    </r>
    <r>
      <rPr>
        <sz val="10"/>
        <color rgb="FF000000"/>
        <rFont val="WenQuanYi Zen Hei"/>
        <family val="2"/>
      </rPr>
      <t xml:space="preserve">）</t>
    </r>
  </si>
  <si>
    <t xml:space="preserve">小山　颯太</t>
  </si>
  <si>
    <t xml:space="preserve">薮崎　一心</t>
  </si>
  <si>
    <t xml:space="preserve">市松戸高</t>
  </si>
  <si>
    <t xml:space="preserve">五十嵐　陽希</t>
  </si>
  <si>
    <t xml:space="preserve">一関学院高</t>
  </si>
  <si>
    <t xml:space="preserve">久保　洋斗</t>
  </si>
  <si>
    <t xml:space="preserve">荒木　琉偉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</si>
  <si>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8:15</t>
    </r>
    <r>
      <rPr>
        <sz val="10"/>
        <color rgb="FF000000"/>
        <rFont val="WenQuanYi Zen Hei"/>
        <family val="2"/>
      </rPr>
      <t xml:space="preserve">）</t>
    </r>
  </si>
  <si>
    <t xml:space="preserve">佐藤聡太郎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</si>
  <si>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8:38</t>
    </r>
    <r>
      <rPr>
        <sz val="10"/>
        <color rgb="FF000000"/>
        <rFont val="WenQuanYi Zen Hei"/>
        <family val="2"/>
      </rPr>
      <t xml:space="preserve">）</t>
    </r>
  </si>
  <si>
    <t xml:space="preserve">月野　優人</t>
  </si>
  <si>
    <t xml:space="preserve">磯崎　蓮凌</t>
  </si>
  <si>
    <t xml:space="preserve">光明学園相模原高</t>
  </si>
  <si>
    <t xml:space="preserve">北川　歩夢</t>
  </si>
  <si>
    <t xml:space="preserve">高知工高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</si>
  <si>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24:21</t>
    </r>
    <r>
      <rPr>
        <sz val="10"/>
        <color rgb="FF000000"/>
        <rFont val="WenQuanYi Zen Hei"/>
        <family val="2"/>
      </rPr>
      <t xml:space="preserve">）</t>
    </r>
  </si>
  <si>
    <t xml:space="preserve">黒川　歩夢</t>
  </si>
  <si>
    <t xml:space="preserve">秋田工高</t>
  </si>
  <si>
    <t xml:space="preserve">伊藤　瞭太</t>
  </si>
  <si>
    <t xml:space="preserve">田村高</t>
  </si>
  <si>
    <t xml:space="preserve">松本　優哉</t>
  </si>
  <si>
    <t xml:space="preserve">西京高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</si>
  <si>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31:08</t>
    </r>
    <r>
      <rPr>
        <sz val="10"/>
        <color rgb="FF000000"/>
        <rFont val="WenQuanYi Zen Hei"/>
        <family val="2"/>
      </rPr>
      <t xml:space="preserve">）</t>
    </r>
  </si>
  <si>
    <t xml:space="preserve">酒瀬川　新</t>
  </si>
  <si>
    <t xml:space="preserve">法政二高</t>
  </si>
  <si>
    <t xml:space="preserve">吉原　貫太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</si>
  <si>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25:16</t>
    </r>
    <r>
      <rPr>
        <sz val="10"/>
        <color rgb="FF000000"/>
        <rFont val="WenQuanYi Zen Hei"/>
        <family val="2"/>
      </rPr>
      <t xml:space="preserve">）</t>
    </r>
  </si>
  <si>
    <t xml:space="preserve">岩下　幾海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</si>
  <si>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30:11</t>
    </r>
    <r>
      <rPr>
        <sz val="10"/>
        <color rgb="FF000000"/>
        <rFont val="WenQuanYi Zen Hei"/>
        <family val="2"/>
      </rPr>
      <t xml:space="preserve">）</t>
    </r>
  </si>
  <si>
    <t xml:space="preserve">大金　莉久</t>
  </si>
  <si>
    <t xml:space="preserve">加藤　聖大</t>
  </si>
  <si>
    <t xml:space="preserve">古沢　崇翔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</si>
  <si>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8:39</t>
    </r>
    <r>
      <rPr>
        <sz val="10"/>
        <color rgb="FF000000"/>
        <rFont val="WenQuanYi Zen Hei"/>
        <family val="2"/>
      </rPr>
      <t xml:space="preserve">）</t>
    </r>
  </si>
  <si>
    <t xml:space="preserve">山田　琉碧</t>
  </si>
  <si>
    <t xml:space="preserve">八頭高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</si>
  <si>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15:56</t>
    </r>
    <r>
      <rPr>
        <sz val="10"/>
        <color rgb="FF000000"/>
        <rFont val="WenQuanYi Zen Hei"/>
        <family val="2"/>
      </rPr>
      <t xml:space="preserve">）</t>
    </r>
  </si>
  <si>
    <t xml:space="preserve">田代常太郎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</si>
  <si>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8:27</t>
    </r>
    <r>
      <rPr>
        <sz val="10"/>
        <color rgb="FF000000"/>
        <rFont val="WenQuanYi Zen Hei"/>
        <family val="2"/>
      </rPr>
      <t xml:space="preserve">）</t>
    </r>
  </si>
  <si>
    <t xml:space="preserve">服部　凉大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</si>
  <si>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25:06</t>
    </r>
    <r>
      <rPr>
        <sz val="10"/>
        <color rgb="FF000000"/>
        <rFont val="WenQuanYi Zen Hei"/>
        <family val="2"/>
      </rPr>
      <t xml:space="preserve">）</t>
    </r>
  </si>
  <si>
    <t xml:space="preserve">赤松　新太</t>
  </si>
  <si>
    <t xml:space="preserve">四国学大香川西高</t>
  </si>
  <si>
    <t xml:space="preserve">柳　 　譲次郎</t>
  </si>
  <si>
    <t xml:space="preserve">湯野　健太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</si>
  <si>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24:47</t>
    </r>
    <r>
      <rPr>
        <sz val="10"/>
        <color rgb="FF000000"/>
        <rFont val="WenQuanYi Zen Hei"/>
        <family val="2"/>
      </rPr>
      <t xml:space="preserve">）</t>
    </r>
  </si>
  <si>
    <t xml:space="preserve">鈴木　陸斗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</si>
  <si>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9:16</t>
    </r>
    <r>
      <rPr>
        <sz val="10"/>
        <color rgb="FF000000"/>
        <rFont val="WenQuanYi Zen Hei"/>
        <family val="2"/>
      </rPr>
      <t xml:space="preserve">）</t>
    </r>
  </si>
  <si>
    <t xml:space="preserve">服部　涼大</t>
  </si>
  <si>
    <t xml:space="preserve">千葉　渚斗</t>
  </si>
  <si>
    <t xml:space="preserve">広島国際学院高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</si>
  <si>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29:38</t>
    </r>
    <r>
      <rPr>
        <sz val="10"/>
        <color rgb="FF000000"/>
        <rFont val="WenQuanYi Zen Hei"/>
        <family val="2"/>
      </rPr>
      <t xml:space="preserve">）</t>
    </r>
  </si>
  <si>
    <t xml:space="preserve">若松　悠馬</t>
  </si>
  <si>
    <t xml:space="preserve">鹿児島城西高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</si>
  <si>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14:13</t>
    </r>
    <r>
      <rPr>
        <sz val="10"/>
        <color rgb="FF000000"/>
        <rFont val="WenQuanYi Zen Hei"/>
        <family val="2"/>
      </rPr>
      <t xml:space="preserve">）</t>
    </r>
  </si>
  <si>
    <t xml:space="preserve">阿部　誠志郎</t>
  </si>
  <si>
    <t xml:space="preserve">小野寺　駿</t>
  </si>
  <si>
    <t xml:space="preserve">岩田　逢希</t>
  </si>
  <si>
    <t xml:space="preserve">安藤　和真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</si>
  <si>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25:13</t>
    </r>
    <r>
      <rPr>
        <sz val="10"/>
        <color rgb="FF000000"/>
        <rFont val="WenQuanYi Zen Hei"/>
        <family val="2"/>
      </rPr>
      <t xml:space="preserve">）</t>
    </r>
  </si>
  <si>
    <t xml:space="preserve">森田　正貴</t>
  </si>
  <si>
    <t xml:space="preserve">森川　恭丞</t>
  </si>
  <si>
    <t xml:space="preserve">小豆島中央高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</si>
  <si>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31:07</t>
    </r>
    <r>
      <rPr>
        <sz val="10"/>
        <color rgb="FF000000"/>
        <rFont val="WenQuanYi Zen Hei"/>
        <family val="2"/>
      </rPr>
      <t xml:space="preserve">）</t>
    </r>
  </si>
  <si>
    <t xml:space="preserve">金田　潤</t>
  </si>
  <si>
    <t xml:space="preserve">北条　航太郎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</si>
  <si>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25:02</t>
    </r>
    <r>
      <rPr>
        <sz val="10"/>
        <color rgb="FF000000"/>
        <rFont val="WenQuanYi Zen Hei"/>
        <family val="2"/>
      </rPr>
      <t xml:space="preserve">）</t>
    </r>
  </si>
  <si>
    <t xml:space="preserve">上妻　和史</t>
  </si>
  <si>
    <t xml:space="preserve">良永　一馬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</si>
  <si>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15:35</t>
    </r>
    <r>
      <rPr>
        <sz val="10"/>
        <color rgb="FF000000"/>
        <rFont val="WenQuanYi Zen Hei"/>
        <family val="2"/>
      </rPr>
      <t xml:space="preserve">）</t>
    </r>
  </si>
  <si>
    <t xml:space="preserve">岸　 　慧大</t>
  </si>
  <si>
    <t xml:space="preserve">伊藤　洸瑠</t>
  </si>
  <si>
    <t xml:space="preserve">旭丘高</t>
  </si>
  <si>
    <t xml:space="preserve">金田　煌白</t>
  </si>
  <si>
    <t xml:space="preserve">森山　心翔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</si>
  <si>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31:40</t>
    </r>
    <r>
      <rPr>
        <sz val="10"/>
        <color rgb="FF000000"/>
        <rFont val="WenQuanYi Zen Hei"/>
        <family val="2"/>
      </rPr>
      <t xml:space="preserve">）</t>
    </r>
  </si>
  <si>
    <t xml:space="preserve">菊地　裕陽</t>
  </si>
  <si>
    <t xml:space="preserve">東北高</t>
  </si>
  <si>
    <t xml:space="preserve">小玉　麗巳</t>
  </si>
  <si>
    <t xml:space="preserve">宇都宮短大附高</t>
  </si>
  <si>
    <t xml:space="preserve">校名表記：宇都宮短大附高／宇短附高</t>
  </si>
  <si>
    <t xml:space="preserve">佐藤　健汰</t>
  </si>
  <si>
    <t xml:space="preserve">坂戸西高</t>
  </si>
  <si>
    <t xml:space="preserve">斎藤　煌来</t>
  </si>
  <si>
    <t xml:space="preserve">高川学園高</t>
  </si>
  <si>
    <t xml:space="preserve">吉池　琉仁</t>
  </si>
  <si>
    <t xml:space="preserve">林　 　蒼介</t>
  </si>
  <si>
    <t xml:space="preserve">黒田　琉斗</t>
  </si>
  <si>
    <t xml:space="preserve">水越　琉平</t>
  </si>
  <si>
    <t xml:space="preserve">碇元　瑛太</t>
  </si>
  <si>
    <t xml:space="preserve">中井　柊駕</t>
  </si>
  <si>
    <t xml:space="preserve">市西宮高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</si>
  <si>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24:36</t>
    </r>
    <r>
      <rPr>
        <sz val="10"/>
        <color rgb="FF000000"/>
        <rFont val="WenQuanYi Zen Hei"/>
        <family val="2"/>
      </rPr>
      <t xml:space="preserve">）</t>
    </r>
  </si>
  <si>
    <t xml:space="preserve">溝辺　煌心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</si>
  <si>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30:18</t>
    </r>
    <r>
      <rPr>
        <sz val="10"/>
        <color rgb="FF000000"/>
        <rFont val="WenQuanYi Zen Hei"/>
        <family val="2"/>
      </rPr>
      <t xml:space="preserve">）</t>
    </r>
  </si>
  <si>
    <t xml:space="preserve">榎本　翔馬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</si>
  <si>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14:44</t>
    </r>
    <r>
      <rPr>
        <sz val="10"/>
        <color rgb="FF000000"/>
        <rFont val="WenQuanYi Zen Hei"/>
        <family val="2"/>
      </rPr>
      <t xml:space="preserve">）</t>
    </r>
  </si>
  <si>
    <t xml:space="preserve">上田　輝空</t>
  </si>
  <si>
    <t xml:space="preserve">川村　緒十</t>
  </si>
  <si>
    <t xml:space="preserve">盛岡大附高</t>
  </si>
  <si>
    <t xml:space="preserve">三浦　康星</t>
  </si>
  <si>
    <t xml:space="preserve">前田　竜希</t>
  </si>
  <si>
    <t xml:space="preserve">大賀　一誠</t>
  </si>
  <si>
    <t xml:space="preserve">樹徳高</t>
  </si>
  <si>
    <t xml:space="preserve">山本　航己</t>
  </si>
  <si>
    <t xml:space="preserve">薮本　尚士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</si>
  <si>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25:23</t>
    </r>
    <r>
      <rPr>
        <sz val="10"/>
        <color rgb="FF000000"/>
        <rFont val="WenQuanYi Zen Hei"/>
        <family val="2"/>
      </rPr>
      <t xml:space="preserve">）</t>
    </r>
  </si>
  <si>
    <t xml:space="preserve">山崎　弘陽</t>
  </si>
  <si>
    <t xml:space="preserve">大阪高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</si>
  <si>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25:11</t>
    </r>
    <r>
      <rPr>
        <sz val="10"/>
        <color rgb="FF000000"/>
        <rFont val="WenQuanYi Zen Hei"/>
        <family val="2"/>
      </rPr>
      <t xml:space="preserve">）</t>
    </r>
  </si>
  <si>
    <t xml:space="preserve">三浦　敦仁</t>
  </si>
  <si>
    <t xml:space="preserve">折尾愛真高</t>
  </si>
  <si>
    <t xml:space="preserve">渡辺　志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</si>
  <si>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24:25</t>
    </r>
    <r>
      <rPr>
        <sz val="10"/>
        <color rgb="FF000000"/>
        <rFont val="WenQuanYi Zen Hei"/>
        <family val="2"/>
      </rPr>
      <t xml:space="preserve">）</t>
    </r>
  </si>
  <si>
    <t xml:space="preserve">筒井　陽</t>
  </si>
  <si>
    <t xml:space="preserve">山路　梨生</t>
  </si>
  <si>
    <t xml:space="preserve">樋口　隼</t>
  </si>
  <si>
    <t xml:space="preserve">花咲徳栄高</t>
  </si>
  <si>
    <t xml:space="preserve">前田　峻佑</t>
  </si>
  <si>
    <t xml:space="preserve">荏田高</t>
  </si>
  <si>
    <t xml:space="preserve">井沼　佑樹</t>
  </si>
  <si>
    <t xml:space="preserve">山本　航大</t>
  </si>
  <si>
    <t xml:space="preserve">沢口　彩星</t>
  </si>
  <si>
    <t xml:space="preserve">小柳津　翔太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</si>
  <si>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8:28</t>
    </r>
    <r>
      <rPr>
        <sz val="10"/>
        <color rgb="FF000000"/>
        <rFont val="WenQuanYi Zen Hei"/>
        <family val="2"/>
      </rPr>
      <t xml:space="preserve">）</t>
    </r>
  </si>
  <si>
    <t xml:space="preserve">吉岡　俊樹</t>
  </si>
  <si>
    <t xml:space="preserve">藤岡　一心</t>
  </si>
  <si>
    <t xml:space="preserve">植松　遼</t>
  </si>
  <si>
    <t xml:space="preserve">北条航太朗</t>
  </si>
  <si>
    <t xml:space="preserve">吉川　櫂永</t>
  </si>
  <si>
    <t xml:space="preserve">中田　智紘</t>
  </si>
  <si>
    <t xml:space="preserve">鈴木　貫太</t>
  </si>
  <si>
    <t xml:space="preserve">専大松戸高</t>
  </si>
  <si>
    <t xml:space="preserve">吹春　瞬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</si>
  <si>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25:03</t>
    </r>
    <r>
      <rPr>
        <sz val="10"/>
        <color rgb="FF000000"/>
        <rFont val="WenQuanYi Zen Hei"/>
        <family val="2"/>
      </rPr>
      <t xml:space="preserve">）</t>
    </r>
  </si>
  <si>
    <t xml:space="preserve">楯　 　冬次</t>
  </si>
  <si>
    <t xml:space="preserve">愛知学院愛知高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</si>
  <si>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30:06</t>
    </r>
    <r>
      <rPr>
        <sz val="10"/>
        <color rgb="FF000000"/>
        <rFont val="WenQuanYi Zen Hei"/>
        <family val="2"/>
      </rPr>
      <t xml:space="preserve">）</t>
    </r>
  </si>
  <si>
    <t xml:space="preserve">橋　 　優輝</t>
  </si>
  <si>
    <t xml:space="preserve">森　 　遥人</t>
  </si>
  <si>
    <t xml:space="preserve">大牟田高</t>
  </si>
  <si>
    <t xml:space="preserve">喜多　勇貴</t>
  </si>
  <si>
    <t xml:space="preserve">徳島科技高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</si>
  <si>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31:22</t>
    </r>
    <r>
      <rPr>
        <sz val="10"/>
        <color rgb="FF000000"/>
        <rFont val="WenQuanYi Zen Hei"/>
        <family val="2"/>
      </rPr>
      <t xml:space="preserve">）</t>
    </r>
  </si>
  <si>
    <t xml:space="preserve">松本　莉史</t>
  </si>
  <si>
    <t xml:space="preserve">金子　瑛太</t>
  </si>
  <si>
    <t xml:space="preserve">高知農高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</si>
  <si>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24:43</t>
    </r>
    <r>
      <rPr>
        <sz val="10"/>
        <color rgb="FF000000"/>
        <rFont val="WenQuanYi Zen Hei"/>
        <family val="2"/>
      </rPr>
      <t xml:space="preserve">）</t>
    </r>
  </si>
  <si>
    <t xml:space="preserve">滝山　優世</t>
  </si>
  <si>
    <t xml:space="preserve">市熊本千原台高</t>
  </si>
  <si>
    <t xml:space="preserve">山副　昇太郎</t>
  </si>
  <si>
    <t xml:space="preserve">丹後緑風高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</si>
  <si>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30:22</t>
    </r>
    <r>
      <rPr>
        <sz val="10"/>
        <color rgb="FF000000"/>
        <rFont val="WenQuanYi Zen Hei"/>
        <family val="2"/>
      </rPr>
      <t xml:space="preserve">）</t>
    </r>
  </si>
  <si>
    <t xml:space="preserve">河合　琢留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</si>
  <si>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30:55</t>
    </r>
    <r>
      <rPr>
        <sz val="10"/>
        <color rgb="FF000000"/>
        <rFont val="WenQuanYi Zen Hei"/>
        <family val="2"/>
      </rPr>
      <t xml:space="preserve">）</t>
    </r>
  </si>
  <si>
    <t xml:space="preserve">朝倉　凌</t>
  </si>
  <si>
    <t xml:space="preserve">新潟一高</t>
  </si>
  <si>
    <t xml:space="preserve">野口　泰希</t>
  </si>
  <si>
    <t xml:space="preserve">興梠　真人</t>
  </si>
  <si>
    <t xml:space="preserve">宮崎日大高</t>
  </si>
  <si>
    <t xml:space="preserve">江口　尊琉</t>
  </si>
  <si>
    <t xml:space="preserve">小笠原慶翔</t>
  </si>
  <si>
    <t xml:space="preserve">川口市立高</t>
  </si>
  <si>
    <t xml:space="preserve">校名表記：川口市陸協／川口市立高</t>
  </si>
  <si>
    <t xml:space="preserve">成田　光輝</t>
  </si>
  <si>
    <t xml:space="preserve">鹿児島高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</si>
  <si>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31:56</t>
    </r>
    <r>
      <rPr>
        <sz val="10"/>
        <color rgb="FF000000"/>
        <rFont val="WenQuanYi Zen Hei"/>
        <family val="2"/>
      </rPr>
      <t xml:space="preserve">）</t>
    </r>
  </si>
  <si>
    <t xml:space="preserve">太田　泰聖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</si>
  <si>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30:53</t>
    </r>
    <r>
      <rPr>
        <sz val="10"/>
        <color rgb="FF000000"/>
        <rFont val="WenQuanYi Zen Hei"/>
        <family val="2"/>
      </rPr>
      <t xml:space="preserve">）</t>
    </r>
  </si>
  <si>
    <t xml:space="preserve">斎藤　光</t>
  </si>
  <si>
    <t xml:space="preserve">入江　僚太</t>
  </si>
  <si>
    <t xml:space="preserve">米子松蔭高</t>
  </si>
  <si>
    <t xml:space="preserve">伊田　悠馬</t>
  </si>
  <si>
    <t xml:space="preserve">穴井　優希</t>
  </si>
  <si>
    <t xml:space="preserve">造田　拓海</t>
  </si>
  <si>
    <t xml:space="preserve">辻？？　啓亜</t>
  </si>
  <si>
    <t xml:space="preserve">竹内　蒼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</si>
  <si>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24:48</t>
    </r>
    <r>
      <rPr>
        <sz val="10"/>
        <color rgb="FF000000"/>
        <rFont val="WenQuanYi Zen Hei"/>
        <family val="2"/>
      </rPr>
      <t xml:space="preserve">）</t>
    </r>
  </si>
  <si>
    <t xml:space="preserve">辻　 　啓亜</t>
  </si>
  <si>
    <t xml:space="preserve">中林　純</t>
  </si>
  <si>
    <t xml:space="preserve">高田高</t>
  </si>
  <si>
    <t xml:space="preserve">木田　優吾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</si>
  <si>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9:30</t>
    </r>
    <r>
      <rPr>
        <sz val="10"/>
        <color rgb="FF000000"/>
        <rFont val="WenQuanYi Zen Hei"/>
        <family val="2"/>
      </rPr>
      <t xml:space="preserve">）</t>
    </r>
  </si>
  <si>
    <t xml:space="preserve">横田　拓実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</si>
  <si>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24:46</t>
    </r>
    <r>
      <rPr>
        <sz val="10"/>
        <color rgb="FF000000"/>
        <rFont val="WenQuanYi Zen Hei"/>
        <family val="2"/>
      </rPr>
      <t xml:space="preserve">）</t>
    </r>
  </si>
  <si>
    <t xml:space="preserve">福田　晃希</t>
  </si>
  <si>
    <t xml:space="preserve">新居浜商高</t>
  </si>
  <si>
    <t xml:space="preserve">河治　晴真</t>
  </si>
  <si>
    <t xml:space="preserve">宇都宮高</t>
  </si>
  <si>
    <t xml:space="preserve">花田　健大</t>
  </si>
  <si>
    <t xml:space="preserve">神辺旭高</t>
  </si>
  <si>
    <t xml:space="preserve">堀　 　楓真</t>
  </si>
  <si>
    <t xml:space="preserve">栗原　琉</t>
  </si>
  <si>
    <t xml:space="preserve">西武台千葉高</t>
  </si>
  <si>
    <t xml:space="preserve">西田　修造</t>
  </si>
  <si>
    <t xml:space="preserve">稲岡　透亜</t>
  </si>
  <si>
    <t xml:space="preserve">藤田　悠聖</t>
  </si>
  <si>
    <t xml:space="preserve">坂本　心優</t>
  </si>
  <si>
    <t xml:space="preserve">宮下　海風</t>
  </si>
  <si>
    <t xml:space="preserve">可児　悠月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</si>
  <si>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14:36</t>
    </r>
    <r>
      <rPr>
        <sz val="10"/>
        <color rgb="FF000000"/>
        <rFont val="WenQuanYi Zen Hei"/>
        <family val="2"/>
      </rPr>
      <t xml:space="preserve">）</t>
    </r>
  </si>
  <si>
    <t xml:space="preserve">松本　瑛都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</si>
  <si>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14:32</t>
    </r>
    <r>
      <rPr>
        <sz val="10"/>
        <color rgb="FF000000"/>
        <rFont val="WenQuanYi Zen Hei"/>
        <family val="2"/>
      </rPr>
      <t xml:space="preserve">）</t>
    </r>
  </si>
  <si>
    <t xml:space="preserve">藤田　晴亮</t>
  </si>
  <si>
    <t xml:space="preserve">高橋　悠樹</t>
  </si>
  <si>
    <t xml:space="preserve">世羅高</t>
  </si>
  <si>
    <t xml:space="preserve">徳谷　航生</t>
  </si>
  <si>
    <t xml:space="preserve">田村　陸斗</t>
  </si>
  <si>
    <t xml:space="preserve">保高　道豊</t>
  </si>
  <si>
    <t xml:space="preserve">大東大一高</t>
  </si>
  <si>
    <t xml:space="preserve">水本　優翔</t>
  </si>
  <si>
    <t xml:space="preserve">玉川　彩人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</si>
  <si>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9:24</t>
    </r>
    <r>
      <rPr>
        <sz val="10"/>
        <color rgb="FF000000"/>
        <rFont val="WenQuanYi Zen Hei"/>
        <family val="2"/>
      </rPr>
      <t xml:space="preserve">）</t>
    </r>
  </si>
  <si>
    <t xml:space="preserve">松永　惟吹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</si>
  <si>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14:54</t>
    </r>
    <r>
      <rPr>
        <sz val="10"/>
        <color rgb="FF000000"/>
        <rFont val="WenQuanYi Zen Hei"/>
        <family val="2"/>
      </rPr>
      <t xml:space="preserve">）</t>
    </r>
  </si>
  <si>
    <t xml:space="preserve">稲見　綾真</t>
  </si>
  <si>
    <t xml:space="preserve">山中　朔児</t>
  </si>
  <si>
    <t xml:space="preserve">城西大附城西高</t>
  </si>
  <si>
    <t xml:space="preserve">磯部旭希</t>
  </si>
  <si>
    <t xml:space="preserve">倉田　圭梧</t>
  </si>
  <si>
    <t xml:space="preserve">小野原　奏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</si>
  <si>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25:32</t>
    </r>
    <r>
      <rPr>
        <sz val="10"/>
        <color rgb="FF000000"/>
        <rFont val="WenQuanYi Zen Hei"/>
        <family val="2"/>
      </rPr>
      <t xml:space="preserve">）</t>
    </r>
  </si>
  <si>
    <t xml:space="preserve">上山　宙大</t>
  </si>
  <si>
    <t xml:space="preserve">亀井琥太郎</t>
  </si>
  <si>
    <t xml:space="preserve">関西創価高</t>
  </si>
  <si>
    <t xml:space="preserve">竹内　琉力</t>
  </si>
  <si>
    <t xml:space="preserve">喜多嶋　悠次</t>
  </si>
  <si>
    <t xml:space="preserve">九州国大附高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</si>
  <si>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31:08</t>
    </r>
    <r>
      <rPr>
        <sz val="10"/>
        <color rgb="FF000000"/>
        <rFont val="WenQuanYi Zen Hei"/>
        <family val="2"/>
      </rPr>
      <t xml:space="preserve">）</t>
    </r>
  </si>
  <si>
    <t xml:space="preserve">立花　力輝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</si>
  <si>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9:21</t>
    </r>
    <r>
      <rPr>
        <sz val="10"/>
        <color rgb="FF000000"/>
        <rFont val="WenQuanYi Zen Hei"/>
        <family val="2"/>
      </rPr>
      <t xml:space="preserve">）</t>
    </r>
  </si>
  <si>
    <t xml:space="preserve">富田　和志</t>
  </si>
  <si>
    <t xml:space="preserve">宇和高</t>
  </si>
  <si>
    <t xml:space="preserve">山口　裕輝</t>
  </si>
  <si>
    <t xml:space="preserve">長崎日大高</t>
  </si>
  <si>
    <t xml:space="preserve">山本　結仁</t>
  </si>
  <si>
    <t xml:space="preserve">中島　篤志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</si>
  <si>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25:36</t>
    </r>
    <r>
      <rPr>
        <sz val="10"/>
        <color rgb="FF000000"/>
        <rFont val="WenQuanYi Zen Hei"/>
        <family val="2"/>
      </rPr>
      <t xml:space="preserve">）</t>
    </r>
  </si>
  <si>
    <t xml:space="preserve">石塚　煌人</t>
  </si>
  <si>
    <t xml:space="preserve">東農大三高</t>
  </si>
  <si>
    <t xml:space="preserve">柳田　悠吾</t>
  </si>
  <si>
    <t xml:space="preserve">大西龍之輔</t>
  </si>
  <si>
    <t xml:space="preserve">長坂　潤</t>
  </si>
  <si>
    <t xml:space="preserve">酒巻　隼人</t>
  </si>
  <si>
    <t xml:space="preserve">阿部　雅也</t>
  </si>
  <si>
    <t xml:space="preserve">吉田　隼也</t>
  </si>
  <si>
    <t xml:space="preserve">鯖江高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</si>
  <si>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25:30</t>
    </r>
    <r>
      <rPr>
        <sz val="10"/>
        <color rgb="FF000000"/>
        <rFont val="WenQuanYi Zen Hei"/>
        <family val="2"/>
      </rPr>
      <t xml:space="preserve">）</t>
    </r>
  </si>
  <si>
    <t xml:space="preserve">高柳　譲次郎</t>
  </si>
  <si>
    <t xml:space="preserve">山内　颯真</t>
  </si>
  <si>
    <t xml:space="preserve">乙訓高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</si>
  <si>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30:42</t>
    </r>
    <r>
      <rPr>
        <sz val="10"/>
        <color rgb="FF000000"/>
        <rFont val="WenQuanYi Zen Hei"/>
        <family val="2"/>
      </rPr>
      <t xml:space="preserve">）</t>
    </r>
  </si>
  <si>
    <t xml:space="preserve">三嶋　奏汰</t>
  </si>
  <si>
    <t xml:space="preserve">門川高</t>
  </si>
  <si>
    <t xml:space="preserve">成田　光希</t>
  </si>
  <si>
    <t xml:space="preserve">松尾　奏杜</t>
  </si>
  <si>
    <t xml:space="preserve">斎藤　陽太</t>
  </si>
  <si>
    <t xml:space="preserve">天野　綺人</t>
  </si>
  <si>
    <t xml:space="preserve">山形中央高</t>
  </si>
  <si>
    <t xml:space="preserve">菅原　伶王</t>
  </si>
  <si>
    <t xml:space="preserve">松沢　歩</t>
  </si>
  <si>
    <t xml:space="preserve">群馬県中央中等高</t>
  </si>
  <si>
    <t xml:space="preserve">駒野　恵之</t>
  </si>
  <si>
    <t xml:space="preserve">京都外大西高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</si>
  <si>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30:54</t>
    </r>
    <r>
      <rPr>
        <sz val="10"/>
        <color rgb="FF000000"/>
        <rFont val="WenQuanYi Zen Hei"/>
        <family val="2"/>
      </rPr>
      <t xml:space="preserve">）</t>
    </r>
  </si>
  <si>
    <t xml:space="preserve">泉　 　圭輔</t>
  </si>
  <si>
    <t xml:space="preserve">北原　汰一</t>
  </si>
  <si>
    <t xml:space="preserve">熊本工高</t>
  </si>
  <si>
    <t xml:space="preserve">三浦　知都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</si>
  <si>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24:53</t>
    </r>
    <r>
      <rPr>
        <sz val="10"/>
        <color rgb="FF000000"/>
        <rFont val="WenQuanYi Zen Hei"/>
        <family val="2"/>
      </rPr>
      <t xml:space="preserve">）</t>
    </r>
  </si>
  <si>
    <t xml:space="preserve">本宮　修平</t>
  </si>
  <si>
    <t xml:space="preserve">船橋高</t>
  </si>
  <si>
    <t xml:space="preserve">岸田　拓真</t>
  </si>
  <si>
    <t xml:space="preserve">校名表記：智弁学園奈良カレッジ／智弁学園奈良カレッジ高</t>
  </si>
  <si>
    <t xml:space="preserve">並木　優和</t>
  </si>
  <si>
    <t xml:space="preserve">昌平高</t>
  </si>
  <si>
    <t xml:space="preserve">角田　頼武</t>
  </si>
  <si>
    <t xml:space="preserve">西武学園文理高</t>
  </si>
  <si>
    <t xml:space="preserve">坂手　真樹</t>
  </si>
  <si>
    <t xml:space="preserve">三田学園高</t>
  </si>
  <si>
    <t xml:space="preserve">エゼ　勇</t>
  </si>
  <si>
    <t xml:space="preserve">村上　慎一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</si>
  <si>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24:09</t>
    </r>
    <r>
      <rPr>
        <sz val="10"/>
        <color rgb="FF000000"/>
        <rFont val="WenQuanYi Zen Hei"/>
        <family val="2"/>
      </rPr>
      <t xml:space="preserve">）</t>
    </r>
  </si>
  <si>
    <t xml:space="preserve">小林　丹</t>
  </si>
  <si>
    <t xml:space="preserve">川辺　孝志郎</t>
  </si>
  <si>
    <t xml:space="preserve">進藤　晴仁</t>
  </si>
  <si>
    <t xml:space="preserve">前沢　奏良</t>
  </si>
  <si>
    <t xml:space="preserve">酒田南高</t>
  </si>
  <si>
    <t xml:space="preserve">同名の別選手あり（東海大山形高）</t>
  </si>
  <si>
    <t xml:space="preserve">河村　俊志</t>
  </si>
  <si>
    <t xml:space="preserve">中安　快飛</t>
  </si>
  <si>
    <t xml:space="preserve">春日部高</t>
  </si>
  <si>
    <t xml:space="preserve">佐藤　駿成</t>
  </si>
  <si>
    <t xml:space="preserve">桂高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</si>
  <si>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25:44</t>
    </r>
    <r>
      <rPr>
        <sz val="10"/>
        <color rgb="FF000000"/>
        <rFont val="WenQuanYi Zen Hei"/>
        <family val="2"/>
      </rPr>
      <t xml:space="preserve">）</t>
    </r>
  </si>
  <si>
    <t xml:space="preserve">酒井　良</t>
  </si>
  <si>
    <t xml:space="preserve">大林　凛太郎</t>
  </si>
  <si>
    <t xml:space="preserve">草津東高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</si>
  <si>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31:18</t>
    </r>
    <r>
      <rPr>
        <sz val="10"/>
        <color rgb="FF000000"/>
        <rFont val="WenQuanYi Zen Hei"/>
        <family val="2"/>
      </rPr>
      <t xml:space="preserve">）</t>
    </r>
  </si>
  <si>
    <t xml:space="preserve">松下　翔</t>
  </si>
  <si>
    <t xml:space="preserve">蓑島　颯佑</t>
  </si>
  <si>
    <t xml:space="preserve">三浦学苑高</t>
  </si>
  <si>
    <t xml:space="preserve">菅野　暖</t>
  </si>
  <si>
    <t xml:space="preserve">武蔵越生高</t>
  </si>
  <si>
    <t xml:space="preserve">満原　丈晴</t>
  </si>
  <si>
    <t xml:space="preserve">下田　悠太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</si>
  <si>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16:05</t>
    </r>
    <r>
      <rPr>
        <sz val="10"/>
        <color rgb="FF000000"/>
        <rFont val="WenQuanYi Zen Hei"/>
        <family val="2"/>
      </rPr>
      <t xml:space="preserve">）</t>
    </r>
  </si>
  <si>
    <t xml:space="preserve">佐藤　史規</t>
  </si>
  <si>
    <t xml:space="preserve">福山　拓己</t>
  </si>
  <si>
    <t xml:space="preserve">青木　亮太朗</t>
  </si>
  <si>
    <t xml:space="preserve">大木　優</t>
  </si>
  <si>
    <t xml:space="preserve">福岡大附若葉高</t>
  </si>
  <si>
    <t xml:space="preserve">小泉　陽樹</t>
  </si>
  <si>
    <t xml:space="preserve">横田　篤志</t>
  </si>
  <si>
    <t xml:space="preserve">吉川　優斗</t>
  </si>
  <si>
    <t xml:space="preserve">牛久高</t>
  </si>
  <si>
    <t xml:space="preserve">佐藤　真斗</t>
  </si>
  <si>
    <t xml:space="preserve">鶴崎工高</t>
  </si>
  <si>
    <t xml:space="preserve">田崎　空汰</t>
  </si>
  <si>
    <t xml:space="preserve">梶　 　悠磨</t>
  </si>
  <si>
    <t xml:space="preserve">尾上　倫太郎</t>
  </si>
  <si>
    <t xml:space="preserve">智弁学園和歌山高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</si>
  <si>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25:39</t>
    </r>
    <r>
      <rPr>
        <sz val="10"/>
        <color rgb="FF000000"/>
        <rFont val="WenQuanYi Zen Hei"/>
        <family val="2"/>
      </rPr>
      <t xml:space="preserve">）</t>
    </r>
  </si>
  <si>
    <t xml:space="preserve">富田　蒼輝</t>
  </si>
  <si>
    <t xml:space="preserve">内山　翔羽</t>
  </si>
  <si>
    <t xml:space="preserve">鹿児島工高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</si>
  <si>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15:50</t>
    </r>
    <r>
      <rPr>
        <sz val="10"/>
        <color rgb="FF000000"/>
        <rFont val="WenQuanYi Zen Hei"/>
        <family val="2"/>
      </rPr>
      <t xml:space="preserve">）</t>
    </r>
  </si>
  <si>
    <t xml:space="preserve">弓倉　航</t>
  </si>
  <si>
    <t xml:space="preserve">上原　響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</si>
  <si>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25:11</t>
    </r>
    <r>
      <rPr>
        <sz val="10"/>
        <color rgb="FF000000"/>
        <rFont val="WenQuanYi Zen Hei"/>
        <family val="2"/>
      </rPr>
      <t xml:space="preserve">）</t>
    </r>
  </si>
  <si>
    <t xml:space="preserve">平本　悠翔</t>
  </si>
  <si>
    <t xml:space="preserve">奈良育英高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</si>
  <si>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26:15</t>
    </r>
    <r>
      <rPr>
        <sz val="10"/>
        <color rgb="FF000000"/>
        <rFont val="WenQuanYi Zen Hei"/>
        <family val="2"/>
      </rPr>
      <t xml:space="preserve">）</t>
    </r>
  </si>
  <si>
    <t xml:space="preserve">島田　新太</t>
  </si>
  <si>
    <t xml:space="preserve">美方高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</si>
  <si>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30:36</t>
    </r>
    <r>
      <rPr>
        <sz val="10"/>
        <color rgb="FF000000"/>
        <rFont val="WenQuanYi Zen Hei"/>
        <family val="2"/>
      </rPr>
      <t xml:space="preserve">）</t>
    </r>
  </si>
  <si>
    <t xml:space="preserve">工藤　翔太</t>
  </si>
  <si>
    <t xml:space="preserve">鞍元　斗波</t>
  </si>
  <si>
    <t xml:space="preserve">上条　悠太</t>
  </si>
  <si>
    <t xml:space="preserve">田中　心</t>
  </si>
  <si>
    <t xml:space="preserve">本田　勇富</t>
  </si>
  <si>
    <t xml:space="preserve">佐藤　環</t>
  </si>
  <si>
    <t xml:space="preserve">鳥取　優作</t>
  </si>
  <si>
    <t xml:space="preserve">辻　 　瑛人</t>
  </si>
  <si>
    <t xml:space="preserve">斎藤　隼</t>
  </si>
  <si>
    <t xml:space="preserve">永田　敦士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</si>
  <si>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15:42</t>
    </r>
    <r>
      <rPr>
        <sz val="10"/>
        <color rgb="FF000000"/>
        <rFont val="WenQuanYi Zen Hei"/>
        <family val="2"/>
      </rPr>
      <t xml:space="preserve">）</t>
    </r>
  </si>
  <si>
    <t xml:space="preserve">米村　和真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</si>
  <si>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15:06</t>
    </r>
    <r>
      <rPr>
        <sz val="10"/>
        <color rgb="FF000000"/>
        <rFont val="WenQuanYi Zen Hei"/>
        <family val="2"/>
      </rPr>
      <t xml:space="preserve">）</t>
    </r>
  </si>
  <si>
    <t xml:space="preserve">杉浦　秀亜</t>
  </si>
  <si>
    <t xml:space="preserve">豊田大谷高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</si>
  <si>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30:22</t>
    </r>
    <r>
      <rPr>
        <sz val="10"/>
        <color rgb="FF000000"/>
        <rFont val="WenQuanYi Zen Hei"/>
        <family val="2"/>
      </rPr>
      <t xml:space="preserve">）</t>
    </r>
  </si>
  <si>
    <t xml:space="preserve">福長　正翔</t>
  </si>
  <si>
    <t xml:space="preserve">川畑　僚大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</si>
  <si>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30:46</t>
    </r>
    <r>
      <rPr>
        <sz val="10"/>
        <color rgb="FF000000"/>
        <rFont val="WenQuanYi Zen Hei"/>
        <family val="2"/>
      </rPr>
      <t xml:space="preserve">）</t>
    </r>
  </si>
  <si>
    <t xml:space="preserve">山口　翔馬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</si>
  <si>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31:41</t>
    </r>
    <r>
      <rPr>
        <sz val="10"/>
        <color rgb="FF000000"/>
        <rFont val="WenQuanYi Zen Hei"/>
        <family val="2"/>
      </rPr>
      <t xml:space="preserve">）</t>
    </r>
  </si>
  <si>
    <t xml:space="preserve">久田　祐也</t>
  </si>
  <si>
    <t xml:space="preserve">小林　一奈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</si>
  <si>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30:54</t>
    </r>
    <r>
      <rPr>
        <sz val="10"/>
        <color rgb="FF000000"/>
        <rFont val="WenQuanYi Zen Hei"/>
        <family val="2"/>
      </rPr>
      <t xml:space="preserve">）</t>
    </r>
  </si>
  <si>
    <t xml:space="preserve">玉井　誠也</t>
  </si>
  <si>
    <t xml:space="preserve">長谷川　獅</t>
  </si>
  <si>
    <t xml:space="preserve">田渕　秀真</t>
  </si>
  <si>
    <t xml:space="preserve">坂本　大翼</t>
  </si>
  <si>
    <t xml:space="preserve">渋谷　玖蒼</t>
  </si>
  <si>
    <t xml:space="preserve">中村　舜大</t>
  </si>
  <si>
    <t xml:space="preserve">深井　真生</t>
  </si>
  <si>
    <t xml:space="preserve">中沢　叶翔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</si>
  <si>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15:14</t>
    </r>
    <r>
      <rPr>
        <sz val="10"/>
        <color rgb="FF000000"/>
        <rFont val="WenQuanYi Zen Hei"/>
        <family val="2"/>
      </rPr>
      <t xml:space="preserve">）</t>
    </r>
  </si>
  <si>
    <t xml:space="preserve">大和田　剛基</t>
  </si>
  <si>
    <t xml:space="preserve">いわき秀英高</t>
  </si>
  <si>
    <t xml:space="preserve">浅井　遥陽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</si>
  <si>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25:46</t>
    </r>
    <r>
      <rPr>
        <sz val="10"/>
        <color rgb="FF000000"/>
        <rFont val="WenQuanYi Zen Hei"/>
        <family val="2"/>
      </rPr>
      <t xml:space="preserve">）</t>
    </r>
  </si>
  <si>
    <t xml:space="preserve">高杉　和希</t>
  </si>
  <si>
    <t xml:space="preserve">田中　翔真</t>
  </si>
  <si>
    <t xml:space="preserve">矢野　半蔵</t>
  </si>
  <si>
    <t xml:space="preserve">田辺高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</si>
  <si>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31:04</t>
    </r>
    <r>
      <rPr>
        <sz val="10"/>
        <color rgb="FF000000"/>
        <rFont val="WenQuanYi Zen Hei"/>
        <family val="2"/>
      </rPr>
      <t xml:space="preserve">）</t>
    </r>
  </si>
  <si>
    <t xml:space="preserve">打越　成都</t>
  </si>
  <si>
    <t xml:space="preserve">国仲　江空斗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</si>
  <si>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14:45</t>
    </r>
    <r>
      <rPr>
        <sz val="10"/>
        <color rgb="FF000000"/>
        <rFont val="WenQuanYi Zen Hei"/>
        <family val="2"/>
      </rPr>
      <t xml:space="preserve">）</t>
    </r>
  </si>
  <si>
    <t xml:space="preserve">多胡　圭祐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</si>
  <si>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25:24</t>
    </r>
    <r>
      <rPr>
        <sz val="10"/>
        <color rgb="FF000000"/>
        <rFont val="WenQuanYi Zen Hei"/>
        <family val="2"/>
      </rPr>
      <t xml:space="preserve">）</t>
    </r>
  </si>
  <si>
    <t xml:space="preserve">武田　巴瑠</t>
  </si>
  <si>
    <t xml:space="preserve">田中　駿成</t>
  </si>
  <si>
    <t xml:space="preserve">津々木　俊翔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</si>
  <si>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24:24</t>
    </r>
    <r>
      <rPr>
        <sz val="10"/>
        <color rgb="FF000000"/>
        <rFont val="WenQuanYi Zen Hei"/>
        <family val="2"/>
      </rPr>
      <t xml:space="preserve">）</t>
    </r>
  </si>
  <si>
    <t xml:space="preserve">川南　星流</t>
  </si>
  <si>
    <t xml:space="preserve">滋賀学園高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</si>
  <si>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14:40</t>
    </r>
    <r>
      <rPr>
        <sz val="10"/>
        <color rgb="FF000000"/>
        <rFont val="WenQuanYi Zen Hei"/>
        <family val="2"/>
      </rPr>
      <t xml:space="preserve">）</t>
    </r>
  </si>
  <si>
    <t xml:space="preserve">田嶋礼貴歩</t>
  </si>
  <si>
    <t xml:space="preserve">武藤　蒼</t>
  </si>
  <si>
    <t xml:space="preserve">浜松開誠館高</t>
  </si>
  <si>
    <t xml:space="preserve">秋広　逞久真</t>
  </si>
  <si>
    <t xml:space="preserve">樟南高</t>
  </si>
  <si>
    <t xml:space="preserve">近江　雄将</t>
  </si>
  <si>
    <t xml:space="preserve">相沢　嶺馬</t>
  </si>
  <si>
    <t xml:space="preserve">作新学院高</t>
  </si>
  <si>
    <t xml:space="preserve">高橋　俊輔</t>
  </si>
  <si>
    <t xml:space="preserve">谷口　侑</t>
  </si>
  <si>
    <t xml:space="preserve">大阪桐蔭高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</si>
  <si>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8:15</t>
    </r>
    <r>
      <rPr>
        <sz val="10"/>
        <color rgb="FF000000"/>
        <rFont val="WenQuanYi Zen Hei"/>
        <family val="2"/>
      </rPr>
      <t xml:space="preserve">）</t>
    </r>
  </si>
  <si>
    <t xml:space="preserve">小宮　好陽</t>
  </si>
  <si>
    <t xml:space="preserve">柳沢　佑斗</t>
  </si>
  <si>
    <t xml:space="preserve">加藤　陸人</t>
  </si>
  <si>
    <t xml:space="preserve">後藤　漣</t>
  </si>
  <si>
    <t xml:space="preserve">喜多　勇希</t>
  </si>
  <si>
    <t xml:space="preserve">吉田　怜央</t>
  </si>
  <si>
    <t xml:space="preserve">姉川　雷雅</t>
  </si>
  <si>
    <t xml:space="preserve">純真高</t>
  </si>
  <si>
    <t xml:space="preserve">増田　敬大</t>
  </si>
  <si>
    <t xml:space="preserve">文徳高</t>
  </si>
  <si>
    <t xml:space="preserve">松本　快風</t>
  </si>
  <si>
    <t xml:space="preserve">前橋育英高</t>
  </si>
  <si>
    <t xml:space="preserve">武藤　風太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</si>
  <si>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25:50</t>
    </r>
    <r>
      <rPr>
        <sz val="10"/>
        <color rgb="FF000000"/>
        <rFont val="WenQuanYi Zen Hei"/>
        <family val="2"/>
      </rPr>
      <t xml:space="preserve">）</t>
    </r>
  </si>
  <si>
    <t xml:space="preserve">福家　佑樹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</si>
  <si>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14:53</t>
    </r>
    <r>
      <rPr>
        <sz val="10"/>
        <color rgb="FF000000"/>
        <rFont val="WenQuanYi Zen Hei"/>
        <family val="2"/>
      </rPr>
      <t xml:space="preserve">）</t>
    </r>
  </si>
  <si>
    <t xml:space="preserve">松下　謙心</t>
  </si>
  <si>
    <t xml:space="preserve">江川　颯大</t>
  </si>
  <si>
    <t xml:space="preserve">岸本　羽琉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</si>
  <si>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14:23</t>
    </r>
    <r>
      <rPr>
        <sz val="10"/>
        <color rgb="FF000000"/>
        <rFont val="WenQuanYi Zen Hei"/>
        <family val="2"/>
      </rPr>
      <t xml:space="preserve">）</t>
    </r>
  </si>
  <si>
    <t xml:space="preserve">岸野　ハルト</t>
  </si>
  <si>
    <t xml:space="preserve">宮内　健輔</t>
  </si>
  <si>
    <t xml:space="preserve">三好市陸協</t>
  </si>
  <si>
    <t xml:space="preserve">山本　穂高</t>
  </si>
  <si>
    <t xml:space="preserve">東　 　朝日</t>
  </si>
  <si>
    <t xml:space="preserve">林田　雅斗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</si>
  <si>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15:51</t>
    </r>
    <r>
      <rPr>
        <sz val="10"/>
        <color rgb="FF000000"/>
        <rFont val="WenQuanYi Zen Hei"/>
        <family val="2"/>
      </rPr>
      <t xml:space="preserve">）</t>
    </r>
  </si>
  <si>
    <t xml:space="preserve">川下　日翔</t>
  </si>
  <si>
    <t xml:space="preserve">鹿児島実高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</si>
  <si>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15:28</t>
    </r>
    <r>
      <rPr>
        <sz val="10"/>
        <color rgb="FF000000"/>
        <rFont val="WenQuanYi Zen Hei"/>
        <family val="2"/>
      </rPr>
      <t xml:space="preserve">）</t>
    </r>
  </si>
  <si>
    <t xml:space="preserve">宮崎　寛大</t>
  </si>
  <si>
    <t xml:space="preserve">山本　夏輝</t>
  </si>
  <si>
    <t xml:space="preserve">田辺工高</t>
  </si>
  <si>
    <t xml:space="preserve">校名表記：田辺工高／田辺工業高校</t>
  </si>
  <si>
    <t xml:space="preserve">服部　恵吾</t>
  </si>
  <si>
    <t xml:space="preserve">竹下　正竜</t>
  </si>
  <si>
    <t xml:space="preserve">坂口　大斗</t>
  </si>
  <si>
    <t xml:space="preserve">藤枝明誠高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</si>
  <si>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25:36</t>
    </r>
    <r>
      <rPr>
        <sz val="10"/>
        <color rgb="FF000000"/>
        <rFont val="WenQuanYi Zen Hei"/>
        <family val="2"/>
      </rPr>
      <t xml:space="preserve">）</t>
    </r>
  </si>
  <si>
    <t xml:space="preserve">渡辺　裕珂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</si>
  <si>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14:52</t>
    </r>
    <r>
      <rPr>
        <sz val="10"/>
        <color rgb="FF000000"/>
        <rFont val="WenQuanYi Zen Hei"/>
        <family val="2"/>
      </rPr>
      <t xml:space="preserve">）</t>
    </r>
  </si>
  <si>
    <t xml:space="preserve">原田　悠慎</t>
  </si>
  <si>
    <t xml:space="preserve">大垣日大高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</si>
  <si>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15:26</t>
    </r>
    <r>
      <rPr>
        <sz val="10"/>
        <color rgb="FF000000"/>
        <rFont val="WenQuanYi Zen Hei"/>
        <family val="2"/>
      </rPr>
      <t xml:space="preserve">）</t>
    </r>
  </si>
  <si>
    <t xml:space="preserve">清家　大和</t>
  </si>
  <si>
    <t xml:space="preserve">南　 　遼貴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</si>
  <si>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26:04</t>
    </r>
    <r>
      <rPr>
        <sz val="10"/>
        <color rgb="FF000000"/>
        <rFont val="WenQuanYi Zen Hei"/>
        <family val="2"/>
      </rPr>
      <t xml:space="preserve">）</t>
    </r>
  </si>
  <si>
    <t xml:space="preserve">笹尾　颯良</t>
  </si>
  <si>
    <t xml:space="preserve">岩瀬　光城</t>
  </si>
  <si>
    <t xml:space="preserve">田名部高</t>
  </si>
  <si>
    <t xml:space="preserve">江刺家琉己</t>
  </si>
  <si>
    <t xml:space="preserve">白川　智也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</si>
  <si>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9:13</t>
    </r>
    <r>
      <rPr>
        <sz val="10"/>
        <color rgb="FF000000"/>
        <rFont val="WenQuanYi Zen Hei"/>
        <family val="2"/>
      </rPr>
      <t xml:space="preserve">）</t>
    </r>
  </si>
  <si>
    <t xml:space="preserve">奥村　斗愛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</si>
  <si>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15:17</t>
    </r>
    <r>
      <rPr>
        <sz val="10"/>
        <color rgb="FF000000"/>
        <rFont val="WenQuanYi Zen Hei"/>
        <family val="2"/>
      </rPr>
      <t xml:space="preserve">）</t>
    </r>
  </si>
  <si>
    <t xml:space="preserve">内藤　健太郎</t>
  </si>
  <si>
    <t xml:space="preserve">朝戸　尊人</t>
  </si>
  <si>
    <t xml:space="preserve">出水中央高</t>
  </si>
  <si>
    <t xml:space="preserve">山下　智也</t>
  </si>
  <si>
    <t xml:space="preserve">平本　大河</t>
  </si>
  <si>
    <t xml:space="preserve">藤坂　龍仁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</si>
  <si>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25:01</t>
    </r>
    <r>
      <rPr>
        <sz val="10"/>
        <color rgb="FF000000"/>
        <rFont val="WenQuanYi Zen Hei"/>
        <family val="2"/>
      </rPr>
      <t xml:space="preserve">）</t>
    </r>
  </si>
  <si>
    <t xml:space="preserve">米満　楓馬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</si>
  <si>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14:04</t>
    </r>
    <r>
      <rPr>
        <sz val="10"/>
        <color rgb="FF000000"/>
        <rFont val="WenQuanYi Zen Hei"/>
        <family val="2"/>
      </rPr>
      <t xml:space="preserve">）</t>
    </r>
  </si>
  <si>
    <t xml:space="preserve">水沢　駿一郎</t>
  </si>
  <si>
    <t xml:space="preserve">三浦　翔空</t>
  </si>
  <si>
    <t xml:space="preserve">七五三　充綺</t>
  </si>
  <si>
    <t xml:space="preserve">愛知黎明高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</si>
  <si>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25:04</t>
    </r>
    <r>
      <rPr>
        <sz val="10"/>
        <color rgb="FF000000"/>
        <rFont val="WenQuanYi Zen Hei"/>
        <family val="2"/>
      </rPr>
      <t xml:space="preserve">）</t>
    </r>
  </si>
  <si>
    <t xml:space="preserve">前田　俊祐</t>
  </si>
  <si>
    <t xml:space="preserve">松本　蒼生</t>
  </si>
  <si>
    <t xml:space="preserve">河野　蒼人</t>
  </si>
  <si>
    <t xml:space="preserve">石川　琉斐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</si>
  <si>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32:10</t>
    </r>
    <r>
      <rPr>
        <sz val="10"/>
        <color rgb="FF000000"/>
        <rFont val="WenQuanYi Zen Hei"/>
        <family val="2"/>
      </rPr>
      <t xml:space="preserve">）</t>
    </r>
  </si>
  <si>
    <t xml:space="preserve">池之端　琉月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</si>
  <si>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8:36</t>
    </r>
    <r>
      <rPr>
        <sz val="10"/>
        <color rgb="FF000000"/>
        <rFont val="WenQuanYi Zen Hei"/>
        <family val="2"/>
      </rPr>
      <t xml:space="preserve">）</t>
    </r>
  </si>
  <si>
    <t xml:space="preserve">保坂　充樹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</si>
  <si>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15:03</t>
    </r>
    <r>
      <rPr>
        <sz val="10"/>
        <color rgb="FF000000"/>
        <rFont val="WenQuanYi Zen Hei"/>
        <family val="2"/>
      </rPr>
      <t xml:space="preserve">）</t>
    </r>
  </si>
  <si>
    <t xml:space="preserve">柴田　優貴</t>
  </si>
  <si>
    <t xml:space="preserve">清教学園高</t>
  </si>
  <si>
    <t xml:space="preserve">米原　羽壱琉</t>
  </si>
  <si>
    <t xml:space="preserve">伊藤　翔貴</t>
  </si>
  <si>
    <t xml:space="preserve">与那嶺太地</t>
  </si>
  <si>
    <t xml:space="preserve">小林　昂起</t>
  </si>
  <si>
    <t xml:space="preserve">山本　唯翔</t>
  </si>
  <si>
    <t xml:space="preserve">松山商高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</si>
  <si>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31:13</t>
    </r>
    <r>
      <rPr>
        <sz val="10"/>
        <color rgb="FF000000"/>
        <rFont val="WenQuanYi Zen Hei"/>
        <family val="2"/>
      </rPr>
      <t xml:space="preserve">）</t>
    </r>
  </si>
  <si>
    <t xml:space="preserve">永益　広大</t>
  </si>
  <si>
    <t xml:space="preserve">白石高</t>
  </si>
  <si>
    <t xml:space="preserve">鎌田　陽斗</t>
  </si>
  <si>
    <t xml:space="preserve">流通経大附柏高</t>
  </si>
  <si>
    <t xml:space="preserve">菅原　希一</t>
  </si>
  <si>
    <t xml:space="preserve">後藤　匠登</t>
  </si>
  <si>
    <t xml:space="preserve">立花　冬虎</t>
  </si>
  <si>
    <t xml:space="preserve">岡田　陸</t>
  </si>
  <si>
    <t xml:space="preserve">成田高</t>
  </si>
  <si>
    <t xml:space="preserve">増田　和旺</t>
  </si>
  <si>
    <t xml:space="preserve">坂本　結人</t>
  </si>
  <si>
    <t xml:space="preserve">河西　隼叶</t>
  </si>
  <si>
    <t xml:space="preserve">上伊那農高</t>
  </si>
  <si>
    <t xml:space="preserve">高橋　海斗</t>
  </si>
  <si>
    <t xml:space="preserve">落合　勇斗</t>
  </si>
  <si>
    <t xml:space="preserve">小山高</t>
  </si>
  <si>
    <t xml:space="preserve">山下　月渚</t>
  </si>
  <si>
    <t xml:space="preserve">平岡　悠</t>
  </si>
  <si>
    <t xml:space="preserve">村松　秀康</t>
  </si>
  <si>
    <t xml:space="preserve">大久保　武</t>
  </si>
  <si>
    <t xml:space="preserve">上甲　侑羽里</t>
  </si>
  <si>
    <t xml:space="preserve">山内　大矢</t>
  </si>
  <si>
    <t xml:space="preserve">杵築高</t>
  </si>
  <si>
    <t xml:space="preserve">丸山　遥輝</t>
  </si>
  <si>
    <t xml:space="preserve">栗本　陽向</t>
  </si>
  <si>
    <t xml:space="preserve">今西　爽介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</si>
  <si>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31:22</t>
    </r>
    <r>
      <rPr>
        <sz val="10"/>
        <color rgb="FF000000"/>
        <rFont val="WenQuanYi Zen Hei"/>
        <family val="2"/>
      </rPr>
      <t xml:space="preserve">）</t>
    </r>
  </si>
  <si>
    <t xml:space="preserve">古川　零唯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</si>
  <si>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30:20</t>
    </r>
    <r>
      <rPr>
        <sz val="10"/>
        <color rgb="FF000000"/>
        <rFont val="WenQuanYi Zen Hei"/>
        <family val="2"/>
      </rPr>
      <t xml:space="preserve">）</t>
    </r>
  </si>
  <si>
    <t xml:space="preserve">五所村央歩</t>
  </si>
  <si>
    <t xml:space="preserve">小松高</t>
  </si>
  <si>
    <t xml:space="preserve">斎藤　皐成</t>
  </si>
  <si>
    <t xml:space="preserve">鳴門高</t>
  </si>
  <si>
    <t xml:space="preserve">松川　睦月</t>
  </si>
  <si>
    <t xml:space="preserve">郡山高</t>
  </si>
  <si>
    <t xml:space="preserve">小野里　珀生</t>
  </si>
  <si>
    <t xml:space="preserve">田辺　颯梧</t>
  </si>
  <si>
    <t xml:space="preserve">時習館高</t>
  </si>
  <si>
    <t xml:space="preserve">臼井　礼翔</t>
  </si>
  <si>
    <t xml:space="preserve">阿久根　英駿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</si>
  <si>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9:32</t>
    </r>
    <r>
      <rPr>
        <sz val="10"/>
        <color rgb="FF000000"/>
        <rFont val="WenQuanYi Zen Hei"/>
        <family val="2"/>
      </rPr>
      <t xml:space="preserve">）</t>
    </r>
  </si>
  <si>
    <t xml:space="preserve">松野　政嵩</t>
  </si>
  <si>
    <t xml:space="preserve">前橋　快</t>
  </si>
  <si>
    <t xml:space="preserve">都福生高</t>
  </si>
  <si>
    <t xml:space="preserve">吉田　唯人</t>
  </si>
  <si>
    <t xml:space="preserve">延永　大和</t>
  </si>
  <si>
    <t xml:space="preserve">橋　 　海斗</t>
  </si>
  <si>
    <t xml:space="preserve">湯浅　紘翔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</si>
  <si>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30:08</t>
    </r>
    <r>
      <rPr>
        <sz val="10"/>
        <color rgb="FF000000"/>
        <rFont val="WenQuanYi Zen Hei"/>
        <family val="2"/>
      </rPr>
      <t xml:space="preserve">）</t>
    </r>
  </si>
  <si>
    <t xml:space="preserve">後閑　璃央希</t>
  </si>
  <si>
    <t xml:space="preserve">徳田　楓士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</si>
  <si>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24:55</t>
    </r>
    <r>
      <rPr>
        <sz val="10"/>
        <color rgb="FF000000"/>
        <rFont val="WenQuanYi Zen Hei"/>
        <family val="2"/>
      </rPr>
      <t xml:space="preserve">）</t>
    </r>
  </si>
  <si>
    <t xml:space="preserve">小島　大空</t>
  </si>
  <si>
    <t xml:space="preserve">湯田　幸明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</si>
  <si>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8:57</t>
    </r>
    <r>
      <rPr>
        <sz val="10"/>
        <color rgb="FF000000"/>
        <rFont val="WenQuanYi Zen Hei"/>
        <family val="2"/>
      </rPr>
      <t xml:space="preserve">）</t>
    </r>
  </si>
  <si>
    <t xml:space="preserve">大塚　春斗</t>
  </si>
  <si>
    <t xml:space="preserve">小坂　将人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</si>
  <si>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14:49</t>
    </r>
    <r>
      <rPr>
        <sz val="10"/>
        <color rgb="FF000000"/>
        <rFont val="WenQuanYi Zen Hei"/>
        <family val="2"/>
      </rPr>
      <t xml:space="preserve">）</t>
    </r>
  </si>
  <si>
    <t xml:space="preserve">福吉　輝</t>
  </si>
  <si>
    <t xml:space="preserve">鳳凰高</t>
  </si>
  <si>
    <t xml:space="preserve">片平　佳希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</si>
  <si>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25:30</t>
    </r>
    <r>
      <rPr>
        <sz val="10"/>
        <color rgb="FF000000"/>
        <rFont val="WenQuanYi Zen Hei"/>
        <family val="2"/>
      </rPr>
      <t xml:space="preserve">）</t>
    </r>
  </si>
  <si>
    <t xml:space="preserve">原　 　佑樹</t>
  </si>
  <si>
    <t xml:space="preserve">木村　裕世</t>
  </si>
  <si>
    <t xml:space="preserve">古里　理恭</t>
  </si>
  <si>
    <t xml:space="preserve">島田高</t>
  </si>
  <si>
    <t xml:space="preserve">吉村　琉翔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</si>
  <si>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25:32</t>
    </r>
    <r>
      <rPr>
        <sz val="10"/>
        <color rgb="FF000000"/>
        <rFont val="WenQuanYi Zen Hei"/>
        <family val="2"/>
      </rPr>
      <t xml:space="preserve">）</t>
    </r>
  </si>
  <si>
    <t xml:space="preserve">水上　颯祐</t>
  </si>
  <si>
    <t xml:space="preserve">坂梨　天飛</t>
  </si>
  <si>
    <t xml:space="preserve">中尾　駿佑</t>
  </si>
  <si>
    <t xml:space="preserve">膳所高</t>
  </si>
  <si>
    <t xml:space="preserve">小林　亮太</t>
  </si>
  <si>
    <t xml:space="preserve">諏訪清陵高</t>
  </si>
  <si>
    <t xml:space="preserve">巽　 　陽南太</t>
  </si>
  <si>
    <t xml:space="preserve">平川　遼真</t>
  </si>
  <si>
    <t xml:space="preserve">パウデルセトリ　ウマンガ</t>
  </si>
  <si>
    <t xml:space="preserve">瓊浦高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</si>
  <si>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25:27</t>
    </r>
    <r>
      <rPr>
        <sz val="10"/>
        <color rgb="FF000000"/>
        <rFont val="WenQuanYi Zen Hei"/>
        <family val="2"/>
      </rPr>
      <t xml:space="preserve">）</t>
    </r>
  </si>
  <si>
    <t xml:space="preserve">加藤　蒼礼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</si>
  <si>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24:53</t>
    </r>
    <r>
      <rPr>
        <sz val="10"/>
        <color rgb="FF000000"/>
        <rFont val="WenQuanYi Zen Hei"/>
        <family val="2"/>
      </rPr>
      <t xml:space="preserve">）</t>
    </r>
  </si>
  <si>
    <t xml:space="preserve">伊藤　魁夢</t>
  </si>
  <si>
    <t xml:space="preserve">開志国際高</t>
  </si>
  <si>
    <t xml:space="preserve">渡辺　斗愛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</si>
  <si>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25:25</t>
    </r>
    <r>
      <rPr>
        <sz val="10"/>
        <color rgb="FF000000"/>
        <rFont val="WenQuanYi Zen Hei"/>
        <family val="2"/>
      </rPr>
      <t xml:space="preserve">）</t>
    </r>
  </si>
  <si>
    <t xml:space="preserve">与那嶺　希</t>
  </si>
  <si>
    <t xml:space="preserve">エナジック</t>
  </si>
  <si>
    <t xml:space="preserve">早川　南人</t>
  </si>
  <si>
    <t xml:space="preserve">東海大附大阪仰星高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</si>
  <si>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25:20</t>
    </r>
    <r>
      <rPr>
        <sz val="10"/>
        <color rgb="FF000000"/>
        <rFont val="WenQuanYi Zen Hei"/>
        <family val="2"/>
      </rPr>
      <t xml:space="preserve">）</t>
    </r>
  </si>
  <si>
    <t xml:space="preserve">飯田　葵斗</t>
  </si>
  <si>
    <t xml:space="preserve">首藤　恵向</t>
  </si>
  <si>
    <t xml:space="preserve">大分西高</t>
  </si>
  <si>
    <t xml:space="preserve">阿部　敏人</t>
  </si>
  <si>
    <t xml:space="preserve">佐久間バラン　丈瑠</t>
  </si>
  <si>
    <t xml:space="preserve">佐伯　空叶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</si>
  <si>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8:38</t>
    </r>
    <r>
      <rPr>
        <sz val="10"/>
        <color rgb="FF000000"/>
        <rFont val="WenQuanYi Zen Hei"/>
        <family val="2"/>
      </rPr>
      <t xml:space="preserve">）</t>
    </r>
  </si>
  <si>
    <t xml:space="preserve">秋田　順哉</t>
  </si>
  <si>
    <t xml:space="preserve">岡崎北高</t>
  </si>
  <si>
    <t xml:space="preserve">校名表記：岡崎北／岡崎北高</t>
  </si>
  <si>
    <t xml:space="preserve">平田　未来</t>
  </si>
  <si>
    <t xml:space="preserve">下関中等高</t>
  </si>
  <si>
    <t xml:space="preserve">？？光寺　奏</t>
  </si>
  <si>
    <t xml:space="preserve">山口　蓮斗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</si>
  <si>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25:52</t>
    </r>
    <r>
      <rPr>
        <sz val="10"/>
        <color rgb="FF000000"/>
        <rFont val="WenQuanYi Zen Hei"/>
        <family val="2"/>
      </rPr>
      <t xml:space="preserve">）</t>
    </r>
  </si>
  <si>
    <t xml:space="preserve">中山　広太郎</t>
  </si>
  <si>
    <t xml:space="preserve">八戸学院光星高</t>
  </si>
  <si>
    <t xml:space="preserve">帖佐　宏哉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</si>
  <si>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8:48</t>
    </r>
    <r>
      <rPr>
        <sz val="10"/>
        <color rgb="FF000000"/>
        <rFont val="WenQuanYi Zen Hei"/>
        <family val="2"/>
      </rPr>
      <t xml:space="preserve">）</t>
    </r>
  </si>
  <si>
    <t xml:space="preserve">清光　理央</t>
  </si>
  <si>
    <t xml:space="preserve">多久和　竜空</t>
  </si>
  <si>
    <t xml:space="preserve">出雲工高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</si>
  <si>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32:32</t>
    </r>
    <r>
      <rPr>
        <sz val="10"/>
        <color rgb="FF000000"/>
        <rFont val="WenQuanYi Zen Hei"/>
        <family val="2"/>
      </rPr>
      <t xml:space="preserve">）</t>
    </r>
  </si>
  <si>
    <t xml:space="preserve">小池　亮太</t>
  </si>
  <si>
    <t xml:space="preserve">小森　友翔</t>
  </si>
  <si>
    <t xml:space="preserve">中湊　来輝</t>
  </si>
  <si>
    <t xml:space="preserve">高岡向陵高</t>
  </si>
  <si>
    <t xml:space="preserve">高田　大翔</t>
  </si>
  <si>
    <t xml:space="preserve">中嶋　大善</t>
  </si>
  <si>
    <t xml:space="preserve">安部　裕多</t>
  </si>
  <si>
    <t xml:space="preserve">つるぎ高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</si>
  <si>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30:56</t>
    </r>
    <r>
      <rPr>
        <sz val="10"/>
        <color rgb="FF000000"/>
        <rFont val="WenQuanYi Zen Hei"/>
        <family val="2"/>
      </rPr>
      <t xml:space="preserve">）</t>
    </r>
  </si>
  <si>
    <t xml:space="preserve">小林　昇太</t>
  </si>
  <si>
    <t xml:space="preserve">倉敷南高</t>
  </si>
  <si>
    <t xml:space="preserve">吉田　柊汰</t>
  </si>
  <si>
    <t xml:space="preserve">留萌高</t>
  </si>
  <si>
    <t xml:space="preserve">田代　倖大</t>
  </si>
  <si>
    <t xml:space="preserve">福田　圭一朗</t>
  </si>
  <si>
    <t xml:space="preserve">日大二高</t>
  </si>
  <si>
    <t xml:space="preserve">酒尾　朋希</t>
  </si>
  <si>
    <t xml:space="preserve">金沢泉丘高</t>
  </si>
  <si>
    <t xml:space="preserve">森谷　洵太</t>
  </si>
  <si>
    <t xml:space="preserve">高橋　千景</t>
  </si>
  <si>
    <t xml:space="preserve">大内　夏樹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</si>
  <si>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14:57</t>
    </r>
    <r>
      <rPr>
        <sz val="10"/>
        <color rgb="FF000000"/>
        <rFont val="WenQuanYi Zen Hei"/>
        <family val="2"/>
      </rPr>
      <t xml:space="preserve">）</t>
    </r>
  </si>
  <si>
    <t xml:space="preserve">沢口　煌己</t>
  </si>
  <si>
    <t xml:space="preserve">橋本　竜樹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</si>
  <si>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14:54</t>
    </r>
    <r>
      <rPr>
        <sz val="10"/>
        <color rgb="FF000000"/>
        <rFont val="WenQuanYi Zen Hei"/>
        <family val="2"/>
      </rPr>
      <t xml:space="preserve">）</t>
    </r>
  </si>
  <si>
    <t xml:space="preserve">鈴木　譲</t>
  </si>
  <si>
    <t xml:space="preserve">池上　颯</t>
  </si>
  <si>
    <t xml:space="preserve">竹内　雅功</t>
  </si>
  <si>
    <t xml:space="preserve">藤原　和樹</t>
  </si>
  <si>
    <t xml:space="preserve">就実高</t>
  </si>
  <si>
    <t xml:space="preserve">塚本　悠己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</si>
  <si>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8:51</t>
    </r>
    <r>
      <rPr>
        <sz val="10"/>
        <color rgb="FF000000"/>
        <rFont val="WenQuanYi Zen Hei"/>
        <family val="2"/>
      </rPr>
      <t xml:space="preserve">）</t>
    </r>
  </si>
  <si>
    <t xml:space="preserve">市来　健</t>
  </si>
  <si>
    <t xml:space="preserve">奈良学園高</t>
  </si>
  <si>
    <t xml:space="preserve">校名表記：奈良学園高・奈良高／奈良学園高</t>
  </si>
  <si>
    <t xml:space="preserve">高山　倖瑠</t>
  </si>
  <si>
    <t xml:space="preserve">札幌創成高</t>
  </si>
  <si>
    <t xml:space="preserve">塚本　悠都</t>
  </si>
  <si>
    <t xml:space="preserve">古田　旬</t>
  </si>
  <si>
    <t xml:space="preserve">鹿児島商高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</si>
  <si>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14:36</t>
    </r>
    <r>
      <rPr>
        <sz val="10"/>
        <color rgb="FF000000"/>
        <rFont val="WenQuanYi Zen Hei"/>
        <family val="2"/>
      </rPr>
      <t xml:space="preserve">）</t>
    </r>
  </si>
  <si>
    <t xml:space="preserve">鈴木　快斗</t>
  </si>
  <si>
    <t xml:space="preserve">山元　俊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</si>
  <si>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24:49</t>
    </r>
    <r>
      <rPr>
        <sz val="10"/>
        <color rgb="FF000000"/>
        <rFont val="WenQuanYi Zen Hei"/>
        <family val="2"/>
      </rPr>
      <t xml:space="preserve">）</t>
    </r>
  </si>
  <si>
    <t xml:space="preserve">伊藤　壮真</t>
  </si>
  <si>
    <t xml:space="preserve">ユ　 　ソンジェ</t>
  </si>
  <si>
    <t xml:space="preserve">蓑田　滉翔</t>
  </si>
  <si>
    <t xml:space="preserve">球磨工高</t>
  </si>
  <si>
    <t xml:space="preserve">長内　悠斗</t>
  </si>
  <si>
    <t xml:space="preserve">北海道栄高</t>
  </si>
  <si>
    <t xml:space="preserve">永井　弧</t>
  </si>
  <si>
    <t xml:space="preserve">山手学院高</t>
  </si>
  <si>
    <t xml:space="preserve">小山　秀太</t>
  </si>
  <si>
    <t xml:space="preserve">玉野光南高</t>
  </si>
  <si>
    <t xml:space="preserve">山下　綾太</t>
  </si>
  <si>
    <t xml:space="preserve">幕内　遥斗</t>
  </si>
  <si>
    <t xml:space="preserve">中村　龍希</t>
  </si>
  <si>
    <t xml:space="preserve">緒方　志道</t>
  </si>
  <si>
    <t xml:space="preserve">唐内　陽太</t>
  </si>
  <si>
    <t xml:space="preserve">山本　陽心</t>
  </si>
  <si>
    <t xml:space="preserve">佐藤　瑠維</t>
  </si>
  <si>
    <t xml:space="preserve">利府高</t>
  </si>
  <si>
    <t xml:space="preserve">堀之内　悠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</si>
  <si>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15:00</t>
    </r>
    <r>
      <rPr>
        <sz val="10"/>
        <color rgb="FF000000"/>
        <rFont val="WenQuanYi Zen Hei"/>
        <family val="2"/>
      </rPr>
      <t xml:space="preserve">）</t>
    </r>
  </si>
  <si>
    <t xml:space="preserve">久保田　航陽</t>
  </si>
  <si>
    <t xml:space="preserve">県伊丹高</t>
  </si>
  <si>
    <t xml:space="preserve">永井　琉惺</t>
  </si>
  <si>
    <t xml:space="preserve">富沢　奏太</t>
  </si>
  <si>
    <t xml:space="preserve">十日町高</t>
  </si>
  <si>
    <t xml:space="preserve">紅林　明希</t>
  </si>
  <si>
    <t xml:space="preserve">甲斐蒼心朗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</si>
  <si>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32:04</t>
    </r>
    <r>
      <rPr>
        <sz val="10"/>
        <color rgb="FF000000"/>
        <rFont val="WenQuanYi Zen Hei"/>
        <family val="2"/>
      </rPr>
      <t xml:space="preserve">）</t>
    </r>
  </si>
  <si>
    <t xml:space="preserve">前沢　聡良</t>
  </si>
  <si>
    <t xml:space="preserve">甲斐　偉知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</si>
  <si>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14:22</t>
    </r>
    <r>
      <rPr>
        <sz val="10"/>
        <color rgb="FF000000"/>
        <rFont val="WenQuanYi Zen Hei"/>
        <family val="2"/>
      </rPr>
      <t xml:space="preserve">）</t>
    </r>
  </si>
  <si>
    <t xml:space="preserve">妹尾　太希</t>
  </si>
  <si>
    <t xml:space="preserve">桜井　大翔</t>
  </si>
  <si>
    <t xml:space="preserve">柳　 　晴也</t>
  </si>
  <si>
    <t xml:space="preserve">土浦日大中等高</t>
  </si>
  <si>
    <t xml:space="preserve">御手洗　創太</t>
  </si>
  <si>
    <t xml:space="preserve">藤蔭高</t>
  </si>
  <si>
    <t xml:space="preserve">稲田　春樹</t>
  </si>
  <si>
    <t xml:space="preserve">松山東高</t>
  </si>
  <si>
    <t xml:space="preserve">大塚　亮仁</t>
  </si>
  <si>
    <t xml:space="preserve">伊藤　春弥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</si>
  <si>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15:49</t>
    </r>
    <r>
      <rPr>
        <sz val="10"/>
        <color rgb="FF000000"/>
        <rFont val="WenQuanYi Zen Hei"/>
        <family val="2"/>
      </rPr>
      <t xml:space="preserve">）</t>
    </r>
  </si>
  <si>
    <t xml:space="preserve">猪原　颯空</t>
  </si>
  <si>
    <t xml:space="preserve">谷　 　弘明</t>
  </si>
  <si>
    <t xml:space="preserve">大沼　慶汰</t>
  </si>
  <si>
    <t xml:space="preserve">韮山高</t>
  </si>
  <si>
    <t xml:space="preserve">菅野　一陽</t>
  </si>
  <si>
    <t xml:space="preserve">佐野　陽大</t>
  </si>
  <si>
    <t xml:space="preserve">小野　凛人</t>
  </si>
  <si>
    <t xml:space="preserve">服部　大翔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</si>
  <si>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9:33</t>
    </r>
    <r>
      <rPr>
        <sz val="10"/>
        <color rgb="FF000000"/>
        <rFont val="WenQuanYi Zen Hei"/>
        <family val="2"/>
      </rPr>
      <t xml:space="preserve">）</t>
    </r>
  </si>
  <si>
    <t xml:space="preserve">藤川　蓮丸</t>
  </si>
  <si>
    <t xml:space="preserve">湘南高</t>
  </si>
  <si>
    <t xml:space="preserve">太田　寛人</t>
  </si>
  <si>
    <t xml:space="preserve">竹内　大聖</t>
  </si>
  <si>
    <t xml:space="preserve">清藤　優成</t>
  </si>
  <si>
    <t xml:space="preserve">梅野　陽成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</si>
  <si>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8:25</t>
    </r>
    <r>
      <rPr>
        <sz val="10"/>
        <color rgb="FF000000"/>
        <rFont val="WenQuanYi Zen Hei"/>
        <family val="2"/>
      </rPr>
      <t xml:space="preserve">）</t>
    </r>
  </si>
  <si>
    <t xml:space="preserve">黒田　創太</t>
  </si>
  <si>
    <t xml:space="preserve">校名表記：名経大高蔵／名古屋経大高蔵高</t>
  </si>
  <si>
    <t xml:space="preserve">梶　 　悠馬</t>
  </si>
  <si>
    <t xml:space="preserve">大塚　晴翔</t>
  </si>
  <si>
    <t xml:space="preserve">天草工高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</si>
  <si>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25:49</t>
    </r>
    <r>
      <rPr>
        <sz val="10"/>
        <color rgb="FF000000"/>
        <rFont val="WenQuanYi Zen Hei"/>
        <family val="2"/>
      </rPr>
      <t xml:space="preserve">）</t>
    </r>
  </si>
  <si>
    <t xml:space="preserve">堀江　昊</t>
  </si>
  <si>
    <t xml:space="preserve">大阪陸協</t>
  </si>
  <si>
    <t xml:space="preserve">上田　蒼大</t>
  </si>
  <si>
    <t xml:space="preserve">遠藤　風翔</t>
  </si>
  <si>
    <t xml:space="preserve">奥田　瑛太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</si>
  <si>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25:44</t>
    </r>
    <r>
      <rPr>
        <sz val="10"/>
        <color rgb="FF000000"/>
        <rFont val="WenQuanYi Zen Hei"/>
        <family val="2"/>
      </rPr>
      <t xml:space="preserve">）</t>
    </r>
  </si>
  <si>
    <t xml:space="preserve">後藤　遥希</t>
  </si>
  <si>
    <t xml:space="preserve">浦田　稜誠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</si>
  <si>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8:47</t>
    </r>
    <r>
      <rPr>
        <sz val="10"/>
        <color rgb="FF000000"/>
        <rFont val="WenQuanYi Zen Hei"/>
        <family val="2"/>
      </rPr>
      <t xml:space="preserve">）</t>
    </r>
  </si>
  <si>
    <t xml:space="preserve">？？村　悠希</t>
  </si>
  <si>
    <t xml:space="preserve">長原　淳志</t>
  </si>
  <si>
    <t xml:space="preserve">徳田　湊介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</si>
  <si>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9:31</t>
    </r>
    <r>
      <rPr>
        <sz val="10"/>
        <color rgb="FF000000"/>
        <rFont val="WenQuanYi Zen Hei"/>
        <family val="2"/>
      </rPr>
      <t xml:space="preserve">）</t>
    </r>
  </si>
  <si>
    <t xml:space="preserve">大木　陽輝</t>
  </si>
  <si>
    <t xml:space="preserve">佐藤　舷</t>
  </si>
  <si>
    <t xml:space="preserve">藤原　瑞希</t>
  </si>
  <si>
    <t xml:space="preserve">岩木　美雄</t>
  </si>
  <si>
    <t xml:space="preserve">新坂上　爽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</si>
  <si>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24:39</t>
    </r>
    <r>
      <rPr>
        <sz val="10"/>
        <color rgb="FF000000"/>
        <rFont val="WenQuanYi Zen Hei"/>
        <family val="2"/>
      </rPr>
      <t xml:space="preserve">）</t>
    </r>
  </si>
  <si>
    <t xml:space="preserve">桑原　蓮</t>
  </si>
  <si>
    <t xml:space="preserve">東海大菅生高</t>
  </si>
  <si>
    <t xml:space="preserve">松井　蓮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</si>
  <si>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14:57</t>
    </r>
    <r>
      <rPr>
        <sz val="10"/>
        <color rgb="FF000000"/>
        <rFont val="WenQuanYi Zen Hei"/>
        <family val="2"/>
      </rPr>
      <t xml:space="preserve">）</t>
    </r>
  </si>
  <si>
    <t xml:space="preserve">鈴木　隆斗</t>
  </si>
  <si>
    <t xml:space="preserve">黒木　玲雄</t>
  </si>
  <si>
    <t xml:space="preserve">渡部　航晟</t>
  </si>
  <si>
    <t xml:space="preserve">氏田　優大</t>
  </si>
  <si>
    <t xml:space="preserve">矢板東高</t>
  </si>
  <si>
    <t xml:space="preserve">飯山　吏央</t>
  </si>
  <si>
    <t xml:space="preserve">涌嶋　洋輝</t>
  </si>
  <si>
    <t xml:space="preserve">斎田　真也</t>
  </si>
  <si>
    <t xml:space="preserve">真壁　海翔</t>
  </si>
  <si>
    <t xml:space="preserve">牧田　隼知</t>
  </si>
  <si>
    <t xml:space="preserve">堀口　蓮月</t>
  </si>
  <si>
    <t xml:space="preserve">隅田　圭太</t>
  </si>
  <si>
    <t xml:space="preserve">ハサヌディン　知輝</t>
  </si>
  <si>
    <t xml:space="preserve">堀木　朝日</t>
  </si>
  <si>
    <t xml:space="preserve">水島　征士</t>
  </si>
  <si>
    <t xml:space="preserve">北原　稜大</t>
  </si>
  <si>
    <t xml:space="preserve">聖和学園高</t>
  </si>
  <si>
    <t xml:space="preserve">蔵重　椋太</t>
  </si>
  <si>
    <t xml:space="preserve">岡山商大附高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</si>
  <si>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14:55</t>
    </r>
    <r>
      <rPr>
        <sz val="10"/>
        <color rgb="FF000000"/>
        <rFont val="WenQuanYi Zen Hei"/>
        <family val="2"/>
      </rPr>
      <t xml:space="preserve">）</t>
    </r>
  </si>
  <si>
    <t xml:space="preserve">野沢　岳己</t>
  </si>
  <si>
    <t xml:space="preserve">藤井　洵太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</si>
  <si>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24:55</t>
    </r>
    <r>
      <rPr>
        <sz val="10"/>
        <color rgb="FF000000"/>
        <rFont val="WenQuanYi Zen Hei"/>
        <family val="2"/>
      </rPr>
      <t xml:space="preserve">）</t>
    </r>
  </si>
  <si>
    <t xml:space="preserve">森　 　雄太郎</t>
  </si>
  <si>
    <t xml:space="preserve">谷　 　康平</t>
  </si>
  <si>
    <t xml:space="preserve">新美　昴征</t>
  </si>
  <si>
    <t xml:space="preserve">岩佐　仁誠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</si>
  <si>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25:17</t>
    </r>
    <r>
      <rPr>
        <sz val="10"/>
        <color rgb="FF000000"/>
        <rFont val="WenQuanYi Zen Hei"/>
        <family val="2"/>
      </rPr>
      <t xml:space="preserve">）</t>
    </r>
  </si>
  <si>
    <t xml:space="preserve">駒沢　直弥</t>
  </si>
  <si>
    <t xml:space="preserve">俣野　煌太</t>
  </si>
  <si>
    <t xml:space="preserve">高木　郁真</t>
  </si>
  <si>
    <t xml:space="preserve">武　 　蓮之介</t>
  </si>
  <si>
    <t xml:space="preserve">松陽高</t>
  </si>
  <si>
    <t xml:space="preserve">内田　純明</t>
  </si>
  <si>
    <t xml:space="preserve">角舘　歩樹</t>
  </si>
  <si>
    <t xml:space="preserve">木村　樹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</si>
  <si>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8:59</t>
    </r>
    <r>
      <rPr>
        <sz val="10"/>
        <color rgb="FF000000"/>
        <rFont val="WenQuanYi Zen Hei"/>
        <family val="2"/>
      </rPr>
      <t xml:space="preserve">）</t>
    </r>
  </si>
  <si>
    <t xml:space="preserve">渡部　太晴</t>
  </si>
  <si>
    <t xml:space="preserve">山形南高</t>
  </si>
  <si>
    <t xml:space="preserve">三品　陸斗</t>
  </si>
  <si>
    <t xml:space="preserve">柴田高</t>
  </si>
  <si>
    <t xml:space="preserve">小原　大河</t>
  </si>
  <si>
    <t xml:space="preserve">横田　滉介</t>
  </si>
  <si>
    <t xml:space="preserve">泊　 　博聖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</si>
  <si>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25:45</t>
    </r>
    <r>
      <rPr>
        <sz val="10"/>
        <color rgb="FF000000"/>
        <rFont val="WenQuanYi Zen Hei"/>
        <family val="2"/>
      </rPr>
      <t xml:space="preserve">）</t>
    </r>
  </si>
  <si>
    <t xml:space="preserve">高橋　優輝</t>
  </si>
  <si>
    <t xml:space="preserve">箕浦　悠人</t>
  </si>
  <si>
    <t xml:space="preserve">酒井　大空</t>
  </si>
  <si>
    <t xml:space="preserve">杉原　跳</t>
  </si>
  <si>
    <t xml:space="preserve">手島　雄大</t>
  </si>
  <si>
    <t xml:space="preserve">近藤　勝</t>
  </si>
  <si>
    <t xml:space="preserve">鳴瀬　夏輝</t>
  </si>
  <si>
    <t xml:space="preserve">青雲高</t>
  </si>
  <si>
    <t xml:space="preserve">沖野　佑太</t>
  </si>
  <si>
    <t xml:space="preserve">河村　拓真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</si>
  <si>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25:37</t>
    </r>
    <r>
      <rPr>
        <sz val="10"/>
        <color rgb="FF000000"/>
        <rFont val="WenQuanYi Zen Hei"/>
        <family val="2"/>
      </rPr>
      <t xml:space="preserve">）</t>
    </r>
  </si>
  <si>
    <t xml:space="preserve">竹田　雅矢</t>
  </si>
  <si>
    <t xml:space="preserve">吉園　清広</t>
  </si>
  <si>
    <t xml:space="preserve">古子璃陽翔</t>
  </si>
  <si>
    <t xml:space="preserve">山口　由翔</t>
  </si>
  <si>
    <t xml:space="preserve">長浜　泰正</t>
  </si>
  <si>
    <t xml:space="preserve">糸満高</t>
  </si>
  <si>
    <t xml:space="preserve">吉池　光賀</t>
  </si>
  <si>
    <t xml:space="preserve">加藤学園高</t>
  </si>
  <si>
    <t xml:space="preserve">梅月健太朗</t>
  </si>
  <si>
    <t xml:space="preserve">門司学園高</t>
  </si>
  <si>
    <t xml:space="preserve">斎藤　颯馬</t>
  </si>
  <si>
    <t xml:space="preserve">大辻　剛己</t>
  </si>
  <si>
    <t xml:space="preserve">古川　羽琉</t>
  </si>
  <si>
    <t xml:space="preserve">佐伯麟太朗</t>
  </si>
  <si>
    <t xml:space="preserve">富田　秀太</t>
  </si>
  <si>
    <t xml:space="preserve">佐藤　大叶</t>
  </si>
  <si>
    <t xml:space="preserve">石原　和明</t>
  </si>
  <si>
    <t xml:space="preserve">川和高</t>
  </si>
  <si>
    <t xml:space="preserve">菊地　晴空</t>
  </si>
  <si>
    <t xml:space="preserve">仙台二高</t>
  </si>
  <si>
    <t xml:space="preserve">木村　雄太</t>
  </si>
  <si>
    <t xml:space="preserve">要田　芽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</si>
  <si>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25:55</t>
    </r>
    <r>
      <rPr>
        <sz val="10"/>
        <color rgb="FF000000"/>
        <rFont val="WenQuanYi Zen Hei"/>
        <family val="2"/>
      </rPr>
      <t xml:space="preserve">）</t>
    </r>
  </si>
  <si>
    <t xml:space="preserve">川那子　叶有</t>
  </si>
  <si>
    <t xml:space="preserve">保善高</t>
  </si>
  <si>
    <t xml:space="preserve">猿渡　結斗</t>
  </si>
  <si>
    <t xml:space="preserve">本多　蒼士</t>
  </si>
  <si>
    <t xml:space="preserve">藤原　昴</t>
  </si>
  <si>
    <t xml:space="preserve">渡辺　諒太</t>
  </si>
  <si>
    <t xml:space="preserve">梶川　遼平</t>
  </si>
  <si>
    <t xml:space="preserve">川越東高</t>
  </si>
  <si>
    <t xml:space="preserve">渡辺　朝陽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</si>
  <si>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15:24</t>
    </r>
    <r>
      <rPr>
        <sz val="10"/>
        <color rgb="FF000000"/>
        <rFont val="WenQuanYi Zen Hei"/>
        <family val="2"/>
      </rPr>
      <t xml:space="preserve">）</t>
    </r>
  </si>
  <si>
    <t xml:space="preserve">内山　航太</t>
  </si>
  <si>
    <t xml:space="preserve">浜松南高</t>
  </si>
  <si>
    <t xml:space="preserve">若林　祥汰</t>
  </si>
  <si>
    <t xml:space="preserve">川口高</t>
  </si>
  <si>
    <t xml:space="preserve">小谷　悠希</t>
  </si>
  <si>
    <t xml:space="preserve">松江高専</t>
  </si>
  <si>
    <t xml:space="preserve">小林　嵩志</t>
  </si>
  <si>
    <t xml:space="preserve">会津学鳳高</t>
  </si>
  <si>
    <t xml:space="preserve">野崎　友稀</t>
  </si>
  <si>
    <t xml:space="preserve">米山　幸汰</t>
  </si>
  <si>
    <t xml:space="preserve">吉野　絢信</t>
  </si>
  <si>
    <t xml:space="preserve">四日市工高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</si>
  <si>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25:43</t>
    </r>
    <r>
      <rPr>
        <sz val="10"/>
        <color rgb="FF000000"/>
        <rFont val="WenQuanYi Zen Hei"/>
        <family val="2"/>
      </rPr>
      <t xml:space="preserve">）</t>
    </r>
  </si>
  <si>
    <t xml:space="preserve">福留　晴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</si>
  <si>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17:20</t>
    </r>
    <r>
      <rPr>
        <sz val="10"/>
        <color rgb="FF000000"/>
        <rFont val="WenQuanYi Zen Hei"/>
        <family val="2"/>
      </rPr>
      <t xml:space="preserve">）</t>
    </r>
  </si>
  <si>
    <t xml:space="preserve">山本　陸人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</si>
  <si>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15:22</t>
    </r>
    <r>
      <rPr>
        <sz val="10"/>
        <color rgb="FF000000"/>
        <rFont val="WenQuanYi Zen Hei"/>
        <family val="2"/>
      </rPr>
      <t xml:space="preserve">）</t>
    </r>
  </si>
  <si>
    <t xml:space="preserve">橘龍輝</t>
  </si>
  <si>
    <t xml:space="preserve">浜松市立高</t>
  </si>
  <si>
    <t xml:space="preserve">渡辺　翔弥</t>
  </si>
  <si>
    <t xml:space="preserve">柳　 　敬隼</t>
  </si>
  <si>
    <t xml:space="preserve">日本文理高</t>
  </si>
  <si>
    <t xml:space="preserve">滝田　竜輔</t>
  </si>
  <si>
    <t xml:space="preserve">佐藤　光平</t>
  </si>
  <si>
    <t xml:space="preserve">新潟明訓高</t>
  </si>
  <si>
    <t xml:space="preserve">田中　晴久</t>
  </si>
  <si>
    <t xml:space="preserve">山口高</t>
  </si>
  <si>
    <t xml:space="preserve">畑井　海翔</t>
  </si>
  <si>
    <t xml:space="preserve">水口東高</t>
  </si>
  <si>
    <t xml:space="preserve">阿部　陽真</t>
  </si>
  <si>
    <t xml:space="preserve">表　 　結翔</t>
  </si>
  <si>
    <t xml:space="preserve">斐太高</t>
  </si>
  <si>
    <t xml:space="preserve">安達　蒼一郎</t>
  </si>
  <si>
    <t xml:space="preserve">北野　寛大</t>
  </si>
  <si>
    <t xml:space="preserve">遊学館高</t>
  </si>
  <si>
    <t xml:space="preserve">山川　瑛輔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</si>
  <si>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8:46</t>
    </r>
    <r>
      <rPr>
        <sz val="10"/>
        <color rgb="FF000000"/>
        <rFont val="WenQuanYi Zen Hei"/>
        <family val="2"/>
      </rPr>
      <t xml:space="preserve">）</t>
    </r>
  </si>
  <si>
    <t xml:space="preserve">畔柳　圭佑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</si>
  <si>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8:51</t>
    </r>
    <r>
      <rPr>
        <sz val="10"/>
        <color rgb="FF000000"/>
        <rFont val="WenQuanYi Zen Hei"/>
        <family val="2"/>
      </rPr>
      <t xml:space="preserve">）</t>
    </r>
  </si>
  <si>
    <t xml:space="preserve">小林　慶信</t>
  </si>
  <si>
    <t xml:space="preserve">海星高</t>
  </si>
  <si>
    <t xml:space="preserve">小林　拓人</t>
  </si>
  <si>
    <t xml:space="preserve">内村　凌</t>
  </si>
  <si>
    <t xml:space="preserve">森　 　悠豪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</si>
  <si>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32:09</t>
    </r>
    <r>
      <rPr>
        <sz val="10"/>
        <color rgb="FF000000"/>
        <rFont val="WenQuanYi Zen Hei"/>
        <family val="2"/>
      </rPr>
      <t xml:space="preserve">）</t>
    </r>
  </si>
  <si>
    <t xml:space="preserve">今田　旺輝</t>
  </si>
  <si>
    <t xml:space="preserve">広島工大高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</si>
  <si>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9:16</t>
    </r>
    <r>
      <rPr>
        <sz val="10"/>
        <color rgb="FF000000"/>
        <rFont val="WenQuanYi Zen Hei"/>
        <family val="2"/>
      </rPr>
      <t xml:space="preserve">）</t>
    </r>
  </si>
  <si>
    <t xml:space="preserve">坂下　漣</t>
  </si>
  <si>
    <t xml:space="preserve">池田　琢真</t>
  </si>
  <si>
    <t xml:space="preserve">島崎　凌雅</t>
  </si>
  <si>
    <t xml:space="preserve">永田　和門</t>
  </si>
  <si>
    <t xml:space="preserve">高岸　笑輝</t>
  </si>
  <si>
    <t xml:space="preserve">篠田龍之介</t>
  </si>
  <si>
    <t xml:space="preserve">柳　 　琉生</t>
  </si>
  <si>
    <t xml:space="preserve">新潟陸協</t>
  </si>
  <si>
    <t xml:space="preserve">田中　煌晟</t>
  </si>
  <si>
    <t xml:space="preserve">深谷　春綺</t>
  </si>
  <si>
    <t xml:space="preserve">太田一高</t>
  </si>
  <si>
    <t xml:space="preserve">井野　晃希</t>
  </si>
  <si>
    <t xml:space="preserve">飯島　健椰</t>
  </si>
  <si>
    <t xml:space="preserve">御殿場西高</t>
  </si>
  <si>
    <t xml:space="preserve">筈谷　育生</t>
  </si>
  <si>
    <t xml:space="preserve">菊池　蒼海</t>
  </si>
  <si>
    <t xml:space="preserve">花巻北高</t>
  </si>
  <si>
    <t xml:space="preserve">泉　 　幸太郎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</si>
  <si>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9:43</t>
    </r>
    <r>
      <rPr>
        <sz val="10"/>
        <color rgb="FF000000"/>
        <rFont val="WenQuanYi Zen Hei"/>
        <family val="2"/>
      </rPr>
      <t xml:space="preserve">）</t>
    </r>
  </si>
  <si>
    <t xml:space="preserve">脇川　大輝</t>
  </si>
  <si>
    <t xml:space="preserve">阿見ＡＣ</t>
  </si>
  <si>
    <t xml:space="preserve">武者　篤樹</t>
  </si>
  <si>
    <t xml:space="preserve">新発田南高</t>
  </si>
  <si>
    <t xml:space="preserve">山口　伯流</t>
  </si>
  <si>
    <t xml:space="preserve">拓大紅陵高</t>
  </si>
  <si>
    <t xml:space="preserve">川崎　莉空</t>
  </si>
  <si>
    <t xml:space="preserve">国分　駈</t>
  </si>
  <si>
    <t xml:space="preserve">山川　幹大</t>
  </si>
  <si>
    <t xml:space="preserve">慶応志木高</t>
  </si>
  <si>
    <t xml:space="preserve">松本　辿翔</t>
  </si>
  <si>
    <t xml:space="preserve">長谷沼　伶皇</t>
  </si>
  <si>
    <t xml:space="preserve">会津若松ザベリオ学園高</t>
  </si>
  <si>
    <t xml:space="preserve">西中川　和馬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</si>
  <si>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24:49</t>
    </r>
    <r>
      <rPr>
        <sz val="10"/>
        <color rgb="FF000000"/>
        <rFont val="WenQuanYi Zen Hei"/>
        <family val="2"/>
      </rPr>
      <t xml:space="preserve">）</t>
    </r>
  </si>
  <si>
    <t xml:space="preserve">三上　大蔵</t>
  </si>
  <si>
    <t xml:space="preserve">奥園　一颯</t>
  </si>
  <si>
    <t xml:space="preserve">鈴木　李空</t>
  </si>
  <si>
    <t xml:space="preserve">森口　能有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</si>
  <si>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9:45</t>
    </r>
    <r>
      <rPr>
        <sz val="10"/>
        <color rgb="FF000000"/>
        <rFont val="WenQuanYi Zen Hei"/>
        <family val="2"/>
      </rPr>
      <t xml:space="preserve">）</t>
    </r>
  </si>
  <si>
    <t xml:space="preserve">高田　有希也</t>
  </si>
  <si>
    <t xml:space="preserve">山本　歩</t>
  </si>
  <si>
    <t xml:space="preserve">神港学園高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</si>
  <si>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15:12</t>
    </r>
    <r>
      <rPr>
        <sz val="10"/>
        <color rgb="FF000000"/>
        <rFont val="WenQuanYi Zen Hei"/>
        <family val="2"/>
      </rPr>
      <t xml:space="preserve">）</t>
    </r>
  </si>
  <si>
    <t xml:space="preserve">イレチュク　エゼブライアン</t>
  </si>
  <si>
    <t xml:space="preserve">豊岡高</t>
  </si>
  <si>
    <t xml:space="preserve">山本　竣介</t>
  </si>
  <si>
    <t xml:space="preserve">松本　翔聖</t>
  </si>
  <si>
    <t xml:space="preserve">山本　蓮</t>
  </si>
  <si>
    <t xml:space="preserve">小野高</t>
  </si>
  <si>
    <t xml:space="preserve">畠山　瑠仁</t>
  </si>
  <si>
    <t xml:space="preserve">高知商高</t>
  </si>
  <si>
    <t xml:space="preserve">伊藤　謙伸</t>
  </si>
  <si>
    <t xml:space="preserve">平田高</t>
  </si>
  <si>
    <t xml:space="preserve">杉林　雅斗</t>
  </si>
  <si>
    <t xml:space="preserve">渡辺　永遠</t>
  </si>
  <si>
    <t xml:space="preserve">森永　和杜</t>
  </si>
  <si>
    <t xml:space="preserve">川内高</t>
  </si>
  <si>
    <t xml:space="preserve">南川　雄界</t>
  </si>
  <si>
    <t xml:space="preserve">太田　健翔</t>
  </si>
  <si>
    <t xml:space="preserve">小田原高</t>
  </si>
  <si>
    <t xml:space="preserve">長谷川　晧平</t>
  </si>
  <si>
    <t xml:space="preserve">桐蔭学園高</t>
  </si>
  <si>
    <t xml:space="preserve">相馬　瑞樹</t>
  </si>
  <si>
    <t xml:space="preserve">中越高</t>
  </si>
  <si>
    <t xml:space="preserve">広町　優信</t>
  </si>
  <si>
    <t xml:space="preserve">若嶋　梨公</t>
  </si>
  <si>
    <t xml:space="preserve">福崎　子竜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</si>
  <si>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8:57</t>
    </r>
    <r>
      <rPr>
        <sz val="10"/>
        <color rgb="FF000000"/>
        <rFont val="WenQuanYi Zen Hei"/>
        <family val="2"/>
      </rPr>
      <t xml:space="preserve">）</t>
    </r>
  </si>
  <si>
    <t xml:space="preserve">保　 　道豊</t>
  </si>
  <si>
    <t xml:space="preserve">大東第一高</t>
  </si>
  <si>
    <t xml:space="preserve">竹内　琉カ</t>
  </si>
  <si>
    <t xml:space="preserve">米山　煌星</t>
  </si>
  <si>
    <t xml:space="preserve">井上　彩人</t>
  </si>
  <si>
    <t xml:space="preserve">鈴木　涼太</t>
  </si>
  <si>
    <t xml:space="preserve">ＡＵ，　Ｈｏ　Ｃｈｕｎ</t>
  </si>
  <si>
    <t xml:space="preserve">-</t>
  </si>
  <si>
    <t xml:space="preserve">山崎　倫太郎</t>
  </si>
  <si>
    <t xml:space="preserve">指宿商高</t>
  </si>
  <si>
    <t xml:space="preserve">橋本　力輝</t>
  </si>
  <si>
    <t xml:space="preserve">橋本　悠真</t>
  </si>
  <si>
    <t xml:space="preserve">もとみや市駅伝高</t>
  </si>
  <si>
    <t xml:space="preserve">同名の別選手あり（安積高）</t>
  </si>
  <si>
    <t xml:space="preserve">重藤　浩太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</si>
  <si>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8:50</t>
    </r>
    <r>
      <rPr>
        <sz val="10"/>
        <color rgb="FF000000"/>
        <rFont val="WenQuanYi Zen Hei"/>
        <family val="2"/>
      </rPr>
      <t xml:space="preserve">）</t>
    </r>
  </si>
  <si>
    <t xml:space="preserve">田丸　剣人</t>
  </si>
  <si>
    <t xml:space="preserve">中島　宝良</t>
  </si>
  <si>
    <t xml:space="preserve">北島　煕将</t>
  </si>
  <si>
    <t xml:space="preserve">北野高</t>
  </si>
  <si>
    <t xml:space="preserve">横尾　俊介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</si>
  <si>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14:45</t>
    </r>
    <r>
      <rPr>
        <sz val="10"/>
        <color rgb="FF000000"/>
        <rFont val="WenQuanYi Zen Hei"/>
        <family val="2"/>
      </rPr>
      <t xml:space="preserve">）</t>
    </r>
  </si>
  <si>
    <t xml:space="preserve">砂浪　悠人</t>
  </si>
  <si>
    <t xml:space="preserve">近大附福岡高</t>
  </si>
  <si>
    <t xml:space="preserve">浜松　栄汰</t>
  </si>
  <si>
    <t xml:space="preserve">呉高</t>
  </si>
  <si>
    <t xml:space="preserve">校名表記：呉高専／呉高</t>
  </si>
  <si>
    <t xml:space="preserve">西尾　翔基</t>
  </si>
  <si>
    <t xml:space="preserve">田渕　琥杜嗣</t>
  </si>
  <si>
    <t xml:space="preserve">逗子開成高</t>
  </si>
  <si>
    <t xml:space="preserve">藤井　颯真</t>
  </si>
  <si>
    <t xml:space="preserve">井上　陽人</t>
  </si>
  <si>
    <t xml:space="preserve">曽我部　彪太</t>
  </si>
  <si>
    <t xml:space="preserve">新居浜西高</t>
  </si>
  <si>
    <t xml:space="preserve">小坂　拓生</t>
  </si>
  <si>
    <t xml:space="preserve">北川　仁貴</t>
  </si>
  <si>
    <t xml:space="preserve">平　 　龍将</t>
  </si>
  <si>
    <t xml:space="preserve">西岡　壱航</t>
  </si>
  <si>
    <t xml:space="preserve">富岡東高</t>
  </si>
  <si>
    <t xml:space="preserve">森　 　悠晴</t>
  </si>
  <si>
    <t xml:space="preserve">鈴木　秀宙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</si>
  <si>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9:41</t>
    </r>
    <r>
      <rPr>
        <sz val="10"/>
        <color rgb="FF000000"/>
        <rFont val="WenQuanYi Zen Hei"/>
        <family val="2"/>
      </rPr>
      <t xml:space="preserve">）</t>
    </r>
  </si>
  <si>
    <t xml:space="preserve">山口　穣次</t>
  </si>
  <si>
    <t xml:space="preserve">井上　漣</t>
  </si>
  <si>
    <t xml:space="preserve">渡辺　真之亮</t>
  </si>
  <si>
    <t xml:space="preserve">鈴木　稜空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</si>
  <si>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15:38</t>
    </r>
    <r>
      <rPr>
        <sz val="10"/>
        <color rgb="FF000000"/>
        <rFont val="WenQuanYi Zen Hei"/>
        <family val="2"/>
      </rPr>
      <t xml:space="preserve">）</t>
    </r>
  </si>
  <si>
    <t xml:space="preserve">小野　芽久斗</t>
  </si>
  <si>
    <t xml:space="preserve">英明高</t>
  </si>
  <si>
    <t xml:space="preserve">桑原　琉之介</t>
  </si>
  <si>
    <t xml:space="preserve">桐生工高</t>
  </si>
  <si>
    <t xml:space="preserve">宮崎　愛大</t>
  </si>
  <si>
    <t xml:space="preserve">今野　怜</t>
  </si>
  <si>
    <t xml:space="preserve">小森谷　奏太</t>
  </si>
  <si>
    <t xml:space="preserve">永瀬　楓真</t>
  </si>
  <si>
    <t xml:space="preserve">中村　栄斗</t>
  </si>
  <si>
    <t xml:space="preserve">浜松西高</t>
  </si>
  <si>
    <t xml:space="preserve">折田　一篤</t>
  </si>
  <si>
    <t xml:space="preserve">石川　颯人</t>
  </si>
  <si>
    <t xml:space="preserve">大西　詩音</t>
  </si>
  <si>
    <t xml:space="preserve">上津原　啓介</t>
  </si>
  <si>
    <t xml:space="preserve">新井　煌世</t>
  </si>
  <si>
    <t xml:space="preserve">村松　丈慈</t>
  </si>
  <si>
    <t xml:space="preserve">藤野　光葉</t>
  </si>
  <si>
    <t xml:space="preserve">早田　悠希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</si>
  <si>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8:48</t>
    </r>
    <r>
      <rPr>
        <sz val="10"/>
        <color rgb="FF000000"/>
        <rFont val="WenQuanYi Zen Hei"/>
        <family val="2"/>
      </rPr>
      <t xml:space="preserve">）</t>
    </r>
  </si>
  <si>
    <t xml:space="preserve">西田　真央</t>
  </si>
  <si>
    <t xml:space="preserve">加田　蒼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</si>
  <si>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9:09</t>
    </r>
    <r>
      <rPr>
        <sz val="10"/>
        <color rgb="FF000000"/>
        <rFont val="WenQuanYi Zen Hei"/>
        <family val="2"/>
      </rPr>
      <t xml:space="preserve">）</t>
    </r>
  </si>
  <si>
    <t xml:space="preserve">斎藤　太星</t>
  </si>
  <si>
    <t xml:space="preserve">大崎　次朗</t>
  </si>
  <si>
    <t xml:space="preserve">豊岡　雄士</t>
  </si>
  <si>
    <t xml:space="preserve">内舘　大翔</t>
  </si>
  <si>
    <t xml:space="preserve">田畑　遥希</t>
  </si>
  <si>
    <t xml:space="preserve">川内商工高</t>
  </si>
  <si>
    <t xml:space="preserve">富吉　海翔</t>
  </si>
  <si>
    <t xml:space="preserve">奥山　陽斗</t>
  </si>
  <si>
    <t xml:space="preserve">芦田　怜也</t>
  </si>
  <si>
    <t xml:space="preserve">佐々木　真斗</t>
  </si>
  <si>
    <t xml:space="preserve">中京大附中京高</t>
  </si>
  <si>
    <t xml:space="preserve">山口　幸希</t>
  </si>
  <si>
    <t xml:space="preserve">今泉　佑太</t>
  </si>
  <si>
    <t xml:space="preserve">小川　翔正</t>
  </si>
  <si>
    <t xml:space="preserve">松村　伊晟</t>
  </si>
  <si>
    <t xml:space="preserve">羽水高</t>
  </si>
  <si>
    <t xml:space="preserve">村上　樹</t>
  </si>
  <si>
    <t xml:space="preserve">新井　亮太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</si>
  <si>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26:06</t>
    </r>
    <r>
      <rPr>
        <sz val="10"/>
        <color rgb="FF000000"/>
        <rFont val="WenQuanYi Zen Hei"/>
        <family val="2"/>
      </rPr>
      <t xml:space="preserve">）</t>
    </r>
  </si>
  <si>
    <t xml:space="preserve">正司　尚輝</t>
  </si>
  <si>
    <t xml:space="preserve">渡辺　悠真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</si>
  <si>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25:56</t>
    </r>
    <r>
      <rPr>
        <sz val="10"/>
        <color rgb="FF000000"/>
        <rFont val="WenQuanYi Zen Hei"/>
        <family val="2"/>
      </rPr>
      <t xml:space="preserve">）</t>
    </r>
  </si>
  <si>
    <t xml:space="preserve">吉原　優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</si>
  <si>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26:41</t>
    </r>
    <r>
      <rPr>
        <sz val="10"/>
        <color rgb="FF000000"/>
        <rFont val="WenQuanYi Zen Hei"/>
        <family val="2"/>
      </rPr>
      <t xml:space="preserve">）</t>
    </r>
  </si>
  <si>
    <t xml:space="preserve">美濃　鉄平</t>
  </si>
  <si>
    <t xml:space="preserve">東山高</t>
  </si>
  <si>
    <t xml:space="preserve">河崎　優太</t>
  </si>
  <si>
    <t xml:space="preserve">龍野北高</t>
  </si>
  <si>
    <t xml:space="preserve">中根　慧</t>
  </si>
  <si>
    <t xml:space="preserve">横浜清風高</t>
  </si>
  <si>
    <t xml:space="preserve">千葉　創太</t>
  </si>
  <si>
    <t xml:space="preserve">鎌田　隼年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</si>
  <si>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15:18</t>
    </r>
    <r>
      <rPr>
        <sz val="10"/>
        <color rgb="FF000000"/>
        <rFont val="WenQuanYi Zen Hei"/>
        <family val="2"/>
      </rPr>
      <t xml:space="preserve">）</t>
    </r>
  </si>
  <si>
    <t xml:space="preserve">池田　壮吾</t>
  </si>
  <si>
    <t xml:space="preserve">一宮南高</t>
  </si>
  <si>
    <t xml:space="preserve">山本　優樹</t>
  </si>
  <si>
    <t xml:space="preserve">小塚　優喜</t>
  </si>
  <si>
    <t xml:space="preserve">金沢学大附高</t>
  </si>
  <si>
    <t xml:space="preserve">森　 　奏輔</t>
  </si>
  <si>
    <t xml:space="preserve">長崎北陽台高</t>
  </si>
  <si>
    <t xml:space="preserve">城戸　晴仁</t>
  </si>
  <si>
    <t xml:space="preserve">福工大城東高</t>
  </si>
  <si>
    <t xml:space="preserve">吉川　敦悠</t>
  </si>
  <si>
    <t xml:space="preserve">広島市立舟入高</t>
  </si>
  <si>
    <t xml:space="preserve">中野　哲平</t>
  </si>
  <si>
    <t xml:space="preserve">片畑　阿弥</t>
  </si>
  <si>
    <t xml:space="preserve">江崎　ブライアン</t>
  </si>
  <si>
    <t xml:space="preserve">霜島　光希</t>
  </si>
  <si>
    <t xml:space="preserve">長田　晏空</t>
  </si>
  <si>
    <t xml:space="preserve">日立一高</t>
  </si>
  <si>
    <t xml:space="preserve">橋　 　空也</t>
  </si>
  <si>
    <t xml:space="preserve">品田　京平</t>
  </si>
  <si>
    <t xml:space="preserve">小千谷高</t>
  </si>
  <si>
    <t xml:space="preserve">青木　暖士</t>
  </si>
  <si>
    <t xml:space="preserve">遠藤　大翔</t>
  </si>
  <si>
    <t xml:space="preserve">新発田高</t>
  </si>
  <si>
    <t xml:space="preserve">狩野　夢翔</t>
  </si>
  <si>
    <t xml:space="preserve">猪口　琉汰</t>
  </si>
  <si>
    <t xml:space="preserve">鳥取東高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</si>
  <si>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31:11</t>
    </r>
    <r>
      <rPr>
        <sz val="10"/>
        <color rgb="FF000000"/>
        <rFont val="WenQuanYi Zen Hei"/>
        <family val="2"/>
      </rPr>
      <t xml:space="preserve">）</t>
    </r>
  </si>
  <si>
    <t xml:space="preserve">矢野　高臣</t>
  </si>
  <si>
    <t xml:space="preserve">藤森　翔希人</t>
  </si>
  <si>
    <t xml:space="preserve">摂津高</t>
  </si>
  <si>
    <t xml:space="preserve">山口　陽也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</si>
  <si>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8:53</t>
    </r>
    <r>
      <rPr>
        <sz val="10"/>
        <color rgb="FF000000"/>
        <rFont val="WenQuanYi Zen Hei"/>
        <family val="2"/>
      </rPr>
      <t xml:space="preserve">）</t>
    </r>
  </si>
  <si>
    <t xml:space="preserve">近野　孝太郎</t>
  </si>
  <si>
    <t xml:space="preserve">生野高</t>
  </si>
  <si>
    <t xml:space="preserve">西部　尊</t>
  </si>
  <si>
    <t xml:space="preserve">小山　和楽</t>
  </si>
  <si>
    <t xml:space="preserve">片岡　宙夢</t>
  </si>
  <si>
    <t xml:space="preserve">大曽根　悠</t>
  </si>
  <si>
    <t xml:space="preserve">川澄　優太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</si>
  <si>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15:28</t>
    </r>
    <r>
      <rPr>
        <sz val="10"/>
        <color rgb="FF000000"/>
        <rFont val="WenQuanYi Zen Hei"/>
        <family val="2"/>
      </rPr>
      <t xml:space="preserve">）</t>
    </r>
  </si>
  <si>
    <t xml:space="preserve">伊勢村　優斗</t>
  </si>
  <si>
    <t xml:space="preserve">久保　悠真</t>
  </si>
  <si>
    <t xml:space="preserve">同名の別選手あり（小倉南高）</t>
  </si>
  <si>
    <t xml:space="preserve">井指　陽介</t>
  </si>
  <si>
    <t xml:space="preserve">竹原　慎作</t>
  </si>
  <si>
    <t xml:space="preserve">下諏訪向陽高</t>
  </si>
  <si>
    <t xml:space="preserve">北島俊太郎</t>
  </si>
  <si>
    <t xml:space="preserve">麗沢瑞浪高</t>
  </si>
  <si>
    <t xml:space="preserve">服部　奏斗</t>
  </si>
  <si>
    <t xml:space="preserve">浜口　一楓</t>
  </si>
  <si>
    <t xml:space="preserve">泉　 　絆士郎</t>
  </si>
  <si>
    <t xml:space="preserve">堀越　音杜</t>
  </si>
  <si>
    <t xml:space="preserve">浜口　嵐</t>
  </si>
  <si>
    <t xml:space="preserve">阪口　泰生</t>
  </si>
  <si>
    <t xml:space="preserve">大阪学芸高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</si>
  <si>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15:43</t>
    </r>
    <r>
      <rPr>
        <sz val="10"/>
        <color rgb="FF000000"/>
        <rFont val="WenQuanYi Zen Hei"/>
        <family val="2"/>
      </rPr>
      <t xml:space="preserve">）</t>
    </r>
  </si>
  <si>
    <t xml:space="preserve">阿部　薫</t>
  </si>
  <si>
    <t xml:space="preserve">杉町　橙</t>
  </si>
  <si>
    <t xml:space="preserve">京都翔英高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</si>
  <si>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26:24</t>
    </r>
    <r>
      <rPr>
        <sz val="10"/>
        <color rgb="FF000000"/>
        <rFont val="WenQuanYi Zen Hei"/>
        <family val="2"/>
      </rPr>
      <t xml:space="preserve">）</t>
    </r>
  </si>
  <si>
    <t xml:space="preserve">吉本　旭</t>
  </si>
  <si>
    <t xml:space="preserve">千代田高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</si>
  <si>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26:49</t>
    </r>
    <r>
      <rPr>
        <sz val="10"/>
        <color rgb="FF000000"/>
        <rFont val="WenQuanYi Zen Hei"/>
        <family val="2"/>
      </rPr>
      <t xml:space="preserve">）</t>
    </r>
  </si>
  <si>
    <t xml:space="preserve">遠藤　風雅</t>
  </si>
  <si>
    <t xml:space="preserve">高木　悠太</t>
  </si>
  <si>
    <t xml:space="preserve">東島　大成</t>
  </si>
  <si>
    <t xml:space="preserve">飯塚　篤弥</t>
  </si>
  <si>
    <t xml:space="preserve">松下　恵丞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</si>
  <si>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15:33</t>
    </r>
    <r>
      <rPr>
        <sz val="10"/>
        <color rgb="FF000000"/>
        <rFont val="WenQuanYi Zen Hei"/>
        <family val="2"/>
      </rPr>
      <t xml:space="preserve">）</t>
    </r>
  </si>
  <si>
    <t xml:space="preserve">金子　颯汰</t>
  </si>
  <si>
    <t xml:space="preserve">打田　聖真</t>
  </si>
  <si>
    <t xml:space="preserve">東播磨高</t>
  </si>
  <si>
    <t xml:space="preserve">金原　雅宗</t>
  </si>
  <si>
    <t xml:space="preserve">野坂　怜央</t>
  </si>
  <si>
    <t xml:space="preserve">札幌日大高</t>
  </si>
  <si>
    <t xml:space="preserve">小林　右京</t>
  </si>
  <si>
    <t xml:space="preserve">熊本　珠樹</t>
  </si>
  <si>
    <t xml:space="preserve">福知山成美高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</si>
  <si>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16:28</t>
    </r>
    <r>
      <rPr>
        <sz val="10"/>
        <color rgb="FF000000"/>
        <rFont val="WenQuanYi Zen Hei"/>
        <family val="2"/>
      </rPr>
      <t xml:space="preserve">）</t>
    </r>
  </si>
  <si>
    <t xml:space="preserve">阿部　佑月</t>
  </si>
  <si>
    <t xml:space="preserve">花巻南高</t>
  </si>
  <si>
    <t xml:space="preserve">嶋津　幸平</t>
  </si>
  <si>
    <t xml:space="preserve">前橋東高</t>
  </si>
  <si>
    <t xml:space="preserve">福永　一颯</t>
  </si>
  <si>
    <t xml:space="preserve">内海　智希</t>
  </si>
  <si>
    <t xml:space="preserve">神谷　一希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</si>
  <si>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15:35</t>
    </r>
    <r>
      <rPr>
        <sz val="10"/>
        <color rgb="FF000000"/>
        <rFont val="WenQuanYi Zen Hei"/>
        <family val="2"/>
      </rPr>
      <t xml:space="preserve">）</t>
    </r>
  </si>
  <si>
    <t xml:space="preserve">野田　匡人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</si>
  <si>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26:13</t>
    </r>
    <r>
      <rPr>
        <sz val="10"/>
        <color rgb="FF000000"/>
        <rFont val="WenQuanYi Zen Hei"/>
        <family val="2"/>
      </rPr>
      <t xml:space="preserve">）</t>
    </r>
  </si>
  <si>
    <t xml:space="preserve">大島　瑛斗</t>
  </si>
  <si>
    <t xml:space="preserve">謝花　郁光</t>
  </si>
  <si>
    <t xml:space="preserve">北山高</t>
  </si>
  <si>
    <t xml:space="preserve">苅部　隼人</t>
  </si>
  <si>
    <t xml:space="preserve">慶応高</t>
  </si>
  <si>
    <t xml:space="preserve">松村　優樹</t>
  </si>
  <si>
    <t xml:space="preserve">盛岡一高</t>
  </si>
  <si>
    <t xml:space="preserve">角鹿　大夢</t>
  </si>
  <si>
    <t xml:space="preserve">中村　律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</si>
  <si>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15:40</t>
    </r>
    <r>
      <rPr>
        <sz val="10"/>
        <color rgb="FF000000"/>
        <rFont val="WenQuanYi Zen Hei"/>
        <family val="2"/>
      </rPr>
      <t xml:space="preserve">）</t>
    </r>
  </si>
  <si>
    <t xml:space="preserve">金山　仁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</si>
  <si>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8:43</t>
    </r>
    <r>
      <rPr>
        <sz val="10"/>
        <color rgb="FF000000"/>
        <rFont val="WenQuanYi Zen Hei"/>
        <family val="2"/>
      </rPr>
      <t xml:space="preserve">）</t>
    </r>
  </si>
  <si>
    <t xml:space="preserve">藤本　琉希</t>
  </si>
  <si>
    <t xml:space="preserve">竹内　一瑳</t>
  </si>
  <si>
    <t xml:space="preserve">川口　朝陽</t>
  </si>
  <si>
    <t xml:space="preserve">吉田　緯空</t>
  </si>
  <si>
    <t xml:space="preserve">森下　颯斗</t>
  </si>
  <si>
    <t xml:space="preserve">大嶋　康生</t>
  </si>
  <si>
    <t xml:space="preserve">甲府東高</t>
  </si>
  <si>
    <t xml:space="preserve">庄野　遥人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</si>
  <si>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14:42</t>
    </r>
    <r>
      <rPr>
        <sz val="10"/>
        <color rgb="FF000000"/>
        <rFont val="WenQuanYi Zen Hei"/>
        <family val="2"/>
      </rPr>
      <t xml:space="preserve">）</t>
    </r>
  </si>
  <si>
    <t xml:space="preserve">森　 　悠登</t>
  </si>
  <si>
    <t xml:space="preserve">真鍋　龍心</t>
  </si>
  <si>
    <t xml:space="preserve">新居浜東高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</si>
  <si>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25:36</t>
    </r>
    <r>
      <rPr>
        <sz val="10"/>
        <color rgb="FF000000"/>
        <rFont val="WenQuanYi Zen Hei"/>
        <family val="2"/>
      </rPr>
      <t xml:space="preserve">）</t>
    </r>
  </si>
  <si>
    <t xml:space="preserve">奥田　陽輝</t>
  </si>
  <si>
    <t xml:space="preserve">神奈川陸協</t>
  </si>
  <si>
    <t xml:space="preserve">尾上　裕人</t>
  </si>
  <si>
    <t xml:space="preserve">磐田南高</t>
  </si>
  <si>
    <t xml:space="preserve">赤塚　佑星</t>
  </si>
  <si>
    <t xml:space="preserve">大久保　圭悟</t>
  </si>
  <si>
    <t xml:space="preserve">奈良高</t>
  </si>
  <si>
    <t xml:space="preserve">松井　勇翔</t>
  </si>
  <si>
    <t xml:space="preserve">津司　健太朗</t>
  </si>
  <si>
    <t xml:space="preserve">脇町高</t>
  </si>
  <si>
    <t xml:space="preserve">藤枝　京太郎</t>
  </si>
  <si>
    <t xml:space="preserve">緑岡高</t>
  </si>
  <si>
    <t xml:space="preserve">池田　稜弥</t>
  </si>
  <si>
    <t xml:space="preserve">報徳学園高</t>
  </si>
  <si>
    <t xml:space="preserve">宮田　怜治</t>
  </si>
  <si>
    <t xml:space="preserve">松本　竜其</t>
  </si>
  <si>
    <t xml:space="preserve">亀井　遼希</t>
  </si>
  <si>
    <t xml:space="preserve">玉名高</t>
  </si>
  <si>
    <t xml:space="preserve">谷内　颯</t>
  </si>
  <si>
    <t xml:space="preserve">佐藤　豪</t>
  </si>
  <si>
    <t xml:space="preserve">古賀　三大</t>
  </si>
  <si>
    <t xml:space="preserve">浅原　龍之介</t>
  </si>
  <si>
    <t xml:space="preserve">横沢　春希</t>
  </si>
  <si>
    <t xml:space="preserve">岩本幸志郎</t>
  </si>
  <si>
    <t xml:space="preserve">九州文化学園高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</si>
  <si>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25:22</t>
    </r>
    <r>
      <rPr>
        <sz val="10"/>
        <color rgb="FF000000"/>
        <rFont val="WenQuanYi Zen Hei"/>
        <family val="2"/>
      </rPr>
      <t xml:space="preserve">）</t>
    </r>
  </si>
  <si>
    <t xml:space="preserve">大角　剛琉</t>
  </si>
  <si>
    <t xml:space="preserve">田村　夷久磨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</si>
  <si>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8:59</t>
    </r>
    <r>
      <rPr>
        <sz val="10"/>
        <color rgb="FF000000"/>
        <rFont val="WenQuanYi Zen Hei"/>
        <family val="2"/>
      </rPr>
      <t xml:space="preserve">）</t>
    </r>
  </si>
  <si>
    <t xml:space="preserve">片岡　航大</t>
  </si>
  <si>
    <t xml:space="preserve">日大三島高</t>
  </si>
  <si>
    <t xml:space="preserve">依田　開聖</t>
  </si>
  <si>
    <t xml:space="preserve">葛生　信進</t>
  </si>
  <si>
    <t xml:space="preserve">永井　結崇</t>
  </si>
  <si>
    <t xml:space="preserve">平沢　哉大</t>
  </si>
  <si>
    <t xml:space="preserve">千葉　映仁</t>
  </si>
  <si>
    <t xml:space="preserve">野口　啓介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</si>
  <si>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25:15</t>
    </r>
    <r>
      <rPr>
        <sz val="10"/>
        <color rgb="FF000000"/>
        <rFont val="WenQuanYi Zen Hei"/>
        <family val="2"/>
      </rPr>
      <t xml:space="preserve">）</t>
    </r>
  </si>
  <si>
    <t xml:space="preserve">土屋　息吹</t>
  </si>
  <si>
    <t xml:space="preserve">静岡東高</t>
  </si>
  <si>
    <t xml:space="preserve">大金　勇翔</t>
  </si>
  <si>
    <t xml:space="preserve">平岡　大典</t>
  </si>
  <si>
    <t xml:space="preserve">畝傍高</t>
  </si>
  <si>
    <t xml:space="preserve">山辺　朱夏</t>
  </si>
  <si>
    <t xml:space="preserve">米子高専</t>
  </si>
  <si>
    <t xml:space="preserve">山口　清夢</t>
  </si>
  <si>
    <t xml:space="preserve">浜咲　優翔</t>
  </si>
  <si>
    <t xml:space="preserve">宮本　拳士</t>
  </si>
  <si>
    <t xml:space="preserve">日章学園高</t>
  </si>
  <si>
    <t xml:space="preserve">三条　太土</t>
  </si>
  <si>
    <t xml:space="preserve">菊池　悠斗</t>
  </si>
  <si>
    <t xml:space="preserve">日立工高</t>
  </si>
  <si>
    <t xml:space="preserve">坂本　諭太</t>
  </si>
  <si>
    <t xml:space="preserve">中薗　賢祐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</si>
  <si>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15:34</t>
    </r>
    <r>
      <rPr>
        <sz val="10"/>
        <color rgb="FF000000"/>
        <rFont val="WenQuanYi Zen Hei"/>
        <family val="2"/>
      </rPr>
      <t xml:space="preserve">）</t>
    </r>
  </si>
  <si>
    <t xml:space="preserve">京谷　柊汰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</si>
  <si>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8:50</t>
    </r>
    <r>
      <rPr>
        <sz val="10"/>
        <color rgb="FF000000"/>
        <rFont val="WenQuanYi Zen Hei"/>
        <family val="2"/>
      </rPr>
      <t xml:space="preserve">）</t>
    </r>
  </si>
  <si>
    <t xml:space="preserve">小桜　奏太</t>
  </si>
  <si>
    <t xml:space="preserve">市沼田高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</si>
  <si>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16:04</t>
    </r>
    <r>
      <rPr>
        <sz val="10"/>
        <color rgb="FF000000"/>
        <rFont val="WenQuanYi Zen Hei"/>
        <family val="2"/>
      </rPr>
      <t xml:space="preserve">）</t>
    </r>
  </si>
  <si>
    <t xml:space="preserve">土方　廉矢</t>
  </si>
  <si>
    <t xml:space="preserve">堀越高</t>
  </si>
  <si>
    <t xml:space="preserve">鈴木　颯太</t>
  </si>
  <si>
    <t xml:space="preserve">桑名西高</t>
  </si>
  <si>
    <t xml:space="preserve">五十嵐　陽晟</t>
  </si>
  <si>
    <t xml:space="preserve">向井　優賀</t>
  </si>
  <si>
    <t xml:space="preserve">長江　汰起</t>
  </si>
  <si>
    <t xml:space="preserve">森下　永遠</t>
  </si>
  <si>
    <t xml:space="preserve">上田　悠翔</t>
  </si>
  <si>
    <t xml:space="preserve">井口　敬太</t>
  </si>
  <si>
    <t xml:space="preserve">県尼崎高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</si>
  <si>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9:02</t>
    </r>
    <r>
      <rPr>
        <sz val="10"/>
        <color rgb="FF000000"/>
        <rFont val="WenQuanYi Zen Hei"/>
        <family val="2"/>
      </rPr>
      <t xml:space="preserve">）</t>
    </r>
  </si>
  <si>
    <t xml:space="preserve">校名表記：県尼崎高／尼崎高</t>
  </si>
  <si>
    <t xml:space="preserve">細貝　恒平</t>
  </si>
  <si>
    <t xml:space="preserve">小坂　壮吾</t>
  </si>
  <si>
    <t xml:space="preserve">市浦和高</t>
  </si>
  <si>
    <t xml:space="preserve">黒津　大空</t>
  </si>
  <si>
    <t xml:space="preserve">藤井　祐人</t>
  </si>
  <si>
    <t xml:space="preserve">松岡　真輝</t>
  </si>
  <si>
    <t xml:space="preserve">田中　悠晴</t>
  </si>
  <si>
    <t xml:space="preserve">高山西高</t>
  </si>
  <si>
    <t xml:space="preserve">辻　 　晴充</t>
  </si>
  <si>
    <t xml:space="preserve">山本　恭佑</t>
  </si>
  <si>
    <t xml:space="preserve">山内　陽</t>
  </si>
  <si>
    <t xml:space="preserve">杉田　琉威</t>
  </si>
  <si>
    <t xml:space="preserve">丸山　慶来</t>
  </si>
  <si>
    <t xml:space="preserve">早稲田実業高</t>
  </si>
  <si>
    <t xml:space="preserve">塩谷　謙</t>
  </si>
  <si>
    <t xml:space="preserve">都東大和高</t>
  </si>
  <si>
    <t xml:space="preserve">神野　吏輝</t>
  </si>
  <si>
    <t xml:space="preserve">安田　修平</t>
  </si>
  <si>
    <t xml:space="preserve">粟飯原　憲心</t>
  </si>
  <si>
    <t xml:space="preserve">柳　 　慶士</t>
  </si>
  <si>
    <t xml:space="preserve">後藤　陸斗</t>
  </si>
  <si>
    <t xml:space="preserve">左向　真空</t>
  </si>
  <si>
    <t xml:space="preserve">西田　壮志</t>
  </si>
  <si>
    <t xml:space="preserve">早大本庄高</t>
  </si>
  <si>
    <t xml:space="preserve">岩沢　春樹</t>
  </si>
  <si>
    <t xml:space="preserve">湯浅　充琉</t>
  </si>
  <si>
    <t xml:space="preserve">初沢　尚馬</t>
  </si>
  <si>
    <t xml:space="preserve">柏南高</t>
  </si>
  <si>
    <t xml:space="preserve">辻　 　詠太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</si>
  <si>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9:03</t>
    </r>
    <r>
      <rPr>
        <sz val="10"/>
        <color rgb="FF000000"/>
        <rFont val="WenQuanYi Zen Hei"/>
        <family val="2"/>
      </rPr>
      <t xml:space="preserve">）</t>
    </r>
  </si>
  <si>
    <t xml:space="preserve">和田　恵祐</t>
  </si>
  <si>
    <t xml:space="preserve">藤本　庵史</t>
  </si>
  <si>
    <t xml:space="preserve">田中　廉士郎</t>
  </si>
  <si>
    <t xml:space="preserve">渋谷教育学園幕張高</t>
  </si>
  <si>
    <t xml:space="preserve">松沢　晃佑</t>
  </si>
  <si>
    <t xml:space="preserve">豊科高</t>
  </si>
  <si>
    <t xml:space="preserve">長原　朋希</t>
  </si>
  <si>
    <t xml:space="preserve">西内　悠記</t>
  </si>
  <si>
    <t xml:space="preserve">藤平　海風</t>
  </si>
  <si>
    <t xml:space="preserve">富士　歩夢</t>
  </si>
  <si>
    <t xml:space="preserve">清川　陵</t>
  </si>
  <si>
    <r>
      <rPr>
        <sz val="10"/>
        <color rgb="FF000000"/>
        <rFont val="WenQuanYi Zen Hei"/>
        <family val="2"/>
      </rPr>
      <t xml:space="preserve">手動計時：</t>
    </r>
    <r>
      <rPr>
        <sz val="10"/>
        <color rgb="FF000000"/>
        <rFont val="HGPｺﾞｼｯｸM"/>
        <family val="0"/>
        <charset val="1"/>
      </rPr>
      <t xml:space="preserve">5000m</t>
    </r>
  </si>
  <si>
    <t xml:space="preserve">山田　悟史</t>
  </si>
  <si>
    <t xml:space="preserve">仙台三高</t>
  </si>
  <si>
    <t xml:space="preserve">中尾　維吹</t>
  </si>
  <si>
    <t xml:space="preserve">橿原高</t>
  </si>
  <si>
    <t xml:space="preserve">宮川　恵伍</t>
  </si>
  <si>
    <t xml:space="preserve">五十崎　凪斗</t>
  </si>
  <si>
    <t xml:space="preserve">林田　皇晟</t>
  </si>
  <si>
    <t xml:space="preserve">敬徳高</t>
  </si>
  <si>
    <t xml:space="preserve">小松　翔波</t>
  </si>
  <si>
    <t xml:space="preserve">鶴岡工高</t>
  </si>
  <si>
    <t xml:space="preserve">竹花　廉太郎</t>
  </si>
  <si>
    <t xml:space="preserve">堀田　倖希</t>
  </si>
  <si>
    <t xml:space="preserve">賀茂高</t>
  </si>
  <si>
    <t xml:space="preserve">相沢　怜央</t>
  </si>
  <si>
    <t xml:space="preserve">杉本　涼雅</t>
  </si>
  <si>
    <t xml:space="preserve">古舘　拓</t>
  </si>
  <si>
    <t xml:space="preserve">盛岡中央高</t>
  </si>
  <si>
    <t xml:space="preserve">五十嵐　琉晟</t>
  </si>
  <si>
    <t xml:space="preserve">藤井　孝晟</t>
  </si>
  <si>
    <t xml:space="preserve">京産大附高</t>
  </si>
  <si>
    <t xml:space="preserve">鈴木　秀幸</t>
  </si>
  <si>
    <t xml:space="preserve">田中　鉄大</t>
  </si>
  <si>
    <t xml:space="preserve">宮崎　康太</t>
  </si>
  <si>
    <t xml:space="preserve">尚志館高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</si>
  <si>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34:40</t>
    </r>
    <r>
      <rPr>
        <sz val="10"/>
        <color rgb="FF000000"/>
        <rFont val="WenQuanYi Zen Hei"/>
        <family val="2"/>
      </rPr>
      <t xml:space="preserve">）</t>
    </r>
  </si>
  <si>
    <t xml:space="preserve">弘部　和志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</si>
  <si>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25:59</t>
    </r>
    <r>
      <rPr>
        <sz val="10"/>
        <color rgb="FF000000"/>
        <rFont val="WenQuanYi Zen Hei"/>
        <family val="2"/>
      </rPr>
      <t xml:space="preserve">）</t>
    </r>
  </si>
  <si>
    <t xml:space="preserve">谷口　昊</t>
  </si>
  <si>
    <t xml:space="preserve">豊橋工高</t>
  </si>
  <si>
    <t xml:space="preserve">山中　唯颯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</si>
  <si>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8:45</t>
    </r>
    <r>
      <rPr>
        <sz val="10"/>
        <color rgb="FF000000"/>
        <rFont val="WenQuanYi Zen Hei"/>
        <family val="2"/>
      </rPr>
      <t xml:space="preserve">）</t>
    </r>
  </si>
  <si>
    <t xml:space="preserve">石塚　聖河</t>
  </si>
  <si>
    <t xml:space="preserve">港北高</t>
  </si>
  <si>
    <t xml:space="preserve">阿部　寛大</t>
  </si>
  <si>
    <t xml:space="preserve">渡辺　日々輝</t>
  </si>
  <si>
    <t xml:space="preserve">済々黌高</t>
  </si>
  <si>
    <t xml:space="preserve">小山田　航大</t>
  </si>
  <si>
    <t xml:space="preserve">盛岡四高</t>
  </si>
  <si>
    <t xml:space="preserve">長谷川雅皇</t>
  </si>
  <si>
    <t xml:space="preserve">伊藤　一朝</t>
  </si>
  <si>
    <t xml:space="preserve">和田　陽希</t>
  </si>
  <si>
    <t xml:space="preserve">伊賀　大悟</t>
  </si>
  <si>
    <t xml:space="preserve">武　 　航生</t>
  </si>
  <si>
    <t xml:space="preserve">牛尾　哲太</t>
  </si>
  <si>
    <t xml:space="preserve">丸山　冬悟</t>
  </si>
  <si>
    <t xml:space="preserve">松尾　一樹</t>
  </si>
  <si>
    <t xml:space="preserve">中山　大河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</si>
  <si>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26:04</t>
    </r>
    <r>
      <rPr>
        <sz val="10"/>
        <color rgb="FF000000"/>
        <rFont val="WenQuanYi Zen Hei"/>
        <family val="2"/>
      </rPr>
      <t xml:space="preserve">）</t>
    </r>
  </si>
  <si>
    <t xml:space="preserve">鈴木　陽大</t>
  </si>
  <si>
    <t xml:space="preserve">尾関　柊空</t>
  </si>
  <si>
    <t xml:space="preserve">校名表記：豊田大谷／豊田大谷高</t>
  </si>
  <si>
    <t xml:space="preserve">堀江　優翔</t>
  </si>
  <si>
    <t xml:space="preserve">伊藤　尊</t>
  </si>
  <si>
    <t xml:space="preserve">宅島　悠</t>
  </si>
  <si>
    <t xml:space="preserve">大内　音弥</t>
  </si>
  <si>
    <t xml:space="preserve">岩佐　拓斗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</si>
  <si>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26:28</t>
    </r>
    <r>
      <rPr>
        <sz val="10"/>
        <color rgb="FF000000"/>
        <rFont val="WenQuanYi Zen Hei"/>
        <family val="2"/>
      </rPr>
      <t xml:space="preserve">）</t>
    </r>
  </si>
  <si>
    <t xml:space="preserve">川田　悠木</t>
  </si>
  <si>
    <t xml:space="preserve">東海大附静岡翔洋高</t>
  </si>
  <si>
    <t xml:space="preserve">岸本　成浩</t>
  </si>
  <si>
    <t xml:space="preserve">森屋　樹</t>
  </si>
  <si>
    <t xml:space="preserve">上田染谷丘高</t>
  </si>
  <si>
    <t xml:space="preserve">谷川　航太</t>
  </si>
  <si>
    <t xml:space="preserve">群馬陸協</t>
  </si>
  <si>
    <t xml:space="preserve">矢野　快音</t>
  </si>
  <si>
    <t xml:space="preserve">山田　蒼助</t>
  </si>
  <si>
    <t xml:space="preserve">沖谷　羽閏</t>
  </si>
  <si>
    <t xml:space="preserve">樋口　大人</t>
  </si>
  <si>
    <t xml:space="preserve">園田　拓海</t>
  </si>
  <si>
    <t xml:space="preserve">福田　冴吹</t>
  </si>
  <si>
    <t xml:space="preserve">東京陸協</t>
  </si>
  <si>
    <t xml:space="preserve">小菅　絆</t>
  </si>
  <si>
    <t xml:space="preserve">春日部共栄高</t>
  </si>
  <si>
    <t xml:space="preserve">関野　連太郎</t>
  </si>
  <si>
    <t xml:space="preserve">横浜栄高</t>
  </si>
  <si>
    <t xml:space="preserve">菅野　煌大</t>
  </si>
  <si>
    <t xml:space="preserve">吉田　煌季</t>
  </si>
  <si>
    <t xml:space="preserve">飯田　晴羽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</si>
  <si>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16:03</t>
    </r>
    <r>
      <rPr>
        <sz val="10"/>
        <color rgb="FF000000"/>
        <rFont val="WenQuanYi Zen Hei"/>
        <family val="2"/>
      </rPr>
      <t xml:space="preserve">）</t>
    </r>
  </si>
  <si>
    <t xml:space="preserve">野口祐ノ介</t>
  </si>
  <si>
    <t xml:space="preserve">唐津東高</t>
  </si>
  <si>
    <t xml:space="preserve">今村　征史郎</t>
  </si>
  <si>
    <t xml:space="preserve">松村　欧太</t>
  </si>
  <si>
    <t xml:space="preserve">相模原弥栄高</t>
  </si>
  <si>
    <t xml:space="preserve">中村　蓮鳳</t>
  </si>
  <si>
    <t xml:space="preserve">望月　一希</t>
  </si>
  <si>
    <t xml:space="preserve">田頭　悠</t>
  </si>
  <si>
    <t xml:space="preserve">原田　涼平</t>
  </si>
  <si>
    <t xml:space="preserve">田坂　涼</t>
  </si>
  <si>
    <t xml:space="preserve">広島皆実高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</si>
  <si>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16:18</t>
    </r>
    <r>
      <rPr>
        <sz val="10"/>
        <color rgb="FF000000"/>
        <rFont val="WenQuanYi Zen Hei"/>
        <family val="2"/>
      </rPr>
      <t xml:space="preserve">）</t>
    </r>
  </si>
  <si>
    <t xml:space="preserve">伊藤　洸太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</si>
  <si>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16:02</t>
    </r>
    <r>
      <rPr>
        <sz val="10"/>
        <color rgb="FF000000"/>
        <rFont val="WenQuanYi Zen Hei"/>
        <family val="2"/>
      </rPr>
      <t xml:space="preserve">）</t>
    </r>
  </si>
  <si>
    <t xml:space="preserve">橋本　敏</t>
  </si>
  <si>
    <t xml:space="preserve">神戸高</t>
  </si>
  <si>
    <t xml:space="preserve">田中　音羽</t>
  </si>
  <si>
    <t xml:space="preserve">栗田　潤</t>
  </si>
  <si>
    <t xml:space="preserve">ＳＣＨＳ</t>
  </si>
  <si>
    <t xml:space="preserve">砂川　勇翔</t>
  </si>
  <si>
    <t xml:space="preserve">大森　一真</t>
  </si>
  <si>
    <t xml:space="preserve">富岡高</t>
  </si>
  <si>
    <t xml:space="preserve">吉田　圭佑</t>
  </si>
  <si>
    <t xml:space="preserve">和田　征太郎</t>
  </si>
  <si>
    <r>
      <rPr>
        <sz val="10"/>
        <color rgb="FF000000"/>
        <rFont val="HGPｺﾞｼｯｸM"/>
        <family val="0"/>
        <charset val="1"/>
      </rPr>
      <t xml:space="preserve">3000mSC</t>
    </r>
    <r>
      <rPr>
        <sz val="10"/>
        <color rgb="FF000000"/>
        <rFont val="WenQuanYi Zen Hei"/>
        <family val="2"/>
      </rPr>
      <t xml:space="preserve">は二重掲載（</t>
    </r>
    <r>
      <rPr>
        <sz val="10"/>
        <color rgb="FF000000"/>
        <rFont val="HGPｺﾞｼｯｸM"/>
        <family val="0"/>
        <charset val="1"/>
      </rPr>
      <t xml:space="preserve">130</t>
    </r>
    <r>
      <rPr>
        <sz val="10"/>
        <color rgb="FF000000"/>
        <rFont val="WenQuanYi Zen Hei"/>
        <family val="2"/>
      </rPr>
      <t xml:space="preserve">位と</t>
    </r>
    <r>
      <rPr>
        <sz val="10"/>
        <color rgb="FF000000"/>
        <rFont val="HGPｺﾞｼｯｸM"/>
        <family val="0"/>
        <charset val="1"/>
      </rPr>
      <t xml:space="preserve">144</t>
    </r>
    <r>
      <rPr>
        <sz val="10"/>
        <color rgb="FF000000"/>
        <rFont val="WenQuanYi Zen Hei"/>
        <family val="2"/>
      </rPr>
      <t xml:space="preserve">位）→上位を採用</t>
    </r>
  </si>
  <si>
    <t xml:space="preserve">主枝　史成</t>
  </si>
  <si>
    <t xml:space="preserve">田中　瑠音</t>
  </si>
  <si>
    <t xml:space="preserve">古川　恵唯</t>
  </si>
  <si>
    <t xml:space="preserve">平野　海翔</t>
  </si>
  <si>
    <t xml:space="preserve">銚子高</t>
  </si>
  <si>
    <t xml:space="preserve">清川　恵佑</t>
  </si>
  <si>
    <t xml:space="preserve">壱岐高</t>
  </si>
  <si>
    <t xml:space="preserve">米村　健人</t>
  </si>
  <si>
    <t xml:space="preserve">向井　俊輔</t>
  </si>
  <si>
    <t xml:space="preserve">小野　巧人</t>
  </si>
  <si>
    <t xml:space="preserve">池田　翔一</t>
  </si>
  <si>
    <t xml:space="preserve">八代高</t>
  </si>
  <si>
    <t xml:space="preserve">村田　惺</t>
  </si>
  <si>
    <t xml:space="preserve">相模原中等高</t>
  </si>
  <si>
    <t xml:space="preserve">篠原　歌</t>
  </si>
  <si>
    <t xml:space="preserve">上口　心大</t>
  </si>
  <si>
    <t xml:space="preserve">畑野　駿亮</t>
  </si>
  <si>
    <t xml:space="preserve">県西宮高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</si>
  <si>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26:59</t>
    </r>
    <r>
      <rPr>
        <sz val="10"/>
        <color rgb="FF000000"/>
        <rFont val="WenQuanYi Zen Hei"/>
        <family val="2"/>
      </rPr>
      <t xml:space="preserve">）</t>
    </r>
  </si>
  <si>
    <t xml:space="preserve">田村　俊輔</t>
  </si>
  <si>
    <t xml:space="preserve">成塚　宗一郎</t>
  </si>
  <si>
    <t xml:space="preserve">伊奈学園総合高</t>
  </si>
  <si>
    <t xml:space="preserve">吉川　陽梧</t>
  </si>
  <si>
    <t xml:space="preserve">立命館宇治高</t>
  </si>
  <si>
    <t xml:space="preserve">小石沢頼人</t>
  </si>
  <si>
    <t xml:space="preserve">富田　暖</t>
  </si>
  <si>
    <t xml:space="preserve">鹿島学園高</t>
  </si>
  <si>
    <t xml:space="preserve">佐藤　開斗</t>
  </si>
  <si>
    <t xml:space="preserve">小川　真向</t>
  </si>
  <si>
    <t xml:space="preserve">佐原高</t>
  </si>
  <si>
    <t xml:space="preserve">渡辺　真紘</t>
  </si>
  <si>
    <t xml:space="preserve">佐野　嶺</t>
  </si>
  <si>
    <t xml:space="preserve">常葉大学菊川高</t>
  </si>
  <si>
    <t xml:space="preserve">大山　陸翔</t>
  </si>
  <si>
    <t xml:space="preserve">中部大一高</t>
  </si>
  <si>
    <t xml:space="preserve">武野谷　陸斗</t>
  </si>
  <si>
    <t xml:space="preserve">狭山ケ丘高</t>
  </si>
  <si>
    <t xml:space="preserve">田畑　泰司</t>
  </si>
  <si>
    <t xml:space="preserve">松土　翔</t>
  </si>
  <si>
    <t xml:space="preserve">北杜高</t>
  </si>
  <si>
    <t xml:space="preserve">田之頭　陽葵</t>
  </si>
  <si>
    <t xml:space="preserve">原　 　祥太</t>
  </si>
  <si>
    <t xml:space="preserve">柳　 　裕也</t>
  </si>
  <si>
    <t xml:space="preserve">犬塚　壮琉</t>
  </si>
  <si>
    <t xml:space="preserve">池亀　陽斗</t>
  </si>
  <si>
    <t xml:space="preserve">淑徳巣鴨高</t>
  </si>
  <si>
    <t xml:space="preserve">三田　海斗</t>
  </si>
  <si>
    <t xml:space="preserve">平野　颯太郎</t>
  </si>
  <si>
    <t xml:space="preserve">穴井　亮輔</t>
  </si>
  <si>
    <t xml:space="preserve">牧川　和真</t>
  </si>
  <si>
    <t xml:space="preserve">八代東高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</si>
  <si>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27:30</t>
    </r>
    <r>
      <rPr>
        <sz val="10"/>
        <color rgb="FF000000"/>
        <rFont val="WenQuanYi Zen Hei"/>
        <family val="2"/>
      </rPr>
      <t xml:space="preserve">）</t>
    </r>
  </si>
  <si>
    <t xml:space="preserve">諏訪　暖人</t>
  </si>
  <si>
    <t xml:space="preserve">沼津東高</t>
  </si>
  <si>
    <t xml:space="preserve">高野　疾颯</t>
  </si>
  <si>
    <t xml:space="preserve">山下　倖</t>
  </si>
  <si>
    <t xml:space="preserve">多田　暖</t>
  </si>
  <si>
    <t xml:space="preserve">反町　徠翔</t>
  </si>
  <si>
    <t xml:space="preserve">健康福祉大高崎高</t>
  </si>
  <si>
    <t xml:space="preserve">市尻　太朗</t>
  </si>
  <si>
    <t xml:space="preserve">古川　咲音</t>
  </si>
  <si>
    <t xml:space="preserve">聖光学院高</t>
  </si>
  <si>
    <t xml:space="preserve">石黒誠直</t>
  </si>
  <si>
    <t xml:space="preserve">座間高</t>
  </si>
  <si>
    <t xml:space="preserve">細見　悠雅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</si>
  <si>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24:54</t>
    </r>
    <r>
      <rPr>
        <sz val="10"/>
        <color rgb="FF000000"/>
        <rFont val="WenQuanYi Zen Hei"/>
        <family val="2"/>
      </rPr>
      <t xml:space="preserve">）</t>
    </r>
  </si>
  <si>
    <t xml:space="preserve">鶴田　有馬</t>
  </si>
  <si>
    <t xml:space="preserve">大村工高</t>
  </si>
  <si>
    <t xml:space="preserve">黒崎　琉聖</t>
  </si>
  <si>
    <t xml:space="preserve">東京高</t>
  </si>
  <si>
    <t xml:space="preserve">岡田　然</t>
  </si>
  <si>
    <t xml:space="preserve">黒沢　大夢</t>
  </si>
  <si>
    <t xml:space="preserve">鏡山　裕己</t>
  </si>
  <si>
    <t xml:space="preserve">相浦　友哉</t>
  </si>
  <si>
    <t xml:space="preserve">小林　洸政</t>
  </si>
  <si>
    <t xml:space="preserve">長岡工高</t>
  </si>
  <si>
    <t xml:space="preserve">大浜　悠生</t>
  </si>
  <si>
    <t xml:space="preserve">宇部鴻城高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</si>
  <si>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8:52</t>
    </r>
    <r>
      <rPr>
        <sz val="10"/>
        <color rgb="FF000000"/>
        <rFont val="WenQuanYi Zen Hei"/>
        <family val="2"/>
      </rPr>
      <t xml:space="preserve">）</t>
    </r>
  </si>
  <si>
    <t xml:space="preserve">半谷　樹希翔</t>
  </si>
  <si>
    <t xml:space="preserve">至学館高</t>
  </si>
  <si>
    <t xml:space="preserve">植竹　優翔</t>
  </si>
  <si>
    <t xml:space="preserve">重面　怜音</t>
  </si>
  <si>
    <t xml:space="preserve">椎原　諒真</t>
  </si>
  <si>
    <t xml:space="preserve">坂田　悠翔</t>
  </si>
  <si>
    <t xml:space="preserve">大阪商大高</t>
  </si>
  <si>
    <t xml:space="preserve">斎藤　渉</t>
  </si>
  <si>
    <t xml:space="preserve">鈴木　遼真</t>
  </si>
  <si>
    <t xml:space="preserve">工藤　峻也</t>
  </si>
  <si>
    <t xml:space="preserve">秋田中央高</t>
  </si>
  <si>
    <t xml:space="preserve">本山　愁晴</t>
  </si>
  <si>
    <t xml:space="preserve">桜井　惇太</t>
  </si>
  <si>
    <t xml:space="preserve">黒野　雄大</t>
  </si>
  <si>
    <t xml:space="preserve">旭野高</t>
  </si>
  <si>
    <t xml:space="preserve">佐藤　駿宇</t>
  </si>
  <si>
    <t xml:space="preserve">新庄東高</t>
  </si>
  <si>
    <t xml:space="preserve">浜口一颯</t>
  </si>
  <si>
    <t xml:space="preserve">村上　瑛祐</t>
  </si>
  <si>
    <t xml:space="preserve">日体大柏高</t>
  </si>
  <si>
    <t xml:space="preserve">大塚　元輝</t>
  </si>
  <si>
    <t xml:space="preserve">松尾　昴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</si>
  <si>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15:53</t>
    </r>
    <r>
      <rPr>
        <sz val="10"/>
        <color rgb="FF000000"/>
        <rFont val="WenQuanYi Zen Hei"/>
        <family val="2"/>
      </rPr>
      <t xml:space="preserve">）</t>
    </r>
  </si>
  <si>
    <t xml:space="preserve">米村　建人</t>
  </si>
  <si>
    <t xml:space="preserve">小室　璃空</t>
  </si>
  <si>
    <t xml:space="preserve">有馬高</t>
  </si>
  <si>
    <t xml:space="preserve">南雲　歩志</t>
  </si>
  <si>
    <t xml:space="preserve">八海高</t>
  </si>
  <si>
    <t xml:space="preserve">浜島　夏絆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</si>
  <si>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26:33</t>
    </r>
    <r>
      <rPr>
        <sz val="10"/>
        <color rgb="FF000000"/>
        <rFont val="WenQuanYi Zen Hei"/>
        <family val="2"/>
      </rPr>
      <t xml:space="preserve">）</t>
    </r>
  </si>
  <si>
    <t xml:space="preserve">久光　航平</t>
  </si>
  <si>
    <t xml:space="preserve">延岡高</t>
  </si>
  <si>
    <t xml:space="preserve">真柄　伊吹</t>
  </si>
  <si>
    <t xml:space="preserve">新津高</t>
  </si>
  <si>
    <t xml:space="preserve">風祭　大和</t>
  </si>
  <si>
    <t xml:space="preserve">杉田　禅</t>
  </si>
  <si>
    <t xml:space="preserve">村里　聡太</t>
  </si>
  <si>
    <t xml:space="preserve">松山　拓実</t>
  </si>
  <si>
    <t xml:space="preserve">野崎　慶</t>
  </si>
  <si>
    <t xml:space="preserve">平林　涼</t>
  </si>
  <si>
    <t xml:space="preserve">北島　晃太朗</t>
  </si>
  <si>
    <t xml:space="preserve">鈴木佑馬</t>
  </si>
  <si>
    <t xml:space="preserve">加藤　慶弥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</si>
  <si>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26:16</t>
    </r>
    <r>
      <rPr>
        <sz val="10"/>
        <color rgb="FF000000"/>
        <rFont val="WenQuanYi Zen Hei"/>
        <family val="2"/>
      </rPr>
      <t xml:space="preserve">）</t>
    </r>
  </si>
  <si>
    <t xml:space="preserve">井上　大堵</t>
  </si>
  <si>
    <t xml:space="preserve">藤岡　凌</t>
  </si>
  <si>
    <t xml:space="preserve">神戸市立高</t>
  </si>
  <si>
    <t xml:space="preserve">松井　大晴</t>
  </si>
  <si>
    <t xml:space="preserve">柳ケ浦高</t>
  </si>
  <si>
    <t xml:space="preserve">大川　暖人</t>
  </si>
  <si>
    <t xml:space="preserve">中根　俊</t>
  </si>
  <si>
    <t xml:space="preserve">元石川高</t>
  </si>
  <si>
    <t xml:space="preserve">高木　煌士</t>
  </si>
  <si>
    <t xml:space="preserve">市西京高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</si>
  <si>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102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33:03</t>
    </r>
    <r>
      <rPr>
        <sz val="10"/>
        <color rgb="FF000000"/>
        <rFont val="WenQuanYi Zen Hei"/>
        <family val="2"/>
      </rPr>
      <t xml:space="preserve">）</t>
    </r>
  </si>
  <si>
    <t xml:space="preserve">茂木　琉一叶</t>
  </si>
  <si>
    <t xml:space="preserve">植田　七碧</t>
  </si>
  <si>
    <t xml:space="preserve">宝塚東高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</si>
  <si>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107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34:10</t>
    </r>
    <r>
      <rPr>
        <sz val="10"/>
        <color rgb="FF000000"/>
        <rFont val="WenQuanYi Zen Hei"/>
        <family val="2"/>
      </rPr>
      <t xml:space="preserve">）</t>
    </r>
  </si>
  <si>
    <t xml:space="preserve">井上　広翔</t>
  </si>
  <si>
    <t xml:space="preserve">田口　瑛太</t>
  </si>
  <si>
    <t xml:space="preserve">山田　悠斗</t>
  </si>
  <si>
    <t xml:space="preserve">上田　怜央</t>
  </si>
  <si>
    <t xml:space="preserve">開建高</t>
  </si>
  <si>
    <t xml:space="preserve">中村　優希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</si>
  <si>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27:07</t>
    </r>
    <r>
      <rPr>
        <sz val="10"/>
        <color rgb="FF000000"/>
        <rFont val="WenQuanYi Zen Hei"/>
        <family val="2"/>
      </rPr>
      <t xml:space="preserve">）</t>
    </r>
  </si>
  <si>
    <t xml:space="preserve">同名の別選手あり（高崎高）</t>
  </si>
  <si>
    <t xml:space="preserve">前成　翔大</t>
  </si>
  <si>
    <t xml:space="preserve">楽満　柊真</t>
  </si>
  <si>
    <t xml:space="preserve">鵬学園高</t>
  </si>
  <si>
    <t xml:space="preserve">桃尾　奏志</t>
  </si>
  <si>
    <t xml:space="preserve">神戸高塚高</t>
  </si>
  <si>
    <t xml:space="preserve">平田　央亮</t>
  </si>
  <si>
    <t xml:space="preserve">松本　大河</t>
  </si>
  <si>
    <t xml:space="preserve">堀出　謡</t>
  </si>
  <si>
    <t xml:space="preserve">小村　匠</t>
  </si>
  <si>
    <t xml:space="preserve">榊原　錬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</si>
  <si>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15:48</t>
    </r>
    <r>
      <rPr>
        <sz val="10"/>
        <color rgb="FF000000"/>
        <rFont val="WenQuanYi Zen Hei"/>
        <family val="2"/>
      </rPr>
      <t xml:space="preserve">）</t>
    </r>
  </si>
  <si>
    <t xml:space="preserve">溝口　蒼太</t>
  </si>
  <si>
    <t xml:space="preserve">立花学園高</t>
  </si>
  <si>
    <t xml:space="preserve">鈴木　蒼真</t>
  </si>
  <si>
    <t xml:space="preserve">新垣　朝大</t>
  </si>
  <si>
    <t xml:space="preserve">田中　櫂吏</t>
  </si>
  <si>
    <t xml:space="preserve">三条高</t>
  </si>
  <si>
    <t xml:space="preserve">大隈　里玖</t>
  </si>
  <si>
    <t xml:space="preserve">橘田　太陽</t>
  </si>
  <si>
    <t xml:space="preserve">向井　駿</t>
  </si>
  <si>
    <t xml:space="preserve">戸高　友翔</t>
  </si>
  <si>
    <t xml:space="preserve">川野　稜樹</t>
  </si>
  <si>
    <t xml:space="preserve">富岡西高</t>
  </si>
  <si>
    <t xml:space="preserve">山下　陽南太</t>
  </si>
  <si>
    <t xml:space="preserve">岡村　奏汰</t>
  </si>
  <si>
    <t xml:space="preserve">野添　智葵</t>
  </si>
  <si>
    <t xml:space="preserve">小倉南高</t>
  </si>
  <si>
    <t xml:space="preserve">野口　匠</t>
  </si>
  <si>
    <t xml:space="preserve">石岡一高</t>
  </si>
  <si>
    <t xml:space="preserve">夜野　統真</t>
  </si>
  <si>
    <t xml:space="preserve">大津商高</t>
  </si>
  <si>
    <t xml:space="preserve">大場　俊輔</t>
  </si>
  <si>
    <t xml:space="preserve">木村　有友</t>
  </si>
  <si>
    <t xml:space="preserve">浅海　有星</t>
  </si>
  <si>
    <t xml:space="preserve">本間　日葵</t>
  </si>
  <si>
    <t xml:space="preserve">佐渡高</t>
  </si>
  <si>
    <t xml:space="preserve">星名　康希</t>
  </si>
  <si>
    <t xml:space="preserve">山口紋治郎</t>
  </si>
  <si>
    <t xml:space="preserve">創成館高</t>
  </si>
  <si>
    <t xml:space="preserve">山根　一希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</si>
  <si>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27:03</t>
    </r>
    <r>
      <rPr>
        <sz val="10"/>
        <color rgb="FF000000"/>
        <rFont val="WenQuanYi Zen Hei"/>
        <family val="2"/>
      </rPr>
      <t xml:space="preserve">）</t>
    </r>
  </si>
  <si>
    <t xml:space="preserve">梅山　優志</t>
  </si>
  <si>
    <t xml:space="preserve">大分舞鶴高</t>
  </si>
  <si>
    <t xml:space="preserve">野下　慶太</t>
  </si>
  <si>
    <t xml:space="preserve">湘南工科大附高</t>
  </si>
  <si>
    <t xml:space="preserve">柴山　英士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</si>
  <si>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16:20</t>
    </r>
    <r>
      <rPr>
        <sz val="10"/>
        <color rgb="FF000000"/>
        <rFont val="WenQuanYi Zen Hei"/>
        <family val="2"/>
      </rPr>
      <t xml:space="preserve">）</t>
    </r>
  </si>
  <si>
    <t xml:space="preserve">木村　蓮</t>
  </si>
  <si>
    <t xml:space="preserve">同名の別選手あり（平田高）</t>
  </si>
  <si>
    <t xml:space="preserve">高麗　颯太</t>
  </si>
  <si>
    <t xml:space="preserve">入江　陽希</t>
  </si>
  <si>
    <t xml:space="preserve">重村　仁稀</t>
  </si>
  <si>
    <t xml:space="preserve">秦野高</t>
  </si>
  <si>
    <t xml:space="preserve">石田　竜己</t>
  </si>
  <si>
    <t xml:space="preserve">石井　晴翔</t>
  </si>
  <si>
    <t xml:space="preserve">北川　依吹</t>
  </si>
  <si>
    <t xml:space="preserve">石井　翔</t>
  </si>
  <si>
    <t xml:space="preserve">よろしく真岡高</t>
  </si>
  <si>
    <t xml:space="preserve">小田島　啓吾</t>
  </si>
  <si>
    <t xml:space="preserve">及川　郁人</t>
  </si>
  <si>
    <t xml:space="preserve">横手高</t>
  </si>
  <si>
    <t xml:space="preserve">内田　悠斗</t>
  </si>
  <si>
    <t xml:space="preserve">大船高</t>
  </si>
  <si>
    <t xml:space="preserve">横山　数馬</t>
  </si>
  <si>
    <t xml:space="preserve">柴原　史弥</t>
  </si>
  <si>
    <t xml:space="preserve">須田　裕大</t>
  </si>
  <si>
    <t xml:space="preserve">桜美林高</t>
  </si>
  <si>
    <t xml:space="preserve">武下　爽祐</t>
  </si>
  <si>
    <t xml:space="preserve">清水　遥貴</t>
  </si>
  <si>
    <t xml:space="preserve">吉田　竣貴</t>
  </si>
  <si>
    <t xml:space="preserve">田中　明斗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</si>
  <si>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28:26</t>
    </r>
    <r>
      <rPr>
        <sz val="10"/>
        <color rgb="FF000000"/>
        <rFont val="WenQuanYi Zen Hei"/>
        <family val="2"/>
      </rPr>
      <t xml:space="preserve">）</t>
    </r>
  </si>
  <si>
    <t xml:space="preserve">小沢逸己</t>
  </si>
  <si>
    <t xml:space="preserve">浜松工高</t>
  </si>
  <si>
    <t xml:space="preserve">田中　陽太</t>
  </si>
  <si>
    <t xml:space="preserve">吾妻中央高</t>
  </si>
  <si>
    <t xml:space="preserve">山口　怜士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</si>
  <si>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27:11</t>
    </r>
    <r>
      <rPr>
        <sz val="10"/>
        <color rgb="FF000000"/>
        <rFont val="WenQuanYi Zen Hei"/>
        <family val="2"/>
      </rPr>
      <t xml:space="preserve">）</t>
    </r>
  </si>
  <si>
    <t xml:space="preserve">野口　優介</t>
  </si>
  <si>
    <t xml:space="preserve">種本　翔</t>
  </si>
  <si>
    <t xml:space="preserve">小林　咲斗</t>
  </si>
  <si>
    <t xml:space="preserve">井上　晄汰</t>
  </si>
  <si>
    <t xml:space="preserve">佐藤　光</t>
  </si>
  <si>
    <t xml:space="preserve">中沢　颯大</t>
  </si>
  <si>
    <t xml:space="preserve">大川　和真</t>
  </si>
  <si>
    <t xml:space="preserve">小玉　宗時朗</t>
  </si>
  <si>
    <t xml:space="preserve">大村　陽斗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</si>
  <si>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9:08</t>
    </r>
    <r>
      <rPr>
        <sz val="10"/>
        <color rgb="FF000000"/>
        <rFont val="WenQuanYi Zen Hei"/>
        <family val="2"/>
      </rPr>
      <t xml:space="preserve">）</t>
    </r>
  </si>
  <si>
    <t xml:space="preserve">石坂　太季</t>
  </si>
  <si>
    <t xml:space="preserve">岡崎　隼士</t>
  </si>
  <si>
    <t xml:space="preserve">大社高</t>
  </si>
  <si>
    <t xml:space="preserve">菊池　玲音</t>
  </si>
  <si>
    <t xml:space="preserve">白鴎大足利高</t>
  </si>
  <si>
    <t xml:space="preserve">島宗　庚成</t>
  </si>
  <si>
    <t xml:space="preserve">高橋　空也</t>
  </si>
  <si>
    <t xml:space="preserve">山口　陽希</t>
  </si>
  <si>
    <t xml:space="preserve">城北学園城北高</t>
  </si>
  <si>
    <t xml:space="preserve">小川　陽生</t>
  </si>
  <si>
    <t xml:space="preserve">瀬田　淳太</t>
  </si>
  <si>
    <t xml:space="preserve">卯西　陽之</t>
  </si>
  <si>
    <t xml:space="preserve">太刀川　豪</t>
  </si>
  <si>
    <t xml:space="preserve">茅ケ崎市陸協</t>
  </si>
  <si>
    <t xml:space="preserve">渡辺　成理</t>
  </si>
  <si>
    <t xml:space="preserve">山田　健太</t>
  </si>
  <si>
    <t xml:space="preserve">大豆生田　竜世</t>
  </si>
  <si>
    <t xml:space="preserve">土谷　陸斗</t>
  </si>
  <si>
    <t xml:space="preserve">鈴木　結斗</t>
  </si>
  <si>
    <t xml:space="preserve">酢谷　椋太</t>
  </si>
  <si>
    <t xml:space="preserve">浜上　結心</t>
  </si>
  <si>
    <t xml:space="preserve">片岡　大河</t>
  </si>
  <si>
    <t xml:space="preserve">美祢青嶺高</t>
  </si>
  <si>
    <t xml:space="preserve">小椋　颯人</t>
  </si>
  <si>
    <t xml:space="preserve">修道高</t>
  </si>
  <si>
    <t xml:space="preserve">金子　泰蔵</t>
  </si>
  <si>
    <t xml:space="preserve">秋田高</t>
  </si>
  <si>
    <t xml:space="preserve">西田　聖哉</t>
  </si>
  <si>
    <t xml:space="preserve">玉井　悠斗</t>
  </si>
  <si>
    <t xml:space="preserve">四日市高</t>
  </si>
  <si>
    <t xml:space="preserve">小西　快</t>
  </si>
  <si>
    <t xml:space="preserve">白幡　希音</t>
  </si>
  <si>
    <t xml:space="preserve">鶴岡東高</t>
  </si>
  <si>
    <t xml:space="preserve">高橋　直之</t>
  </si>
  <si>
    <t xml:space="preserve">福山誠之館高</t>
  </si>
  <si>
    <t xml:space="preserve">石坂　翔</t>
  </si>
  <si>
    <t xml:space="preserve">田中　清士郎</t>
  </si>
  <si>
    <t xml:space="preserve">山崎　智也</t>
  </si>
  <si>
    <t xml:space="preserve">的場　大季</t>
  </si>
  <si>
    <t xml:space="preserve">札幌南高</t>
  </si>
  <si>
    <t xml:space="preserve">小林　大晟</t>
  </si>
  <si>
    <t xml:space="preserve">盛本　滝</t>
  </si>
  <si>
    <t xml:space="preserve">中村紳太郎</t>
  </si>
  <si>
    <t xml:space="preserve">佐世保北高</t>
  </si>
  <si>
    <t xml:space="preserve">甲田　優斗</t>
  </si>
  <si>
    <t xml:space="preserve">保土ケ谷高</t>
  </si>
  <si>
    <t xml:space="preserve">中山　陽登</t>
  </si>
  <si>
    <t xml:space="preserve">横浜翠嵐高</t>
  </si>
  <si>
    <t xml:space="preserve">野口　琉</t>
  </si>
  <si>
    <t xml:space="preserve">渡辺　流空</t>
  </si>
  <si>
    <t xml:space="preserve">稲田　応祐</t>
  </si>
  <si>
    <t xml:space="preserve">土谷　侑奨</t>
  </si>
  <si>
    <t xml:space="preserve">蕨高</t>
  </si>
  <si>
    <t xml:space="preserve">城　 　颯利</t>
  </si>
  <si>
    <t xml:space="preserve">鴫原　蒼祐</t>
  </si>
  <si>
    <t xml:space="preserve">桑原　幸水</t>
  </si>
  <si>
    <t xml:space="preserve">早稲田大阪高</t>
  </si>
  <si>
    <t xml:space="preserve">福田　煌叶</t>
  </si>
  <si>
    <t xml:space="preserve">松田　健汰</t>
  </si>
  <si>
    <t xml:space="preserve">星稜高</t>
  </si>
  <si>
    <t xml:space="preserve">新沢　愛翔</t>
  </si>
  <si>
    <t xml:space="preserve">伊藤　功太</t>
  </si>
  <si>
    <t xml:space="preserve">長浜　快柾</t>
  </si>
  <si>
    <t xml:space="preserve">諌早高</t>
  </si>
  <si>
    <t xml:space="preserve">森元　桜介</t>
  </si>
  <si>
    <t xml:space="preserve">北岡　瑛人</t>
  </si>
  <si>
    <t xml:space="preserve">鳥取中央育英高</t>
  </si>
  <si>
    <t xml:space="preserve">小西　温葵</t>
  </si>
  <si>
    <t xml:space="preserve">安永　陽悠</t>
  </si>
  <si>
    <t xml:space="preserve">宗像高</t>
  </si>
  <si>
    <t xml:space="preserve">橋　 　千景</t>
  </si>
  <si>
    <t xml:space="preserve">庄司　蓮</t>
  </si>
  <si>
    <t xml:space="preserve">藤原　柳希</t>
  </si>
  <si>
    <t xml:space="preserve">平野　裕介</t>
  </si>
  <si>
    <t xml:space="preserve">重成　篤希</t>
  </si>
  <si>
    <t xml:space="preserve">瀬戸口　侑聖</t>
  </si>
  <si>
    <t xml:space="preserve">夏井　敦慎</t>
  </si>
  <si>
    <t xml:space="preserve">篠田　恵太</t>
  </si>
  <si>
    <t xml:space="preserve">北見北斗高</t>
  </si>
  <si>
    <t xml:space="preserve">植原　康瑛</t>
  </si>
  <si>
    <t xml:space="preserve">笛吹高</t>
  </si>
  <si>
    <t xml:space="preserve">東出　海</t>
  </si>
  <si>
    <t xml:space="preserve">山口　蓮人</t>
  </si>
  <si>
    <t xml:space="preserve">河村　翔琉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</si>
  <si>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9:00</t>
    </r>
    <r>
      <rPr>
        <sz val="10"/>
        <color rgb="FF000000"/>
        <rFont val="WenQuanYi Zen Hei"/>
        <family val="2"/>
      </rPr>
      <t xml:space="preserve">）</t>
    </r>
  </si>
  <si>
    <t xml:space="preserve">中松　丈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</si>
  <si>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26:22</t>
    </r>
    <r>
      <rPr>
        <sz val="10"/>
        <color rgb="FF000000"/>
        <rFont val="WenQuanYi Zen Hei"/>
        <family val="2"/>
      </rPr>
      <t xml:space="preserve">）</t>
    </r>
  </si>
  <si>
    <t xml:space="preserve">福田　悠介</t>
  </si>
  <si>
    <t xml:space="preserve">都城工高</t>
  </si>
  <si>
    <t xml:space="preserve">古宇田　樹輝</t>
  </si>
  <si>
    <t xml:space="preserve">盛山　晴空</t>
  </si>
  <si>
    <t xml:space="preserve">佐藤　多聞</t>
  </si>
  <si>
    <t xml:space="preserve">新潟南高</t>
  </si>
  <si>
    <t xml:space="preserve">小島　孝太</t>
  </si>
  <si>
    <t xml:space="preserve">斎藤　瑚二郎</t>
  </si>
  <si>
    <t xml:space="preserve">五味　洸尊</t>
  </si>
  <si>
    <t xml:space="preserve">佐田野　永久</t>
  </si>
  <si>
    <t xml:space="preserve">古厩　慎二</t>
  </si>
  <si>
    <t xml:space="preserve">大和高</t>
  </si>
  <si>
    <t xml:space="preserve">小笠原　悠椰</t>
  </si>
  <si>
    <t xml:space="preserve">妹尾　大希</t>
  </si>
  <si>
    <t xml:space="preserve">藤本　悠平</t>
  </si>
  <si>
    <t xml:space="preserve">銭谷　光聖</t>
  </si>
  <si>
    <t xml:space="preserve">兵藤　陸都</t>
  </si>
  <si>
    <t xml:space="preserve">飯塚　想太</t>
  </si>
  <si>
    <t xml:space="preserve">清田　航羽</t>
  </si>
  <si>
    <t xml:space="preserve">津上　皓丞</t>
  </si>
  <si>
    <t xml:space="preserve">伊藤　蒼</t>
  </si>
  <si>
    <t xml:space="preserve">高岡　帝</t>
  </si>
  <si>
    <t xml:space="preserve">林　 　和輝</t>
  </si>
  <si>
    <t xml:space="preserve">佐野本　大地</t>
  </si>
  <si>
    <t xml:space="preserve">首藤　聡汰</t>
  </si>
  <si>
    <t xml:space="preserve">高木龍太郎</t>
  </si>
  <si>
    <t xml:space="preserve">峰野　椋太</t>
  </si>
  <si>
    <t xml:space="preserve">久野　温正</t>
  </si>
  <si>
    <t xml:space="preserve">判治　直哉</t>
  </si>
  <si>
    <t xml:space="preserve">西田　泰斗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</si>
  <si>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16:16</t>
    </r>
    <r>
      <rPr>
        <sz val="10"/>
        <color rgb="FF000000"/>
        <rFont val="WenQuanYi Zen Hei"/>
        <family val="2"/>
      </rPr>
      <t xml:space="preserve">）</t>
    </r>
  </si>
  <si>
    <t xml:space="preserve">高島　悠成</t>
  </si>
  <si>
    <t xml:space="preserve">小阪　琉碧</t>
  </si>
  <si>
    <t xml:space="preserve">長谷川　皓平</t>
  </si>
  <si>
    <t xml:space="preserve">上妻　悠哉</t>
  </si>
  <si>
    <t xml:space="preserve">熊本国府高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</si>
  <si>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27:09</t>
    </r>
    <r>
      <rPr>
        <sz val="10"/>
        <color rgb="FF000000"/>
        <rFont val="WenQuanYi Zen Hei"/>
        <family val="2"/>
      </rPr>
      <t xml:space="preserve">）</t>
    </r>
  </si>
  <si>
    <t xml:space="preserve">篠藤　涼太</t>
  </si>
  <si>
    <t xml:space="preserve">浜名　海里</t>
  </si>
  <si>
    <t xml:space="preserve">村山　功揮</t>
  </si>
  <si>
    <t xml:space="preserve">多々良　亮那</t>
  </si>
  <si>
    <t xml:space="preserve">吉野　優大</t>
  </si>
  <si>
    <t xml:space="preserve">若生　翼</t>
  </si>
  <si>
    <t xml:space="preserve">舞岡高</t>
  </si>
  <si>
    <t xml:space="preserve">大久保　太晴</t>
  </si>
  <si>
    <t xml:space="preserve">専大熊本高</t>
  </si>
  <si>
    <t xml:space="preserve">野口祐之介</t>
  </si>
  <si>
    <t xml:space="preserve">望月　光太</t>
  </si>
  <si>
    <t xml:space="preserve">鈴木　竣太</t>
  </si>
  <si>
    <t xml:space="preserve">座光寺　奏</t>
  </si>
  <si>
    <t xml:space="preserve">小松　大将</t>
  </si>
  <si>
    <t xml:space="preserve">木南　佑哉</t>
  </si>
  <si>
    <t xml:space="preserve">成田　陸翔</t>
  </si>
  <si>
    <t xml:space="preserve">熊谷西高</t>
  </si>
  <si>
    <t xml:space="preserve">頼正　悠人</t>
  </si>
  <si>
    <t xml:space="preserve">岡山朝日高</t>
  </si>
  <si>
    <t xml:space="preserve">堀　 　早汰</t>
  </si>
  <si>
    <t xml:space="preserve">坂口　智明</t>
  </si>
  <si>
    <t xml:space="preserve">市葺合高</t>
  </si>
  <si>
    <t xml:space="preserve">田中　智仁</t>
  </si>
  <si>
    <t xml:space="preserve">浦和高</t>
  </si>
  <si>
    <t xml:space="preserve">緒方　悠人</t>
  </si>
  <si>
    <t xml:space="preserve">糸島高</t>
  </si>
  <si>
    <t xml:space="preserve">中尾　瞭佑</t>
  </si>
  <si>
    <t xml:space="preserve">和田　龍真</t>
  </si>
  <si>
    <t xml:space="preserve">燕　 　文哉</t>
  </si>
  <si>
    <t xml:space="preserve">山田　漣</t>
  </si>
  <si>
    <t xml:space="preserve">品田　新雄</t>
  </si>
  <si>
    <t xml:space="preserve">三沢高</t>
  </si>
  <si>
    <t xml:space="preserve">伊藤　成</t>
  </si>
  <si>
    <t xml:space="preserve">辻江　皓</t>
  </si>
  <si>
    <t xml:space="preserve">秋元　一葵</t>
  </si>
  <si>
    <t xml:space="preserve">都昭和高</t>
  </si>
  <si>
    <t xml:space="preserve">俣野　煌大</t>
  </si>
  <si>
    <t xml:space="preserve">三明　淳一</t>
  </si>
  <si>
    <t xml:space="preserve">大多和学園開星高</t>
  </si>
  <si>
    <t xml:space="preserve">中嶋　悠翔</t>
  </si>
  <si>
    <t xml:space="preserve">井沢　輝</t>
  </si>
  <si>
    <t xml:space="preserve">木川　恒輝</t>
  </si>
  <si>
    <t xml:space="preserve">条野　冬也</t>
  </si>
  <si>
    <t xml:space="preserve">菊池　悠太</t>
  </si>
  <si>
    <t xml:space="preserve">盛岡市立高</t>
  </si>
  <si>
    <t xml:space="preserve">野口　諒太郎</t>
  </si>
  <si>
    <t xml:space="preserve">八王子高</t>
  </si>
  <si>
    <t xml:space="preserve">竹内　孔哉</t>
  </si>
  <si>
    <t xml:space="preserve">名城大附高</t>
  </si>
  <si>
    <t xml:space="preserve">岡本　玲哉</t>
  </si>
  <si>
    <t xml:space="preserve">校名表記：智弁和歌山／智弁学園和歌山高</t>
  </si>
  <si>
    <t xml:space="preserve">角掛　涼太</t>
  </si>
  <si>
    <t xml:space="preserve">金泉　陽向</t>
  </si>
  <si>
    <t xml:space="preserve">松本　玄</t>
  </si>
  <si>
    <t xml:space="preserve">野副　智葵</t>
  </si>
  <si>
    <t xml:space="preserve">高橋　泰晴</t>
  </si>
  <si>
    <t xml:space="preserve">法大Ⅱ部高</t>
  </si>
  <si>
    <t xml:space="preserve">石沢　聖成</t>
  </si>
  <si>
    <t xml:space="preserve">加茂　史也</t>
  </si>
  <si>
    <t xml:space="preserve">姫野　来都</t>
  </si>
  <si>
    <t xml:space="preserve">小海　温人</t>
  </si>
  <si>
    <t xml:space="preserve">上田　陽士</t>
  </si>
  <si>
    <t xml:space="preserve">小津高</t>
  </si>
  <si>
    <t xml:space="preserve">長野　煌史</t>
  </si>
  <si>
    <t xml:space="preserve">辻江　晧</t>
  </si>
  <si>
    <t xml:space="preserve">深谷　将寛</t>
  </si>
  <si>
    <t xml:space="preserve">石田　握杜</t>
  </si>
  <si>
    <t xml:space="preserve">箕面自由学園高</t>
  </si>
  <si>
    <t xml:space="preserve">野口　遼太郎</t>
  </si>
  <si>
    <t xml:space="preserve">西村　駿汰</t>
  </si>
  <si>
    <t xml:space="preserve">県岐阜商高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</si>
  <si>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32:22</t>
    </r>
    <r>
      <rPr>
        <sz val="10"/>
        <color rgb="FF000000"/>
        <rFont val="WenQuanYi Zen Hei"/>
        <family val="2"/>
      </rPr>
      <t xml:space="preserve">）</t>
    </r>
  </si>
  <si>
    <t xml:space="preserve">古川　幸典</t>
  </si>
  <si>
    <t xml:space="preserve">福岡大附大濠高</t>
  </si>
  <si>
    <t xml:space="preserve">丸山　駿介</t>
  </si>
  <si>
    <t xml:space="preserve">田村　龍</t>
  </si>
  <si>
    <t xml:space="preserve">松山北高</t>
  </si>
  <si>
    <t xml:space="preserve">鈴木　蓮太郎</t>
  </si>
  <si>
    <t xml:space="preserve">津村　輝真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</si>
  <si>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15:15</t>
    </r>
    <r>
      <rPr>
        <sz val="10"/>
        <color rgb="FF000000"/>
        <rFont val="WenQuanYi Zen Hei"/>
        <family val="2"/>
      </rPr>
      <t xml:space="preserve">）</t>
    </r>
  </si>
  <si>
    <t xml:space="preserve">山口　祐生</t>
  </si>
  <si>
    <t xml:space="preserve">河野　柊輝</t>
  </si>
  <si>
    <t xml:space="preserve">牧野　快飛</t>
  </si>
  <si>
    <t xml:space="preserve">富士高</t>
  </si>
  <si>
    <t xml:space="preserve">小林　泰地</t>
  </si>
  <si>
    <t xml:space="preserve">姫路西高</t>
  </si>
  <si>
    <t xml:space="preserve">谷　 　圭悟</t>
  </si>
  <si>
    <t xml:space="preserve">近藤　聖真</t>
  </si>
  <si>
    <t xml:space="preserve">弘大医陸高</t>
  </si>
  <si>
    <t xml:space="preserve">古堅　翔也</t>
  </si>
  <si>
    <t xml:space="preserve">那覇西高</t>
  </si>
  <si>
    <t xml:space="preserve">尾崎　柾斗</t>
  </si>
  <si>
    <t xml:space="preserve">桜丘高</t>
  </si>
  <si>
    <t xml:space="preserve">高山　慧太</t>
  </si>
  <si>
    <t xml:space="preserve">谷口　隼太</t>
  </si>
  <si>
    <t xml:space="preserve">長岡　佑悟</t>
  </si>
  <si>
    <t xml:space="preserve">宇和島東高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</si>
  <si>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103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33:10</t>
    </r>
    <r>
      <rPr>
        <sz val="10"/>
        <color rgb="FF000000"/>
        <rFont val="WenQuanYi Zen Hei"/>
        <family val="2"/>
      </rPr>
      <t xml:space="preserve">）</t>
    </r>
  </si>
  <si>
    <t xml:space="preserve">津田野　凌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</si>
  <si>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100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27:32</t>
    </r>
    <r>
      <rPr>
        <sz val="10"/>
        <color rgb="FF000000"/>
        <rFont val="WenQuanYi Zen Hei"/>
        <family val="2"/>
      </rPr>
      <t xml:space="preserve">）</t>
    </r>
  </si>
  <si>
    <t xml:space="preserve">綱　 　望夢</t>
  </si>
  <si>
    <t xml:space="preserve">埼玉陸協</t>
  </si>
  <si>
    <t xml:space="preserve">岡田　一輝</t>
  </si>
  <si>
    <t xml:space="preserve">向陽高</t>
  </si>
  <si>
    <t xml:space="preserve">本間　遥裕</t>
  </si>
  <si>
    <t xml:space="preserve">塚本　真優斗</t>
  </si>
  <si>
    <t xml:space="preserve">皇学館高</t>
  </si>
  <si>
    <t xml:space="preserve">吉川　僚</t>
  </si>
  <si>
    <t xml:space="preserve">西湘高</t>
  </si>
  <si>
    <t xml:space="preserve">広田　悠斗</t>
  </si>
  <si>
    <t xml:space="preserve">岩美高</t>
  </si>
  <si>
    <t xml:space="preserve">関沢　陽希</t>
  </si>
  <si>
    <t xml:space="preserve">水島　優</t>
  </si>
  <si>
    <t xml:space="preserve">上田　康誠</t>
  </si>
  <si>
    <t xml:space="preserve">野口　慎悟</t>
  </si>
  <si>
    <t xml:space="preserve">帝京長岡高</t>
  </si>
  <si>
    <t xml:space="preserve">楠　 　璽帥</t>
  </si>
  <si>
    <t xml:space="preserve">富岡　弥雲</t>
  </si>
  <si>
    <t xml:space="preserve">横山　大翔</t>
  </si>
  <si>
    <t xml:space="preserve">菖池　隆介</t>
  </si>
  <si>
    <t xml:space="preserve">一宮高</t>
  </si>
  <si>
    <t xml:space="preserve">皆川　航瑠</t>
  </si>
  <si>
    <t xml:space="preserve">札幌一高</t>
  </si>
  <si>
    <t xml:space="preserve">佐藤　有人</t>
  </si>
  <si>
    <t xml:space="preserve">平田　琉晟</t>
  </si>
  <si>
    <t xml:space="preserve">愛知産大三河高</t>
  </si>
  <si>
    <t xml:space="preserve">湯川　瑛斗</t>
  </si>
  <si>
    <t xml:space="preserve">勝呂　颯太</t>
  </si>
  <si>
    <t xml:space="preserve">山本希海</t>
  </si>
  <si>
    <t xml:space="preserve">武田　真統</t>
  </si>
  <si>
    <t xml:space="preserve">小島　隆暉</t>
  </si>
  <si>
    <t xml:space="preserve">坂本　智哉</t>
  </si>
  <si>
    <t xml:space="preserve">宇土高</t>
  </si>
  <si>
    <t xml:space="preserve">久保田莉央</t>
  </si>
  <si>
    <t xml:space="preserve">茂籠　和生</t>
  </si>
  <si>
    <t xml:space="preserve">山中　悠輔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</si>
  <si>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15:58</t>
    </r>
    <r>
      <rPr>
        <sz val="10"/>
        <color rgb="FF000000"/>
        <rFont val="WenQuanYi Zen Hei"/>
        <family val="2"/>
      </rPr>
      <t xml:space="preserve">）</t>
    </r>
  </si>
  <si>
    <t xml:space="preserve">雜賀　温大</t>
  </si>
  <si>
    <t xml:space="preserve">高山　力帆</t>
  </si>
  <si>
    <t xml:space="preserve">浜松商高</t>
  </si>
  <si>
    <t xml:space="preserve">浅海　太勇</t>
  </si>
  <si>
    <t xml:space="preserve">坂野　優心</t>
  </si>
  <si>
    <t xml:space="preserve">藤沢　勝猛</t>
  </si>
  <si>
    <t xml:space="preserve">市立太田高</t>
  </si>
  <si>
    <t xml:space="preserve">立花　愛士</t>
  </si>
  <si>
    <t xml:space="preserve">飾磨工高</t>
  </si>
  <si>
    <t xml:space="preserve">須藤　幸輝</t>
  </si>
  <si>
    <t xml:space="preserve">下妻一高</t>
  </si>
  <si>
    <t xml:space="preserve">奥村　瑛斗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</si>
  <si>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9:38</t>
    </r>
    <r>
      <rPr>
        <sz val="10"/>
        <color rgb="FF000000"/>
        <rFont val="WenQuanYi Zen Hei"/>
        <family val="2"/>
      </rPr>
      <t xml:space="preserve">）</t>
    </r>
  </si>
  <si>
    <t xml:space="preserve">河合　淳之介</t>
  </si>
  <si>
    <t xml:space="preserve">東　 　直輝</t>
  </si>
  <si>
    <t xml:space="preserve">荒　 　遥斗</t>
  </si>
  <si>
    <t xml:space="preserve">掛川西高</t>
  </si>
  <si>
    <t xml:space="preserve">紀　 　将司</t>
  </si>
  <si>
    <t xml:space="preserve">上原　衣月</t>
  </si>
  <si>
    <t xml:space="preserve">後藤　漱介</t>
  </si>
  <si>
    <t xml:space="preserve">森下真乃介</t>
  </si>
  <si>
    <t xml:space="preserve">杉本　瑛汰</t>
  </si>
  <si>
    <t xml:space="preserve">札幌東高</t>
  </si>
  <si>
    <t xml:space="preserve">西原　蒼士</t>
  </si>
  <si>
    <t xml:space="preserve">古川　寛貴</t>
  </si>
  <si>
    <t xml:space="preserve">田中　遥</t>
  </si>
  <si>
    <t xml:space="preserve">福岡高</t>
  </si>
  <si>
    <t xml:space="preserve">中村　公洋</t>
  </si>
  <si>
    <t xml:space="preserve">船橋芝山高</t>
  </si>
  <si>
    <t xml:space="preserve">名倉　立晟</t>
  </si>
  <si>
    <t xml:space="preserve">浜松北高</t>
  </si>
  <si>
    <t xml:space="preserve">唐木　陽大</t>
  </si>
  <si>
    <t xml:space="preserve">中川　琉暉</t>
  </si>
  <si>
    <t xml:space="preserve">山崎　湊太</t>
  </si>
  <si>
    <t xml:space="preserve">渋谷　諒</t>
  </si>
  <si>
    <t xml:space="preserve">三郷高</t>
  </si>
  <si>
    <t xml:space="preserve">久保　凪杜</t>
  </si>
  <si>
    <t xml:space="preserve">東海大附浦安高</t>
  </si>
  <si>
    <t xml:space="preserve">塩谷幸之助</t>
  </si>
  <si>
    <t xml:space="preserve">岡本　湧善</t>
  </si>
  <si>
    <t xml:space="preserve">浜口　昊太郎</t>
  </si>
  <si>
    <t xml:space="preserve">志学館高</t>
  </si>
  <si>
    <t xml:space="preserve">宮　 　大惺</t>
  </si>
  <si>
    <t xml:space="preserve">内野　遥翔</t>
  </si>
  <si>
    <t xml:space="preserve">野村　一馬</t>
  </si>
  <si>
    <t xml:space="preserve">松本　湊</t>
  </si>
  <si>
    <t xml:space="preserve">五島高</t>
  </si>
  <si>
    <t xml:space="preserve">一柳　航</t>
  </si>
  <si>
    <t xml:space="preserve">小牧高</t>
  </si>
  <si>
    <t xml:space="preserve">本田　皐介</t>
  </si>
  <si>
    <t xml:space="preserve">水戸　海志</t>
  </si>
  <si>
    <t xml:space="preserve">北広島高</t>
  </si>
  <si>
    <t xml:space="preserve">兼松　翔大</t>
  </si>
  <si>
    <t xml:space="preserve">嵯峨山　広太</t>
  </si>
  <si>
    <t xml:space="preserve">春日丘高</t>
  </si>
  <si>
    <t xml:space="preserve">三浦　颯斗</t>
  </si>
  <si>
    <t xml:space="preserve">尽誠学園高</t>
  </si>
  <si>
    <t xml:space="preserve">二見　樹</t>
  </si>
  <si>
    <t xml:space="preserve">小橋川　祐晟</t>
  </si>
  <si>
    <t xml:space="preserve">大釜　奏介</t>
  </si>
  <si>
    <t xml:space="preserve">追手門学院高</t>
  </si>
  <si>
    <t xml:space="preserve">水師　蒼太郎</t>
  </si>
  <si>
    <t xml:space="preserve">松江高</t>
  </si>
  <si>
    <t xml:space="preserve">校名表記：松江高専／松江高</t>
  </si>
  <si>
    <t xml:space="preserve">鈴木　龍河</t>
  </si>
  <si>
    <t xml:space="preserve">安藤陽太郎</t>
  </si>
  <si>
    <t xml:space="preserve">後藤　連</t>
  </si>
  <si>
    <t xml:space="preserve">成沢　尚希</t>
  </si>
  <si>
    <t xml:space="preserve">松代高</t>
  </si>
  <si>
    <t xml:space="preserve">田中　智葵</t>
  </si>
  <si>
    <t xml:space="preserve">西北苦楽園高</t>
  </si>
  <si>
    <t xml:space="preserve">古谷　太一</t>
  </si>
  <si>
    <t xml:space="preserve">樋口　翔優</t>
  </si>
  <si>
    <t xml:space="preserve">三池工高</t>
  </si>
  <si>
    <t xml:space="preserve">田宮　広翔</t>
  </si>
  <si>
    <t xml:space="preserve">前川　天輔</t>
  </si>
  <si>
    <t xml:space="preserve">神戸市科技高</t>
  </si>
  <si>
    <t xml:space="preserve">山口　隼</t>
  </si>
  <si>
    <t xml:space="preserve">松商学園高</t>
  </si>
  <si>
    <t xml:space="preserve">波間　優弥</t>
  </si>
  <si>
    <t xml:space="preserve">新発田中央高</t>
  </si>
  <si>
    <t xml:space="preserve">杉山　聖弥</t>
  </si>
  <si>
    <t xml:space="preserve">白樺学園高</t>
  </si>
  <si>
    <t xml:space="preserve">海老原　滉斗</t>
  </si>
  <si>
    <t xml:space="preserve">中熊　輝翔</t>
  </si>
  <si>
    <t xml:space="preserve">宮園　就也</t>
  </si>
  <si>
    <t xml:space="preserve">加治木高</t>
  </si>
  <si>
    <t xml:space="preserve">時本　悠生</t>
  </si>
  <si>
    <t xml:space="preserve">宝塚高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</si>
  <si>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15:55</t>
    </r>
    <r>
      <rPr>
        <sz val="10"/>
        <color rgb="FF000000"/>
        <rFont val="WenQuanYi Zen Hei"/>
        <family val="2"/>
      </rPr>
      <t xml:space="preserve">）</t>
    </r>
  </si>
  <si>
    <t xml:space="preserve">坂爪　樹</t>
  </si>
  <si>
    <t xml:space="preserve">越谷北高</t>
  </si>
  <si>
    <t xml:space="preserve">石田　拓也</t>
  </si>
  <si>
    <t xml:space="preserve">水戸商高</t>
  </si>
  <si>
    <t xml:space="preserve">小森　奏介</t>
  </si>
  <si>
    <t xml:space="preserve">高岡商高</t>
  </si>
  <si>
    <t xml:space="preserve">比嘉　大輔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</si>
  <si>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26:06</t>
    </r>
    <r>
      <rPr>
        <sz val="10"/>
        <color rgb="FF000000"/>
        <rFont val="WenQuanYi Zen Hei"/>
        <family val="2"/>
      </rPr>
      <t xml:space="preserve">）</t>
    </r>
  </si>
  <si>
    <t xml:space="preserve">平尾　輝久斗</t>
  </si>
  <si>
    <t xml:space="preserve">箕浦　新太</t>
  </si>
  <si>
    <t xml:space="preserve">城北高</t>
  </si>
  <si>
    <t xml:space="preserve">金井　孝太朗</t>
  </si>
  <si>
    <t xml:space="preserve">高崎高</t>
  </si>
  <si>
    <t xml:space="preserve">和田　遼大</t>
  </si>
  <si>
    <t xml:space="preserve">鹿角高</t>
  </si>
  <si>
    <t xml:space="preserve">小柳　和寛</t>
  </si>
  <si>
    <t xml:space="preserve">関西大倉高</t>
  </si>
  <si>
    <t xml:space="preserve">斎藤　鳳珠</t>
  </si>
  <si>
    <t xml:space="preserve">斎藤　陽</t>
  </si>
  <si>
    <t xml:space="preserve">中村　優月</t>
  </si>
  <si>
    <t xml:space="preserve">弥城　優太</t>
  </si>
  <si>
    <t xml:space="preserve">姫路工高</t>
  </si>
  <si>
    <t xml:space="preserve">小林　煌来</t>
  </si>
  <si>
    <t xml:space="preserve">大宮東高</t>
  </si>
  <si>
    <t xml:space="preserve">渡辺　圭汰</t>
  </si>
  <si>
    <t xml:space="preserve">横浜高</t>
  </si>
  <si>
    <t xml:space="preserve">清水　誠多朗</t>
  </si>
  <si>
    <t xml:space="preserve">大谷高</t>
  </si>
  <si>
    <t xml:space="preserve">加藤　陸斗</t>
  </si>
  <si>
    <t xml:space="preserve">仙台大附明成高</t>
  </si>
  <si>
    <t xml:space="preserve">東海　壮祐</t>
  </si>
  <si>
    <t xml:space="preserve">弘前南高</t>
  </si>
  <si>
    <t xml:space="preserve">柏木　紡</t>
  </si>
  <si>
    <t xml:space="preserve">津島東</t>
  </si>
  <si>
    <t xml:space="preserve">井上　海人</t>
  </si>
  <si>
    <t xml:space="preserve">聖光高</t>
  </si>
  <si>
    <t xml:space="preserve">高田　秀優</t>
  </si>
  <si>
    <t xml:space="preserve">岩崎　大芽</t>
  </si>
  <si>
    <t xml:space="preserve">鴨沂高</t>
  </si>
  <si>
    <t xml:space="preserve">北野谷　光騎</t>
  </si>
  <si>
    <t xml:space="preserve">佐藤　優志</t>
  </si>
  <si>
    <t xml:space="preserve">山下　実臣</t>
  </si>
  <si>
    <t xml:space="preserve">津島東高</t>
  </si>
  <si>
    <t xml:space="preserve">中屋　拓望</t>
  </si>
  <si>
    <t xml:space="preserve">富山東高</t>
  </si>
  <si>
    <t xml:space="preserve">松本　青龍</t>
  </si>
  <si>
    <t xml:space="preserve">日向高</t>
  </si>
  <si>
    <t xml:space="preserve">鈴木　祐磨</t>
  </si>
  <si>
    <t xml:space="preserve">日大山形高</t>
  </si>
  <si>
    <t xml:space="preserve">新藤　響</t>
  </si>
  <si>
    <t xml:space="preserve">佐藤　銀河</t>
  </si>
  <si>
    <t xml:space="preserve">九里学園高</t>
  </si>
  <si>
    <t xml:space="preserve">大河内　健太郎</t>
  </si>
  <si>
    <t xml:space="preserve">蒔田　晃己</t>
  </si>
  <si>
    <t xml:space="preserve">八戸西高</t>
  </si>
  <si>
    <t xml:space="preserve">山本　岳</t>
  </si>
  <si>
    <t xml:space="preserve">横浜南高</t>
  </si>
  <si>
    <t xml:space="preserve">袖　 　瑞希</t>
  </si>
  <si>
    <t xml:space="preserve">三輪　航大</t>
  </si>
  <si>
    <t xml:space="preserve">大津緑洋高</t>
  </si>
  <si>
    <t xml:space="preserve">竹田　大翔</t>
  </si>
  <si>
    <t xml:space="preserve">水篠　春樹</t>
  </si>
  <si>
    <t xml:space="preserve">八尾高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</si>
  <si>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106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17:39</t>
    </r>
    <r>
      <rPr>
        <sz val="10"/>
        <color rgb="FF000000"/>
        <rFont val="WenQuanYi Zen Hei"/>
        <family val="2"/>
      </rPr>
      <t xml:space="preserve">）</t>
    </r>
  </si>
  <si>
    <t xml:space="preserve">丸山　皓大</t>
  </si>
  <si>
    <t xml:space="preserve">金子　怜矢</t>
  </si>
  <si>
    <t xml:space="preserve">不動岡高</t>
  </si>
  <si>
    <t xml:space="preserve">星野　葵</t>
  </si>
  <si>
    <t xml:space="preserve">前田　泰我</t>
  </si>
  <si>
    <t xml:space="preserve">太田　至</t>
  </si>
  <si>
    <t xml:space="preserve">山下未来叶</t>
  </si>
  <si>
    <t xml:space="preserve">兵庫高</t>
  </si>
  <si>
    <t xml:space="preserve">仲尾　勇翔</t>
  </si>
  <si>
    <t xml:space="preserve">大宮南高</t>
  </si>
  <si>
    <t xml:space="preserve">有本　陸</t>
  </si>
  <si>
    <t xml:space="preserve">九平　来鷲</t>
  </si>
  <si>
    <t xml:space="preserve">石黒　和楽</t>
  </si>
  <si>
    <t xml:space="preserve">広島叡智学園高</t>
  </si>
  <si>
    <t xml:space="preserve">沢田　駈琉</t>
  </si>
  <si>
    <t xml:space="preserve">常葉大附菊川高</t>
  </si>
  <si>
    <t xml:space="preserve">水野　悠一朗</t>
  </si>
  <si>
    <t xml:space="preserve">東海南高</t>
  </si>
  <si>
    <t xml:space="preserve">竹本　珠吏</t>
  </si>
  <si>
    <t xml:space="preserve">岡田　篤弥</t>
  </si>
  <si>
    <t xml:space="preserve">白木　海音</t>
  </si>
  <si>
    <t xml:space="preserve">岡田　逞斗</t>
  </si>
  <si>
    <t xml:space="preserve">布野　央士</t>
  </si>
  <si>
    <t xml:space="preserve">神永直太朗</t>
  </si>
  <si>
    <t xml:space="preserve">松川　龍世</t>
  </si>
  <si>
    <t xml:space="preserve">本多　皇春</t>
  </si>
  <si>
    <t xml:space="preserve">福崎　エスネイデル</t>
  </si>
  <si>
    <t xml:space="preserve">播磨南高</t>
  </si>
  <si>
    <t xml:space="preserve">遠藤　一継</t>
  </si>
  <si>
    <t xml:space="preserve">東川高</t>
  </si>
  <si>
    <t xml:space="preserve">山本　碧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</si>
  <si>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17:18</t>
    </r>
    <r>
      <rPr>
        <sz val="10"/>
        <color rgb="FF000000"/>
        <rFont val="WenQuanYi Zen Hei"/>
        <family val="2"/>
      </rPr>
      <t xml:space="preserve">）</t>
    </r>
  </si>
  <si>
    <t xml:space="preserve">小島　典粋</t>
  </si>
  <si>
    <t xml:space="preserve">天野　晃汰</t>
  </si>
  <si>
    <t xml:space="preserve">小峰　太樹</t>
  </si>
  <si>
    <t xml:space="preserve">端　 　和洋</t>
  </si>
  <si>
    <t xml:space="preserve">謝　 　瑾軒</t>
  </si>
  <si>
    <t xml:space="preserve">草野　海成</t>
  </si>
  <si>
    <t xml:space="preserve">福島高</t>
  </si>
  <si>
    <t xml:space="preserve">加茂　大</t>
  </si>
  <si>
    <t xml:space="preserve">浜松湖北高</t>
  </si>
  <si>
    <t xml:space="preserve">森山　楽</t>
  </si>
  <si>
    <t xml:space="preserve">東海ＡＣ</t>
  </si>
  <si>
    <t xml:space="preserve">岸　 　優直</t>
  </si>
  <si>
    <t xml:space="preserve">紙谷　涼成</t>
  </si>
  <si>
    <t xml:space="preserve">金沢学院大附属高</t>
  </si>
  <si>
    <t xml:space="preserve">福島　翔大</t>
  </si>
  <si>
    <t xml:space="preserve">又吉　俊太</t>
  </si>
  <si>
    <t xml:space="preserve">エナジック高</t>
  </si>
  <si>
    <t xml:space="preserve">緒方　紀人</t>
  </si>
  <si>
    <t xml:space="preserve">新田高</t>
  </si>
  <si>
    <t xml:space="preserve">竹本　恵太</t>
  </si>
  <si>
    <t xml:space="preserve">鳳高</t>
  </si>
  <si>
    <t xml:space="preserve">北条　裕貴</t>
  </si>
  <si>
    <t xml:space="preserve">静岡陸協</t>
  </si>
  <si>
    <t xml:space="preserve">丹　 　幸生</t>
  </si>
  <si>
    <t xml:space="preserve">草野　愛斗</t>
  </si>
  <si>
    <t xml:space="preserve">古谷　潤</t>
  </si>
  <si>
    <t xml:space="preserve">村上　翔太</t>
  </si>
  <si>
    <t xml:space="preserve">市前橋高</t>
  </si>
  <si>
    <t xml:space="preserve">佐藤　陽星</t>
  </si>
  <si>
    <t xml:space="preserve">大曲工高</t>
  </si>
  <si>
    <t xml:space="preserve">深谷　弦汰</t>
  </si>
  <si>
    <t xml:space="preserve">佐賀工高</t>
  </si>
  <si>
    <t xml:space="preserve">脇田　優希</t>
  </si>
  <si>
    <t xml:space="preserve">寝屋川高</t>
  </si>
  <si>
    <t xml:space="preserve">東田　大亜</t>
  </si>
  <si>
    <t xml:space="preserve">松林　歩杜</t>
  </si>
  <si>
    <t xml:space="preserve">得丸　涼雅</t>
  </si>
  <si>
    <t xml:space="preserve">小平　潤</t>
  </si>
  <si>
    <t xml:space="preserve">伊藤　槍太</t>
  </si>
  <si>
    <t xml:space="preserve">武生高</t>
  </si>
  <si>
    <t xml:space="preserve">田中　智稀</t>
  </si>
  <si>
    <t xml:space="preserve">日当　瀬名</t>
  </si>
  <si>
    <t xml:space="preserve">武井　惇歩</t>
  </si>
  <si>
    <t xml:space="preserve">川越高</t>
  </si>
  <si>
    <t xml:space="preserve">沢里　龍玖</t>
  </si>
  <si>
    <t xml:space="preserve">久慈高</t>
  </si>
  <si>
    <t xml:space="preserve">三上　風汰</t>
  </si>
  <si>
    <t xml:space="preserve">土浦二高</t>
  </si>
  <si>
    <t xml:space="preserve">数野　優人</t>
  </si>
  <si>
    <t xml:space="preserve">広瀬　椋也</t>
  </si>
  <si>
    <t xml:space="preserve">川森　獅月</t>
  </si>
  <si>
    <t xml:space="preserve">吉岡　陸翔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</si>
  <si>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9:37</t>
    </r>
    <r>
      <rPr>
        <sz val="10"/>
        <color rgb="FF000000"/>
        <rFont val="WenQuanYi Zen Hei"/>
        <family val="2"/>
      </rPr>
      <t xml:space="preserve">）</t>
    </r>
  </si>
  <si>
    <t xml:space="preserve">原　 　大河</t>
  </si>
  <si>
    <t xml:space="preserve">瀬古　一心</t>
  </si>
  <si>
    <t xml:space="preserve">須賀　大晟</t>
  </si>
  <si>
    <t xml:space="preserve">松田　瑛太</t>
  </si>
  <si>
    <t xml:space="preserve">亀井　瑛人</t>
  </si>
  <si>
    <t xml:space="preserve">丸野内　大悟</t>
  </si>
  <si>
    <t xml:space="preserve">富永　琥聖</t>
  </si>
  <si>
    <t xml:space="preserve">曽田　怜輝</t>
  </si>
  <si>
    <t xml:space="preserve">間正　天</t>
  </si>
  <si>
    <t xml:space="preserve">本庄一高</t>
  </si>
  <si>
    <t xml:space="preserve">宮谷　俊</t>
  </si>
  <si>
    <t xml:space="preserve">吉田　一吹</t>
  </si>
  <si>
    <t xml:space="preserve">黒木　太陽</t>
  </si>
  <si>
    <t xml:space="preserve">枚方高</t>
  </si>
  <si>
    <t xml:space="preserve">長谷川　翔太</t>
  </si>
  <si>
    <t xml:space="preserve">与座鈴扶斗</t>
  </si>
  <si>
    <t xml:space="preserve">小藤田爽真</t>
  </si>
  <si>
    <t xml:space="preserve">近松　暖人</t>
  </si>
  <si>
    <t xml:space="preserve">金子　晄</t>
  </si>
  <si>
    <t xml:space="preserve">前田　桔平</t>
  </si>
  <si>
    <t xml:space="preserve">阿南高</t>
  </si>
  <si>
    <t xml:space="preserve">校名表記：阿南高専／阿南高</t>
  </si>
  <si>
    <t xml:space="preserve">寺田　駿平</t>
  </si>
  <si>
    <t xml:space="preserve">広田　雅史</t>
  </si>
  <si>
    <t xml:space="preserve">津島</t>
  </si>
  <si>
    <t xml:space="preserve">玉腰　悠真</t>
  </si>
  <si>
    <t xml:space="preserve">都武蔵野北高</t>
  </si>
  <si>
    <t xml:space="preserve">安田　高良</t>
  </si>
  <si>
    <t xml:space="preserve">鈴木　悠斗</t>
  </si>
  <si>
    <t xml:space="preserve">横須賀高</t>
  </si>
  <si>
    <t xml:space="preserve">大坪　蒼麻</t>
  </si>
  <si>
    <t xml:space="preserve">上郡高</t>
  </si>
  <si>
    <t xml:space="preserve">斎藤　晴希</t>
  </si>
  <si>
    <t xml:space="preserve">城ノ内中等高</t>
  </si>
  <si>
    <t xml:space="preserve">武口　陸斗</t>
  </si>
  <si>
    <t xml:space="preserve">稲取高</t>
  </si>
  <si>
    <t xml:space="preserve">日比野　穰</t>
  </si>
  <si>
    <t xml:space="preserve">都桜修館中等高</t>
  </si>
  <si>
    <t xml:space="preserve">嶋津　涼介</t>
  </si>
  <si>
    <t xml:space="preserve">東海大附市原望洋高</t>
  </si>
  <si>
    <t xml:space="preserve">森　 　健剛</t>
  </si>
  <si>
    <t xml:space="preserve">市尼崎高</t>
  </si>
  <si>
    <t xml:space="preserve">野口　悠稀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</si>
  <si>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15:40</t>
    </r>
    <r>
      <rPr>
        <sz val="10"/>
        <color rgb="FF000000"/>
        <rFont val="WenQuanYi Zen Hei"/>
        <family val="2"/>
      </rPr>
      <t xml:space="preserve">）</t>
    </r>
  </si>
  <si>
    <t xml:space="preserve">境　 　皐我</t>
  </si>
  <si>
    <t xml:space="preserve">青木　鴻棋</t>
  </si>
  <si>
    <t xml:space="preserve">堤　 　煌</t>
  </si>
  <si>
    <t xml:space="preserve">大野　結士</t>
  </si>
  <si>
    <t xml:space="preserve">希望ケ丘高</t>
  </si>
  <si>
    <t xml:space="preserve">酒井　碧也</t>
  </si>
  <si>
    <t xml:space="preserve">長生高</t>
  </si>
  <si>
    <t xml:space="preserve">吉村　優翔</t>
  </si>
  <si>
    <t xml:space="preserve">山岡　央佳</t>
  </si>
  <si>
    <t xml:space="preserve">信田　莞爾</t>
  </si>
  <si>
    <t xml:space="preserve">茶畑　空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</si>
  <si>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27:09</t>
    </r>
    <r>
      <rPr>
        <sz val="10"/>
        <color rgb="FF000000"/>
        <rFont val="WenQuanYi Zen Hei"/>
        <family val="2"/>
      </rPr>
      <t xml:space="preserve">）</t>
    </r>
  </si>
  <si>
    <t xml:space="preserve">小松　幸平</t>
  </si>
  <si>
    <t xml:space="preserve">市西宮東高</t>
  </si>
  <si>
    <t xml:space="preserve">沢田　鷹玖</t>
  </si>
  <si>
    <t xml:space="preserve">小島　颯介</t>
  </si>
  <si>
    <t xml:space="preserve">鎌ケ谷高</t>
  </si>
  <si>
    <t xml:space="preserve">黒田　晴暉</t>
  </si>
  <si>
    <t xml:space="preserve">厚木高</t>
  </si>
  <si>
    <t xml:space="preserve">鈴木　蒼一朗</t>
  </si>
  <si>
    <t xml:space="preserve">中山　嘉人</t>
  </si>
  <si>
    <t xml:space="preserve">和泉高</t>
  </si>
  <si>
    <t xml:space="preserve">坂本　琉生</t>
  </si>
  <si>
    <t xml:space="preserve">中山　三四郎</t>
  </si>
  <si>
    <t xml:space="preserve">鹿本高</t>
  </si>
  <si>
    <t xml:space="preserve">藤原　衣吹</t>
  </si>
  <si>
    <t xml:space="preserve">坂寄　都羽</t>
  </si>
  <si>
    <t xml:space="preserve">山斗　未徠</t>
  </si>
  <si>
    <t xml:space="preserve">大宮　玲士</t>
  </si>
  <si>
    <t xml:space="preserve">栗林　英士</t>
  </si>
  <si>
    <t xml:space="preserve">盛岡三高</t>
  </si>
  <si>
    <t xml:space="preserve">大沢　旅良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</si>
  <si>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31:59</t>
    </r>
    <r>
      <rPr>
        <sz val="10"/>
        <color rgb="FF000000"/>
        <rFont val="WenQuanYi Zen Hei"/>
        <family val="2"/>
      </rPr>
      <t xml:space="preserve">）</t>
    </r>
  </si>
  <si>
    <t xml:space="preserve">長谷川　泰大</t>
  </si>
  <si>
    <t xml:space="preserve">瀬田工高</t>
  </si>
  <si>
    <t xml:space="preserve">永野　央樹</t>
  </si>
  <si>
    <t xml:space="preserve">船橋法典高</t>
  </si>
  <si>
    <t xml:space="preserve">瀬利　慶次郎</t>
  </si>
  <si>
    <t xml:space="preserve">国分高</t>
  </si>
  <si>
    <t xml:space="preserve">河田　怜真</t>
  </si>
  <si>
    <t xml:space="preserve">新潟高</t>
  </si>
  <si>
    <t xml:space="preserve">浦谷　康太郎</t>
  </si>
  <si>
    <t xml:space="preserve">中川青和高</t>
  </si>
  <si>
    <t xml:space="preserve">池田　翼</t>
  </si>
  <si>
    <t xml:space="preserve">池上　虎亜</t>
  </si>
  <si>
    <t xml:space="preserve">麻生高</t>
  </si>
  <si>
    <t xml:space="preserve">加藤　颯真</t>
  </si>
  <si>
    <t xml:space="preserve">秋田南高</t>
  </si>
  <si>
    <t xml:space="preserve">野崎　龍佑</t>
  </si>
  <si>
    <t xml:space="preserve">恩田　龍真</t>
  </si>
  <si>
    <t xml:space="preserve">下舌　亮樹</t>
  </si>
  <si>
    <t xml:space="preserve">専大北上高</t>
  </si>
  <si>
    <t xml:space="preserve">岬本　響也</t>
  </si>
  <si>
    <t xml:space="preserve">豊浦高</t>
  </si>
  <si>
    <t xml:space="preserve">斎藤　千晴</t>
  </si>
  <si>
    <t xml:space="preserve">関根学園高</t>
  </si>
  <si>
    <t xml:space="preserve">伊藤　大翔</t>
  </si>
  <si>
    <t xml:space="preserve">松本　弦人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</si>
  <si>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16:10</t>
    </r>
    <r>
      <rPr>
        <sz val="10"/>
        <color rgb="FF000000"/>
        <rFont val="WenQuanYi Zen Hei"/>
        <family val="2"/>
      </rPr>
      <t xml:space="preserve">）</t>
    </r>
  </si>
  <si>
    <t xml:space="preserve">横山　智大</t>
  </si>
  <si>
    <t xml:space="preserve">尼崎稲園高</t>
  </si>
  <si>
    <t xml:space="preserve">甲斐　颯</t>
  </si>
  <si>
    <t xml:space="preserve">高沢　玲偉</t>
  </si>
  <si>
    <t xml:space="preserve">宇都宮北高</t>
  </si>
  <si>
    <t xml:space="preserve">福山　正鳴</t>
  </si>
  <si>
    <t xml:space="preserve">刀根山高</t>
  </si>
  <si>
    <t xml:space="preserve">山本　慶介</t>
  </si>
  <si>
    <t xml:space="preserve">横川　十樹</t>
  </si>
  <si>
    <t xml:space="preserve">土浦工高</t>
  </si>
  <si>
    <t xml:space="preserve">渡辺　朋希</t>
  </si>
  <si>
    <t xml:space="preserve">飯土井　皓汰</t>
  </si>
  <si>
    <t xml:space="preserve">旭高</t>
  </si>
  <si>
    <t xml:space="preserve">元家　純</t>
  </si>
  <si>
    <t xml:space="preserve">基町高</t>
  </si>
  <si>
    <t xml:space="preserve">住田　大翔</t>
  </si>
  <si>
    <t xml:space="preserve">横浜市立金沢高</t>
  </si>
  <si>
    <t xml:space="preserve">江藤　太陽</t>
  </si>
  <si>
    <t xml:space="preserve">佐伯鶴城高</t>
  </si>
  <si>
    <t xml:space="preserve">名倉　凉真</t>
  </si>
  <si>
    <t xml:space="preserve">山崎　智哉</t>
  </si>
  <si>
    <t xml:space="preserve">森田　大智</t>
  </si>
  <si>
    <t xml:space="preserve">添上高</t>
  </si>
  <si>
    <t xml:space="preserve">東　 　翼作</t>
  </si>
  <si>
    <t xml:space="preserve">都松が谷高</t>
  </si>
  <si>
    <t xml:space="preserve">渡辺　彩人</t>
  </si>
  <si>
    <t xml:space="preserve">富士学苑高</t>
  </si>
  <si>
    <t xml:space="preserve">伊東　和之</t>
  </si>
  <si>
    <t xml:space="preserve">佐々木　道隆</t>
  </si>
  <si>
    <t xml:space="preserve">萩原　匠</t>
  </si>
  <si>
    <t xml:space="preserve">玉林　文人</t>
  </si>
  <si>
    <t xml:space="preserve">吉田　将大</t>
  </si>
  <si>
    <t xml:space="preserve">渡辺　諒</t>
  </si>
  <si>
    <t xml:space="preserve">鎌倉高</t>
  </si>
  <si>
    <t xml:space="preserve">後藤　至温</t>
  </si>
  <si>
    <t xml:space="preserve">清水優羽</t>
  </si>
  <si>
    <t xml:space="preserve">工藤　瑛人</t>
  </si>
  <si>
    <t xml:space="preserve">小沢　一輝</t>
  </si>
  <si>
    <t xml:space="preserve">愛知総合工科高</t>
  </si>
  <si>
    <t xml:space="preserve">大西　龍之介</t>
  </si>
  <si>
    <t xml:space="preserve">堀池　淳平</t>
  </si>
  <si>
    <t xml:space="preserve">小林　昴起</t>
  </si>
  <si>
    <t xml:space="preserve">井上　伸治</t>
  </si>
  <si>
    <t xml:space="preserve">畠本　逸滉</t>
  </si>
  <si>
    <t xml:space="preserve">山岸　竜士</t>
  </si>
  <si>
    <t xml:space="preserve">平塚中等高</t>
  </si>
  <si>
    <t xml:space="preserve">山口　誠志郎</t>
  </si>
  <si>
    <t xml:space="preserve">岡山一宮高</t>
  </si>
  <si>
    <t xml:space="preserve">金井　立志</t>
  </si>
  <si>
    <t xml:space="preserve">まつもとＴＦＣ</t>
  </si>
  <si>
    <t xml:space="preserve">梶本　来空</t>
  </si>
  <si>
    <t xml:space="preserve">我妻　尚哉</t>
  </si>
  <si>
    <t xml:space="preserve">米沢中央高</t>
  </si>
  <si>
    <t xml:space="preserve">山本　拓未</t>
  </si>
  <si>
    <t xml:space="preserve">大府東高</t>
  </si>
  <si>
    <t xml:space="preserve">大城　正太郎</t>
  </si>
  <si>
    <t xml:space="preserve">岸和田高</t>
  </si>
  <si>
    <t xml:space="preserve">佐々木秀真</t>
  </si>
  <si>
    <t xml:space="preserve">家村　優基</t>
  </si>
  <si>
    <t xml:space="preserve">安陪　悠斗</t>
  </si>
  <si>
    <t xml:space="preserve">鳥取西高</t>
  </si>
  <si>
    <t xml:space="preserve">平塚　智</t>
  </si>
  <si>
    <t xml:space="preserve">信大医陸高</t>
  </si>
  <si>
    <t xml:space="preserve">高橋　岳大</t>
  </si>
  <si>
    <t xml:space="preserve">岡山東商高</t>
  </si>
  <si>
    <t xml:space="preserve">小沢　蓮</t>
  </si>
  <si>
    <t xml:space="preserve">韮崎高</t>
  </si>
  <si>
    <t xml:space="preserve">藤田　幸太郎</t>
  </si>
  <si>
    <t xml:space="preserve">竹内　飛夏</t>
  </si>
  <si>
    <t xml:space="preserve">長野高</t>
  </si>
  <si>
    <t xml:space="preserve">樺沢　大晴</t>
  </si>
  <si>
    <t xml:space="preserve">長岡向陵高</t>
  </si>
  <si>
    <t xml:space="preserve">斎藤　天飛</t>
  </si>
  <si>
    <t xml:space="preserve">川西緑台高</t>
  </si>
  <si>
    <t xml:space="preserve">鶴田　勇翔</t>
  </si>
  <si>
    <t xml:space="preserve">甲府南高</t>
  </si>
  <si>
    <t xml:space="preserve">上枝　龍矢</t>
  </si>
  <si>
    <t xml:space="preserve">木村　颯良</t>
  </si>
  <si>
    <t xml:space="preserve">反保　光大朗</t>
  </si>
  <si>
    <t xml:space="preserve">三国丘高</t>
  </si>
  <si>
    <t xml:space="preserve">東山　紘己</t>
  </si>
  <si>
    <t xml:space="preserve">東京国際陸上部</t>
  </si>
  <si>
    <t xml:space="preserve">増永　衣純</t>
  </si>
  <si>
    <t xml:space="preserve">安井　千暁</t>
  </si>
  <si>
    <t xml:space="preserve">佐藤　煌生</t>
  </si>
  <si>
    <t xml:space="preserve">小林　隆太</t>
  </si>
  <si>
    <t xml:space="preserve">北海高</t>
  </si>
  <si>
    <t xml:space="preserve">斎藤　桜翔</t>
  </si>
  <si>
    <t xml:space="preserve">境高</t>
  </si>
  <si>
    <t xml:space="preserve">平田　瑛太郎</t>
  </si>
  <si>
    <t xml:space="preserve">倉敷青陵高</t>
  </si>
  <si>
    <t xml:space="preserve">土居　篤季</t>
  </si>
  <si>
    <t xml:space="preserve">内子高</t>
  </si>
  <si>
    <t xml:space="preserve">石井蓮</t>
  </si>
  <si>
    <t xml:space="preserve">五十嵐　由葵</t>
  </si>
  <si>
    <t xml:space="preserve">日比野　穣</t>
  </si>
  <si>
    <t xml:space="preserve">戸田　悠大</t>
  </si>
  <si>
    <t xml:space="preserve">河合　悠</t>
  </si>
  <si>
    <t xml:space="preserve">増田　琉星</t>
  </si>
  <si>
    <t xml:space="preserve">大手前高</t>
  </si>
  <si>
    <t xml:space="preserve">竹下　優</t>
  </si>
  <si>
    <t xml:space="preserve">静岡高</t>
  </si>
  <si>
    <t xml:space="preserve">岡山　遥晃</t>
  </si>
  <si>
    <t xml:space="preserve">安広　大耀</t>
  </si>
  <si>
    <t xml:space="preserve">下関西高</t>
  </si>
  <si>
    <t xml:space="preserve">有森　凰凱</t>
  </si>
  <si>
    <t xml:space="preserve">小清水　琢実</t>
  </si>
  <si>
    <t xml:space="preserve">飯田　玲夢</t>
  </si>
  <si>
    <t xml:space="preserve">市銚子高</t>
  </si>
  <si>
    <t xml:space="preserve">前田　大翔</t>
  </si>
  <si>
    <t xml:space="preserve">井口啓一郎</t>
  </si>
  <si>
    <t xml:space="preserve">立教新座高</t>
  </si>
  <si>
    <t xml:space="preserve">静　 　光大郎</t>
  </si>
  <si>
    <t xml:space="preserve">松山高</t>
  </si>
  <si>
    <t xml:space="preserve">山元　旺夏</t>
  </si>
  <si>
    <t xml:space="preserve">長友　啓祐</t>
  </si>
  <si>
    <t xml:space="preserve">宮崎南高</t>
  </si>
  <si>
    <t xml:space="preserve">小野寺　宙</t>
  </si>
  <si>
    <t xml:space="preserve">別宗　琉空</t>
  </si>
  <si>
    <t xml:space="preserve">市川　翔聖</t>
  </si>
  <si>
    <t xml:space="preserve">甲府工高</t>
  </si>
  <si>
    <t xml:space="preserve">藤山　羚音</t>
  </si>
  <si>
    <t xml:space="preserve">松尾　健一朗</t>
  </si>
  <si>
    <t xml:space="preserve">西城陽高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</si>
  <si>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27:04</t>
    </r>
    <r>
      <rPr>
        <sz val="10"/>
        <color rgb="FF000000"/>
        <rFont val="WenQuanYi Zen Hei"/>
        <family val="2"/>
      </rPr>
      <t xml:space="preserve">）</t>
    </r>
  </si>
  <si>
    <t xml:space="preserve">中村　剣城</t>
  </si>
  <si>
    <t xml:space="preserve">井上　裕也</t>
  </si>
  <si>
    <t xml:space="preserve">藤田　晃気</t>
  </si>
  <si>
    <t xml:space="preserve">伊吹　朔弥</t>
  </si>
  <si>
    <t xml:space="preserve">小野　智矢</t>
  </si>
  <si>
    <t xml:space="preserve">向陽高・和歌山高</t>
  </si>
  <si>
    <t xml:space="preserve">吉田　幸平</t>
  </si>
  <si>
    <t xml:space="preserve">岡田　京平</t>
  </si>
  <si>
    <t xml:space="preserve">鵜川　琉音</t>
  </si>
  <si>
    <t xml:space="preserve">茂木高</t>
  </si>
  <si>
    <t xml:space="preserve">内田　峻太郎</t>
  </si>
  <si>
    <t xml:space="preserve">甲府一高</t>
  </si>
  <si>
    <t xml:space="preserve">アムラタ　ルイ　カイリ</t>
  </si>
  <si>
    <t xml:space="preserve">市ケ尾高</t>
  </si>
  <si>
    <t xml:space="preserve">信田　虎太郎</t>
  </si>
  <si>
    <t xml:space="preserve">鷲野　佑真</t>
  </si>
  <si>
    <t xml:space="preserve">飯山高</t>
  </si>
  <si>
    <t xml:space="preserve">大城　慶吾</t>
  </si>
  <si>
    <t xml:space="preserve">川越南高</t>
  </si>
  <si>
    <t xml:space="preserve">小林　悠人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</si>
  <si>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9:52</t>
    </r>
    <r>
      <rPr>
        <sz val="10"/>
        <color rgb="FF000000"/>
        <rFont val="WenQuanYi Zen Hei"/>
        <family val="2"/>
      </rPr>
      <t xml:space="preserve">）</t>
    </r>
  </si>
  <si>
    <t xml:space="preserve">内田　侑希</t>
  </si>
  <si>
    <t xml:space="preserve">折原　旭陽</t>
  </si>
  <si>
    <t xml:space="preserve">谷川　雄太</t>
  </si>
  <si>
    <t xml:space="preserve">新城　陽道</t>
  </si>
  <si>
    <t xml:space="preserve">松本　悠吾</t>
  </si>
  <si>
    <t xml:space="preserve">児玉　昊汰</t>
  </si>
  <si>
    <t xml:space="preserve">西木　琥珀</t>
  </si>
  <si>
    <t xml:space="preserve">深水　凰雅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</si>
  <si>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17:54</t>
    </r>
    <r>
      <rPr>
        <sz val="10"/>
        <color rgb="FF000000"/>
        <rFont val="WenQuanYi Zen Hei"/>
        <family val="2"/>
      </rPr>
      <t xml:space="preserve">）</t>
    </r>
  </si>
  <si>
    <t xml:space="preserve">比知屋　夏夢</t>
  </si>
  <si>
    <t xml:space="preserve">中西　経太</t>
  </si>
  <si>
    <t xml:space="preserve">伊勢高</t>
  </si>
  <si>
    <t xml:space="preserve">和田見　陽太</t>
  </si>
  <si>
    <t xml:space="preserve">都文京高</t>
  </si>
  <si>
    <t xml:space="preserve">桜井　裕介</t>
  </si>
  <si>
    <t xml:space="preserve">寄居城北高</t>
  </si>
  <si>
    <t xml:space="preserve">福山　新太</t>
  </si>
  <si>
    <t xml:space="preserve">加納高</t>
  </si>
  <si>
    <t xml:space="preserve">杉江　智</t>
  </si>
  <si>
    <t xml:space="preserve">藤井　勝道</t>
  </si>
  <si>
    <t xml:space="preserve">岩佐　琉希亜</t>
  </si>
  <si>
    <t xml:space="preserve">東葉高</t>
  </si>
  <si>
    <t xml:space="preserve">沢田　倫太朗</t>
  </si>
  <si>
    <t xml:space="preserve">友野　顕大</t>
  </si>
  <si>
    <t xml:space="preserve">玉島商高</t>
  </si>
  <si>
    <t xml:space="preserve">小西　涼介</t>
  </si>
  <si>
    <t xml:space="preserve">横浜創学館高</t>
  </si>
  <si>
    <t xml:space="preserve">古谷　直己</t>
  </si>
  <si>
    <t xml:space="preserve">井上　雅也</t>
  </si>
  <si>
    <t xml:space="preserve">都城高</t>
  </si>
  <si>
    <t xml:space="preserve">校名表記：都城高／都城高専</t>
  </si>
  <si>
    <t xml:space="preserve">藤沢　直輝</t>
  </si>
  <si>
    <t xml:space="preserve">長野吉田高</t>
  </si>
  <si>
    <t xml:space="preserve">板倉　健</t>
  </si>
  <si>
    <t xml:space="preserve">明学東村山高</t>
  </si>
  <si>
    <t xml:space="preserve">南　 　颯舞</t>
  </si>
  <si>
    <t xml:space="preserve">松崎　心音</t>
  </si>
  <si>
    <t xml:space="preserve">新苗　哲平</t>
  </si>
  <si>
    <t xml:space="preserve">札幌英藍高</t>
  </si>
  <si>
    <t xml:space="preserve">桑原　遼</t>
  </si>
  <si>
    <t xml:space="preserve">茂泉　颯馬</t>
  </si>
  <si>
    <t xml:space="preserve">吉田　洸翔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</si>
  <si>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9:04</t>
    </r>
    <r>
      <rPr>
        <sz val="10"/>
        <color rgb="FF000000"/>
        <rFont val="WenQuanYi Zen Hei"/>
        <family val="2"/>
      </rPr>
      <t xml:space="preserve">）</t>
    </r>
  </si>
  <si>
    <t xml:space="preserve">加藤　琉生</t>
  </si>
  <si>
    <t xml:space="preserve">早稲田　優太</t>
  </si>
  <si>
    <t xml:space="preserve">外崎　尋也</t>
  </si>
  <si>
    <t xml:space="preserve">福原　拓馬</t>
  </si>
  <si>
    <t xml:space="preserve">岡山芳泉高</t>
  </si>
  <si>
    <t xml:space="preserve">柳岡　碧輝</t>
  </si>
  <si>
    <t xml:space="preserve">豊永　大樹</t>
  </si>
  <si>
    <t xml:space="preserve">九産大附九州高</t>
  </si>
  <si>
    <t xml:space="preserve">香田　虎太郎</t>
  </si>
  <si>
    <t xml:space="preserve">貞方　大樹</t>
  </si>
  <si>
    <t xml:space="preserve">金沢　儀明</t>
  </si>
  <si>
    <t xml:space="preserve">末永　海翔</t>
  </si>
  <si>
    <t xml:space="preserve">大塚高</t>
  </si>
  <si>
    <t xml:space="preserve">横山　昇馬</t>
  </si>
  <si>
    <t xml:space="preserve">龍野高</t>
  </si>
  <si>
    <t xml:space="preserve">政　 　匠栄</t>
  </si>
  <si>
    <t xml:space="preserve">木村　寛太</t>
  </si>
  <si>
    <t xml:space="preserve">熊谷　航介</t>
  </si>
  <si>
    <t xml:space="preserve">羽石　悠希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</si>
  <si>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15:38</t>
    </r>
    <r>
      <rPr>
        <sz val="10"/>
        <color rgb="FF000000"/>
        <rFont val="WenQuanYi Zen Hei"/>
        <family val="2"/>
      </rPr>
      <t xml:space="preserve">）</t>
    </r>
  </si>
  <si>
    <t xml:space="preserve">中島　龍央馬</t>
  </si>
  <si>
    <t xml:space="preserve">都小平高</t>
  </si>
  <si>
    <t xml:space="preserve">吉田　悠真</t>
  </si>
  <si>
    <t xml:space="preserve">藤沢清流高</t>
  </si>
  <si>
    <t xml:space="preserve">新村　隼</t>
  </si>
  <si>
    <t xml:space="preserve">松隈　朝聖</t>
  </si>
  <si>
    <t xml:space="preserve">柏陵高</t>
  </si>
  <si>
    <t xml:space="preserve">高野　孝太郎</t>
  </si>
  <si>
    <t xml:space="preserve">森　 　優太</t>
  </si>
  <si>
    <t xml:space="preserve">明善高</t>
  </si>
  <si>
    <t xml:space="preserve">水野　透麻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</si>
  <si>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16:51</t>
    </r>
    <r>
      <rPr>
        <sz val="10"/>
        <color rgb="FF000000"/>
        <rFont val="WenQuanYi Zen Hei"/>
        <family val="2"/>
      </rPr>
      <t xml:space="preserve">）</t>
    </r>
  </si>
  <si>
    <t xml:space="preserve">西田　稔也</t>
  </si>
  <si>
    <t xml:space="preserve">鷲沢　仁</t>
  </si>
  <si>
    <t xml:space="preserve">米子工高</t>
  </si>
  <si>
    <t xml:space="preserve">樫原　凛星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</si>
  <si>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10:14</t>
    </r>
    <r>
      <rPr>
        <sz val="10"/>
        <color rgb="FF000000"/>
        <rFont val="WenQuanYi Zen Hei"/>
        <family val="2"/>
      </rPr>
      <t xml:space="preserve">）</t>
    </r>
  </si>
  <si>
    <t xml:space="preserve">前田　恭佑</t>
  </si>
  <si>
    <t xml:space="preserve">八戸工高</t>
  </si>
  <si>
    <t xml:space="preserve">鬼沢　優颯</t>
  </si>
  <si>
    <t xml:space="preserve">槙山　泰正</t>
  </si>
  <si>
    <t xml:space="preserve">扶蘇　一颯</t>
  </si>
  <si>
    <t xml:space="preserve">三木高</t>
  </si>
  <si>
    <t xml:space="preserve">寺島　弘希</t>
  </si>
  <si>
    <t xml:space="preserve">相馬総合高</t>
  </si>
  <si>
    <t xml:space="preserve">堀田　友希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</si>
  <si>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16:56</t>
    </r>
    <r>
      <rPr>
        <sz val="10"/>
        <color rgb="FF000000"/>
        <rFont val="WenQuanYi Zen Hei"/>
        <family val="2"/>
      </rPr>
      <t xml:space="preserve">）</t>
    </r>
  </si>
  <si>
    <t xml:space="preserve">中村　心音</t>
  </si>
  <si>
    <t xml:space="preserve">内田　賢吾</t>
  </si>
  <si>
    <t xml:space="preserve">財前　人成</t>
  </si>
  <si>
    <t xml:space="preserve">小原　海緒</t>
  </si>
  <si>
    <t xml:space="preserve">山川　真裕</t>
  </si>
  <si>
    <t xml:space="preserve">木下　結斗</t>
  </si>
  <si>
    <t xml:space="preserve">藤田　惇也</t>
  </si>
  <si>
    <t xml:space="preserve">大館鳳鳴高</t>
  </si>
  <si>
    <t xml:space="preserve">南　 　晴仁</t>
  </si>
  <si>
    <t xml:space="preserve">吉田　伊吹</t>
  </si>
  <si>
    <t xml:space="preserve">蟹井　結月</t>
  </si>
  <si>
    <t xml:space="preserve">久古　陽大</t>
  </si>
  <si>
    <t xml:space="preserve">八千代高</t>
  </si>
  <si>
    <t xml:space="preserve">久野　柑太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</si>
  <si>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16:29</t>
    </r>
    <r>
      <rPr>
        <sz val="10"/>
        <color rgb="FF000000"/>
        <rFont val="WenQuanYi Zen Hei"/>
        <family val="2"/>
      </rPr>
      <t xml:space="preserve">）</t>
    </r>
  </si>
  <si>
    <t xml:space="preserve">村島　幸太郎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</si>
  <si>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15:16</t>
    </r>
    <r>
      <rPr>
        <sz val="10"/>
        <color rgb="FF000000"/>
        <rFont val="WenQuanYi Zen Hei"/>
        <family val="2"/>
      </rPr>
      <t xml:space="preserve">）</t>
    </r>
  </si>
  <si>
    <t xml:space="preserve">羽田　浬</t>
  </si>
  <si>
    <t xml:space="preserve">安積高</t>
  </si>
  <si>
    <t xml:space="preserve">同名の別選手あり（もとみや市駅伝高）</t>
  </si>
  <si>
    <t xml:space="preserve">毛利　友貴</t>
  </si>
  <si>
    <t xml:space="preserve">星陵高</t>
  </si>
  <si>
    <t xml:space="preserve">立石　虎心朗</t>
  </si>
  <si>
    <t xml:space="preserve">篠永　悠斗</t>
  </si>
  <si>
    <t xml:space="preserve">西崎　諄</t>
  </si>
  <si>
    <t xml:space="preserve">神戸商高</t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</si>
  <si>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31:37</t>
    </r>
    <r>
      <rPr>
        <sz val="10"/>
        <color rgb="FF000000"/>
        <rFont val="WenQuanYi Zen Hei"/>
        <family val="2"/>
      </rPr>
      <t xml:space="preserve">）</t>
    </r>
  </si>
  <si>
    <t xml:space="preserve">神藤　照太</t>
  </si>
  <si>
    <t xml:space="preserve">岩崎　柊真</t>
  </si>
  <si>
    <t xml:space="preserve">夢野台高</t>
  </si>
  <si>
    <t xml:space="preserve">近藤　勇人</t>
  </si>
  <si>
    <t xml:space="preserve">井内　涼翔</t>
  </si>
  <si>
    <t xml:space="preserve">名西高</t>
  </si>
  <si>
    <t xml:space="preserve">堀井　洋人</t>
  </si>
  <si>
    <t xml:space="preserve">山田高</t>
  </si>
  <si>
    <t xml:space="preserve">佐野　斗哉</t>
  </si>
  <si>
    <t xml:space="preserve">武相高</t>
  </si>
  <si>
    <t xml:space="preserve">横溝　賢汰</t>
  </si>
  <si>
    <t xml:space="preserve">岡山南高</t>
  </si>
  <si>
    <t xml:space="preserve">谷川　詩星</t>
  </si>
  <si>
    <t xml:space="preserve">摺出寺　優良</t>
  </si>
  <si>
    <t xml:space="preserve">泉北高</t>
  </si>
  <si>
    <t xml:space="preserve">藤　 　幸生</t>
  </si>
  <si>
    <t xml:space="preserve">東福岡高</t>
  </si>
  <si>
    <t xml:space="preserve">松浦　啓士</t>
  </si>
  <si>
    <t xml:space="preserve">村松　侑真</t>
  </si>
  <si>
    <t xml:space="preserve">小池　晴斗</t>
  </si>
  <si>
    <t xml:space="preserve">五泉高</t>
  </si>
  <si>
    <t xml:space="preserve">椎葉　晴己</t>
  </si>
  <si>
    <t xml:space="preserve">茨木高</t>
  </si>
  <si>
    <t xml:space="preserve">萩原　佑樹</t>
  </si>
  <si>
    <t xml:space="preserve">郡　 　秀二郎</t>
  </si>
  <si>
    <t xml:space="preserve">高井　夕貴</t>
  </si>
  <si>
    <t xml:space="preserve">福田　蓮</t>
  </si>
  <si>
    <t xml:space="preserve">滑川総合高</t>
  </si>
  <si>
    <t xml:space="preserve">蔭野　将人</t>
  </si>
  <si>
    <t xml:space="preserve">高垣　優希</t>
  </si>
  <si>
    <t xml:space="preserve">芝　 　真輝</t>
  </si>
  <si>
    <t xml:space="preserve">金井高</t>
  </si>
  <si>
    <t xml:space="preserve">野口　啓太</t>
  </si>
  <si>
    <t xml:space="preserve">対馬　伶</t>
  </si>
  <si>
    <t xml:space="preserve">静岡北高</t>
  </si>
  <si>
    <t xml:space="preserve">谷藤　亮太</t>
  </si>
  <si>
    <t xml:space="preserve">佐倉高</t>
  </si>
  <si>
    <t xml:space="preserve">藤田　敦人</t>
  </si>
  <si>
    <t xml:space="preserve">天野　快晟</t>
  </si>
  <si>
    <t xml:space="preserve">佐々木　壮輔</t>
  </si>
  <si>
    <t xml:space="preserve">北星学園大附高</t>
  </si>
  <si>
    <t xml:space="preserve">加瀬　智之</t>
  </si>
  <si>
    <t xml:space="preserve">伊藤　大葵</t>
  </si>
  <si>
    <t xml:space="preserve">福島東高</t>
  </si>
  <si>
    <t xml:space="preserve">高羽　渉</t>
  </si>
  <si>
    <t xml:space="preserve">所沢北高</t>
  </si>
  <si>
    <t xml:space="preserve">松尾心太郎</t>
  </si>
  <si>
    <t xml:space="preserve">北筑高</t>
  </si>
  <si>
    <t xml:space="preserve">渡辺　燈</t>
  </si>
  <si>
    <t xml:space="preserve">追手前高</t>
  </si>
  <si>
    <t xml:space="preserve">山下　晴也</t>
  </si>
  <si>
    <t xml:space="preserve">加古川東高</t>
  </si>
  <si>
    <t xml:space="preserve">川嶋　帆航</t>
  </si>
  <si>
    <t xml:space="preserve">古瀬　幹太</t>
  </si>
  <si>
    <t xml:space="preserve">当麻　雄心</t>
  </si>
  <si>
    <t xml:space="preserve">市呉高</t>
  </si>
  <si>
    <t xml:space="preserve">佐藤　歩斗</t>
  </si>
  <si>
    <t xml:space="preserve">浅野　順正</t>
  </si>
  <si>
    <t xml:space="preserve">下地　惺大</t>
  </si>
  <si>
    <t xml:space="preserve">和田　晴凪</t>
  </si>
  <si>
    <t xml:space="preserve">有衛　桜華</t>
  </si>
  <si>
    <t xml:space="preserve">三橋　永和</t>
  </si>
  <si>
    <t xml:space="preserve">桑田　凌冴</t>
  </si>
  <si>
    <t xml:space="preserve">伊丹西高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</si>
  <si>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104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27:25</t>
    </r>
    <r>
      <rPr>
        <sz val="10"/>
        <color rgb="FF000000"/>
        <rFont val="WenQuanYi Zen Hei"/>
        <family val="2"/>
      </rPr>
      <t xml:space="preserve">）</t>
    </r>
  </si>
  <si>
    <t xml:space="preserve">中村　迅</t>
  </si>
  <si>
    <t xml:space="preserve">津川　悠真</t>
  </si>
  <si>
    <t xml:space="preserve">倉吉西</t>
  </si>
  <si>
    <t xml:space="preserve">同名の別選手あり（浜松開誠館高）</t>
  </si>
  <si>
    <t xml:space="preserve">林　 　勇斗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</si>
  <si>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9:11</t>
    </r>
    <r>
      <rPr>
        <sz val="10"/>
        <color rgb="FF000000"/>
        <rFont val="WenQuanYi Zen Hei"/>
        <family val="2"/>
      </rPr>
      <t xml:space="preserve">）</t>
    </r>
  </si>
  <si>
    <t xml:space="preserve">武富　福久</t>
  </si>
  <si>
    <t xml:space="preserve">池田　大知</t>
  </si>
  <si>
    <t xml:space="preserve">昭和学院高</t>
  </si>
  <si>
    <t xml:space="preserve">竹内　将磨</t>
  </si>
  <si>
    <t xml:space="preserve">山口　寛十</t>
  </si>
  <si>
    <t xml:space="preserve">おかやま山陽高</t>
  </si>
  <si>
    <t xml:space="preserve">水野　楓理</t>
  </si>
  <si>
    <t xml:space="preserve">山本　悠駕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</si>
  <si>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26:11</t>
    </r>
    <r>
      <rPr>
        <sz val="10"/>
        <color rgb="FF000000"/>
        <rFont val="WenQuanYi Zen Hei"/>
        <family val="2"/>
      </rPr>
      <t xml:space="preserve">）</t>
    </r>
  </si>
  <si>
    <t xml:space="preserve">中村　柊太</t>
  </si>
  <si>
    <t xml:space="preserve">市函館高</t>
  </si>
  <si>
    <t xml:space="preserve">川辺　昂輝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</si>
  <si>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9:19</t>
    </r>
    <r>
      <rPr>
        <sz val="10"/>
        <color rgb="FF000000"/>
        <rFont val="WenQuanYi Zen Hei"/>
        <family val="2"/>
      </rPr>
      <t xml:space="preserve">）</t>
    </r>
  </si>
  <si>
    <t xml:space="preserve">木ノ村　輝</t>
  </si>
  <si>
    <t xml:space="preserve">重安　輝</t>
  </si>
  <si>
    <t xml:space="preserve">小口　煌成</t>
  </si>
  <si>
    <t xml:space="preserve">市千葉高</t>
  </si>
  <si>
    <t xml:space="preserve">北山　幸士郎</t>
  </si>
  <si>
    <t xml:space="preserve">東北学院高</t>
  </si>
  <si>
    <t xml:space="preserve">大町　爽翔</t>
  </si>
  <si>
    <t xml:space="preserve">田辺　颯悟</t>
  </si>
  <si>
    <t xml:space="preserve">松田　昇磨</t>
  </si>
  <si>
    <t xml:space="preserve">棚町　颯斗</t>
  </si>
  <si>
    <t xml:space="preserve">三養基高</t>
  </si>
  <si>
    <t xml:space="preserve">今村　瑛太</t>
  </si>
  <si>
    <t xml:space="preserve">都城泉ケ丘高</t>
  </si>
  <si>
    <t xml:space="preserve">河野　宏真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</si>
  <si>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26:26</t>
    </r>
    <r>
      <rPr>
        <sz val="10"/>
        <color rgb="FF000000"/>
        <rFont val="WenQuanYi Zen Hei"/>
        <family val="2"/>
      </rPr>
      <t xml:space="preserve">）</t>
    </r>
  </si>
  <si>
    <t xml:space="preserve">新郷　悠馬</t>
  </si>
  <si>
    <t xml:space="preserve">浦和学院高</t>
  </si>
  <si>
    <t xml:space="preserve">高橋　幸盛</t>
  </si>
  <si>
    <t xml:space="preserve">三次高</t>
  </si>
  <si>
    <t xml:space="preserve">中山　将宗</t>
  </si>
  <si>
    <t xml:space="preserve">唐津工高</t>
  </si>
  <si>
    <t xml:space="preserve">岩崎　叶</t>
  </si>
  <si>
    <t xml:space="preserve">田畑　暖</t>
  </si>
  <si>
    <t xml:space="preserve">重松　俊弥</t>
  </si>
  <si>
    <t xml:space="preserve">門平　大志</t>
  </si>
  <si>
    <t xml:space="preserve">天倉　煌太</t>
  </si>
  <si>
    <t xml:space="preserve">渡辺　将斗</t>
  </si>
  <si>
    <t xml:space="preserve">手島　隆登</t>
  </si>
  <si>
    <t xml:space="preserve">柏陽高</t>
  </si>
  <si>
    <t xml:space="preserve">野口　敬古</t>
  </si>
  <si>
    <t xml:space="preserve">田中丸政義</t>
  </si>
  <si>
    <t xml:space="preserve">武雄高</t>
  </si>
  <si>
    <t xml:space="preserve">宮嶋　悠翔</t>
  </si>
  <si>
    <t xml:space="preserve">坂田　愛将</t>
  </si>
  <si>
    <t xml:space="preserve">博野　心平</t>
  </si>
  <si>
    <t xml:space="preserve">明星学園高</t>
  </si>
  <si>
    <t xml:space="preserve">中尾　悠人</t>
  </si>
  <si>
    <t xml:space="preserve">姫路商高</t>
  </si>
  <si>
    <t xml:space="preserve">西方路　瑛太</t>
  </si>
  <si>
    <t xml:space="preserve">大阪桐蔭高校</t>
  </si>
  <si>
    <t xml:space="preserve">新村　成司</t>
  </si>
  <si>
    <t xml:space="preserve">高橋　春人</t>
  </si>
  <si>
    <t xml:space="preserve">新屋高</t>
  </si>
  <si>
    <t xml:space="preserve">田中　里旺</t>
  </si>
  <si>
    <t xml:space="preserve">大田原高</t>
  </si>
  <si>
    <t xml:space="preserve">平野　遊大</t>
  </si>
  <si>
    <t xml:space="preserve">名護高</t>
  </si>
  <si>
    <t xml:space="preserve">岡崎　奏空</t>
  </si>
  <si>
    <t xml:space="preserve">市岸和田産高</t>
  </si>
  <si>
    <t xml:space="preserve">和田　凛太郎</t>
  </si>
  <si>
    <t xml:space="preserve">中沢　陽向</t>
  </si>
  <si>
    <t xml:space="preserve">松江南高</t>
  </si>
  <si>
    <t xml:space="preserve">大橋　暖史</t>
  </si>
  <si>
    <t xml:space="preserve">新井　健</t>
  </si>
  <si>
    <t xml:space="preserve">帝塚山学院泉ケ丘高</t>
  </si>
  <si>
    <t xml:space="preserve">今田　陸</t>
  </si>
  <si>
    <t xml:space="preserve">岩国高</t>
  </si>
  <si>
    <t xml:space="preserve">渋谷　宥成</t>
  </si>
  <si>
    <t xml:space="preserve">竹政　羽琉</t>
  </si>
  <si>
    <t xml:space="preserve">中野立志館高</t>
  </si>
  <si>
    <t xml:space="preserve">永田　航大</t>
  </si>
  <si>
    <t xml:space="preserve">松本県ケ丘高</t>
  </si>
  <si>
    <t xml:space="preserve">工藤　涼大</t>
  </si>
  <si>
    <t xml:space="preserve">市大宮北高</t>
  </si>
  <si>
    <t xml:space="preserve">鶴田　亮介</t>
  </si>
  <si>
    <t xml:space="preserve">山口幸之介</t>
  </si>
  <si>
    <t xml:space="preserve">佐世保工高</t>
  </si>
  <si>
    <t xml:space="preserve">鹿嶌　厚希</t>
  </si>
  <si>
    <t xml:space="preserve">君津高</t>
  </si>
  <si>
    <t xml:space="preserve">橋本　湊</t>
  </si>
  <si>
    <t xml:space="preserve">成城学園高</t>
  </si>
  <si>
    <t xml:space="preserve">原田　結希斗</t>
  </si>
  <si>
    <t xml:space="preserve">神戸鈴蘭台高</t>
  </si>
  <si>
    <t xml:space="preserve">辻　 　瑛大</t>
  </si>
  <si>
    <t xml:space="preserve">三沢　壬</t>
  </si>
  <si>
    <t xml:space="preserve">本荘高</t>
  </si>
  <si>
    <t xml:space="preserve">桧垣　咲玖</t>
  </si>
  <si>
    <t xml:space="preserve">祐誠高</t>
  </si>
  <si>
    <r>
      <rPr>
        <sz val="10"/>
        <color rgb="FF000000"/>
        <rFont val="WenQuanYi Zen Hei"/>
        <family val="2"/>
      </rPr>
      <t xml:space="preserve">手動計時：</t>
    </r>
    <r>
      <rPr>
        <sz val="10"/>
        <color rgb="FF000000"/>
        <rFont val="HGPｺﾞｼｯｸM"/>
        <family val="0"/>
        <charset val="1"/>
      </rPr>
      <t xml:space="preserve">3000mSC</t>
    </r>
  </si>
  <si>
    <t xml:space="preserve">田中　詠太郎</t>
  </si>
  <si>
    <t xml:space="preserve">笹渡　礼</t>
  </si>
  <si>
    <t xml:space="preserve">アスリートＴＣ</t>
  </si>
  <si>
    <t xml:space="preserve">野口　優斗</t>
  </si>
  <si>
    <t xml:space="preserve">星野高</t>
  </si>
  <si>
    <t xml:space="preserve">加藤　諒真</t>
  </si>
  <si>
    <t xml:space="preserve">所沢西高</t>
  </si>
  <si>
    <t xml:space="preserve">藤沢　洸希</t>
  </si>
  <si>
    <t xml:space="preserve">佐竹　紬</t>
  </si>
  <si>
    <t xml:space="preserve">宮後　佳永</t>
  </si>
  <si>
    <t xml:space="preserve">中村　奏太</t>
  </si>
  <si>
    <t xml:space="preserve">都東大和南高</t>
  </si>
  <si>
    <t xml:space="preserve">牛島　成郁</t>
  </si>
  <si>
    <t xml:space="preserve">田中　渡</t>
  </si>
  <si>
    <t xml:space="preserve">臼田　颯介</t>
  </si>
  <si>
    <t xml:space="preserve">徳原　莉緒斗</t>
  </si>
  <si>
    <t xml:space="preserve">岡　 　雅翔</t>
  </si>
  <si>
    <t xml:space="preserve">池田高</t>
  </si>
  <si>
    <t xml:space="preserve">永井　陽智</t>
  </si>
  <si>
    <t xml:space="preserve">舘　 　佳史</t>
  </si>
  <si>
    <t xml:space="preserve">鳩場　万浬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</si>
  <si>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9:10</t>
    </r>
    <r>
      <rPr>
        <sz val="10"/>
        <color rgb="FF000000"/>
        <rFont val="WenQuanYi Zen Hei"/>
        <family val="2"/>
      </rPr>
      <t xml:space="preserve">）</t>
    </r>
  </si>
  <si>
    <t xml:space="preserve">稲　 　勇斗</t>
  </si>
  <si>
    <t xml:space="preserve">御殿場南高</t>
  </si>
  <si>
    <t xml:space="preserve">税所　篤</t>
  </si>
  <si>
    <t xml:space="preserve">筑紫高</t>
  </si>
  <si>
    <t xml:space="preserve">田野　一希</t>
  </si>
  <si>
    <t xml:space="preserve">村野　新太</t>
  </si>
  <si>
    <t xml:space="preserve">池田　秀太</t>
  </si>
  <si>
    <t xml:space="preserve">牧　 　文哉</t>
  </si>
  <si>
    <t xml:space="preserve">野中　陸翔</t>
  </si>
  <si>
    <t xml:space="preserve">ＡＬＬ八代高</t>
  </si>
  <si>
    <t xml:space="preserve">八木　海音</t>
  </si>
  <si>
    <t xml:space="preserve">宮崎北高</t>
  </si>
  <si>
    <t xml:space="preserve">楠　 　璽師</t>
  </si>
  <si>
    <t xml:space="preserve">青木　陽翔</t>
  </si>
  <si>
    <t xml:space="preserve">都調布南高</t>
  </si>
  <si>
    <t xml:space="preserve">中道　勝太</t>
  </si>
  <si>
    <t xml:space="preserve">柴田　陸</t>
  </si>
  <si>
    <t xml:space="preserve">徳永　宇音</t>
  </si>
  <si>
    <t xml:space="preserve">池松　明日</t>
  </si>
  <si>
    <t xml:space="preserve">水俣高</t>
  </si>
  <si>
    <t xml:space="preserve">中村　悠真</t>
  </si>
  <si>
    <t xml:space="preserve">上甲　直幸</t>
  </si>
  <si>
    <t xml:space="preserve">杉浦　彪牙</t>
  </si>
  <si>
    <t xml:space="preserve">阿部　壮一朗</t>
  </si>
  <si>
    <t xml:space="preserve">行野　悠心</t>
  </si>
  <si>
    <t xml:space="preserve">田口　智喜</t>
  </si>
  <si>
    <t xml:space="preserve">東大寺学園高</t>
  </si>
  <si>
    <t xml:space="preserve">牧野　光</t>
  </si>
  <si>
    <t xml:space="preserve">竹田　幸生</t>
  </si>
  <si>
    <t xml:space="preserve">青木　健瑠</t>
  </si>
  <si>
    <t xml:space="preserve">石田　勝海</t>
  </si>
  <si>
    <t xml:space="preserve">高橋　岳人</t>
  </si>
  <si>
    <r>
      <rPr>
        <sz val="10"/>
        <color rgb="FF000000"/>
        <rFont val="WenQuanYi Zen Hei"/>
        <family val="2"/>
      </rPr>
      <t xml:space="preserve">手動計時：</t>
    </r>
    <r>
      <rPr>
        <sz val="10"/>
        <color rgb="FF000000"/>
        <rFont val="HGPｺﾞｼｯｸM"/>
        <family val="0"/>
        <charset val="1"/>
      </rPr>
      <t xml:space="preserve">1500m</t>
    </r>
  </si>
  <si>
    <t xml:space="preserve">森田　翔星</t>
  </si>
  <si>
    <t xml:space="preserve">小川　蒼平</t>
  </si>
  <si>
    <t xml:space="preserve">寺内　諒太</t>
  </si>
  <si>
    <t xml:space="preserve">二松学舎大附柏高</t>
  </si>
  <si>
    <t xml:space="preserve">前田　駿</t>
  </si>
  <si>
    <t xml:space="preserve">大山　奏音</t>
  </si>
  <si>
    <t xml:space="preserve">武藤　瑛太</t>
  </si>
  <si>
    <t xml:space="preserve">小林　篤史</t>
  </si>
  <si>
    <t xml:space="preserve">菊地　莉空</t>
  </si>
  <si>
    <t xml:space="preserve">西邑楽高</t>
  </si>
  <si>
    <t xml:space="preserve">山下　詩恩</t>
  </si>
  <si>
    <t xml:space="preserve">倉本　琉心</t>
  </si>
  <si>
    <t xml:space="preserve">野村　勘心</t>
  </si>
  <si>
    <t xml:space="preserve">中森　智治</t>
  </si>
  <si>
    <t xml:space="preserve">同名の別選手あり（酒田南高）</t>
  </si>
  <si>
    <t xml:space="preserve">筒井　遥斗</t>
  </si>
  <si>
    <t xml:space="preserve">上高原　翔</t>
  </si>
  <si>
    <t xml:space="preserve">鎌倉学園高</t>
  </si>
  <si>
    <t xml:space="preserve">又城　沙俊</t>
  </si>
  <si>
    <t xml:space="preserve">花崎　陽仁</t>
  </si>
  <si>
    <t xml:space="preserve">相生高</t>
  </si>
  <si>
    <t xml:space="preserve">加賀　壮志</t>
  </si>
  <si>
    <t xml:space="preserve">加藤　創士</t>
  </si>
  <si>
    <t xml:space="preserve">竜ケ崎一高</t>
  </si>
  <si>
    <t xml:space="preserve">鎌倉　尊</t>
  </si>
  <si>
    <t xml:space="preserve">佐藤　秀真</t>
  </si>
  <si>
    <t xml:space="preserve">有田　陽生</t>
  </si>
  <si>
    <t xml:space="preserve">八幡工高</t>
  </si>
  <si>
    <t xml:space="preserve">池尻　拓未</t>
  </si>
  <si>
    <t xml:space="preserve">広島大附高</t>
  </si>
  <si>
    <t xml:space="preserve">井手　健</t>
  </si>
  <si>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102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27:41</t>
    </r>
    <r>
      <rPr>
        <sz val="10"/>
        <color rgb="FF000000"/>
        <rFont val="WenQuanYi Zen Hei"/>
        <family val="2"/>
      </rPr>
      <t xml:space="preserve">）</t>
    </r>
  </si>
  <si>
    <t xml:space="preserve">広島　亨介</t>
  </si>
  <si>
    <t xml:space="preserve">坂出高</t>
  </si>
  <si>
    <t xml:space="preserve">須藤　夏生</t>
  </si>
  <si>
    <t xml:space="preserve">下妻二高</t>
  </si>
  <si>
    <t xml:space="preserve">橘高　尊</t>
  </si>
  <si>
    <t xml:space="preserve">川口北高</t>
  </si>
  <si>
    <t xml:space="preserve">古賀　雄大</t>
  </si>
  <si>
    <t xml:space="preserve">旭川志峯高</t>
  </si>
  <si>
    <t xml:space="preserve">浅野　光祐</t>
  </si>
  <si>
    <t xml:space="preserve">金沢　俊輝</t>
  </si>
  <si>
    <t xml:space="preserve">同名の別選手あり（西条農高）</t>
  </si>
  <si>
    <t xml:space="preserve">高寺　翌桧</t>
  </si>
  <si>
    <t xml:space="preserve">徳重　伸</t>
  </si>
  <si>
    <t xml:space="preserve">呉高専</t>
  </si>
  <si>
    <t xml:space="preserve">宮崎　寛士</t>
  </si>
  <si>
    <t xml:space="preserve">中島　海利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</si>
  <si>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74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25:49</t>
    </r>
    <r>
      <rPr>
        <sz val="10"/>
        <color rgb="FF000000"/>
        <rFont val="WenQuanYi Zen Hei"/>
        <family val="2"/>
      </rPr>
      <t xml:space="preserve">）</t>
    </r>
  </si>
  <si>
    <t xml:space="preserve">菅原　颯佑</t>
  </si>
  <si>
    <t xml:space="preserve">田中　翔樹</t>
  </si>
  <si>
    <t xml:space="preserve">大体大浪商高</t>
  </si>
  <si>
    <t xml:space="preserve">後藤　総汰</t>
  </si>
  <si>
    <t xml:space="preserve">小松　雄朔</t>
  </si>
  <si>
    <t xml:space="preserve">安房高</t>
  </si>
  <si>
    <t xml:space="preserve">小野田　昊輝</t>
  </si>
  <si>
    <t xml:space="preserve">佐藤　朔</t>
  </si>
  <si>
    <t xml:space="preserve">加藤　悠真</t>
  </si>
  <si>
    <t xml:space="preserve">西尾高</t>
  </si>
  <si>
    <t xml:space="preserve">柳田　温真</t>
  </si>
  <si>
    <t xml:space="preserve">林　 　誠也</t>
  </si>
  <si>
    <t xml:space="preserve">徳元　奏太</t>
  </si>
  <si>
    <t xml:space="preserve">大森　悠喜</t>
  </si>
  <si>
    <t xml:space="preserve">武田　宗将</t>
  </si>
  <si>
    <t xml:space="preserve">吉浦　育飛</t>
  </si>
  <si>
    <t xml:space="preserve">菅原真太朗</t>
  </si>
  <si>
    <t xml:space="preserve">大曲高</t>
  </si>
  <si>
    <t xml:space="preserve">松永　空太</t>
  </si>
  <si>
    <t xml:space="preserve">鹿児島南高</t>
  </si>
  <si>
    <t xml:space="preserve">日野　颯太</t>
  </si>
  <si>
    <t xml:space="preserve">松江工高</t>
  </si>
  <si>
    <t xml:space="preserve">ブラウン　レオ</t>
  </si>
  <si>
    <t xml:space="preserve">斎藤　英翔</t>
  </si>
  <si>
    <t xml:space="preserve">東京学館新潟高</t>
  </si>
  <si>
    <t xml:space="preserve">剣持　唯都</t>
  </si>
  <si>
    <t xml:space="preserve">磯辺高</t>
  </si>
  <si>
    <t xml:space="preserve">外勢礼央夢</t>
  </si>
  <si>
    <t xml:space="preserve">鶴田　義和</t>
  </si>
  <si>
    <t xml:space="preserve">前原　寿至</t>
  </si>
  <si>
    <t xml:space="preserve">桜井　新太</t>
  </si>
  <si>
    <t xml:space="preserve">山形市商高</t>
  </si>
  <si>
    <t xml:space="preserve">堀口　健丸</t>
  </si>
  <si>
    <t xml:space="preserve">山田　心</t>
  </si>
  <si>
    <t xml:space="preserve">菅原　真之輔</t>
  </si>
  <si>
    <t xml:space="preserve">致道館高</t>
  </si>
  <si>
    <t xml:space="preserve">青木　凰陽</t>
  </si>
  <si>
    <t xml:space="preserve">菊川　智弘</t>
  </si>
  <si>
    <t xml:space="preserve">広島なぎさ高</t>
  </si>
  <si>
    <t xml:space="preserve">赤堀　寛仁</t>
  </si>
  <si>
    <t xml:space="preserve">浜北西高</t>
  </si>
  <si>
    <t xml:space="preserve">渡辺　孝哉</t>
  </si>
  <si>
    <t xml:space="preserve">島戸　政次郎</t>
  </si>
  <si>
    <t xml:space="preserve">三池高</t>
  </si>
  <si>
    <t xml:space="preserve">岩瀬　優志</t>
  </si>
  <si>
    <t xml:space="preserve">小郡高</t>
  </si>
  <si>
    <t xml:space="preserve">矢端　遼</t>
  </si>
  <si>
    <t xml:space="preserve">金井　瑞穂</t>
  </si>
  <si>
    <t xml:space="preserve">八木橋和紀</t>
  </si>
  <si>
    <t xml:space="preserve">磐城高</t>
  </si>
  <si>
    <t xml:space="preserve">金井　優空</t>
  </si>
  <si>
    <t xml:space="preserve">堀　 　維真</t>
  </si>
  <si>
    <t xml:space="preserve">石川高専</t>
  </si>
  <si>
    <t xml:space="preserve">松沢　卓三</t>
  </si>
  <si>
    <t xml:space="preserve">木村　祐介</t>
  </si>
  <si>
    <t xml:space="preserve">河村　優希</t>
  </si>
  <si>
    <t xml:space="preserve">藤井寺高</t>
  </si>
  <si>
    <t xml:space="preserve">吉本龍之介</t>
  </si>
  <si>
    <t xml:space="preserve">伊万里実業高</t>
  </si>
  <si>
    <t xml:space="preserve">黒田　嘉人</t>
  </si>
  <si>
    <t xml:space="preserve">神戸甲北高</t>
  </si>
  <si>
    <t xml:space="preserve">徳永　陽大</t>
  </si>
  <si>
    <t xml:space="preserve">山田　稜晟</t>
  </si>
  <si>
    <t xml:space="preserve">荻田　裕央</t>
  </si>
  <si>
    <t xml:space="preserve">高知国際高</t>
  </si>
  <si>
    <t xml:space="preserve">石山　竜聖</t>
  </si>
  <si>
    <t xml:space="preserve">函館中部高</t>
  </si>
  <si>
    <t xml:space="preserve">桜井　優諒</t>
  </si>
  <si>
    <t xml:space="preserve">久保田　悠路</t>
  </si>
  <si>
    <t xml:space="preserve">宮古商工高</t>
  </si>
  <si>
    <t xml:space="preserve">米本　陸斗</t>
  </si>
  <si>
    <t xml:space="preserve">南陽工高</t>
  </si>
  <si>
    <t xml:space="preserve">畑田　優太</t>
  </si>
  <si>
    <t xml:space="preserve">砂川　治斗</t>
  </si>
  <si>
    <t xml:space="preserve">區皓駿</t>
  </si>
  <si>
    <t xml:space="preserve">Ｄｉｏｃｅｓａｎ Ｂｏｙｓ’ Ｓｃｈｏｏｌ</t>
  </si>
  <si>
    <t xml:space="preserve">小林　夕馬</t>
  </si>
  <si>
    <t xml:space="preserve">小田　湧斗</t>
  </si>
  <si>
    <t xml:space="preserve">坂本　一桂</t>
  </si>
  <si>
    <t xml:space="preserve">渡辺　大舞</t>
  </si>
  <si>
    <t xml:space="preserve">福島　拳成</t>
  </si>
  <si>
    <t xml:space="preserve">岡崎　丈</t>
  </si>
  <si>
    <t xml:space="preserve">桜井　諒河</t>
  </si>
  <si>
    <t xml:space="preserve">真岡高</t>
  </si>
  <si>
    <t xml:space="preserve">弓指　浩平</t>
  </si>
  <si>
    <t xml:space="preserve">石本　翔生</t>
  </si>
  <si>
    <t xml:space="preserve">奈良原　優</t>
  </si>
  <si>
    <t xml:space="preserve">高久　湧雅</t>
  </si>
  <si>
    <t xml:space="preserve">川口　澄海</t>
  </si>
  <si>
    <t xml:space="preserve">山廼辺　渉</t>
  </si>
  <si>
    <t xml:space="preserve">磐城桜が丘高</t>
  </si>
  <si>
    <t xml:space="preserve">井上　銀次</t>
  </si>
  <si>
    <t xml:space="preserve">藤野　汰一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</si>
  <si>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9:07</t>
    </r>
    <r>
      <rPr>
        <sz val="10"/>
        <color rgb="FF000000"/>
        <rFont val="WenQuanYi Zen Hei"/>
        <family val="2"/>
      </rPr>
      <t xml:space="preserve">）</t>
    </r>
  </si>
  <si>
    <t xml:space="preserve">井田　陸王</t>
  </si>
  <si>
    <t xml:space="preserve">雲雀丘高</t>
  </si>
  <si>
    <t xml:space="preserve">藤井　璃紘</t>
  </si>
  <si>
    <t xml:space="preserve">神奈川大附高</t>
  </si>
  <si>
    <t xml:space="preserve">橋爪　悠真</t>
  </si>
  <si>
    <t xml:space="preserve">鳥栖高</t>
  </si>
  <si>
    <t xml:space="preserve">和田　将明</t>
  </si>
  <si>
    <t xml:space="preserve">杉村　優介</t>
  </si>
  <si>
    <t xml:space="preserve">八幡高</t>
  </si>
  <si>
    <t xml:space="preserve">斎藤　希祐</t>
  </si>
  <si>
    <t xml:space="preserve">筑前高</t>
  </si>
  <si>
    <t xml:space="preserve">新坂　祐斗</t>
  </si>
  <si>
    <t xml:space="preserve">人吉高</t>
  </si>
  <si>
    <t xml:space="preserve">阿部　楓士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</si>
  <si>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16:04</t>
    </r>
    <r>
      <rPr>
        <sz val="10"/>
        <color rgb="FF000000"/>
        <rFont val="WenQuanYi Zen Hei"/>
        <family val="2"/>
      </rPr>
      <t xml:space="preserve">）</t>
    </r>
  </si>
  <si>
    <t xml:space="preserve">富田　健芯</t>
  </si>
  <si>
    <t xml:space="preserve">修猷館高</t>
  </si>
  <si>
    <t xml:space="preserve">藤尾　怜生</t>
  </si>
  <si>
    <t xml:space="preserve">黒川　陽太郎</t>
  </si>
  <si>
    <t xml:space="preserve">米子西高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</si>
  <si>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103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27:23</t>
    </r>
    <r>
      <rPr>
        <sz val="10"/>
        <color rgb="FF000000"/>
        <rFont val="WenQuanYi Zen Hei"/>
        <family val="2"/>
      </rPr>
      <t xml:space="preserve">）</t>
    </r>
  </si>
  <si>
    <t xml:space="preserve">北　 　陽生</t>
  </si>
  <si>
    <t xml:space="preserve">成東高</t>
  </si>
  <si>
    <t xml:space="preserve">小島　拓朗</t>
  </si>
  <si>
    <t xml:space="preserve">古谷　勇</t>
  </si>
  <si>
    <t xml:space="preserve">倉敷工高</t>
  </si>
  <si>
    <t xml:space="preserve">六車　遼太</t>
  </si>
  <si>
    <t xml:space="preserve">都石神井高</t>
  </si>
  <si>
    <t xml:space="preserve">岸　 　春輝</t>
  </si>
  <si>
    <t xml:space="preserve">高崎北高</t>
  </si>
  <si>
    <t xml:space="preserve">岡田　健人</t>
  </si>
  <si>
    <t xml:space="preserve">有本　圭吾</t>
  </si>
  <si>
    <t xml:space="preserve">咲くやこの花高</t>
  </si>
  <si>
    <t xml:space="preserve">武川　大雅</t>
  </si>
  <si>
    <t xml:space="preserve">長島　悠渡</t>
  </si>
  <si>
    <t xml:space="preserve">多治見北高</t>
  </si>
  <si>
    <t xml:space="preserve">水谷　柊人</t>
  </si>
  <si>
    <t xml:space="preserve">野口　翔登</t>
  </si>
  <si>
    <t xml:space="preserve">飯室　幸真</t>
  </si>
  <si>
    <t xml:space="preserve">福島　諒</t>
  </si>
  <si>
    <t xml:space="preserve">藤島高</t>
  </si>
  <si>
    <t xml:space="preserve">白石　渚</t>
  </si>
  <si>
    <t xml:space="preserve">大船渡高</t>
  </si>
  <si>
    <t xml:space="preserve">石川　巧</t>
  </si>
  <si>
    <t xml:space="preserve">斎藤　旬</t>
  </si>
  <si>
    <t xml:space="preserve">栗木　康太</t>
  </si>
  <si>
    <t xml:space="preserve">横山　睦樹</t>
  </si>
  <si>
    <t xml:space="preserve">海妻　靖久</t>
  </si>
  <si>
    <t xml:space="preserve">増田　拓朗</t>
  </si>
  <si>
    <t xml:space="preserve">島田工高</t>
  </si>
  <si>
    <t xml:space="preserve">藤本　倖成</t>
  </si>
  <si>
    <t xml:space="preserve">千葉明徳高</t>
  </si>
  <si>
    <t xml:space="preserve">田中　駿太郎</t>
  </si>
  <si>
    <t xml:space="preserve">権太　将利</t>
  </si>
  <si>
    <t xml:space="preserve">渡辺一輝</t>
  </si>
  <si>
    <t xml:space="preserve">安楽　航太</t>
  </si>
  <si>
    <t xml:space="preserve">都城西高</t>
  </si>
  <si>
    <t xml:space="preserve">十河　晴樹</t>
  </si>
  <si>
    <t xml:space="preserve">福知山高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</si>
  <si>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100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27:08</t>
    </r>
    <r>
      <rPr>
        <sz val="10"/>
        <color rgb="FF000000"/>
        <rFont val="WenQuanYi Zen Hei"/>
        <family val="2"/>
      </rPr>
      <t xml:space="preserve">）</t>
    </r>
  </si>
  <si>
    <t xml:space="preserve">富士田　聡太郎</t>
  </si>
  <si>
    <t xml:space="preserve">高津高</t>
  </si>
  <si>
    <t xml:space="preserve">波岸　凰介</t>
  </si>
  <si>
    <t xml:space="preserve">小西　立真</t>
  </si>
  <si>
    <t xml:space="preserve">大垣北高</t>
  </si>
  <si>
    <t xml:space="preserve">原田　将吾</t>
  </si>
  <si>
    <t xml:space="preserve">滝下　響</t>
  </si>
  <si>
    <t xml:space="preserve">伊藤　蒼空</t>
  </si>
  <si>
    <t xml:space="preserve">大垣工高</t>
  </si>
  <si>
    <t xml:space="preserve">藤原　大和</t>
  </si>
  <si>
    <t xml:space="preserve">八鹿高</t>
  </si>
  <si>
    <t xml:space="preserve">山田　郁</t>
  </si>
  <si>
    <t xml:space="preserve">西武台高</t>
  </si>
  <si>
    <t xml:space="preserve">水田　叶希</t>
  </si>
  <si>
    <t xml:space="preserve">北九州高専</t>
  </si>
  <si>
    <t xml:space="preserve">生田　和獅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</si>
  <si>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100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16:48</t>
    </r>
    <r>
      <rPr>
        <sz val="10"/>
        <color rgb="FF000000"/>
        <rFont val="WenQuanYi Zen Hei"/>
        <family val="2"/>
      </rPr>
      <t xml:space="preserve">）</t>
    </r>
  </si>
  <si>
    <t xml:space="preserve">荒井　愛斗</t>
  </si>
  <si>
    <t xml:space="preserve">日大藤沢高</t>
  </si>
  <si>
    <t xml:space="preserve">松本　琉生</t>
  </si>
  <si>
    <t xml:space="preserve">同名の別選手あり（水戸葵陵高校）</t>
  </si>
  <si>
    <t xml:space="preserve">古沢　輝翔</t>
  </si>
  <si>
    <t xml:space="preserve">真岡工高</t>
  </si>
  <si>
    <t xml:space="preserve">永井　悠葵</t>
  </si>
  <si>
    <t xml:space="preserve">都野津田高</t>
  </si>
  <si>
    <t xml:space="preserve">栗原　剛輝</t>
  </si>
  <si>
    <t xml:space="preserve">竹原　勇生</t>
  </si>
  <si>
    <t xml:space="preserve">山　 　大翔</t>
  </si>
  <si>
    <t xml:space="preserve">玉名工高</t>
  </si>
  <si>
    <t xml:space="preserve">川島　朔</t>
  </si>
  <si>
    <t xml:space="preserve">春日井</t>
  </si>
  <si>
    <t xml:space="preserve">佐藤　樹希</t>
  </si>
  <si>
    <t xml:space="preserve">いなべ総合学園高</t>
  </si>
  <si>
    <t xml:space="preserve">直井　琥太郎</t>
  </si>
  <si>
    <t xml:space="preserve">越谷南高</t>
  </si>
  <si>
    <t xml:space="preserve">近藤　匠真</t>
  </si>
  <si>
    <t xml:space="preserve">田口　煌司</t>
  </si>
  <si>
    <t xml:space="preserve">高田　蒼空</t>
  </si>
  <si>
    <t xml:space="preserve">二ノ宮　大知</t>
  </si>
  <si>
    <t xml:space="preserve">伊藤　絋一郎</t>
  </si>
  <si>
    <t xml:space="preserve">札幌龍谷高</t>
  </si>
  <si>
    <t xml:space="preserve">鈴木　侑</t>
  </si>
  <si>
    <t xml:space="preserve">松崎高</t>
  </si>
  <si>
    <t xml:space="preserve">清水　幸夢</t>
  </si>
  <si>
    <t xml:space="preserve">根上　漣</t>
  </si>
  <si>
    <t xml:space="preserve">木村　光佑</t>
  </si>
  <si>
    <t xml:space="preserve">武田高</t>
  </si>
  <si>
    <t xml:space="preserve">下　 　隼人</t>
  </si>
  <si>
    <t xml:space="preserve">栄木　快心</t>
  </si>
  <si>
    <t xml:space="preserve">諌早農高</t>
  </si>
  <si>
    <t xml:space="preserve">大山　椋平</t>
  </si>
  <si>
    <t xml:space="preserve">高島高</t>
  </si>
  <si>
    <t xml:space="preserve">田原　佑真</t>
  </si>
  <si>
    <t xml:space="preserve">大川　漣生</t>
  </si>
  <si>
    <t xml:space="preserve">田岡　将和</t>
  </si>
  <si>
    <t xml:space="preserve">久保真直人</t>
  </si>
  <si>
    <t xml:space="preserve">秋田　優真</t>
  </si>
  <si>
    <t xml:space="preserve">都調布北高</t>
  </si>
  <si>
    <t xml:space="preserve">桑木　哲央</t>
  </si>
  <si>
    <t xml:space="preserve">横須賀学院高</t>
  </si>
  <si>
    <t xml:space="preserve">片桐　友朔</t>
  </si>
  <si>
    <t xml:space="preserve">奈良大附高</t>
  </si>
  <si>
    <t xml:space="preserve">足立　大翔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</si>
  <si>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60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9:56</t>
    </r>
    <r>
      <rPr>
        <sz val="10"/>
        <color rgb="FF000000"/>
        <rFont val="WenQuanYi Zen Hei"/>
        <family val="2"/>
      </rPr>
      <t xml:space="preserve">）</t>
    </r>
  </si>
  <si>
    <t xml:space="preserve">篠崎　崇輔</t>
  </si>
  <si>
    <t xml:space="preserve">水戸工高</t>
  </si>
  <si>
    <t xml:space="preserve">平野　祐介</t>
  </si>
  <si>
    <t xml:space="preserve">橋本　玲音</t>
  </si>
  <si>
    <t xml:space="preserve">高橋　匡佑</t>
  </si>
  <si>
    <t xml:space="preserve">西村　航太朗</t>
  </si>
  <si>
    <t xml:space="preserve">呉三津田高</t>
  </si>
  <si>
    <t xml:space="preserve">大川　和寿</t>
  </si>
  <si>
    <t xml:space="preserve">丸本浩太郎</t>
  </si>
  <si>
    <t xml:space="preserve">小林　勇斗</t>
  </si>
  <si>
    <t xml:space="preserve">新湊高</t>
  </si>
  <si>
    <t xml:space="preserve">小原　大和</t>
  </si>
  <si>
    <t xml:space="preserve">本多　竣</t>
  </si>
  <si>
    <t xml:space="preserve">沼田高</t>
  </si>
  <si>
    <t xml:space="preserve">水野　蒼空</t>
  </si>
  <si>
    <t xml:space="preserve">富山工高</t>
  </si>
  <si>
    <t xml:space="preserve">戸田　大夢</t>
  </si>
  <si>
    <t xml:space="preserve">松尾高</t>
  </si>
  <si>
    <t xml:space="preserve">沢村　琉生</t>
  </si>
  <si>
    <t xml:space="preserve">日進西高</t>
  </si>
  <si>
    <t xml:space="preserve">田辺　奏</t>
  </si>
  <si>
    <t xml:space="preserve">東野高</t>
  </si>
  <si>
    <t xml:space="preserve">小田桐皇輝</t>
  </si>
  <si>
    <t xml:space="preserve">竹井　翔真</t>
  </si>
  <si>
    <t xml:space="preserve">岡山操山高</t>
  </si>
  <si>
    <t xml:space="preserve">林　 　穣治</t>
  </si>
  <si>
    <t xml:space="preserve">三浦　航</t>
  </si>
  <si>
    <t xml:space="preserve">清水　岳</t>
  </si>
  <si>
    <t xml:space="preserve">船久保　稜太</t>
  </si>
  <si>
    <t xml:space="preserve">瀬戸西高</t>
  </si>
  <si>
    <t xml:space="preserve">石山　陽里</t>
  </si>
  <si>
    <t xml:space="preserve">釈永　凛庵</t>
  </si>
  <si>
    <t xml:space="preserve">龍谷富山高</t>
  </si>
  <si>
    <t xml:space="preserve">我部　陽太</t>
  </si>
  <si>
    <t xml:space="preserve">都新宿高</t>
  </si>
  <si>
    <t xml:space="preserve">校名表記：新宿高／都新宿高</t>
  </si>
  <si>
    <t xml:space="preserve">中村　晴希</t>
  </si>
  <si>
    <t xml:space="preserve">藤井　敬史郎</t>
  </si>
  <si>
    <t xml:space="preserve">名古屋市立高</t>
  </si>
  <si>
    <t xml:space="preserve">北村　愛介</t>
  </si>
  <si>
    <t xml:space="preserve">日野高</t>
  </si>
  <si>
    <t xml:space="preserve">梅原　幸太</t>
  </si>
  <si>
    <t xml:space="preserve">袋井高</t>
  </si>
  <si>
    <t xml:space="preserve">隈元　隆太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</si>
  <si>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9:35</t>
    </r>
    <r>
      <rPr>
        <sz val="10"/>
        <color rgb="FF000000"/>
        <rFont val="WenQuanYi Zen Hei"/>
        <family val="2"/>
      </rPr>
      <t xml:space="preserve">）</t>
    </r>
  </si>
  <si>
    <t xml:space="preserve">吉田那由太</t>
  </si>
  <si>
    <t xml:space="preserve">小林　彩人</t>
  </si>
  <si>
    <t xml:space="preserve">北越高</t>
  </si>
  <si>
    <t xml:space="preserve">阿部　孝太郎</t>
  </si>
  <si>
    <t xml:space="preserve">小山　源氏</t>
  </si>
  <si>
    <t xml:space="preserve">都秋留台高</t>
  </si>
  <si>
    <t xml:space="preserve">平野　稜人</t>
  </si>
  <si>
    <t xml:space="preserve">広嵜　奏</t>
  </si>
  <si>
    <t xml:space="preserve">清水　雅俊</t>
  </si>
  <si>
    <t xml:space="preserve">横畠　蒼大</t>
  </si>
  <si>
    <t xml:space="preserve">守山高</t>
  </si>
  <si>
    <t xml:space="preserve">李　 　宰成</t>
  </si>
  <si>
    <t xml:space="preserve">佐々木　健</t>
  </si>
  <si>
    <t xml:space="preserve">谷口　晴翔</t>
  </si>
  <si>
    <t xml:space="preserve">大木　健太</t>
  </si>
  <si>
    <t xml:space="preserve">佐伯　憲吾</t>
  </si>
  <si>
    <t xml:space="preserve">横浜氷取沢高</t>
  </si>
  <si>
    <t xml:space="preserve">坂井　陽希</t>
  </si>
  <si>
    <t xml:space="preserve">青木　水南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</si>
  <si>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27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8:58</t>
    </r>
    <r>
      <rPr>
        <sz val="10"/>
        <color rgb="FF000000"/>
        <rFont val="WenQuanYi Zen Hei"/>
        <family val="2"/>
      </rPr>
      <t xml:space="preserve">）</t>
    </r>
  </si>
  <si>
    <t xml:space="preserve">葛　 　佑希</t>
  </si>
  <si>
    <t xml:space="preserve">茂原樟陽高</t>
  </si>
  <si>
    <t xml:space="preserve">柴原　璃空</t>
  </si>
  <si>
    <t xml:space="preserve">西山　裕惺</t>
  </si>
  <si>
    <t xml:space="preserve">石橋　翔介</t>
  </si>
  <si>
    <t xml:space="preserve">同志社香里高</t>
  </si>
  <si>
    <t xml:space="preserve">浅井　雄介</t>
  </si>
  <si>
    <t xml:space="preserve">有薗　聡太朗</t>
  </si>
  <si>
    <t xml:space="preserve">小田　煌翔</t>
  </si>
  <si>
    <t xml:space="preserve">小樽潮陵高</t>
  </si>
  <si>
    <t xml:space="preserve">下野　晃成</t>
  </si>
  <si>
    <t xml:space="preserve">岐阜高</t>
  </si>
  <si>
    <t xml:space="preserve">松永　拓通</t>
  </si>
  <si>
    <t xml:space="preserve">清水東高</t>
  </si>
  <si>
    <t xml:space="preserve">坂口　岳大</t>
  </si>
  <si>
    <t xml:space="preserve">吉竹　怜央</t>
  </si>
  <si>
    <t xml:space="preserve">柏原高</t>
  </si>
  <si>
    <t xml:space="preserve">斎藤　弘哉</t>
  </si>
  <si>
    <t xml:space="preserve">大橋　悠翔</t>
  </si>
  <si>
    <t xml:space="preserve">浜名高</t>
  </si>
  <si>
    <t xml:space="preserve">栗秋　裕人</t>
  </si>
  <si>
    <t xml:space="preserve">小倉工高</t>
  </si>
  <si>
    <t xml:space="preserve">長谷川　謙太</t>
  </si>
  <si>
    <t xml:space="preserve">成瀬　朔</t>
  </si>
  <si>
    <t xml:space="preserve">八女学院高</t>
  </si>
  <si>
    <t xml:space="preserve">谷村　光哉</t>
  </si>
  <si>
    <t xml:space="preserve">大島高</t>
  </si>
  <si>
    <t xml:space="preserve">松浦　弘樹</t>
  </si>
  <si>
    <t xml:space="preserve">市福翔高</t>
  </si>
  <si>
    <t xml:space="preserve">山田　惺央</t>
  </si>
  <si>
    <t xml:space="preserve">与那嶺月渚</t>
  </si>
  <si>
    <t xml:space="preserve">二本木　真輝</t>
  </si>
  <si>
    <t xml:space="preserve">松原　志隆</t>
  </si>
  <si>
    <t xml:space="preserve">綿貫倖太郎</t>
  </si>
  <si>
    <t xml:space="preserve">馬場　健人</t>
  </si>
  <si>
    <t xml:space="preserve">森下　大空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</si>
  <si>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49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15:39</t>
    </r>
    <r>
      <rPr>
        <sz val="10"/>
        <color rgb="FF000000"/>
        <rFont val="WenQuanYi Zen Hei"/>
        <family val="2"/>
      </rPr>
      <t xml:space="preserve">）</t>
    </r>
  </si>
  <si>
    <t xml:space="preserve">三好　裕心</t>
  </si>
  <si>
    <t xml:space="preserve">吉成　快星</t>
  </si>
  <si>
    <t xml:space="preserve">小松　優月</t>
  </si>
  <si>
    <t xml:space="preserve">若林　祥太</t>
  </si>
  <si>
    <t xml:space="preserve">ＥＶＯ・ＴＣ</t>
  </si>
  <si>
    <t xml:space="preserve">守安　清匡</t>
  </si>
  <si>
    <t xml:space="preserve">木村　海人</t>
  </si>
  <si>
    <t xml:space="preserve">山本　桂士</t>
  </si>
  <si>
    <t xml:space="preserve">福岡舞鶴高</t>
  </si>
  <si>
    <t xml:space="preserve">西村　敦</t>
  </si>
  <si>
    <t xml:space="preserve">武者　陽</t>
  </si>
  <si>
    <t xml:space="preserve">北辻　陽平</t>
  </si>
  <si>
    <t xml:space="preserve">時田　悠椰</t>
  </si>
  <si>
    <t xml:space="preserve">駒ケ嶺　尚輝</t>
  </si>
  <si>
    <t xml:space="preserve">岩槻高</t>
  </si>
  <si>
    <t xml:space="preserve">荒井　啓</t>
  </si>
  <si>
    <t xml:space="preserve">平野　智春</t>
  </si>
  <si>
    <t xml:space="preserve">奥田　光貴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</si>
  <si>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101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16:56</t>
    </r>
    <r>
      <rPr>
        <sz val="10"/>
        <color rgb="FF000000"/>
        <rFont val="WenQuanYi Zen Hei"/>
        <family val="2"/>
      </rPr>
      <t xml:space="preserve">）</t>
    </r>
  </si>
  <si>
    <t xml:space="preserve">細野　拓海</t>
  </si>
  <si>
    <t xml:space="preserve">山岡　琉</t>
  </si>
  <si>
    <t xml:space="preserve">府中高</t>
  </si>
  <si>
    <t xml:space="preserve">竹下　翼冴</t>
  </si>
  <si>
    <t xml:space="preserve">安芸南高</t>
  </si>
  <si>
    <t xml:space="preserve">小笠原　悠斗</t>
  </si>
  <si>
    <t xml:space="preserve">たちばな高</t>
  </si>
  <si>
    <t xml:space="preserve">山中　絢心</t>
  </si>
  <si>
    <t xml:space="preserve">滋賀短大附高</t>
  </si>
  <si>
    <t xml:space="preserve">黒田　虎太郎</t>
  </si>
  <si>
    <t xml:space="preserve">静内高</t>
  </si>
  <si>
    <t xml:space="preserve">亀田　煌斗</t>
  </si>
  <si>
    <t xml:space="preserve">釧路明輝高</t>
  </si>
  <si>
    <t xml:space="preserve">坂井　睦人</t>
  </si>
  <si>
    <t xml:space="preserve">原町高</t>
  </si>
  <si>
    <t xml:space="preserve">深山　巧翔</t>
  </si>
  <si>
    <t xml:space="preserve">向上高</t>
  </si>
  <si>
    <t xml:space="preserve">末吉　結翔</t>
  </si>
  <si>
    <t xml:space="preserve">島原高</t>
  </si>
  <si>
    <t xml:space="preserve">水野　恭輔</t>
  </si>
  <si>
    <t xml:space="preserve">千葉西高</t>
  </si>
  <si>
    <t xml:space="preserve">金沢　寛貴</t>
  </si>
  <si>
    <t xml:space="preserve">福嶋　蒼大</t>
  </si>
  <si>
    <t xml:space="preserve">門馬　有利</t>
  </si>
  <si>
    <t xml:space="preserve">山中　泰成</t>
  </si>
  <si>
    <t xml:space="preserve">岡本　和真</t>
  </si>
  <si>
    <t xml:space="preserve">平見　吏都</t>
  </si>
  <si>
    <t xml:space="preserve">大谷　浩也</t>
  </si>
  <si>
    <t xml:space="preserve">生田高</t>
  </si>
  <si>
    <t xml:space="preserve">名村　太一</t>
  </si>
  <si>
    <t xml:space="preserve">並松　和心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</si>
  <si>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9:06</t>
    </r>
    <r>
      <rPr>
        <sz val="10"/>
        <color rgb="FF000000"/>
        <rFont val="WenQuanYi Zen Hei"/>
        <family val="2"/>
      </rPr>
      <t xml:space="preserve">）</t>
    </r>
  </si>
  <si>
    <t xml:space="preserve">植松　海琉</t>
  </si>
  <si>
    <t xml:space="preserve">石橋　大雅</t>
  </si>
  <si>
    <t xml:space="preserve">福岡工高</t>
  </si>
  <si>
    <t xml:space="preserve">西村　颯真</t>
  </si>
  <si>
    <t xml:space="preserve">金沢桜丘高</t>
  </si>
  <si>
    <t xml:space="preserve">吉見　颯真</t>
  </si>
  <si>
    <t xml:space="preserve">大渓　晟矢</t>
  </si>
  <si>
    <t xml:space="preserve">松木　悠真</t>
  </si>
  <si>
    <t xml:space="preserve">長牛　耀</t>
  </si>
  <si>
    <t xml:space="preserve">内藤　祐靖</t>
  </si>
  <si>
    <t xml:space="preserve">岩田　貫</t>
  </si>
  <si>
    <t xml:space="preserve">京田　周</t>
  </si>
  <si>
    <t xml:space="preserve">守屋　幸朔</t>
  </si>
  <si>
    <t xml:space="preserve">吉川　怜玖</t>
  </si>
  <si>
    <t xml:space="preserve">城東高</t>
  </si>
  <si>
    <t xml:space="preserve">西山　隼人</t>
  </si>
  <si>
    <t xml:space="preserve">岡崎　未来</t>
  </si>
  <si>
    <t xml:space="preserve">尾道北高</t>
  </si>
  <si>
    <t xml:space="preserve">兼子　大輝</t>
  </si>
  <si>
    <t xml:space="preserve">山本　蒼太</t>
  </si>
  <si>
    <t xml:space="preserve">松尾　崇雅</t>
  </si>
  <si>
    <t xml:space="preserve">中元　結心</t>
  </si>
  <si>
    <t xml:space="preserve">野崎　聖夏</t>
  </si>
  <si>
    <t xml:space="preserve">飯野高</t>
  </si>
  <si>
    <t xml:space="preserve">石原　優斗</t>
  </si>
  <si>
    <t xml:space="preserve">上山　夢叶</t>
  </si>
  <si>
    <t xml:space="preserve">市岐阜商高</t>
  </si>
  <si>
    <t xml:space="preserve">飯田　凌輝</t>
  </si>
  <si>
    <t xml:space="preserve">金光藤蔭高</t>
  </si>
  <si>
    <t xml:space="preserve">畠山　幸平</t>
  </si>
  <si>
    <t xml:space="preserve">敬愛学園高</t>
  </si>
  <si>
    <t xml:space="preserve">片倉　遼</t>
  </si>
  <si>
    <t xml:space="preserve">吉本　進翔</t>
  </si>
  <si>
    <t xml:space="preserve">鵠沼高</t>
  </si>
  <si>
    <t xml:space="preserve">吉田　詩音</t>
  </si>
  <si>
    <t xml:space="preserve">近大高専</t>
  </si>
  <si>
    <t xml:space="preserve">藤井　崇喜</t>
  </si>
  <si>
    <t xml:space="preserve">福山葦陽高</t>
  </si>
  <si>
    <t xml:space="preserve">崎枝　寿之</t>
  </si>
  <si>
    <t xml:space="preserve">西島　優希</t>
  </si>
  <si>
    <t xml:space="preserve">中里　翔太</t>
  </si>
  <si>
    <t xml:space="preserve">与野高</t>
  </si>
  <si>
    <t xml:space="preserve">岸　 　玲慧</t>
  </si>
  <si>
    <t xml:space="preserve">熊谷高</t>
  </si>
  <si>
    <t xml:space="preserve">月井　蒼空</t>
  </si>
  <si>
    <t xml:space="preserve">上田　凌和</t>
  </si>
  <si>
    <t xml:space="preserve">水戸桜ノ牧高</t>
  </si>
  <si>
    <t xml:space="preserve">中内　陸人</t>
  </si>
  <si>
    <t xml:space="preserve">熊本二高</t>
  </si>
  <si>
    <t xml:space="preserve">赤繁　直弥</t>
  </si>
  <si>
    <t xml:space="preserve">府中東高</t>
  </si>
  <si>
    <t xml:space="preserve">山本　将貴</t>
  </si>
  <si>
    <t xml:space="preserve">赤堀　陽樹</t>
  </si>
  <si>
    <t xml:space="preserve">聖隷クリストファー高</t>
  </si>
  <si>
    <t xml:space="preserve">新井　立志</t>
  </si>
  <si>
    <t xml:space="preserve">同志社高</t>
  </si>
  <si>
    <t xml:space="preserve">塙　 　凛太郎</t>
  </si>
  <si>
    <t xml:space="preserve">綾　 　颯乃助</t>
  </si>
  <si>
    <t xml:space="preserve">観音寺総合高</t>
  </si>
  <si>
    <t xml:space="preserve">花井　海利</t>
  </si>
  <si>
    <t xml:space="preserve">金沢二水高</t>
  </si>
  <si>
    <t xml:space="preserve">沢山滉太郎</t>
  </si>
  <si>
    <t xml:space="preserve">帯広工高</t>
  </si>
  <si>
    <t xml:space="preserve">難波　瑛俊</t>
  </si>
  <si>
    <t xml:space="preserve">関西高</t>
  </si>
  <si>
    <t xml:space="preserve">長尾　凛汰朗</t>
  </si>
  <si>
    <t xml:space="preserve">淡路三原高</t>
  </si>
  <si>
    <t xml:space="preserve">清末　蒼真</t>
  </si>
  <si>
    <t xml:space="preserve">江浦　嘉彬</t>
  </si>
  <si>
    <t xml:space="preserve">都立川高</t>
  </si>
  <si>
    <t xml:space="preserve">水戸葵陵高校</t>
  </si>
  <si>
    <t xml:space="preserve">同名の別選手あり（港北高）</t>
  </si>
  <si>
    <t xml:space="preserve">雨宮　修真</t>
  </si>
  <si>
    <t xml:space="preserve">佐藤　桜士朗</t>
  </si>
  <si>
    <t xml:space="preserve">大屋戸　聖</t>
  </si>
  <si>
    <t xml:space="preserve">有野　将貴</t>
  </si>
  <si>
    <t xml:space="preserve">鳴尾高</t>
  </si>
  <si>
    <t xml:space="preserve">丸山　千吏</t>
  </si>
  <si>
    <t xml:space="preserve">座間味　凛</t>
  </si>
  <si>
    <t xml:space="preserve">赤木　仁晟</t>
  </si>
  <si>
    <t xml:space="preserve">河合　亮汰</t>
  </si>
  <si>
    <t xml:space="preserve">延沢　永真</t>
  </si>
  <si>
    <t xml:space="preserve">ＡＭＵＲＯ ＡＣ</t>
  </si>
  <si>
    <t xml:space="preserve">鈴木　遥飛</t>
  </si>
  <si>
    <t xml:space="preserve">長岡商高</t>
  </si>
  <si>
    <t xml:space="preserve">片岡　隆斗</t>
  </si>
  <si>
    <t xml:space="preserve">原　 　旺介</t>
  </si>
  <si>
    <t xml:space="preserve">後藤　丈</t>
  </si>
  <si>
    <t xml:space="preserve">山形学院高</t>
  </si>
  <si>
    <t xml:space="preserve">高橋　謙信</t>
  </si>
  <si>
    <t xml:space="preserve">吉村　優斗</t>
  </si>
  <si>
    <t xml:space="preserve">松浦　龍成</t>
  </si>
  <si>
    <t xml:space="preserve">椎山　遥空</t>
  </si>
  <si>
    <t xml:space="preserve">佐藤　凛太郎</t>
  </si>
  <si>
    <t xml:space="preserve">森　 　悠人</t>
  </si>
  <si>
    <t xml:space="preserve">延岡工高</t>
  </si>
  <si>
    <t xml:space="preserve">竹山　心</t>
  </si>
  <si>
    <t xml:space="preserve">大商学園高</t>
  </si>
  <si>
    <t xml:space="preserve">新美　昂征</t>
  </si>
  <si>
    <t xml:space="preserve">佐藤　陽輝</t>
  </si>
  <si>
    <t xml:space="preserve">角田　祥燿</t>
  </si>
  <si>
    <t xml:space="preserve">古川工高</t>
  </si>
  <si>
    <t xml:space="preserve">江上　泰正</t>
  </si>
  <si>
    <t xml:space="preserve">加藤　佑</t>
  </si>
  <si>
    <t xml:space="preserve">豊橋東高</t>
  </si>
  <si>
    <t xml:space="preserve">押谷　凌多</t>
  </si>
  <si>
    <t xml:space="preserve">千種高</t>
  </si>
  <si>
    <t xml:space="preserve">中川　碧</t>
  </si>
  <si>
    <t xml:space="preserve">新城高</t>
  </si>
  <si>
    <t xml:space="preserve">大貫琳太郎</t>
  </si>
  <si>
    <t xml:space="preserve">田中　大夢</t>
  </si>
  <si>
    <t xml:space="preserve">寺岡　慧</t>
  </si>
  <si>
    <t xml:space="preserve">小林　有汰</t>
  </si>
  <si>
    <t xml:space="preserve">西原　優人</t>
  </si>
  <si>
    <t xml:space="preserve">今井　洋翔</t>
  </si>
  <si>
    <t xml:space="preserve">大中　湊介</t>
  </si>
  <si>
    <t xml:space="preserve">蛯原　慶</t>
  </si>
  <si>
    <t xml:space="preserve">原　 　みらい</t>
  </si>
  <si>
    <t xml:space="preserve">田川高</t>
  </si>
  <si>
    <t xml:space="preserve">シンクレア　桜生</t>
  </si>
  <si>
    <t xml:space="preserve">高田　皓介</t>
  </si>
  <si>
    <t xml:space="preserve">平塚江南高</t>
  </si>
  <si>
    <t xml:space="preserve">岸和田　大河</t>
  </si>
  <si>
    <t xml:space="preserve">福嶋　光陽</t>
  </si>
  <si>
    <t xml:space="preserve">岩崎　大駕</t>
  </si>
  <si>
    <t xml:space="preserve">東総工高</t>
  </si>
  <si>
    <t xml:space="preserve">刈谷　賛</t>
  </si>
  <si>
    <t xml:space="preserve">伊来　祐太</t>
  </si>
  <si>
    <t xml:space="preserve">清次　怜桜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</si>
  <si>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51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15:52</t>
    </r>
    <r>
      <rPr>
        <sz val="10"/>
        <color rgb="FF000000"/>
        <rFont val="WenQuanYi Zen Hei"/>
        <family val="2"/>
      </rPr>
      <t xml:space="preserve">）</t>
    </r>
  </si>
  <si>
    <t xml:space="preserve">高間　渉</t>
  </si>
  <si>
    <t xml:space="preserve">一宮西高</t>
  </si>
  <si>
    <t xml:space="preserve">佐藤　聖悟</t>
  </si>
  <si>
    <t xml:space="preserve">伊丹北高</t>
  </si>
  <si>
    <t xml:space="preserve">牛尾　一之亮</t>
  </si>
  <si>
    <t xml:space="preserve">熱田高</t>
  </si>
  <si>
    <t xml:space="preserve">山崎　航宙</t>
  </si>
  <si>
    <t xml:space="preserve">木船　湧惺</t>
  </si>
  <si>
    <t xml:space="preserve">巣鴨高</t>
  </si>
  <si>
    <t xml:space="preserve">平井　凰雅</t>
  </si>
  <si>
    <t xml:space="preserve">弘前学院聖愛高</t>
  </si>
  <si>
    <t xml:space="preserve">早川　宗佑</t>
  </si>
  <si>
    <t xml:space="preserve">関根　優斗</t>
  </si>
  <si>
    <t xml:space="preserve">浅川　龍之介</t>
  </si>
  <si>
    <t xml:space="preserve">増田　暁人</t>
  </si>
  <si>
    <t xml:space="preserve">上宮高</t>
  </si>
  <si>
    <t xml:space="preserve">松本　岳大</t>
  </si>
  <si>
    <t xml:space="preserve">増本　健人</t>
  </si>
  <si>
    <t xml:space="preserve">検見川高</t>
  </si>
  <si>
    <t xml:space="preserve">加賀谷　凛太郎</t>
  </si>
  <si>
    <t xml:space="preserve">渥美農高</t>
  </si>
  <si>
    <t xml:space="preserve">広島　享介</t>
  </si>
  <si>
    <t xml:space="preserve">村川　礼</t>
  </si>
  <si>
    <t xml:space="preserve">出沢　侑也</t>
  </si>
  <si>
    <t xml:space="preserve">荒井　宥哉</t>
  </si>
  <si>
    <t xml:space="preserve">滝川西高</t>
  </si>
  <si>
    <t xml:space="preserve">栗原　聖也</t>
  </si>
  <si>
    <t xml:space="preserve">加藤　孝悠</t>
  </si>
  <si>
    <t xml:space="preserve">牧原　悠斗</t>
  </si>
  <si>
    <t xml:space="preserve">岡崎西高</t>
  </si>
  <si>
    <t xml:space="preserve">三原　真人</t>
  </si>
  <si>
    <t xml:space="preserve">工藤　優心</t>
  </si>
  <si>
    <t xml:space="preserve">小川　綾</t>
  </si>
  <si>
    <t xml:space="preserve">北出　大耀</t>
  </si>
  <si>
    <t xml:space="preserve">野間　勇斗</t>
  </si>
  <si>
    <t xml:space="preserve">上原　大征</t>
  </si>
  <si>
    <t xml:space="preserve">清水　佑真</t>
  </si>
  <si>
    <t xml:space="preserve">明石商高</t>
  </si>
  <si>
    <t xml:space="preserve">大西　静生</t>
  </si>
  <si>
    <t xml:space="preserve">加古川北高</t>
  </si>
  <si>
    <t xml:space="preserve">浜田　恵太</t>
  </si>
  <si>
    <t xml:space="preserve">藤田　陽斗</t>
  </si>
  <si>
    <t xml:space="preserve">佐々木　大翔</t>
  </si>
  <si>
    <t xml:space="preserve">宮古高</t>
  </si>
  <si>
    <t xml:space="preserve">小泉　一斗</t>
  </si>
  <si>
    <t xml:space="preserve">国学院大栃木高</t>
  </si>
  <si>
    <t xml:space="preserve">成田　遥駿</t>
  </si>
  <si>
    <t xml:space="preserve">大府高</t>
  </si>
  <si>
    <t xml:space="preserve">千葉　蒼介</t>
  </si>
  <si>
    <t xml:space="preserve">塩田　将真</t>
  </si>
  <si>
    <t xml:space="preserve">富山　心陽</t>
  </si>
  <si>
    <t xml:space="preserve">登美丘高</t>
  </si>
  <si>
    <t xml:space="preserve">沢藤　颯斗</t>
  </si>
  <si>
    <t xml:space="preserve">狭山経済高</t>
  </si>
  <si>
    <t xml:space="preserve">市川　祐大</t>
  </si>
  <si>
    <t xml:space="preserve">山形　惺良</t>
  </si>
  <si>
    <t xml:space="preserve">巨摩高</t>
  </si>
  <si>
    <t xml:space="preserve">小林　景太</t>
  </si>
  <si>
    <t xml:space="preserve">福田　晃生</t>
  </si>
  <si>
    <t xml:space="preserve">前橋高</t>
  </si>
  <si>
    <t xml:space="preserve">伊藤　凌輔</t>
  </si>
  <si>
    <t xml:space="preserve">日体大附高</t>
  </si>
  <si>
    <t xml:space="preserve">伊藤　誠之介</t>
  </si>
  <si>
    <t xml:space="preserve">大野　凛人</t>
  </si>
  <si>
    <t xml:space="preserve">赤穂高</t>
  </si>
  <si>
    <t xml:space="preserve">中西　亮介</t>
  </si>
  <si>
    <t xml:space="preserve">柳沢　真翔</t>
  </si>
  <si>
    <t xml:space="preserve">井手玲太朗</t>
  </si>
  <si>
    <t xml:space="preserve">岩也　侑正</t>
  </si>
  <si>
    <t xml:space="preserve">小村　晴斗</t>
  </si>
  <si>
    <t xml:space="preserve">渡壁　虹太</t>
  </si>
  <si>
    <t xml:space="preserve">瑞陵高</t>
  </si>
  <si>
    <t xml:space="preserve">四柳　仁清</t>
  </si>
  <si>
    <t xml:space="preserve">鳶谷　聖我</t>
  </si>
  <si>
    <t xml:space="preserve">渡辺　煌大</t>
  </si>
  <si>
    <t xml:space="preserve">芽室高</t>
  </si>
  <si>
    <t xml:space="preserve">松尾　真叶</t>
  </si>
  <si>
    <t xml:space="preserve">伊礼　碧人</t>
  </si>
  <si>
    <t xml:space="preserve">久木山　敬心</t>
  </si>
  <si>
    <t xml:space="preserve">江崎　翼</t>
  </si>
  <si>
    <t xml:space="preserve">都戸山高</t>
  </si>
  <si>
    <t xml:space="preserve">藤堂　和誠</t>
  </si>
  <si>
    <t xml:space="preserve">勝山高</t>
  </si>
  <si>
    <t xml:space="preserve">木下　結富</t>
  </si>
  <si>
    <t xml:space="preserve">東葛飾高</t>
  </si>
  <si>
    <t xml:space="preserve">遠藤　空</t>
  </si>
  <si>
    <t xml:space="preserve">高井　奏斗</t>
  </si>
  <si>
    <t xml:space="preserve">東濃実高</t>
  </si>
  <si>
    <t xml:space="preserve">植木　歩</t>
  </si>
  <si>
    <t xml:space="preserve">黒木　太晴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</si>
  <si>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92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16:52</t>
    </r>
    <r>
      <rPr>
        <sz val="10"/>
        <color rgb="FF000000"/>
        <rFont val="WenQuanYi Zen Hei"/>
        <family val="2"/>
      </rPr>
      <t xml:space="preserve">）</t>
    </r>
  </si>
  <si>
    <t xml:space="preserve">山口　海星</t>
  </si>
  <si>
    <t xml:space="preserve">山田　碧士</t>
  </si>
  <si>
    <t xml:space="preserve">草賀　斗真</t>
  </si>
  <si>
    <t xml:space="preserve">杉田　瑛宥</t>
  </si>
  <si>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97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17:14</t>
    </r>
    <r>
      <rPr>
        <sz val="10"/>
        <color rgb="FF000000"/>
        <rFont val="WenQuanYi Zen Hei"/>
        <family val="2"/>
      </rPr>
      <t xml:space="preserve">）</t>
    </r>
  </si>
  <si>
    <t xml:space="preserve">武井　蒼空</t>
  </si>
  <si>
    <t xml:space="preserve">芥川高</t>
  </si>
  <si>
    <t xml:space="preserve">西川　大暉</t>
  </si>
  <si>
    <t xml:space="preserve">藤田　悠良</t>
  </si>
  <si>
    <t xml:space="preserve">伊藤　蒼馬</t>
  </si>
  <si>
    <t xml:space="preserve">岩木　瑛澄</t>
  </si>
  <si>
    <t xml:space="preserve">宮永　陽太</t>
  </si>
  <si>
    <t xml:space="preserve">駒込高</t>
  </si>
  <si>
    <t xml:space="preserve">山田　凌空</t>
  </si>
  <si>
    <t xml:space="preserve">豊橋南高</t>
  </si>
  <si>
    <t xml:space="preserve">渡辺　航成</t>
  </si>
  <si>
    <t xml:space="preserve">長良高</t>
  </si>
  <si>
    <t xml:space="preserve">施　 　讃人</t>
  </si>
  <si>
    <t xml:space="preserve">六甲学院高</t>
  </si>
  <si>
    <t xml:space="preserve">佐藤　魁翔</t>
  </si>
  <si>
    <t xml:space="preserve">ふじみ野高</t>
  </si>
  <si>
    <t xml:space="preserve">村上　蒼空</t>
  </si>
  <si>
    <t xml:space="preserve">旭川工高</t>
  </si>
  <si>
    <t xml:space="preserve">木瀬　暖士</t>
  </si>
  <si>
    <t xml:space="preserve">前川　宏都</t>
  </si>
  <si>
    <t xml:space="preserve">金沢高</t>
  </si>
  <si>
    <t xml:space="preserve">風間　詩月</t>
  </si>
  <si>
    <t xml:space="preserve">六日町高</t>
  </si>
  <si>
    <t xml:space="preserve">鳴海　澄晴</t>
  </si>
  <si>
    <t xml:space="preserve">伊那弥生ケ丘高</t>
  </si>
  <si>
    <t xml:space="preserve">笠原　陽翔</t>
  </si>
  <si>
    <t xml:space="preserve">伊勢崎高</t>
  </si>
  <si>
    <t xml:space="preserve">梅田　優</t>
  </si>
  <si>
    <t xml:space="preserve">伊藤　紘一郎</t>
  </si>
  <si>
    <t xml:space="preserve">喜夛　悠斗</t>
  </si>
  <si>
    <t xml:space="preserve">佐久間　稔</t>
  </si>
  <si>
    <t xml:space="preserve">大方　優杜</t>
  </si>
  <si>
    <t xml:space="preserve">結城　笙</t>
  </si>
  <si>
    <t xml:space="preserve">小松明峰高</t>
  </si>
  <si>
    <t xml:space="preserve">藤田　大志</t>
  </si>
  <si>
    <t xml:space="preserve">札幌北陵高</t>
  </si>
  <si>
    <t xml:space="preserve">黒沢　涼雅</t>
  </si>
  <si>
    <t xml:space="preserve">渋川高</t>
  </si>
  <si>
    <t xml:space="preserve">境井　龍輝</t>
  </si>
  <si>
    <t xml:space="preserve">吉本　拓夢</t>
  </si>
  <si>
    <t xml:space="preserve">高松工芸高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</si>
  <si>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80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10:15</t>
    </r>
    <r>
      <rPr>
        <sz val="10"/>
        <color rgb="FF000000"/>
        <rFont val="WenQuanYi Zen Hei"/>
        <family val="2"/>
      </rPr>
      <t xml:space="preserve">）</t>
    </r>
  </si>
  <si>
    <t xml:space="preserve">嶽下　允希</t>
  </si>
  <si>
    <t xml:space="preserve">松戸　零武</t>
  </si>
  <si>
    <t xml:space="preserve">畠中　颯真</t>
  </si>
  <si>
    <t xml:space="preserve">三田祥雲館高</t>
  </si>
  <si>
    <t xml:space="preserve">太田　朝陽</t>
  </si>
  <si>
    <t xml:space="preserve">旭川北高</t>
  </si>
  <si>
    <t xml:space="preserve">牧野　夏己</t>
  </si>
  <si>
    <t xml:space="preserve">妹尾　優羽</t>
  </si>
  <si>
    <t xml:space="preserve">井口高</t>
  </si>
  <si>
    <t xml:space="preserve">万玉　葦大</t>
  </si>
  <si>
    <t xml:space="preserve">高松農高</t>
  </si>
  <si>
    <t xml:space="preserve">島田　奈季</t>
  </si>
  <si>
    <t xml:space="preserve">鎮西高</t>
  </si>
  <si>
    <t xml:space="preserve">岡崎　柊</t>
  </si>
  <si>
    <t xml:space="preserve">大津高</t>
  </si>
  <si>
    <t xml:space="preserve">野坂　宗司</t>
  </si>
  <si>
    <t xml:space="preserve">松村　徳真</t>
  </si>
  <si>
    <t xml:space="preserve">五代　倫太郎</t>
  </si>
  <si>
    <t xml:space="preserve">中島　諒</t>
  </si>
  <si>
    <t xml:space="preserve">常翔学園高</t>
  </si>
  <si>
    <t xml:space="preserve">松岡　凌玖</t>
  </si>
  <si>
    <t xml:space="preserve">本島　岳</t>
  </si>
  <si>
    <t xml:space="preserve">長野高専</t>
  </si>
  <si>
    <t xml:space="preserve">富田　雄軌</t>
  </si>
  <si>
    <t xml:space="preserve">桜井　一蕗</t>
  </si>
  <si>
    <t xml:space="preserve">山形東高</t>
  </si>
  <si>
    <t xml:space="preserve">岩堀　蒼哉</t>
  </si>
  <si>
    <t xml:space="preserve">市柏高</t>
  </si>
  <si>
    <t xml:space="preserve">森島　瑠哉</t>
  </si>
  <si>
    <t xml:space="preserve">愛教大ク名古屋高</t>
  </si>
  <si>
    <t xml:space="preserve">大竹　悠仁</t>
  </si>
  <si>
    <t xml:space="preserve">会津高</t>
  </si>
  <si>
    <t xml:space="preserve">前村　空良</t>
  </si>
  <si>
    <t xml:space="preserve">水口　悠大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</si>
  <si>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95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26:48</t>
    </r>
    <r>
      <rPr>
        <sz val="10"/>
        <color rgb="FF000000"/>
        <rFont val="WenQuanYi Zen Hei"/>
        <family val="2"/>
      </rPr>
      <t xml:space="preserve">）</t>
    </r>
  </si>
  <si>
    <t xml:space="preserve">小柳　勇翔</t>
  </si>
  <si>
    <t xml:space="preserve">能見　大翔</t>
  </si>
  <si>
    <t xml:space="preserve">柏木学園高</t>
  </si>
  <si>
    <t xml:space="preserve">樽角　遼</t>
  </si>
  <si>
    <t xml:space="preserve">田中　翔希</t>
  </si>
  <si>
    <t xml:space="preserve">中村　瑠</t>
  </si>
  <si>
    <t xml:space="preserve">遠藤　優剛</t>
  </si>
  <si>
    <t xml:space="preserve">石狩翔陽高</t>
  </si>
  <si>
    <t xml:space="preserve">松倉　悠悟</t>
  </si>
  <si>
    <t xml:space="preserve">八戸高</t>
  </si>
  <si>
    <t xml:space="preserve">高津　月翔</t>
  </si>
  <si>
    <t xml:space="preserve">松下　大悟</t>
  </si>
  <si>
    <t xml:space="preserve">長谷川　禅</t>
  </si>
  <si>
    <t xml:space="preserve">札幌工高</t>
  </si>
  <si>
    <t xml:space="preserve">内田　暖人</t>
  </si>
  <si>
    <t xml:space="preserve">長島　琉夏</t>
  </si>
  <si>
    <t xml:space="preserve">清水桜が丘高</t>
  </si>
  <si>
    <t xml:space="preserve">遠藤　正基</t>
  </si>
  <si>
    <t xml:space="preserve">平工高</t>
  </si>
  <si>
    <t xml:space="preserve">森岡　大歌</t>
  </si>
  <si>
    <t xml:space="preserve">林田　尚真</t>
  </si>
  <si>
    <t xml:space="preserve">香川中央高</t>
  </si>
  <si>
    <t xml:space="preserve">石川　結士</t>
  </si>
  <si>
    <t xml:space="preserve">横山　真生</t>
  </si>
  <si>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34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9:11</t>
    </r>
    <r>
      <rPr>
        <sz val="10"/>
        <color rgb="FF000000"/>
        <rFont val="WenQuanYi Zen Hei"/>
        <family val="2"/>
      </rPr>
      <t xml:space="preserve">）</t>
    </r>
  </si>
  <si>
    <t xml:space="preserve">大鷹　亮晴</t>
  </si>
  <si>
    <t xml:space="preserve">小谷口　柚希</t>
  </si>
  <si>
    <t xml:space="preserve">大阪国際大ＡＣ</t>
  </si>
  <si>
    <t xml:space="preserve">小林　悠希</t>
  </si>
  <si>
    <t xml:space="preserve">青柳　尚央</t>
  </si>
  <si>
    <t xml:space="preserve">筑紫丘高</t>
  </si>
  <si>
    <t xml:space="preserve">佐藤　流輝</t>
  </si>
  <si>
    <t xml:space="preserve">寺西　蒼生</t>
  </si>
  <si>
    <t xml:space="preserve">重松　宗次郎</t>
  </si>
  <si>
    <t xml:space="preserve">村岡　駿</t>
  </si>
  <si>
    <t xml:space="preserve">市川高</t>
  </si>
  <si>
    <t xml:space="preserve">西村　悟</t>
  </si>
  <si>
    <t xml:space="preserve">河井　一真</t>
  </si>
  <si>
    <t xml:space="preserve">長久手高</t>
  </si>
  <si>
    <t xml:space="preserve">渡辺　曜</t>
  </si>
  <si>
    <t xml:space="preserve">東桜学館高</t>
  </si>
  <si>
    <t xml:space="preserve">小山　健真</t>
  </si>
  <si>
    <t xml:space="preserve">高槻高</t>
  </si>
  <si>
    <t xml:space="preserve">植村　優生</t>
  </si>
  <si>
    <t xml:space="preserve">高松西高</t>
  </si>
  <si>
    <t xml:space="preserve">坂口　竹虎</t>
  </si>
  <si>
    <t xml:space="preserve">青木　桜大</t>
  </si>
  <si>
    <t xml:space="preserve">陣出　一志</t>
  </si>
  <si>
    <t xml:space="preserve">小松大谷高</t>
  </si>
  <si>
    <t xml:space="preserve">古田　悠真</t>
  </si>
  <si>
    <t xml:space="preserve">松本　晴斗</t>
  </si>
  <si>
    <t xml:space="preserve">松本　倭和</t>
  </si>
  <si>
    <t xml:space="preserve">川瀬　晃太</t>
  </si>
  <si>
    <t xml:space="preserve">名張青峰高</t>
  </si>
  <si>
    <t xml:space="preserve">岡部　光希</t>
  </si>
  <si>
    <t xml:space="preserve">万波　翔樹</t>
  </si>
  <si>
    <t xml:space="preserve">宗像　大晴</t>
  </si>
  <si>
    <t xml:space="preserve">冬田　侑士</t>
  </si>
  <si>
    <t xml:space="preserve">目代　来煌</t>
  </si>
  <si>
    <t xml:space="preserve">逆井　健瑠</t>
  </si>
  <si>
    <t xml:space="preserve">松尾　和篤</t>
  </si>
  <si>
    <t xml:space="preserve">須磨翔風高</t>
  </si>
  <si>
    <t xml:space="preserve">森川　敬介</t>
  </si>
  <si>
    <t xml:space="preserve">観音寺一高</t>
  </si>
  <si>
    <t xml:space="preserve">木原　吏修</t>
  </si>
  <si>
    <t xml:space="preserve">石狩南高</t>
  </si>
  <si>
    <t xml:space="preserve">大上　哲平</t>
  </si>
  <si>
    <t xml:space="preserve">並木中等高</t>
  </si>
  <si>
    <t xml:space="preserve">稲川　豪</t>
  </si>
  <si>
    <t xml:space="preserve">日野　修杜</t>
  </si>
  <si>
    <t xml:space="preserve">小林　琉星</t>
  </si>
  <si>
    <t xml:space="preserve">柿田　俊輔</t>
  </si>
  <si>
    <t xml:space="preserve">藤井　颯大</t>
  </si>
  <si>
    <t xml:space="preserve">山田　治人</t>
  </si>
  <si>
    <t xml:space="preserve">長崎東高</t>
  </si>
  <si>
    <t xml:space="preserve">高尾　碧生</t>
  </si>
  <si>
    <t xml:space="preserve">鶴嶺高</t>
  </si>
  <si>
    <t xml:space="preserve">渡辺　篤志</t>
  </si>
  <si>
    <t xml:space="preserve">海南高</t>
  </si>
  <si>
    <t xml:space="preserve">折原　光</t>
  </si>
  <si>
    <t xml:space="preserve">久喜北陽高</t>
  </si>
  <si>
    <t xml:space="preserve">増田　絢斗</t>
  </si>
  <si>
    <t xml:space="preserve">林　 　衣岬</t>
  </si>
  <si>
    <t xml:space="preserve">北川　寛静</t>
  </si>
  <si>
    <t xml:space="preserve">橋本　匠太郎</t>
  </si>
  <si>
    <t xml:space="preserve">早大学院高</t>
  </si>
  <si>
    <t xml:space="preserve">本倉　諒</t>
  </si>
  <si>
    <t xml:space="preserve">杉本　真昊</t>
  </si>
  <si>
    <t xml:space="preserve">鈴木　結太</t>
  </si>
  <si>
    <t xml:space="preserve">秋田高専</t>
  </si>
  <si>
    <t xml:space="preserve">浮島　大夢</t>
  </si>
  <si>
    <t xml:space="preserve">増子　新大</t>
  </si>
  <si>
    <t xml:space="preserve">安積黎明高</t>
  </si>
  <si>
    <t xml:space="preserve">道明　宣允</t>
  </si>
  <si>
    <t xml:space="preserve">結束　颯太</t>
  </si>
  <si>
    <t xml:space="preserve">黒崎　聡明</t>
  </si>
  <si>
    <t xml:space="preserve">野田中央高</t>
  </si>
  <si>
    <t xml:space="preserve">モウルド　琉空</t>
  </si>
  <si>
    <t xml:space="preserve">長岡大手高</t>
  </si>
  <si>
    <t xml:space="preserve">高倉　慶太</t>
  </si>
  <si>
    <t xml:space="preserve">三国高</t>
  </si>
  <si>
    <t xml:space="preserve">植月　優太</t>
  </si>
  <si>
    <t xml:space="preserve">小池　悠太</t>
  </si>
  <si>
    <t xml:space="preserve">同名の別選手あり（八頭高）</t>
  </si>
  <si>
    <t xml:space="preserve">西田　慎太郎</t>
  </si>
  <si>
    <t xml:space="preserve">飯島　遥太</t>
  </si>
  <si>
    <t xml:space="preserve">榎戸　翔希空</t>
  </si>
  <si>
    <t xml:space="preserve">窪田　理人</t>
  </si>
  <si>
    <t xml:space="preserve">小橋　由尭</t>
  </si>
  <si>
    <t xml:space="preserve">浜嶋　凌乃介</t>
  </si>
  <si>
    <t xml:space="preserve">杏和高</t>
  </si>
  <si>
    <t xml:space="preserve">池田　昂生</t>
  </si>
  <si>
    <t xml:space="preserve">近大附広島高福山</t>
  </si>
  <si>
    <t xml:space="preserve">干場　泰志</t>
  </si>
  <si>
    <t xml:space="preserve">輪島高</t>
  </si>
  <si>
    <t xml:space="preserve">重高　歩夢</t>
  </si>
  <si>
    <t xml:space="preserve">広瀬　尊</t>
  </si>
  <si>
    <t xml:space="preserve">富山南高</t>
  </si>
  <si>
    <t xml:space="preserve">瀬合　晴斗</t>
  </si>
  <si>
    <t xml:space="preserve">成城高</t>
  </si>
  <si>
    <t xml:space="preserve">末永　勇人</t>
  </si>
  <si>
    <t xml:space="preserve">田中　楓哉</t>
  </si>
  <si>
    <t xml:space="preserve">間嶋　隆太</t>
  </si>
  <si>
    <t xml:space="preserve">高柳　颯</t>
  </si>
  <si>
    <t xml:space="preserve">二宗　冬磨</t>
  </si>
  <si>
    <t xml:space="preserve">津山商高</t>
  </si>
  <si>
    <t xml:space="preserve">森本　一鷲</t>
  </si>
  <si>
    <t xml:space="preserve">小宮山　空知</t>
  </si>
  <si>
    <t xml:space="preserve">松岡　凌央</t>
  </si>
  <si>
    <t xml:space="preserve">内野　湊太</t>
  </si>
  <si>
    <t xml:space="preserve">新家　仁</t>
  </si>
  <si>
    <t xml:space="preserve">八木　悠成</t>
  </si>
  <si>
    <t xml:space="preserve">科学技術高</t>
  </si>
  <si>
    <t xml:space="preserve">河野　丞佑</t>
  </si>
  <si>
    <t xml:space="preserve">鶴田　力毅</t>
  </si>
  <si>
    <t xml:space="preserve">牧野　光希</t>
  </si>
  <si>
    <t xml:space="preserve">小久保　拓馬</t>
  </si>
  <si>
    <t xml:space="preserve">斎藤　奏太</t>
  </si>
  <si>
    <t xml:space="preserve">黒田　晃汰</t>
  </si>
  <si>
    <t xml:space="preserve">山田　優空</t>
  </si>
  <si>
    <t xml:space="preserve">日進高</t>
  </si>
  <si>
    <t xml:space="preserve">遠藤　拓実</t>
  </si>
  <si>
    <t xml:space="preserve">森下　裕也</t>
  </si>
  <si>
    <t xml:space="preserve">永井　裕真</t>
  </si>
  <si>
    <t xml:space="preserve">清陵情報高</t>
  </si>
  <si>
    <t xml:space="preserve">佐藤　匠</t>
  </si>
  <si>
    <t xml:space="preserve">松田　匠翔</t>
  </si>
  <si>
    <t xml:space="preserve">村松　幸亮</t>
  </si>
  <si>
    <t xml:space="preserve">高橋　翔威</t>
  </si>
  <si>
    <t xml:space="preserve">川上　達也</t>
  </si>
  <si>
    <t xml:space="preserve">杉山　大耀</t>
  </si>
  <si>
    <t xml:space="preserve">長谷川　凛</t>
  </si>
  <si>
    <t xml:space="preserve">ＦＥＬＵＳＴ</t>
  </si>
  <si>
    <t xml:space="preserve">坂本　光翼</t>
  </si>
  <si>
    <t xml:space="preserve">小林　尋揮</t>
  </si>
  <si>
    <t xml:space="preserve">富良野高</t>
  </si>
  <si>
    <t xml:space="preserve">松本　英士</t>
  </si>
  <si>
    <t xml:space="preserve">立教池袋高</t>
  </si>
  <si>
    <t xml:space="preserve">高戸　健太郎</t>
  </si>
  <si>
    <t xml:space="preserve">乃田　健太朗</t>
  </si>
  <si>
    <t xml:space="preserve">山中　颯人</t>
  </si>
  <si>
    <t xml:space="preserve">相生産高</t>
  </si>
  <si>
    <t xml:space="preserve">細井　大慎</t>
  </si>
  <si>
    <t xml:space="preserve">松浦　強太</t>
  </si>
  <si>
    <t xml:space="preserve">浜松城北工高</t>
  </si>
  <si>
    <t xml:space="preserve">尾島　輝</t>
  </si>
  <si>
    <t xml:space="preserve">石川　創史</t>
  </si>
  <si>
    <t xml:space="preserve">山根　大空</t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</si>
  <si>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98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27:07</t>
    </r>
    <r>
      <rPr>
        <sz val="10"/>
        <color rgb="FF000000"/>
        <rFont val="WenQuanYi Zen Hei"/>
        <family val="2"/>
      </rPr>
      <t xml:space="preserve">）</t>
    </r>
  </si>
  <si>
    <t xml:space="preserve">川畑　季也</t>
  </si>
  <si>
    <t xml:space="preserve">市立札幌藻岩高</t>
  </si>
  <si>
    <t xml:space="preserve">星先　理一</t>
  </si>
  <si>
    <t xml:space="preserve">高木　碧翔</t>
  </si>
  <si>
    <t xml:space="preserve">市柏</t>
  </si>
  <si>
    <t xml:space="preserve">岡野　琉生</t>
  </si>
  <si>
    <t xml:space="preserve">市立伊丹高</t>
  </si>
  <si>
    <t xml:space="preserve">小山　慶太</t>
  </si>
  <si>
    <t xml:space="preserve">高輪高</t>
  </si>
  <si>
    <t xml:space="preserve">柳谷　透摩</t>
  </si>
  <si>
    <t xml:space="preserve">野村　優也</t>
  </si>
  <si>
    <t xml:space="preserve">関東一高</t>
  </si>
  <si>
    <t xml:space="preserve">長島　寛樹</t>
  </si>
  <si>
    <t xml:space="preserve">田中　稟汰朗</t>
  </si>
  <si>
    <t xml:space="preserve">下田高</t>
  </si>
  <si>
    <t xml:space="preserve">小浜　漣</t>
  </si>
  <si>
    <t xml:space="preserve">釧路湖陵高</t>
  </si>
  <si>
    <t xml:space="preserve">小川　敦生</t>
  </si>
  <si>
    <t xml:space="preserve">佐分　蒼真</t>
  </si>
  <si>
    <t xml:space="preserve">久留米高専</t>
  </si>
  <si>
    <t xml:space="preserve">幕田　成勢</t>
  </si>
  <si>
    <t xml:space="preserve">奥村　直希</t>
  </si>
  <si>
    <t xml:space="preserve">安治川修聖</t>
  </si>
  <si>
    <t xml:space="preserve">宮崎西高</t>
  </si>
  <si>
    <t xml:space="preserve">玉井　隆之介</t>
  </si>
  <si>
    <t xml:space="preserve">奥洞　啓太</t>
  </si>
  <si>
    <t xml:space="preserve">松田　蓮</t>
  </si>
  <si>
    <t xml:space="preserve">広陵高</t>
  </si>
  <si>
    <t xml:space="preserve">岩久　温之慎</t>
  </si>
  <si>
    <t xml:space="preserve">南　 　順也</t>
  </si>
  <si>
    <t xml:space="preserve">西村　淳希</t>
  </si>
  <si>
    <t xml:space="preserve">松山工高</t>
  </si>
  <si>
    <t xml:space="preserve">仙波　諒也</t>
  </si>
  <si>
    <t xml:space="preserve">鈴木　優仁</t>
  </si>
  <si>
    <t xml:space="preserve">神尾　怜音</t>
  </si>
  <si>
    <t xml:space="preserve">清水　泰成</t>
  </si>
  <si>
    <t xml:space="preserve">松森　一樹</t>
  </si>
  <si>
    <t xml:space="preserve">啓新高</t>
  </si>
  <si>
    <t xml:space="preserve">山口　伶士</t>
  </si>
  <si>
    <t xml:space="preserve">鳥越　月仁</t>
  </si>
  <si>
    <t xml:space="preserve">笠岡高</t>
  </si>
  <si>
    <t xml:space="preserve">土岐　健翔</t>
  </si>
  <si>
    <t xml:space="preserve">岐阜高専</t>
  </si>
  <si>
    <t xml:space="preserve">影山　康介</t>
  </si>
  <si>
    <t xml:space="preserve">沢山　礼慈</t>
  </si>
  <si>
    <t xml:space="preserve">帯広三条高</t>
  </si>
  <si>
    <t xml:space="preserve">真角　善司</t>
  </si>
  <si>
    <t xml:space="preserve">大井　梨功</t>
  </si>
  <si>
    <t xml:space="preserve">高石高</t>
  </si>
  <si>
    <t xml:space="preserve">渥美　開浬</t>
  </si>
  <si>
    <t xml:space="preserve">ガードナー　エヴァン</t>
  </si>
  <si>
    <t xml:space="preserve">井上　魁人</t>
  </si>
  <si>
    <t xml:space="preserve">小桧山　悠斗</t>
  </si>
  <si>
    <t xml:space="preserve">石川　稜馬</t>
  </si>
  <si>
    <t xml:space="preserve">サレジオ高専</t>
  </si>
  <si>
    <t xml:space="preserve">奥寺　一慧</t>
  </si>
  <si>
    <t xml:space="preserve">鈴木　康悌</t>
  </si>
  <si>
    <t xml:space="preserve">栗原　一真</t>
  </si>
  <si>
    <t xml:space="preserve">山本　陽翔</t>
  </si>
  <si>
    <t xml:space="preserve">井上　恵翔</t>
  </si>
  <si>
    <t xml:space="preserve">松島　佑一</t>
  </si>
  <si>
    <t xml:space="preserve">高陽高</t>
  </si>
  <si>
    <t xml:space="preserve">伊藤　節</t>
  </si>
  <si>
    <t xml:space="preserve">札幌旭丘高</t>
  </si>
  <si>
    <t xml:space="preserve">小桧山　悠翔</t>
  </si>
  <si>
    <t xml:space="preserve">蒔田　明日真</t>
  </si>
  <si>
    <t xml:space="preserve">鈴木　改汰</t>
  </si>
  <si>
    <t xml:space="preserve">渡辺　拓真</t>
  </si>
  <si>
    <t xml:space="preserve">四日市南高</t>
  </si>
  <si>
    <t xml:space="preserve">高本　蒼真</t>
  </si>
  <si>
    <t xml:space="preserve">熊本一高</t>
  </si>
  <si>
    <t xml:space="preserve">松本　啓吾</t>
  </si>
  <si>
    <t xml:space="preserve">亀甲　壮真</t>
  </si>
  <si>
    <t xml:space="preserve">住田　陽</t>
  </si>
  <si>
    <t xml:space="preserve">日大高</t>
  </si>
  <si>
    <t xml:space="preserve">宮川　祐</t>
  </si>
  <si>
    <t xml:space="preserve">平原　凛太郎</t>
  </si>
  <si>
    <t xml:space="preserve">名城　侍</t>
  </si>
  <si>
    <t xml:space="preserve">花倉　巧真</t>
  </si>
  <si>
    <t xml:space="preserve">妹尾　漣也</t>
  </si>
  <si>
    <t xml:space="preserve">市名古屋商高</t>
  </si>
  <si>
    <t xml:space="preserve">叶　 　遼太</t>
  </si>
  <si>
    <t xml:space="preserve">万代　陽大</t>
  </si>
  <si>
    <t xml:space="preserve">中谷　光汰</t>
  </si>
  <si>
    <t xml:space="preserve">伊那北高</t>
  </si>
  <si>
    <t xml:space="preserve">吉満　馨</t>
  </si>
  <si>
    <t xml:space="preserve">横浜市立ＹＳＦ高</t>
  </si>
  <si>
    <t xml:space="preserve">後藤　幹翔</t>
  </si>
  <si>
    <t xml:space="preserve">高田　莉央</t>
  </si>
  <si>
    <t xml:space="preserve">海老原　晃斗</t>
  </si>
  <si>
    <t xml:space="preserve">楫部　悠真</t>
  </si>
  <si>
    <t xml:space="preserve">大田高</t>
  </si>
  <si>
    <t xml:space="preserve">朝井　郷牙</t>
  </si>
  <si>
    <t xml:space="preserve">山本　智也</t>
  </si>
  <si>
    <t xml:space="preserve">岡山白陵高</t>
  </si>
  <si>
    <t xml:space="preserve">南本　和顕</t>
  </si>
  <si>
    <t xml:space="preserve">伊藤　颯真</t>
  </si>
  <si>
    <t xml:space="preserve">札幌手稲高</t>
  </si>
  <si>
    <t xml:space="preserve">畠中　歩</t>
  </si>
  <si>
    <t xml:space="preserve">紫野高</t>
  </si>
  <si>
    <t xml:space="preserve">内田　善</t>
  </si>
  <si>
    <t xml:space="preserve">武藤　裕雅</t>
  </si>
  <si>
    <t xml:space="preserve">木村　聡介</t>
  </si>
  <si>
    <t xml:space="preserve">渡辺　心結</t>
  </si>
  <si>
    <t xml:space="preserve">高木　鼓太郎</t>
  </si>
  <si>
    <t xml:space="preserve">原田　蓮斗</t>
  </si>
  <si>
    <t xml:space="preserve">旭川西高</t>
  </si>
  <si>
    <t xml:space="preserve">阪井　健心</t>
  </si>
  <si>
    <t xml:space="preserve">山村　絆斗</t>
  </si>
  <si>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 </t>
    </r>
    <r>
      <rPr>
        <sz val="10"/>
        <color rgb="FF000000"/>
        <rFont val="HGPｺﾞｼｯｸM"/>
        <family val="0"/>
        <charset val="1"/>
      </rPr>
      <t xml:space="preserve">46</t>
    </r>
    <r>
      <rPr>
        <sz val="10"/>
        <color rgb="FF000000"/>
        <rFont val="WenQuanYi Zen Hei"/>
        <family val="2"/>
      </rPr>
      <t xml:space="preserve">位（</t>
    </r>
    <r>
      <rPr>
        <sz val="10"/>
        <color rgb="FF000000"/>
        <rFont val="HGPｺﾞｼｯｸM"/>
        <family val="0"/>
        <charset val="1"/>
      </rPr>
      <t xml:space="preserve">17:01</t>
    </r>
    <r>
      <rPr>
        <sz val="10"/>
        <color rgb="FF000000"/>
        <rFont val="WenQuanYi Zen Hei"/>
        <family val="2"/>
      </rPr>
      <t xml:space="preserve">）</t>
    </r>
  </si>
  <si>
    <t xml:space="preserve">吉目木　悠作</t>
  </si>
  <si>
    <t xml:space="preserve">滝川高</t>
  </si>
  <si>
    <t xml:space="preserve">小渕　陽彩</t>
  </si>
  <si>
    <t xml:space="preserve">高見　修平</t>
  </si>
  <si>
    <t xml:space="preserve">佐藤　悠生</t>
  </si>
  <si>
    <t xml:space="preserve">松本　悠汰</t>
  </si>
  <si>
    <t xml:space="preserve">桃山高</t>
  </si>
  <si>
    <t xml:space="preserve">杉本　翔輝</t>
  </si>
  <si>
    <t xml:space="preserve">大久保　惺太</t>
  </si>
  <si>
    <t xml:space="preserve">都城高専</t>
  </si>
  <si>
    <t xml:space="preserve">斎藤　皇</t>
  </si>
  <si>
    <t xml:space="preserve">松山　大希</t>
  </si>
  <si>
    <t xml:space="preserve">上条　将生</t>
  </si>
  <si>
    <t xml:space="preserve">樋川　新</t>
  </si>
  <si>
    <t xml:space="preserve">中道　大葵</t>
  </si>
  <si>
    <t xml:space="preserve">渡部　伶人</t>
  </si>
  <si>
    <t xml:space="preserve">辻横　陽馬</t>
  </si>
  <si>
    <t xml:space="preserve">井上　航佑</t>
  </si>
  <si>
    <t xml:space="preserve">武南高</t>
  </si>
  <si>
    <t xml:space="preserve">中山　敢太</t>
  </si>
  <si>
    <t xml:space="preserve">堀内　陽太</t>
  </si>
  <si>
    <t xml:space="preserve">田中　斗麻</t>
  </si>
  <si>
    <t xml:space="preserve">福岡西陵高</t>
  </si>
  <si>
    <t xml:space="preserve">坂本　拓未</t>
  </si>
  <si>
    <t xml:space="preserve">大聖寺高</t>
  </si>
  <si>
    <t xml:space="preserve">柳沢　蓮</t>
  </si>
  <si>
    <t xml:space="preserve">久野　湊太</t>
  </si>
  <si>
    <t xml:space="preserve">大垣東高</t>
  </si>
  <si>
    <t xml:space="preserve">野田　侑希</t>
  </si>
  <si>
    <t xml:space="preserve">新美　諒真</t>
  </si>
  <si>
    <t xml:space="preserve">半田高</t>
  </si>
  <si>
    <t xml:space="preserve">坂元　誠規</t>
  </si>
  <si>
    <t xml:space="preserve">伊志田高</t>
  </si>
  <si>
    <t xml:space="preserve">石橋　望</t>
  </si>
  <si>
    <t xml:space="preserve">豊中高</t>
  </si>
  <si>
    <t xml:space="preserve">山ノ井　太郎</t>
  </si>
  <si>
    <t xml:space="preserve">開成高</t>
  </si>
  <si>
    <t xml:space="preserve">安達　雄祐</t>
  </si>
  <si>
    <t xml:space="preserve">大阪産大附高</t>
  </si>
  <si>
    <t xml:space="preserve">小川　智史</t>
  </si>
  <si>
    <t xml:space="preserve">木村　光稀</t>
  </si>
  <si>
    <t xml:space="preserve">松山西中等高</t>
  </si>
  <si>
    <t xml:space="preserve">上本　瑞偉</t>
  </si>
  <si>
    <t xml:space="preserve">明石高</t>
  </si>
  <si>
    <t xml:space="preserve">中野　将希</t>
  </si>
  <si>
    <t xml:space="preserve">洲本高</t>
  </si>
  <si>
    <t xml:space="preserve">小林　遼太郎</t>
  </si>
  <si>
    <t xml:space="preserve">松尾　建吾</t>
  </si>
  <si>
    <t xml:space="preserve">兵庫工高</t>
  </si>
  <si>
    <t xml:space="preserve">竹内　樹生</t>
  </si>
  <si>
    <t xml:space="preserve">尚絅学院高</t>
  </si>
  <si>
    <t xml:space="preserve">大塚　進之介</t>
  </si>
  <si>
    <t xml:space="preserve">宇都宮クラーク高</t>
  </si>
  <si>
    <t xml:space="preserve">寺本　琥心</t>
  </si>
  <si>
    <t xml:space="preserve">宇治山田高</t>
  </si>
  <si>
    <t xml:space="preserve">平山　空</t>
  </si>
  <si>
    <t xml:space="preserve">山田　浩太郎</t>
  </si>
  <si>
    <t xml:space="preserve">名古屋高</t>
  </si>
  <si>
    <t xml:space="preserve">村上　煌心</t>
  </si>
  <si>
    <t xml:space="preserve">伊藤　虎鉄</t>
  </si>
  <si>
    <t xml:space="preserve">札幌啓成高</t>
  </si>
  <si>
    <t xml:space="preserve">南川　有琉真</t>
  </si>
  <si>
    <t xml:space="preserve">近大附高</t>
  </si>
  <si>
    <t xml:space="preserve">高橋　悠真</t>
  </si>
  <si>
    <t xml:space="preserve">三浦　冬馬</t>
  </si>
  <si>
    <t xml:space="preserve">伊藤　語</t>
  </si>
  <si>
    <t xml:space="preserve">大久保真尋</t>
  </si>
  <si>
    <t xml:space="preserve">石井　大河</t>
  </si>
  <si>
    <t xml:space="preserve">遠藤　団</t>
  </si>
  <si>
    <t xml:space="preserve">小島　蒼史</t>
  </si>
  <si>
    <t xml:space="preserve">日野</t>
  </si>
  <si>
    <t xml:space="preserve">折敷　一樹</t>
  </si>
  <si>
    <t xml:space="preserve">天王寺高</t>
  </si>
  <si>
    <t xml:space="preserve">畠山　琉夢</t>
  </si>
  <si>
    <t xml:space="preserve">鏡　 　洋喬</t>
  </si>
  <si>
    <t xml:space="preserve">鉾田一高</t>
  </si>
  <si>
    <t xml:space="preserve">伊藤　真之</t>
  </si>
  <si>
    <t xml:space="preserve">土師　壮介</t>
  </si>
  <si>
    <t xml:space="preserve">鎌田　奏良</t>
  </si>
  <si>
    <t xml:space="preserve">斎藤　充希</t>
  </si>
  <si>
    <t xml:space="preserve">帯広南商高</t>
  </si>
  <si>
    <t xml:space="preserve">奥野　景翔</t>
  </si>
  <si>
    <t xml:space="preserve">堤　 　煌平</t>
  </si>
  <si>
    <t xml:space="preserve">村尾　莉玖</t>
  </si>
  <si>
    <t xml:space="preserve">北嵯峨高</t>
  </si>
  <si>
    <t xml:space="preserve">江上　湧春</t>
  </si>
  <si>
    <t xml:space="preserve">尾崎　開</t>
  </si>
  <si>
    <t xml:space="preserve">工藤　蒼史</t>
  </si>
  <si>
    <t xml:space="preserve">旭川南高</t>
  </si>
  <si>
    <t xml:space="preserve">嘉門　尚志</t>
  </si>
  <si>
    <t xml:space="preserve">薬園台高</t>
  </si>
  <si>
    <t xml:space="preserve">鷹西　真弥</t>
  </si>
  <si>
    <t xml:space="preserve">高岡工芸高</t>
  </si>
  <si>
    <t xml:space="preserve">加塩　涼晟</t>
  </si>
  <si>
    <t xml:space="preserve">小谷　政志</t>
  </si>
  <si>
    <t xml:space="preserve">苫米地　颯梧</t>
  </si>
  <si>
    <t xml:space="preserve">三農恵拓高</t>
  </si>
  <si>
    <t xml:space="preserve">山中　琥太朗</t>
  </si>
  <si>
    <t xml:space="preserve">仙台一高</t>
  </si>
  <si>
    <t xml:space="preserve">三浦　心陽</t>
  </si>
  <si>
    <t xml:space="preserve">手塚　琥羽</t>
  </si>
  <si>
    <t xml:space="preserve">沖野　佑舵</t>
  </si>
  <si>
    <t xml:space="preserve">宜野湾高</t>
  </si>
  <si>
    <t xml:space="preserve">安斎　開清</t>
  </si>
  <si>
    <t xml:space="preserve">いわき光洋高</t>
  </si>
  <si>
    <t xml:space="preserve">伊藤　海太</t>
  </si>
  <si>
    <t xml:space="preserve">田中　達也</t>
  </si>
  <si>
    <t xml:space="preserve">平塚　栄太</t>
  </si>
  <si>
    <t xml:space="preserve">金足農高</t>
  </si>
  <si>
    <t xml:space="preserve">白川　綾悠</t>
  </si>
  <si>
    <t xml:space="preserve">土肥　優人</t>
  </si>
  <si>
    <t xml:space="preserve">重橋　寛介</t>
  </si>
  <si>
    <t xml:space="preserve">浦上　仁</t>
  </si>
  <si>
    <t xml:space="preserve">高橋　虹輝</t>
  </si>
  <si>
    <t xml:space="preserve">武村　悠聖</t>
  </si>
  <si>
    <t xml:space="preserve">菅原　純也</t>
  </si>
  <si>
    <t xml:space="preserve">加藤　大暉</t>
  </si>
  <si>
    <t xml:space="preserve">越崎　颯</t>
  </si>
  <si>
    <t xml:space="preserve">函館大谷高</t>
  </si>
  <si>
    <t xml:space="preserve">池田　湊鎮</t>
  </si>
  <si>
    <t xml:space="preserve">岡本　拳</t>
  </si>
  <si>
    <t xml:space="preserve">名古屋大谷高</t>
  </si>
  <si>
    <t xml:space="preserve">伊戸川　貴匡</t>
  </si>
  <si>
    <t xml:space="preserve">諏佐　晃己</t>
  </si>
  <si>
    <t xml:space="preserve">平川　晴介</t>
  </si>
  <si>
    <t xml:space="preserve">渡辺　真喜斗</t>
  </si>
  <si>
    <t xml:space="preserve">千歳高</t>
  </si>
  <si>
    <t xml:space="preserve">山本　蒼空</t>
  </si>
  <si>
    <t xml:space="preserve">大川　紘矢</t>
  </si>
  <si>
    <t xml:space="preserve">伊賀瀬　将輝</t>
  </si>
  <si>
    <t xml:space="preserve">松山中央高</t>
  </si>
  <si>
    <t xml:space="preserve">中尾宇一郎</t>
  </si>
  <si>
    <t xml:space="preserve">弘学館高</t>
  </si>
  <si>
    <t xml:space="preserve">富土原　慧</t>
  </si>
  <si>
    <t xml:space="preserve">姫路飾西高</t>
  </si>
  <si>
    <t xml:space="preserve">南幅　樹</t>
  </si>
  <si>
    <t xml:space="preserve">高井　陽翔</t>
  </si>
  <si>
    <t xml:space="preserve">大西　陽斗</t>
  </si>
  <si>
    <t xml:space="preserve">境　 　修真</t>
  </si>
  <si>
    <t xml:space="preserve">蛭川　聖大</t>
  </si>
  <si>
    <t xml:space="preserve">都保谷高</t>
  </si>
  <si>
    <t xml:space="preserve">沼平　亮太</t>
  </si>
  <si>
    <t xml:space="preserve">大村　渉翔</t>
  </si>
  <si>
    <t xml:space="preserve">福沢　愛大</t>
  </si>
  <si>
    <t xml:space="preserve">徳山　泰輝</t>
  </si>
  <si>
    <t xml:space="preserve">北島　琉空</t>
  </si>
  <si>
    <t xml:space="preserve">篠ノ井高</t>
  </si>
  <si>
    <t xml:space="preserve">佐志幸之輔</t>
  </si>
  <si>
    <t xml:space="preserve">伊万里高</t>
  </si>
  <si>
    <t xml:space="preserve">宇仁　想真</t>
  </si>
  <si>
    <t xml:space="preserve">山田　来希</t>
  </si>
  <si>
    <t xml:space="preserve">増山　匠</t>
  </si>
  <si>
    <t xml:space="preserve">富士北稜高</t>
  </si>
  <si>
    <t xml:space="preserve">川端　悠斗</t>
  </si>
  <si>
    <t xml:space="preserve">原　 　彬暢</t>
  </si>
  <si>
    <t xml:space="preserve">岩島　航平</t>
  </si>
  <si>
    <t xml:space="preserve">山口　弘稀</t>
  </si>
  <si>
    <t xml:space="preserve">内藤　優成</t>
  </si>
  <si>
    <t xml:space="preserve">静岡学園高</t>
  </si>
  <si>
    <t xml:space="preserve">久野　星弥</t>
  </si>
  <si>
    <t xml:space="preserve">伊波　大成</t>
  </si>
  <si>
    <t xml:space="preserve">沖縄工高専</t>
  </si>
  <si>
    <t xml:space="preserve">栗原　由侑</t>
  </si>
  <si>
    <t xml:space="preserve">田京　大治</t>
  </si>
  <si>
    <t xml:space="preserve">浜松湖南高</t>
  </si>
  <si>
    <t xml:space="preserve">神村　岳</t>
  </si>
  <si>
    <t xml:space="preserve">彦根東高</t>
  </si>
  <si>
    <t xml:space="preserve">伊丸岡　隼人</t>
  </si>
  <si>
    <t xml:space="preserve">岩見沢東高</t>
  </si>
  <si>
    <t xml:space="preserve">小森　悠貴</t>
  </si>
  <si>
    <t xml:space="preserve">小田　奏真</t>
  </si>
  <si>
    <t xml:space="preserve">三重高</t>
  </si>
  <si>
    <t xml:space="preserve">関根　佑真</t>
  </si>
  <si>
    <t xml:space="preserve">東京成徳大高</t>
  </si>
  <si>
    <t xml:space="preserve">粕谷　悠珠</t>
  </si>
  <si>
    <r>
      <rPr>
        <b val="true"/>
        <sz val="14"/>
        <color rgb="FF000000"/>
        <rFont val="HGPｺﾞｼｯｸM"/>
        <family val="0"/>
        <charset val="1"/>
      </rPr>
      <t xml:space="preserve">5000m </t>
    </r>
    <r>
      <rPr>
        <b val="true"/>
        <sz val="14"/>
        <color rgb="FF000000"/>
        <rFont val="WenQuanYi Zen Hei"/>
        <family val="2"/>
      </rPr>
      <t xml:space="preserve">ランキング（陸マガ掲載順）</t>
    </r>
  </si>
  <si>
    <r>
      <rPr>
        <sz val="9"/>
        <color rgb="FF000000"/>
        <rFont val="WenQuanYi Zen Hei"/>
        <family val="2"/>
      </rPr>
      <t xml:space="preserve">記録は元データのまま。</t>
    </r>
    <r>
      <rPr>
        <sz val="9"/>
        <color rgb="FF000000"/>
        <rFont val="HGPｺﾞｼｯｸM"/>
        <family val="0"/>
        <charset val="1"/>
      </rPr>
      <t xml:space="preserve">3000mSC</t>
    </r>
    <r>
      <rPr>
        <sz val="9"/>
        <color rgb="FF000000"/>
        <rFont val="WenQuanYi Zen Hei"/>
        <family val="2"/>
      </rPr>
      <t xml:space="preserve">・</t>
    </r>
    <r>
      <rPr>
        <sz val="9"/>
        <color rgb="FF000000"/>
        <rFont val="HGPｺﾞｼｯｸM"/>
        <family val="0"/>
        <charset val="1"/>
      </rPr>
      <t xml:space="preserve">1500m</t>
    </r>
    <r>
      <rPr>
        <sz val="9"/>
        <color rgb="FF000000"/>
        <rFont val="WenQuanYi Zen Hei"/>
        <family val="2"/>
      </rPr>
      <t xml:space="preserve">は「選手一覧」から数式で参照（同一人物と判定できた場合のみ）。</t>
    </r>
  </si>
  <si>
    <t xml:space="preserve">順位</t>
  </si>
  <si>
    <t xml:space="preserve">記録</t>
  </si>
  <si>
    <r>
      <rPr>
        <b val="true"/>
        <sz val="10"/>
        <color rgb="FF000000"/>
        <rFont val="WenQuanYi Zen Hei"/>
        <family val="2"/>
      </rPr>
      <t xml:space="preserve">トップ差
</t>
    </r>
    <r>
      <rPr>
        <b val="true"/>
        <sz val="10"/>
        <color rgb="FF000000"/>
        <rFont val="HGPｺﾞｼｯｸM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秒</t>
    </r>
    <r>
      <rPr>
        <b val="true"/>
        <sz val="10"/>
        <color rgb="FF000000"/>
        <rFont val="HGPｺﾞｼｯｸM"/>
        <family val="0"/>
        <charset val="1"/>
      </rPr>
      <t xml:space="preserve">)</t>
    </r>
  </si>
  <si>
    <t xml:space="preserve">ポールンジョロゲ</t>
  </si>
  <si>
    <t xml:space="preserve">田辺工業高校</t>
  </si>
  <si>
    <t xml:space="preserve">奈良学園高・奈良高</t>
  </si>
  <si>
    <t xml:space="preserve">尼崎高</t>
  </si>
  <si>
    <t xml:space="preserve">和田征太郎</t>
  </si>
  <si>
    <r>
      <rPr>
        <b val="true"/>
        <sz val="14"/>
        <color rgb="FF000000"/>
        <rFont val="WenQuanYi Zen Hei"/>
        <family val="2"/>
      </rPr>
      <t xml:space="preserve">高校別：</t>
    </r>
    <r>
      <rPr>
        <b val="true"/>
        <sz val="14"/>
        <color rgb="FF000000"/>
        <rFont val="HGPｺﾞｼｯｸM"/>
        <family val="0"/>
        <charset val="1"/>
      </rPr>
      <t xml:space="preserve">5000m</t>
    </r>
    <r>
      <rPr>
        <b val="true"/>
        <sz val="14"/>
        <color rgb="FF000000"/>
        <rFont val="WenQuanYi Zen Hei"/>
        <family val="2"/>
      </rPr>
      <t xml:space="preserve">ランク入り選手の人数（スカウト訪問先の検討用）</t>
    </r>
  </si>
  <si>
    <r>
      <rPr>
        <sz val="9"/>
        <color rgb="FF000000"/>
        <rFont val="WenQuanYi Zen Hei"/>
        <family val="2"/>
      </rPr>
      <t xml:space="preserve">人数は「選手一覧」から数式で集計。並び順＝</t>
    </r>
    <r>
      <rPr>
        <sz val="9"/>
        <color rgb="FF000000"/>
        <rFont val="HGPｺﾞｼｯｸM"/>
        <family val="0"/>
        <charset val="1"/>
      </rPr>
      <t xml:space="preserve">5000m100</t>
    </r>
    <r>
      <rPr>
        <sz val="9"/>
        <color rgb="FF000000"/>
        <rFont val="WenQuanYi Zen Hei"/>
        <family val="2"/>
      </rPr>
      <t xml:space="preserve">位以内の人数→</t>
    </r>
    <r>
      <rPr>
        <sz val="9"/>
        <color rgb="FF000000"/>
        <rFont val="HGPｺﾞｼｯｸM"/>
        <family val="0"/>
        <charset val="1"/>
      </rPr>
      <t xml:space="preserve">5000m</t>
    </r>
    <r>
      <rPr>
        <sz val="9"/>
        <color rgb="FF000000"/>
        <rFont val="WenQuanYi Zen Hei"/>
        <family val="2"/>
      </rPr>
      <t xml:space="preserve">ランク入り人数→</t>
    </r>
    <r>
      <rPr>
        <sz val="9"/>
        <color rgb="FF000000"/>
        <rFont val="HGPｺﾞｼｯｸM"/>
        <family val="0"/>
        <charset val="1"/>
      </rPr>
      <t xml:space="preserve">5000m</t>
    </r>
    <r>
      <rPr>
        <sz val="9"/>
        <color rgb="FF000000"/>
        <rFont val="WenQuanYi Zen Hei"/>
        <family val="2"/>
      </rPr>
      <t xml:space="preserve">最上位順位。選手名は</t>
    </r>
    <r>
      <rPr>
        <sz val="9"/>
        <color rgb="FF000000"/>
        <rFont val="HGPｺﾞｼｯｸM"/>
        <family val="0"/>
        <charset val="1"/>
      </rPr>
      <t xml:space="preserve">5000m100</t>
    </r>
    <r>
      <rPr>
        <sz val="9"/>
        <color rgb="FF000000"/>
        <rFont val="WenQuanYi Zen Hei"/>
        <family val="2"/>
      </rPr>
      <t xml:space="preserve">位以内の選手（</t>
    </r>
    <r>
      <rPr>
        <sz val="9"/>
        <color rgb="FF000000"/>
        <rFont val="HGPｺﾞｼｯｸM"/>
        <family val="0"/>
        <charset val="1"/>
      </rPr>
      <t xml:space="preserve">5000m</t>
    </r>
    <r>
      <rPr>
        <sz val="9"/>
        <color rgb="FF000000"/>
        <rFont val="WenQuanYi Zen Hei"/>
        <family val="2"/>
      </rPr>
      <t xml:space="preserve">順位）。</t>
    </r>
  </si>
  <si>
    <r>
      <rPr>
        <b val="true"/>
        <sz val="10"/>
        <color rgb="FFFFFFFF"/>
        <rFont val="HGPｺﾞｼｯｸM"/>
        <family val="0"/>
        <charset val="1"/>
      </rPr>
      <t xml:space="preserve">5000m
100</t>
    </r>
    <r>
      <rPr>
        <b val="true"/>
        <sz val="10"/>
        <color rgb="FFFFFFFF"/>
        <rFont val="WenQuanYi Zen Hei"/>
        <family val="2"/>
      </rPr>
      <t xml:space="preserve">位以内</t>
    </r>
  </si>
  <si>
    <r>
      <rPr>
        <b val="true"/>
        <sz val="10"/>
        <color rgb="FFFFFFFF"/>
        <rFont val="HGPｺﾞｼｯｸM"/>
        <family val="0"/>
        <charset val="1"/>
      </rPr>
      <t xml:space="preserve">5000m
</t>
    </r>
    <r>
      <rPr>
        <b val="true"/>
        <sz val="10"/>
        <color rgb="FFFFFFFF"/>
        <rFont val="WenQuanYi Zen Hei"/>
        <family val="2"/>
      </rPr>
      <t xml:space="preserve">ランク入り</t>
    </r>
  </si>
  <si>
    <r>
      <rPr>
        <b val="true"/>
        <sz val="10"/>
        <color rgb="FFFFFFFF"/>
        <rFont val="HGPｺﾞｼｯｸM"/>
        <family val="0"/>
        <charset val="1"/>
      </rPr>
      <t xml:space="preserve">5000m
</t>
    </r>
    <r>
      <rPr>
        <b val="true"/>
        <sz val="10"/>
        <color rgb="FFFFFFFF"/>
        <rFont val="WenQuanYi Zen Hei"/>
        <family val="2"/>
      </rPr>
      <t xml:space="preserve">最上位</t>
    </r>
  </si>
  <si>
    <r>
      <rPr>
        <b val="true"/>
        <sz val="10"/>
        <color rgb="FFFFFFFF"/>
        <rFont val="HGPｺﾞｼｯｸM"/>
        <family val="0"/>
        <charset val="1"/>
      </rPr>
      <t xml:space="preserve">5000m100</t>
    </r>
    <r>
      <rPr>
        <b val="true"/>
        <sz val="10"/>
        <color rgb="FFFFFFFF"/>
        <rFont val="WenQuanYi Zen Hei"/>
        <family val="2"/>
      </rPr>
      <t xml:space="preserve">位以内の選手（</t>
    </r>
    <r>
      <rPr>
        <b val="true"/>
        <sz val="10"/>
        <color rgb="FFFFFFFF"/>
        <rFont val="HGPｺﾞｼｯｸM"/>
        <family val="0"/>
        <charset val="1"/>
      </rPr>
      <t xml:space="preserve">5000m</t>
    </r>
    <r>
      <rPr>
        <b val="true"/>
        <sz val="10"/>
        <color rgb="FFFFFFFF"/>
        <rFont val="WenQuanYi Zen Hei"/>
        <family val="2"/>
      </rPr>
      <t xml:space="preserve">順位）</t>
    </r>
  </si>
  <si>
    <r>
      <rPr>
        <b val="true"/>
        <sz val="10"/>
        <color rgb="FF000000"/>
        <rFont val="HGPｺﾞｼｯｸM"/>
        <family val="0"/>
        <charset val="1"/>
      </rPr>
      <t xml:space="preserve">3000mSC
100</t>
    </r>
    <r>
      <rPr>
        <b val="true"/>
        <sz val="10"/>
        <color rgb="FF000000"/>
        <rFont val="WenQuanYi Zen Hei"/>
        <family val="2"/>
      </rPr>
      <t xml:space="preserve">位以内</t>
    </r>
  </si>
  <si>
    <r>
      <rPr>
        <b val="true"/>
        <sz val="10"/>
        <color rgb="FF000000"/>
        <rFont val="HGPｺﾞｼｯｸM"/>
        <family val="0"/>
        <charset val="1"/>
      </rPr>
      <t xml:space="preserve">1500m
100</t>
    </r>
    <r>
      <rPr>
        <b val="true"/>
        <sz val="10"/>
        <color rgb="FF000000"/>
        <rFont val="WenQuanYi Zen Hei"/>
        <family val="2"/>
      </rPr>
      <t xml:space="preserve">位以内</t>
    </r>
  </si>
  <si>
    <t xml:space="preserve">全種目
ランク入り</t>
  </si>
  <si>
    <r>
      <rPr>
        <sz val="10"/>
        <color rgb="FF000000"/>
        <rFont val="WenQuanYi Zen Hei"/>
        <family val="2"/>
      </rPr>
      <t xml:space="preserve">橋本蒼平</t>
    </r>
    <r>
      <rPr>
        <sz val="10"/>
        <color rgb="FF000000"/>
        <rFont val="HGPｺﾞｼｯｸM"/>
        <family val="0"/>
        <charset val="1"/>
      </rPr>
      <t xml:space="preserve">(6)</t>
    </r>
    <r>
      <rPr>
        <sz val="10"/>
        <color rgb="FF000000"/>
        <rFont val="WenQuanYi Zen Hei"/>
        <family val="2"/>
      </rPr>
      <t xml:space="preserve">、伊藤遼</t>
    </r>
    <r>
      <rPr>
        <sz val="10"/>
        <color rgb="FF000000"/>
        <rFont val="HGPｺﾞｼｯｸM"/>
        <family val="0"/>
        <charset val="1"/>
      </rPr>
      <t xml:space="preserve">(10)</t>
    </r>
    <r>
      <rPr>
        <sz val="10"/>
        <color rgb="FF000000"/>
        <rFont val="WenQuanYi Zen Hei"/>
        <family val="2"/>
      </rPr>
      <t xml:space="preserve">、酒井琉史</t>
    </r>
    <r>
      <rPr>
        <sz val="10"/>
        <color rgb="FF000000"/>
        <rFont val="HGPｺﾞｼｯｸM"/>
        <family val="0"/>
        <charset val="1"/>
      </rPr>
      <t xml:space="preserve">(11)</t>
    </r>
    <r>
      <rPr>
        <sz val="10"/>
        <color rgb="FF000000"/>
        <rFont val="WenQuanYi Zen Hei"/>
        <family val="2"/>
      </rPr>
      <t xml:space="preserve">、武村翔月</t>
    </r>
    <r>
      <rPr>
        <sz val="10"/>
        <color rgb="FF000000"/>
        <rFont val="HGPｺﾞｼｯｸM"/>
        <family val="0"/>
        <charset val="1"/>
      </rPr>
      <t xml:space="preserve">(24)</t>
    </r>
    <r>
      <rPr>
        <sz val="10"/>
        <color rgb="FF000000"/>
        <rFont val="WenQuanYi Zen Hei"/>
        <family val="2"/>
      </rPr>
      <t xml:space="preserve">、中沢侑己</t>
    </r>
    <r>
      <rPr>
        <sz val="10"/>
        <color rgb="FF000000"/>
        <rFont val="HGPｺﾞｼｯｸM"/>
        <family val="0"/>
        <charset val="1"/>
      </rPr>
      <t xml:space="preserve">(33)</t>
    </r>
    <r>
      <rPr>
        <sz val="10"/>
        <color rgb="FF000000"/>
        <rFont val="WenQuanYi Zen Hei"/>
        <family val="2"/>
      </rPr>
      <t xml:space="preserve">、山岸大智</t>
    </r>
    <r>
      <rPr>
        <sz val="10"/>
        <color rgb="FF000000"/>
        <rFont val="HGPｺﾞｼｯｸM"/>
        <family val="0"/>
        <charset val="1"/>
      </rPr>
      <t xml:space="preserve">(42)</t>
    </r>
    <r>
      <rPr>
        <sz val="10"/>
        <color rgb="FF000000"/>
        <rFont val="WenQuanYi Zen Hei"/>
        <family val="2"/>
      </rPr>
      <t xml:space="preserve">、代田真司</t>
    </r>
    <r>
      <rPr>
        <sz val="10"/>
        <color rgb="FF000000"/>
        <rFont val="HGPｺﾞｼｯｸM"/>
        <family val="0"/>
        <charset val="1"/>
      </rPr>
      <t xml:space="preserve">(78)</t>
    </r>
  </si>
  <si>
    <r>
      <rPr>
        <sz val="10"/>
        <color rgb="FF000000"/>
        <rFont val="WenQuanYi Zen Hei"/>
        <family val="2"/>
      </rPr>
      <t xml:space="preserve">平井啓太郎</t>
    </r>
    <r>
      <rPr>
        <sz val="10"/>
        <color rgb="FF000000"/>
        <rFont val="HGPｺﾞｼｯｸM"/>
        <family val="0"/>
        <charset val="1"/>
      </rPr>
      <t xml:space="preserve">(18)</t>
    </r>
    <r>
      <rPr>
        <sz val="10"/>
        <color rgb="FF000000"/>
        <rFont val="WenQuanYi Zen Hei"/>
        <family val="2"/>
      </rPr>
      <t xml:space="preserve">、千葉海虎</t>
    </r>
    <r>
      <rPr>
        <sz val="10"/>
        <color rgb="FF000000"/>
        <rFont val="HGPｺﾞｼｯｸM"/>
        <family val="0"/>
        <charset val="1"/>
      </rPr>
      <t xml:space="preserve">(27)</t>
    </r>
    <r>
      <rPr>
        <sz val="10"/>
        <color rgb="FF000000"/>
        <rFont val="WenQuanYi Zen Hei"/>
        <family val="2"/>
      </rPr>
      <t xml:space="preserve">、原 心傘</t>
    </r>
    <r>
      <rPr>
        <sz val="10"/>
        <color rgb="FF000000"/>
        <rFont val="HGPｺﾞｼｯｸM"/>
        <family val="0"/>
        <charset val="1"/>
      </rPr>
      <t xml:space="preserve">(40)</t>
    </r>
    <r>
      <rPr>
        <sz val="10"/>
        <color rgb="FF000000"/>
        <rFont val="WenQuanYi Zen Hei"/>
        <family val="2"/>
      </rPr>
      <t xml:space="preserve">、仲重柊晴</t>
    </r>
    <r>
      <rPr>
        <sz val="10"/>
        <color rgb="FF000000"/>
        <rFont val="HGPｺﾞｼｯｸM"/>
        <family val="0"/>
        <charset val="1"/>
      </rPr>
      <t xml:space="preserve">(70)</t>
    </r>
  </si>
  <si>
    <r>
      <rPr>
        <sz val="10"/>
        <color rgb="FF000000"/>
        <rFont val="WenQuanYi Zen Hei"/>
        <family val="2"/>
      </rPr>
      <t xml:space="preserve">稲垣翔馴</t>
    </r>
    <r>
      <rPr>
        <sz val="10"/>
        <color rgb="FF000000"/>
        <rFont val="HGPｺﾞｼｯｸM"/>
        <family val="0"/>
        <charset val="1"/>
      </rPr>
      <t xml:space="preserve">(2)</t>
    </r>
    <r>
      <rPr>
        <sz val="10"/>
        <color rgb="FF000000"/>
        <rFont val="WenQuanYi Zen Hei"/>
        <family val="2"/>
      </rPr>
      <t xml:space="preserve">、石原向規</t>
    </r>
    <r>
      <rPr>
        <sz val="10"/>
        <color rgb="FF000000"/>
        <rFont val="HGPｺﾞｼｯｸM"/>
        <family val="0"/>
        <charset val="1"/>
      </rPr>
      <t xml:space="preserve">(3)</t>
    </r>
    <r>
      <rPr>
        <sz val="10"/>
        <color rgb="FF000000"/>
        <rFont val="WenQuanYi Zen Hei"/>
        <family val="2"/>
      </rPr>
      <t xml:space="preserve">、前 春馬</t>
    </r>
    <r>
      <rPr>
        <sz val="10"/>
        <color rgb="FF000000"/>
        <rFont val="HGPｺﾞｼｯｸM"/>
        <family val="0"/>
        <charset val="1"/>
      </rPr>
      <t xml:space="preserve">(80)</t>
    </r>
    <r>
      <rPr>
        <sz val="10"/>
        <color rgb="FF000000"/>
        <rFont val="WenQuanYi Zen Hei"/>
        <family val="2"/>
      </rPr>
      <t xml:space="preserve">、小早川駿也</t>
    </r>
    <r>
      <rPr>
        <sz val="10"/>
        <color rgb="FF000000"/>
        <rFont val="HGPｺﾞｼｯｸM"/>
        <family val="0"/>
        <charset val="1"/>
      </rPr>
      <t xml:space="preserve">(84)</t>
    </r>
  </si>
  <si>
    <r>
      <rPr>
        <sz val="10"/>
        <color rgb="FF000000"/>
        <rFont val="WenQuanYi Zen Hei"/>
        <family val="2"/>
      </rPr>
      <t xml:space="preserve">ボイビリス</t>
    </r>
    <r>
      <rPr>
        <sz val="10"/>
        <color rgb="FF000000"/>
        <rFont val="HGPｺﾞｼｯｸM"/>
        <family val="0"/>
        <charset val="1"/>
      </rPr>
      <t xml:space="preserve">(1)</t>
    </r>
    <r>
      <rPr>
        <sz val="10"/>
        <color rgb="FF000000"/>
        <rFont val="WenQuanYi Zen Hei"/>
        <family val="2"/>
      </rPr>
      <t xml:space="preserve">、増田優太朗</t>
    </r>
    <r>
      <rPr>
        <sz val="10"/>
        <color rgb="FF000000"/>
        <rFont val="HGPｺﾞｼｯｸM"/>
        <family val="0"/>
        <charset val="1"/>
      </rPr>
      <t xml:space="preserve">(39)</t>
    </r>
    <r>
      <rPr>
        <sz val="10"/>
        <color rgb="FF000000"/>
        <rFont val="WenQuanYi Zen Hei"/>
        <family val="2"/>
      </rPr>
      <t xml:space="preserve">、小畑瑞貴</t>
    </r>
    <r>
      <rPr>
        <sz val="10"/>
        <color rgb="FF000000"/>
        <rFont val="HGPｺﾞｼｯｸM"/>
        <family val="0"/>
        <charset val="1"/>
      </rPr>
      <t xml:space="preserve">(43)</t>
    </r>
    <r>
      <rPr>
        <sz val="10"/>
        <color rgb="FF000000"/>
        <rFont val="WenQuanYi Zen Hei"/>
        <family val="2"/>
      </rPr>
      <t xml:space="preserve">、藤田昂</t>
    </r>
    <r>
      <rPr>
        <sz val="10"/>
        <color rgb="FF000000"/>
        <rFont val="HGPｺﾞｼｯｸM"/>
        <family val="0"/>
        <charset val="1"/>
      </rPr>
      <t xml:space="preserve">(77)</t>
    </r>
  </si>
  <si>
    <r>
      <rPr>
        <sz val="10"/>
        <color rgb="FF000000"/>
        <rFont val="WenQuanYi Zen Hei"/>
        <family val="2"/>
      </rPr>
      <t xml:space="preserve">若田大尚</t>
    </r>
    <r>
      <rPr>
        <sz val="10"/>
        <color rgb="FF000000"/>
        <rFont val="HGPｺﾞｼｯｸM"/>
        <family val="0"/>
        <charset val="1"/>
      </rPr>
      <t xml:space="preserve">(4)</t>
    </r>
    <r>
      <rPr>
        <sz val="10"/>
        <color rgb="FF000000"/>
        <rFont val="WenQuanYi Zen Hei"/>
        <family val="2"/>
      </rPr>
      <t xml:space="preserve">、美沢央佑</t>
    </r>
    <r>
      <rPr>
        <sz val="10"/>
        <color rgb="FF000000"/>
        <rFont val="HGPｺﾞｼｯｸM"/>
        <family val="0"/>
        <charset val="1"/>
      </rPr>
      <t xml:space="preserve">(9)</t>
    </r>
    <r>
      <rPr>
        <sz val="10"/>
        <color rgb="FF000000"/>
        <rFont val="WenQuanYi Zen Hei"/>
        <family val="2"/>
      </rPr>
      <t xml:space="preserve">、星 柊斗</t>
    </r>
    <r>
      <rPr>
        <sz val="10"/>
        <color rgb="FF000000"/>
        <rFont val="HGPｺﾞｼｯｸM"/>
        <family val="0"/>
        <charset val="1"/>
      </rPr>
      <t xml:space="preserve">(47)</t>
    </r>
  </si>
  <si>
    <r>
      <rPr>
        <sz val="10"/>
        <color rgb="FF000000"/>
        <rFont val="WenQuanYi Zen Hei"/>
        <family val="2"/>
      </rPr>
      <t xml:space="preserve">長 煌介</t>
    </r>
    <r>
      <rPr>
        <sz val="10"/>
        <color rgb="FF000000"/>
        <rFont val="HGPｺﾞｼｯｸM"/>
        <family val="0"/>
        <charset val="1"/>
      </rPr>
      <t xml:space="preserve">(35)</t>
    </r>
    <r>
      <rPr>
        <sz val="10"/>
        <color rgb="FF000000"/>
        <rFont val="WenQuanYi Zen Hei"/>
        <family val="2"/>
      </rPr>
      <t xml:space="preserve">、平田千隼</t>
    </r>
    <r>
      <rPr>
        <sz val="10"/>
        <color rgb="FF000000"/>
        <rFont val="HGPｺﾞｼｯｸM"/>
        <family val="0"/>
        <charset val="1"/>
      </rPr>
      <t xml:space="preserve">(44)</t>
    </r>
    <r>
      <rPr>
        <sz val="10"/>
        <color rgb="FF000000"/>
        <rFont val="WenQuanYi Zen Hei"/>
        <family val="2"/>
      </rPr>
      <t xml:space="preserve">、松下悠真</t>
    </r>
    <r>
      <rPr>
        <sz val="10"/>
        <color rgb="FF000000"/>
        <rFont val="HGPｺﾞｼｯｸM"/>
        <family val="0"/>
        <charset val="1"/>
      </rPr>
      <t xml:space="preserve">(63)</t>
    </r>
  </si>
  <si>
    <r>
      <rPr>
        <sz val="10"/>
        <color rgb="FF000000"/>
        <rFont val="WenQuanYi Zen Hei"/>
        <family val="2"/>
      </rPr>
      <t xml:space="preserve">入江佑典</t>
    </r>
    <r>
      <rPr>
        <sz val="10"/>
        <color rgb="FF000000"/>
        <rFont val="HGPｺﾞｼｯｸM"/>
        <family val="0"/>
        <charset val="1"/>
      </rPr>
      <t xml:space="preserve">(64)</t>
    </r>
    <r>
      <rPr>
        <sz val="10"/>
        <color rgb="FF000000"/>
        <rFont val="WenQuanYi Zen Hei"/>
        <family val="2"/>
      </rPr>
      <t xml:space="preserve">、真船煌大</t>
    </r>
    <r>
      <rPr>
        <sz val="10"/>
        <color rgb="FF000000"/>
        <rFont val="HGPｺﾞｼｯｸM"/>
        <family val="0"/>
        <charset val="1"/>
      </rPr>
      <t xml:space="preserve">(75)</t>
    </r>
    <r>
      <rPr>
        <sz val="10"/>
        <color rgb="FF000000"/>
        <rFont val="WenQuanYi Zen Hei"/>
        <family val="2"/>
      </rPr>
      <t xml:space="preserve">、加藤心翔</t>
    </r>
    <r>
      <rPr>
        <sz val="10"/>
        <color rgb="FF000000"/>
        <rFont val="HGPｺﾞｼｯｸM"/>
        <family val="0"/>
        <charset val="1"/>
      </rPr>
      <t xml:space="preserve">(83)</t>
    </r>
  </si>
  <si>
    <r>
      <rPr>
        <sz val="10"/>
        <color rgb="FF000000"/>
        <rFont val="WenQuanYi Zen Hei"/>
        <family val="2"/>
      </rPr>
      <t xml:space="preserve">野口琉太</t>
    </r>
    <r>
      <rPr>
        <sz val="10"/>
        <color rgb="FF000000"/>
        <rFont val="HGPｺﾞｼｯｸM"/>
        <family val="0"/>
        <charset val="1"/>
      </rPr>
      <t xml:space="preserve">(12)</t>
    </r>
    <r>
      <rPr>
        <sz val="10"/>
        <color rgb="FF000000"/>
        <rFont val="WenQuanYi Zen Hei"/>
        <family val="2"/>
      </rPr>
      <t xml:space="preserve">、竹田櫂司</t>
    </r>
    <r>
      <rPr>
        <sz val="10"/>
        <color rgb="FF000000"/>
        <rFont val="HGPｺﾞｼｯｸM"/>
        <family val="0"/>
        <charset val="1"/>
      </rPr>
      <t xml:space="preserve">(15)</t>
    </r>
    <r>
      <rPr>
        <sz val="10"/>
        <color rgb="FF000000"/>
        <rFont val="WenQuanYi Zen Hei"/>
        <family val="2"/>
      </rPr>
      <t xml:space="preserve">、岩田健志</t>
    </r>
    <r>
      <rPr>
        <sz val="10"/>
        <color rgb="FF000000"/>
        <rFont val="HGPｺﾞｼｯｸM"/>
        <family val="0"/>
        <charset val="1"/>
      </rPr>
      <t xml:space="preserve">(46)</t>
    </r>
  </si>
  <si>
    <r>
      <rPr>
        <sz val="10"/>
        <color rgb="FF000000"/>
        <rFont val="WenQuanYi Zen Hei"/>
        <family val="2"/>
      </rPr>
      <t xml:space="preserve">富永永輝愛</t>
    </r>
    <r>
      <rPr>
        <sz val="10"/>
        <color rgb="FF000000"/>
        <rFont val="HGPｺﾞｼｯｸM"/>
        <family val="0"/>
        <charset val="1"/>
      </rPr>
      <t xml:space="preserve">(52)</t>
    </r>
    <r>
      <rPr>
        <sz val="10"/>
        <color rgb="FF000000"/>
        <rFont val="WenQuanYi Zen Hei"/>
        <family val="2"/>
      </rPr>
      <t xml:space="preserve">、川口頼輝</t>
    </r>
    <r>
      <rPr>
        <sz val="10"/>
        <color rgb="FF000000"/>
        <rFont val="HGPｺﾞｼｯｸM"/>
        <family val="0"/>
        <charset val="1"/>
      </rPr>
      <t xml:space="preserve">(58)</t>
    </r>
    <r>
      <rPr>
        <sz val="10"/>
        <color rgb="FF000000"/>
        <rFont val="WenQuanYi Zen Hei"/>
        <family val="2"/>
      </rPr>
      <t xml:space="preserve">、井上悠夢</t>
    </r>
    <r>
      <rPr>
        <sz val="10"/>
        <color rgb="FF000000"/>
        <rFont val="HGPｺﾞｼｯｸM"/>
        <family val="0"/>
        <charset val="1"/>
      </rPr>
      <t xml:space="preserve">(81)</t>
    </r>
  </si>
  <si>
    <r>
      <rPr>
        <sz val="10"/>
        <color rgb="FF000000"/>
        <rFont val="WenQuanYi Zen Hei"/>
        <family val="2"/>
      </rPr>
      <t xml:space="preserve">舛谷夢生</t>
    </r>
    <r>
      <rPr>
        <sz val="10"/>
        <color rgb="FF000000"/>
        <rFont val="HGPｺﾞｼｯｸM"/>
        <family val="0"/>
        <charset val="1"/>
      </rPr>
      <t xml:space="preserve">(65)</t>
    </r>
    <r>
      <rPr>
        <sz val="10"/>
        <color rgb="FF000000"/>
        <rFont val="WenQuanYi Zen Hei"/>
        <family val="2"/>
      </rPr>
      <t xml:space="preserve">、川人仁嘉</t>
    </r>
    <r>
      <rPr>
        <sz val="10"/>
        <color rgb="FF000000"/>
        <rFont val="HGPｺﾞｼｯｸM"/>
        <family val="0"/>
        <charset val="1"/>
      </rPr>
      <t xml:space="preserve">(73)</t>
    </r>
    <r>
      <rPr>
        <sz val="10"/>
        <color rgb="FF000000"/>
        <rFont val="WenQuanYi Zen Hei"/>
        <family val="2"/>
      </rPr>
      <t xml:space="preserve">、エゼディリチュク勇</t>
    </r>
    <r>
      <rPr>
        <sz val="10"/>
        <color rgb="FF000000"/>
        <rFont val="HGPｺﾞｼｯｸM"/>
        <family val="0"/>
        <charset val="1"/>
      </rPr>
      <t xml:space="preserve">(74)</t>
    </r>
  </si>
  <si>
    <r>
      <rPr>
        <sz val="10"/>
        <color rgb="FF000000"/>
        <rFont val="WenQuanYi Zen Hei"/>
        <family val="2"/>
      </rPr>
      <t xml:space="preserve">五社泰至</t>
    </r>
    <r>
      <rPr>
        <sz val="10"/>
        <color rgb="FF000000"/>
        <rFont val="HGPｺﾞｼｯｸM"/>
        <family val="0"/>
        <charset val="1"/>
      </rPr>
      <t xml:space="preserve">(89)</t>
    </r>
    <r>
      <rPr>
        <sz val="10"/>
        <color rgb="FF000000"/>
        <rFont val="WenQuanYi Zen Hei"/>
        <family val="2"/>
      </rPr>
      <t xml:space="preserve">、金子陽翔</t>
    </r>
    <r>
      <rPr>
        <sz val="10"/>
        <color rgb="FF000000"/>
        <rFont val="HGPｺﾞｼｯｸM"/>
        <family val="0"/>
        <charset val="1"/>
      </rPr>
      <t xml:space="preserve">(91)</t>
    </r>
    <r>
      <rPr>
        <sz val="10"/>
        <color rgb="FF000000"/>
        <rFont val="WenQuanYi Zen Hei"/>
        <family val="2"/>
      </rPr>
      <t xml:space="preserve">、小石沢大翔</t>
    </r>
    <r>
      <rPr>
        <sz val="10"/>
        <color rgb="FF000000"/>
        <rFont val="HGPｺﾞｼｯｸM"/>
        <family val="0"/>
        <charset val="1"/>
      </rPr>
      <t xml:space="preserve">(92)</t>
    </r>
  </si>
  <si>
    <r>
      <rPr>
        <sz val="10"/>
        <color rgb="FF000000"/>
        <rFont val="WenQuanYi Zen Hei"/>
        <family val="2"/>
      </rPr>
      <t xml:space="preserve">西川晴貴</t>
    </r>
    <r>
      <rPr>
        <sz val="10"/>
        <color rgb="FF000000"/>
        <rFont val="HGPｺﾞｼｯｸM"/>
        <family val="0"/>
        <charset val="1"/>
      </rPr>
      <t xml:space="preserve">(20)</t>
    </r>
    <r>
      <rPr>
        <sz val="10"/>
        <color rgb="FF000000"/>
        <rFont val="WenQuanYi Zen Hei"/>
        <family val="2"/>
      </rPr>
      <t xml:space="preserve">、長瀬礼</t>
    </r>
    <r>
      <rPr>
        <sz val="10"/>
        <color rgb="FF000000"/>
        <rFont val="HGPｺﾞｼｯｸM"/>
        <family val="0"/>
        <charset val="1"/>
      </rPr>
      <t xml:space="preserve">(53)</t>
    </r>
    <r>
      <rPr>
        <sz val="10"/>
        <color rgb="FF000000"/>
        <rFont val="WenQuanYi Zen Hei"/>
        <family val="2"/>
      </rPr>
      <t xml:space="preserve">、松本陽樹</t>
    </r>
    <r>
      <rPr>
        <sz val="10"/>
        <color rgb="FF000000"/>
        <rFont val="HGPｺﾞｼｯｸM"/>
        <family val="0"/>
        <charset val="1"/>
      </rPr>
      <t xml:space="preserve">(88)</t>
    </r>
  </si>
  <si>
    <r>
      <rPr>
        <sz val="10"/>
        <color rgb="FF000000"/>
        <rFont val="WenQuanYi Zen Hei"/>
        <family val="2"/>
      </rPr>
      <t xml:space="preserve">上杉創亮</t>
    </r>
    <r>
      <rPr>
        <sz val="10"/>
        <color rgb="FF000000"/>
        <rFont val="HGPｺﾞｼｯｸM"/>
        <family val="0"/>
        <charset val="1"/>
      </rPr>
      <t xml:space="preserve">(17)</t>
    </r>
    <r>
      <rPr>
        <sz val="10"/>
        <color rgb="FF000000"/>
        <rFont val="WenQuanYi Zen Hei"/>
        <family val="2"/>
      </rPr>
      <t xml:space="preserve">、小林柾輝</t>
    </r>
    <r>
      <rPr>
        <sz val="10"/>
        <color rgb="FF000000"/>
        <rFont val="HGPｺﾞｼｯｸM"/>
        <family val="0"/>
        <charset val="1"/>
      </rPr>
      <t xml:space="preserve">(31)</t>
    </r>
  </si>
  <si>
    <r>
      <rPr>
        <sz val="10"/>
        <color rgb="FF000000"/>
        <rFont val="WenQuanYi Zen Hei"/>
        <family val="2"/>
      </rPr>
      <t xml:space="preserve">岩崎奏</t>
    </r>
    <r>
      <rPr>
        <sz val="10"/>
        <color rgb="FF000000"/>
        <rFont val="HGPｺﾞｼｯｸM"/>
        <family val="0"/>
        <charset val="1"/>
      </rPr>
      <t xml:space="preserve">(51)</t>
    </r>
    <r>
      <rPr>
        <sz val="10"/>
        <color rgb="FF000000"/>
        <rFont val="WenQuanYi Zen Hei"/>
        <family val="2"/>
      </rPr>
      <t xml:space="preserve">、岸本周真</t>
    </r>
    <r>
      <rPr>
        <sz val="10"/>
        <color rgb="FF000000"/>
        <rFont val="HGPｺﾞｼｯｸM"/>
        <family val="0"/>
        <charset val="1"/>
      </rPr>
      <t xml:space="preserve">(54)</t>
    </r>
  </si>
  <si>
    <r>
      <rPr>
        <sz val="10"/>
        <color rgb="FF000000"/>
        <rFont val="WenQuanYi Zen Hei"/>
        <family val="2"/>
      </rPr>
      <t xml:space="preserve">杉平颯志</t>
    </r>
    <r>
      <rPr>
        <sz val="10"/>
        <color rgb="FF000000"/>
        <rFont val="HGPｺﾞｼｯｸM"/>
        <family val="0"/>
        <charset val="1"/>
      </rPr>
      <t xml:space="preserve">(25)</t>
    </r>
    <r>
      <rPr>
        <sz val="10"/>
        <color rgb="FF000000"/>
        <rFont val="WenQuanYi Zen Hei"/>
        <family val="2"/>
      </rPr>
      <t xml:space="preserve">、田代悠翔</t>
    </r>
    <r>
      <rPr>
        <sz val="10"/>
        <color rgb="FF000000"/>
        <rFont val="HGPｺﾞｼｯｸM"/>
        <family val="0"/>
        <charset val="1"/>
      </rPr>
      <t xml:space="preserve">(29)</t>
    </r>
  </si>
  <si>
    <r>
      <rPr>
        <sz val="10"/>
        <color rgb="FF000000"/>
        <rFont val="WenQuanYi Zen Hei"/>
        <family val="2"/>
      </rPr>
      <t xml:space="preserve">高田康介</t>
    </r>
    <r>
      <rPr>
        <sz val="10"/>
        <color rgb="FF000000"/>
        <rFont val="HGPｺﾞｼｯｸM"/>
        <family val="0"/>
        <charset val="1"/>
      </rPr>
      <t xml:space="preserve">(22)</t>
    </r>
    <r>
      <rPr>
        <sz val="10"/>
        <color rgb="FF000000"/>
        <rFont val="WenQuanYi Zen Hei"/>
        <family val="2"/>
      </rPr>
      <t xml:space="preserve">、小松隼太</t>
    </r>
    <r>
      <rPr>
        <sz val="10"/>
        <color rgb="FF000000"/>
        <rFont val="HGPｺﾞｼｯｸM"/>
        <family val="0"/>
        <charset val="1"/>
      </rPr>
      <t xml:space="preserve">(57)</t>
    </r>
  </si>
  <si>
    <r>
      <rPr>
        <sz val="10"/>
        <color rgb="FF000000"/>
        <rFont val="WenQuanYi Zen Hei"/>
        <family val="2"/>
      </rPr>
      <t xml:space="preserve">坂場凱仁</t>
    </r>
    <r>
      <rPr>
        <sz val="10"/>
        <color rgb="FF000000"/>
        <rFont val="HGPｺﾞｼｯｸM"/>
        <family val="0"/>
        <charset val="1"/>
      </rPr>
      <t xml:space="preserve">(45)</t>
    </r>
    <r>
      <rPr>
        <sz val="10"/>
        <color rgb="FF000000"/>
        <rFont val="WenQuanYi Zen Hei"/>
        <family val="2"/>
      </rPr>
      <t xml:space="preserve">、佐藤凌誠</t>
    </r>
    <r>
      <rPr>
        <sz val="10"/>
        <color rgb="FF000000"/>
        <rFont val="HGPｺﾞｼｯｸM"/>
        <family val="0"/>
        <charset val="1"/>
      </rPr>
      <t xml:space="preserve">(62)</t>
    </r>
  </si>
  <si>
    <r>
      <rPr>
        <sz val="10"/>
        <color rgb="FF000000"/>
        <rFont val="WenQuanYi Zen Hei"/>
        <family val="2"/>
      </rPr>
      <t xml:space="preserve">中岫奏輔</t>
    </r>
    <r>
      <rPr>
        <sz val="10"/>
        <color rgb="FF000000"/>
        <rFont val="HGPｺﾞｼｯｸM"/>
        <family val="0"/>
        <charset val="1"/>
      </rPr>
      <t xml:space="preserve">(66)</t>
    </r>
    <r>
      <rPr>
        <sz val="10"/>
        <color rgb="FF000000"/>
        <rFont val="WenQuanYi Zen Hei"/>
        <family val="2"/>
      </rPr>
      <t xml:space="preserve">、佐々木凉蒼</t>
    </r>
    <r>
      <rPr>
        <sz val="10"/>
        <color rgb="FF000000"/>
        <rFont val="HGPｺﾞｼｯｸM"/>
        <family val="0"/>
        <charset val="1"/>
      </rPr>
      <t xml:space="preserve">(90)</t>
    </r>
  </si>
  <si>
    <r>
      <rPr>
        <sz val="10"/>
        <color rgb="FF000000"/>
        <rFont val="WenQuanYi Zen Hei"/>
        <family val="2"/>
      </rPr>
      <t xml:space="preserve">森田航聖</t>
    </r>
    <r>
      <rPr>
        <sz val="10"/>
        <color rgb="FF000000"/>
        <rFont val="HGPｺﾞｼｯｸM"/>
        <family val="0"/>
        <charset val="1"/>
      </rPr>
      <t xml:space="preserve">(71)</t>
    </r>
    <r>
      <rPr>
        <sz val="10"/>
        <color rgb="FF000000"/>
        <rFont val="WenQuanYi Zen Hei"/>
        <family val="2"/>
      </rPr>
      <t xml:space="preserve">、内藤大輔</t>
    </r>
    <r>
      <rPr>
        <sz val="10"/>
        <color rgb="FF000000"/>
        <rFont val="HGPｺﾞｼｯｸM"/>
        <family val="0"/>
        <charset val="1"/>
      </rPr>
      <t xml:space="preserve">(76)</t>
    </r>
  </si>
  <si>
    <r>
      <rPr>
        <sz val="10"/>
        <color rgb="FF000000"/>
        <rFont val="WenQuanYi Zen Hei"/>
        <family val="2"/>
      </rPr>
      <t xml:space="preserve">パレイヨアントニーイタ</t>
    </r>
    <r>
      <rPr>
        <sz val="10"/>
        <color rgb="FF000000"/>
        <rFont val="HGPｺﾞｼｯｸM"/>
        <family val="0"/>
        <charset val="1"/>
      </rPr>
      <t xml:space="preserve">(5)</t>
    </r>
    <r>
      <rPr>
        <sz val="10"/>
        <color rgb="FF000000"/>
        <rFont val="WenQuanYi Zen Hei"/>
        <family val="2"/>
      </rPr>
      <t xml:space="preserve">、谷崎大翔</t>
    </r>
    <r>
      <rPr>
        <sz val="10"/>
        <color rgb="FF000000"/>
        <rFont val="HGPｺﾞｼｯｸM"/>
        <family val="0"/>
        <charset val="1"/>
      </rPr>
      <t xml:space="preserve">(85)</t>
    </r>
  </si>
  <si>
    <r>
      <rPr>
        <sz val="10"/>
        <color rgb="FF000000"/>
        <rFont val="WenQuanYi Zen Hei"/>
        <family val="2"/>
      </rPr>
      <t xml:space="preserve">亀山純平</t>
    </r>
    <r>
      <rPr>
        <sz val="10"/>
        <color rgb="FF000000"/>
        <rFont val="HGPｺﾞｼｯｸM"/>
        <family val="0"/>
        <charset val="1"/>
      </rPr>
      <t xml:space="preserve">(30)</t>
    </r>
    <r>
      <rPr>
        <sz val="10"/>
        <color rgb="FF000000"/>
        <rFont val="WenQuanYi Zen Hei"/>
        <family val="2"/>
      </rPr>
      <t xml:space="preserve">、谷 颯真</t>
    </r>
    <r>
      <rPr>
        <sz val="10"/>
        <color rgb="FF000000"/>
        <rFont val="HGPｺﾞｼｯｸM"/>
        <family val="0"/>
        <charset val="1"/>
      </rPr>
      <t xml:space="preserve">(96)</t>
    </r>
  </si>
  <si>
    <r>
      <rPr>
        <sz val="10"/>
        <color rgb="FF000000"/>
        <rFont val="WenQuanYi Zen Hei"/>
        <family val="2"/>
      </rPr>
      <t xml:space="preserve">時本宝琉</t>
    </r>
    <r>
      <rPr>
        <sz val="10"/>
        <color rgb="FF000000"/>
        <rFont val="HGPｺﾞｼｯｸM"/>
        <family val="0"/>
        <charset val="1"/>
      </rPr>
      <t xml:space="preserve">(67)</t>
    </r>
  </si>
  <si>
    <r>
      <rPr>
        <sz val="10"/>
        <color rgb="FF000000"/>
        <rFont val="WenQuanYi Zen Hei"/>
        <family val="2"/>
      </rPr>
      <t xml:space="preserve">西井健真</t>
    </r>
    <r>
      <rPr>
        <sz val="10"/>
        <color rgb="FF000000"/>
        <rFont val="HGPｺﾞｼｯｸM"/>
        <family val="0"/>
        <charset val="1"/>
      </rPr>
      <t xml:space="preserve">(72)</t>
    </r>
  </si>
  <si>
    <r>
      <rPr>
        <sz val="10"/>
        <color rgb="FF000000"/>
        <rFont val="WenQuanYi Zen Hei"/>
        <family val="2"/>
      </rPr>
      <t xml:space="preserve">辻井智稀</t>
    </r>
    <r>
      <rPr>
        <sz val="10"/>
        <color rgb="FF000000"/>
        <rFont val="HGPｺﾞｼｯｸM"/>
        <family val="0"/>
        <charset val="1"/>
      </rPr>
      <t xml:space="preserve">(98)</t>
    </r>
  </si>
  <si>
    <r>
      <rPr>
        <sz val="10"/>
        <color rgb="FF000000"/>
        <rFont val="WenQuanYi Zen Hei"/>
        <family val="2"/>
      </rPr>
      <t xml:space="preserve">山田莉生</t>
    </r>
    <r>
      <rPr>
        <sz val="10"/>
        <color rgb="FF000000"/>
        <rFont val="HGPｺﾞｼｯｸM"/>
        <family val="0"/>
        <charset val="1"/>
      </rPr>
      <t xml:space="preserve">(19)</t>
    </r>
  </si>
  <si>
    <r>
      <rPr>
        <sz val="10"/>
        <color rgb="FF000000"/>
        <rFont val="WenQuanYi Zen Hei"/>
        <family val="2"/>
      </rPr>
      <t xml:space="preserve">柘植源太</t>
    </r>
    <r>
      <rPr>
        <sz val="10"/>
        <color rgb="FF000000"/>
        <rFont val="HGPｺﾞｼｯｸM"/>
        <family val="0"/>
        <charset val="1"/>
      </rPr>
      <t xml:space="preserve">(60)</t>
    </r>
  </si>
  <si>
    <r>
      <rPr>
        <sz val="10"/>
        <color rgb="FF000000"/>
        <rFont val="WenQuanYi Zen Hei"/>
        <family val="2"/>
      </rPr>
      <t xml:space="preserve">サイモンムッソーニ</t>
    </r>
    <r>
      <rPr>
        <sz val="10"/>
        <color rgb="FF000000"/>
        <rFont val="HGPｺﾞｼｯｸM"/>
        <family val="0"/>
        <charset val="1"/>
      </rPr>
      <t xml:space="preserve">(7)</t>
    </r>
  </si>
  <si>
    <r>
      <rPr>
        <sz val="10"/>
        <color rgb="FF000000"/>
        <rFont val="WenQuanYi Zen Hei"/>
        <family val="2"/>
      </rPr>
      <t xml:space="preserve">向岩玖恩</t>
    </r>
    <r>
      <rPr>
        <sz val="10"/>
        <color rgb="FF000000"/>
        <rFont val="HGPｺﾞｼｯｸM"/>
        <family val="0"/>
        <charset val="1"/>
      </rPr>
      <t xml:space="preserve">(38)</t>
    </r>
  </si>
  <si>
    <r>
      <rPr>
        <sz val="10"/>
        <color rgb="FF000000"/>
        <rFont val="WenQuanYi Zen Hei"/>
        <family val="2"/>
      </rPr>
      <t xml:space="preserve">譲次郎</t>
    </r>
    <r>
      <rPr>
        <sz val="10"/>
        <color rgb="FF000000"/>
        <rFont val="HGPｺﾞｼｯｸM"/>
        <family val="0"/>
        <charset val="1"/>
      </rPr>
      <t xml:space="preserve">(61)</t>
    </r>
  </si>
  <si>
    <r>
      <rPr>
        <sz val="10"/>
        <color rgb="FF000000"/>
        <rFont val="WenQuanYi Zen Hei"/>
        <family val="2"/>
      </rPr>
      <t xml:space="preserve">河野莉空</t>
    </r>
    <r>
      <rPr>
        <sz val="10"/>
        <color rgb="FF000000"/>
        <rFont val="HGPｺﾞｼｯｸM"/>
        <family val="0"/>
        <charset val="1"/>
      </rPr>
      <t xml:space="preserve">(82)</t>
    </r>
  </si>
  <si>
    <r>
      <rPr>
        <sz val="10"/>
        <color rgb="FF000000"/>
        <rFont val="WenQuanYi Zen Hei"/>
        <family val="2"/>
      </rPr>
      <t xml:space="preserve">朝倉悠羽</t>
    </r>
    <r>
      <rPr>
        <sz val="10"/>
        <color rgb="FF000000"/>
        <rFont val="HGPｺﾞｼｯｸM"/>
        <family val="0"/>
        <charset val="1"/>
      </rPr>
      <t xml:space="preserve">(14)</t>
    </r>
  </si>
  <si>
    <r>
      <rPr>
        <sz val="10"/>
        <color rgb="FF000000"/>
        <rFont val="WenQuanYi Zen Hei"/>
        <family val="2"/>
      </rPr>
      <t xml:space="preserve">後藤大晴</t>
    </r>
    <r>
      <rPr>
        <sz val="10"/>
        <color rgb="FF000000"/>
        <rFont val="HGPｺﾞｼｯｸM"/>
        <family val="0"/>
        <charset val="1"/>
      </rPr>
      <t xml:space="preserve">(36)</t>
    </r>
  </si>
  <si>
    <r>
      <rPr>
        <sz val="10"/>
        <color rgb="FF000000"/>
        <rFont val="WenQuanYi Zen Hei"/>
        <family val="2"/>
      </rPr>
      <t xml:space="preserve">沢 佑斗</t>
    </r>
    <r>
      <rPr>
        <sz val="10"/>
        <color rgb="FF000000"/>
        <rFont val="HGPｺﾞｼｯｸM"/>
        <family val="0"/>
        <charset val="1"/>
      </rPr>
      <t xml:space="preserve">(56)</t>
    </r>
  </si>
  <si>
    <r>
      <rPr>
        <sz val="10"/>
        <color rgb="FF000000"/>
        <rFont val="WenQuanYi Zen Hei"/>
        <family val="2"/>
      </rPr>
      <t xml:space="preserve">薮下殿傑</t>
    </r>
    <r>
      <rPr>
        <sz val="10"/>
        <color rgb="FF000000"/>
        <rFont val="HGPｺﾞｼｯｸM"/>
        <family val="0"/>
        <charset val="1"/>
      </rPr>
      <t xml:space="preserve">(34)</t>
    </r>
  </si>
  <si>
    <r>
      <rPr>
        <sz val="10"/>
        <color rgb="FF000000"/>
        <rFont val="WenQuanYi Zen Hei"/>
        <family val="2"/>
      </rPr>
      <t xml:space="preserve">宮川晴斗</t>
    </r>
    <r>
      <rPr>
        <sz val="10"/>
        <color rgb="FF000000"/>
        <rFont val="HGPｺﾞｼｯｸM"/>
        <family val="0"/>
        <charset val="1"/>
      </rPr>
      <t xml:space="preserve">(59)</t>
    </r>
  </si>
  <si>
    <r>
      <rPr>
        <sz val="10"/>
        <color rgb="FF000000"/>
        <rFont val="WenQuanYi Zen Hei"/>
        <family val="2"/>
      </rPr>
      <t xml:space="preserve">星野駿人</t>
    </r>
    <r>
      <rPr>
        <sz val="10"/>
        <color rgb="FF000000"/>
        <rFont val="HGPｺﾞｼｯｸM"/>
        <family val="0"/>
        <charset val="1"/>
      </rPr>
      <t xml:space="preserve">(79)</t>
    </r>
  </si>
  <si>
    <r>
      <rPr>
        <sz val="10"/>
        <color rgb="FF000000"/>
        <rFont val="WenQuanYi Zen Hei"/>
        <family val="2"/>
      </rPr>
      <t xml:space="preserve">植野元唯</t>
    </r>
    <r>
      <rPr>
        <sz val="10"/>
        <color rgb="FF000000"/>
        <rFont val="HGPｺﾞｼｯｸM"/>
        <family val="0"/>
        <charset val="1"/>
      </rPr>
      <t xml:space="preserve">(94)</t>
    </r>
  </si>
  <si>
    <r>
      <rPr>
        <sz val="10"/>
        <color rgb="FF000000"/>
        <rFont val="WenQuanYi Zen Hei"/>
        <family val="2"/>
      </rPr>
      <t xml:space="preserve">熊谷颯柊</t>
    </r>
    <r>
      <rPr>
        <sz val="10"/>
        <color rgb="FF000000"/>
        <rFont val="HGPｺﾞｼｯｸM"/>
        <family val="0"/>
        <charset val="1"/>
      </rPr>
      <t xml:space="preserve">(23)</t>
    </r>
  </si>
  <si>
    <r>
      <rPr>
        <sz val="10"/>
        <color rgb="FF000000"/>
        <rFont val="WenQuanYi Zen Hei"/>
        <family val="2"/>
      </rPr>
      <t xml:space="preserve">田尻清雅</t>
    </r>
    <r>
      <rPr>
        <sz val="10"/>
        <color rgb="FF000000"/>
        <rFont val="HGPｺﾞｼｯｸM"/>
        <family val="0"/>
        <charset val="1"/>
      </rPr>
      <t xml:space="preserve">(41)</t>
    </r>
  </si>
  <si>
    <r>
      <rPr>
        <sz val="10"/>
        <color rgb="FF000000"/>
        <rFont val="WenQuanYi Zen Hei"/>
        <family val="2"/>
      </rPr>
      <t xml:space="preserve">渡部喜市</t>
    </r>
    <r>
      <rPr>
        <sz val="10"/>
        <color rgb="FF000000"/>
        <rFont val="HGPｺﾞｼｯｸM"/>
        <family val="0"/>
        <charset val="1"/>
      </rPr>
      <t xml:space="preserve">(49)</t>
    </r>
  </si>
  <si>
    <r>
      <rPr>
        <sz val="10"/>
        <color rgb="FF000000"/>
        <rFont val="WenQuanYi Zen Hei"/>
        <family val="2"/>
      </rPr>
      <t xml:space="preserve">杉田来翔</t>
    </r>
    <r>
      <rPr>
        <sz val="10"/>
        <color rgb="FF000000"/>
        <rFont val="HGPｺﾞｼｯｸM"/>
        <family val="0"/>
        <charset val="1"/>
      </rPr>
      <t xml:space="preserve">(50)</t>
    </r>
  </si>
  <si>
    <r>
      <rPr>
        <sz val="10"/>
        <color rgb="FF000000"/>
        <rFont val="WenQuanYi Zen Hei"/>
        <family val="2"/>
      </rPr>
      <t xml:space="preserve">本川竜光</t>
    </r>
    <r>
      <rPr>
        <sz val="10"/>
        <color rgb="FF000000"/>
        <rFont val="HGPｺﾞｼｯｸM"/>
        <family val="0"/>
        <charset val="1"/>
      </rPr>
      <t xml:space="preserve">(86)</t>
    </r>
  </si>
  <si>
    <r>
      <rPr>
        <sz val="10"/>
        <color rgb="FF000000"/>
        <rFont val="WenQuanYi Zen Hei"/>
        <family val="2"/>
      </rPr>
      <t xml:space="preserve">山下匠</t>
    </r>
    <r>
      <rPr>
        <sz val="10"/>
        <color rgb="FF000000"/>
        <rFont val="HGPｺﾞｼｯｸM"/>
        <family val="0"/>
        <charset val="1"/>
      </rPr>
      <t xml:space="preserve">(93)</t>
    </r>
  </si>
  <si>
    <r>
      <rPr>
        <sz val="10"/>
        <color rgb="FF000000"/>
        <rFont val="WenQuanYi Zen Hei"/>
        <family val="2"/>
      </rPr>
      <t xml:space="preserve">ポールジョロゲ</t>
    </r>
    <r>
      <rPr>
        <sz val="10"/>
        <color rgb="FF000000"/>
        <rFont val="HGPｺﾞｼｯｸM"/>
        <family val="0"/>
        <charset val="1"/>
      </rPr>
      <t xml:space="preserve">(8)</t>
    </r>
  </si>
  <si>
    <r>
      <rPr>
        <sz val="10"/>
        <color rgb="FF000000"/>
        <rFont val="WenQuanYi Zen Hei"/>
        <family val="2"/>
      </rPr>
      <t xml:space="preserve">岡島稜</t>
    </r>
    <r>
      <rPr>
        <sz val="10"/>
        <color rgb="FF000000"/>
        <rFont val="HGPｺﾞｼｯｸM"/>
        <family val="0"/>
        <charset val="1"/>
      </rPr>
      <t xml:space="preserve">(48)</t>
    </r>
  </si>
  <si>
    <r>
      <rPr>
        <sz val="10"/>
        <color rgb="FF000000"/>
        <rFont val="WenQuanYi Zen Hei"/>
        <family val="2"/>
      </rPr>
      <t xml:space="preserve">加賀龍之介</t>
    </r>
    <r>
      <rPr>
        <sz val="10"/>
        <color rgb="FF000000"/>
        <rFont val="HGPｺﾞｼｯｸM"/>
        <family val="0"/>
        <charset val="1"/>
      </rPr>
      <t xml:space="preserve">(55)</t>
    </r>
  </si>
  <si>
    <r>
      <rPr>
        <sz val="10"/>
        <color rgb="FF000000"/>
        <rFont val="WenQuanYi Zen Hei"/>
        <family val="2"/>
      </rPr>
      <t xml:space="preserve">増田大誠</t>
    </r>
    <r>
      <rPr>
        <sz val="10"/>
        <color rgb="FF000000"/>
        <rFont val="HGPｺﾞｼｯｸM"/>
        <family val="0"/>
        <charset val="1"/>
      </rPr>
      <t xml:space="preserve">(26)</t>
    </r>
  </si>
  <si>
    <r>
      <rPr>
        <sz val="10"/>
        <color rgb="FF000000"/>
        <rFont val="WenQuanYi Zen Hei"/>
        <family val="2"/>
      </rPr>
      <t xml:space="preserve">小田桜雅</t>
    </r>
    <r>
      <rPr>
        <sz val="10"/>
        <color rgb="FF000000"/>
        <rFont val="HGPｺﾞｼｯｸM"/>
        <family val="0"/>
        <charset val="1"/>
      </rPr>
      <t xml:space="preserve">(28)</t>
    </r>
  </si>
  <si>
    <r>
      <rPr>
        <sz val="10"/>
        <color rgb="FF000000"/>
        <rFont val="WenQuanYi Zen Hei"/>
        <family val="2"/>
      </rPr>
      <t xml:space="preserve">中川悠晴</t>
    </r>
    <r>
      <rPr>
        <sz val="10"/>
        <color rgb="FF000000"/>
        <rFont val="HGPｺﾞｼｯｸM"/>
        <family val="0"/>
        <charset val="1"/>
      </rPr>
      <t xml:space="preserve">(37)</t>
    </r>
  </si>
  <si>
    <r>
      <rPr>
        <sz val="10"/>
        <color rgb="FF000000"/>
        <rFont val="WenQuanYi Zen Hei"/>
        <family val="2"/>
      </rPr>
      <t xml:space="preserve">村田凌唯</t>
    </r>
    <r>
      <rPr>
        <sz val="10"/>
        <color rgb="FF000000"/>
        <rFont val="HGPｺﾞｼｯｸM"/>
        <family val="0"/>
        <charset val="1"/>
      </rPr>
      <t xml:space="preserve">(68)</t>
    </r>
  </si>
  <si>
    <r>
      <rPr>
        <sz val="10"/>
        <color rgb="FF000000"/>
        <rFont val="WenQuanYi Zen Hei"/>
        <family val="2"/>
      </rPr>
      <t xml:space="preserve">東 海斗</t>
    </r>
    <r>
      <rPr>
        <sz val="10"/>
        <color rgb="FF000000"/>
        <rFont val="HGPｺﾞｼｯｸM"/>
        <family val="0"/>
        <charset val="1"/>
      </rPr>
      <t xml:space="preserve">(69)</t>
    </r>
  </si>
  <si>
    <r>
      <rPr>
        <sz val="10"/>
        <color rgb="FF000000"/>
        <rFont val="WenQuanYi Zen Hei"/>
        <family val="2"/>
      </rPr>
      <t xml:space="preserve">雑賀温大</t>
    </r>
    <r>
      <rPr>
        <sz val="10"/>
        <color rgb="FF000000"/>
        <rFont val="HGPｺﾞｼｯｸM"/>
        <family val="0"/>
        <charset val="1"/>
      </rPr>
      <t xml:space="preserve">(87)</t>
    </r>
  </si>
  <si>
    <r>
      <rPr>
        <sz val="10"/>
        <color rgb="FF000000"/>
        <rFont val="WenQuanYi Zen Hei"/>
        <family val="2"/>
      </rPr>
      <t xml:space="preserve">気賀沢勇之助</t>
    </r>
    <r>
      <rPr>
        <sz val="10"/>
        <color rgb="FF000000"/>
        <rFont val="HGPｺﾞｼｯｸM"/>
        <family val="0"/>
        <charset val="1"/>
      </rPr>
      <t xml:space="preserve">(100)</t>
    </r>
  </si>
  <si>
    <r>
      <rPr>
        <sz val="10"/>
        <color rgb="FF000000"/>
        <rFont val="WenQuanYi Zen Hei"/>
        <family val="2"/>
      </rPr>
      <t xml:space="preserve">小原健太郎</t>
    </r>
    <r>
      <rPr>
        <sz val="10"/>
        <color rgb="FF000000"/>
        <rFont val="HGPｺﾞｼｯｸM"/>
        <family val="0"/>
        <charset val="1"/>
      </rPr>
      <t xml:space="preserve">(21)</t>
    </r>
  </si>
  <si>
    <r>
      <rPr>
        <sz val="10"/>
        <color rgb="FF000000"/>
        <rFont val="WenQuanYi Zen Hei"/>
        <family val="2"/>
      </rPr>
      <t xml:space="preserve">鴨作大夢</t>
    </r>
    <r>
      <rPr>
        <sz val="10"/>
        <color rgb="FF000000"/>
        <rFont val="HGPｺﾞｼｯｸM"/>
        <family val="0"/>
        <charset val="1"/>
      </rPr>
      <t xml:space="preserve">(16)</t>
    </r>
  </si>
  <si>
    <r>
      <rPr>
        <sz val="10"/>
        <color rgb="FF000000"/>
        <rFont val="WenQuanYi Zen Hei"/>
        <family val="2"/>
      </rPr>
      <t xml:space="preserve">長尾羚煌</t>
    </r>
    <r>
      <rPr>
        <sz val="10"/>
        <color rgb="FF000000"/>
        <rFont val="HGPｺﾞｼｯｸM"/>
        <family val="0"/>
        <charset val="1"/>
      </rPr>
      <t xml:space="preserve">(32)</t>
    </r>
  </si>
  <si>
    <r>
      <rPr>
        <sz val="10"/>
        <color rgb="FF000000"/>
        <rFont val="WenQuanYi Zen Hei"/>
        <family val="2"/>
      </rPr>
      <t xml:space="preserve">新垣蓮</t>
    </r>
    <r>
      <rPr>
        <sz val="10"/>
        <color rgb="FF000000"/>
        <rFont val="HGPｺﾞｼｯｸM"/>
        <family val="0"/>
        <charset val="1"/>
      </rPr>
      <t xml:space="preserve">(95)</t>
    </r>
  </si>
  <si>
    <r>
      <rPr>
        <sz val="10"/>
        <color rgb="FF000000"/>
        <rFont val="WenQuanYi Zen Hei"/>
        <family val="2"/>
      </rPr>
      <t xml:space="preserve">田中寿樹</t>
    </r>
    <r>
      <rPr>
        <sz val="10"/>
        <color rgb="FF000000"/>
        <rFont val="HGPｺﾞｼｯｸM"/>
        <family val="0"/>
        <charset val="1"/>
      </rPr>
      <t xml:space="preserve">(97)</t>
    </r>
  </si>
  <si>
    <r>
      <rPr>
        <sz val="10"/>
        <color rgb="FF000000"/>
        <rFont val="WenQuanYi Zen Hei"/>
        <family val="2"/>
      </rPr>
      <t xml:space="preserve">岩尾春</t>
    </r>
    <r>
      <rPr>
        <sz val="10"/>
        <color rgb="FF000000"/>
        <rFont val="HGPｺﾞｼｯｸM"/>
        <family val="0"/>
        <charset val="1"/>
      </rPr>
      <t xml:space="preserve">(99)</t>
    </r>
  </si>
  <si>
    <r>
      <rPr>
        <b val="true"/>
        <sz val="14"/>
        <color rgb="FF000000"/>
        <rFont val="WenQuanYi Zen Hei"/>
        <family val="2"/>
      </rPr>
      <t xml:space="preserve">第</t>
    </r>
    <r>
      <rPr>
        <b val="true"/>
        <sz val="14"/>
        <color rgb="FF000000"/>
        <rFont val="HGPｺﾞｼｯｸM"/>
        <family val="0"/>
        <charset val="1"/>
      </rPr>
      <t xml:space="preserve">46</t>
    </r>
    <r>
      <rPr>
        <b val="true"/>
        <sz val="14"/>
        <color rgb="FF000000"/>
        <rFont val="WenQuanYi Zen Hei"/>
        <family val="2"/>
      </rPr>
      <t xml:space="preserve">回 日本海駅伝（</t>
    </r>
    <r>
      <rPr>
        <b val="true"/>
        <sz val="14"/>
        <color rgb="FF000000"/>
        <rFont val="HGPｺﾞｼｯｸM"/>
        <family val="0"/>
        <charset val="1"/>
      </rPr>
      <t xml:space="preserve">2026/10/4</t>
    </r>
    <r>
      <rPr>
        <b val="true"/>
        <sz val="14"/>
        <color rgb="FF000000"/>
        <rFont val="WenQuanYi Zen Hei"/>
        <family val="2"/>
      </rPr>
      <t xml:space="preserve">）：</t>
    </r>
    <r>
      <rPr>
        <b val="true"/>
        <sz val="14"/>
        <color rgb="FF000000"/>
        <rFont val="HGPｺﾞｼｯｸM"/>
        <family val="0"/>
        <charset val="1"/>
      </rPr>
      <t xml:space="preserve">2028</t>
    </r>
    <r>
      <rPr>
        <b val="true"/>
        <sz val="14"/>
        <color rgb="FF000000"/>
        <rFont val="WenQuanYi Zen Hei"/>
        <family val="2"/>
      </rPr>
      <t xml:space="preserve">年入学世代（現高</t>
    </r>
    <r>
      <rPr>
        <b val="true"/>
        <sz val="14"/>
        <color rgb="FF000000"/>
        <rFont val="HGPｺﾞｼｯｸM"/>
        <family val="0"/>
        <charset val="1"/>
      </rPr>
      <t xml:space="preserve">2</t>
    </r>
    <r>
      <rPr>
        <b val="true"/>
        <sz val="14"/>
        <color rgb="FF000000"/>
        <rFont val="WenQuanYi Zen Hei"/>
        <family val="2"/>
      </rPr>
      <t xml:space="preserve">）の区間成績</t>
    </r>
  </si>
  <si>
    <r>
      <rPr>
        <sz val="9"/>
        <color rgb="FF000000"/>
        <rFont val="WenQuanYi Zen Hei"/>
        <family val="2"/>
      </rPr>
      <t xml:space="preserve">全出走者のうち、陸マガランキングに名前と高校が一致する選手のみ掲載（成績表に学年の記載がないため）。ランキング圏外の</t>
    </r>
    <r>
      <rPr>
        <sz val="9"/>
        <color rgb="FF000000"/>
        <rFont val="HGPｺﾞｼｯｸM"/>
        <family val="0"/>
        <charset val="1"/>
      </rPr>
      <t xml:space="preserve">2</t>
    </r>
    <r>
      <rPr>
        <sz val="9"/>
        <color rgb="FF000000"/>
        <rFont val="WenQuanYi Zen Hei"/>
        <family val="2"/>
      </rPr>
      <t xml:space="preserve">年生は含まれません。区間順位は全学年での順位、</t>
    </r>
    <r>
      <rPr>
        <sz val="9"/>
        <color rgb="FF000000"/>
        <rFont val="HGPｺﾞｼｯｸM"/>
        <family val="0"/>
        <charset val="1"/>
      </rPr>
      <t xml:space="preserve">2</t>
    </r>
    <r>
      <rPr>
        <sz val="9"/>
        <color rgb="FF000000"/>
        <rFont val="WenQuanYi Zen Hei"/>
        <family val="2"/>
      </rPr>
      <t xml:space="preserve">年生内順位はこの表の中での順位。区間順位の色：濃い緑＝</t>
    </r>
    <r>
      <rPr>
        <sz val="9"/>
        <color rgb="FF000000"/>
        <rFont val="HGPｺﾞｼｯｸM"/>
        <family val="0"/>
        <charset val="1"/>
      </rPr>
      <t xml:space="preserve">3</t>
    </r>
    <r>
      <rPr>
        <sz val="9"/>
        <color rgb="FF000000"/>
        <rFont val="WenQuanYi Zen Hei"/>
        <family val="2"/>
      </rPr>
      <t xml:space="preserve">位以内、緑＝</t>
    </r>
    <r>
      <rPr>
        <sz val="9"/>
        <color rgb="FF000000"/>
        <rFont val="HGPｺﾞｼｯｸM"/>
        <family val="0"/>
        <charset val="1"/>
      </rPr>
      <t xml:space="preserve">10</t>
    </r>
    <r>
      <rPr>
        <sz val="9"/>
        <color rgb="FF000000"/>
        <rFont val="WenQuanYi Zen Hei"/>
        <family val="2"/>
      </rPr>
      <t xml:space="preserve">位以内、薄緑＝</t>
    </r>
    <r>
      <rPr>
        <sz val="9"/>
        <color rgb="FF000000"/>
        <rFont val="HGPｺﾞｼｯｸM"/>
        <family val="0"/>
        <charset val="1"/>
      </rPr>
      <t xml:space="preserve">30</t>
    </r>
    <r>
      <rPr>
        <sz val="9"/>
        <color rgb="FF000000"/>
        <rFont val="WenQuanYi Zen Hei"/>
        <family val="2"/>
      </rPr>
      <t xml:space="preserve">位以内。</t>
    </r>
  </si>
  <si>
    <t xml:space="preserve">区</t>
  </si>
  <si>
    <r>
      <rPr>
        <b val="true"/>
        <sz val="10"/>
        <color rgb="FF000000"/>
        <rFont val="WenQuanYi Zen Hei"/>
        <family val="2"/>
      </rPr>
      <t xml:space="preserve">距離
</t>
    </r>
    <r>
      <rPr>
        <b val="true"/>
        <sz val="10"/>
        <color rgb="FF000000"/>
        <rFont val="HGPｺﾞｼｯｸM"/>
        <family val="0"/>
        <charset val="1"/>
      </rPr>
      <t xml:space="preserve">(km)</t>
    </r>
  </si>
  <si>
    <t xml:space="preserve">区間
順位</t>
  </si>
  <si>
    <r>
      <rPr>
        <b val="true"/>
        <sz val="10"/>
        <color rgb="FF000000"/>
        <rFont val="HGPｺﾞｼｯｸM"/>
        <family val="0"/>
        <charset val="1"/>
      </rPr>
      <t xml:space="preserve">2</t>
    </r>
    <r>
      <rPr>
        <b val="true"/>
        <sz val="10"/>
        <color rgb="FF000000"/>
        <rFont val="WenQuanYi Zen Hei"/>
        <family val="2"/>
      </rPr>
      <t xml:space="preserve">年生内
順位</t>
    </r>
  </si>
  <si>
    <t xml:space="preserve">区間記録</t>
  </si>
  <si>
    <r>
      <rPr>
        <b val="true"/>
        <sz val="10"/>
        <color rgb="FF000000"/>
        <rFont val="HGPｺﾞｼｯｸM"/>
        <family val="0"/>
        <charset val="1"/>
      </rPr>
      <t xml:space="preserve">1km
</t>
    </r>
    <r>
      <rPr>
        <b val="true"/>
        <sz val="10"/>
        <color rgb="FF000000"/>
        <rFont val="WenQuanYi Zen Hei"/>
        <family val="2"/>
      </rPr>
      <t xml:space="preserve">ペース</t>
    </r>
  </si>
  <si>
    <t xml:space="preserve">チーム</t>
  </si>
  <si>
    <t xml:space="preserve">都道府県</t>
  </si>
  <si>
    <t xml:space="preserve">チーム
総合順位</t>
  </si>
  <si>
    <t xml:space="preserve">稲垣 翔馴</t>
  </si>
  <si>
    <r>
      <rPr>
        <sz val="10"/>
        <color rgb="FF000000"/>
        <rFont val="WenQuanYi Zen Hei"/>
        <family val="2"/>
      </rPr>
      <t xml:space="preserve">洛南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</si>
  <si>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京都</t>
  </si>
  <si>
    <t xml:space="preserve">橋本 蒼平</t>
  </si>
  <si>
    <r>
      <rPr>
        <sz val="10"/>
        <color rgb="FF000000"/>
        <rFont val="WenQuanYi Zen Hei"/>
        <family val="2"/>
      </rPr>
      <t xml:space="preserve">佐久長聖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</si>
  <si>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長野</t>
  </si>
  <si>
    <t xml:space="preserve">酒井 琉史</t>
  </si>
  <si>
    <r>
      <rPr>
        <sz val="10"/>
        <color rgb="FF000000"/>
        <rFont val="WenQuanYi Zen Hei"/>
        <family val="2"/>
      </rPr>
      <t xml:space="preserve">佐久長聖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</si>
  <si>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平田 千隼</t>
  </si>
  <si>
    <r>
      <rPr>
        <sz val="10"/>
        <color rgb="FF000000"/>
        <rFont val="WenQuanYi Zen Hei"/>
        <family val="2"/>
      </rPr>
      <t xml:space="preserve">鳥取城北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</si>
  <si>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鳥取</t>
  </si>
  <si>
    <t xml:space="preserve">岸本 周真</t>
  </si>
  <si>
    <r>
      <rPr>
        <sz val="10"/>
        <color rgb="FF000000"/>
        <rFont val="WenQuanYi Zen Hei"/>
        <family val="2"/>
      </rPr>
      <t xml:space="preserve">西脇工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</si>
  <si>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兵庫</t>
  </si>
  <si>
    <t xml:space="preserve">千葉 渚斗</t>
  </si>
  <si>
    <t xml:space="preserve">広島国際学院</t>
  </si>
  <si>
    <t xml:space="preserve">広島</t>
  </si>
  <si>
    <t xml:space="preserve">坂口 太弥</t>
  </si>
  <si>
    <t xml:space="preserve">和歌山北</t>
  </si>
  <si>
    <t xml:space="preserve">和歌山</t>
  </si>
  <si>
    <t xml:space="preserve">朝倉 悠羽</t>
  </si>
  <si>
    <t xml:space="preserve">山梨学院</t>
  </si>
  <si>
    <t xml:space="preserve">山梨</t>
  </si>
  <si>
    <t xml:space="preserve">木村 剛士</t>
  </si>
  <si>
    <t xml:space="preserve">美濃加茂</t>
  </si>
  <si>
    <t xml:space="preserve">岐阜</t>
  </si>
  <si>
    <t xml:space="preserve">前 春馬</t>
  </si>
  <si>
    <r>
      <rPr>
        <sz val="10"/>
        <color rgb="FF000000"/>
        <rFont val="WenQuanYi Zen Hei"/>
        <family val="2"/>
      </rPr>
      <t xml:space="preserve">洛南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</si>
  <si>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楯 冬次</t>
  </si>
  <si>
    <t xml:space="preserve">愛知</t>
  </si>
  <si>
    <t xml:space="preserve">湯浅 紘翔</t>
  </si>
  <si>
    <r>
      <rPr>
        <sz val="10"/>
        <color rgb="FF000000"/>
        <rFont val="WenQuanYi Zen Hei"/>
        <family val="2"/>
      </rPr>
      <t xml:space="preserve">洛北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</si>
  <si>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岩下 幾海</t>
  </si>
  <si>
    <t xml:space="preserve">高知工</t>
  </si>
  <si>
    <t xml:space="preserve">高知</t>
  </si>
  <si>
    <t xml:space="preserve">川人 仁嘉</t>
  </si>
  <si>
    <t xml:space="preserve">倉敷Ｂ</t>
  </si>
  <si>
    <t xml:space="preserve">岡山</t>
  </si>
  <si>
    <t xml:space="preserve">前川 侑大</t>
  </si>
  <si>
    <t xml:space="preserve">今治北</t>
  </si>
  <si>
    <t xml:space="preserve">愛媛</t>
  </si>
  <si>
    <t xml:space="preserve">中島 希</t>
  </si>
  <si>
    <t xml:space="preserve">比叡山</t>
  </si>
  <si>
    <t xml:space="preserve">滋賀</t>
  </si>
  <si>
    <t xml:space="preserve">溝辺 煌心</t>
  </si>
  <si>
    <t xml:space="preserve">九州学院</t>
  </si>
  <si>
    <t xml:space="preserve">熊本</t>
  </si>
  <si>
    <t xml:space="preserve">古川 零唯</t>
  </si>
  <si>
    <t xml:space="preserve">桂</t>
  </si>
  <si>
    <t xml:space="preserve">岡島 稜</t>
  </si>
  <si>
    <t xml:space="preserve">伊賀白鳳</t>
  </si>
  <si>
    <t xml:space="preserve">三重</t>
  </si>
  <si>
    <t xml:space="preserve">山副 昇太郎</t>
  </si>
  <si>
    <t xml:space="preserve">丹後緑風</t>
  </si>
  <si>
    <t xml:space="preserve">杉浦 秀亜</t>
  </si>
  <si>
    <t xml:space="preserve">豊田大谷</t>
  </si>
  <si>
    <t xml:space="preserve">島田 新太</t>
  </si>
  <si>
    <r>
      <rPr>
        <sz val="10"/>
        <color rgb="FF000000"/>
        <rFont val="WenQuanYi Zen Hei"/>
        <family val="2"/>
      </rPr>
      <t xml:space="preserve">美方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</si>
  <si>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福井</t>
  </si>
  <si>
    <t xml:space="preserve">山内 颯真</t>
  </si>
  <si>
    <t xml:space="preserve">乙訓</t>
  </si>
  <si>
    <t xml:space="preserve">川畑 僚大</t>
  </si>
  <si>
    <t xml:space="preserve">敦賀気比</t>
  </si>
  <si>
    <t xml:space="preserve">太田 泰聖</t>
  </si>
  <si>
    <r>
      <rPr>
        <sz val="10"/>
        <color rgb="FF000000"/>
        <rFont val="WenQuanYi Zen Hei"/>
        <family val="2"/>
      </rPr>
      <t xml:space="preserve">西脇工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</si>
  <si>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駒野 恵之</t>
  </si>
  <si>
    <r>
      <rPr>
        <sz val="10"/>
        <color rgb="FF000000"/>
        <rFont val="WenQuanYi Zen Hei"/>
        <family val="2"/>
      </rPr>
      <t xml:space="preserve">京都外大西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</si>
  <si>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小林 一奈</t>
  </si>
  <si>
    <t xml:space="preserve">仙台育英</t>
  </si>
  <si>
    <t xml:space="preserve">宮城</t>
  </si>
  <si>
    <t xml:space="preserve">安部 裕多</t>
  </si>
  <si>
    <t xml:space="preserve">つるぎ</t>
  </si>
  <si>
    <t xml:space="preserve">徳島</t>
  </si>
  <si>
    <t xml:space="preserve">矢野 半蔵</t>
  </si>
  <si>
    <t xml:space="preserve">田辺</t>
  </si>
  <si>
    <t xml:space="preserve">森川 恭丞</t>
  </si>
  <si>
    <t xml:space="preserve">小豆島中央</t>
  </si>
  <si>
    <t xml:space="preserve">香川</t>
  </si>
  <si>
    <t xml:space="preserve">喜多嶋 悠次</t>
  </si>
  <si>
    <t xml:space="preserve">九州国際大付</t>
  </si>
  <si>
    <t xml:space="preserve">福岡</t>
  </si>
  <si>
    <t xml:space="preserve">猪口 琉汰</t>
  </si>
  <si>
    <t xml:space="preserve">鳥取東</t>
  </si>
  <si>
    <t xml:space="preserve">山本 唯翔</t>
  </si>
  <si>
    <t xml:space="preserve">松山商</t>
  </si>
  <si>
    <t xml:space="preserve">大林 凛太郎</t>
  </si>
  <si>
    <t xml:space="preserve">草津東</t>
  </si>
  <si>
    <t xml:space="preserve">喜多 勇貴</t>
  </si>
  <si>
    <t xml:space="preserve">徳島科技</t>
  </si>
  <si>
    <t xml:space="preserve">西崎 諄</t>
  </si>
  <si>
    <t xml:space="preserve">神戸商</t>
  </si>
  <si>
    <t xml:space="preserve">大沢 旅良</t>
  </si>
  <si>
    <t xml:space="preserve">八尾</t>
  </si>
  <si>
    <t xml:space="preserve">大阪</t>
  </si>
  <si>
    <t xml:space="preserve">西村 駿汰</t>
  </si>
  <si>
    <t xml:space="preserve">県岐阜商</t>
  </si>
  <si>
    <t xml:space="preserve">多久和 竜空</t>
  </si>
  <si>
    <t xml:space="preserve">出雲工</t>
  </si>
  <si>
    <t xml:space="preserve">島根</t>
  </si>
  <si>
    <t xml:space="preserve">高木 煌士</t>
  </si>
  <si>
    <t xml:space="preserve">西京</t>
  </si>
  <si>
    <t xml:space="preserve">長岡 佑悟</t>
  </si>
  <si>
    <t xml:space="preserve">宇和島東</t>
  </si>
  <si>
    <t xml:space="preserve">植田 七碧</t>
  </si>
  <si>
    <t xml:space="preserve">宝塚東</t>
  </si>
  <si>
    <t xml:space="preserve">ﾊﾟﾚｲﾖ ｱﾝﾄﾆｰｲﾀ</t>
  </si>
  <si>
    <t xml:space="preserve">福岡第一</t>
  </si>
  <si>
    <t xml:space="preserve">谷口 侑</t>
  </si>
  <si>
    <t xml:space="preserve">大阪桐蔭</t>
  </si>
  <si>
    <t xml:space="preserve">山岸 大智</t>
  </si>
  <si>
    <t xml:space="preserve">亀田 十羽</t>
  </si>
  <si>
    <t xml:space="preserve">興国</t>
  </si>
  <si>
    <t xml:space="preserve">梅野 陽成</t>
  </si>
  <si>
    <r>
      <rPr>
        <sz val="10"/>
        <color rgb="FF000000"/>
        <rFont val="WenQuanYi Zen Hei"/>
        <family val="2"/>
      </rPr>
      <t xml:space="preserve">京都外大西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</si>
  <si>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辻井 智稀</t>
  </si>
  <si>
    <t xml:space="preserve">関大北陽</t>
  </si>
  <si>
    <t xml:space="preserve">二見 樹</t>
  </si>
  <si>
    <t xml:space="preserve">池之端 琉月</t>
  </si>
  <si>
    <t xml:space="preserve">佐伯 空叶</t>
  </si>
  <si>
    <t xml:space="preserve">古川 恵唯</t>
  </si>
  <si>
    <t xml:space="preserve">古沢 崇翔</t>
  </si>
  <si>
    <t xml:space="preserve">山本 希海</t>
  </si>
  <si>
    <t xml:space="preserve">藤枝明誠</t>
  </si>
  <si>
    <t xml:space="preserve">静岡</t>
  </si>
  <si>
    <t xml:space="preserve">金山 仁</t>
  </si>
  <si>
    <t xml:space="preserve">岡崎城西</t>
  </si>
  <si>
    <t xml:space="preserve">京谷 柊汰</t>
  </si>
  <si>
    <t xml:space="preserve">畔柳 圭佑</t>
  </si>
  <si>
    <t xml:space="preserve">大浜 悠生</t>
  </si>
  <si>
    <t xml:space="preserve">宇部鴻城</t>
  </si>
  <si>
    <t xml:space="preserve">山口</t>
  </si>
  <si>
    <t xml:space="preserve">木村 樹</t>
  </si>
  <si>
    <t xml:space="preserve">高川学園</t>
  </si>
  <si>
    <t xml:space="preserve">井口 敬太</t>
  </si>
  <si>
    <t xml:space="preserve">尼崎</t>
  </si>
  <si>
    <t xml:space="preserve">辻 詠太</t>
  </si>
  <si>
    <t xml:space="preserve">布野 央士</t>
  </si>
  <si>
    <t xml:space="preserve">吉田 洸翔</t>
  </si>
  <si>
    <t xml:space="preserve">鳩場 万浬</t>
  </si>
  <si>
    <t xml:space="preserve">東海大仰星</t>
  </si>
  <si>
    <t xml:space="preserve">林 勇斗</t>
  </si>
  <si>
    <t xml:space="preserve">白川 智也</t>
  </si>
  <si>
    <t xml:space="preserve">今田 旺輝</t>
  </si>
  <si>
    <t xml:space="preserve">広島工大</t>
  </si>
  <si>
    <t xml:space="preserve">川辺 昂輝</t>
  </si>
  <si>
    <t xml:space="preserve">市沼田</t>
  </si>
  <si>
    <t xml:space="preserve">中沢 侑己</t>
  </si>
  <si>
    <t xml:space="preserve">長 煌介</t>
  </si>
  <si>
    <t xml:space="preserve">谷崎 大翔</t>
  </si>
  <si>
    <t xml:space="preserve">北川 歩夢</t>
  </si>
  <si>
    <t xml:space="preserve">吉本 健心</t>
  </si>
  <si>
    <t xml:space="preserve">中井 柊駕</t>
  </si>
  <si>
    <t xml:space="preserve">市西宮</t>
  </si>
  <si>
    <t xml:space="preserve">金子 瑛太</t>
  </si>
  <si>
    <t xml:space="preserve">高知農</t>
  </si>
  <si>
    <t xml:space="preserve">小早川 駿也</t>
  </si>
  <si>
    <t xml:space="preserve">星野 駿人</t>
  </si>
  <si>
    <r>
      <rPr>
        <sz val="10"/>
        <color rgb="FF000000"/>
        <rFont val="WenQuanYi Zen Hei"/>
        <family val="2"/>
      </rPr>
      <t xml:space="preserve">稲生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</si>
  <si>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細見 悠雅</t>
  </si>
  <si>
    <t xml:space="preserve">徳田 楓士</t>
  </si>
  <si>
    <r>
      <rPr>
        <sz val="10"/>
        <color rgb="FF000000"/>
        <rFont val="WenQuanYi Zen Hei"/>
        <family val="2"/>
      </rPr>
      <t xml:space="preserve">稲生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</si>
  <si>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北条 航太郎</t>
  </si>
  <si>
    <t xml:space="preserve">篠田 龍之介</t>
  </si>
  <si>
    <t xml:space="preserve">七五三 充綺</t>
  </si>
  <si>
    <t xml:space="preserve">愛知黎明</t>
  </si>
  <si>
    <t xml:space="preserve">河野 莉空</t>
  </si>
  <si>
    <t xml:space="preserve">中京</t>
  </si>
  <si>
    <t xml:space="preserve">山崎 弘陽</t>
  </si>
  <si>
    <t xml:space="preserve">野口 啓介</t>
  </si>
  <si>
    <t xml:space="preserve">鳴門</t>
  </si>
  <si>
    <t xml:space="preserve">岩佐 仁誠</t>
  </si>
  <si>
    <t xml:space="preserve">早川 南人</t>
  </si>
  <si>
    <t xml:space="preserve">薮本 尚士</t>
  </si>
  <si>
    <t xml:space="preserve">名経大高蔵</t>
  </si>
  <si>
    <t xml:space="preserve">小川 翔正</t>
  </si>
  <si>
    <t xml:space="preserve">多胡 圭祐</t>
  </si>
  <si>
    <t xml:space="preserve">吉田 隼也</t>
  </si>
  <si>
    <t xml:space="preserve">鯖江</t>
  </si>
  <si>
    <t xml:space="preserve">吉村 琉翔</t>
  </si>
  <si>
    <t xml:space="preserve">真鍋 龍心</t>
  </si>
  <si>
    <t xml:space="preserve">新居浜東</t>
  </si>
  <si>
    <t xml:space="preserve">吉野 絢信</t>
  </si>
  <si>
    <t xml:space="preserve">四日市工</t>
  </si>
  <si>
    <t xml:space="preserve">奥田 瑛太</t>
  </si>
  <si>
    <t xml:space="preserve">八頭</t>
  </si>
  <si>
    <t xml:space="preserve">中島 海利</t>
  </si>
  <si>
    <t xml:space="preserve">尽誠学園</t>
  </si>
  <si>
    <t xml:space="preserve">山本 悠駕</t>
  </si>
  <si>
    <t xml:space="preserve">千代田</t>
  </si>
  <si>
    <t xml:space="preserve">中松 丈</t>
  </si>
  <si>
    <t xml:space="preserve">河野 宏真</t>
  </si>
  <si>
    <t xml:space="preserve">水口 悠大</t>
  </si>
  <si>
    <t xml:space="preserve">宝塚</t>
  </si>
  <si>
    <t xml:space="preserve">山根 大空</t>
  </si>
  <si>
    <t xml:space="preserve">県西宮</t>
  </si>
  <si>
    <t xml:space="preserve">十河 晴樹</t>
  </si>
  <si>
    <t xml:space="preserve">福知山</t>
  </si>
  <si>
    <t xml:space="preserve">黒川 陽太郎</t>
  </si>
  <si>
    <t xml:space="preserve">米子西</t>
  </si>
  <si>
    <t xml:space="preserve">桑田 凌冴</t>
  </si>
  <si>
    <t xml:space="preserve">伊丹西</t>
  </si>
  <si>
    <t xml:space="preserve">東 海斗</t>
  </si>
  <si>
    <t xml:space="preserve">松下 悠真</t>
  </si>
  <si>
    <t xml:space="preserve">武村 翔月</t>
  </si>
  <si>
    <t xml:space="preserve">岩崎 奏</t>
  </si>
  <si>
    <t xml:space="preserve">小山 颯太</t>
  </si>
  <si>
    <t xml:space="preserve">ｴｾﾞ ﾃﾞｨﾘﾁｭｸ 勇</t>
  </si>
  <si>
    <t xml:space="preserve">倉敷Ａ</t>
  </si>
  <si>
    <t xml:space="preserve">横田 拓実</t>
  </si>
  <si>
    <t xml:space="preserve">湯野 健太</t>
  </si>
  <si>
    <t xml:space="preserve">竹内 蒼</t>
  </si>
  <si>
    <t xml:space="preserve">若嶋 梨公</t>
  </si>
  <si>
    <t xml:space="preserve">加藤 蒼礼</t>
  </si>
  <si>
    <t xml:space="preserve">山下 匠</t>
  </si>
  <si>
    <t xml:space="preserve">水戸葵陵</t>
  </si>
  <si>
    <t xml:space="preserve">茨城</t>
  </si>
  <si>
    <t xml:space="preserve">藤坂 龍仁</t>
  </si>
  <si>
    <t xml:space="preserve">吹春 瞬</t>
  </si>
  <si>
    <t xml:space="preserve">上原 響</t>
  </si>
  <si>
    <t xml:space="preserve">安藤 和真</t>
  </si>
  <si>
    <t xml:space="preserve">渡辺 斗愛</t>
  </si>
  <si>
    <t xml:space="preserve">坂口 大斗</t>
  </si>
  <si>
    <t xml:space="preserve">筈谷 育生</t>
  </si>
  <si>
    <t xml:space="preserve">尾上 倫太郎</t>
  </si>
  <si>
    <t xml:space="preserve">智弁和歌山</t>
  </si>
  <si>
    <t xml:space="preserve">佐藤 駿成</t>
  </si>
  <si>
    <t xml:space="preserve">浅井 遥陽</t>
  </si>
  <si>
    <t xml:space="preserve">豊川Ａ</t>
  </si>
  <si>
    <t xml:space="preserve">武藤 風太</t>
  </si>
  <si>
    <t xml:space="preserve">山口 蓮斗</t>
  </si>
  <si>
    <t xml:space="preserve">大垣日大</t>
  </si>
  <si>
    <t xml:space="preserve">谷 康平</t>
  </si>
  <si>
    <t xml:space="preserve">弘部 和志</t>
  </si>
  <si>
    <t xml:space="preserve">中山 大河</t>
  </si>
  <si>
    <t xml:space="preserve">比嘉 大輔</t>
  </si>
  <si>
    <t xml:space="preserve">平本 悠翔</t>
  </si>
  <si>
    <t xml:space="preserve">奈良育英</t>
  </si>
  <si>
    <t xml:space="preserve">奈良</t>
  </si>
  <si>
    <t xml:space="preserve">加藤 慶弥</t>
  </si>
  <si>
    <t xml:space="preserve">杉町 橙</t>
  </si>
  <si>
    <t xml:space="preserve">京都翔英</t>
  </si>
  <si>
    <t xml:space="preserve">吉本 旭</t>
  </si>
  <si>
    <t xml:space="preserve">畑野 駿亮</t>
  </si>
  <si>
    <t xml:space="preserve">山根 一希</t>
  </si>
  <si>
    <t xml:space="preserve">松尾 健一朗</t>
  </si>
  <si>
    <t xml:space="preserve">西城陽</t>
  </si>
  <si>
    <t xml:space="preserve">中村 優希</t>
  </si>
  <si>
    <t xml:space="preserve">山口 怜士</t>
  </si>
  <si>
    <t xml:space="preserve">中部大第一</t>
  </si>
  <si>
    <t xml:space="preserve">津田野 凌</t>
  </si>
  <si>
    <t xml:space="preserve">井手 健</t>
  </si>
  <si>
    <t xml:space="preserve">代田 真司</t>
  </si>
  <si>
    <t xml:space="preserve">加田 蒼</t>
  </si>
  <si>
    <t xml:space="preserve">鈴木 陸斗</t>
  </si>
  <si>
    <t xml:space="preserve">矢野 快音</t>
  </si>
  <si>
    <t xml:space="preserve">立花 力輝</t>
  </si>
  <si>
    <t xml:space="preserve">玉川 彩人</t>
  </si>
  <si>
    <t xml:space="preserve">木田 優吾</t>
  </si>
  <si>
    <t xml:space="preserve">鈴木 隆斗</t>
  </si>
  <si>
    <t xml:space="preserve">西方路 瑛太</t>
  </si>
  <si>
    <t xml:space="preserve">徳田 湊介</t>
  </si>
  <si>
    <t xml:space="preserve">阿久根 英駿</t>
  </si>
  <si>
    <t xml:space="preserve">服部 大翔</t>
  </si>
  <si>
    <t xml:space="preserve">奥村 瑛斗</t>
  </si>
  <si>
    <t xml:space="preserve">鈴木 秀宙</t>
  </si>
  <si>
    <t xml:space="preserve">霜島 光希</t>
  </si>
  <si>
    <r>
      <rPr>
        <sz val="10"/>
        <color rgb="FF000000"/>
        <rFont val="WenQuanYi Zen Hei"/>
        <family val="2"/>
      </rPr>
      <t xml:space="preserve">美方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</si>
  <si>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泉 幸太郎</t>
  </si>
  <si>
    <t xml:space="preserve">森口 能有</t>
  </si>
  <si>
    <t xml:space="preserve">大崎 次朗</t>
  </si>
  <si>
    <t xml:space="preserve">足立 大翔</t>
  </si>
  <si>
    <t xml:space="preserve">福知山成美</t>
  </si>
  <si>
    <t xml:space="preserve">樫原 凛星</t>
  </si>
  <si>
    <t xml:space="preserve">吉本 拓夢</t>
  </si>
  <si>
    <t xml:space="preserve">高松工芸</t>
  </si>
  <si>
    <t xml:space="preserve">舛谷 夢生</t>
  </si>
  <si>
    <t xml:space="preserve">松本 瑛都</t>
  </si>
  <si>
    <t xml:space="preserve">可児 悠月</t>
  </si>
  <si>
    <t xml:space="preserve">川南 星流</t>
  </si>
  <si>
    <t xml:space="preserve">滋賀学園</t>
  </si>
  <si>
    <t xml:space="preserve">国仲 江空斗</t>
  </si>
  <si>
    <t xml:space="preserve">小坂 将人</t>
  </si>
  <si>
    <t xml:space="preserve">渡辺 裕珂</t>
  </si>
  <si>
    <t xml:space="preserve">福家 佑樹</t>
  </si>
  <si>
    <t xml:space="preserve">橋本 竜樹</t>
  </si>
  <si>
    <t xml:space="preserve">蔵重 椋太</t>
  </si>
  <si>
    <t xml:space="preserve">岡山商科大</t>
  </si>
  <si>
    <t xml:space="preserve">大内 夏樹</t>
  </si>
  <si>
    <t xml:space="preserve">堀之内 悠</t>
  </si>
  <si>
    <t xml:space="preserve">保坂 充樹</t>
  </si>
  <si>
    <t xml:space="preserve">向井 駿</t>
  </si>
  <si>
    <t xml:space="preserve">山本 歩</t>
  </si>
  <si>
    <t xml:space="preserve">神港学園</t>
  </si>
  <si>
    <t xml:space="preserve">小島 隆暉</t>
  </si>
  <si>
    <t xml:space="preserve">鎌田 隼年</t>
  </si>
  <si>
    <t xml:space="preserve">渡辺 朝陽</t>
  </si>
  <si>
    <t xml:space="preserve">原田 悠慎</t>
  </si>
  <si>
    <t xml:space="preserve">和田 征太郎</t>
  </si>
  <si>
    <t xml:space="preserve">川澄 優太</t>
  </si>
  <si>
    <t xml:space="preserve">中薗 賢祐</t>
  </si>
  <si>
    <t xml:space="preserve">羽石 悠希</t>
  </si>
  <si>
    <t xml:space="preserve">三浦 颯斗</t>
  </si>
  <si>
    <t xml:space="preserve">榊原 錬</t>
  </si>
  <si>
    <t xml:space="preserve">京都産大付</t>
  </si>
  <si>
    <t xml:space="preserve">時本 悠生</t>
  </si>
  <si>
    <t xml:space="preserve">阿部 楓士</t>
  </si>
  <si>
    <t xml:space="preserve">松本 弦人</t>
  </si>
  <si>
    <t xml:space="preserve">熊本 珠樹</t>
  </si>
  <si>
    <t xml:space="preserve">生田 和獅</t>
  </si>
  <si>
    <t xml:space="preserve">奥田 光貴</t>
  </si>
  <si>
    <t xml:space="preserve">水篠 春樹</t>
  </si>
  <si>
    <t xml:space="preserve">石原 向規</t>
  </si>
  <si>
    <t xml:space="preserve">榎本 翔馬</t>
  </si>
  <si>
    <t xml:space="preserve">松本 陽樹</t>
  </si>
  <si>
    <r>
      <rPr>
        <sz val="10"/>
        <color rgb="FF000000"/>
        <rFont val="WenQuanYi Zen Hei"/>
        <family val="2"/>
      </rPr>
      <t xml:space="preserve">洛北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</si>
  <si>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松永 惟吹</t>
  </si>
  <si>
    <t xml:space="preserve">松井 蓮</t>
  </si>
  <si>
    <t xml:space="preserve">米村 和真</t>
  </si>
  <si>
    <t xml:space="preserve">中沢 叶翔</t>
  </si>
  <si>
    <t xml:space="preserve">奥村 斗愛</t>
  </si>
  <si>
    <t xml:space="preserve">山本 陸人</t>
  </si>
  <si>
    <t xml:space="preserve">松下 恵丞</t>
  </si>
  <si>
    <t xml:space="preserve">神谷 一希</t>
  </si>
  <si>
    <t xml:space="preserve">高野 疾颯</t>
  </si>
  <si>
    <t xml:space="preserve">鈴木 稜空</t>
  </si>
  <si>
    <t xml:space="preserve">中村 律</t>
  </si>
  <si>
    <t xml:space="preserve">阪口 泰生</t>
  </si>
  <si>
    <t xml:space="preserve">大阪学芸</t>
  </si>
  <si>
    <t xml:space="preserve">伊藤 春弥</t>
  </si>
  <si>
    <t xml:space="preserve">松尾 昴</t>
  </si>
  <si>
    <t xml:space="preserve">東播磨</t>
  </si>
  <si>
    <t xml:space="preserve">山田 琉碧</t>
  </si>
  <si>
    <t xml:space="preserve">山中 悠輔</t>
  </si>
  <si>
    <t xml:space="preserve">伊藤 洸太</t>
  </si>
  <si>
    <t xml:space="preserve">飯田 晴羽</t>
  </si>
  <si>
    <t xml:space="preserve">小桜 奏太</t>
  </si>
  <si>
    <t xml:space="preserve">田坂 涼</t>
  </si>
  <si>
    <t xml:space="preserve">広島皆実</t>
  </si>
  <si>
    <t xml:space="preserve">久野 柑太</t>
  </si>
  <si>
    <t xml:space="preserve">水野 透麻</t>
  </si>
  <si>
    <t xml:space="preserve">黒木 太晴</t>
  </si>
  <si>
    <t xml:space="preserve">大体大浪商</t>
  </si>
  <si>
    <t xml:space="preserve">堀田 友希</t>
  </si>
  <si>
    <t xml:space="preserve">杉田 瑛宥</t>
  </si>
  <si>
    <t xml:space="preserve">山本 碧</t>
  </si>
  <si>
    <r>
      <rPr>
        <b val="true"/>
        <sz val="14"/>
        <color rgb="FF000000"/>
        <rFont val="WenQuanYi Zen Hei"/>
        <family val="2"/>
      </rPr>
      <t xml:space="preserve">第</t>
    </r>
    <r>
      <rPr>
        <b val="true"/>
        <sz val="14"/>
        <color rgb="FF000000"/>
        <rFont val="HGPｺﾞｼｯｸM"/>
        <family val="0"/>
        <charset val="1"/>
      </rPr>
      <t xml:space="preserve">5</t>
    </r>
    <r>
      <rPr>
        <b val="true"/>
        <sz val="14"/>
        <color rgb="FF000000"/>
        <rFont val="WenQuanYi Zen Hei"/>
        <family val="2"/>
      </rPr>
      <t xml:space="preserve">回 奥球磨駅伝 高校の部（</t>
    </r>
    <r>
      <rPr>
        <b val="true"/>
        <sz val="14"/>
        <color rgb="FF000000"/>
        <rFont val="HGPｺﾞｼｯｸM"/>
        <family val="0"/>
        <charset val="1"/>
      </rPr>
      <t xml:space="preserve">2026/10/4</t>
    </r>
    <r>
      <rPr>
        <b val="true"/>
        <sz val="14"/>
        <color rgb="FF000000"/>
        <rFont val="WenQuanYi Zen Hei"/>
        <family val="2"/>
      </rPr>
      <t xml:space="preserve">）：</t>
    </r>
    <r>
      <rPr>
        <b val="true"/>
        <sz val="14"/>
        <color rgb="FF000000"/>
        <rFont val="HGPｺﾞｼｯｸM"/>
        <family val="0"/>
        <charset val="1"/>
      </rPr>
      <t xml:space="preserve">2028</t>
    </r>
    <r>
      <rPr>
        <b val="true"/>
        <sz val="14"/>
        <color rgb="FF000000"/>
        <rFont val="WenQuanYi Zen Hei"/>
        <family val="2"/>
      </rPr>
      <t xml:space="preserve">年入学世代（現高</t>
    </r>
    <r>
      <rPr>
        <b val="true"/>
        <sz val="14"/>
        <color rgb="FF000000"/>
        <rFont val="HGPｺﾞｼｯｸM"/>
        <family val="0"/>
        <charset val="1"/>
      </rPr>
      <t xml:space="preserve">2</t>
    </r>
    <r>
      <rPr>
        <b val="true"/>
        <sz val="14"/>
        <color rgb="FF000000"/>
        <rFont val="WenQuanYi Zen Hei"/>
        <family val="2"/>
      </rPr>
      <t xml:space="preserve">）の区間成績</t>
    </r>
  </si>
  <si>
    <t xml:space="preserve">田尻 清雅</t>
  </si>
  <si>
    <t xml:space="preserve">慶誠高校</t>
  </si>
  <si>
    <t xml:space="preserve">杉平 颯志</t>
  </si>
  <si>
    <r>
      <rPr>
        <sz val="10"/>
        <color rgb="FF000000"/>
        <rFont val="WenQuanYi Zen Hei"/>
        <family val="2"/>
      </rPr>
      <t xml:space="preserve">鳥栖工業高校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</si>
  <si>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富永 永輝愛</t>
  </si>
  <si>
    <r>
      <rPr>
        <sz val="10"/>
        <color rgb="FF000000"/>
        <rFont val="WenQuanYi Zen Hei"/>
        <family val="2"/>
      </rPr>
      <t xml:space="preserve">開新高校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</si>
  <si>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大野 晃誠</t>
  </si>
  <si>
    <r>
      <rPr>
        <sz val="10"/>
        <color rgb="FF000000"/>
        <rFont val="WenQuanYi Zen Hei"/>
        <family val="2"/>
      </rPr>
      <t xml:space="preserve">飯塚高校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</si>
  <si>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河合 琢留</t>
  </si>
  <si>
    <t xml:space="preserve">豊川高校</t>
  </si>
  <si>
    <t xml:space="preserve">松本 優哉</t>
  </si>
  <si>
    <r>
      <rPr>
        <sz val="10"/>
        <color rgb="FF000000"/>
        <rFont val="WenQuanYi Zen Hei"/>
        <family val="2"/>
      </rPr>
      <t xml:space="preserve">西京高校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</si>
  <si>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今西 爽介</t>
  </si>
  <si>
    <r>
      <rPr>
        <sz val="10"/>
        <color rgb="FF000000"/>
        <rFont val="WenQuanYi Zen Hei"/>
        <family val="2"/>
      </rPr>
      <t xml:space="preserve">小林高校</t>
    </r>
    <r>
      <rPr>
        <sz val="10"/>
        <color rgb="FF000000"/>
        <rFont val="HGPｺﾞｼｯｸM"/>
        <family val="0"/>
        <charset val="1"/>
      </rPr>
      <t xml:space="preserve">C</t>
    </r>
  </si>
  <si>
    <t xml:space="preserve">森山 心翔</t>
  </si>
  <si>
    <r>
      <rPr>
        <sz val="10"/>
        <color rgb="FF000000"/>
        <rFont val="WenQuanYi Zen Hei"/>
        <family val="2"/>
      </rPr>
      <t xml:space="preserve">鳥栖工業高校</t>
    </r>
    <r>
      <rPr>
        <sz val="10"/>
        <color rgb="FF000000"/>
        <rFont val="HGPｺﾞｼｯｸM"/>
        <family val="0"/>
        <charset val="1"/>
      </rPr>
      <t xml:space="preserve">C</t>
    </r>
  </si>
  <si>
    <t xml:space="preserve">山口 翔馬</t>
  </si>
  <si>
    <r>
      <rPr>
        <sz val="10"/>
        <color rgb="FF000000"/>
        <rFont val="WenQuanYi Zen Hei"/>
        <family val="2"/>
      </rPr>
      <t xml:space="preserve">鳥取城北高校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</si>
  <si>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成田 光輝</t>
  </si>
  <si>
    <r>
      <rPr>
        <sz val="10"/>
        <color rgb="FF000000"/>
        <rFont val="WenQuanYi Zen Hei"/>
        <family val="2"/>
      </rPr>
      <t xml:space="preserve">鹿児島高校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</si>
  <si>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中島 宝良</t>
  </si>
  <si>
    <r>
      <rPr>
        <sz val="10"/>
        <color rgb="FF000000"/>
        <rFont val="WenQuanYi Zen Hei"/>
        <family val="2"/>
      </rPr>
      <t xml:space="preserve">鎮西学院高校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</si>
  <si>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甲斐 蒼心朗</t>
  </si>
  <si>
    <t xml:space="preserve">小林・延岡工業高校合同</t>
  </si>
  <si>
    <t xml:space="preserve">森 悠豪</t>
  </si>
  <si>
    <r>
      <rPr>
        <sz val="10"/>
        <color rgb="FF000000"/>
        <rFont val="WenQuanYi Zen Hei"/>
        <family val="2"/>
      </rPr>
      <t xml:space="preserve">希望が丘高校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</si>
  <si>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石川 琉斐</t>
  </si>
  <si>
    <r>
      <rPr>
        <sz val="10"/>
        <color rgb="FF000000"/>
        <rFont val="WenQuanYi Zen Hei"/>
        <family val="2"/>
      </rPr>
      <t xml:space="preserve">鹿児島城西高校</t>
    </r>
    <r>
      <rPr>
        <sz val="10"/>
        <color rgb="FF000000"/>
        <rFont val="HGPｺﾞｼｯｸM"/>
        <family val="0"/>
        <charset val="1"/>
      </rPr>
      <t xml:space="preserve">C</t>
    </r>
  </si>
  <si>
    <t xml:space="preserve">宮﨑 康太</t>
  </si>
  <si>
    <t xml:space="preserve">尚志館高校</t>
  </si>
  <si>
    <t xml:space="preserve">荒木 琉偉</t>
  </si>
  <si>
    <r>
      <rPr>
        <sz val="10"/>
        <color rgb="FF000000"/>
        <rFont val="WenQuanYi Zen Hei"/>
        <family val="2"/>
      </rPr>
      <t xml:space="preserve">小林高校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</si>
  <si>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ﾎﾟｰﾙ ﾝｼﾞｮﾛｹﾞ</t>
  </si>
  <si>
    <t xml:space="preserve">東海大福岡高校</t>
  </si>
  <si>
    <t xml:space="preserve">田代 常太郎</t>
  </si>
  <si>
    <r>
      <rPr>
        <sz val="10"/>
        <color rgb="FF000000"/>
        <rFont val="WenQuanYi Zen Hei"/>
        <family val="2"/>
      </rPr>
      <t xml:space="preserve">鳥栖工業高校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</si>
  <si>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髙田 大翔</t>
  </si>
  <si>
    <r>
      <rPr>
        <sz val="10"/>
        <color rgb="FF000000"/>
        <rFont val="WenQuanYi Zen Hei"/>
        <family val="2"/>
      </rPr>
      <t xml:space="preserve">鹿児島城西高校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</si>
  <si>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ｻｲﾓﾝ ﾑｯｿｰﾆ</t>
  </si>
  <si>
    <t xml:space="preserve">佐藤 聡太郎</t>
  </si>
  <si>
    <t xml:space="preserve">九州学院高校</t>
  </si>
  <si>
    <t xml:space="preserve">古子 璃陽翔</t>
  </si>
  <si>
    <r>
      <rPr>
        <sz val="10"/>
        <color rgb="FF000000"/>
        <rFont val="WenQuanYi Zen Hei"/>
        <family val="2"/>
      </rPr>
      <t xml:space="preserve">鎮西学院高校</t>
    </r>
    <r>
      <rPr>
        <sz val="10"/>
        <color rgb="FF000000"/>
        <rFont val="HGPｺﾞｼｯｸM"/>
        <family val="0"/>
        <charset val="1"/>
      </rPr>
      <t xml:space="preserve">C</t>
    </r>
  </si>
  <si>
    <t xml:space="preserve">原田 隼</t>
  </si>
  <si>
    <t xml:space="preserve">自由ケ丘高校</t>
  </si>
  <si>
    <t xml:space="preserve">山中 唯颯</t>
  </si>
  <si>
    <t xml:space="preserve">帖佐 宏哉</t>
  </si>
  <si>
    <r>
      <rPr>
        <sz val="10"/>
        <color rgb="FF000000"/>
        <rFont val="WenQuanYi Zen Hei"/>
        <family val="2"/>
      </rPr>
      <t xml:space="preserve">鹿児島工業高校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</si>
  <si>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塚本 悠己</t>
  </si>
  <si>
    <r>
      <rPr>
        <sz val="10"/>
        <color rgb="FF000000"/>
        <rFont val="WenQuanYi Zen Hei"/>
        <family val="2"/>
      </rPr>
      <t xml:space="preserve">希望が丘高校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</si>
  <si>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山口 陽也</t>
  </si>
  <si>
    <t xml:space="preserve">球磨工業高校</t>
  </si>
  <si>
    <t xml:space="preserve">湯田 幸明</t>
  </si>
  <si>
    <r>
      <rPr>
        <sz val="10"/>
        <color rgb="FF000000"/>
        <rFont val="WenQuanYi Zen Hei"/>
        <family val="2"/>
      </rPr>
      <t xml:space="preserve">鹿児島実業高校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</si>
  <si>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青木 水南</t>
  </si>
  <si>
    <t xml:space="preserve">田村 夷久磨</t>
  </si>
  <si>
    <t xml:space="preserve">河村 翔琉</t>
  </si>
  <si>
    <t xml:space="preserve">並松 和心</t>
  </si>
  <si>
    <t xml:space="preserve">鹿児島商業高校</t>
  </si>
  <si>
    <t xml:space="preserve">藤野 汰一</t>
  </si>
  <si>
    <t xml:space="preserve">藤蔭高校</t>
  </si>
  <si>
    <t xml:space="preserve">隈元 隆太</t>
  </si>
  <si>
    <t xml:space="preserve">竹田 櫂司</t>
  </si>
  <si>
    <t xml:space="preserve">渡邉 志</t>
  </si>
  <si>
    <t xml:space="preserve">西中川 和馬</t>
  </si>
  <si>
    <t xml:space="preserve">髙松 龍星</t>
  </si>
  <si>
    <r>
      <rPr>
        <sz val="10"/>
        <color rgb="FF000000"/>
        <rFont val="WenQuanYi Zen Hei"/>
        <family val="2"/>
      </rPr>
      <t xml:space="preserve">小林高校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</si>
  <si>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吉原 貫太</t>
  </si>
  <si>
    <r>
      <rPr>
        <sz val="10"/>
        <color rgb="FF000000"/>
        <rFont val="WenQuanYi Zen Hei"/>
        <family val="2"/>
      </rPr>
      <t xml:space="preserve">西京高校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</si>
  <si>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小野原 奏</t>
  </si>
  <si>
    <t xml:space="preserve">中島 篤志</t>
  </si>
  <si>
    <t xml:space="preserve">河村 拓真</t>
  </si>
  <si>
    <t xml:space="preserve">大塚 晴翔</t>
  </si>
  <si>
    <t xml:space="preserve">天草工業高校</t>
  </si>
  <si>
    <t xml:space="preserve">要田 芽</t>
  </si>
  <si>
    <r>
      <rPr>
        <sz val="10"/>
        <color rgb="FF000000"/>
        <rFont val="WenQuanYi Zen Hei"/>
        <family val="2"/>
      </rPr>
      <t xml:space="preserve">鹿児島城西高校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</si>
  <si>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南 遼貴</t>
  </si>
  <si>
    <r>
      <rPr>
        <sz val="10"/>
        <color rgb="FF000000"/>
        <rFont val="WenQuanYi Zen Hei"/>
        <family val="2"/>
      </rPr>
      <t xml:space="preserve">飯塚高校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</si>
  <si>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野田 匡人</t>
  </si>
  <si>
    <t xml:space="preserve">岩佐 拓斗</t>
  </si>
  <si>
    <r>
      <rPr>
        <sz val="10"/>
        <color rgb="FF000000"/>
        <rFont val="WenQuanYi Zen Hei"/>
        <family val="2"/>
      </rPr>
      <t xml:space="preserve">開新高校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</si>
  <si>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茶畑 空</t>
  </si>
  <si>
    <r>
      <rPr>
        <sz val="10"/>
        <color rgb="FF000000"/>
        <rFont val="WenQuanYi Zen Hei"/>
        <family val="2"/>
      </rPr>
      <t xml:space="preserve">鹿児島高校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</si>
  <si>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牧川 和真</t>
  </si>
  <si>
    <t xml:space="preserve">八代東高校</t>
  </si>
  <si>
    <t xml:space="preserve">田中 明斗</t>
  </si>
  <si>
    <r>
      <rPr>
        <sz val="10"/>
        <color rgb="FF000000"/>
        <rFont val="WenQuanYi Zen Hei"/>
        <family val="2"/>
      </rPr>
      <t xml:space="preserve">純真高校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</si>
  <si>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田代 悠翔</t>
  </si>
  <si>
    <t xml:space="preserve">藤野 健太</t>
  </si>
  <si>
    <t xml:space="preserve">村上 慎一</t>
  </si>
  <si>
    <t xml:space="preserve">津々木 俊翔</t>
  </si>
  <si>
    <t xml:space="preserve">新坂上 爽</t>
  </si>
  <si>
    <t xml:space="preserve">山元 俊</t>
  </si>
  <si>
    <t xml:space="preserve">三浦 知都</t>
  </si>
  <si>
    <t xml:space="preserve">藤井 洵太</t>
  </si>
  <si>
    <t xml:space="preserve">服部 凉大</t>
  </si>
  <si>
    <t xml:space="preserve">岩本 幸志郎</t>
  </si>
  <si>
    <r>
      <rPr>
        <sz val="10"/>
        <color rgb="FF000000"/>
        <rFont val="WenQuanYi Zen Hei"/>
        <family val="2"/>
      </rPr>
      <t xml:space="preserve">九州文化学園高校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</si>
  <si>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ﾊﾟｳﾃﾞﾙ ｾﾄﾘｳﾏﾝｶﾞ</t>
  </si>
  <si>
    <r>
      <rPr>
        <sz val="10"/>
        <color rgb="FF000000"/>
        <rFont val="WenQuanYi Zen Hei"/>
        <family val="2"/>
      </rPr>
      <t xml:space="preserve">瓊浦高校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</si>
  <si>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片平 佳希</t>
  </si>
  <si>
    <t xml:space="preserve">泊 博聖</t>
  </si>
  <si>
    <t xml:space="preserve">渡邉 悠真</t>
  </si>
  <si>
    <t xml:space="preserve">新井 亮太</t>
  </si>
  <si>
    <r>
      <rPr>
        <sz val="10"/>
        <color rgb="FF000000"/>
        <rFont val="WenQuanYi Zen Hei"/>
        <family val="2"/>
      </rPr>
      <t xml:space="preserve">瓊浦高校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</si>
  <si>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濵島 夏絆</t>
  </si>
  <si>
    <t xml:space="preserve">吉原 優</t>
  </si>
  <si>
    <t xml:space="preserve">上妻 悠哉</t>
  </si>
  <si>
    <t xml:space="preserve">熊本国府高校</t>
  </si>
  <si>
    <t xml:space="preserve">岩田 健志</t>
  </si>
  <si>
    <t xml:space="preserve">小柳津 翔太</t>
  </si>
  <si>
    <t xml:space="preserve">深澤 暖斗</t>
  </si>
  <si>
    <t xml:space="preserve">東京農業大学第二高校</t>
  </si>
  <si>
    <t xml:space="preserve">山川 瑛輔</t>
  </si>
  <si>
    <t xml:space="preserve">浦田 稜誠</t>
  </si>
  <si>
    <t xml:space="preserve">早田 悠希</t>
  </si>
  <si>
    <t xml:space="preserve">重藤 浩太</t>
  </si>
  <si>
    <t xml:space="preserve">福﨑 子竜</t>
  </si>
  <si>
    <t xml:space="preserve">大村 陽斗</t>
  </si>
  <si>
    <t xml:space="preserve">横山 真生</t>
  </si>
  <si>
    <t xml:space="preserve">吉岡 陸翔</t>
  </si>
  <si>
    <r>
      <rPr>
        <sz val="10"/>
        <color rgb="FF000000"/>
        <rFont val="WenQuanYi Zen Hei"/>
        <family val="2"/>
      </rPr>
      <t xml:space="preserve">九州文化学園高校</t>
    </r>
    <r>
      <rPr>
        <sz val="10"/>
        <color rgb="FF000000"/>
        <rFont val="HGPｺﾞｼｯｸM"/>
        <family val="0"/>
        <charset val="1"/>
      </rPr>
      <t xml:space="preserve">B</t>
    </r>
  </si>
  <si>
    <t xml:space="preserve">小林 悠人</t>
  </si>
  <si>
    <t xml:space="preserve">藤田 翔蒼</t>
  </si>
  <si>
    <t xml:space="preserve">江口 優</t>
  </si>
  <si>
    <r>
      <rPr>
        <sz val="10"/>
        <color rgb="FF000000"/>
        <rFont val="WenQuanYi Zen Hei"/>
        <family val="2"/>
      </rPr>
      <t xml:space="preserve">鎮西学院高校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</si>
  <si>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川下 日翔</t>
  </si>
  <si>
    <r>
      <rPr>
        <sz val="10"/>
        <color rgb="FF000000"/>
        <rFont val="WenQuanYi Zen Hei"/>
        <family val="2"/>
      </rPr>
      <t xml:space="preserve">鹿児島実業高校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</si>
  <si>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良永 一馬</t>
  </si>
  <si>
    <t xml:space="preserve">永田 敦士</t>
  </si>
  <si>
    <t xml:space="preserve">内山 翔羽</t>
  </si>
  <si>
    <t xml:space="preserve">林田 雅斗</t>
  </si>
  <si>
    <t xml:space="preserve">下田 悠太</t>
  </si>
  <si>
    <t xml:space="preserve">西田 泰斗</t>
  </si>
  <si>
    <t xml:space="preserve">柴山 英士</t>
  </si>
  <si>
    <t xml:space="preserve">山村 絆斗</t>
  </si>
  <si>
    <t xml:space="preserve">福留 晴</t>
  </si>
  <si>
    <t xml:space="preserve">深水 凰雅</t>
  </si>
  <si>
    <t xml:space="preserve">野口 琉太</t>
  </si>
  <si>
    <t xml:space="preserve">杉山 力斗</t>
  </si>
  <si>
    <t xml:space="preserve">木村 太郎</t>
  </si>
  <si>
    <t xml:space="preserve">池上 颯</t>
  </si>
  <si>
    <t xml:space="preserve">米満 楓馬</t>
  </si>
  <si>
    <t xml:space="preserve">西井 健真</t>
  </si>
  <si>
    <t xml:space="preserve">井上 悠夢</t>
  </si>
  <si>
    <t xml:space="preserve">若松 悠馬</t>
  </si>
  <si>
    <t xml:space="preserve">甲斐 偉知</t>
  </si>
  <si>
    <t xml:space="preserve">千原台高校</t>
  </si>
  <si>
    <t xml:space="preserve">岸本 羽琉</t>
  </si>
  <si>
    <t xml:space="preserve">古田 旬</t>
  </si>
  <si>
    <t xml:space="preserve">庄野 遥人</t>
  </si>
  <si>
    <r>
      <rPr>
        <sz val="10"/>
        <color rgb="FF000000"/>
        <rFont val="WenQuanYi Zen Hei"/>
        <family val="2"/>
      </rPr>
      <t xml:space="preserve">純真高校</t>
    </r>
    <r>
      <rPr>
        <sz val="10"/>
        <color rgb="FF000000"/>
        <rFont val="HGPｺﾞｼｯｸM"/>
        <family val="0"/>
        <charset val="1"/>
      </rPr>
      <t xml:space="preserve">A</t>
    </r>
  </si>
  <si>
    <t xml:space="preserve">横尾 俊介</t>
  </si>
  <si>
    <t xml:space="preserve">津村 輝真</t>
  </si>
  <si>
    <t xml:space="preserve">村島 幸太郎</t>
  </si>
  <si>
    <t xml:space="preserve">森下 大空</t>
  </si>
  <si>
    <t xml:space="preserve">野口 悠稀</t>
  </si>
  <si>
    <t xml:space="preserve">清次 怜桜</t>
  </si>
  <si>
    <r>
      <rPr>
        <b val="true"/>
        <sz val="14"/>
        <color rgb="FF000000"/>
        <rFont val="HGPｺﾞｼｯｸM"/>
        <family val="0"/>
        <charset val="1"/>
      </rPr>
      <t xml:space="preserve">3000mSC </t>
    </r>
    <r>
      <rPr>
        <b val="true"/>
        <sz val="14"/>
        <color rgb="FF000000"/>
        <rFont val="WenQuanYi Zen Hei"/>
        <family val="2"/>
      </rPr>
      <t xml:space="preserve">ランキング（陸マガ掲載順）</t>
    </r>
  </si>
  <si>
    <r>
      <rPr>
        <sz val="9"/>
        <color rgb="FF000000"/>
        <rFont val="WenQuanYi Zen Hei"/>
        <family val="2"/>
      </rPr>
      <t xml:space="preserve">記録は元データのまま。</t>
    </r>
    <r>
      <rPr>
        <sz val="9"/>
        <color rgb="FF000000"/>
        <rFont val="HGPｺﾞｼｯｸM"/>
        <family val="0"/>
        <charset val="1"/>
      </rPr>
      <t xml:space="preserve">5000m</t>
    </r>
    <r>
      <rPr>
        <sz val="9"/>
        <color rgb="FF000000"/>
        <rFont val="WenQuanYi Zen Hei"/>
        <family val="2"/>
      </rPr>
      <t xml:space="preserve">・</t>
    </r>
    <r>
      <rPr>
        <sz val="9"/>
        <color rgb="FF000000"/>
        <rFont val="HGPｺﾞｼｯｸM"/>
        <family val="0"/>
        <charset val="1"/>
      </rPr>
      <t xml:space="preserve">1500m</t>
    </r>
    <r>
      <rPr>
        <sz val="9"/>
        <color rgb="FF000000"/>
        <rFont val="WenQuanYi Zen Hei"/>
        <family val="2"/>
      </rPr>
      <t xml:space="preserve">は「選手一覧」から数式で参照（同一人物と判定できた場合のみ）。</t>
    </r>
  </si>
  <si>
    <r>
      <rPr>
        <b val="true"/>
        <sz val="10"/>
        <color rgb="FF000000"/>
        <rFont val="HGPｺﾞｼｯｸM"/>
        <family val="0"/>
        <charset val="1"/>
      </rPr>
      <t xml:space="preserve">5000m
</t>
    </r>
    <r>
      <rPr>
        <b val="true"/>
        <sz val="10"/>
        <color rgb="FF000000"/>
        <rFont val="WenQuanYi Zen Hei"/>
        <family val="2"/>
      </rPr>
      <t xml:space="preserve">記録</t>
    </r>
  </si>
  <si>
    <r>
      <rPr>
        <b val="true"/>
        <sz val="10"/>
        <color rgb="FF000000"/>
        <rFont val="HGPｺﾞｼｯｸM"/>
        <family val="0"/>
        <charset val="1"/>
      </rPr>
      <t xml:space="preserve">5000m
</t>
    </r>
    <r>
      <rPr>
        <b val="true"/>
        <sz val="10"/>
        <color rgb="FF000000"/>
        <rFont val="WenQuanYi Zen Hei"/>
        <family val="2"/>
      </rPr>
      <t xml:space="preserve">順位</t>
    </r>
  </si>
  <si>
    <t xml:space="preserve">智弁学園奈良カレッジ</t>
  </si>
  <si>
    <t xml:space="preserve">阿南高専</t>
  </si>
  <si>
    <t xml:space="preserve">新宿高</t>
  </si>
  <si>
    <r>
      <rPr>
        <b val="true"/>
        <sz val="14"/>
        <color rgb="FF000000"/>
        <rFont val="HGPｺﾞｼｯｸM"/>
        <family val="0"/>
        <charset val="1"/>
      </rPr>
      <t xml:space="preserve">1500m </t>
    </r>
    <r>
      <rPr>
        <b val="true"/>
        <sz val="14"/>
        <color rgb="FF000000"/>
        <rFont val="WenQuanYi Zen Hei"/>
        <family val="2"/>
      </rPr>
      <t xml:space="preserve">ランキング（陸マガ掲載順）</t>
    </r>
  </si>
  <si>
    <r>
      <rPr>
        <sz val="9"/>
        <color rgb="FF000000"/>
        <rFont val="WenQuanYi Zen Hei"/>
        <family val="2"/>
      </rPr>
      <t xml:space="preserve">記録は元データのまま。</t>
    </r>
    <r>
      <rPr>
        <sz val="9"/>
        <color rgb="FF000000"/>
        <rFont val="HGPｺﾞｼｯｸM"/>
        <family val="0"/>
        <charset val="1"/>
      </rPr>
      <t xml:space="preserve">5000m</t>
    </r>
    <r>
      <rPr>
        <sz val="9"/>
        <color rgb="FF000000"/>
        <rFont val="WenQuanYi Zen Hei"/>
        <family val="2"/>
      </rPr>
      <t xml:space="preserve">・</t>
    </r>
    <r>
      <rPr>
        <sz val="9"/>
        <color rgb="FF000000"/>
        <rFont val="HGPｺﾞｼｯｸM"/>
        <family val="0"/>
        <charset val="1"/>
      </rPr>
      <t xml:space="preserve">3000mSC</t>
    </r>
    <r>
      <rPr>
        <sz val="9"/>
        <color rgb="FF000000"/>
        <rFont val="WenQuanYi Zen Hei"/>
        <family val="2"/>
      </rPr>
      <t xml:space="preserve">は「選手一覧」から数式で参照（同一人物と判定できた場合のみ）。</t>
    </r>
  </si>
  <si>
    <t xml:space="preserve">川口市陸協</t>
  </si>
  <si>
    <t xml:space="preserve">ＰＡＲＥＩＹＯ　ＡＮＴＯＮＹＩＴＡ</t>
  </si>
  <si>
    <t xml:space="preserve">岡崎北</t>
  </si>
  <si>
    <t xml:space="preserve">神戸大附中等</t>
  </si>
  <si>
    <t xml:space="preserve">宇短附高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</si>
</sst>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\分"/>
    <numFmt numFmtId="166" formatCode="0.00\秒"/>
    <numFmt numFmtId="167" formatCode="[m]:ss.00"/>
    <numFmt numFmtId="168" formatCode="0"/>
    <numFmt numFmtId="169" formatCode="\+0.00;\-0.00;0"/>
    <numFmt numFmtId="170" formatCode="0;;&quot;&quot;"/>
    <numFmt numFmtId="171" formatCode="0\区"/>
    <numFmt numFmtId="172" formatCode="0.0###"/>
    <numFmt numFmtId="173" formatCode="[m]:ss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HGPｺﾞｼｯｸM"/>
      <family val="0"/>
      <charset val="1"/>
    </font>
    <font>
      <b val="true"/>
      <sz val="14"/>
      <color rgb="FF000000"/>
      <name val="WenQuanYi Zen Hei"/>
      <family val="2"/>
    </font>
    <font>
      <sz val="9"/>
      <color rgb="FF000000"/>
      <name val="WenQuanYi Zen Hei"/>
      <family val="2"/>
    </font>
    <font>
      <sz val="9"/>
      <color rgb="FF000000"/>
      <name val="HGPｺﾞｼｯｸM"/>
      <family val="0"/>
      <charset val="1"/>
    </font>
    <font>
      <b val="true"/>
      <sz val="10"/>
      <color rgb="FF000000"/>
      <name val="WenQuanYi Zen Hei"/>
      <family val="2"/>
    </font>
    <font>
      <b val="true"/>
      <sz val="10"/>
      <color rgb="FF000000"/>
      <name val="HGPｺﾞｼｯｸM"/>
      <family val="0"/>
      <charset val="1"/>
    </font>
    <font>
      <sz val="10"/>
      <color rgb="FF000000"/>
      <name val="HGPｺﾞｼｯｸM"/>
      <family val="0"/>
      <charset val="1"/>
    </font>
    <font>
      <b val="true"/>
      <sz val="10"/>
      <color rgb="FFFFFFFF"/>
      <name val="HGPｺﾞｼｯｸM"/>
      <family val="0"/>
      <charset val="1"/>
    </font>
    <font>
      <b val="true"/>
      <sz val="10"/>
      <color rgb="FFFFFFFF"/>
      <name val="WenQuanYi Zen Hei"/>
      <family val="2"/>
    </font>
    <font>
      <sz val="10"/>
      <color rgb="FF000000"/>
      <name val="WenQuanYi Zen He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99"/>
        <bgColor rgb="FFFFEB9C"/>
      </patternFill>
    </fill>
    <fill>
      <patternFill patternType="solid">
        <fgColor rgb="FFA9D08E"/>
        <bgColor rgb="FFBFBFBF"/>
      </patternFill>
    </fill>
    <fill>
      <patternFill patternType="solid">
        <fgColor rgb="FF548235"/>
        <bgColor rgb="FF339966"/>
      </patternFill>
    </fill>
    <fill>
      <patternFill patternType="solid">
        <fgColor rgb="FFF2F2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 patternType="solid">
          <fgColor rgb="FFA9D08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54823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FFFF99"/>
          <bgColor rgb="FF000000"/>
        </patternFill>
      </fill>
    </dxf>
    <dxf>
      <fill>
        <patternFill>
          <bgColor rgb="FF63BE7B"/>
        </patternFill>
      </fill>
    </dxf>
    <dxf>
      <fill>
        <patternFill>
          <bgColor rgb="FFA9D08E"/>
        </patternFill>
      </fill>
    </dxf>
    <dxf>
      <fill>
        <patternFill>
          <bgColor rgb="FFE2EFDA"/>
        </patternFill>
      </fill>
    </dxf>
    <dxf>
      <fill>
        <patternFill>
          <bgColor rgb="FFFFEB9C"/>
        </patternFill>
      </fill>
    </dxf>
    <dxf>
      <fill>
        <patternFill patternType="solid">
          <fgColor rgb="FFF2F2F2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A9D08E"/>
      <rgbColor rgb="FFFF99CC"/>
      <rgbColor rgb="FFCC99FF"/>
      <rgbColor rgb="FFFFEB9C"/>
      <rgbColor rgb="FF3366FF"/>
      <rgbColor rgb="FF63BE7B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738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4" min="4" style="0" width="11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7" min="7" style="0" width="7"/>
    <col collapsed="false" customWidth="true" hidden="false" outlineLevel="0" max="8" min="8" style="0" width="10"/>
    <col collapsed="false" customWidth="true" hidden="false" outlineLevel="0" max="9" min="9" style="0" width="8"/>
    <col collapsed="false" customWidth="true" hidden="false" outlineLevel="0" max="10" min="10" style="0" width="10"/>
    <col collapsed="false" customWidth="true" hidden="false" outlineLevel="0" max="11" min="11" style="0" width="8"/>
    <col collapsed="false" customWidth="true" hidden="false" outlineLevel="0" max="12" min="12" style="0" width="9"/>
    <col collapsed="false" customWidth="true" hidden="false" outlineLevel="0" max="13" min="13" style="0" width="7"/>
    <col collapsed="false" customWidth="true" hidden="false" outlineLevel="0" max="15" min="14" style="0" width="18"/>
    <col collapsed="false" customWidth="true" hidden="false" outlineLevel="0" max="16" min="16" style="0" width="40"/>
    <col collapsed="false" customWidth="true" hidden="false" outlineLevel="0" max="17" min="17" style="0" width="30"/>
  </cols>
  <sheetData>
    <row r="1" customFormat="false" ht="19.4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  <c r="D3" s="4" t="s">
        <v>3</v>
      </c>
      <c r="E3" s="5" t="n">
        <v>14</v>
      </c>
      <c r="F3" s="6" t="n">
        <v>30</v>
      </c>
      <c r="H3" s="4" t="s">
        <v>4</v>
      </c>
      <c r="I3" s="5" t="n">
        <v>9</v>
      </c>
      <c r="J3" s="6" t="n">
        <v>20</v>
      </c>
      <c r="L3" s="4" t="s">
        <v>5</v>
      </c>
      <c r="M3" s="5" t="n">
        <v>3</v>
      </c>
      <c r="N3" s="6" t="n">
        <v>55</v>
      </c>
    </row>
    <row r="4" customFormat="false" ht="15" hidden="false" customHeight="false" outlineLevel="0" collapsed="false">
      <c r="A4" s="2" t="s">
        <v>6</v>
      </c>
    </row>
    <row r="6" customFormat="false" ht="33.75" hidden="false" customHeight="true" outlineLevel="0" collapsed="false">
      <c r="A6" s="7" t="s">
        <v>7</v>
      </c>
      <c r="B6" s="8" t="s">
        <v>8</v>
      </c>
      <c r="C6" s="8" t="s">
        <v>9</v>
      </c>
      <c r="D6" s="9" t="s">
        <v>10</v>
      </c>
      <c r="E6" s="9" t="s">
        <v>11</v>
      </c>
      <c r="F6" s="9" t="s">
        <v>12</v>
      </c>
      <c r="G6" s="9" t="s">
        <v>13</v>
      </c>
      <c r="H6" s="7" t="s">
        <v>14</v>
      </c>
      <c r="I6" s="7" t="s">
        <v>15</v>
      </c>
      <c r="J6" s="7" t="s">
        <v>16</v>
      </c>
      <c r="K6" s="7" t="s">
        <v>17</v>
      </c>
      <c r="L6" s="8" t="s">
        <v>18</v>
      </c>
      <c r="M6" s="8" t="s">
        <v>19</v>
      </c>
      <c r="N6" s="8" t="s">
        <v>20</v>
      </c>
      <c r="O6" s="8" t="s">
        <v>21</v>
      </c>
      <c r="P6" s="8" t="s">
        <v>22</v>
      </c>
      <c r="Q6" s="8" t="s">
        <v>23</v>
      </c>
    </row>
    <row r="7" customFormat="false" ht="15" hidden="false" customHeight="false" outlineLevel="0" collapsed="false">
      <c r="A7" s="10" t="n">
        <v>1</v>
      </c>
      <c r="B7" s="11" t="s">
        <v>24</v>
      </c>
      <c r="C7" s="12" t="s">
        <v>25</v>
      </c>
      <c r="D7" s="13" t="n">
        <v>0.00914050925925926</v>
      </c>
      <c r="E7" s="14" t="n">
        <v>1</v>
      </c>
      <c r="F7" s="15" t="n">
        <f aca="false">IF(D7="","",ROUND((D7-MIN($D$7:$D$9999))*86400,2))</f>
        <v>0</v>
      </c>
      <c r="G7" s="10" t="str">
        <f aca="false">IF(D7="","",IF(D7&lt;=($E$3*60+$F$3)/86400,"○",""))</f>
        <v>○</v>
      </c>
      <c r="H7" s="16"/>
      <c r="I7" s="17"/>
      <c r="J7" s="16" t="n">
        <v>0.00264097222222222</v>
      </c>
      <c r="K7" s="17" t="n">
        <v>3</v>
      </c>
      <c r="L7" s="17" t="n">
        <f aca="false">COUNT(E7,I7,K7)</f>
        <v>2</v>
      </c>
      <c r="M7" s="18" t="n">
        <f aca="false">(D7&lt;&gt;"")*(D7&lt;=($E$3*60+$F$3)/86400)+(H7&lt;&gt;"")*(H7&lt;=($I$3*60+$J$3)/86400)+(J7&lt;&gt;"")*(J7&lt;=($M$3*60+$N$3)/86400)</f>
        <v>2</v>
      </c>
      <c r="N7" s="12"/>
      <c r="O7" s="12"/>
      <c r="P7" s="12"/>
      <c r="Q7" s="19"/>
    </row>
    <row r="8" customFormat="false" ht="15" hidden="false" customHeight="false" outlineLevel="0" collapsed="false">
      <c r="A8" s="10" t="n">
        <v>2</v>
      </c>
      <c r="B8" s="11" t="s">
        <v>26</v>
      </c>
      <c r="C8" s="12" t="s">
        <v>27</v>
      </c>
      <c r="D8" s="13" t="n">
        <v>0.00964340277777778</v>
      </c>
      <c r="E8" s="14" t="n">
        <v>2</v>
      </c>
      <c r="F8" s="15" t="n">
        <f aca="false">IF(D8="","",ROUND((D8-MIN($D$7:$D$9999))*86400,2))</f>
        <v>43.45</v>
      </c>
      <c r="G8" s="10" t="str">
        <f aca="false">IF(D8="","",IF(D8&lt;=($E$3*60+$F$3)/86400,"○",""))</f>
        <v>○</v>
      </c>
      <c r="H8" s="16" t="n">
        <v>0.00642048611111111</v>
      </c>
      <c r="I8" s="17" t="n">
        <v>19</v>
      </c>
      <c r="J8" s="16" t="n">
        <v>0.00260451388888889</v>
      </c>
      <c r="K8" s="17" t="n">
        <v>1</v>
      </c>
      <c r="L8" s="17" t="n">
        <f aca="false">COUNT(E8,I8,K8)</f>
        <v>3</v>
      </c>
      <c r="M8" s="18" t="n">
        <f aca="false">(D8&lt;&gt;"")*(D8&lt;=($E$3*60+$F$3)/86400)+(H8&lt;&gt;"")*(H8&lt;=($I$3*60+$J$3)/86400)+(J8&lt;&gt;"")*(J8&lt;=($M$3*60+$N$3)/86400)</f>
        <v>3</v>
      </c>
      <c r="N8" s="20" t="s">
        <v>28</v>
      </c>
      <c r="O8" s="20"/>
      <c r="P8" s="20"/>
      <c r="Q8" s="19"/>
    </row>
    <row r="9" customFormat="false" ht="15" hidden="false" customHeight="false" outlineLevel="0" collapsed="false">
      <c r="A9" s="10" t="n">
        <v>3</v>
      </c>
      <c r="B9" s="11" t="s">
        <v>29</v>
      </c>
      <c r="C9" s="12" t="s">
        <v>27</v>
      </c>
      <c r="D9" s="13" t="n">
        <v>0.00968773148148148</v>
      </c>
      <c r="E9" s="14" t="n">
        <v>3</v>
      </c>
      <c r="F9" s="15" t="n">
        <f aca="false">IF(D9="","",ROUND((D9-MIN($D$7:$D$9999))*86400,2))</f>
        <v>47.28</v>
      </c>
      <c r="G9" s="10" t="str">
        <f aca="false">IF(D9="","",IF(D9&lt;=($E$3*60+$F$3)/86400,"○",""))</f>
        <v>○</v>
      </c>
      <c r="H9" s="16"/>
      <c r="I9" s="17"/>
      <c r="J9" s="16" t="n">
        <v>0.00262800925925926</v>
      </c>
      <c r="K9" s="17" t="n">
        <v>2</v>
      </c>
      <c r="L9" s="17" t="n">
        <f aca="false">COUNT(E9,I9,K9)</f>
        <v>2</v>
      </c>
      <c r="M9" s="18" t="n">
        <f aca="false">(D9&lt;&gt;"")*(D9&lt;=($E$3*60+$F$3)/86400)+(H9&lt;&gt;"")*(H9&lt;=($I$3*60+$J$3)/86400)+(J9&lt;&gt;"")*(J9&lt;=($M$3*60+$N$3)/86400)</f>
        <v>2</v>
      </c>
      <c r="N9" s="20" t="s">
        <v>30</v>
      </c>
      <c r="O9" s="20"/>
      <c r="P9" s="20"/>
      <c r="Q9" s="19"/>
    </row>
    <row r="10" customFormat="false" ht="15" hidden="false" customHeight="false" outlineLevel="0" collapsed="false">
      <c r="A10" s="10" t="n">
        <v>4</v>
      </c>
      <c r="B10" s="11" t="s">
        <v>31</v>
      </c>
      <c r="C10" s="12" t="s">
        <v>32</v>
      </c>
      <c r="D10" s="13" t="n">
        <v>0.00971435185185185</v>
      </c>
      <c r="E10" s="14" t="n">
        <v>4</v>
      </c>
      <c r="F10" s="15" t="n">
        <f aca="false">IF(D10="","",ROUND((D10-MIN($D$7:$D$9999))*86400,2))</f>
        <v>49.58</v>
      </c>
      <c r="G10" s="10" t="str">
        <f aca="false">IF(D10="","",IF(D10&lt;=($E$3*60+$F$3)/86400,"○",""))</f>
        <v>○</v>
      </c>
      <c r="H10" s="16"/>
      <c r="I10" s="17"/>
      <c r="J10" s="16" t="n">
        <v>0.002721875</v>
      </c>
      <c r="K10" s="17" t="n">
        <v>51</v>
      </c>
      <c r="L10" s="17" t="n">
        <f aca="false">COUNT(E10,I10,K10)</f>
        <v>2</v>
      </c>
      <c r="M10" s="18" t="n">
        <f aca="false">(D10&lt;&gt;"")*(D10&lt;=($E$3*60+$F$3)/86400)+(H10&lt;&gt;"")*(H10&lt;=($I$3*60+$J$3)/86400)+(J10&lt;&gt;"")*(J10&lt;=($M$3*60+$N$3)/86400)</f>
        <v>1</v>
      </c>
      <c r="N10" s="20"/>
      <c r="O10" s="20"/>
      <c r="P10" s="20"/>
      <c r="Q10" s="19"/>
    </row>
    <row r="11" customFormat="false" ht="15" hidden="false" customHeight="false" outlineLevel="0" collapsed="false">
      <c r="A11" s="10" t="n">
        <v>5</v>
      </c>
      <c r="B11" s="11" t="s">
        <v>33</v>
      </c>
      <c r="C11" s="12" t="s">
        <v>34</v>
      </c>
      <c r="D11" s="13" t="n">
        <v>0.00974224537037037</v>
      </c>
      <c r="E11" s="14" t="n">
        <v>5</v>
      </c>
      <c r="F11" s="15" t="n">
        <f aca="false">IF(D11="","",ROUND((D11-MIN($D$7:$D$9999))*86400,2))</f>
        <v>51.99</v>
      </c>
      <c r="G11" s="10" t="str">
        <f aca="false">IF(D11="","",IF(D11&lt;=($E$3*60+$F$3)/86400,"○",""))</f>
        <v>○</v>
      </c>
      <c r="H11" s="16"/>
      <c r="I11" s="17"/>
      <c r="J11" s="16" t="n">
        <v>0.00267881944444444</v>
      </c>
      <c r="K11" s="17" t="n">
        <v>13</v>
      </c>
      <c r="L11" s="17" t="n">
        <f aca="false">COUNT(E11,I11,K11)</f>
        <v>2</v>
      </c>
      <c r="M11" s="18" t="n">
        <f aca="false">(D11&lt;&gt;"")*(D11&lt;=($E$3*60+$F$3)/86400)+(H11&lt;&gt;"")*(H11&lt;=($I$3*60+$J$3)/86400)+(J11&lt;&gt;"")*(J11&lt;=($M$3*60+$N$3)/86400)</f>
        <v>2</v>
      </c>
      <c r="N11" s="20" t="s">
        <v>35</v>
      </c>
      <c r="O11" s="20"/>
      <c r="P11" s="20"/>
      <c r="Q11" s="19"/>
    </row>
    <row r="12" customFormat="false" ht="15" hidden="false" customHeight="false" outlineLevel="0" collapsed="false">
      <c r="A12" s="10" t="n">
        <v>6</v>
      </c>
      <c r="B12" s="11" t="s">
        <v>36</v>
      </c>
      <c r="C12" s="12" t="s">
        <v>37</v>
      </c>
      <c r="D12" s="13" t="n">
        <v>0.00975914351851852</v>
      </c>
      <c r="E12" s="14" t="n">
        <v>6</v>
      </c>
      <c r="F12" s="15" t="n">
        <f aca="false">IF(D12="","",ROUND((D12-MIN($D$7:$D$9999))*86400,2))</f>
        <v>53.45</v>
      </c>
      <c r="G12" s="10" t="str">
        <f aca="false">IF(D12="","",IF(D12&lt;=($E$3*60+$F$3)/86400,"○",""))</f>
        <v>○</v>
      </c>
      <c r="H12" s="16" t="n">
        <v>0.00626909722222222</v>
      </c>
      <c r="I12" s="17" t="n">
        <v>2</v>
      </c>
      <c r="J12" s="16" t="n">
        <v>0.00278136574074074</v>
      </c>
      <c r="K12" s="17" t="n">
        <v>209</v>
      </c>
      <c r="L12" s="17" t="n">
        <f aca="false">COUNT(E12,I12,K12)</f>
        <v>3</v>
      </c>
      <c r="M12" s="18" t="n">
        <f aca="false">(D12&lt;&gt;"")*(D12&lt;=($E$3*60+$F$3)/86400)+(H12&lt;&gt;"")*(H12&lt;=($I$3*60+$J$3)/86400)+(J12&lt;&gt;"")*(J12&lt;=($M$3*60+$N$3)/86400)</f>
        <v>2</v>
      </c>
      <c r="N12" s="20" t="s">
        <v>38</v>
      </c>
      <c r="O12" s="20"/>
      <c r="P12" s="20"/>
      <c r="Q12" s="19"/>
    </row>
    <row r="13" customFormat="false" ht="15" hidden="false" customHeight="false" outlineLevel="0" collapsed="false">
      <c r="A13" s="10" t="n">
        <v>7</v>
      </c>
      <c r="B13" s="11" t="s">
        <v>39</v>
      </c>
      <c r="C13" s="12" t="s">
        <v>40</v>
      </c>
      <c r="D13" s="13" t="n">
        <v>0.00977974537037037</v>
      </c>
      <c r="E13" s="14" t="n">
        <v>7</v>
      </c>
      <c r="F13" s="15" t="n">
        <f aca="false">IF(D13="","",ROUND((D13-MIN($D$7:$D$9999))*86400,2))</f>
        <v>55.23</v>
      </c>
      <c r="G13" s="10" t="str">
        <f aca="false">IF(D13="","",IF(D13&lt;=($E$3*60+$F$3)/86400,"○",""))</f>
        <v>○</v>
      </c>
      <c r="H13" s="16"/>
      <c r="I13" s="17"/>
      <c r="J13" s="16"/>
      <c r="K13" s="17"/>
      <c r="L13" s="17" t="n">
        <f aca="false">COUNT(E13,I13,K13)</f>
        <v>1</v>
      </c>
      <c r="M13" s="18" t="n">
        <f aca="false">(D13&lt;&gt;"")*(D13&lt;=($E$3*60+$F$3)/86400)+(H13&lt;&gt;"")*(H13&lt;=($I$3*60+$J$3)/86400)+(J13&lt;&gt;"")*(J13&lt;=($M$3*60+$N$3)/86400)</f>
        <v>1</v>
      </c>
      <c r="N13" s="20"/>
      <c r="O13" s="20" t="s">
        <v>41</v>
      </c>
      <c r="P13" s="20"/>
      <c r="Q13" s="19"/>
    </row>
    <row r="14" customFormat="false" ht="15" hidden="false" customHeight="false" outlineLevel="0" collapsed="false">
      <c r="A14" s="10" t="n">
        <v>8</v>
      </c>
      <c r="B14" s="11" t="s">
        <v>42</v>
      </c>
      <c r="C14" s="12" t="s">
        <v>43</v>
      </c>
      <c r="D14" s="13" t="n">
        <v>0.00981168981481482</v>
      </c>
      <c r="E14" s="14" t="n">
        <v>8</v>
      </c>
      <c r="F14" s="15" t="n">
        <f aca="false">IF(D14="","",ROUND((D14-MIN($D$7:$D$9999))*86400,2))</f>
        <v>57.99</v>
      </c>
      <c r="G14" s="10" t="str">
        <f aca="false">IF(D14="","",IF(D14&lt;=($E$3*60+$F$3)/86400,"○",""))</f>
        <v>○</v>
      </c>
      <c r="H14" s="16"/>
      <c r="I14" s="17"/>
      <c r="J14" s="16" t="n">
        <v>0.00269803240740741</v>
      </c>
      <c r="K14" s="17" t="n">
        <v>24</v>
      </c>
      <c r="L14" s="17" t="n">
        <f aca="false">COUNT(E14,I14,K14)</f>
        <v>2</v>
      </c>
      <c r="M14" s="18" t="n">
        <f aca="false">(D14&lt;&gt;"")*(D14&lt;=($E$3*60+$F$3)/86400)+(H14&lt;&gt;"")*(H14&lt;=($I$3*60+$J$3)/86400)+(J14&lt;&gt;"")*(J14&lt;=($M$3*60+$N$3)/86400)</f>
        <v>2</v>
      </c>
      <c r="N14" s="20"/>
      <c r="O14" s="20" t="s">
        <v>44</v>
      </c>
      <c r="P14" s="20" t="s">
        <v>45</v>
      </c>
      <c r="Q14" s="19"/>
    </row>
    <row r="15" customFormat="false" ht="15" hidden="false" customHeight="false" outlineLevel="0" collapsed="false">
      <c r="A15" s="10" t="n">
        <v>9</v>
      </c>
      <c r="B15" s="11" t="s">
        <v>46</v>
      </c>
      <c r="C15" s="12" t="s">
        <v>32</v>
      </c>
      <c r="D15" s="13" t="n">
        <v>0.00981481481481481</v>
      </c>
      <c r="E15" s="14" t="n">
        <v>9</v>
      </c>
      <c r="F15" s="15" t="n">
        <f aca="false">IF(D15="","",ROUND((D15-MIN($D$7:$D$9999))*86400,2))</f>
        <v>58.26</v>
      </c>
      <c r="G15" s="10" t="str">
        <f aca="false">IF(D15="","",IF(D15&lt;=($E$3*60+$F$3)/86400,"○",""))</f>
        <v>○</v>
      </c>
      <c r="H15" s="16"/>
      <c r="I15" s="17"/>
      <c r="J15" s="16" t="n">
        <v>0.00277962962962963</v>
      </c>
      <c r="K15" s="17" t="n">
        <v>200</v>
      </c>
      <c r="L15" s="17" t="n">
        <f aca="false">COUNT(E15,I15,K15)</f>
        <v>2</v>
      </c>
      <c r="M15" s="18" t="n">
        <f aca="false">(D15&lt;&gt;"")*(D15&lt;=($E$3*60+$F$3)/86400)+(H15&lt;&gt;"")*(H15&lt;=($I$3*60+$J$3)/86400)+(J15&lt;&gt;"")*(J15&lt;=($M$3*60+$N$3)/86400)</f>
        <v>1</v>
      </c>
      <c r="N15" s="20"/>
      <c r="O15" s="20"/>
      <c r="P15" s="20"/>
      <c r="Q15" s="19"/>
    </row>
    <row r="16" customFormat="false" ht="15" hidden="false" customHeight="false" outlineLevel="0" collapsed="false">
      <c r="A16" s="10" t="n">
        <v>10</v>
      </c>
      <c r="B16" s="11" t="s">
        <v>47</v>
      </c>
      <c r="C16" s="12" t="s">
        <v>37</v>
      </c>
      <c r="D16" s="13" t="n">
        <v>0.00986527777777778</v>
      </c>
      <c r="E16" s="14" t="n">
        <v>10</v>
      </c>
      <c r="F16" s="15" t="n">
        <f aca="false">IF(D16="","",ROUND((D16-MIN($D$7:$D$9999))*86400,2))</f>
        <v>62.62</v>
      </c>
      <c r="G16" s="10" t="str">
        <f aca="false">IF(D16="","",IF(D16&lt;=($E$3*60+$F$3)/86400,"○",""))</f>
        <v>○</v>
      </c>
      <c r="H16" s="16"/>
      <c r="I16" s="17"/>
      <c r="J16" s="16" t="n">
        <v>0.00282071759259259</v>
      </c>
      <c r="K16" s="17" t="n">
        <v>367</v>
      </c>
      <c r="L16" s="17" t="n">
        <f aca="false">COUNT(E16,I16,K16)</f>
        <v>2</v>
      </c>
      <c r="M16" s="18" t="n">
        <f aca="false">(D16&lt;&gt;"")*(D16&lt;=($E$3*60+$F$3)/86400)+(H16&lt;&gt;"")*(H16&lt;=($I$3*60+$J$3)/86400)+(J16&lt;&gt;"")*(J16&lt;=($M$3*60+$N$3)/86400)</f>
        <v>1</v>
      </c>
      <c r="N16" s="20"/>
      <c r="O16" s="20"/>
      <c r="P16" s="20"/>
      <c r="Q16" s="19"/>
    </row>
    <row r="17" customFormat="false" ht="15" hidden="false" customHeight="false" outlineLevel="0" collapsed="false">
      <c r="A17" s="10" t="n">
        <v>11</v>
      </c>
      <c r="B17" s="11" t="s">
        <v>48</v>
      </c>
      <c r="C17" s="12" t="s">
        <v>37</v>
      </c>
      <c r="D17" s="13" t="n">
        <v>0.00987071759259259</v>
      </c>
      <c r="E17" s="14" t="n">
        <v>11</v>
      </c>
      <c r="F17" s="15" t="n">
        <f aca="false">IF(D17="","",ROUND((D17-MIN($D$7:$D$9999))*86400,2))</f>
        <v>63.09</v>
      </c>
      <c r="G17" s="10" t="str">
        <f aca="false">IF(D17="","",IF(D17&lt;=($E$3*60+$F$3)/86400,"○",""))</f>
        <v>○</v>
      </c>
      <c r="H17" s="16"/>
      <c r="I17" s="17"/>
      <c r="J17" s="16" t="n">
        <v>0.00275902777777778</v>
      </c>
      <c r="K17" s="17" t="n">
        <v>132</v>
      </c>
      <c r="L17" s="17" t="n">
        <f aca="false">COUNT(E17,I17,K17)</f>
        <v>2</v>
      </c>
      <c r="M17" s="18" t="n">
        <f aca="false">(D17&lt;&gt;"")*(D17&lt;=($E$3*60+$F$3)/86400)+(H17&lt;&gt;"")*(H17&lt;=($I$3*60+$J$3)/86400)+(J17&lt;&gt;"")*(J17&lt;=($M$3*60+$N$3)/86400)</f>
        <v>1</v>
      </c>
      <c r="N17" s="20" t="s">
        <v>49</v>
      </c>
      <c r="O17" s="20"/>
      <c r="P17" s="20"/>
      <c r="Q17" s="19"/>
    </row>
    <row r="18" customFormat="false" ht="15" hidden="false" customHeight="false" outlineLevel="0" collapsed="false">
      <c r="A18" s="10" t="n">
        <v>12</v>
      </c>
      <c r="B18" s="11" t="s">
        <v>50</v>
      </c>
      <c r="C18" s="12" t="s">
        <v>51</v>
      </c>
      <c r="D18" s="13" t="n">
        <v>0.00987303240740741</v>
      </c>
      <c r="E18" s="14" t="n">
        <v>12</v>
      </c>
      <c r="F18" s="15" t="n">
        <f aca="false">IF(D18="","",ROUND((D18-MIN($D$7:$D$9999))*86400,2))</f>
        <v>63.29</v>
      </c>
      <c r="G18" s="10" t="str">
        <f aca="false">IF(D18="","",IF(D18&lt;=($E$3*60+$F$3)/86400,"○",""))</f>
        <v>○</v>
      </c>
      <c r="H18" s="16"/>
      <c r="I18" s="17"/>
      <c r="J18" s="16" t="n">
        <v>0.00267592592592593</v>
      </c>
      <c r="K18" s="17" t="n">
        <v>8</v>
      </c>
      <c r="L18" s="17" t="n">
        <f aca="false">COUNT(E18,I18,K18)</f>
        <v>2</v>
      </c>
      <c r="M18" s="18" t="n">
        <f aca="false">(D18&lt;&gt;"")*(D18&lt;=($E$3*60+$F$3)/86400)+(H18&lt;&gt;"")*(H18&lt;=($I$3*60+$J$3)/86400)+(J18&lt;&gt;"")*(J18&lt;=($M$3*60+$N$3)/86400)</f>
        <v>2</v>
      </c>
      <c r="N18" s="20"/>
      <c r="O18" s="20" t="s">
        <v>52</v>
      </c>
      <c r="P18" s="20"/>
      <c r="Q18" s="19"/>
    </row>
    <row r="19" customFormat="false" ht="15" hidden="false" customHeight="false" outlineLevel="0" collapsed="false">
      <c r="A19" s="10" t="n">
        <v>13</v>
      </c>
      <c r="B19" s="11" t="s">
        <v>53</v>
      </c>
      <c r="C19" s="12" t="s">
        <v>54</v>
      </c>
      <c r="D19" s="13" t="n">
        <v>0.00990069444444445</v>
      </c>
      <c r="E19" s="14" t="n">
        <v>14</v>
      </c>
      <c r="F19" s="15" t="n">
        <f aca="false">IF(D19="","",ROUND((D19-MIN($D$7:$D$9999))*86400,2))</f>
        <v>65.68</v>
      </c>
      <c r="G19" s="10" t="str">
        <f aca="false">IF(D19="","",IF(D19&lt;=($E$3*60+$F$3)/86400,"○",""))</f>
        <v>○</v>
      </c>
      <c r="H19" s="16"/>
      <c r="I19" s="17"/>
      <c r="J19" s="16" t="n">
        <v>0.00268946759259259</v>
      </c>
      <c r="K19" s="17" t="n">
        <v>18</v>
      </c>
      <c r="L19" s="17" t="n">
        <f aca="false">COUNT(E19,I19,K19)</f>
        <v>2</v>
      </c>
      <c r="M19" s="18" t="n">
        <f aca="false">(D19&lt;&gt;"")*(D19&lt;=($E$3*60+$F$3)/86400)+(H19&lt;&gt;"")*(H19&lt;=($I$3*60+$J$3)/86400)+(J19&lt;&gt;"")*(J19&lt;=($M$3*60+$N$3)/86400)</f>
        <v>2</v>
      </c>
      <c r="N19" s="20" t="s">
        <v>55</v>
      </c>
      <c r="O19" s="20"/>
      <c r="P19" s="20"/>
      <c r="Q19" s="19"/>
    </row>
    <row r="20" customFormat="false" ht="15" hidden="false" customHeight="false" outlineLevel="0" collapsed="false">
      <c r="A20" s="10" t="n">
        <v>14</v>
      </c>
      <c r="B20" s="11" t="s">
        <v>56</v>
      </c>
      <c r="C20" s="12" t="s">
        <v>51</v>
      </c>
      <c r="D20" s="13" t="n">
        <v>0.00990787037037037</v>
      </c>
      <c r="E20" s="14" t="n">
        <v>15</v>
      </c>
      <c r="F20" s="15" t="n">
        <f aca="false">IF(D20="","",ROUND((D20-MIN($D$7:$D$9999))*86400,2))</f>
        <v>66.3</v>
      </c>
      <c r="G20" s="10" t="str">
        <f aca="false">IF(D20="","",IF(D20&lt;=($E$3*60+$F$3)/86400,"○",""))</f>
        <v>○</v>
      </c>
      <c r="H20" s="16"/>
      <c r="I20" s="17"/>
      <c r="J20" s="16" t="n">
        <v>0.00283935185185185</v>
      </c>
      <c r="K20" s="17" t="n">
        <v>491</v>
      </c>
      <c r="L20" s="17" t="n">
        <f aca="false">COUNT(E20,I20,K20)</f>
        <v>2</v>
      </c>
      <c r="M20" s="18" t="n">
        <f aca="false">(D20&lt;&gt;"")*(D20&lt;=($E$3*60+$F$3)/86400)+(H20&lt;&gt;"")*(H20&lt;=($I$3*60+$J$3)/86400)+(J20&lt;&gt;"")*(J20&lt;=($M$3*60+$N$3)/86400)</f>
        <v>1</v>
      </c>
      <c r="N20" s="20"/>
      <c r="O20" s="20" t="s">
        <v>57</v>
      </c>
      <c r="P20" s="20"/>
      <c r="Q20" s="19"/>
    </row>
    <row r="21" customFormat="false" ht="15" hidden="false" customHeight="false" outlineLevel="0" collapsed="false">
      <c r="A21" s="10" t="n">
        <v>15</v>
      </c>
      <c r="B21" s="11" t="s">
        <v>58</v>
      </c>
      <c r="C21" s="12" t="s">
        <v>59</v>
      </c>
      <c r="D21" s="13" t="n">
        <v>0.00992893518518519</v>
      </c>
      <c r="E21" s="14" t="n">
        <v>16</v>
      </c>
      <c r="F21" s="15" t="n">
        <f aca="false">IF(D21="","",ROUND((D21-MIN($D$7:$D$9999))*86400,2))</f>
        <v>68.12</v>
      </c>
      <c r="G21" s="10" t="str">
        <f aca="false">IF(D21="","",IF(D21&lt;=($E$3*60+$F$3)/86400,"○",""))</f>
        <v>○</v>
      </c>
      <c r="H21" s="16"/>
      <c r="I21" s="17"/>
      <c r="J21" s="16" t="n">
        <v>0.00270949074074074</v>
      </c>
      <c r="K21" s="17" t="n">
        <v>34</v>
      </c>
      <c r="L21" s="17" t="n">
        <f aca="false">COUNT(E21,I21,K21)</f>
        <v>2</v>
      </c>
      <c r="M21" s="18" t="n">
        <f aca="false">(D21&lt;&gt;"")*(D21&lt;=($E$3*60+$F$3)/86400)+(H21&lt;&gt;"")*(H21&lt;=($I$3*60+$J$3)/86400)+(J21&lt;&gt;"")*(J21&lt;=($M$3*60+$N$3)/86400)</f>
        <v>2</v>
      </c>
      <c r="N21" s="20"/>
      <c r="O21" s="20"/>
      <c r="P21" s="20"/>
      <c r="Q21" s="19"/>
    </row>
    <row r="22" customFormat="false" ht="15" hidden="false" customHeight="false" outlineLevel="0" collapsed="false">
      <c r="A22" s="10" t="n">
        <v>16</v>
      </c>
      <c r="B22" s="11" t="s">
        <v>60</v>
      </c>
      <c r="C22" s="12" t="s">
        <v>61</v>
      </c>
      <c r="D22" s="13" t="n">
        <v>0.00994131944444444</v>
      </c>
      <c r="E22" s="14" t="n">
        <v>17</v>
      </c>
      <c r="F22" s="15" t="n">
        <f aca="false">IF(D22="","",ROUND((D22-MIN($D$7:$D$9999))*86400,2))</f>
        <v>69.19</v>
      </c>
      <c r="G22" s="10" t="str">
        <f aca="false">IF(D22="","",IF(D22&lt;=($E$3*60+$F$3)/86400,"○",""))</f>
        <v>○</v>
      </c>
      <c r="H22" s="16"/>
      <c r="I22" s="17"/>
      <c r="J22" s="16" t="n">
        <v>0.0028630787037037</v>
      </c>
      <c r="K22" s="17" t="n">
        <v>656</v>
      </c>
      <c r="L22" s="17" t="n">
        <f aca="false">COUNT(E22,I22,K22)</f>
        <v>2</v>
      </c>
      <c r="M22" s="18" t="n">
        <f aca="false">(D22&lt;&gt;"")*(D22&lt;=($E$3*60+$F$3)/86400)+(H22&lt;&gt;"")*(H22&lt;=($I$3*60+$J$3)/86400)+(J22&lt;&gt;"")*(J22&lt;=($M$3*60+$N$3)/86400)</f>
        <v>1</v>
      </c>
      <c r="N22" s="20"/>
      <c r="O22" s="20"/>
      <c r="P22" s="20"/>
      <c r="Q22" s="19"/>
    </row>
    <row r="23" customFormat="false" ht="15" hidden="false" customHeight="false" outlineLevel="0" collapsed="false">
      <c r="A23" s="10" t="n">
        <v>17</v>
      </c>
      <c r="B23" s="11" t="s">
        <v>62</v>
      </c>
      <c r="C23" s="12" t="s">
        <v>63</v>
      </c>
      <c r="D23" s="13" t="n">
        <v>0.0099462962962963</v>
      </c>
      <c r="E23" s="14" t="n">
        <v>18</v>
      </c>
      <c r="F23" s="15" t="n">
        <f aca="false">IF(D23="","",ROUND((D23-MIN($D$7:$D$9999))*86400,2))</f>
        <v>69.62</v>
      </c>
      <c r="G23" s="10" t="str">
        <f aca="false">IF(D23="","",IF(D23&lt;=($E$3*60+$F$3)/86400,"○",""))</f>
        <v>○</v>
      </c>
      <c r="H23" s="16"/>
      <c r="I23" s="17"/>
      <c r="J23" s="16" t="n">
        <v>0.00272430555555556</v>
      </c>
      <c r="K23" s="17" t="n">
        <v>55</v>
      </c>
      <c r="L23" s="17" t="n">
        <f aca="false">COUNT(E23,I23,K23)</f>
        <v>2</v>
      </c>
      <c r="M23" s="18" t="n">
        <f aca="false">(D23&lt;&gt;"")*(D23&lt;=($E$3*60+$F$3)/86400)+(H23&lt;&gt;"")*(H23&lt;=($I$3*60+$J$3)/86400)+(J23&lt;&gt;"")*(J23&lt;=($M$3*60+$N$3)/86400)</f>
        <v>1</v>
      </c>
      <c r="N23" s="20"/>
      <c r="O23" s="20"/>
      <c r="P23" s="20"/>
      <c r="Q23" s="19"/>
    </row>
    <row r="24" customFormat="false" ht="15" hidden="false" customHeight="false" outlineLevel="0" collapsed="false">
      <c r="A24" s="10" t="n">
        <v>18</v>
      </c>
      <c r="B24" s="11" t="s">
        <v>64</v>
      </c>
      <c r="C24" s="12" t="s">
        <v>65</v>
      </c>
      <c r="D24" s="13" t="n">
        <v>0.00997210648148148</v>
      </c>
      <c r="E24" s="14" t="n">
        <v>19</v>
      </c>
      <c r="F24" s="15" t="n">
        <f aca="false">IF(D24="","",ROUND((D24-MIN($D$7:$D$9999))*86400,2))</f>
        <v>71.85</v>
      </c>
      <c r="G24" s="10" t="str">
        <f aca="false">IF(D24="","",IF(D24&lt;=($E$3*60+$F$3)/86400,"○",""))</f>
        <v>○</v>
      </c>
      <c r="H24" s="16"/>
      <c r="I24" s="17"/>
      <c r="J24" s="16" t="n">
        <v>0.00273252314814815</v>
      </c>
      <c r="K24" s="17" t="n">
        <v>70</v>
      </c>
      <c r="L24" s="17" t="n">
        <f aca="false">COUNT(E24,I24,K24)</f>
        <v>2</v>
      </c>
      <c r="M24" s="18" t="n">
        <f aca="false">(D24&lt;&gt;"")*(D24&lt;=($E$3*60+$F$3)/86400)+(H24&lt;&gt;"")*(H24&lt;=($I$3*60+$J$3)/86400)+(J24&lt;&gt;"")*(J24&lt;=($M$3*60+$N$3)/86400)</f>
        <v>1</v>
      </c>
      <c r="N24" s="20"/>
      <c r="O24" s="20"/>
      <c r="P24" s="20"/>
      <c r="Q24" s="19"/>
    </row>
    <row r="25" customFormat="false" ht="15" hidden="false" customHeight="false" outlineLevel="0" collapsed="false">
      <c r="A25" s="10" t="n">
        <v>19</v>
      </c>
      <c r="B25" s="11" t="s">
        <v>66</v>
      </c>
      <c r="C25" s="12" t="s">
        <v>67</v>
      </c>
      <c r="D25" s="13" t="n">
        <v>0.00997581018518519</v>
      </c>
      <c r="E25" s="14" t="n">
        <v>20</v>
      </c>
      <c r="F25" s="15" t="n">
        <f aca="false">IF(D25="","",ROUND((D25-MIN($D$7:$D$9999))*86400,2))</f>
        <v>72.17</v>
      </c>
      <c r="G25" s="10" t="str">
        <f aca="false">IF(D25="","",IF(D25&lt;=($E$3*60+$F$3)/86400,"○",""))</f>
        <v>○</v>
      </c>
      <c r="H25" s="16"/>
      <c r="I25" s="17"/>
      <c r="J25" s="16" t="n">
        <v>0.00273564814814815</v>
      </c>
      <c r="K25" s="17" t="n">
        <v>74</v>
      </c>
      <c r="L25" s="17" t="n">
        <f aca="false">COUNT(E25,I25,K25)</f>
        <v>2</v>
      </c>
      <c r="M25" s="18" t="n">
        <f aca="false">(D25&lt;&gt;"")*(D25&lt;=($E$3*60+$F$3)/86400)+(H25&lt;&gt;"")*(H25&lt;=($I$3*60+$J$3)/86400)+(J25&lt;&gt;"")*(J25&lt;=($M$3*60+$N$3)/86400)</f>
        <v>1</v>
      </c>
      <c r="N25" s="20"/>
      <c r="O25" s="20"/>
      <c r="P25" s="20"/>
      <c r="Q25" s="19"/>
    </row>
    <row r="26" customFormat="false" ht="15" hidden="false" customHeight="false" outlineLevel="0" collapsed="false">
      <c r="A26" s="10" t="n">
        <v>20</v>
      </c>
      <c r="B26" s="11" t="s">
        <v>68</v>
      </c>
      <c r="C26" s="12" t="s">
        <v>69</v>
      </c>
      <c r="D26" s="13" t="n">
        <v>0.00997708333333333</v>
      </c>
      <c r="E26" s="14" t="n">
        <v>21</v>
      </c>
      <c r="F26" s="15" t="n">
        <f aca="false">IF(D26="","",ROUND((D26-MIN($D$7:$D$9999))*86400,2))</f>
        <v>72.28</v>
      </c>
      <c r="G26" s="10" t="str">
        <f aca="false">IF(D26="","",IF(D26&lt;=($E$3*60+$F$3)/86400,"○",""))</f>
        <v>○</v>
      </c>
      <c r="H26" s="16"/>
      <c r="I26" s="17"/>
      <c r="J26" s="16" t="n">
        <v>0.0027244212962963</v>
      </c>
      <c r="K26" s="17" t="n">
        <v>56</v>
      </c>
      <c r="L26" s="17" t="n">
        <f aca="false">COUNT(E26,I26,K26)</f>
        <v>2</v>
      </c>
      <c r="M26" s="18" t="n">
        <f aca="false">(D26&lt;&gt;"")*(D26&lt;=($E$3*60+$F$3)/86400)+(H26&lt;&gt;"")*(H26&lt;=($I$3*60+$J$3)/86400)+(J26&lt;&gt;"")*(J26&lt;=($M$3*60+$N$3)/86400)</f>
        <v>1</v>
      </c>
      <c r="N26" s="20"/>
      <c r="O26" s="20"/>
      <c r="P26" s="20"/>
      <c r="Q26" s="19"/>
    </row>
    <row r="27" customFormat="false" ht="15" hidden="false" customHeight="false" outlineLevel="0" collapsed="false">
      <c r="A27" s="10" t="n">
        <v>21</v>
      </c>
      <c r="B27" s="11" t="s">
        <v>70</v>
      </c>
      <c r="C27" s="12" t="s">
        <v>71</v>
      </c>
      <c r="D27" s="13" t="n">
        <v>0.0100024305555556</v>
      </c>
      <c r="E27" s="14" t="n">
        <v>22</v>
      </c>
      <c r="F27" s="15" t="n">
        <f aca="false">IF(D27="","",ROUND((D27-MIN($D$7:$D$9999))*86400,2))</f>
        <v>74.47</v>
      </c>
      <c r="G27" s="10" t="str">
        <f aca="false">IF(D27="","",IF(D27&lt;=($E$3*60+$F$3)/86400,"○",""))</f>
        <v>○</v>
      </c>
      <c r="H27" s="16"/>
      <c r="I27" s="17"/>
      <c r="J27" s="16" t="n">
        <v>0.00293900462962963</v>
      </c>
      <c r="K27" s="17" t="n">
        <v>1197</v>
      </c>
      <c r="L27" s="17" t="n">
        <f aca="false">COUNT(E27,I27,K27)</f>
        <v>2</v>
      </c>
      <c r="M27" s="18" t="n">
        <f aca="false">(D27&lt;&gt;"")*(D27&lt;=($E$3*60+$F$3)/86400)+(H27&lt;&gt;"")*(H27&lt;=($I$3*60+$J$3)/86400)+(J27&lt;&gt;"")*(J27&lt;=($M$3*60+$N$3)/86400)</f>
        <v>1</v>
      </c>
      <c r="N27" s="20"/>
      <c r="O27" s="20"/>
      <c r="P27" s="20"/>
      <c r="Q27" s="19"/>
    </row>
    <row r="28" customFormat="false" ht="15" hidden="false" customHeight="false" outlineLevel="0" collapsed="false">
      <c r="A28" s="10" t="n">
        <v>22</v>
      </c>
      <c r="B28" s="11" t="s">
        <v>72</v>
      </c>
      <c r="C28" s="12" t="s">
        <v>73</v>
      </c>
      <c r="D28" s="13" t="n">
        <v>0.0100109953703704</v>
      </c>
      <c r="E28" s="14" t="n">
        <v>23</v>
      </c>
      <c r="F28" s="15" t="n">
        <f aca="false">IF(D28="","",ROUND((D28-MIN($D$7:$D$9999))*86400,2))</f>
        <v>75.21</v>
      </c>
      <c r="G28" s="10" t="str">
        <f aca="false">IF(D28="","",IF(D28&lt;=($E$3*60+$F$3)/86400,"○",""))</f>
        <v>○</v>
      </c>
      <c r="H28" s="16"/>
      <c r="I28" s="17"/>
      <c r="J28" s="16"/>
      <c r="K28" s="17"/>
      <c r="L28" s="17" t="n">
        <f aca="false">COUNT(E28,I28,K28)</f>
        <v>1</v>
      </c>
      <c r="M28" s="18" t="n">
        <f aca="false">(D28&lt;&gt;"")*(D28&lt;=($E$3*60+$F$3)/86400)+(H28&lt;&gt;"")*(H28&lt;=($I$3*60+$J$3)/86400)+(J28&lt;&gt;"")*(J28&lt;=($M$3*60+$N$3)/86400)</f>
        <v>1</v>
      </c>
      <c r="N28" s="20"/>
      <c r="O28" s="20"/>
      <c r="P28" s="20"/>
      <c r="Q28" s="19"/>
    </row>
    <row r="29" customFormat="false" ht="15" hidden="false" customHeight="false" outlineLevel="0" collapsed="false">
      <c r="A29" s="10" t="n">
        <v>23</v>
      </c>
      <c r="B29" s="11" t="s">
        <v>74</v>
      </c>
      <c r="C29" s="12" t="s">
        <v>37</v>
      </c>
      <c r="D29" s="13" t="n">
        <v>0.0100170138888889</v>
      </c>
      <c r="E29" s="14" t="n">
        <v>24</v>
      </c>
      <c r="F29" s="15" t="n">
        <f aca="false">IF(D29="","",ROUND((D29-MIN($D$7:$D$9999))*86400,2))</f>
        <v>75.73</v>
      </c>
      <c r="G29" s="10" t="str">
        <f aca="false">IF(D29="","",IF(D29&lt;=($E$3*60+$F$3)/86400,"○",""))</f>
        <v>○</v>
      </c>
      <c r="H29" s="16" t="n">
        <v>0.00636747685185185</v>
      </c>
      <c r="I29" s="17" t="n">
        <v>11</v>
      </c>
      <c r="J29" s="16" t="n">
        <v>0.00280856481481482</v>
      </c>
      <c r="K29" s="17" t="n">
        <v>320</v>
      </c>
      <c r="L29" s="17" t="n">
        <f aca="false">COUNT(E29,I29,K29)</f>
        <v>3</v>
      </c>
      <c r="M29" s="18" t="n">
        <f aca="false">(D29&lt;&gt;"")*(D29&lt;=($E$3*60+$F$3)/86400)+(H29&lt;&gt;"")*(H29&lt;=($I$3*60+$J$3)/86400)+(J29&lt;&gt;"")*(J29&lt;=($M$3*60+$N$3)/86400)</f>
        <v>2</v>
      </c>
      <c r="N29" s="20" t="s">
        <v>75</v>
      </c>
      <c r="O29" s="20"/>
      <c r="P29" s="20"/>
      <c r="Q29" s="19"/>
    </row>
    <row r="30" customFormat="false" ht="15" hidden="false" customHeight="false" outlineLevel="0" collapsed="false">
      <c r="A30" s="10" t="n">
        <v>24</v>
      </c>
      <c r="B30" s="11" t="s">
        <v>76</v>
      </c>
      <c r="C30" s="12" t="s">
        <v>77</v>
      </c>
      <c r="D30" s="13" t="n">
        <v>0.0100194444444444</v>
      </c>
      <c r="E30" s="14" t="n">
        <v>25</v>
      </c>
      <c r="F30" s="15" t="n">
        <f aca="false">IF(D30="","",ROUND((D30-MIN($D$7:$D$9999))*86400,2))</f>
        <v>75.94</v>
      </c>
      <c r="G30" s="10" t="str">
        <f aca="false">IF(D30="","",IF(D30&lt;=($E$3*60+$F$3)/86400,"○",""))</f>
        <v>○</v>
      </c>
      <c r="H30" s="16"/>
      <c r="I30" s="17"/>
      <c r="J30" s="16" t="n">
        <v>0.00267650462962963</v>
      </c>
      <c r="K30" s="17" t="n">
        <v>9</v>
      </c>
      <c r="L30" s="17" t="n">
        <f aca="false">COUNT(E30,I30,K30)</f>
        <v>2</v>
      </c>
      <c r="M30" s="18" t="n">
        <f aca="false">(D30&lt;&gt;"")*(D30&lt;=($E$3*60+$F$3)/86400)+(H30&lt;&gt;"")*(H30&lt;=($I$3*60+$J$3)/86400)+(J30&lt;&gt;"")*(J30&lt;=($M$3*60+$N$3)/86400)</f>
        <v>2</v>
      </c>
      <c r="N30" s="20"/>
      <c r="O30" s="20" t="s">
        <v>78</v>
      </c>
      <c r="P30" s="20"/>
      <c r="Q30" s="19"/>
    </row>
    <row r="31" customFormat="false" ht="15" hidden="false" customHeight="false" outlineLevel="0" collapsed="false">
      <c r="A31" s="10" t="n">
        <v>25</v>
      </c>
      <c r="B31" s="11" t="s">
        <v>79</v>
      </c>
      <c r="C31" s="12" t="s">
        <v>80</v>
      </c>
      <c r="D31" s="13" t="n">
        <v>0.010022337962963</v>
      </c>
      <c r="E31" s="14" t="n">
        <v>26</v>
      </c>
      <c r="F31" s="15" t="n">
        <f aca="false">IF(D31="","",ROUND((D31-MIN($D$7:$D$9999))*86400,2))</f>
        <v>76.19</v>
      </c>
      <c r="G31" s="10" t="str">
        <f aca="false">IF(D31="","",IF(D31&lt;=($E$3*60+$F$3)/86400,"○",""))</f>
        <v>○</v>
      </c>
      <c r="H31" s="16"/>
      <c r="I31" s="17"/>
      <c r="J31" s="16" t="n">
        <v>0.00267071759259259</v>
      </c>
      <c r="K31" s="17" t="n">
        <v>7</v>
      </c>
      <c r="L31" s="17" t="n">
        <f aca="false">COUNT(E31,I31,K31)</f>
        <v>2</v>
      </c>
      <c r="M31" s="18" t="n">
        <f aca="false">(D31&lt;&gt;"")*(D31&lt;=($E$3*60+$F$3)/86400)+(H31&lt;&gt;"")*(H31&lt;=($I$3*60+$J$3)/86400)+(J31&lt;&gt;"")*(J31&lt;=($M$3*60+$N$3)/86400)</f>
        <v>2</v>
      </c>
      <c r="N31" s="20"/>
      <c r="O31" s="20"/>
      <c r="P31" s="20"/>
      <c r="Q31" s="19"/>
    </row>
    <row r="32" customFormat="false" ht="15" hidden="false" customHeight="false" outlineLevel="0" collapsed="false">
      <c r="A32" s="10" t="n">
        <v>26</v>
      </c>
      <c r="B32" s="11" t="s">
        <v>81</v>
      </c>
      <c r="C32" s="12" t="s">
        <v>63</v>
      </c>
      <c r="D32" s="13" t="n">
        <v>0.0100325231481482</v>
      </c>
      <c r="E32" s="14" t="n">
        <v>27</v>
      </c>
      <c r="F32" s="15" t="n">
        <f aca="false">IF(D32="","",ROUND((D32-MIN($D$7:$D$9999))*86400,2))</f>
        <v>77.07</v>
      </c>
      <c r="G32" s="10" t="str">
        <f aca="false">IF(D32="","",IF(D32&lt;=($E$3*60+$F$3)/86400,"○",""))</f>
        <v>○</v>
      </c>
      <c r="H32" s="16"/>
      <c r="I32" s="17"/>
      <c r="J32" s="16"/>
      <c r="K32" s="17"/>
      <c r="L32" s="17" t="n">
        <f aca="false">COUNT(E32,I32,K32)</f>
        <v>1</v>
      </c>
      <c r="M32" s="18" t="n">
        <f aca="false">(D32&lt;&gt;"")*(D32&lt;=($E$3*60+$F$3)/86400)+(H32&lt;&gt;"")*(H32&lt;=($I$3*60+$J$3)/86400)+(J32&lt;&gt;"")*(J32&lt;=($M$3*60+$N$3)/86400)</f>
        <v>1</v>
      </c>
      <c r="N32" s="20"/>
      <c r="O32" s="20"/>
      <c r="P32" s="20"/>
      <c r="Q32" s="19"/>
    </row>
    <row r="33" customFormat="false" ht="15" hidden="false" customHeight="false" outlineLevel="0" collapsed="false">
      <c r="A33" s="10" t="n">
        <v>27</v>
      </c>
      <c r="B33" s="11" t="s">
        <v>82</v>
      </c>
      <c r="C33" s="12" t="s">
        <v>83</v>
      </c>
      <c r="D33" s="13" t="n">
        <v>0.0100331018518519</v>
      </c>
      <c r="E33" s="14" t="n">
        <v>28</v>
      </c>
      <c r="F33" s="15" t="n">
        <f aca="false">IF(D33="","",ROUND((D33-MIN($D$7:$D$9999))*86400,2))</f>
        <v>77.12</v>
      </c>
      <c r="G33" s="10" t="str">
        <f aca="false">IF(D33="","",IF(D33&lt;=($E$3*60+$F$3)/86400,"○",""))</f>
        <v>○</v>
      </c>
      <c r="H33" s="16"/>
      <c r="I33" s="17"/>
      <c r="J33" s="16" t="n">
        <v>0.00271909722222222</v>
      </c>
      <c r="K33" s="17" t="n">
        <v>48</v>
      </c>
      <c r="L33" s="17" t="n">
        <f aca="false">COUNT(E33,I33,K33)</f>
        <v>2</v>
      </c>
      <c r="M33" s="18" t="n">
        <f aca="false">(D33&lt;&gt;"")*(D33&lt;=($E$3*60+$F$3)/86400)+(H33&lt;&gt;"")*(H33&lt;=($I$3*60+$J$3)/86400)+(J33&lt;&gt;"")*(J33&lt;=($M$3*60+$N$3)/86400)</f>
        <v>2</v>
      </c>
      <c r="N33" s="20"/>
      <c r="O33" s="20"/>
      <c r="P33" s="20"/>
      <c r="Q33" s="19"/>
    </row>
    <row r="34" customFormat="false" ht="15" hidden="false" customHeight="false" outlineLevel="0" collapsed="false">
      <c r="A34" s="10" t="n">
        <v>28</v>
      </c>
      <c r="B34" s="11" t="s">
        <v>84</v>
      </c>
      <c r="C34" s="12" t="s">
        <v>77</v>
      </c>
      <c r="D34" s="13" t="n">
        <v>0.0100400462962963</v>
      </c>
      <c r="E34" s="14" t="n">
        <v>29</v>
      </c>
      <c r="F34" s="15" t="n">
        <f aca="false">IF(D34="","",ROUND((D34-MIN($D$7:$D$9999))*86400,2))</f>
        <v>77.72</v>
      </c>
      <c r="G34" s="10" t="str">
        <f aca="false">IF(D34="","",IF(D34&lt;=($E$3*60+$F$3)/86400,"○",""))</f>
        <v>○</v>
      </c>
      <c r="H34" s="16" t="n">
        <v>0.00702037037037037</v>
      </c>
      <c r="I34" s="17" t="n">
        <v>355</v>
      </c>
      <c r="J34" s="16" t="n">
        <v>0.00270590277777778</v>
      </c>
      <c r="K34" s="17" t="n">
        <v>29</v>
      </c>
      <c r="L34" s="17" t="n">
        <f aca="false">COUNT(E34,I34,K34)</f>
        <v>3</v>
      </c>
      <c r="M34" s="18" t="n">
        <f aca="false">(D34&lt;&gt;"")*(D34&lt;=($E$3*60+$F$3)/86400)+(H34&lt;&gt;"")*(H34&lt;=($I$3*60+$J$3)/86400)+(J34&lt;&gt;"")*(J34&lt;=($M$3*60+$N$3)/86400)</f>
        <v>2</v>
      </c>
      <c r="N34" s="20"/>
      <c r="O34" s="20" t="s">
        <v>85</v>
      </c>
      <c r="P34" s="20"/>
      <c r="Q34" s="19"/>
    </row>
    <row r="35" customFormat="false" ht="15" hidden="false" customHeight="false" outlineLevel="0" collapsed="false">
      <c r="A35" s="10" t="n">
        <v>29</v>
      </c>
      <c r="B35" s="11" t="s">
        <v>86</v>
      </c>
      <c r="C35" s="12" t="s">
        <v>87</v>
      </c>
      <c r="D35" s="13" t="n">
        <v>0.010040162037037</v>
      </c>
      <c r="E35" s="14" t="n">
        <v>30</v>
      </c>
      <c r="F35" s="15" t="n">
        <f aca="false">IF(D35="","",ROUND((D35-MIN($D$7:$D$9999))*86400,2))</f>
        <v>77.73</v>
      </c>
      <c r="G35" s="10" t="str">
        <f aca="false">IF(D35="","",IF(D35&lt;=($E$3*60+$F$3)/86400,"○",""))</f>
        <v>○</v>
      </c>
      <c r="H35" s="16"/>
      <c r="I35" s="17"/>
      <c r="J35" s="16" t="n">
        <v>0.00284363425925926</v>
      </c>
      <c r="K35" s="17" t="n">
        <v>520</v>
      </c>
      <c r="L35" s="17" t="n">
        <f aca="false">COUNT(E35,I35,K35)</f>
        <v>2</v>
      </c>
      <c r="M35" s="18" t="n">
        <f aca="false">(D35&lt;&gt;"")*(D35&lt;=($E$3*60+$F$3)/86400)+(H35&lt;&gt;"")*(H35&lt;=($I$3*60+$J$3)/86400)+(J35&lt;&gt;"")*(J35&lt;=($M$3*60+$N$3)/86400)</f>
        <v>1</v>
      </c>
      <c r="N35" s="20"/>
      <c r="O35" s="20"/>
      <c r="P35" s="20"/>
      <c r="Q35" s="19"/>
    </row>
    <row r="36" customFormat="false" ht="15" hidden="false" customHeight="false" outlineLevel="0" collapsed="false">
      <c r="A36" s="10" t="n">
        <v>30</v>
      </c>
      <c r="B36" s="11" t="s">
        <v>88</v>
      </c>
      <c r="C36" s="12" t="s">
        <v>61</v>
      </c>
      <c r="D36" s="13" t="n">
        <v>0.0100422453703704</v>
      </c>
      <c r="E36" s="14" t="n">
        <v>31</v>
      </c>
      <c r="F36" s="15" t="n">
        <f aca="false">IF(D36="","",ROUND((D36-MIN($D$7:$D$9999))*86400,2))</f>
        <v>77.91</v>
      </c>
      <c r="G36" s="10" t="str">
        <f aca="false">IF(D36="","",IF(D36&lt;=($E$3*60+$F$3)/86400,"○",""))</f>
        <v>○</v>
      </c>
      <c r="H36" s="16"/>
      <c r="I36" s="17"/>
      <c r="J36" s="16"/>
      <c r="K36" s="17"/>
      <c r="L36" s="17" t="n">
        <f aca="false">COUNT(E36,I36,K36)</f>
        <v>1</v>
      </c>
      <c r="M36" s="18" t="n">
        <f aca="false">(D36&lt;&gt;"")*(D36&lt;=($E$3*60+$F$3)/86400)+(H36&lt;&gt;"")*(H36&lt;=($I$3*60+$J$3)/86400)+(J36&lt;&gt;"")*(J36&lt;=($M$3*60+$N$3)/86400)</f>
        <v>1</v>
      </c>
      <c r="N36" s="20"/>
      <c r="O36" s="20"/>
      <c r="P36" s="20"/>
      <c r="Q36" s="19"/>
    </row>
    <row r="37" customFormat="false" ht="15" hidden="false" customHeight="false" outlineLevel="0" collapsed="false">
      <c r="A37" s="10" t="n">
        <v>31</v>
      </c>
      <c r="B37" s="11" t="s">
        <v>89</v>
      </c>
      <c r="C37" s="12" t="s">
        <v>90</v>
      </c>
      <c r="D37" s="13" t="n">
        <v>0.0100430555555556</v>
      </c>
      <c r="E37" s="14" t="n">
        <v>32</v>
      </c>
      <c r="F37" s="15" t="n">
        <f aca="false">IF(D37="","",ROUND((D37-MIN($D$7:$D$9999))*86400,2))</f>
        <v>77.98</v>
      </c>
      <c r="G37" s="10" t="str">
        <f aca="false">IF(D37="","",IF(D37&lt;=($E$3*60+$F$3)/86400,"○",""))</f>
        <v>○</v>
      </c>
      <c r="H37" s="16"/>
      <c r="I37" s="17"/>
      <c r="J37" s="16" t="n">
        <v>0.00272511574074074</v>
      </c>
      <c r="K37" s="17" t="n">
        <v>58</v>
      </c>
      <c r="L37" s="17" t="n">
        <f aca="false">COUNT(E37,I37,K37)</f>
        <v>2</v>
      </c>
      <c r="M37" s="18" t="n">
        <f aca="false">(D37&lt;&gt;"")*(D37&lt;=($E$3*60+$F$3)/86400)+(H37&lt;&gt;"")*(H37&lt;=($I$3*60+$J$3)/86400)+(J37&lt;&gt;"")*(J37&lt;=($M$3*60+$N$3)/86400)</f>
        <v>1</v>
      </c>
      <c r="N37" s="20"/>
      <c r="O37" s="20"/>
      <c r="P37" s="20"/>
      <c r="Q37" s="19"/>
    </row>
    <row r="38" customFormat="false" ht="15" hidden="false" customHeight="false" outlineLevel="0" collapsed="false">
      <c r="A38" s="10" t="n">
        <v>32</v>
      </c>
      <c r="B38" s="11" t="s">
        <v>91</v>
      </c>
      <c r="C38" s="12" t="s">
        <v>37</v>
      </c>
      <c r="D38" s="13" t="n">
        <v>0.0100454861111111</v>
      </c>
      <c r="E38" s="14" t="n">
        <v>33</v>
      </c>
      <c r="F38" s="15" t="n">
        <f aca="false">IF(D38="","",ROUND((D38-MIN($D$7:$D$9999))*86400,2))</f>
        <v>78.19</v>
      </c>
      <c r="G38" s="10" t="str">
        <f aca="false">IF(D38="","",IF(D38&lt;=($E$3*60+$F$3)/86400,"○",""))</f>
        <v>○</v>
      </c>
      <c r="H38" s="16"/>
      <c r="I38" s="17"/>
      <c r="J38" s="16" t="n">
        <v>0.00273946759259259</v>
      </c>
      <c r="K38" s="17" t="n">
        <v>84</v>
      </c>
      <c r="L38" s="17" t="n">
        <f aca="false">COUNT(E38,I38,K38)</f>
        <v>2</v>
      </c>
      <c r="M38" s="18" t="n">
        <f aca="false">(D38&lt;&gt;"")*(D38&lt;=($E$3*60+$F$3)/86400)+(H38&lt;&gt;"")*(H38&lt;=($I$3*60+$J$3)/86400)+(J38&lt;&gt;"")*(J38&lt;=($M$3*60+$N$3)/86400)</f>
        <v>1</v>
      </c>
      <c r="N38" s="20" t="s">
        <v>92</v>
      </c>
      <c r="O38" s="20"/>
      <c r="P38" s="20"/>
      <c r="Q38" s="19"/>
    </row>
    <row r="39" customFormat="false" ht="15" hidden="false" customHeight="false" outlineLevel="0" collapsed="false">
      <c r="A39" s="10" t="n">
        <v>33</v>
      </c>
      <c r="B39" s="11" t="s">
        <v>93</v>
      </c>
      <c r="C39" s="12" t="s">
        <v>94</v>
      </c>
      <c r="D39" s="13" t="n">
        <v>0.0100482638888889</v>
      </c>
      <c r="E39" s="14" t="n">
        <v>34</v>
      </c>
      <c r="F39" s="15" t="n">
        <f aca="false">IF(D39="","",ROUND((D39-MIN($D$7:$D$9999))*86400,2))</f>
        <v>78.43</v>
      </c>
      <c r="G39" s="10" t="str">
        <f aca="false">IF(D39="","",IF(D39&lt;=($E$3*60+$F$3)/86400,"○",""))</f>
        <v>○</v>
      </c>
      <c r="H39" s="16"/>
      <c r="I39" s="17"/>
      <c r="J39" s="16"/>
      <c r="K39" s="17"/>
      <c r="L39" s="17" t="n">
        <f aca="false">COUNT(E39,I39,K39)</f>
        <v>1</v>
      </c>
      <c r="M39" s="18" t="n">
        <f aca="false">(D39&lt;&gt;"")*(D39&lt;=($E$3*60+$F$3)/86400)+(H39&lt;&gt;"")*(H39&lt;=($I$3*60+$J$3)/86400)+(J39&lt;&gt;"")*(J39&lt;=($M$3*60+$N$3)/86400)</f>
        <v>1</v>
      </c>
      <c r="N39" s="20"/>
      <c r="O39" s="20"/>
      <c r="P39" s="20"/>
      <c r="Q39" s="19"/>
    </row>
    <row r="40" customFormat="false" ht="15" hidden="false" customHeight="false" outlineLevel="0" collapsed="false">
      <c r="A40" s="10" t="n">
        <v>34</v>
      </c>
      <c r="B40" s="11" t="s">
        <v>95</v>
      </c>
      <c r="C40" s="12" t="s">
        <v>96</v>
      </c>
      <c r="D40" s="13" t="n">
        <v>0.0100494212962963</v>
      </c>
      <c r="E40" s="14" t="n">
        <v>35</v>
      </c>
      <c r="F40" s="15" t="n">
        <f aca="false">IF(D40="","",ROUND((D40-MIN($D$7:$D$9999))*86400,2))</f>
        <v>78.53</v>
      </c>
      <c r="G40" s="10" t="str">
        <f aca="false">IF(D40="","",IF(D40&lt;=($E$3*60+$F$3)/86400,"○",""))</f>
        <v>○</v>
      </c>
      <c r="H40" s="16"/>
      <c r="I40" s="17"/>
      <c r="J40" s="16" t="n">
        <v>0.00274490740740741</v>
      </c>
      <c r="K40" s="17" t="n">
        <v>90</v>
      </c>
      <c r="L40" s="17" t="n">
        <f aca="false">COUNT(E40,I40,K40)</f>
        <v>2</v>
      </c>
      <c r="M40" s="18" t="n">
        <f aca="false">(D40&lt;&gt;"")*(D40&lt;=($E$3*60+$F$3)/86400)+(H40&lt;&gt;"")*(H40&lt;=($I$3*60+$J$3)/86400)+(J40&lt;&gt;"")*(J40&lt;=($M$3*60+$N$3)/86400)</f>
        <v>1</v>
      </c>
      <c r="N40" s="20" t="s">
        <v>97</v>
      </c>
      <c r="O40" s="20"/>
      <c r="P40" s="20"/>
      <c r="Q40" s="19"/>
    </row>
    <row r="41" customFormat="false" ht="15" hidden="false" customHeight="false" outlineLevel="0" collapsed="false">
      <c r="A41" s="10" t="n">
        <v>35</v>
      </c>
      <c r="B41" s="11" t="s">
        <v>98</v>
      </c>
      <c r="C41" s="12" t="s">
        <v>99</v>
      </c>
      <c r="D41" s="13" t="n">
        <v>0.0100496527777778</v>
      </c>
      <c r="E41" s="14" t="n">
        <v>36</v>
      </c>
      <c r="F41" s="15" t="n">
        <f aca="false">IF(D41="","",ROUND((D41-MIN($D$7:$D$9999))*86400,2))</f>
        <v>78.55</v>
      </c>
      <c r="G41" s="10" t="str">
        <f aca="false">IF(D41="","",IF(D41&lt;=($E$3*60+$F$3)/86400,"○",""))</f>
        <v>○</v>
      </c>
      <c r="H41" s="16"/>
      <c r="I41" s="17"/>
      <c r="J41" s="16" t="n">
        <v>0.00277361111111111</v>
      </c>
      <c r="K41" s="17" t="n">
        <v>171</v>
      </c>
      <c r="L41" s="17" t="n">
        <f aca="false">COUNT(E41,I41,K41)</f>
        <v>2</v>
      </c>
      <c r="M41" s="18" t="n">
        <f aca="false">(D41&lt;&gt;"")*(D41&lt;=($E$3*60+$F$3)/86400)+(H41&lt;&gt;"")*(H41&lt;=($I$3*60+$J$3)/86400)+(J41&lt;&gt;"")*(J41&lt;=($M$3*60+$N$3)/86400)</f>
        <v>1</v>
      </c>
      <c r="N41" s="20"/>
      <c r="O41" s="20"/>
      <c r="P41" s="20"/>
      <c r="Q41" s="19"/>
    </row>
    <row r="42" customFormat="false" ht="15" hidden="false" customHeight="false" outlineLevel="0" collapsed="false">
      <c r="A42" s="10" t="n">
        <v>36</v>
      </c>
      <c r="B42" s="11" t="s">
        <v>100</v>
      </c>
      <c r="C42" s="12" t="s">
        <v>101</v>
      </c>
      <c r="D42" s="13" t="n">
        <v>0.0100549768518519</v>
      </c>
      <c r="E42" s="14" t="n">
        <v>37</v>
      </c>
      <c r="F42" s="15" t="n">
        <f aca="false">IF(D42="","",ROUND((D42-MIN($D$7:$D$9999))*86400,2))</f>
        <v>79.01</v>
      </c>
      <c r="G42" s="10" t="str">
        <f aca="false">IF(D42="","",IF(D42&lt;=($E$3*60+$F$3)/86400,"○",""))</f>
        <v>○</v>
      </c>
      <c r="H42" s="16"/>
      <c r="I42" s="17"/>
      <c r="J42" s="16" t="n">
        <v>0.00277592592592593</v>
      </c>
      <c r="K42" s="17" t="n">
        <v>182</v>
      </c>
      <c r="L42" s="17" t="n">
        <f aca="false">COUNT(E42,I42,K42)</f>
        <v>2</v>
      </c>
      <c r="M42" s="18" t="n">
        <f aca="false">(D42&lt;&gt;"")*(D42&lt;=($E$3*60+$F$3)/86400)+(H42&lt;&gt;"")*(H42&lt;=($I$3*60+$J$3)/86400)+(J42&lt;&gt;"")*(J42&lt;=($M$3*60+$N$3)/86400)</f>
        <v>1</v>
      </c>
      <c r="N42" s="20"/>
      <c r="O42" s="20"/>
      <c r="P42" s="20"/>
      <c r="Q42" s="19"/>
    </row>
    <row r="43" customFormat="false" ht="15" hidden="false" customHeight="false" outlineLevel="0" collapsed="false">
      <c r="A43" s="10" t="n">
        <v>37</v>
      </c>
      <c r="B43" s="11" t="s">
        <v>102</v>
      </c>
      <c r="C43" s="12" t="s">
        <v>103</v>
      </c>
      <c r="D43" s="13" t="n">
        <v>0.0100549768518519</v>
      </c>
      <c r="E43" s="14" t="n">
        <v>38</v>
      </c>
      <c r="F43" s="15" t="n">
        <f aca="false">IF(D43="","",ROUND((D43-MIN($D$7:$D$9999))*86400,2))</f>
        <v>79.01</v>
      </c>
      <c r="G43" s="10" t="str">
        <f aca="false">IF(D43="","",IF(D43&lt;=($E$3*60+$F$3)/86400,"○",""))</f>
        <v>○</v>
      </c>
      <c r="H43" s="16"/>
      <c r="I43" s="17"/>
      <c r="J43" s="16" t="n">
        <v>0.00271759259259259</v>
      </c>
      <c r="K43" s="17" t="n">
        <v>46</v>
      </c>
      <c r="L43" s="17" t="n">
        <f aca="false">COUNT(E43,I43,K43)</f>
        <v>2</v>
      </c>
      <c r="M43" s="18" t="n">
        <f aca="false">(D43&lt;&gt;"")*(D43&lt;=($E$3*60+$F$3)/86400)+(H43&lt;&gt;"")*(H43&lt;=($I$3*60+$J$3)/86400)+(J43&lt;&gt;"")*(J43&lt;=($M$3*60+$N$3)/86400)</f>
        <v>2</v>
      </c>
      <c r="N43" s="20"/>
      <c r="O43" s="20"/>
      <c r="P43" s="20"/>
      <c r="Q43" s="19"/>
    </row>
    <row r="44" customFormat="false" ht="15" hidden="false" customHeight="false" outlineLevel="0" collapsed="false">
      <c r="A44" s="10" t="n">
        <v>38</v>
      </c>
      <c r="B44" s="11" t="s">
        <v>104</v>
      </c>
      <c r="C44" s="12" t="s">
        <v>25</v>
      </c>
      <c r="D44" s="13" t="n">
        <v>0.010055787037037</v>
      </c>
      <c r="E44" s="14" t="n">
        <v>39</v>
      </c>
      <c r="F44" s="15" t="n">
        <f aca="false">IF(D44="","",ROUND((D44-MIN($D$7:$D$9999))*86400,2))</f>
        <v>79.08</v>
      </c>
      <c r="G44" s="10" t="str">
        <f aca="false">IF(D44="","",IF(D44&lt;=($E$3*60+$F$3)/86400,"○",""))</f>
        <v>○</v>
      </c>
      <c r="H44" s="16"/>
      <c r="I44" s="17"/>
      <c r="J44" s="16" t="n">
        <v>0.00295462962962963</v>
      </c>
      <c r="K44" s="17" t="n">
        <v>1252</v>
      </c>
      <c r="L44" s="17" t="n">
        <f aca="false">COUNT(E44,I44,K44)</f>
        <v>2</v>
      </c>
      <c r="M44" s="18" t="n">
        <f aca="false">(D44&lt;&gt;"")*(D44&lt;=($E$3*60+$F$3)/86400)+(H44&lt;&gt;"")*(H44&lt;=($I$3*60+$J$3)/86400)+(J44&lt;&gt;"")*(J44&lt;=($M$3*60+$N$3)/86400)</f>
        <v>1</v>
      </c>
      <c r="N44" s="20"/>
      <c r="O44" s="20"/>
      <c r="P44" s="20"/>
      <c r="Q44" s="19"/>
    </row>
    <row r="45" customFormat="false" ht="15" hidden="false" customHeight="false" outlineLevel="0" collapsed="false">
      <c r="A45" s="10" t="n">
        <v>39</v>
      </c>
      <c r="B45" s="11" t="s">
        <v>105</v>
      </c>
      <c r="C45" s="12" t="s">
        <v>63</v>
      </c>
      <c r="D45" s="13" t="n">
        <v>0.0100653935185185</v>
      </c>
      <c r="E45" s="14" t="n">
        <v>40</v>
      </c>
      <c r="F45" s="15" t="n">
        <f aca="false">IF(D45="","",ROUND((D45-MIN($D$7:$D$9999))*86400,2))</f>
        <v>79.91</v>
      </c>
      <c r="G45" s="10" t="str">
        <f aca="false">IF(D45="","",IF(D45&lt;=($E$3*60+$F$3)/86400,"○",""))</f>
        <v>○</v>
      </c>
      <c r="H45" s="16"/>
      <c r="I45" s="17"/>
      <c r="J45" s="16"/>
      <c r="K45" s="17"/>
      <c r="L45" s="17" t="n">
        <f aca="false">COUNT(E45,I45,K45)</f>
        <v>1</v>
      </c>
      <c r="M45" s="18" t="n">
        <f aca="false">(D45&lt;&gt;"")*(D45&lt;=($E$3*60+$F$3)/86400)+(H45&lt;&gt;"")*(H45&lt;=($I$3*60+$J$3)/86400)+(J45&lt;&gt;"")*(J45&lt;=($M$3*60+$N$3)/86400)</f>
        <v>1</v>
      </c>
      <c r="N45" s="20"/>
      <c r="O45" s="20"/>
      <c r="P45" s="20"/>
      <c r="Q45" s="19"/>
    </row>
    <row r="46" customFormat="false" ht="15" hidden="false" customHeight="false" outlineLevel="0" collapsed="false">
      <c r="A46" s="10" t="n">
        <v>40</v>
      </c>
      <c r="B46" s="11" t="s">
        <v>106</v>
      </c>
      <c r="C46" s="12" t="s">
        <v>107</v>
      </c>
      <c r="D46" s="13" t="n">
        <v>0.0100755787037037</v>
      </c>
      <c r="E46" s="14" t="n">
        <v>41</v>
      </c>
      <c r="F46" s="15" t="n">
        <f aca="false">IF(D46="","",ROUND((D46-MIN($D$7:$D$9999))*86400,2))</f>
        <v>80.79</v>
      </c>
      <c r="G46" s="10" t="str">
        <f aca="false">IF(D46="","",IF(D46&lt;=($E$3*60+$F$3)/86400,"○",""))</f>
        <v/>
      </c>
      <c r="H46" s="16"/>
      <c r="I46" s="17"/>
      <c r="J46" s="16" t="n">
        <v>0.00276655092592593</v>
      </c>
      <c r="K46" s="17" t="n">
        <v>153</v>
      </c>
      <c r="L46" s="17" t="n">
        <f aca="false">COUNT(E46,I46,K46)</f>
        <v>2</v>
      </c>
      <c r="M46" s="18" t="n">
        <f aca="false">(D46&lt;&gt;"")*(D46&lt;=($E$3*60+$F$3)/86400)+(H46&lt;&gt;"")*(H46&lt;=($I$3*60+$J$3)/86400)+(J46&lt;&gt;"")*(J46&lt;=($M$3*60+$N$3)/86400)</f>
        <v>0</v>
      </c>
      <c r="N46" s="20"/>
      <c r="O46" s="20" t="s">
        <v>108</v>
      </c>
      <c r="P46" s="20"/>
      <c r="Q46" s="19"/>
    </row>
    <row r="47" customFormat="false" ht="15" hidden="false" customHeight="false" outlineLevel="0" collapsed="false">
      <c r="A47" s="10" t="n">
        <v>41</v>
      </c>
      <c r="B47" s="11" t="s">
        <v>109</v>
      </c>
      <c r="C47" s="12" t="s">
        <v>37</v>
      </c>
      <c r="D47" s="13" t="n">
        <v>0.0100759259259259</v>
      </c>
      <c r="E47" s="14" t="n">
        <v>42</v>
      </c>
      <c r="F47" s="15" t="n">
        <f aca="false">IF(D47="","",ROUND((D47-MIN($D$7:$D$9999))*86400,2))</f>
        <v>80.82</v>
      </c>
      <c r="G47" s="10" t="str">
        <f aca="false">IF(D47="","",IF(D47&lt;=($E$3*60+$F$3)/86400,"○",""))</f>
        <v/>
      </c>
      <c r="H47" s="16"/>
      <c r="I47" s="17"/>
      <c r="J47" s="16" t="n">
        <v>0.00279201388888889</v>
      </c>
      <c r="K47" s="17" t="n">
        <v>249</v>
      </c>
      <c r="L47" s="17" t="n">
        <f aca="false">COUNT(E47,I47,K47)</f>
        <v>2</v>
      </c>
      <c r="M47" s="18" t="n">
        <f aca="false">(D47&lt;&gt;"")*(D47&lt;=($E$3*60+$F$3)/86400)+(H47&lt;&gt;"")*(H47&lt;=($I$3*60+$J$3)/86400)+(J47&lt;&gt;"")*(J47&lt;=($M$3*60+$N$3)/86400)</f>
        <v>0</v>
      </c>
      <c r="N47" s="20" t="s">
        <v>110</v>
      </c>
      <c r="O47" s="20"/>
      <c r="P47" s="20"/>
      <c r="Q47" s="19"/>
    </row>
    <row r="48" customFormat="false" ht="15" hidden="false" customHeight="false" outlineLevel="0" collapsed="false">
      <c r="A48" s="10" t="n">
        <v>42</v>
      </c>
      <c r="B48" s="11" t="s">
        <v>111</v>
      </c>
      <c r="C48" s="12" t="s">
        <v>25</v>
      </c>
      <c r="D48" s="13" t="n">
        <v>0.0100761574074074</v>
      </c>
      <c r="E48" s="14" t="n">
        <v>43</v>
      </c>
      <c r="F48" s="15" t="n">
        <f aca="false">IF(D48="","",ROUND((D48-MIN($D$7:$D$9999))*86400,2))</f>
        <v>80.84</v>
      </c>
      <c r="G48" s="10" t="str">
        <f aca="false">IF(D48="","",IF(D48&lt;=($E$3*60+$F$3)/86400,"○",""))</f>
        <v/>
      </c>
      <c r="H48" s="16"/>
      <c r="I48" s="17"/>
      <c r="J48" s="16" t="n">
        <v>0.00275925925925926</v>
      </c>
      <c r="K48" s="17" t="n">
        <v>133</v>
      </c>
      <c r="L48" s="17" t="n">
        <f aca="false">COUNT(E48,I48,K48)</f>
        <v>2</v>
      </c>
      <c r="M48" s="18" t="n">
        <f aca="false">(D48&lt;&gt;"")*(D48&lt;=($E$3*60+$F$3)/86400)+(H48&lt;&gt;"")*(H48&lt;=($I$3*60+$J$3)/86400)+(J48&lt;&gt;"")*(J48&lt;=($M$3*60+$N$3)/86400)</f>
        <v>0</v>
      </c>
      <c r="N48" s="20"/>
      <c r="O48" s="20"/>
      <c r="P48" s="20"/>
      <c r="Q48" s="19"/>
    </row>
    <row r="49" customFormat="false" ht="15" hidden="false" customHeight="false" outlineLevel="0" collapsed="false">
      <c r="A49" s="10" t="n">
        <v>43</v>
      </c>
      <c r="B49" s="11" t="s">
        <v>112</v>
      </c>
      <c r="C49" s="12" t="s">
        <v>96</v>
      </c>
      <c r="D49" s="13" t="n">
        <v>0.010080787037037</v>
      </c>
      <c r="E49" s="14" t="n">
        <v>44</v>
      </c>
      <c r="F49" s="15" t="n">
        <f aca="false">IF(D49="","",ROUND((D49-MIN($D$7:$D$9999))*86400,2))</f>
        <v>81.24</v>
      </c>
      <c r="G49" s="10" t="str">
        <f aca="false">IF(D49="","",IF(D49&lt;=($E$3*60+$F$3)/86400,"○",""))</f>
        <v/>
      </c>
      <c r="H49" s="16"/>
      <c r="I49" s="17"/>
      <c r="J49" s="16" t="n">
        <v>0.00285601851851852</v>
      </c>
      <c r="K49" s="17" t="n">
        <v>608</v>
      </c>
      <c r="L49" s="17" t="n">
        <f aca="false">COUNT(E49,I49,K49)</f>
        <v>2</v>
      </c>
      <c r="M49" s="18" t="n">
        <f aca="false">(D49&lt;&gt;"")*(D49&lt;=($E$3*60+$F$3)/86400)+(H49&lt;&gt;"")*(H49&lt;=($I$3*60+$J$3)/86400)+(J49&lt;&gt;"")*(J49&lt;=($M$3*60+$N$3)/86400)</f>
        <v>0</v>
      </c>
      <c r="N49" s="20" t="s">
        <v>113</v>
      </c>
      <c r="O49" s="20"/>
      <c r="P49" s="20"/>
      <c r="Q49" s="19"/>
    </row>
    <row r="50" customFormat="false" ht="15" hidden="false" customHeight="false" outlineLevel="0" collapsed="false">
      <c r="A50" s="10" t="n">
        <v>44</v>
      </c>
      <c r="B50" s="11" t="s">
        <v>114</v>
      </c>
      <c r="C50" s="12" t="s">
        <v>115</v>
      </c>
      <c r="D50" s="13" t="n">
        <v>0.0100890046296296</v>
      </c>
      <c r="E50" s="14" t="n">
        <v>45</v>
      </c>
      <c r="F50" s="15" t="n">
        <f aca="false">IF(D50="","",ROUND((D50-MIN($D$7:$D$9999))*86400,2))</f>
        <v>81.95</v>
      </c>
      <c r="G50" s="10" t="str">
        <f aca="false">IF(D50="","",IF(D50&lt;=($E$3*60+$F$3)/86400,"○",""))</f>
        <v/>
      </c>
      <c r="H50" s="16"/>
      <c r="I50" s="17"/>
      <c r="J50" s="16" t="n">
        <v>0.00272962962962963</v>
      </c>
      <c r="K50" s="17" t="n">
        <v>65</v>
      </c>
      <c r="L50" s="17" t="n">
        <f aca="false">COUNT(E50,I50,K50)</f>
        <v>2</v>
      </c>
      <c r="M50" s="18" t="n">
        <f aca="false">(D50&lt;&gt;"")*(D50&lt;=($E$3*60+$F$3)/86400)+(H50&lt;&gt;"")*(H50&lt;=($I$3*60+$J$3)/86400)+(J50&lt;&gt;"")*(J50&lt;=($M$3*60+$N$3)/86400)</f>
        <v>0</v>
      </c>
      <c r="N50" s="20"/>
      <c r="O50" s="20"/>
      <c r="P50" s="20"/>
      <c r="Q50" s="19"/>
    </row>
    <row r="51" customFormat="false" ht="15" hidden="false" customHeight="false" outlineLevel="0" collapsed="false">
      <c r="A51" s="10" t="n">
        <v>45</v>
      </c>
      <c r="B51" s="11" t="s">
        <v>116</v>
      </c>
      <c r="C51" s="12" t="s">
        <v>51</v>
      </c>
      <c r="D51" s="13" t="n">
        <v>0.0100895833333333</v>
      </c>
      <c r="E51" s="14" t="n">
        <v>46</v>
      </c>
      <c r="F51" s="15" t="n">
        <f aca="false">IF(D51="","",ROUND((D51-MIN($D$7:$D$9999))*86400,2))</f>
        <v>82</v>
      </c>
      <c r="G51" s="10" t="str">
        <f aca="false">IF(D51="","",IF(D51&lt;=($E$3*60+$F$3)/86400,"○",""))</f>
        <v/>
      </c>
      <c r="H51" s="16"/>
      <c r="I51" s="17"/>
      <c r="J51" s="16" t="n">
        <v>0.00271238425925926</v>
      </c>
      <c r="K51" s="17" t="n">
        <v>38</v>
      </c>
      <c r="L51" s="17" t="n">
        <f aca="false">COUNT(E51,I51,K51)</f>
        <v>2</v>
      </c>
      <c r="M51" s="18" t="n">
        <f aca="false">(D51&lt;&gt;"")*(D51&lt;=($E$3*60+$F$3)/86400)+(H51&lt;&gt;"")*(H51&lt;=($I$3*60+$J$3)/86400)+(J51&lt;&gt;"")*(J51&lt;=($M$3*60+$N$3)/86400)</f>
        <v>1</v>
      </c>
      <c r="N51" s="20"/>
      <c r="O51" s="20" t="s">
        <v>117</v>
      </c>
      <c r="P51" s="20"/>
      <c r="Q51" s="19"/>
    </row>
    <row r="52" customFormat="false" ht="15" hidden="false" customHeight="false" outlineLevel="0" collapsed="false">
      <c r="A52" s="10" t="n">
        <v>46</v>
      </c>
      <c r="B52" s="11" t="s">
        <v>118</v>
      </c>
      <c r="C52" s="12" t="s">
        <v>32</v>
      </c>
      <c r="D52" s="13" t="n">
        <v>0.0100917824074074</v>
      </c>
      <c r="E52" s="14" t="n">
        <v>47</v>
      </c>
      <c r="F52" s="15" t="n">
        <f aca="false">IF(D52="","",ROUND((D52-MIN($D$7:$D$9999))*86400,2))</f>
        <v>82.19</v>
      </c>
      <c r="G52" s="10" t="str">
        <f aca="false">IF(D52="","",IF(D52&lt;=($E$3*60+$F$3)/86400,"○",""))</f>
        <v/>
      </c>
      <c r="H52" s="16"/>
      <c r="I52" s="17"/>
      <c r="J52" s="16" t="n">
        <v>0.00271898148148148</v>
      </c>
      <c r="K52" s="17" t="n">
        <v>47</v>
      </c>
      <c r="L52" s="17" t="n">
        <f aca="false">COUNT(E52,I52,K52)</f>
        <v>2</v>
      </c>
      <c r="M52" s="18" t="n">
        <f aca="false">(D52&lt;&gt;"")*(D52&lt;=($E$3*60+$F$3)/86400)+(H52&lt;&gt;"")*(H52&lt;=($I$3*60+$J$3)/86400)+(J52&lt;&gt;"")*(J52&lt;=($M$3*60+$N$3)/86400)</f>
        <v>1</v>
      </c>
      <c r="N52" s="20"/>
      <c r="O52" s="20"/>
      <c r="P52" s="20"/>
      <c r="Q52" s="19"/>
    </row>
    <row r="53" customFormat="false" ht="15" hidden="false" customHeight="false" outlineLevel="0" collapsed="false">
      <c r="A53" s="10" t="n">
        <v>47</v>
      </c>
      <c r="B53" s="11" t="s">
        <v>119</v>
      </c>
      <c r="C53" s="12" t="s">
        <v>120</v>
      </c>
      <c r="D53" s="13" t="n">
        <v>0.0100947916666667</v>
      </c>
      <c r="E53" s="14" t="n">
        <v>48</v>
      </c>
      <c r="F53" s="15" t="n">
        <f aca="false">IF(D53="","",ROUND((D53-MIN($D$7:$D$9999))*86400,2))</f>
        <v>82.45</v>
      </c>
      <c r="G53" s="10" t="str">
        <f aca="false">IF(D53="","",IF(D53&lt;=($E$3*60+$F$3)/86400,"○",""))</f>
        <v/>
      </c>
      <c r="H53" s="16"/>
      <c r="I53" s="17"/>
      <c r="J53" s="16" t="n">
        <v>0.00276203703703704</v>
      </c>
      <c r="K53" s="17" t="n">
        <v>139</v>
      </c>
      <c r="L53" s="17" t="n">
        <f aca="false">COUNT(E53,I53,K53)</f>
        <v>2</v>
      </c>
      <c r="M53" s="18" t="n">
        <f aca="false">(D53&lt;&gt;"")*(D53&lt;=($E$3*60+$F$3)/86400)+(H53&lt;&gt;"")*(H53&lt;=($I$3*60+$J$3)/86400)+(J53&lt;&gt;"")*(J53&lt;=($M$3*60+$N$3)/86400)</f>
        <v>0</v>
      </c>
      <c r="N53" s="20" t="s">
        <v>121</v>
      </c>
      <c r="O53" s="20"/>
      <c r="P53" s="20"/>
      <c r="Q53" s="19"/>
    </row>
    <row r="54" customFormat="false" ht="15" hidden="false" customHeight="false" outlineLevel="0" collapsed="false">
      <c r="A54" s="10" t="n">
        <v>48</v>
      </c>
      <c r="B54" s="11" t="s">
        <v>122</v>
      </c>
      <c r="C54" s="12" t="s">
        <v>123</v>
      </c>
      <c r="D54" s="13" t="n">
        <v>0.0100954861111111</v>
      </c>
      <c r="E54" s="14" t="n">
        <v>49</v>
      </c>
      <c r="F54" s="15" t="n">
        <f aca="false">IF(D54="","",ROUND((D54-MIN($D$7:$D$9999))*86400,2))</f>
        <v>82.51</v>
      </c>
      <c r="G54" s="10" t="str">
        <f aca="false">IF(D54="","",IF(D54&lt;=($E$3*60+$F$3)/86400,"○",""))</f>
        <v/>
      </c>
      <c r="H54" s="16"/>
      <c r="I54" s="17"/>
      <c r="J54" s="16" t="n">
        <v>0.00272893518518519</v>
      </c>
      <c r="K54" s="17" t="n">
        <v>62</v>
      </c>
      <c r="L54" s="17" t="n">
        <f aca="false">COUNT(E54,I54,K54)</f>
        <v>2</v>
      </c>
      <c r="M54" s="18" t="n">
        <f aca="false">(D54&lt;&gt;"")*(D54&lt;=($E$3*60+$F$3)/86400)+(H54&lt;&gt;"")*(H54&lt;=($I$3*60+$J$3)/86400)+(J54&lt;&gt;"")*(J54&lt;=($M$3*60+$N$3)/86400)</f>
        <v>0</v>
      </c>
      <c r="N54" s="20"/>
      <c r="O54" s="20"/>
      <c r="P54" s="20"/>
      <c r="Q54" s="19"/>
    </row>
    <row r="55" customFormat="false" ht="15" hidden="false" customHeight="false" outlineLevel="0" collapsed="false">
      <c r="A55" s="10" t="n">
        <v>49</v>
      </c>
      <c r="B55" s="11" t="s">
        <v>124</v>
      </c>
      <c r="C55" s="12" t="s">
        <v>125</v>
      </c>
      <c r="D55" s="13" t="n">
        <v>0.0100962962962963</v>
      </c>
      <c r="E55" s="14" t="n">
        <v>50</v>
      </c>
      <c r="F55" s="15" t="n">
        <f aca="false">IF(D55="","",ROUND((D55-MIN($D$7:$D$9999))*86400,2))</f>
        <v>82.58</v>
      </c>
      <c r="G55" s="10" t="str">
        <f aca="false">IF(D55="","",IF(D55&lt;=($E$3*60+$F$3)/86400,"○",""))</f>
        <v/>
      </c>
      <c r="H55" s="16"/>
      <c r="I55" s="17"/>
      <c r="J55" s="16" t="n">
        <v>0.0026931712962963</v>
      </c>
      <c r="K55" s="17" t="n">
        <v>22</v>
      </c>
      <c r="L55" s="17" t="n">
        <f aca="false">COUNT(E55,I55,K55)</f>
        <v>2</v>
      </c>
      <c r="M55" s="18" t="n">
        <f aca="false">(D55&lt;&gt;"")*(D55&lt;=($E$3*60+$F$3)/86400)+(H55&lt;&gt;"")*(H55&lt;=($I$3*60+$J$3)/86400)+(J55&lt;&gt;"")*(J55&lt;=($M$3*60+$N$3)/86400)</f>
        <v>1</v>
      </c>
      <c r="N55" s="20"/>
      <c r="O55" s="20"/>
      <c r="P55" s="20"/>
      <c r="Q55" s="19"/>
    </row>
    <row r="56" customFormat="false" ht="15" hidden="false" customHeight="false" outlineLevel="0" collapsed="false">
      <c r="A56" s="10" t="n">
        <v>50</v>
      </c>
      <c r="B56" s="11" t="s">
        <v>126</v>
      </c>
      <c r="C56" s="12" t="s">
        <v>127</v>
      </c>
      <c r="D56" s="13" t="n">
        <v>0.0100986111111111</v>
      </c>
      <c r="E56" s="14" t="n">
        <v>51</v>
      </c>
      <c r="F56" s="15" t="n">
        <f aca="false">IF(D56="","",ROUND((D56-MIN($D$7:$D$9999))*86400,2))</f>
        <v>82.78</v>
      </c>
      <c r="G56" s="10" t="str">
        <f aca="false">IF(D56="","",IF(D56&lt;=($E$3*60+$F$3)/86400,"○",""))</f>
        <v/>
      </c>
      <c r="H56" s="16"/>
      <c r="I56" s="17"/>
      <c r="J56" s="16"/>
      <c r="K56" s="17"/>
      <c r="L56" s="17" t="n">
        <f aca="false">COUNT(E56,I56,K56)</f>
        <v>1</v>
      </c>
      <c r="M56" s="18" t="n">
        <f aca="false">(D56&lt;&gt;"")*(D56&lt;=($E$3*60+$F$3)/86400)+(H56&lt;&gt;"")*(H56&lt;=($I$3*60+$J$3)/86400)+(J56&lt;&gt;"")*(J56&lt;=($M$3*60+$N$3)/86400)</f>
        <v>0</v>
      </c>
      <c r="N56" s="20" t="s">
        <v>75</v>
      </c>
      <c r="O56" s="20"/>
      <c r="P56" s="20"/>
      <c r="Q56" s="19"/>
    </row>
    <row r="57" customFormat="false" ht="15" hidden="false" customHeight="false" outlineLevel="0" collapsed="false">
      <c r="A57" s="10" t="n">
        <v>51</v>
      </c>
      <c r="B57" s="11" t="s">
        <v>128</v>
      </c>
      <c r="C57" s="12" t="s">
        <v>129</v>
      </c>
      <c r="D57" s="13" t="n">
        <v>0.0101003472222222</v>
      </c>
      <c r="E57" s="14" t="n">
        <v>52</v>
      </c>
      <c r="F57" s="15" t="n">
        <f aca="false">IF(D57="","",ROUND((D57-MIN($D$7:$D$9999))*86400,2))</f>
        <v>82.93</v>
      </c>
      <c r="G57" s="10" t="str">
        <f aca="false">IF(D57="","",IF(D57&lt;=($E$3*60+$F$3)/86400,"○",""))</f>
        <v/>
      </c>
      <c r="H57" s="16"/>
      <c r="I57" s="17"/>
      <c r="J57" s="16" t="n">
        <v>0.00271296296296296</v>
      </c>
      <c r="K57" s="17" t="n">
        <v>39</v>
      </c>
      <c r="L57" s="17" t="n">
        <f aca="false">COUNT(E57,I57,K57)</f>
        <v>2</v>
      </c>
      <c r="M57" s="18" t="n">
        <f aca="false">(D57&lt;&gt;"")*(D57&lt;=($E$3*60+$F$3)/86400)+(H57&lt;&gt;"")*(H57&lt;=($I$3*60+$J$3)/86400)+(J57&lt;&gt;"")*(J57&lt;=($M$3*60+$N$3)/86400)</f>
        <v>1</v>
      </c>
      <c r="N57" s="20"/>
      <c r="O57" s="20" t="s">
        <v>130</v>
      </c>
      <c r="P57" s="20"/>
      <c r="Q57" s="19"/>
    </row>
    <row r="58" customFormat="false" ht="15" hidden="false" customHeight="false" outlineLevel="0" collapsed="false">
      <c r="A58" s="10" t="n">
        <v>52</v>
      </c>
      <c r="B58" s="11" t="s">
        <v>131</v>
      </c>
      <c r="C58" s="12" t="s">
        <v>67</v>
      </c>
      <c r="D58" s="13" t="n">
        <v>0.0101015046296296</v>
      </c>
      <c r="E58" s="14" t="n">
        <v>53</v>
      </c>
      <c r="F58" s="15" t="n">
        <f aca="false">IF(D58="","",ROUND((D58-MIN($D$7:$D$9999))*86400,2))</f>
        <v>83.03</v>
      </c>
      <c r="G58" s="10" t="str">
        <f aca="false">IF(D58="","",IF(D58&lt;=($E$3*60+$F$3)/86400,"○",""))</f>
        <v/>
      </c>
      <c r="H58" s="16"/>
      <c r="I58" s="17"/>
      <c r="J58" s="16" t="n">
        <v>0.00281412037037037</v>
      </c>
      <c r="K58" s="17" t="n">
        <v>340</v>
      </c>
      <c r="L58" s="17" t="n">
        <f aca="false">COUNT(E58,I58,K58)</f>
        <v>2</v>
      </c>
      <c r="M58" s="18" t="n">
        <f aca="false">(D58&lt;&gt;"")*(D58&lt;=($E$3*60+$F$3)/86400)+(H58&lt;&gt;"")*(H58&lt;=($I$3*60+$J$3)/86400)+(J58&lt;&gt;"")*(J58&lt;=($M$3*60+$N$3)/86400)</f>
        <v>0</v>
      </c>
      <c r="N58" s="20"/>
      <c r="O58" s="20"/>
      <c r="P58" s="20"/>
      <c r="Q58" s="19"/>
    </row>
    <row r="59" customFormat="false" ht="15" hidden="false" customHeight="false" outlineLevel="0" collapsed="false">
      <c r="A59" s="10" t="n">
        <v>53</v>
      </c>
      <c r="B59" s="11" t="s">
        <v>132</v>
      </c>
      <c r="C59" s="12" t="s">
        <v>127</v>
      </c>
      <c r="D59" s="13" t="n">
        <v>0.0101061342592593</v>
      </c>
      <c r="E59" s="14" t="n">
        <v>54</v>
      </c>
      <c r="F59" s="15" t="n">
        <f aca="false">IF(D59="","",ROUND((D59-MIN($D$7:$D$9999))*86400,2))</f>
        <v>83.43</v>
      </c>
      <c r="G59" s="10" t="str">
        <f aca="false">IF(D59="","",IF(D59&lt;=($E$3*60+$F$3)/86400,"○",""))</f>
        <v/>
      </c>
      <c r="H59" s="16"/>
      <c r="I59" s="17"/>
      <c r="J59" s="16" t="n">
        <v>0.00276990740740741</v>
      </c>
      <c r="K59" s="17" t="n">
        <v>161</v>
      </c>
      <c r="L59" s="17" t="n">
        <f aca="false">COUNT(E59,I59,K59)</f>
        <v>2</v>
      </c>
      <c r="M59" s="18" t="n">
        <f aca="false">(D59&lt;&gt;"")*(D59&lt;=($E$3*60+$F$3)/86400)+(H59&lt;&gt;"")*(H59&lt;=($I$3*60+$J$3)/86400)+(J59&lt;&gt;"")*(J59&lt;=($M$3*60+$N$3)/86400)</f>
        <v>0</v>
      </c>
      <c r="N59" s="20" t="s">
        <v>133</v>
      </c>
      <c r="O59" s="20"/>
      <c r="P59" s="20"/>
      <c r="Q59" s="19"/>
    </row>
    <row r="60" customFormat="false" ht="15" hidden="false" customHeight="false" outlineLevel="0" collapsed="false">
      <c r="A60" s="10" t="n">
        <v>54</v>
      </c>
      <c r="B60" s="11" t="s">
        <v>134</v>
      </c>
      <c r="C60" s="12" t="s">
        <v>135</v>
      </c>
      <c r="D60" s="13" t="n">
        <v>0.01010625</v>
      </c>
      <c r="E60" s="14" t="n">
        <v>55</v>
      </c>
      <c r="F60" s="15" t="n">
        <f aca="false">IF(D60="","",ROUND((D60-MIN($D$7:$D$9999))*86400,2))</f>
        <v>83.44</v>
      </c>
      <c r="G60" s="10" t="str">
        <f aca="false">IF(D60="","",IF(D60&lt;=($E$3*60+$F$3)/86400,"○",""))</f>
        <v/>
      </c>
      <c r="H60" s="16"/>
      <c r="I60" s="17"/>
      <c r="J60" s="16" t="n">
        <v>0.00283935185185185</v>
      </c>
      <c r="K60" s="17" t="n">
        <v>492</v>
      </c>
      <c r="L60" s="17" t="n">
        <f aca="false">COUNT(E60,I60,K60)</f>
        <v>2</v>
      </c>
      <c r="M60" s="18" t="n">
        <f aca="false">(D60&lt;&gt;"")*(D60&lt;=($E$3*60+$F$3)/86400)+(H60&lt;&gt;"")*(H60&lt;=($I$3*60+$J$3)/86400)+(J60&lt;&gt;"")*(J60&lt;=($M$3*60+$N$3)/86400)</f>
        <v>0</v>
      </c>
      <c r="N60" s="20"/>
      <c r="O60" s="20"/>
      <c r="P60" s="20"/>
      <c r="Q60" s="19"/>
    </row>
    <row r="61" customFormat="false" ht="15" hidden="false" customHeight="false" outlineLevel="0" collapsed="false">
      <c r="A61" s="10" t="n">
        <v>55</v>
      </c>
      <c r="B61" s="11" t="s">
        <v>136</v>
      </c>
      <c r="C61" s="12" t="s">
        <v>137</v>
      </c>
      <c r="D61" s="13" t="n">
        <v>0.0101087962962963</v>
      </c>
      <c r="E61" s="14" t="n">
        <v>56</v>
      </c>
      <c r="F61" s="15" t="n">
        <f aca="false">IF(D61="","",ROUND((D61-MIN($D$7:$D$9999))*86400,2))</f>
        <v>83.66</v>
      </c>
      <c r="G61" s="10" t="str">
        <f aca="false">IF(D61="","",IF(D61&lt;=($E$3*60+$F$3)/86400,"○",""))</f>
        <v/>
      </c>
      <c r="H61" s="16"/>
      <c r="I61" s="17"/>
      <c r="J61" s="16"/>
      <c r="K61" s="17"/>
      <c r="L61" s="17" t="n">
        <f aca="false">COUNT(E61,I61,K61)</f>
        <v>1</v>
      </c>
      <c r="M61" s="18" t="n">
        <f aca="false">(D61&lt;&gt;"")*(D61&lt;=($E$3*60+$F$3)/86400)+(H61&lt;&gt;"")*(H61&lt;=($I$3*60+$J$3)/86400)+(J61&lt;&gt;"")*(J61&lt;=($M$3*60+$N$3)/86400)</f>
        <v>0</v>
      </c>
      <c r="N61" s="20"/>
      <c r="O61" s="20"/>
      <c r="P61" s="20"/>
      <c r="Q61" s="19"/>
    </row>
    <row r="62" customFormat="false" ht="15" hidden="false" customHeight="false" outlineLevel="0" collapsed="false">
      <c r="A62" s="10" t="n">
        <v>56</v>
      </c>
      <c r="B62" s="11" t="s">
        <v>138</v>
      </c>
      <c r="C62" s="12" t="s">
        <v>71</v>
      </c>
      <c r="D62" s="13" t="n">
        <v>0.0101109953703704</v>
      </c>
      <c r="E62" s="14" t="n">
        <v>57</v>
      </c>
      <c r="F62" s="15" t="n">
        <f aca="false">IF(D62="","",ROUND((D62-MIN($D$7:$D$9999))*86400,2))</f>
        <v>83.85</v>
      </c>
      <c r="G62" s="10" t="str">
        <f aca="false">IF(D62="","",IF(D62&lt;=($E$3*60+$F$3)/86400,"○",""))</f>
        <v/>
      </c>
      <c r="H62" s="16"/>
      <c r="I62" s="17"/>
      <c r="J62" s="16"/>
      <c r="K62" s="17"/>
      <c r="L62" s="17" t="n">
        <f aca="false">COUNT(E62,I62,K62)</f>
        <v>1</v>
      </c>
      <c r="M62" s="18" t="n">
        <f aca="false">(D62&lt;&gt;"")*(D62&lt;=($E$3*60+$F$3)/86400)+(H62&lt;&gt;"")*(H62&lt;=($I$3*60+$J$3)/86400)+(J62&lt;&gt;"")*(J62&lt;=($M$3*60+$N$3)/86400)</f>
        <v>0</v>
      </c>
      <c r="N62" s="20"/>
      <c r="O62" s="20"/>
      <c r="P62" s="20"/>
      <c r="Q62" s="19"/>
    </row>
    <row r="63" customFormat="false" ht="15" hidden="false" customHeight="false" outlineLevel="0" collapsed="false">
      <c r="A63" s="10" t="n">
        <v>57</v>
      </c>
      <c r="B63" s="11" t="s">
        <v>139</v>
      </c>
      <c r="C63" s="12" t="s">
        <v>129</v>
      </c>
      <c r="D63" s="13" t="n">
        <v>0.0101146990740741</v>
      </c>
      <c r="E63" s="14" t="n">
        <v>58</v>
      </c>
      <c r="F63" s="15" t="n">
        <f aca="false">IF(D63="","",ROUND((D63-MIN($D$7:$D$9999))*86400,2))</f>
        <v>84.17</v>
      </c>
      <c r="G63" s="10" t="str">
        <f aca="false">IF(D63="","",IF(D63&lt;=($E$3*60+$F$3)/86400,"○",""))</f>
        <v/>
      </c>
      <c r="H63" s="16"/>
      <c r="I63" s="17"/>
      <c r="J63" s="16" t="n">
        <v>0.00268472222222222</v>
      </c>
      <c r="K63" s="17" t="n">
        <v>16</v>
      </c>
      <c r="L63" s="17" t="n">
        <f aca="false">COUNT(E63,I63,K63)</f>
        <v>2</v>
      </c>
      <c r="M63" s="18" t="n">
        <f aca="false">(D63&lt;&gt;"")*(D63&lt;=($E$3*60+$F$3)/86400)+(H63&lt;&gt;"")*(H63&lt;=($I$3*60+$J$3)/86400)+(J63&lt;&gt;"")*(J63&lt;=($M$3*60+$N$3)/86400)</f>
        <v>1</v>
      </c>
      <c r="N63" s="20"/>
      <c r="O63" s="20"/>
      <c r="P63" s="20"/>
      <c r="Q63" s="19"/>
    </row>
    <row r="64" customFormat="false" ht="15" hidden="false" customHeight="false" outlineLevel="0" collapsed="false">
      <c r="A64" s="10" t="n">
        <v>58</v>
      </c>
      <c r="B64" s="11" t="s">
        <v>140</v>
      </c>
      <c r="C64" s="12" t="s">
        <v>141</v>
      </c>
      <c r="D64" s="13" t="n">
        <v>0.010127662037037</v>
      </c>
      <c r="E64" s="14" t="n">
        <v>59</v>
      </c>
      <c r="F64" s="15" t="n">
        <f aca="false">IF(D64="","",ROUND((D64-MIN($D$7:$D$9999))*86400,2))</f>
        <v>85.29</v>
      </c>
      <c r="G64" s="10" t="str">
        <f aca="false">IF(D64="","",IF(D64&lt;=($E$3*60+$F$3)/86400,"○",""))</f>
        <v/>
      </c>
      <c r="H64" s="16"/>
      <c r="I64" s="17"/>
      <c r="J64" s="16" t="n">
        <v>0.00271319444444444</v>
      </c>
      <c r="K64" s="17" t="n">
        <v>41</v>
      </c>
      <c r="L64" s="17" t="n">
        <f aca="false">COUNT(E64,I64,K64)</f>
        <v>2</v>
      </c>
      <c r="M64" s="18" t="n">
        <f aca="false">(D64&lt;&gt;"")*(D64&lt;=($E$3*60+$F$3)/86400)+(H64&lt;&gt;"")*(H64&lt;=($I$3*60+$J$3)/86400)+(J64&lt;&gt;"")*(J64&lt;=($M$3*60+$N$3)/86400)</f>
        <v>1</v>
      </c>
      <c r="N64" s="20"/>
      <c r="O64" s="20"/>
      <c r="P64" s="20"/>
      <c r="Q64" s="19"/>
    </row>
    <row r="65" customFormat="false" ht="15" hidden="false" customHeight="false" outlineLevel="0" collapsed="false">
      <c r="A65" s="10" t="n">
        <v>59</v>
      </c>
      <c r="B65" s="11" t="s">
        <v>142</v>
      </c>
      <c r="C65" s="12" t="s">
        <v>143</v>
      </c>
      <c r="D65" s="13" t="n">
        <v>0.0101305555555556</v>
      </c>
      <c r="E65" s="14" t="n">
        <v>60</v>
      </c>
      <c r="F65" s="15" t="n">
        <f aca="false">IF(D65="","",ROUND((D65-MIN($D$7:$D$9999))*86400,2))</f>
        <v>85.54</v>
      </c>
      <c r="G65" s="10" t="str">
        <f aca="false">IF(D65="","",IF(D65&lt;=($E$3*60+$F$3)/86400,"○",""))</f>
        <v/>
      </c>
      <c r="H65" s="16"/>
      <c r="I65" s="17"/>
      <c r="J65" s="16" t="n">
        <v>0.00274467592592593</v>
      </c>
      <c r="K65" s="17" t="n">
        <v>88</v>
      </c>
      <c r="L65" s="17" t="n">
        <f aca="false">COUNT(E65,I65,K65)</f>
        <v>2</v>
      </c>
      <c r="M65" s="18" t="n">
        <f aca="false">(D65&lt;&gt;"")*(D65&lt;=($E$3*60+$F$3)/86400)+(H65&lt;&gt;"")*(H65&lt;=($I$3*60+$J$3)/86400)+(J65&lt;&gt;"")*(J65&lt;=($M$3*60+$N$3)/86400)</f>
        <v>0</v>
      </c>
      <c r="N65" s="20"/>
      <c r="O65" s="20"/>
      <c r="P65" s="20"/>
      <c r="Q65" s="19"/>
    </row>
    <row r="66" customFormat="false" ht="15" hidden="false" customHeight="false" outlineLevel="0" collapsed="false">
      <c r="A66" s="10" t="n">
        <v>60</v>
      </c>
      <c r="B66" s="11" t="s">
        <v>144</v>
      </c>
      <c r="C66" s="12" t="s">
        <v>145</v>
      </c>
      <c r="D66" s="13" t="n">
        <v>0.0101342592592593</v>
      </c>
      <c r="E66" s="14" t="n">
        <v>61</v>
      </c>
      <c r="F66" s="15" t="n">
        <f aca="false">IF(D66="","",ROUND((D66-MIN($D$7:$D$9999))*86400,2))</f>
        <v>85.86</v>
      </c>
      <c r="G66" s="10" t="str">
        <f aca="false">IF(D66="","",IF(D66&lt;=($E$3*60+$F$3)/86400,"○",""))</f>
        <v/>
      </c>
      <c r="H66" s="16"/>
      <c r="I66" s="17"/>
      <c r="J66" s="16"/>
      <c r="K66" s="17"/>
      <c r="L66" s="17" t="n">
        <f aca="false">COUNT(E66,I66,K66)</f>
        <v>1</v>
      </c>
      <c r="M66" s="18" t="n">
        <f aca="false">(D66&lt;&gt;"")*(D66&lt;=($E$3*60+$F$3)/86400)+(H66&lt;&gt;"")*(H66&lt;=($I$3*60+$J$3)/86400)+(J66&lt;&gt;"")*(J66&lt;=($M$3*60+$N$3)/86400)</f>
        <v>0</v>
      </c>
      <c r="N66" s="20"/>
      <c r="O66" s="20"/>
      <c r="P66" s="20"/>
      <c r="Q66" s="19"/>
    </row>
    <row r="67" customFormat="false" ht="15" hidden="false" customHeight="false" outlineLevel="0" collapsed="false">
      <c r="A67" s="10" t="n">
        <v>61</v>
      </c>
      <c r="B67" s="11" t="s">
        <v>146</v>
      </c>
      <c r="C67" s="12" t="s">
        <v>115</v>
      </c>
      <c r="D67" s="13" t="n">
        <v>0.0101347222222222</v>
      </c>
      <c r="E67" s="14" t="n">
        <v>62</v>
      </c>
      <c r="F67" s="15" t="n">
        <f aca="false">IF(D67="","",ROUND((D67-MIN($D$7:$D$9999))*86400,2))</f>
        <v>85.9</v>
      </c>
      <c r="G67" s="10" t="str">
        <f aca="false">IF(D67="","",IF(D67&lt;=($E$3*60+$F$3)/86400,"○",""))</f>
        <v/>
      </c>
      <c r="H67" s="16"/>
      <c r="I67" s="17"/>
      <c r="J67" s="16" t="n">
        <v>0.00273715277777778</v>
      </c>
      <c r="K67" s="17" t="n">
        <v>80</v>
      </c>
      <c r="L67" s="17" t="n">
        <f aca="false">COUNT(E67,I67,K67)</f>
        <v>2</v>
      </c>
      <c r="M67" s="18" t="n">
        <f aca="false">(D67&lt;&gt;"")*(D67&lt;=($E$3*60+$F$3)/86400)+(H67&lt;&gt;"")*(H67&lt;=($I$3*60+$J$3)/86400)+(J67&lt;&gt;"")*(J67&lt;=($M$3*60+$N$3)/86400)</f>
        <v>0</v>
      </c>
      <c r="N67" s="20"/>
      <c r="O67" s="20"/>
      <c r="P67" s="20"/>
      <c r="Q67" s="19"/>
    </row>
    <row r="68" customFormat="false" ht="15" hidden="false" customHeight="false" outlineLevel="0" collapsed="false">
      <c r="A68" s="10" t="n">
        <v>62</v>
      </c>
      <c r="B68" s="11" t="s">
        <v>147</v>
      </c>
      <c r="C68" s="12" t="s">
        <v>96</v>
      </c>
      <c r="D68" s="13" t="n">
        <v>0.0101351851851852</v>
      </c>
      <c r="E68" s="14" t="n">
        <v>63</v>
      </c>
      <c r="F68" s="15" t="n">
        <f aca="false">IF(D68="","",ROUND((D68-MIN($D$7:$D$9999))*86400,2))</f>
        <v>85.94</v>
      </c>
      <c r="G68" s="10" t="str">
        <f aca="false">IF(D68="","",IF(D68&lt;=($E$3*60+$F$3)/86400,"○",""))</f>
        <v/>
      </c>
      <c r="H68" s="16"/>
      <c r="I68" s="17"/>
      <c r="J68" s="16" t="n">
        <v>0.0028431712962963</v>
      </c>
      <c r="K68" s="17" t="n">
        <v>517</v>
      </c>
      <c r="L68" s="17" t="n">
        <f aca="false">COUNT(E68,I68,K68)</f>
        <v>2</v>
      </c>
      <c r="M68" s="18" t="n">
        <f aca="false">(D68&lt;&gt;"")*(D68&lt;=($E$3*60+$F$3)/86400)+(H68&lt;&gt;"")*(H68&lt;=($I$3*60+$J$3)/86400)+(J68&lt;&gt;"")*(J68&lt;=($M$3*60+$N$3)/86400)</f>
        <v>0</v>
      </c>
      <c r="N68" s="20" t="s">
        <v>148</v>
      </c>
      <c r="O68" s="20"/>
      <c r="P68" s="20"/>
      <c r="Q68" s="19"/>
    </row>
    <row r="69" customFormat="false" ht="15" hidden="false" customHeight="false" outlineLevel="0" collapsed="false">
      <c r="A69" s="10" t="n">
        <v>63</v>
      </c>
      <c r="B69" s="11" t="s">
        <v>149</v>
      </c>
      <c r="C69" s="12" t="s">
        <v>150</v>
      </c>
      <c r="D69" s="13" t="n">
        <v>0.0101362268518519</v>
      </c>
      <c r="E69" s="14" t="n">
        <v>64</v>
      </c>
      <c r="F69" s="15" t="n">
        <f aca="false">IF(D69="","",ROUND((D69-MIN($D$7:$D$9999))*86400,2))</f>
        <v>86.03</v>
      </c>
      <c r="G69" s="10" t="str">
        <f aca="false">IF(D69="","",IF(D69&lt;=($E$3*60+$F$3)/86400,"○",""))</f>
        <v/>
      </c>
      <c r="H69" s="16" t="n">
        <v>0.00668483796296296</v>
      </c>
      <c r="I69" s="17" t="n">
        <v>102</v>
      </c>
      <c r="J69" s="16" t="n">
        <v>0.0028724537037037</v>
      </c>
      <c r="K69" s="17" t="n">
        <v>718</v>
      </c>
      <c r="L69" s="17" t="n">
        <f aca="false">COUNT(E69,I69,K69)</f>
        <v>3</v>
      </c>
      <c r="M69" s="18" t="n">
        <f aca="false">(D69&lt;&gt;"")*(D69&lt;=($E$3*60+$F$3)/86400)+(H69&lt;&gt;"")*(H69&lt;=($I$3*60+$J$3)/86400)+(J69&lt;&gt;"")*(J69&lt;=($M$3*60+$N$3)/86400)</f>
        <v>0</v>
      </c>
      <c r="N69" s="20"/>
      <c r="O69" s="20"/>
      <c r="P69" s="20"/>
      <c r="Q69" s="19"/>
    </row>
    <row r="70" customFormat="false" ht="15" hidden="false" customHeight="false" outlineLevel="0" collapsed="false">
      <c r="A70" s="10" t="n">
        <v>64</v>
      </c>
      <c r="B70" s="11" t="s">
        <v>151</v>
      </c>
      <c r="C70" s="12" t="s">
        <v>152</v>
      </c>
      <c r="D70" s="13" t="n">
        <v>0.0101371527777778</v>
      </c>
      <c r="E70" s="14" t="n">
        <v>65</v>
      </c>
      <c r="F70" s="15" t="n">
        <f aca="false">IF(D70="","",ROUND((D70-MIN($D$7:$D$9999))*86400,2))</f>
        <v>86.11</v>
      </c>
      <c r="G70" s="10" t="str">
        <f aca="false">IF(D70="","",IF(D70&lt;=($E$3*60+$F$3)/86400,"○",""))</f>
        <v/>
      </c>
      <c r="H70" s="16"/>
      <c r="I70" s="17"/>
      <c r="J70" s="16" t="n">
        <v>0.00269143518518519</v>
      </c>
      <c r="K70" s="17" t="n">
        <v>19</v>
      </c>
      <c r="L70" s="17" t="n">
        <f aca="false">COUNT(E70,I70,K70)</f>
        <v>2</v>
      </c>
      <c r="M70" s="18" t="n">
        <f aca="false">(D70&lt;&gt;"")*(D70&lt;=($E$3*60+$F$3)/86400)+(H70&lt;&gt;"")*(H70&lt;=($I$3*60+$J$3)/86400)+(J70&lt;&gt;"")*(J70&lt;=($M$3*60+$N$3)/86400)</f>
        <v>1</v>
      </c>
      <c r="N70" s="20" t="s">
        <v>153</v>
      </c>
      <c r="O70" s="20"/>
      <c r="P70" s="20"/>
      <c r="Q70" s="19"/>
    </row>
    <row r="71" customFormat="false" ht="15" hidden="false" customHeight="false" outlineLevel="0" collapsed="false">
      <c r="A71" s="10" t="n">
        <v>65</v>
      </c>
      <c r="B71" s="11" t="s">
        <v>154</v>
      </c>
      <c r="C71" s="12" t="s">
        <v>155</v>
      </c>
      <c r="D71" s="13" t="n">
        <v>0.0101373842592593</v>
      </c>
      <c r="E71" s="14" t="n">
        <v>66</v>
      </c>
      <c r="F71" s="15" t="n">
        <f aca="false">IF(D71="","",ROUND((D71-MIN($D$7:$D$9999))*86400,2))</f>
        <v>86.13</v>
      </c>
      <c r="G71" s="10" t="str">
        <f aca="false">IF(D71="","",IF(D71&lt;=($E$3*60+$F$3)/86400,"○",""))</f>
        <v/>
      </c>
      <c r="H71" s="16"/>
      <c r="I71" s="17"/>
      <c r="J71" s="16" t="n">
        <v>0.00271736111111111</v>
      </c>
      <c r="K71" s="17" t="n">
        <v>45</v>
      </c>
      <c r="L71" s="17" t="n">
        <f aca="false">COUNT(E71,I71,K71)</f>
        <v>2</v>
      </c>
      <c r="M71" s="18" t="n">
        <f aca="false">(D71&lt;&gt;"")*(D71&lt;=($E$3*60+$F$3)/86400)+(H71&lt;&gt;"")*(H71&lt;=($I$3*60+$J$3)/86400)+(J71&lt;&gt;"")*(J71&lt;=($M$3*60+$N$3)/86400)</f>
        <v>1</v>
      </c>
      <c r="N71" s="20"/>
      <c r="O71" s="20"/>
      <c r="P71" s="20"/>
      <c r="Q71" s="19"/>
    </row>
    <row r="72" customFormat="false" ht="15" hidden="false" customHeight="false" outlineLevel="0" collapsed="false">
      <c r="A72" s="10" t="n">
        <v>66</v>
      </c>
      <c r="B72" s="11" t="s">
        <v>156</v>
      </c>
      <c r="C72" s="12" t="s">
        <v>157</v>
      </c>
      <c r="D72" s="13" t="n">
        <v>0.0101377314814815</v>
      </c>
      <c r="E72" s="14" t="n">
        <v>67</v>
      </c>
      <c r="F72" s="15" t="n">
        <f aca="false">IF(D72="","",ROUND((D72-MIN($D$7:$D$9999))*86400,2))</f>
        <v>86.16</v>
      </c>
      <c r="G72" s="10" t="str">
        <f aca="false">IF(D72="","",IF(D72&lt;=($E$3*60+$F$3)/86400,"○",""))</f>
        <v/>
      </c>
      <c r="H72" s="16" t="n">
        <v>0.00634039351851852</v>
      </c>
      <c r="I72" s="17" t="n">
        <v>7</v>
      </c>
      <c r="J72" s="16" t="n">
        <v>0.0028818287037037</v>
      </c>
      <c r="K72" s="17" t="n">
        <v>787</v>
      </c>
      <c r="L72" s="17" t="n">
        <f aca="false">COUNT(E72,I72,K72)</f>
        <v>3</v>
      </c>
      <c r="M72" s="18" t="n">
        <f aca="false">(D72&lt;&gt;"")*(D72&lt;=($E$3*60+$F$3)/86400)+(H72&lt;&gt;"")*(H72&lt;=($I$3*60+$J$3)/86400)+(J72&lt;&gt;"")*(J72&lt;=($M$3*60+$N$3)/86400)</f>
        <v>1</v>
      </c>
      <c r="N72" s="20"/>
      <c r="O72" s="20"/>
      <c r="P72" s="20"/>
      <c r="Q72" s="19"/>
    </row>
    <row r="73" customFormat="false" ht="15" hidden="false" customHeight="false" outlineLevel="0" collapsed="false">
      <c r="A73" s="10" t="n">
        <v>67</v>
      </c>
      <c r="B73" s="11" t="s">
        <v>158</v>
      </c>
      <c r="C73" s="12" t="s">
        <v>159</v>
      </c>
      <c r="D73" s="13" t="n">
        <v>0.0101380787037037</v>
      </c>
      <c r="E73" s="14" t="n">
        <v>68</v>
      </c>
      <c r="F73" s="15" t="n">
        <f aca="false">IF(D73="","",ROUND((D73-MIN($D$7:$D$9999))*86400,2))</f>
        <v>86.19</v>
      </c>
      <c r="G73" s="10" t="str">
        <f aca="false">IF(D73="","",IF(D73&lt;=($E$3*60+$F$3)/86400,"○",""))</f>
        <v/>
      </c>
      <c r="H73" s="16"/>
      <c r="I73" s="17"/>
      <c r="J73" s="16" t="n">
        <v>0.0027568287037037</v>
      </c>
      <c r="K73" s="17" t="n">
        <v>127</v>
      </c>
      <c r="L73" s="17" t="n">
        <f aca="false">COUNT(E73,I73,K73)</f>
        <v>2</v>
      </c>
      <c r="M73" s="18" t="n">
        <f aca="false">(D73&lt;&gt;"")*(D73&lt;=($E$3*60+$F$3)/86400)+(H73&lt;&gt;"")*(H73&lt;=($I$3*60+$J$3)/86400)+(J73&lt;&gt;"")*(J73&lt;=($M$3*60+$N$3)/86400)</f>
        <v>0</v>
      </c>
      <c r="N73" s="20"/>
      <c r="O73" s="20"/>
      <c r="P73" s="20"/>
      <c r="Q73" s="19"/>
    </row>
    <row r="74" customFormat="false" ht="15" hidden="false" customHeight="false" outlineLevel="0" collapsed="false">
      <c r="A74" s="10" t="n">
        <v>68</v>
      </c>
      <c r="B74" s="11" t="s">
        <v>160</v>
      </c>
      <c r="C74" s="12" t="s">
        <v>161</v>
      </c>
      <c r="D74" s="13" t="n">
        <v>0.0101414351851852</v>
      </c>
      <c r="E74" s="14" t="n">
        <v>69</v>
      </c>
      <c r="F74" s="15" t="n">
        <f aca="false">IF(D74="","",ROUND((D74-MIN($D$7:$D$9999))*86400,2))</f>
        <v>86.48</v>
      </c>
      <c r="G74" s="10" t="str">
        <f aca="false">IF(D74="","",IF(D74&lt;=($E$3*60+$F$3)/86400,"○",""))</f>
        <v/>
      </c>
      <c r="H74" s="16"/>
      <c r="I74" s="17"/>
      <c r="J74" s="16" t="n">
        <v>0.00285590277777778</v>
      </c>
      <c r="K74" s="17" t="n">
        <v>607</v>
      </c>
      <c r="L74" s="17" t="n">
        <f aca="false">COUNT(E74,I74,K74)</f>
        <v>2</v>
      </c>
      <c r="M74" s="18" t="n">
        <f aca="false">(D74&lt;&gt;"")*(D74&lt;=($E$3*60+$F$3)/86400)+(H74&lt;&gt;"")*(H74&lt;=($I$3*60+$J$3)/86400)+(J74&lt;&gt;"")*(J74&lt;=($M$3*60+$N$3)/86400)</f>
        <v>0</v>
      </c>
      <c r="N74" s="20" t="s">
        <v>162</v>
      </c>
      <c r="O74" s="20"/>
      <c r="P74" s="20"/>
      <c r="Q74" s="19"/>
    </row>
    <row r="75" customFormat="false" ht="15" hidden="false" customHeight="false" outlineLevel="0" collapsed="false">
      <c r="A75" s="10" t="n">
        <v>69</v>
      </c>
      <c r="B75" s="11" t="s">
        <v>163</v>
      </c>
      <c r="C75" s="12" t="s">
        <v>63</v>
      </c>
      <c r="D75" s="13" t="n">
        <v>0.0101446759259259</v>
      </c>
      <c r="E75" s="14" t="n">
        <v>70</v>
      </c>
      <c r="F75" s="15" t="n">
        <f aca="false">IF(D75="","",ROUND((D75-MIN($D$7:$D$9999))*86400,2))</f>
        <v>86.76</v>
      </c>
      <c r="G75" s="10" t="str">
        <f aca="false">IF(D75="","",IF(D75&lt;=($E$3*60+$F$3)/86400,"○",""))</f>
        <v/>
      </c>
      <c r="H75" s="16"/>
      <c r="I75" s="17"/>
      <c r="J75" s="16"/>
      <c r="K75" s="17"/>
      <c r="L75" s="17" t="n">
        <f aca="false">COUNT(E75,I75,K75)</f>
        <v>1</v>
      </c>
      <c r="M75" s="18" t="n">
        <f aca="false">(D75&lt;&gt;"")*(D75&lt;=($E$3*60+$F$3)/86400)+(H75&lt;&gt;"")*(H75&lt;=($I$3*60+$J$3)/86400)+(J75&lt;&gt;"")*(J75&lt;=($M$3*60+$N$3)/86400)</f>
        <v>0</v>
      </c>
      <c r="N75" s="20"/>
      <c r="O75" s="20"/>
      <c r="P75" s="20"/>
      <c r="Q75" s="19"/>
    </row>
    <row r="76" customFormat="false" ht="15" hidden="false" customHeight="false" outlineLevel="0" collapsed="false">
      <c r="A76" s="10" t="n">
        <v>70</v>
      </c>
      <c r="B76" s="11" t="s">
        <v>164</v>
      </c>
      <c r="C76" s="12" t="s">
        <v>165</v>
      </c>
      <c r="D76" s="13" t="n">
        <v>0.0101478009259259</v>
      </c>
      <c r="E76" s="14" t="n">
        <v>71</v>
      </c>
      <c r="F76" s="15" t="n">
        <f aca="false">IF(D76="","",ROUND((D76-MIN($D$7:$D$9999))*86400,2))</f>
        <v>87.03</v>
      </c>
      <c r="G76" s="10" t="str">
        <f aca="false">IF(D76="","",IF(D76&lt;=($E$3*60+$F$3)/86400,"○",""))</f>
        <v/>
      </c>
      <c r="H76" s="16" t="n">
        <v>0.00698865740740741</v>
      </c>
      <c r="I76" s="17" t="n">
        <v>323</v>
      </c>
      <c r="J76" s="16" t="n">
        <v>0.00275729166666667</v>
      </c>
      <c r="K76" s="17" t="n">
        <v>128</v>
      </c>
      <c r="L76" s="17" t="n">
        <f aca="false">COUNT(E76,I76,K76)</f>
        <v>3</v>
      </c>
      <c r="M76" s="18" t="n">
        <f aca="false">(D76&lt;&gt;"")*(D76&lt;=($E$3*60+$F$3)/86400)+(H76&lt;&gt;"")*(H76&lt;=($I$3*60+$J$3)/86400)+(J76&lt;&gt;"")*(J76&lt;=($M$3*60+$N$3)/86400)</f>
        <v>0</v>
      </c>
      <c r="N76" s="20"/>
      <c r="O76" s="20"/>
      <c r="P76" s="20"/>
      <c r="Q76" s="19"/>
    </row>
    <row r="77" customFormat="false" ht="15" hidden="false" customHeight="false" outlineLevel="0" collapsed="false">
      <c r="A77" s="10" t="n">
        <v>71</v>
      </c>
      <c r="B77" s="11" t="s">
        <v>166</v>
      </c>
      <c r="C77" s="12" t="s">
        <v>167</v>
      </c>
      <c r="D77" s="13" t="n">
        <v>0.0101538194444444</v>
      </c>
      <c r="E77" s="14" t="n">
        <v>72</v>
      </c>
      <c r="F77" s="15" t="n">
        <f aca="false">IF(D77="","",ROUND((D77-MIN($D$7:$D$9999))*86400,2))</f>
        <v>87.55</v>
      </c>
      <c r="G77" s="10" t="str">
        <f aca="false">IF(D77="","",IF(D77&lt;=($E$3*60+$F$3)/86400,"○",""))</f>
        <v/>
      </c>
      <c r="H77" s="16"/>
      <c r="I77" s="17"/>
      <c r="J77" s="16" t="n">
        <v>0.00274097222222222</v>
      </c>
      <c r="K77" s="17" t="n">
        <v>86</v>
      </c>
      <c r="L77" s="17" t="n">
        <f aca="false">COUNT(E77,I77,K77)</f>
        <v>2</v>
      </c>
      <c r="M77" s="18" t="n">
        <f aca="false">(D77&lt;&gt;"")*(D77&lt;=($E$3*60+$F$3)/86400)+(H77&lt;&gt;"")*(H77&lt;=($I$3*60+$J$3)/86400)+(J77&lt;&gt;"")*(J77&lt;=($M$3*60+$N$3)/86400)</f>
        <v>0</v>
      </c>
      <c r="N77" s="20"/>
      <c r="O77" s="20" t="s">
        <v>168</v>
      </c>
      <c r="P77" s="20"/>
      <c r="Q77" s="19"/>
    </row>
    <row r="78" customFormat="false" ht="15" hidden="false" customHeight="false" outlineLevel="0" collapsed="false">
      <c r="A78" s="10" t="n">
        <v>72</v>
      </c>
      <c r="B78" s="11" t="s">
        <v>169</v>
      </c>
      <c r="C78" s="12" t="s">
        <v>152</v>
      </c>
      <c r="D78" s="13" t="n">
        <v>0.0101539351851852</v>
      </c>
      <c r="E78" s="14" t="n">
        <v>73</v>
      </c>
      <c r="F78" s="15" t="n">
        <f aca="false">IF(D78="","",ROUND((D78-MIN($D$7:$D$9999))*86400,2))</f>
        <v>87.56</v>
      </c>
      <c r="G78" s="10" t="str">
        <f aca="false">IF(D78="","",IF(D78&lt;=($E$3*60+$F$3)/86400,"○",""))</f>
        <v/>
      </c>
      <c r="H78" s="16"/>
      <c r="I78" s="17"/>
      <c r="J78" s="16"/>
      <c r="K78" s="17"/>
      <c r="L78" s="17" t="n">
        <f aca="false">COUNT(E78,I78,K78)</f>
        <v>1</v>
      </c>
      <c r="M78" s="18" t="n">
        <f aca="false">(D78&lt;&gt;"")*(D78&lt;=($E$3*60+$F$3)/86400)+(H78&lt;&gt;"")*(H78&lt;=($I$3*60+$J$3)/86400)+(J78&lt;&gt;"")*(J78&lt;=($M$3*60+$N$3)/86400)</f>
        <v>0</v>
      </c>
      <c r="N78" s="20" t="s">
        <v>170</v>
      </c>
      <c r="O78" s="20"/>
      <c r="P78" s="20"/>
      <c r="Q78" s="19"/>
    </row>
    <row r="79" customFormat="false" ht="15" hidden="false" customHeight="false" outlineLevel="0" collapsed="false">
      <c r="A79" s="10" t="n">
        <v>73</v>
      </c>
      <c r="B79" s="11" t="s">
        <v>171</v>
      </c>
      <c r="C79" s="12" t="s">
        <v>152</v>
      </c>
      <c r="D79" s="13" t="n">
        <v>0.0101585648148148</v>
      </c>
      <c r="E79" s="14" t="n">
        <v>74</v>
      </c>
      <c r="F79" s="15" t="n">
        <f aca="false">IF(D79="","",ROUND((D79-MIN($D$7:$D$9999))*86400,2))</f>
        <v>87.96</v>
      </c>
      <c r="G79" s="10" t="str">
        <f aca="false">IF(D79="","",IF(D79&lt;=($E$3*60+$F$3)/86400,"○",""))</f>
        <v/>
      </c>
      <c r="H79" s="16" t="n">
        <v>0.00647060185185185</v>
      </c>
      <c r="I79" s="17" t="n">
        <v>29</v>
      </c>
      <c r="J79" s="16"/>
      <c r="K79" s="17"/>
      <c r="L79" s="17" t="n">
        <f aca="false">COUNT(E79,I79,K79)</f>
        <v>2</v>
      </c>
      <c r="M79" s="18" t="n">
        <f aca="false">(D79&lt;&gt;"")*(D79&lt;=($E$3*60+$F$3)/86400)+(H79&lt;&gt;"")*(H79&lt;=($I$3*60+$J$3)/86400)+(J79&lt;&gt;"")*(J79&lt;=($M$3*60+$N$3)/86400)</f>
        <v>1</v>
      </c>
      <c r="N79" s="20" t="s">
        <v>172</v>
      </c>
      <c r="O79" s="20"/>
      <c r="P79" s="20"/>
      <c r="Q79" s="19"/>
    </row>
    <row r="80" customFormat="false" ht="15" hidden="false" customHeight="false" outlineLevel="0" collapsed="false">
      <c r="A80" s="10" t="n">
        <v>74</v>
      </c>
      <c r="B80" s="11" t="s">
        <v>173</v>
      </c>
      <c r="C80" s="12" t="s">
        <v>150</v>
      </c>
      <c r="D80" s="13" t="n">
        <v>0.010158912037037</v>
      </c>
      <c r="E80" s="14" t="n">
        <v>75</v>
      </c>
      <c r="F80" s="15" t="n">
        <f aca="false">IF(D80="","",ROUND((D80-MIN($D$7:$D$9999))*86400,2))</f>
        <v>87.99</v>
      </c>
      <c r="G80" s="10" t="str">
        <f aca="false">IF(D80="","",IF(D80&lt;=($E$3*60+$F$3)/86400,"○",""))</f>
        <v/>
      </c>
      <c r="H80" s="16"/>
      <c r="I80" s="17"/>
      <c r="J80" s="16" t="n">
        <v>0.00270787037037037</v>
      </c>
      <c r="K80" s="17" t="n">
        <v>32</v>
      </c>
      <c r="L80" s="17" t="n">
        <f aca="false">COUNT(E80,I80,K80)</f>
        <v>2</v>
      </c>
      <c r="M80" s="18" t="n">
        <f aca="false">(D80&lt;&gt;"")*(D80&lt;=($E$3*60+$F$3)/86400)+(H80&lt;&gt;"")*(H80&lt;=($I$3*60+$J$3)/86400)+(J80&lt;&gt;"")*(J80&lt;=($M$3*60+$N$3)/86400)</f>
        <v>1</v>
      </c>
      <c r="N80" s="20"/>
      <c r="O80" s="20"/>
      <c r="P80" s="20"/>
      <c r="Q80" s="19"/>
    </row>
    <row r="81" customFormat="false" ht="15" hidden="false" customHeight="false" outlineLevel="0" collapsed="false">
      <c r="A81" s="10" t="n">
        <v>75</v>
      </c>
      <c r="B81" s="11" t="s">
        <v>174</v>
      </c>
      <c r="C81" s="12" t="s">
        <v>165</v>
      </c>
      <c r="D81" s="13" t="n">
        <v>0.010159837962963</v>
      </c>
      <c r="E81" s="14" t="n">
        <v>76</v>
      </c>
      <c r="F81" s="15" t="n">
        <f aca="false">IF(D81="","",ROUND((D81-MIN($D$7:$D$9999))*86400,2))</f>
        <v>88.07</v>
      </c>
      <c r="G81" s="10" t="str">
        <f aca="false">IF(D81="","",IF(D81&lt;=($E$3*60+$F$3)/86400,"○",""))</f>
        <v/>
      </c>
      <c r="H81" s="16"/>
      <c r="I81" s="17"/>
      <c r="J81" s="16" t="n">
        <v>0.00273576388888889</v>
      </c>
      <c r="K81" s="17" t="n">
        <v>75</v>
      </c>
      <c r="L81" s="17" t="n">
        <f aca="false">COUNT(E81,I81,K81)</f>
        <v>2</v>
      </c>
      <c r="M81" s="18" t="n">
        <f aca="false">(D81&lt;&gt;"")*(D81&lt;=($E$3*60+$F$3)/86400)+(H81&lt;&gt;"")*(H81&lt;=($I$3*60+$J$3)/86400)+(J81&lt;&gt;"")*(J81&lt;=($M$3*60+$N$3)/86400)</f>
        <v>0</v>
      </c>
      <c r="N81" s="20"/>
      <c r="O81" s="20"/>
      <c r="P81" s="20"/>
      <c r="Q81" s="19"/>
    </row>
    <row r="82" customFormat="false" ht="15" hidden="false" customHeight="false" outlineLevel="0" collapsed="false">
      <c r="A82" s="10" t="n">
        <v>76</v>
      </c>
      <c r="B82" s="11" t="s">
        <v>175</v>
      </c>
      <c r="C82" s="12" t="s">
        <v>25</v>
      </c>
      <c r="D82" s="13" t="n">
        <v>0.0101636574074074</v>
      </c>
      <c r="E82" s="14" t="n">
        <v>77</v>
      </c>
      <c r="F82" s="15" t="n">
        <f aca="false">IF(D82="","",ROUND((D82-MIN($D$7:$D$9999))*86400,2))</f>
        <v>88.4</v>
      </c>
      <c r="G82" s="10" t="str">
        <f aca="false">IF(D82="","",IF(D82&lt;=($E$3*60+$F$3)/86400,"○",""))</f>
        <v/>
      </c>
      <c r="H82" s="16" t="n">
        <v>0.00668576388888889</v>
      </c>
      <c r="I82" s="17" t="n">
        <v>103</v>
      </c>
      <c r="J82" s="16" t="n">
        <v>0.00296979166666667</v>
      </c>
      <c r="K82" s="17" t="n">
        <v>1310</v>
      </c>
      <c r="L82" s="17" t="n">
        <f aca="false">COUNT(E82,I82,K82)</f>
        <v>3</v>
      </c>
      <c r="M82" s="18" t="n">
        <f aca="false">(D82&lt;&gt;"")*(D82&lt;=($E$3*60+$F$3)/86400)+(H82&lt;&gt;"")*(H82&lt;=($I$3*60+$J$3)/86400)+(J82&lt;&gt;"")*(J82&lt;=($M$3*60+$N$3)/86400)</f>
        <v>0</v>
      </c>
      <c r="N82" s="20"/>
      <c r="O82" s="20"/>
      <c r="P82" s="20"/>
      <c r="Q82" s="19"/>
    </row>
    <row r="83" customFormat="false" ht="15" hidden="false" customHeight="false" outlineLevel="0" collapsed="false">
      <c r="A83" s="10" t="n">
        <v>77</v>
      </c>
      <c r="B83" s="11" t="s">
        <v>176</v>
      </c>
      <c r="C83" s="12" t="s">
        <v>37</v>
      </c>
      <c r="D83" s="13" t="n">
        <v>0.0101642361111111</v>
      </c>
      <c r="E83" s="14" t="n">
        <v>78</v>
      </c>
      <c r="F83" s="15" t="n">
        <f aca="false">IF(D83="","",ROUND((D83-MIN($D$7:$D$9999))*86400,2))</f>
        <v>88.45</v>
      </c>
      <c r="G83" s="10" t="str">
        <f aca="false">IF(D83="","",IF(D83&lt;=($E$3*60+$F$3)/86400,"○",""))</f>
        <v/>
      </c>
      <c r="H83" s="16" t="n">
        <v>0.00702662037037037</v>
      </c>
      <c r="I83" s="17" t="n">
        <v>360</v>
      </c>
      <c r="J83" s="16" t="n">
        <v>0.00284363425925926</v>
      </c>
      <c r="K83" s="17" t="n">
        <v>522</v>
      </c>
      <c r="L83" s="17" t="n">
        <f aca="false">COUNT(E83,I83,K83)</f>
        <v>3</v>
      </c>
      <c r="M83" s="18" t="n">
        <f aca="false">(D83&lt;&gt;"")*(D83&lt;=($E$3*60+$F$3)/86400)+(H83&lt;&gt;"")*(H83&lt;=($I$3*60+$J$3)/86400)+(J83&lt;&gt;"")*(J83&lt;=($M$3*60+$N$3)/86400)</f>
        <v>0</v>
      </c>
      <c r="N83" s="20" t="s">
        <v>177</v>
      </c>
      <c r="O83" s="20"/>
      <c r="P83" s="20"/>
      <c r="Q83" s="19"/>
    </row>
    <row r="84" customFormat="false" ht="15" hidden="false" customHeight="false" outlineLevel="0" collapsed="false">
      <c r="A84" s="10" t="n">
        <v>78</v>
      </c>
      <c r="B84" s="11" t="s">
        <v>178</v>
      </c>
      <c r="C84" s="12" t="s">
        <v>179</v>
      </c>
      <c r="D84" s="13" t="n">
        <v>0.0101675925925926</v>
      </c>
      <c r="E84" s="14" t="n">
        <v>79</v>
      </c>
      <c r="F84" s="15" t="n">
        <f aca="false">IF(D84="","",ROUND((D84-MIN($D$7:$D$9999))*86400,2))</f>
        <v>88.74</v>
      </c>
      <c r="G84" s="10" t="str">
        <f aca="false">IF(D84="","",IF(D84&lt;=($E$3*60+$F$3)/86400,"○",""))</f>
        <v/>
      </c>
      <c r="H84" s="16"/>
      <c r="I84" s="17"/>
      <c r="J84" s="16" t="n">
        <v>0.00288171296296296</v>
      </c>
      <c r="K84" s="17" t="n">
        <v>785</v>
      </c>
      <c r="L84" s="17" t="n">
        <f aca="false">COUNT(E84,I84,K84)</f>
        <v>2</v>
      </c>
      <c r="M84" s="18" t="n">
        <f aca="false">(D84&lt;&gt;"")*(D84&lt;=($E$3*60+$F$3)/86400)+(H84&lt;&gt;"")*(H84&lt;=($I$3*60+$J$3)/86400)+(J84&lt;&gt;"")*(J84&lt;=($M$3*60+$N$3)/86400)</f>
        <v>0</v>
      </c>
      <c r="N84" s="20" t="s">
        <v>180</v>
      </c>
      <c r="O84" s="20"/>
      <c r="P84" s="20"/>
      <c r="Q84" s="19"/>
    </row>
    <row r="85" customFormat="false" ht="15" hidden="false" customHeight="false" outlineLevel="0" collapsed="false">
      <c r="A85" s="10" t="n">
        <v>79</v>
      </c>
      <c r="B85" s="11" t="s">
        <v>181</v>
      </c>
      <c r="C85" s="12" t="s">
        <v>27</v>
      </c>
      <c r="D85" s="13" t="n">
        <v>0.0101733796296296</v>
      </c>
      <c r="E85" s="14" t="n">
        <v>80</v>
      </c>
      <c r="F85" s="15" t="n">
        <f aca="false">IF(D85="","",ROUND((D85-MIN($D$7:$D$9999))*86400,2))</f>
        <v>89.24</v>
      </c>
      <c r="G85" s="10" t="str">
        <f aca="false">IF(D85="","",IF(D85&lt;=($E$3*60+$F$3)/86400,"○",""))</f>
        <v/>
      </c>
      <c r="H85" s="16"/>
      <c r="I85" s="17"/>
      <c r="J85" s="16"/>
      <c r="K85" s="17"/>
      <c r="L85" s="17" t="n">
        <f aca="false">COUNT(E85,I85,K85)</f>
        <v>1</v>
      </c>
      <c r="M85" s="18" t="n">
        <f aca="false">(D85&lt;&gt;"")*(D85&lt;=($E$3*60+$F$3)/86400)+(H85&lt;&gt;"")*(H85&lt;=($I$3*60+$J$3)/86400)+(J85&lt;&gt;"")*(J85&lt;=($M$3*60+$N$3)/86400)</f>
        <v>0</v>
      </c>
      <c r="N85" s="20" t="s">
        <v>182</v>
      </c>
      <c r="O85" s="20"/>
      <c r="P85" s="20"/>
      <c r="Q85" s="19"/>
    </row>
    <row r="86" customFormat="false" ht="15" hidden="false" customHeight="false" outlineLevel="0" collapsed="false">
      <c r="A86" s="10" t="n">
        <v>80</v>
      </c>
      <c r="B86" s="11" t="s">
        <v>183</v>
      </c>
      <c r="C86" s="12" t="s">
        <v>129</v>
      </c>
      <c r="D86" s="13" t="n">
        <v>0.0101733796296296</v>
      </c>
      <c r="E86" s="14" t="n">
        <v>81</v>
      </c>
      <c r="F86" s="15" t="n">
        <f aca="false">IF(D86="","",ROUND((D86-MIN($D$7:$D$9999))*86400,2))</f>
        <v>89.24</v>
      </c>
      <c r="G86" s="10" t="str">
        <f aca="false">IF(D86="","",IF(D86&lt;=($E$3*60+$F$3)/86400,"○",""))</f>
        <v/>
      </c>
      <c r="H86" s="16"/>
      <c r="I86" s="17"/>
      <c r="J86" s="16" t="n">
        <v>0.00274398148148148</v>
      </c>
      <c r="K86" s="17" t="n">
        <v>87</v>
      </c>
      <c r="L86" s="17" t="n">
        <f aca="false">COUNT(E86,I86,K86)</f>
        <v>2</v>
      </c>
      <c r="M86" s="18" t="n">
        <f aca="false">(D86&lt;&gt;"")*(D86&lt;=($E$3*60+$F$3)/86400)+(H86&lt;&gt;"")*(H86&lt;=($I$3*60+$J$3)/86400)+(J86&lt;&gt;"")*(J86&lt;=($M$3*60+$N$3)/86400)</f>
        <v>0</v>
      </c>
      <c r="N86" s="20"/>
      <c r="O86" s="20" t="s">
        <v>184</v>
      </c>
      <c r="P86" s="20"/>
      <c r="Q86" s="19"/>
    </row>
    <row r="87" customFormat="false" ht="15" hidden="false" customHeight="false" outlineLevel="0" collapsed="false">
      <c r="A87" s="10" t="n">
        <v>81</v>
      </c>
      <c r="B87" s="11" t="s">
        <v>185</v>
      </c>
      <c r="C87" s="12" t="s">
        <v>186</v>
      </c>
      <c r="D87" s="13" t="n">
        <v>0.0101737268518519</v>
      </c>
      <c r="E87" s="14" t="n">
        <v>82</v>
      </c>
      <c r="F87" s="15" t="n">
        <f aca="false">IF(D87="","",ROUND((D87-MIN($D$7:$D$9999))*86400,2))</f>
        <v>89.27</v>
      </c>
      <c r="G87" s="10" t="str">
        <f aca="false">IF(D87="","",IF(D87&lt;=($E$3*60+$F$3)/86400,"○",""))</f>
        <v/>
      </c>
      <c r="H87" s="16"/>
      <c r="I87" s="17"/>
      <c r="J87" s="16" t="n">
        <v>0.00268391203703704</v>
      </c>
      <c r="K87" s="17" t="n">
        <v>15</v>
      </c>
      <c r="L87" s="17" t="n">
        <f aca="false">COUNT(E87,I87,K87)</f>
        <v>2</v>
      </c>
      <c r="M87" s="18" t="n">
        <f aca="false">(D87&lt;&gt;"")*(D87&lt;=($E$3*60+$F$3)/86400)+(H87&lt;&gt;"")*(H87&lt;=($I$3*60+$J$3)/86400)+(J87&lt;&gt;"")*(J87&lt;=($M$3*60+$N$3)/86400)</f>
        <v>1</v>
      </c>
      <c r="N87" s="20" t="s">
        <v>187</v>
      </c>
      <c r="O87" s="20"/>
      <c r="P87" s="20"/>
      <c r="Q87" s="19"/>
    </row>
    <row r="88" customFormat="false" ht="15" hidden="false" customHeight="false" outlineLevel="0" collapsed="false">
      <c r="A88" s="10" t="n">
        <v>82</v>
      </c>
      <c r="B88" s="11" t="s">
        <v>188</v>
      </c>
      <c r="C88" s="12" t="s">
        <v>150</v>
      </c>
      <c r="D88" s="13" t="n">
        <v>0.0101766203703704</v>
      </c>
      <c r="E88" s="14" t="n">
        <v>83</v>
      </c>
      <c r="F88" s="15" t="n">
        <f aca="false">IF(D88="","",ROUND((D88-MIN($D$7:$D$9999))*86400,2))</f>
        <v>89.52</v>
      </c>
      <c r="G88" s="10" t="str">
        <f aca="false">IF(D88="","",IF(D88&lt;=($E$3*60+$F$3)/86400,"○",""))</f>
        <v/>
      </c>
      <c r="H88" s="16"/>
      <c r="I88" s="17"/>
      <c r="J88" s="16" t="n">
        <v>0.00272847222222222</v>
      </c>
      <c r="K88" s="17" t="n">
        <v>60</v>
      </c>
      <c r="L88" s="17" t="n">
        <f aca="false">COUNT(E88,I88,K88)</f>
        <v>2</v>
      </c>
      <c r="M88" s="18" t="n">
        <f aca="false">(D88&lt;&gt;"")*(D88&lt;=($E$3*60+$F$3)/86400)+(H88&lt;&gt;"")*(H88&lt;=($I$3*60+$J$3)/86400)+(J88&lt;&gt;"")*(J88&lt;=($M$3*60+$N$3)/86400)</f>
        <v>0</v>
      </c>
      <c r="N88" s="20"/>
      <c r="O88" s="20"/>
      <c r="P88" s="20"/>
      <c r="Q88" s="19"/>
    </row>
    <row r="89" customFormat="false" ht="15" hidden="false" customHeight="false" outlineLevel="0" collapsed="false">
      <c r="A89" s="10" t="n">
        <v>83</v>
      </c>
      <c r="B89" s="11" t="s">
        <v>189</v>
      </c>
      <c r="C89" s="12" t="s">
        <v>27</v>
      </c>
      <c r="D89" s="13" t="n">
        <v>0.0101787037037037</v>
      </c>
      <c r="E89" s="14" t="n">
        <v>84</v>
      </c>
      <c r="F89" s="15" t="n">
        <f aca="false">IF(D89="","",ROUND((D89-MIN($D$7:$D$9999))*86400,2))</f>
        <v>89.7</v>
      </c>
      <c r="G89" s="10" t="str">
        <f aca="false">IF(D89="","",IF(D89&lt;=($E$3*60+$F$3)/86400,"○",""))</f>
        <v/>
      </c>
      <c r="H89" s="16" t="n">
        <v>0.00635891203703704</v>
      </c>
      <c r="I89" s="17" t="n">
        <v>10</v>
      </c>
      <c r="J89" s="16"/>
      <c r="K89" s="17"/>
      <c r="L89" s="17" t="n">
        <f aca="false">COUNT(E89,I89,K89)</f>
        <v>2</v>
      </c>
      <c r="M89" s="18" t="n">
        <f aca="false">(D89&lt;&gt;"")*(D89&lt;=($E$3*60+$F$3)/86400)+(H89&lt;&gt;"")*(H89&lt;=($I$3*60+$J$3)/86400)+(J89&lt;&gt;"")*(J89&lt;=($M$3*60+$N$3)/86400)</f>
        <v>1</v>
      </c>
      <c r="N89" s="20" t="s">
        <v>180</v>
      </c>
      <c r="O89" s="20"/>
      <c r="P89" s="20"/>
      <c r="Q89" s="19"/>
    </row>
    <row r="90" customFormat="false" ht="15" hidden="false" customHeight="false" outlineLevel="0" collapsed="false">
      <c r="A90" s="10" t="n">
        <v>84</v>
      </c>
      <c r="B90" s="11" t="s">
        <v>190</v>
      </c>
      <c r="C90" s="12" t="s">
        <v>34</v>
      </c>
      <c r="D90" s="13" t="n">
        <v>0.0101798611111111</v>
      </c>
      <c r="E90" s="14" t="n">
        <v>85</v>
      </c>
      <c r="F90" s="15" t="n">
        <f aca="false">IF(D90="","",ROUND((D90-MIN($D$7:$D$9999))*86400,2))</f>
        <v>89.8</v>
      </c>
      <c r="G90" s="10" t="str">
        <f aca="false">IF(D90="","",IF(D90&lt;=($E$3*60+$F$3)/86400,"○",""))</f>
        <v/>
      </c>
      <c r="H90" s="16"/>
      <c r="I90" s="17"/>
      <c r="J90" s="16" t="n">
        <v>0.002865625</v>
      </c>
      <c r="K90" s="17" t="n">
        <v>668</v>
      </c>
      <c r="L90" s="17" t="n">
        <f aca="false">COUNT(E90,I90,K90)</f>
        <v>2</v>
      </c>
      <c r="M90" s="18" t="n">
        <f aca="false">(D90&lt;&gt;"")*(D90&lt;=($E$3*60+$F$3)/86400)+(H90&lt;&gt;"")*(H90&lt;=($I$3*60+$J$3)/86400)+(J90&lt;&gt;"")*(J90&lt;=($M$3*60+$N$3)/86400)</f>
        <v>0</v>
      </c>
      <c r="N90" s="20" t="s">
        <v>191</v>
      </c>
      <c r="O90" s="20"/>
      <c r="P90" s="20"/>
      <c r="Q90" s="19"/>
    </row>
    <row r="91" customFormat="false" ht="15" hidden="false" customHeight="false" outlineLevel="0" collapsed="false">
      <c r="A91" s="10" t="n">
        <v>85</v>
      </c>
      <c r="B91" s="11" t="s">
        <v>192</v>
      </c>
      <c r="C91" s="12" t="s">
        <v>193</v>
      </c>
      <c r="D91" s="13" t="n">
        <v>0.0101837962962963</v>
      </c>
      <c r="E91" s="14" t="n">
        <v>86</v>
      </c>
      <c r="F91" s="15" t="n">
        <f aca="false">IF(D91="","",ROUND((D91-MIN($D$7:$D$9999))*86400,2))</f>
        <v>90.14</v>
      </c>
      <c r="G91" s="10" t="str">
        <f aca="false">IF(D91="","",IF(D91&lt;=($E$3*60+$F$3)/86400,"○",""))</f>
        <v/>
      </c>
      <c r="H91" s="16"/>
      <c r="I91" s="17"/>
      <c r="J91" s="16" t="n">
        <v>0.00292476851851852</v>
      </c>
      <c r="K91" s="17" t="n">
        <v>1142</v>
      </c>
      <c r="L91" s="17" t="n">
        <f aca="false">COUNT(E91,I91,K91)</f>
        <v>2</v>
      </c>
      <c r="M91" s="18" t="n">
        <f aca="false">(D91&lt;&gt;"")*(D91&lt;=($E$3*60+$F$3)/86400)+(H91&lt;&gt;"")*(H91&lt;=($I$3*60+$J$3)/86400)+(J91&lt;&gt;"")*(J91&lt;=($M$3*60+$N$3)/86400)</f>
        <v>0</v>
      </c>
      <c r="N91" s="20"/>
      <c r="O91" s="20"/>
      <c r="P91" s="20"/>
      <c r="Q91" s="19"/>
    </row>
    <row r="92" customFormat="false" ht="15" hidden="false" customHeight="false" outlineLevel="0" collapsed="false">
      <c r="A92" s="10" t="n">
        <v>86</v>
      </c>
      <c r="B92" s="11" t="s">
        <v>194</v>
      </c>
      <c r="C92" s="12" t="s">
        <v>195</v>
      </c>
      <c r="D92" s="13" t="n">
        <v>0.0101858796296296</v>
      </c>
      <c r="E92" s="14" t="n">
        <v>87</v>
      </c>
      <c r="F92" s="15" t="n">
        <f aca="false">IF(D92="","",ROUND((D92-MIN($D$7:$D$9999))*86400,2))</f>
        <v>90.32</v>
      </c>
      <c r="G92" s="10" t="str">
        <f aca="false">IF(D92="","",IF(D92&lt;=($E$3*60+$F$3)/86400,"○",""))</f>
        <v/>
      </c>
      <c r="H92" s="16"/>
      <c r="I92" s="17"/>
      <c r="J92" s="16" t="n">
        <v>0.00276203703703704</v>
      </c>
      <c r="K92" s="17" t="n">
        <v>140</v>
      </c>
      <c r="L92" s="17" t="n">
        <f aca="false">COUNT(E92,I92,K92)</f>
        <v>2</v>
      </c>
      <c r="M92" s="18" t="n">
        <f aca="false">(D92&lt;&gt;"")*(D92&lt;=($E$3*60+$F$3)/86400)+(H92&lt;&gt;"")*(H92&lt;=($I$3*60+$J$3)/86400)+(J92&lt;&gt;"")*(J92&lt;=($M$3*60+$N$3)/86400)</f>
        <v>0</v>
      </c>
      <c r="N92" s="20"/>
      <c r="O92" s="20"/>
      <c r="P92" s="20"/>
      <c r="Q92" s="19"/>
    </row>
    <row r="93" customFormat="false" ht="15" hidden="false" customHeight="false" outlineLevel="0" collapsed="false">
      <c r="A93" s="10" t="n">
        <v>87</v>
      </c>
      <c r="B93" s="11" t="s">
        <v>196</v>
      </c>
      <c r="C93" s="12" t="s">
        <v>67</v>
      </c>
      <c r="D93" s="13" t="n">
        <v>0.0101863425925926</v>
      </c>
      <c r="E93" s="14" t="n">
        <v>88</v>
      </c>
      <c r="F93" s="15" t="n">
        <f aca="false">IF(D93="","",ROUND((D93-MIN($D$7:$D$9999))*86400,2))</f>
        <v>90.36</v>
      </c>
      <c r="G93" s="10" t="str">
        <f aca="false">IF(D93="","",IF(D93&lt;=($E$3*60+$F$3)/86400,"○",""))</f>
        <v/>
      </c>
      <c r="H93" s="16"/>
      <c r="I93" s="17"/>
      <c r="J93" s="16" t="n">
        <v>0.00270231481481482</v>
      </c>
      <c r="K93" s="17" t="n">
        <v>27</v>
      </c>
      <c r="L93" s="17" t="n">
        <f aca="false">COUNT(E93,I93,K93)</f>
        <v>2</v>
      </c>
      <c r="M93" s="18" t="n">
        <f aca="false">(D93&lt;&gt;"")*(D93&lt;=($E$3*60+$F$3)/86400)+(H93&lt;&gt;"")*(H93&lt;=($I$3*60+$J$3)/86400)+(J93&lt;&gt;"")*(J93&lt;=($M$3*60+$N$3)/86400)</f>
        <v>1</v>
      </c>
      <c r="N93" s="20" t="s">
        <v>197</v>
      </c>
      <c r="O93" s="20"/>
      <c r="P93" s="20"/>
      <c r="Q93" s="19"/>
    </row>
    <row r="94" customFormat="false" ht="15" hidden="false" customHeight="false" outlineLevel="0" collapsed="false">
      <c r="A94" s="10" t="n">
        <v>88</v>
      </c>
      <c r="B94" s="11" t="s">
        <v>198</v>
      </c>
      <c r="C94" s="12" t="s">
        <v>199</v>
      </c>
      <c r="D94" s="13" t="n">
        <v>0.0101872685185185</v>
      </c>
      <c r="E94" s="14" t="n">
        <v>89</v>
      </c>
      <c r="F94" s="15" t="n">
        <f aca="false">IF(D94="","",ROUND((D94-MIN($D$7:$D$9999))*86400,2))</f>
        <v>90.44</v>
      </c>
      <c r="G94" s="10" t="str">
        <f aca="false">IF(D94="","",IF(D94&lt;=($E$3*60+$F$3)/86400,"○",""))</f>
        <v/>
      </c>
      <c r="H94" s="16"/>
      <c r="I94" s="17"/>
      <c r="J94" s="16" t="n">
        <v>0.00286180555555556</v>
      </c>
      <c r="K94" s="17" t="n">
        <v>643</v>
      </c>
      <c r="L94" s="17" t="n">
        <f aca="false">COUNT(E94,I94,K94)</f>
        <v>2</v>
      </c>
      <c r="M94" s="18" t="n">
        <f aca="false">(D94&lt;&gt;"")*(D94&lt;=($E$3*60+$F$3)/86400)+(H94&lt;&gt;"")*(H94&lt;=($I$3*60+$J$3)/86400)+(J94&lt;&gt;"")*(J94&lt;=($M$3*60+$N$3)/86400)</f>
        <v>0</v>
      </c>
      <c r="N94" s="20"/>
      <c r="O94" s="20"/>
      <c r="P94" s="20"/>
      <c r="Q94" s="19"/>
    </row>
    <row r="95" customFormat="false" ht="15" hidden="false" customHeight="false" outlineLevel="0" collapsed="false">
      <c r="A95" s="10" t="n">
        <v>89</v>
      </c>
      <c r="B95" s="11" t="s">
        <v>200</v>
      </c>
      <c r="C95" s="12" t="s">
        <v>155</v>
      </c>
      <c r="D95" s="13" t="n">
        <v>0.0101877314814815</v>
      </c>
      <c r="E95" s="14" t="n">
        <v>90</v>
      </c>
      <c r="F95" s="15" t="n">
        <f aca="false">IF(D95="","",ROUND((D95-MIN($D$7:$D$9999))*86400,2))</f>
        <v>90.48</v>
      </c>
      <c r="G95" s="10" t="str">
        <f aca="false">IF(D95="","",IF(D95&lt;=($E$3*60+$F$3)/86400,"○",""))</f>
        <v/>
      </c>
      <c r="H95" s="16"/>
      <c r="I95" s="17"/>
      <c r="J95" s="16" t="n">
        <v>0.00289039351851852</v>
      </c>
      <c r="K95" s="17" t="n">
        <v>871</v>
      </c>
      <c r="L95" s="17" t="n">
        <f aca="false">COUNT(E95,I95,K95)</f>
        <v>2</v>
      </c>
      <c r="M95" s="18" t="n">
        <f aca="false">(D95&lt;&gt;"")*(D95&lt;=($E$3*60+$F$3)/86400)+(H95&lt;&gt;"")*(H95&lt;=($I$3*60+$J$3)/86400)+(J95&lt;&gt;"")*(J95&lt;=($M$3*60+$N$3)/86400)</f>
        <v>0</v>
      </c>
      <c r="N95" s="20"/>
      <c r="O95" s="20"/>
      <c r="P95" s="20"/>
      <c r="Q95" s="19"/>
    </row>
    <row r="96" customFormat="false" ht="15" hidden="false" customHeight="false" outlineLevel="0" collapsed="false">
      <c r="A96" s="10" t="n">
        <v>90</v>
      </c>
      <c r="B96" s="11" t="s">
        <v>201</v>
      </c>
      <c r="C96" s="12" t="s">
        <v>199</v>
      </c>
      <c r="D96" s="13" t="n">
        <v>0.0101881944444444</v>
      </c>
      <c r="E96" s="14" t="n">
        <v>91</v>
      </c>
      <c r="F96" s="15" t="n">
        <f aca="false">IF(D96="","",ROUND((D96-MIN($D$7:$D$9999))*86400,2))</f>
        <v>90.52</v>
      </c>
      <c r="G96" s="10" t="str">
        <f aca="false">IF(D96="","",IF(D96&lt;=($E$3*60+$F$3)/86400,"○",""))</f>
        <v/>
      </c>
      <c r="H96" s="16" t="n">
        <v>0.00665277777777778</v>
      </c>
      <c r="I96" s="17" t="n">
        <v>84</v>
      </c>
      <c r="J96" s="16" t="n">
        <v>0.00280810185185185</v>
      </c>
      <c r="K96" s="17" t="n">
        <v>317</v>
      </c>
      <c r="L96" s="17" t="n">
        <f aca="false">COUNT(E96,I96,K96)</f>
        <v>3</v>
      </c>
      <c r="M96" s="18" t="n">
        <f aca="false">(D96&lt;&gt;"")*(D96&lt;=($E$3*60+$F$3)/86400)+(H96&lt;&gt;"")*(H96&lt;=($I$3*60+$J$3)/86400)+(J96&lt;&gt;"")*(J96&lt;=($M$3*60+$N$3)/86400)</f>
        <v>0</v>
      </c>
      <c r="N96" s="20"/>
      <c r="O96" s="20"/>
      <c r="P96" s="20"/>
      <c r="Q96" s="19"/>
    </row>
    <row r="97" customFormat="false" ht="15" hidden="false" customHeight="false" outlineLevel="0" collapsed="false">
      <c r="A97" s="10" t="n">
        <v>91</v>
      </c>
      <c r="B97" s="11" t="s">
        <v>202</v>
      </c>
      <c r="C97" s="12" t="s">
        <v>199</v>
      </c>
      <c r="D97" s="13" t="n">
        <v>0.0101917824074074</v>
      </c>
      <c r="E97" s="14" t="n">
        <v>92</v>
      </c>
      <c r="F97" s="15" t="n">
        <f aca="false">IF(D97="","",ROUND((D97-MIN($D$7:$D$9999))*86400,2))</f>
        <v>90.83</v>
      </c>
      <c r="G97" s="10" t="str">
        <f aca="false">IF(D97="","",IF(D97&lt;=($E$3*60+$F$3)/86400,"○",""))</f>
        <v/>
      </c>
      <c r="H97" s="16"/>
      <c r="I97" s="17"/>
      <c r="J97" s="16" t="n">
        <v>0.0028181712962963</v>
      </c>
      <c r="K97" s="17" t="n">
        <v>355</v>
      </c>
      <c r="L97" s="17" t="n">
        <f aca="false">COUNT(E97,I97,K97)</f>
        <v>2</v>
      </c>
      <c r="M97" s="18" t="n">
        <f aca="false">(D97&lt;&gt;"")*(D97&lt;=($E$3*60+$F$3)/86400)+(H97&lt;&gt;"")*(H97&lt;=($I$3*60+$J$3)/86400)+(J97&lt;&gt;"")*(J97&lt;=($M$3*60+$N$3)/86400)</f>
        <v>0</v>
      </c>
      <c r="N97" s="20"/>
      <c r="O97" s="20"/>
      <c r="P97" s="20"/>
      <c r="Q97" s="19"/>
    </row>
    <row r="98" customFormat="false" ht="15" hidden="false" customHeight="false" outlineLevel="0" collapsed="false">
      <c r="A98" s="10" t="n">
        <v>92</v>
      </c>
      <c r="B98" s="11" t="s">
        <v>203</v>
      </c>
      <c r="C98" s="12" t="s">
        <v>204</v>
      </c>
      <c r="D98" s="13" t="n">
        <v>0.0101918981481482</v>
      </c>
      <c r="E98" s="14" t="n">
        <v>93</v>
      </c>
      <c r="F98" s="15" t="n">
        <f aca="false">IF(D98="","",ROUND((D98-MIN($D$7:$D$9999))*86400,2))</f>
        <v>90.84</v>
      </c>
      <c r="G98" s="10" t="str">
        <f aca="false">IF(D98="","",IF(D98&lt;=($E$3*60+$F$3)/86400,"○",""))</f>
        <v/>
      </c>
      <c r="H98" s="16"/>
      <c r="I98" s="17"/>
      <c r="J98" s="16" t="n">
        <v>0.00282222222222222</v>
      </c>
      <c r="K98" s="17" t="n">
        <v>375</v>
      </c>
      <c r="L98" s="17" t="n">
        <f aca="false">COUNT(E98,I98,K98)</f>
        <v>2</v>
      </c>
      <c r="M98" s="18" t="n">
        <f aca="false">(D98&lt;&gt;"")*(D98&lt;=($E$3*60+$F$3)/86400)+(H98&lt;&gt;"")*(H98&lt;=($I$3*60+$J$3)/86400)+(J98&lt;&gt;"")*(J98&lt;=($M$3*60+$N$3)/86400)</f>
        <v>0</v>
      </c>
      <c r="N98" s="20" t="s">
        <v>205</v>
      </c>
      <c r="O98" s="20"/>
      <c r="P98" s="20"/>
      <c r="Q98" s="19"/>
    </row>
    <row r="99" customFormat="false" ht="15" hidden="false" customHeight="false" outlineLevel="0" collapsed="false">
      <c r="A99" s="10" t="n">
        <v>93</v>
      </c>
      <c r="B99" s="11" t="s">
        <v>206</v>
      </c>
      <c r="C99" s="12" t="s">
        <v>207</v>
      </c>
      <c r="D99" s="13" t="n">
        <v>0.0101935185185185</v>
      </c>
      <c r="E99" s="14" t="n">
        <v>94</v>
      </c>
      <c r="F99" s="15" t="n">
        <f aca="false">IF(D99="","",ROUND((D99-MIN($D$7:$D$9999))*86400,2))</f>
        <v>90.98</v>
      </c>
      <c r="G99" s="10" t="str">
        <f aca="false">IF(D99="","",IF(D99&lt;=($E$3*60+$F$3)/86400,"○",""))</f>
        <v/>
      </c>
      <c r="H99" s="16"/>
      <c r="I99" s="17"/>
      <c r="J99" s="16" t="n">
        <v>0.00275324074074074</v>
      </c>
      <c r="K99" s="17" t="n">
        <v>111</v>
      </c>
      <c r="L99" s="17" t="n">
        <f aca="false">COUNT(E99,I99,K99)</f>
        <v>2</v>
      </c>
      <c r="M99" s="18" t="n">
        <f aca="false">(D99&lt;&gt;"")*(D99&lt;=($E$3*60+$F$3)/86400)+(H99&lt;&gt;"")*(H99&lt;=($I$3*60+$J$3)/86400)+(J99&lt;&gt;"")*(J99&lt;=($M$3*60+$N$3)/86400)</f>
        <v>0</v>
      </c>
      <c r="N99" s="20"/>
      <c r="O99" s="20"/>
      <c r="P99" s="20"/>
      <c r="Q99" s="19"/>
    </row>
    <row r="100" customFormat="false" ht="15" hidden="false" customHeight="false" outlineLevel="0" collapsed="false">
      <c r="A100" s="10" t="n">
        <v>94</v>
      </c>
      <c r="B100" s="11" t="s">
        <v>208</v>
      </c>
      <c r="C100" s="12" t="s">
        <v>209</v>
      </c>
      <c r="D100" s="13" t="n">
        <v>0.0101960648148148</v>
      </c>
      <c r="E100" s="14" t="n">
        <v>95</v>
      </c>
      <c r="F100" s="15" t="n">
        <f aca="false">IF(D100="","",ROUND((D100-MIN($D$7:$D$9999))*86400,2))</f>
        <v>91.2</v>
      </c>
      <c r="G100" s="10" t="str">
        <f aca="false">IF(D100="","",IF(D100&lt;=($E$3*60+$F$3)/86400,"○",""))</f>
        <v/>
      </c>
      <c r="H100" s="16"/>
      <c r="I100" s="17"/>
      <c r="J100" s="16" t="n">
        <v>0.00269340277777778</v>
      </c>
      <c r="K100" s="17" t="n">
        <v>23</v>
      </c>
      <c r="L100" s="17" t="n">
        <f aca="false">COUNT(E100,I100,K100)</f>
        <v>2</v>
      </c>
      <c r="M100" s="18" t="n">
        <f aca="false">(D100&lt;&gt;"")*(D100&lt;=($E$3*60+$F$3)/86400)+(H100&lt;&gt;"")*(H100&lt;=($I$3*60+$J$3)/86400)+(J100&lt;&gt;"")*(J100&lt;=($M$3*60+$N$3)/86400)</f>
        <v>1</v>
      </c>
      <c r="N100" s="20"/>
      <c r="O100" s="20"/>
      <c r="P100" s="20"/>
      <c r="Q100" s="19"/>
    </row>
    <row r="101" customFormat="false" ht="15" hidden="false" customHeight="false" outlineLevel="0" collapsed="false">
      <c r="A101" s="10" t="n">
        <v>95</v>
      </c>
      <c r="B101" s="11" t="s">
        <v>210</v>
      </c>
      <c r="C101" s="12" t="s">
        <v>87</v>
      </c>
      <c r="D101" s="13" t="n">
        <v>0.0101975694444444</v>
      </c>
      <c r="E101" s="14" t="n">
        <v>96</v>
      </c>
      <c r="F101" s="15" t="n">
        <f aca="false">IF(D101="","",ROUND((D101-MIN($D$7:$D$9999))*86400,2))</f>
        <v>91.33</v>
      </c>
      <c r="G101" s="10" t="str">
        <f aca="false">IF(D101="","",IF(D101&lt;=($E$3*60+$F$3)/86400,"○",""))</f>
        <v/>
      </c>
      <c r="H101" s="16"/>
      <c r="I101" s="17"/>
      <c r="J101" s="16" t="n">
        <v>0.00275451388888889</v>
      </c>
      <c r="K101" s="17" t="n">
        <v>119</v>
      </c>
      <c r="L101" s="17" t="n">
        <f aca="false">COUNT(E101,I101,K101)</f>
        <v>2</v>
      </c>
      <c r="M101" s="18" t="n">
        <f aca="false">(D101&lt;&gt;"")*(D101&lt;=($E$3*60+$F$3)/86400)+(H101&lt;&gt;"")*(H101&lt;=($I$3*60+$J$3)/86400)+(J101&lt;&gt;"")*(J101&lt;=($M$3*60+$N$3)/86400)</f>
        <v>0</v>
      </c>
      <c r="N101" s="20"/>
      <c r="O101" s="20"/>
      <c r="P101" s="20"/>
      <c r="Q101" s="19"/>
    </row>
    <row r="102" customFormat="false" ht="15" hidden="false" customHeight="false" outlineLevel="0" collapsed="false">
      <c r="A102" s="10" t="n">
        <v>96</v>
      </c>
      <c r="B102" s="11" t="s">
        <v>211</v>
      </c>
      <c r="C102" s="12" t="s">
        <v>212</v>
      </c>
      <c r="D102" s="13" t="n">
        <v>0.0102012731481482</v>
      </c>
      <c r="E102" s="14" t="n">
        <v>97</v>
      </c>
      <c r="F102" s="15" t="n">
        <f aca="false">IF(D102="","",ROUND((D102-MIN($D$7:$D$9999))*86400,2))</f>
        <v>91.65</v>
      </c>
      <c r="G102" s="10" t="str">
        <f aca="false">IF(D102="","",IF(D102&lt;=($E$3*60+$F$3)/86400,"○",""))</f>
        <v/>
      </c>
      <c r="H102" s="16" t="n">
        <v>0.00648483796296296</v>
      </c>
      <c r="I102" s="17" t="n">
        <v>31</v>
      </c>
      <c r="J102" s="16" t="n">
        <v>0.00275451388888889</v>
      </c>
      <c r="K102" s="17" t="n">
        <v>120</v>
      </c>
      <c r="L102" s="17" t="n">
        <f aca="false">COUNT(E102,I102,K102)</f>
        <v>3</v>
      </c>
      <c r="M102" s="18" t="n">
        <f aca="false">(D102&lt;&gt;"")*(D102&lt;=($E$3*60+$F$3)/86400)+(H102&lt;&gt;"")*(H102&lt;=($I$3*60+$J$3)/86400)+(J102&lt;&gt;"")*(J102&lt;=($M$3*60+$N$3)/86400)</f>
        <v>0</v>
      </c>
      <c r="N102" s="20"/>
      <c r="O102" s="20"/>
      <c r="P102" s="20"/>
      <c r="Q102" s="19"/>
    </row>
    <row r="103" customFormat="false" ht="15" hidden="false" customHeight="false" outlineLevel="0" collapsed="false">
      <c r="A103" s="10" t="n">
        <v>97</v>
      </c>
      <c r="B103" s="11" t="s">
        <v>213</v>
      </c>
      <c r="C103" s="12" t="s">
        <v>214</v>
      </c>
      <c r="D103" s="13" t="n">
        <v>0.0102041666666667</v>
      </c>
      <c r="E103" s="14" t="n">
        <v>98</v>
      </c>
      <c r="F103" s="15" t="n">
        <f aca="false">IF(D103="","",ROUND((D103-MIN($D$7:$D$9999))*86400,2))</f>
        <v>91.9</v>
      </c>
      <c r="G103" s="10" t="str">
        <f aca="false">IF(D103="","",IF(D103&lt;=($E$3*60+$F$3)/86400,"○",""))</f>
        <v/>
      </c>
      <c r="H103" s="16"/>
      <c r="I103" s="17"/>
      <c r="J103" s="16" t="n">
        <v>0.00267743055555556</v>
      </c>
      <c r="K103" s="17" t="n">
        <v>11</v>
      </c>
      <c r="L103" s="17" t="n">
        <f aca="false">COUNT(E103,I103,K103)</f>
        <v>2</v>
      </c>
      <c r="M103" s="18" t="n">
        <f aca="false">(D103&lt;&gt;"")*(D103&lt;=($E$3*60+$F$3)/86400)+(H103&lt;&gt;"")*(H103&lt;=($I$3*60+$J$3)/86400)+(J103&lt;&gt;"")*(J103&lt;=($M$3*60+$N$3)/86400)</f>
        <v>1</v>
      </c>
      <c r="N103" s="20" t="s">
        <v>215</v>
      </c>
      <c r="O103" s="20"/>
      <c r="P103" s="20"/>
      <c r="Q103" s="19"/>
    </row>
    <row r="104" customFormat="false" ht="15" hidden="false" customHeight="false" outlineLevel="0" collapsed="false">
      <c r="A104" s="10" t="n">
        <v>98</v>
      </c>
      <c r="B104" s="11" t="s">
        <v>216</v>
      </c>
      <c r="C104" s="12" t="s">
        <v>217</v>
      </c>
      <c r="D104" s="13" t="n">
        <v>0.0102086805555556</v>
      </c>
      <c r="E104" s="14" t="n">
        <v>99</v>
      </c>
      <c r="F104" s="15" t="n">
        <f aca="false">IF(D104="","",ROUND((D104-MIN($D$7:$D$9999))*86400,2))</f>
        <v>92.29</v>
      </c>
      <c r="G104" s="10" t="str">
        <f aca="false">IF(D104="","",IF(D104&lt;=($E$3*60+$F$3)/86400,"○",""))</f>
        <v/>
      </c>
      <c r="H104" s="16"/>
      <c r="I104" s="17"/>
      <c r="J104" s="16"/>
      <c r="K104" s="17"/>
      <c r="L104" s="17" t="n">
        <f aca="false">COUNT(E104,I104,K104)</f>
        <v>1</v>
      </c>
      <c r="M104" s="18" t="n">
        <f aca="false">(D104&lt;&gt;"")*(D104&lt;=($E$3*60+$F$3)/86400)+(H104&lt;&gt;"")*(H104&lt;=($I$3*60+$J$3)/86400)+(J104&lt;&gt;"")*(J104&lt;=($M$3*60+$N$3)/86400)</f>
        <v>0</v>
      </c>
      <c r="N104" s="20"/>
      <c r="O104" s="20"/>
      <c r="P104" s="20"/>
      <c r="Q104" s="19"/>
    </row>
    <row r="105" customFormat="false" ht="15" hidden="false" customHeight="false" outlineLevel="0" collapsed="false">
      <c r="A105" s="10" t="n">
        <v>99</v>
      </c>
      <c r="B105" s="11" t="s">
        <v>218</v>
      </c>
      <c r="C105" s="12" t="s">
        <v>219</v>
      </c>
      <c r="D105" s="13" t="n">
        <v>0.0102087962962963</v>
      </c>
      <c r="E105" s="14" t="n">
        <v>100</v>
      </c>
      <c r="F105" s="15" t="n">
        <f aca="false">IF(D105="","",ROUND((D105-MIN($D$7:$D$9999))*86400,2))</f>
        <v>92.3</v>
      </c>
      <c r="G105" s="10" t="str">
        <f aca="false">IF(D105="","",IF(D105&lt;=($E$3*60+$F$3)/86400,"○",""))</f>
        <v/>
      </c>
      <c r="H105" s="16"/>
      <c r="I105" s="17"/>
      <c r="J105" s="16"/>
      <c r="K105" s="17"/>
      <c r="L105" s="17" t="n">
        <f aca="false">COUNT(E105,I105,K105)</f>
        <v>1</v>
      </c>
      <c r="M105" s="18" t="n">
        <f aca="false">(D105&lt;&gt;"")*(D105&lt;=($E$3*60+$F$3)/86400)+(H105&lt;&gt;"")*(H105&lt;=($I$3*60+$J$3)/86400)+(J105&lt;&gt;"")*(J105&lt;=($M$3*60+$N$3)/86400)</f>
        <v>0</v>
      </c>
      <c r="N105" s="20"/>
      <c r="O105" s="20"/>
      <c r="P105" s="20"/>
      <c r="Q105" s="19"/>
    </row>
    <row r="106" customFormat="false" ht="15" hidden="false" customHeight="false" outlineLevel="0" collapsed="false">
      <c r="A106" s="10" t="n">
        <v>100</v>
      </c>
      <c r="B106" s="11" t="s">
        <v>220</v>
      </c>
      <c r="C106" s="12" t="s">
        <v>71</v>
      </c>
      <c r="D106" s="13" t="n">
        <v>0.0102111111111111</v>
      </c>
      <c r="E106" s="14" t="n">
        <v>101</v>
      </c>
      <c r="F106" s="15" t="n">
        <f aca="false">IF(D106="","",ROUND((D106-MIN($D$7:$D$9999))*86400,2))</f>
        <v>92.5</v>
      </c>
      <c r="G106" s="10" t="str">
        <f aca="false">IF(D106="","",IF(D106&lt;=($E$3*60+$F$3)/86400,"○",""))</f>
        <v/>
      </c>
      <c r="H106" s="16"/>
      <c r="I106" s="17"/>
      <c r="J106" s="16" t="n">
        <v>0.00277835648148148</v>
      </c>
      <c r="K106" s="17" t="n">
        <v>194</v>
      </c>
      <c r="L106" s="17" t="n">
        <f aca="false">COUNT(E106,I106,K106)</f>
        <v>2</v>
      </c>
      <c r="M106" s="18" t="n">
        <f aca="false">(D106&lt;&gt;"")*(D106&lt;=($E$3*60+$F$3)/86400)+(H106&lt;&gt;"")*(H106&lt;=($I$3*60+$J$3)/86400)+(J106&lt;&gt;"")*(J106&lt;=($M$3*60+$N$3)/86400)</f>
        <v>0</v>
      </c>
      <c r="N106" s="20"/>
      <c r="O106" s="20"/>
      <c r="P106" s="20"/>
      <c r="Q106" s="19"/>
    </row>
    <row r="107" customFormat="false" ht="15" hidden="false" customHeight="false" outlineLevel="0" collapsed="false">
      <c r="A107" s="10" t="n">
        <v>101</v>
      </c>
      <c r="B107" s="11" t="s">
        <v>221</v>
      </c>
      <c r="C107" s="12" t="s">
        <v>161</v>
      </c>
      <c r="D107" s="13" t="n">
        <v>0.0102140046296296</v>
      </c>
      <c r="E107" s="14" t="n">
        <v>102</v>
      </c>
      <c r="F107" s="15" t="n">
        <f aca="false">IF(D107="","",ROUND((D107-MIN($D$7:$D$9999))*86400,2))</f>
        <v>92.75</v>
      </c>
      <c r="G107" s="10" t="str">
        <f aca="false">IF(D107="","",IF(D107&lt;=($E$3*60+$F$3)/86400,"○",""))</f>
        <v/>
      </c>
      <c r="H107" s="16" t="n">
        <v>0.00633553240740741</v>
      </c>
      <c r="I107" s="17" t="n">
        <v>6</v>
      </c>
      <c r="J107" s="16" t="n">
        <v>0.00285925925925926</v>
      </c>
      <c r="K107" s="17" t="n">
        <v>630</v>
      </c>
      <c r="L107" s="17" t="n">
        <f aca="false">COUNT(E107,I107,K107)</f>
        <v>3</v>
      </c>
      <c r="M107" s="18" t="n">
        <f aca="false">(D107&lt;&gt;"")*(D107&lt;=($E$3*60+$F$3)/86400)+(H107&lt;&gt;"")*(H107&lt;=($I$3*60+$J$3)/86400)+(J107&lt;&gt;"")*(J107&lt;=($M$3*60+$N$3)/86400)</f>
        <v>1</v>
      </c>
      <c r="N107" s="20" t="s">
        <v>222</v>
      </c>
      <c r="O107" s="20"/>
      <c r="P107" s="20"/>
      <c r="Q107" s="19"/>
    </row>
    <row r="108" customFormat="false" ht="15" hidden="false" customHeight="false" outlineLevel="0" collapsed="false">
      <c r="A108" s="10" t="n">
        <v>102</v>
      </c>
      <c r="B108" s="11" t="s">
        <v>223</v>
      </c>
      <c r="C108" s="12" t="s">
        <v>141</v>
      </c>
      <c r="D108" s="13" t="n">
        <v>0.0102142361111111</v>
      </c>
      <c r="E108" s="14" t="n">
        <v>103</v>
      </c>
      <c r="F108" s="15" t="n">
        <f aca="false">IF(D108="","",ROUND((D108-MIN($D$7:$D$9999))*86400,2))</f>
        <v>92.77</v>
      </c>
      <c r="G108" s="10" t="str">
        <f aca="false">IF(D108="","",IF(D108&lt;=($E$3*60+$F$3)/86400,"○",""))</f>
        <v/>
      </c>
      <c r="H108" s="16"/>
      <c r="I108" s="17"/>
      <c r="J108" s="16" t="n">
        <v>0.00272511574074074</v>
      </c>
      <c r="K108" s="17" t="n">
        <v>57</v>
      </c>
      <c r="L108" s="17" t="n">
        <f aca="false">COUNT(E108,I108,K108)</f>
        <v>2</v>
      </c>
      <c r="M108" s="18" t="n">
        <f aca="false">(D108&lt;&gt;"")*(D108&lt;=($E$3*60+$F$3)/86400)+(H108&lt;&gt;"")*(H108&lt;=($I$3*60+$J$3)/86400)+(J108&lt;&gt;"")*(J108&lt;=($M$3*60+$N$3)/86400)</f>
        <v>0</v>
      </c>
      <c r="N108" s="20"/>
      <c r="O108" s="20"/>
      <c r="P108" s="20"/>
      <c r="Q108" s="19"/>
    </row>
    <row r="109" customFormat="false" ht="15" hidden="false" customHeight="false" outlineLevel="0" collapsed="false">
      <c r="A109" s="10" t="n">
        <v>103</v>
      </c>
      <c r="B109" s="11" t="s">
        <v>224</v>
      </c>
      <c r="C109" s="12" t="s">
        <v>61</v>
      </c>
      <c r="D109" s="13" t="n">
        <v>0.0102148148148148</v>
      </c>
      <c r="E109" s="14" t="n">
        <v>104</v>
      </c>
      <c r="F109" s="15" t="n">
        <f aca="false">IF(D109="","",ROUND((D109-MIN($D$7:$D$9999))*86400,2))</f>
        <v>92.82</v>
      </c>
      <c r="G109" s="10" t="str">
        <f aca="false">IF(D109="","",IF(D109&lt;=($E$3*60+$F$3)/86400,"○",""))</f>
        <v/>
      </c>
      <c r="H109" s="16" t="n">
        <v>0.00623865740740741</v>
      </c>
      <c r="I109" s="17" t="n">
        <v>1</v>
      </c>
      <c r="J109" s="16" t="n">
        <v>0.00286273148148148</v>
      </c>
      <c r="K109" s="17" t="n">
        <v>654</v>
      </c>
      <c r="L109" s="17" t="n">
        <f aca="false">COUNT(E109,I109,K109)</f>
        <v>3</v>
      </c>
      <c r="M109" s="18" t="n">
        <f aca="false">(D109&lt;&gt;"")*(D109&lt;=($E$3*60+$F$3)/86400)+(H109&lt;&gt;"")*(H109&lt;=($I$3*60+$J$3)/86400)+(J109&lt;&gt;"")*(J109&lt;=($M$3*60+$N$3)/86400)</f>
        <v>1</v>
      </c>
      <c r="N109" s="20"/>
      <c r="O109" s="20"/>
      <c r="P109" s="20"/>
      <c r="Q109" s="19"/>
    </row>
    <row r="110" customFormat="false" ht="15" hidden="false" customHeight="false" outlineLevel="0" collapsed="false">
      <c r="A110" s="10" t="n">
        <v>104</v>
      </c>
      <c r="B110" s="11" t="s">
        <v>225</v>
      </c>
      <c r="C110" s="12" t="s">
        <v>61</v>
      </c>
      <c r="D110" s="13" t="n">
        <v>0.010215625</v>
      </c>
      <c r="E110" s="14" t="n">
        <v>105</v>
      </c>
      <c r="F110" s="15" t="n">
        <f aca="false">IF(D110="","",ROUND((D110-MIN($D$7:$D$9999))*86400,2))</f>
        <v>92.89</v>
      </c>
      <c r="G110" s="10" t="str">
        <f aca="false">IF(D110="","",IF(D110&lt;=($E$3*60+$F$3)/86400,"○",""))</f>
        <v/>
      </c>
      <c r="H110" s="16"/>
      <c r="I110" s="17"/>
      <c r="J110" s="16" t="n">
        <v>0.00285358796296296</v>
      </c>
      <c r="K110" s="17" t="n">
        <v>590</v>
      </c>
      <c r="L110" s="17" t="n">
        <f aca="false">COUNT(E110,I110,K110)</f>
        <v>2</v>
      </c>
      <c r="M110" s="18" t="n">
        <f aca="false">(D110&lt;&gt;"")*(D110&lt;=($E$3*60+$F$3)/86400)+(H110&lt;&gt;"")*(H110&lt;=($I$3*60+$J$3)/86400)+(J110&lt;&gt;"")*(J110&lt;=($M$3*60+$N$3)/86400)</f>
        <v>0</v>
      </c>
      <c r="N110" s="20"/>
      <c r="O110" s="20"/>
      <c r="P110" s="20"/>
      <c r="Q110" s="19"/>
    </row>
    <row r="111" customFormat="false" ht="15" hidden="false" customHeight="false" outlineLevel="0" collapsed="false">
      <c r="A111" s="10" t="n">
        <v>105</v>
      </c>
      <c r="B111" s="11" t="s">
        <v>226</v>
      </c>
      <c r="C111" s="12" t="s">
        <v>199</v>
      </c>
      <c r="D111" s="13" t="n">
        <v>0.0102157407407407</v>
      </c>
      <c r="E111" s="14" t="n">
        <v>106</v>
      </c>
      <c r="F111" s="15" t="n">
        <f aca="false">IF(D111="","",ROUND((D111-MIN($D$7:$D$9999))*86400,2))</f>
        <v>92.9</v>
      </c>
      <c r="G111" s="10" t="str">
        <f aca="false">IF(D111="","",IF(D111&lt;=($E$3*60+$F$3)/86400,"○",""))</f>
        <v/>
      </c>
      <c r="H111" s="16" t="n">
        <v>0.00668009259259259</v>
      </c>
      <c r="I111" s="17" t="n">
        <v>98</v>
      </c>
      <c r="J111" s="16"/>
      <c r="K111" s="17"/>
      <c r="L111" s="17" t="n">
        <f aca="false">COUNT(E111,I111,K111)</f>
        <v>2</v>
      </c>
      <c r="M111" s="18" t="n">
        <f aca="false">(D111&lt;&gt;"")*(D111&lt;=($E$3*60+$F$3)/86400)+(H111&lt;&gt;"")*(H111&lt;=($I$3*60+$J$3)/86400)+(J111&lt;&gt;"")*(J111&lt;=($M$3*60+$N$3)/86400)</f>
        <v>0</v>
      </c>
      <c r="N111" s="20"/>
      <c r="O111" s="20"/>
      <c r="P111" s="20"/>
      <c r="Q111" s="19"/>
    </row>
    <row r="112" customFormat="false" ht="15" hidden="false" customHeight="false" outlineLevel="0" collapsed="false">
      <c r="A112" s="10" t="n">
        <v>106</v>
      </c>
      <c r="B112" s="11" t="s">
        <v>227</v>
      </c>
      <c r="C112" s="12" t="s">
        <v>228</v>
      </c>
      <c r="D112" s="13" t="n">
        <v>0.0102170138888889</v>
      </c>
      <c r="E112" s="14" t="n">
        <v>107</v>
      </c>
      <c r="F112" s="15" t="n">
        <f aca="false">IF(D112="","",ROUND((D112-MIN($D$7:$D$9999))*86400,2))</f>
        <v>93.01</v>
      </c>
      <c r="G112" s="10" t="str">
        <f aca="false">IF(D112="","",IF(D112&lt;=($E$3*60+$F$3)/86400,"○",""))</f>
        <v/>
      </c>
      <c r="H112" s="16"/>
      <c r="I112" s="17"/>
      <c r="J112" s="16" t="n">
        <v>0.00274849537037037</v>
      </c>
      <c r="K112" s="17" t="n">
        <v>97</v>
      </c>
      <c r="L112" s="17" t="n">
        <f aca="false">COUNT(E112,I112,K112)</f>
        <v>2</v>
      </c>
      <c r="M112" s="18" t="n">
        <f aca="false">(D112&lt;&gt;"")*(D112&lt;=($E$3*60+$F$3)/86400)+(H112&lt;&gt;"")*(H112&lt;=($I$3*60+$J$3)/86400)+(J112&lt;&gt;"")*(J112&lt;=($M$3*60+$N$3)/86400)</f>
        <v>0</v>
      </c>
      <c r="N112" s="20"/>
      <c r="O112" s="20" t="s">
        <v>229</v>
      </c>
      <c r="P112" s="20"/>
      <c r="Q112" s="19"/>
    </row>
    <row r="113" customFormat="false" ht="15" hidden="false" customHeight="false" outlineLevel="0" collapsed="false">
      <c r="A113" s="10" t="n">
        <v>107</v>
      </c>
      <c r="B113" s="11" t="s">
        <v>230</v>
      </c>
      <c r="C113" s="12" t="s">
        <v>167</v>
      </c>
      <c r="D113" s="13" t="n">
        <v>0.0102188657407407</v>
      </c>
      <c r="E113" s="14" t="n">
        <v>108</v>
      </c>
      <c r="F113" s="15" t="n">
        <f aca="false">IF(D113="","",ROUND((D113-MIN($D$7:$D$9999))*86400,2))</f>
        <v>93.17</v>
      </c>
      <c r="G113" s="10" t="str">
        <f aca="false">IF(D113="","",IF(D113&lt;=($E$3*60+$F$3)/86400,"○",""))</f>
        <v/>
      </c>
      <c r="H113" s="16"/>
      <c r="I113" s="17"/>
      <c r="J113" s="16" t="n">
        <v>0.00279363425925926</v>
      </c>
      <c r="K113" s="17" t="n">
        <v>252</v>
      </c>
      <c r="L113" s="17" t="n">
        <f aca="false">COUNT(E113,I113,K113)</f>
        <v>2</v>
      </c>
      <c r="M113" s="18" t="n">
        <f aca="false">(D113&lt;&gt;"")*(D113&lt;=($E$3*60+$F$3)/86400)+(H113&lt;&gt;"")*(H113&lt;=($I$3*60+$J$3)/86400)+(J113&lt;&gt;"")*(J113&lt;=($M$3*60+$N$3)/86400)</f>
        <v>0</v>
      </c>
      <c r="N113" s="20"/>
      <c r="O113" s="20"/>
      <c r="P113" s="20"/>
      <c r="Q113" s="19"/>
    </row>
    <row r="114" customFormat="false" ht="15" hidden="false" customHeight="false" outlineLevel="0" collapsed="false">
      <c r="A114" s="10" t="n">
        <v>108</v>
      </c>
      <c r="B114" s="11" t="s">
        <v>231</v>
      </c>
      <c r="C114" s="12" t="s">
        <v>32</v>
      </c>
      <c r="D114" s="13" t="n">
        <v>0.0102216435185185</v>
      </c>
      <c r="E114" s="14" t="n">
        <v>109</v>
      </c>
      <c r="F114" s="15" t="n">
        <f aca="false">IF(D114="","",ROUND((D114-MIN($D$7:$D$9999))*86400,2))</f>
        <v>93.41</v>
      </c>
      <c r="G114" s="10" t="str">
        <f aca="false">IF(D114="","",IF(D114&lt;=($E$3*60+$F$3)/86400,"○",""))</f>
        <v/>
      </c>
      <c r="H114" s="16"/>
      <c r="I114" s="17"/>
      <c r="J114" s="16" t="n">
        <v>0.00285625</v>
      </c>
      <c r="K114" s="17" t="n">
        <v>610</v>
      </c>
      <c r="L114" s="17" t="n">
        <f aca="false">COUNT(E114,I114,K114)</f>
        <v>2</v>
      </c>
      <c r="M114" s="18" t="n">
        <f aca="false">(D114&lt;&gt;"")*(D114&lt;=($E$3*60+$F$3)/86400)+(H114&lt;&gt;"")*(H114&lt;=($I$3*60+$J$3)/86400)+(J114&lt;&gt;"")*(J114&lt;=($M$3*60+$N$3)/86400)</f>
        <v>0</v>
      </c>
      <c r="N114" s="20"/>
      <c r="O114" s="20"/>
      <c r="P114" s="20"/>
      <c r="Q114" s="19"/>
    </row>
    <row r="115" customFormat="false" ht="15" hidden="false" customHeight="false" outlineLevel="0" collapsed="false">
      <c r="A115" s="10" t="n">
        <v>109</v>
      </c>
      <c r="B115" s="11" t="s">
        <v>232</v>
      </c>
      <c r="C115" s="12" t="s">
        <v>155</v>
      </c>
      <c r="D115" s="13" t="n">
        <v>0.0102280092592593</v>
      </c>
      <c r="E115" s="14" t="n">
        <v>110</v>
      </c>
      <c r="F115" s="15" t="n">
        <f aca="false">IF(D115="","",ROUND((D115-MIN($D$7:$D$9999))*86400,2))</f>
        <v>93.96</v>
      </c>
      <c r="G115" s="10" t="str">
        <f aca="false">IF(D115="","",IF(D115&lt;=($E$3*60+$F$3)/86400,"○",""))</f>
        <v/>
      </c>
      <c r="H115" s="16"/>
      <c r="I115" s="17"/>
      <c r="J115" s="16" t="n">
        <v>0.00285231481481482</v>
      </c>
      <c r="K115" s="17" t="n">
        <v>581</v>
      </c>
      <c r="L115" s="17" t="n">
        <f aca="false">COUNT(E115,I115,K115)</f>
        <v>2</v>
      </c>
      <c r="M115" s="18" t="n">
        <f aca="false">(D115&lt;&gt;"")*(D115&lt;=($E$3*60+$F$3)/86400)+(H115&lt;&gt;"")*(H115&lt;=($I$3*60+$J$3)/86400)+(J115&lt;&gt;"")*(J115&lt;=($M$3*60+$N$3)/86400)</f>
        <v>0</v>
      </c>
      <c r="N115" s="20"/>
      <c r="O115" s="20"/>
      <c r="P115" s="20"/>
      <c r="Q115" s="19"/>
    </row>
    <row r="116" customFormat="false" ht="15" hidden="false" customHeight="false" outlineLevel="0" collapsed="false">
      <c r="A116" s="10" t="n">
        <v>110</v>
      </c>
      <c r="B116" s="11" t="s">
        <v>233</v>
      </c>
      <c r="C116" s="12" t="s">
        <v>123</v>
      </c>
      <c r="D116" s="13" t="n">
        <v>0.0102291666666667</v>
      </c>
      <c r="E116" s="14" t="n">
        <v>111</v>
      </c>
      <c r="F116" s="15" t="n">
        <f aca="false">IF(D116="","",ROUND((D116-MIN($D$7:$D$9999))*86400,2))</f>
        <v>94.06</v>
      </c>
      <c r="G116" s="10" t="str">
        <f aca="false">IF(D116="","",IF(D116&lt;=($E$3*60+$F$3)/86400,"○",""))</f>
        <v/>
      </c>
      <c r="H116" s="16"/>
      <c r="I116" s="17"/>
      <c r="J116" s="16" t="n">
        <v>0.00281643518518519</v>
      </c>
      <c r="K116" s="17" t="n">
        <v>346</v>
      </c>
      <c r="L116" s="17" t="n">
        <f aca="false">COUNT(E116,I116,K116)</f>
        <v>2</v>
      </c>
      <c r="M116" s="18" t="n">
        <f aca="false">(D116&lt;&gt;"")*(D116&lt;=($E$3*60+$F$3)/86400)+(H116&lt;&gt;"")*(H116&lt;=($I$3*60+$J$3)/86400)+(J116&lt;&gt;"")*(J116&lt;=($M$3*60+$N$3)/86400)</f>
        <v>0</v>
      </c>
      <c r="N116" s="20" t="s">
        <v>234</v>
      </c>
      <c r="O116" s="20"/>
      <c r="P116" s="20"/>
      <c r="Q116" s="19"/>
    </row>
    <row r="117" customFormat="false" ht="15" hidden="false" customHeight="false" outlineLevel="0" collapsed="false">
      <c r="A117" s="10" t="n">
        <v>111</v>
      </c>
      <c r="B117" s="11" t="s">
        <v>235</v>
      </c>
      <c r="C117" s="12" t="s">
        <v>236</v>
      </c>
      <c r="D117" s="13" t="n">
        <v>0.0102315972222222</v>
      </c>
      <c r="E117" s="14" t="n">
        <v>112</v>
      </c>
      <c r="F117" s="15" t="n">
        <f aca="false">IF(D117="","",ROUND((D117-MIN($D$7:$D$9999))*86400,2))</f>
        <v>94.27</v>
      </c>
      <c r="G117" s="10" t="str">
        <f aca="false">IF(D117="","",IF(D117&lt;=($E$3*60+$F$3)/86400,"○",""))</f>
        <v/>
      </c>
      <c r="H117" s="16"/>
      <c r="I117" s="17"/>
      <c r="J117" s="16" t="n">
        <v>0.00273877314814815</v>
      </c>
      <c r="K117" s="17" t="n">
        <v>83</v>
      </c>
      <c r="L117" s="17" t="n">
        <f aca="false">COUNT(E117,I117,K117)</f>
        <v>2</v>
      </c>
      <c r="M117" s="18" t="n">
        <f aca="false">(D117&lt;&gt;"")*(D117&lt;=($E$3*60+$F$3)/86400)+(H117&lt;&gt;"")*(H117&lt;=($I$3*60+$J$3)/86400)+(J117&lt;&gt;"")*(J117&lt;=($M$3*60+$N$3)/86400)</f>
        <v>0</v>
      </c>
      <c r="N117" s="20"/>
      <c r="O117" s="20"/>
      <c r="P117" s="20"/>
      <c r="Q117" s="19"/>
    </row>
    <row r="118" customFormat="false" ht="15" hidden="false" customHeight="false" outlineLevel="0" collapsed="false">
      <c r="A118" s="10" t="n">
        <v>112</v>
      </c>
      <c r="B118" s="11" t="s">
        <v>237</v>
      </c>
      <c r="C118" s="12" t="s">
        <v>37</v>
      </c>
      <c r="D118" s="13" t="n">
        <v>0.010234837962963</v>
      </c>
      <c r="E118" s="14" t="n">
        <v>113</v>
      </c>
      <c r="F118" s="15" t="n">
        <f aca="false">IF(D118="","",ROUND((D118-MIN($D$7:$D$9999))*86400,2))</f>
        <v>94.55</v>
      </c>
      <c r="G118" s="10" t="str">
        <f aca="false">IF(D118="","",IF(D118&lt;=($E$3*60+$F$3)/86400,"○",""))</f>
        <v/>
      </c>
      <c r="H118" s="16"/>
      <c r="I118" s="17"/>
      <c r="J118" s="16"/>
      <c r="K118" s="17"/>
      <c r="L118" s="17" t="n">
        <f aca="false">COUNT(E118,I118,K118)</f>
        <v>1</v>
      </c>
      <c r="M118" s="18" t="n">
        <f aca="false">(D118&lt;&gt;"")*(D118&lt;=($E$3*60+$F$3)/86400)+(H118&lt;&gt;"")*(H118&lt;=($I$3*60+$J$3)/86400)+(J118&lt;&gt;"")*(J118&lt;=($M$3*60+$N$3)/86400)</f>
        <v>0</v>
      </c>
      <c r="N118" s="20"/>
      <c r="O118" s="20"/>
      <c r="P118" s="20"/>
      <c r="Q118" s="19"/>
    </row>
    <row r="119" customFormat="false" ht="15" hidden="false" customHeight="false" outlineLevel="0" collapsed="false">
      <c r="A119" s="10" t="n">
        <v>113</v>
      </c>
      <c r="B119" s="11" t="s">
        <v>238</v>
      </c>
      <c r="C119" s="12" t="s">
        <v>155</v>
      </c>
      <c r="D119" s="13" t="n">
        <v>0.0102357638888889</v>
      </c>
      <c r="E119" s="14" t="n">
        <v>114</v>
      </c>
      <c r="F119" s="15" t="n">
        <f aca="false">IF(D119="","",ROUND((D119-MIN($D$7:$D$9999))*86400,2))</f>
        <v>94.63</v>
      </c>
      <c r="G119" s="10" t="str">
        <f aca="false">IF(D119="","",IF(D119&lt;=($E$3*60+$F$3)/86400,"○",""))</f>
        <v/>
      </c>
      <c r="H119" s="16" t="n">
        <v>0.00656354166666667</v>
      </c>
      <c r="I119" s="17" t="n">
        <v>50</v>
      </c>
      <c r="J119" s="16" t="n">
        <v>0.00269826388888889</v>
      </c>
      <c r="K119" s="17" t="n">
        <v>25</v>
      </c>
      <c r="L119" s="17" t="n">
        <f aca="false">COUNT(E119,I119,K119)</f>
        <v>3</v>
      </c>
      <c r="M119" s="18" t="n">
        <f aca="false">(D119&lt;&gt;"")*(D119&lt;=($E$3*60+$F$3)/86400)+(H119&lt;&gt;"")*(H119&lt;=($I$3*60+$J$3)/86400)+(J119&lt;&gt;"")*(J119&lt;=($M$3*60+$N$3)/86400)</f>
        <v>1</v>
      </c>
      <c r="N119" s="20"/>
      <c r="O119" s="20"/>
      <c r="P119" s="20"/>
      <c r="Q119" s="19"/>
    </row>
    <row r="120" customFormat="false" ht="15" hidden="false" customHeight="false" outlineLevel="0" collapsed="false">
      <c r="A120" s="10" t="n">
        <v>114</v>
      </c>
      <c r="B120" s="11" t="s">
        <v>239</v>
      </c>
      <c r="C120" s="12" t="s">
        <v>240</v>
      </c>
      <c r="D120" s="13" t="n">
        <v>0.0102358796296296</v>
      </c>
      <c r="E120" s="14" t="n">
        <v>115</v>
      </c>
      <c r="F120" s="15" t="n">
        <f aca="false">IF(D120="","",ROUND((D120-MIN($D$7:$D$9999))*86400,2))</f>
        <v>94.64</v>
      </c>
      <c r="G120" s="10" t="str">
        <f aca="false">IF(D120="","",IF(D120&lt;=($E$3*60+$F$3)/86400,"○",""))</f>
        <v/>
      </c>
      <c r="H120" s="16"/>
      <c r="I120" s="17"/>
      <c r="J120" s="16" t="n">
        <v>0.0029318287037037</v>
      </c>
      <c r="K120" s="17" t="n">
        <v>1177</v>
      </c>
      <c r="L120" s="17" t="n">
        <f aca="false">COUNT(E120,I120,K120)</f>
        <v>2</v>
      </c>
      <c r="M120" s="18" t="n">
        <f aca="false">(D120&lt;&gt;"")*(D120&lt;=($E$3*60+$F$3)/86400)+(H120&lt;&gt;"")*(H120&lt;=($I$3*60+$J$3)/86400)+(J120&lt;&gt;"")*(J120&lt;=($M$3*60+$N$3)/86400)</f>
        <v>0</v>
      </c>
      <c r="N120" s="20" t="s">
        <v>241</v>
      </c>
      <c r="O120" s="20"/>
      <c r="P120" s="20"/>
      <c r="Q120" s="19"/>
    </row>
    <row r="121" customFormat="false" ht="15" hidden="false" customHeight="false" outlineLevel="0" collapsed="false">
      <c r="A121" s="10" t="n">
        <v>115</v>
      </c>
      <c r="B121" s="11" t="s">
        <v>242</v>
      </c>
      <c r="C121" s="12" t="s">
        <v>243</v>
      </c>
      <c r="D121" s="13" t="n">
        <v>0.0102368055555556</v>
      </c>
      <c r="E121" s="14" t="n">
        <v>116</v>
      </c>
      <c r="F121" s="15" t="n">
        <f aca="false">IF(D121="","",ROUND((D121-MIN($D$7:$D$9999))*86400,2))</f>
        <v>94.72</v>
      </c>
      <c r="G121" s="10" t="str">
        <f aca="false">IF(D121="","",IF(D121&lt;=($E$3*60+$F$3)/86400,"○",""))</f>
        <v/>
      </c>
      <c r="H121" s="16"/>
      <c r="I121" s="17"/>
      <c r="J121" s="16"/>
      <c r="K121" s="17"/>
      <c r="L121" s="17" t="n">
        <f aca="false">COUNT(E121,I121,K121)</f>
        <v>1</v>
      </c>
      <c r="M121" s="18" t="n">
        <f aca="false">(D121&lt;&gt;"")*(D121&lt;=($E$3*60+$F$3)/86400)+(H121&lt;&gt;"")*(H121&lt;=($I$3*60+$J$3)/86400)+(J121&lt;&gt;"")*(J121&lt;=($M$3*60+$N$3)/86400)</f>
        <v>0</v>
      </c>
      <c r="N121" s="20"/>
      <c r="O121" s="20"/>
      <c r="P121" s="20"/>
      <c r="Q121" s="19"/>
    </row>
    <row r="122" customFormat="false" ht="15" hidden="false" customHeight="false" outlineLevel="0" collapsed="false">
      <c r="A122" s="10" t="n">
        <v>116</v>
      </c>
      <c r="B122" s="11" t="s">
        <v>244</v>
      </c>
      <c r="C122" s="12" t="s">
        <v>245</v>
      </c>
      <c r="D122" s="13" t="n">
        <v>0.0102376157407407</v>
      </c>
      <c r="E122" s="14" t="n">
        <v>117</v>
      </c>
      <c r="F122" s="15" t="n">
        <f aca="false">IF(D122="","",ROUND((D122-MIN($D$7:$D$9999))*86400,2))</f>
        <v>94.79</v>
      </c>
      <c r="G122" s="10" t="str">
        <f aca="false">IF(D122="","",IF(D122&lt;=($E$3*60+$F$3)/86400,"○",""))</f>
        <v/>
      </c>
      <c r="H122" s="16"/>
      <c r="I122" s="17"/>
      <c r="J122" s="16" t="n">
        <v>0.00285590277777778</v>
      </c>
      <c r="K122" s="17" t="n">
        <v>605</v>
      </c>
      <c r="L122" s="17" t="n">
        <f aca="false">COUNT(E122,I122,K122)</f>
        <v>2</v>
      </c>
      <c r="M122" s="18" t="n">
        <f aca="false">(D122&lt;&gt;"")*(D122&lt;=($E$3*60+$F$3)/86400)+(H122&lt;&gt;"")*(H122&lt;=($I$3*60+$J$3)/86400)+(J122&lt;&gt;"")*(J122&lt;=($M$3*60+$N$3)/86400)</f>
        <v>0</v>
      </c>
      <c r="N122" s="20"/>
      <c r="O122" s="20" t="s">
        <v>246</v>
      </c>
      <c r="P122" s="20"/>
      <c r="Q122" s="19"/>
    </row>
    <row r="123" customFormat="false" ht="15" hidden="false" customHeight="false" outlineLevel="0" collapsed="false">
      <c r="A123" s="10" t="n">
        <v>117</v>
      </c>
      <c r="B123" s="11" t="s">
        <v>247</v>
      </c>
      <c r="C123" s="12" t="s">
        <v>248</v>
      </c>
      <c r="D123" s="13" t="n">
        <v>0.0102384259259259</v>
      </c>
      <c r="E123" s="14" t="n">
        <v>118</v>
      </c>
      <c r="F123" s="15" t="n">
        <f aca="false">IF(D123="","",ROUND((D123-MIN($D$7:$D$9999))*86400,2))</f>
        <v>94.86</v>
      </c>
      <c r="G123" s="10" t="str">
        <f aca="false">IF(D123="","",IF(D123&lt;=($E$3*60+$F$3)/86400,"○",""))</f>
        <v/>
      </c>
      <c r="H123" s="16"/>
      <c r="I123" s="17"/>
      <c r="J123" s="16" t="n">
        <v>0.00276053240740741</v>
      </c>
      <c r="K123" s="17" t="n">
        <v>137</v>
      </c>
      <c r="L123" s="17" t="n">
        <f aca="false">COUNT(E123,I123,K123)</f>
        <v>2</v>
      </c>
      <c r="M123" s="18" t="n">
        <f aca="false">(D123&lt;&gt;"")*(D123&lt;=($E$3*60+$F$3)/86400)+(H123&lt;&gt;"")*(H123&lt;=($I$3*60+$J$3)/86400)+(J123&lt;&gt;"")*(J123&lt;=($M$3*60+$N$3)/86400)</f>
        <v>0</v>
      </c>
      <c r="N123" s="20"/>
      <c r="O123" s="20"/>
      <c r="P123" s="20"/>
      <c r="Q123" s="19"/>
    </row>
    <row r="124" customFormat="false" ht="15" hidden="false" customHeight="false" outlineLevel="0" collapsed="false">
      <c r="A124" s="10" t="n">
        <v>118</v>
      </c>
      <c r="B124" s="11" t="s">
        <v>249</v>
      </c>
      <c r="C124" s="12" t="s">
        <v>250</v>
      </c>
      <c r="D124" s="13" t="n">
        <v>0.0102386574074074</v>
      </c>
      <c r="E124" s="14" t="n">
        <v>119</v>
      </c>
      <c r="F124" s="15" t="n">
        <f aca="false">IF(D124="","",ROUND((D124-MIN($D$7:$D$9999))*86400,2))</f>
        <v>94.88</v>
      </c>
      <c r="G124" s="10" t="str">
        <f aca="false">IF(D124="","",IF(D124&lt;=($E$3*60+$F$3)/86400,"○",""))</f>
        <v/>
      </c>
      <c r="H124" s="16"/>
      <c r="I124" s="17"/>
      <c r="J124" s="16" t="n">
        <v>0.00282083333333333</v>
      </c>
      <c r="K124" s="17" t="n">
        <v>368</v>
      </c>
      <c r="L124" s="17" t="n">
        <f aca="false">COUNT(E124,I124,K124)</f>
        <v>2</v>
      </c>
      <c r="M124" s="18" t="n">
        <f aca="false">(D124&lt;&gt;"")*(D124&lt;=($E$3*60+$F$3)/86400)+(H124&lt;&gt;"")*(H124&lt;=($I$3*60+$J$3)/86400)+(J124&lt;&gt;"")*(J124&lt;=($M$3*60+$N$3)/86400)</f>
        <v>0</v>
      </c>
      <c r="N124" s="20"/>
      <c r="O124" s="20"/>
      <c r="P124" s="12" t="s">
        <v>251</v>
      </c>
      <c r="Q124" s="19"/>
    </row>
    <row r="125" customFormat="false" ht="15" hidden="false" customHeight="false" outlineLevel="0" collapsed="false">
      <c r="A125" s="10" t="n">
        <v>119</v>
      </c>
      <c r="B125" s="11" t="s">
        <v>252</v>
      </c>
      <c r="C125" s="12" t="s">
        <v>253</v>
      </c>
      <c r="D125" s="13" t="n">
        <v>0.0102403935185185</v>
      </c>
      <c r="E125" s="14" t="n">
        <v>120</v>
      </c>
      <c r="F125" s="15" t="n">
        <f aca="false">IF(D125="","",ROUND((D125-MIN($D$7:$D$9999))*86400,2))</f>
        <v>95.03</v>
      </c>
      <c r="G125" s="10" t="str">
        <f aca="false">IF(D125="","",IF(D125&lt;=($E$3*60+$F$3)/86400,"○",""))</f>
        <v/>
      </c>
      <c r="H125" s="16"/>
      <c r="I125" s="17"/>
      <c r="J125" s="16" t="n">
        <v>0.00279675925925926</v>
      </c>
      <c r="K125" s="17" t="n">
        <v>268</v>
      </c>
      <c r="L125" s="17" t="n">
        <f aca="false">COUNT(E125,I125,K125)</f>
        <v>2</v>
      </c>
      <c r="M125" s="18" t="n">
        <f aca="false">(D125&lt;&gt;"")*(D125&lt;=($E$3*60+$F$3)/86400)+(H125&lt;&gt;"")*(H125&lt;=($I$3*60+$J$3)/86400)+(J125&lt;&gt;"")*(J125&lt;=($M$3*60+$N$3)/86400)</f>
        <v>0</v>
      </c>
      <c r="N125" s="20" t="s">
        <v>254</v>
      </c>
      <c r="O125" s="20"/>
      <c r="P125" s="20"/>
      <c r="Q125" s="19"/>
    </row>
    <row r="126" customFormat="false" ht="15" hidden="false" customHeight="false" outlineLevel="0" collapsed="false">
      <c r="A126" s="10" t="n">
        <v>120</v>
      </c>
      <c r="B126" s="11" t="s">
        <v>255</v>
      </c>
      <c r="C126" s="12" t="s">
        <v>256</v>
      </c>
      <c r="D126" s="13" t="n">
        <v>0.0102405092592593</v>
      </c>
      <c r="E126" s="14" t="n">
        <v>121</v>
      </c>
      <c r="F126" s="15" t="n">
        <f aca="false">IF(D126="","",ROUND((D126-MIN($D$7:$D$9999))*86400,2))</f>
        <v>95.04</v>
      </c>
      <c r="G126" s="10" t="str">
        <f aca="false">IF(D126="","",IF(D126&lt;=($E$3*60+$F$3)/86400,"○",""))</f>
        <v/>
      </c>
      <c r="H126" s="16"/>
      <c r="I126" s="17"/>
      <c r="J126" s="16" t="n">
        <v>0.00284490740740741</v>
      </c>
      <c r="K126" s="17" t="n">
        <v>535</v>
      </c>
      <c r="L126" s="17" t="n">
        <f aca="false">COUNT(E126,I126,K126)</f>
        <v>2</v>
      </c>
      <c r="M126" s="18" t="n">
        <f aca="false">(D126&lt;&gt;"")*(D126&lt;=($E$3*60+$F$3)/86400)+(H126&lt;&gt;"")*(H126&lt;=($I$3*60+$J$3)/86400)+(J126&lt;&gt;"")*(J126&lt;=($M$3*60+$N$3)/86400)</f>
        <v>0</v>
      </c>
      <c r="N126" s="20"/>
      <c r="O126" s="20"/>
      <c r="P126" s="20"/>
      <c r="Q126" s="19"/>
    </row>
    <row r="127" customFormat="false" ht="15" hidden="false" customHeight="false" outlineLevel="0" collapsed="false">
      <c r="A127" s="10" t="n">
        <v>121</v>
      </c>
      <c r="B127" s="11" t="s">
        <v>257</v>
      </c>
      <c r="C127" s="12" t="s">
        <v>37</v>
      </c>
      <c r="D127" s="13" t="n">
        <v>0.0102427083333333</v>
      </c>
      <c r="E127" s="14" t="n">
        <v>122</v>
      </c>
      <c r="F127" s="15" t="n">
        <f aca="false">IF(D127="","",ROUND((D127-MIN($D$7:$D$9999))*86400,2))</f>
        <v>95.23</v>
      </c>
      <c r="G127" s="10" t="str">
        <f aca="false">IF(D127="","",IF(D127&lt;=($E$3*60+$F$3)/86400,"○",""))</f>
        <v/>
      </c>
      <c r="H127" s="16"/>
      <c r="I127" s="17"/>
      <c r="J127" s="16" t="n">
        <v>0.00289537037037037</v>
      </c>
      <c r="K127" s="17" t="n">
        <v>913</v>
      </c>
      <c r="L127" s="17" t="n">
        <f aca="false">COUNT(E127,I127,K127)</f>
        <v>2</v>
      </c>
      <c r="M127" s="18" t="n">
        <f aca="false">(D127&lt;&gt;"")*(D127&lt;=($E$3*60+$F$3)/86400)+(H127&lt;&gt;"")*(H127&lt;=($I$3*60+$J$3)/86400)+(J127&lt;&gt;"")*(J127&lt;=($M$3*60+$N$3)/86400)</f>
        <v>0</v>
      </c>
      <c r="N127" s="20"/>
      <c r="O127" s="20"/>
      <c r="P127" s="20"/>
      <c r="Q127" s="19"/>
    </row>
    <row r="128" customFormat="false" ht="15" hidden="false" customHeight="false" outlineLevel="0" collapsed="false">
      <c r="A128" s="10" t="n">
        <v>122</v>
      </c>
      <c r="B128" s="11" t="s">
        <v>258</v>
      </c>
      <c r="C128" s="12" t="s">
        <v>259</v>
      </c>
      <c r="D128" s="13" t="n">
        <v>0.0102435185185185</v>
      </c>
      <c r="E128" s="14" t="n">
        <v>123</v>
      </c>
      <c r="F128" s="15" t="n">
        <f aca="false">IF(D128="","",ROUND((D128-MIN($D$7:$D$9999))*86400,2))</f>
        <v>95.3</v>
      </c>
      <c r="G128" s="10" t="str">
        <f aca="false">IF(D128="","",IF(D128&lt;=($E$3*60+$F$3)/86400,"○",""))</f>
        <v/>
      </c>
      <c r="H128" s="16"/>
      <c r="I128" s="17"/>
      <c r="J128" s="16" t="n">
        <v>0.00274872685185185</v>
      </c>
      <c r="K128" s="17" t="n">
        <v>99</v>
      </c>
      <c r="L128" s="17" t="n">
        <f aca="false">COUNT(E128,I128,K128)</f>
        <v>2</v>
      </c>
      <c r="M128" s="18" t="n">
        <f aca="false">(D128&lt;&gt;"")*(D128&lt;=($E$3*60+$F$3)/86400)+(H128&lt;&gt;"")*(H128&lt;=($I$3*60+$J$3)/86400)+(J128&lt;&gt;"")*(J128&lt;=($M$3*60+$N$3)/86400)</f>
        <v>0</v>
      </c>
      <c r="N128" s="20"/>
      <c r="O128" s="20" t="s">
        <v>260</v>
      </c>
      <c r="P128" s="20"/>
      <c r="Q128" s="19"/>
    </row>
    <row r="129" customFormat="false" ht="15" hidden="false" customHeight="false" outlineLevel="0" collapsed="false">
      <c r="A129" s="10" t="n">
        <v>123</v>
      </c>
      <c r="B129" s="11" t="s">
        <v>261</v>
      </c>
      <c r="C129" s="12" t="s">
        <v>262</v>
      </c>
      <c r="D129" s="13" t="n">
        <v>0.0102439814814815</v>
      </c>
      <c r="E129" s="14" t="n">
        <v>124</v>
      </c>
      <c r="F129" s="15" t="n">
        <f aca="false">IF(D129="","",ROUND((D129-MIN($D$7:$D$9999))*86400,2))</f>
        <v>95.34</v>
      </c>
      <c r="G129" s="10" t="str">
        <f aca="false">IF(D129="","",IF(D129&lt;=($E$3*60+$F$3)/86400,"○",""))</f>
        <v/>
      </c>
      <c r="H129" s="16"/>
      <c r="I129" s="17"/>
      <c r="J129" s="16" t="n">
        <v>0.00282534722222222</v>
      </c>
      <c r="K129" s="17" t="n">
        <v>395</v>
      </c>
      <c r="L129" s="17" t="n">
        <f aca="false">COUNT(E129,I129,K129)</f>
        <v>2</v>
      </c>
      <c r="M129" s="18" t="n">
        <f aca="false">(D129&lt;&gt;"")*(D129&lt;=($E$3*60+$F$3)/86400)+(H129&lt;&gt;"")*(H129&lt;=($I$3*60+$J$3)/86400)+(J129&lt;&gt;"")*(J129&lt;=($M$3*60+$N$3)/86400)</f>
        <v>0</v>
      </c>
      <c r="N129" s="20"/>
      <c r="O129" s="20"/>
      <c r="P129" s="20"/>
      <c r="Q129" s="19"/>
    </row>
    <row r="130" customFormat="false" ht="15" hidden="false" customHeight="false" outlineLevel="0" collapsed="false">
      <c r="A130" s="10" t="n">
        <v>124</v>
      </c>
      <c r="B130" s="11" t="s">
        <v>263</v>
      </c>
      <c r="C130" s="12" t="s">
        <v>51</v>
      </c>
      <c r="D130" s="13" t="n">
        <v>0.0102445601851852</v>
      </c>
      <c r="E130" s="14" t="n">
        <v>125</v>
      </c>
      <c r="F130" s="15" t="n">
        <f aca="false">IF(D130="","",ROUND((D130-MIN($D$7:$D$9999))*86400,2))</f>
        <v>95.39</v>
      </c>
      <c r="G130" s="10" t="str">
        <f aca="false">IF(D130="","",IF(D130&lt;=($E$3*60+$F$3)/86400,"○",""))</f>
        <v/>
      </c>
      <c r="H130" s="16"/>
      <c r="I130" s="17"/>
      <c r="J130" s="16" t="n">
        <v>0.00285393518518519</v>
      </c>
      <c r="K130" s="17" t="n">
        <v>593</v>
      </c>
      <c r="L130" s="17" t="n">
        <f aca="false">COUNT(E130,I130,K130)</f>
        <v>2</v>
      </c>
      <c r="M130" s="18" t="n">
        <f aca="false">(D130&lt;&gt;"")*(D130&lt;=($E$3*60+$F$3)/86400)+(H130&lt;&gt;"")*(H130&lt;=($I$3*60+$J$3)/86400)+(J130&lt;&gt;"")*(J130&lt;=($M$3*60+$N$3)/86400)</f>
        <v>0</v>
      </c>
      <c r="N130" s="20"/>
      <c r="O130" s="20" t="s">
        <v>264</v>
      </c>
      <c r="P130" s="20"/>
      <c r="Q130" s="19"/>
    </row>
    <row r="131" customFormat="false" ht="15" hidden="false" customHeight="false" outlineLevel="0" collapsed="false">
      <c r="A131" s="10" t="n">
        <v>125</v>
      </c>
      <c r="B131" s="11" t="s">
        <v>265</v>
      </c>
      <c r="C131" s="12" t="s">
        <v>266</v>
      </c>
      <c r="D131" s="13" t="n">
        <v>0.0102458333333333</v>
      </c>
      <c r="E131" s="14" t="n">
        <v>126</v>
      </c>
      <c r="F131" s="15" t="n">
        <f aca="false">IF(D131="","",ROUND((D131-MIN($D$7:$D$9999))*86400,2))</f>
        <v>95.5</v>
      </c>
      <c r="G131" s="10" t="str">
        <f aca="false">IF(D131="","",IF(D131&lt;=($E$3*60+$F$3)/86400,"○",""))</f>
        <v/>
      </c>
      <c r="H131" s="16" t="n">
        <v>0.00804594907407407</v>
      </c>
      <c r="I131" s="17" t="n">
        <v>1199</v>
      </c>
      <c r="J131" s="16" t="n">
        <v>0.00271724537037037</v>
      </c>
      <c r="K131" s="17" t="n">
        <v>44</v>
      </c>
      <c r="L131" s="17" t="n">
        <f aca="false">COUNT(E131,I131,K131)</f>
        <v>3</v>
      </c>
      <c r="M131" s="18" t="n">
        <f aca="false">(D131&lt;&gt;"")*(D131&lt;=($E$3*60+$F$3)/86400)+(H131&lt;&gt;"")*(H131&lt;=($I$3*60+$J$3)/86400)+(J131&lt;&gt;"")*(J131&lt;=($M$3*60+$N$3)/86400)</f>
        <v>1</v>
      </c>
      <c r="N131" s="20" t="s">
        <v>267</v>
      </c>
      <c r="O131" s="20"/>
      <c r="P131" s="20"/>
      <c r="Q131" s="19"/>
    </row>
    <row r="132" customFormat="false" ht="15" hidden="false" customHeight="false" outlineLevel="0" collapsed="false">
      <c r="A132" s="10" t="n">
        <v>126</v>
      </c>
      <c r="B132" s="11" t="s">
        <v>268</v>
      </c>
      <c r="C132" s="12" t="s">
        <v>269</v>
      </c>
      <c r="D132" s="13" t="n">
        <v>0.0102467592592593</v>
      </c>
      <c r="E132" s="14" t="n">
        <v>127</v>
      </c>
      <c r="F132" s="15" t="n">
        <f aca="false">IF(D132="","",ROUND((D132-MIN($D$7:$D$9999))*86400,2))</f>
        <v>95.58</v>
      </c>
      <c r="G132" s="10" t="str">
        <f aca="false">IF(D132="","",IF(D132&lt;=($E$3*60+$F$3)/86400,"○",""))</f>
        <v/>
      </c>
      <c r="H132" s="16"/>
      <c r="I132" s="17"/>
      <c r="J132" s="16" t="n">
        <v>0.00287627314814815</v>
      </c>
      <c r="K132" s="17" t="n">
        <v>741</v>
      </c>
      <c r="L132" s="17" t="n">
        <f aca="false">COUNT(E132,I132,K132)</f>
        <v>2</v>
      </c>
      <c r="M132" s="18" t="n">
        <f aca="false">(D132&lt;&gt;"")*(D132&lt;=($E$3*60+$F$3)/86400)+(H132&lt;&gt;"")*(H132&lt;=($I$3*60+$J$3)/86400)+(J132&lt;&gt;"")*(J132&lt;=($M$3*60+$N$3)/86400)</f>
        <v>0</v>
      </c>
      <c r="N132" s="20"/>
      <c r="O132" s="20"/>
      <c r="P132" s="20"/>
      <c r="Q132" s="19"/>
    </row>
    <row r="133" customFormat="false" ht="15" hidden="false" customHeight="false" outlineLevel="0" collapsed="false">
      <c r="A133" s="10" t="n">
        <v>127</v>
      </c>
      <c r="B133" s="11" t="s">
        <v>270</v>
      </c>
      <c r="C133" s="12" t="s">
        <v>167</v>
      </c>
      <c r="D133" s="13" t="n">
        <v>0.0102480324074074</v>
      </c>
      <c r="E133" s="14" t="n">
        <v>128</v>
      </c>
      <c r="F133" s="15" t="n">
        <f aca="false">IF(D133="","",ROUND((D133-MIN($D$7:$D$9999))*86400,2))</f>
        <v>95.69</v>
      </c>
      <c r="G133" s="10" t="str">
        <f aca="false">IF(D133="","",IF(D133&lt;=($E$3*60+$F$3)/86400,"○",""))</f>
        <v/>
      </c>
      <c r="H133" s="16"/>
      <c r="I133" s="17"/>
      <c r="J133" s="16" t="n">
        <v>0.00277349537037037</v>
      </c>
      <c r="K133" s="17" t="n">
        <v>170</v>
      </c>
      <c r="L133" s="17" t="n">
        <f aca="false">COUNT(E133,I133,K133)</f>
        <v>2</v>
      </c>
      <c r="M133" s="18" t="n">
        <f aca="false">(D133&lt;&gt;"")*(D133&lt;=($E$3*60+$F$3)/86400)+(H133&lt;&gt;"")*(H133&lt;=($I$3*60+$J$3)/86400)+(J133&lt;&gt;"")*(J133&lt;=($M$3*60+$N$3)/86400)</f>
        <v>0</v>
      </c>
      <c r="N133" s="20"/>
      <c r="O133" s="20" t="s">
        <v>271</v>
      </c>
      <c r="P133" s="20"/>
      <c r="Q133" s="19"/>
    </row>
    <row r="134" customFormat="false" ht="15" hidden="false" customHeight="false" outlineLevel="0" collapsed="false">
      <c r="A134" s="10" t="n">
        <v>128</v>
      </c>
      <c r="B134" s="11" t="s">
        <v>272</v>
      </c>
      <c r="C134" s="12" t="s">
        <v>273</v>
      </c>
      <c r="D134" s="13" t="n">
        <v>0.0102574074074074</v>
      </c>
      <c r="E134" s="14" t="n">
        <v>129</v>
      </c>
      <c r="F134" s="15" t="n">
        <f aca="false">IF(D134="","",ROUND((D134-MIN($D$7:$D$9999))*86400,2))</f>
        <v>96.5</v>
      </c>
      <c r="G134" s="10" t="str">
        <f aca="false">IF(D134="","",IF(D134&lt;=($E$3*60+$F$3)/86400,"○",""))</f>
        <v/>
      </c>
      <c r="H134" s="16"/>
      <c r="I134" s="17"/>
      <c r="J134" s="16" t="n">
        <v>0.00276655092592593</v>
      </c>
      <c r="K134" s="17" t="n">
        <v>152</v>
      </c>
      <c r="L134" s="17" t="n">
        <f aca="false">COUNT(E134,I134,K134)</f>
        <v>2</v>
      </c>
      <c r="M134" s="18" t="n">
        <f aca="false">(D134&lt;&gt;"")*(D134&lt;=($E$3*60+$F$3)/86400)+(H134&lt;&gt;"")*(H134&lt;=($I$3*60+$J$3)/86400)+(J134&lt;&gt;"")*(J134&lt;=($M$3*60+$N$3)/86400)</f>
        <v>0</v>
      </c>
      <c r="N134" s="20"/>
      <c r="O134" s="20"/>
      <c r="P134" s="20"/>
      <c r="Q134" s="19"/>
    </row>
    <row r="135" customFormat="false" ht="15" hidden="false" customHeight="false" outlineLevel="0" collapsed="false">
      <c r="A135" s="10" t="n">
        <v>129</v>
      </c>
      <c r="B135" s="11" t="s">
        <v>274</v>
      </c>
      <c r="C135" s="12" t="s">
        <v>275</v>
      </c>
      <c r="D135" s="13" t="n">
        <v>0.0102626157407407</v>
      </c>
      <c r="E135" s="14" t="n">
        <v>130</v>
      </c>
      <c r="F135" s="15" t="n">
        <f aca="false">IF(D135="","",ROUND((D135-MIN($D$7:$D$9999))*86400,2))</f>
        <v>96.95</v>
      </c>
      <c r="G135" s="10" t="str">
        <f aca="false">IF(D135="","",IF(D135&lt;=($E$3*60+$F$3)/86400,"○",""))</f>
        <v/>
      </c>
      <c r="H135" s="16"/>
      <c r="I135" s="17"/>
      <c r="J135" s="16" t="n">
        <v>0.0027681712962963</v>
      </c>
      <c r="K135" s="17" t="n">
        <v>158</v>
      </c>
      <c r="L135" s="17" t="n">
        <f aca="false">COUNT(E135,I135,K135)</f>
        <v>2</v>
      </c>
      <c r="M135" s="18" t="n">
        <f aca="false">(D135&lt;&gt;"")*(D135&lt;=($E$3*60+$F$3)/86400)+(H135&lt;&gt;"")*(H135&lt;=($I$3*60+$J$3)/86400)+(J135&lt;&gt;"")*(J135&lt;=($M$3*60+$N$3)/86400)</f>
        <v>0</v>
      </c>
      <c r="N135" s="20"/>
      <c r="O135" s="20"/>
      <c r="P135" s="12" t="s">
        <v>276</v>
      </c>
      <c r="Q135" s="19"/>
    </row>
    <row r="136" customFormat="false" ht="15" hidden="false" customHeight="false" outlineLevel="0" collapsed="false">
      <c r="A136" s="10" t="n">
        <v>130</v>
      </c>
      <c r="B136" s="11" t="s">
        <v>277</v>
      </c>
      <c r="C136" s="12" t="s">
        <v>94</v>
      </c>
      <c r="D136" s="13" t="n">
        <v>0.0102633101851852</v>
      </c>
      <c r="E136" s="14" t="n">
        <v>131</v>
      </c>
      <c r="F136" s="15" t="n">
        <f aca="false">IF(D136="","",ROUND((D136-MIN($D$7:$D$9999))*86400,2))</f>
        <v>97.01</v>
      </c>
      <c r="G136" s="10" t="str">
        <f aca="false">IF(D136="","",IF(D136&lt;=($E$3*60+$F$3)/86400,"○",""))</f>
        <v/>
      </c>
      <c r="H136" s="16"/>
      <c r="I136" s="17"/>
      <c r="J136" s="16"/>
      <c r="K136" s="17"/>
      <c r="L136" s="17" t="n">
        <f aca="false">COUNT(E136,I136,K136)</f>
        <v>1</v>
      </c>
      <c r="M136" s="18" t="n">
        <f aca="false">(D136&lt;&gt;"")*(D136&lt;=($E$3*60+$F$3)/86400)+(H136&lt;&gt;"")*(H136&lt;=($I$3*60+$J$3)/86400)+(J136&lt;&gt;"")*(J136&lt;=($M$3*60+$N$3)/86400)</f>
        <v>0</v>
      </c>
      <c r="N136" s="20"/>
      <c r="O136" s="20"/>
      <c r="P136" s="20"/>
      <c r="Q136" s="19"/>
    </row>
    <row r="137" customFormat="false" ht="15" hidden="false" customHeight="false" outlineLevel="0" collapsed="false">
      <c r="A137" s="10" t="n">
        <v>131</v>
      </c>
      <c r="B137" s="11" t="s">
        <v>278</v>
      </c>
      <c r="C137" s="12" t="s">
        <v>228</v>
      </c>
      <c r="D137" s="13" t="n">
        <v>0.0102657407407407</v>
      </c>
      <c r="E137" s="14" t="n">
        <v>132</v>
      </c>
      <c r="F137" s="15" t="n">
        <f aca="false">IF(D137="","",ROUND((D137-MIN($D$7:$D$9999))*86400,2))</f>
        <v>97.22</v>
      </c>
      <c r="G137" s="10" t="str">
        <f aca="false">IF(D137="","",IF(D137&lt;=($E$3*60+$F$3)/86400,"○",""))</f>
        <v/>
      </c>
      <c r="H137" s="16" t="n">
        <v>0.00676458333333333</v>
      </c>
      <c r="I137" s="17" t="n">
        <v>141</v>
      </c>
      <c r="J137" s="16" t="n">
        <v>0.00273703703703704</v>
      </c>
      <c r="K137" s="17" t="n">
        <v>79</v>
      </c>
      <c r="L137" s="17" t="n">
        <f aca="false">COUNT(E137,I137,K137)</f>
        <v>3</v>
      </c>
      <c r="M137" s="18" t="n">
        <f aca="false">(D137&lt;&gt;"")*(D137&lt;=($E$3*60+$F$3)/86400)+(H137&lt;&gt;"")*(H137&lt;=($I$3*60+$J$3)/86400)+(J137&lt;&gt;"")*(J137&lt;=($M$3*60+$N$3)/86400)</f>
        <v>0</v>
      </c>
      <c r="N137" s="20"/>
      <c r="O137" s="20"/>
      <c r="P137" s="20"/>
      <c r="Q137" s="19"/>
    </row>
    <row r="138" customFormat="false" ht="15" hidden="false" customHeight="false" outlineLevel="0" collapsed="false">
      <c r="A138" s="10" t="n">
        <v>132</v>
      </c>
      <c r="B138" s="11" t="s">
        <v>279</v>
      </c>
      <c r="C138" s="12" t="s">
        <v>199</v>
      </c>
      <c r="D138" s="13" t="n">
        <v>0.0102665509259259</v>
      </c>
      <c r="E138" s="14" t="n">
        <v>133</v>
      </c>
      <c r="F138" s="15" t="n">
        <f aca="false">IF(D138="","",ROUND((D138-MIN($D$7:$D$9999))*86400,2))</f>
        <v>97.29</v>
      </c>
      <c r="G138" s="10" t="str">
        <f aca="false">IF(D138="","",IF(D138&lt;=($E$3*60+$F$3)/86400,"○",""))</f>
        <v/>
      </c>
      <c r="H138" s="16"/>
      <c r="I138" s="17"/>
      <c r="J138" s="16"/>
      <c r="K138" s="17"/>
      <c r="L138" s="17" t="n">
        <f aca="false">COUNT(E138,I138,K138)</f>
        <v>1</v>
      </c>
      <c r="M138" s="18" t="n">
        <f aca="false">(D138&lt;&gt;"")*(D138&lt;=($E$3*60+$F$3)/86400)+(H138&lt;&gt;"")*(H138&lt;=($I$3*60+$J$3)/86400)+(J138&lt;&gt;"")*(J138&lt;=($M$3*60+$N$3)/86400)</f>
        <v>0</v>
      </c>
      <c r="N138" s="20"/>
      <c r="O138" s="20"/>
      <c r="P138" s="20"/>
      <c r="Q138" s="19"/>
    </row>
    <row r="139" customFormat="false" ht="15" hidden="false" customHeight="false" outlineLevel="0" collapsed="false">
      <c r="A139" s="10" t="n">
        <v>133</v>
      </c>
      <c r="B139" s="11" t="s">
        <v>280</v>
      </c>
      <c r="C139" s="12" t="s">
        <v>281</v>
      </c>
      <c r="D139" s="13" t="n">
        <v>0.0102667824074074</v>
      </c>
      <c r="E139" s="14" t="n">
        <v>134</v>
      </c>
      <c r="F139" s="15" t="n">
        <f aca="false">IF(D139="","",ROUND((D139-MIN($D$7:$D$9999))*86400,2))</f>
        <v>97.31</v>
      </c>
      <c r="G139" s="10" t="str">
        <f aca="false">IF(D139="","",IF(D139&lt;=($E$3*60+$F$3)/86400,"○",""))</f>
        <v/>
      </c>
      <c r="H139" s="16"/>
      <c r="I139" s="17"/>
      <c r="J139" s="16"/>
      <c r="K139" s="17"/>
      <c r="L139" s="17" t="n">
        <f aca="false">COUNT(E139,I139,K139)</f>
        <v>1</v>
      </c>
      <c r="M139" s="18" t="n">
        <f aca="false">(D139&lt;&gt;"")*(D139&lt;=($E$3*60+$F$3)/86400)+(H139&lt;&gt;"")*(H139&lt;=($I$3*60+$J$3)/86400)+(J139&lt;&gt;"")*(J139&lt;=($M$3*60+$N$3)/86400)</f>
        <v>0</v>
      </c>
      <c r="N139" s="20"/>
      <c r="O139" s="20" t="s">
        <v>282</v>
      </c>
      <c r="P139" s="20"/>
      <c r="Q139" s="19"/>
    </row>
    <row r="140" customFormat="false" ht="15" hidden="false" customHeight="false" outlineLevel="0" collapsed="false">
      <c r="A140" s="10" t="n">
        <v>134</v>
      </c>
      <c r="B140" s="11" t="s">
        <v>283</v>
      </c>
      <c r="C140" s="12" t="s">
        <v>135</v>
      </c>
      <c r="D140" s="13" t="n">
        <v>0.0102670138888889</v>
      </c>
      <c r="E140" s="14" t="n">
        <v>135</v>
      </c>
      <c r="F140" s="15" t="n">
        <f aca="false">IF(D140="","",ROUND((D140-MIN($D$7:$D$9999))*86400,2))</f>
        <v>97.33</v>
      </c>
      <c r="G140" s="10" t="str">
        <f aca="false">IF(D140="","",IF(D140&lt;=($E$3*60+$F$3)/86400,"○",""))</f>
        <v/>
      </c>
      <c r="H140" s="16" t="n">
        <v>0.00697407407407407</v>
      </c>
      <c r="I140" s="17" t="n">
        <v>308</v>
      </c>
      <c r="J140" s="16" t="n">
        <v>0.00291087962962963</v>
      </c>
      <c r="K140" s="17" t="n">
        <v>1028</v>
      </c>
      <c r="L140" s="17" t="n">
        <f aca="false">COUNT(E140,I140,K140)</f>
        <v>3</v>
      </c>
      <c r="M140" s="18" t="n">
        <f aca="false">(D140&lt;&gt;"")*(D140&lt;=($E$3*60+$F$3)/86400)+(H140&lt;&gt;"")*(H140&lt;=($I$3*60+$J$3)/86400)+(J140&lt;&gt;"")*(J140&lt;=($M$3*60+$N$3)/86400)</f>
        <v>0</v>
      </c>
      <c r="N140" s="20"/>
      <c r="O140" s="20"/>
      <c r="P140" s="20"/>
      <c r="Q140" s="19"/>
    </row>
    <row r="141" customFormat="false" ht="15" hidden="false" customHeight="false" outlineLevel="0" collapsed="false">
      <c r="A141" s="10" t="n">
        <v>135</v>
      </c>
      <c r="B141" s="11" t="s">
        <v>284</v>
      </c>
      <c r="C141" s="12" t="s">
        <v>285</v>
      </c>
      <c r="D141" s="13" t="n">
        <v>0.0102678240740741</v>
      </c>
      <c r="E141" s="14" t="n">
        <v>136</v>
      </c>
      <c r="F141" s="15" t="n">
        <f aca="false">IF(D141="","",ROUND((D141-MIN($D$7:$D$9999))*86400,2))</f>
        <v>97.4</v>
      </c>
      <c r="G141" s="10" t="str">
        <f aca="false">IF(D141="","",IF(D141&lt;=($E$3*60+$F$3)/86400,"○",""))</f>
        <v/>
      </c>
      <c r="H141" s="16"/>
      <c r="I141" s="17"/>
      <c r="J141" s="16"/>
      <c r="K141" s="17"/>
      <c r="L141" s="17" t="n">
        <f aca="false">COUNT(E141,I141,K141)</f>
        <v>1</v>
      </c>
      <c r="M141" s="18" t="n">
        <f aca="false">(D141&lt;&gt;"")*(D141&lt;=($E$3*60+$F$3)/86400)+(H141&lt;&gt;"")*(H141&lt;=($I$3*60+$J$3)/86400)+(J141&lt;&gt;"")*(J141&lt;=($M$3*60+$N$3)/86400)</f>
        <v>0</v>
      </c>
      <c r="N141" s="20"/>
      <c r="O141" s="20" t="s">
        <v>286</v>
      </c>
      <c r="P141" s="20"/>
      <c r="Q141" s="19"/>
    </row>
    <row r="142" customFormat="false" ht="15" hidden="false" customHeight="false" outlineLevel="0" collapsed="false">
      <c r="A142" s="10" t="n">
        <v>136</v>
      </c>
      <c r="B142" s="11" t="s">
        <v>287</v>
      </c>
      <c r="C142" s="12" t="s">
        <v>288</v>
      </c>
      <c r="D142" s="13" t="n">
        <v>0.01026875</v>
      </c>
      <c r="E142" s="14" t="n">
        <v>137</v>
      </c>
      <c r="F142" s="15" t="n">
        <f aca="false">IF(D142="","",ROUND((D142-MIN($D$7:$D$9999))*86400,2))</f>
        <v>97.48</v>
      </c>
      <c r="G142" s="10" t="str">
        <f aca="false">IF(D142="","",IF(D142&lt;=($E$3*60+$F$3)/86400,"○",""))</f>
        <v/>
      </c>
      <c r="H142" s="16"/>
      <c r="I142" s="17"/>
      <c r="J142" s="16" t="n">
        <v>0.00279618055555556</v>
      </c>
      <c r="K142" s="17" t="n">
        <v>266</v>
      </c>
      <c r="L142" s="17" t="n">
        <f aca="false">COUNT(E142,I142,K142)</f>
        <v>2</v>
      </c>
      <c r="M142" s="18" t="n">
        <f aca="false">(D142&lt;&gt;"")*(D142&lt;=($E$3*60+$F$3)/86400)+(H142&lt;&gt;"")*(H142&lt;=($I$3*60+$J$3)/86400)+(J142&lt;&gt;"")*(J142&lt;=($M$3*60+$N$3)/86400)</f>
        <v>0</v>
      </c>
      <c r="N142" s="20"/>
      <c r="O142" s="20"/>
      <c r="P142" s="20"/>
      <c r="Q142" s="19"/>
    </row>
    <row r="143" customFormat="false" ht="15" hidden="false" customHeight="false" outlineLevel="0" collapsed="false">
      <c r="A143" s="10" t="n">
        <v>137</v>
      </c>
      <c r="B143" s="11" t="s">
        <v>289</v>
      </c>
      <c r="C143" s="12" t="s">
        <v>290</v>
      </c>
      <c r="D143" s="13" t="n">
        <v>0.010269212962963</v>
      </c>
      <c r="E143" s="14" t="n">
        <v>138</v>
      </c>
      <c r="F143" s="15" t="n">
        <f aca="false">IF(D143="","",ROUND((D143-MIN($D$7:$D$9999))*86400,2))</f>
        <v>97.52</v>
      </c>
      <c r="G143" s="10" t="str">
        <f aca="false">IF(D143="","",IF(D143&lt;=($E$3*60+$F$3)/86400,"○",""))</f>
        <v/>
      </c>
      <c r="H143" s="16"/>
      <c r="I143" s="17"/>
      <c r="J143" s="16" t="n">
        <v>0.0027837962962963</v>
      </c>
      <c r="K143" s="17" t="n">
        <v>215</v>
      </c>
      <c r="L143" s="17" t="n">
        <f aca="false">COUNT(E143,I143,K143)</f>
        <v>2</v>
      </c>
      <c r="M143" s="18" t="n">
        <f aca="false">(D143&lt;&gt;"")*(D143&lt;=($E$3*60+$F$3)/86400)+(H143&lt;&gt;"")*(H143&lt;=($I$3*60+$J$3)/86400)+(J143&lt;&gt;"")*(J143&lt;=($M$3*60+$N$3)/86400)</f>
        <v>0</v>
      </c>
      <c r="N143" s="20"/>
      <c r="O143" s="20"/>
      <c r="P143" s="20"/>
      <c r="Q143" s="19"/>
    </row>
    <row r="144" customFormat="false" ht="15" hidden="false" customHeight="false" outlineLevel="0" collapsed="false">
      <c r="A144" s="10" t="n">
        <v>138</v>
      </c>
      <c r="B144" s="11" t="s">
        <v>291</v>
      </c>
      <c r="C144" s="12" t="s">
        <v>27</v>
      </c>
      <c r="D144" s="13" t="n">
        <v>0.0102702546296296</v>
      </c>
      <c r="E144" s="14" t="n">
        <v>139</v>
      </c>
      <c r="F144" s="15" t="n">
        <f aca="false">IF(D144="","",ROUND((D144-MIN($D$7:$D$9999))*86400,2))</f>
        <v>97.61</v>
      </c>
      <c r="G144" s="10" t="str">
        <f aca="false">IF(D144="","",IF(D144&lt;=($E$3*60+$F$3)/86400,"○",""))</f>
        <v/>
      </c>
      <c r="H144" s="16"/>
      <c r="I144" s="17"/>
      <c r="J144" s="16" t="n">
        <v>0.00287025462962963</v>
      </c>
      <c r="K144" s="17" t="n">
        <v>697</v>
      </c>
      <c r="L144" s="17" t="n">
        <f aca="false">COUNT(E144,I144,K144)</f>
        <v>2</v>
      </c>
      <c r="M144" s="18" t="n">
        <f aca="false">(D144&lt;&gt;"")*(D144&lt;=($E$3*60+$F$3)/86400)+(H144&lt;&gt;"")*(H144&lt;=($I$3*60+$J$3)/86400)+(J144&lt;&gt;"")*(J144&lt;=($M$3*60+$N$3)/86400)</f>
        <v>0</v>
      </c>
      <c r="N144" s="20"/>
      <c r="O144" s="20"/>
      <c r="P144" s="20"/>
      <c r="Q144" s="19"/>
    </row>
    <row r="145" customFormat="false" ht="15" hidden="false" customHeight="false" outlineLevel="0" collapsed="false">
      <c r="A145" s="10" t="n">
        <v>139</v>
      </c>
      <c r="B145" s="11" t="s">
        <v>292</v>
      </c>
      <c r="C145" s="12" t="s">
        <v>228</v>
      </c>
      <c r="D145" s="13" t="n">
        <v>0.0102734953703704</v>
      </c>
      <c r="E145" s="14" t="n">
        <v>140</v>
      </c>
      <c r="F145" s="15" t="n">
        <f aca="false">IF(D145="","",ROUND((D145-MIN($D$7:$D$9999))*86400,2))</f>
        <v>97.89</v>
      </c>
      <c r="G145" s="10" t="str">
        <f aca="false">IF(D145="","",IF(D145&lt;=($E$3*60+$F$3)/86400,"○",""))</f>
        <v/>
      </c>
      <c r="H145" s="16"/>
      <c r="I145" s="17"/>
      <c r="J145" s="16" t="n">
        <v>0.00287731481481482</v>
      </c>
      <c r="K145" s="17" t="n">
        <v>749</v>
      </c>
      <c r="L145" s="17" t="n">
        <f aca="false">COUNT(E145,I145,K145)</f>
        <v>2</v>
      </c>
      <c r="M145" s="18" t="n">
        <f aca="false">(D145&lt;&gt;"")*(D145&lt;=($E$3*60+$F$3)/86400)+(H145&lt;&gt;"")*(H145&lt;=($I$3*60+$J$3)/86400)+(J145&lt;&gt;"")*(J145&lt;=($M$3*60+$N$3)/86400)</f>
        <v>0</v>
      </c>
      <c r="N145" s="20"/>
      <c r="O145" s="20" t="s">
        <v>293</v>
      </c>
      <c r="P145" s="20"/>
      <c r="Q145" s="19"/>
    </row>
    <row r="146" customFormat="false" ht="15" hidden="false" customHeight="false" outlineLevel="0" collapsed="false">
      <c r="A146" s="10" t="n">
        <v>140</v>
      </c>
      <c r="B146" s="11" t="s">
        <v>294</v>
      </c>
      <c r="C146" s="12" t="s">
        <v>40</v>
      </c>
      <c r="D146" s="13" t="n">
        <v>0.010275462962963</v>
      </c>
      <c r="E146" s="14" t="n">
        <v>141</v>
      </c>
      <c r="F146" s="15" t="n">
        <f aca="false">IF(D146="","",ROUND((D146-MIN($D$7:$D$9999))*86400,2))</f>
        <v>98.06</v>
      </c>
      <c r="G146" s="10" t="str">
        <f aca="false">IF(D146="","",IF(D146&lt;=($E$3*60+$F$3)/86400,"○",""))</f>
        <v/>
      </c>
      <c r="H146" s="16"/>
      <c r="I146" s="17"/>
      <c r="J146" s="16" t="n">
        <v>0.00270763888888889</v>
      </c>
      <c r="K146" s="17" t="n">
        <v>31</v>
      </c>
      <c r="L146" s="17" t="n">
        <f aca="false">COUNT(E146,I146,K146)</f>
        <v>2</v>
      </c>
      <c r="M146" s="18" t="n">
        <f aca="false">(D146&lt;&gt;"")*(D146&lt;=($E$3*60+$F$3)/86400)+(H146&lt;&gt;"")*(H146&lt;=($I$3*60+$J$3)/86400)+(J146&lt;&gt;"")*(J146&lt;=($M$3*60+$N$3)/86400)</f>
        <v>1</v>
      </c>
      <c r="N146" s="20"/>
      <c r="O146" s="20" t="s">
        <v>295</v>
      </c>
      <c r="P146" s="20"/>
      <c r="Q146" s="19"/>
    </row>
    <row r="147" customFormat="false" ht="15" hidden="false" customHeight="false" outlineLevel="0" collapsed="false">
      <c r="A147" s="10" t="n">
        <v>141</v>
      </c>
      <c r="B147" s="11" t="s">
        <v>296</v>
      </c>
      <c r="C147" s="12" t="s">
        <v>297</v>
      </c>
      <c r="D147" s="13" t="n">
        <v>0.0102767361111111</v>
      </c>
      <c r="E147" s="14" t="n">
        <v>142</v>
      </c>
      <c r="F147" s="15" t="n">
        <f aca="false">IF(D147="","",ROUND((D147-MIN($D$7:$D$9999))*86400,2))</f>
        <v>98.17</v>
      </c>
      <c r="G147" s="10" t="str">
        <f aca="false">IF(D147="","",IF(D147&lt;=($E$3*60+$F$3)/86400,"○",""))</f>
        <v/>
      </c>
      <c r="H147" s="16"/>
      <c r="I147" s="17"/>
      <c r="J147" s="16" t="n">
        <v>0.00282476851851852</v>
      </c>
      <c r="K147" s="17" t="n">
        <v>391</v>
      </c>
      <c r="L147" s="17" t="n">
        <f aca="false">COUNT(E147,I147,K147)</f>
        <v>2</v>
      </c>
      <c r="M147" s="18" t="n">
        <f aca="false">(D147&lt;&gt;"")*(D147&lt;=($E$3*60+$F$3)/86400)+(H147&lt;&gt;"")*(H147&lt;=($I$3*60+$J$3)/86400)+(J147&lt;&gt;"")*(J147&lt;=($M$3*60+$N$3)/86400)</f>
        <v>0</v>
      </c>
      <c r="N147" s="20" t="s">
        <v>298</v>
      </c>
      <c r="O147" s="20"/>
      <c r="P147" s="20"/>
      <c r="Q147" s="19"/>
    </row>
    <row r="148" customFormat="false" ht="15" hidden="false" customHeight="false" outlineLevel="0" collapsed="false">
      <c r="A148" s="10" t="n">
        <v>142</v>
      </c>
      <c r="B148" s="11" t="s">
        <v>299</v>
      </c>
      <c r="C148" s="12" t="s">
        <v>54</v>
      </c>
      <c r="D148" s="13" t="n">
        <v>0.0102770833333333</v>
      </c>
      <c r="E148" s="14" t="n">
        <v>143</v>
      </c>
      <c r="F148" s="15" t="n">
        <f aca="false">IF(D148="","",ROUND((D148-MIN($D$7:$D$9999))*86400,2))</f>
        <v>98.2</v>
      </c>
      <c r="G148" s="10" t="str">
        <f aca="false">IF(D148="","",IF(D148&lt;=($E$3*60+$F$3)/86400,"○",""))</f>
        <v/>
      </c>
      <c r="H148" s="16"/>
      <c r="I148" s="17"/>
      <c r="J148" s="16" t="n">
        <v>0.00292951388888889</v>
      </c>
      <c r="K148" s="17" t="n">
        <v>1173</v>
      </c>
      <c r="L148" s="17" t="n">
        <f aca="false">COUNT(E148,I148,K148)</f>
        <v>2</v>
      </c>
      <c r="M148" s="18" t="n">
        <f aca="false">(D148&lt;&gt;"")*(D148&lt;=($E$3*60+$F$3)/86400)+(H148&lt;&gt;"")*(H148&lt;=($I$3*60+$J$3)/86400)+(J148&lt;&gt;"")*(J148&lt;=($M$3*60+$N$3)/86400)</f>
        <v>0</v>
      </c>
      <c r="N148" s="20" t="s">
        <v>75</v>
      </c>
      <c r="O148" s="20"/>
      <c r="P148" s="20"/>
      <c r="Q148" s="19"/>
    </row>
    <row r="149" customFormat="false" ht="15" hidden="false" customHeight="false" outlineLevel="0" collapsed="false">
      <c r="A149" s="10" t="n">
        <v>143</v>
      </c>
      <c r="B149" s="11" t="s">
        <v>300</v>
      </c>
      <c r="C149" s="12" t="s">
        <v>301</v>
      </c>
      <c r="D149" s="13" t="n">
        <v>0.010277662037037</v>
      </c>
      <c r="E149" s="14" t="n">
        <v>144</v>
      </c>
      <c r="F149" s="15" t="n">
        <f aca="false">IF(D149="","",ROUND((D149-MIN($D$7:$D$9999))*86400,2))</f>
        <v>98.25</v>
      </c>
      <c r="G149" s="10" t="str">
        <f aca="false">IF(D149="","",IF(D149&lt;=($E$3*60+$F$3)/86400,"○",""))</f>
        <v/>
      </c>
      <c r="H149" s="16"/>
      <c r="I149" s="17"/>
      <c r="J149" s="16" t="n">
        <v>0.00274710648148148</v>
      </c>
      <c r="K149" s="17" t="n">
        <v>94</v>
      </c>
      <c r="L149" s="17" t="n">
        <f aca="false">COUNT(E149,I149,K149)</f>
        <v>2</v>
      </c>
      <c r="M149" s="18" t="n">
        <f aca="false">(D149&lt;&gt;"")*(D149&lt;=($E$3*60+$F$3)/86400)+(H149&lt;&gt;"")*(H149&lt;=($I$3*60+$J$3)/86400)+(J149&lt;&gt;"")*(J149&lt;=($M$3*60+$N$3)/86400)</f>
        <v>0</v>
      </c>
      <c r="N149" s="20"/>
      <c r="O149" s="20"/>
      <c r="P149" s="20"/>
      <c r="Q149" s="19"/>
    </row>
    <row r="150" customFormat="false" ht="15" hidden="false" customHeight="false" outlineLevel="0" collapsed="false">
      <c r="A150" s="10" t="n">
        <v>144</v>
      </c>
      <c r="B150" s="11" t="s">
        <v>302</v>
      </c>
      <c r="C150" s="12" t="s">
        <v>303</v>
      </c>
      <c r="D150" s="13" t="n">
        <v>0.0102777777777778</v>
      </c>
      <c r="E150" s="14" t="n">
        <v>145</v>
      </c>
      <c r="F150" s="15" t="n">
        <f aca="false">IF(D150="","",ROUND((D150-MIN($D$7:$D$9999))*86400,2))</f>
        <v>98.26</v>
      </c>
      <c r="G150" s="10" t="str">
        <f aca="false">IF(D150="","",IF(D150&lt;=($E$3*60+$F$3)/86400,"○",""))</f>
        <v/>
      </c>
      <c r="H150" s="16"/>
      <c r="I150" s="17"/>
      <c r="J150" s="16" t="n">
        <v>0.00275451388888889</v>
      </c>
      <c r="K150" s="17" t="n">
        <v>118</v>
      </c>
      <c r="L150" s="17" t="n">
        <f aca="false">COUNT(E150,I150,K150)</f>
        <v>2</v>
      </c>
      <c r="M150" s="18" t="n">
        <f aca="false">(D150&lt;&gt;"")*(D150&lt;=($E$3*60+$F$3)/86400)+(H150&lt;&gt;"")*(H150&lt;=($I$3*60+$J$3)/86400)+(J150&lt;&gt;"")*(J150&lt;=($M$3*60+$N$3)/86400)</f>
        <v>0</v>
      </c>
      <c r="N150" s="20"/>
      <c r="O150" s="20"/>
      <c r="P150" s="20"/>
      <c r="Q150" s="19"/>
    </row>
    <row r="151" customFormat="false" ht="15" hidden="false" customHeight="false" outlineLevel="0" collapsed="false">
      <c r="A151" s="10" t="n">
        <v>145</v>
      </c>
      <c r="B151" s="11" t="s">
        <v>304</v>
      </c>
      <c r="C151" s="12" t="s">
        <v>219</v>
      </c>
      <c r="D151" s="13" t="n">
        <v>0.0102784722222222</v>
      </c>
      <c r="E151" s="14" t="n">
        <v>146</v>
      </c>
      <c r="F151" s="15" t="n">
        <f aca="false">IF(D151="","",ROUND((D151-MIN($D$7:$D$9999))*86400,2))</f>
        <v>98.32</v>
      </c>
      <c r="G151" s="10" t="str">
        <f aca="false">IF(D151="","",IF(D151&lt;=($E$3*60+$F$3)/86400,"○",""))</f>
        <v/>
      </c>
      <c r="H151" s="16" t="n">
        <v>0.00627025462962963</v>
      </c>
      <c r="I151" s="17" t="n">
        <v>3</v>
      </c>
      <c r="J151" s="16" t="n">
        <v>0.0029193287037037</v>
      </c>
      <c r="K151" s="17" t="n">
        <v>1088</v>
      </c>
      <c r="L151" s="17" t="n">
        <f aca="false">COUNT(E151,I151,K151)</f>
        <v>3</v>
      </c>
      <c r="M151" s="18" t="n">
        <f aca="false">(D151&lt;&gt;"")*(D151&lt;=($E$3*60+$F$3)/86400)+(H151&lt;&gt;"")*(H151&lt;=($I$3*60+$J$3)/86400)+(J151&lt;&gt;"")*(J151&lt;=($M$3*60+$N$3)/86400)</f>
        <v>1</v>
      </c>
      <c r="N151" s="20"/>
      <c r="O151" s="20"/>
      <c r="P151" s="20"/>
      <c r="Q151" s="19"/>
    </row>
    <row r="152" customFormat="false" ht="15" hidden="false" customHeight="false" outlineLevel="0" collapsed="false">
      <c r="A152" s="10" t="n">
        <v>146</v>
      </c>
      <c r="B152" s="11" t="s">
        <v>305</v>
      </c>
      <c r="C152" s="12" t="s">
        <v>51</v>
      </c>
      <c r="D152" s="13" t="n">
        <v>0.0102784722222222</v>
      </c>
      <c r="E152" s="14" t="n">
        <v>147</v>
      </c>
      <c r="F152" s="15" t="n">
        <f aca="false">IF(D152="","",ROUND((D152-MIN($D$7:$D$9999))*86400,2))</f>
        <v>98.32</v>
      </c>
      <c r="G152" s="10" t="str">
        <f aca="false">IF(D152="","",IF(D152&lt;=($E$3*60+$F$3)/86400,"○",""))</f>
        <v/>
      </c>
      <c r="H152" s="16" t="n">
        <v>0.00638402777777778</v>
      </c>
      <c r="I152" s="17" t="n">
        <v>12</v>
      </c>
      <c r="J152" s="16" t="n">
        <v>0.0027630787037037</v>
      </c>
      <c r="K152" s="17" t="n">
        <v>142</v>
      </c>
      <c r="L152" s="17" t="n">
        <f aca="false">COUNT(E152,I152,K152)</f>
        <v>3</v>
      </c>
      <c r="M152" s="18" t="n">
        <f aca="false">(D152&lt;&gt;"")*(D152&lt;=($E$3*60+$F$3)/86400)+(H152&lt;&gt;"")*(H152&lt;=($I$3*60+$J$3)/86400)+(J152&lt;&gt;"")*(J152&lt;=($M$3*60+$N$3)/86400)</f>
        <v>1</v>
      </c>
      <c r="N152" s="20"/>
      <c r="O152" s="20" t="s">
        <v>306</v>
      </c>
      <c r="P152" s="20"/>
      <c r="Q152" s="19"/>
    </row>
    <row r="153" customFormat="false" ht="15" hidden="false" customHeight="false" outlineLevel="0" collapsed="false">
      <c r="A153" s="10" t="n">
        <v>147</v>
      </c>
      <c r="B153" s="11" t="s">
        <v>307</v>
      </c>
      <c r="C153" s="12" t="s">
        <v>245</v>
      </c>
      <c r="D153" s="13" t="n">
        <v>0.0102799768518519</v>
      </c>
      <c r="E153" s="14" t="n">
        <v>148</v>
      </c>
      <c r="F153" s="15" t="n">
        <f aca="false">IF(D153="","",ROUND((D153-MIN($D$7:$D$9999))*86400,2))</f>
        <v>98.45</v>
      </c>
      <c r="G153" s="10" t="str">
        <f aca="false">IF(D153="","",IF(D153&lt;=($E$3*60+$F$3)/86400,"○",""))</f>
        <v/>
      </c>
      <c r="H153" s="16"/>
      <c r="I153" s="17"/>
      <c r="J153" s="16" t="n">
        <v>0.00274988425925926</v>
      </c>
      <c r="K153" s="17" t="n">
        <v>104</v>
      </c>
      <c r="L153" s="17" t="n">
        <f aca="false">COUNT(E153,I153,K153)</f>
        <v>2</v>
      </c>
      <c r="M153" s="18" t="n">
        <f aca="false">(D153&lt;&gt;"")*(D153&lt;=($E$3*60+$F$3)/86400)+(H153&lt;&gt;"")*(H153&lt;=($I$3*60+$J$3)/86400)+(J153&lt;&gt;"")*(J153&lt;=($M$3*60+$N$3)/86400)</f>
        <v>0</v>
      </c>
      <c r="N153" s="20"/>
      <c r="O153" s="20" t="s">
        <v>308</v>
      </c>
      <c r="P153" s="20"/>
      <c r="Q153" s="19"/>
    </row>
    <row r="154" customFormat="false" ht="15" hidden="false" customHeight="false" outlineLevel="0" collapsed="false">
      <c r="A154" s="10" t="n">
        <v>148</v>
      </c>
      <c r="B154" s="11" t="s">
        <v>309</v>
      </c>
      <c r="C154" s="12" t="s">
        <v>207</v>
      </c>
      <c r="D154" s="13" t="n">
        <v>0.0102820601851852</v>
      </c>
      <c r="E154" s="14" t="n">
        <v>149</v>
      </c>
      <c r="F154" s="15" t="n">
        <f aca="false">IF(D154="","",ROUND((D154-MIN($D$7:$D$9999))*86400,2))</f>
        <v>98.63</v>
      </c>
      <c r="G154" s="10" t="str">
        <f aca="false">IF(D154="","",IF(D154&lt;=($E$3*60+$F$3)/86400,"○",""))</f>
        <v/>
      </c>
      <c r="H154" s="16" t="n">
        <v>0.00693680555555556</v>
      </c>
      <c r="I154" s="17" t="n">
        <v>280</v>
      </c>
      <c r="J154" s="16" t="n">
        <v>0.00288113425925926</v>
      </c>
      <c r="K154" s="17" t="n">
        <v>778</v>
      </c>
      <c r="L154" s="17" t="n">
        <f aca="false">COUNT(E154,I154,K154)</f>
        <v>3</v>
      </c>
      <c r="M154" s="18" t="n">
        <f aca="false">(D154&lt;&gt;"")*(D154&lt;=($E$3*60+$F$3)/86400)+(H154&lt;&gt;"")*(H154&lt;=($I$3*60+$J$3)/86400)+(J154&lt;&gt;"")*(J154&lt;=($M$3*60+$N$3)/86400)</f>
        <v>0</v>
      </c>
      <c r="N154" s="20"/>
      <c r="O154" s="20"/>
      <c r="P154" s="20"/>
      <c r="Q154" s="19"/>
    </row>
    <row r="155" customFormat="false" ht="15" hidden="false" customHeight="false" outlineLevel="0" collapsed="false">
      <c r="A155" s="10" t="n">
        <v>149</v>
      </c>
      <c r="B155" s="11" t="s">
        <v>310</v>
      </c>
      <c r="C155" s="12" t="s">
        <v>311</v>
      </c>
      <c r="D155" s="13" t="n">
        <v>0.0102821759259259</v>
      </c>
      <c r="E155" s="14" t="n">
        <v>150</v>
      </c>
      <c r="F155" s="15" t="n">
        <f aca="false">IF(D155="","",ROUND((D155-MIN($D$7:$D$9999))*86400,2))</f>
        <v>98.64</v>
      </c>
      <c r="G155" s="10" t="str">
        <f aca="false">IF(D155="","",IF(D155&lt;=($E$3*60+$F$3)/86400,"○",""))</f>
        <v/>
      </c>
      <c r="H155" s="16"/>
      <c r="I155" s="17"/>
      <c r="J155" s="16" t="n">
        <v>0.00280266203703704</v>
      </c>
      <c r="K155" s="17" t="n">
        <v>294</v>
      </c>
      <c r="L155" s="17" t="n">
        <f aca="false">COUNT(E155,I155,K155)</f>
        <v>2</v>
      </c>
      <c r="M155" s="18" t="n">
        <f aca="false">(D155&lt;&gt;"")*(D155&lt;=($E$3*60+$F$3)/86400)+(H155&lt;&gt;"")*(H155&lt;=($I$3*60+$J$3)/86400)+(J155&lt;&gt;"")*(J155&lt;=($M$3*60+$N$3)/86400)</f>
        <v>0</v>
      </c>
      <c r="N155" s="20"/>
      <c r="O155" s="20"/>
      <c r="P155" s="20"/>
      <c r="Q155" s="19"/>
    </row>
    <row r="156" customFormat="false" ht="15" hidden="false" customHeight="false" outlineLevel="0" collapsed="false">
      <c r="A156" s="10" t="n">
        <v>150</v>
      </c>
      <c r="B156" s="11" t="s">
        <v>312</v>
      </c>
      <c r="C156" s="12" t="s">
        <v>313</v>
      </c>
      <c r="D156" s="13" t="n">
        <v>0.0102822916666667</v>
      </c>
      <c r="E156" s="14" t="n">
        <v>151</v>
      </c>
      <c r="F156" s="15" t="n">
        <f aca="false">IF(D156="","",ROUND((D156-MIN($D$7:$D$9999))*86400,2))</f>
        <v>98.65</v>
      </c>
      <c r="G156" s="10" t="str">
        <f aca="false">IF(D156="","",IF(D156&lt;=($E$3*60+$F$3)/86400,"○",""))</f>
        <v/>
      </c>
      <c r="H156" s="16"/>
      <c r="I156" s="17"/>
      <c r="J156" s="16" t="n">
        <v>0.00278773148148148</v>
      </c>
      <c r="K156" s="17" t="n">
        <v>233</v>
      </c>
      <c r="L156" s="17" t="n">
        <f aca="false">COUNT(E156,I156,K156)</f>
        <v>2</v>
      </c>
      <c r="M156" s="18" t="n">
        <f aca="false">(D156&lt;&gt;"")*(D156&lt;=($E$3*60+$F$3)/86400)+(H156&lt;&gt;"")*(H156&lt;=($I$3*60+$J$3)/86400)+(J156&lt;&gt;"")*(J156&lt;=($M$3*60+$N$3)/86400)</f>
        <v>0</v>
      </c>
      <c r="N156" s="20" t="s">
        <v>314</v>
      </c>
      <c r="O156" s="20"/>
      <c r="P156" s="20"/>
      <c r="Q156" s="19"/>
    </row>
    <row r="157" customFormat="false" ht="15" hidden="false" customHeight="false" outlineLevel="0" collapsed="false">
      <c r="A157" s="10" t="n">
        <v>151</v>
      </c>
      <c r="B157" s="11" t="s">
        <v>315</v>
      </c>
      <c r="C157" s="12" t="s">
        <v>316</v>
      </c>
      <c r="D157" s="13" t="n">
        <v>0.0102828703703704</v>
      </c>
      <c r="E157" s="14" t="n">
        <v>152</v>
      </c>
      <c r="F157" s="15" t="n">
        <f aca="false">IF(D157="","",ROUND((D157-MIN($D$7:$D$9999))*86400,2))</f>
        <v>98.7</v>
      </c>
      <c r="G157" s="10" t="str">
        <f aca="false">IF(D157="","",IF(D157&lt;=($E$3*60+$F$3)/86400,"○",""))</f>
        <v/>
      </c>
      <c r="H157" s="16" t="n">
        <v>0.00644189814814815</v>
      </c>
      <c r="I157" s="17" t="n">
        <v>22</v>
      </c>
      <c r="J157" s="16" t="n">
        <v>0.00278020833333333</v>
      </c>
      <c r="K157" s="17" t="n">
        <v>201</v>
      </c>
      <c r="L157" s="17" t="n">
        <f aca="false">COUNT(E157,I157,K157)</f>
        <v>3</v>
      </c>
      <c r="M157" s="18" t="n">
        <f aca="false">(D157&lt;&gt;"")*(D157&lt;=($E$3*60+$F$3)/86400)+(H157&lt;&gt;"")*(H157&lt;=($I$3*60+$J$3)/86400)+(J157&lt;&gt;"")*(J157&lt;=($M$3*60+$N$3)/86400)</f>
        <v>1</v>
      </c>
      <c r="N157" s="20"/>
      <c r="O157" s="20"/>
      <c r="P157" s="20"/>
      <c r="Q157" s="19"/>
    </row>
    <row r="158" customFormat="false" ht="15" hidden="false" customHeight="false" outlineLevel="0" collapsed="false">
      <c r="A158" s="10" t="n">
        <v>152</v>
      </c>
      <c r="B158" s="11" t="s">
        <v>317</v>
      </c>
      <c r="C158" s="12" t="s">
        <v>318</v>
      </c>
      <c r="D158" s="13" t="n">
        <v>0.010284837962963</v>
      </c>
      <c r="E158" s="14" t="n">
        <v>153</v>
      </c>
      <c r="F158" s="15" t="n">
        <f aca="false">IF(D158="","",ROUND((D158-MIN($D$7:$D$9999))*86400,2))</f>
        <v>98.87</v>
      </c>
      <c r="G158" s="10" t="str">
        <f aca="false">IF(D158="","",IF(D158&lt;=($E$3*60+$F$3)/86400,"○",""))</f>
        <v/>
      </c>
      <c r="H158" s="16"/>
      <c r="I158" s="17"/>
      <c r="J158" s="16" t="n">
        <v>0.00269259259259259</v>
      </c>
      <c r="K158" s="17" t="n">
        <v>21</v>
      </c>
      <c r="L158" s="17" t="n">
        <f aca="false">COUNT(E158,I158,K158)</f>
        <v>2</v>
      </c>
      <c r="M158" s="18" t="n">
        <f aca="false">(D158&lt;&gt;"")*(D158&lt;=($E$3*60+$F$3)/86400)+(H158&lt;&gt;"")*(H158&lt;=($I$3*60+$J$3)/86400)+(J158&lt;&gt;"")*(J158&lt;=($M$3*60+$N$3)/86400)</f>
        <v>1</v>
      </c>
      <c r="N158" s="20"/>
      <c r="O158" s="20"/>
      <c r="P158" s="20"/>
      <c r="Q158" s="19"/>
    </row>
    <row r="159" customFormat="false" ht="15" hidden="false" customHeight="false" outlineLevel="0" collapsed="false">
      <c r="A159" s="10" t="n">
        <v>153</v>
      </c>
      <c r="B159" s="11" t="s">
        <v>319</v>
      </c>
      <c r="C159" s="12" t="s">
        <v>320</v>
      </c>
      <c r="D159" s="13" t="n">
        <v>0.0102885416666667</v>
      </c>
      <c r="E159" s="14" t="n">
        <v>154</v>
      </c>
      <c r="F159" s="15" t="n">
        <f aca="false">IF(D159="","",ROUND((D159-MIN($D$7:$D$9999))*86400,2))</f>
        <v>99.19</v>
      </c>
      <c r="G159" s="10" t="str">
        <f aca="false">IF(D159="","",IF(D159&lt;=($E$3*60+$F$3)/86400,"○",""))</f>
        <v/>
      </c>
      <c r="H159" s="16"/>
      <c r="I159" s="17"/>
      <c r="J159" s="16" t="n">
        <v>0.00280694444444444</v>
      </c>
      <c r="K159" s="17" t="n">
        <v>313</v>
      </c>
      <c r="L159" s="17" t="n">
        <f aca="false">COUNT(E159,I159,K159)</f>
        <v>2</v>
      </c>
      <c r="M159" s="18" t="n">
        <f aca="false">(D159&lt;&gt;"")*(D159&lt;=($E$3*60+$F$3)/86400)+(H159&lt;&gt;"")*(H159&lt;=($I$3*60+$J$3)/86400)+(J159&lt;&gt;"")*(J159&lt;=($M$3*60+$N$3)/86400)</f>
        <v>0</v>
      </c>
      <c r="N159" s="20"/>
      <c r="O159" s="20" t="s">
        <v>321</v>
      </c>
      <c r="P159" s="20"/>
      <c r="Q159" s="19"/>
    </row>
    <row r="160" customFormat="false" ht="15" hidden="false" customHeight="false" outlineLevel="0" collapsed="false">
      <c r="A160" s="10" t="n">
        <v>154</v>
      </c>
      <c r="B160" s="11" t="s">
        <v>322</v>
      </c>
      <c r="C160" s="12" t="s">
        <v>323</v>
      </c>
      <c r="D160" s="13" t="n">
        <v>0.0102916666666667</v>
      </c>
      <c r="E160" s="14" t="n">
        <v>155</v>
      </c>
      <c r="F160" s="15" t="n">
        <f aca="false">IF(D160="","",ROUND((D160-MIN($D$7:$D$9999))*86400,2))</f>
        <v>99.46</v>
      </c>
      <c r="G160" s="10" t="str">
        <f aca="false">IF(D160="","",IF(D160&lt;=($E$3*60+$F$3)/86400,"○",""))</f>
        <v/>
      </c>
      <c r="H160" s="16" t="n">
        <v>0.00632650462962963</v>
      </c>
      <c r="I160" s="17" t="n">
        <v>5</v>
      </c>
      <c r="J160" s="16" t="n">
        <v>0.00284988425925926</v>
      </c>
      <c r="K160" s="17" t="n">
        <v>569</v>
      </c>
      <c r="L160" s="17" t="n">
        <f aca="false">COUNT(E160,I160,K160)</f>
        <v>3</v>
      </c>
      <c r="M160" s="18" t="n">
        <f aca="false">(D160&lt;&gt;"")*(D160&lt;=($E$3*60+$F$3)/86400)+(H160&lt;&gt;"")*(H160&lt;=($I$3*60+$J$3)/86400)+(J160&lt;&gt;"")*(J160&lt;=($M$3*60+$N$3)/86400)</f>
        <v>1</v>
      </c>
      <c r="N160" s="20"/>
      <c r="O160" s="20"/>
      <c r="P160" s="20"/>
      <c r="Q160" s="19"/>
    </row>
    <row r="161" customFormat="false" ht="15" hidden="false" customHeight="false" outlineLevel="0" collapsed="false">
      <c r="A161" s="10" t="n">
        <v>155</v>
      </c>
      <c r="B161" s="11" t="s">
        <v>324</v>
      </c>
      <c r="C161" s="12" t="s">
        <v>320</v>
      </c>
      <c r="D161" s="13" t="n">
        <v>0.0102929398148148</v>
      </c>
      <c r="E161" s="14" t="n">
        <v>156</v>
      </c>
      <c r="F161" s="15" t="n">
        <f aca="false">IF(D161="","",ROUND((D161-MIN($D$7:$D$9999))*86400,2))</f>
        <v>99.57</v>
      </c>
      <c r="G161" s="10" t="str">
        <f aca="false">IF(D161="","",IF(D161&lt;=($E$3*60+$F$3)/86400,"○",""))</f>
        <v/>
      </c>
      <c r="H161" s="16" t="n">
        <v>0.00667303240740741</v>
      </c>
      <c r="I161" s="17" t="n">
        <v>92</v>
      </c>
      <c r="J161" s="16" t="n">
        <v>0.00289953703703704</v>
      </c>
      <c r="K161" s="17" t="n">
        <v>941</v>
      </c>
      <c r="L161" s="17" t="n">
        <f aca="false">COUNT(E161,I161,K161)</f>
        <v>3</v>
      </c>
      <c r="M161" s="18" t="n">
        <f aca="false">(D161&lt;&gt;"")*(D161&lt;=($E$3*60+$F$3)/86400)+(H161&lt;&gt;"")*(H161&lt;=($I$3*60+$J$3)/86400)+(J161&lt;&gt;"")*(J161&lt;=($M$3*60+$N$3)/86400)</f>
        <v>0</v>
      </c>
      <c r="N161" s="20"/>
      <c r="O161" s="20" t="s">
        <v>325</v>
      </c>
      <c r="P161" s="20"/>
      <c r="Q161" s="19"/>
    </row>
    <row r="162" customFormat="false" ht="15" hidden="false" customHeight="false" outlineLevel="0" collapsed="false">
      <c r="A162" s="10" t="n">
        <v>156</v>
      </c>
      <c r="B162" s="11" t="s">
        <v>326</v>
      </c>
      <c r="C162" s="12" t="s">
        <v>313</v>
      </c>
      <c r="D162" s="13" t="n">
        <v>0.0102939814814815</v>
      </c>
      <c r="E162" s="14" t="n">
        <v>157</v>
      </c>
      <c r="F162" s="15" t="n">
        <f aca="false">IF(D162="","",ROUND((D162-MIN($D$7:$D$9999))*86400,2))</f>
        <v>99.66</v>
      </c>
      <c r="G162" s="10" t="str">
        <f aca="false">IF(D162="","",IF(D162&lt;=($E$3*60+$F$3)/86400,"○",""))</f>
        <v/>
      </c>
      <c r="H162" s="16"/>
      <c r="I162" s="17"/>
      <c r="J162" s="16" t="n">
        <v>0.00268113425925926</v>
      </c>
      <c r="K162" s="17" t="n">
        <v>14</v>
      </c>
      <c r="L162" s="17" t="n">
        <f aca="false">COUNT(E162,I162,K162)</f>
        <v>2</v>
      </c>
      <c r="M162" s="18" t="n">
        <f aca="false">(D162&lt;&gt;"")*(D162&lt;=($E$3*60+$F$3)/86400)+(H162&lt;&gt;"")*(H162&lt;=($I$3*60+$J$3)/86400)+(J162&lt;&gt;"")*(J162&lt;=($M$3*60+$N$3)/86400)</f>
        <v>1</v>
      </c>
      <c r="N162" s="20" t="s">
        <v>327</v>
      </c>
      <c r="O162" s="20"/>
      <c r="P162" s="20"/>
      <c r="Q162" s="19"/>
    </row>
    <row r="163" customFormat="false" ht="15" hidden="false" customHeight="false" outlineLevel="0" collapsed="false">
      <c r="A163" s="10" t="n">
        <v>157</v>
      </c>
      <c r="B163" s="11" t="s">
        <v>328</v>
      </c>
      <c r="C163" s="12" t="s">
        <v>150</v>
      </c>
      <c r="D163" s="13" t="n">
        <v>0.0102986111111111</v>
      </c>
      <c r="E163" s="14" t="n">
        <v>158</v>
      </c>
      <c r="F163" s="15" t="n">
        <f aca="false">IF(D163="","",ROUND((D163-MIN($D$7:$D$9999))*86400,2))</f>
        <v>100.06</v>
      </c>
      <c r="G163" s="10" t="str">
        <f aca="false">IF(D163="","",IF(D163&lt;=($E$3*60+$F$3)/86400,"○",""))</f>
        <v/>
      </c>
      <c r="H163" s="16"/>
      <c r="I163" s="17"/>
      <c r="J163" s="16" t="n">
        <v>0.00277789351851852</v>
      </c>
      <c r="K163" s="17" t="n">
        <v>190</v>
      </c>
      <c r="L163" s="17" t="n">
        <f aca="false">COUNT(E163,I163,K163)</f>
        <v>2</v>
      </c>
      <c r="M163" s="18" t="n">
        <f aca="false">(D163&lt;&gt;"")*(D163&lt;=($E$3*60+$F$3)/86400)+(H163&lt;&gt;"")*(H163&lt;=($I$3*60+$J$3)/86400)+(J163&lt;&gt;"")*(J163&lt;=($M$3*60+$N$3)/86400)</f>
        <v>0</v>
      </c>
      <c r="N163" s="20"/>
      <c r="O163" s="20"/>
      <c r="P163" s="20"/>
      <c r="Q163" s="19"/>
    </row>
    <row r="164" customFormat="false" ht="15" hidden="false" customHeight="false" outlineLevel="0" collapsed="false">
      <c r="A164" s="10" t="n">
        <v>158</v>
      </c>
      <c r="B164" s="11" t="s">
        <v>329</v>
      </c>
      <c r="C164" s="12" t="s">
        <v>150</v>
      </c>
      <c r="D164" s="13" t="n">
        <v>0.0102987268518519</v>
      </c>
      <c r="E164" s="14" t="n">
        <v>159</v>
      </c>
      <c r="F164" s="15" t="n">
        <f aca="false">IF(D164="","",ROUND((D164-MIN($D$7:$D$9999))*86400,2))</f>
        <v>100.07</v>
      </c>
      <c r="G164" s="10" t="str">
        <f aca="false">IF(D164="","",IF(D164&lt;=($E$3*60+$F$3)/86400,"○",""))</f>
        <v/>
      </c>
      <c r="H164" s="16"/>
      <c r="I164" s="17"/>
      <c r="J164" s="16" t="n">
        <v>0.00275208333333333</v>
      </c>
      <c r="K164" s="17" t="n">
        <v>108</v>
      </c>
      <c r="L164" s="17" t="n">
        <f aca="false">COUNT(E164,I164,K164)</f>
        <v>2</v>
      </c>
      <c r="M164" s="18" t="n">
        <f aca="false">(D164&lt;&gt;"")*(D164&lt;=($E$3*60+$F$3)/86400)+(H164&lt;&gt;"")*(H164&lt;=($I$3*60+$J$3)/86400)+(J164&lt;&gt;"")*(J164&lt;=($M$3*60+$N$3)/86400)</f>
        <v>0</v>
      </c>
      <c r="N164" s="20"/>
      <c r="O164" s="20"/>
      <c r="P164" s="20"/>
      <c r="Q164" s="19"/>
    </row>
    <row r="165" customFormat="false" ht="15" hidden="false" customHeight="false" outlineLevel="0" collapsed="false">
      <c r="A165" s="10" t="n">
        <v>159</v>
      </c>
      <c r="B165" s="11" t="s">
        <v>330</v>
      </c>
      <c r="C165" s="12" t="s">
        <v>245</v>
      </c>
      <c r="D165" s="13" t="n">
        <v>0.0103002314814815</v>
      </c>
      <c r="E165" s="14" t="n">
        <v>160</v>
      </c>
      <c r="F165" s="15" t="n">
        <f aca="false">IF(D165="","",ROUND((D165-MIN($D$7:$D$9999))*86400,2))</f>
        <v>100.2</v>
      </c>
      <c r="G165" s="10" t="str">
        <f aca="false">IF(D165="","",IF(D165&lt;=($E$3*60+$F$3)/86400,"○",""))</f>
        <v/>
      </c>
      <c r="H165" s="16" t="n">
        <v>0.00701736111111111</v>
      </c>
      <c r="I165" s="17" t="n">
        <v>354</v>
      </c>
      <c r="J165" s="16" t="n">
        <v>0.0028443287037037</v>
      </c>
      <c r="K165" s="17" t="n">
        <v>529</v>
      </c>
      <c r="L165" s="17" t="n">
        <f aca="false">COUNT(E165,I165,K165)</f>
        <v>3</v>
      </c>
      <c r="M165" s="18" t="n">
        <f aca="false">(D165&lt;&gt;"")*(D165&lt;=($E$3*60+$F$3)/86400)+(H165&lt;&gt;"")*(H165&lt;=($I$3*60+$J$3)/86400)+(J165&lt;&gt;"")*(J165&lt;=($M$3*60+$N$3)/86400)</f>
        <v>0</v>
      </c>
      <c r="N165" s="20" t="s">
        <v>331</v>
      </c>
      <c r="O165" s="20"/>
      <c r="P165" s="20"/>
      <c r="Q165" s="19"/>
    </row>
    <row r="166" customFormat="false" ht="15" hidden="false" customHeight="false" outlineLevel="0" collapsed="false">
      <c r="A166" s="10" t="n">
        <v>160</v>
      </c>
      <c r="B166" s="11" t="s">
        <v>332</v>
      </c>
      <c r="C166" s="12" t="s">
        <v>333</v>
      </c>
      <c r="D166" s="13" t="n">
        <v>0.0103003472222222</v>
      </c>
      <c r="E166" s="14" t="n">
        <v>161</v>
      </c>
      <c r="F166" s="15" t="n">
        <f aca="false">IF(D166="","",ROUND((D166-MIN($D$7:$D$9999))*86400,2))</f>
        <v>100.21</v>
      </c>
      <c r="G166" s="10" t="str">
        <f aca="false">IF(D166="","",IF(D166&lt;=($E$3*60+$F$3)/86400,"○",""))</f>
        <v/>
      </c>
      <c r="H166" s="16" t="n">
        <v>0.0070880787037037</v>
      </c>
      <c r="I166" s="17" t="n">
        <v>437</v>
      </c>
      <c r="J166" s="16" t="n">
        <v>0.00275381944444445</v>
      </c>
      <c r="K166" s="17" t="n">
        <v>113</v>
      </c>
      <c r="L166" s="17" t="n">
        <f aca="false">COUNT(E166,I166,K166)</f>
        <v>3</v>
      </c>
      <c r="M166" s="18" t="n">
        <f aca="false">(D166&lt;&gt;"")*(D166&lt;=($E$3*60+$F$3)/86400)+(H166&lt;&gt;"")*(H166&lt;=($I$3*60+$J$3)/86400)+(J166&lt;&gt;"")*(J166&lt;=($M$3*60+$N$3)/86400)</f>
        <v>0</v>
      </c>
      <c r="N166" s="20" t="s">
        <v>334</v>
      </c>
      <c r="O166" s="20"/>
      <c r="P166" s="20"/>
      <c r="Q166" s="19"/>
    </row>
    <row r="167" customFormat="false" ht="15" hidden="false" customHeight="false" outlineLevel="0" collapsed="false">
      <c r="A167" s="10" t="n">
        <v>161</v>
      </c>
      <c r="B167" s="11" t="s">
        <v>335</v>
      </c>
      <c r="C167" s="12" t="s">
        <v>77</v>
      </c>
      <c r="D167" s="13" t="n">
        <v>0.0103006944444444</v>
      </c>
      <c r="E167" s="14" t="n">
        <v>162</v>
      </c>
      <c r="F167" s="15" t="n">
        <f aca="false">IF(D167="","",ROUND((D167-MIN($D$7:$D$9999))*86400,2))</f>
        <v>100.24</v>
      </c>
      <c r="G167" s="10" t="str">
        <f aca="false">IF(D167="","",IF(D167&lt;=($E$3*60+$F$3)/86400,"○",""))</f>
        <v/>
      </c>
      <c r="H167" s="16"/>
      <c r="I167" s="17"/>
      <c r="J167" s="16" t="n">
        <v>0.00268900462962963</v>
      </c>
      <c r="K167" s="17" t="n">
        <v>17</v>
      </c>
      <c r="L167" s="17" t="n">
        <f aca="false">COUNT(E167,I167,K167)</f>
        <v>2</v>
      </c>
      <c r="M167" s="18" t="n">
        <f aca="false">(D167&lt;&gt;"")*(D167&lt;=($E$3*60+$F$3)/86400)+(H167&lt;&gt;"")*(H167&lt;=($I$3*60+$J$3)/86400)+(J167&lt;&gt;"")*(J167&lt;=($M$3*60+$N$3)/86400)</f>
        <v>1</v>
      </c>
      <c r="N167" s="20"/>
      <c r="O167" s="20" t="s">
        <v>336</v>
      </c>
      <c r="P167" s="20"/>
      <c r="Q167" s="19"/>
    </row>
    <row r="168" customFormat="false" ht="15" hidden="false" customHeight="false" outlineLevel="0" collapsed="false">
      <c r="A168" s="10" t="n">
        <v>162</v>
      </c>
      <c r="B168" s="11" t="s">
        <v>337</v>
      </c>
      <c r="C168" s="12" t="s">
        <v>167</v>
      </c>
      <c r="D168" s="13" t="n">
        <v>0.0103019675925926</v>
      </c>
      <c r="E168" s="14" t="n">
        <v>163</v>
      </c>
      <c r="F168" s="15" t="n">
        <f aca="false">IF(D168="","",ROUND((D168-MIN($D$7:$D$9999))*86400,2))</f>
        <v>100.35</v>
      </c>
      <c r="G168" s="10" t="str">
        <f aca="false">IF(D168="","",IF(D168&lt;=($E$3*60+$F$3)/86400,"○",""))</f>
        <v/>
      </c>
      <c r="H168" s="16" t="n">
        <v>0.00693576388888889</v>
      </c>
      <c r="I168" s="17" t="n">
        <v>278</v>
      </c>
      <c r="J168" s="16" t="n">
        <v>0.00278275462962963</v>
      </c>
      <c r="K168" s="17" t="n">
        <v>212</v>
      </c>
      <c r="L168" s="17" t="n">
        <f aca="false">COUNT(E168,I168,K168)</f>
        <v>3</v>
      </c>
      <c r="M168" s="18" t="n">
        <f aca="false">(D168&lt;&gt;"")*(D168&lt;=($E$3*60+$F$3)/86400)+(H168&lt;&gt;"")*(H168&lt;=($I$3*60+$J$3)/86400)+(J168&lt;&gt;"")*(J168&lt;=($M$3*60+$N$3)/86400)</f>
        <v>0</v>
      </c>
      <c r="N168" s="20"/>
      <c r="O168" s="20" t="s">
        <v>338</v>
      </c>
      <c r="P168" s="20"/>
      <c r="Q168" s="19"/>
    </row>
    <row r="169" customFormat="false" ht="15" hidden="false" customHeight="false" outlineLevel="0" collapsed="false">
      <c r="A169" s="10" t="n">
        <v>163</v>
      </c>
      <c r="B169" s="11" t="s">
        <v>339</v>
      </c>
      <c r="C169" s="12" t="s">
        <v>340</v>
      </c>
      <c r="D169" s="13" t="n">
        <v>0.0103054398148148</v>
      </c>
      <c r="E169" s="14" t="n">
        <v>164</v>
      </c>
      <c r="F169" s="15" t="n">
        <f aca="false">IF(D169="","",ROUND((D169-MIN($D$7:$D$9999))*86400,2))</f>
        <v>100.65</v>
      </c>
      <c r="G169" s="10" t="str">
        <f aca="false">IF(D169="","",IF(D169&lt;=($E$3*60+$F$3)/86400,"○",""))</f>
        <v/>
      </c>
      <c r="H169" s="16"/>
      <c r="I169" s="17"/>
      <c r="J169" s="16" t="n">
        <v>0.00280335648148148</v>
      </c>
      <c r="K169" s="17" t="n">
        <v>297</v>
      </c>
      <c r="L169" s="17" t="n">
        <f aca="false">COUNT(E169,I169,K169)</f>
        <v>2</v>
      </c>
      <c r="M169" s="18" t="n">
        <f aca="false">(D169&lt;&gt;"")*(D169&lt;=($E$3*60+$F$3)/86400)+(H169&lt;&gt;"")*(H169&lt;=($I$3*60+$J$3)/86400)+(J169&lt;&gt;"")*(J169&lt;=($M$3*60+$N$3)/86400)</f>
        <v>0</v>
      </c>
      <c r="N169" s="20"/>
      <c r="O169" s="20"/>
      <c r="P169" s="20"/>
      <c r="Q169" s="19"/>
    </row>
    <row r="170" customFormat="false" ht="15" hidden="false" customHeight="false" outlineLevel="0" collapsed="false">
      <c r="A170" s="10" t="n">
        <v>164</v>
      </c>
      <c r="B170" s="11" t="s">
        <v>341</v>
      </c>
      <c r="C170" s="12" t="s">
        <v>145</v>
      </c>
      <c r="D170" s="13" t="n">
        <v>0.0103106481481482</v>
      </c>
      <c r="E170" s="14" t="n">
        <v>165</v>
      </c>
      <c r="F170" s="15" t="n">
        <f aca="false">IF(D170="","",ROUND((D170-MIN($D$7:$D$9999))*86400,2))</f>
        <v>101.1</v>
      </c>
      <c r="G170" s="10" t="str">
        <f aca="false">IF(D170="","",IF(D170&lt;=($E$3*60+$F$3)/86400,"○",""))</f>
        <v/>
      </c>
      <c r="H170" s="16"/>
      <c r="I170" s="17"/>
      <c r="J170" s="16"/>
      <c r="K170" s="17"/>
      <c r="L170" s="17" t="n">
        <f aca="false">COUNT(E170,I170,K170)</f>
        <v>1</v>
      </c>
      <c r="M170" s="18" t="n">
        <f aca="false">(D170&lt;&gt;"")*(D170&lt;=($E$3*60+$F$3)/86400)+(H170&lt;&gt;"")*(H170&lt;=($I$3*60+$J$3)/86400)+(J170&lt;&gt;"")*(J170&lt;=($M$3*60+$N$3)/86400)</f>
        <v>0</v>
      </c>
      <c r="N170" s="20"/>
      <c r="O170" s="20"/>
      <c r="P170" s="20"/>
      <c r="Q170" s="19"/>
    </row>
    <row r="171" customFormat="false" ht="15" hidden="false" customHeight="false" outlineLevel="0" collapsed="false">
      <c r="A171" s="10" t="n">
        <v>165</v>
      </c>
      <c r="B171" s="11" t="s">
        <v>342</v>
      </c>
      <c r="C171" s="12" t="s">
        <v>83</v>
      </c>
      <c r="D171" s="13" t="n">
        <v>0.0103112268518519</v>
      </c>
      <c r="E171" s="14" t="n">
        <v>166</v>
      </c>
      <c r="F171" s="15" t="n">
        <f aca="false">IF(D171="","",ROUND((D171-MIN($D$7:$D$9999))*86400,2))</f>
        <v>101.15</v>
      </c>
      <c r="G171" s="10" t="str">
        <f aca="false">IF(D171="","",IF(D171&lt;=($E$3*60+$F$3)/86400,"○",""))</f>
        <v/>
      </c>
      <c r="H171" s="16"/>
      <c r="I171" s="17"/>
      <c r="J171" s="16" t="n">
        <v>0.00283043981481482</v>
      </c>
      <c r="K171" s="17" t="n">
        <v>429</v>
      </c>
      <c r="L171" s="17" t="n">
        <f aca="false">COUNT(E171,I171,K171)</f>
        <v>2</v>
      </c>
      <c r="M171" s="18" t="n">
        <f aca="false">(D171&lt;&gt;"")*(D171&lt;=($E$3*60+$F$3)/86400)+(H171&lt;&gt;"")*(H171&lt;=($I$3*60+$J$3)/86400)+(J171&lt;&gt;"")*(J171&lt;=($M$3*60+$N$3)/86400)</f>
        <v>0</v>
      </c>
      <c r="N171" s="20" t="s">
        <v>343</v>
      </c>
      <c r="O171" s="20"/>
      <c r="P171" s="20"/>
      <c r="Q171" s="19"/>
    </row>
    <row r="172" customFormat="false" ht="15" hidden="false" customHeight="false" outlineLevel="0" collapsed="false">
      <c r="A172" s="10" t="n">
        <v>166</v>
      </c>
      <c r="B172" s="11" t="s">
        <v>344</v>
      </c>
      <c r="C172" s="12" t="s">
        <v>214</v>
      </c>
      <c r="D172" s="13" t="n">
        <v>0.0103144675925926</v>
      </c>
      <c r="E172" s="14" t="n">
        <v>167</v>
      </c>
      <c r="F172" s="15" t="n">
        <f aca="false">IF(D172="","",ROUND((D172-MIN($D$7:$D$9999))*86400,2))</f>
        <v>101.43</v>
      </c>
      <c r="G172" s="10" t="str">
        <f aca="false">IF(D172="","",IF(D172&lt;=($E$3*60+$F$3)/86400,"○",""))</f>
        <v/>
      </c>
      <c r="H172" s="16" t="n">
        <v>0.00674305555555556</v>
      </c>
      <c r="I172" s="17" t="n">
        <v>123</v>
      </c>
      <c r="J172" s="16" t="n">
        <v>0.00277951388888889</v>
      </c>
      <c r="K172" s="17" t="n">
        <v>199</v>
      </c>
      <c r="L172" s="17" t="n">
        <f aca="false">COUNT(E172,I172,K172)</f>
        <v>3</v>
      </c>
      <c r="M172" s="18" t="n">
        <f aca="false">(D172&lt;&gt;"")*(D172&lt;=($E$3*60+$F$3)/86400)+(H172&lt;&gt;"")*(H172&lt;=($I$3*60+$J$3)/86400)+(J172&lt;&gt;"")*(J172&lt;=($M$3*60+$N$3)/86400)</f>
        <v>0</v>
      </c>
      <c r="N172" s="20" t="s">
        <v>345</v>
      </c>
      <c r="O172" s="20"/>
      <c r="P172" s="20"/>
      <c r="Q172" s="19"/>
    </row>
    <row r="173" customFormat="false" ht="15" hidden="false" customHeight="false" outlineLevel="0" collapsed="false">
      <c r="A173" s="10" t="n">
        <v>167</v>
      </c>
      <c r="B173" s="11" t="s">
        <v>346</v>
      </c>
      <c r="C173" s="12" t="s">
        <v>167</v>
      </c>
      <c r="D173" s="13" t="n">
        <v>0.010315625</v>
      </c>
      <c r="E173" s="14" t="n">
        <v>168</v>
      </c>
      <c r="F173" s="15" t="n">
        <f aca="false">IF(D173="","",ROUND((D173-MIN($D$7:$D$9999))*86400,2))</f>
        <v>101.53</v>
      </c>
      <c r="G173" s="10" t="str">
        <f aca="false">IF(D173="","",IF(D173&lt;=($E$3*60+$F$3)/86400,"○",""))</f>
        <v/>
      </c>
      <c r="H173" s="16"/>
      <c r="I173" s="17"/>
      <c r="J173" s="16"/>
      <c r="K173" s="17"/>
      <c r="L173" s="17" t="n">
        <f aca="false">COUNT(E173,I173,K173)</f>
        <v>1</v>
      </c>
      <c r="M173" s="18" t="n">
        <f aca="false">(D173&lt;&gt;"")*(D173&lt;=($E$3*60+$F$3)/86400)+(H173&lt;&gt;"")*(H173&lt;=($I$3*60+$J$3)/86400)+(J173&lt;&gt;"")*(J173&lt;=($M$3*60+$N$3)/86400)</f>
        <v>0</v>
      </c>
      <c r="N173" s="20"/>
      <c r="O173" s="20"/>
      <c r="P173" s="20"/>
      <c r="Q173" s="19"/>
    </row>
    <row r="174" customFormat="false" ht="15" hidden="false" customHeight="false" outlineLevel="0" collapsed="false">
      <c r="A174" s="10" t="n">
        <v>168</v>
      </c>
      <c r="B174" s="11" t="s">
        <v>347</v>
      </c>
      <c r="C174" s="12" t="s">
        <v>348</v>
      </c>
      <c r="D174" s="13" t="n">
        <v>0.0103164351851852</v>
      </c>
      <c r="E174" s="14" t="n">
        <v>169</v>
      </c>
      <c r="F174" s="15" t="n">
        <f aca="false">IF(D174="","",ROUND((D174-MIN($D$7:$D$9999))*86400,2))</f>
        <v>101.6</v>
      </c>
      <c r="G174" s="10" t="str">
        <f aca="false">IF(D174="","",IF(D174&lt;=($E$3*60+$F$3)/86400,"○",""))</f>
        <v/>
      </c>
      <c r="H174" s="16"/>
      <c r="I174" s="17"/>
      <c r="J174" s="16" t="n">
        <v>0.00283576388888889</v>
      </c>
      <c r="K174" s="17" t="n">
        <v>468</v>
      </c>
      <c r="L174" s="17" t="n">
        <f aca="false">COUNT(E174,I174,K174)</f>
        <v>2</v>
      </c>
      <c r="M174" s="18" t="n">
        <f aca="false">(D174&lt;&gt;"")*(D174&lt;=($E$3*60+$F$3)/86400)+(H174&lt;&gt;"")*(H174&lt;=($I$3*60+$J$3)/86400)+(J174&lt;&gt;"")*(J174&lt;=($M$3*60+$N$3)/86400)</f>
        <v>0</v>
      </c>
      <c r="N174" s="20" t="s">
        <v>349</v>
      </c>
      <c r="O174" s="20"/>
      <c r="P174" s="20"/>
      <c r="Q174" s="19"/>
    </row>
    <row r="175" customFormat="false" ht="15" hidden="false" customHeight="false" outlineLevel="0" collapsed="false">
      <c r="A175" s="10" t="n">
        <v>169</v>
      </c>
      <c r="B175" s="11" t="s">
        <v>350</v>
      </c>
      <c r="C175" s="12" t="s">
        <v>351</v>
      </c>
      <c r="D175" s="13" t="n">
        <v>0.0103172453703704</v>
      </c>
      <c r="E175" s="14" t="n">
        <v>170</v>
      </c>
      <c r="F175" s="15" t="n">
        <f aca="false">IF(D175="","",ROUND((D175-MIN($D$7:$D$9999))*86400,2))</f>
        <v>101.67</v>
      </c>
      <c r="G175" s="10" t="str">
        <f aca="false">IF(D175="","",IF(D175&lt;=($E$3*60+$F$3)/86400,"○",""))</f>
        <v/>
      </c>
      <c r="H175" s="16" t="n">
        <v>0.00654826388888889</v>
      </c>
      <c r="I175" s="17" t="n">
        <v>45</v>
      </c>
      <c r="J175" s="16" t="n">
        <v>0.00278391203703704</v>
      </c>
      <c r="K175" s="17" t="n">
        <v>216</v>
      </c>
      <c r="L175" s="17" t="n">
        <f aca="false">COUNT(E175,I175,K175)</f>
        <v>3</v>
      </c>
      <c r="M175" s="18" t="n">
        <f aca="false">(D175&lt;&gt;"")*(D175&lt;=($E$3*60+$F$3)/86400)+(H175&lt;&gt;"")*(H175&lt;=($I$3*60+$J$3)/86400)+(J175&lt;&gt;"")*(J175&lt;=($M$3*60+$N$3)/86400)</f>
        <v>0</v>
      </c>
      <c r="N175" s="20"/>
      <c r="O175" s="20" t="s">
        <v>352</v>
      </c>
      <c r="P175" s="20"/>
      <c r="Q175" s="19"/>
    </row>
    <row r="176" customFormat="false" ht="15" hidden="false" customHeight="false" outlineLevel="0" collapsed="false">
      <c r="A176" s="10" t="n">
        <v>170</v>
      </c>
      <c r="B176" s="11" t="s">
        <v>353</v>
      </c>
      <c r="C176" s="12" t="s">
        <v>27</v>
      </c>
      <c r="D176" s="13" t="n">
        <v>0.0103173611111111</v>
      </c>
      <c r="E176" s="14" t="n">
        <v>171</v>
      </c>
      <c r="F176" s="15" t="n">
        <f aca="false">IF(D176="","",ROUND((D176-MIN($D$7:$D$9999))*86400,2))</f>
        <v>101.68</v>
      </c>
      <c r="G176" s="10" t="str">
        <f aca="false">IF(D176="","",IF(D176&lt;=($E$3*60+$F$3)/86400,"○",""))</f>
        <v/>
      </c>
      <c r="H176" s="16"/>
      <c r="I176" s="17"/>
      <c r="J176" s="16" t="n">
        <v>0.0028712962962963</v>
      </c>
      <c r="K176" s="17" t="n">
        <v>709</v>
      </c>
      <c r="L176" s="17" t="n">
        <f aca="false">COUNT(E176,I176,K176)</f>
        <v>2</v>
      </c>
      <c r="M176" s="18" t="n">
        <f aca="false">(D176&lt;&gt;"")*(D176&lt;=($E$3*60+$F$3)/86400)+(H176&lt;&gt;"")*(H176&lt;=($I$3*60+$J$3)/86400)+(J176&lt;&gt;"")*(J176&lt;=($M$3*60+$N$3)/86400)</f>
        <v>0</v>
      </c>
      <c r="N176" s="20"/>
      <c r="O176" s="20"/>
      <c r="P176" s="20"/>
      <c r="Q176" s="19"/>
    </row>
    <row r="177" customFormat="false" ht="15" hidden="false" customHeight="false" outlineLevel="0" collapsed="false">
      <c r="A177" s="10" t="n">
        <v>171</v>
      </c>
      <c r="B177" s="11" t="s">
        <v>354</v>
      </c>
      <c r="C177" s="12" t="s">
        <v>303</v>
      </c>
      <c r="D177" s="13" t="n">
        <v>0.0103181712962963</v>
      </c>
      <c r="E177" s="14" t="n">
        <v>172</v>
      </c>
      <c r="F177" s="15" t="n">
        <f aca="false">IF(D177="","",ROUND((D177-MIN($D$7:$D$9999))*86400,2))</f>
        <v>101.75</v>
      </c>
      <c r="G177" s="10" t="str">
        <f aca="false">IF(D177="","",IF(D177&lt;=($E$3*60+$F$3)/86400,"○",""))</f>
        <v/>
      </c>
      <c r="H177" s="16" t="n">
        <v>0.006540625</v>
      </c>
      <c r="I177" s="17" t="n">
        <v>43</v>
      </c>
      <c r="J177" s="16" t="n">
        <v>0.00277326388888889</v>
      </c>
      <c r="K177" s="17" t="n">
        <v>168</v>
      </c>
      <c r="L177" s="17" t="n">
        <f aca="false">COUNT(E177,I177,K177)</f>
        <v>3</v>
      </c>
      <c r="M177" s="18" t="n">
        <f aca="false">(D177&lt;&gt;"")*(D177&lt;=($E$3*60+$F$3)/86400)+(H177&lt;&gt;"")*(H177&lt;=($I$3*60+$J$3)/86400)+(J177&lt;&gt;"")*(J177&lt;=($M$3*60+$N$3)/86400)</f>
        <v>0</v>
      </c>
      <c r="N177" s="20"/>
      <c r="O177" s="20"/>
      <c r="P177" s="20"/>
      <c r="Q177" s="19"/>
    </row>
    <row r="178" customFormat="false" ht="15" hidden="false" customHeight="false" outlineLevel="0" collapsed="false">
      <c r="A178" s="10" t="n">
        <v>172</v>
      </c>
      <c r="B178" s="11" t="s">
        <v>355</v>
      </c>
      <c r="C178" s="12" t="s">
        <v>186</v>
      </c>
      <c r="D178" s="13" t="n">
        <v>0.01031875</v>
      </c>
      <c r="E178" s="14" t="n">
        <v>173</v>
      </c>
      <c r="F178" s="15" t="n">
        <f aca="false">IF(D178="","",ROUND((D178-MIN($D$7:$D$9999))*86400,2))</f>
        <v>101.8</v>
      </c>
      <c r="G178" s="10" t="str">
        <f aca="false">IF(D178="","",IF(D178&lt;=($E$3*60+$F$3)/86400,"○",""))</f>
        <v/>
      </c>
      <c r="H178" s="16"/>
      <c r="I178" s="17"/>
      <c r="J178" s="16" t="n">
        <v>0.00285532407407407</v>
      </c>
      <c r="K178" s="17" t="n">
        <v>598</v>
      </c>
      <c r="L178" s="17" t="n">
        <f aca="false">COUNT(E178,I178,K178)</f>
        <v>2</v>
      </c>
      <c r="M178" s="18" t="n">
        <f aca="false">(D178&lt;&gt;"")*(D178&lt;=($E$3*60+$F$3)/86400)+(H178&lt;&gt;"")*(H178&lt;=($I$3*60+$J$3)/86400)+(J178&lt;&gt;"")*(J178&lt;=($M$3*60+$N$3)/86400)</f>
        <v>0</v>
      </c>
      <c r="N178" s="20"/>
      <c r="O178" s="20"/>
      <c r="P178" s="20"/>
      <c r="Q178" s="19"/>
    </row>
    <row r="179" customFormat="false" ht="15" hidden="false" customHeight="false" outlineLevel="0" collapsed="false">
      <c r="A179" s="10" t="n">
        <v>173</v>
      </c>
      <c r="B179" s="11" t="s">
        <v>356</v>
      </c>
      <c r="C179" s="12" t="s">
        <v>179</v>
      </c>
      <c r="D179" s="13" t="n">
        <v>0.0103224537037037</v>
      </c>
      <c r="E179" s="14" t="n">
        <v>174</v>
      </c>
      <c r="F179" s="15" t="n">
        <f aca="false">IF(D179="","",ROUND((D179-MIN($D$7:$D$9999))*86400,2))</f>
        <v>102.12</v>
      </c>
      <c r="G179" s="10" t="str">
        <f aca="false">IF(D179="","",IF(D179&lt;=($E$3*60+$F$3)/86400,"○",""))</f>
        <v/>
      </c>
      <c r="H179" s="16"/>
      <c r="I179" s="17"/>
      <c r="J179" s="16" t="n">
        <v>0.00290902777777778</v>
      </c>
      <c r="K179" s="17" t="n">
        <v>1009</v>
      </c>
      <c r="L179" s="17" t="n">
        <f aca="false">COUNT(E179,I179,K179)</f>
        <v>2</v>
      </c>
      <c r="M179" s="18" t="n">
        <f aca="false">(D179&lt;&gt;"")*(D179&lt;=($E$3*60+$F$3)/86400)+(H179&lt;&gt;"")*(H179&lt;=($I$3*60+$J$3)/86400)+(J179&lt;&gt;"")*(J179&lt;=($M$3*60+$N$3)/86400)</f>
        <v>0</v>
      </c>
      <c r="N179" s="20" t="s">
        <v>357</v>
      </c>
      <c r="O179" s="20"/>
      <c r="P179" s="20"/>
      <c r="Q179" s="19"/>
    </row>
    <row r="180" customFormat="false" ht="15" hidden="false" customHeight="false" outlineLevel="0" collapsed="false">
      <c r="A180" s="10" t="n">
        <v>174</v>
      </c>
      <c r="B180" s="11" t="s">
        <v>358</v>
      </c>
      <c r="C180" s="12" t="s">
        <v>323</v>
      </c>
      <c r="D180" s="13" t="n">
        <v>0.0103246527777778</v>
      </c>
      <c r="E180" s="14" t="n">
        <v>175</v>
      </c>
      <c r="F180" s="15" t="n">
        <f aca="false">IF(D180="","",ROUND((D180-MIN($D$7:$D$9999))*86400,2))</f>
        <v>102.31</v>
      </c>
      <c r="G180" s="10" t="str">
        <f aca="false">IF(D180="","",IF(D180&lt;=($E$3*60+$F$3)/86400,"○",""))</f>
        <v/>
      </c>
      <c r="H180" s="16" t="n">
        <v>0.00648136574074074</v>
      </c>
      <c r="I180" s="17" t="n">
        <v>30</v>
      </c>
      <c r="J180" s="16" t="n">
        <v>0.00279930555555556</v>
      </c>
      <c r="K180" s="17" t="n">
        <v>279</v>
      </c>
      <c r="L180" s="17" t="n">
        <f aca="false">COUNT(E180,I180,K180)</f>
        <v>3</v>
      </c>
      <c r="M180" s="18" t="n">
        <f aca="false">(D180&lt;&gt;"")*(D180&lt;=($E$3*60+$F$3)/86400)+(H180&lt;&gt;"")*(H180&lt;=($I$3*60+$J$3)/86400)+(J180&lt;&gt;"")*(J180&lt;=($M$3*60+$N$3)/86400)</f>
        <v>1</v>
      </c>
      <c r="N180" s="20"/>
      <c r="O180" s="20"/>
      <c r="P180" s="20"/>
      <c r="Q180" s="19"/>
    </row>
    <row r="181" customFormat="false" ht="15" hidden="false" customHeight="false" outlineLevel="0" collapsed="false">
      <c r="A181" s="10" t="n">
        <v>175</v>
      </c>
      <c r="B181" s="11" t="s">
        <v>359</v>
      </c>
      <c r="C181" s="12" t="s">
        <v>360</v>
      </c>
      <c r="D181" s="13" t="n">
        <v>0.0103251157407407</v>
      </c>
      <c r="E181" s="14" t="n">
        <v>176</v>
      </c>
      <c r="F181" s="15" t="n">
        <f aca="false">IF(D181="","",ROUND((D181-MIN($D$7:$D$9999))*86400,2))</f>
        <v>102.35</v>
      </c>
      <c r="G181" s="10" t="str">
        <f aca="false">IF(D181="","",IF(D181&lt;=($E$3*60+$F$3)/86400,"○",""))</f>
        <v/>
      </c>
      <c r="H181" s="16"/>
      <c r="I181" s="17"/>
      <c r="J181" s="16" t="n">
        <v>0.00282268518518519</v>
      </c>
      <c r="K181" s="17" t="n">
        <v>379</v>
      </c>
      <c r="L181" s="17" t="n">
        <f aca="false">COUNT(E181,I181,K181)</f>
        <v>2</v>
      </c>
      <c r="M181" s="18" t="n">
        <f aca="false">(D181&lt;&gt;"")*(D181&lt;=($E$3*60+$F$3)/86400)+(H181&lt;&gt;"")*(H181&lt;=($I$3*60+$J$3)/86400)+(J181&lt;&gt;"")*(J181&lt;=($M$3*60+$N$3)/86400)</f>
        <v>0</v>
      </c>
      <c r="N181" s="20" t="s">
        <v>361</v>
      </c>
      <c r="O181" s="20"/>
      <c r="P181" s="20"/>
      <c r="Q181" s="19"/>
    </row>
    <row r="182" customFormat="false" ht="15" hidden="false" customHeight="false" outlineLevel="0" collapsed="false">
      <c r="A182" s="10" t="n">
        <v>176</v>
      </c>
      <c r="B182" s="11" t="s">
        <v>362</v>
      </c>
      <c r="C182" s="12" t="s">
        <v>311</v>
      </c>
      <c r="D182" s="13" t="n">
        <v>0.0103259259259259</v>
      </c>
      <c r="E182" s="14" t="n">
        <v>177</v>
      </c>
      <c r="F182" s="15" t="n">
        <f aca="false">IF(D182="","",ROUND((D182-MIN($D$7:$D$9999))*86400,2))</f>
        <v>102.42</v>
      </c>
      <c r="G182" s="10" t="str">
        <f aca="false">IF(D182="","",IF(D182&lt;=($E$3*60+$F$3)/86400,"○",""))</f>
        <v/>
      </c>
      <c r="H182" s="16"/>
      <c r="I182" s="17"/>
      <c r="J182" s="16" t="n">
        <v>0.00296030092592593</v>
      </c>
      <c r="K182" s="17" t="n">
        <v>1273</v>
      </c>
      <c r="L182" s="17" t="n">
        <f aca="false">COUNT(E182,I182,K182)</f>
        <v>2</v>
      </c>
      <c r="M182" s="18" t="n">
        <f aca="false">(D182&lt;&gt;"")*(D182&lt;=($E$3*60+$F$3)/86400)+(H182&lt;&gt;"")*(H182&lt;=($I$3*60+$J$3)/86400)+(J182&lt;&gt;"")*(J182&lt;=($M$3*60+$N$3)/86400)</f>
        <v>0</v>
      </c>
      <c r="N182" s="20"/>
      <c r="O182" s="20"/>
      <c r="P182" s="20"/>
      <c r="Q182" s="19"/>
    </row>
    <row r="183" customFormat="false" ht="15" hidden="false" customHeight="false" outlineLevel="0" collapsed="false">
      <c r="A183" s="10" t="n">
        <v>177</v>
      </c>
      <c r="B183" s="11" t="s">
        <v>363</v>
      </c>
      <c r="C183" s="12" t="s">
        <v>127</v>
      </c>
      <c r="D183" s="13" t="n">
        <v>0.0103260416666667</v>
      </c>
      <c r="E183" s="14" t="n">
        <v>178</v>
      </c>
      <c r="F183" s="15" t="n">
        <f aca="false">IF(D183="","",ROUND((D183-MIN($D$7:$D$9999))*86400,2))</f>
        <v>102.43</v>
      </c>
      <c r="G183" s="10" t="str">
        <f aca="false">IF(D183="","",IF(D183&lt;=($E$3*60+$F$3)/86400,"○",""))</f>
        <v/>
      </c>
      <c r="H183" s="16"/>
      <c r="I183" s="17"/>
      <c r="J183" s="16" t="n">
        <v>0.00282430555555556</v>
      </c>
      <c r="K183" s="17" t="n">
        <v>389</v>
      </c>
      <c r="L183" s="17" t="n">
        <f aca="false">COUNT(E183,I183,K183)</f>
        <v>2</v>
      </c>
      <c r="M183" s="18" t="n">
        <f aca="false">(D183&lt;&gt;"")*(D183&lt;=($E$3*60+$F$3)/86400)+(H183&lt;&gt;"")*(H183&lt;=($I$3*60+$J$3)/86400)+(J183&lt;&gt;"")*(J183&lt;=($M$3*60+$N$3)/86400)</f>
        <v>0</v>
      </c>
      <c r="N183" s="20" t="s">
        <v>364</v>
      </c>
      <c r="O183" s="20"/>
      <c r="P183" s="20"/>
      <c r="Q183" s="19"/>
    </row>
    <row r="184" customFormat="false" ht="15" hidden="false" customHeight="false" outlineLevel="0" collapsed="false">
      <c r="A184" s="10" t="n">
        <v>178</v>
      </c>
      <c r="B184" s="11" t="s">
        <v>365</v>
      </c>
      <c r="C184" s="12" t="s">
        <v>54</v>
      </c>
      <c r="D184" s="13" t="n">
        <v>0.0103261574074074</v>
      </c>
      <c r="E184" s="14" t="n">
        <v>179</v>
      </c>
      <c r="F184" s="15" t="n">
        <f aca="false">IF(D184="","",ROUND((D184-MIN($D$7:$D$9999))*86400,2))</f>
        <v>102.44</v>
      </c>
      <c r="G184" s="10" t="str">
        <f aca="false">IF(D184="","",IF(D184&lt;=($E$3*60+$F$3)/86400,"○",""))</f>
        <v/>
      </c>
      <c r="H184" s="16"/>
      <c r="I184" s="17"/>
      <c r="J184" s="16" t="n">
        <v>0.00288576388888889</v>
      </c>
      <c r="K184" s="17" t="n">
        <v>822</v>
      </c>
      <c r="L184" s="17" t="n">
        <f aca="false">COUNT(E184,I184,K184)</f>
        <v>2</v>
      </c>
      <c r="M184" s="18" t="n">
        <f aca="false">(D184&lt;&gt;"")*(D184&lt;=($E$3*60+$F$3)/86400)+(H184&lt;&gt;"")*(H184&lt;=($I$3*60+$J$3)/86400)+(J184&lt;&gt;"")*(J184&lt;=($M$3*60+$N$3)/86400)</f>
        <v>0</v>
      </c>
      <c r="N184" s="20"/>
      <c r="O184" s="20"/>
      <c r="P184" s="20"/>
      <c r="Q184" s="19"/>
    </row>
    <row r="185" customFormat="false" ht="15" hidden="false" customHeight="false" outlineLevel="0" collapsed="false">
      <c r="A185" s="10" t="n">
        <v>179</v>
      </c>
      <c r="B185" s="11" t="s">
        <v>366</v>
      </c>
      <c r="C185" s="12" t="s">
        <v>77</v>
      </c>
      <c r="D185" s="13" t="n">
        <v>0.0103270833333333</v>
      </c>
      <c r="E185" s="14" t="n">
        <v>180</v>
      </c>
      <c r="F185" s="15" t="n">
        <f aca="false">IF(D185="","",ROUND((D185-MIN($D$7:$D$9999))*86400,2))</f>
        <v>102.52</v>
      </c>
      <c r="G185" s="10" t="str">
        <f aca="false">IF(D185="","",IF(D185&lt;=($E$3*60+$F$3)/86400,"○",""))</f>
        <v/>
      </c>
      <c r="H185" s="16" t="n">
        <v>0.00692604166666667</v>
      </c>
      <c r="I185" s="17" t="n">
        <v>266</v>
      </c>
      <c r="J185" s="16" t="n">
        <v>0.00286608796296296</v>
      </c>
      <c r="K185" s="17" t="n">
        <v>670</v>
      </c>
      <c r="L185" s="17" t="n">
        <f aca="false">COUNT(E185,I185,K185)</f>
        <v>3</v>
      </c>
      <c r="M185" s="18" t="n">
        <f aca="false">(D185&lt;&gt;"")*(D185&lt;=($E$3*60+$F$3)/86400)+(H185&lt;&gt;"")*(H185&lt;=($I$3*60+$J$3)/86400)+(J185&lt;&gt;"")*(J185&lt;=($M$3*60+$N$3)/86400)</f>
        <v>0</v>
      </c>
      <c r="N185" s="20"/>
      <c r="O185" s="20" t="s">
        <v>367</v>
      </c>
      <c r="P185" s="20"/>
      <c r="Q185" s="19"/>
    </row>
    <row r="186" customFormat="false" ht="15" hidden="false" customHeight="false" outlineLevel="0" collapsed="false">
      <c r="A186" s="10" t="n">
        <v>180</v>
      </c>
      <c r="B186" s="11" t="s">
        <v>368</v>
      </c>
      <c r="C186" s="12" t="s">
        <v>157</v>
      </c>
      <c r="D186" s="13" t="n">
        <v>0.0103275462962963</v>
      </c>
      <c r="E186" s="14" t="n">
        <v>181</v>
      </c>
      <c r="F186" s="15" t="n">
        <f aca="false">IF(D186="","",ROUND((D186-MIN($D$7:$D$9999))*86400,2))</f>
        <v>102.56</v>
      </c>
      <c r="G186" s="10" t="str">
        <f aca="false">IF(D186="","",IF(D186&lt;=($E$3*60+$F$3)/86400,"○",""))</f>
        <v/>
      </c>
      <c r="H186" s="16"/>
      <c r="I186" s="17"/>
      <c r="J186" s="16"/>
      <c r="K186" s="17"/>
      <c r="L186" s="17" t="n">
        <f aca="false">COUNT(E186,I186,K186)</f>
        <v>1</v>
      </c>
      <c r="M186" s="18" t="n">
        <f aca="false">(D186&lt;&gt;"")*(D186&lt;=($E$3*60+$F$3)/86400)+(H186&lt;&gt;"")*(H186&lt;=($I$3*60+$J$3)/86400)+(J186&lt;&gt;"")*(J186&lt;=($M$3*60+$N$3)/86400)</f>
        <v>0</v>
      </c>
      <c r="N186" s="20"/>
      <c r="O186" s="20"/>
      <c r="P186" s="20"/>
      <c r="Q186" s="19"/>
    </row>
    <row r="187" customFormat="false" ht="15" hidden="false" customHeight="false" outlineLevel="0" collapsed="false">
      <c r="A187" s="10" t="n">
        <v>181</v>
      </c>
      <c r="B187" s="11" t="s">
        <v>369</v>
      </c>
      <c r="C187" s="12" t="s">
        <v>370</v>
      </c>
      <c r="D187" s="13" t="n">
        <v>0.0103303240740741</v>
      </c>
      <c r="E187" s="14" t="n">
        <v>182</v>
      </c>
      <c r="F187" s="15" t="n">
        <f aca="false">IF(D187="","",ROUND((D187-MIN($D$7:$D$9999))*86400,2))</f>
        <v>102.8</v>
      </c>
      <c r="G187" s="10" t="str">
        <f aca="false">IF(D187="","",IF(D187&lt;=($E$3*60+$F$3)/86400,"○",""))</f>
        <v/>
      </c>
      <c r="H187" s="16" t="n">
        <v>0.00704131944444445</v>
      </c>
      <c r="I187" s="17" t="n">
        <v>378</v>
      </c>
      <c r="J187" s="16" t="n">
        <v>0.00277731481481482</v>
      </c>
      <c r="K187" s="17" t="n">
        <v>187</v>
      </c>
      <c r="L187" s="17" t="n">
        <f aca="false">COUNT(E187,I187,K187)</f>
        <v>3</v>
      </c>
      <c r="M187" s="18" t="n">
        <f aca="false">(D187&lt;&gt;"")*(D187&lt;=($E$3*60+$F$3)/86400)+(H187&lt;&gt;"")*(H187&lt;=($I$3*60+$J$3)/86400)+(J187&lt;&gt;"")*(J187&lt;=($M$3*60+$N$3)/86400)</f>
        <v>0</v>
      </c>
      <c r="N187" s="20"/>
      <c r="O187" s="20"/>
      <c r="P187" s="20"/>
      <c r="Q187" s="19"/>
    </row>
    <row r="188" customFormat="false" ht="15" hidden="false" customHeight="false" outlineLevel="0" collapsed="false">
      <c r="A188" s="10" t="n">
        <v>182</v>
      </c>
      <c r="B188" s="11" t="s">
        <v>371</v>
      </c>
      <c r="C188" s="12" t="s">
        <v>143</v>
      </c>
      <c r="D188" s="13" t="n">
        <v>0.0103304398148148</v>
      </c>
      <c r="E188" s="14" t="n">
        <v>183</v>
      </c>
      <c r="F188" s="15" t="n">
        <f aca="false">IF(D188="","",ROUND((D188-MIN($D$7:$D$9999))*86400,2))</f>
        <v>102.81</v>
      </c>
      <c r="G188" s="10" t="str">
        <f aca="false">IF(D188="","",IF(D188&lt;=($E$3*60+$F$3)/86400,"○",""))</f>
        <v/>
      </c>
      <c r="H188" s="16"/>
      <c r="I188" s="17"/>
      <c r="J188" s="16" t="n">
        <v>0.00295821759259259</v>
      </c>
      <c r="K188" s="17" t="n">
        <v>1262</v>
      </c>
      <c r="L188" s="17" t="n">
        <f aca="false">COUNT(E188,I188,K188)</f>
        <v>2</v>
      </c>
      <c r="M188" s="18" t="n">
        <f aca="false">(D188&lt;&gt;"")*(D188&lt;=($E$3*60+$F$3)/86400)+(H188&lt;&gt;"")*(H188&lt;=($I$3*60+$J$3)/86400)+(J188&lt;&gt;"")*(J188&lt;=($M$3*60+$N$3)/86400)</f>
        <v>0</v>
      </c>
      <c r="N188" s="20"/>
      <c r="O188" s="20"/>
      <c r="P188" s="20"/>
      <c r="Q188" s="19"/>
    </row>
    <row r="189" customFormat="false" ht="15" hidden="false" customHeight="false" outlineLevel="0" collapsed="false">
      <c r="A189" s="10" t="n">
        <v>183</v>
      </c>
      <c r="B189" s="11" t="s">
        <v>372</v>
      </c>
      <c r="C189" s="12" t="s">
        <v>77</v>
      </c>
      <c r="D189" s="13" t="n">
        <v>0.0103328703703704</v>
      </c>
      <c r="E189" s="14" t="n">
        <v>184</v>
      </c>
      <c r="F189" s="15" t="n">
        <f aca="false">IF(D189="","",ROUND((D189-MIN($D$7:$D$9999))*86400,2))</f>
        <v>103.02</v>
      </c>
      <c r="G189" s="10" t="str">
        <f aca="false">IF(D189="","",IF(D189&lt;=($E$3*60+$F$3)/86400,"○",""))</f>
        <v/>
      </c>
      <c r="H189" s="16"/>
      <c r="I189" s="17"/>
      <c r="J189" s="16" t="n">
        <v>0.00282314814814815</v>
      </c>
      <c r="K189" s="17" t="n">
        <v>382</v>
      </c>
      <c r="L189" s="17" t="n">
        <f aca="false">COUNT(E189,I189,K189)</f>
        <v>2</v>
      </c>
      <c r="M189" s="18" t="n">
        <f aca="false">(D189&lt;&gt;"")*(D189&lt;=($E$3*60+$F$3)/86400)+(H189&lt;&gt;"")*(H189&lt;=($I$3*60+$J$3)/86400)+(J189&lt;&gt;"")*(J189&lt;=($M$3*60+$N$3)/86400)</f>
        <v>0</v>
      </c>
      <c r="N189" s="20"/>
      <c r="O189" s="20" t="s">
        <v>373</v>
      </c>
      <c r="P189" s="20"/>
      <c r="Q189" s="19"/>
    </row>
    <row r="190" customFormat="false" ht="15" hidden="false" customHeight="false" outlineLevel="0" collapsed="false">
      <c r="A190" s="10" t="n">
        <v>184</v>
      </c>
      <c r="B190" s="11" t="s">
        <v>374</v>
      </c>
      <c r="C190" s="12" t="s">
        <v>375</v>
      </c>
      <c r="D190" s="13" t="n">
        <v>0.0103357638888889</v>
      </c>
      <c r="E190" s="14" t="n">
        <v>185</v>
      </c>
      <c r="F190" s="15" t="n">
        <f aca="false">IF(D190="","",ROUND((D190-MIN($D$7:$D$9999))*86400,2))</f>
        <v>103.27</v>
      </c>
      <c r="G190" s="10" t="str">
        <f aca="false">IF(D190="","",IF(D190&lt;=($E$3*60+$F$3)/86400,"○",""))</f>
        <v/>
      </c>
      <c r="H190" s="16"/>
      <c r="I190" s="17"/>
      <c r="J190" s="16"/>
      <c r="K190" s="17"/>
      <c r="L190" s="17" t="n">
        <f aca="false">COUNT(E190,I190,K190)</f>
        <v>1</v>
      </c>
      <c r="M190" s="18" t="n">
        <f aca="false">(D190&lt;&gt;"")*(D190&lt;=($E$3*60+$F$3)/86400)+(H190&lt;&gt;"")*(H190&lt;=($I$3*60+$J$3)/86400)+(J190&lt;&gt;"")*(J190&lt;=($M$3*60+$N$3)/86400)</f>
        <v>0</v>
      </c>
      <c r="N190" s="20"/>
      <c r="O190" s="20"/>
      <c r="P190" s="20"/>
      <c r="Q190" s="19"/>
    </row>
    <row r="191" customFormat="false" ht="15" hidden="false" customHeight="false" outlineLevel="0" collapsed="false">
      <c r="A191" s="10" t="n">
        <v>185</v>
      </c>
      <c r="B191" s="11" t="s">
        <v>376</v>
      </c>
      <c r="C191" s="12" t="s">
        <v>377</v>
      </c>
      <c r="D191" s="13" t="n">
        <v>0.0103365740740741</v>
      </c>
      <c r="E191" s="14" t="n">
        <v>186</v>
      </c>
      <c r="F191" s="15" t="n">
        <f aca="false">IF(D191="","",ROUND((D191-MIN($D$7:$D$9999))*86400,2))</f>
        <v>103.34</v>
      </c>
      <c r="G191" s="10" t="str">
        <f aca="false">IF(D191="","",IF(D191&lt;=($E$3*60+$F$3)/86400,"○",""))</f>
        <v/>
      </c>
      <c r="H191" s="16" t="n">
        <v>0.00739351851851852</v>
      </c>
      <c r="I191" s="17" t="n">
        <v>765</v>
      </c>
      <c r="J191" s="16" t="n">
        <v>0.002790625</v>
      </c>
      <c r="K191" s="17" t="n">
        <v>243</v>
      </c>
      <c r="L191" s="17" t="n">
        <f aca="false">COUNT(E191,I191,K191)</f>
        <v>3</v>
      </c>
      <c r="M191" s="18" t="n">
        <f aca="false">(D191&lt;&gt;"")*(D191&lt;=($E$3*60+$F$3)/86400)+(H191&lt;&gt;"")*(H191&lt;=($I$3*60+$J$3)/86400)+(J191&lt;&gt;"")*(J191&lt;=($M$3*60+$N$3)/86400)</f>
        <v>0</v>
      </c>
      <c r="N191" s="20"/>
      <c r="O191" s="20"/>
      <c r="P191" s="12" t="s">
        <v>378</v>
      </c>
      <c r="Q191" s="19"/>
    </row>
    <row r="192" customFormat="false" ht="15" hidden="false" customHeight="false" outlineLevel="0" collapsed="false">
      <c r="A192" s="10" t="n">
        <v>186</v>
      </c>
      <c r="B192" s="11" t="s">
        <v>379</v>
      </c>
      <c r="C192" s="12" t="s">
        <v>380</v>
      </c>
      <c r="D192" s="13" t="n">
        <v>0.0103375</v>
      </c>
      <c r="E192" s="14" t="n">
        <v>187</v>
      </c>
      <c r="F192" s="15" t="n">
        <f aca="false">IF(D192="","",ROUND((D192-MIN($D$7:$D$9999))*86400,2))</f>
        <v>103.42</v>
      </c>
      <c r="G192" s="10" t="str">
        <f aca="false">IF(D192="","",IF(D192&lt;=($E$3*60+$F$3)/86400,"○",""))</f>
        <v/>
      </c>
      <c r="H192" s="16" t="n">
        <v>0.00693090277777778</v>
      </c>
      <c r="I192" s="17" t="n">
        <v>274</v>
      </c>
      <c r="J192" s="16" t="n">
        <v>0.00290196759259259</v>
      </c>
      <c r="K192" s="17" t="n">
        <v>964</v>
      </c>
      <c r="L192" s="17" t="n">
        <f aca="false">COUNT(E192,I192,K192)</f>
        <v>3</v>
      </c>
      <c r="M192" s="18" t="n">
        <f aca="false">(D192&lt;&gt;"")*(D192&lt;=($E$3*60+$F$3)/86400)+(H192&lt;&gt;"")*(H192&lt;=($I$3*60+$J$3)/86400)+(J192&lt;&gt;"")*(J192&lt;=($M$3*60+$N$3)/86400)</f>
        <v>0</v>
      </c>
      <c r="N192" s="20"/>
      <c r="O192" s="20"/>
      <c r="P192" s="20"/>
      <c r="Q192" s="19"/>
    </row>
    <row r="193" customFormat="false" ht="15" hidden="false" customHeight="false" outlineLevel="0" collapsed="false">
      <c r="A193" s="10" t="n">
        <v>187</v>
      </c>
      <c r="B193" s="11" t="s">
        <v>381</v>
      </c>
      <c r="C193" s="12" t="s">
        <v>382</v>
      </c>
      <c r="D193" s="13" t="n">
        <v>0.010337962962963</v>
      </c>
      <c r="E193" s="14" t="n">
        <v>188</v>
      </c>
      <c r="F193" s="15" t="n">
        <f aca="false">IF(D193="","",ROUND((D193-MIN($D$7:$D$9999))*86400,2))</f>
        <v>103.46</v>
      </c>
      <c r="G193" s="10" t="str">
        <f aca="false">IF(D193="","",IF(D193&lt;=($E$3*60+$F$3)/86400,"○",""))</f>
        <v/>
      </c>
      <c r="H193" s="16"/>
      <c r="I193" s="17"/>
      <c r="J193" s="16"/>
      <c r="K193" s="17"/>
      <c r="L193" s="17" t="n">
        <f aca="false">COUNT(E193,I193,K193)</f>
        <v>1</v>
      </c>
      <c r="M193" s="18" t="n">
        <f aca="false">(D193&lt;&gt;"")*(D193&lt;=($E$3*60+$F$3)/86400)+(H193&lt;&gt;"")*(H193&lt;=($I$3*60+$J$3)/86400)+(J193&lt;&gt;"")*(J193&lt;=($M$3*60+$N$3)/86400)</f>
        <v>0</v>
      </c>
      <c r="N193" s="20"/>
      <c r="O193" s="20"/>
      <c r="P193" s="20"/>
      <c r="Q193" s="19"/>
    </row>
    <row r="194" customFormat="false" ht="15" hidden="false" customHeight="false" outlineLevel="0" collapsed="false">
      <c r="A194" s="10" t="n">
        <v>188</v>
      </c>
      <c r="B194" s="11" t="s">
        <v>383</v>
      </c>
      <c r="C194" s="12" t="s">
        <v>37</v>
      </c>
      <c r="D194" s="13" t="n">
        <v>0.0103387731481482</v>
      </c>
      <c r="E194" s="14" t="n">
        <v>189</v>
      </c>
      <c r="F194" s="15" t="n">
        <f aca="false">IF(D194="","",ROUND((D194-MIN($D$7:$D$9999))*86400,2))</f>
        <v>103.53</v>
      </c>
      <c r="G194" s="10" t="str">
        <f aca="false">IF(D194="","",IF(D194&lt;=($E$3*60+$F$3)/86400,"○",""))</f>
        <v/>
      </c>
      <c r="H194" s="16"/>
      <c r="I194" s="17"/>
      <c r="J194" s="16" t="n">
        <v>0.00288298611111111</v>
      </c>
      <c r="K194" s="17" t="n">
        <v>802</v>
      </c>
      <c r="L194" s="17" t="n">
        <f aca="false">COUNT(E194,I194,K194)</f>
        <v>2</v>
      </c>
      <c r="M194" s="18" t="n">
        <f aca="false">(D194&lt;&gt;"")*(D194&lt;=($E$3*60+$F$3)/86400)+(H194&lt;&gt;"")*(H194&lt;=($I$3*60+$J$3)/86400)+(J194&lt;&gt;"")*(J194&lt;=($M$3*60+$N$3)/86400)</f>
        <v>0</v>
      </c>
      <c r="N194" s="20"/>
      <c r="O194" s="20"/>
      <c r="P194" s="20"/>
      <c r="Q194" s="19"/>
    </row>
    <row r="195" customFormat="false" ht="15" hidden="false" customHeight="false" outlineLevel="0" collapsed="false">
      <c r="A195" s="10" t="n">
        <v>189</v>
      </c>
      <c r="B195" s="11" t="s">
        <v>384</v>
      </c>
      <c r="C195" s="12" t="s">
        <v>99</v>
      </c>
      <c r="D195" s="13" t="n">
        <v>0.0103393518518519</v>
      </c>
      <c r="E195" s="14" t="n">
        <v>190</v>
      </c>
      <c r="F195" s="15" t="n">
        <f aca="false">IF(D195="","",ROUND((D195-MIN($D$7:$D$9999))*86400,2))</f>
        <v>103.58</v>
      </c>
      <c r="G195" s="10" t="str">
        <f aca="false">IF(D195="","",IF(D195&lt;=($E$3*60+$F$3)/86400,"○",""))</f>
        <v/>
      </c>
      <c r="H195" s="16" t="n">
        <v>0.00682673611111111</v>
      </c>
      <c r="I195" s="17" t="n">
        <v>190</v>
      </c>
      <c r="J195" s="16" t="n">
        <v>0.0028119212962963</v>
      </c>
      <c r="K195" s="17" t="n">
        <v>329</v>
      </c>
      <c r="L195" s="17" t="n">
        <f aca="false">COUNT(E195,I195,K195)</f>
        <v>3</v>
      </c>
      <c r="M195" s="18" t="n">
        <f aca="false">(D195&lt;&gt;"")*(D195&lt;=($E$3*60+$F$3)/86400)+(H195&lt;&gt;"")*(H195&lt;=($I$3*60+$J$3)/86400)+(J195&lt;&gt;"")*(J195&lt;=($M$3*60+$N$3)/86400)</f>
        <v>0</v>
      </c>
      <c r="N195" s="20"/>
      <c r="O195" s="20"/>
      <c r="P195" s="20"/>
      <c r="Q195" s="19"/>
    </row>
    <row r="196" customFormat="false" ht="15" hidden="false" customHeight="false" outlineLevel="0" collapsed="false">
      <c r="A196" s="10" t="n">
        <v>190</v>
      </c>
      <c r="B196" s="11" t="s">
        <v>385</v>
      </c>
      <c r="C196" s="12" t="s">
        <v>375</v>
      </c>
      <c r="D196" s="13" t="n">
        <v>0.0103395833333333</v>
      </c>
      <c r="E196" s="14" t="n">
        <v>191</v>
      </c>
      <c r="F196" s="15" t="n">
        <f aca="false">IF(D196="","",ROUND((D196-MIN($D$7:$D$9999))*86400,2))</f>
        <v>103.6</v>
      </c>
      <c r="G196" s="10" t="str">
        <f aca="false">IF(D196="","",IF(D196&lt;=($E$3*60+$F$3)/86400,"○",""))</f>
        <v/>
      </c>
      <c r="H196" s="16"/>
      <c r="I196" s="17"/>
      <c r="J196" s="16"/>
      <c r="K196" s="17"/>
      <c r="L196" s="17" t="n">
        <f aca="false">COUNT(E196,I196,K196)</f>
        <v>1</v>
      </c>
      <c r="M196" s="18" t="n">
        <f aca="false">(D196&lt;&gt;"")*(D196&lt;=($E$3*60+$F$3)/86400)+(H196&lt;&gt;"")*(H196&lt;=($I$3*60+$J$3)/86400)+(J196&lt;&gt;"")*(J196&lt;=($M$3*60+$N$3)/86400)</f>
        <v>0</v>
      </c>
      <c r="N196" s="20"/>
      <c r="O196" s="20"/>
      <c r="P196" s="20"/>
      <c r="Q196" s="19"/>
    </row>
    <row r="197" customFormat="false" ht="15" hidden="false" customHeight="false" outlineLevel="0" collapsed="false">
      <c r="A197" s="10" t="n">
        <v>191</v>
      </c>
      <c r="B197" s="11" t="s">
        <v>386</v>
      </c>
      <c r="C197" s="12" t="s">
        <v>157</v>
      </c>
      <c r="D197" s="13" t="n">
        <v>0.010340162037037</v>
      </c>
      <c r="E197" s="14" t="n">
        <v>192</v>
      </c>
      <c r="F197" s="15" t="n">
        <f aca="false">IF(D197="","",ROUND((D197-MIN($D$7:$D$9999))*86400,2))</f>
        <v>103.65</v>
      </c>
      <c r="G197" s="10" t="str">
        <f aca="false">IF(D197="","",IF(D197&lt;=($E$3*60+$F$3)/86400,"○",""))</f>
        <v/>
      </c>
      <c r="H197" s="16"/>
      <c r="I197" s="17"/>
      <c r="J197" s="16" t="n">
        <v>0.00288611111111111</v>
      </c>
      <c r="K197" s="17" t="n">
        <v>826</v>
      </c>
      <c r="L197" s="17" t="n">
        <f aca="false">COUNT(E197,I197,K197)</f>
        <v>2</v>
      </c>
      <c r="M197" s="18" t="n">
        <f aca="false">(D197&lt;&gt;"")*(D197&lt;=($E$3*60+$F$3)/86400)+(H197&lt;&gt;"")*(H197&lt;=($I$3*60+$J$3)/86400)+(J197&lt;&gt;"")*(J197&lt;=($M$3*60+$N$3)/86400)</f>
        <v>0</v>
      </c>
      <c r="N197" s="20"/>
      <c r="O197" s="20"/>
      <c r="P197" s="20"/>
      <c r="Q197" s="19"/>
    </row>
    <row r="198" customFormat="false" ht="15" hidden="false" customHeight="false" outlineLevel="0" collapsed="false">
      <c r="A198" s="10" t="n">
        <v>192</v>
      </c>
      <c r="B198" s="11" t="s">
        <v>387</v>
      </c>
      <c r="C198" s="12" t="s">
        <v>351</v>
      </c>
      <c r="D198" s="13" t="n">
        <v>0.0103403935185185</v>
      </c>
      <c r="E198" s="14" t="n">
        <v>193</v>
      </c>
      <c r="F198" s="15" t="n">
        <f aca="false">IF(D198="","",ROUND((D198-MIN($D$7:$D$9999))*86400,2))</f>
        <v>103.67</v>
      </c>
      <c r="G198" s="10" t="str">
        <f aca="false">IF(D198="","",IF(D198&lt;=($E$3*60+$F$3)/86400,"○",""))</f>
        <v/>
      </c>
      <c r="H198" s="16"/>
      <c r="I198" s="17"/>
      <c r="J198" s="16" t="n">
        <v>0.00271400462962963</v>
      </c>
      <c r="K198" s="17" t="n">
        <v>42</v>
      </c>
      <c r="L198" s="17" t="n">
        <f aca="false">COUNT(E198,I198,K198)</f>
        <v>2</v>
      </c>
      <c r="M198" s="18" t="n">
        <f aca="false">(D198&lt;&gt;"")*(D198&lt;=($E$3*60+$F$3)/86400)+(H198&lt;&gt;"")*(H198&lt;=($I$3*60+$J$3)/86400)+(J198&lt;&gt;"")*(J198&lt;=($M$3*60+$N$3)/86400)</f>
        <v>1</v>
      </c>
      <c r="N198" s="20"/>
      <c r="O198" s="20"/>
      <c r="P198" s="20"/>
      <c r="Q198" s="19"/>
    </row>
    <row r="199" customFormat="false" ht="15" hidden="false" customHeight="false" outlineLevel="0" collapsed="false">
      <c r="A199" s="10" t="n">
        <v>193</v>
      </c>
      <c r="B199" s="11" t="s">
        <v>388</v>
      </c>
      <c r="C199" s="12" t="s">
        <v>389</v>
      </c>
      <c r="D199" s="13" t="n">
        <v>0.010341087962963</v>
      </c>
      <c r="E199" s="14" t="n">
        <v>194</v>
      </c>
      <c r="F199" s="15" t="n">
        <f aca="false">IF(D199="","",ROUND((D199-MIN($D$7:$D$9999))*86400,2))</f>
        <v>103.73</v>
      </c>
      <c r="G199" s="10" t="str">
        <f aca="false">IF(D199="","",IF(D199&lt;=($E$3*60+$F$3)/86400,"○",""))</f>
        <v/>
      </c>
      <c r="H199" s="16"/>
      <c r="I199" s="17"/>
      <c r="J199" s="16"/>
      <c r="K199" s="17"/>
      <c r="L199" s="17" t="n">
        <f aca="false">COUNT(E199,I199,K199)</f>
        <v>1</v>
      </c>
      <c r="M199" s="18" t="n">
        <f aca="false">(D199&lt;&gt;"")*(D199&lt;=($E$3*60+$F$3)/86400)+(H199&lt;&gt;"")*(H199&lt;=($I$3*60+$J$3)/86400)+(J199&lt;&gt;"")*(J199&lt;=($M$3*60+$N$3)/86400)</f>
        <v>0</v>
      </c>
      <c r="N199" s="20" t="s">
        <v>390</v>
      </c>
      <c r="O199" s="20"/>
      <c r="P199" s="20"/>
      <c r="Q199" s="19"/>
    </row>
    <row r="200" customFormat="false" ht="15" hidden="false" customHeight="false" outlineLevel="0" collapsed="false">
      <c r="A200" s="10" t="n">
        <v>194</v>
      </c>
      <c r="B200" s="11" t="s">
        <v>391</v>
      </c>
      <c r="C200" s="12" t="s">
        <v>245</v>
      </c>
      <c r="D200" s="13" t="n">
        <v>0.0103414351851852</v>
      </c>
      <c r="E200" s="14" t="n">
        <v>195</v>
      </c>
      <c r="F200" s="15" t="n">
        <f aca="false">IF(D200="","",ROUND((D200-MIN($D$7:$D$9999))*86400,2))</f>
        <v>103.76</v>
      </c>
      <c r="G200" s="10" t="str">
        <f aca="false">IF(D200="","",IF(D200&lt;=($E$3*60+$F$3)/86400,"○",""))</f>
        <v/>
      </c>
      <c r="H200" s="16"/>
      <c r="I200" s="17"/>
      <c r="J200" s="16" t="n">
        <v>0.00285347222222222</v>
      </c>
      <c r="K200" s="17" t="n">
        <v>588</v>
      </c>
      <c r="L200" s="17" t="n">
        <f aca="false">COUNT(E200,I200,K200)</f>
        <v>2</v>
      </c>
      <c r="M200" s="18" t="n">
        <f aca="false">(D200&lt;&gt;"")*(D200&lt;=($E$3*60+$F$3)/86400)+(H200&lt;&gt;"")*(H200&lt;=($I$3*60+$J$3)/86400)+(J200&lt;&gt;"")*(J200&lt;=($M$3*60+$N$3)/86400)</f>
        <v>0</v>
      </c>
      <c r="N200" s="20" t="s">
        <v>392</v>
      </c>
      <c r="O200" s="20"/>
      <c r="P200" s="20"/>
      <c r="Q200" s="19"/>
    </row>
    <row r="201" customFormat="false" ht="15" hidden="false" customHeight="false" outlineLevel="0" collapsed="false">
      <c r="A201" s="10" t="n">
        <v>195</v>
      </c>
      <c r="B201" s="11" t="s">
        <v>393</v>
      </c>
      <c r="C201" s="12" t="s">
        <v>127</v>
      </c>
      <c r="D201" s="13" t="n">
        <v>0.0103417824074074</v>
      </c>
      <c r="E201" s="14" t="n">
        <v>196</v>
      </c>
      <c r="F201" s="15" t="n">
        <f aca="false">IF(D201="","",ROUND((D201-MIN($D$7:$D$9999))*86400,2))</f>
        <v>103.79</v>
      </c>
      <c r="G201" s="10" t="str">
        <f aca="false">IF(D201="","",IF(D201&lt;=($E$3*60+$F$3)/86400,"○",""))</f>
        <v/>
      </c>
      <c r="H201" s="16"/>
      <c r="I201" s="17"/>
      <c r="J201" s="16" t="n">
        <v>0.00290543981481482</v>
      </c>
      <c r="K201" s="17" t="n">
        <v>986</v>
      </c>
      <c r="L201" s="17" t="n">
        <f aca="false">COUNT(E201,I201,K201)</f>
        <v>2</v>
      </c>
      <c r="M201" s="18" t="n">
        <f aca="false">(D201&lt;&gt;"")*(D201&lt;=($E$3*60+$F$3)/86400)+(H201&lt;&gt;"")*(H201&lt;=($I$3*60+$J$3)/86400)+(J201&lt;&gt;"")*(J201&lt;=($M$3*60+$N$3)/86400)</f>
        <v>0</v>
      </c>
      <c r="N201" s="20" t="s">
        <v>394</v>
      </c>
      <c r="O201" s="20"/>
      <c r="P201" s="20"/>
      <c r="Q201" s="19"/>
    </row>
    <row r="202" customFormat="false" ht="15" hidden="false" customHeight="false" outlineLevel="0" collapsed="false">
      <c r="A202" s="10" t="n">
        <v>196</v>
      </c>
      <c r="B202" s="11" t="s">
        <v>395</v>
      </c>
      <c r="C202" s="12" t="s">
        <v>380</v>
      </c>
      <c r="D202" s="13" t="n">
        <v>0.0103466435185185</v>
      </c>
      <c r="E202" s="14" t="n">
        <v>197</v>
      </c>
      <c r="F202" s="15" t="n">
        <f aca="false">IF(D202="","",ROUND((D202-MIN($D$7:$D$9999))*86400,2))</f>
        <v>104.21</v>
      </c>
      <c r="G202" s="10" t="str">
        <f aca="false">IF(D202="","",IF(D202&lt;=($E$3*60+$F$3)/86400,"○",""))</f>
        <v/>
      </c>
      <c r="H202" s="16"/>
      <c r="I202" s="17"/>
      <c r="J202" s="16" t="n">
        <v>0.00286898148148148</v>
      </c>
      <c r="K202" s="17" t="n">
        <v>687</v>
      </c>
      <c r="L202" s="17" t="n">
        <f aca="false">COUNT(E202,I202,K202)</f>
        <v>2</v>
      </c>
      <c r="M202" s="18" t="n">
        <f aca="false">(D202&lt;&gt;"")*(D202&lt;=($E$3*60+$F$3)/86400)+(H202&lt;&gt;"")*(H202&lt;=($I$3*60+$J$3)/86400)+(J202&lt;&gt;"")*(J202&lt;=($M$3*60+$N$3)/86400)</f>
        <v>0</v>
      </c>
      <c r="N202" s="20"/>
      <c r="O202" s="20"/>
      <c r="P202" s="20"/>
      <c r="Q202" s="19"/>
    </row>
    <row r="203" customFormat="false" ht="15" hidden="false" customHeight="false" outlineLevel="0" collapsed="false">
      <c r="A203" s="10" t="n">
        <v>197</v>
      </c>
      <c r="B203" s="11" t="s">
        <v>396</v>
      </c>
      <c r="C203" s="12" t="s">
        <v>397</v>
      </c>
      <c r="D203" s="13" t="n">
        <v>0.0103467592592593</v>
      </c>
      <c r="E203" s="14" t="n">
        <v>198</v>
      </c>
      <c r="F203" s="15" t="n">
        <f aca="false">IF(D203="","",ROUND((D203-MIN($D$7:$D$9999))*86400,2))</f>
        <v>104.22</v>
      </c>
      <c r="G203" s="10" t="str">
        <f aca="false">IF(D203="","",IF(D203&lt;=($E$3*60+$F$3)/86400,"○",""))</f>
        <v/>
      </c>
      <c r="H203" s="16"/>
      <c r="I203" s="17"/>
      <c r="J203" s="16" t="n">
        <v>0.00278680555555556</v>
      </c>
      <c r="K203" s="17" t="n">
        <v>227</v>
      </c>
      <c r="L203" s="17" t="n">
        <f aca="false">COUNT(E203,I203,K203)</f>
        <v>2</v>
      </c>
      <c r="M203" s="18" t="n">
        <f aca="false">(D203&lt;&gt;"")*(D203&lt;=($E$3*60+$F$3)/86400)+(H203&lt;&gt;"")*(H203&lt;=($I$3*60+$J$3)/86400)+(J203&lt;&gt;"")*(J203&lt;=($M$3*60+$N$3)/86400)</f>
        <v>0</v>
      </c>
      <c r="N203" s="20"/>
      <c r="O203" s="20"/>
      <c r="P203" s="20"/>
      <c r="Q203" s="19"/>
    </row>
    <row r="204" customFormat="false" ht="15" hidden="false" customHeight="false" outlineLevel="0" collapsed="false">
      <c r="A204" s="10" t="n">
        <v>198</v>
      </c>
      <c r="B204" s="11" t="s">
        <v>398</v>
      </c>
      <c r="C204" s="12" t="s">
        <v>256</v>
      </c>
      <c r="D204" s="13" t="n">
        <v>0.010347337962963</v>
      </c>
      <c r="E204" s="14" t="n">
        <v>199</v>
      </c>
      <c r="F204" s="15" t="n">
        <f aca="false">IF(D204="","",ROUND((D204-MIN($D$7:$D$9999))*86400,2))</f>
        <v>104.27</v>
      </c>
      <c r="G204" s="10" t="str">
        <f aca="false">IF(D204="","",IF(D204&lt;=($E$3*60+$F$3)/86400,"○",""))</f>
        <v/>
      </c>
      <c r="H204" s="16"/>
      <c r="I204" s="17"/>
      <c r="J204" s="16" t="n">
        <v>0.00289305555555556</v>
      </c>
      <c r="K204" s="17" t="n">
        <v>898</v>
      </c>
      <c r="L204" s="17" t="n">
        <f aca="false">COUNT(E204,I204,K204)</f>
        <v>2</v>
      </c>
      <c r="M204" s="18" t="n">
        <f aca="false">(D204&lt;&gt;"")*(D204&lt;=($E$3*60+$F$3)/86400)+(H204&lt;&gt;"")*(H204&lt;=($I$3*60+$J$3)/86400)+(J204&lt;&gt;"")*(J204&lt;=($M$3*60+$N$3)/86400)</f>
        <v>0</v>
      </c>
      <c r="N204" s="20"/>
      <c r="O204" s="20"/>
      <c r="P204" s="20"/>
      <c r="Q204" s="19"/>
    </row>
    <row r="205" customFormat="false" ht="15" hidden="false" customHeight="false" outlineLevel="0" collapsed="false">
      <c r="A205" s="10" t="n">
        <v>199</v>
      </c>
      <c r="B205" s="11" t="s">
        <v>399</v>
      </c>
      <c r="C205" s="12" t="s">
        <v>214</v>
      </c>
      <c r="D205" s="13" t="n">
        <v>0.0103476851851852</v>
      </c>
      <c r="E205" s="14" t="n">
        <v>200</v>
      </c>
      <c r="F205" s="15" t="n">
        <f aca="false">IF(D205="","",ROUND((D205-MIN($D$7:$D$9999))*86400,2))</f>
        <v>104.3</v>
      </c>
      <c r="G205" s="10" t="str">
        <f aca="false">IF(D205="","",IF(D205&lt;=($E$3*60+$F$3)/86400,"○",""))</f>
        <v/>
      </c>
      <c r="H205" s="16"/>
      <c r="I205" s="17"/>
      <c r="J205" s="16" t="n">
        <v>0.00298055555555556</v>
      </c>
      <c r="K205" s="17" t="n">
        <v>1355</v>
      </c>
      <c r="L205" s="17" t="n">
        <f aca="false">COUNT(E205,I205,K205)</f>
        <v>2</v>
      </c>
      <c r="M205" s="18" t="n">
        <f aca="false">(D205&lt;&gt;"")*(D205&lt;=($E$3*60+$F$3)/86400)+(H205&lt;&gt;"")*(H205&lt;=($I$3*60+$J$3)/86400)+(J205&lt;&gt;"")*(J205&lt;=($M$3*60+$N$3)/86400)</f>
        <v>0</v>
      </c>
      <c r="N205" s="20"/>
      <c r="O205" s="20"/>
      <c r="P205" s="20"/>
      <c r="Q205" s="19"/>
    </row>
    <row r="206" customFormat="false" ht="15" hidden="false" customHeight="false" outlineLevel="0" collapsed="false">
      <c r="A206" s="10" t="n">
        <v>200</v>
      </c>
      <c r="B206" s="11" t="s">
        <v>400</v>
      </c>
      <c r="C206" s="12" t="s">
        <v>401</v>
      </c>
      <c r="D206" s="13" t="n">
        <v>0.0103481481481482</v>
      </c>
      <c r="E206" s="14" t="n">
        <v>201</v>
      </c>
      <c r="F206" s="15" t="n">
        <f aca="false">IF(D206="","",ROUND((D206-MIN($D$7:$D$9999))*86400,2))</f>
        <v>104.34</v>
      </c>
      <c r="G206" s="10" t="str">
        <f aca="false">IF(D206="","",IF(D206&lt;=($E$3*60+$F$3)/86400,"○",""))</f>
        <v/>
      </c>
      <c r="H206" s="16" t="n">
        <v>0.00630729166666667</v>
      </c>
      <c r="I206" s="17" t="n">
        <v>4</v>
      </c>
      <c r="J206" s="16" t="n">
        <v>0.00273877314814815</v>
      </c>
      <c r="K206" s="17" t="n">
        <v>82</v>
      </c>
      <c r="L206" s="17" t="n">
        <f aca="false">COUNT(E206,I206,K206)</f>
        <v>3</v>
      </c>
      <c r="M206" s="18" t="n">
        <f aca="false">(D206&lt;&gt;"")*(D206&lt;=($E$3*60+$F$3)/86400)+(H206&lt;&gt;"")*(H206&lt;=($I$3*60+$J$3)/86400)+(J206&lt;&gt;"")*(J206&lt;=($M$3*60+$N$3)/86400)</f>
        <v>1</v>
      </c>
      <c r="N206" s="20"/>
      <c r="O206" s="20"/>
      <c r="P206" s="20"/>
      <c r="Q206" s="19"/>
    </row>
    <row r="207" customFormat="false" ht="15" hidden="false" customHeight="false" outlineLevel="0" collapsed="false">
      <c r="A207" s="10" t="n">
        <v>201</v>
      </c>
      <c r="B207" s="11" t="s">
        <v>402</v>
      </c>
      <c r="C207" s="12" t="s">
        <v>32</v>
      </c>
      <c r="D207" s="13" t="n">
        <v>0.0103487268518519</v>
      </c>
      <c r="E207" s="14" t="n">
        <v>202</v>
      </c>
      <c r="F207" s="15" t="n">
        <f aca="false">IF(D207="","",ROUND((D207-MIN($D$7:$D$9999))*86400,2))</f>
        <v>104.39</v>
      </c>
      <c r="G207" s="10" t="str">
        <f aca="false">IF(D207="","",IF(D207&lt;=($E$3*60+$F$3)/86400,"○",""))</f>
        <v/>
      </c>
      <c r="H207" s="16" t="n">
        <v>0.00709699074074074</v>
      </c>
      <c r="I207" s="17" t="n">
        <v>444</v>
      </c>
      <c r="J207" s="16" t="n">
        <v>0.0028431712962963</v>
      </c>
      <c r="K207" s="17" t="n">
        <v>518</v>
      </c>
      <c r="L207" s="17" t="n">
        <f aca="false">COUNT(E207,I207,K207)</f>
        <v>3</v>
      </c>
      <c r="M207" s="18" t="n">
        <f aca="false">(D207&lt;&gt;"")*(D207&lt;=($E$3*60+$F$3)/86400)+(H207&lt;&gt;"")*(H207&lt;=($I$3*60+$J$3)/86400)+(J207&lt;&gt;"")*(J207&lt;=($M$3*60+$N$3)/86400)</f>
        <v>0</v>
      </c>
      <c r="N207" s="20"/>
      <c r="O207" s="20"/>
      <c r="P207" s="20"/>
      <c r="Q207" s="19"/>
    </row>
    <row r="208" customFormat="false" ht="15" hidden="false" customHeight="false" outlineLevel="0" collapsed="false">
      <c r="A208" s="10" t="n">
        <v>202</v>
      </c>
      <c r="B208" s="11" t="s">
        <v>403</v>
      </c>
      <c r="C208" s="12" t="s">
        <v>290</v>
      </c>
      <c r="D208" s="13" t="n">
        <v>0.0103505787037037</v>
      </c>
      <c r="E208" s="14" t="n">
        <v>203</v>
      </c>
      <c r="F208" s="15" t="n">
        <f aca="false">IF(D208="","",ROUND((D208-MIN($D$7:$D$9999))*86400,2))</f>
        <v>104.55</v>
      </c>
      <c r="G208" s="10" t="str">
        <f aca="false">IF(D208="","",IF(D208&lt;=($E$3*60+$F$3)/86400,"○",""))</f>
        <v/>
      </c>
      <c r="H208" s="16" t="n">
        <v>0.00669953703703704</v>
      </c>
      <c r="I208" s="17" t="n">
        <v>107</v>
      </c>
      <c r="J208" s="16" t="n">
        <v>0.00276481481481482</v>
      </c>
      <c r="K208" s="17" t="n">
        <v>149</v>
      </c>
      <c r="L208" s="17" t="n">
        <f aca="false">COUNT(E208,I208,K208)</f>
        <v>3</v>
      </c>
      <c r="M208" s="18" t="n">
        <f aca="false">(D208&lt;&gt;"")*(D208&lt;=($E$3*60+$F$3)/86400)+(H208&lt;&gt;"")*(H208&lt;=($I$3*60+$J$3)/86400)+(J208&lt;&gt;"")*(J208&lt;=($M$3*60+$N$3)/86400)</f>
        <v>0</v>
      </c>
      <c r="N208" s="20" t="s">
        <v>404</v>
      </c>
      <c r="O208" s="20"/>
      <c r="P208" s="20"/>
      <c r="Q208" s="19"/>
    </row>
    <row r="209" customFormat="false" ht="15" hidden="false" customHeight="false" outlineLevel="0" collapsed="false">
      <c r="A209" s="10" t="n">
        <v>203</v>
      </c>
      <c r="B209" s="11" t="s">
        <v>405</v>
      </c>
      <c r="C209" s="12" t="s">
        <v>406</v>
      </c>
      <c r="D209" s="13" t="n">
        <v>0.0103506944444444</v>
      </c>
      <c r="E209" s="14" t="n">
        <v>204</v>
      </c>
      <c r="F209" s="15" t="n">
        <f aca="false">IF(D209="","",ROUND((D209-MIN($D$7:$D$9999))*86400,2))</f>
        <v>104.56</v>
      </c>
      <c r="G209" s="10" t="str">
        <f aca="false">IF(D209="","",IF(D209&lt;=($E$3*60+$F$3)/86400,"○",""))</f>
        <v/>
      </c>
      <c r="H209" s="16"/>
      <c r="I209" s="17"/>
      <c r="J209" s="16" t="n">
        <v>0.0028349537037037</v>
      </c>
      <c r="K209" s="17" t="n">
        <v>461</v>
      </c>
      <c r="L209" s="17" t="n">
        <f aca="false">COUNT(E209,I209,K209)</f>
        <v>2</v>
      </c>
      <c r="M209" s="18" t="n">
        <f aca="false">(D209&lt;&gt;"")*(D209&lt;=($E$3*60+$F$3)/86400)+(H209&lt;&gt;"")*(H209&lt;=($I$3*60+$J$3)/86400)+(J209&lt;&gt;"")*(J209&lt;=($M$3*60+$N$3)/86400)</f>
        <v>0</v>
      </c>
      <c r="N209" s="20" t="s">
        <v>407</v>
      </c>
      <c r="O209" s="20"/>
      <c r="P209" s="20"/>
      <c r="Q209" s="19"/>
    </row>
    <row r="210" customFormat="false" ht="15" hidden="false" customHeight="false" outlineLevel="0" collapsed="false">
      <c r="A210" s="10" t="n">
        <v>204</v>
      </c>
      <c r="B210" s="11" t="s">
        <v>408</v>
      </c>
      <c r="C210" s="12" t="s">
        <v>409</v>
      </c>
      <c r="D210" s="13" t="n">
        <v>0.0103510416666667</v>
      </c>
      <c r="E210" s="14" t="n">
        <v>205</v>
      </c>
      <c r="F210" s="15" t="n">
        <f aca="false">IF(D210="","",ROUND((D210-MIN($D$7:$D$9999))*86400,2))</f>
        <v>104.59</v>
      </c>
      <c r="G210" s="10" t="str">
        <f aca="false">IF(D210="","",IF(D210&lt;=($E$3*60+$F$3)/86400,"○",""))</f>
        <v/>
      </c>
      <c r="H210" s="16"/>
      <c r="I210" s="17"/>
      <c r="J210" s="16" t="n">
        <v>0.00279907407407407</v>
      </c>
      <c r="K210" s="17" t="n">
        <v>277</v>
      </c>
      <c r="L210" s="17" t="n">
        <f aca="false">COUNT(E210,I210,K210)</f>
        <v>2</v>
      </c>
      <c r="M210" s="18" t="n">
        <f aca="false">(D210&lt;&gt;"")*(D210&lt;=($E$3*60+$F$3)/86400)+(H210&lt;&gt;"")*(H210&lt;=($I$3*60+$J$3)/86400)+(J210&lt;&gt;"")*(J210&lt;=($M$3*60+$N$3)/86400)</f>
        <v>0</v>
      </c>
      <c r="N210" s="20"/>
      <c r="O210" s="20"/>
      <c r="P210" s="20"/>
      <c r="Q210" s="19"/>
    </row>
    <row r="211" customFormat="false" ht="15" hidden="false" customHeight="false" outlineLevel="0" collapsed="false">
      <c r="A211" s="10" t="n">
        <v>205</v>
      </c>
      <c r="B211" s="11" t="s">
        <v>410</v>
      </c>
      <c r="C211" s="12" t="s">
        <v>228</v>
      </c>
      <c r="D211" s="13" t="n">
        <v>0.0103516203703704</v>
      </c>
      <c r="E211" s="14" t="n">
        <v>206</v>
      </c>
      <c r="F211" s="15" t="n">
        <f aca="false">IF(D211="","",ROUND((D211-MIN($D$7:$D$9999))*86400,2))</f>
        <v>104.64</v>
      </c>
      <c r="G211" s="10" t="str">
        <f aca="false">IF(D211="","",IF(D211&lt;=($E$3*60+$F$3)/86400,"○",""))</f>
        <v/>
      </c>
      <c r="H211" s="16"/>
      <c r="I211" s="17"/>
      <c r="J211" s="16" t="n">
        <v>0.00282152777777778</v>
      </c>
      <c r="K211" s="17" t="n">
        <v>372</v>
      </c>
      <c r="L211" s="17" t="n">
        <f aca="false">COUNT(E211,I211,K211)</f>
        <v>2</v>
      </c>
      <c r="M211" s="18" t="n">
        <f aca="false">(D211&lt;&gt;"")*(D211&lt;=($E$3*60+$F$3)/86400)+(H211&lt;&gt;"")*(H211&lt;=($I$3*60+$J$3)/86400)+(J211&lt;&gt;"")*(J211&lt;=($M$3*60+$N$3)/86400)</f>
        <v>0</v>
      </c>
      <c r="N211" s="20"/>
      <c r="O211" s="20" t="s">
        <v>411</v>
      </c>
      <c r="P211" s="20"/>
      <c r="Q211" s="19"/>
    </row>
    <row r="212" customFormat="false" ht="15" hidden="false" customHeight="false" outlineLevel="0" collapsed="false">
      <c r="A212" s="10" t="n">
        <v>206</v>
      </c>
      <c r="B212" s="11" t="s">
        <v>412</v>
      </c>
      <c r="C212" s="12" t="s">
        <v>37</v>
      </c>
      <c r="D212" s="13" t="n">
        <v>0.0103527777777778</v>
      </c>
      <c r="E212" s="14" t="n">
        <v>207</v>
      </c>
      <c r="F212" s="15" t="n">
        <f aca="false">IF(D212="","",ROUND((D212-MIN($D$7:$D$9999))*86400,2))</f>
        <v>104.74</v>
      </c>
      <c r="G212" s="10" t="str">
        <f aca="false">IF(D212="","",IF(D212&lt;=($E$3*60+$F$3)/86400,"○",""))</f>
        <v/>
      </c>
      <c r="H212" s="16"/>
      <c r="I212" s="17"/>
      <c r="J212" s="16" t="n">
        <v>0.00286099537037037</v>
      </c>
      <c r="K212" s="17" t="n">
        <v>640</v>
      </c>
      <c r="L212" s="17" t="n">
        <f aca="false">COUNT(E212,I212,K212)</f>
        <v>2</v>
      </c>
      <c r="M212" s="18" t="n">
        <f aca="false">(D212&lt;&gt;"")*(D212&lt;=($E$3*60+$F$3)/86400)+(H212&lt;&gt;"")*(H212&lt;=($I$3*60+$J$3)/86400)+(J212&lt;&gt;"")*(J212&lt;=($M$3*60+$N$3)/86400)</f>
        <v>0</v>
      </c>
      <c r="N212" s="20"/>
      <c r="O212" s="20"/>
      <c r="P212" s="20"/>
      <c r="Q212" s="19"/>
    </row>
    <row r="213" customFormat="false" ht="15" hidden="false" customHeight="false" outlineLevel="0" collapsed="false">
      <c r="A213" s="10" t="n">
        <v>207</v>
      </c>
      <c r="B213" s="11" t="s">
        <v>413</v>
      </c>
      <c r="C213" s="12" t="s">
        <v>152</v>
      </c>
      <c r="D213" s="13" t="n">
        <v>0.0103532407407407</v>
      </c>
      <c r="E213" s="14" t="n">
        <v>208</v>
      </c>
      <c r="F213" s="15" t="n">
        <f aca="false">IF(D213="","",ROUND((D213-MIN($D$7:$D$9999))*86400,2))</f>
        <v>104.78</v>
      </c>
      <c r="G213" s="10" t="str">
        <f aca="false">IF(D213="","",IF(D213&lt;=($E$3*60+$F$3)/86400,"○",""))</f>
        <v/>
      </c>
      <c r="H213" s="16"/>
      <c r="I213" s="17"/>
      <c r="J213" s="16"/>
      <c r="K213" s="17"/>
      <c r="L213" s="17" t="n">
        <f aca="false">COUNT(E213,I213,K213)</f>
        <v>1</v>
      </c>
      <c r="M213" s="18" t="n">
        <f aca="false">(D213&lt;&gt;"")*(D213&lt;=($E$3*60+$F$3)/86400)+(H213&lt;&gt;"")*(H213&lt;=($I$3*60+$J$3)/86400)+(J213&lt;&gt;"")*(J213&lt;=($M$3*60+$N$3)/86400)</f>
        <v>0</v>
      </c>
      <c r="N213" s="20"/>
      <c r="O213" s="20"/>
      <c r="P213" s="20"/>
      <c r="Q213" s="19"/>
    </row>
    <row r="214" customFormat="false" ht="15" hidden="false" customHeight="false" outlineLevel="0" collapsed="false">
      <c r="A214" s="10" t="n">
        <v>208</v>
      </c>
      <c r="B214" s="11" t="s">
        <v>414</v>
      </c>
      <c r="C214" s="12" t="s">
        <v>415</v>
      </c>
      <c r="D214" s="13" t="n">
        <v>0.0103547453703704</v>
      </c>
      <c r="E214" s="14" t="n">
        <v>209</v>
      </c>
      <c r="F214" s="15" t="n">
        <f aca="false">IF(D214="","",ROUND((D214-MIN($D$7:$D$9999))*86400,2))</f>
        <v>104.91</v>
      </c>
      <c r="G214" s="10" t="str">
        <f aca="false">IF(D214="","",IF(D214&lt;=($E$3*60+$F$3)/86400,"○",""))</f>
        <v/>
      </c>
      <c r="H214" s="16" t="n">
        <v>0.0066412037037037</v>
      </c>
      <c r="I214" s="17" t="n">
        <v>79</v>
      </c>
      <c r="J214" s="16" t="n">
        <v>0.00275543981481482</v>
      </c>
      <c r="K214" s="17" t="n">
        <v>121</v>
      </c>
      <c r="L214" s="17" t="n">
        <f aca="false">COUNT(E214,I214,K214)</f>
        <v>3</v>
      </c>
      <c r="M214" s="18" t="n">
        <f aca="false">(D214&lt;&gt;"")*(D214&lt;=($E$3*60+$F$3)/86400)+(H214&lt;&gt;"")*(H214&lt;=($I$3*60+$J$3)/86400)+(J214&lt;&gt;"")*(J214&lt;=($M$3*60+$N$3)/86400)</f>
        <v>0</v>
      </c>
      <c r="N214" s="20"/>
      <c r="O214" s="20"/>
      <c r="P214" s="20"/>
      <c r="Q214" s="19"/>
    </row>
    <row r="215" customFormat="false" ht="15" hidden="false" customHeight="false" outlineLevel="0" collapsed="false">
      <c r="A215" s="10" t="n">
        <v>209</v>
      </c>
      <c r="B215" s="11" t="s">
        <v>416</v>
      </c>
      <c r="C215" s="12" t="s">
        <v>417</v>
      </c>
      <c r="D215" s="13" t="n">
        <v>0.0103554398148148</v>
      </c>
      <c r="E215" s="14" t="n">
        <v>210</v>
      </c>
      <c r="F215" s="15" t="n">
        <f aca="false">IF(D215="","",ROUND((D215-MIN($D$7:$D$9999))*86400,2))</f>
        <v>104.97</v>
      </c>
      <c r="G215" s="10" t="str">
        <f aca="false">IF(D215="","",IF(D215&lt;=($E$3*60+$F$3)/86400,"○",""))</f>
        <v/>
      </c>
      <c r="H215" s="16"/>
      <c r="I215" s="17"/>
      <c r="J215" s="16" t="n">
        <v>0.00280162037037037</v>
      </c>
      <c r="K215" s="17" t="n">
        <v>289</v>
      </c>
      <c r="L215" s="17" t="n">
        <f aca="false">COUNT(E215,I215,K215)</f>
        <v>2</v>
      </c>
      <c r="M215" s="18" t="n">
        <f aca="false">(D215&lt;&gt;"")*(D215&lt;=($E$3*60+$F$3)/86400)+(H215&lt;&gt;"")*(H215&lt;=($I$3*60+$J$3)/86400)+(J215&lt;&gt;"")*(J215&lt;=($M$3*60+$N$3)/86400)</f>
        <v>0</v>
      </c>
      <c r="N215" s="20"/>
      <c r="O215" s="20"/>
      <c r="P215" s="20"/>
      <c r="Q215" s="19"/>
    </row>
    <row r="216" customFormat="false" ht="15" hidden="false" customHeight="false" outlineLevel="0" collapsed="false">
      <c r="A216" s="10" t="n">
        <v>210</v>
      </c>
      <c r="B216" s="11" t="s">
        <v>418</v>
      </c>
      <c r="C216" s="12" t="s">
        <v>37</v>
      </c>
      <c r="D216" s="13" t="n">
        <v>0.0103571759259259</v>
      </c>
      <c r="E216" s="14" t="n">
        <v>211</v>
      </c>
      <c r="F216" s="15" t="n">
        <f aca="false">IF(D216="","",ROUND((D216-MIN($D$7:$D$9999))*86400,2))</f>
        <v>105.12</v>
      </c>
      <c r="G216" s="10" t="str">
        <f aca="false">IF(D216="","",IF(D216&lt;=($E$3*60+$F$3)/86400,"○",""))</f>
        <v/>
      </c>
      <c r="H216" s="16"/>
      <c r="I216" s="17"/>
      <c r="J216" s="16" t="n">
        <v>0.00285416666666667</v>
      </c>
      <c r="K216" s="17" t="n">
        <v>596</v>
      </c>
      <c r="L216" s="17" t="n">
        <f aca="false">COUNT(E216,I216,K216)</f>
        <v>2</v>
      </c>
      <c r="M216" s="18" t="n">
        <f aca="false">(D216&lt;&gt;"")*(D216&lt;=($E$3*60+$F$3)/86400)+(H216&lt;&gt;"")*(H216&lt;=($I$3*60+$J$3)/86400)+(J216&lt;&gt;"")*(J216&lt;=($M$3*60+$N$3)/86400)</f>
        <v>0</v>
      </c>
      <c r="N216" s="20"/>
      <c r="O216" s="20"/>
      <c r="P216" s="20"/>
      <c r="Q216" s="19"/>
    </row>
    <row r="217" customFormat="false" ht="15" hidden="false" customHeight="false" outlineLevel="0" collapsed="false">
      <c r="A217" s="10" t="n">
        <v>211</v>
      </c>
      <c r="B217" s="11" t="s">
        <v>419</v>
      </c>
      <c r="C217" s="12" t="s">
        <v>143</v>
      </c>
      <c r="D217" s="13" t="n">
        <v>0.0103578703703704</v>
      </c>
      <c r="E217" s="14" t="n">
        <v>212</v>
      </c>
      <c r="F217" s="15" t="n">
        <f aca="false">IF(D217="","",ROUND((D217-MIN($D$7:$D$9999))*86400,2))</f>
        <v>105.18</v>
      </c>
      <c r="G217" s="10" t="str">
        <f aca="false">IF(D217="","",IF(D217&lt;=($E$3*60+$F$3)/86400,"○",""))</f>
        <v/>
      </c>
      <c r="H217" s="16"/>
      <c r="I217" s="17"/>
      <c r="J217" s="16" t="n">
        <v>0.00296122685185185</v>
      </c>
      <c r="K217" s="17" t="n">
        <v>1277</v>
      </c>
      <c r="L217" s="17" t="n">
        <f aca="false">COUNT(E217,I217,K217)</f>
        <v>2</v>
      </c>
      <c r="M217" s="18" t="n">
        <f aca="false">(D217&lt;&gt;"")*(D217&lt;=($E$3*60+$F$3)/86400)+(H217&lt;&gt;"")*(H217&lt;=($I$3*60+$J$3)/86400)+(J217&lt;&gt;"")*(J217&lt;=($M$3*60+$N$3)/86400)</f>
        <v>0</v>
      </c>
      <c r="N217" s="20"/>
      <c r="O217" s="20"/>
      <c r="P217" s="20"/>
      <c r="Q217" s="19"/>
    </row>
    <row r="218" customFormat="false" ht="15" hidden="false" customHeight="false" outlineLevel="0" collapsed="false">
      <c r="A218" s="10" t="n">
        <v>212</v>
      </c>
      <c r="B218" s="11" t="s">
        <v>420</v>
      </c>
      <c r="C218" s="12" t="s">
        <v>157</v>
      </c>
      <c r="D218" s="13" t="n">
        <v>0.0103584490740741</v>
      </c>
      <c r="E218" s="14" t="n">
        <v>213</v>
      </c>
      <c r="F218" s="15" t="n">
        <f aca="false">IF(D218="","",ROUND((D218-MIN($D$7:$D$9999))*86400,2))</f>
        <v>105.23</v>
      </c>
      <c r="G218" s="10" t="str">
        <f aca="false">IF(D218="","",IF(D218&lt;=($E$3*60+$F$3)/86400,"○",""))</f>
        <v/>
      </c>
      <c r="H218" s="16"/>
      <c r="I218" s="17"/>
      <c r="J218" s="16"/>
      <c r="K218" s="17"/>
      <c r="L218" s="17" t="n">
        <f aca="false">COUNT(E218,I218,K218)</f>
        <v>1</v>
      </c>
      <c r="M218" s="18" t="n">
        <f aca="false">(D218&lt;&gt;"")*(D218&lt;=($E$3*60+$F$3)/86400)+(H218&lt;&gt;"")*(H218&lt;=($I$3*60+$J$3)/86400)+(J218&lt;&gt;"")*(J218&lt;=($M$3*60+$N$3)/86400)</f>
        <v>0</v>
      </c>
      <c r="N218" s="20"/>
      <c r="O218" s="20"/>
      <c r="P218" s="20"/>
      <c r="Q218" s="19"/>
    </row>
    <row r="219" customFormat="false" ht="15" hidden="false" customHeight="false" outlineLevel="0" collapsed="false">
      <c r="A219" s="10" t="n">
        <v>213</v>
      </c>
      <c r="B219" s="11" t="s">
        <v>421</v>
      </c>
      <c r="C219" s="12" t="s">
        <v>167</v>
      </c>
      <c r="D219" s="13" t="n">
        <v>0.0103591435185185</v>
      </c>
      <c r="E219" s="14" t="n">
        <v>214</v>
      </c>
      <c r="F219" s="15" t="n">
        <f aca="false">IF(D219="","",ROUND((D219-MIN($D$7:$D$9999))*86400,2))</f>
        <v>105.29</v>
      </c>
      <c r="G219" s="10" t="str">
        <f aca="false">IF(D219="","",IF(D219&lt;=($E$3*60+$F$3)/86400,"○",""))</f>
        <v/>
      </c>
      <c r="H219" s="16"/>
      <c r="I219" s="17"/>
      <c r="J219" s="16" t="n">
        <v>0.00284479166666667</v>
      </c>
      <c r="K219" s="17" t="n">
        <v>533</v>
      </c>
      <c r="L219" s="17" t="n">
        <f aca="false">COUNT(E219,I219,K219)</f>
        <v>2</v>
      </c>
      <c r="M219" s="18" t="n">
        <f aca="false">(D219&lt;&gt;"")*(D219&lt;=($E$3*60+$F$3)/86400)+(H219&lt;&gt;"")*(H219&lt;=($I$3*60+$J$3)/86400)+(J219&lt;&gt;"")*(J219&lt;=($M$3*60+$N$3)/86400)</f>
        <v>0</v>
      </c>
      <c r="N219" s="20"/>
      <c r="O219" s="20" t="s">
        <v>422</v>
      </c>
      <c r="P219" s="20"/>
      <c r="Q219" s="19"/>
    </row>
    <row r="220" customFormat="false" ht="15" hidden="false" customHeight="false" outlineLevel="0" collapsed="false">
      <c r="A220" s="10" t="n">
        <v>214</v>
      </c>
      <c r="B220" s="11" t="s">
        <v>423</v>
      </c>
      <c r="C220" s="12" t="s">
        <v>61</v>
      </c>
      <c r="D220" s="13" t="n">
        <v>0.010359375</v>
      </c>
      <c r="E220" s="14" t="n">
        <v>215</v>
      </c>
      <c r="F220" s="15" t="n">
        <f aca="false">IF(D220="","",ROUND((D220-MIN($D$7:$D$9999))*86400,2))</f>
        <v>105.31</v>
      </c>
      <c r="G220" s="10" t="str">
        <f aca="false">IF(D220="","",IF(D220&lt;=($E$3*60+$F$3)/86400,"○",""))</f>
        <v/>
      </c>
      <c r="H220" s="16"/>
      <c r="I220" s="17"/>
      <c r="J220" s="16" t="n">
        <v>0.00296354166666667</v>
      </c>
      <c r="K220" s="17" t="n">
        <v>1286</v>
      </c>
      <c r="L220" s="17" t="n">
        <f aca="false">COUNT(E220,I220,K220)</f>
        <v>2</v>
      </c>
      <c r="M220" s="18" t="n">
        <f aca="false">(D220&lt;&gt;"")*(D220&lt;=($E$3*60+$F$3)/86400)+(H220&lt;&gt;"")*(H220&lt;=($I$3*60+$J$3)/86400)+(J220&lt;&gt;"")*(J220&lt;=($M$3*60+$N$3)/86400)</f>
        <v>0</v>
      </c>
      <c r="N220" s="20"/>
      <c r="O220" s="20"/>
      <c r="P220" s="20"/>
      <c r="Q220" s="19"/>
    </row>
    <row r="221" customFormat="false" ht="15" hidden="false" customHeight="false" outlineLevel="0" collapsed="false">
      <c r="A221" s="10" t="n">
        <v>215</v>
      </c>
      <c r="B221" s="11" t="s">
        <v>424</v>
      </c>
      <c r="C221" s="12" t="s">
        <v>63</v>
      </c>
      <c r="D221" s="13" t="n">
        <v>0.0103594907407407</v>
      </c>
      <c r="E221" s="14" t="n">
        <v>216</v>
      </c>
      <c r="F221" s="15" t="n">
        <f aca="false">IF(D221="","",ROUND((D221-MIN($D$7:$D$9999))*86400,2))</f>
        <v>105.32</v>
      </c>
      <c r="G221" s="10" t="str">
        <f aca="false">IF(D221="","",IF(D221&lt;=($E$3*60+$F$3)/86400,"○",""))</f>
        <v/>
      </c>
      <c r="H221" s="16"/>
      <c r="I221" s="17"/>
      <c r="J221" s="16"/>
      <c r="K221" s="17"/>
      <c r="L221" s="17" t="n">
        <f aca="false">COUNT(E221,I221,K221)</f>
        <v>1</v>
      </c>
      <c r="M221" s="18" t="n">
        <f aca="false">(D221&lt;&gt;"")*(D221&lt;=($E$3*60+$F$3)/86400)+(H221&lt;&gt;"")*(H221&lt;=($I$3*60+$J$3)/86400)+(J221&lt;&gt;"")*(J221&lt;=($M$3*60+$N$3)/86400)</f>
        <v>0</v>
      </c>
      <c r="N221" s="20"/>
      <c r="O221" s="20"/>
      <c r="P221" s="20"/>
      <c r="Q221" s="19"/>
    </row>
    <row r="222" customFormat="false" ht="15" hidden="false" customHeight="false" outlineLevel="0" collapsed="false">
      <c r="A222" s="10" t="n">
        <v>216</v>
      </c>
      <c r="B222" s="11" t="s">
        <v>425</v>
      </c>
      <c r="C222" s="12" t="s">
        <v>157</v>
      </c>
      <c r="D222" s="13" t="n">
        <v>0.0103599537037037</v>
      </c>
      <c r="E222" s="14" t="n">
        <v>217</v>
      </c>
      <c r="F222" s="15" t="n">
        <f aca="false">IF(D222="","",ROUND((D222-MIN($D$7:$D$9999))*86400,2))</f>
        <v>105.36</v>
      </c>
      <c r="G222" s="10" t="str">
        <f aca="false">IF(D222="","",IF(D222&lt;=($E$3*60+$F$3)/86400,"○",""))</f>
        <v/>
      </c>
      <c r="H222" s="16"/>
      <c r="I222" s="17"/>
      <c r="J222" s="16" t="n">
        <v>0.00276469907407407</v>
      </c>
      <c r="K222" s="17" t="n">
        <v>147</v>
      </c>
      <c r="L222" s="17" t="n">
        <f aca="false">COUNT(E222,I222,K222)</f>
        <v>2</v>
      </c>
      <c r="M222" s="18" t="n">
        <f aca="false">(D222&lt;&gt;"")*(D222&lt;=($E$3*60+$F$3)/86400)+(H222&lt;&gt;"")*(H222&lt;=($I$3*60+$J$3)/86400)+(J222&lt;&gt;"")*(J222&lt;=($M$3*60+$N$3)/86400)</f>
        <v>0</v>
      </c>
      <c r="N222" s="20"/>
      <c r="O222" s="20"/>
      <c r="P222" s="20"/>
      <c r="Q222" s="19"/>
    </row>
    <row r="223" customFormat="false" ht="15" hidden="false" customHeight="false" outlineLevel="0" collapsed="false">
      <c r="A223" s="10" t="n">
        <v>217</v>
      </c>
      <c r="B223" s="11" t="s">
        <v>426</v>
      </c>
      <c r="C223" s="12" t="s">
        <v>127</v>
      </c>
      <c r="D223" s="13" t="n">
        <v>0.0103613425925926</v>
      </c>
      <c r="E223" s="14" t="n">
        <v>218</v>
      </c>
      <c r="F223" s="15" t="n">
        <f aca="false">IF(D223="","",ROUND((D223-MIN($D$7:$D$9999))*86400,2))</f>
        <v>105.48</v>
      </c>
      <c r="G223" s="10" t="str">
        <f aca="false">IF(D223="","",IF(D223&lt;=($E$3*60+$F$3)/86400,"○",""))</f>
        <v/>
      </c>
      <c r="H223" s="16"/>
      <c r="I223" s="17"/>
      <c r="J223" s="16"/>
      <c r="K223" s="17"/>
      <c r="L223" s="17" t="n">
        <f aca="false">COUNT(E223,I223,K223)</f>
        <v>1</v>
      </c>
      <c r="M223" s="18" t="n">
        <f aca="false">(D223&lt;&gt;"")*(D223&lt;=($E$3*60+$F$3)/86400)+(H223&lt;&gt;"")*(H223&lt;=($I$3*60+$J$3)/86400)+(J223&lt;&gt;"")*(J223&lt;=($M$3*60+$N$3)/86400)</f>
        <v>0</v>
      </c>
      <c r="N223" s="20"/>
      <c r="O223" s="20"/>
      <c r="P223" s="20"/>
      <c r="Q223" s="19"/>
    </row>
    <row r="224" customFormat="false" ht="15" hidden="false" customHeight="false" outlineLevel="0" collapsed="false">
      <c r="A224" s="10" t="n">
        <v>218</v>
      </c>
      <c r="B224" s="11" t="s">
        <v>427</v>
      </c>
      <c r="C224" s="12" t="s">
        <v>199</v>
      </c>
      <c r="D224" s="13" t="n">
        <v>0.0103614583333333</v>
      </c>
      <c r="E224" s="14" t="n">
        <v>219</v>
      </c>
      <c r="F224" s="15" t="n">
        <f aca="false">IF(D224="","",ROUND((D224-MIN($D$7:$D$9999))*86400,2))</f>
        <v>105.49</v>
      </c>
      <c r="G224" s="10" t="str">
        <f aca="false">IF(D224="","",IF(D224&lt;=($E$3*60+$F$3)/86400,"○",""))</f>
        <v/>
      </c>
      <c r="H224" s="16"/>
      <c r="I224" s="17"/>
      <c r="J224" s="16" t="n">
        <v>0.00281921296296296</v>
      </c>
      <c r="K224" s="17" t="n">
        <v>360</v>
      </c>
      <c r="L224" s="17" t="n">
        <f aca="false">COUNT(E224,I224,K224)</f>
        <v>2</v>
      </c>
      <c r="M224" s="18" t="n">
        <f aca="false">(D224&lt;&gt;"")*(D224&lt;=($E$3*60+$F$3)/86400)+(H224&lt;&gt;"")*(H224&lt;=($I$3*60+$J$3)/86400)+(J224&lt;&gt;"")*(J224&lt;=($M$3*60+$N$3)/86400)</f>
        <v>0</v>
      </c>
      <c r="N224" s="20"/>
      <c r="O224" s="20"/>
      <c r="P224" s="20"/>
      <c r="Q224" s="19"/>
    </row>
    <row r="225" customFormat="false" ht="15" hidden="false" customHeight="false" outlineLevel="0" collapsed="false">
      <c r="A225" s="10" t="n">
        <v>219</v>
      </c>
      <c r="B225" s="11" t="s">
        <v>428</v>
      </c>
      <c r="C225" s="12" t="s">
        <v>288</v>
      </c>
      <c r="D225" s="13" t="n">
        <v>0.0103640046296296</v>
      </c>
      <c r="E225" s="14" t="n">
        <v>220</v>
      </c>
      <c r="F225" s="15" t="n">
        <f aca="false">IF(D225="","",ROUND((D225-MIN($D$7:$D$9999))*86400,2))</f>
        <v>105.71</v>
      </c>
      <c r="G225" s="10" t="str">
        <f aca="false">IF(D225="","",IF(D225&lt;=($E$3*60+$F$3)/86400,"○",""))</f>
        <v/>
      </c>
      <c r="H225" s="16" t="n">
        <v>0.00634456018518519</v>
      </c>
      <c r="I225" s="17" t="n">
        <v>8</v>
      </c>
      <c r="J225" s="16"/>
      <c r="K225" s="17"/>
      <c r="L225" s="17" t="n">
        <f aca="false">COUNT(E225,I225,K225)</f>
        <v>2</v>
      </c>
      <c r="M225" s="18" t="n">
        <f aca="false">(D225&lt;&gt;"")*(D225&lt;=($E$3*60+$F$3)/86400)+(H225&lt;&gt;"")*(H225&lt;=($I$3*60+$J$3)/86400)+(J225&lt;&gt;"")*(J225&lt;=($M$3*60+$N$3)/86400)</f>
        <v>1</v>
      </c>
      <c r="N225" s="20"/>
      <c r="O225" s="20"/>
      <c r="P225" s="20"/>
      <c r="Q225" s="19"/>
    </row>
    <row r="226" customFormat="false" ht="15" hidden="false" customHeight="false" outlineLevel="0" collapsed="false">
      <c r="A226" s="10" t="n">
        <v>220</v>
      </c>
      <c r="B226" s="11" t="s">
        <v>429</v>
      </c>
      <c r="C226" s="12" t="s">
        <v>430</v>
      </c>
      <c r="D226" s="13" t="n">
        <v>0.0103642361111111</v>
      </c>
      <c r="E226" s="14" t="n">
        <v>221</v>
      </c>
      <c r="F226" s="15" t="n">
        <f aca="false">IF(D226="","",ROUND((D226-MIN($D$7:$D$9999))*86400,2))</f>
        <v>105.73</v>
      </c>
      <c r="G226" s="10" t="str">
        <f aca="false">IF(D226="","",IF(D226&lt;=($E$3*60+$F$3)/86400,"○",""))</f>
        <v/>
      </c>
      <c r="H226" s="16"/>
      <c r="I226" s="17"/>
      <c r="J226" s="16" t="n">
        <v>0.00280520833333333</v>
      </c>
      <c r="K226" s="17" t="n">
        <v>303</v>
      </c>
      <c r="L226" s="17" t="n">
        <f aca="false">COUNT(E226,I226,K226)</f>
        <v>2</v>
      </c>
      <c r="M226" s="18" t="n">
        <f aca="false">(D226&lt;&gt;"")*(D226&lt;=($E$3*60+$F$3)/86400)+(H226&lt;&gt;"")*(H226&lt;=($I$3*60+$J$3)/86400)+(J226&lt;&gt;"")*(J226&lt;=($M$3*60+$N$3)/86400)</f>
        <v>0</v>
      </c>
      <c r="N226" s="20"/>
      <c r="O226" s="20"/>
      <c r="P226" s="20"/>
      <c r="Q226" s="19"/>
    </row>
    <row r="227" customFormat="false" ht="15" hidden="false" customHeight="false" outlineLevel="0" collapsed="false">
      <c r="A227" s="10" t="n">
        <v>221</v>
      </c>
      <c r="B227" s="11" t="s">
        <v>431</v>
      </c>
      <c r="C227" s="12" t="s">
        <v>186</v>
      </c>
      <c r="D227" s="13" t="n">
        <v>0.0103675925925926</v>
      </c>
      <c r="E227" s="14" t="n">
        <v>222</v>
      </c>
      <c r="F227" s="15" t="n">
        <f aca="false">IF(D227="","",ROUND((D227-MIN($D$7:$D$9999))*86400,2))</f>
        <v>106.02</v>
      </c>
      <c r="G227" s="10" t="str">
        <f aca="false">IF(D227="","",IF(D227&lt;=($E$3*60+$F$3)/86400,"○",""))</f>
        <v/>
      </c>
      <c r="H227" s="16" t="n">
        <v>0.0064625</v>
      </c>
      <c r="I227" s="17" t="n">
        <v>26</v>
      </c>
      <c r="J227" s="16" t="n">
        <v>0.00275833333333333</v>
      </c>
      <c r="K227" s="17" t="n">
        <v>130</v>
      </c>
      <c r="L227" s="17" t="n">
        <f aca="false">COUNT(E227,I227,K227)</f>
        <v>3</v>
      </c>
      <c r="M227" s="18" t="n">
        <f aca="false">(D227&lt;&gt;"")*(D227&lt;=($E$3*60+$F$3)/86400)+(H227&lt;&gt;"")*(H227&lt;=($I$3*60+$J$3)/86400)+(J227&lt;&gt;"")*(J227&lt;=($M$3*60+$N$3)/86400)</f>
        <v>1</v>
      </c>
      <c r="N227" s="20" t="s">
        <v>432</v>
      </c>
      <c r="O227" s="20"/>
      <c r="P227" s="20"/>
      <c r="Q227" s="19"/>
    </row>
    <row r="228" customFormat="false" ht="15" hidden="false" customHeight="false" outlineLevel="0" collapsed="false">
      <c r="A228" s="10" t="n">
        <v>222</v>
      </c>
      <c r="B228" s="11" t="s">
        <v>433</v>
      </c>
      <c r="C228" s="12" t="s">
        <v>434</v>
      </c>
      <c r="D228" s="13" t="n">
        <v>0.0103679398148148</v>
      </c>
      <c r="E228" s="14" t="n">
        <v>223</v>
      </c>
      <c r="F228" s="15" t="n">
        <f aca="false">IF(D228="","",ROUND((D228-MIN($D$7:$D$9999))*86400,2))</f>
        <v>106.05</v>
      </c>
      <c r="G228" s="10" t="str">
        <f aca="false">IF(D228="","",IF(D228&lt;=($E$3*60+$F$3)/86400,"○",""))</f>
        <v/>
      </c>
      <c r="H228" s="16"/>
      <c r="I228" s="17"/>
      <c r="J228" s="16" t="n">
        <v>0.00287696759259259</v>
      </c>
      <c r="K228" s="17" t="n">
        <v>747</v>
      </c>
      <c r="L228" s="17" t="n">
        <f aca="false">COUNT(E228,I228,K228)</f>
        <v>2</v>
      </c>
      <c r="M228" s="18" t="n">
        <f aca="false">(D228&lt;&gt;"")*(D228&lt;=($E$3*60+$F$3)/86400)+(H228&lt;&gt;"")*(H228&lt;=($I$3*60+$J$3)/86400)+(J228&lt;&gt;"")*(J228&lt;=($M$3*60+$N$3)/86400)</f>
        <v>0</v>
      </c>
      <c r="N228" s="20" t="s">
        <v>435</v>
      </c>
      <c r="O228" s="20"/>
      <c r="P228" s="20"/>
      <c r="Q228" s="19"/>
    </row>
    <row r="229" customFormat="false" ht="15" hidden="false" customHeight="false" outlineLevel="0" collapsed="false">
      <c r="A229" s="10" t="n">
        <v>223</v>
      </c>
      <c r="B229" s="11" t="s">
        <v>436</v>
      </c>
      <c r="C229" s="12" t="s">
        <v>115</v>
      </c>
      <c r="D229" s="13" t="n">
        <v>0.010369212962963</v>
      </c>
      <c r="E229" s="14" t="n">
        <v>224</v>
      </c>
      <c r="F229" s="15" t="n">
        <f aca="false">IF(D229="","",ROUND((D229-MIN($D$7:$D$9999))*86400,2))</f>
        <v>106.16</v>
      </c>
      <c r="G229" s="10" t="str">
        <f aca="false">IF(D229="","",IF(D229&lt;=($E$3*60+$F$3)/86400,"○",""))</f>
        <v/>
      </c>
      <c r="H229" s="16"/>
      <c r="I229" s="17"/>
      <c r="J229" s="16" t="n">
        <v>0.00282905092592593</v>
      </c>
      <c r="K229" s="17" t="n">
        <v>420</v>
      </c>
      <c r="L229" s="17" t="n">
        <f aca="false">COUNT(E229,I229,K229)</f>
        <v>2</v>
      </c>
      <c r="M229" s="18" t="n">
        <f aca="false">(D229&lt;&gt;"")*(D229&lt;=($E$3*60+$F$3)/86400)+(H229&lt;&gt;"")*(H229&lt;=($I$3*60+$J$3)/86400)+(J229&lt;&gt;"")*(J229&lt;=($M$3*60+$N$3)/86400)</f>
        <v>0</v>
      </c>
      <c r="N229" s="20"/>
      <c r="O229" s="20"/>
      <c r="P229" s="20"/>
      <c r="Q229" s="19"/>
    </row>
    <row r="230" customFormat="false" ht="15" hidden="false" customHeight="false" outlineLevel="0" collapsed="false">
      <c r="A230" s="10" t="n">
        <v>224</v>
      </c>
      <c r="B230" s="11" t="s">
        <v>437</v>
      </c>
      <c r="C230" s="12" t="s">
        <v>438</v>
      </c>
      <c r="D230" s="13" t="n">
        <v>0.0103697916666667</v>
      </c>
      <c r="E230" s="14" t="n">
        <v>225</v>
      </c>
      <c r="F230" s="15" t="n">
        <f aca="false">IF(D230="","",ROUND((D230-MIN($D$7:$D$9999))*86400,2))</f>
        <v>106.21</v>
      </c>
      <c r="G230" s="10" t="str">
        <f aca="false">IF(D230="","",IF(D230&lt;=($E$3*60+$F$3)/86400,"○",""))</f>
        <v/>
      </c>
      <c r="H230" s="16"/>
      <c r="I230" s="17"/>
      <c r="J230" s="16" t="n">
        <v>0.00284270833333333</v>
      </c>
      <c r="K230" s="17" t="n">
        <v>515</v>
      </c>
      <c r="L230" s="17" t="n">
        <f aca="false">COUNT(E230,I230,K230)</f>
        <v>2</v>
      </c>
      <c r="M230" s="18" t="n">
        <f aca="false">(D230&lt;&gt;"")*(D230&lt;=($E$3*60+$F$3)/86400)+(H230&lt;&gt;"")*(H230&lt;=($I$3*60+$J$3)/86400)+(J230&lt;&gt;"")*(J230&lt;=($M$3*60+$N$3)/86400)</f>
        <v>0</v>
      </c>
      <c r="N230" s="20"/>
      <c r="O230" s="20"/>
      <c r="P230" s="20"/>
      <c r="Q230" s="19"/>
    </row>
    <row r="231" customFormat="false" ht="15" hidden="false" customHeight="false" outlineLevel="0" collapsed="false">
      <c r="A231" s="10" t="n">
        <v>225</v>
      </c>
      <c r="B231" s="11" t="s">
        <v>439</v>
      </c>
      <c r="C231" s="12" t="s">
        <v>440</v>
      </c>
      <c r="D231" s="13" t="n">
        <v>0.0103711805555556</v>
      </c>
      <c r="E231" s="14" t="n">
        <v>226</v>
      </c>
      <c r="F231" s="15" t="n">
        <f aca="false">IF(D231="","",ROUND((D231-MIN($D$7:$D$9999))*86400,2))</f>
        <v>106.33</v>
      </c>
      <c r="G231" s="10" t="str">
        <f aca="false">IF(D231="","",IF(D231&lt;=($E$3*60+$F$3)/86400,"○",""))</f>
        <v/>
      </c>
      <c r="H231" s="16"/>
      <c r="I231" s="17"/>
      <c r="J231" s="16" t="n">
        <v>0.0026662037037037</v>
      </c>
      <c r="K231" s="17" t="n">
        <v>6</v>
      </c>
      <c r="L231" s="17" t="n">
        <f aca="false">COUNT(E231,I231,K231)</f>
        <v>2</v>
      </c>
      <c r="M231" s="18" t="n">
        <f aca="false">(D231&lt;&gt;"")*(D231&lt;=($E$3*60+$F$3)/86400)+(H231&lt;&gt;"")*(H231&lt;=($I$3*60+$J$3)/86400)+(J231&lt;&gt;"")*(J231&lt;=($M$3*60+$N$3)/86400)</f>
        <v>1</v>
      </c>
      <c r="N231" s="20" t="s">
        <v>441</v>
      </c>
      <c r="O231" s="20"/>
      <c r="P231" s="20"/>
      <c r="Q231" s="19"/>
    </row>
    <row r="232" customFormat="false" ht="15" hidden="false" customHeight="false" outlineLevel="0" collapsed="false">
      <c r="A232" s="10" t="n">
        <v>226</v>
      </c>
      <c r="B232" s="11" t="s">
        <v>442</v>
      </c>
      <c r="C232" s="12" t="s">
        <v>193</v>
      </c>
      <c r="D232" s="13" t="n">
        <v>0.0103731481481482</v>
      </c>
      <c r="E232" s="14" t="n">
        <v>227</v>
      </c>
      <c r="F232" s="15" t="n">
        <f aca="false">IF(D232="","",ROUND((D232-MIN($D$7:$D$9999))*86400,2))</f>
        <v>106.5</v>
      </c>
      <c r="G232" s="10" t="str">
        <f aca="false">IF(D232="","",IF(D232&lt;=($E$3*60+$F$3)/86400,"○",""))</f>
        <v/>
      </c>
      <c r="H232" s="16"/>
      <c r="I232" s="17"/>
      <c r="J232" s="16" t="n">
        <v>0.00271180555555556</v>
      </c>
      <c r="K232" s="17" t="n">
        <v>37</v>
      </c>
      <c r="L232" s="17" t="n">
        <f aca="false">COUNT(E232,I232,K232)</f>
        <v>2</v>
      </c>
      <c r="M232" s="18" t="n">
        <f aca="false">(D232&lt;&gt;"")*(D232&lt;=($E$3*60+$F$3)/86400)+(H232&lt;&gt;"")*(H232&lt;=($I$3*60+$J$3)/86400)+(J232&lt;&gt;"")*(J232&lt;=($M$3*60+$N$3)/86400)</f>
        <v>1</v>
      </c>
      <c r="N232" s="20"/>
      <c r="O232" s="20"/>
      <c r="P232" s="20"/>
      <c r="Q232" s="19"/>
    </row>
    <row r="233" customFormat="false" ht="15" hidden="false" customHeight="false" outlineLevel="0" collapsed="false">
      <c r="A233" s="10" t="n">
        <v>227</v>
      </c>
      <c r="B233" s="11" t="s">
        <v>443</v>
      </c>
      <c r="C233" s="12" t="s">
        <v>444</v>
      </c>
      <c r="D233" s="13" t="n">
        <v>0.0103738425925926</v>
      </c>
      <c r="E233" s="14" t="n">
        <v>228</v>
      </c>
      <c r="F233" s="15" t="n">
        <f aca="false">IF(D233="","",ROUND((D233-MIN($D$7:$D$9999))*86400,2))</f>
        <v>106.56</v>
      </c>
      <c r="G233" s="10" t="str">
        <f aca="false">IF(D233="","",IF(D233&lt;=($E$3*60+$F$3)/86400,"○",""))</f>
        <v/>
      </c>
      <c r="H233" s="16"/>
      <c r="I233" s="17"/>
      <c r="J233" s="16" t="n">
        <v>0.00296898148148148</v>
      </c>
      <c r="K233" s="17" t="n">
        <v>1305</v>
      </c>
      <c r="L233" s="17" t="n">
        <f aca="false">COUNT(E233,I233,K233)</f>
        <v>2</v>
      </c>
      <c r="M233" s="18" t="n">
        <f aca="false">(D233&lt;&gt;"")*(D233&lt;=($E$3*60+$F$3)/86400)+(H233&lt;&gt;"")*(H233&lt;=($I$3*60+$J$3)/86400)+(J233&lt;&gt;"")*(J233&lt;=($M$3*60+$N$3)/86400)</f>
        <v>0</v>
      </c>
      <c r="N233" s="20" t="s">
        <v>445</v>
      </c>
      <c r="O233" s="20"/>
      <c r="P233" s="20"/>
      <c r="Q233" s="19"/>
    </row>
    <row r="234" customFormat="false" ht="15" hidden="false" customHeight="false" outlineLevel="0" collapsed="false">
      <c r="A234" s="10" t="n">
        <v>228</v>
      </c>
      <c r="B234" s="11" t="s">
        <v>446</v>
      </c>
      <c r="C234" s="12" t="s">
        <v>447</v>
      </c>
      <c r="D234" s="13" t="n">
        <v>0.0103741898148148</v>
      </c>
      <c r="E234" s="14" t="n">
        <v>229</v>
      </c>
      <c r="F234" s="15" t="n">
        <f aca="false">IF(D234="","",ROUND((D234-MIN($D$7:$D$9999))*86400,2))</f>
        <v>106.59</v>
      </c>
      <c r="G234" s="10" t="str">
        <f aca="false">IF(D234="","",IF(D234&lt;=($E$3*60+$F$3)/86400,"○",""))</f>
        <v/>
      </c>
      <c r="H234" s="16" t="n">
        <v>0.00650520833333333</v>
      </c>
      <c r="I234" s="17" t="n">
        <v>37</v>
      </c>
      <c r="J234" s="16" t="n">
        <v>0.00288148148148148</v>
      </c>
      <c r="K234" s="17" t="n">
        <v>784</v>
      </c>
      <c r="L234" s="17" t="n">
        <f aca="false">COUNT(E234,I234,K234)</f>
        <v>3</v>
      </c>
      <c r="M234" s="18" t="n">
        <f aca="false">(D234&lt;&gt;"")*(D234&lt;=($E$3*60+$F$3)/86400)+(H234&lt;&gt;"")*(H234&lt;=($I$3*60+$J$3)/86400)+(J234&lt;&gt;"")*(J234&lt;=($M$3*60+$N$3)/86400)</f>
        <v>0</v>
      </c>
      <c r="N234" s="20"/>
      <c r="O234" s="20"/>
      <c r="P234" s="20"/>
      <c r="Q234" s="19"/>
    </row>
    <row r="235" customFormat="false" ht="15" hidden="false" customHeight="false" outlineLevel="0" collapsed="false">
      <c r="A235" s="10" t="n">
        <v>229</v>
      </c>
      <c r="B235" s="11" t="s">
        <v>448</v>
      </c>
      <c r="C235" s="12" t="s">
        <v>449</v>
      </c>
      <c r="D235" s="13" t="n">
        <v>0.0103746527777778</v>
      </c>
      <c r="E235" s="14" t="n">
        <v>230</v>
      </c>
      <c r="F235" s="15" t="n">
        <f aca="false">IF(D235="","",ROUND((D235-MIN($D$7:$D$9999))*86400,2))</f>
        <v>106.63</v>
      </c>
      <c r="G235" s="10" t="str">
        <f aca="false">IF(D235="","",IF(D235&lt;=($E$3*60+$F$3)/86400,"○",""))</f>
        <v/>
      </c>
      <c r="H235" s="16"/>
      <c r="I235" s="17"/>
      <c r="J235" s="16" t="n">
        <v>0.00280636574074074</v>
      </c>
      <c r="K235" s="17" t="n">
        <v>308</v>
      </c>
      <c r="L235" s="17" t="n">
        <f aca="false">COUNT(E235,I235,K235)</f>
        <v>2</v>
      </c>
      <c r="M235" s="18" t="n">
        <f aca="false">(D235&lt;&gt;"")*(D235&lt;=($E$3*60+$F$3)/86400)+(H235&lt;&gt;"")*(H235&lt;=($I$3*60+$J$3)/86400)+(J235&lt;&gt;"")*(J235&lt;=($M$3*60+$N$3)/86400)</f>
        <v>0</v>
      </c>
      <c r="N235" s="20" t="s">
        <v>450</v>
      </c>
      <c r="O235" s="20"/>
      <c r="P235" s="20"/>
      <c r="Q235" s="19"/>
    </row>
    <row r="236" customFormat="false" ht="15" hidden="false" customHeight="false" outlineLevel="0" collapsed="false">
      <c r="A236" s="10" t="n">
        <v>230</v>
      </c>
      <c r="B236" s="11" t="s">
        <v>451</v>
      </c>
      <c r="C236" s="12" t="s">
        <v>167</v>
      </c>
      <c r="D236" s="13" t="n">
        <v>0.0103753472222222</v>
      </c>
      <c r="E236" s="14" t="n">
        <v>231</v>
      </c>
      <c r="F236" s="15" t="n">
        <f aca="false">IF(D236="","",ROUND((D236-MIN($D$7:$D$9999))*86400,2))</f>
        <v>106.69</v>
      </c>
      <c r="G236" s="10" t="str">
        <f aca="false">IF(D236="","",IF(D236&lt;=($E$3*60+$F$3)/86400,"○",""))</f>
        <v/>
      </c>
      <c r="H236" s="16"/>
      <c r="I236" s="17"/>
      <c r="J236" s="16" t="n">
        <v>0.0027912037037037</v>
      </c>
      <c r="K236" s="17" t="n">
        <v>246</v>
      </c>
      <c r="L236" s="17" t="n">
        <f aca="false">COUNT(E236,I236,K236)</f>
        <v>2</v>
      </c>
      <c r="M236" s="18" t="n">
        <f aca="false">(D236&lt;&gt;"")*(D236&lt;=($E$3*60+$F$3)/86400)+(H236&lt;&gt;"")*(H236&lt;=($I$3*60+$J$3)/86400)+(J236&lt;&gt;"")*(J236&lt;=($M$3*60+$N$3)/86400)</f>
        <v>0</v>
      </c>
      <c r="N236" s="20"/>
      <c r="O236" s="20" t="s">
        <v>452</v>
      </c>
      <c r="P236" s="20"/>
      <c r="Q236" s="19"/>
    </row>
    <row r="237" customFormat="false" ht="15" hidden="false" customHeight="false" outlineLevel="0" collapsed="false">
      <c r="A237" s="10" t="n">
        <v>231</v>
      </c>
      <c r="B237" s="11" t="s">
        <v>453</v>
      </c>
      <c r="C237" s="12" t="s">
        <v>454</v>
      </c>
      <c r="D237" s="13" t="n">
        <v>0.0103755787037037</v>
      </c>
      <c r="E237" s="14" t="n">
        <v>232</v>
      </c>
      <c r="F237" s="15" t="n">
        <f aca="false">IF(D237="","",ROUND((D237-MIN($D$7:$D$9999))*86400,2))</f>
        <v>106.71</v>
      </c>
      <c r="G237" s="10" t="str">
        <f aca="false">IF(D237="","",IF(D237&lt;=($E$3*60+$F$3)/86400,"○",""))</f>
        <v/>
      </c>
      <c r="H237" s="16"/>
      <c r="I237" s="17"/>
      <c r="J237" s="16" t="n">
        <v>0.00278877314814815</v>
      </c>
      <c r="K237" s="17" t="n">
        <v>236</v>
      </c>
      <c r="L237" s="17" t="n">
        <f aca="false">COUNT(E237,I237,K237)</f>
        <v>2</v>
      </c>
      <c r="M237" s="18" t="n">
        <f aca="false">(D237&lt;&gt;"")*(D237&lt;=($E$3*60+$F$3)/86400)+(H237&lt;&gt;"")*(H237&lt;=($I$3*60+$J$3)/86400)+(J237&lt;&gt;"")*(J237&lt;=($M$3*60+$N$3)/86400)</f>
        <v>0</v>
      </c>
      <c r="N237" s="20"/>
      <c r="O237" s="20"/>
      <c r="P237" s="20"/>
      <c r="Q237" s="19"/>
    </row>
    <row r="238" customFormat="false" ht="15" hidden="false" customHeight="false" outlineLevel="0" collapsed="false">
      <c r="A238" s="10" t="n">
        <v>232</v>
      </c>
      <c r="B238" s="11" t="s">
        <v>455</v>
      </c>
      <c r="C238" s="12" t="s">
        <v>155</v>
      </c>
      <c r="D238" s="13" t="n">
        <v>0.0103755787037037</v>
      </c>
      <c r="E238" s="14" t="n">
        <v>233</v>
      </c>
      <c r="F238" s="15" t="n">
        <f aca="false">IF(D238="","",ROUND((D238-MIN($D$7:$D$9999))*86400,2))</f>
        <v>106.71</v>
      </c>
      <c r="G238" s="10" t="str">
        <f aca="false">IF(D238="","",IF(D238&lt;=($E$3*60+$F$3)/86400,"○",""))</f>
        <v/>
      </c>
      <c r="H238" s="16"/>
      <c r="I238" s="17"/>
      <c r="J238" s="16" t="n">
        <v>0.00277407407407407</v>
      </c>
      <c r="K238" s="17" t="n">
        <v>172</v>
      </c>
      <c r="L238" s="17" t="n">
        <f aca="false">COUNT(E238,I238,K238)</f>
        <v>2</v>
      </c>
      <c r="M238" s="18" t="n">
        <f aca="false">(D238&lt;&gt;"")*(D238&lt;=($E$3*60+$F$3)/86400)+(H238&lt;&gt;"")*(H238&lt;=($I$3*60+$J$3)/86400)+(J238&lt;&gt;"")*(J238&lt;=($M$3*60+$N$3)/86400)</f>
        <v>0</v>
      </c>
      <c r="N238" s="20"/>
      <c r="O238" s="20"/>
      <c r="P238" s="20"/>
      <c r="Q238" s="19"/>
    </row>
    <row r="239" customFormat="false" ht="15" hidden="false" customHeight="false" outlineLevel="0" collapsed="false">
      <c r="A239" s="10" t="n">
        <v>233</v>
      </c>
      <c r="B239" s="11" t="s">
        <v>456</v>
      </c>
      <c r="C239" s="12" t="s">
        <v>457</v>
      </c>
      <c r="D239" s="13" t="n">
        <v>0.0103759259259259</v>
      </c>
      <c r="E239" s="14" t="n">
        <v>234</v>
      </c>
      <c r="F239" s="15" t="n">
        <f aca="false">IF(D239="","",ROUND((D239-MIN($D$7:$D$9999))*86400,2))</f>
        <v>106.74</v>
      </c>
      <c r="G239" s="10" t="str">
        <f aca="false">IF(D239="","",IF(D239&lt;=($E$3*60+$F$3)/86400,"○",""))</f>
        <v/>
      </c>
      <c r="H239" s="16"/>
      <c r="I239" s="17"/>
      <c r="J239" s="16" t="n">
        <v>0.00285034722222222</v>
      </c>
      <c r="K239" s="17" t="n">
        <v>571</v>
      </c>
      <c r="L239" s="17" t="n">
        <f aca="false">COUNT(E239,I239,K239)</f>
        <v>2</v>
      </c>
      <c r="M239" s="18" t="n">
        <f aca="false">(D239&lt;&gt;"")*(D239&lt;=($E$3*60+$F$3)/86400)+(H239&lt;&gt;"")*(H239&lt;=($I$3*60+$J$3)/86400)+(J239&lt;&gt;"")*(J239&lt;=($M$3*60+$N$3)/86400)</f>
        <v>0</v>
      </c>
      <c r="N239" s="20"/>
      <c r="O239" s="20"/>
      <c r="P239" s="20"/>
      <c r="Q239" s="19"/>
    </row>
    <row r="240" customFormat="false" ht="15" hidden="false" customHeight="false" outlineLevel="0" collapsed="false">
      <c r="A240" s="10" t="n">
        <v>234</v>
      </c>
      <c r="B240" s="11" t="s">
        <v>458</v>
      </c>
      <c r="C240" s="12" t="s">
        <v>25</v>
      </c>
      <c r="D240" s="13" t="n">
        <v>0.0103759259259259</v>
      </c>
      <c r="E240" s="14" t="n">
        <v>235</v>
      </c>
      <c r="F240" s="15" t="n">
        <f aca="false">IF(D240="","",ROUND((D240-MIN($D$7:$D$9999))*86400,2))</f>
        <v>106.74</v>
      </c>
      <c r="G240" s="10" t="str">
        <f aca="false">IF(D240="","",IF(D240&lt;=($E$3*60+$F$3)/86400,"○",""))</f>
        <v/>
      </c>
      <c r="H240" s="16"/>
      <c r="I240" s="17"/>
      <c r="J240" s="16"/>
      <c r="K240" s="17"/>
      <c r="L240" s="17" t="n">
        <f aca="false">COUNT(E240,I240,K240)</f>
        <v>1</v>
      </c>
      <c r="M240" s="18" t="n">
        <f aca="false">(D240&lt;&gt;"")*(D240&lt;=($E$3*60+$F$3)/86400)+(H240&lt;&gt;"")*(H240&lt;=($I$3*60+$J$3)/86400)+(J240&lt;&gt;"")*(J240&lt;=($M$3*60+$N$3)/86400)</f>
        <v>0</v>
      </c>
      <c r="N240" s="20"/>
      <c r="O240" s="20"/>
      <c r="P240" s="20"/>
      <c r="Q240" s="19"/>
    </row>
    <row r="241" customFormat="false" ht="15" hidden="false" customHeight="false" outlineLevel="0" collapsed="false">
      <c r="A241" s="10" t="n">
        <v>235</v>
      </c>
      <c r="B241" s="11" t="s">
        <v>459</v>
      </c>
      <c r="C241" s="12" t="s">
        <v>460</v>
      </c>
      <c r="D241" s="13" t="n">
        <v>0.0103765046296296</v>
      </c>
      <c r="E241" s="14" t="n">
        <v>236</v>
      </c>
      <c r="F241" s="15" t="n">
        <f aca="false">IF(D241="","",ROUND((D241-MIN($D$7:$D$9999))*86400,2))</f>
        <v>106.79</v>
      </c>
      <c r="G241" s="10" t="str">
        <f aca="false">IF(D241="","",IF(D241&lt;=($E$3*60+$F$3)/86400,"○",""))</f>
        <v/>
      </c>
      <c r="H241" s="16"/>
      <c r="I241" s="17"/>
      <c r="J241" s="16" t="n">
        <v>0.00267881944444444</v>
      </c>
      <c r="K241" s="17" t="n">
        <v>12</v>
      </c>
      <c r="L241" s="17" t="n">
        <f aca="false">COUNT(E241,I241,K241)</f>
        <v>2</v>
      </c>
      <c r="M241" s="18" t="n">
        <f aca="false">(D241&lt;&gt;"")*(D241&lt;=($E$3*60+$F$3)/86400)+(H241&lt;&gt;"")*(H241&lt;=($I$3*60+$J$3)/86400)+(J241&lt;&gt;"")*(J241&lt;=($M$3*60+$N$3)/86400)</f>
        <v>1</v>
      </c>
      <c r="N241" s="20"/>
      <c r="O241" s="20"/>
      <c r="P241" s="12" t="s">
        <v>461</v>
      </c>
      <c r="Q241" s="19"/>
    </row>
    <row r="242" customFormat="false" ht="15" hidden="false" customHeight="false" outlineLevel="0" collapsed="false">
      <c r="A242" s="10" t="n">
        <v>236</v>
      </c>
      <c r="B242" s="11" t="s">
        <v>462</v>
      </c>
      <c r="C242" s="12" t="s">
        <v>463</v>
      </c>
      <c r="D242" s="13" t="n">
        <v>0.0103766203703704</v>
      </c>
      <c r="E242" s="14" t="n">
        <v>237</v>
      </c>
      <c r="F242" s="15" t="n">
        <f aca="false">IF(D242="","",ROUND((D242-MIN($D$7:$D$9999))*86400,2))</f>
        <v>106.8</v>
      </c>
      <c r="G242" s="10" t="str">
        <f aca="false">IF(D242="","",IF(D242&lt;=($E$3*60+$F$3)/86400,"○",""))</f>
        <v/>
      </c>
      <c r="H242" s="16"/>
      <c r="I242" s="17"/>
      <c r="J242" s="16" t="n">
        <v>0.00276319444444444</v>
      </c>
      <c r="K242" s="17" t="n">
        <v>143</v>
      </c>
      <c r="L242" s="17" t="n">
        <f aca="false">COUNT(E242,I242,K242)</f>
        <v>2</v>
      </c>
      <c r="M242" s="18" t="n">
        <f aca="false">(D242&lt;&gt;"")*(D242&lt;=($E$3*60+$F$3)/86400)+(H242&lt;&gt;"")*(H242&lt;=($I$3*60+$J$3)/86400)+(J242&lt;&gt;"")*(J242&lt;=($M$3*60+$N$3)/86400)</f>
        <v>0</v>
      </c>
      <c r="N242" s="20"/>
      <c r="O242" s="20" t="s">
        <v>464</v>
      </c>
      <c r="P242" s="20"/>
      <c r="Q242" s="19"/>
    </row>
    <row r="243" customFormat="false" ht="15" hidden="false" customHeight="false" outlineLevel="0" collapsed="false">
      <c r="A243" s="10" t="n">
        <v>237</v>
      </c>
      <c r="B243" s="11" t="s">
        <v>465</v>
      </c>
      <c r="C243" s="12" t="s">
        <v>127</v>
      </c>
      <c r="D243" s="13" t="n">
        <v>0.0103774305555556</v>
      </c>
      <c r="E243" s="14" t="n">
        <v>238</v>
      </c>
      <c r="F243" s="15" t="n">
        <f aca="false">IF(D243="","",ROUND((D243-MIN($D$7:$D$9999))*86400,2))</f>
        <v>106.87</v>
      </c>
      <c r="G243" s="10" t="str">
        <f aca="false">IF(D243="","",IF(D243&lt;=($E$3*60+$F$3)/86400,"○",""))</f>
        <v/>
      </c>
      <c r="H243" s="16" t="n">
        <v>0.006659375</v>
      </c>
      <c r="I243" s="17" t="n">
        <v>88</v>
      </c>
      <c r="J243" s="16" t="n">
        <v>0.00296747685185185</v>
      </c>
      <c r="K243" s="17" t="n">
        <v>1300</v>
      </c>
      <c r="L243" s="17" t="n">
        <f aca="false">COUNT(E243,I243,K243)</f>
        <v>3</v>
      </c>
      <c r="M243" s="18" t="n">
        <f aca="false">(D243&lt;&gt;"")*(D243&lt;=($E$3*60+$F$3)/86400)+(H243&lt;&gt;"")*(H243&lt;=($I$3*60+$J$3)/86400)+(J243&lt;&gt;"")*(J243&lt;=($M$3*60+$N$3)/86400)</f>
        <v>0</v>
      </c>
      <c r="N243" s="20" t="s">
        <v>466</v>
      </c>
      <c r="O243" s="20"/>
      <c r="P243" s="20"/>
      <c r="Q243" s="19"/>
    </row>
    <row r="244" customFormat="false" ht="15" hidden="false" customHeight="false" outlineLevel="0" collapsed="false">
      <c r="A244" s="10" t="n">
        <v>238</v>
      </c>
      <c r="B244" s="11" t="s">
        <v>467</v>
      </c>
      <c r="C244" s="12" t="s">
        <v>150</v>
      </c>
      <c r="D244" s="13" t="n">
        <v>0.0103777777777778</v>
      </c>
      <c r="E244" s="14" t="n">
        <v>239</v>
      </c>
      <c r="F244" s="15" t="n">
        <f aca="false">IF(D244="","",ROUND((D244-MIN($D$7:$D$9999))*86400,2))</f>
        <v>106.9</v>
      </c>
      <c r="G244" s="10" t="str">
        <f aca="false">IF(D244="","",IF(D244&lt;=($E$3*60+$F$3)/86400,"○",""))</f>
        <v/>
      </c>
      <c r="H244" s="16"/>
      <c r="I244" s="17"/>
      <c r="J244" s="16" t="n">
        <v>0.00282164351851852</v>
      </c>
      <c r="K244" s="17" t="n">
        <v>373</v>
      </c>
      <c r="L244" s="17" t="n">
        <f aca="false">COUNT(E244,I244,K244)</f>
        <v>2</v>
      </c>
      <c r="M244" s="18" t="n">
        <f aca="false">(D244&lt;&gt;"")*(D244&lt;=($E$3*60+$F$3)/86400)+(H244&lt;&gt;"")*(H244&lt;=($I$3*60+$J$3)/86400)+(J244&lt;&gt;"")*(J244&lt;=($M$3*60+$N$3)/86400)</f>
        <v>0</v>
      </c>
      <c r="N244" s="20"/>
      <c r="O244" s="20"/>
      <c r="P244" s="20"/>
      <c r="Q244" s="19"/>
    </row>
    <row r="245" customFormat="false" ht="15" hidden="false" customHeight="false" outlineLevel="0" collapsed="false">
      <c r="A245" s="10" t="n">
        <v>239</v>
      </c>
      <c r="B245" s="11" t="s">
        <v>468</v>
      </c>
      <c r="C245" s="12" t="s">
        <v>469</v>
      </c>
      <c r="D245" s="13" t="n">
        <v>0.0103777777777778</v>
      </c>
      <c r="E245" s="14" t="n">
        <v>240</v>
      </c>
      <c r="F245" s="15" t="n">
        <f aca="false">IF(D245="","",ROUND((D245-MIN($D$7:$D$9999))*86400,2))</f>
        <v>106.9</v>
      </c>
      <c r="G245" s="10" t="str">
        <f aca="false">IF(D245="","",IF(D245&lt;=($E$3*60+$F$3)/86400,"○",""))</f>
        <v/>
      </c>
      <c r="H245" s="16"/>
      <c r="I245" s="17"/>
      <c r="J245" s="16" t="n">
        <v>0.0028369212962963</v>
      </c>
      <c r="K245" s="17" t="n">
        <v>479</v>
      </c>
      <c r="L245" s="17" t="n">
        <f aca="false">COUNT(E245,I245,K245)</f>
        <v>2</v>
      </c>
      <c r="M245" s="18" t="n">
        <f aca="false">(D245&lt;&gt;"")*(D245&lt;=($E$3*60+$F$3)/86400)+(H245&lt;&gt;"")*(H245&lt;=($I$3*60+$J$3)/86400)+(J245&lt;&gt;"")*(J245&lt;=($M$3*60+$N$3)/86400)</f>
        <v>0</v>
      </c>
      <c r="N245" s="20"/>
      <c r="O245" s="20"/>
      <c r="P245" s="20"/>
      <c r="Q245" s="19"/>
    </row>
    <row r="246" customFormat="false" ht="15" hidden="false" customHeight="false" outlineLevel="0" collapsed="false">
      <c r="A246" s="10" t="n">
        <v>240</v>
      </c>
      <c r="B246" s="11" t="s">
        <v>470</v>
      </c>
      <c r="C246" s="12" t="s">
        <v>143</v>
      </c>
      <c r="D246" s="13" t="n">
        <v>0.010378125</v>
      </c>
      <c r="E246" s="14" t="n">
        <v>241</v>
      </c>
      <c r="F246" s="15" t="n">
        <f aca="false">IF(D246="","",ROUND((D246-MIN($D$7:$D$9999))*86400,2))</f>
        <v>106.93</v>
      </c>
      <c r="G246" s="10" t="str">
        <f aca="false">IF(D246="","",IF(D246&lt;=($E$3*60+$F$3)/86400,"○",""))</f>
        <v/>
      </c>
      <c r="H246" s="16"/>
      <c r="I246" s="17"/>
      <c r="J246" s="16"/>
      <c r="K246" s="17"/>
      <c r="L246" s="17" t="n">
        <f aca="false">COUNT(E246,I246,K246)</f>
        <v>1</v>
      </c>
      <c r="M246" s="18" t="n">
        <f aca="false">(D246&lt;&gt;"")*(D246&lt;=($E$3*60+$F$3)/86400)+(H246&lt;&gt;"")*(H246&lt;=($I$3*60+$J$3)/86400)+(J246&lt;&gt;"")*(J246&lt;=($M$3*60+$N$3)/86400)</f>
        <v>0</v>
      </c>
      <c r="N246" s="20"/>
      <c r="O246" s="20"/>
      <c r="P246" s="20"/>
      <c r="Q246" s="19"/>
    </row>
    <row r="247" customFormat="false" ht="15" hidden="false" customHeight="false" outlineLevel="0" collapsed="false">
      <c r="A247" s="10" t="n">
        <v>241</v>
      </c>
      <c r="B247" s="11" t="s">
        <v>471</v>
      </c>
      <c r="C247" s="12" t="s">
        <v>248</v>
      </c>
      <c r="D247" s="13" t="n">
        <v>0.0103782407407407</v>
      </c>
      <c r="E247" s="14" t="n">
        <v>242</v>
      </c>
      <c r="F247" s="15" t="n">
        <f aca="false">IF(D247="","",ROUND((D247-MIN($D$7:$D$9999))*86400,2))</f>
        <v>106.94</v>
      </c>
      <c r="G247" s="10" t="str">
        <f aca="false">IF(D247="","",IF(D247&lt;=($E$3*60+$F$3)/86400,"○",""))</f>
        <v/>
      </c>
      <c r="H247" s="16"/>
      <c r="I247" s="17"/>
      <c r="J247" s="16" t="n">
        <v>0.00277592592592593</v>
      </c>
      <c r="K247" s="17" t="n">
        <v>181</v>
      </c>
      <c r="L247" s="17" t="n">
        <f aca="false">COUNT(E247,I247,K247)</f>
        <v>2</v>
      </c>
      <c r="M247" s="18" t="n">
        <f aca="false">(D247&lt;&gt;"")*(D247&lt;=($E$3*60+$F$3)/86400)+(H247&lt;&gt;"")*(H247&lt;=($I$3*60+$J$3)/86400)+(J247&lt;&gt;"")*(J247&lt;=($M$3*60+$N$3)/86400)</f>
        <v>0</v>
      </c>
      <c r="N247" s="20"/>
      <c r="O247" s="20"/>
      <c r="P247" s="20"/>
      <c r="Q247" s="19"/>
    </row>
    <row r="248" customFormat="false" ht="15" hidden="false" customHeight="false" outlineLevel="0" collapsed="false">
      <c r="A248" s="10" t="n">
        <v>242</v>
      </c>
      <c r="B248" s="11" t="s">
        <v>472</v>
      </c>
      <c r="C248" s="12" t="s">
        <v>152</v>
      </c>
      <c r="D248" s="13" t="n">
        <v>0.0103790509259259</v>
      </c>
      <c r="E248" s="14" t="n">
        <v>243</v>
      </c>
      <c r="F248" s="15" t="n">
        <f aca="false">IF(D248="","",ROUND((D248-MIN($D$7:$D$9999))*86400,2))</f>
        <v>107.01</v>
      </c>
      <c r="G248" s="10" t="str">
        <f aca="false">IF(D248="","",IF(D248&lt;=($E$3*60+$F$3)/86400,"○",""))</f>
        <v/>
      </c>
      <c r="H248" s="16"/>
      <c r="I248" s="17"/>
      <c r="J248" s="16"/>
      <c r="K248" s="17"/>
      <c r="L248" s="17" t="n">
        <f aca="false">COUNT(E248,I248,K248)</f>
        <v>1</v>
      </c>
      <c r="M248" s="18" t="n">
        <f aca="false">(D248&lt;&gt;"")*(D248&lt;=($E$3*60+$F$3)/86400)+(H248&lt;&gt;"")*(H248&lt;=($I$3*60+$J$3)/86400)+(J248&lt;&gt;"")*(J248&lt;=($M$3*60+$N$3)/86400)</f>
        <v>0</v>
      </c>
      <c r="N248" s="20"/>
      <c r="O248" s="20"/>
      <c r="P248" s="20"/>
      <c r="Q248" s="19"/>
    </row>
    <row r="249" customFormat="false" ht="15" hidden="false" customHeight="false" outlineLevel="0" collapsed="false">
      <c r="A249" s="10" t="n">
        <v>243</v>
      </c>
      <c r="B249" s="11" t="s">
        <v>473</v>
      </c>
      <c r="C249" s="12" t="s">
        <v>27</v>
      </c>
      <c r="D249" s="13" t="n">
        <v>0.0103798611111111</v>
      </c>
      <c r="E249" s="14" t="n">
        <v>244</v>
      </c>
      <c r="F249" s="15" t="n">
        <f aca="false">IF(D249="","",ROUND((D249-MIN($D$7:$D$9999))*86400,2))</f>
        <v>107.08</v>
      </c>
      <c r="G249" s="10" t="str">
        <f aca="false">IF(D249="","",IF(D249&lt;=($E$3*60+$F$3)/86400,"○",""))</f>
        <v/>
      </c>
      <c r="H249" s="16"/>
      <c r="I249" s="17"/>
      <c r="J249" s="16"/>
      <c r="K249" s="17"/>
      <c r="L249" s="17" t="n">
        <f aca="false">COUNT(E249,I249,K249)</f>
        <v>1</v>
      </c>
      <c r="M249" s="18" t="n">
        <f aca="false">(D249&lt;&gt;"")*(D249&lt;=($E$3*60+$F$3)/86400)+(H249&lt;&gt;"")*(H249&lt;=($I$3*60+$J$3)/86400)+(J249&lt;&gt;"")*(J249&lt;=($M$3*60+$N$3)/86400)</f>
        <v>0</v>
      </c>
      <c r="N249" s="20"/>
      <c r="O249" s="20"/>
      <c r="P249" s="20"/>
      <c r="Q249" s="19"/>
    </row>
    <row r="250" customFormat="false" ht="15" hidden="false" customHeight="false" outlineLevel="0" collapsed="false">
      <c r="A250" s="10" t="n">
        <v>244</v>
      </c>
      <c r="B250" s="11" t="s">
        <v>474</v>
      </c>
      <c r="C250" s="12" t="s">
        <v>434</v>
      </c>
      <c r="D250" s="13" t="n">
        <v>0.0103844907407407</v>
      </c>
      <c r="E250" s="14" t="n">
        <v>245</v>
      </c>
      <c r="F250" s="15" t="n">
        <f aca="false">IF(D250="","",ROUND((D250-MIN($D$7:$D$9999))*86400,2))</f>
        <v>107.48</v>
      </c>
      <c r="G250" s="10" t="str">
        <f aca="false">IF(D250="","",IF(D250&lt;=($E$3*60+$F$3)/86400,"○",""))</f>
        <v/>
      </c>
      <c r="H250" s="16" t="n">
        <v>0.0072037037037037</v>
      </c>
      <c r="I250" s="17" t="n">
        <v>541</v>
      </c>
      <c r="J250" s="16" t="n">
        <v>0.00296643518518519</v>
      </c>
      <c r="K250" s="17" t="n">
        <v>1297</v>
      </c>
      <c r="L250" s="17" t="n">
        <f aca="false">COUNT(E250,I250,K250)</f>
        <v>3</v>
      </c>
      <c r="M250" s="18" t="n">
        <f aca="false">(D250&lt;&gt;"")*(D250&lt;=($E$3*60+$F$3)/86400)+(H250&lt;&gt;"")*(H250&lt;=($I$3*60+$J$3)/86400)+(J250&lt;&gt;"")*(J250&lt;=($M$3*60+$N$3)/86400)</f>
        <v>0</v>
      </c>
      <c r="N250" s="20" t="s">
        <v>475</v>
      </c>
      <c r="O250" s="20"/>
      <c r="P250" s="20"/>
      <c r="Q250" s="19"/>
    </row>
    <row r="251" customFormat="false" ht="15" hidden="false" customHeight="false" outlineLevel="0" collapsed="false">
      <c r="A251" s="10" t="n">
        <v>245</v>
      </c>
      <c r="B251" s="11" t="s">
        <v>476</v>
      </c>
      <c r="C251" s="12" t="s">
        <v>27</v>
      </c>
      <c r="D251" s="13" t="n">
        <v>0.0103846064814815</v>
      </c>
      <c r="E251" s="14" t="n">
        <v>246</v>
      </c>
      <c r="F251" s="15" t="n">
        <f aca="false">IF(D251="","",ROUND((D251-MIN($D$7:$D$9999))*86400,2))</f>
        <v>107.49</v>
      </c>
      <c r="G251" s="10" t="str">
        <f aca="false">IF(D251="","",IF(D251&lt;=($E$3*60+$F$3)/86400,"○",""))</f>
        <v/>
      </c>
      <c r="H251" s="16"/>
      <c r="I251" s="17"/>
      <c r="J251" s="16"/>
      <c r="K251" s="17"/>
      <c r="L251" s="17" t="n">
        <f aca="false">COUNT(E251,I251,K251)</f>
        <v>1</v>
      </c>
      <c r="M251" s="18" t="n">
        <f aca="false">(D251&lt;&gt;"")*(D251&lt;=($E$3*60+$F$3)/86400)+(H251&lt;&gt;"")*(H251&lt;=($I$3*60+$J$3)/86400)+(J251&lt;&gt;"")*(J251&lt;=($M$3*60+$N$3)/86400)</f>
        <v>0</v>
      </c>
      <c r="N251" s="20"/>
      <c r="O251" s="20"/>
      <c r="P251" s="20"/>
      <c r="Q251" s="19"/>
    </row>
    <row r="252" customFormat="false" ht="15" hidden="false" customHeight="false" outlineLevel="0" collapsed="false">
      <c r="A252" s="10" t="n">
        <v>246</v>
      </c>
      <c r="B252" s="11" t="s">
        <v>477</v>
      </c>
      <c r="C252" s="12" t="s">
        <v>478</v>
      </c>
      <c r="D252" s="13" t="n">
        <v>0.0103861111111111</v>
      </c>
      <c r="E252" s="14" t="n">
        <v>247</v>
      </c>
      <c r="F252" s="15" t="n">
        <f aca="false">IF(D252="","",ROUND((D252-MIN($D$7:$D$9999))*86400,2))</f>
        <v>107.62</v>
      </c>
      <c r="G252" s="10" t="str">
        <f aca="false">IF(D252="","",IF(D252&lt;=($E$3*60+$F$3)/86400,"○",""))</f>
        <v/>
      </c>
      <c r="H252" s="16"/>
      <c r="I252" s="17"/>
      <c r="J252" s="16" t="n">
        <v>0.00282662037037037</v>
      </c>
      <c r="K252" s="17" t="n">
        <v>403</v>
      </c>
      <c r="L252" s="17" t="n">
        <f aca="false">COUNT(E252,I252,K252)</f>
        <v>2</v>
      </c>
      <c r="M252" s="18" t="n">
        <f aca="false">(D252&lt;&gt;"")*(D252&lt;=($E$3*60+$F$3)/86400)+(H252&lt;&gt;"")*(H252&lt;=($I$3*60+$J$3)/86400)+(J252&lt;&gt;"")*(J252&lt;=($M$3*60+$N$3)/86400)</f>
        <v>0</v>
      </c>
      <c r="N252" s="20"/>
      <c r="O252" s="20"/>
      <c r="P252" s="20"/>
      <c r="Q252" s="19"/>
    </row>
    <row r="253" customFormat="false" ht="15" hidden="false" customHeight="false" outlineLevel="0" collapsed="false">
      <c r="A253" s="10" t="n">
        <v>247</v>
      </c>
      <c r="B253" s="11" t="s">
        <v>479</v>
      </c>
      <c r="C253" s="12" t="s">
        <v>161</v>
      </c>
      <c r="D253" s="13" t="n">
        <v>0.010387962962963</v>
      </c>
      <c r="E253" s="14" t="n">
        <v>248</v>
      </c>
      <c r="F253" s="15" t="n">
        <f aca="false">IF(D253="","",ROUND((D253-MIN($D$7:$D$9999))*86400,2))</f>
        <v>107.78</v>
      </c>
      <c r="G253" s="10" t="str">
        <f aca="false">IF(D253="","",IF(D253&lt;=($E$3*60+$F$3)/86400,"○",""))</f>
        <v/>
      </c>
      <c r="H253" s="16" t="n">
        <v>0.00696041666666667</v>
      </c>
      <c r="I253" s="17" t="n">
        <v>294</v>
      </c>
      <c r="J253" s="16" t="n">
        <v>0.00292326388888889</v>
      </c>
      <c r="K253" s="17" t="n">
        <v>1129</v>
      </c>
      <c r="L253" s="17" t="n">
        <f aca="false">COUNT(E253,I253,K253)</f>
        <v>3</v>
      </c>
      <c r="M253" s="18" t="n">
        <f aca="false">(D253&lt;&gt;"")*(D253&lt;=($E$3*60+$F$3)/86400)+(H253&lt;&gt;"")*(H253&lt;=($I$3*60+$J$3)/86400)+(J253&lt;&gt;"")*(J253&lt;=($M$3*60+$N$3)/86400)</f>
        <v>0</v>
      </c>
      <c r="N253" s="20" t="s">
        <v>480</v>
      </c>
      <c r="O253" s="20"/>
      <c r="P253" s="20"/>
      <c r="Q253" s="19"/>
    </row>
    <row r="254" customFormat="false" ht="15" hidden="false" customHeight="false" outlineLevel="0" collapsed="false">
      <c r="A254" s="10" t="n">
        <v>248</v>
      </c>
      <c r="B254" s="11" t="s">
        <v>481</v>
      </c>
      <c r="C254" s="12" t="s">
        <v>127</v>
      </c>
      <c r="D254" s="13" t="n">
        <v>0.0103880787037037</v>
      </c>
      <c r="E254" s="14" t="n">
        <v>249</v>
      </c>
      <c r="F254" s="15" t="n">
        <f aca="false">IF(D254="","",ROUND((D254-MIN($D$7:$D$9999))*86400,2))</f>
        <v>107.79</v>
      </c>
      <c r="G254" s="10" t="str">
        <f aca="false">IF(D254="","",IF(D254&lt;=($E$3*60+$F$3)/86400,"○",""))</f>
        <v/>
      </c>
      <c r="H254" s="16"/>
      <c r="I254" s="17"/>
      <c r="J254" s="16" t="n">
        <v>0.00288842592592593</v>
      </c>
      <c r="K254" s="17" t="n">
        <v>852</v>
      </c>
      <c r="L254" s="17" t="n">
        <f aca="false">COUNT(E254,I254,K254)</f>
        <v>2</v>
      </c>
      <c r="M254" s="18" t="n">
        <f aca="false">(D254&lt;&gt;"")*(D254&lt;=($E$3*60+$F$3)/86400)+(H254&lt;&gt;"")*(H254&lt;=($I$3*60+$J$3)/86400)+(J254&lt;&gt;"")*(J254&lt;=($M$3*60+$N$3)/86400)</f>
        <v>0</v>
      </c>
      <c r="N254" s="20" t="s">
        <v>482</v>
      </c>
      <c r="O254" s="20"/>
      <c r="P254" s="20"/>
      <c r="Q254" s="19"/>
    </row>
    <row r="255" customFormat="false" ht="15" hidden="false" customHeight="false" outlineLevel="0" collapsed="false">
      <c r="A255" s="10" t="n">
        <v>249</v>
      </c>
      <c r="B255" s="11" t="s">
        <v>483</v>
      </c>
      <c r="C255" s="12" t="s">
        <v>484</v>
      </c>
      <c r="D255" s="13" t="n">
        <v>0.0103887731481482</v>
      </c>
      <c r="E255" s="14" t="n">
        <v>250</v>
      </c>
      <c r="F255" s="15" t="n">
        <f aca="false">IF(D255="","",ROUND((D255-MIN($D$7:$D$9999))*86400,2))</f>
        <v>107.85</v>
      </c>
      <c r="G255" s="10" t="str">
        <f aca="false">IF(D255="","",IF(D255&lt;=($E$3*60+$F$3)/86400,"○",""))</f>
        <v/>
      </c>
      <c r="H255" s="16"/>
      <c r="I255" s="17"/>
      <c r="J255" s="16" t="n">
        <v>0.00282719907407407</v>
      </c>
      <c r="K255" s="17" t="n">
        <v>406</v>
      </c>
      <c r="L255" s="17" t="n">
        <f aca="false">COUNT(E255,I255,K255)</f>
        <v>2</v>
      </c>
      <c r="M255" s="18" t="n">
        <f aca="false">(D255&lt;&gt;"")*(D255&lt;=($E$3*60+$F$3)/86400)+(H255&lt;&gt;"")*(H255&lt;=($I$3*60+$J$3)/86400)+(J255&lt;&gt;"")*(J255&lt;=($M$3*60+$N$3)/86400)</f>
        <v>0</v>
      </c>
      <c r="N255" s="20"/>
      <c r="O255" s="20"/>
      <c r="P255" s="20"/>
      <c r="Q255" s="19"/>
    </row>
    <row r="256" customFormat="false" ht="15" hidden="false" customHeight="false" outlineLevel="0" collapsed="false">
      <c r="A256" s="10" t="n">
        <v>250</v>
      </c>
      <c r="B256" s="11" t="s">
        <v>485</v>
      </c>
      <c r="C256" s="12" t="s">
        <v>486</v>
      </c>
      <c r="D256" s="13" t="n">
        <v>0.0103915509259259</v>
      </c>
      <c r="E256" s="14" t="n">
        <v>251</v>
      </c>
      <c r="F256" s="15" t="n">
        <f aca="false">IF(D256="","",ROUND((D256-MIN($D$7:$D$9999))*86400,2))</f>
        <v>108.09</v>
      </c>
      <c r="G256" s="10" t="str">
        <f aca="false">IF(D256="","",IF(D256&lt;=($E$3*60+$F$3)/86400,"○",""))</f>
        <v/>
      </c>
      <c r="H256" s="16"/>
      <c r="I256" s="17"/>
      <c r="J256" s="16" t="n">
        <v>0.00280694444444444</v>
      </c>
      <c r="K256" s="17" t="n">
        <v>314</v>
      </c>
      <c r="L256" s="17" t="n">
        <f aca="false">COUNT(E256,I256,K256)</f>
        <v>2</v>
      </c>
      <c r="M256" s="18" t="n">
        <f aca="false">(D256&lt;&gt;"")*(D256&lt;=($E$3*60+$F$3)/86400)+(H256&lt;&gt;"")*(H256&lt;=($I$3*60+$J$3)/86400)+(J256&lt;&gt;"")*(J256&lt;=($M$3*60+$N$3)/86400)</f>
        <v>0</v>
      </c>
      <c r="N256" s="20"/>
      <c r="O256" s="20"/>
      <c r="P256" s="20"/>
      <c r="Q256" s="19"/>
    </row>
    <row r="257" customFormat="false" ht="15" hidden="false" customHeight="false" outlineLevel="0" collapsed="false">
      <c r="A257" s="10" t="n">
        <v>251</v>
      </c>
      <c r="B257" s="11" t="s">
        <v>487</v>
      </c>
      <c r="C257" s="12" t="s">
        <v>488</v>
      </c>
      <c r="D257" s="13" t="n">
        <v>0.0103917824074074</v>
      </c>
      <c r="E257" s="14" t="n">
        <v>252</v>
      </c>
      <c r="F257" s="15" t="n">
        <f aca="false">IF(D257="","",ROUND((D257-MIN($D$7:$D$9999))*86400,2))</f>
        <v>108.11</v>
      </c>
      <c r="G257" s="10" t="str">
        <f aca="false">IF(D257="","",IF(D257&lt;=($E$3*60+$F$3)/86400,"○",""))</f>
        <v/>
      </c>
      <c r="H257" s="16" t="n">
        <v>0.00646053240740741</v>
      </c>
      <c r="I257" s="17" t="n">
        <v>25</v>
      </c>
      <c r="J257" s="16" t="n">
        <v>0.00286458333333333</v>
      </c>
      <c r="K257" s="17" t="n">
        <v>663</v>
      </c>
      <c r="L257" s="17" t="n">
        <f aca="false">COUNT(E257,I257,K257)</f>
        <v>3</v>
      </c>
      <c r="M257" s="18" t="n">
        <f aca="false">(D257&lt;&gt;"")*(D257&lt;=($E$3*60+$F$3)/86400)+(H257&lt;&gt;"")*(H257&lt;=($I$3*60+$J$3)/86400)+(J257&lt;&gt;"")*(J257&lt;=($M$3*60+$N$3)/86400)</f>
        <v>1</v>
      </c>
      <c r="N257" s="20"/>
      <c r="O257" s="20"/>
      <c r="P257" s="20"/>
      <c r="Q257" s="19"/>
    </row>
    <row r="258" customFormat="false" ht="15" hidden="false" customHeight="false" outlineLevel="0" collapsed="false">
      <c r="A258" s="10" t="n">
        <v>252</v>
      </c>
      <c r="B258" s="11" t="s">
        <v>489</v>
      </c>
      <c r="C258" s="12" t="s">
        <v>73</v>
      </c>
      <c r="D258" s="13" t="n">
        <v>0.0103930555555556</v>
      </c>
      <c r="E258" s="14" t="n">
        <v>253</v>
      </c>
      <c r="F258" s="15" t="n">
        <f aca="false">IF(D258="","",ROUND((D258-MIN($D$7:$D$9999))*86400,2))</f>
        <v>108.22</v>
      </c>
      <c r="G258" s="10" t="str">
        <f aca="false">IF(D258="","",IF(D258&lt;=($E$3*60+$F$3)/86400,"○",""))</f>
        <v/>
      </c>
      <c r="H258" s="16"/>
      <c r="I258" s="17"/>
      <c r="J258" s="16"/>
      <c r="K258" s="17"/>
      <c r="L258" s="17" t="n">
        <f aca="false">COUNT(E258,I258,K258)</f>
        <v>1</v>
      </c>
      <c r="M258" s="18" t="n">
        <f aca="false">(D258&lt;&gt;"")*(D258&lt;=($E$3*60+$F$3)/86400)+(H258&lt;&gt;"")*(H258&lt;=($I$3*60+$J$3)/86400)+(J258&lt;&gt;"")*(J258&lt;=($M$3*60+$N$3)/86400)</f>
        <v>0</v>
      </c>
      <c r="N258" s="20"/>
      <c r="O258" s="20"/>
      <c r="P258" s="20"/>
      <c r="Q258" s="19"/>
    </row>
    <row r="259" customFormat="false" ht="15" hidden="false" customHeight="false" outlineLevel="0" collapsed="false">
      <c r="A259" s="10" t="n">
        <v>253</v>
      </c>
      <c r="B259" s="11" t="s">
        <v>490</v>
      </c>
      <c r="C259" s="12" t="s">
        <v>491</v>
      </c>
      <c r="D259" s="13" t="n">
        <v>0.0103950231481482</v>
      </c>
      <c r="E259" s="14" t="n">
        <v>254</v>
      </c>
      <c r="F259" s="15" t="n">
        <f aca="false">IF(D259="","",ROUND((D259-MIN($D$7:$D$9999))*86400,2))</f>
        <v>108.39</v>
      </c>
      <c r="G259" s="10" t="str">
        <f aca="false">IF(D259="","",IF(D259&lt;=($E$3*60+$F$3)/86400,"○",""))</f>
        <v/>
      </c>
      <c r="H259" s="16"/>
      <c r="I259" s="17"/>
      <c r="J259" s="16"/>
      <c r="K259" s="17"/>
      <c r="L259" s="17" t="n">
        <f aca="false">COUNT(E259,I259,K259)</f>
        <v>1</v>
      </c>
      <c r="M259" s="18" t="n">
        <f aca="false">(D259&lt;&gt;"")*(D259&lt;=($E$3*60+$F$3)/86400)+(H259&lt;&gt;"")*(H259&lt;=($I$3*60+$J$3)/86400)+(J259&lt;&gt;"")*(J259&lt;=($M$3*60+$N$3)/86400)</f>
        <v>0</v>
      </c>
      <c r="N259" s="20"/>
      <c r="O259" s="20"/>
      <c r="P259" s="20"/>
      <c r="Q259" s="19"/>
    </row>
    <row r="260" customFormat="false" ht="15" hidden="false" customHeight="false" outlineLevel="0" collapsed="false">
      <c r="A260" s="10" t="n">
        <v>254</v>
      </c>
      <c r="B260" s="11" t="s">
        <v>492</v>
      </c>
      <c r="C260" s="12" t="s">
        <v>77</v>
      </c>
      <c r="D260" s="13" t="n">
        <v>0.0103954861111111</v>
      </c>
      <c r="E260" s="14" t="n">
        <v>255</v>
      </c>
      <c r="F260" s="15" t="n">
        <f aca="false">IF(D260="","",ROUND((D260-MIN($D$7:$D$9999))*86400,2))</f>
        <v>108.43</v>
      </c>
      <c r="G260" s="10" t="str">
        <f aca="false">IF(D260="","",IF(D260&lt;=($E$3*60+$F$3)/86400,"○",""))</f>
        <v/>
      </c>
      <c r="H260" s="16"/>
      <c r="I260" s="17"/>
      <c r="J260" s="16" t="n">
        <v>0.00294351851851852</v>
      </c>
      <c r="K260" s="17" t="n">
        <v>1214</v>
      </c>
      <c r="L260" s="17" t="n">
        <f aca="false">COUNT(E260,I260,K260)</f>
        <v>2</v>
      </c>
      <c r="M260" s="18" t="n">
        <f aca="false">(D260&lt;&gt;"")*(D260&lt;=($E$3*60+$F$3)/86400)+(H260&lt;&gt;"")*(H260&lt;=($I$3*60+$J$3)/86400)+(J260&lt;&gt;"")*(J260&lt;=($M$3*60+$N$3)/86400)</f>
        <v>0</v>
      </c>
      <c r="N260" s="20"/>
      <c r="O260" s="20"/>
      <c r="P260" s="20"/>
      <c r="Q260" s="19"/>
    </row>
    <row r="261" customFormat="false" ht="15" hidden="false" customHeight="false" outlineLevel="0" collapsed="false">
      <c r="A261" s="10" t="n">
        <v>255</v>
      </c>
      <c r="B261" s="11" t="s">
        <v>493</v>
      </c>
      <c r="C261" s="12" t="s">
        <v>214</v>
      </c>
      <c r="D261" s="13" t="n">
        <v>0.010396412037037</v>
      </c>
      <c r="E261" s="14" t="n">
        <v>256</v>
      </c>
      <c r="F261" s="15" t="n">
        <f aca="false">IF(D261="","",ROUND((D261-MIN($D$7:$D$9999))*86400,2))</f>
        <v>108.51</v>
      </c>
      <c r="G261" s="10" t="str">
        <f aca="false">IF(D261="","",IF(D261&lt;=($E$3*60+$F$3)/86400,"○",""))</f>
        <v/>
      </c>
      <c r="H261" s="16" t="n">
        <v>0.00652337962962963</v>
      </c>
      <c r="I261" s="17" t="n">
        <v>39</v>
      </c>
      <c r="J261" s="16" t="n">
        <v>0.00278912037037037</v>
      </c>
      <c r="K261" s="17" t="n">
        <v>237</v>
      </c>
      <c r="L261" s="17" t="n">
        <f aca="false">COUNT(E261,I261,K261)</f>
        <v>3</v>
      </c>
      <c r="M261" s="18" t="n">
        <f aca="false">(D261&lt;&gt;"")*(D261&lt;=($E$3*60+$F$3)/86400)+(H261&lt;&gt;"")*(H261&lt;=($I$3*60+$J$3)/86400)+(J261&lt;&gt;"")*(J261&lt;=($M$3*60+$N$3)/86400)</f>
        <v>0</v>
      </c>
      <c r="N261" s="20"/>
      <c r="O261" s="20"/>
      <c r="P261" s="20"/>
      <c r="Q261" s="19"/>
    </row>
    <row r="262" customFormat="false" ht="15" hidden="false" customHeight="false" outlineLevel="0" collapsed="false">
      <c r="A262" s="10" t="n">
        <v>256</v>
      </c>
      <c r="B262" s="11" t="s">
        <v>494</v>
      </c>
      <c r="C262" s="12" t="s">
        <v>61</v>
      </c>
      <c r="D262" s="13" t="n">
        <v>0.0103967592592593</v>
      </c>
      <c r="E262" s="14" t="n">
        <v>257</v>
      </c>
      <c r="F262" s="15" t="n">
        <f aca="false">IF(D262="","",ROUND((D262-MIN($D$7:$D$9999))*86400,2))</f>
        <v>108.54</v>
      </c>
      <c r="G262" s="10" t="str">
        <f aca="false">IF(D262="","",IF(D262&lt;=($E$3*60+$F$3)/86400,"○",""))</f>
        <v/>
      </c>
      <c r="H262" s="16"/>
      <c r="I262" s="17"/>
      <c r="J262" s="16" t="n">
        <v>0.00284085648148148</v>
      </c>
      <c r="K262" s="17" t="n">
        <v>503</v>
      </c>
      <c r="L262" s="17" t="n">
        <f aca="false">COUNT(E262,I262,K262)</f>
        <v>2</v>
      </c>
      <c r="M262" s="18" t="n">
        <f aca="false">(D262&lt;&gt;"")*(D262&lt;=($E$3*60+$F$3)/86400)+(H262&lt;&gt;"")*(H262&lt;=($I$3*60+$J$3)/86400)+(J262&lt;&gt;"")*(J262&lt;=($M$3*60+$N$3)/86400)</f>
        <v>0</v>
      </c>
      <c r="N262" s="20"/>
      <c r="O262" s="20"/>
      <c r="P262" s="20"/>
      <c r="Q262" s="19"/>
    </row>
    <row r="263" customFormat="false" ht="15" hidden="false" customHeight="false" outlineLevel="0" collapsed="false">
      <c r="A263" s="10" t="n">
        <v>257</v>
      </c>
      <c r="B263" s="11" t="s">
        <v>495</v>
      </c>
      <c r="C263" s="12" t="s">
        <v>63</v>
      </c>
      <c r="D263" s="13" t="n">
        <v>0.010396875</v>
      </c>
      <c r="E263" s="14" t="n">
        <v>258</v>
      </c>
      <c r="F263" s="15" t="n">
        <f aca="false">IF(D263="","",ROUND((D263-MIN($D$7:$D$9999))*86400,2))</f>
        <v>108.55</v>
      </c>
      <c r="G263" s="10" t="str">
        <f aca="false">IF(D263="","",IF(D263&lt;=($E$3*60+$F$3)/86400,"○",""))</f>
        <v/>
      </c>
      <c r="H263" s="16"/>
      <c r="I263" s="17"/>
      <c r="J263" s="16" t="n">
        <v>0.00292951388888889</v>
      </c>
      <c r="K263" s="17" t="n">
        <v>1171</v>
      </c>
      <c r="L263" s="17" t="n">
        <f aca="false">COUNT(E263,I263,K263)</f>
        <v>2</v>
      </c>
      <c r="M263" s="18" t="n">
        <f aca="false">(D263&lt;&gt;"")*(D263&lt;=($E$3*60+$F$3)/86400)+(H263&lt;&gt;"")*(H263&lt;=($I$3*60+$J$3)/86400)+(J263&lt;&gt;"")*(J263&lt;=($M$3*60+$N$3)/86400)</f>
        <v>0</v>
      </c>
      <c r="N263" s="20"/>
      <c r="O263" s="20"/>
      <c r="P263" s="20"/>
      <c r="Q263" s="19"/>
    </row>
    <row r="264" customFormat="false" ht="15" hidden="false" customHeight="false" outlineLevel="0" collapsed="false">
      <c r="A264" s="10" t="n">
        <v>258</v>
      </c>
      <c r="B264" s="11" t="s">
        <v>496</v>
      </c>
      <c r="C264" s="12" t="s">
        <v>370</v>
      </c>
      <c r="D264" s="13" t="n">
        <v>0.0103971064814815</v>
      </c>
      <c r="E264" s="14" t="n">
        <v>259</v>
      </c>
      <c r="F264" s="15" t="n">
        <f aca="false">IF(D264="","",ROUND((D264-MIN($D$7:$D$9999))*86400,2))</f>
        <v>108.57</v>
      </c>
      <c r="G264" s="10" t="str">
        <f aca="false">IF(D264="","",IF(D264&lt;=($E$3*60+$F$3)/86400,"○",""))</f>
        <v/>
      </c>
      <c r="H264" s="16"/>
      <c r="I264" s="17"/>
      <c r="J264" s="16" t="n">
        <v>0.00274768518518519</v>
      </c>
      <c r="K264" s="17" t="n">
        <v>95</v>
      </c>
      <c r="L264" s="17" t="n">
        <f aca="false">COUNT(E264,I264,K264)</f>
        <v>2</v>
      </c>
      <c r="M264" s="18" t="n">
        <f aca="false">(D264&lt;&gt;"")*(D264&lt;=($E$3*60+$F$3)/86400)+(H264&lt;&gt;"")*(H264&lt;=($I$3*60+$J$3)/86400)+(J264&lt;&gt;"")*(J264&lt;=($M$3*60+$N$3)/86400)</f>
        <v>0</v>
      </c>
      <c r="N264" s="20"/>
      <c r="O264" s="20"/>
      <c r="P264" s="20"/>
      <c r="Q264" s="19"/>
    </row>
    <row r="265" customFormat="false" ht="15" hidden="false" customHeight="false" outlineLevel="0" collapsed="false">
      <c r="A265" s="10" t="n">
        <v>259</v>
      </c>
      <c r="B265" s="11" t="s">
        <v>497</v>
      </c>
      <c r="C265" s="12" t="s">
        <v>245</v>
      </c>
      <c r="D265" s="13" t="n">
        <v>0.0103972222222222</v>
      </c>
      <c r="E265" s="14" t="n">
        <v>260</v>
      </c>
      <c r="F265" s="15" t="n">
        <f aca="false">IF(D265="","",ROUND((D265-MIN($D$7:$D$9999))*86400,2))</f>
        <v>108.58</v>
      </c>
      <c r="G265" s="10" t="str">
        <f aca="false">IF(D265="","",IF(D265&lt;=($E$3*60+$F$3)/86400,"○",""))</f>
        <v/>
      </c>
      <c r="H265" s="16"/>
      <c r="I265" s="17"/>
      <c r="J265" s="16" t="n">
        <v>0.0028130787037037</v>
      </c>
      <c r="K265" s="17" t="n">
        <v>334</v>
      </c>
      <c r="L265" s="17" t="n">
        <f aca="false">COUNT(E265,I265,K265)</f>
        <v>2</v>
      </c>
      <c r="M265" s="18" t="n">
        <f aca="false">(D265&lt;&gt;"")*(D265&lt;=($E$3*60+$F$3)/86400)+(H265&lt;&gt;"")*(H265&lt;=($I$3*60+$J$3)/86400)+(J265&lt;&gt;"")*(J265&lt;=($M$3*60+$N$3)/86400)</f>
        <v>0</v>
      </c>
      <c r="N265" s="20" t="s">
        <v>498</v>
      </c>
      <c r="O265" s="20"/>
      <c r="P265" s="20"/>
      <c r="Q265" s="19"/>
    </row>
    <row r="266" customFormat="false" ht="15" hidden="false" customHeight="false" outlineLevel="0" collapsed="false">
      <c r="A266" s="10" t="n">
        <v>260</v>
      </c>
      <c r="B266" s="11" t="s">
        <v>499</v>
      </c>
      <c r="C266" s="12" t="s">
        <v>240</v>
      </c>
      <c r="D266" s="13" t="n">
        <v>0.0103976851851852</v>
      </c>
      <c r="E266" s="14" t="n">
        <v>261</v>
      </c>
      <c r="F266" s="15" t="n">
        <f aca="false">IF(D266="","",ROUND((D266-MIN($D$7:$D$9999))*86400,2))</f>
        <v>108.62</v>
      </c>
      <c r="G266" s="10" t="str">
        <f aca="false">IF(D266="","",IF(D266&lt;=($E$3*60+$F$3)/86400,"○",""))</f>
        <v/>
      </c>
      <c r="H266" s="16"/>
      <c r="I266" s="17"/>
      <c r="J266" s="16" t="n">
        <v>0.00282592592592593</v>
      </c>
      <c r="K266" s="17" t="n">
        <v>398</v>
      </c>
      <c r="L266" s="17" t="n">
        <f aca="false">COUNT(E266,I266,K266)</f>
        <v>2</v>
      </c>
      <c r="M266" s="18" t="n">
        <f aca="false">(D266&lt;&gt;"")*(D266&lt;=($E$3*60+$F$3)/86400)+(H266&lt;&gt;"")*(H266&lt;=($I$3*60+$J$3)/86400)+(J266&lt;&gt;"")*(J266&lt;=($M$3*60+$N$3)/86400)</f>
        <v>0</v>
      </c>
      <c r="N266" s="20" t="s">
        <v>500</v>
      </c>
      <c r="O266" s="20"/>
      <c r="P266" s="20"/>
      <c r="Q266" s="19"/>
    </row>
    <row r="267" customFormat="false" ht="15" hidden="false" customHeight="false" outlineLevel="0" collapsed="false">
      <c r="A267" s="10" t="n">
        <v>261</v>
      </c>
      <c r="B267" s="11" t="s">
        <v>501</v>
      </c>
      <c r="C267" s="12" t="s">
        <v>143</v>
      </c>
      <c r="D267" s="13" t="n">
        <v>0.0103980324074074</v>
      </c>
      <c r="E267" s="14" t="n">
        <v>262</v>
      </c>
      <c r="F267" s="15" t="n">
        <f aca="false">IF(D267="","",ROUND((D267-MIN($D$7:$D$9999))*86400,2))</f>
        <v>108.65</v>
      </c>
      <c r="G267" s="10" t="str">
        <f aca="false">IF(D267="","",IF(D267&lt;=($E$3*60+$F$3)/86400,"○",""))</f>
        <v/>
      </c>
      <c r="H267" s="16"/>
      <c r="I267" s="17"/>
      <c r="J267" s="16" t="n">
        <v>0.00291655092592593</v>
      </c>
      <c r="K267" s="17" t="n">
        <v>1063</v>
      </c>
      <c r="L267" s="17" t="n">
        <f aca="false">COUNT(E267,I267,K267)</f>
        <v>2</v>
      </c>
      <c r="M267" s="18" t="n">
        <f aca="false">(D267&lt;&gt;"")*(D267&lt;=($E$3*60+$F$3)/86400)+(H267&lt;&gt;"")*(H267&lt;=($I$3*60+$J$3)/86400)+(J267&lt;&gt;"")*(J267&lt;=($M$3*60+$N$3)/86400)</f>
        <v>0</v>
      </c>
      <c r="N267" s="20"/>
      <c r="O267" s="20"/>
      <c r="P267" s="20"/>
      <c r="Q267" s="19"/>
    </row>
    <row r="268" customFormat="false" ht="15" hidden="false" customHeight="false" outlineLevel="0" collapsed="false">
      <c r="A268" s="10" t="n">
        <v>262</v>
      </c>
      <c r="B268" s="11" t="s">
        <v>502</v>
      </c>
      <c r="C268" s="12" t="s">
        <v>503</v>
      </c>
      <c r="D268" s="13" t="n">
        <v>0.0103997685185185</v>
      </c>
      <c r="E268" s="14" t="n">
        <v>263</v>
      </c>
      <c r="F268" s="15" t="n">
        <f aca="false">IF(D268="","",ROUND((D268-MIN($D$7:$D$9999))*86400,2))</f>
        <v>108.8</v>
      </c>
      <c r="G268" s="10" t="str">
        <f aca="false">IF(D268="","",IF(D268&lt;=($E$3*60+$F$3)/86400,"○",""))</f>
        <v/>
      </c>
      <c r="H268" s="16"/>
      <c r="I268" s="17"/>
      <c r="J268" s="16"/>
      <c r="K268" s="17"/>
      <c r="L268" s="17" t="n">
        <f aca="false">COUNT(E268,I268,K268)</f>
        <v>1</v>
      </c>
      <c r="M268" s="18" t="n">
        <f aca="false">(D268&lt;&gt;"")*(D268&lt;=($E$3*60+$F$3)/86400)+(H268&lt;&gt;"")*(H268&lt;=($I$3*60+$J$3)/86400)+(J268&lt;&gt;"")*(J268&lt;=($M$3*60+$N$3)/86400)</f>
        <v>0</v>
      </c>
      <c r="N268" s="20"/>
      <c r="O268" s="20"/>
      <c r="P268" s="20"/>
      <c r="Q268" s="19"/>
    </row>
    <row r="269" customFormat="false" ht="15" hidden="false" customHeight="false" outlineLevel="0" collapsed="false">
      <c r="A269" s="10" t="n">
        <v>263</v>
      </c>
      <c r="B269" s="11" t="s">
        <v>504</v>
      </c>
      <c r="C269" s="12" t="s">
        <v>61</v>
      </c>
      <c r="D269" s="13" t="n">
        <v>0.0104</v>
      </c>
      <c r="E269" s="14" t="n">
        <v>264</v>
      </c>
      <c r="F269" s="15" t="n">
        <f aca="false">IF(D269="","",ROUND((D269-MIN($D$7:$D$9999))*86400,2))</f>
        <v>108.82</v>
      </c>
      <c r="G269" s="10" t="str">
        <f aca="false">IF(D269="","",IF(D269&lt;=($E$3*60+$F$3)/86400,"○",""))</f>
        <v/>
      </c>
      <c r="H269" s="16"/>
      <c r="I269" s="17"/>
      <c r="J269" s="16" t="n">
        <v>0.00277476851851852</v>
      </c>
      <c r="K269" s="17" t="n">
        <v>175</v>
      </c>
      <c r="L269" s="17" t="n">
        <f aca="false">COUNT(E269,I269,K269)</f>
        <v>2</v>
      </c>
      <c r="M269" s="18" t="n">
        <f aca="false">(D269&lt;&gt;"")*(D269&lt;=($E$3*60+$F$3)/86400)+(H269&lt;&gt;"")*(H269&lt;=($I$3*60+$J$3)/86400)+(J269&lt;&gt;"")*(J269&lt;=($M$3*60+$N$3)/86400)</f>
        <v>0</v>
      </c>
      <c r="N269" s="20"/>
      <c r="O269" s="20"/>
      <c r="P269" s="20"/>
      <c r="Q269" s="19"/>
    </row>
    <row r="270" customFormat="false" ht="15" hidden="false" customHeight="false" outlineLevel="0" collapsed="false">
      <c r="A270" s="10" t="n">
        <v>264</v>
      </c>
      <c r="B270" s="11" t="s">
        <v>505</v>
      </c>
      <c r="C270" s="12" t="s">
        <v>243</v>
      </c>
      <c r="D270" s="13" t="n">
        <v>0.0104001157407407</v>
      </c>
      <c r="E270" s="14" t="n">
        <v>265</v>
      </c>
      <c r="F270" s="15" t="n">
        <f aca="false">IF(D270="","",ROUND((D270-MIN($D$7:$D$9999))*86400,2))</f>
        <v>108.83</v>
      </c>
      <c r="G270" s="10" t="str">
        <f aca="false">IF(D270="","",IF(D270&lt;=($E$3*60+$F$3)/86400,"○",""))</f>
        <v/>
      </c>
      <c r="H270" s="16"/>
      <c r="I270" s="17"/>
      <c r="J270" s="16"/>
      <c r="K270" s="17"/>
      <c r="L270" s="17" t="n">
        <f aca="false">COUNT(E270,I270,K270)</f>
        <v>1</v>
      </c>
      <c r="M270" s="18" t="n">
        <f aca="false">(D270&lt;&gt;"")*(D270&lt;=($E$3*60+$F$3)/86400)+(H270&lt;&gt;"")*(H270&lt;=($I$3*60+$J$3)/86400)+(J270&lt;&gt;"")*(J270&lt;=($M$3*60+$N$3)/86400)</f>
        <v>0</v>
      </c>
      <c r="N270" s="20"/>
      <c r="O270" s="20"/>
      <c r="P270" s="20"/>
      <c r="Q270" s="19"/>
    </row>
    <row r="271" customFormat="false" ht="15" hidden="false" customHeight="false" outlineLevel="0" collapsed="false">
      <c r="A271" s="10" t="n">
        <v>265</v>
      </c>
      <c r="B271" s="11" t="s">
        <v>506</v>
      </c>
      <c r="C271" s="12" t="s">
        <v>507</v>
      </c>
      <c r="D271" s="13" t="n">
        <v>0.0104003472222222</v>
      </c>
      <c r="E271" s="14" t="n">
        <v>266</v>
      </c>
      <c r="F271" s="15" t="n">
        <f aca="false">IF(D271="","",ROUND((D271-MIN($D$7:$D$9999))*86400,2))</f>
        <v>108.85</v>
      </c>
      <c r="G271" s="10" t="str">
        <f aca="false">IF(D271="","",IF(D271&lt;=($E$3*60+$F$3)/86400,"○",""))</f>
        <v/>
      </c>
      <c r="H271" s="16"/>
      <c r="I271" s="17"/>
      <c r="J271" s="16" t="n">
        <v>0.00294560185185185</v>
      </c>
      <c r="K271" s="17" t="n">
        <v>1218</v>
      </c>
      <c r="L271" s="17" t="n">
        <f aca="false">COUNT(E271,I271,K271)</f>
        <v>2</v>
      </c>
      <c r="M271" s="18" t="n">
        <f aca="false">(D271&lt;&gt;"")*(D271&lt;=($E$3*60+$F$3)/86400)+(H271&lt;&gt;"")*(H271&lt;=($I$3*60+$J$3)/86400)+(J271&lt;&gt;"")*(J271&lt;=($M$3*60+$N$3)/86400)</f>
        <v>0</v>
      </c>
      <c r="N271" s="20"/>
      <c r="O271" s="20"/>
      <c r="P271" s="20"/>
      <c r="Q271" s="19"/>
    </row>
    <row r="272" customFormat="false" ht="15" hidden="false" customHeight="false" outlineLevel="0" collapsed="false">
      <c r="A272" s="10" t="n">
        <v>266</v>
      </c>
      <c r="B272" s="11" t="s">
        <v>508</v>
      </c>
      <c r="C272" s="12" t="s">
        <v>245</v>
      </c>
      <c r="D272" s="13" t="n">
        <v>0.0104005787037037</v>
      </c>
      <c r="E272" s="14" t="n">
        <v>267</v>
      </c>
      <c r="F272" s="15" t="n">
        <f aca="false">IF(D272="","",ROUND((D272-MIN($D$7:$D$9999))*86400,2))</f>
        <v>108.87</v>
      </c>
      <c r="G272" s="10" t="str">
        <f aca="false">IF(D272="","",IF(D272&lt;=($E$3*60+$F$3)/86400,"○",""))</f>
        <v/>
      </c>
      <c r="H272" s="16" t="n">
        <v>0.00673564814814815</v>
      </c>
      <c r="I272" s="17" t="n">
        <v>122</v>
      </c>
      <c r="J272" s="16" t="n">
        <v>0.00283460648148148</v>
      </c>
      <c r="K272" s="17" t="n">
        <v>456</v>
      </c>
      <c r="L272" s="17" t="n">
        <f aca="false">COUNT(E272,I272,K272)</f>
        <v>3</v>
      </c>
      <c r="M272" s="18" t="n">
        <f aca="false">(D272&lt;&gt;"")*(D272&lt;=($E$3*60+$F$3)/86400)+(H272&lt;&gt;"")*(H272&lt;=($I$3*60+$J$3)/86400)+(J272&lt;&gt;"")*(J272&lt;=($M$3*60+$N$3)/86400)</f>
        <v>0</v>
      </c>
      <c r="N272" s="20"/>
      <c r="O272" s="20"/>
      <c r="P272" s="20"/>
      <c r="Q272" s="19"/>
    </row>
    <row r="273" customFormat="false" ht="15" hidden="false" customHeight="false" outlineLevel="0" collapsed="false">
      <c r="A273" s="10" t="n">
        <v>267</v>
      </c>
      <c r="B273" s="11" t="s">
        <v>509</v>
      </c>
      <c r="C273" s="12" t="s">
        <v>27</v>
      </c>
      <c r="D273" s="13" t="n">
        <v>0.0104017361111111</v>
      </c>
      <c r="E273" s="14" t="n">
        <v>268</v>
      </c>
      <c r="F273" s="15" t="n">
        <f aca="false">IF(D273="","",ROUND((D273-MIN($D$7:$D$9999))*86400,2))</f>
        <v>108.97</v>
      </c>
      <c r="G273" s="10" t="str">
        <f aca="false">IF(D273="","",IF(D273&lt;=($E$3*60+$F$3)/86400,"○",""))</f>
        <v/>
      </c>
      <c r="H273" s="16" t="n">
        <v>0.00663773148148148</v>
      </c>
      <c r="I273" s="17" t="n">
        <v>77</v>
      </c>
      <c r="J273" s="16"/>
      <c r="K273" s="17"/>
      <c r="L273" s="17" t="n">
        <f aca="false">COUNT(E273,I273,K273)</f>
        <v>2</v>
      </c>
      <c r="M273" s="18" t="n">
        <f aca="false">(D273&lt;&gt;"")*(D273&lt;=($E$3*60+$F$3)/86400)+(H273&lt;&gt;"")*(H273&lt;=($I$3*60+$J$3)/86400)+(J273&lt;&gt;"")*(J273&lt;=($M$3*60+$N$3)/86400)</f>
        <v>0</v>
      </c>
      <c r="N273" s="20" t="s">
        <v>510</v>
      </c>
      <c r="O273" s="20"/>
      <c r="P273" s="20"/>
      <c r="Q273" s="19"/>
    </row>
    <row r="274" customFormat="false" ht="15" hidden="false" customHeight="false" outlineLevel="0" collapsed="false">
      <c r="A274" s="10" t="n">
        <v>268</v>
      </c>
      <c r="B274" s="11" t="s">
        <v>511</v>
      </c>
      <c r="C274" s="12" t="s">
        <v>152</v>
      </c>
      <c r="D274" s="13" t="n">
        <v>0.0104037037037037</v>
      </c>
      <c r="E274" s="14" t="n">
        <v>269</v>
      </c>
      <c r="F274" s="15" t="n">
        <f aca="false">IF(D274="","",ROUND((D274-MIN($D$7:$D$9999))*86400,2))</f>
        <v>109.14</v>
      </c>
      <c r="G274" s="10" t="str">
        <f aca="false">IF(D274="","",IF(D274&lt;=($E$3*60+$F$3)/86400,"○",""))</f>
        <v/>
      </c>
      <c r="H274" s="16"/>
      <c r="I274" s="17"/>
      <c r="J274" s="16" t="n">
        <v>0.002796875</v>
      </c>
      <c r="K274" s="17" t="n">
        <v>269</v>
      </c>
      <c r="L274" s="17" t="n">
        <f aca="false">COUNT(E274,I274,K274)</f>
        <v>2</v>
      </c>
      <c r="M274" s="18" t="n">
        <f aca="false">(D274&lt;&gt;"")*(D274&lt;=($E$3*60+$F$3)/86400)+(H274&lt;&gt;"")*(H274&lt;=($I$3*60+$J$3)/86400)+(J274&lt;&gt;"")*(J274&lt;=($M$3*60+$N$3)/86400)</f>
        <v>0</v>
      </c>
      <c r="N274" s="20" t="s">
        <v>512</v>
      </c>
      <c r="O274" s="20"/>
      <c r="P274" s="20"/>
      <c r="Q274" s="19"/>
    </row>
    <row r="275" customFormat="false" ht="15" hidden="false" customHeight="false" outlineLevel="0" collapsed="false">
      <c r="A275" s="10" t="n">
        <v>269</v>
      </c>
      <c r="B275" s="11" t="s">
        <v>513</v>
      </c>
      <c r="C275" s="12" t="s">
        <v>25</v>
      </c>
      <c r="D275" s="13" t="n">
        <v>0.01040625</v>
      </c>
      <c r="E275" s="14" t="n">
        <v>270</v>
      </c>
      <c r="F275" s="15" t="n">
        <f aca="false">IF(D275="","",ROUND((D275-MIN($D$7:$D$9999))*86400,2))</f>
        <v>109.36</v>
      </c>
      <c r="G275" s="10" t="str">
        <f aca="false">IF(D275="","",IF(D275&lt;=($E$3*60+$F$3)/86400,"○",""))</f>
        <v/>
      </c>
      <c r="H275" s="16" t="n">
        <v>0.00686087962962963</v>
      </c>
      <c r="I275" s="17" t="n">
        <v>211</v>
      </c>
      <c r="J275" s="16" t="n">
        <v>0.00291875</v>
      </c>
      <c r="K275" s="17" t="n">
        <v>1080</v>
      </c>
      <c r="L275" s="17" t="n">
        <f aca="false">COUNT(E275,I275,K275)</f>
        <v>3</v>
      </c>
      <c r="M275" s="18" t="n">
        <f aca="false">(D275&lt;&gt;"")*(D275&lt;=($E$3*60+$F$3)/86400)+(H275&lt;&gt;"")*(H275&lt;=($I$3*60+$J$3)/86400)+(J275&lt;&gt;"")*(J275&lt;=($M$3*60+$N$3)/86400)</f>
        <v>0</v>
      </c>
      <c r="N275" s="20"/>
      <c r="O275" s="20"/>
      <c r="P275" s="20"/>
      <c r="Q275" s="19"/>
    </row>
    <row r="276" customFormat="false" ht="15" hidden="false" customHeight="false" outlineLevel="0" collapsed="false">
      <c r="A276" s="10" t="n">
        <v>270</v>
      </c>
      <c r="B276" s="11" t="s">
        <v>514</v>
      </c>
      <c r="C276" s="12" t="s">
        <v>515</v>
      </c>
      <c r="D276" s="13" t="n">
        <v>0.0104074074074074</v>
      </c>
      <c r="E276" s="14" t="n">
        <v>271</v>
      </c>
      <c r="F276" s="15" t="n">
        <f aca="false">IF(D276="","",ROUND((D276-MIN($D$7:$D$9999))*86400,2))</f>
        <v>109.46</v>
      </c>
      <c r="G276" s="10" t="str">
        <f aca="false">IF(D276="","",IF(D276&lt;=($E$3*60+$F$3)/86400,"○",""))</f>
        <v/>
      </c>
      <c r="H276" s="16"/>
      <c r="I276" s="17"/>
      <c r="J276" s="16" t="n">
        <v>0.00280208333333333</v>
      </c>
      <c r="K276" s="17" t="n">
        <v>290</v>
      </c>
      <c r="L276" s="17" t="n">
        <f aca="false">COUNT(E276,I276,K276)</f>
        <v>2</v>
      </c>
      <c r="M276" s="18" t="n">
        <f aca="false">(D276&lt;&gt;"")*(D276&lt;=($E$3*60+$F$3)/86400)+(H276&lt;&gt;"")*(H276&lt;=($I$3*60+$J$3)/86400)+(J276&lt;&gt;"")*(J276&lt;=($M$3*60+$N$3)/86400)</f>
        <v>0</v>
      </c>
      <c r="N276" s="20"/>
      <c r="O276" s="20"/>
      <c r="P276" s="20"/>
      <c r="Q276" s="19"/>
    </row>
    <row r="277" customFormat="false" ht="15" hidden="false" customHeight="false" outlineLevel="0" collapsed="false">
      <c r="A277" s="10" t="n">
        <v>271</v>
      </c>
      <c r="B277" s="11" t="s">
        <v>516</v>
      </c>
      <c r="C277" s="12" t="s">
        <v>54</v>
      </c>
      <c r="D277" s="13" t="n">
        <v>0.0104083333333333</v>
      </c>
      <c r="E277" s="14" t="n">
        <v>272</v>
      </c>
      <c r="F277" s="15" t="n">
        <f aca="false">IF(D277="","",ROUND((D277-MIN($D$7:$D$9999))*86400,2))</f>
        <v>109.54</v>
      </c>
      <c r="G277" s="10" t="str">
        <f aca="false">IF(D277="","",IF(D277&lt;=($E$3*60+$F$3)/86400,"○",""))</f>
        <v/>
      </c>
      <c r="H277" s="16"/>
      <c r="I277" s="17"/>
      <c r="J277" s="16" t="n">
        <v>0.00276331018518519</v>
      </c>
      <c r="K277" s="17" t="n">
        <v>144</v>
      </c>
      <c r="L277" s="17" t="n">
        <f aca="false">COUNT(E277,I277,K277)</f>
        <v>2</v>
      </c>
      <c r="M277" s="18" t="n">
        <f aca="false">(D277&lt;&gt;"")*(D277&lt;=($E$3*60+$F$3)/86400)+(H277&lt;&gt;"")*(H277&lt;=($I$3*60+$J$3)/86400)+(J277&lt;&gt;"")*(J277&lt;=($M$3*60+$N$3)/86400)</f>
        <v>0</v>
      </c>
      <c r="N277" s="20"/>
      <c r="O277" s="20"/>
      <c r="P277" s="20"/>
      <c r="Q277" s="19"/>
    </row>
    <row r="278" customFormat="false" ht="15" hidden="false" customHeight="false" outlineLevel="0" collapsed="false">
      <c r="A278" s="10" t="n">
        <v>272</v>
      </c>
      <c r="B278" s="11" t="s">
        <v>517</v>
      </c>
      <c r="C278" s="12" t="s">
        <v>316</v>
      </c>
      <c r="D278" s="13" t="n">
        <v>0.0104087962962963</v>
      </c>
      <c r="E278" s="14" t="n">
        <v>273</v>
      </c>
      <c r="F278" s="15" t="n">
        <f aca="false">IF(D278="","",ROUND((D278-MIN($D$7:$D$9999))*86400,2))</f>
        <v>109.58</v>
      </c>
      <c r="G278" s="10" t="str">
        <f aca="false">IF(D278="","",IF(D278&lt;=($E$3*60+$F$3)/86400,"○",""))</f>
        <v/>
      </c>
      <c r="H278" s="16"/>
      <c r="I278" s="17"/>
      <c r="J278" s="16" t="n">
        <v>0.00278125</v>
      </c>
      <c r="K278" s="17" t="n">
        <v>208</v>
      </c>
      <c r="L278" s="17" t="n">
        <f aca="false">COUNT(E278,I278,K278)</f>
        <v>2</v>
      </c>
      <c r="M278" s="18" t="n">
        <f aca="false">(D278&lt;&gt;"")*(D278&lt;=($E$3*60+$F$3)/86400)+(H278&lt;&gt;"")*(H278&lt;=($I$3*60+$J$3)/86400)+(J278&lt;&gt;"")*(J278&lt;=($M$3*60+$N$3)/86400)</f>
        <v>0</v>
      </c>
      <c r="N278" s="20"/>
      <c r="O278" s="20"/>
      <c r="P278" s="20"/>
      <c r="Q278" s="19"/>
    </row>
    <row r="279" customFormat="false" ht="15" hidden="false" customHeight="false" outlineLevel="0" collapsed="false">
      <c r="A279" s="10" t="n">
        <v>273</v>
      </c>
      <c r="B279" s="11" t="s">
        <v>518</v>
      </c>
      <c r="C279" s="12" t="s">
        <v>43</v>
      </c>
      <c r="D279" s="13" t="n">
        <v>0.010409375</v>
      </c>
      <c r="E279" s="14" t="n">
        <v>274</v>
      </c>
      <c r="F279" s="15" t="n">
        <f aca="false">IF(D279="","",ROUND((D279-MIN($D$7:$D$9999))*86400,2))</f>
        <v>109.63</v>
      </c>
      <c r="G279" s="10" t="str">
        <f aca="false">IF(D279="","",IF(D279&lt;=($E$3*60+$F$3)/86400,"○",""))</f>
        <v/>
      </c>
      <c r="H279" s="16"/>
      <c r="I279" s="17"/>
      <c r="J279" s="16" t="n">
        <v>0.0028974537037037</v>
      </c>
      <c r="K279" s="17" t="n">
        <v>932</v>
      </c>
      <c r="L279" s="17" t="n">
        <f aca="false">COUNT(E279,I279,K279)</f>
        <v>2</v>
      </c>
      <c r="M279" s="18" t="n">
        <f aca="false">(D279&lt;&gt;"")*(D279&lt;=($E$3*60+$F$3)/86400)+(H279&lt;&gt;"")*(H279&lt;=($I$3*60+$J$3)/86400)+(J279&lt;&gt;"")*(J279&lt;=($M$3*60+$N$3)/86400)</f>
        <v>0</v>
      </c>
      <c r="N279" s="20"/>
      <c r="O279" s="20" t="s">
        <v>519</v>
      </c>
      <c r="P279" s="20"/>
      <c r="Q279" s="19"/>
    </row>
    <row r="280" customFormat="false" ht="15" hidden="false" customHeight="false" outlineLevel="0" collapsed="false">
      <c r="A280" s="10" t="n">
        <v>274</v>
      </c>
      <c r="B280" s="11" t="s">
        <v>520</v>
      </c>
      <c r="C280" s="12" t="s">
        <v>94</v>
      </c>
      <c r="D280" s="13" t="n">
        <v>0.0104099537037037</v>
      </c>
      <c r="E280" s="14" t="n">
        <v>275</v>
      </c>
      <c r="F280" s="15" t="n">
        <f aca="false">IF(D280="","",ROUND((D280-MIN($D$7:$D$9999))*86400,2))</f>
        <v>109.68</v>
      </c>
      <c r="G280" s="10" t="str">
        <f aca="false">IF(D280="","",IF(D280&lt;=($E$3*60+$F$3)/86400,"○",""))</f>
        <v/>
      </c>
      <c r="H280" s="16"/>
      <c r="I280" s="17"/>
      <c r="J280" s="16" t="n">
        <v>0.00276446759259259</v>
      </c>
      <c r="K280" s="17" t="n">
        <v>146</v>
      </c>
      <c r="L280" s="17" t="n">
        <f aca="false">COUNT(E280,I280,K280)</f>
        <v>2</v>
      </c>
      <c r="M280" s="18" t="n">
        <f aca="false">(D280&lt;&gt;"")*(D280&lt;=($E$3*60+$F$3)/86400)+(H280&lt;&gt;"")*(H280&lt;=($I$3*60+$J$3)/86400)+(J280&lt;&gt;"")*(J280&lt;=($M$3*60+$N$3)/86400)</f>
        <v>0</v>
      </c>
      <c r="N280" s="20"/>
      <c r="O280" s="20"/>
      <c r="P280" s="20"/>
      <c r="Q280" s="19"/>
    </row>
    <row r="281" customFormat="false" ht="15" hidden="false" customHeight="false" outlineLevel="0" collapsed="false">
      <c r="A281" s="10" t="n">
        <v>275</v>
      </c>
      <c r="B281" s="11" t="s">
        <v>521</v>
      </c>
      <c r="C281" s="12" t="s">
        <v>522</v>
      </c>
      <c r="D281" s="13" t="n">
        <v>0.0104104166666667</v>
      </c>
      <c r="E281" s="14" t="n">
        <v>276</v>
      </c>
      <c r="F281" s="15" t="n">
        <f aca="false">IF(D281="","",ROUND((D281-MIN($D$7:$D$9999))*86400,2))</f>
        <v>109.72</v>
      </c>
      <c r="G281" s="10" t="str">
        <f aca="false">IF(D281="","",IF(D281&lt;=($E$3*60+$F$3)/86400,"○",""))</f>
        <v/>
      </c>
      <c r="H281" s="16"/>
      <c r="I281" s="17"/>
      <c r="J281" s="16" t="n">
        <v>0.00286875</v>
      </c>
      <c r="K281" s="17" t="n">
        <v>685</v>
      </c>
      <c r="L281" s="17" t="n">
        <f aca="false">COUNT(E281,I281,K281)</f>
        <v>2</v>
      </c>
      <c r="M281" s="18" t="n">
        <f aca="false">(D281&lt;&gt;"")*(D281&lt;=($E$3*60+$F$3)/86400)+(H281&lt;&gt;"")*(H281&lt;=($I$3*60+$J$3)/86400)+(J281&lt;&gt;"")*(J281&lt;=($M$3*60+$N$3)/86400)</f>
        <v>0</v>
      </c>
      <c r="N281" s="20"/>
      <c r="O281" s="20"/>
      <c r="P281" s="20"/>
      <c r="Q281" s="19"/>
    </row>
    <row r="282" customFormat="false" ht="15" hidden="false" customHeight="false" outlineLevel="0" collapsed="false">
      <c r="A282" s="10" t="n">
        <v>276</v>
      </c>
      <c r="B282" s="11" t="s">
        <v>523</v>
      </c>
      <c r="C282" s="12" t="s">
        <v>150</v>
      </c>
      <c r="D282" s="13" t="n">
        <v>0.0104115740740741</v>
      </c>
      <c r="E282" s="14" t="n">
        <v>277</v>
      </c>
      <c r="F282" s="15" t="n">
        <f aca="false">IF(D282="","",ROUND((D282-MIN($D$7:$D$9999))*86400,2))</f>
        <v>109.82</v>
      </c>
      <c r="G282" s="10" t="str">
        <f aca="false">IF(D282="","",IF(D282&lt;=($E$3*60+$F$3)/86400,"○",""))</f>
        <v/>
      </c>
      <c r="H282" s="16"/>
      <c r="I282" s="17"/>
      <c r="J282" s="16"/>
      <c r="K282" s="17"/>
      <c r="L282" s="17" t="n">
        <f aca="false">COUNT(E282,I282,K282)</f>
        <v>1</v>
      </c>
      <c r="M282" s="18" t="n">
        <f aca="false">(D282&lt;&gt;"")*(D282&lt;=($E$3*60+$F$3)/86400)+(H282&lt;&gt;"")*(H282&lt;=($I$3*60+$J$3)/86400)+(J282&lt;&gt;"")*(J282&lt;=($M$3*60+$N$3)/86400)</f>
        <v>0</v>
      </c>
      <c r="N282" s="20"/>
      <c r="O282" s="20"/>
      <c r="P282" s="20"/>
      <c r="Q282" s="19"/>
    </row>
    <row r="283" customFormat="false" ht="15" hidden="false" customHeight="false" outlineLevel="0" collapsed="false">
      <c r="A283" s="10" t="n">
        <v>277</v>
      </c>
      <c r="B283" s="11" t="s">
        <v>524</v>
      </c>
      <c r="C283" s="12" t="s">
        <v>525</v>
      </c>
      <c r="D283" s="13" t="n">
        <v>0.0104116898148148</v>
      </c>
      <c r="E283" s="14" t="n">
        <v>278</v>
      </c>
      <c r="F283" s="15" t="n">
        <f aca="false">IF(D283="","",ROUND((D283-MIN($D$7:$D$9999))*86400,2))</f>
        <v>109.83</v>
      </c>
      <c r="G283" s="10" t="str">
        <f aca="false">IF(D283="","",IF(D283&lt;=($E$3*60+$F$3)/86400,"○",""))</f>
        <v/>
      </c>
      <c r="H283" s="16"/>
      <c r="I283" s="17"/>
      <c r="J283" s="16" t="n">
        <v>0.00276064814814815</v>
      </c>
      <c r="K283" s="17" t="n">
        <v>138</v>
      </c>
      <c r="L283" s="17" t="n">
        <f aca="false">COUNT(E283,I283,K283)</f>
        <v>2</v>
      </c>
      <c r="M283" s="18" t="n">
        <f aca="false">(D283&lt;&gt;"")*(D283&lt;=($E$3*60+$F$3)/86400)+(H283&lt;&gt;"")*(H283&lt;=($I$3*60+$J$3)/86400)+(J283&lt;&gt;"")*(J283&lt;=($M$3*60+$N$3)/86400)</f>
        <v>0</v>
      </c>
      <c r="N283" s="20" t="s">
        <v>526</v>
      </c>
      <c r="O283" s="20"/>
      <c r="P283" s="20"/>
      <c r="Q283" s="19"/>
    </row>
    <row r="284" customFormat="false" ht="15" hidden="false" customHeight="false" outlineLevel="0" collapsed="false">
      <c r="A284" s="10" t="n">
        <v>278</v>
      </c>
      <c r="B284" s="11" t="s">
        <v>527</v>
      </c>
      <c r="C284" s="12" t="s">
        <v>348</v>
      </c>
      <c r="D284" s="13" t="n">
        <v>0.0104118055555556</v>
      </c>
      <c r="E284" s="14" t="n">
        <v>279</v>
      </c>
      <c r="F284" s="15" t="n">
        <f aca="false">IF(D284="","",ROUND((D284-MIN($D$7:$D$9999))*86400,2))</f>
        <v>109.84</v>
      </c>
      <c r="G284" s="10" t="str">
        <f aca="false">IF(D284="","",IF(D284&lt;=($E$3*60+$F$3)/86400,"○",""))</f>
        <v/>
      </c>
      <c r="H284" s="16" t="n">
        <v>0.00650740740740741</v>
      </c>
      <c r="I284" s="17" t="n">
        <v>38</v>
      </c>
      <c r="J284" s="16" t="n">
        <v>0.00278425925925926</v>
      </c>
      <c r="K284" s="17" t="n">
        <v>217</v>
      </c>
      <c r="L284" s="17" t="n">
        <f aca="false">COUNT(E284,I284,K284)</f>
        <v>3</v>
      </c>
      <c r="M284" s="18" t="n">
        <f aca="false">(D284&lt;&gt;"")*(D284&lt;=($E$3*60+$F$3)/86400)+(H284&lt;&gt;"")*(H284&lt;=($I$3*60+$J$3)/86400)+(J284&lt;&gt;"")*(J284&lt;=($M$3*60+$N$3)/86400)</f>
        <v>0</v>
      </c>
      <c r="N284" s="20" t="s">
        <v>528</v>
      </c>
      <c r="O284" s="20"/>
      <c r="P284" s="20"/>
      <c r="Q284" s="19"/>
    </row>
    <row r="285" customFormat="false" ht="15" hidden="false" customHeight="false" outlineLevel="0" collapsed="false">
      <c r="A285" s="10" t="n">
        <v>279</v>
      </c>
      <c r="B285" s="11" t="s">
        <v>529</v>
      </c>
      <c r="C285" s="12" t="s">
        <v>530</v>
      </c>
      <c r="D285" s="13" t="n">
        <v>0.0104148148148148</v>
      </c>
      <c r="E285" s="14" t="n">
        <v>280</v>
      </c>
      <c r="F285" s="15" t="n">
        <f aca="false">IF(D285="","",ROUND((D285-MIN($D$7:$D$9999))*86400,2))</f>
        <v>110.1</v>
      </c>
      <c r="G285" s="10" t="str">
        <f aca="false">IF(D285="","",IF(D285&lt;=($E$3*60+$F$3)/86400,"○",""))</f>
        <v/>
      </c>
      <c r="H285" s="16"/>
      <c r="I285" s="17"/>
      <c r="J285" s="16" t="n">
        <v>0.00282395833333333</v>
      </c>
      <c r="K285" s="17" t="n">
        <v>387</v>
      </c>
      <c r="L285" s="17" t="n">
        <f aca="false">COUNT(E285,I285,K285)</f>
        <v>2</v>
      </c>
      <c r="M285" s="18" t="n">
        <f aca="false">(D285&lt;&gt;"")*(D285&lt;=($E$3*60+$F$3)/86400)+(H285&lt;&gt;"")*(H285&lt;=($I$3*60+$J$3)/86400)+(J285&lt;&gt;"")*(J285&lt;=($M$3*60+$N$3)/86400)</f>
        <v>0</v>
      </c>
      <c r="N285" s="20"/>
      <c r="O285" s="20"/>
      <c r="P285" s="20"/>
      <c r="Q285" s="19"/>
    </row>
    <row r="286" customFormat="false" ht="15" hidden="false" customHeight="false" outlineLevel="0" collapsed="false">
      <c r="A286" s="10" t="n">
        <v>280</v>
      </c>
      <c r="B286" s="11" t="s">
        <v>531</v>
      </c>
      <c r="C286" s="12" t="s">
        <v>532</v>
      </c>
      <c r="D286" s="13" t="n">
        <v>0.0104148148148148</v>
      </c>
      <c r="E286" s="14" t="n">
        <v>281</v>
      </c>
      <c r="F286" s="15" t="n">
        <f aca="false">IF(D286="","",ROUND((D286-MIN($D$7:$D$9999))*86400,2))</f>
        <v>110.1</v>
      </c>
      <c r="G286" s="10" t="str">
        <f aca="false">IF(D286="","",IF(D286&lt;=($E$3*60+$F$3)/86400,"○",""))</f>
        <v/>
      </c>
      <c r="H286" s="16" t="n">
        <v>0.00688854166666667</v>
      </c>
      <c r="I286" s="17" t="n">
        <v>230</v>
      </c>
      <c r="J286" s="16" t="n">
        <v>0.00287662037037037</v>
      </c>
      <c r="K286" s="17" t="n">
        <v>743</v>
      </c>
      <c r="L286" s="17" t="n">
        <f aca="false">COUNT(E286,I286,K286)</f>
        <v>3</v>
      </c>
      <c r="M286" s="18" t="n">
        <f aca="false">(D286&lt;&gt;"")*(D286&lt;=($E$3*60+$F$3)/86400)+(H286&lt;&gt;"")*(H286&lt;=($I$3*60+$J$3)/86400)+(J286&lt;&gt;"")*(J286&lt;=($M$3*60+$N$3)/86400)</f>
        <v>0</v>
      </c>
      <c r="N286" s="20"/>
      <c r="O286" s="20"/>
      <c r="P286" s="20"/>
      <c r="Q286" s="19"/>
    </row>
    <row r="287" customFormat="false" ht="15" hidden="false" customHeight="false" outlineLevel="0" collapsed="false">
      <c r="A287" s="10" t="n">
        <v>281</v>
      </c>
      <c r="B287" s="11" t="s">
        <v>533</v>
      </c>
      <c r="C287" s="12" t="s">
        <v>137</v>
      </c>
      <c r="D287" s="13" t="n">
        <v>0.010418287037037</v>
      </c>
      <c r="E287" s="14" t="n">
        <v>282</v>
      </c>
      <c r="F287" s="15" t="n">
        <f aca="false">IF(D287="","",ROUND((D287-MIN($D$7:$D$9999))*86400,2))</f>
        <v>110.4</v>
      </c>
      <c r="G287" s="10" t="str">
        <f aca="false">IF(D287="","",IF(D287&lt;=($E$3*60+$F$3)/86400,"○",""))</f>
        <v/>
      </c>
      <c r="H287" s="16"/>
      <c r="I287" s="17"/>
      <c r="J287" s="16" t="n">
        <v>0.0028650462962963</v>
      </c>
      <c r="K287" s="17" t="n">
        <v>666</v>
      </c>
      <c r="L287" s="17" t="n">
        <f aca="false">COUNT(E287,I287,K287)</f>
        <v>2</v>
      </c>
      <c r="M287" s="18" t="n">
        <f aca="false">(D287&lt;&gt;"")*(D287&lt;=($E$3*60+$F$3)/86400)+(H287&lt;&gt;"")*(H287&lt;=($I$3*60+$J$3)/86400)+(J287&lt;&gt;"")*(J287&lt;=($M$3*60+$N$3)/86400)</f>
        <v>0</v>
      </c>
      <c r="N287" s="20"/>
      <c r="O287" s="20"/>
      <c r="P287" s="20"/>
      <c r="Q287" s="19"/>
    </row>
    <row r="288" customFormat="false" ht="15" hidden="false" customHeight="false" outlineLevel="0" collapsed="false">
      <c r="A288" s="10" t="n">
        <v>282</v>
      </c>
      <c r="B288" s="11" t="s">
        <v>534</v>
      </c>
      <c r="C288" s="12" t="s">
        <v>107</v>
      </c>
      <c r="D288" s="13" t="n">
        <v>0.0104184027777778</v>
      </c>
      <c r="E288" s="14" t="n">
        <v>283</v>
      </c>
      <c r="F288" s="15" t="n">
        <f aca="false">IF(D288="","",ROUND((D288-MIN($D$7:$D$9999))*86400,2))</f>
        <v>110.41</v>
      </c>
      <c r="G288" s="10" t="str">
        <f aca="false">IF(D288="","",IF(D288&lt;=($E$3*60+$F$3)/86400,"○",""))</f>
        <v/>
      </c>
      <c r="H288" s="16" t="n">
        <v>0.00663900462962963</v>
      </c>
      <c r="I288" s="17" t="n">
        <v>78</v>
      </c>
      <c r="J288" s="16" t="n">
        <v>0.00285671296296296</v>
      </c>
      <c r="K288" s="17" t="n">
        <v>612</v>
      </c>
      <c r="L288" s="17" t="n">
        <f aca="false">COUNT(E288,I288,K288)</f>
        <v>3</v>
      </c>
      <c r="M288" s="18" t="n">
        <f aca="false">(D288&lt;&gt;"")*(D288&lt;=($E$3*60+$F$3)/86400)+(H288&lt;&gt;"")*(H288&lt;=($I$3*60+$J$3)/86400)+(J288&lt;&gt;"")*(J288&lt;=($M$3*60+$N$3)/86400)</f>
        <v>0</v>
      </c>
      <c r="N288" s="20"/>
      <c r="O288" s="20" t="s">
        <v>535</v>
      </c>
      <c r="P288" s="20"/>
      <c r="Q288" s="19"/>
    </row>
    <row r="289" customFormat="false" ht="15" hidden="false" customHeight="false" outlineLevel="0" collapsed="false">
      <c r="A289" s="10" t="n">
        <v>283</v>
      </c>
      <c r="B289" s="11" t="s">
        <v>536</v>
      </c>
      <c r="C289" s="12" t="s">
        <v>537</v>
      </c>
      <c r="D289" s="13" t="n">
        <v>0.0104189814814815</v>
      </c>
      <c r="E289" s="14" t="n">
        <v>284</v>
      </c>
      <c r="F289" s="15" t="n">
        <f aca="false">IF(D289="","",ROUND((D289-MIN($D$7:$D$9999))*86400,2))</f>
        <v>110.46</v>
      </c>
      <c r="G289" s="10" t="str">
        <f aca="false">IF(D289="","",IF(D289&lt;=($E$3*60+$F$3)/86400,"○",""))</f>
        <v/>
      </c>
      <c r="H289" s="16"/>
      <c r="I289" s="17"/>
      <c r="J289" s="16" t="n">
        <v>0.00278032407407407</v>
      </c>
      <c r="K289" s="17" t="n">
        <v>202</v>
      </c>
      <c r="L289" s="17" t="n">
        <f aca="false">COUNT(E289,I289,K289)</f>
        <v>2</v>
      </c>
      <c r="M289" s="18" t="n">
        <f aca="false">(D289&lt;&gt;"")*(D289&lt;=($E$3*60+$F$3)/86400)+(H289&lt;&gt;"")*(H289&lt;=($I$3*60+$J$3)/86400)+(J289&lt;&gt;"")*(J289&lt;=($M$3*60+$N$3)/86400)</f>
        <v>0</v>
      </c>
      <c r="N289" s="20"/>
      <c r="O289" s="20"/>
      <c r="P289" s="20"/>
      <c r="Q289" s="19"/>
    </row>
    <row r="290" customFormat="false" ht="15" hidden="false" customHeight="false" outlineLevel="0" collapsed="false">
      <c r="A290" s="10" t="n">
        <v>284</v>
      </c>
      <c r="B290" s="11" t="s">
        <v>538</v>
      </c>
      <c r="C290" s="12" t="s">
        <v>32</v>
      </c>
      <c r="D290" s="13" t="n">
        <v>0.0104209490740741</v>
      </c>
      <c r="E290" s="14" t="n">
        <v>285</v>
      </c>
      <c r="F290" s="15" t="n">
        <f aca="false">IF(D290="","",ROUND((D290-MIN($D$7:$D$9999))*86400,2))</f>
        <v>110.63</v>
      </c>
      <c r="G290" s="10" t="str">
        <f aca="false">IF(D290="","",IF(D290&lt;=($E$3*60+$F$3)/86400,"○",""))</f>
        <v/>
      </c>
      <c r="H290" s="16"/>
      <c r="I290" s="17"/>
      <c r="J290" s="16" t="n">
        <v>0.00282280092592593</v>
      </c>
      <c r="K290" s="17" t="n">
        <v>381</v>
      </c>
      <c r="L290" s="17" t="n">
        <f aca="false">COUNT(E290,I290,K290)</f>
        <v>2</v>
      </c>
      <c r="M290" s="18" t="n">
        <f aca="false">(D290&lt;&gt;"")*(D290&lt;=($E$3*60+$F$3)/86400)+(H290&lt;&gt;"")*(H290&lt;=($I$3*60+$J$3)/86400)+(J290&lt;&gt;"")*(J290&lt;=($M$3*60+$N$3)/86400)</f>
        <v>0</v>
      </c>
      <c r="N290" s="20"/>
      <c r="O290" s="20"/>
      <c r="P290" s="20"/>
      <c r="Q290" s="19"/>
    </row>
    <row r="291" customFormat="false" ht="15" hidden="false" customHeight="false" outlineLevel="0" collapsed="false">
      <c r="A291" s="10" t="n">
        <v>285</v>
      </c>
      <c r="B291" s="11" t="s">
        <v>539</v>
      </c>
      <c r="C291" s="12" t="s">
        <v>415</v>
      </c>
      <c r="D291" s="13" t="n">
        <v>0.0104215277777778</v>
      </c>
      <c r="E291" s="14" t="n">
        <v>286</v>
      </c>
      <c r="F291" s="15" t="n">
        <f aca="false">IF(D291="","",ROUND((D291-MIN($D$7:$D$9999))*86400,2))</f>
        <v>110.68</v>
      </c>
      <c r="G291" s="10" t="str">
        <f aca="false">IF(D291="","",IF(D291&lt;=($E$3*60+$F$3)/86400,"○",""))</f>
        <v/>
      </c>
      <c r="H291" s="16"/>
      <c r="I291" s="17"/>
      <c r="J291" s="16" t="n">
        <v>0.00270625</v>
      </c>
      <c r="K291" s="17" t="n">
        <v>30</v>
      </c>
      <c r="L291" s="17" t="n">
        <f aca="false">COUNT(E291,I291,K291)</f>
        <v>2</v>
      </c>
      <c r="M291" s="18" t="n">
        <f aca="false">(D291&lt;&gt;"")*(D291&lt;=($E$3*60+$F$3)/86400)+(H291&lt;&gt;"")*(H291&lt;=($I$3*60+$J$3)/86400)+(J291&lt;&gt;"")*(J291&lt;=($M$3*60+$N$3)/86400)</f>
        <v>1</v>
      </c>
      <c r="N291" s="20"/>
      <c r="O291" s="20"/>
      <c r="P291" s="20"/>
      <c r="Q291" s="19"/>
    </row>
    <row r="292" customFormat="false" ht="15" hidden="false" customHeight="false" outlineLevel="0" collapsed="false">
      <c r="A292" s="10" t="n">
        <v>286</v>
      </c>
      <c r="B292" s="11" t="s">
        <v>540</v>
      </c>
      <c r="C292" s="12" t="s">
        <v>145</v>
      </c>
      <c r="D292" s="13" t="n">
        <v>0.0104221064814815</v>
      </c>
      <c r="E292" s="14" t="n">
        <v>287</v>
      </c>
      <c r="F292" s="15" t="n">
        <f aca="false">IF(D292="","",ROUND((D292-MIN($D$7:$D$9999))*86400,2))</f>
        <v>110.73</v>
      </c>
      <c r="G292" s="10" t="str">
        <f aca="false">IF(D292="","",IF(D292&lt;=($E$3*60+$F$3)/86400,"○",""))</f>
        <v/>
      </c>
      <c r="H292" s="16"/>
      <c r="I292" s="17"/>
      <c r="J292" s="16" t="n">
        <v>0.00280300925925926</v>
      </c>
      <c r="K292" s="17" t="n">
        <v>295</v>
      </c>
      <c r="L292" s="17" t="n">
        <f aca="false">COUNT(E292,I292,K292)</f>
        <v>2</v>
      </c>
      <c r="M292" s="18" t="n">
        <f aca="false">(D292&lt;&gt;"")*(D292&lt;=($E$3*60+$F$3)/86400)+(H292&lt;&gt;"")*(H292&lt;=($I$3*60+$J$3)/86400)+(J292&lt;&gt;"")*(J292&lt;=($M$3*60+$N$3)/86400)</f>
        <v>0</v>
      </c>
      <c r="N292" s="20"/>
      <c r="O292" s="20"/>
      <c r="P292" s="20"/>
      <c r="Q292" s="19"/>
    </row>
    <row r="293" customFormat="false" ht="15" hidden="false" customHeight="false" outlineLevel="0" collapsed="false">
      <c r="A293" s="10" t="n">
        <v>287</v>
      </c>
      <c r="B293" s="11" t="s">
        <v>541</v>
      </c>
      <c r="C293" s="12" t="s">
        <v>63</v>
      </c>
      <c r="D293" s="13" t="n">
        <v>0.0104231481481482</v>
      </c>
      <c r="E293" s="14" t="n">
        <v>288</v>
      </c>
      <c r="F293" s="15" t="n">
        <f aca="false">IF(D293="","",ROUND((D293-MIN($D$7:$D$9999))*86400,2))</f>
        <v>110.82</v>
      </c>
      <c r="G293" s="10" t="str">
        <f aca="false">IF(D293="","",IF(D293&lt;=($E$3*60+$F$3)/86400,"○",""))</f>
        <v/>
      </c>
      <c r="H293" s="16"/>
      <c r="I293" s="17"/>
      <c r="J293" s="16" t="n">
        <v>0.00292418981481482</v>
      </c>
      <c r="K293" s="17" t="n">
        <v>1138</v>
      </c>
      <c r="L293" s="17" t="n">
        <f aca="false">COUNT(E293,I293,K293)</f>
        <v>2</v>
      </c>
      <c r="M293" s="18" t="n">
        <f aca="false">(D293&lt;&gt;"")*(D293&lt;=($E$3*60+$F$3)/86400)+(H293&lt;&gt;"")*(H293&lt;=($I$3*60+$J$3)/86400)+(J293&lt;&gt;"")*(J293&lt;=($M$3*60+$N$3)/86400)</f>
        <v>0</v>
      </c>
      <c r="N293" s="20"/>
      <c r="O293" s="20"/>
      <c r="P293" s="20"/>
      <c r="Q293" s="19"/>
    </row>
    <row r="294" customFormat="false" ht="15" hidden="false" customHeight="false" outlineLevel="0" collapsed="false">
      <c r="A294" s="10" t="n">
        <v>288</v>
      </c>
      <c r="B294" s="11" t="s">
        <v>542</v>
      </c>
      <c r="C294" s="12" t="s">
        <v>69</v>
      </c>
      <c r="D294" s="13" t="n">
        <v>0.0104248842592593</v>
      </c>
      <c r="E294" s="14" t="n">
        <v>289</v>
      </c>
      <c r="F294" s="15" t="n">
        <f aca="false">IF(D294="","",ROUND((D294-MIN($D$7:$D$9999))*86400,2))</f>
        <v>110.97</v>
      </c>
      <c r="G294" s="10" t="str">
        <f aca="false">IF(D294="","",IF(D294&lt;=($E$3*60+$F$3)/86400,"○",""))</f>
        <v/>
      </c>
      <c r="H294" s="16"/>
      <c r="I294" s="17"/>
      <c r="J294" s="16" t="n">
        <v>0.0029224537037037</v>
      </c>
      <c r="K294" s="17" t="n">
        <v>1119</v>
      </c>
      <c r="L294" s="17" t="n">
        <f aca="false">COUNT(E294,I294,K294)</f>
        <v>2</v>
      </c>
      <c r="M294" s="18" t="n">
        <f aca="false">(D294&lt;&gt;"")*(D294&lt;=($E$3*60+$F$3)/86400)+(H294&lt;&gt;"")*(H294&lt;=($I$3*60+$J$3)/86400)+(J294&lt;&gt;"")*(J294&lt;=($M$3*60+$N$3)/86400)</f>
        <v>0</v>
      </c>
      <c r="N294" s="20"/>
      <c r="O294" s="20"/>
      <c r="P294" s="20"/>
      <c r="Q294" s="19"/>
    </row>
    <row r="295" customFormat="false" ht="15" hidden="false" customHeight="false" outlineLevel="0" collapsed="false">
      <c r="A295" s="10" t="n">
        <v>289</v>
      </c>
      <c r="B295" s="11" t="s">
        <v>543</v>
      </c>
      <c r="C295" s="12" t="s">
        <v>544</v>
      </c>
      <c r="D295" s="13" t="n">
        <v>0.0104258101851852</v>
      </c>
      <c r="E295" s="14" t="n">
        <v>290</v>
      </c>
      <c r="F295" s="15" t="n">
        <f aca="false">IF(D295="","",ROUND((D295-MIN($D$7:$D$9999))*86400,2))</f>
        <v>111.05</v>
      </c>
      <c r="G295" s="10" t="str">
        <f aca="false">IF(D295="","",IF(D295&lt;=($E$3*60+$F$3)/86400,"○",""))</f>
        <v/>
      </c>
      <c r="H295" s="16"/>
      <c r="I295" s="17"/>
      <c r="J295" s="16"/>
      <c r="K295" s="17"/>
      <c r="L295" s="17" t="n">
        <f aca="false">COUNT(E295,I295,K295)</f>
        <v>1</v>
      </c>
      <c r="M295" s="18" t="n">
        <f aca="false">(D295&lt;&gt;"")*(D295&lt;=($E$3*60+$F$3)/86400)+(H295&lt;&gt;"")*(H295&lt;=($I$3*60+$J$3)/86400)+(J295&lt;&gt;"")*(J295&lt;=($M$3*60+$N$3)/86400)</f>
        <v>0</v>
      </c>
      <c r="N295" s="20" t="s">
        <v>545</v>
      </c>
      <c r="O295" s="20"/>
      <c r="P295" s="20"/>
      <c r="Q295" s="19"/>
    </row>
    <row r="296" customFormat="false" ht="15" hidden="false" customHeight="false" outlineLevel="0" collapsed="false">
      <c r="A296" s="10" t="n">
        <v>290</v>
      </c>
      <c r="B296" s="11" t="s">
        <v>546</v>
      </c>
      <c r="C296" s="12" t="s">
        <v>145</v>
      </c>
      <c r="D296" s="13" t="n">
        <v>0.0104261574074074</v>
      </c>
      <c r="E296" s="14" t="n">
        <v>291</v>
      </c>
      <c r="F296" s="15" t="n">
        <f aca="false">IF(D296="","",ROUND((D296-MIN($D$7:$D$9999))*86400,2))</f>
        <v>111.08</v>
      </c>
      <c r="G296" s="10" t="str">
        <f aca="false">IF(D296="","",IF(D296&lt;=($E$3*60+$F$3)/86400,"○",""))</f>
        <v/>
      </c>
      <c r="H296" s="16"/>
      <c r="I296" s="17"/>
      <c r="J296" s="16" t="n">
        <v>0.00276944444444445</v>
      </c>
      <c r="K296" s="17" t="n">
        <v>159</v>
      </c>
      <c r="L296" s="17" t="n">
        <f aca="false">COUNT(E296,I296,K296)</f>
        <v>2</v>
      </c>
      <c r="M296" s="18" t="n">
        <f aca="false">(D296&lt;&gt;"")*(D296&lt;=($E$3*60+$F$3)/86400)+(H296&lt;&gt;"")*(H296&lt;=($I$3*60+$J$3)/86400)+(J296&lt;&gt;"")*(J296&lt;=($M$3*60+$N$3)/86400)</f>
        <v>0</v>
      </c>
      <c r="N296" s="20"/>
      <c r="O296" s="20"/>
      <c r="P296" s="20"/>
      <c r="Q296" s="19"/>
    </row>
    <row r="297" customFormat="false" ht="15" hidden="false" customHeight="false" outlineLevel="0" collapsed="false">
      <c r="A297" s="10" t="n">
        <v>291</v>
      </c>
      <c r="B297" s="11" t="s">
        <v>547</v>
      </c>
      <c r="C297" s="12" t="s">
        <v>548</v>
      </c>
      <c r="D297" s="13" t="n">
        <v>0.0104265046296296</v>
      </c>
      <c r="E297" s="14" t="n">
        <v>292</v>
      </c>
      <c r="F297" s="15" t="n">
        <f aca="false">IF(D297="","",ROUND((D297-MIN($D$7:$D$9999))*86400,2))</f>
        <v>111.11</v>
      </c>
      <c r="G297" s="10" t="str">
        <f aca="false">IF(D297="","",IF(D297&lt;=($E$3*60+$F$3)/86400,"○",""))</f>
        <v/>
      </c>
      <c r="H297" s="16"/>
      <c r="I297" s="17"/>
      <c r="J297" s="16" t="n">
        <v>0.00276736111111111</v>
      </c>
      <c r="K297" s="17" t="n">
        <v>156</v>
      </c>
      <c r="L297" s="17" t="n">
        <f aca="false">COUNT(E297,I297,K297)</f>
        <v>2</v>
      </c>
      <c r="M297" s="18" t="n">
        <f aca="false">(D297&lt;&gt;"")*(D297&lt;=($E$3*60+$F$3)/86400)+(H297&lt;&gt;"")*(H297&lt;=($I$3*60+$J$3)/86400)+(J297&lt;&gt;"")*(J297&lt;=($M$3*60+$N$3)/86400)</f>
        <v>0</v>
      </c>
      <c r="N297" s="20" t="s">
        <v>549</v>
      </c>
      <c r="O297" s="20"/>
      <c r="P297" s="20"/>
      <c r="Q297" s="19"/>
    </row>
    <row r="298" customFormat="false" ht="15" hidden="false" customHeight="false" outlineLevel="0" collapsed="false">
      <c r="A298" s="10" t="n">
        <v>292</v>
      </c>
      <c r="B298" s="11" t="s">
        <v>550</v>
      </c>
      <c r="C298" s="12" t="s">
        <v>551</v>
      </c>
      <c r="D298" s="13" t="n">
        <v>0.0104300925925926</v>
      </c>
      <c r="E298" s="14" t="n">
        <v>293</v>
      </c>
      <c r="F298" s="15" t="n">
        <f aca="false">IF(D298="","",ROUND((D298-MIN($D$7:$D$9999))*86400,2))</f>
        <v>111.42</v>
      </c>
      <c r="G298" s="10" t="str">
        <f aca="false">IF(D298="","",IF(D298&lt;=($E$3*60+$F$3)/86400,"○",""))</f>
        <v/>
      </c>
      <c r="H298" s="16"/>
      <c r="I298" s="17"/>
      <c r="J298" s="16" t="n">
        <v>0.00291111111111111</v>
      </c>
      <c r="K298" s="17" t="n">
        <v>1029</v>
      </c>
      <c r="L298" s="17" t="n">
        <f aca="false">COUNT(E298,I298,K298)</f>
        <v>2</v>
      </c>
      <c r="M298" s="18" t="n">
        <f aca="false">(D298&lt;&gt;"")*(D298&lt;=($E$3*60+$F$3)/86400)+(H298&lt;&gt;"")*(H298&lt;=($I$3*60+$J$3)/86400)+(J298&lt;&gt;"")*(J298&lt;=($M$3*60+$N$3)/86400)</f>
        <v>0</v>
      </c>
      <c r="N298" s="20"/>
      <c r="O298" s="20"/>
      <c r="P298" s="20"/>
      <c r="Q298" s="19"/>
    </row>
    <row r="299" customFormat="false" ht="15" hidden="false" customHeight="false" outlineLevel="0" collapsed="false">
      <c r="A299" s="10" t="n">
        <v>293</v>
      </c>
      <c r="B299" s="11" t="s">
        <v>552</v>
      </c>
      <c r="C299" s="12" t="s">
        <v>99</v>
      </c>
      <c r="D299" s="13" t="n">
        <v>0.0104302083333333</v>
      </c>
      <c r="E299" s="14" t="n">
        <v>294</v>
      </c>
      <c r="F299" s="15" t="n">
        <f aca="false">IF(D299="","",ROUND((D299-MIN($D$7:$D$9999))*86400,2))</f>
        <v>111.43</v>
      </c>
      <c r="G299" s="10" t="str">
        <f aca="false">IF(D299="","",IF(D299&lt;=($E$3*60+$F$3)/86400,"○",""))</f>
        <v/>
      </c>
      <c r="H299" s="16"/>
      <c r="I299" s="17"/>
      <c r="J299" s="16" t="n">
        <v>0.00273530092592593</v>
      </c>
      <c r="K299" s="17" t="n">
        <v>73</v>
      </c>
      <c r="L299" s="17" t="n">
        <f aca="false">COUNT(E299,I299,K299)</f>
        <v>2</v>
      </c>
      <c r="M299" s="18" t="n">
        <f aca="false">(D299&lt;&gt;"")*(D299&lt;=($E$3*60+$F$3)/86400)+(H299&lt;&gt;"")*(H299&lt;=($I$3*60+$J$3)/86400)+(J299&lt;&gt;"")*(J299&lt;=($M$3*60+$N$3)/86400)</f>
        <v>0</v>
      </c>
      <c r="N299" s="20"/>
      <c r="O299" s="20"/>
      <c r="P299" s="20"/>
      <c r="Q299" s="19"/>
    </row>
    <row r="300" customFormat="false" ht="15" hidden="false" customHeight="false" outlineLevel="0" collapsed="false">
      <c r="A300" s="10" t="n">
        <v>294</v>
      </c>
      <c r="B300" s="11" t="s">
        <v>553</v>
      </c>
      <c r="C300" s="12" t="s">
        <v>438</v>
      </c>
      <c r="D300" s="13" t="n">
        <v>0.0104319444444445</v>
      </c>
      <c r="E300" s="14" t="n">
        <v>295</v>
      </c>
      <c r="F300" s="15" t="n">
        <f aca="false">IF(D300="","",ROUND((D300-MIN($D$7:$D$9999))*86400,2))</f>
        <v>111.58</v>
      </c>
      <c r="G300" s="10" t="str">
        <f aca="false">IF(D300="","",IF(D300&lt;=($E$3*60+$F$3)/86400,"○",""))</f>
        <v/>
      </c>
      <c r="H300" s="16" t="n">
        <v>0.00650046296296296</v>
      </c>
      <c r="I300" s="17" t="n">
        <v>36</v>
      </c>
      <c r="J300" s="16" t="n">
        <v>0.00285821759259259</v>
      </c>
      <c r="K300" s="17" t="n">
        <v>623</v>
      </c>
      <c r="L300" s="17" t="n">
        <f aca="false">COUNT(E300,I300,K300)</f>
        <v>3</v>
      </c>
      <c r="M300" s="18" t="n">
        <f aca="false">(D300&lt;&gt;"")*(D300&lt;=($E$3*60+$F$3)/86400)+(H300&lt;&gt;"")*(H300&lt;=($I$3*60+$J$3)/86400)+(J300&lt;&gt;"")*(J300&lt;=($M$3*60+$N$3)/86400)</f>
        <v>0</v>
      </c>
      <c r="N300" s="20"/>
      <c r="O300" s="20"/>
      <c r="P300" s="20"/>
      <c r="Q300" s="19"/>
    </row>
    <row r="301" customFormat="false" ht="15" hidden="false" customHeight="false" outlineLevel="0" collapsed="false">
      <c r="A301" s="10" t="n">
        <v>295</v>
      </c>
      <c r="B301" s="11" t="s">
        <v>554</v>
      </c>
      <c r="C301" s="12" t="s">
        <v>71</v>
      </c>
      <c r="D301" s="13" t="n">
        <v>0.0104322916666667</v>
      </c>
      <c r="E301" s="14" t="n">
        <v>296</v>
      </c>
      <c r="F301" s="15" t="n">
        <f aca="false">IF(D301="","",ROUND((D301-MIN($D$7:$D$9999))*86400,2))</f>
        <v>111.61</v>
      </c>
      <c r="G301" s="10" t="str">
        <f aca="false">IF(D301="","",IF(D301&lt;=($E$3*60+$F$3)/86400,"○",""))</f>
        <v/>
      </c>
      <c r="H301" s="16"/>
      <c r="I301" s="17"/>
      <c r="J301" s="16" t="n">
        <v>0.00278194444444445</v>
      </c>
      <c r="K301" s="17" t="n">
        <v>210</v>
      </c>
      <c r="L301" s="17" t="n">
        <f aca="false">COUNT(E301,I301,K301)</f>
        <v>2</v>
      </c>
      <c r="M301" s="18" t="n">
        <f aca="false">(D301&lt;&gt;"")*(D301&lt;=($E$3*60+$F$3)/86400)+(H301&lt;&gt;"")*(H301&lt;=($I$3*60+$J$3)/86400)+(J301&lt;&gt;"")*(J301&lt;=($M$3*60+$N$3)/86400)</f>
        <v>0</v>
      </c>
      <c r="N301" s="20"/>
      <c r="O301" s="20"/>
      <c r="P301" s="20"/>
      <c r="Q301" s="19"/>
    </row>
    <row r="302" customFormat="false" ht="15" hidden="false" customHeight="false" outlineLevel="0" collapsed="false">
      <c r="A302" s="10" t="n">
        <v>296</v>
      </c>
      <c r="B302" s="11" t="s">
        <v>555</v>
      </c>
      <c r="C302" s="12" t="s">
        <v>556</v>
      </c>
      <c r="D302" s="13" t="n">
        <v>0.0104341435185185</v>
      </c>
      <c r="E302" s="14" t="n">
        <v>297</v>
      </c>
      <c r="F302" s="15" t="n">
        <f aca="false">IF(D302="","",ROUND((D302-MIN($D$7:$D$9999))*86400,2))</f>
        <v>111.77</v>
      </c>
      <c r="G302" s="10" t="str">
        <f aca="false">IF(D302="","",IF(D302&lt;=($E$3*60+$F$3)/86400,"○",""))</f>
        <v/>
      </c>
      <c r="H302" s="16"/>
      <c r="I302" s="17"/>
      <c r="J302" s="16"/>
      <c r="K302" s="17"/>
      <c r="L302" s="17" t="n">
        <f aca="false">COUNT(E302,I302,K302)</f>
        <v>1</v>
      </c>
      <c r="M302" s="18" t="n">
        <f aca="false">(D302&lt;&gt;"")*(D302&lt;=($E$3*60+$F$3)/86400)+(H302&lt;&gt;"")*(H302&lt;=($I$3*60+$J$3)/86400)+(J302&lt;&gt;"")*(J302&lt;=($M$3*60+$N$3)/86400)</f>
        <v>0</v>
      </c>
      <c r="N302" s="20"/>
      <c r="O302" s="20"/>
      <c r="P302" s="20"/>
      <c r="Q302" s="19"/>
    </row>
    <row r="303" customFormat="false" ht="15" hidden="false" customHeight="false" outlineLevel="0" collapsed="false">
      <c r="A303" s="10" t="n">
        <v>297</v>
      </c>
      <c r="B303" s="11" t="s">
        <v>557</v>
      </c>
      <c r="C303" s="12" t="s">
        <v>397</v>
      </c>
      <c r="D303" s="13" t="n">
        <v>0.0104372685185185</v>
      </c>
      <c r="E303" s="14" t="n">
        <v>298</v>
      </c>
      <c r="F303" s="15" t="n">
        <f aca="false">IF(D303="","",ROUND((D303-MIN($D$7:$D$9999))*86400,2))</f>
        <v>112.04</v>
      </c>
      <c r="G303" s="10" t="str">
        <f aca="false">IF(D303="","",IF(D303&lt;=($E$3*60+$F$3)/86400,"○",""))</f>
        <v/>
      </c>
      <c r="H303" s="16"/>
      <c r="I303" s="17"/>
      <c r="J303" s="16" t="n">
        <v>0.00284768518518519</v>
      </c>
      <c r="K303" s="17" t="n">
        <v>555</v>
      </c>
      <c r="L303" s="17" t="n">
        <f aca="false">COUNT(E303,I303,K303)</f>
        <v>2</v>
      </c>
      <c r="M303" s="18" t="n">
        <f aca="false">(D303&lt;&gt;"")*(D303&lt;=($E$3*60+$F$3)/86400)+(H303&lt;&gt;"")*(H303&lt;=($I$3*60+$J$3)/86400)+(J303&lt;&gt;"")*(J303&lt;=($M$3*60+$N$3)/86400)</f>
        <v>0</v>
      </c>
      <c r="N303" s="20"/>
      <c r="O303" s="20"/>
      <c r="P303" s="20"/>
      <c r="Q303" s="19"/>
    </row>
    <row r="304" customFormat="false" ht="15" hidden="false" customHeight="false" outlineLevel="0" collapsed="false">
      <c r="A304" s="10" t="n">
        <v>298</v>
      </c>
      <c r="B304" s="11" t="s">
        <v>558</v>
      </c>
      <c r="C304" s="12" t="s">
        <v>559</v>
      </c>
      <c r="D304" s="13" t="n">
        <v>0.010437962962963</v>
      </c>
      <c r="E304" s="14" t="n">
        <v>299</v>
      </c>
      <c r="F304" s="15" t="n">
        <f aca="false">IF(D304="","",ROUND((D304-MIN($D$7:$D$9999))*86400,2))</f>
        <v>112.1</v>
      </c>
      <c r="G304" s="10" t="str">
        <f aca="false">IF(D304="","",IF(D304&lt;=($E$3*60+$F$3)/86400,"○",""))</f>
        <v/>
      </c>
      <c r="H304" s="16"/>
      <c r="I304" s="17"/>
      <c r="J304" s="16" t="n">
        <v>0.0027755787037037</v>
      </c>
      <c r="K304" s="17" t="n">
        <v>176</v>
      </c>
      <c r="L304" s="17" t="n">
        <f aca="false">COUNT(E304,I304,K304)</f>
        <v>2</v>
      </c>
      <c r="M304" s="18" t="n">
        <f aca="false">(D304&lt;&gt;"")*(D304&lt;=($E$3*60+$F$3)/86400)+(H304&lt;&gt;"")*(H304&lt;=($I$3*60+$J$3)/86400)+(J304&lt;&gt;"")*(J304&lt;=($M$3*60+$N$3)/86400)</f>
        <v>0</v>
      </c>
      <c r="N304" s="20"/>
      <c r="O304" s="20"/>
      <c r="P304" s="20"/>
      <c r="Q304" s="19"/>
    </row>
    <row r="305" customFormat="false" ht="15" hidden="false" customHeight="false" outlineLevel="0" collapsed="false">
      <c r="A305" s="10" t="n">
        <v>299</v>
      </c>
      <c r="B305" s="11" t="s">
        <v>560</v>
      </c>
      <c r="C305" s="12" t="s">
        <v>561</v>
      </c>
      <c r="D305" s="13" t="n">
        <v>0.0104451388888889</v>
      </c>
      <c r="E305" s="14" t="n">
        <v>300</v>
      </c>
      <c r="F305" s="15" t="n">
        <f aca="false">IF(D305="","",ROUND((D305-MIN($D$7:$D$9999))*86400,2))</f>
        <v>112.72</v>
      </c>
      <c r="G305" s="10" t="str">
        <f aca="false">IF(D305="","",IF(D305&lt;=($E$3*60+$F$3)/86400,"○",""))</f>
        <v/>
      </c>
      <c r="H305" s="16"/>
      <c r="I305" s="17"/>
      <c r="J305" s="16" t="n">
        <v>0.00283518518518519</v>
      </c>
      <c r="K305" s="17" t="n">
        <v>462</v>
      </c>
      <c r="L305" s="17" t="n">
        <f aca="false">COUNT(E305,I305,K305)</f>
        <v>2</v>
      </c>
      <c r="M305" s="18" t="n">
        <f aca="false">(D305&lt;&gt;"")*(D305&lt;=($E$3*60+$F$3)/86400)+(H305&lt;&gt;"")*(H305&lt;=($I$3*60+$J$3)/86400)+(J305&lt;&gt;"")*(J305&lt;=($M$3*60+$N$3)/86400)</f>
        <v>0</v>
      </c>
      <c r="N305" s="20" t="s">
        <v>562</v>
      </c>
      <c r="O305" s="20"/>
      <c r="P305" s="20"/>
      <c r="Q305" s="19"/>
    </row>
    <row r="306" customFormat="false" ht="15" hidden="false" customHeight="false" outlineLevel="0" collapsed="false">
      <c r="A306" s="10" t="n">
        <v>300</v>
      </c>
      <c r="B306" s="11" t="s">
        <v>563</v>
      </c>
      <c r="C306" s="12" t="s">
        <v>125</v>
      </c>
      <c r="D306" s="13" t="n">
        <v>0.0104480324074074</v>
      </c>
      <c r="E306" s="14" t="n">
        <v>301</v>
      </c>
      <c r="F306" s="15" t="n">
        <f aca="false">IF(D306="","",ROUND((D306-MIN($D$7:$D$9999))*86400,2))</f>
        <v>112.97</v>
      </c>
      <c r="G306" s="10" t="str">
        <f aca="false">IF(D306="","",IF(D306&lt;=($E$3*60+$F$3)/86400,"○",""))</f>
        <v/>
      </c>
      <c r="H306" s="16" t="n">
        <v>0.00657083333333333</v>
      </c>
      <c r="I306" s="17" t="n">
        <v>59</v>
      </c>
      <c r="J306" s="16" t="n">
        <v>0.00284861111111111</v>
      </c>
      <c r="K306" s="17" t="n">
        <v>559</v>
      </c>
      <c r="L306" s="17" t="n">
        <f aca="false">COUNT(E306,I306,K306)</f>
        <v>3</v>
      </c>
      <c r="M306" s="18" t="n">
        <f aca="false">(D306&lt;&gt;"")*(D306&lt;=($E$3*60+$F$3)/86400)+(H306&lt;&gt;"")*(H306&lt;=($I$3*60+$J$3)/86400)+(J306&lt;&gt;"")*(J306&lt;=($M$3*60+$N$3)/86400)</f>
        <v>0</v>
      </c>
      <c r="N306" s="20"/>
      <c r="O306" s="20"/>
      <c r="P306" s="20"/>
      <c r="Q306" s="19"/>
    </row>
    <row r="307" customFormat="false" ht="15" hidden="false" customHeight="false" outlineLevel="0" collapsed="false">
      <c r="A307" s="10" t="n">
        <v>301</v>
      </c>
      <c r="B307" s="11" t="s">
        <v>564</v>
      </c>
      <c r="C307" s="12" t="s">
        <v>565</v>
      </c>
      <c r="D307" s="13" t="n">
        <v>0.0104483796296296</v>
      </c>
      <c r="E307" s="14" t="n">
        <v>302</v>
      </c>
      <c r="F307" s="15" t="n">
        <f aca="false">IF(D307="","",ROUND((D307-MIN($D$7:$D$9999))*86400,2))</f>
        <v>113</v>
      </c>
      <c r="G307" s="10" t="str">
        <f aca="false">IF(D307="","",IF(D307&lt;=($E$3*60+$F$3)/86400,"○",""))</f>
        <v/>
      </c>
      <c r="H307" s="16" t="n">
        <v>0.00723009259259259</v>
      </c>
      <c r="I307" s="17" t="n">
        <v>574</v>
      </c>
      <c r="J307" s="16" t="n">
        <v>0.00286956018518519</v>
      </c>
      <c r="K307" s="17" t="n">
        <v>691</v>
      </c>
      <c r="L307" s="17" t="n">
        <f aca="false">COUNT(E307,I307,K307)</f>
        <v>3</v>
      </c>
      <c r="M307" s="18" t="n">
        <f aca="false">(D307&lt;&gt;"")*(D307&lt;=($E$3*60+$F$3)/86400)+(H307&lt;&gt;"")*(H307&lt;=($I$3*60+$J$3)/86400)+(J307&lt;&gt;"")*(J307&lt;=($M$3*60+$N$3)/86400)</f>
        <v>0</v>
      </c>
      <c r="N307" s="20"/>
      <c r="O307" s="20"/>
      <c r="P307" s="20"/>
      <c r="Q307" s="19"/>
    </row>
    <row r="308" customFormat="false" ht="15" hidden="false" customHeight="false" outlineLevel="0" collapsed="false">
      <c r="A308" s="10" t="n">
        <v>302</v>
      </c>
      <c r="B308" s="11" t="s">
        <v>566</v>
      </c>
      <c r="C308" s="12" t="s">
        <v>285</v>
      </c>
      <c r="D308" s="13" t="n">
        <v>0.0104486111111111</v>
      </c>
      <c r="E308" s="14" t="n">
        <v>303</v>
      </c>
      <c r="F308" s="15" t="n">
        <f aca="false">IF(D308="","",ROUND((D308-MIN($D$7:$D$9999))*86400,2))</f>
        <v>113.02</v>
      </c>
      <c r="G308" s="10" t="str">
        <f aca="false">IF(D308="","",IF(D308&lt;=($E$3*60+$F$3)/86400,"○",""))</f>
        <v/>
      </c>
      <c r="H308" s="16" t="n">
        <v>0.00772731481481481</v>
      </c>
      <c r="I308" s="17" t="n">
        <v>1094</v>
      </c>
      <c r="J308" s="16" t="n">
        <v>0.00287083333333333</v>
      </c>
      <c r="K308" s="17" t="n">
        <v>703</v>
      </c>
      <c r="L308" s="17" t="n">
        <f aca="false">COUNT(E308,I308,K308)</f>
        <v>3</v>
      </c>
      <c r="M308" s="18" t="n">
        <f aca="false">(D308&lt;&gt;"")*(D308&lt;=($E$3*60+$F$3)/86400)+(H308&lt;&gt;"")*(H308&lt;=($I$3*60+$J$3)/86400)+(J308&lt;&gt;"")*(J308&lt;=($M$3*60+$N$3)/86400)</f>
        <v>0</v>
      </c>
      <c r="N308" s="20"/>
      <c r="O308" s="20" t="s">
        <v>567</v>
      </c>
      <c r="P308" s="20"/>
      <c r="Q308" s="19"/>
    </row>
    <row r="309" customFormat="false" ht="15" hidden="false" customHeight="false" outlineLevel="0" collapsed="false">
      <c r="A309" s="10" t="n">
        <v>303</v>
      </c>
      <c r="B309" s="11" t="s">
        <v>568</v>
      </c>
      <c r="C309" s="12" t="s">
        <v>569</v>
      </c>
      <c r="D309" s="13" t="n">
        <v>0.0104509259259259</v>
      </c>
      <c r="E309" s="14" t="n">
        <v>304</v>
      </c>
      <c r="F309" s="15" t="n">
        <f aca="false">IF(D309="","",ROUND((D309-MIN($D$7:$D$9999))*86400,2))</f>
        <v>113.22</v>
      </c>
      <c r="G309" s="10" t="str">
        <f aca="false">IF(D309="","",IF(D309&lt;=($E$3*60+$F$3)/86400,"○",""))</f>
        <v/>
      </c>
      <c r="H309" s="16"/>
      <c r="I309" s="17"/>
      <c r="J309" s="16" t="n">
        <v>0.00272256944444444</v>
      </c>
      <c r="K309" s="17" t="n">
        <v>52</v>
      </c>
      <c r="L309" s="17" t="n">
        <f aca="false">COUNT(E309,I309,K309)</f>
        <v>2</v>
      </c>
      <c r="M309" s="18" t="n">
        <f aca="false">(D309&lt;&gt;"")*(D309&lt;=($E$3*60+$F$3)/86400)+(H309&lt;&gt;"")*(H309&lt;=($I$3*60+$J$3)/86400)+(J309&lt;&gt;"")*(J309&lt;=($M$3*60+$N$3)/86400)</f>
        <v>0</v>
      </c>
      <c r="N309" s="20"/>
      <c r="O309" s="20"/>
      <c r="P309" s="20"/>
      <c r="Q309" s="19"/>
    </row>
    <row r="310" customFormat="false" ht="15" hidden="false" customHeight="false" outlineLevel="0" collapsed="false">
      <c r="A310" s="10" t="n">
        <v>304</v>
      </c>
      <c r="B310" s="11" t="s">
        <v>570</v>
      </c>
      <c r="C310" s="12" t="s">
        <v>141</v>
      </c>
      <c r="D310" s="13" t="n">
        <v>0.0104532407407407</v>
      </c>
      <c r="E310" s="14" t="n">
        <v>305</v>
      </c>
      <c r="F310" s="15" t="n">
        <f aca="false">IF(D310="","",ROUND((D310-MIN($D$7:$D$9999))*86400,2))</f>
        <v>113.42</v>
      </c>
      <c r="G310" s="10" t="str">
        <f aca="false">IF(D310="","",IF(D310&lt;=($E$3*60+$F$3)/86400,"○",""))</f>
        <v/>
      </c>
      <c r="H310" s="16"/>
      <c r="I310" s="17"/>
      <c r="J310" s="16" t="n">
        <v>0.00279988425925926</v>
      </c>
      <c r="K310" s="17" t="n">
        <v>284</v>
      </c>
      <c r="L310" s="17" t="n">
        <f aca="false">COUNT(E310,I310,K310)</f>
        <v>2</v>
      </c>
      <c r="M310" s="18" t="n">
        <f aca="false">(D310&lt;&gt;"")*(D310&lt;=($E$3*60+$F$3)/86400)+(H310&lt;&gt;"")*(H310&lt;=($I$3*60+$J$3)/86400)+(J310&lt;&gt;"")*(J310&lt;=($M$3*60+$N$3)/86400)</f>
        <v>0</v>
      </c>
      <c r="N310" s="20"/>
      <c r="O310" s="20"/>
      <c r="P310" s="12" t="s">
        <v>571</v>
      </c>
      <c r="Q310" s="19"/>
    </row>
    <row r="311" customFormat="false" ht="15" hidden="false" customHeight="false" outlineLevel="0" collapsed="false">
      <c r="A311" s="10" t="n">
        <v>305</v>
      </c>
      <c r="B311" s="11" t="s">
        <v>572</v>
      </c>
      <c r="C311" s="12" t="s">
        <v>573</v>
      </c>
      <c r="D311" s="13" t="n">
        <v>0.0104540509259259</v>
      </c>
      <c r="E311" s="14" t="n">
        <v>306</v>
      </c>
      <c r="F311" s="15" t="n">
        <f aca="false">IF(D311="","",ROUND((D311-MIN($D$7:$D$9999))*86400,2))</f>
        <v>113.49</v>
      </c>
      <c r="G311" s="10" t="str">
        <f aca="false">IF(D311="","",IF(D311&lt;=($E$3*60+$F$3)/86400,"○",""))</f>
        <v/>
      </c>
      <c r="H311" s="16"/>
      <c r="I311" s="17"/>
      <c r="J311" s="16" t="n">
        <v>0.002840625</v>
      </c>
      <c r="K311" s="17" t="n">
        <v>501</v>
      </c>
      <c r="L311" s="17" t="n">
        <f aca="false">COUNT(E311,I311,K311)</f>
        <v>2</v>
      </c>
      <c r="M311" s="18" t="n">
        <f aca="false">(D311&lt;&gt;"")*(D311&lt;=($E$3*60+$F$3)/86400)+(H311&lt;&gt;"")*(H311&lt;=($I$3*60+$J$3)/86400)+(J311&lt;&gt;"")*(J311&lt;=($M$3*60+$N$3)/86400)</f>
        <v>0</v>
      </c>
      <c r="N311" s="20"/>
      <c r="O311" s="20"/>
      <c r="P311" s="20"/>
      <c r="Q311" s="19"/>
    </row>
    <row r="312" customFormat="false" ht="15" hidden="false" customHeight="false" outlineLevel="0" collapsed="false">
      <c r="A312" s="10" t="n">
        <v>306</v>
      </c>
      <c r="B312" s="11" t="s">
        <v>574</v>
      </c>
      <c r="C312" s="12" t="s">
        <v>575</v>
      </c>
      <c r="D312" s="13" t="n">
        <v>0.0104564814814815</v>
      </c>
      <c r="E312" s="14" t="n">
        <v>307</v>
      </c>
      <c r="F312" s="15" t="n">
        <f aca="false">IF(D312="","",ROUND((D312-MIN($D$7:$D$9999))*86400,2))</f>
        <v>113.7</v>
      </c>
      <c r="G312" s="10" t="str">
        <f aca="false">IF(D312="","",IF(D312&lt;=($E$3*60+$F$3)/86400,"○",""))</f>
        <v/>
      </c>
      <c r="H312" s="16"/>
      <c r="I312" s="17"/>
      <c r="J312" s="16" t="n">
        <v>0.00282835648148148</v>
      </c>
      <c r="K312" s="17" t="n">
        <v>414</v>
      </c>
      <c r="L312" s="17" t="n">
        <f aca="false">COUNT(E312,I312,K312)</f>
        <v>2</v>
      </c>
      <c r="M312" s="18" t="n">
        <f aca="false">(D312&lt;&gt;"")*(D312&lt;=($E$3*60+$F$3)/86400)+(H312&lt;&gt;"")*(H312&lt;=($I$3*60+$J$3)/86400)+(J312&lt;&gt;"")*(J312&lt;=($M$3*60+$N$3)/86400)</f>
        <v>0</v>
      </c>
      <c r="N312" s="20"/>
      <c r="O312" s="20"/>
      <c r="P312" s="20"/>
      <c r="Q312" s="19"/>
    </row>
    <row r="313" customFormat="false" ht="15" hidden="false" customHeight="false" outlineLevel="0" collapsed="false">
      <c r="A313" s="10" t="n">
        <v>307</v>
      </c>
      <c r="B313" s="11" t="s">
        <v>576</v>
      </c>
      <c r="C313" s="12" t="s">
        <v>577</v>
      </c>
      <c r="D313" s="13" t="n">
        <v>0.0104578703703704</v>
      </c>
      <c r="E313" s="14" t="n">
        <v>308</v>
      </c>
      <c r="F313" s="15" t="n">
        <f aca="false">IF(D313="","",ROUND((D313-MIN($D$7:$D$9999))*86400,2))</f>
        <v>113.82</v>
      </c>
      <c r="G313" s="10" t="str">
        <f aca="false">IF(D313="","",IF(D313&lt;=($E$3*60+$F$3)/86400,"○",""))</f>
        <v/>
      </c>
      <c r="H313" s="16"/>
      <c r="I313" s="17"/>
      <c r="J313" s="16" t="n">
        <v>0.00274791666666667</v>
      </c>
      <c r="K313" s="17" t="n">
        <v>96</v>
      </c>
      <c r="L313" s="17" t="n">
        <f aca="false">COUNT(E313,I313,K313)</f>
        <v>2</v>
      </c>
      <c r="M313" s="18" t="n">
        <f aca="false">(D313&lt;&gt;"")*(D313&lt;=($E$3*60+$F$3)/86400)+(H313&lt;&gt;"")*(H313&lt;=($I$3*60+$J$3)/86400)+(J313&lt;&gt;"")*(J313&lt;=($M$3*60+$N$3)/86400)</f>
        <v>0</v>
      </c>
      <c r="N313" s="20"/>
      <c r="O313" s="20"/>
      <c r="P313" s="20"/>
      <c r="Q313" s="19"/>
    </row>
    <row r="314" customFormat="false" ht="15" hidden="false" customHeight="false" outlineLevel="0" collapsed="false">
      <c r="A314" s="10" t="n">
        <v>308</v>
      </c>
      <c r="B314" s="11" t="s">
        <v>578</v>
      </c>
      <c r="C314" s="12" t="s">
        <v>152</v>
      </c>
      <c r="D314" s="13" t="n">
        <v>0.0104579861111111</v>
      </c>
      <c r="E314" s="14" t="n">
        <v>309</v>
      </c>
      <c r="F314" s="15" t="n">
        <f aca="false">IF(D314="","",ROUND((D314-MIN($D$7:$D$9999))*86400,2))</f>
        <v>113.83</v>
      </c>
      <c r="G314" s="10" t="str">
        <f aca="false">IF(D314="","",IF(D314&lt;=($E$3*60+$F$3)/86400,"○",""))</f>
        <v/>
      </c>
      <c r="H314" s="16"/>
      <c r="I314" s="17"/>
      <c r="J314" s="16"/>
      <c r="K314" s="17"/>
      <c r="L314" s="17" t="n">
        <f aca="false">COUNT(E314,I314,K314)</f>
        <v>1</v>
      </c>
      <c r="M314" s="18" t="n">
        <f aca="false">(D314&lt;&gt;"")*(D314&lt;=($E$3*60+$F$3)/86400)+(H314&lt;&gt;"")*(H314&lt;=($I$3*60+$J$3)/86400)+(J314&lt;&gt;"")*(J314&lt;=($M$3*60+$N$3)/86400)</f>
        <v>0</v>
      </c>
      <c r="N314" s="20"/>
      <c r="O314" s="20"/>
      <c r="P314" s="20"/>
      <c r="Q314" s="19"/>
    </row>
    <row r="315" customFormat="false" ht="15" hidden="false" customHeight="false" outlineLevel="0" collapsed="false">
      <c r="A315" s="10" t="n">
        <v>309</v>
      </c>
      <c r="B315" s="11" t="s">
        <v>579</v>
      </c>
      <c r="C315" s="12" t="s">
        <v>129</v>
      </c>
      <c r="D315" s="13" t="n">
        <v>0.010459375</v>
      </c>
      <c r="E315" s="14" t="n">
        <v>310</v>
      </c>
      <c r="F315" s="15" t="n">
        <f aca="false">IF(D315="","",ROUND((D315-MIN($D$7:$D$9999))*86400,2))</f>
        <v>113.95</v>
      </c>
      <c r="G315" s="10" t="str">
        <f aca="false">IF(D315="","",IF(D315&lt;=($E$3*60+$F$3)/86400,"○",""))</f>
        <v/>
      </c>
      <c r="H315" s="16"/>
      <c r="I315" s="17"/>
      <c r="J315" s="16"/>
      <c r="K315" s="17"/>
      <c r="L315" s="17" t="n">
        <f aca="false">COUNT(E315,I315,K315)</f>
        <v>1</v>
      </c>
      <c r="M315" s="18" t="n">
        <f aca="false">(D315&lt;&gt;"")*(D315&lt;=($E$3*60+$F$3)/86400)+(H315&lt;&gt;"")*(H315&lt;=($I$3*60+$J$3)/86400)+(J315&lt;&gt;"")*(J315&lt;=($M$3*60+$N$3)/86400)</f>
        <v>0</v>
      </c>
      <c r="N315" s="20"/>
      <c r="O315" s="20" t="s">
        <v>580</v>
      </c>
      <c r="P315" s="20"/>
      <c r="Q315" s="19"/>
    </row>
    <row r="316" customFormat="false" ht="15" hidden="false" customHeight="false" outlineLevel="0" collapsed="false">
      <c r="A316" s="10" t="n">
        <v>310</v>
      </c>
      <c r="B316" s="11" t="s">
        <v>581</v>
      </c>
      <c r="C316" s="12" t="s">
        <v>71</v>
      </c>
      <c r="D316" s="13" t="n">
        <v>0.0104604166666667</v>
      </c>
      <c r="E316" s="14" t="n">
        <v>311</v>
      </c>
      <c r="F316" s="15" t="n">
        <f aca="false">IF(D316="","",ROUND((D316-MIN($D$7:$D$9999))*86400,2))</f>
        <v>114.04</v>
      </c>
      <c r="G316" s="10" t="str">
        <f aca="false">IF(D316="","",IF(D316&lt;=($E$3*60+$F$3)/86400,"○",""))</f>
        <v/>
      </c>
      <c r="H316" s="16"/>
      <c r="I316" s="17"/>
      <c r="J316" s="16" t="n">
        <v>0.00297962962962963</v>
      </c>
      <c r="K316" s="17" t="n">
        <v>1350</v>
      </c>
      <c r="L316" s="17" t="n">
        <f aca="false">COUNT(E316,I316,K316)</f>
        <v>2</v>
      </c>
      <c r="M316" s="18" t="n">
        <f aca="false">(D316&lt;&gt;"")*(D316&lt;=($E$3*60+$F$3)/86400)+(H316&lt;&gt;"")*(H316&lt;=($I$3*60+$J$3)/86400)+(J316&lt;&gt;"")*(J316&lt;=($M$3*60+$N$3)/86400)</f>
        <v>0</v>
      </c>
      <c r="N316" s="20"/>
      <c r="O316" s="20"/>
      <c r="P316" s="20"/>
      <c r="Q316" s="19"/>
    </row>
    <row r="317" customFormat="false" ht="15" hidden="false" customHeight="false" outlineLevel="0" collapsed="false">
      <c r="A317" s="10" t="n">
        <v>311</v>
      </c>
      <c r="B317" s="11" t="s">
        <v>582</v>
      </c>
      <c r="C317" s="12" t="s">
        <v>77</v>
      </c>
      <c r="D317" s="13" t="n">
        <v>0.0104619212962963</v>
      </c>
      <c r="E317" s="14" t="n">
        <v>312</v>
      </c>
      <c r="F317" s="15" t="n">
        <f aca="false">IF(D317="","",ROUND((D317-MIN($D$7:$D$9999))*86400,2))</f>
        <v>114.17</v>
      </c>
      <c r="G317" s="10" t="str">
        <f aca="false">IF(D317="","",IF(D317&lt;=($E$3*60+$F$3)/86400,"○",""))</f>
        <v/>
      </c>
      <c r="H317" s="16"/>
      <c r="I317" s="17"/>
      <c r="J317" s="16" t="n">
        <v>0.00289143518518519</v>
      </c>
      <c r="K317" s="17" t="n">
        <v>881</v>
      </c>
      <c r="L317" s="17" t="n">
        <f aca="false">COUNT(E317,I317,K317)</f>
        <v>2</v>
      </c>
      <c r="M317" s="18" t="n">
        <f aca="false">(D317&lt;&gt;"")*(D317&lt;=($E$3*60+$F$3)/86400)+(H317&lt;&gt;"")*(H317&lt;=($I$3*60+$J$3)/86400)+(J317&lt;&gt;"")*(J317&lt;=($M$3*60+$N$3)/86400)</f>
        <v>0</v>
      </c>
      <c r="N317" s="20"/>
      <c r="O317" s="20"/>
      <c r="P317" s="20"/>
      <c r="Q317" s="19"/>
    </row>
    <row r="318" customFormat="false" ht="15" hidden="false" customHeight="false" outlineLevel="0" collapsed="false">
      <c r="A318" s="10" t="n">
        <v>312</v>
      </c>
      <c r="B318" s="11" t="s">
        <v>583</v>
      </c>
      <c r="C318" s="12" t="s">
        <v>214</v>
      </c>
      <c r="D318" s="13" t="n">
        <v>0.010462962962963</v>
      </c>
      <c r="E318" s="14" t="n">
        <v>313</v>
      </c>
      <c r="F318" s="15" t="n">
        <f aca="false">IF(D318="","",ROUND((D318-MIN($D$7:$D$9999))*86400,2))</f>
        <v>114.26</v>
      </c>
      <c r="G318" s="10" t="str">
        <f aca="false">IF(D318="","",IF(D318&lt;=($E$3*60+$F$3)/86400,"○",""))</f>
        <v/>
      </c>
      <c r="H318" s="16"/>
      <c r="I318" s="17"/>
      <c r="J318" s="16" t="n">
        <v>0.00291898148148148</v>
      </c>
      <c r="K318" s="17" t="n">
        <v>1083</v>
      </c>
      <c r="L318" s="17" t="n">
        <f aca="false">COUNT(E318,I318,K318)</f>
        <v>2</v>
      </c>
      <c r="M318" s="18" t="n">
        <f aca="false">(D318&lt;&gt;"")*(D318&lt;=($E$3*60+$F$3)/86400)+(H318&lt;&gt;"")*(H318&lt;=($I$3*60+$J$3)/86400)+(J318&lt;&gt;"")*(J318&lt;=($M$3*60+$N$3)/86400)</f>
        <v>0</v>
      </c>
      <c r="N318" s="20"/>
      <c r="O318" s="20"/>
      <c r="P318" s="20"/>
      <c r="Q318" s="19"/>
    </row>
    <row r="319" customFormat="false" ht="15" hidden="false" customHeight="false" outlineLevel="0" collapsed="false">
      <c r="A319" s="10" t="n">
        <v>313</v>
      </c>
      <c r="B319" s="11" t="s">
        <v>584</v>
      </c>
      <c r="C319" s="12" t="s">
        <v>585</v>
      </c>
      <c r="D319" s="13" t="n">
        <v>0.0104634259259259</v>
      </c>
      <c r="E319" s="14" t="n">
        <v>314</v>
      </c>
      <c r="F319" s="15" t="n">
        <f aca="false">IF(D319="","",ROUND((D319-MIN($D$7:$D$9999))*86400,2))</f>
        <v>114.3</v>
      </c>
      <c r="G319" s="10" t="str">
        <f aca="false">IF(D319="","",IF(D319&lt;=($E$3*60+$F$3)/86400,"○",""))</f>
        <v/>
      </c>
      <c r="H319" s="16"/>
      <c r="I319" s="17"/>
      <c r="J319" s="16"/>
      <c r="K319" s="17"/>
      <c r="L319" s="17" t="n">
        <f aca="false">COUNT(E319,I319,K319)</f>
        <v>1</v>
      </c>
      <c r="M319" s="18" t="n">
        <f aca="false">(D319&lt;&gt;"")*(D319&lt;=($E$3*60+$F$3)/86400)+(H319&lt;&gt;"")*(H319&lt;=($I$3*60+$J$3)/86400)+(J319&lt;&gt;"")*(J319&lt;=($M$3*60+$N$3)/86400)</f>
        <v>0</v>
      </c>
      <c r="N319" s="20"/>
      <c r="O319" s="20"/>
      <c r="P319" s="12" t="s">
        <v>586</v>
      </c>
      <c r="Q319" s="19"/>
    </row>
    <row r="320" customFormat="false" ht="15" hidden="false" customHeight="false" outlineLevel="0" collapsed="false">
      <c r="A320" s="10" t="n">
        <v>314</v>
      </c>
      <c r="B320" s="11" t="s">
        <v>587</v>
      </c>
      <c r="C320" s="12" t="s">
        <v>141</v>
      </c>
      <c r="D320" s="13" t="n">
        <v>0.010465162037037</v>
      </c>
      <c r="E320" s="14" t="n">
        <v>315</v>
      </c>
      <c r="F320" s="15" t="n">
        <f aca="false">IF(D320="","",ROUND((D320-MIN($D$7:$D$9999))*86400,2))</f>
        <v>114.45</v>
      </c>
      <c r="G320" s="10" t="str">
        <f aca="false">IF(D320="","",IF(D320&lt;=($E$3*60+$F$3)/86400,"○",""))</f>
        <v/>
      </c>
      <c r="H320" s="16" t="n">
        <v>0.00664930555555556</v>
      </c>
      <c r="I320" s="17" t="n">
        <v>82</v>
      </c>
      <c r="J320" s="16" t="n">
        <v>0.00282824074074074</v>
      </c>
      <c r="K320" s="17" t="n">
        <v>413</v>
      </c>
      <c r="L320" s="17" t="n">
        <f aca="false">COUNT(E320,I320,K320)</f>
        <v>3</v>
      </c>
      <c r="M320" s="18" t="n">
        <f aca="false">(D320&lt;&gt;"")*(D320&lt;=($E$3*60+$F$3)/86400)+(H320&lt;&gt;"")*(H320&lt;=($I$3*60+$J$3)/86400)+(J320&lt;&gt;"")*(J320&lt;=($M$3*60+$N$3)/86400)</f>
        <v>0</v>
      </c>
      <c r="N320" s="20"/>
      <c r="O320" s="20"/>
      <c r="P320" s="12" t="s">
        <v>571</v>
      </c>
      <c r="Q320" s="19"/>
    </row>
    <row r="321" customFormat="false" ht="15" hidden="false" customHeight="false" outlineLevel="0" collapsed="false">
      <c r="A321" s="10" t="n">
        <v>315</v>
      </c>
      <c r="B321" s="11" t="s">
        <v>588</v>
      </c>
      <c r="C321" s="12" t="s">
        <v>589</v>
      </c>
      <c r="D321" s="13" t="n">
        <v>0.0104655092592593</v>
      </c>
      <c r="E321" s="14" t="n">
        <v>316</v>
      </c>
      <c r="F321" s="15" t="n">
        <f aca="false">IF(D321="","",ROUND((D321-MIN($D$7:$D$9999))*86400,2))</f>
        <v>114.48</v>
      </c>
      <c r="G321" s="10" t="str">
        <f aca="false">IF(D321="","",IF(D321&lt;=($E$3*60+$F$3)/86400,"○",""))</f>
        <v/>
      </c>
      <c r="H321" s="16" t="n">
        <v>0.00672824074074074</v>
      </c>
      <c r="I321" s="17" t="n">
        <v>119</v>
      </c>
      <c r="J321" s="16" t="n">
        <v>0.00280833333333333</v>
      </c>
      <c r="K321" s="17" t="n">
        <v>318</v>
      </c>
      <c r="L321" s="17" t="n">
        <f aca="false">COUNT(E321,I321,K321)</f>
        <v>3</v>
      </c>
      <c r="M321" s="18" t="n">
        <f aca="false">(D321&lt;&gt;"")*(D321&lt;=($E$3*60+$F$3)/86400)+(H321&lt;&gt;"")*(H321&lt;=($I$3*60+$J$3)/86400)+(J321&lt;&gt;"")*(J321&lt;=($M$3*60+$N$3)/86400)</f>
        <v>0</v>
      </c>
      <c r="N321" s="20"/>
      <c r="O321" s="20"/>
      <c r="P321" s="20"/>
      <c r="Q321" s="19"/>
    </row>
    <row r="322" customFormat="false" ht="15" hidden="false" customHeight="false" outlineLevel="0" collapsed="false">
      <c r="A322" s="10" t="n">
        <v>316</v>
      </c>
      <c r="B322" s="11" t="s">
        <v>590</v>
      </c>
      <c r="C322" s="12" t="s">
        <v>591</v>
      </c>
      <c r="D322" s="13" t="n">
        <v>0.0104688657407407</v>
      </c>
      <c r="E322" s="14" t="n">
        <v>317</v>
      </c>
      <c r="F322" s="15" t="n">
        <f aca="false">IF(D322="","",ROUND((D322-MIN($D$7:$D$9999))*86400,2))</f>
        <v>114.77</v>
      </c>
      <c r="G322" s="10" t="str">
        <f aca="false">IF(D322="","",IF(D322&lt;=($E$3*60+$F$3)/86400,"○",""))</f>
        <v/>
      </c>
      <c r="H322" s="16"/>
      <c r="I322" s="17"/>
      <c r="J322" s="16" t="n">
        <v>0.00282638888888889</v>
      </c>
      <c r="K322" s="17" t="n">
        <v>401</v>
      </c>
      <c r="L322" s="17" t="n">
        <f aca="false">COUNT(E322,I322,K322)</f>
        <v>2</v>
      </c>
      <c r="M322" s="18" t="n">
        <f aca="false">(D322&lt;&gt;"")*(D322&lt;=($E$3*60+$F$3)/86400)+(H322&lt;&gt;"")*(H322&lt;=($I$3*60+$J$3)/86400)+(J322&lt;&gt;"")*(J322&lt;=($M$3*60+$N$3)/86400)</f>
        <v>0</v>
      </c>
      <c r="N322" s="20" t="s">
        <v>592</v>
      </c>
      <c r="O322" s="20"/>
      <c r="P322" s="20"/>
      <c r="Q322" s="19"/>
    </row>
    <row r="323" customFormat="false" ht="15" hidden="false" customHeight="false" outlineLevel="0" collapsed="false">
      <c r="A323" s="10" t="n">
        <v>317</v>
      </c>
      <c r="B323" s="11" t="s">
        <v>593</v>
      </c>
      <c r="C323" s="12" t="s">
        <v>532</v>
      </c>
      <c r="D323" s="13" t="n">
        <v>0.0104730324074074</v>
      </c>
      <c r="E323" s="14" t="n">
        <v>318</v>
      </c>
      <c r="F323" s="15" t="n">
        <f aca="false">IF(D323="","",ROUND((D323-MIN($D$7:$D$9999))*86400,2))</f>
        <v>115.13</v>
      </c>
      <c r="G323" s="10" t="str">
        <f aca="false">IF(D323="","",IF(D323&lt;=($E$3*60+$F$3)/86400,"○",""))</f>
        <v/>
      </c>
      <c r="H323" s="16" t="n">
        <v>0.00656898148148148</v>
      </c>
      <c r="I323" s="17" t="n">
        <v>57</v>
      </c>
      <c r="J323" s="16" t="n">
        <v>0.00279351851851852</v>
      </c>
      <c r="K323" s="17" t="n">
        <v>251</v>
      </c>
      <c r="L323" s="17" t="n">
        <f aca="false">COUNT(E323,I323,K323)</f>
        <v>3</v>
      </c>
      <c r="M323" s="18" t="n">
        <f aca="false">(D323&lt;&gt;"")*(D323&lt;=($E$3*60+$F$3)/86400)+(H323&lt;&gt;"")*(H323&lt;=($I$3*60+$J$3)/86400)+(J323&lt;&gt;"")*(J323&lt;=($M$3*60+$N$3)/86400)</f>
        <v>0</v>
      </c>
      <c r="N323" s="20"/>
      <c r="O323" s="20"/>
      <c r="P323" s="20"/>
      <c r="Q323" s="19"/>
    </row>
    <row r="324" customFormat="false" ht="15" hidden="false" customHeight="false" outlineLevel="0" collapsed="false">
      <c r="A324" s="10" t="n">
        <v>318</v>
      </c>
      <c r="B324" s="11" t="s">
        <v>594</v>
      </c>
      <c r="C324" s="12" t="s">
        <v>595</v>
      </c>
      <c r="D324" s="13" t="n">
        <v>0.0104733796296296</v>
      </c>
      <c r="E324" s="14" t="n">
        <v>319</v>
      </c>
      <c r="F324" s="15" t="n">
        <f aca="false">IF(D324="","",ROUND((D324-MIN($D$7:$D$9999))*86400,2))</f>
        <v>115.16</v>
      </c>
      <c r="G324" s="10" t="str">
        <f aca="false">IF(D324="","",IF(D324&lt;=($E$3*60+$F$3)/86400,"○",""))</f>
        <v/>
      </c>
      <c r="H324" s="16"/>
      <c r="I324" s="17"/>
      <c r="J324" s="16" t="n">
        <v>0.00274976851851852</v>
      </c>
      <c r="K324" s="17" t="n">
        <v>103</v>
      </c>
      <c r="L324" s="17" t="n">
        <f aca="false">COUNT(E324,I324,K324)</f>
        <v>2</v>
      </c>
      <c r="M324" s="18" t="n">
        <f aca="false">(D324&lt;&gt;"")*(D324&lt;=($E$3*60+$F$3)/86400)+(H324&lt;&gt;"")*(H324&lt;=($I$3*60+$J$3)/86400)+(J324&lt;&gt;"")*(J324&lt;=($M$3*60+$N$3)/86400)</f>
        <v>0</v>
      </c>
      <c r="N324" s="20" t="s">
        <v>596</v>
      </c>
      <c r="O324" s="20"/>
      <c r="P324" s="20"/>
      <c r="Q324" s="19"/>
    </row>
    <row r="325" customFormat="false" ht="15" hidden="false" customHeight="false" outlineLevel="0" collapsed="false">
      <c r="A325" s="10" t="n">
        <v>319</v>
      </c>
      <c r="B325" s="11" t="s">
        <v>597</v>
      </c>
      <c r="C325" s="12" t="s">
        <v>143</v>
      </c>
      <c r="D325" s="13" t="n">
        <v>0.0104740740740741</v>
      </c>
      <c r="E325" s="14" t="n">
        <v>320</v>
      </c>
      <c r="F325" s="15" t="n">
        <f aca="false">IF(D325="","",ROUND((D325-MIN($D$7:$D$9999))*86400,2))</f>
        <v>115.22</v>
      </c>
      <c r="G325" s="10" t="str">
        <f aca="false">IF(D325="","",IF(D325&lt;=($E$3*60+$F$3)/86400,"○",""))</f>
        <v/>
      </c>
      <c r="H325" s="16"/>
      <c r="I325" s="17"/>
      <c r="J325" s="16" t="n">
        <v>0.00270844907407407</v>
      </c>
      <c r="K325" s="17" t="n">
        <v>33</v>
      </c>
      <c r="L325" s="17" t="n">
        <f aca="false">COUNT(E325,I325,K325)</f>
        <v>2</v>
      </c>
      <c r="M325" s="18" t="n">
        <f aca="false">(D325&lt;&gt;"")*(D325&lt;=($E$3*60+$F$3)/86400)+(H325&lt;&gt;"")*(H325&lt;=($I$3*60+$J$3)/86400)+(J325&lt;&gt;"")*(J325&lt;=($M$3*60+$N$3)/86400)</f>
        <v>1</v>
      </c>
      <c r="N325" s="20"/>
      <c r="O325" s="20"/>
      <c r="P325" s="20"/>
      <c r="Q325" s="19"/>
    </row>
    <row r="326" customFormat="false" ht="15" hidden="false" customHeight="false" outlineLevel="0" collapsed="false">
      <c r="A326" s="10" t="n">
        <v>320</v>
      </c>
      <c r="B326" s="11" t="s">
        <v>598</v>
      </c>
      <c r="C326" s="12" t="s">
        <v>599</v>
      </c>
      <c r="D326" s="13" t="n">
        <v>0.0104758101851852</v>
      </c>
      <c r="E326" s="14" t="n">
        <v>321</v>
      </c>
      <c r="F326" s="15" t="n">
        <f aca="false">IF(D326="","",ROUND((D326-MIN($D$7:$D$9999))*86400,2))</f>
        <v>115.37</v>
      </c>
      <c r="G326" s="10" t="str">
        <f aca="false">IF(D326="","",IF(D326&lt;=($E$3*60+$F$3)/86400,"○",""))</f>
        <v/>
      </c>
      <c r="H326" s="16" t="n">
        <v>0.0064306712962963</v>
      </c>
      <c r="I326" s="17" t="n">
        <v>21</v>
      </c>
      <c r="J326" s="16" t="n">
        <v>0.00282106481481482</v>
      </c>
      <c r="K326" s="17" t="n">
        <v>369</v>
      </c>
      <c r="L326" s="17" t="n">
        <f aca="false">COUNT(E326,I326,K326)</f>
        <v>3</v>
      </c>
      <c r="M326" s="18" t="n">
        <f aca="false">(D326&lt;&gt;"")*(D326&lt;=($E$3*60+$F$3)/86400)+(H326&lt;&gt;"")*(H326&lt;=($I$3*60+$J$3)/86400)+(J326&lt;&gt;"")*(J326&lt;=($M$3*60+$N$3)/86400)</f>
        <v>1</v>
      </c>
      <c r="N326" s="20"/>
      <c r="O326" s="20"/>
      <c r="P326" s="20"/>
      <c r="Q326" s="19"/>
    </row>
    <row r="327" customFormat="false" ht="15" hidden="false" customHeight="false" outlineLevel="0" collapsed="false">
      <c r="A327" s="10" t="n">
        <v>321</v>
      </c>
      <c r="B327" s="11" t="s">
        <v>600</v>
      </c>
      <c r="C327" s="12" t="s">
        <v>601</v>
      </c>
      <c r="D327" s="13" t="n">
        <v>0.0104766203703704</v>
      </c>
      <c r="E327" s="14" t="n">
        <v>322</v>
      </c>
      <c r="F327" s="15" t="n">
        <f aca="false">IF(D327="","",ROUND((D327-MIN($D$7:$D$9999))*86400,2))</f>
        <v>115.44</v>
      </c>
      <c r="G327" s="10" t="str">
        <f aca="false">IF(D327="","",IF(D327&lt;=($E$3*60+$F$3)/86400,"○",""))</f>
        <v/>
      </c>
      <c r="H327" s="16"/>
      <c r="I327" s="17"/>
      <c r="J327" s="16" t="n">
        <v>0.00297835648148148</v>
      </c>
      <c r="K327" s="17" t="n">
        <v>1346</v>
      </c>
      <c r="L327" s="17" t="n">
        <f aca="false">COUNT(E327,I327,K327)</f>
        <v>2</v>
      </c>
      <c r="M327" s="18" t="n">
        <f aca="false">(D327&lt;&gt;"")*(D327&lt;=($E$3*60+$F$3)/86400)+(H327&lt;&gt;"")*(H327&lt;=($I$3*60+$J$3)/86400)+(J327&lt;&gt;"")*(J327&lt;=($M$3*60+$N$3)/86400)</f>
        <v>0</v>
      </c>
      <c r="N327" s="20"/>
      <c r="O327" s="20"/>
      <c r="P327" s="20"/>
      <c r="Q327" s="19"/>
    </row>
    <row r="328" customFormat="false" ht="15" hidden="false" customHeight="false" outlineLevel="0" collapsed="false">
      <c r="A328" s="10" t="n">
        <v>322</v>
      </c>
      <c r="B328" s="11" t="s">
        <v>602</v>
      </c>
      <c r="C328" s="12" t="s">
        <v>430</v>
      </c>
      <c r="D328" s="13" t="n">
        <v>0.0104782407407407</v>
      </c>
      <c r="E328" s="14" t="n">
        <v>323</v>
      </c>
      <c r="F328" s="15" t="n">
        <f aca="false">IF(D328="","",ROUND((D328-MIN($D$7:$D$9999))*86400,2))</f>
        <v>115.58</v>
      </c>
      <c r="G328" s="10" t="str">
        <f aca="false">IF(D328="","",IF(D328&lt;=($E$3*60+$F$3)/86400,"○",""))</f>
        <v/>
      </c>
      <c r="H328" s="16" t="n">
        <v>0.00652893518518519</v>
      </c>
      <c r="I328" s="17" t="n">
        <v>40</v>
      </c>
      <c r="J328" s="16"/>
      <c r="K328" s="17"/>
      <c r="L328" s="17" t="n">
        <f aca="false">COUNT(E328,I328,K328)</f>
        <v>2</v>
      </c>
      <c r="M328" s="18" t="n">
        <f aca="false">(D328&lt;&gt;"")*(D328&lt;=($E$3*60+$F$3)/86400)+(H328&lt;&gt;"")*(H328&lt;=($I$3*60+$J$3)/86400)+(J328&lt;&gt;"")*(J328&lt;=($M$3*60+$N$3)/86400)</f>
        <v>0</v>
      </c>
      <c r="N328" s="20"/>
      <c r="O328" s="20"/>
      <c r="P328" s="20"/>
      <c r="Q328" s="19"/>
    </row>
    <row r="329" customFormat="false" ht="15" hidden="false" customHeight="false" outlineLevel="0" collapsed="false">
      <c r="A329" s="10" t="n">
        <v>323</v>
      </c>
      <c r="B329" s="11" t="s">
        <v>603</v>
      </c>
      <c r="C329" s="12" t="s">
        <v>129</v>
      </c>
      <c r="D329" s="13" t="n">
        <v>0.0104804398148148</v>
      </c>
      <c r="E329" s="14" t="n">
        <v>324</v>
      </c>
      <c r="F329" s="15" t="n">
        <f aca="false">IF(D329="","",ROUND((D329-MIN($D$7:$D$9999))*86400,2))</f>
        <v>115.77</v>
      </c>
      <c r="G329" s="10" t="str">
        <f aca="false">IF(D329="","",IF(D329&lt;=($E$3*60+$F$3)/86400,"○",""))</f>
        <v/>
      </c>
      <c r="H329" s="16"/>
      <c r="I329" s="17"/>
      <c r="J329" s="16" t="n">
        <v>0.00280532407407407</v>
      </c>
      <c r="K329" s="17" t="n">
        <v>304</v>
      </c>
      <c r="L329" s="17" t="n">
        <f aca="false">COUNT(E329,I329,K329)</f>
        <v>2</v>
      </c>
      <c r="M329" s="18" t="n">
        <f aca="false">(D329&lt;&gt;"")*(D329&lt;=($E$3*60+$F$3)/86400)+(H329&lt;&gt;"")*(H329&lt;=($I$3*60+$J$3)/86400)+(J329&lt;&gt;"")*(J329&lt;=($M$3*60+$N$3)/86400)</f>
        <v>0</v>
      </c>
      <c r="N329" s="20"/>
      <c r="O329" s="20" t="s">
        <v>604</v>
      </c>
      <c r="P329" s="20"/>
      <c r="Q329" s="19"/>
    </row>
    <row r="330" customFormat="false" ht="15" hidden="false" customHeight="false" outlineLevel="0" collapsed="false">
      <c r="A330" s="10" t="n">
        <v>324</v>
      </c>
      <c r="B330" s="11" t="s">
        <v>605</v>
      </c>
      <c r="C330" s="12" t="s">
        <v>61</v>
      </c>
      <c r="D330" s="13" t="n">
        <v>0.01048125</v>
      </c>
      <c r="E330" s="14" t="n">
        <v>325</v>
      </c>
      <c r="F330" s="15" t="n">
        <f aca="false">IF(D330="","",ROUND((D330-MIN($D$7:$D$9999))*86400,2))</f>
        <v>115.84</v>
      </c>
      <c r="G330" s="10" t="str">
        <f aca="false">IF(D330="","",IF(D330&lt;=($E$3*60+$F$3)/86400,"○",""))</f>
        <v/>
      </c>
      <c r="H330" s="16"/>
      <c r="I330" s="17"/>
      <c r="J330" s="16" t="n">
        <v>0.00284537037037037</v>
      </c>
      <c r="K330" s="17" t="n">
        <v>539</v>
      </c>
      <c r="L330" s="17" t="n">
        <f aca="false">COUNT(E330,I330,K330)</f>
        <v>2</v>
      </c>
      <c r="M330" s="18" t="n">
        <f aca="false">(D330&lt;&gt;"")*(D330&lt;=($E$3*60+$F$3)/86400)+(H330&lt;&gt;"")*(H330&lt;=($I$3*60+$J$3)/86400)+(J330&lt;&gt;"")*(J330&lt;=($M$3*60+$N$3)/86400)</f>
        <v>0</v>
      </c>
      <c r="N330" s="20"/>
      <c r="O330" s="20"/>
      <c r="P330" s="20"/>
      <c r="Q330" s="19"/>
    </row>
    <row r="331" customFormat="false" ht="15" hidden="false" customHeight="false" outlineLevel="0" collapsed="false">
      <c r="A331" s="10" t="n">
        <v>325</v>
      </c>
      <c r="B331" s="11" t="s">
        <v>606</v>
      </c>
      <c r="C331" s="12" t="s">
        <v>157</v>
      </c>
      <c r="D331" s="13" t="n">
        <v>0.0104841435185185</v>
      </c>
      <c r="E331" s="14" t="n">
        <v>326</v>
      </c>
      <c r="F331" s="15" t="n">
        <f aca="false">IF(D331="","",ROUND((D331-MIN($D$7:$D$9999))*86400,2))</f>
        <v>116.09</v>
      </c>
      <c r="G331" s="10" t="str">
        <f aca="false">IF(D331="","",IF(D331&lt;=($E$3*60+$F$3)/86400,"○",""))</f>
        <v/>
      </c>
      <c r="H331" s="16" t="n">
        <v>0.00640497685185185</v>
      </c>
      <c r="I331" s="17" t="n">
        <v>15</v>
      </c>
      <c r="J331" s="16"/>
      <c r="K331" s="17"/>
      <c r="L331" s="17" t="n">
        <f aca="false">COUNT(E331,I331,K331)</f>
        <v>2</v>
      </c>
      <c r="M331" s="18" t="n">
        <f aca="false">(D331&lt;&gt;"")*(D331&lt;=($E$3*60+$F$3)/86400)+(H331&lt;&gt;"")*(H331&lt;=($I$3*60+$J$3)/86400)+(J331&lt;&gt;"")*(J331&lt;=($M$3*60+$N$3)/86400)</f>
        <v>1</v>
      </c>
      <c r="N331" s="20"/>
      <c r="O331" s="20"/>
      <c r="P331" s="20"/>
      <c r="Q331" s="19"/>
    </row>
    <row r="332" customFormat="false" ht="15" hidden="false" customHeight="false" outlineLevel="0" collapsed="false">
      <c r="A332" s="10" t="n">
        <v>326</v>
      </c>
      <c r="B332" s="11" t="s">
        <v>607</v>
      </c>
      <c r="C332" s="12" t="s">
        <v>141</v>
      </c>
      <c r="D332" s="13" t="n">
        <v>0.0104842592592593</v>
      </c>
      <c r="E332" s="14" t="n">
        <v>327</v>
      </c>
      <c r="F332" s="15" t="n">
        <f aca="false">IF(D332="","",ROUND((D332-MIN($D$7:$D$9999))*86400,2))</f>
        <v>116.1</v>
      </c>
      <c r="G332" s="10" t="str">
        <f aca="false">IF(D332="","",IF(D332&lt;=($E$3*60+$F$3)/86400,"○",""))</f>
        <v/>
      </c>
      <c r="H332" s="16"/>
      <c r="I332" s="17"/>
      <c r="J332" s="16" t="n">
        <v>0.00279872685185185</v>
      </c>
      <c r="K332" s="17" t="n">
        <v>276</v>
      </c>
      <c r="L332" s="17" t="n">
        <f aca="false">COUNT(E332,I332,K332)</f>
        <v>2</v>
      </c>
      <c r="M332" s="18" t="n">
        <f aca="false">(D332&lt;&gt;"")*(D332&lt;=($E$3*60+$F$3)/86400)+(H332&lt;&gt;"")*(H332&lt;=($I$3*60+$J$3)/86400)+(J332&lt;&gt;"")*(J332&lt;=($M$3*60+$N$3)/86400)</f>
        <v>0</v>
      </c>
      <c r="N332" s="20"/>
      <c r="O332" s="20"/>
      <c r="P332" s="12" t="s">
        <v>571</v>
      </c>
      <c r="Q332" s="19"/>
    </row>
    <row r="333" customFormat="false" ht="15" hidden="false" customHeight="false" outlineLevel="0" collapsed="false">
      <c r="A333" s="10" t="n">
        <v>327</v>
      </c>
      <c r="B333" s="11" t="s">
        <v>608</v>
      </c>
      <c r="C333" s="12" t="s">
        <v>609</v>
      </c>
      <c r="D333" s="13" t="n">
        <v>0.0104847222222222</v>
      </c>
      <c r="E333" s="14" t="n">
        <v>328</v>
      </c>
      <c r="F333" s="15" t="n">
        <f aca="false">IF(D333="","",ROUND((D333-MIN($D$7:$D$9999))*86400,2))</f>
        <v>116.14</v>
      </c>
      <c r="G333" s="10" t="str">
        <f aca="false">IF(D333="","",IF(D333&lt;=($E$3*60+$F$3)/86400,"○",""))</f>
        <v/>
      </c>
      <c r="H333" s="16" t="n">
        <v>0.00649502314814815</v>
      </c>
      <c r="I333" s="17" t="n">
        <v>34</v>
      </c>
      <c r="J333" s="16" t="n">
        <v>0.00281458333333333</v>
      </c>
      <c r="K333" s="17" t="n">
        <v>342</v>
      </c>
      <c r="L333" s="17" t="n">
        <f aca="false">COUNT(E333,I333,K333)</f>
        <v>3</v>
      </c>
      <c r="M333" s="18" t="n">
        <f aca="false">(D333&lt;&gt;"")*(D333&lt;=($E$3*60+$F$3)/86400)+(H333&lt;&gt;"")*(H333&lt;=($I$3*60+$J$3)/86400)+(J333&lt;&gt;"")*(J333&lt;=($M$3*60+$N$3)/86400)</f>
        <v>0</v>
      </c>
      <c r="N333" s="20"/>
      <c r="O333" s="20"/>
      <c r="P333" s="20"/>
      <c r="Q333" s="19"/>
    </row>
    <row r="334" customFormat="false" ht="15" hidden="false" customHeight="false" outlineLevel="0" collapsed="false">
      <c r="A334" s="10" t="n">
        <v>328</v>
      </c>
      <c r="B334" s="11" t="s">
        <v>610</v>
      </c>
      <c r="C334" s="12" t="s">
        <v>143</v>
      </c>
      <c r="D334" s="13" t="n">
        <v>0.0104857638888889</v>
      </c>
      <c r="E334" s="14" t="n">
        <v>329</v>
      </c>
      <c r="F334" s="15" t="n">
        <f aca="false">IF(D334="","",ROUND((D334-MIN($D$7:$D$9999))*86400,2))</f>
        <v>116.23</v>
      </c>
      <c r="G334" s="10" t="str">
        <f aca="false">IF(D334="","",IF(D334&lt;=($E$3*60+$F$3)/86400,"○",""))</f>
        <v/>
      </c>
      <c r="H334" s="16" t="n">
        <v>0.00780393518518519</v>
      </c>
      <c r="I334" s="17" t="n">
        <v>1136</v>
      </c>
      <c r="J334" s="16"/>
      <c r="K334" s="17"/>
      <c r="L334" s="17" t="n">
        <f aca="false">COUNT(E334,I334,K334)</f>
        <v>2</v>
      </c>
      <c r="M334" s="18" t="n">
        <f aca="false">(D334&lt;&gt;"")*(D334&lt;=($E$3*60+$F$3)/86400)+(H334&lt;&gt;"")*(H334&lt;=($I$3*60+$J$3)/86400)+(J334&lt;&gt;"")*(J334&lt;=($M$3*60+$N$3)/86400)</f>
        <v>0</v>
      </c>
      <c r="N334" s="20"/>
      <c r="O334" s="20"/>
      <c r="P334" s="20"/>
      <c r="Q334" s="19"/>
    </row>
    <row r="335" customFormat="false" ht="15" hidden="false" customHeight="false" outlineLevel="0" collapsed="false">
      <c r="A335" s="10" t="n">
        <v>329</v>
      </c>
      <c r="B335" s="11" t="s">
        <v>611</v>
      </c>
      <c r="C335" s="12" t="s">
        <v>127</v>
      </c>
      <c r="D335" s="13" t="n">
        <v>0.0104890046296296</v>
      </c>
      <c r="E335" s="14" t="n">
        <v>330</v>
      </c>
      <c r="F335" s="15" t="n">
        <f aca="false">IF(D335="","",ROUND((D335-MIN($D$7:$D$9999))*86400,2))</f>
        <v>116.51</v>
      </c>
      <c r="G335" s="10" t="str">
        <f aca="false">IF(D335="","",IF(D335&lt;=($E$3*60+$F$3)/86400,"○",""))</f>
        <v/>
      </c>
      <c r="H335" s="16"/>
      <c r="I335" s="17"/>
      <c r="J335" s="16" t="n">
        <v>0.00284398148148148</v>
      </c>
      <c r="K335" s="17" t="n">
        <v>526</v>
      </c>
      <c r="L335" s="17" t="n">
        <f aca="false">COUNT(E335,I335,K335)</f>
        <v>2</v>
      </c>
      <c r="M335" s="18" t="n">
        <f aca="false">(D335&lt;&gt;"")*(D335&lt;=($E$3*60+$F$3)/86400)+(H335&lt;&gt;"")*(H335&lt;=($I$3*60+$J$3)/86400)+(J335&lt;&gt;"")*(J335&lt;=($M$3*60+$N$3)/86400)</f>
        <v>0</v>
      </c>
      <c r="N335" s="20"/>
      <c r="O335" s="20"/>
      <c r="P335" s="20"/>
      <c r="Q335" s="19"/>
    </row>
    <row r="336" customFormat="false" ht="15" hidden="false" customHeight="false" outlineLevel="0" collapsed="false">
      <c r="A336" s="10" t="n">
        <v>330</v>
      </c>
      <c r="B336" s="11" t="s">
        <v>612</v>
      </c>
      <c r="C336" s="12" t="s">
        <v>613</v>
      </c>
      <c r="D336" s="13" t="n">
        <v>0.0104891203703704</v>
      </c>
      <c r="E336" s="14" t="n">
        <v>331</v>
      </c>
      <c r="F336" s="15" t="n">
        <f aca="false">IF(D336="","",ROUND((D336-MIN($D$7:$D$9999))*86400,2))</f>
        <v>116.52</v>
      </c>
      <c r="G336" s="10" t="str">
        <f aca="false">IF(D336="","",IF(D336&lt;=($E$3*60+$F$3)/86400,"○",""))</f>
        <v/>
      </c>
      <c r="H336" s="16"/>
      <c r="I336" s="17"/>
      <c r="J336" s="16" t="n">
        <v>0.00279965277777778</v>
      </c>
      <c r="K336" s="17" t="n">
        <v>282</v>
      </c>
      <c r="L336" s="17" t="n">
        <f aca="false">COUNT(E336,I336,K336)</f>
        <v>2</v>
      </c>
      <c r="M336" s="18" t="n">
        <f aca="false">(D336&lt;&gt;"")*(D336&lt;=($E$3*60+$F$3)/86400)+(H336&lt;&gt;"")*(H336&lt;=($I$3*60+$J$3)/86400)+(J336&lt;&gt;"")*(J336&lt;=($M$3*60+$N$3)/86400)</f>
        <v>0</v>
      </c>
      <c r="N336" s="20"/>
      <c r="O336" s="20"/>
      <c r="P336" s="20"/>
      <c r="Q336" s="19"/>
    </row>
    <row r="337" customFormat="false" ht="15" hidden="false" customHeight="false" outlineLevel="0" collapsed="false">
      <c r="A337" s="10" t="n">
        <v>331</v>
      </c>
      <c r="B337" s="11" t="s">
        <v>614</v>
      </c>
      <c r="C337" s="12" t="s">
        <v>615</v>
      </c>
      <c r="D337" s="13" t="n">
        <v>0.0104902777777778</v>
      </c>
      <c r="E337" s="14" t="n">
        <v>332</v>
      </c>
      <c r="F337" s="15" t="n">
        <f aca="false">IF(D337="","",ROUND((D337-MIN($D$7:$D$9999))*86400,2))</f>
        <v>116.62</v>
      </c>
      <c r="G337" s="10" t="str">
        <f aca="false">IF(D337="","",IF(D337&lt;=($E$3*60+$F$3)/86400,"○",""))</f>
        <v/>
      </c>
      <c r="H337" s="16"/>
      <c r="I337" s="17"/>
      <c r="J337" s="16"/>
      <c r="K337" s="17"/>
      <c r="L337" s="17" t="n">
        <f aca="false">COUNT(E337,I337,K337)</f>
        <v>1</v>
      </c>
      <c r="M337" s="18" t="n">
        <f aca="false">(D337&lt;&gt;"")*(D337&lt;=($E$3*60+$F$3)/86400)+(H337&lt;&gt;"")*(H337&lt;=($I$3*60+$J$3)/86400)+(J337&lt;&gt;"")*(J337&lt;=($M$3*60+$N$3)/86400)</f>
        <v>0</v>
      </c>
      <c r="N337" s="20"/>
      <c r="O337" s="20"/>
      <c r="P337" s="20"/>
      <c r="Q337" s="19"/>
    </row>
    <row r="338" customFormat="false" ht="15" hidden="false" customHeight="false" outlineLevel="0" collapsed="false">
      <c r="A338" s="10" t="n">
        <v>332</v>
      </c>
      <c r="B338" s="11" t="s">
        <v>616</v>
      </c>
      <c r="C338" s="12" t="s">
        <v>565</v>
      </c>
      <c r="D338" s="13" t="n">
        <v>0.0104903935185185</v>
      </c>
      <c r="E338" s="14" t="n">
        <v>333</v>
      </c>
      <c r="F338" s="15" t="n">
        <f aca="false">IF(D338="","",ROUND((D338-MIN($D$7:$D$9999))*86400,2))</f>
        <v>116.63</v>
      </c>
      <c r="G338" s="10" t="str">
        <f aca="false">IF(D338="","",IF(D338&lt;=($E$3*60+$F$3)/86400,"○",""))</f>
        <v/>
      </c>
      <c r="H338" s="16" t="n">
        <v>0.00670543981481482</v>
      </c>
      <c r="I338" s="17" t="n">
        <v>111</v>
      </c>
      <c r="J338" s="16" t="n">
        <v>0.00282905092592593</v>
      </c>
      <c r="K338" s="17" t="n">
        <v>419</v>
      </c>
      <c r="L338" s="17" t="n">
        <f aca="false">COUNT(E338,I338,K338)</f>
        <v>3</v>
      </c>
      <c r="M338" s="18" t="n">
        <f aca="false">(D338&lt;&gt;"")*(D338&lt;=($E$3*60+$F$3)/86400)+(H338&lt;&gt;"")*(H338&lt;=($I$3*60+$J$3)/86400)+(J338&lt;&gt;"")*(J338&lt;=($M$3*60+$N$3)/86400)</f>
        <v>0</v>
      </c>
      <c r="N338" s="20"/>
      <c r="O338" s="20"/>
      <c r="P338" s="20"/>
      <c r="Q338" s="19"/>
    </row>
    <row r="339" customFormat="false" ht="15" hidden="false" customHeight="false" outlineLevel="0" collapsed="false">
      <c r="A339" s="10" t="n">
        <v>333</v>
      </c>
      <c r="B339" s="11" t="s">
        <v>617</v>
      </c>
      <c r="C339" s="12" t="s">
        <v>599</v>
      </c>
      <c r="D339" s="13" t="n">
        <v>0.0104907407407407</v>
      </c>
      <c r="E339" s="14" t="n">
        <v>334</v>
      </c>
      <c r="F339" s="15" t="n">
        <f aca="false">IF(D339="","",ROUND((D339-MIN($D$7:$D$9999))*86400,2))</f>
        <v>116.66</v>
      </c>
      <c r="G339" s="10" t="str">
        <f aca="false">IF(D339="","",IF(D339&lt;=($E$3*60+$F$3)/86400,"○",""))</f>
        <v/>
      </c>
      <c r="H339" s="16" t="n">
        <v>0.00690219907407407</v>
      </c>
      <c r="I339" s="17" t="n">
        <v>245</v>
      </c>
      <c r="J339" s="16" t="n">
        <v>0.00289733796296296</v>
      </c>
      <c r="K339" s="17" t="n">
        <v>928</v>
      </c>
      <c r="L339" s="17" t="n">
        <f aca="false">COUNT(E339,I339,K339)</f>
        <v>3</v>
      </c>
      <c r="M339" s="18" t="n">
        <f aca="false">(D339&lt;&gt;"")*(D339&lt;=($E$3*60+$F$3)/86400)+(H339&lt;&gt;"")*(H339&lt;=($I$3*60+$J$3)/86400)+(J339&lt;&gt;"")*(J339&lt;=($M$3*60+$N$3)/86400)</f>
        <v>0</v>
      </c>
      <c r="N339" s="20"/>
      <c r="O339" s="20"/>
      <c r="P339" s="20"/>
      <c r="Q339" s="19"/>
    </row>
    <row r="340" customFormat="false" ht="15" hidden="false" customHeight="false" outlineLevel="0" collapsed="false">
      <c r="A340" s="10" t="n">
        <v>334</v>
      </c>
      <c r="B340" s="11" t="s">
        <v>618</v>
      </c>
      <c r="C340" s="12" t="s">
        <v>619</v>
      </c>
      <c r="D340" s="13" t="n">
        <v>0.0104908564814815</v>
      </c>
      <c r="E340" s="14" t="n">
        <v>335</v>
      </c>
      <c r="F340" s="15" t="n">
        <f aca="false">IF(D340="","",ROUND((D340-MIN($D$7:$D$9999))*86400,2))</f>
        <v>116.67</v>
      </c>
      <c r="G340" s="10" t="str">
        <f aca="false">IF(D340="","",IF(D340&lt;=($E$3*60+$F$3)/86400,"○",""))</f>
        <v/>
      </c>
      <c r="H340" s="16"/>
      <c r="I340" s="17"/>
      <c r="J340" s="16" t="n">
        <v>0.00284085648148148</v>
      </c>
      <c r="K340" s="17" t="n">
        <v>505</v>
      </c>
      <c r="L340" s="17" t="n">
        <f aca="false">COUNT(E340,I340,K340)</f>
        <v>2</v>
      </c>
      <c r="M340" s="18" t="n">
        <f aca="false">(D340&lt;&gt;"")*(D340&lt;=($E$3*60+$F$3)/86400)+(H340&lt;&gt;"")*(H340&lt;=($I$3*60+$J$3)/86400)+(J340&lt;&gt;"")*(J340&lt;=($M$3*60+$N$3)/86400)</f>
        <v>0</v>
      </c>
      <c r="N340" s="20" t="s">
        <v>620</v>
      </c>
      <c r="O340" s="20"/>
      <c r="P340" s="20"/>
      <c r="Q340" s="19"/>
    </row>
    <row r="341" customFormat="false" ht="15" hidden="false" customHeight="false" outlineLevel="0" collapsed="false">
      <c r="A341" s="10" t="n">
        <v>335</v>
      </c>
      <c r="B341" s="11" t="s">
        <v>621</v>
      </c>
      <c r="C341" s="12" t="s">
        <v>245</v>
      </c>
      <c r="D341" s="13" t="n">
        <v>0.0104916666666667</v>
      </c>
      <c r="E341" s="14" t="n">
        <v>336</v>
      </c>
      <c r="F341" s="15" t="n">
        <f aca="false">IF(D341="","",ROUND((D341-MIN($D$7:$D$9999))*86400,2))</f>
        <v>116.74</v>
      </c>
      <c r="G341" s="10" t="str">
        <f aca="false">IF(D341="","",IF(D341&lt;=($E$3*60+$F$3)/86400,"○",""))</f>
        <v/>
      </c>
      <c r="H341" s="16"/>
      <c r="I341" s="17"/>
      <c r="J341" s="16" t="n">
        <v>0.002778125</v>
      </c>
      <c r="K341" s="17" t="n">
        <v>191</v>
      </c>
      <c r="L341" s="17" t="n">
        <f aca="false">COUNT(E341,I341,K341)</f>
        <v>2</v>
      </c>
      <c r="M341" s="18" t="n">
        <f aca="false">(D341&lt;&gt;"")*(D341&lt;=($E$3*60+$F$3)/86400)+(H341&lt;&gt;"")*(H341&lt;=($I$3*60+$J$3)/86400)+(J341&lt;&gt;"")*(J341&lt;=($M$3*60+$N$3)/86400)</f>
        <v>0</v>
      </c>
      <c r="N341" s="20"/>
      <c r="O341" s="20"/>
      <c r="P341" s="20"/>
      <c r="Q341" s="19"/>
    </row>
    <row r="342" customFormat="false" ht="15" hidden="false" customHeight="false" outlineLevel="0" collapsed="false">
      <c r="A342" s="10" t="n">
        <v>336</v>
      </c>
      <c r="B342" s="11" t="s">
        <v>622</v>
      </c>
      <c r="C342" s="12" t="s">
        <v>623</v>
      </c>
      <c r="D342" s="13" t="n">
        <v>0.0104947916666667</v>
      </c>
      <c r="E342" s="14" t="n">
        <v>337</v>
      </c>
      <c r="F342" s="15" t="n">
        <f aca="false">IF(D342="","",ROUND((D342-MIN($D$7:$D$9999))*86400,2))</f>
        <v>117.01</v>
      </c>
      <c r="G342" s="10" t="str">
        <f aca="false">IF(D342="","",IF(D342&lt;=($E$3*60+$F$3)/86400,"○",""))</f>
        <v/>
      </c>
      <c r="H342" s="16"/>
      <c r="I342" s="17"/>
      <c r="J342" s="16" t="n">
        <v>0.00279537037037037</v>
      </c>
      <c r="K342" s="17" t="n">
        <v>261</v>
      </c>
      <c r="L342" s="17" t="n">
        <f aca="false">COUNT(E342,I342,K342)</f>
        <v>2</v>
      </c>
      <c r="M342" s="18" t="n">
        <f aca="false">(D342&lt;&gt;"")*(D342&lt;=($E$3*60+$F$3)/86400)+(H342&lt;&gt;"")*(H342&lt;=($I$3*60+$J$3)/86400)+(J342&lt;&gt;"")*(J342&lt;=($M$3*60+$N$3)/86400)</f>
        <v>0</v>
      </c>
      <c r="N342" s="20"/>
      <c r="O342" s="20" t="s">
        <v>624</v>
      </c>
      <c r="P342" s="20"/>
      <c r="Q342" s="19"/>
    </row>
    <row r="343" customFormat="false" ht="15" hidden="false" customHeight="false" outlineLevel="0" collapsed="false">
      <c r="A343" s="10" t="n">
        <v>337</v>
      </c>
      <c r="B343" s="11" t="s">
        <v>625</v>
      </c>
      <c r="C343" s="12" t="s">
        <v>214</v>
      </c>
      <c r="D343" s="13" t="n">
        <v>0.0104962962962963</v>
      </c>
      <c r="E343" s="14" t="n">
        <v>338</v>
      </c>
      <c r="F343" s="15" t="n">
        <f aca="false">IF(D343="","",ROUND((D343-MIN($D$7:$D$9999))*86400,2))</f>
        <v>117.14</v>
      </c>
      <c r="G343" s="10" t="str">
        <f aca="false">IF(D343="","",IF(D343&lt;=($E$3*60+$F$3)/86400,"○",""))</f>
        <v/>
      </c>
      <c r="H343" s="16" t="n">
        <v>0.00663680555555556</v>
      </c>
      <c r="I343" s="17" t="n">
        <v>76</v>
      </c>
      <c r="J343" s="16" t="n">
        <v>0.00287071759259259</v>
      </c>
      <c r="K343" s="17" t="n">
        <v>701</v>
      </c>
      <c r="L343" s="17" t="n">
        <f aca="false">COUNT(E343,I343,K343)</f>
        <v>3</v>
      </c>
      <c r="M343" s="18" t="n">
        <f aca="false">(D343&lt;&gt;"")*(D343&lt;=($E$3*60+$F$3)/86400)+(H343&lt;&gt;"")*(H343&lt;=($I$3*60+$J$3)/86400)+(J343&lt;&gt;"")*(J343&lt;=($M$3*60+$N$3)/86400)</f>
        <v>0</v>
      </c>
      <c r="N343" s="20"/>
      <c r="O343" s="20"/>
      <c r="P343" s="20"/>
      <c r="Q343" s="19"/>
    </row>
    <row r="344" customFormat="false" ht="15" hidden="false" customHeight="false" outlineLevel="0" collapsed="false">
      <c r="A344" s="10" t="n">
        <v>338</v>
      </c>
      <c r="B344" s="11" t="s">
        <v>626</v>
      </c>
      <c r="C344" s="12" t="s">
        <v>561</v>
      </c>
      <c r="D344" s="13" t="n">
        <v>0.0104969907407407</v>
      </c>
      <c r="E344" s="14" t="n">
        <v>339</v>
      </c>
      <c r="F344" s="15" t="n">
        <f aca="false">IF(D344="","",ROUND((D344-MIN($D$7:$D$9999))*86400,2))</f>
        <v>117.2</v>
      </c>
      <c r="G344" s="10" t="str">
        <f aca="false">IF(D344="","",IF(D344&lt;=($E$3*60+$F$3)/86400,"○",""))</f>
        <v/>
      </c>
      <c r="H344" s="16"/>
      <c r="I344" s="17"/>
      <c r="J344" s="16" t="n">
        <v>0.00287488425925926</v>
      </c>
      <c r="K344" s="17" t="n">
        <v>734</v>
      </c>
      <c r="L344" s="17" t="n">
        <f aca="false">COUNT(E344,I344,K344)</f>
        <v>2</v>
      </c>
      <c r="M344" s="18" t="n">
        <f aca="false">(D344&lt;&gt;"")*(D344&lt;=($E$3*60+$F$3)/86400)+(H344&lt;&gt;"")*(H344&lt;=($I$3*60+$J$3)/86400)+(J344&lt;&gt;"")*(J344&lt;=($M$3*60+$N$3)/86400)</f>
        <v>0</v>
      </c>
      <c r="N344" s="20" t="s">
        <v>627</v>
      </c>
      <c r="O344" s="20"/>
      <c r="P344" s="20"/>
      <c r="Q344" s="19"/>
    </row>
    <row r="345" customFormat="false" ht="15" hidden="false" customHeight="false" outlineLevel="0" collapsed="false">
      <c r="A345" s="10" t="n">
        <v>339</v>
      </c>
      <c r="B345" s="11" t="s">
        <v>628</v>
      </c>
      <c r="C345" s="12" t="s">
        <v>629</v>
      </c>
      <c r="D345" s="13" t="n">
        <v>0.010499537037037</v>
      </c>
      <c r="E345" s="14" t="n">
        <v>340</v>
      </c>
      <c r="F345" s="15" t="n">
        <f aca="false">IF(D345="","",ROUND((D345-MIN($D$7:$D$9999))*86400,2))</f>
        <v>117.42</v>
      </c>
      <c r="G345" s="10" t="str">
        <f aca="false">IF(D345="","",IF(D345&lt;=($E$3*60+$F$3)/86400,"○",""))</f>
        <v/>
      </c>
      <c r="H345" s="16" t="n">
        <v>0.00748032407407407</v>
      </c>
      <c r="I345" s="17" t="n">
        <v>869</v>
      </c>
      <c r="J345" s="16" t="n">
        <v>0.00282233796296296</v>
      </c>
      <c r="K345" s="17" t="n">
        <v>378</v>
      </c>
      <c r="L345" s="17" t="n">
        <f aca="false">COUNT(E345,I345,K345)</f>
        <v>3</v>
      </c>
      <c r="M345" s="18" t="n">
        <f aca="false">(D345&lt;&gt;"")*(D345&lt;=($E$3*60+$F$3)/86400)+(H345&lt;&gt;"")*(H345&lt;=($I$3*60+$J$3)/86400)+(J345&lt;&gt;"")*(J345&lt;=($M$3*60+$N$3)/86400)</f>
        <v>0</v>
      </c>
      <c r="N345" s="20" t="s">
        <v>630</v>
      </c>
      <c r="O345" s="20"/>
      <c r="P345" s="20"/>
      <c r="Q345" s="19"/>
    </row>
    <row r="346" customFormat="false" ht="15" hidden="false" customHeight="false" outlineLevel="0" collapsed="false">
      <c r="A346" s="10" t="n">
        <v>340</v>
      </c>
      <c r="B346" s="11" t="s">
        <v>631</v>
      </c>
      <c r="C346" s="12" t="s">
        <v>632</v>
      </c>
      <c r="D346" s="13" t="n">
        <v>0.010500462962963</v>
      </c>
      <c r="E346" s="14" t="n">
        <v>341</v>
      </c>
      <c r="F346" s="15" t="n">
        <f aca="false">IF(D346="","",ROUND((D346-MIN($D$7:$D$9999))*86400,2))</f>
        <v>117.5</v>
      </c>
      <c r="G346" s="10" t="str">
        <f aca="false">IF(D346="","",IF(D346&lt;=($E$3*60+$F$3)/86400,"○",""))</f>
        <v/>
      </c>
      <c r="H346" s="16" t="n">
        <v>0.00697106481481481</v>
      </c>
      <c r="I346" s="17" t="n">
        <v>306</v>
      </c>
      <c r="J346" s="16"/>
      <c r="K346" s="17"/>
      <c r="L346" s="17" t="n">
        <f aca="false">COUNT(E346,I346,K346)</f>
        <v>2</v>
      </c>
      <c r="M346" s="18" t="n">
        <f aca="false">(D346&lt;&gt;"")*(D346&lt;=($E$3*60+$F$3)/86400)+(H346&lt;&gt;"")*(H346&lt;=($I$3*60+$J$3)/86400)+(J346&lt;&gt;"")*(J346&lt;=($M$3*60+$N$3)/86400)</f>
        <v>0</v>
      </c>
      <c r="N346" s="20" t="s">
        <v>633</v>
      </c>
      <c r="O346" s="20"/>
      <c r="P346" s="20"/>
      <c r="Q346" s="19"/>
    </row>
    <row r="347" customFormat="false" ht="15" hidden="false" customHeight="false" outlineLevel="0" collapsed="false">
      <c r="A347" s="10" t="n">
        <v>341</v>
      </c>
      <c r="B347" s="11" t="s">
        <v>634</v>
      </c>
      <c r="C347" s="12" t="s">
        <v>248</v>
      </c>
      <c r="D347" s="13" t="n">
        <v>0.0105012731481482</v>
      </c>
      <c r="E347" s="14" t="n">
        <v>342</v>
      </c>
      <c r="F347" s="15" t="n">
        <f aca="false">IF(D347="","",ROUND((D347-MIN($D$7:$D$9999))*86400,2))</f>
        <v>117.57</v>
      </c>
      <c r="G347" s="10" t="str">
        <f aca="false">IF(D347="","",IF(D347&lt;=($E$3*60+$F$3)/86400,"○",""))</f>
        <v/>
      </c>
      <c r="H347" s="16"/>
      <c r="I347" s="17"/>
      <c r="J347" s="16"/>
      <c r="K347" s="17"/>
      <c r="L347" s="17" t="n">
        <f aca="false">COUNT(E347,I347,K347)</f>
        <v>1</v>
      </c>
      <c r="M347" s="18" t="n">
        <f aca="false">(D347&lt;&gt;"")*(D347&lt;=($E$3*60+$F$3)/86400)+(H347&lt;&gt;"")*(H347&lt;=($I$3*60+$J$3)/86400)+(J347&lt;&gt;"")*(J347&lt;=($M$3*60+$N$3)/86400)</f>
        <v>0</v>
      </c>
      <c r="N347" s="20"/>
      <c r="O347" s="20"/>
      <c r="P347" s="20"/>
      <c r="Q347" s="19"/>
    </row>
    <row r="348" customFormat="false" ht="15" hidden="false" customHeight="false" outlineLevel="0" collapsed="false">
      <c r="A348" s="10" t="n">
        <v>342</v>
      </c>
      <c r="B348" s="11" t="s">
        <v>635</v>
      </c>
      <c r="C348" s="12" t="s">
        <v>135</v>
      </c>
      <c r="D348" s="13" t="n">
        <v>0.0105037037037037</v>
      </c>
      <c r="E348" s="14" t="n">
        <v>343</v>
      </c>
      <c r="F348" s="15" t="n">
        <f aca="false">IF(D348="","",ROUND((D348-MIN($D$7:$D$9999))*86400,2))</f>
        <v>117.78</v>
      </c>
      <c r="G348" s="10" t="str">
        <f aca="false">IF(D348="","",IF(D348&lt;=($E$3*60+$F$3)/86400,"○",""))</f>
        <v/>
      </c>
      <c r="H348" s="16" t="n">
        <v>0.00676122685185185</v>
      </c>
      <c r="I348" s="17" t="n">
        <v>137</v>
      </c>
      <c r="J348" s="16" t="n">
        <v>0.00281898148148148</v>
      </c>
      <c r="K348" s="17" t="n">
        <v>359</v>
      </c>
      <c r="L348" s="17" t="n">
        <f aca="false">COUNT(E348,I348,K348)</f>
        <v>3</v>
      </c>
      <c r="M348" s="18" t="n">
        <f aca="false">(D348&lt;&gt;"")*(D348&lt;=($E$3*60+$F$3)/86400)+(H348&lt;&gt;"")*(H348&lt;=($I$3*60+$J$3)/86400)+(J348&lt;&gt;"")*(J348&lt;=($M$3*60+$N$3)/86400)</f>
        <v>0</v>
      </c>
      <c r="N348" s="20"/>
      <c r="O348" s="20"/>
      <c r="P348" s="20"/>
      <c r="Q348" s="19"/>
    </row>
    <row r="349" customFormat="false" ht="15" hidden="false" customHeight="false" outlineLevel="0" collapsed="false">
      <c r="A349" s="10" t="n">
        <v>343</v>
      </c>
      <c r="B349" s="11" t="s">
        <v>636</v>
      </c>
      <c r="C349" s="12" t="s">
        <v>37</v>
      </c>
      <c r="D349" s="13" t="n">
        <v>0.0105041666666667</v>
      </c>
      <c r="E349" s="14" t="n">
        <v>344</v>
      </c>
      <c r="F349" s="15" t="n">
        <f aca="false">IF(D349="","",ROUND((D349-MIN($D$7:$D$9999))*86400,2))</f>
        <v>117.82</v>
      </c>
      <c r="G349" s="10" t="str">
        <f aca="false">IF(D349="","",IF(D349&lt;=($E$3*60+$F$3)/86400,"○",""))</f>
        <v/>
      </c>
      <c r="H349" s="16"/>
      <c r="I349" s="17"/>
      <c r="J349" s="16" t="n">
        <v>0.00281712962962963</v>
      </c>
      <c r="K349" s="17" t="n">
        <v>351</v>
      </c>
      <c r="L349" s="17" t="n">
        <f aca="false">COUNT(E349,I349,K349)</f>
        <v>2</v>
      </c>
      <c r="M349" s="18" t="n">
        <f aca="false">(D349&lt;&gt;"")*(D349&lt;=($E$3*60+$F$3)/86400)+(H349&lt;&gt;"")*(H349&lt;=($I$3*60+$J$3)/86400)+(J349&lt;&gt;"")*(J349&lt;=($M$3*60+$N$3)/86400)</f>
        <v>0</v>
      </c>
      <c r="N349" s="20"/>
      <c r="O349" s="20"/>
      <c r="P349" s="20"/>
      <c r="Q349" s="19"/>
    </row>
    <row r="350" customFormat="false" ht="15" hidden="false" customHeight="false" outlineLevel="0" collapsed="false">
      <c r="A350" s="10" t="n">
        <v>344</v>
      </c>
      <c r="B350" s="11" t="s">
        <v>637</v>
      </c>
      <c r="C350" s="12" t="s">
        <v>601</v>
      </c>
      <c r="D350" s="13" t="n">
        <v>0.0105046296296296</v>
      </c>
      <c r="E350" s="14" t="n">
        <v>345</v>
      </c>
      <c r="F350" s="15" t="n">
        <f aca="false">IF(D350="","",ROUND((D350-MIN($D$7:$D$9999))*86400,2))</f>
        <v>117.86</v>
      </c>
      <c r="G350" s="10" t="str">
        <f aca="false">IF(D350="","",IF(D350&lt;=($E$3*60+$F$3)/86400,"○",""))</f>
        <v/>
      </c>
      <c r="H350" s="16"/>
      <c r="I350" s="17"/>
      <c r="J350" s="16" t="n">
        <v>0.002940625</v>
      </c>
      <c r="K350" s="17" t="n">
        <v>1201</v>
      </c>
      <c r="L350" s="17" t="n">
        <f aca="false">COUNT(E350,I350,K350)</f>
        <v>2</v>
      </c>
      <c r="M350" s="18" t="n">
        <f aca="false">(D350&lt;&gt;"")*(D350&lt;=($E$3*60+$F$3)/86400)+(H350&lt;&gt;"")*(H350&lt;=($I$3*60+$J$3)/86400)+(J350&lt;&gt;"")*(J350&lt;=($M$3*60+$N$3)/86400)</f>
        <v>0</v>
      </c>
      <c r="N350" s="20"/>
      <c r="O350" s="20"/>
      <c r="P350" s="20"/>
      <c r="Q350" s="19"/>
    </row>
    <row r="351" customFormat="false" ht="15" hidden="false" customHeight="false" outlineLevel="0" collapsed="false">
      <c r="A351" s="10" t="n">
        <v>345</v>
      </c>
      <c r="B351" s="11" t="s">
        <v>638</v>
      </c>
      <c r="C351" s="12" t="s">
        <v>96</v>
      </c>
      <c r="D351" s="13" t="n">
        <v>0.0105052083333333</v>
      </c>
      <c r="E351" s="14" t="n">
        <v>346</v>
      </c>
      <c r="F351" s="15" t="n">
        <f aca="false">IF(D351="","",ROUND((D351-MIN($D$7:$D$9999))*86400,2))</f>
        <v>117.91</v>
      </c>
      <c r="G351" s="10" t="str">
        <f aca="false">IF(D351="","",IF(D351&lt;=($E$3*60+$F$3)/86400,"○",""))</f>
        <v/>
      </c>
      <c r="H351" s="16"/>
      <c r="I351" s="17"/>
      <c r="J351" s="16"/>
      <c r="K351" s="17"/>
      <c r="L351" s="17" t="n">
        <f aca="false">COUNT(E351,I351,K351)</f>
        <v>1</v>
      </c>
      <c r="M351" s="18" t="n">
        <f aca="false">(D351&lt;&gt;"")*(D351&lt;=($E$3*60+$F$3)/86400)+(H351&lt;&gt;"")*(H351&lt;=($I$3*60+$J$3)/86400)+(J351&lt;&gt;"")*(J351&lt;=($M$3*60+$N$3)/86400)</f>
        <v>0</v>
      </c>
      <c r="N351" s="20"/>
      <c r="O351" s="20"/>
      <c r="P351" s="20"/>
      <c r="Q351" s="19"/>
    </row>
    <row r="352" customFormat="false" ht="15" hidden="false" customHeight="false" outlineLevel="0" collapsed="false">
      <c r="A352" s="10" t="n">
        <v>346</v>
      </c>
      <c r="B352" s="11" t="s">
        <v>639</v>
      </c>
      <c r="C352" s="12" t="s">
        <v>281</v>
      </c>
      <c r="D352" s="13" t="n">
        <v>0.010505787037037</v>
      </c>
      <c r="E352" s="14" t="n">
        <v>347</v>
      </c>
      <c r="F352" s="15" t="n">
        <f aca="false">IF(D352="","",ROUND((D352-MIN($D$7:$D$9999))*86400,2))</f>
        <v>117.96</v>
      </c>
      <c r="G352" s="10" t="str">
        <f aca="false">IF(D352="","",IF(D352&lt;=($E$3*60+$F$3)/86400,"○",""))</f>
        <v/>
      </c>
      <c r="H352" s="16"/>
      <c r="I352" s="17"/>
      <c r="J352" s="16"/>
      <c r="K352" s="17"/>
      <c r="L352" s="17" t="n">
        <f aca="false">COUNT(E352,I352,K352)</f>
        <v>1</v>
      </c>
      <c r="M352" s="18" t="n">
        <f aca="false">(D352&lt;&gt;"")*(D352&lt;=($E$3*60+$F$3)/86400)+(H352&lt;&gt;"")*(H352&lt;=($I$3*60+$J$3)/86400)+(J352&lt;&gt;"")*(J352&lt;=($M$3*60+$N$3)/86400)</f>
        <v>0</v>
      </c>
      <c r="N352" s="20"/>
      <c r="O352" s="20"/>
      <c r="P352" s="20"/>
      <c r="Q352" s="19"/>
    </row>
    <row r="353" customFormat="false" ht="15" hidden="false" customHeight="false" outlineLevel="0" collapsed="false">
      <c r="A353" s="10" t="n">
        <v>347</v>
      </c>
      <c r="B353" s="11" t="s">
        <v>640</v>
      </c>
      <c r="C353" s="12" t="s">
        <v>195</v>
      </c>
      <c r="D353" s="13" t="n">
        <v>0.0105081018518519</v>
      </c>
      <c r="E353" s="14" t="n">
        <v>348</v>
      </c>
      <c r="F353" s="15" t="n">
        <f aca="false">IF(D353="","",ROUND((D353-MIN($D$7:$D$9999))*86400,2))</f>
        <v>118.16</v>
      </c>
      <c r="G353" s="10" t="str">
        <f aca="false">IF(D353="","",IF(D353&lt;=($E$3*60+$F$3)/86400,"○",""))</f>
        <v/>
      </c>
      <c r="H353" s="16"/>
      <c r="I353" s="17"/>
      <c r="J353" s="16" t="n">
        <v>0.00279618055555556</v>
      </c>
      <c r="K353" s="17" t="n">
        <v>267</v>
      </c>
      <c r="L353" s="17" t="n">
        <f aca="false">COUNT(E353,I353,K353)</f>
        <v>2</v>
      </c>
      <c r="M353" s="18" t="n">
        <f aca="false">(D353&lt;&gt;"")*(D353&lt;=($E$3*60+$F$3)/86400)+(H353&lt;&gt;"")*(H353&lt;=($I$3*60+$J$3)/86400)+(J353&lt;&gt;"")*(J353&lt;=($M$3*60+$N$3)/86400)</f>
        <v>0</v>
      </c>
      <c r="N353" s="20"/>
      <c r="O353" s="20"/>
      <c r="P353" s="20"/>
      <c r="Q353" s="19"/>
    </row>
    <row r="354" customFormat="false" ht="15" hidden="false" customHeight="false" outlineLevel="0" collapsed="false">
      <c r="A354" s="10" t="n">
        <v>348</v>
      </c>
      <c r="B354" s="11" t="s">
        <v>641</v>
      </c>
      <c r="C354" s="12" t="s">
        <v>575</v>
      </c>
      <c r="D354" s="13" t="n">
        <v>0.0105109953703704</v>
      </c>
      <c r="E354" s="14" t="n">
        <v>349</v>
      </c>
      <c r="F354" s="15" t="n">
        <f aca="false">IF(D354="","",ROUND((D354-MIN($D$7:$D$9999))*86400,2))</f>
        <v>118.41</v>
      </c>
      <c r="G354" s="10" t="str">
        <f aca="false">IF(D354="","",IF(D354&lt;=($E$3*60+$F$3)/86400,"○",""))</f>
        <v/>
      </c>
      <c r="H354" s="16"/>
      <c r="I354" s="17"/>
      <c r="J354" s="16" t="n">
        <v>0.00290497685185185</v>
      </c>
      <c r="K354" s="17" t="n">
        <v>983</v>
      </c>
      <c r="L354" s="17" t="n">
        <f aca="false">COUNT(E354,I354,K354)</f>
        <v>2</v>
      </c>
      <c r="M354" s="18" t="n">
        <f aca="false">(D354&lt;&gt;"")*(D354&lt;=($E$3*60+$F$3)/86400)+(H354&lt;&gt;"")*(H354&lt;=($I$3*60+$J$3)/86400)+(J354&lt;&gt;"")*(J354&lt;=($M$3*60+$N$3)/86400)</f>
        <v>0</v>
      </c>
      <c r="N354" s="20"/>
      <c r="O354" s="20"/>
      <c r="P354" s="20"/>
      <c r="Q354" s="19"/>
    </row>
    <row r="355" customFormat="false" ht="15" hidden="false" customHeight="false" outlineLevel="0" collapsed="false">
      <c r="A355" s="10" t="n">
        <v>349</v>
      </c>
      <c r="B355" s="11" t="s">
        <v>642</v>
      </c>
      <c r="C355" s="12" t="s">
        <v>87</v>
      </c>
      <c r="D355" s="13" t="n">
        <v>0.0105109953703704</v>
      </c>
      <c r="E355" s="14" t="n">
        <v>350</v>
      </c>
      <c r="F355" s="15" t="n">
        <f aca="false">IF(D355="","",ROUND((D355-MIN($D$7:$D$9999))*86400,2))</f>
        <v>118.41</v>
      </c>
      <c r="G355" s="10" t="str">
        <f aca="false">IF(D355="","",IF(D355&lt;=($E$3*60+$F$3)/86400,"○",""))</f>
        <v/>
      </c>
      <c r="H355" s="16" t="n">
        <v>0.00703599537037037</v>
      </c>
      <c r="I355" s="17" t="n">
        <v>367</v>
      </c>
      <c r="J355" s="16"/>
      <c r="K355" s="17"/>
      <c r="L355" s="17" t="n">
        <f aca="false">COUNT(E355,I355,K355)</f>
        <v>2</v>
      </c>
      <c r="M355" s="18" t="n">
        <f aca="false">(D355&lt;&gt;"")*(D355&lt;=($E$3*60+$F$3)/86400)+(H355&lt;&gt;"")*(H355&lt;=($I$3*60+$J$3)/86400)+(J355&lt;&gt;"")*(J355&lt;=($M$3*60+$N$3)/86400)</f>
        <v>0</v>
      </c>
      <c r="N355" s="20"/>
      <c r="O355" s="20"/>
      <c r="P355" s="20"/>
      <c r="Q355" s="19"/>
    </row>
    <row r="356" customFormat="false" ht="15" hidden="false" customHeight="false" outlineLevel="0" collapsed="false">
      <c r="A356" s="10" t="n">
        <v>350</v>
      </c>
      <c r="B356" s="11" t="s">
        <v>643</v>
      </c>
      <c r="C356" s="12" t="s">
        <v>77</v>
      </c>
      <c r="D356" s="13" t="n">
        <v>0.0105115740740741</v>
      </c>
      <c r="E356" s="14" t="n">
        <v>351</v>
      </c>
      <c r="F356" s="15" t="n">
        <f aca="false">IF(D356="","",ROUND((D356-MIN($D$7:$D$9999))*86400,2))</f>
        <v>118.46</v>
      </c>
      <c r="G356" s="10" t="str">
        <f aca="false">IF(D356="","",IF(D356&lt;=($E$3*60+$F$3)/86400,"○",""))</f>
        <v/>
      </c>
      <c r="H356" s="16" t="n">
        <v>0.006559375</v>
      </c>
      <c r="I356" s="17" t="n">
        <v>47</v>
      </c>
      <c r="J356" s="16" t="n">
        <v>0.00293391203703704</v>
      </c>
      <c r="K356" s="17" t="n">
        <v>1182</v>
      </c>
      <c r="L356" s="17" t="n">
        <f aca="false">COUNT(E356,I356,K356)</f>
        <v>3</v>
      </c>
      <c r="M356" s="18" t="n">
        <f aca="false">(D356&lt;&gt;"")*(D356&lt;=($E$3*60+$F$3)/86400)+(H356&lt;&gt;"")*(H356&lt;=($I$3*60+$J$3)/86400)+(J356&lt;&gt;"")*(J356&lt;=($M$3*60+$N$3)/86400)</f>
        <v>0</v>
      </c>
      <c r="N356" s="20"/>
      <c r="O356" s="20" t="s">
        <v>644</v>
      </c>
      <c r="P356" s="20"/>
      <c r="Q356" s="19"/>
    </row>
    <row r="357" customFormat="false" ht="15" hidden="false" customHeight="false" outlineLevel="0" collapsed="false">
      <c r="A357" s="10" t="n">
        <v>351</v>
      </c>
      <c r="B357" s="11" t="s">
        <v>645</v>
      </c>
      <c r="C357" s="12" t="s">
        <v>245</v>
      </c>
      <c r="D357" s="13" t="n">
        <v>0.0105116898148148</v>
      </c>
      <c r="E357" s="14" t="n">
        <v>352</v>
      </c>
      <c r="F357" s="15" t="n">
        <f aca="false">IF(D357="","",ROUND((D357-MIN($D$7:$D$9999))*86400,2))</f>
        <v>118.47</v>
      </c>
      <c r="G357" s="10" t="str">
        <f aca="false">IF(D357="","",IF(D357&lt;=($E$3*60+$F$3)/86400,"○",""))</f>
        <v/>
      </c>
      <c r="H357" s="16" t="n">
        <v>0.00655925925925926</v>
      </c>
      <c r="I357" s="17" t="n">
        <v>46</v>
      </c>
      <c r="J357" s="16" t="n">
        <v>0.00283414351851852</v>
      </c>
      <c r="K357" s="17" t="n">
        <v>451</v>
      </c>
      <c r="L357" s="17" t="n">
        <f aca="false">COUNT(E357,I357,K357)</f>
        <v>3</v>
      </c>
      <c r="M357" s="18" t="n">
        <f aca="false">(D357&lt;&gt;"")*(D357&lt;=($E$3*60+$F$3)/86400)+(H357&lt;&gt;"")*(H357&lt;=($I$3*60+$J$3)/86400)+(J357&lt;&gt;"")*(J357&lt;=($M$3*60+$N$3)/86400)</f>
        <v>0</v>
      </c>
      <c r="N357" s="20" t="s">
        <v>646</v>
      </c>
      <c r="O357" s="20"/>
      <c r="P357" s="20"/>
      <c r="Q357" s="19"/>
    </row>
    <row r="358" customFormat="false" ht="15" hidden="false" customHeight="false" outlineLevel="0" collapsed="false">
      <c r="A358" s="10" t="n">
        <v>352</v>
      </c>
      <c r="B358" s="11" t="s">
        <v>647</v>
      </c>
      <c r="C358" s="12" t="s">
        <v>648</v>
      </c>
      <c r="D358" s="13" t="n">
        <v>0.0105118055555556</v>
      </c>
      <c r="E358" s="14" t="n">
        <v>353</v>
      </c>
      <c r="F358" s="15" t="n">
        <f aca="false">IF(D358="","",ROUND((D358-MIN($D$7:$D$9999))*86400,2))</f>
        <v>118.48</v>
      </c>
      <c r="G358" s="10" t="str">
        <f aca="false">IF(D358="","",IF(D358&lt;=($E$3*60+$F$3)/86400,"○",""))</f>
        <v/>
      </c>
      <c r="H358" s="16"/>
      <c r="I358" s="17"/>
      <c r="J358" s="16" t="n">
        <v>0.00279097222222222</v>
      </c>
      <c r="K358" s="17" t="n">
        <v>244</v>
      </c>
      <c r="L358" s="17" t="n">
        <f aca="false">COUNT(E358,I358,K358)</f>
        <v>2</v>
      </c>
      <c r="M358" s="18" t="n">
        <f aca="false">(D358&lt;&gt;"")*(D358&lt;=($E$3*60+$F$3)/86400)+(H358&lt;&gt;"")*(H358&lt;=($I$3*60+$J$3)/86400)+(J358&lt;&gt;"")*(J358&lt;=($M$3*60+$N$3)/86400)</f>
        <v>0</v>
      </c>
      <c r="N358" s="20" t="s">
        <v>649</v>
      </c>
      <c r="O358" s="20"/>
      <c r="P358" s="20"/>
      <c r="Q358" s="19"/>
    </row>
    <row r="359" customFormat="false" ht="15" hidden="false" customHeight="false" outlineLevel="0" collapsed="false">
      <c r="A359" s="10" t="n">
        <v>353</v>
      </c>
      <c r="B359" s="11" t="s">
        <v>650</v>
      </c>
      <c r="C359" s="12" t="s">
        <v>469</v>
      </c>
      <c r="D359" s="13" t="n">
        <v>0.0105118055555556</v>
      </c>
      <c r="E359" s="14" t="n">
        <v>354</v>
      </c>
      <c r="F359" s="15" t="n">
        <f aca="false">IF(D359="","",ROUND((D359-MIN($D$7:$D$9999))*86400,2))</f>
        <v>118.48</v>
      </c>
      <c r="G359" s="10" t="str">
        <f aca="false">IF(D359="","",IF(D359&lt;=($E$3*60+$F$3)/86400,"○",""))</f>
        <v/>
      </c>
      <c r="H359" s="16"/>
      <c r="I359" s="17"/>
      <c r="J359" s="16" t="n">
        <v>0.00277939814814815</v>
      </c>
      <c r="K359" s="17" t="n">
        <v>198</v>
      </c>
      <c r="L359" s="17" t="n">
        <f aca="false">COUNT(E359,I359,K359)</f>
        <v>2</v>
      </c>
      <c r="M359" s="18" t="n">
        <f aca="false">(D359&lt;&gt;"")*(D359&lt;=($E$3*60+$F$3)/86400)+(H359&lt;&gt;"")*(H359&lt;=($I$3*60+$J$3)/86400)+(J359&lt;&gt;"")*(J359&lt;=($M$3*60+$N$3)/86400)</f>
        <v>0</v>
      </c>
      <c r="N359" s="20"/>
      <c r="O359" s="20"/>
      <c r="P359" s="20"/>
      <c r="Q359" s="19"/>
    </row>
    <row r="360" customFormat="false" ht="15" hidden="false" customHeight="false" outlineLevel="0" collapsed="false">
      <c r="A360" s="10" t="n">
        <v>354</v>
      </c>
      <c r="B360" s="11" t="s">
        <v>651</v>
      </c>
      <c r="C360" s="12" t="s">
        <v>103</v>
      </c>
      <c r="D360" s="13" t="n">
        <v>0.0105134259259259</v>
      </c>
      <c r="E360" s="14" t="n">
        <v>355</v>
      </c>
      <c r="F360" s="15" t="n">
        <f aca="false">IF(D360="","",ROUND((D360-MIN($D$7:$D$9999))*86400,2))</f>
        <v>118.62</v>
      </c>
      <c r="G360" s="10" t="str">
        <f aca="false">IF(D360="","",IF(D360&lt;=($E$3*60+$F$3)/86400,"○",""))</f>
        <v/>
      </c>
      <c r="H360" s="16"/>
      <c r="I360" s="17"/>
      <c r="J360" s="16" t="n">
        <v>0.00275243055555556</v>
      </c>
      <c r="K360" s="17" t="n">
        <v>109</v>
      </c>
      <c r="L360" s="17" t="n">
        <f aca="false">COUNT(E360,I360,K360)</f>
        <v>2</v>
      </c>
      <c r="M360" s="18" t="n">
        <f aca="false">(D360&lt;&gt;"")*(D360&lt;=($E$3*60+$F$3)/86400)+(H360&lt;&gt;"")*(H360&lt;=($I$3*60+$J$3)/86400)+(J360&lt;&gt;"")*(J360&lt;=($M$3*60+$N$3)/86400)</f>
        <v>0</v>
      </c>
      <c r="N360" s="20" t="s">
        <v>652</v>
      </c>
      <c r="O360" s="20"/>
      <c r="P360" s="20"/>
      <c r="Q360" s="19"/>
    </row>
    <row r="361" customFormat="false" ht="15" hidden="false" customHeight="false" outlineLevel="0" collapsed="false">
      <c r="A361" s="10" t="n">
        <v>355</v>
      </c>
      <c r="B361" s="11" t="s">
        <v>653</v>
      </c>
      <c r="C361" s="12" t="s">
        <v>96</v>
      </c>
      <c r="D361" s="13" t="n">
        <v>0.0105146990740741</v>
      </c>
      <c r="E361" s="14" t="n">
        <v>356</v>
      </c>
      <c r="F361" s="15" t="n">
        <f aca="false">IF(D361="","",ROUND((D361-MIN($D$7:$D$9999))*86400,2))</f>
        <v>118.73</v>
      </c>
      <c r="G361" s="10" t="str">
        <f aca="false">IF(D361="","",IF(D361&lt;=($E$3*60+$F$3)/86400,"○",""))</f>
        <v/>
      </c>
      <c r="H361" s="16"/>
      <c r="I361" s="17"/>
      <c r="J361" s="16"/>
      <c r="K361" s="17"/>
      <c r="L361" s="17" t="n">
        <f aca="false">COUNT(E361,I361,K361)</f>
        <v>1</v>
      </c>
      <c r="M361" s="18" t="n">
        <f aca="false">(D361&lt;&gt;"")*(D361&lt;=($E$3*60+$F$3)/86400)+(H361&lt;&gt;"")*(H361&lt;=($I$3*60+$J$3)/86400)+(J361&lt;&gt;"")*(J361&lt;=($M$3*60+$N$3)/86400)</f>
        <v>0</v>
      </c>
      <c r="N361" s="20"/>
      <c r="O361" s="20" t="s">
        <v>654</v>
      </c>
      <c r="P361" s="20"/>
      <c r="Q361" s="19"/>
    </row>
    <row r="362" customFormat="false" ht="15" hidden="false" customHeight="false" outlineLevel="0" collapsed="false">
      <c r="A362" s="10" t="n">
        <v>356</v>
      </c>
      <c r="B362" s="11" t="s">
        <v>655</v>
      </c>
      <c r="C362" s="12" t="s">
        <v>63</v>
      </c>
      <c r="D362" s="13" t="n">
        <v>0.010515162037037</v>
      </c>
      <c r="E362" s="14" t="n">
        <v>357</v>
      </c>
      <c r="F362" s="15" t="n">
        <f aca="false">IF(D362="","",ROUND((D362-MIN($D$7:$D$9999))*86400,2))</f>
        <v>118.77</v>
      </c>
      <c r="G362" s="10" t="str">
        <f aca="false">IF(D362="","",IF(D362&lt;=($E$3*60+$F$3)/86400,"○",""))</f>
        <v/>
      </c>
      <c r="H362" s="16"/>
      <c r="I362" s="17"/>
      <c r="J362" s="16" t="n">
        <v>0.00281331018518519</v>
      </c>
      <c r="K362" s="17" t="n">
        <v>336</v>
      </c>
      <c r="L362" s="17" t="n">
        <f aca="false">COUNT(E362,I362,K362)</f>
        <v>2</v>
      </c>
      <c r="M362" s="18" t="n">
        <f aca="false">(D362&lt;&gt;"")*(D362&lt;=($E$3*60+$F$3)/86400)+(H362&lt;&gt;"")*(H362&lt;=($I$3*60+$J$3)/86400)+(J362&lt;&gt;"")*(J362&lt;=($M$3*60+$N$3)/86400)</f>
        <v>0</v>
      </c>
      <c r="N362" s="20"/>
      <c r="O362" s="20"/>
      <c r="P362" s="20"/>
      <c r="Q362" s="19"/>
    </row>
    <row r="363" customFormat="false" ht="15" hidden="false" customHeight="false" outlineLevel="0" collapsed="false">
      <c r="A363" s="10" t="n">
        <v>357</v>
      </c>
      <c r="B363" s="11" t="s">
        <v>656</v>
      </c>
      <c r="C363" s="12" t="s">
        <v>83</v>
      </c>
      <c r="D363" s="13" t="n">
        <v>0.0105153935185185</v>
      </c>
      <c r="E363" s="14" t="n">
        <v>358</v>
      </c>
      <c r="F363" s="15" t="n">
        <f aca="false">IF(D363="","",ROUND((D363-MIN($D$7:$D$9999))*86400,2))</f>
        <v>118.79</v>
      </c>
      <c r="G363" s="10" t="str">
        <f aca="false">IF(D363="","",IF(D363&lt;=($E$3*60+$F$3)/86400,"○",""))</f>
        <v/>
      </c>
      <c r="H363" s="16"/>
      <c r="I363" s="17"/>
      <c r="J363" s="16" t="n">
        <v>0.00281076388888889</v>
      </c>
      <c r="K363" s="17" t="n">
        <v>326</v>
      </c>
      <c r="L363" s="17" t="n">
        <f aca="false">COUNT(E363,I363,K363)</f>
        <v>2</v>
      </c>
      <c r="M363" s="18" t="n">
        <f aca="false">(D363&lt;&gt;"")*(D363&lt;=($E$3*60+$F$3)/86400)+(H363&lt;&gt;"")*(H363&lt;=($I$3*60+$J$3)/86400)+(J363&lt;&gt;"")*(J363&lt;=($M$3*60+$N$3)/86400)</f>
        <v>0</v>
      </c>
      <c r="N363" s="20" t="s">
        <v>657</v>
      </c>
      <c r="O363" s="20"/>
      <c r="P363" s="20"/>
      <c r="Q363" s="19"/>
    </row>
    <row r="364" customFormat="false" ht="15" hidden="false" customHeight="false" outlineLevel="0" collapsed="false">
      <c r="A364" s="10" t="n">
        <v>358</v>
      </c>
      <c r="B364" s="11" t="s">
        <v>658</v>
      </c>
      <c r="C364" s="12" t="s">
        <v>94</v>
      </c>
      <c r="D364" s="13" t="n">
        <v>0.0105157407407407</v>
      </c>
      <c r="E364" s="14" t="n">
        <v>359</v>
      </c>
      <c r="F364" s="15" t="n">
        <f aca="false">IF(D364="","",ROUND((D364-MIN($D$7:$D$9999))*86400,2))</f>
        <v>118.82</v>
      </c>
      <c r="G364" s="10" t="str">
        <f aca="false">IF(D364="","",IF(D364&lt;=($E$3*60+$F$3)/86400,"○",""))</f>
        <v/>
      </c>
      <c r="H364" s="16" t="n">
        <v>0.00706319444444444</v>
      </c>
      <c r="I364" s="17" t="n">
        <v>404</v>
      </c>
      <c r="J364" s="16"/>
      <c r="K364" s="17"/>
      <c r="L364" s="17" t="n">
        <f aca="false">COUNT(E364,I364,K364)</f>
        <v>2</v>
      </c>
      <c r="M364" s="18" t="n">
        <f aca="false">(D364&lt;&gt;"")*(D364&lt;=($E$3*60+$F$3)/86400)+(H364&lt;&gt;"")*(H364&lt;=($I$3*60+$J$3)/86400)+(J364&lt;&gt;"")*(J364&lt;=($M$3*60+$N$3)/86400)</f>
        <v>0</v>
      </c>
      <c r="N364" s="20"/>
      <c r="O364" s="20"/>
      <c r="P364" s="20"/>
      <c r="Q364" s="19"/>
    </row>
    <row r="365" customFormat="false" ht="15" hidden="false" customHeight="false" outlineLevel="0" collapsed="false">
      <c r="A365" s="10" t="n">
        <v>359</v>
      </c>
      <c r="B365" s="11" t="s">
        <v>659</v>
      </c>
      <c r="C365" s="12" t="s">
        <v>397</v>
      </c>
      <c r="D365" s="13" t="n">
        <v>0.0105166666666667</v>
      </c>
      <c r="E365" s="14" t="n">
        <v>360</v>
      </c>
      <c r="F365" s="15" t="n">
        <f aca="false">IF(D365="","",ROUND((D365-MIN($D$7:$D$9999))*86400,2))</f>
        <v>118.9</v>
      </c>
      <c r="G365" s="10" t="str">
        <f aca="false">IF(D365="","",IF(D365&lt;=($E$3*60+$F$3)/86400,"○",""))</f>
        <v/>
      </c>
      <c r="H365" s="16" t="n">
        <v>0.00671261574074074</v>
      </c>
      <c r="I365" s="17" t="n">
        <v>112</v>
      </c>
      <c r="J365" s="16" t="n">
        <v>0.00284456018518519</v>
      </c>
      <c r="K365" s="17" t="n">
        <v>531</v>
      </c>
      <c r="L365" s="17" t="n">
        <f aca="false">COUNT(E365,I365,K365)</f>
        <v>3</v>
      </c>
      <c r="M365" s="18" t="n">
        <f aca="false">(D365&lt;&gt;"")*(D365&lt;=($E$3*60+$F$3)/86400)+(H365&lt;&gt;"")*(H365&lt;=($I$3*60+$J$3)/86400)+(J365&lt;&gt;"")*(J365&lt;=($M$3*60+$N$3)/86400)</f>
        <v>0</v>
      </c>
      <c r="N365" s="20"/>
      <c r="O365" s="20"/>
      <c r="P365" s="20"/>
      <c r="Q365" s="19"/>
    </row>
    <row r="366" customFormat="false" ht="15" hidden="false" customHeight="false" outlineLevel="0" collapsed="false">
      <c r="A366" s="10" t="n">
        <v>360</v>
      </c>
      <c r="B366" s="11" t="s">
        <v>660</v>
      </c>
      <c r="C366" s="12" t="s">
        <v>417</v>
      </c>
      <c r="D366" s="13" t="n">
        <v>0.0105166666666667</v>
      </c>
      <c r="E366" s="14" t="n">
        <v>361</v>
      </c>
      <c r="F366" s="15" t="n">
        <f aca="false">IF(D366="","",ROUND((D366-MIN($D$7:$D$9999))*86400,2))</f>
        <v>118.9</v>
      </c>
      <c r="G366" s="10" t="str">
        <f aca="false">IF(D366="","",IF(D366&lt;=($E$3*60+$F$3)/86400,"○",""))</f>
        <v/>
      </c>
      <c r="H366" s="16"/>
      <c r="I366" s="17"/>
      <c r="J366" s="16" t="n">
        <v>0.002803125</v>
      </c>
      <c r="K366" s="17" t="n">
        <v>296</v>
      </c>
      <c r="L366" s="17" t="n">
        <f aca="false">COUNT(E366,I366,K366)</f>
        <v>2</v>
      </c>
      <c r="M366" s="18" t="n">
        <f aca="false">(D366&lt;&gt;"")*(D366&lt;=($E$3*60+$F$3)/86400)+(H366&lt;&gt;"")*(H366&lt;=($I$3*60+$J$3)/86400)+(J366&lt;&gt;"")*(J366&lt;=($M$3*60+$N$3)/86400)</f>
        <v>0</v>
      </c>
      <c r="N366" s="20"/>
      <c r="O366" s="20"/>
      <c r="P366" s="20"/>
      <c r="Q366" s="19"/>
    </row>
    <row r="367" customFormat="false" ht="15" hidden="false" customHeight="false" outlineLevel="0" collapsed="false">
      <c r="A367" s="10" t="n">
        <v>361</v>
      </c>
      <c r="B367" s="11" t="s">
        <v>661</v>
      </c>
      <c r="C367" s="12" t="s">
        <v>61</v>
      </c>
      <c r="D367" s="13" t="n">
        <v>0.0105172453703704</v>
      </c>
      <c r="E367" s="14" t="n">
        <v>362</v>
      </c>
      <c r="F367" s="15" t="n">
        <f aca="false">IF(D367="","",ROUND((D367-MIN($D$7:$D$9999))*86400,2))</f>
        <v>118.95</v>
      </c>
      <c r="G367" s="10" t="str">
        <f aca="false">IF(D367="","",IF(D367&lt;=($E$3*60+$F$3)/86400,"○",""))</f>
        <v/>
      </c>
      <c r="H367" s="16"/>
      <c r="I367" s="17"/>
      <c r="J367" s="16" t="n">
        <v>0.00276666666666667</v>
      </c>
      <c r="K367" s="17" t="n">
        <v>154</v>
      </c>
      <c r="L367" s="17" t="n">
        <f aca="false">COUNT(E367,I367,K367)</f>
        <v>2</v>
      </c>
      <c r="M367" s="18" t="n">
        <f aca="false">(D367&lt;&gt;"")*(D367&lt;=($E$3*60+$F$3)/86400)+(H367&lt;&gt;"")*(H367&lt;=($I$3*60+$J$3)/86400)+(J367&lt;&gt;"")*(J367&lt;=($M$3*60+$N$3)/86400)</f>
        <v>0</v>
      </c>
      <c r="N367" s="20"/>
      <c r="O367" s="20"/>
      <c r="P367" s="20"/>
      <c r="Q367" s="19"/>
    </row>
    <row r="368" customFormat="false" ht="15" hidden="false" customHeight="false" outlineLevel="0" collapsed="false">
      <c r="A368" s="10" t="n">
        <v>362</v>
      </c>
      <c r="B368" s="11" t="s">
        <v>662</v>
      </c>
      <c r="C368" s="12" t="s">
        <v>65</v>
      </c>
      <c r="D368" s="13" t="n">
        <v>0.0105200231481482</v>
      </c>
      <c r="E368" s="14" t="n">
        <v>363</v>
      </c>
      <c r="F368" s="15" t="n">
        <f aca="false">IF(D368="","",ROUND((D368-MIN($D$7:$D$9999))*86400,2))</f>
        <v>119.19</v>
      </c>
      <c r="G368" s="10" t="str">
        <f aca="false">IF(D368="","",IF(D368&lt;=($E$3*60+$F$3)/86400,"○",""))</f>
        <v/>
      </c>
      <c r="H368" s="16" t="n">
        <v>0.00666423611111111</v>
      </c>
      <c r="I368" s="17" t="n">
        <v>89</v>
      </c>
      <c r="J368" s="16" t="n">
        <v>0.00283993055555556</v>
      </c>
      <c r="K368" s="17" t="n">
        <v>496</v>
      </c>
      <c r="L368" s="17" t="n">
        <f aca="false">COUNT(E368,I368,K368)</f>
        <v>3</v>
      </c>
      <c r="M368" s="18" t="n">
        <f aca="false">(D368&lt;&gt;"")*(D368&lt;=($E$3*60+$F$3)/86400)+(H368&lt;&gt;"")*(H368&lt;=($I$3*60+$J$3)/86400)+(J368&lt;&gt;"")*(J368&lt;=($M$3*60+$N$3)/86400)</f>
        <v>0</v>
      </c>
      <c r="N368" s="20"/>
      <c r="O368" s="20"/>
      <c r="P368" s="20"/>
      <c r="Q368" s="19"/>
    </row>
    <row r="369" customFormat="false" ht="15" hidden="false" customHeight="false" outlineLevel="0" collapsed="false">
      <c r="A369" s="10" t="n">
        <v>363</v>
      </c>
      <c r="B369" s="11" t="s">
        <v>663</v>
      </c>
      <c r="C369" s="12" t="s">
        <v>145</v>
      </c>
      <c r="D369" s="13" t="n">
        <v>0.0105216435185185</v>
      </c>
      <c r="E369" s="14" t="n">
        <v>364</v>
      </c>
      <c r="F369" s="15" t="n">
        <f aca="false">IF(D369="","",ROUND((D369-MIN($D$7:$D$9999))*86400,2))</f>
        <v>119.33</v>
      </c>
      <c r="G369" s="10" t="str">
        <f aca="false">IF(D369="","",IF(D369&lt;=($E$3*60+$F$3)/86400,"○",""))</f>
        <v/>
      </c>
      <c r="H369" s="16" t="n">
        <v>0.00690613425925926</v>
      </c>
      <c r="I369" s="17" t="n">
        <v>247</v>
      </c>
      <c r="J369" s="16" t="n">
        <v>0.00287407407407407</v>
      </c>
      <c r="K369" s="17" t="n">
        <v>728</v>
      </c>
      <c r="L369" s="17" t="n">
        <f aca="false">COUNT(E369,I369,K369)</f>
        <v>3</v>
      </c>
      <c r="M369" s="18" t="n">
        <f aca="false">(D369&lt;&gt;"")*(D369&lt;=($E$3*60+$F$3)/86400)+(H369&lt;&gt;"")*(H369&lt;=($I$3*60+$J$3)/86400)+(J369&lt;&gt;"")*(J369&lt;=($M$3*60+$N$3)/86400)</f>
        <v>0</v>
      </c>
      <c r="N369" s="20"/>
      <c r="O369" s="20"/>
      <c r="P369" s="20"/>
      <c r="Q369" s="19"/>
    </row>
    <row r="370" customFormat="false" ht="15" hidden="false" customHeight="false" outlineLevel="0" collapsed="false">
      <c r="A370" s="10" t="n">
        <v>364</v>
      </c>
      <c r="B370" s="11" t="s">
        <v>664</v>
      </c>
      <c r="C370" s="12" t="s">
        <v>157</v>
      </c>
      <c r="D370" s="13" t="n">
        <v>0.0105248842592593</v>
      </c>
      <c r="E370" s="14" t="n">
        <v>365</v>
      </c>
      <c r="F370" s="15" t="n">
        <f aca="false">IF(D370="","",ROUND((D370-MIN($D$7:$D$9999))*86400,2))</f>
        <v>119.61</v>
      </c>
      <c r="G370" s="10" t="str">
        <f aca="false">IF(D370="","",IF(D370&lt;=($E$3*60+$F$3)/86400,"○",""))</f>
        <v/>
      </c>
      <c r="H370" s="16"/>
      <c r="I370" s="17"/>
      <c r="J370" s="16" t="n">
        <v>0.00279178240740741</v>
      </c>
      <c r="K370" s="17" t="n">
        <v>247</v>
      </c>
      <c r="L370" s="17" t="n">
        <f aca="false">COUNT(E370,I370,K370)</f>
        <v>2</v>
      </c>
      <c r="M370" s="18" t="n">
        <f aca="false">(D370&lt;&gt;"")*(D370&lt;=($E$3*60+$F$3)/86400)+(H370&lt;&gt;"")*(H370&lt;=($I$3*60+$J$3)/86400)+(J370&lt;&gt;"")*(J370&lt;=($M$3*60+$N$3)/86400)</f>
        <v>0</v>
      </c>
      <c r="N370" s="20"/>
      <c r="O370" s="20"/>
      <c r="P370" s="20"/>
      <c r="Q370" s="19"/>
    </row>
    <row r="371" customFormat="false" ht="15" hidden="false" customHeight="false" outlineLevel="0" collapsed="false">
      <c r="A371" s="10" t="n">
        <v>365</v>
      </c>
      <c r="B371" s="11" t="s">
        <v>665</v>
      </c>
      <c r="C371" s="12" t="s">
        <v>544</v>
      </c>
      <c r="D371" s="13" t="n">
        <v>0.0105252314814815</v>
      </c>
      <c r="E371" s="14" t="n">
        <v>366</v>
      </c>
      <c r="F371" s="15" t="n">
        <f aca="false">IF(D371="","",ROUND((D371-MIN($D$7:$D$9999))*86400,2))</f>
        <v>119.64</v>
      </c>
      <c r="G371" s="10" t="str">
        <f aca="false">IF(D371="","",IF(D371&lt;=($E$3*60+$F$3)/86400,"○",""))</f>
        <v/>
      </c>
      <c r="H371" s="16" t="n">
        <v>0.00732141203703704</v>
      </c>
      <c r="I371" s="17" t="n">
        <v>671</v>
      </c>
      <c r="J371" s="16" t="n">
        <v>0.00289467592592593</v>
      </c>
      <c r="K371" s="17" t="n">
        <v>910</v>
      </c>
      <c r="L371" s="17" t="n">
        <f aca="false">COUNT(E371,I371,K371)</f>
        <v>3</v>
      </c>
      <c r="M371" s="18" t="n">
        <f aca="false">(D371&lt;&gt;"")*(D371&lt;=($E$3*60+$F$3)/86400)+(H371&lt;&gt;"")*(H371&lt;=($I$3*60+$J$3)/86400)+(J371&lt;&gt;"")*(J371&lt;=($M$3*60+$N$3)/86400)</f>
        <v>0</v>
      </c>
      <c r="N371" s="20" t="s">
        <v>666</v>
      </c>
      <c r="O371" s="20"/>
      <c r="P371" s="20"/>
      <c r="Q371" s="19"/>
    </row>
    <row r="372" customFormat="false" ht="15" hidden="false" customHeight="false" outlineLevel="0" collapsed="false">
      <c r="A372" s="10" t="n">
        <v>366</v>
      </c>
      <c r="B372" s="11" t="s">
        <v>667</v>
      </c>
      <c r="C372" s="12" t="s">
        <v>668</v>
      </c>
      <c r="D372" s="13" t="n">
        <v>0.010525462962963</v>
      </c>
      <c r="E372" s="14" t="n">
        <v>367</v>
      </c>
      <c r="F372" s="15" t="n">
        <f aca="false">IF(D372="","",ROUND((D372-MIN($D$7:$D$9999))*86400,2))</f>
        <v>119.66</v>
      </c>
      <c r="G372" s="10" t="str">
        <f aca="false">IF(D372="","",IF(D372&lt;=($E$3*60+$F$3)/86400,"○",""))</f>
        <v/>
      </c>
      <c r="H372" s="16"/>
      <c r="I372" s="17"/>
      <c r="J372" s="16" t="n">
        <v>0.00284733796296296</v>
      </c>
      <c r="K372" s="17" t="n">
        <v>554</v>
      </c>
      <c r="L372" s="17" t="n">
        <f aca="false">COUNT(E372,I372,K372)</f>
        <v>2</v>
      </c>
      <c r="M372" s="18" t="n">
        <f aca="false">(D372&lt;&gt;"")*(D372&lt;=($E$3*60+$F$3)/86400)+(H372&lt;&gt;"")*(H372&lt;=($I$3*60+$J$3)/86400)+(J372&lt;&gt;"")*(J372&lt;=($M$3*60+$N$3)/86400)</f>
        <v>0</v>
      </c>
      <c r="N372" s="20"/>
      <c r="O372" s="20"/>
      <c r="P372" s="20"/>
      <c r="Q372" s="19"/>
    </row>
    <row r="373" customFormat="false" ht="15" hidden="false" customHeight="false" outlineLevel="0" collapsed="false">
      <c r="A373" s="10" t="n">
        <v>367</v>
      </c>
      <c r="B373" s="11" t="s">
        <v>669</v>
      </c>
      <c r="C373" s="12" t="s">
        <v>167</v>
      </c>
      <c r="D373" s="13" t="n">
        <v>0.0105259259259259</v>
      </c>
      <c r="E373" s="14" t="n">
        <v>368</v>
      </c>
      <c r="F373" s="15" t="n">
        <f aca="false">IF(D373="","",ROUND((D373-MIN($D$7:$D$9999))*86400,2))</f>
        <v>119.7</v>
      </c>
      <c r="G373" s="10" t="str">
        <f aca="false">IF(D373="","",IF(D373&lt;=($E$3*60+$F$3)/86400,"○",""))</f>
        <v/>
      </c>
      <c r="H373" s="16"/>
      <c r="I373" s="17"/>
      <c r="J373" s="16" t="n">
        <v>0.00289212962962963</v>
      </c>
      <c r="K373" s="17" t="n">
        <v>891</v>
      </c>
      <c r="L373" s="17" t="n">
        <f aca="false">COUNT(E373,I373,K373)</f>
        <v>2</v>
      </c>
      <c r="M373" s="18" t="n">
        <f aca="false">(D373&lt;&gt;"")*(D373&lt;=($E$3*60+$F$3)/86400)+(H373&lt;&gt;"")*(H373&lt;=($I$3*60+$J$3)/86400)+(J373&lt;&gt;"")*(J373&lt;=($M$3*60+$N$3)/86400)</f>
        <v>0</v>
      </c>
      <c r="N373" s="20" t="s">
        <v>670</v>
      </c>
      <c r="O373" s="20"/>
      <c r="P373" s="20"/>
      <c r="Q373" s="19"/>
    </row>
    <row r="374" customFormat="false" ht="15" hidden="false" customHeight="false" outlineLevel="0" collapsed="false">
      <c r="A374" s="10" t="n">
        <v>368</v>
      </c>
      <c r="B374" s="11" t="s">
        <v>671</v>
      </c>
      <c r="C374" s="12" t="s">
        <v>61</v>
      </c>
      <c r="D374" s="13" t="n">
        <v>0.0105289351851852</v>
      </c>
      <c r="E374" s="14" t="n">
        <v>369</v>
      </c>
      <c r="F374" s="15" t="n">
        <f aca="false">IF(D374="","",ROUND((D374-MIN($D$7:$D$9999))*86400,2))</f>
        <v>119.96</v>
      </c>
      <c r="G374" s="10" t="str">
        <f aca="false">IF(D374="","",IF(D374&lt;=($E$3*60+$F$3)/86400,"○",""))</f>
        <v/>
      </c>
      <c r="H374" s="16" t="n">
        <v>0.00642326388888889</v>
      </c>
      <c r="I374" s="17" t="n">
        <v>20</v>
      </c>
      <c r="J374" s="16"/>
      <c r="K374" s="17"/>
      <c r="L374" s="17" t="n">
        <f aca="false">COUNT(E374,I374,K374)</f>
        <v>2</v>
      </c>
      <c r="M374" s="18" t="n">
        <f aca="false">(D374&lt;&gt;"")*(D374&lt;=($E$3*60+$F$3)/86400)+(H374&lt;&gt;"")*(H374&lt;=($I$3*60+$J$3)/86400)+(J374&lt;&gt;"")*(J374&lt;=($M$3*60+$N$3)/86400)</f>
        <v>1</v>
      </c>
      <c r="N374" s="20"/>
      <c r="O374" s="20"/>
      <c r="P374" s="20"/>
      <c r="Q374" s="19"/>
    </row>
    <row r="375" customFormat="false" ht="15" hidden="false" customHeight="false" outlineLevel="0" collapsed="false">
      <c r="A375" s="10" t="n">
        <v>369</v>
      </c>
      <c r="B375" s="11" t="s">
        <v>672</v>
      </c>
      <c r="C375" s="12" t="s">
        <v>281</v>
      </c>
      <c r="D375" s="13" t="n">
        <v>0.0105296296296296</v>
      </c>
      <c r="E375" s="14" t="n">
        <v>370</v>
      </c>
      <c r="F375" s="15" t="n">
        <f aca="false">IF(D375="","",ROUND((D375-MIN($D$7:$D$9999))*86400,2))</f>
        <v>120.02</v>
      </c>
      <c r="G375" s="10" t="str">
        <f aca="false">IF(D375="","",IF(D375&lt;=($E$3*60+$F$3)/86400,"○",""))</f>
        <v/>
      </c>
      <c r="H375" s="16" t="n">
        <v>0.0068</v>
      </c>
      <c r="I375" s="17" t="n">
        <v>171</v>
      </c>
      <c r="J375" s="16"/>
      <c r="K375" s="17"/>
      <c r="L375" s="17" t="n">
        <f aca="false">COUNT(E375,I375,K375)</f>
        <v>2</v>
      </c>
      <c r="M375" s="18" t="n">
        <f aca="false">(D375&lt;&gt;"")*(D375&lt;=($E$3*60+$F$3)/86400)+(H375&lt;&gt;"")*(H375&lt;=($I$3*60+$J$3)/86400)+(J375&lt;&gt;"")*(J375&lt;=($M$3*60+$N$3)/86400)</f>
        <v>0</v>
      </c>
      <c r="N375" s="20"/>
      <c r="O375" s="20"/>
      <c r="P375" s="20"/>
      <c r="Q375" s="19"/>
    </row>
    <row r="376" customFormat="false" ht="15" hidden="false" customHeight="false" outlineLevel="0" collapsed="false">
      <c r="A376" s="10" t="n">
        <v>370</v>
      </c>
      <c r="B376" s="11" t="s">
        <v>673</v>
      </c>
      <c r="C376" s="12" t="s">
        <v>674</v>
      </c>
      <c r="D376" s="13" t="n">
        <v>0.0105298611111111</v>
      </c>
      <c r="E376" s="14" t="n">
        <v>371</v>
      </c>
      <c r="F376" s="15" t="n">
        <f aca="false">IF(D376="","",ROUND((D376-MIN($D$7:$D$9999))*86400,2))</f>
        <v>120.04</v>
      </c>
      <c r="G376" s="10" t="str">
        <f aca="false">IF(D376="","",IF(D376&lt;=($E$3*60+$F$3)/86400,"○",""))</f>
        <v/>
      </c>
      <c r="H376" s="16"/>
      <c r="I376" s="17"/>
      <c r="J376" s="16" t="n">
        <v>0.00278726851851852</v>
      </c>
      <c r="K376" s="17" t="n">
        <v>231</v>
      </c>
      <c r="L376" s="17" t="n">
        <f aca="false">COUNT(E376,I376,K376)</f>
        <v>2</v>
      </c>
      <c r="M376" s="18" t="n">
        <f aca="false">(D376&lt;&gt;"")*(D376&lt;=($E$3*60+$F$3)/86400)+(H376&lt;&gt;"")*(H376&lt;=($I$3*60+$J$3)/86400)+(J376&lt;&gt;"")*(J376&lt;=($M$3*60+$N$3)/86400)</f>
        <v>0</v>
      </c>
      <c r="N376" s="20" t="s">
        <v>675</v>
      </c>
      <c r="O376" s="20"/>
      <c r="P376" s="20"/>
      <c r="Q376" s="19"/>
    </row>
    <row r="377" customFormat="false" ht="15" hidden="false" customHeight="false" outlineLevel="0" collapsed="false">
      <c r="A377" s="10" t="n">
        <v>371</v>
      </c>
      <c r="B377" s="11" t="s">
        <v>676</v>
      </c>
      <c r="C377" s="12" t="s">
        <v>115</v>
      </c>
      <c r="D377" s="13" t="n">
        <v>0.0105300925925926</v>
      </c>
      <c r="E377" s="14" t="n">
        <v>372</v>
      </c>
      <c r="F377" s="15" t="n">
        <f aca="false">IF(D377="","",ROUND((D377-MIN($D$7:$D$9999))*86400,2))</f>
        <v>120.06</v>
      </c>
      <c r="G377" s="10" t="str">
        <f aca="false">IF(D377="","",IF(D377&lt;=($E$3*60+$F$3)/86400,"○",""))</f>
        <v/>
      </c>
      <c r="H377" s="16" t="n">
        <v>0.0068619212962963</v>
      </c>
      <c r="I377" s="17" t="n">
        <v>212</v>
      </c>
      <c r="J377" s="16" t="n">
        <v>0.00280393518518519</v>
      </c>
      <c r="K377" s="17" t="n">
        <v>299</v>
      </c>
      <c r="L377" s="17" t="n">
        <f aca="false">COUNT(E377,I377,K377)</f>
        <v>3</v>
      </c>
      <c r="M377" s="18" t="n">
        <f aca="false">(D377&lt;&gt;"")*(D377&lt;=($E$3*60+$F$3)/86400)+(H377&lt;&gt;"")*(H377&lt;=($I$3*60+$J$3)/86400)+(J377&lt;&gt;"")*(J377&lt;=($M$3*60+$N$3)/86400)</f>
        <v>0</v>
      </c>
      <c r="N377" s="20"/>
      <c r="O377" s="20"/>
      <c r="P377" s="20"/>
      <c r="Q377" s="19"/>
    </row>
    <row r="378" customFormat="false" ht="15" hidden="false" customHeight="false" outlineLevel="0" collapsed="false">
      <c r="A378" s="10" t="n">
        <v>372</v>
      </c>
      <c r="B378" s="11" t="s">
        <v>677</v>
      </c>
      <c r="C378" s="12" t="s">
        <v>290</v>
      </c>
      <c r="D378" s="13" t="n">
        <v>0.0105304398148148</v>
      </c>
      <c r="E378" s="14" t="n">
        <v>373</v>
      </c>
      <c r="F378" s="15" t="n">
        <f aca="false">IF(D378="","",ROUND((D378-MIN($D$7:$D$9999))*86400,2))</f>
        <v>120.09</v>
      </c>
      <c r="G378" s="10" t="str">
        <f aca="false">IF(D378="","",IF(D378&lt;=($E$3*60+$F$3)/86400,"○",""))</f>
        <v/>
      </c>
      <c r="H378" s="16"/>
      <c r="I378" s="17"/>
      <c r="J378" s="16" t="n">
        <v>0.00277627314814815</v>
      </c>
      <c r="K378" s="17" t="n">
        <v>183</v>
      </c>
      <c r="L378" s="17" t="n">
        <f aca="false">COUNT(E378,I378,K378)</f>
        <v>2</v>
      </c>
      <c r="M378" s="18" t="n">
        <f aca="false">(D378&lt;&gt;"")*(D378&lt;=($E$3*60+$F$3)/86400)+(H378&lt;&gt;"")*(H378&lt;=($I$3*60+$J$3)/86400)+(J378&lt;&gt;"")*(J378&lt;=($M$3*60+$N$3)/86400)</f>
        <v>0</v>
      </c>
      <c r="N378" s="20" t="s">
        <v>678</v>
      </c>
      <c r="O378" s="20"/>
      <c r="P378" s="20"/>
      <c r="Q378" s="19"/>
    </row>
    <row r="379" customFormat="false" ht="15" hidden="false" customHeight="false" outlineLevel="0" collapsed="false">
      <c r="A379" s="10" t="n">
        <v>373</v>
      </c>
      <c r="B379" s="11" t="s">
        <v>679</v>
      </c>
      <c r="C379" s="12" t="s">
        <v>595</v>
      </c>
      <c r="D379" s="13" t="n">
        <v>0.0105324074074074</v>
      </c>
      <c r="E379" s="14" t="n">
        <v>374</v>
      </c>
      <c r="F379" s="15" t="n">
        <f aca="false">IF(D379="","",ROUND((D379-MIN($D$7:$D$9999))*86400,2))</f>
        <v>120.26</v>
      </c>
      <c r="G379" s="10" t="str">
        <f aca="false">IF(D379="","",IF(D379&lt;=($E$3*60+$F$3)/86400,"○",""))</f>
        <v/>
      </c>
      <c r="H379" s="16"/>
      <c r="I379" s="17"/>
      <c r="J379" s="16"/>
      <c r="K379" s="17"/>
      <c r="L379" s="17" t="n">
        <f aca="false">COUNT(E379,I379,K379)</f>
        <v>1</v>
      </c>
      <c r="M379" s="18" t="n">
        <f aca="false">(D379&lt;&gt;"")*(D379&lt;=($E$3*60+$F$3)/86400)+(H379&lt;&gt;"")*(H379&lt;=($I$3*60+$J$3)/86400)+(J379&lt;&gt;"")*(J379&lt;=($M$3*60+$N$3)/86400)</f>
        <v>0</v>
      </c>
      <c r="N379" s="20" t="s">
        <v>680</v>
      </c>
      <c r="O379" s="20"/>
      <c r="P379" s="20"/>
      <c r="Q379" s="19"/>
    </row>
    <row r="380" customFormat="false" ht="15" hidden="false" customHeight="false" outlineLevel="0" collapsed="false">
      <c r="A380" s="10" t="n">
        <v>374</v>
      </c>
      <c r="B380" s="11" t="s">
        <v>681</v>
      </c>
      <c r="C380" s="12" t="s">
        <v>167</v>
      </c>
      <c r="D380" s="13" t="n">
        <v>0.0105329861111111</v>
      </c>
      <c r="E380" s="14" t="n">
        <v>375</v>
      </c>
      <c r="F380" s="15" t="n">
        <f aca="false">IF(D380="","",ROUND((D380-MIN($D$7:$D$9999))*86400,2))</f>
        <v>120.31</v>
      </c>
      <c r="G380" s="10" t="str">
        <f aca="false">IF(D380="","",IF(D380&lt;=($E$3*60+$F$3)/86400,"○",""))</f>
        <v/>
      </c>
      <c r="H380" s="16"/>
      <c r="I380" s="17"/>
      <c r="J380" s="16" t="n">
        <v>0.00279965277777778</v>
      </c>
      <c r="K380" s="17" t="n">
        <v>281</v>
      </c>
      <c r="L380" s="17" t="n">
        <f aca="false">COUNT(E380,I380,K380)</f>
        <v>2</v>
      </c>
      <c r="M380" s="18" t="n">
        <f aca="false">(D380&lt;&gt;"")*(D380&lt;=($E$3*60+$F$3)/86400)+(H380&lt;&gt;"")*(H380&lt;=($I$3*60+$J$3)/86400)+(J380&lt;&gt;"")*(J380&lt;=($M$3*60+$N$3)/86400)</f>
        <v>0</v>
      </c>
      <c r="N380" s="20"/>
      <c r="O380" s="20"/>
      <c r="P380" s="20"/>
      <c r="Q380" s="19"/>
    </row>
    <row r="381" customFormat="false" ht="15" hidden="false" customHeight="false" outlineLevel="0" collapsed="false">
      <c r="A381" s="10" t="n">
        <v>375</v>
      </c>
      <c r="B381" s="11" t="s">
        <v>682</v>
      </c>
      <c r="C381" s="12" t="s">
        <v>532</v>
      </c>
      <c r="D381" s="13" t="n">
        <v>0.0105346064814815</v>
      </c>
      <c r="E381" s="14" t="n">
        <v>376</v>
      </c>
      <c r="F381" s="15" t="n">
        <f aca="false">IF(D381="","",ROUND((D381-MIN($D$7:$D$9999))*86400,2))</f>
        <v>120.45</v>
      </c>
      <c r="G381" s="10" t="str">
        <f aca="false">IF(D381="","",IF(D381&lt;=($E$3*60+$F$3)/86400,"○",""))</f>
        <v/>
      </c>
      <c r="H381" s="16" t="n">
        <v>0.00715509259259259</v>
      </c>
      <c r="I381" s="17" t="n">
        <v>491</v>
      </c>
      <c r="J381" s="16" t="n">
        <v>0.00291921296296296</v>
      </c>
      <c r="K381" s="17" t="n">
        <v>1085</v>
      </c>
      <c r="L381" s="17" t="n">
        <f aca="false">COUNT(E381,I381,K381)</f>
        <v>3</v>
      </c>
      <c r="M381" s="18" t="n">
        <f aca="false">(D381&lt;&gt;"")*(D381&lt;=($E$3*60+$F$3)/86400)+(H381&lt;&gt;"")*(H381&lt;=($I$3*60+$J$3)/86400)+(J381&lt;&gt;"")*(J381&lt;=($M$3*60+$N$3)/86400)</f>
        <v>0</v>
      </c>
      <c r="N381" s="20"/>
      <c r="O381" s="20"/>
      <c r="P381" s="20"/>
      <c r="Q381" s="19"/>
    </row>
    <row r="382" customFormat="false" ht="15" hidden="false" customHeight="false" outlineLevel="0" collapsed="false">
      <c r="A382" s="10" t="n">
        <v>376</v>
      </c>
      <c r="B382" s="11" t="s">
        <v>683</v>
      </c>
      <c r="C382" s="12" t="s">
        <v>107</v>
      </c>
      <c r="D382" s="13" t="n">
        <v>0.0105350694444444</v>
      </c>
      <c r="E382" s="14" t="n">
        <v>377</v>
      </c>
      <c r="F382" s="15" t="n">
        <f aca="false">IF(D382="","",ROUND((D382-MIN($D$7:$D$9999))*86400,2))</f>
        <v>120.49</v>
      </c>
      <c r="G382" s="10" t="str">
        <f aca="false">IF(D382="","",IF(D382&lt;=($E$3*60+$F$3)/86400,"○",""))</f>
        <v/>
      </c>
      <c r="H382" s="16"/>
      <c r="I382" s="17"/>
      <c r="J382" s="16" t="n">
        <v>0.00281574074074074</v>
      </c>
      <c r="K382" s="17" t="n">
        <v>344</v>
      </c>
      <c r="L382" s="17" t="n">
        <f aca="false">COUNT(E382,I382,K382)</f>
        <v>2</v>
      </c>
      <c r="M382" s="18" t="n">
        <f aca="false">(D382&lt;&gt;"")*(D382&lt;=($E$3*60+$F$3)/86400)+(H382&lt;&gt;"")*(H382&lt;=($I$3*60+$J$3)/86400)+(J382&lt;&gt;"")*(J382&lt;=($M$3*60+$N$3)/86400)</f>
        <v>0</v>
      </c>
      <c r="N382" s="20"/>
      <c r="O382" s="20" t="s">
        <v>684</v>
      </c>
      <c r="P382" s="20"/>
      <c r="Q382" s="19"/>
    </row>
    <row r="383" customFormat="false" ht="15" hidden="false" customHeight="false" outlineLevel="0" collapsed="false">
      <c r="A383" s="10" t="n">
        <v>377</v>
      </c>
      <c r="B383" s="11" t="s">
        <v>685</v>
      </c>
      <c r="C383" s="12" t="s">
        <v>686</v>
      </c>
      <c r="D383" s="13" t="n">
        <v>0.0105351851851852</v>
      </c>
      <c r="E383" s="14" t="n">
        <v>378</v>
      </c>
      <c r="F383" s="15" t="n">
        <f aca="false">IF(D383="","",ROUND((D383-MIN($D$7:$D$9999))*86400,2))</f>
        <v>120.5</v>
      </c>
      <c r="G383" s="10" t="str">
        <f aca="false">IF(D383="","",IF(D383&lt;=($E$3*60+$F$3)/86400,"○",""))</f>
        <v/>
      </c>
      <c r="H383" s="16"/>
      <c r="I383" s="17"/>
      <c r="J383" s="16" t="n">
        <v>0.00287175925925926</v>
      </c>
      <c r="K383" s="17" t="n">
        <v>715</v>
      </c>
      <c r="L383" s="17" t="n">
        <f aca="false">COUNT(E383,I383,K383)</f>
        <v>2</v>
      </c>
      <c r="M383" s="18" t="n">
        <f aca="false">(D383&lt;&gt;"")*(D383&lt;=($E$3*60+$F$3)/86400)+(H383&lt;&gt;"")*(H383&lt;=($I$3*60+$J$3)/86400)+(J383&lt;&gt;"")*(J383&lt;=($M$3*60+$N$3)/86400)</f>
        <v>0</v>
      </c>
      <c r="N383" s="20" t="s">
        <v>687</v>
      </c>
      <c r="O383" s="20"/>
      <c r="P383" s="20"/>
      <c r="Q383" s="19"/>
    </row>
    <row r="384" customFormat="false" ht="15" hidden="false" customHeight="false" outlineLevel="0" collapsed="false">
      <c r="A384" s="10" t="n">
        <v>378</v>
      </c>
      <c r="B384" s="11" t="s">
        <v>688</v>
      </c>
      <c r="C384" s="12" t="s">
        <v>155</v>
      </c>
      <c r="D384" s="13" t="n">
        <v>0.0105353009259259</v>
      </c>
      <c r="E384" s="14" t="n">
        <v>379</v>
      </c>
      <c r="F384" s="15" t="n">
        <f aca="false">IF(D384="","",ROUND((D384-MIN($D$7:$D$9999))*86400,2))</f>
        <v>120.51</v>
      </c>
      <c r="G384" s="10" t="str">
        <f aca="false">IF(D384="","",IF(D384&lt;=($E$3*60+$F$3)/86400,"○",""))</f>
        <v/>
      </c>
      <c r="H384" s="16"/>
      <c r="I384" s="17"/>
      <c r="J384" s="16" t="n">
        <v>0.00283449074074074</v>
      </c>
      <c r="K384" s="17" t="n">
        <v>453</v>
      </c>
      <c r="L384" s="17" t="n">
        <f aca="false">COUNT(E384,I384,K384)</f>
        <v>2</v>
      </c>
      <c r="M384" s="18" t="n">
        <f aca="false">(D384&lt;&gt;"")*(D384&lt;=($E$3*60+$F$3)/86400)+(H384&lt;&gt;"")*(H384&lt;=($I$3*60+$J$3)/86400)+(J384&lt;&gt;"")*(J384&lt;=($M$3*60+$N$3)/86400)</f>
        <v>0</v>
      </c>
      <c r="N384" s="20"/>
      <c r="O384" s="20"/>
      <c r="P384" s="20"/>
      <c r="Q384" s="19"/>
    </row>
    <row r="385" customFormat="false" ht="15" hidden="false" customHeight="false" outlineLevel="0" collapsed="false">
      <c r="A385" s="10" t="n">
        <v>379</v>
      </c>
      <c r="B385" s="11" t="s">
        <v>689</v>
      </c>
      <c r="C385" s="12" t="s">
        <v>690</v>
      </c>
      <c r="D385" s="13" t="n">
        <v>0.0105354166666667</v>
      </c>
      <c r="E385" s="14" t="n">
        <v>380</v>
      </c>
      <c r="F385" s="15" t="n">
        <f aca="false">IF(D385="","",ROUND((D385-MIN($D$7:$D$9999))*86400,2))</f>
        <v>120.52</v>
      </c>
      <c r="G385" s="10" t="str">
        <f aca="false">IF(D385="","",IF(D385&lt;=($E$3*60+$F$3)/86400,"○",""))</f>
        <v/>
      </c>
      <c r="H385" s="16"/>
      <c r="I385" s="17"/>
      <c r="J385" s="16" t="n">
        <v>0.00278622685185185</v>
      </c>
      <c r="K385" s="17" t="n">
        <v>222</v>
      </c>
      <c r="L385" s="17" t="n">
        <f aca="false">COUNT(E385,I385,K385)</f>
        <v>2</v>
      </c>
      <c r="M385" s="18" t="n">
        <f aca="false">(D385&lt;&gt;"")*(D385&lt;=($E$3*60+$F$3)/86400)+(H385&lt;&gt;"")*(H385&lt;=($I$3*60+$J$3)/86400)+(J385&lt;&gt;"")*(J385&lt;=($M$3*60+$N$3)/86400)</f>
        <v>0</v>
      </c>
      <c r="N385" s="20"/>
      <c r="O385" s="20"/>
      <c r="P385" s="20"/>
      <c r="Q385" s="19"/>
    </row>
    <row r="386" customFormat="false" ht="15" hidden="false" customHeight="false" outlineLevel="0" collapsed="false">
      <c r="A386" s="10" t="n">
        <v>380</v>
      </c>
      <c r="B386" s="11" t="s">
        <v>691</v>
      </c>
      <c r="C386" s="12" t="s">
        <v>692</v>
      </c>
      <c r="D386" s="13" t="n">
        <v>0.0105368055555556</v>
      </c>
      <c r="E386" s="14" t="n">
        <v>381</v>
      </c>
      <c r="F386" s="15" t="n">
        <f aca="false">IF(D386="","",ROUND((D386-MIN($D$7:$D$9999))*86400,2))</f>
        <v>120.64</v>
      </c>
      <c r="G386" s="10" t="str">
        <f aca="false">IF(D386="","",IF(D386&lt;=($E$3*60+$F$3)/86400,"○",""))</f>
        <v/>
      </c>
      <c r="H386" s="16"/>
      <c r="I386" s="17"/>
      <c r="J386" s="16" t="n">
        <v>0.00284155092592593</v>
      </c>
      <c r="K386" s="17" t="n">
        <v>511</v>
      </c>
      <c r="L386" s="17" t="n">
        <f aca="false">COUNT(E386,I386,K386)</f>
        <v>2</v>
      </c>
      <c r="M386" s="18" t="n">
        <f aca="false">(D386&lt;&gt;"")*(D386&lt;=($E$3*60+$F$3)/86400)+(H386&lt;&gt;"")*(H386&lt;=($I$3*60+$J$3)/86400)+(J386&lt;&gt;"")*(J386&lt;=($M$3*60+$N$3)/86400)</f>
        <v>0</v>
      </c>
      <c r="N386" s="20"/>
      <c r="O386" s="20"/>
      <c r="P386" s="20"/>
      <c r="Q386" s="19"/>
    </row>
    <row r="387" customFormat="false" ht="15" hidden="false" customHeight="false" outlineLevel="0" collapsed="false">
      <c r="A387" s="10" t="n">
        <v>381</v>
      </c>
      <c r="B387" s="11" t="s">
        <v>693</v>
      </c>
      <c r="C387" s="12" t="s">
        <v>301</v>
      </c>
      <c r="D387" s="13" t="n">
        <v>0.0105369212962963</v>
      </c>
      <c r="E387" s="14" t="n">
        <v>382</v>
      </c>
      <c r="F387" s="15" t="n">
        <f aca="false">IF(D387="","",ROUND((D387-MIN($D$7:$D$9999))*86400,2))</f>
        <v>120.65</v>
      </c>
      <c r="G387" s="10" t="str">
        <f aca="false">IF(D387="","",IF(D387&lt;=($E$3*60+$F$3)/86400,"○",""))</f>
        <v/>
      </c>
      <c r="H387" s="16"/>
      <c r="I387" s="17"/>
      <c r="J387" s="16" t="n">
        <v>0.00279189814814815</v>
      </c>
      <c r="K387" s="17" t="n">
        <v>248</v>
      </c>
      <c r="L387" s="17" t="n">
        <f aca="false">COUNT(E387,I387,K387)</f>
        <v>2</v>
      </c>
      <c r="M387" s="18" t="n">
        <f aca="false">(D387&lt;&gt;"")*(D387&lt;=($E$3*60+$F$3)/86400)+(H387&lt;&gt;"")*(H387&lt;=($I$3*60+$J$3)/86400)+(J387&lt;&gt;"")*(J387&lt;=($M$3*60+$N$3)/86400)</f>
        <v>0</v>
      </c>
      <c r="N387" s="20"/>
      <c r="O387" s="20"/>
      <c r="P387" s="20"/>
      <c r="Q387" s="19"/>
    </row>
    <row r="388" customFormat="false" ht="15" hidden="false" customHeight="false" outlineLevel="0" collapsed="false">
      <c r="A388" s="10" t="n">
        <v>382</v>
      </c>
      <c r="B388" s="11" t="s">
        <v>694</v>
      </c>
      <c r="C388" s="12" t="s">
        <v>695</v>
      </c>
      <c r="D388" s="13" t="n">
        <v>0.0105378472222222</v>
      </c>
      <c r="E388" s="14" t="n">
        <v>383</v>
      </c>
      <c r="F388" s="15" t="n">
        <f aca="false">IF(D388="","",ROUND((D388-MIN($D$7:$D$9999))*86400,2))</f>
        <v>120.73</v>
      </c>
      <c r="G388" s="10" t="str">
        <f aca="false">IF(D388="","",IF(D388&lt;=($E$3*60+$F$3)/86400,"○",""))</f>
        <v/>
      </c>
      <c r="H388" s="16"/>
      <c r="I388" s="17"/>
      <c r="J388" s="16"/>
      <c r="K388" s="17"/>
      <c r="L388" s="17" t="n">
        <f aca="false">COUNT(E388,I388,K388)</f>
        <v>1</v>
      </c>
      <c r="M388" s="18" t="n">
        <f aca="false">(D388&lt;&gt;"")*(D388&lt;=($E$3*60+$F$3)/86400)+(H388&lt;&gt;"")*(H388&lt;=($I$3*60+$J$3)/86400)+(J388&lt;&gt;"")*(J388&lt;=($M$3*60+$N$3)/86400)</f>
        <v>0</v>
      </c>
      <c r="N388" s="20"/>
      <c r="O388" s="20"/>
      <c r="P388" s="20"/>
      <c r="Q388" s="19"/>
    </row>
    <row r="389" customFormat="false" ht="15" hidden="false" customHeight="false" outlineLevel="0" collapsed="false">
      <c r="A389" s="10" t="n">
        <v>383</v>
      </c>
      <c r="B389" s="11" t="s">
        <v>696</v>
      </c>
      <c r="C389" s="12" t="s">
        <v>207</v>
      </c>
      <c r="D389" s="13" t="n">
        <v>0.0105391203703704</v>
      </c>
      <c r="E389" s="14" t="n">
        <v>384</v>
      </c>
      <c r="F389" s="15" t="n">
        <f aca="false">IF(D389="","",ROUND((D389-MIN($D$7:$D$9999))*86400,2))</f>
        <v>120.84</v>
      </c>
      <c r="G389" s="10" t="str">
        <f aca="false">IF(D389="","",IF(D389&lt;=($E$3*60+$F$3)/86400,"○",""))</f>
        <v/>
      </c>
      <c r="H389" s="16"/>
      <c r="I389" s="17"/>
      <c r="J389" s="16" t="n">
        <v>0.00288923611111111</v>
      </c>
      <c r="K389" s="17" t="n">
        <v>858</v>
      </c>
      <c r="L389" s="17" t="n">
        <f aca="false">COUNT(E389,I389,K389)</f>
        <v>2</v>
      </c>
      <c r="M389" s="18" t="n">
        <f aca="false">(D389&lt;&gt;"")*(D389&lt;=($E$3*60+$F$3)/86400)+(H389&lt;&gt;"")*(H389&lt;=($I$3*60+$J$3)/86400)+(J389&lt;&gt;"")*(J389&lt;=($M$3*60+$N$3)/86400)</f>
        <v>0</v>
      </c>
      <c r="N389" s="20"/>
      <c r="O389" s="20"/>
      <c r="P389" s="20"/>
      <c r="Q389" s="19"/>
    </row>
    <row r="390" customFormat="false" ht="15" hidden="false" customHeight="false" outlineLevel="0" collapsed="false">
      <c r="A390" s="10" t="n">
        <v>384</v>
      </c>
      <c r="B390" s="11" t="s">
        <v>697</v>
      </c>
      <c r="C390" s="12" t="s">
        <v>698</v>
      </c>
      <c r="D390" s="13" t="n">
        <v>0.0105398148148148</v>
      </c>
      <c r="E390" s="14" t="n">
        <v>385</v>
      </c>
      <c r="F390" s="15" t="n">
        <f aca="false">IF(D390="","",ROUND((D390-MIN($D$7:$D$9999))*86400,2))</f>
        <v>120.9</v>
      </c>
      <c r="G390" s="10" t="str">
        <f aca="false">IF(D390="","",IF(D390&lt;=($E$3*60+$F$3)/86400,"○",""))</f>
        <v/>
      </c>
      <c r="H390" s="16" t="n">
        <v>0.00639525462962963</v>
      </c>
      <c r="I390" s="17" t="n">
        <v>14</v>
      </c>
      <c r="J390" s="16" t="n">
        <v>0.00272905092592593</v>
      </c>
      <c r="K390" s="17" t="n">
        <v>63</v>
      </c>
      <c r="L390" s="17" t="n">
        <f aca="false">COUNT(E390,I390,K390)</f>
        <v>3</v>
      </c>
      <c r="M390" s="18" t="n">
        <f aca="false">(D390&lt;&gt;"")*(D390&lt;=($E$3*60+$F$3)/86400)+(H390&lt;&gt;"")*(H390&lt;=($I$3*60+$J$3)/86400)+(J390&lt;&gt;"")*(J390&lt;=($M$3*60+$N$3)/86400)</f>
        <v>1</v>
      </c>
      <c r="N390" s="20" t="s">
        <v>699</v>
      </c>
      <c r="O390" s="20"/>
      <c r="P390" s="20"/>
      <c r="Q390" s="19"/>
    </row>
    <row r="391" customFormat="false" ht="15" hidden="false" customHeight="false" outlineLevel="0" collapsed="false">
      <c r="A391" s="10" t="n">
        <v>385</v>
      </c>
      <c r="B391" s="11" t="s">
        <v>700</v>
      </c>
      <c r="C391" s="12" t="s">
        <v>323</v>
      </c>
      <c r="D391" s="13" t="n">
        <v>0.010540162037037</v>
      </c>
      <c r="E391" s="14" t="n">
        <v>386</v>
      </c>
      <c r="F391" s="15" t="n">
        <f aca="false">IF(D391="","",ROUND((D391-MIN($D$7:$D$9999))*86400,2))</f>
        <v>120.93</v>
      </c>
      <c r="G391" s="10" t="str">
        <f aca="false">IF(D391="","",IF(D391&lt;=($E$3*60+$F$3)/86400,"○",""))</f>
        <v/>
      </c>
      <c r="H391" s="16"/>
      <c r="I391" s="17"/>
      <c r="J391" s="16"/>
      <c r="K391" s="17"/>
      <c r="L391" s="17" t="n">
        <f aca="false">COUNT(E391,I391,K391)</f>
        <v>1</v>
      </c>
      <c r="M391" s="18" t="n">
        <f aca="false">(D391&lt;&gt;"")*(D391&lt;=($E$3*60+$F$3)/86400)+(H391&lt;&gt;"")*(H391&lt;=($I$3*60+$J$3)/86400)+(J391&lt;&gt;"")*(J391&lt;=($M$3*60+$N$3)/86400)</f>
        <v>0</v>
      </c>
      <c r="N391" s="20"/>
      <c r="O391" s="20"/>
      <c r="P391" s="20"/>
      <c r="Q391" s="19"/>
    </row>
    <row r="392" customFormat="false" ht="15" hidden="false" customHeight="false" outlineLevel="0" collapsed="false">
      <c r="A392" s="10" t="n">
        <v>386</v>
      </c>
      <c r="B392" s="11" t="s">
        <v>701</v>
      </c>
      <c r="C392" s="12" t="s">
        <v>137</v>
      </c>
      <c r="D392" s="13" t="n">
        <v>0.0105403935185185</v>
      </c>
      <c r="E392" s="14" t="n">
        <v>387</v>
      </c>
      <c r="F392" s="15" t="n">
        <f aca="false">IF(D392="","",ROUND((D392-MIN($D$7:$D$9999))*86400,2))</f>
        <v>120.95</v>
      </c>
      <c r="G392" s="10" t="str">
        <f aca="false">IF(D392="","",IF(D392&lt;=($E$3*60+$F$3)/86400,"○",""))</f>
        <v/>
      </c>
      <c r="H392" s="16"/>
      <c r="I392" s="17"/>
      <c r="J392" s="16" t="n">
        <v>0.00280694444444444</v>
      </c>
      <c r="K392" s="17" t="n">
        <v>312</v>
      </c>
      <c r="L392" s="17" t="n">
        <f aca="false">COUNT(E392,I392,K392)</f>
        <v>2</v>
      </c>
      <c r="M392" s="18" t="n">
        <f aca="false">(D392&lt;&gt;"")*(D392&lt;=($E$3*60+$F$3)/86400)+(H392&lt;&gt;"")*(H392&lt;=($I$3*60+$J$3)/86400)+(J392&lt;&gt;"")*(J392&lt;=($M$3*60+$N$3)/86400)</f>
        <v>0</v>
      </c>
      <c r="N392" s="20"/>
      <c r="O392" s="20"/>
      <c r="P392" s="20"/>
      <c r="Q392" s="19"/>
    </row>
    <row r="393" customFormat="false" ht="15" hidden="false" customHeight="false" outlineLevel="0" collapsed="false">
      <c r="A393" s="10" t="n">
        <v>387</v>
      </c>
      <c r="B393" s="11" t="s">
        <v>702</v>
      </c>
      <c r="C393" s="12" t="s">
        <v>73</v>
      </c>
      <c r="D393" s="13" t="n">
        <v>0.0105407407407407</v>
      </c>
      <c r="E393" s="14" t="n">
        <v>388</v>
      </c>
      <c r="F393" s="15" t="n">
        <f aca="false">IF(D393="","",ROUND((D393-MIN($D$7:$D$9999))*86400,2))</f>
        <v>120.98</v>
      </c>
      <c r="G393" s="10" t="str">
        <f aca="false">IF(D393="","",IF(D393&lt;=($E$3*60+$F$3)/86400,"○",""))</f>
        <v/>
      </c>
      <c r="H393" s="16"/>
      <c r="I393" s="17"/>
      <c r="J393" s="16"/>
      <c r="K393" s="17"/>
      <c r="L393" s="17" t="n">
        <f aca="false">COUNT(E393,I393,K393)</f>
        <v>1</v>
      </c>
      <c r="M393" s="18" t="n">
        <f aca="false">(D393&lt;&gt;"")*(D393&lt;=($E$3*60+$F$3)/86400)+(H393&lt;&gt;"")*(H393&lt;=($I$3*60+$J$3)/86400)+(J393&lt;&gt;"")*(J393&lt;=($M$3*60+$N$3)/86400)</f>
        <v>0</v>
      </c>
      <c r="N393" s="20"/>
      <c r="O393" s="20"/>
      <c r="P393" s="20"/>
      <c r="Q393" s="19"/>
    </row>
    <row r="394" customFormat="false" ht="15" hidden="false" customHeight="false" outlineLevel="0" collapsed="false">
      <c r="A394" s="10" t="n">
        <v>388</v>
      </c>
      <c r="B394" s="11" t="s">
        <v>703</v>
      </c>
      <c r="C394" s="12" t="s">
        <v>491</v>
      </c>
      <c r="D394" s="13" t="n">
        <v>0.0105414351851852</v>
      </c>
      <c r="E394" s="14" t="n">
        <v>389</v>
      </c>
      <c r="F394" s="15" t="n">
        <f aca="false">IF(D394="","",ROUND((D394-MIN($D$7:$D$9999))*86400,2))</f>
        <v>121.04</v>
      </c>
      <c r="G394" s="10" t="str">
        <f aca="false">IF(D394="","",IF(D394&lt;=($E$3*60+$F$3)/86400,"○",""))</f>
        <v/>
      </c>
      <c r="H394" s="16"/>
      <c r="I394" s="17"/>
      <c r="J394" s="16" t="n">
        <v>0.00274861111111111</v>
      </c>
      <c r="K394" s="17" t="n">
        <v>98</v>
      </c>
      <c r="L394" s="17" t="n">
        <f aca="false">COUNT(E394,I394,K394)</f>
        <v>2</v>
      </c>
      <c r="M394" s="18" t="n">
        <f aca="false">(D394&lt;&gt;"")*(D394&lt;=($E$3*60+$F$3)/86400)+(H394&lt;&gt;"")*(H394&lt;=($I$3*60+$J$3)/86400)+(J394&lt;&gt;"")*(J394&lt;=($M$3*60+$N$3)/86400)</f>
        <v>0</v>
      </c>
      <c r="N394" s="20"/>
      <c r="O394" s="20"/>
      <c r="P394" s="20"/>
      <c r="Q394" s="19"/>
    </row>
    <row r="395" customFormat="false" ht="15" hidden="false" customHeight="false" outlineLevel="0" collapsed="false">
      <c r="A395" s="10" t="n">
        <v>389</v>
      </c>
      <c r="B395" s="11" t="s">
        <v>704</v>
      </c>
      <c r="C395" s="12" t="s">
        <v>440</v>
      </c>
      <c r="D395" s="13" t="n">
        <v>0.0105425925925926</v>
      </c>
      <c r="E395" s="14" t="n">
        <v>390</v>
      </c>
      <c r="F395" s="15" t="n">
        <f aca="false">IF(D395="","",ROUND((D395-MIN($D$7:$D$9999))*86400,2))</f>
        <v>121.14</v>
      </c>
      <c r="G395" s="10" t="str">
        <f aca="false">IF(D395="","",IF(D395&lt;=($E$3*60+$F$3)/86400,"○",""))</f>
        <v/>
      </c>
      <c r="H395" s="16"/>
      <c r="I395" s="17"/>
      <c r="J395" s="16"/>
      <c r="K395" s="17"/>
      <c r="L395" s="17" t="n">
        <f aca="false">COUNT(E395,I395,K395)</f>
        <v>1</v>
      </c>
      <c r="M395" s="18" t="n">
        <f aca="false">(D395&lt;&gt;"")*(D395&lt;=($E$3*60+$F$3)/86400)+(H395&lt;&gt;"")*(H395&lt;=($I$3*60+$J$3)/86400)+(J395&lt;&gt;"")*(J395&lt;=($M$3*60+$N$3)/86400)</f>
        <v>0</v>
      </c>
      <c r="N395" s="20"/>
      <c r="O395" s="20"/>
      <c r="P395" s="20"/>
      <c r="Q395" s="19"/>
    </row>
    <row r="396" customFormat="false" ht="15" hidden="false" customHeight="false" outlineLevel="0" collapsed="false">
      <c r="A396" s="10" t="n">
        <v>390</v>
      </c>
      <c r="B396" s="11" t="s">
        <v>705</v>
      </c>
      <c r="C396" s="12" t="s">
        <v>157</v>
      </c>
      <c r="D396" s="13" t="n">
        <v>0.0105428240740741</v>
      </c>
      <c r="E396" s="14" t="n">
        <v>391</v>
      </c>
      <c r="F396" s="15" t="n">
        <f aca="false">IF(D396="","",ROUND((D396-MIN($D$7:$D$9999))*86400,2))</f>
        <v>121.16</v>
      </c>
      <c r="G396" s="10" t="str">
        <f aca="false">IF(D396="","",IF(D396&lt;=($E$3*60+$F$3)/86400,"○",""))</f>
        <v/>
      </c>
      <c r="H396" s="16"/>
      <c r="I396" s="17"/>
      <c r="J396" s="16" t="n">
        <v>0.0027537037037037</v>
      </c>
      <c r="K396" s="17" t="n">
        <v>112</v>
      </c>
      <c r="L396" s="17" t="n">
        <f aca="false">COUNT(E396,I396,K396)</f>
        <v>2</v>
      </c>
      <c r="M396" s="18" t="n">
        <f aca="false">(D396&lt;&gt;"")*(D396&lt;=($E$3*60+$F$3)/86400)+(H396&lt;&gt;"")*(H396&lt;=($I$3*60+$J$3)/86400)+(J396&lt;&gt;"")*(J396&lt;=($M$3*60+$N$3)/86400)</f>
        <v>0</v>
      </c>
      <c r="N396" s="20"/>
      <c r="O396" s="20"/>
      <c r="P396" s="20"/>
      <c r="Q396" s="19"/>
    </row>
    <row r="397" customFormat="false" ht="15" hidden="false" customHeight="false" outlineLevel="0" collapsed="false">
      <c r="A397" s="10" t="n">
        <v>391</v>
      </c>
      <c r="B397" s="11" t="s">
        <v>706</v>
      </c>
      <c r="C397" s="12" t="s">
        <v>707</v>
      </c>
      <c r="D397" s="13" t="n">
        <v>0.010544212962963</v>
      </c>
      <c r="E397" s="14" t="n">
        <v>392</v>
      </c>
      <c r="F397" s="15" t="n">
        <f aca="false">IF(D397="","",ROUND((D397-MIN($D$7:$D$9999))*86400,2))</f>
        <v>121.28</v>
      </c>
      <c r="G397" s="10" t="str">
        <f aca="false">IF(D397="","",IF(D397&lt;=($E$3*60+$F$3)/86400,"○",""))</f>
        <v/>
      </c>
      <c r="H397" s="16"/>
      <c r="I397" s="17"/>
      <c r="J397" s="16" t="n">
        <v>0.00284861111111111</v>
      </c>
      <c r="K397" s="17" t="n">
        <v>560</v>
      </c>
      <c r="L397" s="17" t="n">
        <f aca="false">COUNT(E397,I397,K397)</f>
        <v>2</v>
      </c>
      <c r="M397" s="18" t="n">
        <f aca="false">(D397&lt;&gt;"")*(D397&lt;=($E$3*60+$F$3)/86400)+(H397&lt;&gt;"")*(H397&lt;=($I$3*60+$J$3)/86400)+(J397&lt;&gt;"")*(J397&lt;=($M$3*60+$N$3)/86400)</f>
        <v>0</v>
      </c>
      <c r="N397" s="20"/>
      <c r="O397" s="20"/>
      <c r="P397" s="20"/>
      <c r="Q397" s="19"/>
    </row>
    <row r="398" customFormat="false" ht="15" hidden="false" customHeight="false" outlineLevel="0" collapsed="false">
      <c r="A398" s="10" t="n">
        <v>392</v>
      </c>
      <c r="B398" s="11" t="s">
        <v>708</v>
      </c>
      <c r="C398" s="12" t="s">
        <v>709</v>
      </c>
      <c r="D398" s="13" t="n">
        <v>0.0105469907407407</v>
      </c>
      <c r="E398" s="14" t="n">
        <v>393</v>
      </c>
      <c r="F398" s="15" t="n">
        <f aca="false">IF(D398="","",ROUND((D398-MIN($D$7:$D$9999))*86400,2))</f>
        <v>121.52</v>
      </c>
      <c r="G398" s="10" t="str">
        <f aca="false">IF(D398="","",IF(D398&lt;=($E$3*60+$F$3)/86400,"○",""))</f>
        <v/>
      </c>
      <c r="H398" s="16"/>
      <c r="I398" s="17"/>
      <c r="J398" s="16"/>
      <c r="K398" s="17"/>
      <c r="L398" s="17" t="n">
        <f aca="false">COUNT(E398,I398,K398)</f>
        <v>1</v>
      </c>
      <c r="M398" s="18" t="n">
        <f aca="false">(D398&lt;&gt;"")*(D398&lt;=($E$3*60+$F$3)/86400)+(H398&lt;&gt;"")*(H398&lt;=($I$3*60+$J$3)/86400)+(J398&lt;&gt;"")*(J398&lt;=($M$3*60+$N$3)/86400)</f>
        <v>0</v>
      </c>
      <c r="N398" s="20"/>
      <c r="O398" s="20"/>
      <c r="P398" s="20"/>
      <c r="Q398" s="19"/>
    </row>
    <row r="399" customFormat="false" ht="15" hidden="false" customHeight="false" outlineLevel="0" collapsed="false">
      <c r="A399" s="10" t="n">
        <v>393</v>
      </c>
      <c r="B399" s="11" t="s">
        <v>710</v>
      </c>
      <c r="C399" s="12" t="s">
        <v>711</v>
      </c>
      <c r="D399" s="13" t="n">
        <v>0.0105475694444444</v>
      </c>
      <c r="E399" s="14" t="n">
        <v>394</v>
      </c>
      <c r="F399" s="15" t="n">
        <f aca="false">IF(D399="","",ROUND((D399-MIN($D$7:$D$9999))*86400,2))</f>
        <v>121.57</v>
      </c>
      <c r="G399" s="10" t="str">
        <f aca="false">IF(D399="","",IF(D399&lt;=($E$3*60+$F$3)/86400,"○",""))</f>
        <v/>
      </c>
      <c r="H399" s="16"/>
      <c r="I399" s="17"/>
      <c r="J399" s="16" t="n">
        <v>0.00288657407407407</v>
      </c>
      <c r="K399" s="17" t="n">
        <v>829</v>
      </c>
      <c r="L399" s="17" t="n">
        <f aca="false">COUNT(E399,I399,K399)</f>
        <v>2</v>
      </c>
      <c r="M399" s="18" t="n">
        <f aca="false">(D399&lt;&gt;"")*(D399&lt;=($E$3*60+$F$3)/86400)+(H399&lt;&gt;"")*(H399&lt;=($I$3*60+$J$3)/86400)+(J399&lt;&gt;"")*(J399&lt;=($M$3*60+$N$3)/86400)</f>
        <v>0</v>
      </c>
      <c r="N399" s="20"/>
      <c r="O399" s="20"/>
      <c r="P399" s="20"/>
      <c r="Q399" s="19"/>
    </row>
    <row r="400" customFormat="false" ht="15" hidden="false" customHeight="false" outlineLevel="0" collapsed="false">
      <c r="A400" s="10" t="n">
        <v>394</v>
      </c>
      <c r="B400" s="11" t="s">
        <v>712</v>
      </c>
      <c r="C400" s="12" t="s">
        <v>544</v>
      </c>
      <c r="D400" s="13" t="n">
        <v>0.0105478009259259</v>
      </c>
      <c r="E400" s="14" t="n">
        <v>395</v>
      </c>
      <c r="F400" s="15" t="n">
        <f aca="false">IF(D400="","",ROUND((D400-MIN($D$7:$D$9999))*86400,2))</f>
        <v>121.59</v>
      </c>
      <c r="G400" s="10" t="str">
        <f aca="false">IF(D400="","",IF(D400&lt;=($E$3*60+$F$3)/86400,"○",""))</f>
        <v/>
      </c>
      <c r="H400" s="16" t="n">
        <v>0.00705462962962963</v>
      </c>
      <c r="I400" s="17" t="n">
        <v>394</v>
      </c>
      <c r="J400" s="16" t="n">
        <v>0.00281296296296296</v>
      </c>
      <c r="K400" s="17" t="n">
        <v>333</v>
      </c>
      <c r="L400" s="17" t="n">
        <f aca="false">COUNT(E400,I400,K400)</f>
        <v>3</v>
      </c>
      <c r="M400" s="18" t="n">
        <f aca="false">(D400&lt;&gt;"")*(D400&lt;=($E$3*60+$F$3)/86400)+(H400&lt;&gt;"")*(H400&lt;=($I$3*60+$J$3)/86400)+(J400&lt;&gt;"")*(J400&lt;=($M$3*60+$N$3)/86400)</f>
        <v>0</v>
      </c>
      <c r="N400" s="20" t="s">
        <v>713</v>
      </c>
      <c r="O400" s="20"/>
      <c r="P400" s="20"/>
      <c r="Q400" s="19"/>
    </row>
    <row r="401" customFormat="false" ht="15" hidden="false" customHeight="false" outlineLevel="0" collapsed="false">
      <c r="A401" s="10" t="n">
        <v>395</v>
      </c>
      <c r="B401" s="11" t="s">
        <v>714</v>
      </c>
      <c r="C401" s="12" t="s">
        <v>389</v>
      </c>
      <c r="D401" s="13" t="n">
        <v>0.0105479166666667</v>
      </c>
      <c r="E401" s="14" t="n">
        <v>396</v>
      </c>
      <c r="F401" s="15" t="n">
        <f aca="false">IF(D401="","",ROUND((D401-MIN($D$7:$D$9999))*86400,2))</f>
        <v>121.6</v>
      </c>
      <c r="G401" s="10" t="str">
        <f aca="false">IF(D401="","",IF(D401&lt;=($E$3*60+$F$3)/86400,"○",""))</f>
        <v/>
      </c>
      <c r="H401" s="16"/>
      <c r="I401" s="17"/>
      <c r="J401" s="16" t="n">
        <v>0.0028087962962963</v>
      </c>
      <c r="K401" s="17" t="n">
        <v>321</v>
      </c>
      <c r="L401" s="17" t="n">
        <f aca="false">COUNT(E401,I401,K401)</f>
        <v>2</v>
      </c>
      <c r="M401" s="18" t="n">
        <f aca="false">(D401&lt;&gt;"")*(D401&lt;=($E$3*60+$F$3)/86400)+(H401&lt;&gt;"")*(H401&lt;=($I$3*60+$J$3)/86400)+(J401&lt;&gt;"")*(J401&lt;=($M$3*60+$N$3)/86400)</f>
        <v>0</v>
      </c>
      <c r="N401" s="20" t="s">
        <v>715</v>
      </c>
      <c r="O401" s="20"/>
      <c r="P401" s="20"/>
      <c r="Q401" s="19"/>
    </row>
    <row r="402" customFormat="false" ht="15" hidden="false" customHeight="false" outlineLevel="0" collapsed="false">
      <c r="A402" s="10" t="n">
        <v>396</v>
      </c>
      <c r="B402" s="11" t="s">
        <v>716</v>
      </c>
      <c r="C402" s="12" t="s">
        <v>157</v>
      </c>
      <c r="D402" s="13" t="n">
        <v>0.0105482638888889</v>
      </c>
      <c r="E402" s="14" t="n">
        <v>397</v>
      </c>
      <c r="F402" s="15" t="n">
        <f aca="false">IF(D402="","",ROUND((D402-MIN($D$7:$D$9999))*86400,2))</f>
        <v>121.63</v>
      </c>
      <c r="G402" s="10" t="str">
        <f aca="false">IF(D402="","",IF(D402&lt;=($E$3*60+$F$3)/86400,"○",""))</f>
        <v/>
      </c>
      <c r="H402" s="16" t="n">
        <v>0.00688796296296296</v>
      </c>
      <c r="I402" s="17" t="n">
        <v>229</v>
      </c>
      <c r="J402" s="16"/>
      <c r="K402" s="17"/>
      <c r="L402" s="17" t="n">
        <f aca="false">COUNT(E402,I402,K402)</f>
        <v>2</v>
      </c>
      <c r="M402" s="18" t="n">
        <f aca="false">(D402&lt;&gt;"")*(D402&lt;=($E$3*60+$F$3)/86400)+(H402&lt;&gt;"")*(H402&lt;=($I$3*60+$J$3)/86400)+(J402&lt;&gt;"")*(J402&lt;=($M$3*60+$N$3)/86400)</f>
        <v>0</v>
      </c>
      <c r="N402" s="20"/>
      <c r="O402" s="20"/>
      <c r="P402" s="20"/>
      <c r="Q402" s="19"/>
    </row>
    <row r="403" customFormat="false" ht="15" hidden="false" customHeight="false" outlineLevel="0" collapsed="false">
      <c r="A403" s="10" t="n">
        <v>397</v>
      </c>
      <c r="B403" s="11" t="s">
        <v>717</v>
      </c>
      <c r="C403" s="12" t="s">
        <v>323</v>
      </c>
      <c r="D403" s="13" t="n">
        <v>0.0105496527777778</v>
      </c>
      <c r="E403" s="14" t="n">
        <v>398</v>
      </c>
      <c r="F403" s="15" t="n">
        <f aca="false">IF(D403="","",ROUND((D403-MIN($D$7:$D$9999))*86400,2))</f>
        <v>121.75</v>
      </c>
      <c r="G403" s="10" t="str">
        <f aca="false">IF(D403="","",IF(D403&lt;=($E$3*60+$F$3)/86400,"○",""))</f>
        <v/>
      </c>
      <c r="H403" s="16" t="n">
        <v>0.00659895833333333</v>
      </c>
      <c r="I403" s="17" t="n">
        <v>68</v>
      </c>
      <c r="J403" s="16" t="n">
        <v>0.00293402777777778</v>
      </c>
      <c r="K403" s="17" t="n">
        <v>1183</v>
      </c>
      <c r="L403" s="17" t="n">
        <f aca="false">COUNT(E403,I403,K403)</f>
        <v>3</v>
      </c>
      <c r="M403" s="18" t="n">
        <f aca="false">(D403&lt;&gt;"")*(D403&lt;=($E$3*60+$F$3)/86400)+(H403&lt;&gt;"")*(H403&lt;=($I$3*60+$J$3)/86400)+(J403&lt;&gt;"")*(J403&lt;=($M$3*60+$N$3)/86400)</f>
        <v>0</v>
      </c>
      <c r="N403" s="20"/>
      <c r="O403" s="20"/>
      <c r="P403" s="20"/>
      <c r="Q403" s="19"/>
    </row>
    <row r="404" customFormat="false" ht="15" hidden="false" customHeight="false" outlineLevel="0" collapsed="false">
      <c r="A404" s="10" t="n">
        <v>398</v>
      </c>
      <c r="B404" s="11" t="s">
        <v>718</v>
      </c>
      <c r="C404" s="12" t="s">
        <v>228</v>
      </c>
      <c r="D404" s="13" t="n">
        <v>0.0105503472222222</v>
      </c>
      <c r="E404" s="14" t="n">
        <v>399</v>
      </c>
      <c r="F404" s="15" t="n">
        <f aca="false">IF(D404="","",ROUND((D404-MIN($D$7:$D$9999))*86400,2))</f>
        <v>121.81</v>
      </c>
      <c r="G404" s="10" t="str">
        <f aca="false">IF(D404="","",IF(D404&lt;=($E$3*60+$F$3)/86400,"○",""))</f>
        <v/>
      </c>
      <c r="H404" s="16" t="n">
        <v>0.00646284722222222</v>
      </c>
      <c r="I404" s="17" t="n">
        <v>27</v>
      </c>
      <c r="J404" s="16" t="n">
        <v>0.00287256944444445</v>
      </c>
      <c r="K404" s="17" t="n">
        <v>719</v>
      </c>
      <c r="L404" s="17" t="n">
        <f aca="false">COUNT(E404,I404,K404)</f>
        <v>3</v>
      </c>
      <c r="M404" s="18" t="n">
        <f aca="false">(D404&lt;&gt;"")*(D404&lt;=($E$3*60+$F$3)/86400)+(H404&lt;&gt;"")*(H404&lt;=($I$3*60+$J$3)/86400)+(J404&lt;&gt;"")*(J404&lt;=($M$3*60+$N$3)/86400)</f>
        <v>1</v>
      </c>
      <c r="N404" s="20"/>
      <c r="O404" s="20" t="s">
        <v>719</v>
      </c>
      <c r="P404" s="20"/>
      <c r="Q404" s="19"/>
    </row>
    <row r="405" customFormat="false" ht="15" hidden="false" customHeight="false" outlineLevel="0" collapsed="false">
      <c r="A405" s="10" t="n">
        <v>399</v>
      </c>
      <c r="B405" s="11" t="s">
        <v>720</v>
      </c>
      <c r="C405" s="12" t="s">
        <v>503</v>
      </c>
      <c r="D405" s="13" t="n">
        <v>0.0105509259259259</v>
      </c>
      <c r="E405" s="14" t="n">
        <v>400</v>
      </c>
      <c r="F405" s="15" t="n">
        <f aca="false">IF(D405="","",ROUND((D405-MIN($D$7:$D$9999))*86400,2))</f>
        <v>121.86</v>
      </c>
      <c r="G405" s="10" t="str">
        <f aca="false">IF(D405="","",IF(D405&lt;=($E$3*60+$F$3)/86400,"○",""))</f>
        <v/>
      </c>
      <c r="H405" s="16" t="n">
        <v>0.0071125</v>
      </c>
      <c r="I405" s="17" t="n">
        <v>457</v>
      </c>
      <c r="J405" s="16"/>
      <c r="K405" s="17"/>
      <c r="L405" s="17" t="n">
        <f aca="false">COUNT(E405,I405,K405)</f>
        <v>2</v>
      </c>
      <c r="M405" s="18" t="n">
        <f aca="false">(D405&lt;&gt;"")*(D405&lt;=($E$3*60+$F$3)/86400)+(H405&lt;&gt;"")*(H405&lt;=($I$3*60+$J$3)/86400)+(J405&lt;&gt;"")*(J405&lt;=($M$3*60+$N$3)/86400)</f>
        <v>0</v>
      </c>
      <c r="N405" s="20"/>
      <c r="O405" s="20"/>
      <c r="P405" s="20"/>
      <c r="Q405" s="19"/>
    </row>
    <row r="406" customFormat="false" ht="15" hidden="false" customHeight="false" outlineLevel="0" collapsed="false">
      <c r="A406" s="10" t="n">
        <v>400</v>
      </c>
      <c r="B406" s="11" t="s">
        <v>721</v>
      </c>
      <c r="C406" s="12" t="s">
        <v>722</v>
      </c>
      <c r="D406" s="13" t="n">
        <v>0.0105509259259259</v>
      </c>
      <c r="E406" s="14" t="n">
        <v>401</v>
      </c>
      <c r="F406" s="15" t="n">
        <f aca="false">IF(D406="","",ROUND((D406-MIN($D$7:$D$9999))*86400,2))</f>
        <v>121.86</v>
      </c>
      <c r="G406" s="10" t="str">
        <f aca="false">IF(D406="","",IF(D406&lt;=($E$3*60+$F$3)/86400,"○",""))</f>
        <v/>
      </c>
      <c r="H406" s="16"/>
      <c r="I406" s="17"/>
      <c r="J406" s="16"/>
      <c r="K406" s="17"/>
      <c r="L406" s="17" t="n">
        <f aca="false">COUNT(E406,I406,K406)</f>
        <v>1</v>
      </c>
      <c r="M406" s="18" t="n">
        <f aca="false">(D406&lt;&gt;"")*(D406&lt;=($E$3*60+$F$3)/86400)+(H406&lt;&gt;"")*(H406&lt;=($I$3*60+$J$3)/86400)+(J406&lt;&gt;"")*(J406&lt;=($M$3*60+$N$3)/86400)</f>
        <v>0</v>
      </c>
      <c r="N406" s="20"/>
      <c r="O406" s="20"/>
      <c r="P406" s="20"/>
      <c r="Q406" s="19"/>
    </row>
    <row r="407" customFormat="false" ht="15" hidden="false" customHeight="false" outlineLevel="0" collapsed="false">
      <c r="A407" s="10" t="n">
        <v>401</v>
      </c>
      <c r="B407" s="11" t="s">
        <v>723</v>
      </c>
      <c r="C407" s="12" t="s">
        <v>515</v>
      </c>
      <c r="D407" s="13" t="n">
        <v>0.0105515046296296</v>
      </c>
      <c r="E407" s="14" t="n">
        <v>402</v>
      </c>
      <c r="F407" s="15" t="n">
        <f aca="false">IF(D407="","",ROUND((D407-MIN($D$7:$D$9999))*86400,2))</f>
        <v>121.91</v>
      </c>
      <c r="G407" s="10" t="str">
        <f aca="false">IF(D407="","",IF(D407&lt;=($E$3*60+$F$3)/86400,"○",""))</f>
        <v/>
      </c>
      <c r="H407" s="16"/>
      <c r="I407" s="17"/>
      <c r="J407" s="16" t="n">
        <v>0.00283819444444444</v>
      </c>
      <c r="K407" s="17" t="n">
        <v>485</v>
      </c>
      <c r="L407" s="17" t="n">
        <f aca="false">COUNT(E407,I407,K407)</f>
        <v>2</v>
      </c>
      <c r="M407" s="18" t="n">
        <f aca="false">(D407&lt;&gt;"")*(D407&lt;=($E$3*60+$F$3)/86400)+(H407&lt;&gt;"")*(H407&lt;=($I$3*60+$J$3)/86400)+(J407&lt;&gt;"")*(J407&lt;=($M$3*60+$N$3)/86400)</f>
        <v>0</v>
      </c>
      <c r="N407" s="20"/>
      <c r="O407" s="20"/>
      <c r="P407" s="20"/>
      <c r="Q407" s="19"/>
    </row>
    <row r="408" customFormat="false" ht="15" hidden="false" customHeight="false" outlineLevel="0" collapsed="false">
      <c r="A408" s="10" t="n">
        <v>402</v>
      </c>
      <c r="B408" s="11" t="s">
        <v>724</v>
      </c>
      <c r="C408" s="12" t="s">
        <v>503</v>
      </c>
      <c r="D408" s="13" t="n">
        <v>0.0105524305555556</v>
      </c>
      <c r="E408" s="14" t="n">
        <v>403</v>
      </c>
      <c r="F408" s="15" t="n">
        <f aca="false">IF(D408="","",ROUND((D408-MIN($D$7:$D$9999))*86400,2))</f>
        <v>121.99</v>
      </c>
      <c r="G408" s="10" t="str">
        <f aca="false">IF(D408="","",IF(D408&lt;=($E$3*60+$F$3)/86400,"○",""))</f>
        <v/>
      </c>
      <c r="H408" s="16"/>
      <c r="I408" s="17"/>
      <c r="J408" s="16"/>
      <c r="K408" s="17"/>
      <c r="L408" s="17" t="n">
        <f aca="false">COUNT(E408,I408,K408)</f>
        <v>1</v>
      </c>
      <c r="M408" s="18" t="n">
        <f aca="false">(D408&lt;&gt;"")*(D408&lt;=($E$3*60+$F$3)/86400)+(H408&lt;&gt;"")*(H408&lt;=($I$3*60+$J$3)/86400)+(J408&lt;&gt;"")*(J408&lt;=($M$3*60+$N$3)/86400)</f>
        <v>0</v>
      </c>
      <c r="N408" s="20"/>
      <c r="O408" s="20"/>
      <c r="P408" s="20"/>
      <c r="Q408" s="19"/>
    </row>
    <row r="409" customFormat="false" ht="15" hidden="false" customHeight="false" outlineLevel="0" collapsed="false">
      <c r="A409" s="10" t="n">
        <v>403</v>
      </c>
      <c r="B409" s="11" t="s">
        <v>725</v>
      </c>
      <c r="C409" s="12" t="s">
        <v>40</v>
      </c>
      <c r="D409" s="13" t="n">
        <v>0.0105528935185185</v>
      </c>
      <c r="E409" s="14" t="n">
        <v>404</v>
      </c>
      <c r="F409" s="15" t="n">
        <f aca="false">IF(D409="","",ROUND((D409-MIN($D$7:$D$9999))*86400,2))</f>
        <v>122.03</v>
      </c>
      <c r="G409" s="10" t="str">
        <f aca="false">IF(D409="","",IF(D409&lt;=($E$3*60+$F$3)/86400,"○",""))</f>
        <v/>
      </c>
      <c r="H409" s="16" t="n">
        <v>0.00656655092592593</v>
      </c>
      <c r="I409" s="17" t="n">
        <v>55</v>
      </c>
      <c r="J409" s="16" t="n">
        <v>0.00294768518518519</v>
      </c>
      <c r="K409" s="17" t="n">
        <v>1225</v>
      </c>
      <c r="L409" s="17" t="n">
        <f aca="false">COUNT(E409,I409,K409)</f>
        <v>3</v>
      </c>
      <c r="M409" s="18" t="n">
        <f aca="false">(D409&lt;&gt;"")*(D409&lt;=($E$3*60+$F$3)/86400)+(H409&lt;&gt;"")*(H409&lt;=($I$3*60+$J$3)/86400)+(J409&lt;&gt;"")*(J409&lt;=($M$3*60+$N$3)/86400)</f>
        <v>0</v>
      </c>
      <c r="N409" s="20"/>
      <c r="O409" s="20" t="s">
        <v>726</v>
      </c>
      <c r="P409" s="20"/>
      <c r="Q409" s="19"/>
    </row>
    <row r="410" customFormat="false" ht="15" hidden="false" customHeight="false" outlineLevel="0" collapsed="false">
      <c r="A410" s="10" t="n">
        <v>404</v>
      </c>
      <c r="B410" s="11" t="s">
        <v>727</v>
      </c>
      <c r="C410" s="12" t="s">
        <v>728</v>
      </c>
      <c r="D410" s="13" t="n">
        <v>0.0105543981481482</v>
      </c>
      <c r="E410" s="14" t="n">
        <v>405</v>
      </c>
      <c r="F410" s="15" t="n">
        <f aca="false">IF(D410="","",ROUND((D410-MIN($D$7:$D$9999))*86400,2))</f>
        <v>122.16</v>
      </c>
      <c r="G410" s="10" t="str">
        <f aca="false">IF(D410="","",IF(D410&lt;=($E$3*60+$F$3)/86400,"○",""))</f>
        <v/>
      </c>
      <c r="H410" s="16"/>
      <c r="I410" s="17"/>
      <c r="J410" s="16" t="n">
        <v>0.00285266203703704</v>
      </c>
      <c r="K410" s="17" t="n">
        <v>584</v>
      </c>
      <c r="L410" s="17" t="n">
        <f aca="false">COUNT(E410,I410,K410)</f>
        <v>2</v>
      </c>
      <c r="M410" s="18" t="n">
        <f aca="false">(D410&lt;&gt;"")*(D410&lt;=($E$3*60+$F$3)/86400)+(H410&lt;&gt;"")*(H410&lt;=($I$3*60+$J$3)/86400)+(J410&lt;&gt;"")*(J410&lt;=($M$3*60+$N$3)/86400)</f>
        <v>0</v>
      </c>
      <c r="N410" s="20"/>
      <c r="O410" s="20" t="s">
        <v>729</v>
      </c>
      <c r="P410" s="20"/>
      <c r="Q410" s="19"/>
    </row>
    <row r="411" customFormat="false" ht="15" hidden="false" customHeight="false" outlineLevel="0" collapsed="false">
      <c r="A411" s="10" t="n">
        <v>405</v>
      </c>
      <c r="B411" s="11" t="s">
        <v>730</v>
      </c>
      <c r="C411" s="12" t="s">
        <v>32</v>
      </c>
      <c r="D411" s="13" t="n">
        <v>0.0105568287037037</v>
      </c>
      <c r="E411" s="14" t="n">
        <v>406</v>
      </c>
      <c r="F411" s="15" t="n">
        <f aca="false">IF(D411="","",ROUND((D411-MIN($D$7:$D$9999))*86400,2))</f>
        <v>122.37</v>
      </c>
      <c r="G411" s="10" t="str">
        <f aca="false">IF(D411="","",IF(D411&lt;=($E$3*60+$F$3)/86400,"○",""))</f>
        <v/>
      </c>
      <c r="H411" s="16"/>
      <c r="I411" s="17"/>
      <c r="J411" s="16" t="n">
        <v>0.00292060185185185</v>
      </c>
      <c r="K411" s="17" t="n">
        <v>1105</v>
      </c>
      <c r="L411" s="17" t="n">
        <f aca="false">COUNT(E411,I411,K411)</f>
        <v>2</v>
      </c>
      <c r="M411" s="18" t="n">
        <f aca="false">(D411&lt;&gt;"")*(D411&lt;=($E$3*60+$F$3)/86400)+(H411&lt;&gt;"")*(H411&lt;=($I$3*60+$J$3)/86400)+(J411&lt;&gt;"")*(J411&lt;=($M$3*60+$N$3)/86400)</f>
        <v>0</v>
      </c>
      <c r="N411" s="20"/>
      <c r="O411" s="20"/>
      <c r="P411" s="20"/>
      <c r="Q411" s="19"/>
    </row>
    <row r="412" customFormat="false" ht="15" hidden="false" customHeight="false" outlineLevel="0" collapsed="false">
      <c r="A412" s="10" t="n">
        <v>406</v>
      </c>
      <c r="B412" s="11" t="s">
        <v>731</v>
      </c>
      <c r="C412" s="12" t="s">
        <v>732</v>
      </c>
      <c r="D412" s="13" t="n">
        <v>0.0105568287037037</v>
      </c>
      <c r="E412" s="14" t="n">
        <v>407</v>
      </c>
      <c r="F412" s="15" t="n">
        <f aca="false">IF(D412="","",ROUND((D412-MIN($D$7:$D$9999))*86400,2))</f>
        <v>122.37</v>
      </c>
      <c r="G412" s="10" t="str">
        <f aca="false">IF(D412="","",IF(D412&lt;=($E$3*60+$F$3)/86400,"○",""))</f>
        <v/>
      </c>
      <c r="H412" s="16"/>
      <c r="I412" s="17"/>
      <c r="J412" s="16" t="n">
        <v>0.00277222222222222</v>
      </c>
      <c r="K412" s="17" t="n">
        <v>166</v>
      </c>
      <c r="L412" s="17" t="n">
        <f aca="false">COUNT(E412,I412,K412)</f>
        <v>2</v>
      </c>
      <c r="M412" s="18" t="n">
        <f aca="false">(D412&lt;&gt;"")*(D412&lt;=($E$3*60+$F$3)/86400)+(H412&lt;&gt;"")*(H412&lt;=($I$3*60+$J$3)/86400)+(J412&lt;&gt;"")*(J412&lt;=($M$3*60+$N$3)/86400)</f>
        <v>0</v>
      </c>
      <c r="N412" s="20"/>
      <c r="O412" s="20"/>
      <c r="P412" s="12" t="s">
        <v>733</v>
      </c>
      <c r="Q412" s="19"/>
    </row>
    <row r="413" customFormat="false" ht="15" hidden="false" customHeight="false" outlineLevel="0" collapsed="false">
      <c r="A413" s="10" t="n">
        <v>407</v>
      </c>
      <c r="B413" s="11" t="s">
        <v>734</v>
      </c>
      <c r="C413" s="12" t="s">
        <v>123</v>
      </c>
      <c r="D413" s="13" t="n">
        <v>0.010559375</v>
      </c>
      <c r="E413" s="14" t="n">
        <v>408</v>
      </c>
      <c r="F413" s="15" t="n">
        <f aca="false">IF(D413="","",ROUND((D413-MIN($D$7:$D$9999))*86400,2))</f>
        <v>122.59</v>
      </c>
      <c r="G413" s="10" t="str">
        <f aca="false">IF(D413="","",IF(D413&lt;=($E$3*60+$F$3)/86400,"○",""))</f>
        <v/>
      </c>
      <c r="H413" s="16" t="n">
        <v>0.006721875</v>
      </c>
      <c r="I413" s="17" t="n">
        <v>115</v>
      </c>
      <c r="J413" s="16" t="n">
        <v>0.00281990740740741</v>
      </c>
      <c r="K413" s="17" t="n">
        <v>362</v>
      </c>
      <c r="L413" s="17" t="n">
        <f aca="false">COUNT(E413,I413,K413)</f>
        <v>3</v>
      </c>
      <c r="M413" s="18" t="n">
        <f aca="false">(D413&lt;&gt;"")*(D413&lt;=($E$3*60+$F$3)/86400)+(H413&lt;&gt;"")*(H413&lt;=($I$3*60+$J$3)/86400)+(J413&lt;&gt;"")*(J413&lt;=($M$3*60+$N$3)/86400)</f>
        <v>0</v>
      </c>
      <c r="N413" s="20"/>
      <c r="O413" s="20"/>
      <c r="P413" s="20"/>
      <c r="Q413" s="19"/>
    </row>
    <row r="414" customFormat="false" ht="15" hidden="false" customHeight="false" outlineLevel="0" collapsed="false">
      <c r="A414" s="10" t="n">
        <v>408</v>
      </c>
      <c r="B414" s="11" t="s">
        <v>735</v>
      </c>
      <c r="C414" s="12" t="s">
        <v>157</v>
      </c>
      <c r="D414" s="13" t="n">
        <v>0.0105594907407407</v>
      </c>
      <c r="E414" s="14" t="n">
        <v>409</v>
      </c>
      <c r="F414" s="15" t="n">
        <f aca="false">IF(D414="","",ROUND((D414-MIN($D$7:$D$9999))*86400,2))</f>
        <v>122.6</v>
      </c>
      <c r="G414" s="10" t="str">
        <f aca="false">IF(D414="","",IF(D414&lt;=($E$3*60+$F$3)/86400,"○",""))</f>
        <v/>
      </c>
      <c r="H414" s="16"/>
      <c r="I414" s="17"/>
      <c r="J414" s="16"/>
      <c r="K414" s="17"/>
      <c r="L414" s="17" t="n">
        <f aca="false">COUNT(E414,I414,K414)</f>
        <v>1</v>
      </c>
      <c r="M414" s="18" t="n">
        <f aca="false">(D414&lt;&gt;"")*(D414&lt;=($E$3*60+$F$3)/86400)+(H414&lt;&gt;"")*(H414&lt;=($I$3*60+$J$3)/86400)+(J414&lt;&gt;"")*(J414&lt;=($M$3*60+$N$3)/86400)</f>
        <v>0</v>
      </c>
      <c r="N414" s="20"/>
      <c r="O414" s="20"/>
      <c r="P414" s="20"/>
      <c r="Q414" s="19"/>
    </row>
    <row r="415" customFormat="false" ht="15" hidden="false" customHeight="false" outlineLevel="0" collapsed="false">
      <c r="A415" s="10" t="n">
        <v>409</v>
      </c>
      <c r="B415" s="11" t="s">
        <v>736</v>
      </c>
      <c r="C415" s="12" t="s">
        <v>737</v>
      </c>
      <c r="D415" s="13" t="n">
        <v>0.0105601851851852</v>
      </c>
      <c r="E415" s="14" t="n">
        <v>410</v>
      </c>
      <c r="F415" s="15" t="n">
        <f aca="false">IF(D415="","",ROUND((D415-MIN($D$7:$D$9999))*86400,2))</f>
        <v>122.66</v>
      </c>
      <c r="G415" s="10" t="str">
        <f aca="false">IF(D415="","",IF(D415&lt;=($E$3*60+$F$3)/86400,"○",""))</f>
        <v/>
      </c>
      <c r="H415" s="16"/>
      <c r="I415" s="17"/>
      <c r="J415" s="16" t="n">
        <v>0.00274479166666667</v>
      </c>
      <c r="K415" s="17" t="n">
        <v>89</v>
      </c>
      <c r="L415" s="17" t="n">
        <f aca="false">COUNT(E415,I415,K415)</f>
        <v>2</v>
      </c>
      <c r="M415" s="18" t="n">
        <f aca="false">(D415&lt;&gt;"")*(D415&lt;=($E$3*60+$F$3)/86400)+(H415&lt;&gt;"")*(H415&lt;=($I$3*60+$J$3)/86400)+(J415&lt;&gt;"")*(J415&lt;=($M$3*60+$N$3)/86400)</f>
        <v>0</v>
      </c>
      <c r="N415" s="20" t="s">
        <v>738</v>
      </c>
      <c r="O415" s="20"/>
      <c r="P415" s="20"/>
      <c r="Q415" s="19"/>
    </row>
    <row r="416" customFormat="false" ht="15" hidden="false" customHeight="false" outlineLevel="0" collapsed="false">
      <c r="A416" s="10" t="n">
        <v>410</v>
      </c>
      <c r="B416" s="11" t="s">
        <v>739</v>
      </c>
      <c r="C416" s="12" t="s">
        <v>127</v>
      </c>
      <c r="D416" s="13" t="n">
        <v>0.0105601851851852</v>
      </c>
      <c r="E416" s="14" t="n">
        <v>411</v>
      </c>
      <c r="F416" s="15" t="n">
        <f aca="false">IF(D416="","",ROUND((D416-MIN($D$7:$D$9999))*86400,2))</f>
        <v>122.66</v>
      </c>
      <c r="G416" s="10" t="str">
        <f aca="false">IF(D416="","",IF(D416&lt;=($E$3*60+$F$3)/86400,"○",""))</f>
        <v/>
      </c>
      <c r="H416" s="16" t="n">
        <v>0.00656631944444445</v>
      </c>
      <c r="I416" s="17" t="n">
        <v>54</v>
      </c>
      <c r="J416" s="16" t="n">
        <v>0.00290775462962963</v>
      </c>
      <c r="K416" s="17" t="n">
        <v>999</v>
      </c>
      <c r="L416" s="17" t="n">
        <f aca="false">COUNT(E416,I416,K416)</f>
        <v>3</v>
      </c>
      <c r="M416" s="18" t="n">
        <f aca="false">(D416&lt;&gt;"")*(D416&lt;=($E$3*60+$F$3)/86400)+(H416&lt;&gt;"")*(H416&lt;=($I$3*60+$J$3)/86400)+(J416&lt;&gt;"")*(J416&lt;=($M$3*60+$N$3)/86400)</f>
        <v>0</v>
      </c>
      <c r="N416" s="20" t="s">
        <v>740</v>
      </c>
      <c r="O416" s="20"/>
      <c r="P416" s="20"/>
      <c r="Q416" s="19"/>
    </row>
    <row r="417" customFormat="false" ht="15" hidden="false" customHeight="false" outlineLevel="0" collapsed="false">
      <c r="A417" s="10" t="n">
        <v>411</v>
      </c>
      <c r="B417" s="11" t="s">
        <v>741</v>
      </c>
      <c r="C417" s="12" t="s">
        <v>742</v>
      </c>
      <c r="D417" s="13" t="n">
        <v>0.0105601851851852</v>
      </c>
      <c r="E417" s="14" t="n">
        <v>412</v>
      </c>
      <c r="F417" s="15" t="n">
        <f aca="false">IF(D417="","",ROUND((D417-MIN($D$7:$D$9999))*86400,2))</f>
        <v>122.66</v>
      </c>
      <c r="G417" s="10" t="str">
        <f aca="false">IF(D417="","",IF(D417&lt;=($E$3*60+$F$3)/86400,"○",""))</f>
        <v/>
      </c>
      <c r="H417" s="16"/>
      <c r="I417" s="17"/>
      <c r="J417" s="16" t="n">
        <v>0.00284988425925926</v>
      </c>
      <c r="K417" s="17" t="n">
        <v>570</v>
      </c>
      <c r="L417" s="17" t="n">
        <f aca="false">COUNT(E417,I417,K417)</f>
        <v>2</v>
      </c>
      <c r="M417" s="18" t="n">
        <f aca="false">(D417&lt;&gt;"")*(D417&lt;=($E$3*60+$F$3)/86400)+(H417&lt;&gt;"")*(H417&lt;=($I$3*60+$J$3)/86400)+(J417&lt;&gt;"")*(J417&lt;=($M$3*60+$N$3)/86400)</f>
        <v>0</v>
      </c>
      <c r="N417" s="20" t="s">
        <v>743</v>
      </c>
      <c r="O417" s="20"/>
      <c r="P417" s="20"/>
      <c r="Q417" s="19"/>
    </row>
    <row r="418" customFormat="false" ht="15" hidden="false" customHeight="false" outlineLevel="0" collapsed="false">
      <c r="A418" s="10" t="n">
        <v>412</v>
      </c>
      <c r="B418" s="11" t="s">
        <v>744</v>
      </c>
      <c r="C418" s="12" t="s">
        <v>248</v>
      </c>
      <c r="D418" s="13" t="n">
        <v>0.0105621527777778</v>
      </c>
      <c r="E418" s="14" t="n">
        <v>413</v>
      </c>
      <c r="F418" s="15" t="n">
        <f aca="false">IF(D418="","",ROUND((D418-MIN($D$7:$D$9999))*86400,2))</f>
        <v>122.83</v>
      </c>
      <c r="G418" s="10" t="str">
        <f aca="false">IF(D418="","",IF(D418&lt;=($E$3*60+$F$3)/86400,"○",""))</f>
        <v/>
      </c>
      <c r="H418" s="16"/>
      <c r="I418" s="17"/>
      <c r="J418" s="16" t="n">
        <v>0.00289606481481482</v>
      </c>
      <c r="K418" s="17" t="n">
        <v>922</v>
      </c>
      <c r="L418" s="17" t="n">
        <f aca="false">COUNT(E418,I418,K418)</f>
        <v>2</v>
      </c>
      <c r="M418" s="18" t="n">
        <f aca="false">(D418&lt;&gt;"")*(D418&lt;=($E$3*60+$F$3)/86400)+(H418&lt;&gt;"")*(H418&lt;=($I$3*60+$J$3)/86400)+(J418&lt;&gt;"")*(J418&lt;=($M$3*60+$N$3)/86400)</f>
        <v>0</v>
      </c>
      <c r="N418" s="20"/>
      <c r="O418" s="20"/>
      <c r="P418" s="20"/>
      <c r="Q418" s="19"/>
    </row>
    <row r="419" customFormat="false" ht="15" hidden="false" customHeight="false" outlineLevel="0" collapsed="false">
      <c r="A419" s="10" t="n">
        <v>413</v>
      </c>
      <c r="B419" s="11" t="s">
        <v>745</v>
      </c>
      <c r="C419" s="12" t="s">
        <v>285</v>
      </c>
      <c r="D419" s="13" t="n">
        <v>0.010562962962963</v>
      </c>
      <c r="E419" s="14" t="n">
        <v>414</v>
      </c>
      <c r="F419" s="15" t="n">
        <f aca="false">IF(D419="","",ROUND((D419-MIN($D$7:$D$9999))*86400,2))</f>
        <v>122.9</v>
      </c>
      <c r="G419" s="10" t="str">
        <f aca="false">IF(D419="","",IF(D419&lt;=($E$3*60+$F$3)/86400,"○",""))</f>
        <v/>
      </c>
      <c r="H419" s="16"/>
      <c r="I419" s="17"/>
      <c r="J419" s="16" t="n">
        <v>0.00275613425925926</v>
      </c>
      <c r="K419" s="17" t="n">
        <v>124</v>
      </c>
      <c r="L419" s="17" t="n">
        <f aca="false">COUNT(E419,I419,K419)</f>
        <v>2</v>
      </c>
      <c r="M419" s="18" t="n">
        <f aca="false">(D419&lt;&gt;"")*(D419&lt;=($E$3*60+$F$3)/86400)+(H419&lt;&gt;"")*(H419&lt;=($I$3*60+$J$3)/86400)+(J419&lt;&gt;"")*(J419&lt;=($M$3*60+$N$3)/86400)</f>
        <v>0</v>
      </c>
      <c r="N419" s="20"/>
      <c r="O419" s="20" t="s">
        <v>746</v>
      </c>
      <c r="P419" s="20"/>
      <c r="Q419" s="19"/>
    </row>
    <row r="420" customFormat="false" ht="15" hidden="false" customHeight="false" outlineLevel="0" collapsed="false">
      <c r="A420" s="10" t="n">
        <v>414</v>
      </c>
      <c r="B420" s="11" t="s">
        <v>747</v>
      </c>
      <c r="C420" s="12" t="s">
        <v>71</v>
      </c>
      <c r="D420" s="13" t="n">
        <v>0.0105637731481482</v>
      </c>
      <c r="E420" s="14" t="n">
        <v>415</v>
      </c>
      <c r="F420" s="15" t="n">
        <f aca="false">IF(D420="","",ROUND((D420-MIN($D$7:$D$9999))*86400,2))</f>
        <v>122.97</v>
      </c>
      <c r="G420" s="10" t="str">
        <f aca="false">IF(D420="","",IF(D420&lt;=($E$3*60+$F$3)/86400,"○",""))</f>
        <v/>
      </c>
      <c r="H420" s="16" t="n">
        <v>0.00657152777777778</v>
      </c>
      <c r="I420" s="17" t="n">
        <v>60</v>
      </c>
      <c r="J420" s="16"/>
      <c r="K420" s="17"/>
      <c r="L420" s="17" t="n">
        <f aca="false">COUNT(E420,I420,K420)</f>
        <v>2</v>
      </c>
      <c r="M420" s="18" t="n">
        <f aca="false">(D420&lt;&gt;"")*(D420&lt;=($E$3*60+$F$3)/86400)+(H420&lt;&gt;"")*(H420&lt;=($I$3*60+$J$3)/86400)+(J420&lt;&gt;"")*(J420&lt;=($M$3*60+$N$3)/86400)</f>
        <v>0</v>
      </c>
      <c r="N420" s="20"/>
      <c r="O420" s="20"/>
      <c r="P420" s="20"/>
      <c r="Q420" s="19"/>
    </row>
    <row r="421" customFormat="false" ht="15" hidden="false" customHeight="false" outlineLevel="0" collapsed="false">
      <c r="A421" s="10" t="n">
        <v>415</v>
      </c>
      <c r="B421" s="11" t="s">
        <v>748</v>
      </c>
      <c r="C421" s="12" t="s">
        <v>749</v>
      </c>
      <c r="D421" s="13" t="n">
        <v>0.0105638888888889</v>
      </c>
      <c r="E421" s="14" t="n">
        <v>416</v>
      </c>
      <c r="F421" s="15" t="n">
        <f aca="false">IF(D421="","",ROUND((D421-MIN($D$7:$D$9999))*86400,2))</f>
        <v>122.98</v>
      </c>
      <c r="G421" s="10" t="str">
        <f aca="false">IF(D421="","",IF(D421&lt;=($E$3*60+$F$3)/86400,"○",""))</f>
        <v/>
      </c>
      <c r="H421" s="16"/>
      <c r="I421" s="17"/>
      <c r="J421" s="16" t="n">
        <v>0.00291550925925926</v>
      </c>
      <c r="K421" s="17" t="n">
        <v>1056</v>
      </c>
      <c r="L421" s="17" t="n">
        <f aca="false">COUNT(E421,I421,K421)</f>
        <v>2</v>
      </c>
      <c r="M421" s="18" t="n">
        <f aca="false">(D421&lt;&gt;"")*(D421&lt;=($E$3*60+$F$3)/86400)+(H421&lt;&gt;"")*(H421&lt;=($I$3*60+$J$3)/86400)+(J421&lt;&gt;"")*(J421&lt;=($M$3*60+$N$3)/86400)</f>
        <v>0</v>
      </c>
      <c r="N421" s="20"/>
      <c r="O421" s="20"/>
      <c r="P421" s="20"/>
      <c r="Q421" s="19"/>
    </row>
    <row r="422" customFormat="false" ht="15" hidden="false" customHeight="false" outlineLevel="0" collapsed="false">
      <c r="A422" s="10" t="n">
        <v>416</v>
      </c>
      <c r="B422" s="11" t="s">
        <v>750</v>
      </c>
      <c r="C422" s="12" t="s">
        <v>155</v>
      </c>
      <c r="D422" s="13" t="n">
        <v>0.0105644675925926</v>
      </c>
      <c r="E422" s="14" t="n">
        <v>417</v>
      </c>
      <c r="F422" s="15" t="n">
        <f aca="false">IF(D422="","",ROUND((D422-MIN($D$7:$D$9999))*86400,2))</f>
        <v>123.03</v>
      </c>
      <c r="G422" s="10" t="str">
        <f aca="false">IF(D422="","",IF(D422&lt;=($E$3*60+$F$3)/86400,"○",""))</f>
        <v/>
      </c>
      <c r="H422" s="16"/>
      <c r="I422" s="17"/>
      <c r="J422" s="16" t="n">
        <v>0.00275775462962963</v>
      </c>
      <c r="K422" s="17" t="n">
        <v>129</v>
      </c>
      <c r="L422" s="17" t="n">
        <f aca="false">COUNT(E422,I422,K422)</f>
        <v>2</v>
      </c>
      <c r="M422" s="18" t="n">
        <f aca="false">(D422&lt;&gt;"")*(D422&lt;=($E$3*60+$F$3)/86400)+(H422&lt;&gt;"")*(H422&lt;=($I$3*60+$J$3)/86400)+(J422&lt;&gt;"")*(J422&lt;=($M$3*60+$N$3)/86400)</f>
        <v>0</v>
      </c>
      <c r="N422" s="20"/>
      <c r="O422" s="20"/>
      <c r="P422" s="20"/>
      <c r="Q422" s="19"/>
    </row>
    <row r="423" customFormat="false" ht="15" hidden="false" customHeight="false" outlineLevel="0" collapsed="false">
      <c r="A423" s="10" t="n">
        <v>417</v>
      </c>
      <c r="B423" s="11" t="s">
        <v>751</v>
      </c>
      <c r="C423" s="12" t="s">
        <v>406</v>
      </c>
      <c r="D423" s="13" t="n">
        <v>0.0105646990740741</v>
      </c>
      <c r="E423" s="14" t="n">
        <v>418</v>
      </c>
      <c r="F423" s="15" t="n">
        <f aca="false">IF(D423="","",ROUND((D423-MIN($D$7:$D$9999))*86400,2))</f>
        <v>123.05</v>
      </c>
      <c r="G423" s="10" t="str">
        <f aca="false">IF(D423="","",IF(D423&lt;=($E$3*60+$F$3)/86400,"○",""))</f>
        <v/>
      </c>
      <c r="H423" s="16" t="n">
        <v>0.00742060185185185</v>
      </c>
      <c r="I423" s="17" t="n">
        <v>795</v>
      </c>
      <c r="J423" s="16"/>
      <c r="K423" s="17"/>
      <c r="L423" s="17" t="n">
        <f aca="false">COUNT(E423,I423,K423)</f>
        <v>2</v>
      </c>
      <c r="M423" s="18" t="n">
        <f aca="false">(D423&lt;&gt;"")*(D423&lt;=($E$3*60+$F$3)/86400)+(H423&lt;&gt;"")*(H423&lt;=($I$3*60+$J$3)/86400)+(J423&lt;&gt;"")*(J423&lt;=($M$3*60+$N$3)/86400)</f>
        <v>0</v>
      </c>
      <c r="N423" s="20" t="s">
        <v>752</v>
      </c>
      <c r="O423" s="20"/>
      <c r="P423" s="20"/>
      <c r="Q423" s="19"/>
    </row>
    <row r="424" customFormat="false" ht="15" hidden="false" customHeight="false" outlineLevel="0" collapsed="false">
      <c r="A424" s="10" t="n">
        <v>418</v>
      </c>
      <c r="B424" s="11" t="s">
        <v>753</v>
      </c>
      <c r="C424" s="12" t="s">
        <v>591</v>
      </c>
      <c r="D424" s="13" t="n">
        <v>0.0105650462962963</v>
      </c>
      <c r="E424" s="14" t="n">
        <v>419</v>
      </c>
      <c r="F424" s="15" t="n">
        <f aca="false">IF(D424="","",ROUND((D424-MIN($D$7:$D$9999))*86400,2))</f>
        <v>123.08</v>
      </c>
      <c r="G424" s="10" t="str">
        <f aca="false">IF(D424="","",IF(D424&lt;=($E$3*60+$F$3)/86400,"○",""))</f>
        <v/>
      </c>
      <c r="H424" s="16"/>
      <c r="I424" s="17"/>
      <c r="J424" s="16"/>
      <c r="K424" s="17"/>
      <c r="L424" s="17" t="n">
        <f aca="false">COUNT(E424,I424,K424)</f>
        <v>1</v>
      </c>
      <c r="M424" s="18" t="n">
        <f aca="false">(D424&lt;&gt;"")*(D424&lt;=($E$3*60+$F$3)/86400)+(H424&lt;&gt;"")*(H424&lt;=($I$3*60+$J$3)/86400)+(J424&lt;&gt;"")*(J424&lt;=($M$3*60+$N$3)/86400)</f>
        <v>0</v>
      </c>
      <c r="N424" s="20" t="s">
        <v>754</v>
      </c>
      <c r="O424" s="20"/>
      <c r="P424" s="20"/>
      <c r="Q424" s="19"/>
    </row>
    <row r="425" customFormat="false" ht="15" hidden="false" customHeight="false" outlineLevel="0" collapsed="false">
      <c r="A425" s="10" t="n">
        <v>419</v>
      </c>
      <c r="B425" s="11" t="s">
        <v>755</v>
      </c>
      <c r="C425" s="12" t="s">
        <v>157</v>
      </c>
      <c r="D425" s="13" t="n">
        <v>0.0105658564814815</v>
      </c>
      <c r="E425" s="14" t="n">
        <v>420</v>
      </c>
      <c r="F425" s="15" t="n">
        <f aca="false">IF(D425="","",ROUND((D425-MIN($D$7:$D$9999))*86400,2))</f>
        <v>123.15</v>
      </c>
      <c r="G425" s="10" t="str">
        <f aca="false">IF(D425="","",IF(D425&lt;=($E$3*60+$F$3)/86400,"○",""))</f>
        <v/>
      </c>
      <c r="H425" s="16"/>
      <c r="I425" s="17"/>
      <c r="J425" s="16" t="n">
        <v>0.00283171296296296</v>
      </c>
      <c r="K425" s="17" t="n">
        <v>436</v>
      </c>
      <c r="L425" s="17" t="n">
        <f aca="false">COUNT(E425,I425,K425)</f>
        <v>2</v>
      </c>
      <c r="M425" s="18" t="n">
        <f aca="false">(D425&lt;&gt;"")*(D425&lt;=($E$3*60+$F$3)/86400)+(H425&lt;&gt;"")*(H425&lt;=($I$3*60+$J$3)/86400)+(J425&lt;&gt;"")*(J425&lt;=($M$3*60+$N$3)/86400)</f>
        <v>0</v>
      </c>
      <c r="N425" s="20"/>
      <c r="O425" s="20"/>
      <c r="P425" s="20"/>
      <c r="Q425" s="19"/>
    </row>
    <row r="426" customFormat="false" ht="15" hidden="false" customHeight="false" outlineLevel="0" collapsed="false">
      <c r="A426" s="10" t="n">
        <v>420</v>
      </c>
      <c r="B426" s="11" t="s">
        <v>756</v>
      </c>
      <c r="C426" s="12" t="s">
        <v>757</v>
      </c>
      <c r="D426" s="13" t="n">
        <v>0.0105694444444445</v>
      </c>
      <c r="E426" s="14" t="n">
        <v>421</v>
      </c>
      <c r="F426" s="15" t="n">
        <f aca="false">IF(D426="","",ROUND((D426-MIN($D$7:$D$9999))*86400,2))</f>
        <v>123.46</v>
      </c>
      <c r="G426" s="10" t="str">
        <f aca="false">IF(D426="","",IF(D426&lt;=($E$3*60+$F$3)/86400,"○",""))</f>
        <v/>
      </c>
      <c r="H426" s="16"/>
      <c r="I426" s="17"/>
      <c r="J426" s="16" t="n">
        <v>0.00289583333333333</v>
      </c>
      <c r="K426" s="17" t="n">
        <v>920</v>
      </c>
      <c r="L426" s="17" t="n">
        <f aca="false">COUNT(E426,I426,K426)</f>
        <v>2</v>
      </c>
      <c r="M426" s="18" t="n">
        <f aca="false">(D426&lt;&gt;"")*(D426&lt;=($E$3*60+$F$3)/86400)+(H426&lt;&gt;"")*(H426&lt;=($I$3*60+$J$3)/86400)+(J426&lt;&gt;"")*(J426&lt;=($M$3*60+$N$3)/86400)</f>
        <v>0</v>
      </c>
      <c r="N426" s="20"/>
      <c r="O426" s="20"/>
      <c r="P426" s="20"/>
      <c r="Q426" s="19"/>
    </row>
    <row r="427" customFormat="false" ht="15" hidden="false" customHeight="false" outlineLevel="0" collapsed="false">
      <c r="A427" s="10" t="n">
        <v>421</v>
      </c>
      <c r="B427" s="11" t="s">
        <v>758</v>
      </c>
      <c r="C427" s="12" t="s">
        <v>96</v>
      </c>
      <c r="D427" s="13" t="n">
        <v>0.0105697916666667</v>
      </c>
      <c r="E427" s="14" t="n">
        <v>422</v>
      </c>
      <c r="F427" s="15" t="n">
        <f aca="false">IF(D427="","",ROUND((D427-MIN($D$7:$D$9999))*86400,2))</f>
        <v>123.49</v>
      </c>
      <c r="G427" s="10" t="str">
        <f aca="false">IF(D427="","",IF(D427&lt;=($E$3*60+$F$3)/86400,"○",""))</f>
        <v/>
      </c>
      <c r="H427" s="16" t="n">
        <v>0.00696284722222222</v>
      </c>
      <c r="I427" s="17" t="n">
        <v>296</v>
      </c>
      <c r="J427" s="16"/>
      <c r="K427" s="17"/>
      <c r="L427" s="17" t="n">
        <f aca="false">COUNT(E427,I427,K427)</f>
        <v>2</v>
      </c>
      <c r="M427" s="18" t="n">
        <f aca="false">(D427&lt;&gt;"")*(D427&lt;=($E$3*60+$F$3)/86400)+(H427&lt;&gt;"")*(H427&lt;=($I$3*60+$J$3)/86400)+(J427&lt;&gt;"")*(J427&lt;=($M$3*60+$N$3)/86400)</f>
        <v>0</v>
      </c>
      <c r="N427" s="20"/>
      <c r="O427" s="20"/>
      <c r="P427" s="20"/>
      <c r="Q427" s="19"/>
    </row>
    <row r="428" customFormat="false" ht="15" hidden="false" customHeight="false" outlineLevel="0" collapsed="false">
      <c r="A428" s="10" t="n">
        <v>422</v>
      </c>
      <c r="B428" s="11" t="s">
        <v>759</v>
      </c>
      <c r="C428" s="12" t="s">
        <v>157</v>
      </c>
      <c r="D428" s="13" t="n">
        <v>0.0105699074074074</v>
      </c>
      <c r="E428" s="14" t="n">
        <v>423</v>
      </c>
      <c r="F428" s="15" t="n">
        <f aca="false">IF(D428="","",ROUND((D428-MIN($D$7:$D$9999))*86400,2))</f>
        <v>123.5</v>
      </c>
      <c r="G428" s="10" t="str">
        <f aca="false">IF(D428="","",IF(D428&lt;=($E$3*60+$F$3)/86400,"○",""))</f>
        <v/>
      </c>
      <c r="H428" s="16"/>
      <c r="I428" s="17"/>
      <c r="J428" s="16"/>
      <c r="K428" s="17"/>
      <c r="L428" s="17" t="n">
        <f aca="false">COUNT(E428,I428,K428)</f>
        <v>1</v>
      </c>
      <c r="M428" s="18" t="n">
        <f aca="false">(D428&lt;&gt;"")*(D428&lt;=($E$3*60+$F$3)/86400)+(H428&lt;&gt;"")*(H428&lt;=($I$3*60+$J$3)/86400)+(J428&lt;&gt;"")*(J428&lt;=($M$3*60+$N$3)/86400)</f>
        <v>0</v>
      </c>
      <c r="N428" s="20"/>
      <c r="O428" s="20"/>
      <c r="P428" s="20"/>
      <c r="Q428" s="19"/>
    </row>
    <row r="429" customFormat="false" ht="15" hidden="false" customHeight="false" outlineLevel="0" collapsed="false">
      <c r="A429" s="10" t="n">
        <v>423</v>
      </c>
      <c r="B429" s="11" t="s">
        <v>760</v>
      </c>
      <c r="C429" s="12" t="s">
        <v>253</v>
      </c>
      <c r="D429" s="13" t="n">
        <v>0.0105699074074074</v>
      </c>
      <c r="E429" s="14" t="n">
        <v>424</v>
      </c>
      <c r="F429" s="15" t="n">
        <f aca="false">IF(D429="","",ROUND((D429-MIN($D$7:$D$9999))*86400,2))</f>
        <v>123.5</v>
      </c>
      <c r="G429" s="10" t="str">
        <f aca="false">IF(D429="","",IF(D429&lt;=($E$3*60+$F$3)/86400,"○",""))</f>
        <v/>
      </c>
      <c r="H429" s="16" t="n">
        <v>0.00740578703703704</v>
      </c>
      <c r="I429" s="17" t="n">
        <v>781</v>
      </c>
      <c r="J429" s="16"/>
      <c r="K429" s="17"/>
      <c r="L429" s="17" t="n">
        <f aca="false">COUNT(E429,I429,K429)</f>
        <v>2</v>
      </c>
      <c r="M429" s="18" t="n">
        <f aca="false">(D429&lt;&gt;"")*(D429&lt;=($E$3*60+$F$3)/86400)+(H429&lt;&gt;"")*(H429&lt;=($I$3*60+$J$3)/86400)+(J429&lt;&gt;"")*(J429&lt;=($M$3*60+$N$3)/86400)</f>
        <v>0</v>
      </c>
      <c r="N429" s="20" t="s">
        <v>761</v>
      </c>
      <c r="O429" s="20"/>
      <c r="P429" s="20"/>
      <c r="Q429" s="19"/>
    </row>
    <row r="430" customFormat="false" ht="15" hidden="false" customHeight="false" outlineLevel="0" collapsed="false">
      <c r="A430" s="10" t="n">
        <v>424</v>
      </c>
      <c r="B430" s="11" t="s">
        <v>762</v>
      </c>
      <c r="C430" s="12" t="s">
        <v>40</v>
      </c>
      <c r="D430" s="13" t="n">
        <v>0.0105715277777778</v>
      </c>
      <c r="E430" s="14" t="n">
        <v>425</v>
      </c>
      <c r="F430" s="15" t="n">
        <f aca="false">IF(D430="","",ROUND((D430-MIN($D$7:$D$9999))*86400,2))</f>
        <v>123.64</v>
      </c>
      <c r="G430" s="10" t="str">
        <f aca="false">IF(D430="","",IF(D430&lt;=($E$3*60+$F$3)/86400,"○",""))</f>
        <v/>
      </c>
      <c r="H430" s="16" t="n">
        <v>0.00665925925925926</v>
      </c>
      <c r="I430" s="17" t="n">
        <v>87</v>
      </c>
      <c r="J430" s="16"/>
      <c r="K430" s="17"/>
      <c r="L430" s="17" t="n">
        <f aca="false">COUNT(E430,I430,K430)</f>
        <v>2</v>
      </c>
      <c r="M430" s="18" t="n">
        <f aca="false">(D430&lt;&gt;"")*(D430&lt;=($E$3*60+$F$3)/86400)+(H430&lt;&gt;"")*(H430&lt;=($I$3*60+$J$3)/86400)+(J430&lt;&gt;"")*(J430&lt;=($M$3*60+$N$3)/86400)</f>
        <v>0</v>
      </c>
      <c r="N430" s="20"/>
      <c r="O430" s="20" t="s">
        <v>763</v>
      </c>
      <c r="P430" s="20"/>
      <c r="Q430" s="19"/>
    </row>
    <row r="431" customFormat="false" ht="15" hidden="false" customHeight="false" outlineLevel="0" collapsed="false">
      <c r="A431" s="10" t="n">
        <v>425</v>
      </c>
      <c r="B431" s="11" t="s">
        <v>764</v>
      </c>
      <c r="C431" s="12" t="s">
        <v>27</v>
      </c>
      <c r="D431" s="13" t="n">
        <v>0.010571875</v>
      </c>
      <c r="E431" s="14" t="n">
        <v>426</v>
      </c>
      <c r="F431" s="15" t="n">
        <f aca="false">IF(D431="","",ROUND((D431-MIN($D$7:$D$9999))*86400,2))</f>
        <v>123.67</v>
      </c>
      <c r="G431" s="10" t="str">
        <f aca="false">IF(D431="","",IF(D431&lt;=($E$3*60+$F$3)/86400,"○",""))</f>
        <v/>
      </c>
      <c r="H431" s="16"/>
      <c r="I431" s="17"/>
      <c r="J431" s="16" t="n">
        <v>0.00280208333333333</v>
      </c>
      <c r="K431" s="17" t="n">
        <v>291</v>
      </c>
      <c r="L431" s="17" t="n">
        <f aca="false">COUNT(E431,I431,K431)</f>
        <v>2</v>
      </c>
      <c r="M431" s="18" t="n">
        <f aca="false">(D431&lt;&gt;"")*(D431&lt;=($E$3*60+$F$3)/86400)+(H431&lt;&gt;"")*(H431&lt;=($I$3*60+$J$3)/86400)+(J431&lt;&gt;"")*(J431&lt;=($M$3*60+$N$3)/86400)</f>
        <v>0</v>
      </c>
      <c r="N431" s="20"/>
      <c r="O431" s="20"/>
      <c r="P431" s="20"/>
      <c r="Q431" s="19"/>
    </row>
    <row r="432" customFormat="false" ht="15" hidden="false" customHeight="false" outlineLevel="0" collapsed="false">
      <c r="A432" s="10" t="n">
        <v>426</v>
      </c>
      <c r="B432" s="11" t="s">
        <v>765</v>
      </c>
      <c r="C432" s="12" t="s">
        <v>290</v>
      </c>
      <c r="D432" s="13" t="n">
        <v>0.0105721064814815</v>
      </c>
      <c r="E432" s="14" t="n">
        <v>427</v>
      </c>
      <c r="F432" s="15" t="n">
        <f aca="false">IF(D432="","",ROUND((D432-MIN($D$7:$D$9999))*86400,2))</f>
        <v>123.69</v>
      </c>
      <c r="G432" s="10" t="str">
        <f aca="false">IF(D432="","",IF(D432&lt;=($E$3*60+$F$3)/86400,"○",""))</f>
        <v/>
      </c>
      <c r="H432" s="16"/>
      <c r="I432" s="17"/>
      <c r="J432" s="16" t="n">
        <v>0.00289594907407407</v>
      </c>
      <c r="K432" s="17" t="n">
        <v>921</v>
      </c>
      <c r="L432" s="17" t="n">
        <f aca="false">COUNT(E432,I432,K432)</f>
        <v>2</v>
      </c>
      <c r="M432" s="18" t="n">
        <f aca="false">(D432&lt;&gt;"")*(D432&lt;=($E$3*60+$F$3)/86400)+(H432&lt;&gt;"")*(H432&lt;=($I$3*60+$J$3)/86400)+(J432&lt;&gt;"")*(J432&lt;=($M$3*60+$N$3)/86400)</f>
        <v>0</v>
      </c>
      <c r="N432" s="20"/>
      <c r="O432" s="20"/>
      <c r="P432" s="20"/>
      <c r="Q432" s="19"/>
    </row>
    <row r="433" customFormat="false" ht="15" hidden="false" customHeight="false" outlineLevel="0" collapsed="false">
      <c r="A433" s="10" t="n">
        <v>427</v>
      </c>
      <c r="B433" s="11" t="s">
        <v>766</v>
      </c>
      <c r="C433" s="12" t="s">
        <v>767</v>
      </c>
      <c r="D433" s="13" t="n">
        <v>0.0105734953703704</v>
      </c>
      <c r="E433" s="14" t="n">
        <v>428</v>
      </c>
      <c r="F433" s="15" t="n">
        <f aca="false">IF(D433="","",ROUND((D433-MIN($D$7:$D$9999))*86400,2))</f>
        <v>123.81</v>
      </c>
      <c r="G433" s="10" t="str">
        <f aca="false">IF(D433="","",IF(D433&lt;=($E$3*60+$F$3)/86400,"○",""))</f>
        <v/>
      </c>
      <c r="H433" s="16"/>
      <c r="I433" s="17"/>
      <c r="J433" s="16" t="n">
        <v>0.00283784722222222</v>
      </c>
      <c r="K433" s="17" t="n">
        <v>482</v>
      </c>
      <c r="L433" s="17" t="n">
        <f aca="false">COUNT(E433,I433,K433)</f>
        <v>2</v>
      </c>
      <c r="M433" s="18" t="n">
        <f aca="false">(D433&lt;&gt;"")*(D433&lt;=($E$3*60+$F$3)/86400)+(H433&lt;&gt;"")*(H433&lt;=($I$3*60+$J$3)/86400)+(J433&lt;&gt;"")*(J433&lt;=($M$3*60+$N$3)/86400)</f>
        <v>0</v>
      </c>
      <c r="N433" s="20" t="s">
        <v>768</v>
      </c>
      <c r="O433" s="20"/>
      <c r="P433" s="20"/>
      <c r="Q433" s="19"/>
    </row>
    <row r="434" customFormat="false" ht="15" hidden="false" customHeight="false" outlineLevel="0" collapsed="false">
      <c r="A434" s="10" t="n">
        <v>428</v>
      </c>
      <c r="B434" s="11" t="s">
        <v>769</v>
      </c>
      <c r="C434" s="12" t="s">
        <v>417</v>
      </c>
      <c r="D434" s="13" t="n">
        <v>0.0105737268518519</v>
      </c>
      <c r="E434" s="14" t="n">
        <v>429</v>
      </c>
      <c r="F434" s="15" t="n">
        <f aca="false">IF(D434="","",ROUND((D434-MIN($D$7:$D$9999))*86400,2))</f>
        <v>123.83</v>
      </c>
      <c r="G434" s="10" t="str">
        <f aca="false">IF(D434="","",IF(D434&lt;=($E$3*60+$F$3)/86400,"○",""))</f>
        <v/>
      </c>
      <c r="H434" s="16"/>
      <c r="I434" s="17"/>
      <c r="J434" s="16"/>
      <c r="K434" s="17"/>
      <c r="L434" s="17" t="n">
        <f aca="false">COUNT(E434,I434,K434)</f>
        <v>1</v>
      </c>
      <c r="M434" s="18" t="n">
        <f aca="false">(D434&lt;&gt;"")*(D434&lt;=($E$3*60+$F$3)/86400)+(H434&lt;&gt;"")*(H434&lt;=($I$3*60+$J$3)/86400)+(J434&lt;&gt;"")*(J434&lt;=($M$3*60+$N$3)/86400)</f>
        <v>0</v>
      </c>
      <c r="N434" s="20"/>
      <c r="O434" s="20"/>
      <c r="P434" s="20"/>
      <c r="Q434" s="19"/>
    </row>
    <row r="435" customFormat="false" ht="15" hidden="false" customHeight="false" outlineLevel="0" collapsed="false">
      <c r="A435" s="10" t="n">
        <v>429</v>
      </c>
      <c r="B435" s="11" t="s">
        <v>770</v>
      </c>
      <c r="C435" s="12" t="s">
        <v>199</v>
      </c>
      <c r="D435" s="13" t="n">
        <v>0.0105752314814815</v>
      </c>
      <c r="E435" s="14" t="n">
        <v>430</v>
      </c>
      <c r="F435" s="15" t="n">
        <f aca="false">IF(D435="","",ROUND((D435-MIN($D$7:$D$9999))*86400,2))</f>
        <v>123.96</v>
      </c>
      <c r="G435" s="10" t="str">
        <f aca="false">IF(D435="","",IF(D435&lt;=($E$3*60+$F$3)/86400,"○",""))</f>
        <v/>
      </c>
      <c r="H435" s="16"/>
      <c r="I435" s="17"/>
      <c r="J435" s="16"/>
      <c r="K435" s="17"/>
      <c r="L435" s="17" t="n">
        <f aca="false">COUNT(E435,I435,K435)</f>
        <v>1</v>
      </c>
      <c r="M435" s="18" t="n">
        <f aca="false">(D435&lt;&gt;"")*(D435&lt;=($E$3*60+$F$3)/86400)+(H435&lt;&gt;"")*(H435&lt;=($I$3*60+$J$3)/86400)+(J435&lt;&gt;"")*(J435&lt;=($M$3*60+$N$3)/86400)</f>
        <v>0</v>
      </c>
      <c r="N435" s="20"/>
      <c r="O435" s="20"/>
      <c r="P435" s="20"/>
      <c r="Q435" s="19"/>
    </row>
    <row r="436" customFormat="false" ht="15" hidden="false" customHeight="false" outlineLevel="0" collapsed="false">
      <c r="A436" s="10" t="n">
        <v>430</v>
      </c>
      <c r="B436" s="11" t="s">
        <v>771</v>
      </c>
      <c r="C436" s="12" t="s">
        <v>503</v>
      </c>
      <c r="D436" s="13" t="n">
        <v>0.0105753472222222</v>
      </c>
      <c r="E436" s="14" t="n">
        <v>431</v>
      </c>
      <c r="F436" s="15" t="n">
        <f aca="false">IF(D436="","",ROUND((D436-MIN($D$7:$D$9999))*86400,2))</f>
        <v>123.97</v>
      </c>
      <c r="G436" s="10" t="str">
        <f aca="false">IF(D436="","",IF(D436&lt;=($E$3*60+$F$3)/86400,"○",""))</f>
        <v/>
      </c>
      <c r="H436" s="16"/>
      <c r="I436" s="17"/>
      <c r="J436" s="16" t="n">
        <v>0.00275185185185185</v>
      </c>
      <c r="K436" s="17" t="n">
        <v>107</v>
      </c>
      <c r="L436" s="17" t="n">
        <f aca="false">COUNT(E436,I436,K436)</f>
        <v>2</v>
      </c>
      <c r="M436" s="18" t="n">
        <f aca="false">(D436&lt;&gt;"")*(D436&lt;=($E$3*60+$F$3)/86400)+(H436&lt;&gt;"")*(H436&lt;=($I$3*60+$J$3)/86400)+(J436&lt;&gt;"")*(J436&lt;=($M$3*60+$N$3)/86400)</f>
        <v>0</v>
      </c>
      <c r="N436" s="20"/>
      <c r="O436" s="20"/>
      <c r="P436" s="20"/>
      <c r="Q436" s="19"/>
    </row>
    <row r="437" customFormat="false" ht="15" hidden="false" customHeight="false" outlineLevel="0" collapsed="false">
      <c r="A437" s="10" t="n">
        <v>431</v>
      </c>
      <c r="B437" s="11" t="s">
        <v>772</v>
      </c>
      <c r="C437" s="12" t="s">
        <v>351</v>
      </c>
      <c r="D437" s="13" t="n">
        <v>0.0105770833333333</v>
      </c>
      <c r="E437" s="14" t="n">
        <v>432</v>
      </c>
      <c r="F437" s="15" t="n">
        <f aca="false">IF(D437="","",ROUND((D437-MIN($D$7:$D$9999))*86400,2))</f>
        <v>124.12</v>
      </c>
      <c r="G437" s="10" t="str">
        <f aca="false">IF(D437="","",IF(D437&lt;=($E$3*60+$F$3)/86400,"○",""))</f>
        <v/>
      </c>
      <c r="H437" s="16"/>
      <c r="I437" s="17"/>
      <c r="J437" s="16" t="n">
        <v>0.00285173611111111</v>
      </c>
      <c r="K437" s="17" t="n">
        <v>579</v>
      </c>
      <c r="L437" s="17" t="n">
        <f aca="false">COUNT(E437,I437,K437)</f>
        <v>2</v>
      </c>
      <c r="M437" s="18" t="n">
        <f aca="false">(D437&lt;&gt;"")*(D437&lt;=($E$3*60+$F$3)/86400)+(H437&lt;&gt;"")*(H437&lt;=($I$3*60+$J$3)/86400)+(J437&lt;&gt;"")*(J437&lt;=($M$3*60+$N$3)/86400)</f>
        <v>0</v>
      </c>
      <c r="N437" s="20"/>
      <c r="O437" s="20" t="s">
        <v>773</v>
      </c>
      <c r="P437" s="20"/>
      <c r="Q437" s="19"/>
    </row>
    <row r="438" customFormat="false" ht="15" hidden="false" customHeight="false" outlineLevel="0" collapsed="false">
      <c r="A438" s="10" t="n">
        <v>432</v>
      </c>
      <c r="B438" s="11" t="s">
        <v>774</v>
      </c>
      <c r="C438" s="12" t="s">
        <v>123</v>
      </c>
      <c r="D438" s="13" t="n">
        <v>0.0105804398148148</v>
      </c>
      <c r="E438" s="14" t="n">
        <v>433</v>
      </c>
      <c r="F438" s="15" t="n">
        <f aca="false">IF(D438="","",ROUND((D438-MIN($D$7:$D$9999))*86400,2))</f>
        <v>124.41</v>
      </c>
      <c r="G438" s="10" t="str">
        <f aca="false">IF(D438="","",IF(D438&lt;=($E$3*60+$F$3)/86400,"○",""))</f>
        <v/>
      </c>
      <c r="H438" s="16" t="n">
        <v>0.00656412037037037</v>
      </c>
      <c r="I438" s="17" t="n">
        <v>53</v>
      </c>
      <c r="J438" s="16" t="n">
        <v>0.00287986111111111</v>
      </c>
      <c r="K438" s="17" t="n">
        <v>769</v>
      </c>
      <c r="L438" s="17" t="n">
        <f aca="false">COUNT(E438,I438,K438)</f>
        <v>3</v>
      </c>
      <c r="M438" s="18" t="n">
        <f aca="false">(D438&lt;&gt;"")*(D438&lt;=($E$3*60+$F$3)/86400)+(H438&lt;&gt;"")*(H438&lt;=($I$3*60+$J$3)/86400)+(J438&lt;&gt;"")*(J438&lt;=($M$3*60+$N$3)/86400)</f>
        <v>0</v>
      </c>
      <c r="N438" s="20" t="s">
        <v>775</v>
      </c>
      <c r="O438" s="20"/>
      <c r="P438" s="20"/>
      <c r="Q438" s="19"/>
    </row>
    <row r="439" customFormat="false" ht="15" hidden="false" customHeight="false" outlineLevel="0" collapsed="false">
      <c r="A439" s="10" t="n">
        <v>433</v>
      </c>
      <c r="B439" s="11" t="s">
        <v>776</v>
      </c>
      <c r="C439" s="12" t="s">
        <v>406</v>
      </c>
      <c r="D439" s="13" t="n">
        <v>0.010580787037037</v>
      </c>
      <c r="E439" s="14" t="n">
        <v>434</v>
      </c>
      <c r="F439" s="15" t="n">
        <f aca="false">IF(D439="","",ROUND((D439-MIN($D$7:$D$9999))*86400,2))</f>
        <v>124.44</v>
      </c>
      <c r="G439" s="10" t="str">
        <f aca="false">IF(D439="","",IF(D439&lt;=($E$3*60+$F$3)/86400,"○",""))</f>
        <v/>
      </c>
      <c r="H439" s="16"/>
      <c r="I439" s="17"/>
      <c r="J439" s="16" t="n">
        <v>0.00290289351851852</v>
      </c>
      <c r="K439" s="17" t="n">
        <v>970</v>
      </c>
      <c r="L439" s="17" t="n">
        <f aca="false">COUNT(E439,I439,K439)</f>
        <v>2</v>
      </c>
      <c r="M439" s="18" t="n">
        <f aca="false">(D439&lt;&gt;"")*(D439&lt;=($E$3*60+$F$3)/86400)+(H439&lt;&gt;"")*(H439&lt;=($I$3*60+$J$3)/86400)+(J439&lt;&gt;"")*(J439&lt;=($M$3*60+$N$3)/86400)</f>
        <v>0</v>
      </c>
      <c r="N439" s="20" t="s">
        <v>777</v>
      </c>
      <c r="O439" s="20"/>
      <c r="P439" s="20"/>
      <c r="Q439" s="19"/>
    </row>
    <row r="440" customFormat="false" ht="15" hidden="false" customHeight="false" outlineLevel="0" collapsed="false">
      <c r="A440" s="10" t="n">
        <v>434</v>
      </c>
      <c r="B440" s="11" t="s">
        <v>778</v>
      </c>
      <c r="C440" s="12" t="s">
        <v>779</v>
      </c>
      <c r="D440" s="13" t="n">
        <v>0.0105814814814815</v>
      </c>
      <c r="E440" s="14" t="n">
        <v>435</v>
      </c>
      <c r="F440" s="15" t="n">
        <f aca="false">IF(D440="","",ROUND((D440-MIN($D$7:$D$9999))*86400,2))</f>
        <v>124.5</v>
      </c>
      <c r="G440" s="10" t="str">
        <f aca="false">IF(D440="","",IF(D440&lt;=($E$3*60+$F$3)/86400,"○",""))</f>
        <v/>
      </c>
      <c r="H440" s="16"/>
      <c r="I440" s="17"/>
      <c r="J440" s="16" t="n">
        <v>0.00287847222222222</v>
      </c>
      <c r="K440" s="17" t="n">
        <v>757</v>
      </c>
      <c r="L440" s="17" t="n">
        <f aca="false">COUNT(E440,I440,K440)</f>
        <v>2</v>
      </c>
      <c r="M440" s="18" t="n">
        <f aca="false">(D440&lt;&gt;"")*(D440&lt;=($E$3*60+$F$3)/86400)+(H440&lt;&gt;"")*(H440&lt;=($I$3*60+$J$3)/86400)+(J440&lt;&gt;"")*(J440&lt;=($M$3*60+$N$3)/86400)</f>
        <v>0</v>
      </c>
      <c r="N440" s="20"/>
      <c r="O440" s="20"/>
      <c r="P440" s="20"/>
      <c r="Q440" s="19"/>
    </row>
    <row r="441" customFormat="false" ht="15" hidden="false" customHeight="false" outlineLevel="0" collapsed="false">
      <c r="A441" s="10" t="n">
        <v>435</v>
      </c>
      <c r="B441" s="11" t="s">
        <v>780</v>
      </c>
      <c r="C441" s="12" t="s">
        <v>457</v>
      </c>
      <c r="D441" s="13" t="n">
        <v>0.0105820601851852</v>
      </c>
      <c r="E441" s="14" t="n">
        <v>436</v>
      </c>
      <c r="F441" s="15" t="n">
        <f aca="false">IF(D441="","",ROUND((D441-MIN($D$7:$D$9999))*86400,2))</f>
        <v>124.55</v>
      </c>
      <c r="G441" s="10" t="str">
        <f aca="false">IF(D441="","",IF(D441&lt;=($E$3*60+$F$3)/86400,"○",""))</f>
        <v/>
      </c>
      <c r="H441" s="16"/>
      <c r="I441" s="17"/>
      <c r="J441" s="16" t="n">
        <v>0.00288854166666667</v>
      </c>
      <c r="K441" s="17" t="n">
        <v>853</v>
      </c>
      <c r="L441" s="17" t="n">
        <f aca="false">COUNT(E441,I441,K441)</f>
        <v>2</v>
      </c>
      <c r="M441" s="18" t="n">
        <f aca="false">(D441&lt;&gt;"")*(D441&lt;=($E$3*60+$F$3)/86400)+(H441&lt;&gt;"")*(H441&lt;=($I$3*60+$J$3)/86400)+(J441&lt;&gt;"")*(J441&lt;=($M$3*60+$N$3)/86400)</f>
        <v>0</v>
      </c>
      <c r="N441" s="20"/>
      <c r="O441" s="20"/>
      <c r="P441" s="20"/>
      <c r="Q441" s="19"/>
    </row>
    <row r="442" customFormat="false" ht="15" hidden="false" customHeight="false" outlineLevel="0" collapsed="false">
      <c r="A442" s="10" t="n">
        <v>436</v>
      </c>
      <c r="B442" s="11" t="s">
        <v>781</v>
      </c>
      <c r="C442" s="12" t="s">
        <v>515</v>
      </c>
      <c r="D442" s="13" t="n">
        <v>0.0105821759259259</v>
      </c>
      <c r="E442" s="14" t="n">
        <v>437</v>
      </c>
      <c r="F442" s="15" t="n">
        <f aca="false">IF(D442="","",ROUND((D442-MIN($D$7:$D$9999))*86400,2))</f>
        <v>124.56</v>
      </c>
      <c r="G442" s="10" t="str">
        <f aca="false">IF(D442="","",IF(D442&lt;=($E$3*60+$F$3)/86400,"○",""))</f>
        <v/>
      </c>
      <c r="H442" s="16" t="n">
        <v>0.00698576388888889</v>
      </c>
      <c r="I442" s="17" t="n">
        <v>320</v>
      </c>
      <c r="J442" s="16" t="n">
        <v>0.00285243055555556</v>
      </c>
      <c r="K442" s="17" t="n">
        <v>582</v>
      </c>
      <c r="L442" s="17" t="n">
        <f aca="false">COUNT(E442,I442,K442)</f>
        <v>3</v>
      </c>
      <c r="M442" s="18" t="n">
        <f aca="false">(D442&lt;&gt;"")*(D442&lt;=($E$3*60+$F$3)/86400)+(H442&lt;&gt;"")*(H442&lt;=($I$3*60+$J$3)/86400)+(J442&lt;&gt;"")*(J442&lt;=($M$3*60+$N$3)/86400)</f>
        <v>0</v>
      </c>
      <c r="N442" s="20"/>
      <c r="O442" s="20"/>
      <c r="P442" s="20"/>
      <c r="Q442" s="19"/>
    </row>
    <row r="443" customFormat="false" ht="15" hidden="false" customHeight="false" outlineLevel="0" collapsed="false">
      <c r="A443" s="10" t="n">
        <v>437</v>
      </c>
      <c r="B443" s="11" t="s">
        <v>782</v>
      </c>
      <c r="C443" s="12" t="s">
        <v>96</v>
      </c>
      <c r="D443" s="13" t="n">
        <v>0.0105828703703704</v>
      </c>
      <c r="E443" s="14" t="n">
        <v>438</v>
      </c>
      <c r="F443" s="15" t="n">
        <f aca="false">IF(D443="","",ROUND((D443-MIN($D$7:$D$9999))*86400,2))</f>
        <v>124.62</v>
      </c>
      <c r="G443" s="10" t="str">
        <f aca="false">IF(D443="","",IF(D443&lt;=($E$3*60+$F$3)/86400,"○",""))</f>
        <v/>
      </c>
      <c r="H443" s="16"/>
      <c r="I443" s="17"/>
      <c r="J443" s="16" t="n">
        <v>0.00292581018518519</v>
      </c>
      <c r="K443" s="17" t="n">
        <v>1156</v>
      </c>
      <c r="L443" s="17" t="n">
        <f aca="false">COUNT(E443,I443,K443)</f>
        <v>2</v>
      </c>
      <c r="M443" s="18" t="n">
        <f aca="false">(D443&lt;&gt;"")*(D443&lt;=($E$3*60+$F$3)/86400)+(H443&lt;&gt;"")*(H443&lt;=($I$3*60+$J$3)/86400)+(J443&lt;&gt;"")*(J443&lt;=($M$3*60+$N$3)/86400)</f>
        <v>0</v>
      </c>
      <c r="N443" s="20"/>
      <c r="O443" s="20"/>
      <c r="P443" s="20"/>
      <c r="Q443" s="19"/>
    </row>
    <row r="444" customFormat="false" ht="15" hidden="false" customHeight="false" outlineLevel="0" collapsed="false">
      <c r="A444" s="10" t="n">
        <v>438</v>
      </c>
      <c r="B444" s="11" t="s">
        <v>783</v>
      </c>
      <c r="C444" s="12" t="s">
        <v>561</v>
      </c>
      <c r="D444" s="13" t="n">
        <v>0.0105828703703704</v>
      </c>
      <c r="E444" s="14" t="n">
        <v>439</v>
      </c>
      <c r="F444" s="15" t="n">
        <f aca="false">IF(D444="","",ROUND((D444-MIN($D$7:$D$9999))*86400,2))</f>
        <v>124.62</v>
      </c>
      <c r="G444" s="10" t="str">
        <f aca="false">IF(D444="","",IF(D444&lt;=($E$3*60+$F$3)/86400,"○",""))</f>
        <v/>
      </c>
      <c r="H444" s="16"/>
      <c r="I444" s="17"/>
      <c r="J444" s="16" t="n">
        <v>0.00279398148148148</v>
      </c>
      <c r="K444" s="17" t="n">
        <v>253</v>
      </c>
      <c r="L444" s="17" t="n">
        <f aca="false">COUNT(E444,I444,K444)</f>
        <v>2</v>
      </c>
      <c r="M444" s="18" t="n">
        <f aca="false">(D444&lt;&gt;"")*(D444&lt;=($E$3*60+$F$3)/86400)+(H444&lt;&gt;"")*(H444&lt;=($I$3*60+$J$3)/86400)+(J444&lt;&gt;"")*(J444&lt;=($M$3*60+$N$3)/86400)</f>
        <v>0</v>
      </c>
      <c r="N444" s="20"/>
      <c r="O444" s="20"/>
      <c r="P444" s="20"/>
      <c r="Q444" s="19"/>
    </row>
    <row r="445" customFormat="false" ht="15" hidden="false" customHeight="false" outlineLevel="0" collapsed="false">
      <c r="A445" s="10" t="n">
        <v>439</v>
      </c>
      <c r="B445" s="11" t="s">
        <v>784</v>
      </c>
      <c r="C445" s="12" t="s">
        <v>785</v>
      </c>
      <c r="D445" s="13" t="n">
        <v>0.0105834490740741</v>
      </c>
      <c r="E445" s="14" t="n">
        <v>440</v>
      </c>
      <c r="F445" s="15" t="n">
        <f aca="false">IF(D445="","",ROUND((D445-MIN($D$7:$D$9999))*86400,2))</f>
        <v>124.67</v>
      </c>
      <c r="G445" s="10" t="str">
        <f aca="false">IF(D445="","",IF(D445&lt;=($E$3*60+$F$3)/86400,"○",""))</f>
        <v/>
      </c>
      <c r="H445" s="16"/>
      <c r="I445" s="17"/>
      <c r="J445" s="16" t="n">
        <v>0.0028287037037037</v>
      </c>
      <c r="K445" s="17" t="n">
        <v>416</v>
      </c>
      <c r="L445" s="17" t="n">
        <f aca="false">COUNT(E445,I445,K445)</f>
        <v>2</v>
      </c>
      <c r="M445" s="18" t="n">
        <f aca="false">(D445&lt;&gt;"")*(D445&lt;=($E$3*60+$F$3)/86400)+(H445&lt;&gt;"")*(H445&lt;=($I$3*60+$J$3)/86400)+(J445&lt;&gt;"")*(J445&lt;=($M$3*60+$N$3)/86400)</f>
        <v>0</v>
      </c>
      <c r="N445" s="20" t="s">
        <v>786</v>
      </c>
      <c r="O445" s="20"/>
      <c r="P445" s="20"/>
      <c r="Q445" s="19"/>
    </row>
    <row r="446" customFormat="false" ht="15" hidden="false" customHeight="false" outlineLevel="0" collapsed="false">
      <c r="A446" s="10" t="n">
        <v>440</v>
      </c>
      <c r="B446" s="11" t="s">
        <v>787</v>
      </c>
      <c r="C446" s="12" t="s">
        <v>788</v>
      </c>
      <c r="D446" s="13" t="n">
        <v>0.0105841435185185</v>
      </c>
      <c r="E446" s="14" t="n">
        <v>441</v>
      </c>
      <c r="F446" s="15" t="n">
        <f aca="false">IF(D446="","",ROUND((D446-MIN($D$7:$D$9999))*86400,2))</f>
        <v>124.73</v>
      </c>
      <c r="G446" s="10" t="str">
        <f aca="false">IF(D446="","",IF(D446&lt;=($E$3*60+$F$3)/86400,"○",""))</f>
        <v/>
      </c>
      <c r="H446" s="16"/>
      <c r="I446" s="17"/>
      <c r="J446" s="16" t="n">
        <v>0.00286226851851852</v>
      </c>
      <c r="K446" s="17" t="n">
        <v>648</v>
      </c>
      <c r="L446" s="17" t="n">
        <f aca="false">COUNT(E446,I446,K446)</f>
        <v>2</v>
      </c>
      <c r="M446" s="18" t="n">
        <f aca="false">(D446&lt;&gt;"")*(D446&lt;=($E$3*60+$F$3)/86400)+(H446&lt;&gt;"")*(H446&lt;=($I$3*60+$J$3)/86400)+(J446&lt;&gt;"")*(J446&lt;=($M$3*60+$N$3)/86400)</f>
        <v>0</v>
      </c>
      <c r="N446" s="20"/>
      <c r="O446" s="20"/>
      <c r="P446" s="20"/>
      <c r="Q446" s="19"/>
    </row>
    <row r="447" customFormat="false" ht="15" hidden="false" customHeight="false" outlineLevel="0" collapsed="false">
      <c r="A447" s="10" t="n">
        <v>441</v>
      </c>
      <c r="B447" s="11" t="s">
        <v>789</v>
      </c>
      <c r="C447" s="12" t="s">
        <v>790</v>
      </c>
      <c r="D447" s="13" t="n">
        <v>0.010584375</v>
      </c>
      <c r="E447" s="14" t="n">
        <v>442</v>
      </c>
      <c r="F447" s="15" t="n">
        <f aca="false">IF(D447="","",ROUND((D447-MIN($D$7:$D$9999))*86400,2))</f>
        <v>124.75</v>
      </c>
      <c r="G447" s="10" t="str">
        <f aca="false">IF(D447="","",IF(D447&lt;=($E$3*60+$F$3)/86400,"○",""))</f>
        <v/>
      </c>
      <c r="H447" s="16"/>
      <c r="I447" s="17"/>
      <c r="J447" s="16"/>
      <c r="K447" s="17"/>
      <c r="L447" s="17" t="n">
        <f aca="false">COUNT(E447,I447,K447)</f>
        <v>1</v>
      </c>
      <c r="M447" s="18" t="n">
        <f aca="false">(D447&lt;&gt;"")*(D447&lt;=($E$3*60+$F$3)/86400)+(H447&lt;&gt;"")*(H447&lt;=($I$3*60+$J$3)/86400)+(J447&lt;&gt;"")*(J447&lt;=($M$3*60+$N$3)/86400)</f>
        <v>0</v>
      </c>
      <c r="N447" s="20"/>
      <c r="O447" s="20"/>
      <c r="P447" s="20"/>
      <c r="Q447" s="19"/>
    </row>
    <row r="448" customFormat="false" ht="15" hidden="false" customHeight="false" outlineLevel="0" collapsed="false">
      <c r="A448" s="10" t="n">
        <v>442</v>
      </c>
      <c r="B448" s="11" t="s">
        <v>791</v>
      </c>
      <c r="C448" s="12" t="s">
        <v>585</v>
      </c>
      <c r="D448" s="13" t="n">
        <v>0.0105847222222222</v>
      </c>
      <c r="E448" s="14" t="n">
        <v>443</v>
      </c>
      <c r="F448" s="15" t="n">
        <f aca="false">IF(D448="","",ROUND((D448-MIN($D$7:$D$9999))*86400,2))</f>
        <v>124.78</v>
      </c>
      <c r="G448" s="10" t="str">
        <f aca="false">IF(D448="","",IF(D448&lt;=($E$3*60+$F$3)/86400,"○",""))</f>
        <v/>
      </c>
      <c r="H448" s="16" t="n">
        <v>0.00725046296296296</v>
      </c>
      <c r="I448" s="17" t="n">
        <v>597</v>
      </c>
      <c r="J448" s="16" t="n">
        <v>0.00297615740740741</v>
      </c>
      <c r="K448" s="17" t="n">
        <v>1335</v>
      </c>
      <c r="L448" s="17" t="n">
        <f aca="false">COUNT(E448,I448,K448)</f>
        <v>3</v>
      </c>
      <c r="M448" s="18" t="n">
        <f aca="false">(D448&lt;&gt;"")*(D448&lt;=($E$3*60+$F$3)/86400)+(H448&lt;&gt;"")*(H448&lt;=($I$3*60+$J$3)/86400)+(J448&lt;&gt;"")*(J448&lt;=($M$3*60+$N$3)/86400)</f>
        <v>0</v>
      </c>
      <c r="N448" s="20"/>
      <c r="O448" s="20"/>
      <c r="P448" s="20"/>
      <c r="Q448" s="19"/>
    </row>
    <row r="449" customFormat="false" ht="15" hidden="false" customHeight="false" outlineLevel="0" collapsed="false">
      <c r="A449" s="10" t="n">
        <v>443</v>
      </c>
      <c r="B449" s="11" t="s">
        <v>792</v>
      </c>
      <c r="C449" s="12" t="s">
        <v>589</v>
      </c>
      <c r="D449" s="13" t="n">
        <v>0.0105849537037037</v>
      </c>
      <c r="E449" s="14" t="n">
        <v>444</v>
      </c>
      <c r="F449" s="15" t="n">
        <f aca="false">IF(D449="","",ROUND((D449-MIN($D$7:$D$9999))*86400,2))</f>
        <v>124.8</v>
      </c>
      <c r="G449" s="10" t="str">
        <f aca="false">IF(D449="","",IF(D449&lt;=($E$3*60+$F$3)/86400,"○",""))</f>
        <v/>
      </c>
      <c r="H449" s="16"/>
      <c r="I449" s="17"/>
      <c r="J449" s="16" t="n">
        <v>0.00281782407407407</v>
      </c>
      <c r="K449" s="17" t="n">
        <v>354</v>
      </c>
      <c r="L449" s="17" t="n">
        <f aca="false">COUNT(E449,I449,K449)</f>
        <v>2</v>
      </c>
      <c r="M449" s="18" t="n">
        <f aca="false">(D449&lt;&gt;"")*(D449&lt;=($E$3*60+$F$3)/86400)+(H449&lt;&gt;"")*(H449&lt;=($I$3*60+$J$3)/86400)+(J449&lt;&gt;"")*(J449&lt;=($M$3*60+$N$3)/86400)</f>
        <v>0</v>
      </c>
      <c r="N449" s="20"/>
      <c r="O449" s="20"/>
      <c r="P449" s="20"/>
      <c r="Q449" s="19"/>
    </row>
    <row r="450" customFormat="false" ht="15" hidden="false" customHeight="false" outlineLevel="0" collapsed="false">
      <c r="A450" s="10" t="n">
        <v>444</v>
      </c>
      <c r="B450" s="11" t="s">
        <v>793</v>
      </c>
      <c r="C450" s="12" t="s">
        <v>311</v>
      </c>
      <c r="D450" s="13" t="n">
        <v>0.0105850694444444</v>
      </c>
      <c r="E450" s="14" t="n">
        <v>445</v>
      </c>
      <c r="F450" s="15" t="n">
        <f aca="false">IF(D450="","",ROUND((D450-MIN($D$7:$D$9999))*86400,2))</f>
        <v>124.81</v>
      </c>
      <c r="G450" s="10" t="str">
        <f aca="false">IF(D450="","",IF(D450&lt;=($E$3*60+$F$3)/86400,"○",""))</f>
        <v/>
      </c>
      <c r="H450" s="16"/>
      <c r="I450" s="17"/>
      <c r="J450" s="16"/>
      <c r="K450" s="17"/>
      <c r="L450" s="17" t="n">
        <f aca="false">COUNT(E450,I450,K450)</f>
        <v>1</v>
      </c>
      <c r="M450" s="18" t="n">
        <f aca="false">(D450&lt;&gt;"")*(D450&lt;=($E$3*60+$F$3)/86400)+(H450&lt;&gt;"")*(H450&lt;=($I$3*60+$J$3)/86400)+(J450&lt;&gt;"")*(J450&lt;=($M$3*60+$N$3)/86400)</f>
        <v>0</v>
      </c>
      <c r="N450" s="20"/>
      <c r="O450" s="20"/>
      <c r="P450" s="20"/>
      <c r="Q450" s="19"/>
    </row>
    <row r="451" customFormat="false" ht="15" hidden="false" customHeight="false" outlineLevel="0" collapsed="false">
      <c r="A451" s="10" t="n">
        <v>445</v>
      </c>
      <c r="B451" s="11" t="s">
        <v>794</v>
      </c>
      <c r="C451" s="12" t="s">
        <v>795</v>
      </c>
      <c r="D451" s="13" t="n">
        <v>0.0105856481481482</v>
      </c>
      <c r="E451" s="14" t="n">
        <v>446</v>
      </c>
      <c r="F451" s="15" t="n">
        <f aca="false">IF(D451="","",ROUND((D451-MIN($D$7:$D$9999))*86400,2))</f>
        <v>124.86</v>
      </c>
      <c r="G451" s="10" t="str">
        <f aca="false">IF(D451="","",IF(D451&lt;=($E$3*60+$F$3)/86400,"○",""))</f>
        <v/>
      </c>
      <c r="H451" s="16"/>
      <c r="I451" s="17"/>
      <c r="J451" s="16"/>
      <c r="K451" s="17"/>
      <c r="L451" s="17" t="n">
        <f aca="false">COUNT(E451,I451,K451)</f>
        <v>1</v>
      </c>
      <c r="M451" s="18" t="n">
        <f aca="false">(D451&lt;&gt;"")*(D451&lt;=($E$3*60+$F$3)/86400)+(H451&lt;&gt;"")*(H451&lt;=($I$3*60+$J$3)/86400)+(J451&lt;&gt;"")*(J451&lt;=($M$3*60+$N$3)/86400)</f>
        <v>0</v>
      </c>
      <c r="N451" s="20"/>
      <c r="O451" s="20"/>
      <c r="P451" s="20"/>
      <c r="Q451" s="19"/>
    </row>
    <row r="452" customFormat="false" ht="15" hidden="false" customHeight="false" outlineLevel="0" collapsed="false">
      <c r="A452" s="10" t="n">
        <v>446</v>
      </c>
      <c r="B452" s="11" t="s">
        <v>796</v>
      </c>
      <c r="C452" s="12" t="s">
        <v>67</v>
      </c>
      <c r="D452" s="13" t="n">
        <v>0.0105856481481482</v>
      </c>
      <c r="E452" s="14" t="n">
        <v>447</v>
      </c>
      <c r="F452" s="15" t="n">
        <f aca="false">IF(D452="","",ROUND((D452-MIN($D$7:$D$9999))*86400,2))</f>
        <v>124.86</v>
      </c>
      <c r="G452" s="10" t="str">
        <f aca="false">IF(D452="","",IF(D452&lt;=($E$3*60+$F$3)/86400,"○",""))</f>
        <v/>
      </c>
      <c r="H452" s="16" t="n">
        <v>0.00672800925925926</v>
      </c>
      <c r="I452" s="17" t="n">
        <v>118</v>
      </c>
      <c r="J452" s="16" t="n">
        <v>0.00275428240740741</v>
      </c>
      <c r="K452" s="17" t="n">
        <v>115</v>
      </c>
      <c r="L452" s="17" t="n">
        <f aca="false">COUNT(E452,I452,K452)</f>
        <v>3</v>
      </c>
      <c r="M452" s="18" t="n">
        <f aca="false">(D452&lt;&gt;"")*(D452&lt;=($E$3*60+$F$3)/86400)+(H452&lt;&gt;"")*(H452&lt;=($I$3*60+$J$3)/86400)+(J452&lt;&gt;"")*(J452&lt;=($M$3*60+$N$3)/86400)</f>
        <v>0</v>
      </c>
      <c r="N452" s="20"/>
      <c r="O452" s="20"/>
      <c r="P452" s="20"/>
      <c r="Q452" s="19"/>
    </row>
    <row r="453" customFormat="false" ht="15" hidden="false" customHeight="false" outlineLevel="0" collapsed="false">
      <c r="A453" s="10" t="n">
        <v>447</v>
      </c>
      <c r="B453" s="11" t="s">
        <v>797</v>
      </c>
      <c r="C453" s="12" t="s">
        <v>256</v>
      </c>
      <c r="D453" s="13" t="n">
        <v>0.0105861111111111</v>
      </c>
      <c r="E453" s="14" t="n">
        <v>448</v>
      </c>
      <c r="F453" s="15" t="n">
        <f aca="false">IF(D453="","",ROUND((D453-MIN($D$7:$D$9999))*86400,2))</f>
        <v>124.9</v>
      </c>
      <c r="G453" s="10" t="str">
        <f aca="false">IF(D453="","",IF(D453&lt;=($E$3*60+$F$3)/86400,"○",""))</f>
        <v/>
      </c>
      <c r="H453" s="16"/>
      <c r="I453" s="17"/>
      <c r="J453" s="16" t="n">
        <v>0.00292476851851852</v>
      </c>
      <c r="K453" s="17" t="n">
        <v>1143</v>
      </c>
      <c r="L453" s="17" t="n">
        <f aca="false">COUNT(E453,I453,K453)</f>
        <v>2</v>
      </c>
      <c r="M453" s="18" t="n">
        <f aca="false">(D453&lt;&gt;"")*(D453&lt;=($E$3*60+$F$3)/86400)+(H453&lt;&gt;"")*(H453&lt;=($I$3*60+$J$3)/86400)+(J453&lt;&gt;"")*(J453&lt;=($M$3*60+$N$3)/86400)</f>
        <v>0</v>
      </c>
      <c r="N453" s="20"/>
      <c r="O453" s="20"/>
      <c r="P453" s="20"/>
      <c r="Q453" s="19"/>
    </row>
    <row r="454" customFormat="false" ht="15" hidden="false" customHeight="false" outlineLevel="0" collapsed="false">
      <c r="A454" s="10" t="n">
        <v>448</v>
      </c>
      <c r="B454" s="11" t="s">
        <v>798</v>
      </c>
      <c r="C454" s="12" t="s">
        <v>799</v>
      </c>
      <c r="D454" s="13" t="n">
        <v>0.0105868055555556</v>
      </c>
      <c r="E454" s="14" t="n">
        <v>449</v>
      </c>
      <c r="F454" s="15" t="n">
        <f aca="false">IF(D454="","",ROUND((D454-MIN($D$7:$D$9999))*86400,2))</f>
        <v>124.96</v>
      </c>
      <c r="G454" s="10" t="str">
        <f aca="false">IF(D454="","",IF(D454&lt;=($E$3*60+$F$3)/86400,"○",""))</f>
        <v/>
      </c>
      <c r="H454" s="16"/>
      <c r="I454" s="17"/>
      <c r="J454" s="16"/>
      <c r="K454" s="17"/>
      <c r="L454" s="17" t="n">
        <f aca="false">COUNT(E454,I454,K454)</f>
        <v>1</v>
      </c>
      <c r="M454" s="18" t="n">
        <f aca="false">(D454&lt;&gt;"")*(D454&lt;=($E$3*60+$F$3)/86400)+(H454&lt;&gt;"")*(H454&lt;=($I$3*60+$J$3)/86400)+(J454&lt;&gt;"")*(J454&lt;=($M$3*60+$N$3)/86400)</f>
        <v>0</v>
      </c>
      <c r="N454" s="20"/>
      <c r="O454" s="20"/>
      <c r="P454" s="20"/>
      <c r="Q454" s="19"/>
    </row>
    <row r="455" customFormat="false" ht="15" hidden="false" customHeight="false" outlineLevel="0" collapsed="false">
      <c r="A455" s="10" t="n">
        <v>449</v>
      </c>
      <c r="B455" s="11" t="s">
        <v>800</v>
      </c>
      <c r="C455" s="12" t="s">
        <v>290</v>
      </c>
      <c r="D455" s="13" t="n">
        <v>0.0105872685185185</v>
      </c>
      <c r="E455" s="14" t="n">
        <v>450</v>
      </c>
      <c r="F455" s="15" t="n">
        <f aca="false">IF(D455="","",ROUND((D455-MIN($D$7:$D$9999))*86400,2))</f>
        <v>125</v>
      </c>
      <c r="G455" s="10" t="str">
        <f aca="false">IF(D455="","",IF(D455&lt;=($E$3*60+$F$3)/86400,"○",""))</f>
        <v/>
      </c>
      <c r="H455" s="16"/>
      <c r="I455" s="17"/>
      <c r="J455" s="16" t="n">
        <v>0.0028005787037037</v>
      </c>
      <c r="K455" s="17" t="n">
        <v>285</v>
      </c>
      <c r="L455" s="17" t="n">
        <f aca="false">COUNT(E455,I455,K455)</f>
        <v>2</v>
      </c>
      <c r="M455" s="18" t="n">
        <f aca="false">(D455&lt;&gt;"")*(D455&lt;=($E$3*60+$F$3)/86400)+(H455&lt;&gt;"")*(H455&lt;=($I$3*60+$J$3)/86400)+(J455&lt;&gt;"")*(J455&lt;=($M$3*60+$N$3)/86400)</f>
        <v>0</v>
      </c>
      <c r="N455" s="20"/>
      <c r="O455" s="20"/>
      <c r="P455" s="20"/>
      <c r="Q455" s="19"/>
    </row>
    <row r="456" customFormat="false" ht="15" hidden="false" customHeight="false" outlineLevel="0" collapsed="false">
      <c r="A456" s="10" t="n">
        <v>450</v>
      </c>
      <c r="B456" s="11" t="s">
        <v>801</v>
      </c>
      <c r="C456" s="12" t="s">
        <v>802</v>
      </c>
      <c r="D456" s="13" t="n">
        <v>0.0105877314814815</v>
      </c>
      <c r="E456" s="14" t="n">
        <v>451</v>
      </c>
      <c r="F456" s="15" t="n">
        <f aca="false">IF(D456="","",ROUND((D456-MIN($D$7:$D$9999))*86400,2))</f>
        <v>125.04</v>
      </c>
      <c r="G456" s="10" t="str">
        <f aca="false">IF(D456="","",IF(D456&lt;=($E$3*60+$F$3)/86400,"○",""))</f>
        <v/>
      </c>
      <c r="H456" s="16" t="n">
        <v>0.00641585648148148</v>
      </c>
      <c r="I456" s="17" t="n">
        <v>18</v>
      </c>
      <c r="J456" s="16" t="n">
        <v>0.00284467592592593</v>
      </c>
      <c r="K456" s="17" t="n">
        <v>532</v>
      </c>
      <c r="L456" s="17" t="n">
        <f aca="false">COUNT(E456,I456,K456)</f>
        <v>3</v>
      </c>
      <c r="M456" s="18" t="n">
        <f aca="false">(D456&lt;&gt;"")*(D456&lt;=($E$3*60+$F$3)/86400)+(H456&lt;&gt;"")*(H456&lt;=($I$3*60+$J$3)/86400)+(J456&lt;&gt;"")*(J456&lt;=($M$3*60+$N$3)/86400)</f>
        <v>1</v>
      </c>
      <c r="N456" s="20"/>
      <c r="O456" s="20"/>
      <c r="P456" s="20"/>
      <c r="Q456" s="19"/>
    </row>
    <row r="457" customFormat="false" ht="15" hidden="false" customHeight="false" outlineLevel="0" collapsed="false">
      <c r="A457" s="10" t="n">
        <v>451</v>
      </c>
      <c r="B457" s="11" t="s">
        <v>803</v>
      </c>
      <c r="C457" s="12" t="s">
        <v>71</v>
      </c>
      <c r="D457" s="13" t="n">
        <v>0.0105880787037037</v>
      </c>
      <c r="E457" s="14" t="n">
        <v>452</v>
      </c>
      <c r="F457" s="15" t="n">
        <f aca="false">IF(D457="","",ROUND((D457-MIN($D$7:$D$9999))*86400,2))</f>
        <v>125.07</v>
      </c>
      <c r="G457" s="10" t="str">
        <f aca="false">IF(D457="","",IF(D457&lt;=($E$3*60+$F$3)/86400,"○",""))</f>
        <v/>
      </c>
      <c r="H457" s="16"/>
      <c r="I457" s="17"/>
      <c r="J457" s="16" t="n">
        <v>0.00292222222222222</v>
      </c>
      <c r="K457" s="17" t="n">
        <v>1116</v>
      </c>
      <c r="L457" s="17" t="n">
        <f aca="false">COUNT(E457,I457,K457)</f>
        <v>2</v>
      </c>
      <c r="M457" s="18" t="n">
        <f aca="false">(D457&lt;&gt;"")*(D457&lt;=($E$3*60+$F$3)/86400)+(H457&lt;&gt;"")*(H457&lt;=($I$3*60+$J$3)/86400)+(J457&lt;&gt;"")*(J457&lt;=($M$3*60+$N$3)/86400)</f>
        <v>0</v>
      </c>
      <c r="N457" s="20"/>
      <c r="O457" s="20"/>
      <c r="P457" s="20"/>
      <c r="Q457" s="19"/>
    </row>
    <row r="458" customFormat="false" ht="15" hidden="false" customHeight="false" outlineLevel="0" collapsed="false">
      <c r="A458" s="10" t="n">
        <v>452</v>
      </c>
      <c r="B458" s="11" t="s">
        <v>804</v>
      </c>
      <c r="C458" s="12" t="s">
        <v>430</v>
      </c>
      <c r="D458" s="13" t="n">
        <v>0.0105891203703704</v>
      </c>
      <c r="E458" s="14" t="n">
        <v>453</v>
      </c>
      <c r="F458" s="15" t="n">
        <f aca="false">IF(D458="","",ROUND((D458-MIN($D$7:$D$9999))*86400,2))</f>
        <v>125.16</v>
      </c>
      <c r="G458" s="10" t="str">
        <f aca="false">IF(D458="","",IF(D458&lt;=($E$3*60+$F$3)/86400,"○",""))</f>
        <v/>
      </c>
      <c r="H458" s="16"/>
      <c r="I458" s="17"/>
      <c r="J458" s="16" t="n">
        <v>0.00277696759259259</v>
      </c>
      <c r="K458" s="17" t="n">
        <v>186</v>
      </c>
      <c r="L458" s="17" t="n">
        <f aca="false">COUNT(E458,I458,K458)</f>
        <v>2</v>
      </c>
      <c r="M458" s="18" t="n">
        <f aca="false">(D458&lt;&gt;"")*(D458&lt;=($E$3*60+$F$3)/86400)+(H458&lt;&gt;"")*(H458&lt;=($I$3*60+$J$3)/86400)+(J458&lt;&gt;"")*(J458&lt;=($M$3*60+$N$3)/86400)</f>
        <v>0</v>
      </c>
      <c r="N458" s="20"/>
      <c r="O458" s="20"/>
      <c r="P458" s="20"/>
      <c r="Q458" s="19"/>
    </row>
    <row r="459" customFormat="false" ht="15" hidden="false" customHeight="false" outlineLevel="0" collapsed="false">
      <c r="A459" s="10" t="n">
        <v>453</v>
      </c>
      <c r="B459" s="11" t="s">
        <v>805</v>
      </c>
      <c r="C459" s="12" t="s">
        <v>157</v>
      </c>
      <c r="D459" s="13" t="n">
        <v>0.0105902777777778</v>
      </c>
      <c r="E459" s="14" t="n">
        <v>454</v>
      </c>
      <c r="F459" s="15" t="n">
        <f aca="false">IF(D459="","",ROUND((D459-MIN($D$7:$D$9999))*86400,2))</f>
        <v>125.26</v>
      </c>
      <c r="G459" s="10" t="str">
        <f aca="false">IF(D459="","",IF(D459&lt;=($E$3*60+$F$3)/86400,"○",""))</f>
        <v/>
      </c>
      <c r="H459" s="16"/>
      <c r="I459" s="17"/>
      <c r="J459" s="16"/>
      <c r="K459" s="17"/>
      <c r="L459" s="17" t="n">
        <f aca="false">COUNT(E459,I459,K459)</f>
        <v>1</v>
      </c>
      <c r="M459" s="18" t="n">
        <f aca="false">(D459&lt;&gt;"")*(D459&lt;=($E$3*60+$F$3)/86400)+(H459&lt;&gt;"")*(H459&lt;=($I$3*60+$J$3)/86400)+(J459&lt;&gt;"")*(J459&lt;=($M$3*60+$N$3)/86400)</f>
        <v>0</v>
      </c>
      <c r="N459" s="20"/>
      <c r="O459" s="20"/>
      <c r="P459" s="20"/>
      <c r="Q459" s="19"/>
    </row>
    <row r="460" customFormat="false" ht="15" hidden="false" customHeight="false" outlineLevel="0" collapsed="false">
      <c r="A460" s="10" t="n">
        <v>454</v>
      </c>
      <c r="B460" s="11" t="s">
        <v>806</v>
      </c>
      <c r="C460" s="12" t="s">
        <v>65</v>
      </c>
      <c r="D460" s="13" t="n">
        <v>0.010590625</v>
      </c>
      <c r="E460" s="14" t="n">
        <v>455</v>
      </c>
      <c r="F460" s="15" t="n">
        <f aca="false">IF(D460="","",ROUND((D460-MIN($D$7:$D$9999))*86400,2))</f>
        <v>125.29</v>
      </c>
      <c r="G460" s="10" t="str">
        <f aca="false">IF(D460="","",IF(D460&lt;=($E$3*60+$F$3)/86400,"○",""))</f>
        <v/>
      </c>
      <c r="H460" s="16"/>
      <c r="I460" s="17"/>
      <c r="J460" s="16" t="n">
        <v>0.00289444444444445</v>
      </c>
      <c r="K460" s="17" t="n">
        <v>906</v>
      </c>
      <c r="L460" s="17" t="n">
        <f aca="false">COUNT(E460,I460,K460)</f>
        <v>2</v>
      </c>
      <c r="M460" s="18" t="n">
        <f aca="false">(D460&lt;&gt;"")*(D460&lt;=($E$3*60+$F$3)/86400)+(H460&lt;&gt;"")*(H460&lt;=($I$3*60+$J$3)/86400)+(J460&lt;&gt;"")*(J460&lt;=($M$3*60+$N$3)/86400)</f>
        <v>0</v>
      </c>
      <c r="N460" s="20"/>
      <c r="O460" s="20"/>
      <c r="P460" s="20"/>
      <c r="Q460" s="19"/>
    </row>
    <row r="461" customFormat="false" ht="15" hidden="false" customHeight="false" outlineLevel="0" collapsed="false">
      <c r="A461" s="10" t="n">
        <v>455</v>
      </c>
      <c r="B461" s="11" t="s">
        <v>807</v>
      </c>
      <c r="C461" s="12" t="s">
        <v>530</v>
      </c>
      <c r="D461" s="13" t="n">
        <v>0.0105909722222222</v>
      </c>
      <c r="E461" s="14" t="n">
        <v>456</v>
      </c>
      <c r="F461" s="15" t="n">
        <f aca="false">IF(D461="","",ROUND((D461-MIN($D$7:$D$9999))*86400,2))</f>
        <v>125.32</v>
      </c>
      <c r="G461" s="10" t="str">
        <f aca="false">IF(D461="","",IF(D461&lt;=($E$3*60+$F$3)/86400,"○",""))</f>
        <v/>
      </c>
      <c r="H461" s="16"/>
      <c r="I461" s="17"/>
      <c r="J461" s="16" t="n">
        <v>0.00286006944444445</v>
      </c>
      <c r="K461" s="17" t="n">
        <v>635</v>
      </c>
      <c r="L461" s="17" t="n">
        <f aca="false">COUNT(E461,I461,K461)</f>
        <v>2</v>
      </c>
      <c r="M461" s="18" t="n">
        <f aca="false">(D461&lt;&gt;"")*(D461&lt;=($E$3*60+$F$3)/86400)+(H461&lt;&gt;"")*(H461&lt;=($I$3*60+$J$3)/86400)+(J461&lt;&gt;"")*(J461&lt;=($M$3*60+$N$3)/86400)</f>
        <v>0</v>
      </c>
      <c r="N461" s="20"/>
      <c r="O461" s="20"/>
      <c r="P461" s="20"/>
      <c r="Q461" s="19"/>
    </row>
    <row r="462" customFormat="false" ht="15" hidden="false" customHeight="false" outlineLevel="0" collapsed="false">
      <c r="A462" s="10" t="n">
        <v>456</v>
      </c>
      <c r="B462" s="11" t="s">
        <v>808</v>
      </c>
      <c r="C462" s="12" t="s">
        <v>809</v>
      </c>
      <c r="D462" s="13" t="n">
        <v>0.0105912037037037</v>
      </c>
      <c r="E462" s="14" t="n">
        <v>457</v>
      </c>
      <c r="F462" s="15" t="n">
        <f aca="false">IF(D462="","",ROUND((D462-MIN($D$7:$D$9999))*86400,2))</f>
        <v>125.34</v>
      </c>
      <c r="G462" s="10" t="str">
        <f aca="false">IF(D462="","",IF(D462&lt;=($E$3*60+$F$3)/86400,"○",""))</f>
        <v/>
      </c>
      <c r="H462" s="16"/>
      <c r="I462" s="17"/>
      <c r="J462" s="16" t="n">
        <v>0.00278680555555556</v>
      </c>
      <c r="K462" s="17" t="n">
        <v>230</v>
      </c>
      <c r="L462" s="17" t="n">
        <f aca="false">COUNT(E462,I462,K462)</f>
        <v>2</v>
      </c>
      <c r="M462" s="18" t="n">
        <f aca="false">(D462&lt;&gt;"")*(D462&lt;=($E$3*60+$F$3)/86400)+(H462&lt;&gt;"")*(H462&lt;=($I$3*60+$J$3)/86400)+(J462&lt;&gt;"")*(J462&lt;=($M$3*60+$N$3)/86400)</f>
        <v>0</v>
      </c>
      <c r="N462" s="20"/>
      <c r="O462" s="20"/>
      <c r="P462" s="20"/>
      <c r="Q462" s="19"/>
    </row>
    <row r="463" customFormat="false" ht="15" hidden="false" customHeight="false" outlineLevel="0" collapsed="false">
      <c r="A463" s="10" t="n">
        <v>457</v>
      </c>
      <c r="B463" s="11" t="s">
        <v>810</v>
      </c>
      <c r="C463" s="12" t="s">
        <v>515</v>
      </c>
      <c r="D463" s="13" t="n">
        <v>0.0105918981481482</v>
      </c>
      <c r="E463" s="14" t="n">
        <v>458</v>
      </c>
      <c r="F463" s="15" t="n">
        <f aca="false">IF(D463="","",ROUND((D463-MIN($D$7:$D$9999))*86400,2))</f>
        <v>125.4</v>
      </c>
      <c r="G463" s="10" t="str">
        <f aca="false">IF(D463="","",IF(D463&lt;=($E$3*60+$F$3)/86400,"○",""))</f>
        <v/>
      </c>
      <c r="H463" s="16"/>
      <c r="I463" s="17"/>
      <c r="J463" s="16" t="n">
        <v>0.00273240740740741</v>
      </c>
      <c r="K463" s="17" t="n">
        <v>69</v>
      </c>
      <c r="L463" s="17" t="n">
        <f aca="false">COUNT(E463,I463,K463)</f>
        <v>2</v>
      </c>
      <c r="M463" s="18" t="n">
        <f aca="false">(D463&lt;&gt;"")*(D463&lt;=($E$3*60+$F$3)/86400)+(H463&lt;&gt;"")*(H463&lt;=($I$3*60+$J$3)/86400)+(J463&lt;&gt;"")*(J463&lt;=($M$3*60+$N$3)/86400)</f>
        <v>0</v>
      </c>
      <c r="N463" s="20"/>
      <c r="O463" s="20"/>
      <c r="P463" s="20"/>
      <c r="Q463" s="19"/>
    </row>
    <row r="464" customFormat="false" ht="15" hidden="false" customHeight="false" outlineLevel="0" collapsed="false">
      <c r="A464" s="10" t="n">
        <v>458</v>
      </c>
      <c r="B464" s="11" t="s">
        <v>811</v>
      </c>
      <c r="C464" s="12" t="s">
        <v>27</v>
      </c>
      <c r="D464" s="13" t="n">
        <v>0.0105923611111111</v>
      </c>
      <c r="E464" s="14" t="n">
        <v>459</v>
      </c>
      <c r="F464" s="15" t="n">
        <f aca="false">IF(D464="","",ROUND((D464-MIN($D$7:$D$9999))*86400,2))</f>
        <v>125.44</v>
      </c>
      <c r="G464" s="10" t="str">
        <f aca="false">IF(D464="","",IF(D464&lt;=($E$3*60+$F$3)/86400,"○",""))</f>
        <v/>
      </c>
      <c r="H464" s="16"/>
      <c r="I464" s="17"/>
      <c r="J464" s="16" t="n">
        <v>0.00290636574074074</v>
      </c>
      <c r="K464" s="17" t="n">
        <v>992</v>
      </c>
      <c r="L464" s="17" t="n">
        <f aca="false">COUNT(E464,I464,K464)</f>
        <v>2</v>
      </c>
      <c r="M464" s="18" t="n">
        <f aca="false">(D464&lt;&gt;"")*(D464&lt;=($E$3*60+$F$3)/86400)+(H464&lt;&gt;"")*(H464&lt;=($I$3*60+$J$3)/86400)+(J464&lt;&gt;"")*(J464&lt;=($M$3*60+$N$3)/86400)</f>
        <v>0</v>
      </c>
      <c r="N464" s="20"/>
      <c r="O464" s="20"/>
      <c r="P464" s="20"/>
      <c r="Q464" s="19"/>
    </row>
    <row r="465" customFormat="false" ht="15" hidden="false" customHeight="false" outlineLevel="0" collapsed="false">
      <c r="A465" s="10" t="n">
        <v>459</v>
      </c>
      <c r="B465" s="11" t="s">
        <v>812</v>
      </c>
      <c r="C465" s="12" t="s">
        <v>51</v>
      </c>
      <c r="D465" s="13" t="n">
        <v>0.0105972222222222</v>
      </c>
      <c r="E465" s="14" t="n">
        <v>460</v>
      </c>
      <c r="F465" s="15" t="n">
        <f aca="false">IF(D465="","",ROUND((D465-MIN($D$7:$D$9999))*86400,2))</f>
        <v>125.86</v>
      </c>
      <c r="G465" s="10" t="str">
        <f aca="false">IF(D465="","",IF(D465&lt;=($E$3*60+$F$3)/86400,"○",""))</f>
        <v/>
      </c>
      <c r="H465" s="16"/>
      <c r="I465" s="17"/>
      <c r="J465" s="16" t="n">
        <v>0.0028568287037037</v>
      </c>
      <c r="K465" s="17" t="n">
        <v>614</v>
      </c>
      <c r="L465" s="17" t="n">
        <f aca="false">COUNT(E465,I465,K465)</f>
        <v>2</v>
      </c>
      <c r="M465" s="18" t="n">
        <f aca="false">(D465&lt;&gt;"")*(D465&lt;=($E$3*60+$F$3)/86400)+(H465&lt;&gt;"")*(H465&lt;=($I$3*60+$J$3)/86400)+(J465&lt;&gt;"")*(J465&lt;=($M$3*60+$N$3)/86400)</f>
        <v>0</v>
      </c>
      <c r="N465" s="20"/>
      <c r="O465" s="20" t="s">
        <v>813</v>
      </c>
      <c r="P465" s="20"/>
      <c r="Q465" s="19"/>
    </row>
    <row r="466" customFormat="false" ht="15" hidden="false" customHeight="false" outlineLevel="0" collapsed="false">
      <c r="A466" s="10" t="n">
        <v>460</v>
      </c>
      <c r="B466" s="11" t="s">
        <v>814</v>
      </c>
      <c r="C466" s="12" t="s">
        <v>591</v>
      </c>
      <c r="D466" s="13" t="n">
        <v>0.0105988425925926</v>
      </c>
      <c r="E466" s="14" t="n">
        <v>461</v>
      </c>
      <c r="F466" s="15" t="n">
        <f aca="false">IF(D466="","",ROUND((D466-MIN($D$7:$D$9999))*86400,2))</f>
        <v>126</v>
      </c>
      <c r="G466" s="10" t="str">
        <f aca="false">IF(D466="","",IF(D466&lt;=($E$3*60+$F$3)/86400,"○",""))</f>
        <v/>
      </c>
      <c r="H466" s="16"/>
      <c r="I466" s="17"/>
      <c r="J466" s="16" t="n">
        <v>0.00270983796296296</v>
      </c>
      <c r="K466" s="17" t="n">
        <v>35</v>
      </c>
      <c r="L466" s="17" t="n">
        <f aca="false">COUNT(E466,I466,K466)</f>
        <v>2</v>
      </c>
      <c r="M466" s="18" t="n">
        <f aca="false">(D466&lt;&gt;"")*(D466&lt;=($E$3*60+$F$3)/86400)+(H466&lt;&gt;"")*(H466&lt;=($I$3*60+$J$3)/86400)+(J466&lt;&gt;"")*(J466&lt;=($M$3*60+$N$3)/86400)</f>
        <v>1</v>
      </c>
      <c r="N466" s="20" t="s">
        <v>815</v>
      </c>
      <c r="O466" s="20"/>
      <c r="P466" s="20"/>
      <c r="Q466" s="19"/>
    </row>
    <row r="467" customFormat="false" ht="15" hidden="false" customHeight="false" outlineLevel="0" collapsed="false">
      <c r="A467" s="10" t="n">
        <v>461</v>
      </c>
      <c r="B467" s="11" t="s">
        <v>816</v>
      </c>
      <c r="C467" s="12" t="s">
        <v>817</v>
      </c>
      <c r="D467" s="13" t="n">
        <v>0.0105994212962963</v>
      </c>
      <c r="E467" s="14" t="n">
        <v>462</v>
      </c>
      <c r="F467" s="15" t="n">
        <f aca="false">IF(D467="","",ROUND((D467-MIN($D$7:$D$9999))*86400,2))</f>
        <v>126.05</v>
      </c>
      <c r="G467" s="10" t="str">
        <f aca="false">IF(D467="","",IF(D467&lt;=($E$3*60+$F$3)/86400,"○",""))</f>
        <v/>
      </c>
      <c r="H467" s="16"/>
      <c r="I467" s="17"/>
      <c r="J467" s="16" t="n">
        <v>0.0027849537037037</v>
      </c>
      <c r="K467" s="17" t="n">
        <v>218</v>
      </c>
      <c r="L467" s="17" t="n">
        <f aca="false">COUNT(E467,I467,K467)</f>
        <v>2</v>
      </c>
      <c r="M467" s="18" t="n">
        <f aca="false">(D467&lt;&gt;"")*(D467&lt;=($E$3*60+$F$3)/86400)+(H467&lt;&gt;"")*(H467&lt;=($I$3*60+$J$3)/86400)+(J467&lt;&gt;"")*(J467&lt;=($M$3*60+$N$3)/86400)</f>
        <v>0</v>
      </c>
      <c r="N467" s="20"/>
      <c r="O467" s="20"/>
      <c r="P467" s="20"/>
      <c r="Q467" s="19"/>
    </row>
    <row r="468" customFormat="false" ht="15" hidden="false" customHeight="false" outlineLevel="0" collapsed="false">
      <c r="A468" s="10" t="n">
        <v>462</v>
      </c>
      <c r="B468" s="11" t="s">
        <v>818</v>
      </c>
      <c r="C468" s="12" t="s">
        <v>819</v>
      </c>
      <c r="D468" s="13" t="n">
        <v>0.0105996527777778</v>
      </c>
      <c r="E468" s="14" t="n">
        <v>463</v>
      </c>
      <c r="F468" s="15" t="n">
        <f aca="false">IF(D468="","",ROUND((D468-MIN($D$7:$D$9999))*86400,2))</f>
        <v>126.07</v>
      </c>
      <c r="G468" s="10" t="str">
        <f aca="false">IF(D468="","",IF(D468&lt;=($E$3*60+$F$3)/86400,"○",""))</f>
        <v/>
      </c>
      <c r="H468" s="16"/>
      <c r="I468" s="17"/>
      <c r="J468" s="16" t="n">
        <v>0.0028119212962963</v>
      </c>
      <c r="K468" s="17" t="n">
        <v>330</v>
      </c>
      <c r="L468" s="17" t="n">
        <f aca="false">COUNT(E468,I468,K468)</f>
        <v>2</v>
      </c>
      <c r="M468" s="18" t="n">
        <f aca="false">(D468&lt;&gt;"")*(D468&lt;=($E$3*60+$F$3)/86400)+(H468&lt;&gt;"")*(H468&lt;=($I$3*60+$J$3)/86400)+(J468&lt;&gt;"")*(J468&lt;=($M$3*60+$N$3)/86400)</f>
        <v>0</v>
      </c>
      <c r="N468" s="20"/>
      <c r="O468" s="20"/>
      <c r="P468" s="20"/>
      <c r="Q468" s="19"/>
    </row>
    <row r="469" customFormat="false" ht="15" hidden="false" customHeight="false" outlineLevel="0" collapsed="false">
      <c r="A469" s="10" t="n">
        <v>463</v>
      </c>
      <c r="B469" s="11" t="s">
        <v>820</v>
      </c>
      <c r="C469" s="12" t="s">
        <v>821</v>
      </c>
      <c r="D469" s="13" t="n">
        <v>0.010600462962963</v>
      </c>
      <c r="E469" s="14" t="n">
        <v>464</v>
      </c>
      <c r="F469" s="15" t="n">
        <f aca="false">IF(D469="","",ROUND((D469-MIN($D$7:$D$9999))*86400,2))</f>
        <v>126.14</v>
      </c>
      <c r="G469" s="10" t="str">
        <f aca="false">IF(D469="","",IF(D469&lt;=($E$3*60+$F$3)/86400,"○",""))</f>
        <v/>
      </c>
      <c r="H469" s="16" t="n">
        <v>0.00713217592592593</v>
      </c>
      <c r="I469" s="17" t="n">
        <v>475</v>
      </c>
      <c r="J469" s="16" t="n">
        <v>0.00287071759259259</v>
      </c>
      <c r="K469" s="17" t="n">
        <v>702</v>
      </c>
      <c r="L469" s="17" t="n">
        <f aca="false">COUNT(E469,I469,K469)</f>
        <v>3</v>
      </c>
      <c r="M469" s="18" t="n">
        <f aca="false">(D469&lt;&gt;"")*(D469&lt;=($E$3*60+$F$3)/86400)+(H469&lt;&gt;"")*(H469&lt;=($I$3*60+$J$3)/86400)+(J469&lt;&gt;"")*(J469&lt;=($M$3*60+$N$3)/86400)</f>
        <v>0</v>
      </c>
      <c r="N469" s="20"/>
      <c r="O469" s="20"/>
      <c r="P469" s="20"/>
      <c r="Q469" s="19"/>
    </row>
    <row r="470" customFormat="false" ht="15" hidden="false" customHeight="false" outlineLevel="0" collapsed="false">
      <c r="A470" s="10" t="n">
        <v>464</v>
      </c>
      <c r="B470" s="11" t="s">
        <v>822</v>
      </c>
      <c r="C470" s="12" t="s">
        <v>790</v>
      </c>
      <c r="D470" s="13" t="n">
        <v>0.0106020833333333</v>
      </c>
      <c r="E470" s="14" t="n">
        <v>465</v>
      </c>
      <c r="F470" s="15" t="n">
        <f aca="false">IF(D470="","",ROUND((D470-MIN($D$7:$D$9999))*86400,2))</f>
        <v>126.28</v>
      </c>
      <c r="G470" s="10" t="str">
        <f aca="false">IF(D470="","",IF(D470&lt;=($E$3*60+$F$3)/86400,"○",""))</f>
        <v/>
      </c>
      <c r="H470" s="16"/>
      <c r="I470" s="17"/>
      <c r="J470" s="16"/>
      <c r="K470" s="17"/>
      <c r="L470" s="17" t="n">
        <f aca="false">COUNT(E470,I470,K470)</f>
        <v>1</v>
      </c>
      <c r="M470" s="18" t="n">
        <f aca="false">(D470&lt;&gt;"")*(D470&lt;=($E$3*60+$F$3)/86400)+(H470&lt;&gt;"")*(H470&lt;=($I$3*60+$J$3)/86400)+(J470&lt;&gt;"")*(J470&lt;=($M$3*60+$N$3)/86400)</f>
        <v>0</v>
      </c>
      <c r="N470" s="20"/>
      <c r="O470" s="20"/>
      <c r="P470" s="20"/>
      <c r="Q470" s="19"/>
    </row>
    <row r="471" customFormat="false" ht="15" hidden="false" customHeight="false" outlineLevel="0" collapsed="false">
      <c r="A471" s="10" t="n">
        <v>465</v>
      </c>
      <c r="B471" s="11" t="s">
        <v>823</v>
      </c>
      <c r="C471" s="12" t="s">
        <v>824</v>
      </c>
      <c r="D471" s="13" t="n">
        <v>0.0106023148148148</v>
      </c>
      <c r="E471" s="14" t="n">
        <v>466</v>
      </c>
      <c r="F471" s="15" t="n">
        <f aca="false">IF(D471="","",ROUND((D471-MIN($D$7:$D$9999))*86400,2))</f>
        <v>126.3</v>
      </c>
      <c r="G471" s="10" t="str">
        <f aca="false">IF(D471="","",IF(D471&lt;=($E$3*60+$F$3)/86400,"○",""))</f>
        <v/>
      </c>
      <c r="H471" s="16"/>
      <c r="I471" s="17"/>
      <c r="J471" s="16" t="n">
        <v>0.00277002314814815</v>
      </c>
      <c r="K471" s="17" t="n">
        <v>164</v>
      </c>
      <c r="L471" s="17" t="n">
        <f aca="false">COUNT(E471,I471,K471)</f>
        <v>2</v>
      </c>
      <c r="M471" s="18" t="n">
        <f aca="false">(D471&lt;&gt;"")*(D471&lt;=($E$3*60+$F$3)/86400)+(H471&lt;&gt;"")*(H471&lt;=($I$3*60+$J$3)/86400)+(J471&lt;&gt;"")*(J471&lt;=($M$3*60+$N$3)/86400)</f>
        <v>0</v>
      </c>
      <c r="N471" s="20"/>
      <c r="O471" s="20"/>
      <c r="P471" s="20"/>
      <c r="Q471" s="19"/>
    </row>
    <row r="472" customFormat="false" ht="15" hidden="false" customHeight="false" outlineLevel="0" collapsed="false">
      <c r="A472" s="10" t="n">
        <v>466</v>
      </c>
      <c r="B472" s="11" t="s">
        <v>825</v>
      </c>
      <c r="C472" s="12" t="s">
        <v>601</v>
      </c>
      <c r="D472" s="13" t="n">
        <v>0.0106041666666667</v>
      </c>
      <c r="E472" s="14" t="n">
        <v>467</v>
      </c>
      <c r="F472" s="15" t="n">
        <f aca="false">IF(D472="","",ROUND((D472-MIN($D$7:$D$9999))*86400,2))</f>
        <v>126.46</v>
      </c>
      <c r="G472" s="10" t="str">
        <f aca="false">IF(D472="","",IF(D472&lt;=($E$3*60+$F$3)/86400,"○",""))</f>
        <v/>
      </c>
      <c r="H472" s="16"/>
      <c r="I472" s="17"/>
      <c r="J472" s="16" t="n">
        <v>0.00283263888888889</v>
      </c>
      <c r="K472" s="17" t="n">
        <v>443</v>
      </c>
      <c r="L472" s="17" t="n">
        <f aca="false">COUNT(E472,I472,K472)</f>
        <v>2</v>
      </c>
      <c r="M472" s="18" t="n">
        <f aca="false">(D472&lt;&gt;"")*(D472&lt;=($E$3*60+$F$3)/86400)+(H472&lt;&gt;"")*(H472&lt;=($I$3*60+$J$3)/86400)+(J472&lt;&gt;"")*(J472&lt;=($M$3*60+$N$3)/86400)</f>
        <v>0</v>
      </c>
      <c r="N472" s="20"/>
      <c r="O472" s="20"/>
      <c r="P472" s="20"/>
      <c r="Q472" s="19"/>
    </row>
    <row r="473" customFormat="false" ht="15" hidden="false" customHeight="false" outlineLevel="0" collapsed="false">
      <c r="A473" s="10" t="n">
        <v>467</v>
      </c>
      <c r="B473" s="11" t="s">
        <v>826</v>
      </c>
      <c r="C473" s="12" t="s">
        <v>186</v>
      </c>
      <c r="D473" s="13" t="n">
        <v>0.0106052083333333</v>
      </c>
      <c r="E473" s="14" t="n">
        <v>468</v>
      </c>
      <c r="F473" s="15" t="n">
        <f aca="false">IF(D473="","",ROUND((D473-MIN($D$7:$D$9999))*86400,2))</f>
        <v>126.55</v>
      </c>
      <c r="G473" s="10" t="str">
        <f aca="false">IF(D473="","",IF(D473&lt;=($E$3*60+$F$3)/86400,"○",""))</f>
        <v/>
      </c>
      <c r="H473" s="16" t="n">
        <v>0.00659479166666667</v>
      </c>
      <c r="I473" s="17" t="n">
        <v>67</v>
      </c>
      <c r="J473" s="16" t="n">
        <v>0.0027806712962963</v>
      </c>
      <c r="K473" s="17" t="n">
        <v>205</v>
      </c>
      <c r="L473" s="17" t="n">
        <f aca="false">COUNT(E473,I473,K473)</f>
        <v>3</v>
      </c>
      <c r="M473" s="18" t="n">
        <f aca="false">(D473&lt;&gt;"")*(D473&lt;=($E$3*60+$F$3)/86400)+(H473&lt;&gt;"")*(H473&lt;=($I$3*60+$J$3)/86400)+(J473&lt;&gt;"")*(J473&lt;=($M$3*60+$N$3)/86400)</f>
        <v>0</v>
      </c>
      <c r="N473" s="20" t="s">
        <v>827</v>
      </c>
      <c r="O473" s="20"/>
      <c r="P473" s="20"/>
      <c r="Q473" s="19"/>
    </row>
    <row r="474" customFormat="false" ht="15" hidden="false" customHeight="false" outlineLevel="0" collapsed="false">
      <c r="A474" s="10" t="n">
        <v>468</v>
      </c>
      <c r="B474" s="11" t="s">
        <v>828</v>
      </c>
      <c r="C474" s="12" t="s">
        <v>438</v>
      </c>
      <c r="D474" s="13" t="n">
        <v>0.0106054398148148</v>
      </c>
      <c r="E474" s="14" t="n">
        <v>469</v>
      </c>
      <c r="F474" s="15" t="n">
        <f aca="false">IF(D474="","",ROUND((D474-MIN($D$7:$D$9999))*86400,2))</f>
        <v>126.57</v>
      </c>
      <c r="G474" s="10" t="str">
        <f aca="false">IF(D474="","",IF(D474&lt;=($E$3*60+$F$3)/86400,"○",""))</f>
        <v/>
      </c>
      <c r="H474" s="16"/>
      <c r="I474" s="17"/>
      <c r="J474" s="16" t="n">
        <v>0.00286805555555556</v>
      </c>
      <c r="K474" s="17" t="n">
        <v>680</v>
      </c>
      <c r="L474" s="17" t="n">
        <f aca="false">COUNT(E474,I474,K474)</f>
        <v>2</v>
      </c>
      <c r="M474" s="18" t="n">
        <f aca="false">(D474&lt;&gt;"")*(D474&lt;=($E$3*60+$F$3)/86400)+(H474&lt;&gt;"")*(H474&lt;=($I$3*60+$J$3)/86400)+(J474&lt;&gt;"")*(J474&lt;=($M$3*60+$N$3)/86400)</f>
        <v>0</v>
      </c>
      <c r="N474" s="20"/>
      <c r="O474" s="20"/>
      <c r="P474" s="20"/>
      <c r="Q474" s="19"/>
    </row>
    <row r="475" customFormat="false" ht="15" hidden="false" customHeight="false" outlineLevel="0" collapsed="false">
      <c r="A475" s="10" t="n">
        <v>469</v>
      </c>
      <c r="B475" s="11" t="s">
        <v>829</v>
      </c>
      <c r="C475" s="12" t="s">
        <v>830</v>
      </c>
      <c r="D475" s="13" t="n">
        <v>0.01060625</v>
      </c>
      <c r="E475" s="14" t="n">
        <v>470</v>
      </c>
      <c r="F475" s="15" t="n">
        <f aca="false">IF(D475="","",ROUND((D475-MIN($D$7:$D$9999))*86400,2))</f>
        <v>126.64</v>
      </c>
      <c r="G475" s="10" t="str">
        <f aca="false">IF(D475="","",IF(D475&lt;=($E$3*60+$F$3)/86400,"○",""))</f>
        <v/>
      </c>
      <c r="H475" s="16"/>
      <c r="I475" s="17"/>
      <c r="J475" s="16" t="n">
        <v>0.00284606481481482</v>
      </c>
      <c r="K475" s="17" t="n">
        <v>543</v>
      </c>
      <c r="L475" s="17" t="n">
        <f aca="false">COUNT(E475,I475,K475)</f>
        <v>2</v>
      </c>
      <c r="M475" s="18" t="n">
        <f aca="false">(D475&lt;&gt;"")*(D475&lt;=($E$3*60+$F$3)/86400)+(H475&lt;&gt;"")*(H475&lt;=($I$3*60+$J$3)/86400)+(J475&lt;&gt;"")*(J475&lt;=($M$3*60+$N$3)/86400)</f>
        <v>0</v>
      </c>
      <c r="N475" s="20"/>
      <c r="O475" s="20"/>
      <c r="P475" s="20"/>
      <c r="Q475" s="19"/>
    </row>
    <row r="476" customFormat="false" ht="15" hidden="false" customHeight="false" outlineLevel="0" collapsed="false">
      <c r="A476" s="10" t="n">
        <v>470</v>
      </c>
      <c r="B476" s="11" t="s">
        <v>831</v>
      </c>
      <c r="C476" s="12" t="s">
        <v>438</v>
      </c>
      <c r="D476" s="13" t="n">
        <v>0.0106065972222222</v>
      </c>
      <c r="E476" s="14" t="n">
        <v>471</v>
      </c>
      <c r="F476" s="15" t="n">
        <f aca="false">IF(D476="","",ROUND((D476-MIN($D$7:$D$9999))*86400,2))</f>
        <v>126.67</v>
      </c>
      <c r="G476" s="10" t="str">
        <f aca="false">IF(D476="","",IF(D476&lt;=($E$3*60+$F$3)/86400,"○",""))</f>
        <v/>
      </c>
      <c r="H476" s="16"/>
      <c r="I476" s="17"/>
      <c r="J476" s="16" t="n">
        <v>0.00285358796296296</v>
      </c>
      <c r="K476" s="17" t="n">
        <v>589</v>
      </c>
      <c r="L476" s="17" t="n">
        <f aca="false">COUNT(E476,I476,K476)</f>
        <v>2</v>
      </c>
      <c r="M476" s="18" t="n">
        <f aca="false">(D476&lt;&gt;"")*(D476&lt;=($E$3*60+$F$3)/86400)+(H476&lt;&gt;"")*(H476&lt;=($I$3*60+$J$3)/86400)+(J476&lt;&gt;"")*(J476&lt;=($M$3*60+$N$3)/86400)</f>
        <v>0</v>
      </c>
      <c r="N476" s="20"/>
      <c r="O476" s="20"/>
      <c r="P476" s="20"/>
      <c r="Q476" s="19"/>
    </row>
    <row r="477" customFormat="false" ht="15" hidden="false" customHeight="false" outlineLevel="0" collapsed="false">
      <c r="A477" s="10" t="n">
        <v>471</v>
      </c>
      <c r="B477" s="11" t="s">
        <v>832</v>
      </c>
      <c r="C477" s="12" t="s">
        <v>290</v>
      </c>
      <c r="D477" s="13" t="n">
        <v>0.0106076388888889</v>
      </c>
      <c r="E477" s="14" t="n">
        <v>472</v>
      </c>
      <c r="F477" s="15" t="n">
        <f aca="false">IF(D477="","",ROUND((D477-MIN($D$7:$D$9999))*86400,2))</f>
        <v>126.76</v>
      </c>
      <c r="G477" s="10" t="str">
        <f aca="false">IF(D477="","",IF(D477&lt;=($E$3*60+$F$3)/86400,"○",""))</f>
        <v/>
      </c>
      <c r="H477" s="16"/>
      <c r="I477" s="17"/>
      <c r="J477" s="16"/>
      <c r="K477" s="17"/>
      <c r="L477" s="17" t="n">
        <f aca="false">COUNT(E477,I477,K477)</f>
        <v>1</v>
      </c>
      <c r="M477" s="18" t="n">
        <f aca="false">(D477&lt;&gt;"")*(D477&lt;=($E$3*60+$F$3)/86400)+(H477&lt;&gt;"")*(H477&lt;=($I$3*60+$J$3)/86400)+(J477&lt;&gt;"")*(J477&lt;=($M$3*60+$N$3)/86400)</f>
        <v>0</v>
      </c>
      <c r="N477" s="20"/>
      <c r="O477" s="20"/>
      <c r="P477" s="20"/>
      <c r="Q477" s="19"/>
    </row>
    <row r="478" customFormat="false" ht="15" hidden="false" customHeight="false" outlineLevel="0" collapsed="false">
      <c r="A478" s="10" t="n">
        <v>472</v>
      </c>
      <c r="B478" s="11" t="s">
        <v>833</v>
      </c>
      <c r="C478" s="12" t="s">
        <v>290</v>
      </c>
      <c r="D478" s="13" t="n">
        <v>0.0106081018518519</v>
      </c>
      <c r="E478" s="14" t="n">
        <v>473</v>
      </c>
      <c r="F478" s="15" t="n">
        <f aca="false">IF(D478="","",ROUND((D478-MIN($D$7:$D$9999))*86400,2))</f>
        <v>126.8</v>
      </c>
      <c r="G478" s="10" t="str">
        <f aca="false">IF(D478="","",IF(D478&lt;=($E$3*60+$F$3)/86400,"○",""))</f>
        <v/>
      </c>
      <c r="H478" s="16"/>
      <c r="I478" s="17"/>
      <c r="J478" s="16"/>
      <c r="K478" s="17"/>
      <c r="L478" s="17" t="n">
        <f aca="false">COUNT(E478,I478,K478)</f>
        <v>1</v>
      </c>
      <c r="M478" s="18" t="n">
        <f aca="false">(D478&lt;&gt;"")*(D478&lt;=($E$3*60+$F$3)/86400)+(H478&lt;&gt;"")*(H478&lt;=($I$3*60+$J$3)/86400)+(J478&lt;&gt;"")*(J478&lt;=($M$3*60+$N$3)/86400)</f>
        <v>0</v>
      </c>
      <c r="N478" s="20"/>
      <c r="O478" s="20"/>
      <c r="P478" s="20"/>
      <c r="Q478" s="19"/>
    </row>
    <row r="479" customFormat="false" ht="15" hidden="false" customHeight="false" outlineLevel="0" collapsed="false">
      <c r="A479" s="10" t="n">
        <v>473</v>
      </c>
      <c r="B479" s="11" t="s">
        <v>834</v>
      </c>
      <c r="C479" s="12" t="s">
        <v>67</v>
      </c>
      <c r="D479" s="13" t="n">
        <v>0.0106086805555556</v>
      </c>
      <c r="E479" s="14" t="n">
        <v>474</v>
      </c>
      <c r="F479" s="15" t="n">
        <f aca="false">IF(D479="","",ROUND((D479-MIN($D$7:$D$9999))*86400,2))</f>
        <v>126.85</v>
      </c>
      <c r="G479" s="10" t="str">
        <f aca="false">IF(D479="","",IF(D479&lt;=($E$3*60+$F$3)/86400,"○",""))</f>
        <v/>
      </c>
      <c r="H479" s="16" t="n">
        <v>0.00698622685185185</v>
      </c>
      <c r="I479" s="17" t="n">
        <v>321</v>
      </c>
      <c r="J479" s="16" t="n">
        <v>0.00279756944444445</v>
      </c>
      <c r="K479" s="17" t="n">
        <v>272</v>
      </c>
      <c r="L479" s="17" t="n">
        <f aca="false">COUNT(E479,I479,K479)</f>
        <v>3</v>
      </c>
      <c r="M479" s="18" t="n">
        <f aca="false">(D479&lt;&gt;"")*(D479&lt;=($E$3*60+$F$3)/86400)+(H479&lt;&gt;"")*(H479&lt;=($I$3*60+$J$3)/86400)+(J479&lt;&gt;"")*(J479&lt;=($M$3*60+$N$3)/86400)</f>
        <v>0</v>
      </c>
      <c r="N479" s="20" t="s">
        <v>835</v>
      </c>
      <c r="O479" s="20"/>
      <c r="P479" s="20"/>
      <c r="Q479" s="19"/>
    </row>
    <row r="480" customFormat="false" ht="15" hidden="false" customHeight="false" outlineLevel="0" collapsed="false">
      <c r="A480" s="10" t="n">
        <v>474</v>
      </c>
      <c r="B480" s="11" t="s">
        <v>836</v>
      </c>
      <c r="C480" s="12" t="s">
        <v>281</v>
      </c>
      <c r="D480" s="13" t="n">
        <v>0.0106106481481482</v>
      </c>
      <c r="E480" s="14" t="n">
        <v>475</v>
      </c>
      <c r="F480" s="15" t="n">
        <f aca="false">IF(D480="","",ROUND((D480-MIN($D$7:$D$9999))*86400,2))</f>
        <v>127.02</v>
      </c>
      <c r="G480" s="10" t="str">
        <f aca="false">IF(D480="","",IF(D480&lt;=($E$3*60+$F$3)/86400,"○",""))</f>
        <v/>
      </c>
      <c r="H480" s="16" t="n">
        <v>0.0068724537037037</v>
      </c>
      <c r="I480" s="17" t="n">
        <v>219</v>
      </c>
      <c r="J480" s="16"/>
      <c r="K480" s="17"/>
      <c r="L480" s="17" t="n">
        <f aca="false">COUNT(E480,I480,K480)</f>
        <v>2</v>
      </c>
      <c r="M480" s="18" t="n">
        <f aca="false">(D480&lt;&gt;"")*(D480&lt;=($E$3*60+$F$3)/86400)+(H480&lt;&gt;"")*(H480&lt;=($I$3*60+$J$3)/86400)+(J480&lt;&gt;"")*(J480&lt;=($M$3*60+$N$3)/86400)</f>
        <v>0</v>
      </c>
      <c r="N480" s="20"/>
      <c r="O480" s="20"/>
      <c r="P480" s="20"/>
      <c r="Q480" s="19"/>
    </row>
    <row r="481" customFormat="false" ht="15" hidden="false" customHeight="false" outlineLevel="0" collapsed="false">
      <c r="A481" s="10" t="n">
        <v>475</v>
      </c>
      <c r="B481" s="11" t="s">
        <v>837</v>
      </c>
      <c r="C481" s="12" t="s">
        <v>179</v>
      </c>
      <c r="D481" s="13" t="n">
        <v>0.0106106481481482</v>
      </c>
      <c r="E481" s="14" t="n">
        <v>476</v>
      </c>
      <c r="F481" s="15" t="n">
        <f aca="false">IF(D481="","",ROUND((D481-MIN($D$7:$D$9999))*86400,2))</f>
        <v>127.02</v>
      </c>
      <c r="G481" s="10" t="str">
        <f aca="false">IF(D481="","",IF(D481&lt;=($E$3*60+$F$3)/86400,"○",""))</f>
        <v/>
      </c>
      <c r="H481" s="16"/>
      <c r="I481" s="17"/>
      <c r="J481" s="16" t="n">
        <v>0.00281331018518519</v>
      </c>
      <c r="K481" s="17" t="n">
        <v>337</v>
      </c>
      <c r="L481" s="17" t="n">
        <f aca="false">COUNT(E481,I481,K481)</f>
        <v>2</v>
      </c>
      <c r="M481" s="18" t="n">
        <f aca="false">(D481&lt;&gt;"")*(D481&lt;=($E$3*60+$F$3)/86400)+(H481&lt;&gt;"")*(H481&lt;=($I$3*60+$J$3)/86400)+(J481&lt;&gt;"")*(J481&lt;=($M$3*60+$N$3)/86400)</f>
        <v>0</v>
      </c>
      <c r="N481" s="20" t="s">
        <v>838</v>
      </c>
      <c r="O481" s="20"/>
      <c r="P481" s="20"/>
      <c r="Q481" s="19"/>
    </row>
    <row r="482" customFormat="false" ht="15" hidden="false" customHeight="false" outlineLevel="0" collapsed="false">
      <c r="A482" s="10" t="n">
        <v>476</v>
      </c>
      <c r="B482" s="11" t="s">
        <v>839</v>
      </c>
      <c r="C482" s="12" t="s">
        <v>54</v>
      </c>
      <c r="D482" s="13" t="n">
        <v>0.0106108796296296</v>
      </c>
      <c r="E482" s="14" t="n">
        <v>477</v>
      </c>
      <c r="F482" s="15" t="n">
        <f aca="false">IF(D482="","",ROUND((D482-MIN($D$7:$D$9999))*86400,2))</f>
        <v>127.04</v>
      </c>
      <c r="G482" s="10" t="str">
        <f aca="false">IF(D482="","",IF(D482&lt;=($E$3*60+$F$3)/86400,"○",""))</f>
        <v/>
      </c>
      <c r="H482" s="16" t="n">
        <v>0.00667673611111111</v>
      </c>
      <c r="I482" s="17" t="n">
        <v>96</v>
      </c>
      <c r="J482" s="16" t="n">
        <v>0.00289733796296296</v>
      </c>
      <c r="K482" s="17" t="n">
        <v>929</v>
      </c>
      <c r="L482" s="17" t="n">
        <f aca="false">COUNT(E482,I482,K482)</f>
        <v>3</v>
      </c>
      <c r="M482" s="18" t="n">
        <f aca="false">(D482&lt;&gt;"")*(D482&lt;=($E$3*60+$F$3)/86400)+(H482&lt;&gt;"")*(H482&lt;=($I$3*60+$J$3)/86400)+(J482&lt;&gt;"")*(J482&lt;=($M$3*60+$N$3)/86400)</f>
        <v>0</v>
      </c>
      <c r="N482" s="20"/>
      <c r="O482" s="20"/>
      <c r="P482" s="20"/>
      <c r="Q482" s="19"/>
    </row>
    <row r="483" customFormat="false" ht="15" hidden="false" customHeight="false" outlineLevel="0" collapsed="false">
      <c r="A483" s="10" t="n">
        <v>477</v>
      </c>
      <c r="B483" s="11" t="s">
        <v>840</v>
      </c>
      <c r="C483" s="12" t="s">
        <v>728</v>
      </c>
      <c r="D483" s="13" t="n">
        <v>0.0106114583333333</v>
      </c>
      <c r="E483" s="14" t="n">
        <v>478</v>
      </c>
      <c r="F483" s="15" t="n">
        <f aca="false">IF(D483="","",ROUND((D483-MIN($D$7:$D$9999))*86400,2))</f>
        <v>127.09</v>
      </c>
      <c r="G483" s="10" t="str">
        <f aca="false">IF(D483="","",IF(D483&lt;=($E$3*60+$F$3)/86400,"○",""))</f>
        <v/>
      </c>
      <c r="H483" s="16"/>
      <c r="I483" s="17"/>
      <c r="J483" s="16" t="n">
        <v>0.00285543981481482</v>
      </c>
      <c r="K483" s="17" t="n">
        <v>599</v>
      </c>
      <c r="L483" s="17" t="n">
        <f aca="false">COUNT(E483,I483,K483)</f>
        <v>2</v>
      </c>
      <c r="M483" s="18" t="n">
        <f aca="false">(D483&lt;&gt;"")*(D483&lt;=($E$3*60+$F$3)/86400)+(H483&lt;&gt;"")*(H483&lt;=($I$3*60+$J$3)/86400)+(J483&lt;&gt;"")*(J483&lt;=($M$3*60+$N$3)/86400)</f>
        <v>0</v>
      </c>
      <c r="N483" s="20"/>
      <c r="O483" s="20" t="s">
        <v>841</v>
      </c>
      <c r="P483" s="20"/>
      <c r="Q483" s="19"/>
    </row>
    <row r="484" customFormat="false" ht="15" hidden="false" customHeight="false" outlineLevel="0" collapsed="false">
      <c r="A484" s="10" t="n">
        <v>478</v>
      </c>
      <c r="B484" s="11" t="s">
        <v>842</v>
      </c>
      <c r="C484" s="12" t="s">
        <v>71</v>
      </c>
      <c r="D484" s="13" t="n">
        <v>0.0106119212962963</v>
      </c>
      <c r="E484" s="14" t="n">
        <v>479</v>
      </c>
      <c r="F484" s="15" t="n">
        <f aca="false">IF(D484="","",ROUND((D484-MIN($D$7:$D$9999))*86400,2))</f>
        <v>127.13</v>
      </c>
      <c r="G484" s="10" t="str">
        <f aca="false">IF(D484="","",IF(D484&lt;=($E$3*60+$F$3)/86400,"○",""))</f>
        <v/>
      </c>
      <c r="H484" s="16" t="n">
        <v>0.00689525462962963</v>
      </c>
      <c r="I484" s="17" t="n">
        <v>236</v>
      </c>
      <c r="J484" s="16"/>
      <c r="K484" s="17"/>
      <c r="L484" s="17" t="n">
        <f aca="false">COUNT(E484,I484,K484)</f>
        <v>2</v>
      </c>
      <c r="M484" s="18" t="n">
        <f aca="false">(D484&lt;&gt;"")*(D484&lt;=($E$3*60+$F$3)/86400)+(H484&lt;&gt;"")*(H484&lt;=($I$3*60+$J$3)/86400)+(J484&lt;&gt;"")*(J484&lt;=($M$3*60+$N$3)/86400)</f>
        <v>0</v>
      </c>
      <c r="N484" s="20"/>
      <c r="O484" s="20"/>
      <c r="P484" s="20"/>
      <c r="Q484" s="19"/>
    </row>
    <row r="485" customFormat="false" ht="15" hidden="false" customHeight="false" outlineLevel="0" collapsed="false">
      <c r="A485" s="10" t="n">
        <v>479</v>
      </c>
      <c r="B485" s="11" t="s">
        <v>843</v>
      </c>
      <c r="C485" s="12" t="s">
        <v>127</v>
      </c>
      <c r="D485" s="13" t="n">
        <v>0.0106119212962963</v>
      </c>
      <c r="E485" s="14" t="n">
        <v>480</v>
      </c>
      <c r="F485" s="15" t="n">
        <f aca="false">IF(D485="","",ROUND((D485-MIN($D$7:$D$9999))*86400,2))</f>
        <v>127.13</v>
      </c>
      <c r="G485" s="10" t="str">
        <f aca="false">IF(D485="","",IF(D485&lt;=($E$3*60+$F$3)/86400,"○",""))</f>
        <v/>
      </c>
      <c r="H485" s="16"/>
      <c r="I485" s="17"/>
      <c r="J485" s="16" t="n">
        <v>0.00273506944444444</v>
      </c>
      <c r="K485" s="17" t="n">
        <v>72</v>
      </c>
      <c r="L485" s="17" t="n">
        <f aca="false">COUNT(E485,I485,K485)</f>
        <v>2</v>
      </c>
      <c r="M485" s="18" t="n">
        <f aca="false">(D485&lt;&gt;"")*(D485&lt;=($E$3*60+$F$3)/86400)+(H485&lt;&gt;"")*(H485&lt;=($I$3*60+$J$3)/86400)+(J485&lt;&gt;"")*(J485&lt;=($M$3*60+$N$3)/86400)</f>
        <v>0</v>
      </c>
      <c r="N485" s="20" t="s">
        <v>844</v>
      </c>
      <c r="O485" s="20"/>
      <c r="P485" s="20"/>
      <c r="Q485" s="19"/>
    </row>
    <row r="486" customFormat="false" ht="15" hidden="false" customHeight="false" outlineLevel="0" collapsed="false">
      <c r="A486" s="10" t="n">
        <v>480</v>
      </c>
      <c r="B486" s="11" t="s">
        <v>845</v>
      </c>
      <c r="C486" s="12" t="s">
        <v>846</v>
      </c>
      <c r="D486" s="13" t="n">
        <v>0.0106123842592593</v>
      </c>
      <c r="E486" s="14" t="n">
        <v>481</v>
      </c>
      <c r="F486" s="15" t="n">
        <f aca="false">IF(D486="","",ROUND((D486-MIN($D$7:$D$9999))*86400,2))</f>
        <v>127.17</v>
      </c>
      <c r="G486" s="10" t="str">
        <f aca="false">IF(D486="","",IF(D486&lt;=($E$3*60+$F$3)/86400,"○",""))</f>
        <v/>
      </c>
      <c r="H486" s="16"/>
      <c r="I486" s="17"/>
      <c r="J486" s="16" t="n">
        <v>0.00296493055555556</v>
      </c>
      <c r="K486" s="17" t="n">
        <v>1289</v>
      </c>
      <c r="L486" s="17" t="n">
        <f aca="false">COUNT(E486,I486,K486)</f>
        <v>2</v>
      </c>
      <c r="M486" s="18" t="n">
        <f aca="false">(D486&lt;&gt;"")*(D486&lt;=($E$3*60+$F$3)/86400)+(H486&lt;&gt;"")*(H486&lt;=($I$3*60+$J$3)/86400)+(J486&lt;&gt;"")*(J486&lt;=($M$3*60+$N$3)/86400)</f>
        <v>0</v>
      </c>
      <c r="N486" s="20"/>
      <c r="O486" s="20"/>
      <c r="P486" s="20"/>
      <c r="Q486" s="19"/>
    </row>
    <row r="487" customFormat="false" ht="15" hidden="false" customHeight="false" outlineLevel="0" collapsed="false">
      <c r="A487" s="10" t="n">
        <v>481</v>
      </c>
      <c r="B487" s="11" t="s">
        <v>847</v>
      </c>
      <c r="C487" s="12" t="s">
        <v>463</v>
      </c>
      <c r="D487" s="13" t="n">
        <v>0.0106128472222222</v>
      </c>
      <c r="E487" s="14" t="n">
        <v>482</v>
      </c>
      <c r="F487" s="15" t="n">
        <f aca="false">IF(D487="","",ROUND((D487-MIN($D$7:$D$9999))*86400,2))</f>
        <v>127.21</v>
      </c>
      <c r="G487" s="10" t="str">
        <f aca="false">IF(D487="","",IF(D487&lt;=($E$3*60+$F$3)/86400,"○",""))</f>
        <v/>
      </c>
      <c r="H487" s="16" t="n">
        <v>0.00723171296296296</v>
      </c>
      <c r="I487" s="17" t="n">
        <v>576</v>
      </c>
      <c r="J487" s="16" t="n">
        <v>0.00281458333333333</v>
      </c>
      <c r="K487" s="17" t="n">
        <v>341</v>
      </c>
      <c r="L487" s="17" t="n">
        <f aca="false">COUNT(E487,I487,K487)</f>
        <v>3</v>
      </c>
      <c r="M487" s="18" t="n">
        <f aca="false">(D487&lt;&gt;"")*(D487&lt;=($E$3*60+$F$3)/86400)+(H487&lt;&gt;"")*(H487&lt;=($I$3*60+$J$3)/86400)+(J487&lt;&gt;"")*(J487&lt;=($M$3*60+$N$3)/86400)</f>
        <v>0</v>
      </c>
      <c r="N487" s="20"/>
      <c r="O487" s="20" t="s">
        <v>848</v>
      </c>
      <c r="P487" s="20"/>
      <c r="Q487" s="19"/>
    </row>
    <row r="488" customFormat="false" ht="15" hidden="false" customHeight="false" outlineLevel="0" collapsed="false">
      <c r="A488" s="10" t="n">
        <v>482</v>
      </c>
      <c r="B488" s="11" t="s">
        <v>849</v>
      </c>
      <c r="C488" s="12" t="s">
        <v>380</v>
      </c>
      <c r="D488" s="13" t="n">
        <v>0.0106130787037037</v>
      </c>
      <c r="E488" s="14" t="n">
        <v>483</v>
      </c>
      <c r="F488" s="15" t="n">
        <f aca="false">IF(D488="","",ROUND((D488-MIN($D$7:$D$9999))*86400,2))</f>
        <v>127.23</v>
      </c>
      <c r="G488" s="10" t="str">
        <f aca="false">IF(D488="","",IF(D488&lt;=($E$3*60+$F$3)/86400,"○",""))</f>
        <v/>
      </c>
      <c r="H488" s="16"/>
      <c r="I488" s="17"/>
      <c r="J488" s="16" t="n">
        <v>0.00282997685185185</v>
      </c>
      <c r="K488" s="17" t="n">
        <v>427</v>
      </c>
      <c r="L488" s="17" t="n">
        <f aca="false">COUNT(E488,I488,K488)</f>
        <v>2</v>
      </c>
      <c r="M488" s="18" t="n">
        <f aca="false">(D488&lt;&gt;"")*(D488&lt;=($E$3*60+$F$3)/86400)+(H488&lt;&gt;"")*(H488&lt;=($I$3*60+$J$3)/86400)+(J488&lt;&gt;"")*(J488&lt;=($M$3*60+$N$3)/86400)</f>
        <v>0</v>
      </c>
      <c r="N488" s="20"/>
      <c r="O488" s="20"/>
      <c r="P488" s="20"/>
      <c r="Q488" s="19"/>
    </row>
    <row r="489" customFormat="false" ht="15" hidden="false" customHeight="false" outlineLevel="0" collapsed="false">
      <c r="A489" s="10" t="n">
        <v>483</v>
      </c>
      <c r="B489" s="11" t="s">
        <v>850</v>
      </c>
      <c r="C489" s="12" t="s">
        <v>380</v>
      </c>
      <c r="D489" s="13" t="n">
        <v>0.0106134259259259</v>
      </c>
      <c r="E489" s="14" t="n">
        <v>484</v>
      </c>
      <c r="F489" s="15" t="n">
        <f aca="false">IF(D489="","",ROUND((D489-MIN($D$7:$D$9999))*86400,2))</f>
        <v>127.26</v>
      </c>
      <c r="G489" s="10" t="str">
        <f aca="false">IF(D489="","",IF(D489&lt;=($E$3*60+$F$3)/86400,"○",""))</f>
        <v/>
      </c>
      <c r="H489" s="16"/>
      <c r="I489" s="17"/>
      <c r="J489" s="16" t="n">
        <v>0.00290416666666667</v>
      </c>
      <c r="K489" s="17" t="n">
        <v>980</v>
      </c>
      <c r="L489" s="17" t="n">
        <f aca="false">COUNT(E489,I489,K489)</f>
        <v>2</v>
      </c>
      <c r="M489" s="18" t="n">
        <f aca="false">(D489&lt;&gt;"")*(D489&lt;=($E$3*60+$F$3)/86400)+(H489&lt;&gt;"")*(H489&lt;=($I$3*60+$J$3)/86400)+(J489&lt;&gt;"")*(J489&lt;=($M$3*60+$N$3)/86400)</f>
        <v>0</v>
      </c>
      <c r="N489" s="20"/>
      <c r="O489" s="20"/>
      <c r="P489" s="20"/>
      <c r="Q489" s="19"/>
    </row>
    <row r="490" customFormat="false" ht="15" hidden="false" customHeight="false" outlineLevel="0" collapsed="false">
      <c r="A490" s="10" t="n">
        <v>484</v>
      </c>
      <c r="B490" s="11" t="s">
        <v>851</v>
      </c>
      <c r="C490" s="12" t="s">
        <v>852</v>
      </c>
      <c r="D490" s="13" t="n">
        <v>0.0106138888888889</v>
      </c>
      <c r="E490" s="14" t="n">
        <v>485</v>
      </c>
      <c r="F490" s="15" t="n">
        <f aca="false">IF(D490="","",ROUND((D490-MIN($D$7:$D$9999))*86400,2))</f>
        <v>127.3</v>
      </c>
      <c r="G490" s="10" t="str">
        <f aca="false">IF(D490="","",IF(D490&lt;=($E$3*60+$F$3)/86400,"○",""))</f>
        <v/>
      </c>
      <c r="H490" s="16"/>
      <c r="I490" s="17"/>
      <c r="J490" s="16" t="n">
        <v>0.0028306712962963</v>
      </c>
      <c r="K490" s="17" t="n">
        <v>431</v>
      </c>
      <c r="L490" s="17" t="n">
        <f aca="false">COUNT(E490,I490,K490)</f>
        <v>2</v>
      </c>
      <c r="M490" s="18" t="n">
        <f aca="false">(D490&lt;&gt;"")*(D490&lt;=($E$3*60+$F$3)/86400)+(H490&lt;&gt;"")*(H490&lt;=($I$3*60+$J$3)/86400)+(J490&lt;&gt;"")*(J490&lt;=($M$3*60+$N$3)/86400)</f>
        <v>0</v>
      </c>
      <c r="N490" s="20"/>
      <c r="O490" s="20"/>
      <c r="P490" s="20"/>
      <c r="Q490" s="19"/>
    </row>
    <row r="491" customFormat="false" ht="15" hidden="false" customHeight="false" outlineLevel="0" collapsed="false">
      <c r="A491" s="10" t="n">
        <v>485</v>
      </c>
      <c r="B491" s="11" t="s">
        <v>853</v>
      </c>
      <c r="C491" s="12" t="s">
        <v>103</v>
      </c>
      <c r="D491" s="13" t="n">
        <v>0.010615625</v>
      </c>
      <c r="E491" s="14" t="n">
        <v>486</v>
      </c>
      <c r="F491" s="15" t="n">
        <f aca="false">IF(D491="","",ROUND((D491-MIN($D$7:$D$9999))*86400,2))</f>
        <v>127.45</v>
      </c>
      <c r="G491" s="10" t="str">
        <f aca="false">IF(D491="","",IF(D491&lt;=($E$3*60+$F$3)/86400,"○",""))</f>
        <v/>
      </c>
      <c r="H491" s="16"/>
      <c r="I491" s="17"/>
      <c r="J491" s="16" t="n">
        <v>0.00279027777777778</v>
      </c>
      <c r="K491" s="17" t="n">
        <v>239</v>
      </c>
      <c r="L491" s="17" t="n">
        <f aca="false">COUNT(E491,I491,K491)</f>
        <v>2</v>
      </c>
      <c r="M491" s="18" t="n">
        <f aca="false">(D491&lt;&gt;"")*(D491&lt;=($E$3*60+$F$3)/86400)+(H491&lt;&gt;"")*(H491&lt;=($I$3*60+$J$3)/86400)+(J491&lt;&gt;"")*(J491&lt;=($M$3*60+$N$3)/86400)</f>
        <v>0</v>
      </c>
      <c r="N491" s="20" t="s">
        <v>854</v>
      </c>
      <c r="O491" s="20"/>
      <c r="P491" s="20"/>
      <c r="Q491" s="19"/>
    </row>
    <row r="492" customFormat="false" ht="15" hidden="false" customHeight="false" outlineLevel="0" collapsed="false">
      <c r="A492" s="10" t="n">
        <v>486</v>
      </c>
      <c r="B492" s="11" t="s">
        <v>855</v>
      </c>
      <c r="C492" s="12" t="s">
        <v>711</v>
      </c>
      <c r="D492" s="13" t="n">
        <v>0.0106157407407407</v>
      </c>
      <c r="E492" s="14" t="n">
        <v>487</v>
      </c>
      <c r="F492" s="15" t="n">
        <f aca="false">IF(D492="","",ROUND((D492-MIN($D$7:$D$9999))*86400,2))</f>
        <v>127.46</v>
      </c>
      <c r="G492" s="10" t="str">
        <f aca="false">IF(D492="","",IF(D492&lt;=($E$3*60+$F$3)/86400,"○",""))</f>
        <v/>
      </c>
      <c r="H492" s="16" t="n">
        <v>0.00645543981481482</v>
      </c>
      <c r="I492" s="17" t="n">
        <v>23</v>
      </c>
      <c r="J492" s="16" t="n">
        <v>0.00290162037037037</v>
      </c>
      <c r="K492" s="17" t="n">
        <v>960</v>
      </c>
      <c r="L492" s="17" t="n">
        <f aca="false">COUNT(E492,I492,K492)</f>
        <v>3</v>
      </c>
      <c r="M492" s="18" t="n">
        <f aca="false">(D492&lt;&gt;"")*(D492&lt;=($E$3*60+$F$3)/86400)+(H492&lt;&gt;"")*(H492&lt;=($I$3*60+$J$3)/86400)+(J492&lt;&gt;"")*(J492&lt;=($M$3*60+$N$3)/86400)</f>
        <v>1</v>
      </c>
      <c r="N492" s="20"/>
      <c r="O492" s="20"/>
      <c r="P492" s="20"/>
      <c r="Q492" s="19"/>
    </row>
    <row r="493" customFormat="false" ht="15" hidden="false" customHeight="false" outlineLevel="0" collapsed="false">
      <c r="A493" s="10" t="n">
        <v>487</v>
      </c>
      <c r="B493" s="11" t="s">
        <v>856</v>
      </c>
      <c r="C493" s="12" t="s">
        <v>565</v>
      </c>
      <c r="D493" s="13" t="n">
        <v>0.010616087962963</v>
      </c>
      <c r="E493" s="14" t="n">
        <v>488</v>
      </c>
      <c r="F493" s="15" t="n">
        <f aca="false">IF(D493="","",ROUND((D493-MIN($D$7:$D$9999))*86400,2))</f>
        <v>127.49</v>
      </c>
      <c r="G493" s="10" t="str">
        <f aca="false">IF(D493="","",IF(D493&lt;=($E$3*60+$F$3)/86400,"○",""))</f>
        <v/>
      </c>
      <c r="H493" s="16"/>
      <c r="I493" s="17"/>
      <c r="J493" s="16" t="n">
        <v>0.00282650462962963</v>
      </c>
      <c r="K493" s="17" t="n">
        <v>402</v>
      </c>
      <c r="L493" s="17" t="n">
        <f aca="false">COUNT(E493,I493,K493)</f>
        <v>2</v>
      </c>
      <c r="M493" s="18" t="n">
        <f aca="false">(D493&lt;&gt;"")*(D493&lt;=($E$3*60+$F$3)/86400)+(H493&lt;&gt;"")*(H493&lt;=($I$3*60+$J$3)/86400)+(J493&lt;&gt;"")*(J493&lt;=($M$3*60+$N$3)/86400)</f>
        <v>0</v>
      </c>
      <c r="N493" s="20"/>
      <c r="O493" s="20"/>
      <c r="P493" s="20"/>
      <c r="Q493" s="19"/>
    </row>
    <row r="494" customFormat="false" ht="15" hidden="false" customHeight="false" outlineLevel="0" collapsed="false">
      <c r="A494" s="10" t="n">
        <v>488</v>
      </c>
      <c r="B494" s="11" t="s">
        <v>857</v>
      </c>
      <c r="C494" s="12" t="s">
        <v>858</v>
      </c>
      <c r="D494" s="13" t="n">
        <v>0.0106162037037037</v>
      </c>
      <c r="E494" s="14" t="n">
        <v>489</v>
      </c>
      <c r="F494" s="15" t="n">
        <f aca="false">IF(D494="","",ROUND((D494-MIN($D$7:$D$9999))*86400,2))</f>
        <v>127.5</v>
      </c>
      <c r="G494" s="10" t="str">
        <f aca="false">IF(D494="","",IF(D494&lt;=($E$3*60+$F$3)/86400,"○",""))</f>
        <v/>
      </c>
      <c r="H494" s="16" t="n">
        <v>0.00656377314814815</v>
      </c>
      <c r="I494" s="17" t="n">
        <v>51</v>
      </c>
      <c r="J494" s="16" t="n">
        <v>0.00284421296296296</v>
      </c>
      <c r="K494" s="17" t="n">
        <v>528</v>
      </c>
      <c r="L494" s="17" t="n">
        <f aca="false">COUNT(E494,I494,K494)</f>
        <v>3</v>
      </c>
      <c r="M494" s="18" t="n">
        <f aca="false">(D494&lt;&gt;"")*(D494&lt;=($E$3*60+$F$3)/86400)+(H494&lt;&gt;"")*(H494&lt;=($I$3*60+$J$3)/86400)+(J494&lt;&gt;"")*(J494&lt;=($M$3*60+$N$3)/86400)</f>
        <v>0</v>
      </c>
      <c r="N494" s="20"/>
      <c r="O494" s="20"/>
      <c r="P494" s="20"/>
      <c r="Q494" s="19"/>
    </row>
    <row r="495" customFormat="false" ht="15" hidden="false" customHeight="false" outlineLevel="0" collapsed="false">
      <c r="A495" s="10" t="n">
        <v>489</v>
      </c>
      <c r="B495" s="11" t="s">
        <v>859</v>
      </c>
      <c r="C495" s="12" t="s">
        <v>860</v>
      </c>
      <c r="D495" s="13" t="n">
        <v>0.0106164351851852</v>
      </c>
      <c r="E495" s="14" t="n">
        <v>490</v>
      </c>
      <c r="F495" s="15" t="n">
        <f aca="false">IF(D495="","",ROUND((D495-MIN($D$7:$D$9999))*86400,2))</f>
        <v>127.52</v>
      </c>
      <c r="G495" s="10" t="str">
        <f aca="false">IF(D495="","",IF(D495&lt;=($E$3*60+$F$3)/86400,"○",""))</f>
        <v/>
      </c>
      <c r="H495" s="16" t="n">
        <v>0.00720949074074074</v>
      </c>
      <c r="I495" s="17" t="n">
        <v>546</v>
      </c>
      <c r="J495" s="16" t="n">
        <v>0.00291678240740741</v>
      </c>
      <c r="K495" s="17" t="n">
        <v>1064</v>
      </c>
      <c r="L495" s="17" t="n">
        <f aca="false">COUNT(E495,I495,K495)</f>
        <v>3</v>
      </c>
      <c r="M495" s="18" t="n">
        <f aca="false">(D495&lt;&gt;"")*(D495&lt;=($E$3*60+$F$3)/86400)+(H495&lt;&gt;"")*(H495&lt;=($I$3*60+$J$3)/86400)+(J495&lt;&gt;"")*(J495&lt;=($M$3*60+$N$3)/86400)</f>
        <v>0</v>
      </c>
      <c r="N495" s="20"/>
      <c r="O495" s="20"/>
      <c r="P495" s="20"/>
      <c r="Q495" s="19"/>
    </row>
    <row r="496" customFormat="false" ht="15" hidden="false" customHeight="false" outlineLevel="0" collapsed="false">
      <c r="A496" s="10" t="n">
        <v>490</v>
      </c>
      <c r="B496" s="11" t="s">
        <v>861</v>
      </c>
      <c r="C496" s="12" t="s">
        <v>240</v>
      </c>
      <c r="D496" s="13" t="n">
        <v>0.0106170138888889</v>
      </c>
      <c r="E496" s="14" t="n">
        <v>491</v>
      </c>
      <c r="F496" s="15" t="n">
        <f aca="false">IF(D496="","",ROUND((D496-MIN($D$7:$D$9999))*86400,2))</f>
        <v>127.57</v>
      </c>
      <c r="G496" s="10" t="str">
        <f aca="false">IF(D496="","",IF(D496&lt;=($E$3*60+$F$3)/86400,"○",""))</f>
        <v/>
      </c>
      <c r="H496" s="16"/>
      <c r="I496" s="17"/>
      <c r="J496" s="16" t="n">
        <v>0.00273449074074074</v>
      </c>
      <c r="K496" s="17" t="n">
        <v>71</v>
      </c>
      <c r="L496" s="17" t="n">
        <f aca="false">COUNT(E496,I496,K496)</f>
        <v>2</v>
      </c>
      <c r="M496" s="18" t="n">
        <f aca="false">(D496&lt;&gt;"")*(D496&lt;=($E$3*60+$F$3)/86400)+(H496&lt;&gt;"")*(H496&lt;=($I$3*60+$J$3)/86400)+(J496&lt;&gt;"")*(J496&lt;=($M$3*60+$N$3)/86400)</f>
        <v>0</v>
      </c>
      <c r="N496" s="20"/>
      <c r="O496" s="20"/>
      <c r="P496" s="20"/>
      <c r="Q496" s="19"/>
    </row>
    <row r="497" customFormat="false" ht="15" hidden="false" customHeight="false" outlineLevel="0" collapsed="false">
      <c r="A497" s="10" t="n">
        <v>491</v>
      </c>
      <c r="B497" s="11" t="s">
        <v>862</v>
      </c>
      <c r="C497" s="12" t="s">
        <v>96</v>
      </c>
      <c r="D497" s="13" t="n">
        <v>0.0106173611111111</v>
      </c>
      <c r="E497" s="14" t="n">
        <v>492</v>
      </c>
      <c r="F497" s="15" t="n">
        <f aca="false">IF(D497="","",ROUND((D497-MIN($D$7:$D$9999))*86400,2))</f>
        <v>127.6</v>
      </c>
      <c r="G497" s="10" t="str">
        <f aca="false">IF(D497="","",IF(D497&lt;=($E$3*60+$F$3)/86400,"○",""))</f>
        <v/>
      </c>
      <c r="H497" s="16"/>
      <c r="I497" s="17"/>
      <c r="J497" s="16" t="n">
        <v>0.00284305555555556</v>
      </c>
      <c r="K497" s="17" t="n">
        <v>516</v>
      </c>
      <c r="L497" s="17" t="n">
        <f aca="false">COUNT(E497,I497,K497)</f>
        <v>2</v>
      </c>
      <c r="M497" s="18" t="n">
        <f aca="false">(D497&lt;&gt;"")*(D497&lt;=($E$3*60+$F$3)/86400)+(H497&lt;&gt;"")*(H497&lt;=($I$3*60+$J$3)/86400)+(J497&lt;&gt;"")*(J497&lt;=($M$3*60+$N$3)/86400)</f>
        <v>0</v>
      </c>
      <c r="N497" s="20"/>
      <c r="O497" s="20"/>
      <c r="P497" s="20"/>
      <c r="Q497" s="19"/>
    </row>
    <row r="498" customFormat="false" ht="15" hidden="false" customHeight="false" outlineLevel="0" collapsed="false">
      <c r="A498" s="10" t="n">
        <v>492</v>
      </c>
      <c r="B498" s="11" t="s">
        <v>863</v>
      </c>
      <c r="C498" s="12" t="s">
        <v>864</v>
      </c>
      <c r="D498" s="13" t="n">
        <v>0.0106174768518519</v>
      </c>
      <c r="E498" s="14" t="n">
        <v>493</v>
      </c>
      <c r="F498" s="15" t="n">
        <f aca="false">IF(D498="","",ROUND((D498-MIN($D$7:$D$9999))*86400,2))</f>
        <v>127.61</v>
      </c>
      <c r="G498" s="10" t="str">
        <f aca="false">IF(D498="","",IF(D498&lt;=($E$3*60+$F$3)/86400,"○",""))</f>
        <v/>
      </c>
      <c r="H498" s="16"/>
      <c r="I498" s="17"/>
      <c r="J498" s="16"/>
      <c r="K498" s="17"/>
      <c r="L498" s="17" t="n">
        <f aca="false">COUNT(E498,I498,K498)</f>
        <v>1</v>
      </c>
      <c r="M498" s="18" t="n">
        <f aca="false">(D498&lt;&gt;"")*(D498&lt;=($E$3*60+$F$3)/86400)+(H498&lt;&gt;"")*(H498&lt;=($I$3*60+$J$3)/86400)+(J498&lt;&gt;"")*(J498&lt;=($M$3*60+$N$3)/86400)</f>
        <v>0</v>
      </c>
      <c r="N498" s="20"/>
      <c r="O498" s="20" t="s">
        <v>865</v>
      </c>
      <c r="P498" s="20"/>
      <c r="Q498" s="19"/>
    </row>
    <row r="499" customFormat="false" ht="15" hidden="false" customHeight="false" outlineLevel="0" collapsed="false">
      <c r="A499" s="10" t="n">
        <v>493</v>
      </c>
      <c r="B499" s="11" t="s">
        <v>866</v>
      </c>
      <c r="C499" s="12" t="s">
        <v>179</v>
      </c>
      <c r="D499" s="13" t="n">
        <v>0.0106181712962963</v>
      </c>
      <c r="E499" s="14" t="n">
        <v>494</v>
      </c>
      <c r="F499" s="15" t="n">
        <f aca="false">IF(D499="","",ROUND((D499-MIN($D$7:$D$9999))*86400,2))</f>
        <v>127.67</v>
      </c>
      <c r="G499" s="10" t="str">
        <f aca="false">IF(D499="","",IF(D499&lt;=($E$3*60+$F$3)/86400,"○",""))</f>
        <v/>
      </c>
      <c r="H499" s="16"/>
      <c r="I499" s="17"/>
      <c r="J499" s="16" t="n">
        <v>0.00287581018518519</v>
      </c>
      <c r="K499" s="17" t="n">
        <v>738</v>
      </c>
      <c r="L499" s="17" t="n">
        <f aca="false">COUNT(E499,I499,K499)</f>
        <v>2</v>
      </c>
      <c r="M499" s="18" t="n">
        <f aca="false">(D499&lt;&gt;"")*(D499&lt;=($E$3*60+$F$3)/86400)+(H499&lt;&gt;"")*(H499&lt;=($I$3*60+$J$3)/86400)+(J499&lt;&gt;"")*(J499&lt;=($M$3*60+$N$3)/86400)</f>
        <v>0</v>
      </c>
      <c r="N499" s="20" t="s">
        <v>867</v>
      </c>
      <c r="O499" s="20"/>
      <c r="P499" s="20"/>
      <c r="Q499" s="19"/>
    </row>
    <row r="500" customFormat="false" ht="15" hidden="false" customHeight="false" outlineLevel="0" collapsed="false">
      <c r="A500" s="10" t="n">
        <v>494</v>
      </c>
      <c r="B500" s="11" t="s">
        <v>868</v>
      </c>
      <c r="C500" s="12" t="s">
        <v>869</v>
      </c>
      <c r="D500" s="13" t="n">
        <v>0.0106184027777778</v>
      </c>
      <c r="E500" s="14" t="n">
        <v>495</v>
      </c>
      <c r="F500" s="15" t="n">
        <f aca="false">IF(D500="","",ROUND((D500-MIN($D$7:$D$9999))*86400,2))</f>
        <v>127.69</v>
      </c>
      <c r="G500" s="10" t="str">
        <f aca="false">IF(D500="","",IF(D500&lt;=($E$3*60+$F$3)/86400,"○",""))</f>
        <v/>
      </c>
      <c r="H500" s="16" t="n">
        <v>0.00649166666666667</v>
      </c>
      <c r="I500" s="17" t="n">
        <v>33</v>
      </c>
      <c r="J500" s="16" t="n">
        <v>0.0028912037037037</v>
      </c>
      <c r="K500" s="17" t="n">
        <v>878</v>
      </c>
      <c r="L500" s="17" t="n">
        <f aca="false">COUNT(E500,I500,K500)</f>
        <v>3</v>
      </c>
      <c r="M500" s="18" t="n">
        <f aca="false">(D500&lt;&gt;"")*(D500&lt;=($E$3*60+$F$3)/86400)+(H500&lt;&gt;"")*(H500&lt;=($I$3*60+$J$3)/86400)+(J500&lt;&gt;"")*(J500&lt;=($M$3*60+$N$3)/86400)</f>
        <v>0</v>
      </c>
      <c r="N500" s="20"/>
      <c r="O500" s="20"/>
      <c r="P500" s="20"/>
      <c r="Q500" s="19"/>
    </row>
    <row r="501" customFormat="false" ht="15" hidden="false" customHeight="false" outlineLevel="0" collapsed="false">
      <c r="A501" s="10" t="n">
        <v>495</v>
      </c>
      <c r="B501" s="11" t="s">
        <v>870</v>
      </c>
      <c r="C501" s="12" t="s">
        <v>297</v>
      </c>
      <c r="D501" s="13" t="n">
        <v>0.0106185185185185</v>
      </c>
      <c r="E501" s="14" t="n">
        <v>496</v>
      </c>
      <c r="F501" s="15" t="n">
        <f aca="false">IF(D501="","",ROUND((D501-MIN($D$7:$D$9999))*86400,2))</f>
        <v>127.7</v>
      </c>
      <c r="G501" s="10" t="str">
        <f aca="false">IF(D501="","",IF(D501&lt;=($E$3*60+$F$3)/86400,"○",""))</f>
        <v/>
      </c>
      <c r="H501" s="16"/>
      <c r="I501" s="17"/>
      <c r="J501" s="16" t="n">
        <v>0.00283831018518519</v>
      </c>
      <c r="K501" s="17" t="n">
        <v>486</v>
      </c>
      <c r="L501" s="17" t="n">
        <f aca="false">COUNT(E501,I501,K501)</f>
        <v>2</v>
      </c>
      <c r="M501" s="18" t="n">
        <f aca="false">(D501&lt;&gt;"")*(D501&lt;=($E$3*60+$F$3)/86400)+(H501&lt;&gt;"")*(H501&lt;=($I$3*60+$J$3)/86400)+(J501&lt;&gt;"")*(J501&lt;=($M$3*60+$N$3)/86400)</f>
        <v>0</v>
      </c>
      <c r="N501" s="20" t="s">
        <v>871</v>
      </c>
      <c r="O501" s="20"/>
      <c r="P501" s="20"/>
      <c r="Q501" s="19"/>
    </row>
    <row r="502" customFormat="false" ht="15" hidden="false" customHeight="false" outlineLevel="0" collapsed="false">
      <c r="A502" s="10" t="n">
        <v>496</v>
      </c>
      <c r="B502" s="11" t="s">
        <v>872</v>
      </c>
      <c r="C502" s="12" t="s">
        <v>873</v>
      </c>
      <c r="D502" s="13" t="n">
        <v>0.0106197916666667</v>
      </c>
      <c r="E502" s="14" t="n">
        <v>497</v>
      </c>
      <c r="F502" s="15" t="n">
        <f aca="false">IF(D502="","",ROUND((D502-MIN($D$7:$D$9999))*86400,2))</f>
        <v>127.81</v>
      </c>
      <c r="G502" s="10" t="str">
        <f aca="false">IF(D502="","",IF(D502&lt;=($E$3*60+$F$3)/86400,"○",""))</f>
        <v/>
      </c>
      <c r="H502" s="16"/>
      <c r="I502" s="17"/>
      <c r="J502" s="16"/>
      <c r="K502" s="17"/>
      <c r="L502" s="17" t="n">
        <f aca="false">COUNT(E502,I502,K502)</f>
        <v>1</v>
      </c>
      <c r="M502" s="18" t="n">
        <f aca="false">(D502&lt;&gt;"")*(D502&lt;=($E$3*60+$F$3)/86400)+(H502&lt;&gt;"")*(H502&lt;=($I$3*60+$J$3)/86400)+(J502&lt;&gt;"")*(J502&lt;=($M$3*60+$N$3)/86400)</f>
        <v>0</v>
      </c>
      <c r="N502" s="20"/>
      <c r="O502" s="20"/>
      <c r="P502" s="20"/>
      <c r="Q502" s="19"/>
    </row>
    <row r="503" customFormat="false" ht="15" hidden="false" customHeight="false" outlineLevel="0" collapsed="false">
      <c r="A503" s="10" t="n">
        <v>497</v>
      </c>
      <c r="B503" s="11" t="s">
        <v>874</v>
      </c>
      <c r="C503" s="12" t="s">
        <v>875</v>
      </c>
      <c r="D503" s="13" t="n">
        <v>0.0106210648148148</v>
      </c>
      <c r="E503" s="14" t="n">
        <v>498</v>
      </c>
      <c r="F503" s="15" t="n">
        <f aca="false">IF(D503="","",ROUND((D503-MIN($D$7:$D$9999))*86400,2))</f>
        <v>127.92</v>
      </c>
      <c r="G503" s="10" t="str">
        <f aca="false">IF(D503="","",IF(D503&lt;=($E$3*60+$F$3)/86400,"○",""))</f>
        <v/>
      </c>
      <c r="H503" s="16"/>
      <c r="I503" s="17"/>
      <c r="J503" s="16" t="n">
        <v>0.00283263888888889</v>
      </c>
      <c r="K503" s="17" t="n">
        <v>444</v>
      </c>
      <c r="L503" s="17" t="n">
        <f aca="false">COUNT(E503,I503,K503)</f>
        <v>2</v>
      </c>
      <c r="M503" s="18" t="n">
        <f aca="false">(D503&lt;&gt;"")*(D503&lt;=($E$3*60+$F$3)/86400)+(H503&lt;&gt;"")*(H503&lt;=($I$3*60+$J$3)/86400)+(J503&lt;&gt;"")*(J503&lt;=($M$3*60+$N$3)/86400)</f>
        <v>0</v>
      </c>
      <c r="N503" s="20" t="s">
        <v>876</v>
      </c>
      <c r="O503" s="20"/>
      <c r="P503" s="20"/>
      <c r="Q503" s="19"/>
    </row>
    <row r="504" customFormat="false" ht="15" hidden="false" customHeight="false" outlineLevel="0" collapsed="false">
      <c r="A504" s="10" t="n">
        <v>498</v>
      </c>
      <c r="B504" s="11" t="s">
        <v>877</v>
      </c>
      <c r="C504" s="12" t="s">
        <v>491</v>
      </c>
      <c r="D504" s="13" t="n">
        <v>0.010621412037037</v>
      </c>
      <c r="E504" s="14" t="n">
        <v>499</v>
      </c>
      <c r="F504" s="15" t="n">
        <f aca="false">IF(D504="","",ROUND((D504-MIN($D$7:$D$9999))*86400,2))</f>
        <v>127.95</v>
      </c>
      <c r="G504" s="10" t="str">
        <f aca="false">IF(D504="","",IF(D504&lt;=($E$3*60+$F$3)/86400,"○",""))</f>
        <v/>
      </c>
      <c r="H504" s="16"/>
      <c r="I504" s="17"/>
      <c r="J504" s="16"/>
      <c r="K504" s="17"/>
      <c r="L504" s="17" t="n">
        <f aca="false">COUNT(E504,I504,K504)</f>
        <v>1</v>
      </c>
      <c r="M504" s="18" t="n">
        <f aca="false">(D504&lt;&gt;"")*(D504&lt;=($E$3*60+$F$3)/86400)+(H504&lt;&gt;"")*(H504&lt;=($I$3*60+$J$3)/86400)+(J504&lt;&gt;"")*(J504&lt;=($M$3*60+$N$3)/86400)</f>
        <v>0</v>
      </c>
      <c r="N504" s="20"/>
      <c r="O504" s="20"/>
      <c r="P504" s="20"/>
      <c r="Q504" s="19"/>
    </row>
    <row r="505" customFormat="false" ht="15" hidden="false" customHeight="false" outlineLevel="0" collapsed="false">
      <c r="A505" s="10" t="n">
        <v>499</v>
      </c>
      <c r="B505" s="11" t="s">
        <v>878</v>
      </c>
      <c r="C505" s="12" t="s">
        <v>879</v>
      </c>
      <c r="D505" s="13" t="n">
        <v>0.0106226851851852</v>
      </c>
      <c r="E505" s="14" t="n">
        <v>500</v>
      </c>
      <c r="F505" s="15" t="n">
        <f aca="false">IF(D505="","",ROUND((D505-MIN($D$7:$D$9999))*86400,2))</f>
        <v>128.06</v>
      </c>
      <c r="G505" s="10" t="str">
        <f aca="false">IF(D505="","",IF(D505&lt;=($E$3*60+$F$3)/86400,"○",""))</f>
        <v/>
      </c>
      <c r="H505" s="16"/>
      <c r="I505" s="17"/>
      <c r="J505" s="16"/>
      <c r="K505" s="17"/>
      <c r="L505" s="17" t="n">
        <f aca="false">COUNT(E505,I505,K505)</f>
        <v>1</v>
      </c>
      <c r="M505" s="18" t="n">
        <f aca="false">(D505&lt;&gt;"")*(D505&lt;=($E$3*60+$F$3)/86400)+(H505&lt;&gt;"")*(H505&lt;=($I$3*60+$J$3)/86400)+(J505&lt;&gt;"")*(J505&lt;=($M$3*60+$N$3)/86400)</f>
        <v>0</v>
      </c>
      <c r="N505" s="20"/>
      <c r="O505" s="20"/>
      <c r="P505" s="20"/>
      <c r="Q505" s="19"/>
    </row>
    <row r="506" customFormat="false" ht="15" hidden="false" customHeight="false" outlineLevel="0" collapsed="false">
      <c r="A506" s="10" t="n">
        <v>500</v>
      </c>
      <c r="B506" s="11" t="s">
        <v>880</v>
      </c>
      <c r="C506" s="12" t="s">
        <v>375</v>
      </c>
      <c r="D506" s="13" t="n">
        <v>0.0106230324074074</v>
      </c>
      <c r="E506" s="14" t="n">
        <v>501</v>
      </c>
      <c r="F506" s="15" t="n">
        <f aca="false">IF(D506="","",ROUND((D506-MIN($D$7:$D$9999))*86400,2))</f>
        <v>128.09</v>
      </c>
      <c r="G506" s="10" t="str">
        <f aca="false">IF(D506="","",IF(D506&lt;=($E$3*60+$F$3)/86400,"○",""))</f>
        <v/>
      </c>
      <c r="H506" s="16"/>
      <c r="I506" s="17"/>
      <c r="J506" s="16" t="n">
        <v>0.00297962962962963</v>
      </c>
      <c r="K506" s="17" t="n">
        <v>1351</v>
      </c>
      <c r="L506" s="17" t="n">
        <f aca="false">COUNT(E506,I506,K506)</f>
        <v>2</v>
      </c>
      <c r="M506" s="18" t="n">
        <f aca="false">(D506&lt;&gt;"")*(D506&lt;=($E$3*60+$F$3)/86400)+(H506&lt;&gt;"")*(H506&lt;=($I$3*60+$J$3)/86400)+(J506&lt;&gt;"")*(J506&lt;=($M$3*60+$N$3)/86400)</f>
        <v>0</v>
      </c>
      <c r="N506" s="20"/>
      <c r="O506" s="20"/>
      <c r="P506" s="20"/>
      <c r="Q506" s="19"/>
    </row>
    <row r="507" customFormat="false" ht="15" hidden="false" customHeight="false" outlineLevel="0" collapsed="false">
      <c r="A507" s="10" t="n">
        <v>501</v>
      </c>
      <c r="B507" s="11" t="s">
        <v>881</v>
      </c>
      <c r="C507" s="12" t="s">
        <v>460</v>
      </c>
      <c r="D507" s="13" t="n">
        <v>0.0106239583333333</v>
      </c>
      <c r="E507" s="14" t="n">
        <v>502</v>
      </c>
      <c r="F507" s="15" t="n">
        <f aca="false">IF(D507="","",ROUND((D507-MIN($D$7:$D$9999))*86400,2))</f>
        <v>128.17</v>
      </c>
      <c r="G507" s="10" t="str">
        <f aca="false">IF(D507="","",IF(D507&lt;=($E$3*60+$F$3)/86400,"○",""))</f>
        <v/>
      </c>
      <c r="H507" s="16" t="n">
        <v>0.00656226851851852</v>
      </c>
      <c r="I507" s="17" t="n">
        <v>48</v>
      </c>
      <c r="J507" s="16" t="n">
        <v>0.00275960648148148</v>
      </c>
      <c r="K507" s="17" t="n">
        <v>135</v>
      </c>
      <c r="L507" s="17" t="n">
        <f aca="false">COUNT(E507,I507,K507)</f>
        <v>3</v>
      </c>
      <c r="M507" s="18" t="n">
        <f aca="false">(D507&lt;&gt;"")*(D507&lt;=($E$3*60+$F$3)/86400)+(H507&lt;&gt;"")*(H507&lt;=($I$3*60+$J$3)/86400)+(J507&lt;&gt;"")*(J507&lt;=($M$3*60+$N$3)/86400)</f>
        <v>0</v>
      </c>
      <c r="N507" s="20"/>
      <c r="O507" s="20"/>
      <c r="P507" s="20"/>
      <c r="Q507" s="19"/>
    </row>
    <row r="508" customFormat="false" ht="15" hidden="false" customHeight="false" outlineLevel="0" collapsed="false">
      <c r="A508" s="10" t="n">
        <v>502</v>
      </c>
      <c r="B508" s="11" t="s">
        <v>882</v>
      </c>
      <c r="C508" s="12" t="s">
        <v>253</v>
      </c>
      <c r="D508" s="13" t="n">
        <v>0.0106248842592593</v>
      </c>
      <c r="E508" s="14" t="n">
        <v>503</v>
      </c>
      <c r="F508" s="15" t="n">
        <f aca="false">IF(D508="","",ROUND((D508-MIN($D$7:$D$9999))*86400,2))</f>
        <v>128.25</v>
      </c>
      <c r="G508" s="10" t="str">
        <f aca="false">IF(D508="","",IF(D508&lt;=($E$3*60+$F$3)/86400,"○",""))</f>
        <v/>
      </c>
      <c r="H508" s="16"/>
      <c r="I508" s="17"/>
      <c r="J508" s="16" t="n">
        <v>0.00290821759259259</v>
      </c>
      <c r="K508" s="17" t="n">
        <v>1003</v>
      </c>
      <c r="L508" s="17" t="n">
        <f aca="false">COUNT(E508,I508,K508)</f>
        <v>2</v>
      </c>
      <c r="M508" s="18" t="n">
        <f aca="false">(D508&lt;&gt;"")*(D508&lt;=($E$3*60+$F$3)/86400)+(H508&lt;&gt;"")*(H508&lt;=($I$3*60+$J$3)/86400)+(J508&lt;&gt;"")*(J508&lt;=($M$3*60+$N$3)/86400)</f>
        <v>0</v>
      </c>
      <c r="N508" s="20" t="s">
        <v>883</v>
      </c>
      <c r="O508" s="20"/>
      <c r="P508" s="20"/>
      <c r="Q508" s="19"/>
    </row>
    <row r="509" customFormat="false" ht="15" hidden="false" customHeight="false" outlineLevel="0" collapsed="false">
      <c r="A509" s="10" t="n">
        <v>503</v>
      </c>
      <c r="B509" s="11" t="s">
        <v>884</v>
      </c>
      <c r="C509" s="12" t="s">
        <v>885</v>
      </c>
      <c r="D509" s="13" t="n">
        <v>0.0106296296296296</v>
      </c>
      <c r="E509" s="14" t="n">
        <v>504</v>
      </c>
      <c r="F509" s="15" t="n">
        <f aca="false">IF(D509="","",ROUND((D509-MIN($D$7:$D$9999))*86400,2))</f>
        <v>128.66</v>
      </c>
      <c r="G509" s="10" t="str">
        <f aca="false">IF(D509="","",IF(D509&lt;=($E$3*60+$F$3)/86400,"○",""))</f>
        <v/>
      </c>
      <c r="H509" s="16"/>
      <c r="I509" s="17"/>
      <c r="J509" s="16" t="n">
        <v>0.00276284722222222</v>
      </c>
      <c r="K509" s="17" t="n">
        <v>141</v>
      </c>
      <c r="L509" s="17" t="n">
        <f aca="false">COUNT(E509,I509,K509)</f>
        <v>2</v>
      </c>
      <c r="M509" s="18" t="n">
        <f aca="false">(D509&lt;&gt;"")*(D509&lt;=($E$3*60+$F$3)/86400)+(H509&lt;&gt;"")*(H509&lt;=($I$3*60+$J$3)/86400)+(J509&lt;&gt;"")*(J509&lt;=($M$3*60+$N$3)/86400)</f>
        <v>0</v>
      </c>
      <c r="N509" s="20"/>
      <c r="O509" s="20"/>
      <c r="P509" s="12" t="s">
        <v>886</v>
      </c>
      <c r="Q509" s="19"/>
    </row>
    <row r="510" customFormat="false" ht="15" hidden="false" customHeight="false" outlineLevel="0" collapsed="false">
      <c r="A510" s="10" t="n">
        <v>504</v>
      </c>
      <c r="B510" s="11" t="s">
        <v>887</v>
      </c>
      <c r="C510" s="12" t="s">
        <v>888</v>
      </c>
      <c r="D510" s="13" t="n">
        <v>0.01063125</v>
      </c>
      <c r="E510" s="14" t="n">
        <v>505</v>
      </c>
      <c r="F510" s="15" t="n">
        <f aca="false">IF(D510="","",ROUND((D510-MIN($D$7:$D$9999))*86400,2))</f>
        <v>128.8</v>
      </c>
      <c r="G510" s="10" t="str">
        <f aca="false">IF(D510="","",IF(D510&lt;=($E$3*60+$F$3)/86400,"○",""))</f>
        <v/>
      </c>
      <c r="H510" s="16" t="n">
        <v>0.00687268518518519</v>
      </c>
      <c r="I510" s="17" t="n">
        <v>221</v>
      </c>
      <c r="J510" s="16" t="n">
        <v>0.00285983796296296</v>
      </c>
      <c r="K510" s="17" t="n">
        <v>633</v>
      </c>
      <c r="L510" s="17" t="n">
        <f aca="false">COUNT(E510,I510,K510)</f>
        <v>3</v>
      </c>
      <c r="M510" s="18" t="n">
        <f aca="false">(D510&lt;&gt;"")*(D510&lt;=($E$3*60+$F$3)/86400)+(H510&lt;&gt;"")*(H510&lt;=($I$3*60+$J$3)/86400)+(J510&lt;&gt;"")*(J510&lt;=($M$3*60+$N$3)/86400)</f>
        <v>0</v>
      </c>
      <c r="N510" s="20"/>
      <c r="O510" s="20"/>
      <c r="P510" s="20"/>
      <c r="Q510" s="19"/>
    </row>
    <row r="511" customFormat="false" ht="15" hidden="false" customHeight="false" outlineLevel="0" collapsed="false">
      <c r="A511" s="10" t="n">
        <v>505</v>
      </c>
      <c r="B511" s="11" t="s">
        <v>889</v>
      </c>
      <c r="C511" s="12" t="s">
        <v>37</v>
      </c>
      <c r="D511" s="13" t="n">
        <v>0.0106325231481482</v>
      </c>
      <c r="E511" s="14" t="n">
        <v>506</v>
      </c>
      <c r="F511" s="15" t="n">
        <f aca="false">IF(D511="","",ROUND((D511-MIN($D$7:$D$9999))*86400,2))</f>
        <v>128.91</v>
      </c>
      <c r="G511" s="10" t="str">
        <f aca="false">IF(D511="","",IF(D511&lt;=($E$3*60+$F$3)/86400,"○",""))</f>
        <v/>
      </c>
      <c r="H511" s="16"/>
      <c r="I511" s="17"/>
      <c r="J511" s="16" t="n">
        <v>0.00281655092592593</v>
      </c>
      <c r="K511" s="17" t="n">
        <v>348</v>
      </c>
      <c r="L511" s="17" t="n">
        <f aca="false">COUNT(E511,I511,K511)</f>
        <v>2</v>
      </c>
      <c r="M511" s="18" t="n">
        <f aca="false">(D511&lt;&gt;"")*(D511&lt;=($E$3*60+$F$3)/86400)+(H511&lt;&gt;"")*(H511&lt;=($I$3*60+$J$3)/86400)+(J511&lt;&gt;"")*(J511&lt;=($M$3*60+$N$3)/86400)</f>
        <v>0</v>
      </c>
      <c r="N511" s="20"/>
      <c r="O511" s="20"/>
      <c r="P511" s="20"/>
      <c r="Q511" s="19"/>
    </row>
    <row r="512" customFormat="false" ht="15" hidden="false" customHeight="false" outlineLevel="0" collapsed="false">
      <c r="A512" s="10" t="n">
        <v>506</v>
      </c>
      <c r="B512" s="11" t="s">
        <v>890</v>
      </c>
      <c r="C512" s="12" t="s">
        <v>742</v>
      </c>
      <c r="D512" s="13" t="n">
        <v>0.0106331018518519</v>
      </c>
      <c r="E512" s="14" t="n">
        <v>507</v>
      </c>
      <c r="F512" s="15" t="n">
        <f aca="false">IF(D512="","",ROUND((D512-MIN($D$7:$D$9999))*86400,2))</f>
        <v>128.96</v>
      </c>
      <c r="G512" s="10" t="str">
        <f aca="false">IF(D512="","",IF(D512&lt;=($E$3*60+$F$3)/86400,"○",""))</f>
        <v/>
      </c>
      <c r="H512" s="16"/>
      <c r="I512" s="17"/>
      <c r="J512" s="16" t="n">
        <v>0.00285717592592593</v>
      </c>
      <c r="K512" s="17" t="n">
        <v>616</v>
      </c>
      <c r="L512" s="17" t="n">
        <f aca="false">COUNT(E512,I512,K512)</f>
        <v>2</v>
      </c>
      <c r="M512" s="18" t="n">
        <f aca="false">(D512&lt;&gt;"")*(D512&lt;=($E$3*60+$F$3)/86400)+(H512&lt;&gt;"")*(H512&lt;=($I$3*60+$J$3)/86400)+(J512&lt;&gt;"")*(J512&lt;=($M$3*60+$N$3)/86400)</f>
        <v>0</v>
      </c>
      <c r="N512" s="20" t="s">
        <v>891</v>
      </c>
      <c r="O512" s="20"/>
      <c r="P512" s="20"/>
      <c r="Q512" s="19"/>
    </row>
    <row r="513" customFormat="false" ht="15" hidden="false" customHeight="false" outlineLevel="0" collapsed="false">
      <c r="A513" s="10" t="n">
        <v>507</v>
      </c>
      <c r="B513" s="11" t="s">
        <v>892</v>
      </c>
      <c r="C513" s="12" t="s">
        <v>893</v>
      </c>
      <c r="D513" s="13" t="n">
        <v>0.0106396990740741</v>
      </c>
      <c r="E513" s="14" t="n">
        <v>508</v>
      </c>
      <c r="F513" s="15" t="n">
        <f aca="false">IF(D513="","",ROUND((D513-MIN($D$7:$D$9999))*86400,2))</f>
        <v>129.53</v>
      </c>
      <c r="G513" s="10" t="str">
        <f aca="false">IF(D513="","",IF(D513&lt;=($E$3*60+$F$3)/86400,"○",""))</f>
        <v/>
      </c>
      <c r="H513" s="16"/>
      <c r="I513" s="17"/>
      <c r="J513" s="16" t="n">
        <v>0.00288888888888889</v>
      </c>
      <c r="K513" s="17" t="n">
        <v>854</v>
      </c>
      <c r="L513" s="17" t="n">
        <f aca="false">COUNT(E513,I513,K513)</f>
        <v>2</v>
      </c>
      <c r="M513" s="18" t="n">
        <f aca="false">(D513&lt;&gt;"")*(D513&lt;=($E$3*60+$F$3)/86400)+(H513&lt;&gt;"")*(H513&lt;=($I$3*60+$J$3)/86400)+(J513&lt;&gt;"")*(J513&lt;=($M$3*60+$N$3)/86400)</f>
        <v>0</v>
      </c>
      <c r="N513" s="20"/>
      <c r="O513" s="20"/>
      <c r="P513" s="20"/>
      <c r="Q513" s="19"/>
    </row>
    <row r="514" customFormat="false" ht="15" hidden="false" customHeight="false" outlineLevel="0" collapsed="false">
      <c r="A514" s="10" t="n">
        <v>508</v>
      </c>
      <c r="B514" s="11" t="s">
        <v>894</v>
      </c>
      <c r="C514" s="12" t="s">
        <v>623</v>
      </c>
      <c r="D514" s="13" t="n">
        <v>0.0106396990740741</v>
      </c>
      <c r="E514" s="14" t="n">
        <v>509</v>
      </c>
      <c r="F514" s="15" t="n">
        <f aca="false">IF(D514="","",ROUND((D514-MIN($D$7:$D$9999))*86400,2))</f>
        <v>129.53</v>
      </c>
      <c r="G514" s="10" t="str">
        <f aca="false">IF(D514="","",IF(D514&lt;=($E$3*60+$F$3)/86400,"○",""))</f>
        <v/>
      </c>
      <c r="H514" s="16" t="n">
        <v>0.00661840277777778</v>
      </c>
      <c r="I514" s="17" t="n">
        <v>71</v>
      </c>
      <c r="J514" s="16" t="n">
        <v>0.002884375</v>
      </c>
      <c r="K514" s="17" t="n">
        <v>811</v>
      </c>
      <c r="L514" s="17" t="n">
        <f aca="false">COUNT(E514,I514,K514)</f>
        <v>3</v>
      </c>
      <c r="M514" s="18" t="n">
        <f aca="false">(D514&lt;&gt;"")*(D514&lt;=($E$3*60+$F$3)/86400)+(H514&lt;&gt;"")*(H514&lt;=($I$3*60+$J$3)/86400)+(J514&lt;&gt;"")*(J514&lt;=($M$3*60+$N$3)/86400)</f>
        <v>0</v>
      </c>
      <c r="N514" s="20"/>
      <c r="O514" s="20" t="s">
        <v>895</v>
      </c>
      <c r="P514" s="20"/>
      <c r="Q514" s="19"/>
    </row>
    <row r="515" customFormat="false" ht="15" hidden="false" customHeight="false" outlineLevel="0" collapsed="false">
      <c r="A515" s="10" t="n">
        <v>509</v>
      </c>
      <c r="B515" s="11" t="s">
        <v>896</v>
      </c>
      <c r="C515" s="12" t="s">
        <v>141</v>
      </c>
      <c r="D515" s="13" t="n">
        <v>0.0106398148148148</v>
      </c>
      <c r="E515" s="14" t="n">
        <v>510</v>
      </c>
      <c r="F515" s="15" t="n">
        <f aca="false">IF(D515="","",ROUND((D515-MIN($D$7:$D$9999))*86400,2))</f>
        <v>129.54</v>
      </c>
      <c r="G515" s="10" t="str">
        <f aca="false">IF(D515="","",IF(D515&lt;=($E$3*60+$F$3)/86400,"○",""))</f>
        <v/>
      </c>
      <c r="H515" s="16" t="n">
        <v>0.00703703703703704</v>
      </c>
      <c r="I515" s="17" t="n">
        <v>368</v>
      </c>
      <c r="J515" s="16" t="n">
        <v>0.00286574074074074</v>
      </c>
      <c r="K515" s="17" t="n">
        <v>669</v>
      </c>
      <c r="L515" s="17" t="n">
        <f aca="false">COUNT(E515,I515,K515)</f>
        <v>3</v>
      </c>
      <c r="M515" s="18" t="n">
        <f aca="false">(D515&lt;&gt;"")*(D515&lt;=($E$3*60+$F$3)/86400)+(H515&lt;&gt;"")*(H515&lt;=($I$3*60+$J$3)/86400)+(J515&lt;&gt;"")*(J515&lt;=($M$3*60+$N$3)/86400)</f>
        <v>0</v>
      </c>
      <c r="N515" s="20"/>
      <c r="O515" s="20"/>
      <c r="P515" s="12" t="s">
        <v>571</v>
      </c>
      <c r="Q515" s="19"/>
    </row>
    <row r="516" customFormat="false" ht="15" hidden="false" customHeight="false" outlineLevel="0" collapsed="false">
      <c r="A516" s="10" t="n">
        <v>510</v>
      </c>
      <c r="B516" s="11" t="s">
        <v>897</v>
      </c>
      <c r="C516" s="12" t="s">
        <v>898</v>
      </c>
      <c r="D516" s="13" t="n">
        <v>0.0106412037037037</v>
      </c>
      <c r="E516" s="14" t="n">
        <v>511</v>
      </c>
      <c r="F516" s="15" t="n">
        <f aca="false">IF(D516="","",ROUND((D516-MIN($D$7:$D$9999))*86400,2))</f>
        <v>129.66</v>
      </c>
      <c r="G516" s="10" t="str">
        <f aca="false">IF(D516="","",IF(D516&lt;=($E$3*60+$F$3)/86400,"○",""))</f>
        <v/>
      </c>
      <c r="H516" s="16" t="n">
        <v>0.00674803240740741</v>
      </c>
      <c r="I516" s="17" t="n">
        <v>126</v>
      </c>
      <c r="J516" s="16" t="n">
        <v>0.00282048611111111</v>
      </c>
      <c r="K516" s="17" t="n">
        <v>364</v>
      </c>
      <c r="L516" s="17" t="n">
        <f aca="false">COUNT(E516,I516,K516)</f>
        <v>3</v>
      </c>
      <c r="M516" s="18" t="n">
        <f aca="false">(D516&lt;&gt;"")*(D516&lt;=($E$3*60+$F$3)/86400)+(H516&lt;&gt;"")*(H516&lt;=($I$3*60+$J$3)/86400)+(J516&lt;&gt;"")*(J516&lt;=($M$3*60+$N$3)/86400)</f>
        <v>0</v>
      </c>
      <c r="N516" s="20" t="s">
        <v>899</v>
      </c>
      <c r="O516" s="20"/>
      <c r="P516" s="20"/>
      <c r="Q516" s="19"/>
    </row>
    <row r="517" customFormat="false" ht="15" hidden="false" customHeight="false" outlineLevel="0" collapsed="false">
      <c r="A517" s="10" t="n">
        <v>511</v>
      </c>
      <c r="B517" s="11" t="s">
        <v>900</v>
      </c>
      <c r="C517" s="12" t="s">
        <v>281</v>
      </c>
      <c r="D517" s="13" t="n">
        <v>0.0106413194444444</v>
      </c>
      <c r="E517" s="14" t="n">
        <v>512</v>
      </c>
      <c r="F517" s="15" t="n">
        <f aca="false">IF(D517="","",ROUND((D517-MIN($D$7:$D$9999))*86400,2))</f>
        <v>129.67</v>
      </c>
      <c r="G517" s="10" t="str">
        <f aca="false">IF(D517="","",IF(D517&lt;=($E$3*60+$F$3)/86400,"○",""))</f>
        <v/>
      </c>
      <c r="H517" s="16"/>
      <c r="I517" s="17"/>
      <c r="J517" s="16"/>
      <c r="K517" s="17"/>
      <c r="L517" s="17" t="n">
        <f aca="false">COUNT(E517,I517,K517)</f>
        <v>1</v>
      </c>
      <c r="M517" s="18" t="n">
        <f aca="false">(D517&lt;&gt;"")*(D517&lt;=($E$3*60+$F$3)/86400)+(H517&lt;&gt;"")*(H517&lt;=($I$3*60+$J$3)/86400)+(J517&lt;&gt;"")*(J517&lt;=($M$3*60+$N$3)/86400)</f>
        <v>0</v>
      </c>
      <c r="N517" s="20"/>
      <c r="O517" s="20"/>
      <c r="P517" s="20"/>
      <c r="Q517" s="19"/>
    </row>
    <row r="518" customFormat="false" ht="15" hidden="false" customHeight="false" outlineLevel="0" collapsed="false">
      <c r="A518" s="10" t="n">
        <v>512</v>
      </c>
      <c r="B518" s="11" t="s">
        <v>901</v>
      </c>
      <c r="C518" s="12" t="s">
        <v>288</v>
      </c>
      <c r="D518" s="13" t="n">
        <v>0.0106417824074074</v>
      </c>
      <c r="E518" s="14" t="n">
        <v>513</v>
      </c>
      <c r="F518" s="15" t="n">
        <f aca="false">IF(D518="","",ROUND((D518-MIN($D$7:$D$9999))*86400,2))</f>
        <v>129.71</v>
      </c>
      <c r="G518" s="10" t="str">
        <f aca="false">IF(D518="","",IF(D518&lt;=($E$3*60+$F$3)/86400,"○",""))</f>
        <v/>
      </c>
      <c r="H518" s="16"/>
      <c r="I518" s="17"/>
      <c r="J518" s="16"/>
      <c r="K518" s="17"/>
      <c r="L518" s="17" t="n">
        <f aca="false">COUNT(E518,I518,K518)</f>
        <v>1</v>
      </c>
      <c r="M518" s="18" t="n">
        <f aca="false">(D518&lt;&gt;"")*(D518&lt;=($E$3*60+$F$3)/86400)+(H518&lt;&gt;"")*(H518&lt;=($I$3*60+$J$3)/86400)+(J518&lt;&gt;"")*(J518&lt;=($M$3*60+$N$3)/86400)</f>
        <v>0</v>
      </c>
      <c r="N518" s="20"/>
      <c r="O518" s="20"/>
      <c r="P518" s="20"/>
      <c r="Q518" s="19"/>
    </row>
    <row r="519" customFormat="false" ht="15" hidden="false" customHeight="false" outlineLevel="0" collapsed="false">
      <c r="A519" s="10" t="n">
        <v>513</v>
      </c>
      <c r="B519" s="11" t="s">
        <v>902</v>
      </c>
      <c r="C519" s="12" t="s">
        <v>903</v>
      </c>
      <c r="D519" s="13" t="n">
        <v>0.0106417824074074</v>
      </c>
      <c r="E519" s="14" t="n">
        <v>514</v>
      </c>
      <c r="F519" s="15" t="n">
        <f aca="false">IF(D519="","",ROUND((D519-MIN($D$7:$D$9999))*86400,2))</f>
        <v>129.71</v>
      </c>
      <c r="G519" s="10" t="str">
        <f aca="false">IF(D519="","",IF(D519&lt;=($E$3*60+$F$3)/86400,"○",""))</f>
        <v/>
      </c>
      <c r="H519" s="16" t="n">
        <v>0.00679351851851852</v>
      </c>
      <c r="I519" s="17" t="n">
        <v>166</v>
      </c>
      <c r="J519" s="16"/>
      <c r="K519" s="17"/>
      <c r="L519" s="17" t="n">
        <f aca="false">COUNT(E519,I519,K519)</f>
        <v>2</v>
      </c>
      <c r="M519" s="18" t="n">
        <f aca="false">(D519&lt;&gt;"")*(D519&lt;=($E$3*60+$F$3)/86400)+(H519&lt;&gt;"")*(H519&lt;=($I$3*60+$J$3)/86400)+(J519&lt;&gt;"")*(J519&lt;=($M$3*60+$N$3)/86400)</f>
        <v>0</v>
      </c>
      <c r="N519" s="20"/>
      <c r="O519" s="20"/>
      <c r="P519" s="20"/>
      <c r="Q519" s="19"/>
    </row>
    <row r="520" customFormat="false" ht="15" hidden="false" customHeight="false" outlineLevel="0" collapsed="false">
      <c r="A520" s="10" t="n">
        <v>514</v>
      </c>
      <c r="B520" s="11" t="s">
        <v>904</v>
      </c>
      <c r="C520" s="12" t="s">
        <v>351</v>
      </c>
      <c r="D520" s="13" t="n">
        <v>0.0106431712962963</v>
      </c>
      <c r="E520" s="14" t="n">
        <v>515</v>
      </c>
      <c r="F520" s="15" t="n">
        <f aca="false">IF(D520="","",ROUND((D520-MIN($D$7:$D$9999))*86400,2))</f>
        <v>129.83</v>
      </c>
      <c r="G520" s="10" t="str">
        <f aca="false">IF(D520="","",IF(D520&lt;=($E$3*60+$F$3)/86400,"○",""))</f>
        <v/>
      </c>
      <c r="H520" s="16"/>
      <c r="I520" s="17"/>
      <c r="J520" s="16" t="n">
        <v>0.0028369212962963</v>
      </c>
      <c r="K520" s="17" t="n">
        <v>478</v>
      </c>
      <c r="L520" s="17" t="n">
        <f aca="false">COUNT(E520,I520,K520)</f>
        <v>2</v>
      </c>
      <c r="M520" s="18" t="n">
        <f aca="false">(D520&lt;&gt;"")*(D520&lt;=($E$3*60+$F$3)/86400)+(H520&lt;&gt;"")*(H520&lt;=($I$3*60+$J$3)/86400)+(J520&lt;&gt;"")*(J520&lt;=($M$3*60+$N$3)/86400)</f>
        <v>0</v>
      </c>
      <c r="N520" s="20"/>
      <c r="O520" s="20" t="s">
        <v>41</v>
      </c>
      <c r="P520" s="20"/>
      <c r="Q520" s="19"/>
    </row>
    <row r="521" customFormat="false" ht="15" hidden="false" customHeight="false" outlineLevel="0" collapsed="false">
      <c r="A521" s="10" t="n">
        <v>515</v>
      </c>
      <c r="B521" s="11" t="s">
        <v>905</v>
      </c>
      <c r="C521" s="12" t="s">
        <v>903</v>
      </c>
      <c r="D521" s="13" t="n">
        <v>0.0106438657407407</v>
      </c>
      <c r="E521" s="14" t="n">
        <v>516</v>
      </c>
      <c r="F521" s="15" t="n">
        <f aca="false">IF(D521="","",ROUND((D521-MIN($D$7:$D$9999))*86400,2))</f>
        <v>129.89</v>
      </c>
      <c r="G521" s="10" t="str">
        <f aca="false">IF(D521="","",IF(D521&lt;=($E$3*60+$F$3)/86400,"○",""))</f>
        <v/>
      </c>
      <c r="H521" s="16"/>
      <c r="I521" s="17"/>
      <c r="J521" s="16" t="n">
        <v>0.00283460648148148</v>
      </c>
      <c r="K521" s="17" t="n">
        <v>455</v>
      </c>
      <c r="L521" s="17" t="n">
        <f aca="false">COUNT(E521,I521,K521)</f>
        <v>2</v>
      </c>
      <c r="M521" s="18" t="n">
        <f aca="false">(D521&lt;&gt;"")*(D521&lt;=($E$3*60+$F$3)/86400)+(H521&lt;&gt;"")*(H521&lt;=($I$3*60+$J$3)/86400)+(J521&lt;&gt;"")*(J521&lt;=($M$3*60+$N$3)/86400)</f>
        <v>0</v>
      </c>
      <c r="N521" s="20"/>
      <c r="O521" s="20"/>
      <c r="P521" s="20"/>
      <c r="Q521" s="19"/>
    </row>
    <row r="522" customFormat="false" ht="15" hidden="false" customHeight="false" outlineLevel="0" collapsed="false">
      <c r="A522" s="10" t="n">
        <v>516</v>
      </c>
      <c r="B522" s="11" t="s">
        <v>906</v>
      </c>
      <c r="C522" s="12" t="s">
        <v>907</v>
      </c>
      <c r="D522" s="13" t="n">
        <v>0.0106440972222222</v>
      </c>
      <c r="E522" s="14" t="n">
        <v>517</v>
      </c>
      <c r="F522" s="15" t="n">
        <f aca="false">IF(D522="","",ROUND((D522-MIN($D$7:$D$9999))*86400,2))</f>
        <v>129.91</v>
      </c>
      <c r="G522" s="10" t="str">
        <f aca="false">IF(D522="","",IF(D522&lt;=($E$3*60+$F$3)/86400,"○",""))</f>
        <v/>
      </c>
      <c r="H522" s="16" t="n">
        <v>0.00677175925925926</v>
      </c>
      <c r="I522" s="17" t="n">
        <v>149</v>
      </c>
      <c r="J522" s="16"/>
      <c r="K522" s="17"/>
      <c r="L522" s="17" t="n">
        <f aca="false">COUNT(E522,I522,K522)</f>
        <v>2</v>
      </c>
      <c r="M522" s="18" t="n">
        <f aca="false">(D522&lt;&gt;"")*(D522&lt;=($E$3*60+$F$3)/86400)+(H522&lt;&gt;"")*(H522&lt;=($I$3*60+$J$3)/86400)+(J522&lt;&gt;"")*(J522&lt;=($M$3*60+$N$3)/86400)</f>
        <v>0</v>
      </c>
      <c r="N522" s="20" t="s">
        <v>908</v>
      </c>
      <c r="O522" s="20"/>
      <c r="P522" s="20"/>
      <c r="Q522" s="19"/>
    </row>
    <row r="523" customFormat="false" ht="15" hidden="false" customHeight="false" outlineLevel="0" collapsed="false">
      <c r="A523" s="10" t="n">
        <v>517</v>
      </c>
      <c r="B523" s="11" t="s">
        <v>909</v>
      </c>
      <c r="C523" s="12" t="s">
        <v>910</v>
      </c>
      <c r="D523" s="13" t="n">
        <v>0.0106444444444444</v>
      </c>
      <c r="E523" s="14" t="n">
        <v>518</v>
      </c>
      <c r="F523" s="15" t="n">
        <f aca="false">IF(D523="","",ROUND((D523-MIN($D$7:$D$9999))*86400,2))</f>
        <v>129.94</v>
      </c>
      <c r="G523" s="10" t="str">
        <f aca="false">IF(D523="","",IF(D523&lt;=($E$3*60+$F$3)/86400,"○",""))</f>
        <v/>
      </c>
      <c r="H523" s="16" t="n">
        <v>0.00697905092592593</v>
      </c>
      <c r="I523" s="17" t="n">
        <v>311</v>
      </c>
      <c r="J523" s="16" t="n">
        <v>0.00278333333333333</v>
      </c>
      <c r="K523" s="17" t="n">
        <v>213</v>
      </c>
      <c r="L523" s="17" t="n">
        <f aca="false">COUNT(E523,I523,K523)</f>
        <v>3</v>
      </c>
      <c r="M523" s="18" t="n">
        <f aca="false">(D523&lt;&gt;"")*(D523&lt;=($E$3*60+$F$3)/86400)+(H523&lt;&gt;"")*(H523&lt;=($I$3*60+$J$3)/86400)+(J523&lt;&gt;"")*(J523&lt;=($M$3*60+$N$3)/86400)</f>
        <v>0</v>
      </c>
      <c r="N523" s="20"/>
      <c r="O523" s="20"/>
      <c r="P523" s="20"/>
      <c r="Q523" s="19"/>
    </row>
    <row r="524" customFormat="false" ht="15" hidden="false" customHeight="false" outlineLevel="0" collapsed="false">
      <c r="A524" s="10" t="n">
        <v>518</v>
      </c>
      <c r="B524" s="11" t="s">
        <v>911</v>
      </c>
      <c r="C524" s="12" t="s">
        <v>912</v>
      </c>
      <c r="D524" s="13" t="n">
        <v>0.010646875</v>
      </c>
      <c r="E524" s="14" t="n">
        <v>519</v>
      </c>
      <c r="F524" s="15" t="n">
        <f aca="false">IF(D524="","",ROUND((D524-MIN($D$7:$D$9999))*86400,2))</f>
        <v>130.15</v>
      </c>
      <c r="G524" s="10" t="str">
        <f aca="false">IF(D524="","",IF(D524&lt;=($E$3*60+$F$3)/86400,"○",""))</f>
        <v/>
      </c>
      <c r="H524" s="16" t="n">
        <v>0.00665532407407407</v>
      </c>
      <c r="I524" s="17" t="n">
        <v>85</v>
      </c>
      <c r="J524" s="16" t="n">
        <v>0.00282071759259259</v>
      </c>
      <c r="K524" s="17" t="n">
        <v>365</v>
      </c>
      <c r="L524" s="17" t="n">
        <f aca="false">COUNT(E524,I524,K524)</f>
        <v>3</v>
      </c>
      <c r="M524" s="18" t="n">
        <f aca="false">(D524&lt;&gt;"")*(D524&lt;=($E$3*60+$F$3)/86400)+(H524&lt;&gt;"")*(H524&lt;=($I$3*60+$J$3)/86400)+(J524&lt;&gt;"")*(J524&lt;=($M$3*60+$N$3)/86400)</f>
        <v>0</v>
      </c>
      <c r="N524" s="20"/>
      <c r="O524" s="20"/>
      <c r="P524" s="20"/>
      <c r="Q524" s="19"/>
    </row>
    <row r="525" customFormat="false" ht="15" hidden="false" customHeight="false" outlineLevel="0" collapsed="false">
      <c r="A525" s="10" t="n">
        <v>519</v>
      </c>
      <c r="B525" s="11" t="s">
        <v>913</v>
      </c>
      <c r="C525" s="12" t="s">
        <v>623</v>
      </c>
      <c r="D525" s="13" t="n">
        <v>0.0106479166666667</v>
      </c>
      <c r="E525" s="14" t="n">
        <v>520</v>
      </c>
      <c r="F525" s="15" t="n">
        <f aca="false">IF(D525="","",ROUND((D525-MIN($D$7:$D$9999))*86400,2))</f>
        <v>130.24</v>
      </c>
      <c r="G525" s="10" t="str">
        <f aca="false">IF(D525="","",IF(D525&lt;=($E$3*60+$F$3)/86400,"○",""))</f>
        <v/>
      </c>
      <c r="H525" s="16"/>
      <c r="I525" s="17"/>
      <c r="J525" s="16" t="n">
        <v>0.00282881944444445</v>
      </c>
      <c r="K525" s="17" t="n">
        <v>418</v>
      </c>
      <c r="L525" s="17" t="n">
        <f aca="false">COUNT(E525,I525,K525)</f>
        <v>2</v>
      </c>
      <c r="M525" s="18" t="n">
        <f aca="false">(D525&lt;&gt;"")*(D525&lt;=($E$3*60+$F$3)/86400)+(H525&lt;&gt;"")*(H525&lt;=($I$3*60+$J$3)/86400)+(J525&lt;&gt;"")*(J525&lt;=($M$3*60+$N$3)/86400)</f>
        <v>0</v>
      </c>
      <c r="N525" s="20"/>
      <c r="O525" s="20"/>
      <c r="P525" s="20"/>
      <c r="Q525" s="19"/>
    </row>
    <row r="526" customFormat="false" ht="15" hidden="false" customHeight="false" outlineLevel="0" collapsed="false">
      <c r="A526" s="10" t="n">
        <v>520</v>
      </c>
      <c r="B526" s="11" t="s">
        <v>914</v>
      </c>
      <c r="C526" s="12" t="s">
        <v>915</v>
      </c>
      <c r="D526" s="13" t="n">
        <v>0.0106481481481482</v>
      </c>
      <c r="E526" s="14" t="n">
        <v>521</v>
      </c>
      <c r="F526" s="15" t="n">
        <f aca="false">IF(D526="","",ROUND((D526-MIN($D$7:$D$9999))*86400,2))</f>
        <v>130.26</v>
      </c>
      <c r="G526" s="10" t="str">
        <f aca="false">IF(D526="","",IF(D526&lt;=($E$3*60+$F$3)/86400,"○",""))</f>
        <v/>
      </c>
      <c r="H526" s="16"/>
      <c r="I526" s="17"/>
      <c r="J526" s="16" t="n">
        <v>0.00289027777777778</v>
      </c>
      <c r="K526" s="17" t="n">
        <v>868</v>
      </c>
      <c r="L526" s="17" t="n">
        <f aca="false">COUNT(E526,I526,K526)</f>
        <v>2</v>
      </c>
      <c r="M526" s="18" t="n">
        <f aca="false">(D526&lt;&gt;"")*(D526&lt;=($E$3*60+$F$3)/86400)+(H526&lt;&gt;"")*(H526&lt;=($I$3*60+$J$3)/86400)+(J526&lt;&gt;"")*(J526&lt;=($M$3*60+$N$3)/86400)</f>
        <v>0</v>
      </c>
      <c r="N526" s="20"/>
      <c r="O526" s="20"/>
      <c r="P526" s="20"/>
      <c r="Q526" s="19"/>
    </row>
    <row r="527" customFormat="false" ht="15" hidden="false" customHeight="false" outlineLevel="0" collapsed="false">
      <c r="A527" s="10" t="n">
        <v>521</v>
      </c>
      <c r="B527" s="11" t="s">
        <v>916</v>
      </c>
      <c r="C527" s="12" t="s">
        <v>917</v>
      </c>
      <c r="D527" s="13" t="n">
        <v>0.0106484953703704</v>
      </c>
      <c r="E527" s="14" t="n">
        <v>522</v>
      </c>
      <c r="F527" s="15" t="n">
        <f aca="false">IF(D527="","",ROUND((D527-MIN($D$7:$D$9999))*86400,2))</f>
        <v>130.29</v>
      </c>
      <c r="G527" s="10" t="str">
        <f aca="false">IF(D527="","",IF(D527&lt;=($E$3*60+$F$3)/86400,"○",""))</f>
        <v/>
      </c>
      <c r="H527" s="16"/>
      <c r="I527" s="17"/>
      <c r="J527" s="16" t="n">
        <v>0.00277569444444444</v>
      </c>
      <c r="K527" s="17" t="n">
        <v>177</v>
      </c>
      <c r="L527" s="17" t="n">
        <f aca="false">COUNT(E527,I527,K527)</f>
        <v>2</v>
      </c>
      <c r="M527" s="18" t="n">
        <f aca="false">(D527&lt;&gt;"")*(D527&lt;=($E$3*60+$F$3)/86400)+(H527&lt;&gt;"")*(H527&lt;=($I$3*60+$J$3)/86400)+(J527&lt;&gt;"")*(J527&lt;=($M$3*60+$N$3)/86400)</f>
        <v>0</v>
      </c>
      <c r="N527" s="20"/>
      <c r="O527" s="20"/>
      <c r="P527" s="20"/>
      <c r="Q527" s="19"/>
    </row>
    <row r="528" customFormat="false" ht="15" hidden="false" customHeight="false" outlineLevel="0" collapsed="false">
      <c r="A528" s="10" t="n">
        <v>522</v>
      </c>
      <c r="B528" s="11" t="s">
        <v>918</v>
      </c>
      <c r="C528" s="12" t="s">
        <v>256</v>
      </c>
      <c r="D528" s="13" t="n">
        <v>0.0106486111111111</v>
      </c>
      <c r="E528" s="14" t="n">
        <v>523</v>
      </c>
      <c r="F528" s="15" t="n">
        <f aca="false">IF(D528="","",ROUND((D528-MIN($D$7:$D$9999))*86400,2))</f>
        <v>130.3</v>
      </c>
      <c r="G528" s="10" t="str">
        <f aca="false">IF(D528="","",IF(D528&lt;=($E$3*60+$F$3)/86400,"○",""))</f>
        <v/>
      </c>
      <c r="H528" s="16"/>
      <c r="I528" s="17"/>
      <c r="J528" s="16" t="n">
        <v>0.00290081018518519</v>
      </c>
      <c r="K528" s="17" t="n">
        <v>954</v>
      </c>
      <c r="L528" s="17" t="n">
        <f aca="false">COUNT(E528,I528,K528)</f>
        <v>2</v>
      </c>
      <c r="M528" s="18" t="n">
        <f aca="false">(D528&lt;&gt;"")*(D528&lt;=($E$3*60+$F$3)/86400)+(H528&lt;&gt;"")*(H528&lt;=($I$3*60+$J$3)/86400)+(J528&lt;&gt;"")*(J528&lt;=($M$3*60+$N$3)/86400)</f>
        <v>0</v>
      </c>
      <c r="N528" s="20"/>
      <c r="O528" s="20"/>
      <c r="P528" s="20"/>
      <c r="Q528" s="19"/>
    </row>
    <row r="529" customFormat="false" ht="15" hidden="false" customHeight="false" outlineLevel="0" collapsed="false">
      <c r="A529" s="10" t="n">
        <v>523</v>
      </c>
      <c r="B529" s="11" t="s">
        <v>919</v>
      </c>
      <c r="C529" s="12" t="s">
        <v>316</v>
      </c>
      <c r="D529" s="13" t="n">
        <v>0.0106496527777778</v>
      </c>
      <c r="E529" s="14" t="n">
        <v>524</v>
      </c>
      <c r="F529" s="15" t="n">
        <f aca="false">IF(D529="","",ROUND((D529-MIN($D$7:$D$9999))*86400,2))</f>
        <v>130.39</v>
      </c>
      <c r="G529" s="10" t="str">
        <f aca="false">IF(D529="","",IF(D529&lt;=($E$3*60+$F$3)/86400,"○",""))</f>
        <v/>
      </c>
      <c r="H529" s="16"/>
      <c r="I529" s="17"/>
      <c r="J529" s="16"/>
      <c r="K529" s="17"/>
      <c r="L529" s="17" t="n">
        <f aca="false">COUNT(E529,I529,K529)</f>
        <v>1</v>
      </c>
      <c r="M529" s="18" t="n">
        <f aca="false">(D529&lt;&gt;"")*(D529&lt;=($E$3*60+$F$3)/86400)+(H529&lt;&gt;"")*(H529&lt;=($I$3*60+$J$3)/86400)+(J529&lt;&gt;"")*(J529&lt;=($M$3*60+$N$3)/86400)</f>
        <v>0</v>
      </c>
      <c r="N529" s="20"/>
      <c r="O529" s="20"/>
      <c r="P529" s="20"/>
      <c r="Q529" s="19"/>
    </row>
    <row r="530" customFormat="false" ht="15" hidden="false" customHeight="false" outlineLevel="0" collapsed="false">
      <c r="A530" s="10" t="n">
        <v>524</v>
      </c>
      <c r="B530" s="11" t="s">
        <v>920</v>
      </c>
      <c r="C530" s="12" t="s">
        <v>561</v>
      </c>
      <c r="D530" s="13" t="n">
        <v>0.0106498842592593</v>
      </c>
      <c r="E530" s="14" t="n">
        <v>525</v>
      </c>
      <c r="F530" s="15" t="n">
        <f aca="false">IF(D530="","",ROUND((D530-MIN($D$7:$D$9999))*86400,2))</f>
        <v>130.41</v>
      </c>
      <c r="G530" s="10" t="str">
        <f aca="false">IF(D530="","",IF(D530&lt;=($E$3*60+$F$3)/86400,"○",""))</f>
        <v/>
      </c>
      <c r="H530" s="16" t="n">
        <v>0.006834375</v>
      </c>
      <c r="I530" s="17" t="n">
        <v>196</v>
      </c>
      <c r="J530" s="16" t="n">
        <v>0.00289097222222222</v>
      </c>
      <c r="K530" s="17" t="n">
        <v>875</v>
      </c>
      <c r="L530" s="17" t="n">
        <f aca="false">COUNT(E530,I530,K530)</f>
        <v>3</v>
      </c>
      <c r="M530" s="18" t="n">
        <f aca="false">(D530&lt;&gt;"")*(D530&lt;=($E$3*60+$F$3)/86400)+(H530&lt;&gt;"")*(H530&lt;=($I$3*60+$J$3)/86400)+(J530&lt;&gt;"")*(J530&lt;=($M$3*60+$N$3)/86400)</f>
        <v>0</v>
      </c>
      <c r="N530" s="20" t="s">
        <v>921</v>
      </c>
      <c r="O530" s="20"/>
      <c r="P530" s="20"/>
      <c r="Q530" s="19"/>
    </row>
    <row r="531" customFormat="false" ht="15" hidden="false" customHeight="false" outlineLevel="0" collapsed="false">
      <c r="A531" s="10" t="n">
        <v>525</v>
      </c>
      <c r="B531" s="11" t="s">
        <v>922</v>
      </c>
      <c r="C531" s="12" t="s">
        <v>397</v>
      </c>
      <c r="D531" s="13" t="n">
        <v>0.0106502314814815</v>
      </c>
      <c r="E531" s="14" t="n">
        <v>526</v>
      </c>
      <c r="F531" s="15" t="n">
        <f aca="false">IF(D531="","",ROUND((D531-MIN($D$7:$D$9999))*86400,2))</f>
        <v>130.44</v>
      </c>
      <c r="G531" s="10" t="str">
        <f aca="false">IF(D531="","",IF(D531&lt;=($E$3*60+$F$3)/86400,"○",""))</f>
        <v/>
      </c>
      <c r="H531" s="16"/>
      <c r="I531" s="17"/>
      <c r="J531" s="16" t="n">
        <v>0.00286354166666667</v>
      </c>
      <c r="K531" s="17" t="n">
        <v>658</v>
      </c>
      <c r="L531" s="17" t="n">
        <f aca="false">COUNT(E531,I531,K531)</f>
        <v>2</v>
      </c>
      <c r="M531" s="18" t="n">
        <f aca="false">(D531&lt;&gt;"")*(D531&lt;=($E$3*60+$F$3)/86400)+(H531&lt;&gt;"")*(H531&lt;=($I$3*60+$J$3)/86400)+(J531&lt;&gt;"")*(J531&lt;=($M$3*60+$N$3)/86400)</f>
        <v>0</v>
      </c>
      <c r="N531" s="20"/>
      <c r="O531" s="20"/>
      <c r="P531" s="20"/>
      <c r="Q531" s="19"/>
    </row>
    <row r="532" customFormat="false" ht="15" hidden="false" customHeight="false" outlineLevel="0" collapsed="false">
      <c r="A532" s="10" t="n">
        <v>526</v>
      </c>
      <c r="B532" s="11" t="s">
        <v>923</v>
      </c>
      <c r="C532" s="12" t="s">
        <v>186</v>
      </c>
      <c r="D532" s="13" t="n">
        <v>0.0106516203703704</v>
      </c>
      <c r="E532" s="14" t="n">
        <v>527</v>
      </c>
      <c r="F532" s="15" t="n">
        <f aca="false">IF(D532="","",ROUND((D532-MIN($D$7:$D$9999))*86400,2))</f>
        <v>130.56</v>
      </c>
      <c r="G532" s="10" t="str">
        <f aca="false">IF(D532="","",IF(D532&lt;=($E$3*60+$F$3)/86400,"○",""))</f>
        <v/>
      </c>
      <c r="H532" s="16"/>
      <c r="I532" s="17"/>
      <c r="J532" s="16" t="n">
        <v>0.00281875</v>
      </c>
      <c r="K532" s="17" t="n">
        <v>357</v>
      </c>
      <c r="L532" s="17" t="n">
        <f aca="false">COUNT(E532,I532,K532)</f>
        <v>2</v>
      </c>
      <c r="M532" s="18" t="n">
        <f aca="false">(D532&lt;&gt;"")*(D532&lt;=($E$3*60+$F$3)/86400)+(H532&lt;&gt;"")*(H532&lt;=($I$3*60+$J$3)/86400)+(J532&lt;&gt;"")*(J532&lt;=($M$3*60+$N$3)/86400)</f>
        <v>0</v>
      </c>
      <c r="N532" s="20" t="s">
        <v>924</v>
      </c>
      <c r="O532" s="20"/>
      <c r="P532" s="20"/>
      <c r="Q532" s="19"/>
    </row>
    <row r="533" customFormat="false" ht="15" hidden="false" customHeight="false" outlineLevel="0" collapsed="false">
      <c r="A533" s="10" t="n">
        <v>527</v>
      </c>
      <c r="B533" s="11" t="s">
        <v>925</v>
      </c>
      <c r="C533" s="12" t="s">
        <v>32</v>
      </c>
      <c r="D533" s="13" t="n">
        <v>0.0106527777777778</v>
      </c>
      <c r="E533" s="14" t="n">
        <v>528</v>
      </c>
      <c r="F533" s="15" t="n">
        <f aca="false">IF(D533="","",ROUND((D533-MIN($D$7:$D$9999))*86400,2))</f>
        <v>130.66</v>
      </c>
      <c r="G533" s="10" t="str">
        <f aca="false">IF(D533="","",IF(D533&lt;=($E$3*60+$F$3)/86400,"○",""))</f>
        <v/>
      </c>
      <c r="H533" s="16"/>
      <c r="I533" s="17"/>
      <c r="J533" s="16" t="n">
        <v>0.00284259259259259</v>
      </c>
      <c r="K533" s="17" t="n">
        <v>513</v>
      </c>
      <c r="L533" s="17" t="n">
        <f aca="false">COUNT(E533,I533,K533)</f>
        <v>2</v>
      </c>
      <c r="M533" s="18" t="n">
        <f aca="false">(D533&lt;&gt;"")*(D533&lt;=($E$3*60+$F$3)/86400)+(H533&lt;&gt;"")*(H533&lt;=($I$3*60+$J$3)/86400)+(J533&lt;&gt;"")*(J533&lt;=($M$3*60+$N$3)/86400)</f>
        <v>0</v>
      </c>
      <c r="N533" s="20"/>
      <c r="O533" s="20"/>
      <c r="P533" s="20"/>
      <c r="Q533" s="19"/>
    </row>
    <row r="534" customFormat="false" ht="15" hidden="false" customHeight="false" outlineLevel="0" collapsed="false">
      <c r="A534" s="10" t="n">
        <v>528</v>
      </c>
      <c r="B534" s="11" t="s">
        <v>926</v>
      </c>
      <c r="C534" s="12" t="s">
        <v>728</v>
      </c>
      <c r="D534" s="13" t="n">
        <v>0.0106528935185185</v>
      </c>
      <c r="E534" s="14" t="n">
        <v>529</v>
      </c>
      <c r="F534" s="15" t="n">
        <f aca="false">IF(D534="","",ROUND((D534-MIN($D$7:$D$9999))*86400,2))</f>
        <v>130.67</v>
      </c>
      <c r="G534" s="10" t="str">
        <f aca="false">IF(D534="","",IF(D534&lt;=($E$3*60+$F$3)/86400,"○",""))</f>
        <v/>
      </c>
      <c r="H534" s="16"/>
      <c r="I534" s="17"/>
      <c r="J534" s="16" t="n">
        <v>0.00286041666666667</v>
      </c>
      <c r="K534" s="17" t="n">
        <v>637</v>
      </c>
      <c r="L534" s="17" t="n">
        <f aca="false">COUNT(E534,I534,K534)</f>
        <v>2</v>
      </c>
      <c r="M534" s="18" t="n">
        <f aca="false">(D534&lt;&gt;"")*(D534&lt;=($E$3*60+$F$3)/86400)+(H534&lt;&gt;"")*(H534&lt;=($I$3*60+$J$3)/86400)+(J534&lt;&gt;"")*(J534&lt;=($M$3*60+$N$3)/86400)</f>
        <v>0</v>
      </c>
      <c r="N534" s="20"/>
      <c r="O534" s="20" t="s">
        <v>763</v>
      </c>
      <c r="P534" s="20"/>
      <c r="Q534" s="19"/>
    </row>
    <row r="535" customFormat="false" ht="15" hidden="false" customHeight="false" outlineLevel="0" collapsed="false">
      <c r="A535" s="10" t="n">
        <v>529</v>
      </c>
      <c r="B535" s="11" t="s">
        <v>927</v>
      </c>
      <c r="C535" s="12" t="s">
        <v>61</v>
      </c>
      <c r="D535" s="13" t="n">
        <v>0.010653125</v>
      </c>
      <c r="E535" s="14" t="n">
        <v>530</v>
      </c>
      <c r="F535" s="15" t="n">
        <f aca="false">IF(D535="","",ROUND((D535-MIN($D$7:$D$9999))*86400,2))</f>
        <v>130.69</v>
      </c>
      <c r="G535" s="10" t="str">
        <f aca="false">IF(D535="","",IF(D535&lt;=($E$3*60+$F$3)/86400,"○",""))</f>
        <v/>
      </c>
      <c r="H535" s="16"/>
      <c r="I535" s="17"/>
      <c r="J535" s="16" t="n">
        <v>0.00289328703703704</v>
      </c>
      <c r="K535" s="17" t="n">
        <v>899</v>
      </c>
      <c r="L535" s="17" t="n">
        <f aca="false">COUNT(E535,I535,K535)</f>
        <v>2</v>
      </c>
      <c r="M535" s="18" t="n">
        <f aca="false">(D535&lt;&gt;"")*(D535&lt;=($E$3*60+$F$3)/86400)+(H535&lt;&gt;"")*(H535&lt;=($I$3*60+$J$3)/86400)+(J535&lt;&gt;"")*(J535&lt;=($M$3*60+$N$3)/86400)</f>
        <v>0</v>
      </c>
      <c r="N535" s="20"/>
      <c r="O535" s="20"/>
      <c r="P535" s="20"/>
      <c r="Q535" s="19"/>
    </row>
    <row r="536" customFormat="false" ht="15" hidden="false" customHeight="false" outlineLevel="0" collapsed="false">
      <c r="A536" s="10" t="n">
        <v>530</v>
      </c>
      <c r="B536" s="11" t="s">
        <v>928</v>
      </c>
      <c r="C536" s="12" t="s">
        <v>929</v>
      </c>
      <c r="D536" s="13" t="n">
        <v>0.0106542824074074</v>
      </c>
      <c r="E536" s="14" t="n">
        <v>531</v>
      </c>
      <c r="F536" s="15" t="n">
        <f aca="false">IF(D536="","",ROUND((D536-MIN($D$7:$D$9999))*86400,2))</f>
        <v>130.79</v>
      </c>
      <c r="G536" s="10" t="str">
        <f aca="false">IF(D536="","",IF(D536&lt;=($E$3*60+$F$3)/86400,"○",""))</f>
        <v/>
      </c>
      <c r="H536" s="16" t="n">
        <v>0.00679710648148148</v>
      </c>
      <c r="I536" s="17" t="n">
        <v>168</v>
      </c>
      <c r="J536" s="16" t="n">
        <v>0.0028880787037037</v>
      </c>
      <c r="K536" s="17" t="n">
        <v>848</v>
      </c>
      <c r="L536" s="17" t="n">
        <f aca="false">COUNT(E536,I536,K536)</f>
        <v>3</v>
      </c>
      <c r="M536" s="18" t="n">
        <f aca="false">(D536&lt;&gt;"")*(D536&lt;=($E$3*60+$F$3)/86400)+(H536&lt;&gt;"")*(H536&lt;=($I$3*60+$J$3)/86400)+(J536&lt;&gt;"")*(J536&lt;=($M$3*60+$N$3)/86400)</f>
        <v>0</v>
      </c>
      <c r="N536" s="20"/>
      <c r="O536" s="20"/>
      <c r="P536" s="20"/>
      <c r="Q536" s="19"/>
    </row>
    <row r="537" customFormat="false" ht="15" hidden="false" customHeight="false" outlineLevel="0" collapsed="false">
      <c r="A537" s="10" t="n">
        <v>531</v>
      </c>
      <c r="B537" s="11" t="s">
        <v>930</v>
      </c>
      <c r="C537" s="12" t="s">
        <v>259</v>
      </c>
      <c r="D537" s="13" t="n">
        <v>0.0106579861111111</v>
      </c>
      <c r="E537" s="14" t="n">
        <v>532</v>
      </c>
      <c r="F537" s="15" t="n">
        <f aca="false">IF(D537="","",ROUND((D537-MIN($D$7:$D$9999))*86400,2))</f>
        <v>131.11</v>
      </c>
      <c r="G537" s="10" t="str">
        <f aca="false">IF(D537="","",IF(D537&lt;=($E$3*60+$F$3)/86400,"○",""))</f>
        <v/>
      </c>
      <c r="H537" s="16"/>
      <c r="I537" s="17"/>
      <c r="J537" s="16" t="n">
        <v>0.00285520833333333</v>
      </c>
      <c r="K537" s="17" t="n">
        <v>597</v>
      </c>
      <c r="L537" s="17" t="n">
        <f aca="false">COUNT(E537,I537,K537)</f>
        <v>2</v>
      </c>
      <c r="M537" s="18" t="n">
        <f aca="false">(D537&lt;&gt;"")*(D537&lt;=($E$3*60+$F$3)/86400)+(H537&lt;&gt;"")*(H537&lt;=($I$3*60+$J$3)/86400)+(J537&lt;&gt;"")*(J537&lt;=($M$3*60+$N$3)/86400)</f>
        <v>0</v>
      </c>
      <c r="N537" s="20"/>
      <c r="O537" s="20" t="s">
        <v>931</v>
      </c>
      <c r="P537" s="20"/>
      <c r="Q537" s="19"/>
    </row>
    <row r="538" customFormat="false" ht="15" hidden="false" customHeight="false" outlineLevel="0" collapsed="false">
      <c r="A538" s="10" t="n">
        <v>532</v>
      </c>
      <c r="B538" s="11" t="s">
        <v>932</v>
      </c>
      <c r="C538" s="12" t="s">
        <v>933</v>
      </c>
      <c r="D538" s="13" t="n">
        <v>0.0106582175925926</v>
      </c>
      <c r="E538" s="14" t="n">
        <v>533</v>
      </c>
      <c r="F538" s="15" t="n">
        <f aca="false">IF(D538="","",ROUND((D538-MIN($D$7:$D$9999))*86400,2))</f>
        <v>131.13</v>
      </c>
      <c r="G538" s="10" t="str">
        <f aca="false">IF(D538="","",IF(D538&lt;=($E$3*60+$F$3)/86400,"○",""))</f>
        <v/>
      </c>
      <c r="H538" s="16"/>
      <c r="I538" s="17"/>
      <c r="J538" s="16" t="n">
        <v>0.00288715277777778</v>
      </c>
      <c r="K538" s="17" t="n">
        <v>837</v>
      </c>
      <c r="L538" s="17" t="n">
        <f aca="false">COUNT(E538,I538,K538)</f>
        <v>2</v>
      </c>
      <c r="M538" s="18" t="n">
        <f aca="false">(D538&lt;&gt;"")*(D538&lt;=($E$3*60+$F$3)/86400)+(H538&lt;&gt;"")*(H538&lt;=($I$3*60+$J$3)/86400)+(J538&lt;&gt;"")*(J538&lt;=($M$3*60+$N$3)/86400)</f>
        <v>0</v>
      </c>
      <c r="N538" s="20"/>
      <c r="O538" s="20"/>
      <c r="P538" s="12" t="s">
        <v>934</v>
      </c>
      <c r="Q538" s="19"/>
    </row>
    <row r="539" customFormat="false" ht="15" hidden="false" customHeight="false" outlineLevel="0" collapsed="false">
      <c r="A539" s="10" t="n">
        <v>533</v>
      </c>
      <c r="B539" s="11" t="s">
        <v>935</v>
      </c>
      <c r="C539" s="12" t="s">
        <v>936</v>
      </c>
      <c r="D539" s="13" t="n">
        <v>0.0106591435185185</v>
      </c>
      <c r="E539" s="14" t="n">
        <v>534</v>
      </c>
      <c r="F539" s="15" t="n">
        <f aca="false">IF(D539="","",ROUND((D539-MIN($D$7:$D$9999))*86400,2))</f>
        <v>131.21</v>
      </c>
      <c r="G539" s="10" t="str">
        <f aca="false">IF(D539="","",IF(D539&lt;=($E$3*60+$F$3)/86400,"○",""))</f>
        <v/>
      </c>
      <c r="H539" s="16" t="n">
        <v>0.00670185185185185</v>
      </c>
      <c r="I539" s="17" t="n">
        <v>109</v>
      </c>
      <c r="J539" s="16" t="n">
        <v>0.00288518518518519</v>
      </c>
      <c r="K539" s="17" t="n">
        <v>820</v>
      </c>
      <c r="L539" s="17" t="n">
        <f aca="false">COUNT(E539,I539,K539)</f>
        <v>3</v>
      </c>
      <c r="M539" s="18" t="n">
        <f aca="false">(D539&lt;&gt;"")*(D539&lt;=($E$3*60+$F$3)/86400)+(H539&lt;&gt;"")*(H539&lt;=($I$3*60+$J$3)/86400)+(J539&lt;&gt;"")*(J539&lt;=($M$3*60+$N$3)/86400)</f>
        <v>0</v>
      </c>
      <c r="N539" s="20"/>
      <c r="O539" s="20"/>
      <c r="P539" s="20"/>
      <c r="Q539" s="19"/>
    </row>
    <row r="540" customFormat="false" ht="15" hidden="false" customHeight="false" outlineLevel="0" collapsed="false">
      <c r="A540" s="10" t="n">
        <v>534</v>
      </c>
      <c r="B540" s="11" t="s">
        <v>937</v>
      </c>
      <c r="C540" s="12" t="s">
        <v>115</v>
      </c>
      <c r="D540" s="13" t="n">
        <v>0.0106601851851852</v>
      </c>
      <c r="E540" s="14" t="n">
        <v>535</v>
      </c>
      <c r="F540" s="15" t="n">
        <f aca="false">IF(D540="","",ROUND((D540-MIN($D$7:$D$9999))*86400,2))</f>
        <v>131.3</v>
      </c>
      <c r="G540" s="10" t="str">
        <f aca="false">IF(D540="","",IF(D540&lt;=($E$3*60+$F$3)/86400,"○",""))</f>
        <v/>
      </c>
      <c r="H540" s="16"/>
      <c r="I540" s="17"/>
      <c r="J540" s="16" t="n">
        <v>0.00286793981481482</v>
      </c>
      <c r="K540" s="17" t="n">
        <v>679</v>
      </c>
      <c r="L540" s="17" t="n">
        <f aca="false">COUNT(E540,I540,K540)</f>
        <v>2</v>
      </c>
      <c r="M540" s="18" t="n">
        <f aca="false">(D540&lt;&gt;"")*(D540&lt;=($E$3*60+$F$3)/86400)+(H540&lt;&gt;"")*(H540&lt;=($I$3*60+$J$3)/86400)+(J540&lt;&gt;"")*(J540&lt;=($M$3*60+$N$3)/86400)</f>
        <v>0</v>
      </c>
      <c r="N540" s="20"/>
      <c r="O540" s="20"/>
      <c r="P540" s="20"/>
      <c r="Q540" s="19"/>
    </row>
    <row r="541" customFormat="false" ht="15" hidden="false" customHeight="false" outlineLevel="0" collapsed="false">
      <c r="A541" s="10" t="n">
        <v>535</v>
      </c>
      <c r="B541" s="11" t="s">
        <v>938</v>
      </c>
      <c r="C541" s="12" t="s">
        <v>939</v>
      </c>
      <c r="D541" s="13" t="n">
        <v>0.0106615740740741</v>
      </c>
      <c r="E541" s="14" t="n">
        <v>536</v>
      </c>
      <c r="F541" s="15" t="n">
        <f aca="false">IF(D541="","",ROUND((D541-MIN($D$7:$D$9999))*86400,2))</f>
        <v>131.42</v>
      </c>
      <c r="G541" s="10" t="str">
        <f aca="false">IF(D541="","",IF(D541&lt;=($E$3*60+$F$3)/86400,"○",""))</f>
        <v/>
      </c>
      <c r="H541" s="16"/>
      <c r="I541" s="17"/>
      <c r="J541" s="16" t="n">
        <v>0.00294699074074074</v>
      </c>
      <c r="K541" s="17" t="n">
        <v>1223</v>
      </c>
      <c r="L541" s="17" t="n">
        <f aca="false">COUNT(E541,I541,K541)</f>
        <v>2</v>
      </c>
      <c r="M541" s="18" t="n">
        <f aca="false">(D541&lt;&gt;"")*(D541&lt;=($E$3*60+$F$3)/86400)+(H541&lt;&gt;"")*(H541&lt;=($I$3*60+$J$3)/86400)+(J541&lt;&gt;"")*(J541&lt;=($M$3*60+$N$3)/86400)</f>
        <v>0</v>
      </c>
      <c r="N541" s="20"/>
      <c r="O541" s="20" t="s">
        <v>940</v>
      </c>
      <c r="P541" s="20"/>
      <c r="Q541" s="19"/>
    </row>
    <row r="542" customFormat="false" ht="15" hidden="false" customHeight="false" outlineLevel="0" collapsed="false">
      <c r="A542" s="10" t="n">
        <v>536</v>
      </c>
      <c r="B542" s="11" t="s">
        <v>941</v>
      </c>
      <c r="C542" s="12" t="s">
        <v>316</v>
      </c>
      <c r="D542" s="13" t="n">
        <v>0.0106621527777778</v>
      </c>
      <c r="E542" s="14" t="n">
        <v>537</v>
      </c>
      <c r="F542" s="15" t="n">
        <f aca="false">IF(D542="","",ROUND((D542-MIN($D$7:$D$9999))*86400,2))</f>
        <v>131.47</v>
      </c>
      <c r="G542" s="10" t="str">
        <f aca="false">IF(D542="","",IF(D542&lt;=($E$3*60+$F$3)/86400,"○",""))</f>
        <v/>
      </c>
      <c r="H542" s="16" t="n">
        <v>0.00659155092592593</v>
      </c>
      <c r="I542" s="17" t="n">
        <v>66</v>
      </c>
      <c r="J542" s="16"/>
      <c r="K542" s="17"/>
      <c r="L542" s="17" t="n">
        <f aca="false">COUNT(E542,I542,K542)</f>
        <v>2</v>
      </c>
      <c r="M542" s="18" t="n">
        <f aca="false">(D542&lt;&gt;"")*(D542&lt;=($E$3*60+$F$3)/86400)+(H542&lt;&gt;"")*(H542&lt;=($I$3*60+$J$3)/86400)+(J542&lt;&gt;"")*(J542&lt;=($M$3*60+$N$3)/86400)</f>
        <v>0</v>
      </c>
      <c r="N542" s="20"/>
      <c r="O542" s="20"/>
      <c r="P542" s="20"/>
      <c r="Q542" s="19"/>
    </row>
    <row r="543" customFormat="false" ht="15" hidden="false" customHeight="false" outlineLevel="0" collapsed="false">
      <c r="A543" s="10" t="n">
        <v>537</v>
      </c>
      <c r="B543" s="11" t="s">
        <v>942</v>
      </c>
      <c r="C543" s="12" t="s">
        <v>320</v>
      </c>
      <c r="D543" s="13" t="n">
        <v>0.0106627314814815</v>
      </c>
      <c r="E543" s="14" t="n">
        <v>538</v>
      </c>
      <c r="F543" s="15" t="n">
        <f aca="false">IF(D543="","",ROUND((D543-MIN($D$7:$D$9999))*86400,2))</f>
        <v>131.52</v>
      </c>
      <c r="G543" s="10" t="str">
        <f aca="false">IF(D543="","",IF(D543&lt;=($E$3*60+$F$3)/86400,"○",""))</f>
        <v/>
      </c>
      <c r="H543" s="16"/>
      <c r="I543" s="17"/>
      <c r="J543" s="16"/>
      <c r="K543" s="17"/>
      <c r="L543" s="17" t="n">
        <f aca="false">COUNT(E543,I543,K543)</f>
        <v>1</v>
      </c>
      <c r="M543" s="18" t="n">
        <f aca="false">(D543&lt;&gt;"")*(D543&lt;=($E$3*60+$F$3)/86400)+(H543&lt;&gt;"")*(H543&lt;=($I$3*60+$J$3)/86400)+(J543&lt;&gt;"")*(J543&lt;=($M$3*60+$N$3)/86400)</f>
        <v>0</v>
      </c>
      <c r="N543" s="20"/>
      <c r="O543" s="20" t="s">
        <v>943</v>
      </c>
      <c r="P543" s="20"/>
      <c r="Q543" s="19"/>
    </row>
    <row r="544" customFormat="false" ht="15" hidden="false" customHeight="false" outlineLevel="0" collapsed="false">
      <c r="A544" s="10" t="n">
        <v>538</v>
      </c>
      <c r="B544" s="11" t="s">
        <v>944</v>
      </c>
      <c r="C544" s="12" t="s">
        <v>248</v>
      </c>
      <c r="D544" s="13" t="n">
        <v>0.010665162037037</v>
      </c>
      <c r="E544" s="14" t="n">
        <v>539</v>
      </c>
      <c r="F544" s="15" t="n">
        <f aca="false">IF(D544="","",ROUND((D544-MIN($D$7:$D$9999))*86400,2))</f>
        <v>131.73</v>
      </c>
      <c r="G544" s="10" t="str">
        <f aca="false">IF(D544="","",IF(D544&lt;=($E$3*60+$F$3)/86400,"○",""))</f>
        <v/>
      </c>
      <c r="H544" s="16"/>
      <c r="I544" s="17"/>
      <c r="J544" s="16" t="n">
        <v>0.00277835648148148</v>
      </c>
      <c r="K544" s="17" t="n">
        <v>193</v>
      </c>
      <c r="L544" s="17" t="n">
        <f aca="false">COUNT(E544,I544,K544)</f>
        <v>2</v>
      </c>
      <c r="M544" s="18" t="n">
        <f aca="false">(D544&lt;&gt;"")*(D544&lt;=($E$3*60+$F$3)/86400)+(H544&lt;&gt;"")*(H544&lt;=($I$3*60+$J$3)/86400)+(J544&lt;&gt;"")*(J544&lt;=($M$3*60+$N$3)/86400)</f>
        <v>0</v>
      </c>
      <c r="N544" s="20"/>
      <c r="O544" s="20"/>
      <c r="P544" s="20"/>
      <c r="Q544" s="19"/>
    </row>
    <row r="545" customFormat="false" ht="15" hidden="false" customHeight="false" outlineLevel="0" collapsed="false">
      <c r="A545" s="10" t="n">
        <v>539</v>
      </c>
      <c r="B545" s="11" t="s">
        <v>945</v>
      </c>
      <c r="C545" s="12" t="s">
        <v>152</v>
      </c>
      <c r="D545" s="13" t="n">
        <v>0.0106653935185185</v>
      </c>
      <c r="E545" s="14" t="n">
        <v>540</v>
      </c>
      <c r="F545" s="15" t="n">
        <f aca="false">IF(D545="","",ROUND((D545-MIN($D$7:$D$9999))*86400,2))</f>
        <v>131.75</v>
      </c>
      <c r="G545" s="10" t="str">
        <f aca="false">IF(D545="","",IF(D545&lt;=($E$3*60+$F$3)/86400,"○",""))</f>
        <v/>
      </c>
      <c r="H545" s="16" t="n">
        <v>0.00706574074074074</v>
      </c>
      <c r="I545" s="17" t="n">
        <v>410</v>
      </c>
      <c r="J545" s="16"/>
      <c r="K545" s="17"/>
      <c r="L545" s="17" t="n">
        <f aca="false">COUNT(E545,I545,K545)</f>
        <v>2</v>
      </c>
      <c r="M545" s="18" t="n">
        <f aca="false">(D545&lt;&gt;"")*(D545&lt;=($E$3*60+$F$3)/86400)+(H545&lt;&gt;"")*(H545&lt;=($I$3*60+$J$3)/86400)+(J545&lt;&gt;"")*(J545&lt;=($M$3*60+$N$3)/86400)</f>
        <v>0</v>
      </c>
      <c r="N545" s="20"/>
      <c r="O545" s="20"/>
      <c r="P545" s="20"/>
      <c r="Q545" s="19"/>
    </row>
    <row r="546" customFormat="false" ht="15" hidden="false" customHeight="false" outlineLevel="0" collapsed="false">
      <c r="A546" s="10" t="n">
        <v>540</v>
      </c>
      <c r="B546" s="11" t="s">
        <v>946</v>
      </c>
      <c r="C546" s="12" t="s">
        <v>947</v>
      </c>
      <c r="D546" s="13" t="n">
        <v>0.010666087962963</v>
      </c>
      <c r="E546" s="14" t="n">
        <v>541</v>
      </c>
      <c r="F546" s="15" t="n">
        <f aca="false">IF(D546="","",ROUND((D546-MIN($D$7:$D$9999))*86400,2))</f>
        <v>131.81</v>
      </c>
      <c r="G546" s="10" t="str">
        <f aca="false">IF(D546="","",IF(D546&lt;=($E$3*60+$F$3)/86400,"○",""))</f>
        <v/>
      </c>
      <c r="H546" s="16"/>
      <c r="I546" s="17"/>
      <c r="J546" s="16"/>
      <c r="K546" s="17"/>
      <c r="L546" s="17" t="n">
        <f aca="false">COUNT(E546,I546,K546)</f>
        <v>1</v>
      </c>
      <c r="M546" s="18" t="n">
        <f aca="false">(D546&lt;&gt;"")*(D546&lt;=($E$3*60+$F$3)/86400)+(H546&lt;&gt;"")*(H546&lt;=($I$3*60+$J$3)/86400)+(J546&lt;&gt;"")*(J546&lt;=($M$3*60+$N$3)/86400)</f>
        <v>0</v>
      </c>
      <c r="N546" s="20"/>
      <c r="O546" s="20"/>
      <c r="P546" s="20"/>
      <c r="Q546" s="19"/>
    </row>
    <row r="547" customFormat="false" ht="15" hidden="false" customHeight="false" outlineLevel="0" collapsed="false">
      <c r="A547" s="10" t="n">
        <v>541</v>
      </c>
      <c r="B547" s="11" t="s">
        <v>948</v>
      </c>
      <c r="C547" s="12" t="s">
        <v>949</v>
      </c>
      <c r="D547" s="13" t="n">
        <v>0.0106663194444445</v>
      </c>
      <c r="E547" s="14" t="n">
        <v>542</v>
      </c>
      <c r="F547" s="15" t="n">
        <f aca="false">IF(D547="","",ROUND((D547-MIN($D$7:$D$9999))*86400,2))</f>
        <v>131.83</v>
      </c>
      <c r="G547" s="10" t="str">
        <f aca="false">IF(D547="","",IF(D547&lt;=($E$3*60+$F$3)/86400,"○",""))</f>
        <v/>
      </c>
      <c r="H547" s="16"/>
      <c r="I547" s="17"/>
      <c r="J547" s="16" t="n">
        <v>0.00288101851851852</v>
      </c>
      <c r="K547" s="17" t="n">
        <v>777</v>
      </c>
      <c r="L547" s="17" t="n">
        <f aca="false">COUNT(E547,I547,K547)</f>
        <v>2</v>
      </c>
      <c r="M547" s="18" t="n">
        <f aca="false">(D547&lt;&gt;"")*(D547&lt;=($E$3*60+$F$3)/86400)+(H547&lt;&gt;"")*(H547&lt;=($I$3*60+$J$3)/86400)+(J547&lt;&gt;"")*(J547&lt;=($M$3*60+$N$3)/86400)</f>
        <v>0</v>
      </c>
      <c r="N547" s="20"/>
      <c r="O547" s="20"/>
      <c r="P547" s="20"/>
      <c r="Q547" s="19"/>
    </row>
    <row r="548" customFormat="false" ht="15" hidden="false" customHeight="false" outlineLevel="0" collapsed="false">
      <c r="A548" s="10" t="n">
        <v>542</v>
      </c>
      <c r="B548" s="11" t="s">
        <v>950</v>
      </c>
      <c r="C548" s="12" t="s">
        <v>951</v>
      </c>
      <c r="D548" s="13" t="n">
        <v>0.0106671296296296</v>
      </c>
      <c r="E548" s="14" t="n">
        <v>543</v>
      </c>
      <c r="F548" s="15" t="n">
        <f aca="false">IF(D548="","",ROUND((D548-MIN($D$7:$D$9999))*86400,2))</f>
        <v>131.9</v>
      </c>
      <c r="G548" s="10" t="str">
        <f aca="false">IF(D548="","",IF(D548&lt;=($E$3*60+$F$3)/86400,"○",""))</f>
        <v/>
      </c>
      <c r="H548" s="16" t="n">
        <v>0.00666493055555556</v>
      </c>
      <c r="I548" s="17" t="n">
        <v>90</v>
      </c>
      <c r="J548" s="16"/>
      <c r="K548" s="17"/>
      <c r="L548" s="17" t="n">
        <f aca="false">COUNT(E548,I548,K548)</f>
        <v>2</v>
      </c>
      <c r="M548" s="18" t="n">
        <f aca="false">(D548&lt;&gt;"")*(D548&lt;=($E$3*60+$F$3)/86400)+(H548&lt;&gt;"")*(H548&lt;=($I$3*60+$J$3)/86400)+(J548&lt;&gt;"")*(J548&lt;=($M$3*60+$N$3)/86400)</f>
        <v>0</v>
      </c>
      <c r="N548" s="20"/>
      <c r="O548" s="20"/>
      <c r="P548" s="20"/>
      <c r="Q548" s="19"/>
    </row>
    <row r="549" customFormat="false" ht="15" hidden="false" customHeight="false" outlineLevel="0" collapsed="false">
      <c r="A549" s="10" t="n">
        <v>543</v>
      </c>
      <c r="B549" s="11" t="s">
        <v>952</v>
      </c>
      <c r="C549" s="12" t="s">
        <v>953</v>
      </c>
      <c r="D549" s="13" t="n">
        <v>0.0106686342592593</v>
      </c>
      <c r="E549" s="14" t="n">
        <v>544</v>
      </c>
      <c r="F549" s="15" t="n">
        <f aca="false">IF(D549="","",ROUND((D549-MIN($D$7:$D$9999))*86400,2))</f>
        <v>132.03</v>
      </c>
      <c r="G549" s="10" t="str">
        <f aca="false">IF(D549="","",IF(D549&lt;=($E$3*60+$F$3)/86400,"○",""))</f>
        <v/>
      </c>
      <c r="H549" s="16" t="n">
        <v>0.00648645833333333</v>
      </c>
      <c r="I549" s="17" t="n">
        <v>32</v>
      </c>
      <c r="J549" s="16" t="n">
        <v>0.00273206018518519</v>
      </c>
      <c r="K549" s="17" t="n">
        <v>68</v>
      </c>
      <c r="L549" s="17" t="n">
        <f aca="false">COUNT(E549,I549,K549)</f>
        <v>3</v>
      </c>
      <c r="M549" s="18" t="n">
        <f aca="false">(D549&lt;&gt;"")*(D549&lt;=($E$3*60+$F$3)/86400)+(H549&lt;&gt;"")*(H549&lt;=($I$3*60+$J$3)/86400)+(J549&lt;&gt;"")*(J549&lt;=($M$3*60+$N$3)/86400)</f>
        <v>0</v>
      </c>
      <c r="N549" s="20"/>
      <c r="O549" s="20"/>
      <c r="P549" s="20"/>
      <c r="Q549" s="19"/>
    </row>
    <row r="550" customFormat="false" ht="15" hidden="false" customHeight="false" outlineLevel="0" collapsed="false">
      <c r="A550" s="10" t="n">
        <v>544</v>
      </c>
      <c r="B550" s="11" t="s">
        <v>954</v>
      </c>
      <c r="C550" s="12" t="s">
        <v>537</v>
      </c>
      <c r="D550" s="13" t="n">
        <v>0.0106689814814815</v>
      </c>
      <c r="E550" s="14" t="n">
        <v>545</v>
      </c>
      <c r="F550" s="15" t="n">
        <f aca="false">IF(D550="","",ROUND((D550-MIN($D$7:$D$9999))*86400,2))</f>
        <v>132.06</v>
      </c>
      <c r="G550" s="10" t="str">
        <f aca="false">IF(D550="","",IF(D550&lt;=($E$3*60+$F$3)/86400,"○",""))</f>
        <v/>
      </c>
      <c r="H550" s="16" t="n">
        <v>0.0068630787037037</v>
      </c>
      <c r="I550" s="17" t="n">
        <v>214</v>
      </c>
      <c r="J550" s="16" t="n">
        <v>0.0028525462962963</v>
      </c>
      <c r="K550" s="17" t="n">
        <v>583</v>
      </c>
      <c r="L550" s="17" t="n">
        <f aca="false">COUNT(E550,I550,K550)</f>
        <v>3</v>
      </c>
      <c r="M550" s="18" t="n">
        <f aca="false">(D550&lt;&gt;"")*(D550&lt;=($E$3*60+$F$3)/86400)+(H550&lt;&gt;"")*(H550&lt;=($I$3*60+$J$3)/86400)+(J550&lt;&gt;"")*(J550&lt;=($M$3*60+$N$3)/86400)</f>
        <v>0</v>
      </c>
      <c r="N550" s="20"/>
      <c r="O550" s="20"/>
      <c r="P550" s="20"/>
      <c r="Q550" s="19"/>
    </row>
    <row r="551" customFormat="false" ht="15" hidden="false" customHeight="false" outlineLevel="0" collapsed="false">
      <c r="A551" s="10" t="n">
        <v>545</v>
      </c>
      <c r="B551" s="11" t="s">
        <v>955</v>
      </c>
      <c r="C551" s="12" t="s">
        <v>186</v>
      </c>
      <c r="D551" s="13" t="n">
        <v>0.0106693287037037</v>
      </c>
      <c r="E551" s="14" t="n">
        <v>546</v>
      </c>
      <c r="F551" s="15" t="n">
        <f aca="false">IF(D551="","",ROUND((D551-MIN($D$7:$D$9999))*86400,2))</f>
        <v>132.09</v>
      </c>
      <c r="G551" s="10" t="str">
        <f aca="false">IF(D551="","",IF(D551&lt;=($E$3*60+$F$3)/86400,"○",""))</f>
        <v/>
      </c>
      <c r="H551" s="16"/>
      <c r="I551" s="17"/>
      <c r="J551" s="16"/>
      <c r="K551" s="17"/>
      <c r="L551" s="17" t="n">
        <f aca="false">COUNT(E551,I551,K551)</f>
        <v>1</v>
      </c>
      <c r="M551" s="18" t="n">
        <f aca="false">(D551&lt;&gt;"")*(D551&lt;=($E$3*60+$F$3)/86400)+(H551&lt;&gt;"")*(H551&lt;=($I$3*60+$J$3)/86400)+(J551&lt;&gt;"")*(J551&lt;=($M$3*60+$N$3)/86400)</f>
        <v>0</v>
      </c>
      <c r="N551" s="20"/>
      <c r="O551" s="20"/>
      <c r="P551" s="20"/>
      <c r="Q551" s="19"/>
    </row>
    <row r="552" customFormat="false" ht="15" hidden="false" customHeight="false" outlineLevel="0" collapsed="false">
      <c r="A552" s="10" t="n">
        <v>546</v>
      </c>
      <c r="B552" s="11" t="s">
        <v>956</v>
      </c>
      <c r="C552" s="12" t="s">
        <v>73</v>
      </c>
      <c r="D552" s="13" t="n">
        <v>0.0106693287037037</v>
      </c>
      <c r="E552" s="14" t="n">
        <v>547</v>
      </c>
      <c r="F552" s="15" t="n">
        <f aca="false">IF(D552="","",ROUND((D552-MIN($D$7:$D$9999))*86400,2))</f>
        <v>132.09</v>
      </c>
      <c r="G552" s="10" t="str">
        <f aca="false">IF(D552="","",IF(D552&lt;=($E$3*60+$F$3)/86400,"○",""))</f>
        <v/>
      </c>
      <c r="H552" s="16"/>
      <c r="I552" s="17"/>
      <c r="J552" s="16"/>
      <c r="K552" s="17"/>
      <c r="L552" s="17" t="n">
        <f aca="false">COUNT(E552,I552,K552)</f>
        <v>1</v>
      </c>
      <c r="M552" s="18" t="n">
        <f aca="false">(D552&lt;&gt;"")*(D552&lt;=($E$3*60+$F$3)/86400)+(H552&lt;&gt;"")*(H552&lt;=($I$3*60+$J$3)/86400)+(J552&lt;&gt;"")*(J552&lt;=($M$3*60+$N$3)/86400)</f>
        <v>0</v>
      </c>
      <c r="N552" s="20"/>
      <c r="O552" s="20"/>
      <c r="P552" s="20"/>
      <c r="Q552" s="19"/>
    </row>
    <row r="553" customFormat="false" ht="15" hidden="false" customHeight="false" outlineLevel="0" collapsed="false">
      <c r="A553" s="10" t="n">
        <v>547</v>
      </c>
      <c r="B553" s="11" t="s">
        <v>957</v>
      </c>
      <c r="C553" s="12" t="s">
        <v>288</v>
      </c>
      <c r="D553" s="13" t="n">
        <v>0.0106701388888889</v>
      </c>
      <c r="E553" s="14" t="n">
        <v>548</v>
      </c>
      <c r="F553" s="15" t="n">
        <f aca="false">IF(D553="","",ROUND((D553-MIN($D$7:$D$9999))*86400,2))</f>
        <v>132.16</v>
      </c>
      <c r="G553" s="10" t="str">
        <f aca="false">IF(D553="","",IF(D553&lt;=($E$3*60+$F$3)/86400,"○",""))</f>
        <v/>
      </c>
      <c r="H553" s="16"/>
      <c r="I553" s="17"/>
      <c r="J553" s="16" t="n">
        <v>0.0027130787037037</v>
      </c>
      <c r="K553" s="17" t="n">
        <v>40</v>
      </c>
      <c r="L553" s="17" t="n">
        <f aca="false">COUNT(E553,I553,K553)</f>
        <v>2</v>
      </c>
      <c r="M553" s="18" t="n">
        <f aca="false">(D553&lt;&gt;"")*(D553&lt;=($E$3*60+$F$3)/86400)+(H553&lt;&gt;"")*(H553&lt;=($I$3*60+$J$3)/86400)+(J553&lt;&gt;"")*(J553&lt;=($M$3*60+$N$3)/86400)</f>
        <v>1</v>
      </c>
      <c r="N553" s="20"/>
      <c r="O553" s="20"/>
      <c r="P553" s="20"/>
      <c r="Q553" s="19"/>
    </row>
    <row r="554" customFormat="false" ht="15" hidden="false" customHeight="false" outlineLevel="0" collapsed="false">
      <c r="A554" s="10" t="n">
        <v>548</v>
      </c>
      <c r="B554" s="11" t="s">
        <v>958</v>
      </c>
      <c r="C554" s="12" t="s">
        <v>63</v>
      </c>
      <c r="D554" s="13" t="n">
        <v>0.0106704861111111</v>
      </c>
      <c r="E554" s="14" t="n">
        <v>549</v>
      </c>
      <c r="F554" s="15" t="n">
        <f aca="false">IF(D554="","",ROUND((D554-MIN($D$7:$D$9999))*86400,2))</f>
        <v>132.19</v>
      </c>
      <c r="G554" s="10" t="str">
        <f aca="false">IF(D554="","",IF(D554&lt;=($E$3*60+$F$3)/86400,"○",""))</f>
        <v/>
      </c>
      <c r="H554" s="16" t="n">
        <v>0.00736342592592593</v>
      </c>
      <c r="I554" s="17" t="n">
        <v>725</v>
      </c>
      <c r="J554" s="16" t="n">
        <v>0.00291284722222222</v>
      </c>
      <c r="K554" s="17" t="n">
        <v>1042</v>
      </c>
      <c r="L554" s="17" t="n">
        <f aca="false">COUNT(E554,I554,K554)</f>
        <v>3</v>
      </c>
      <c r="M554" s="18" t="n">
        <f aca="false">(D554&lt;&gt;"")*(D554&lt;=($E$3*60+$F$3)/86400)+(H554&lt;&gt;"")*(H554&lt;=($I$3*60+$J$3)/86400)+(J554&lt;&gt;"")*(J554&lt;=($M$3*60+$N$3)/86400)</f>
        <v>0</v>
      </c>
      <c r="N554" s="20"/>
      <c r="O554" s="20"/>
      <c r="P554" s="20"/>
      <c r="Q554" s="19"/>
    </row>
    <row r="555" customFormat="false" ht="15" hidden="false" customHeight="false" outlineLevel="0" collapsed="false">
      <c r="A555" s="10" t="n">
        <v>549</v>
      </c>
      <c r="B555" s="11" t="s">
        <v>959</v>
      </c>
      <c r="C555" s="12" t="s">
        <v>316</v>
      </c>
      <c r="D555" s="13" t="n">
        <v>0.010671412037037</v>
      </c>
      <c r="E555" s="14" t="n">
        <v>550</v>
      </c>
      <c r="F555" s="15" t="n">
        <f aca="false">IF(D555="","",ROUND((D555-MIN($D$7:$D$9999))*86400,2))</f>
        <v>132.27</v>
      </c>
      <c r="G555" s="10" t="str">
        <f aca="false">IF(D555="","",IF(D555&lt;=($E$3*60+$F$3)/86400,"○",""))</f>
        <v/>
      </c>
      <c r="H555" s="16"/>
      <c r="I555" s="17"/>
      <c r="J555" s="16" t="n">
        <v>0.00272175925925926</v>
      </c>
      <c r="K555" s="17" t="n">
        <v>50</v>
      </c>
      <c r="L555" s="17" t="n">
        <f aca="false">COUNT(E555,I555,K555)</f>
        <v>2</v>
      </c>
      <c r="M555" s="18" t="n">
        <f aca="false">(D555&lt;&gt;"")*(D555&lt;=($E$3*60+$F$3)/86400)+(H555&lt;&gt;"")*(H555&lt;=($I$3*60+$J$3)/86400)+(J555&lt;&gt;"")*(J555&lt;=($M$3*60+$N$3)/86400)</f>
        <v>0</v>
      </c>
      <c r="N555" s="20"/>
      <c r="O555" s="20"/>
      <c r="P555" s="20"/>
      <c r="Q555" s="19"/>
    </row>
    <row r="556" customFormat="false" ht="15" hidden="false" customHeight="false" outlineLevel="0" collapsed="false">
      <c r="A556" s="10" t="n">
        <v>550</v>
      </c>
      <c r="B556" s="11" t="s">
        <v>960</v>
      </c>
      <c r="C556" s="12" t="s">
        <v>961</v>
      </c>
      <c r="D556" s="13" t="n">
        <v>0.010672337962963</v>
      </c>
      <c r="E556" s="14" t="n">
        <v>551</v>
      </c>
      <c r="F556" s="15" t="n">
        <f aca="false">IF(D556="","",ROUND((D556-MIN($D$7:$D$9999))*86400,2))</f>
        <v>132.35</v>
      </c>
      <c r="G556" s="10" t="str">
        <f aca="false">IF(D556="","",IF(D556&lt;=($E$3*60+$F$3)/86400,"○",""))</f>
        <v/>
      </c>
      <c r="H556" s="16"/>
      <c r="I556" s="17"/>
      <c r="J556" s="16" t="n">
        <v>0.00280625</v>
      </c>
      <c r="K556" s="17" t="n">
        <v>307</v>
      </c>
      <c r="L556" s="17" t="n">
        <f aca="false">COUNT(E556,I556,K556)</f>
        <v>2</v>
      </c>
      <c r="M556" s="18" t="n">
        <f aca="false">(D556&lt;&gt;"")*(D556&lt;=($E$3*60+$F$3)/86400)+(H556&lt;&gt;"")*(H556&lt;=($I$3*60+$J$3)/86400)+(J556&lt;&gt;"")*(J556&lt;=($M$3*60+$N$3)/86400)</f>
        <v>0</v>
      </c>
      <c r="N556" s="20"/>
      <c r="O556" s="20"/>
      <c r="P556" s="20"/>
      <c r="Q556" s="19"/>
    </row>
    <row r="557" customFormat="false" ht="15" hidden="false" customHeight="false" outlineLevel="0" collapsed="false">
      <c r="A557" s="10" t="n">
        <v>551</v>
      </c>
      <c r="B557" s="11" t="s">
        <v>962</v>
      </c>
      <c r="C557" s="12" t="s">
        <v>96</v>
      </c>
      <c r="D557" s="13" t="n">
        <v>0.0106728009259259</v>
      </c>
      <c r="E557" s="14" t="n">
        <v>552</v>
      </c>
      <c r="F557" s="15" t="n">
        <f aca="false">IF(D557="","",ROUND((D557-MIN($D$7:$D$9999))*86400,2))</f>
        <v>132.39</v>
      </c>
      <c r="G557" s="10" t="str">
        <f aca="false">IF(D557="","",IF(D557&lt;=($E$3*60+$F$3)/86400,"○",""))</f>
        <v/>
      </c>
      <c r="H557" s="16" t="n">
        <v>0.00665798611111111</v>
      </c>
      <c r="I557" s="17" t="n">
        <v>86</v>
      </c>
      <c r="J557" s="16" t="n">
        <v>0.00286006944444445</v>
      </c>
      <c r="K557" s="17" t="n">
        <v>636</v>
      </c>
      <c r="L557" s="17" t="n">
        <f aca="false">COUNT(E557,I557,K557)</f>
        <v>3</v>
      </c>
      <c r="M557" s="18" t="n">
        <f aca="false">(D557&lt;&gt;"")*(D557&lt;=($E$3*60+$F$3)/86400)+(H557&lt;&gt;"")*(H557&lt;=($I$3*60+$J$3)/86400)+(J557&lt;&gt;"")*(J557&lt;=($M$3*60+$N$3)/86400)</f>
        <v>0</v>
      </c>
      <c r="N557" s="20" t="s">
        <v>963</v>
      </c>
      <c r="O557" s="20"/>
      <c r="P557" s="20"/>
      <c r="Q557" s="19"/>
    </row>
    <row r="558" customFormat="false" ht="15" hidden="false" customHeight="false" outlineLevel="0" collapsed="false">
      <c r="A558" s="10" t="n">
        <v>552</v>
      </c>
      <c r="B558" s="11" t="s">
        <v>964</v>
      </c>
      <c r="C558" s="12" t="s">
        <v>965</v>
      </c>
      <c r="D558" s="13" t="n">
        <v>0.0106737268518519</v>
      </c>
      <c r="E558" s="14" t="n">
        <v>553</v>
      </c>
      <c r="F558" s="15" t="n">
        <f aca="false">IF(D558="","",ROUND((D558-MIN($D$7:$D$9999))*86400,2))</f>
        <v>132.47</v>
      </c>
      <c r="G558" s="10" t="str">
        <f aca="false">IF(D558="","",IF(D558&lt;=($E$3*60+$F$3)/86400,"○",""))</f>
        <v/>
      </c>
      <c r="H558" s="16" t="n">
        <v>0.00646342592592593</v>
      </c>
      <c r="I558" s="17" t="n">
        <v>28</v>
      </c>
      <c r="J558" s="16" t="n">
        <v>0.00288541666666667</v>
      </c>
      <c r="K558" s="17" t="n">
        <v>821</v>
      </c>
      <c r="L558" s="17" t="n">
        <f aca="false">COUNT(E558,I558,K558)</f>
        <v>3</v>
      </c>
      <c r="M558" s="18" t="n">
        <f aca="false">(D558&lt;&gt;"")*(D558&lt;=($E$3*60+$F$3)/86400)+(H558&lt;&gt;"")*(H558&lt;=($I$3*60+$J$3)/86400)+(J558&lt;&gt;"")*(J558&lt;=($M$3*60+$N$3)/86400)</f>
        <v>1</v>
      </c>
      <c r="N558" s="20"/>
      <c r="O558" s="20"/>
      <c r="P558" s="20"/>
      <c r="Q558" s="19"/>
    </row>
    <row r="559" customFormat="false" ht="15" hidden="false" customHeight="false" outlineLevel="0" collapsed="false">
      <c r="A559" s="10" t="n">
        <v>553</v>
      </c>
      <c r="B559" s="11" t="s">
        <v>966</v>
      </c>
      <c r="C559" s="12" t="s">
        <v>515</v>
      </c>
      <c r="D559" s="13" t="n">
        <v>0.0106741898148148</v>
      </c>
      <c r="E559" s="14" t="n">
        <v>554</v>
      </c>
      <c r="F559" s="15" t="n">
        <f aca="false">IF(D559="","",ROUND((D559-MIN($D$7:$D$9999))*86400,2))</f>
        <v>132.51</v>
      </c>
      <c r="G559" s="10" t="str">
        <f aca="false">IF(D559="","",IF(D559&lt;=($E$3*60+$F$3)/86400,"○",""))</f>
        <v/>
      </c>
      <c r="H559" s="16"/>
      <c r="I559" s="17"/>
      <c r="J559" s="16" t="n">
        <v>0.0028462962962963</v>
      </c>
      <c r="K559" s="17" t="n">
        <v>546</v>
      </c>
      <c r="L559" s="17" t="n">
        <f aca="false">COUNT(E559,I559,K559)</f>
        <v>2</v>
      </c>
      <c r="M559" s="18" t="n">
        <f aca="false">(D559&lt;&gt;"")*(D559&lt;=($E$3*60+$F$3)/86400)+(H559&lt;&gt;"")*(H559&lt;=($I$3*60+$J$3)/86400)+(J559&lt;&gt;"")*(J559&lt;=($M$3*60+$N$3)/86400)</f>
        <v>0</v>
      </c>
      <c r="N559" s="20"/>
      <c r="O559" s="20"/>
      <c r="P559" s="20"/>
      <c r="Q559" s="19"/>
    </row>
    <row r="560" customFormat="false" ht="15" hidden="false" customHeight="false" outlineLevel="0" collapsed="false">
      <c r="A560" s="10" t="n">
        <v>554</v>
      </c>
      <c r="B560" s="11" t="s">
        <v>967</v>
      </c>
      <c r="C560" s="12" t="s">
        <v>968</v>
      </c>
      <c r="D560" s="13" t="n">
        <v>0.0106767361111111</v>
      </c>
      <c r="E560" s="14" t="n">
        <v>555</v>
      </c>
      <c r="F560" s="15" t="n">
        <f aca="false">IF(D560="","",ROUND((D560-MIN($D$7:$D$9999))*86400,2))</f>
        <v>132.73</v>
      </c>
      <c r="G560" s="10" t="str">
        <f aca="false">IF(D560="","",IF(D560&lt;=($E$3*60+$F$3)/86400,"○",""))</f>
        <v/>
      </c>
      <c r="H560" s="16"/>
      <c r="I560" s="17"/>
      <c r="J560" s="16" t="n">
        <v>0.00280497685185185</v>
      </c>
      <c r="K560" s="17" t="n">
        <v>302</v>
      </c>
      <c r="L560" s="17" t="n">
        <f aca="false">COUNT(E560,I560,K560)</f>
        <v>2</v>
      </c>
      <c r="M560" s="18" t="n">
        <f aca="false">(D560&lt;&gt;"")*(D560&lt;=($E$3*60+$F$3)/86400)+(H560&lt;&gt;"")*(H560&lt;=($I$3*60+$J$3)/86400)+(J560&lt;&gt;"")*(J560&lt;=($M$3*60+$N$3)/86400)</f>
        <v>0</v>
      </c>
      <c r="N560" s="20"/>
      <c r="O560" s="20"/>
      <c r="P560" s="20"/>
      <c r="Q560" s="19"/>
    </row>
    <row r="561" customFormat="false" ht="15" hidden="false" customHeight="false" outlineLevel="0" collapsed="false">
      <c r="A561" s="10" t="n">
        <v>555</v>
      </c>
      <c r="B561" s="11" t="s">
        <v>969</v>
      </c>
      <c r="C561" s="12" t="s">
        <v>65</v>
      </c>
      <c r="D561" s="13" t="n">
        <v>0.0106774305555556</v>
      </c>
      <c r="E561" s="14" t="n">
        <v>556</v>
      </c>
      <c r="F561" s="15" t="n">
        <f aca="false">IF(D561="","",ROUND((D561-MIN($D$7:$D$9999))*86400,2))</f>
        <v>132.79</v>
      </c>
      <c r="G561" s="10" t="str">
        <f aca="false">IF(D561="","",IF(D561&lt;=($E$3*60+$F$3)/86400,"○",""))</f>
        <v/>
      </c>
      <c r="H561" s="16"/>
      <c r="I561" s="17"/>
      <c r="J561" s="16"/>
      <c r="K561" s="17"/>
      <c r="L561" s="17" t="n">
        <f aca="false">COUNT(E561,I561,K561)</f>
        <v>1</v>
      </c>
      <c r="M561" s="18" t="n">
        <f aca="false">(D561&lt;&gt;"")*(D561&lt;=($E$3*60+$F$3)/86400)+(H561&lt;&gt;"")*(H561&lt;=($I$3*60+$J$3)/86400)+(J561&lt;&gt;"")*(J561&lt;=($M$3*60+$N$3)/86400)</f>
        <v>0</v>
      </c>
      <c r="N561" s="20"/>
      <c r="O561" s="20"/>
      <c r="P561" s="20"/>
      <c r="Q561" s="19"/>
    </row>
    <row r="562" customFormat="false" ht="15" hidden="false" customHeight="false" outlineLevel="0" collapsed="false">
      <c r="A562" s="10" t="n">
        <v>556</v>
      </c>
      <c r="B562" s="11" t="s">
        <v>970</v>
      </c>
      <c r="C562" s="12" t="s">
        <v>51</v>
      </c>
      <c r="D562" s="13" t="n">
        <v>0.0106783564814815</v>
      </c>
      <c r="E562" s="14" t="n">
        <v>557</v>
      </c>
      <c r="F562" s="15" t="n">
        <f aca="false">IF(D562="","",ROUND((D562-MIN($D$7:$D$9999))*86400,2))</f>
        <v>132.87</v>
      </c>
      <c r="G562" s="10" t="str">
        <f aca="false">IF(D562="","",IF(D562&lt;=($E$3*60+$F$3)/86400,"○",""))</f>
        <v/>
      </c>
      <c r="H562" s="16"/>
      <c r="I562" s="17"/>
      <c r="J562" s="16"/>
      <c r="K562" s="17"/>
      <c r="L562" s="17" t="n">
        <f aca="false">COUNT(E562,I562,K562)</f>
        <v>1</v>
      </c>
      <c r="M562" s="18" t="n">
        <f aca="false">(D562&lt;&gt;"")*(D562&lt;=($E$3*60+$F$3)/86400)+(H562&lt;&gt;"")*(H562&lt;=($I$3*60+$J$3)/86400)+(J562&lt;&gt;"")*(J562&lt;=($M$3*60+$N$3)/86400)</f>
        <v>0</v>
      </c>
      <c r="N562" s="20"/>
      <c r="O562" s="20" t="s">
        <v>971</v>
      </c>
      <c r="P562" s="20"/>
      <c r="Q562" s="19"/>
    </row>
    <row r="563" customFormat="false" ht="15" hidden="false" customHeight="false" outlineLevel="0" collapsed="false">
      <c r="A563" s="10" t="n">
        <v>557</v>
      </c>
      <c r="B563" s="11" t="s">
        <v>972</v>
      </c>
      <c r="C563" s="12" t="s">
        <v>585</v>
      </c>
      <c r="D563" s="13" t="n">
        <v>0.0106811342592593</v>
      </c>
      <c r="E563" s="14" t="n">
        <v>558</v>
      </c>
      <c r="F563" s="15" t="n">
        <f aca="false">IF(D563="","",ROUND((D563-MIN($D$7:$D$9999))*86400,2))</f>
        <v>133.11</v>
      </c>
      <c r="G563" s="10" t="str">
        <f aca="false">IF(D563="","",IF(D563&lt;=($E$3*60+$F$3)/86400,"○",""))</f>
        <v/>
      </c>
      <c r="H563" s="16"/>
      <c r="I563" s="17"/>
      <c r="J563" s="16"/>
      <c r="K563" s="17"/>
      <c r="L563" s="17" t="n">
        <f aca="false">COUNT(E563,I563,K563)</f>
        <v>1</v>
      </c>
      <c r="M563" s="18" t="n">
        <f aca="false">(D563&lt;&gt;"")*(D563&lt;=($E$3*60+$F$3)/86400)+(H563&lt;&gt;"")*(H563&lt;=($I$3*60+$J$3)/86400)+(J563&lt;&gt;"")*(J563&lt;=($M$3*60+$N$3)/86400)</f>
        <v>0</v>
      </c>
      <c r="N563" s="20"/>
      <c r="O563" s="20"/>
      <c r="P563" s="20"/>
      <c r="Q563" s="19"/>
    </row>
    <row r="564" customFormat="false" ht="15" hidden="false" customHeight="false" outlineLevel="0" collapsed="false">
      <c r="A564" s="10" t="n">
        <v>558</v>
      </c>
      <c r="B564" s="11" t="s">
        <v>973</v>
      </c>
      <c r="C564" s="12" t="s">
        <v>447</v>
      </c>
      <c r="D564" s="13" t="n">
        <v>0.0106834490740741</v>
      </c>
      <c r="E564" s="14" t="n">
        <v>559</v>
      </c>
      <c r="F564" s="15" t="n">
        <f aca="false">IF(D564="","",ROUND((D564-MIN($D$7:$D$9999))*86400,2))</f>
        <v>133.31</v>
      </c>
      <c r="G564" s="10" t="str">
        <f aca="false">IF(D564="","",IF(D564&lt;=($E$3*60+$F$3)/86400,"○",""))</f>
        <v/>
      </c>
      <c r="H564" s="16"/>
      <c r="I564" s="17"/>
      <c r="J564" s="16" t="n">
        <v>0.00283483796296296</v>
      </c>
      <c r="K564" s="17" t="n">
        <v>459</v>
      </c>
      <c r="L564" s="17" t="n">
        <f aca="false">COUNT(E564,I564,K564)</f>
        <v>2</v>
      </c>
      <c r="M564" s="18" t="n">
        <f aca="false">(D564&lt;&gt;"")*(D564&lt;=($E$3*60+$F$3)/86400)+(H564&lt;&gt;"")*(H564&lt;=($I$3*60+$J$3)/86400)+(J564&lt;&gt;"")*(J564&lt;=($M$3*60+$N$3)/86400)</f>
        <v>0</v>
      </c>
      <c r="N564" s="20"/>
      <c r="O564" s="20" t="s">
        <v>974</v>
      </c>
      <c r="P564" s="20"/>
      <c r="Q564" s="19"/>
    </row>
    <row r="565" customFormat="false" ht="15" hidden="false" customHeight="false" outlineLevel="0" collapsed="false">
      <c r="A565" s="10" t="n">
        <v>559</v>
      </c>
      <c r="B565" s="11" t="s">
        <v>975</v>
      </c>
      <c r="C565" s="12" t="s">
        <v>34</v>
      </c>
      <c r="D565" s="13" t="n">
        <v>0.0106862268518519</v>
      </c>
      <c r="E565" s="14" t="n">
        <v>560</v>
      </c>
      <c r="F565" s="15" t="n">
        <f aca="false">IF(D565="","",ROUND((D565-MIN($D$7:$D$9999))*86400,2))</f>
        <v>133.55</v>
      </c>
      <c r="G565" s="10" t="str">
        <f aca="false">IF(D565="","",IF(D565&lt;=($E$3*60+$F$3)/86400,"○",""))</f>
        <v/>
      </c>
      <c r="H565" s="16"/>
      <c r="I565" s="17"/>
      <c r="J565" s="16" t="n">
        <v>0.00280636574074074</v>
      </c>
      <c r="K565" s="17" t="n">
        <v>309</v>
      </c>
      <c r="L565" s="17" t="n">
        <f aca="false">COUNT(E565,I565,K565)</f>
        <v>2</v>
      </c>
      <c r="M565" s="18" t="n">
        <f aca="false">(D565&lt;&gt;"")*(D565&lt;=($E$3*60+$F$3)/86400)+(H565&lt;&gt;"")*(H565&lt;=($I$3*60+$J$3)/86400)+(J565&lt;&gt;"")*(J565&lt;=($M$3*60+$N$3)/86400)</f>
        <v>0</v>
      </c>
      <c r="N565" s="20"/>
      <c r="O565" s="20"/>
      <c r="P565" s="20"/>
      <c r="Q565" s="19"/>
    </row>
    <row r="566" customFormat="false" ht="15" hidden="false" customHeight="false" outlineLevel="0" collapsed="false">
      <c r="A566" s="10" t="n">
        <v>560</v>
      </c>
      <c r="B566" s="11" t="s">
        <v>976</v>
      </c>
      <c r="C566" s="12" t="s">
        <v>250</v>
      </c>
      <c r="D566" s="13" t="n">
        <v>0.0106862268518519</v>
      </c>
      <c r="E566" s="14" t="n">
        <v>561</v>
      </c>
      <c r="F566" s="15" t="n">
        <f aca="false">IF(D566="","",ROUND((D566-MIN($D$7:$D$9999))*86400,2))</f>
        <v>133.55</v>
      </c>
      <c r="G566" s="10" t="str">
        <f aca="false">IF(D566="","",IF(D566&lt;=($E$3*60+$F$3)/86400,"○",""))</f>
        <v/>
      </c>
      <c r="H566" s="16"/>
      <c r="I566" s="17"/>
      <c r="J566" s="16"/>
      <c r="K566" s="17"/>
      <c r="L566" s="17" t="n">
        <f aca="false">COUNT(E566,I566,K566)</f>
        <v>1</v>
      </c>
      <c r="M566" s="18" t="n">
        <f aca="false">(D566&lt;&gt;"")*(D566&lt;=($E$3*60+$F$3)/86400)+(H566&lt;&gt;"")*(H566&lt;=($I$3*60+$J$3)/86400)+(J566&lt;&gt;"")*(J566&lt;=($M$3*60+$N$3)/86400)</f>
        <v>0</v>
      </c>
      <c r="N566" s="20"/>
      <c r="O566" s="20"/>
      <c r="P566" s="20"/>
      <c r="Q566" s="19"/>
    </row>
    <row r="567" customFormat="false" ht="15" hidden="false" customHeight="false" outlineLevel="0" collapsed="false">
      <c r="A567" s="10" t="n">
        <v>561</v>
      </c>
      <c r="B567" s="11" t="s">
        <v>977</v>
      </c>
      <c r="C567" s="12" t="s">
        <v>978</v>
      </c>
      <c r="D567" s="13" t="n">
        <v>0.0106869212962963</v>
      </c>
      <c r="E567" s="14" t="n">
        <v>562</v>
      </c>
      <c r="F567" s="15" t="n">
        <f aca="false">IF(D567="","",ROUND((D567-MIN($D$7:$D$9999))*86400,2))</f>
        <v>133.61</v>
      </c>
      <c r="G567" s="10" t="str">
        <f aca="false">IF(D567="","",IF(D567&lt;=($E$3*60+$F$3)/86400,"○",""))</f>
        <v/>
      </c>
      <c r="H567" s="16"/>
      <c r="I567" s="17"/>
      <c r="J567" s="16" t="n">
        <v>0.00291319444444444</v>
      </c>
      <c r="K567" s="17" t="n">
        <v>1043</v>
      </c>
      <c r="L567" s="17" t="n">
        <f aca="false">COUNT(E567,I567,K567)</f>
        <v>2</v>
      </c>
      <c r="M567" s="18" t="n">
        <f aca="false">(D567&lt;&gt;"")*(D567&lt;=($E$3*60+$F$3)/86400)+(H567&lt;&gt;"")*(H567&lt;=($I$3*60+$J$3)/86400)+(J567&lt;&gt;"")*(J567&lt;=($M$3*60+$N$3)/86400)</f>
        <v>0</v>
      </c>
      <c r="N567" s="20"/>
      <c r="O567" s="20"/>
      <c r="P567" s="20"/>
      <c r="Q567" s="19"/>
    </row>
    <row r="568" customFormat="false" ht="15" hidden="false" customHeight="false" outlineLevel="0" collapsed="false">
      <c r="A568" s="10" t="n">
        <v>562</v>
      </c>
      <c r="B568" s="11" t="s">
        <v>979</v>
      </c>
      <c r="C568" s="12" t="s">
        <v>980</v>
      </c>
      <c r="D568" s="13" t="n">
        <v>0.0106871527777778</v>
      </c>
      <c r="E568" s="14" t="n">
        <v>563</v>
      </c>
      <c r="F568" s="15" t="n">
        <f aca="false">IF(D568="","",ROUND((D568-MIN($D$7:$D$9999))*86400,2))</f>
        <v>133.63</v>
      </c>
      <c r="G568" s="10" t="str">
        <f aca="false">IF(D568="","",IF(D568&lt;=($E$3*60+$F$3)/86400,"○",""))</f>
        <v/>
      </c>
      <c r="H568" s="16"/>
      <c r="I568" s="17"/>
      <c r="J568" s="16"/>
      <c r="K568" s="17"/>
      <c r="L568" s="17" t="n">
        <f aca="false">COUNT(E568,I568,K568)</f>
        <v>1</v>
      </c>
      <c r="M568" s="18" t="n">
        <f aca="false">(D568&lt;&gt;"")*(D568&lt;=($E$3*60+$F$3)/86400)+(H568&lt;&gt;"")*(H568&lt;=($I$3*60+$J$3)/86400)+(J568&lt;&gt;"")*(J568&lt;=($M$3*60+$N$3)/86400)</f>
        <v>0</v>
      </c>
      <c r="N568" s="20"/>
      <c r="O568" s="20"/>
      <c r="P568" s="20"/>
      <c r="Q568" s="19"/>
    </row>
    <row r="569" customFormat="false" ht="15" hidden="false" customHeight="false" outlineLevel="0" collapsed="false">
      <c r="A569" s="10" t="n">
        <v>563</v>
      </c>
      <c r="B569" s="11" t="s">
        <v>981</v>
      </c>
      <c r="C569" s="12" t="s">
        <v>982</v>
      </c>
      <c r="D569" s="13" t="n">
        <v>0.0106871527777778</v>
      </c>
      <c r="E569" s="14" t="n">
        <v>564</v>
      </c>
      <c r="F569" s="15" t="n">
        <f aca="false">IF(D569="","",ROUND((D569-MIN($D$7:$D$9999))*86400,2))</f>
        <v>133.63</v>
      </c>
      <c r="G569" s="10" t="str">
        <f aca="false">IF(D569="","",IF(D569&lt;=($E$3*60+$F$3)/86400,"○",""))</f>
        <v/>
      </c>
      <c r="H569" s="16" t="n">
        <v>0.00728587962962963</v>
      </c>
      <c r="I569" s="17" t="n">
        <v>628</v>
      </c>
      <c r="J569" s="16" t="n">
        <v>0.00288969907407407</v>
      </c>
      <c r="K569" s="17" t="n">
        <v>862</v>
      </c>
      <c r="L569" s="17" t="n">
        <f aca="false">COUNT(E569,I569,K569)</f>
        <v>3</v>
      </c>
      <c r="M569" s="18" t="n">
        <f aca="false">(D569&lt;&gt;"")*(D569&lt;=($E$3*60+$F$3)/86400)+(H569&lt;&gt;"")*(H569&lt;=($I$3*60+$J$3)/86400)+(J569&lt;&gt;"")*(J569&lt;=($M$3*60+$N$3)/86400)</f>
        <v>0</v>
      </c>
      <c r="N569" s="20"/>
      <c r="O569" s="20"/>
      <c r="P569" s="20"/>
      <c r="Q569" s="19"/>
    </row>
    <row r="570" customFormat="false" ht="15" hidden="false" customHeight="false" outlineLevel="0" collapsed="false">
      <c r="A570" s="10" t="n">
        <v>564</v>
      </c>
      <c r="B570" s="11" t="s">
        <v>983</v>
      </c>
      <c r="C570" s="12" t="s">
        <v>301</v>
      </c>
      <c r="D570" s="13" t="n">
        <v>0.0106880787037037</v>
      </c>
      <c r="E570" s="14" t="n">
        <v>565</v>
      </c>
      <c r="F570" s="15" t="n">
        <f aca="false">IF(D570="","",ROUND((D570-MIN($D$7:$D$9999))*86400,2))</f>
        <v>133.71</v>
      </c>
      <c r="G570" s="10" t="str">
        <f aca="false">IF(D570="","",IF(D570&lt;=($E$3*60+$F$3)/86400,"○",""))</f>
        <v/>
      </c>
      <c r="H570" s="16" t="n">
        <v>0.00703842592592593</v>
      </c>
      <c r="I570" s="17" t="n">
        <v>371</v>
      </c>
      <c r="J570" s="16" t="n">
        <v>0.00291388888888889</v>
      </c>
      <c r="K570" s="17" t="n">
        <v>1050</v>
      </c>
      <c r="L570" s="17" t="n">
        <f aca="false">COUNT(E570,I570,K570)</f>
        <v>3</v>
      </c>
      <c r="M570" s="18" t="n">
        <f aca="false">(D570&lt;&gt;"")*(D570&lt;=($E$3*60+$F$3)/86400)+(H570&lt;&gt;"")*(H570&lt;=($I$3*60+$J$3)/86400)+(J570&lt;&gt;"")*(J570&lt;=($M$3*60+$N$3)/86400)</f>
        <v>0</v>
      </c>
      <c r="N570" s="20"/>
      <c r="O570" s="20"/>
      <c r="P570" s="20"/>
      <c r="Q570" s="19"/>
    </row>
    <row r="571" customFormat="false" ht="15" hidden="false" customHeight="false" outlineLevel="0" collapsed="false">
      <c r="A571" s="10" t="n">
        <v>565</v>
      </c>
      <c r="B571" s="11" t="s">
        <v>984</v>
      </c>
      <c r="C571" s="12" t="s">
        <v>179</v>
      </c>
      <c r="D571" s="13" t="n">
        <v>0.0106886574074074</v>
      </c>
      <c r="E571" s="14" t="n">
        <v>566</v>
      </c>
      <c r="F571" s="15" t="n">
        <f aca="false">IF(D571="","",ROUND((D571-MIN($D$7:$D$9999))*86400,2))</f>
        <v>133.76</v>
      </c>
      <c r="G571" s="10" t="str">
        <f aca="false">IF(D571="","",IF(D571&lt;=($E$3*60+$F$3)/86400,"○",""))</f>
        <v/>
      </c>
      <c r="H571" s="16" t="n">
        <v>0.00705543981481482</v>
      </c>
      <c r="I571" s="17" t="n">
        <v>396</v>
      </c>
      <c r="J571" s="16"/>
      <c r="K571" s="17"/>
      <c r="L571" s="17" t="n">
        <f aca="false">COUNT(E571,I571,K571)</f>
        <v>2</v>
      </c>
      <c r="M571" s="18" t="n">
        <f aca="false">(D571&lt;&gt;"")*(D571&lt;=($E$3*60+$F$3)/86400)+(H571&lt;&gt;"")*(H571&lt;=($I$3*60+$J$3)/86400)+(J571&lt;&gt;"")*(J571&lt;=($M$3*60+$N$3)/86400)</f>
        <v>0</v>
      </c>
      <c r="N571" s="20" t="s">
        <v>985</v>
      </c>
      <c r="O571" s="20"/>
      <c r="P571" s="20"/>
      <c r="Q571" s="19"/>
    </row>
    <row r="572" customFormat="false" ht="15" hidden="false" customHeight="false" outlineLevel="0" collapsed="false">
      <c r="A572" s="10" t="n">
        <v>566</v>
      </c>
      <c r="B572" s="11" t="s">
        <v>986</v>
      </c>
      <c r="C572" s="12" t="s">
        <v>615</v>
      </c>
      <c r="D572" s="13" t="n">
        <v>0.0106908564814815</v>
      </c>
      <c r="E572" s="14" t="n">
        <v>567</v>
      </c>
      <c r="F572" s="15" t="n">
        <f aca="false">IF(D572="","",ROUND((D572-MIN($D$7:$D$9999))*86400,2))</f>
        <v>133.95</v>
      </c>
      <c r="G572" s="10" t="str">
        <f aca="false">IF(D572="","",IF(D572&lt;=($E$3*60+$F$3)/86400,"○",""))</f>
        <v/>
      </c>
      <c r="H572" s="16"/>
      <c r="I572" s="17"/>
      <c r="J572" s="16"/>
      <c r="K572" s="17"/>
      <c r="L572" s="17" t="n">
        <f aca="false">COUNT(E572,I572,K572)</f>
        <v>1</v>
      </c>
      <c r="M572" s="18" t="n">
        <f aca="false">(D572&lt;&gt;"")*(D572&lt;=($E$3*60+$F$3)/86400)+(H572&lt;&gt;"")*(H572&lt;=($I$3*60+$J$3)/86400)+(J572&lt;&gt;"")*(J572&lt;=($M$3*60+$N$3)/86400)</f>
        <v>0</v>
      </c>
      <c r="N572" s="20"/>
      <c r="O572" s="20"/>
      <c r="P572" s="20"/>
      <c r="Q572" s="19"/>
    </row>
    <row r="573" customFormat="false" ht="15" hidden="false" customHeight="false" outlineLevel="0" collapsed="false">
      <c r="A573" s="10" t="n">
        <v>567</v>
      </c>
      <c r="B573" s="11" t="s">
        <v>987</v>
      </c>
      <c r="C573" s="12" t="s">
        <v>732</v>
      </c>
      <c r="D573" s="13" t="n">
        <v>0.01069375</v>
      </c>
      <c r="E573" s="14" t="n">
        <v>568</v>
      </c>
      <c r="F573" s="15" t="n">
        <f aca="false">IF(D573="","",ROUND((D573-MIN($D$7:$D$9999))*86400,2))</f>
        <v>134.2</v>
      </c>
      <c r="G573" s="10" t="str">
        <f aca="false">IF(D573="","",IF(D573&lt;=($E$3*60+$F$3)/86400,"○",""))</f>
        <v/>
      </c>
      <c r="H573" s="16"/>
      <c r="I573" s="17"/>
      <c r="J573" s="16" t="n">
        <v>0.00289143518518519</v>
      </c>
      <c r="K573" s="17" t="n">
        <v>883</v>
      </c>
      <c r="L573" s="17" t="n">
        <f aca="false">COUNT(E573,I573,K573)</f>
        <v>2</v>
      </c>
      <c r="M573" s="18" t="n">
        <f aca="false">(D573&lt;&gt;"")*(D573&lt;=($E$3*60+$F$3)/86400)+(H573&lt;&gt;"")*(H573&lt;=($I$3*60+$J$3)/86400)+(J573&lt;&gt;"")*(J573&lt;=($M$3*60+$N$3)/86400)</f>
        <v>0</v>
      </c>
      <c r="N573" s="20"/>
      <c r="O573" s="20"/>
      <c r="P573" s="20"/>
      <c r="Q573" s="19"/>
    </row>
    <row r="574" customFormat="false" ht="15" hidden="false" customHeight="false" outlineLevel="0" collapsed="false">
      <c r="A574" s="10" t="n">
        <v>568</v>
      </c>
      <c r="B574" s="11" t="s">
        <v>988</v>
      </c>
      <c r="C574" s="12" t="s">
        <v>989</v>
      </c>
      <c r="D574" s="13" t="n">
        <v>0.0106940972222222</v>
      </c>
      <c r="E574" s="14" t="n">
        <v>569</v>
      </c>
      <c r="F574" s="15" t="n">
        <f aca="false">IF(D574="","",ROUND((D574-MIN($D$7:$D$9999))*86400,2))</f>
        <v>134.23</v>
      </c>
      <c r="G574" s="10" t="str">
        <f aca="false">IF(D574="","",IF(D574&lt;=($E$3*60+$F$3)/86400,"○",""))</f>
        <v/>
      </c>
      <c r="H574" s="16"/>
      <c r="I574" s="17"/>
      <c r="J574" s="16"/>
      <c r="K574" s="17"/>
      <c r="L574" s="17" t="n">
        <f aca="false">COUNT(E574,I574,K574)</f>
        <v>1</v>
      </c>
      <c r="M574" s="18" t="n">
        <f aca="false">(D574&lt;&gt;"")*(D574&lt;=($E$3*60+$F$3)/86400)+(H574&lt;&gt;"")*(H574&lt;=($I$3*60+$J$3)/86400)+(J574&lt;&gt;"")*(J574&lt;=($M$3*60+$N$3)/86400)</f>
        <v>0</v>
      </c>
      <c r="N574" s="20"/>
      <c r="O574" s="20"/>
      <c r="P574" s="20"/>
      <c r="Q574" s="19"/>
    </row>
    <row r="575" customFormat="false" ht="15" hidden="false" customHeight="false" outlineLevel="0" collapsed="false">
      <c r="A575" s="10" t="n">
        <v>569</v>
      </c>
      <c r="B575" s="11" t="s">
        <v>990</v>
      </c>
      <c r="C575" s="12" t="s">
        <v>585</v>
      </c>
      <c r="D575" s="13" t="n">
        <v>0.0106944444444444</v>
      </c>
      <c r="E575" s="14" t="n">
        <v>570</v>
      </c>
      <c r="F575" s="15" t="n">
        <f aca="false">IF(D575="","",ROUND((D575-MIN($D$7:$D$9999))*86400,2))</f>
        <v>134.26</v>
      </c>
      <c r="G575" s="10" t="str">
        <f aca="false">IF(D575="","",IF(D575&lt;=($E$3*60+$F$3)/86400,"○",""))</f>
        <v/>
      </c>
      <c r="H575" s="16"/>
      <c r="I575" s="17"/>
      <c r="J575" s="16" t="n">
        <v>0.00281087962962963</v>
      </c>
      <c r="K575" s="17" t="n">
        <v>327</v>
      </c>
      <c r="L575" s="17" t="n">
        <f aca="false">COUNT(E575,I575,K575)</f>
        <v>2</v>
      </c>
      <c r="M575" s="18" t="n">
        <f aca="false">(D575&lt;&gt;"")*(D575&lt;=($E$3*60+$F$3)/86400)+(H575&lt;&gt;"")*(H575&lt;=($I$3*60+$J$3)/86400)+(J575&lt;&gt;"")*(J575&lt;=($M$3*60+$N$3)/86400)</f>
        <v>0</v>
      </c>
      <c r="N575" s="20"/>
      <c r="O575" s="20"/>
      <c r="P575" s="20"/>
      <c r="Q575" s="19"/>
    </row>
    <row r="576" customFormat="false" ht="15" hidden="false" customHeight="false" outlineLevel="0" collapsed="false">
      <c r="A576" s="10" t="n">
        <v>570</v>
      </c>
      <c r="B576" s="11" t="s">
        <v>991</v>
      </c>
      <c r="C576" s="12" t="s">
        <v>601</v>
      </c>
      <c r="D576" s="13" t="n">
        <v>0.0106947916666667</v>
      </c>
      <c r="E576" s="14" t="n">
        <v>571</v>
      </c>
      <c r="F576" s="15" t="n">
        <f aca="false">IF(D576="","",ROUND((D576-MIN($D$7:$D$9999))*86400,2))</f>
        <v>134.29</v>
      </c>
      <c r="G576" s="10" t="str">
        <f aca="false">IF(D576="","",IF(D576&lt;=($E$3*60+$F$3)/86400,"○",""))</f>
        <v/>
      </c>
      <c r="H576" s="16"/>
      <c r="I576" s="17"/>
      <c r="J576" s="16"/>
      <c r="K576" s="17"/>
      <c r="L576" s="17" t="n">
        <f aca="false">COUNT(E576,I576,K576)</f>
        <v>1</v>
      </c>
      <c r="M576" s="18" t="n">
        <f aca="false">(D576&lt;&gt;"")*(D576&lt;=($E$3*60+$F$3)/86400)+(H576&lt;&gt;"")*(H576&lt;=($I$3*60+$J$3)/86400)+(J576&lt;&gt;"")*(J576&lt;=($M$3*60+$N$3)/86400)</f>
        <v>0</v>
      </c>
      <c r="N576" s="20"/>
      <c r="O576" s="20"/>
      <c r="P576" s="20"/>
      <c r="Q576" s="19"/>
    </row>
    <row r="577" customFormat="false" ht="15" hidden="false" customHeight="false" outlineLevel="0" collapsed="false">
      <c r="A577" s="10" t="n">
        <v>571</v>
      </c>
      <c r="B577" s="11" t="s">
        <v>992</v>
      </c>
      <c r="C577" s="12" t="s">
        <v>316</v>
      </c>
      <c r="D577" s="13" t="n">
        <v>0.0106954861111111</v>
      </c>
      <c r="E577" s="14" t="n">
        <v>572</v>
      </c>
      <c r="F577" s="15" t="n">
        <f aca="false">IF(D577="","",ROUND((D577-MIN($D$7:$D$9999))*86400,2))</f>
        <v>134.35</v>
      </c>
      <c r="G577" s="10" t="str">
        <f aca="false">IF(D577="","",IF(D577&lt;=($E$3*60+$F$3)/86400,"○",""))</f>
        <v/>
      </c>
      <c r="H577" s="16" t="n">
        <v>0.00684027777777778</v>
      </c>
      <c r="I577" s="17" t="n">
        <v>197</v>
      </c>
      <c r="J577" s="16"/>
      <c r="K577" s="17"/>
      <c r="L577" s="17" t="n">
        <f aca="false">COUNT(E577,I577,K577)</f>
        <v>2</v>
      </c>
      <c r="M577" s="18" t="n">
        <f aca="false">(D577&lt;&gt;"")*(D577&lt;=($E$3*60+$F$3)/86400)+(H577&lt;&gt;"")*(H577&lt;=($I$3*60+$J$3)/86400)+(J577&lt;&gt;"")*(J577&lt;=($M$3*60+$N$3)/86400)</f>
        <v>0</v>
      </c>
      <c r="N577" s="20"/>
      <c r="O577" s="20"/>
      <c r="P577" s="20"/>
      <c r="Q577" s="19"/>
    </row>
    <row r="578" customFormat="false" ht="15" hidden="false" customHeight="false" outlineLevel="0" collapsed="false">
      <c r="A578" s="10" t="n">
        <v>572</v>
      </c>
      <c r="B578" s="11" t="s">
        <v>993</v>
      </c>
      <c r="C578" s="12" t="s">
        <v>290</v>
      </c>
      <c r="D578" s="13" t="n">
        <v>0.0106957175925926</v>
      </c>
      <c r="E578" s="14" t="n">
        <v>573</v>
      </c>
      <c r="F578" s="15" t="n">
        <f aca="false">IF(D578="","",ROUND((D578-MIN($D$7:$D$9999))*86400,2))</f>
        <v>134.37</v>
      </c>
      <c r="G578" s="10" t="str">
        <f aca="false">IF(D578="","",IF(D578&lt;=($E$3*60+$F$3)/86400,"○",""))</f>
        <v/>
      </c>
      <c r="H578" s="16" t="n">
        <v>0.0064099537037037</v>
      </c>
      <c r="I578" s="17" t="n">
        <v>16</v>
      </c>
      <c r="J578" s="16" t="n">
        <v>0.00277777777777778</v>
      </c>
      <c r="K578" s="17" t="n">
        <v>189</v>
      </c>
      <c r="L578" s="17" t="n">
        <f aca="false">COUNT(E578,I578,K578)</f>
        <v>3</v>
      </c>
      <c r="M578" s="18" t="n">
        <f aca="false">(D578&lt;&gt;"")*(D578&lt;=($E$3*60+$F$3)/86400)+(H578&lt;&gt;"")*(H578&lt;=($I$3*60+$J$3)/86400)+(J578&lt;&gt;"")*(J578&lt;=($M$3*60+$N$3)/86400)</f>
        <v>1</v>
      </c>
      <c r="N578" s="20" t="s">
        <v>994</v>
      </c>
      <c r="O578" s="20"/>
      <c r="P578" s="20"/>
      <c r="Q578" s="19"/>
    </row>
    <row r="579" customFormat="false" ht="15" hidden="false" customHeight="false" outlineLevel="0" collapsed="false">
      <c r="A579" s="10" t="n">
        <v>573</v>
      </c>
      <c r="B579" s="11" t="s">
        <v>995</v>
      </c>
      <c r="C579" s="12" t="s">
        <v>996</v>
      </c>
      <c r="D579" s="13" t="n">
        <v>0.0106959490740741</v>
      </c>
      <c r="E579" s="14" t="n">
        <v>574</v>
      </c>
      <c r="F579" s="15" t="n">
        <f aca="false">IF(D579="","",ROUND((D579-MIN($D$7:$D$9999))*86400,2))</f>
        <v>134.39</v>
      </c>
      <c r="G579" s="10" t="str">
        <f aca="false">IF(D579="","",IF(D579&lt;=($E$3*60+$F$3)/86400,"○",""))</f>
        <v/>
      </c>
      <c r="H579" s="16" t="n">
        <v>0.00675868055555556</v>
      </c>
      <c r="I579" s="17" t="n">
        <v>134</v>
      </c>
      <c r="J579" s="16" t="n">
        <v>0.00285069444444445</v>
      </c>
      <c r="K579" s="17" t="n">
        <v>574</v>
      </c>
      <c r="L579" s="17" t="n">
        <f aca="false">COUNT(E579,I579,K579)</f>
        <v>3</v>
      </c>
      <c r="M579" s="18" t="n">
        <f aca="false">(D579&lt;&gt;"")*(D579&lt;=($E$3*60+$F$3)/86400)+(H579&lt;&gt;"")*(H579&lt;=($I$3*60+$J$3)/86400)+(J579&lt;&gt;"")*(J579&lt;=($M$3*60+$N$3)/86400)</f>
        <v>0</v>
      </c>
      <c r="N579" s="20"/>
      <c r="O579" s="20"/>
      <c r="P579" s="20"/>
      <c r="Q579" s="19"/>
    </row>
    <row r="580" customFormat="false" ht="15" hidden="false" customHeight="false" outlineLevel="0" collapsed="false">
      <c r="A580" s="10" t="n">
        <v>574</v>
      </c>
      <c r="B580" s="11" t="s">
        <v>997</v>
      </c>
      <c r="C580" s="12" t="s">
        <v>157</v>
      </c>
      <c r="D580" s="13" t="n">
        <v>0.0106959490740741</v>
      </c>
      <c r="E580" s="14" t="n">
        <v>575</v>
      </c>
      <c r="F580" s="15" t="n">
        <f aca="false">IF(D580="","",ROUND((D580-MIN($D$7:$D$9999))*86400,2))</f>
        <v>134.39</v>
      </c>
      <c r="G580" s="10" t="str">
        <f aca="false">IF(D580="","",IF(D580&lt;=($E$3*60+$F$3)/86400,"○",""))</f>
        <v/>
      </c>
      <c r="H580" s="16" t="n">
        <v>0.00690034722222222</v>
      </c>
      <c r="I580" s="17" t="n">
        <v>241</v>
      </c>
      <c r="J580" s="16"/>
      <c r="K580" s="17"/>
      <c r="L580" s="17" t="n">
        <f aca="false">COUNT(E580,I580,K580)</f>
        <v>2</v>
      </c>
      <c r="M580" s="18" t="n">
        <f aca="false">(D580&lt;&gt;"")*(D580&lt;=($E$3*60+$F$3)/86400)+(H580&lt;&gt;"")*(H580&lt;=($I$3*60+$J$3)/86400)+(J580&lt;&gt;"")*(J580&lt;=($M$3*60+$N$3)/86400)</f>
        <v>0</v>
      </c>
      <c r="N580" s="20"/>
      <c r="O580" s="20"/>
      <c r="P580" s="20"/>
      <c r="Q580" s="19"/>
    </row>
    <row r="581" customFormat="false" ht="15" hidden="false" customHeight="false" outlineLevel="0" collapsed="false">
      <c r="A581" s="10" t="n">
        <v>575</v>
      </c>
      <c r="B581" s="11" t="s">
        <v>998</v>
      </c>
      <c r="C581" s="12" t="s">
        <v>648</v>
      </c>
      <c r="D581" s="13" t="n">
        <v>0.0106959490740741</v>
      </c>
      <c r="E581" s="14" t="n">
        <v>576</v>
      </c>
      <c r="F581" s="15" t="n">
        <f aca="false">IF(D581="","",ROUND((D581-MIN($D$7:$D$9999))*86400,2))</f>
        <v>134.39</v>
      </c>
      <c r="G581" s="10" t="str">
        <f aca="false">IF(D581="","",IF(D581&lt;=($E$3*60+$F$3)/86400,"○",""))</f>
        <v/>
      </c>
      <c r="H581" s="16"/>
      <c r="I581" s="17"/>
      <c r="J581" s="16"/>
      <c r="K581" s="17"/>
      <c r="L581" s="17" t="n">
        <f aca="false">COUNT(E581,I581,K581)</f>
        <v>1</v>
      </c>
      <c r="M581" s="18" t="n">
        <f aca="false">(D581&lt;&gt;"")*(D581&lt;=($E$3*60+$F$3)/86400)+(H581&lt;&gt;"")*(H581&lt;=($I$3*60+$J$3)/86400)+(J581&lt;&gt;"")*(J581&lt;=($M$3*60+$N$3)/86400)</f>
        <v>0</v>
      </c>
      <c r="N581" s="20"/>
      <c r="O581" s="20"/>
      <c r="P581" s="20"/>
      <c r="Q581" s="19"/>
    </row>
    <row r="582" customFormat="false" ht="15" hidden="false" customHeight="false" outlineLevel="0" collapsed="false">
      <c r="A582" s="10" t="n">
        <v>576</v>
      </c>
      <c r="B582" s="11" t="s">
        <v>999</v>
      </c>
      <c r="C582" s="12" t="s">
        <v>515</v>
      </c>
      <c r="D582" s="13" t="n">
        <v>0.0106961805555556</v>
      </c>
      <c r="E582" s="14" t="n">
        <v>577</v>
      </c>
      <c r="F582" s="15" t="n">
        <f aca="false">IF(D582="","",ROUND((D582-MIN($D$7:$D$9999))*86400,2))</f>
        <v>134.41</v>
      </c>
      <c r="G582" s="10" t="str">
        <f aca="false">IF(D582="","",IF(D582&lt;=($E$3*60+$F$3)/86400,"○",""))</f>
        <v/>
      </c>
      <c r="H582" s="16"/>
      <c r="I582" s="17"/>
      <c r="J582" s="16" t="n">
        <v>0.00287222222222222</v>
      </c>
      <c r="K582" s="17" t="n">
        <v>717</v>
      </c>
      <c r="L582" s="17" t="n">
        <f aca="false">COUNT(E582,I582,K582)</f>
        <v>2</v>
      </c>
      <c r="M582" s="18" t="n">
        <f aca="false">(D582&lt;&gt;"")*(D582&lt;=($E$3*60+$F$3)/86400)+(H582&lt;&gt;"")*(H582&lt;=($I$3*60+$J$3)/86400)+(J582&lt;&gt;"")*(J582&lt;=($M$3*60+$N$3)/86400)</f>
        <v>0</v>
      </c>
      <c r="N582" s="20"/>
      <c r="O582" s="20"/>
      <c r="P582" s="20"/>
      <c r="Q582" s="19"/>
    </row>
    <row r="583" customFormat="false" ht="15" hidden="false" customHeight="false" outlineLevel="0" collapsed="false">
      <c r="A583" s="10" t="n">
        <v>577</v>
      </c>
      <c r="B583" s="11" t="s">
        <v>1000</v>
      </c>
      <c r="C583" s="12" t="s">
        <v>561</v>
      </c>
      <c r="D583" s="13" t="n">
        <v>0.0106987268518519</v>
      </c>
      <c r="E583" s="14" t="n">
        <v>578</v>
      </c>
      <c r="F583" s="15" t="n">
        <f aca="false">IF(D583="","",ROUND((D583-MIN($D$7:$D$9999))*86400,2))</f>
        <v>134.63</v>
      </c>
      <c r="G583" s="10" t="str">
        <f aca="false">IF(D583="","",IF(D583&lt;=($E$3*60+$F$3)/86400,"○",""))</f>
        <v/>
      </c>
      <c r="H583" s="16"/>
      <c r="I583" s="17"/>
      <c r="J583" s="16" t="n">
        <v>0.00272337962962963</v>
      </c>
      <c r="K583" s="17" t="n">
        <v>54</v>
      </c>
      <c r="L583" s="17" t="n">
        <f aca="false">COUNT(E583,I583,K583)</f>
        <v>2</v>
      </c>
      <c r="M583" s="18" t="n">
        <f aca="false">(D583&lt;&gt;"")*(D583&lt;=($E$3*60+$F$3)/86400)+(H583&lt;&gt;"")*(H583&lt;=($I$3*60+$J$3)/86400)+(J583&lt;&gt;"")*(J583&lt;=($M$3*60+$N$3)/86400)</f>
        <v>0</v>
      </c>
      <c r="N583" s="20" t="s">
        <v>1001</v>
      </c>
      <c r="O583" s="20"/>
      <c r="P583" s="20"/>
      <c r="Q583" s="19"/>
    </row>
    <row r="584" customFormat="false" ht="15" hidden="false" customHeight="false" outlineLevel="0" collapsed="false">
      <c r="A584" s="10" t="n">
        <v>578</v>
      </c>
      <c r="B584" s="11" t="s">
        <v>1002</v>
      </c>
      <c r="C584" s="12" t="s">
        <v>290</v>
      </c>
      <c r="D584" s="13" t="n">
        <v>0.0106987268518519</v>
      </c>
      <c r="E584" s="14" t="n">
        <v>579</v>
      </c>
      <c r="F584" s="15" t="n">
        <f aca="false">IF(D584="","",ROUND((D584-MIN($D$7:$D$9999))*86400,2))</f>
        <v>134.63</v>
      </c>
      <c r="G584" s="10" t="str">
        <f aca="false">IF(D584="","",IF(D584&lt;=($E$3*60+$F$3)/86400,"○",""))</f>
        <v/>
      </c>
      <c r="H584" s="16" t="n">
        <v>0.00680717592592593</v>
      </c>
      <c r="I584" s="17" t="n">
        <v>178</v>
      </c>
      <c r="J584" s="16" t="n">
        <v>0.00288356481481481</v>
      </c>
      <c r="K584" s="17" t="n">
        <v>803</v>
      </c>
      <c r="L584" s="17" t="n">
        <f aca="false">COUNT(E584,I584,K584)</f>
        <v>3</v>
      </c>
      <c r="M584" s="18" t="n">
        <f aca="false">(D584&lt;&gt;"")*(D584&lt;=($E$3*60+$F$3)/86400)+(H584&lt;&gt;"")*(H584&lt;=($I$3*60+$J$3)/86400)+(J584&lt;&gt;"")*(J584&lt;=($M$3*60+$N$3)/86400)</f>
        <v>0</v>
      </c>
      <c r="N584" s="20"/>
      <c r="O584" s="20"/>
      <c r="P584" s="12" t="s">
        <v>1003</v>
      </c>
      <c r="Q584" s="19"/>
    </row>
    <row r="585" customFormat="false" ht="15" hidden="false" customHeight="false" outlineLevel="0" collapsed="false">
      <c r="A585" s="10" t="n">
        <v>579</v>
      </c>
      <c r="B585" s="11" t="s">
        <v>1004</v>
      </c>
      <c r="C585" s="12" t="s">
        <v>599</v>
      </c>
      <c r="D585" s="13" t="n">
        <v>0.0106989583333333</v>
      </c>
      <c r="E585" s="14" t="n">
        <v>580</v>
      </c>
      <c r="F585" s="15" t="n">
        <f aca="false">IF(D585="","",ROUND((D585-MIN($D$7:$D$9999))*86400,2))</f>
        <v>134.65</v>
      </c>
      <c r="G585" s="10" t="str">
        <f aca="false">IF(D585="","",IF(D585&lt;=($E$3*60+$F$3)/86400,"○",""))</f>
        <v/>
      </c>
      <c r="H585" s="16"/>
      <c r="I585" s="17"/>
      <c r="J585" s="16"/>
      <c r="K585" s="17"/>
      <c r="L585" s="17" t="n">
        <f aca="false">COUNT(E585,I585,K585)</f>
        <v>1</v>
      </c>
      <c r="M585" s="18" t="n">
        <f aca="false">(D585&lt;&gt;"")*(D585&lt;=($E$3*60+$F$3)/86400)+(H585&lt;&gt;"")*(H585&lt;=($I$3*60+$J$3)/86400)+(J585&lt;&gt;"")*(J585&lt;=($M$3*60+$N$3)/86400)</f>
        <v>0</v>
      </c>
      <c r="N585" s="20"/>
      <c r="O585" s="20"/>
      <c r="P585" s="20"/>
      <c r="Q585" s="19"/>
    </row>
    <row r="586" customFormat="false" ht="15" hidden="false" customHeight="false" outlineLevel="0" collapsed="false">
      <c r="A586" s="10" t="n">
        <v>580</v>
      </c>
      <c r="B586" s="11" t="s">
        <v>1005</v>
      </c>
      <c r="C586" s="12" t="s">
        <v>1006</v>
      </c>
      <c r="D586" s="13" t="n">
        <v>0.0106994212962963</v>
      </c>
      <c r="E586" s="14" t="n">
        <v>581</v>
      </c>
      <c r="F586" s="15" t="n">
        <f aca="false">IF(D586="","",ROUND((D586-MIN($D$7:$D$9999))*86400,2))</f>
        <v>134.69</v>
      </c>
      <c r="G586" s="10" t="str">
        <f aca="false">IF(D586="","",IF(D586&lt;=($E$3*60+$F$3)/86400,"○",""))</f>
        <v/>
      </c>
      <c r="H586" s="16"/>
      <c r="I586" s="17"/>
      <c r="J586" s="16" t="n">
        <v>0.00272546296296296</v>
      </c>
      <c r="K586" s="17" t="n">
        <v>59</v>
      </c>
      <c r="L586" s="17" t="n">
        <f aca="false">COUNT(E586,I586,K586)</f>
        <v>2</v>
      </c>
      <c r="M586" s="18" t="n">
        <f aca="false">(D586&lt;&gt;"")*(D586&lt;=($E$3*60+$F$3)/86400)+(H586&lt;&gt;"")*(H586&lt;=($I$3*60+$J$3)/86400)+(J586&lt;&gt;"")*(J586&lt;=($M$3*60+$N$3)/86400)</f>
        <v>0</v>
      </c>
      <c r="N586" s="20"/>
      <c r="O586" s="20" t="s">
        <v>1007</v>
      </c>
      <c r="P586" s="20"/>
      <c r="Q586" s="19"/>
    </row>
    <row r="587" customFormat="false" ht="15" hidden="false" customHeight="false" outlineLevel="0" collapsed="false">
      <c r="A587" s="10" t="n">
        <v>581</v>
      </c>
      <c r="B587" s="11" t="s">
        <v>1008</v>
      </c>
      <c r="C587" s="12" t="s">
        <v>1009</v>
      </c>
      <c r="D587" s="13" t="n">
        <v>0.010699537037037</v>
      </c>
      <c r="E587" s="14" t="n">
        <v>582</v>
      </c>
      <c r="F587" s="15" t="n">
        <f aca="false">IF(D587="","",ROUND((D587-MIN($D$7:$D$9999))*86400,2))</f>
        <v>134.7</v>
      </c>
      <c r="G587" s="10" t="str">
        <f aca="false">IF(D587="","",IF(D587&lt;=($E$3*60+$F$3)/86400,"○",""))</f>
        <v/>
      </c>
      <c r="H587" s="16"/>
      <c r="I587" s="17"/>
      <c r="J587" s="16"/>
      <c r="K587" s="17"/>
      <c r="L587" s="17" t="n">
        <f aca="false">COUNT(E587,I587,K587)</f>
        <v>1</v>
      </c>
      <c r="M587" s="18" t="n">
        <f aca="false">(D587&lt;&gt;"")*(D587&lt;=($E$3*60+$F$3)/86400)+(H587&lt;&gt;"")*(H587&lt;=($I$3*60+$J$3)/86400)+(J587&lt;&gt;"")*(J587&lt;=($M$3*60+$N$3)/86400)</f>
        <v>0</v>
      </c>
      <c r="N587" s="20"/>
      <c r="O587" s="20"/>
      <c r="P587" s="20"/>
      <c r="Q587" s="19"/>
    </row>
    <row r="588" customFormat="false" ht="15" hidden="false" customHeight="false" outlineLevel="0" collapsed="false">
      <c r="A588" s="10" t="n">
        <v>582</v>
      </c>
      <c r="B588" s="11" t="s">
        <v>1010</v>
      </c>
      <c r="C588" s="12" t="s">
        <v>503</v>
      </c>
      <c r="D588" s="13" t="n">
        <v>0.0107001157407407</v>
      </c>
      <c r="E588" s="14" t="n">
        <v>583</v>
      </c>
      <c r="F588" s="15" t="n">
        <f aca="false">IF(D588="","",ROUND((D588-MIN($D$7:$D$9999))*86400,2))</f>
        <v>134.75</v>
      </c>
      <c r="G588" s="10" t="str">
        <f aca="false">IF(D588="","",IF(D588&lt;=($E$3*60+$F$3)/86400,"○",""))</f>
        <v/>
      </c>
      <c r="H588" s="16"/>
      <c r="I588" s="17"/>
      <c r="J588" s="16"/>
      <c r="K588" s="17"/>
      <c r="L588" s="17" t="n">
        <f aca="false">COUNT(E588,I588,K588)</f>
        <v>1</v>
      </c>
      <c r="M588" s="18" t="n">
        <f aca="false">(D588&lt;&gt;"")*(D588&lt;=($E$3*60+$F$3)/86400)+(H588&lt;&gt;"")*(H588&lt;=($I$3*60+$J$3)/86400)+(J588&lt;&gt;"")*(J588&lt;=($M$3*60+$N$3)/86400)</f>
        <v>0</v>
      </c>
      <c r="N588" s="20"/>
      <c r="O588" s="20"/>
      <c r="P588" s="20"/>
      <c r="Q588" s="19"/>
    </row>
    <row r="589" customFormat="false" ht="15" hidden="false" customHeight="false" outlineLevel="0" collapsed="false">
      <c r="A589" s="10" t="n">
        <v>583</v>
      </c>
      <c r="B589" s="11" t="s">
        <v>1011</v>
      </c>
      <c r="C589" s="12" t="s">
        <v>32</v>
      </c>
      <c r="D589" s="13" t="n">
        <v>0.0107001157407407</v>
      </c>
      <c r="E589" s="14" t="n">
        <v>584</v>
      </c>
      <c r="F589" s="15" t="n">
        <f aca="false">IF(D589="","",ROUND((D589-MIN($D$7:$D$9999))*86400,2))</f>
        <v>134.75</v>
      </c>
      <c r="G589" s="10" t="str">
        <f aca="false">IF(D589="","",IF(D589&lt;=($E$3*60+$F$3)/86400,"○",""))</f>
        <v/>
      </c>
      <c r="H589" s="16"/>
      <c r="I589" s="17"/>
      <c r="J589" s="16" t="n">
        <v>0.00289814814814815</v>
      </c>
      <c r="K589" s="17" t="n">
        <v>934</v>
      </c>
      <c r="L589" s="17" t="n">
        <f aca="false">COUNT(E589,I589,K589)</f>
        <v>2</v>
      </c>
      <c r="M589" s="18" t="n">
        <f aca="false">(D589&lt;&gt;"")*(D589&lt;=($E$3*60+$F$3)/86400)+(H589&lt;&gt;"")*(H589&lt;=($I$3*60+$J$3)/86400)+(J589&lt;&gt;"")*(J589&lt;=($M$3*60+$N$3)/86400)</f>
        <v>0</v>
      </c>
      <c r="N589" s="20"/>
      <c r="O589" s="20"/>
      <c r="P589" s="20"/>
      <c r="Q589" s="19"/>
    </row>
    <row r="590" customFormat="false" ht="15" hidden="false" customHeight="false" outlineLevel="0" collapsed="false">
      <c r="A590" s="10" t="n">
        <v>584</v>
      </c>
      <c r="B590" s="11" t="s">
        <v>1012</v>
      </c>
      <c r="C590" s="12" t="s">
        <v>333</v>
      </c>
      <c r="D590" s="13" t="n">
        <v>0.0107009259259259</v>
      </c>
      <c r="E590" s="14" t="n">
        <v>585</v>
      </c>
      <c r="F590" s="15" t="n">
        <f aca="false">IF(D590="","",ROUND((D590-MIN($D$7:$D$9999))*86400,2))</f>
        <v>134.82</v>
      </c>
      <c r="G590" s="10" t="str">
        <f aca="false">IF(D590="","",IF(D590&lt;=($E$3*60+$F$3)/86400,"○",""))</f>
        <v/>
      </c>
      <c r="H590" s="16"/>
      <c r="I590" s="17"/>
      <c r="J590" s="16" t="n">
        <v>0.00283611111111111</v>
      </c>
      <c r="K590" s="17" t="n">
        <v>471</v>
      </c>
      <c r="L590" s="17" t="n">
        <f aca="false">COUNT(E590,I590,K590)</f>
        <v>2</v>
      </c>
      <c r="M590" s="18" t="n">
        <f aca="false">(D590&lt;&gt;"")*(D590&lt;=($E$3*60+$F$3)/86400)+(H590&lt;&gt;"")*(H590&lt;=($I$3*60+$J$3)/86400)+(J590&lt;&gt;"")*(J590&lt;=($M$3*60+$N$3)/86400)</f>
        <v>0</v>
      </c>
      <c r="N590" s="20" t="s">
        <v>1013</v>
      </c>
      <c r="O590" s="20"/>
      <c r="P590" s="20"/>
      <c r="Q590" s="19"/>
    </row>
    <row r="591" customFormat="false" ht="15" hidden="false" customHeight="false" outlineLevel="0" collapsed="false">
      <c r="A591" s="10" t="n">
        <v>585</v>
      </c>
      <c r="B591" s="11" t="s">
        <v>1014</v>
      </c>
      <c r="C591" s="12" t="s">
        <v>150</v>
      </c>
      <c r="D591" s="13" t="n">
        <v>0.0107012731481482</v>
      </c>
      <c r="E591" s="14" t="n">
        <v>586</v>
      </c>
      <c r="F591" s="15" t="n">
        <f aca="false">IF(D591="","",ROUND((D591-MIN($D$7:$D$9999))*86400,2))</f>
        <v>134.85</v>
      </c>
      <c r="G591" s="10" t="str">
        <f aca="false">IF(D591="","",IF(D591&lt;=($E$3*60+$F$3)/86400,"○",""))</f>
        <v/>
      </c>
      <c r="H591" s="16"/>
      <c r="I591" s="17"/>
      <c r="J591" s="16"/>
      <c r="K591" s="17"/>
      <c r="L591" s="17" t="n">
        <f aca="false">COUNT(E591,I591,K591)</f>
        <v>1</v>
      </c>
      <c r="M591" s="18" t="n">
        <f aca="false">(D591&lt;&gt;"")*(D591&lt;=($E$3*60+$F$3)/86400)+(H591&lt;&gt;"")*(H591&lt;=($I$3*60+$J$3)/86400)+(J591&lt;&gt;"")*(J591&lt;=($M$3*60+$N$3)/86400)</f>
        <v>0</v>
      </c>
      <c r="N591" s="20"/>
      <c r="O591" s="20"/>
      <c r="P591" s="20"/>
      <c r="Q591" s="19"/>
    </row>
    <row r="592" customFormat="false" ht="15" hidden="false" customHeight="false" outlineLevel="0" collapsed="false">
      <c r="A592" s="10" t="n">
        <v>586</v>
      </c>
      <c r="B592" s="11" t="s">
        <v>1015</v>
      </c>
      <c r="C592" s="12" t="s">
        <v>129</v>
      </c>
      <c r="D592" s="13" t="n">
        <v>0.0107016203703704</v>
      </c>
      <c r="E592" s="14" t="n">
        <v>587</v>
      </c>
      <c r="F592" s="15" t="n">
        <f aca="false">IF(D592="","",ROUND((D592-MIN($D$7:$D$9999))*86400,2))</f>
        <v>134.88</v>
      </c>
      <c r="G592" s="10" t="str">
        <f aca="false">IF(D592="","",IF(D592&lt;=($E$3*60+$F$3)/86400,"○",""))</f>
        <v/>
      </c>
      <c r="H592" s="16" t="n">
        <v>0.00677569444444444</v>
      </c>
      <c r="I592" s="17" t="n">
        <v>152</v>
      </c>
      <c r="J592" s="16" t="n">
        <v>0.00289988425925926</v>
      </c>
      <c r="K592" s="17" t="n">
        <v>946</v>
      </c>
      <c r="L592" s="17" t="n">
        <f aca="false">COUNT(E592,I592,K592)</f>
        <v>3</v>
      </c>
      <c r="M592" s="18" t="n">
        <f aca="false">(D592&lt;&gt;"")*(D592&lt;=($E$3*60+$F$3)/86400)+(H592&lt;&gt;"")*(H592&lt;=($I$3*60+$J$3)/86400)+(J592&lt;&gt;"")*(J592&lt;=($M$3*60+$N$3)/86400)</f>
        <v>0</v>
      </c>
      <c r="N592" s="20"/>
      <c r="O592" s="20" t="s">
        <v>1016</v>
      </c>
      <c r="P592" s="20"/>
      <c r="Q592" s="19"/>
    </row>
    <row r="593" customFormat="false" ht="15" hidden="false" customHeight="false" outlineLevel="0" collapsed="false">
      <c r="A593" s="10" t="n">
        <v>587</v>
      </c>
      <c r="B593" s="11" t="s">
        <v>1017</v>
      </c>
      <c r="C593" s="12" t="s">
        <v>290</v>
      </c>
      <c r="D593" s="13" t="n">
        <v>0.0107028935185185</v>
      </c>
      <c r="E593" s="14" t="n">
        <v>588</v>
      </c>
      <c r="F593" s="15" t="n">
        <f aca="false">IF(D593="","",ROUND((D593-MIN($D$7:$D$9999))*86400,2))</f>
        <v>134.99</v>
      </c>
      <c r="G593" s="10" t="str">
        <f aca="false">IF(D593="","",IF(D593&lt;=($E$3*60+$F$3)/86400,"○",""))</f>
        <v/>
      </c>
      <c r="H593" s="16"/>
      <c r="I593" s="17"/>
      <c r="J593" s="16"/>
      <c r="K593" s="17"/>
      <c r="L593" s="17" t="n">
        <f aca="false">COUNT(E593,I593,K593)</f>
        <v>1</v>
      </c>
      <c r="M593" s="18" t="n">
        <f aca="false">(D593&lt;&gt;"")*(D593&lt;=($E$3*60+$F$3)/86400)+(H593&lt;&gt;"")*(H593&lt;=($I$3*60+$J$3)/86400)+(J593&lt;&gt;"")*(J593&lt;=($M$3*60+$N$3)/86400)</f>
        <v>0</v>
      </c>
      <c r="N593" s="20"/>
      <c r="O593" s="20"/>
      <c r="P593" s="20"/>
      <c r="Q593" s="19"/>
    </row>
    <row r="594" customFormat="false" ht="15" hidden="false" customHeight="false" outlineLevel="0" collapsed="false">
      <c r="A594" s="10" t="n">
        <v>588</v>
      </c>
      <c r="B594" s="11" t="s">
        <v>1018</v>
      </c>
      <c r="C594" s="12" t="s">
        <v>406</v>
      </c>
      <c r="D594" s="13" t="n">
        <v>0.010703587962963</v>
      </c>
      <c r="E594" s="14" t="n">
        <v>589</v>
      </c>
      <c r="F594" s="15" t="n">
        <f aca="false">IF(D594="","",ROUND((D594-MIN($D$7:$D$9999))*86400,2))</f>
        <v>135.05</v>
      </c>
      <c r="G594" s="10" t="str">
        <f aca="false">IF(D594="","",IF(D594&lt;=($E$3*60+$F$3)/86400,"○",""))</f>
        <v/>
      </c>
      <c r="H594" s="16" t="n">
        <v>0.00671666666666667</v>
      </c>
      <c r="I594" s="17" t="n">
        <v>113</v>
      </c>
      <c r="J594" s="16"/>
      <c r="K594" s="17"/>
      <c r="L594" s="17" t="n">
        <f aca="false">COUNT(E594,I594,K594)</f>
        <v>2</v>
      </c>
      <c r="M594" s="18" t="n">
        <f aca="false">(D594&lt;&gt;"")*(D594&lt;=($E$3*60+$F$3)/86400)+(H594&lt;&gt;"")*(H594&lt;=($I$3*60+$J$3)/86400)+(J594&lt;&gt;"")*(J594&lt;=($M$3*60+$N$3)/86400)</f>
        <v>0</v>
      </c>
      <c r="N594" s="20"/>
      <c r="O594" s="20"/>
      <c r="P594" s="20"/>
      <c r="Q594" s="19"/>
    </row>
    <row r="595" customFormat="false" ht="15" hidden="false" customHeight="false" outlineLevel="0" collapsed="false">
      <c r="A595" s="10" t="n">
        <v>589</v>
      </c>
      <c r="B595" s="11" t="s">
        <v>1019</v>
      </c>
      <c r="C595" s="12" t="s">
        <v>875</v>
      </c>
      <c r="D595" s="13" t="n">
        <v>0.01070625</v>
      </c>
      <c r="E595" s="14" t="n">
        <v>590</v>
      </c>
      <c r="F595" s="15" t="n">
        <f aca="false">IF(D595="","",ROUND((D595-MIN($D$7:$D$9999))*86400,2))</f>
        <v>135.28</v>
      </c>
      <c r="G595" s="10" t="str">
        <f aca="false">IF(D595="","",IF(D595&lt;=($E$3*60+$F$3)/86400,"○",""))</f>
        <v/>
      </c>
      <c r="H595" s="16"/>
      <c r="I595" s="17"/>
      <c r="J595" s="16" t="n">
        <v>0.00276585648148148</v>
      </c>
      <c r="K595" s="17" t="n">
        <v>151</v>
      </c>
      <c r="L595" s="17" t="n">
        <f aca="false">COUNT(E595,I595,K595)</f>
        <v>2</v>
      </c>
      <c r="M595" s="18" t="n">
        <f aca="false">(D595&lt;&gt;"")*(D595&lt;=($E$3*60+$F$3)/86400)+(H595&lt;&gt;"")*(H595&lt;=($I$3*60+$J$3)/86400)+(J595&lt;&gt;"")*(J595&lt;=($M$3*60+$N$3)/86400)</f>
        <v>0</v>
      </c>
      <c r="N595" s="20" t="s">
        <v>1020</v>
      </c>
      <c r="O595" s="20"/>
      <c r="P595" s="20"/>
      <c r="Q595" s="19"/>
    </row>
    <row r="596" customFormat="false" ht="15" hidden="false" customHeight="false" outlineLevel="0" collapsed="false">
      <c r="A596" s="10" t="n">
        <v>590</v>
      </c>
      <c r="B596" s="11" t="s">
        <v>1021</v>
      </c>
      <c r="C596" s="12" t="s">
        <v>99</v>
      </c>
      <c r="D596" s="13" t="n">
        <v>0.01070625</v>
      </c>
      <c r="E596" s="14" t="n">
        <v>591</v>
      </c>
      <c r="F596" s="15" t="n">
        <f aca="false">IF(D596="","",ROUND((D596-MIN($D$7:$D$9999))*86400,2))</f>
        <v>135.28</v>
      </c>
      <c r="G596" s="10" t="str">
        <f aca="false">IF(D596="","",IF(D596&lt;=($E$3*60+$F$3)/86400,"○",""))</f>
        <v/>
      </c>
      <c r="H596" s="16"/>
      <c r="I596" s="17"/>
      <c r="J596" s="16"/>
      <c r="K596" s="17"/>
      <c r="L596" s="17" t="n">
        <f aca="false">COUNT(E596,I596,K596)</f>
        <v>1</v>
      </c>
      <c r="M596" s="18" t="n">
        <f aca="false">(D596&lt;&gt;"")*(D596&lt;=($E$3*60+$F$3)/86400)+(H596&lt;&gt;"")*(H596&lt;=($I$3*60+$J$3)/86400)+(J596&lt;&gt;"")*(J596&lt;=($M$3*60+$N$3)/86400)</f>
        <v>0</v>
      </c>
      <c r="N596" s="20"/>
      <c r="O596" s="20"/>
      <c r="P596" s="20"/>
      <c r="Q596" s="19"/>
    </row>
    <row r="597" customFormat="false" ht="15" hidden="false" customHeight="false" outlineLevel="0" collapsed="false">
      <c r="A597" s="10" t="n">
        <v>591</v>
      </c>
      <c r="B597" s="11" t="s">
        <v>1022</v>
      </c>
      <c r="C597" s="12" t="s">
        <v>137</v>
      </c>
      <c r="D597" s="13" t="n">
        <v>0.0107072916666667</v>
      </c>
      <c r="E597" s="14" t="n">
        <v>592</v>
      </c>
      <c r="F597" s="15" t="n">
        <f aca="false">IF(D597="","",ROUND((D597-MIN($D$7:$D$9999))*86400,2))</f>
        <v>135.37</v>
      </c>
      <c r="G597" s="10" t="str">
        <f aca="false">IF(D597="","",IF(D597&lt;=($E$3*60+$F$3)/86400,"○",""))</f>
        <v/>
      </c>
      <c r="H597" s="16" t="n">
        <v>0.0071912037037037</v>
      </c>
      <c r="I597" s="17" t="n">
        <v>529</v>
      </c>
      <c r="J597" s="16" t="n">
        <v>0.00282974537037037</v>
      </c>
      <c r="K597" s="17" t="n">
        <v>426</v>
      </c>
      <c r="L597" s="17" t="n">
        <f aca="false">COUNT(E597,I597,K597)</f>
        <v>3</v>
      </c>
      <c r="M597" s="18" t="n">
        <f aca="false">(D597&lt;&gt;"")*(D597&lt;=($E$3*60+$F$3)/86400)+(H597&lt;&gt;"")*(H597&lt;=($I$3*60+$J$3)/86400)+(J597&lt;&gt;"")*(J597&lt;=($M$3*60+$N$3)/86400)</f>
        <v>0</v>
      </c>
      <c r="N597" s="20"/>
      <c r="O597" s="20"/>
      <c r="P597" s="20"/>
      <c r="Q597" s="19"/>
    </row>
    <row r="598" customFormat="false" ht="15" hidden="false" customHeight="false" outlineLevel="0" collapsed="false">
      <c r="A598" s="10" t="n">
        <v>592</v>
      </c>
      <c r="B598" s="11" t="s">
        <v>1023</v>
      </c>
      <c r="C598" s="12" t="s">
        <v>63</v>
      </c>
      <c r="D598" s="13" t="n">
        <v>0.0107074074074074</v>
      </c>
      <c r="E598" s="14" t="n">
        <v>593</v>
      </c>
      <c r="F598" s="15" t="n">
        <f aca="false">IF(D598="","",ROUND((D598-MIN($D$7:$D$9999))*86400,2))</f>
        <v>135.38</v>
      </c>
      <c r="G598" s="10" t="str">
        <f aca="false">IF(D598="","",IF(D598&lt;=($E$3*60+$F$3)/86400,"○",""))</f>
        <v/>
      </c>
      <c r="H598" s="16" t="n">
        <v>0.00683229166666667</v>
      </c>
      <c r="I598" s="17" t="n">
        <v>194</v>
      </c>
      <c r="J598" s="16"/>
      <c r="K598" s="17"/>
      <c r="L598" s="17" t="n">
        <f aca="false">COUNT(E598,I598,K598)</f>
        <v>2</v>
      </c>
      <c r="M598" s="18" t="n">
        <f aca="false">(D598&lt;&gt;"")*(D598&lt;=($E$3*60+$F$3)/86400)+(H598&lt;&gt;"")*(H598&lt;=($I$3*60+$J$3)/86400)+(J598&lt;&gt;"")*(J598&lt;=($M$3*60+$N$3)/86400)</f>
        <v>0</v>
      </c>
      <c r="N598" s="20"/>
      <c r="O598" s="20"/>
      <c r="P598" s="20"/>
      <c r="Q598" s="19"/>
    </row>
    <row r="599" customFormat="false" ht="15" hidden="false" customHeight="false" outlineLevel="0" collapsed="false">
      <c r="A599" s="10" t="n">
        <v>593</v>
      </c>
      <c r="B599" s="11" t="s">
        <v>1024</v>
      </c>
      <c r="C599" s="12" t="s">
        <v>240</v>
      </c>
      <c r="D599" s="13" t="n">
        <v>0.0107076388888889</v>
      </c>
      <c r="E599" s="14" t="n">
        <v>594</v>
      </c>
      <c r="F599" s="15" t="n">
        <f aca="false">IF(D599="","",ROUND((D599-MIN($D$7:$D$9999))*86400,2))</f>
        <v>135.4</v>
      </c>
      <c r="G599" s="10" t="str">
        <f aca="false">IF(D599="","",IF(D599&lt;=($E$3*60+$F$3)/86400,"○",""))</f>
        <v/>
      </c>
      <c r="H599" s="16" t="n">
        <v>0.00700706018518519</v>
      </c>
      <c r="I599" s="17" t="n">
        <v>345</v>
      </c>
      <c r="J599" s="16" t="n">
        <v>0.00293472222222222</v>
      </c>
      <c r="K599" s="17" t="n">
        <v>1185</v>
      </c>
      <c r="L599" s="17" t="n">
        <f aca="false">COUNT(E599,I599,K599)</f>
        <v>3</v>
      </c>
      <c r="M599" s="18" t="n">
        <f aca="false">(D599&lt;&gt;"")*(D599&lt;=($E$3*60+$F$3)/86400)+(H599&lt;&gt;"")*(H599&lt;=($I$3*60+$J$3)/86400)+(J599&lt;&gt;"")*(J599&lt;=($M$3*60+$N$3)/86400)</f>
        <v>0</v>
      </c>
      <c r="N599" s="20"/>
      <c r="O599" s="20"/>
      <c r="P599" s="20"/>
      <c r="Q599" s="19"/>
    </row>
    <row r="600" customFormat="false" ht="15" hidden="false" customHeight="false" outlineLevel="0" collapsed="false">
      <c r="A600" s="10" t="n">
        <v>594</v>
      </c>
      <c r="B600" s="11" t="s">
        <v>1025</v>
      </c>
      <c r="C600" s="12" t="s">
        <v>623</v>
      </c>
      <c r="D600" s="13" t="n">
        <v>0.0107081018518519</v>
      </c>
      <c r="E600" s="14" t="n">
        <v>595</v>
      </c>
      <c r="F600" s="15" t="n">
        <f aca="false">IF(D600="","",ROUND((D600-MIN($D$7:$D$9999))*86400,2))</f>
        <v>135.44</v>
      </c>
      <c r="G600" s="10" t="str">
        <f aca="false">IF(D600="","",IF(D600&lt;=($E$3*60+$F$3)/86400,"○",""))</f>
        <v/>
      </c>
      <c r="H600" s="16"/>
      <c r="I600" s="17"/>
      <c r="J600" s="16" t="n">
        <v>0.00285115740740741</v>
      </c>
      <c r="K600" s="17" t="n">
        <v>576</v>
      </c>
      <c r="L600" s="17" t="n">
        <f aca="false">COUNT(E600,I600,K600)</f>
        <v>2</v>
      </c>
      <c r="M600" s="18" t="n">
        <f aca="false">(D600&lt;&gt;"")*(D600&lt;=($E$3*60+$F$3)/86400)+(H600&lt;&gt;"")*(H600&lt;=($I$3*60+$J$3)/86400)+(J600&lt;&gt;"")*(J600&lt;=($M$3*60+$N$3)/86400)</f>
        <v>0</v>
      </c>
      <c r="N600" s="20"/>
      <c r="O600" s="20" t="s">
        <v>1026</v>
      </c>
      <c r="P600" s="20"/>
      <c r="Q600" s="19"/>
    </row>
    <row r="601" customFormat="false" ht="15" hidden="false" customHeight="false" outlineLevel="0" collapsed="false">
      <c r="A601" s="10" t="n">
        <v>595</v>
      </c>
      <c r="B601" s="11" t="s">
        <v>1027</v>
      </c>
      <c r="C601" s="12" t="s">
        <v>1028</v>
      </c>
      <c r="D601" s="13" t="n">
        <v>0.0107082175925926</v>
      </c>
      <c r="E601" s="14" t="n">
        <v>596</v>
      </c>
      <c r="F601" s="15" t="n">
        <f aca="false">IF(D601="","",ROUND((D601-MIN($D$7:$D$9999))*86400,2))</f>
        <v>135.45</v>
      </c>
      <c r="G601" s="10" t="str">
        <f aca="false">IF(D601="","",IF(D601&lt;=($E$3*60+$F$3)/86400,"○",""))</f>
        <v/>
      </c>
      <c r="H601" s="16"/>
      <c r="I601" s="17"/>
      <c r="J601" s="16"/>
      <c r="K601" s="17"/>
      <c r="L601" s="17" t="n">
        <f aca="false">COUNT(E601,I601,K601)</f>
        <v>1</v>
      </c>
      <c r="M601" s="18" t="n">
        <f aca="false">(D601&lt;&gt;"")*(D601&lt;=($E$3*60+$F$3)/86400)+(H601&lt;&gt;"")*(H601&lt;=($I$3*60+$J$3)/86400)+(J601&lt;&gt;"")*(J601&lt;=($M$3*60+$N$3)/86400)</f>
        <v>0</v>
      </c>
      <c r="N601" s="20"/>
      <c r="O601" s="20"/>
      <c r="P601" s="20"/>
      <c r="Q601" s="19"/>
    </row>
    <row r="602" customFormat="false" ht="15" hidden="false" customHeight="false" outlineLevel="0" collapsed="false">
      <c r="A602" s="10" t="n">
        <v>596</v>
      </c>
      <c r="B602" s="11" t="s">
        <v>1029</v>
      </c>
      <c r="C602" s="12" t="s">
        <v>348</v>
      </c>
      <c r="D602" s="13" t="n">
        <v>0.0107082175925926</v>
      </c>
      <c r="E602" s="14" t="n">
        <v>597</v>
      </c>
      <c r="F602" s="15" t="n">
        <f aca="false">IF(D602="","",ROUND((D602-MIN($D$7:$D$9999))*86400,2))</f>
        <v>135.45</v>
      </c>
      <c r="G602" s="10" t="str">
        <f aca="false">IF(D602="","",IF(D602&lt;=($E$3*60+$F$3)/86400,"○",""))</f>
        <v/>
      </c>
      <c r="H602" s="16"/>
      <c r="I602" s="17"/>
      <c r="J602" s="16" t="n">
        <v>0.00273611111111111</v>
      </c>
      <c r="K602" s="17" t="n">
        <v>77</v>
      </c>
      <c r="L602" s="17" t="n">
        <f aca="false">COUNT(E602,I602,K602)</f>
        <v>2</v>
      </c>
      <c r="M602" s="18" t="n">
        <f aca="false">(D602&lt;&gt;"")*(D602&lt;=($E$3*60+$F$3)/86400)+(H602&lt;&gt;"")*(H602&lt;=($I$3*60+$J$3)/86400)+(J602&lt;&gt;"")*(J602&lt;=($M$3*60+$N$3)/86400)</f>
        <v>0</v>
      </c>
      <c r="N602" s="20" t="s">
        <v>1030</v>
      </c>
      <c r="O602" s="20"/>
      <c r="P602" s="20"/>
      <c r="Q602" s="19"/>
    </row>
    <row r="603" customFormat="false" ht="15" hidden="false" customHeight="false" outlineLevel="0" collapsed="false">
      <c r="A603" s="10" t="n">
        <v>597</v>
      </c>
      <c r="B603" s="11" t="s">
        <v>1031</v>
      </c>
      <c r="C603" s="12" t="s">
        <v>648</v>
      </c>
      <c r="D603" s="13" t="n">
        <v>0.010708912037037</v>
      </c>
      <c r="E603" s="14" t="n">
        <v>598</v>
      </c>
      <c r="F603" s="15" t="n">
        <f aca="false">IF(D603="","",ROUND((D603-MIN($D$7:$D$9999))*86400,2))</f>
        <v>135.51</v>
      </c>
      <c r="G603" s="10" t="str">
        <f aca="false">IF(D603="","",IF(D603&lt;=($E$3*60+$F$3)/86400,"○",""))</f>
        <v/>
      </c>
      <c r="H603" s="16"/>
      <c r="I603" s="17"/>
      <c r="J603" s="16" t="n">
        <v>0.00287673611111111</v>
      </c>
      <c r="K603" s="17" t="n">
        <v>745</v>
      </c>
      <c r="L603" s="17" t="n">
        <f aca="false">COUNT(E603,I603,K603)</f>
        <v>2</v>
      </c>
      <c r="M603" s="18" t="n">
        <f aca="false">(D603&lt;&gt;"")*(D603&lt;=($E$3*60+$F$3)/86400)+(H603&lt;&gt;"")*(H603&lt;=($I$3*60+$J$3)/86400)+(J603&lt;&gt;"")*(J603&lt;=($M$3*60+$N$3)/86400)</f>
        <v>0</v>
      </c>
      <c r="N603" s="20" t="s">
        <v>480</v>
      </c>
      <c r="O603" s="20"/>
      <c r="P603" s="20"/>
      <c r="Q603" s="19"/>
    </row>
    <row r="604" customFormat="false" ht="15" hidden="false" customHeight="false" outlineLevel="0" collapsed="false">
      <c r="A604" s="10" t="n">
        <v>598</v>
      </c>
      <c r="B604" s="11" t="s">
        <v>1032</v>
      </c>
      <c r="C604" s="12" t="s">
        <v>80</v>
      </c>
      <c r="D604" s="13" t="n">
        <v>0.0107099537037037</v>
      </c>
      <c r="E604" s="14" t="n">
        <v>599</v>
      </c>
      <c r="F604" s="15" t="n">
        <f aca="false">IF(D604="","",ROUND((D604-MIN($D$7:$D$9999))*86400,2))</f>
        <v>135.6</v>
      </c>
      <c r="G604" s="10" t="str">
        <f aca="false">IF(D604="","",IF(D604&lt;=($E$3*60+$F$3)/86400,"○",""))</f>
        <v/>
      </c>
      <c r="H604" s="16"/>
      <c r="I604" s="17"/>
      <c r="J604" s="16" t="n">
        <v>0.00274537037037037</v>
      </c>
      <c r="K604" s="17" t="n">
        <v>91</v>
      </c>
      <c r="L604" s="17" t="n">
        <f aca="false">COUNT(E604,I604,K604)</f>
        <v>2</v>
      </c>
      <c r="M604" s="18" t="n">
        <f aca="false">(D604&lt;&gt;"")*(D604&lt;=($E$3*60+$F$3)/86400)+(H604&lt;&gt;"")*(H604&lt;=($I$3*60+$J$3)/86400)+(J604&lt;&gt;"")*(J604&lt;=($M$3*60+$N$3)/86400)</f>
        <v>0</v>
      </c>
      <c r="N604" s="20"/>
      <c r="O604" s="20"/>
      <c r="P604" s="20"/>
      <c r="Q604" s="19"/>
    </row>
    <row r="605" customFormat="false" ht="15" hidden="false" customHeight="false" outlineLevel="0" collapsed="false">
      <c r="A605" s="10" t="n">
        <v>599</v>
      </c>
      <c r="B605" s="11" t="s">
        <v>1033</v>
      </c>
      <c r="C605" s="12" t="s">
        <v>199</v>
      </c>
      <c r="D605" s="13" t="n">
        <v>0.0107121527777778</v>
      </c>
      <c r="E605" s="14" t="n">
        <v>600</v>
      </c>
      <c r="F605" s="15" t="n">
        <f aca="false">IF(D605="","",ROUND((D605-MIN($D$7:$D$9999))*86400,2))</f>
        <v>135.79</v>
      </c>
      <c r="G605" s="10" t="str">
        <f aca="false">IF(D605="","",IF(D605&lt;=($E$3*60+$F$3)/86400,"○",""))</f>
        <v/>
      </c>
      <c r="H605" s="16"/>
      <c r="I605" s="17"/>
      <c r="J605" s="16" t="n">
        <v>0.00283576388888889</v>
      </c>
      <c r="K605" s="17" t="n">
        <v>469</v>
      </c>
      <c r="L605" s="17" t="n">
        <f aca="false">COUNT(E605,I605,K605)</f>
        <v>2</v>
      </c>
      <c r="M605" s="18" t="n">
        <f aca="false">(D605&lt;&gt;"")*(D605&lt;=($E$3*60+$F$3)/86400)+(H605&lt;&gt;"")*(H605&lt;=($I$3*60+$J$3)/86400)+(J605&lt;&gt;"")*(J605&lt;=($M$3*60+$N$3)/86400)</f>
        <v>0</v>
      </c>
      <c r="N605" s="20"/>
      <c r="O605" s="20"/>
      <c r="P605" s="20"/>
      <c r="Q605" s="19"/>
    </row>
    <row r="606" customFormat="false" ht="15" hidden="false" customHeight="false" outlineLevel="0" collapsed="false">
      <c r="A606" s="10" t="n">
        <v>600</v>
      </c>
      <c r="B606" s="11" t="s">
        <v>1034</v>
      </c>
      <c r="C606" s="12" t="s">
        <v>1035</v>
      </c>
      <c r="D606" s="13" t="n">
        <v>0.0107128472222222</v>
      </c>
      <c r="E606" s="14" t="n">
        <v>601</v>
      </c>
      <c r="F606" s="15" t="n">
        <f aca="false">IF(D606="","",ROUND((D606-MIN($D$7:$D$9999))*86400,2))</f>
        <v>135.85</v>
      </c>
      <c r="G606" s="10" t="str">
        <f aca="false">IF(D606="","",IF(D606&lt;=($E$3*60+$F$3)/86400,"○",""))</f>
        <v/>
      </c>
      <c r="H606" s="16"/>
      <c r="I606" s="17"/>
      <c r="J606" s="16" t="n">
        <v>0.00289988425925926</v>
      </c>
      <c r="K606" s="17" t="n">
        <v>944</v>
      </c>
      <c r="L606" s="17" t="n">
        <f aca="false">COUNT(E606,I606,K606)</f>
        <v>2</v>
      </c>
      <c r="M606" s="18" t="n">
        <f aca="false">(D606&lt;&gt;"")*(D606&lt;=($E$3*60+$F$3)/86400)+(H606&lt;&gt;"")*(H606&lt;=($I$3*60+$J$3)/86400)+(J606&lt;&gt;"")*(J606&lt;=($M$3*60+$N$3)/86400)</f>
        <v>0</v>
      </c>
      <c r="N606" s="20"/>
      <c r="O606" s="20"/>
      <c r="P606" s="20"/>
      <c r="Q606" s="19"/>
    </row>
    <row r="607" customFormat="false" ht="15" hidden="false" customHeight="false" outlineLevel="0" collapsed="false">
      <c r="A607" s="10" t="n">
        <v>601</v>
      </c>
      <c r="B607" s="11" t="s">
        <v>1036</v>
      </c>
      <c r="C607" s="12" t="s">
        <v>415</v>
      </c>
      <c r="D607" s="13" t="n">
        <v>0.0107133101851852</v>
      </c>
      <c r="E607" s="14" t="n">
        <v>602</v>
      </c>
      <c r="F607" s="15" t="n">
        <f aca="false">IF(D607="","",ROUND((D607-MIN($D$7:$D$9999))*86400,2))</f>
        <v>135.89</v>
      </c>
      <c r="G607" s="10" t="str">
        <f aca="false">IF(D607="","",IF(D607&lt;=($E$3*60+$F$3)/86400,"○",""))</f>
        <v/>
      </c>
      <c r="H607" s="16"/>
      <c r="I607" s="17"/>
      <c r="J607" s="16"/>
      <c r="K607" s="17"/>
      <c r="L607" s="17" t="n">
        <f aca="false">COUNT(E607,I607,K607)</f>
        <v>1</v>
      </c>
      <c r="M607" s="18" t="n">
        <f aca="false">(D607&lt;&gt;"")*(D607&lt;=($E$3*60+$F$3)/86400)+(H607&lt;&gt;"")*(H607&lt;=($I$3*60+$J$3)/86400)+(J607&lt;&gt;"")*(J607&lt;=($M$3*60+$N$3)/86400)</f>
        <v>0</v>
      </c>
      <c r="N607" s="20"/>
      <c r="O607" s="20"/>
      <c r="P607" s="20"/>
      <c r="Q607" s="19"/>
    </row>
    <row r="608" customFormat="false" ht="15" hidden="false" customHeight="false" outlineLevel="0" collapsed="false">
      <c r="A608" s="10" t="n">
        <v>602</v>
      </c>
      <c r="B608" s="11" t="s">
        <v>1037</v>
      </c>
      <c r="C608" s="12" t="s">
        <v>290</v>
      </c>
      <c r="D608" s="13" t="n">
        <v>0.0107142361111111</v>
      </c>
      <c r="E608" s="14" t="n">
        <v>603</v>
      </c>
      <c r="F608" s="15" t="n">
        <f aca="false">IF(D608="","",ROUND((D608-MIN($D$7:$D$9999))*86400,2))</f>
        <v>135.97</v>
      </c>
      <c r="G608" s="10" t="str">
        <f aca="false">IF(D608="","",IF(D608&lt;=($E$3*60+$F$3)/86400,"○",""))</f>
        <v/>
      </c>
      <c r="H608" s="16" t="n">
        <v>0.00700081018518519</v>
      </c>
      <c r="I608" s="17" t="n">
        <v>338</v>
      </c>
      <c r="J608" s="16" t="n">
        <v>0.00286875</v>
      </c>
      <c r="K608" s="17" t="n">
        <v>686</v>
      </c>
      <c r="L608" s="17" t="n">
        <f aca="false">COUNT(E608,I608,K608)</f>
        <v>3</v>
      </c>
      <c r="M608" s="18" t="n">
        <f aca="false">(D608&lt;&gt;"")*(D608&lt;=($E$3*60+$F$3)/86400)+(H608&lt;&gt;"")*(H608&lt;=($I$3*60+$J$3)/86400)+(J608&lt;&gt;"")*(J608&lt;=($M$3*60+$N$3)/86400)</f>
        <v>0</v>
      </c>
      <c r="N608" s="20"/>
      <c r="O608" s="20"/>
      <c r="P608" s="12" t="s">
        <v>1003</v>
      </c>
      <c r="Q608" s="19"/>
    </row>
    <row r="609" customFormat="false" ht="15" hidden="false" customHeight="false" outlineLevel="0" collapsed="false">
      <c r="A609" s="10" t="n">
        <v>603</v>
      </c>
      <c r="B609" s="11" t="s">
        <v>1038</v>
      </c>
      <c r="C609" s="12" t="s">
        <v>65</v>
      </c>
      <c r="D609" s="13" t="n">
        <v>0.0107144675925926</v>
      </c>
      <c r="E609" s="14" t="n">
        <v>604</v>
      </c>
      <c r="F609" s="15" t="n">
        <f aca="false">IF(D609="","",ROUND((D609-MIN($D$7:$D$9999))*86400,2))</f>
        <v>135.99</v>
      </c>
      <c r="G609" s="10" t="str">
        <f aca="false">IF(D609="","",IF(D609&lt;=($E$3*60+$F$3)/86400,"○",""))</f>
        <v/>
      </c>
      <c r="H609" s="16"/>
      <c r="I609" s="17"/>
      <c r="J609" s="16" t="n">
        <v>0.00280671296296296</v>
      </c>
      <c r="K609" s="17" t="n">
        <v>310</v>
      </c>
      <c r="L609" s="17" t="n">
        <f aca="false">COUNT(E609,I609,K609)</f>
        <v>2</v>
      </c>
      <c r="M609" s="18" t="n">
        <f aca="false">(D609&lt;&gt;"")*(D609&lt;=($E$3*60+$F$3)/86400)+(H609&lt;&gt;"")*(H609&lt;=($I$3*60+$J$3)/86400)+(J609&lt;&gt;"")*(J609&lt;=($M$3*60+$N$3)/86400)</f>
        <v>0</v>
      </c>
      <c r="N609" s="20"/>
      <c r="O609" s="20"/>
      <c r="P609" s="20"/>
      <c r="Q609" s="19"/>
    </row>
    <row r="610" customFormat="false" ht="15" hidden="false" customHeight="false" outlineLevel="0" collapsed="false">
      <c r="A610" s="10" t="n">
        <v>604</v>
      </c>
      <c r="B610" s="11" t="s">
        <v>1039</v>
      </c>
      <c r="C610" s="12" t="s">
        <v>401</v>
      </c>
      <c r="D610" s="13" t="n">
        <v>0.0107153935185185</v>
      </c>
      <c r="E610" s="14" t="n">
        <v>605</v>
      </c>
      <c r="F610" s="15" t="n">
        <f aca="false">IF(D610="","",ROUND((D610-MIN($D$7:$D$9999))*86400,2))</f>
        <v>136.07</v>
      </c>
      <c r="G610" s="10" t="str">
        <f aca="false">IF(D610="","",IF(D610&lt;=($E$3*60+$F$3)/86400,"○",""))</f>
        <v/>
      </c>
      <c r="H610" s="16"/>
      <c r="I610" s="17"/>
      <c r="J610" s="16" t="n">
        <v>0.00294710648148148</v>
      </c>
      <c r="K610" s="17" t="n">
        <v>1224</v>
      </c>
      <c r="L610" s="17" t="n">
        <f aca="false">COUNT(E610,I610,K610)</f>
        <v>2</v>
      </c>
      <c r="M610" s="18" t="n">
        <f aca="false">(D610&lt;&gt;"")*(D610&lt;=($E$3*60+$F$3)/86400)+(H610&lt;&gt;"")*(H610&lt;=($I$3*60+$J$3)/86400)+(J610&lt;&gt;"")*(J610&lt;=($M$3*60+$N$3)/86400)</f>
        <v>0</v>
      </c>
      <c r="N610" s="20"/>
      <c r="O610" s="20"/>
      <c r="P610" s="20"/>
      <c r="Q610" s="19"/>
    </row>
    <row r="611" customFormat="false" ht="15" hidden="false" customHeight="false" outlineLevel="0" collapsed="false">
      <c r="A611" s="10" t="n">
        <v>605</v>
      </c>
      <c r="B611" s="11" t="s">
        <v>1040</v>
      </c>
      <c r="C611" s="12" t="s">
        <v>632</v>
      </c>
      <c r="D611" s="13" t="n">
        <v>0.0107155092592593</v>
      </c>
      <c r="E611" s="14" t="n">
        <v>606</v>
      </c>
      <c r="F611" s="15" t="n">
        <f aca="false">IF(D611="","",ROUND((D611-MIN($D$7:$D$9999))*86400,2))</f>
        <v>136.08</v>
      </c>
      <c r="G611" s="10" t="str">
        <f aca="false">IF(D611="","",IF(D611&lt;=($E$3*60+$F$3)/86400,"○",""))</f>
        <v/>
      </c>
      <c r="H611" s="16"/>
      <c r="I611" s="17"/>
      <c r="J611" s="16"/>
      <c r="K611" s="17"/>
      <c r="L611" s="17" t="n">
        <f aca="false">COUNT(E611,I611,K611)</f>
        <v>1</v>
      </c>
      <c r="M611" s="18" t="n">
        <f aca="false">(D611&lt;&gt;"")*(D611&lt;=($E$3*60+$F$3)/86400)+(H611&lt;&gt;"")*(H611&lt;=($I$3*60+$J$3)/86400)+(J611&lt;&gt;"")*(J611&lt;=($M$3*60+$N$3)/86400)</f>
        <v>0</v>
      </c>
      <c r="N611" s="20"/>
      <c r="O611" s="20"/>
      <c r="P611" s="20"/>
      <c r="Q611" s="19"/>
    </row>
    <row r="612" customFormat="false" ht="15" hidden="false" customHeight="false" outlineLevel="0" collapsed="false">
      <c r="A612" s="10" t="n">
        <v>606</v>
      </c>
      <c r="B612" s="11" t="s">
        <v>1041</v>
      </c>
      <c r="C612" s="12" t="s">
        <v>125</v>
      </c>
      <c r="D612" s="13" t="n">
        <v>0.0107158564814815</v>
      </c>
      <c r="E612" s="14" t="n">
        <v>607</v>
      </c>
      <c r="F612" s="15" t="n">
        <f aca="false">IF(D612="","",ROUND((D612-MIN($D$7:$D$9999))*86400,2))</f>
        <v>136.11</v>
      </c>
      <c r="G612" s="10" t="str">
        <f aca="false">IF(D612="","",IF(D612&lt;=($E$3*60+$F$3)/86400,"○",""))</f>
        <v/>
      </c>
      <c r="H612" s="16"/>
      <c r="I612" s="17"/>
      <c r="J612" s="16" t="n">
        <v>0.0027556712962963</v>
      </c>
      <c r="K612" s="17" t="n">
        <v>122</v>
      </c>
      <c r="L612" s="17" t="n">
        <f aca="false">COUNT(E612,I612,K612)</f>
        <v>2</v>
      </c>
      <c r="M612" s="18" t="n">
        <f aca="false">(D612&lt;&gt;"")*(D612&lt;=($E$3*60+$F$3)/86400)+(H612&lt;&gt;"")*(H612&lt;=($I$3*60+$J$3)/86400)+(J612&lt;&gt;"")*(J612&lt;=($M$3*60+$N$3)/86400)</f>
        <v>0</v>
      </c>
      <c r="N612" s="20"/>
      <c r="O612" s="20"/>
      <c r="P612" s="20"/>
      <c r="Q612" s="19"/>
    </row>
    <row r="613" customFormat="false" ht="15" hidden="false" customHeight="false" outlineLevel="0" collapsed="false">
      <c r="A613" s="10" t="n">
        <v>607</v>
      </c>
      <c r="B613" s="11" t="s">
        <v>1042</v>
      </c>
      <c r="C613" s="12" t="s">
        <v>193</v>
      </c>
      <c r="D613" s="13" t="n">
        <v>0.010716087962963</v>
      </c>
      <c r="E613" s="14" t="n">
        <v>608</v>
      </c>
      <c r="F613" s="15" t="n">
        <f aca="false">IF(D613="","",ROUND((D613-MIN($D$7:$D$9999))*86400,2))</f>
        <v>136.13</v>
      </c>
      <c r="G613" s="10" t="str">
        <f aca="false">IF(D613="","",IF(D613&lt;=($E$3*60+$F$3)/86400,"○",""))</f>
        <v/>
      </c>
      <c r="H613" s="16" t="n">
        <v>0.00634525462962963</v>
      </c>
      <c r="I613" s="17" t="n">
        <v>9</v>
      </c>
      <c r="J613" s="16" t="n">
        <v>0.00277592592592593</v>
      </c>
      <c r="K613" s="17" t="n">
        <v>180</v>
      </c>
      <c r="L613" s="17" t="n">
        <f aca="false">COUNT(E613,I613,K613)</f>
        <v>3</v>
      </c>
      <c r="M613" s="18" t="n">
        <f aca="false">(D613&lt;&gt;"")*(D613&lt;=($E$3*60+$F$3)/86400)+(H613&lt;&gt;"")*(H613&lt;=($I$3*60+$J$3)/86400)+(J613&lt;&gt;"")*(J613&lt;=($M$3*60+$N$3)/86400)</f>
        <v>1</v>
      </c>
      <c r="N613" s="20"/>
      <c r="O613" s="20"/>
      <c r="P613" s="20"/>
      <c r="Q613" s="19"/>
    </row>
    <row r="614" customFormat="false" ht="15" hidden="false" customHeight="false" outlineLevel="0" collapsed="false">
      <c r="A614" s="10" t="n">
        <v>608</v>
      </c>
      <c r="B614" s="11" t="s">
        <v>1043</v>
      </c>
      <c r="C614" s="12" t="s">
        <v>601</v>
      </c>
      <c r="D614" s="13" t="n">
        <v>0.0107168981481482</v>
      </c>
      <c r="E614" s="14" t="n">
        <v>609</v>
      </c>
      <c r="F614" s="15" t="n">
        <f aca="false">IF(D614="","",ROUND((D614-MIN($D$7:$D$9999))*86400,2))</f>
        <v>136.2</v>
      </c>
      <c r="G614" s="10" t="str">
        <f aca="false">IF(D614="","",IF(D614&lt;=($E$3*60+$F$3)/86400,"○",""))</f>
        <v/>
      </c>
      <c r="H614" s="16"/>
      <c r="I614" s="17"/>
      <c r="J614" s="16"/>
      <c r="K614" s="17"/>
      <c r="L614" s="17" t="n">
        <f aca="false">COUNT(E614,I614,K614)</f>
        <v>1</v>
      </c>
      <c r="M614" s="18" t="n">
        <f aca="false">(D614&lt;&gt;"")*(D614&lt;=($E$3*60+$F$3)/86400)+(H614&lt;&gt;"")*(H614&lt;=($I$3*60+$J$3)/86400)+(J614&lt;&gt;"")*(J614&lt;=($M$3*60+$N$3)/86400)</f>
        <v>0</v>
      </c>
      <c r="N614" s="20"/>
      <c r="O614" s="20"/>
      <c r="P614" s="20"/>
      <c r="Q614" s="19"/>
    </row>
    <row r="615" customFormat="false" ht="15" hidden="false" customHeight="false" outlineLevel="0" collapsed="false">
      <c r="A615" s="10" t="n">
        <v>609</v>
      </c>
      <c r="B615" s="11" t="s">
        <v>1044</v>
      </c>
      <c r="C615" s="12" t="s">
        <v>674</v>
      </c>
      <c r="D615" s="13" t="n">
        <v>0.0107172453703704</v>
      </c>
      <c r="E615" s="14" t="n">
        <v>610</v>
      </c>
      <c r="F615" s="15" t="n">
        <f aca="false">IF(D615="","",ROUND((D615-MIN($D$7:$D$9999))*86400,2))</f>
        <v>136.23</v>
      </c>
      <c r="G615" s="10" t="str">
        <f aca="false">IF(D615="","",IF(D615&lt;=($E$3*60+$F$3)/86400,"○",""))</f>
        <v/>
      </c>
      <c r="H615" s="16" t="n">
        <v>0.00698078703703704</v>
      </c>
      <c r="I615" s="17" t="n">
        <v>314</v>
      </c>
      <c r="J615" s="16"/>
      <c r="K615" s="17"/>
      <c r="L615" s="17" t="n">
        <f aca="false">COUNT(E615,I615,K615)</f>
        <v>2</v>
      </c>
      <c r="M615" s="18" t="n">
        <f aca="false">(D615&lt;&gt;"")*(D615&lt;=($E$3*60+$F$3)/86400)+(H615&lt;&gt;"")*(H615&lt;=($I$3*60+$J$3)/86400)+(J615&lt;&gt;"")*(J615&lt;=($M$3*60+$N$3)/86400)</f>
        <v>0</v>
      </c>
      <c r="N615" s="20"/>
      <c r="O615" s="20"/>
      <c r="P615" s="20"/>
      <c r="Q615" s="19"/>
    </row>
    <row r="616" customFormat="false" ht="15" hidden="false" customHeight="false" outlineLevel="0" collapsed="false">
      <c r="A616" s="10" t="n">
        <v>610</v>
      </c>
      <c r="B616" s="11" t="s">
        <v>1045</v>
      </c>
      <c r="C616" s="12" t="s">
        <v>415</v>
      </c>
      <c r="D616" s="13" t="n">
        <v>0.0107178240740741</v>
      </c>
      <c r="E616" s="14" t="n">
        <v>611</v>
      </c>
      <c r="F616" s="15" t="n">
        <f aca="false">IF(D616="","",ROUND((D616-MIN($D$7:$D$9999))*86400,2))</f>
        <v>136.28</v>
      </c>
      <c r="G616" s="10" t="str">
        <f aca="false">IF(D616="","",IF(D616&lt;=($E$3*60+$F$3)/86400,"○",""))</f>
        <v/>
      </c>
      <c r="H616" s="16"/>
      <c r="I616" s="17"/>
      <c r="J616" s="16"/>
      <c r="K616" s="17"/>
      <c r="L616" s="17" t="n">
        <f aca="false">COUNT(E616,I616,K616)</f>
        <v>1</v>
      </c>
      <c r="M616" s="18" t="n">
        <f aca="false">(D616&lt;&gt;"")*(D616&lt;=($E$3*60+$F$3)/86400)+(H616&lt;&gt;"")*(H616&lt;=($I$3*60+$J$3)/86400)+(J616&lt;&gt;"")*(J616&lt;=($M$3*60+$N$3)/86400)</f>
        <v>0</v>
      </c>
      <c r="N616" s="20"/>
      <c r="O616" s="20"/>
      <c r="P616" s="20"/>
      <c r="Q616" s="19"/>
    </row>
    <row r="617" customFormat="false" ht="15" hidden="false" customHeight="false" outlineLevel="0" collapsed="false">
      <c r="A617" s="10" t="n">
        <v>611</v>
      </c>
      <c r="B617" s="11" t="s">
        <v>1046</v>
      </c>
      <c r="C617" s="12" t="s">
        <v>1047</v>
      </c>
      <c r="D617" s="13" t="n">
        <v>0.010719212962963</v>
      </c>
      <c r="E617" s="14" t="n">
        <v>612</v>
      </c>
      <c r="F617" s="15" t="n">
        <f aca="false">IF(D617="","",ROUND((D617-MIN($D$7:$D$9999))*86400,2))</f>
        <v>136.4</v>
      </c>
      <c r="G617" s="10" t="str">
        <f aca="false">IF(D617="","",IF(D617&lt;=($E$3*60+$F$3)/86400,"○",""))</f>
        <v/>
      </c>
      <c r="H617" s="16"/>
      <c r="I617" s="17"/>
      <c r="J617" s="16" t="n">
        <v>0.00290347222222222</v>
      </c>
      <c r="K617" s="17" t="n">
        <v>975</v>
      </c>
      <c r="L617" s="17" t="n">
        <f aca="false">COUNT(E617,I617,K617)</f>
        <v>2</v>
      </c>
      <c r="M617" s="18" t="n">
        <f aca="false">(D617&lt;&gt;"")*(D617&lt;=($E$3*60+$F$3)/86400)+(H617&lt;&gt;"")*(H617&lt;=($I$3*60+$J$3)/86400)+(J617&lt;&gt;"")*(J617&lt;=($M$3*60+$N$3)/86400)</f>
        <v>0</v>
      </c>
      <c r="N617" s="20"/>
      <c r="O617" s="20"/>
      <c r="P617" s="20"/>
      <c r="Q617" s="19"/>
    </row>
    <row r="618" customFormat="false" ht="15" hidden="false" customHeight="false" outlineLevel="0" collapsed="false">
      <c r="A618" s="10" t="n">
        <v>612</v>
      </c>
      <c r="B618" s="11" t="s">
        <v>1048</v>
      </c>
      <c r="C618" s="12" t="s">
        <v>1049</v>
      </c>
      <c r="D618" s="13" t="n">
        <v>0.0107209490740741</v>
      </c>
      <c r="E618" s="14" t="n">
        <v>613</v>
      </c>
      <c r="F618" s="15" t="n">
        <f aca="false">IF(D618="","",ROUND((D618-MIN($D$7:$D$9999))*86400,2))</f>
        <v>136.55</v>
      </c>
      <c r="G618" s="10" t="str">
        <f aca="false">IF(D618="","",IF(D618&lt;=($E$3*60+$F$3)/86400,"○",""))</f>
        <v/>
      </c>
      <c r="H618" s="16"/>
      <c r="I618" s="17"/>
      <c r="J618" s="16" t="n">
        <v>0.0027568287037037</v>
      </c>
      <c r="K618" s="17" t="n">
        <v>126</v>
      </c>
      <c r="L618" s="17" t="n">
        <f aca="false">COUNT(E618,I618,K618)</f>
        <v>2</v>
      </c>
      <c r="M618" s="18" t="n">
        <f aca="false">(D618&lt;&gt;"")*(D618&lt;=($E$3*60+$F$3)/86400)+(H618&lt;&gt;"")*(H618&lt;=($I$3*60+$J$3)/86400)+(J618&lt;&gt;"")*(J618&lt;=($M$3*60+$N$3)/86400)</f>
        <v>0</v>
      </c>
      <c r="N618" s="20" t="s">
        <v>1050</v>
      </c>
      <c r="O618" s="20"/>
      <c r="P618" s="20"/>
      <c r="Q618" s="19"/>
    </row>
    <row r="619" customFormat="false" ht="15" hidden="false" customHeight="false" outlineLevel="0" collapsed="false">
      <c r="A619" s="10" t="n">
        <v>613</v>
      </c>
      <c r="B619" s="11" t="s">
        <v>1051</v>
      </c>
      <c r="C619" s="12" t="s">
        <v>968</v>
      </c>
      <c r="D619" s="13" t="n">
        <v>0.0107211805555556</v>
      </c>
      <c r="E619" s="14" t="n">
        <v>614</v>
      </c>
      <c r="F619" s="15" t="n">
        <f aca="false">IF(D619="","",ROUND((D619-MIN($D$7:$D$9999))*86400,2))</f>
        <v>136.57</v>
      </c>
      <c r="G619" s="10" t="str">
        <f aca="false">IF(D619="","",IF(D619&lt;=($E$3*60+$F$3)/86400,"○",""))</f>
        <v/>
      </c>
      <c r="H619" s="16"/>
      <c r="I619" s="17"/>
      <c r="J619" s="16"/>
      <c r="K619" s="17"/>
      <c r="L619" s="17" t="n">
        <f aca="false">COUNT(E619,I619,K619)</f>
        <v>1</v>
      </c>
      <c r="M619" s="18" t="n">
        <f aca="false">(D619&lt;&gt;"")*(D619&lt;=($E$3*60+$F$3)/86400)+(H619&lt;&gt;"")*(H619&lt;=($I$3*60+$J$3)/86400)+(J619&lt;&gt;"")*(J619&lt;=($M$3*60+$N$3)/86400)</f>
        <v>0</v>
      </c>
      <c r="N619" s="20"/>
      <c r="O619" s="20"/>
      <c r="P619" s="20"/>
      <c r="Q619" s="19"/>
    </row>
    <row r="620" customFormat="false" ht="15" hidden="false" customHeight="false" outlineLevel="0" collapsed="false">
      <c r="A620" s="10" t="n">
        <v>614</v>
      </c>
      <c r="B620" s="11" t="s">
        <v>1052</v>
      </c>
      <c r="C620" s="12" t="s">
        <v>43</v>
      </c>
      <c r="D620" s="13" t="n">
        <v>0.0107228009259259</v>
      </c>
      <c r="E620" s="14" t="n">
        <v>615</v>
      </c>
      <c r="F620" s="15" t="n">
        <f aca="false">IF(D620="","",ROUND((D620-MIN($D$7:$D$9999))*86400,2))</f>
        <v>136.71</v>
      </c>
      <c r="G620" s="10" t="str">
        <f aca="false">IF(D620="","",IF(D620&lt;=($E$3*60+$F$3)/86400,"○",""))</f>
        <v/>
      </c>
      <c r="H620" s="16" t="n">
        <v>0.00667372685185185</v>
      </c>
      <c r="I620" s="17" t="n">
        <v>93</v>
      </c>
      <c r="J620" s="16" t="n">
        <v>0.00285810185185185</v>
      </c>
      <c r="K620" s="17" t="n">
        <v>622</v>
      </c>
      <c r="L620" s="17" t="n">
        <f aca="false">COUNT(E620,I620,K620)</f>
        <v>3</v>
      </c>
      <c r="M620" s="18" t="n">
        <f aca="false">(D620&lt;&gt;"")*(D620&lt;=($E$3*60+$F$3)/86400)+(H620&lt;&gt;"")*(H620&lt;=($I$3*60+$J$3)/86400)+(J620&lt;&gt;"")*(J620&lt;=($M$3*60+$N$3)/86400)</f>
        <v>0</v>
      </c>
      <c r="N620" s="20"/>
      <c r="O620" s="20" t="s">
        <v>1053</v>
      </c>
      <c r="P620" s="20"/>
      <c r="Q620" s="19"/>
    </row>
    <row r="621" customFormat="false" ht="15" hidden="false" customHeight="false" outlineLevel="0" collapsed="false">
      <c r="A621" s="10" t="n">
        <v>615</v>
      </c>
      <c r="B621" s="11" t="s">
        <v>1054</v>
      </c>
      <c r="C621" s="12" t="s">
        <v>532</v>
      </c>
      <c r="D621" s="13" t="n">
        <v>0.0107228009259259</v>
      </c>
      <c r="E621" s="14" t="n">
        <v>616</v>
      </c>
      <c r="F621" s="15" t="n">
        <f aca="false">IF(D621="","",ROUND((D621-MIN($D$7:$D$9999))*86400,2))</f>
        <v>136.71</v>
      </c>
      <c r="G621" s="10" t="str">
        <f aca="false">IF(D621="","",IF(D621&lt;=($E$3*60+$F$3)/86400,"○",""))</f>
        <v/>
      </c>
      <c r="H621" s="16" t="n">
        <v>0.00680914351851852</v>
      </c>
      <c r="I621" s="17" t="n">
        <v>179</v>
      </c>
      <c r="J621" s="16" t="n">
        <v>0.00292210648148148</v>
      </c>
      <c r="K621" s="17" t="n">
        <v>1115</v>
      </c>
      <c r="L621" s="17" t="n">
        <f aca="false">COUNT(E621,I621,K621)</f>
        <v>3</v>
      </c>
      <c r="M621" s="18" t="n">
        <f aca="false">(D621&lt;&gt;"")*(D621&lt;=($E$3*60+$F$3)/86400)+(H621&lt;&gt;"")*(H621&lt;=($I$3*60+$J$3)/86400)+(J621&lt;&gt;"")*(J621&lt;=($M$3*60+$N$3)/86400)</f>
        <v>0</v>
      </c>
      <c r="N621" s="20"/>
      <c r="O621" s="20"/>
      <c r="P621" s="20"/>
      <c r="Q621" s="19"/>
    </row>
    <row r="622" customFormat="false" ht="15" hidden="false" customHeight="false" outlineLevel="0" collapsed="false">
      <c r="A622" s="10" t="n">
        <v>616</v>
      </c>
      <c r="B622" s="11" t="s">
        <v>1055</v>
      </c>
      <c r="C622" s="12" t="s">
        <v>595</v>
      </c>
      <c r="D622" s="13" t="n">
        <v>0.0107229166666667</v>
      </c>
      <c r="E622" s="14" t="n">
        <v>617</v>
      </c>
      <c r="F622" s="15" t="n">
        <f aca="false">IF(D622="","",ROUND((D622-MIN($D$7:$D$9999))*86400,2))</f>
        <v>136.72</v>
      </c>
      <c r="G622" s="10" t="str">
        <f aca="false">IF(D622="","",IF(D622&lt;=($E$3*60+$F$3)/86400,"○",""))</f>
        <v/>
      </c>
      <c r="H622" s="16" t="n">
        <v>0.00666805555555556</v>
      </c>
      <c r="I622" s="17" t="n">
        <v>91</v>
      </c>
      <c r="J622" s="16" t="n">
        <v>0.00291608796296296</v>
      </c>
      <c r="K622" s="17" t="n">
        <v>1059</v>
      </c>
      <c r="L622" s="17" t="n">
        <f aca="false">COUNT(E622,I622,K622)</f>
        <v>3</v>
      </c>
      <c r="M622" s="18" t="n">
        <f aca="false">(D622&lt;&gt;"")*(D622&lt;=($E$3*60+$F$3)/86400)+(H622&lt;&gt;"")*(H622&lt;=($I$3*60+$J$3)/86400)+(J622&lt;&gt;"")*(J622&lt;=($M$3*60+$N$3)/86400)</f>
        <v>0</v>
      </c>
      <c r="N622" s="20" t="s">
        <v>891</v>
      </c>
      <c r="O622" s="20"/>
      <c r="P622" s="20"/>
      <c r="Q622" s="19"/>
    </row>
    <row r="623" customFormat="false" ht="15" hidden="false" customHeight="false" outlineLevel="0" collapsed="false">
      <c r="A623" s="10" t="n">
        <v>617</v>
      </c>
      <c r="B623" s="11" t="s">
        <v>1056</v>
      </c>
      <c r="C623" s="12" t="s">
        <v>648</v>
      </c>
      <c r="D623" s="13" t="n">
        <v>0.0107231481481482</v>
      </c>
      <c r="E623" s="14" t="n">
        <v>618</v>
      </c>
      <c r="F623" s="15" t="n">
        <f aca="false">IF(D623="","",ROUND((D623-MIN($D$7:$D$9999))*86400,2))</f>
        <v>136.74</v>
      </c>
      <c r="G623" s="10" t="str">
        <f aca="false">IF(D623="","",IF(D623&lt;=($E$3*60+$F$3)/86400,"○",""))</f>
        <v/>
      </c>
      <c r="H623" s="16" t="n">
        <v>0.00752777777777778</v>
      </c>
      <c r="I623" s="17" t="n">
        <v>928</v>
      </c>
      <c r="J623" s="16" t="n">
        <v>0.0029162037037037</v>
      </c>
      <c r="K623" s="17" t="n">
        <v>1060</v>
      </c>
      <c r="L623" s="17" t="n">
        <f aca="false">COUNT(E623,I623,K623)</f>
        <v>3</v>
      </c>
      <c r="M623" s="18" t="n">
        <f aca="false">(D623&lt;&gt;"")*(D623&lt;=($E$3*60+$F$3)/86400)+(H623&lt;&gt;"")*(H623&lt;=($I$3*60+$J$3)/86400)+(J623&lt;&gt;"")*(J623&lt;=($M$3*60+$N$3)/86400)</f>
        <v>0</v>
      </c>
      <c r="N623" s="20"/>
      <c r="O623" s="20"/>
      <c r="P623" s="20"/>
      <c r="Q623" s="19"/>
    </row>
    <row r="624" customFormat="false" ht="15" hidden="false" customHeight="false" outlineLevel="0" collapsed="false">
      <c r="A624" s="10" t="n">
        <v>618</v>
      </c>
      <c r="B624" s="11" t="s">
        <v>1057</v>
      </c>
      <c r="C624" s="12" t="s">
        <v>440</v>
      </c>
      <c r="D624" s="13" t="n">
        <v>0.0107232638888889</v>
      </c>
      <c r="E624" s="14" t="n">
        <v>619</v>
      </c>
      <c r="F624" s="15" t="n">
        <f aca="false">IF(D624="","",ROUND((D624-MIN($D$7:$D$9999))*86400,2))</f>
        <v>136.75</v>
      </c>
      <c r="G624" s="10" t="str">
        <f aca="false">IF(D624="","",IF(D624&lt;=($E$3*60+$F$3)/86400,"○",""))</f>
        <v/>
      </c>
      <c r="H624" s="16" t="n">
        <v>0.00677303240740741</v>
      </c>
      <c r="I624" s="17" t="n">
        <v>150</v>
      </c>
      <c r="J624" s="16" t="n">
        <v>0.00282118055555556</v>
      </c>
      <c r="K624" s="17" t="n">
        <v>370</v>
      </c>
      <c r="L624" s="17" t="n">
        <f aca="false">COUNT(E624,I624,K624)</f>
        <v>3</v>
      </c>
      <c r="M624" s="18" t="n">
        <f aca="false">(D624&lt;&gt;"")*(D624&lt;=($E$3*60+$F$3)/86400)+(H624&lt;&gt;"")*(H624&lt;=($I$3*60+$J$3)/86400)+(J624&lt;&gt;"")*(J624&lt;=($M$3*60+$N$3)/86400)</f>
        <v>0</v>
      </c>
      <c r="N624" s="20" t="s">
        <v>1058</v>
      </c>
      <c r="O624" s="20"/>
      <c r="P624" s="20"/>
      <c r="Q624" s="19"/>
    </row>
    <row r="625" customFormat="false" ht="15" hidden="false" customHeight="false" outlineLevel="0" collapsed="false">
      <c r="A625" s="10" t="n">
        <v>619</v>
      </c>
      <c r="B625" s="11" t="s">
        <v>1059</v>
      </c>
      <c r="C625" s="12" t="s">
        <v>99</v>
      </c>
      <c r="D625" s="13" t="n">
        <v>0.0107236111111111</v>
      </c>
      <c r="E625" s="14" t="n">
        <v>620</v>
      </c>
      <c r="F625" s="15" t="n">
        <f aca="false">IF(D625="","",ROUND((D625-MIN($D$7:$D$9999))*86400,2))</f>
        <v>136.78</v>
      </c>
      <c r="G625" s="10" t="str">
        <f aca="false">IF(D625="","",IF(D625&lt;=($E$3*60+$F$3)/86400,"○",""))</f>
        <v/>
      </c>
      <c r="H625" s="16" t="n">
        <v>0.00674884259259259</v>
      </c>
      <c r="I625" s="17" t="n">
        <v>127</v>
      </c>
      <c r="J625" s="16" t="n">
        <v>0.00295983796296296</v>
      </c>
      <c r="K625" s="17" t="n">
        <v>1271</v>
      </c>
      <c r="L625" s="17" t="n">
        <f aca="false">COUNT(E625,I625,K625)</f>
        <v>3</v>
      </c>
      <c r="M625" s="18" t="n">
        <f aca="false">(D625&lt;&gt;"")*(D625&lt;=($E$3*60+$F$3)/86400)+(H625&lt;&gt;"")*(H625&lt;=($I$3*60+$J$3)/86400)+(J625&lt;&gt;"")*(J625&lt;=($M$3*60+$N$3)/86400)</f>
        <v>0</v>
      </c>
      <c r="N625" s="20"/>
      <c r="O625" s="20"/>
      <c r="P625" s="20"/>
      <c r="Q625" s="19"/>
    </row>
    <row r="626" customFormat="false" ht="15" hidden="false" customHeight="false" outlineLevel="0" collapsed="false">
      <c r="A626" s="10" t="n">
        <v>620</v>
      </c>
      <c r="B626" s="11" t="s">
        <v>1060</v>
      </c>
      <c r="C626" s="12" t="s">
        <v>27</v>
      </c>
      <c r="D626" s="13" t="n">
        <v>0.0107247685185185</v>
      </c>
      <c r="E626" s="14" t="n">
        <v>621</v>
      </c>
      <c r="F626" s="15" t="n">
        <f aca="false">IF(D626="","",ROUND((D626-MIN($D$7:$D$9999))*86400,2))</f>
        <v>136.88</v>
      </c>
      <c r="G626" s="10" t="str">
        <f aca="false">IF(D626="","",IF(D626&lt;=($E$3*60+$F$3)/86400,"○",""))</f>
        <v/>
      </c>
      <c r="H626" s="16" t="n">
        <v>0.00673368055555556</v>
      </c>
      <c r="I626" s="17" t="n">
        <v>121</v>
      </c>
      <c r="J626" s="16"/>
      <c r="K626" s="17"/>
      <c r="L626" s="17" t="n">
        <f aca="false">COUNT(E626,I626,K626)</f>
        <v>2</v>
      </c>
      <c r="M626" s="18" t="n">
        <f aca="false">(D626&lt;&gt;"")*(D626&lt;=($E$3*60+$F$3)/86400)+(H626&lt;&gt;"")*(H626&lt;=($I$3*60+$J$3)/86400)+(J626&lt;&gt;"")*(J626&lt;=($M$3*60+$N$3)/86400)</f>
        <v>0</v>
      </c>
      <c r="N626" s="20"/>
      <c r="O626" s="20"/>
      <c r="P626" s="20"/>
      <c r="Q626" s="19"/>
    </row>
    <row r="627" customFormat="false" ht="15" hidden="false" customHeight="false" outlineLevel="0" collapsed="false">
      <c r="A627" s="10" t="n">
        <v>621</v>
      </c>
      <c r="B627" s="11" t="s">
        <v>1061</v>
      </c>
      <c r="C627" s="12" t="s">
        <v>243</v>
      </c>
      <c r="D627" s="13" t="n">
        <v>0.0107248842592593</v>
      </c>
      <c r="E627" s="14" t="n">
        <v>622</v>
      </c>
      <c r="F627" s="15" t="n">
        <f aca="false">IF(D627="","",ROUND((D627-MIN($D$7:$D$9999))*86400,2))</f>
        <v>136.89</v>
      </c>
      <c r="G627" s="10" t="str">
        <f aca="false">IF(D627="","",IF(D627&lt;=($E$3*60+$F$3)/86400,"○",""))</f>
        <v/>
      </c>
      <c r="H627" s="16"/>
      <c r="I627" s="17"/>
      <c r="J627" s="16" t="n">
        <v>0.00297673611111111</v>
      </c>
      <c r="K627" s="17" t="n">
        <v>1339</v>
      </c>
      <c r="L627" s="17" t="n">
        <f aca="false">COUNT(E627,I627,K627)</f>
        <v>2</v>
      </c>
      <c r="M627" s="18" t="n">
        <f aca="false">(D627&lt;&gt;"")*(D627&lt;=($E$3*60+$F$3)/86400)+(H627&lt;&gt;"")*(H627&lt;=($I$3*60+$J$3)/86400)+(J627&lt;&gt;"")*(J627&lt;=($M$3*60+$N$3)/86400)</f>
        <v>0</v>
      </c>
      <c r="N627" s="20"/>
      <c r="O627" s="20"/>
      <c r="P627" s="20"/>
      <c r="Q627" s="19"/>
    </row>
    <row r="628" customFormat="false" ht="15" hidden="false" customHeight="false" outlineLevel="0" collapsed="false">
      <c r="A628" s="10" t="n">
        <v>622</v>
      </c>
      <c r="B628" s="11" t="s">
        <v>1062</v>
      </c>
      <c r="C628" s="12" t="s">
        <v>1063</v>
      </c>
      <c r="D628" s="13" t="n">
        <v>0.0107252314814815</v>
      </c>
      <c r="E628" s="14" t="n">
        <v>623</v>
      </c>
      <c r="F628" s="15" t="n">
        <f aca="false">IF(D628="","",ROUND((D628-MIN($D$7:$D$9999))*86400,2))</f>
        <v>136.92</v>
      </c>
      <c r="G628" s="10" t="str">
        <f aca="false">IF(D628="","",IF(D628&lt;=($E$3*60+$F$3)/86400,"○",""))</f>
        <v/>
      </c>
      <c r="H628" s="16"/>
      <c r="I628" s="17"/>
      <c r="J628" s="16"/>
      <c r="K628" s="17"/>
      <c r="L628" s="17" t="n">
        <f aca="false">COUNT(E628,I628,K628)</f>
        <v>1</v>
      </c>
      <c r="M628" s="18" t="n">
        <f aca="false">(D628&lt;&gt;"")*(D628&lt;=($E$3*60+$F$3)/86400)+(H628&lt;&gt;"")*(H628&lt;=($I$3*60+$J$3)/86400)+(J628&lt;&gt;"")*(J628&lt;=($M$3*60+$N$3)/86400)</f>
        <v>0</v>
      </c>
      <c r="N628" s="20"/>
      <c r="O628" s="20"/>
      <c r="P628" s="20"/>
      <c r="Q628" s="19"/>
    </row>
    <row r="629" customFormat="false" ht="15" hidden="false" customHeight="false" outlineLevel="0" collapsed="false">
      <c r="A629" s="10" t="n">
        <v>623</v>
      </c>
      <c r="B629" s="11" t="s">
        <v>1064</v>
      </c>
      <c r="C629" s="12" t="s">
        <v>159</v>
      </c>
      <c r="D629" s="13" t="n">
        <v>0.0107270833333333</v>
      </c>
      <c r="E629" s="14" t="n">
        <v>624</v>
      </c>
      <c r="F629" s="15" t="n">
        <f aca="false">IF(D629="","",ROUND((D629-MIN($D$7:$D$9999))*86400,2))</f>
        <v>137.08</v>
      </c>
      <c r="G629" s="10" t="str">
        <f aca="false">IF(D629="","",IF(D629&lt;=($E$3*60+$F$3)/86400,"○",""))</f>
        <v/>
      </c>
      <c r="H629" s="16"/>
      <c r="I629" s="17"/>
      <c r="J629" s="16" t="n">
        <v>0.00292291666666667</v>
      </c>
      <c r="K629" s="17" t="n">
        <v>1124</v>
      </c>
      <c r="L629" s="17" t="n">
        <f aca="false">COUNT(E629,I629,K629)</f>
        <v>2</v>
      </c>
      <c r="M629" s="18" t="n">
        <f aca="false">(D629&lt;&gt;"")*(D629&lt;=($E$3*60+$F$3)/86400)+(H629&lt;&gt;"")*(H629&lt;=($I$3*60+$J$3)/86400)+(J629&lt;&gt;"")*(J629&lt;=($M$3*60+$N$3)/86400)</f>
        <v>0</v>
      </c>
      <c r="N629" s="20"/>
      <c r="O629" s="20"/>
      <c r="P629" s="20"/>
      <c r="Q629" s="19"/>
    </row>
    <row r="630" customFormat="false" ht="15" hidden="false" customHeight="false" outlineLevel="0" collapsed="false">
      <c r="A630" s="10" t="n">
        <v>624</v>
      </c>
      <c r="B630" s="11" t="s">
        <v>1065</v>
      </c>
      <c r="C630" s="12" t="s">
        <v>515</v>
      </c>
      <c r="D630" s="13" t="n">
        <v>0.0107273148148148</v>
      </c>
      <c r="E630" s="14" t="n">
        <v>625</v>
      </c>
      <c r="F630" s="15" t="n">
        <f aca="false">IF(D630="","",ROUND((D630-MIN($D$7:$D$9999))*86400,2))</f>
        <v>137.1</v>
      </c>
      <c r="G630" s="10" t="str">
        <f aca="false">IF(D630="","",IF(D630&lt;=($E$3*60+$F$3)/86400,"○",""))</f>
        <v/>
      </c>
      <c r="H630" s="16"/>
      <c r="I630" s="17"/>
      <c r="J630" s="16" t="n">
        <v>0.00279710648148148</v>
      </c>
      <c r="K630" s="17" t="n">
        <v>270</v>
      </c>
      <c r="L630" s="17" t="n">
        <f aca="false">COUNT(E630,I630,K630)</f>
        <v>2</v>
      </c>
      <c r="M630" s="18" t="n">
        <f aca="false">(D630&lt;&gt;"")*(D630&lt;=($E$3*60+$F$3)/86400)+(H630&lt;&gt;"")*(H630&lt;=($I$3*60+$J$3)/86400)+(J630&lt;&gt;"")*(J630&lt;=($M$3*60+$N$3)/86400)</f>
        <v>0</v>
      </c>
      <c r="N630" s="20"/>
      <c r="O630" s="20"/>
      <c r="P630" s="20"/>
      <c r="Q630" s="19"/>
    </row>
    <row r="631" customFormat="false" ht="15" hidden="false" customHeight="false" outlineLevel="0" collapsed="false">
      <c r="A631" s="10" t="n">
        <v>625</v>
      </c>
      <c r="B631" s="11" t="s">
        <v>1066</v>
      </c>
      <c r="C631" s="12" t="s">
        <v>382</v>
      </c>
      <c r="D631" s="13" t="n">
        <v>0.0107274305555556</v>
      </c>
      <c r="E631" s="14" t="n">
        <v>626</v>
      </c>
      <c r="F631" s="15" t="n">
        <f aca="false">IF(D631="","",ROUND((D631-MIN($D$7:$D$9999))*86400,2))</f>
        <v>137.11</v>
      </c>
      <c r="G631" s="10" t="str">
        <f aca="false">IF(D631="","",IF(D631&lt;=($E$3*60+$F$3)/86400,"○",""))</f>
        <v/>
      </c>
      <c r="H631" s="16" t="n">
        <v>0.00674560185185185</v>
      </c>
      <c r="I631" s="17" t="n">
        <v>124</v>
      </c>
      <c r="J631" s="16"/>
      <c r="K631" s="17"/>
      <c r="L631" s="17" t="n">
        <f aca="false">COUNT(E631,I631,K631)</f>
        <v>2</v>
      </c>
      <c r="M631" s="18" t="n">
        <f aca="false">(D631&lt;&gt;"")*(D631&lt;=($E$3*60+$F$3)/86400)+(H631&lt;&gt;"")*(H631&lt;=($I$3*60+$J$3)/86400)+(J631&lt;&gt;"")*(J631&lt;=($M$3*60+$N$3)/86400)</f>
        <v>0</v>
      </c>
      <c r="N631" s="20" t="s">
        <v>1067</v>
      </c>
      <c r="O631" s="20"/>
      <c r="P631" s="20"/>
      <c r="Q631" s="19"/>
    </row>
    <row r="632" customFormat="false" ht="15" hidden="false" customHeight="false" outlineLevel="0" collapsed="false">
      <c r="A632" s="10" t="n">
        <v>626</v>
      </c>
      <c r="B632" s="11" t="s">
        <v>1068</v>
      </c>
      <c r="C632" s="12" t="s">
        <v>1069</v>
      </c>
      <c r="D632" s="13" t="n">
        <v>0.0107275462962963</v>
      </c>
      <c r="E632" s="14" t="n">
        <v>627</v>
      </c>
      <c r="F632" s="15" t="n">
        <f aca="false">IF(D632="","",ROUND((D632-MIN($D$7:$D$9999))*86400,2))</f>
        <v>137.12</v>
      </c>
      <c r="G632" s="10" t="str">
        <f aca="false">IF(D632="","",IF(D632&lt;=($E$3*60+$F$3)/86400,"○",""))</f>
        <v/>
      </c>
      <c r="H632" s="16"/>
      <c r="I632" s="17"/>
      <c r="J632" s="16" t="n">
        <v>0.00284606481481482</v>
      </c>
      <c r="K632" s="17" t="n">
        <v>542</v>
      </c>
      <c r="L632" s="17" t="n">
        <f aca="false">COUNT(E632,I632,K632)</f>
        <v>2</v>
      </c>
      <c r="M632" s="18" t="n">
        <f aca="false">(D632&lt;&gt;"")*(D632&lt;=($E$3*60+$F$3)/86400)+(H632&lt;&gt;"")*(H632&lt;=($I$3*60+$J$3)/86400)+(J632&lt;&gt;"")*(J632&lt;=($M$3*60+$N$3)/86400)</f>
        <v>0</v>
      </c>
      <c r="N632" s="20"/>
      <c r="O632" s="20"/>
      <c r="P632" s="20"/>
      <c r="Q632" s="19"/>
    </row>
    <row r="633" customFormat="false" ht="15" hidden="false" customHeight="false" outlineLevel="0" collapsed="false">
      <c r="A633" s="10" t="n">
        <v>627</v>
      </c>
      <c r="B633" s="11" t="s">
        <v>1070</v>
      </c>
      <c r="C633" s="12" t="s">
        <v>1071</v>
      </c>
      <c r="D633" s="13" t="n">
        <v>0.0107280092592593</v>
      </c>
      <c r="E633" s="14" t="n">
        <v>628</v>
      </c>
      <c r="F633" s="15" t="n">
        <f aca="false">IF(D633="","",ROUND((D633-MIN($D$7:$D$9999))*86400,2))</f>
        <v>137.16</v>
      </c>
      <c r="G633" s="10" t="str">
        <f aca="false">IF(D633="","",IF(D633&lt;=($E$3*60+$F$3)/86400,"○",""))</f>
        <v/>
      </c>
      <c r="H633" s="16"/>
      <c r="I633" s="17"/>
      <c r="J633" s="16" t="n">
        <v>0.00283472222222222</v>
      </c>
      <c r="K633" s="17" t="n">
        <v>458</v>
      </c>
      <c r="L633" s="17" t="n">
        <f aca="false">COUNT(E633,I633,K633)</f>
        <v>2</v>
      </c>
      <c r="M633" s="18" t="n">
        <f aca="false">(D633&lt;&gt;"")*(D633&lt;=($E$3*60+$F$3)/86400)+(H633&lt;&gt;"")*(H633&lt;=($I$3*60+$J$3)/86400)+(J633&lt;&gt;"")*(J633&lt;=($M$3*60+$N$3)/86400)</f>
        <v>0</v>
      </c>
      <c r="N633" s="20"/>
      <c r="O633" s="20"/>
      <c r="P633" s="20"/>
      <c r="Q633" s="19"/>
    </row>
    <row r="634" customFormat="false" ht="15" hidden="false" customHeight="false" outlineLevel="0" collapsed="false">
      <c r="A634" s="10" t="n">
        <v>628</v>
      </c>
      <c r="B634" s="11" t="s">
        <v>1072</v>
      </c>
      <c r="C634" s="12" t="s">
        <v>303</v>
      </c>
      <c r="D634" s="13" t="n">
        <v>0.0107282407407407</v>
      </c>
      <c r="E634" s="14" t="n">
        <v>629</v>
      </c>
      <c r="F634" s="15" t="n">
        <f aca="false">IF(D634="","",ROUND((D634-MIN($D$7:$D$9999))*86400,2))</f>
        <v>137.18</v>
      </c>
      <c r="G634" s="10" t="str">
        <f aca="false">IF(D634="","",IF(D634&lt;=($E$3*60+$F$3)/86400,"○",""))</f>
        <v/>
      </c>
      <c r="H634" s="16"/>
      <c r="I634" s="17"/>
      <c r="J634" s="16"/>
      <c r="K634" s="17"/>
      <c r="L634" s="17" t="n">
        <f aca="false">COUNT(E634,I634,K634)</f>
        <v>1</v>
      </c>
      <c r="M634" s="18" t="n">
        <f aca="false">(D634&lt;&gt;"")*(D634&lt;=($E$3*60+$F$3)/86400)+(H634&lt;&gt;"")*(H634&lt;=($I$3*60+$J$3)/86400)+(J634&lt;&gt;"")*(J634&lt;=($M$3*60+$N$3)/86400)</f>
        <v>0</v>
      </c>
      <c r="N634" s="20"/>
      <c r="O634" s="20"/>
      <c r="P634" s="20"/>
      <c r="Q634" s="19"/>
    </row>
    <row r="635" customFormat="false" ht="15" hidden="false" customHeight="false" outlineLevel="0" collapsed="false">
      <c r="A635" s="10" t="n">
        <v>629</v>
      </c>
      <c r="B635" s="11" t="s">
        <v>1073</v>
      </c>
      <c r="C635" s="12" t="s">
        <v>243</v>
      </c>
      <c r="D635" s="13" t="n">
        <v>0.0107283564814815</v>
      </c>
      <c r="E635" s="14" t="n">
        <v>630</v>
      </c>
      <c r="F635" s="15" t="n">
        <f aca="false">IF(D635="","",ROUND((D635-MIN($D$7:$D$9999))*86400,2))</f>
        <v>137.19</v>
      </c>
      <c r="G635" s="10" t="str">
        <f aca="false">IF(D635="","",IF(D635&lt;=($E$3*60+$F$3)/86400,"○",""))</f>
        <v/>
      </c>
      <c r="H635" s="16" t="n">
        <v>0.00653715277777778</v>
      </c>
      <c r="I635" s="17" t="n">
        <v>42</v>
      </c>
      <c r="J635" s="16"/>
      <c r="K635" s="17"/>
      <c r="L635" s="17" t="n">
        <f aca="false">COUNT(E635,I635,K635)</f>
        <v>2</v>
      </c>
      <c r="M635" s="18" t="n">
        <f aca="false">(D635&lt;&gt;"")*(D635&lt;=($E$3*60+$F$3)/86400)+(H635&lt;&gt;"")*(H635&lt;=($I$3*60+$J$3)/86400)+(J635&lt;&gt;"")*(J635&lt;=($M$3*60+$N$3)/86400)</f>
        <v>0</v>
      </c>
      <c r="N635" s="20"/>
      <c r="O635" s="20"/>
      <c r="P635" s="20"/>
      <c r="Q635" s="19"/>
    </row>
    <row r="636" customFormat="false" ht="15" hidden="false" customHeight="false" outlineLevel="0" collapsed="false">
      <c r="A636" s="10" t="n">
        <v>630</v>
      </c>
      <c r="B636" s="11" t="s">
        <v>1074</v>
      </c>
      <c r="C636" s="12" t="s">
        <v>939</v>
      </c>
      <c r="D636" s="13" t="n">
        <v>0.0107291666666667</v>
      </c>
      <c r="E636" s="14" t="n">
        <v>631</v>
      </c>
      <c r="F636" s="15" t="n">
        <f aca="false">IF(D636="","",ROUND((D636-MIN($D$7:$D$9999))*86400,2))</f>
        <v>137.26</v>
      </c>
      <c r="G636" s="10" t="str">
        <f aca="false">IF(D636="","",IF(D636&lt;=($E$3*60+$F$3)/86400,"○",""))</f>
        <v/>
      </c>
      <c r="H636" s="16"/>
      <c r="I636" s="17"/>
      <c r="J636" s="16" t="n">
        <v>0.0029412037037037</v>
      </c>
      <c r="K636" s="17" t="n">
        <v>1203</v>
      </c>
      <c r="L636" s="17" t="n">
        <f aca="false">COUNT(E636,I636,K636)</f>
        <v>2</v>
      </c>
      <c r="M636" s="18" t="n">
        <f aca="false">(D636&lt;&gt;"")*(D636&lt;=($E$3*60+$F$3)/86400)+(H636&lt;&gt;"")*(H636&lt;=($I$3*60+$J$3)/86400)+(J636&lt;&gt;"")*(J636&lt;=($M$3*60+$N$3)/86400)</f>
        <v>0</v>
      </c>
      <c r="N636" s="20"/>
      <c r="O636" s="20" t="s">
        <v>1075</v>
      </c>
      <c r="P636" s="20"/>
      <c r="Q636" s="19"/>
    </row>
    <row r="637" customFormat="false" ht="15" hidden="false" customHeight="false" outlineLevel="0" collapsed="false">
      <c r="A637" s="10" t="n">
        <v>631</v>
      </c>
      <c r="B637" s="11" t="s">
        <v>1076</v>
      </c>
      <c r="C637" s="12" t="s">
        <v>115</v>
      </c>
      <c r="D637" s="13" t="n">
        <v>0.0107303240740741</v>
      </c>
      <c r="E637" s="14" t="n">
        <v>632</v>
      </c>
      <c r="F637" s="15" t="n">
        <f aca="false">IF(D637="","",ROUND((D637-MIN($D$7:$D$9999))*86400,2))</f>
        <v>137.36</v>
      </c>
      <c r="G637" s="10" t="str">
        <f aca="false">IF(D637="","",IF(D637&lt;=($E$3*60+$F$3)/86400,"○",""))</f>
        <v/>
      </c>
      <c r="H637" s="16"/>
      <c r="I637" s="17"/>
      <c r="J637" s="16" t="n">
        <v>0.00280740740740741</v>
      </c>
      <c r="K637" s="17" t="n">
        <v>316</v>
      </c>
      <c r="L637" s="17" t="n">
        <f aca="false">COUNT(E637,I637,K637)</f>
        <v>2</v>
      </c>
      <c r="M637" s="18" t="n">
        <f aca="false">(D637&lt;&gt;"")*(D637&lt;=($E$3*60+$F$3)/86400)+(H637&lt;&gt;"")*(H637&lt;=($I$3*60+$J$3)/86400)+(J637&lt;&gt;"")*(J637&lt;=($M$3*60+$N$3)/86400)</f>
        <v>0</v>
      </c>
      <c r="N637" s="20"/>
      <c r="O637" s="20"/>
      <c r="P637" s="20"/>
      <c r="Q637" s="19"/>
    </row>
    <row r="638" customFormat="false" ht="15" hidden="false" customHeight="false" outlineLevel="0" collapsed="false">
      <c r="A638" s="10" t="n">
        <v>632</v>
      </c>
      <c r="B638" s="11" t="s">
        <v>1077</v>
      </c>
      <c r="C638" s="12" t="s">
        <v>595</v>
      </c>
      <c r="D638" s="13" t="n">
        <v>0.0107309027777778</v>
      </c>
      <c r="E638" s="14" t="n">
        <v>633</v>
      </c>
      <c r="F638" s="15" t="n">
        <f aca="false">IF(D638="","",ROUND((D638-MIN($D$7:$D$9999))*86400,2))</f>
        <v>137.41</v>
      </c>
      <c r="G638" s="10" t="str">
        <f aca="false">IF(D638="","",IF(D638&lt;=($E$3*60+$F$3)/86400,"○",""))</f>
        <v/>
      </c>
      <c r="H638" s="16"/>
      <c r="I638" s="17"/>
      <c r="J638" s="16" t="n">
        <v>0.00267708333333333</v>
      </c>
      <c r="K638" s="17" t="n">
        <v>10</v>
      </c>
      <c r="L638" s="17" t="n">
        <f aca="false">COUNT(E638,I638,K638)</f>
        <v>2</v>
      </c>
      <c r="M638" s="18" t="n">
        <f aca="false">(D638&lt;&gt;"")*(D638&lt;=($E$3*60+$F$3)/86400)+(H638&lt;&gt;"")*(H638&lt;=($I$3*60+$J$3)/86400)+(J638&lt;&gt;"")*(J638&lt;=($M$3*60+$N$3)/86400)</f>
        <v>1</v>
      </c>
      <c r="N638" s="20"/>
      <c r="O638" s="20"/>
      <c r="P638" s="20"/>
      <c r="Q638" s="19"/>
    </row>
    <row r="639" customFormat="false" ht="15" hidden="false" customHeight="false" outlineLevel="0" collapsed="false">
      <c r="A639" s="10" t="n">
        <v>633</v>
      </c>
      <c r="B639" s="11" t="s">
        <v>1078</v>
      </c>
      <c r="C639" s="12" t="s">
        <v>281</v>
      </c>
      <c r="D639" s="13" t="n">
        <v>0.0107315972222222</v>
      </c>
      <c r="E639" s="14" t="n">
        <v>634</v>
      </c>
      <c r="F639" s="15" t="n">
        <f aca="false">IF(D639="","",ROUND((D639-MIN($D$7:$D$9999))*86400,2))</f>
        <v>137.47</v>
      </c>
      <c r="G639" s="10" t="str">
        <f aca="false">IF(D639="","",IF(D639&lt;=($E$3*60+$F$3)/86400,"○",""))</f>
        <v/>
      </c>
      <c r="H639" s="16"/>
      <c r="I639" s="17"/>
      <c r="J639" s="16" t="n">
        <v>0.00282118055555556</v>
      </c>
      <c r="K639" s="17" t="n">
        <v>371</v>
      </c>
      <c r="L639" s="17" t="n">
        <f aca="false">COUNT(E639,I639,K639)</f>
        <v>2</v>
      </c>
      <c r="M639" s="18" t="n">
        <f aca="false">(D639&lt;&gt;"")*(D639&lt;=($E$3*60+$F$3)/86400)+(H639&lt;&gt;"")*(H639&lt;=($I$3*60+$J$3)/86400)+(J639&lt;&gt;"")*(J639&lt;=($M$3*60+$N$3)/86400)</f>
        <v>0</v>
      </c>
      <c r="N639" s="20"/>
      <c r="O639" s="20"/>
      <c r="P639" s="20"/>
      <c r="Q639" s="19"/>
    </row>
    <row r="640" customFormat="false" ht="15" hidden="false" customHeight="false" outlineLevel="0" collapsed="false">
      <c r="A640" s="10" t="n">
        <v>634</v>
      </c>
      <c r="B640" s="11" t="s">
        <v>1079</v>
      </c>
      <c r="C640" s="12" t="s">
        <v>99</v>
      </c>
      <c r="D640" s="13" t="n">
        <v>0.010731712962963</v>
      </c>
      <c r="E640" s="14" t="n">
        <v>635</v>
      </c>
      <c r="F640" s="15" t="n">
        <f aca="false">IF(D640="","",ROUND((D640-MIN($D$7:$D$9999))*86400,2))</f>
        <v>137.48</v>
      </c>
      <c r="G640" s="10" t="str">
        <f aca="false">IF(D640="","",IF(D640&lt;=($E$3*60+$F$3)/86400,"○",""))</f>
        <v/>
      </c>
      <c r="H640" s="16" t="n">
        <v>0.00675474537037037</v>
      </c>
      <c r="I640" s="17" t="n">
        <v>132</v>
      </c>
      <c r="J640" s="16" t="n">
        <v>0.00289351851851852</v>
      </c>
      <c r="K640" s="17" t="n">
        <v>901</v>
      </c>
      <c r="L640" s="17" t="n">
        <f aca="false">COUNT(E640,I640,K640)</f>
        <v>3</v>
      </c>
      <c r="M640" s="18" t="n">
        <f aca="false">(D640&lt;&gt;"")*(D640&lt;=($E$3*60+$F$3)/86400)+(H640&lt;&gt;"")*(H640&lt;=($I$3*60+$J$3)/86400)+(J640&lt;&gt;"")*(J640&lt;=($M$3*60+$N$3)/86400)</f>
        <v>0</v>
      </c>
      <c r="N640" s="20"/>
      <c r="O640" s="20"/>
      <c r="P640" s="20"/>
      <c r="Q640" s="19"/>
    </row>
    <row r="641" customFormat="false" ht="15" hidden="false" customHeight="false" outlineLevel="0" collapsed="false">
      <c r="A641" s="10" t="n">
        <v>635</v>
      </c>
      <c r="B641" s="11" t="s">
        <v>1080</v>
      </c>
      <c r="C641" s="12" t="s">
        <v>77</v>
      </c>
      <c r="D641" s="13" t="n">
        <v>0.0107318287037037</v>
      </c>
      <c r="E641" s="14" t="n">
        <v>636</v>
      </c>
      <c r="F641" s="15" t="n">
        <f aca="false">IF(D641="","",ROUND((D641-MIN($D$7:$D$9999))*86400,2))</f>
        <v>137.49</v>
      </c>
      <c r="G641" s="10" t="str">
        <f aca="false">IF(D641="","",IF(D641&lt;=($E$3*60+$F$3)/86400,"○",""))</f>
        <v/>
      </c>
      <c r="H641" s="16" t="n">
        <v>0.00653611111111111</v>
      </c>
      <c r="I641" s="17" t="n">
        <v>41</v>
      </c>
      <c r="J641" s="16" t="n">
        <v>0.00287986111111111</v>
      </c>
      <c r="K641" s="17" t="n">
        <v>770</v>
      </c>
      <c r="L641" s="17" t="n">
        <f aca="false">COUNT(E641,I641,K641)</f>
        <v>3</v>
      </c>
      <c r="M641" s="18" t="n">
        <f aca="false">(D641&lt;&gt;"")*(D641&lt;=($E$3*60+$F$3)/86400)+(H641&lt;&gt;"")*(H641&lt;=($I$3*60+$J$3)/86400)+(J641&lt;&gt;"")*(J641&lt;=($M$3*60+$N$3)/86400)</f>
        <v>0</v>
      </c>
      <c r="N641" s="20"/>
      <c r="O641" s="20"/>
      <c r="P641" s="20"/>
      <c r="Q641" s="19"/>
    </row>
    <row r="642" customFormat="false" ht="15" hidden="false" customHeight="false" outlineLevel="0" collapsed="false">
      <c r="A642" s="10" t="n">
        <v>636</v>
      </c>
      <c r="B642" s="11" t="s">
        <v>1081</v>
      </c>
      <c r="C642" s="12" t="s">
        <v>61</v>
      </c>
      <c r="D642" s="13" t="n">
        <v>0.0107318287037037</v>
      </c>
      <c r="E642" s="14" t="n">
        <v>637</v>
      </c>
      <c r="F642" s="15" t="n">
        <f aca="false">IF(D642="","",ROUND((D642-MIN($D$7:$D$9999))*86400,2))</f>
        <v>137.49</v>
      </c>
      <c r="G642" s="10" t="str">
        <f aca="false">IF(D642="","",IF(D642&lt;=($E$3*60+$F$3)/86400,"○",""))</f>
        <v/>
      </c>
      <c r="H642" s="16" t="n">
        <v>0.00700451388888889</v>
      </c>
      <c r="I642" s="17" t="n">
        <v>341</v>
      </c>
      <c r="J642" s="16" t="n">
        <v>0.00283530092592593</v>
      </c>
      <c r="K642" s="17" t="n">
        <v>464</v>
      </c>
      <c r="L642" s="17" t="n">
        <f aca="false">COUNT(E642,I642,K642)</f>
        <v>3</v>
      </c>
      <c r="M642" s="18" t="n">
        <f aca="false">(D642&lt;&gt;"")*(D642&lt;=($E$3*60+$F$3)/86400)+(H642&lt;&gt;"")*(H642&lt;=($I$3*60+$J$3)/86400)+(J642&lt;&gt;"")*(J642&lt;=($M$3*60+$N$3)/86400)</f>
        <v>0</v>
      </c>
      <c r="N642" s="20"/>
      <c r="O642" s="20"/>
      <c r="P642" s="20"/>
      <c r="Q642" s="19"/>
    </row>
    <row r="643" customFormat="false" ht="15" hidden="false" customHeight="false" outlineLevel="0" collapsed="false">
      <c r="A643" s="10" t="n">
        <v>637</v>
      </c>
      <c r="B643" s="11" t="s">
        <v>1082</v>
      </c>
      <c r="C643" s="12" t="s">
        <v>1083</v>
      </c>
      <c r="D643" s="13" t="n">
        <v>0.0107325231481482</v>
      </c>
      <c r="E643" s="14" t="n">
        <v>638</v>
      </c>
      <c r="F643" s="15" t="n">
        <f aca="false">IF(D643="","",ROUND((D643-MIN($D$7:$D$9999))*86400,2))</f>
        <v>137.55</v>
      </c>
      <c r="G643" s="10" t="str">
        <f aca="false">IF(D643="","",IF(D643&lt;=($E$3*60+$F$3)/86400,"○",""))</f>
        <v/>
      </c>
      <c r="H643" s="16"/>
      <c r="I643" s="17"/>
      <c r="J643" s="16"/>
      <c r="K643" s="17"/>
      <c r="L643" s="17" t="n">
        <f aca="false">COUNT(E643,I643,K643)</f>
        <v>1</v>
      </c>
      <c r="M643" s="18" t="n">
        <f aca="false">(D643&lt;&gt;"")*(D643&lt;=($E$3*60+$F$3)/86400)+(H643&lt;&gt;"")*(H643&lt;=($I$3*60+$J$3)/86400)+(J643&lt;&gt;"")*(J643&lt;=($M$3*60+$N$3)/86400)</f>
        <v>0</v>
      </c>
      <c r="N643" s="20"/>
      <c r="O643" s="20"/>
      <c r="P643" s="20"/>
      <c r="Q643" s="19"/>
    </row>
    <row r="644" customFormat="false" ht="15" hidden="false" customHeight="false" outlineLevel="0" collapsed="false">
      <c r="A644" s="10" t="n">
        <v>638</v>
      </c>
      <c r="B644" s="11" t="s">
        <v>1084</v>
      </c>
      <c r="C644" s="12" t="s">
        <v>503</v>
      </c>
      <c r="D644" s="13" t="n">
        <v>0.0107329861111111</v>
      </c>
      <c r="E644" s="14" t="n">
        <v>639</v>
      </c>
      <c r="F644" s="15" t="n">
        <f aca="false">IF(D644="","",ROUND((D644-MIN($D$7:$D$9999))*86400,2))</f>
        <v>137.59</v>
      </c>
      <c r="G644" s="10" t="str">
        <f aca="false">IF(D644="","",IF(D644&lt;=($E$3*60+$F$3)/86400,"○",""))</f>
        <v/>
      </c>
      <c r="H644" s="16"/>
      <c r="I644" s="17"/>
      <c r="J644" s="16" t="n">
        <v>0.00281319444444445</v>
      </c>
      <c r="K644" s="17" t="n">
        <v>335</v>
      </c>
      <c r="L644" s="17" t="n">
        <f aca="false">COUNT(E644,I644,K644)</f>
        <v>2</v>
      </c>
      <c r="M644" s="18" t="n">
        <f aca="false">(D644&lt;&gt;"")*(D644&lt;=($E$3*60+$F$3)/86400)+(H644&lt;&gt;"")*(H644&lt;=($I$3*60+$J$3)/86400)+(J644&lt;&gt;"")*(J644&lt;=($M$3*60+$N$3)/86400)</f>
        <v>0</v>
      </c>
      <c r="N644" s="20"/>
      <c r="O644" s="20"/>
      <c r="P644" s="20"/>
      <c r="Q644" s="19"/>
    </row>
    <row r="645" customFormat="false" ht="15" hidden="false" customHeight="false" outlineLevel="0" collapsed="false">
      <c r="A645" s="10" t="n">
        <v>639</v>
      </c>
      <c r="B645" s="11" t="s">
        <v>1085</v>
      </c>
      <c r="C645" s="12" t="s">
        <v>320</v>
      </c>
      <c r="D645" s="13" t="n">
        <v>0.0107333333333333</v>
      </c>
      <c r="E645" s="14" t="n">
        <v>640</v>
      </c>
      <c r="F645" s="15" t="n">
        <f aca="false">IF(D645="","",ROUND((D645-MIN($D$7:$D$9999))*86400,2))</f>
        <v>137.62</v>
      </c>
      <c r="G645" s="10" t="str">
        <f aca="false">IF(D645="","",IF(D645&lt;=($E$3*60+$F$3)/86400,"○",""))</f>
        <v/>
      </c>
      <c r="H645" s="16" t="n">
        <v>0.00676458333333333</v>
      </c>
      <c r="I645" s="17" t="n">
        <v>142</v>
      </c>
      <c r="J645" s="16"/>
      <c r="K645" s="17"/>
      <c r="L645" s="17" t="n">
        <f aca="false">COUNT(E645,I645,K645)</f>
        <v>2</v>
      </c>
      <c r="M645" s="18" t="n">
        <f aca="false">(D645&lt;&gt;"")*(D645&lt;=($E$3*60+$F$3)/86400)+(H645&lt;&gt;"")*(H645&lt;=($I$3*60+$J$3)/86400)+(J645&lt;&gt;"")*(J645&lt;=($M$3*60+$N$3)/86400)</f>
        <v>0</v>
      </c>
      <c r="N645" s="20"/>
      <c r="O645" s="20" t="s">
        <v>1086</v>
      </c>
      <c r="P645" s="20"/>
      <c r="Q645" s="19"/>
    </row>
    <row r="646" customFormat="false" ht="15" hidden="false" customHeight="false" outlineLevel="0" collapsed="false">
      <c r="A646" s="10" t="n">
        <v>640</v>
      </c>
      <c r="B646" s="11" t="s">
        <v>1087</v>
      </c>
      <c r="C646" s="12" t="s">
        <v>63</v>
      </c>
      <c r="D646" s="13" t="n">
        <v>0.0107349537037037</v>
      </c>
      <c r="E646" s="14" t="n">
        <v>641</v>
      </c>
      <c r="F646" s="15" t="n">
        <f aca="false">IF(D646="","",ROUND((D646-MIN($D$7:$D$9999))*86400,2))</f>
        <v>137.76</v>
      </c>
      <c r="G646" s="10" t="str">
        <f aca="false">IF(D646="","",IF(D646&lt;=($E$3*60+$F$3)/86400,"○",""))</f>
        <v/>
      </c>
      <c r="H646" s="16"/>
      <c r="I646" s="17"/>
      <c r="J646" s="16" t="n">
        <v>0.00281354166666667</v>
      </c>
      <c r="K646" s="17" t="n">
        <v>338</v>
      </c>
      <c r="L646" s="17" t="n">
        <f aca="false">COUNT(E646,I646,K646)</f>
        <v>2</v>
      </c>
      <c r="M646" s="18" t="n">
        <f aca="false">(D646&lt;&gt;"")*(D646&lt;=($E$3*60+$F$3)/86400)+(H646&lt;&gt;"")*(H646&lt;=($I$3*60+$J$3)/86400)+(J646&lt;&gt;"")*(J646&lt;=($M$3*60+$N$3)/86400)</f>
        <v>0</v>
      </c>
      <c r="N646" s="20"/>
      <c r="O646" s="20"/>
      <c r="P646" s="20"/>
      <c r="Q646" s="19"/>
    </row>
    <row r="647" customFormat="false" ht="15" hidden="false" customHeight="false" outlineLevel="0" collapsed="false">
      <c r="A647" s="10" t="n">
        <v>641</v>
      </c>
      <c r="B647" s="11" t="s">
        <v>1088</v>
      </c>
      <c r="C647" s="12" t="s">
        <v>599</v>
      </c>
      <c r="D647" s="13" t="n">
        <v>0.0107350694444444</v>
      </c>
      <c r="E647" s="14" t="n">
        <v>642</v>
      </c>
      <c r="F647" s="15" t="n">
        <f aca="false">IF(D647="","",ROUND((D647-MIN($D$7:$D$9999))*86400,2))</f>
        <v>137.77</v>
      </c>
      <c r="G647" s="10" t="str">
        <f aca="false">IF(D647="","",IF(D647&lt;=($E$3*60+$F$3)/86400,"○",""))</f>
        <v/>
      </c>
      <c r="H647" s="16"/>
      <c r="I647" s="17"/>
      <c r="J647" s="16" t="n">
        <v>0.00281284722222222</v>
      </c>
      <c r="K647" s="17" t="n">
        <v>332</v>
      </c>
      <c r="L647" s="17" t="n">
        <f aca="false">COUNT(E647,I647,K647)</f>
        <v>2</v>
      </c>
      <c r="M647" s="18" t="n">
        <f aca="false">(D647&lt;&gt;"")*(D647&lt;=($E$3*60+$F$3)/86400)+(H647&lt;&gt;"")*(H647&lt;=($I$3*60+$J$3)/86400)+(J647&lt;&gt;"")*(J647&lt;=($M$3*60+$N$3)/86400)</f>
        <v>0</v>
      </c>
      <c r="N647" s="20"/>
      <c r="O647" s="20"/>
      <c r="P647" s="20"/>
      <c r="Q647" s="19"/>
    </row>
    <row r="648" customFormat="false" ht="15" hidden="false" customHeight="false" outlineLevel="0" collapsed="false">
      <c r="A648" s="10" t="n">
        <v>642</v>
      </c>
      <c r="B648" s="11" t="s">
        <v>1089</v>
      </c>
      <c r="C648" s="12" t="s">
        <v>40</v>
      </c>
      <c r="D648" s="13" t="n">
        <v>0.0107357638888889</v>
      </c>
      <c r="E648" s="14" t="n">
        <v>643</v>
      </c>
      <c r="F648" s="15" t="n">
        <f aca="false">IF(D648="","",ROUND((D648-MIN($D$7:$D$9999))*86400,2))</f>
        <v>137.83</v>
      </c>
      <c r="G648" s="10" t="str">
        <f aca="false">IF(D648="","",IF(D648&lt;=($E$3*60+$F$3)/86400,"○",""))</f>
        <v/>
      </c>
      <c r="H648" s="16"/>
      <c r="I648" s="17"/>
      <c r="J648" s="16" t="n">
        <v>0.00276481481481482</v>
      </c>
      <c r="K648" s="17" t="n">
        <v>148</v>
      </c>
      <c r="L648" s="17" t="n">
        <f aca="false">COUNT(E648,I648,K648)</f>
        <v>2</v>
      </c>
      <c r="M648" s="18" t="n">
        <f aca="false">(D648&lt;&gt;"")*(D648&lt;=($E$3*60+$F$3)/86400)+(H648&lt;&gt;"")*(H648&lt;=($I$3*60+$J$3)/86400)+(J648&lt;&gt;"")*(J648&lt;=($M$3*60+$N$3)/86400)</f>
        <v>0</v>
      </c>
      <c r="N648" s="20"/>
      <c r="O648" s="20" t="s">
        <v>308</v>
      </c>
      <c r="P648" s="20"/>
      <c r="Q648" s="19"/>
    </row>
    <row r="649" customFormat="false" ht="15" hidden="false" customHeight="false" outlineLevel="0" collapsed="false">
      <c r="A649" s="10" t="n">
        <v>643</v>
      </c>
      <c r="B649" s="11" t="s">
        <v>1090</v>
      </c>
      <c r="C649" s="12" t="s">
        <v>120</v>
      </c>
      <c r="D649" s="13" t="n">
        <v>0.0107358796296296</v>
      </c>
      <c r="E649" s="14" t="n">
        <v>644</v>
      </c>
      <c r="F649" s="15" t="n">
        <f aca="false">IF(D649="","",ROUND((D649-MIN($D$7:$D$9999))*86400,2))</f>
        <v>137.84</v>
      </c>
      <c r="G649" s="10" t="str">
        <f aca="false">IF(D649="","",IF(D649&lt;=($E$3*60+$F$3)/86400,"○",""))</f>
        <v/>
      </c>
      <c r="H649" s="16"/>
      <c r="I649" s="17"/>
      <c r="J649" s="16" t="n">
        <v>0.00289490740740741</v>
      </c>
      <c r="K649" s="17" t="n">
        <v>912</v>
      </c>
      <c r="L649" s="17" t="n">
        <f aca="false">COUNT(E649,I649,K649)</f>
        <v>2</v>
      </c>
      <c r="M649" s="18" t="n">
        <f aca="false">(D649&lt;&gt;"")*(D649&lt;=($E$3*60+$F$3)/86400)+(H649&lt;&gt;"")*(H649&lt;=($I$3*60+$J$3)/86400)+(J649&lt;&gt;"")*(J649&lt;=($M$3*60+$N$3)/86400)</f>
        <v>0</v>
      </c>
      <c r="N649" s="20"/>
      <c r="O649" s="20"/>
      <c r="P649" s="20"/>
      <c r="Q649" s="19"/>
    </row>
    <row r="650" customFormat="false" ht="15" hidden="false" customHeight="false" outlineLevel="0" collapsed="false">
      <c r="A650" s="10" t="n">
        <v>644</v>
      </c>
      <c r="B650" s="11" t="s">
        <v>1091</v>
      </c>
      <c r="C650" s="12" t="s">
        <v>1092</v>
      </c>
      <c r="D650" s="13" t="n">
        <v>0.0107362268518519</v>
      </c>
      <c r="E650" s="14" t="n">
        <v>645</v>
      </c>
      <c r="F650" s="15" t="n">
        <f aca="false">IF(D650="","",ROUND((D650-MIN($D$7:$D$9999))*86400,2))</f>
        <v>137.87</v>
      </c>
      <c r="G650" s="10" t="str">
        <f aca="false">IF(D650="","",IF(D650&lt;=($E$3*60+$F$3)/86400,"○",""))</f>
        <v/>
      </c>
      <c r="H650" s="16"/>
      <c r="I650" s="17"/>
      <c r="J650" s="16" t="n">
        <v>0.00291956018518519</v>
      </c>
      <c r="K650" s="17" t="n">
        <v>1091</v>
      </c>
      <c r="L650" s="17" t="n">
        <f aca="false">COUNT(E650,I650,K650)</f>
        <v>2</v>
      </c>
      <c r="M650" s="18" t="n">
        <f aca="false">(D650&lt;&gt;"")*(D650&lt;=($E$3*60+$F$3)/86400)+(H650&lt;&gt;"")*(H650&lt;=($I$3*60+$J$3)/86400)+(J650&lt;&gt;"")*(J650&lt;=($M$3*60+$N$3)/86400)</f>
        <v>0</v>
      </c>
      <c r="N650" s="20"/>
      <c r="O650" s="20"/>
      <c r="P650" s="20"/>
      <c r="Q650" s="19"/>
    </row>
    <row r="651" customFormat="false" ht="15" hidden="false" customHeight="false" outlineLevel="0" collapsed="false">
      <c r="A651" s="10" t="n">
        <v>645</v>
      </c>
      <c r="B651" s="11" t="s">
        <v>1093</v>
      </c>
      <c r="C651" s="12" t="s">
        <v>1094</v>
      </c>
      <c r="D651" s="13" t="n">
        <v>0.0107369212962963</v>
      </c>
      <c r="E651" s="14" t="n">
        <v>646</v>
      </c>
      <c r="F651" s="15" t="n">
        <f aca="false">IF(D651="","",ROUND((D651-MIN($D$7:$D$9999))*86400,2))</f>
        <v>137.93</v>
      </c>
      <c r="G651" s="10" t="str">
        <f aca="false">IF(D651="","",IF(D651&lt;=($E$3*60+$F$3)/86400,"○",""))</f>
        <v/>
      </c>
      <c r="H651" s="16"/>
      <c r="I651" s="17"/>
      <c r="J651" s="16"/>
      <c r="K651" s="17"/>
      <c r="L651" s="17" t="n">
        <f aca="false">COUNT(E651,I651,K651)</f>
        <v>1</v>
      </c>
      <c r="M651" s="18" t="n">
        <f aca="false">(D651&lt;&gt;"")*(D651&lt;=($E$3*60+$F$3)/86400)+(H651&lt;&gt;"")*(H651&lt;=($I$3*60+$J$3)/86400)+(J651&lt;&gt;"")*(J651&lt;=($M$3*60+$N$3)/86400)</f>
        <v>0</v>
      </c>
      <c r="N651" s="20"/>
      <c r="O651" s="20"/>
      <c r="P651" s="20"/>
      <c r="Q651" s="19"/>
    </row>
    <row r="652" customFormat="false" ht="15" hidden="false" customHeight="false" outlineLevel="0" collapsed="false">
      <c r="A652" s="10" t="n">
        <v>646</v>
      </c>
      <c r="B652" s="11" t="s">
        <v>1095</v>
      </c>
      <c r="C652" s="12" t="s">
        <v>1096</v>
      </c>
      <c r="D652" s="13" t="n">
        <v>0.0107369212962963</v>
      </c>
      <c r="E652" s="14" t="n">
        <v>647</v>
      </c>
      <c r="F652" s="15" t="n">
        <f aca="false">IF(D652="","",ROUND((D652-MIN($D$7:$D$9999))*86400,2))</f>
        <v>137.93</v>
      </c>
      <c r="G652" s="10" t="str">
        <f aca="false">IF(D652="","",IF(D652&lt;=($E$3*60+$F$3)/86400,"○",""))</f>
        <v/>
      </c>
      <c r="H652" s="16"/>
      <c r="I652" s="17"/>
      <c r="J652" s="16" t="n">
        <v>0.00284386574074074</v>
      </c>
      <c r="K652" s="17" t="n">
        <v>524</v>
      </c>
      <c r="L652" s="17" t="n">
        <f aca="false">COUNT(E652,I652,K652)</f>
        <v>2</v>
      </c>
      <c r="M652" s="18" t="n">
        <f aca="false">(D652&lt;&gt;"")*(D652&lt;=($E$3*60+$F$3)/86400)+(H652&lt;&gt;"")*(H652&lt;=($I$3*60+$J$3)/86400)+(J652&lt;&gt;"")*(J652&lt;=($M$3*60+$N$3)/86400)</f>
        <v>0</v>
      </c>
      <c r="N652" s="20"/>
      <c r="O652" s="20"/>
      <c r="P652" s="20"/>
      <c r="Q652" s="19"/>
    </row>
    <row r="653" customFormat="false" ht="15" hidden="false" customHeight="false" outlineLevel="0" collapsed="false">
      <c r="A653" s="10" t="n">
        <v>647</v>
      </c>
      <c r="B653" s="11" t="s">
        <v>1097</v>
      </c>
      <c r="C653" s="12" t="s">
        <v>648</v>
      </c>
      <c r="D653" s="13" t="n">
        <v>0.0107372685185185</v>
      </c>
      <c r="E653" s="14" t="n">
        <v>648</v>
      </c>
      <c r="F653" s="15" t="n">
        <f aca="false">IF(D653="","",ROUND((D653-MIN($D$7:$D$9999))*86400,2))</f>
        <v>137.96</v>
      </c>
      <c r="G653" s="10" t="str">
        <f aca="false">IF(D653="","",IF(D653&lt;=($E$3*60+$F$3)/86400,"○",""))</f>
        <v/>
      </c>
      <c r="H653" s="16"/>
      <c r="I653" s="17"/>
      <c r="J653" s="16" t="n">
        <v>0.002771875</v>
      </c>
      <c r="K653" s="17" t="n">
        <v>165</v>
      </c>
      <c r="L653" s="17" t="n">
        <f aca="false">COUNT(E653,I653,K653)</f>
        <v>2</v>
      </c>
      <c r="M653" s="18" t="n">
        <f aca="false">(D653&lt;&gt;"")*(D653&lt;=($E$3*60+$F$3)/86400)+(H653&lt;&gt;"")*(H653&lt;=($I$3*60+$J$3)/86400)+(J653&lt;&gt;"")*(J653&lt;=($M$3*60+$N$3)/86400)</f>
        <v>0</v>
      </c>
      <c r="N653" s="20"/>
      <c r="O653" s="20"/>
      <c r="P653" s="20"/>
      <c r="Q653" s="19"/>
    </row>
    <row r="654" customFormat="false" ht="15" hidden="false" customHeight="false" outlineLevel="0" collapsed="false">
      <c r="A654" s="10" t="n">
        <v>648</v>
      </c>
      <c r="B654" s="11" t="s">
        <v>1098</v>
      </c>
      <c r="C654" s="12" t="s">
        <v>115</v>
      </c>
      <c r="D654" s="13" t="n">
        <v>0.0107376157407407</v>
      </c>
      <c r="E654" s="14" t="n">
        <v>649</v>
      </c>
      <c r="F654" s="15" t="n">
        <f aca="false">IF(D654="","",ROUND((D654-MIN($D$7:$D$9999))*86400,2))</f>
        <v>137.99</v>
      </c>
      <c r="G654" s="10" t="str">
        <f aca="false">IF(D654="","",IF(D654&lt;=($E$3*60+$F$3)/86400,"○",""))</f>
        <v/>
      </c>
      <c r="H654" s="16" t="n">
        <v>0.00668634259259259</v>
      </c>
      <c r="I654" s="17" t="n">
        <v>104</v>
      </c>
      <c r="J654" s="16"/>
      <c r="K654" s="17"/>
      <c r="L654" s="17" t="n">
        <f aca="false">COUNT(E654,I654,K654)</f>
        <v>2</v>
      </c>
      <c r="M654" s="18" t="n">
        <f aca="false">(D654&lt;&gt;"")*(D654&lt;=($E$3*60+$F$3)/86400)+(H654&lt;&gt;"")*(H654&lt;=($I$3*60+$J$3)/86400)+(J654&lt;&gt;"")*(J654&lt;=($M$3*60+$N$3)/86400)</f>
        <v>0</v>
      </c>
      <c r="N654" s="20"/>
      <c r="O654" s="20"/>
      <c r="P654" s="20"/>
      <c r="Q654" s="19"/>
    </row>
    <row r="655" customFormat="false" ht="15" hidden="false" customHeight="false" outlineLevel="0" collapsed="false">
      <c r="A655" s="10" t="n">
        <v>649</v>
      </c>
      <c r="B655" s="11" t="s">
        <v>1099</v>
      </c>
      <c r="C655" s="12" t="s">
        <v>585</v>
      </c>
      <c r="D655" s="13" t="n">
        <v>0.0107380787037037</v>
      </c>
      <c r="E655" s="14" t="n">
        <v>650</v>
      </c>
      <c r="F655" s="15" t="n">
        <f aca="false">IF(D655="","",ROUND((D655-MIN($D$7:$D$9999))*86400,2))</f>
        <v>138.03</v>
      </c>
      <c r="G655" s="10" t="str">
        <f aca="false">IF(D655="","",IF(D655&lt;=($E$3*60+$F$3)/86400,"○",""))</f>
        <v/>
      </c>
      <c r="H655" s="16" t="n">
        <v>0.00681689814814815</v>
      </c>
      <c r="I655" s="17" t="n">
        <v>183</v>
      </c>
      <c r="J655" s="16" t="n">
        <v>0.00282615740740741</v>
      </c>
      <c r="K655" s="17" t="n">
        <v>399</v>
      </c>
      <c r="L655" s="17" t="n">
        <f aca="false">COUNT(E655,I655,K655)</f>
        <v>3</v>
      </c>
      <c r="M655" s="18" t="n">
        <f aca="false">(D655&lt;&gt;"")*(D655&lt;=($E$3*60+$F$3)/86400)+(H655&lt;&gt;"")*(H655&lt;=($I$3*60+$J$3)/86400)+(J655&lt;&gt;"")*(J655&lt;=($M$3*60+$N$3)/86400)</f>
        <v>0</v>
      </c>
      <c r="N655" s="20"/>
      <c r="O655" s="20"/>
      <c r="P655" s="20"/>
      <c r="Q655" s="19"/>
    </row>
    <row r="656" customFormat="false" ht="15" hidden="false" customHeight="false" outlineLevel="0" collapsed="false">
      <c r="A656" s="10" t="n">
        <v>650</v>
      </c>
      <c r="B656" s="11" t="s">
        <v>1100</v>
      </c>
      <c r="C656" s="12" t="s">
        <v>380</v>
      </c>
      <c r="D656" s="13" t="n">
        <v>0.0107394675925926</v>
      </c>
      <c r="E656" s="14" t="n">
        <v>651</v>
      </c>
      <c r="F656" s="15" t="n">
        <f aca="false">IF(D656="","",ROUND((D656-MIN($D$7:$D$9999))*86400,2))</f>
        <v>138.15</v>
      </c>
      <c r="G656" s="10" t="str">
        <f aca="false">IF(D656="","",IF(D656&lt;=($E$3*60+$F$3)/86400,"○",""))</f>
        <v/>
      </c>
      <c r="H656" s="16" t="n">
        <v>0.00688576388888889</v>
      </c>
      <c r="I656" s="17" t="n">
        <v>226</v>
      </c>
      <c r="J656" s="16" t="n">
        <v>0.00286828703703704</v>
      </c>
      <c r="K656" s="17" t="n">
        <v>684</v>
      </c>
      <c r="L656" s="17" t="n">
        <f aca="false">COUNT(E656,I656,K656)</f>
        <v>3</v>
      </c>
      <c r="M656" s="18" t="n">
        <f aca="false">(D656&lt;&gt;"")*(D656&lt;=($E$3*60+$F$3)/86400)+(H656&lt;&gt;"")*(H656&lt;=($I$3*60+$J$3)/86400)+(J656&lt;&gt;"")*(J656&lt;=($M$3*60+$N$3)/86400)</f>
        <v>0</v>
      </c>
      <c r="N656" s="20"/>
      <c r="O656" s="20"/>
      <c r="P656" s="20"/>
      <c r="Q656" s="19"/>
    </row>
    <row r="657" customFormat="false" ht="15" hidden="false" customHeight="false" outlineLevel="0" collapsed="false">
      <c r="A657" s="10" t="n">
        <v>651</v>
      </c>
      <c r="B657" s="11" t="s">
        <v>1101</v>
      </c>
      <c r="C657" s="12" t="s">
        <v>695</v>
      </c>
      <c r="D657" s="13" t="n">
        <v>0.0107398148148148</v>
      </c>
      <c r="E657" s="14" t="n">
        <v>652</v>
      </c>
      <c r="F657" s="15" t="n">
        <f aca="false">IF(D657="","",ROUND((D657-MIN($D$7:$D$9999))*86400,2))</f>
        <v>138.18</v>
      </c>
      <c r="G657" s="10" t="str">
        <f aca="false">IF(D657="","",IF(D657&lt;=($E$3*60+$F$3)/86400,"○",""))</f>
        <v/>
      </c>
      <c r="H657" s="16" t="n">
        <v>0.00695972222222222</v>
      </c>
      <c r="I657" s="17" t="n">
        <v>293</v>
      </c>
      <c r="J657" s="16" t="n">
        <v>0.00288784722222222</v>
      </c>
      <c r="K657" s="17" t="n">
        <v>845</v>
      </c>
      <c r="L657" s="17" t="n">
        <f aca="false">COUNT(E657,I657,K657)</f>
        <v>3</v>
      </c>
      <c r="M657" s="18" t="n">
        <f aca="false">(D657&lt;&gt;"")*(D657&lt;=($E$3*60+$F$3)/86400)+(H657&lt;&gt;"")*(H657&lt;=($I$3*60+$J$3)/86400)+(J657&lt;&gt;"")*(J657&lt;=($M$3*60+$N$3)/86400)</f>
        <v>0</v>
      </c>
      <c r="N657" s="20"/>
      <c r="O657" s="20"/>
      <c r="P657" s="20"/>
      <c r="Q657" s="19"/>
    </row>
    <row r="658" customFormat="false" ht="15" hidden="false" customHeight="false" outlineLevel="0" collapsed="false">
      <c r="A658" s="10" t="n">
        <v>652</v>
      </c>
      <c r="B658" s="11" t="s">
        <v>1102</v>
      </c>
      <c r="C658" s="12" t="s">
        <v>303</v>
      </c>
      <c r="D658" s="13" t="n">
        <v>0.010740625</v>
      </c>
      <c r="E658" s="14" t="n">
        <v>653</v>
      </c>
      <c r="F658" s="15" t="n">
        <f aca="false">IF(D658="","",ROUND((D658-MIN($D$7:$D$9999))*86400,2))</f>
        <v>138.25</v>
      </c>
      <c r="G658" s="10" t="str">
        <f aca="false">IF(D658="","",IF(D658&lt;=($E$3*60+$F$3)/86400,"○",""))</f>
        <v/>
      </c>
      <c r="H658" s="16"/>
      <c r="I658" s="17"/>
      <c r="J658" s="16" t="n">
        <v>0.00290787037037037</v>
      </c>
      <c r="K658" s="17" t="n">
        <v>1000</v>
      </c>
      <c r="L658" s="17" t="n">
        <f aca="false">COUNT(E658,I658,K658)</f>
        <v>2</v>
      </c>
      <c r="M658" s="18" t="n">
        <f aca="false">(D658&lt;&gt;"")*(D658&lt;=($E$3*60+$F$3)/86400)+(H658&lt;&gt;"")*(H658&lt;=($I$3*60+$J$3)/86400)+(J658&lt;&gt;"")*(J658&lt;=($M$3*60+$N$3)/86400)</f>
        <v>0</v>
      </c>
      <c r="N658" s="20"/>
      <c r="O658" s="20"/>
      <c r="P658" s="20"/>
      <c r="Q658" s="19"/>
    </row>
    <row r="659" customFormat="false" ht="15" hidden="false" customHeight="false" outlineLevel="0" collapsed="false">
      <c r="A659" s="10" t="n">
        <v>653</v>
      </c>
      <c r="B659" s="11" t="s">
        <v>1103</v>
      </c>
      <c r="C659" s="12" t="s">
        <v>1104</v>
      </c>
      <c r="D659" s="13" t="n">
        <v>0.010740625</v>
      </c>
      <c r="E659" s="14" t="n">
        <v>654</v>
      </c>
      <c r="F659" s="15" t="n">
        <f aca="false">IF(D659="","",ROUND((D659-MIN($D$7:$D$9999))*86400,2))</f>
        <v>138.25</v>
      </c>
      <c r="G659" s="10" t="str">
        <f aca="false">IF(D659="","",IF(D659&lt;=($E$3*60+$F$3)/86400,"○",""))</f>
        <v/>
      </c>
      <c r="H659" s="16"/>
      <c r="I659" s="17"/>
      <c r="J659" s="16" t="n">
        <v>0.00286643518518519</v>
      </c>
      <c r="K659" s="17" t="n">
        <v>673</v>
      </c>
      <c r="L659" s="17" t="n">
        <f aca="false">COUNT(E659,I659,K659)</f>
        <v>2</v>
      </c>
      <c r="M659" s="18" t="n">
        <f aca="false">(D659&lt;&gt;"")*(D659&lt;=($E$3*60+$F$3)/86400)+(H659&lt;&gt;"")*(H659&lt;=($I$3*60+$J$3)/86400)+(J659&lt;&gt;"")*(J659&lt;=($M$3*60+$N$3)/86400)</f>
        <v>0</v>
      </c>
      <c r="N659" s="20"/>
      <c r="O659" s="20"/>
      <c r="P659" s="20"/>
      <c r="Q659" s="19"/>
    </row>
    <row r="660" customFormat="false" ht="15" hidden="false" customHeight="false" outlineLevel="0" collapsed="false">
      <c r="A660" s="10" t="n">
        <v>654</v>
      </c>
      <c r="B660" s="11" t="s">
        <v>1105</v>
      </c>
      <c r="C660" s="12" t="s">
        <v>1106</v>
      </c>
      <c r="D660" s="13" t="n">
        <v>0.0107415509259259</v>
      </c>
      <c r="E660" s="14" t="n">
        <v>655</v>
      </c>
      <c r="F660" s="15" t="n">
        <f aca="false">IF(D660="","",ROUND((D660-MIN($D$7:$D$9999))*86400,2))</f>
        <v>138.33</v>
      </c>
      <c r="G660" s="10" t="str">
        <f aca="false">IF(D660="","",IF(D660&lt;=($E$3*60+$F$3)/86400,"○",""))</f>
        <v/>
      </c>
      <c r="H660" s="16"/>
      <c r="I660" s="17"/>
      <c r="J660" s="16" t="n">
        <v>0.00279560185185185</v>
      </c>
      <c r="K660" s="17" t="n">
        <v>263</v>
      </c>
      <c r="L660" s="17" t="n">
        <f aca="false">COUNT(E660,I660,K660)</f>
        <v>2</v>
      </c>
      <c r="M660" s="18" t="n">
        <f aca="false">(D660&lt;&gt;"")*(D660&lt;=($E$3*60+$F$3)/86400)+(H660&lt;&gt;"")*(H660&lt;=($I$3*60+$J$3)/86400)+(J660&lt;&gt;"")*(J660&lt;=($M$3*60+$N$3)/86400)</f>
        <v>0</v>
      </c>
      <c r="N660" s="20"/>
      <c r="O660" s="20"/>
      <c r="P660" s="20"/>
      <c r="Q660" s="19"/>
    </row>
    <row r="661" customFormat="false" ht="15" hidden="false" customHeight="false" outlineLevel="0" collapsed="false">
      <c r="A661" s="10" t="n">
        <v>655</v>
      </c>
      <c r="B661" s="11" t="s">
        <v>1107</v>
      </c>
      <c r="C661" s="12" t="s">
        <v>63</v>
      </c>
      <c r="D661" s="13" t="n">
        <v>0.0107417824074074</v>
      </c>
      <c r="E661" s="14" t="n">
        <v>656</v>
      </c>
      <c r="F661" s="15" t="n">
        <f aca="false">IF(D661="","",ROUND((D661-MIN($D$7:$D$9999))*86400,2))</f>
        <v>138.35</v>
      </c>
      <c r="G661" s="10" t="str">
        <f aca="false">IF(D661="","",IF(D661&lt;=($E$3*60+$F$3)/86400,"○",""))</f>
        <v/>
      </c>
      <c r="H661" s="16"/>
      <c r="I661" s="17"/>
      <c r="J661" s="16"/>
      <c r="K661" s="17"/>
      <c r="L661" s="17" t="n">
        <f aca="false">COUNT(E661,I661,K661)</f>
        <v>1</v>
      </c>
      <c r="M661" s="18" t="n">
        <f aca="false">(D661&lt;&gt;"")*(D661&lt;=($E$3*60+$F$3)/86400)+(H661&lt;&gt;"")*(H661&lt;=($I$3*60+$J$3)/86400)+(J661&lt;&gt;"")*(J661&lt;=($M$3*60+$N$3)/86400)</f>
        <v>0</v>
      </c>
      <c r="N661" s="20"/>
      <c r="O661" s="20"/>
      <c r="P661" s="20"/>
      <c r="Q661" s="19"/>
    </row>
    <row r="662" customFormat="false" ht="15" hidden="false" customHeight="false" outlineLevel="0" collapsed="false">
      <c r="A662" s="10" t="n">
        <v>656</v>
      </c>
      <c r="B662" s="11" t="s">
        <v>1108</v>
      </c>
      <c r="C662" s="12" t="s">
        <v>351</v>
      </c>
      <c r="D662" s="13" t="n">
        <v>0.0107427083333333</v>
      </c>
      <c r="E662" s="14" t="n">
        <v>657</v>
      </c>
      <c r="F662" s="15" t="n">
        <f aca="false">IF(D662="","",ROUND((D662-MIN($D$7:$D$9999))*86400,2))</f>
        <v>138.43</v>
      </c>
      <c r="G662" s="10" t="str">
        <f aca="false">IF(D662="","",IF(D662&lt;=($E$3*60+$F$3)/86400,"○",""))</f>
        <v/>
      </c>
      <c r="H662" s="16" t="n">
        <v>0.00656342592592593</v>
      </c>
      <c r="I662" s="17" t="n">
        <v>49</v>
      </c>
      <c r="J662" s="16" t="n">
        <v>0.00286423611111111</v>
      </c>
      <c r="K662" s="17" t="n">
        <v>661</v>
      </c>
      <c r="L662" s="17" t="n">
        <f aca="false">COUNT(E662,I662,K662)</f>
        <v>3</v>
      </c>
      <c r="M662" s="18" t="n">
        <f aca="false">(D662&lt;&gt;"")*(D662&lt;=($E$3*60+$F$3)/86400)+(H662&lt;&gt;"")*(H662&lt;=($I$3*60+$J$3)/86400)+(J662&lt;&gt;"")*(J662&lt;=($M$3*60+$N$3)/86400)</f>
        <v>0</v>
      </c>
      <c r="N662" s="20"/>
      <c r="O662" s="20" t="s">
        <v>1109</v>
      </c>
      <c r="P662" s="20"/>
      <c r="Q662" s="19"/>
    </row>
    <row r="663" customFormat="false" ht="15" hidden="false" customHeight="false" outlineLevel="0" collapsed="false">
      <c r="A663" s="10" t="n">
        <v>657</v>
      </c>
      <c r="B663" s="11" t="s">
        <v>1110</v>
      </c>
      <c r="C663" s="12" t="s">
        <v>1111</v>
      </c>
      <c r="D663" s="13" t="n">
        <v>0.0107445601851852</v>
      </c>
      <c r="E663" s="14" t="n">
        <v>658</v>
      </c>
      <c r="F663" s="15" t="n">
        <f aca="false">IF(D663="","",ROUND((D663-MIN($D$7:$D$9999))*86400,2))</f>
        <v>138.59</v>
      </c>
      <c r="G663" s="10" t="str">
        <f aca="false">IF(D663="","",IF(D663&lt;=($E$3*60+$F$3)/86400,"○",""))</f>
        <v/>
      </c>
      <c r="H663" s="16"/>
      <c r="I663" s="17"/>
      <c r="J663" s="16" t="n">
        <v>0.00292465277777778</v>
      </c>
      <c r="K663" s="17" t="n">
        <v>1140</v>
      </c>
      <c r="L663" s="17" t="n">
        <f aca="false">COUNT(E663,I663,K663)</f>
        <v>2</v>
      </c>
      <c r="M663" s="18" t="n">
        <f aca="false">(D663&lt;&gt;"")*(D663&lt;=($E$3*60+$F$3)/86400)+(H663&lt;&gt;"")*(H663&lt;=($I$3*60+$J$3)/86400)+(J663&lt;&gt;"")*(J663&lt;=($M$3*60+$N$3)/86400)</f>
        <v>0</v>
      </c>
      <c r="N663" s="20"/>
      <c r="O663" s="20"/>
      <c r="P663" s="20"/>
      <c r="Q663" s="19"/>
    </row>
    <row r="664" customFormat="false" ht="15" hidden="false" customHeight="false" outlineLevel="0" collapsed="false">
      <c r="A664" s="10" t="n">
        <v>658</v>
      </c>
      <c r="B664" s="11" t="s">
        <v>1112</v>
      </c>
      <c r="C664" s="12" t="s">
        <v>129</v>
      </c>
      <c r="D664" s="13" t="n">
        <v>0.0107447916666667</v>
      </c>
      <c r="E664" s="14" t="n">
        <v>659</v>
      </c>
      <c r="F664" s="15" t="n">
        <f aca="false">IF(D664="","",ROUND((D664-MIN($D$7:$D$9999))*86400,2))</f>
        <v>138.61</v>
      </c>
      <c r="G664" s="10" t="str">
        <f aca="false">IF(D664="","",IF(D664&lt;=($E$3*60+$F$3)/86400,"○",""))</f>
        <v/>
      </c>
      <c r="H664" s="16"/>
      <c r="I664" s="17"/>
      <c r="J664" s="16"/>
      <c r="K664" s="17"/>
      <c r="L664" s="17" t="n">
        <f aca="false">COUNT(E664,I664,K664)</f>
        <v>1</v>
      </c>
      <c r="M664" s="18" t="n">
        <f aca="false">(D664&lt;&gt;"")*(D664&lt;=($E$3*60+$F$3)/86400)+(H664&lt;&gt;"")*(H664&lt;=($I$3*60+$J$3)/86400)+(J664&lt;&gt;"")*(J664&lt;=($M$3*60+$N$3)/86400)</f>
        <v>0</v>
      </c>
      <c r="N664" s="20"/>
      <c r="O664" s="20"/>
      <c r="P664" s="20"/>
      <c r="Q664" s="19"/>
    </row>
    <row r="665" customFormat="false" ht="15" hidden="false" customHeight="false" outlineLevel="0" collapsed="false">
      <c r="A665" s="10" t="n">
        <v>659</v>
      </c>
      <c r="B665" s="11" t="s">
        <v>1113</v>
      </c>
      <c r="C665" s="12" t="s">
        <v>25</v>
      </c>
      <c r="D665" s="13" t="n">
        <v>0.0107447916666667</v>
      </c>
      <c r="E665" s="14" t="n">
        <v>660</v>
      </c>
      <c r="F665" s="15" t="n">
        <f aca="false">IF(D665="","",ROUND((D665-MIN($D$7:$D$9999))*86400,2))</f>
        <v>138.61</v>
      </c>
      <c r="G665" s="10" t="str">
        <f aca="false">IF(D665="","",IF(D665&lt;=($E$3*60+$F$3)/86400,"○",""))</f>
        <v/>
      </c>
      <c r="H665" s="16" t="n">
        <v>0.00730231481481481</v>
      </c>
      <c r="I665" s="17" t="n">
        <v>650</v>
      </c>
      <c r="J665" s="16"/>
      <c r="K665" s="17"/>
      <c r="L665" s="17" t="n">
        <f aca="false">COUNT(E665,I665,K665)</f>
        <v>2</v>
      </c>
      <c r="M665" s="18" t="n">
        <f aca="false">(D665&lt;&gt;"")*(D665&lt;=($E$3*60+$F$3)/86400)+(H665&lt;&gt;"")*(H665&lt;=($I$3*60+$J$3)/86400)+(J665&lt;&gt;"")*(J665&lt;=($M$3*60+$N$3)/86400)</f>
        <v>0</v>
      </c>
      <c r="N665" s="20"/>
      <c r="O665" s="20"/>
      <c r="P665" s="20"/>
      <c r="Q665" s="19"/>
    </row>
    <row r="666" customFormat="false" ht="15" hidden="false" customHeight="false" outlineLevel="0" collapsed="false">
      <c r="A666" s="10" t="n">
        <v>660</v>
      </c>
      <c r="B666" s="11" t="s">
        <v>1114</v>
      </c>
      <c r="C666" s="12" t="s">
        <v>1049</v>
      </c>
      <c r="D666" s="13" t="n">
        <v>0.0107453703703704</v>
      </c>
      <c r="E666" s="14" t="n">
        <v>661</v>
      </c>
      <c r="F666" s="15" t="n">
        <f aca="false">IF(D666="","",ROUND((D666-MIN($D$7:$D$9999))*86400,2))</f>
        <v>138.66</v>
      </c>
      <c r="G666" s="10" t="str">
        <f aca="false">IF(D666="","",IF(D666&lt;=($E$3*60+$F$3)/86400,"○",""))</f>
        <v/>
      </c>
      <c r="H666" s="16"/>
      <c r="I666" s="17"/>
      <c r="J666" s="16"/>
      <c r="K666" s="17"/>
      <c r="L666" s="17" t="n">
        <f aca="false">COUNT(E666,I666,K666)</f>
        <v>1</v>
      </c>
      <c r="M666" s="18" t="n">
        <f aca="false">(D666&lt;&gt;"")*(D666&lt;=($E$3*60+$F$3)/86400)+(H666&lt;&gt;"")*(H666&lt;=($I$3*60+$J$3)/86400)+(J666&lt;&gt;"")*(J666&lt;=($M$3*60+$N$3)/86400)</f>
        <v>0</v>
      </c>
      <c r="N666" s="20"/>
      <c r="O666" s="20"/>
      <c r="P666" s="20"/>
      <c r="Q666" s="19"/>
    </row>
    <row r="667" customFormat="false" ht="15" hidden="false" customHeight="false" outlineLevel="0" collapsed="false">
      <c r="A667" s="10" t="n">
        <v>661</v>
      </c>
      <c r="B667" s="11" t="s">
        <v>1115</v>
      </c>
      <c r="C667" s="12" t="s">
        <v>71</v>
      </c>
      <c r="D667" s="13" t="n">
        <v>0.0107457175925926</v>
      </c>
      <c r="E667" s="14" t="n">
        <v>662</v>
      </c>
      <c r="F667" s="15" t="n">
        <f aca="false">IF(D667="","",ROUND((D667-MIN($D$7:$D$9999))*86400,2))</f>
        <v>138.69</v>
      </c>
      <c r="G667" s="10" t="str">
        <f aca="false">IF(D667="","",IF(D667&lt;=($E$3*60+$F$3)/86400,"○",""))</f>
        <v/>
      </c>
      <c r="H667" s="16" t="n">
        <v>0.0066755787037037</v>
      </c>
      <c r="I667" s="17" t="n">
        <v>94</v>
      </c>
      <c r="J667" s="16"/>
      <c r="K667" s="17"/>
      <c r="L667" s="17" t="n">
        <f aca="false">COUNT(E667,I667,K667)</f>
        <v>2</v>
      </c>
      <c r="M667" s="18" t="n">
        <f aca="false">(D667&lt;&gt;"")*(D667&lt;=($E$3*60+$F$3)/86400)+(H667&lt;&gt;"")*(H667&lt;=($I$3*60+$J$3)/86400)+(J667&lt;&gt;"")*(J667&lt;=($M$3*60+$N$3)/86400)</f>
        <v>0</v>
      </c>
      <c r="N667" s="20"/>
      <c r="O667" s="20"/>
      <c r="P667" s="20"/>
      <c r="Q667" s="19"/>
    </row>
    <row r="668" customFormat="false" ht="15" hidden="false" customHeight="false" outlineLevel="0" collapsed="false">
      <c r="A668" s="10" t="n">
        <v>662</v>
      </c>
      <c r="B668" s="11" t="s">
        <v>1116</v>
      </c>
      <c r="C668" s="12" t="s">
        <v>1117</v>
      </c>
      <c r="D668" s="13" t="n">
        <v>0.010746412037037</v>
      </c>
      <c r="E668" s="14" t="n">
        <v>663</v>
      </c>
      <c r="F668" s="15" t="n">
        <f aca="false">IF(D668="","",ROUND((D668-MIN($D$7:$D$9999))*86400,2))</f>
        <v>138.75</v>
      </c>
      <c r="G668" s="10" t="str">
        <f aca="false">IF(D668="","",IF(D668&lt;=($E$3*60+$F$3)/86400,"○",""))</f>
        <v/>
      </c>
      <c r="H668" s="16"/>
      <c r="I668" s="17"/>
      <c r="J668" s="16"/>
      <c r="K668" s="17"/>
      <c r="L668" s="17" t="n">
        <f aca="false">COUNT(E668,I668,K668)</f>
        <v>1</v>
      </c>
      <c r="M668" s="18" t="n">
        <f aca="false">(D668&lt;&gt;"")*(D668&lt;=($E$3*60+$F$3)/86400)+(H668&lt;&gt;"")*(H668&lt;=($I$3*60+$J$3)/86400)+(J668&lt;&gt;"")*(J668&lt;=($M$3*60+$N$3)/86400)</f>
        <v>0</v>
      </c>
      <c r="N668" s="20"/>
      <c r="O668" s="20"/>
      <c r="P668" s="20"/>
      <c r="Q668" s="19"/>
    </row>
    <row r="669" customFormat="false" ht="15" hidden="false" customHeight="false" outlineLevel="0" collapsed="false">
      <c r="A669" s="10" t="n">
        <v>663</v>
      </c>
      <c r="B669" s="11" t="s">
        <v>1118</v>
      </c>
      <c r="C669" s="12" t="s">
        <v>737</v>
      </c>
      <c r="D669" s="13" t="n">
        <v>0.0107466435185185</v>
      </c>
      <c r="E669" s="14" t="n">
        <v>664</v>
      </c>
      <c r="F669" s="15" t="n">
        <f aca="false">IF(D669="","",ROUND((D669-MIN($D$7:$D$9999))*86400,2))</f>
        <v>138.77</v>
      </c>
      <c r="G669" s="10" t="str">
        <f aca="false">IF(D669="","",IF(D669&lt;=($E$3*60+$F$3)/86400,"○",""))</f>
        <v/>
      </c>
      <c r="H669" s="16"/>
      <c r="I669" s="17"/>
      <c r="J669" s="16" t="n">
        <v>0.00274930555555556</v>
      </c>
      <c r="K669" s="17" t="n">
        <v>102</v>
      </c>
      <c r="L669" s="17" t="n">
        <f aca="false">COUNT(E669,I669,K669)</f>
        <v>2</v>
      </c>
      <c r="M669" s="18" t="n">
        <f aca="false">(D669&lt;&gt;"")*(D669&lt;=($E$3*60+$F$3)/86400)+(H669&lt;&gt;"")*(H669&lt;=($I$3*60+$J$3)/86400)+(J669&lt;&gt;"")*(J669&lt;=($M$3*60+$N$3)/86400)</f>
        <v>0</v>
      </c>
      <c r="N669" s="20" t="s">
        <v>1119</v>
      </c>
      <c r="O669" s="20"/>
      <c r="P669" s="20"/>
      <c r="Q669" s="19"/>
    </row>
    <row r="670" customFormat="false" ht="15" hidden="false" customHeight="false" outlineLevel="0" collapsed="false">
      <c r="A670" s="10" t="n">
        <v>664</v>
      </c>
      <c r="B670" s="11" t="s">
        <v>1120</v>
      </c>
      <c r="C670" s="12" t="s">
        <v>1121</v>
      </c>
      <c r="D670" s="13" t="n">
        <v>0.0107475694444445</v>
      </c>
      <c r="E670" s="14" t="n">
        <v>665</v>
      </c>
      <c r="F670" s="15" t="n">
        <f aca="false">IF(D670="","",ROUND((D670-MIN($D$7:$D$9999))*86400,2))</f>
        <v>138.85</v>
      </c>
      <c r="G670" s="10" t="str">
        <f aca="false">IF(D670="","",IF(D670&lt;=($E$3*60+$F$3)/86400,"○",""))</f>
        <v/>
      </c>
      <c r="H670" s="16"/>
      <c r="I670" s="17"/>
      <c r="J670" s="16" t="n">
        <v>0.00275949074074074</v>
      </c>
      <c r="K670" s="17" t="n">
        <v>134</v>
      </c>
      <c r="L670" s="17" t="n">
        <f aca="false">COUNT(E670,I670,K670)</f>
        <v>2</v>
      </c>
      <c r="M670" s="18" t="n">
        <f aca="false">(D670&lt;&gt;"")*(D670&lt;=($E$3*60+$F$3)/86400)+(H670&lt;&gt;"")*(H670&lt;=($I$3*60+$J$3)/86400)+(J670&lt;&gt;"")*(J670&lt;=($M$3*60+$N$3)/86400)</f>
        <v>0</v>
      </c>
      <c r="N670" s="20"/>
      <c r="O670" s="20"/>
      <c r="P670" s="20"/>
      <c r="Q670" s="19"/>
    </row>
    <row r="671" customFormat="false" ht="15" hidden="false" customHeight="false" outlineLevel="0" collapsed="false">
      <c r="A671" s="10" t="n">
        <v>665</v>
      </c>
      <c r="B671" s="11" t="s">
        <v>1122</v>
      </c>
      <c r="C671" s="12" t="s">
        <v>1123</v>
      </c>
      <c r="D671" s="13" t="n">
        <v>0.0107493055555556</v>
      </c>
      <c r="E671" s="14" t="n">
        <v>666</v>
      </c>
      <c r="F671" s="15" t="n">
        <f aca="false">IF(D671="","",ROUND((D671-MIN($D$7:$D$9999))*86400,2))</f>
        <v>139</v>
      </c>
      <c r="G671" s="10" t="str">
        <f aca="false">IF(D671="","",IF(D671&lt;=($E$3*60+$F$3)/86400,"○",""))</f>
        <v/>
      </c>
      <c r="H671" s="16" t="n">
        <v>0.00656388888888889</v>
      </c>
      <c r="I671" s="17" t="n">
        <v>52</v>
      </c>
      <c r="J671" s="16"/>
      <c r="K671" s="17"/>
      <c r="L671" s="17" t="n">
        <f aca="false">COUNT(E671,I671,K671)</f>
        <v>2</v>
      </c>
      <c r="M671" s="18" t="n">
        <f aca="false">(D671&lt;&gt;"")*(D671&lt;=($E$3*60+$F$3)/86400)+(H671&lt;&gt;"")*(H671&lt;=($I$3*60+$J$3)/86400)+(J671&lt;&gt;"")*(J671&lt;=($M$3*60+$N$3)/86400)</f>
        <v>0</v>
      </c>
      <c r="N671" s="20"/>
      <c r="O671" s="20"/>
      <c r="P671" s="20"/>
      <c r="Q671" s="19"/>
    </row>
    <row r="672" customFormat="false" ht="15" hidden="false" customHeight="false" outlineLevel="0" collapsed="false">
      <c r="A672" s="10" t="n">
        <v>666</v>
      </c>
      <c r="B672" s="11" t="s">
        <v>1124</v>
      </c>
      <c r="C672" s="12" t="s">
        <v>1125</v>
      </c>
      <c r="D672" s="13" t="n">
        <v>0.0107502314814815</v>
      </c>
      <c r="E672" s="14" t="n">
        <v>667</v>
      </c>
      <c r="F672" s="15" t="n">
        <f aca="false">IF(D672="","",ROUND((D672-MIN($D$7:$D$9999))*86400,2))</f>
        <v>139.08</v>
      </c>
      <c r="G672" s="10" t="str">
        <f aca="false">IF(D672="","",IF(D672&lt;=($E$3*60+$F$3)/86400,"○",""))</f>
        <v/>
      </c>
      <c r="H672" s="16"/>
      <c r="I672" s="17"/>
      <c r="J672" s="16" t="n">
        <v>0.00277743055555556</v>
      </c>
      <c r="K672" s="17" t="n">
        <v>188</v>
      </c>
      <c r="L672" s="17" t="n">
        <f aca="false">COUNT(E672,I672,K672)</f>
        <v>2</v>
      </c>
      <c r="M672" s="18" t="n">
        <f aca="false">(D672&lt;&gt;"")*(D672&lt;=($E$3*60+$F$3)/86400)+(H672&lt;&gt;"")*(H672&lt;=($I$3*60+$J$3)/86400)+(J672&lt;&gt;"")*(J672&lt;=($M$3*60+$N$3)/86400)</f>
        <v>0</v>
      </c>
      <c r="N672" s="20"/>
      <c r="O672" s="20"/>
      <c r="P672" s="20"/>
      <c r="Q672" s="19"/>
    </row>
    <row r="673" customFormat="false" ht="15" hidden="false" customHeight="false" outlineLevel="0" collapsed="false">
      <c r="A673" s="10" t="n">
        <v>667</v>
      </c>
      <c r="B673" s="11" t="s">
        <v>1126</v>
      </c>
      <c r="C673" s="12" t="s">
        <v>1127</v>
      </c>
      <c r="D673" s="13" t="n">
        <v>0.0107510416666667</v>
      </c>
      <c r="E673" s="14" t="n">
        <v>668</v>
      </c>
      <c r="F673" s="15" t="n">
        <f aca="false">IF(D673="","",ROUND((D673-MIN($D$7:$D$9999))*86400,2))</f>
        <v>139.15</v>
      </c>
      <c r="G673" s="10" t="str">
        <f aca="false">IF(D673="","",IF(D673&lt;=($E$3*60+$F$3)/86400,"○",""))</f>
        <v/>
      </c>
      <c r="H673" s="16" t="n">
        <v>0.00711990740740741</v>
      </c>
      <c r="I673" s="17" t="n">
        <v>465</v>
      </c>
      <c r="J673" s="16" t="n">
        <v>0.00285555555555556</v>
      </c>
      <c r="K673" s="17" t="n">
        <v>600</v>
      </c>
      <c r="L673" s="17" t="n">
        <f aca="false">COUNT(E673,I673,K673)</f>
        <v>3</v>
      </c>
      <c r="M673" s="18" t="n">
        <f aca="false">(D673&lt;&gt;"")*(D673&lt;=($E$3*60+$F$3)/86400)+(H673&lt;&gt;"")*(H673&lt;=($I$3*60+$J$3)/86400)+(J673&lt;&gt;"")*(J673&lt;=($M$3*60+$N$3)/86400)</f>
        <v>0</v>
      </c>
      <c r="N673" s="20"/>
      <c r="O673" s="20"/>
      <c r="P673" s="20"/>
      <c r="Q673" s="19"/>
    </row>
    <row r="674" customFormat="false" ht="15" hidden="false" customHeight="false" outlineLevel="0" collapsed="false">
      <c r="A674" s="10" t="n">
        <v>668</v>
      </c>
      <c r="B674" s="11" t="s">
        <v>1128</v>
      </c>
      <c r="C674" s="12" t="s">
        <v>25</v>
      </c>
      <c r="D674" s="13" t="n">
        <v>0.0107510416666667</v>
      </c>
      <c r="E674" s="14" t="n">
        <v>669</v>
      </c>
      <c r="F674" s="15" t="n">
        <f aca="false">IF(D674="","",ROUND((D674-MIN($D$7:$D$9999))*86400,2))</f>
        <v>139.15</v>
      </c>
      <c r="G674" s="10" t="str">
        <f aca="false">IF(D674="","",IF(D674&lt;=($E$3*60+$F$3)/86400,"○",""))</f>
        <v/>
      </c>
      <c r="H674" s="16"/>
      <c r="I674" s="17"/>
      <c r="J674" s="16" t="n">
        <v>0.00297569444444445</v>
      </c>
      <c r="K674" s="17" t="n">
        <v>1330</v>
      </c>
      <c r="L674" s="17" t="n">
        <f aca="false">COUNT(E674,I674,K674)</f>
        <v>2</v>
      </c>
      <c r="M674" s="18" t="n">
        <f aca="false">(D674&lt;&gt;"")*(D674&lt;=($E$3*60+$F$3)/86400)+(H674&lt;&gt;"")*(H674&lt;=($I$3*60+$J$3)/86400)+(J674&lt;&gt;"")*(J674&lt;=($M$3*60+$N$3)/86400)</f>
        <v>0</v>
      </c>
      <c r="N674" s="20"/>
      <c r="O674" s="20"/>
      <c r="P674" s="20"/>
      <c r="Q674" s="19"/>
    </row>
    <row r="675" customFormat="false" ht="15" hidden="false" customHeight="false" outlineLevel="0" collapsed="false">
      <c r="A675" s="10" t="n">
        <v>669</v>
      </c>
      <c r="B675" s="11" t="s">
        <v>1129</v>
      </c>
      <c r="C675" s="12" t="s">
        <v>936</v>
      </c>
      <c r="D675" s="13" t="n">
        <v>0.0107515046296296</v>
      </c>
      <c r="E675" s="14" t="n">
        <v>670</v>
      </c>
      <c r="F675" s="15" t="n">
        <f aca="false">IF(D675="","",ROUND((D675-MIN($D$7:$D$9999))*86400,2))</f>
        <v>139.19</v>
      </c>
      <c r="G675" s="10" t="str">
        <f aca="false">IF(D675="","",IF(D675&lt;=($E$3*60+$F$3)/86400,"○",""))</f>
        <v/>
      </c>
      <c r="H675" s="16"/>
      <c r="I675" s="17"/>
      <c r="J675" s="16" t="n">
        <v>0.00275115740740741</v>
      </c>
      <c r="K675" s="17" t="n">
        <v>106</v>
      </c>
      <c r="L675" s="17" t="n">
        <f aca="false">COUNT(E675,I675,K675)</f>
        <v>2</v>
      </c>
      <c r="M675" s="18" t="n">
        <f aca="false">(D675&lt;&gt;"")*(D675&lt;=($E$3*60+$F$3)/86400)+(H675&lt;&gt;"")*(H675&lt;=($I$3*60+$J$3)/86400)+(J675&lt;&gt;"")*(J675&lt;=($M$3*60+$N$3)/86400)</f>
        <v>0</v>
      </c>
      <c r="N675" s="20"/>
      <c r="O675" s="20"/>
      <c r="P675" s="20"/>
      <c r="Q675" s="19"/>
    </row>
    <row r="676" customFormat="false" ht="15" hidden="false" customHeight="false" outlineLevel="0" collapsed="false">
      <c r="A676" s="10" t="n">
        <v>670</v>
      </c>
      <c r="B676" s="11" t="s">
        <v>1130</v>
      </c>
      <c r="C676" s="12" t="s">
        <v>1131</v>
      </c>
      <c r="D676" s="13" t="n">
        <v>0.010752662037037</v>
      </c>
      <c r="E676" s="14" t="n">
        <v>671</v>
      </c>
      <c r="F676" s="15" t="n">
        <f aca="false">IF(D676="","",ROUND((D676-MIN($D$7:$D$9999))*86400,2))</f>
        <v>139.29</v>
      </c>
      <c r="G676" s="10" t="str">
        <f aca="false">IF(D676="","",IF(D676&lt;=($E$3*60+$F$3)/86400,"○",""))</f>
        <v/>
      </c>
      <c r="H676" s="16"/>
      <c r="I676" s="17"/>
      <c r="J676" s="16" t="n">
        <v>0.00284027777777778</v>
      </c>
      <c r="K676" s="17" t="n">
        <v>499</v>
      </c>
      <c r="L676" s="17" t="n">
        <f aca="false">COUNT(E676,I676,K676)</f>
        <v>2</v>
      </c>
      <c r="M676" s="18" t="n">
        <f aca="false">(D676&lt;&gt;"")*(D676&lt;=($E$3*60+$F$3)/86400)+(H676&lt;&gt;"")*(H676&lt;=($I$3*60+$J$3)/86400)+(J676&lt;&gt;"")*(J676&lt;=($M$3*60+$N$3)/86400)</f>
        <v>0</v>
      </c>
      <c r="N676" s="20" t="s">
        <v>1132</v>
      </c>
      <c r="O676" s="20"/>
      <c r="P676" s="20"/>
      <c r="Q676" s="19"/>
    </row>
    <row r="677" customFormat="false" ht="15" hidden="false" customHeight="false" outlineLevel="0" collapsed="false">
      <c r="A677" s="10" t="n">
        <v>671</v>
      </c>
      <c r="B677" s="11" t="s">
        <v>1133</v>
      </c>
      <c r="C677" s="12" t="s">
        <v>351</v>
      </c>
      <c r="D677" s="13" t="n">
        <v>0.010753125</v>
      </c>
      <c r="E677" s="14" t="n">
        <v>672</v>
      </c>
      <c r="F677" s="15" t="n">
        <f aca="false">IF(D677="","",ROUND((D677-MIN($D$7:$D$9999))*86400,2))</f>
        <v>139.33</v>
      </c>
      <c r="G677" s="10" t="str">
        <f aca="false">IF(D677="","",IF(D677&lt;=($E$3*60+$F$3)/86400,"○",""))</f>
        <v/>
      </c>
      <c r="H677" s="16" t="n">
        <v>0.00746712962962963</v>
      </c>
      <c r="I677" s="17" t="n">
        <v>857</v>
      </c>
      <c r="J677" s="16" t="n">
        <v>0.00291041666666667</v>
      </c>
      <c r="K677" s="17" t="n">
        <v>1024</v>
      </c>
      <c r="L677" s="17" t="n">
        <f aca="false">COUNT(E677,I677,K677)</f>
        <v>3</v>
      </c>
      <c r="M677" s="18" t="n">
        <f aca="false">(D677&lt;&gt;"")*(D677&lt;=($E$3*60+$F$3)/86400)+(H677&lt;&gt;"")*(H677&lt;=($I$3*60+$J$3)/86400)+(J677&lt;&gt;"")*(J677&lt;=($M$3*60+$N$3)/86400)</f>
        <v>0</v>
      </c>
      <c r="N677" s="20"/>
      <c r="O677" s="20" t="s">
        <v>1134</v>
      </c>
      <c r="P677" s="20"/>
      <c r="Q677" s="19"/>
    </row>
    <row r="678" customFormat="false" ht="15" hidden="false" customHeight="false" outlineLevel="0" collapsed="false">
      <c r="A678" s="10" t="n">
        <v>672</v>
      </c>
      <c r="B678" s="11" t="s">
        <v>1135</v>
      </c>
      <c r="C678" s="12" t="s">
        <v>525</v>
      </c>
      <c r="D678" s="13" t="n">
        <v>0.0107538194444444</v>
      </c>
      <c r="E678" s="14" t="n">
        <v>673</v>
      </c>
      <c r="F678" s="15" t="n">
        <f aca="false">IF(D678="","",ROUND((D678-MIN($D$7:$D$9999))*86400,2))</f>
        <v>139.39</v>
      </c>
      <c r="G678" s="10" t="str">
        <f aca="false">IF(D678="","",IF(D678&lt;=($E$3*60+$F$3)/86400,"○",""))</f>
        <v/>
      </c>
      <c r="H678" s="16" t="n">
        <v>0.007290625</v>
      </c>
      <c r="I678" s="17" t="n">
        <v>630</v>
      </c>
      <c r="J678" s="16"/>
      <c r="K678" s="17"/>
      <c r="L678" s="17" t="n">
        <f aca="false">COUNT(E678,I678,K678)</f>
        <v>2</v>
      </c>
      <c r="M678" s="18" t="n">
        <f aca="false">(D678&lt;&gt;"")*(D678&lt;=($E$3*60+$F$3)/86400)+(H678&lt;&gt;"")*(H678&lt;=($I$3*60+$J$3)/86400)+(J678&lt;&gt;"")*(J678&lt;=($M$3*60+$N$3)/86400)</f>
        <v>0</v>
      </c>
      <c r="N678" s="20" t="s">
        <v>1136</v>
      </c>
      <c r="O678" s="20"/>
      <c r="P678" s="20"/>
      <c r="Q678" s="19"/>
    </row>
    <row r="679" customFormat="false" ht="15" hidden="false" customHeight="false" outlineLevel="0" collapsed="false">
      <c r="A679" s="10" t="n">
        <v>673</v>
      </c>
      <c r="B679" s="11" t="s">
        <v>1137</v>
      </c>
      <c r="C679" s="12" t="s">
        <v>1138</v>
      </c>
      <c r="D679" s="13" t="n">
        <v>0.0107541666666667</v>
      </c>
      <c r="E679" s="14" t="n">
        <v>674</v>
      </c>
      <c r="F679" s="15" t="n">
        <f aca="false">IF(D679="","",ROUND((D679-MIN($D$7:$D$9999))*86400,2))</f>
        <v>139.42</v>
      </c>
      <c r="G679" s="10" t="str">
        <f aca="false">IF(D679="","",IF(D679&lt;=($E$3*60+$F$3)/86400,"○",""))</f>
        <v/>
      </c>
      <c r="H679" s="16"/>
      <c r="I679" s="17"/>
      <c r="J679" s="16"/>
      <c r="K679" s="17"/>
      <c r="L679" s="17" t="n">
        <f aca="false">COUNT(E679,I679,K679)</f>
        <v>1</v>
      </c>
      <c r="M679" s="18" t="n">
        <f aca="false">(D679&lt;&gt;"")*(D679&lt;=($E$3*60+$F$3)/86400)+(H679&lt;&gt;"")*(H679&lt;=($I$3*60+$J$3)/86400)+(J679&lt;&gt;"")*(J679&lt;=($M$3*60+$N$3)/86400)</f>
        <v>0</v>
      </c>
      <c r="N679" s="20"/>
      <c r="O679" s="20"/>
      <c r="P679" s="20"/>
      <c r="Q679" s="19"/>
    </row>
    <row r="680" customFormat="false" ht="15" hidden="false" customHeight="false" outlineLevel="0" collapsed="false">
      <c r="A680" s="10" t="n">
        <v>674</v>
      </c>
      <c r="B680" s="11" t="s">
        <v>1139</v>
      </c>
      <c r="C680" s="12" t="s">
        <v>544</v>
      </c>
      <c r="D680" s="13" t="n">
        <v>0.0107555555555556</v>
      </c>
      <c r="E680" s="14" t="n">
        <v>675</v>
      </c>
      <c r="F680" s="15" t="n">
        <f aca="false">IF(D680="","",ROUND((D680-MIN($D$7:$D$9999))*86400,2))</f>
        <v>139.54</v>
      </c>
      <c r="G680" s="10" t="str">
        <f aca="false">IF(D680="","",IF(D680&lt;=($E$3*60+$F$3)/86400,"○",""))</f>
        <v/>
      </c>
      <c r="H680" s="16"/>
      <c r="I680" s="17"/>
      <c r="J680" s="16"/>
      <c r="K680" s="17"/>
      <c r="L680" s="17" t="n">
        <f aca="false">COUNT(E680,I680,K680)</f>
        <v>1</v>
      </c>
      <c r="M680" s="18" t="n">
        <f aca="false">(D680&lt;&gt;"")*(D680&lt;=($E$3*60+$F$3)/86400)+(H680&lt;&gt;"")*(H680&lt;=($I$3*60+$J$3)/86400)+(J680&lt;&gt;"")*(J680&lt;=($M$3*60+$N$3)/86400)</f>
        <v>0</v>
      </c>
      <c r="N680" s="20"/>
      <c r="O680" s="20"/>
      <c r="P680" s="20"/>
      <c r="Q680" s="19"/>
    </row>
    <row r="681" customFormat="false" ht="15" hidden="false" customHeight="false" outlineLevel="0" collapsed="false">
      <c r="A681" s="10" t="n">
        <v>675</v>
      </c>
      <c r="B681" s="11" t="s">
        <v>1140</v>
      </c>
      <c r="C681" s="12" t="s">
        <v>1141</v>
      </c>
      <c r="D681" s="13" t="n">
        <v>0.0107561342592593</v>
      </c>
      <c r="E681" s="14" t="n">
        <v>676</v>
      </c>
      <c r="F681" s="15" t="n">
        <f aca="false">IF(D681="","",ROUND((D681-MIN($D$7:$D$9999))*86400,2))</f>
        <v>139.59</v>
      </c>
      <c r="G681" s="10" t="str">
        <f aca="false">IF(D681="","",IF(D681&lt;=($E$3*60+$F$3)/86400,"○",""))</f>
        <v/>
      </c>
      <c r="H681" s="16"/>
      <c r="I681" s="17"/>
      <c r="J681" s="16" t="n">
        <v>0.00289131944444445</v>
      </c>
      <c r="K681" s="17" t="n">
        <v>879</v>
      </c>
      <c r="L681" s="17" t="n">
        <f aca="false">COUNT(E681,I681,K681)</f>
        <v>2</v>
      </c>
      <c r="M681" s="18" t="n">
        <f aca="false">(D681&lt;&gt;"")*(D681&lt;=($E$3*60+$F$3)/86400)+(H681&lt;&gt;"")*(H681&lt;=($I$3*60+$J$3)/86400)+(J681&lt;&gt;"")*(J681&lt;=($M$3*60+$N$3)/86400)</f>
        <v>0</v>
      </c>
      <c r="N681" s="20"/>
      <c r="O681" s="20"/>
      <c r="P681" s="20"/>
      <c r="Q681" s="19"/>
    </row>
    <row r="682" customFormat="false" ht="15" hidden="false" customHeight="false" outlineLevel="0" collapsed="false">
      <c r="A682" s="10" t="n">
        <v>676</v>
      </c>
      <c r="B682" s="11" t="s">
        <v>1142</v>
      </c>
      <c r="C682" s="12" t="s">
        <v>137</v>
      </c>
      <c r="D682" s="13" t="n">
        <v>0.01075625</v>
      </c>
      <c r="E682" s="14" t="n">
        <v>677</v>
      </c>
      <c r="F682" s="15" t="n">
        <f aca="false">IF(D682="","",ROUND((D682-MIN($D$7:$D$9999))*86400,2))</f>
        <v>139.6</v>
      </c>
      <c r="G682" s="10" t="str">
        <f aca="false">IF(D682="","",IF(D682&lt;=($E$3*60+$F$3)/86400,"○",""))</f>
        <v/>
      </c>
      <c r="H682" s="16" t="n">
        <v>0.00663287037037037</v>
      </c>
      <c r="I682" s="17" t="n">
        <v>74</v>
      </c>
      <c r="J682" s="16"/>
      <c r="K682" s="17"/>
      <c r="L682" s="17" t="n">
        <f aca="false">COUNT(E682,I682,K682)</f>
        <v>2</v>
      </c>
      <c r="M682" s="18" t="n">
        <f aca="false">(D682&lt;&gt;"")*(D682&lt;=($E$3*60+$F$3)/86400)+(H682&lt;&gt;"")*(H682&lt;=($I$3*60+$J$3)/86400)+(J682&lt;&gt;"")*(J682&lt;=($M$3*60+$N$3)/86400)</f>
        <v>0</v>
      </c>
      <c r="N682" s="20"/>
      <c r="O682" s="20"/>
      <c r="P682" s="20"/>
      <c r="Q682" s="19"/>
    </row>
    <row r="683" customFormat="false" ht="15" hidden="false" customHeight="false" outlineLevel="0" collapsed="false">
      <c r="A683" s="10" t="n">
        <v>677</v>
      </c>
      <c r="B683" s="11" t="s">
        <v>1143</v>
      </c>
      <c r="C683" s="12" t="s">
        <v>1144</v>
      </c>
      <c r="D683" s="13" t="n">
        <v>0.0107594907407407</v>
      </c>
      <c r="E683" s="14" t="n">
        <v>678</v>
      </c>
      <c r="F683" s="15" t="n">
        <f aca="false">IF(D683="","",ROUND((D683-MIN($D$7:$D$9999))*86400,2))</f>
        <v>139.88</v>
      </c>
      <c r="G683" s="10" t="str">
        <f aca="false">IF(D683="","",IF(D683&lt;=($E$3*60+$F$3)/86400,"○",""))</f>
        <v/>
      </c>
      <c r="H683" s="16"/>
      <c r="I683" s="17"/>
      <c r="J683" s="16" t="n">
        <v>0.00284837962962963</v>
      </c>
      <c r="K683" s="17" t="n">
        <v>557</v>
      </c>
      <c r="L683" s="17" t="n">
        <f aca="false">COUNT(E683,I683,K683)</f>
        <v>2</v>
      </c>
      <c r="M683" s="18" t="n">
        <f aca="false">(D683&lt;&gt;"")*(D683&lt;=($E$3*60+$F$3)/86400)+(H683&lt;&gt;"")*(H683&lt;=($I$3*60+$J$3)/86400)+(J683&lt;&gt;"")*(J683&lt;=($M$3*60+$N$3)/86400)</f>
        <v>0</v>
      </c>
      <c r="N683" s="20"/>
      <c r="O683" s="20"/>
      <c r="P683" s="20"/>
      <c r="Q683" s="19"/>
    </row>
    <row r="684" customFormat="false" ht="15" hidden="false" customHeight="false" outlineLevel="0" collapsed="false">
      <c r="A684" s="10" t="n">
        <v>678</v>
      </c>
      <c r="B684" s="11" t="s">
        <v>1145</v>
      </c>
      <c r="C684" s="12" t="s">
        <v>1146</v>
      </c>
      <c r="D684" s="13" t="n">
        <v>0.0107601851851852</v>
      </c>
      <c r="E684" s="14" t="n">
        <v>679</v>
      </c>
      <c r="F684" s="15" t="n">
        <f aca="false">IF(D684="","",ROUND((D684-MIN($D$7:$D$9999))*86400,2))</f>
        <v>139.94</v>
      </c>
      <c r="G684" s="10" t="str">
        <f aca="false">IF(D684="","",IF(D684&lt;=($E$3*60+$F$3)/86400,"○",""))</f>
        <v/>
      </c>
      <c r="H684" s="16" t="n">
        <v>0.00667858796296296</v>
      </c>
      <c r="I684" s="17" t="n">
        <v>97</v>
      </c>
      <c r="J684" s="16" t="n">
        <v>0.00279768518518519</v>
      </c>
      <c r="K684" s="17" t="n">
        <v>273</v>
      </c>
      <c r="L684" s="17" t="n">
        <f aca="false">COUNT(E684,I684,K684)</f>
        <v>3</v>
      </c>
      <c r="M684" s="18" t="n">
        <f aca="false">(D684&lt;&gt;"")*(D684&lt;=($E$3*60+$F$3)/86400)+(H684&lt;&gt;"")*(H684&lt;=($I$3*60+$J$3)/86400)+(J684&lt;&gt;"")*(J684&lt;=($M$3*60+$N$3)/86400)</f>
        <v>0</v>
      </c>
      <c r="N684" s="20"/>
      <c r="O684" s="20"/>
      <c r="P684" s="20"/>
      <c r="Q684" s="19"/>
    </row>
    <row r="685" customFormat="false" ht="15" hidden="false" customHeight="false" outlineLevel="0" collapsed="false">
      <c r="A685" s="10" t="n">
        <v>679</v>
      </c>
      <c r="B685" s="11" t="s">
        <v>1147</v>
      </c>
      <c r="C685" s="12" t="s">
        <v>1148</v>
      </c>
      <c r="D685" s="13" t="n">
        <v>0.0107605324074074</v>
      </c>
      <c r="E685" s="14" t="n">
        <v>680</v>
      </c>
      <c r="F685" s="15" t="n">
        <f aca="false">IF(D685="","",ROUND((D685-MIN($D$7:$D$9999))*86400,2))</f>
        <v>139.97</v>
      </c>
      <c r="G685" s="10" t="str">
        <f aca="false">IF(D685="","",IF(D685&lt;=($E$3*60+$F$3)/86400,"○",""))</f>
        <v/>
      </c>
      <c r="H685" s="16"/>
      <c r="I685" s="17"/>
      <c r="J685" s="16"/>
      <c r="K685" s="17"/>
      <c r="L685" s="17" t="n">
        <f aca="false">COUNT(E685,I685,K685)</f>
        <v>1</v>
      </c>
      <c r="M685" s="18" t="n">
        <f aca="false">(D685&lt;&gt;"")*(D685&lt;=($E$3*60+$F$3)/86400)+(H685&lt;&gt;"")*(H685&lt;=($I$3*60+$J$3)/86400)+(J685&lt;&gt;"")*(J685&lt;=($M$3*60+$N$3)/86400)</f>
        <v>0</v>
      </c>
      <c r="N685" s="20"/>
      <c r="O685" s="20"/>
      <c r="P685" s="20"/>
      <c r="Q685" s="19"/>
    </row>
    <row r="686" customFormat="false" ht="15" hidden="false" customHeight="false" outlineLevel="0" collapsed="false">
      <c r="A686" s="10" t="n">
        <v>680</v>
      </c>
      <c r="B686" s="11" t="s">
        <v>1149</v>
      </c>
      <c r="C686" s="12" t="s">
        <v>1047</v>
      </c>
      <c r="D686" s="13" t="n">
        <v>0.0107609953703704</v>
      </c>
      <c r="E686" s="14" t="n">
        <v>681</v>
      </c>
      <c r="F686" s="15" t="n">
        <f aca="false">IF(D686="","",ROUND((D686-MIN($D$7:$D$9999))*86400,2))</f>
        <v>140.01</v>
      </c>
      <c r="G686" s="10" t="str">
        <f aca="false">IF(D686="","",IF(D686&lt;=($E$3*60+$F$3)/86400,"○",""))</f>
        <v/>
      </c>
      <c r="H686" s="16"/>
      <c r="I686" s="17"/>
      <c r="J686" s="16" t="n">
        <v>0.00288842592592593</v>
      </c>
      <c r="K686" s="17" t="n">
        <v>851</v>
      </c>
      <c r="L686" s="17" t="n">
        <f aca="false">COUNT(E686,I686,K686)</f>
        <v>2</v>
      </c>
      <c r="M686" s="18" t="n">
        <f aca="false">(D686&lt;&gt;"")*(D686&lt;=($E$3*60+$F$3)/86400)+(H686&lt;&gt;"")*(H686&lt;=($I$3*60+$J$3)/86400)+(J686&lt;&gt;"")*(J686&lt;=($M$3*60+$N$3)/86400)</f>
        <v>0</v>
      </c>
      <c r="N686" s="20"/>
      <c r="O686" s="20"/>
      <c r="P686" s="20"/>
      <c r="Q686" s="19"/>
    </row>
    <row r="687" customFormat="false" ht="15" hidden="false" customHeight="false" outlineLevel="0" collapsed="false">
      <c r="A687" s="10" t="n">
        <v>681</v>
      </c>
      <c r="B687" s="11" t="s">
        <v>1150</v>
      </c>
      <c r="C687" s="12" t="s">
        <v>1151</v>
      </c>
      <c r="D687" s="13" t="n">
        <v>0.0107611111111111</v>
      </c>
      <c r="E687" s="14" t="n">
        <v>682</v>
      </c>
      <c r="F687" s="15" t="n">
        <f aca="false">IF(D687="","",ROUND((D687-MIN($D$7:$D$9999))*86400,2))</f>
        <v>140.02</v>
      </c>
      <c r="G687" s="10" t="str">
        <f aca="false">IF(D687="","",IF(D687&lt;=($E$3*60+$F$3)/86400,"○",""))</f>
        <v/>
      </c>
      <c r="H687" s="16"/>
      <c r="I687" s="17"/>
      <c r="J687" s="16" t="n">
        <v>0.00288472222222222</v>
      </c>
      <c r="K687" s="17" t="n">
        <v>814</v>
      </c>
      <c r="L687" s="17" t="n">
        <f aca="false">COUNT(E687,I687,K687)</f>
        <v>2</v>
      </c>
      <c r="M687" s="18" t="n">
        <f aca="false">(D687&lt;&gt;"")*(D687&lt;=($E$3*60+$F$3)/86400)+(H687&lt;&gt;"")*(H687&lt;=($I$3*60+$J$3)/86400)+(J687&lt;&gt;"")*(J687&lt;=($M$3*60+$N$3)/86400)</f>
        <v>0</v>
      </c>
      <c r="N687" s="20"/>
      <c r="O687" s="20"/>
      <c r="P687" s="20"/>
      <c r="Q687" s="19"/>
    </row>
    <row r="688" customFormat="false" ht="15" hidden="false" customHeight="false" outlineLevel="0" collapsed="false">
      <c r="A688" s="10" t="n">
        <v>682</v>
      </c>
      <c r="B688" s="11" t="s">
        <v>1152</v>
      </c>
      <c r="C688" s="12" t="s">
        <v>824</v>
      </c>
      <c r="D688" s="13" t="n">
        <v>0.0107611111111111</v>
      </c>
      <c r="E688" s="14" t="n">
        <v>683</v>
      </c>
      <c r="F688" s="15" t="n">
        <f aca="false">IF(D688="","",ROUND((D688-MIN($D$7:$D$9999))*86400,2))</f>
        <v>140.02</v>
      </c>
      <c r="G688" s="10" t="str">
        <f aca="false">IF(D688="","",IF(D688&lt;=($E$3*60+$F$3)/86400,"○",""))</f>
        <v/>
      </c>
      <c r="H688" s="16" t="n">
        <v>0.00724259259259259</v>
      </c>
      <c r="I688" s="17" t="n">
        <v>588</v>
      </c>
      <c r="J688" s="16" t="n">
        <v>0.00284027777777778</v>
      </c>
      <c r="K688" s="17" t="n">
        <v>498</v>
      </c>
      <c r="L688" s="17" t="n">
        <f aca="false">COUNT(E688,I688,K688)</f>
        <v>3</v>
      </c>
      <c r="M688" s="18" t="n">
        <f aca="false">(D688&lt;&gt;"")*(D688&lt;=($E$3*60+$F$3)/86400)+(H688&lt;&gt;"")*(H688&lt;=($I$3*60+$J$3)/86400)+(J688&lt;&gt;"")*(J688&lt;=($M$3*60+$N$3)/86400)</f>
        <v>0</v>
      </c>
      <c r="N688" s="20"/>
      <c r="O688" s="20"/>
      <c r="P688" s="20"/>
      <c r="Q688" s="19"/>
    </row>
    <row r="689" customFormat="false" ht="15" hidden="false" customHeight="false" outlineLevel="0" collapsed="false">
      <c r="A689" s="10" t="n">
        <v>683</v>
      </c>
      <c r="B689" s="11" t="s">
        <v>1153</v>
      </c>
      <c r="C689" s="12" t="s">
        <v>1154</v>
      </c>
      <c r="D689" s="13" t="n">
        <v>0.0107622685185185</v>
      </c>
      <c r="E689" s="14" t="n">
        <v>684</v>
      </c>
      <c r="F689" s="15" t="n">
        <f aca="false">IF(D689="","",ROUND((D689-MIN($D$7:$D$9999))*86400,2))</f>
        <v>140.12</v>
      </c>
      <c r="G689" s="10" t="str">
        <f aca="false">IF(D689="","",IF(D689&lt;=($E$3*60+$F$3)/86400,"○",""))</f>
        <v/>
      </c>
      <c r="H689" s="16" t="n">
        <v>0.00711643518518519</v>
      </c>
      <c r="I689" s="17" t="n">
        <v>460</v>
      </c>
      <c r="J689" s="16" t="n">
        <v>0.00296215277777778</v>
      </c>
      <c r="K689" s="17" t="n">
        <v>1278</v>
      </c>
      <c r="L689" s="17" t="n">
        <f aca="false">COUNT(E689,I689,K689)</f>
        <v>3</v>
      </c>
      <c r="M689" s="18" t="n">
        <f aca="false">(D689&lt;&gt;"")*(D689&lt;=($E$3*60+$F$3)/86400)+(H689&lt;&gt;"")*(H689&lt;=($I$3*60+$J$3)/86400)+(J689&lt;&gt;"")*(J689&lt;=($M$3*60+$N$3)/86400)</f>
        <v>0</v>
      </c>
      <c r="N689" s="20"/>
      <c r="O689" s="20"/>
      <c r="P689" s="20"/>
      <c r="Q689" s="19"/>
    </row>
    <row r="690" customFormat="false" ht="15" hidden="false" customHeight="false" outlineLevel="0" collapsed="false">
      <c r="A690" s="10" t="n">
        <v>684</v>
      </c>
      <c r="B690" s="11" t="s">
        <v>1155</v>
      </c>
      <c r="C690" s="12" t="s">
        <v>40</v>
      </c>
      <c r="D690" s="13" t="n">
        <v>0.0107623842592593</v>
      </c>
      <c r="E690" s="14" t="n">
        <v>685</v>
      </c>
      <c r="F690" s="15" t="n">
        <f aca="false">IF(D690="","",ROUND((D690-MIN($D$7:$D$9999))*86400,2))</f>
        <v>140.13</v>
      </c>
      <c r="G690" s="10" t="str">
        <f aca="false">IF(D690="","",IF(D690&lt;=($E$3*60+$F$3)/86400,"○",""))</f>
        <v/>
      </c>
      <c r="H690" s="16"/>
      <c r="I690" s="17"/>
      <c r="J690" s="16" t="n">
        <v>0.00273078703703704</v>
      </c>
      <c r="K690" s="17" t="n">
        <v>66</v>
      </c>
      <c r="L690" s="17" t="n">
        <f aca="false">COUNT(E690,I690,K690)</f>
        <v>2</v>
      </c>
      <c r="M690" s="18" t="n">
        <f aca="false">(D690&lt;&gt;"")*(D690&lt;=($E$3*60+$F$3)/86400)+(H690&lt;&gt;"")*(H690&lt;=($I$3*60+$J$3)/86400)+(J690&lt;&gt;"")*(J690&lt;=($M$3*60+$N$3)/86400)</f>
        <v>0</v>
      </c>
      <c r="N690" s="20"/>
      <c r="O690" s="20" t="s">
        <v>1156</v>
      </c>
      <c r="P690" s="20"/>
      <c r="Q690" s="19"/>
    </row>
    <row r="691" customFormat="false" ht="15" hidden="false" customHeight="false" outlineLevel="0" collapsed="false">
      <c r="A691" s="10" t="n">
        <v>685</v>
      </c>
      <c r="B691" s="11" t="s">
        <v>1157</v>
      </c>
      <c r="C691" s="12" t="s">
        <v>595</v>
      </c>
      <c r="D691" s="13" t="n">
        <v>0.0107627314814815</v>
      </c>
      <c r="E691" s="14" t="n">
        <v>686</v>
      </c>
      <c r="F691" s="15" t="n">
        <f aca="false">IF(D691="","",ROUND((D691-MIN($D$7:$D$9999))*86400,2))</f>
        <v>140.16</v>
      </c>
      <c r="G691" s="10" t="str">
        <f aca="false">IF(D691="","",IF(D691&lt;=($E$3*60+$F$3)/86400,"○",""))</f>
        <v/>
      </c>
      <c r="H691" s="16"/>
      <c r="I691" s="17"/>
      <c r="J691" s="16" t="n">
        <v>0.00278125</v>
      </c>
      <c r="K691" s="17" t="n">
        <v>207</v>
      </c>
      <c r="L691" s="17" t="n">
        <f aca="false">COUNT(E691,I691,K691)</f>
        <v>2</v>
      </c>
      <c r="M691" s="18" t="n">
        <f aca="false">(D691&lt;&gt;"")*(D691&lt;=($E$3*60+$F$3)/86400)+(H691&lt;&gt;"")*(H691&lt;=($I$3*60+$J$3)/86400)+(J691&lt;&gt;"")*(J691&lt;=($M$3*60+$N$3)/86400)</f>
        <v>0</v>
      </c>
      <c r="N691" s="20" t="s">
        <v>1158</v>
      </c>
      <c r="O691" s="20"/>
      <c r="P691" s="20"/>
      <c r="Q691" s="19"/>
    </row>
    <row r="692" customFormat="false" ht="15" hidden="false" customHeight="false" outlineLevel="0" collapsed="false">
      <c r="A692" s="10" t="n">
        <v>686</v>
      </c>
      <c r="B692" s="11" t="s">
        <v>1159</v>
      </c>
      <c r="C692" s="12" t="s">
        <v>1160</v>
      </c>
      <c r="D692" s="13" t="n">
        <v>0.0107634259259259</v>
      </c>
      <c r="E692" s="14" t="n">
        <v>687</v>
      </c>
      <c r="F692" s="15" t="n">
        <f aca="false">IF(D692="","",ROUND((D692-MIN($D$7:$D$9999))*86400,2))</f>
        <v>140.22</v>
      </c>
      <c r="G692" s="10" t="str">
        <f aca="false">IF(D692="","",IF(D692&lt;=($E$3*60+$F$3)/86400,"○",""))</f>
        <v/>
      </c>
      <c r="H692" s="16"/>
      <c r="I692" s="17"/>
      <c r="J692" s="16" t="n">
        <v>0.00283310185185185</v>
      </c>
      <c r="K692" s="17" t="n">
        <v>446</v>
      </c>
      <c r="L692" s="17" t="n">
        <f aca="false">COUNT(E692,I692,K692)</f>
        <v>2</v>
      </c>
      <c r="M692" s="18" t="n">
        <f aca="false">(D692&lt;&gt;"")*(D692&lt;=($E$3*60+$F$3)/86400)+(H692&lt;&gt;"")*(H692&lt;=($I$3*60+$J$3)/86400)+(J692&lt;&gt;"")*(J692&lt;=($M$3*60+$N$3)/86400)</f>
        <v>0</v>
      </c>
      <c r="N692" s="20"/>
      <c r="O692" s="20"/>
      <c r="P692" s="20"/>
      <c r="Q692" s="19"/>
    </row>
    <row r="693" customFormat="false" ht="15" hidden="false" customHeight="false" outlineLevel="0" collapsed="false">
      <c r="A693" s="10" t="n">
        <v>687</v>
      </c>
      <c r="B693" s="11" t="s">
        <v>1161</v>
      </c>
      <c r="C693" s="12" t="s">
        <v>207</v>
      </c>
      <c r="D693" s="13" t="n">
        <v>0.0107644675925926</v>
      </c>
      <c r="E693" s="14" t="n">
        <v>688</v>
      </c>
      <c r="F693" s="15" t="n">
        <f aca="false">IF(D693="","",ROUND((D693-MIN($D$7:$D$9999))*86400,2))</f>
        <v>140.31</v>
      </c>
      <c r="G693" s="10" t="str">
        <f aca="false">IF(D693="","",IF(D693&lt;=($E$3*60+$F$3)/86400,"○",""))</f>
        <v/>
      </c>
      <c r="H693" s="16"/>
      <c r="I693" s="17"/>
      <c r="J693" s="16"/>
      <c r="K693" s="17"/>
      <c r="L693" s="17" t="n">
        <f aca="false">COUNT(E693,I693,K693)</f>
        <v>1</v>
      </c>
      <c r="M693" s="18" t="n">
        <f aca="false">(D693&lt;&gt;"")*(D693&lt;=($E$3*60+$F$3)/86400)+(H693&lt;&gt;"")*(H693&lt;=($I$3*60+$J$3)/86400)+(J693&lt;&gt;"")*(J693&lt;=($M$3*60+$N$3)/86400)</f>
        <v>0</v>
      </c>
      <c r="N693" s="20"/>
      <c r="O693" s="20"/>
      <c r="P693" s="20"/>
      <c r="Q693" s="19"/>
    </row>
    <row r="694" customFormat="false" ht="15" hidden="false" customHeight="false" outlineLevel="0" collapsed="false">
      <c r="A694" s="10" t="n">
        <v>688</v>
      </c>
      <c r="B694" s="11" t="s">
        <v>1162</v>
      </c>
      <c r="C694" s="12" t="s">
        <v>51</v>
      </c>
      <c r="D694" s="13" t="n">
        <v>0.0107644675925926</v>
      </c>
      <c r="E694" s="14" t="n">
        <v>689</v>
      </c>
      <c r="F694" s="15" t="n">
        <f aca="false">IF(D694="","",ROUND((D694-MIN($D$7:$D$9999))*86400,2))</f>
        <v>140.31</v>
      </c>
      <c r="G694" s="10" t="str">
        <f aca="false">IF(D694="","",IF(D694&lt;=($E$3*60+$F$3)/86400,"○",""))</f>
        <v/>
      </c>
      <c r="H694" s="16"/>
      <c r="I694" s="17"/>
      <c r="J694" s="16" t="n">
        <v>0.00291087962962963</v>
      </c>
      <c r="K694" s="17" t="n">
        <v>1027</v>
      </c>
      <c r="L694" s="17" t="n">
        <f aca="false">COUNT(E694,I694,K694)</f>
        <v>2</v>
      </c>
      <c r="M694" s="18" t="n">
        <f aca="false">(D694&lt;&gt;"")*(D694&lt;=($E$3*60+$F$3)/86400)+(H694&lt;&gt;"")*(H694&lt;=($I$3*60+$J$3)/86400)+(J694&lt;&gt;"")*(J694&lt;=($M$3*60+$N$3)/86400)</f>
        <v>0</v>
      </c>
      <c r="N694" s="20"/>
      <c r="O694" s="20"/>
      <c r="P694" s="20"/>
      <c r="Q694" s="19"/>
    </row>
    <row r="695" customFormat="false" ht="15" hidden="false" customHeight="false" outlineLevel="0" collapsed="false">
      <c r="A695" s="10" t="n">
        <v>689</v>
      </c>
      <c r="B695" s="11" t="s">
        <v>1163</v>
      </c>
      <c r="C695" s="12" t="s">
        <v>259</v>
      </c>
      <c r="D695" s="13" t="n">
        <v>0.0107650462962963</v>
      </c>
      <c r="E695" s="14" t="n">
        <v>690</v>
      </c>
      <c r="F695" s="15" t="n">
        <f aca="false">IF(D695="","",ROUND((D695-MIN($D$7:$D$9999))*86400,2))</f>
        <v>140.36</v>
      </c>
      <c r="G695" s="10" t="str">
        <f aca="false">IF(D695="","",IF(D695&lt;=($E$3*60+$F$3)/86400,"○",""))</f>
        <v/>
      </c>
      <c r="H695" s="16"/>
      <c r="I695" s="17"/>
      <c r="J695" s="16"/>
      <c r="K695" s="17"/>
      <c r="L695" s="17" t="n">
        <f aca="false">COUNT(E695,I695,K695)</f>
        <v>1</v>
      </c>
      <c r="M695" s="18" t="n">
        <f aca="false">(D695&lt;&gt;"")*(D695&lt;=($E$3*60+$F$3)/86400)+(H695&lt;&gt;"")*(H695&lt;=($I$3*60+$J$3)/86400)+(J695&lt;&gt;"")*(J695&lt;=($M$3*60+$N$3)/86400)</f>
        <v>0</v>
      </c>
      <c r="N695" s="20"/>
      <c r="O695" s="20" t="s">
        <v>1164</v>
      </c>
      <c r="P695" s="20"/>
      <c r="Q695" s="19"/>
    </row>
    <row r="696" customFormat="false" ht="15" hidden="false" customHeight="false" outlineLevel="0" collapsed="false">
      <c r="A696" s="10" t="n">
        <v>690</v>
      </c>
      <c r="B696" s="11" t="s">
        <v>1165</v>
      </c>
      <c r="C696" s="12" t="s">
        <v>1166</v>
      </c>
      <c r="D696" s="13" t="n">
        <v>0.010765162037037</v>
      </c>
      <c r="E696" s="14" t="n">
        <v>691</v>
      </c>
      <c r="F696" s="15" t="n">
        <f aca="false">IF(D696="","",ROUND((D696-MIN($D$7:$D$9999))*86400,2))</f>
        <v>140.37</v>
      </c>
      <c r="G696" s="10" t="str">
        <f aca="false">IF(D696="","",IF(D696&lt;=($E$3*60+$F$3)/86400,"○",""))</f>
        <v/>
      </c>
      <c r="H696" s="16"/>
      <c r="I696" s="17"/>
      <c r="J696" s="16" t="n">
        <v>0.00282233796296296</v>
      </c>
      <c r="K696" s="17" t="n">
        <v>376</v>
      </c>
      <c r="L696" s="17" t="n">
        <f aca="false">COUNT(E696,I696,K696)</f>
        <v>2</v>
      </c>
      <c r="M696" s="18" t="n">
        <f aca="false">(D696&lt;&gt;"")*(D696&lt;=($E$3*60+$F$3)/86400)+(H696&lt;&gt;"")*(H696&lt;=($I$3*60+$J$3)/86400)+(J696&lt;&gt;"")*(J696&lt;=($M$3*60+$N$3)/86400)</f>
        <v>0</v>
      </c>
      <c r="N696" s="20" t="s">
        <v>1167</v>
      </c>
      <c r="O696" s="20"/>
      <c r="P696" s="20"/>
      <c r="Q696" s="19"/>
    </row>
    <row r="697" customFormat="false" ht="15" hidden="false" customHeight="false" outlineLevel="0" collapsed="false">
      <c r="A697" s="10" t="n">
        <v>691</v>
      </c>
      <c r="B697" s="11" t="s">
        <v>1168</v>
      </c>
      <c r="C697" s="12" t="s">
        <v>155</v>
      </c>
      <c r="D697" s="13" t="n">
        <v>0.0107659722222222</v>
      </c>
      <c r="E697" s="14" t="n">
        <v>692</v>
      </c>
      <c r="F697" s="15" t="n">
        <f aca="false">IF(D697="","",ROUND((D697-MIN($D$7:$D$9999))*86400,2))</f>
        <v>140.44</v>
      </c>
      <c r="G697" s="10" t="str">
        <f aca="false">IF(D697="","",IF(D697&lt;=($E$3*60+$F$3)/86400,"○",""))</f>
        <v/>
      </c>
      <c r="H697" s="16" t="n">
        <v>0.00668391203703704</v>
      </c>
      <c r="I697" s="17" t="n">
        <v>101</v>
      </c>
      <c r="J697" s="16" t="n">
        <v>0.00280405092592593</v>
      </c>
      <c r="K697" s="17" t="n">
        <v>300</v>
      </c>
      <c r="L697" s="17" t="n">
        <f aca="false">COUNT(E697,I697,K697)</f>
        <v>3</v>
      </c>
      <c r="M697" s="18" t="n">
        <f aca="false">(D697&lt;&gt;"")*(D697&lt;=($E$3*60+$F$3)/86400)+(H697&lt;&gt;"")*(H697&lt;=($I$3*60+$J$3)/86400)+(J697&lt;&gt;"")*(J697&lt;=($M$3*60+$N$3)/86400)</f>
        <v>0</v>
      </c>
      <c r="N697" s="20"/>
      <c r="O697" s="20"/>
      <c r="P697" s="20"/>
      <c r="Q697" s="19"/>
    </row>
    <row r="698" customFormat="false" ht="15" hidden="false" customHeight="false" outlineLevel="0" collapsed="false">
      <c r="A698" s="10" t="n">
        <v>692</v>
      </c>
      <c r="B698" s="11" t="s">
        <v>1169</v>
      </c>
      <c r="C698" s="12" t="s">
        <v>73</v>
      </c>
      <c r="D698" s="13" t="n">
        <v>0.010766087962963</v>
      </c>
      <c r="E698" s="14" t="n">
        <v>693</v>
      </c>
      <c r="F698" s="15" t="n">
        <f aca="false">IF(D698="","",ROUND((D698-MIN($D$7:$D$9999))*86400,2))</f>
        <v>140.45</v>
      </c>
      <c r="G698" s="10" t="str">
        <f aca="false">IF(D698="","",IF(D698&lt;=($E$3*60+$F$3)/86400,"○",""))</f>
        <v/>
      </c>
      <c r="H698" s="16"/>
      <c r="I698" s="17"/>
      <c r="J698" s="16"/>
      <c r="K698" s="17"/>
      <c r="L698" s="17" t="n">
        <f aca="false">COUNT(E698,I698,K698)</f>
        <v>1</v>
      </c>
      <c r="M698" s="18" t="n">
        <f aca="false">(D698&lt;&gt;"")*(D698&lt;=($E$3*60+$F$3)/86400)+(H698&lt;&gt;"")*(H698&lt;=($I$3*60+$J$3)/86400)+(J698&lt;&gt;"")*(J698&lt;=($M$3*60+$N$3)/86400)</f>
        <v>0</v>
      </c>
      <c r="N698" s="20"/>
      <c r="O698" s="20"/>
      <c r="P698" s="20"/>
      <c r="Q698" s="19"/>
    </row>
    <row r="699" customFormat="false" ht="15" hidden="false" customHeight="false" outlineLevel="0" collapsed="false">
      <c r="A699" s="10" t="n">
        <v>693</v>
      </c>
      <c r="B699" s="11" t="s">
        <v>1170</v>
      </c>
      <c r="C699" s="12" t="s">
        <v>417</v>
      </c>
      <c r="D699" s="13" t="n">
        <v>0.0107679398148148</v>
      </c>
      <c r="E699" s="14" t="n">
        <v>694</v>
      </c>
      <c r="F699" s="15" t="n">
        <f aca="false">IF(D699="","",ROUND((D699-MIN($D$7:$D$9999))*86400,2))</f>
        <v>140.61</v>
      </c>
      <c r="G699" s="10" t="str">
        <f aca="false">IF(D699="","",IF(D699&lt;=($E$3*60+$F$3)/86400,"○",""))</f>
        <v/>
      </c>
      <c r="H699" s="16"/>
      <c r="I699" s="17"/>
      <c r="J699" s="16"/>
      <c r="K699" s="17"/>
      <c r="L699" s="17" t="n">
        <f aca="false">COUNT(E699,I699,K699)</f>
        <v>1</v>
      </c>
      <c r="M699" s="18" t="n">
        <f aca="false">(D699&lt;&gt;"")*(D699&lt;=($E$3*60+$F$3)/86400)+(H699&lt;&gt;"")*(H699&lt;=($I$3*60+$J$3)/86400)+(J699&lt;&gt;"")*(J699&lt;=($M$3*60+$N$3)/86400)</f>
        <v>0</v>
      </c>
      <c r="N699" s="20"/>
      <c r="O699" s="20"/>
      <c r="P699" s="20"/>
      <c r="Q699" s="19"/>
    </row>
    <row r="700" customFormat="false" ht="15" hidden="false" customHeight="false" outlineLevel="0" collapsed="false">
      <c r="A700" s="10" t="n">
        <v>694</v>
      </c>
      <c r="B700" s="11" t="s">
        <v>1171</v>
      </c>
      <c r="C700" s="12" t="s">
        <v>250</v>
      </c>
      <c r="D700" s="13" t="n">
        <v>0.0107696759259259</v>
      </c>
      <c r="E700" s="14" t="n">
        <v>695</v>
      </c>
      <c r="F700" s="15" t="n">
        <f aca="false">IF(D700="","",ROUND((D700-MIN($D$7:$D$9999))*86400,2))</f>
        <v>140.76</v>
      </c>
      <c r="G700" s="10" t="str">
        <f aca="false">IF(D700="","",IF(D700&lt;=($E$3*60+$F$3)/86400,"○",""))</f>
        <v/>
      </c>
      <c r="H700" s="16"/>
      <c r="I700" s="17"/>
      <c r="J700" s="16" t="n">
        <v>0.00287800925925926</v>
      </c>
      <c r="K700" s="17" t="n">
        <v>753</v>
      </c>
      <c r="L700" s="17" t="n">
        <f aca="false">COUNT(E700,I700,K700)</f>
        <v>2</v>
      </c>
      <c r="M700" s="18" t="n">
        <f aca="false">(D700&lt;&gt;"")*(D700&lt;=($E$3*60+$F$3)/86400)+(H700&lt;&gt;"")*(H700&lt;=($I$3*60+$J$3)/86400)+(J700&lt;&gt;"")*(J700&lt;=($M$3*60+$N$3)/86400)</f>
        <v>0</v>
      </c>
      <c r="N700" s="20"/>
      <c r="O700" s="20"/>
      <c r="P700" s="20"/>
      <c r="Q700" s="19"/>
    </row>
    <row r="701" customFormat="false" ht="15" hidden="false" customHeight="false" outlineLevel="0" collapsed="false">
      <c r="A701" s="10" t="n">
        <v>695</v>
      </c>
      <c r="B701" s="11" t="s">
        <v>1172</v>
      </c>
      <c r="C701" s="12" t="s">
        <v>515</v>
      </c>
      <c r="D701" s="13" t="n">
        <v>0.0107704861111111</v>
      </c>
      <c r="E701" s="14" t="n">
        <v>696</v>
      </c>
      <c r="F701" s="15" t="n">
        <f aca="false">IF(D701="","",ROUND((D701-MIN($D$7:$D$9999))*86400,2))</f>
        <v>140.83</v>
      </c>
      <c r="G701" s="10" t="str">
        <f aca="false">IF(D701="","",IF(D701&lt;=($E$3*60+$F$3)/86400,"○",""))</f>
        <v/>
      </c>
      <c r="H701" s="16" t="n">
        <v>0.008159375</v>
      </c>
      <c r="I701" s="17" t="n">
        <v>1223</v>
      </c>
      <c r="J701" s="16" t="n">
        <v>0.00288263888888889</v>
      </c>
      <c r="K701" s="17" t="n">
        <v>797</v>
      </c>
      <c r="L701" s="17" t="n">
        <f aca="false">COUNT(E701,I701,K701)</f>
        <v>3</v>
      </c>
      <c r="M701" s="18" t="n">
        <f aca="false">(D701&lt;&gt;"")*(D701&lt;=($E$3*60+$F$3)/86400)+(H701&lt;&gt;"")*(H701&lt;=($I$3*60+$J$3)/86400)+(J701&lt;&gt;"")*(J701&lt;=($M$3*60+$N$3)/86400)</f>
        <v>0</v>
      </c>
      <c r="N701" s="20"/>
      <c r="O701" s="20"/>
      <c r="P701" s="20"/>
      <c r="Q701" s="19"/>
    </row>
    <row r="702" customFormat="false" ht="15" hidden="false" customHeight="false" outlineLevel="0" collapsed="false">
      <c r="A702" s="10" t="n">
        <v>696</v>
      </c>
      <c r="B702" s="11" t="s">
        <v>1173</v>
      </c>
      <c r="C702" s="12" t="s">
        <v>525</v>
      </c>
      <c r="D702" s="13" t="n">
        <v>0.0107707175925926</v>
      </c>
      <c r="E702" s="14" t="n">
        <v>697</v>
      </c>
      <c r="F702" s="15" t="n">
        <f aca="false">IF(D702="","",ROUND((D702-MIN($D$7:$D$9999))*86400,2))</f>
        <v>140.85</v>
      </c>
      <c r="G702" s="10" t="str">
        <f aca="false">IF(D702="","",IF(D702&lt;=($E$3*60+$F$3)/86400,"○",""))</f>
        <v/>
      </c>
      <c r="H702" s="16"/>
      <c r="I702" s="17"/>
      <c r="J702" s="16" t="n">
        <v>0.00276678240740741</v>
      </c>
      <c r="K702" s="17" t="n">
        <v>155</v>
      </c>
      <c r="L702" s="17" t="n">
        <f aca="false">COUNT(E702,I702,K702)</f>
        <v>2</v>
      </c>
      <c r="M702" s="18" t="n">
        <f aca="false">(D702&lt;&gt;"")*(D702&lt;=($E$3*60+$F$3)/86400)+(H702&lt;&gt;"")*(H702&lt;=($I$3*60+$J$3)/86400)+(J702&lt;&gt;"")*(J702&lt;=($M$3*60+$N$3)/86400)</f>
        <v>0</v>
      </c>
      <c r="N702" s="20" t="s">
        <v>768</v>
      </c>
      <c r="O702" s="20"/>
      <c r="P702" s="20"/>
      <c r="Q702" s="19"/>
    </row>
    <row r="703" customFormat="false" ht="15" hidden="false" customHeight="false" outlineLevel="0" collapsed="false">
      <c r="A703" s="10" t="n">
        <v>697</v>
      </c>
      <c r="B703" s="11" t="s">
        <v>1174</v>
      </c>
      <c r="C703" s="12" t="s">
        <v>1175</v>
      </c>
      <c r="D703" s="13" t="n">
        <v>0.010771412037037</v>
      </c>
      <c r="E703" s="14" t="n">
        <v>698</v>
      </c>
      <c r="F703" s="15" t="n">
        <f aca="false">IF(D703="","",ROUND((D703-MIN($D$7:$D$9999))*86400,2))</f>
        <v>140.91</v>
      </c>
      <c r="G703" s="10" t="str">
        <f aca="false">IF(D703="","",IF(D703&lt;=($E$3*60+$F$3)/86400,"○",""))</f>
        <v/>
      </c>
      <c r="H703" s="16"/>
      <c r="I703" s="17"/>
      <c r="J703" s="16"/>
      <c r="K703" s="17"/>
      <c r="L703" s="17" t="n">
        <f aca="false">COUNT(E703,I703,K703)</f>
        <v>1</v>
      </c>
      <c r="M703" s="18" t="n">
        <f aca="false">(D703&lt;&gt;"")*(D703&lt;=($E$3*60+$F$3)/86400)+(H703&lt;&gt;"")*(H703&lt;=($I$3*60+$J$3)/86400)+(J703&lt;&gt;"")*(J703&lt;=($M$3*60+$N$3)/86400)</f>
        <v>0</v>
      </c>
      <c r="N703" s="20"/>
      <c r="O703" s="20"/>
      <c r="P703" s="20"/>
      <c r="Q703" s="19"/>
    </row>
    <row r="704" customFormat="false" ht="15" hidden="false" customHeight="false" outlineLevel="0" collapsed="false">
      <c r="A704" s="10" t="n">
        <v>698</v>
      </c>
      <c r="B704" s="11" t="s">
        <v>1176</v>
      </c>
      <c r="C704" s="12" t="s">
        <v>629</v>
      </c>
      <c r="D704" s="13" t="n">
        <v>0.0107715277777778</v>
      </c>
      <c r="E704" s="14" t="n">
        <v>699</v>
      </c>
      <c r="F704" s="15" t="n">
        <f aca="false">IF(D704="","",ROUND((D704-MIN($D$7:$D$9999))*86400,2))</f>
        <v>140.92</v>
      </c>
      <c r="G704" s="10" t="str">
        <f aca="false">IF(D704="","",IF(D704&lt;=($E$3*60+$F$3)/86400,"○",""))</f>
        <v/>
      </c>
      <c r="H704" s="16"/>
      <c r="I704" s="17"/>
      <c r="J704" s="16" t="n">
        <v>0.00280983796296296</v>
      </c>
      <c r="K704" s="17" t="n">
        <v>324</v>
      </c>
      <c r="L704" s="17" t="n">
        <f aca="false">COUNT(E704,I704,K704)</f>
        <v>2</v>
      </c>
      <c r="M704" s="18" t="n">
        <f aca="false">(D704&lt;&gt;"")*(D704&lt;=($E$3*60+$F$3)/86400)+(H704&lt;&gt;"")*(H704&lt;=($I$3*60+$J$3)/86400)+(J704&lt;&gt;"")*(J704&lt;=($M$3*60+$N$3)/86400)</f>
        <v>0</v>
      </c>
      <c r="N704" s="20"/>
      <c r="O704" s="20"/>
      <c r="P704" s="20"/>
      <c r="Q704" s="19"/>
    </row>
    <row r="705" customFormat="false" ht="15" hidden="false" customHeight="false" outlineLevel="0" collapsed="false">
      <c r="A705" s="10" t="n">
        <v>699</v>
      </c>
      <c r="B705" s="11" t="s">
        <v>1177</v>
      </c>
      <c r="C705" s="12" t="s">
        <v>1178</v>
      </c>
      <c r="D705" s="13" t="n">
        <v>0.0107717592592593</v>
      </c>
      <c r="E705" s="14" t="n">
        <v>700</v>
      </c>
      <c r="F705" s="15" t="n">
        <f aca="false">IF(D705="","",ROUND((D705-MIN($D$7:$D$9999))*86400,2))</f>
        <v>140.94</v>
      </c>
      <c r="G705" s="10" t="str">
        <f aca="false">IF(D705="","",IF(D705&lt;=($E$3*60+$F$3)/86400,"○",""))</f>
        <v/>
      </c>
      <c r="H705" s="16"/>
      <c r="I705" s="17"/>
      <c r="J705" s="16" t="n">
        <v>0.00281064814814815</v>
      </c>
      <c r="K705" s="17" t="n">
        <v>325</v>
      </c>
      <c r="L705" s="17" t="n">
        <f aca="false">COUNT(E705,I705,K705)</f>
        <v>2</v>
      </c>
      <c r="M705" s="18" t="n">
        <f aca="false">(D705&lt;&gt;"")*(D705&lt;=($E$3*60+$F$3)/86400)+(H705&lt;&gt;"")*(H705&lt;=($I$3*60+$J$3)/86400)+(J705&lt;&gt;"")*(J705&lt;=($M$3*60+$N$3)/86400)</f>
        <v>0</v>
      </c>
      <c r="N705" s="20"/>
      <c r="O705" s="20"/>
      <c r="P705" s="20"/>
      <c r="Q705" s="19"/>
    </row>
    <row r="706" customFormat="false" ht="15" hidden="false" customHeight="false" outlineLevel="0" collapsed="false">
      <c r="A706" s="10" t="n">
        <v>700</v>
      </c>
      <c r="B706" s="11" t="s">
        <v>1179</v>
      </c>
      <c r="C706" s="12" t="s">
        <v>711</v>
      </c>
      <c r="D706" s="13" t="n">
        <v>0.010772337962963</v>
      </c>
      <c r="E706" s="14" t="n">
        <v>701</v>
      </c>
      <c r="F706" s="15" t="n">
        <f aca="false">IF(D706="","",ROUND((D706-MIN($D$7:$D$9999))*86400,2))</f>
        <v>140.99</v>
      </c>
      <c r="G706" s="10" t="str">
        <f aca="false">IF(D706="","",IF(D706&lt;=($E$3*60+$F$3)/86400,"○",""))</f>
        <v/>
      </c>
      <c r="H706" s="16"/>
      <c r="I706" s="17"/>
      <c r="J706" s="16" t="n">
        <v>0.00285300925925926</v>
      </c>
      <c r="K706" s="17" t="n">
        <v>586</v>
      </c>
      <c r="L706" s="17" t="n">
        <f aca="false">COUNT(E706,I706,K706)</f>
        <v>2</v>
      </c>
      <c r="M706" s="18" t="n">
        <f aca="false">(D706&lt;&gt;"")*(D706&lt;=($E$3*60+$F$3)/86400)+(H706&lt;&gt;"")*(H706&lt;=($I$3*60+$J$3)/86400)+(J706&lt;&gt;"")*(J706&lt;=($M$3*60+$N$3)/86400)</f>
        <v>0</v>
      </c>
      <c r="N706" s="20"/>
      <c r="O706" s="20"/>
      <c r="P706" s="20"/>
      <c r="Q706" s="19"/>
    </row>
    <row r="707" customFormat="false" ht="15" hidden="false" customHeight="false" outlineLevel="0" collapsed="false">
      <c r="A707" s="10" t="n">
        <v>701</v>
      </c>
      <c r="B707" s="11" t="s">
        <v>1180</v>
      </c>
      <c r="C707" s="12" t="s">
        <v>1181</v>
      </c>
      <c r="D707" s="13" t="n">
        <v>0.0107753472222222</v>
      </c>
      <c r="E707" s="14" t="n">
        <v>702</v>
      </c>
      <c r="F707" s="15" t="n">
        <f aca="false">IF(D707="","",ROUND((D707-MIN($D$7:$D$9999))*86400,2))</f>
        <v>141.25</v>
      </c>
      <c r="G707" s="10" t="str">
        <f aca="false">IF(D707="","",IF(D707&lt;=($E$3*60+$F$3)/86400,"○",""))</f>
        <v/>
      </c>
      <c r="H707" s="16"/>
      <c r="I707" s="17"/>
      <c r="J707" s="16" t="n">
        <v>0.00291145833333333</v>
      </c>
      <c r="K707" s="17" t="n">
        <v>1033</v>
      </c>
      <c r="L707" s="17" t="n">
        <f aca="false">COUNT(E707,I707,K707)</f>
        <v>2</v>
      </c>
      <c r="M707" s="18" t="n">
        <f aca="false">(D707&lt;&gt;"")*(D707&lt;=($E$3*60+$F$3)/86400)+(H707&lt;&gt;"")*(H707&lt;=($I$3*60+$J$3)/86400)+(J707&lt;&gt;"")*(J707&lt;=($M$3*60+$N$3)/86400)</f>
        <v>0</v>
      </c>
      <c r="N707" s="20"/>
      <c r="O707" s="20"/>
      <c r="P707" s="20"/>
      <c r="Q707" s="19"/>
    </row>
    <row r="708" customFormat="false" ht="15" hidden="false" customHeight="false" outlineLevel="0" collapsed="false">
      <c r="A708" s="10" t="n">
        <v>702</v>
      </c>
      <c r="B708" s="11" t="s">
        <v>1182</v>
      </c>
      <c r="C708" s="12" t="s">
        <v>1131</v>
      </c>
      <c r="D708" s="13" t="n">
        <v>0.0107763888888889</v>
      </c>
      <c r="E708" s="14" t="n">
        <v>703</v>
      </c>
      <c r="F708" s="15" t="n">
        <f aca="false">IF(D708="","",ROUND((D708-MIN($D$7:$D$9999))*86400,2))</f>
        <v>141.34</v>
      </c>
      <c r="G708" s="10" t="str">
        <f aca="false">IF(D708="","",IF(D708&lt;=($E$3*60+$F$3)/86400,"○",""))</f>
        <v/>
      </c>
      <c r="H708" s="16"/>
      <c r="I708" s="17"/>
      <c r="J708" s="16"/>
      <c r="K708" s="17"/>
      <c r="L708" s="17" t="n">
        <f aca="false">COUNT(E708,I708,K708)</f>
        <v>1</v>
      </c>
      <c r="M708" s="18" t="n">
        <f aca="false">(D708&lt;&gt;"")*(D708&lt;=($E$3*60+$F$3)/86400)+(H708&lt;&gt;"")*(H708&lt;=($I$3*60+$J$3)/86400)+(J708&lt;&gt;"")*(J708&lt;=($M$3*60+$N$3)/86400)</f>
        <v>0</v>
      </c>
      <c r="N708" s="20" t="s">
        <v>738</v>
      </c>
      <c r="O708" s="20"/>
      <c r="P708" s="20"/>
      <c r="Q708" s="19"/>
    </row>
    <row r="709" customFormat="false" ht="15" hidden="false" customHeight="false" outlineLevel="0" collapsed="false">
      <c r="A709" s="10" t="n">
        <v>703</v>
      </c>
      <c r="B709" s="11" t="s">
        <v>1183</v>
      </c>
      <c r="C709" s="12" t="s">
        <v>1184</v>
      </c>
      <c r="D709" s="13" t="n">
        <v>0.0107768518518519</v>
      </c>
      <c r="E709" s="14" t="n">
        <v>704</v>
      </c>
      <c r="F709" s="15" t="n">
        <f aca="false">IF(D709="","",ROUND((D709-MIN($D$7:$D$9999))*86400,2))</f>
        <v>141.38</v>
      </c>
      <c r="G709" s="10" t="str">
        <f aca="false">IF(D709="","",IF(D709&lt;=($E$3*60+$F$3)/86400,"○",""))</f>
        <v/>
      </c>
      <c r="H709" s="16"/>
      <c r="I709" s="17"/>
      <c r="J709" s="16" t="n">
        <v>0.00275601851851852</v>
      </c>
      <c r="K709" s="17" t="n">
        <v>123</v>
      </c>
      <c r="L709" s="17" t="n">
        <f aca="false">COUNT(E709,I709,K709)</f>
        <v>2</v>
      </c>
      <c r="M709" s="18" t="n">
        <f aca="false">(D709&lt;&gt;"")*(D709&lt;=($E$3*60+$F$3)/86400)+(H709&lt;&gt;"")*(H709&lt;=($I$3*60+$J$3)/86400)+(J709&lt;&gt;"")*(J709&lt;=($M$3*60+$N$3)/86400)</f>
        <v>0</v>
      </c>
      <c r="N709" s="20"/>
      <c r="O709" s="20"/>
      <c r="P709" s="20"/>
      <c r="Q709" s="19"/>
    </row>
    <row r="710" customFormat="false" ht="15" hidden="false" customHeight="false" outlineLevel="0" collapsed="false">
      <c r="A710" s="10" t="n">
        <v>704</v>
      </c>
      <c r="B710" s="11" t="s">
        <v>1185</v>
      </c>
      <c r="C710" s="12" t="s">
        <v>629</v>
      </c>
      <c r="D710" s="13" t="n">
        <v>0.0107778935185185</v>
      </c>
      <c r="E710" s="14" t="n">
        <v>705</v>
      </c>
      <c r="F710" s="15" t="n">
        <f aca="false">IF(D710="","",ROUND((D710-MIN($D$7:$D$9999))*86400,2))</f>
        <v>141.47</v>
      </c>
      <c r="G710" s="10" t="str">
        <f aca="false">IF(D710="","",IF(D710&lt;=($E$3*60+$F$3)/86400,"○",""))</f>
        <v/>
      </c>
      <c r="H710" s="16" t="n">
        <v>0.0066275462962963</v>
      </c>
      <c r="I710" s="17" t="n">
        <v>73</v>
      </c>
      <c r="J710" s="16" t="n">
        <v>0.00289895833333333</v>
      </c>
      <c r="K710" s="17" t="n">
        <v>938</v>
      </c>
      <c r="L710" s="17" t="n">
        <f aca="false">COUNT(E710,I710,K710)</f>
        <v>3</v>
      </c>
      <c r="M710" s="18" t="n">
        <f aca="false">(D710&lt;&gt;"")*(D710&lt;=($E$3*60+$F$3)/86400)+(H710&lt;&gt;"")*(H710&lt;=($I$3*60+$J$3)/86400)+(J710&lt;&gt;"")*(J710&lt;=($M$3*60+$N$3)/86400)</f>
        <v>0</v>
      </c>
      <c r="N710" s="20" t="s">
        <v>1186</v>
      </c>
      <c r="O710" s="20"/>
      <c r="P710" s="20"/>
      <c r="Q710" s="19"/>
    </row>
    <row r="711" customFormat="false" ht="15" hidden="false" customHeight="false" outlineLevel="0" collapsed="false">
      <c r="A711" s="10" t="n">
        <v>705</v>
      </c>
      <c r="B711" s="11" t="s">
        <v>1187</v>
      </c>
      <c r="C711" s="12" t="s">
        <v>1188</v>
      </c>
      <c r="D711" s="13" t="n">
        <v>0.0107795138888889</v>
      </c>
      <c r="E711" s="14" t="n">
        <v>706</v>
      </c>
      <c r="F711" s="15" t="n">
        <f aca="false">IF(D711="","",ROUND((D711-MIN($D$7:$D$9999))*86400,2))</f>
        <v>141.61</v>
      </c>
      <c r="G711" s="10" t="str">
        <f aca="false">IF(D711="","",IF(D711&lt;=($E$3*60+$F$3)/86400,"○",""))</f>
        <v/>
      </c>
      <c r="H711" s="16" t="n">
        <v>0.00684710648148148</v>
      </c>
      <c r="I711" s="17" t="n">
        <v>201</v>
      </c>
      <c r="J711" s="16" t="n">
        <v>0.00284722222222222</v>
      </c>
      <c r="K711" s="17" t="n">
        <v>552</v>
      </c>
      <c r="L711" s="17" t="n">
        <f aca="false">COUNT(E711,I711,K711)</f>
        <v>3</v>
      </c>
      <c r="M711" s="18" t="n">
        <f aca="false">(D711&lt;&gt;"")*(D711&lt;=($E$3*60+$F$3)/86400)+(H711&lt;&gt;"")*(H711&lt;=($I$3*60+$J$3)/86400)+(J711&lt;&gt;"")*(J711&lt;=($M$3*60+$N$3)/86400)</f>
        <v>0</v>
      </c>
      <c r="N711" s="20"/>
      <c r="O711" s="20"/>
      <c r="P711" s="20"/>
      <c r="Q711" s="19"/>
    </row>
    <row r="712" customFormat="false" ht="15" hidden="false" customHeight="false" outlineLevel="0" collapsed="false">
      <c r="A712" s="10" t="n">
        <v>706</v>
      </c>
      <c r="B712" s="11" t="s">
        <v>1189</v>
      </c>
      <c r="C712" s="12" t="s">
        <v>1190</v>
      </c>
      <c r="D712" s="13" t="n">
        <v>0.0107804398148148</v>
      </c>
      <c r="E712" s="14" t="n">
        <v>707</v>
      </c>
      <c r="F712" s="15" t="n">
        <f aca="false">IF(D712="","",ROUND((D712-MIN($D$7:$D$9999))*86400,2))</f>
        <v>141.69</v>
      </c>
      <c r="G712" s="10" t="str">
        <f aca="false">IF(D712="","",IF(D712&lt;=($E$3*60+$F$3)/86400,"○",""))</f>
        <v/>
      </c>
      <c r="H712" s="16"/>
      <c r="I712" s="17"/>
      <c r="J712" s="16" t="n">
        <v>0.00279907407407407</v>
      </c>
      <c r="K712" s="17" t="n">
        <v>278</v>
      </c>
      <c r="L712" s="17" t="n">
        <f aca="false">COUNT(E712,I712,K712)</f>
        <v>2</v>
      </c>
      <c r="M712" s="18" t="n">
        <f aca="false">(D712&lt;&gt;"")*(D712&lt;=($E$3*60+$F$3)/86400)+(H712&lt;&gt;"")*(H712&lt;=($I$3*60+$J$3)/86400)+(J712&lt;&gt;"")*(J712&lt;=($M$3*60+$N$3)/86400)</f>
        <v>0</v>
      </c>
      <c r="N712" s="20"/>
      <c r="O712" s="20"/>
      <c r="P712" s="20"/>
      <c r="Q712" s="19"/>
    </row>
    <row r="713" customFormat="false" ht="15" hidden="false" customHeight="false" outlineLevel="0" collapsed="false">
      <c r="A713" s="10" t="n">
        <v>707</v>
      </c>
      <c r="B713" s="11" t="s">
        <v>1191</v>
      </c>
      <c r="C713" s="12" t="s">
        <v>1192</v>
      </c>
      <c r="D713" s="13" t="n">
        <v>0.0107810185185185</v>
      </c>
      <c r="E713" s="14" t="n">
        <v>708</v>
      </c>
      <c r="F713" s="15" t="n">
        <f aca="false">IF(D713="","",ROUND((D713-MIN($D$7:$D$9999))*86400,2))</f>
        <v>141.74</v>
      </c>
      <c r="G713" s="10" t="str">
        <f aca="false">IF(D713="","",IF(D713&lt;=($E$3*60+$F$3)/86400,"○",""))</f>
        <v/>
      </c>
      <c r="H713" s="16"/>
      <c r="I713" s="17"/>
      <c r="J713" s="16" t="n">
        <v>0.00279560185185185</v>
      </c>
      <c r="K713" s="17" t="n">
        <v>262</v>
      </c>
      <c r="L713" s="17" t="n">
        <f aca="false">COUNT(E713,I713,K713)</f>
        <v>2</v>
      </c>
      <c r="M713" s="18" t="n">
        <f aca="false">(D713&lt;&gt;"")*(D713&lt;=($E$3*60+$F$3)/86400)+(H713&lt;&gt;"")*(H713&lt;=($I$3*60+$J$3)/86400)+(J713&lt;&gt;"")*(J713&lt;=($M$3*60+$N$3)/86400)</f>
        <v>0</v>
      </c>
      <c r="N713" s="20"/>
      <c r="O713" s="20"/>
      <c r="P713" s="20"/>
      <c r="Q713" s="19"/>
    </row>
    <row r="714" customFormat="false" ht="15" hidden="false" customHeight="false" outlineLevel="0" collapsed="false">
      <c r="A714" s="10" t="n">
        <v>708</v>
      </c>
      <c r="B714" s="11" t="s">
        <v>1193</v>
      </c>
      <c r="C714" s="12" t="s">
        <v>207</v>
      </c>
      <c r="D714" s="13" t="n">
        <v>0.0107821759259259</v>
      </c>
      <c r="E714" s="14" t="n">
        <v>709</v>
      </c>
      <c r="F714" s="15" t="n">
        <f aca="false">IF(D714="","",ROUND((D714-MIN($D$7:$D$9999))*86400,2))</f>
        <v>141.84</v>
      </c>
      <c r="G714" s="10" t="str">
        <f aca="false">IF(D714="","",IF(D714&lt;=($E$3*60+$F$3)/86400,"○",""))</f>
        <v/>
      </c>
      <c r="H714" s="16"/>
      <c r="I714" s="17"/>
      <c r="J714" s="16" t="n">
        <v>0.0028400462962963</v>
      </c>
      <c r="K714" s="17" t="n">
        <v>497</v>
      </c>
      <c r="L714" s="17" t="n">
        <f aca="false">COUNT(E714,I714,K714)</f>
        <v>2</v>
      </c>
      <c r="M714" s="18" t="n">
        <f aca="false">(D714&lt;&gt;"")*(D714&lt;=($E$3*60+$F$3)/86400)+(H714&lt;&gt;"")*(H714&lt;=($I$3*60+$J$3)/86400)+(J714&lt;&gt;"")*(J714&lt;=($M$3*60+$N$3)/86400)</f>
        <v>0</v>
      </c>
      <c r="N714" s="20"/>
      <c r="O714" s="20"/>
      <c r="P714" s="20"/>
      <c r="Q714" s="19"/>
    </row>
    <row r="715" customFormat="false" ht="15" hidden="false" customHeight="false" outlineLevel="0" collapsed="false">
      <c r="A715" s="10" t="n">
        <v>709</v>
      </c>
      <c r="B715" s="11" t="s">
        <v>1194</v>
      </c>
      <c r="C715" s="12" t="s">
        <v>318</v>
      </c>
      <c r="D715" s="13" t="n">
        <v>0.0107835648148148</v>
      </c>
      <c r="E715" s="14" t="n">
        <v>710</v>
      </c>
      <c r="F715" s="15" t="n">
        <f aca="false">IF(D715="","",ROUND((D715-MIN($D$7:$D$9999))*86400,2))</f>
        <v>141.96</v>
      </c>
      <c r="G715" s="10" t="str">
        <f aca="false">IF(D715="","",IF(D715&lt;=($E$3*60+$F$3)/86400,"○",""))</f>
        <v/>
      </c>
      <c r="H715" s="16" t="n">
        <v>0.00717002314814815</v>
      </c>
      <c r="I715" s="17" t="n">
        <v>510</v>
      </c>
      <c r="J715" s="16"/>
      <c r="K715" s="17"/>
      <c r="L715" s="17" t="n">
        <f aca="false">COUNT(E715,I715,K715)</f>
        <v>2</v>
      </c>
      <c r="M715" s="18" t="n">
        <f aca="false">(D715&lt;&gt;"")*(D715&lt;=($E$3*60+$F$3)/86400)+(H715&lt;&gt;"")*(H715&lt;=($I$3*60+$J$3)/86400)+(J715&lt;&gt;"")*(J715&lt;=($M$3*60+$N$3)/86400)</f>
        <v>0</v>
      </c>
      <c r="N715" s="20"/>
      <c r="O715" s="20"/>
      <c r="P715" s="20"/>
      <c r="Q715" s="19"/>
    </row>
    <row r="716" customFormat="false" ht="15" hidden="false" customHeight="false" outlineLevel="0" collapsed="false">
      <c r="A716" s="10" t="n">
        <v>710</v>
      </c>
      <c r="B716" s="11" t="s">
        <v>1195</v>
      </c>
      <c r="C716" s="12" t="s">
        <v>1196</v>
      </c>
      <c r="D716" s="13" t="n">
        <v>0.010783912037037</v>
      </c>
      <c r="E716" s="14" t="n">
        <v>711</v>
      </c>
      <c r="F716" s="15" t="n">
        <f aca="false">IF(D716="","",ROUND((D716-MIN($D$7:$D$9999))*86400,2))</f>
        <v>141.99</v>
      </c>
      <c r="G716" s="10" t="str">
        <f aca="false">IF(D716="","",IF(D716&lt;=($E$3*60+$F$3)/86400,"○",""))</f>
        <v/>
      </c>
      <c r="H716" s="16"/>
      <c r="I716" s="17"/>
      <c r="J716" s="16" t="n">
        <v>0.0028587962962963</v>
      </c>
      <c r="K716" s="17" t="n">
        <v>627</v>
      </c>
      <c r="L716" s="17" t="n">
        <f aca="false">COUNT(E716,I716,K716)</f>
        <v>2</v>
      </c>
      <c r="M716" s="18" t="n">
        <f aca="false">(D716&lt;&gt;"")*(D716&lt;=($E$3*60+$F$3)/86400)+(H716&lt;&gt;"")*(H716&lt;=($I$3*60+$J$3)/86400)+(J716&lt;&gt;"")*(J716&lt;=($M$3*60+$N$3)/86400)</f>
        <v>0</v>
      </c>
      <c r="N716" s="20"/>
      <c r="O716" s="20"/>
      <c r="P716" s="20"/>
      <c r="Q716" s="19"/>
    </row>
    <row r="717" customFormat="false" ht="15" hidden="false" customHeight="false" outlineLevel="0" collapsed="false">
      <c r="A717" s="10" t="n">
        <v>711</v>
      </c>
      <c r="B717" s="11" t="s">
        <v>1197</v>
      </c>
      <c r="C717" s="12" t="s">
        <v>77</v>
      </c>
      <c r="D717" s="13" t="n">
        <v>0.0107847222222222</v>
      </c>
      <c r="E717" s="14" t="n">
        <v>712</v>
      </c>
      <c r="F717" s="15" t="n">
        <f aca="false">IF(D717="","",ROUND((D717-MIN($D$7:$D$9999))*86400,2))</f>
        <v>142.06</v>
      </c>
      <c r="G717" s="10" t="str">
        <f aca="false">IF(D717="","",IF(D717&lt;=($E$3*60+$F$3)/86400,"○",""))</f>
        <v/>
      </c>
      <c r="H717" s="16" t="n">
        <v>0.0072994212962963</v>
      </c>
      <c r="I717" s="17" t="n">
        <v>646</v>
      </c>
      <c r="J717" s="16" t="n">
        <v>0.00289733796296296</v>
      </c>
      <c r="K717" s="17" t="n">
        <v>927</v>
      </c>
      <c r="L717" s="17" t="n">
        <f aca="false">COUNT(E717,I717,K717)</f>
        <v>3</v>
      </c>
      <c r="M717" s="18" t="n">
        <f aca="false">(D717&lt;&gt;"")*(D717&lt;=($E$3*60+$F$3)/86400)+(H717&lt;&gt;"")*(H717&lt;=($I$3*60+$J$3)/86400)+(J717&lt;&gt;"")*(J717&lt;=($M$3*60+$N$3)/86400)</f>
        <v>0</v>
      </c>
      <c r="N717" s="20"/>
      <c r="O717" s="20"/>
      <c r="P717" s="20"/>
      <c r="Q717" s="19"/>
    </row>
    <row r="718" customFormat="false" ht="15" hidden="false" customHeight="false" outlineLevel="0" collapsed="false">
      <c r="A718" s="10" t="n">
        <v>712</v>
      </c>
      <c r="B718" s="11" t="s">
        <v>1198</v>
      </c>
      <c r="C718" s="12" t="s">
        <v>1199</v>
      </c>
      <c r="D718" s="13" t="n">
        <v>0.0107855324074074</v>
      </c>
      <c r="E718" s="14" t="n">
        <v>713</v>
      </c>
      <c r="F718" s="15" t="n">
        <f aca="false">IF(D718="","",ROUND((D718-MIN($D$7:$D$9999))*86400,2))</f>
        <v>142.13</v>
      </c>
      <c r="G718" s="10" t="str">
        <f aca="false">IF(D718="","",IF(D718&lt;=($E$3*60+$F$3)/86400,"○",""))</f>
        <v/>
      </c>
      <c r="H718" s="16" t="n">
        <v>0.007771875</v>
      </c>
      <c r="I718" s="17" t="n">
        <v>1127</v>
      </c>
      <c r="J718" s="16"/>
      <c r="K718" s="17"/>
      <c r="L718" s="17" t="n">
        <f aca="false">COUNT(E718,I718,K718)</f>
        <v>2</v>
      </c>
      <c r="M718" s="18" t="n">
        <f aca="false">(D718&lt;&gt;"")*(D718&lt;=($E$3*60+$F$3)/86400)+(H718&lt;&gt;"")*(H718&lt;=($I$3*60+$J$3)/86400)+(J718&lt;&gt;"")*(J718&lt;=($M$3*60+$N$3)/86400)</f>
        <v>0</v>
      </c>
      <c r="N718" s="20"/>
      <c r="O718" s="20"/>
      <c r="P718" s="20"/>
      <c r="Q718" s="19"/>
    </row>
    <row r="719" customFormat="false" ht="15" hidden="false" customHeight="false" outlineLevel="0" collapsed="false">
      <c r="A719" s="10" t="n">
        <v>713</v>
      </c>
      <c r="B719" s="11" t="s">
        <v>1200</v>
      </c>
      <c r="C719" s="12" t="s">
        <v>167</v>
      </c>
      <c r="D719" s="13" t="n">
        <v>0.0107869212962963</v>
      </c>
      <c r="E719" s="14" t="n">
        <v>714</v>
      </c>
      <c r="F719" s="15" t="n">
        <f aca="false">IF(D719="","",ROUND((D719-MIN($D$7:$D$9999))*86400,2))</f>
        <v>142.25</v>
      </c>
      <c r="G719" s="10" t="str">
        <f aca="false">IF(D719="","",IF(D719&lt;=($E$3*60+$F$3)/86400,"○",""))</f>
        <v/>
      </c>
      <c r="H719" s="16"/>
      <c r="I719" s="17"/>
      <c r="J719" s="16" t="n">
        <v>0.00276516203703704</v>
      </c>
      <c r="K719" s="17" t="n">
        <v>150</v>
      </c>
      <c r="L719" s="17" t="n">
        <f aca="false">COUNT(E719,I719,K719)</f>
        <v>2</v>
      </c>
      <c r="M719" s="18" t="n">
        <f aca="false">(D719&lt;&gt;"")*(D719&lt;=($E$3*60+$F$3)/86400)+(H719&lt;&gt;"")*(H719&lt;=($I$3*60+$J$3)/86400)+(J719&lt;&gt;"")*(J719&lt;=($M$3*60+$N$3)/86400)</f>
        <v>0</v>
      </c>
      <c r="N719" s="20"/>
      <c r="O719" s="20" t="s">
        <v>1201</v>
      </c>
      <c r="P719" s="20"/>
      <c r="Q719" s="19"/>
    </row>
    <row r="720" customFormat="false" ht="15" hidden="false" customHeight="false" outlineLevel="0" collapsed="false">
      <c r="A720" s="10" t="n">
        <v>714</v>
      </c>
      <c r="B720" s="11" t="s">
        <v>1202</v>
      </c>
      <c r="C720" s="12" t="s">
        <v>303</v>
      </c>
      <c r="D720" s="13" t="n">
        <v>0.0107873842592593</v>
      </c>
      <c r="E720" s="14" t="n">
        <v>715</v>
      </c>
      <c r="F720" s="15" t="n">
        <f aca="false">IF(D720="","",ROUND((D720-MIN($D$7:$D$9999))*86400,2))</f>
        <v>142.29</v>
      </c>
      <c r="G720" s="10" t="str">
        <f aca="false">IF(D720="","",IF(D720&lt;=($E$3*60+$F$3)/86400,"○",""))</f>
        <v/>
      </c>
      <c r="H720" s="16"/>
      <c r="I720" s="17"/>
      <c r="J720" s="16" t="n">
        <v>0.00291689814814815</v>
      </c>
      <c r="K720" s="17" t="n">
        <v>1066</v>
      </c>
      <c r="L720" s="17" t="n">
        <f aca="false">COUNT(E720,I720,K720)</f>
        <v>2</v>
      </c>
      <c r="M720" s="18" t="n">
        <f aca="false">(D720&lt;&gt;"")*(D720&lt;=($E$3*60+$F$3)/86400)+(H720&lt;&gt;"")*(H720&lt;=($I$3*60+$J$3)/86400)+(J720&lt;&gt;"")*(J720&lt;=($M$3*60+$N$3)/86400)</f>
        <v>0</v>
      </c>
      <c r="N720" s="20"/>
      <c r="O720" s="20"/>
      <c r="P720" s="20"/>
      <c r="Q720" s="19"/>
    </row>
    <row r="721" customFormat="false" ht="15" hidden="false" customHeight="false" outlineLevel="0" collapsed="false">
      <c r="A721" s="10" t="n">
        <v>715</v>
      </c>
      <c r="B721" s="11" t="s">
        <v>1203</v>
      </c>
      <c r="C721" s="12" t="s">
        <v>757</v>
      </c>
      <c r="D721" s="13" t="n">
        <v>0.0107875</v>
      </c>
      <c r="E721" s="14" t="n">
        <v>716</v>
      </c>
      <c r="F721" s="15" t="n">
        <f aca="false">IF(D721="","",ROUND((D721-MIN($D$7:$D$9999))*86400,2))</f>
        <v>142.3</v>
      </c>
      <c r="G721" s="10" t="str">
        <f aca="false">IF(D721="","",IF(D721&lt;=($E$3*60+$F$3)/86400,"○",""))</f>
        <v/>
      </c>
      <c r="H721" s="16"/>
      <c r="I721" s="17"/>
      <c r="J721" s="16" t="n">
        <v>0.00288703703703704</v>
      </c>
      <c r="K721" s="17" t="n">
        <v>835</v>
      </c>
      <c r="L721" s="17" t="n">
        <f aca="false">COUNT(E721,I721,K721)</f>
        <v>2</v>
      </c>
      <c r="M721" s="18" t="n">
        <f aca="false">(D721&lt;&gt;"")*(D721&lt;=($E$3*60+$F$3)/86400)+(H721&lt;&gt;"")*(H721&lt;=($I$3*60+$J$3)/86400)+(J721&lt;&gt;"")*(J721&lt;=($M$3*60+$N$3)/86400)</f>
        <v>0</v>
      </c>
      <c r="N721" s="20"/>
      <c r="O721" s="20"/>
      <c r="P721" s="20"/>
      <c r="Q721" s="19"/>
    </row>
    <row r="722" customFormat="false" ht="15" hidden="false" customHeight="false" outlineLevel="0" collapsed="false">
      <c r="A722" s="10" t="n">
        <v>716</v>
      </c>
      <c r="B722" s="11" t="s">
        <v>1204</v>
      </c>
      <c r="C722" s="12" t="s">
        <v>1196</v>
      </c>
      <c r="D722" s="13" t="n">
        <v>0.0107876157407407</v>
      </c>
      <c r="E722" s="14" t="n">
        <v>717</v>
      </c>
      <c r="F722" s="15" t="n">
        <f aca="false">IF(D722="","",ROUND((D722-MIN($D$7:$D$9999))*86400,2))</f>
        <v>142.31</v>
      </c>
      <c r="G722" s="10" t="str">
        <f aca="false">IF(D722="","",IF(D722&lt;=($E$3*60+$F$3)/86400,"○",""))</f>
        <v/>
      </c>
      <c r="H722" s="16"/>
      <c r="I722" s="17"/>
      <c r="J722" s="16" t="n">
        <v>0.00284340277777778</v>
      </c>
      <c r="K722" s="17" t="n">
        <v>519</v>
      </c>
      <c r="L722" s="17" t="n">
        <f aca="false">COUNT(E722,I722,K722)</f>
        <v>2</v>
      </c>
      <c r="M722" s="18" t="n">
        <f aca="false">(D722&lt;&gt;"")*(D722&lt;=($E$3*60+$F$3)/86400)+(H722&lt;&gt;"")*(H722&lt;=($I$3*60+$J$3)/86400)+(J722&lt;&gt;"")*(J722&lt;=($M$3*60+$N$3)/86400)</f>
        <v>0</v>
      </c>
      <c r="N722" s="20"/>
      <c r="O722" s="20"/>
      <c r="P722" s="20"/>
      <c r="Q722" s="19"/>
    </row>
    <row r="723" customFormat="false" ht="15" hidden="false" customHeight="false" outlineLevel="0" collapsed="false">
      <c r="A723" s="10" t="n">
        <v>717</v>
      </c>
      <c r="B723" s="11" t="s">
        <v>1205</v>
      </c>
      <c r="C723" s="12" t="s">
        <v>619</v>
      </c>
      <c r="D723" s="13" t="n">
        <v>0.0107881944444444</v>
      </c>
      <c r="E723" s="14" t="n">
        <v>718</v>
      </c>
      <c r="F723" s="15" t="n">
        <f aca="false">IF(D723="","",ROUND((D723-MIN($D$7:$D$9999))*86400,2))</f>
        <v>142.36</v>
      </c>
      <c r="G723" s="10" t="str">
        <f aca="false">IF(D723="","",IF(D723&lt;=($E$3*60+$F$3)/86400,"○",""))</f>
        <v/>
      </c>
      <c r="H723" s="16" t="n">
        <v>0.00738912037037037</v>
      </c>
      <c r="I723" s="17" t="n">
        <v>760</v>
      </c>
      <c r="J723" s="16" t="n">
        <v>0.00278356481481482</v>
      </c>
      <c r="K723" s="17" t="n">
        <v>214</v>
      </c>
      <c r="L723" s="17" t="n">
        <f aca="false">COUNT(E723,I723,K723)</f>
        <v>3</v>
      </c>
      <c r="M723" s="18" t="n">
        <f aca="false">(D723&lt;&gt;"")*(D723&lt;=($E$3*60+$F$3)/86400)+(H723&lt;&gt;"")*(H723&lt;=($I$3*60+$J$3)/86400)+(J723&lt;&gt;"")*(J723&lt;=($M$3*60+$N$3)/86400)</f>
        <v>0</v>
      </c>
      <c r="N723" s="20" t="s">
        <v>1206</v>
      </c>
      <c r="O723" s="20"/>
      <c r="P723" s="20"/>
      <c r="Q723" s="19"/>
    </row>
    <row r="724" customFormat="false" ht="15" hidden="false" customHeight="false" outlineLevel="0" collapsed="false">
      <c r="A724" s="10" t="n">
        <v>718</v>
      </c>
      <c r="B724" s="11" t="s">
        <v>1207</v>
      </c>
      <c r="C724" s="12" t="s">
        <v>94</v>
      </c>
      <c r="D724" s="13" t="n">
        <v>0.0107890046296296</v>
      </c>
      <c r="E724" s="14" t="n">
        <v>719</v>
      </c>
      <c r="F724" s="15" t="n">
        <f aca="false">IF(D724="","",ROUND((D724-MIN($D$7:$D$9999))*86400,2))</f>
        <v>142.43</v>
      </c>
      <c r="G724" s="10" t="str">
        <f aca="false">IF(D724="","",IF(D724&lt;=($E$3*60+$F$3)/86400,"○",""))</f>
        <v/>
      </c>
      <c r="H724" s="16"/>
      <c r="I724" s="17"/>
      <c r="J724" s="16" t="n">
        <v>0.00275671296296296</v>
      </c>
      <c r="K724" s="17" t="n">
        <v>125</v>
      </c>
      <c r="L724" s="17" t="n">
        <f aca="false">COUNT(E724,I724,K724)</f>
        <v>2</v>
      </c>
      <c r="M724" s="18" t="n">
        <f aca="false">(D724&lt;&gt;"")*(D724&lt;=($E$3*60+$F$3)/86400)+(H724&lt;&gt;"")*(H724&lt;=($I$3*60+$J$3)/86400)+(J724&lt;&gt;"")*(J724&lt;=($M$3*60+$N$3)/86400)</f>
        <v>0</v>
      </c>
      <c r="N724" s="20"/>
      <c r="O724" s="20"/>
      <c r="P724" s="20"/>
      <c r="Q724" s="19"/>
    </row>
    <row r="725" customFormat="false" ht="15" hidden="false" customHeight="false" outlineLevel="0" collapsed="false">
      <c r="A725" s="10" t="n">
        <v>719</v>
      </c>
      <c r="B725" s="11" t="s">
        <v>1208</v>
      </c>
      <c r="C725" s="12" t="s">
        <v>1209</v>
      </c>
      <c r="D725" s="13" t="n">
        <v>0.0107890046296296</v>
      </c>
      <c r="E725" s="14" t="n">
        <v>720</v>
      </c>
      <c r="F725" s="15" t="n">
        <f aca="false">IF(D725="","",ROUND((D725-MIN($D$7:$D$9999))*86400,2))</f>
        <v>142.43</v>
      </c>
      <c r="G725" s="10" t="str">
        <f aca="false">IF(D725="","",IF(D725&lt;=($E$3*60+$F$3)/86400,"○",""))</f>
        <v/>
      </c>
      <c r="H725" s="16"/>
      <c r="I725" s="17"/>
      <c r="J725" s="16" t="n">
        <v>0.00283587962962963</v>
      </c>
      <c r="K725" s="17" t="n">
        <v>470</v>
      </c>
      <c r="L725" s="17" t="n">
        <f aca="false">COUNT(E725,I725,K725)</f>
        <v>2</v>
      </c>
      <c r="M725" s="18" t="n">
        <f aca="false">(D725&lt;&gt;"")*(D725&lt;=($E$3*60+$F$3)/86400)+(H725&lt;&gt;"")*(H725&lt;=($I$3*60+$J$3)/86400)+(J725&lt;&gt;"")*(J725&lt;=($M$3*60+$N$3)/86400)</f>
        <v>0</v>
      </c>
      <c r="N725" s="20" t="s">
        <v>1210</v>
      </c>
      <c r="O725" s="20"/>
      <c r="P725" s="20"/>
      <c r="Q725" s="19"/>
    </row>
    <row r="726" customFormat="false" ht="15" hidden="false" customHeight="false" outlineLevel="0" collapsed="false">
      <c r="A726" s="10" t="n">
        <v>720</v>
      </c>
      <c r="B726" s="11" t="s">
        <v>1211</v>
      </c>
      <c r="C726" s="12" t="s">
        <v>1212</v>
      </c>
      <c r="D726" s="13" t="n">
        <v>0.0107894675925926</v>
      </c>
      <c r="E726" s="14" t="n">
        <v>721</v>
      </c>
      <c r="F726" s="15" t="n">
        <f aca="false">IF(D726="","",ROUND((D726-MIN($D$7:$D$9999))*86400,2))</f>
        <v>142.47</v>
      </c>
      <c r="G726" s="10" t="str">
        <f aca="false">IF(D726="","",IF(D726&lt;=($E$3*60+$F$3)/86400,"○",""))</f>
        <v/>
      </c>
      <c r="H726" s="16"/>
      <c r="I726" s="17"/>
      <c r="J726" s="16" t="n">
        <v>0.00289259259259259</v>
      </c>
      <c r="K726" s="17" t="n">
        <v>895</v>
      </c>
      <c r="L726" s="17" t="n">
        <f aca="false">COUNT(E726,I726,K726)</f>
        <v>2</v>
      </c>
      <c r="M726" s="18" t="n">
        <f aca="false">(D726&lt;&gt;"")*(D726&lt;=($E$3*60+$F$3)/86400)+(H726&lt;&gt;"")*(H726&lt;=($I$3*60+$J$3)/86400)+(J726&lt;&gt;"")*(J726&lt;=($M$3*60+$N$3)/86400)</f>
        <v>0</v>
      </c>
      <c r="N726" s="20"/>
      <c r="O726" s="20"/>
      <c r="P726" s="20"/>
      <c r="Q726" s="19"/>
    </row>
    <row r="727" customFormat="false" ht="15" hidden="false" customHeight="false" outlineLevel="0" collapsed="false">
      <c r="A727" s="10" t="n">
        <v>721</v>
      </c>
      <c r="B727" s="11" t="s">
        <v>1213</v>
      </c>
      <c r="C727" s="12" t="s">
        <v>532</v>
      </c>
      <c r="D727" s="13" t="n">
        <v>0.0107895833333333</v>
      </c>
      <c r="E727" s="14" t="n">
        <v>722</v>
      </c>
      <c r="F727" s="15" t="n">
        <f aca="false">IF(D727="","",ROUND((D727-MIN($D$7:$D$9999))*86400,2))</f>
        <v>142.48</v>
      </c>
      <c r="G727" s="10" t="str">
        <f aca="false">IF(D727="","",IF(D727&lt;=($E$3*60+$F$3)/86400,"○",""))</f>
        <v/>
      </c>
      <c r="H727" s="16"/>
      <c r="I727" s="17"/>
      <c r="J727" s="16" t="n">
        <v>0.00290972222222222</v>
      </c>
      <c r="K727" s="17" t="n">
        <v>1015</v>
      </c>
      <c r="L727" s="17" t="n">
        <f aca="false">COUNT(E727,I727,K727)</f>
        <v>2</v>
      </c>
      <c r="M727" s="18" t="n">
        <f aca="false">(D727&lt;&gt;"")*(D727&lt;=($E$3*60+$F$3)/86400)+(H727&lt;&gt;"")*(H727&lt;=($I$3*60+$J$3)/86400)+(J727&lt;&gt;"")*(J727&lt;=($M$3*60+$N$3)/86400)</f>
        <v>0</v>
      </c>
      <c r="N727" s="20"/>
      <c r="O727" s="20"/>
      <c r="P727" s="20"/>
      <c r="Q727" s="19"/>
    </row>
    <row r="728" customFormat="false" ht="15" hidden="false" customHeight="false" outlineLevel="0" collapsed="false">
      <c r="A728" s="10" t="n">
        <v>722</v>
      </c>
      <c r="B728" s="11" t="s">
        <v>1214</v>
      </c>
      <c r="C728" s="12" t="s">
        <v>120</v>
      </c>
      <c r="D728" s="13" t="n">
        <v>0.0107907407407407</v>
      </c>
      <c r="E728" s="14" t="n">
        <v>723</v>
      </c>
      <c r="F728" s="15" t="n">
        <f aca="false">IF(D728="","",ROUND((D728-MIN($D$7:$D$9999))*86400,2))</f>
        <v>142.58</v>
      </c>
      <c r="G728" s="10" t="str">
        <f aca="false">IF(D728="","",IF(D728&lt;=($E$3*60+$F$3)/86400,"○",""))</f>
        <v/>
      </c>
      <c r="H728" s="16"/>
      <c r="I728" s="17"/>
      <c r="J728" s="16" t="n">
        <v>0.00290555555555556</v>
      </c>
      <c r="K728" s="17" t="n">
        <v>988</v>
      </c>
      <c r="L728" s="17" t="n">
        <f aca="false">COUNT(E728,I728,K728)</f>
        <v>2</v>
      </c>
      <c r="M728" s="18" t="n">
        <f aca="false">(D728&lt;&gt;"")*(D728&lt;=($E$3*60+$F$3)/86400)+(H728&lt;&gt;"")*(H728&lt;=($I$3*60+$J$3)/86400)+(J728&lt;&gt;"")*(J728&lt;=($M$3*60+$N$3)/86400)</f>
        <v>0</v>
      </c>
      <c r="N728" s="20"/>
      <c r="O728" s="20"/>
      <c r="P728" s="20"/>
      <c r="Q728" s="19"/>
    </row>
    <row r="729" customFormat="false" ht="15" hidden="false" customHeight="false" outlineLevel="0" collapsed="false">
      <c r="A729" s="10" t="n">
        <v>723</v>
      </c>
      <c r="B729" s="11" t="s">
        <v>1215</v>
      </c>
      <c r="C729" s="12" t="s">
        <v>1216</v>
      </c>
      <c r="D729" s="13" t="n">
        <v>0.0107907407407407</v>
      </c>
      <c r="E729" s="14" t="n">
        <v>724</v>
      </c>
      <c r="F729" s="15" t="n">
        <f aca="false">IF(D729="","",ROUND((D729-MIN($D$7:$D$9999))*86400,2))</f>
        <v>142.58</v>
      </c>
      <c r="G729" s="10" t="str">
        <f aca="false">IF(D729="","",IF(D729&lt;=($E$3*60+$F$3)/86400,"○",""))</f>
        <v/>
      </c>
      <c r="H729" s="16"/>
      <c r="I729" s="17"/>
      <c r="J729" s="16" t="n">
        <v>0.00287835648148148</v>
      </c>
      <c r="K729" s="17" t="n">
        <v>756</v>
      </c>
      <c r="L729" s="17" t="n">
        <f aca="false">COUNT(E729,I729,K729)</f>
        <v>2</v>
      </c>
      <c r="M729" s="18" t="n">
        <f aca="false">(D729&lt;&gt;"")*(D729&lt;=($E$3*60+$F$3)/86400)+(H729&lt;&gt;"")*(H729&lt;=($I$3*60+$J$3)/86400)+(J729&lt;&gt;"")*(J729&lt;=($M$3*60+$N$3)/86400)</f>
        <v>0</v>
      </c>
      <c r="N729" s="20"/>
      <c r="O729" s="20"/>
      <c r="P729" s="20"/>
      <c r="Q729" s="19"/>
    </row>
    <row r="730" customFormat="false" ht="15" hidden="false" customHeight="false" outlineLevel="0" collapsed="false">
      <c r="A730" s="10" t="n">
        <v>724</v>
      </c>
      <c r="B730" s="11" t="s">
        <v>1217</v>
      </c>
      <c r="C730" s="12" t="s">
        <v>1218</v>
      </c>
      <c r="D730" s="13" t="n">
        <v>0.0107909722222222</v>
      </c>
      <c r="E730" s="14" t="n">
        <v>725</v>
      </c>
      <c r="F730" s="15" t="n">
        <f aca="false">IF(D730="","",ROUND((D730-MIN($D$7:$D$9999))*86400,2))</f>
        <v>142.6</v>
      </c>
      <c r="G730" s="10" t="str">
        <f aca="false">IF(D730="","",IF(D730&lt;=($E$3*60+$F$3)/86400,"○",""))</f>
        <v/>
      </c>
      <c r="H730" s="16" t="n">
        <v>0.00711053240740741</v>
      </c>
      <c r="I730" s="17" t="n">
        <v>456</v>
      </c>
      <c r="J730" s="16" t="n">
        <v>0.00284861111111111</v>
      </c>
      <c r="K730" s="17" t="n">
        <v>558</v>
      </c>
      <c r="L730" s="17" t="n">
        <f aca="false">COUNT(E730,I730,K730)</f>
        <v>3</v>
      </c>
      <c r="M730" s="18" t="n">
        <f aca="false">(D730&lt;&gt;"")*(D730&lt;=($E$3*60+$F$3)/86400)+(H730&lt;&gt;"")*(H730&lt;=($I$3*60+$J$3)/86400)+(J730&lt;&gt;"")*(J730&lt;=($M$3*60+$N$3)/86400)</f>
        <v>0</v>
      </c>
      <c r="N730" s="20"/>
      <c r="O730" s="20"/>
      <c r="P730" s="20"/>
      <c r="Q730" s="19"/>
    </row>
    <row r="731" customFormat="false" ht="15" hidden="false" customHeight="false" outlineLevel="0" collapsed="false">
      <c r="A731" s="10" t="n">
        <v>725</v>
      </c>
      <c r="B731" s="11" t="s">
        <v>1219</v>
      </c>
      <c r="C731" s="12" t="s">
        <v>1220</v>
      </c>
      <c r="D731" s="13" t="n">
        <v>0.0107912037037037</v>
      </c>
      <c r="E731" s="14" t="n">
        <v>726</v>
      </c>
      <c r="F731" s="15" t="n">
        <f aca="false">IF(D731="","",ROUND((D731-MIN($D$7:$D$9999))*86400,2))</f>
        <v>142.62</v>
      </c>
      <c r="G731" s="10" t="str">
        <f aca="false">IF(D731="","",IF(D731&lt;=($E$3*60+$F$3)/86400,"○",""))</f>
        <v/>
      </c>
      <c r="H731" s="16"/>
      <c r="I731" s="17"/>
      <c r="J731" s="16" t="n">
        <v>0.00285671296296296</v>
      </c>
      <c r="K731" s="17" t="n">
        <v>613</v>
      </c>
      <c r="L731" s="17" t="n">
        <f aca="false">COUNT(E731,I731,K731)</f>
        <v>2</v>
      </c>
      <c r="M731" s="18" t="n">
        <f aca="false">(D731&lt;&gt;"")*(D731&lt;=($E$3*60+$F$3)/86400)+(H731&lt;&gt;"")*(H731&lt;=($I$3*60+$J$3)/86400)+(J731&lt;&gt;"")*(J731&lt;=($M$3*60+$N$3)/86400)</f>
        <v>0</v>
      </c>
      <c r="N731" s="20"/>
      <c r="O731" s="20"/>
      <c r="P731" s="20"/>
      <c r="Q731" s="19"/>
    </row>
    <row r="732" customFormat="false" ht="15" hidden="false" customHeight="false" outlineLevel="0" collapsed="false">
      <c r="A732" s="10" t="n">
        <v>726</v>
      </c>
      <c r="B732" s="11" t="s">
        <v>1221</v>
      </c>
      <c r="C732" s="12" t="s">
        <v>903</v>
      </c>
      <c r="D732" s="13" t="n">
        <v>0.0107913194444444</v>
      </c>
      <c r="E732" s="14" t="n">
        <v>727</v>
      </c>
      <c r="F732" s="15" t="n">
        <f aca="false">IF(D732="","",ROUND((D732-MIN($D$7:$D$9999))*86400,2))</f>
        <v>142.63</v>
      </c>
      <c r="G732" s="10" t="str">
        <f aca="false">IF(D732="","",IF(D732&lt;=($E$3*60+$F$3)/86400,"○",""))</f>
        <v/>
      </c>
      <c r="H732" s="16"/>
      <c r="I732" s="17"/>
      <c r="J732" s="16"/>
      <c r="K732" s="17"/>
      <c r="L732" s="17" t="n">
        <f aca="false">COUNT(E732,I732,K732)</f>
        <v>1</v>
      </c>
      <c r="M732" s="18" t="n">
        <f aca="false">(D732&lt;&gt;"")*(D732&lt;=($E$3*60+$F$3)/86400)+(H732&lt;&gt;"")*(H732&lt;=($I$3*60+$J$3)/86400)+(J732&lt;&gt;"")*(J732&lt;=($M$3*60+$N$3)/86400)</f>
        <v>0</v>
      </c>
      <c r="N732" s="20"/>
      <c r="O732" s="20"/>
      <c r="P732" s="20"/>
      <c r="Q732" s="19"/>
    </row>
    <row r="733" customFormat="false" ht="15" hidden="false" customHeight="false" outlineLevel="0" collapsed="false">
      <c r="A733" s="10" t="n">
        <v>727</v>
      </c>
      <c r="B733" s="11" t="s">
        <v>1222</v>
      </c>
      <c r="C733" s="12" t="s">
        <v>1049</v>
      </c>
      <c r="D733" s="13" t="n">
        <v>0.0107917824074074</v>
      </c>
      <c r="E733" s="14" t="n">
        <v>728</v>
      </c>
      <c r="F733" s="15" t="n">
        <f aca="false">IF(D733="","",ROUND((D733-MIN($D$7:$D$9999))*86400,2))</f>
        <v>142.67</v>
      </c>
      <c r="G733" s="10" t="str">
        <f aca="false">IF(D733="","",IF(D733&lt;=($E$3*60+$F$3)/86400,"○",""))</f>
        <v/>
      </c>
      <c r="H733" s="16"/>
      <c r="I733" s="17"/>
      <c r="J733" s="16" t="n">
        <v>0.00284884259259259</v>
      </c>
      <c r="K733" s="17" t="n">
        <v>561</v>
      </c>
      <c r="L733" s="17" t="n">
        <f aca="false">COUNT(E733,I733,K733)</f>
        <v>2</v>
      </c>
      <c r="M733" s="18" t="n">
        <f aca="false">(D733&lt;&gt;"")*(D733&lt;=($E$3*60+$F$3)/86400)+(H733&lt;&gt;"")*(H733&lt;=($I$3*60+$J$3)/86400)+(J733&lt;&gt;"")*(J733&lt;=($M$3*60+$N$3)/86400)</f>
        <v>0</v>
      </c>
      <c r="N733" s="20"/>
      <c r="O733" s="20"/>
      <c r="P733" s="20"/>
      <c r="Q733" s="19"/>
    </row>
    <row r="734" customFormat="false" ht="15" hidden="false" customHeight="false" outlineLevel="0" collapsed="false">
      <c r="A734" s="10" t="n">
        <v>728</v>
      </c>
      <c r="B734" s="11" t="s">
        <v>1223</v>
      </c>
      <c r="C734" s="12" t="s">
        <v>1224</v>
      </c>
      <c r="D734" s="13" t="n">
        <v>0.0107920138888889</v>
      </c>
      <c r="E734" s="14" t="n">
        <v>729</v>
      </c>
      <c r="F734" s="15" t="n">
        <f aca="false">IF(D734="","",ROUND((D734-MIN($D$7:$D$9999))*86400,2))</f>
        <v>142.69</v>
      </c>
      <c r="G734" s="10" t="str">
        <f aca="false">IF(D734="","",IF(D734&lt;=($E$3*60+$F$3)/86400,"○",""))</f>
        <v/>
      </c>
      <c r="H734" s="16"/>
      <c r="I734" s="17"/>
      <c r="J734" s="16" t="n">
        <v>0.00273657407407407</v>
      </c>
      <c r="K734" s="17" t="n">
        <v>78</v>
      </c>
      <c r="L734" s="17" t="n">
        <f aca="false">COUNT(E734,I734,K734)</f>
        <v>2</v>
      </c>
      <c r="M734" s="18" t="n">
        <f aca="false">(D734&lt;&gt;"")*(D734&lt;=($E$3*60+$F$3)/86400)+(H734&lt;&gt;"")*(H734&lt;=($I$3*60+$J$3)/86400)+(J734&lt;&gt;"")*(J734&lt;=($M$3*60+$N$3)/86400)</f>
        <v>0</v>
      </c>
      <c r="N734" s="20"/>
      <c r="O734" s="20"/>
      <c r="P734" s="20"/>
      <c r="Q734" s="19"/>
    </row>
    <row r="735" customFormat="false" ht="15" hidden="false" customHeight="false" outlineLevel="0" collapsed="false">
      <c r="A735" s="10" t="n">
        <v>729</v>
      </c>
      <c r="B735" s="11" t="s">
        <v>1225</v>
      </c>
      <c r="C735" s="12" t="s">
        <v>515</v>
      </c>
      <c r="D735" s="13" t="n">
        <v>0.0107921296296296</v>
      </c>
      <c r="E735" s="14" t="n">
        <v>730</v>
      </c>
      <c r="F735" s="15" t="n">
        <f aca="false">IF(D735="","",ROUND((D735-MIN($D$7:$D$9999))*86400,2))</f>
        <v>142.7</v>
      </c>
      <c r="G735" s="10" t="str">
        <f aca="false">IF(D735="","",IF(D735&lt;=($E$3*60+$F$3)/86400,"○",""))</f>
        <v/>
      </c>
      <c r="H735" s="16" t="n">
        <v>0.00704074074074074</v>
      </c>
      <c r="I735" s="17" t="n">
        <v>377</v>
      </c>
      <c r="J735" s="16" t="n">
        <v>0.00287094907407407</v>
      </c>
      <c r="K735" s="17" t="n">
        <v>704</v>
      </c>
      <c r="L735" s="17" t="n">
        <f aca="false">COUNT(E735,I735,K735)</f>
        <v>3</v>
      </c>
      <c r="M735" s="18" t="n">
        <f aca="false">(D735&lt;&gt;"")*(D735&lt;=($E$3*60+$F$3)/86400)+(H735&lt;&gt;"")*(H735&lt;=($I$3*60+$J$3)/86400)+(J735&lt;&gt;"")*(J735&lt;=($M$3*60+$N$3)/86400)</f>
        <v>0</v>
      </c>
      <c r="N735" s="20"/>
      <c r="O735" s="20"/>
      <c r="P735" s="20"/>
      <c r="Q735" s="19"/>
    </row>
    <row r="736" customFormat="false" ht="15" hidden="false" customHeight="false" outlineLevel="0" collapsed="false">
      <c r="A736" s="10" t="n">
        <v>730</v>
      </c>
      <c r="B736" s="11" t="s">
        <v>1226</v>
      </c>
      <c r="C736" s="12" t="s">
        <v>1227</v>
      </c>
      <c r="D736" s="13" t="n">
        <v>0.0107928240740741</v>
      </c>
      <c r="E736" s="14" t="n">
        <v>731</v>
      </c>
      <c r="F736" s="15" t="n">
        <f aca="false">IF(D736="","",ROUND((D736-MIN($D$7:$D$9999))*86400,2))</f>
        <v>142.76</v>
      </c>
      <c r="G736" s="10" t="str">
        <f aca="false">IF(D736="","",IF(D736&lt;=($E$3*60+$F$3)/86400,"○",""))</f>
        <v/>
      </c>
      <c r="H736" s="16"/>
      <c r="I736" s="17"/>
      <c r="J736" s="16"/>
      <c r="K736" s="17"/>
      <c r="L736" s="17" t="n">
        <f aca="false">COUNT(E736,I736,K736)</f>
        <v>1</v>
      </c>
      <c r="M736" s="18" t="n">
        <f aca="false">(D736&lt;&gt;"")*(D736&lt;=($E$3*60+$F$3)/86400)+(H736&lt;&gt;"")*(H736&lt;=($I$3*60+$J$3)/86400)+(J736&lt;&gt;"")*(J736&lt;=($M$3*60+$N$3)/86400)</f>
        <v>0</v>
      </c>
      <c r="N736" s="20"/>
      <c r="O736" s="20"/>
      <c r="P736" s="20"/>
      <c r="Q736" s="19"/>
    </row>
    <row r="737" customFormat="false" ht="15" hidden="false" customHeight="false" outlineLevel="0" collapsed="false">
      <c r="A737" s="10" t="n">
        <v>731</v>
      </c>
      <c r="B737" s="11" t="s">
        <v>1228</v>
      </c>
      <c r="C737" s="12" t="s">
        <v>1229</v>
      </c>
      <c r="D737" s="13" t="n">
        <v>0.0107929398148148</v>
      </c>
      <c r="E737" s="14" t="n">
        <v>732</v>
      </c>
      <c r="F737" s="15" t="n">
        <f aca="false">IF(D737="","",ROUND((D737-MIN($D$7:$D$9999))*86400,2))</f>
        <v>142.77</v>
      </c>
      <c r="G737" s="10" t="str">
        <f aca="false">IF(D737="","",IF(D737&lt;=($E$3*60+$F$3)/86400,"○",""))</f>
        <v/>
      </c>
      <c r="H737" s="16" t="n">
        <v>0.00706365740740741</v>
      </c>
      <c r="I737" s="17" t="n">
        <v>406</v>
      </c>
      <c r="J737" s="16" t="n">
        <v>0.00288356481481481</v>
      </c>
      <c r="K737" s="17" t="n">
        <v>804</v>
      </c>
      <c r="L737" s="17" t="n">
        <f aca="false">COUNT(E737,I737,K737)</f>
        <v>3</v>
      </c>
      <c r="M737" s="18" t="n">
        <f aca="false">(D737&lt;&gt;"")*(D737&lt;=($E$3*60+$F$3)/86400)+(H737&lt;&gt;"")*(H737&lt;=($I$3*60+$J$3)/86400)+(J737&lt;&gt;"")*(J737&lt;=($M$3*60+$N$3)/86400)</f>
        <v>0</v>
      </c>
      <c r="N737" s="20"/>
      <c r="O737" s="20"/>
      <c r="P737" s="20"/>
      <c r="Q737" s="19"/>
    </row>
    <row r="738" customFormat="false" ht="15" hidden="false" customHeight="false" outlineLevel="0" collapsed="false">
      <c r="A738" s="10" t="n">
        <v>732</v>
      </c>
      <c r="B738" s="11" t="s">
        <v>1230</v>
      </c>
      <c r="C738" s="12" t="s">
        <v>1231</v>
      </c>
      <c r="D738" s="13" t="n">
        <v>0.010794212962963</v>
      </c>
      <c r="E738" s="14" t="n">
        <v>733</v>
      </c>
      <c r="F738" s="15" t="n">
        <f aca="false">IF(D738="","",ROUND((D738-MIN($D$7:$D$9999))*86400,2))</f>
        <v>142.88</v>
      </c>
      <c r="G738" s="10" t="str">
        <f aca="false">IF(D738="","",IF(D738&lt;=($E$3*60+$F$3)/86400,"○",""))</f>
        <v/>
      </c>
      <c r="H738" s="16" t="n">
        <v>0.00658078703703704</v>
      </c>
      <c r="I738" s="17" t="n">
        <v>62</v>
      </c>
      <c r="J738" s="16" t="n">
        <v>0.00291354166666667</v>
      </c>
      <c r="K738" s="17" t="n">
        <v>1046</v>
      </c>
      <c r="L738" s="17" t="n">
        <f aca="false">COUNT(E738,I738,K738)</f>
        <v>3</v>
      </c>
      <c r="M738" s="18" t="n">
        <f aca="false">(D738&lt;&gt;"")*(D738&lt;=($E$3*60+$F$3)/86400)+(H738&lt;&gt;"")*(H738&lt;=($I$3*60+$J$3)/86400)+(J738&lt;&gt;"")*(J738&lt;=($M$3*60+$N$3)/86400)</f>
        <v>0</v>
      </c>
      <c r="N738" s="20"/>
      <c r="O738" s="20"/>
      <c r="P738" s="20"/>
      <c r="Q738" s="19"/>
    </row>
    <row r="739" customFormat="false" ht="15" hidden="false" customHeight="false" outlineLevel="0" collapsed="false">
      <c r="A739" s="10" t="n">
        <v>733</v>
      </c>
      <c r="B739" s="11" t="s">
        <v>1232</v>
      </c>
      <c r="C739" s="12" t="s">
        <v>1049</v>
      </c>
      <c r="D739" s="13" t="n">
        <v>0.0107952546296296</v>
      </c>
      <c r="E739" s="14" t="n">
        <v>734</v>
      </c>
      <c r="F739" s="15" t="n">
        <f aca="false">IF(D739="","",ROUND((D739-MIN($D$7:$D$9999))*86400,2))</f>
        <v>142.97</v>
      </c>
      <c r="G739" s="10" t="str">
        <f aca="false">IF(D739="","",IF(D739&lt;=($E$3*60+$F$3)/86400,"○",""))</f>
        <v/>
      </c>
      <c r="H739" s="16" t="n">
        <v>0.00722488425925926</v>
      </c>
      <c r="I739" s="17" t="n">
        <v>565</v>
      </c>
      <c r="J739" s="16" t="n">
        <v>0.00296493055555556</v>
      </c>
      <c r="K739" s="17" t="n">
        <v>1290</v>
      </c>
      <c r="L739" s="17" t="n">
        <f aca="false">COUNT(E739,I739,K739)</f>
        <v>3</v>
      </c>
      <c r="M739" s="18" t="n">
        <f aca="false">(D739&lt;&gt;"")*(D739&lt;=($E$3*60+$F$3)/86400)+(H739&lt;&gt;"")*(H739&lt;=($I$3*60+$J$3)/86400)+(J739&lt;&gt;"")*(J739&lt;=($M$3*60+$N$3)/86400)</f>
        <v>0</v>
      </c>
      <c r="N739" s="20"/>
      <c r="O739" s="20"/>
      <c r="P739" s="20"/>
      <c r="Q739" s="19"/>
    </row>
    <row r="740" customFormat="false" ht="15" hidden="false" customHeight="false" outlineLevel="0" collapsed="false">
      <c r="A740" s="10" t="n">
        <v>734</v>
      </c>
      <c r="B740" s="11" t="s">
        <v>1233</v>
      </c>
      <c r="C740" s="12" t="s">
        <v>240</v>
      </c>
      <c r="D740" s="13" t="n">
        <v>0.0107954861111111</v>
      </c>
      <c r="E740" s="14" t="n">
        <v>735</v>
      </c>
      <c r="F740" s="15" t="n">
        <f aca="false">IF(D740="","",ROUND((D740-MIN($D$7:$D$9999))*86400,2))</f>
        <v>142.99</v>
      </c>
      <c r="G740" s="10" t="str">
        <f aca="false">IF(D740="","",IF(D740&lt;=($E$3*60+$F$3)/86400,"○",""))</f>
        <v/>
      </c>
      <c r="H740" s="16" t="n">
        <v>0.00638576388888889</v>
      </c>
      <c r="I740" s="17" t="n">
        <v>13</v>
      </c>
      <c r="J740" s="16" t="n">
        <v>0.00290115740740741</v>
      </c>
      <c r="K740" s="17" t="n">
        <v>956</v>
      </c>
      <c r="L740" s="17" t="n">
        <f aca="false">COUNT(E740,I740,K740)</f>
        <v>3</v>
      </c>
      <c r="M740" s="18" t="n">
        <f aca="false">(D740&lt;&gt;"")*(D740&lt;=($E$3*60+$F$3)/86400)+(H740&lt;&gt;"")*(H740&lt;=($I$3*60+$J$3)/86400)+(J740&lt;&gt;"")*(J740&lt;=($M$3*60+$N$3)/86400)</f>
        <v>1</v>
      </c>
      <c r="N740" s="20" t="s">
        <v>867</v>
      </c>
      <c r="O740" s="20"/>
      <c r="P740" s="20"/>
      <c r="Q740" s="19"/>
    </row>
    <row r="741" customFormat="false" ht="15" hidden="false" customHeight="false" outlineLevel="0" collapsed="false">
      <c r="A741" s="10" t="n">
        <v>735</v>
      </c>
      <c r="B741" s="11" t="s">
        <v>1234</v>
      </c>
      <c r="C741" s="12" t="s">
        <v>623</v>
      </c>
      <c r="D741" s="13" t="n">
        <v>0.010796875</v>
      </c>
      <c r="E741" s="14" t="n">
        <v>736</v>
      </c>
      <c r="F741" s="15" t="n">
        <f aca="false">IF(D741="","",ROUND((D741-MIN($D$7:$D$9999))*86400,2))</f>
        <v>143.11</v>
      </c>
      <c r="G741" s="10" t="str">
        <f aca="false">IF(D741="","",IF(D741&lt;=($E$3*60+$F$3)/86400,"○",""))</f>
        <v/>
      </c>
      <c r="H741" s="16"/>
      <c r="I741" s="17"/>
      <c r="J741" s="16" t="n">
        <v>0.0028587962962963</v>
      </c>
      <c r="K741" s="17" t="n">
        <v>628</v>
      </c>
      <c r="L741" s="17" t="n">
        <f aca="false">COUNT(E741,I741,K741)</f>
        <v>2</v>
      </c>
      <c r="M741" s="18" t="n">
        <f aca="false">(D741&lt;&gt;"")*(D741&lt;=($E$3*60+$F$3)/86400)+(H741&lt;&gt;"")*(H741&lt;=($I$3*60+$J$3)/86400)+(J741&lt;&gt;"")*(J741&lt;=($M$3*60+$N$3)/86400)</f>
        <v>0</v>
      </c>
      <c r="N741" s="20"/>
      <c r="O741" s="20" t="s">
        <v>1235</v>
      </c>
      <c r="P741" s="20"/>
      <c r="Q741" s="19"/>
    </row>
    <row r="742" customFormat="false" ht="15" hidden="false" customHeight="false" outlineLevel="0" collapsed="false">
      <c r="A742" s="10" t="n">
        <v>736</v>
      </c>
      <c r="B742" s="11" t="s">
        <v>1236</v>
      </c>
      <c r="C742" s="12" t="s">
        <v>1237</v>
      </c>
      <c r="D742" s="13" t="n">
        <v>0.0107971064814815</v>
      </c>
      <c r="E742" s="14" t="n">
        <v>737</v>
      </c>
      <c r="F742" s="15" t="n">
        <f aca="false">IF(D742="","",ROUND((D742-MIN($D$7:$D$9999))*86400,2))</f>
        <v>143.13</v>
      </c>
      <c r="G742" s="10" t="str">
        <f aca="false">IF(D742="","",IF(D742&lt;=($E$3*60+$F$3)/86400,"○",""))</f>
        <v/>
      </c>
      <c r="H742" s="16"/>
      <c r="I742" s="17"/>
      <c r="J742" s="16"/>
      <c r="K742" s="17"/>
      <c r="L742" s="17" t="n">
        <f aca="false">COUNT(E742,I742,K742)</f>
        <v>1</v>
      </c>
      <c r="M742" s="18" t="n">
        <f aca="false">(D742&lt;&gt;"")*(D742&lt;=($E$3*60+$F$3)/86400)+(H742&lt;&gt;"")*(H742&lt;=($I$3*60+$J$3)/86400)+(J742&lt;&gt;"")*(J742&lt;=($M$3*60+$N$3)/86400)</f>
        <v>0</v>
      </c>
      <c r="N742" s="20"/>
      <c r="O742" s="20"/>
      <c r="P742" s="20"/>
      <c r="Q742" s="19"/>
    </row>
    <row r="743" customFormat="false" ht="15" hidden="false" customHeight="false" outlineLevel="0" collapsed="false">
      <c r="A743" s="10" t="n">
        <v>737</v>
      </c>
      <c r="B743" s="11" t="s">
        <v>1238</v>
      </c>
      <c r="C743" s="12" t="s">
        <v>150</v>
      </c>
      <c r="D743" s="13" t="n">
        <v>0.0107975694444444</v>
      </c>
      <c r="E743" s="14" t="n">
        <v>738</v>
      </c>
      <c r="F743" s="15" t="n">
        <f aca="false">IF(D743="","",ROUND((D743-MIN($D$7:$D$9999))*86400,2))</f>
        <v>143.17</v>
      </c>
      <c r="G743" s="10" t="str">
        <f aca="false">IF(D743="","",IF(D743&lt;=($E$3*60+$F$3)/86400,"○",""))</f>
        <v/>
      </c>
      <c r="H743" s="16" t="n">
        <v>0.00665</v>
      </c>
      <c r="I743" s="17" t="n">
        <v>83</v>
      </c>
      <c r="J743" s="16" t="n">
        <v>0.00279027777777778</v>
      </c>
      <c r="K743" s="17" t="n">
        <v>241</v>
      </c>
      <c r="L743" s="17" t="n">
        <f aca="false">COUNT(E743,I743,K743)</f>
        <v>3</v>
      </c>
      <c r="M743" s="18" t="n">
        <f aca="false">(D743&lt;&gt;"")*(D743&lt;=($E$3*60+$F$3)/86400)+(H743&lt;&gt;"")*(H743&lt;=($I$3*60+$J$3)/86400)+(J743&lt;&gt;"")*(J743&lt;=($M$3*60+$N$3)/86400)</f>
        <v>0</v>
      </c>
      <c r="N743" s="20"/>
      <c r="O743" s="20"/>
      <c r="P743" s="20"/>
      <c r="Q743" s="19"/>
    </row>
    <row r="744" customFormat="false" ht="15" hidden="false" customHeight="false" outlineLevel="0" collapsed="false">
      <c r="A744" s="10" t="n">
        <v>738</v>
      </c>
      <c r="B744" s="11" t="s">
        <v>1239</v>
      </c>
      <c r="C744" s="12" t="s">
        <v>150</v>
      </c>
      <c r="D744" s="13" t="n">
        <v>0.0107994212962963</v>
      </c>
      <c r="E744" s="14" t="n">
        <v>739</v>
      </c>
      <c r="F744" s="15" t="n">
        <f aca="false">IF(D744="","",ROUND((D744-MIN($D$7:$D$9999))*86400,2))</f>
        <v>143.33</v>
      </c>
      <c r="G744" s="10" t="str">
        <f aca="false">IF(D744="","",IF(D744&lt;=($E$3*60+$F$3)/86400,"○",""))</f>
        <v/>
      </c>
      <c r="H744" s="16" t="n">
        <v>0.00673020833333333</v>
      </c>
      <c r="I744" s="17" t="n">
        <v>120</v>
      </c>
      <c r="J744" s="16" t="n">
        <v>0.00282962962962963</v>
      </c>
      <c r="K744" s="17" t="n">
        <v>424</v>
      </c>
      <c r="L744" s="17" t="n">
        <f aca="false">COUNT(E744,I744,K744)</f>
        <v>3</v>
      </c>
      <c r="M744" s="18" t="n">
        <f aca="false">(D744&lt;&gt;"")*(D744&lt;=($E$3*60+$F$3)/86400)+(H744&lt;&gt;"")*(H744&lt;=($I$3*60+$J$3)/86400)+(J744&lt;&gt;"")*(J744&lt;=($M$3*60+$N$3)/86400)</f>
        <v>0</v>
      </c>
      <c r="N744" s="20"/>
      <c r="O744" s="20"/>
      <c r="P744" s="20"/>
      <c r="Q744" s="19"/>
    </row>
    <row r="745" customFormat="false" ht="15" hidden="false" customHeight="false" outlineLevel="0" collapsed="false">
      <c r="A745" s="10" t="n">
        <v>739</v>
      </c>
      <c r="B745" s="11" t="s">
        <v>1240</v>
      </c>
      <c r="C745" s="12" t="s">
        <v>1216</v>
      </c>
      <c r="D745" s="13" t="n">
        <v>0.0108002314814815</v>
      </c>
      <c r="E745" s="14" t="n">
        <v>740</v>
      </c>
      <c r="F745" s="15" t="n">
        <f aca="false">IF(D745="","",ROUND((D745-MIN($D$7:$D$9999))*86400,2))</f>
        <v>143.4</v>
      </c>
      <c r="G745" s="10" t="str">
        <f aca="false">IF(D745="","",IF(D745&lt;=($E$3*60+$F$3)/86400,"○",""))</f>
        <v/>
      </c>
      <c r="H745" s="16"/>
      <c r="I745" s="17"/>
      <c r="J745" s="16" t="n">
        <v>0.00288263888888889</v>
      </c>
      <c r="K745" s="17" t="n">
        <v>799</v>
      </c>
      <c r="L745" s="17" t="n">
        <f aca="false">COUNT(E745,I745,K745)</f>
        <v>2</v>
      </c>
      <c r="M745" s="18" t="n">
        <f aca="false">(D745&lt;&gt;"")*(D745&lt;=($E$3*60+$F$3)/86400)+(H745&lt;&gt;"")*(H745&lt;=($I$3*60+$J$3)/86400)+(J745&lt;&gt;"")*(J745&lt;=($M$3*60+$N$3)/86400)</f>
        <v>0</v>
      </c>
      <c r="N745" s="20"/>
      <c r="O745" s="20"/>
      <c r="P745" s="20"/>
      <c r="Q745" s="19"/>
    </row>
    <row r="746" customFormat="false" ht="15" hidden="false" customHeight="false" outlineLevel="0" collapsed="false">
      <c r="A746" s="10" t="n">
        <v>740</v>
      </c>
      <c r="B746" s="11" t="s">
        <v>1241</v>
      </c>
      <c r="C746" s="12" t="s">
        <v>115</v>
      </c>
      <c r="D746" s="13" t="n">
        <v>0.0108009259259259</v>
      </c>
      <c r="E746" s="14" t="n">
        <v>741</v>
      </c>
      <c r="F746" s="15" t="n">
        <f aca="false">IF(D746="","",ROUND((D746-MIN($D$7:$D$9999))*86400,2))</f>
        <v>143.46</v>
      </c>
      <c r="G746" s="10" t="str">
        <f aca="false">IF(D746="","",IF(D746&lt;=($E$3*60+$F$3)/86400,"○",""))</f>
        <v/>
      </c>
      <c r="H746" s="16"/>
      <c r="I746" s="17"/>
      <c r="J746" s="16" t="n">
        <v>0.00291377314814815</v>
      </c>
      <c r="K746" s="17" t="n">
        <v>1049</v>
      </c>
      <c r="L746" s="17" t="n">
        <f aca="false">COUNT(E746,I746,K746)</f>
        <v>2</v>
      </c>
      <c r="M746" s="18" t="n">
        <f aca="false">(D746&lt;&gt;"")*(D746&lt;=($E$3*60+$F$3)/86400)+(H746&lt;&gt;"")*(H746&lt;=($I$3*60+$J$3)/86400)+(J746&lt;&gt;"")*(J746&lt;=($M$3*60+$N$3)/86400)</f>
        <v>0</v>
      </c>
      <c r="N746" s="20"/>
      <c r="O746" s="20"/>
      <c r="P746" s="20"/>
      <c r="Q746" s="19"/>
    </row>
    <row r="747" customFormat="false" ht="15" hidden="false" customHeight="false" outlineLevel="0" collapsed="false">
      <c r="A747" s="10" t="n">
        <v>741</v>
      </c>
      <c r="B747" s="11" t="s">
        <v>1242</v>
      </c>
      <c r="C747" s="20" t="s">
        <v>1243</v>
      </c>
      <c r="D747" s="13" t="n">
        <v>0.0108009259259259</v>
      </c>
      <c r="E747" s="14" t="n">
        <v>742</v>
      </c>
      <c r="F747" s="15" t="n">
        <f aca="false">IF(D747="","",ROUND((D747-MIN($D$7:$D$9999))*86400,2))</f>
        <v>143.46</v>
      </c>
      <c r="G747" s="10" t="str">
        <f aca="false">IF(D747="","",IF(D747&lt;=($E$3*60+$F$3)/86400,"○",""))</f>
        <v/>
      </c>
      <c r="H747" s="16"/>
      <c r="I747" s="17"/>
      <c r="J747" s="16"/>
      <c r="K747" s="17"/>
      <c r="L747" s="17" t="n">
        <f aca="false">COUNT(E747,I747,K747)</f>
        <v>1</v>
      </c>
      <c r="M747" s="18" t="n">
        <f aca="false">(D747&lt;&gt;"")*(D747&lt;=($E$3*60+$F$3)/86400)+(H747&lt;&gt;"")*(H747&lt;=($I$3*60+$J$3)/86400)+(J747&lt;&gt;"")*(J747&lt;=($M$3*60+$N$3)/86400)</f>
        <v>0</v>
      </c>
      <c r="N747" s="20"/>
      <c r="O747" s="20"/>
      <c r="P747" s="20"/>
      <c r="Q747" s="19"/>
    </row>
    <row r="748" customFormat="false" ht="15" hidden="false" customHeight="false" outlineLevel="0" collapsed="false">
      <c r="A748" s="10" t="n">
        <v>742</v>
      </c>
      <c r="B748" s="11" t="s">
        <v>1244</v>
      </c>
      <c r="C748" s="12" t="s">
        <v>1245</v>
      </c>
      <c r="D748" s="13" t="n">
        <v>0.0108010416666667</v>
      </c>
      <c r="E748" s="14" t="n">
        <v>743</v>
      </c>
      <c r="F748" s="15" t="n">
        <f aca="false">IF(D748="","",ROUND((D748-MIN($D$7:$D$9999))*86400,2))</f>
        <v>143.47</v>
      </c>
      <c r="G748" s="10" t="str">
        <f aca="false">IF(D748="","",IF(D748&lt;=($E$3*60+$F$3)/86400,"○",""))</f>
        <v/>
      </c>
      <c r="H748" s="16"/>
      <c r="I748" s="17"/>
      <c r="J748" s="16" t="n">
        <v>0.00291041666666667</v>
      </c>
      <c r="K748" s="17" t="n">
        <v>1025</v>
      </c>
      <c r="L748" s="17" t="n">
        <f aca="false">COUNT(E748,I748,K748)</f>
        <v>2</v>
      </c>
      <c r="M748" s="18" t="n">
        <f aca="false">(D748&lt;&gt;"")*(D748&lt;=($E$3*60+$F$3)/86400)+(H748&lt;&gt;"")*(H748&lt;=($I$3*60+$J$3)/86400)+(J748&lt;&gt;"")*(J748&lt;=($M$3*60+$N$3)/86400)</f>
        <v>0</v>
      </c>
      <c r="N748" s="20"/>
      <c r="O748" s="20"/>
      <c r="P748" s="20"/>
      <c r="Q748" s="19"/>
    </row>
    <row r="749" customFormat="false" ht="15" hidden="false" customHeight="false" outlineLevel="0" collapsed="false">
      <c r="A749" s="10" t="n">
        <v>743</v>
      </c>
      <c r="B749" s="11" t="s">
        <v>1246</v>
      </c>
      <c r="C749" s="12" t="s">
        <v>32</v>
      </c>
      <c r="D749" s="13" t="n">
        <v>0.0108013888888889</v>
      </c>
      <c r="E749" s="14" t="n">
        <v>744</v>
      </c>
      <c r="F749" s="15" t="n">
        <f aca="false">IF(D749="","",ROUND((D749-MIN($D$7:$D$9999))*86400,2))</f>
        <v>143.5</v>
      </c>
      <c r="G749" s="10" t="str">
        <f aca="false">IF(D749="","",IF(D749&lt;=($E$3*60+$F$3)/86400,"○",""))</f>
        <v/>
      </c>
      <c r="H749" s="16"/>
      <c r="I749" s="17"/>
      <c r="J749" s="16"/>
      <c r="K749" s="17"/>
      <c r="L749" s="17" t="n">
        <f aca="false">COUNT(E749,I749,K749)</f>
        <v>1</v>
      </c>
      <c r="M749" s="18" t="n">
        <f aca="false">(D749&lt;&gt;"")*(D749&lt;=($E$3*60+$F$3)/86400)+(H749&lt;&gt;"")*(H749&lt;=($I$3*60+$J$3)/86400)+(J749&lt;&gt;"")*(J749&lt;=($M$3*60+$N$3)/86400)</f>
        <v>0</v>
      </c>
      <c r="N749" s="20"/>
      <c r="O749" s="20"/>
      <c r="P749" s="20"/>
      <c r="Q749" s="19"/>
    </row>
    <row r="750" customFormat="false" ht="15" hidden="false" customHeight="false" outlineLevel="0" collapsed="false">
      <c r="A750" s="10" t="n">
        <v>744</v>
      </c>
      <c r="B750" s="11" t="s">
        <v>1247</v>
      </c>
      <c r="C750" s="12" t="s">
        <v>1248</v>
      </c>
      <c r="D750" s="13" t="n">
        <v>0.0108016203703704</v>
      </c>
      <c r="E750" s="14" t="n">
        <v>745</v>
      </c>
      <c r="F750" s="15" t="n">
        <f aca="false">IF(D750="","",ROUND((D750-MIN($D$7:$D$9999))*86400,2))</f>
        <v>143.52</v>
      </c>
      <c r="G750" s="10" t="str">
        <f aca="false">IF(D750="","",IF(D750&lt;=($E$3*60+$F$3)/86400,"○",""))</f>
        <v/>
      </c>
      <c r="H750" s="16"/>
      <c r="I750" s="17"/>
      <c r="J750" s="16"/>
      <c r="K750" s="17"/>
      <c r="L750" s="17" t="n">
        <f aca="false">COUNT(E750,I750,K750)</f>
        <v>1</v>
      </c>
      <c r="M750" s="18" t="n">
        <f aca="false">(D750&lt;&gt;"")*(D750&lt;=($E$3*60+$F$3)/86400)+(H750&lt;&gt;"")*(H750&lt;=($I$3*60+$J$3)/86400)+(J750&lt;&gt;"")*(J750&lt;=($M$3*60+$N$3)/86400)</f>
        <v>0</v>
      </c>
      <c r="N750" s="20"/>
      <c r="O750" s="20"/>
      <c r="P750" s="12" t="s">
        <v>1249</v>
      </c>
      <c r="Q750" s="19"/>
    </row>
    <row r="751" customFormat="false" ht="15" hidden="false" customHeight="false" outlineLevel="0" collapsed="false">
      <c r="A751" s="10" t="n">
        <v>745</v>
      </c>
      <c r="B751" s="11" t="s">
        <v>1250</v>
      </c>
      <c r="C751" s="12" t="s">
        <v>980</v>
      </c>
      <c r="D751" s="13" t="n">
        <v>0.0108021990740741</v>
      </c>
      <c r="E751" s="14" t="n">
        <v>746</v>
      </c>
      <c r="F751" s="15" t="n">
        <f aca="false">IF(D751="","",ROUND((D751-MIN($D$7:$D$9999))*86400,2))</f>
        <v>143.57</v>
      </c>
      <c r="G751" s="10" t="str">
        <f aca="false">IF(D751="","",IF(D751&lt;=($E$3*60+$F$3)/86400,"○",""))</f>
        <v/>
      </c>
      <c r="H751" s="16"/>
      <c r="I751" s="17"/>
      <c r="J751" s="16" t="n">
        <v>0.00288425925925926</v>
      </c>
      <c r="K751" s="17" t="n">
        <v>810</v>
      </c>
      <c r="L751" s="17" t="n">
        <f aca="false">COUNT(E751,I751,K751)</f>
        <v>2</v>
      </c>
      <c r="M751" s="18" t="n">
        <f aca="false">(D751&lt;&gt;"")*(D751&lt;=($E$3*60+$F$3)/86400)+(H751&lt;&gt;"")*(H751&lt;=($I$3*60+$J$3)/86400)+(J751&lt;&gt;"")*(J751&lt;=($M$3*60+$N$3)/86400)</f>
        <v>0</v>
      </c>
      <c r="N751" s="20"/>
      <c r="O751" s="20" t="s">
        <v>1251</v>
      </c>
      <c r="P751" s="20"/>
      <c r="Q751" s="19"/>
    </row>
    <row r="752" customFormat="false" ht="15" hidden="false" customHeight="false" outlineLevel="0" collapsed="false">
      <c r="A752" s="10" t="n">
        <v>746</v>
      </c>
      <c r="B752" s="11" t="s">
        <v>1252</v>
      </c>
      <c r="C752" s="12" t="s">
        <v>214</v>
      </c>
      <c r="D752" s="13" t="n">
        <v>0.0108023148148148</v>
      </c>
      <c r="E752" s="14" t="n">
        <v>747</v>
      </c>
      <c r="F752" s="15" t="n">
        <f aca="false">IF(D752="","",ROUND((D752-MIN($D$7:$D$9999))*86400,2))</f>
        <v>143.58</v>
      </c>
      <c r="G752" s="10" t="str">
        <f aca="false">IF(D752="","",IF(D752&lt;=($E$3*60+$F$3)/86400,"○",""))</f>
        <v/>
      </c>
      <c r="H752" s="16" t="n">
        <v>0.00692986111111111</v>
      </c>
      <c r="I752" s="17" t="n">
        <v>273</v>
      </c>
      <c r="J752" s="16" t="n">
        <v>0.00288194444444444</v>
      </c>
      <c r="K752" s="17" t="n">
        <v>791</v>
      </c>
      <c r="L752" s="17" t="n">
        <f aca="false">COUNT(E752,I752,K752)</f>
        <v>3</v>
      </c>
      <c r="M752" s="18" t="n">
        <f aca="false">(D752&lt;&gt;"")*(D752&lt;=($E$3*60+$F$3)/86400)+(H752&lt;&gt;"")*(H752&lt;=($I$3*60+$J$3)/86400)+(J752&lt;&gt;"")*(J752&lt;=($M$3*60+$N$3)/86400)</f>
        <v>0</v>
      </c>
      <c r="N752" s="20"/>
      <c r="O752" s="20"/>
      <c r="P752" s="20"/>
      <c r="Q752" s="19"/>
    </row>
    <row r="753" customFormat="false" ht="15" hidden="false" customHeight="false" outlineLevel="0" collapsed="false">
      <c r="A753" s="10" t="n">
        <v>747</v>
      </c>
      <c r="B753" s="11" t="s">
        <v>1253</v>
      </c>
      <c r="C753" s="12" t="s">
        <v>40</v>
      </c>
      <c r="D753" s="13" t="n">
        <v>0.0108025462962963</v>
      </c>
      <c r="E753" s="14" t="n">
        <v>748</v>
      </c>
      <c r="F753" s="15" t="n">
        <f aca="false">IF(D753="","",ROUND((D753-MIN($D$7:$D$9999))*86400,2))</f>
        <v>143.6</v>
      </c>
      <c r="G753" s="10" t="str">
        <f aca="false">IF(D753="","",IF(D753&lt;=($E$3*60+$F$3)/86400,"○",""))</f>
        <v/>
      </c>
      <c r="H753" s="16"/>
      <c r="I753" s="17"/>
      <c r="J753" s="16"/>
      <c r="K753" s="17"/>
      <c r="L753" s="17" t="n">
        <f aca="false">COUNT(E753,I753,K753)</f>
        <v>1</v>
      </c>
      <c r="M753" s="18" t="n">
        <f aca="false">(D753&lt;&gt;"")*(D753&lt;=($E$3*60+$F$3)/86400)+(H753&lt;&gt;"")*(H753&lt;=($I$3*60+$J$3)/86400)+(J753&lt;&gt;"")*(J753&lt;=($M$3*60+$N$3)/86400)</f>
        <v>0</v>
      </c>
      <c r="N753" s="20"/>
      <c r="O753" s="20" t="s">
        <v>971</v>
      </c>
      <c r="P753" s="20"/>
      <c r="Q753" s="19"/>
    </row>
    <row r="754" customFormat="false" ht="15" hidden="false" customHeight="false" outlineLevel="0" collapsed="false">
      <c r="A754" s="10" t="n">
        <v>748</v>
      </c>
      <c r="B754" s="11" t="s">
        <v>1254</v>
      </c>
      <c r="C754" s="12" t="s">
        <v>1255</v>
      </c>
      <c r="D754" s="13" t="n">
        <v>0.010803125</v>
      </c>
      <c r="E754" s="14" t="n">
        <v>749</v>
      </c>
      <c r="F754" s="15" t="n">
        <f aca="false">IF(D754="","",ROUND((D754-MIN($D$7:$D$9999))*86400,2))</f>
        <v>143.65</v>
      </c>
      <c r="G754" s="10" t="str">
        <f aca="false">IF(D754="","",IF(D754&lt;=($E$3*60+$F$3)/86400,"○",""))</f>
        <v/>
      </c>
      <c r="H754" s="16"/>
      <c r="I754" s="17"/>
      <c r="J754" s="16" t="n">
        <v>0.00279560185185185</v>
      </c>
      <c r="K754" s="17" t="n">
        <v>264</v>
      </c>
      <c r="L754" s="17" t="n">
        <f aca="false">COUNT(E754,I754,K754)</f>
        <v>2</v>
      </c>
      <c r="M754" s="18" t="n">
        <f aca="false">(D754&lt;&gt;"")*(D754&lt;=($E$3*60+$F$3)/86400)+(H754&lt;&gt;"")*(H754&lt;=($I$3*60+$J$3)/86400)+(J754&lt;&gt;"")*(J754&lt;=($M$3*60+$N$3)/86400)</f>
        <v>0</v>
      </c>
      <c r="N754" s="20"/>
      <c r="O754" s="20"/>
      <c r="P754" s="20"/>
      <c r="Q754" s="19"/>
    </row>
    <row r="755" customFormat="false" ht="15" hidden="false" customHeight="false" outlineLevel="0" collapsed="false">
      <c r="A755" s="10" t="n">
        <v>749</v>
      </c>
      <c r="B755" s="11" t="s">
        <v>1256</v>
      </c>
      <c r="C755" s="12" t="s">
        <v>77</v>
      </c>
      <c r="D755" s="13" t="n">
        <v>0.0108045138888889</v>
      </c>
      <c r="E755" s="14" t="n">
        <v>750</v>
      </c>
      <c r="F755" s="15" t="n">
        <f aca="false">IF(D755="","",ROUND((D755-MIN($D$7:$D$9999))*86400,2))</f>
        <v>143.77</v>
      </c>
      <c r="G755" s="10" t="str">
        <f aca="false">IF(D755="","",IF(D755&lt;=($E$3*60+$F$3)/86400,"○",""))</f>
        <v/>
      </c>
      <c r="H755" s="16"/>
      <c r="I755" s="17"/>
      <c r="J755" s="16" t="n">
        <v>0.0028556712962963</v>
      </c>
      <c r="K755" s="17" t="n">
        <v>602</v>
      </c>
      <c r="L755" s="17" t="n">
        <f aca="false">COUNT(E755,I755,K755)</f>
        <v>2</v>
      </c>
      <c r="M755" s="18" t="n">
        <f aca="false">(D755&lt;&gt;"")*(D755&lt;=($E$3*60+$F$3)/86400)+(H755&lt;&gt;"")*(H755&lt;=($I$3*60+$J$3)/86400)+(J755&lt;&gt;"")*(J755&lt;=($M$3*60+$N$3)/86400)</f>
        <v>0</v>
      </c>
      <c r="N755" s="20"/>
      <c r="O755" s="20" t="s">
        <v>1257</v>
      </c>
      <c r="P755" s="20"/>
      <c r="Q755" s="19"/>
    </row>
    <row r="756" customFormat="false" ht="15" hidden="false" customHeight="false" outlineLevel="0" collapsed="false">
      <c r="A756" s="10" t="n">
        <v>750</v>
      </c>
      <c r="B756" s="11" t="s">
        <v>1258</v>
      </c>
      <c r="C756" s="12" t="s">
        <v>1259</v>
      </c>
      <c r="D756" s="13" t="n">
        <v>0.0108052083333333</v>
      </c>
      <c r="E756" s="14" t="n">
        <v>751</v>
      </c>
      <c r="F756" s="15" t="n">
        <f aca="false">IF(D756="","",ROUND((D756-MIN($D$7:$D$9999))*86400,2))</f>
        <v>143.83</v>
      </c>
      <c r="G756" s="10" t="str">
        <f aca="false">IF(D756="","",IF(D756&lt;=($E$3*60+$F$3)/86400,"○",""))</f>
        <v/>
      </c>
      <c r="H756" s="16" t="n">
        <v>0.00641087962962963</v>
      </c>
      <c r="I756" s="17" t="n">
        <v>17</v>
      </c>
      <c r="J756" s="16" t="n">
        <v>0.00279456018518519</v>
      </c>
      <c r="K756" s="17" t="n">
        <v>257</v>
      </c>
      <c r="L756" s="17" t="n">
        <f aca="false">COUNT(E756,I756,K756)</f>
        <v>3</v>
      </c>
      <c r="M756" s="18" t="n">
        <f aca="false">(D756&lt;&gt;"")*(D756&lt;=($E$3*60+$F$3)/86400)+(H756&lt;&gt;"")*(H756&lt;=($I$3*60+$J$3)/86400)+(J756&lt;&gt;"")*(J756&lt;=($M$3*60+$N$3)/86400)</f>
        <v>1</v>
      </c>
      <c r="N756" s="20"/>
      <c r="O756" s="20"/>
      <c r="P756" s="20"/>
      <c r="Q756" s="19"/>
    </row>
    <row r="757" customFormat="false" ht="15" hidden="false" customHeight="false" outlineLevel="0" collapsed="false">
      <c r="A757" s="10" t="n">
        <v>751</v>
      </c>
      <c r="B757" s="11" t="s">
        <v>1260</v>
      </c>
      <c r="C757" s="12" t="s">
        <v>1261</v>
      </c>
      <c r="D757" s="13" t="n">
        <v>0.0108053240740741</v>
      </c>
      <c r="E757" s="14" t="n">
        <v>752</v>
      </c>
      <c r="F757" s="15" t="n">
        <f aca="false">IF(D757="","",ROUND((D757-MIN($D$7:$D$9999))*86400,2))</f>
        <v>143.84</v>
      </c>
      <c r="G757" s="10" t="str">
        <f aca="false">IF(D757="","",IF(D757&lt;=($E$3*60+$F$3)/86400,"○",""))</f>
        <v/>
      </c>
      <c r="H757" s="16"/>
      <c r="I757" s="17"/>
      <c r="J757" s="16" t="n">
        <v>0.00287106481481482</v>
      </c>
      <c r="K757" s="17" t="n">
        <v>706</v>
      </c>
      <c r="L757" s="17" t="n">
        <f aca="false">COUNT(E757,I757,K757)</f>
        <v>2</v>
      </c>
      <c r="M757" s="18" t="n">
        <f aca="false">(D757&lt;&gt;"")*(D757&lt;=($E$3*60+$F$3)/86400)+(H757&lt;&gt;"")*(H757&lt;=($I$3*60+$J$3)/86400)+(J757&lt;&gt;"")*(J757&lt;=($M$3*60+$N$3)/86400)</f>
        <v>0</v>
      </c>
      <c r="N757" s="20"/>
      <c r="O757" s="20"/>
      <c r="P757" s="12" t="s">
        <v>1262</v>
      </c>
      <c r="Q757" s="19"/>
    </row>
    <row r="758" customFormat="false" ht="15" hidden="false" customHeight="false" outlineLevel="0" collapsed="false">
      <c r="A758" s="10" t="n">
        <v>752</v>
      </c>
      <c r="B758" s="11" t="s">
        <v>1263</v>
      </c>
      <c r="C758" s="12" t="s">
        <v>96</v>
      </c>
      <c r="D758" s="13" t="n">
        <v>0.0108053240740741</v>
      </c>
      <c r="E758" s="14" t="n">
        <v>753</v>
      </c>
      <c r="F758" s="15" t="n">
        <f aca="false">IF(D758="","",ROUND((D758-MIN($D$7:$D$9999))*86400,2))</f>
        <v>143.84</v>
      </c>
      <c r="G758" s="10" t="str">
        <f aca="false">IF(D758="","",IF(D758&lt;=($E$3*60+$F$3)/86400,"○",""))</f>
        <v/>
      </c>
      <c r="H758" s="16"/>
      <c r="I758" s="17"/>
      <c r="J758" s="16"/>
      <c r="K758" s="17"/>
      <c r="L758" s="17" t="n">
        <f aca="false">COUNT(E758,I758,K758)</f>
        <v>1</v>
      </c>
      <c r="M758" s="18" t="n">
        <f aca="false">(D758&lt;&gt;"")*(D758&lt;=($E$3*60+$F$3)/86400)+(H758&lt;&gt;"")*(H758&lt;=($I$3*60+$J$3)/86400)+(J758&lt;&gt;"")*(J758&lt;=($M$3*60+$N$3)/86400)</f>
        <v>0</v>
      </c>
      <c r="N758" s="20"/>
      <c r="O758" s="20"/>
      <c r="P758" s="20"/>
      <c r="Q758" s="19"/>
    </row>
    <row r="759" customFormat="false" ht="15" hidden="false" customHeight="false" outlineLevel="0" collapsed="false">
      <c r="A759" s="10" t="n">
        <v>753</v>
      </c>
      <c r="B759" s="11" t="s">
        <v>1264</v>
      </c>
      <c r="C759" s="12" t="s">
        <v>1265</v>
      </c>
      <c r="D759" s="13" t="n">
        <v>0.0108061342592593</v>
      </c>
      <c r="E759" s="14" t="n">
        <v>754</v>
      </c>
      <c r="F759" s="15" t="n">
        <f aca="false">IF(D759="","",ROUND((D759-MIN($D$7:$D$9999))*86400,2))</f>
        <v>143.91</v>
      </c>
      <c r="G759" s="10" t="str">
        <f aca="false">IF(D759="","",IF(D759&lt;=($E$3*60+$F$3)/86400,"○",""))</f>
        <v/>
      </c>
      <c r="H759" s="16"/>
      <c r="I759" s="17"/>
      <c r="J759" s="16" t="n">
        <v>0.00294814814814815</v>
      </c>
      <c r="K759" s="17" t="n">
        <v>1228</v>
      </c>
      <c r="L759" s="17" t="n">
        <f aca="false">COUNT(E759,I759,K759)</f>
        <v>2</v>
      </c>
      <c r="M759" s="18" t="n">
        <f aca="false">(D759&lt;&gt;"")*(D759&lt;=($E$3*60+$F$3)/86400)+(H759&lt;&gt;"")*(H759&lt;=($I$3*60+$J$3)/86400)+(J759&lt;&gt;"")*(J759&lt;=($M$3*60+$N$3)/86400)</f>
        <v>0</v>
      </c>
      <c r="N759" s="20"/>
      <c r="O759" s="20"/>
      <c r="P759" s="20"/>
      <c r="Q759" s="19"/>
    </row>
    <row r="760" customFormat="false" ht="15" hidden="false" customHeight="false" outlineLevel="0" collapsed="false">
      <c r="A760" s="10" t="n">
        <v>754</v>
      </c>
      <c r="B760" s="11" t="s">
        <v>1266</v>
      </c>
      <c r="C760" s="12" t="s">
        <v>417</v>
      </c>
      <c r="D760" s="13" t="n">
        <v>0.0108063657407407</v>
      </c>
      <c r="E760" s="14" t="n">
        <v>755</v>
      </c>
      <c r="F760" s="15" t="n">
        <f aca="false">IF(D760="","",ROUND((D760-MIN($D$7:$D$9999))*86400,2))</f>
        <v>143.93</v>
      </c>
      <c r="G760" s="10" t="str">
        <f aca="false">IF(D760="","",IF(D760&lt;=($E$3*60+$F$3)/86400,"○",""))</f>
        <v/>
      </c>
      <c r="H760" s="16"/>
      <c r="I760" s="17"/>
      <c r="J760" s="16"/>
      <c r="K760" s="17"/>
      <c r="L760" s="17" t="n">
        <f aca="false">COUNT(E760,I760,K760)</f>
        <v>1</v>
      </c>
      <c r="M760" s="18" t="n">
        <f aca="false">(D760&lt;&gt;"")*(D760&lt;=($E$3*60+$F$3)/86400)+(H760&lt;&gt;"")*(H760&lt;=($I$3*60+$J$3)/86400)+(J760&lt;&gt;"")*(J760&lt;=($M$3*60+$N$3)/86400)</f>
        <v>0</v>
      </c>
      <c r="N760" s="20"/>
      <c r="O760" s="20"/>
      <c r="P760" s="20"/>
      <c r="Q760" s="19"/>
    </row>
    <row r="761" customFormat="false" ht="15" hidden="false" customHeight="false" outlineLevel="0" collapsed="false">
      <c r="A761" s="10" t="n">
        <v>755</v>
      </c>
      <c r="B761" s="11" t="s">
        <v>1267</v>
      </c>
      <c r="C761" s="12" t="s">
        <v>214</v>
      </c>
      <c r="D761" s="13" t="n">
        <v>0.0108065972222222</v>
      </c>
      <c r="E761" s="14" t="n">
        <v>756</v>
      </c>
      <c r="F761" s="15" t="n">
        <f aca="false">IF(D761="","",ROUND((D761-MIN($D$7:$D$9999))*86400,2))</f>
        <v>143.95</v>
      </c>
      <c r="G761" s="10" t="str">
        <f aca="false">IF(D761="","",IF(D761&lt;=($E$3*60+$F$3)/86400,"○",""))</f>
        <v/>
      </c>
      <c r="H761" s="16"/>
      <c r="I761" s="17"/>
      <c r="J761" s="16" t="n">
        <v>0.00278055555555556</v>
      </c>
      <c r="K761" s="17" t="n">
        <v>203</v>
      </c>
      <c r="L761" s="17" t="n">
        <f aca="false">COUNT(E761,I761,K761)</f>
        <v>2</v>
      </c>
      <c r="M761" s="18" t="n">
        <f aca="false">(D761&lt;&gt;"")*(D761&lt;=($E$3*60+$F$3)/86400)+(H761&lt;&gt;"")*(H761&lt;=($I$3*60+$J$3)/86400)+(J761&lt;&gt;"")*(J761&lt;=($M$3*60+$N$3)/86400)</f>
        <v>0</v>
      </c>
      <c r="N761" s="20"/>
      <c r="O761" s="20"/>
      <c r="P761" s="20"/>
      <c r="Q761" s="19"/>
    </row>
    <row r="762" customFormat="false" ht="15" hidden="false" customHeight="false" outlineLevel="0" collapsed="false">
      <c r="A762" s="10" t="n">
        <v>756</v>
      </c>
      <c r="B762" s="11" t="s">
        <v>1268</v>
      </c>
      <c r="C762" s="12" t="s">
        <v>1269</v>
      </c>
      <c r="D762" s="13" t="n">
        <v>0.0108070601851852</v>
      </c>
      <c r="E762" s="14" t="n">
        <v>757</v>
      </c>
      <c r="F762" s="15" t="n">
        <f aca="false">IF(D762="","",ROUND((D762-MIN($D$7:$D$9999))*86400,2))</f>
        <v>143.99</v>
      </c>
      <c r="G762" s="10" t="str">
        <f aca="false">IF(D762="","",IF(D762&lt;=($E$3*60+$F$3)/86400,"○",""))</f>
        <v/>
      </c>
      <c r="H762" s="16"/>
      <c r="I762" s="17"/>
      <c r="J762" s="16" t="n">
        <v>0.00279814814814815</v>
      </c>
      <c r="K762" s="17" t="n">
        <v>275</v>
      </c>
      <c r="L762" s="17" t="n">
        <f aca="false">COUNT(E762,I762,K762)</f>
        <v>2</v>
      </c>
      <c r="M762" s="18" t="n">
        <f aca="false">(D762&lt;&gt;"")*(D762&lt;=($E$3*60+$F$3)/86400)+(H762&lt;&gt;"")*(H762&lt;=($I$3*60+$J$3)/86400)+(J762&lt;&gt;"")*(J762&lt;=($M$3*60+$N$3)/86400)</f>
        <v>0</v>
      </c>
      <c r="N762" s="20"/>
      <c r="O762" s="20"/>
      <c r="P762" s="20"/>
      <c r="Q762" s="19"/>
    </row>
    <row r="763" customFormat="false" ht="15" hidden="false" customHeight="false" outlineLevel="0" collapsed="false">
      <c r="A763" s="10" t="n">
        <v>757</v>
      </c>
      <c r="B763" s="11" t="s">
        <v>1270</v>
      </c>
      <c r="C763" s="12" t="s">
        <v>165</v>
      </c>
      <c r="D763" s="13" t="n">
        <v>0.0108075231481482</v>
      </c>
      <c r="E763" s="14" t="n">
        <v>758</v>
      </c>
      <c r="F763" s="15" t="n">
        <f aca="false">IF(D763="","",ROUND((D763-MIN($D$7:$D$9999))*86400,2))</f>
        <v>144.03</v>
      </c>
      <c r="G763" s="10" t="str">
        <f aca="false">IF(D763="","",IF(D763&lt;=($E$3*60+$F$3)/86400,"○",""))</f>
        <v/>
      </c>
      <c r="H763" s="16"/>
      <c r="I763" s="17"/>
      <c r="J763" s="16"/>
      <c r="K763" s="17"/>
      <c r="L763" s="17" t="n">
        <f aca="false">COUNT(E763,I763,K763)</f>
        <v>1</v>
      </c>
      <c r="M763" s="18" t="n">
        <f aca="false">(D763&lt;&gt;"")*(D763&lt;=($E$3*60+$F$3)/86400)+(H763&lt;&gt;"")*(H763&lt;=($I$3*60+$J$3)/86400)+(J763&lt;&gt;"")*(J763&lt;=($M$3*60+$N$3)/86400)</f>
        <v>0</v>
      </c>
      <c r="N763" s="20"/>
      <c r="O763" s="20"/>
      <c r="P763" s="20"/>
      <c r="Q763" s="19"/>
    </row>
    <row r="764" customFormat="false" ht="15" hidden="false" customHeight="false" outlineLevel="0" collapsed="false">
      <c r="A764" s="10" t="n">
        <v>758</v>
      </c>
      <c r="B764" s="11" t="s">
        <v>1271</v>
      </c>
      <c r="C764" s="12" t="s">
        <v>1148</v>
      </c>
      <c r="D764" s="13" t="n">
        <v>0.0108078703703704</v>
      </c>
      <c r="E764" s="14" t="n">
        <v>759</v>
      </c>
      <c r="F764" s="15" t="n">
        <f aca="false">IF(D764="","",ROUND((D764-MIN($D$7:$D$9999))*86400,2))</f>
        <v>144.06</v>
      </c>
      <c r="G764" s="10" t="str">
        <f aca="false">IF(D764="","",IF(D764&lt;=($E$3*60+$F$3)/86400,"○",""))</f>
        <v/>
      </c>
      <c r="H764" s="16"/>
      <c r="I764" s="17"/>
      <c r="J764" s="16"/>
      <c r="K764" s="17"/>
      <c r="L764" s="17" t="n">
        <f aca="false">COUNT(E764,I764,K764)</f>
        <v>1</v>
      </c>
      <c r="M764" s="18" t="n">
        <f aca="false">(D764&lt;&gt;"")*(D764&lt;=($E$3*60+$F$3)/86400)+(H764&lt;&gt;"")*(H764&lt;=($I$3*60+$J$3)/86400)+(J764&lt;&gt;"")*(J764&lt;=($M$3*60+$N$3)/86400)</f>
        <v>0</v>
      </c>
      <c r="N764" s="20"/>
      <c r="O764" s="20"/>
      <c r="P764" s="20"/>
      <c r="Q764" s="19"/>
    </row>
    <row r="765" customFormat="false" ht="15" hidden="false" customHeight="false" outlineLevel="0" collapsed="false">
      <c r="A765" s="10" t="n">
        <v>759</v>
      </c>
      <c r="B765" s="11" t="s">
        <v>1272</v>
      </c>
      <c r="C765" s="12" t="s">
        <v>256</v>
      </c>
      <c r="D765" s="13" t="n">
        <v>0.0108078703703704</v>
      </c>
      <c r="E765" s="14" t="n">
        <v>760</v>
      </c>
      <c r="F765" s="15" t="n">
        <f aca="false">IF(D765="","",ROUND((D765-MIN($D$7:$D$9999))*86400,2))</f>
        <v>144.06</v>
      </c>
      <c r="G765" s="10" t="str">
        <f aca="false">IF(D765="","",IF(D765&lt;=($E$3*60+$F$3)/86400,"○",""))</f>
        <v/>
      </c>
      <c r="H765" s="16" t="n">
        <v>0.00676238425925926</v>
      </c>
      <c r="I765" s="17" t="n">
        <v>138</v>
      </c>
      <c r="J765" s="16"/>
      <c r="K765" s="17"/>
      <c r="L765" s="17" t="n">
        <f aca="false">COUNT(E765,I765,K765)</f>
        <v>2</v>
      </c>
      <c r="M765" s="18" t="n">
        <f aca="false">(D765&lt;&gt;"")*(D765&lt;=($E$3*60+$F$3)/86400)+(H765&lt;&gt;"")*(H765&lt;=($I$3*60+$J$3)/86400)+(J765&lt;&gt;"")*(J765&lt;=($M$3*60+$N$3)/86400)</f>
        <v>0</v>
      </c>
      <c r="N765" s="20"/>
      <c r="O765" s="20"/>
      <c r="P765" s="20"/>
      <c r="Q765" s="19"/>
    </row>
    <row r="766" customFormat="false" ht="15" hidden="false" customHeight="false" outlineLevel="0" collapsed="false">
      <c r="A766" s="10" t="n">
        <v>760</v>
      </c>
      <c r="B766" s="11" t="s">
        <v>1273</v>
      </c>
      <c r="C766" s="12" t="s">
        <v>1274</v>
      </c>
      <c r="D766" s="13" t="n">
        <v>0.0108081018518519</v>
      </c>
      <c r="E766" s="14" t="n">
        <v>761</v>
      </c>
      <c r="F766" s="15" t="n">
        <f aca="false">IF(D766="","",ROUND((D766-MIN($D$7:$D$9999))*86400,2))</f>
        <v>144.08</v>
      </c>
      <c r="G766" s="10" t="str">
        <f aca="false">IF(D766="","",IF(D766&lt;=($E$3*60+$F$3)/86400,"○",""))</f>
        <v/>
      </c>
      <c r="H766" s="16"/>
      <c r="I766" s="17"/>
      <c r="J766" s="16" t="n">
        <v>0.00289467592592593</v>
      </c>
      <c r="K766" s="17" t="n">
        <v>908</v>
      </c>
      <c r="L766" s="17" t="n">
        <f aca="false">COUNT(E766,I766,K766)</f>
        <v>2</v>
      </c>
      <c r="M766" s="18" t="n">
        <f aca="false">(D766&lt;&gt;"")*(D766&lt;=($E$3*60+$F$3)/86400)+(H766&lt;&gt;"")*(H766&lt;=($I$3*60+$J$3)/86400)+(J766&lt;&gt;"")*(J766&lt;=($M$3*60+$N$3)/86400)</f>
        <v>0</v>
      </c>
      <c r="N766" s="20"/>
      <c r="O766" s="20"/>
      <c r="P766" s="20"/>
      <c r="Q766" s="19"/>
    </row>
    <row r="767" customFormat="false" ht="15" hidden="false" customHeight="false" outlineLevel="0" collapsed="false">
      <c r="A767" s="10" t="n">
        <v>761</v>
      </c>
      <c r="B767" s="11" t="s">
        <v>1275</v>
      </c>
      <c r="C767" s="12" t="s">
        <v>137</v>
      </c>
      <c r="D767" s="13" t="n">
        <v>0.0108086805555556</v>
      </c>
      <c r="E767" s="14" t="n">
        <v>762</v>
      </c>
      <c r="F767" s="15" t="n">
        <f aca="false">IF(D767="","",ROUND((D767-MIN($D$7:$D$9999))*86400,2))</f>
        <v>144.13</v>
      </c>
      <c r="G767" s="10" t="str">
        <f aca="false">IF(D767="","",IF(D767&lt;=($E$3*60+$F$3)/86400,"○",""))</f>
        <v/>
      </c>
      <c r="H767" s="16"/>
      <c r="I767" s="17"/>
      <c r="J767" s="16"/>
      <c r="K767" s="17"/>
      <c r="L767" s="17" t="n">
        <f aca="false">COUNT(E767,I767,K767)</f>
        <v>1</v>
      </c>
      <c r="M767" s="18" t="n">
        <f aca="false">(D767&lt;&gt;"")*(D767&lt;=($E$3*60+$F$3)/86400)+(H767&lt;&gt;"")*(H767&lt;=($I$3*60+$J$3)/86400)+(J767&lt;&gt;"")*(J767&lt;=($M$3*60+$N$3)/86400)</f>
        <v>0</v>
      </c>
      <c r="N767" s="20"/>
      <c r="O767" s="20"/>
      <c r="P767" s="20"/>
      <c r="Q767" s="19"/>
    </row>
    <row r="768" customFormat="false" ht="15" hidden="false" customHeight="false" outlineLevel="0" collapsed="false">
      <c r="A768" s="10" t="n">
        <v>762</v>
      </c>
      <c r="B768" s="11" t="s">
        <v>1276</v>
      </c>
      <c r="C768" s="12" t="s">
        <v>1131</v>
      </c>
      <c r="D768" s="13" t="n">
        <v>0.0108096064814815</v>
      </c>
      <c r="E768" s="14" t="n">
        <v>763</v>
      </c>
      <c r="F768" s="15" t="n">
        <f aca="false">IF(D768="","",ROUND((D768-MIN($D$7:$D$9999))*86400,2))</f>
        <v>144.21</v>
      </c>
      <c r="G768" s="10" t="str">
        <f aca="false">IF(D768="","",IF(D768&lt;=($E$3*60+$F$3)/86400,"○",""))</f>
        <v/>
      </c>
      <c r="H768" s="16"/>
      <c r="I768" s="17"/>
      <c r="J768" s="16"/>
      <c r="K768" s="17"/>
      <c r="L768" s="17" t="n">
        <f aca="false">COUNT(E768,I768,K768)</f>
        <v>1</v>
      </c>
      <c r="M768" s="18" t="n">
        <f aca="false">(D768&lt;&gt;"")*(D768&lt;=($E$3*60+$F$3)/86400)+(H768&lt;&gt;"")*(H768&lt;=($I$3*60+$J$3)/86400)+(J768&lt;&gt;"")*(J768&lt;=($M$3*60+$N$3)/86400)</f>
        <v>0</v>
      </c>
      <c r="N768" s="20" t="s">
        <v>1277</v>
      </c>
      <c r="O768" s="20"/>
      <c r="P768" s="20"/>
      <c r="Q768" s="19"/>
    </row>
    <row r="769" customFormat="false" ht="15" hidden="false" customHeight="false" outlineLevel="0" collapsed="false">
      <c r="A769" s="10" t="n">
        <v>763</v>
      </c>
      <c r="B769" s="11" t="s">
        <v>1278</v>
      </c>
      <c r="C769" s="12" t="s">
        <v>757</v>
      </c>
      <c r="D769" s="13" t="n">
        <v>0.0108100694444445</v>
      </c>
      <c r="E769" s="14" t="n">
        <v>764</v>
      </c>
      <c r="F769" s="15" t="n">
        <f aca="false">IF(D769="","",ROUND((D769-MIN($D$7:$D$9999))*86400,2))</f>
        <v>144.25</v>
      </c>
      <c r="G769" s="10" t="str">
        <f aca="false">IF(D769="","",IF(D769&lt;=($E$3*60+$F$3)/86400,"○",""))</f>
        <v/>
      </c>
      <c r="H769" s="16"/>
      <c r="I769" s="17"/>
      <c r="J769" s="16" t="n">
        <v>0.00286712962962963</v>
      </c>
      <c r="K769" s="17" t="n">
        <v>676</v>
      </c>
      <c r="L769" s="17" t="n">
        <f aca="false">COUNT(E769,I769,K769)</f>
        <v>2</v>
      </c>
      <c r="M769" s="18" t="n">
        <f aca="false">(D769&lt;&gt;"")*(D769&lt;=($E$3*60+$F$3)/86400)+(H769&lt;&gt;"")*(H769&lt;=($I$3*60+$J$3)/86400)+(J769&lt;&gt;"")*(J769&lt;=($M$3*60+$N$3)/86400)</f>
        <v>0</v>
      </c>
      <c r="N769" s="20"/>
      <c r="O769" s="20"/>
      <c r="P769" s="20"/>
      <c r="Q769" s="19"/>
    </row>
    <row r="770" customFormat="false" ht="15" hidden="false" customHeight="false" outlineLevel="0" collapsed="false">
      <c r="A770" s="10" t="n">
        <v>764</v>
      </c>
      <c r="B770" s="11" t="s">
        <v>1279</v>
      </c>
      <c r="C770" s="12" t="s">
        <v>351</v>
      </c>
      <c r="D770" s="13" t="n">
        <v>0.0108108796296296</v>
      </c>
      <c r="E770" s="14" t="n">
        <v>765</v>
      </c>
      <c r="F770" s="15" t="n">
        <f aca="false">IF(D770="","",ROUND((D770-MIN($D$7:$D$9999))*86400,2))</f>
        <v>144.32</v>
      </c>
      <c r="G770" s="10" t="str">
        <f aca="false">IF(D770="","",IF(D770&lt;=($E$3*60+$F$3)/86400,"○",""))</f>
        <v/>
      </c>
      <c r="H770" s="16"/>
      <c r="I770" s="17"/>
      <c r="J770" s="16" t="n">
        <v>0.0029775462962963</v>
      </c>
      <c r="K770" s="17" t="n">
        <v>1344</v>
      </c>
      <c r="L770" s="17" t="n">
        <f aca="false">COUNT(E770,I770,K770)</f>
        <v>2</v>
      </c>
      <c r="M770" s="18" t="n">
        <f aca="false">(D770&lt;&gt;"")*(D770&lt;=($E$3*60+$F$3)/86400)+(H770&lt;&gt;"")*(H770&lt;=($I$3*60+$J$3)/86400)+(J770&lt;&gt;"")*(J770&lt;=($M$3*60+$N$3)/86400)</f>
        <v>0</v>
      </c>
      <c r="N770" s="20"/>
      <c r="O770" s="20"/>
      <c r="P770" s="20"/>
      <c r="Q770" s="19"/>
    </row>
    <row r="771" customFormat="false" ht="15" hidden="false" customHeight="false" outlineLevel="0" collapsed="false">
      <c r="A771" s="10" t="n">
        <v>765</v>
      </c>
      <c r="B771" s="11" t="s">
        <v>1280</v>
      </c>
      <c r="C771" s="12" t="s">
        <v>243</v>
      </c>
      <c r="D771" s="13" t="n">
        <v>0.0108126157407407</v>
      </c>
      <c r="E771" s="14" t="n">
        <v>766</v>
      </c>
      <c r="F771" s="15" t="n">
        <f aca="false">IF(D771="","",ROUND((D771-MIN($D$7:$D$9999))*86400,2))</f>
        <v>144.47</v>
      </c>
      <c r="G771" s="10" t="str">
        <f aca="false">IF(D771="","",IF(D771&lt;=($E$3*60+$F$3)/86400,"○",""))</f>
        <v/>
      </c>
      <c r="H771" s="16"/>
      <c r="I771" s="17"/>
      <c r="J771" s="16"/>
      <c r="K771" s="17"/>
      <c r="L771" s="17" t="n">
        <f aca="false">COUNT(E771,I771,K771)</f>
        <v>1</v>
      </c>
      <c r="M771" s="18" t="n">
        <f aca="false">(D771&lt;&gt;"")*(D771&lt;=($E$3*60+$F$3)/86400)+(H771&lt;&gt;"")*(H771&lt;=($I$3*60+$J$3)/86400)+(J771&lt;&gt;"")*(J771&lt;=($M$3*60+$N$3)/86400)</f>
        <v>0</v>
      </c>
      <c r="N771" s="20"/>
      <c r="O771" s="20"/>
      <c r="P771" s="20"/>
      <c r="Q771" s="19"/>
    </row>
    <row r="772" customFormat="false" ht="15" hidden="false" customHeight="false" outlineLevel="0" collapsed="false">
      <c r="A772" s="10" t="n">
        <v>766</v>
      </c>
      <c r="B772" s="11" t="s">
        <v>1281</v>
      </c>
      <c r="C772" s="12" t="s">
        <v>204</v>
      </c>
      <c r="D772" s="13" t="n">
        <v>0.0108128472222222</v>
      </c>
      <c r="E772" s="14" t="n">
        <v>767</v>
      </c>
      <c r="F772" s="15" t="n">
        <f aca="false">IF(D772="","",ROUND((D772-MIN($D$7:$D$9999))*86400,2))</f>
        <v>144.49</v>
      </c>
      <c r="G772" s="10" t="str">
        <f aca="false">IF(D772="","",IF(D772&lt;=($E$3*60+$F$3)/86400,"○",""))</f>
        <v/>
      </c>
      <c r="H772" s="16"/>
      <c r="I772" s="17"/>
      <c r="J772" s="16"/>
      <c r="K772" s="17"/>
      <c r="L772" s="17" t="n">
        <f aca="false">COUNT(E772,I772,K772)</f>
        <v>1</v>
      </c>
      <c r="M772" s="18" t="n">
        <f aca="false">(D772&lt;&gt;"")*(D772&lt;=($E$3*60+$F$3)/86400)+(H772&lt;&gt;"")*(H772&lt;=($I$3*60+$J$3)/86400)+(J772&lt;&gt;"")*(J772&lt;=($M$3*60+$N$3)/86400)</f>
        <v>0</v>
      </c>
      <c r="N772" s="20" t="s">
        <v>1282</v>
      </c>
      <c r="O772" s="20"/>
      <c r="P772" s="20"/>
      <c r="Q772" s="19"/>
    </row>
    <row r="773" customFormat="false" ht="15" hidden="false" customHeight="false" outlineLevel="0" collapsed="false">
      <c r="A773" s="10" t="n">
        <v>767</v>
      </c>
      <c r="B773" s="11" t="s">
        <v>1283</v>
      </c>
      <c r="C773" s="12" t="s">
        <v>1284</v>
      </c>
      <c r="D773" s="13" t="n">
        <v>0.0108137731481482</v>
      </c>
      <c r="E773" s="14" t="n">
        <v>768</v>
      </c>
      <c r="F773" s="15" t="n">
        <f aca="false">IF(D773="","",ROUND((D773-MIN($D$7:$D$9999))*86400,2))</f>
        <v>144.57</v>
      </c>
      <c r="G773" s="10" t="str">
        <f aca="false">IF(D773="","",IF(D773&lt;=($E$3*60+$F$3)/86400,"○",""))</f>
        <v/>
      </c>
      <c r="H773" s="16"/>
      <c r="I773" s="17"/>
      <c r="J773" s="16" t="n">
        <v>0.00292013888888889</v>
      </c>
      <c r="K773" s="17" t="n">
        <v>1098</v>
      </c>
      <c r="L773" s="17" t="n">
        <f aca="false">COUNT(E773,I773,K773)</f>
        <v>2</v>
      </c>
      <c r="M773" s="18" t="n">
        <f aca="false">(D773&lt;&gt;"")*(D773&lt;=($E$3*60+$F$3)/86400)+(H773&lt;&gt;"")*(H773&lt;=($I$3*60+$J$3)/86400)+(J773&lt;&gt;"")*(J773&lt;=($M$3*60+$N$3)/86400)</f>
        <v>0</v>
      </c>
      <c r="N773" s="20"/>
      <c r="O773" s="20"/>
      <c r="P773" s="20"/>
      <c r="Q773" s="19"/>
    </row>
    <row r="774" customFormat="false" ht="15" hidden="false" customHeight="false" outlineLevel="0" collapsed="false">
      <c r="A774" s="10" t="n">
        <v>768</v>
      </c>
      <c r="B774" s="11" t="s">
        <v>1285</v>
      </c>
      <c r="C774" s="12" t="s">
        <v>1286</v>
      </c>
      <c r="D774" s="13" t="n">
        <v>0.0108145833333333</v>
      </c>
      <c r="E774" s="14" t="n">
        <v>769</v>
      </c>
      <c r="F774" s="15" t="n">
        <f aca="false">IF(D774="","",ROUND((D774-MIN($D$7:$D$9999))*86400,2))</f>
        <v>144.64</v>
      </c>
      <c r="G774" s="10" t="str">
        <f aca="false">IF(D774="","",IF(D774&lt;=($E$3*60+$F$3)/86400,"○",""))</f>
        <v/>
      </c>
      <c r="H774" s="16"/>
      <c r="I774" s="17"/>
      <c r="J774" s="16"/>
      <c r="K774" s="17"/>
      <c r="L774" s="17" t="n">
        <f aca="false">COUNT(E774,I774,K774)</f>
        <v>1</v>
      </c>
      <c r="M774" s="18" t="n">
        <f aca="false">(D774&lt;&gt;"")*(D774&lt;=($E$3*60+$F$3)/86400)+(H774&lt;&gt;"")*(H774&lt;=($I$3*60+$J$3)/86400)+(J774&lt;&gt;"")*(J774&lt;=($M$3*60+$N$3)/86400)</f>
        <v>0</v>
      </c>
      <c r="N774" s="20"/>
      <c r="O774" s="20"/>
      <c r="P774" s="20"/>
      <c r="Q774" s="19"/>
    </row>
    <row r="775" customFormat="false" ht="15" hidden="false" customHeight="false" outlineLevel="0" collapsed="false">
      <c r="A775" s="10" t="n">
        <v>769</v>
      </c>
      <c r="B775" s="11" t="s">
        <v>1287</v>
      </c>
      <c r="C775" s="12" t="s">
        <v>788</v>
      </c>
      <c r="D775" s="13" t="n">
        <v>0.0108146990740741</v>
      </c>
      <c r="E775" s="14" t="n">
        <v>770</v>
      </c>
      <c r="F775" s="15" t="n">
        <f aca="false">IF(D775="","",ROUND((D775-MIN($D$7:$D$9999))*86400,2))</f>
        <v>144.65</v>
      </c>
      <c r="G775" s="10" t="str">
        <f aca="false">IF(D775="","",IF(D775&lt;=($E$3*60+$F$3)/86400,"○",""))</f>
        <v/>
      </c>
      <c r="H775" s="16" t="n">
        <v>0.00717361111111111</v>
      </c>
      <c r="I775" s="17" t="n">
        <v>512</v>
      </c>
      <c r="J775" s="16"/>
      <c r="K775" s="17"/>
      <c r="L775" s="17" t="n">
        <f aca="false">COUNT(E775,I775,K775)</f>
        <v>2</v>
      </c>
      <c r="M775" s="18" t="n">
        <f aca="false">(D775&lt;&gt;"")*(D775&lt;=($E$3*60+$F$3)/86400)+(H775&lt;&gt;"")*(H775&lt;=($I$3*60+$J$3)/86400)+(J775&lt;&gt;"")*(J775&lt;=($M$3*60+$N$3)/86400)</f>
        <v>0</v>
      </c>
      <c r="N775" s="20"/>
      <c r="O775" s="20"/>
      <c r="P775" s="20"/>
      <c r="Q775" s="19"/>
    </row>
    <row r="776" customFormat="false" ht="15" hidden="false" customHeight="false" outlineLevel="0" collapsed="false">
      <c r="A776" s="10" t="n">
        <v>770</v>
      </c>
      <c r="B776" s="11" t="s">
        <v>1288</v>
      </c>
      <c r="C776" s="12" t="s">
        <v>165</v>
      </c>
      <c r="D776" s="13" t="n">
        <v>0.010816087962963</v>
      </c>
      <c r="E776" s="14" t="n">
        <v>771</v>
      </c>
      <c r="F776" s="15" t="n">
        <f aca="false">IF(D776="","",ROUND((D776-MIN($D$7:$D$9999))*86400,2))</f>
        <v>144.77</v>
      </c>
      <c r="G776" s="10" t="str">
        <f aca="false">IF(D776="","",IF(D776&lt;=($E$3*60+$F$3)/86400,"○",""))</f>
        <v/>
      </c>
      <c r="H776" s="16" t="n">
        <v>0.00672430555555556</v>
      </c>
      <c r="I776" s="17" t="n">
        <v>116</v>
      </c>
      <c r="J776" s="16"/>
      <c r="K776" s="17"/>
      <c r="L776" s="17" t="n">
        <f aca="false">COUNT(E776,I776,K776)</f>
        <v>2</v>
      </c>
      <c r="M776" s="18" t="n">
        <f aca="false">(D776&lt;&gt;"")*(D776&lt;=($E$3*60+$F$3)/86400)+(H776&lt;&gt;"")*(H776&lt;=($I$3*60+$J$3)/86400)+(J776&lt;&gt;"")*(J776&lt;=($M$3*60+$N$3)/86400)</f>
        <v>0</v>
      </c>
      <c r="N776" s="20"/>
      <c r="O776" s="20"/>
      <c r="P776" s="20"/>
      <c r="Q776" s="19"/>
    </row>
    <row r="777" customFormat="false" ht="15" hidden="false" customHeight="false" outlineLevel="0" collapsed="false">
      <c r="A777" s="10" t="n">
        <v>771</v>
      </c>
      <c r="B777" s="11" t="s">
        <v>1289</v>
      </c>
      <c r="C777" s="12" t="s">
        <v>415</v>
      </c>
      <c r="D777" s="13" t="n">
        <v>0.010816087962963</v>
      </c>
      <c r="E777" s="14" t="n">
        <v>772</v>
      </c>
      <c r="F777" s="15" t="n">
        <f aca="false">IF(D777="","",ROUND((D777-MIN($D$7:$D$9999))*86400,2))</f>
        <v>144.77</v>
      </c>
      <c r="G777" s="10" t="str">
        <f aca="false">IF(D777="","",IF(D777&lt;=($E$3*60+$F$3)/86400,"○",""))</f>
        <v/>
      </c>
      <c r="H777" s="16"/>
      <c r="I777" s="17"/>
      <c r="J777" s="16"/>
      <c r="K777" s="17"/>
      <c r="L777" s="17" t="n">
        <f aca="false">COUNT(E777,I777,K777)</f>
        <v>1</v>
      </c>
      <c r="M777" s="18" t="n">
        <f aca="false">(D777&lt;&gt;"")*(D777&lt;=($E$3*60+$F$3)/86400)+(H777&lt;&gt;"")*(H777&lt;=($I$3*60+$J$3)/86400)+(J777&lt;&gt;"")*(J777&lt;=($M$3*60+$N$3)/86400)</f>
        <v>0</v>
      </c>
      <c r="N777" s="20"/>
      <c r="O777" s="20"/>
      <c r="P777" s="20"/>
      <c r="Q777" s="19"/>
    </row>
    <row r="778" customFormat="false" ht="15" hidden="false" customHeight="false" outlineLevel="0" collapsed="false">
      <c r="A778" s="10" t="n">
        <v>772</v>
      </c>
      <c r="B778" s="11" t="s">
        <v>1290</v>
      </c>
      <c r="C778" s="12" t="s">
        <v>99</v>
      </c>
      <c r="D778" s="13" t="n">
        <v>0.0108164351851852</v>
      </c>
      <c r="E778" s="14" t="n">
        <v>773</v>
      </c>
      <c r="F778" s="15" t="n">
        <f aca="false">IF(D778="","",ROUND((D778-MIN($D$7:$D$9999))*86400,2))</f>
        <v>144.8</v>
      </c>
      <c r="G778" s="10" t="str">
        <f aca="false">IF(D778="","",IF(D778&lt;=($E$3*60+$F$3)/86400,"○",""))</f>
        <v/>
      </c>
      <c r="H778" s="16"/>
      <c r="I778" s="17"/>
      <c r="J778" s="16"/>
      <c r="K778" s="17"/>
      <c r="L778" s="17" t="n">
        <f aca="false">COUNT(E778,I778,K778)</f>
        <v>1</v>
      </c>
      <c r="M778" s="18" t="n">
        <f aca="false">(D778&lt;&gt;"")*(D778&lt;=($E$3*60+$F$3)/86400)+(H778&lt;&gt;"")*(H778&lt;=($I$3*60+$J$3)/86400)+(J778&lt;&gt;"")*(J778&lt;=($M$3*60+$N$3)/86400)</f>
        <v>0</v>
      </c>
      <c r="N778" s="20"/>
      <c r="O778" s="20"/>
      <c r="P778" s="20"/>
      <c r="Q778" s="19"/>
    </row>
    <row r="779" customFormat="false" ht="15" hidden="false" customHeight="false" outlineLevel="0" collapsed="false">
      <c r="A779" s="10" t="n">
        <v>773</v>
      </c>
      <c r="B779" s="11" t="s">
        <v>1291</v>
      </c>
      <c r="C779" s="12" t="s">
        <v>1292</v>
      </c>
      <c r="D779" s="13" t="n">
        <v>0.0108181712962963</v>
      </c>
      <c r="E779" s="14" t="n">
        <v>774</v>
      </c>
      <c r="F779" s="15" t="n">
        <f aca="false">IF(D779="","",ROUND((D779-MIN($D$7:$D$9999))*86400,2))</f>
        <v>144.95</v>
      </c>
      <c r="G779" s="10" t="str">
        <f aca="false">IF(D779="","",IF(D779&lt;=($E$3*60+$F$3)/86400,"○",""))</f>
        <v/>
      </c>
      <c r="H779" s="16"/>
      <c r="I779" s="17"/>
      <c r="J779" s="16" t="n">
        <v>0.00283078703703704</v>
      </c>
      <c r="K779" s="17" t="n">
        <v>432</v>
      </c>
      <c r="L779" s="17" t="n">
        <f aca="false">COUNT(E779,I779,K779)</f>
        <v>2</v>
      </c>
      <c r="M779" s="18" t="n">
        <f aca="false">(D779&lt;&gt;"")*(D779&lt;=($E$3*60+$F$3)/86400)+(H779&lt;&gt;"")*(H779&lt;=($I$3*60+$J$3)/86400)+(J779&lt;&gt;"")*(J779&lt;=($M$3*60+$N$3)/86400)</f>
        <v>0</v>
      </c>
      <c r="N779" s="20"/>
      <c r="O779" s="20"/>
      <c r="P779" s="20"/>
      <c r="Q779" s="19"/>
    </row>
    <row r="780" customFormat="false" ht="15" hidden="false" customHeight="false" outlineLevel="0" collapsed="false">
      <c r="A780" s="10" t="n">
        <v>774</v>
      </c>
      <c r="B780" s="11" t="s">
        <v>1293</v>
      </c>
      <c r="C780" s="12" t="s">
        <v>846</v>
      </c>
      <c r="D780" s="13" t="n">
        <v>0.01081875</v>
      </c>
      <c r="E780" s="14" t="n">
        <v>775</v>
      </c>
      <c r="F780" s="15" t="n">
        <f aca="false">IF(D780="","",ROUND((D780-MIN($D$7:$D$9999))*86400,2))</f>
        <v>145</v>
      </c>
      <c r="G780" s="10" t="str">
        <f aca="false">IF(D780="","",IF(D780&lt;=($E$3*60+$F$3)/86400,"○",""))</f>
        <v/>
      </c>
      <c r="H780" s="16"/>
      <c r="I780" s="17"/>
      <c r="J780" s="16" t="n">
        <v>0.00284618055555556</v>
      </c>
      <c r="K780" s="17" t="n">
        <v>545</v>
      </c>
      <c r="L780" s="17" t="n">
        <f aca="false">COUNT(E780,I780,K780)</f>
        <v>2</v>
      </c>
      <c r="M780" s="18" t="n">
        <f aca="false">(D780&lt;&gt;"")*(D780&lt;=($E$3*60+$F$3)/86400)+(H780&lt;&gt;"")*(H780&lt;=($I$3*60+$J$3)/86400)+(J780&lt;&gt;"")*(J780&lt;=($M$3*60+$N$3)/86400)</f>
        <v>0</v>
      </c>
      <c r="N780" s="20"/>
      <c r="O780" s="20"/>
      <c r="P780" s="20"/>
      <c r="Q780" s="19"/>
    </row>
    <row r="781" customFormat="false" ht="15" hidden="false" customHeight="false" outlineLevel="0" collapsed="false">
      <c r="A781" s="10" t="n">
        <v>775</v>
      </c>
      <c r="B781" s="11" t="s">
        <v>1294</v>
      </c>
      <c r="C781" s="12" t="s">
        <v>382</v>
      </c>
      <c r="D781" s="13" t="n">
        <v>0.01081875</v>
      </c>
      <c r="E781" s="14" t="n">
        <v>776</v>
      </c>
      <c r="F781" s="15" t="n">
        <f aca="false">IF(D781="","",ROUND((D781-MIN($D$7:$D$9999))*86400,2))</f>
        <v>145</v>
      </c>
      <c r="G781" s="10" t="str">
        <f aca="false">IF(D781="","",IF(D781&lt;=($E$3*60+$F$3)/86400,"○",""))</f>
        <v/>
      </c>
      <c r="H781" s="16"/>
      <c r="I781" s="17"/>
      <c r="J781" s="16" t="n">
        <v>0.00282800925925926</v>
      </c>
      <c r="K781" s="17" t="n">
        <v>409</v>
      </c>
      <c r="L781" s="17" t="n">
        <f aca="false">COUNT(E781,I781,K781)</f>
        <v>2</v>
      </c>
      <c r="M781" s="18" t="n">
        <f aca="false">(D781&lt;&gt;"")*(D781&lt;=($E$3*60+$F$3)/86400)+(H781&lt;&gt;"")*(H781&lt;=($I$3*60+$J$3)/86400)+(J781&lt;&gt;"")*(J781&lt;=($M$3*60+$N$3)/86400)</f>
        <v>0</v>
      </c>
      <c r="N781" s="20"/>
      <c r="O781" s="20"/>
      <c r="P781" s="20"/>
      <c r="Q781" s="19"/>
    </row>
    <row r="782" customFormat="false" ht="15" hidden="false" customHeight="false" outlineLevel="0" collapsed="false">
      <c r="A782" s="10" t="n">
        <v>776</v>
      </c>
      <c r="B782" s="11" t="s">
        <v>1295</v>
      </c>
      <c r="C782" s="12" t="s">
        <v>152</v>
      </c>
      <c r="D782" s="13" t="n">
        <v>0.010819212962963</v>
      </c>
      <c r="E782" s="14" t="n">
        <v>777</v>
      </c>
      <c r="F782" s="15" t="n">
        <f aca="false">IF(D782="","",ROUND((D782-MIN($D$7:$D$9999))*86400,2))</f>
        <v>145.04</v>
      </c>
      <c r="G782" s="10" t="str">
        <f aca="false">IF(D782="","",IF(D782&lt;=($E$3*60+$F$3)/86400,"○",""))</f>
        <v/>
      </c>
      <c r="H782" s="16"/>
      <c r="I782" s="17"/>
      <c r="J782" s="16"/>
      <c r="K782" s="17"/>
      <c r="L782" s="17" t="n">
        <f aca="false">COUNT(E782,I782,K782)</f>
        <v>1</v>
      </c>
      <c r="M782" s="18" t="n">
        <f aca="false">(D782&lt;&gt;"")*(D782&lt;=($E$3*60+$F$3)/86400)+(H782&lt;&gt;"")*(H782&lt;=($I$3*60+$J$3)/86400)+(J782&lt;&gt;"")*(J782&lt;=($M$3*60+$N$3)/86400)</f>
        <v>0</v>
      </c>
      <c r="N782" s="20"/>
      <c r="O782" s="20"/>
      <c r="P782" s="20"/>
      <c r="Q782" s="19"/>
    </row>
    <row r="783" customFormat="false" ht="15" hidden="false" customHeight="false" outlineLevel="0" collapsed="false">
      <c r="A783" s="10" t="n">
        <v>777</v>
      </c>
      <c r="B783" s="11" t="s">
        <v>1296</v>
      </c>
      <c r="C783" s="12" t="s">
        <v>107</v>
      </c>
      <c r="D783" s="13" t="n">
        <v>0.0108200231481482</v>
      </c>
      <c r="E783" s="14" t="n">
        <v>778</v>
      </c>
      <c r="F783" s="15" t="n">
        <f aca="false">IF(D783="","",ROUND((D783-MIN($D$7:$D$9999))*86400,2))</f>
        <v>145.11</v>
      </c>
      <c r="G783" s="10" t="str">
        <f aca="false">IF(D783="","",IF(D783&lt;=($E$3*60+$F$3)/86400,"○",""))</f>
        <v/>
      </c>
      <c r="H783" s="16"/>
      <c r="I783" s="17"/>
      <c r="J783" s="16"/>
      <c r="K783" s="17"/>
      <c r="L783" s="17" t="n">
        <f aca="false">COUNT(E783,I783,K783)</f>
        <v>1</v>
      </c>
      <c r="M783" s="18" t="n">
        <f aca="false">(D783&lt;&gt;"")*(D783&lt;=($E$3*60+$F$3)/86400)+(H783&lt;&gt;"")*(H783&lt;=($I$3*60+$J$3)/86400)+(J783&lt;&gt;"")*(J783&lt;=($M$3*60+$N$3)/86400)</f>
        <v>0</v>
      </c>
      <c r="N783" s="20"/>
      <c r="O783" s="20"/>
      <c r="P783" s="20"/>
      <c r="Q783" s="19"/>
    </row>
    <row r="784" customFormat="false" ht="15" hidden="false" customHeight="false" outlineLevel="0" collapsed="false">
      <c r="A784" s="10" t="n">
        <v>778</v>
      </c>
      <c r="B784" s="11" t="s">
        <v>1297</v>
      </c>
      <c r="C784" s="12" t="s">
        <v>207</v>
      </c>
      <c r="D784" s="13" t="n">
        <v>0.0108225694444445</v>
      </c>
      <c r="E784" s="14" t="n">
        <v>779</v>
      </c>
      <c r="F784" s="15" t="n">
        <f aca="false">IF(D784="","",ROUND((D784-MIN($D$7:$D$9999))*86400,2))</f>
        <v>145.33</v>
      </c>
      <c r="G784" s="10" t="str">
        <f aca="false">IF(D784="","",IF(D784&lt;=($E$3*60+$F$3)/86400,"○",""))</f>
        <v/>
      </c>
      <c r="H784" s="16" t="n">
        <v>0.00696180555555556</v>
      </c>
      <c r="I784" s="17" t="n">
        <v>295</v>
      </c>
      <c r="J784" s="16"/>
      <c r="K784" s="17"/>
      <c r="L784" s="17" t="n">
        <f aca="false">COUNT(E784,I784,K784)</f>
        <v>2</v>
      </c>
      <c r="M784" s="18" t="n">
        <f aca="false">(D784&lt;&gt;"")*(D784&lt;=($E$3*60+$F$3)/86400)+(H784&lt;&gt;"")*(H784&lt;=($I$3*60+$J$3)/86400)+(J784&lt;&gt;"")*(J784&lt;=($M$3*60+$N$3)/86400)</f>
        <v>0</v>
      </c>
      <c r="N784" s="20"/>
      <c r="O784" s="20"/>
      <c r="P784" s="20"/>
      <c r="Q784" s="19"/>
    </row>
    <row r="785" customFormat="false" ht="15" hidden="false" customHeight="false" outlineLevel="0" collapsed="false">
      <c r="A785" s="10" t="n">
        <v>779</v>
      </c>
      <c r="B785" s="11" t="s">
        <v>1298</v>
      </c>
      <c r="C785" s="12" t="s">
        <v>157</v>
      </c>
      <c r="D785" s="13" t="n">
        <v>0.0108225694444445</v>
      </c>
      <c r="E785" s="14" t="n">
        <v>780</v>
      </c>
      <c r="F785" s="15" t="n">
        <f aca="false">IF(D785="","",ROUND((D785-MIN($D$7:$D$9999))*86400,2))</f>
        <v>145.33</v>
      </c>
      <c r="G785" s="10" t="str">
        <f aca="false">IF(D785="","",IF(D785&lt;=($E$3*60+$F$3)/86400,"○",""))</f>
        <v/>
      </c>
      <c r="H785" s="16"/>
      <c r="I785" s="17"/>
      <c r="J785" s="16"/>
      <c r="K785" s="17"/>
      <c r="L785" s="17" t="n">
        <f aca="false">COUNT(E785,I785,K785)</f>
        <v>1</v>
      </c>
      <c r="M785" s="18" t="n">
        <f aca="false">(D785&lt;&gt;"")*(D785&lt;=($E$3*60+$F$3)/86400)+(H785&lt;&gt;"")*(H785&lt;=($I$3*60+$J$3)/86400)+(J785&lt;&gt;"")*(J785&lt;=($M$3*60+$N$3)/86400)</f>
        <v>0</v>
      </c>
      <c r="N785" s="20"/>
      <c r="O785" s="20"/>
      <c r="P785" s="20"/>
      <c r="Q785" s="19"/>
    </row>
    <row r="786" customFormat="false" ht="15" hidden="false" customHeight="false" outlineLevel="0" collapsed="false">
      <c r="A786" s="10" t="n">
        <v>780</v>
      </c>
      <c r="B786" s="11" t="s">
        <v>1299</v>
      </c>
      <c r="C786" s="12" t="s">
        <v>34</v>
      </c>
      <c r="D786" s="13" t="n">
        <v>0.0108229166666667</v>
      </c>
      <c r="E786" s="14" t="n">
        <v>781</v>
      </c>
      <c r="F786" s="15" t="n">
        <f aca="false">IF(D786="","",ROUND((D786-MIN($D$7:$D$9999))*86400,2))</f>
        <v>145.36</v>
      </c>
      <c r="G786" s="10" t="str">
        <f aca="false">IF(D786="","",IF(D786&lt;=($E$3*60+$F$3)/86400,"○",""))</f>
        <v/>
      </c>
      <c r="H786" s="16"/>
      <c r="I786" s="17"/>
      <c r="J786" s="16" t="n">
        <v>0.0028974537037037</v>
      </c>
      <c r="K786" s="17" t="n">
        <v>931</v>
      </c>
      <c r="L786" s="17" t="n">
        <f aca="false">COUNT(E786,I786,K786)</f>
        <v>2</v>
      </c>
      <c r="M786" s="18" t="n">
        <f aca="false">(D786&lt;&gt;"")*(D786&lt;=($E$3*60+$F$3)/86400)+(H786&lt;&gt;"")*(H786&lt;=($I$3*60+$J$3)/86400)+(J786&lt;&gt;"")*(J786&lt;=($M$3*60+$N$3)/86400)</f>
        <v>0</v>
      </c>
      <c r="N786" s="20"/>
      <c r="O786" s="20"/>
      <c r="P786" s="20"/>
      <c r="Q786" s="19"/>
    </row>
    <row r="787" customFormat="false" ht="15" hidden="false" customHeight="false" outlineLevel="0" collapsed="false">
      <c r="A787" s="10" t="n">
        <v>781</v>
      </c>
      <c r="B787" s="11" t="s">
        <v>1300</v>
      </c>
      <c r="C787" s="12" t="s">
        <v>51</v>
      </c>
      <c r="D787" s="13" t="n">
        <v>0.0108236111111111</v>
      </c>
      <c r="E787" s="14" t="n">
        <v>782</v>
      </c>
      <c r="F787" s="15" t="n">
        <f aca="false">IF(D787="","",ROUND((D787-MIN($D$7:$D$9999))*86400,2))</f>
        <v>145.42</v>
      </c>
      <c r="G787" s="10" t="str">
        <f aca="false">IF(D787="","",IF(D787&lt;=($E$3*60+$F$3)/86400,"○",""))</f>
        <v/>
      </c>
      <c r="H787" s="16"/>
      <c r="I787" s="17"/>
      <c r="J787" s="16" t="n">
        <v>0.00287025462962963</v>
      </c>
      <c r="K787" s="17" t="n">
        <v>698</v>
      </c>
      <c r="L787" s="17" t="n">
        <f aca="false">COUNT(E787,I787,K787)</f>
        <v>2</v>
      </c>
      <c r="M787" s="18" t="n">
        <f aca="false">(D787&lt;&gt;"")*(D787&lt;=($E$3*60+$F$3)/86400)+(H787&lt;&gt;"")*(H787&lt;=($I$3*60+$J$3)/86400)+(J787&lt;&gt;"")*(J787&lt;=($M$3*60+$N$3)/86400)</f>
        <v>0</v>
      </c>
      <c r="N787" s="20"/>
      <c r="O787" s="20" t="s">
        <v>1301</v>
      </c>
      <c r="P787" s="20"/>
      <c r="Q787" s="19"/>
    </row>
    <row r="788" customFormat="false" ht="15" hidden="false" customHeight="false" outlineLevel="0" collapsed="false">
      <c r="A788" s="10" t="n">
        <v>782</v>
      </c>
      <c r="B788" s="11" t="s">
        <v>1302</v>
      </c>
      <c r="C788" s="12" t="s">
        <v>503</v>
      </c>
      <c r="D788" s="13" t="n">
        <v>0.010825</v>
      </c>
      <c r="E788" s="14" t="n">
        <v>783</v>
      </c>
      <c r="F788" s="15" t="n">
        <f aca="false">IF(D788="","",ROUND((D788-MIN($D$7:$D$9999))*86400,2))</f>
        <v>145.54</v>
      </c>
      <c r="G788" s="10" t="str">
        <f aca="false">IF(D788="","",IF(D788&lt;=($E$3*60+$F$3)/86400,"○",""))</f>
        <v/>
      </c>
      <c r="H788" s="16"/>
      <c r="I788" s="17"/>
      <c r="J788" s="16"/>
      <c r="K788" s="17"/>
      <c r="L788" s="17" t="n">
        <f aca="false">COUNT(E788,I788,K788)</f>
        <v>1</v>
      </c>
      <c r="M788" s="18" t="n">
        <f aca="false">(D788&lt;&gt;"")*(D788&lt;=($E$3*60+$F$3)/86400)+(H788&lt;&gt;"")*(H788&lt;=($I$3*60+$J$3)/86400)+(J788&lt;&gt;"")*(J788&lt;=($M$3*60+$N$3)/86400)</f>
        <v>0</v>
      </c>
      <c r="N788" s="20"/>
      <c r="O788" s="20"/>
      <c r="P788" s="20"/>
      <c r="Q788" s="19"/>
    </row>
    <row r="789" customFormat="false" ht="15" hidden="false" customHeight="false" outlineLevel="0" collapsed="false">
      <c r="A789" s="10" t="n">
        <v>783</v>
      </c>
      <c r="B789" s="11" t="s">
        <v>1303</v>
      </c>
      <c r="C789" s="12" t="s">
        <v>179</v>
      </c>
      <c r="D789" s="13" t="n">
        <v>0.0108256944444445</v>
      </c>
      <c r="E789" s="14" t="n">
        <v>784</v>
      </c>
      <c r="F789" s="15" t="n">
        <f aca="false">IF(D789="","",ROUND((D789-MIN($D$7:$D$9999))*86400,2))</f>
        <v>145.6</v>
      </c>
      <c r="G789" s="10" t="str">
        <f aca="false">IF(D789="","",IF(D789&lt;=($E$3*60+$F$3)/86400,"○",""))</f>
        <v/>
      </c>
      <c r="H789" s="16"/>
      <c r="I789" s="17"/>
      <c r="J789" s="16" t="n">
        <v>0.00266215277777778</v>
      </c>
      <c r="K789" s="17" t="n">
        <v>5</v>
      </c>
      <c r="L789" s="17" t="n">
        <f aca="false">COUNT(E789,I789,K789)</f>
        <v>2</v>
      </c>
      <c r="M789" s="18" t="n">
        <f aca="false">(D789&lt;&gt;"")*(D789&lt;=($E$3*60+$F$3)/86400)+(H789&lt;&gt;"")*(H789&lt;=($I$3*60+$J$3)/86400)+(J789&lt;&gt;"")*(J789&lt;=($M$3*60+$N$3)/86400)</f>
        <v>1</v>
      </c>
      <c r="N789" s="20" t="s">
        <v>1304</v>
      </c>
      <c r="O789" s="20"/>
      <c r="P789" s="20"/>
      <c r="Q789" s="19"/>
    </row>
    <row r="790" customFormat="false" ht="15" hidden="false" customHeight="false" outlineLevel="0" collapsed="false">
      <c r="A790" s="10" t="n">
        <v>784</v>
      </c>
      <c r="B790" s="11" t="s">
        <v>1305</v>
      </c>
      <c r="C790" s="12" t="s">
        <v>61</v>
      </c>
      <c r="D790" s="13" t="n">
        <v>0.0108256944444445</v>
      </c>
      <c r="E790" s="14" t="n">
        <v>785</v>
      </c>
      <c r="F790" s="15" t="n">
        <f aca="false">IF(D790="","",ROUND((D790-MIN($D$7:$D$9999))*86400,2))</f>
        <v>145.6</v>
      </c>
      <c r="G790" s="10" t="str">
        <f aca="false">IF(D790="","",IF(D790&lt;=($E$3*60+$F$3)/86400,"○",""))</f>
        <v/>
      </c>
      <c r="H790" s="16"/>
      <c r="I790" s="17"/>
      <c r="J790" s="16" t="n">
        <v>0.00292303240740741</v>
      </c>
      <c r="K790" s="17" t="n">
        <v>1126</v>
      </c>
      <c r="L790" s="17" t="n">
        <f aca="false">COUNT(E790,I790,K790)</f>
        <v>2</v>
      </c>
      <c r="M790" s="18" t="n">
        <f aca="false">(D790&lt;&gt;"")*(D790&lt;=($E$3*60+$F$3)/86400)+(H790&lt;&gt;"")*(H790&lt;=($I$3*60+$J$3)/86400)+(J790&lt;&gt;"")*(J790&lt;=($M$3*60+$N$3)/86400)</f>
        <v>0</v>
      </c>
      <c r="N790" s="20"/>
      <c r="O790" s="20"/>
      <c r="P790" s="20"/>
      <c r="Q790" s="19"/>
    </row>
    <row r="791" customFormat="false" ht="15" hidden="false" customHeight="false" outlineLevel="0" collapsed="false">
      <c r="A791" s="10" t="n">
        <v>785</v>
      </c>
      <c r="B791" s="11" t="s">
        <v>1306</v>
      </c>
      <c r="C791" s="12" t="s">
        <v>595</v>
      </c>
      <c r="D791" s="13" t="n">
        <v>0.0108262731481482</v>
      </c>
      <c r="E791" s="14" t="n">
        <v>786</v>
      </c>
      <c r="F791" s="15" t="n">
        <f aca="false">IF(D791="","",ROUND((D791-MIN($D$7:$D$9999))*86400,2))</f>
        <v>145.65</v>
      </c>
      <c r="G791" s="10" t="str">
        <f aca="false">IF(D791="","",IF(D791&lt;=($E$3*60+$F$3)/86400,"○",""))</f>
        <v/>
      </c>
      <c r="H791" s="16"/>
      <c r="I791" s="17"/>
      <c r="J791" s="16" t="n">
        <v>0.00283958333333333</v>
      </c>
      <c r="K791" s="17" t="n">
        <v>494</v>
      </c>
      <c r="L791" s="17" t="n">
        <f aca="false">COUNT(E791,I791,K791)</f>
        <v>2</v>
      </c>
      <c r="M791" s="18" t="n">
        <f aca="false">(D791&lt;&gt;"")*(D791&lt;=($E$3*60+$F$3)/86400)+(H791&lt;&gt;"")*(H791&lt;=($I$3*60+$J$3)/86400)+(J791&lt;&gt;"")*(J791&lt;=($M$3*60+$N$3)/86400)</f>
        <v>0</v>
      </c>
      <c r="N791" s="20" t="s">
        <v>1206</v>
      </c>
      <c r="O791" s="20"/>
      <c r="P791" s="20"/>
      <c r="Q791" s="19"/>
    </row>
    <row r="792" customFormat="false" ht="15" hidden="false" customHeight="false" outlineLevel="0" collapsed="false">
      <c r="A792" s="10" t="n">
        <v>786</v>
      </c>
      <c r="B792" s="11" t="s">
        <v>1307</v>
      </c>
      <c r="C792" s="12" t="s">
        <v>262</v>
      </c>
      <c r="D792" s="13" t="n">
        <v>0.0108275462962963</v>
      </c>
      <c r="E792" s="14" t="n">
        <v>787</v>
      </c>
      <c r="F792" s="15" t="n">
        <f aca="false">IF(D792="","",ROUND((D792-MIN($D$7:$D$9999))*86400,2))</f>
        <v>145.76</v>
      </c>
      <c r="G792" s="10" t="str">
        <f aca="false">IF(D792="","",IF(D792&lt;=($E$3*60+$F$3)/86400,"○",""))</f>
        <v/>
      </c>
      <c r="H792" s="16"/>
      <c r="I792" s="17"/>
      <c r="J792" s="16"/>
      <c r="K792" s="17"/>
      <c r="L792" s="17" t="n">
        <f aca="false">COUNT(E792,I792,K792)</f>
        <v>1</v>
      </c>
      <c r="M792" s="18" t="n">
        <f aca="false">(D792&lt;&gt;"")*(D792&lt;=($E$3*60+$F$3)/86400)+(H792&lt;&gt;"")*(H792&lt;=($I$3*60+$J$3)/86400)+(J792&lt;&gt;"")*(J792&lt;=($M$3*60+$N$3)/86400)</f>
        <v>0</v>
      </c>
      <c r="N792" s="20"/>
      <c r="O792" s="20"/>
      <c r="P792" s="20"/>
      <c r="Q792" s="19"/>
    </row>
    <row r="793" customFormat="false" ht="15" hidden="false" customHeight="false" outlineLevel="0" collapsed="false">
      <c r="A793" s="10" t="n">
        <v>787</v>
      </c>
      <c r="B793" s="11" t="s">
        <v>1308</v>
      </c>
      <c r="C793" s="12" t="s">
        <v>397</v>
      </c>
      <c r="D793" s="13" t="n">
        <v>0.0108291666666667</v>
      </c>
      <c r="E793" s="14" t="n">
        <v>788</v>
      </c>
      <c r="F793" s="15" t="n">
        <f aca="false">IF(D793="","",ROUND((D793-MIN($D$7:$D$9999))*86400,2))</f>
        <v>145.9</v>
      </c>
      <c r="G793" s="10" t="str">
        <f aca="false">IF(D793="","",IF(D793&lt;=($E$3*60+$F$3)/86400,"○",""))</f>
        <v/>
      </c>
      <c r="H793" s="16"/>
      <c r="I793" s="17"/>
      <c r="J793" s="16" t="n">
        <v>0.00283009259259259</v>
      </c>
      <c r="K793" s="17" t="n">
        <v>428</v>
      </c>
      <c r="L793" s="17" t="n">
        <f aca="false">COUNT(E793,I793,K793)</f>
        <v>2</v>
      </c>
      <c r="M793" s="18" t="n">
        <f aca="false">(D793&lt;&gt;"")*(D793&lt;=($E$3*60+$F$3)/86400)+(H793&lt;&gt;"")*(H793&lt;=($I$3*60+$J$3)/86400)+(J793&lt;&gt;"")*(J793&lt;=($M$3*60+$N$3)/86400)</f>
        <v>0</v>
      </c>
      <c r="N793" s="20"/>
      <c r="O793" s="20"/>
      <c r="P793" s="20"/>
      <c r="Q793" s="19"/>
    </row>
    <row r="794" customFormat="false" ht="15" hidden="false" customHeight="false" outlineLevel="0" collapsed="false">
      <c r="A794" s="10" t="n">
        <v>788</v>
      </c>
      <c r="B794" s="11" t="s">
        <v>1309</v>
      </c>
      <c r="C794" s="12" t="s">
        <v>1310</v>
      </c>
      <c r="D794" s="13" t="n">
        <v>0.0108291666666667</v>
      </c>
      <c r="E794" s="14" t="n">
        <v>789</v>
      </c>
      <c r="F794" s="15" t="n">
        <f aca="false">IF(D794="","",ROUND((D794-MIN($D$7:$D$9999))*86400,2))</f>
        <v>145.9</v>
      </c>
      <c r="G794" s="10" t="str">
        <f aca="false">IF(D794="","",IF(D794&lt;=($E$3*60+$F$3)/86400,"○",""))</f>
        <v/>
      </c>
      <c r="H794" s="16"/>
      <c r="I794" s="17"/>
      <c r="J794" s="16" t="n">
        <v>0.00284259259259259</v>
      </c>
      <c r="K794" s="17" t="n">
        <v>514</v>
      </c>
      <c r="L794" s="17" t="n">
        <f aca="false">COUNT(E794,I794,K794)</f>
        <v>2</v>
      </c>
      <c r="M794" s="18" t="n">
        <f aca="false">(D794&lt;&gt;"")*(D794&lt;=($E$3*60+$F$3)/86400)+(H794&lt;&gt;"")*(H794&lt;=($I$3*60+$J$3)/86400)+(J794&lt;&gt;"")*(J794&lt;=($M$3*60+$N$3)/86400)</f>
        <v>0</v>
      </c>
      <c r="N794" s="20"/>
      <c r="O794" s="20"/>
      <c r="P794" s="20"/>
      <c r="Q794" s="19"/>
    </row>
    <row r="795" customFormat="false" ht="15" hidden="false" customHeight="false" outlineLevel="0" collapsed="false">
      <c r="A795" s="10" t="n">
        <v>789</v>
      </c>
      <c r="B795" s="11" t="s">
        <v>1311</v>
      </c>
      <c r="C795" s="12" t="s">
        <v>692</v>
      </c>
      <c r="D795" s="13" t="n">
        <v>0.0108306712962963</v>
      </c>
      <c r="E795" s="14" t="n">
        <v>790</v>
      </c>
      <c r="F795" s="15" t="n">
        <f aca="false">IF(D795="","",ROUND((D795-MIN($D$7:$D$9999))*86400,2))</f>
        <v>146.03</v>
      </c>
      <c r="G795" s="10" t="str">
        <f aca="false">IF(D795="","",IF(D795&lt;=($E$3*60+$F$3)/86400,"○",""))</f>
        <v/>
      </c>
      <c r="H795" s="16"/>
      <c r="I795" s="17"/>
      <c r="J795" s="16" t="n">
        <v>0.00288206018518519</v>
      </c>
      <c r="K795" s="17" t="n">
        <v>793</v>
      </c>
      <c r="L795" s="17" t="n">
        <f aca="false">COUNT(E795,I795,K795)</f>
        <v>2</v>
      </c>
      <c r="M795" s="18" t="n">
        <f aca="false">(D795&lt;&gt;"")*(D795&lt;=($E$3*60+$F$3)/86400)+(H795&lt;&gt;"")*(H795&lt;=($I$3*60+$J$3)/86400)+(J795&lt;&gt;"")*(J795&lt;=($M$3*60+$N$3)/86400)</f>
        <v>0</v>
      </c>
      <c r="N795" s="20"/>
      <c r="O795" s="20"/>
      <c r="P795" s="20"/>
      <c r="Q795" s="19"/>
    </row>
    <row r="796" customFormat="false" ht="15" hidden="false" customHeight="false" outlineLevel="0" collapsed="false">
      <c r="A796" s="10" t="n">
        <v>790</v>
      </c>
      <c r="B796" s="11" t="s">
        <v>1312</v>
      </c>
      <c r="C796" s="12" t="s">
        <v>256</v>
      </c>
      <c r="D796" s="13" t="n">
        <v>0.0108310185185185</v>
      </c>
      <c r="E796" s="14" t="n">
        <v>791</v>
      </c>
      <c r="F796" s="15" t="n">
        <f aca="false">IF(D796="","",ROUND((D796-MIN($D$7:$D$9999))*86400,2))</f>
        <v>146.06</v>
      </c>
      <c r="G796" s="10" t="str">
        <f aca="false">IF(D796="","",IF(D796&lt;=($E$3*60+$F$3)/86400,"○",""))</f>
        <v/>
      </c>
      <c r="H796" s="16"/>
      <c r="I796" s="17"/>
      <c r="J796" s="16"/>
      <c r="K796" s="17"/>
      <c r="L796" s="17" t="n">
        <f aca="false">COUNT(E796,I796,K796)</f>
        <v>1</v>
      </c>
      <c r="M796" s="18" t="n">
        <f aca="false">(D796&lt;&gt;"")*(D796&lt;=($E$3*60+$F$3)/86400)+(H796&lt;&gt;"")*(H796&lt;=($I$3*60+$J$3)/86400)+(J796&lt;&gt;"")*(J796&lt;=($M$3*60+$N$3)/86400)</f>
        <v>0</v>
      </c>
      <c r="N796" s="20"/>
      <c r="O796" s="20"/>
      <c r="P796" s="20"/>
      <c r="Q796" s="19"/>
    </row>
    <row r="797" customFormat="false" ht="15" hidden="false" customHeight="false" outlineLevel="0" collapsed="false">
      <c r="A797" s="10" t="n">
        <v>791</v>
      </c>
      <c r="B797" s="11" t="s">
        <v>1313</v>
      </c>
      <c r="C797" s="12" t="s">
        <v>1104</v>
      </c>
      <c r="D797" s="13" t="n">
        <v>0.0108310185185185</v>
      </c>
      <c r="E797" s="14" t="n">
        <v>792</v>
      </c>
      <c r="F797" s="15" t="n">
        <f aca="false">IF(D797="","",ROUND((D797-MIN($D$7:$D$9999))*86400,2))</f>
        <v>146.06</v>
      </c>
      <c r="G797" s="10" t="str">
        <f aca="false">IF(D797="","",IF(D797&lt;=($E$3*60+$F$3)/86400,"○",""))</f>
        <v/>
      </c>
      <c r="H797" s="16"/>
      <c r="I797" s="17"/>
      <c r="J797" s="16" t="n">
        <v>0.00278055555555556</v>
      </c>
      <c r="K797" s="17" t="n">
        <v>204</v>
      </c>
      <c r="L797" s="17" t="n">
        <f aca="false">COUNT(E797,I797,K797)</f>
        <v>2</v>
      </c>
      <c r="M797" s="18" t="n">
        <f aca="false">(D797&lt;&gt;"")*(D797&lt;=($E$3*60+$F$3)/86400)+(H797&lt;&gt;"")*(H797&lt;=($I$3*60+$J$3)/86400)+(J797&lt;&gt;"")*(J797&lt;=($M$3*60+$N$3)/86400)</f>
        <v>0</v>
      </c>
      <c r="N797" s="20"/>
      <c r="O797" s="20"/>
      <c r="P797" s="20"/>
      <c r="Q797" s="19"/>
    </row>
    <row r="798" customFormat="false" ht="15" hidden="false" customHeight="false" outlineLevel="0" collapsed="false">
      <c r="A798" s="10" t="n">
        <v>792</v>
      </c>
      <c r="B798" s="11" t="s">
        <v>1314</v>
      </c>
      <c r="C798" s="12" t="s">
        <v>1315</v>
      </c>
      <c r="D798" s="13" t="n">
        <v>0.0108313657407407</v>
      </c>
      <c r="E798" s="14" t="n">
        <v>793</v>
      </c>
      <c r="F798" s="15" t="n">
        <f aca="false">IF(D798="","",ROUND((D798-MIN($D$7:$D$9999))*86400,2))</f>
        <v>146.09</v>
      </c>
      <c r="G798" s="10" t="str">
        <f aca="false">IF(D798="","",IF(D798&lt;=($E$3*60+$F$3)/86400,"○",""))</f>
        <v/>
      </c>
      <c r="H798" s="16"/>
      <c r="I798" s="17"/>
      <c r="J798" s="16"/>
      <c r="K798" s="17"/>
      <c r="L798" s="17" t="n">
        <f aca="false">COUNT(E798,I798,K798)</f>
        <v>1</v>
      </c>
      <c r="M798" s="18" t="n">
        <f aca="false">(D798&lt;&gt;"")*(D798&lt;=($E$3*60+$F$3)/86400)+(H798&lt;&gt;"")*(H798&lt;=($I$3*60+$J$3)/86400)+(J798&lt;&gt;"")*(J798&lt;=($M$3*60+$N$3)/86400)</f>
        <v>0</v>
      </c>
      <c r="N798" s="20"/>
      <c r="O798" s="20"/>
      <c r="P798" s="20"/>
      <c r="Q798" s="19"/>
    </row>
    <row r="799" customFormat="false" ht="15" hidden="false" customHeight="false" outlineLevel="0" collapsed="false">
      <c r="A799" s="10" t="n">
        <v>793</v>
      </c>
      <c r="B799" s="11" t="s">
        <v>1316</v>
      </c>
      <c r="C799" s="12" t="s">
        <v>269</v>
      </c>
      <c r="D799" s="13" t="n">
        <v>0.0108314814814815</v>
      </c>
      <c r="E799" s="14" t="n">
        <v>794</v>
      </c>
      <c r="F799" s="15" t="n">
        <f aca="false">IF(D799="","",ROUND((D799-MIN($D$7:$D$9999))*86400,2))</f>
        <v>146.1</v>
      </c>
      <c r="G799" s="10" t="str">
        <f aca="false">IF(D799="","",IF(D799&lt;=($E$3*60+$F$3)/86400,"○",""))</f>
        <v/>
      </c>
      <c r="H799" s="16"/>
      <c r="I799" s="17"/>
      <c r="J799" s="16" t="n">
        <v>0.00271527777777778</v>
      </c>
      <c r="K799" s="17" t="n">
        <v>43</v>
      </c>
      <c r="L799" s="17" t="n">
        <f aca="false">COUNT(E799,I799,K799)</f>
        <v>2</v>
      </c>
      <c r="M799" s="18" t="n">
        <f aca="false">(D799&lt;&gt;"")*(D799&lt;=($E$3*60+$F$3)/86400)+(H799&lt;&gt;"")*(H799&lt;=($I$3*60+$J$3)/86400)+(J799&lt;&gt;"")*(J799&lt;=($M$3*60+$N$3)/86400)</f>
        <v>1</v>
      </c>
      <c r="N799" s="20"/>
      <c r="O799" s="20"/>
      <c r="P799" s="20"/>
      <c r="Q799" s="19"/>
    </row>
    <row r="800" customFormat="false" ht="15" hidden="false" customHeight="false" outlineLevel="0" collapsed="false">
      <c r="A800" s="10" t="n">
        <v>794</v>
      </c>
      <c r="B800" s="11" t="s">
        <v>1317</v>
      </c>
      <c r="C800" s="12" t="s">
        <v>417</v>
      </c>
      <c r="D800" s="13" t="n">
        <v>0.0108318287037037</v>
      </c>
      <c r="E800" s="14" t="n">
        <v>795</v>
      </c>
      <c r="F800" s="15" t="n">
        <f aca="false">IF(D800="","",ROUND((D800-MIN($D$7:$D$9999))*86400,2))</f>
        <v>146.13</v>
      </c>
      <c r="G800" s="10" t="str">
        <f aca="false">IF(D800="","",IF(D800&lt;=($E$3*60+$F$3)/86400,"○",""))</f>
        <v/>
      </c>
      <c r="H800" s="16"/>
      <c r="I800" s="17"/>
      <c r="J800" s="16" t="n">
        <v>0.00286261574074074</v>
      </c>
      <c r="K800" s="17" t="n">
        <v>652</v>
      </c>
      <c r="L800" s="17" t="n">
        <f aca="false">COUNT(E800,I800,K800)</f>
        <v>2</v>
      </c>
      <c r="M800" s="18" t="n">
        <f aca="false">(D800&lt;&gt;"")*(D800&lt;=($E$3*60+$F$3)/86400)+(H800&lt;&gt;"")*(H800&lt;=($I$3*60+$J$3)/86400)+(J800&lt;&gt;"")*(J800&lt;=($M$3*60+$N$3)/86400)</f>
        <v>0</v>
      </c>
      <c r="N800" s="20"/>
      <c r="O800" s="20"/>
      <c r="P800" s="20"/>
      <c r="Q800" s="19"/>
    </row>
    <row r="801" customFormat="false" ht="15" hidden="false" customHeight="false" outlineLevel="0" collapsed="false">
      <c r="A801" s="10" t="n">
        <v>795</v>
      </c>
      <c r="B801" s="11" t="s">
        <v>1318</v>
      </c>
      <c r="C801" s="12" t="s">
        <v>561</v>
      </c>
      <c r="D801" s="13" t="n">
        <v>0.0108318287037037</v>
      </c>
      <c r="E801" s="14" t="n">
        <v>796</v>
      </c>
      <c r="F801" s="15" t="n">
        <f aca="false">IF(D801="","",ROUND((D801-MIN($D$7:$D$9999))*86400,2))</f>
        <v>146.13</v>
      </c>
      <c r="G801" s="10" t="str">
        <f aca="false">IF(D801="","",IF(D801&lt;=($E$3*60+$F$3)/86400,"○",""))</f>
        <v/>
      </c>
      <c r="H801" s="16"/>
      <c r="I801" s="17"/>
      <c r="J801" s="16" t="n">
        <v>0.00286180555555556</v>
      </c>
      <c r="K801" s="17" t="n">
        <v>644</v>
      </c>
      <c r="L801" s="17" t="n">
        <f aca="false">COUNT(E801,I801,K801)</f>
        <v>2</v>
      </c>
      <c r="M801" s="18" t="n">
        <f aca="false">(D801&lt;&gt;"")*(D801&lt;=($E$3*60+$F$3)/86400)+(H801&lt;&gt;"")*(H801&lt;=($I$3*60+$J$3)/86400)+(J801&lt;&gt;"")*(J801&lt;=($M$3*60+$N$3)/86400)</f>
        <v>0</v>
      </c>
      <c r="N801" s="20" t="s">
        <v>404</v>
      </c>
      <c r="O801" s="20"/>
      <c r="P801" s="20"/>
      <c r="Q801" s="19"/>
    </row>
    <row r="802" customFormat="false" ht="15" hidden="false" customHeight="false" outlineLevel="0" collapsed="false">
      <c r="A802" s="10" t="n">
        <v>796</v>
      </c>
      <c r="B802" s="11" t="s">
        <v>1319</v>
      </c>
      <c r="C802" s="12" t="s">
        <v>1320</v>
      </c>
      <c r="D802" s="13" t="n">
        <v>0.0108321759259259</v>
      </c>
      <c r="E802" s="14" t="n">
        <v>797</v>
      </c>
      <c r="F802" s="15" t="n">
        <f aca="false">IF(D802="","",ROUND((D802-MIN($D$7:$D$9999))*86400,2))</f>
        <v>146.16</v>
      </c>
      <c r="G802" s="10" t="str">
        <f aca="false">IF(D802="","",IF(D802&lt;=($E$3*60+$F$3)/86400,"○",""))</f>
        <v/>
      </c>
      <c r="H802" s="16"/>
      <c r="I802" s="17"/>
      <c r="J802" s="16"/>
      <c r="K802" s="17"/>
      <c r="L802" s="17" t="n">
        <f aca="false">COUNT(E802,I802,K802)</f>
        <v>1</v>
      </c>
      <c r="M802" s="18" t="n">
        <f aca="false">(D802&lt;&gt;"")*(D802&lt;=($E$3*60+$F$3)/86400)+(H802&lt;&gt;"")*(H802&lt;=($I$3*60+$J$3)/86400)+(J802&lt;&gt;"")*(J802&lt;=($M$3*60+$N$3)/86400)</f>
        <v>0</v>
      </c>
      <c r="N802" s="20"/>
      <c r="O802" s="20"/>
      <c r="P802" s="20"/>
      <c r="Q802" s="19"/>
    </row>
    <row r="803" customFormat="false" ht="15" hidden="false" customHeight="false" outlineLevel="0" collapsed="false">
      <c r="A803" s="10" t="n">
        <v>797</v>
      </c>
      <c r="B803" s="11" t="s">
        <v>1321</v>
      </c>
      <c r="C803" s="12" t="s">
        <v>165</v>
      </c>
      <c r="D803" s="13" t="n">
        <v>0.0108325231481482</v>
      </c>
      <c r="E803" s="14" t="n">
        <v>798</v>
      </c>
      <c r="F803" s="15" t="n">
        <f aca="false">IF(D803="","",ROUND((D803-MIN($D$7:$D$9999))*86400,2))</f>
        <v>146.19</v>
      </c>
      <c r="G803" s="10" t="str">
        <f aca="false">IF(D803="","",IF(D803&lt;=($E$3*60+$F$3)/86400,"○",""))</f>
        <v/>
      </c>
      <c r="H803" s="16"/>
      <c r="I803" s="17"/>
      <c r="J803" s="16"/>
      <c r="K803" s="17"/>
      <c r="L803" s="17" t="n">
        <f aca="false">COUNT(E803,I803,K803)</f>
        <v>1</v>
      </c>
      <c r="M803" s="18" t="n">
        <f aca="false">(D803&lt;&gt;"")*(D803&lt;=($E$3*60+$F$3)/86400)+(H803&lt;&gt;"")*(H803&lt;=($I$3*60+$J$3)/86400)+(J803&lt;&gt;"")*(J803&lt;=($M$3*60+$N$3)/86400)</f>
        <v>0</v>
      </c>
      <c r="N803" s="20"/>
      <c r="O803" s="20"/>
      <c r="P803" s="20"/>
      <c r="Q803" s="19"/>
    </row>
    <row r="804" customFormat="false" ht="15" hidden="false" customHeight="false" outlineLevel="0" collapsed="false">
      <c r="A804" s="10" t="n">
        <v>798</v>
      </c>
      <c r="B804" s="11" t="s">
        <v>1322</v>
      </c>
      <c r="C804" s="12" t="s">
        <v>864</v>
      </c>
      <c r="D804" s="13" t="n">
        <v>0.0108329861111111</v>
      </c>
      <c r="E804" s="14" t="n">
        <v>799</v>
      </c>
      <c r="F804" s="15" t="n">
        <f aca="false">IF(D804="","",ROUND((D804-MIN($D$7:$D$9999))*86400,2))</f>
        <v>146.23</v>
      </c>
      <c r="G804" s="10" t="str">
        <f aca="false">IF(D804="","",IF(D804&lt;=($E$3*60+$F$3)/86400,"○",""))</f>
        <v/>
      </c>
      <c r="H804" s="16" t="n">
        <v>0.00678356481481482</v>
      </c>
      <c r="I804" s="17" t="n">
        <v>158</v>
      </c>
      <c r="J804" s="16" t="n">
        <v>0.00286273148148148</v>
      </c>
      <c r="K804" s="17" t="n">
        <v>655</v>
      </c>
      <c r="L804" s="17" t="n">
        <f aca="false">COUNT(E804,I804,K804)</f>
        <v>3</v>
      </c>
      <c r="M804" s="18" t="n">
        <f aca="false">(D804&lt;&gt;"")*(D804&lt;=($E$3*60+$F$3)/86400)+(H804&lt;&gt;"")*(H804&lt;=($I$3*60+$J$3)/86400)+(J804&lt;&gt;"")*(J804&lt;=($M$3*60+$N$3)/86400)</f>
        <v>0</v>
      </c>
      <c r="N804" s="20"/>
      <c r="O804" s="20" t="s">
        <v>1323</v>
      </c>
      <c r="P804" s="20"/>
      <c r="Q804" s="19"/>
    </row>
    <row r="805" customFormat="false" ht="15" hidden="false" customHeight="false" outlineLevel="0" collapsed="false">
      <c r="A805" s="10" t="n">
        <v>799</v>
      </c>
      <c r="B805" s="11" t="s">
        <v>1324</v>
      </c>
      <c r="C805" s="12" t="s">
        <v>1117</v>
      </c>
      <c r="D805" s="13" t="n">
        <v>0.0108332175925926</v>
      </c>
      <c r="E805" s="14" t="n">
        <v>800</v>
      </c>
      <c r="F805" s="15" t="n">
        <f aca="false">IF(D805="","",ROUND((D805-MIN($D$7:$D$9999))*86400,2))</f>
        <v>146.25</v>
      </c>
      <c r="G805" s="10" t="str">
        <f aca="false">IF(D805="","",IF(D805&lt;=($E$3*60+$F$3)/86400,"○",""))</f>
        <v/>
      </c>
      <c r="H805" s="16"/>
      <c r="I805" s="17"/>
      <c r="J805" s="16"/>
      <c r="K805" s="17"/>
      <c r="L805" s="17" t="n">
        <f aca="false">COUNT(E805,I805,K805)</f>
        <v>1</v>
      </c>
      <c r="M805" s="18" t="n">
        <f aca="false">(D805&lt;&gt;"")*(D805&lt;=($E$3*60+$F$3)/86400)+(H805&lt;&gt;"")*(H805&lt;=($I$3*60+$J$3)/86400)+(J805&lt;&gt;"")*(J805&lt;=($M$3*60+$N$3)/86400)</f>
        <v>0</v>
      </c>
      <c r="N805" s="20"/>
      <c r="O805" s="20"/>
      <c r="P805" s="20"/>
      <c r="Q805" s="19"/>
    </row>
    <row r="806" customFormat="false" ht="15" hidden="false" customHeight="false" outlineLevel="0" collapsed="false">
      <c r="A806" s="10" t="n">
        <v>800</v>
      </c>
      <c r="B806" s="11" t="s">
        <v>1325</v>
      </c>
      <c r="C806" s="12" t="s">
        <v>51</v>
      </c>
      <c r="D806" s="13" t="n">
        <v>0.0108334490740741</v>
      </c>
      <c r="E806" s="14" t="n">
        <v>801</v>
      </c>
      <c r="F806" s="15" t="n">
        <f aca="false">IF(D806="","",ROUND((D806-MIN($D$7:$D$9999))*86400,2))</f>
        <v>146.27</v>
      </c>
      <c r="G806" s="10" t="str">
        <f aca="false">IF(D806="","",IF(D806&lt;=($E$3*60+$F$3)/86400,"○",""))</f>
        <v/>
      </c>
      <c r="H806" s="16"/>
      <c r="I806" s="17"/>
      <c r="J806" s="16" t="n">
        <v>0.00292476851851852</v>
      </c>
      <c r="K806" s="17" t="n">
        <v>1144</v>
      </c>
      <c r="L806" s="17" t="n">
        <f aca="false">COUNT(E806,I806,K806)</f>
        <v>2</v>
      </c>
      <c r="M806" s="18" t="n">
        <f aca="false">(D806&lt;&gt;"")*(D806&lt;=($E$3*60+$F$3)/86400)+(H806&lt;&gt;"")*(H806&lt;=($I$3*60+$J$3)/86400)+(J806&lt;&gt;"")*(J806&lt;=($M$3*60+$N$3)/86400)</f>
        <v>0</v>
      </c>
      <c r="N806" s="20"/>
      <c r="O806" s="20" t="s">
        <v>1326</v>
      </c>
      <c r="P806" s="20"/>
      <c r="Q806" s="19"/>
    </row>
    <row r="807" customFormat="false" ht="15" hidden="false" customHeight="false" outlineLevel="0" collapsed="false">
      <c r="A807" s="10" t="n">
        <v>801</v>
      </c>
      <c r="B807" s="11" t="s">
        <v>1327</v>
      </c>
      <c r="C807" s="12" t="s">
        <v>463</v>
      </c>
      <c r="D807" s="13" t="n">
        <v>0.0108364583333333</v>
      </c>
      <c r="E807" s="14" t="n">
        <v>802</v>
      </c>
      <c r="F807" s="15" t="n">
        <f aca="false">IF(D807="","",ROUND((D807-MIN($D$7:$D$9999))*86400,2))</f>
        <v>146.53</v>
      </c>
      <c r="G807" s="10" t="str">
        <f aca="false">IF(D807="","",IF(D807&lt;=($E$3*60+$F$3)/86400,"○",""))</f>
        <v/>
      </c>
      <c r="H807" s="16"/>
      <c r="I807" s="17"/>
      <c r="J807" s="16"/>
      <c r="K807" s="17"/>
      <c r="L807" s="17" t="n">
        <f aca="false">COUNT(E807,I807,K807)</f>
        <v>1</v>
      </c>
      <c r="M807" s="18" t="n">
        <f aca="false">(D807&lt;&gt;"")*(D807&lt;=($E$3*60+$F$3)/86400)+(H807&lt;&gt;"")*(H807&lt;=($I$3*60+$J$3)/86400)+(J807&lt;&gt;"")*(J807&lt;=($M$3*60+$N$3)/86400)</f>
        <v>0</v>
      </c>
      <c r="N807" s="20"/>
      <c r="O807" s="20" t="s">
        <v>1328</v>
      </c>
      <c r="P807" s="20"/>
      <c r="Q807" s="19"/>
    </row>
    <row r="808" customFormat="false" ht="15" hidden="false" customHeight="false" outlineLevel="0" collapsed="false">
      <c r="A808" s="10" t="n">
        <v>802</v>
      </c>
      <c r="B808" s="11" t="s">
        <v>1329</v>
      </c>
      <c r="C808" s="12" t="s">
        <v>1330</v>
      </c>
      <c r="D808" s="13" t="n">
        <v>0.0108366898148148</v>
      </c>
      <c r="E808" s="14" t="n">
        <v>803</v>
      </c>
      <c r="F808" s="15" t="n">
        <f aca="false">IF(D808="","",ROUND((D808-MIN($D$7:$D$9999))*86400,2))</f>
        <v>146.55</v>
      </c>
      <c r="G808" s="10" t="str">
        <f aca="false">IF(D808="","",IF(D808&lt;=($E$3*60+$F$3)/86400,"○",""))</f>
        <v/>
      </c>
      <c r="H808" s="16" t="n">
        <v>0.00681701388888889</v>
      </c>
      <c r="I808" s="17" t="n">
        <v>184</v>
      </c>
      <c r="J808" s="16"/>
      <c r="K808" s="17"/>
      <c r="L808" s="17" t="n">
        <f aca="false">COUNT(E808,I808,K808)</f>
        <v>2</v>
      </c>
      <c r="M808" s="18" t="n">
        <f aca="false">(D808&lt;&gt;"")*(D808&lt;=($E$3*60+$F$3)/86400)+(H808&lt;&gt;"")*(H808&lt;=($I$3*60+$J$3)/86400)+(J808&lt;&gt;"")*(J808&lt;=($M$3*60+$N$3)/86400)</f>
        <v>0</v>
      </c>
      <c r="N808" s="20"/>
      <c r="O808" s="20"/>
      <c r="P808" s="20"/>
      <c r="Q808" s="19"/>
    </row>
    <row r="809" customFormat="false" ht="15" hidden="false" customHeight="false" outlineLevel="0" collapsed="false">
      <c r="A809" s="10" t="n">
        <v>803</v>
      </c>
      <c r="B809" s="11" t="s">
        <v>1331</v>
      </c>
      <c r="C809" s="12" t="s">
        <v>1332</v>
      </c>
      <c r="D809" s="13" t="n">
        <v>0.0108369212962963</v>
      </c>
      <c r="E809" s="14" t="n">
        <v>804</v>
      </c>
      <c r="F809" s="15" t="n">
        <f aca="false">IF(D809="","",ROUND((D809-MIN($D$7:$D$9999))*86400,2))</f>
        <v>146.57</v>
      </c>
      <c r="G809" s="10" t="str">
        <f aca="false">IF(D809="","",IF(D809&lt;=($E$3*60+$F$3)/86400,"○",""))</f>
        <v/>
      </c>
      <c r="H809" s="16" t="n">
        <v>0.00677928240740741</v>
      </c>
      <c r="I809" s="17" t="n">
        <v>154</v>
      </c>
      <c r="J809" s="16"/>
      <c r="K809" s="17"/>
      <c r="L809" s="17" t="n">
        <f aca="false">COUNT(E809,I809,K809)</f>
        <v>2</v>
      </c>
      <c r="M809" s="18" t="n">
        <f aca="false">(D809&lt;&gt;"")*(D809&lt;=($E$3*60+$F$3)/86400)+(H809&lt;&gt;"")*(H809&lt;=($I$3*60+$J$3)/86400)+(J809&lt;&gt;"")*(J809&lt;=($M$3*60+$N$3)/86400)</f>
        <v>0</v>
      </c>
      <c r="N809" s="20"/>
      <c r="O809" s="20"/>
      <c r="P809" s="20"/>
      <c r="Q809" s="19"/>
    </row>
    <row r="810" customFormat="false" ht="15" hidden="false" customHeight="false" outlineLevel="0" collapsed="false">
      <c r="A810" s="10" t="n">
        <v>804</v>
      </c>
      <c r="B810" s="11" t="s">
        <v>1333</v>
      </c>
      <c r="C810" s="12" t="s">
        <v>1334</v>
      </c>
      <c r="D810" s="13" t="n">
        <v>0.0108373842592593</v>
      </c>
      <c r="E810" s="14" t="n">
        <v>805</v>
      </c>
      <c r="F810" s="15" t="n">
        <f aca="false">IF(D810="","",ROUND((D810-MIN($D$7:$D$9999))*86400,2))</f>
        <v>146.61</v>
      </c>
      <c r="G810" s="10" t="str">
        <f aca="false">IF(D810="","",IF(D810&lt;=($E$3*60+$F$3)/86400,"○",""))</f>
        <v/>
      </c>
      <c r="H810" s="16" t="n">
        <v>0.00711782407407407</v>
      </c>
      <c r="I810" s="17" t="n">
        <v>464</v>
      </c>
      <c r="J810" s="16" t="n">
        <v>0.002925</v>
      </c>
      <c r="K810" s="17" t="n">
        <v>1149</v>
      </c>
      <c r="L810" s="17" t="n">
        <f aca="false">COUNT(E810,I810,K810)</f>
        <v>3</v>
      </c>
      <c r="M810" s="18" t="n">
        <f aca="false">(D810&lt;&gt;"")*(D810&lt;=($E$3*60+$F$3)/86400)+(H810&lt;&gt;"")*(H810&lt;=($I$3*60+$J$3)/86400)+(J810&lt;&gt;"")*(J810&lt;=($M$3*60+$N$3)/86400)</f>
        <v>0</v>
      </c>
      <c r="N810" s="20"/>
      <c r="O810" s="20"/>
      <c r="P810" s="20"/>
      <c r="Q810" s="19"/>
    </row>
    <row r="811" customFormat="false" ht="15" hidden="false" customHeight="false" outlineLevel="0" collapsed="false">
      <c r="A811" s="10" t="n">
        <v>805</v>
      </c>
      <c r="B811" s="11" t="s">
        <v>1335</v>
      </c>
      <c r="C811" s="12" t="s">
        <v>397</v>
      </c>
      <c r="D811" s="13" t="n">
        <v>0.0108377314814815</v>
      </c>
      <c r="E811" s="14" t="n">
        <v>806</v>
      </c>
      <c r="F811" s="15" t="n">
        <f aca="false">IF(D811="","",ROUND((D811-MIN($D$7:$D$9999))*86400,2))</f>
        <v>146.64</v>
      </c>
      <c r="G811" s="10" t="str">
        <f aca="false">IF(D811="","",IF(D811&lt;=($E$3*60+$F$3)/86400,"○",""))</f>
        <v/>
      </c>
      <c r="H811" s="16"/>
      <c r="I811" s="17"/>
      <c r="J811" s="16" t="n">
        <v>0.00297685185185185</v>
      </c>
      <c r="K811" s="17" t="n">
        <v>1340</v>
      </c>
      <c r="L811" s="17" t="n">
        <f aca="false">COUNT(E811,I811,K811)</f>
        <v>2</v>
      </c>
      <c r="M811" s="18" t="n">
        <f aca="false">(D811&lt;&gt;"")*(D811&lt;=($E$3*60+$F$3)/86400)+(H811&lt;&gt;"")*(H811&lt;=($I$3*60+$J$3)/86400)+(J811&lt;&gt;"")*(J811&lt;=($M$3*60+$N$3)/86400)</f>
        <v>0</v>
      </c>
      <c r="N811" s="20"/>
      <c r="O811" s="20"/>
      <c r="P811" s="20"/>
      <c r="Q811" s="19"/>
    </row>
    <row r="812" customFormat="false" ht="15" hidden="false" customHeight="false" outlineLevel="0" collapsed="false">
      <c r="A812" s="10" t="n">
        <v>806</v>
      </c>
      <c r="B812" s="11" t="s">
        <v>1336</v>
      </c>
      <c r="C812" s="12" t="s">
        <v>561</v>
      </c>
      <c r="D812" s="13" t="n">
        <v>0.0108380787037037</v>
      </c>
      <c r="E812" s="14" t="n">
        <v>807</v>
      </c>
      <c r="F812" s="15" t="n">
        <f aca="false">IF(D812="","",ROUND((D812-MIN($D$7:$D$9999))*86400,2))</f>
        <v>146.67</v>
      </c>
      <c r="G812" s="10" t="str">
        <f aca="false">IF(D812="","",IF(D812&lt;=($E$3*60+$F$3)/86400,"○",""))</f>
        <v/>
      </c>
      <c r="H812" s="16"/>
      <c r="I812" s="17"/>
      <c r="J812" s="16"/>
      <c r="K812" s="17"/>
      <c r="L812" s="17" t="n">
        <f aca="false">COUNT(E812,I812,K812)</f>
        <v>1</v>
      </c>
      <c r="M812" s="18" t="n">
        <f aca="false">(D812&lt;&gt;"")*(D812&lt;=($E$3*60+$F$3)/86400)+(H812&lt;&gt;"")*(H812&lt;=($I$3*60+$J$3)/86400)+(J812&lt;&gt;"")*(J812&lt;=($M$3*60+$N$3)/86400)</f>
        <v>0</v>
      </c>
      <c r="N812" s="20" t="s">
        <v>1337</v>
      </c>
      <c r="O812" s="20"/>
      <c r="P812" s="20"/>
      <c r="Q812" s="19"/>
    </row>
    <row r="813" customFormat="false" ht="15" hidden="false" customHeight="false" outlineLevel="0" collapsed="false">
      <c r="A813" s="10" t="n">
        <v>807</v>
      </c>
      <c r="B813" s="11" t="s">
        <v>1338</v>
      </c>
      <c r="C813" s="12" t="s">
        <v>1339</v>
      </c>
      <c r="D813" s="13" t="n">
        <v>0.0108384259259259</v>
      </c>
      <c r="E813" s="14" t="n">
        <v>808</v>
      </c>
      <c r="F813" s="15" t="n">
        <f aca="false">IF(D813="","",ROUND((D813-MIN($D$7:$D$9999))*86400,2))</f>
        <v>146.7</v>
      </c>
      <c r="G813" s="10" t="str">
        <f aca="false">IF(D813="","",IF(D813&lt;=($E$3*60+$F$3)/86400,"○",""))</f>
        <v/>
      </c>
      <c r="H813" s="16" t="n">
        <v>0.00706446759259259</v>
      </c>
      <c r="I813" s="17" t="n">
        <v>407</v>
      </c>
      <c r="J813" s="16" t="n">
        <v>0.00285393518518519</v>
      </c>
      <c r="K813" s="17" t="n">
        <v>592</v>
      </c>
      <c r="L813" s="17" t="n">
        <f aca="false">COUNT(E813,I813,K813)</f>
        <v>3</v>
      </c>
      <c r="M813" s="18" t="n">
        <f aca="false">(D813&lt;&gt;"")*(D813&lt;=($E$3*60+$F$3)/86400)+(H813&lt;&gt;"")*(H813&lt;=($I$3*60+$J$3)/86400)+(J813&lt;&gt;"")*(J813&lt;=($M$3*60+$N$3)/86400)</f>
        <v>0</v>
      </c>
      <c r="N813" s="20"/>
      <c r="O813" s="20"/>
      <c r="P813" s="20"/>
      <c r="Q813" s="19"/>
    </row>
    <row r="814" customFormat="false" ht="15" hidden="false" customHeight="false" outlineLevel="0" collapsed="false">
      <c r="A814" s="10" t="n">
        <v>808</v>
      </c>
      <c r="B814" s="11" t="s">
        <v>1340</v>
      </c>
      <c r="C814" s="12" t="s">
        <v>417</v>
      </c>
      <c r="D814" s="13" t="n">
        <v>0.0108385416666667</v>
      </c>
      <c r="E814" s="14" t="n">
        <v>809</v>
      </c>
      <c r="F814" s="15" t="n">
        <f aca="false">IF(D814="","",ROUND((D814-MIN($D$7:$D$9999))*86400,2))</f>
        <v>146.71</v>
      </c>
      <c r="G814" s="10" t="str">
        <f aca="false">IF(D814="","",IF(D814&lt;=($E$3*60+$F$3)/86400,"○",""))</f>
        <v/>
      </c>
      <c r="H814" s="16"/>
      <c r="I814" s="17"/>
      <c r="J814" s="16"/>
      <c r="K814" s="17"/>
      <c r="L814" s="17" t="n">
        <f aca="false">COUNT(E814,I814,K814)</f>
        <v>1</v>
      </c>
      <c r="M814" s="18" t="n">
        <f aca="false">(D814&lt;&gt;"")*(D814&lt;=($E$3*60+$F$3)/86400)+(H814&lt;&gt;"")*(H814&lt;=($I$3*60+$J$3)/86400)+(J814&lt;&gt;"")*(J814&lt;=($M$3*60+$N$3)/86400)</f>
        <v>0</v>
      </c>
      <c r="N814" s="20"/>
      <c r="O814" s="20"/>
      <c r="P814" s="20"/>
      <c r="Q814" s="19"/>
    </row>
    <row r="815" customFormat="false" ht="15" hidden="false" customHeight="false" outlineLevel="0" collapsed="false">
      <c r="A815" s="10" t="n">
        <v>809</v>
      </c>
      <c r="B815" s="11" t="s">
        <v>1341</v>
      </c>
      <c r="C815" s="12" t="s">
        <v>1342</v>
      </c>
      <c r="D815" s="13" t="n">
        <v>0.0108386574074074</v>
      </c>
      <c r="E815" s="14" t="n">
        <v>810</v>
      </c>
      <c r="F815" s="15" t="n">
        <f aca="false">IF(D815="","",ROUND((D815-MIN($D$7:$D$9999))*86400,2))</f>
        <v>146.72</v>
      </c>
      <c r="G815" s="10" t="str">
        <f aca="false">IF(D815="","",IF(D815&lt;=($E$3*60+$F$3)/86400,"○",""))</f>
        <v/>
      </c>
      <c r="H815" s="16"/>
      <c r="I815" s="17"/>
      <c r="J815" s="16" t="n">
        <v>0.00282546296296296</v>
      </c>
      <c r="K815" s="17" t="n">
        <v>396</v>
      </c>
      <c r="L815" s="17" t="n">
        <f aca="false">COUNT(E815,I815,K815)</f>
        <v>2</v>
      </c>
      <c r="M815" s="18" t="n">
        <f aca="false">(D815&lt;&gt;"")*(D815&lt;=($E$3*60+$F$3)/86400)+(H815&lt;&gt;"")*(H815&lt;=($I$3*60+$J$3)/86400)+(J815&lt;&gt;"")*(J815&lt;=($M$3*60+$N$3)/86400)</f>
        <v>0</v>
      </c>
      <c r="N815" s="20"/>
      <c r="O815" s="20"/>
      <c r="P815" s="20"/>
      <c r="Q815" s="19"/>
    </row>
    <row r="816" customFormat="false" ht="15" hidden="false" customHeight="false" outlineLevel="0" collapsed="false">
      <c r="A816" s="10" t="n">
        <v>810</v>
      </c>
      <c r="B816" s="11" t="s">
        <v>1343</v>
      </c>
      <c r="C816" s="12" t="s">
        <v>1344</v>
      </c>
      <c r="D816" s="13" t="n">
        <v>0.0108391203703704</v>
      </c>
      <c r="E816" s="14" t="n">
        <v>811</v>
      </c>
      <c r="F816" s="15" t="n">
        <f aca="false">IF(D816="","",ROUND((D816-MIN($D$7:$D$9999))*86400,2))</f>
        <v>146.76</v>
      </c>
      <c r="G816" s="10" t="str">
        <f aca="false">IF(D816="","",IF(D816&lt;=($E$3*60+$F$3)/86400,"○",""))</f>
        <v/>
      </c>
      <c r="H816" s="16"/>
      <c r="I816" s="17"/>
      <c r="J816" s="16" t="n">
        <v>0.0028625</v>
      </c>
      <c r="K816" s="17" t="n">
        <v>651</v>
      </c>
      <c r="L816" s="17" t="n">
        <f aca="false">COUNT(E816,I816,K816)</f>
        <v>2</v>
      </c>
      <c r="M816" s="18" t="n">
        <f aca="false">(D816&lt;&gt;"")*(D816&lt;=($E$3*60+$F$3)/86400)+(H816&lt;&gt;"")*(H816&lt;=($I$3*60+$J$3)/86400)+(J816&lt;&gt;"")*(J816&lt;=($M$3*60+$N$3)/86400)</f>
        <v>0</v>
      </c>
      <c r="N816" s="20"/>
      <c r="O816" s="20"/>
      <c r="P816" s="20"/>
      <c r="Q816" s="19"/>
    </row>
    <row r="817" customFormat="false" ht="15" hidden="false" customHeight="false" outlineLevel="0" collapsed="false">
      <c r="A817" s="10" t="n">
        <v>811</v>
      </c>
      <c r="B817" s="11" t="s">
        <v>1345</v>
      </c>
      <c r="C817" s="12" t="s">
        <v>1346</v>
      </c>
      <c r="D817" s="13" t="n">
        <v>0.0108391203703704</v>
      </c>
      <c r="E817" s="14" t="n">
        <v>812</v>
      </c>
      <c r="F817" s="15" t="n">
        <f aca="false">IF(D817="","",ROUND((D817-MIN($D$7:$D$9999))*86400,2))</f>
        <v>146.76</v>
      </c>
      <c r="G817" s="10" t="str">
        <f aca="false">IF(D817="","",IF(D817&lt;=($E$3*60+$F$3)/86400,"○",""))</f>
        <v/>
      </c>
      <c r="H817" s="16" t="n">
        <v>0.00707430555555556</v>
      </c>
      <c r="I817" s="17" t="n">
        <v>420</v>
      </c>
      <c r="J817" s="16" t="n">
        <v>0.00292395833333333</v>
      </c>
      <c r="K817" s="17" t="n">
        <v>1136</v>
      </c>
      <c r="L817" s="17" t="n">
        <f aca="false">COUNT(E817,I817,K817)</f>
        <v>3</v>
      </c>
      <c r="M817" s="18" t="n">
        <f aca="false">(D817&lt;&gt;"")*(D817&lt;=($E$3*60+$F$3)/86400)+(H817&lt;&gt;"")*(H817&lt;=($I$3*60+$J$3)/86400)+(J817&lt;&gt;"")*(J817&lt;=($M$3*60+$N$3)/86400)</f>
        <v>0</v>
      </c>
      <c r="N817" s="20"/>
      <c r="O817" s="20"/>
      <c r="P817" s="20"/>
      <c r="Q817" s="19"/>
    </row>
    <row r="818" customFormat="false" ht="15" hidden="false" customHeight="false" outlineLevel="0" collapsed="false">
      <c r="A818" s="10" t="n">
        <v>812</v>
      </c>
      <c r="B818" s="11" t="s">
        <v>1347</v>
      </c>
      <c r="C818" s="12" t="s">
        <v>1348</v>
      </c>
      <c r="D818" s="13" t="n">
        <v>0.0108391203703704</v>
      </c>
      <c r="E818" s="14" t="n">
        <v>813</v>
      </c>
      <c r="F818" s="15" t="n">
        <f aca="false">IF(D818="","",ROUND((D818-MIN($D$7:$D$9999))*86400,2))</f>
        <v>146.76</v>
      </c>
      <c r="G818" s="10" t="str">
        <f aca="false">IF(D818="","",IF(D818&lt;=($E$3*60+$F$3)/86400,"○",""))</f>
        <v/>
      </c>
      <c r="H818" s="16" t="n">
        <v>0.00742210648148148</v>
      </c>
      <c r="I818" s="17" t="n">
        <v>797</v>
      </c>
      <c r="J818" s="16"/>
      <c r="K818" s="17"/>
      <c r="L818" s="17" t="n">
        <f aca="false">COUNT(E818,I818,K818)</f>
        <v>2</v>
      </c>
      <c r="M818" s="18" t="n">
        <f aca="false">(D818&lt;&gt;"")*(D818&lt;=($E$3*60+$F$3)/86400)+(H818&lt;&gt;"")*(H818&lt;=($I$3*60+$J$3)/86400)+(J818&lt;&gt;"")*(J818&lt;=($M$3*60+$N$3)/86400)</f>
        <v>0</v>
      </c>
      <c r="N818" s="20"/>
      <c r="O818" s="20"/>
      <c r="P818" s="20"/>
      <c r="Q818" s="19"/>
    </row>
    <row r="819" customFormat="false" ht="15" hidden="false" customHeight="false" outlineLevel="0" collapsed="false">
      <c r="A819" s="10" t="n">
        <v>813</v>
      </c>
      <c r="B819" s="11" t="s">
        <v>1349</v>
      </c>
      <c r="C819" s="12" t="s">
        <v>454</v>
      </c>
      <c r="D819" s="13" t="n">
        <v>0.0108413194444445</v>
      </c>
      <c r="E819" s="14" t="n">
        <v>814</v>
      </c>
      <c r="F819" s="15" t="n">
        <f aca="false">IF(D819="","",ROUND((D819-MIN($D$7:$D$9999))*86400,2))</f>
        <v>146.95</v>
      </c>
      <c r="G819" s="10" t="str">
        <f aca="false">IF(D819="","",IF(D819&lt;=($E$3*60+$F$3)/86400,"○",""))</f>
        <v/>
      </c>
      <c r="H819" s="16"/>
      <c r="I819" s="17"/>
      <c r="J819" s="16" t="n">
        <v>0.00286111111111111</v>
      </c>
      <c r="K819" s="17" t="n">
        <v>641</v>
      </c>
      <c r="L819" s="17" t="n">
        <f aca="false">COUNT(E819,I819,K819)</f>
        <v>2</v>
      </c>
      <c r="M819" s="18" t="n">
        <f aca="false">(D819&lt;&gt;"")*(D819&lt;=($E$3*60+$F$3)/86400)+(H819&lt;&gt;"")*(H819&lt;=($I$3*60+$J$3)/86400)+(J819&lt;&gt;"")*(J819&lt;=($M$3*60+$N$3)/86400)</f>
        <v>0</v>
      </c>
      <c r="N819" s="20"/>
      <c r="O819" s="20"/>
      <c r="P819" s="20"/>
      <c r="Q819" s="19"/>
    </row>
    <row r="820" customFormat="false" ht="15" hidden="false" customHeight="false" outlineLevel="0" collapsed="false">
      <c r="A820" s="10" t="n">
        <v>814</v>
      </c>
      <c r="B820" s="11" t="s">
        <v>1350</v>
      </c>
      <c r="C820" s="12" t="s">
        <v>240</v>
      </c>
      <c r="D820" s="13" t="n">
        <v>0.0108413194444445</v>
      </c>
      <c r="E820" s="14" t="n">
        <v>815</v>
      </c>
      <c r="F820" s="15" t="n">
        <f aca="false">IF(D820="","",ROUND((D820-MIN($D$7:$D$9999))*86400,2))</f>
        <v>146.95</v>
      </c>
      <c r="G820" s="10" t="str">
        <f aca="false">IF(D820="","",IF(D820&lt;=($E$3*60+$F$3)/86400,"○",""))</f>
        <v/>
      </c>
      <c r="H820" s="16" t="n">
        <v>0.00699918981481482</v>
      </c>
      <c r="I820" s="17" t="n">
        <v>334</v>
      </c>
      <c r="J820" s="16" t="n">
        <v>0.002828125</v>
      </c>
      <c r="K820" s="17" t="n">
        <v>412</v>
      </c>
      <c r="L820" s="17" t="n">
        <f aca="false">COUNT(E820,I820,K820)</f>
        <v>3</v>
      </c>
      <c r="M820" s="18" t="n">
        <f aca="false">(D820&lt;&gt;"")*(D820&lt;=($E$3*60+$F$3)/86400)+(H820&lt;&gt;"")*(H820&lt;=($I$3*60+$J$3)/86400)+(J820&lt;&gt;"")*(J820&lt;=($M$3*60+$N$3)/86400)</f>
        <v>0</v>
      </c>
      <c r="N820" s="20"/>
      <c r="O820" s="20"/>
      <c r="P820" s="20"/>
      <c r="Q820" s="19"/>
    </row>
    <row r="821" customFormat="false" ht="15" hidden="false" customHeight="false" outlineLevel="0" collapsed="false">
      <c r="A821" s="10" t="n">
        <v>815</v>
      </c>
      <c r="B821" s="11" t="s">
        <v>1351</v>
      </c>
      <c r="C821" s="12" t="s">
        <v>561</v>
      </c>
      <c r="D821" s="13" t="n">
        <v>0.0108416666666667</v>
      </c>
      <c r="E821" s="14" t="n">
        <v>816</v>
      </c>
      <c r="F821" s="15" t="n">
        <f aca="false">IF(D821="","",ROUND((D821-MIN($D$7:$D$9999))*86400,2))</f>
        <v>146.98</v>
      </c>
      <c r="G821" s="10" t="str">
        <f aca="false">IF(D821="","",IF(D821&lt;=($E$3*60+$F$3)/86400,"○",""))</f>
        <v/>
      </c>
      <c r="H821" s="16"/>
      <c r="I821" s="17"/>
      <c r="J821" s="16" t="n">
        <v>0.00289988425925926</v>
      </c>
      <c r="K821" s="17" t="n">
        <v>947</v>
      </c>
      <c r="L821" s="17" t="n">
        <f aca="false">COUNT(E821,I821,K821)</f>
        <v>2</v>
      </c>
      <c r="M821" s="18" t="n">
        <f aca="false">(D821&lt;&gt;"")*(D821&lt;=($E$3*60+$F$3)/86400)+(H821&lt;&gt;"")*(H821&lt;=($I$3*60+$J$3)/86400)+(J821&lt;&gt;"")*(J821&lt;=($M$3*60+$N$3)/86400)</f>
        <v>0</v>
      </c>
      <c r="N821" s="20"/>
      <c r="O821" s="20"/>
      <c r="P821" s="20"/>
      <c r="Q821" s="19"/>
    </row>
    <row r="822" customFormat="false" ht="15" hidden="false" customHeight="false" outlineLevel="0" collapsed="false">
      <c r="A822" s="10" t="n">
        <v>816</v>
      </c>
      <c r="B822" s="11" t="s">
        <v>1352</v>
      </c>
      <c r="C822" s="12" t="s">
        <v>632</v>
      </c>
      <c r="D822" s="13" t="n">
        <v>0.0108423611111111</v>
      </c>
      <c r="E822" s="14" t="n">
        <v>817</v>
      </c>
      <c r="F822" s="15" t="n">
        <f aca="false">IF(D822="","",ROUND((D822-MIN($D$7:$D$9999))*86400,2))</f>
        <v>147.04</v>
      </c>
      <c r="G822" s="10" t="str">
        <f aca="false">IF(D822="","",IF(D822&lt;=($E$3*60+$F$3)/86400,"○",""))</f>
        <v/>
      </c>
      <c r="H822" s="16"/>
      <c r="I822" s="17"/>
      <c r="J822" s="16"/>
      <c r="K822" s="17"/>
      <c r="L822" s="17" t="n">
        <f aca="false">COUNT(E822,I822,K822)</f>
        <v>1</v>
      </c>
      <c r="M822" s="18" t="n">
        <f aca="false">(D822&lt;&gt;"")*(D822&lt;=($E$3*60+$F$3)/86400)+(H822&lt;&gt;"")*(H822&lt;=($I$3*60+$J$3)/86400)+(J822&lt;&gt;"")*(J822&lt;=($M$3*60+$N$3)/86400)</f>
        <v>0</v>
      </c>
      <c r="N822" s="20" t="s">
        <v>1186</v>
      </c>
      <c r="O822" s="20"/>
      <c r="P822" s="20"/>
      <c r="Q822" s="19"/>
    </row>
    <row r="823" customFormat="false" ht="15" hidden="false" customHeight="false" outlineLevel="0" collapsed="false">
      <c r="A823" s="10" t="n">
        <v>817</v>
      </c>
      <c r="B823" s="11" t="s">
        <v>1353</v>
      </c>
      <c r="C823" s="12" t="s">
        <v>1354</v>
      </c>
      <c r="D823" s="13" t="n">
        <v>0.0108424768518519</v>
      </c>
      <c r="E823" s="14" t="n">
        <v>818</v>
      </c>
      <c r="F823" s="15" t="n">
        <f aca="false">IF(D823="","",ROUND((D823-MIN($D$7:$D$9999))*86400,2))</f>
        <v>147.05</v>
      </c>
      <c r="G823" s="10" t="str">
        <f aca="false">IF(D823="","",IF(D823&lt;=($E$3*60+$F$3)/86400,"○",""))</f>
        <v/>
      </c>
      <c r="H823" s="16"/>
      <c r="I823" s="17"/>
      <c r="J823" s="16" t="n">
        <v>0.00282708333333333</v>
      </c>
      <c r="K823" s="17" t="n">
        <v>405</v>
      </c>
      <c r="L823" s="17" t="n">
        <f aca="false">COUNT(E823,I823,K823)</f>
        <v>2</v>
      </c>
      <c r="M823" s="18" t="n">
        <f aca="false">(D823&lt;&gt;"")*(D823&lt;=($E$3*60+$F$3)/86400)+(H823&lt;&gt;"")*(H823&lt;=($I$3*60+$J$3)/86400)+(J823&lt;&gt;"")*(J823&lt;=($M$3*60+$N$3)/86400)</f>
        <v>0</v>
      </c>
      <c r="N823" s="20"/>
      <c r="O823" s="20"/>
      <c r="P823" s="20"/>
      <c r="Q823" s="19"/>
    </row>
    <row r="824" customFormat="false" ht="15" hidden="false" customHeight="false" outlineLevel="0" collapsed="false">
      <c r="A824" s="10" t="n">
        <v>818</v>
      </c>
      <c r="B824" s="11" t="s">
        <v>1355</v>
      </c>
      <c r="C824" s="12" t="s">
        <v>37</v>
      </c>
      <c r="D824" s="13" t="n">
        <v>0.0108434027777778</v>
      </c>
      <c r="E824" s="14" t="n">
        <v>819</v>
      </c>
      <c r="F824" s="15" t="n">
        <f aca="false">IF(D824="","",ROUND((D824-MIN($D$7:$D$9999))*86400,2))</f>
        <v>147.13</v>
      </c>
      <c r="G824" s="10" t="str">
        <f aca="false">IF(D824="","",IF(D824&lt;=($E$3*60+$F$3)/86400,"○",""))</f>
        <v/>
      </c>
      <c r="H824" s="16"/>
      <c r="I824" s="17"/>
      <c r="J824" s="16"/>
      <c r="K824" s="17"/>
      <c r="L824" s="17" t="n">
        <f aca="false">COUNT(E824,I824,K824)</f>
        <v>1</v>
      </c>
      <c r="M824" s="18" t="n">
        <f aca="false">(D824&lt;&gt;"")*(D824&lt;=($E$3*60+$F$3)/86400)+(H824&lt;&gt;"")*(H824&lt;=($I$3*60+$J$3)/86400)+(J824&lt;&gt;"")*(J824&lt;=($M$3*60+$N$3)/86400)</f>
        <v>0</v>
      </c>
      <c r="N824" s="20"/>
      <c r="O824" s="20"/>
      <c r="P824" s="20"/>
      <c r="Q824" s="19"/>
    </row>
    <row r="825" customFormat="false" ht="15" hidden="false" customHeight="false" outlineLevel="0" collapsed="false">
      <c r="A825" s="10" t="n">
        <v>819</v>
      </c>
      <c r="B825" s="11" t="s">
        <v>1356</v>
      </c>
      <c r="C825" s="12" t="s">
        <v>1357</v>
      </c>
      <c r="D825" s="13" t="n">
        <v>0.0108435185185185</v>
      </c>
      <c r="E825" s="14" t="n">
        <v>820</v>
      </c>
      <c r="F825" s="15" t="n">
        <f aca="false">IF(D825="","",ROUND((D825-MIN($D$7:$D$9999))*86400,2))</f>
        <v>147.14</v>
      </c>
      <c r="G825" s="10" t="str">
        <f aca="false">IF(D825="","",IF(D825&lt;=($E$3*60+$F$3)/86400,"○",""))</f>
        <v/>
      </c>
      <c r="H825" s="16"/>
      <c r="I825" s="17"/>
      <c r="J825" s="16" t="n">
        <v>0.00290208333333333</v>
      </c>
      <c r="K825" s="17" t="n">
        <v>965</v>
      </c>
      <c r="L825" s="17" t="n">
        <f aca="false">COUNT(E825,I825,K825)</f>
        <v>2</v>
      </c>
      <c r="M825" s="18" t="n">
        <f aca="false">(D825&lt;&gt;"")*(D825&lt;=($E$3*60+$F$3)/86400)+(H825&lt;&gt;"")*(H825&lt;=($I$3*60+$J$3)/86400)+(J825&lt;&gt;"")*(J825&lt;=($M$3*60+$N$3)/86400)</f>
        <v>0</v>
      </c>
      <c r="N825" s="20"/>
      <c r="O825" s="20"/>
      <c r="P825" s="20"/>
      <c r="Q825" s="19"/>
    </row>
    <row r="826" customFormat="false" ht="15" hidden="false" customHeight="false" outlineLevel="0" collapsed="false">
      <c r="A826" s="10" t="n">
        <v>820</v>
      </c>
      <c r="B826" s="11" t="s">
        <v>1358</v>
      </c>
      <c r="C826" s="12" t="s">
        <v>281</v>
      </c>
      <c r="D826" s="13" t="n">
        <v>0.0108438657407407</v>
      </c>
      <c r="E826" s="14" t="n">
        <v>821</v>
      </c>
      <c r="F826" s="15" t="n">
        <f aca="false">IF(D826="","",ROUND((D826-MIN($D$7:$D$9999))*86400,2))</f>
        <v>147.17</v>
      </c>
      <c r="G826" s="10" t="str">
        <f aca="false">IF(D826="","",IF(D826&lt;=($E$3*60+$F$3)/86400,"○",""))</f>
        <v/>
      </c>
      <c r="H826" s="16" t="n">
        <v>0.00718460648148148</v>
      </c>
      <c r="I826" s="17" t="n">
        <v>523</v>
      </c>
      <c r="J826" s="16"/>
      <c r="K826" s="17"/>
      <c r="L826" s="17" t="n">
        <f aca="false">COUNT(E826,I826,K826)</f>
        <v>2</v>
      </c>
      <c r="M826" s="18" t="n">
        <f aca="false">(D826&lt;&gt;"")*(D826&lt;=($E$3*60+$F$3)/86400)+(H826&lt;&gt;"")*(H826&lt;=($I$3*60+$J$3)/86400)+(J826&lt;&gt;"")*(J826&lt;=($M$3*60+$N$3)/86400)</f>
        <v>0</v>
      </c>
      <c r="N826" s="20"/>
      <c r="O826" s="20"/>
      <c r="P826" s="20"/>
      <c r="Q826" s="19"/>
    </row>
    <row r="827" customFormat="false" ht="15" hidden="false" customHeight="false" outlineLevel="0" collapsed="false">
      <c r="A827" s="10" t="n">
        <v>821</v>
      </c>
      <c r="B827" s="11" t="s">
        <v>1359</v>
      </c>
      <c r="C827" s="12" t="s">
        <v>1360</v>
      </c>
      <c r="D827" s="13" t="n">
        <v>0.0108439814814815</v>
      </c>
      <c r="E827" s="14" t="n">
        <v>822</v>
      </c>
      <c r="F827" s="15" t="n">
        <f aca="false">IF(D827="","",ROUND((D827-MIN($D$7:$D$9999))*86400,2))</f>
        <v>147.18</v>
      </c>
      <c r="G827" s="10" t="str">
        <f aca="false">IF(D827="","",IF(D827&lt;=($E$3*60+$F$3)/86400,"○",""))</f>
        <v/>
      </c>
      <c r="H827" s="16"/>
      <c r="I827" s="17"/>
      <c r="J827" s="16"/>
      <c r="K827" s="17"/>
      <c r="L827" s="17" t="n">
        <f aca="false">COUNT(E827,I827,K827)</f>
        <v>1</v>
      </c>
      <c r="M827" s="18" t="n">
        <f aca="false">(D827&lt;&gt;"")*(D827&lt;=($E$3*60+$F$3)/86400)+(H827&lt;&gt;"")*(H827&lt;=($I$3*60+$J$3)/86400)+(J827&lt;&gt;"")*(J827&lt;=($M$3*60+$N$3)/86400)</f>
        <v>0</v>
      </c>
      <c r="N827" s="20"/>
      <c r="O827" s="20"/>
      <c r="P827" s="20"/>
      <c r="Q827" s="19"/>
    </row>
    <row r="828" customFormat="false" ht="15" hidden="false" customHeight="false" outlineLevel="0" collapsed="false">
      <c r="A828" s="10" t="n">
        <v>822</v>
      </c>
      <c r="B828" s="11" t="s">
        <v>1361</v>
      </c>
      <c r="C828" s="12" t="s">
        <v>559</v>
      </c>
      <c r="D828" s="13" t="n">
        <v>0.0108439814814815</v>
      </c>
      <c r="E828" s="14" t="n">
        <v>823</v>
      </c>
      <c r="F828" s="15" t="n">
        <f aca="false">IF(D828="","",ROUND((D828-MIN($D$7:$D$9999))*86400,2))</f>
        <v>147.18</v>
      </c>
      <c r="G828" s="10" t="str">
        <f aca="false">IF(D828="","",IF(D828&lt;=($E$3*60+$F$3)/86400,"○",""))</f>
        <v/>
      </c>
      <c r="H828" s="16" t="n">
        <v>0.00686076388888889</v>
      </c>
      <c r="I828" s="17" t="n">
        <v>210</v>
      </c>
      <c r="J828" s="16" t="n">
        <v>0.00279305555555556</v>
      </c>
      <c r="K828" s="17" t="n">
        <v>250</v>
      </c>
      <c r="L828" s="17" t="n">
        <f aca="false">COUNT(E828,I828,K828)</f>
        <v>3</v>
      </c>
      <c r="M828" s="18" t="n">
        <f aca="false">(D828&lt;&gt;"")*(D828&lt;=($E$3*60+$F$3)/86400)+(H828&lt;&gt;"")*(H828&lt;=($I$3*60+$J$3)/86400)+(J828&lt;&gt;"")*(J828&lt;=($M$3*60+$N$3)/86400)</f>
        <v>0</v>
      </c>
      <c r="N828" s="20"/>
      <c r="O828" s="20"/>
      <c r="P828" s="20"/>
      <c r="Q828" s="19"/>
    </row>
    <row r="829" customFormat="false" ht="15" hidden="false" customHeight="false" outlineLevel="0" collapsed="false">
      <c r="A829" s="10" t="n">
        <v>823</v>
      </c>
      <c r="B829" s="11" t="s">
        <v>1362</v>
      </c>
      <c r="C829" s="12" t="s">
        <v>1363</v>
      </c>
      <c r="D829" s="13" t="n">
        <v>0.0108440972222222</v>
      </c>
      <c r="E829" s="14" t="n">
        <v>824</v>
      </c>
      <c r="F829" s="15" t="n">
        <f aca="false">IF(D829="","",ROUND((D829-MIN($D$7:$D$9999))*86400,2))</f>
        <v>147.19</v>
      </c>
      <c r="G829" s="10" t="str">
        <f aca="false">IF(D829="","",IF(D829&lt;=($E$3*60+$F$3)/86400,"○",""))</f>
        <v/>
      </c>
      <c r="H829" s="16"/>
      <c r="I829" s="17"/>
      <c r="J829" s="16" t="n">
        <v>0.00291481481481482</v>
      </c>
      <c r="K829" s="17" t="n">
        <v>1053</v>
      </c>
      <c r="L829" s="17" t="n">
        <f aca="false">COUNT(E829,I829,K829)</f>
        <v>2</v>
      </c>
      <c r="M829" s="18" t="n">
        <f aca="false">(D829&lt;&gt;"")*(D829&lt;=($E$3*60+$F$3)/86400)+(H829&lt;&gt;"")*(H829&lt;=($I$3*60+$J$3)/86400)+(J829&lt;&gt;"")*(J829&lt;=($M$3*60+$N$3)/86400)</f>
        <v>0</v>
      </c>
      <c r="N829" s="20" t="s">
        <v>1364</v>
      </c>
      <c r="O829" s="20"/>
      <c r="P829" s="20"/>
      <c r="Q829" s="19"/>
    </row>
    <row r="830" customFormat="false" ht="15" hidden="false" customHeight="false" outlineLevel="0" collapsed="false">
      <c r="A830" s="10" t="n">
        <v>824</v>
      </c>
      <c r="B830" s="11" t="s">
        <v>1365</v>
      </c>
      <c r="C830" s="12" t="s">
        <v>507</v>
      </c>
      <c r="D830" s="13" t="n">
        <v>0.0108446759259259</v>
      </c>
      <c r="E830" s="14" t="n">
        <v>825</v>
      </c>
      <c r="F830" s="15" t="n">
        <f aca="false">IF(D830="","",ROUND((D830-MIN($D$7:$D$9999))*86400,2))</f>
        <v>147.24</v>
      </c>
      <c r="G830" s="10" t="str">
        <f aca="false">IF(D830="","",IF(D830&lt;=($E$3*60+$F$3)/86400,"○",""))</f>
        <v/>
      </c>
      <c r="H830" s="16"/>
      <c r="I830" s="17"/>
      <c r="J830" s="16"/>
      <c r="K830" s="17"/>
      <c r="L830" s="17" t="n">
        <f aca="false">COUNT(E830,I830,K830)</f>
        <v>1</v>
      </c>
      <c r="M830" s="18" t="n">
        <f aca="false">(D830&lt;&gt;"")*(D830&lt;=($E$3*60+$F$3)/86400)+(H830&lt;&gt;"")*(H830&lt;=($I$3*60+$J$3)/86400)+(J830&lt;&gt;"")*(J830&lt;=($M$3*60+$N$3)/86400)</f>
        <v>0</v>
      </c>
      <c r="N830" s="20"/>
      <c r="O830" s="20"/>
      <c r="P830" s="20"/>
      <c r="Q830" s="19"/>
    </row>
    <row r="831" customFormat="false" ht="15" hidden="false" customHeight="false" outlineLevel="0" collapsed="false">
      <c r="A831" s="10" t="n">
        <v>825</v>
      </c>
      <c r="B831" s="11" t="s">
        <v>1366</v>
      </c>
      <c r="C831" s="12" t="s">
        <v>1367</v>
      </c>
      <c r="D831" s="13" t="n">
        <v>0.0108450231481482</v>
      </c>
      <c r="E831" s="14" t="n">
        <v>826</v>
      </c>
      <c r="F831" s="15" t="n">
        <f aca="false">IF(D831="","",ROUND((D831-MIN($D$7:$D$9999))*86400,2))</f>
        <v>147.27</v>
      </c>
      <c r="G831" s="10" t="str">
        <f aca="false">IF(D831="","",IF(D831&lt;=($E$3*60+$F$3)/86400,"○",""))</f>
        <v/>
      </c>
      <c r="H831" s="16"/>
      <c r="I831" s="17"/>
      <c r="J831" s="16" t="n">
        <v>0.00283935185185185</v>
      </c>
      <c r="K831" s="17" t="n">
        <v>490</v>
      </c>
      <c r="L831" s="17" t="n">
        <f aca="false">COUNT(E831,I831,K831)</f>
        <v>2</v>
      </c>
      <c r="M831" s="18" t="n">
        <f aca="false">(D831&lt;&gt;"")*(D831&lt;=($E$3*60+$F$3)/86400)+(H831&lt;&gt;"")*(H831&lt;=($I$3*60+$J$3)/86400)+(J831&lt;&gt;"")*(J831&lt;=($M$3*60+$N$3)/86400)</f>
        <v>0</v>
      </c>
      <c r="N831" s="20"/>
      <c r="O831" s="20"/>
      <c r="P831" s="20"/>
      <c r="Q831" s="19"/>
    </row>
    <row r="832" customFormat="false" ht="15" hidden="false" customHeight="false" outlineLevel="0" collapsed="false">
      <c r="A832" s="10" t="n">
        <v>826</v>
      </c>
      <c r="B832" s="11" t="s">
        <v>1368</v>
      </c>
      <c r="C832" s="12" t="s">
        <v>947</v>
      </c>
      <c r="D832" s="13" t="n">
        <v>0.010846412037037</v>
      </c>
      <c r="E832" s="14" t="n">
        <v>827</v>
      </c>
      <c r="F832" s="15" t="n">
        <f aca="false">IF(D832="","",ROUND((D832-MIN($D$7:$D$9999))*86400,2))</f>
        <v>147.39</v>
      </c>
      <c r="G832" s="10" t="str">
        <f aca="false">IF(D832="","",IF(D832&lt;=($E$3*60+$F$3)/86400,"○",""))</f>
        <v/>
      </c>
      <c r="H832" s="16" t="n">
        <v>0.0066087962962963</v>
      </c>
      <c r="I832" s="17" t="n">
        <v>69</v>
      </c>
      <c r="J832" s="16" t="n">
        <v>0.00290763888888889</v>
      </c>
      <c r="K832" s="17" t="n">
        <v>997</v>
      </c>
      <c r="L832" s="17" t="n">
        <f aca="false">COUNT(E832,I832,K832)</f>
        <v>3</v>
      </c>
      <c r="M832" s="18" t="n">
        <f aca="false">(D832&lt;&gt;"")*(D832&lt;=($E$3*60+$F$3)/86400)+(H832&lt;&gt;"")*(H832&lt;=($I$3*60+$J$3)/86400)+(J832&lt;&gt;"")*(J832&lt;=($M$3*60+$N$3)/86400)</f>
        <v>0</v>
      </c>
      <c r="N832" s="20"/>
      <c r="O832" s="20" t="s">
        <v>1369</v>
      </c>
      <c r="P832" s="20"/>
      <c r="Q832" s="19"/>
    </row>
    <row r="833" customFormat="false" ht="15" hidden="false" customHeight="false" outlineLevel="0" collapsed="false">
      <c r="A833" s="10" t="n">
        <v>827</v>
      </c>
      <c r="B833" s="11" t="s">
        <v>1370</v>
      </c>
      <c r="C833" s="12" t="s">
        <v>1371</v>
      </c>
      <c r="D833" s="13" t="n">
        <v>0.0108469907407407</v>
      </c>
      <c r="E833" s="14" t="n">
        <v>828</v>
      </c>
      <c r="F833" s="15" t="n">
        <f aca="false">IF(D833="","",ROUND((D833-MIN($D$7:$D$9999))*86400,2))</f>
        <v>147.44</v>
      </c>
      <c r="G833" s="10" t="str">
        <f aca="false">IF(D833="","",IF(D833&lt;=($E$3*60+$F$3)/86400,"○",""))</f>
        <v/>
      </c>
      <c r="H833" s="16"/>
      <c r="I833" s="17"/>
      <c r="J833" s="16"/>
      <c r="K833" s="17"/>
      <c r="L833" s="17" t="n">
        <f aca="false">COUNT(E833,I833,K833)</f>
        <v>1</v>
      </c>
      <c r="M833" s="18" t="n">
        <f aca="false">(D833&lt;&gt;"")*(D833&lt;=($E$3*60+$F$3)/86400)+(H833&lt;&gt;"")*(H833&lt;=($I$3*60+$J$3)/86400)+(J833&lt;&gt;"")*(J833&lt;=($M$3*60+$N$3)/86400)</f>
        <v>0</v>
      </c>
      <c r="N833" s="20"/>
      <c r="O833" s="20"/>
      <c r="P833" s="20"/>
      <c r="Q833" s="19"/>
    </row>
    <row r="834" customFormat="false" ht="15" hidden="false" customHeight="false" outlineLevel="0" collapsed="false">
      <c r="A834" s="10" t="n">
        <v>828</v>
      </c>
      <c r="B834" s="11" t="s">
        <v>1372</v>
      </c>
      <c r="C834" s="12" t="s">
        <v>123</v>
      </c>
      <c r="D834" s="13" t="n">
        <v>0.0108478009259259</v>
      </c>
      <c r="E834" s="14" t="n">
        <v>829</v>
      </c>
      <c r="F834" s="15" t="n">
        <f aca="false">IF(D834="","",ROUND((D834-MIN($D$7:$D$9999))*86400,2))</f>
        <v>147.51</v>
      </c>
      <c r="G834" s="10" t="str">
        <f aca="false">IF(D834="","",IF(D834&lt;=($E$3*60+$F$3)/86400,"○",""))</f>
        <v/>
      </c>
      <c r="H834" s="16"/>
      <c r="I834" s="17"/>
      <c r="J834" s="16" t="n">
        <v>0.00288935185185185</v>
      </c>
      <c r="K834" s="17" t="n">
        <v>859</v>
      </c>
      <c r="L834" s="17" t="n">
        <f aca="false">COUNT(E834,I834,K834)</f>
        <v>2</v>
      </c>
      <c r="M834" s="18" t="n">
        <f aca="false">(D834&lt;&gt;"")*(D834&lt;=($E$3*60+$F$3)/86400)+(H834&lt;&gt;"")*(H834&lt;=($I$3*60+$J$3)/86400)+(J834&lt;&gt;"")*(J834&lt;=($M$3*60+$N$3)/86400)</f>
        <v>0</v>
      </c>
      <c r="N834" s="20"/>
      <c r="O834" s="20"/>
      <c r="P834" s="20"/>
      <c r="Q834" s="19"/>
    </row>
    <row r="835" customFormat="false" ht="15" hidden="false" customHeight="false" outlineLevel="0" collapsed="false">
      <c r="A835" s="10" t="n">
        <v>829</v>
      </c>
      <c r="B835" s="11" t="s">
        <v>1373</v>
      </c>
      <c r="C835" s="12" t="s">
        <v>167</v>
      </c>
      <c r="D835" s="13" t="n">
        <v>0.0108479166666667</v>
      </c>
      <c r="E835" s="14" t="n">
        <v>830</v>
      </c>
      <c r="F835" s="15" t="n">
        <f aca="false">IF(D835="","",ROUND((D835-MIN($D$7:$D$9999))*86400,2))</f>
        <v>147.52</v>
      </c>
      <c r="G835" s="10" t="str">
        <f aca="false">IF(D835="","",IF(D835&lt;=($E$3*60+$F$3)/86400,"○",""))</f>
        <v/>
      </c>
      <c r="H835" s="16" t="n">
        <v>0.00685613425925926</v>
      </c>
      <c r="I835" s="17" t="n">
        <v>206</v>
      </c>
      <c r="J835" s="16" t="n">
        <v>0.00282800925925926</v>
      </c>
      <c r="K835" s="17" t="n">
        <v>410</v>
      </c>
      <c r="L835" s="17" t="n">
        <f aca="false">COUNT(E835,I835,K835)</f>
        <v>3</v>
      </c>
      <c r="M835" s="18" t="n">
        <f aca="false">(D835&lt;&gt;"")*(D835&lt;=($E$3*60+$F$3)/86400)+(H835&lt;&gt;"")*(H835&lt;=($I$3*60+$J$3)/86400)+(J835&lt;&gt;"")*(J835&lt;=($M$3*60+$N$3)/86400)</f>
        <v>0</v>
      </c>
      <c r="N835" s="20"/>
      <c r="O835" s="20"/>
      <c r="P835" s="20"/>
      <c r="Q835" s="19"/>
    </row>
    <row r="836" customFormat="false" ht="15" hidden="false" customHeight="false" outlineLevel="0" collapsed="false">
      <c r="A836" s="10" t="n">
        <v>830</v>
      </c>
      <c r="B836" s="11" t="s">
        <v>1374</v>
      </c>
      <c r="C836" s="12" t="s">
        <v>382</v>
      </c>
      <c r="D836" s="13" t="n">
        <v>0.0108479166666667</v>
      </c>
      <c r="E836" s="14" t="n">
        <v>831</v>
      </c>
      <c r="F836" s="15" t="n">
        <f aca="false">IF(D836="","",ROUND((D836-MIN($D$7:$D$9999))*86400,2))</f>
        <v>147.52</v>
      </c>
      <c r="G836" s="10" t="str">
        <f aca="false">IF(D836="","",IF(D836&lt;=($E$3*60+$F$3)/86400,"○",""))</f>
        <v/>
      </c>
      <c r="H836" s="16"/>
      <c r="I836" s="17"/>
      <c r="J836" s="16" t="n">
        <v>0.00286215277777778</v>
      </c>
      <c r="K836" s="17" t="n">
        <v>647</v>
      </c>
      <c r="L836" s="17" t="n">
        <f aca="false">COUNT(E836,I836,K836)</f>
        <v>2</v>
      </c>
      <c r="M836" s="18" t="n">
        <f aca="false">(D836&lt;&gt;"")*(D836&lt;=($E$3*60+$F$3)/86400)+(H836&lt;&gt;"")*(H836&lt;=($I$3*60+$J$3)/86400)+(J836&lt;&gt;"")*(J836&lt;=($M$3*60+$N$3)/86400)</f>
        <v>0</v>
      </c>
      <c r="N836" s="20"/>
      <c r="O836" s="20"/>
      <c r="P836" s="20"/>
      <c r="Q836" s="19"/>
    </row>
    <row r="837" customFormat="false" ht="15" hidden="false" customHeight="false" outlineLevel="0" collapsed="false">
      <c r="A837" s="10" t="n">
        <v>831</v>
      </c>
      <c r="B837" s="11" t="s">
        <v>1375</v>
      </c>
      <c r="C837" s="12" t="s">
        <v>1354</v>
      </c>
      <c r="D837" s="13" t="n">
        <v>0.0108481481481482</v>
      </c>
      <c r="E837" s="14" t="n">
        <v>832</v>
      </c>
      <c r="F837" s="15" t="n">
        <f aca="false">IF(D837="","",ROUND((D837-MIN($D$7:$D$9999))*86400,2))</f>
        <v>147.54</v>
      </c>
      <c r="G837" s="10" t="str">
        <f aca="false">IF(D837="","",IF(D837&lt;=($E$3*60+$F$3)/86400,"○",""))</f>
        <v/>
      </c>
      <c r="H837" s="16"/>
      <c r="I837" s="17"/>
      <c r="J837" s="16"/>
      <c r="K837" s="17"/>
      <c r="L837" s="17" t="n">
        <f aca="false">COUNT(E837,I837,K837)</f>
        <v>1</v>
      </c>
      <c r="M837" s="18" t="n">
        <f aca="false">(D837&lt;&gt;"")*(D837&lt;=($E$3*60+$F$3)/86400)+(H837&lt;&gt;"")*(H837&lt;=($I$3*60+$J$3)/86400)+(J837&lt;&gt;"")*(J837&lt;=($M$3*60+$N$3)/86400)</f>
        <v>0</v>
      </c>
      <c r="N837" s="20"/>
      <c r="O837" s="20"/>
      <c r="P837" s="20"/>
      <c r="Q837" s="19"/>
    </row>
    <row r="838" customFormat="false" ht="15" hidden="false" customHeight="false" outlineLevel="0" collapsed="false">
      <c r="A838" s="10" t="n">
        <v>832</v>
      </c>
      <c r="B838" s="11" t="s">
        <v>1376</v>
      </c>
      <c r="C838" s="12" t="s">
        <v>297</v>
      </c>
      <c r="D838" s="13" t="n">
        <v>0.0108482638888889</v>
      </c>
      <c r="E838" s="14" t="n">
        <v>833</v>
      </c>
      <c r="F838" s="15" t="n">
        <f aca="false">IF(D838="","",ROUND((D838-MIN($D$7:$D$9999))*86400,2))</f>
        <v>147.55</v>
      </c>
      <c r="G838" s="10" t="str">
        <f aca="false">IF(D838="","",IF(D838&lt;=($E$3*60+$F$3)/86400,"○",""))</f>
        <v/>
      </c>
      <c r="H838" s="16"/>
      <c r="I838" s="17"/>
      <c r="J838" s="16"/>
      <c r="K838" s="17"/>
      <c r="L838" s="17" t="n">
        <f aca="false">COUNT(E838,I838,K838)</f>
        <v>1</v>
      </c>
      <c r="M838" s="18" t="n">
        <f aca="false">(D838&lt;&gt;"")*(D838&lt;=($E$3*60+$F$3)/86400)+(H838&lt;&gt;"")*(H838&lt;=($I$3*60+$J$3)/86400)+(J838&lt;&gt;"")*(J838&lt;=($M$3*60+$N$3)/86400)</f>
        <v>0</v>
      </c>
      <c r="N838" s="20" t="s">
        <v>1377</v>
      </c>
      <c r="O838" s="20"/>
      <c r="P838" s="20"/>
      <c r="Q838" s="19"/>
    </row>
    <row r="839" customFormat="false" ht="15" hidden="false" customHeight="false" outlineLevel="0" collapsed="false">
      <c r="A839" s="10" t="n">
        <v>833</v>
      </c>
      <c r="B839" s="11" t="s">
        <v>1378</v>
      </c>
      <c r="C839" s="12" t="s">
        <v>686</v>
      </c>
      <c r="D839" s="13" t="n">
        <v>0.0108484953703704</v>
      </c>
      <c r="E839" s="14" t="n">
        <v>834</v>
      </c>
      <c r="F839" s="15" t="n">
        <f aca="false">IF(D839="","",ROUND((D839-MIN($D$7:$D$9999))*86400,2))</f>
        <v>147.57</v>
      </c>
      <c r="G839" s="10" t="str">
        <f aca="false">IF(D839="","",IF(D839&lt;=($E$3*60+$F$3)/86400,"○",""))</f>
        <v/>
      </c>
      <c r="H839" s="16" t="n">
        <v>0.00667592592592593</v>
      </c>
      <c r="I839" s="17" t="n">
        <v>95</v>
      </c>
      <c r="J839" s="16" t="n">
        <v>0.00277916666666667</v>
      </c>
      <c r="K839" s="17" t="n">
        <v>196</v>
      </c>
      <c r="L839" s="17" t="n">
        <f aca="false">COUNT(E839,I839,K839)</f>
        <v>3</v>
      </c>
      <c r="M839" s="18" t="n">
        <f aca="false">(D839&lt;&gt;"")*(D839&lt;=($E$3*60+$F$3)/86400)+(H839&lt;&gt;"")*(H839&lt;=($I$3*60+$J$3)/86400)+(J839&lt;&gt;"")*(J839&lt;=($M$3*60+$N$3)/86400)</f>
        <v>0</v>
      </c>
      <c r="N839" s="20"/>
      <c r="O839" s="20"/>
      <c r="P839" s="20"/>
      <c r="Q839" s="19"/>
    </row>
    <row r="840" customFormat="false" ht="15" hidden="false" customHeight="false" outlineLevel="0" collapsed="false">
      <c r="A840" s="10" t="n">
        <v>834</v>
      </c>
      <c r="B840" s="11" t="s">
        <v>1379</v>
      </c>
      <c r="C840" s="12" t="s">
        <v>63</v>
      </c>
      <c r="D840" s="13" t="n">
        <v>0.0108489583333333</v>
      </c>
      <c r="E840" s="14" t="n">
        <v>835</v>
      </c>
      <c r="F840" s="15" t="n">
        <f aca="false">IF(D840="","",ROUND((D840-MIN($D$7:$D$9999))*86400,2))</f>
        <v>147.61</v>
      </c>
      <c r="G840" s="10" t="str">
        <f aca="false">IF(D840="","",IF(D840&lt;=($E$3*60+$F$3)/86400,"○",""))</f>
        <v/>
      </c>
      <c r="H840" s="16"/>
      <c r="I840" s="17"/>
      <c r="J840" s="16"/>
      <c r="K840" s="17"/>
      <c r="L840" s="17" t="n">
        <f aca="false">COUNT(E840,I840,K840)</f>
        <v>1</v>
      </c>
      <c r="M840" s="18" t="n">
        <f aca="false">(D840&lt;&gt;"")*(D840&lt;=($E$3*60+$F$3)/86400)+(H840&lt;&gt;"")*(H840&lt;=($I$3*60+$J$3)/86400)+(J840&lt;&gt;"")*(J840&lt;=($M$3*60+$N$3)/86400)</f>
        <v>0</v>
      </c>
      <c r="N840" s="20"/>
      <c r="O840" s="20"/>
      <c r="P840" s="12" t="s">
        <v>1380</v>
      </c>
      <c r="Q840" s="19"/>
    </row>
    <row r="841" customFormat="false" ht="15" hidden="false" customHeight="false" outlineLevel="0" collapsed="false">
      <c r="A841" s="10" t="n">
        <v>835</v>
      </c>
      <c r="B841" s="11" t="s">
        <v>1381</v>
      </c>
      <c r="C841" s="12" t="s">
        <v>852</v>
      </c>
      <c r="D841" s="13" t="n">
        <v>0.0108496527777778</v>
      </c>
      <c r="E841" s="14" t="n">
        <v>836</v>
      </c>
      <c r="F841" s="15" t="n">
        <f aca="false">IF(D841="","",ROUND((D841-MIN($D$7:$D$9999))*86400,2))</f>
        <v>147.67</v>
      </c>
      <c r="G841" s="10" t="str">
        <f aca="false">IF(D841="","",IF(D841&lt;=($E$3*60+$F$3)/86400,"○",""))</f>
        <v/>
      </c>
      <c r="H841" s="16"/>
      <c r="I841" s="17"/>
      <c r="J841" s="16"/>
      <c r="K841" s="17"/>
      <c r="L841" s="17" t="n">
        <f aca="false">COUNT(E841,I841,K841)</f>
        <v>1</v>
      </c>
      <c r="M841" s="18" t="n">
        <f aca="false">(D841&lt;&gt;"")*(D841&lt;=($E$3*60+$F$3)/86400)+(H841&lt;&gt;"")*(H841&lt;=($I$3*60+$J$3)/86400)+(J841&lt;&gt;"")*(J841&lt;=($M$3*60+$N$3)/86400)</f>
        <v>0</v>
      </c>
      <c r="N841" s="20"/>
      <c r="O841" s="20"/>
      <c r="P841" s="20"/>
      <c r="Q841" s="19"/>
    </row>
    <row r="842" customFormat="false" ht="15" hidden="false" customHeight="false" outlineLevel="0" collapsed="false">
      <c r="A842" s="10" t="n">
        <v>836</v>
      </c>
      <c r="B842" s="11" t="s">
        <v>1382</v>
      </c>
      <c r="C842" s="12" t="s">
        <v>1383</v>
      </c>
      <c r="D842" s="13" t="n">
        <v>0.0108503472222222</v>
      </c>
      <c r="E842" s="14" t="n">
        <v>837</v>
      </c>
      <c r="F842" s="15" t="n">
        <f aca="false">IF(D842="","",ROUND((D842-MIN($D$7:$D$9999))*86400,2))</f>
        <v>147.73</v>
      </c>
      <c r="G842" s="10" t="str">
        <f aca="false">IF(D842="","",IF(D842&lt;=($E$3*60+$F$3)/86400,"○",""))</f>
        <v/>
      </c>
      <c r="H842" s="16"/>
      <c r="I842" s="17"/>
      <c r="J842" s="16" t="n">
        <v>0.00272280092592593</v>
      </c>
      <c r="K842" s="17" t="n">
        <v>53</v>
      </c>
      <c r="L842" s="17" t="n">
        <f aca="false">COUNT(E842,I842,K842)</f>
        <v>2</v>
      </c>
      <c r="M842" s="18" t="n">
        <f aca="false">(D842&lt;&gt;"")*(D842&lt;=($E$3*60+$F$3)/86400)+(H842&lt;&gt;"")*(H842&lt;=($I$3*60+$J$3)/86400)+(J842&lt;&gt;"")*(J842&lt;=($M$3*60+$N$3)/86400)</f>
        <v>0</v>
      </c>
      <c r="N842" s="20"/>
      <c r="O842" s="20"/>
      <c r="P842" s="20"/>
      <c r="Q842" s="19"/>
    </row>
    <row r="843" customFormat="false" ht="15" hidden="false" customHeight="false" outlineLevel="0" collapsed="false">
      <c r="A843" s="10" t="n">
        <v>837</v>
      </c>
      <c r="B843" s="11" t="s">
        <v>1384</v>
      </c>
      <c r="C843" s="12" t="s">
        <v>1385</v>
      </c>
      <c r="D843" s="13" t="n">
        <v>0.010850462962963</v>
      </c>
      <c r="E843" s="14" t="n">
        <v>838</v>
      </c>
      <c r="F843" s="15" t="n">
        <f aca="false">IF(D843="","",ROUND((D843-MIN($D$7:$D$9999))*86400,2))</f>
        <v>147.74</v>
      </c>
      <c r="G843" s="10" t="str">
        <f aca="false">IF(D843="","",IF(D843&lt;=($E$3*60+$F$3)/86400,"○",""))</f>
        <v/>
      </c>
      <c r="H843" s="16"/>
      <c r="I843" s="17"/>
      <c r="J843" s="16" t="n">
        <v>0.00283553240740741</v>
      </c>
      <c r="K843" s="17" t="n">
        <v>466</v>
      </c>
      <c r="L843" s="17" t="n">
        <f aca="false">COUNT(E843,I843,K843)</f>
        <v>2</v>
      </c>
      <c r="M843" s="18" t="n">
        <f aca="false">(D843&lt;&gt;"")*(D843&lt;=($E$3*60+$F$3)/86400)+(H843&lt;&gt;"")*(H843&lt;=($I$3*60+$J$3)/86400)+(J843&lt;&gt;"")*(J843&lt;=($M$3*60+$N$3)/86400)</f>
        <v>0</v>
      </c>
      <c r="N843" s="20"/>
      <c r="O843" s="20"/>
      <c r="P843" s="20"/>
      <c r="Q843" s="19"/>
    </row>
    <row r="844" customFormat="false" ht="15" hidden="false" customHeight="false" outlineLevel="0" collapsed="false">
      <c r="A844" s="10" t="n">
        <v>838</v>
      </c>
      <c r="B844" s="11" t="s">
        <v>1386</v>
      </c>
      <c r="C844" s="12" t="s">
        <v>417</v>
      </c>
      <c r="D844" s="13" t="n">
        <v>0.0108505787037037</v>
      </c>
      <c r="E844" s="14" t="n">
        <v>839</v>
      </c>
      <c r="F844" s="15" t="n">
        <f aca="false">IF(D844="","",ROUND((D844-MIN($D$7:$D$9999))*86400,2))</f>
        <v>147.75</v>
      </c>
      <c r="G844" s="10" t="str">
        <f aca="false">IF(D844="","",IF(D844&lt;=($E$3*60+$F$3)/86400,"○",""))</f>
        <v/>
      </c>
      <c r="H844" s="16"/>
      <c r="I844" s="17"/>
      <c r="J844" s="16"/>
      <c r="K844" s="17"/>
      <c r="L844" s="17" t="n">
        <f aca="false">COUNT(E844,I844,K844)</f>
        <v>1</v>
      </c>
      <c r="M844" s="18" t="n">
        <f aca="false">(D844&lt;&gt;"")*(D844&lt;=($E$3*60+$F$3)/86400)+(H844&lt;&gt;"")*(H844&lt;=($I$3*60+$J$3)/86400)+(J844&lt;&gt;"")*(J844&lt;=($M$3*60+$N$3)/86400)</f>
        <v>0</v>
      </c>
      <c r="N844" s="20"/>
      <c r="O844" s="20"/>
      <c r="P844" s="20"/>
      <c r="Q844" s="19"/>
    </row>
    <row r="845" customFormat="false" ht="15" hidden="false" customHeight="false" outlineLevel="0" collapsed="false">
      <c r="A845" s="10" t="n">
        <v>839</v>
      </c>
      <c r="B845" s="11" t="s">
        <v>1387</v>
      </c>
      <c r="C845" s="12" t="s">
        <v>54</v>
      </c>
      <c r="D845" s="13" t="n">
        <v>0.0108520833333333</v>
      </c>
      <c r="E845" s="14" t="n">
        <v>840</v>
      </c>
      <c r="F845" s="15" t="n">
        <f aca="false">IF(D845="","",ROUND((D845-MIN($D$7:$D$9999))*86400,2))</f>
        <v>147.88</v>
      </c>
      <c r="G845" s="10" t="str">
        <f aca="false">IF(D845="","",IF(D845&lt;=($E$3*60+$F$3)/86400,"○",""))</f>
        <v/>
      </c>
      <c r="H845" s="16" t="n">
        <v>0.00699039351851852</v>
      </c>
      <c r="I845" s="17" t="n">
        <v>325</v>
      </c>
      <c r="J845" s="16"/>
      <c r="K845" s="17"/>
      <c r="L845" s="17" t="n">
        <f aca="false">COUNT(E845,I845,K845)</f>
        <v>2</v>
      </c>
      <c r="M845" s="18" t="n">
        <f aca="false">(D845&lt;&gt;"")*(D845&lt;=($E$3*60+$F$3)/86400)+(H845&lt;&gt;"")*(H845&lt;=($I$3*60+$J$3)/86400)+(J845&lt;&gt;"")*(J845&lt;=($M$3*60+$N$3)/86400)</f>
        <v>0</v>
      </c>
      <c r="N845" s="20"/>
      <c r="O845" s="20"/>
      <c r="P845" s="20"/>
      <c r="Q845" s="19"/>
    </row>
    <row r="846" customFormat="false" ht="15" hidden="false" customHeight="false" outlineLevel="0" collapsed="false">
      <c r="A846" s="10" t="n">
        <v>840</v>
      </c>
      <c r="B846" s="11" t="s">
        <v>1388</v>
      </c>
      <c r="C846" s="12" t="s">
        <v>101</v>
      </c>
      <c r="D846" s="13" t="n">
        <v>0.0108525462962963</v>
      </c>
      <c r="E846" s="14" t="n">
        <v>841</v>
      </c>
      <c r="F846" s="15" t="n">
        <f aca="false">IF(D846="","",ROUND((D846-MIN($D$7:$D$9999))*86400,2))</f>
        <v>147.92</v>
      </c>
      <c r="G846" s="10" t="str">
        <f aca="false">IF(D846="","",IF(D846&lt;=($E$3*60+$F$3)/86400,"○",""))</f>
        <v/>
      </c>
      <c r="H846" s="16"/>
      <c r="I846" s="17"/>
      <c r="J846" s="16"/>
      <c r="K846" s="17"/>
      <c r="L846" s="17" t="n">
        <f aca="false">COUNT(E846,I846,K846)</f>
        <v>1</v>
      </c>
      <c r="M846" s="18" t="n">
        <f aca="false">(D846&lt;&gt;"")*(D846&lt;=($E$3*60+$F$3)/86400)+(H846&lt;&gt;"")*(H846&lt;=($I$3*60+$J$3)/86400)+(J846&lt;&gt;"")*(J846&lt;=($M$3*60+$N$3)/86400)</f>
        <v>0</v>
      </c>
      <c r="N846" s="20"/>
      <c r="O846" s="20"/>
      <c r="P846" s="20"/>
      <c r="Q846" s="19"/>
    </row>
    <row r="847" customFormat="false" ht="15" hidden="false" customHeight="false" outlineLevel="0" collapsed="false">
      <c r="A847" s="10" t="n">
        <v>841</v>
      </c>
      <c r="B847" s="11" t="s">
        <v>1389</v>
      </c>
      <c r="C847" s="12" t="s">
        <v>401</v>
      </c>
      <c r="D847" s="13" t="n">
        <v>0.0108527777777778</v>
      </c>
      <c r="E847" s="14" t="n">
        <v>842</v>
      </c>
      <c r="F847" s="15" t="n">
        <f aca="false">IF(D847="","",ROUND((D847-MIN($D$7:$D$9999))*86400,2))</f>
        <v>147.94</v>
      </c>
      <c r="G847" s="10" t="str">
        <f aca="false">IF(D847="","",IF(D847&lt;=($E$3*60+$F$3)/86400,"○",""))</f>
        <v/>
      </c>
      <c r="H847" s="16" t="n">
        <v>0.0068</v>
      </c>
      <c r="I847" s="17" t="n">
        <v>170</v>
      </c>
      <c r="J847" s="16"/>
      <c r="K847" s="17"/>
      <c r="L847" s="17" t="n">
        <f aca="false">COUNT(E847,I847,K847)</f>
        <v>2</v>
      </c>
      <c r="M847" s="18" t="n">
        <f aca="false">(D847&lt;&gt;"")*(D847&lt;=($E$3*60+$F$3)/86400)+(H847&lt;&gt;"")*(H847&lt;=($I$3*60+$J$3)/86400)+(J847&lt;&gt;"")*(J847&lt;=($M$3*60+$N$3)/86400)</f>
        <v>0</v>
      </c>
      <c r="N847" s="20"/>
      <c r="O847" s="20"/>
      <c r="P847" s="20"/>
      <c r="Q847" s="19"/>
    </row>
    <row r="848" customFormat="false" ht="15" hidden="false" customHeight="false" outlineLevel="0" collapsed="false">
      <c r="A848" s="10" t="n">
        <v>842</v>
      </c>
      <c r="B848" s="11" t="s">
        <v>1390</v>
      </c>
      <c r="C848" s="12" t="s">
        <v>444</v>
      </c>
      <c r="D848" s="13" t="n">
        <v>0.0108545138888889</v>
      </c>
      <c r="E848" s="14" t="n">
        <v>843</v>
      </c>
      <c r="F848" s="15" t="n">
        <f aca="false">IF(D848="","",ROUND((D848-MIN($D$7:$D$9999))*86400,2))</f>
        <v>148.09</v>
      </c>
      <c r="G848" s="10" t="str">
        <f aca="false">IF(D848="","",IF(D848&lt;=($E$3*60+$F$3)/86400,"○",""))</f>
        <v/>
      </c>
      <c r="H848" s="16"/>
      <c r="I848" s="17"/>
      <c r="J848" s="16" t="n">
        <v>0.00297523148148148</v>
      </c>
      <c r="K848" s="17" t="n">
        <v>1328</v>
      </c>
      <c r="L848" s="17" t="n">
        <f aca="false">COUNT(E848,I848,K848)</f>
        <v>2</v>
      </c>
      <c r="M848" s="18" t="n">
        <f aca="false">(D848&lt;&gt;"")*(D848&lt;=($E$3*60+$F$3)/86400)+(H848&lt;&gt;"")*(H848&lt;=($I$3*60+$J$3)/86400)+(J848&lt;&gt;"")*(J848&lt;=($M$3*60+$N$3)/86400)</f>
        <v>0</v>
      </c>
      <c r="N848" s="20"/>
      <c r="O848" s="20"/>
      <c r="P848" s="20"/>
      <c r="Q848" s="19"/>
    </row>
    <row r="849" customFormat="false" ht="15" hidden="false" customHeight="false" outlineLevel="0" collapsed="false">
      <c r="A849" s="10" t="n">
        <v>843</v>
      </c>
      <c r="B849" s="11" t="s">
        <v>1391</v>
      </c>
      <c r="C849" s="12" t="s">
        <v>1392</v>
      </c>
      <c r="D849" s="13" t="n">
        <v>0.01085625</v>
      </c>
      <c r="E849" s="14" t="n">
        <v>844</v>
      </c>
      <c r="F849" s="15" t="n">
        <f aca="false">IF(D849="","",ROUND((D849-MIN($D$7:$D$9999))*86400,2))</f>
        <v>148.24</v>
      </c>
      <c r="G849" s="10" t="str">
        <f aca="false">IF(D849="","",IF(D849&lt;=($E$3*60+$F$3)/86400,"○",""))</f>
        <v/>
      </c>
      <c r="H849" s="16" t="n">
        <v>0.00656909722222222</v>
      </c>
      <c r="I849" s="17" t="n">
        <v>58</v>
      </c>
      <c r="J849" s="16" t="n">
        <v>0.00284525462962963</v>
      </c>
      <c r="K849" s="17" t="n">
        <v>538</v>
      </c>
      <c r="L849" s="17" t="n">
        <f aca="false">COUNT(E849,I849,K849)</f>
        <v>3</v>
      </c>
      <c r="M849" s="18" t="n">
        <f aca="false">(D849&lt;&gt;"")*(D849&lt;=($E$3*60+$F$3)/86400)+(H849&lt;&gt;"")*(H849&lt;=($I$3*60+$J$3)/86400)+(J849&lt;&gt;"")*(J849&lt;=($M$3*60+$N$3)/86400)</f>
        <v>0</v>
      </c>
      <c r="N849" s="20" t="s">
        <v>1393</v>
      </c>
      <c r="O849" s="20"/>
      <c r="P849" s="20"/>
      <c r="Q849" s="19"/>
    </row>
    <row r="850" customFormat="false" ht="15" hidden="false" customHeight="false" outlineLevel="0" collapsed="false">
      <c r="A850" s="10" t="n">
        <v>844</v>
      </c>
      <c r="B850" s="11" t="s">
        <v>1394</v>
      </c>
      <c r="C850" s="12" t="s">
        <v>1141</v>
      </c>
      <c r="D850" s="13" t="n">
        <v>0.0108568287037037</v>
      </c>
      <c r="E850" s="14" t="n">
        <v>845</v>
      </c>
      <c r="F850" s="15" t="n">
        <f aca="false">IF(D850="","",ROUND((D850-MIN($D$7:$D$9999))*86400,2))</f>
        <v>148.29</v>
      </c>
      <c r="G850" s="10" t="str">
        <f aca="false">IF(D850="","",IF(D850&lt;=($E$3*60+$F$3)/86400,"○",""))</f>
        <v/>
      </c>
      <c r="H850" s="16" t="n">
        <v>0.00676296296296296</v>
      </c>
      <c r="I850" s="17" t="n">
        <v>139</v>
      </c>
      <c r="J850" s="16"/>
      <c r="K850" s="17"/>
      <c r="L850" s="17" t="n">
        <f aca="false">COUNT(E850,I850,K850)</f>
        <v>2</v>
      </c>
      <c r="M850" s="18" t="n">
        <f aca="false">(D850&lt;&gt;"")*(D850&lt;=($E$3*60+$F$3)/86400)+(H850&lt;&gt;"")*(H850&lt;=($I$3*60+$J$3)/86400)+(J850&lt;&gt;"")*(J850&lt;=($M$3*60+$N$3)/86400)</f>
        <v>0</v>
      </c>
      <c r="N850" s="20"/>
      <c r="O850" s="20"/>
      <c r="P850" s="20"/>
      <c r="Q850" s="19"/>
    </row>
    <row r="851" customFormat="false" ht="15" hidden="false" customHeight="false" outlineLevel="0" collapsed="false">
      <c r="A851" s="10" t="n">
        <v>845</v>
      </c>
      <c r="B851" s="11" t="s">
        <v>1395</v>
      </c>
      <c r="C851" s="12" t="s">
        <v>1396</v>
      </c>
      <c r="D851" s="13" t="n">
        <v>0.0108591435185185</v>
      </c>
      <c r="E851" s="14" t="n">
        <v>846</v>
      </c>
      <c r="F851" s="15" t="n">
        <f aca="false">IF(D851="","",ROUND((D851-MIN($D$7:$D$9999))*86400,2))</f>
        <v>148.49</v>
      </c>
      <c r="G851" s="10" t="str">
        <f aca="false">IF(D851="","",IF(D851&lt;=($E$3*60+$F$3)/86400,"○",""))</f>
        <v/>
      </c>
      <c r="H851" s="16"/>
      <c r="I851" s="17"/>
      <c r="J851" s="16"/>
      <c r="K851" s="17"/>
      <c r="L851" s="17" t="n">
        <f aca="false">COUNT(E851,I851,K851)</f>
        <v>1</v>
      </c>
      <c r="M851" s="18" t="n">
        <f aca="false">(D851&lt;&gt;"")*(D851&lt;=($E$3*60+$F$3)/86400)+(H851&lt;&gt;"")*(H851&lt;=($I$3*60+$J$3)/86400)+(J851&lt;&gt;"")*(J851&lt;=($M$3*60+$N$3)/86400)</f>
        <v>0</v>
      </c>
      <c r="N851" s="20" t="s">
        <v>1397</v>
      </c>
      <c r="O851" s="20"/>
      <c r="P851" s="20"/>
      <c r="Q851" s="19"/>
    </row>
    <row r="852" customFormat="false" ht="15" hidden="false" customHeight="false" outlineLevel="0" collapsed="false">
      <c r="A852" s="10" t="n">
        <v>846</v>
      </c>
      <c r="B852" s="11" t="s">
        <v>1398</v>
      </c>
      <c r="C852" s="12" t="s">
        <v>1399</v>
      </c>
      <c r="D852" s="13" t="n">
        <v>0.0108596064814815</v>
      </c>
      <c r="E852" s="14" t="n">
        <v>847</v>
      </c>
      <c r="F852" s="15" t="n">
        <f aca="false">IF(D852="","",ROUND((D852-MIN($D$7:$D$9999))*86400,2))</f>
        <v>148.53</v>
      </c>
      <c r="G852" s="10" t="str">
        <f aca="false">IF(D852="","",IF(D852&lt;=($E$3*60+$F$3)/86400,"○",""))</f>
        <v/>
      </c>
      <c r="H852" s="16" t="n">
        <v>0.00684479166666667</v>
      </c>
      <c r="I852" s="17" t="n">
        <v>200</v>
      </c>
      <c r="J852" s="16" t="n">
        <v>0.00286238425925926</v>
      </c>
      <c r="K852" s="17" t="n">
        <v>650</v>
      </c>
      <c r="L852" s="17" t="n">
        <f aca="false">COUNT(E852,I852,K852)</f>
        <v>3</v>
      </c>
      <c r="M852" s="18" t="n">
        <f aca="false">(D852&lt;&gt;"")*(D852&lt;=($E$3*60+$F$3)/86400)+(H852&lt;&gt;"")*(H852&lt;=($I$3*60+$J$3)/86400)+(J852&lt;&gt;"")*(J852&lt;=($M$3*60+$N$3)/86400)</f>
        <v>0</v>
      </c>
      <c r="N852" s="20" t="s">
        <v>1400</v>
      </c>
      <c r="O852" s="20"/>
      <c r="P852" s="20"/>
      <c r="Q852" s="19"/>
    </row>
    <row r="853" customFormat="false" ht="15" hidden="false" customHeight="false" outlineLevel="0" collapsed="false">
      <c r="A853" s="10" t="n">
        <v>847</v>
      </c>
      <c r="B853" s="11" t="s">
        <v>1401</v>
      </c>
      <c r="C853" s="12" t="s">
        <v>32</v>
      </c>
      <c r="D853" s="13" t="n">
        <v>0.0108597222222222</v>
      </c>
      <c r="E853" s="14" t="n">
        <v>848</v>
      </c>
      <c r="F853" s="15" t="n">
        <f aca="false">IF(D853="","",ROUND((D853-MIN($D$7:$D$9999))*86400,2))</f>
        <v>148.54</v>
      </c>
      <c r="G853" s="10" t="str">
        <f aca="false">IF(D853="","",IF(D853&lt;=($E$3*60+$F$3)/86400,"○",""))</f>
        <v/>
      </c>
      <c r="H853" s="16"/>
      <c r="I853" s="17"/>
      <c r="J853" s="16"/>
      <c r="K853" s="17"/>
      <c r="L853" s="17" t="n">
        <f aca="false">COUNT(E853,I853,K853)</f>
        <v>1</v>
      </c>
      <c r="M853" s="18" t="n">
        <f aca="false">(D853&lt;&gt;"")*(D853&lt;=($E$3*60+$F$3)/86400)+(H853&lt;&gt;"")*(H853&lt;=($I$3*60+$J$3)/86400)+(J853&lt;&gt;"")*(J853&lt;=($M$3*60+$N$3)/86400)</f>
        <v>0</v>
      </c>
      <c r="N853" s="20"/>
      <c r="O853" s="20"/>
      <c r="P853" s="20"/>
      <c r="Q853" s="19"/>
    </row>
    <row r="854" customFormat="false" ht="15" hidden="false" customHeight="false" outlineLevel="0" collapsed="false">
      <c r="A854" s="10" t="n">
        <v>848</v>
      </c>
      <c r="B854" s="11" t="s">
        <v>1402</v>
      </c>
      <c r="C854" s="12" t="s">
        <v>127</v>
      </c>
      <c r="D854" s="13" t="n">
        <v>0.0108604166666667</v>
      </c>
      <c r="E854" s="14" t="n">
        <v>849</v>
      </c>
      <c r="F854" s="15" t="n">
        <f aca="false">IF(D854="","",ROUND((D854-MIN($D$7:$D$9999))*86400,2))</f>
        <v>148.6</v>
      </c>
      <c r="G854" s="10" t="str">
        <f aca="false">IF(D854="","",IF(D854&lt;=($E$3*60+$F$3)/86400,"○",""))</f>
        <v/>
      </c>
      <c r="H854" s="16"/>
      <c r="I854" s="17"/>
      <c r="J854" s="16" t="n">
        <v>0.0029125</v>
      </c>
      <c r="K854" s="17" t="n">
        <v>1040</v>
      </c>
      <c r="L854" s="17" t="n">
        <f aca="false">COUNT(E854,I854,K854)</f>
        <v>2</v>
      </c>
      <c r="M854" s="18" t="n">
        <f aca="false">(D854&lt;&gt;"")*(D854&lt;=($E$3*60+$F$3)/86400)+(H854&lt;&gt;"")*(H854&lt;=($I$3*60+$J$3)/86400)+(J854&lt;&gt;"")*(J854&lt;=($M$3*60+$N$3)/86400)</f>
        <v>0</v>
      </c>
      <c r="N854" s="20"/>
      <c r="O854" s="20"/>
      <c r="P854" s="20"/>
      <c r="Q854" s="19"/>
    </row>
    <row r="855" customFormat="false" ht="15" hidden="false" customHeight="false" outlineLevel="0" collapsed="false">
      <c r="A855" s="10" t="n">
        <v>849</v>
      </c>
      <c r="B855" s="11" t="s">
        <v>1403</v>
      </c>
      <c r="C855" s="12" t="s">
        <v>214</v>
      </c>
      <c r="D855" s="13" t="n">
        <v>0.0108605324074074</v>
      </c>
      <c r="E855" s="14" t="n">
        <v>850</v>
      </c>
      <c r="F855" s="15" t="n">
        <f aca="false">IF(D855="","",ROUND((D855-MIN($D$7:$D$9999))*86400,2))</f>
        <v>148.61</v>
      </c>
      <c r="G855" s="10" t="str">
        <f aca="false">IF(D855="","",IF(D855&lt;=($E$3*60+$F$3)/86400,"○",""))</f>
        <v/>
      </c>
      <c r="H855" s="16"/>
      <c r="I855" s="17"/>
      <c r="J855" s="16"/>
      <c r="K855" s="17"/>
      <c r="L855" s="17" t="n">
        <f aca="false">COUNT(E855,I855,K855)</f>
        <v>1</v>
      </c>
      <c r="M855" s="18" t="n">
        <f aca="false">(D855&lt;&gt;"")*(D855&lt;=($E$3*60+$F$3)/86400)+(H855&lt;&gt;"")*(H855&lt;=($I$3*60+$J$3)/86400)+(J855&lt;&gt;"")*(J855&lt;=($M$3*60+$N$3)/86400)</f>
        <v>0</v>
      </c>
      <c r="N855" s="20"/>
      <c r="O855" s="20"/>
      <c r="P855" s="20"/>
      <c r="Q855" s="19"/>
    </row>
    <row r="856" customFormat="false" ht="15" hidden="false" customHeight="false" outlineLevel="0" collapsed="false">
      <c r="A856" s="10" t="n">
        <v>850</v>
      </c>
      <c r="B856" s="11" t="s">
        <v>1404</v>
      </c>
      <c r="C856" s="12" t="s">
        <v>281</v>
      </c>
      <c r="D856" s="13" t="n">
        <v>0.0108612268518519</v>
      </c>
      <c r="E856" s="14" t="n">
        <v>851</v>
      </c>
      <c r="F856" s="15" t="n">
        <f aca="false">IF(D856="","",ROUND((D856-MIN($D$7:$D$9999))*86400,2))</f>
        <v>148.67</v>
      </c>
      <c r="G856" s="10" t="str">
        <f aca="false">IF(D856="","",IF(D856&lt;=($E$3*60+$F$3)/86400,"○",""))</f>
        <v/>
      </c>
      <c r="H856" s="16"/>
      <c r="I856" s="17"/>
      <c r="J856" s="16" t="n">
        <v>0.0029275462962963</v>
      </c>
      <c r="K856" s="17" t="n">
        <v>1166</v>
      </c>
      <c r="L856" s="17" t="n">
        <f aca="false">COUNT(E856,I856,K856)</f>
        <v>2</v>
      </c>
      <c r="M856" s="18" t="n">
        <f aca="false">(D856&lt;&gt;"")*(D856&lt;=($E$3*60+$F$3)/86400)+(H856&lt;&gt;"")*(H856&lt;=($I$3*60+$J$3)/86400)+(J856&lt;&gt;"")*(J856&lt;=($M$3*60+$N$3)/86400)</f>
        <v>0</v>
      </c>
      <c r="N856" s="20"/>
      <c r="O856" s="20"/>
      <c r="P856" s="20"/>
      <c r="Q856" s="19"/>
    </row>
    <row r="857" customFormat="false" ht="15" hidden="false" customHeight="false" outlineLevel="0" collapsed="false">
      <c r="A857" s="10" t="n">
        <v>851</v>
      </c>
      <c r="B857" s="11" t="s">
        <v>1405</v>
      </c>
      <c r="C857" s="12" t="s">
        <v>698</v>
      </c>
      <c r="D857" s="13" t="n">
        <v>0.0108613425925926</v>
      </c>
      <c r="E857" s="14" t="n">
        <v>852</v>
      </c>
      <c r="F857" s="15" t="n">
        <f aca="false">IF(D857="","",ROUND((D857-MIN($D$7:$D$9999))*86400,2))</f>
        <v>148.68</v>
      </c>
      <c r="G857" s="10" t="str">
        <f aca="false">IF(D857="","",IF(D857&lt;=($E$3*60+$F$3)/86400,"○",""))</f>
        <v/>
      </c>
      <c r="H857" s="16" t="n">
        <v>0.00705833333333333</v>
      </c>
      <c r="I857" s="17" t="n">
        <v>399</v>
      </c>
      <c r="J857" s="16" t="n">
        <v>0.00287476851851852</v>
      </c>
      <c r="K857" s="17" t="n">
        <v>733</v>
      </c>
      <c r="L857" s="17" t="n">
        <f aca="false">COUNT(E857,I857,K857)</f>
        <v>3</v>
      </c>
      <c r="M857" s="18" t="n">
        <f aca="false">(D857&lt;&gt;"")*(D857&lt;=($E$3*60+$F$3)/86400)+(H857&lt;&gt;"")*(H857&lt;=($I$3*60+$J$3)/86400)+(J857&lt;&gt;"")*(J857&lt;=($M$3*60+$N$3)/86400)</f>
        <v>0</v>
      </c>
      <c r="N857" s="20" t="s">
        <v>1406</v>
      </c>
      <c r="O857" s="20"/>
      <c r="P857" s="20"/>
      <c r="Q857" s="19"/>
    </row>
    <row r="858" customFormat="false" ht="15" hidden="false" customHeight="false" outlineLevel="0" collapsed="false">
      <c r="A858" s="10" t="n">
        <v>852</v>
      </c>
      <c r="B858" s="11" t="s">
        <v>1407</v>
      </c>
      <c r="C858" s="12" t="s">
        <v>415</v>
      </c>
      <c r="D858" s="13" t="n">
        <v>0.0108614583333333</v>
      </c>
      <c r="E858" s="14" t="n">
        <v>853</v>
      </c>
      <c r="F858" s="15" t="n">
        <f aca="false">IF(D858="","",ROUND((D858-MIN($D$7:$D$9999))*86400,2))</f>
        <v>148.69</v>
      </c>
      <c r="G858" s="10" t="str">
        <f aca="false">IF(D858="","",IF(D858&lt;=($E$3*60+$F$3)/86400,"○",""))</f>
        <v/>
      </c>
      <c r="H858" s="16" t="n">
        <v>0.00685671296296296</v>
      </c>
      <c r="I858" s="17" t="n">
        <v>207</v>
      </c>
      <c r="J858" s="16"/>
      <c r="K858" s="17"/>
      <c r="L858" s="17" t="n">
        <f aca="false">COUNT(E858,I858,K858)</f>
        <v>2</v>
      </c>
      <c r="M858" s="18" t="n">
        <f aca="false">(D858&lt;&gt;"")*(D858&lt;=($E$3*60+$F$3)/86400)+(H858&lt;&gt;"")*(H858&lt;=($I$3*60+$J$3)/86400)+(J858&lt;&gt;"")*(J858&lt;=($M$3*60+$N$3)/86400)</f>
        <v>0</v>
      </c>
      <c r="N858" s="20"/>
      <c r="O858" s="20"/>
      <c r="P858" s="20"/>
      <c r="Q858" s="19"/>
    </row>
    <row r="859" customFormat="false" ht="15" hidden="false" customHeight="false" outlineLevel="0" collapsed="false">
      <c r="A859" s="10" t="n">
        <v>853</v>
      </c>
      <c r="B859" s="11" t="s">
        <v>1408</v>
      </c>
      <c r="C859" s="12" t="s">
        <v>1409</v>
      </c>
      <c r="D859" s="13" t="n">
        <v>0.0108618055555556</v>
      </c>
      <c r="E859" s="14" t="n">
        <v>854</v>
      </c>
      <c r="F859" s="15" t="n">
        <f aca="false">IF(D859="","",ROUND((D859-MIN($D$7:$D$9999))*86400,2))</f>
        <v>148.72</v>
      </c>
      <c r="G859" s="10" t="str">
        <f aca="false">IF(D859="","",IF(D859&lt;=($E$3*60+$F$3)/86400,"○",""))</f>
        <v/>
      </c>
      <c r="H859" s="16"/>
      <c r="I859" s="17"/>
      <c r="J859" s="16"/>
      <c r="K859" s="17"/>
      <c r="L859" s="17" t="n">
        <f aca="false">COUNT(E859,I859,K859)</f>
        <v>1</v>
      </c>
      <c r="M859" s="18" t="n">
        <f aca="false">(D859&lt;&gt;"")*(D859&lt;=($E$3*60+$F$3)/86400)+(H859&lt;&gt;"")*(H859&lt;=($I$3*60+$J$3)/86400)+(J859&lt;&gt;"")*(J859&lt;=($M$3*60+$N$3)/86400)</f>
        <v>0</v>
      </c>
      <c r="N859" s="20"/>
      <c r="O859" s="20"/>
      <c r="P859" s="20"/>
      <c r="Q859" s="19"/>
    </row>
    <row r="860" customFormat="false" ht="15" hidden="false" customHeight="false" outlineLevel="0" collapsed="false">
      <c r="A860" s="10" t="n">
        <v>854</v>
      </c>
      <c r="B860" s="11" t="s">
        <v>1410</v>
      </c>
      <c r="C860" s="12" t="s">
        <v>204</v>
      </c>
      <c r="D860" s="13" t="n">
        <v>0.0108622685185185</v>
      </c>
      <c r="E860" s="14" t="n">
        <v>855</v>
      </c>
      <c r="F860" s="15" t="n">
        <f aca="false">IF(D860="","",ROUND((D860-MIN($D$7:$D$9999))*86400,2))</f>
        <v>148.76</v>
      </c>
      <c r="G860" s="10" t="str">
        <f aca="false">IF(D860="","",IF(D860&lt;=($E$3*60+$F$3)/86400,"○",""))</f>
        <v/>
      </c>
      <c r="H860" s="16"/>
      <c r="I860" s="17"/>
      <c r="J860" s="16" t="n">
        <v>0.00283171296296296</v>
      </c>
      <c r="K860" s="17" t="n">
        <v>437</v>
      </c>
      <c r="L860" s="17" t="n">
        <f aca="false">COUNT(E860,I860,K860)</f>
        <v>2</v>
      </c>
      <c r="M860" s="18" t="n">
        <f aca="false">(D860&lt;&gt;"")*(D860&lt;=($E$3*60+$F$3)/86400)+(H860&lt;&gt;"")*(H860&lt;=($I$3*60+$J$3)/86400)+(J860&lt;&gt;"")*(J860&lt;=($M$3*60+$N$3)/86400)</f>
        <v>0</v>
      </c>
      <c r="N860" s="20"/>
      <c r="O860" s="20"/>
      <c r="P860" s="20"/>
      <c r="Q860" s="19"/>
    </row>
    <row r="861" customFormat="false" ht="15" hidden="false" customHeight="false" outlineLevel="0" collapsed="false">
      <c r="A861" s="10" t="n">
        <v>855</v>
      </c>
      <c r="B861" s="11" t="s">
        <v>1411</v>
      </c>
      <c r="C861" s="12" t="s">
        <v>1412</v>
      </c>
      <c r="D861" s="13" t="n">
        <v>0.0108628472222222</v>
      </c>
      <c r="E861" s="14" t="n">
        <v>856</v>
      </c>
      <c r="F861" s="15" t="n">
        <f aca="false">IF(D861="","",ROUND((D861-MIN($D$7:$D$9999))*86400,2))</f>
        <v>148.81</v>
      </c>
      <c r="G861" s="10" t="str">
        <f aca="false">IF(D861="","",IF(D861&lt;=($E$3*60+$F$3)/86400,"○",""))</f>
        <v/>
      </c>
      <c r="H861" s="16"/>
      <c r="I861" s="17"/>
      <c r="J861" s="16"/>
      <c r="K861" s="17"/>
      <c r="L861" s="17" t="n">
        <f aca="false">COUNT(E861,I861,K861)</f>
        <v>1</v>
      </c>
      <c r="M861" s="18" t="n">
        <f aca="false">(D861&lt;&gt;"")*(D861&lt;=($E$3*60+$F$3)/86400)+(H861&lt;&gt;"")*(H861&lt;=($I$3*60+$J$3)/86400)+(J861&lt;&gt;"")*(J861&lt;=($M$3*60+$N$3)/86400)</f>
        <v>0</v>
      </c>
      <c r="N861" s="20"/>
      <c r="O861" s="20"/>
      <c r="P861" s="20"/>
      <c r="Q861" s="19"/>
    </row>
    <row r="862" customFormat="false" ht="15" hidden="false" customHeight="false" outlineLevel="0" collapsed="false">
      <c r="A862" s="10" t="n">
        <v>856</v>
      </c>
      <c r="B862" s="11" t="s">
        <v>1413</v>
      </c>
      <c r="C862" s="12" t="s">
        <v>1049</v>
      </c>
      <c r="D862" s="13" t="n">
        <v>0.0108631944444444</v>
      </c>
      <c r="E862" s="14" t="n">
        <v>857</v>
      </c>
      <c r="F862" s="15" t="n">
        <f aca="false">IF(D862="","",ROUND((D862-MIN($D$7:$D$9999))*86400,2))</f>
        <v>148.84</v>
      </c>
      <c r="G862" s="10" t="str">
        <f aca="false">IF(D862="","",IF(D862&lt;=($E$3*60+$F$3)/86400,"○",""))</f>
        <v/>
      </c>
      <c r="H862" s="16"/>
      <c r="I862" s="17"/>
      <c r="J862" s="16" t="n">
        <v>0.00289189814814815</v>
      </c>
      <c r="K862" s="17" t="n">
        <v>886</v>
      </c>
      <c r="L862" s="17" t="n">
        <f aca="false">COUNT(E862,I862,K862)</f>
        <v>2</v>
      </c>
      <c r="M862" s="18" t="n">
        <f aca="false">(D862&lt;&gt;"")*(D862&lt;=($E$3*60+$F$3)/86400)+(H862&lt;&gt;"")*(H862&lt;=($I$3*60+$J$3)/86400)+(J862&lt;&gt;"")*(J862&lt;=($M$3*60+$N$3)/86400)</f>
        <v>0</v>
      </c>
      <c r="N862" s="20"/>
      <c r="O862" s="20"/>
      <c r="P862" s="20"/>
      <c r="Q862" s="19"/>
    </row>
    <row r="863" customFormat="false" ht="15" hidden="false" customHeight="false" outlineLevel="0" collapsed="false">
      <c r="A863" s="10" t="n">
        <v>857</v>
      </c>
      <c r="B863" s="11" t="s">
        <v>1414</v>
      </c>
      <c r="C863" s="12" t="s">
        <v>1415</v>
      </c>
      <c r="D863" s="13" t="n">
        <v>0.0108633101851852</v>
      </c>
      <c r="E863" s="14" t="n">
        <v>858</v>
      </c>
      <c r="F863" s="15" t="n">
        <f aca="false">IF(D863="","",ROUND((D863-MIN($D$7:$D$9999))*86400,2))</f>
        <v>148.85</v>
      </c>
      <c r="G863" s="10" t="str">
        <f aca="false">IF(D863="","",IF(D863&lt;=($E$3*60+$F$3)/86400,"○",""))</f>
        <v/>
      </c>
      <c r="H863" s="16"/>
      <c r="I863" s="17"/>
      <c r="J863" s="16" t="n">
        <v>0.00289016203703704</v>
      </c>
      <c r="K863" s="17" t="n">
        <v>866</v>
      </c>
      <c r="L863" s="17" t="n">
        <f aca="false">COUNT(E863,I863,K863)</f>
        <v>2</v>
      </c>
      <c r="M863" s="18" t="n">
        <f aca="false">(D863&lt;&gt;"")*(D863&lt;=($E$3*60+$F$3)/86400)+(H863&lt;&gt;"")*(H863&lt;=($I$3*60+$J$3)/86400)+(J863&lt;&gt;"")*(J863&lt;=($M$3*60+$N$3)/86400)</f>
        <v>0</v>
      </c>
      <c r="N863" s="20" t="s">
        <v>1416</v>
      </c>
      <c r="O863" s="20"/>
      <c r="P863" s="20"/>
      <c r="Q863" s="19"/>
    </row>
    <row r="864" customFormat="false" ht="15" hidden="false" customHeight="false" outlineLevel="0" collapsed="false">
      <c r="A864" s="10" t="n">
        <v>858</v>
      </c>
      <c r="B864" s="11" t="s">
        <v>1417</v>
      </c>
      <c r="C864" s="12" t="s">
        <v>1418</v>
      </c>
      <c r="D864" s="13" t="n">
        <v>0.0108643518518519</v>
      </c>
      <c r="E864" s="14" t="n">
        <v>859</v>
      </c>
      <c r="F864" s="15" t="n">
        <f aca="false">IF(D864="","",ROUND((D864-MIN($D$7:$D$9999))*86400,2))</f>
        <v>148.94</v>
      </c>
      <c r="G864" s="10" t="str">
        <f aca="false">IF(D864="","",IF(D864&lt;=($E$3*60+$F$3)/86400,"○",""))</f>
        <v/>
      </c>
      <c r="H864" s="16" t="n">
        <v>0.00756539351851852</v>
      </c>
      <c r="I864" s="17" t="n">
        <v>971</v>
      </c>
      <c r="J864" s="16" t="n">
        <v>0.0028556712962963</v>
      </c>
      <c r="K864" s="17" t="n">
        <v>603</v>
      </c>
      <c r="L864" s="17" t="n">
        <f aca="false">COUNT(E864,I864,K864)</f>
        <v>3</v>
      </c>
      <c r="M864" s="18" t="n">
        <f aca="false">(D864&lt;&gt;"")*(D864&lt;=($E$3*60+$F$3)/86400)+(H864&lt;&gt;"")*(H864&lt;=($I$3*60+$J$3)/86400)+(J864&lt;&gt;"")*(J864&lt;=($M$3*60+$N$3)/86400)</f>
        <v>0</v>
      </c>
      <c r="N864" s="20"/>
      <c r="O864" s="20"/>
      <c r="P864" s="20"/>
      <c r="Q864" s="19"/>
    </row>
    <row r="865" customFormat="false" ht="15" hidden="false" customHeight="false" outlineLevel="0" collapsed="false">
      <c r="A865" s="10" t="n">
        <v>859</v>
      </c>
      <c r="B865" s="11" t="s">
        <v>1419</v>
      </c>
      <c r="C865" s="12" t="s">
        <v>1420</v>
      </c>
      <c r="D865" s="13" t="n">
        <v>0.0108645833333333</v>
      </c>
      <c r="E865" s="14" t="n">
        <v>860</v>
      </c>
      <c r="F865" s="15" t="n">
        <f aca="false">IF(D865="","",ROUND((D865-MIN($D$7:$D$9999))*86400,2))</f>
        <v>148.96</v>
      </c>
      <c r="G865" s="10" t="str">
        <f aca="false">IF(D865="","",IF(D865&lt;=($E$3*60+$F$3)/86400,"○",""))</f>
        <v/>
      </c>
      <c r="H865" s="16" t="n">
        <v>0.00684953703703704</v>
      </c>
      <c r="I865" s="17" t="n">
        <v>203</v>
      </c>
      <c r="J865" s="16" t="n">
        <v>0.00284097222222222</v>
      </c>
      <c r="K865" s="17" t="n">
        <v>506</v>
      </c>
      <c r="L865" s="17" t="n">
        <f aca="false">COUNT(E865,I865,K865)</f>
        <v>3</v>
      </c>
      <c r="M865" s="18" t="n">
        <f aca="false">(D865&lt;&gt;"")*(D865&lt;=($E$3*60+$F$3)/86400)+(H865&lt;&gt;"")*(H865&lt;=($I$3*60+$J$3)/86400)+(J865&lt;&gt;"")*(J865&lt;=($M$3*60+$N$3)/86400)</f>
        <v>0</v>
      </c>
      <c r="N865" s="20"/>
      <c r="O865" s="20"/>
      <c r="P865" s="20"/>
      <c r="Q865" s="19"/>
    </row>
    <row r="866" customFormat="false" ht="15" hidden="false" customHeight="false" outlineLevel="0" collapsed="false">
      <c r="A866" s="10" t="n">
        <v>860</v>
      </c>
      <c r="B866" s="11" t="s">
        <v>1421</v>
      </c>
      <c r="C866" s="12" t="s">
        <v>1310</v>
      </c>
      <c r="D866" s="13" t="n">
        <v>0.0108646990740741</v>
      </c>
      <c r="E866" s="14" t="n">
        <v>861</v>
      </c>
      <c r="F866" s="15" t="n">
        <f aca="false">IF(D866="","",ROUND((D866-MIN($D$7:$D$9999))*86400,2))</f>
        <v>148.97</v>
      </c>
      <c r="G866" s="10" t="str">
        <f aca="false">IF(D866="","",IF(D866&lt;=($E$3*60+$F$3)/86400,"○",""))</f>
        <v/>
      </c>
      <c r="H866" s="16"/>
      <c r="I866" s="17"/>
      <c r="J866" s="16"/>
      <c r="K866" s="17"/>
      <c r="L866" s="17" t="n">
        <f aca="false">COUNT(E866,I866,K866)</f>
        <v>1</v>
      </c>
      <c r="M866" s="18" t="n">
        <f aca="false">(D866&lt;&gt;"")*(D866&lt;=($E$3*60+$F$3)/86400)+(H866&lt;&gt;"")*(H866&lt;=($I$3*60+$J$3)/86400)+(J866&lt;&gt;"")*(J866&lt;=($M$3*60+$N$3)/86400)</f>
        <v>0</v>
      </c>
      <c r="N866" s="20"/>
      <c r="O866" s="20"/>
      <c r="P866" s="20"/>
      <c r="Q866" s="19"/>
    </row>
    <row r="867" customFormat="false" ht="15" hidden="false" customHeight="false" outlineLevel="0" collapsed="false">
      <c r="A867" s="10" t="n">
        <v>861</v>
      </c>
      <c r="B867" s="11" t="s">
        <v>1422</v>
      </c>
      <c r="C867" s="12" t="s">
        <v>318</v>
      </c>
      <c r="D867" s="13" t="n">
        <v>0.0108652777777778</v>
      </c>
      <c r="E867" s="14" t="n">
        <v>862</v>
      </c>
      <c r="F867" s="15" t="n">
        <f aca="false">IF(D867="","",ROUND((D867-MIN($D$7:$D$9999))*86400,2))</f>
        <v>149.02</v>
      </c>
      <c r="G867" s="10" t="str">
        <f aca="false">IF(D867="","",IF(D867&lt;=($E$3*60+$F$3)/86400,"○",""))</f>
        <v/>
      </c>
      <c r="H867" s="16"/>
      <c r="I867" s="17"/>
      <c r="J867" s="16"/>
      <c r="K867" s="17"/>
      <c r="L867" s="17" t="n">
        <f aca="false">COUNT(E867,I867,K867)</f>
        <v>1</v>
      </c>
      <c r="M867" s="18" t="n">
        <f aca="false">(D867&lt;&gt;"")*(D867&lt;=($E$3*60+$F$3)/86400)+(H867&lt;&gt;"")*(H867&lt;=($I$3*60+$J$3)/86400)+(J867&lt;&gt;"")*(J867&lt;=($M$3*60+$N$3)/86400)</f>
        <v>0</v>
      </c>
      <c r="N867" s="20"/>
      <c r="O867" s="20"/>
      <c r="P867" s="20"/>
      <c r="Q867" s="19"/>
    </row>
    <row r="868" customFormat="false" ht="15" hidden="false" customHeight="false" outlineLevel="0" collapsed="false">
      <c r="A868" s="10" t="n">
        <v>862</v>
      </c>
      <c r="B868" s="11" t="s">
        <v>1423</v>
      </c>
      <c r="C868" s="12" t="s">
        <v>434</v>
      </c>
      <c r="D868" s="13" t="n">
        <v>0.0108665509259259</v>
      </c>
      <c r="E868" s="14" t="n">
        <v>863</v>
      </c>
      <c r="F868" s="15" t="n">
        <f aca="false">IF(D868="","",ROUND((D868-MIN($D$7:$D$9999))*86400,2))</f>
        <v>149.13</v>
      </c>
      <c r="G868" s="10" t="str">
        <f aca="false">IF(D868="","",IF(D868&lt;=($E$3*60+$F$3)/86400,"○",""))</f>
        <v/>
      </c>
      <c r="H868" s="16"/>
      <c r="I868" s="17"/>
      <c r="J868" s="16" t="n">
        <v>0.002834375</v>
      </c>
      <c r="K868" s="17" t="n">
        <v>452</v>
      </c>
      <c r="L868" s="17" t="n">
        <f aca="false">COUNT(E868,I868,K868)</f>
        <v>2</v>
      </c>
      <c r="M868" s="18" t="n">
        <f aca="false">(D868&lt;&gt;"")*(D868&lt;=($E$3*60+$F$3)/86400)+(H868&lt;&gt;"")*(H868&lt;=($I$3*60+$J$3)/86400)+(J868&lt;&gt;"")*(J868&lt;=($M$3*60+$N$3)/86400)</f>
        <v>0</v>
      </c>
      <c r="N868" s="20" t="s">
        <v>1424</v>
      </c>
      <c r="O868" s="20"/>
      <c r="P868" s="20"/>
      <c r="Q868" s="19"/>
    </row>
    <row r="869" customFormat="false" ht="15" hidden="false" customHeight="false" outlineLevel="0" collapsed="false">
      <c r="A869" s="10" t="n">
        <v>863</v>
      </c>
      <c r="B869" s="11" t="s">
        <v>1425</v>
      </c>
      <c r="C869" s="12" t="s">
        <v>40</v>
      </c>
      <c r="D869" s="13" t="n">
        <v>0.0108673611111111</v>
      </c>
      <c r="E869" s="14" t="n">
        <v>864</v>
      </c>
      <c r="F869" s="15" t="n">
        <f aca="false">IF(D869="","",ROUND((D869-MIN($D$7:$D$9999))*86400,2))</f>
        <v>149.2</v>
      </c>
      <c r="G869" s="10" t="str">
        <f aca="false">IF(D869="","",IF(D869&lt;=($E$3*60+$F$3)/86400,"○",""))</f>
        <v/>
      </c>
      <c r="H869" s="16"/>
      <c r="I869" s="17"/>
      <c r="J869" s="16"/>
      <c r="K869" s="17"/>
      <c r="L869" s="17" t="n">
        <f aca="false">COUNT(E869,I869,K869)</f>
        <v>1</v>
      </c>
      <c r="M869" s="18" t="n">
        <f aca="false">(D869&lt;&gt;"")*(D869&lt;=($E$3*60+$F$3)/86400)+(H869&lt;&gt;"")*(H869&lt;=($I$3*60+$J$3)/86400)+(J869&lt;&gt;"")*(J869&lt;=($M$3*60+$N$3)/86400)</f>
        <v>0</v>
      </c>
      <c r="N869" s="20"/>
      <c r="O869" s="20" t="s">
        <v>1426</v>
      </c>
      <c r="P869" s="20"/>
      <c r="Q869" s="19"/>
    </row>
    <row r="870" customFormat="false" ht="15" hidden="false" customHeight="false" outlineLevel="0" collapsed="false">
      <c r="A870" s="10" t="n">
        <v>864</v>
      </c>
      <c r="B870" s="11" t="s">
        <v>1427</v>
      </c>
      <c r="C870" s="12" t="s">
        <v>157</v>
      </c>
      <c r="D870" s="13" t="n">
        <v>0.0108675925925926</v>
      </c>
      <c r="E870" s="14" t="n">
        <v>865</v>
      </c>
      <c r="F870" s="15" t="n">
        <f aca="false">IF(D870="","",ROUND((D870-MIN($D$7:$D$9999))*86400,2))</f>
        <v>149.22</v>
      </c>
      <c r="G870" s="10" t="str">
        <f aca="false">IF(D870="","",IF(D870&lt;=($E$3*60+$F$3)/86400,"○",""))</f>
        <v/>
      </c>
      <c r="H870" s="16"/>
      <c r="I870" s="17"/>
      <c r="J870" s="16" t="n">
        <v>0.00290486111111111</v>
      </c>
      <c r="K870" s="17" t="n">
        <v>982</v>
      </c>
      <c r="L870" s="17" t="n">
        <f aca="false">COUNT(E870,I870,K870)</f>
        <v>2</v>
      </c>
      <c r="M870" s="18" t="n">
        <f aca="false">(D870&lt;&gt;"")*(D870&lt;=($E$3*60+$F$3)/86400)+(H870&lt;&gt;"")*(H870&lt;=($I$3*60+$J$3)/86400)+(J870&lt;&gt;"")*(J870&lt;=($M$3*60+$N$3)/86400)</f>
        <v>0</v>
      </c>
      <c r="N870" s="20"/>
      <c r="O870" s="20"/>
      <c r="P870" s="20"/>
      <c r="Q870" s="19"/>
    </row>
    <row r="871" customFormat="false" ht="15" hidden="false" customHeight="false" outlineLevel="0" collapsed="false">
      <c r="A871" s="10" t="n">
        <v>865</v>
      </c>
      <c r="B871" s="11" t="s">
        <v>1428</v>
      </c>
      <c r="C871" s="12" t="s">
        <v>1429</v>
      </c>
      <c r="D871" s="13" t="n">
        <v>0.0108675925925926</v>
      </c>
      <c r="E871" s="14" t="n">
        <v>866</v>
      </c>
      <c r="F871" s="15" t="n">
        <f aca="false">IF(D871="","",ROUND((D871-MIN($D$7:$D$9999))*86400,2))</f>
        <v>149.22</v>
      </c>
      <c r="G871" s="10" t="str">
        <f aca="false">IF(D871="","",IF(D871&lt;=($E$3*60+$F$3)/86400,"○",""))</f>
        <v/>
      </c>
      <c r="H871" s="16"/>
      <c r="I871" s="17"/>
      <c r="J871" s="16" t="n">
        <v>0.00278645833333333</v>
      </c>
      <c r="K871" s="17" t="n">
        <v>223</v>
      </c>
      <c r="L871" s="17" t="n">
        <f aca="false">COUNT(E871,I871,K871)</f>
        <v>2</v>
      </c>
      <c r="M871" s="18" t="n">
        <f aca="false">(D871&lt;&gt;"")*(D871&lt;=($E$3*60+$F$3)/86400)+(H871&lt;&gt;"")*(H871&lt;=($I$3*60+$J$3)/86400)+(J871&lt;&gt;"")*(J871&lt;=($M$3*60+$N$3)/86400)</f>
        <v>0</v>
      </c>
      <c r="N871" s="20"/>
      <c r="O871" s="20"/>
      <c r="P871" s="20"/>
      <c r="Q871" s="19"/>
    </row>
    <row r="872" customFormat="false" ht="15" hidden="false" customHeight="false" outlineLevel="0" collapsed="false">
      <c r="A872" s="10" t="n">
        <v>866</v>
      </c>
      <c r="B872" s="11" t="s">
        <v>1430</v>
      </c>
      <c r="C872" s="12" t="s">
        <v>1431</v>
      </c>
      <c r="D872" s="13" t="n">
        <v>0.0108677083333333</v>
      </c>
      <c r="E872" s="14" t="n">
        <v>867</v>
      </c>
      <c r="F872" s="15" t="n">
        <f aca="false">IF(D872="","",ROUND((D872-MIN($D$7:$D$9999))*86400,2))</f>
        <v>149.23</v>
      </c>
      <c r="G872" s="10" t="str">
        <f aca="false">IF(D872="","",IF(D872&lt;=($E$3*60+$F$3)/86400,"○",""))</f>
        <v/>
      </c>
      <c r="H872" s="16" t="n">
        <v>0.00735300925925926</v>
      </c>
      <c r="I872" s="17" t="n">
        <v>714</v>
      </c>
      <c r="J872" s="16" t="n">
        <v>0.00290034722222222</v>
      </c>
      <c r="K872" s="17" t="n">
        <v>950</v>
      </c>
      <c r="L872" s="17" t="n">
        <f aca="false">COUNT(E872,I872,K872)</f>
        <v>3</v>
      </c>
      <c r="M872" s="18" t="n">
        <f aca="false">(D872&lt;&gt;"")*(D872&lt;=($E$3*60+$F$3)/86400)+(H872&lt;&gt;"")*(H872&lt;=($I$3*60+$J$3)/86400)+(J872&lt;&gt;"")*(J872&lt;=($M$3*60+$N$3)/86400)</f>
        <v>0</v>
      </c>
      <c r="N872" s="20"/>
      <c r="O872" s="20"/>
      <c r="P872" s="20"/>
      <c r="Q872" s="19"/>
    </row>
    <row r="873" customFormat="false" ht="15" hidden="false" customHeight="false" outlineLevel="0" collapsed="false">
      <c r="A873" s="10" t="n">
        <v>867</v>
      </c>
      <c r="B873" s="11" t="s">
        <v>1432</v>
      </c>
      <c r="C873" s="12" t="s">
        <v>1433</v>
      </c>
      <c r="D873" s="13" t="n">
        <v>0.0108678240740741</v>
      </c>
      <c r="E873" s="14" t="n">
        <v>868</v>
      </c>
      <c r="F873" s="15" t="n">
        <f aca="false">IF(D873="","",ROUND((D873-MIN($D$7:$D$9999))*86400,2))</f>
        <v>149.24</v>
      </c>
      <c r="G873" s="10" t="str">
        <f aca="false">IF(D873="","",IF(D873&lt;=($E$3*60+$F$3)/86400,"○",""))</f>
        <v/>
      </c>
      <c r="H873" s="16" t="n">
        <v>0.00679560185185185</v>
      </c>
      <c r="I873" s="17" t="n">
        <v>167</v>
      </c>
      <c r="J873" s="16"/>
      <c r="K873" s="17"/>
      <c r="L873" s="17" t="n">
        <f aca="false">COUNT(E873,I873,K873)</f>
        <v>2</v>
      </c>
      <c r="M873" s="18" t="n">
        <f aca="false">(D873&lt;&gt;"")*(D873&lt;=($E$3*60+$F$3)/86400)+(H873&lt;&gt;"")*(H873&lt;=($I$3*60+$J$3)/86400)+(J873&lt;&gt;"")*(J873&lt;=($M$3*60+$N$3)/86400)</f>
        <v>0</v>
      </c>
      <c r="N873" s="20"/>
      <c r="O873" s="20"/>
      <c r="P873" s="20"/>
      <c r="Q873" s="19"/>
    </row>
    <row r="874" customFormat="false" ht="15" hidden="false" customHeight="false" outlineLevel="0" collapsed="false">
      <c r="A874" s="10" t="n">
        <v>868</v>
      </c>
      <c r="B874" s="11" t="s">
        <v>1434</v>
      </c>
      <c r="C874" s="12" t="s">
        <v>478</v>
      </c>
      <c r="D874" s="13" t="n">
        <v>0.0108684027777778</v>
      </c>
      <c r="E874" s="14" t="n">
        <v>869</v>
      </c>
      <c r="F874" s="15" t="n">
        <f aca="false">IF(D874="","",ROUND((D874-MIN($D$7:$D$9999))*86400,2))</f>
        <v>149.29</v>
      </c>
      <c r="G874" s="10" t="str">
        <f aca="false">IF(D874="","",IF(D874&lt;=($E$3*60+$F$3)/86400,"○",""))</f>
        <v/>
      </c>
      <c r="H874" s="16" t="n">
        <v>0.00676365740740741</v>
      </c>
      <c r="I874" s="17" t="n">
        <v>140</v>
      </c>
      <c r="J874" s="16"/>
      <c r="K874" s="17"/>
      <c r="L874" s="17" t="n">
        <f aca="false">COUNT(E874,I874,K874)</f>
        <v>2</v>
      </c>
      <c r="M874" s="18" t="n">
        <f aca="false">(D874&lt;&gt;"")*(D874&lt;=($E$3*60+$F$3)/86400)+(H874&lt;&gt;"")*(H874&lt;=($I$3*60+$J$3)/86400)+(J874&lt;&gt;"")*(J874&lt;=($M$3*60+$N$3)/86400)</f>
        <v>0</v>
      </c>
      <c r="N874" s="20"/>
      <c r="O874" s="20"/>
      <c r="P874" s="20"/>
      <c r="Q874" s="19"/>
    </row>
    <row r="875" customFormat="false" ht="15" hidden="false" customHeight="false" outlineLevel="0" collapsed="false">
      <c r="A875" s="10" t="n">
        <v>869</v>
      </c>
      <c r="B875" s="11" t="s">
        <v>1435</v>
      </c>
      <c r="C875" s="12" t="s">
        <v>266</v>
      </c>
      <c r="D875" s="13" t="n">
        <v>0.0108693287037037</v>
      </c>
      <c r="E875" s="14" t="n">
        <v>870</v>
      </c>
      <c r="F875" s="15" t="n">
        <f aca="false">IF(D875="","",ROUND((D875-MIN($D$7:$D$9999))*86400,2))</f>
        <v>149.37</v>
      </c>
      <c r="G875" s="10" t="str">
        <f aca="false">IF(D875="","",IF(D875&lt;=($E$3*60+$F$3)/86400,"○",""))</f>
        <v/>
      </c>
      <c r="H875" s="16"/>
      <c r="I875" s="17"/>
      <c r="J875" s="16" t="n">
        <v>0.00290625</v>
      </c>
      <c r="K875" s="17" t="n">
        <v>991</v>
      </c>
      <c r="L875" s="17" t="n">
        <f aca="false">COUNT(E875,I875,K875)</f>
        <v>2</v>
      </c>
      <c r="M875" s="18" t="n">
        <f aca="false">(D875&lt;&gt;"")*(D875&lt;=($E$3*60+$F$3)/86400)+(H875&lt;&gt;"")*(H875&lt;=($I$3*60+$J$3)/86400)+(J875&lt;&gt;"")*(J875&lt;=($M$3*60+$N$3)/86400)</f>
        <v>0</v>
      </c>
      <c r="N875" s="20" t="s">
        <v>1436</v>
      </c>
      <c r="O875" s="20"/>
      <c r="P875" s="20"/>
      <c r="Q875" s="19"/>
    </row>
    <row r="876" customFormat="false" ht="15" hidden="false" customHeight="false" outlineLevel="0" collapsed="false">
      <c r="A876" s="10" t="n">
        <v>870</v>
      </c>
      <c r="B876" s="11" t="s">
        <v>1437</v>
      </c>
      <c r="C876" s="12" t="s">
        <v>297</v>
      </c>
      <c r="D876" s="13" t="n">
        <v>0.0108703703703704</v>
      </c>
      <c r="E876" s="14" t="n">
        <v>871</v>
      </c>
      <c r="F876" s="15" t="n">
        <f aca="false">IF(D876="","",ROUND((D876-MIN($D$7:$D$9999))*86400,2))</f>
        <v>149.46</v>
      </c>
      <c r="G876" s="10" t="str">
        <f aca="false">IF(D876="","",IF(D876&lt;=($E$3*60+$F$3)/86400,"○",""))</f>
        <v/>
      </c>
      <c r="H876" s="16"/>
      <c r="I876" s="17"/>
      <c r="J876" s="16" t="n">
        <v>0.00287152777777778</v>
      </c>
      <c r="K876" s="17" t="n">
        <v>712</v>
      </c>
      <c r="L876" s="17" t="n">
        <f aca="false">COUNT(E876,I876,K876)</f>
        <v>2</v>
      </c>
      <c r="M876" s="18" t="n">
        <f aca="false">(D876&lt;&gt;"")*(D876&lt;=($E$3*60+$F$3)/86400)+(H876&lt;&gt;"")*(H876&lt;=($I$3*60+$J$3)/86400)+(J876&lt;&gt;"")*(J876&lt;=($M$3*60+$N$3)/86400)</f>
        <v>0</v>
      </c>
      <c r="N876" s="20" t="s">
        <v>1438</v>
      </c>
      <c r="O876" s="20"/>
      <c r="P876" s="20"/>
      <c r="Q876" s="19"/>
    </row>
    <row r="877" customFormat="false" ht="15" hidden="false" customHeight="false" outlineLevel="0" collapsed="false">
      <c r="A877" s="10" t="n">
        <v>871</v>
      </c>
      <c r="B877" s="11" t="s">
        <v>1439</v>
      </c>
      <c r="C877" s="12" t="s">
        <v>1141</v>
      </c>
      <c r="D877" s="13" t="n">
        <v>0.0108721064814815</v>
      </c>
      <c r="E877" s="14" t="n">
        <v>872</v>
      </c>
      <c r="F877" s="15" t="n">
        <f aca="false">IF(D877="","",ROUND((D877-MIN($D$7:$D$9999))*86400,2))</f>
        <v>149.61</v>
      </c>
      <c r="G877" s="10" t="str">
        <f aca="false">IF(D877="","",IF(D877&lt;=($E$3*60+$F$3)/86400,"○",""))</f>
        <v/>
      </c>
      <c r="H877" s="16"/>
      <c r="I877" s="17"/>
      <c r="J877" s="16"/>
      <c r="K877" s="17"/>
      <c r="L877" s="17" t="n">
        <f aca="false">COUNT(E877,I877,K877)</f>
        <v>1</v>
      </c>
      <c r="M877" s="18" t="n">
        <f aca="false">(D877&lt;&gt;"")*(D877&lt;=($E$3*60+$F$3)/86400)+(H877&lt;&gt;"")*(H877&lt;=($I$3*60+$J$3)/86400)+(J877&lt;&gt;"")*(J877&lt;=($M$3*60+$N$3)/86400)</f>
        <v>0</v>
      </c>
      <c r="N877" s="20"/>
      <c r="O877" s="20"/>
      <c r="P877" s="20"/>
      <c r="Q877" s="19"/>
    </row>
    <row r="878" customFormat="false" ht="15" hidden="false" customHeight="false" outlineLevel="0" collapsed="false">
      <c r="A878" s="10" t="n">
        <v>872</v>
      </c>
      <c r="B878" s="11" t="s">
        <v>1440</v>
      </c>
      <c r="C878" s="12" t="s">
        <v>311</v>
      </c>
      <c r="D878" s="13" t="n">
        <v>0.0108726851851852</v>
      </c>
      <c r="E878" s="14" t="n">
        <v>873</v>
      </c>
      <c r="F878" s="15" t="n">
        <f aca="false">IF(D878="","",ROUND((D878-MIN($D$7:$D$9999))*86400,2))</f>
        <v>149.66</v>
      </c>
      <c r="G878" s="10" t="str">
        <f aca="false">IF(D878="","",IF(D878&lt;=($E$3*60+$F$3)/86400,"○",""))</f>
        <v/>
      </c>
      <c r="H878" s="16"/>
      <c r="I878" s="17"/>
      <c r="J878" s="16" t="n">
        <v>0.00288599537037037</v>
      </c>
      <c r="K878" s="17" t="n">
        <v>824</v>
      </c>
      <c r="L878" s="17" t="n">
        <f aca="false">COUNT(E878,I878,K878)</f>
        <v>2</v>
      </c>
      <c r="M878" s="18" t="n">
        <f aca="false">(D878&lt;&gt;"")*(D878&lt;=($E$3*60+$F$3)/86400)+(H878&lt;&gt;"")*(H878&lt;=($I$3*60+$J$3)/86400)+(J878&lt;&gt;"")*(J878&lt;=($M$3*60+$N$3)/86400)</f>
        <v>0</v>
      </c>
      <c r="N878" s="20"/>
      <c r="O878" s="20"/>
      <c r="P878" s="20"/>
      <c r="Q878" s="19"/>
    </row>
    <row r="879" customFormat="false" ht="15" hidden="false" customHeight="false" outlineLevel="0" collapsed="false">
      <c r="A879" s="10" t="n">
        <v>873</v>
      </c>
      <c r="B879" s="11" t="s">
        <v>1441</v>
      </c>
      <c r="C879" s="12" t="s">
        <v>1348</v>
      </c>
      <c r="D879" s="13" t="n">
        <v>0.0108729166666667</v>
      </c>
      <c r="E879" s="14" t="n">
        <v>874</v>
      </c>
      <c r="F879" s="15" t="n">
        <f aca="false">IF(D879="","",ROUND((D879-MIN($D$7:$D$9999))*86400,2))</f>
        <v>149.68</v>
      </c>
      <c r="G879" s="10" t="str">
        <f aca="false">IF(D879="","",IF(D879&lt;=($E$3*60+$F$3)/86400,"○",""))</f>
        <v/>
      </c>
      <c r="H879" s="16"/>
      <c r="I879" s="17"/>
      <c r="J879" s="16" t="n">
        <v>0.00287164351851852</v>
      </c>
      <c r="K879" s="17" t="n">
        <v>713</v>
      </c>
      <c r="L879" s="17" t="n">
        <f aca="false">COUNT(E879,I879,K879)</f>
        <v>2</v>
      </c>
      <c r="M879" s="18" t="n">
        <f aca="false">(D879&lt;&gt;"")*(D879&lt;=($E$3*60+$F$3)/86400)+(H879&lt;&gt;"")*(H879&lt;=($I$3*60+$J$3)/86400)+(J879&lt;&gt;"")*(J879&lt;=($M$3*60+$N$3)/86400)</f>
        <v>0</v>
      </c>
      <c r="N879" s="20"/>
      <c r="O879" s="20"/>
      <c r="P879" s="20"/>
      <c r="Q879" s="19"/>
    </row>
    <row r="880" customFormat="false" ht="15" hidden="false" customHeight="false" outlineLevel="0" collapsed="false">
      <c r="A880" s="10" t="n">
        <v>874</v>
      </c>
      <c r="B880" s="11" t="s">
        <v>1442</v>
      </c>
      <c r="C880" s="12" t="s">
        <v>401</v>
      </c>
      <c r="D880" s="13" t="n">
        <v>0.0108732638888889</v>
      </c>
      <c r="E880" s="14" t="n">
        <v>875</v>
      </c>
      <c r="F880" s="15" t="n">
        <f aca="false">IF(D880="","",ROUND((D880-MIN($D$7:$D$9999))*86400,2))</f>
        <v>149.71</v>
      </c>
      <c r="G880" s="10" t="str">
        <f aca="false">IF(D880="","",IF(D880&lt;=($E$3*60+$F$3)/86400,"○",""))</f>
        <v/>
      </c>
      <c r="H880" s="16"/>
      <c r="I880" s="17"/>
      <c r="J880" s="16"/>
      <c r="K880" s="17"/>
      <c r="L880" s="17" t="n">
        <f aca="false">COUNT(E880,I880,K880)</f>
        <v>1</v>
      </c>
      <c r="M880" s="18" t="n">
        <f aca="false">(D880&lt;&gt;"")*(D880&lt;=($E$3*60+$F$3)/86400)+(H880&lt;&gt;"")*(H880&lt;=($I$3*60+$J$3)/86400)+(J880&lt;&gt;"")*(J880&lt;=($M$3*60+$N$3)/86400)</f>
        <v>0</v>
      </c>
      <c r="N880" s="20"/>
      <c r="O880" s="20"/>
      <c r="P880" s="20"/>
      <c r="Q880" s="19"/>
    </row>
    <row r="881" customFormat="false" ht="15" hidden="false" customHeight="false" outlineLevel="0" collapsed="false">
      <c r="A881" s="10" t="n">
        <v>875</v>
      </c>
      <c r="B881" s="11" t="s">
        <v>1443</v>
      </c>
      <c r="C881" s="12" t="s">
        <v>245</v>
      </c>
      <c r="D881" s="13" t="n">
        <v>0.0108732638888889</v>
      </c>
      <c r="E881" s="14" t="n">
        <v>876</v>
      </c>
      <c r="F881" s="15" t="n">
        <f aca="false">IF(D881="","",ROUND((D881-MIN($D$7:$D$9999))*86400,2))</f>
        <v>149.71</v>
      </c>
      <c r="G881" s="10" t="str">
        <f aca="false">IF(D881="","",IF(D881&lt;=($E$3*60+$F$3)/86400,"○",""))</f>
        <v/>
      </c>
      <c r="H881" s="16"/>
      <c r="I881" s="17"/>
      <c r="J881" s="16" t="n">
        <v>0.00290752314814815</v>
      </c>
      <c r="K881" s="17" t="n">
        <v>996</v>
      </c>
      <c r="L881" s="17" t="n">
        <f aca="false">COUNT(E881,I881,K881)</f>
        <v>2</v>
      </c>
      <c r="M881" s="18" t="n">
        <f aca="false">(D881&lt;&gt;"")*(D881&lt;=($E$3*60+$F$3)/86400)+(H881&lt;&gt;"")*(H881&lt;=($I$3*60+$J$3)/86400)+(J881&lt;&gt;"")*(J881&lt;=($M$3*60+$N$3)/86400)</f>
        <v>0</v>
      </c>
      <c r="N881" s="20"/>
      <c r="O881" s="20"/>
      <c r="P881" s="20"/>
      <c r="Q881" s="19"/>
    </row>
    <row r="882" customFormat="false" ht="15" hidden="false" customHeight="false" outlineLevel="0" collapsed="false">
      <c r="A882" s="10" t="n">
        <v>876</v>
      </c>
      <c r="B882" s="11" t="s">
        <v>1444</v>
      </c>
      <c r="C882" s="12" t="s">
        <v>1445</v>
      </c>
      <c r="D882" s="13" t="n">
        <v>0.0108736111111111</v>
      </c>
      <c r="E882" s="14" t="n">
        <v>877</v>
      </c>
      <c r="F882" s="15" t="n">
        <f aca="false">IF(D882="","",ROUND((D882-MIN($D$7:$D$9999))*86400,2))</f>
        <v>149.74</v>
      </c>
      <c r="G882" s="10" t="str">
        <f aca="false">IF(D882="","",IF(D882&lt;=($E$3*60+$F$3)/86400,"○",""))</f>
        <v/>
      </c>
      <c r="H882" s="16"/>
      <c r="I882" s="17"/>
      <c r="J882" s="16" t="n">
        <v>0.00288483796296296</v>
      </c>
      <c r="K882" s="17" t="n">
        <v>815</v>
      </c>
      <c r="L882" s="17" t="n">
        <f aca="false">COUNT(E882,I882,K882)</f>
        <v>2</v>
      </c>
      <c r="M882" s="18" t="n">
        <f aca="false">(D882&lt;&gt;"")*(D882&lt;=($E$3*60+$F$3)/86400)+(H882&lt;&gt;"")*(H882&lt;=($I$3*60+$J$3)/86400)+(J882&lt;&gt;"")*(J882&lt;=($M$3*60+$N$3)/86400)</f>
        <v>0</v>
      </c>
      <c r="N882" s="20"/>
      <c r="O882" s="20"/>
      <c r="P882" s="20"/>
      <c r="Q882" s="19"/>
    </row>
    <row r="883" customFormat="false" ht="15" hidden="false" customHeight="false" outlineLevel="0" collapsed="false">
      <c r="A883" s="10" t="n">
        <v>877</v>
      </c>
      <c r="B883" s="11" t="s">
        <v>1446</v>
      </c>
      <c r="C883" s="12" t="s">
        <v>707</v>
      </c>
      <c r="D883" s="13" t="n">
        <v>0.0108737268518519</v>
      </c>
      <c r="E883" s="14" t="n">
        <v>878</v>
      </c>
      <c r="F883" s="15" t="n">
        <f aca="false">IF(D883="","",ROUND((D883-MIN($D$7:$D$9999))*86400,2))</f>
        <v>149.75</v>
      </c>
      <c r="G883" s="10" t="str">
        <f aca="false">IF(D883="","",IF(D883&lt;=($E$3*60+$F$3)/86400,"○",""))</f>
        <v/>
      </c>
      <c r="H883" s="16"/>
      <c r="I883" s="17"/>
      <c r="J883" s="16" t="n">
        <v>0.00273611111111111</v>
      </c>
      <c r="K883" s="17" t="n">
        <v>76</v>
      </c>
      <c r="L883" s="17" t="n">
        <f aca="false">COUNT(E883,I883,K883)</f>
        <v>2</v>
      </c>
      <c r="M883" s="18" t="n">
        <f aca="false">(D883&lt;&gt;"")*(D883&lt;=($E$3*60+$F$3)/86400)+(H883&lt;&gt;"")*(H883&lt;=($I$3*60+$J$3)/86400)+(J883&lt;&gt;"")*(J883&lt;=($M$3*60+$N$3)/86400)</f>
        <v>0</v>
      </c>
      <c r="N883" s="20"/>
      <c r="O883" s="20" t="s">
        <v>1447</v>
      </c>
      <c r="P883" s="20"/>
      <c r="Q883" s="19"/>
    </row>
    <row r="884" customFormat="false" ht="15" hidden="false" customHeight="false" outlineLevel="0" collapsed="false">
      <c r="A884" s="10" t="n">
        <v>878</v>
      </c>
      <c r="B884" s="11" t="s">
        <v>1448</v>
      </c>
      <c r="C884" s="12" t="s">
        <v>1409</v>
      </c>
      <c r="D884" s="13" t="n">
        <v>0.0108739583333333</v>
      </c>
      <c r="E884" s="14" t="n">
        <v>879</v>
      </c>
      <c r="F884" s="15" t="n">
        <f aca="false">IF(D884="","",ROUND((D884-MIN($D$7:$D$9999))*86400,2))</f>
        <v>149.77</v>
      </c>
      <c r="G884" s="10" t="str">
        <f aca="false">IF(D884="","",IF(D884&lt;=($E$3*60+$F$3)/86400,"○",""))</f>
        <v/>
      </c>
      <c r="H884" s="16"/>
      <c r="I884" s="17"/>
      <c r="J884" s="16"/>
      <c r="K884" s="17"/>
      <c r="L884" s="17" t="n">
        <f aca="false">COUNT(E884,I884,K884)</f>
        <v>1</v>
      </c>
      <c r="M884" s="18" t="n">
        <f aca="false">(D884&lt;&gt;"")*(D884&lt;=($E$3*60+$F$3)/86400)+(H884&lt;&gt;"")*(H884&lt;=($I$3*60+$J$3)/86400)+(J884&lt;&gt;"")*(J884&lt;=($M$3*60+$N$3)/86400)</f>
        <v>0</v>
      </c>
      <c r="N884" s="20"/>
      <c r="O884" s="20"/>
      <c r="P884" s="20"/>
      <c r="Q884" s="19"/>
    </row>
    <row r="885" customFormat="false" ht="15" hidden="false" customHeight="false" outlineLevel="0" collapsed="false">
      <c r="A885" s="10" t="n">
        <v>879</v>
      </c>
      <c r="B885" s="11" t="s">
        <v>1449</v>
      </c>
      <c r="C885" s="12" t="s">
        <v>1450</v>
      </c>
      <c r="D885" s="13" t="n">
        <v>0.0108746527777778</v>
      </c>
      <c r="E885" s="14" t="n">
        <v>880</v>
      </c>
      <c r="F885" s="15" t="n">
        <f aca="false">IF(D885="","",ROUND((D885-MIN($D$7:$D$9999))*86400,2))</f>
        <v>149.83</v>
      </c>
      <c r="G885" s="10" t="str">
        <f aca="false">IF(D885="","",IF(D885&lt;=($E$3*60+$F$3)/86400,"○",""))</f>
        <v/>
      </c>
      <c r="H885" s="16"/>
      <c r="I885" s="17"/>
      <c r="J885" s="16" t="n">
        <v>0.00290520833333333</v>
      </c>
      <c r="K885" s="17" t="n">
        <v>985</v>
      </c>
      <c r="L885" s="17" t="n">
        <f aca="false">COUNT(E885,I885,K885)</f>
        <v>2</v>
      </c>
      <c r="M885" s="18" t="n">
        <f aca="false">(D885&lt;&gt;"")*(D885&lt;=($E$3*60+$F$3)/86400)+(H885&lt;&gt;"")*(H885&lt;=($I$3*60+$J$3)/86400)+(J885&lt;&gt;"")*(J885&lt;=($M$3*60+$N$3)/86400)</f>
        <v>0</v>
      </c>
      <c r="N885" s="20" t="s">
        <v>1451</v>
      </c>
      <c r="O885" s="20"/>
      <c r="P885" s="20"/>
      <c r="Q885" s="19"/>
    </row>
    <row r="886" customFormat="false" ht="15" hidden="false" customHeight="false" outlineLevel="0" collapsed="false">
      <c r="A886" s="10" t="n">
        <v>880</v>
      </c>
      <c r="B886" s="11" t="s">
        <v>1452</v>
      </c>
      <c r="C886" s="12" t="s">
        <v>1453</v>
      </c>
      <c r="D886" s="13" t="n">
        <v>0.0108752314814815</v>
      </c>
      <c r="E886" s="14" t="n">
        <v>881</v>
      </c>
      <c r="F886" s="15" t="n">
        <f aca="false">IF(D886="","",ROUND((D886-MIN($D$7:$D$9999))*86400,2))</f>
        <v>149.88</v>
      </c>
      <c r="G886" s="10" t="str">
        <f aca="false">IF(D886="","",IF(D886&lt;=($E$3*60+$F$3)/86400,"○",""))</f>
        <v/>
      </c>
      <c r="H886" s="16"/>
      <c r="I886" s="17"/>
      <c r="J886" s="16"/>
      <c r="K886" s="17"/>
      <c r="L886" s="17" t="n">
        <f aca="false">COUNT(E886,I886,K886)</f>
        <v>1</v>
      </c>
      <c r="M886" s="18" t="n">
        <f aca="false">(D886&lt;&gt;"")*(D886&lt;=($E$3*60+$F$3)/86400)+(H886&lt;&gt;"")*(H886&lt;=($I$3*60+$J$3)/86400)+(J886&lt;&gt;"")*(J886&lt;=($M$3*60+$N$3)/86400)</f>
        <v>0</v>
      </c>
      <c r="N886" s="20"/>
      <c r="O886" s="20"/>
      <c r="P886" s="20"/>
      <c r="Q886" s="19"/>
    </row>
    <row r="887" customFormat="false" ht="15" hidden="false" customHeight="false" outlineLevel="0" collapsed="false">
      <c r="A887" s="10" t="n">
        <v>881</v>
      </c>
      <c r="B887" s="11" t="s">
        <v>1454</v>
      </c>
      <c r="C887" s="12" t="s">
        <v>1455</v>
      </c>
      <c r="D887" s="13" t="n">
        <v>0.010875462962963</v>
      </c>
      <c r="E887" s="14" t="n">
        <v>882</v>
      </c>
      <c r="F887" s="15" t="n">
        <f aca="false">IF(D887="","",ROUND((D887-MIN($D$7:$D$9999))*86400,2))</f>
        <v>149.9</v>
      </c>
      <c r="G887" s="10" t="str">
        <f aca="false">IF(D887="","",IF(D887&lt;=($E$3*60+$F$3)/86400,"○",""))</f>
        <v/>
      </c>
      <c r="H887" s="16" t="n">
        <v>0.00731689814814815</v>
      </c>
      <c r="I887" s="17" t="n">
        <v>664</v>
      </c>
      <c r="J887" s="16" t="n">
        <v>0.00277581018518519</v>
      </c>
      <c r="K887" s="17" t="n">
        <v>179</v>
      </c>
      <c r="L887" s="17" t="n">
        <f aca="false">COUNT(E887,I887,K887)</f>
        <v>3</v>
      </c>
      <c r="M887" s="18" t="n">
        <f aca="false">(D887&lt;&gt;"")*(D887&lt;=($E$3*60+$F$3)/86400)+(H887&lt;&gt;"")*(H887&lt;=($I$3*60+$J$3)/86400)+(J887&lt;&gt;"")*(J887&lt;=($M$3*60+$N$3)/86400)</f>
        <v>0</v>
      </c>
      <c r="N887" s="20"/>
      <c r="O887" s="20"/>
      <c r="P887" s="20"/>
      <c r="Q887" s="19"/>
    </row>
    <row r="888" customFormat="false" ht="15" hidden="false" customHeight="false" outlineLevel="0" collapsed="false">
      <c r="A888" s="10" t="n">
        <v>882</v>
      </c>
      <c r="B888" s="11" t="s">
        <v>1456</v>
      </c>
      <c r="C888" s="12" t="s">
        <v>32</v>
      </c>
      <c r="D888" s="13" t="n">
        <v>0.0108778935185185</v>
      </c>
      <c r="E888" s="14" t="n">
        <v>883</v>
      </c>
      <c r="F888" s="15" t="n">
        <f aca="false">IF(D888="","",ROUND((D888-MIN($D$7:$D$9999))*86400,2))</f>
        <v>150.11</v>
      </c>
      <c r="G888" s="10" t="str">
        <f aca="false">IF(D888="","",IF(D888&lt;=($E$3*60+$F$3)/86400,"○",""))</f>
        <v/>
      </c>
      <c r="H888" s="16"/>
      <c r="I888" s="17"/>
      <c r="J888" s="16"/>
      <c r="K888" s="17"/>
      <c r="L888" s="17" t="n">
        <f aca="false">COUNT(E888,I888,K888)</f>
        <v>1</v>
      </c>
      <c r="M888" s="18" t="n">
        <f aca="false">(D888&lt;&gt;"")*(D888&lt;=($E$3*60+$F$3)/86400)+(H888&lt;&gt;"")*(H888&lt;=($I$3*60+$J$3)/86400)+(J888&lt;&gt;"")*(J888&lt;=($M$3*60+$N$3)/86400)</f>
        <v>0</v>
      </c>
      <c r="N888" s="20"/>
      <c r="O888" s="20"/>
      <c r="P888" s="20"/>
      <c r="Q888" s="19"/>
    </row>
    <row r="889" customFormat="false" ht="15" hidden="false" customHeight="false" outlineLevel="0" collapsed="false">
      <c r="A889" s="10" t="n">
        <v>883</v>
      </c>
      <c r="B889" s="11" t="s">
        <v>1457</v>
      </c>
      <c r="C889" s="12" t="s">
        <v>1458</v>
      </c>
      <c r="D889" s="13" t="n">
        <v>0.0108778935185185</v>
      </c>
      <c r="E889" s="14" t="n">
        <v>884</v>
      </c>
      <c r="F889" s="15" t="n">
        <f aca="false">IF(D889="","",ROUND((D889-MIN($D$7:$D$9999))*86400,2))</f>
        <v>150.11</v>
      </c>
      <c r="G889" s="10" t="str">
        <f aca="false">IF(D889="","",IF(D889&lt;=($E$3*60+$F$3)/86400,"○",""))</f>
        <v/>
      </c>
      <c r="H889" s="16"/>
      <c r="I889" s="17"/>
      <c r="J889" s="16"/>
      <c r="K889" s="17"/>
      <c r="L889" s="17" t="n">
        <f aca="false">COUNT(E889,I889,K889)</f>
        <v>1</v>
      </c>
      <c r="M889" s="18" t="n">
        <f aca="false">(D889&lt;&gt;"")*(D889&lt;=($E$3*60+$F$3)/86400)+(H889&lt;&gt;"")*(H889&lt;=($I$3*60+$J$3)/86400)+(J889&lt;&gt;"")*(J889&lt;=($M$3*60+$N$3)/86400)</f>
        <v>0</v>
      </c>
      <c r="N889" s="20"/>
      <c r="O889" s="20"/>
      <c r="P889" s="20"/>
      <c r="Q889" s="19"/>
    </row>
    <row r="890" customFormat="false" ht="15" hidden="false" customHeight="false" outlineLevel="0" collapsed="false">
      <c r="A890" s="10" t="n">
        <v>884</v>
      </c>
      <c r="B890" s="11" t="s">
        <v>1459</v>
      </c>
      <c r="C890" s="12" t="s">
        <v>795</v>
      </c>
      <c r="D890" s="13" t="n">
        <v>0.0108788194444444</v>
      </c>
      <c r="E890" s="14" t="n">
        <v>885</v>
      </c>
      <c r="F890" s="15" t="n">
        <f aca="false">IF(D890="","",ROUND((D890-MIN($D$7:$D$9999))*86400,2))</f>
        <v>150.19</v>
      </c>
      <c r="G890" s="10" t="str">
        <f aca="false">IF(D890="","",IF(D890&lt;=($E$3*60+$F$3)/86400,"○",""))</f>
        <v/>
      </c>
      <c r="H890" s="16"/>
      <c r="I890" s="17"/>
      <c r="J890" s="16" t="n">
        <v>0.00287141203703704</v>
      </c>
      <c r="K890" s="17" t="n">
        <v>711</v>
      </c>
      <c r="L890" s="17" t="n">
        <f aca="false">COUNT(E890,I890,K890)</f>
        <v>2</v>
      </c>
      <c r="M890" s="18" t="n">
        <f aca="false">(D890&lt;&gt;"")*(D890&lt;=($E$3*60+$F$3)/86400)+(H890&lt;&gt;"")*(H890&lt;=($I$3*60+$J$3)/86400)+(J890&lt;&gt;"")*(J890&lt;=($M$3*60+$N$3)/86400)</f>
        <v>0</v>
      </c>
      <c r="N890" s="20"/>
      <c r="O890" s="20"/>
      <c r="P890" s="20"/>
      <c r="Q890" s="19"/>
    </row>
    <row r="891" customFormat="false" ht="15" hidden="false" customHeight="false" outlineLevel="0" collapsed="false">
      <c r="A891" s="10" t="n">
        <v>885</v>
      </c>
      <c r="B891" s="11" t="s">
        <v>1460</v>
      </c>
      <c r="C891" s="12" t="s">
        <v>1461</v>
      </c>
      <c r="D891" s="13" t="n">
        <v>0.0108791666666667</v>
      </c>
      <c r="E891" s="14" t="n">
        <v>886</v>
      </c>
      <c r="F891" s="15" t="n">
        <f aca="false">IF(D891="","",ROUND((D891-MIN($D$7:$D$9999))*86400,2))</f>
        <v>150.22</v>
      </c>
      <c r="G891" s="10" t="str">
        <f aca="false">IF(D891="","",IF(D891&lt;=($E$3*60+$F$3)/86400,"○",""))</f>
        <v/>
      </c>
      <c r="H891" s="16"/>
      <c r="I891" s="17"/>
      <c r="J891" s="16" t="n">
        <v>0.00287986111111111</v>
      </c>
      <c r="K891" s="17" t="n">
        <v>771</v>
      </c>
      <c r="L891" s="17" t="n">
        <f aca="false">COUNT(E891,I891,K891)</f>
        <v>2</v>
      </c>
      <c r="M891" s="18" t="n">
        <f aca="false">(D891&lt;&gt;"")*(D891&lt;=($E$3*60+$F$3)/86400)+(H891&lt;&gt;"")*(H891&lt;=($I$3*60+$J$3)/86400)+(J891&lt;&gt;"")*(J891&lt;=($M$3*60+$N$3)/86400)</f>
        <v>0</v>
      </c>
      <c r="N891" s="20"/>
      <c r="O891" s="20"/>
      <c r="P891" s="20"/>
      <c r="Q891" s="19"/>
    </row>
    <row r="892" customFormat="false" ht="15" hidden="false" customHeight="false" outlineLevel="0" collapsed="false">
      <c r="A892" s="10" t="n">
        <v>886</v>
      </c>
      <c r="B892" s="11" t="s">
        <v>1462</v>
      </c>
      <c r="C892" s="12" t="s">
        <v>1463</v>
      </c>
      <c r="D892" s="13" t="n">
        <v>0.0108793981481482</v>
      </c>
      <c r="E892" s="14" t="n">
        <v>887</v>
      </c>
      <c r="F892" s="15" t="n">
        <f aca="false">IF(D892="","",ROUND((D892-MIN($D$7:$D$9999))*86400,2))</f>
        <v>150.24</v>
      </c>
      <c r="G892" s="10" t="str">
        <f aca="false">IF(D892="","",IF(D892&lt;=($E$3*60+$F$3)/86400,"○",""))</f>
        <v/>
      </c>
      <c r="H892" s="16" t="n">
        <v>0.00704988425925926</v>
      </c>
      <c r="I892" s="17" t="n">
        <v>389</v>
      </c>
      <c r="J892" s="16"/>
      <c r="K892" s="17"/>
      <c r="L892" s="17" t="n">
        <f aca="false">COUNT(E892,I892,K892)</f>
        <v>2</v>
      </c>
      <c r="M892" s="18" t="n">
        <f aca="false">(D892&lt;&gt;"")*(D892&lt;=($E$3*60+$F$3)/86400)+(H892&lt;&gt;"")*(H892&lt;=($I$3*60+$J$3)/86400)+(J892&lt;&gt;"")*(J892&lt;=($M$3*60+$N$3)/86400)</f>
        <v>0</v>
      </c>
      <c r="N892" s="20"/>
      <c r="O892" s="20"/>
      <c r="P892" s="20"/>
      <c r="Q892" s="19"/>
    </row>
    <row r="893" customFormat="false" ht="15" hidden="false" customHeight="false" outlineLevel="0" collapsed="false">
      <c r="A893" s="10" t="n">
        <v>887</v>
      </c>
      <c r="B893" s="11" t="s">
        <v>1464</v>
      </c>
      <c r="C893" s="12" t="s">
        <v>1465</v>
      </c>
      <c r="D893" s="13" t="n">
        <v>0.0108798611111111</v>
      </c>
      <c r="E893" s="14" t="n">
        <v>888</v>
      </c>
      <c r="F893" s="15" t="n">
        <f aca="false">IF(D893="","",ROUND((D893-MIN($D$7:$D$9999))*86400,2))</f>
        <v>150.28</v>
      </c>
      <c r="G893" s="10" t="str">
        <f aca="false">IF(D893="","",IF(D893&lt;=($E$3*60+$F$3)/86400,"○",""))</f>
        <v/>
      </c>
      <c r="H893" s="16"/>
      <c r="I893" s="17"/>
      <c r="J893" s="16"/>
      <c r="K893" s="17"/>
      <c r="L893" s="17" t="n">
        <f aca="false">COUNT(E893,I893,K893)</f>
        <v>1</v>
      </c>
      <c r="M893" s="18" t="n">
        <f aca="false">(D893&lt;&gt;"")*(D893&lt;=($E$3*60+$F$3)/86400)+(H893&lt;&gt;"")*(H893&lt;=($I$3*60+$J$3)/86400)+(J893&lt;&gt;"")*(J893&lt;=($M$3*60+$N$3)/86400)</f>
        <v>0</v>
      </c>
      <c r="N893" s="20"/>
      <c r="O893" s="20"/>
      <c r="P893" s="20"/>
      <c r="Q893" s="19"/>
    </row>
    <row r="894" customFormat="false" ht="15" hidden="false" customHeight="false" outlineLevel="0" collapsed="false">
      <c r="A894" s="10" t="n">
        <v>888</v>
      </c>
      <c r="B894" s="11" t="s">
        <v>1466</v>
      </c>
      <c r="C894" s="12" t="s">
        <v>629</v>
      </c>
      <c r="D894" s="13" t="n">
        <v>0.0108800925925926</v>
      </c>
      <c r="E894" s="14" t="n">
        <v>889</v>
      </c>
      <c r="F894" s="15" t="n">
        <f aca="false">IF(D894="","",ROUND((D894-MIN($D$7:$D$9999))*86400,2))</f>
        <v>150.3</v>
      </c>
      <c r="G894" s="10" t="str">
        <f aca="false">IF(D894="","",IF(D894&lt;=($E$3*60+$F$3)/86400,"○",""))</f>
        <v/>
      </c>
      <c r="H894" s="16"/>
      <c r="I894" s="17"/>
      <c r="J894" s="16"/>
      <c r="K894" s="17"/>
      <c r="L894" s="17" t="n">
        <f aca="false">COUNT(E894,I894,K894)</f>
        <v>1</v>
      </c>
      <c r="M894" s="18" t="n">
        <f aca="false">(D894&lt;&gt;"")*(D894&lt;=($E$3*60+$F$3)/86400)+(H894&lt;&gt;"")*(H894&lt;=($I$3*60+$J$3)/86400)+(J894&lt;&gt;"")*(J894&lt;=($M$3*60+$N$3)/86400)</f>
        <v>0</v>
      </c>
      <c r="N894" s="20"/>
      <c r="O894" s="20"/>
      <c r="P894" s="20"/>
      <c r="Q894" s="19"/>
    </row>
    <row r="895" customFormat="false" ht="15" hidden="false" customHeight="false" outlineLevel="0" collapsed="false">
      <c r="A895" s="10" t="n">
        <v>889</v>
      </c>
      <c r="B895" s="11" t="s">
        <v>1467</v>
      </c>
      <c r="C895" s="12" t="s">
        <v>127</v>
      </c>
      <c r="D895" s="13" t="n">
        <v>0.0108803240740741</v>
      </c>
      <c r="E895" s="14" t="n">
        <v>890</v>
      </c>
      <c r="F895" s="15" t="n">
        <f aca="false">IF(D895="","",ROUND((D895-MIN($D$7:$D$9999))*86400,2))</f>
        <v>150.32</v>
      </c>
      <c r="G895" s="10" t="str">
        <f aca="false">IF(D895="","",IF(D895&lt;=($E$3*60+$F$3)/86400,"○",""))</f>
        <v/>
      </c>
      <c r="H895" s="16"/>
      <c r="I895" s="17"/>
      <c r="J895" s="16"/>
      <c r="K895" s="17"/>
      <c r="L895" s="17" t="n">
        <f aca="false">COUNT(E895,I895,K895)</f>
        <v>1</v>
      </c>
      <c r="M895" s="18" t="n">
        <f aca="false">(D895&lt;&gt;"")*(D895&lt;=($E$3*60+$F$3)/86400)+(H895&lt;&gt;"")*(H895&lt;=($I$3*60+$J$3)/86400)+(J895&lt;&gt;"")*(J895&lt;=($M$3*60+$N$3)/86400)</f>
        <v>0</v>
      </c>
      <c r="N895" s="20"/>
      <c r="O895" s="20"/>
      <c r="P895" s="20"/>
      <c r="Q895" s="19"/>
    </row>
    <row r="896" customFormat="false" ht="15" hidden="false" customHeight="false" outlineLevel="0" collapsed="false">
      <c r="A896" s="10" t="n">
        <v>890</v>
      </c>
      <c r="B896" s="11" t="s">
        <v>1468</v>
      </c>
      <c r="C896" s="12" t="s">
        <v>1469</v>
      </c>
      <c r="D896" s="13" t="n">
        <v>0.0108811342592593</v>
      </c>
      <c r="E896" s="14" t="n">
        <v>891</v>
      </c>
      <c r="F896" s="15" t="n">
        <f aca="false">IF(D896="","",ROUND((D896-MIN($D$7:$D$9999))*86400,2))</f>
        <v>150.39</v>
      </c>
      <c r="G896" s="10" t="str">
        <f aca="false">IF(D896="","",IF(D896&lt;=($E$3*60+$F$3)/86400,"○",""))</f>
        <v/>
      </c>
      <c r="H896" s="16"/>
      <c r="I896" s="17"/>
      <c r="J896" s="16" t="n">
        <v>0.00283472222222222</v>
      </c>
      <c r="K896" s="17" t="n">
        <v>457</v>
      </c>
      <c r="L896" s="17" t="n">
        <f aca="false">COUNT(E896,I896,K896)</f>
        <v>2</v>
      </c>
      <c r="M896" s="18" t="n">
        <f aca="false">(D896&lt;&gt;"")*(D896&lt;=($E$3*60+$F$3)/86400)+(H896&lt;&gt;"")*(H896&lt;=($I$3*60+$J$3)/86400)+(J896&lt;&gt;"")*(J896&lt;=($M$3*60+$N$3)/86400)</f>
        <v>0</v>
      </c>
      <c r="N896" s="20"/>
      <c r="O896" s="20"/>
      <c r="P896" s="20"/>
      <c r="Q896" s="19"/>
    </row>
    <row r="897" customFormat="false" ht="15" hidden="false" customHeight="false" outlineLevel="0" collapsed="false">
      <c r="A897" s="10" t="n">
        <v>891</v>
      </c>
      <c r="B897" s="11" t="s">
        <v>1470</v>
      </c>
      <c r="C897" s="12" t="s">
        <v>67</v>
      </c>
      <c r="D897" s="13" t="n">
        <v>0.01088125</v>
      </c>
      <c r="E897" s="14" t="n">
        <v>892</v>
      </c>
      <c r="F897" s="15" t="n">
        <f aca="false">IF(D897="","",ROUND((D897-MIN($D$7:$D$9999))*86400,2))</f>
        <v>150.4</v>
      </c>
      <c r="G897" s="10" t="str">
        <f aca="false">IF(D897="","",IF(D897&lt;=($E$3*60+$F$3)/86400,"○",""))</f>
        <v/>
      </c>
      <c r="H897" s="16"/>
      <c r="I897" s="17"/>
      <c r="J897" s="16" t="n">
        <v>0.00290358796296296</v>
      </c>
      <c r="K897" s="17" t="n">
        <v>976</v>
      </c>
      <c r="L897" s="17" t="n">
        <f aca="false">COUNT(E897,I897,K897)</f>
        <v>2</v>
      </c>
      <c r="M897" s="18" t="n">
        <f aca="false">(D897&lt;&gt;"")*(D897&lt;=($E$3*60+$F$3)/86400)+(H897&lt;&gt;"")*(H897&lt;=($I$3*60+$J$3)/86400)+(J897&lt;&gt;"")*(J897&lt;=($M$3*60+$N$3)/86400)</f>
        <v>0</v>
      </c>
      <c r="N897" s="20"/>
      <c r="O897" s="20"/>
      <c r="P897" s="20"/>
      <c r="Q897" s="19"/>
    </row>
    <row r="898" customFormat="false" ht="15" hidden="false" customHeight="false" outlineLevel="0" collapsed="false">
      <c r="A898" s="10" t="n">
        <v>892</v>
      </c>
      <c r="B898" s="11" t="s">
        <v>1471</v>
      </c>
      <c r="C898" s="12" t="s">
        <v>1199</v>
      </c>
      <c r="D898" s="13" t="n">
        <v>0.0108825231481482</v>
      </c>
      <c r="E898" s="14" t="n">
        <v>893</v>
      </c>
      <c r="F898" s="15" t="n">
        <f aca="false">IF(D898="","",ROUND((D898-MIN($D$7:$D$9999))*86400,2))</f>
        <v>150.51</v>
      </c>
      <c r="G898" s="10" t="str">
        <f aca="false">IF(D898="","",IF(D898&lt;=($E$3*60+$F$3)/86400,"○",""))</f>
        <v/>
      </c>
      <c r="H898" s="16"/>
      <c r="I898" s="17"/>
      <c r="J898" s="16"/>
      <c r="K898" s="17"/>
      <c r="L898" s="17" t="n">
        <f aca="false">COUNT(E898,I898,K898)</f>
        <v>1</v>
      </c>
      <c r="M898" s="18" t="n">
        <f aca="false">(D898&lt;&gt;"")*(D898&lt;=($E$3*60+$F$3)/86400)+(H898&lt;&gt;"")*(H898&lt;=($I$3*60+$J$3)/86400)+(J898&lt;&gt;"")*(J898&lt;=($M$3*60+$N$3)/86400)</f>
        <v>0</v>
      </c>
      <c r="N898" s="20"/>
      <c r="O898" s="20"/>
      <c r="P898" s="20"/>
      <c r="Q898" s="19"/>
    </row>
    <row r="899" customFormat="false" ht="15" hidden="false" customHeight="false" outlineLevel="0" collapsed="false">
      <c r="A899" s="10" t="n">
        <v>893</v>
      </c>
      <c r="B899" s="11" t="s">
        <v>1472</v>
      </c>
      <c r="C899" s="12" t="s">
        <v>32</v>
      </c>
      <c r="D899" s="13" t="n">
        <v>0.0108827546296296</v>
      </c>
      <c r="E899" s="14" t="n">
        <v>894</v>
      </c>
      <c r="F899" s="15" t="n">
        <f aca="false">IF(D899="","",ROUND((D899-MIN($D$7:$D$9999))*86400,2))</f>
        <v>150.53</v>
      </c>
      <c r="G899" s="10" t="str">
        <f aca="false">IF(D899="","",IF(D899&lt;=($E$3*60+$F$3)/86400,"○",""))</f>
        <v/>
      </c>
      <c r="H899" s="16"/>
      <c r="I899" s="17"/>
      <c r="J899" s="16" t="n">
        <v>0.00284027777777778</v>
      </c>
      <c r="K899" s="17" t="n">
        <v>500</v>
      </c>
      <c r="L899" s="17" t="n">
        <f aca="false">COUNT(E899,I899,K899)</f>
        <v>2</v>
      </c>
      <c r="M899" s="18" t="n">
        <f aca="false">(D899&lt;&gt;"")*(D899&lt;=($E$3*60+$F$3)/86400)+(H899&lt;&gt;"")*(H899&lt;=($I$3*60+$J$3)/86400)+(J899&lt;&gt;"")*(J899&lt;=($M$3*60+$N$3)/86400)</f>
        <v>0</v>
      </c>
      <c r="N899" s="20"/>
      <c r="O899" s="20"/>
      <c r="P899" s="20"/>
      <c r="Q899" s="19"/>
    </row>
    <row r="900" customFormat="false" ht="15" hidden="false" customHeight="false" outlineLevel="0" collapsed="false">
      <c r="A900" s="10" t="n">
        <v>894</v>
      </c>
      <c r="B900" s="11" t="s">
        <v>1473</v>
      </c>
      <c r="C900" s="12" t="s">
        <v>143</v>
      </c>
      <c r="D900" s="13" t="n">
        <v>0.0108827546296296</v>
      </c>
      <c r="E900" s="14" t="n">
        <v>895</v>
      </c>
      <c r="F900" s="15" t="n">
        <f aca="false">IF(D900="","",ROUND((D900-MIN($D$7:$D$9999))*86400,2))</f>
        <v>150.53</v>
      </c>
      <c r="G900" s="10" t="str">
        <f aca="false">IF(D900="","",IF(D900&lt;=($E$3*60+$F$3)/86400,"○",""))</f>
        <v/>
      </c>
      <c r="H900" s="16"/>
      <c r="I900" s="17"/>
      <c r="J900" s="16"/>
      <c r="K900" s="17"/>
      <c r="L900" s="17" t="n">
        <f aca="false">COUNT(E900,I900,K900)</f>
        <v>1</v>
      </c>
      <c r="M900" s="18" t="n">
        <f aca="false">(D900&lt;&gt;"")*(D900&lt;=($E$3*60+$F$3)/86400)+(H900&lt;&gt;"")*(H900&lt;=($I$3*60+$J$3)/86400)+(J900&lt;&gt;"")*(J900&lt;=($M$3*60+$N$3)/86400)</f>
        <v>0</v>
      </c>
      <c r="N900" s="20"/>
      <c r="O900" s="20"/>
      <c r="P900" s="20"/>
      <c r="Q900" s="19"/>
    </row>
    <row r="901" customFormat="false" ht="15" hidden="false" customHeight="false" outlineLevel="0" collapsed="false">
      <c r="A901" s="10" t="n">
        <v>895</v>
      </c>
      <c r="B901" s="11" t="s">
        <v>1474</v>
      </c>
      <c r="C901" s="12" t="s">
        <v>1315</v>
      </c>
      <c r="D901" s="13" t="n">
        <v>0.0108831018518519</v>
      </c>
      <c r="E901" s="14" t="n">
        <v>896</v>
      </c>
      <c r="F901" s="15" t="n">
        <f aca="false">IF(D901="","",ROUND((D901-MIN($D$7:$D$9999))*86400,2))</f>
        <v>150.56</v>
      </c>
      <c r="G901" s="10" t="str">
        <f aca="false">IF(D901="","",IF(D901&lt;=($E$3*60+$F$3)/86400,"○",""))</f>
        <v/>
      </c>
      <c r="H901" s="16"/>
      <c r="I901" s="17"/>
      <c r="J901" s="16" t="n">
        <v>0.0029318287037037</v>
      </c>
      <c r="K901" s="17" t="n">
        <v>1178</v>
      </c>
      <c r="L901" s="17" t="n">
        <f aca="false">COUNT(E901,I901,K901)</f>
        <v>2</v>
      </c>
      <c r="M901" s="18" t="n">
        <f aca="false">(D901&lt;&gt;"")*(D901&lt;=($E$3*60+$F$3)/86400)+(H901&lt;&gt;"")*(H901&lt;=($I$3*60+$J$3)/86400)+(J901&lt;&gt;"")*(J901&lt;=($M$3*60+$N$3)/86400)</f>
        <v>0</v>
      </c>
      <c r="N901" s="20"/>
      <c r="O901" s="20"/>
      <c r="P901" s="20"/>
      <c r="Q901" s="19"/>
    </row>
    <row r="902" customFormat="false" ht="15" hidden="false" customHeight="false" outlineLevel="0" collapsed="false">
      <c r="A902" s="10" t="n">
        <v>896</v>
      </c>
      <c r="B902" s="11" t="s">
        <v>1475</v>
      </c>
      <c r="C902" s="12" t="s">
        <v>1476</v>
      </c>
      <c r="D902" s="13" t="n">
        <v>0.0108834490740741</v>
      </c>
      <c r="E902" s="14" t="n">
        <v>897</v>
      </c>
      <c r="F902" s="15" t="n">
        <f aca="false">IF(D902="","",ROUND((D902-MIN($D$7:$D$9999))*86400,2))</f>
        <v>150.59</v>
      </c>
      <c r="G902" s="10" t="str">
        <f aca="false">IF(D902="","",IF(D902&lt;=($E$3*60+$F$3)/86400,"○",""))</f>
        <v/>
      </c>
      <c r="H902" s="16"/>
      <c r="I902" s="17"/>
      <c r="J902" s="16" t="n">
        <v>0.00288657407407407</v>
      </c>
      <c r="K902" s="17" t="n">
        <v>828</v>
      </c>
      <c r="L902" s="17" t="n">
        <f aca="false">COUNT(E902,I902,K902)</f>
        <v>2</v>
      </c>
      <c r="M902" s="18" t="n">
        <f aca="false">(D902&lt;&gt;"")*(D902&lt;=($E$3*60+$F$3)/86400)+(H902&lt;&gt;"")*(H902&lt;=($I$3*60+$J$3)/86400)+(J902&lt;&gt;"")*(J902&lt;=($M$3*60+$N$3)/86400)</f>
        <v>0</v>
      </c>
      <c r="N902" s="20"/>
      <c r="O902" s="20" t="s">
        <v>1477</v>
      </c>
      <c r="P902" s="20"/>
      <c r="Q902" s="19"/>
    </row>
    <row r="903" customFormat="false" ht="15" hidden="false" customHeight="false" outlineLevel="0" collapsed="false">
      <c r="A903" s="10" t="n">
        <v>897</v>
      </c>
      <c r="B903" s="11" t="s">
        <v>1478</v>
      </c>
      <c r="C903" s="12" t="s">
        <v>503</v>
      </c>
      <c r="D903" s="13" t="n">
        <v>0.0108835648148148</v>
      </c>
      <c r="E903" s="14" t="n">
        <v>898</v>
      </c>
      <c r="F903" s="15" t="n">
        <f aca="false">IF(D903="","",ROUND((D903-MIN($D$7:$D$9999))*86400,2))</f>
        <v>150.6</v>
      </c>
      <c r="G903" s="10" t="str">
        <f aca="false">IF(D903="","",IF(D903&lt;=($E$3*60+$F$3)/86400,"○",""))</f>
        <v/>
      </c>
      <c r="H903" s="16"/>
      <c r="I903" s="17"/>
      <c r="J903" s="16"/>
      <c r="K903" s="17"/>
      <c r="L903" s="17" t="n">
        <f aca="false">COUNT(E903,I903,K903)</f>
        <v>1</v>
      </c>
      <c r="M903" s="18" t="n">
        <f aca="false">(D903&lt;&gt;"")*(D903&lt;=($E$3*60+$F$3)/86400)+(H903&lt;&gt;"")*(H903&lt;=($I$3*60+$J$3)/86400)+(J903&lt;&gt;"")*(J903&lt;=($M$3*60+$N$3)/86400)</f>
        <v>0</v>
      </c>
      <c r="N903" s="20"/>
      <c r="O903" s="20"/>
      <c r="P903" s="20"/>
      <c r="Q903" s="19"/>
    </row>
    <row r="904" customFormat="false" ht="15" hidden="false" customHeight="false" outlineLevel="0" collapsed="false">
      <c r="A904" s="10" t="n">
        <v>898</v>
      </c>
      <c r="B904" s="11" t="s">
        <v>1479</v>
      </c>
      <c r="C904" s="12" t="s">
        <v>96</v>
      </c>
      <c r="D904" s="13" t="n">
        <v>0.0108835648148148</v>
      </c>
      <c r="E904" s="14" t="n">
        <v>899</v>
      </c>
      <c r="F904" s="15" t="n">
        <f aca="false">IF(D904="","",ROUND((D904-MIN($D$7:$D$9999))*86400,2))</f>
        <v>150.6</v>
      </c>
      <c r="G904" s="10" t="str">
        <f aca="false">IF(D904="","",IF(D904&lt;=($E$3*60+$F$3)/86400,"○",""))</f>
        <v/>
      </c>
      <c r="H904" s="16" t="n">
        <v>0.00708460648148148</v>
      </c>
      <c r="I904" s="17" t="n">
        <v>432</v>
      </c>
      <c r="J904" s="16" t="n">
        <v>0.00284363425925926</v>
      </c>
      <c r="K904" s="17" t="n">
        <v>521</v>
      </c>
      <c r="L904" s="17" t="n">
        <f aca="false">COUNT(E904,I904,K904)</f>
        <v>3</v>
      </c>
      <c r="M904" s="18" t="n">
        <f aca="false">(D904&lt;&gt;"")*(D904&lt;=($E$3*60+$F$3)/86400)+(H904&lt;&gt;"")*(H904&lt;=($I$3*60+$J$3)/86400)+(J904&lt;&gt;"")*(J904&lt;=($M$3*60+$N$3)/86400)</f>
        <v>0</v>
      </c>
      <c r="N904" s="20"/>
      <c r="O904" s="20" t="s">
        <v>1480</v>
      </c>
      <c r="P904" s="20"/>
      <c r="Q904" s="19"/>
    </row>
    <row r="905" customFormat="false" ht="15" hidden="false" customHeight="false" outlineLevel="0" collapsed="false">
      <c r="A905" s="10" t="n">
        <v>899</v>
      </c>
      <c r="B905" s="11" t="s">
        <v>1481</v>
      </c>
      <c r="C905" s="12" t="s">
        <v>1482</v>
      </c>
      <c r="D905" s="13" t="n">
        <v>0.0108844907407407</v>
      </c>
      <c r="E905" s="14" t="n">
        <v>900</v>
      </c>
      <c r="F905" s="15" t="n">
        <f aca="false">IF(D905="","",ROUND((D905-MIN($D$7:$D$9999))*86400,2))</f>
        <v>150.68</v>
      </c>
      <c r="G905" s="10" t="str">
        <f aca="false">IF(D905="","",IF(D905&lt;=($E$3*60+$F$3)/86400,"○",""))</f>
        <v/>
      </c>
      <c r="H905" s="16"/>
      <c r="I905" s="17"/>
      <c r="J905" s="16" t="n">
        <v>0.00278506944444444</v>
      </c>
      <c r="K905" s="17" t="n">
        <v>219</v>
      </c>
      <c r="L905" s="17" t="n">
        <f aca="false">COUNT(E905,I905,K905)</f>
        <v>2</v>
      </c>
      <c r="M905" s="18" t="n">
        <f aca="false">(D905&lt;&gt;"")*(D905&lt;=($E$3*60+$F$3)/86400)+(H905&lt;&gt;"")*(H905&lt;=($I$3*60+$J$3)/86400)+(J905&lt;&gt;"")*(J905&lt;=($M$3*60+$N$3)/86400)</f>
        <v>0</v>
      </c>
      <c r="N905" s="20"/>
      <c r="O905" s="20"/>
      <c r="P905" s="20"/>
      <c r="Q905" s="19"/>
    </row>
    <row r="906" customFormat="false" ht="15" hidden="false" customHeight="false" outlineLevel="0" collapsed="false">
      <c r="A906" s="10" t="n">
        <v>900</v>
      </c>
      <c r="B906" s="11" t="s">
        <v>1483</v>
      </c>
      <c r="C906" s="12" t="s">
        <v>711</v>
      </c>
      <c r="D906" s="13" t="n">
        <v>0.0108858796296296</v>
      </c>
      <c r="E906" s="14" t="n">
        <v>901</v>
      </c>
      <c r="F906" s="15" t="n">
        <f aca="false">IF(D906="","",ROUND((D906-MIN($D$7:$D$9999))*86400,2))</f>
        <v>150.8</v>
      </c>
      <c r="G906" s="10" t="str">
        <f aca="false">IF(D906="","",IF(D906&lt;=($E$3*60+$F$3)/86400,"○",""))</f>
        <v/>
      </c>
      <c r="H906" s="16"/>
      <c r="I906" s="17"/>
      <c r="J906" s="16"/>
      <c r="K906" s="17"/>
      <c r="L906" s="17" t="n">
        <f aca="false">COUNT(E906,I906,K906)</f>
        <v>1</v>
      </c>
      <c r="M906" s="18" t="n">
        <f aca="false">(D906&lt;&gt;"")*(D906&lt;=($E$3*60+$F$3)/86400)+(H906&lt;&gt;"")*(H906&lt;=($I$3*60+$J$3)/86400)+(J906&lt;&gt;"")*(J906&lt;=($M$3*60+$N$3)/86400)</f>
        <v>0</v>
      </c>
      <c r="N906" s="20"/>
      <c r="O906" s="20"/>
      <c r="P906" s="20"/>
      <c r="Q906" s="19"/>
    </row>
    <row r="907" customFormat="false" ht="15" hidden="false" customHeight="false" outlineLevel="0" collapsed="false">
      <c r="A907" s="10" t="n">
        <v>901</v>
      </c>
      <c r="B907" s="11" t="s">
        <v>1484</v>
      </c>
      <c r="C907" s="12" t="s">
        <v>711</v>
      </c>
      <c r="D907" s="13" t="n">
        <v>0.0108868055555556</v>
      </c>
      <c r="E907" s="14" t="n">
        <v>902</v>
      </c>
      <c r="F907" s="15" t="n">
        <f aca="false">IF(D907="","",ROUND((D907-MIN($D$7:$D$9999))*86400,2))</f>
        <v>150.88</v>
      </c>
      <c r="G907" s="10" t="str">
        <f aca="false">IF(D907="","",IF(D907&lt;=($E$3*60+$F$3)/86400,"○",""))</f>
        <v/>
      </c>
      <c r="H907" s="16"/>
      <c r="I907" s="17"/>
      <c r="J907" s="16" t="n">
        <v>0.00284085648148148</v>
      </c>
      <c r="K907" s="17" t="n">
        <v>504</v>
      </c>
      <c r="L907" s="17" t="n">
        <f aca="false">COUNT(E907,I907,K907)</f>
        <v>2</v>
      </c>
      <c r="M907" s="18" t="n">
        <f aca="false">(D907&lt;&gt;"")*(D907&lt;=($E$3*60+$F$3)/86400)+(H907&lt;&gt;"")*(H907&lt;=($I$3*60+$J$3)/86400)+(J907&lt;&gt;"")*(J907&lt;=($M$3*60+$N$3)/86400)</f>
        <v>0</v>
      </c>
      <c r="N907" s="20"/>
      <c r="O907" s="20"/>
      <c r="P907" s="20"/>
      <c r="Q907" s="19"/>
    </row>
    <row r="908" customFormat="false" ht="15" hidden="false" customHeight="false" outlineLevel="0" collapsed="false">
      <c r="A908" s="10" t="n">
        <v>902</v>
      </c>
      <c r="B908" s="11" t="s">
        <v>1485</v>
      </c>
      <c r="C908" s="12" t="s">
        <v>127</v>
      </c>
      <c r="D908" s="13" t="n">
        <v>0.0108875</v>
      </c>
      <c r="E908" s="14" t="n">
        <v>903</v>
      </c>
      <c r="F908" s="15" t="n">
        <f aca="false">IF(D908="","",ROUND((D908-MIN($D$7:$D$9999))*86400,2))</f>
        <v>150.94</v>
      </c>
      <c r="G908" s="10" t="str">
        <f aca="false">IF(D908="","",IF(D908&lt;=($E$3*60+$F$3)/86400,"○",""))</f>
        <v/>
      </c>
      <c r="H908" s="16"/>
      <c r="I908" s="17"/>
      <c r="J908" s="16"/>
      <c r="K908" s="17"/>
      <c r="L908" s="17" t="n">
        <f aca="false">COUNT(E908,I908,K908)</f>
        <v>1</v>
      </c>
      <c r="M908" s="18" t="n">
        <f aca="false">(D908&lt;&gt;"")*(D908&lt;=($E$3*60+$F$3)/86400)+(H908&lt;&gt;"")*(H908&lt;=($I$3*60+$J$3)/86400)+(J908&lt;&gt;"")*(J908&lt;=($M$3*60+$N$3)/86400)</f>
        <v>0</v>
      </c>
      <c r="N908" s="20"/>
      <c r="O908" s="20"/>
      <c r="P908" s="20"/>
      <c r="Q908" s="19"/>
    </row>
    <row r="909" customFormat="false" ht="15" hidden="false" customHeight="false" outlineLevel="0" collapsed="false">
      <c r="A909" s="10" t="n">
        <v>903</v>
      </c>
      <c r="B909" s="11" t="s">
        <v>1486</v>
      </c>
      <c r="C909" s="12" t="s">
        <v>186</v>
      </c>
      <c r="D909" s="13" t="n">
        <v>0.0108903935185185</v>
      </c>
      <c r="E909" s="14" t="n">
        <v>904</v>
      </c>
      <c r="F909" s="15" t="n">
        <f aca="false">IF(D909="","",ROUND((D909-MIN($D$7:$D$9999))*86400,2))</f>
        <v>151.19</v>
      </c>
      <c r="G909" s="10" t="str">
        <f aca="false">IF(D909="","",IF(D909&lt;=($E$3*60+$F$3)/86400,"○",""))</f>
        <v/>
      </c>
      <c r="H909" s="16"/>
      <c r="I909" s="17"/>
      <c r="J909" s="16" t="n">
        <v>0.0028119212962963</v>
      </c>
      <c r="K909" s="17" t="n">
        <v>328</v>
      </c>
      <c r="L909" s="17" t="n">
        <f aca="false">COUNT(E909,I909,K909)</f>
        <v>2</v>
      </c>
      <c r="M909" s="18" t="n">
        <f aca="false">(D909&lt;&gt;"")*(D909&lt;=($E$3*60+$F$3)/86400)+(H909&lt;&gt;"")*(H909&lt;=($I$3*60+$J$3)/86400)+(J909&lt;&gt;"")*(J909&lt;=($M$3*60+$N$3)/86400)</f>
        <v>0</v>
      </c>
      <c r="N909" s="20"/>
      <c r="O909" s="20"/>
      <c r="P909" s="20"/>
      <c r="Q909" s="19"/>
    </row>
    <row r="910" customFormat="false" ht="15" hidden="false" customHeight="false" outlineLevel="0" collapsed="false">
      <c r="A910" s="10" t="n">
        <v>904</v>
      </c>
      <c r="B910" s="11" t="s">
        <v>1487</v>
      </c>
      <c r="C910" s="12" t="s">
        <v>155</v>
      </c>
      <c r="D910" s="13" t="n">
        <v>0.0108908564814815</v>
      </c>
      <c r="E910" s="14" t="n">
        <v>905</v>
      </c>
      <c r="F910" s="15" t="n">
        <f aca="false">IF(D910="","",ROUND((D910-MIN($D$7:$D$9999))*86400,2))</f>
        <v>151.23</v>
      </c>
      <c r="G910" s="10" t="str">
        <f aca="false">IF(D910="","",IF(D910&lt;=($E$3*60+$F$3)/86400,"○",""))</f>
        <v/>
      </c>
      <c r="H910" s="16"/>
      <c r="I910" s="17"/>
      <c r="J910" s="16" t="n">
        <v>0.00297569444444445</v>
      </c>
      <c r="K910" s="17" t="n">
        <v>1332</v>
      </c>
      <c r="L910" s="17" t="n">
        <f aca="false">COUNT(E910,I910,K910)</f>
        <v>2</v>
      </c>
      <c r="M910" s="18" t="n">
        <f aca="false">(D910&lt;&gt;"")*(D910&lt;=($E$3*60+$F$3)/86400)+(H910&lt;&gt;"")*(H910&lt;=($I$3*60+$J$3)/86400)+(J910&lt;&gt;"")*(J910&lt;=($M$3*60+$N$3)/86400)</f>
        <v>0</v>
      </c>
      <c r="N910" s="20"/>
      <c r="O910" s="20"/>
      <c r="P910" s="20"/>
      <c r="Q910" s="19"/>
    </row>
    <row r="911" customFormat="false" ht="15" hidden="false" customHeight="false" outlineLevel="0" collapsed="false">
      <c r="A911" s="10" t="n">
        <v>905</v>
      </c>
      <c r="B911" s="11" t="s">
        <v>1488</v>
      </c>
      <c r="C911" s="12" t="s">
        <v>819</v>
      </c>
      <c r="D911" s="13" t="n">
        <v>0.0108916666666667</v>
      </c>
      <c r="E911" s="14" t="n">
        <v>906</v>
      </c>
      <c r="F911" s="15" t="n">
        <f aca="false">IF(D911="","",ROUND((D911-MIN($D$7:$D$9999))*86400,2))</f>
        <v>151.3</v>
      </c>
      <c r="G911" s="10" t="str">
        <f aca="false">IF(D911="","",IF(D911&lt;=($E$3*60+$F$3)/86400,"○",""))</f>
        <v/>
      </c>
      <c r="H911" s="16"/>
      <c r="I911" s="17"/>
      <c r="J911" s="16" t="n">
        <v>0.0028349537037037</v>
      </c>
      <c r="K911" s="17" t="n">
        <v>460</v>
      </c>
      <c r="L911" s="17" t="n">
        <f aca="false">COUNT(E911,I911,K911)</f>
        <v>2</v>
      </c>
      <c r="M911" s="18" t="n">
        <f aca="false">(D911&lt;&gt;"")*(D911&lt;=($E$3*60+$F$3)/86400)+(H911&lt;&gt;"")*(H911&lt;=($I$3*60+$J$3)/86400)+(J911&lt;&gt;"")*(J911&lt;=($M$3*60+$N$3)/86400)</f>
        <v>0</v>
      </c>
      <c r="N911" s="20" t="s">
        <v>1489</v>
      </c>
      <c r="O911" s="20"/>
      <c r="P911" s="20"/>
      <c r="Q911" s="19"/>
    </row>
    <row r="912" customFormat="false" ht="15" hidden="false" customHeight="false" outlineLevel="0" collapsed="false">
      <c r="A912" s="10" t="n">
        <v>906</v>
      </c>
      <c r="B912" s="11" t="s">
        <v>1490</v>
      </c>
      <c r="C912" s="12" t="s">
        <v>1491</v>
      </c>
      <c r="D912" s="13" t="n">
        <v>0.0108923611111111</v>
      </c>
      <c r="E912" s="14" t="n">
        <v>907</v>
      </c>
      <c r="F912" s="15" t="n">
        <f aca="false">IF(D912="","",ROUND((D912-MIN($D$7:$D$9999))*86400,2))</f>
        <v>151.36</v>
      </c>
      <c r="G912" s="10" t="str">
        <f aca="false">IF(D912="","",IF(D912&lt;=($E$3*60+$F$3)/86400,"○",""))</f>
        <v/>
      </c>
      <c r="H912" s="16"/>
      <c r="I912" s="17"/>
      <c r="J912" s="16" t="n">
        <v>0.00270081018518519</v>
      </c>
      <c r="K912" s="17" t="n">
        <v>26</v>
      </c>
      <c r="L912" s="17" t="n">
        <f aca="false">COUNT(E912,I912,K912)</f>
        <v>2</v>
      </c>
      <c r="M912" s="18" t="n">
        <f aca="false">(D912&lt;&gt;"")*(D912&lt;=($E$3*60+$F$3)/86400)+(H912&lt;&gt;"")*(H912&lt;=($I$3*60+$J$3)/86400)+(J912&lt;&gt;"")*(J912&lt;=($M$3*60+$N$3)/86400)</f>
        <v>1</v>
      </c>
      <c r="N912" s="20"/>
      <c r="O912" s="20"/>
      <c r="P912" s="20"/>
      <c r="Q912" s="19"/>
    </row>
    <row r="913" customFormat="false" ht="15" hidden="false" customHeight="false" outlineLevel="0" collapsed="false">
      <c r="A913" s="10" t="n">
        <v>907</v>
      </c>
      <c r="B913" s="11" t="s">
        <v>1492</v>
      </c>
      <c r="C913" s="12" t="s">
        <v>695</v>
      </c>
      <c r="D913" s="13" t="n">
        <v>0.010893287037037</v>
      </c>
      <c r="E913" s="14" t="n">
        <v>908</v>
      </c>
      <c r="F913" s="15" t="n">
        <f aca="false">IF(D913="","",ROUND((D913-MIN($D$7:$D$9999))*86400,2))</f>
        <v>151.44</v>
      </c>
      <c r="G913" s="10" t="str">
        <f aca="false">IF(D913="","",IF(D913&lt;=($E$3*60+$F$3)/86400,"○",""))</f>
        <v/>
      </c>
      <c r="H913" s="16"/>
      <c r="I913" s="17"/>
      <c r="J913" s="16" t="n">
        <v>0.00270462962962963</v>
      </c>
      <c r="K913" s="17" t="n">
        <v>28</v>
      </c>
      <c r="L913" s="17" t="n">
        <f aca="false">COUNT(E913,I913,K913)</f>
        <v>2</v>
      </c>
      <c r="M913" s="18" t="n">
        <f aca="false">(D913&lt;&gt;"")*(D913&lt;=($E$3*60+$F$3)/86400)+(H913&lt;&gt;"")*(H913&lt;=($I$3*60+$J$3)/86400)+(J913&lt;&gt;"")*(J913&lt;=($M$3*60+$N$3)/86400)</f>
        <v>1</v>
      </c>
      <c r="N913" s="20"/>
      <c r="O913" s="20"/>
      <c r="P913" s="20"/>
      <c r="Q913" s="19"/>
    </row>
    <row r="914" customFormat="false" ht="15" hidden="false" customHeight="false" outlineLevel="0" collapsed="false">
      <c r="A914" s="10" t="n">
        <v>908</v>
      </c>
      <c r="B914" s="11" t="s">
        <v>1493</v>
      </c>
      <c r="C914" s="12" t="s">
        <v>1494</v>
      </c>
      <c r="D914" s="13" t="n">
        <v>0.0108936342592593</v>
      </c>
      <c r="E914" s="14" t="n">
        <v>909</v>
      </c>
      <c r="F914" s="15" t="n">
        <f aca="false">IF(D914="","",ROUND((D914-MIN($D$7:$D$9999))*86400,2))</f>
        <v>151.47</v>
      </c>
      <c r="G914" s="10" t="str">
        <f aca="false">IF(D914="","",IF(D914&lt;=($E$3*60+$F$3)/86400,"○",""))</f>
        <v/>
      </c>
      <c r="H914" s="16" t="n">
        <v>0.0066337962962963</v>
      </c>
      <c r="I914" s="17" t="n">
        <v>75</v>
      </c>
      <c r="J914" s="16"/>
      <c r="K914" s="17"/>
      <c r="L914" s="17" t="n">
        <f aca="false">COUNT(E914,I914,K914)</f>
        <v>2</v>
      </c>
      <c r="M914" s="18" t="n">
        <f aca="false">(D914&lt;&gt;"")*(D914&lt;=($E$3*60+$F$3)/86400)+(H914&lt;&gt;"")*(H914&lt;=($I$3*60+$J$3)/86400)+(J914&lt;&gt;"")*(J914&lt;=($M$3*60+$N$3)/86400)</f>
        <v>0</v>
      </c>
      <c r="N914" s="20"/>
      <c r="O914" s="20"/>
      <c r="P914" s="20"/>
      <c r="Q914" s="19"/>
    </row>
    <row r="915" customFormat="false" ht="15" hidden="false" customHeight="false" outlineLevel="0" collapsed="false">
      <c r="A915" s="10" t="n">
        <v>909</v>
      </c>
      <c r="B915" s="11" t="s">
        <v>1495</v>
      </c>
      <c r="C915" s="12" t="s">
        <v>1496</v>
      </c>
      <c r="D915" s="13" t="n">
        <v>0.0108947916666667</v>
      </c>
      <c r="E915" s="14" t="n">
        <v>910</v>
      </c>
      <c r="F915" s="15" t="n">
        <f aca="false">IF(D915="","",ROUND((D915-MIN($D$7:$D$9999))*86400,2))</f>
        <v>151.57</v>
      </c>
      <c r="G915" s="10" t="str">
        <f aca="false">IF(D915="","",IF(D915&lt;=($E$3*60+$F$3)/86400,"○",""))</f>
        <v/>
      </c>
      <c r="H915" s="16"/>
      <c r="I915" s="17"/>
      <c r="J915" s="16"/>
      <c r="K915" s="17"/>
      <c r="L915" s="17" t="n">
        <f aca="false">COUNT(E915,I915,K915)</f>
        <v>1</v>
      </c>
      <c r="M915" s="18" t="n">
        <f aca="false">(D915&lt;&gt;"")*(D915&lt;=($E$3*60+$F$3)/86400)+(H915&lt;&gt;"")*(H915&lt;=($I$3*60+$J$3)/86400)+(J915&lt;&gt;"")*(J915&lt;=($M$3*60+$N$3)/86400)</f>
        <v>0</v>
      </c>
      <c r="N915" s="20"/>
      <c r="O915" s="20"/>
      <c r="P915" s="20"/>
      <c r="Q915" s="19"/>
    </row>
    <row r="916" customFormat="false" ht="15" hidden="false" customHeight="false" outlineLevel="0" collapsed="false">
      <c r="A916" s="10" t="n">
        <v>910</v>
      </c>
      <c r="B916" s="11" t="s">
        <v>1497</v>
      </c>
      <c r="C916" s="12" t="s">
        <v>1094</v>
      </c>
      <c r="D916" s="13" t="n">
        <v>0.0108950231481482</v>
      </c>
      <c r="E916" s="14" t="n">
        <v>911</v>
      </c>
      <c r="F916" s="15" t="n">
        <f aca="false">IF(D916="","",ROUND((D916-MIN($D$7:$D$9999))*86400,2))</f>
        <v>151.59</v>
      </c>
      <c r="G916" s="10" t="str">
        <f aca="false">IF(D916="","",IF(D916&lt;=($E$3*60+$F$3)/86400,"○",""))</f>
        <v/>
      </c>
      <c r="H916" s="16"/>
      <c r="I916" s="17"/>
      <c r="J916" s="16" t="n">
        <v>0.00289201388888889</v>
      </c>
      <c r="K916" s="17" t="n">
        <v>887</v>
      </c>
      <c r="L916" s="17" t="n">
        <f aca="false">COUNT(E916,I916,K916)</f>
        <v>2</v>
      </c>
      <c r="M916" s="18" t="n">
        <f aca="false">(D916&lt;&gt;"")*(D916&lt;=($E$3*60+$F$3)/86400)+(H916&lt;&gt;"")*(H916&lt;=($I$3*60+$J$3)/86400)+(J916&lt;&gt;"")*(J916&lt;=($M$3*60+$N$3)/86400)</f>
        <v>0</v>
      </c>
      <c r="N916" s="20"/>
      <c r="O916" s="20"/>
      <c r="P916" s="20"/>
      <c r="Q916" s="19"/>
    </row>
    <row r="917" customFormat="false" ht="15" hidden="false" customHeight="false" outlineLevel="0" collapsed="false">
      <c r="A917" s="10" t="n">
        <v>911</v>
      </c>
      <c r="B917" s="11" t="s">
        <v>1498</v>
      </c>
      <c r="C917" s="12" t="s">
        <v>503</v>
      </c>
      <c r="D917" s="13" t="n">
        <v>0.0108951388888889</v>
      </c>
      <c r="E917" s="14" t="n">
        <v>912</v>
      </c>
      <c r="F917" s="15" t="n">
        <f aca="false">IF(D917="","",ROUND((D917-MIN($D$7:$D$9999))*86400,2))</f>
        <v>151.6</v>
      </c>
      <c r="G917" s="10" t="str">
        <f aca="false">IF(D917="","",IF(D917&lt;=($E$3*60+$F$3)/86400,"○",""))</f>
        <v/>
      </c>
      <c r="H917" s="16" t="n">
        <v>0.007521875</v>
      </c>
      <c r="I917" s="17" t="n">
        <v>923</v>
      </c>
      <c r="J917" s="16"/>
      <c r="K917" s="17"/>
      <c r="L917" s="17" t="n">
        <f aca="false">COUNT(E917,I917,K917)</f>
        <v>2</v>
      </c>
      <c r="M917" s="18" t="n">
        <f aca="false">(D917&lt;&gt;"")*(D917&lt;=($E$3*60+$F$3)/86400)+(H917&lt;&gt;"")*(H917&lt;=($I$3*60+$J$3)/86400)+(J917&lt;&gt;"")*(J917&lt;=($M$3*60+$N$3)/86400)</f>
        <v>0</v>
      </c>
      <c r="N917" s="20"/>
      <c r="O917" s="20"/>
      <c r="P917" s="20"/>
      <c r="Q917" s="19"/>
    </row>
    <row r="918" customFormat="false" ht="15" hidden="false" customHeight="false" outlineLevel="0" collapsed="false">
      <c r="A918" s="10" t="n">
        <v>912</v>
      </c>
      <c r="B918" s="11" t="s">
        <v>1499</v>
      </c>
      <c r="C918" s="12" t="s">
        <v>1500</v>
      </c>
      <c r="D918" s="13" t="n">
        <v>0.0108951388888889</v>
      </c>
      <c r="E918" s="14" t="n">
        <v>913</v>
      </c>
      <c r="F918" s="15" t="n">
        <f aca="false">IF(D918="","",ROUND((D918-MIN($D$7:$D$9999))*86400,2))</f>
        <v>151.6</v>
      </c>
      <c r="G918" s="10" t="str">
        <f aca="false">IF(D918="","",IF(D918&lt;=($E$3*60+$F$3)/86400,"○",""))</f>
        <v/>
      </c>
      <c r="H918" s="16"/>
      <c r="I918" s="17"/>
      <c r="J918" s="16" t="n">
        <v>0.00283946759259259</v>
      </c>
      <c r="K918" s="17" t="n">
        <v>493</v>
      </c>
      <c r="L918" s="17" t="n">
        <f aca="false">COUNT(E918,I918,K918)</f>
        <v>2</v>
      </c>
      <c r="M918" s="18" t="n">
        <f aca="false">(D918&lt;&gt;"")*(D918&lt;=($E$3*60+$F$3)/86400)+(H918&lt;&gt;"")*(H918&lt;=($I$3*60+$J$3)/86400)+(J918&lt;&gt;"")*(J918&lt;=($M$3*60+$N$3)/86400)</f>
        <v>0</v>
      </c>
      <c r="N918" s="20"/>
      <c r="O918" s="20"/>
      <c r="P918" s="20"/>
      <c r="Q918" s="19"/>
    </row>
    <row r="919" customFormat="false" ht="15" hidden="false" customHeight="false" outlineLevel="0" collapsed="false">
      <c r="A919" s="10" t="n">
        <v>913</v>
      </c>
      <c r="B919" s="11" t="s">
        <v>1501</v>
      </c>
      <c r="C919" s="12" t="s">
        <v>318</v>
      </c>
      <c r="D919" s="13" t="n">
        <v>0.0108954861111111</v>
      </c>
      <c r="E919" s="14" t="n">
        <v>914</v>
      </c>
      <c r="F919" s="15" t="n">
        <f aca="false">IF(D919="","",ROUND((D919-MIN($D$7:$D$9999))*86400,2))</f>
        <v>151.63</v>
      </c>
      <c r="G919" s="10" t="str">
        <f aca="false">IF(D919="","",IF(D919&lt;=($E$3*60+$F$3)/86400,"○",""))</f>
        <v/>
      </c>
      <c r="H919" s="16"/>
      <c r="I919" s="17"/>
      <c r="J919" s="16"/>
      <c r="K919" s="17"/>
      <c r="L919" s="17" t="n">
        <f aca="false">COUNT(E919,I919,K919)</f>
        <v>1</v>
      </c>
      <c r="M919" s="18" t="n">
        <f aca="false">(D919&lt;&gt;"")*(D919&lt;=($E$3*60+$F$3)/86400)+(H919&lt;&gt;"")*(H919&lt;=($I$3*60+$J$3)/86400)+(J919&lt;&gt;"")*(J919&lt;=($M$3*60+$N$3)/86400)</f>
        <v>0</v>
      </c>
      <c r="N919" s="20"/>
      <c r="O919" s="20"/>
      <c r="P919" s="20"/>
      <c r="Q919" s="19"/>
    </row>
    <row r="920" customFormat="false" ht="15" hidden="false" customHeight="false" outlineLevel="0" collapsed="false">
      <c r="A920" s="10" t="n">
        <v>914</v>
      </c>
      <c r="B920" s="11" t="s">
        <v>1502</v>
      </c>
      <c r="C920" s="12" t="s">
        <v>1503</v>
      </c>
      <c r="D920" s="13" t="n">
        <v>0.0108959490740741</v>
      </c>
      <c r="E920" s="14" t="n">
        <v>915</v>
      </c>
      <c r="F920" s="15" t="n">
        <f aca="false">IF(D920="","",ROUND((D920-MIN($D$7:$D$9999))*86400,2))</f>
        <v>151.67</v>
      </c>
      <c r="G920" s="10" t="str">
        <f aca="false">IF(D920="","",IF(D920&lt;=($E$3*60+$F$3)/86400,"○",""))</f>
        <v/>
      </c>
      <c r="H920" s="16" t="n">
        <v>0.0066474537037037</v>
      </c>
      <c r="I920" s="17" t="n">
        <v>81</v>
      </c>
      <c r="J920" s="16" t="n">
        <v>0.00277650462962963</v>
      </c>
      <c r="K920" s="17" t="n">
        <v>184</v>
      </c>
      <c r="L920" s="17" t="n">
        <f aca="false">COUNT(E920,I920,K920)</f>
        <v>3</v>
      </c>
      <c r="M920" s="18" t="n">
        <f aca="false">(D920&lt;&gt;"")*(D920&lt;=($E$3*60+$F$3)/86400)+(H920&lt;&gt;"")*(H920&lt;=($I$3*60+$J$3)/86400)+(J920&lt;&gt;"")*(J920&lt;=($M$3*60+$N$3)/86400)</f>
        <v>0</v>
      </c>
      <c r="N920" s="20"/>
      <c r="O920" s="20"/>
      <c r="P920" s="20"/>
      <c r="Q920" s="19"/>
    </row>
    <row r="921" customFormat="false" ht="15" hidden="false" customHeight="false" outlineLevel="0" collapsed="false">
      <c r="A921" s="10" t="n">
        <v>915</v>
      </c>
      <c r="B921" s="11" t="s">
        <v>1504</v>
      </c>
      <c r="C921" s="12" t="s">
        <v>961</v>
      </c>
      <c r="D921" s="13" t="n">
        <v>0.0108966435185185</v>
      </c>
      <c r="E921" s="14" t="n">
        <v>916</v>
      </c>
      <c r="F921" s="15" t="n">
        <f aca="false">IF(D921="","",ROUND((D921-MIN($D$7:$D$9999))*86400,2))</f>
        <v>151.73</v>
      </c>
      <c r="G921" s="10" t="str">
        <f aca="false">IF(D921="","",IF(D921&lt;=($E$3*60+$F$3)/86400,"○",""))</f>
        <v/>
      </c>
      <c r="H921" s="16"/>
      <c r="I921" s="17"/>
      <c r="J921" s="16"/>
      <c r="K921" s="17"/>
      <c r="L921" s="17" t="n">
        <f aca="false">COUNT(E921,I921,K921)</f>
        <v>1</v>
      </c>
      <c r="M921" s="18" t="n">
        <f aca="false">(D921&lt;&gt;"")*(D921&lt;=($E$3*60+$F$3)/86400)+(H921&lt;&gt;"")*(H921&lt;=($I$3*60+$J$3)/86400)+(J921&lt;&gt;"")*(J921&lt;=($M$3*60+$N$3)/86400)</f>
        <v>0</v>
      </c>
      <c r="N921" s="20"/>
      <c r="O921" s="20"/>
      <c r="P921" s="20"/>
      <c r="Q921" s="19"/>
    </row>
    <row r="922" customFormat="false" ht="15" hidden="false" customHeight="false" outlineLevel="0" collapsed="false">
      <c r="A922" s="10" t="n">
        <v>916</v>
      </c>
      <c r="B922" s="11" t="s">
        <v>1505</v>
      </c>
      <c r="C922" s="12" t="s">
        <v>525</v>
      </c>
      <c r="D922" s="13" t="n">
        <v>0.010896875</v>
      </c>
      <c r="E922" s="14" t="n">
        <v>917</v>
      </c>
      <c r="F922" s="15" t="n">
        <f aca="false">IF(D922="","",ROUND((D922-MIN($D$7:$D$9999))*86400,2))</f>
        <v>151.75</v>
      </c>
      <c r="G922" s="10" t="str">
        <f aca="false">IF(D922="","",IF(D922&lt;=($E$3*60+$F$3)/86400,"○",""))</f>
        <v/>
      </c>
      <c r="H922" s="16" t="n">
        <v>0.00691886574074074</v>
      </c>
      <c r="I922" s="17" t="n">
        <v>254</v>
      </c>
      <c r="J922" s="16"/>
      <c r="K922" s="17"/>
      <c r="L922" s="17" t="n">
        <f aca="false">COUNT(E922,I922,K922)</f>
        <v>2</v>
      </c>
      <c r="M922" s="18" t="n">
        <f aca="false">(D922&lt;&gt;"")*(D922&lt;=($E$3*60+$F$3)/86400)+(H922&lt;&gt;"")*(H922&lt;=($I$3*60+$J$3)/86400)+(J922&lt;&gt;"")*(J922&lt;=($M$3*60+$N$3)/86400)</f>
        <v>0</v>
      </c>
      <c r="N922" s="20" t="s">
        <v>1506</v>
      </c>
      <c r="O922" s="20"/>
      <c r="P922" s="20"/>
      <c r="Q922" s="19"/>
    </row>
    <row r="923" customFormat="false" ht="15" hidden="false" customHeight="false" outlineLevel="0" collapsed="false">
      <c r="A923" s="10" t="n">
        <v>917</v>
      </c>
      <c r="B923" s="11" t="s">
        <v>1507</v>
      </c>
      <c r="C923" s="12" t="s">
        <v>103</v>
      </c>
      <c r="D923" s="13" t="n">
        <v>0.0108980324074074</v>
      </c>
      <c r="E923" s="14" t="n">
        <v>918</v>
      </c>
      <c r="F923" s="15" t="n">
        <f aca="false">IF(D923="","",ROUND((D923-MIN($D$7:$D$9999))*86400,2))</f>
        <v>151.85</v>
      </c>
      <c r="G923" s="10" t="str">
        <f aca="false">IF(D923="","",IF(D923&lt;=($E$3*60+$F$3)/86400,"○",""))</f>
        <v/>
      </c>
      <c r="H923" s="16"/>
      <c r="I923" s="17"/>
      <c r="J923" s="16" t="n">
        <v>0.00284930555555556</v>
      </c>
      <c r="K923" s="17" t="n">
        <v>567</v>
      </c>
      <c r="L923" s="17" t="n">
        <f aca="false">COUNT(E923,I923,K923)</f>
        <v>2</v>
      </c>
      <c r="M923" s="18" t="n">
        <f aca="false">(D923&lt;&gt;"")*(D923&lt;=($E$3*60+$F$3)/86400)+(H923&lt;&gt;"")*(H923&lt;=($I$3*60+$J$3)/86400)+(J923&lt;&gt;"")*(J923&lt;=($M$3*60+$N$3)/86400)</f>
        <v>0</v>
      </c>
      <c r="N923" s="20" t="s">
        <v>1508</v>
      </c>
      <c r="O923" s="20"/>
      <c r="P923" s="20"/>
      <c r="Q923" s="19"/>
    </row>
    <row r="924" customFormat="false" ht="15" hidden="false" customHeight="false" outlineLevel="0" collapsed="false">
      <c r="A924" s="10" t="n">
        <v>918</v>
      </c>
      <c r="B924" s="11" t="s">
        <v>1509</v>
      </c>
      <c r="C924" s="12" t="s">
        <v>1510</v>
      </c>
      <c r="D924" s="13" t="n">
        <v>0.0108982638888889</v>
      </c>
      <c r="E924" s="14" t="n">
        <v>919</v>
      </c>
      <c r="F924" s="15" t="n">
        <f aca="false">IF(D924="","",ROUND((D924-MIN($D$7:$D$9999))*86400,2))</f>
        <v>151.87</v>
      </c>
      <c r="G924" s="10" t="str">
        <f aca="false">IF(D924="","",IF(D924&lt;=($E$3*60+$F$3)/86400,"○",""))</f>
        <v/>
      </c>
      <c r="H924" s="16"/>
      <c r="I924" s="17"/>
      <c r="J924" s="16" t="n">
        <v>0.00288506944444444</v>
      </c>
      <c r="K924" s="17" t="n">
        <v>817</v>
      </c>
      <c r="L924" s="17" t="n">
        <f aca="false">COUNT(E924,I924,K924)</f>
        <v>2</v>
      </c>
      <c r="M924" s="18" t="n">
        <f aca="false">(D924&lt;&gt;"")*(D924&lt;=($E$3*60+$F$3)/86400)+(H924&lt;&gt;"")*(H924&lt;=($I$3*60+$J$3)/86400)+(J924&lt;&gt;"")*(J924&lt;=($M$3*60+$N$3)/86400)</f>
        <v>0</v>
      </c>
      <c r="N924" s="20" t="s">
        <v>1511</v>
      </c>
      <c r="O924" s="20"/>
      <c r="P924" s="20"/>
      <c r="Q924" s="19"/>
    </row>
    <row r="925" customFormat="false" ht="15" hidden="false" customHeight="false" outlineLevel="0" collapsed="false">
      <c r="A925" s="10" t="n">
        <v>919</v>
      </c>
      <c r="B925" s="11" t="s">
        <v>1512</v>
      </c>
      <c r="C925" s="12" t="s">
        <v>1513</v>
      </c>
      <c r="D925" s="13" t="n">
        <v>0.0108994212962963</v>
      </c>
      <c r="E925" s="14" t="n">
        <v>920</v>
      </c>
      <c r="F925" s="15" t="n">
        <f aca="false">IF(D925="","",ROUND((D925-MIN($D$7:$D$9999))*86400,2))</f>
        <v>151.97</v>
      </c>
      <c r="G925" s="10" t="str">
        <f aca="false">IF(D925="","",IF(D925&lt;=($E$3*60+$F$3)/86400,"○",""))</f>
        <v/>
      </c>
      <c r="H925" s="16"/>
      <c r="I925" s="17"/>
      <c r="J925" s="16"/>
      <c r="K925" s="17"/>
      <c r="L925" s="17" t="n">
        <f aca="false">COUNT(E925,I925,K925)</f>
        <v>1</v>
      </c>
      <c r="M925" s="18" t="n">
        <f aca="false">(D925&lt;&gt;"")*(D925&lt;=($E$3*60+$F$3)/86400)+(H925&lt;&gt;"")*(H925&lt;=($I$3*60+$J$3)/86400)+(J925&lt;&gt;"")*(J925&lt;=($M$3*60+$N$3)/86400)</f>
        <v>0</v>
      </c>
      <c r="N925" s="20"/>
      <c r="O925" s="20"/>
      <c r="P925" s="20"/>
      <c r="Q925" s="19"/>
    </row>
    <row r="926" customFormat="false" ht="15" hidden="false" customHeight="false" outlineLevel="0" collapsed="false">
      <c r="A926" s="10" t="n">
        <v>920</v>
      </c>
      <c r="B926" s="11" t="s">
        <v>1514</v>
      </c>
      <c r="C926" s="12" t="s">
        <v>1515</v>
      </c>
      <c r="D926" s="13" t="n">
        <v>0.0108997685185185</v>
      </c>
      <c r="E926" s="14" t="n">
        <v>921</v>
      </c>
      <c r="F926" s="15" t="n">
        <f aca="false">IF(D926="","",ROUND((D926-MIN($D$7:$D$9999))*86400,2))</f>
        <v>152</v>
      </c>
      <c r="G926" s="10" t="str">
        <f aca="false">IF(D926="","",IF(D926&lt;=($E$3*60+$F$3)/86400,"○",""))</f>
        <v/>
      </c>
      <c r="H926" s="16" t="n">
        <v>0.00688599537037037</v>
      </c>
      <c r="I926" s="17" t="n">
        <v>227</v>
      </c>
      <c r="J926" s="16"/>
      <c r="K926" s="17"/>
      <c r="L926" s="17" t="n">
        <f aca="false">COUNT(E926,I926,K926)</f>
        <v>2</v>
      </c>
      <c r="M926" s="18" t="n">
        <f aca="false">(D926&lt;&gt;"")*(D926&lt;=($E$3*60+$F$3)/86400)+(H926&lt;&gt;"")*(H926&lt;=($I$3*60+$J$3)/86400)+(J926&lt;&gt;"")*(J926&lt;=($M$3*60+$N$3)/86400)</f>
        <v>0</v>
      </c>
      <c r="N926" s="20"/>
      <c r="O926" s="20"/>
      <c r="P926" s="20"/>
      <c r="Q926" s="19"/>
    </row>
    <row r="927" customFormat="false" ht="15" hidden="false" customHeight="false" outlineLevel="0" collapsed="false">
      <c r="A927" s="10" t="n">
        <v>921</v>
      </c>
      <c r="B927" s="11" t="s">
        <v>1516</v>
      </c>
      <c r="C927" s="12" t="s">
        <v>585</v>
      </c>
      <c r="D927" s="13" t="n">
        <v>0.0109021990740741</v>
      </c>
      <c r="E927" s="14" t="n">
        <v>922</v>
      </c>
      <c r="F927" s="15" t="n">
        <f aca="false">IF(D927="","",ROUND((D927-MIN($D$7:$D$9999))*86400,2))</f>
        <v>152.21</v>
      </c>
      <c r="G927" s="10" t="str">
        <f aca="false">IF(D927="","",IF(D927&lt;=($E$3*60+$F$3)/86400,"○",""))</f>
        <v/>
      </c>
      <c r="H927" s="16" t="n">
        <v>0.00728148148148148</v>
      </c>
      <c r="I927" s="17" t="n">
        <v>621</v>
      </c>
      <c r="J927" s="16"/>
      <c r="K927" s="17"/>
      <c r="L927" s="17" t="n">
        <f aca="false">COUNT(E927,I927,K927)</f>
        <v>2</v>
      </c>
      <c r="M927" s="18" t="n">
        <f aca="false">(D927&lt;&gt;"")*(D927&lt;=($E$3*60+$F$3)/86400)+(H927&lt;&gt;"")*(H927&lt;=($I$3*60+$J$3)/86400)+(J927&lt;&gt;"")*(J927&lt;=($M$3*60+$N$3)/86400)</f>
        <v>0</v>
      </c>
      <c r="N927" s="20"/>
      <c r="O927" s="20"/>
      <c r="P927" s="20"/>
      <c r="Q927" s="19"/>
    </row>
    <row r="928" customFormat="false" ht="15" hidden="false" customHeight="false" outlineLevel="0" collapsed="false">
      <c r="A928" s="10" t="n">
        <v>922</v>
      </c>
      <c r="B928" s="11" t="s">
        <v>1517</v>
      </c>
      <c r="C928" s="12" t="s">
        <v>939</v>
      </c>
      <c r="D928" s="13" t="n">
        <v>0.010902662037037</v>
      </c>
      <c r="E928" s="14" t="n">
        <v>923</v>
      </c>
      <c r="F928" s="15" t="n">
        <f aca="false">IF(D928="","",ROUND((D928-MIN($D$7:$D$9999))*86400,2))</f>
        <v>152.25</v>
      </c>
      <c r="G928" s="10" t="str">
        <f aca="false">IF(D928="","",IF(D928&lt;=($E$3*60+$F$3)/86400,"○",""))</f>
        <v/>
      </c>
      <c r="H928" s="16"/>
      <c r="I928" s="17"/>
      <c r="J928" s="16"/>
      <c r="K928" s="17"/>
      <c r="L928" s="17" t="n">
        <f aca="false">COUNT(E928,I928,K928)</f>
        <v>1</v>
      </c>
      <c r="M928" s="18" t="n">
        <f aca="false">(D928&lt;&gt;"")*(D928&lt;=($E$3*60+$F$3)/86400)+(H928&lt;&gt;"")*(H928&lt;=($I$3*60+$J$3)/86400)+(J928&lt;&gt;"")*(J928&lt;=($M$3*60+$N$3)/86400)</f>
        <v>0</v>
      </c>
      <c r="N928" s="20"/>
      <c r="O928" s="20"/>
      <c r="P928" s="20"/>
      <c r="Q928" s="19"/>
    </row>
    <row r="929" customFormat="false" ht="15" hidden="false" customHeight="false" outlineLevel="0" collapsed="false">
      <c r="A929" s="10" t="n">
        <v>923</v>
      </c>
      <c r="B929" s="11" t="s">
        <v>1518</v>
      </c>
      <c r="C929" s="12" t="s">
        <v>795</v>
      </c>
      <c r="D929" s="13" t="n">
        <v>0.0109027777777778</v>
      </c>
      <c r="E929" s="14" t="n">
        <v>924</v>
      </c>
      <c r="F929" s="15" t="n">
        <f aca="false">IF(D929="","",ROUND((D929-MIN($D$7:$D$9999))*86400,2))</f>
        <v>152.26</v>
      </c>
      <c r="G929" s="10" t="str">
        <f aca="false">IF(D929="","",IF(D929&lt;=($E$3*60+$F$3)/86400,"○",""))</f>
        <v/>
      </c>
      <c r="H929" s="16"/>
      <c r="I929" s="17"/>
      <c r="J929" s="16" t="n">
        <v>0.00279780092592593</v>
      </c>
      <c r="K929" s="17" t="n">
        <v>274</v>
      </c>
      <c r="L929" s="17" t="n">
        <f aca="false">COUNT(E929,I929,K929)</f>
        <v>2</v>
      </c>
      <c r="M929" s="18" t="n">
        <f aca="false">(D929&lt;&gt;"")*(D929&lt;=($E$3*60+$F$3)/86400)+(H929&lt;&gt;"")*(H929&lt;=($I$3*60+$J$3)/86400)+(J929&lt;&gt;"")*(J929&lt;=($M$3*60+$N$3)/86400)</f>
        <v>0</v>
      </c>
      <c r="N929" s="20"/>
      <c r="O929" s="20"/>
      <c r="P929" s="20"/>
      <c r="Q929" s="19"/>
    </row>
    <row r="930" customFormat="false" ht="15" hidden="false" customHeight="false" outlineLevel="0" collapsed="false">
      <c r="A930" s="10" t="n">
        <v>924</v>
      </c>
      <c r="B930" s="11" t="s">
        <v>1519</v>
      </c>
      <c r="C930" s="12" t="s">
        <v>107</v>
      </c>
      <c r="D930" s="13" t="n">
        <v>0.0109028935185185</v>
      </c>
      <c r="E930" s="14" t="n">
        <v>925</v>
      </c>
      <c r="F930" s="15" t="n">
        <f aca="false">IF(D930="","",ROUND((D930-MIN($D$7:$D$9999))*86400,2))</f>
        <v>152.27</v>
      </c>
      <c r="G930" s="10" t="str">
        <f aca="false">IF(D930="","",IF(D930&lt;=($E$3*60+$F$3)/86400,"○",""))</f>
        <v/>
      </c>
      <c r="H930" s="16"/>
      <c r="I930" s="17"/>
      <c r="J930" s="16"/>
      <c r="K930" s="17"/>
      <c r="L930" s="17" t="n">
        <f aca="false">COUNT(E930,I930,K930)</f>
        <v>1</v>
      </c>
      <c r="M930" s="18" t="n">
        <f aca="false">(D930&lt;&gt;"")*(D930&lt;=($E$3*60+$F$3)/86400)+(H930&lt;&gt;"")*(H930&lt;=($I$3*60+$J$3)/86400)+(J930&lt;&gt;"")*(J930&lt;=($M$3*60+$N$3)/86400)</f>
        <v>0</v>
      </c>
      <c r="N930" s="20"/>
      <c r="O930" s="20"/>
      <c r="P930" s="20"/>
      <c r="Q930" s="19"/>
    </row>
    <row r="931" customFormat="false" ht="15" hidden="false" customHeight="false" outlineLevel="0" collapsed="false">
      <c r="A931" s="10" t="n">
        <v>925</v>
      </c>
      <c r="B931" s="11" t="s">
        <v>1520</v>
      </c>
      <c r="C931" s="12" t="s">
        <v>1216</v>
      </c>
      <c r="D931" s="13" t="n">
        <v>0.0109041666666667</v>
      </c>
      <c r="E931" s="14" t="n">
        <v>926</v>
      </c>
      <c r="F931" s="15" t="n">
        <f aca="false">IF(D931="","",ROUND((D931-MIN($D$7:$D$9999))*86400,2))</f>
        <v>152.38</v>
      </c>
      <c r="G931" s="10" t="str">
        <f aca="false">IF(D931="","",IF(D931&lt;=($E$3*60+$F$3)/86400,"○",""))</f>
        <v/>
      </c>
      <c r="H931" s="16" t="n">
        <v>0.00696736111111111</v>
      </c>
      <c r="I931" s="17" t="n">
        <v>300</v>
      </c>
      <c r="J931" s="16"/>
      <c r="K931" s="17"/>
      <c r="L931" s="17" t="n">
        <f aca="false">COUNT(E931,I931,K931)</f>
        <v>2</v>
      </c>
      <c r="M931" s="18" t="n">
        <f aca="false">(D931&lt;&gt;"")*(D931&lt;=($E$3*60+$F$3)/86400)+(H931&lt;&gt;"")*(H931&lt;=($I$3*60+$J$3)/86400)+(J931&lt;&gt;"")*(J931&lt;=($M$3*60+$N$3)/86400)</f>
        <v>0</v>
      </c>
      <c r="N931" s="20"/>
      <c r="O931" s="20"/>
      <c r="P931" s="20"/>
      <c r="Q931" s="19"/>
    </row>
    <row r="932" customFormat="false" ht="15" hidden="false" customHeight="false" outlineLevel="0" collapsed="false">
      <c r="A932" s="10" t="n">
        <v>926</v>
      </c>
      <c r="B932" s="11" t="s">
        <v>1521</v>
      </c>
      <c r="C932" s="12" t="s">
        <v>1522</v>
      </c>
      <c r="D932" s="13" t="n">
        <v>0.0109045138888889</v>
      </c>
      <c r="E932" s="14" t="n">
        <v>927</v>
      </c>
      <c r="F932" s="15" t="n">
        <f aca="false">IF(D932="","",ROUND((D932-MIN($D$7:$D$9999))*86400,2))</f>
        <v>152.41</v>
      </c>
      <c r="G932" s="10" t="str">
        <f aca="false">IF(D932="","",IF(D932&lt;=($E$3*60+$F$3)/86400,"○",""))</f>
        <v/>
      </c>
      <c r="H932" s="16"/>
      <c r="I932" s="17"/>
      <c r="J932" s="16" t="n">
        <v>0.00282511574074074</v>
      </c>
      <c r="K932" s="17" t="n">
        <v>394</v>
      </c>
      <c r="L932" s="17" t="n">
        <f aca="false">COUNT(E932,I932,K932)</f>
        <v>2</v>
      </c>
      <c r="M932" s="18" t="n">
        <f aca="false">(D932&lt;&gt;"")*(D932&lt;=($E$3*60+$F$3)/86400)+(H932&lt;&gt;"")*(H932&lt;=($I$3*60+$J$3)/86400)+(J932&lt;&gt;"")*(J932&lt;=($M$3*60+$N$3)/86400)</f>
        <v>0</v>
      </c>
      <c r="N932" s="20" t="s">
        <v>1523</v>
      </c>
      <c r="O932" s="20"/>
      <c r="P932" s="12" t="s">
        <v>1524</v>
      </c>
      <c r="Q932" s="19"/>
    </row>
    <row r="933" customFormat="false" ht="15" hidden="false" customHeight="false" outlineLevel="0" collapsed="false">
      <c r="A933" s="10" t="n">
        <v>927</v>
      </c>
      <c r="B933" s="11" t="s">
        <v>1525</v>
      </c>
      <c r="C933" s="12" t="s">
        <v>1265</v>
      </c>
      <c r="D933" s="13" t="n">
        <v>0.0109045138888889</v>
      </c>
      <c r="E933" s="14" t="n">
        <v>928</v>
      </c>
      <c r="F933" s="15" t="n">
        <f aca="false">IF(D933="","",ROUND((D933-MIN($D$7:$D$9999))*86400,2))</f>
        <v>152.41</v>
      </c>
      <c r="G933" s="10" t="str">
        <f aca="false">IF(D933="","",IF(D933&lt;=($E$3*60+$F$3)/86400,"○",""))</f>
        <v/>
      </c>
      <c r="H933" s="16" t="n">
        <v>0.00707465277777778</v>
      </c>
      <c r="I933" s="17" t="n">
        <v>421</v>
      </c>
      <c r="J933" s="16"/>
      <c r="K933" s="17"/>
      <c r="L933" s="17" t="n">
        <f aca="false">COUNT(E933,I933,K933)</f>
        <v>2</v>
      </c>
      <c r="M933" s="18" t="n">
        <f aca="false">(D933&lt;&gt;"")*(D933&lt;=($E$3*60+$F$3)/86400)+(H933&lt;&gt;"")*(H933&lt;=($I$3*60+$J$3)/86400)+(J933&lt;&gt;"")*(J933&lt;=($M$3*60+$N$3)/86400)</f>
        <v>0</v>
      </c>
      <c r="N933" s="20"/>
      <c r="O933" s="20"/>
      <c r="P933" s="20"/>
      <c r="Q933" s="19"/>
    </row>
    <row r="934" customFormat="false" ht="15" hidden="false" customHeight="false" outlineLevel="0" collapsed="false">
      <c r="A934" s="10" t="n">
        <v>928</v>
      </c>
      <c r="B934" s="11" t="s">
        <v>1526</v>
      </c>
      <c r="C934" s="12" t="s">
        <v>1527</v>
      </c>
      <c r="D934" s="13" t="n">
        <v>0.0109052083333333</v>
      </c>
      <c r="E934" s="14" t="n">
        <v>929</v>
      </c>
      <c r="F934" s="15" t="n">
        <f aca="false">IF(D934="","",ROUND((D934-MIN($D$7:$D$9999))*86400,2))</f>
        <v>152.47</v>
      </c>
      <c r="G934" s="10" t="str">
        <f aca="false">IF(D934="","",IF(D934&lt;=($E$3*60+$F$3)/86400,"○",""))</f>
        <v/>
      </c>
      <c r="H934" s="16"/>
      <c r="I934" s="17"/>
      <c r="J934" s="16" t="n">
        <v>0.00290416666666667</v>
      </c>
      <c r="K934" s="17" t="n">
        <v>981</v>
      </c>
      <c r="L934" s="17" t="n">
        <f aca="false">COUNT(E934,I934,K934)</f>
        <v>2</v>
      </c>
      <c r="M934" s="18" t="n">
        <f aca="false">(D934&lt;&gt;"")*(D934&lt;=($E$3*60+$F$3)/86400)+(H934&lt;&gt;"")*(H934&lt;=($I$3*60+$J$3)/86400)+(J934&lt;&gt;"")*(J934&lt;=($M$3*60+$N$3)/86400)</f>
        <v>0</v>
      </c>
      <c r="N934" s="20"/>
      <c r="O934" s="20"/>
      <c r="P934" s="20"/>
      <c r="Q934" s="19"/>
    </row>
    <row r="935" customFormat="false" ht="15" hidden="false" customHeight="false" outlineLevel="0" collapsed="false">
      <c r="A935" s="10" t="n">
        <v>929</v>
      </c>
      <c r="B935" s="11" t="s">
        <v>1528</v>
      </c>
      <c r="C935" s="12" t="s">
        <v>1141</v>
      </c>
      <c r="D935" s="13" t="n">
        <v>0.0109063657407407</v>
      </c>
      <c r="E935" s="14" t="n">
        <v>930</v>
      </c>
      <c r="F935" s="15" t="n">
        <f aca="false">IF(D935="","",ROUND((D935-MIN($D$7:$D$9999))*86400,2))</f>
        <v>152.57</v>
      </c>
      <c r="G935" s="10" t="str">
        <f aca="false">IF(D935="","",IF(D935&lt;=($E$3*60+$F$3)/86400,"○",""))</f>
        <v/>
      </c>
      <c r="H935" s="16"/>
      <c r="I935" s="17"/>
      <c r="J935" s="16" t="n">
        <v>0.00278599537037037</v>
      </c>
      <c r="K935" s="17" t="n">
        <v>221</v>
      </c>
      <c r="L935" s="17" t="n">
        <f aca="false">COUNT(E935,I935,K935)</f>
        <v>2</v>
      </c>
      <c r="M935" s="18" t="n">
        <f aca="false">(D935&lt;&gt;"")*(D935&lt;=($E$3*60+$F$3)/86400)+(H935&lt;&gt;"")*(H935&lt;=($I$3*60+$J$3)/86400)+(J935&lt;&gt;"")*(J935&lt;=($M$3*60+$N$3)/86400)</f>
        <v>0</v>
      </c>
      <c r="N935" s="20"/>
      <c r="O935" s="20"/>
      <c r="P935" s="20"/>
      <c r="Q935" s="19"/>
    </row>
    <row r="936" customFormat="false" ht="15" hidden="false" customHeight="false" outlineLevel="0" collapsed="false">
      <c r="A936" s="10" t="n">
        <v>930</v>
      </c>
      <c r="B936" s="11" t="s">
        <v>1529</v>
      </c>
      <c r="C936" s="12" t="s">
        <v>910</v>
      </c>
      <c r="D936" s="13" t="n">
        <v>0.0109069444444444</v>
      </c>
      <c r="E936" s="14" t="n">
        <v>931</v>
      </c>
      <c r="F936" s="15" t="n">
        <f aca="false">IF(D936="","",ROUND((D936-MIN($D$7:$D$9999))*86400,2))</f>
        <v>152.62</v>
      </c>
      <c r="G936" s="10" t="str">
        <f aca="false">IF(D936="","",IF(D936&lt;=($E$3*60+$F$3)/86400,"○",""))</f>
        <v/>
      </c>
      <c r="H936" s="16" t="n">
        <v>0.00685810185185185</v>
      </c>
      <c r="I936" s="17" t="n">
        <v>209</v>
      </c>
      <c r="J936" s="16" t="n">
        <v>0.00278680555555556</v>
      </c>
      <c r="K936" s="17" t="n">
        <v>229</v>
      </c>
      <c r="L936" s="17" t="n">
        <f aca="false">COUNT(E936,I936,K936)</f>
        <v>3</v>
      </c>
      <c r="M936" s="18" t="n">
        <f aca="false">(D936&lt;&gt;"")*(D936&lt;=($E$3*60+$F$3)/86400)+(H936&lt;&gt;"")*(H936&lt;=($I$3*60+$J$3)/86400)+(J936&lt;&gt;"")*(J936&lt;=($M$3*60+$N$3)/86400)</f>
        <v>0</v>
      </c>
      <c r="N936" s="20"/>
      <c r="O936" s="20"/>
      <c r="P936" s="20"/>
      <c r="Q936" s="19"/>
    </row>
    <row r="937" customFormat="false" ht="15" hidden="false" customHeight="false" outlineLevel="0" collapsed="false">
      <c r="A937" s="10" t="n">
        <v>931</v>
      </c>
      <c r="B937" s="11" t="s">
        <v>1530</v>
      </c>
      <c r="C937" s="12" t="s">
        <v>1111</v>
      </c>
      <c r="D937" s="13" t="n">
        <v>0.0109074074074074</v>
      </c>
      <c r="E937" s="14" t="n">
        <v>932</v>
      </c>
      <c r="F937" s="15" t="n">
        <f aca="false">IF(D937="","",ROUND((D937-MIN($D$7:$D$9999))*86400,2))</f>
        <v>152.66</v>
      </c>
      <c r="G937" s="10" t="str">
        <f aca="false">IF(D937="","",IF(D937&lt;=($E$3*60+$F$3)/86400,"○",""))</f>
        <v/>
      </c>
      <c r="H937" s="16" t="n">
        <v>0.0076775462962963</v>
      </c>
      <c r="I937" s="17" t="n">
        <v>1056</v>
      </c>
      <c r="J937" s="16" t="n">
        <v>0.00297268518518519</v>
      </c>
      <c r="K937" s="17" t="n">
        <v>1320</v>
      </c>
      <c r="L937" s="17" t="n">
        <f aca="false">COUNT(E937,I937,K937)</f>
        <v>3</v>
      </c>
      <c r="M937" s="18" t="n">
        <f aca="false">(D937&lt;&gt;"")*(D937&lt;=($E$3*60+$F$3)/86400)+(H937&lt;&gt;"")*(H937&lt;=($I$3*60+$J$3)/86400)+(J937&lt;&gt;"")*(J937&lt;=($M$3*60+$N$3)/86400)</f>
        <v>0</v>
      </c>
      <c r="N937" s="20"/>
      <c r="O937" s="20"/>
      <c r="P937" s="20"/>
      <c r="Q937" s="19"/>
    </row>
    <row r="938" customFormat="false" ht="15" hidden="false" customHeight="false" outlineLevel="0" collapsed="false">
      <c r="A938" s="10" t="n">
        <v>932</v>
      </c>
      <c r="B938" s="11" t="s">
        <v>1531</v>
      </c>
      <c r="C938" s="12" t="s">
        <v>1532</v>
      </c>
      <c r="D938" s="13" t="n">
        <v>0.0109077546296296</v>
      </c>
      <c r="E938" s="14" t="n">
        <v>933</v>
      </c>
      <c r="F938" s="15" t="n">
        <f aca="false">IF(D938="","",ROUND((D938-MIN($D$7:$D$9999))*86400,2))</f>
        <v>152.69</v>
      </c>
      <c r="G938" s="10" t="str">
        <f aca="false">IF(D938="","",IF(D938&lt;=($E$3*60+$F$3)/86400,"○",""))</f>
        <v/>
      </c>
      <c r="H938" s="16" t="n">
        <v>0.00704351851851852</v>
      </c>
      <c r="I938" s="17" t="n">
        <v>383</v>
      </c>
      <c r="J938" s="16"/>
      <c r="K938" s="17"/>
      <c r="L938" s="17" t="n">
        <f aca="false">COUNT(E938,I938,K938)</f>
        <v>2</v>
      </c>
      <c r="M938" s="18" t="n">
        <f aca="false">(D938&lt;&gt;"")*(D938&lt;=($E$3*60+$F$3)/86400)+(H938&lt;&gt;"")*(H938&lt;=($I$3*60+$J$3)/86400)+(J938&lt;&gt;"")*(J938&lt;=($M$3*60+$N$3)/86400)</f>
        <v>0</v>
      </c>
      <c r="N938" s="20"/>
      <c r="O938" s="20"/>
      <c r="P938" s="20"/>
      <c r="Q938" s="19"/>
    </row>
    <row r="939" customFormat="false" ht="15" hidden="false" customHeight="false" outlineLevel="0" collapsed="false">
      <c r="A939" s="10" t="n">
        <v>933</v>
      </c>
      <c r="B939" s="11" t="s">
        <v>1533</v>
      </c>
      <c r="C939" s="12" t="s">
        <v>1392</v>
      </c>
      <c r="D939" s="13" t="n">
        <v>0.0109083333333333</v>
      </c>
      <c r="E939" s="14" t="n">
        <v>934</v>
      </c>
      <c r="F939" s="15" t="n">
        <f aca="false">IF(D939="","",ROUND((D939-MIN($D$7:$D$9999))*86400,2))</f>
        <v>152.74</v>
      </c>
      <c r="G939" s="10" t="str">
        <f aca="false">IF(D939="","",IF(D939&lt;=($E$3*60+$F$3)/86400,"○",""))</f>
        <v/>
      </c>
      <c r="H939" s="16"/>
      <c r="I939" s="17"/>
      <c r="J939" s="16" t="n">
        <v>0.00275104166666667</v>
      </c>
      <c r="K939" s="17" t="n">
        <v>105</v>
      </c>
      <c r="L939" s="17" t="n">
        <f aca="false">COUNT(E939,I939,K939)</f>
        <v>2</v>
      </c>
      <c r="M939" s="18" t="n">
        <f aca="false">(D939&lt;&gt;"")*(D939&lt;=($E$3*60+$F$3)/86400)+(H939&lt;&gt;"")*(H939&lt;=($I$3*60+$J$3)/86400)+(J939&lt;&gt;"")*(J939&lt;=($M$3*60+$N$3)/86400)</f>
        <v>0</v>
      </c>
      <c r="N939" s="20"/>
      <c r="O939" s="20"/>
      <c r="P939" s="20"/>
      <c r="Q939" s="19"/>
    </row>
    <row r="940" customFormat="false" ht="15" hidden="false" customHeight="false" outlineLevel="0" collapsed="false">
      <c r="A940" s="10" t="n">
        <v>934</v>
      </c>
      <c r="B940" s="11" t="s">
        <v>1534</v>
      </c>
      <c r="C940" s="12" t="s">
        <v>240</v>
      </c>
      <c r="D940" s="13" t="n">
        <v>0.0109083333333333</v>
      </c>
      <c r="E940" s="14" t="n">
        <v>935</v>
      </c>
      <c r="F940" s="15" t="n">
        <f aca="false">IF(D940="","",ROUND((D940-MIN($D$7:$D$9999))*86400,2))</f>
        <v>152.74</v>
      </c>
      <c r="G940" s="10" t="str">
        <f aca="false">IF(D940="","",IF(D940&lt;=($E$3*60+$F$3)/86400,"○",""))</f>
        <v/>
      </c>
      <c r="H940" s="16"/>
      <c r="I940" s="17"/>
      <c r="J940" s="16"/>
      <c r="K940" s="17"/>
      <c r="L940" s="17" t="n">
        <f aca="false">COUNT(E940,I940,K940)</f>
        <v>1</v>
      </c>
      <c r="M940" s="18" t="n">
        <f aca="false">(D940&lt;&gt;"")*(D940&lt;=($E$3*60+$F$3)/86400)+(H940&lt;&gt;"")*(H940&lt;=($I$3*60+$J$3)/86400)+(J940&lt;&gt;"")*(J940&lt;=($M$3*60+$N$3)/86400)</f>
        <v>0</v>
      </c>
      <c r="N940" s="20"/>
      <c r="O940" s="20"/>
      <c r="P940" s="20"/>
      <c r="Q940" s="19"/>
    </row>
    <row r="941" customFormat="false" ht="15" hidden="false" customHeight="false" outlineLevel="0" collapsed="false">
      <c r="A941" s="10" t="n">
        <v>935</v>
      </c>
      <c r="B941" s="11" t="s">
        <v>1535</v>
      </c>
      <c r="C941" s="12" t="s">
        <v>193</v>
      </c>
      <c r="D941" s="13" t="n">
        <v>0.0109087962962963</v>
      </c>
      <c r="E941" s="14" t="n">
        <v>936</v>
      </c>
      <c r="F941" s="15" t="n">
        <f aca="false">IF(D941="","",ROUND((D941-MIN($D$7:$D$9999))*86400,2))</f>
        <v>152.78</v>
      </c>
      <c r="G941" s="10" t="str">
        <f aca="false">IF(D941="","",IF(D941&lt;=($E$3*60+$F$3)/86400,"○",""))</f>
        <v/>
      </c>
      <c r="H941" s="16"/>
      <c r="I941" s="17"/>
      <c r="J941" s="16" t="n">
        <v>0.00287349537037037</v>
      </c>
      <c r="K941" s="17" t="n">
        <v>724</v>
      </c>
      <c r="L941" s="17" t="n">
        <f aca="false">COUNT(E941,I941,K941)</f>
        <v>2</v>
      </c>
      <c r="M941" s="18" t="n">
        <f aca="false">(D941&lt;&gt;"")*(D941&lt;=($E$3*60+$F$3)/86400)+(H941&lt;&gt;"")*(H941&lt;=($I$3*60+$J$3)/86400)+(J941&lt;&gt;"")*(J941&lt;=($M$3*60+$N$3)/86400)</f>
        <v>0</v>
      </c>
      <c r="N941" s="20"/>
      <c r="O941" s="20"/>
      <c r="P941" s="20"/>
      <c r="Q941" s="19"/>
    </row>
    <row r="942" customFormat="false" ht="15" hidden="false" customHeight="false" outlineLevel="0" collapsed="false">
      <c r="A942" s="10" t="n">
        <v>936</v>
      </c>
      <c r="B942" s="11" t="s">
        <v>1536</v>
      </c>
      <c r="C942" s="12" t="s">
        <v>101</v>
      </c>
      <c r="D942" s="13" t="n">
        <v>0.0109090277777778</v>
      </c>
      <c r="E942" s="14" t="n">
        <v>937</v>
      </c>
      <c r="F942" s="15" t="n">
        <f aca="false">IF(D942="","",ROUND((D942-MIN($D$7:$D$9999))*86400,2))</f>
        <v>152.8</v>
      </c>
      <c r="G942" s="10" t="str">
        <f aca="false">IF(D942="","",IF(D942&lt;=($E$3*60+$F$3)/86400,"○",""))</f>
        <v/>
      </c>
      <c r="H942" s="16" t="n">
        <v>0.0069212962962963</v>
      </c>
      <c r="I942" s="17" t="n">
        <v>259</v>
      </c>
      <c r="J942" s="16" t="n">
        <v>0.00285833333333333</v>
      </c>
      <c r="K942" s="17" t="n">
        <v>624</v>
      </c>
      <c r="L942" s="17" t="n">
        <f aca="false">COUNT(E942,I942,K942)</f>
        <v>3</v>
      </c>
      <c r="M942" s="18" t="n">
        <f aca="false">(D942&lt;&gt;"")*(D942&lt;=($E$3*60+$F$3)/86400)+(H942&lt;&gt;"")*(H942&lt;=($I$3*60+$J$3)/86400)+(J942&lt;&gt;"")*(J942&lt;=($M$3*60+$N$3)/86400)</f>
        <v>0</v>
      </c>
      <c r="N942" s="20"/>
      <c r="O942" s="20"/>
      <c r="P942" s="20"/>
      <c r="Q942" s="19"/>
    </row>
    <row r="943" customFormat="false" ht="15" hidden="false" customHeight="false" outlineLevel="0" collapsed="false">
      <c r="A943" s="10" t="n">
        <v>937</v>
      </c>
      <c r="B943" s="11" t="s">
        <v>1537</v>
      </c>
      <c r="C943" s="12" t="s">
        <v>1538</v>
      </c>
      <c r="D943" s="13" t="n">
        <v>0.0109100694444444</v>
      </c>
      <c r="E943" s="14" t="n">
        <v>938</v>
      </c>
      <c r="F943" s="15" t="n">
        <f aca="false">IF(D943="","",ROUND((D943-MIN($D$7:$D$9999))*86400,2))</f>
        <v>152.89</v>
      </c>
      <c r="G943" s="10" t="str">
        <f aca="false">IF(D943="","",IF(D943&lt;=($E$3*60+$F$3)/86400,"○",""))</f>
        <v/>
      </c>
      <c r="H943" s="16" t="n">
        <v>0.00687256944444444</v>
      </c>
      <c r="I943" s="17" t="n">
        <v>220</v>
      </c>
      <c r="J943" s="16" t="n">
        <v>0.00297164351851852</v>
      </c>
      <c r="K943" s="17" t="n">
        <v>1316</v>
      </c>
      <c r="L943" s="17" t="n">
        <f aca="false">COUNT(E943,I943,K943)</f>
        <v>3</v>
      </c>
      <c r="M943" s="18" t="n">
        <f aca="false">(D943&lt;&gt;"")*(D943&lt;=($E$3*60+$F$3)/86400)+(H943&lt;&gt;"")*(H943&lt;=($I$3*60+$J$3)/86400)+(J943&lt;&gt;"")*(J943&lt;=($M$3*60+$N$3)/86400)</f>
        <v>0</v>
      </c>
      <c r="N943" s="20"/>
      <c r="O943" s="20"/>
      <c r="P943" s="20"/>
      <c r="Q943" s="19"/>
    </row>
    <row r="944" customFormat="false" ht="15" hidden="false" customHeight="false" outlineLevel="0" collapsed="false">
      <c r="A944" s="10" t="n">
        <v>938</v>
      </c>
      <c r="B944" s="11" t="s">
        <v>1539</v>
      </c>
      <c r="C944" s="12" t="s">
        <v>1540</v>
      </c>
      <c r="D944" s="13" t="n">
        <v>0.0109113425925926</v>
      </c>
      <c r="E944" s="14" t="n">
        <v>939</v>
      </c>
      <c r="F944" s="15" t="n">
        <f aca="false">IF(D944="","",ROUND((D944-MIN($D$7:$D$9999))*86400,2))</f>
        <v>153</v>
      </c>
      <c r="G944" s="10" t="str">
        <f aca="false">IF(D944="","",IF(D944&lt;=($E$3*60+$F$3)/86400,"○",""))</f>
        <v/>
      </c>
      <c r="H944" s="16"/>
      <c r="I944" s="17"/>
      <c r="J944" s="16" t="n">
        <v>0.00287858796296296</v>
      </c>
      <c r="K944" s="17" t="n">
        <v>759</v>
      </c>
      <c r="L944" s="17" t="n">
        <f aca="false">COUNT(E944,I944,K944)</f>
        <v>2</v>
      </c>
      <c r="M944" s="18" t="n">
        <f aca="false">(D944&lt;&gt;"")*(D944&lt;=($E$3*60+$F$3)/86400)+(H944&lt;&gt;"")*(H944&lt;=($I$3*60+$J$3)/86400)+(J944&lt;&gt;"")*(J944&lt;=($M$3*60+$N$3)/86400)</f>
        <v>0</v>
      </c>
      <c r="N944" s="20"/>
      <c r="O944" s="20"/>
      <c r="P944" s="20"/>
      <c r="Q944" s="19"/>
    </row>
    <row r="945" customFormat="false" ht="15" hidden="false" customHeight="false" outlineLevel="0" collapsed="false">
      <c r="A945" s="10" t="n">
        <v>939</v>
      </c>
      <c r="B945" s="11" t="s">
        <v>1541</v>
      </c>
      <c r="C945" s="12" t="s">
        <v>478</v>
      </c>
      <c r="D945" s="13" t="n">
        <v>0.0109114583333333</v>
      </c>
      <c r="E945" s="14" t="n">
        <v>940</v>
      </c>
      <c r="F945" s="15" t="n">
        <f aca="false">IF(D945="","",ROUND((D945-MIN($D$7:$D$9999))*86400,2))</f>
        <v>153.01</v>
      </c>
      <c r="G945" s="10" t="str">
        <f aca="false">IF(D945="","",IF(D945&lt;=($E$3*60+$F$3)/86400,"○",""))</f>
        <v/>
      </c>
      <c r="H945" s="16" t="n">
        <v>0.00692696759259259</v>
      </c>
      <c r="I945" s="17" t="n">
        <v>267</v>
      </c>
      <c r="J945" s="16" t="n">
        <v>0.00289166666666667</v>
      </c>
      <c r="K945" s="17" t="n">
        <v>884</v>
      </c>
      <c r="L945" s="17" t="n">
        <f aca="false">COUNT(E945,I945,K945)</f>
        <v>3</v>
      </c>
      <c r="M945" s="18" t="n">
        <f aca="false">(D945&lt;&gt;"")*(D945&lt;=($E$3*60+$F$3)/86400)+(H945&lt;&gt;"")*(H945&lt;=($I$3*60+$J$3)/86400)+(J945&lt;&gt;"")*(J945&lt;=($M$3*60+$N$3)/86400)</f>
        <v>0</v>
      </c>
      <c r="N945" s="20"/>
      <c r="O945" s="20"/>
      <c r="P945" s="20"/>
      <c r="Q945" s="19"/>
    </row>
    <row r="946" customFormat="false" ht="15" hidden="false" customHeight="false" outlineLevel="0" collapsed="false">
      <c r="A946" s="10" t="n">
        <v>940</v>
      </c>
      <c r="B946" s="11" t="s">
        <v>1542</v>
      </c>
      <c r="C946" s="12" t="s">
        <v>150</v>
      </c>
      <c r="D946" s="13" t="n">
        <v>0.0109116898148148</v>
      </c>
      <c r="E946" s="14" t="n">
        <v>941</v>
      </c>
      <c r="F946" s="15" t="n">
        <f aca="false">IF(D946="","",ROUND((D946-MIN($D$7:$D$9999))*86400,2))</f>
        <v>153.03</v>
      </c>
      <c r="G946" s="10" t="str">
        <f aca="false">IF(D946="","",IF(D946&lt;=($E$3*60+$F$3)/86400,"○",""))</f>
        <v/>
      </c>
      <c r="H946" s="16"/>
      <c r="I946" s="17"/>
      <c r="J946" s="16"/>
      <c r="K946" s="17"/>
      <c r="L946" s="17" t="n">
        <f aca="false">COUNT(E946,I946,K946)</f>
        <v>1</v>
      </c>
      <c r="M946" s="18" t="n">
        <f aca="false">(D946&lt;&gt;"")*(D946&lt;=($E$3*60+$F$3)/86400)+(H946&lt;&gt;"")*(H946&lt;=($I$3*60+$J$3)/86400)+(J946&lt;&gt;"")*(J946&lt;=($M$3*60+$N$3)/86400)</f>
        <v>0</v>
      </c>
      <c r="N946" s="20"/>
      <c r="O946" s="20"/>
      <c r="P946" s="20"/>
      <c r="Q946" s="19"/>
    </row>
    <row r="947" customFormat="false" ht="15" hidden="false" customHeight="false" outlineLevel="0" collapsed="false">
      <c r="A947" s="10" t="n">
        <v>941</v>
      </c>
      <c r="B947" s="11" t="s">
        <v>1543</v>
      </c>
      <c r="C947" s="12" t="s">
        <v>214</v>
      </c>
      <c r="D947" s="13" t="n">
        <v>0.0109127314814815</v>
      </c>
      <c r="E947" s="14" t="n">
        <v>942</v>
      </c>
      <c r="F947" s="15" t="n">
        <f aca="false">IF(D947="","",ROUND((D947-MIN($D$7:$D$9999))*86400,2))</f>
        <v>153.12</v>
      </c>
      <c r="G947" s="10" t="str">
        <f aca="false">IF(D947="","",IF(D947&lt;=($E$3*60+$F$3)/86400,"○",""))</f>
        <v/>
      </c>
      <c r="H947" s="16" t="n">
        <v>0.00679247685185185</v>
      </c>
      <c r="I947" s="17" t="n">
        <v>164</v>
      </c>
      <c r="J947" s="16" t="n">
        <v>0.00288148148148148</v>
      </c>
      <c r="K947" s="17" t="n">
        <v>783</v>
      </c>
      <c r="L947" s="17" t="n">
        <f aca="false">COUNT(E947,I947,K947)</f>
        <v>3</v>
      </c>
      <c r="M947" s="18" t="n">
        <f aca="false">(D947&lt;&gt;"")*(D947&lt;=($E$3*60+$F$3)/86400)+(H947&lt;&gt;"")*(H947&lt;=($I$3*60+$J$3)/86400)+(J947&lt;&gt;"")*(J947&lt;=($M$3*60+$N$3)/86400)</f>
        <v>0</v>
      </c>
      <c r="N947" s="20"/>
      <c r="O947" s="20"/>
      <c r="P947" s="20"/>
      <c r="Q947" s="19"/>
    </row>
    <row r="948" customFormat="false" ht="15" hidden="false" customHeight="false" outlineLevel="0" collapsed="false">
      <c r="A948" s="10" t="n">
        <v>942</v>
      </c>
      <c r="B948" s="11" t="s">
        <v>1544</v>
      </c>
      <c r="C948" s="12" t="s">
        <v>1146</v>
      </c>
      <c r="D948" s="13" t="n">
        <v>0.0109130787037037</v>
      </c>
      <c r="E948" s="14" t="n">
        <v>943</v>
      </c>
      <c r="F948" s="15" t="n">
        <f aca="false">IF(D948="","",ROUND((D948-MIN($D$7:$D$9999))*86400,2))</f>
        <v>153.15</v>
      </c>
      <c r="G948" s="10" t="str">
        <f aca="false">IF(D948="","",IF(D948&lt;=($E$3*60+$F$3)/86400,"○",""))</f>
        <v/>
      </c>
      <c r="H948" s="16"/>
      <c r="I948" s="17"/>
      <c r="J948" s="16"/>
      <c r="K948" s="17"/>
      <c r="L948" s="17" t="n">
        <f aca="false">COUNT(E948,I948,K948)</f>
        <v>1</v>
      </c>
      <c r="M948" s="18" t="n">
        <f aca="false">(D948&lt;&gt;"")*(D948&lt;=($E$3*60+$F$3)/86400)+(H948&lt;&gt;"")*(H948&lt;=($I$3*60+$J$3)/86400)+(J948&lt;&gt;"")*(J948&lt;=($M$3*60+$N$3)/86400)</f>
        <v>0</v>
      </c>
      <c r="N948" s="20"/>
      <c r="O948" s="20"/>
      <c r="P948" s="20"/>
      <c r="Q948" s="19"/>
    </row>
    <row r="949" customFormat="false" ht="15" hidden="false" customHeight="false" outlineLevel="0" collapsed="false">
      <c r="A949" s="10" t="n">
        <v>943</v>
      </c>
      <c r="B949" s="11" t="s">
        <v>1545</v>
      </c>
      <c r="C949" s="12" t="s">
        <v>1385</v>
      </c>
      <c r="D949" s="13" t="n">
        <v>0.0109134259259259</v>
      </c>
      <c r="E949" s="14" t="n">
        <v>944</v>
      </c>
      <c r="F949" s="15" t="n">
        <f aca="false">IF(D949="","",ROUND((D949-MIN($D$7:$D$9999))*86400,2))</f>
        <v>153.18</v>
      </c>
      <c r="G949" s="10" t="str">
        <f aca="false">IF(D949="","",IF(D949&lt;=($E$3*60+$F$3)/86400,"○",""))</f>
        <v/>
      </c>
      <c r="H949" s="16"/>
      <c r="I949" s="17"/>
      <c r="J949" s="16" t="n">
        <v>0.00279988425925926</v>
      </c>
      <c r="K949" s="17" t="n">
        <v>283</v>
      </c>
      <c r="L949" s="17" t="n">
        <f aca="false">COUNT(E949,I949,K949)</f>
        <v>2</v>
      </c>
      <c r="M949" s="18" t="n">
        <f aca="false">(D949&lt;&gt;"")*(D949&lt;=($E$3*60+$F$3)/86400)+(H949&lt;&gt;"")*(H949&lt;=($I$3*60+$J$3)/86400)+(J949&lt;&gt;"")*(J949&lt;=($M$3*60+$N$3)/86400)</f>
        <v>0</v>
      </c>
      <c r="N949" s="20"/>
      <c r="O949" s="20"/>
      <c r="P949" s="20"/>
      <c r="Q949" s="19"/>
    </row>
    <row r="950" customFormat="false" ht="15" hidden="false" customHeight="false" outlineLevel="0" collapsed="false">
      <c r="A950" s="10" t="n">
        <v>944</v>
      </c>
      <c r="B950" s="11" t="s">
        <v>1546</v>
      </c>
      <c r="C950" s="12" t="s">
        <v>240</v>
      </c>
      <c r="D950" s="13" t="n">
        <v>0.0109134259259259</v>
      </c>
      <c r="E950" s="14" t="n">
        <v>945</v>
      </c>
      <c r="F950" s="15" t="n">
        <f aca="false">IF(D950="","",ROUND((D950-MIN($D$7:$D$9999))*86400,2))</f>
        <v>153.18</v>
      </c>
      <c r="G950" s="10" t="str">
        <f aca="false">IF(D950="","",IF(D950&lt;=($E$3*60+$F$3)/86400,"○",""))</f>
        <v/>
      </c>
      <c r="H950" s="16" t="n">
        <v>0.00745625</v>
      </c>
      <c r="I950" s="17" t="n">
        <v>841</v>
      </c>
      <c r="J950" s="16"/>
      <c r="K950" s="17"/>
      <c r="L950" s="17" t="n">
        <f aca="false">COUNT(E950,I950,K950)</f>
        <v>2</v>
      </c>
      <c r="M950" s="18" t="n">
        <f aca="false">(D950&lt;&gt;"")*(D950&lt;=($E$3*60+$F$3)/86400)+(H950&lt;&gt;"")*(H950&lt;=($I$3*60+$J$3)/86400)+(J950&lt;&gt;"")*(J950&lt;=($M$3*60+$N$3)/86400)</f>
        <v>0</v>
      </c>
      <c r="N950" s="20"/>
      <c r="O950" s="20"/>
      <c r="P950" s="20"/>
      <c r="Q950" s="19"/>
    </row>
    <row r="951" customFormat="false" ht="15" hidden="false" customHeight="false" outlineLevel="0" collapsed="false">
      <c r="A951" s="10" t="n">
        <v>945</v>
      </c>
      <c r="B951" s="11" t="s">
        <v>1547</v>
      </c>
      <c r="C951" s="12" t="s">
        <v>1548</v>
      </c>
      <c r="D951" s="13" t="n">
        <v>0.0109144675925926</v>
      </c>
      <c r="E951" s="14" t="n">
        <v>946</v>
      </c>
      <c r="F951" s="15" t="n">
        <f aca="false">IF(D951="","",ROUND((D951-MIN($D$7:$D$9999))*86400,2))</f>
        <v>153.27</v>
      </c>
      <c r="G951" s="10" t="str">
        <f aca="false">IF(D951="","",IF(D951&lt;=($E$3*60+$F$3)/86400,"○",""))</f>
        <v/>
      </c>
      <c r="H951" s="16"/>
      <c r="I951" s="17"/>
      <c r="J951" s="16" t="n">
        <v>0.00282488425925926</v>
      </c>
      <c r="K951" s="17" t="n">
        <v>393</v>
      </c>
      <c r="L951" s="17" t="n">
        <f aca="false">COUNT(E951,I951,K951)</f>
        <v>2</v>
      </c>
      <c r="M951" s="18" t="n">
        <f aca="false">(D951&lt;&gt;"")*(D951&lt;=($E$3*60+$F$3)/86400)+(H951&lt;&gt;"")*(H951&lt;=($I$3*60+$J$3)/86400)+(J951&lt;&gt;"")*(J951&lt;=($M$3*60+$N$3)/86400)</f>
        <v>0</v>
      </c>
      <c r="N951" s="20"/>
      <c r="O951" s="20"/>
      <c r="P951" s="20"/>
      <c r="Q951" s="19"/>
    </row>
    <row r="952" customFormat="false" ht="15" hidden="false" customHeight="false" outlineLevel="0" collapsed="false">
      <c r="A952" s="10" t="n">
        <v>946</v>
      </c>
      <c r="B952" s="11" t="s">
        <v>1549</v>
      </c>
      <c r="C952" s="12" t="s">
        <v>1231</v>
      </c>
      <c r="D952" s="13" t="n">
        <v>0.0109165509259259</v>
      </c>
      <c r="E952" s="14" t="n">
        <v>947</v>
      </c>
      <c r="F952" s="15" t="n">
        <f aca="false">IF(D952="","",ROUND((D952-MIN($D$7:$D$9999))*86400,2))</f>
        <v>153.45</v>
      </c>
      <c r="G952" s="10" t="str">
        <f aca="false">IF(D952="","",IF(D952&lt;=($E$3*60+$F$3)/86400,"○",""))</f>
        <v/>
      </c>
      <c r="H952" s="16" t="n">
        <v>0.00716053240740741</v>
      </c>
      <c r="I952" s="17" t="n">
        <v>495</v>
      </c>
      <c r="J952" s="16" t="n">
        <v>0.00290625</v>
      </c>
      <c r="K952" s="17" t="n">
        <v>990</v>
      </c>
      <c r="L952" s="17" t="n">
        <f aca="false">COUNT(E952,I952,K952)</f>
        <v>3</v>
      </c>
      <c r="M952" s="18" t="n">
        <f aca="false">(D952&lt;&gt;"")*(D952&lt;=($E$3*60+$F$3)/86400)+(H952&lt;&gt;"")*(H952&lt;=($I$3*60+$J$3)/86400)+(J952&lt;&gt;"")*(J952&lt;=($M$3*60+$N$3)/86400)</f>
        <v>0</v>
      </c>
      <c r="N952" s="20"/>
      <c r="O952" s="20"/>
      <c r="P952" s="20"/>
      <c r="Q952" s="19"/>
    </row>
    <row r="953" customFormat="false" ht="15" hidden="false" customHeight="false" outlineLevel="0" collapsed="false">
      <c r="A953" s="10" t="n">
        <v>947</v>
      </c>
      <c r="B953" s="11" t="s">
        <v>1550</v>
      </c>
      <c r="C953" s="12" t="s">
        <v>409</v>
      </c>
      <c r="D953" s="13" t="n">
        <v>0.0109170138888889</v>
      </c>
      <c r="E953" s="14" t="n">
        <v>948</v>
      </c>
      <c r="F953" s="15" t="n">
        <f aca="false">IF(D953="","",ROUND((D953-MIN($D$7:$D$9999))*86400,2))</f>
        <v>153.49</v>
      </c>
      <c r="G953" s="10" t="str">
        <f aca="false">IF(D953="","",IF(D953&lt;=($E$3*60+$F$3)/86400,"○",""))</f>
        <v/>
      </c>
      <c r="H953" s="16"/>
      <c r="I953" s="17"/>
      <c r="J953" s="16"/>
      <c r="K953" s="17"/>
      <c r="L953" s="17" t="n">
        <f aca="false">COUNT(E953,I953,K953)</f>
        <v>1</v>
      </c>
      <c r="M953" s="18" t="n">
        <f aca="false">(D953&lt;&gt;"")*(D953&lt;=($E$3*60+$F$3)/86400)+(H953&lt;&gt;"")*(H953&lt;=($I$3*60+$J$3)/86400)+(J953&lt;&gt;"")*(J953&lt;=($M$3*60+$N$3)/86400)</f>
        <v>0</v>
      </c>
      <c r="N953" s="20"/>
      <c r="O953" s="20"/>
      <c r="P953" s="20"/>
      <c r="Q953" s="19"/>
    </row>
    <row r="954" customFormat="false" ht="15" hidden="false" customHeight="false" outlineLevel="0" collapsed="false">
      <c r="A954" s="10" t="n">
        <v>948</v>
      </c>
      <c r="B954" s="11" t="s">
        <v>1551</v>
      </c>
      <c r="C954" s="12" t="s">
        <v>1552</v>
      </c>
      <c r="D954" s="13" t="n">
        <v>0.0109172453703704</v>
      </c>
      <c r="E954" s="14" t="n">
        <v>949</v>
      </c>
      <c r="F954" s="15" t="n">
        <f aca="false">IF(D954="","",ROUND((D954-MIN($D$7:$D$9999))*86400,2))</f>
        <v>153.51</v>
      </c>
      <c r="G954" s="10" t="str">
        <f aca="false">IF(D954="","",IF(D954&lt;=($E$3*60+$F$3)/86400,"○",""))</f>
        <v/>
      </c>
      <c r="H954" s="16"/>
      <c r="I954" s="17"/>
      <c r="J954" s="16" t="n">
        <v>0.00295023148148148</v>
      </c>
      <c r="K954" s="17" t="n">
        <v>1239</v>
      </c>
      <c r="L954" s="17" t="n">
        <f aca="false">COUNT(E954,I954,K954)</f>
        <v>2</v>
      </c>
      <c r="M954" s="18" t="n">
        <f aca="false">(D954&lt;&gt;"")*(D954&lt;=($E$3*60+$F$3)/86400)+(H954&lt;&gt;"")*(H954&lt;=($I$3*60+$J$3)/86400)+(J954&lt;&gt;"")*(J954&lt;=($M$3*60+$N$3)/86400)</f>
        <v>0</v>
      </c>
      <c r="N954" s="20"/>
      <c r="O954" s="20"/>
      <c r="P954" s="20"/>
      <c r="Q954" s="19"/>
    </row>
    <row r="955" customFormat="false" ht="15" hidden="false" customHeight="false" outlineLevel="0" collapsed="false">
      <c r="A955" s="10" t="n">
        <v>949</v>
      </c>
      <c r="B955" s="11" t="s">
        <v>1553</v>
      </c>
      <c r="C955" s="12" t="s">
        <v>440</v>
      </c>
      <c r="D955" s="13" t="n">
        <v>0.0109190972222222</v>
      </c>
      <c r="E955" s="14" t="n">
        <v>950</v>
      </c>
      <c r="F955" s="15" t="n">
        <f aca="false">IF(D955="","",ROUND((D955-MIN($D$7:$D$9999))*86400,2))</f>
        <v>153.67</v>
      </c>
      <c r="G955" s="10" t="str">
        <f aca="false">IF(D955="","",IF(D955&lt;=($E$3*60+$F$3)/86400,"○",""))</f>
        <v/>
      </c>
      <c r="H955" s="16"/>
      <c r="I955" s="17"/>
      <c r="J955" s="16" t="n">
        <v>0.0028875</v>
      </c>
      <c r="K955" s="17" t="n">
        <v>839</v>
      </c>
      <c r="L955" s="17" t="n">
        <f aca="false">COUNT(E955,I955,K955)</f>
        <v>2</v>
      </c>
      <c r="M955" s="18" t="n">
        <f aca="false">(D955&lt;&gt;"")*(D955&lt;=($E$3*60+$F$3)/86400)+(H955&lt;&gt;"")*(H955&lt;=($I$3*60+$J$3)/86400)+(J955&lt;&gt;"")*(J955&lt;=($M$3*60+$N$3)/86400)</f>
        <v>0</v>
      </c>
      <c r="N955" s="20" t="s">
        <v>1554</v>
      </c>
      <c r="O955" s="20"/>
      <c r="P955" s="20"/>
      <c r="Q955" s="19"/>
    </row>
    <row r="956" customFormat="false" ht="15" hidden="false" customHeight="false" outlineLevel="0" collapsed="false">
      <c r="A956" s="10" t="n">
        <v>950</v>
      </c>
      <c r="B956" s="11" t="s">
        <v>1555</v>
      </c>
      <c r="C956" s="12" t="s">
        <v>370</v>
      </c>
      <c r="D956" s="13" t="n">
        <v>0.0109208333333333</v>
      </c>
      <c r="E956" s="14" t="n">
        <v>951</v>
      </c>
      <c r="F956" s="15" t="n">
        <f aca="false">IF(D956="","",ROUND((D956-MIN($D$7:$D$9999))*86400,2))</f>
        <v>153.82</v>
      </c>
      <c r="G956" s="10" t="str">
        <f aca="false">IF(D956="","",IF(D956&lt;=($E$3*60+$F$3)/86400,"○",""))</f>
        <v/>
      </c>
      <c r="H956" s="16" t="n">
        <v>0.00710694444444444</v>
      </c>
      <c r="I956" s="17" t="n">
        <v>455</v>
      </c>
      <c r="J956" s="16"/>
      <c r="K956" s="17"/>
      <c r="L956" s="17" t="n">
        <f aca="false">COUNT(E956,I956,K956)</f>
        <v>2</v>
      </c>
      <c r="M956" s="18" t="n">
        <f aca="false">(D956&lt;&gt;"")*(D956&lt;=($E$3*60+$F$3)/86400)+(H956&lt;&gt;"")*(H956&lt;=($I$3*60+$J$3)/86400)+(J956&lt;&gt;"")*(J956&lt;=($M$3*60+$N$3)/86400)</f>
        <v>0</v>
      </c>
      <c r="N956" s="20"/>
      <c r="O956" s="20"/>
      <c r="P956" s="20"/>
      <c r="Q956" s="19"/>
    </row>
    <row r="957" customFormat="false" ht="15" hidden="false" customHeight="false" outlineLevel="0" collapsed="false">
      <c r="A957" s="10" t="n">
        <v>951</v>
      </c>
      <c r="B957" s="11" t="s">
        <v>1556</v>
      </c>
      <c r="C957" s="12" t="s">
        <v>565</v>
      </c>
      <c r="D957" s="13" t="n">
        <v>0.0109219907407407</v>
      </c>
      <c r="E957" s="14" t="n">
        <v>952</v>
      </c>
      <c r="F957" s="15" t="n">
        <f aca="false">IF(D957="","",ROUND((D957-MIN($D$7:$D$9999))*86400,2))</f>
        <v>153.92</v>
      </c>
      <c r="G957" s="10" t="str">
        <f aca="false">IF(D957="","",IF(D957&lt;=($E$3*60+$F$3)/86400,"○",""))</f>
        <v/>
      </c>
      <c r="H957" s="16" t="n">
        <v>0.00695462962962963</v>
      </c>
      <c r="I957" s="17" t="n">
        <v>288</v>
      </c>
      <c r="J957" s="16" t="n">
        <v>0.00287835648148148</v>
      </c>
      <c r="K957" s="17" t="n">
        <v>755</v>
      </c>
      <c r="L957" s="17" t="n">
        <f aca="false">COUNT(E957,I957,K957)</f>
        <v>3</v>
      </c>
      <c r="M957" s="18" t="n">
        <f aca="false">(D957&lt;&gt;"")*(D957&lt;=($E$3*60+$F$3)/86400)+(H957&lt;&gt;"")*(H957&lt;=($I$3*60+$J$3)/86400)+(J957&lt;&gt;"")*(J957&lt;=($M$3*60+$N$3)/86400)</f>
        <v>0</v>
      </c>
      <c r="N957" s="20"/>
      <c r="O957" s="20"/>
      <c r="P957" s="20"/>
      <c r="Q957" s="19"/>
    </row>
    <row r="958" customFormat="false" ht="15" hidden="false" customHeight="false" outlineLevel="0" collapsed="false">
      <c r="A958" s="10" t="n">
        <v>952</v>
      </c>
      <c r="B958" s="11" t="s">
        <v>1557</v>
      </c>
      <c r="C958" s="12" t="s">
        <v>1558</v>
      </c>
      <c r="D958" s="13" t="n">
        <v>0.0109225694444444</v>
      </c>
      <c r="E958" s="14" t="n">
        <v>953</v>
      </c>
      <c r="F958" s="15" t="n">
        <f aca="false">IF(D958="","",ROUND((D958-MIN($D$7:$D$9999))*86400,2))</f>
        <v>153.97</v>
      </c>
      <c r="G958" s="10" t="str">
        <f aca="false">IF(D958="","",IF(D958&lt;=($E$3*60+$F$3)/86400,"○",""))</f>
        <v/>
      </c>
      <c r="H958" s="16"/>
      <c r="I958" s="17"/>
      <c r="J958" s="16" t="n">
        <v>0.00285578703703704</v>
      </c>
      <c r="K958" s="17" t="n">
        <v>604</v>
      </c>
      <c r="L958" s="17" t="n">
        <f aca="false">COUNT(E958,I958,K958)</f>
        <v>2</v>
      </c>
      <c r="M958" s="18" t="n">
        <f aca="false">(D958&lt;&gt;"")*(D958&lt;=($E$3*60+$F$3)/86400)+(H958&lt;&gt;"")*(H958&lt;=($I$3*60+$J$3)/86400)+(J958&lt;&gt;"")*(J958&lt;=($M$3*60+$N$3)/86400)</f>
        <v>0</v>
      </c>
      <c r="N958" s="20"/>
      <c r="O958" s="20"/>
      <c r="P958" s="20"/>
      <c r="Q958" s="19"/>
    </row>
    <row r="959" customFormat="false" ht="15" hidden="false" customHeight="false" outlineLevel="0" collapsed="false">
      <c r="A959" s="10" t="n">
        <v>953</v>
      </c>
      <c r="B959" s="11" t="s">
        <v>1559</v>
      </c>
      <c r="C959" s="12" t="s">
        <v>1560</v>
      </c>
      <c r="D959" s="13" t="n">
        <v>0.0109225694444444</v>
      </c>
      <c r="E959" s="14" t="n">
        <v>954</v>
      </c>
      <c r="F959" s="15" t="n">
        <f aca="false">IF(D959="","",ROUND((D959-MIN($D$7:$D$9999))*86400,2))</f>
        <v>153.97</v>
      </c>
      <c r="G959" s="10" t="str">
        <f aca="false">IF(D959="","",IF(D959&lt;=($E$3*60+$F$3)/86400,"○",""))</f>
        <v/>
      </c>
      <c r="H959" s="16" t="n">
        <v>0.00734189814814815</v>
      </c>
      <c r="I959" s="17" t="n">
        <v>699</v>
      </c>
      <c r="J959" s="16" t="n">
        <v>0.00295</v>
      </c>
      <c r="K959" s="17" t="n">
        <v>1237</v>
      </c>
      <c r="L959" s="17" t="n">
        <f aca="false">COUNT(E959,I959,K959)</f>
        <v>3</v>
      </c>
      <c r="M959" s="18" t="n">
        <f aca="false">(D959&lt;&gt;"")*(D959&lt;=($E$3*60+$F$3)/86400)+(H959&lt;&gt;"")*(H959&lt;=($I$3*60+$J$3)/86400)+(J959&lt;&gt;"")*(J959&lt;=($M$3*60+$N$3)/86400)</f>
        <v>0</v>
      </c>
      <c r="N959" s="20"/>
      <c r="O959" s="20"/>
      <c r="P959" s="20"/>
      <c r="Q959" s="19"/>
    </row>
    <row r="960" customFormat="false" ht="15" hidden="false" customHeight="false" outlineLevel="0" collapsed="false">
      <c r="A960" s="10" t="n">
        <v>954</v>
      </c>
      <c r="B960" s="11" t="s">
        <v>1561</v>
      </c>
      <c r="C960" s="12" t="s">
        <v>323</v>
      </c>
      <c r="D960" s="13" t="n">
        <v>0.0109229166666667</v>
      </c>
      <c r="E960" s="14" t="n">
        <v>955</v>
      </c>
      <c r="F960" s="15" t="n">
        <f aca="false">IF(D960="","",ROUND((D960-MIN($D$7:$D$9999))*86400,2))</f>
        <v>154</v>
      </c>
      <c r="G960" s="10" t="str">
        <f aca="false">IF(D960="","",IF(D960&lt;=($E$3*60+$F$3)/86400,"○",""))</f>
        <v/>
      </c>
      <c r="H960" s="16" t="n">
        <v>0.00720891203703704</v>
      </c>
      <c r="I960" s="17" t="n">
        <v>545</v>
      </c>
      <c r="J960" s="16" t="n">
        <v>0.00281759259259259</v>
      </c>
      <c r="K960" s="17" t="n">
        <v>353</v>
      </c>
      <c r="L960" s="17" t="n">
        <f aca="false">COUNT(E960,I960,K960)</f>
        <v>3</v>
      </c>
      <c r="M960" s="18" t="n">
        <f aca="false">(D960&lt;&gt;"")*(D960&lt;=($E$3*60+$F$3)/86400)+(H960&lt;&gt;"")*(H960&lt;=($I$3*60+$J$3)/86400)+(J960&lt;&gt;"")*(J960&lt;=($M$3*60+$N$3)/86400)</f>
        <v>0</v>
      </c>
      <c r="N960" s="20"/>
      <c r="O960" s="20"/>
      <c r="P960" s="20"/>
      <c r="Q960" s="19"/>
    </row>
    <row r="961" customFormat="false" ht="15" hidden="false" customHeight="false" outlineLevel="0" collapsed="false">
      <c r="A961" s="10" t="n">
        <v>955</v>
      </c>
      <c r="B961" s="11" t="s">
        <v>1562</v>
      </c>
      <c r="C961" s="12" t="s">
        <v>417</v>
      </c>
      <c r="D961" s="13" t="n">
        <v>0.0109230324074074</v>
      </c>
      <c r="E961" s="14" t="n">
        <v>956</v>
      </c>
      <c r="F961" s="15" t="n">
        <f aca="false">IF(D961="","",ROUND((D961-MIN($D$7:$D$9999))*86400,2))</f>
        <v>154.01</v>
      </c>
      <c r="G961" s="10" t="str">
        <f aca="false">IF(D961="","",IF(D961&lt;=($E$3*60+$F$3)/86400,"○",""))</f>
        <v/>
      </c>
      <c r="H961" s="16"/>
      <c r="I961" s="17"/>
      <c r="J961" s="16"/>
      <c r="K961" s="17"/>
      <c r="L961" s="17" t="n">
        <f aca="false">COUNT(E961,I961,K961)</f>
        <v>1</v>
      </c>
      <c r="M961" s="18" t="n">
        <f aca="false">(D961&lt;&gt;"")*(D961&lt;=($E$3*60+$F$3)/86400)+(H961&lt;&gt;"")*(H961&lt;=($I$3*60+$J$3)/86400)+(J961&lt;&gt;"")*(J961&lt;=($M$3*60+$N$3)/86400)</f>
        <v>0</v>
      </c>
      <c r="N961" s="20"/>
      <c r="O961" s="20"/>
      <c r="P961" s="20"/>
      <c r="Q961" s="19"/>
    </row>
    <row r="962" customFormat="false" ht="15" hidden="false" customHeight="false" outlineLevel="0" collapsed="false">
      <c r="A962" s="10" t="n">
        <v>956</v>
      </c>
      <c r="B962" s="11" t="s">
        <v>1563</v>
      </c>
      <c r="C962" s="12" t="s">
        <v>599</v>
      </c>
      <c r="D962" s="13" t="n">
        <v>0.0109230324074074</v>
      </c>
      <c r="E962" s="14" t="n">
        <v>957</v>
      </c>
      <c r="F962" s="15" t="n">
        <f aca="false">IF(D962="","",ROUND((D962-MIN($D$7:$D$9999))*86400,2))</f>
        <v>154.01</v>
      </c>
      <c r="G962" s="10" t="str">
        <f aca="false">IF(D962="","",IF(D962&lt;=($E$3*60+$F$3)/86400,"○",""))</f>
        <v/>
      </c>
      <c r="H962" s="16"/>
      <c r="I962" s="17"/>
      <c r="J962" s="16" t="n">
        <v>0.00293958333333333</v>
      </c>
      <c r="K962" s="17" t="n">
        <v>1199</v>
      </c>
      <c r="L962" s="17" t="n">
        <f aca="false">COUNT(E962,I962,K962)</f>
        <v>2</v>
      </c>
      <c r="M962" s="18" t="n">
        <f aca="false">(D962&lt;&gt;"")*(D962&lt;=($E$3*60+$F$3)/86400)+(H962&lt;&gt;"")*(H962&lt;=($I$3*60+$J$3)/86400)+(J962&lt;&gt;"")*(J962&lt;=($M$3*60+$N$3)/86400)</f>
        <v>0</v>
      </c>
      <c r="N962" s="20"/>
      <c r="O962" s="20"/>
      <c r="P962" s="20"/>
      <c r="Q962" s="19"/>
    </row>
    <row r="963" customFormat="false" ht="15" hidden="false" customHeight="false" outlineLevel="0" collapsed="false">
      <c r="A963" s="10" t="n">
        <v>957</v>
      </c>
      <c r="B963" s="11" t="s">
        <v>1564</v>
      </c>
      <c r="C963" s="12" t="s">
        <v>949</v>
      </c>
      <c r="D963" s="13" t="n">
        <v>0.0109230324074074</v>
      </c>
      <c r="E963" s="14" t="n">
        <v>958</v>
      </c>
      <c r="F963" s="15" t="n">
        <f aca="false">IF(D963="","",ROUND((D963-MIN($D$7:$D$9999))*86400,2))</f>
        <v>154.01</v>
      </c>
      <c r="G963" s="10" t="str">
        <f aca="false">IF(D963="","",IF(D963&lt;=($E$3*60+$F$3)/86400,"○",""))</f>
        <v/>
      </c>
      <c r="H963" s="16"/>
      <c r="I963" s="17"/>
      <c r="J963" s="16" t="n">
        <v>0.00297407407407407</v>
      </c>
      <c r="K963" s="17" t="n">
        <v>1323</v>
      </c>
      <c r="L963" s="17" t="n">
        <f aca="false">COUNT(E963,I963,K963)</f>
        <v>2</v>
      </c>
      <c r="M963" s="18" t="n">
        <f aca="false">(D963&lt;&gt;"")*(D963&lt;=($E$3*60+$F$3)/86400)+(H963&lt;&gt;"")*(H963&lt;=($I$3*60+$J$3)/86400)+(J963&lt;&gt;"")*(J963&lt;=($M$3*60+$N$3)/86400)</f>
        <v>0</v>
      </c>
      <c r="N963" s="20"/>
      <c r="O963" s="20"/>
      <c r="P963" s="20"/>
      <c r="Q963" s="19"/>
    </row>
    <row r="964" customFormat="false" ht="15" hidden="false" customHeight="false" outlineLevel="0" collapsed="false">
      <c r="A964" s="10" t="n">
        <v>958</v>
      </c>
      <c r="B964" s="11" t="s">
        <v>1565</v>
      </c>
      <c r="C964" s="12" t="s">
        <v>228</v>
      </c>
      <c r="D964" s="13" t="n">
        <v>0.0109282407407407</v>
      </c>
      <c r="E964" s="14" t="n">
        <v>959</v>
      </c>
      <c r="F964" s="15" t="n">
        <f aca="false">IF(D964="","",ROUND((D964-MIN($D$7:$D$9999))*86400,2))</f>
        <v>154.46</v>
      </c>
      <c r="G964" s="10" t="str">
        <f aca="false">IF(D964="","",IF(D964&lt;=($E$3*60+$F$3)/86400,"○",""))</f>
        <v/>
      </c>
      <c r="H964" s="16"/>
      <c r="I964" s="17"/>
      <c r="J964" s="16"/>
      <c r="K964" s="17"/>
      <c r="L964" s="17" t="n">
        <f aca="false">COUNT(E964,I964,K964)</f>
        <v>1</v>
      </c>
      <c r="M964" s="18" t="n">
        <f aca="false">(D964&lt;&gt;"")*(D964&lt;=($E$3*60+$F$3)/86400)+(H964&lt;&gt;"")*(H964&lt;=($I$3*60+$J$3)/86400)+(J964&lt;&gt;"")*(J964&lt;=($M$3*60+$N$3)/86400)</f>
        <v>0</v>
      </c>
      <c r="N964" s="20"/>
      <c r="O964" s="20"/>
      <c r="P964" s="12" t="s">
        <v>1566</v>
      </c>
      <c r="Q964" s="19"/>
    </row>
    <row r="965" customFormat="false" ht="15" hidden="false" customHeight="false" outlineLevel="0" collapsed="false">
      <c r="A965" s="10" t="n">
        <v>959</v>
      </c>
      <c r="B965" s="11" t="s">
        <v>1567</v>
      </c>
      <c r="C965" s="12" t="s">
        <v>1568</v>
      </c>
      <c r="D965" s="13" t="n">
        <v>0.0109263888888889</v>
      </c>
      <c r="E965" s="14" t="n">
        <v>960</v>
      </c>
      <c r="F965" s="15" t="n">
        <f aca="false">IF(D965="","",ROUND((D965-MIN($D$7:$D$9999))*86400,2))</f>
        <v>154.3</v>
      </c>
      <c r="G965" s="10" t="str">
        <f aca="false">IF(D965="","",IF(D965&lt;=($E$3*60+$F$3)/86400,"○",""))</f>
        <v/>
      </c>
      <c r="H965" s="16"/>
      <c r="I965" s="17"/>
      <c r="J965" s="16"/>
      <c r="K965" s="17"/>
      <c r="L965" s="17" t="n">
        <f aca="false">COUNT(E965,I965,K965)</f>
        <v>1</v>
      </c>
      <c r="M965" s="18" t="n">
        <f aca="false">(D965&lt;&gt;"")*(D965&lt;=($E$3*60+$F$3)/86400)+(H965&lt;&gt;"")*(H965&lt;=($I$3*60+$J$3)/86400)+(J965&lt;&gt;"")*(J965&lt;=($M$3*60+$N$3)/86400)</f>
        <v>0</v>
      </c>
      <c r="N965" s="20"/>
      <c r="O965" s="20"/>
      <c r="P965" s="20"/>
      <c r="Q965" s="19"/>
    </row>
    <row r="966" customFormat="false" ht="15" hidden="false" customHeight="false" outlineLevel="0" collapsed="false">
      <c r="A966" s="10" t="n">
        <v>960</v>
      </c>
      <c r="B966" s="11" t="s">
        <v>1569</v>
      </c>
      <c r="C966" s="12" t="s">
        <v>1570</v>
      </c>
      <c r="D966" s="13" t="n">
        <v>0.0109266203703704</v>
      </c>
      <c r="E966" s="14" t="n">
        <v>961</v>
      </c>
      <c r="F966" s="15" t="n">
        <f aca="false">IF(D966="","",ROUND((D966-MIN($D$7:$D$9999))*86400,2))</f>
        <v>154.32</v>
      </c>
      <c r="G966" s="10" t="str">
        <f aca="false">IF(D966="","",IF(D966&lt;=($E$3*60+$F$3)/86400,"○",""))</f>
        <v/>
      </c>
      <c r="H966" s="16"/>
      <c r="I966" s="17"/>
      <c r="J966" s="16" t="n">
        <v>0.00290069444444444</v>
      </c>
      <c r="K966" s="17" t="n">
        <v>953</v>
      </c>
      <c r="L966" s="17" t="n">
        <f aca="false">COUNT(E966,I966,K966)</f>
        <v>2</v>
      </c>
      <c r="M966" s="18" t="n">
        <f aca="false">(D966&lt;&gt;"")*(D966&lt;=($E$3*60+$F$3)/86400)+(H966&lt;&gt;"")*(H966&lt;=($I$3*60+$J$3)/86400)+(J966&lt;&gt;"")*(J966&lt;=($M$3*60+$N$3)/86400)</f>
        <v>0</v>
      </c>
      <c r="N966" s="20"/>
      <c r="O966" s="20"/>
      <c r="P966" s="20"/>
      <c r="Q966" s="19"/>
    </row>
    <row r="967" customFormat="false" ht="15" hidden="false" customHeight="false" outlineLevel="0" collapsed="false">
      <c r="A967" s="10" t="n">
        <v>961</v>
      </c>
      <c r="B967" s="11" t="s">
        <v>1571</v>
      </c>
      <c r="C967" s="12" t="s">
        <v>71</v>
      </c>
      <c r="D967" s="13" t="n">
        <v>0.0109270833333333</v>
      </c>
      <c r="E967" s="14" t="n">
        <v>962</v>
      </c>
      <c r="F967" s="15" t="n">
        <f aca="false">IF(D967="","",ROUND((D967-MIN($D$7:$D$9999))*86400,2))</f>
        <v>154.36</v>
      </c>
      <c r="G967" s="10" t="str">
        <f aca="false">IF(D967="","",IF(D967&lt;=($E$3*60+$F$3)/86400,"○",""))</f>
        <v/>
      </c>
      <c r="H967" s="16" t="n">
        <v>0.00700451388888889</v>
      </c>
      <c r="I967" s="17" t="n">
        <v>340</v>
      </c>
      <c r="J967" s="16"/>
      <c r="K967" s="17"/>
      <c r="L967" s="17" t="n">
        <f aca="false">COUNT(E967,I967,K967)</f>
        <v>2</v>
      </c>
      <c r="M967" s="18" t="n">
        <f aca="false">(D967&lt;&gt;"")*(D967&lt;=($E$3*60+$F$3)/86400)+(H967&lt;&gt;"")*(H967&lt;=($I$3*60+$J$3)/86400)+(J967&lt;&gt;"")*(J967&lt;=($M$3*60+$N$3)/86400)</f>
        <v>0</v>
      </c>
      <c r="N967" s="20"/>
      <c r="O967" s="20"/>
      <c r="P967" s="20"/>
      <c r="Q967" s="19"/>
    </row>
    <row r="968" customFormat="false" ht="15" hidden="false" customHeight="false" outlineLevel="0" collapsed="false">
      <c r="A968" s="10" t="n">
        <v>962</v>
      </c>
      <c r="B968" s="11" t="s">
        <v>1572</v>
      </c>
      <c r="C968" s="12" t="s">
        <v>318</v>
      </c>
      <c r="D968" s="13" t="n">
        <v>0.0109284722222222</v>
      </c>
      <c r="E968" s="14" t="n">
        <v>963</v>
      </c>
      <c r="F968" s="15" t="n">
        <f aca="false">IF(D968="","",ROUND((D968-MIN($D$7:$D$9999))*86400,2))</f>
        <v>154.48</v>
      </c>
      <c r="G968" s="10" t="str">
        <f aca="false">IF(D968="","",IF(D968&lt;=($E$3*60+$F$3)/86400,"○",""))</f>
        <v/>
      </c>
      <c r="H968" s="16"/>
      <c r="I968" s="17"/>
      <c r="J968" s="16"/>
      <c r="K968" s="17"/>
      <c r="L968" s="17" t="n">
        <f aca="false">COUNT(E968,I968,K968)</f>
        <v>1</v>
      </c>
      <c r="M968" s="18" t="n">
        <f aca="false">(D968&lt;&gt;"")*(D968&lt;=($E$3*60+$F$3)/86400)+(H968&lt;&gt;"")*(H968&lt;=($I$3*60+$J$3)/86400)+(J968&lt;&gt;"")*(J968&lt;=($M$3*60+$N$3)/86400)</f>
        <v>0</v>
      </c>
      <c r="N968" s="20"/>
      <c r="O968" s="20"/>
      <c r="P968" s="20"/>
      <c r="Q968" s="19"/>
    </row>
    <row r="969" customFormat="false" ht="15" hidden="false" customHeight="false" outlineLevel="0" collapsed="false">
      <c r="A969" s="10" t="n">
        <v>963</v>
      </c>
      <c r="B969" s="11" t="s">
        <v>1573</v>
      </c>
      <c r="C969" s="12" t="s">
        <v>1574</v>
      </c>
      <c r="D969" s="13" t="n">
        <v>0.0109287037037037</v>
      </c>
      <c r="E969" s="14" t="n">
        <v>964</v>
      </c>
      <c r="F969" s="15" t="n">
        <f aca="false">IF(D969="","",ROUND((D969-MIN($D$7:$D$9999))*86400,2))</f>
        <v>154.5</v>
      </c>
      <c r="G969" s="10" t="str">
        <f aca="false">IF(D969="","",IF(D969&lt;=($E$3*60+$F$3)/86400,"○",""))</f>
        <v/>
      </c>
      <c r="H969" s="16"/>
      <c r="I969" s="17"/>
      <c r="J969" s="16" t="n">
        <v>0.00289722222222222</v>
      </c>
      <c r="K969" s="17" t="n">
        <v>926</v>
      </c>
      <c r="L969" s="17" t="n">
        <f aca="false">COUNT(E969,I969,K969)</f>
        <v>2</v>
      </c>
      <c r="M969" s="18" t="n">
        <f aca="false">(D969&lt;&gt;"")*(D969&lt;=($E$3*60+$F$3)/86400)+(H969&lt;&gt;"")*(H969&lt;=($I$3*60+$J$3)/86400)+(J969&lt;&gt;"")*(J969&lt;=($M$3*60+$N$3)/86400)</f>
        <v>0</v>
      </c>
      <c r="N969" s="20"/>
      <c r="O969" s="20"/>
      <c r="P969" s="20"/>
      <c r="Q969" s="19"/>
    </row>
    <row r="970" customFormat="false" ht="15" hidden="false" customHeight="false" outlineLevel="0" collapsed="false">
      <c r="A970" s="10" t="n">
        <v>964</v>
      </c>
      <c r="B970" s="11" t="s">
        <v>1575</v>
      </c>
      <c r="C970" s="12" t="s">
        <v>1576</v>
      </c>
      <c r="D970" s="13" t="n">
        <v>0.0109290509259259</v>
      </c>
      <c r="E970" s="14" t="n">
        <v>965</v>
      </c>
      <c r="F970" s="15" t="n">
        <f aca="false">IF(D970="","",ROUND((D970-MIN($D$7:$D$9999))*86400,2))</f>
        <v>154.53</v>
      </c>
      <c r="G970" s="10" t="str">
        <f aca="false">IF(D970="","",IF(D970&lt;=($E$3*60+$F$3)/86400,"○",""))</f>
        <v/>
      </c>
      <c r="H970" s="16"/>
      <c r="I970" s="17"/>
      <c r="J970" s="16" t="n">
        <v>0.002915625</v>
      </c>
      <c r="K970" s="17" t="n">
        <v>1057</v>
      </c>
      <c r="L970" s="17" t="n">
        <f aca="false">COUNT(E970,I970,K970)</f>
        <v>2</v>
      </c>
      <c r="M970" s="18" t="n">
        <f aca="false">(D970&lt;&gt;"")*(D970&lt;=($E$3*60+$F$3)/86400)+(H970&lt;&gt;"")*(H970&lt;=($I$3*60+$J$3)/86400)+(J970&lt;&gt;"")*(J970&lt;=($M$3*60+$N$3)/86400)</f>
        <v>0</v>
      </c>
      <c r="N970" s="20"/>
      <c r="O970" s="20"/>
      <c r="P970" s="20"/>
      <c r="Q970" s="19"/>
    </row>
    <row r="971" customFormat="false" ht="15" hidden="false" customHeight="false" outlineLevel="0" collapsed="false">
      <c r="A971" s="10" t="n">
        <v>965</v>
      </c>
      <c r="B971" s="11" t="s">
        <v>1577</v>
      </c>
      <c r="C971" s="12" t="s">
        <v>515</v>
      </c>
      <c r="D971" s="13" t="n">
        <v>0.0109295138888889</v>
      </c>
      <c r="E971" s="14" t="n">
        <v>966</v>
      </c>
      <c r="F971" s="15" t="n">
        <f aca="false">IF(D971="","",ROUND((D971-MIN($D$7:$D$9999))*86400,2))</f>
        <v>154.57</v>
      </c>
      <c r="G971" s="10" t="str">
        <f aca="false">IF(D971="","",IF(D971&lt;=($E$3*60+$F$3)/86400,"○",""))</f>
        <v/>
      </c>
      <c r="H971" s="16" t="n">
        <v>0.00689884259259259</v>
      </c>
      <c r="I971" s="17" t="n">
        <v>239</v>
      </c>
      <c r="J971" s="16" t="n">
        <v>0.00297673611111111</v>
      </c>
      <c r="K971" s="17" t="n">
        <v>1337</v>
      </c>
      <c r="L971" s="17" t="n">
        <f aca="false">COUNT(E971,I971,K971)</f>
        <v>3</v>
      </c>
      <c r="M971" s="18" t="n">
        <f aca="false">(D971&lt;&gt;"")*(D971&lt;=($E$3*60+$F$3)/86400)+(H971&lt;&gt;"")*(H971&lt;=($I$3*60+$J$3)/86400)+(J971&lt;&gt;"")*(J971&lt;=($M$3*60+$N$3)/86400)</f>
        <v>0</v>
      </c>
      <c r="N971" s="20"/>
      <c r="O971" s="20"/>
      <c r="P971" s="20"/>
      <c r="Q971" s="19"/>
    </row>
    <row r="972" customFormat="false" ht="15" hidden="false" customHeight="false" outlineLevel="0" collapsed="false">
      <c r="A972" s="10" t="n">
        <v>966</v>
      </c>
      <c r="B972" s="11" t="s">
        <v>1578</v>
      </c>
      <c r="C972" s="12" t="s">
        <v>1579</v>
      </c>
      <c r="D972" s="13" t="n">
        <v>0.0109299768518519</v>
      </c>
      <c r="E972" s="14" t="n">
        <v>967</v>
      </c>
      <c r="F972" s="15" t="n">
        <f aca="false">IF(D972="","",ROUND((D972-MIN($D$7:$D$9999))*86400,2))</f>
        <v>154.61</v>
      </c>
      <c r="G972" s="10" t="str">
        <f aca="false">IF(D972="","",IF(D972&lt;=($E$3*60+$F$3)/86400,"○",""))</f>
        <v/>
      </c>
      <c r="H972" s="16"/>
      <c r="I972" s="17"/>
      <c r="J972" s="16" t="n">
        <v>0.002846875</v>
      </c>
      <c r="K972" s="17" t="n">
        <v>551</v>
      </c>
      <c r="L972" s="17" t="n">
        <f aca="false">COUNT(E972,I972,K972)</f>
        <v>2</v>
      </c>
      <c r="M972" s="18" t="n">
        <f aca="false">(D972&lt;&gt;"")*(D972&lt;=($E$3*60+$F$3)/86400)+(H972&lt;&gt;"")*(H972&lt;=($I$3*60+$J$3)/86400)+(J972&lt;&gt;"")*(J972&lt;=($M$3*60+$N$3)/86400)</f>
        <v>0</v>
      </c>
      <c r="N972" s="20"/>
      <c r="O972" s="20"/>
      <c r="P972" s="20"/>
      <c r="Q972" s="19"/>
    </row>
    <row r="973" customFormat="false" ht="15" hidden="false" customHeight="false" outlineLevel="0" collapsed="false">
      <c r="A973" s="10" t="n">
        <v>967</v>
      </c>
      <c r="B973" s="11" t="s">
        <v>1580</v>
      </c>
      <c r="C973" s="12" t="s">
        <v>375</v>
      </c>
      <c r="D973" s="13" t="n">
        <v>0.0109311342592593</v>
      </c>
      <c r="E973" s="14" t="n">
        <v>968</v>
      </c>
      <c r="F973" s="15" t="n">
        <f aca="false">IF(D973="","",ROUND((D973-MIN($D$7:$D$9999))*86400,2))</f>
        <v>154.71</v>
      </c>
      <c r="G973" s="10" t="str">
        <f aca="false">IF(D973="","",IF(D973&lt;=($E$3*60+$F$3)/86400,"○",""))</f>
        <v/>
      </c>
      <c r="H973" s="16"/>
      <c r="I973" s="17"/>
      <c r="J973" s="16"/>
      <c r="K973" s="17"/>
      <c r="L973" s="17" t="n">
        <f aca="false">COUNT(E973,I973,K973)</f>
        <v>1</v>
      </c>
      <c r="M973" s="18" t="n">
        <f aca="false">(D973&lt;&gt;"")*(D973&lt;=($E$3*60+$F$3)/86400)+(H973&lt;&gt;"")*(H973&lt;=($I$3*60+$J$3)/86400)+(J973&lt;&gt;"")*(J973&lt;=($M$3*60+$N$3)/86400)</f>
        <v>0</v>
      </c>
      <c r="N973" s="20"/>
      <c r="O973" s="20"/>
      <c r="P973" s="20"/>
      <c r="Q973" s="19"/>
    </row>
    <row r="974" customFormat="false" ht="15" hidden="false" customHeight="false" outlineLevel="0" collapsed="false">
      <c r="A974" s="10" t="n">
        <v>968</v>
      </c>
      <c r="B974" s="11" t="s">
        <v>1581</v>
      </c>
      <c r="C974" s="12" t="s">
        <v>757</v>
      </c>
      <c r="D974" s="13" t="n">
        <v>0.0109320601851852</v>
      </c>
      <c r="E974" s="14" t="n">
        <v>969</v>
      </c>
      <c r="F974" s="15" t="n">
        <f aca="false">IF(D974="","",ROUND((D974-MIN($D$7:$D$9999))*86400,2))</f>
        <v>154.79</v>
      </c>
      <c r="G974" s="10" t="str">
        <f aca="false">IF(D974="","",IF(D974&lt;=($E$3*60+$F$3)/86400,"○",""))</f>
        <v/>
      </c>
      <c r="H974" s="16" t="n">
        <v>0.00716076388888889</v>
      </c>
      <c r="I974" s="17" t="n">
        <v>497</v>
      </c>
      <c r="J974" s="16"/>
      <c r="K974" s="17"/>
      <c r="L974" s="17" t="n">
        <f aca="false">COUNT(E974,I974,K974)</f>
        <v>2</v>
      </c>
      <c r="M974" s="18" t="n">
        <f aca="false">(D974&lt;&gt;"")*(D974&lt;=($E$3*60+$F$3)/86400)+(H974&lt;&gt;"")*(H974&lt;=($I$3*60+$J$3)/86400)+(J974&lt;&gt;"")*(J974&lt;=($M$3*60+$N$3)/86400)</f>
        <v>0</v>
      </c>
      <c r="N974" s="20"/>
      <c r="O974" s="20"/>
      <c r="P974" s="20"/>
      <c r="Q974" s="19"/>
    </row>
    <row r="975" customFormat="false" ht="15" hidden="false" customHeight="false" outlineLevel="0" collapsed="false">
      <c r="A975" s="10" t="n">
        <v>969</v>
      </c>
      <c r="B975" s="11" t="s">
        <v>1582</v>
      </c>
      <c r="C975" s="12" t="s">
        <v>1583</v>
      </c>
      <c r="D975" s="13" t="n">
        <v>0.0109322916666667</v>
      </c>
      <c r="E975" s="14" t="n">
        <v>970</v>
      </c>
      <c r="F975" s="15" t="n">
        <f aca="false">IF(D975="","",ROUND((D975-MIN($D$7:$D$9999))*86400,2))</f>
        <v>154.81</v>
      </c>
      <c r="G975" s="10" t="str">
        <f aca="false">IF(D975="","",IF(D975&lt;=($E$3*60+$F$3)/86400,"○",""))</f>
        <v/>
      </c>
      <c r="H975" s="16"/>
      <c r="I975" s="17"/>
      <c r="J975" s="16" t="n">
        <v>0.00292060185185185</v>
      </c>
      <c r="K975" s="17" t="n">
        <v>1106</v>
      </c>
      <c r="L975" s="17" t="n">
        <f aca="false">COUNT(E975,I975,K975)</f>
        <v>2</v>
      </c>
      <c r="M975" s="18" t="n">
        <f aca="false">(D975&lt;&gt;"")*(D975&lt;=($E$3*60+$F$3)/86400)+(H975&lt;&gt;"")*(H975&lt;=($I$3*60+$J$3)/86400)+(J975&lt;&gt;"")*(J975&lt;=($M$3*60+$N$3)/86400)</f>
        <v>0</v>
      </c>
      <c r="N975" s="20"/>
      <c r="O975" s="20"/>
      <c r="P975" s="20"/>
      <c r="Q975" s="19"/>
    </row>
    <row r="976" customFormat="false" ht="15" hidden="false" customHeight="false" outlineLevel="0" collapsed="false">
      <c r="A976" s="10" t="n">
        <v>970</v>
      </c>
      <c r="B976" s="11" t="s">
        <v>1584</v>
      </c>
      <c r="C976" s="12" t="s">
        <v>159</v>
      </c>
      <c r="D976" s="13" t="n">
        <v>0.0109322916666667</v>
      </c>
      <c r="E976" s="14" t="n">
        <v>971</v>
      </c>
      <c r="F976" s="15" t="n">
        <f aca="false">IF(D976="","",ROUND((D976-MIN($D$7:$D$9999))*86400,2))</f>
        <v>154.81</v>
      </c>
      <c r="G976" s="10" t="str">
        <f aca="false">IF(D976="","",IF(D976&lt;=($E$3*60+$F$3)/86400,"○",""))</f>
        <v/>
      </c>
      <c r="H976" s="16" t="n">
        <v>0.00676782407407408</v>
      </c>
      <c r="I976" s="17" t="n">
        <v>146</v>
      </c>
      <c r="J976" s="16" t="n">
        <v>0.0028806712962963</v>
      </c>
      <c r="K976" s="17" t="n">
        <v>775</v>
      </c>
      <c r="L976" s="17" t="n">
        <f aca="false">COUNT(E976,I976,K976)</f>
        <v>3</v>
      </c>
      <c r="M976" s="18" t="n">
        <f aca="false">(D976&lt;&gt;"")*(D976&lt;=($E$3*60+$F$3)/86400)+(H976&lt;&gt;"")*(H976&lt;=($I$3*60+$J$3)/86400)+(J976&lt;&gt;"")*(J976&lt;=($M$3*60+$N$3)/86400)</f>
        <v>0</v>
      </c>
      <c r="N976" s="20"/>
      <c r="O976" s="20"/>
      <c r="P976" s="20"/>
      <c r="Q976" s="19"/>
    </row>
    <row r="977" customFormat="false" ht="15" hidden="false" customHeight="false" outlineLevel="0" collapsed="false">
      <c r="A977" s="10" t="n">
        <v>971</v>
      </c>
      <c r="B977" s="11" t="s">
        <v>1585</v>
      </c>
      <c r="C977" s="12" t="s">
        <v>1586</v>
      </c>
      <c r="D977" s="13" t="n">
        <v>0.0109325231481482</v>
      </c>
      <c r="E977" s="14" t="n">
        <v>972</v>
      </c>
      <c r="F977" s="15" t="n">
        <f aca="false">IF(D977="","",ROUND((D977-MIN($D$7:$D$9999))*86400,2))</f>
        <v>154.83</v>
      </c>
      <c r="G977" s="10" t="str">
        <f aca="false">IF(D977="","",IF(D977&lt;=($E$3*60+$F$3)/86400,"○",""))</f>
        <v/>
      </c>
      <c r="H977" s="16"/>
      <c r="I977" s="17"/>
      <c r="J977" s="16" t="n">
        <v>0.00291712962962963</v>
      </c>
      <c r="K977" s="17" t="n">
        <v>1068</v>
      </c>
      <c r="L977" s="17" t="n">
        <f aca="false">COUNT(E977,I977,K977)</f>
        <v>2</v>
      </c>
      <c r="M977" s="18" t="n">
        <f aca="false">(D977&lt;&gt;"")*(D977&lt;=($E$3*60+$F$3)/86400)+(H977&lt;&gt;"")*(H977&lt;=($I$3*60+$J$3)/86400)+(J977&lt;&gt;"")*(J977&lt;=($M$3*60+$N$3)/86400)</f>
        <v>0</v>
      </c>
      <c r="N977" s="20"/>
      <c r="O977" s="20"/>
      <c r="P977" s="20"/>
      <c r="Q977" s="19"/>
    </row>
    <row r="978" customFormat="false" ht="15" hidden="false" customHeight="false" outlineLevel="0" collapsed="false">
      <c r="A978" s="10" t="n">
        <v>972</v>
      </c>
      <c r="B978" s="11" t="s">
        <v>1587</v>
      </c>
      <c r="C978" s="12" t="s">
        <v>522</v>
      </c>
      <c r="D978" s="13" t="n">
        <v>0.0109334490740741</v>
      </c>
      <c r="E978" s="14" t="n">
        <v>973</v>
      </c>
      <c r="F978" s="15" t="n">
        <f aca="false">IF(D978="","",ROUND((D978-MIN($D$7:$D$9999))*86400,2))</f>
        <v>154.91</v>
      </c>
      <c r="G978" s="10" t="str">
        <f aca="false">IF(D978="","",IF(D978&lt;=($E$3*60+$F$3)/86400,"○",""))</f>
        <v/>
      </c>
      <c r="H978" s="16"/>
      <c r="I978" s="17"/>
      <c r="J978" s="16" t="n">
        <v>0.00297222222222222</v>
      </c>
      <c r="K978" s="17" t="n">
        <v>1319</v>
      </c>
      <c r="L978" s="17" t="n">
        <f aca="false">COUNT(E978,I978,K978)</f>
        <v>2</v>
      </c>
      <c r="M978" s="18" t="n">
        <f aca="false">(D978&lt;&gt;"")*(D978&lt;=($E$3*60+$F$3)/86400)+(H978&lt;&gt;"")*(H978&lt;=($I$3*60+$J$3)/86400)+(J978&lt;&gt;"")*(J978&lt;=($M$3*60+$N$3)/86400)</f>
        <v>0</v>
      </c>
      <c r="N978" s="20"/>
      <c r="O978" s="20"/>
      <c r="P978" s="20"/>
      <c r="Q978" s="19"/>
    </row>
    <row r="979" customFormat="false" ht="15" hidden="false" customHeight="false" outlineLevel="0" collapsed="false">
      <c r="A979" s="10" t="n">
        <v>973</v>
      </c>
      <c r="B979" s="11" t="s">
        <v>1588</v>
      </c>
      <c r="C979" s="12" t="s">
        <v>1265</v>
      </c>
      <c r="D979" s="13" t="n">
        <v>0.0109337962962963</v>
      </c>
      <c r="E979" s="14" t="n">
        <v>974</v>
      </c>
      <c r="F979" s="15" t="n">
        <f aca="false">IF(D979="","",ROUND((D979-MIN($D$7:$D$9999))*86400,2))</f>
        <v>154.94</v>
      </c>
      <c r="G979" s="10" t="str">
        <f aca="false">IF(D979="","",IF(D979&lt;=($E$3*60+$F$3)/86400,"○",""))</f>
        <v/>
      </c>
      <c r="H979" s="16"/>
      <c r="I979" s="17"/>
      <c r="J979" s="16" t="n">
        <v>0.00295972222222222</v>
      </c>
      <c r="K979" s="17" t="n">
        <v>1270</v>
      </c>
      <c r="L979" s="17" t="n">
        <f aca="false">COUNT(E979,I979,K979)</f>
        <v>2</v>
      </c>
      <c r="M979" s="18" t="n">
        <f aca="false">(D979&lt;&gt;"")*(D979&lt;=($E$3*60+$F$3)/86400)+(H979&lt;&gt;"")*(H979&lt;=($I$3*60+$J$3)/86400)+(J979&lt;&gt;"")*(J979&lt;=($M$3*60+$N$3)/86400)</f>
        <v>0</v>
      </c>
      <c r="N979" s="20"/>
      <c r="O979" s="20"/>
      <c r="P979" s="20"/>
      <c r="Q979" s="19"/>
    </row>
    <row r="980" customFormat="false" ht="15" hidden="false" customHeight="false" outlineLevel="0" collapsed="false">
      <c r="A980" s="10" t="n">
        <v>974</v>
      </c>
      <c r="B980" s="11" t="s">
        <v>1589</v>
      </c>
      <c r="C980" s="12" t="s">
        <v>1590</v>
      </c>
      <c r="D980" s="13" t="n">
        <v>0.0109340277777778</v>
      </c>
      <c r="E980" s="14" t="n">
        <v>975</v>
      </c>
      <c r="F980" s="15" t="n">
        <f aca="false">IF(D980="","",ROUND((D980-MIN($D$7:$D$9999))*86400,2))</f>
        <v>154.96</v>
      </c>
      <c r="G980" s="10" t="str">
        <f aca="false">IF(D980="","",IF(D980&lt;=($E$3*60+$F$3)/86400,"○",""))</f>
        <v/>
      </c>
      <c r="H980" s="16"/>
      <c r="I980" s="17"/>
      <c r="J980" s="16"/>
      <c r="K980" s="17"/>
      <c r="L980" s="17" t="n">
        <f aca="false">COUNT(E980,I980,K980)</f>
        <v>1</v>
      </c>
      <c r="M980" s="18" t="n">
        <f aca="false">(D980&lt;&gt;"")*(D980&lt;=($E$3*60+$F$3)/86400)+(H980&lt;&gt;"")*(H980&lt;=($I$3*60+$J$3)/86400)+(J980&lt;&gt;"")*(J980&lt;=($M$3*60+$N$3)/86400)</f>
        <v>0</v>
      </c>
      <c r="N980" s="20"/>
      <c r="O980" s="20" t="s">
        <v>1591</v>
      </c>
      <c r="P980" s="20"/>
      <c r="Q980" s="19"/>
    </row>
    <row r="981" customFormat="false" ht="15" hidden="false" customHeight="false" outlineLevel="0" collapsed="false">
      <c r="A981" s="10" t="n">
        <v>975</v>
      </c>
      <c r="B981" s="11" t="s">
        <v>1592</v>
      </c>
      <c r="C981" s="12" t="s">
        <v>103</v>
      </c>
      <c r="D981" s="13" t="n">
        <v>0.0109353009259259</v>
      </c>
      <c r="E981" s="14" t="n">
        <v>976</v>
      </c>
      <c r="F981" s="15" t="n">
        <f aca="false">IF(D981="","",ROUND((D981-MIN($D$7:$D$9999))*86400,2))</f>
        <v>155.07</v>
      </c>
      <c r="G981" s="10" t="str">
        <f aca="false">IF(D981="","",IF(D981&lt;=($E$3*60+$F$3)/86400,"○",""))</f>
        <v/>
      </c>
      <c r="H981" s="16" t="n">
        <v>0.00680972222222222</v>
      </c>
      <c r="I981" s="17" t="n">
        <v>180</v>
      </c>
      <c r="J981" s="16" t="n">
        <v>0.00288136574074074</v>
      </c>
      <c r="K981" s="17" t="n">
        <v>781</v>
      </c>
      <c r="L981" s="17" t="n">
        <f aca="false">COUNT(E981,I981,K981)</f>
        <v>3</v>
      </c>
      <c r="M981" s="18" t="n">
        <f aca="false">(D981&lt;&gt;"")*(D981&lt;=($E$3*60+$F$3)/86400)+(H981&lt;&gt;"")*(H981&lt;=($I$3*60+$J$3)/86400)+(J981&lt;&gt;"")*(J981&lt;=($M$3*60+$N$3)/86400)</f>
        <v>0</v>
      </c>
      <c r="N981" s="20" t="s">
        <v>1593</v>
      </c>
      <c r="O981" s="20"/>
      <c r="P981" s="20"/>
      <c r="Q981" s="19"/>
    </row>
    <row r="982" customFormat="false" ht="15" hidden="false" customHeight="false" outlineLevel="0" collapsed="false">
      <c r="A982" s="10" t="n">
        <v>976</v>
      </c>
      <c r="B982" s="11" t="s">
        <v>1594</v>
      </c>
      <c r="C982" s="12" t="s">
        <v>1595</v>
      </c>
      <c r="D982" s="13" t="n">
        <v>0.0109361111111111</v>
      </c>
      <c r="E982" s="14" t="n">
        <v>977</v>
      </c>
      <c r="F982" s="15" t="n">
        <f aca="false">IF(D982="","",ROUND((D982-MIN($D$7:$D$9999))*86400,2))</f>
        <v>155.14</v>
      </c>
      <c r="G982" s="10" t="str">
        <f aca="false">IF(D982="","",IF(D982&lt;=($E$3*60+$F$3)/86400,"○",""))</f>
        <v/>
      </c>
      <c r="H982" s="16"/>
      <c r="I982" s="17"/>
      <c r="J982" s="16"/>
      <c r="K982" s="17"/>
      <c r="L982" s="17" t="n">
        <f aca="false">COUNT(E982,I982,K982)</f>
        <v>1</v>
      </c>
      <c r="M982" s="18" t="n">
        <f aca="false">(D982&lt;&gt;"")*(D982&lt;=($E$3*60+$F$3)/86400)+(H982&lt;&gt;"")*(H982&lt;=($I$3*60+$J$3)/86400)+(J982&lt;&gt;"")*(J982&lt;=($M$3*60+$N$3)/86400)</f>
        <v>0</v>
      </c>
      <c r="N982" s="20"/>
      <c r="O982" s="20"/>
      <c r="P982" s="20"/>
      <c r="Q982" s="19"/>
    </row>
    <row r="983" customFormat="false" ht="15" hidden="false" customHeight="false" outlineLevel="0" collapsed="false">
      <c r="A983" s="10" t="n">
        <v>977</v>
      </c>
      <c r="B983" s="11" t="s">
        <v>1596</v>
      </c>
      <c r="C983" s="12" t="s">
        <v>77</v>
      </c>
      <c r="D983" s="13" t="n">
        <v>0.0109368055555556</v>
      </c>
      <c r="E983" s="14" t="n">
        <v>978</v>
      </c>
      <c r="F983" s="15" t="n">
        <f aca="false">IF(D983="","",ROUND((D983-MIN($D$7:$D$9999))*86400,2))</f>
        <v>155.2</v>
      </c>
      <c r="G983" s="10" t="str">
        <f aca="false">IF(D983="","",IF(D983&lt;=($E$3*60+$F$3)/86400,"○",""))</f>
        <v/>
      </c>
      <c r="H983" s="16"/>
      <c r="I983" s="17"/>
      <c r="J983" s="16" t="n">
        <v>0.00283229166666667</v>
      </c>
      <c r="K983" s="17" t="n">
        <v>441</v>
      </c>
      <c r="L983" s="17" t="n">
        <f aca="false">COUNT(E983,I983,K983)</f>
        <v>2</v>
      </c>
      <c r="M983" s="18" t="n">
        <f aca="false">(D983&lt;&gt;"")*(D983&lt;=($E$3*60+$F$3)/86400)+(H983&lt;&gt;"")*(H983&lt;=($I$3*60+$J$3)/86400)+(J983&lt;&gt;"")*(J983&lt;=($M$3*60+$N$3)/86400)</f>
        <v>0</v>
      </c>
      <c r="N983" s="20"/>
      <c r="O983" s="20" t="s">
        <v>1597</v>
      </c>
      <c r="P983" s="20"/>
      <c r="Q983" s="19"/>
    </row>
    <row r="984" customFormat="false" ht="15" hidden="false" customHeight="false" outlineLevel="0" collapsed="false">
      <c r="A984" s="10" t="n">
        <v>978</v>
      </c>
      <c r="B984" s="11" t="s">
        <v>1598</v>
      </c>
      <c r="C984" s="12" t="s">
        <v>1599</v>
      </c>
      <c r="D984" s="13" t="n">
        <v>0.0109369212962963</v>
      </c>
      <c r="E984" s="14" t="n">
        <v>979</v>
      </c>
      <c r="F984" s="15" t="n">
        <f aca="false">IF(D984="","",ROUND((D984-MIN($D$7:$D$9999))*86400,2))</f>
        <v>155.21</v>
      </c>
      <c r="G984" s="10" t="str">
        <f aca="false">IF(D984="","",IF(D984&lt;=($E$3*60+$F$3)/86400,"○",""))</f>
        <v/>
      </c>
      <c r="H984" s="16"/>
      <c r="I984" s="17"/>
      <c r="J984" s="16" t="n">
        <v>0.00288472222222222</v>
      </c>
      <c r="K984" s="17" t="n">
        <v>813</v>
      </c>
      <c r="L984" s="17" t="n">
        <f aca="false">COUNT(E984,I984,K984)</f>
        <v>2</v>
      </c>
      <c r="M984" s="18" t="n">
        <f aca="false">(D984&lt;&gt;"")*(D984&lt;=($E$3*60+$F$3)/86400)+(H984&lt;&gt;"")*(H984&lt;=($I$3*60+$J$3)/86400)+(J984&lt;&gt;"")*(J984&lt;=($M$3*60+$N$3)/86400)</f>
        <v>0</v>
      </c>
      <c r="N984" s="20"/>
      <c r="O984" s="20"/>
      <c r="P984" s="20"/>
      <c r="Q984" s="19"/>
    </row>
    <row r="985" customFormat="false" ht="15" hidden="false" customHeight="false" outlineLevel="0" collapsed="false">
      <c r="A985" s="10" t="n">
        <v>979</v>
      </c>
      <c r="B985" s="11" t="s">
        <v>1600</v>
      </c>
      <c r="C985" s="12" t="s">
        <v>256</v>
      </c>
      <c r="D985" s="13" t="n">
        <v>0.0109390046296296</v>
      </c>
      <c r="E985" s="14" t="n">
        <v>980</v>
      </c>
      <c r="F985" s="15" t="n">
        <f aca="false">IF(D985="","",ROUND((D985-MIN($D$7:$D$9999))*86400,2))</f>
        <v>155.39</v>
      </c>
      <c r="G985" s="10" t="str">
        <f aca="false">IF(D985="","",IF(D985&lt;=($E$3*60+$F$3)/86400,"○",""))</f>
        <v/>
      </c>
      <c r="H985" s="16" t="n">
        <v>0.0067556712962963</v>
      </c>
      <c r="I985" s="17" t="n">
        <v>133</v>
      </c>
      <c r="J985" s="16" t="n">
        <v>0.00283229166666667</v>
      </c>
      <c r="K985" s="17" t="n">
        <v>442</v>
      </c>
      <c r="L985" s="17" t="n">
        <f aca="false">COUNT(E985,I985,K985)</f>
        <v>3</v>
      </c>
      <c r="M985" s="18" t="n">
        <f aca="false">(D985&lt;&gt;"")*(D985&lt;=($E$3*60+$F$3)/86400)+(H985&lt;&gt;"")*(H985&lt;=($I$3*60+$J$3)/86400)+(J985&lt;&gt;"")*(J985&lt;=($M$3*60+$N$3)/86400)</f>
        <v>0</v>
      </c>
      <c r="N985" s="20"/>
      <c r="O985" s="20"/>
      <c r="P985" s="20"/>
      <c r="Q985" s="19"/>
    </row>
    <row r="986" customFormat="false" ht="15" hidden="false" customHeight="false" outlineLevel="0" collapsed="false">
      <c r="A986" s="10" t="n">
        <v>980</v>
      </c>
      <c r="B986" s="11" t="s">
        <v>1601</v>
      </c>
      <c r="C986" s="12" t="s">
        <v>1602</v>
      </c>
      <c r="D986" s="13" t="n">
        <v>0.0109394675925926</v>
      </c>
      <c r="E986" s="14" t="n">
        <v>981</v>
      </c>
      <c r="F986" s="15" t="n">
        <f aca="false">IF(D986="","",ROUND((D986-MIN($D$7:$D$9999))*86400,2))</f>
        <v>155.43</v>
      </c>
      <c r="G986" s="10" t="str">
        <f aca="false">IF(D986="","",IF(D986&lt;=($E$3*60+$F$3)/86400,"○",""))</f>
        <v/>
      </c>
      <c r="H986" s="16" t="n">
        <v>0.00730428240740741</v>
      </c>
      <c r="I986" s="17" t="n">
        <v>652</v>
      </c>
      <c r="J986" s="16" t="n">
        <v>0.00287407407407407</v>
      </c>
      <c r="K986" s="17" t="n">
        <v>727</v>
      </c>
      <c r="L986" s="17" t="n">
        <f aca="false">COUNT(E986,I986,K986)</f>
        <v>3</v>
      </c>
      <c r="M986" s="18" t="n">
        <f aca="false">(D986&lt;&gt;"")*(D986&lt;=($E$3*60+$F$3)/86400)+(H986&lt;&gt;"")*(H986&lt;=($I$3*60+$J$3)/86400)+(J986&lt;&gt;"")*(J986&lt;=($M$3*60+$N$3)/86400)</f>
        <v>0</v>
      </c>
      <c r="N986" s="20"/>
      <c r="O986" s="20"/>
      <c r="P986" s="20"/>
      <c r="Q986" s="19"/>
    </row>
    <row r="987" customFormat="false" ht="15" hidden="false" customHeight="false" outlineLevel="0" collapsed="false">
      <c r="A987" s="10" t="n">
        <v>981</v>
      </c>
      <c r="B987" s="11" t="s">
        <v>1603</v>
      </c>
      <c r="C987" s="12" t="s">
        <v>1604</v>
      </c>
      <c r="D987" s="13" t="n">
        <v>0.0109412037037037</v>
      </c>
      <c r="E987" s="14" t="n">
        <v>982</v>
      </c>
      <c r="F987" s="15" t="n">
        <f aca="false">IF(D987="","",ROUND((D987-MIN($D$7:$D$9999))*86400,2))</f>
        <v>155.58</v>
      </c>
      <c r="G987" s="10" t="str">
        <f aca="false">IF(D987="","",IF(D987&lt;=($E$3*60+$F$3)/86400,"○",""))</f>
        <v/>
      </c>
      <c r="H987" s="16"/>
      <c r="I987" s="17"/>
      <c r="J987" s="16" t="n">
        <v>0.00282465277777778</v>
      </c>
      <c r="K987" s="17" t="n">
        <v>390</v>
      </c>
      <c r="L987" s="17" t="n">
        <f aca="false">COUNT(E987,I987,K987)</f>
        <v>2</v>
      </c>
      <c r="M987" s="18" t="n">
        <f aca="false">(D987&lt;&gt;"")*(D987&lt;=($E$3*60+$F$3)/86400)+(H987&lt;&gt;"")*(H987&lt;=($I$3*60+$J$3)/86400)+(J987&lt;&gt;"")*(J987&lt;=($M$3*60+$N$3)/86400)</f>
        <v>0</v>
      </c>
      <c r="N987" s="20"/>
      <c r="O987" s="20"/>
      <c r="P987" s="20"/>
      <c r="Q987" s="19"/>
    </row>
    <row r="988" customFormat="false" ht="15" hidden="false" customHeight="false" outlineLevel="0" collapsed="false">
      <c r="A988" s="10" t="n">
        <v>982</v>
      </c>
      <c r="B988" s="11" t="s">
        <v>1605</v>
      </c>
      <c r="C988" s="12" t="s">
        <v>532</v>
      </c>
      <c r="D988" s="13" t="n">
        <v>0.0109417824074074</v>
      </c>
      <c r="E988" s="14" t="n">
        <v>983</v>
      </c>
      <c r="F988" s="15" t="n">
        <f aca="false">IF(D988="","",ROUND((D988-MIN($D$7:$D$9999))*86400,2))</f>
        <v>155.63</v>
      </c>
      <c r="G988" s="10" t="str">
        <f aca="false">IF(D988="","",IF(D988&lt;=($E$3*60+$F$3)/86400,"○",""))</f>
        <v/>
      </c>
      <c r="H988" s="16"/>
      <c r="I988" s="17"/>
      <c r="J988" s="16"/>
      <c r="K988" s="17"/>
      <c r="L988" s="17" t="n">
        <f aca="false">COUNT(E988,I988,K988)</f>
        <v>1</v>
      </c>
      <c r="M988" s="18" t="n">
        <f aca="false">(D988&lt;&gt;"")*(D988&lt;=($E$3*60+$F$3)/86400)+(H988&lt;&gt;"")*(H988&lt;=($I$3*60+$J$3)/86400)+(J988&lt;&gt;"")*(J988&lt;=($M$3*60+$N$3)/86400)</f>
        <v>0</v>
      </c>
      <c r="N988" s="20"/>
      <c r="O988" s="20"/>
      <c r="P988" s="20"/>
      <c r="Q988" s="19"/>
    </row>
    <row r="989" customFormat="false" ht="15" hidden="false" customHeight="false" outlineLevel="0" collapsed="false">
      <c r="A989" s="10" t="n">
        <v>983</v>
      </c>
      <c r="B989" s="11" t="s">
        <v>1606</v>
      </c>
      <c r="C989" s="12" t="s">
        <v>204</v>
      </c>
      <c r="D989" s="13" t="n">
        <v>0.0109420138888889</v>
      </c>
      <c r="E989" s="14" t="n">
        <v>984</v>
      </c>
      <c r="F989" s="15" t="n">
        <f aca="false">IF(D989="","",ROUND((D989-MIN($D$7:$D$9999))*86400,2))</f>
        <v>155.65</v>
      </c>
      <c r="G989" s="10" t="str">
        <f aca="false">IF(D989="","",IF(D989&lt;=($E$3*60+$F$3)/86400,"○",""))</f>
        <v/>
      </c>
      <c r="H989" s="16" t="n">
        <v>0.00735509259259259</v>
      </c>
      <c r="I989" s="17" t="n">
        <v>715</v>
      </c>
      <c r="J989" s="16"/>
      <c r="K989" s="17"/>
      <c r="L989" s="17" t="n">
        <f aca="false">COUNT(E989,I989,K989)</f>
        <v>2</v>
      </c>
      <c r="M989" s="18" t="n">
        <f aca="false">(D989&lt;&gt;"")*(D989&lt;=($E$3*60+$F$3)/86400)+(H989&lt;&gt;"")*(H989&lt;=($I$3*60+$J$3)/86400)+(J989&lt;&gt;"")*(J989&lt;=($M$3*60+$N$3)/86400)</f>
        <v>0</v>
      </c>
      <c r="N989" s="20"/>
      <c r="O989" s="20"/>
      <c r="P989" s="20"/>
      <c r="Q989" s="19"/>
    </row>
    <row r="990" customFormat="false" ht="15" hidden="false" customHeight="false" outlineLevel="0" collapsed="false">
      <c r="A990" s="10" t="n">
        <v>984</v>
      </c>
      <c r="B990" s="11" t="s">
        <v>1607</v>
      </c>
      <c r="C990" s="12" t="s">
        <v>457</v>
      </c>
      <c r="D990" s="13" t="n">
        <v>0.0109422453703704</v>
      </c>
      <c r="E990" s="14" t="n">
        <v>985</v>
      </c>
      <c r="F990" s="15" t="n">
        <f aca="false">IF(D990="","",ROUND((D990-MIN($D$7:$D$9999))*86400,2))</f>
        <v>155.67</v>
      </c>
      <c r="G990" s="10" t="str">
        <f aca="false">IF(D990="","",IF(D990&lt;=($E$3*60+$F$3)/86400,"○",""))</f>
        <v/>
      </c>
      <c r="H990" s="16"/>
      <c r="I990" s="17"/>
      <c r="J990" s="16"/>
      <c r="K990" s="17"/>
      <c r="L990" s="17" t="n">
        <f aca="false">COUNT(E990,I990,K990)</f>
        <v>1</v>
      </c>
      <c r="M990" s="18" t="n">
        <f aca="false">(D990&lt;&gt;"")*(D990&lt;=($E$3*60+$F$3)/86400)+(H990&lt;&gt;"")*(H990&lt;=($I$3*60+$J$3)/86400)+(J990&lt;&gt;"")*(J990&lt;=($M$3*60+$N$3)/86400)</f>
        <v>0</v>
      </c>
      <c r="N990" s="20"/>
      <c r="O990" s="20"/>
      <c r="P990" s="20"/>
      <c r="Q990" s="19"/>
    </row>
    <row r="991" customFormat="false" ht="15" hidden="false" customHeight="false" outlineLevel="0" collapsed="false">
      <c r="A991" s="10" t="n">
        <v>985</v>
      </c>
      <c r="B991" s="11" t="s">
        <v>1608</v>
      </c>
      <c r="C991" s="12" t="s">
        <v>406</v>
      </c>
      <c r="D991" s="13" t="n">
        <v>0.0109422453703704</v>
      </c>
      <c r="E991" s="14" t="n">
        <v>986</v>
      </c>
      <c r="F991" s="15" t="n">
        <f aca="false">IF(D991="","",ROUND((D991-MIN($D$7:$D$9999))*86400,2))</f>
        <v>155.67</v>
      </c>
      <c r="G991" s="10" t="str">
        <f aca="false">IF(D991="","",IF(D991&lt;=($E$3*60+$F$3)/86400,"○",""))</f>
        <v/>
      </c>
      <c r="H991" s="16"/>
      <c r="I991" s="17"/>
      <c r="J991" s="16"/>
      <c r="K991" s="17"/>
      <c r="L991" s="17" t="n">
        <f aca="false">COUNT(E991,I991,K991)</f>
        <v>1</v>
      </c>
      <c r="M991" s="18" t="n">
        <f aca="false">(D991&lt;&gt;"")*(D991&lt;=($E$3*60+$F$3)/86400)+(H991&lt;&gt;"")*(H991&lt;=($I$3*60+$J$3)/86400)+(J991&lt;&gt;"")*(J991&lt;=($M$3*60+$N$3)/86400)</f>
        <v>0</v>
      </c>
      <c r="N991" s="20"/>
      <c r="O991" s="20"/>
      <c r="P991" s="20"/>
      <c r="Q991" s="19"/>
    </row>
    <row r="992" customFormat="false" ht="15" hidden="false" customHeight="false" outlineLevel="0" collapsed="false">
      <c r="A992" s="10" t="n">
        <v>986</v>
      </c>
      <c r="B992" s="11" t="s">
        <v>1609</v>
      </c>
      <c r="C992" s="12" t="s">
        <v>728</v>
      </c>
      <c r="D992" s="13" t="n">
        <v>0.0109427083333333</v>
      </c>
      <c r="E992" s="14" t="n">
        <v>987</v>
      </c>
      <c r="F992" s="15" t="n">
        <f aca="false">IF(D992="","",ROUND((D992-MIN($D$7:$D$9999))*86400,2))</f>
        <v>155.71</v>
      </c>
      <c r="G992" s="10" t="str">
        <f aca="false">IF(D992="","",IF(D992&lt;=($E$3*60+$F$3)/86400,"○",""))</f>
        <v/>
      </c>
      <c r="H992" s="16"/>
      <c r="I992" s="17"/>
      <c r="J992" s="16" t="n">
        <v>0.00295613425925926</v>
      </c>
      <c r="K992" s="17" t="n">
        <v>1258</v>
      </c>
      <c r="L992" s="17" t="n">
        <f aca="false">COUNT(E992,I992,K992)</f>
        <v>2</v>
      </c>
      <c r="M992" s="18" t="n">
        <f aca="false">(D992&lt;&gt;"")*(D992&lt;=($E$3*60+$F$3)/86400)+(H992&lt;&gt;"")*(H992&lt;=($I$3*60+$J$3)/86400)+(J992&lt;&gt;"")*(J992&lt;=($M$3*60+$N$3)/86400)</f>
        <v>0</v>
      </c>
      <c r="N992" s="20"/>
      <c r="O992" s="20"/>
      <c r="P992" s="20"/>
      <c r="Q992" s="19"/>
    </row>
    <row r="993" customFormat="false" ht="15" hidden="false" customHeight="false" outlineLevel="0" collapsed="false">
      <c r="A993" s="10" t="n">
        <v>987</v>
      </c>
      <c r="B993" s="11" t="s">
        <v>1610</v>
      </c>
      <c r="C993" s="12" t="s">
        <v>1346</v>
      </c>
      <c r="D993" s="13" t="n">
        <v>0.0109428240740741</v>
      </c>
      <c r="E993" s="14" t="n">
        <v>988</v>
      </c>
      <c r="F993" s="15" t="n">
        <f aca="false">IF(D993="","",ROUND((D993-MIN($D$7:$D$9999))*86400,2))</f>
        <v>155.72</v>
      </c>
      <c r="G993" s="10" t="str">
        <f aca="false">IF(D993="","",IF(D993&lt;=($E$3*60+$F$3)/86400,"○",""))</f>
        <v/>
      </c>
      <c r="H993" s="16" t="n">
        <v>0.00677060185185185</v>
      </c>
      <c r="I993" s="17" t="n">
        <v>148</v>
      </c>
      <c r="J993" s="16"/>
      <c r="K993" s="17"/>
      <c r="L993" s="17" t="n">
        <f aca="false">COUNT(E993,I993,K993)</f>
        <v>2</v>
      </c>
      <c r="M993" s="18" t="n">
        <f aca="false">(D993&lt;&gt;"")*(D993&lt;=($E$3*60+$F$3)/86400)+(H993&lt;&gt;"")*(H993&lt;=($I$3*60+$J$3)/86400)+(J993&lt;&gt;"")*(J993&lt;=($M$3*60+$N$3)/86400)</f>
        <v>0</v>
      </c>
      <c r="N993" s="20"/>
      <c r="O993" s="20"/>
      <c r="P993" s="20"/>
      <c r="Q993" s="19"/>
    </row>
    <row r="994" customFormat="false" ht="15" hidden="false" customHeight="false" outlineLevel="0" collapsed="false">
      <c r="A994" s="10" t="n">
        <v>988</v>
      </c>
      <c r="B994" s="11" t="s">
        <v>1611</v>
      </c>
      <c r="C994" s="12" t="s">
        <v>1154</v>
      </c>
      <c r="D994" s="13" t="n">
        <v>0.0109439814814815</v>
      </c>
      <c r="E994" s="14" t="n">
        <v>989</v>
      </c>
      <c r="F994" s="15" t="n">
        <f aca="false">IF(D994="","",ROUND((D994-MIN($D$7:$D$9999))*86400,2))</f>
        <v>155.82</v>
      </c>
      <c r="G994" s="10" t="str">
        <f aca="false">IF(D994="","",IF(D994&lt;=($E$3*60+$F$3)/86400,"○",""))</f>
        <v/>
      </c>
      <c r="H994" s="16"/>
      <c r="I994" s="17"/>
      <c r="J994" s="16" t="n">
        <v>0.00294479166666667</v>
      </c>
      <c r="K994" s="17" t="n">
        <v>1216</v>
      </c>
      <c r="L994" s="17" t="n">
        <f aca="false">COUNT(E994,I994,K994)</f>
        <v>2</v>
      </c>
      <c r="M994" s="18" t="n">
        <f aca="false">(D994&lt;&gt;"")*(D994&lt;=($E$3*60+$F$3)/86400)+(H994&lt;&gt;"")*(H994&lt;=($I$3*60+$J$3)/86400)+(J994&lt;&gt;"")*(J994&lt;=($M$3*60+$N$3)/86400)</f>
        <v>0</v>
      </c>
      <c r="N994" s="20"/>
      <c r="O994" s="20"/>
      <c r="P994" s="20"/>
      <c r="Q994" s="19"/>
    </row>
    <row r="995" customFormat="false" ht="15" hidden="false" customHeight="false" outlineLevel="0" collapsed="false">
      <c r="A995" s="10" t="n">
        <v>989</v>
      </c>
      <c r="B995" s="11" t="s">
        <v>1612</v>
      </c>
      <c r="C995" s="12" t="s">
        <v>77</v>
      </c>
      <c r="D995" s="13" t="n">
        <v>0.0109440972222222</v>
      </c>
      <c r="E995" s="14" t="n">
        <v>990</v>
      </c>
      <c r="F995" s="15" t="n">
        <f aca="false">IF(D995="","",ROUND((D995-MIN($D$7:$D$9999))*86400,2))</f>
        <v>155.83</v>
      </c>
      <c r="G995" s="10" t="str">
        <f aca="false">IF(D995="","",IF(D995&lt;=($E$3*60+$F$3)/86400,"○",""))</f>
        <v/>
      </c>
      <c r="H995" s="16"/>
      <c r="I995" s="17"/>
      <c r="J995" s="16"/>
      <c r="K995" s="17"/>
      <c r="L995" s="17" t="n">
        <f aca="false">COUNT(E995,I995,K995)</f>
        <v>1</v>
      </c>
      <c r="M995" s="18" t="n">
        <f aca="false">(D995&lt;&gt;"")*(D995&lt;=($E$3*60+$F$3)/86400)+(H995&lt;&gt;"")*(H995&lt;=($I$3*60+$J$3)/86400)+(J995&lt;&gt;"")*(J995&lt;=($M$3*60+$N$3)/86400)</f>
        <v>0</v>
      </c>
      <c r="N995" s="20"/>
      <c r="O995" s="20"/>
      <c r="P995" s="20"/>
      <c r="Q995" s="19"/>
    </row>
    <row r="996" customFormat="false" ht="15" hidden="false" customHeight="false" outlineLevel="0" collapsed="false">
      <c r="A996" s="10" t="n">
        <v>990</v>
      </c>
      <c r="B996" s="11" t="s">
        <v>1613</v>
      </c>
      <c r="C996" s="12" t="s">
        <v>907</v>
      </c>
      <c r="D996" s="13" t="n">
        <v>0.0109445601851852</v>
      </c>
      <c r="E996" s="14" t="n">
        <v>991</v>
      </c>
      <c r="F996" s="15" t="n">
        <f aca="false">IF(D996="","",ROUND((D996-MIN($D$7:$D$9999))*86400,2))</f>
        <v>155.87</v>
      </c>
      <c r="G996" s="10" t="str">
        <f aca="false">IF(D996="","",IF(D996&lt;=($E$3*60+$F$3)/86400,"○",""))</f>
        <v/>
      </c>
      <c r="H996" s="16"/>
      <c r="I996" s="17"/>
      <c r="J996" s="16"/>
      <c r="K996" s="17"/>
      <c r="L996" s="17" t="n">
        <f aca="false">COUNT(E996,I996,K996)</f>
        <v>1</v>
      </c>
      <c r="M996" s="18" t="n">
        <f aca="false">(D996&lt;&gt;"")*(D996&lt;=($E$3*60+$F$3)/86400)+(H996&lt;&gt;"")*(H996&lt;=($I$3*60+$J$3)/86400)+(J996&lt;&gt;"")*(J996&lt;=($M$3*60+$N$3)/86400)</f>
        <v>0</v>
      </c>
      <c r="N996" s="20" t="s">
        <v>1614</v>
      </c>
      <c r="O996" s="20"/>
      <c r="P996" s="20"/>
      <c r="Q996" s="19"/>
    </row>
    <row r="997" customFormat="false" ht="15" hidden="false" customHeight="false" outlineLevel="0" collapsed="false">
      <c r="A997" s="10" t="n">
        <v>991</v>
      </c>
      <c r="B997" s="11" t="s">
        <v>1615</v>
      </c>
      <c r="C997" s="12" t="s">
        <v>228</v>
      </c>
      <c r="D997" s="13" t="n">
        <v>0.0109471064814815</v>
      </c>
      <c r="E997" s="14" t="n">
        <v>992</v>
      </c>
      <c r="F997" s="15" t="n">
        <f aca="false">IF(D997="","",ROUND((D997-MIN($D$7:$D$9999))*86400,2))</f>
        <v>156.09</v>
      </c>
      <c r="G997" s="10" t="str">
        <f aca="false">IF(D997="","",IF(D997&lt;=($E$3*60+$F$3)/86400,"○",""))</f>
        <v/>
      </c>
      <c r="H997" s="16"/>
      <c r="I997" s="17"/>
      <c r="J997" s="16"/>
      <c r="K997" s="17"/>
      <c r="L997" s="17" t="n">
        <f aca="false">COUNT(E997,I997,K997)</f>
        <v>1</v>
      </c>
      <c r="M997" s="18" t="n">
        <f aca="false">(D997&lt;&gt;"")*(D997&lt;=($E$3*60+$F$3)/86400)+(H997&lt;&gt;"")*(H997&lt;=($I$3*60+$J$3)/86400)+(J997&lt;&gt;"")*(J997&lt;=($M$3*60+$N$3)/86400)</f>
        <v>0</v>
      </c>
      <c r="N997" s="20"/>
      <c r="O997" s="20"/>
      <c r="P997" s="20"/>
      <c r="Q997" s="19"/>
    </row>
    <row r="998" customFormat="false" ht="15" hidden="false" customHeight="false" outlineLevel="0" collapsed="false">
      <c r="A998" s="10" t="n">
        <v>992</v>
      </c>
      <c r="B998" s="11" t="s">
        <v>1616</v>
      </c>
      <c r="C998" s="12" t="s">
        <v>648</v>
      </c>
      <c r="D998" s="13" t="n">
        <v>0.0109480324074074</v>
      </c>
      <c r="E998" s="14" t="n">
        <v>993</v>
      </c>
      <c r="F998" s="15" t="n">
        <f aca="false">IF(D998="","",ROUND((D998-MIN($D$7:$D$9999))*86400,2))</f>
        <v>156.17</v>
      </c>
      <c r="G998" s="10" t="str">
        <f aca="false">IF(D998="","",IF(D998&lt;=($E$3*60+$F$3)/86400,"○",""))</f>
        <v/>
      </c>
      <c r="H998" s="16" t="n">
        <v>0.00679340277777778</v>
      </c>
      <c r="I998" s="17" t="n">
        <v>165</v>
      </c>
      <c r="J998" s="16" t="n">
        <v>0.00291875</v>
      </c>
      <c r="K998" s="17" t="n">
        <v>1081</v>
      </c>
      <c r="L998" s="17" t="n">
        <f aca="false">COUNT(E998,I998,K998)</f>
        <v>3</v>
      </c>
      <c r="M998" s="18" t="n">
        <f aca="false">(D998&lt;&gt;"")*(D998&lt;=($E$3*60+$F$3)/86400)+(H998&lt;&gt;"")*(H998&lt;=($I$3*60+$J$3)/86400)+(J998&lt;&gt;"")*(J998&lt;=($M$3*60+$N$3)/86400)</f>
        <v>0</v>
      </c>
      <c r="N998" s="20"/>
      <c r="O998" s="20"/>
      <c r="P998" s="12" t="s">
        <v>1617</v>
      </c>
      <c r="Q998" s="19"/>
    </row>
    <row r="999" customFormat="false" ht="15" hidden="false" customHeight="false" outlineLevel="0" collapsed="false">
      <c r="A999" s="10" t="n">
        <v>993</v>
      </c>
      <c r="B999" s="11" t="s">
        <v>1618</v>
      </c>
      <c r="C999" s="12" t="s">
        <v>103</v>
      </c>
      <c r="D999" s="13" t="n">
        <v>0.0109481481481482</v>
      </c>
      <c r="E999" s="14" t="n">
        <v>994</v>
      </c>
      <c r="F999" s="15" t="n">
        <f aca="false">IF(D999="","",ROUND((D999-MIN($D$7:$D$9999))*86400,2))</f>
        <v>156.18</v>
      </c>
      <c r="G999" s="10" t="str">
        <f aca="false">IF(D999="","",IF(D999&lt;=($E$3*60+$F$3)/86400,"○",""))</f>
        <v/>
      </c>
      <c r="H999" s="16" t="n">
        <v>0.00710578703703704</v>
      </c>
      <c r="I999" s="17" t="n">
        <v>454</v>
      </c>
      <c r="J999" s="16"/>
      <c r="K999" s="17"/>
      <c r="L999" s="17" t="n">
        <f aca="false">COUNT(E999,I999,K999)</f>
        <v>2</v>
      </c>
      <c r="M999" s="18" t="n">
        <f aca="false">(D999&lt;&gt;"")*(D999&lt;=($E$3*60+$F$3)/86400)+(H999&lt;&gt;"")*(H999&lt;=($I$3*60+$J$3)/86400)+(J999&lt;&gt;"")*(J999&lt;=($M$3*60+$N$3)/86400)</f>
        <v>0</v>
      </c>
      <c r="N999" s="20"/>
      <c r="O999" s="20"/>
      <c r="P999" s="20"/>
      <c r="Q999" s="19"/>
    </row>
    <row r="1000" customFormat="false" ht="15" hidden="false" customHeight="false" outlineLevel="0" collapsed="false">
      <c r="A1000" s="10" t="n">
        <v>994</v>
      </c>
      <c r="B1000" s="11" t="s">
        <v>1619</v>
      </c>
      <c r="C1000" s="12" t="s">
        <v>949</v>
      </c>
      <c r="D1000" s="13" t="n">
        <v>0.0109489583333333</v>
      </c>
      <c r="E1000" s="14" t="n">
        <v>995</v>
      </c>
      <c r="F1000" s="15" t="n">
        <f aca="false">IF(D1000="","",ROUND((D1000-MIN($D$7:$D$9999))*86400,2))</f>
        <v>156.25</v>
      </c>
      <c r="G1000" s="10" t="str">
        <f aca="false">IF(D1000="","",IF(D1000&lt;=($E$3*60+$F$3)/86400,"○",""))</f>
        <v/>
      </c>
      <c r="H1000" s="16" t="n">
        <v>0.00695023148148148</v>
      </c>
      <c r="I1000" s="17" t="n">
        <v>285</v>
      </c>
      <c r="J1000" s="16"/>
      <c r="K1000" s="17"/>
      <c r="L1000" s="17" t="n">
        <f aca="false">COUNT(E1000,I1000,K1000)</f>
        <v>2</v>
      </c>
      <c r="M1000" s="18" t="n">
        <f aca="false">(D1000&lt;&gt;"")*(D1000&lt;=($E$3*60+$F$3)/86400)+(H1000&lt;&gt;"")*(H1000&lt;=($I$3*60+$J$3)/86400)+(J1000&lt;&gt;"")*(J1000&lt;=($M$3*60+$N$3)/86400)</f>
        <v>0</v>
      </c>
      <c r="N1000" s="20"/>
      <c r="O1000" s="20"/>
      <c r="P1000" s="20"/>
      <c r="Q1000" s="19"/>
    </row>
    <row r="1001" customFormat="false" ht="15" hidden="false" customHeight="false" outlineLevel="0" collapsed="false">
      <c r="A1001" s="10" t="n">
        <v>995</v>
      </c>
      <c r="B1001" s="11" t="s">
        <v>1620</v>
      </c>
      <c r="C1001" s="12" t="s">
        <v>1371</v>
      </c>
      <c r="D1001" s="13" t="n">
        <v>0.0109490740740741</v>
      </c>
      <c r="E1001" s="14" t="n">
        <v>996</v>
      </c>
      <c r="F1001" s="15" t="n">
        <f aca="false">IF(D1001="","",ROUND((D1001-MIN($D$7:$D$9999))*86400,2))</f>
        <v>156.26</v>
      </c>
      <c r="G1001" s="10" t="str">
        <f aca="false">IF(D1001="","",IF(D1001&lt;=($E$3*60+$F$3)/86400,"○",""))</f>
        <v/>
      </c>
      <c r="H1001" s="16" t="n">
        <v>0.00645844907407407</v>
      </c>
      <c r="I1001" s="17" t="n">
        <v>24</v>
      </c>
      <c r="J1001" s="16" t="n">
        <v>0.00285740740740741</v>
      </c>
      <c r="K1001" s="17" t="n">
        <v>618</v>
      </c>
      <c r="L1001" s="17" t="n">
        <f aca="false">COUNT(E1001,I1001,K1001)</f>
        <v>3</v>
      </c>
      <c r="M1001" s="18" t="n">
        <f aca="false">(D1001&lt;&gt;"")*(D1001&lt;=($E$3*60+$F$3)/86400)+(H1001&lt;&gt;"")*(H1001&lt;=($I$3*60+$J$3)/86400)+(J1001&lt;&gt;"")*(J1001&lt;=($M$3*60+$N$3)/86400)</f>
        <v>1</v>
      </c>
      <c r="N1001" s="20"/>
      <c r="O1001" s="20"/>
      <c r="P1001" s="20"/>
      <c r="Q1001" s="19"/>
    </row>
    <row r="1002" customFormat="false" ht="15" hidden="false" customHeight="false" outlineLevel="0" collapsed="false">
      <c r="A1002" s="10" t="n">
        <v>996</v>
      </c>
      <c r="B1002" s="11" t="s">
        <v>1621</v>
      </c>
      <c r="C1002" s="12" t="s">
        <v>152</v>
      </c>
      <c r="D1002" s="13" t="n">
        <v>0.0109490740740741</v>
      </c>
      <c r="E1002" s="14" t="n">
        <v>997</v>
      </c>
      <c r="F1002" s="15" t="n">
        <f aca="false">IF(D1002="","",ROUND((D1002-MIN($D$7:$D$9999))*86400,2))</f>
        <v>156.26</v>
      </c>
      <c r="G1002" s="10" t="str">
        <f aca="false">IF(D1002="","",IF(D1002&lt;=($E$3*60+$F$3)/86400,"○",""))</f>
        <v/>
      </c>
      <c r="H1002" s="16"/>
      <c r="I1002" s="17"/>
      <c r="J1002" s="16"/>
      <c r="K1002" s="17"/>
      <c r="L1002" s="17" t="n">
        <f aca="false">COUNT(E1002,I1002,K1002)</f>
        <v>1</v>
      </c>
      <c r="M1002" s="18" t="n">
        <f aca="false">(D1002&lt;&gt;"")*(D1002&lt;=($E$3*60+$F$3)/86400)+(H1002&lt;&gt;"")*(H1002&lt;=($I$3*60+$J$3)/86400)+(J1002&lt;&gt;"")*(J1002&lt;=($M$3*60+$N$3)/86400)</f>
        <v>0</v>
      </c>
      <c r="N1002" s="20"/>
      <c r="O1002" s="20"/>
      <c r="P1002" s="20"/>
      <c r="Q1002" s="19"/>
    </row>
    <row r="1003" customFormat="false" ht="15" hidden="false" customHeight="false" outlineLevel="0" collapsed="false">
      <c r="A1003" s="10" t="n">
        <v>997</v>
      </c>
      <c r="B1003" s="11" t="s">
        <v>1622</v>
      </c>
      <c r="C1003" s="12" t="s">
        <v>129</v>
      </c>
      <c r="D1003" s="13" t="n">
        <v>0.0109494212962963</v>
      </c>
      <c r="E1003" s="14" t="n">
        <v>998</v>
      </c>
      <c r="F1003" s="15" t="n">
        <f aca="false">IF(D1003="","",ROUND((D1003-MIN($D$7:$D$9999))*86400,2))</f>
        <v>156.29</v>
      </c>
      <c r="G1003" s="10" t="str">
        <f aca="false">IF(D1003="","",IF(D1003&lt;=($E$3*60+$F$3)/86400,"○",""))</f>
        <v/>
      </c>
      <c r="H1003" s="16"/>
      <c r="I1003" s="17"/>
      <c r="J1003" s="16"/>
      <c r="K1003" s="17"/>
      <c r="L1003" s="17" t="n">
        <f aca="false">COUNT(E1003,I1003,K1003)</f>
        <v>1</v>
      </c>
      <c r="M1003" s="18" t="n">
        <f aca="false">(D1003&lt;&gt;"")*(D1003&lt;=($E$3*60+$F$3)/86400)+(H1003&lt;&gt;"")*(H1003&lt;=($I$3*60+$J$3)/86400)+(J1003&lt;&gt;"")*(J1003&lt;=($M$3*60+$N$3)/86400)</f>
        <v>0</v>
      </c>
      <c r="N1003" s="20"/>
      <c r="O1003" s="20" t="s">
        <v>1623</v>
      </c>
      <c r="P1003" s="20"/>
      <c r="Q1003" s="19"/>
    </row>
    <row r="1004" customFormat="false" ht="15" hidden="false" customHeight="false" outlineLevel="0" collapsed="false">
      <c r="A1004" s="10" t="n">
        <v>998</v>
      </c>
      <c r="B1004" s="11" t="s">
        <v>1624</v>
      </c>
      <c r="C1004" s="12" t="s">
        <v>1625</v>
      </c>
      <c r="D1004" s="13" t="n">
        <v>0.0109497685185185</v>
      </c>
      <c r="E1004" s="14" t="n">
        <v>999</v>
      </c>
      <c r="F1004" s="15" t="n">
        <f aca="false">IF(D1004="","",ROUND((D1004-MIN($D$7:$D$9999))*86400,2))</f>
        <v>156.32</v>
      </c>
      <c r="G1004" s="10" t="str">
        <f aca="false">IF(D1004="","",IF(D1004&lt;=($E$3*60+$F$3)/86400,"○",""))</f>
        <v/>
      </c>
      <c r="H1004" s="16"/>
      <c r="I1004" s="17"/>
      <c r="J1004" s="16" t="n">
        <v>0.00288784722222222</v>
      </c>
      <c r="K1004" s="17" t="n">
        <v>844</v>
      </c>
      <c r="L1004" s="17" t="n">
        <f aca="false">COUNT(E1004,I1004,K1004)</f>
        <v>2</v>
      </c>
      <c r="M1004" s="18" t="n">
        <f aca="false">(D1004&lt;&gt;"")*(D1004&lt;=($E$3*60+$F$3)/86400)+(H1004&lt;&gt;"")*(H1004&lt;=($I$3*60+$J$3)/86400)+(J1004&lt;&gt;"")*(J1004&lt;=($M$3*60+$N$3)/86400)</f>
        <v>0</v>
      </c>
      <c r="N1004" s="20"/>
      <c r="O1004" s="20"/>
      <c r="P1004" s="20"/>
      <c r="Q1004" s="19"/>
    </row>
    <row r="1005" customFormat="false" ht="15" hidden="false" customHeight="false" outlineLevel="0" collapsed="false">
      <c r="A1005" s="10" t="n">
        <v>999</v>
      </c>
      <c r="B1005" s="11" t="s">
        <v>1626</v>
      </c>
      <c r="C1005" s="12" t="s">
        <v>63</v>
      </c>
      <c r="D1005" s="13" t="n">
        <v>0.0109497685185185</v>
      </c>
      <c r="E1005" s="14" t="n">
        <v>1000</v>
      </c>
      <c r="F1005" s="15" t="n">
        <f aca="false">IF(D1005="","",ROUND((D1005-MIN($D$7:$D$9999))*86400,2))</f>
        <v>156.32</v>
      </c>
      <c r="G1005" s="10" t="str">
        <f aca="false">IF(D1005="","",IF(D1005&lt;=($E$3*60+$F$3)/86400,"○",""))</f>
        <v/>
      </c>
      <c r="H1005" s="16"/>
      <c r="I1005" s="17"/>
      <c r="J1005" s="16"/>
      <c r="K1005" s="17"/>
      <c r="L1005" s="17" t="n">
        <f aca="false">COUNT(E1005,I1005,K1005)</f>
        <v>1</v>
      </c>
      <c r="M1005" s="18" t="n">
        <f aca="false">(D1005&lt;&gt;"")*(D1005&lt;=($E$3*60+$F$3)/86400)+(H1005&lt;&gt;"")*(H1005&lt;=($I$3*60+$J$3)/86400)+(J1005&lt;&gt;"")*(J1005&lt;=($M$3*60+$N$3)/86400)</f>
        <v>0</v>
      </c>
      <c r="N1005" s="20"/>
      <c r="O1005" s="20"/>
      <c r="P1005" s="20"/>
      <c r="Q1005" s="19"/>
    </row>
    <row r="1006" customFormat="false" ht="15" hidden="false" customHeight="false" outlineLevel="0" collapsed="false">
      <c r="A1006" s="10" t="n">
        <v>1000</v>
      </c>
      <c r="B1006" s="11" t="s">
        <v>1627</v>
      </c>
      <c r="C1006" s="12" t="s">
        <v>1628</v>
      </c>
      <c r="D1006" s="13" t="n">
        <v>0.010950462962963</v>
      </c>
      <c r="E1006" s="14" t="n">
        <v>1001</v>
      </c>
      <c r="F1006" s="15" t="n">
        <f aca="false">IF(D1006="","",ROUND((D1006-MIN($D$7:$D$9999))*86400,2))</f>
        <v>156.38</v>
      </c>
      <c r="G1006" s="10" t="str">
        <f aca="false">IF(D1006="","",IF(D1006&lt;=($E$3*60+$F$3)/86400,"○",""))</f>
        <v/>
      </c>
      <c r="H1006" s="16"/>
      <c r="I1006" s="17"/>
      <c r="J1006" s="16"/>
      <c r="K1006" s="17"/>
      <c r="L1006" s="17" t="n">
        <f aca="false">COUNT(E1006,I1006,K1006)</f>
        <v>1</v>
      </c>
      <c r="M1006" s="18" t="n">
        <f aca="false">(D1006&lt;&gt;"")*(D1006&lt;=($E$3*60+$F$3)/86400)+(H1006&lt;&gt;"")*(H1006&lt;=($I$3*60+$J$3)/86400)+(J1006&lt;&gt;"")*(J1006&lt;=($M$3*60+$N$3)/86400)</f>
        <v>0</v>
      </c>
      <c r="N1006" s="20"/>
      <c r="O1006" s="20"/>
      <c r="P1006" s="20"/>
      <c r="Q1006" s="19"/>
    </row>
    <row r="1007" customFormat="false" ht="15" hidden="false" customHeight="false" outlineLevel="0" collapsed="false">
      <c r="A1007" s="10" t="n">
        <v>1001</v>
      </c>
      <c r="B1007" s="11" t="s">
        <v>1629</v>
      </c>
      <c r="C1007" s="12" t="s">
        <v>1630</v>
      </c>
      <c r="D1007" s="13" t="n">
        <v>0.0109510416666667</v>
      </c>
      <c r="E1007" s="14" t="n">
        <v>1002</v>
      </c>
      <c r="F1007" s="15" t="n">
        <f aca="false">IF(D1007="","",ROUND((D1007-MIN($D$7:$D$9999))*86400,2))</f>
        <v>156.43</v>
      </c>
      <c r="G1007" s="10" t="str">
        <f aca="false">IF(D1007="","",IF(D1007&lt;=($E$3*60+$F$3)/86400,"○",""))</f>
        <v/>
      </c>
      <c r="H1007" s="16"/>
      <c r="I1007" s="17"/>
      <c r="J1007" s="16"/>
      <c r="K1007" s="17"/>
      <c r="L1007" s="17" t="n">
        <f aca="false">COUNT(E1007,I1007,K1007)</f>
        <v>1</v>
      </c>
      <c r="M1007" s="18" t="n">
        <f aca="false">(D1007&lt;&gt;"")*(D1007&lt;=($E$3*60+$F$3)/86400)+(H1007&lt;&gt;"")*(H1007&lt;=($I$3*60+$J$3)/86400)+(J1007&lt;&gt;"")*(J1007&lt;=($M$3*60+$N$3)/86400)</f>
        <v>0</v>
      </c>
      <c r="N1007" s="20"/>
      <c r="O1007" s="20"/>
      <c r="P1007" s="20"/>
      <c r="Q1007" s="19"/>
    </row>
    <row r="1008" customFormat="false" ht="15" hidden="false" customHeight="false" outlineLevel="0" collapsed="false">
      <c r="A1008" s="10" t="n">
        <v>1002</v>
      </c>
      <c r="B1008" s="11" t="s">
        <v>1631</v>
      </c>
      <c r="C1008" s="12" t="s">
        <v>444</v>
      </c>
      <c r="D1008" s="13" t="n">
        <v>0.0109517361111111</v>
      </c>
      <c r="E1008" s="14" t="n">
        <v>1003</v>
      </c>
      <c r="F1008" s="15" t="n">
        <f aca="false">IF(D1008="","",ROUND((D1008-MIN($D$7:$D$9999))*86400,2))</f>
        <v>156.49</v>
      </c>
      <c r="G1008" s="10" t="str">
        <f aca="false">IF(D1008="","",IF(D1008&lt;=($E$3*60+$F$3)/86400,"○",""))</f>
        <v/>
      </c>
      <c r="H1008" s="16" t="n">
        <v>0.00680671296296296</v>
      </c>
      <c r="I1008" s="17" t="n">
        <v>177</v>
      </c>
      <c r="J1008" s="16"/>
      <c r="K1008" s="17"/>
      <c r="L1008" s="17" t="n">
        <f aca="false">COUNT(E1008,I1008,K1008)</f>
        <v>2</v>
      </c>
      <c r="M1008" s="18" t="n">
        <f aca="false">(D1008&lt;&gt;"")*(D1008&lt;=($E$3*60+$F$3)/86400)+(H1008&lt;&gt;"")*(H1008&lt;=($I$3*60+$J$3)/86400)+(J1008&lt;&gt;"")*(J1008&lt;=($M$3*60+$N$3)/86400)</f>
        <v>0</v>
      </c>
      <c r="N1008" s="20" t="s">
        <v>528</v>
      </c>
      <c r="O1008" s="20"/>
      <c r="P1008" s="20"/>
      <c r="Q1008" s="19"/>
    </row>
    <row r="1009" customFormat="false" ht="15" hidden="false" customHeight="false" outlineLevel="0" collapsed="false">
      <c r="A1009" s="10" t="n">
        <v>1003</v>
      </c>
      <c r="B1009" s="11" t="s">
        <v>1632</v>
      </c>
      <c r="C1009" s="12" t="s">
        <v>795</v>
      </c>
      <c r="D1009" s="13" t="n">
        <v>0.0109524305555556</v>
      </c>
      <c r="E1009" s="14" t="n">
        <v>1004</v>
      </c>
      <c r="F1009" s="15" t="n">
        <f aca="false">IF(D1009="","",ROUND((D1009-MIN($D$7:$D$9999))*86400,2))</f>
        <v>156.55</v>
      </c>
      <c r="G1009" s="10" t="str">
        <f aca="false">IF(D1009="","",IF(D1009&lt;=($E$3*60+$F$3)/86400,"○",""))</f>
        <v/>
      </c>
      <c r="H1009" s="16"/>
      <c r="I1009" s="17"/>
      <c r="J1009" s="16"/>
      <c r="K1009" s="17"/>
      <c r="L1009" s="17" t="n">
        <f aca="false">COUNT(E1009,I1009,K1009)</f>
        <v>1</v>
      </c>
      <c r="M1009" s="18" t="n">
        <f aca="false">(D1009&lt;&gt;"")*(D1009&lt;=($E$3*60+$F$3)/86400)+(H1009&lt;&gt;"")*(H1009&lt;=($I$3*60+$J$3)/86400)+(J1009&lt;&gt;"")*(J1009&lt;=($M$3*60+$N$3)/86400)</f>
        <v>0</v>
      </c>
      <c r="N1009" s="20"/>
      <c r="O1009" s="20"/>
      <c r="P1009" s="20"/>
      <c r="Q1009" s="19"/>
    </row>
    <row r="1010" customFormat="false" ht="15" hidden="false" customHeight="false" outlineLevel="0" collapsed="false">
      <c r="A1010" s="10" t="n">
        <v>1004</v>
      </c>
      <c r="B1010" s="11" t="s">
        <v>1633</v>
      </c>
      <c r="C1010" s="12" t="s">
        <v>250</v>
      </c>
      <c r="D1010" s="13" t="n">
        <v>0.0109524305555556</v>
      </c>
      <c r="E1010" s="14" t="n">
        <v>1005</v>
      </c>
      <c r="F1010" s="15" t="n">
        <f aca="false">IF(D1010="","",ROUND((D1010-MIN($D$7:$D$9999))*86400,2))</f>
        <v>156.55</v>
      </c>
      <c r="G1010" s="10" t="str">
        <f aca="false">IF(D1010="","",IF(D1010&lt;=($E$3*60+$F$3)/86400,"○",""))</f>
        <v/>
      </c>
      <c r="H1010" s="16"/>
      <c r="I1010" s="17"/>
      <c r="J1010" s="16" t="n">
        <v>0.0029005787037037</v>
      </c>
      <c r="K1010" s="17" t="n">
        <v>951</v>
      </c>
      <c r="L1010" s="17" t="n">
        <f aca="false">COUNT(E1010,I1010,K1010)</f>
        <v>2</v>
      </c>
      <c r="M1010" s="18" t="n">
        <f aca="false">(D1010&lt;&gt;"")*(D1010&lt;=($E$3*60+$F$3)/86400)+(H1010&lt;&gt;"")*(H1010&lt;=($I$3*60+$J$3)/86400)+(J1010&lt;&gt;"")*(J1010&lt;=($M$3*60+$N$3)/86400)</f>
        <v>0</v>
      </c>
      <c r="N1010" s="20"/>
      <c r="O1010" s="20"/>
      <c r="P1010" s="20"/>
      <c r="Q1010" s="19"/>
    </row>
    <row r="1011" customFormat="false" ht="15" hidden="false" customHeight="false" outlineLevel="0" collapsed="false">
      <c r="A1011" s="10" t="n">
        <v>1005</v>
      </c>
      <c r="B1011" s="11" t="s">
        <v>1634</v>
      </c>
      <c r="C1011" s="12" t="s">
        <v>1231</v>
      </c>
      <c r="D1011" s="13" t="n">
        <v>0.0109527777777778</v>
      </c>
      <c r="E1011" s="14" t="n">
        <v>1006</v>
      </c>
      <c r="F1011" s="15" t="n">
        <f aca="false">IF(D1011="","",ROUND((D1011-MIN($D$7:$D$9999))*86400,2))</f>
        <v>156.58</v>
      </c>
      <c r="G1011" s="10" t="str">
        <f aca="false">IF(D1011="","",IF(D1011&lt;=($E$3*60+$F$3)/86400,"○",""))</f>
        <v/>
      </c>
      <c r="H1011" s="16"/>
      <c r="I1011" s="17"/>
      <c r="J1011" s="16" t="n">
        <v>0.00275393518518519</v>
      </c>
      <c r="K1011" s="17" t="n">
        <v>114</v>
      </c>
      <c r="L1011" s="17" t="n">
        <f aca="false">COUNT(E1011,I1011,K1011)</f>
        <v>2</v>
      </c>
      <c r="M1011" s="18" t="n">
        <f aca="false">(D1011&lt;&gt;"")*(D1011&lt;=($E$3*60+$F$3)/86400)+(H1011&lt;&gt;"")*(H1011&lt;=($I$3*60+$J$3)/86400)+(J1011&lt;&gt;"")*(J1011&lt;=($M$3*60+$N$3)/86400)</f>
        <v>0</v>
      </c>
      <c r="N1011" s="20"/>
      <c r="O1011" s="20"/>
      <c r="P1011" s="20"/>
      <c r="Q1011" s="19"/>
    </row>
    <row r="1012" customFormat="false" ht="15" hidden="false" customHeight="false" outlineLevel="0" collapsed="false">
      <c r="A1012" s="10" t="n">
        <v>1006</v>
      </c>
      <c r="B1012" s="11" t="s">
        <v>1635</v>
      </c>
      <c r="C1012" s="12" t="s">
        <v>43</v>
      </c>
      <c r="D1012" s="13" t="n">
        <v>0.0109530092592593</v>
      </c>
      <c r="E1012" s="14" t="n">
        <v>1007</v>
      </c>
      <c r="F1012" s="15" t="n">
        <f aca="false">IF(D1012="","",ROUND((D1012-MIN($D$7:$D$9999))*86400,2))</f>
        <v>156.6</v>
      </c>
      <c r="G1012" s="10" t="str">
        <f aca="false">IF(D1012="","",IF(D1012&lt;=($E$3*60+$F$3)/86400,"○",""))</f>
        <v/>
      </c>
      <c r="H1012" s="16" t="n">
        <v>0.00678148148148148</v>
      </c>
      <c r="I1012" s="17" t="n">
        <v>156</v>
      </c>
      <c r="J1012" s="16"/>
      <c r="K1012" s="17"/>
      <c r="L1012" s="17" t="n">
        <f aca="false">COUNT(E1012,I1012,K1012)</f>
        <v>2</v>
      </c>
      <c r="M1012" s="18" t="n">
        <f aca="false">(D1012&lt;&gt;"")*(D1012&lt;=($E$3*60+$F$3)/86400)+(H1012&lt;&gt;"")*(H1012&lt;=($I$3*60+$J$3)/86400)+(J1012&lt;&gt;"")*(J1012&lt;=($M$3*60+$N$3)/86400)</f>
        <v>0</v>
      </c>
      <c r="N1012" s="20"/>
      <c r="O1012" s="20"/>
      <c r="P1012" s="20"/>
      <c r="Q1012" s="19"/>
    </row>
    <row r="1013" customFormat="false" ht="15" hidden="false" customHeight="false" outlineLevel="0" collapsed="false">
      <c r="A1013" s="10" t="n">
        <v>1007</v>
      </c>
      <c r="B1013" s="11" t="s">
        <v>1636</v>
      </c>
      <c r="C1013" s="12" t="s">
        <v>1637</v>
      </c>
      <c r="D1013" s="13" t="n">
        <v>0.0109533564814815</v>
      </c>
      <c r="E1013" s="14" t="n">
        <v>1008</v>
      </c>
      <c r="F1013" s="15" t="n">
        <f aca="false">IF(D1013="","",ROUND((D1013-MIN($D$7:$D$9999))*86400,2))</f>
        <v>156.63</v>
      </c>
      <c r="G1013" s="10" t="str">
        <f aca="false">IF(D1013="","",IF(D1013&lt;=($E$3*60+$F$3)/86400,"○",""))</f>
        <v/>
      </c>
      <c r="H1013" s="16"/>
      <c r="I1013" s="17"/>
      <c r="J1013" s="16"/>
      <c r="K1013" s="17"/>
      <c r="L1013" s="17" t="n">
        <f aca="false">COUNT(E1013,I1013,K1013)</f>
        <v>1</v>
      </c>
      <c r="M1013" s="18" t="n">
        <f aca="false">(D1013&lt;&gt;"")*(D1013&lt;=($E$3*60+$F$3)/86400)+(H1013&lt;&gt;"")*(H1013&lt;=($I$3*60+$J$3)/86400)+(J1013&lt;&gt;"")*(J1013&lt;=($M$3*60+$N$3)/86400)</f>
        <v>0</v>
      </c>
      <c r="N1013" s="20"/>
      <c r="O1013" s="20"/>
      <c r="P1013" s="20"/>
      <c r="Q1013" s="19"/>
    </row>
    <row r="1014" customFormat="false" ht="15" hidden="false" customHeight="false" outlineLevel="0" collapsed="false">
      <c r="A1014" s="10" t="n">
        <v>1008</v>
      </c>
      <c r="B1014" s="11" t="s">
        <v>1638</v>
      </c>
      <c r="C1014" s="12" t="s">
        <v>1639</v>
      </c>
      <c r="D1014" s="13" t="n">
        <v>0.0109534722222222</v>
      </c>
      <c r="E1014" s="14" t="n">
        <v>1009</v>
      </c>
      <c r="F1014" s="15" t="n">
        <f aca="false">IF(D1014="","",ROUND((D1014-MIN($D$7:$D$9999))*86400,2))</f>
        <v>156.64</v>
      </c>
      <c r="G1014" s="10" t="str">
        <f aca="false">IF(D1014="","",IF(D1014&lt;=($E$3*60+$F$3)/86400,"○",""))</f>
        <v/>
      </c>
      <c r="H1014" s="16"/>
      <c r="I1014" s="17"/>
      <c r="J1014" s="16" t="n">
        <v>0.00290775462962963</v>
      </c>
      <c r="K1014" s="17" t="n">
        <v>998</v>
      </c>
      <c r="L1014" s="17" t="n">
        <f aca="false">COUNT(E1014,I1014,K1014)</f>
        <v>2</v>
      </c>
      <c r="M1014" s="18" t="n">
        <f aca="false">(D1014&lt;&gt;"")*(D1014&lt;=($E$3*60+$F$3)/86400)+(H1014&lt;&gt;"")*(H1014&lt;=($I$3*60+$J$3)/86400)+(J1014&lt;&gt;"")*(J1014&lt;=($M$3*60+$N$3)/86400)</f>
        <v>0</v>
      </c>
      <c r="N1014" s="20"/>
      <c r="O1014" s="20"/>
      <c r="P1014" s="20"/>
      <c r="Q1014" s="19"/>
    </row>
    <row r="1015" customFormat="false" ht="15" hidden="false" customHeight="false" outlineLevel="0" collapsed="false">
      <c r="A1015" s="10" t="n">
        <v>1009</v>
      </c>
      <c r="B1015" s="11" t="s">
        <v>1640</v>
      </c>
      <c r="C1015" s="12" t="s">
        <v>1641</v>
      </c>
      <c r="D1015" s="13" t="n">
        <v>0.0109534722222222</v>
      </c>
      <c r="E1015" s="14" t="n">
        <v>1010</v>
      </c>
      <c r="F1015" s="15" t="n">
        <f aca="false">IF(D1015="","",ROUND((D1015-MIN($D$7:$D$9999))*86400,2))</f>
        <v>156.64</v>
      </c>
      <c r="G1015" s="10" t="str">
        <f aca="false">IF(D1015="","",IF(D1015&lt;=($E$3*60+$F$3)/86400,"○",""))</f>
        <v/>
      </c>
      <c r="H1015" s="16" t="n">
        <v>0.00654305555555556</v>
      </c>
      <c r="I1015" s="17" t="n">
        <v>44</v>
      </c>
      <c r="J1015" s="16"/>
      <c r="K1015" s="17"/>
      <c r="L1015" s="17" t="n">
        <f aca="false">COUNT(E1015,I1015,K1015)</f>
        <v>2</v>
      </c>
      <c r="M1015" s="18" t="n">
        <f aca="false">(D1015&lt;&gt;"")*(D1015&lt;=($E$3*60+$F$3)/86400)+(H1015&lt;&gt;"")*(H1015&lt;=($I$3*60+$J$3)/86400)+(J1015&lt;&gt;"")*(J1015&lt;=($M$3*60+$N$3)/86400)</f>
        <v>0</v>
      </c>
      <c r="N1015" s="20"/>
      <c r="O1015" s="20"/>
      <c r="P1015" s="20"/>
      <c r="Q1015" s="19"/>
    </row>
    <row r="1016" customFormat="false" ht="15" hidden="false" customHeight="false" outlineLevel="0" collapsed="false">
      <c r="A1016" s="10" t="n">
        <v>1010</v>
      </c>
      <c r="B1016" s="11" t="s">
        <v>1642</v>
      </c>
      <c r="C1016" s="12" t="s">
        <v>318</v>
      </c>
      <c r="D1016" s="13" t="n">
        <v>0.0109539351851852</v>
      </c>
      <c r="E1016" s="14" t="n">
        <v>1011</v>
      </c>
      <c r="F1016" s="15" t="n">
        <f aca="false">IF(D1016="","",ROUND((D1016-MIN($D$7:$D$9999))*86400,2))</f>
        <v>156.68</v>
      </c>
      <c r="G1016" s="10" t="str">
        <f aca="false">IF(D1016="","",IF(D1016&lt;=($E$3*60+$F$3)/86400,"○",""))</f>
        <v/>
      </c>
      <c r="H1016" s="16"/>
      <c r="I1016" s="17"/>
      <c r="J1016" s="16"/>
      <c r="K1016" s="17"/>
      <c r="L1016" s="17" t="n">
        <f aca="false">COUNT(E1016,I1016,K1016)</f>
        <v>1</v>
      </c>
      <c r="M1016" s="18" t="n">
        <f aca="false">(D1016&lt;&gt;"")*(D1016&lt;=($E$3*60+$F$3)/86400)+(H1016&lt;&gt;"")*(H1016&lt;=($I$3*60+$J$3)/86400)+(J1016&lt;&gt;"")*(J1016&lt;=($M$3*60+$N$3)/86400)</f>
        <v>0</v>
      </c>
      <c r="N1016" s="20"/>
      <c r="O1016" s="20"/>
      <c r="P1016" s="20"/>
      <c r="Q1016" s="19"/>
    </row>
    <row r="1017" customFormat="false" ht="15" hidden="false" customHeight="false" outlineLevel="0" collapsed="false">
      <c r="A1017" s="10" t="n">
        <v>1011</v>
      </c>
      <c r="B1017" s="11" t="s">
        <v>1643</v>
      </c>
      <c r="C1017" s="12" t="s">
        <v>591</v>
      </c>
      <c r="D1017" s="13" t="n">
        <v>0.0109541666666667</v>
      </c>
      <c r="E1017" s="14" t="n">
        <v>1012</v>
      </c>
      <c r="F1017" s="15" t="n">
        <f aca="false">IF(D1017="","",ROUND((D1017-MIN($D$7:$D$9999))*86400,2))</f>
        <v>156.7</v>
      </c>
      <c r="G1017" s="10" t="str">
        <f aca="false">IF(D1017="","",IF(D1017&lt;=($E$3*60+$F$3)/86400,"○",""))</f>
        <v/>
      </c>
      <c r="H1017" s="16" t="n">
        <v>0.0069162037037037</v>
      </c>
      <c r="I1017" s="17" t="n">
        <v>252</v>
      </c>
      <c r="J1017" s="16" t="n">
        <v>0.00285138888888889</v>
      </c>
      <c r="K1017" s="17" t="n">
        <v>578</v>
      </c>
      <c r="L1017" s="17" t="n">
        <f aca="false">COUNT(E1017,I1017,K1017)</f>
        <v>3</v>
      </c>
      <c r="M1017" s="18" t="n">
        <f aca="false">(D1017&lt;&gt;"")*(D1017&lt;=($E$3*60+$F$3)/86400)+(H1017&lt;&gt;"")*(H1017&lt;=($I$3*60+$J$3)/86400)+(J1017&lt;&gt;"")*(J1017&lt;=($M$3*60+$N$3)/86400)</f>
        <v>0</v>
      </c>
      <c r="N1017" s="20"/>
      <c r="O1017" s="20"/>
      <c r="P1017" s="20"/>
      <c r="Q1017" s="19"/>
    </row>
    <row r="1018" customFormat="false" ht="15" hidden="false" customHeight="false" outlineLevel="0" collapsed="false">
      <c r="A1018" s="10" t="n">
        <v>1012</v>
      </c>
      <c r="B1018" s="11" t="s">
        <v>1644</v>
      </c>
      <c r="C1018" s="12" t="s">
        <v>1166</v>
      </c>
      <c r="D1018" s="13" t="n">
        <v>0.0109548611111111</v>
      </c>
      <c r="E1018" s="14" t="n">
        <v>1013</v>
      </c>
      <c r="F1018" s="15" t="n">
        <f aca="false">IF(D1018="","",ROUND((D1018-MIN($D$7:$D$9999))*86400,2))</f>
        <v>156.76</v>
      </c>
      <c r="G1018" s="10" t="str">
        <f aca="false">IF(D1018="","",IF(D1018&lt;=($E$3*60+$F$3)/86400,"○",""))</f>
        <v/>
      </c>
      <c r="H1018" s="16"/>
      <c r="I1018" s="17"/>
      <c r="J1018" s="16" t="n">
        <v>0.00297916666666667</v>
      </c>
      <c r="K1018" s="17" t="n">
        <v>1349</v>
      </c>
      <c r="L1018" s="17" t="n">
        <f aca="false">COUNT(E1018,I1018,K1018)</f>
        <v>2</v>
      </c>
      <c r="M1018" s="18" t="n">
        <f aca="false">(D1018&lt;&gt;"")*(D1018&lt;=($E$3*60+$F$3)/86400)+(H1018&lt;&gt;"")*(H1018&lt;=($I$3*60+$J$3)/86400)+(J1018&lt;&gt;"")*(J1018&lt;=($M$3*60+$N$3)/86400)</f>
        <v>0</v>
      </c>
      <c r="N1018" s="20" t="s">
        <v>1645</v>
      </c>
      <c r="O1018" s="20"/>
      <c r="P1018" s="20"/>
      <c r="Q1018" s="19"/>
    </row>
    <row r="1019" customFormat="false" ht="15" hidden="false" customHeight="false" outlineLevel="0" collapsed="false">
      <c r="A1019" s="10" t="n">
        <v>1013</v>
      </c>
      <c r="B1019" s="11" t="s">
        <v>1646</v>
      </c>
      <c r="C1019" s="12" t="s">
        <v>1647</v>
      </c>
      <c r="D1019" s="13" t="n">
        <v>0.0109555555555556</v>
      </c>
      <c r="E1019" s="14" t="n">
        <v>1014</v>
      </c>
      <c r="F1019" s="15" t="n">
        <f aca="false">IF(D1019="","",ROUND((D1019-MIN($D$7:$D$9999))*86400,2))</f>
        <v>156.82</v>
      </c>
      <c r="G1019" s="10" t="str">
        <f aca="false">IF(D1019="","",IF(D1019&lt;=($E$3*60+$F$3)/86400,"○",""))</f>
        <v/>
      </c>
      <c r="H1019" s="16"/>
      <c r="I1019" s="17"/>
      <c r="J1019" s="16"/>
      <c r="K1019" s="17"/>
      <c r="L1019" s="17" t="n">
        <f aca="false">COUNT(E1019,I1019,K1019)</f>
        <v>1</v>
      </c>
      <c r="M1019" s="18" t="n">
        <f aca="false">(D1019&lt;&gt;"")*(D1019&lt;=($E$3*60+$F$3)/86400)+(H1019&lt;&gt;"")*(H1019&lt;=($I$3*60+$J$3)/86400)+(J1019&lt;&gt;"")*(J1019&lt;=($M$3*60+$N$3)/86400)</f>
        <v>0</v>
      </c>
      <c r="N1019" s="20"/>
      <c r="O1019" s="20"/>
      <c r="P1019" s="20"/>
      <c r="Q1019" s="19"/>
    </row>
    <row r="1020" customFormat="false" ht="15" hidden="false" customHeight="false" outlineLevel="0" collapsed="false">
      <c r="A1020" s="10" t="n">
        <v>1014</v>
      </c>
      <c r="B1020" s="11" t="s">
        <v>1648</v>
      </c>
      <c r="C1020" s="12" t="s">
        <v>565</v>
      </c>
      <c r="D1020" s="13" t="n">
        <v>0.0109561342592593</v>
      </c>
      <c r="E1020" s="14" t="n">
        <v>1015</v>
      </c>
      <c r="F1020" s="15" t="n">
        <f aca="false">IF(D1020="","",ROUND((D1020-MIN($D$7:$D$9999))*86400,2))</f>
        <v>156.87</v>
      </c>
      <c r="G1020" s="10" t="str">
        <f aca="false">IF(D1020="","",IF(D1020&lt;=($E$3*60+$F$3)/86400,"○",""))</f>
        <v/>
      </c>
      <c r="H1020" s="16"/>
      <c r="I1020" s="17"/>
      <c r="J1020" s="16"/>
      <c r="K1020" s="17"/>
      <c r="L1020" s="17" t="n">
        <f aca="false">COUNT(E1020,I1020,K1020)</f>
        <v>1</v>
      </c>
      <c r="M1020" s="18" t="n">
        <f aca="false">(D1020&lt;&gt;"")*(D1020&lt;=($E$3*60+$F$3)/86400)+(H1020&lt;&gt;"")*(H1020&lt;=($I$3*60+$J$3)/86400)+(J1020&lt;&gt;"")*(J1020&lt;=($M$3*60+$N$3)/86400)</f>
        <v>0</v>
      </c>
      <c r="N1020" s="20"/>
      <c r="O1020" s="20"/>
      <c r="P1020" s="20"/>
      <c r="Q1020" s="19"/>
    </row>
    <row r="1021" customFormat="false" ht="15" hidden="false" customHeight="false" outlineLevel="0" collapsed="false">
      <c r="A1021" s="10" t="n">
        <v>1015</v>
      </c>
      <c r="B1021" s="11" t="s">
        <v>1649</v>
      </c>
      <c r="C1021" s="12" t="s">
        <v>1650</v>
      </c>
      <c r="D1021" s="13" t="n">
        <v>0.0109570601851852</v>
      </c>
      <c r="E1021" s="14" t="n">
        <v>1016</v>
      </c>
      <c r="F1021" s="15" t="n">
        <f aca="false">IF(D1021="","",ROUND((D1021-MIN($D$7:$D$9999))*86400,2))</f>
        <v>156.95</v>
      </c>
      <c r="G1021" s="10" t="str">
        <f aca="false">IF(D1021="","",IF(D1021&lt;=($E$3*60+$F$3)/86400,"○",""))</f>
        <v/>
      </c>
      <c r="H1021" s="16"/>
      <c r="I1021" s="17"/>
      <c r="J1021" s="16"/>
      <c r="K1021" s="17"/>
      <c r="L1021" s="17" t="n">
        <f aca="false">COUNT(E1021,I1021,K1021)</f>
        <v>1</v>
      </c>
      <c r="M1021" s="18" t="n">
        <f aca="false">(D1021&lt;&gt;"")*(D1021&lt;=($E$3*60+$F$3)/86400)+(H1021&lt;&gt;"")*(H1021&lt;=($I$3*60+$J$3)/86400)+(J1021&lt;&gt;"")*(J1021&lt;=($M$3*60+$N$3)/86400)</f>
        <v>0</v>
      </c>
      <c r="N1021" s="20"/>
      <c r="O1021" s="20"/>
      <c r="P1021" s="20"/>
      <c r="Q1021" s="19"/>
    </row>
    <row r="1022" customFormat="false" ht="15" hidden="false" customHeight="false" outlineLevel="0" collapsed="false">
      <c r="A1022" s="10" t="n">
        <v>1016</v>
      </c>
      <c r="B1022" s="11" t="s">
        <v>1651</v>
      </c>
      <c r="C1022" s="12" t="s">
        <v>1284</v>
      </c>
      <c r="D1022" s="13" t="n">
        <v>0.0109570601851852</v>
      </c>
      <c r="E1022" s="14" t="n">
        <v>1017</v>
      </c>
      <c r="F1022" s="15" t="n">
        <f aca="false">IF(D1022="","",ROUND((D1022-MIN($D$7:$D$9999))*86400,2))</f>
        <v>156.95</v>
      </c>
      <c r="G1022" s="10" t="str">
        <f aca="false">IF(D1022="","",IF(D1022&lt;=($E$3*60+$F$3)/86400,"○",""))</f>
        <v/>
      </c>
      <c r="H1022" s="16"/>
      <c r="I1022" s="17"/>
      <c r="J1022" s="16" t="n">
        <v>0.00281886574074074</v>
      </c>
      <c r="K1022" s="17" t="n">
        <v>358</v>
      </c>
      <c r="L1022" s="17" t="n">
        <f aca="false">COUNT(E1022,I1022,K1022)</f>
        <v>2</v>
      </c>
      <c r="M1022" s="18" t="n">
        <f aca="false">(D1022&lt;&gt;"")*(D1022&lt;=($E$3*60+$F$3)/86400)+(H1022&lt;&gt;"")*(H1022&lt;=($I$3*60+$J$3)/86400)+(J1022&lt;&gt;"")*(J1022&lt;=($M$3*60+$N$3)/86400)</f>
        <v>0</v>
      </c>
      <c r="N1022" s="20"/>
      <c r="O1022" s="20"/>
      <c r="P1022" s="20"/>
      <c r="Q1022" s="19"/>
    </row>
    <row r="1023" customFormat="false" ht="15" hidden="false" customHeight="false" outlineLevel="0" collapsed="false">
      <c r="A1023" s="10" t="n">
        <v>1017</v>
      </c>
      <c r="B1023" s="11" t="s">
        <v>1652</v>
      </c>
      <c r="C1023" s="12" t="s">
        <v>1094</v>
      </c>
      <c r="D1023" s="13" t="n">
        <v>0.0109578703703704</v>
      </c>
      <c r="E1023" s="14" t="n">
        <v>1018</v>
      </c>
      <c r="F1023" s="15" t="n">
        <f aca="false">IF(D1023="","",ROUND((D1023-MIN($D$7:$D$9999))*86400,2))</f>
        <v>157.02</v>
      </c>
      <c r="G1023" s="10" t="str">
        <f aca="false">IF(D1023="","",IF(D1023&lt;=($E$3*60+$F$3)/86400,"○",""))</f>
        <v/>
      </c>
      <c r="H1023" s="16" t="n">
        <v>0.00733819444444444</v>
      </c>
      <c r="I1023" s="17" t="n">
        <v>690</v>
      </c>
      <c r="J1023" s="16"/>
      <c r="K1023" s="17"/>
      <c r="L1023" s="17" t="n">
        <f aca="false">COUNT(E1023,I1023,K1023)</f>
        <v>2</v>
      </c>
      <c r="M1023" s="18" t="n">
        <f aca="false">(D1023&lt;&gt;"")*(D1023&lt;=($E$3*60+$F$3)/86400)+(H1023&lt;&gt;"")*(H1023&lt;=($I$3*60+$J$3)/86400)+(J1023&lt;&gt;"")*(J1023&lt;=($M$3*60+$N$3)/86400)</f>
        <v>0</v>
      </c>
      <c r="N1023" s="20"/>
      <c r="O1023" s="20"/>
      <c r="P1023" s="20"/>
      <c r="Q1023" s="19"/>
    </row>
    <row r="1024" customFormat="false" ht="15" hidden="false" customHeight="false" outlineLevel="0" collapsed="false">
      <c r="A1024" s="10" t="n">
        <v>1018</v>
      </c>
      <c r="B1024" s="11" t="s">
        <v>1653</v>
      </c>
      <c r="C1024" s="12" t="s">
        <v>1049</v>
      </c>
      <c r="D1024" s="13" t="n">
        <v>0.0109579861111111</v>
      </c>
      <c r="E1024" s="14" t="n">
        <v>1019</v>
      </c>
      <c r="F1024" s="15" t="n">
        <f aca="false">IF(D1024="","",ROUND((D1024-MIN($D$7:$D$9999))*86400,2))</f>
        <v>157.03</v>
      </c>
      <c r="G1024" s="10" t="str">
        <f aca="false">IF(D1024="","",IF(D1024&lt;=($E$3*60+$F$3)/86400,"○",""))</f>
        <v/>
      </c>
      <c r="H1024" s="16" t="n">
        <v>0.00743009259259259</v>
      </c>
      <c r="I1024" s="17" t="n">
        <v>805</v>
      </c>
      <c r="J1024" s="16" t="n">
        <v>0.0028681712962963</v>
      </c>
      <c r="K1024" s="17" t="n">
        <v>682</v>
      </c>
      <c r="L1024" s="17" t="n">
        <f aca="false">COUNT(E1024,I1024,K1024)</f>
        <v>3</v>
      </c>
      <c r="M1024" s="18" t="n">
        <f aca="false">(D1024&lt;&gt;"")*(D1024&lt;=($E$3*60+$F$3)/86400)+(H1024&lt;&gt;"")*(H1024&lt;=($I$3*60+$J$3)/86400)+(J1024&lt;&gt;"")*(J1024&lt;=($M$3*60+$N$3)/86400)</f>
        <v>0</v>
      </c>
      <c r="N1024" s="20"/>
      <c r="O1024" s="20"/>
      <c r="P1024" s="20"/>
      <c r="Q1024" s="19"/>
    </row>
    <row r="1025" customFormat="false" ht="15" hidden="false" customHeight="false" outlineLevel="0" collapsed="false">
      <c r="A1025" s="10" t="n">
        <v>1019</v>
      </c>
      <c r="B1025" s="11" t="s">
        <v>1654</v>
      </c>
      <c r="C1025" s="12" t="s">
        <v>63</v>
      </c>
      <c r="D1025" s="13" t="n">
        <v>0.0109596064814815</v>
      </c>
      <c r="E1025" s="14" t="n">
        <v>1020</v>
      </c>
      <c r="F1025" s="15" t="n">
        <f aca="false">IF(D1025="","",ROUND((D1025-MIN($D$7:$D$9999))*86400,2))</f>
        <v>157.17</v>
      </c>
      <c r="G1025" s="10" t="str">
        <f aca="false">IF(D1025="","",IF(D1025&lt;=($E$3*60+$F$3)/86400,"○",""))</f>
        <v/>
      </c>
      <c r="H1025" s="16" t="n">
        <v>0.00732905092592593</v>
      </c>
      <c r="I1025" s="17" t="n">
        <v>681</v>
      </c>
      <c r="J1025" s="16"/>
      <c r="K1025" s="17"/>
      <c r="L1025" s="17" t="n">
        <f aca="false">COUNT(E1025,I1025,K1025)</f>
        <v>2</v>
      </c>
      <c r="M1025" s="18" t="n">
        <f aca="false">(D1025&lt;&gt;"")*(D1025&lt;=($E$3*60+$F$3)/86400)+(H1025&lt;&gt;"")*(H1025&lt;=($I$3*60+$J$3)/86400)+(J1025&lt;&gt;"")*(J1025&lt;=($M$3*60+$N$3)/86400)</f>
        <v>0</v>
      </c>
      <c r="N1025" s="20"/>
      <c r="O1025" s="20"/>
      <c r="P1025" s="20"/>
      <c r="Q1025" s="19"/>
    </row>
    <row r="1026" customFormat="false" ht="15" hidden="false" customHeight="false" outlineLevel="0" collapsed="false">
      <c r="A1026" s="10" t="n">
        <v>1020</v>
      </c>
      <c r="B1026" s="11" t="s">
        <v>1655</v>
      </c>
      <c r="C1026" s="12" t="s">
        <v>1656</v>
      </c>
      <c r="D1026" s="13" t="n">
        <v>0.0109608796296296</v>
      </c>
      <c r="E1026" s="14" t="n">
        <v>1021</v>
      </c>
      <c r="F1026" s="15" t="n">
        <f aca="false">IF(D1026="","",ROUND((D1026-MIN($D$7:$D$9999))*86400,2))</f>
        <v>157.28</v>
      </c>
      <c r="G1026" s="10" t="str">
        <f aca="false">IF(D1026="","",IF(D1026&lt;=($E$3*60+$F$3)/86400,"○",""))</f>
        <v/>
      </c>
      <c r="H1026" s="16" t="n">
        <v>0.00672141203703704</v>
      </c>
      <c r="I1026" s="17" t="n">
        <v>114</v>
      </c>
      <c r="J1026" s="16"/>
      <c r="K1026" s="17"/>
      <c r="L1026" s="17" t="n">
        <f aca="false">COUNT(E1026,I1026,K1026)</f>
        <v>2</v>
      </c>
      <c r="M1026" s="18" t="n">
        <f aca="false">(D1026&lt;&gt;"")*(D1026&lt;=($E$3*60+$F$3)/86400)+(H1026&lt;&gt;"")*(H1026&lt;=($I$3*60+$J$3)/86400)+(J1026&lt;&gt;"")*(J1026&lt;=($M$3*60+$N$3)/86400)</f>
        <v>0</v>
      </c>
      <c r="N1026" s="20" t="s">
        <v>1657</v>
      </c>
      <c r="O1026" s="20"/>
      <c r="P1026" s="20"/>
      <c r="Q1026" s="19"/>
    </row>
    <row r="1027" customFormat="false" ht="15" hidden="false" customHeight="false" outlineLevel="0" collapsed="false">
      <c r="A1027" s="10" t="n">
        <v>1021</v>
      </c>
      <c r="B1027" s="11" t="s">
        <v>1658</v>
      </c>
      <c r="C1027" s="12" t="s">
        <v>1131</v>
      </c>
      <c r="D1027" s="13" t="n">
        <v>0.0109625</v>
      </c>
      <c r="E1027" s="14" t="n">
        <v>1022</v>
      </c>
      <c r="F1027" s="15" t="n">
        <f aca="false">IF(D1027="","",ROUND((D1027-MIN($D$7:$D$9999))*86400,2))</f>
        <v>157.42</v>
      </c>
      <c r="G1027" s="10" t="str">
        <f aca="false">IF(D1027="","",IF(D1027&lt;=($E$3*60+$F$3)/86400,"○",""))</f>
        <v/>
      </c>
      <c r="H1027" s="16" t="n">
        <v>0.00737592592592593</v>
      </c>
      <c r="I1027" s="17" t="n">
        <v>743</v>
      </c>
      <c r="J1027" s="16"/>
      <c r="K1027" s="17"/>
      <c r="L1027" s="17" t="n">
        <f aca="false">COUNT(E1027,I1027,K1027)</f>
        <v>2</v>
      </c>
      <c r="M1027" s="18" t="n">
        <f aca="false">(D1027&lt;&gt;"")*(D1027&lt;=($E$3*60+$F$3)/86400)+(H1027&lt;&gt;"")*(H1027&lt;=($I$3*60+$J$3)/86400)+(J1027&lt;&gt;"")*(J1027&lt;=($M$3*60+$N$3)/86400)</f>
        <v>0</v>
      </c>
      <c r="N1027" s="20" t="s">
        <v>1659</v>
      </c>
      <c r="O1027" s="20"/>
      <c r="P1027" s="20"/>
      <c r="Q1027" s="19"/>
    </row>
    <row r="1028" customFormat="false" ht="15" hidden="false" customHeight="false" outlineLevel="0" collapsed="false">
      <c r="A1028" s="10" t="n">
        <v>1022</v>
      </c>
      <c r="B1028" s="11" t="s">
        <v>1660</v>
      </c>
      <c r="C1028" s="12" t="s">
        <v>1661</v>
      </c>
      <c r="D1028" s="13" t="n">
        <v>0.0109631944444445</v>
      </c>
      <c r="E1028" s="14" t="n">
        <v>1023</v>
      </c>
      <c r="F1028" s="15" t="n">
        <f aca="false">IF(D1028="","",ROUND((D1028-MIN($D$7:$D$9999))*86400,2))</f>
        <v>157.48</v>
      </c>
      <c r="G1028" s="10" t="str">
        <f aca="false">IF(D1028="","",IF(D1028&lt;=($E$3*60+$F$3)/86400,"○",""))</f>
        <v/>
      </c>
      <c r="H1028" s="16"/>
      <c r="I1028" s="17"/>
      <c r="J1028" s="16" t="n">
        <v>0.00288796296296296</v>
      </c>
      <c r="K1028" s="17" t="n">
        <v>847</v>
      </c>
      <c r="L1028" s="17" t="n">
        <f aca="false">COUNT(E1028,I1028,K1028)</f>
        <v>2</v>
      </c>
      <c r="M1028" s="18" t="n">
        <f aca="false">(D1028&lt;&gt;"")*(D1028&lt;=($E$3*60+$F$3)/86400)+(H1028&lt;&gt;"")*(H1028&lt;=($I$3*60+$J$3)/86400)+(J1028&lt;&gt;"")*(J1028&lt;=($M$3*60+$N$3)/86400)</f>
        <v>0</v>
      </c>
      <c r="N1028" s="20"/>
      <c r="O1028" s="20"/>
      <c r="P1028" s="20"/>
      <c r="Q1028" s="19"/>
    </row>
    <row r="1029" customFormat="false" ht="15" hidden="false" customHeight="false" outlineLevel="0" collapsed="false">
      <c r="A1029" s="10" t="n">
        <v>1023</v>
      </c>
      <c r="B1029" s="11" t="s">
        <v>1662</v>
      </c>
      <c r="C1029" s="12" t="s">
        <v>1127</v>
      </c>
      <c r="D1029" s="13" t="n">
        <v>0.0109635416666667</v>
      </c>
      <c r="E1029" s="14" t="n">
        <v>1024</v>
      </c>
      <c r="F1029" s="15" t="n">
        <f aca="false">IF(D1029="","",ROUND((D1029-MIN($D$7:$D$9999))*86400,2))</f>
        <v>157.51</v>
      </c>
      <c r="G1029" s="10" t="str">
        <f aca="false">IF(D1029="","",IF(D1029&lt;=($E$3*60+$F$3)/86400,"○",""))</f>
        <v/>
      </c>
      <c r="H1029" s="16" t="n">
        <v>0.00733854166666667</v>
      </c>
      <c r="I1029" s="17" t="n">
        <v>692</v>
      </c>
      <c r="J1029" s="16" t="n">
        <v>0.00294328703703704</v>
      </c>
      <c r="K1029" s="17" t="n">
        <v>1213</v>
      </c>
      <c r="L1029" s="17" t="n">
        <f aca="false">COUNT(E1029,I1029,K1029)</f>
        <v>3</v>
      </c>
      <c r="M1029" s="18" t="n">
        <f aca="false">(D1029&lt;&gt;"")*(D1029&lt;=($E$3*60+$F$3)/86400)+(H1029&lt;&gt;"")*(H1029&lt;=($I$3*60+$J$3)/86400)+(J1029&lt;&gt;"")*(J1029&lt;=($M$3*60+$N$3)/86400)</f>
        <v>0</v>
      </c>
      <c r="N1029" s="20"/>
      <c r="O1029" s="20"/>
      <c r="P1029" s="20"/>
      <c r="Q1029" s="19"/>
    </row>
    <row r="1030" customFormat="false" ht="15" hidden="false" customHeight="false" outlineLevel="0" collapsed="false">
      <c r="A1030" s="10" t="n">
        <v>1024</v>
      </c>
      <c r="B1030" s="11" t="s">
        <v>1663</v>
      </c>
      <c r="C1030" s="12" t="s">
        <v>1664</v>
      </c>
      <c r="D1030" s="13" t="n">
        <v>0.0109638888888889</v>
      </c>
      <c r="E1030" s="14" t="n">
        <v>1025</v>
      </c>
      <c r="F1030" s="15" t="n">
        <f aca="false">IF(D1030="","",ROUND((D1030-MIN($D$7:$D$9999))*86400,2))</f>
        <v>157.54</v>
      </c>
      <c r="G1030" s="10" t="str">
        <f aca="false">IF(D1030="","",IF(D1030&lt;=($E$3*60+$F$3)/86400,"○",""))</f>
        <v/>
      </c>
      <c r="H1030" s="16"/>
      <c r="I1030" s="17"/>
      <c r="J1030" s="16"/>
      <c r="K1030" s="17"/>
      <c r="L1030" s="17" t="n">
        <f aca="false">COUNT(E1030,I1030,K1030)</f>
        <v>1</v>
      </c>
      <c r="M1030" s="18" t="n">
        <f aca="false">(D1030&lt;&gt;"")*(D1030&lt;=($E$3*60+$F$3)/86400)+(H1030&lt;&gt;"")*(H1030&lt;=($I$3*60+$J$3)/86400)+(J1030&lt;&gt;"")*(J1030&lt;=($M$3*60+$N$3)/86400)</f>
        <v>0</v>
      </c>
      <c r="N1030" s="20"/>
      <c r="O1030" s="20"/>
      <c r="P1030" s="20"/>
      <c r="Q1030" s="19"/>
    </row>
    <row r="1031" customFormat="false" ht="15" hidden="false" customHeight="false" outlineLevel="0" collapsed="false">
      <c r="A1031" s="10" t="n">
        <v>1025</v>
      </c>
      <c r="B1031" s="11" t="s">
        <v>1665</v>
      </c>
      <c r="C1031" s="12" t="s">
        <v>503</v>
      </c>
      <c r="D1031" s="13" t="n">
        <v>0.0109643518518519</v>
      </c>
      <c r="E1031" s="14" t="n">
        <v>1026</v>
      </c>
      <c r="F1031" s="15" t="n">
        <f aca="false">IF(D1031="","",ROUND((D1031-MIN($D$7:$D$9999))*86400,2))</f>
        <v>157.58</v>
      </c>
      <c r="G1031" s="10" t="str">
        <f aca="false">IF(D1031="","",IF(D1031&lt;=($E$3*60+$F$3)/86400,"○",""))</f>
        <v/>
      </c>
      <c r="H1031" s="16"/>
      <c r="I1031" s="17"/>
      <c r="J1031" s="16"/>
      <c r="K1031" s="17"/>
      <c r="L1031" s="17" t="n">
        <f aca="false">COUNT(E1031,I1031,K1031)</f>
        <v>1</v>
      </c>
      <c r="M1031" s="18" t="n">
        <f aca="false">(D1031&lt;&gt;"")*(D1031&lt;=($E$3*60+$F$3)/86400)+(H1031&lt;&gt;"")*(H1031&lt;=($I$3*60+$J$3)/86400)+(J1031&lt;&gt;"")*(J1031&lt;=($M$3*60+$N$3)/86400)</f>
        <v>0</v>
      </c>
      <c r="N1031" s="20"/>
      <c r="O1031" s="20"/>
      <c r="P1031" s="20"/>
      <c r="Q1031" s="19"/>
    </row>
    <row r="1032" customFormat="false" ht="15" hidden="false" customHeight="false" outlineLevel="0" collapsed="false">
      <c r="A1032" s="10" t="n">
        <v>1026</v>
      </c>
      <c r="B1032" s="11" t="s">
        <v>1666</v>
      </c>
      <c r="C1032" s="12" t="s">
        <v>1667</v>
      </c>
      <c r="D1032" s="13" t="n">
        <v>0.0109652777777778</v>
      </c>
      <c r="E1032" s="14" t="n">
        <v>1027</v>
      </c>
      <c r="F1032" s="15" t="n">
        <f aca="false">IF(D1032="","",ROUND((D1032-MIN($D$7:$D$9999))*86400,2))</f>
        <v>157.66</v>
      </c>
      <c r="G1032" s="10" t="str">
        <f aca="false">IF(D1032="","",IF(D1032&lt;=($E$3*60+$F$3)/86400,"○",""))</f>
        <v/>
      </c>
      <c r="H1032" s="16"/>
      <c r="I1032" s="17"/>
      <c r="J1032" s="16"/>
      <c r="K1032" s="17"/>
      <c r="L1032" s="17" t="n">
        <f aca="false">COUNT(E1032,I1032,K1032)</f>
        <v>1</v>
      </c>
      <c r="M1032" s="18" t="n">
        <f aca="false">(D1032&lt;&gt;"")*(D1032&lt;=($E$3*60+$F$3)/86400)+(H1032&lt;&gt;"")*(H1032&lt;=($I$3*60+$J$3)/86400)+(J1032&lt;&gt;"")*(J1032&lt;=($M$3*60+$N$3)/86400)</f>
        <v>0</v>
      </c>
      <c r="N1032" s="20"/>
      <c r="O1032" s="20"/>
      <c r="P1032" s="20"/>
      <c r="Q1032" s="19"/>
    </row>
    <row r="1033" customFormat="false" ht="15" hidden="false" customHeight="false" outlineLevel="0" collapsed="false">
      <c r="A1033" s="10" t="n">
        <v>1027</v>
      </c>
      <c r="B1033" s="11" t="s">
        <v>1668</v>
      </c>
      <c r="C1033" s="12" t="s">
        <v>115</v>
      </c>
      <c r="D1033" s="13" t="n">
        <v>0.0109670138888889</v>
      </c>
      <c r="E1033" s="14" t="n">
        <v>1028</v>
      </c>
      <c r="F1033" s="15" t="n">
        <f aca="false">IF(D1033="","",ROUND((D1033-MIN($D$7:$D$9999))*86400,2))</f>
        <v>157.81</v>
      </c>
      <c r="G1033" s="10" t="str">
        <f aca="false">IF(D1033="","",IF(D1033&lt;=($E$3*60+$F$3)/86400,"○",""))</f>
        <v/>
      </c>
      <c r="H1033" s="16" t="n">
        <v>0.00680034722222222</v>
      </c>
      <c r="I1033" s="17" t="n">
        <v>172</v>
      </c>
      <c r="J1033" s="16"/>
      <c r="K1033" s="17"/>
      <c r="L1033" s="17" t="n">
        <f aca="false">COUNT(E1033,I1033,K1033)</f>
        <v>2</v>
      </c>
      <c r="M1033" s="18" t="n">
        <f aca="false">(D1033&lt;&gt;"")*(D1033&lt;=($E$3*60+$F$3)/86400)+(H1033&lt;&gt;"")*(H1033&lt;=($I$3*60+$J$3)/86400)+(J1033&lt;&gt;"")*(J1033&lt;=($M$3*60+$N$3)/86400)</f>
        <v>0</v>
      </c>
      <c r="N1033" s="20"/>
      <c r="O1033" s="20"/>
      <c r="P1033" s="20"/>
      <c r="Q1033" s="19"/>
    </row>
    <row r="1034" customFormat="false" ht="15" hidden="false" customHeight="false" outlineLevel="0" collapsed="false">
      <c r="A1034" s="10" t="n">
        <v>1028</v>
      </c>
      <c r="B1034" s="11" t="s">
        <v>1669</v>
      </c>
      <c r="C1034" s="12" t="s">
        <v>1510</v>
      </c>
      <c r="D1034" s="13" t="n">
        <v>0.0109672453703704</v>
      </c>
      <c r="E1034" s="14" t="n">
        <v>1029</v>
      </c>
      <c r="F1034" s="15" t="n">
        <f aca="false">IF(D1034="","",ROUND((D1034-MIN($D$7:$D$9999))*86400,2))</f>
        <v>157.83</v>
      </c>
      <c r="G1034" s="10" t="str">
        <f aca="false">IF(D1034="","",IF(D1034&lt;=($E$3*60+$F$3)/86400,"○",""))</f>
        <v/>
      </c>
      <c r="H1034" s="16" t="n">
        <v>0.00675219907407407</v>
      </c>
      <c r="I1034" s="17" t="n">
        <v>130</v>
      </c>
      <c r="J1034" s="16" t="n">
        <v>0.0029099537037037</v>
      </c>
      <c r="K1034" s="17" t="n">
        <v>1019</v>
      </c>
      <c r="L1034" s="17" t="n">
        <f aca="false">COUNT(E1034,I1034,K1034)</f>
        <v>3</v>
      </c>
      <c r="M1034" s="18" t="n">
        <f aca="false">(D1034&lt;&gt;"")*(D1034&lt;=($E$3*60+$F$3)/86400)+(H1034&lt;&gt;"")*(H1034&lt;=($I$3*60+$J$3)/86400)+(J1034&lt;&gt;"")*(J1034&lt;=($M$3*60+$N$3)/86400)</f>
        <v>0</v>
      </c>
      <c r="N1034" s="20" t="s">
        <v>743</v>
      </c>
      <c r="O1034" s="20"/>
      <c r="P1034" s="20" t="s">
        <v>1670</v>
      </c>
      <c r="Q1034" s="19"/>
    </row>
    <row r="1035" customFormat="false" ht="15" hidden="false" customHeight="false" outlineLevel="0" collapsed="false">
      <c r="A1035" s="10" t="n">
        <v>1029</v>
      </c>
      <c r="B1035" s="11" t="s">
        <v>1671</v>
      </c>
      <c r="C1035" s="12" t="s">
        <v>503</v>
      </c>
      <c r="D1035" s="13" t="n">
        <v>0.0109677083333333</v>
      </c>
      <c r="E1035" s="14" t="n">
        <v>1030</v>
      </c>
      <c r="F1035" s="15" t="n">
        <f aca="false">IF(D1035="","",ROUND((D1035-MIN($D$7:$D$9999))*86400,2))</f>
        <v>157.87</v>
      </c>
      <c r="G1035" s="10" t="str">
        <f aca="false">IF(D1035="","",IF(D1035&lt;=($E$3*60+$F$3)/86400,"○",""))</f>
        <v/>
      </c>
      <c r="H1035" s="16" t="n">
        <v>0.0068337962962963</v>
      </c>
      <c r="I1035" s="17" t="n">
        <v>195</v>
      </c>
      <c r="J1035" s="16"/>
      <c r="K1035" s="17"/>
      <c r="L1035" s="17" t="n">
        <f aca="false">COUNT(E1035,I1035,K1035)</f>
        <v>2</v>
      </c>
      <c r="M1035" s="18" t="n">
        <f aca="false">(D1035&lt;&gt;"")*(D1035&lt;=($E$3*60+$F$3)/86400)+(H1035&lt;&gt;"")*(H1035&lt;=($I$3*60+$J$3)/86400)+(J1035&lt;&gt;"")*(J1035&lt;=($M$3*60+$N$3)/86400)</f>
        <v>0</v>
      </c>
      <c r="N1035" s="20"/>
      <c r="O1035" s="20"/>
      <c r="P1035" s="20"/>
      <c r="Q1035" s="19"/>
    </row>
    <row r="1036" customFormat="false" ht="15" hidden="false" customHeight="false" outlineLevel="0" collapsed="false">
      <c r="A1036" s="10" t="n">
        <v>1030</v>
      </c>
      <c r="B1036" s="11" t="s">
        <v>1672</v>
      </c>
      <c r="C1036" s="12" t="s">
        <v>1127</v>
      </c>
      <c r="D1036" s="13" t="n">
        <v>0.0109677083333333</v>
      </c>
      <c r="E1036" s="14" t="n">
        <v>1031</v>
      </c>
      <c r="F1036" s="15" t="n">
        <f aca="false">IF(D1036="","",ROUND((D1036-MIN($D$7:$D$9999))*86400,2))</f>
        <v>157.87</v>
      </c>
      <c r="G1036" s="10" t="str">
        <f aca="false">IF(D1036="","",IF(D1036&lt;=($E$3*60+$F$3)/86400,"○",""))</f>
        <v/>
      </c>
      <c r="H1036" s="16" t="n">
        <v>0.00840659722222222</v>
      </c>
      <c r="I1036" s="17" t="n">
        <v>1282</v>
      </c>
      <c r="J1036" s="16"/>
      <c r="K1036" s="17"/>
      <c r="L1036" s="17" t="n">
        <f aca="false">COUNT(E1036,I1036,K1036)</f>
        <v>2</v>
      </c>
      <c r="M1036" s="18" t="n">
        <f aca="false">(D1036&lt;&gt;"")*(D1036&lt;=($E$3*60+$F$3)/86400)+(H1036&lt;&gt;"")*(H1036&lt;=($I$3*60+$J$3)/86400)+(J1036&lt;&gt;"")*(J1036&lt;=($M$3*60+$N$3)/86400)</f>
        <v>0</v>
      </c>
      <c r="N1036" s="20"/>
      <c r="O1036" s="20"/>
      <c r="P1036" s="20"/>
      <c r="Q1036" s="19"/>
    </row>
    <row r="1037" customFormat="false" ht="15" hidden="false" customHeight="false" outlineLevel="0" collapsed="false">
      <c r="A1037" s="10" t="n">
        <v>1031</v>
      </c>
      <c r="B1037" s="11" t="s">
        <v>1673</v>
      </c>
      <c r="C1037" s="12" t="s">
        <v>591</v>
      </c>
      <c r="D1037" s="13" t="n">
        <v>0.0109680555555556</v>
      </c>
      <c r="E1037" s="14" t="n">
        <v>1032</v>
      </c>
      <c r="F1037" s="15" t="n">
        <f aca="false">IF(D1037="","",ROUND((D1037-MIN($D$7:$D$9999))*86400,2))</f>
        <v>157.9</v>
      </c>
      <c r="G1037" s="10" t="str">
        <f aca="false">IF(D1037="","",IF(D1037&lt;=($E$3*60+$F$3)/86400,"○",""))</f>
        <v/>
      </c>
      <c r="H1037" s="16"/>
      <c r="I1037" s="17"/>
      <c r="J1037" s="16" t="n">
        <v>0.00282372685185185</v>
      </c>
      <c r="K1037" s="17" t="n">
        <v>385</v>
      </c>
      <c r="L1037" s="17" t="n">
        <f aca="false">COUNT(E1037,I1037,K1037)</f>
        <v>2</v>
      </c>
      <c r="M1037" s="18" t="n">
        <f aca="false">(D1037&lt;&gt;"")*(D1037&lt;=($E$3*60+$F$3)/86400)+(H1037&lt;&gt;"")*(H1037&lt;=($I$3*60+$J$3)/86400)+(J1037&lt;&gt;"")*(J1037&lt;=($M$3*60+$N$3)/86400)</f>
        <v>0</v>
      </c>
      <c r="N1037" s="20" t="s">
        <v>883</v>
      </c>
      <c r="O1037" s="20"/>
      <c r="P1037" s="20"/>
      <c r="Q1037" s="19"/>
    </row>
    <row r="1038" customFormat="false" ht="15" hidden="false" customHeight="false" outlineLevel="0" collapsed="false">
      <c r="A1038" s="10" t="n">
        <v>1032</v>
      </c>
      <c r="B1038" s="11" t="s">
        <v>1674</v>
      </c>
      <c r="C1038" s="12" t="s">
        <v>1675</v>
      </c>
      <c r="D1038" s="13" t="n">
        <v>0.0109680555555556</v>
      </c>
      <c r="E1038" s="14" t="n">
        <v>1033</v>
      </c>
      <c r="F1038" s="15" t="n">
        <f aca="false">IF(D1038="","",ROUND((D1038-MIN($D$7:$D$9999))*86400,2))</f>
        <v>157.9</v>
      </c>
      <c r="G1038" s="10" t="str">
        <f aca="false">IF(D1038="","",IF(D1038&lt;=($E$3*60+$F$3)/86400,"○",""))</f>
        <v/>
      </c>
      <c r="H1038" s="16" t="n">
        <v>0.00723611111111111</v>
      </c>
      <c r="I1038" s="17" t="n">
        <v>581</v>
      </c>
      <c r="J1038" s="16" t="n">
        <v>0.00288900462962963</v>
      </c>
      <c r="K1038" s="17" t="n">
        <v>855</v>
      </c>
      <c r="L1038" s="17" t="n">
        <f aca="false">COUNT(E1038,I1038,K1038)</f>
        <v>3</v>
      </c>
      <c r="M1038" s="18" t="n">
        <f aca="false">(D1038&lt;&gt;"")*(D1038&lt;=($E$3*60+$F$3)/86400)+(H1038&lt;&gt;"")*(H1038&lt;=($I$3*60+$J$3)/86400)+(J1038&lt;&gt;"")*(J1038&lt;=($M$3*60+$N$3)/86400)</f>
        <v>0</v>
      </c>
      <c r="N1038" s="20"/>
      <c r="O1038" s="20"/>
      <c r="P1038" s="20"/>
      <c r="Q1038" s="19"/>
    </row>
    <row r="1039" customFormat="false" ht="15" hidden="false" customHeight="false" outlineLevel="0" collapsed="false">
      <c r="A1039" s="10" t="n">
        <v>1033</v>
      </c>
      <c r="B1039" s="11" t="s">
        <v>1676</v>
      </c>
      <c r="C1039" s="12" t="s">
        <v>1677</v>
      </c>
      <c r="D1039" s="13" t="n">
        <v>0.0109681712962963</v>
      </c>
      <c r="E1039" s="14" t="n">
        <v>1034</v>
      </c>
      <c r="F1039" s="15" t="n">
        <f aca="false">IF(D1039="","",ROUND((D1039-MIN($D$7:$D$9999))*86400,2))</f>
        <v>157.91</v>
      </c>
      <c r="G1039" s="10" t="str">
        <f aca="false">IF(D1039="","",IF(D1039&lt;=($E$3*60+$F$3)/86400,"○",""))</f>
        <v/>
      </c>
      <c r="H1039" s="16"/>
      <c r="I1039" s="17"/>
      <c r="J1039" s="16"/>
      <c r="K1039" s="17"/>
      <c r="L1039" s="17" t="n">
        <f aca="false">COUNT(E1039,I1039,K1039)</f>
        <v>1</v>
      </c>
      <c r="M1039" s="18" t="n">
        <f aca="false">(D1039&lt;&gt;"")*(D1039&lt;=($E$3*60+$F$3)/86400)+(H1039&lt;&gt;"")*(H1039&lt;=($I$3*60+$J$3)/86400)+(J1039&lt;&gt;"")*(J1039&lt;=($M$3*60+$N$3)/86400)</f>
        <v>0</v>
      </c>
      <c r="N1039" s="20"/>
      <c r="O1039" s="20"/>
      <c r="P1039" s="20"/>
      <c r="Q1039" s="19"/>
    </row>
    <row r="1040" customFormat="false" ht="15" hidden="false" customHeight="false" outlineLevel="0" collapsed="false">
      <c r="A1040" s="10" t="n">
        <v>1034</v>
      </c>
      <c r="B1040" s="11" t="s">
        <v>1678</v>
      </c>
      <c r="C1040" s="12" t="s">
        <v>127</v>
      </c>
      <c r="D1040" s="13" t="n">
        <v>0.010968287037037</v>
      </c>
      <c r="E1040" s="14" t="n">
        <v>1035</v>
      </c>
      <c r="F1040" s="15" t="n">
        <f aca="false">IF(D1040="","",ROUND((D1040-MIN($D$7:$D$9999))*86400,2))</f>
        <v>157.92</v>
      </c>
      <c r="G1040" s="10" t="str">
        <f aca="false">IF(D1040="","",IF(D1040&lt;=($E$3*60+$F$3)/86400,"○",""))</f>
        <v/>
      </c>
      <c r="H1040" s="16"/>
      <c r="I1040" s="17"/>
      <c r="J1040" s="16"/>
      <c r="K1040" s="17"/>
      <c r="L1040" s="17" t="n">
        <f aca="false">COUNT(E1040,I1040,K1040)</f>
        <v>1</v>
      </c>
      <c r="M1040" s="18" t="n">
        <f aca="false">(D1040&lt;&gt;"")*(D1040&lt;=($E$3*60+$F$3)/86400)+(H1040&lt;&gt;"")*(H1040&lt;=($I$3*60+$J$3)/86400)+(J1040&lt;&gt;"")*(J1040&lt;=($M$3*60+$N$3)/86400)</f>
        <v>0</v>
      </c>
      <c r="N1040" s="20"/>
      <c r="O1040" s="20"/>
      <c r="P1040" s="20"/>
      <c r="Q1040" s="19"/>
    </row>
    <row r="1041" customFormat="false" ht="15" hidden="false" customHeight="false" outlineLevel="0" collapsed="false">
      <c r="A1041" s="10" t="n">
        <v>1035</v>
      </c>
      <c r="B1041" s="11" t="s">
        <v>1679</v>
      </c>
      <c r="C1041" s="12" t="s">
        <v>262</v>
      </c>
      <c r="D1041" s="13" t="n">
        <v>0.0109695601851852</v>
      </c>
      <c r="E1041" s="14" t="n">
        <v>1036</v>
      </c>
      <c r="F1041" s="15" t="n">
        <f aca="false">IF(D1041="","",ROUND((D1041-MIN($D$7:$D$9999))*86400,2))</f>
        <v>158.03</v>
      </c>
      <c r="G1041" s="10" t="str">
        <f aca="false">IF(D1041="","",IF(D1041&lt;=($E$3*60+$F$3)/86400,"○",""))</f>
        <v/>
      </c>
      <c r="H1041" s="16"/>
      <c r="I1041" s="17"/>
      <c r="J1041" s="16"/>
      <c r="K1041" s="17"/>
      <c r="L1041" s="17" t="n">
        <f aca="false">COUNT(E1041,I1041,K1041)</f>
        <v>1</v>
      </c>
      <c r="M1041" s="18" t="n">
        <f aca="false">(D1041&lt;&gt;"")*(D1041&lt;=($E$3*60+$F$3)/86400)+(H1041&lt;&gt;"")*(H1041&lt;=($I$3*60+$J$3)/86400)+(J1041&lt;&gt;"")*(J1041&lt;=($M$3*60+$N$3)/86400)</f>
        <v>0</v>
      </c>
      <c r="N1041" s="20"/>
      <c r="O1041" s="20"/>
      <c r="P1041" s="20"/>
      <c r="Q1041" s="19"/>
    </row>
    <row r="1042" customFormat="false" ht="15" hidden="false" customHeight="false" outlineLevel="0" collapsed="false">
      <c r="A1042" s="10" t="n">
        <v>1036</v>
      </c>
      <c r="B1042" s="11" t="s">
        <v>1680</v>
      </c>
      <c r="C1042" s="12" t="s">
        <v>375</v>
      </c>
      <c r="D1042" s="13" t="n">
        <v>0.0109695601851852</v>
      </c>
      <c r="E1042" s="14" t="n">
        <v>1037</v>
      </c>
      <c r="F1042" s="15" t="n">
        <f aca="false">IF(D1042="","",ROUND((D1042-MIN($D$7:$D$9999))*86400,2))</f>
        <v>158.03</v>
      </c>
      <c r="G1042" s="10" t="str">
        <f aca="false">IF(D1042="","",IF(D1042&lt;=($E$3*60+$F$3)/86400,"○",""))</f>
        <v/>
      </c>
      <c r="H1042" s="16"/>
      <c r="I1042" s="17"/>
      <c r="J1042" s="16" t="n">
        <v>0.00286226851851852</v>
      </c>
      <c r="K1042" s="17" t="n">
        <v>649</v>
      </c>
      <c r="L1042" s="17" t="n">
        <f aca="false">COUNT(E1042,I1042,K1042)</f>
        <v>2</v>
      </c>
      <c r="M1042" s="18" t="n">
        <f aca="false">(D1042&lt;&gt;"")*(D1042&lt;=($E$3*60+$F$3)/86400)+(H1042&lt;&gt;"")*(H1042&lt;=($I$3*60+$J$3)/86400)+(J1042&lt;&gt;"")*(J1042&lt;=($M$3*60+$N$3)/86400)</f>
        <v>0</v>
      </c>
      <c r="N1042" s="20"/>
      <c r="O1042" s="20"/>
      <c r="P1042" s="20"/>
      <c r="Q1042" s="19"/>
    </row>
    <row r="1043" customFormat="false" ht="15" hidden="false" customHeight="false" outlineLevel="0" collapsed="false">
      <c r="A1043" s="10" t="n">
        <v>1037</v>
      </c>
      <c r="B1043" s="11" t="s">
        <v>1681</v>
      </c>
      <c r="C1043" s="12" t="s">
        <v>1682</v>
      </c>
      <c r="D1043" s="13" t="n">
        <v>0.0109695601851852</v>
      </c>
      <c r="E1043" s="14" t="n">
        <v>1038</v>
      </c>
      <c r="F1043" s="15" t="n">
        <f aca="false">IF(D1043="","",ROUND((D1043-MIN($D$7:$D$9999))*86400,2))</f>
        <v>158.03</v>
      </c>
      <c r="G1043" s="10" t="str">
        <f aca="false">IF(D1043="","",IF(D1043&lt;=($E$3*60+$F$3)/86400,"○",""))</f>
        <v/>
      </c>
      <c r="H1043" s="16"/>
      <c r="I1043" s="17"/>
      <c r="J1043" s="16" t="n">
        <v>0.00285625</v>
      </c>
      <c r="K1043" s="17" t="n">
        <v>609</v>
      </c>
      <c r="L1043" s="17" t="n">
        <f aca="false">COUNT(E1043,I1043,K1043)</f>
        <v>2</v>
      </c>
      <c r="M1043" s="18" t="n">
        <f aca="false">(D1043&lt;&gt;"")*(D1043&lt;=($E$3*60+$F$3)/86400)+(H1043&lt;&gt;"")*(H1043&lt;=($I$3*60+$J$3)/86400)+(J1043&lt;&gt;"")*(J1043&lt;=($M$3*60+$N$3)/86400)</f>
        <v>0</v>
      </c>
      <c r="N1043" s="20"/>
      <c r="O1043" s="20"/>
      <c r="P1043" s="20"/>
      <c r="Q1043" s="19"/>
    </row>
    <row r="1044" customFormat="false" ht="15" hidden="false" customHeight="false" outlineLevel="0" collapsed="false">
      <c r="A1044" s="10" t="n">
        <v>1038</v>
      </c>
      <c r="B1044" s="11" t="s">
        <v>1683</v>
      </c>
      <c r="C1044" s="12" t="s">
        <v>1684</v>
      </c>
      <c r="D1044" s="13" t="n">
        <v>0.0109696759259259</v>
      </c>
      <c r="E1044" s="14" t="n">
        <v>1039</v>
      </c>
      <c r="F1044" s="15" t="n">
        <f aca="false">IF(D1044="","",ROUND((D1044-MIN($D$7:$D$9999))*86400,2))</f>
        <v>158.04</v>
      </c>
      <c r="G1044" s="10" t="str">
        <f aca="false">IF(D1044="","",IF(D1044&lt;=($E$3*60+$F$3)/86400,"○",""))</f>
        <v/>
      </c>
      <c r="H1044" s="16"/>
      <c r="I1044" s="17"/>
      <c r="J1044" s="16" t="n">
        <v>0.00291712962962963</v>
      </c>
      <c r="K1044" s="17" t="n">
        <v>1067</v>
      </c>
      <c r="L1044" s="17" t="n">
        <f aca="false">COUNT(E1044,I1044,K1044)</f>
        <v>2</v>
      </c>
      <c r="M1044" s="18" t="n">
        <f aca="false">(D1044&lt;&gt;"")*(D1044&lt;=($E$3*60+$F$3)/86400)+(H1044&lt;&gt;"")*(H1044&lt;=($I$3*60+$J$3)/86400)+(J1044&lt;&gt;"")*(J1044&lt;=($M$3*60+$N$3)/86400)</f>
        <v>0</v>
      </c>
      <c r="N1044" s="20"/>
      <c r="O1044" s="20"/>
      <c r="P1044" s="20"/>
      <c r="Q1044" s="19"/>
    </row>
    <row r="1045" customFormat="false" ht="15" hidden="false" customHeight="false" outlineLevel="0" collapsed="false">
      <c r="A1045" s="10" t="n">
        <v>1039</v>
      </c>
      <c r="B1045" s="11" t="s">
        <v>1685</v>
      </c>
      <c r="C1045" s="12" t="s">
        <v>893</v>
      </c>
      <c r="D1045" s="13" t="n">
        <v>0.0109703703703704</v>
      </c>
      <c r="E1045" s="14" t="n">
        <v>1040</v>
      </c>
      <c r="F1045" s="15" t="n">
        <f aca="false">IF(D1045="","",ROUND((D1045-MIN($D$7:$D$9999))*86400,2))</f>
        <v>158.1</v>
      </c>
      <c r="G1045" s="10" t="str">
        <f aca="false">IF(D1045="","",IF(D1045&lt;=($E$3*60+$F$3)/86400,"○",""))</f>
        <v/>
      </c>
      <c r="H1045" s="16" t="n">
        <v>0.00664293981481482</v>
      </c>
      <c r="I1045" s="17" t="n">
        <v>80</v>
      </c>
      <c r="J1045" s="16" t="n">
        <v>0.00283680555555556</v>
      </c>
      <c r="K1045" s="17" t="n">
        <v>476</v>
      </c>
      <c r="L1045" s="17" t="n">
        <f aca="false">COUNT(E1045,I1045,K1045)</f>
        <v>3</v>
      </c>
      <c r="M1045" s="18" t="n">
        <f aca="false">(D1045&lt;&gt;"")*(D1045&lt;=($E$3*60+$F$3)/86400)+(H1045&lt;&gt;"")*(H1045&lt;=($I$3*60+$J$3)/86400)+(J1045&lt;&gt;"")*(J1045&lt;=($M$3*60+$N$3)/86400)</f>
        <v>0</v>
      </c>
      <c r="N1045" s="20"/>
      <c r="O1045" s="20"/>
      <c r="P1045" s="20"/>
      <c r="Q1045" s="19"/>
    </row>
    <row r="1046" customFormat="false" ht="15" hidden="false" customHeight="false" outlineLevel="0" collapsed="false">
      <c r="A1046" s="10" t="n">
        <v>1040</v>
      </c>
      <c r="B1046" s="11" t="s">
        <v>1686</v>
      </c>
      <c r="C1046" s="12" t="s">
        <v>143</v>
      </c>
      <c r="D1046" s="13" t="n">
        <v>0.0109706018518519</v>
      </c>
      <c r="E1046" s="14" t="n">
        <v>1041</v>
      </c>
      <c r="F1046" s="15" t="n">
        <f aca="false">IF(D1046="","",ROUND((D1046-MIN($D$7:$D$9999))*86400,2))</f>
        <v>158.12</v>
      </c>
      <c r="G1046" s="10" t="str">
        <f aca="false">IF(D1046="","",IF(D1046&lt;=($E$3*60+$F$3)/86400,"○",""))</f>
        <v/>
      </c>
      <c r="H1046" s="16"/>
      <c r="I1046" s="17"/>
      <c r="J1046" s="16" t="n">
        <v>0.00272881944444445</v>
      </c>
      <c r="K1046" s="17" t="n">
        <v>61</v>
      </c>
      <c r="L1046" s="17" t="n">
        <f aca="false">COUNT(E1046,I1046,K1046)</f>
        <v>2</v>
      </c>
      <c r="M1046" s="18" t="n">
        <f aca="false">(D1046&lt;&gt;"")*(D1046&lt;=($E$3*60+$F$3)/86400)+(H1046&lt;&gt;"")*(H1046&lt;=($I$3*60+$J$3)/86400)+(J1046&lt;&gt;"")*(J1046&lt;=($M$3*60+$N$3)/86400)</f>
        <v>0</v>
      </c>
      <c r="N1046" s="20"/>
      <c r="O1046" s="20"/>
      <c r="P1046" s="20"/>
      <c r="Q1046" s="19"/>
    </row>
    <row r="1047" customFormat="false" ht="15" hidden="false" customHeight="false" outlineLevel="0" collapsed="false">
      <c r="A1047" s="10" t="n">
        <v>1041</v>
      </c>
      <c r="B1047" s="11" t="s">
        <v>1687</v>
      </c>
      <c r="C1047" s="12" t="s">
        <v>1688</v>
      </c>
      <c r="D1047" s="13" t="n">
        <v>0.0109711805555556</v>
      </c>
      <c r="E1047" s="14" t="n">
        <v>1042</v>
      </c>
      <c r="F1047" s="15" t="n">
        <f aca="false">IF(D1047="","",ROUND((D1047-MIN($D$7:$D$9999))*86400,2))</f>
        <v>158.17</v>
      </c>
      <c r="G1047" s="10" t="str">
        <f aca="false">IF(D1047="","",IF(D1047&lt;=($E$3*60+$F$3)/86400,"○",""))</f>
        <v/>
      </c>
      <c r="H1047" s="16"/>
      <c r="I1047" s="17"/>
      <c r="J1047" s="16"/>
      <c r="K1047" s="17"/>
      <c r="L1047" s="17" t="n">
        <f aca="false">COUNT(E1047,I1047,K1047)</f>
        <v>1</v>
      </c>
      <c r="M1047" s="18" t="n">
        <f aca="false">(D1047&lt;&gt;"")*(D1047&lt;=($E$3*60+$F$3)/86400)+(H1047&lt;&gt;"")*(H1047&lt;=($I$3*60+$J$3)/86400)+(J1047&lt;&gt;"")*(J1047&lt;=($M$3*60+$N$3)/86400)</f>
        <v>0</v>
      </c>
      <c r="N1047" s="20" t="s">
        <v>1689</v>
      </c>
      <c r="O1047" s="20"/>
      <c r="P1047" s="20"/>
      <c r="Q1047" s="19"/>
    </row>
    <row r="1048" customFormat="false" ht="15" hidden="false" customHeight="false" outlineLevel="0" collapsed="false">
      <c r="A1048" s="10" t="n">
        <v>1042</v>
      </c>
      <c r="B1048" s="11" t="s">
        <v>1690</v>
      </c>
      <c r="C1048" s="12" t="s">
        <v>157</v>
      </c>
      <c r="D1048" s="13" t="n">
        <v>0.0109712962962963</v>
      </c>
      <c r="E1048" s="14" t="n">
        <v>1043</v>
      </c>
      <c r="F1048" s="15" t="n">
        <f aca="false">IF(D1048="","",ROUND((D1048-MIN($D$7:$D$9999))*86400,2))</f>
        <v>158.18</v>
      </c>
      <c r="G1048" s="10" t="str">
        <f aca="false">IF(D1048="","",IF(D1048&lt;=($E$3*60+$F$3)/86400,"○",""))</f>
        <v/>
      </c>
      <c r="H1048" s="16"/>
      <c r="I1048" s="17"/>
      <c r="J1048" s="16"/>
      <c r="K1048" s="17"/>
      <c r="L1048" s="17" t="n">
        <f aca="false">COUNT(E1048,I1048,K1048)</f>
        <v>1</v>
      </c>
      <c r="M1048" s="18" t="n">
        <f aca="false">(D1048&lt;&gt;"")*(D1048&lt;=($E$3*60+$F$3)/86400)+(H1048&lt;&gt;"")*(H1048&lt;=($I$3*60+$J$3)/86400)+(J1048&lt;&gt;"")*(J1048&lt;=($M$3*60+$N$3)/86400)</f>
        <v>0</v>
      </c>
      <c r="N1048" s="20"/>
      <c r="O1048" s="20"/>
      <c r="P1048" s="20"/>
      <c r="Q1048" s="19"/>
    </row>
    <row r="1049" customFormat="false" ht="15" hidden="false" customHeight="false" outlineLevel="0" collapsed="false">
      <c r="A1049" s="10" t="n">
        <v>1043</v>
      </c>
      <c r="B1049" s="11" t="s">
        <v>1691</v>
      </c>
      <c r="C1049" s="12" t="s">
        <v>1692</v>
      </c>
      <c r="D1049" s="13" t="n">
        <v>0.0109716435185185</v>
      </c>
      <c r="E1049" s="14" t="n">
        <v>1044</v>
      </c>
      <c r="F1049" s="15" t="n">
        <f aca="false">IF(D1049="","",ROUND((D1049-MIN($D$7:$D$9999))*86400,2))</f>
        <v>158.21</v>
      </c>
      <c r="G1049" s="10" t="str">
        <f aca="false">IF(D1049="","",IF(D1049&lt;=($E$3*60+$F$3)/86400,"○",""))</f>
        <v/>
      </c>
      <c r="H1049" s="16"/>
      <c r="I1049" s="17"/>
      <c r="J1049" s="16" t="n">
        <v>0.00286377314814815</v>
      </c>
      <c r="K1049" s="17" t="n">
        <v>659</v>
      </c>
      <c r="L1049" s="17" t="n">
        <f aca="false">COUNT(E1049,I1049,K1049)</f>
        <v>2</v>
      </c>
      <c r="M1049" s="18" t="n">
        <f aca="false">(D1049&lt;&gt;"")*(D1049&lt;=($E$3*60+$F$3)/86400)+(H1049&lt;&gt;"")*(H1049&lt;=($I$3*60+$J$3)/86400)+(J1049&lt;&gt;"")*(J1049&lt;=($M$3*60+$N$3)/86400)</f>
        <v>0</v>
      </c>
      <c r="N1049" s="20"/>
      <c r="O1049" s="20"/>
      <c r="P1049" s="20"/>
      <c r="Q1049" s="19"/>
    </row>
    <row r="1050" customFormat="false" ht="15" hidden="false" customHeight="false" outlineLevel="0" collapsed="false">
      <c r="A1050" s="10" t="n">
        <v>1044</v>
      </c>
      <c r="B1050" s="11" t="s">
        <v>1693</v>
      </c>
      <c r="C1050" s="12" t="s">
        <v>1694</v>
      </c>
      <c r="D1050" s="13" t="n">
        <v>0.0109722222222222</v>
      </c>
      <c r="E1050" s="14" t="n">
        <v>1045</v>
      </c>
      <c r="F1050" s="15" t="n">
        <f aca="false">IF(D1050="","",ROUND((D1050-MIN($D$7:$D$9999))*86400,2))</f>
        <v>158.26</v>
      </c>
      <c r="G1050" s="10" t="str">
        <f aca="false">IF(D1050="","",IF(D1050&lt;=($E$3*60+$F$3)/86400,"○",""))</f>
        <v/>
      </c>
      <c r="H1050" s="16"/>
      <c r="I1050" s="17"/>
      <c r="J1050" s="16"/>
      <c r="K1050" s="17"/>
      <c r="L1050" s="17" t="n">
        <f aca="false">COUNT(E1050,I1050,K1050)</f>
        <v>1</v>
      </c>
      <c r="M1050" s="18" t="n">
        <f aca="false">(D1050&lt;&gt;"")*(D1050&lt;=($E$3*60+$F$3)/86400)+(H1050&lt;&gt;"")*(H1050&lt;=($I$3*60+$J$3)/86400)+(J1050&lt;&gt;"")*(J1050&lt;=($M$3*60+$N$3)/86400)</f>
        <v>0</v>
      </c>
      <c r="N1050" s="20"/>
      <c r="O1050" s="20"/>
      <c r="P1050" s="20"/>
      <c r="Q1050" s="19"/>
    </row>
    <row r="1051" customFormat="false" ht="15" hidden="false" customHeight="false" outlineLevel="0" collapsed="false">
      <c r="A1051" s="10" t="n">
        <v>1045</v>
      </c>
      <c r="B1051" s="11" t="s">
        <v>1695</v>
      </c>
      <c r="C1051" s="12" t="s">
        <v>318</v>
      </c>
      <c r="D1051" s="13" t="n">
        <v>0.0109732638888889</v>
      </c>
      <c r="E1051" s="14" t="n">
        <v>1046</v>
      </c>
      <c r="F1051" s="15" t="n">
        <f aca="false">IF(D1051="","",ROUND((D1051-MIN($D$7:$D$9999))*86400,2))</f>
        <v>158.35</v>
      </c>
      <c r="G1051" s="10" t="str">
        <f aca="false">IF(D1051="","",IF(D1051&lt;=($E$3*60+$F$3)/86400,"○",""))</f>
        <v/>
      </c>
      <c r="H1051" s="16" t="n">
        <v>0.00769664351851852</v>
      </c>
      <c r="I1051" s="17" t="n">
        <v>1064</v>
      </c>
      <c r="J1051" s="16"/>
      <c r="K1051" s="17"/>
      <c r="L1051" s="17" t="n">
        <f aca="false">COUNT(E1051,I1051,K1051)</f>
        <v>2</v>
      </c>
      <c r="M1051" s="18" t="n">
        <f aca="false">(D1051&lt;&gt;"")*(D1051&lt;=($E$3*60+$F$3)/86400)+(H1051&lt;&gt;"")*(H1051&lt;=($I$3*60+$J$3)/86400)+(J1051&lt;&gt;"")*(J1051&lt;=($M$3*60+$N$3)/86400)</f>
        <v>0</v>
      </c>
      <c r="N1051" s="20"/>
      <c r="O1051" s="20"/>
      <c r="P1051" s="20"/>
      <c r="Q1051" s="19"/>
    </row>
    <row r="1052" customFormat="false" ht="15" hidden="false" customHeight="false" outlineLevel="0" collapsed="false">
      <c r="A1052" s="10" t="n">
        <v>1046</v>
      </c>
      <c r="B1052" s="11" t="s">
        <v>1696</v>
      </c>
      <c r="C1052" s="12" t="s">
        <v>1697</v>
      </c>
      <c r="D1052" s="13" t="n">
        <v>0.0109736111111111</v>
      </c>
      <c r="E1052" s="14" t="n">
        <v>1047</v>
      </c>
      <c r="F1052" s="15" t="n">
        <f aca="false">IF(D1052="","",ROUND((D1052-MIN($D$7:$D$9999))*86400,2))</f>
        <v>158.38</v>
      </c>
      <c r="G1052" s="10" t="str">
        <f aca="false">IF(D1052="","",IF(D1052&lt;=($E$3*60+$F$3)/86400,"○",""))</f>
        <v/>
      </c>
      <c r="H1052" s="16"/>
      <c r="I1052" s="17"/>
      <c r="J1052" s="16" t="n">
        <v>0.00281388888888889</v>
      </c>
      <c r="K1052" s="17" t="n">
        <v>339</v>
      </c>
      <c r="L1052" s="17" t="n">
        <f aca="false">COUNT(E1052,I1052,K1052)</f>
        <v>2</v>
      </c>
      <c r="M1052" s="18" t="n">
        <f aca="false">(D1052&lt;&gt;"")*(D1052&lt;=($E$3*60+$F$3)/86400)+(H1052&lt;&gt;"")*(H1052&lt;=($I$3*60+$J$3)/86400)+(J1052&lt;&gt;"")*(J1052&lt;=($M$3*60+$N$3)/86400)</f>
        <v>0</v>
      </c>
      <c r="N1052" s="20"/>
      <c r="O1052" s="20"/>
      <c r="P1052" s="20"/>
      <c r="Q1052" s="19"/>
    </row>
    <row r="1053" customFormat="false" ht="15" hidden="false" customHeight="false" outlineLevel="0" collapsed="false">
      <c r="A1053" s="10" t="n">
        <v>1047</v>
      </c>
      <c r="B1053" s="11" t="s">
        <v>1698</v>
      </c>
      <c r="C1053" s="12" t="s">
        <v>544</v>
      </c>
      <c r="D1053" s="13" t="n">
        <v>0.0109739583333333</v>
      </c>
      <c r="E1053" s="14" t="n">
        <v>1048</v>
      </c>
      <c r="F1053" s="15" t="n">
        <f aca="false">IF(D1053="","",ROUND((D1053-MIN($D$7:$D$9999))*86400,2))</f>
        <v>158.41</v>
      </c>
      <c r="G1053" s="10" t="str">
        <f aca="false">IF(D1053="","",IF(D1053&lt;=($E$3*60+$F$3)/86400,"○",""))</f>
        <v/>
      </c>
      <c r="H1053" s="16"/>
      <c r="I1053" s="17"/>
      <c r="J1053" s="16"/>
      <c r="K1053" s="17"/>
      <c r="L1053" s="17" t="n">
        <f aca="false">COUNT(E1053,I1053,K1053)</f>
        <v>1</v>
      </c>
      <c r="M1053" s="18" t="n">
        <f aca="false">(D1053&lt;&gt;"")*(D1053&lt;=($E$3*60+$F$3)/86400)+(H1053&lt;&gt;"")*(H1053&lt;=($I$3*60+$J$3)/86400)+(J1053&lt;&gt;"")*(J1053&lt;=($M$3*60+$N$3)/86400)</f>
        <v>0</v>
      </c>
      <c r="N1053" s="20"/>
      <c r="O1053" s="20"/>
      <c r="P1053" s="20"/>
      <c r="Q1053" s="19"/>
    </row>
    <row r="1054" customFormat="false" ht="15" hidden="false" customHeight="false" outlineLevel="0" collapsed="false">
      <c r="A1054" s="10" t="n">
        <v>1048</v>
      </c>
      <c r="B1054" s="11" t="s">
        <v>1699</v>
      </c>
      <c r="C1054" s="12" t="s">
        <v>1700</v>
      </c>
      <c r="D1054" s="13" t="n">
        <v>0.0109747685185185</v>
      </c>
      <c r="E1054" s="14" t="n">
        <v>1049</v>
      </c>
      <c r="F1054" s="15" t="n">
        <f aca="false">IF(D1054="","",ROUND((D1054-MIN($D$7:$D$9999))*86400,2))</f>
        <v>158.48</v>
      </c>
      <c r="G1054" s="10" t="str">
        <f aca="false">IF(D1054="","",IF(D1054&lt;=($E$3*60+$F$3)/86400,"○",""))</f>
        <v/>
      </c>
      <c r="H1054" s="16"/>
      <c r="I1054" s="17"/>
      <c r="J1054" s="16" t="n">
        <v>0.00292638888888889</v>
      </c>
      <c r="K1054" s="17" t="n">
        <v>1162</v>
      </c>
      <c r="L1054" s="17" t="n">
        <f aca="false">COUNT(E1054,I1054,K1054)</f>
        <v>2</v>
      </c>
      <c r="M1054" s="18" t="n">
        <f aca="false">(D1054&lt;&gt;"")*(D1054&lt;=($E$3*60+$F$3)/86400)+(H1054&lt;&gt;"")*(H1054&lt;=($I$3*60+$J$3)/86400)+(J1054&lt;&gt;"")*(J1054&lt;=($M$3*60+$N$3)/86400)</f>
        <v>0</v>
      </c>
      <c r="N1054" s="20"/>
      <c r="O1054" s="20"/>
      <c r="P1054" s="20"/>
      <c r="Q1054" s="19"/>
    </row>
    <row r="1055" customFormat="false" ht="15" hidden="false" customHeight="false" outlineLevel="0" collapsed="false">
      <c r="A1055" s="10" t="n">
        <v>1049</v>
      </c>
      <c r="B1055" s="11" t="s">
        <v>1701</v>
      </c>
      <c r="C1055" s="12" t="s">
        <v>320</v>
      </c>
      <c r="D1055" s="13" t="n">
        <v>0.0109751157407407</v>
      </c>
      <c r="E1055" s="14" t="n">
        <v>1050</v>
      </c>
      <c r="F1055" s="15" t="n">
        <f aca="false">IF(D1055="","",ROUND((D1055-MIN($D$7:$D$9999))*86400,2))</f>
        <v>158.51</v>
      </c>
      <c r="G1055" s="10" t="str">
        <f aca="false">IF(D1055="","",IF(D1055&lt;=($E$3*60+$F$3)/86400,"○",""))</f>
        <v/>
      </c>
      <c r="H1055" s="16" t="n">
        <v>0.00753622685185185</v>
      </c>
      <c r="I1055" s="17" t="n">
        <v>940</v>
      </c>
      <c r="J1055" s="16"/>
      <c r="K1055" s="17"/>
      <c r="L1055" s="17" t="n">
        <f aca="false">COUNT(E1055,I1055,K1055)</f>
        <v>2</v>
      </c>
      <c r="M1055" s="18" t="n">
        <f aca="false">(D1055&lt;&gt;"")*(D1055&lt;=($E$3*60+$F$3)/86400)+(H1055&lt;&gt;"")*(H1055&lt;=($I$3*60+$J$3)/86400)+(J1055&lt;&gt;"")*(J1055&lt;=($M$3*60+$N$3)/86400)</f>
        <v>0</v>
      </c>
      <c r="N1055" s="20"/>
      <c r="O1055" s="20"/>
      <c r="P1055" s="20"/>
      <c r="Q1055" s="19"/>
    </row>
    <row r="1056" customFormat="false" ht="15" hidden="false" customHeight="false" outlineLevel="0" collapsed="false">
      <c r="A1056" s="10" t="n">
        <v>1050</v>
      </c>
      <c r="B1056" s="11" t="s">
        <v>1702</v>
      </c>
      <c r="C1056" s="12" t="s">
        <v>1703</v>
      </c>
      <c r="D1056" s="13" t="n">
        <v>0.0109778935185185</v>
      </c>
      <c r="E1056" s="14" t="n">
        <v>1051</v>
      </c>
      <c r="F1056" s="15" t="n">
        <f aca="false">IF(D1056="","",ROUND((D1056-MIN($D$7:$D$9999))*86400,2))</f>
        <v>158.75</v>
      </c>
      <c r="G1056" s="10" t="str">
        <f aca="false">IF(D1056="","",IF(D1056&lt;=($E$3*60+$F$3)/86400,"○",""))</f>
        <v/>
      </c>
      <c r="H1056" s="16"/>
      <c r="I1056" s="17"/>
      <c r="J1056" s="16"/>
      <c r="K1056" s="17"/>
      <c r="L1056" s="17" t="n">
        <f aca="false">COUNT(E1056,I1056,K1056)</f>
        <v>1</v>
      </c>
      <c r="M1056" s="18" t="n">
        <f aca="false">(D1056&lt;&gt;"")*(D1056&lt;=($E$3*60+$F$3)/86400)+(H1056&lt;&gt;"")*(H1056&lt;=($I$3*60+$J$3)/86400)+(J1056&lt;&gt;"")*(J1056&lt;=($M$3*60+$N$3)/86400)</f>
        <v>0</v>
      </c>
      <c r="N1056" s="20"/>
      <c r="O1056" s="20"/>
      <c r="P1056" s="20"/>
      <c r="Q1056" s="19"/>
    </row>
    <row r="1057" customFormat="false" ht="15" hidden="false" customHeight="false" outlineLevel="0" collapsed="false">
      <c r="A1057" s="10" t="n">
        <v>1051</v>
      </c>
      <c r="B1057" s="11" t="s">
        <v>1704</v>
      </c>
      <c r="C1057" s="12" t="s">
        <v>1705</v>
      </c>
      <c r="D1057" s="13" t="n">
        <v>0.0109778935185185</v>
      </c>
      <c r="E1057" s="14" t="n">
        <v>1052</v>
      </c>
      <c r="F1057" s="15" t="n">
        <f aca="false">IF(D1057="","",ROUND((D1057-MIN($D$7:$D$9999))*86400,2))</f>
        <v>158.75</v>
      </c>
      <c r="G1057" s="10" t="str">
        <f aca="false">IF(D1057="","",IF(D1057&lt;=($E$3*60+$F$3)/86400,"○",""))</f>
        <v/>
      </c>
      <c r="H1057" s="16"/>
      <c r="I1057" s="17"/>
      <c r="J1057" s="16" t="n">
        <v>0.00297152777777778</v>
      </c>
      <c r="K1057" s="17" t="n">
        <v>1313</v>
      </c>
      <c r="L1057" s="17" t="n">
        <f aca="false">COUNT(E1057,I1057,K1057)</f>
        <v>2</v>
      </c>
      <c r="M1057" s="18" t="n">
        <f aca="false">(D1057&lt;&gt;"")*(D1057&lt;=($E$3*60+$F$3)/86400)+(H1057&lt;&gt;"")*(H1057&lt;=($I$3*60+$J$3)/86400)+(J1057&lt;&gt;"")*(J1057&lt;=($M$3*60+$N$3)/86400)</f>
        <v>0</v>
      </c>
      <c r="N1057" s="20"/>
      <c r="O1057" s="20"/>
      <c r="P1057" s="20"/>
      <c r="Q1057" s="19"/>
    </row>
    <row r="1058" customFormat="false" ht="15" hidden="false" customHeight="false" outlineLevel="0" collapsed="false">
      <c r="A1058" s="10" t="n">
        <v>1052</v>
      </c>
      <c r="B1058" s="11" t="s">
        <v>1706</v>
      </c>
      <c r="C1058" s="12" t="s">
        <v>1707</v>
      </c>
      <c r="D1058" s="13" t="n">
        <v>0.010978587962963</v>
      </c>
      <c r="E1058" s="14" t="n">
        <v>1053</v>
      </c>
      <c r="F1058" s="15" t="n">
        <f aca="false">IF(D1058="","",ROUND((D1058-MIN($D$7:$D$9999))*86400,2))</f>
        <v>158.81</v>
      </c>
      <c r="G1058" s="10" t="str">
        <f aca="false">IF(D1058="","",IF(D1058&lt;=($E$3*60+$F$3)/86400,"○",""))</f>
        <v/>
      </c>
      <c r="H1058" s="16" t="n">
        <v>0.00701643518518519</v>
      </c>
      <c r="I1058" s="17" t="n">
        <v>353</v>
      </c>
      <c r="J1058" s="16"/>
      <c r="K1058" s="17"/>
      <c r="L1058" s="17" t="n">
        <f aca="false">COUNT(E1058,I1058,K1058)</f>
        <v>2</v>
      </c>
      <c r="M1058" s="18" t="n">
        <f aca="false">(D1058&lt;&gt;"")*(D1058&lt;=($E$3*60+$F$3)/86400)+(H1058&lt;&gt;"")*(H1058&lt;=($I$3*60+$J$3)/86400)+(J1058&lt;&gt;"")*(J1058&lt;=($M$3*60+$N$3)/86400)</f>
        <v>0</v>
      </c>
      <c r="N1058" s="20"/>
      <c r="O1058" s="20"/>
      <c r="P1058" s="20"/>
      <c r="Q1058" s="19"/>
    </row>
    <row r="1059" customFormat="false" ht="15" hidden="false" customHeight="false" outlineLevel="0" collapsed="false">
      <c r="A1059" s="10" t="n">
        <v>1053</v>
      </c>
      <c r="B1059" s="11" t="s">
        <v>1708</v>
      </c>
      <c r="C1059" s="12" t="s">
        <v>860</v>
      </c>
      <c r="D1059" s="13" t="n">
        <v>0.0109790509259259</v>
      </c>
      <c r="E1059" s="14" t="n">
        <v>1054</v>
      </c>
      <c r="F1059" s="15" t="n">
        <f aca="false">IF(D1059="","",ROUND((D1059-MIN($D$7:$D$9999))*86400,2))</f>
        <v>158.85</v>
      </c>
      <c r="G1059" s="10" t="str">
        <f aca="false">IF(D1059="","",IF(D1059&lt;=($E$3*60+$F$3)/86400,"○",""))</f>
        <v/>
      </c>
      <c r="H1059" s="16" t="n">
        <v>0.00710462962962963</v>
      </c>
      <c r="I1059" s="17" t="n">
        <v>453</v>
      </c>
      <c r="J1059" s="16"/>
      <c r="K1059" s="17"/>
      <c r="L1059" s="17" t="n">
        <f aca="false">COUNT(E1059,I1059,K1059)</f>
        <v>2</v>
      </c>
      <c r="M1059" s="18" t="n">
        <f aca="false">(D1059&lt;&gt;"")*(D1059&lt;=($E$3*60+$F$3)/86400)+(H1059&lt;&gt;"")*(H1059&lt;=($I$3*60+$J$3)/86400)+(J1059&lt;&gt;"")*(J1059&lt;=($M$3*60+$N$3)/86400)</f>
        <v>0</v>
      </c>
      <c r="N1059" s="20"/>
      <c r="O1059" s="20"/>
      <c r="P1059" s="20"/>
      <c r="Q1059" s="19"/>
    </row>
    <row r="1060" customFormat="false" ht="15" hidden="false" customHeight="false" outlineLevel="0" collapsed="false">
      <c r="A1060" s="10" t="n">
        <v>1054</v>
      </c>
      <c r="B1060" s="11" t="s">
        <v>1709</v>
      </c>
      <c r="C1060" s="12" t="s">
        <v>1710</v>
      </c>
      <c r="D1060" s="13" t="n">
        <v>0.0109792824074074</v>
      </c>
      <c r="E1060" s="14" t="n">
        <v>1055</v>
      </c>
      <c r="F1060" s="15" t="n">
        <f aca="false">IF(D1060="","",ROUND((D1060-MIN($D$7:$D$9999))*86400,2))</f>
        <v>158.87</v>
      </c>
      <c r="G1060" s="10" t="str">
        <f aca="false">IF(D1060="","",IF(D1060&lt;=($E$3*60+$F$3)/86400,"○",""))</f>
        <v/>
      </c>
      <c r="H1060" s="16" t="n">
        <v>0.00708622685185185</v>
      </c>
      <c r="I1060" s="17" t="n">
        <v>435</v>
      </c>
      <c r="J1060" s="16"/>
      <c r="K1060" s="17"/>
      <c r="L1060" s="17" t="n">
        <f aca="false">COUNT(E1060,I1060,K1060)</f>
        <v>2</v>
      </c>
      <c r="M1060" s="18" t="n">
        <f aca="false">(D1060&lt;&gt;"")*(D1060&lt;=($E$3*60+$F$3)/86400)+(H1060&lt;&gt;"")*(H1060&lt;=($I$3*60+$J$3)/86400)+(J1060&lt;&gt;"")*(J1060&lt;=($M$3*60+$N$3)/86400)</f>
        <v>0</v>
      </c>
      <c r="N1060" s="20"/>
      <c r="O1060" s="20"/>
      <c r="P1060" s="20"/>
      <c r="Q1060" s="19"/>
    </row>
    <row r="1061" customFormat="false" ht="15" hidden="false" customHeight="false" outlineLevel="0" collapsed="false">
      <c r="A1061" s="10" t="n">
        <v>1055</v>
      </c>
      <c r="B1061" s="11" t="s">
        <v>1711</v>
      </c>
      <c r="C1061" s="12" t="s">
        <v>846</v>
      </c>
      <c r="D1061" s="13" t="n">
        <v>0.0109800925925926</v>
      </c>
      <c r="E1061" s="14" t="n">
        <v>1056</v>
      </c>
      <c r="F1061" s="15" t="n">
        <f aca="false">IF(D1061="","",ROUND((D1061-MIN($D$7:$D$9999))*86400,2))</f>
        <v>158.94</v>
      </c>
      <c r="G1061" s="10" t="str">
        <f aca="false">IF(D1061="","",IF(D1061&lt;=($E$3*60+$F$3)/86400,"○",""))</f>
        <v/>
      </c>
      <c r="H1061" s="16"/>
      <c r="I1061" s="17"/>
      <c r="J1061" s="16" t="n">
        <v>0.00293715277777778</v>
      </c>
      <c r="K1061" s="17" t="n">
        <v>1195</v>
      </c>
      <c r="L1061" s="17" t="n">
        <f aca="false">COUNT(E1061,I1061,K1061)</f>
        <v>2</v>
      </c>
      <c r="M1061" s="18" t="n">
        <f aca="false">(D1061&lt;&gt;"")*(D1061&lt;=($E$3*60+$F$3)/86400)+(H1061&lt;&gt;"")*(H1061&lt;=($I$3*60+$J$3)/86400)+(J1061&lt;&gt;"")*(J1061&lt;=($M$3*60+$N$3)/86400)</f>
        <v>0</v>
      </c>
      <c r="N1061" s="20"/>
      <c r="O1061" s="20"/>
      <c r="P1061" s="20"/>
      <c r="Q1061" s="19"/>
    </row>
    <row r="1062" customFormat="false" ht="15" hidden="false" customHeight="false" outlineLevel="0" collapsed="false">
      <c r="A1062" s="10" t="n">
        <v>1056</v>
      </c>
      <c r="B1062" s="11" t="s">
        <v>1712</v>
      </c>
      <c r="C1062" s="12" t="s">
        <v>406</v>
      </c>
      <c r="D1062" s="13" t="n">
        <v>0.010980787037037</v>
      </c>
      <c r="E1062" s="14" t="n">
        <v>1057</v>
      </c>
      <c r="F1062" s="15" t="n">
        <f aca="false">IF(D1062="","",ROUND((D1062-MIN($D$7:$D$9999))*86400,2))</f>
        <v>159</v>
      </c>
      <c r="G1062" s="10" t="str">
        <f aca="false">IF(D1062="","",IF(D1062&lt;=($E$3*60+$F$3)/86400,"○",""))</f>
        <v/>
      </c>
      <c r="H1062" s="16"/>
      <c r="I1062" s="17"/>
      <c r="J1062" s="16" t="n">
        <v>0.00289398148148148</v>
      </c>
      <c r="K1062" s="17" t="n">
        <v>904</v>
      </c>
      <c r="L1062" s="17" t="n">
        <f aca="false">COUNT(E1062,I1062,K1062)</f>
        <v>2</v>
      </c>
      <c r="M1062" s="18" t="n">
        <f aca="false">(D1062&lt;&gt;"")*(D1062&lt;=($E$3*60+$F$3)/86400)+(H1062&lt;&gt;"")*(H1062&lt;=($I$3*60+$J$3)/86400)+(J1062&lt;&gt;"")*(J1062&lt;=($M$3*60+$N$3)/86400)</f>
        <v>0</v>
      </c>
      <c r="N1062" s="20"/>
      <c r="O1062" s="20"/>
      <c r="P1062" s="20"/>
      <c r="Q1062" s="19"/>
    </row>
    <row r="1063" customFormat="false" ht="15" hidden="false" customHeight="false" outlineLevel="0" collapsed="false">
      <c r="A1063" s="10" t="n">
        <v>1057</v>
      </c>
      <c r="B1063" s="11" t="s">
        <v>1713</v>
      </c>
      <c r="C1063" s="12" t="s">
        <v>1245</v>
      </c>
      <c r="D1063" s="13" t="n">
        <v>0.0109810185185185</v>
      </c>
      <c r="E1063" s="14" t="n">
        <v>1058</v>
      </c>
      <c r="F1063" s="15" t="n">
        <f aca="false">IF(D1063="","",ROUND((D1063-MIN($D$7:$D$9999))*86400,2))</f>
        <v>159.02</v>
      </c>
      <c r="G1063" s="10" t="str">
        <f aca="false">IF(D1063="","",IF(D1063&lt;=($E$3*60+$F$3)/86400,"○",""))</f>
        <v/>
      </c>
      <c r="H1063" s="16" t="n">
        <v>0.00690625</v>
      </c>
      <c r="I1063" s="17" t="n">
        <v>248</v>
      </c>
      <c r="J1063" s="16"/>
      <c r="K1063" s="17"/>
      <c r="L1063" s="17" t="n">
        <f aca="false">COUNT(E1063,I1063,K1063)</f>
        <v>2</v>
      </c>
      <c r="M1063" s="18" t="n">
        <f aca="false">(D1063&lt;&gt;"")*(D1063&lt;=($E$3*60+$F$3)/86400)+(H1063&lt;&gt;"")*(H1063&lt;=($I$3*60+$J$3)/86400)+(J1063&lt;&gt;"")*(J1063&lt;=($M$3*60+$N$3)/86400)</f>
        <v>0</v>
      </c>
      <c r="N1063" s="20"/>
      <c r="O1063" s="20"/>
      <c r="P1063" s="20"/>
      <c r="Q1063" s="19"/>
    </row>
    <row r="1064" customFormat="false" ht="15" hidden="false" customHeight="false" outlineLevel="0" collapsed="false">
      <c r="A1064" s="10" t="n">
        <v>1058</v>
      </c>
      <c r="B1064" s="11" t="s">
        <v>1714</v>
      </c>
      <c r="C1064" s="12" t="s">
        <v>444</v>
      </c>
      <c r="D1064" s="13" t="n">
        <v>0.0109811342592593</v>
      </c>
      <c r="E1064" s="14" t="n">
        <v>1059</v>
      </c>
      <c r="F1064" s="15" t="n">
        <f aca="false">IF(D1064="","",ROUND((D1064-MIN($D$7:$D$9999))*86400,2))</f>
        <v>159.03</v>
      </c>
      <c r="G1064" s="10" t="str">
        <f aca="false">IF(D1064="","",IF(D1064&lt;=($E$3*60+$F$3)/86400,"○",""))</f>
        <v/>
      </c>
      <c r="H1064" s="16" t="n">
        <v>0.00712893518518519</v>
      </c>
      <c r="I1064" s="17" t="n">
        <v>473</v>
      </c>
      <c r="J1064" s="16"/>
      <c r="K1064" s="17"/>
      <c r="L1064" s="17" t="n">
        <f aca="false">COUNT(E1064,I1064,K1064)</f>
        <v>2</v>
      </c>
      <c r="M1064" s="18" t="n">
        <f aca="false">(D1064&lt;&gt;"")*(D1064&lt;=($E$3*60+$F$3)/86400)+(H1064&lt;&gt;"")*(H1064&lt;=($I$3*60+$J$3)/86400)+(J1064&lt;&gt;"")*(J1064&lt;=($M$3*60+$N$3)/86400)</f>
        <v>0</v>
      </c>
      <c r="N1064" s="20"/>
      <c r="O1064" s="20"/>
      <c r="P1064" s="20"/>
      <c r="Q1064" s="19"/>
    </row>
    <row r="1065" customFormat="false" ht="15" hidden="false" customHeight="false" outlineLevel="0" collapsed="false">
      <c r="A1065" s="10" t="n">
        <v>1059</v>
      </c>
      <c r="B1065" s="11" t="s">
        <v>1715</v>
      </c>
      <c r="C1065" s="12" t="s">
        <v>1716</v>
      </c>
      <c r="D1065" s="13" t="n">
        <v>0.01098125</v>
      </c>
      <c r="E1065" s="14" t="n">
        <v>1060</v>
      </c>
      <c r="F1065" s="15" t="n">
        <f aca="false">IF(D1065="","",ROUND((D1065-MIN($D$7:$D$9999))*86400,2))</f>
        <v>159.04</v>
      </c>
      <c r="G1065" s="10" t="str">
        <f aca="false">IF(D1065="","",IF(D1065&lt;=($E$3*60+$F$3)/86400,"○",""))</f>
        <v/>
      </c>
      <c r="H1065" s="16" t="n">
        <v>0.00697002314814815</v>
      </c>
      <c r="I1065" s="17" t="n">
        <v>305</v>
      </c>
      <c r="J1065" s="16" t="n">
        <v>0.00291550925925926</v>
      </c>
      <c r="K1065" s="17" t="n">
        <v>1055</v>
      </c>
      <c r="L1065" s="17" t="n">
        <f aca="false">COUNT(E1065,I1065,K1065)</f>
        <v>3</v>
      </c>
      <c r="M1065" s="18" t="n">
        <f aca="false">(D1065&lt;&gt;"")*(D1065&lt;=($E$3*60+$F$3)/86400)+(H1065&lt;&gt;"")*(H1065&lt;=($I$3*60+$J$3)/86400)+(J1065&lt;&gt;"")*(J1065&lt;=($M$3*60+$N$3)/86400)</f>
        <v>0</v>
      </c>
      <c r="N1065" s="20"/>
      <c r="O1065" s="20"/>
      <c r="P1065" s="20"/>
      <c r="Q1065" s="19"/>
    </row>
    <row r="1066" customFormat="false" ht="15" hidden="false" customHeight="false" outlineLevel="0" collapsed="false">
      <c r="A1066" s="10" t="n">
        <v>1060</v>
      </c>
      <c r="B1066" s="11" t="s">
        <v>1717</v>
      </c>
      <c r="C1066" s="12" t="s">
        <v>240</v>
      </c>
      <c r="D1066" s="13" t="n">
        <v>0.0109813657407407</v>
      </c>
      <c r="E1066" s="14" t="n">
        <v>1061</v>
      </c>
      <c r="F1066" s="15" t="n">
        <f aca="false">IF(D1066="","",ROUND((D1066-MIN($D$7:$D$9999))*86400,2))</f>
        <v>159.05</v>
      </c>
      <c r="G1066" s="10" t="str">
        <f aca="false">IF(D1066="","",IF(D1066&lt;=($E$3*60+$F$3)/86400,"○",""))</f>
        <v/>
      </c>
      <c r="H1066" s="16" t="n">
        <v>0.00770127314814815</v>
      </c>
      <c r="I1066" s="17" t="n">
        <v>1068</v>
      </c>
      <c r="J1066" s="16" t="n">
        <v>0.00293321759259259</v>
      </c>
      <c r="K1066" s="17" t="n">
        <v>1181</v>
      </c>
      <c r="L1066" s="17" t="n">
        <f aca="false">COUNT(E1066,I1066,K1066)</f>
        <v>3</v>
      </c>
      <c r="M1066" s="18" t="n">
        <f aca="false">(D1066&lt;&gt;"")*(D1066&lt;=($E$3*60+$F$3)/86400)+(H1066&lt;&gt;"")*(H1066&lt;=($I$3*60+$J$3)/86400)+(J1066&lt;&gt;"")*(J1066&lt;=($M$3*60+$N$3)/86400)</f>
        <v>0</v>
      </c>
      <c r="N1066" s="20"/>
      <c r="O1066" s="20"/>
      <c r="P1066" s="20"/>
      <c r="Q1066" s="19"/>
    </row>
    <row r="1067" customFormat="false" ht="15" hidden="false" customHeight="false" outlineLevel="0" collapsed="false">
      <c r="A1067" s="10" t="n">
        <v>1061</v>
      </c>
      <c r="B1067" s="11" t="s">
        <v>1718</v>
      </c>
      <c r="C1067" s="12" t="s">
        <v>1184</v>
      </c>
      <c r="D1067" s="13" t="n">
        <v>0.0109819444444445</v>
      </c>
      <c r="E1067" s="14" t="n">
        <v>1062</v>
      </c>
      <c r="F1067" s="15" t="n">
        <f aca="false">IF(D1067="","",ROUND((D1067-MIN($D$7:$D$9999))*86400,2))</f>
        <v>159.1</v>
      </c>
      <c r="G1067" s="10" t="str">
        <f aca="false">IF(D1067="","",IF(D1067&lt;=($E$3*60+$F$3)/86400,"○",""))</f>
        <v/>
      </c>
      <c r="H1067" s="16" t="n">
        <v>0.00695462962962963</v>
      </c>
      <c r="I1067" s="17" t="n">
        <v>289</v>
      </c>
      <c r="J1067" s="16" t="n">
        <v>0.00284421296296296</v>
      </c>
      <c r="K1067" s="17" t="n">
        <v>527</v>
      </c>
      <c r="L1067" s="17" t="n">
        <f aca="false">COUNT(E1067,I1067,K1067)</f>
        <v>3</v>
      </c>
      <c r="M1067" s="18" t="n">
        <f aca="false">(D1067&lt;&gt;"")*(D1067&lt;=($E$3*60+$F$3)/86400)+(H1067&lt;&gt;"")*(H1067&lt;=($I$3*60+$J$3)/86400)+(J1067&lt;&gt;"")*(J1067&lt;=($M$3*60+$N$3)/86400)</f>
        <v>0</v>
      </c>
      <c r="N1067" s="20"/>
      <c r="O1067" s="20"/>
      <c r="P1067" s="20"/>
      <c r="Q1067" s="19"/>
    </row>
    <row r="1068" customFormat="false" ht="15" hidden="false" customHeight="false" outlineLevel="0" collapsed="false">
      <c r="A1068" s="10" t="n">
        <v>1062</v>
      </c>
      <c r="B1068" s="11" t="s">
        <v>1719</v>
      </c>
      <c r="C1068" s="12" t="s">
        <v>1500</v>
      </c>
      <c r="D1068" s="13" t="n">
        <v>0.0109833333333333</v>
      </c>
      <c r="E1068" s="14" t="n">
        <v>1063</v>
      </c>
      <c r="F1068" s="15" t="n">
        <f aca="false">IF(D1068="","",ROUND((D1068-MIN($D$7:$D$9999))*86400,2))</f>
        <v>159.22</v>
      </c>
      <c r="G1068" s="10" t="str">
        <f aca="false">IF(D1068="","",IF(D1068&lt;=($E$3*60+$F$3)/86400,"○",""))</f>
        <v/>
      </c>
      <c r="H1068" s="16"/>
      <c r="I1068" s="17"/>
      <c r="J1068" s="16"/>
      <c r="K1068" s="17"/>
      <c r="L1068" s="17" t="n">
        <f aca="false">COUNT(E1068,I1068,K1068)</f>
        <v>1</v>
      </c>
      <c r="M1068" s="18" t="n">
        <f aca="false">(D1068&lt;&gt;"")*(D1068&lt;=($E$3*60+$F$3)/86400)+(H1068&lt;&gt;"")*(H1068&lt;=($I$3*60+$J$3)/86400)+(J1068&lt;&gt;"")*(J1068&lt;=($M$3*60+$N$3)/86400)</f>
        <v>0</v>
      </c>
      <c r="N1068" s="20"/>
      <c r="O1068" s="20"/>
      <c r="P1068" s="20"/>
      <c r="Q1068" s="19"/>
    </row>
    <row r="1069" customFormat="false" ht="15" hidden="false" customHeight="false" outlineLevel="0" collapsed="false">
      <c r="A1069" s="10" t="n">
        <v>1063</v>
      </c>
      <c r="B1069" s="11" t="s">
        <v>1720</v>
      </c>
      <c r="C1069" s="12" t="s">
        <v>1721</v>
      </c>
      <c r="D1069" s="13" t="n">
        <v>0.0109837962962963</v>
      </c>
      <c r="E1069" s="14" t="n">
        <v>1064</v>
      </c>
      <c r="F1069" s="15" t="n">
        <f aca="false">IF(D1069="","",ROUND((D1069-MIN($D$7:$D$9999))*86400,2))</f>
        <v>159.26</v>
      </c>
      <c r="G1069" s="10" t="str">
        <f aca="false">IF(D1069="","",IF(D1069&lt;=($E$3*60+$F$3)/86400,"○",""))</f>
        <v/>
      </c>
      <c r="H1069" s="16" t="n">
        <v>0.00699490740740741</v>
      </c>
      <c r="I1069" s="17" t="n">
        <v>328</v>
      </c>
      <c r="J1069" s="16"/>
      <c r="K1069" s="17"/>
      <c r="L1069" s="17" t="n">
        <f aca="false">COUNT(E1069,I1069,K1069)</f>
        <v>2</v>
      </c>
      <c r="M1069" s="18" t="n">
        <f aca="false">(D1069&lt;&gt;"")*(D1069&lt;=($E$3*60+$F$3)/86400)+(H1069&lt;&gt;"")*(H1069&lt;=($I$3*60+$J$3)/86400)+(J1069&lt;&gt;"")*(J1069&lt;=($M$3*60+$N$3)/86400)</f>
        <v>0</v>
      </c>
      <c r="N1069" s="20"/>
      <c r="O1069" s="20" t="s">
        <v>1722</v>
      </c>
      <c r="P1069" s="20"/>
      <c r="Q1069" s="19"/>
    </row>
    <row r="1070" customFormat="false" ht="15" hidden="false" customHeight="false" outlineLevel="0" collapsed="false">
      <c r="A1070" s="10" t="n">
        <v>1064</v>
      </c>
      <c r="B1070" s="11" t="s">
        <v>1723</v>
      </c>
      <c r="C1070" s="12" t="s">
        <v>1724</v>
      </c>
      <c r="D1070" s="13" t="n">
        <v>0.0109840277777778</v>
      </c>
      <c r="E1070" s="14" t="n">
        <v>1065</v>
      </c>
      <c r="F1070" s="15" t="n">
        <f aca="false">IF(D1070="","",ROUND((D1070-MIN($D$7:$D$9999))*86400,2))</f>
        <v>159.28</v>
      </c>
      <c r="G1070" s="10" t="str">
        <f aca="false">IF(D1070="","",IF(D1070&lt;=($E$3*60+$F$3)/86400,"○",""))</f>
        <v/>
      </c>
      <c r="H1070" s="16" t="n">
        <v>0.00675092592592593</v>
      </c>
      <c r="I1070" s="17" t="n">
        <v>129</v>
      </c>
      <c r="J1070" s="16" t="n">
        <v>0.00298101851851852</v>
      </c>
      <c r="K1070" s="17" t="n">
        <v>1356</v>
      </c>
      <c r="L1070" s="17" t="n">
        <f aca="false">COUNT(E1070,I1070,K1070)</f>
        <v>3</v>
      </c>
      <c r="M1070" s="18" t="n">
        <f aca="false">(D1070&lt;&gt;"")*(D1070&lt;=($E$3*60+$F$3)/86400)+(H1070&lt;&gt;"")*(H1070&lt;=($I$3*60+$J$3)/86400)+(J1070&lt;&gt;"")*(J1070&lt;=($M$3*60+$N$3)/86400)</f>
        <v>0</v>
      </c>
      <c r="N1070" s="20"/>
      <c r="O1070" s="20"/>
      <c r="P1070" s="20"/>
      <c r="Q1070" s="19"/>
    </row>
    <row r="1071" customFormat="false" ht="15" hidden="false" customHeight="false" outlineLevel="0" collapsed="false">
      <c r="A1071" s="10" t="n">
        <v>1065</v>
      </c>
      <c r="B1071" s="11" t="s">
        <v>1725</v>
      </c>
      <c r="C1071" s="12" t="s">
        <v>632</v>
      </c>
      <c r="D1071" s="13" t="n">
        <v>0.0109842592592593</v>
      </c>
      <c r="E1071" s="14" t="n">
        <v>1066</v>
      </c>
      <c r="F1071" s="15" t="n">
        <f aca="false">IF(D1071="","",ROUND((D1071-MIN($D$7:$D$9999))*86400,2))</f>
        <v>159.3</v>
      </c>
      <c r="G1071" s="10" t="str">
        <f aca="false">IF(D1071="","",IF(D1071&lt;=($E$3*60+$F$3)/86400,"○",""))</f>
        <v/>
      </c>
      <c r="H1071" s="16" t="n">
        <v>0.006828125</v>
      </c>
      <c r="I1071" s="17" t="n">
        <v>192</v>
      </c>
      <c r="J1071" s="16"/>
      <c r="K1071" s="17"/>
      <c r="L1071" s="17" t="n">
        <f aca="false">COUNT(E1071,I1071,K1071)</f>
        <v>2</v>
      </c>
      <c r="M1071" s="18" t="n">
        <f aca="false">(D1071&lt;&gt;"")*(D1071&lt;=($E$3*60+$F$3)/86400)+(H1071&lt;&gt;"")*(H1071&lt;=($I$3*60+$J$3)/86400)+(J1071&lt;&gt;"")*(J1071&lt;=($M$3*60+$N$3)/86400)</f>
        <v>0</v>
      </c>
      <c r="N1071" s="20" t="s">
        <v>1424</v>
      </c>
      <c r="O1071" s="20"/>
      <c r="P1071" s="20"/>
      <c r="Q1071" s="19"/>
    </row>
    <row r="1072" customFormat="false" ht="15" hidden="false" customHeight="false" outlineLevel="0" collapsed="false">
      <c r="A1072" s="10" t="n">
        <v>1066</v>
      </c>
      <c r="B1072" s="11" t="s">
        <v>1726</v>
      </c>
      <c r="C1072" s="12" t="s">
        <v>530</v>
      </c>
      <c r="D1072" s="13" t="n">
        <v>0.010984837962963</v>
      </c>
      <c r="E1072" s="14" t="n">
        <v>1067</v>
      </c>
      <c r="F1072" s="15" t="n">
        <f aca="false">IF(D1072="","",ROUND((D1072-MIN($D$7:$D$9999))*86400,2))</f>
        <v>159.35</v>
      </c>
      <c r="G1072" s="10" t="str">
        <f aca="false">IF(D1072="","",IF(D1072&lt;=($E$3*60+$F$3)/86400,"○",""))</f>
        <v/>
      </c>
      <c r="H1072" s="16"/>
      <c r="I1072" s="17"/>
      <c r="J1072" s="16"/>
      <c r="K1072" s="17"/>
      <c r="L1072" s="17" t="n">
        <f aca="false">COUNT(E1072,I1072,K1072)</f>
        <v>1</v>
      </c>
      <c r="M1072" s="18" t="n">
        <f aca="false">(D1072&lt;&gt;"")*(D1072&lt;=($E$3*60+$F$3)/86400)+(H1072&lt;&gt;"")*(H1072&lt;=($I$3*60+$J$3)/86400)+(J1072&lt;&gt;"")*(J1072&lt;=($M$3*60+$N$3)/86400)</f>
        <v>0</v>
      </c>
      <c r="N1072" s="20"/>
      <c r="O1072" s="20"/>
      <c r="P1072" s="20"/>
      <c r="Q1072" s="19"/>
    </row>
    <row r="1073" customFormat="false" ht="15" hidden="false" customHeight="false" outlineLevel="0" collapsed="false">
      <c r="A1073" s="10" t="n">
        <v>1067</v>
      </c>
      <c r="B1073" s="11" t="s">
        <v>1727</v>
      </c>
      <c r="C1073" s="12" t="s">
        <v>61</v>
      </c>
      <c r="D1073" s="13" t="n">
        <v>0.0109853009259259</v>
      </c>
      <c r="E1073" s="14" t="n">
        <v>1068</v>
      </c>
      <c r="F1073" s="15" t="n">
        <f aca="false">IF(D1073="","",ROUND((D1073-MIN($D$7:$D$9999))*86400,2))</f>
        <v>159.39</v>
      </c>
      <c r="G1073" s="10" t="str">
        <f aca="false">IF(D1073="","",IF(D1073&lt;=($E$3*60+$F$3)/86400,"○",""))</f>
        <v/>
      </c>
      <c r="H1073" s="16"/>
      <c r="I1073" s="17"/>
      <c r="J1073" s="16" t="n">
        <v>0.00291886574074074</v>
      </c>
      <c r="K1073" s="17" t="n">
        <v>1082</v>
      </c>
      <c r="L1073" s="17" t="n">
        <f aca="false">COUNT(E1073,I1073,K1073)</f>
        <v>2</v>
      </c>
      <c r="M1073" s="18" t="n">
        <f aca="false">(D1073&lt;&gt;"")*(D1073&lt;=($E$3*60+$F$3)/86400)+(H1073&lt;&gt;"")*(H1073&lt;=($I$3*60+$J$3)/86400)+(J1073&lt;&gt;"")*(J1073&lt;=($M$3*60+$N$3)/86400)</f>
        <v>0</v>
      </c>
      <c r="N1073" s="20"/>
      <c r="O1073" s="20"/>
      <c r="P1073" s="20"/>
      <c r="Q1073" s="19"/>
    </row>
    <row r="1074" customFormat="false" ht="15" hidden="false" customHeight="false" outlineLevel="0" collapsed="false">
      <c r="A1074" s="10" t="n">
        <v>1068</v>
      </c>
      <c r="B1074" s="11" t="s">
        <v>1728</v>
      </c>
      <c r="C1074" s="12" t="s">
        <v>1729</v>
      </c>
      <c r="D1074" s="13" t="n">
        <v>0.0109855324074074</v>
      </c>
      <c r="E1074" s="14" t="n">
        <v>1069</v>
      </c>
      <c r="F1074" s="15" t="n">
        <f aca="false">IF(D1074="","",ROUND((D1074-MIN($D$7:$D$9999))*86400,2))</f>
        <v>159.41</v>
      </c>
      <c r="G1074" s="10" t="str">
        <f aca="false">IF(D1074="","",IF(D1074&lt;=($E$3*60+$F$3)/86400,"○",""))</f>
        <v/>
      </c>
      <c r="H1074" s="16" t="n">
        <v>0.00734363425925926</v>
      </c>
      <c r="I1074" s="17" t="n">
        <v>700</v>
      </c>
      <c r="J1074" s="16" t="n">
        <v>0.0028556712962963</v>
      </c>
      <c r="K1074" s="17" t="n">
        <v>601</v>
      </c>
      <c r="L1074" s="17" t="n">
        <f aca="false">COUNT(E1074,I1074,K1074)</f>
        <v>3</v>
      </c>
      <c r="M1074" s="18" t="n">
        <f aca="false">(D1074&lt;&gt;"")*(D1074&lt;=($E$3*60+$F$3)/86400)+(H1074&lt;&gt;"")*(H1074&lt;=($I$3*60+$J$3)/86400)+(J1074&lt;&gt;"")*(J1074&lt;=($M$3*60+$N$3)/86400)</f>
        <v>0</v>
      </c>
      <c r="N1074" s="20"/>
      <c r="O1074" s="20"/>
      <c r="P1074" s="20"/>
      <c r="Q1074" s="19"/>
    </row>
    <row r="1075" customFormat="false" ht="15" hidden="false" customHeight="false" outlineLevel="0" collapsed="false">
      <c r="A1075" s="10" t="n">
        <v>1069</v>
      </c>
      <c r="B1075" s="11" t="s">
        <v>1730</v>
      </c>
      <c r="C1075" s="12" t="s">
        <v>1146</v>
      </c>
      <c r="D1075" s="13" t="n">
        <v>0.0109861111111111</v>
      </c>
      <c r="E1075" s="14" t="n">
        <v>1070</v>
      </c>
      <c r="F1075" s="15" t="n">
        <f aca="false">IF(D1075="","",ROUND((D1075-MIN($D$7:$D$9999))*86400,2))</f>
        <v>159.46</v>
      </c>
      <c r="G1075" s="10" t="str">
        <f aca="false">IF(D1075="","",IF(D1075&lt;=($E$3*60+$F$3)/86400,"○",""))</f>
        <v/>
      </c>
      <c r="H1075" s="16" t="n">
        <v>0.00677037037037037</v>
      </c>
      <c r="I1075" s="17" t="n">
        <v>147</v>
      </c>
      <c r="J1075" s="16"/>
      <c r="K1075" s="17"/>
      <c r="L1075" s="17" t="n">
        <f aca="false">COUNT(E1075,I1075,K1075)</f>
        <v>2</v>
      </c>
      <c r="M1075" s="18" t="n">
        <f aca="false">(D1075&lt;&gt;"")*(D1075&lt;=($E$3*60+$F$3)/86400)+(H1075&lt;&gt;"")*(H1075&lt;=($I$3*60+$J$3)/86400)+(J1075&lt;&gt;"")*(J1075&lt;=($M$3*60+$N$3)/86400)</f>
        <v>0</v>
      </c>
      <c r="N1075" s="20"/>
      <c r="O1075" s="20"/>
      <c r="P1075" s="20"/>
      <c r="Q1075" s="19"/>
    </row>
    <row r="1076" customFormat="false" ht="15" hidden="false" customHeight="false" outlineLevel="0" collapsed="false">
      <c r="A1076" s="10" t="n">
        <v>1070</v>
      </c>
      <c r="B1076" s="11" t="s">
        <v>1731</v>
      </c>
      <c r="C1076" s="12" t="s">
        <v>1732</v>
      </c>
      <c r="D1076" s="13" t="n">
        <v>0.0109863425925926</v>
      </c>
      <c r="E1076" s="14" t="n">
        <v>1071</v>
      </c>
      <c r="F1076" s="15" t="n">
        <f aca="false">IF(D1076="","",ROUND((D1076-MIN($D$7:$D$9999))*86400,2))</f>
        <v>159.48</v>
      </c>
      <c r="G1076" s="10" t="str">
        <f aca="false">IF(D1076="","",IF(D1076&lt;=($E$3*60+$F$3)/86400,"○",""))</f>
        <v/>
      </c>
      <c r="H1076" s="16"/>
      <c r="I1076" s="17"/>
      <c r="J1076" s="16"/>
      <c r="K1076" s="17"/>
      <c r="L1076" s="17" t="n">
        <f aca="false">COUNT(E1076,I1076,K1076)</f>
        <v>1</v>
      </c>
      <c r="M1076" s="18" t="n">
        <f aca="false">(D1076&lt;&gt;"")*(D1076&lt;=($E$3*60+$F$3)/86400)+(H1076&lt;&gt;"")*(H1076&lt;=($I$3*60+$J$3)/86400)+(J1076&lt;&gt;"")*(J1076&lt;=($M$3*60+$N$3)/86400)</f>
        <v>0</v>
      </c>
      <c r="N1076" s="20"/>
      <c r="O1076" s="20"/>
      <c r="P1076" s="20"/>
      <c r="Q1076" s="19"/>
    </row>
    <row r="1077" customFormat="false" ht="15" hidden="false" customHeight="false" outlineLevel="0" collapsed="false">
      <c r="A1077" s="10" t="n">
        <v>1071</v>
      </c>
      <c r="B1077" s="11" t="s">
        <v>1733</v>
      </c>
      <c r="C1077" s="12" t="s">
        <v>1734</v>
      </c>
      <c r="D1077" s="13" t="n">
        <v>0.0109864583333333</v>
      </c>
      <c r="E1077" s="14" t="n">
        <v>1072</v>
      </c>
      <c r="F1077" s="15" t="n">
        <f aca="false">IF(D1077="","",ROUND((D1077-MIN($D$7:$D$9999))*86400,2))</f>
        <v>159.49</v>
      </c>
      <c r="G1077" s="10" t="str">
        <f aca="false">IF(D1077="","",IF(D1077&lt;=($E$3*60+$F$3)/86400,"○",""))</f>
        <v/>
      </c>
      <c r="H1077" s="16"/>
      <c r="I1077" s="17"/>
      <c r="J1077" s="16" t="n">
        <v>0.00284097222222222</v>
      </c>
      <c r="K1077" s="17" t="n">
        <v>507</v>
      </c>
      <c r="L1077" s="17" t="n">
        <f aca="false">COUNT(E1077,I1077,K1077)</f>
        <v>2</v>
      </c>
      <c r="M1077" s="18" t="n">
        <f aca="false">(D1077&lt;&gt;"")*(D1077&lt;=($E$3*60+$F$3)/86400)+(H1077&lt;&gt;"")*(H1077&lt;=($I$3*60+$J$3)/86400)+(J1077&lt;&gt;"")*(J1077&lt;=($M$3*60+$N$3)/86400)</f>
        <v>0</v>
      </c>
      <c r="N1077" s="20"/>
      <c r="O1077" s="20"/>
      <c r="P1077" s="20"/>
      <c r="Q1077" s="19"/>
    </row>
    <row r="1078" customFormat="false" ht="15" hidden="false" customHeight="false" outlineLevel="0" collapsed="false">
      <c r="A1078" s="10" t="n">
        <v>1072</v>
      </c>
      <c r="B1078" s="11" t="s">
        <v>1735</v>
      </c>
      <c r="C1078" s="12" t="s">
        <v>67</v>
      </c>
      <c r="D1078" s="13" t="n">
        <v>0.0109865740740741</v>
      </c>
      <c r="E1078" s="14" t="n">
        <v>1073</v>
      </c>
      <c r="F1078" s="15" t="n">
        <f aca="false">IF(D1078="","",ROUND((D1078-MIN($D$7:$D$9999))*86400,2))</f>
        <v>159.5</v>
      </c>
      <c r="G1078" s="10" t="str">
        <f aca="false">IF(D1078="","",IF(D1078&lt;=($E$3*60+$F$3)/86400,"○",""))</f>
        <v/>
      </c>
      <c r="H1078" s="16" t="n">
        <v>0.00661006944444444</v>
      </c>
      <c r="I1078" s="17" t="n">
        <v>70</v>
      </c>
      <c r="J1078" s="16" t="n">
        <v>0.00288993055555556</v>
      </c>
      <c r="K1078" s="17" t="n">
        <v>864</v>
      </c>
      <c r="L1078" s="17" t="n">
        <f aca="false">COUNT(E1078,I1078,K1078)</f>
        <v>3</v>
      </c>
      <c r="M1078" s="18" t="n">
        <f aca="false">(D1078&lt;&gt;"")*(D1078&lt;=($E$3*60+$F$3)/86400)+(H1078&lt;&gt;"")*(H1078&lt;=($I$3*60+$J$3)/86400)+(J1078&lt;&gt;"")*(J1078&lt;=($M$3*60+$N$3)/86400)</f>
        <v>0</v>
      </c>
      <c r="N1078" s="20" t="s">
        <v>1736</v>
      </c>
      <c r="O1078" s="20"/>
      <c r="P1078" s="20"/>
      <c r="Q1078" s="19"/>
    </row>
    <row r="1079" customFormat="false" ht="15" hidden="false" customHeight="false" outlineLevel="0" collapsed="false">
      <c r="A1079" s="10" t="n">
        <v>1073</v>
      </c>
      <c r="B1079" s="11" t="s">
        <v>1737</v>
      </c>
      <c r="C1079" s="12" t="s">
        <v>1738</v>
      </c>
      <c r="D1079" s="13" t="n">
        <v>0.0109866898148148</v>
      </c>
      <c r="E1079" s="14" t="n">
        <v>1074</v>
      </c>
      <c r="F1079" s="15" t="n">
        <f aca="false">IF(D1079="","",ROUND((D1079-MIN($D$7:$D$9999))*86400,2))</f>
        <v>159.51</v>
      </c>
      <c r="G1079" s="10" t="str">
        <f aca="false">IF(D1079="","",IF(D1079&lt;=($E$3*60+$F$3)/86400,"○",""))</f>
        <v/>
      </c>
      <c r="H1079" s="16" t="n">
        <v>0.00723148148148148</v>
      </c>
      <c r="I1079" s="17" t="n">
        <v>575</v>
      </c>
      <c r="J1079" s="16" t="n">
        <v>0.00285983796296296</v>
      </c>
      <c r="K1079" s="17" t="n">
        <v>632</v>
      </c>
      <c r="L1079" s="17" t="n">
        <f aca="false">COUNT(E1079,I1079,K1079)</f>
        <v>3</v>
      </c>
      <c r="M1079" s="18" t="n">
        <f aca="false">(D1079&lt;&gt;"")*(D1079&lt;=($E$3*60+$F$3)/86400)+(H1079&lt;&gt;"")*(H1079&lt;=($I$3*60+$J$3)/86400)+(J1079&lt;&gt;"")*(J1079&lt;=($M$3*60+$N$3)/86400)</f>
        <v>0</v>
      </c>
      <c r="N1079" s="20"/>
      <c r="O1079" s="20"/>
      <c r="P1079" s="20"/>
      <c r="Q1079" s="19"/>
    </row>
    <row r="1080" customFormat="false" ht="15" hidden="false" customHeight="false" outlineLevel="0" collapsed="false">
      <c r="A1080" s="10" t="n">
        <v>1074</v>
      </c>
      <c r="B1080" s="11" t="s">
        <v>1739</v>
      </c>
      <c r="C1080" s="12" t="s">
        <v>1740</v>
      </c>
      <c r="D1080" s="13" t="n">
        <v>0.0109871527777778</v>
      </c>
      <c r="E1080" s="14" t="n">
        <v>1075</v>
      </c>
      <c r="F1080" s="15" t="n">
        <f aca="false">IF(D1080="","",ROUND((D1080-MIN($D$7:$D$9999))*86400,2))</f>
        <v>159.55</v>
      </c>
      <c r="G1080" s="10" t="str">
        <f aca="false">IF(D1080="","",IF(D1080&lt;=($E$3*60+$F$3)/86400,"○",""))</f>
        <v/>
      </c>
      <c r="H1080" s="16"/>
      <c r="I1080" s="17"/>
      <c r="J1080" s="16"/>
      <c r="K1080" s="17"/>
      <c r="L1080" s="17" t="n">
        <f aca="false">COUNT(E1080,I1080,K1080)</f>
        <v>1</v>
      </c>
      <c r="M1080" s="18" t="n">
        <f aca="false">(D1080&lt;&gt;"")*(D1080&lt;=($E$3*60+$F$3)/86400)+(H1080&lt;&gt;"")*(H1080&lt;=($I$3*60+$J$3)/86400)+(J1080&lt;&gt;"")*(J1080&lt;=($M$3*60+$N$3)/86400)</f>
        <v>0</v>
      </c>
      <c r="N1080" s="20"/>
      <c r="O1080" s="20"/>
      <c r="P1080" s="20"/>
      <c r="Q1080" s="19"/>
    </row>
    <row r="1081" customFormat="false" ht="15" hidden="false" customHeight="false" outlineLevel="0" collapsed="false">
      <c r="A1081" s="10" t="n">
        <v>1075</v>
      </c>
      <c r="B1081" s="11" t="s">
        <v>1741</v>
      </c>
      <c r="C1081" s="12" t="s">
        <v>145</v>
      </c>
      <c r="D1081" s="13" t="n">
        <v>0.0109872685185185</v>
      </c>
      <c r="E1081" s="14" t="n">
        <v>1076</v>
      </c>
      <c r="F1081" s="15" t="n">
        <f aca="false">IF(D1081="","",ROUND((D1081-MIN($D$7:$D$9999))*86400,2))</f>
        <v>159.56</v>
      </c>
      <c r="G1081" s="10" t="str">
        <f aca="false">IF(D1081="","",IF(D1081&lt;=($E$3*60+$F$3)/86400,"○",""))</f>
        <v/>
      </c>
      <c r="H1081" s="16" t="n">
        <v>0.00740451388888889</v>
      </c>
      <c r="I1081" s="17" t="n">
        <v>777</v>
      </c>
      <c r="J1081" s="16" t="n">
        <v>0.00289212962962963</v>
      </c>
      <c r="K1081" s="17" t="n">
        <v>892</v>
      </c>
      <c r="L1081" s="17" t="n">
        <f aca="false">COUNT(E1081,I1081,K1081)</f>
        <v>3</v>
      </c>
      <c r="M1081" s="18" t="n">
        <f aca="false">(D1081&lt;&gt;"")*(D1081&lt;=($E$3*60+$F$3)/86400)+(H1081&lt;&gt;"")*(H1081&lt;=($I$3*60+$J$3)/86400)+(J1081&lt;&gt;"")*(J1081&lt;=($M$3*60+$N$3)/86400)</f>
        <v>0</v>
      </c>
      <c r="N1081" s="20"/>
      <c r="O1081" s="20"/>
      <c r="P1081" s="20"/>
      <c r="Q1081" s="19"/>
    </row>
    <row r="1082" customFormat="false" ht="15" hidden="false" customHeight="false" outlineLevel="0" collapsed="false">
      <c r="A1082" s="10" t="n">
        <v>1076</v>
      </c>
      <c r="B1082" s="11" t="s">
        <v>1742</v>
      </c>
      <c r="C1082" s="12" t="s">
        <v>243</v>
      </c>
      <c r="D1082" s="13" t="n">
        <v>0.0109878472222222</v>
      </c>
      <c r="E1082" s="14" t="n">
        <v>1077</v>
      </c>
      <c r="F1082" s="15" t="n">
        <f aca="false">IF(D1082="","",ROUND((D1082-MIN($D$7:$D$9999))*86400,2))</f>
        <v>159.61</v>
      </c>
      <c r="G1082" s="10" t="str">
        <f aca="false">IF(D1082="","",IF(D1082&lt;=($E$3*60+$F$3)/86400,"○",""))</f>
        <v/>
      </c>
      <c r="H1082" s="16"/>
      <c r="I1082" s="17"/>
      <c r="J1082" s="16"/>
      <c r="K1082" s="17"/>
      <c r="L1082" s="17" t="n">
        <f aca="false">COUNT(E1082,I1082,K1082)</f>
        <v>1</v>
      </c>
      <c r="M1082" s="18" t="n">
        <f aca="false">(D1082&lt;&gt;"")*(D1082&lt;=($E$3*60+$F$3)/86400)+(H1082&lt;&gt;"")*(H1082&lt;=($I$3*60+$J$3)/86400)+(J1082&lt;&gt;"")*(J1082&lt;=($M$3*60+$N$3)/86400)</f>
        <v>0</v>
      </c>
      <c r="N1082" s="20"/>
      <c r="O1082" s="20"/>
      <c r="P1082" s="20"/>
      <c r="Q1082" s="19"/>
    </row>
    <row r="1083" customFormat="false" ht="15" hidden="false" customHeight="false" outlineLevel="0" collapsed="false">
      <c r="A1083" s="10" t="n">
        <v>1077</v>
      </c>
      <c r="B1083" s="11" t="s">
        <v>1743</v>
      </c>
      <c r="C1083" s="12" t="s">
        <v>77</v>
      </c>
      <c r="D1083" s="13" t="n">
        <v>0.0109891203703704</v>
      </c>
      <c r="E1083" s="14" t="n">
        <v>1078</v>
      </c>
      <c r="F1083" s="15" t="n">
        <f aca="false">IF(D1083="","",ROUND((D1083-MIN($D$7:$D$9999))*86400,2))</f>
        <v>159.72</v>
      </c>
      <c r="G1083" s="10" t="str">
        <f aca="false">IF(D1083="","",IF(D1083&lt;=($E$3*60+$F$3)/86400,"○",""))</f>
        <v/>
      </c>
      <c r="H1083" s="16"/>
      <c r="I1083" s="17"/>
      <c r="J1083" s="16" t="n">
        <v>0.00288287037037037</v>
      </c>
      <c r="K1083" s="17" t="n">
        <v>801</v>
      </c>
      <c r="L1083" s="17" t="n">
        <f aca="false">COUNT(E1083,I1083,K1083)</f>
        <v>2</v>
      </c>
      <c r="M1083" s="18" t="n">
        <f aca="false">(D1083&lt;&gt;"")*(D1083&lt;=($E$3*60+$F$3)/86400)+(H1083&lt;&gt;"")*(H1083&lt;=($I$3*60+$J$3)/86400)+(J1083&lt;&gt;"")*(J1083&lt;=($M$3*60+$N$3)/86400)</f>
        <v>0</v>
      </c>
      <c r="N1083" s="20"/>
      <c r="O1083" s="20"/>
      <c r="P1083" s="20"/>
      <c r="Q1083" s="19"/>
    </row>
    <row r="1084" customFormat="false" ht="15" hidden="false" customHeight="false" outlineLevel="0" collapsed="false">
      <c r="A1084" s="10" t="n">
        <v>1078</v>
      </c>
      <c r="B1084" s="11" t="s">
        <v>1744</v>
      </c>
      <c r="C1084" s="12" t="s">
        <v>478</v>
      </c>
      <c r="D1084" s="13" t="n">
        <v>0.0109903935185185</v>
      </c>
      <c r="E1084" s="14" t="n">
        <v>1079</v>
      </c>
      <c r="F1084" s="15" t="n">
        <f aca="false">IF(D1084="","",ROUND((D1084-MIN($D$7:$D$9999))*86400,2))</f>
        <v>159.83</v>
      </c>
      <c r="G1084" s="10" t="str">
        <f aca="false">IF(D1084="","",IF(D1084&lt;=($E$3*60+$F$3)/86400,"○",""))</f>
        <v/>
      </c>
      <c r="H1084" s="16"/>
      <c r="I1084" s="17"/>
      <c r="J1084" s="16" t="n">
        <v>0.00280266203703704</v>
      </c>
      <c r="K1084" s="17" t="n">
        <v>293</v>
      </c>
      <c r="L1084" s="17" t="n">
        <f aca="false">COUNT(E1084,I1084,K1084)</f>
        <v>2</v>
      </c>
      <c r="M1084" s="18" t="n">
        <f aca="false">(D1084&lt;&gt;"")*(D1084&lt;=($E$3*60+$F$3)/86400)+(H1084&lt;&gt;"")*(H1084&lt;=($I$3*60+$J$3)/86400)+(J1084&lt;&gt;"")*(J1084&lt;=($M$3*60+$N$3)/86400)</f>
        <v>0</v>
      </c>
      <c r="N1084" s="20"/>
      <c r="O1084" s="20"/>
      <c r="P1084" s="20"/>
      <c r="Q1084" s="19"/>
    </row>
    <row r="1085" customFormat="false" ht="15" hidden="false" customHeight="false" outlineLevel="0" collapsed="false">
      <c r="A1085" s="10" t="n">
        <v>1079</v>
      </c>
      <c r="B1085" s="11" t="s">
        <v>1745</v>
      </c>
      <c r="C1085" s="12" t="s">
        <v>1746</v>
      </c>
      <c r="D1085" s="13" t="n">
        <v>0.0109907407407407</v>
      </c>
      <c r="E1085" s="14" t="n">
        <v>1080</v>
      </c>
      <c r="F1085" s="15" t="n">
        <f aca="false">IF(D1085="","",ROUND((D1085-MIN($D$7:$D$9999))*86400,2))</f>
        <v>159.86</v>
      </c>
      <c r="G1085" s="10" t="str">
        <f aca="false">IF(D1085="","",IF(D1085&lt;=($E$3*60+$F$3)/86400,"○",""))</f>
        <v/>
      </c>
      <c r="H1085" s="16"/>
      <c r="I1085" s="17"/>
      <c r="J1085" s="16" t="n">
        <v>0.0028693287037037</v>
      </c>
      <c r="K1085" s="17" t="n">
        <v>689</v>
      </c>
      <c r="L1085" s="17" t="n">
        <f aca="false">COUNT(E1085,I1085,K1085)</f>
        <v>2</v>
      </c>
      <c r="M1085" s="18" t="n">
        <f aca="false">(D1085&lt;&gt;"")*(D1085&lt;=($E$3*60+$F$3)/86400)+(H1085&lt;&gt;"")*(H1085&lt;=($I$3*60+$J$3)/86400)+(J1085&lt;&gt;"")*(J1085&lt;=($M$3*60+$N$3)/86400)</f>
        <v>0</v>
      </c>
      <c r="N1085" s="20"/>
      <c r="O1085" s="20"/>
      <c r="P1085" s="20"/>
      <c r="Q1085" s="19"/>
    </row>
    <row r="1086" customFormat="false" ht="15" hidden="false" customHeight="false" outlineLevel="0" collapsed="false">
      <c r="A1086" s="10" t="n">
        <v>1080</v>
      </c>
      <c r="B1086" s="11" t="s">
        <v>1747</v>
      </c>
      <c r="C1086" s="12" t="s">
        <v>1748</v>
      </c>
      <c r="D1086" s="13" t="n">
        <v>0.0109909722222222</v>
      </c>
      <c r="E1086" s="14" t="n">
        <v>1081</v>
      </c>
      <c r="F1086" s="15" t="n">
        <f aca="false">IF(D1086="","",ROUND((D1086-MIN($D$7:$D$9999))*86400,2))</f>
        <v>159.88</v>
      </c>
      <c r="G1086" s="10" t="str">
        <f aca="false">IF(D1086="","",IF(D1086&lt;=($E$3*60+$F$3)/86400,"○",""))</f>
        <v/>
      </c>
      <c r="H1086" s="16" t="n">
        <v>0.00721296296296296</v>
      </c>
      <c r="I1086" s="17" t="n">
        <v>550</v>
      </c>
      <c r="J1086" s="16"/>
      <c r="K1086" s="17"/>
      <c r="L1086" s="17" t="n">
        <f aca="false">COUNT(E1086,I1086,K1086)</f>
        <v>2</v>
      </c>
      <c r="M1086" s="18" t="n">
        <f aca="false">(D1086&lt;&gt;"")*(D1086&lt;=($E$3*60+$F$3)/86400)+(H1086&lt;&gt;"")*(H1086&lt;=($I$3*60+$J$3)/86400)+(J1086&lt;&gt;"")*(J1086&lt;=($M$3*60+$N$3)/86400)</f>
        <v>0</v>
      </c>
      <c r="N1086" s="20" t="s">
        <v>1749</v>
      </c>
      <c r="O1086" s="20"/>
      <c r="P1086" s="20"/>
      <c r="Q1086" s="19"/>
    </row>
    <row r="1087" customFormat="false" ht="15" hidden="false" customHeight="false" outlineLevel="0" collapsed="false">
      <c r="A1087" s="10" t="n">
        <v>1081</v>
      </c>
      <c r="B1087" s="11" t="s">
        <v>1750</v>
      </c>
      <c r="C1087" s="12" t="s">
        <v>1751</v>
      </c>
      <c r="D1087" s="13" t="n">
        <v>0.0109918981481482</v>
      </c>
      <c r="E1087" s="14" t="n">
        <v>1082</v>
      </c>
      <c r="F1087" s="15" t="n">
        <f aca="false">IF(D1087="","",ROUND((D1087-MIN($D$7:$D$9999))*86400,2))</f>
        <v>159.96</v>
      </c>
      <c r="G1087" s="10" t="str">
        <f aca="false">IF(D1087="","",IF(D1087&lt;=($E$3*60+$F$3)/86400,"○",""))</f>
        <v/>
      </c>
      <c r="H1087" s="16" t="n">
        <v>0.00689988425925926</v>
      </c>
      <c r="I1087" s="17" t="n">
        <v>240</v>
      </c>
      <c r="J1087" s="16"/>
      <c r="K1087" s="17"/>
      <c r="L1087" s="17" t="n">
        <f aca="false">COUNT(E1087,I1087,K1087)</f>
        <v>2</v>
      </c>
      <c r="M1087" s="18" t="n">
        <f aca="false">(D1087&lt;&gt;"")*(D1087&lt;=($E$3*60+$F$3)/86400)+(H1087&lt;&gt;"")*(H1087&lt;=($I$3*60+$J$3)/86400)+(J1087&lt;&gt;"")*(J1087&lt;=($M$3*60+$N$3)/86400)</f>
        <v>0</v>
      </c>
      <c r="N1087" s="20"/>
      <c r="O1087" s="20"/>
      <c r="P1087" s="20"/>
      <c r="Q1087" s="19"/>
    </row>
    <row r="1088" customFormat="false" ht="15" hidden="false" customHeight="false" outlineLevel="0" collapsed="false">
      <c r="A1088" s="10" t="n">
        <v>1082</v>
      </c>
      <c r="B1088" s="11" t="s">
        <v>1752</v>
      </c>
      <c r="C1088" s="12" t="s">
        <v>491</v>
      </c>
      <c r="D1088" s="13" t="n">
        <v>0.0109921296296296</v>
      </c>
      <c r="E1088" s="14" t="n">
        <v>1083</v>
      </c>
      <c r="F1088" s="15" t="n">
        <f aca="false">IF(D1088="","",ROUND((D1088-MIN($D$7:$D$9999))*86400,2))</f>
        <v>159.98</v>
      </c>
      <c r="G1088" s="10" t="str">
        <f aca="false">IF(D1088="","",IF(D1088&lt;=($E$3*60+$F$3)/86400,"○",""))</f>
        <v/>
      </c>
      <c r="H1088" s="16"/>
      <c r="I1088" s="17"/>
      <c r="J1088" s="16"/>
      <c r="K1088" s="17"/>
      <c r="L1088" s="17" t="n">
        <f aca="false">COUNT(E1088,I1088,K1088)</f>
        <v>1</v>
      </c>
      <c r="M1088" s="18" t="n">
        <f aca="false">(D1088&lt;&gt;"")*(D1088&lt;=($E$3*60+$F$3)/86400)+(H1088&lt;&gt;"")*(H1088&lt;=($I$3*60+$J$3)/86400)+(J1088&lt;&gt;"")*(J1088&lt;=($M$3*60+$N$3)/86400)</f>
        <v>0</v>
      </c>
      <c r="N1088" s="20"/>
      <c r="O1088" s="20"/>
      <c r="P1088" s="20"/>
      <c r="Q1088" s="19"/>
    </row>
    <row r="1089" customFormat="false" ht="15" hidden="false" customHeight="false" outlineLevel="0" collapsed="false">
      <c r="A1089" s="10" t="n">
        <v>1083</v>
      </c>
      <c r="B1089" s="11" t="s">
        <v>1753</v>
      </c>
      <c r="C1089" s="12" t="s">
        <v>1049</v>
      </c>
      <c r="D1089" s="13" t="n">
        <v>0.0109925925925926</v>
      </c>
      <c r="E1089" s="14" t="n">
        <v>1084</v>
      </c>
      <c r="F1089" s="15" t="n">
        <f aca="false">IF(D1089="","",ROUND((D1089-MIN($D$7:$D$9999))*86400,2))</f>
        <v>160.02</v>
      </c>
      <c r="G1089" s="10" t="str">
        <f aca="false">IF(D1089="","",IF(D1089&lt;=($E$3*60+$F$3)/86400,"○",""))</f>
        <v/>
      </c>
      <c r="H1089" s="16" t="n">
        <v>0.00699201388888889</v>
      </c>
      <c r="I1089" s="17" t="n">
        <v>326</v>
      </c>
      <c r="J1089" s="16" t="n">
        <v>0.00289224537037037</v>
      </c>
      <c r="K1089" s="17" t="n">
        <v>893</v>
      </c>
      <c r="L1089" s="17" t="n">
        <f aca="false">COUNT(E1089,I1089,K1089)</f>
        <v>3</v>
      </c>
      <c r="M1089" s="18" t="n">
        <f aca="false">(D1089&lt;&gt;"")*(D1089&lt;=($E$3*60+$F$3)/86400)+(H1089&lt;&gt;"")*(H1089&lt;=($I$3*60+$J$3)/86400)+(J1089&lt;&gt;"")*(J1089&lt;=($M$3*60+$N$3)/86400)</f>
        <v>0</v>
      </c>
      <c r="N1089" s="20"/>
      <c r="O1089" s="20"/>
      <c r="P1089" s="20"/>
      <c r="Q1089" s="19"/>
    </row>
    <row r="1090" customFormat="false" ht="15" hidden="false" customHeight="false" outlineLevel="0" collapsed="false">
      <c r="A1090" s="10" t="n">
        <v>1084</v>
      </c>
      <c r="B1090" s="11" t="s">
        <v>1754</v>
      </c>
      <c r="C1090" s="12" t="s">
        <v>846</v>
      </c>
      <c r="D1090" s="13" t="n">
        <v>0.0109927083333333</v>
      </c>
      <c r="E1090" s="14" t="n">
        <v>1085</v>
      </c>
      <c r="F1090" s="15" t="n">
        <f aca="false">IF(D1090="","",ROUND((D1090-MIN($D$7:$D$9999))*86400,2))</f>
        <v>160.03</v>
      </c>
      <c r="G1090" s="10" t="str">
        <f aca="false">IF(D1090="","",IF(D1090&lt;=($E$3*60+$F$3)/86400,"○",""))</f>
        <v/>
      </c>
      <c r="H1090" s="16" t="n">
        <v>0.0068556712962963</v>
      </c>
      <c r="I1090" s="17" t="n">
        <v>205</v>
      </c>
      <c r="J1090" s="16"/>
      <c r="K1090" s="17"/>
      <c r="L1090" s="17" t="n">
        <f aca="false">COUNT(E1090,I1090,K1090)</f>
        <v>2</v>
      </c>
      <c r="M1090" s="18" t="n">
        <f aca="false">(D1090&lt;&gt;"")*(D1090&lt;=($E$3*60+$F$3)/86400)+(H1090&lt;&gt;"")*(H1090&lt;=($I$3*60+$J$3)/86400)+(J1090&lt;&gt;"")*(J1090&lt;=($M$3*60+$N$3)/86400)</f>
        <v>0</v>
      </c>
      <c r="N1090" s="20"/>
      <c r="O1090" s="20"/>
      <c r="P1090" s="20"/>
      <c r="Q1090" s="19"/>
    </row>
    <row r="1091" customFormat="false" ht="15" hidden="false" customHeight="false" outlineLevel="0" collapsed="false">
      <c r="A1091" s="10" t="n">
        <v>1085</v>
      </c>
      <c r="B1091" s="11" t="s">
        <v>1755</v>
      </c>
      <c r="C1091" s="12" t="s">
        <v>1756</v>
      </c>
      <c r="D1091" s="13" t="n">
        <v>0.0109936342592593</v>
      </c>
      <c r="E1091" s="14" t="n">
        <v>1086</v>
      </c>
      <c r="F1091" s="15" t="n">
        <f aca="false">IF(D1091="","",ROUND((D1091-MIN($D$7:$D$9999))*86400,2))</f>
        <v>160.11</v>
      </c>
      <c r="G1091" s="10" t="str">
        <f aca="false">IF(D1091="","",IF(D1091&lt;=($E$3*60+$F$3)/86400,"○",""))</f>
        <v/>
      </c>
      <c r="H1091" s="16" t="n">
        <v>0.00649803240740741</v>
      </c>
      <c r="I1091" s="17" t="n">
        <v>35</v>
      </c>
      <c r="J1091" s="16" t="n">
        <v>0.00290150462962963</v>
      </c>
      <c r="K1091" s="17" t="n">
        <v>958</v>
      </c>
      <c r="L1091" s="17" t="n">
        <f aca="false">COUNT(E1091,I1091,K1091)</f>
        <v>3</v>
      </c>
      <c r="M1091" s="18" t="n">
        <f aca="false">(D1091&lt;&gt;"")*(D1091&lt;=($E$3*60+$F$3)/86400)+(H1091&lt;&gt;"")*(H1091&lt;=($I$3*60+$J$3)/86400)+(J1091&lt;&gt;"")*(J1091&lt;=($M$3*60+$N$3)/86400)</f>
        <v>0</v>
      </c>
      <c r="N1091" s="20"/>
      <c r="O1091" s="20"/>
      <c r="P1091" s="20"/>
      <c r="Q1091" s="19"/>
    </row>
    <row r="1092" customFormat="false" ht="15" hidden="false" customHeight="false" outlineLevel="0" collapsed="false">
      <c r="A1092" s="10" t="n">
        <v>1086</v>
      </c>
      <c r="B1092" s="11" t="s">
        <v>1757</v>
      </c>
      <c r="C1092" s="12" t="s">
        <v>199</v>
      </c>
      <c r="D1092" s="13" t="n">
        <v>0.0109949074074074</v>
      </c>
      <c r="E1092" s="14" t="n">
        <v>1087</v>
      </c>
      <c r="F1092" s="15" t="n">
        <f aca="false">IF(D1092="","",ROUND((D1092-MIN($D$7:$D$9999))*86400,2))</f>
        <v>160.22</v>
      </c>
      <c r="G1092" s="10" t="str">
        <f aca="false">IF(D1092="","",IF(D1092&lt;=($E$3*60+$F$3)/86400,"○",""))</f>
        <v/>
      </c>
      <c r="H1092" s="16"/>
      <c r="I1092" s="17"/>
      <c r="J1092" s="16"/>
      <c r="K1092" s="17"/>
      <c r="L1092" s="17" t="n">
        <f aca="false">COUNT(E1092,I1092,K1092)</f>
        <v>1</v>
      </c>
      <c r="M1092" s="18" t="n">
        <f aca="false">(D1092&lt;&gt;"")*(D1092&lt;=($E$3*60+$F$3)/86400)+(H1092&lt;&gt;"")*(H1092&lt;=($I$3*60+$J$3)/86400)+(J1092&lt;&gt;"")*(J1092&lt;=($M$3*60+$N$3)/86400)</f>
        <v>0</v>
      </c>
      <c r="N1092" s="20"/>
      <c r="O1092" s="20"/>
      <c r="P1092" s="20"/>
      <c r="Q1092" s="19"/>
    </row>
    <row r="1093" customFormat="false" ht="15" hidden="false" customHeight="false" outlineLevel="0" collapsed="false">
      <c r="A1093" s="10" t="n">
        <v>1087</v>
      </c>
      <c r="B1093" s="11" t="s">
        <v>1758</v>
      </c>
      <c r="C1093" s="12" t="s">
        <v>1269</v>
      </c>
      <c r="D1093" s="13" t="n">
        <v>0.0109949074074074</v>
      </c>
      <c r="E1093" s="14" t="n">
        <v>1088</v>
      </c>
      <c r="F1093" s="15" t="n">
        <f aca="false">IF(D1093="","",ROUND((D1093-MIN($D$7:$D$9999))*86400,2))</f>
        <v>160.22</v>
      </c>
      <c r="G1093" s="10" t="str">
        <f aca="false">IF(D1093="","",IF(D1093&lt;=($E$3*60+$F$3)/86400,"○",""))</f>
        <v/>
      </c>
      <c r="H1093" s="16" t="n">
        <v>0.00703831018518519</v>
      </c>
      <c r="I1093" s="17" t="n">
        <v>370</v>
      </c>
      <c r="J1093" s="16" t="n">
        <v>0.00291365740740741</v>
      </c>
      <c r="K1093" s="17" t="n">
        <v>1048</v>
      </c>
      <c r="L1093" s="17" t="n">
        <f aca="false">COUNT(E1093,I1093,K1093)</f>
        <v>3</v>
      </c>
      <c r="M1093" s="18" t="n">
        <f aca="false">(D1093&lt;&gt;"")*(D1093&lt;=($E$3*60+$F$3)/86400)+(H1093&lt;&gt;"")*(H1093&lt;=($I$3*60+$J$3)/86400)+(J1093&lt;&gt;"")*(J1093&lt;=($M$3*60+$N$3)/86400)</f>
        <v>0</v>
      </c>
      <c r="N1093" s="20"/>
      <c r="O1093" s="20"/>
      <c r="P1093" s="20"/>
      <c r="Q1093" s="19"/>
    </row>
    <row r="1094" customFormat="false" ht="15" hidden="false" customHeight="false" outlineLevel="0" collapsed="false">
      <c r="A1094" s="10" t="n">
        <v>1088</v>
      </c>
      <c r="B1094" s="11" t="s">
        <v>1759</v>
      </c>
      <c r="C1094" s="12" t="s">
        <v>1760</v>
      </c>
      <c r="D1094" s="13" t="n">
        <v>0.0109954861111111</v>
      </c>
      <c r="E1094" s="14" t="n">
        <v>1089</v>
      </c>
      <c r="F1094" s="15" t="n">
        <f aca="false">IF(D1094="","",ROUND((D1094-MIN($D$7:$D$9999))*86400,2))</f>
        <v>160.27</v>
      </c>
      <c r="G1094" s="10" t="str">
        <f aca="false">IF(D1094="","",IF(D1094&lt;=($E$3*60+$F$3)/86400,"○",""))</f>
        <v/>
      </c>
      <c r="H1094" s="16" t="n">
        <v>0.00730405092592593</v>
      </c>
      <c r="I1094" s="17" t="n">
        <v>651</v>
      </c>
      <c r="J1094" s="16"/>
      <c r="K1094" s="17"/>
      <c r="L1094" s="17" t="n">
        <f aca="false">COUNT(E1094,I1094,K1094)</f>
        <v>2</v>
      </c>
      <c r="M1094" s="18" t="n">
        <f aca="false">(D1094&lt;&gt;"")*(D1094&lt;=($E$3*60+$F$3)/86400)+(H1094&lt;&gt;"")*(H1094&lt;=($I$3*60+$J$3)/86400)+(J1094&lt;&gt;"")*(J1094&lt;=($M$3*60+$N$3)/86400)</f>
        <v>0</v>
      </c>
      <c r="N1094" s="20"/>
      <c r="O1094" s="20"/>
      <c r="P1094" s="20"/>
      <c r="Q1094" s="19"/>
    </row>
    <row r="1095" customFormat="false" ht="15" hidden="false" customHeight="false" outlineLevel="0" collapsed="false">
      <c r="A1095" s="10" t="n">
        <v>1089</v>
      </c>
      <c r="B1095" s="11" t="s">
        <v>1761</v>
      </c>
      <c r="C1095" s="12" t="s">
        <v>129</v>
      </c>
      <c r="D1095" s="13" t="n">
        <v>0.0109961805555556</v>
      </c>
      <c r="E1095" s="14" t="n">
        <v>1090</v>
      </c>
      <c r="F1095" s="15" t="n">
        <f aca="false">IF(D1095="","",ROUND((D1095-MIN($D$7:$D$9999))*86400,2))</f>
        <v>160.33</v>
      </c>
      <c r="G1095" s="10" t="str">
        <f aca="false">IF(D1095="","",IF(D1095&lt;=($E$3*60+$F$3)/86400,"○",""))</f>
        <v/>
      </c>
      <c r="H1095" s="16"/>
      <c r="I1095" s="17"/>
      <c r="J1095" s="16"/>
      <c r="K1095" s="17"/>
      <c r="L1095" s="17" t="n">
        <f aca="false">COUNT(E1095,I1095,K1095)</f>
        <v>1</v>
      </c>
      <c r="M1095" s="18" t="n">
        <f aca="false">(D1095&lt;&gt;"")*(D1095&lt;=($E$3*60+$F$3)/86400)+(H1095&lt;&gt;"")*(H1095&lt;=($I$3*60+$J$3)/86400)+(J1095&lt;&gt;"")*(J1095&lt;=($M$3*60+$N$3)/86400)</f>
        <v>0</v>
      </c>
      <c r="N1095" s="20"/>
      <c r="O1095" s="20"/>
      <c r="P1095" s="20"/>
      <c r="Q1095" s="19"/>
    </row>
    <row r="1096" customFormat="false" ht="15" hidden="false" customHeight="false" outlineLevel="0" collapsed="false">
      <c r="A1096" s="10" t="n">
        <v>1090</v>
      </c>
      <c r="B1096" s="11" t="s">
        <v>1762</v>
      </c>
      <c r="C1096" s="12" t="s">
        <v>711</v>
      </c>
      <c r="D1096" s="13" t="n">
        <v>0.0109961805555556</v>
      </c>
      <c r="E1096" s="14" t="n">
        <v>1091</v>
      </c>
      <c r="F1096" s="15" t="n">
        <f aca="false">IF(D1096="","",ROUND((D1096-MIN($D$7:$D$9999))*86400,2))</f>
        <v>160.33</v>
      </c>
      <c r="G1096" s="10" t="str">
        <f aca="false">IF(D1096="","",IF(D1096&lt;=($E$3*60+$F$3)/86400,"○",""))</f>
        <v/>
      </c>
      <c r="H1096" s="16"/>
      <c r="I1096" s="17"/>
      <c r="J1096" s="16"/>
      <c r="K1096" s="17"/>
      <c r="L1096" s="17" t="n">
        <f aca="false">COUNT(E1096,I1096,K1096)</f>
        <v>1</v>
      </c>
      <c r="M1096" s="18" t="n">
        <f aca="false">(D1096&lt;&gt;"")*(D1096&lt;=($E$3*60+$F$3)/86400)+(H1096&lt;&gt;"")*(H1096&lt;=($I$3*60+$J$3)/86400)+(J1096&lt;&gt;"")*(J1096&lt;=($M$3*60+$N$3)/86400)</f>
        <v>0</v>
      </c>
      <c r="N1096" s="20"/>
      <c r="O1096" s="20"/>
      <c r="P1096" s="20"/>
      <c r="Q1096" s="19"/>
    </row>
    <row r="1097" customFormat="false" ht="15" hidden="false" customHeight="false" outlineLevel="0" collapsed="false">
      <c r="A1097" s="10" t="n">
        <v>1091</v>
      </c>
      <c r="B1097" s="11" t="s">
        <v>1763</v>
      </c>
      <c r="C1097" s="12" t="s">
        <v>1764</v>
      </c>
      <c r="D1097" s="13" t="n">
        <v>0.0109965277777778</v>
      </c>
      <c r="E1097" s="14" t="n">
        <v>1092</v>
      </c>
      <c r="F1097" s="15" t="n">
        <f aca="false">IF(D1097="","",ROUND((D1097-MIN($D$7:$D$9999))*86400,2))</f>
        <v>160.36</v>
      </c>
      <c r="G1097" s="10" t="str">
        <f aca="false">IF(D1097="","",IF(D1097&lt;=($E$3*60+$F$3)/86400,"○",""))</f>
        <v/>
      </c>
      <c r="H1097" s="16"/>
      <c r="I1097" s="17"/>
      <c r="J1097" s="16"/>
      <c r="K1097" s="17"/>
      <c r="L1097" s="17" t="n">
        <f aca="false">COUNT(E1097,I1097,K1097)</f>
        <v>1</v>
      </c>
      <c r="M1097" s="18" t="n">
        <f aca="false">(D1097&lt;&gt;"")*(D1097&lt;=($E$3*60+$F$3)/86400)+(H1097&lt;&gt;"")*(H1097&lt;=($I$3*60+$J$3)/86400)+(J1097&lt;&gt;"")*(J1097&lt;=($M$3*60+$N$3)/86400)</f>
        <v>0</v>
      </c>
      <c r="N1097" s="20"/>
      <c r="O1097" s="20"/>
      <c r="P1097" s="20"/>
      <c r="Q1097" s="19"/>
    </row>
    <row r="1098" customFormat="false" ht="15" hidden="false" customHeight="false" outlineLevel="0" collapsed="false">
      <c r="A1098" s="10" t="n">
        <v>1092</v>
      </c>
      <c r="B1098" s="11" t="s">
        <v>1765</v>
      </c>
      <c r="C1098" s="12" t="s">
        <v>1766</v>
      </c>
      <c r="D1098" s="13" t="n">
        <v>0.0109971064814815</v>
      </c>
      <c r="E1098" s="14" t="n">
        <v>1093</v>
      </c>
      <c r="F1098" s="15" t="n">
        <f aca="false">IF(D1098="","",ROUND((D1098-MIN($D$7:$D$9999))*86400,2))</f>
        <v>160.41</v>
      </c>
      <c r="G1098" s="10" t="str">
        <f aca="false">IF(D1098="","",IF(D1098&lt;=($E$3*60+$F$3)/86400,"○",""))</f>
        <v/>
      </c>
      <c r="H1098" s="16"/>
      <c r="I1098" s="17"/>
      <c r="J1098" s="16" t="n">
        <v>0.00282384259259259</v>
      </c>
      <c r="K1098" s="17" t="n">
        <v>386</v>
      </c>
      <c r="L1098" s="17" t="n">
        <f aca="false">COUNT(E1098,I1098,K1098)</f>
        <v>2</v>
      </c>
      <c r="M1098" s="18" t="n">
        <f aca="false">(D1098&lt;&gt;"")*(D1098&lt;=($E$3*60+$F$3)/86400)+(H1098&lt;&gt;"")*(H1098&lt;=($I$3*60+$J$3)/86400)+(J1098&lt;&gt;"")*(J1098&lt;=($M$3*60+$N$3)/86400)</f>
        <v>0</v>
      </c>
      <c r="N1098" s="20"/>
      <c r="O1098" s="20"/>
      <c r="P1098" s="20"/>
      <c r="Q1098" s="19"/>
    </row>
    <row r="1099" customFormat="false" ht="15" hidden="false" customHeight="false" outlineLevel="0" collapsed="false">
      <c r="A1099" s="10" t="n">
        <v>1093</v>
      </c>
      <c r="B1099" s="11" t="s">
        <v>1767</v>
      </c>
      <c r="C1099" s="12" t="s">
        <v>54</v>
      </c>
      <c r="D1099" s="13" t="n">
        <v>0.0109979166666667</v>
      </c>
      <c r="E1099" s="14" t="n">
        <v>1094</v>
      </c>
      <c r="F1099" s="15" t="n">
        <f aca="false">IF(D1099="","",ROUND((D1099-MIN($D$7:$D$9999))*86400,2))</f>
        <v>160.48</v>
      </c>
      <c r="G1099" s="10" t="str">
        <f aca="false">IF(D1099="","",IF(D1099&lt;=($E$3*60+$F$3)/86400,"○",""))</f>
        <v/>
      </c>
      <c r="H1099" s="16"/>
      <c r="I1099" s="17"/>
      <c r="J1099" s="16"/>
      <c r="K1099" s="17"/>
      <c r="L1099" s="17" t="n">
        <f aca="false">COUNT(E1099,I1099,K1099)</f>
        <v>1</v>
      </c>
      <c r="M1099" s="18" t="n">
        <f aca="false">(D1099&lt;&gt;"")*(D1099&lt;=($E$3*60+$F$3)/86400)+(H1099&lt;&gt;"")*(H1099&lt;=($I$3*60+$J$3)/86400)+(J1099&lt;&gt;"")*(J1099&lt;=($M$3*60+$N$3)/86400)</f>
        <v>0</v>
      </c>
      <c r="N1099" s="20"/>
      <c r="O1099" s="20"/>
      <c r="P1099" s="20"/>
      <c r="Q1099" s="19"/>
    </row>
    <row r="1100" customFormat="false" ht="15" hidden="false" customHeight="false" outlineLevel="0" collapsed="false">
      <c r="A1100" s="10" t="n">
        <v>1094</v>
      </c>
      <c r="B1100" s="11" t="s">
        <v>1768</v>
      </c>
      <c r="C1100" s="12" t="s">
        <v>1769</v>
      </c>
      <c r="D1100" s="13" t="n">
        <v>0.0109983796296296</v>
      </c>
      <c r="E1100" s="14" t="n">
        <v>1095</v>
      </c>
      <c r="F1100" s="15" t="n">
        <f aca="false">IF(D1100="","",ROUND((D1100-MIN($D$7:$D$9999))*86400,2))</f>
        <v>160.52</v>
      </c>
      <c r="G1100" s="10" t="str">
        <f aca="false">IF(D1100="","",IF(D1100&lt;=($E$3*60+$F$3)/86400,"○",""))</f>
        <v/>
      </c>
      <c r="H1100" s="16"/>
      <c r="I1100" s="17"/>
      <c r="J1100" s="16"/>
      <c r="K1100" s="17"/>
      <c r="L1100" s="17" t="n">
        <f aca="false">COUNT(E1100,I1100,K1100)</f>
        <v>1</v>
      </c>
      <c r="M1100" s="18" t="n">
        <f aca="false">(D1100&lt;&gt;"")*(D1100&lt;=($E$3*60+$F$3)/86400)+(H1100&lt;&gt;"")*(H1100&lt;=($I$3*60+$J$3)/86400)+(J1100&lt;&gt;"")*(J1100&lt;=($M$3*60+$N$3)/86400)</f>
        <v>0</v>
      </c>
      <c r="N1100" s="20"/>
      <c r="O1100" s="20"/>
      <c r="P1100" s="20"/>
      <c r="Q1100" s="19"/>
    </row>
    <row r="1101" customFormat="false" ht="15" hidden="false" customHeight="false" outlineLevel="0" collapsed="false">
      <c r="A1101" s="10" t="n">
        <v>1095</v>
      </c>
      <c r="B1101" s="11" t="s">
        <v>1770</v>
      </c>
      <c r="C1101" s="12" t="s">
        <v>377</v>
      </c>
      <c r="D1101" s="13" t="n">
        <v>0.010999537037037</v>
      </c>
      <c r="E1101" s="14" t="n">
        <v>1096</v>
      </c>
      <c r="F1101" s="15" t="n">
        <f aca="false">IF(D1101="","",ROUND((D1101-MIN($D$7:$D$9999))*86400,2))</f>
        <v>160.62</v>
      </c>
      <c r="G1101" s="10" t="str">
        <f aca="false">IF(D1101="","",IF(D1101&lt;=($E$3*60+$F$3)/86400,"○",""))</f>
        <v/>
      </c>
      <c r="H1101" s="16" t="n">
        <v>0.006784375</v>
      </c>
      <c r="I1101" s="17" t="n">
        <v>160</v>
      </c>
      <c r="J1101" s="16"/>
      <c r="K1101" s="17"/>
      <c r="L1101" s="17" t="n">
        <f aca="false">COUNT(E1101,I1101,K1101)</f>
        <v>2</v>
      </c>
      <c r="M1101" s="18" t="n">
        <f aca="false">(D1101&lt;&gt;"")*(D1101&lt;=($E$3*60+$F$3)/86400)+(H1101&lt;&gt;"")*(H1101&lt;=($I$3*60+$J$3)/86400)+(J1101&lt;&gt;"")*(J1101&lt;=($M$3*60+$N$3)/86400)</f>
        <v>0</v>
      </c>
      <c r="N1101" s="20"/>
      <c r="O1101" s="20"/>
      <c r="P1101" s="20"/>
      <c r="Q1101" s="19"/>
    </row>
    <row r="1102" customFormat="false" ht="15" hidden="false" customHeight="false" outlineLevel="0" collapsed="false">
      <c r="A1102" s="10" t="n">
        <v>1096</v>
      </c>
      <c r="B1102" s="11" t="s">
        <v>1771</v>
      </c>
      <c r="C1102" s="12" t="s">
        <v>1409</v>
      </c>
      <c r="D1102" s="13" t="n">
        <v>0.0110001157407407</v>
      </c>
      <c r="E1102" s="14" t="n">
        <v>1097</v>
      </c>
      <c r="F1102" s="15" t="n">
        <f aca="false">IF(D1102="","",ROUND((D1102-MIN($D$7:$D$9999))*86400,2))</f>
        <v>160.67</v>
      </c>
      <c r="G1102" s="10" t="str">
        <f aca="false">IF(D1102="","",IF(D1102&lt;=($E$3*60+$F$3)/86400,"○",""))</f>
        <v/>
      </c>
      <c r="H1102" s="16" t="n">
        <v>0.00709780092592593</v>
      </c>
      <c r="I1102" s="17" t="n">
        <v>447</v>
      </c>
      <c r="J1102" s="16"/>
      <c r="K1102" s="17"/>
      <c r="L1102" s="17" t="n">
        <f aca="false">COUNT(E1102,I1102,K1102)</f>
        <v>2</v>
      </c>
      <c r="M1102" s="18" t="n">
        <f aca="false">(D1102&lt;&gt;"")*(D1102&lt;=($E$3*60+$F$3)/86400)+(H1102&lt;&gt;"")*(H1102&lt;=($I$3*60+$J$3)/86400)+(J1102&lt;&gt;"")*(J1102&lt;=($M$3*60+$N$3)/86400)</f>
        <v>0</v>
      </c>
      <c r="N1102" s="20" t="s">
        <v>1772</v>
      </c>
      <c r="O1102" s="20"/>
      <c r="P1102" s="20"/>
      <c r="Q1102" s="19"/>
    </row>
    <row r="1103" customFormat="false" ht="15" hidden="false" customHeight="false" outlineLevel="0" collapsed="false">
      <c r="A1103" s="10" t="n">
        <v>1097</v>
      </c>
      <c r="B1103" s="11" t="s">
        <v>1773</v>
      </c>
      <c r="C1103" s="12" t="s">
        <v>127</v>
      </c>
      <c r="D1103" s="13" t="n">
        <v>0.0110020833333333</v>
      </c>
      <c r="E1103" s="14" t="n">
        <v>1098</v>
      </c>
      <c r="F1103" s="15" t="n">
        <f aca="false">IF(D1103="","",ROUND((D1103-MIN($D$7:$D$9999))*86400,2))</f>
        <v>160.84</v>
      </c>
      <c r="G1103" s="10" t="str">
        <f aca="false">IF(D1103="","",IF(D1103&lt;=($E$3*60+$F$3)/86400,"○",""))</f>
        <v/>
      </c>
      <c r="H1103" s="16" t="n">
        <v>0.00689513888888889</v>
      </c>
      <c r="I1103" s="17" t="n">
        <v>235</v>
      </c>
      <c r="J1103" s="16" t="n">
        <v>0.00285775462962963</v>
      </c>
      <c r="K1103" s="17" t="n">
        <v>621</v>
      </c>
      <c r="L1103" s="17" t="n">
        <f aca="false">COUNT(E1103,I1103,K1103)</f>
        <v>3</v>
      </c>
      <c r="M1103" s="18" t="n">
        <f aca="false">(D1103&lt;&gt;"")*(D1103&lt;=($E$3*60+$F$3)/86400)+(H1103&lt;&gt;"")*(H1103&lt;=($I$3*60+$J$3)/86400)+(J1103&lt;&gt;"")*(J1103&lt;=($M$3*60+$N$3)/86400)</f>
        <v>0</v>
      </c>
      <c r="N1103" s="20"/>
      <c r="O1103" s="20"/>
      <c r="P1103" s="20"/>
      <c r="Q1103" s="19"/>
    </row>
    <row r="1104" customFormat="false" ht="15" hidden="false" customHeight="false" outlineLevel="0" collapsed="false">
      <c r="A1104" s="10" t="n">
        <v>1098</v>
      </c>
      <c r="B1104" s="11" t="s">
        <v>1774</v>
      </c>
      <c r="C1104" s="12" t="s">
        <v>1775</v>
      </c>
      <c r="D1104" s="13" t="n">
        <v>0.0110024305555556</v>
      </c>
      <c r="E1104" s="14" t="n">
        <v>1099</v>
      </c>
      <c r="F1104" s="15" t="n">
        <f aca="false">IF(D1104="","",ROUND((D1104-MIN($D$7:$D$9999))*86400,2))</f>
        <v>160.87</v>
      </c>
      <c r="G1104" s="10" t="str">
        <f aca="false">IF(D1104="","",IF(D1104&lt;=($E$3*60+$F$3)/86400,"○",""))</f>
        <v/>
      </c>
      <c r="H1104" s="16"/>
      <c r="I1104" s="17"/>
      <c r="J1104" s="16" t="n">
        <v>0.00291053240740741</v>
      </c>
      <c r="K1104" s="17" t="n">
        <v>1026</v>
      </c>
      <c r="L1104" s="17" t="n">
        <f aca="false">COUNT(E1104,I1104,K1104)</f>
        <v>2</v>
      </c>
      <c r="M1104" s="18" t="n">
        <f aca="false">(D1104&lt;&gt;"")*(D1104&lt;=($E$3*60+$F$3)/86400)+(H1104&lt;&gt;"")*(H1104&lt;=($I$3*60+$J$3)/86400)+(J1104&lt;&gt;"")*(J1104&lt;=($M$3*60+$N$3)/86400)</f>
        <v>0</v>
      </c>
      <c r="N1104" s="20"/>
      <c r="O1104" s="20"/>
      <c r="P1104" s="20"/>
      <c r="Q1104" s="19"/>
    </row>
    <row r="1105" customFormat="false" ht="15" hidden="false" customHeight="false" outlineLevel="0" collapsed="false">
      <c r="A1105" s="10" t="n">
        <v>1099</v>
      </c>
      <c r="B1105" s="11" t="s">
        <v>1776</v>
      </c>
      <c r="C1105" s="12" t="s">
        <v>1777</v>
      </c>
      <c r="D1105" s="13" t="n">
        <v>0.0110045138888889</v>
      </c>
      <c r="E1105" s="14" t="n">
        <v>1100</v>
      </c>
      <c r="F1105" s="15" t="n">
        <f aca="false">IF(D1105="","",ROUND((D1105-MIN($D$7:$D$9999))*86400,2))</f>
        <v>161.05</v>
      </c>
      <c r="G1105" s="10" t="str">
        <f aca="false">IF(D1105="","",IF(D1105&lt;=($E$3*60+$F$3)/86400,"○",""))</f>
        <v/>
      </c>
      <c r="H1105" s="16"/>
      <c r="I1105" s="17"/>
      <c r="J1105" s="16"/>
      <c r="K1105" s="17"/>
      <c r="L1105" s="17" t="n">
        <f aca="false">COUNT(E1105,I1105,K1105)</f>
        <v>1</v>
      </c>
      <c r="M1105" s="18" t="n">
        <f aca="false">(D1105&lt;&gt;"")*(D1105&lt;=($E$3*60+$F$3)/86400)+(H1105&lt;&gt;"")*(H1105&lt;=($I$3*60+$J$3)/86400)+(J1105&lt;&gt;"")*(J1105&lt;=($M$3*60+$N$3)/86400)</f>
        <v>0</v>
      </c>
      <c r="N1105" s="20"/>
      <c r="O1105" s="20"/>
      <c r="P1105" s="20"/>
      <c r="Q1105" s="19"/>
    </row>
    <row r="1106" customFormat="false" ht="15" hidden="false" customHeight="false" outlineLevel="0" collapsed="false">
      <c r="A1106" s="10" t="n">
        <v>1100</v>
      </c>
      <c r="B1106" s="11" t="s">
        <v>1778</v>
      </c>
      <c r="C1106" s="12" t="s">
        <v>1590</v>
      </c>
      <c r="D1106" s="13" t="n">
        <v>0.0110046296296296</v>
      </c>
      <c r="E1106" s="14" t="n">
        <v>1101</v>
      </c>
      <c r="F1106" s="15" t="n">
        <f aca="false">IF(D1106="","",ROUND((D1106-MIN($D$7:$D$9999))*86400,2))</f>
        <v>161.06</v>
      </c>
      <c r="G1106" s="10" t="str">
        <f aca="false">IF(D1106="","",IF(D1106&lt;=($E$3*60+$F$3)/86400,"○",""))</f>
        <v/>
      </c>
      <c r="H1106" s="16"/>
      <c r="I1106" s="17"/>
      <c r="J1106" s="16" t="n">
        <v>0.0028599537037037</v>
      </c>
      <c r="K1106" s="17" t="n">
        <v>634</v>
      </c>
      <c r="L1106" s="17" t="n">
        <f aca="false">COUNT(E1106,I1106,K1106)</f>
        <v>2</v>
      </c>
      <c r="M1106" s="18" t="n">
        <f aca="false">(D1106&lt;&gt;"")*(D1106&lt;=($E$3*60+$F$3)/86400)+(H1106&lt;&gt;"")*(H1106&lt;=($I$3*60+$J$3)/86400)+(J1106&lt;&gt;"")*(J1106&lt;=($M$3*60+$N$3)/86400)</f>
        <v>0</v>
      </c>
      <c r="N1106" s="20"/>
      <c r="O1106" s="20" t="s">
        <v>1779</v>
      </c>
      <c r="P1106" s="20"/>
      <c r="Q1106" s="19"/>
    </row>
    <row r="1107" customFormat="false" ht="15" hidden="false" customHeight="false" outlineLevel="0" collapsed="false">
      <c r="A1107" s="10" t="n">
        <v>1101</v>
      </c>
      <c r="B1107" s="11" t="s">
        <v>1780</v>
      </c>
      <c r="C1107" s="12" t="s">
        <v>1781</v>
      </c>
      <c r="D1107" s="13" t="n">
        <v>0.0110052083333333</v>
      </c>
      <c r="E1107" s="14" t="n">
        <v>1102</v>
      </c>
      <c r="F1107" s="15" t="n">
        <f aca="false">IF(D1107="","",ROUND((D1107-MIN($D$7:$D$9999))*86400,2))</f>
        <v>161.11</v>
      </c>
      <c r="G1107" s="10" t="str">
        <f aca="false">IF(D1107="","",IF(D1107&lt;=($E$3*60+$F$3)/86400,"○",""))</f>
        <v/>
      </c>
      <c r="H1107" s="16"/>
      <c r="I1107" s="17"/>
      <c r="J1107" s="16" t="n">
        <v>0.00296041666666667</v>
      </c>
      <c r="K1107" s="17" t="n">
        <v>1274</v>
      </c>
      <c r="L1107" s="17" t="n">
        <f aca="false">COUNT(E1107,I1107,K1107)</f>
        <v>2</v>
      </c>
      <c r="M1107" s="18" t="n">
        <f aca="false">(D1107&lt;&gt;"")*(D1107&lt;=($E$3*60+$F$3)/86400)+(H1107&lt;&gt;"")*(H1107&lt;=($I$3*60+$J$3)/86400)+(J1107&lt;&gt;"")*(J1107&lt;=($M$3*60+$N$3)/86400)</f>
        <v>0</v>
      </c>
      <c r="N1107" s="20"/>
      <c r="O1107" s="20"/>
      <c r="P1107" s="20"/>
      <c r="Q1107" s="19"/>
    </row>
    <row r="1108" customFormat="false" ht="15" hidden="false" customHeight="false" outlineLevel="0" collapsed="false">
      <c r="A1108" s="10" t="n">
        <v>1102</v>
      </c>
      <c r="B1108" s="11" t="s">
        <v>1782</v>
      </c>
      <c r="C1108" s="12" t="s">
        <v>1783</v>
      </c>
      <c r="D1108" s="13" t="n">
        <v>0.01100625</v>
      </c>
      <c r="E1108" s="14" t="n">
        <v>1103</v>
      </c>
      <c r="F1108" s="15" t="n">
        <f aca="false">IF(D1108="","",ROUND((D1108-MIN($D$7:$D$9999))*86400,2))</f>
        <v>161.2</v>
      </c>
      <c r="G1108" s="10" t="str">
        <f aca="false">IF(D1108="","",IF(D1108&lt;=($E$3*60+$F$3)/86400,"○",""))</f>
        <v/>
      </c>
      <c r="H1108" s="16"/>
      <c r="I1108" s="17"/>
      <c r="J1108" s="16" t="n">
        <v>0.00286990740740741</v>
      </c>
      <c r="K1108" s="17" t="n">
        <v>694</v>
      </c>
      <c r="L1108" s="17" t="n">
        <f aca="false">COUNT(E1108,I1108,K1108)</f>
        <v>2</v>
      </c>
      <c r="M1108" s="18" t="n">
        <f aca="false">(D1108&lt;&gt;"")*(D1108&lt;=($E$3*60+$F$3)/86400)+(H1108&lt;&gt;"")*(H1108&lt;=($I$3*60+$J$3)/86400)+(J1108&lt;&gt;"")*(J1108&lt;=($M$3*60+$N$3)/86400)</f>
        <v>0</v>
      </c>
      <c r="N1108" s="20"/>
      <c r="O1108" s="20"/>
      <c r="P1108" s="20"/>
      <c r="Q1108" s="19"/>
    </row>
    <row r="1109" customFormat="false" ht="15" hidden="false" customHeight="false" outlineLevel="0" collapsed="false">
      <c r="A1109" s="10" t="n">
        <v>1103</v>
      </c>
      <c r="B1109" s="11" t="s">
        <v>1784</v>
      </c>
      <c r="C1109" s="12" t="s">
        <v>417</v>
      </c>
      <c r="D1109" s="13" t="n">
        <v>0.011006712962963</v>
      </c>
      <c r="E1109" s="14" t="n">
        <v>1104</v>
      </c>
      <c r="F1109" s="15" t="n">
        <f aca="false">IF(D1109="","",ROUND((D1109-MIN($D$7:$D$9999))*86400,2))</f>
        <v>161.24</v>
      </c>
      <c r="G1109" s="10" t="str">
        <f aca="false">IF(D1109="","",IF(D1109&lt;=($E$3*60+$F$3)/86400,"○",""))</f>
        <v/>
      </c>
      <c r="H1109" s="16" t="n">
        <v>0.00702592592592593</v>
      </c>
      <c r="I1109" s="17" t="n">
        <v>359</v>
      </c>
      <c r="J1109" s="16"/>
      <c r="K1109" s="17"/>
      <c r="L1109" s="17" t="n">
        <f aca="false">COUNT(E1109,I1109,K1109)</f>
        <v>2</v>
      </c>
      <c r="M1109" s="18" t="n">
        <f aca="false">(D1109&lt;&gt;"")*(D1109&lt;=($E$3*60+$F$3)/86400)+(H1109&lt;&gt;"")*(H1109&lt;=($I$3*60+$J$3)/86400)+(J1109&lt;&gt;"")*(J1109&lt;=($M$3*60+$N$3)/86400)</f>
        <v>0</v>
      </c>
      <c r="N1109" s="20"/>
      <c r="O1109" s="20"/>
      <c r="P1109" s="20"/>
      <c r="Q1109" s="19"/>
    </row>
    <row r="1110" customFormat="false" ht="15" hidden="false" customHeight="false" outlineLevel="0" collapsed="false">
      <c r="A1110" s="10" t="n">
        <v>1104</v>
      </c>
      <c r="B1110" s="11" t="s">
        <v>1785</v>
      </c>
      <c r="C1110" s="12" t="s">
        <v>340</v>
      </c>
      <c r="D1110" s="13" t="n">
        <v>0.0110074074074074</v>
      </c>
      <c r="E1110" s="14" t="n">
        <v>1105</v>
      </c>
      <c r="F1110" s="15" t="n">
        <f aca="false">IF(D1110="","",ROUND((D1110-MIN($D$7:$D$9999))*86400,2))</f>
        <v>161.3</v>
      </c>
      <c r="G1110" s="10" t="str">
        <f aca="false">IF(D1110="","",IF(D1110&lt;=($E$3*60+$F$3)/86400,"○",""))</f>
        <v/>
      </c>
      <c r="H1110" s="16"/>
      <c r="I1110" s="17"/>
      <c r="J1110" s="16"/>
      <c r="K1110" s="17"/>
      <c r="L1110" s="17" t="n">
        <f aca="false">COUNT(E1110,I1110,K1110)</f>
        <v>1</v>
      </c>
      <c r="M1110" s="18" t="n">
        <f aca="false">(D1110&lt;&gt;"")*(D1110&lt;=($E$3*60+$F$3)/86400)+(H1110&lt;&gt;"")*(H1110&lt;=($I$3*60+$J$3)/86400)+(J1110&lt;&gt;"")*(J1110&lt;=($M$3*60+$N$3)/86400)</f>
        <v>0</v>
      </c>
      <c r="N1110" s="20"/>
      <c r="O1110" s="20"/>
      <c r="P1110" s="20"/>
      <c r="Q1110" s="19"/>
    </row>
    <row r="1111" customFormat="false" ht="15" hidden="false" customHeight="false" outlineLevel="0" collapsed="false">
      <c r="A1111" s="10" t="n">
        <v>1105</v>
      </c>
      <c r="B1111" s="11" t="s">
        <v>1786</v>
      </c>
      <c r="C1111" s="12" t="s">
        <v>447</v>
      </c>
      <c r="D1111" s="13" t="n">
        <v>0.0110075231481482</v>
      </c>
      <c r="E1111" s="14" t="n">
        <v>1106</v>
      </c>
      <c r="F1111" s="15" t="n">
        <f aca="false">IF(D1111="","",ROUND((D1111-MIN($D$7:$D$9999))*86400,2))</f>
        <v>161.31</v>
      </c>
      <c r="G1111" s="10" t="str">
        <f aca="false">IF(D1111="","",IF(D1111&lt;=($E$3*60+$F$3)/86400,"○",""))</f>
        <v/>
      </c>
      <c r="H1111" s="16"/>
      <c r="I1111" s="17"/>
      <c r="J1111" s="16"/>
      <c r="K1111" s="17"/>
      <c r="L1111" s="17" t="n">
        <f aca="false">COUNT(E1111,I1111,K1111)</f>
        <v>1</v>
      </c>
      <c r="M1111" s="18" t="n">
        <f aca="false">(D1111&lt;&gt;"")*(D1111&lt;=($E$3*60+$F$3)/86400)+(H1111&lt;&gt;"")*(H1111&lt;=($I$3*60+$J$3)/86400)+(J1111&lt;&gt;"")*(J1111&lt;=($M$3*60+$N$3)/86400)</f>
        <v>0</v>
      </c>
      <c r="N1111" s="20"/>
      <c r="O1111" s="20"/>
      <c r="P1111" s="20"/>
      <c r="Q1111" s="19"/>
    </row>
    <row r="1112" customFormat="false" ht="15" hidden="false" customHeight="false" outlineLevel="0" collapsed="false">
      <c r="A1112" s="10" t="n">
        <v>1106</v>
      </c>
      <c r="B1112" s="11" t="s">
        <v>1787</v>
      </c>
      <c r="C1112" s="12" t="s">
        <v>406</v>
      </c>
      <c r="D1112" s="13" t="n">
        <v>0.0110081018518519</v>
      </c>
      <c r="E1112" s="14" t="n">
        <v>1107</v>
      </c>
      <c r="F1112" s="15" t="n">
        <f aca="false">IF(D1112="","",ROUND((D1112-MIN($D$7:$D$9999))*86400,2))</f>
        <v>161.36</v>
      </c>
      <c r="G1112" s="10" t="str">
        <f aca="false">IF(D1112="","",IF(D1112&lt;=($E$3*60+$F$3)/86400,"○",""))</f>
        <v/>
      </c>
      <c r="H1112" s="16"/>
      <c r="I1112" s="17"/>
      <c r="J1112" s="16"/>
      <c r="K1112" s="17"/>
      <c r="L1112" s="17" t="n">
        <f aca="false">COUNT(E1112,I1112,K1112)</f>
        <v>1</v>
      </c>
      <c r="M1112" s="18" t="n">
        <f aca="false">(D1112&lt;&gt;"")*(D1112&lt;=($E$3*60+$F$3)/86400)+(H1112&lt;&gt;"")*(H1112&lt;=($I$3*60+$J$3)/86400)+(J1112&lt;&gt;"")*(J1112&lt;=($M$3*60+$N$3)/86400)</f>
        <v>0</v>
      </c>
      <c r="N1112" s="20"/>
      <c r="O1112" s="20"/>
      <c r="P1112" s="20"/>
      <c r="Q1112" s="19"/>
    </row>
    <row r="1113" customFormat="false" ht="15" hidden="false" customHeight="false" outlineLevel="0" collapsed="false">
      <c r="A1113" s="10" t="n">
        <v>1107</v>
      </c>
      <c r="B1113" s="11" t="s">
        <v>1788</v>
      </c>
      <c r="C1113" s="12" t="s">
        <v>1154</v>
      </c>
      <c r="D1113" s="13" t="n">
        <v>0.0110085648148148</v>
      </c>
      <c r="E1113" s="14" t="n">
        <v>1108</v>
      </c>
      <c r="F1113" s="15" t="n">
        <f aca="false">IF(D1113="","",ROUND((D1113-MIN($D$7:$D$9999))*86400,2))</f>
        <v>161.4</v>
      </c>
      <c r="G1113" s="10" t="str">
        <f aca="false">IF(D1113="","",IF(D1113&lt;=($E$3*60+$F$3)/86400,"○",""))</f>
        <v/>
      </c>
      <c r="H1113" s="16"/>
      <c r="I1113" s="17"/>
      <c r="J1113" s="16" t="n">
        <v>0.00291956018518519</v>
      </c>
      <c r="K1113" s="17" t="n">
        <v>1090</v>
      </c>
      <c r="L1113" s="17" t="n">
        <f aca="false">COUNT(E1113,I1113,K1113)</f>
        <v>2</v>
      </c>
      <c r="M1113" s="18" t="n">
        <f aca="false">(D1113&lt;&gt;"")*(D1113&lt;=($E$3*60+$F$3)/86400)+(H1113&lt;&gt;"")*(H1113&lt;=($I$3*60+$J$3)/86400)+(J1113&lt;&gt;"")*(J1113&lt;=($M$3*60+$N$3)/86400)</f>
        <v>0</v>
      </c>
      <c r="N1113" s="20"/>
      <c r="O1113" s="20"/>
      <c r="P1113" s="20"/>
      <c r="Q1113" s="19"/>
    </row>
    <row r="1114" customFormat="false" ht="15" hidden="false" customHeight="false" outlineLevel="0" collapsed="false">
      <c r="A1114" s="10" t="n">
        <v>1108</v>
      </c>
      <c r="B1114" s="11" t="s">
        <v>1789</v>
      </c>
      <c r="C1114" s="12" t="s">
        <v>145</v>
      </c>
      <c r="D1114" s="13" t="n">
        <v>0.0110094907407407</v>
      </c>
      <c r="E1114" s="14" t="n">
        <v>1109</v>
      </c>
      <c r="F1114" s="15" t="n">
        <f aca="false">IF(D1114="","",ROUND((D1114-MIN($D$7:$D$9999))*86400,2))</f>
        <v>161.48</v>
      </c>
      <c r="G1114" s="10" t="str">
        <f aca="false">IF(D1114="","",IF(D1114&lt;=($E$3*60+$F$3)/86400,"○",""))</f>
        <v/>
      </c>
      <c r="H1114" s="16"/>
      <c r="I1114" s="17"/>
      <c r="J1114" s="16"/>
      <c r="K1114" s="17"/>
      <c r="L1114" s="17" t="n">
        <f aca="false">COUNT(E1114,I1114,K1114)</f>
        <v>1</v>
      </c>
      <c r="M1114" s="18" t="n">
        <f aca="false">(D1114&lt;&gt;"")*(D1114&lt;=($E$3*60+$F$3)/86400)+(H1114&lt;&gt;"")*(H1114&lt;=($I$3*60+$J$3)/86400)+(J1114&lt;&gt;"")*(J1114&lt;=($M$3*60+$N$3)/86400)</f>
        <v>0</v>
      </c>
      <c r="N1114" s="20"/>
      <c r="O1114" s="20"/>
      <c r="P1114" s="20"/>
      <c r="Q1114" s="19"/>
    </row>
    <row r="1115" customFormat="false" ht="15" hidden="false" customHeight="false" outlineLevel="0" collapsed="false">
      <c r="A1115" s="10" t="n">
        <v>1109</v>
      </c>
      <c r="B1115" s="11" t="s">
        <v>1790</v>
      </c>
      <c r="C1115" s="12" t="s">
        <v>236</v>
      </c>
      <c r="D1115" s="13" t="n">
        <v>0.0110097222222222</v>
      </c>
      <c r="E1115" s="14" t="n">
        <v>1110</v>
      </c>
      <c r="F1115" s="15" t="n">
        <f aca="false">IF(D1115="","",ROUND((D1115-MIN($D$7:$D$9999))*86400,2))</f>
        <v>161.5</v>
      </c>
      <c r="G1115" s="10" t="str">
        <f aca="false">IF(D1115="","",IF(D1115&lt;=($E$3*60+$F$3)/86400,"○",""))</f>
        <v/>
      </c>
      <c r="H1115" s="16" t="n">
        <v>0.00679131944444444</v>
      </c>
      <c r="I1115" s="17" t="n">
        <v>163</v>
      </c>
      <c r="J1115" s="16"/>
      <c r="K1115" s="17"/>
      <c r="L1115" s="17" t="n">
        <f aca="false">COUNT(E1115,I1115,K1115)</f>
        <v>2</v>
      </c>
      <c r="M1115" s="18" t="n">
        <f aca="false">(D1115&lt;&gt;"")*(D1115&lt;=($E$3*60+$F$3)/86400)+(H1115&lt;&gt;"")*(H1115&lt;=($I$3*60+$J$3)/86400)+(J1115&lt;&gt;"")*(J1115&lt;=($M$3*60+$N$3)/86400)</f>
        <v>0</v>
      </c>
      <c r="N1115" s="20"/>
      <c r="O1115" s="20"/>
      <c r="P1115" s="20"/>
      <c r="Q1115" s="19"/>
    </row>
    <row r="1116" customFormat="false" ht="15" hidden="false" customHeight="false" outlineLevel="0" collapsed="false">
      <c r="A1116" s="10" t="n">
        <v>1110</v>
      </c>
      <c r="B1116" s="11" t="s">
        <v>1791</v>
      </c>
      <c r="C1116" s="12" t="s">
        <v>1568</v>
      </c>
      <c r="D1116" s="13" t="n">
        <v>0.0110106481481482</v>
      </c>
      <c r="E1116" s="14" t="n">
        <v>1111</v>
      </c>
      <c r="F1116" s="15" t="n">
        <f aca="false">IF(D1116="","",ROUND((D1116-MIN($D$7:$D$9999))*86400,2))</f>
        <v>161.58</v>
      </c>
      <c r="G1116" s="10" t="str">
        <f aca="false">IF(D1116="","",IF(D1116&lt;=($E$3*60+$F$3)/86400,"○",""))</f>
        <v/>
      </c>
      <c r="H1116" s="16"/>
      <c r="I1116" s="17"/>
      <c r="J1116" s="16"/>
      <c r="K1116" s="17"/>
      <c r="L1116" s="17" t="n">
        <f aca="false">COUNT(E1116,I1116,K1116)</f>
        <v>1</v>
      </c>
      <c r="M1116" s="18" t="n">
        <f aca="false">(D1116&lt;&gt;"")*(D1116&lt;=($E$3*60+$F$3)/86400)+(H1116&lt;&gt;"")*(H1116&lt;=($I$3*60+$J$3)/86400)+(J1116&lt;&gt;"")*(J1116&lt;=($M$3*60+$N$3)/86400)</f>
        <v>0</v>
      </c>
      <c r="N1116" s="20"/>
      <c r="O1116" s="20"/>
      <c r="P1116" s="20"/>
      <c r="Q1116" s="19"/>
    </row>
    <row r="1117" customFormat="false" ht="15" hidden="false" customHeight="false" outlineLevel="0" collapsed="false">
      <c r="A1117" s="10" t="n">
        <v>1111</v>
      </c>
      <c r="B1117" s="11" t="s">
        <v>1792</v>
      </c>
      <c r="C1117" s="12" t="s">
        <v>1450</v>
      </c>
      <c r="D1117" s="13" t="n">
        <v>0.0110112268518519</v>
      </c>
      <c r="E1117" s="14" t="n">
        <v>1112</v>
      </c>
      <c r="F1117" s="15" t="n">
        <f aca="false">IF(D1117="","",ROUND((D1117-MIN($D$7:$D$9999))*86400,2))</f>
        <v>161.63</v>
      </c>
      <c r="G1117" s="10" t="str">
        <f aca="false">IF(D1117="","",IF(D1117&lt;=($E$3*60+$F$3)/86400,"○",""))</f>
        <v/>
      </c>
      <c r="H1117" s="16" t="n">
        <v>0.00706909722222222</v>
      </c>
      <c r="I1117" s="17" t="n">
        <v>413</v>
      </c>
      <c r="J1117" s="16" t="n">
        <v>0.00289837962962963</v>
      </c>
      <c r="K1117" s="17" t="n">
        <v>935</v>
      </c>
      <c r="L1117" s="17" t="n">
        <f aca="false">COUNT(E1117,I1117,K1117)</f>
        <v>3</v>
      </c>
      <c r="M1117" s="18" t="n">
        <f aca="false">(D1117&lt;&gt;"")*(D1117&lt;=($E$3*60+$F$3)/86400)+(H1117&lt;&gt;"")*(H1117&lt;=($I$3*60+$J$3)/86400)+(J1117&lt;&gt;"")*(J1117&lt;=($M$3*60+$N$3)/86400)</f>
        <v>0</v>
      </c>
      <c r="N1117" s="20" t="s">
        <v>1793</v>
      </c>
      <c r="O1117" s="20"/>
      <c r="P1117" s="20"/>
      <c r="Q1117" s="19"/>
    </row>
    <row r="1118" customFormat="false" ht="15" hidden="false" customHeight="false" outlineLevel="0" collapsed="false">
      <c r="A1118" s="10" t="n">
        <v>1112</v>
      </c>
      <c r="B1118" s="11" t="s">
        <v>1794</v>
      </c>
      <c r="C1118" s="12" t="s">
        <v>103</v>
      </c>
      <c r="D1118" s="13" t="n">
        <v>0.0110116898148148</v>
      </c>
      <c r="E1118" s="14" t="n">
        <v>1113</v>
      </c>
      <c r="F1118" s="15" t="n">
        <f aca="false">IF(D1118="","",ROUND((D1118-MIN($D$7:$D$9999))*86400,2))</f>
        <v>161.67</v>
      </c>
      <c r="G1118" s="10" t="str">
        <f aca="false">IF(D1118="","",IF(D1118&lt;=($E$3*60+$F$3)/86400,"○",""))</f>
        <v/>
      </c>
      <c r="H1118" s="16" t="n">
        <v>0.0073724537037037</v>
      </c>
      <c r="I1118" s="17" t="n">
        <v>737</v>
      </c>
      <c r="J1118" s="16" t="n">
        <v>0.00294918981481482</v>
      </c>
      <c r="K1118" s="17" t="n">
        <v>1234</v>
      </c>
      <c r="L1118" s="17" t="n">
        <f aca="false">COUNT(E1118,I1118,K1118)</f>
        <v>3</v>
      </c>
      <c r="M1118" s="18" t="n">
        <f aca="false">(D1118&lt;&gt;"")*(D1118&lt;=($E$3*60+$F$3)/86400)+(H1118&lt;&gt;"")*(H1118&lt;=($I$3*60+$J$3)/86400)+(J1118&lt;&gt;"")*(J1118&lt;=($M$3*60+$N$3)/86400)</f>
        <v>0</v>
      </c>
      <c r="N1118" s="20"/>
      <c r="O1118" s="20"/>
      <c r="P1118" s="20"/>
      <c r="Q1118" s="19"/>
    </row>
    <row r="1119" customFormat="false" ht="15" hidden="false" customHeight="false" outlineLevel="0" collapsed="false">
      <c r="A1119" s="10" t="n">
        <v>1113</v>
      </c>
      <c r="B1119" s="11" t="s">
        <v>1795</v>
      </c>
      <c r="C1119" s="12" t="s">
        <v>1796</v>
      </c>
      <c r="D1119" s="13" t="n">
        <v>0.0110125</v>
      </c>
      <c r="E1119" s="14" t="n">
        <v>1114</v>
      </c>
      <c r="F1119" s="15" t="n">
        <f aca="false">IF(D1119="","",ROUND((D1119-MIN($D$7:$D$9999))*86400,2))</f>
        <v>161.74</v>
      </c>
      <c r="G1119" s="10" t="str">
        <f aca="false">IF(D1119="","",IF(D1119&lt;=($E$3*60+$F$3)/86400,"○",""))</f>
        <v/>
      </c>
      <c r="H1119" s="16"/>
      <c r="I1119" s="17"/>
      <c r="J1119" s="16"/>
      <c r="K1119" s="17"/>
      <c r="L1119" s="17" t="n">
        <f aca="false">COUNT(E1119,I1119,K1119)</f>
        <v>1</v>
      </c>
      <c r="M1119" s="18" t="n">
        <f aca="false">(D1119&lt;&gt;"")*(D1119&lt;=($E$3*60+$F$3)/86400)+(H1119&lt;&gt;"")*(H1119&lt;=($I$3*60+$J$3)/86400)+(J1119&lt;&gt;"")*(J1119&lt;=($M$3*60+$N$3)/86400)</f>
        <v>0</v>
      </c>
      <c r="N1119" s="20"/>
      <c r="O1119" s="20"/>
      <c r="P1119" s="20"/>
      <c r="Q1119" s="19"/>
    </row>
    <row r="1120" customFormat="false" ht="15" hidden="false" customHeight="false" outlineLevel="0" collapsed="false">
      <c r="A1120" s="10" t="n">
        <v>1114</v>
      </c>
      <c r="B1120" s="11" t="s">
        <v>1797</v>
      </c>
      <c r="C1120" s="12" t="s">
        <v>1798</v>
      </c>
      <c r="D1120" s="13" t="n">
        <v>0.0110135416666667</v>
      </c>
      <c r="E1120" s="14" t="n">
        <v>1115</v>
      </c>
      <c r="F1120" s="15" t="n">
        <f aca="false">IF(D1120="","",ROUND((D1120-MIN($D$7:$D$9999))*86400,2))</f>
        <v>161.83</v>
      </c>
      <c r="G1120" s="10" t="str">
        <f aca="false">IF(D1120="","",IF(D1120&lt;=($E$3*60+$F$3)/86400,"○",""))</f>
        <v/>
      </c>
      <c r="H1120" s="16"/>
      <c r="I1120" s="17"/>
      <c r="J1120" s="16"/>
      <c r="K1120" s="17"/>
      <c r="L1120" s="17" t="n">
        <f aca="false">COUNT(E1120,I1120,K1120)</f>
        <v>1</v>
      </c>
      <c r="M1120" s="18" t="n">
        <f aca="false">(D1120&lt;&gt;"")*(D1120&lt;=($E$3*60+$F$3)/86400)+(H1120&lt;&gt;"")*(H1120&lt;=($I$3*60+$J$3)/86400)+(J1120&lt;&gt;"")*(J1120&lt;=($M$3*60+$N$3)/86400)</f>
        <v>0</v>
      </c>
      <c r="N1120" s="20"/>
      <c r="O1120" s="20"/>
      <c r="P1120" s="20"/>
      <c r="Q1120" s="19"/>
    </row>
    <row r="1121" customFormat="false" ht="15" hidden="false" customHeight="false" outlineLevel="0" collapsed="false">
      <c r="A1121" s="10" t="n">
        <v>1115</v>
      </c>
      <c r="B1121" s="11" t="s">
        <v>1799</v>
      </c>
      <c r="C1121" s="12" t="s">
        <v>269</v>
      </c>
      <c r="D1121" s="13" t="n">
        <v>0.0110138888888889</v>
      </c>
      <c r="E1121" s="14" t="n">
        <v>1116</v>
      </c>
      <c r="F1121" s="15" t="n">
        <f aca="false">IF(D1121="","",ROUND((D1121-MIN($D$7:$D$9999))*86400,2))</f>
        <v>161.86</v>
      </c>
      <c r="G1121" s="10" t="str">
        <f aca="false">IF(D1121="","",IF(D1121&lt;=($E$3*60+$F$3)/86400,"○",""))</f>
        <v/>
      </c>
      <c r="H1121" s="16"/>
      <c r="I1121" s="17"/>
      <c r="J1121" s="16"/>
      <c r="K1121" s="17"/>
      <c r="L1121" s="17" t="n">
        <f aca="false">COUNT(E1121,I1121,K1121)</f>
        <v>1</v>
      </c>
      <c r="M1121" s="18" t="n">
        <f aca="false">(D1121&lt;&gt;"")*(D1121&lt;=($E$3*60+$F$3)/86400)+(H1121&lt;&gt;"")*(H1121&lt;=($I$3*60+$J$3)/86400)+(J1121&lt;&gt;"")*(J1121&lt;=($M$3*60+$N$3)/86400)</f>
        <v>0</v>
      </c>
      <c r="N1121" s="20"/>
      <c r="O1121" s="20"/>
      <c r="P1121" s="20"/>
      <c r="Q1121" s="19"/>
    </row>
    <row r="1122" customFormat="false" ht="15" hidden="false" customHeight="false" outlineLevel="0" collapsed="false">
      <c r="A1122" s="10" t="n">
        <v>1116</v>
      </c>
      <c r="B1122" s="11" t="s">
        <v>1800</v>
      </c>
      <c r="C1122" s="12" t="s">
        <v>1801</v>
      </c>
      <c r="D1122" s="13" t="n">
        <v>0.0110141203703704</v>
      </c>
      <c r="E1122" s="14" t="n">
        <v>1117</v>
      </c>
      <c r="F1122" s="15" t="n">
        <f aca="false">IF(D1122="","",ROUND((D1122-MIN($D$7:$D$9999))*86400,2))</f>
        <v>161.88</v>
      </c>
      <c r="G1122" s="10" t="str">
        <f aca="false">IF(D1122="","",IF(D1122&lt;=($E$3*60+$F$3)/86400,"○",""))</f>
        <v/>
      </c>
      <c r="H1122" s="16" t="n">
        <v>0.00680150462962963</v>
      </c>
      <c r="I1122" s="17" t="n">
        <v>173</v>
      </c>
      <c r="J1122" s="16"/>
      <c r="K1122" s="17"/>
      <c r="L1122" s="17" t="n">
        <f aca="false">COUNT(E1122,I1122,K1122)</f>
        <v>2</v>
      </c>
      <c r="M1122" s="18" t="n">
        <f aca="false">(D1122&lt;&gt;"")*(D1122&lt;=($E$3*60+$F$3)/86400)+(H1122&lt;&gt;"")*(H1122&lt;=($I$3*60+$J$3)/86400)+(J1122&lt;&gt;"")*(J1122&lt;=($M$3*60+$N$3)/86400)</f>
        <v>0</v>
      </c>
      <c r="N1122" s="20"/>
      <c r="O1122" s="20"/>
      <c r="P1122" s="20"/>
      <c r="Q1122" s="19"/>
    </row>
    <row r="1123" customFormat="false" ht="15" hidden="false" customHeight="false" outlineLevel="0" collapsed="false">
      <c r="A1123" s="10" t="n">
        <v>1117</v>
      </c>
      <c r="B1123" s="11" t="s">
        <v>1802</v>
      </c>
      <c r="C1123" s="12" t="s">
        <v>1803</v>
      </c>
      <c r="D1123" s="13" t="n">
        <v>0.011015162037037</v>
      </c>
      <c r="E1123" s="14" t="n">
        <v>1118</v>
      </c>
      <c r="F1123" s="15" t="n">
        <f aca="false">IF(D1123="","",ROUND((D1123-MIN($D$7:$D$9999))*86400,2))</f>
        <v>161.97</v>
      </c>
      <c r="G1123" s="10" t="str">
        <f aca="false">IF(D1123="","",IF(D1123&lt;=($E$3*60+$F$3)/86400,"○",""))</f>
        <v/>
      </c>
      <c r="H1123" s="16" t="n">
        <v>0.00704675925925926</v>
      </c>
      <c r="I1123" s="17" t="n">
        <v>387</v>
      </c>
      <c r="J1123" s="16" t="n">
        <v>0.00292349537037037</v>
      </c>
      <c r="K1123" s="17" t="n">
        <v>1133</v>
      </c>
      <c r="L1123" s="17" t="n">
        <f aca="false">COUNT(E1123,I1123,K1123)</f>
        <v>3</v>
      </c>
      <c r="M1123" s="18" t="n">
        <f aca="false">(D1123&lt;&gt;"")*(D1123&lt;=($E$3*60+$F$3)/86400)+(H1123&lt;&gt;"")*(H1123&lt;=($I$3*60+$J$3)/86400)+(J1123&lt;&gt;"")*(J1123&lt;=($M$3*60+$N$3)/86400)</f>
        <v>0</v>
      </c>
      <c r="N1123" s="20" t="s">
        <v>1804</v>
      </c>
      <c r="O1123" s="20"/>
      <c r="P1123" s="20"/>
      <c r="Q1123" s="19"/>
    </row>
    <row r="1124" customFormat="false" ht="15" hidden="false" customHeight="false" outlineLevel="0" collapsed="false">
      <c r="A1124" s="10" t="n">
        <v>1118</v>
      </c>
      <c r="B1124" s="11" t="s">
        <v>1805</v>
      </c>
      <c r="C1124" s="12" t="s">
        <v>1286</v>
      </c>
      <c r="D1124" s="13" t="n">
        <v>0.0110159722222222</v>
      </c>
      <c r="E1124" s="14" t="n">
        <v>1119</v>
      </c>
      <c r="F1124" s="15" t="n">
        <f aca="false">IF(D1124="","",ROUND((D1124-MIN($D$7:$D$9999))*86400,2))</f>
        <v>162.04</v>
      </c>
      <c r="G1124" s="10" t="str">
        <f aca="false">IF(D1124="","",IF(D1124&lt;=($E$3*60+$F$3)/86400,"○",""))</f>
        <v/>
      </c>
      <c r="H1124" s="16"/>
      <c r="I1124" s="17"/>
      <c r="J1124" s="16" t="n">
        <v>0.00281956018518519</v>
      </c>
      <c r="K1124" s="17" t="n">
        <v>361</v>
      </c>
      <c r="L1124" s="17" t="n">
        <f aca="false">COUNT(E1124,I1124,K1124)</f>
        <v>2</v>
      </c>
      <c r="M1124" s="18" t="n">
        <f aca="false">(D1124&lt;&gt;"")*(D1124&lt;=($E$3*60+$F$3)/86400)+(H1124&lt;&gt;"")*(H1124&lt;=($I$3*60+$J$3)/86400)+(J1124&lt;&gt;"")*(J1124&lt;=($M$3*60+$N$3)/86400)</f>
        <v>0</v>
      </c>
      <c r="N1124" s="20"/>
      <c r="O1124" s="20"/>
      <c r="P1124" s="20"/>
      <c r="Q1124" s="19"/>
    </row>
    <row r="1125" customFormat="false" ht="15" hidden="false" customHeight="false" outlineLevel="0" collapsed="false">
      <c r="A1125" s="10" t="n">
        <v>1119</v>
      </c>
      <c r="B1125" s="11" t="s">
        <v>1806</v>
      </c>
      <c r="C1125" s="12" t="s">
        <v>1807</v>
      </c>
      <c r="D1125" s="13" t="n">
        <v>0.0110162037037037</v>
      </c>
      <c r="E1125" s="14" t="n">
        <v>1120</v>
      </c>
      <c r="F1125" s="15" t="n">
        <f aca="false">IF(D1125="","",ROUND((D1125-MIN($D$7:$D$9999))*86400,2))</f>
        <v>162.06</v>
      </c>
      <c r="G1125" s="10" t="str">
        <f aca="false">IF(D1125="","",IF(D1125&lt;=($E$3*60+$F$3)/86400,"○",""))</f>
        <v/>
      </c>
      <c r="H1125" s="16" t="n">
        <v>0.00754918981481482</v>
      </c>
      <c r="I1125" s="17" t="n">
        <v>957</v>
      </c>
      <c r="J1125" s="16"/>
      <c r="K1125" s="17"/>
      <c r="L1125" s="17" t="n">
        <f aca="false">COUNT(E1125,I1125,K1125)</f>
        <v>2</v>
      </c>
      <c r="M1125" s="18" t="n">
        <f aca="false">(D1125&lt;&gt;"")*(D1125&lt;=($E$3*60+$F$3)/86400)+(H1125&lt;&gt;"")*(H1125&lt;=($I$3*60+$J$3)/86400)+(J1125&lt;&gt;"")*(J1125&lt;=($M$3*60+$N$3)/86400)</f>
        <v>0</v>
      </c>
      <c r="N1125" s="20" t="s">
        <v>1808</v>
      </c>
      <c r="O1125" s="20"/>
      <c r="P1125" s="20"/>
      <c r="Q1125" s="19"/>
    </row>
    <row r="1126" customFormat="false" ht="15" hidden="false" customHeight="false" outlineLevel="0" collapsed="false">
      <c r="A1126" s="10" t="n">
        <v>1120</v>
      </c>
      <c r="B1126" s="11" t="s">
        <v>1809</v>
      </c>
      <c r="C1126" s="12" t="s">
        <v>629</v>
      </c>
      <c r="D1126" s="13" t="n">
        <v>0.0110163194444444</v>
      </c>
      <c r="E1126" s="14" t="n">
        <v>1121</v>
      </c>
      <c r="F1126" s="15" t="n">
        <f aca="false">IF(D1126="","",ROUND((D1126-MIN($D$7:$D$9999))*86400,2))</f>
        <v>162.07</v>
      </c>
      <c r="G1126" s="10" t="str">
        <f aca="false">IF(D1126="","",IF(D1126&lt;=($E$3*60+$F$3)/86400,"○",""))</f>
        <v/>
      </c>
      <c r="H1126" s="16"/>
      <c r="I1126" s="17"/>
      <c r="J1126" s="16" t="n">
        <v>0.00275289351851852</v>
      </c>
      <c r="K1126" s="17" t="n">
        <v>110</v>
      </c>
      <c r="L1126" s="17" t="n">
        <f aca="false">COUNT(E1126,I1126,K1126)</f>
        <v>2</v>
      </c>
      <c r="M1126" s="18" t="n">
        <f aca="false">(D1126&lt;&gt;"")*(D1126&lt;=($E$3*60+$F$3)/86400)+(H1126&lt;&gt;"")*(H1126&lt;=($I$3*60+$J$3)/86400)+(J1126&lt;&gt;"")*(J1126&lt;=($M$3*60+$N$3)/86400)</f>
        <v>0</v>
      </c>
      <c r="N1126" s="20"/>
      <c r="O1126" s="20"/>
      <c r="P1126" s="20"/>
      <c r="Q1126" s="19"/>
    </row>
    <row r="1127" customFormat="false" ht="15" hidden="false" customHeight="false" outlineLevel="0" collapsed="false">
      <c r="A1127" s="10" t="n">
        <v>1121</v>
      </c>
      <c r="B1127" s="11" t="s">
        <v>1810</v>
      </c>
      <c r="C1127" s="12" t="s">
        <v>65</v>
      </c>
      <c r="D1127" s="13" t="n">
        <v>0.0110171296296296</v>
      </c>
      <c r="E1127" s="14" t="n">
        <v>1122</v>
      </c>
      <c r="F1127" s="15" t="n">
        <f aca="false">IF(D1127="","",ROUND((D1127-MIN($D$7:$D$9999))*86400,2))</f>
        <v>162.14</v>
      </c>
      <c r="G1127" s="10" t="str">
        <f aca="false">IF(D1127="","",IF(D1127&lt;=($E$3*60+$F$3)/86400,"○",""))</f>
        <v/>
      </c>
      <c r="H1127" s="16" t="n">
        <v>0.00709490740740741</v>
      </c>
      <c r="I1127" s="17" t="n">
        <v>442</v>
      </c>
      <c r="J1127" s="16" t="n">
        <v>0.00297152777777778</v>
      </c>
      <c r="K1127" s="17" t="n">
        <v>1315</v>
      </c>
      <c r="L1127" s="17" t="n">
        <f aca="false">COUNT(E1127,I1127,K1127)</f>
        <v>3</v>
      </c>
      <c r="M1127" s="18" t="n">
        <f aca="false">(D1127&lt;&gt;"")*(D1127&lt;=($E$3*60+$F$3)/86400)+(H1127&lt;&gt;"")*(H1127&lt;=($I$3*60+$J$3)/86400)+(J1127&lt;&gt;"")*(J1127&lt;=($M$3*60+$N$3)/86400)</f>
        <v>0</v>
      </c>
      <c r="N1127" s="20"/>
      <c r="O1127" s="20"/>
      <c r="P1127" s="20"/>
      <c r="Q1127" s="19"/>
    </row>
    <row r="1128" customFormat="false" ht="15" hidden="false" customHeight="false" outlineLevel="0" collapsed="false">
      <c r="A1128" s="10" t="n">
        <v>1122</v>
      </c>
      <c r="B1128" s="11" t="s">
        <v>1811</v>
      </c>
      <c r="C1128" s="12" t="s">
        <v>297</v>
      </c>
      <c r="D1128" s="13" t="n">
        <v>0.0110174768518519</v>
      </c>
      <c r="E1128" s="14" t="n">
        <v>1123</v>
      </c>
      <c r="F1128" s="15" t="n">
        <f aca="false">IF(D1128="","",ROUND((D1128-MIN($D$7:$D$9999))*86400,2))</f>
        <v>162.17</v>
      </c>
      <c r="G1128" s="10" t="str">
        <f aca="false">IF(D1128="","",IF(D1128&lt;=($E$3*60+$F$3)/86400,"○",""))</f>
        <v/>
      </c>
      <c r="H1128" s="16"/>
      <c r="I1128" s="17"/>
      <c r="J1128" s="16" t="n">
        <v>0.00293009259259259</v>
      </c>
      <c r="K1128" s="17" t="n">
        <v>1174</v>
      </c>
      <c r="L1128" s="17" t="n">
        <f aca="false">COUNT(E1128,I1128,K1128)</f>
        <v>2</v>
      </c>
      <c r="M1128" s="18" t="n">
        <f aca="false">(D1128&lt;&gt;"")*(D1128&lt;=($E$3*60+$F$3)/86400)+(H1128&lt;&gt;"")*(H1128&lt;=($I$3*60+$J$3)/86400)+(J1128&lt;&gt;"")*(J1128&lt;=($M$3*60+$N$3)/86400)</f>
        <v>0</v>
      </c>
      <c r="N1128" s="20"/>
      <c r="O1128" s="20"/>
      <c r="P1128" s="20"/>
      <c r="Q1128" s="19"/>
    </row>
    <row r="1129" customFormat="false" ht="15" hidden="false" customHeight="false" outlineLevel="0" collapsed="false">
      <c r="A1129" s="10" t="n">
        <v>1123</v>
      </c>
      <c r="B1129" s="11" t="s">
        <v>1812</v>
      </c>
      <c r="C1129" s="12" t="s">
        <v>1813</v>
      </c>
      <c r="D1129" s="13" t="n">
        <v>0.0110175925925926</v>
      </c>
      <c r="E1129" s="14" t="n">
        <v>1124</v>
      </c>
      <c r="F1129" s="15" t="n">
        <f aca="false">IF(D1129="","",ROUND((D1129-MIN($D$7:$D$9999))*86400,2))</f>
        <v>162.18</v>
      </c>
      <c r="G1129" s="10" t="str">
        <f aca="false">IF(D1129="","",IF(D1129&lt;=($E$3*60+$F$3)/86400,"○",""))</f>
        <v/>
      </c>
      <c r="H1129" s="16" t="n">
        <v>0.00741400462962963</v>
      </c>
      <c r="I1129" s="17" t="n">
        <v>786</v>
      </c>
      <c r="J1129" s="16" t="n">
        <v>0.00284386574074074</v>
      </c>
      <c r="K1129" s="17" t="n">
        <v>523</v>
      </c>
      <c r="L1129" s="17" t="n">
        <f aca="false">COUNT(E1129,I1129,K1129)</f>
        <v>3</v>
      </c>
      <c r="M1129" s="18" t="n">
        <f aca="false">(D1129&lt;&gt;"")*(D1129&lt;=($E$3*60+$F$3)/86400)+(H1129&lt;&gt;"")*(H1129&lt;=($I$3*60+$J$3)/86400)+(J1129&lt;&gt;"")*(J1129&lt;=($M$3*60+$N$3)/86400)</f>
        <v>0</v>
      </c>
      <c r="N1129" s="20"/>
      <c r="O1129" s="20"/>
      <c r="P1129" s="20"/>
      <c r="Q1129" s="19"/>
    </row>
    <row r="1130" customFormat="false" ht="15" hidden="false" customHeight="false" outlineLevel="0" collapsed="false">
      <c r="A1130" s="10" t="n">
        <v>1124</v>
      </c>
      <c r="B1130" s="11" t="s">
        <v>1814</v>
      </c>
      <c r="C1130" s="12" t="s">
        <v>333</v>
      </c>
      <c r="D1130" s="13" t="n">
        <v>0.0110180555555556</v>
      </c>
      <c r="E1130" s="14" t="n">
        <v>1125</v>
      </c>
      <c r="F1130" s="15" t="n">
        <f aca="false">IF(D1130="","",ROUND((D1130-MIN($D$7:$D$9999))*86400,2))</f>
        <v>162.22</v>
      </c>
      <c r="G1130" s="10" t="str">
        <f aca="false">IF(D1130="","",IF(D1130&lt;=($E$3*60+$F$3)/86400,"○",""))</f>
        <v/>
      </c>
      <c r="H1130" s="16" t="n">
        <v>0.00719201388888889</v>
      </c>
      <c r="I1130" s="17" t="n">
        <v>531</v>
      </c>
      <c r="J1130" s="16"/>
      <c r="K1130" s="17"/>
      <c r="L1130" s="17" t="n">
        <f aca="false">COUNT(E1130,I1130,K1130)</f>
        <v>2</v>
      </c>
      <c r="M1130" s="18" t="n">
        <f aca="false">(D1130&lt;&gt;"")*(D1130&lt;=($E$3*60+$F$3)/86400)+(H1130&lt;&gt;"")*(H1130&lt;=($I$3*60+$J$3)/86400)+(J1130&lt;&gt;"")*(J1130&lt;=($M$3*60+$N$3)/86400)</f>
        <v>0</v>
      </c>
      <c r="N1130" s="20" t="s">
        <v>1815</v>
      </c>
      <c r="O1130" s="20"/>
      <c r="P1130" s="12" t="s">
        <v>1816</v>
      </c>
      <c r="Q1130" s="19"/>
    </row>
    <row r="1131" customFormat="false" ht="15" hidden="false" customHeight="false" outlineLevel="0" collapsed="false">
      <c r="A1131" s="10" t="n">
        <v>1125</v>
      </c>
      <c r="B1131" s="11" t="s">
        <v>1817</v>
      </c>
      <c r="C1131" s="12" t="s">
        <v>417</v>
      </c>
      <c r="D1131" s="13" t="n">
        <v>0.011018287037037</v>
      </c>
      <c r="E1131" s="14" t="n">
        <v>1126</v>
      </c>
      <c r="F1131" s="15" t="n">
        <f aca="false">IF(D1131="","",ROUND((D1131-MIN($D$7:$D$9999))*86400,2))</f>
        <v>162.24</v>
      </c>
      <c r="G1131" s="10" t="str">
        <f aca="false">IF(D1131="","",IF(D1131&lt;=($E$3*60+$F$3)/86400,"○",""))</f>
        <v/>
      </c>
      <c r="H1131" s="16" t="n">
        <v>0.00677627314814815</v>
      </c>
      <c r="I1131" s="17" t="n">
        <v>153</v>
      </c>
      <c r="J1131" s="16"/>
      <c r="K1131" s="17"/>
      <c r="L1131" s="17" t="n">
        <f aca="false">COUNT(E1131,I1131,K1131)</f>
        <v>2</v>
      </c>
      <c r="M1131" s="18" t="n">
        <f aca="false">(D1131&lt;&gt;"")*(D1131&lt;=($E$3*60+$F$3)/86400)+(H1131&lt;&gt;"")*(H1131&lt;=($I$3*60+$J$3)/86400)+(J1131&lt;&gt;"")*(J1131&lt;=($M$3*60+$N$3)/86400)</f>
        <v>0</v>
      </c>
      <c r="N1131" s="20"/>
      <c r="O1131" s="20"/>
      <c r="P1131" s="20"/>
      <c r="Q1131" s="19"/>
    </row>
    <row r="1132" customFormat="false" ht="15" hidden="false" customHeight="false" outlineLevel="0" collapsed="false">
      <c r="A1132" s="10" t="n">
        <v>1126</v>
      </c>
      <c r="B1132" s="11" t="s">
        <v>1818</v>
      </c>
      <c r="C1132" s="12" t="s">
        <v>1819</v>
      </c>
      <c r="D1132" s="13" t="n">
        <v>0.01101875</v>
      </c>
      <c r="E1132" s="14" t="n">
        <v>1127</v>
      </c>
      <c r="F1132" s="15" t="n">
        <f aca="false">IF(D1132="","",ROUND((D1132-MIN($D$7:$D$9999))*86400,2))</f>
        <v>162.28</v>
      </c>
      <c r="G1132" s="10" t="str">
        <f aca="false">IF(D1132="","",IF(D1132&lt;=($E$3*60+$F$3)/86400,"○",""))</f>
        <v/>
      </c>
      <c r="H1132" s="16"/>
      <c r="I1132" s="17"/>
      <c r="J1132" s="16" t="n">
        <v>0.00287280092592593</v>
      </c>
      <c r="K1132" s="17" t="n">
        <v>720</v>
      </c>
      <c r="L1132" s="17" t="n">
        <f aca="false">COUNT(E1132,I1132,K1132)</f>
        <v>2</v>
      </c>
      <c r="M1132" s="18" t="n">
        <f aca="false">(D1132&lt;&gt;"")*(D1132&lt;=($E$3*60+$F$3)/86400)+(H1132&lt;&gt;"")*(H1132&lt;=($I$3*60+$J$3)/86400)+(J1132&lt;&gt;"")*(J1132&lt;=($M$3*60+$N$3)/86400)</f>
        <v>0</v>
      </c>
      <c r="N1132" s="20"/>
      <c r="O1132" s="20"/>
      <c r="P1132" s="20"/>
      <c r="Q1132" s="19"/>
    </row>
    <row r="1133" customFormat="false" ht="15" hidden="false" customHeight="false" outlineLevel="0" collapsed="false">
      <c r="A1133" s="10" t="n">
        <v>1127</v>
      </c>
      <c r="B1133" s="11" t="s">
        <v>1820</v>
      </c>
      <c r="C1133" s="12" t="s">
        <v>1821</v>
      </c>
      <c r="D1133" s="13" t="n">
        <v>0.0110190972222222</v>
      </c>
      <c r="E1133" s="14" t="n">
        <v>1128</v>
      </c>
      <c r="F1133" s="15" t="n">
        <f aca="false">IF(D1133="","",ROUND((D1133-MIN($D$7:$D$9999))*86400,2))</f>
        <v>162.31</v>
      </c>
      <c r="G1133" s="10" t="str">
        <f aca="false">IF(D1133="","",IF(D1133&lt;=($E$3*60+$F$3)/86400,"○",""))</f>
        <v/>
      </c>
      <c r="H1133" s="16"/>
      <c r="I1133" s="17"/>
      <c r="J1133" s="16" t="n">
        <v>0.0028869212962963</v>
      </c>
      <c r="K1133" s="17" t="n">
        <v>833</v>
      </c>
      <c r="L1133" s="17" t="n">
        <f aca="false">COUNT(E1133,I1133,K1133)</f>
        <v>2</v>
      </c>
      <c r="M1133" s="18" t="n">
        <f aca="false">(D1133&lt;&gt;"")*(D1133&lt;=($E$3*60+$F$3)/86400)+(H1133&lt;&gt;"")*(H1133&lt;=($I$3*60+$J$3)/86400)+(J1133&lt;&gt;"")*(J1133&lt;=($M$3*60+$N$3)/86400)</f>
        <v>0</v>
      </c>
      <c r="N1133" s="20"/>
      <c r="O1133" s="20"/>
      <c r="P1133" s="20"/>
      <c r="Q1133" s="19"/>
    </row>
    <row r="1134" customFormat="false" ht="15" hidden="false" customHeight="false" outlineLevel="0" collapsed="false">
      <c r="A1134" s="10" t="n">
        <v>1128</v>
      </c>
      <c r="B1134" s="11" t="s">
        <v>1822</v>
      </c>
      <c r="C1134" s="12" t="s">
        <v>417</v>
      </c>
      <c r="D1134" s="13" t="n">
        <v>0.0110193287037037</v>
      </c>
      <c r="E1134" s="14" t="n">
        <v>1129</v>
      </c>
      <c r="F1134" s="15" t="n">
        <f aca="false">IF(D1134="","",ROUND((D1134-MIN($D$7:$D$9999))*86400,2))</f>
        <v>162.33</v>
      </c>
      <c r="G1134" s="10" t="str">
        <f aca="false">IF(D1134="","",IF(D1134&lt;=($E$3*60+$F$3)/86400,"○",""))</f>
        <v/>
      </c>
      <c r="H1134" s="16"/>
      <c r="I1134" s="17"/>
      <c r="J1134" s="16"/>
      <c r="K1134" s="17"/>
      <c r="L1134" s="17" t="n">
        <f aca="false">COUNT(E1134,I1134,K1134)</f>
        <v>1</v>
      </c>
      <c r="M1134" s="18" t="n">
        <f aca="false">(D1134&lt;&gt;"")*(D1134&lt;=($E$3*60+$F$3)/86400)+(H1134&lt;&gt;"")*(H1134&lt;=($I$3*60+$J$3)/86400)+(J1134&lt;&gt;"")*(J1134&lt;=($M$3*60+$N$3)/86400)</f>
        <v>0</v>
      </c>
      <c r="N1134" s="20"/>
      <c r="O1134" s="20"/>
      <c r="P1134" s="20"/>
      <c r="Q1134" s="19"/>
    </row>
    <row r="1135" customFormat="false" ht="15" hidden="false" customHeight="false" outlineLevel="0" collapsed="false">
      <c r="A1135" s="10" t="n">
        <v>1129</v>
      </c>
      <c r="B1135" s="11" t="s">
        <v>1823</v>
      </c>
      <c r="C1135" s="12" t="s">
        <v>253</v>
      </c>
      <c r="D1135" s="13" t="n">
        <v>0.0110204861111111</v>
      </c>
      <c r="E1135" s="14" t="n">
        <v>1130</v>
      </c>
      <c r="F1135" s="15" t="n">
        <f aca="false">IF(D1135="","",ROUND((D1135-MIN($D$7:$D$9999))*86400,2))</f>
        <v>162.43</v>
      </c>
      <c r="G1135" s="10" t="str">
        <f aca="false">IF(D1135="","",IF(D1135&lt;=($E$3*60+$F$3)/86400,"○",""))</f>
        <v/>
      </c>
      <c r="H1135" s="16"/>
      <c r="I1135" s="17"/>
      <c r="J1135" s="16"/>
      <c r="K1135" s="17"/>
      <c r="L1135" s="17" t="n">
        <f aca="false">COUNT(E1135,I1135,K1135)</f>
        <v>1</v>
      </c>
      <c r="M1135" s="18" t="n">
        <f aca="false">(D1135&lt;&gt;"")*(D1135&lt;=($E$3*60+$F$3)/86400)+(H1135&lt;&gt;"")*(H1135&lt;=($I$3*60+$J$3)/86400)+(J1135&lt;&gt;"")*(J1135&lt;=($M$3*60+$N$3)/86400)</f>
        <v>0</v>
      </c>
      <c r="N1135" s="20"/>
      <c r="O1135" s="20"/>
      <c r="P1135" s="20"/>
      <c r="Q1135" s="19"/>
    </row>
    <row r="1136" customFormat="false" ht="15" hidden="false" customHeight="false" outlineLevel="0" collapsed="false">
      <c r="A1136" s="10" t="n">
        <v>1130</v>
      </c>
      <c r="B1136" s="11" t="s">
        <v>1824</v>
      </c>
      <c r="C1136" s="12" t="s">
        <v>599</v>
      </c>
      <c r="D1136" s="13" t="n">
        <v>0.0110209490740741</v>
      </c>
      <c r="E1136" s="14" t="n">
        <v>1131</v>
      </c>
      <c r="F1136" s="15" t="n">
        <f aca="false">IF(D1136="","",ROUND((D1136-MIN($D$7:$D$9999))*86400,2))</f>
        <v>162.47</v>
      </c>
      <c r="G1136" s="10" t="str">
        <f aca="false">IF(D1136="","",IF(D1136&lt;=($E$3*60+$F$3)/86400,"○",""))</f>
        <v/>
      </c>
      <c r="H1136" s="16" t="n">
        <v>0.00698761574074074</v>
      </c>
      <c r="I1136" s="17" t="n">
        <v>322</v>
      </c>
      <c r="J1136" s="16" t="n">
        <v>0.00286261574074074</v>
      </c>
      <c r="K1136" s="17" t="n">
        <v>653</v>
      </c>
      <c r="L1136" s="17" t="n">
        <f aca="false">COUNT(E1136,I1136,K1136)</f>
        <v>3</v>
      </c>
      <c r="M1136" s="18" t="n">
        <f aca="false">(D1136&lt;&gt;"")*(D1136&lt;=($E$3*60+$F$3)/86400)+(H1136&lt;&gt;"")*(H1136&lt;=($I$3*60+$J$3)/86400)+(J1136&lt;&gt;"")*(J1136&lt;=($M$3*60+$N$3)/86400)</f>
        <v>0</v>
      </c>
      <c r="N1136" s="20"/>
      <c r="O1136" s="20"/>
      <c r="P1136" s="20"/>
      <c r="Q1136" s="19"/>
    </row>
    <row r="1137" customFormat="false" ht="15" hidden="false" customHeight="false" outlineLevel="0" collapsed="false">
      <c r="A1137" s="10" t="n">
        <v>1131</v>
      </c>
      <c r="B1137" s="11" t="s">
        <v>1825</v>
      </c>
      <c r="C1137" s="12" t="s">
        <v>463</v>
      </c>
      <c r="D1137" s="13" t="n">
        <v>0.0110216435185185</v>
      </c>
      <c r="E1137" s="14" t="n">
        <v>1132</v>
      </c>
      <c r="F1137" s="15" t="n">
        <f aca="false">IF(D1137="","",ROUND((D1137-MIN($D$7:$D$9999))*86400,2))</f>
        <v>162.53</v>
      </c>
      <c r="G1137" s="10" t="str">
        <f aca="false">IF(D1137="","",IF(D1137&lt;=($E$3*60+$F$3)/86400,"○",""))</f>
        <v/>
      </c>
      <c r="H1137" s="16" t="n">
        <v>0.00707256944444445</v>
      </c>
      <c r="I1137" s="17" t="n">
        <v>418</v>
      </c>
      <c r="J1137" s="16"/>
      <c r="K1137" s="17"/>
      <c r="L1137" s="17" t="n">
        <f aca="false">COUNT(E1137,I1137,K1137)</f>
        <v>2</v>
      </c>
      <c r="M1137" s="18" t="n">
        <f aca="false">(D1137&lt;&gt;"")*(D1137&lt;=($E$3*60+$F$3)/86400)+(H1137&lt;&gt;"")*(H1137&lt;=($I$3*60+$J$3)/86400)+(J1137&lt;&gt;"")*(J1137&lt;=($M$3*60+$N$3)/86400)</f>
        <v>0</v>
      </c>
      <c r="N1137" s="20"/>
      <c r="O1137" s="20"/>
      <c r="P1137" s="20"/>
      <c r="Q1137" s="19"/>
    </row>
    <row r="1138" customFormat="false" ht="15" hidden="false" customHeight="false" outlineLevel="0" collapsed="false">
      <c r="A1138" s="10" t="n">
        <v>1132</v>
      </c>
      <c r="B1138" s="11" t="s">
        <v>1826</v>
      </c>
      <c r="C1138" s="12" t="s">
        <v>1586</v>
      </c>
      <c r="D1138" s="13" t="n">
        <v>0.011021875</v>
      </c>
      <c r="E1138" s="14" t="n">
        <v>1133</v>
      </c>
      <c r="F1138" s="15" t="n">
        <f aca="false">IF(D1138="","",ROUND((D1138-MIN($D$7:$D$9999))*86400,2))</f>
        <v>162.55</v>
      </c>
      <c r="G1138" s="10" t="str">
        <f aca="false">IF(D1138="","",IF(D1138&lt;=($E$3*60+$F$3)/86400,"○",""))</f>
        <v/>
      </c>
      <c r="H1138" s="16"/>
      <c r="I1138" s="17"/>
      <c r="J1138" s="16"/>
      <c r="K1138" s="17"/>
      <c r="L1138" s="17" t="n">
        <f aca="false">COUNT(E1138,I1138,K1138)</f>
        <v>1</v>
      </c>
      <c r="M1138" s="18" t="n">
        <f aca="false">(D1138&lt;&gt;"")*(D1138&lt;=($E$3*60+$F$3)/86400)+(H1138&lt;&gt;"")*(H1138&lt;=($I$3*60+$J$3)/86400)+(J1138&lt;&gt;"")*(J1138&lt;=($M$3*60+$N$3)/86400)</f>
        <v>0</v>
      </c>
      <c r="N1138" s="20" t="s">
        <v>1827</v>
      </c>
      <c r="O1138" s="20"/>
      <c r="P1138" s="20"/>
      <c r="Q1138" s="19"/>
    </row>
    <row r="1139" customFormat="false" ht="15" hidden="false" customHeight="false" outlineLevel="0" collapsed="false">
      <c r="A1139" s="10" t="n">
        <v>1133</v>
      </c>
      <c r="B1139" s="11" t="s">
        <v>1828</v>
      </c>
      <c r="C1139" s="12" t="s">
        <v>1829</v>
      </c>
      <c r="D1139" s="13" t="n">
        <v>0.0110221064814815</v>
      </c>
      <c r="E1139" s="14" t="n">
        <v>1134</v>
      </c>
      <c r="F1139" s="15" t="n">
        <f aca="false">IF(D1139="","",ROUND((D1139-MIN($D$7:$D$9999))*86400,2))</f>
        <v>162.57</v>
      </c>
      <c r="G1139" s="10" t="str">
        <f aca="false">IF(D1139="","",IF(D1139&lt;=($E$3*60+$F$3)/86400,"○",""))</f>
        <v/>
      </c>
      <c r="H1139" s="16"/>
      <c r="I1139" s="17"/>
      <c r="J1139" s="16" t="n">
        <v>0.00285625</v>
      </c>
      <c r="K1139" s="17" t="n">
        <v>611</v>
      </c>
      <c r="L1139" s="17" t="n">
        <f aca="false">COUNT(E1139,I1139,K1139)</f>
        <v>2</v>
      </c>
      <c r="M1139" s="18" t="n">
        <f aca="false">(D1139&lt;&gt;"")*(D1139&lt;=($E$3*60+$F$3)/86400)+(H1139&lt;&gt;"")*(H1139&lt;=($I$3*60+$J$3)/86400)+(J1139&lt;&gt;"")*(J1139&lt;=($M$3*60+$N$3)/86400)</f>
        <v>0</v>
      </c>
      <c r="N1139" s="20"/>
      <c r="O1139" s="20"/>
      <c r="P1139" s="20"/>
      <c r="Q1139" s="19"/>
    </row>
    <row r="1140" customFormat="false" ht="15" hidden="false" customHeight="false" outlineLevel="0" collapsed="false">
      <c r="A1140" s="10" t="n">
        <v>1134</v>
      </c>
      <c r="B1140" s="11" t="s">
        <v>1830</v>
      </c>
      <c r="C1140" s="12" t="s">
        <v>1769</v>
      </c>
      <c r="D1140" s="13" t="n">
        <v>0.0110225694444444</v>
      </c>
      <c r="E1140" s="14" t="n">
        <v>1135</v>
      </c>
      <c r="F1140" s="15" t="n">
        <f aca="false">IF(D1140="","",ROUND((D1140-MIN($D$7:$D$9999))*86400,2))</f>
        <v>162.61</v>
      </c>
      <c r="G1140" s="10" t="str">
        <f aca="false">IF(D1140="","",IF(D1140&lt;=($E$3*60+$F$3)/86400,"○",""))</f>
        <v/>
      </c>
      <c r="H1140" s="16"/>
      <c r="I1140" s="17"/>
      <c r="J1140" s="16"/>
      <c r="K1140" s="17"/>
      <c r="L1140" s="17" t="n">
        <f aca="false">COUNT(E1140,I1140,K1140)</f>
        <v>1</v>
      </c>
      <c r="M1140" s="18" t="n">
        <f aca="false">(D1140&lt;&gt;"")*(D1140&lt;=($E$3*60+$F$3)/86400)+(H1140&lt;&gt;"")*(H1140&lt;=($I$3*60+$J$3)/86400)+(J1140&lt;&gt;"")*(J1140&lt;=($M$3*60+$N$3)/86400)</f>
        <v>0</v>
      </c>
      <c r="N1140" s="20"/>
      <c r="O1140" s="20"/>
      <c r="P1140" s="20"/>
      <c r="Q1140" s="19"/>
    </row>
    <row r="1141" customFormat="false" ht="15" hidden="false" customHeight="false" outlineLevel="0" collapsed="false">
      <c r="A1141" s="10" t="n">
        <v>1135</v>
      </c>
      <c r="B1141" s="11" t="s">
        <v>1831</v>
      </c>
      <c r="C1141" s="12" t="s">
        <v>873</v>
      </c>
      <c r="D1141" s="13" t="n">
        <v>0.0110234953703704</v>
      </c>
      <c r="E1141" s="14" t="n">
        <v>1136</v>
      </c>
      <c r="F1141" s="15" t="n">
        <f aca="false">IF(D1141="","",ROUND((D1141-MIN($D$7:$D$9999))*86400,2))</f>
        <v>162.69</v>
      </c>
      <c r="G1141" s="10" t="str">
        <f aca="false">IF(D1141="","",IF(D1141&lt;=($E$3*60+$F$3)/86400,"○",""))</f>
        <v/>
      </c>
      <c r="H1141" s="16"/>
      <c r="I1141" s="17"/>
      <c r="J1141" s="16" t="n">
        <v>0.00287777777777778</v>
      </c>
      <c r="K1141" s="17" t="n">
        <v>751</v>
      </c>
      <c r="L1141" s="17" t="n">
        <f aca="false">COUNT(E1141,I1141,K1141)</f>
        <v>2</v>
      </c>
      <c r="M1141" s="18" t="n">
        <f aca="false">(D1141&lt;&gt;"")*(D1141&lt;=($E$3*60+$F$3)/86400)+(H1141&lt;&gt;"")*(H1141&lt;=($I$3*60+$J$3)/86400)+(J1141&lt;&gt;"")*(J1141&lt;=($M$3*60+$N$3)/86400)</f>
        <v>0</v>
      </c>
      <c r="N1141" s="20"/>
      <c r="O1141" s="20"/>
      <c r="P1141" s="20"/>
      <c r="Q1141" s="19"/>
    </row>
    <row r="1142" customFormat="false" ht="15" hidden="false" customHeight="false" outlineLevel="0" collapsed="false">
      <c r="A1142" s="10" t="n">
        <v>1136</v>
      </c>
      <c r="B1142" s="11" t="s">
        <v>1832</v>
      </c>
      <c r="C1142" s="12" t="s">
        <v>1833</v>
      </c>
      <c r="D1142" s="13" t="n">
        <v>0.011025</v>
      </c>
      <c r="E1142" s="14" t="n">
        <v>1137</v>
      </c>
      <c r="F1142" s="15" t="n">
        <f aca="false">IF(D1142="","",ROUND((D1142-MIN($D$7:$D$9999))*86400,2))</f>
        <v>162.82</v>
      </c>
      <c r="G1142" s="10" t="str">
        <f aca="false">IF(D1142="","",IF(D1142&lt;=($E$3*60+$F$3)/86400,"○",""))</f>
        <v/>
      </c>
      <c r="H1142" s="16"/>
      <c r="I1142" s="17"/>
      <c r="J1142" s="16" t="n">
        <v>0.00280960648148148</v>
      </c>
      <c r="K1142" s="17" t="n">
        <v>323</v>
      </c>
      <c r="L1142" s="17" t="n">
        <f aca="false">COUNT(E1142,I1142,K1142)</f>
        <v>2</v>
      </c>
      <c r="M1142" s="18" t="n">
        <f aca="false">(D1142&lt;&gt;"")*(D1142&lt;=($E$3*60+$F$3)/86400)+(H1142&lt;&gt;"")*(H1142&lt;=($I$3*60+$J$3)/86400)+(J1142&lt;&gt;"")*(J1142&lt;=($M$3*60+$N$3)/86400)</f>
        <v>0</v>
      </c>
      <c r="N1142" s="20"/>
      <c r="O1142" s="20"/>
      <c r="P1142" s="20"/>
      <c r="Q1142" s="19"/>
    </row>
    <row r="1143" customFormat="false" ht="15" hidden="false" customHeight="false" outlineLevel="0" collapsed="false">
      <c r="A1143" s="10" t="n">
        <v>1137</v>
      </c>
      <c r="B1143" s="11" t="s">
        <v>1834</v>
      </c>
      <c r="C1143" s="12" t="s">
        <v>157</v>
      </c>
      <c r="D1143" s="13" t="n">
        <v>0.0110253472222222</v>
      </c>
      <c r="E1143" s="14" t="n">
        <v>1138</v>
      </c>
      <c r="F1143" s="15" t="n">
        <f aca="false">IF(D1143="","",ROUND((D1143-MIN($D$7:$D$9999))*86400,2))</f>
        <v>162.85</v>
      </c>
      <c r="G1143" s="10" t="str">
        <f aca="false">IF(D1143="","",IF(D1143&lt;=($E$3*60+$F$3)/86400,"○",""))</f>
        <v/>
      </c>
      <c r="H1143" s="16"/>
      <c r="I1143" s="17"/>
      <c r="J1143" s="16"/>
      <c r="K1143" s="17"/>
      <c r="L1143" s="17" t="n">
        <f aca="false">COUNT(E1143,I1143,K1143)</f>
        <v>1</v>
      </c>
      <c r="M1143" s="18" t="n">
        <f aca="false">(D1143&lt;&gt;"")*(D1143&lt;=($E$3*60+$F$3)/86400)+(H1143&lt;&gt;"")*(H1143&lt;=($I$3*60+$J$3)/86400)+(J1143&lt;&gt;"")*(J1143&lt;=($M$3*60+$N$3)/86400)</f>
        <v>0</v>
      </c>
      <c r="N1143" s="20"/>
      <c r="O1143" s="20"/>
      <c r="P1143" s="20"/>
      <c r="Q1143" s="19"/>
    </row>
    <row r="1144" customFormat="false" ht="15" hidden="false" customHeight="false" outlineLevel="0" collapsed="false">
      <c r="A1144" s="10" t="n">
        <v>1138</v>
      </c>
      <c r="B1144" s="11" t="s">
        <v>1835</v>
      </c>
      <c r="C1144" s="12" t="s">
        <v>94</v>
      </c>
      <c r="D1144" s="13" t="n">
        <v>0.0110255787037037</v>
      </c>
      <c r="E1144" s="14" t="n">
        <v>1139</v>
      </c>
      <c r="F1144" s="15" t="n">
        <f aca="false">IF(D1144="","",ROUND((D1144-MIN($D$7:$D$9999))*86400,2))</f>
        <v>162.87</v>
      </c>
      <c r="G1144" s="10" t="str">
        <f aca="false">IF(D1144="","",IF(D1144&lt;=($E$3*60+$F$3)/86400,"○",""))</f>
        <v/>
      </c>
      <c r="H1144" s="16"/>
      <c r="I1144" s="17"/>
      <c r="J1144" s="16"/>
      <c r="K1144" s="17"/>
      <c r="L1144" s="17" t="n">
        <f aca="false">COUNT(E1144,I1144,K1144)</f>
        <v>1</v>
      </c>
      <c r="M1144" s="18" t="n">
        <f aca="false">(D1144&lt;&gt;"")*(D1144&lt;=($E$3*60+$F$3)/86400)+(H1144&lt;&gt;"")*(H1144&lt;=($I$3*60+$J$3)/86400)+(J1144&lt;&gt;"")*(J1144&lt;=($M$3*60+$N$3)/86400)</f>
        <v>0</v>
      </c>
      <c r="N1144" s="20"/>
      <c r="O1144" s="20"/>
      <c r="P1144" s="20"/>
      <c r="Q1144" s="19"/>
    </row>
    <row r="1145" customFormat="false" ht="15" hidden="false" customHeight="false" outlineLevel="0" collapsed="false">
      <c r="A1145" s="10" t="n">
        <v>1139</v>
      </c>
      <c r="B1145" s="11" t="s">
        <v>1836</v>
      </c>
      <c r="C1145" s="12" t="s">
        <v>698</v>
      </c>
      <c r="D1145" s="13" t="n">
        <v>0.0110256944444444</v>
      </c>
      <c r="E1145" s="14" t="n">
        <v>1140</v>
      </c>
      <c r="F1145" s="15" t="n">
        <f aca="false">IF(D1145="","",ROUND((D1145-MIN($D$7:$D$9999))*86400,2))</f>
        <v>162.88</v>
      </c>
      <c r="G1145" s="10" t="str">
        <f aca="false">IF(D1145="","",IF(D1145&lt;=($E$3*60+$F$3)/86400,"○",""))</f>
        <v/>
      </c>
      <c r="H1145" s="16" t="n">
        <v>0.00750810185185185</v>
      </c>
      <c r="I1145" s="17" t="n">
        <v>897</v>
      </c>
      <c r="J1145" s="16" t="n">
        <v>0.00280104166666667</v>
      </c>
      <c r="K1145" s="17" t="n">
        <v>287</v>
      </c>
      <c r="L1145" s="17" t="n">
        <f aca="false">COUNT(E1145,I1145,K1145)</f>
        <v>3</v>
      </c>
      <c r="M1145" s="18" t="n">
        <f aca="false">(D1145&lt;&gt;"")*(D1145&lt;=($E$3*60+$F$3)/86400)+(H1145&lt;&gt;"")*(H1145&lt;=($I$3*60+$J$3)/86400)+(J1145&lt;&gt;"")*(J1145&lt;=($M$3*60+$N$3)/86400)</f>
        <v>0</v>
      </c>
      <c r="N1145" s="20" t="s">
        <v>1210</v>
      </c>
      <c r="O1145" s="20"/>
      <c r="P1145" s="20"/>
      <c r="Q1145" s="19"/>
    </row>
    <row r="1146" customFormat="false" ht="15" hidden="false" customHeight="false" outlineLevel="0" collapsed="false">
      <c r="A1146" s="10" t="n">
        <v>1140</v>
      </c>
      <c r="B1146" s="11" t="s">
        <v>1837</v>
      </c>
      <c r="C1146" s="12" t="s">
        <v>965</v>
      </c>
      <c r="D1146" s="13" t="n">
        <v>0.0110261574074074</v>
      </c>
      <c r="E1146" s="14" t="n">
        <v>1141</v>
      </c>
      <c r="F1146" s="15" t="n">
        <f aca="false">IF(D1146="","",ROUND((D1146-MIN($D$7:$D$9999))*86400,2))</f>
        <v>162.92</v>
      </c>
      <c r="G1146" s="10" t="str">
        <f aca="false">IF(D1146="","",IF(D1146&lt;=($E$3*60+$F$3)/86400,"○",""))</f>
        <v/>
      </c>
      <c r="H1146" s="16" t="n">
        <v>0.00692083333333333</v>
      </c>
      <c r="I1146" s="17" t="n">
        <v>257</v>
      </c>
      <c r="J1146" s="16"/>
      <c r="K1146" s="17"/>
      <c r="L1146" s="17" t="n">
        <f aca="false">COUNT(E1146,I1146,K1146)</f>
        <v>2</v>
      </c>
      <c r="M1146" s="18" t="n">
        <f aca="false">(D1146&lt;&gt;"")*(D1146&lt;=($E$3*60+$F$3)/86400)+(H1146&lt;&gt;"")*(H1146&lt;=($I$3*60+$J$3)/86400)+(J1146&lt;&gt;"")*(J1146&lt;=($M$3*60+$N$3)/86400)</f>
        <v>0</v>
      </c>
      <c r="N1146" s="20"/>
      <c r="O1146" s="20"/>
      <c r="P1146" s="20"/>
      <c r="Q1146" s="19"/>
    </row>
    <row r="1147" customFormat="false" ht="15" hidden="false" customHeight="false" outlineLevel="0" collapsed="false">
      <c r="A1147" s="10" t="n">
        <v>1141</v>
      </c>
      <c r="B1147" s="11" t="s">
        <v>1838</v>
      </c>
      <c r="C1147" s="12" t="s">
        <v>1839</v>
      </c>
      <c r="D1147" s="13" t="n">
        <v>0.0110261574074074</v>
      </c>
      <c r="E1147" s="14" t="n">
        <v>1142</v>
      </c>
      <c r="F1147" s="15" t="n">
        <f aca="false">IF(D1147="","",ROUND((D1147-MIN($D$7:$D$9999))*86400,2))</f>
        <v>162.92</v>
      </c>
      <c r="G1147" s="10" t="str">
        <f aca="false">IF(D1147="","",IF(D1147&lt;=($E$3*60+$F$3)/86400,"○",""))</f>
        <v/>
      </c>
      <c r="H1147" s="16"/>
      <c r="I1147" s="17"/>
      <c r="J1147" s="16" t="n">
        <v>0.00290949074074074</v>
      </c>
      <c r="K1147" s="17" t="n">
        <v>1013</v>
      </c>
      <c r="L1147" s="17" t="n">
        <f aca="false">COUNT(E1147,I1147,K1147)</f>
        <v>2</v>
      </c>
      <c r="M1147" s="18" t="n">
        <f aca="false">(D1147&lt;&gt;"")*(D1147&lt;=($E$3*60+$F$3)/86400)+(H1147&lt;&gt;"")*(H1147&lt;=($I$3*60+$J$3)/86400)+(J1147&lt;&gt;"")*(J1147&lt;=($M$3*60+$N$3)/86400)</f>
        <v>0</v>
      </c>
      <c r="N1147" s="20"/>
      <c r="O1147" s="20"/>
      <c r="P1147" s="20"/>
      <c r="Q1147" s="19"/>
    </row>
    <row r="1148" customFormat="false" ht="15" hidden="false" customHeight="false" outlineLevel="0" collapsed="false">
      <c r="A1148" s="10" t="n">
        <v>1142</v>
      </c>
      <c r="B1148" s="11" t="s">
        <v>1840</v>
      </c>
      <c r="C1148" s="12" t="s">
        <v>478</v>
      </c>
      <c r="D1148" s="13" t="n">
        <v>0.0110262731481482</v>
      </c>
      <c r="E1148" s="14" t="n">
        <v>1143</v>
      </c>
      <c r="F1148" s="15" t="n">
        <f aca="false">IF(D1148="","",ROUND((D1148-MIN($D$7:$D$9999))*86400,2))</f>
        <v>162.93</v>
      </c>
      <c r="G1148" s="10" t="str">
        <f aca="false">IF(D1148="","",IF(D1148&lt;=($E$3*60+$F$3)/86400,"○",""))</f>
        <v/>
      </c>
      <c r="H1148" s="16" t="n">
        <v>0.00707962962962963</v>
      </c>
      <c r="I1148" s="17" t="n">
        <v>427</v>
      </c>
      <c r="J1148" s="16" t="n">
        <v>0.00292569444444444</v>
      </c>
      <c r="K1148" s="17" t="n">
        <v>1155</v>
      </c>
      <c r="L1148" s="17" t="n">
        <f aca="false">COUNT(E1148,I1148,K1148)</f>
        <v>3</v>
      </c>
      <c r="M1148" s="18" t="n">
        <f aca="false">(D1148&lt;&gt;"")*(D1148&lt;=($E$3*60+$F$3)/86400)+(H1148&lt;&gt;"")*(H1148&lt;=($I$3*60+$J$3)/86400)+(J1148&lt;&gt;"")*(J1148&lt;=($M$3*60+$N$3)/86400)</f>
        <v>0</v>
      </c>
      <c r="N1148" s="20"/>
      <c r="O1148" s="20"/>
      <c r="P1148" s="20"/>
      <c r="Q1148" s="19"/>
    </row>
    <row r="1149" customFormat="false" ht="15" hidden="false" customHeight="false" outlineLevel="0" collapsed="false">
      <c r="A1149" s="10" t="n">
        <v>1143</v>
      </c>
      <c r="B1149" s="11" t="s">
        <v>1841</v>
      </c>
      <c r="C1149" s="12" t="s">
        <v>120</v>
      </c>
      <c r="D1149" s="13" t="n">
        <v>0.0110269675925926</v>
      </c>
      <c r="E1149" s="14" t="n">
        <v>1144</v>
      </c>
      <c r="F1149" s="15" t="n">
        <f aca="false">IF(D1149="","",ROUND((D1149-MIN($D$7:$D$9999))*86400,2))</f>
        <v>162.99</v>
      </c>
      <c r="G1149" s="10" t="str">
        <f aca="false">IF(D1149="","",IF(D1149&lt;=($E$3*60+$F$3)/86400,"○",""))</f>
        <v/>
      </c>
      <c r="H1149" s="16"/>
      <c r="I1149" s="17"/>
      <c r="J1149" s="16" t="n">
        <v>0.00283159722222222</v>
      </c>
      <c r="K1149" s="17" t="n">
        <v>435</v>
      </c>
      <c r="L1149" s="17" t="n">
        <f aca="false">COUNT(E1149,I1149,K1149)</f>
        <v>2</v>
      </c>
      <c r="M1149" s="18" t="n">
        <f aca="false">(D1149&lt;&gt;"")*(D1149&lt;=($E$3*60+$F$3)/86400)+(H1149&lt;&gt;"")*(H1149&lt;=($I$3*60+$J$3)/86400)+(J1149&lt;&gt;"")*(J1149&lt;=($M$3*60+$N$3)/86400)</f>
        <v>0</v>
      </c>
      <c r="N1149" s="20"/>
      <c r="O1149" s="20"/>
      <c r="P1149" s="20"/>
      <c r="Q1149" s="19"/>
    </row>
    <row r="1150" customFormat="false" ht="15" hidden="false" customHeight="false" outlineLevel="0" collapsed="false">
      <c r="A1150" s="10" t="n">
        <v>1144</v>
      </c>
      <c r="B1150" s="11" t="s">
        <v>1842</v>
      </c>
      <c r="C1150" s="12" t="s">
        <v>1843</v>
      </c>
      <c r="D1150" s="13" t="n">
        <v>0.0110271990740741</v>
      </c>
      <c r="E1150" s="14" t="n">
        <v>1145</v>
      </c>
      <c r="F1150" s="15" t="n">
        <f aca="false">IF(D1150="","",ROUND((D1150-MIN($D$7:$D$9999))*86400,2))</f>
        <v>163.01</v>
      </c>
      <c r="G1150" s="10" t="str">
        <f aca="false">IF(D1150="","",IF(D1150&lt;=($E$3*60+$F$3)/86400,"○",""))</f>
        <v/>
      </c>
      <c r="H1150" s="16"/>
      <c r="I1150" s="17"/>
      <c r="J1150" s="16" t="n">
        <v>0.00283611111111111</v>
      </c>
      <c r="K1150" s="17" t="n">
        <v>472</v>
      </c>
      <c r="L1150" s="17" t="n">
        <f aca="false">COUNT(E1150,I1150,K1150)</f>
        <v>2</v>
      </c>
      <c r="M1150" s="18" t="n">
        <f aca="false">(D1150&lt;&gt;"")*(D1150&lt;=($E$3*60+$F$3)/86400)+(H1150&lt;&gt;"")*(H1150&lt;=($I$3*60+$J$3)/86400)+(J1150&lt;&gt;"")*(J1150&lt;=($M$3*60+$N$3)/86400)</f>
        <v>0</v>
      </c>
      <c r="N1150" s="20"/>
      <c r="O1150" s="20"/>
      <c r="P1150" s="20"/>
      <c r="Q1150" s="19"/>
    </row>
    <row r="1151" customFormat="false" ht="15" hidden="false" customHeight="false" outlineLevel="0" collapsed="false">
      <c r="A1151" s="10" t="n">
        <v>1145</v>
      </c>
      <c r="B1151" s="11" t="s">
        <v>1844</v>
      </c>
      <c r="C1151" s="12" t="s">
        <v>1845</v>
      </c>
      <c r="D1151" s="13" t="n">
        <v>0.0110280092592593</v>
      </c>
      <c r="E1151" s="14" t="n">
        <v>1146</v>
      </c>
      <c r="F1151" s="15" t="n">
        <f aca="false">IF(D1151="","",ROUND((D1151-MIN($D$7:$D$9999))*86400,2))</f>
        <v>163.08</v>
      </c>
      <c r="G1151" s="10" t="str">
        <f aca="false">IF(D1151="","",IF(D1151&lt;=($E$3*60+$F$3)/86400,"○",""))</f>
        <v/>
      </c>
      <c r="H1151" s="16"/>
      <c r="I1151" s="17"/>
      <c r="J1151" s="16" t="n">
        <v>0.00285358796296296</v>
      </c>
      <c r="K1151" s="17" t="n">
        <v>591</v>
      </c>
      <c r="L1151" s="17" t="n">
        <f aca="false">COUNT(E1151,I1151,K1151)</f>
        <v>2</v>
      </c>
      <c r="M1151" s="18" t="n">
        <f aca="false">(D1151&lt;&gt;"")*(D1151&lt;=($E$3*60+$F$3)/86400)+(H1151&lt;&gt;"")*(H1151&lt;=($I$3*60+$J$3)/86400)+(J1151&lt;&gt;"")*(J1151&lt;=($M$3*60+$N$3)/86400)</f>
        <v>0</v>
      </c>
      <c r="N1151" s="20"/>
      <c r="O1151" s="20"/>
      <c r="P1151" s="20"/>
      <c r="Q1151" s="19"/>
    </row>
    <row r="1152" customFormat="false" ht="15" hidden="false" customHeight="false" outlineLevel="0" collapsed="false">
      <c r="A1152" s="10" t="n">
        <v>1146</v>
      </c>
      <c r="B1152" s="11" t="s">
        <v>1846</v>
      </c>
      <c r="C1152" s="12" t="s">
        <v>1847</v>
      </c>
      <c r="D1152" s="13" t="n">
        <v>0.0110283564814815</v>
      </c>
      <c r="E1152" s="14" t="n">
        <v>1147</v>
      </c>
      <c r="F1152" s="15" t="n">
        <f aca="false">IF(D1152="","",ROUND((D1152-MIN($D$7:$D$9999))*86400,2))</f>
        <v>163.11</v>
      </c>
      <c r="G1152" s="10" t="str">
        <f aca="false">IF(D1152="","",IF(D1152&lt;=($E$3*60+$F$3)/86400,"○",""))</f>
        <v/>
      </c>
      <c r="H1152" s="16"/>
      <c r="I1152" s="17"/>
      <c r="J1152" s="16" t="n">
        <v>0.00292141203703704</v>
      </c>
      <c r="K1152" s="17" t="n">
        <v>1111</v>
      </c>
      <c r="L1152" s="17" t="n">
        <f aca="false">COUNT(E1152,I1152,K1152)</f>
        <v>2</v>
      </c>
      <c r="M1152" s="18" t="n">
        <f aca="false">(D1152&lt;&gt;"")*(D1152&lt;=($E$3*60+$F$3)/86400)+(H1152&lt;&gt;"")*(H1152&lt;=($I$3*60+$J$3)/86400)+(J1152&lt;&gt;"")*(J1152&lt;=($M$3*60+$N$3)/86400)</f>
        <v>0</v>
      </c>
      <c r="N1152" s="20"/>
      <c r="O1152" s="20"/>
      <c r="P1152" s="20"/>
      <c r="Q1152" s="19"/>
    </row>
    <row r="1153" customFormat="false" ht="15" hidden="false" customHeight="false" outlineLevel="0" collapsed="false">
      <c r="A1153" s="10" t="n">
        <v>1147</v>
      </c>
      <c r="B1153" s="11" t="s">
        <v>1848</v>
      </c>
      <c r="C1153" s="12" t="s">
        <v>406</v>
      </c>
      <c r="D1153" s="13" t="n">
        <v>0.0110284722222222</v>
      </c>
      <c r="E1153" s="14" t="n">
        <v>1148</v>
      </c>
      <c r="F1153" s="15" t="n">
        <f aca="false">IF(D1153="","",ROUND((D1153-MIN($D$7:$D$9999))*86400,2))</f>
        <v>163.12</v>
      </c>
      <c r="G1153" s="10" t="str">
        <f aca="false">IF(D1153="","",IF(D1153&lt;=($E$3*60+$F$3)/86400,"○",""))</f>
        <v/>
      </c>
      <c r="H1153" s="16" t="n">
        <v>0.00709537037037037</v>
      </c>
      <c r="I1153" s="17" t="n">
        <v>443</v>
      </c>
      <c r="J1153" s="16" t="n">
        <v>0.00282037037037037</v>
      </c>
      <c r="K1153" s="17" t="n">
        <v>363</v>
      </c>
      <c r="L1153" s="17" t="n">
        <f aca="false">COUNT(E1153,I1153,K1153)</f>
        <v>3</v>
      </c>
      <c r="M1153" s="18" t="n">
        <f aca="false">(D1153&lt;&gt;"")*(D1153&lt;=($E$3*60+$F$3)/86400)+(H1153&lt;&gt;"")*(H1153&lt;=($I$3*60+$J$3)/86400)+(J1153&lt;&gt;"")*(J1153&lt;=($M$3*60+$N$3)/86400)</f>
        <v>0</v>
      </c>
      <c r="N1153" s="20"/>
      <c r="O1153" s="20"/>
      <c r="P1153" s="20"/>
      <c r="Q1153" s="19"/>
    </row>
    <row r="1154" customFormat="false" ht="15" hidden="false" customHeight="false" outlineLevel="0" collapsed="false">
      <c r="A1154" s="10" t="n">
        <v>1148</v>
      </c>
      <c r="B1154" s="11" t="s">
        <v>1849</v>
      </c>
      <c r="C1154" s="12" t="s">
        <v>63</v>
      </c>
      <c r="D1154" s="13" t="n">
        <v>0.0110288194444444</v>
      </c>
      <c r="E1154" s="14" t="n">
        <v>1149</v>
      </c>
      <c r="F1154" s="15" t="n">
        <f aca="false">IF(D1154="","",ROUND((D1154-MIN($D$7:$D$9999))*86400,2))</f>
        <v>163.15</v>
      </c>
      <c r="G1154" s="10" t="str">
        <f aca="false">IF(D1154="","",IF(D1154&lt;=($E$3*60+$F$3)/86400,"○",""))</f>
        <v/>
      </c>
      <c r="H1154" s="16"/>
      <c r="I1154" s="17"/>
      <c r="J1154" s="16"/>
      <c r="K1154" s="17"/>
      <c r="L1154" s="17" t="n">
        <f aca="false">COUNT(E1154,I1154,K1154)</f>
        <v>1</v>
      </c>
      <c r="M1154" s="18" t="n">
        <f aca="false">(D1154&lt;&gt;"")*(D1154&lt;=($E$3*60+$F$3)/86400)+(H1154&lt;&gt;"")*(H1154&lt;=($I$3*60+$J$3)/86400)+(J1154&lt;&gt;"")*(J1154&lt;=($M$3*60+$N$3)/86400)</f>
        <v>0</v>
      </c>
      <c r="N1154" s="20"/>
      <c r="O1154" s="20"/>
      <c r="P1154" s="20"/>
      <c r="Q1154" s="19"/>
    </row>
    <row r="1155" customFormat="false" ht="15" hidden="false" customHeight="false" outlineLevel="0" collapsed="false">
      <c r="A1155" s="10" t="n">
        <v>1149</v>
      </c>
      <c r="B1155" s="11" t="s">
        <v>1850</v>
      </c>
      <c r="C1155" s="12" t="s">
        <v>32</v>
      </c>
      <c r="D1155" s="13" t="n">
        <v>0.0110297453703704</v>
      </c>
      <c r="E1155" s="14" t="n">
        <v>1150</v>
      </c>
      <c r="F1155" s="15" t="n">
        <f aca="false">IF(D1155="","",ROUND((D1155-MIN($D$7:$D$9999))*86400,2))</f>
        <v>163.23</v>
      </c>
      <c r="G1155" s="10" t="str">
        <f aca="false">IF(D1155="","",IF(D1155&lt;=($E$3*60+$F$3)/86400,"○",""))</f>
        <v/>
      </c>
      <c r="H1155" s="16"/>
      <c r="I1155" s="17"/>
      <c r="J1155" s="16"/>
      <c r="K1155" s="17"/>
      <c r="L1155" s="17" t="n">
        <f aca="false">COUNT(E1155,I1155,K1155)</f>
        <v>1</v>
      </c>
      <c r="M1155" s="18" t="n">
        <f aca="false">(D1155&lt;&gt;"")*(D1155&lt;=($E$3*60+$F$3)/86400)+(H1155&lt;&gt;"")*(H1155&lt;=($I$3*60+$J$3)/86400)+(J1155&lt;&gt;"")*(J1155&lt;=($M$3*60+$N$3)/86400)</f>
        <v>0</v>
      </c>
      <c r="N1155" s="20"/>
      <c r="O1155" s="20"/>
      <c r="P1155" s="20"/>
      <c r="Q1155" s="19"/>
    </row>
    <row r="1156" customFormat="false" ht="15" hidden="false" customHeight="false" outlineLevel="0" collapsed="false">
      <c r="A1156" s="10" t="n">
        <v>1150</v>
      </c>
      <c r="B1156" s="11" t="s">
        <v>1851</v>
      </c>
      <c r="C1156" s="12" t="s">
        <v>1852</v>
      </c>
      <c r="D1156" s="13" t="n">
        <v>0.0110297453703704</v>
      </c>
      <c r="E1156" s="14" t="n">
        <v>1151</v>
      </c>
      <c r="F1156" s="15" t="n">
        <f aca="false">IF(D1156="","",ROUND((D1156-MIN($D$7:$D$9999))*86400,2))</f>
        <v>163.23</v>
      </c>
      <c r="G1156" s="10" t="str">
        <f aca="false">IF(D1156="","",IF(D1156&lt;=($E$3*60+$F$3)/86400,"○",""))</f>
        <v/>
      </c>
      <c r="H1156" s="16" t="n">
        <v>0.00723888888888889</v>
      </c>
      <c r="I1156" s="17" t="n">
        <v>586</v>
      </c>
      <c r="J1156" s="16" t="n">
        <v>0.00292025462962963</v>
      </c>
      <c r="K1156" s="17" t="n">
        <v>1100</v>
      </c>
      <c r="L1156" s="17" t="n">
        <f aca="false">COUNT(E1156,I1156,K1156)</f>
        <v>3</v>
      </c>
      <c r="M1156" s="18" t="n">
        <f aca="false">(D1156&lt;&gt;"")*(D1156&lt;=($E$3*60+$F$3)/86400)+(H1156&lt;&gt;"")*(H1156&lt;=($I$3*60+$J$3)/86400)+(J1156&lt;&gt;"")*(J1156&lt;=($M$3*60+$N$3)/86400)</f>
        <v>0</v>
      </c>
      <c r="N1156" s="20"/>
      <c r="O1156" s="20"/>
      <c r="P1156" s="20"/>
      <c r="Q1156" s="19"/>
    </row>
    <row r="1157" customFormat="false" ht="15" hidden="false" customHeight="false" outlineLevel="0" collapsed="false">
      <c r="A1157" s="10" t="n">
        <v>1151</v>
      </c>
      <c r="B1157" s="11" t="s">
        <v>1853</v>
      </c>
      <c r="C1157" s="12" t="s">
        <v>1231</v>
      </c>
      <c r="D1157" s="13" t="n">
        <v>0.011030787037037</v>
      </c>
      <c r="E1157" s="14" t="n">
        <v>1152</v>
      </c>
      <c r="F1157" s="15" t="n">
        <f aca="false">IF(D1157="","",ROUND((D1157-MIN($D$7:$D$9999))*86400,2))</f>
        <v>163.32</v>
      </c>
      <c r="G1157" s="10" t="str">
        <f aca="false">IF(D1157="","",IF(D1157&lt;=($E$3*60+$F$3)/86400,"○",""))</f>
        <v/>
      </c>
      <c r="H1157" s="16" t="n">
        <v>0.00740162037037037</v>
      </c>
      <c r="I1157" s="17" t="n">
        <v>773</v>
      </c>
      <c r="J1157" s="16"/>
      <c r="K1157" s="17"/>
      <c r="L1157" s="17" t="n">
        <f aca="false">COUNT(E1157,I1157,K1157)</f>
        <v>2</v>
      </c>
      <c r="M1157" s="18" t="n">
        <f aca="false">(D1157&lt;&gt;"")*(D1157&lt;=($E$3*60+$F$3)/86400)+(H1157&lt;&gt;"")*(H1157&lt;=($I$3*60+$J$3)/86400)+(J1157&lt;&gt;"")*(J1157&lt;=($M$3*60+$N$3)/86400)</f>
        <v>0</v>
      </c>
      <c r="N1157" s="20"/>
      <c r="O1157" s="20"/>
      <c r="P1157" s="20"/>
      <c r="Q1157" s="19"/>
    </row>
    <row r="1158" customFormat="false" ht="15" hidden="false" customHeight="false" outlineLevel="0" collapsed="false">
      <c r="A1158" s="10" t="n">
        <v>1152</v>
      </c>
      <c r="B1158" s="11" t="s">
        <v>1854</v>
      </c>
      <c r="C1158" s="12" t="s">
        <v>1855</v>
      </c>
      <c r="D1158" s="13" t="n">
        <v>0.011030787037037</v>
      </c>
      <c r="E1158" s="14" t="n">
        <v>1153</v>
      </c>
      <c r="F1158" s="15" t="n">
        <f aca="false">IF(D1158="","",ROUND((D1158-MIN($D$7:$D$9999))*86400,2))</f>
        <v>163.32</v>
      </c>
      <c r="G1158" s="10" t="str">
        <f aca="false">IF(D1158="","",IF(D1158&lt;=($E$3*60+$F$3)/86400,"○",""))</f>
        <v/>
      </c>
      <c r="H1158" s="16"/>
      <c r="I1158" s="17"/>
      <c r="J1158" s="16"/>
      <c r="K1158" s="17"/>
      <c r="L1158" s="17" t="n">
        <f aca="false">COUNT(E1158,I1158,K1158)</f>
        <v>1</v>
      </c>
      <c r="M1158" s="18" t="n">
        <f aca="false">(D1158&lt;&gt;"")*(D1158&lt;=($E$3*60+$F$3)/86400)+(H1158&lt;&gt;"")*(H1158&lt;=($I$3*60+$J$3)/86400)+(J1158&lt;&gt;"")*(J1158&lt;=($M$3*60+$N$3)/86400)</f>
        <v>0</v>
      </c>
      <c r="N1158" s="20"/>
      <c r="O1158" s="20"/>
      <c r="P1158" s="20"/>
      <c r="Q1158" s="19"/>
    </row>
    <row r="1159" customFormat="false" ht="15" hidden="false" customHeight="false" outlineLevel="0" collapsed="false">
      <c r="A1159" s="10" t="n">
        <v>1153</v>
      </c>
      <c r="B1159" s="11" t="s">
        <v>1856</v>
      </c>
      <c r="C1159" s="12" t="s">
        <v>1363</v>
      </c>
      <c r="D1159" s="13" t="n">
        <v>0.0110311342592593</v>
      </c>
      <c r="E1159" s="14" t="n">
        <v>1154</v>
      </c>
      <c r="F1159" s="15" t="n">
        <f aca="false">IF(D1159="","",ROUND((D1159-MIN($D$7:$D$9999))*86400,2))</f>
        <v>163.35</v>
      </c>
      <c r="G1159" s="10" t="str">
        <f aca="false">IF(D1159="","",IF(D1159&lt;=($E$3*60+$F$3)/86400,"○",""))</f>
        <v/>
      </c>
      <c r="H1159" s="16" t="n">
        <v>0.00716990740740741</v>
      </c>
      <c r="I1159" s="17" t="n">
        <v>509</v>
      </c>
      <c r="J1159" s="16"/>
      <c r="K1159" s="17"/>
      <c r="L1159" s="17" t="n">
        <f aca="false">COUNT(E1159,I1159,K1159)</f>
        <v>2</v>
      </c>
      <c r="M1159" s="18" t="n">
        <f aca="false">(D1159&lt;&gt;"")*(D1159&lt;=($E$3*60+$F$3)/86400)+(H1159&lt;&gt;"")*(H1159&lt;=($I$3*60+$J$3)/86400)+(J1159&lt;&gt;"")*(J1159&lt;=($M$3*60+$N$3)/86400)</f>
        <v>0</v>
      </c>
      <c r="N1159" s="20" t="s">
        <v>1857</v>
      </c>
      <c r="O1159" s="20"/>
      <c r="P1159" s="20"/>
      <c r="Q1159" s="19"/>
    </row>
    <row r="1160" customFormat="false" ht="15" hidden="false" customHeight="false" outlineLevel="0" collapsed="false">
      <c r="A1160" s="10" t="n">
        <v>1154</v>
      </c>
      <c r="B1160" s="11" t="s">
        <v>1858</v>
      </c>
      <c r="C1160" s="12" t="s">
        <v>1859</v>
      </c>
      <c r="D1160" s="13" t="n">
        <v>0.0110318287037037</v>
      </c>
      <c r="E1160" s="14" t="n">
        <v>1155</v>
      </c>
      <c r="F1160" s="15" t="n">
        <f aca="false">IF(D1160="","",ROUND((D1160-MIN($D$7:$D$9999))*86400,2))</f>
        <v>163.41</v>
      </c>
      <c r="G1160" s="10" t="str">
        <f aca="false">IF(D1160="","",IF(D1160&lt;=($E$3*60+$F$3)/86400,"○",""))</f>
        <v/>
      </c>
      <c r="H1160" s="16"/>
      <c r="I1160" s="17"/>
      <c r="J1160" s="16" t="n">
        <v>0.0027875</v>
      </c>
      <c r="K1160" s="17" t="n">
        <v>232</v>
      </c>
      <c r="L1160" s="17" t="n">
        <f aca="false">COUNT(E1160,I1160,K1160)</f>
        <v>2</v>
      </c>
      <c r="M1160" s="18" t="n">
        <f aca="false">(D1160&lt;&gt;"")*(D1160&lt;=($E$3*60+$F$3)/86400)+(H1160&lt;&gt;"")*(H1160&lt;=($I$3*60+$J$3)/86400)+(J1160&lt;&gt;"")*(J1160&lt;=($M$3*60+$N$3)/86400)</f>
        <v>0</v>
      </c>
      <c r="N1160" s="20"/>
      <c r="O1160" s="20"/>
      <c r="P1160" s="20"/>
      <c r="Q1160" s="19"/>
    </row>
    <row r="1161" customFormat="false" ht="15" hidden="false" customHeight="false" outlineLevel="0" collapsed="false">
      <c r="A1161" s="10" t="n">
        <v>1155</v>
      </c>
      <c r="B1161" s="11" t="s">
        <v>1860</v>
      </c>
      <c r="C1161" s="12" t="s">
        <v>1861</v>
      </c>
      <c r="D1161" s="13" t="n">
        <v>0.0110321759259259</v>
      </c>
      <c r="E1161" s="14" t="n">
        <v>1156</v>
      </c>
      <c r="F1161" s="15" t="n">
        <f aca="false">IF(D1161="","",ROUND((D1161-MIN($D$7:$D$9999))*86400,2))</f>
        <v>163.44</v>
      </c>
      <c r="G1161" s="10" t="str">
        <f aca="false">IF(D1161="","",IF(D1161&lt;=($E$3*60+$F$3)/86400,"○",""))</f>
        <v/>
      </c>
      <c r="H1161" s="16"/>
      <c r="I1161" s="17"/>
      <c r="J1161" s="16" t="n">
        <v>0.00280162037037037</v>
      </c>
      <c r="K1161" s="17" t="n">
        <v>288</v>
      </c>
      <c r="L1161" s="17" t="n">
        <f aca="false">COUNT(E1161,I1161,K1161)</f>
        <v>2</v>
      </c>
      <c r="M1161" s="18" t="n">
        <f aca="false">(D1161&lt;&gt;"")*(D1161&lt;=($E$3*60+$F$3)/86400)+(H1161&lt;&gt;"")*(H1161&lt;=($I$3*60+$J$3)/86400)+(J1161&lt;&gt;"")*(J1161&lt;=($M$3*60+$N$3)/86400)</f>
        <v>0</v>
      </c>
      <c r="N1161" s="20"/>
      <c r="O1161" s="20"/>
      <c r="P1161" s="20"/>
      <c r="Q1161" s="19"/>
    </row>
    <row r="1162" customFormat="false" ht="15" hidden="false" customHeight="false" outlineLevel="0" collapsed="false">
      <c r="A1162" s="10" t="n">
        <v>1156</v>
      </c>
      <c r="B1162" s="11" t="s">
        <v>1862</v>
      </c>
      <c r="C1162" s="12" t="s">
        <v>1476</v>
      </c>
      <c r="D1162" s="13" t="n">
        <v>0.0110321759259259</v>
      </c>
      <c r="E1162" s="14" t="n">
        <v>1157</v>
      </c>
      <c r="F1162" s="15" t="n">
        <f aca="false">IF(D1162="","",ROUND((D1162-MIN($D$7:$D$9999))*86400,2))</f>
        <v>163.44</v>
      </c>
      <c r="G1162" s="10" t="str">
        <f aca="false">IF(D1162="","",IF(D1162&lt;=($E$3*60+$F$3)/86400,"○",""))</f>
        <v/>
      </c>
      <c r="H1162" s="16" t="n">
        <v>0.00668368055555556</v>
      </c>
      <c r="I1162" s="17" t="n">
        <v>100</v>
      </c>
      <c r="J1162" s="16"/>
      <c r="K1162" s="17"/>
      <c r="L1162" s="17" t="n">
        <f aca="false">COUNT(E1162,I1162,K1162)</f>
        <v>2</v>
      </c>
      <c r="M1162" s="18" t="n">
        <f aca="false">(D1162&lt;&gt;"")*(D1162&lt;=($E$3*60+$F$3)/86400)+(H1162&lt;&gt;"")*(H1162&lt;=($I$3*60+$J$3)/86400)+(J1162&lt;&gt;"")*(J1162&lt;=($M$3*60+$N$3)/86400)</f>
        <v>0</v>
      </c>
      <c r="N1162" s="20"/>
      <c r="O1162" s="20" t="s">
        <v>1863</v>
      </c>
      <c r="P1162" s="20"/>
      <c r="Q1162" s="19"/>
    </row>
    <row r="1163" customFormat="false" ht="15" hidden="false" customHeight="false" outlineLevel="0" collapsed="false">
      <c r="A1163" s="10" t="n">
        <v>1157</v>
      </c>
      <c r="B1163" s="11" t="s">
        <v>1864</v>
      </c>
      <c r="C1163" s="12" t="s">
        <v>690</v>
      </c>
      <c r="D1163" s="13" t="n">
        <v>0.0110333333333333</v>
      </c>
      <c r="E1163" s="14" t="n">
        <v>1158</v>
      </c>
      <c r="F1163" s="15" t="n">
        <f aca="false">IF(D1163="","",ROUND((D1163-MIN($D$7:$D$9999))*86400,2))</f>
        <v>163.54</v>
      </c>
      <c r="G1163" s="10" t="str">
        <f aca="false">IF(D1163="","",IF(D1163&lt;=($E$3*60+$F$3)/86400,"○",""))</f>
        <v/>
      </c>
      <c r="H1163" s="16"/>
      <c r="I1163" s="17"/>
      <c r="J1163" s="16"/>
      <c r="K1163" s="17"/>
      <c r="L1163" s="17" t="n">
        <f aca="false">COUNT(E1163,I1163,K1163)</f>
        <v>1</v>
      </c>
      <c r="M1163" s="18" t="n">
        <f aca="false">(D1163&lt;&gt;"")*(D1163&lt;=($E$3*60+$F$3)/86400)+(H1163&lt;&gt;"")*(H1163&lt;=($I$3*60+$J$3)/86400)+(J1163&lt;&gt;"")*(J1163&lt;=($M$3*60+$N$3)/86400)</f>
        <v>0</v>
      </c>
      <c r="N1163" s="20"/>
      <c r="O1163" s="20"/>
      <c r="P1163" s="12" t="s">
        <v>1865</v>
      </c>
      <c r="Q1163" s="19"/>
    </row>
    <row r="1164" customFormat="false" ht="15" hidden="false" customHeight="false" outlineLevel="0" collapsed="false">
      <c r="A1164" s="10" t="n">
        <v>1158</v>
      </c>
      <c r="B1164" s="11" t="s">
        <v>1866</v>
      </c>
      <c r="C1164" s="12" t="s">
        <v>193</v>
      </c>
      <c r="D1164" s="13" t="n">
        <v>0.0110337962962963</v>
      </c>
      <c r="E1164" s="14" t="n">
        <v>1159</v>
      </c>
      <c r="F1164" s="15" t="n">
        <f aca="false">IF(D1164="","",ROUND((D1164-MIN($D$7:$D$9999))*86400,2))</f>
        <v>163.58</v>
      </c>
      <c r="G1164" s="10" t="str">
        <f aca="false">IF(D1164="","",IF(D1164&lt;=($E$3*60+$F$3)/86400,"○",""))</f>
        <v/>
      </c>
      <c r="H1164" s="16"/>
      <c r="I1164" s="17"/>
      <c r="J1164" s="16"/>
      <c r="K1164" s="17"/>
      <c r="L1164" s="17" t="n">
        <f aca="false">COUNT(E1164,I1164,K1164)</f>
        <v>1</v>
      </c>
      <c r="M1164" s="18" t="n">
        <f aca="false">(D1164&lt;&gt;"")*(D1164&lt;=($E$3*60+$F$3)/86400)+(H1164&lt;&gt;"")*(H1164&lt;=($I$3*60+$J$3)/86400)+(J1164&lt;&gt;"")*(J1164&lt;=($M$3*60+$N$3)/86400)</f>
        <v>0</v>
      </c>
      <c r="N1164" s="20"/>
      <c r="O1164" s="20"/>
      <c r="P1164" s="20"/>
      <c r="Q1164" s="19"/>
    </row>
    <row r="1165" customFormat="false" ht="15" hidden="false" customHeight="false" outlineLevel="0" collapsed="false">
      <c r="A1165" s="10" t="n">
        <v>1159</v>
      </c>
      <c r="B1165" s="11" t="s">
        <v>1867</v>
      </c>
      <c r="C1165" s="12" t="s">
        <v>157</v>
      </c>
      <c r="D1165" s="13" t="n">
        <v>0.0110341435185185</v>
      </c>
      <c r="E1165" s="14" t="n">
        <v>1160</v>
      </c>
      <c r="F1165" s="15" t="n">
        <f aca="false">IF(D1165="","",ROUND((D1165-MIN($D$7:$D$9999))*86400,2))</f>
        <v>163.61</v>
      </c>
      <c r="G1165" s="10" t="str">
        <f aca="false">IF(D1165="","",IF(D1165&lt;=($E$3*60+$F$3)/86400,"○",""))</f>
        <v/>
      </c>
      <c r="H1165" s="16"/>
      <c r="I1165" s="17"/>
      <c r="J1165" s="16" t="n">
        <v>0.00287893518518519</v>
      </c>
      <c r="K1165" s="17" t="n">
        <v>761</v>
      </c>
      <c r="L1165" s="17" t="n">
        <f aca="false">COUNT(E1165,I1165,K1165)</f>
        <v>2</v>
      </c>
      <c r="M1165" s="18" t="n">
        <f aca="false">(D1165&lt;&gt;"")*(D1165&lt;=($E$3*60+$F$3)/86400)+(H1165&lt;&gt;"")*(H1165&lt;=($I$3*60+$J$3)/86400)+(J1165&lt;&gt;"")*(J1165&lt;=($M$3*60+$N$3)/86400)</f>
        <v>0</v>
      </c>
      <c r="N1165" s="20"/>
      <c r="O1165" s="20"/>
      <c r="P1165" s="20"/>
      <c r="Q1165" s="19"/>
    </row>
    <row r="1166" customFormat="false" ht="15" hidden="false" customHeight="false" outlineLevel="0" collapsed="false">
      <c r="A1166" s="10" t="n">
        <v>1160</v>
      </c>
      <c r="B1166" s="11" t="s">
        <v>1868</v>
      </c>
      <c r="C1166" s="12" t="s">
        <v>1869</v>
      </c>
      <c r="D1166" s="13" t="n">
        <v>0.011034837962963</v>
      </c>
      <c r="E1166" s="14" t="n">
        <v>1161</v>
      </c>
      <c r="F1166" s="15" t="n">
        <f aca="false">IF(D1166="","",ROUND((D1166-MIN($D$7:$D$9999))*86400,2))</f>
        <v>163.67</v>
      </c>
      <c r="G1166" s="10" t="str">
        <f aca="false">IF(D1166="","",IF(D1166&lt;=($E$3*60+$F$3)/86400,"○",""))</f>
        <v/>
      </c>
      <c r="H1166" s="16"/>
      <c r="I1166" s="17"/>
      <c r="J1166" s="16"/>
      <c r="K1166" s="17"/>
      <c r="L1166" s="17" t="n">
        <f aca="false">COUNT(E1166,I1166,K1166)</f>
        <v>1</v>
      </c>
      <c r="M1166" s="18" t="n">
        <f aca="false">(D1166&lt;&gt;"")*(D1166&lt;=($E$3*60+$F$3)/86400)+(H1166&lt;&gt;"")*(H1166&lt;=($I$3*60+$J$3)/86400)+(J1166&lt;&gt;"")*(J1166&lt;=($M$3*60+$N$3)/86400)</f>
        <v>0</v>
      </c>
      <c r="N1166" s="20"/>
      <c r="O1166" s="20"/>
      <c r="P1166" s="20"/>
      <c r="Q1166" s="19"/>
    </row>
    <row r="1167" customFormat="false" ht="15" hidden="false" customHeight="false" outlineLevel="0" collapsed="false">
      <c r="A1167" s="10" t="n">
        <v>1161</v>
      </c>
      <c r="B1167" s="11" t="s">
        <v>1870</v>
      </c>
      <c r="C1167" s="12" t="s">
        <v>63</v>
      </c>
      <c r="D1167" s="13" t="n">
        <v>0.0110350694444444</v>
      </c>
      <c r="E1167" s="14" t="n">
        <v>1162</v>
      </c>
      <c r="F1167" s="15" t="n">
        <f aca="false">IF(D1167="","",ROUND((D1167-MIN($D$7:$D$9999))*86400,2))</f>
        <v>163.69</v>
      </c>
      <c r="G1167" s="10" t="str">
        <f aca="false">IF(D1167="","",IF(D1167&lt;=($E$3*60+$F$3)/86400,"○",""))</f>
        <v/>
      </c>
      <c r="H1167" s="16"/>
      <c r="I1167" s="17"/>
      <c r="J1167" s="16"/>
      <c r="K1167" s="17"/>
      <c r="L1167" s="17" t="n">
        <f aca="false">COUNT(E1167,I1167,K1167)</f>
        <v>1</v>
      </c>
      <c r="M1167" s="18" t="n">
        <f aca="false">(D1167&lt;&gt;"")*(D1167&lt;=($E$3*60+$F$3)/86400)+(H1167&lt;&gt;"")*(H1167&lt;=($I$3*60+$J$3)/86400)+(J1167&lt;&gt;"")*(J1167&lt;=($M$3*60+$N$3)/86400)</f>
        <v>0</v>
      </c>
      <c r="N1167" s="20"/>
      <c r="O1167" s="20"/>
      <c r="P1167" s="20"/>
      <c r="Q1167" s="19"/>
    </row>
    <row r="1168" customFormat="false" ht="15" hidden="false" customHeight="false" outlineLevel="0" collapsed="false">
      <c r="A1168" s="10" t="n">
        <v>1162</v>
      </c>
      <c r="B1168" s="11" t="s">
        <v>1871</v>
      </c>
      <c r="C1168" s="12" t="s">
        <v>65</v>
      </c>
      <c r="D1168" s="13" t="n">
        <v>0.0110351851851852</v>
      </c>
      <c r="E1168" s="14" t="n">
        <v>1163</v>
      </c>
      <c r="F1168" s="15" t="n">
        <f aca="false">IF(D1168="","",ROUND((D1168-MIN($D$7:$D$9999))*86400,2))</f>
        <v>163.7</v>
      </c>
      <c r="G1168" s="10" t="str">
        <f aca="false">IF(D1168="","",IF(D1168&lt;=($E$3*60+$F$3)/86400,"○",""))</f>
        <v/>
      </c>
      <c r="H1168" s="16"/>
      <c r="I1168" s="17"/>
      <c r="J1168" s="16" t="n">
        <v>0.00295104166666667</v>
      </c>
      <c r="K1168" s="17" t="n">
        <v>1244</v>
      </c>
      <c r="L1168" s="17" t="n">
        <f aca="false">COUNT(E1168,I1168,K1168)</f>
        <v>2</v>
      </c>
      <c r="M1168" s="18" t="n">
        <f aca="false">(D1168&lt;&gt;"")*(D1168&lt;=($E$3*60+$F$3)/86400)+(H1168&lt;&gt;"")*(H1168&lt;=($I$3*60+$J$3)/86400)+(J1168&lt;&gt;"")*(J1168&lt;=($M$3*60+$N$3)/86400)</f>
        <v>0</v>
      </c>
      <c r="N1168" s="20"/>
      <c r="O1168" s="20"/>
      <c r="P1168" s="20"/>
      <c r="Q1168" s="19"/>
    </row>
    <row r="1169" customFormat="false" ht="15" hidden="false" customHeight="false" outlineLevel="0" collapsed="false">
      <c r="A1169" s="10" t="n">
        <v>1163</v>
      </c>
      <c r="B1169" s="11" t="s">
        <v>1872</v>
      </c>
      <c r="C1169" s="12" t="s">
        <v>478</v>
      </c>
      <c r="D1169" s="13" t="n">
        <v>0.0110353009259259</v>
      </c>
      <c r="E1169" s="14" t="n">
        <v>1164</v>
      </c>
      <c r="F1169" s="15" t="n">
        <f aca="false">IF(D1169="","",ROUND((D1169-MIN($D$7:$D$9999))*86400,2))</f>
        <v>163.71</v>
      </c>
      <c r="G1169" s="10" t="str">
        <f aca="false">IF(D1169="","",IF(D1169&lt;=($E$3*60+$F$3)/86400,"○",""))</f>
        <v/>
      </c>
      <c r="H1169" s="16"/>
      <c r="I1169" s="17"/>
      <c r="J1169" s="16" t="n">
        <v>0.00283645833333333</v>
      </c>
      <c r="K1169" s="17" t="n">
        <v>474</v>
      </c>
      <c r="L1169" s="17" t="n">
        <f aca="false">COUNT(E1169,I1169,K1169)</f>
        <v>2</v>
      </c>
      <c r="M1169" s="18" t="n">
        <f aca="false">(D1169&lt;&gt;"")*(D1169&lt;=($E$3*60+$F$3)/86400)+(H1169&lt;&gt;"")*(H1169&lt;=($I$3*60+$J$3)/86400)+(J1169&lt;&gt;"")*(J1169&lt;=($M$3*60+$N$3)/86400)</f>
        <v>0</v>
      </c>
      <c r="N1169" s="20"/>
      <c r="O1169" s="20"/>
      <c r="P1169" s="20"/>
      <c r="Q1169" s="19"/>
    </row>
    <row r="1170" customFormat="false" ht="15" hidden="false" customHeight="false" outlineLevel="0" collapsed="false">
      <c r="A1170" s="10" t="n">
        <v>1164</v>
      </c>
      <c r="B1170" s="11" t="s">
        <v>1873</v>
      </c>
      <c r="C1170" s="12" t="s">
        <v>1874</v>
      </c>
      <c r="D1170" s="13" t="n">
        <v>0.0110355324074074</v>
      </c>
      <c r="E1170" s="14" t="n">
        <v>1165</v>
      </c>
      <c r="F1170" s="15" t="n">
        <f aca="false">IF(D1170="","",ROUND((D1170-MIN($D$7:$D$9999))*86400,2))</f>
        <v>163.73</v>
      </c>
      <c r="G1170" s="10" t="str">
        <f aca="false">IF(D1170="","",IF(D1170&lt;=($E$3*60+$F$3)/86400,"○",""))</f>
        <v/>
      </c>
      <c r="H1170" s="16"/>
      <c r="I1170" s="17"/>
      <c r="J1170" s="16"/>
      <c r="K1170" s="17"/>
      <c r="L1170" s="17" t="n">
        <f aca="false">COUNT(E1170,I1170,K1170)</f>
        <v>1</v>
      </c>
      <c r="M1170" s="18" t="n">
        <f aca="false">(D1170&lt;&gt;"")*(D1170&lt;=($E$3*60+$F$3)/86400)+(H1170&lt;&gt;"")*(H1170&lt;=($I$3*60+$J$3)/86400)+(J1170&lt;&gt;"")*(J1170&lt;=($M$3*60+$N$3)/86400)</f>
        <v>0</v>
      </c>
      <c r="N1170" s="20"/>
      <c r="O1170" s="20"/>
      <c r="P1170" s="20"/>
      <c r="Q1170" s="19"/>
    </row>
    <row r="1171" customFormat="false" ht="15" hidden="false" customHeight="false" outlineLevel="0" collapsed="false">
      <c r="A1171" s="10" t="n">
        <v>1165</v>
      </c>
      <c r="B1171" s="11" t="s">
        <v>1875</v>
      </c>
      <c r="C1171" s="12" t="s">
        <v>65</v>
      </c>
      <c r="D1171" s="13" t="n">
        <v>0.0110356481481482</v>
      </c>
      <c r="E1171" s="14" t="n">
        <v>1166</v>
      </c>
      <c r="F1171" s="15" t="n">
        <f aca="false">IF(D1171="","",ROUND((D1171-MIN($D$7:$D$9999))*86400,2))</f>
        <v>163.74</v>
      </c>
      <c r="G1171" s="10" t="str">
        <f aca="false">IF(D1171="","",IF(D1171&lt;=($E$3*60+$F$3)/86400,"○",""))</f>
        <v/>
      </c>
      <c r="H1171" s="16"/>
      <c r="I1171" s="17"/>
      <c r="J1171" s="16"/>
      <c r="K1171" s="17"/>
      <c r="L1171" s="17" t="n">
        <f aca="false">COUNT(E1171,I1171,K1171)</f>
        <v>1</v>
      </c>
      <c r="M1171" s="18" t="n">
        <f aca="false">(D1171&lt;&gt;"")*(D1171&lt;=($E$3*60+$F$3)/86400)+(H1171&lt;&gt;"")*(H1171&lt;=($I$3*60+$J$3)/86400)+(J1171&lt;&gt;"")*(J1171&lt;=($M$3*60+$N$3)/86400)</f>
        <v>0</v>
      </c>
      <c r="N1171" s="20"/>
      <c r="O1171" s="20"/>
      <c r="P1171" s="20"/>
      <c r="Q1171" s="19"/>
    </row>
    <row r="1172" customFormat="false" ht="15" hidden="false" customHeight="false" outlineLevel="0" collapsed="false">
      <c r="A1172" s="10" t="n">
        <v>1166</v>
      </c>
      <c r="B1172" s="11" t="s">
        <v>1876</v>
      </c>
      <c r="C1172" s="12" t="s">
        <v>1877</v>
      </c>
      <c r="D1172" s="13" t="n">
        <v>0.0110357638888889</v>
      </c>
      <c r="E1172" s="14" t="n">
        <v>1167</v>
      </c>
      <c r="F1172" s="15" t="n">
        <f aca="false">IF(D1172="","",ROUND((D1172-MIN($D$7:$D$9999))*86400,2))</f>
        <v>163.75</v>
      </c>
      <c r="G1172" s="10" t="str">
        <f aca="false">IF(D1172="","",IF(D1172&lt;=($E$3*60+$F$3)/86400,"○",""))</f>
        <v/>
      </c>
      <c r="H1172" s="16"/>
      <c r="I1172" s="17"/>
      <c r="J1172" s="16"/>
      <c r="K1172" s="17"/>
      <c r="L1172" s="17" t="n">
        <f aca="false">COUNT(E1172,I1172,K1172)</f>
        <v>1</v>
      </c>
      <c r="M1172" s="18" t="n">
        <f aca="false">(D1172&lt;&gt;"")*(D1172&lt;=($E$3*60+$F$3)/86400)+(H1172&lt;&gt;"")*(H1172&lt;=($I$3*60+$J$3)/86400)+(J1172&lt;&gt;"")*(J1172&lt;=($M$3*60+$N$3)/86400)</f>
        <v>0</v>
      </c>
      <c r="N1172" s="20"/>
      <c r="O1172" s="20"/>
      <c r="P1172" s="20"/>
      <c r="Q1172" s="19"/>
    </row>
    <row r="1173" customFormat="false" ht="15" hidden="false" customHeight="false" outlineLevel="0" collapsed="false">
      <c r="A1173" s="10" t="n">
        <v>1167</v>
      </c>
      <c r="B1173" s="11" t="s">
        <v>1878</v>
      </c>
      <c r="C1173" s="12" t="s">
        <v>1879</v>
      </c>
      <c r="D1173" s="13" t="n">
        <v>0.0110362268518519</v>
      </c>
      <c r="E1173" s="14" t="n">
        <v>1168</v>
      </c>
      <c r="F1173" s="15" t="n">
        <f aca="false">IF(D1173="","",ROUND((D1173-MIN($D$7:$D$9999))*86400,2))</f>
        <v>163.79</v>
      </c>
      <c r="G1173" s="10" t="str">
        <f aca="false">IF(D1173="","",IF(D1173&lt;=($E$3*60+$F$3)/86400,"○",""))</f>
        <v/>
      </c>
      <c r="H1173" s="16"/>
      <c r="I1173" s="17"/>
      <c r="J1173" s="16"/>
      <c r="K1173" s="17"/>
      <c r="L1173" s="17" t="n">
        <f aca="false">COUNT(E1173,I1173,K1173)</f>
        <v>1</v>
      </c>
      <c r="M1173" s="18" t="n">
        <f aca="false">(D1173&lt;&gt;"")*(D1173&lt;=($E$3*60+$F$3)/86400)+(H1173&lt;&gt;"")*(H1173&lt;=($I$3*60+$J$3)/86400)+(J1173&lt;&gt;"")*(J1173&lt;=($M$3*60+$N$3)/86400)</f>
        <v>0</v>
      </c>
      <c r="N1173" s="20"/>
      <c r="O1173" s="20"/>
      <c r="P1173" s="20"/>
      <c r="Q1173" s="19"/>
    </row>
    <row r="1174" customFormat="false" ht="15" hidden="false" customHeight="false" outlineLevel="0" collapsed="false">
      <c r="A1174" s="10" t="n">
        <v>1168</v>
      </c>
      <c r="B1174" s="11" t="s">
        <v>1880</v>
      </c>
      <c r="C1174" s="12" t="s">
        <v>389</v>
      </c>
      <c r="D1174" s="13" t="n">
        <v>0.0110368055555556</v>
      </c>
      <c r="E1174" s="14" t="n">
        <v>1169</v>
      </c>
      <c r="F1174" s="15" t="n">
        <f aca="false">IF(D1174="","",ROUND((D1174-MIN($D$7:$D$9999))*86400,2))</f>
        <v>163.84</v>
      </c>
      <c r="G1174" s="10" t="str">
        <f aca="false">IF(D1174="","",IF(D1174&lt;=($E$3*60+$F$3)/86400,"○",""))</f>
        <v/>
      </c>
      <c r="H1174" s="16"/>
      <c r="I1174" s="17"/>
      <c r="J1174" s="16"/>
      <c r="K1174" s="17"/>
      <c r="L1174" s="17" t="n">
        <f aca="false">COUNT(E1174,I1174,K1174)</f>
        <v>1</v>
      </c>
      <c r="M1174" s="18" t="n">
        <f aca="false">(D1174&lt;&gt;"")*(D1174&lt;=($E$3*60+$F$3)/86400)+(H1174&lt;&gt;"")*(H1174&lt;=($I$3*60+$J$3)/86400)+(J1174&lt;&gt;"")*(J1174&lt;=($M$3*60+$N$3)/86400)</f>
        <v>0</v>
      </c>
      <c r="N1174" s="20"/>
      <c r="O1174" s="20"/>
      <c r="P1174" s="20"/>
      <c r="Q1174" s="19"/>
    </row>
    <row r="1175" customFormat="false" ht="15" hidden="false" customHeight="false" outlineLevel="0" collapsed="false">
      <c r="A1175" s="10" t="n">
        <v>1169</v>
      </c>
      <c r="B1175" s="11" t="s">
        <v>1881</v>
      </c>
      <c r="C1175" s="12" t="s">
        <v>32</v>
      </c>
      <c r="D1175" s="13" t="n">
        <v>0.011037037037037</v>
      </c>
      <c r="E1175" s="14" t="n">
        <v>1170</v>
      </c>
      <c r="F1175" s="15" t="n">
        <f aca="false">IF(D1175="","",ROUND((D1175-MIN($D$7:$D$9999))*86400,2))</f>
        <v>163.86</v>
      </c>
      <c r="G1175" s="10" t="str">
        <f aca="false">IF(D1175="","",IF(D1175&lt;=($E$3*60+$F$3)/86400,"○",""))</f>
        <v/>
      </c>
      <c r="H1175" s="16"/>
      <c r="I1175" s="17"/>
      <c r="J1175" s="16"/>
      <c r="K1175" s="17"/>
      <c r="L1175" s="17" t="n">
        <f aca="false">COUNT(E1175,I1175,K1175)</f>
        <v>1</v>
      </c>
      <c r="M1175" s="18" t="n">
        <f aca="false">(D1175&lt;&gt;"")*(D1175&lt;=($E$3*60+$F$3)/86400)+(H1175&lt;&gt;"")*(H1175&lt;=($I$3*60+$J$3)/86400)+(J1175&lt;&gt;"")*(J1175&lt;=($M$3*60+$N$3)/86400)</f>
        <v>0</v>
      </c>
      <c r="N1175" s="20"/>
      <c r="O1175" s="20"/>
      <c r="P1175" s="20"/>
      <c r="Q1175" s="19"/>
    </row>
    <row r="1176" customFormat="false" ht="15" hidden="false" customHeight="false" outlineLevel="0" collapsed="false">
      <c r="A1176" s="10" t="n">
        <v>1170</v>
      </c>
      <c r="B1176" s="11" t="s">
        <v>1882</v>
      </c>
      <c r="C1176" s="12" t="s">
        <v>1883</v>
      </c>
      <c r="D1176" s="13" t="n">
        <v>0.0110373842592593</v>
      </c>
      <c r="E1176" s="14" t="n">
        <v>1171</v>
      </c>
      <c r="F1176" s="15" t="n">
        <f aca="false">IF(D1176="","",ROUND((D1176-MIN($D$7:$D$9999))*86400,2))</f>
        <v>163.89</v>
      </c>
      <c r="G1176" s="10" t="str">
        <f aca="false">IF(D1176="","",IF(D1176&lt;=($E$3*60+$F$3)/86400,"○",""))</f>
        <v/>
      </c>
      <c r="H1176" s="16" t="n">
        <v>0.00721666666666667</v>
      </c>
      <c r="I1176" s="17" t="n">
        <v>557</v>
      </c>
      <c r="J1176" s="16" t="n">
        <v>0.00294166666666667</v>
      </c>
      <c r="K1176" s="17" t="n">
        <v>1206</v>
      </c>
      <c r="L1176" s="17" t="n">
        <f aca="false">COUNT(E1176,I1176,K1176)</f>
        <v>3</v>
      </c>
      <c r="M1176" s="18" t="n">
        <f aca="false">(D1176&lt;&gt;"")*(D1176&lt;=($E$3*60+$F$3)/86400)+(H1176&lt;&gt;"")*(H1176&lt;=($I$3*60+$J$3)/86400)+(J1176&lt;&gt;"")*(J1176&lt;=($M$3*60+$N$3)/86400)</f>
        <v>0</v>
      </c>
      <c r="N1176" s="20"/>
      <c r="O1176" s="20"/>
      <c r="P1176" s="20"/>
      <c r="Q1176" s="19"/>
    </row>
    <row r="1177" customFormat="false" ht="15" hidden="false" customHeight="false" outlineLevel="0" collapsed="false">
      <c r="A1177" s="10" t="n">
        <v>1171</v>
      </c>
      <c r="B1177" s="11" t="s">
        <v>1884</v>
      </c>
      <c r="C1177" s="12" t="s">
        <v>1748</v>
      </c>
      <c r="D1177" s="13" t="n">
        <v>0.0110377314814815</v>
      </c>
      <c r="E1177" s="14" t="n">
        <v>1172</v>
      </c>
      <c r="F1177" s="15" t="n">
        <f aca="false">IF(D1177="","",ROUND((D1177-MIN($D$7:$D$9999))*86400,2))</f>
        <v>163.92</v>
      </c>
      <c r="G1177" s="10" t="str">
        <f aca="false">IF(D1177="","",IF(D1177&lt;=($E$3*60+$F$3)/86400,"○",""))</f>
        <v/>
      </c>
      <c r="H1177" s="16"/>
      <c r="I1177" s="17"/>
      <c r="J1177" s="16"/>
      <c r="K1177" s="17"/>
      <c r="L1177" s="17" t="n">
        <f aca="false">COUNT(E1177,I1177,K1177)</f>
        <v>1</v>
      </c>
      <c r="M1177" s="18" t="n">
        <f aca="false">(D1177&lt;&gt;"")*(D1177&lt;=($E$3*60+$F$3)/86400)+(H1177&lt;&gt;"")*(H1177&lt;=($I$3*60+$J$3)/86400)+(J1177&lt;&gt;"")*(J1177&lt;=($M$3*60+$N$3)/86400)</f>
        <v>0</v>
      </c>
      <c r="N1177" s="20"/>
      <c r="O1177" s="20"/>
      <c r="P1177" s="20"/>
      <c r="Q1177" s="19"/>
    </row>
    <row r="1178" customFormat="false" ht="15" hidden="false" customHeight="false" outlineLevel="0" collapsed="false">
      <c r="A1178" s="10" t="n">
        <v>1172</v>
      </c>
      <c r="B1178" s="11" t="s">
        <v>1885</v>
      </c>
      <c r="C1178" s="12" t="s">
        <v>507</v>
      </c>
      <c r="D1178" s="13" t="n">
        <v>0.0110377314814815</v>
      </c>
      <c r="E1178" s="14" t="n">
        <v>1173</v>
      </c>
      <c r="F1178" s="15" t="n">
        <f aca="false">IF(D1178="","",ROUND((D1178-MIN($D$7:$D$9999))*86400,2))</f>
        <v>163.92</v>
      </c>
      <c r="G1178" s="10" t="str">
        <f aca="false">IF(D1178="","",IF(D1178&lt;=($E$3*60+$F$3)/86400,"○",""))</f>
        <v/>
      </c>
      <c r="H1178" s="16" t="n">
        <v>0.00690173611111111</v>
      </c>
      <c r="I1178" s="17" t="n">
        <v>244</v>
      </c>
      <c r="J1178" s="16"/>
      <c r="K1178" s="17"/>
      <c r="L1178" s="17" t="n">
        <f aca="false">COUNT(E1178,I1178,K1178)</f>
        <v>2</v>
      </c>
      <c r="M1178" s="18" t="n">
        <f aca="false">(D1178&lt;&gt;"")*(D1178&lt;=($E$3*60+$F$3)/86400)+(H1178&lt;&gt;"")*(H1178&lt;=($I$3*60+$J$3)/86400)+(J1178&lt;&gt;"")*(J1178&lt;=($M$3*60+$N$3)/86400)</f>
        <v>0</v>
      </c>
      <c r="N1178" s="20"/>
      <c r="O1178" s="20"/>
      <c r="P1178" s="20"/>
      <c r="Q1178" s="19"/>
    </row>
    <row r="1179" customFormat="false" ht="15" hidden="false" customHeight="false" outlineLevel="0" collapsed="false">
      <c r="A1179" s="10" t="n">
        <v>1173</v>
      </c>
      <c r="B1179" s="11" t="s">
        <v>1886</v>
      </c>
      <c r="C1179" s="12" t="s">
        <v>415</v>
      </c>
      <c r="D1179" s="13" t="n">
        <v>0.0110377314814815</v>
      </c>
      <c r="E1179" s="14" t="n">
        <v>1174</v>
      </c>
      <c r="F1179" s="15" t="n">
        <f aca="false">IF(D1179="","",ROUND((D1179-MIN($D$7:$D$9999))*86400,2))</f>
        <v>163.92</v>
      </c>
      <c r="G1179" s="10" t="str">
        <f aca="false">IF(D1179="","",IF(D1179&lt;=($E$3*60+$F$3)/86400,"○",""))</f>
        <v/>
      </c>
      <c r="H1179" s="16" t="n">
        <v>0.00708252314814815</v>
      </c>
      <c r="I1179" s="17" t="n">
        <v>430</v>
      </c>
      <c r="J1179" s="16"/>
      <c r="K1179" s="17"/>
      <c r="L1179" s="17" t="n">
        <f aca="false">COUNT(E1179,I1179,K1179)</f>
        <v>2</v>
      </c>
      <c r="M1179" s="18" t="n">
        <f aca="false">(D1179&lt;&gt;"")*(D1179&lt;=($E$3*60+$F$3)/86400)+(H1179&lt;&gt;"")*(H1179&lt;=($I$3*60+$J$3)/86400)+(J1179&lt;&gt;"")*(J1179&lt;=($M$3*60+$N$3)/86400)</f>
        <v>0</v>
      </c>
      <c r="N1179" s="20"/>
      <c r="O1179" s="20"/>
      <c r="P1179" s="20"/>
      <c r="Q1179" s="19"/>
    </row>
    <row r="1180" customFormat="false" ht="15" hidden="false" customHeight="false" outlineLevel="0" collapsed="false">
      <c r="A1180" s="10" t="n">
        <v>1174</v>
      </c>
      <c r="B1180" s="11" t="s">
        <v>1887</v>
      </c>
      <c r="C1180" s="12" t="s">
        <v>707</v>
      </c>
      <c r="D1180" s="13" t="n">
        <v>0.0110388888888889</v>
      </c>
      <c r="E1180" s="14" t="n">
        <v>1175</v>
      </c>
      <c r="F1180" s="15" t="n">
        <f aca="false">IF(D1180="","",ROUND((D1180-MIN($D$7:$D$9999))*86400,2))</f>
        <v>164.02</v>
      </c>
      <c r="G1180" s="10" t="str">
        <f aca="false">IF(D1180="","",IF(D1180&lt;=($E$3*60+$F$3)/86400,"○",""))</f>
        <v/>
      </c>
      <c r="H1180" s="16" t="n">
        <v>0.00679861111111111</v>
      </c>
      <c r="I1180" s="17" t="n">
        <v>169</v>
      </c>
      <c r="J1180" s="16"/>
      <c r="K1180" s="17"/>
      <c r="L1180" s="17" t="n">
        <f aca="false">COUNT(E1180,I1180,K1180)</f>
        <v>2</v>
      </c>
      <c r="M1180" s="18" t="n">
        <f aca="false">(D1180&lt;&gt;"")*(D1180&lt;=($E$3*60+$F$3)/86400)+(H1180&lt;&gt;"")*(H1180&lt;=($I$3*60+$J$3)/86400)+(J1180&lt;&gt;"")*(J1180&lt;=($M$3*60+$N$3)/86400)</f>
        <v>0</v>
      </c>
      <c r="N1180" s="20"/>
      <c r="O1180" s="20" t="s">
        <v>1888</v>
      </c>
      <c r="P1180" s="20"/>
      <c r="Q1180" s="19"/>
    </row>
    <row r="1181" customFormat="false" ht="15" hidden="false" customHeight="false" outlineLevel="0" collapsed="false">
      <c r="A1181" s="10" t="n">
        <v>1175</v>
      </c>
      <c r="B1181" s="11" t="s">
        <v>1889</v>
      </c>
      <c r="C1181" s="12" t="s">
        <v>1890</v>
      </c>
      <c r="D1181" s="13" t="n">
        <v>0.0110391203703704</v>
      </c>
      <c r="E1181" s="14" t="n">
        <v>1176</v>
      </c>
      <c r="F1181" s="15" t="n">
        <f aca="false">IF(D1181="","",ROUND((D1181-MIN($D$7:$D$9999))*86400,2))</f>
        <v>164.04</v>
      </c>
      <c r="G1181" s="10" t="str">
        <f aca="false">IF(D1181="","",IF(D1181&lt;=($E$3*60+$F$3)/86400,"○",""))</f>
        <v/>
      </c>
      <c r="H1181" s="16"/>
      <c r="I1181" s="17"/>
      <c r="J1181" s="16" t="n">
        <v>0.00291145833333333</v>
      </c>
      <c r="K1181" s="17" t="n">
        <v>1032</v>
      </c>
      <c r="L1181" s="17" t="n">
        <f aca="false">COUNT(E1181,I1181,K1181)</f>
        <v>2</v>
      </c>
      <c r="M1181" s="18" t="n">
        <f aca="false">(D1181&lt;&gt;"")*(D1181&lt;=($E$3*60+$F$3)/86400)+(H1181&lt;&gt;"")*(H1181&lt;=($I$3*60+$J$3)/86400)+(J1181&lt;&gt;"")*(J1181&lt;=($M$3*60+$N$3)/86400)</f>
        <v>0</v>
      </c>
      <c r="N1181" s="20"/>
      <c r="O1181" s="20"/>
      <c r="P1181" s="20"/>
      <c r="Q1181" s="19"/>
    </row>
    <row r="1182" customFormat="false" ht="15" hidden="false" customHeight="false" outlineLevel="0" collapsed="false">
      <c r="A1182" s="10" t="n">
        <v>1176</v>
      </c>
      <c r="B1182" s="11" t="s">
        <v>1891</v>
      </c>
      <c r="C1182" s="12" t="s">
        <v>1892</v>
      </c>
      <c r="D1182" s="13" t="n">
        <v>0.0110396990740741</v>
      </c>
      <c r="E1182" s="14" t="n">
        <v>1177</v>
      </c>
      <c r="F1182" s="15" t="n">
        <f aca="false">IF(D1182="","",ROUND((D1182-MIN($D$7:$D$9999))*86400,2))</f>
        <v>164.09</v>
      </c>
      <c r="G1182" s="10" t="str">
        <f aca="false">IF(D1182="","",IF(D1182&lt;=($E$3*60+$F$3)/86400,"○",""))</f>
        <v/>
      </c>
      <c r="H1182" s="16" t="n">
        <v>0.00704016203703704</v>
      </c>
      <c r="I1182" s="17" t="n">
        <v>375</v>
      </c>
      <c r="J1182" s="16" t="n">
        <v>0.00289143518518519</v>
      </c>
      <c r="K1182" s="17" t="n">
        <v>880</v>
      </c>
      <c r="L1182" s="17" t="n">
        <f aca="false">COUNT(E1182,I1182,K1182)</f>
        <v>3</v>
      </c>
      <c r="M1182" s="18" t="n">
        <f aca="false">(D1182&lt;&gt;"")*(D1182&lt;=($E$3*60+$F$3)/86400)+(H1182&lt;&gt;"")*(H1182&lt;=($I$3*60+$J$3)/86400)+(J1182&lt;&gt;"")*(J1182&lt;=($M$3*60+$N$3)/86400)</f>
        <v>0</v>
      </c>
      <c r="N1182" s="20"/>
      <c r="O1182" s="20"/>
      <c r="P1182" s="20"/>
      <c r="Q1182" s="19"/>
    </row>
    <row r="1183" customFormat="false" ht="15" hidden="false" customHeight="false" outlineLevel="0" collapsed="false">
      <c r="A1183" s="10" t="n">
        <v>1177</v>
      </c>
      <c r="B1183" s="11" t="s">
        <v>1893</v>
      </c>
      <c r="C1183" s="12" t="s">
        <v>1705</v>
      </c>
      <c r="D1183" s="13" t="n">
        <v>0.0110403935185185</v>
      </c>
      <c r="E1183" s="14" t="n">
        <v>1178</v>
      </c>
      <c r="F1183" s="15" t="n">
        <f aca="false">IF(D1183="","",ROUND((D1183-MIN($D$7:$D$9999))*86400,2))</f>
        <v>164.15</v>
      </c>
      <c r="G1183" s="10" t="str">
        <f aca="false">IF(D1183="","",IF(D1183&lt;=($E$3*60+$F$3)/86400,"○",""))</f>
        <v/>
      </c>
      <c r="H1183" s="16"/>
      <c r="I1183" s="17"/>
      <c r="J1183" s="16" t="n">
        <v>0.00285289351851852</v>
      </c>
      <c r="K1183" s="17" t="n">
        <v>585</v>
      </c>
      <c r="L1183" s="17" t="n">
        <f aca="false">COUNT(E1183,I1183,K1183)</f>
        <v>2</v>
      </c>
      <c r="M1183" s="18" t="n">
        <f aca="false">(D1183&lt;&gt;"")*(D1183&lt;=($E$3*60+$F$3)/86400)+(H1183&lt;&gt;"")*(H1183&lt;=($I$3*60+$J$3)/86400)+(J1183&lt;&gt;"")*(J1183&lt;=($M$3*60+$N$3)/86400)</f>
        <v>0</v>
      </c>
      <c r="N1183" s="20" t="s">
        <v>1894</v>
      </c>
      <c r="O1183" s="20"/>
      <c r="P1183" s="20"/>
      <c r="Q1183" s="19"/>
    </row>
    <row r="1184" customFormat="false" ht="15" hidden="false" customHeight="false" outlineLevel="0" collapsed="false">
      <c r="A1184" s="10" t="n">
        <v>1178</v>
      </c>
      <c r="B1184" s="11" t="s">
        <v>1895</v>
      </c>
      <c r="C1184" s="12" t="s">
        <v>290</v>
      </c>
      <c r="D1184" s="13" t="n">
        <v>0.0110405092592593</v>
      </c>
      <c r="E1184" s="14" t="n">
        <v>1179</v>
      </c>
      <c r="F1184" s="15" t="n">
        <f aca="false">IF(D1184="","",ROUND((D1184-MIN($D$7:$D$9999))*86400,2))</f>
        <v>164.16</v>
      </c>
      <c r="G1184" s="10" t="str">
        <f aca="false">IF(D1184="","",IF(D1184&lt;=($E$3*60+$F$3)/86400,"○",""))</f>
        <v/>
      </c>
      <c r="H1184" s="16"/>
      <c r="I1184" s="17"/>
      <c r="J1184" s="16"/>
      <c r="K1184" s="17"/>
      <c r="L1184" s="17" t="n">
        <f aca="false">COUNT(E1184,I1184,K1184)</f>
        <v>1</v>
      </c>
      <c r="M1184" s="18" t="n">
        <f aca="false">(D1184&lt;&gt;"")*(D1184&lt;=($E$3*60+$F$3)/86400)+(H1184&lt;&gt;"")*(H1184&lt;=($I$3*60+$J$3)/86400)+(J1184&lt;&gt;"")*(J1184&lt;=($M$3*60+$N$3)/86400)</f>
        <v>0</v>
      </c>
      <c r="N1184" s="20"/>
      <c r="O1184" s="20"/>
      <c r="P1184" s="20"/>
      <c r="Q1184" s="19"/>
    </row>
    <row r="1185" customFormat="false" ht="15" hidden="false" customHeight="false" outlineLevel="0" collapsed="false">
      <c r="A1185" s="10" t="n">
        <v>1179</v>
      </c>
      <c r="B1185" s="11" t="s">
        <v>1896</v>
      </c>
      <c r="C1185" s="12" t="s">
        <v>1154</v>
      </c>
      <c r="D1185" s="13" t="n">
        <v>0.0110408564814815</v>
      </c>
      <c r="E1185" s="14" t="n">
        <v>1180</v>
      </c>
      <c r="F1185" s="15" t="n">
        <f aca="false">IF(D1185="","",ROUND((D1185-MIN($D$7:$D$9999))*86400,2))</f>
        <v>164.19</v>
      </c>
      <c r="G1185" s="10" t="str">
        <f aca="false">IF(D1185="","",IF(D1185&lt;=($E$3*60+$F$3)/86400,"○",""))</f>
        <v/>
      </c>
      <c r="H1185" s="16"/>
      <c r="I1185" s="17"/>
      <c r="J1185" s="16" t="n">
        <v>0.00285763888888889</v>
      </c>
      <c r="K1185" s="17" t="n">
        <v>620</v>
      </c>
      <c r="L1185" s="17" t="n">
        <f aca="false">COUNT(E1185,I1185,K1185)</f>
        <v>2</v>
      </c>
      <c r="M1185" s="18" t="n">
        <f aca="false">(D1185&lt;&gt;"")*(D1185&lt;=($E$3*60+$F$3)/86400)+(H1185&lt;&gt;"")*(H1185&lt;=($I$3*60+$J$3)/86400)+(J1185&lt;&gt;"")*(J1185&lt;=($M$3*60+$N$3)/86400)</f>
        <v>0</v>
      </c>
      <c r="N1185" s="20"/>
      <c r="O1185" s="20"/>
      <c r="P1185" s="20"/>
      <c r="Q1185" s="19"/>
    </row>
    <row r="1186" customFormat="false" ht="15" hidden="false" customHeight="false" outlineLevel="0" collapsed="false">
      <c r="A1186" s="10" t="n">
        <v>1180</v>
      </c>
      <c r="B1186" s="11" t="s">
        <v>1897</v>
      </c>
      <c r="C1186" s="12" t="s">
        <v>559</v>
      </c>
      <c r="D1186" s="13" t="n">
        <v>0.011041087962963</v>
      </c>
      <c r="E1186" s="14" t="n">
        <v>1181</v>
      </c>
      <c r="F1186" s="15" t="n">
        <f aca="false">IF(D1186="","",ROUND((D1186-MIN($D$7:$D$9999))*86400,2))</f>
        <v>164.21</v>
      </c>
      <c r="G1186" s="10" t="str">
        <f aca="false">IF(D1186="","",IF(D1186&lt;=($E$3*60+$F$3)/86400,"○",""))</f>
        <v/>
      </c>
      <c r="H1186" s="16" t="n">
        <v>0.00696898148148148</v>
      </c>
      <c r="I1186" s="17" t="n">
        <v>304</v>
      </c>
      <c r="J1186" s="16" t="n">
        <v>0.00283356481481482</v>
      </c>
      <c r="K1186" s="17" t="n">
        <v>447</v>
      </c>
      <c r="L1186" s="17" t="n">
        <f aca="false">COUNT(E1186,I1186,K1186)</f>
        <v>3</v>
      </c>
      <c r="M1186" s="18" t="n">
        <f aca="false">(D1186&lt;&gt;"")*(D1186&lt;=($E$3*60+$F$3)/86400)+(H1186&lt;&gt;"")*(H1186&lt;=($I$3*60+$J$3)/86400)+(J1186&lt;&gt;"")*(J1186&lt;=($M$3*60+$N$3)/86400)</f>
        <v>0</v>
      </c>
      <c r="N1186" s="20"/>
      <c r="O1186" s="20"/>
      <c r="P1186" s="20"/>
      <c r="Q1186" s="19"/>
    </row>
    <row r="1187" customFormat="false" ht="15" hidden="false" customHeight="false" outlineLevel="0" collapsed="false">
      <c r="A1187" s="10" t="n">
        <v>1181</v>
      </c>
      <c r="B1187" s="11" t="s">
        <v>1898</v>
      </c>
      <c r="C1187" s="12" t="s">
        <v>380</v>
      </c>
      <c r="D1187" s="13" t="n">
        <v>0.0110421296296296</v>
      </c>
      <c r="E1187" s="14" t="n">
        <v>1182</v>
      </c>
      <c r="F1187" s="15" t="n">
        <f aca="false">IF(D1187="","",ROUND((D1187-MIN($D$7:$D$9999))*86400,2))</f>
        <v>164.3</v>
      </c>
      <c r="G1187" s="10" t="str">
        <f aca="false">IF(D1187="","",IF(D1187&lt;=($E$3*60+$F$3)/86400,"○",""))</f>
        <v/>
      </c>
      <c r="H1187" s="16"/>
      <c r="I1187" s="17"/>
      <c r="J1187" s="16"/>
      <c r="K1187" s="17"/>
      <c r="L1187" s="17" t="n">
        <f aca="false">COUNT(E1187,I1187,K1187)</f>
        <v>1</v>
      </c>
      <c r="M1187" s="18" t="n">
        <f aca="false">(D1187&lt;&gt;"")*(D1187&lt;=($E$3*60+$F$3)/86400)+(H1187&lt;&gt;"")*(H1187&lt;=($I$3*60+$J$3)/86400)+(J1187&lt;&gt;"")*(J1187&lt;=($M$3*60+$N$3)/86400)</f>
        <v>0</v>
      </c>
      <c r="N1187" s="20"/>
      <c r="O1187" s="20"/>
      <c r="P1187" s="20"/>
      <c r="Q1187" s="19"/>
    </row>
    <row r="1188" customFormat="false" ht="15" hidden="false" customHeight="false" outlineLevel="0" collapsed="false">
      <c r="A1188" s="10" t="n">
        <v>1182</v>
      </c>
      <c r="B1188" s="11" t="s">
        <v>1899</v>
      </c>
      <c r="C1188" s="12" t="s">
        <v>591</v>
      </c>
      <c r="D1188" s="13" t="n">
        <v>0.0110434027777778</v>
      </c>
      <c r="E1188" s="14" t="n">
        <v>1183</v>
      </c>
      <c r="F1188" s="15" t="n">
        <f aca="false">IF(D1188="","",ROUND((D1188-MIN($D$7:$D$9999))*86400,2))</f>
        <v>164.41</v>
      </c>
      <c r="G1188" s="10" t="str">
        <f aca="false">IF(D1188="","",IF(D1188&lt;=($E$3*60+$F$3)/86400,"○",""))</f>
        <v/>
      </c>
      <c r="H1188" s="16"/>
      <c r="I1188" s="17"/>
      <c r="J1188" s="16"/>
      <c r="K1188" s="17"/>
      <c r="L1188" s="17" t="n">
        <f aca="false">COUNT(E1188,I1188,K1188)</f>
        <v>1</v>
      </c>
      <c r="M1188" s="18" t="n">
        <f aca="false">(D1188&lt;&gt;"")*(D1188&lt;=($E$3*60+$F$3)/86400)+(H1188&lt;&gt;"")*(H1188&lt;=($I$3*60+$J$3)/86400)+(J1188&lt;&gt;"")*(J1188&lt;=($M$3*60+$N$3)/86400)</f>
        <v>0</v>
      </c>
      <c r="N1188" s="20"/>
      <c r="O1188" s="20"/>
      <c r="P1188" s="20"/>
      <c r="Q1188" s="19"/>
    </row>
    <row r="1189" customFormat="false" ht="15" hidden="false" customHeight="false" outlineLevel="0" collapsed="false">
      <c r="A1189" s="10" t="n">
        <v>1183</v>
      </c>
      <c r="B1189" s="11" t="s">
        <v>1900</v>
      </c>
      <c r="C1189" s="12" t="s">
        <v>1227</v>
      </c>
      <c r="D1189" s="13" t="n">
        <v>0.0110434027777778</v>
      </c>
      <c r="E1189" s="14" t="n">
        <v>1184</v>
      </c>
      <c r="F1189" s="15" t="n">
        <f aca="false">IF(D1189="","",ROUND((D1189-MIN($D$7:$D$9999))*86400,2))</f>
        <v>164.41</v>
      </c>
      <c r="G1189" s="10" t="str">
        <f aca="false">IF(D1189="","",IF(D1189&lt;=($E$3*60+$F$3)/86400,"○",""))</f>
        <v/>
      </c>
      <c r="H1189" s="16"/>
      <c r="I1189" s="17"/>
      <c r="J1189" s="16"/>
      <c r="K1189" s="17"/>
      <c r="L1189" s="17" t="n">
        <f aca="false">COUNT(E1189,I1189,K1189)</f>
        <v>1</v>
      </c>
      <c r="M1189" s="18" t="n">
        <f aca="false">(D1189&lt;&gt;"")*(D1189&lt;=($E$3*60+$F$3)/86400)+(H1189&lt;&gt;"")*(H1189&lt;=($I$3*60+$J$3)/86400)+(J1189&lt;&gt;"")*(J1189&lt;=($M$3*60+$N$3)/86400)</f>
        <v>0</v>
      </c>
      <c r="N1189" s="20"/>
      <c r="O1189" s="20"/>
      <c r="P1189" s="20"/>
      <c r="Q1189" s="19"/>
    </row>
    <row r="1190" customFormat="false" ht="15" hidden="false" customHeight="false" outlineLevel="0" collapsed="false">
      <c r="A1190" s="10" t="n">
        <v>1184</v>
      </c>
      <c r="B1190" s="11" t="s">
        <v>1901</v>
      </c>
      <c r="C1190" s="12" t="s">
        <v>145</v>
      </c>
      <c r="D1190" s="13" t="n">
        <v>0.01104375</v>
      </c>
      <c r="E1190" s="14" t="n">
        <v>1185</v>
      </c>
      <c r="F1190" s="15" t="n">
        <f aca="false">IF(D1190="","",ROUND((D1190-MIN($D$7:$D$9999))*86400,2))</f>
        <v>164.44</v>
      </c>
      <c r="G1190" s="10" t="str">
        <f aca="false">IF(D1190="","",IF(D1190&lt;=($E$3*60+$F$3)/86400,"○",""))</f>
        <v/>
      </c>
      <c r="H1190" s="16"/>
      <c r="I1190" s="17"/>
      <c r="J1190" s="16" t="n">
        <v>0.00279525462962963</v>
      </c>
      <c r="K1190" s="17" t="n">
        <v>260</v>
      </c>
      <c r="L1190" s="17" t="n">
        <f aca="false">COUNT(E1190,I1190,K1190)</f>
        <v>2</v>
      </c>
      <c r="M1190" s="18" t="n">
        <f aca="false">(D1190&lt;&gt;"")*(D1190&lt;=($E$3*60+$F$3)/86400)+(H1190&lt;&gt;"")*(H1190&lt;=($I$3*60+$J$3)/86400)+(J1190&lt;&gt;"")*(J1190&lt;=($M$3*60+$N$3)/86400)</f>
        <v>0</v>
      </c>
      <c r="N1190" s="20"/>
      <c r="O1190" s="20"/>
      <c r="P1190" s="20"/>
      <c r="Q1190" s="19"/>
    </row>
    <row r="1191" customFormat="false" ht="15" hidden="false" customHeight="false" outlineLevel="0" collapsed="false">
      <c r="A1191" s="10" t="n">
        <v>1185</v>
      </c>
      <c r="B1191" s="11" t="s">
        <v>1902</v>
      </c>
      <c r="C1191" s="12" t="s">
        <v>348</v>
      </c>
      <c r="D1191" s="13" t="n">
        <v>0.0110438657407407</v>
      </c>
      <c r="E1191" s="14" t="n">
        <v>1186</v>
      </c>
      <c r="F1191" s="15" t="n">
        <f aca="false">IF(D1191="","",ROUND((D1191-MIN($D$7:$D$9999))*86400,2))</f>
        <v>164.45</v>
      </c>
      <c r="G1191" s="10" t="str">
        <f aca="false">IF(D1191="","",IF(D1191&lt;=($E$3*60+$F$3)/86400,"○",""))</f>
        <v/>
      </c>
      <c r="H1191" s="16" t="n">
        <v>0.006571875</v>
      </c>
      <c r="I1191" s="17" t="n">
        <v>61</v>
      </c>
      <c r="J1191" s="16"/>
      <c r="K1191" s="17"/>
      <c r="L1191" s="17" t="n">
        <f aca="false">COUNT(E1191,I1191,K1191)</f>
        <v>2</v>
      </c>
      <c r="M1191" s="18" t="n">
        <f aca="false">(D1191&lt;&gt;"")*(D1191&lt;=($E$3*60+$F$3)/86400)+(H1191&lt;&gt;"")*(H1191&lt;=($I$3*60+$J$3)/86400)+(J1191&lt;&gt;"")*(J1191&lt;=($M$3*60+$N$3)/86400)</f>
        <v>0</v>
      </c>
      <c r="N1191" s="20"/>
      <c r="O1191" s="20"/>
      <c r="P1191" s="20"/>
      <c r="Q1191" s="19"/>
    </row>
    <row r="1192" customFormat="false" ht="15" hidden="false" customHeight="false" outlineLevel="0" collapsed="false">
      <c r="A1192" s="10" t="n">
        <v>1186</v>
      </c>
      <c r="B1192" s="11" t="s">
        <v>1903</v>
      </c>
      <c r="C1192" s="12" t="s">
        <v>463</v>
      </c>
      <c r="D1192" s="13" t="n">
        <v>0.0110439814814815</v>
      </c>
      <c r="E1192" s="14" t="n">
        <v>1187</v>
      </c>
      <c r="F1192" s="15" t="n">
        <f aca="false">IF(D1192="","",ROUND((D1192-MIN($D$7:$D$9999))*86400,2))</f>
        <v>164.46</v>
      </c>
      <c r="G1192" s="10" t="str">
        <f aca="false">IF(D1192="","",IF(D1192&lt;=($E$3*60+$F$3)/86400,"○",""))</f>
        <v/>
      </c>
      <c r="H1192" s="16" t="n">
        <v>0.00698113425925926</v>
      </c>
      <c r="I1192" s="17" t="n">
        <v>315</v>
      </c>
      <c r="J1192" s="16"/>
      <c r="K1192" s="17"/>
      <c r="L1192" s="17" t="n">
        <f aca="false">COUNT(E1192,I1192,K1192)</f>
        <v>2</v>
      </c>
      <c r="M1192" s="18" t="n">
        <f aca="false">(D1192&lt;&gt;"")*(D1192&lt;=($E$3*60+$F$3)/86400)+(H1192&lt;&gt;"")*(H1192&lt;=($I$3*60+$J$3)/86400)+(J1192&lt;&gt;"")*(J1192&lt;=($M$3*60+$N$3)/86400)</f>
        <v>0</v>
      </c>
      <c r="N1192" s="20"/>
      <c r="O1192" s="20" t="s">
        <v>1904</v>
      </c>
      <c r="P1192" s="20"/>
      <c r="Q1192" s="19"/>
    </row>
    <row r="1193" customFormat="false" ht="15" hidden="false" customHeight="false" outlineLevel="0" collapsed="false">
      <c r="A1193" s="10" t="n">
        <v>1187</v>
      </c>
      <c r="B1193" s="11" t="s">
        <v>1905</v>
      </c>
      <c r="C1193" s="12" t="s">
        <v>80</v>
      </c>
      <c r="D1193" s="13" t="n">
        <v>0.0110440972222222</v>
      </c>
      <c r="E1193" s="14" t="n">
        <v>1188</v>
      </c>
      <c r="F1193" s="15" t="n">
        <f aca="false">IF(D1193="","",ROUND((D1193-MIN($D$7:$D$9999))*86400,2))</f>
        <v>164.47</v>
      </c>
      <c r="G1193" s="10" t="str">
        <f aca="false">IF(D1193="","",IF(D1193&lt;=($E$3*60+$F$3)/86400,"○",""))</f>
        <v/>
      </c>
      <c r="H1193" s="16"/>
      <c r="I1193" s="17"/>
      <c r="J1193" s="16" t="n">
        <v>0.00296585648148148</v>
      </c>
      <c r="K1193" s="17" t="n">
        <v>1294</v>
      </c>
      <c r="L1193" s="17" t="n">
        <f aca="false">COUNT(E1193,I1193,K1193)</f>
        <v>2</v>
      </c>
      <c r="M1193" s="18" t="n">
        <f aca="false">(D1193&lt;&gt;"")*(D1193&lt;=($E$3*60+$F$3)/86400)+(H1193&lt;&gt;"")*(H1193&lt;=($I$3*60+$J$3)/86400)+(J1193&lt;&gt;"")*(J1193&lt;=($M$3*60+$N$3)/86400)</f>
        <v>0</v>
      </c>
      <c r="N1193" s="20"/>
      <c r="O1193" s="20"/>
      <c r="P1193" s="20"/>
      <c r="Q1193" s="19"/>
    </row>
    <row r="1194" customFormat="false" ht="15" hidden="false" customHeight="false" outlineLevel="0" collapsed="false">
      <c r="A1194" s="10" t="n">
        <v>1188</v>
      </c>
      <c r="B1194" s="11" t="s">
        <v>1906</v>
      </c>
      <c r="C1194" s="12" t="s">
        <v>1907</v>
      </c>
      <c r="D1194" s="13" t="n">
        <v>0.0110452546296296</v>
      </c>
      <c r="E1194" s="14" t="n">
        <v>1189</v>
      </c>
      <c r="F1194" s="15" t="n">
        <f aca="false">IF(D1194="","",ROUND((D1194-MIN($D$7:$D$9999))*86400,2))</f>
        <v>164.57</v>
      </c>
      <c r="G1194" s="10" t="str">
        <f aca="false">IF(D1194="","",IF(D1194&lt;=($E$3*60+$F$3)/86400,"○",""))</f>
        <v/>
      </c>
      <c r="H1194" s="16"/>
      <c r="I1194" s="17"/>
      <c r="J1194" s="16"/>
      <c r="K1194" s="17"/>
      <c r="L1194" s="17" t="n">
        <f aca="false">COUNT(E1194,I1194,K1194)</f>
        <v>1</v>
      </c>
      <c r="M1194" s="18" t="n">
        <f aca="false">(D1194&lt;&gt;"")*(D1194&lt;=($E$3*60+$F$3)/86400)+(H1194&lt;&gt;"")*(H1194&lt;=($I$3*60+$J$3)/86400)+(J1194&lt;&gt;"")*(J1194&lt;=($M$3*60+$N$3)/86400)</f>
        <v>0</v>
      </c>
      <c r="N1194" s="20"/>
      <c r="O1194" s="20"/>
      <c r="P1194" s="20"/>
      <c r="Q1194" s="19"/>
    </row>
    <row r="1195" customFormat="false" ht="15" hidden="false" customHeight="false" outlineLevel="0" collapsed="false">
      <c r="A1195" s="10" t="n">
        <v>1189</v>
      </c>
      <c r="B1195" s="11" t="s">
        <v>1908</v>
      </c>
      <c r="C1195" s="12" t="s">
        <v>1909</v>
      </c>
      <c r="D1195" s="13" t="n">
        <v>0.0110453703703704</v>
      </c>
      <c r="E1195" s="14" t="n">
        <v>1190</v>
      </c>
      <c r="F1195" s="15" t="n">
        <f aca="false">IF(D1195="","",ROUND((D1195-MIN($D$7:$D$9999))*86400,2))</f>
        <v>164.58</v>
      </c>
      <c r="G1195" s="10" t="str">
        <f aca="false">IF(D1195="","",IF(D1195&lt;=($E$3*60+$F$3)/86400,"○",""))</f>
        <v/>
      </c>
      <c r="H1195" s="16"/>
      <c r="I1195" s="17"/>
      <c r="J1195" s="16" t="n">
        <v>0.00288773148148148</v>
      </c>
      <c r="K1195" s="17" t="n">
        <v>841</v>
      </c>
      <c r="L1195" s="17" t="n">
        <f aca="false">COUNT(E1195,I1195,K1195)</f>
        <v>2</v>
      </c>
      <c r="M1195" s="18" t="n">
        <f aca="false">(D1195&lt;&gt;"")*(D1195&lt;=($E$3*60+$F$3)/86400)+(H1195&lt;&gt;"")*(H1195&lt;=($I$3*60+$J$3)/86400)+(J1195&lt;&gt;"")*(J1195&lt;=($M$3*60+$N$3)/86400)</f>
        <v>0</v>
      </c>
      <c r="N1195" s="20"/>
      <c r="O1195" s="20"/>
      <c r="P1195" s="20"/>
      <c r="Q1195" s="19"/>
    </row>
    <row r="1196" customFormat="false" ht="15" hidden="false" customHeight="false" outlineLevel="0" collapsed="false">
      <c r="A1196" s="10" t="n">
        <v>1190</v>
      </c>
      <c r="B1196" s="11" t="s">
        <v>1910</v>
      </c>
      <c r="C1196" s="12" t="s">
        <v>1117</v>
      </c>
      <c r="D1196" s="13" t="n">
        <v>0.0110453703703704</v>
      </c>
      <c r="E1196" s="14" t="n">
        <v>1191</v>
      </c>
      <c r="F1196" s="15" t="n">
        <f aca="false">IF(D1196="","",ROUND((D1196-MIN($D$7:$D$9999))*86400,2))</f>
        <v>164.58</v>
      </c>
      <c r="G1196" s="10" t="str">
        <f aca="false">IF(D1196="","",IF(D1196&lt;=($E$3*60+$F$3)/86400,"○",""))</f>
        <v/>
      </c>
      <c r="H1196" s="16"/>
      <c r="I1196" s="17"/>
      <c r="J1196" s="16"/>
      <c r="K1196" s="17"/>
      <c r="L1196" s="17" t="n">
        <f aca="false">COUNT(E1196,I1196,K1196)</f>
        <v>1</v>
      </c>
      <c r="M1196" s="18" t="n">
        <f aca="false">(D1196&lt;&gt;"")*(D1196&lt;=($E$3*60+$F$3)/86400)+(H1196&lt;&gt;"")*(H1196&lt;=($I$3*60+$J$3)/86400)+(J1196&lt;&gt;"")*(J1196&lt;=($M$3*60+$N$3)/86400)</f>
        <v>0</v>
      </c>
      <c r="N1196" s="20"/>
      <c r="O1196" s="20"/>
      <c r="P1196" s="20"/>
      <c r="Q1196" s="19"/>
    </row>
    <row r="1197" customFormat="false" ht="15" hidden="false" customHeight="false" outlineLevel="0" collapsed="false">
      <c r="A1197" s="10" t="n">
        <v>1191</v>
      </c>
      <c r="B1197" s="11" t="s">
        <v>1911</v>
      </c>
      <c r="C1197" s="12" t="s">
        <v>37</v>
      </c>
      <c r="D1197" s="13" t="n">
        <v>0.0110459490740741</v>
      </c>
      <c r="E1197" s="14" t="n">
        <v>1192</v>
      </c>
      <c r="F1197" s="15" t="n">
        <f aca="false">IF(D1197="","",ROUND((D1197-MIN($D$7:$D$9999))*86400,2))</f>
        <v>164.63</v>
      </c>
      <c r="G1197" s="10" t="str">
        <f aca="false">IF(D1197="","",IF(D1197&lt;=($E$3*60+$F$3)/86400,"○",""))</f>
        <v/>
      </c>
      <c r="H1197" s="16" t="n">
        <v>0.007</v>
      </c>
      <c r="I1197" s="17" t="n">
        <v>336</v>
      </c>
      <c r="J1197" s="16"/>
      <c r="K1197" s="17"/>
      <c r="L1197" s="17" t="n">
        <f aca="false">COUNT(E1197,I1197,K1197)</f>
        <v>2</v>
      </c>
      <c r="M1197" s="18" t="n">
        <f aca="false">(D1197&lt;&gt;"")*(D1197&lt;=($E$3*60+$F$3)/86400)+(H1197&lt;&gt;"")*(H1197&lt;=($I$3*60+$J$3)/86400)+(J1197&lt;&gt;"")*(J1197&lt;=($M$3*60+$N$3)/86400)</f>
        <v>0</v>
      </c>
      <c r="N1197" s="20"/>
      <c r="O1197" s="20"/>
      <c r="P1197" s="20"/>
      <c r="Q1197" s="19"/>
    </row>
    <row r="1198" customFormat="false" ht="15" hidden="false" customHeight="false" outlineLevel="0" collapsed="false">
      <c r="A1198" s="10" t="n">
        <v>1192</v>
      </c>
      <c r="B1198" s="11" t="s">
        <v>1912</v>
      </c>
      <c r="C1198" s="12" t="s">
        <v>1913</v>
      </c>
      <c r="D1198" s="13" t="n">
        <v>0.0110465277777778</v>
      </c>
      <c r="E1198" s="14" t="n">
        <v>1193</v>
      </c>
      <c r="F1198" s="15" t="n">
        <f aca="false">IF(D1198="","",ROUND((D1198-MIN($D$7:$D$9999))*86400,2))</f>
        <v>164.68</v>
      </c>
      <c r="G1198" s="10" t="str">
        <f aca="false">IF(D1198="","",IF(D1198&lt;=($E$3*60+$F$3)/86400,"○",""))</f>
        <v/>
      </c>
      <c r="H1198" s="16"/>
      <c r="I1198" s="17"/>
      <c r="J1198" s="16" t="n">
        <v>0.00296238425925926</v>
      </c>
      <c r="K1198" s="17" t="n">
        <v>1280</v>
      </c>
      <c r="L1198" s="17" t="n">
        <f aca="false">COUNT(E1198,I1198,K1198)</f>
        <v>2</v>
      </c>
      <c r="M1198" s="18" t="n">
        <f aca="false">(D1198&lt;&gt;"")*(D1198&lt;=($E$3*60+$F$3)/86400)+(H1198&lt;&gt;"")*(H1198&lt;=($I$3*60+$J$3)/86400)+(J1198&lt;&gt;"")*(J1198&lt;=($M$3*60+$N$3)/86400)</f>
        <v>0</v>
      </c>
      <c r="N1198" s="20"/>
      <c r="O1198" s="20"/>
      <c r="P1198" s="20"/>
      <c r="Q1198" s="19"/>
    </row>
    <row r="1199" customFormat="false" ht="15" hidden="false" customHeight="false" outlineLevel="0" collapsed="false">
      <c r="A1199" s="10" t="n">
        <v>1193</v>
      </c>
      <c r="B1199" s="11" t="s">
        <v>1914</v>
      </c>
      <c r="C1199" s="12" t="s">
        <v>1697</v>
      </c>
      <c r="D1199" s="13" t="n">
        <v>0.011046875</v>
      </c>
      <c r="E1199" s="14" t="n">
        <v>1194</v>
      </c>
      <c r="F1199" s="15" t="n">
        <f aca="false">IF(D1199="","",ROUND((D1199-MIN($D$7:$D$9999))*86400,2))</f>
        <v>164.71</v>
      </c>
      <c r="G1199" s="10" t="str">
        <f aca="false">IF(D1199="","",IF(D1199&lt;=($E$3*60+$F$3)/86400,"○",""))</f>
        <v/>
      </c>
      <c r="H1199" s="16"/>
      <c r="I1199" s="17"/>
      <c r="J1199" s="16" t="n">
        <v>0.0028505787037037</v>
      </c>
      <c r="K1199" s="17" t="n">
        <v>572</v>
      </c>
      <c r="L1199" s="17" t="n">
        <f aca="false">COUNT(E1199,I1199,K1199)</f>
        <v>2</v>
      </c>
      <c r="M1199" s="18" t="n">
        <f aca="false">(D1199&lt;&gt;"")*(D1199&lt;=($E$3*60+$F$3)/86400)+(H1199&lt;&gt;"")*(H1199&lt;=($I$3*60+$J$3)/86400)+(J1199&lt;&gt;"")*(J1199&lt;=($M$3*60+$N$3)/86400)</f>
        <v>0</v>
      </c>
      <c r="N1199" s="20"/>
      <c r="O1199" s="20"/>
      <c r="P1199" s="20"/>
      <c r="Q1199" s="19"/>
    </row>
    <row r="1200" customFormat="false" ht="15" hidden="false" customHeight="false" outlineLevel="0" collapsed="false">
      <c r="A1200" s="10" t="n">
        <v>1194</v>
      </c>
      <c r="B1200" s="11" t="s">
        <v>1915</v>
      </c>
      <c r="C1200" s="12" t="s">
        <v>165</v>
      </c>
      <c r="D1200" s="13" t="n">
        <v>0.0110471064814815</v>
      </c>
      <c r="E1200" s="14" t="n">
        <v>1195</v>
      </c>
      <c r="F1200" s="15" t="n">
        <f aca="false">IF(D1200="","",ROUND((D1200-MIN($D$7:$D$9999))*86400,2))</f>
        <v>164.73</v>
      </c>
      <c r="G1200" s="10" t="str">
        <f aca="false">IF(D1200="","",IF(D1200&lt;=($E$3*60+$F$3)/86400,"○",""))</f>
        <v/>
      </c>
      <c r="H1200" s="16"/>
      <c r="I1200" s="17"/>
      <c r="J1200" s="16"/>
      <c r="K1200" s="17"/>
      <c r="L1200" s="17" t="n">
        <f aca="false">COUNT(E1200,I1200,K1200)</f>
        <v>1</v>
      </c>
      <c r="M1200" s="18" t="n">
        <f aca="false">(D1200&lt;&gt;"")*(D1200&lt;=($E$3*60+$F$3)/86400)+(H1200&lt;&gt;"")*(H1200&lt;=($I$3*60+$J$3)/86400)+(J1200&lt;&gt;"")*(J1200&lt;=($M$3*60+$N$3)/86400)</f>
        <v>0</v>
      </c>
      <c r="N1200" s="20"/>
      <c r="O1200" s="20"/>
      <c r="P1200" s="20"/>
      <c r="Q1200" s="19"/>
    </row>
    <row r="1201" customFormat="false" ht="15" hidden="false" customHeight="false" outlineLevel="0" collapsed="false">
      <c r="A1201" s="10" t="n">
        <v>1195</v>
      </c>
      <c r="B1201" s="11" t="s">
        <v>1916</v>
      </c>
      <c r="C1201" s="12" t="s">
        <v>380</v>
      </c>
      <c r="D1201" s="13" t="n">
        <v>0.0110478009259259</v>
      </c>
      <c r="E1201" s="14" t="n">
        <v>1196</v>
      </c>
      <c r="F1201" s="15" t="n">
        <f aca="false">IF(D1201="","",ROUND((D1201-MIN($D$7:$D$9999))*86400,2))</f>
        <v>164.79</v>
      </c>
      <c r="G1201" s="10" t="str">
        <f aca="false">IF(D1201="","",IF(D1201&lt;=($E$3*60+$F$3)/86400,"○",""))</f>
        <v/>
      </c>
      <c r="H1201" s="16"/>
      <c r="I1201" s="17"/>
      <c r="J1201" s="16"/>
      <c r="K1201" s="17"/>
      <c r="L1201" s="17" t="n">
        <f aca="false">COUNT(E1201,I1201,K1201)</f>
        <v>1</v>
      </c>
      <c r="M1201" s="18" t="n">
        <f aca="false">(D1201&lt;&gt;"")*(D1201&lt;=($E$3*60+$F$3)/86400)+(H1201&lt;&gt;"")*(H1201&lt;=($I$3*60+$J$3)/86400)+(J1201&lt;&gt;"")*(J1201&lt;=($M$3*60+$N$3)/86400)</f>
        <v>0</v>
      </c>
      <c r="N1201" s="20"/>
      <c r="O1201" s="20"/>
      <c r="P1201" s="20"/>
      <c r="Q1201" s="19"/>
    </row>
    <row r="1202" customFormat="false" ht="15" hidden="false" customHeight="false" outlineLevel="0" collapsed="false">
      <c r="A1202" s="10" t="n">
        <v>1196</v>
      </c>
      <c r="B1202" s="11" t="s">
        <v>1917</v>
      </c>
      <c r="C1202" s="12" t="s">
        <v>1918</v>
      </c>
      <c r="D1202" s="13" t="n">
        <v>0.0110483796296296</v>
      </c>
      <c r="E1202" s="14" t="n">
        <v>1197</v>
      </c>
      <c r="F1202" s="15" t="n">
        <f aca="false">IF(D1202="","",ROUND((D1202-MIN($D$7:$D$9999))*86400,2))</f>
        <v>164.84</v>
      </c>
      <c r="G1202" s="10" t="str">
        <f aca="false">IF(D1202="","",IF(D1202&lt;=($E$3*60+$F$3)/86400,"○",""))</f>
        <v/>
      </c>
      <c r="H1202" s="16"/>
      <c r="I1202" s="17"/>
      <c r="J1202" s="16"/>
      <c r="K1202" s="17"/>
      <c r="L1202" s="17" t="n">
        <f aca="false">COUNT(E1202,I1202,K1202)</f>
        <v>1</v>
      </c>
      <c r="M1202" s="18" t="n">
        <f aca="false">(D1202&lt;&gt;"")*(D1202&lt;=($E$3*60+$F$3)/86400)+(H1202&lt;&gt;"")*(H1202&lt;=($I$3*60+$J$3)/86400)+(J1202&lt;&gt;"")*(J1202&lt;=($M$3*60+$N$3)/86400)</f>
        <v>0</v>
      </c>
      <c r="N1202" s="20"/>
      <c r="O1202" s="20"/>
      <c r="P1202" s="20"/>
      <c r="Q1202" s="19"/>
    </row>
    <row r="1203" customFormat="false" ht="15" hidden="false" customHeight="false" outlineLevel="0" collapsed="false">
      <c r="A1203" s="10" t="n">
        <v>1197</v>
      </c>
      <c r="B1203" s="11" t="s">
        <v>1919</v>
      </c>
      <c r="C1203" s="12" t="s">
        <v>417</v>
      </c>
      <c r="D1203" s="13" t="n">
        <v>0.011050462962963</v>
      </c>
      <c r="E1203" s="14" t="n">
        <v>1198</v>
      </c>
      <c r="F1203" s="15" t="n">
        <f aca="false">IF(D1203="","",ROUND((D1203-MIN($D$7:$D$9999))*86400,2))</f>
        <v>165.02</v>
      </c>
      <c r="G1203" s="10" t="str">
        <f aca="false">IF(D1203="","",IF(D1203&lt;=($E$3*60+$F$3)/86400,"○",""))</f>
        <v/>
      </c>
      <c r="H1203" s="16"/>
      <c r="I1203" s="17"/>
      <c r="J1203" s="16" t="n">
        <v>0.00297430555555556</v>
      </c>
      <c r="K1203" s="17" t="n">
        <v>1324</v>
      </c>
      <c r="L1203" s="17" t="n">
        <f aca="false">COUNT(E1203,I1203,K1203)</f>
        <v>2</v>
      </c>
      <c r="M1203" s="18" t="n">
        <f aca="false">(D1203&lt;&gt;"")*(D1203&lt;=($E$3*60+$F$3)/86400)+(H1203&lt;&gt;"")*(H1203&lt;=($I$3*60+$J$3)/86400)+(J1203&lt;&gt;"")*(J1203&lt;=($M$3*60+$N$3)/86400)</f>
        <v>0</v>
      </c>
      <c r="N1203" s="20"/>
      <c r="O1203" s="20"/>
      <c r="P1203" s="20"/>
      <c r="Q1203" s="19"/>
    </row>
    <row r="1204" customFormat="false" ht="15" hidden="false" customHeight="false" outlineLevel="0" collapsed="false">
      <c r="A1204" s="10" t="n">
        <v>1198</v>
      </c>
      <c r="B1204" s="11" t="s">
        <v>1920</v>
      </c>
      <c r="C1204" s="12" t="s">
        <v>125</v>
      </c>
      <c r="D1204" s="13" t="n">
        <v>0.0110515046296296</v>
      </c>
      <c r="E1204" s="14" t="n">
        <v>1199</v>
      </c>
      <c r="F1204" s="15" t="n">
        <f aca="false">IF(D1204="","",ROUND((D1204-MIN($D$7:$D$9999))*86400,2))</f>
        <v>165.11</v>
      </c>
      <c r="G1204" s="10" t="str">
        <f aca="false">IF(D1204="","",IF(D1204&lt;=($E$3*60+$F$3)/86400,"○",""))</f>
        <v/>
      </c>
      <c r="H1204" s="16" t="n">
        <v>0.00752384259259259</v>
      </c>
      <c r="I1204" s="17" t="n">
        <v>925</v>
      </c>
      <c r="J1204" s="16"/>
      <c r="K1204" s="17"/>
      <c r="L1204" s="17" t="n">
        <f aca="false">COUNT(E1204,I1204,K1204)</f>
        <v>2</v>
      </c>
      <c r="M1204" s="18" t="n">
        <f aca="false">(D1204&lt;&gt;"")*(D1204&lt;=($E$3*60+$F$3)/86400)+(H1204&lt;&gt;"")*(H1204&lt;=($I$3*60+$J$3)/86400)+(J1204&lt;&gt;"")*(J1204&lt;=($M$3*60+$N$3)/86400)</f>
        <v>0</v>
      </c>
      <c r="N1204" s="20"/>
      <c r="O1204" s="20"/>
      <c r="P1204" s="20"/>
      <c r="Q1204" s="19"/>
    </row>
    <row r="1205" customFormat="false" ht="15" hidden="false" customHeight="false" outlineLevel="0" collapsed="false">
      <c r="A1205" s="10" t="n">
        <v>1199</v>
      </c>
      <c r="B1205" s="11" t="s">
        <v>1921</v>
      </c>
      <c r="C1205" s="12" t="s">
        <v>1764</v>
      </c>
      <c r="D1205" s="13" t="n">
        <v>0.0110517361111111</v>
      </c>
      <c r="E1205" s="14" t="n">
        <v>1200</v>
      </c>
      <c r="F1205" s="15" t="n">
        <f aca="false">IF(D1205="","",ROUND((D1205-MIN($D$7:$D$9999))*86400,2))</f>
        <v>165.13</v>
      </c>
      <c r="G1205" s="10" t="str">
        <f aca="false">IF(D1205="","",IF(D1205&lt;=($E$3*60+$F$3)/86400,"○",""))</f>
        <v/>
      </c>
      <c r="H1205" s="16" t="n">
        <v>0.00734594907407408</v>
      </c>
      <c r="I1205" s="17" t="n">
        <v>706</v>
      </c>
      <c r="J1205" s="16" t="n">
        <v>0.00288194444444444</v>
      </c>
      <c r="K1205" s="17" t="n">
        <v>790</v>
      </c>
      <c r="L1205" s="17" t="n">
        <f aca="false">COUNT(E1205,I1205,K1205)</f>
        <v>3</v>
      </c>
      <c r="M1205" s="18" t="n">
        <f aca="false">(D1205&lt;&gt;"")*(D1205&lt;=($E$3*60+$F$3)/86400)+(H1205&lt;&gt;"")*(H1205&lt;=($I$3*60+$J$3)/86400)+(J1205&lt;&gt;"")*(J1205&lt;=($M$3*60+$N$3)/86400)</f>
        <v>0</v>
      </c>
      <c r="N1205" s="20"/>
      <c r="O1205" s="20"/>
      <c r="P1205" s="20"/>
      <c r="Q1205" s="19"/>
    </row>
    <row r="1206" customFormat="false" ht="15" hidden="false" customHeight="false" outlineLevel="0" collapsed="false">
      <c r="A1206" s="10" t="n">
        <v>1200</v>
      </c>
      <c r="B1206" s="11" t="s">
        <v>1922</v>
      </c>
      <c r="C1206" s="12" t="s">
        <v>1892</v>
      </c>
      <c r="D1206" s="13" t="n">
        <v>0.0110520833333333</v>
      </c>
      <c r="E1206" s="14" t="n">
        <v>1201</v>
      </c>
      <c r="F1206" s="15" t="n">
        <f aca="false">IF(D1206="","",ROUND((D1206-MIN($D$7:$D$9999))*86400,2))</f>
        <v>165.16</v>
      </c>
      <c r="G1206" s="10" t="str">
        <f aca="false">IF(D1206="","",IF(D1206&lt;=($E$3*60+$F$3)/86400,"○",""))</f>
        <v/>
      </c>
      <c r="H1206" s="16"/>
      <c r="I1206" s="17"/>
      <c r="J1206" s="16" t="n">
        <v>0.00295844907407407</v>
      </c>
      <c r="K1206" s="17" t="n">
        <v>1263</v>
      </c>
      <c r="L1206" s="17" t="n">
        <f aca="false">COUNT(E1206,I1206,K1206)</f>
        <v>2</v>
      </c>
      <c r="M1206" s="18" t="n">
        <f aca="false">(D1206&lt;&gt;"")*(D1206&lt;=($E$3*60+$F$3)/86400)+(H1206&lt;&gt;"")*(H1206&lt;=($I$3*60+$J$3)/86400)+(J1206&lt;&gt;"")*(J1206&lt;=($M$3*60+$N$3)/86400)</f>
        <v>0</v>
      </c>
      <c r="N1206" s="20"/>
      <c r="O1206" s="20"/>
      <c r="P1206" s="20"/>
      <c r="Q1206" s="19"/>
    </row>
    <row r="1207" customFormat="false" ht="15" hidden="false" customHeight="false" outlineLevel="0" collapsed="false">
      <c r="A1207" s="10" t="n">
        <v>1201</v>
      </c>
      <c r="B1207" s="11" t="s">
        <v>1923</v>
      </c>
      <c r="C1207" s="12" t="s">
        <v>737</v>
      </c>
      <c r="D1207" s="13" t="n">
        <v>0.0110524305555556</v>
      </c>
      <c r="E1207" s="14" t="n">
        <v>1202</v>
      </c>
      <c r="F1207" s="15" t="n">
        <f aca="false">IF(D1207="","",ROUND((D1207-MIN($D$7:$D$9999))*86400,2))</f>
        <v>165.19</v>
      </c>
      <c r="G1207" s="10" t="str">
        <f aca="false">IF(D1207="","",IF(D1207&lt;=($E$3*60+$F$3)/86400,"○",""))</f>
        <v/>
      </c>
      <c r="H1207" s="16" t="n">
        <v>0.00676064814814815</v>
      </c>
      <c r="I1207" s="17" t="n">
        <v>136</v>
      </c>
      <c r="J1207" s="16" t="n">
        <v>0.00297037037037037</v>
      </c>
      <c r="K1207" s="17" t="n">
        <v>1311</v>
      </c>
      <c r="L1207" s="17" t="n">
        <f aca="false">COUNT(E1207,I1207,K1207)</f>
        <v>3</v>
      </c>
      <c r="M1207" s="18" t="n">
        <f aca="false">(D1207&lt;&gt;"")*(D1207&lt;=($E$3*60+$F$3)/86400)+(H1207&lt;&gt;"")*(H1207&lt;=($I$3*60+$J$3)/86400)+(J1207&lt;&gt;"")*(J1207&lt;=($M$3*60+$N$3)/86400)</f>
        <v>0</v>
      </c>
      <c r="N1207" s="20"/>
      <c r="O1207" s="20"/>
      <c r="P1207" s="20"/>
      <c r="Q1207" s="19"/>
    </row>
    <row r="1208" customFormat="false" ht="15" hidden="false" customHeight="false" outlineLevel="0" collapsed="false">
      <c r="A1208" s="10" t="n">
        <v>1202</v>
      </c>
      <c r="B1208" s="11" t="s">
        <v>1924</v>
      </c>
      <c r="C1208" s="12" t="s">
        <v>544</v>
      </c>
      <c r="D1208" s="13" t="n">
        <v>0.0110524305555556</v>
      </c>
      <c r="E1208" s="14" t="n">
        <v>1203</v>
      </c>
      <c r="F1208" s="15" t="n">
        <f aca="false">IF(D1208="","",ROUND((D1208-MIN($D$7:$D$9999))*86400,2))</f>
        <v>165.19</v>
      </c>
      <c r="G1208" s="10" t="str">
        <f aca="false">IF(D1208="","",IF(D1208&lt;=($E$3*60+$F$3)/86400,"○",""))</f>
        <v/>
      </c>
      <c r="H1208" s="16" t="n">
        <v>0.00715798611111111</v>
      </c>
      <c r="I1208" s="17" t="n">
        <v>494</v>
      </c>
      <c r="J1208" s="16" t="n">
        <v>0.00292071759259259</v>
      </c>
      <c r="K1208" s="17" t="n">
        <v>1107</v>
      </c>
      <c r="L1208" s="17" t="n">
        <f aca="false">COUNT(E1208,I1208,K1208)</f>
        <v>3</v>
      </c>
      <c r="M1208" s="18" t="n">
        <f aca="false">(D1208&lt;&gt;"")*(D1208&lt;=($E$3*60+$F$3)/86400)+(H1208&lt;&gt;"")*(H1208&lt;=($I$3*60+$J$3)/86400)+(J1208&lt;&gt;"")*(J1208&lt;=($M$3*60+$N$3)/86400)</f>
        <v>0</v>
      </c>
      <c r="N1208" s="20"/>
      <c r="O1208" s="20"/>
      <c r="P1208" s="20"/>
      <c r="Q1208" s="19"/>
    </row>
    <row r="1209" customFormat="false" ht="15" hidden="false" customHeight="false" outlineLevel="0" collapsed="false">
      <c r="A1209" s="10" t="n">
        <v>1203</v>
      </c>
      <c r="B1209" s="11" t="s">
        <v>1925</v>
      </c>
      <c r="C1209" s="12" t="s">
        <v>351</v>
      </c>
      <c r="D1209" s="13" t="n">
        <v>0.011053125</v>
      </c>
      <c r="E1209" s="14" t="n">
        <v>1204</v>
      </c>
      <c r="F1209" s="15" t="n">
        <f aca="false">IF(D1209="","",ROUND((D1209-MIN($D$7:$D$9999))*86400,2))</f>
        <v>165.25</v>
      </c>
      <c r="G1209" s="10" t="str">
        <f aca="false">IF(D1209="","",IF(D1209&lt;=($E$3*60+$F$3)/86400,"○",""))</f>
        <v/>
      </c>
      <c r="H1209" s="16"/>
      <c r="I1209" s="17"/>
      <c r="J1209" s="16"/>
      <c r="K1209" s="17"/>
      <c r="L1209" s="17" t="n">
        <f aca="false">COUNT(E1209,I1209,K1209)</f>
        <v>1</v>
      </c>
      <c r="M1209" s="18" t="n">
        <f aca="false">(D1209&lt;&gt;"")*(D1209&lt;=($E$3*60+$F$3)/86400)+(H1209&lt;&gt;"")*(H1209&lt;=($I$3*60+$J$3)/86400)+(J1209&lt;&gt;"")*(J1209&lt;=($M$3*60+$N$3)/86400)</f>
        <v>0</v>
      </c>
      <c r="N1209" s="20"/>
      <c r="O1209" s="20"/>
      <c r="P1209" s="20"/>
      <c r="Q1209" s="19"/>
    </row>
    <row r="1210" customFormat="false" ht="15" hidden="false" customHeight="false" outlineLevel="0" collapsed="false">
      <c r="A1210" s="10" t="n">
        <v>1204</v>
      </c>
      <c r="B1210" s="11" t="s">
        <v>1926</v>
      </c>
      <c r="C1210" s="12" t="s">
        <v>1927</v>
      </c>
      <c r="D1210" s="13" t="n">
        <v>0.0110533564814815</v>
      </c>
      <c r="E1210" s="14" t="n">
        <v>1205</v>
      </c>
      <c r="F1210" s="15" t="n">
        <f aca="false">IF(D1210="","",ROUND((D1210-MIN($D$7:$D$9999))*86400,2))</f>
        <v>165.27</v>
      </c>
      <c r="G1210" s="10" t="str">
        <f aca="false">IF(D1210="","",IF(D1210&lt;=($E$3*60+$F$3)/86400,"○",""))</f>
        <v/>
      </c>
      <c r="H1210" s="16"/>
      <c r="I1210" s="17"/>
      <c r="J1210" s="16"/>
      <c r="K1210" s="17"/>
      <c r="L1210" s="17" t="n">
        <f aca="false">COUNT(E1210,I1210,K1210)</f>
        <v>1</v>
      </c>
      <c r="M1210" s="18" t="n">
        <f aca="false">(D1210&lt;&gt;"")*(D1210&lt;=($E$3*60+$F$3)/86400)+(H1210&lt;&gt;"")*(H1210&lt;=($I$3*60+$J$3)/86400)+(J1210&lt;&gt;"")*(J1210&lt;=($M$3*60+$N$3)/86400)</f>
        <v>0</v>
      </c>
      <c r="N1210" s="20"/>
      <c r="O1210" s="20"/>
      <c r="P1210" s="20"/>
      <c r="Q1210" s="19"/>
    </row>
    <row r="1211" customFormat="false" ht="15" hidden="false" customHeight="false" outlineLevel="0" collapsed="false">
      <c r="A1211" s="10" t="n">
        <v>1205</v>
      </c>
      <c r="B1211" s="11" t="s">
        <v>1928</v>
      </c>
      <c r="C1211" s="12" t="s">
        <v>1929</v>
      </c>
      <c r="D1211" s="13" t="n">
        <v>0.0110537037037037</v>
      </c>
      <c r="E1211" s="14" t="n">
        <v>1206</v>
      </c>
      <c r="F1211" s="15" t="n">
        <f aca="false">IF(D1211="","",ROUND((D1211-MIN($D$7:$D$9999))*86400,2))</f>
        <v>165.3</v>
      </c>
      <c r="G1211" s="10" t="str">
        <f aca="false">IF(D1211="","",IF(D1211&lt;=($E$3*60+$F$3)/86400,"○",""))</f>
        <v/>
      </c>
      <c r="H1211" s="16" t="n">
        <v>0.00686990740740741</v>
      </c>
      <c r="I1211" s="17" t="n">
        <v>218</v>
      </c>
      <c r="J1211" s="16"/>
      <c r="K1211" s="17"/>
      <c r="L1211" s="17" t="n">
        <f aca="false">COUNT(E1211,I1211,K1211)</f>
        <v>2</v>
      </c>
      <c r="M1211" s="18" t="n">
        <f aca="false">(D1211&lt;&gt;"")*(D1211&lt;=($E$3*60+$F$3)/86400)+(H1211&lt;&gt;"")*(H1211&lt;=($I$3*60+$J$3)/86400)+(J1211&lt;&gt;"")*(J1211&lt;=($M$3*60+$N$3)/86400)</f>
        <v>0</v>
      </c>
      <c r="N1211" s="20"/>
      <c r="O1211" s="20"/>
      <c r="P1211" s="20"/>
      <c r="Q1211" s="19"/>
    </row>
    <row r="1212" customFormat="false" ht="15" hidden="false" customHeight="false" outlineLevel="0" collapsed="false">
      <c r="A1212" s="10" t="n">
        <v>1206</v>
      </c>
      <c r="B1212" s="11" t="s">
        <v>1930</v>
      </c>
      <c r="C1212" s="12" t="s">
        <v>1931</v>
      </c>
      <c r="D1212" s="13" t="n">
        <v>0.0110538194444444</v>
      </c>
      <c r="E1212" s="14" t="n">
        <v>1207</v>
      </c>
      <c r="F1212" s="15" t="n">
        <f aca="false">IF(D1212="","",ROUND((D1212-MIN($D$7:$D$9999))*86400,2))</f>
        <v>165.31</v>
      </c>
      <c r="G1212" s="10" t="str">
        <f aca="false">IF(D1212="","",IF(D1212&lt;=($E$3*60+$F$3)/86400,"○",""))</f>
        <v/>
      </c>
      <c r="H1212" s="16" t="n">
        <v>0.00734479166666667</v>
      </c>
      <c r="I1212" s="17" t="n">
        <v>703</v>
      </c>
      <c r="J1212" s="16"/>
      <c r="K1212" s="17"/>
      <c r="L1212" s="17" t="n">
        <f aca="false">COUNT(E1212,I1212,K1212)</f>
        <v>2</v>
      </c>
      <c r="M1212" s="18" t="n">
        <f aca="false">(D1212&lt;&gt;"")*(D1212&lt;=($E$3*60+$F$3)/86400)+(H1212&lt;&gt;"")*(H1212&lt;=($I$3*60+$J$3)/86400)+(J1212&lt;&gt;"")*(J1212&lt;=($M$3*60+$N$3)/86400)</f>
        <v>0</v>
      </c>
      <c r="N1212" s="20"/>
      <c r="O1212" s="20"/>
      <c r="P1212" s="20"/>
      <c r="Q1212" s="19"/>
    </row>
    <row r="1213" customFormat="false" ht="15" hidden="false" customHeight="false" outlineLevel="0" collapsed="false">
      <c r="A1213" s="10" t="n">
        <v>1207</v>
      </c>
      <c r="B1213" s="11" t="s">
        <v>1932</v>
      </c>
      <c r="C1213" s="12" t="s">
        <v>137</v>
      </c>
      <c r="D1213" s="13" t="n">
        <v>0.0110539351851852</v>
      </c>
      <c r="E1213" s="14" t="n">
        <v>1208</v>
      </c>
      <c r="F1213" s="15" t="n">
        <f aca="false">IF(D1213="","",ROUND((D1213-MIN($D$7:$D$9999))*86400,2))</f>
        <v>165.32</v>
      </c>
      <c r="G1213" s="10" t="str">
        <f aca="false">IF(D1213="","",IF(D1213&lt;=($E$3*60+$F$3)/86400,"○",""))</f>
        <v/>
      </c>
      <c r="H1213" s="16"/>
      <c r="I1213" s="17"/>
      <c r="J1213" s="16" t="n">
        <v>0.00292546296296296</v>
      </c>
      <c r="K1213" s="17" t="n">
        <v>1152</v>
      </c>
      <c r="L1213" s="17" t="n">
        <f aca="false">COUNT(E1213,I1213,K1213)</f>
        <v>2</v>
      </c>
      <c r="M1213" s="18" t="n">
        <f aca="false">(D1213&lt;&gt;"")*(D1213&lt;=($E$3*60+$F$3)/86400)+(H1213&lt;&gt;"")*(H1213&lt;=($I$3*60+$J$3)/86400)+(J1213&lt;&gt;"")*(J1213&lt;=($M$3*60+$N$3)/86400)</f>
        <v>0</v>
      </c>
      <c r="N1213" s="20"/>
      <c r="O1213" s="20"/>
      <c r="P1213" s="20"/>
      <c r="Q1213" s="19"/>
    </row>
    <row r="1214" customFormat="false" ht="15" hidden="false" customHeight="false" outlineLevel="0" collapsed="false">
      <c r="A1214" s="10" t="n">
        <v>1208</v>
      </c>
      <c r="B1214" s="11" t="s">
        <v>1933</v>
      </c>
      <c r="C1214" s="12" t="s">
        <v>1934</v>
      </c>
      <c r="D1214" s="13" t="n">
        <v>0.0110541666666667</v>
      </c>
      <c r="E1214" s="14" t="n">
        <v>1209</v>
      </c>
      <c r="F1214" s="15" t="n">
        <f aca="false">IF(D1214="","",ROUND((D1214-MIN($D$7:$D$9999))*86400,2))</f>
        <v>165.34</v>
      </c>
      <c r="G1214" s="10" t="str">
        <f aca="false">IF(D1214="","",IF(D1214&lt;=($E$3*60+$F$3)/86400,"○",""))</f>
        <v/>
      </c>
      <c r="H1214" s="16"/>
      <c r="I1214" s="17"/>
      <c r="J1214" s="16" t="n">
        <v>0.00279490740740741</v>
      </c>
      <c r="K1214" s="17" t="n">
        <v>258</v>
      </c>
      <c r="L1214" s="17" t="n">
        <f aca="false">COUNT(E1214,I1214,K1214)</f>
        <v>2</v>
      </c>
      <c r="M1214" s="18" t="n">
        <f aca="false">(D1214&lt;&gt;"")*(D1214&lt;=($E$3*60+$F$3)/86400)+(H1214&lt;&gt;"")*(H1214&lt;=($I$3*60+$J$3)/86400)+(J1214&lt;&gt;"")*(J1214&lt;=($M$3*60+$N$3)/86400)</f>
        <v>0</v>
      </c>
      <c r="N1214" s="20"/>
      <c r="O1214" s="20"/>
      <c r="P1214" s="20"/>
      <c r="Q1214" s="19"/>
    </row>
    <row r="1215" customFormat="false" ht="15" hidden="false" customHeight="false" outlineLevel="0" collapsed="false">
      <c r="A1215" s="10" t="n">
        <v>1209</v>
      </c>
      <c r="B1215" s="11" t="s">
        <v>1935</v>
      </c>
      <c r="C1215" s="12" t="s">
        <v>1852</v>
      </c>
      <c r="D1215" s="13" t="n">
        <v>0.0110561342592593</v>
      </c>
      <c r="E1215" s="14" t="n">
        <v>1210</v>
      </c>
      <c r="F1215" s="15" t="n">
        <f aca="false">IF(D1215="","",ROUND((D1215-MIN($D$7:$D$9999))*86400,2))</f>
        <v>165.51</v>
      </c>
      <c r="G1215" s="10" t="str">
        <f aca="false">IF(D1215="","",IF(D1215&lt;=($E$3*60+$F$3)/86400,"○",""))</f>
        <v/>
      </c>
      <c r="H1215" s="16"/>
      <c r="I1215" s="17"/>
      <c r="J1215" s="16" t="n">
        <v>0.00292199074074074</v>
      </c>
      <c r="K1215" s="17" t="n">
        <v>1112</v>
      </c>
      <c r="L1215" s="17" t="n">
        <f aca="false">COUNT(E1215,I1215,K1215)</f>
        <v>2</v>
      </c>
      <c r="M1215" s="18" t="n">
        <f aca="false">(D1215&lt;&gt;"")*(D1215&lt;=($E$3*60+$F$3)/86400)+(H1215&lt;&gt;"")*(H1215&lt;=($I$3*60+$J$3)/86400)+(J1215&lt;&gt;"")*(J1215&lt;=($M$3*60+$N$3)/86400)</f>
        <v>0</v>
      </c>
      <c r="N1215" s="20"/>
      <c r="O1215" s="20"/>
      <c r="P1215" s="20"/>
      <c r="Q1215" s="19"/>
    </row>
    <row r="1216" customFormat="false" ht="15" hidden="false" customHeight="false" outlineLevel="0" collapsed="false">
      <c r="A1216" s="10" t="n">
        <v>1210</v>
      </c>
      <c r="B1216" s="11" t="s">
        <v>1936</v>
      </c>
      <c r="C1216" s="12" t="s">
        <v>1937</v>
      </c>
      <c r="D1216" s="13" t="n">
        <v>0.0110569444444445</v>
      </c>
      <c r="E1216" s="14" t="n">
        <v>1211</v>
      </c>
      <c r="F1216" s="15" t="n">
        <f aca="false">IF(D1216="","",ROUND((D1216-MIN($D$7:$D$9999))*86400,2))</f>
        <v>165.58</v>
      </c>
      <c r="G1216" s="10" t="str">
        <f aca="false">IF(D1216="","",IF(D1216&lt;=($E$3*60+$F$3)/86400,"○",""))</f>
        <v/>
      </c>
      <c r="H1216" s="16"/>
      <c r="I1216" s="17"/>
      <c r="J1216" s="16"/>
      <c r="K1216" s="17"/>
      <c r="L1216" s="17" t="n">
        <f aca="false">COUNT(E1216,I1216,K1216)</f>
        <v>1</v>
      </c>
      <c r="M1216" s="18" t="n">
        <f aca="false">(D1216&lt;&gt;"")*(D1216&lt;=($E$3*60+$F$3)/86400)+(H1216&lt;&gt;"")*(H1216&lt;=($I$3*60+$J$3)/86400)+(J1216&lt;&gt;"")*(J1216&lt;=($M$3*60+$N$3)/86400)</f>
        <v>0</v>
      </c>
      <c r="N1216" s="20"/>
      <c r="O1216" s="20"/>
      <c r="P1216" s="20"/>
      <c r="Q1216" s="19"/>
    </row>
    <row r="1217" customFormat="false" ht="15" hidden="false" customHeight="false" outlineLevel="0" collapsed="false">
      <c r="A1217" s="10" t="n">
        <v>1211</v>
      </c>
      <c r="B1217" s="11" t="s">
        <v>1938</v>
      </c>
      <c r="C1217" s="12" t="s">
        <v>1939</v>
      </c>
      <c r="D1217" s="13" t="n">
        <v>0.0110578703703704</v>
      </c>
      <c r="E1217" s="14" t="n">
        <v>1212</v>
      </c>
      <c r="F1217" s="15" t="n">
        <f aca="false">IF(D1217="","",ROUND((D1217-MIN($D$7:$D$9999))*86400,2))</f>
        <v>165.66</v>
      </c>
      <c r="G1217" s="10" t="str">
        <f aca="false">IF(D1217="","",IF(D1217&lt;=($E$3*60+$F$3)/86400,"○",""))</f>
        <v/>
      </c>
      <c r="H1217" s="16" t="n">
        <v>0.007896875</v>
      </c>
      <c r="I1217" s="17" t="n">
        <v>1162</v>
      </c>
      <c r="J1217" s="16"/>
      <c r="K1217" s="17"/>
      <c r="L1217" s="17" t="n">
        <f aca="false">COUNT(E1217,I1217,K1217)</f>
        <v>2</v>
      </c>
      <c r="M1217" s="18" t="n">
        <f aca="false">(D1217&lt;&gt;"")*(D1217&lt;=($E$3*60+$F$3)/86400)+(H1217&lt;&gt;"")*(H1217&lt;=($I$3*60+$J$3)/86400)+(J1217&lt;&gt;"")*(J1217&lt;=($M$3*60+$N$3)/86400)</f>
        <v>0</v>
      </c>
      <c r="N1217" s="20"/>
      <c r="O1217" s="20"/>
      <c r="P1217" s="20"/>
      <c r="Q1217" s="19"/>
    </row>
    <row r="1218" customFormat="false" ht="15" hidden="false" customHeight="false" outlineLevel="0" collapsed="false">
      <c r="A1218" s="10" t="n">
        <v>1212</v>
      </c>
      <c r="B1218" s="11" t="s">
        <v>1940</v>
      </c>
      <c r="C1218" s="12" t="s">
        <v>380</v>
      </c>
      <c r="D1218" s="13" t="n">
        <v>0.0110579861111111</v>
      </c>
      <c r="E1218" s="14" t="n">
        <v>1213</v>
      </c>
      <c r="F1218" s="15" t="n">
        <f aca="false">IF(D1218="","",ROUND((D1218-MIN($D$7:$D$9999))*86400,2))</f>
        <v>165.67</v>
      </c>
      <c r="G1218" s="10" t="str">
        <f aca="false">IF(D1218="","",IF(D1218&lt;=($E$3*60+$F$3)/86400,"○",""))</f>
        <v/>
      </c>
      <c r="H1218" s="16" t="n">
        <v>0.00686655092592593</v>
      </c>
      <c r="I1218" s="17" t="n">
        <v>215</v>
      </c>
      <c r="J1218" s="16"/>
      <c r="K1218" s="17"/>
      <c r="L1218" s="17" t="n">
        <f aca="false">COUNT(E1218,I1218,K1218)</f>
        <v>2</v>
      </c>
      <c r="M1218" s="18" t="n">
        <f aca="false">(D1218&lt;&gt;"")*(D1218&lt;=($E$3*60+$F$3)/86400)+(H1218&lt;&gt;"")*(H1218&lt;=($I$3*60+$J$3)/86400)+(J1218&lt;&gt;"")*(J1218&lt;=($M$3*60+$N$3)/86400)</f>
        <v>0</v>
      </c>
      <c r="N1218" s="20"/>
      <c r="O1218" s="20"/>
      <c r="P1218" s="20"/>
      <c r="Q1218" s="19"/>
    </row>
    <row r="1219" customFormat="false" ht="15" hidden="false" customHeight="false" outlineLevel="0" collapsed="false">
      <c r="A1219" s="10" t="n">
        <v>1213</v>
      </c>
      <c r="B1219" s="11" t="s">
        <v>1941</v>
      </c>
      <c r="C1219" s="12" t="s">
        <v>478</v>
      </c>
      <c r="D1219" s="13" t="n">
        <v>0.0110586805555556</v>
      </c>
      <c r="E1219" s="14" t="n">
        <v>1214</v>
      </c>
      <c r="F1219" s="15" t="n">
        <f aca="false">IF(D1219="","",ROUND((D1219-MIN($D$7:$D$9999))*86400,2))</f>
        <v>165.73</v>
      </c>
      <c r="G1219" s="10" t="str">
        <f aca="false">IF(D1219="","",IF(D1219&lt;=($E$3*60+$F$3)/86400,"○",""))</f>
        <v/>
      </c>
      <c r="H1219" s="16"/>
      <c r="I1219" s="17"/>
      <c r="J1219" s="16"/>
      <c r="K1219" s="17"/>
      <c r="L1219" s="17" t="n">
        <f aca="false">COUNT(E1219,I1219,K1219)</f>
        <v>1</v>
      </c>
      <c r="M1219" s="18" t="n">
        <f aca="false">(D1219&lt;&gt;"")*(D1219&lt;=($E$3*60+$F$3)/86400)+(H1219&lt;&gt;"")*(H1219&lt;=($I$3*60+$J$3)/86400)+(J1219&lt;&gt;"")*(J1219&lt;=($M$3*60+$N$3)/86400)</f>
        <v>0</v>
      </c>
      <c r="N1219" s="20"/>
      <c r="O1219" s="20"/>
      <c r="P1219" s="20"/>
      <c r="Q1219" s="19"/>
    </row>
    <row r="1220" customFormat="false" ht="15" hidden="false" customHeight="false" outlineLevel="0" collapsed="false">
      <c r="A1220" s="10" t="n">
        <v>1214</v>
      </c>
      <c r="B1220" s="11" t="s">
        <v>1942</v>
      </c>
      <c r="C1220" s="12" t="s">
        <v>1732</v>
      </c>
      <c r="D1220" s="13" t="n">
        <v>0.0110605324074074</v>
      </c>
      <c r="E1220" s="14" t="n">
        <v>1215</v>
      </c>
      <c r="F1220" s="15" t="n">
        <f aca="false">IF(D1220="","",ROUND((D1220-MIN($D$7:$D$9999))*86400,2))</f>
        <v>165.89</v>
      </c>
      <c r="G1220" s="10" t="str">
        <f aca="false">IF(D1220="","",IF(D1220&lt;=($E$3*60+$F$3)/86400,"○",""))</f>
        <v/>
      </c>
      <c r="H1220" s="16" t="n">
        <v>0.00772546296296296</v>
      </c>
      <c r="I1220" s="17" t="n">
        <v>1091</v>
      </c>
      <c r="J1220" s="16"/>
      <c r="K1220" s="17"/>
      <c r="L1220" s="17" t="n">
        <f aca="false">COUNT(E1220,I1220,K1220)</f>
        <v>2</v>
      </c>
      <c r="M1220" s="18" t="n">
        <f aca="false">(D1220&lt;&gt;"")*(D1220&lt;=($E$3*60+$F$3)/86400)+(H1220&lt;&gt;"")*(H1220&lt;=($I$3*60+$J$3)/86400)+(J1220&lt;&gt;"")*(J1220&lt;=($M$3*60+$N$3)/86400)</f>
        <v>0</v>
      </c>
      <c r="N1220" s="20"/>
      <c r="O1220" s="20"/>
      <c r="P1220" s="20"/>
      <c r="Q1220" s="19"/>
    </row>
    <row r="1221" customFormat="false" ht="15" hidden="false" customHeight="false" outlineLevel="0" collapsed="false">
      <c r="A1221" s="10" t="n">
        <v>1215</v>
      </c>
      <c r="B1221" s="11" t="s">
        <v>1943</v>
      </c>
      <c r="C1221" s="12" t="s">
        <v>1944</v>
      </c>
      <c r="D1221" s="13" t="n">
        <v>0.0110606481481482</v>
      </c>
      <c r="E1221" s="14" t="n">
        <v>1216</v>
      </c>
      <c r="F1221" s="15" t="n">
        <f aca="false">IF(D1221="","",ROUND((D1221-MIN($D$7:$D$9999))*86400,2))</f>
        <v>165.9</v>
      </c>
      <c r="G1221" s="10" t="str">
        <f aca="false">IF(D1221="","",IF(D1221&lt;=($E$3*60+$F$3)/86400,"○",""))</f>
        <v/>
      </c>
      <c r="H1221" s="16"/>
      <c r="I1221" s="17"/>
      <c r="J1221" s="16" t="n">
        <v>0.00284444444444444</v>
      </c>
      <c r="K1221" s="17" t="n">
        <v>530</v>
      </c>
      <c r="L1221" s="17" t="n">
        <f aca="false">COUNT(E1221,I1221,K1221)</f>
        <v>2</v>
      </c>
      <c r="M1221" s="18" t="n">
        <f aca="false">(D1221&lt;&gt;"")*(D1221&lt;=($E$3*60+$F$3)/86400)+(H1221&lt;&gt;"")*(H1221&lt;=($I$3*60+$J$3)/86400)+(J1221&lt;&gt;"")*(J1221&lt;=($M$3*60+$N$3)/86400)</f>
        <v>0</v>
      </c>
      <c r="N1221" s="20"/>
      <c r="O1221" s="20"/>
      <c r="P1221" s="20"/>
      <c r="Q1221" s="19"/>
    </row>
    <row r="1222" customFormat="false" ht="15" hidden="false" customHeight="false" outlineLevel="0" collapsed="false">
      <c r="A1222" s="10" t="n">
        <v>1216</v>
      </c>
      <c r="B1222" s="11" t="s">
        <v>1945</v>
      </c>
      <c r="C1222" s="12" t="s">
        <v>297</v>
      </c>
      <c r="D1222" s="13" t="n">
        <v>0.0110608796296296</v>
      </c>
      <c r="E1222" s="14" t="n">
        <v>1217</v>
      </c>
      <c r="F1222" s="15" t="n">
        <f aca="false">IF(D1222="","",ROUND((D1222-MIN($D$7:$D$9999))*86400,2))</f>
        <v>165.92</v>
      </c>
      <c r="G1222" s="10" t="str">
        <f aca="false">IF(D1222="","",IF(D1222&lt;=($E$3*60+$F$3)/86400,"○",""))</f>
        <v/>
      </c>
      <c r="H1222" s="16" t="n">
        <v>0.00682800925925926</v>
      </c>
      <c r="I1222" s="17" t="n">
        <v>191</v>
      </c>
      <c r="J1222" s="16"/>
      <c r="K1222" s="17"/>
      <c r="L1222" s="17" t="n">
        <f aca="false">COUNT(E1222,I1222,K1222)</f>
        <v>2</v>
      </c>
      <c r="M1222" s="18" t="n">
        <f aca="false">(D1222&lt;&gt;"")*(D1222&lt;=($E$3*60+$F$3)/86400)+(H1222&lt;&gt;"")*(H1222&lt;=($I$3*60+$J$3)/86400)+(J1222&lt;&gt;"")*(J1222&lt;=($M$3*60+$N$3)/86400)</f>
        <v>0</v>
      </c>
      <c r="N1222" s="20"/>
      <c r="O1222" s="20"/>
      <c r="P1222" s="20"/>
      <c r="Q1222" s="19"/>
    </row>
    <row r="1223" customFormat="false" ht="15" hidden="false" customHeight="false" outlineLevel="0" collapsed="false">
      <c r="A1223" s="10" t="n">
        <v>1217</v>
      </c>
      <c r="B1223" s="11" t="s">
        <v>1946</v>
      </c>
      <c r="C1223" s="12" t="s">
        <v>219</v>
      </c>
      <c r="D1223" s="13" t="n">
        <v>0.0110609953703704</v>
      </c>
      <c r="E1223" s="14" t="n">
        <v>1218</v>
      </c>
      <c r="F1223" s="15" t="n">
        <f aca="false">IF(D1223="","",ROUND((D1223-MIN($D$7:$D$9999))*86400,2))</f>
        <v>165.93</v>
      </c>
      <c r="G1223" s="10" t="str">
        <f aca="false">IF(D1223="","",IF(D1223&lt;=($E$3*60+$F$3)/86400,"○",""))</f>
        <v/>
      </c>
      <c r="H1223" s="16"/>
      <c r="I1223" s="17"/>
      <c r="J1223" s="16" t="n">
        <v>0.00280462962962963</v>
      </c>
      <c r="K1223" s="17" t="n">
        <v>301</v>
      </c>
      <c r="L1223" s="17" t="n">
        <f aca="false">COUNT(E1223,I1223,K1223)</f>
        <v>2</v>
      </c>
      <c r="M1223" s="18" t="n">
        <f aca="false">(D1223&lt;&gt;"")*(D1223&lt;=($E$3*60+$F$3)/86400)+(H1223&lt;&gt;"")*(H1223&lt;=($I$3*60+$J$3)/86400)+(J1223&lt;&gt;"")*(J1223&lt;=($M$3*60+$N$3)/86400)</f>
        <v>0</v>
      </c>
      <c r="N1223" s="20"/>
      <c r="O1223" s="20"/>
      <c r="P1223" s="20"/>
      <c r="Q1223" s="19"/>
    </row>
    <row r="1224" customFormat="false" ht="15" hidden="false" customHeight="false" outlineLevel="0" collapsed="false">
      <c r="A1224" s="10" t="n">
        <v>1218</v>
      </c>
      <c r="B1224" s="11" t="s">
        <v>1947</v>
      </c>
      <c r="C1224" s="12" t="s">
        <v>1948</v>
      </c>
      <c r="D1224" s="13" t="n">
        <v>0.0110611111111111</v>
      </c>
      <c r="E1224" s="14" t="n">
        <v>1219</v>
      </c>
      <c r="F1224" s="15" t="n">
        <f aca="false">IF(D1224="","",ROUND((D1224-MIN($D$7:$D$9999))*86400,2))</f>
        <v>165.94</v>
      </c>
      <c r="G1224" s="10" t="str">
        <f aca="false">IF(D1224="","",IF(D1224&lt;=($E$3*60+$F$3)/86400,"○",""))</f>
        <v/>
      </c>
      <c r="H1224" s="16"/>
      <c r="I1224" s="17"/>
      <c r="J1224" s="16"/>
      <c r="K1224" s="17"/>
      <c r="L1224" s="17" t="n">
        <f aca="false">COUNT(E1224,I1224,K1224)</f>
        <v>1</v>
      </c>
      <c r="M1224" s="18" t="n">
        <f aca="false">(D1224&lt;&gt;"")*(D1224&lt;=($E$3*60+$F$3)/86400)+(H1224&lt;&gt;"")*(H1224&lt;=($I$3*60+$J$3)/86400)+(J1224&lt;&gt;"")*(J1224&lt;=($M$3*60+$N$3)/86400)</f>
        <v>0</v>
      </c>
      <c r="N1224" s="20"/>
      <c r="O1224" s="20"/>
      <c r="P1224" s="20"/>
      <c r="Q1224" s="19"/>
    </row>
    <row r="1225" customFormat="false" ht="15" hidden="false" customHeight="false" outlineLevel="0" collapsed="false">
      <c r="A1225" s="10" t="n">
        <v>1219</v>
      </c>
      <c r="B1225" s="11" t="s">
        <v>1949</v>
      </c>
      <c r="C1225" s="12" t="s">
        <v>1950</v>
      </c>
      <c r="D1225" s="13" t="n">
        <v>0.0110612268518519</v>
      </c>
      <c r="E1225" s="14" t="n">
        <v>1220</v>
      </c>
      <c r="F1225" s="15" t="n">
        <f aca="false">IF(D1225="","",ROUND((D1225-MIN($D$7:$D$9999))*86400,2))</f>
        <v>165.95</v>
      </c>
      <c r="G1225" s="10" t="str">
        <f aca="false">IF(D1225="","",IF(D1225&lt;=($E$3*60+$F$3)/86400,"○",""))</f>
        <v/>
      </c>
      <c r="H1225" s="16" t="n">
        <v>0.00689340277777778</v>
      </c>
      <c r="I1225" s="17" t="n">
        <v>234</v>
      </c>
      <c r="J1225" s="16" t="n">
        <v>0.00296643518518519</v>
      </c>
      <c r="K1225" s="17" t="n">
        <v>1298</v>
      </c>
      <c r="L1225" s="17" t="n">
        <f aca="false">COUNT(E1225,I1225,K1225)</f>
        <v>3</v>
      </c>
      <c r="M1225" s="18" t="n">
        <f aca="false">(D1225&lt;&gt;"")*(D1225&lt;=($E$3*60+$F$3)/86400)+(H1225&lt;&gt;"")*(H1225&lt;=($I$3*60+$J$3)/86400)+(J1225&lt;&gt;"")*(J1225&lt;=($M$3*60+$N$3)/86400)</f>
        <v>0</v>
      </c>
      <c r="N1225" s="20"/>
      <c r="O1225" s="20"/>
      <c r="P1225" s="20"/>
      <c r="Q1225" s="19"/>
    </row>
    <row r="1226" customFormat="false" ht="15" hidden="false" customHeight="false" outlineLevel="0" collapsed="false">
      <c r="A1226" s="10" t="n">
        <v>1220</v>
      </c>
      <c r="B1226" s="11" t="s">
        <v>1951</v>
      </c>
      <c r="C1226" s="12" t="s">
        <v>1952</v>
      </c>
      <c r="D1226" s="13" t="n">
        <v>0.0110622685185185</v>
      </c>
      <c r="E1226" s="14" t="n">
        <v>1221</v>
      </c>
      <c r="F1226" s="15" t="n">
        <f aca="false">IF(D1226="","",ROUND((D1226-MIN($D$7:$D$9999))*86400,2))</f>
        <v>166.04</v>
      </c>
      <c r="G1226" s="10" t="str">
        <f aca="false">IF(D1226="","",IF(D1226&lt;=($E$3*60+$F$3)/86400,"○",""))</f>
        <v/>
      </c>
      <c r="H1226" s="16" t="n">
        <v>0.00730798611111111</v>
      </c>
      <c r="I1226" s="17" t="n">
        <v>657</v>
      </c>
      <c r="J1226" s="16"/>
      <c r="K1226" s="17"/>
      <c r="L1226" s="17" t="n">
        <f aca="false">COUNT(E1226,I1226,K1226)</f>
        <v>2</v>
      </c>
      <c r="M1226" s="18" t="n">
        <f aca="false">(D1226&lt;&gt;"")*(D1226&lt;=($E$3*60+$F$3)/86400)+(H1226&lt;&gt;"")*(H1226&lt;=($I$3*60+$J$3)/86400)+(J1226&lt;&gt;"")*(J1226&lt;=($M$3*60+$N$3)/86400)</f>
        <v>0</v>
      </c>
      <c r="N1226" s="20"/>
      <c r="O1226" s="20"/>
      <c r="P1226" s="20"/>
      <c r="Q1226" s="19"/>
    </row>
    <row r="1227" customFormat="false" ht="15" hidden="false" customHeight="false" outlineLevel="0" collapsed="false">
      <c r="A1227" s="10" t="n">
        <v>1221</v>
      </c>
      <c r="B1227" s="11" t="s">
        <v>1953</v>
      </c>
      <c r="C1227" s="12" t="s">
        <v>290</v>
      </c>
      <c r="D1227" s="13" t="n">
        <v>0.0110628472222222</v>
      </c>
      <c r="E1227" s="14" t="n">
        <v>1222</v>
      </c>
      <c r="F1227" s="15" t="n">
        <f aca="false">IF(D1227="","",ROUND((D1227-MIN($D$7:$D$9999))*86400,2))</f>
        <v>166.09</v>
      </c>
      <c r="G1227" s="10" t="str">
        <f aca="false">IF(D1227="","",IF(D1227&lt;=($E$3*60+$F$3)/86400,"○",""))</f>
        <v/>
      </c>
      <c r="H1227" s="16"/>
      <c r="I1227" s="17"/>
      <c r="J1227" s="16"/>
      <c r="K1227" s="17"/>
      <c r="L1227" s="17" t="n">
        <f aca="false">COUNT(E1227,I1227,K1227)</f>
        <v>1</v>
      </c>
      <c r="M1227" s="18" t="n">
        <f aca="false">(D1227&lt;&gt;"")*(D1227&lt;=($E$3*60+$F$3)/86400)+(H1227&lt;&gt;"")*(H1227&lt;=($I$3*60+$J$3)/86400)+(J1227&lt;&gt;"")*(J1227&lt;=($M$3*60+$N$3)/86400)</f>
        <v>0</v>
      </c>
      <c r="N1227" s="20"/>
      <c r="O1227" s="20"/>
      <c r="P1227" s="20"/>
      <c r="Q1227" s="19"/>
    </row>
    <row r="1228" customFormat="false" ht="15" hidden="false" customHeight="false" outlineLevel="0" collapsed="false">
      <c r="A1228" s="10" t="n">
        <v>1222</v>
      </c>
      <c r="B1228" s="11" t="s">
        <v>1954</v>
      </c>
      <c r="C1228" s="12" t="s">
        <v>406</v>
      </c>
      <c r="D1228" s="13" t="n">
        <v>0.0110631944444444</v>
      </c>
      <c r="E1228" s="14" t="n">
        <v>1223</v>
      </c>
      <c r="F1228" s="15" t="n">
        <f aca="false">IF(D1228="","",ROUND((D1228-MIN($D$7:$D$9999))*86400,2))</f>
        <v>166.12</v>
      </c>
      <c r="G1228" s="10" t="str">
        <f aca="false">IF(D1228="","",IF(D1228&lt;=($E$3*60+$F$3)/86400,"○",""))</f>
        <v/>
      </c>
      <c r="H1228" s="16"/>
      <c r="I1228" s="17"/>
      <c r="J1228" s="16"/>
      <c r="K1228" s="17"/>
      <c r="L1228" s="17" t="n">
        <f aca="false">COUNT(E1228,I1228,K1228)</f>
        <v>1</v>
      </c>
      <c r="M1228" s="18" t="n">
        <f aca="false">(D1228&lt;&gt;"")*(D1228&lt;=($E$3*60+$F$3)/86400)+(H1228&lt;&gt;"")*(H1228&lt;=($I$3*60+$J$3)/86400)+(J1228&lt;&gt;"")*(J1228&lt;=($M$3*60+$N$3)/86400)</f>
        <v>0</v>
      </c>
      <c r="N1228" s="20"/>
      <c r="O1228" s="20"/>
      <c r="P1228" s="20"/>
      <c r="Q1228" s="19"/>
    </row>
    <row r="1229" customFormat="false" ht="15" hidden="false" customHeight="false" outlineLevel="0" collapsed="false">
      <c r="A1229" s="10" t="n">
        <v>1223</v>
      </c>
      <c r="B1229" s="11" t="s">
        <v>1955</v>
      </c>
      <c r="C1229" s="12" t="s">
        <v>129</v>
      </c>
      <c r="D1229" s="13" t="n">
        <v>0.0110635416666667</v>
      </c>
      <c r="E1229" s="14" t="n">
        <v>1224</v>
      </c>
      <c r="F1229" s="15" t="n">
        <f aca="false">IF(D1229="","",ROUND((D1229-MIN($D$7:$D$9999))*86400,2))</f>
        <v>166.15</v>
      </c>
      <c r="G1229" s="10" t="str">
        <f aca="false">IF(D1229="","",IF(D1229&lt;=($E$3*60+$F$3)/86400,"○",""))</f>
        <v/>
      </c>
      <c r="H1229" s="16"/>
      <c r="I1229" s="17"/>
      <c r="J1229" s="16"/>
      <c r="K1229" s="17"/>
      <c r="L1229" s="17" t="n">
        <f aca="false">COUNT(E1229,I1229,K1229)</f>
        <v>1</v>
      </c>
      <c r="M1229" s="18" t="n">
        <f aca="false">(D1229&lt;&gt;"")*(D1229&lt;=($E$3*60+$F$3)/86400)+(H1229&lt;&gt;"")*(H1229&lt;=($I$3*60+$J$3)/86400)+(J1229&lt;&gt;"")*(J1229&lt;=($M$3*60+$N$3)/86400)</f>
        <v>0</v>
      </c>
      <c r="N1229" s="20"/>
      <c r="O1229" s="20"/>
      <c r="P1229" s="20"/>
      <c r="Q1229" s="19"/>
    </row>
    <row r="1230" customFormat="false" ht="15" hidden="false" customHeight="false" outlineLevel="0" collapsed="false">
      <c r="A1230" s="10" t="n">
        <v>1224</v>
      </c>
      <c r="B1230" s="11" t="s">
        <v>1956</v>
      </c>
      <c r="C1230" s="12" t="s">
        <v>1957</v>
      </c>
      <c r="D1230" s="13" t="n">
        <v>0.011065162037037</v>
      </c>
      <c r="E1230" s="14" t="n">
        <v>1225</v>
      </c>
      <c r="F1230" s="15" t="n">
        <f aca="false">IF(D1230="","",ROUND((D1230-MIN($D$7:$D$9999))*86400,2))</f>
        <v>166.29</v>
      </c>
      <c r="G1230" s="10" t="str">
        <f aca="false">IF(D1230="","",IF(D1230&lt;=($E$3*60+$F$3)/86400,"○",""))</f>
        <v/>
      </c>
      <c r="H1230" s="16"/>
      <c r="I1230" s="17"/>
      <c r="J1230" s="16"/>
      <c r="K1230" s="17"/>
      <c r="L1230" s="17" t="n">
        <f aca="false">COUNT(E1230,I1230,K1230)</f>
        <v>1</v>
      </c>
      <c r="M1230" s="18" t="n">
        <f aca="false">(D1230&lt;&gt;"")*(D1230&lt;=($E$3*60+$F$3)/86400)+(H1230&lt;&gt;"")*(H1230&lt;=($I$3*60+$J$3)/86400)+(J1230&lt;&gt;"")*(J1230&lt;=($M$3*60+$N$3)/86400)</f>
        <v>0</v>
      </c>
      <c r="N1230" s="20"/>
      <c r="O1230" s="20"/>
      <c r="P1230" s="20"/>
      <c r="Q1230" s="19"/>
    </row>
    <row r="1231" customFormat="false" ht="15" hidden="false" customHeight="false" outlineLevel="0" collapsed="false">
      <c r="A1231" s="10" t="n">
        <v>1225</v>
      </c>
      <c r="B1231" s="11" t="s">
        <v>1958</v>
      </c>
      <c r="C1231" s="12" t="s">
        <v>1346</v>
      </c>
      <c r="D1231" s="13" t="n">
        <v>0.0110658564814815</v>
      </c>
      <c r="E1231" s="14" t="n">
        <v>1226</v>
      </c>
      <c r="F1231" s="15" t="n">
        <f aca="false">IF(D1231="","",ROUND((D1231-MIN($D$7:$D$9999))*86400,2))</f>
        <v>166.35</v>
      </c>
      <c r="G1231" s="10" t="str">
        <f aca="false">IF(D1231="","",IF(D1231&lt;=($E$3*60+$F$3)/86400,"○",""))</f>
        <v/>
      </c>
      <c r="H1231" s="16"/>
      <c r="I1231" s="17"/>
      <c r="J1231" s="16"/>
      <c r="K1231" s="17"/>
      <c r="L1231" s="17" t="n">
        <f aca="false">COUNT(E1231,I1231,K1231)</f>
        <v>1</v>
      </c>
      <c r="M1231" s="18" t="n">
        <f aca="false">(D1231&lt;&gt;"")*(D1231&lt;=($E$3*60+$F$3)/86400)+(H1231&lt;&gt;"")*(H1231&lt;=($I$3*60+$J$3)/86400)+(J1231&lt;&gt;"")*(J1231&lt;=($M$3*60+$N$3)/86400)</f>
        <v>0</v>
      </c>
      <c r="N1231" s="20"/>
      <c r="O1231" s="20"/>
      <c r="P1231" s="20"/>
      <c r="Q1231" s="19"/>
    </row>
    <row r="1232" customFormat="false" ht="15" hidden="false" customHeight="false" outlineLevel="0" collapsed="false">
      <c r="A1232" s="10" t="n">
        <v>1226</v>
      </c>
      <c r="B1232" s="11" t="s">
        <v>1959</v>
      </c>
      <c r="C1232" s="12" t="s">
        <v>795</v>
      </c>
      <c r="D1232" s="13" t="n">
        <v>0.011066087962963</v>
      </c>
      <c r="E1232" s="14" t="n">
        <v>1227</v>
      </c>
      <c r="F1232" s="15" t="n">
        <f aca="false">IF(D1232="","",ROUND((D1232-MIN($D$7:$D$9999))*86400,2))</f>
        <v>166.37</v>
      </c>
      <c r="G1232" s="10" t="str">
        <f aca="false">IF(D1232="","",IF(D1232&lt;=($E$3*60+$F$3)/86400,"○",""))</f>
        <v/>
      </c>
      <c r="H1232" s="16" t="n">
        <v>0.0069525462962963</v>
      </c>
      <c r="I1232" s="17" t="n">
        <v>287</v>
      </c>
      <c r="J1232" s="16"/>
      <c r="K1232" s="17"/>
      <c r="L1232" s="17" t="n">
        <f aca="false">COUNT(E1232,I1232,K1232)</f>
        <v>2</v>
      </c>
      <c r="M1232" s="18" t="n">
        <f aca="false">(D1232&lt;&gt;"")*(D1232&lt;=($E$3*60+$F$3)/86400)+(H1232&lt;&gt;"")*(H1232&lt;=($I$3*60+$J$3)/86400)+(J1232&lt;&gt;"")*(J1232&lt;=($M$3*60+$N$3)/86400)</f>
        <v>0</v>
      </c>
      <c r="N1232" s="20"/>
      <c r="O1232" s="20"/>
      <c r="P1232" s="20"/>
      <c r="Q1232" s="19"/>
    </row>
    <row r="1233" customFormat="false" ht="15" hidden="false" customHeight="false" outlineLevel="0" collapsed="false">
      <c r="A1233" s="10" t="n">
        <v>1227</v>
      </c>
      <c r="B1233" s="11" t="s">
        <v>1960</v>
      </c>
      <c r="C1233" s="12" t="s">
        <v>1961</v>
      </c>
      <c r="D1233" s="13" t="n">
        <v>0.0110662037037037</v>
      </c>
      <c r="E1233" s="14" t="n">
        <v>1228</v>
      </c>
      <c r="F1233" s="15" t="n">
        <f aca="false">IF(D1233="","",ROUND((D1233-MIN($D$7:$D$9999))*86400,2))</f>
        <v>166.38</v>
      </c>
      <c r="G1233" s="10" t="str">
        <f aca="false">IF(D1233="","",IF(D1233&lt;=($E$3*60+$F$3)/86400,"○",""))</f>
        <v/>
      </c>
      <c r="H1233" s="16"/>
      <c r="I1233" s="17"/>
      <c r="J1233" s="16" t="n">
        <v>0.00284479166666667</v>
      </c>
      <c r="K1233" s="17" t="n">
        <v>534</v>
      </c>
      <c r="L1233" s="17" t="n">
        <f aca="false">COUNT(E1233,I1233,K1233)</f>
        <v>2</v>
      </c>
      <c r="M1233" s="18" t="n">
        <f aca="false">(D1233&lt;&gt;"")*(D1233&lt;=($E$3*60+$F$3)/86400)+(H1233&lt;&gt;"")*(H1233&lt;=($I$3*60+$J$3)/86400)+(J1233&lt;&gt;"")*(J1233&lt;=($M$3*60+$N$3)/86400)</f>
        <v>0</v>
      </c>
      <c r="N1233" s="20"/>
      <c r="O1233" s="20"/>
      <c r="P1233" s="20"/>
      <c r="Q1233" s="19"/>
    </row>
    <row r="1234" customFormat="false" ht="15" hidden="false" customHeight="false" outlineLevel="0" collapsed="false">
      <c r="A1234" s="10" t="n">
        <v>1228</v>
      </c>
      <c r="B1234" s="11" t="s">
        <v>1962</v>
      </c>
      <c r="C1234" s="12" t="s">
        <v>240</v>
      </c>
      <c r="D1234" s="13" t="n">
        <v>0.0110665509259259</v>
      </c>
      <c r="E1234" s="14" t="n">
        <v>1229</v>
      </c>
      <c r="F1234" s="15" t="n">
        <f aca="false">IF(D1234="","",ROUND((D1234-MIN($D$7:$D$9999))*86400,2))</f>
        <v>166.41</v>
      </c>
      <c r="G1234" s="10" t="str">
        <f aca="false">IF(D1234="","",IF(D1234&lt;=($E$3*60+$F$3)/86400,"○",""))</f>
        <v/>
      </c>
      <c r="H1234" s="16"/>
      <c r="I1234" s="17"/>
      <c r="J1234" s="16"/>
      <c r="K1234" s="17"/>
      <c r="L1234" s="17" t="n">
        <f aca="false">COUNT(E1234,I1234,K1234)</f>
        <v>1</v>
      </c>
      <c r="M1234" s="18" t="n">
        <f aca="false">(D1234&lt;&gt;"")*(D1234&lt;=($E$3*60+$F$3)/86400)+(H1234&lt;&gt;"")*(H1234&lt;=($I$3*60+$J$3)/86400)+(J1234&lt;&gt;"")*(J1234&lt;=($M$3*60+$N$3)/86400)</f>
        <v>0</v>
      </c>
      <c r="N1234" s="20"/>
      <c r="O1234" s="20"/>
      <c r="P1234" s="20"/>
      <c r="Q1234" s="19"/>
    </row>
    <row r="1235" customFormat="false" ht="15" hidden="false" customHeight="false" outlineLevel="0" collapsed="false">
      <c r="A1235" s="10" t="n">
        <v>1229</v>
      </c>
      <c r="B1235" s="11" t="s">
        <v>1963</v>
      </c>
      <c r="C1235" s="12" t="s">
        <v>1964</v>
      </c>
      <c r="D1235" s="13" t="n">
        <v>0.0110668981481482</v>
      </c>
      <c r="E1235" s="14" t="n">
        <v>1230</v>
      </c>
      <c r="F1235" s="15" t="n">
        <f aca="false">IF(D1235="","",ROUND((D1235-MIN($D$7:$D$9999))*86400,2))</f>
        <v>166.44</v>
      </c>
      <c r="G1235" s="10" t="str">
        <f aca="false">IF(D1235="","",IF(D1235&lt;=($E$3*60+$F$3)/86400,"○",""))</f>
        <v/>
      </c>
      <c r="H1235" s="16"/>
      <c r="I1235" s="17"/>
      <c r="J1235" s="16"/>
      <c r="K1235" s="17"/>
      <c r="L1235" s="17" t="n">
        <f aca="false">COUNT(E1235,I1235,K1235)</f>
        <v>1</v>
      </c>
      <c r="M1235" s="18" t="n">
        <f aca="false">(D1235&lt;&gt;"")*(D1235&lt;=($E$3*60+$F$3)/86400)+(H1235&lt;&gt;"")*(H1235&lt;=($I$3*60+$J$3)/86400)+(J1235&lt;&gt;"")*(J1235&lt;=($M$3*60+$N$3)/86400)</f>
        <v>0</v>
      </c>
      <c r="N1235" s="20"/>
      <c r="O1235" s="20"/>
      <c r="P1235" s="20"/>
      <c r="Q1235" s="19"/>
    </row>
    <row r="1236" customFormat="false" ht="15" hidden="false" customHeight="false" outlineLevel="0" collapsed="false">
      <c r="A1236" s="10" t="n">
        <v>1230</v>
      </c>
      <c r="B1236" s="11" t="s">
        <v>1965</v>
      </c>
      <c r="C1236" s="12" t="s">
        <v>281</v>
      </c>
      <c r="D1236" s="13" t="n">
        <v>0.0110670138888889</v>
      </c>
      <c r="E1236" s="14" t="n">
        <v>1231</v>
      </c>
      <c r="F1236" s="15" t="n">
        <f aca="false">IF(D1236="","",ROUND((D1236-MIN($D$7:$D$9999))*86400,2))</f>
        <v>166.45</v>
      </c>
      <c r="G1236" s="10" t="str">
        <f aca="false">IF(D1236="","",IF(D1236&lt;=($E$3*60+$F$3)/86400,"○",""))</f>
        <v/>
      </c>
      <c r="H1236" s="16"/>
      <c r="I1236" s="17"/>
      <c r="J1236" s="16"/>
      <c r="K1236" s="17"/>
      <c r="L1236" s="17" t="n">
        <f aca="false">COUNT(E1236,I1236,K1236)</f>
        <v>1</v>
      </c>
      <c r="M1236" s="18" t="n">
        <f aca="false">(D1236&lt;&gt;"")*(D1236&lt;=($E$3*60+$F$3)/86400)+(H1236&lt;&gt;"")*(H1236&lt;=($I$3*60+$J$3)/86400)+(J1236&lt;&gt;"")*(J1236&lt;=($M$3*60+$N$3)/86400)</f>
        <v>0</v>
      </c>
      <c r="N1236" s="20"/>
      <c r="O1236" s="20"/>
      <c r="P1236" s="20"/>
      <c r="Q1236" s="19"/>
    </row>
    <row r="1237" customFormat="false" ht="15" hidden="false" customHeight="false" outlineLevel="0" collapsed="false">
      <c r="A1237" s="10" t="n">
        <v>1231</v>
      </c>
      <c r="B1237" s="11" t="s">
        <v>1966</v>
      </c>
      <c r="C1237" s="12" t="s">
        <v>648</v>
      </c>
      <c r="D1237" s="13" t="n">
        <v>0.0110673611111111</v>
      </c>
      <c r="E1237" s="14" t="n">
        <v>1232</v>
      </c>
      <c r="F1237" s="15" t="n">
        <f aca="false">IF(D1237="","",ROUND((D1237-MIN($D$7:$D$9999))*86400,2))</f>
        <v>166.48</v>
      </c>
      <c r="G1237" s="10" t="str">
        <f aca="false">IF(D1237="","",IF(D1237&lt;=($E$3*60+$F$3)/86400,"○",""))</f>
        <v/>
      </c>
      <c r="H1237" s="16"/>
      <c r="I1237" s="17"/>
      <c r="J1237" s="16" t="n">
        <v>0.00284895833333333</v>
      </c>
      <c r="K1237" s="17" t="n">
        <v>564</v>
      </c>
      <c r="L1237" s="17" t="n">
        <f aca="false">COUNT(E1237,I1237,K1237)</f>
        <v>2</v>
      </c>
      <c r="M1237" s="18" t="n">
        <f aca="false">(D1237&lt;&gt;"")*(D1237&lt;=($E$3*60+$F$3)/86400)+(H1237&lt;&gt;"")*(H1237&lt;=($I$3*60+$J$3)/86400)+(J1237&lt;&gt;"")*(J1237&lt;=($M$3*60+$N$3)/86400)</f>
        <v>0</v>
      </c>
      <c r="N1237" s="20"/>
      <c r="O1237" s="20"/>
      <c r="P1237" s="20"/>
      <c r="Q1237" s="19"/>
    </row>
    <row r="1238" customFormat="false" ht="15" hidden="false" customHeight="false" outlineLevel="0" collapsed="false">
      <c r="A1238" s="10" t="n">
        <v>1232</v>
      </c>
      <c r="B1238" s="11" t="s">
        <v>1967</v>
      </c>
      <c r="C1238" s="12" t="s">
        <v>1968</v>
      </c>
      <c r="D1238" s="13" t="n">
        <v>0.0110694444444444</v>
      </c>
      <c r="E1238" s="14" t="n">
        <v>1233</v>
      </c>
      <c r="F1238" s="15" t="n">
        <f aca="false">IF(D1238="","",ROUND((D1238-MIN($D$7:$D$9999))*86400,2))</f>
        <v>166.66</v>
      </c>
      <c r="G1238" s="10" t="str">
        <f aca="false">IF(D1238="","",IF(D1238&lt;=($E$3*60+$F$3)/86400,"○",""))</f>
        <v/>
      </c>
      <c r="H1238" s="16"/>
      <c r="I1238" s="17"/>
      <c r="J1238" s="16"/>
      <c r="K1238" s="17"/>
      <c r="L1238" s="17" t="n">
        <f aca="false">COUNT(E1238,I1238,K1238)</f>
        <v>1</v>
      </c>
      <c r="M1238" s="18" t="n">
        <f aca="false">(D1238&lt;&gt;"")*(D1238&lt;=($E$3*60+$F$3)/86400)+(H1238&lt;&gt;"")*(H1238&lt;=($I$3*60+$J$3)/86400)+(J1238&lt;&gt;"")*(J1238&lt;=($M$3*60+$N$3)/86400)</f>
        <v>0</v>
      </c>
      <c r="N1238" s="20"/>
      <c r="O1238" s="20"/>
      <c r="P1238" s="20"/>
      <c r="Q1238" s="19"/>
    </row>
    <row r="1239" customFormat="false" ht="15" hidden="false" customHeight="false" outlineLevel="0" collapsed="false">
      <c r="A1239" s="10" t="n">
        <v>1233</v>
      </c>
      <c r="B1239" s="11" t="s">
        <v>1969</v>
      </c>
      <c r="C1239" s="12" t="s">
        <v>1409</v>
      </c>
      <c r="D1239" s="13" t="n">
        <v>0.0110696759259259</v>
      </c>
      <c r="E1239" s="14" t="n">
        <v>1234</v>
      </c>
      <c r="F1239" s="15" t="n">
        <f aca="false">IF(D1239="","",ROUND((D1239-MIN($D$7:$D$9999))*86400,2))</f>
        <v>166.68</v>
      </c>
      <c r="G1239" s="10" t="str">
        <f aca="false">IF(D1239="","",IF(D1239&lt;=($E$3*60+$F$3)/86400,"○",""))</f>
        <v/>
      </c>
      <c r="H1239" s="16"/>
      <c r="I1239" s="17"/>
      <c r="J1239" s="16"/>
      <c r="K1239" s="17"/>
      <c r="L1239" s="17" t="n">
        <f aca="false">COUNT(E1239,I1239,K1239)</f>
        <v>1</v>
      </c>
      <c r="M1239" s="18" t="n">
        <f aca="false">(D1239&lt;&gt;"")*(D1239&lt;=($E$3*60+$F$3)/86400)+(H1239&lt;&gt;"")*(H1239&lt;=($I$3*60+$J$3)/86400)+(J1239&lt;&gt;"")*(J1239&lt;=($M$3*60+$N$3)/86400)</f>
        <v>0</v>
      </c>
      <c r="N1239" s="20"/>
      <c r="O1239" s="20"/>
      <c r="P1239" s="20"/>
      <c r="Q1239" s="19"/>
    </row>
    <row r="1240" customFormat="false" ht="15" hidden="false" customHeight="false" outlineLevel="0" collapsed="false">
      <c r="A1240" s="10" t="n">
        <v>1234</v>
      </c>
      <c r="B1240" s="11" t="s">
        <v>1970</v>
      </c>
      <c r="C1240" s="12" t="s">
        <v>1971</v>
      </c>
      <c r="D1240" s="13" t="n">
        <v>0.0110702546296296</v>
      </c>
      <c r="E1240" s="14" t="n">
        <v>1235</v>
      </c>
      <c r="F1240" s="15" t="n">
        <f aca="false">IF(D1240="","",ROUND((D1240-MIN($D$7:$D$9999))*86400,2))</f>
        <v>166.73</v>
      </c>
      <c r="G1240" s="10" t="str">
        <f aca="false">IF(D1240="","",IF(D1240&lt;=($E$3*60+$F$3)/86400,"○",""))</f>
        <v/>
      </c>
      <c r="H1240" s="16"/>
      <c r="I1240" s="17"/>
      <c r="J1240" s="16"/>
      <c r="K1240" s="17"/>
      <c r="L1240" s="17" t="n">
        <f aca="false">COUNT(E1240,I1240,K1240)</f>
        <v>1</v>
      </c>
      <c r="M1240" s="18" t="n">
        <f aca="false">(D1240&lt;&gt;"")*(D1240&lt;=($E$3*60+$F$3)/86400)+(H1240&lt;&gt;"")*(H1240&lt;=($I$3*60+$J$3)/86400)+(J1240&lt;&gt;"")*(J1240&lt;=($M$3*60+$N$3)/86400)</f>
        <v>0</v>
      </c>
      <c r="N1240" s="20"/>
      <c r="O1240" s="20"/>
      <c r="P1240" s="20"/>
      <c r="Q1240" s="19"/>
    </row>
    <row r="1241" customFormat="false" ht="15" hidden="false" customHeight="false" outlineLevel="0" collapsed="false">
      <c r="A1241" s="10" t="n">
        <v>1235</v>
      </c>
      <c r="B1241" s="11" t="s">
        <v>1972</v>
      </c>
      <c r="C1241" s="12" t="s">
        <v>1212</v>
      </c>
      <c r="D1241" s="13" t="n">
        <v>0.0110709490740741</v>
      </c>
      <c r="E1241" s="14" t="n">
        <v>1236</v>
      </c>
      <c r="F1241" s="15" t="n">
        <f aca="false">IF(D1241="","",ROUND((D1241-MIN($D$7:$D$9999))*86400,2))</f>
        <v>166.79</v>
      </c>
      <c r="G1241" s="10" t="str">
        <f aca="false">IF(D1241="","",IF(D1241&lt;=($E$3*60+$F$3)/86400,"○",""))</f>
        <v/>
      </c>
      <c r="H1241" s="16"/>
      <c r="I1241" s="17"/>
      <c r="J1241" s="16" t="n">
        <v>0.00289212962962963</v>
      </c>
      <c r="K1241" s="17" t="n">
        <v>890</v>
      </c>
      <c r="L1241" s="17" t="n">
        <f aca="false">COUNT(E1241,I1241,K1241)</f>
        <v>2</v>
      </c>
      <c r="M1241" s="18" t="n">
        <f aca="false">(D1241&lt;&gt;"")*(D1241&lt;=($E$3*60+$F$3)/86400)+(H1241&lt;&gt;"")*(H1241&lt;=($I$3*60+$J$3)/86400)+(J1241&lt;&gt;"")*(J1241&lt;=($M$3*60+$N$3)/86400)</f>
        <v>0</v>
      </c>
      <c r="N1241" s="20"/>
      <c r="O1241" s="20"/>
      <c r="P1241" s="20"/>
      <c r="Q1241" s="19"/>
    </row>
    <row r="1242" customFormat="false" ht="15" hidden="false" customHeight="false" outlineLevel="0" collapsed="false">
      <c r="A1242" s="10" t="n">
        <v>1236</v>
      </c>
      <c r="B1242" s="11" t="s">
        <v>1973</v>
      </c>
      <c r="C1242" s="12" t="s">
        <v>1974</v>
      </c>
      <c r="D1242" s="13" t="n">
        <v>0.0110717592592593</v>
      </c>
      <c r="E1242" s="14" t="n">
        <v>1237</v>
      </c>
      <c r="F1242" s="15" t="n">
        <f aca="false">IF(D1242="","",ROUND((D1242-MIN($D$7:$D$9999))*86400,2))</f>
        <v>166.86</v>
      </c>
      <c r="G1242" s="10" t="str">
        <f aca="false">IF(D1242="","",IF(D1242&lt;=($E$3*60+$F$3)/86400,"○",""))</f>
        <v/>
      </c>
      <c r="H1242" s="16"/>
      <c r="I1242" s="17"/>
      <c r="J1242" s="16" t="n">
        <v>0.00289965277777778</v>
      </c>
      <c r="K1242" s="17" t="n">
        <v>942</v>
      </c>
      <c r="L1242" s="17" t="n">
        <f aca="false">COUNT(E1242,I1242,K1242)</f>
        <v>2</v>
      </c>
      <c r="M1242" s="18" t="n">
        <f aca="false">(D1242&lt;&gt;"")*(D1242&lt;=($E$3*60+$F$3)/86400)+(H1242&lt;&gt;"")*(H1242&lt;=($I$3*60+$J$3)/86400)+(J1242&lt;&gt;"")*(J1242&lt;=($M$3*60+$N$3)/86400)</f>
        <v>0</v>
      </c>
      <c r="N1242" s="20"/>
      <c r="O1242" s="20"/>
      <c r="P1242" s="20"/>
      <c r="Q1242" s="19"/>
    </row>
    <row r="1243" customFormat="false" ht="15" hidden="false" customHeight="false" outlineLevel="0" collapsed="false">
      <c r="A1243" s="10" t="n">
        <v>1237</v>
      </c>
      <c r="B1243" s="11" t="s">
        <v>1975</v>
      </c>
      <c r="C1243" s="12" t="s">
        <v>316</v>
      </c>
      <c r="D1243" s="13" t="n">
        <v>0.0110721064814815</v>
      </c>
      <c r="E1243" s="14" t="n">
        <v>1238</v>
      </c>
      <c r="F1243" s="15" t="n">
        <f aca="false">IF(D1243="","",ROUND((D1243-MIN($D$7:$D$9999))*86400,2))</f>
        <v>166.89</v>
      </c>
      <c r="G1243" s="10" t="str">
        <f aca="false">IF(D1243="","",IF(D1243&lt;=($E$3*60+$F$3)/86400,"○",""))</f>
        <v/>
      </c>
      <c r="H1243" s="16"/>
      <c r="I1243" s="17"/>
      <c r="J1243" s="16"/>
      <c r="K1243" s="17"/>
      <c r="L1243" s="17" t="n">
        <f aca="false">COUNT(E1243,I1243,K1243)</f>
        <v>1</v>
      </c>
      <c r="M1243" s="18" t="n">
        <f aca="false">(D1243&lt;&gt;"")*(D1243&lt;=($E$3*60+$F$3)/86400)+(H1243&lt;&gt;"")*(H1243&lt;=($I$3*60+$J$3)/86400)+(J1243&lt;&gt;"")*(J1243&lt;=($M$3*60+$N$3)/86400)</f>
        <v>0</v>
      </c>
      <c r="N1243" s="20"/>
      <c r="O1243" s="20"/>
      <c r="P1243" s="20"/>
      <c r="Q1243" s="19"/>
    </row>
    <row r="1244" customFormat="false" ht="15" hidden="false" customHeight="false" outlineLevel="0" collapsed="false">
      <c r="A1244" s="10" t="n">
        <v>1238</v>
      </c>
      <c r="B1244" s="11" t="s">
        <v>1976</v>
      </c>
      <c r="C1244" s="12" t="s">
        <v>430</v>
      </c>
      <c r="D1244" s="13" t="n">
        <v>0.0110722222222222</v>
      </c>
      <c r="E1244" s="14" t="n">
        <v>1239</v>
      </c>
      <c r="F1244" s="15" t="n">
        <f aca="false">IF(D1244="","",ROUND((D1244-MIN($D$7:$D$9999))*86400,2))</f>
        <v>166.9</v>
      </c>
      <c r="G1244" s="10" t="str">
        <f aca="false">IF(D1244="","",IF(D1244&lt;=($E$3*60+$F$3)/86400,"○",""))</f>
        <v/>
      </c>
      <c r="H1244" s="16" t="n">
        <v>0.00728298611111111</v>
      </c>
      <c r="I1244" s="17" t="n">
        <v>623</v>
      </c>
      <c r="J1244" s="16"/>
      <c r="K1244" s="17"/>
      <c r="L1244" s="17" t="n">
        <f aca="false">COUNT(E1244,I1244,K1244)</f>
        <v>2</v>
      </c>
      <c r="M1244" s="18" t="n">
        <f aca="false">(D1244&lt;&gt;"")*(D1244&lt;=($E$3*60+$F$3)/86400)+(H1244&lt;&gt;"")*(H1244&lt;=($I$3*60+$J$3)/86400)+(J1244&lt;&gt;"")*(J1244&lt;=($M$3*60+$N$3)/86400)</f>
        <v>0</v>
      </c>
      <c r="N1244" s="20"/>
      <c r="O1244" s="20"/>
      <c r="P1244" s="20"/>
      <c r="Q1244" s="19"/>
    </row>
    <row r="1245" customFormat="false" ht="15" hidden="false" customHeight="false" outlineLevel="0" collapsed="false">
      <c r="A1245" s="10" t="n">
        <v>1239</v>
      </c>
      <c r="B1245" s="11" t="s">
        <v>1977</v>
      </c>
      <c r="C1245" s="12" t="s">
        <v>1625</v>
      </c>
      <c r="D1245" s="13" t="n">
        <v>0.011072337962963</v>
      </c>
      <c r="E1245" s="14" t="n">
        <v>1240</v>
      </c>
      <c r="F1245" s="15" t="n">
        <f aca="false">IF(D1245="","",ROUND((D1245-MIN($D$7:$D$9999))*86400,2))</f>
        <v>166.91</v>
      </c>
      <c r="G1245" s="10" t="str">
        <f aca="false">IF(D1245="","",IF(D1245&lt;=($E$3*60+$F$3)/86400,"○",""))</f>
        <v/>
      </c>
      <c r="H1245" s="16"/>
      <c r="I1245" s="17"/>
      <c r="J1245" s="16" t="n">
        <v>0.00292546296296296</v>
      </c>
      <c r="K1245" s="17" t="n">
        <v>1153</v>
      </c>
      <c r="L1245" s="17" t="n">
        <f aca="false">COUNT(E1245,I1245,K1245)</f>
        <v>2</v>
      </c>
      <c r="M1245" s="18" t="n">
        <f aca="false">(D1245&lt;&gt;"")*(D1245&lt;=($E$3*60+$F$3)/86400)+(H1245&lt;&gt;"")*(H1245&lt;=($I$3*60+$J$3)/86400)+(J1245&lt;&gt;"")*(J1245&lt;=($M$3*60+$N$3)/86400)</f>
        <v>0</v>
      </c>
      <c r="N1245" s="20"/>
      <c r="O1245" s="20"/>
      <c r="P1245" s="20"/>
      <c r="Q1245" s="19"/>
    </row>
    <row r="1246" customFormat="false" ht="15" hidden="false" customHeight="false" outlineLevel="0" collapsed="false">
      <c r="A1246" s="10" t="n">
        <v>1240</v>
      </c>
      <c r="B1246" s="11" t="s">
        <v>1978</v>
      </c>
      <c r="C1246" s="12" t="s">
        <v>1315</v>
      </c>
      <c r="D1246" s="13" t="n">
        <v>0.0110730324074074</v>
      </c>
      <c r="E1246" s="14" t="n">
        <v>1241</v>
      </c>
      <c r="F1246" s="15" t="n">
        <f aca="false">IF(D1246="","",ROUND((D1246-MIN($D$7:$D$9999))*86400,2))</f>
        <v>166.97</v>
      </c>
      <c r="G1246" s="10" t="str">
        <f aca="false">IF(D1246="","",IF(D1246&lt;=($E$3*60+$F$3)/86400,"○",""))</f>
        <v/>
      </c>
      <c r="H1246" s="16"/>
      <c r="I1246" s="17"/>
      <c r="J1246" s="16" t="n">
        <v>0.00283981481481482</v>
      </c>
      <c r="K1246" s="17" t="n">
        <v>495</v>
      </c>
      <c r="L1246" s="17" t="n">
        <f aca="false">COUNT(E1246,I1246,K1246)</f>
        <v>2</v>
      </c>
      <c r="M1246" s="18" t="n">
        <f aca="false">(D1246&lt;&gt;"")*(D1246&lt;=($E$3*60+$F$3)/86400)+(H1246&lt;&gt;"")*(H1246&lt;=($I$3*60+$J$3)/86400)+(J1246&lt;&gt;"")*(J1246&lt;=($M$3*60+$N$3)/86400)</f>
        <v>0</v>
      </c>
      <c r="N1246" s="20"/>
      <c r="O1246" s="20"/>
      <c r="P1246" s="20"/>
      <c r="Q1246" s="19"/>
    </row>
    <row r="1247" customFormat="false" ht="15" hidden="false" customHeight="false" outlineLevel="0" collapsed="false">
      <c r="A1247" s="10" t="n">
        <v>1241</v>
      </c>
      <c r="B1247" s="11" t="s">
        <v>1979</v>
      </c>
      <c r="C1247" s="12" t="s">
        <v>125</v>
      </c>
      <c r="D1247" s="13" t="n">
        <v>0.0110730324074074</v>
      </c>
      <c r="E1247" s="14" t="n">
        <v>1242</v>
      </c>
      <c r="F1247" s="15" t="n">
        <f aca="false">IF(D1247="","",ROUND((D1247-MIN($D$7:$D$9999))*86400,2))</f>
        <v>166.97</v>
      </c>
      <c r="G1247" s="10" t="str">
        <f aca="false">IF(D1247="","",IF(D1247&lt;=($E$3*60+$F$3)/86400,"○",""))</f>
        <v/>
      </c>
      <c r="H1247" s="16" t="n">
        <v>0.00698055555555556</v>
      </c>
      <c r="I1247" s="17" t="n">
        <v>313</v>
      </c>
      <c r="J1247" s="16"/>
      <c r="K1247" s="17"/>
      <c r="L1247" s="17" t="n">
        <f aca="false">COUNT(E1247,I1247,K1247)</f>
        <v>2</v>
      </c>
      <c r="M1247" s="18" t="n">
        <f aca="false">(D1247&lt;&gt;"")*(D1247&lt;=($E$3*60+$F$3)/86400)+(H1247&lt;&gt;"")*(H1247&lt;=($I$3*60+$J$3)/86400)+(J1247&lt;&gt;"")*(J1247&lt;=($M$3*60+$N$3)/86400)</f>
        <v>0</v>
      </c>
      <c r="N1247" s="20"/>
      <c r="O1247" s="20"/>
      <c r="P1247" s="20"/>
      <c r="Q1247" s="19"/>
    </row>
    <row r="1248" customFormat="false" ht="15" hidden="false" customHeight="false" outlineLevel="0" collapsed="false">
      <c r="A1248" s="10" t="n">
        <v>1242</v>
      </c>
      <c r="B1248" s="11" t="s">
        <v>1980</v>
      </c>
      <c r="C1248" s="12" t="s">
        <v>1111</v>
      </c>
      <c r="D1248" s="13" t="n">
        <v>0.0110730324074074</v>
      </c>
      <c r="E1248" s="14" t="n">
        <v>1243</v>
      </c>
      <c r="F1248" s="15" t="n">
        <f aca="false">IF(D1248="","",ROUND((D1248-MIN($D$7:$D$9999))*86400,2))</f>
        <v>166.97</v>
      </c>
      <c r="G1248" s="10" t="str">
        <f aca="false">IF(D1248="","",IF(D1248&lt;=($E$3*60+$F$3)/86400,"○",""))</f>
        <v/>
      </c>
      <c r="H1248" s="16"/>
      <c r="I1248" s="17"/>
      <c r="J1248" s="16"/>
      <c r="K1248" s="17"/>
      <c r="L1248" s="17" t="n">
        <f aca="false">COUNT(E1248,I1248,K1248)</f>
        <v>1</v>
      </c>
      <c r="M1248" s="18" t="n">
        <f aca="false">(D1248&lt;&gt;"")*(D1248&lt;=($E$3*60+$F$3)/86400)+(H1248&lt;&gt;"")*(H1248&lt;=($I$3*60+$J$3)/86400)+(J1248&lt;&gt;"")*(J1248&lt;=($M$3*60+$N$3)/86400)</f>
        <v>0</v>
      </c>
      <c r="N1248" s="20"/>
      <c r="O1248" s="20"/>
      <c r="P1248" s="20"/>
      <c r="Q1248" s="19"/>
    </row>
    <row r="1249" customFormat="false" ht="15" hidden="false" customHeight="false" outlineLevel="0" collapsed="false">
      <c r="A1249" s="10" t="n">
        <v>1243</v>
      </c>
      <c r="B1249" s="11" t="s">
        <v>1981</v>
      </c>
      <c r="C1249" s="12" t="s">
        <v>1047</v>
      </c>
      <c r="D1249" s="13" t="n">
        <v>0.0110767361111111</v>
      </c>
      <c r="E1249" s="14" t="n">
        <v>1244</v>
      </c>
      <c r="F1249" s="15" t="n">
        <f aca="false">IF(D1249="","",ROUND((D1249-MIN($D$7:$D$9999))*86400,2))</f>
        <v>167.29</v>
      </c>
      <c r="G1249" s="10" t="str">
        <f aca="false">IF(D1249="","",IF(D1249&lt;=($E$3*60+$F$3)/86400,"○",""))</f>
        <v/>
      </c>
      <c r="H1249" s="16"/>
      <c r="I1249" s="17"/>
      <c r="J1249" s="16"/>
      <c r="K1249" s="17"/>
      <c r="L1249" s="17" t="n">
        <f aca="false">COUNT(E1249,I1249,K1249)</f>
        <v>1</v>
      </c>
      <c r="M1249" s="18" t="n">
        <f aca="false">(D1249&lt;&gt;"")*(D1249&lt;=($E$3*60+$F$3)/86400)+(H1249&lt;&gt;"")*(H1249&lt;=($I$3*60+$J$3)/86400)+(J1249&lt;&gt;"")*(J1249&lt;=($M$3*60+$N$3)/86400)</f>
        <v>0</v>
      </c>
      <c r="N1249" s="20"/>
      <c r="O1249" s="20"/>
      <c r="P1249" s="20"/>
      <c r="Q1249" s="19"/>
    </row>
    <row r="1250" customFormat="false" ht="15" hidden="false" customHeight="false" outlineLevel="0" collapsed="false">
      <c r="A1250" s="10" t="n">
        <v>1244</v>
      </c>
      <c r="B1250" s="11" t="s">
        <v>1982</v>
      </c>
      <c r="C1250" s="12" t="s">
        <v>1983</v>
      </c>
      <c r="D1250" s="13" t="n">
        <v>0.0110770833333333</v>
      </c>
      <c r="E1250" s="14" t="n">
        <v>1245</v>
      </c>
      <c r="F1250" s="15" t="n">
        <f aca="false">IF(D1250="","",ROUND((D1250-MIN($D$7:$D$9999))*86400,2))</f>
        <v>167.32</v>
      </c>
      <c r="G1250" s="10" t="str">
        <f aca="false">IF(D1250="","",IF(D1250&lt;=($E$3*60+$F$3)/86400,"○",""))</f>
        <v/>
      </c>
      <c r="H1250" s="16" t="n">
        <v>0.00696886574074074</v>
      </c>
      <c r="I1250" s="17" t="n">
        <v>303</v>
      </c>
      <c r="J1250" s="16" t="n">
        <v>0.0028494212962963</v>
      </c>
      <c r="K1250" s="17" t="n">
        <v>568</v>
      </c>
      <c r="L1250" s="17" t="n">
        <f aca="false">COUNT(E1250,I1250,K1250)</f>
        <v>3</v>
      </c>
      <c r="M1250" s="18" t="n">
        <f aca="false">(D1250&lt;&gt;"")*(D1250&lt;=($E$3*60+$F$3)/86400)+(H1250&lt;&gt;"")*(H1250&lt;=($I$3*60+$J$3)/86400)+(J1250&lt;&gt;"")*(J1250&lt;=($M$3*60+$N$3)/86400)</f>
        <v>0</v>
      </c>
      <c r="N1250" s="20"/>
      <c r="O1250" s="20"/>
      <c r="P1250" s="20"/>
      <c r="Q1250" s="19"/>
    </row>
    <row r="1251" customFormat="false" ht="15" hidden="false" customHeight="false" outlineLevel="0" collapsed="false">
      <c r="A1251" s="10" t="n">
        <v>1245</v>
      </c>
      <c r="B1251" s="11" t="s">
        <v>1984</v>
      </c>
      <c r="C1251" s="12" t="s">
        <v>1985</v>
      </c>
      <c r="D1251" s="13" t="n">
        <v>0.011078125</v>
      </c>
      <c r="E1251" s="14" t="n">
        <v>1246</v>
      </c>
      <c r="F1251" s="15" t="n">
        <f aca="false">IF(D1251="","",ROUND((D1251-MIN($D$7:$D$9999))*86400,2))</f>
        <v>167.41</v>
      </c>
      <c r="G1251" s="10" t="str">
        <f aca="false">IF(D1251="","",IF(D1251&lt;=($E$3*60+$F$3)/86400,"○",""))</f>
        <v/>
      </c>
      <c r="H1251" s="16" t="n">
        <v>0.00757974537037037</v>
      </c>
      <c r="I1251" s="17" t="n">
        <v>981</v>
      </c>
      <c r="J1251" s="16"/>
      <c r="K1251" s="17"/>
      <c r="L1251" s="17" t="n">
        <f aca="false">COUNT(E1251,I1251,K1251)</f>
        <v>2</v>
      </c>
      <c r="M1251" s="18" t="n">
        <f aca="false">(D1251&lt;&gt;"")*(D1251&lt;=($E$3*60+$F$3)/86400)+(H1251&lt;&gt;"")*(H1251&lt;=($I$3*60+$J$3)/86400)+(J1251&lt;&gt;"")*(J1251&lt;=($M$3*60+$N$3)/86400)</f>
        <v>0</v>
      </c>
      <c r="N1251" s="20"/>
      <c r="O1251" s="20"/>
      <c r="P1251" s="20"/>
      <c r="Q1251" s="19"/>
    </row>
    <row r="1252" customFormat="false" ht="15" hidden="false" customHeight="false" outlineLevel="0" collapsed="false">
      <c r="A1252" s="10" t="n">
        <v>1246</v>
      </c>
      <c r="B1252" s="11" t="s">
        <v>1986</v>
      </c>
      <c r="C1252" s="12" t="s">
        <v>1650</v>
      </c>
      <c r="D1252" s="13" t="n">
        <v>0.0110782407407407</v>
      </c>
      <c r="E1252" s="14" t="n">
        <v>1247</v>
      </c>
      <c r="F1252" s="15" t="n">
        <f aca="false">IF(D1252="","",ROUND((D1252-MIN($D$7:$D$9999))*86400,2))</f>
        <v>167.42</v>
      </c>
      <c r="G1252" s="10" t="str">
        <f aca="false">IF(D1252="","",IF(D1252&lt;=($E$3*60+$F$3)/86400,"○",""))</f>
        <v/>
      </c>
      <c r="H1252" s="16"/>
      <c r="I1252" s="17"/>
      <c r="J1252" s="16" t="n">
        <v>0.00284108796296296</v>
      </c>
      <c r="K1252" s="17" t="n">
        <v>509</v>
      </c>
      <c r="L1252" s="17" t="n">
        <f aca="false">COUNT(E1252,I1252,K1252)</f>
        <v>2</v>
      </c>
      <c r="M1252" s="18" t="n">
        <f aca="false">(D1252&lt;&gt;"")*(D1252&lt;=($E$3*60+$F$3)/86400)+(H1252&lt;&gt;"")*(H1252&lt;=($I$3*60+$J$3)/86400)+(J1252&lt;&gt;"")*(J1252&lt;=($M$3*60+$N$3)/86400)</f>
        <v>0</v>
      </c>
      <c r="N1252" s="20"/>
      <c r="O1252" s="20"/>
      <c r="P1252" s="20"/>
      <c r="Q1252" s="19"/>
    </row>
    <row r="1253" customFormat="false" ht="15" hidden="false" customHeight="false" outlineLevel="0" collapsed="false">
      <c r="A1253" s="10" t="n">
        <v>1247</v>
      </c>
      <c r="B1253" s="11" t="s">
        <v>1987</v>
      </c>
      <c r="C1253" s="12" t="s">
        <v>742</v>
      </c>
      <c r="D1253" s="13" t="n">
        <v>0.0110784722222222</v>
      </c>
      <c r="E1253" s="14" t="n">
        <v>1248</v>
      </c>
      <c r="F1253" s="15" t="n">
        <f aca="false">IF(D1253="","",ROUND((D1253-MIN($D$7:$D$9999))*86400,2))</f>
        <v>167.44</v>
      </c>
      <c r="G1253" s="10" t="str">
        <f aca="false">IF(D1253="","",IF(D1253&lt;=($E$3*60+$F$3)/86400,"○",""))</f>
        <v/>
      </c>
      <c r="H1253" s="16"/>
      <c r="I1253" s="17"/>
      <c r="J1253" s="16"/>
      <c r="K1253" s="17"/>
      <c r="L1253" s="17" t="n">
        <f aca="false">COUNT(E1253,I1253,K1253)</f>
        <v>1</v>
      </c>
      <c r="M1253" s="18" t="n">
        <f aca="false">(D1253&lt;&gt;"")*(D1253&lt;=($E$3*60+$F$3)/86400)+(H1253&lt;&gt;"")*(H1253&lt;=($I$3*60+$J$3)/86400)+(J1253&lt;&gt;"")*(J1253&lt;=($M$3*60+$N$3)/86400)</f>
        <v>0</v>
      </c>
      <c r="N1253" s="20"/>
      <c r="O1253" s="20"/>
      <c r="P1253" s="20"/>
      <c r="Q1253" s="19"/>
    </row>
    <row r="1254" customFormat="false" ht="15" hidden="false" customHeight="false" outlineLevel="0" collapsed="false">
      <c r="A1254" s="10" t="n">
        <v>1248</v>
      </c>
      <c r="B1254" s="11" t="s">
        <v>1988</v>
      </c>
      <c r="C1254" s="12" t="s">
        <v>167</v>
      </c>
      <c r="D1254" s="13" t="n">
        <v>0.0110791666666667</v>
      </c>
      <c r="E1254" s="14" t="n">
        <v>1249</v>
      </c>
      <c r="F1254" s="15" t="n">
        <f aca="false">IF(D1254="","",ROUND((D1254-MIN($D$7:$D$9999))*86400,2))</f>
        <v>167.5</v>
      </c>
      <c r="G1254" s="10" t="str">
        <f aca="false">IF(D1254="","",IF(D1254&lt;=($E$3*60+$F$3)/86400,"○",""))</f>
        <v/>
      </c>
      <c r="H1254" s="16" t="n">
        <v>0.00676053240740741</v>
      </c>
      <c r="I1254" s="17" t="n">
        <v>135</v>
      </c>
      <c r="J1254" s="16" t="n">
        <v>0.00285729166666667</v>
      </c>
      <c r="K1254" s="17" t="n">
        <v>617</v>
      </c>
      <c r="L1254" s="17" t="n">
        <f aca="false">COUNT(E1254,I1254,K1254)</f>
        <v>3</v>
      </c>
      <c r="M1254" s="18" t="n">
        <f aca="false">(D1254&lt;&gt;"")*(D1254&lt;=($E$3*60+$F$3)/86400)+(H1254&lt;&gt;"")*(H1254&lt;=($I$3*60+$J$3)/86400)+(J1254&lt;&gt;"")*(J1254&lt;=($M$3*60+$N$3)/86400)</f>
        <v>0</v>
      </c>
      <c r="N1254" s="20"/>
      <c r="O1254" s="20" t="s">
        <v>1989</v>
      </c>
      <c r="P1254" s="20"/>
      <c r="Q1254" s="19"/>
    </row>
    <row r="1255" customFormat="false" ht="15" hidden="false" customHeight="false" outlineLevel="0" collapsed="false">
      <c r="A1255" s="10" t="n">
        <v>1249</v>
      </c>
      <c r="B1255" s="11" t="s">
        <v>1990</v>
      </c>
      <c r="C1255" s="12" t="s">
        <v>548</v>
      </c>
      <c r="D1255" s="13" t="n">
        <v>0.0110797453703704</v>
      </c>
      <c r="E1255" s="14" t="n">
        <v>1250</v>
      </c>
      <c r="F1255" s="15" t="n">
        <f aca="false">IF(D1255="","",ROUND((D1255-MIN($D$7:$D$9999))*86400,2))</f>
        <v>167.55</v>
      </c>
      <c r="G1255" s="10" t="str">
        <f aca="false">IF(D1255="","",IF(D1255&lt;=($E$3*60+$F$3)/86400,"○",""))</f>
        <v/>
      </c>
      <c r="H1255" s="16" t="n">
        <v>0.00815219907407407</v>
      </c>
      <c r="I1255" s="17" t="n">
        <v>1219</v>
      </c>
      <c r="J1255" s="16"/>
      <c r="K1255" s="17"/>
      <c r="L1255" s="17" t="n">
        <f aca="false">COUNT(E1255,I1255,K1255)</f>
        <v>2</v>
      </c>
      <c r="M1255" s="18" t="n">
        <f aca="false">(D1255&lt;&gt;"")*(D1255&lt;=($E$3*60+$F$3)/86400)+(H1255&lt;&gt;"")*(H1255&lt;=($I$3*60+$J$3)/86400)+(J1255&lt;&gt;"")*(J1255&lt;=($M$3*60+$N$3)/86400)</f>
        <v>0</v>
      </c>
      <c r="N1255" s="20" t="s">
        <v>1991</v>
      </c>
      <c r="O1255" s="20"/>
      <c r="P1255" s="20"/>
      <c r="Q1255" s="19"/>
    </row>
    <row r="1256" customFormat="false" ht="15" hidden="false" customHeight="false" outlineLevel="0" collapsed="false">
      <c r="A1256" s="10" t="n">
        <v>1250</v>
      </c>
      <c r="B1256" s="11" t="s">
        <v>1992</v>
      </c>
      <c r="C1256" s="12" t="s">
        <v>1993</v>
      </c>
      <c r="D1256" s="13" t="n">
        <v>0.0110798611111111</v>
      </c>
      <c r="E1256" s="14" t="n">
        <v>1251</v>
      </c>
      <c r="F1256" s="15" t="n">
        <f aca="false">IF(D1256="","",ROUND((D1256-MIN($D$7:$D$9999))*86400,2))</f>
        <v>167.56</v>
      </c>
      <c r="G1256" s="10" t="str">
        <f aca="false">IF(D1256="","",IF(D1256&lt;=($E$3*60+$F$3)/86400,"○",""))</f>
        <v/>
      </c>
      <c r="H1256" s="16" t="n">
        <v>0.00696331018518519</v>
      </c>
      <c r="I1256" s="17" t="n">
        <v>297</v>
      </c>
      <c r="J1256" s="16" t="n">
        <v>0.00297743055555556</v>
      </c>
      <c r="K1256" s="17" t="n">
        <v>1343</v>
      </c>
      <c r="L1256" s="17" t="n">
        <f aca="false">COUNT(E1256,I1256,K1256)</f>
        <v>3</v>
      </c>
      <c r="M1256" s="18" t="n">
        <f aca="false">(D1256&lt;&gt;"")*(D1256&lt;=($E$3*60+$F$3)/86400)+(H1256&lt;&gt;"")*(H1256&lt;=($I$3*60+$J$3)/86400)+(J1256&lt;&gt;"")*(J1256&lt;=($M$3*60+$N$3)/86400)</f>
        <v>0</v>
      </c>
      <c r="N1256" s="20"/>
      <c r="O1256" s="20"/>
      <c r="P1256" s="20"/>
      <c r="Q1256" s="19"/>
    </row>
    <row r="1257" customFormat="false" ht="15" hidden="false" customHeight="false" outlineLevel="0" collapsed="false">
      <c r="A1257" s="10" t="n">
        <v>1251</v>
      </c>
      <c r="B1257" s="11" t="s">
        <v>1994</v>
      </c>
      <c r="C1257" s="12" t="s">
        <v>195</v>
      </c>
      <c r="D1257" s="13" t="n">
        <v>0.011080787037037</v>
      </c>
      <c r="E1257" s="14" t="n">
        <v>1252</v>
      </c>
      <c r="F1257" s="15" t="n">
        <f aca="false">IF(D1257="","",ROUND((D1257-MIN($D$7:$D$9999))*86400,2))</f>
        <v>167.64</v>
      </c>
      <c r="G1257" s="10" t="str">
        <f aca="false">IF(D1257="","",IF(D1257&lt;=($E$3*60+$F$3)/86400,"○",""))</f>
        <v/>
      </c>
      <c r="H1257" s="16"/>
      <c r="I1257" s="17"/>
      <c r="J1257" s="16" t="n">
        <v>0.00287696759259259</v>
      </c>
      <c r="K1257" s="17" t="n">
        <v>746</v>
      </c>
      <c r="L1257" s="17" t="n">
        <f aca="false">COUNT(E1257,I1257,K1257)</f>
        <v>2</v>
      </c>
      <c r="M1257" s="18" t="n">
        <f aca="false">(D1257&lt;&gt;"")*(D1257&lt;=($E$3*60+$F$3)/86400)+(H1257&lt;&gt;"")*(H1257&lt;=($I$3*60+$J$3)/86400)+(J1257&lt;&gt;"")*(J1257&lt;=($M$3*60+$N$3)/86400)</f>
        <v>0</v>
      </c>
      <c r="N1257" s="20"/>
      <c r="O1257" s="20"/>
      <c r="P1257" s="20"/>
      <c r="Q1257" s="19"/>
    </row>
    <row r="1258" customFormat="false" ht="15" hidden="false" customHeight="false" outlineLevel="0" collapsed="false">
      <c r="A1258" s="10" t="n">
        <v>1252</v>
      </c>
      <c r="B1258" s="11" t="s">
        <v>1995</v>
      </c>
      <c r="C1258" s="12" t="s">
        <v>728</v>
      </c>
      <c r="D1258" s="13" t="n">
        <v>0.011080787037037</v>
      </c>
      <c r="E1258" s="14" t="n">
        <v>1253</v>
      </c>
      <c r="F1258" s="15" t="n">
        <f aca="false">IF(D1258="","",ROUND((D1258-MIN($D$7:$D$9999))*86400,2))</f>
        <v>167.64</v>
      </c>
      <c r="G1258" s="10" t="str">
        <f aca="false">IF(D1258="","",IF(D1258&lt;=($E$3*60+$F$3)/86400,"○",""))</f>
        <v/>
      </c>
      <c r="H1258" s="16"/>
      <c r="I1258" s="17"/>
      <c r="J1258" s="16"/>
      <c r="K1258" s="17"/>
      <c r="L1258" s="17" t="n">
        <f aca="false">COUNT(E1258,I1258,K1258)</f>
        <v>1</v>
      </c>
      <c r="M1258" s="18" t="n">
        <f aca="false">(D1258&lt;&gt;"")*(D1258&lt;=($E$3*60+$F$3)/86400)+(H1258&lt;&gt;"")*(H1258&lt;=($I$3*60+$J$3)/86400)+(J1258&lt;&gt;"")*(J1258&lt;=($M$3*60+$N$3)/86400)</f>
        <v>0</v>
      </c>
      <c r="N1258" s="20"/>
      <c r="O1258" s="20"/>
      <c r="P1258" s="20"/>
      <c r="Q1258" s="19"/>
    </row>
    <row r="1259" customFormat="false" ht="15" hidden="false" customHeight="false" outlineLevel="0" collapsed="false">
      <c r="A1259" s="10" t="n">
        <v>1253</v>
      </c>
      <c r="B1259" s="11" t="s">
        <v>1996</v>
      </c>
      <c r="C1259" s="12" t="s">
        <v>1997</v>
      </c>
      <c r="D1259" s="13" t="n">
        <v>0.0110809027777778</v>
      </c>
      <c r="E1259" s="14" t="n">
        <v>1254</v>
      </c>
      <c r="F1259" s="15" t="n">
        <f aca="false">IF(D1259="","",ROUND((D1259-MIN($D$7:$D$9999))*86400,2))</f>
        <v>167.65</v>
      </c>
      <c r="G1259" s="10" t="str">
        <f aca="false">IF(D1259="","",IF(D1259&lt;=($E$3*60+$F$3)/86400,"○",""))</f>
        <v/>
      </c>
      <c r="H1259" s="16"/>
      <c r="I1259" s="17"/>
      <c r="J1259" s="16" t="n">
        <v>0.00293252314814815</v>
      </c>
      <c r="K1259" s="17" t="n">
        <v>1180</v>
      </c>
      <c r="L1259" s="17" t="n">
        <f aca="false">COUNT(E1259,I1259,K1259)</f>
        <v>2</v>
      </c>
      <c r="M1259" s="18" t="n">
        <f aca="false">(D1259&lt;&gt;"")*(D1259&lt;=($E$3*60+$F$3)/86400)+(H1259&lt;&gt;"")*(H1259&lt;=($I$3*60+$J$3)/86400)+(J1259&lt;&gt;"")*(J1259&lt;=($M$3*60+$N$3)/86400)</f>
        <v>0</v>
      </c>
      <c r="N1259" s="20"/>
      <c r="O1259" s="20"/>
      <c r="P1259" s="20"/>
      <c r="Q1259" s="19"/>
    </row>
    <row r="1260" customFormat="false" ht="15" hidden="false" customHeight="false" outlineLevel="0" collapsed="false">
      <c r="A1260" s="10" t="n">
        <v>1254</v>
      </c>
      <c r="B1260" s="11" t="s">
        <v>1998</v>
      </c>
      <c r="C1260" s="12" t="s">
        <v>1334</v>
      </c>
      <c r="D1260" s="13" t="n">
        <v>0.0110810185185185</v>
      </c>
      <c r="E1260" s="14" t="n">
        <v>1255</v>
      </c>
      <c r="F1260" s="15" t="n">
        <f aca="false">IF(D1260="","",ROUND((D1260-MIN($D$7:$D$9999))*86400,2))</f>
        <v>167.66</v>
      </c>
      <c r="G1260" s="10" t="str">
        <f aca="false">IF(D1260="","",IF(D1260&lt;=($E$3*60+$F$3)/86400,"○",""))</f>
        <v/>
      </c>
      <c r="H1260" s="16" t="n">
        <v>0.00678206018518519</v>
      </c>
      <c r="I1260" s="17" t="n">
        <v>157</v>
      </c>
      <c r="J1260" s="16" t="n">
        <v>0.00290636574074074</v>
      </c>
      <c r="K1260" s="17" t="n">
        <v>993</v>
      </c>
      <c r="L1260" s="17" t="n">
        <f aca="false">COUNT(E1260,I1260,K1260)</f>
        <v>3</v>
      </c>
      <c r="M1260" s="18" t="n">
        <f aca="false">(D1260&lt;&gt;"")*(D1260&lt;=($E$3*60+$F$3)/86400)+(H1260&lt;&gt;"")*(H1260&lt;=($I$3*60+$J$3)/86400)+(J1260&lt;&gt;"")*(J1260&lt;=($M$3*60+$N$3)/86400)</f>
        <v>0</v>
      </c>
      <c r="N1260" s="20"/>
      <c r="O1260" s="20"/>
      <c r="P1260" s="20"/>
      <c r="Q1260" s="19"/>
    </row>
    <row r="1261" customFormat="false" ht="15" hidden="false" customHeight="false" outlineLevel="0" collapsed="false">
      <c r="A1261" s="10" t="n">
        <v>1255</v>
      </c>
      <c r="B1261" s="11" t="s">
        <v>1999</v>
      </c>
      <c r="C1261" s="12" t="s">
        <v>565</v>
      </c>
      <c r="D1261" s="13" t="n">
        <v>0.0110813657407407</v>
      </c>
      <c r="E1261" s="14" t="n">
        <v>1256</v>
      </c>
      <c r="F1261" s="15" t="n">
        <f aca="false">IF(D1261="","",ROUND((D1261-MIN($D$7:$D$9999))*86400,2))</f>
        <v>167.69</v>
      </c>
      <c r="G1261" s="10" t="str">
        <f aca="false">IF(D1261="","",IF(D1261&lt;=($E$3*60+$F$3)/86400,"○",""))</f>
        <v/>
      </c>
      <c r="H1261" s="16"/>
      <c r="I1261" s="17"/>
      <c r="J1261" s="16"/>
      <c r="K1261" s="17"/>
      <c r="L1261" s="17" t="n">
        <f aca="false">COUNT(E1261,I1261,K1261)</f>
        <v>1</v>
      </c>
      <c r="M1261" s="18" t="n">
        <f aca="false">(D1261&lt;&gt;"")*(D1261&lt;=($E$3*60+$F$3)/86400)+(H1261&lt;&gt;"")*(H1261&lt;=($I$3*60+$J$3)/86400)+(J1261&lt;&gt;"")*(J1261&lt;=($M$3*60+$N$3)/86400)</f>
        <v>0</v>
      </c>
      <c r="N1261" s="20"/>
      <c r="O1261" s="20"/>
      <c r="P1261" s="20"/>
      <c r="Q1261" s="19"/>
    </row>
    <row r="1262" customFormat="false" ht="15" hidden="false" customHeight="false" outlineLevel="0" collapsed="false">
      <c r="A1262" s="10" t="n">
        <v>1256</v>
      </c>
      <c r="B1262" s="11" t="s">
        <v>2000</v>
      </c>
      <c r="C1262" s="12" t="s">
        <v>1482</v>
      </c>
      <c r="D1262" s="13" t="n">
        <v>0.0110846064814815</v>
      </c>
      <c r="E1262" s="14" t="n">
        <v>1257</v>
      </c>
      <c r="F1262" s="15" t="n">
        <f aca="false">IF(D1262="","",ROUND((D1262-MIN($D$7:$D$9999))*86400,2))</f>
        <v>167.97</v>
      </c>
      <c r="G1262" s="10" t="str">
        <f aca="false">IF(D1262="","",IF(D1262&lt;=($E$3*60+$F$3)/86400,"○",""))</f>
        <v/>
      </c>
      <c r="H1262" s="16"/>
      <c r="I1262" s="17"/>
      <c r="J1262" s="16" t="n">
        <v>0.00275856481481482</v>
      </c>
      <c r="K1262" s="17" t="n">
        <v>131</v>
      </c>
      <c r="L1262" s="17" t="n">
        <f aca="false">COUNT(E1262,I1262,K1262)</f>
        <v>2</v>
      </c>
      <c r="M1262" s="18" t="n">
        <f aca="false">(D1262&lt;&gt;"")*(D1262&lt;=($E$3*60+$F$3)/86400)+(H1262&lt;&gt;"")*(H1262&lt;=($I$3*60+$J$3)/86400)+(J1262&lt;&gt;"")*(J1262&lt;=($M$3*60+$N$3)/86400)</f>
        <v>0</v>
      </c>
      <c r="N1262" s="20"/>
      <c r="O1262" s="20"/>
      <c r="P1262" s="20"/>
      <c r="Q1262" s="19"/>
    </row>
    <row r="1263" customFormat="false" ht="15" hidden="false" customHeight="false" outlineLevel="0" collapsed="false">
      <c r="A1263" s="10" t="n">
        <v>1257</v>
      </c>
      <c r="B1263" s="11" t="s">
        <v>2001</v>
      </c>
      <c r="C1263" s="12" t="s">
        <v>1049</v>
      </c>
      <c r="D1263" s="13" t="n">
        <v>0.0110859953703704</v>
      </c>
      <c r="E1263" s="14" t="n">
        <v>1258</v>
      </c>
      <c r="F1263" s="15" t="n">
        <f aca="false">IF(D1263="","",ROUND((D1263-MIN($D$7:$D$9999))*86400,2))</f>
        <v>168.09</v>
      </c>
      <c r="G1263" s="10" t="str">
        <f aca="false">IF(D1263="","",IF(D1263&lt;=($E$3*60+$F$3)/86400,"○",""))</f>
        <v/>
      </c>
      <c r="H1263" s="16"/>
      <c r="I1263" s="17"/>
      <c r="J1263" s="16" t="n">
        <v>0.00296331018518519</v>
      </c>
      <c r="K1263" s="17" t="n">
        <v>1283</v>
      </c>
      <c r="L1263" s="17" t="n">
        <f aca="false">COUNT(E1263,I1263,K1263)</f>
        <v>2</v>
      </c>
      <c r="M1263" s="18" t="n">
        <f aca="false">(D1263&lt;&gt;"")*(D1263&lt;=($E$3*60+$F$3)/86400)+(H1263&lt;&gt;"")*(H1263&lt;=($I$3*60+$J$3)/86400)+(J1263&lt;&gt;"")*(J1263&lt;=($M$3*60+$N$3)/86400)</f>
        <v>0</v>
      </c>
      <c r="N1263" s="20"/>
      <c r="O1263" s="20"/>
      <c r="P1263" s="20"/>
      <c r="Q1263" s="19"/>
    </row>
    <row r="1264" customFormat="false" ht="15" hidden="false" customHeight="false" outlineLevel="0" collapsed="false">
      <c r="A1264" s="10" t="n">
        <v>1258</v>
      </c>
      <c r="B1264" s="11" t="s">
        <v>2002</v>
      </c>
      <c r="C1264" s="12" t="s">
        <v>2003</v>
      </c>
      <c r="D1264" s="13" t="n">
        <v>0.0110873842592593</v>
      </c>
      <c r="E1264" s="14" t="n">
        <v>1259</v>
      </c>
      <c r="F1264" s="15" t="n">
        <f aca="false">IF(D1264="","",ROUND((D1264-MIN($D$7:$D$9999))*86400,2))</f>
        <v>168.21</v>
      </c>
      <c r="G1264" s="10" t="str">
        <f aca="false">IF(D1264="","",IF(D1264&lt;=($E$3*60+$F$3)/86400,"○",""))</f>
        <v/>
      </c>
      <c r="H1264" s="16"/>
      <c r="I1264" s="17"/>
      <c r="J1264" s="16"/>
      <c r="K1264" s="17"/>
      <c r="L1264" s="17" t="n">
        <f aca="false">COUNT(E1264,I1264,K1264)</f>
        <v>1</v>
      </c>
      <c r="M1264" s="18" t="n">
        <f aca="false">(D1264&lt;&gt;"")*(D1264&lt;=($E$3*60+$F$3)/86400)+(H1264&lt;&gt;"")*(H1264&lt;=($I$3*60+$J$3)/86400)+(J1264&lt;&gt;"")*(J1264&lt;=($M$3*60+$N$3)/86400)</f>
        <v>0</v>
      </c>
      <c r="N1264" s="20"/>
      <c r="O1264" s="20"/>
      <c r="P1264" s="20"/>
      <c r="Q1264" s="19"/>
    </row>
    <row r="1265" customFormat="false" ht="15" hidden="false" customHeight="false" outlineLevel="0" collapsed="false">
      <c r="A1265" s="10" t="n">
        <v>1259</v>
      </c>
      <c r="B1265" s="11" t="s">
        <v>2004</v>
      </c>
      <c r="C1265" s="12" t="s">
        <v>199</v>
      </c>
      <c r="D1265" s="13" t="n">
        <v>0.0110885416666667</v>
      </c>
      <c r="E1265" s="14" t="n">
        <v>1260</v>
      </c>
      <c r="F1265" s="15" t="n">
        <f aca="false">IF(D1265="","",ROUND((D1265-MIN($D$7:$D$9999))*86400,2))</f>
        <v>168.31</v>
      </c>
      <c r="G1265" s="10" t="str">
        <f aca="false">IF(D1265="","",IF(D1265&lt;=($E$3*60+$F$3)/86400,"○",""))</f>
        <v/>
      </c>
      <c r="H1265" s="16"/>
      <c r="I1265" s="17"/>
      <c r="J1265" s="16"/>
      <c r="K1265" s="17"/>
      <c r="L1265" s="17" t="n">
        <f aca="false">COUNT(E1265,I1265,K1265)</f>
        <v>1</v>
      </c>
      <c r="M1265" s="18" t="n">
        <f aca="false">(D1265&lt;&gt;"")*(D1265&lt;=($E$3*60+$F$3)/86400)+(H1265&lt;&gt;"")*(H1265&lt;=($I$3*60+$J$3)/86400)+(J1265&lt;&gt;"")*(J1265&lt;=($M$3*60+$N$3)/86400)</f>
        <v>0</v>
      </c>
      <c r="N1265" s="20"/>
      <c r="O1265" s="20"/>
      <c r="P1265" s="20"/>
      <c r="Q1265" s="19"/>
    </row>
    <row r="1266" customFormat="false" ht="15" hidden="false" customHeight="false" outlineLevel="0" collapsed="false">
      <c r="A1266" s="10" t="n">
        <v>1260</v>
      </c>
      <c r="B1266" s="11" t="s">
        <v>2005</v>
      </c>
      <c r="C1266" s="12" t="s">
        <v>34</v>
      </c>
      <c r="D1266" s="13" t="n">
        <v>0.0110905092592593</v>
      </c>
      <c r="E1266" s="14" t="n">
        <v>1261</v>
      </c>
      <c r="F1266" s="15" t="n">
        <f aca="false">IF(D1266="","",ROUND((D1266-MIN($D$7:$D$9999))*86400,2))</f>
        <v>168.48</v>
      </c>
      <c r="G1266" s="10" t="str">
        <f aca="false">IF(D1266="","",IF(D1266&lt;=($E$3*60+$F$3)/86400,"○",""))</f>
        <v/>
      </c>
      <c r="H1266" s="16"/>
      <c r="I1266" s="17"/>
      <c r="J1266" s="16"/>
      <c r="K1266" s="17"/>
      <c r="L1266" s="17" t="n">
        <f aca="false">COUNT(E1266,I1266,K1266)</f>
        <v>1</v>
      </c>
      <c r="M1266" s="18" t="n">
        <f aca="false">(D1266&lt;&gt;"")*(D1266&lt;=($E$3*60+$F$3)/86400)+(H1266&lt;&gt;"")*(H1266&lt;=($I$3*60+$J$3)/86400)+(J1266&lt;&gt;"")*(J1266&lt;=($M$3*60+$N$3)/86400)</f>
        <v>0</v>
      </c>
      <c r="N1266" s="20"/>
      <c r="O1266" s="20"/>
      <c r="P1266" s="20"/>
      <c r="Q1266" s="19"/>
    </row>
    <row r="1267" customFormat="false" ht="15" hidden="false" customHeight="false" outlineLevel="0" collapsed="false">
      <c r="A1267" s="10" t="n">
        <v>1261</v>
      </c>
      <c r="B1267" s="11" t="s">
        <v>2006</v>
      </c>
      <c r="C1267" s="12" t="s">
        <v>515</v>
      </c>
      <c r="D1267" s="13" t="n">
        <v>0.0110917824074074</v>
      </c>
      <c r="E1267" s="14" t="n">
        <v>1262</v>
      </c>
      <c r="F1267" s="15" t="n">
        <f aca="false">IF(D1267="","",ROUND((D1267-MIN($D$7:$D$9999))*86400,2))</f>
        <v>168.59</v>
      </c>
      <c r="G1267" s="10" t="str">
        <f aca="false">IF(D1267="","",IF(D1267&lt;=($E$3*60+$F$3)/86400,"○",""))</f>
        <v/>
      </c>
      <c r="H1267" s="16" t="n">
        <v>0.0073556712962963</v>
      </c>
      <c r="I1267" s="17" t="n">
        <v>716</v>
      </c>
      <c r="J1267" s="16"/>
      <c r="K1267" s="17"/>
      <c r="L1267" s="17" t="n">
        <f aca="false">COUNT(E1267,I1267,K1267)</f>
        <v>2</v>
      </c>
      <c r="M1267" s="18" t="n">
        <f aca="false">(D1267&lt;&gt;"")*(D1267&lt;=($E$3*60+$F$3)/86400)+(H1267&lt;&gt;"")*(H1267&lt;=($I$3*60+$J$3)/86400)+(J1267&lt;&gt;"")*(J1267&lt;=($M$3*60+$N$3)/86400)</f>
        <v>0</v>
      </c>
      <c r="N1267" s="20"/>
      <c r="O1267" s="20"/>
      <c r="P1267" s="20"/>
      <c r="Q1267" s="19"/>
    </row>
    <row r="1268" customFormat="false" ht="15" hidden="false" customHeight="false" outlineLevel="0" collapsed="false">
      <c r="A1268" s="10" t="n">
        <v>1262</v>
      </c>
      <c r="B1268" s="11" t="s">
        <v>2007</v>
      </c>
      <c r="C1268" s="12" t="s">
        <v>668</v>
      </c>
      <c r="D1268" s="13" t="n">
        <v>0.0110930555555556</v>
      </c>
      <c r="E1268" s="14" t="n">
        <v>1263</v>
      </c>
      <c r="F1268" s="15" t="n">
        <f aca="false">IF(D1268="","",ROUND((D1268-MIN($D$7:$D$9999))*86400,2))</f>
        <v>168.7</v>
      </c>
      <c r="G1268" s="10" t="str">
        <f aca="false">IF(D1268="","",IF(D1268&lt;=($E$3*60+$F$3)/86400,"○",""))</f>
        <v/>
      </c>
      <c r="H1268" s="16"/>
      <c r="I1268" s="17"/>
      <c r="J1268" s="16"/>
      <c r="K1268" s="17"/>
      <c r="L1268" s="17" t="n">
        <f aca="false">COUNT(E1268,I1268,K1268)</f>
        <v>1</v>
      </c>
      <c r="M1268" s="18" t="n">
        <f aca="false">(D1268&lt;&gt;"")*(D1268&lt;=($E$3*60+$F$3)/86400)+(H1268&lt;&gt;"")*(H1268&lt;=($I$3*60+$J$3)/86400)+(J1268&lt;&gt;"")*(J1268&lt;=($M$3*60+$N$3)/86400)</f>
        <v>0</v>
      </c>
      <c r="N1268" s="20"/>
      <c r="O1268" s="20"/>
      <c r="P1268" s="20"/>
      <c r="Q1268" s="19"/>
    </row>
    <row r="1269" customFormat="false" ht="15" hidden="false" customHeight="false" outlineLevel="0" collapsed="false">
      <c r="A1269" s="10" t="n">
        <v>1263</v>
      </c>
      <c r="B1269" s="11" t="s">
        <v>2008</v>
      </c>
      <c r="C1269" s="12" t="s">
        <v>167</v>
      </c>
      <c r="D1269" s="13" t="n">
        <v>0.0110935185185185</v>
      </c>
      <c r="E1269" s="14" t="n">
        <v>1264</v>
      </c>
      <c r="F1269" s="15" t="n">
        <f aca="false">IF(D1269="","",ROUND((D1269-MIN($D$7:$D$9999))*86400,2))</f>
        <v>168.74</v>
      </c>
      <c r="G1269" s="10" t="str">
        <f aca="false">IF(D1269="","",IF(D1269&lt;=($E$3*60+$F$3)/86400,"○",""))</f>
        <v/>
      </c>
      <c r="H1269" s="16"/>
      <c r="I1269" s="17"/>
      <c r="J1269" s="16" t="n">
        <v>0.00294571759259259</v>
      </c>
      <c r="K1269" s="17" t="n">
        <v>1219</v>
      </c>
      <c r="L1269" s="17" t="n">
        <f aca="false">COUNT(E1269,I1269,K1269)</f>
        <v>2</v>
      </c>
      <c r="M1269" s="18" t="n">
        <f aca="false">(D1269&lt;&gt;"")*(D1269&lt;=($E$3*60+$F$3)/86400)+(H1269&lt;&gt;"")*(H1269&lt;=($I$3*60+$J$3)/86400)+(J1269&lt;&gt;"")*(J1269&lt;=($M$3*60+$N$3)/86400)</f>
        <v>0</v>
      </c>
      <c r="N1269" s="20"/>
      <c r="O1269" s="20"/>
      <c r="P1269" s="20"/>
      <c r="Q1269" s="19"/>
    </row>
    <row r="1270" customFormat="false" ht="15" hidden="false" customHeight="false" outlineLevel="0" collapsed="false">
      <c r="A1270" s="10" t="n">
        <v>1264</v>
      </c>
      <c r="B1270" s="11" t="s">
        <v>2009</v>
      </c>
      <c r="C1270" s="12" t="s">
        <v>204</v>
      </c>
      <c r="D1270" s="13" t="n">
        <v>0.0110959490740741</v>
      </c>
      <c r="E1270" s="14" t="n">
        <v>1265</v>
      </c>
      <c r="F1270" s="15" t="n">
        <f aca="false">IF(D1270="","",ROUND((D1270-MIN($D$7:$D$9999))*86400,2))</f>
        <v>168.95</v>
      </c>
      <c r="G1270" s="10" t="str">
        <f aca="false">IF(D1270="","",IF(D1270&lt;=($E$3*60+$F$3)/86400,"○",""))</f>
        <v/>
      </c>
      <c r="H1270" s="16"/>
      <c r="I1270" s="17"/>
      <c r="J1270" s="16"/>
      <c r="K1270" s="17"/>
      <c r="L1270" s="17" t="n">
        <f aca="false">COUNT(E1270,I1270,K1270)</f>
        <v>1</v>
      </c>
      <c r="M1270" s="18" t="n">
        <f aca="false">(D1270&lt;&gt;"")*(D1270&lt;=($E$3*60+$F$3)/86400)+(H1270&lt;&gt;"")*(H1270&lt;=($I$3*60+$J$3)/86400)+(J1270&lt;&gt;"")*(J1270&lt;=($M$3*60+$N$3)/86400)</f>
        <v>0</v>
      </c>
      <c r="N1270" s="20"/>
      <c r="O1270" s="20"/>
      <c r="P1270" s="20"/>
      <c r="Q1270" s="19"/>
    </row>
    <row r="1271" customFormat="false" ht="15" hidden="false" customHeight="false" outlineLevel="0" collapsed="false">
      <c r="A1271" s="10" t="n">
        <v>1265</v>
      </c>
      <c r="B1271" s="11" t="s">
        <v>2010</v>
      </c>
      <c r="C1271" s="12" t="s">
        <v>248</v>
      </c>
      <c r="D1271" s="13" t="n">
        <v>0.0110967592592593</v>
      </c>
      <c r="E1271" s="14" t="n">
        <v>1266</v>
      </c>
      <c r="F1271" s="15" t="n">
        <f aca="false">IF(D1271="","",ROUND((D1271-MIN($D$7:$D$9999))*86400,2))</f>
        <v>169.02</v>
      </c>
      <c r="G1271" s="10" t="str">
        <f aca="false">IF(D1271="","",IF(D1271&lt;=($E$3*60+$F$3)/86400,"○",""))</f>
        <v/>
      </c>
      <c r="H1271" s="16"/>
      <c r="I1271" s="17"/>
      <c r="J1271" s="16"/>
      <c r="K1271" s="17"/>
      <c r="L1271" s="17" t="n">
        <f aca="false">COUNT(E1271,I1271,K1271)</f>
        <v>1</v>
      </c>
      <c r="M1271" s="18" t="n">
        <f aca="false">(D1271&lt;&gt;"")*(D1271&lt;=($E$3*60+$F$3)/86400)+(H1271&lt;&gt;"")*(H1271&lt;=($I$3*60+$J$3)/86400)+(J1271&lt;&gt;"")*(J1271&lt;=($M$3*60+$N$3)/86400)</f>
        <v>0</v>
      </c>
      <c r="N1271" s="20"/>
      <c r="O1271" s="20"/>
      <c r="P1271" s="20"/>
      <c r="Q1271" s="19"/>
    </row>
    <row r="1272" customFormat="false" ht="15" hidden="false" customHeight="false" outlineLevel="0" collapsed="false">
      <c r="A1272" s="10" t="n">
        <v>1266</v>
      </c>
      <c r="B1272" s="11" t="s">
        <v>2011</v>
      </c>
      <c r="C1272" s="12" t="s">
        <v>228</v>
      </c>
      <c r="D1272" s="13" t="n">
        <v>0.0110979166666667</v>
      </c>
      <c r="E1272" s="14" t="n">
        <v>1267</v>
      </c>
      <c r="F1272" s="15" t="n">
        <f aca="false">IF(D1272="","",ROUND((D1272-MIN($D$7:$D$9999))*86400,2))</f>
        <v>169.12</v>
      </c>
      <c r="G1272" s="10" t="str">
        <f aca="false">IF(D1272="","",IF(D1272&lt;=($E$3*60+$F$3)/86400,"○",""))</f>
        <v/>
      </c>
      <c r="H1272" s="16"/>
      <c r="I1272" s="17"/>
      <c r="J1272" s="16"/>
      <c r="K1272" s="17"/>
      <c r="L1272" s="17" t="n">
        <f aca="false">COUNT(E1272,I1272,K1272)</f>
        <v>1</v>
      </c>
      <c r="M1272" s="18" t="n">
        <f aca="false">(D1272&lt;&gt;"")*(D1272&lt;=($E$3*60+$F$3)/86400)+(H1272&lt;&gt;"")*(H1272&lt;=($I$3*60+$J$3)/86400)+(J1272&lt;&gt;"")*(J1272&lt;=($M$3*60+$N$3)/86400)</f>
        <v>0</v>
      </c>
      <c r="N1272" s="20"/>
      <c r="O1272" s="20"/>
      <c r="P1272" s="20"/>
      <c r="Q1272" s="19"/>
    </row>
    <row r="1273" customFormat="false" ht="15" hidden="false" customHeight="false" outlineLevel="0" collapsed="false">
      <c r="A1273" s="10" t="n">
        <v>1267</v>
      </c>
      <c r="B1273" s="11" t="s">
        <v>2012</v>
      </c>
      <c r="C1273" s="12" t="s">
        <v>103</v>
      </c>
      <c r="D1273" s="13" t="n">
        <v>0.0110979166666667</v>
      </c>
      <c r="E1273" s="14" t="n">
        <v>1268</v>
      </c>
      <c r="F1273" s="15" t="n">
        <f aca="false">IF(D1273="","",ROUND((D1273-MIN($D$7:$D$9999))*86400,2))</f>
        <v>169.12</v>
      </c>
      <c r="G1273" s="10" t="str">
        <f aca="false">IF(D1273="","",IF(D1273&lt;=($E$3*60+$F$3)/86400,"○",""))</f>
        <v/>
      </c>
      <c r="H1273" s="16" t="n">
        <v>0.00742951388888889</v>
      </c>
      <c r="I1273" s="17" t="n">
        <v>804</v>
      </c>
      <c r="J1273" s="16" t="n">
        <v>0.00291412037037037</v>
      </c>
      <c r="K1273" s="17" t="n">
        <v>1051</v>
      </c>
      <c r="L1273" s="17" t="n">
        <f aca="false">COUNT(E1273,I1273,K1273)</f>
        <v>3</v>
      </c>
      <c r="M1273" s="18" t="n">
        <f aca="false">(D1273&lt;&gt;"")*(D1273&lt;=($E$3*60+$F$3)/86400)+(H1273&lt;&gt;"")*(H1273&lt;=($I$3*60+$J$3)/86400)+(J1273&lt;&gt;"")*(J1273&lt;=($M$3*60+$N$3)/86400)</f>
        <v>0</v>
      </c>
      <c r="N1273" s="20"/>
      <c r="O1273" s="20"/>
      <c r="P1273" s="20"/>
      <c r="Q1273" s="19"/>
    </row>
    <row r="1274" customFormat="false" ht="15" hidden="false" customHeight="false" outlineLevel="0" collapsed="false">
      <c r="A1274" s="10" t="n">
        <v>1268</v>
      </c>
      <c r="B1274" s="11" t="s">
        <v>2013</v>
      </c>
      <c r="C1274" s="12" t="s">
        <v>96</v>
      </c>
      <c r="D1274" s="13" t="n">
        <v>0.0110981481481482</v>
      </c>
      <c r="E1274" s="14" t="n">
        <v>1269</v>
      </c>
      <c r="F1274" s="15" t="n">
        <f aca="false">IF(D1274="","",ROUND((D1274-MIN($D$7:$D$9999))*86400,2))</f>
        <v>169.14</v>
      </c>
      <c r="G1274" s="10" t="str">
        <f aca="false">IF(D1274="","",IF(D1274&lt;=($E$3*60+$F$3)/86400,"○",""))</f>
        <v/>
      </c>
      <c r="H1274" s="16"/>
      <c r="I1274" s="17"/>
      <c r="J1274" s="16"/>
      <c r="K1274" s="17"/>
      <c r="L1274" s="17" t="n">
        <f aca="false">COUNT(E1274,I1274,K1274)</f>
        <v>1</v>
      </c>
      <c r="M1274" s="18" t="n">
        <f aca="false">(D1274&lt;&gt;"")*(D1274&lt;=($E$3*60+$F$3)/86400)+(H1274&lt;&gt;"")*(H1274&lt;=($I$3*60+$J$3)/86400)+(J1274&lt;&gt;"")*(J1274&lt;=($M$3*60+$N$3)/86400)</f>
        <v>0</v>
      </c>
      <c r="N1274" s="20"/>
      <c r="O1274" s="20"/>
      <c r="P1274" s="20"/>
      <c r="Q1274" s="19"/>
    </row>
    <row r="1275" customFormat="false" ht="15" hidden="false" customHeight="false" outlineLevel="0" collapsed="false">
      <c r="A1275" s="10" t="n">
        <v>1269</v>
      </c>
      <c r="B1275" s="11" t="s">
        <v>2014</v>
      </c>
      <c r="C1275" s="12" t="s">
        <v>1111</v>
      </c>
      <c r="D1275" s="13" t="n">
        <v>0.0110993055555556</v>
      </c>
      <c r="E1275" s="14" t="n">
        <v>1270</v>
      </c>
      <c r="F1275" s="15" t="n">
        <f aca="false">IF(D1275="","",ROUND((D1275-MIN($D$7:$D$9999))*86400,2))</f>
        <v>169.24</v>
      </c>
      <c r="G1275" s="10" t="str">
        <f aca="false">IF(D1275="","",IF(D1275&lt;=($E$3*60+$F$3)/86400,"○",""))</f>
        <v/>
      </c>
      <c r="H1275" s="16"/>
      <c r="I1275" s="17"/>
      <c r="J1275" s="16" t="n">
        <v>0.002871875</v>
      </c>
      <c r="K1275" s="17" t="n">
        <v>716</v>
      </c>
      <c r="L1275" s="17" t="n">
        <f aca="false">COUNT(E1275,I1275,K1275)</f>
        <v>2</v>
      </c>
      <c r="M1275" s="18" t="n">
        <f aca="false">(D1275&lt;&gt;"")*(D1275&lt;=($E$3*60+$F$3)/86400)+(H1275&lt;&gt;"")*(H1275&lt;=($I$3*60+$J$3)/86400)+(J1275&lt;&gt;"")*(J1275&lt;=($M$3*60+$N$3)/86400)</f>
        <v>0</v>
      </c>
      <c r="N1275" s="20"/>
      <c r="O1275" s="20"/>
      <c r="P1275" s="20"/>
      <c r="Q1275" s="19"/>
    </row>
    <row r="1276" customFormat="false" ht="15" hidden="false" customHeight="false" outlineLevel="0" collapsed="false">
      <c r="A1276" s="10" t="n">
        <v>1270</v>
      </c>
      <c r="B1276" s="11" t="s">
        <v>2015</v>
      </c>
      <c r="C1276" s="12" t="s">
        <v>1465</v>
      </c>
      <c r="D1276" s="13" t="n">
        <v>0.0111005787037037</v>
      </c>
      <c r="E1276" s="14" t="n">
        <v>1271</v>
      </c>
      <c r="F1276" s="15" t="n">
        <f aca="false">IF(D1276="","",ROUND((D1276-MIN($D$7:$D$9999))*86400,2))</f>
        <v>169.35</v>
      </c>
      <c r="G1276" s="10" t="str">
        <f aca="false">IF(D1276="","",IF(D1276&lt;=($E$3*60+$F$3)/86400,"○",""))</f>
        <v/>
      </c>
      <c r="H1276" s="16"/>
      <c r="I1276" s="17"/>
      <c r="J1276" s="16" t="n">
        <v>0.00292291666666667</v>
      </c>
      <c r="K1276" s="17" t="n">
        <v>1123</v>
      </c>
      <c r="L1276" s="17" t="n">
        <f aca="false">COUNT(E1276,I1276,K1276)</f>
        <v>2</v>
      </c>
      <c r="M1276" s="18" t="n">
        <f aca="false">(D1276&lt;&gt;"")*(D1276&lt;=($E$3*60+$F$3)/86400)+(H1276&lt;&gt;"")*(H1276&lt;=($I$3*60+$J$3)/86400)+(J1276&lt;&gt;"")*(J1276&lt;=($M$3*60+$N$3)/86400)</f>
        <v>0</v>
      </c>
      <c r="N1276" s="20"/>
      <c r="O1276" s="20"/>
      <c r="P1276" s="20"/>
      <c r="Q1276" s="19"/>
    </row>
    <row r="1277" customFormat="false" ht="15" hidden="false" customHeight="false" outlineLevel="0" collapsed="false">
      <c r="A1277" s="10" t="n">
        <v>1271</v>
      </c>
      <c r="B1277" s="11" t="s">
        <v>2016</v>
      </c>
      <c r="C1277" s="12" t="s">
        <v>135</v>
      </c>
      <c r="D1277" s="13" t="n">
        <v>0.0111009259259259</v>
      </c>
      <c r="E1277" s="14" t="n">
        <v>1272</v>
      </c>
      <c r="F1277" s="15" t="n">
        <f aca="false">IF(D1277="","",ROUND((D1277-MIN($D$7:$D$9999))*86400,2))</f>
        <v>169.38</v>
      </c>
      <c r="G1277" s="10" t="str">
        <f aca="false">IF(D1277="","",IF(D1277&lt;=($E$3*60+$F$3)/86400,"○",""))</f>
        <v/>
      </c>
      <c r="H1277" s="16"/>
      <c r="I1277" s="17"/>
      <c r="J1277" s="16"/>
      <c r="K1277" s="17"/>
      <c r="L1277" s="17" t="n">
        <f aca="false">COUNT(E1277,I1277,K1277)</f>
        <v>1</v>
      </c>
      <c r="M1277" s="18" t="n">
        <f aca="false">(D1277&lt;&gt;"")*(D1277&lt;=($E$3*60+$F$3)/86400)+(H1277&lt;&gt;"")*(H1277&lt;=($I$3*60+$J$3)/86400)+(J1277&lt;&gt;"")*(J1277&lt;=($M$3*60+$N$3)/86400)</f>
        <v>0</v>
      </c>
      <c r="N1277" s="20"/>
      <c r="O1277" s="20"/>
      <c r="P1277" s="20"/>
      <c r="Q1277" s="19"/>
    </row>
    <row r="1278" customFormat="false" ht="15" hidden="false" customHeight="false" outlineLevel="0" collapsed="false">
      <c r="A1278" s="10" t="n">
        <v>1272</v>
      </c>
      <c r="B1278" s="11" t="s">
        <v>2017</v>
      </c>
      <c r="C1278" s="12" t="s">
        <v>65</v>
      </c>
      <c r="D1278" s="13" t="n">
        <v>0.0111009259259259</v>
      </c>
      <c r="E1278" s="14" t="n">
        <v>1273</v>
      </c>
      <c r="F1278" s="15" t="n">
        <f aca="false">IF(D1278="","",ROUND((D1278-MIN($D$7:$D$9999))*86400,2))</f>
        <v>169.38</v>
      </c>
      <c r="G1278" s="10" t="str">
        <f aca="false">IF(D1278="","",IF(D1278&lt;=($E$3*60+$F$3)/86400,"○",""))</f>
        <v/>
      </c>
      <c r="H1278" s="16"/>
      <c r="I1278" s="17"/>
      <c r="J1278" s="16"/>
      <c r="K1278" s="17"/>
      <c r="L1278" s="17" t="n">
        <f aca="false">COUNT(E1278,I1278,K1278)</f>
        <v>1</v>
      </c>
      <c r="M1278" s="18" t="n">
        <f aca="false">(D1278&lt;&gt;"")*(D1278&lt;=($E$3*60+$F$3)/86400)+(H1278&lt;&gt;"")*(H1278&lt;=($I$3*60+$J$3)/86400)+(J1278&lt;&gt;"")*(J1278&lt;=($M$3*60+$N$3)/86400)</f>
        <v>0</v>
      </c>
      <c r="N1278" s="20"/>
      <c r="O1278" s="20"/>
      <c r="P1278" s="20"/>
      <c r="Q1278" s="19"/>
    </row>
    <row r="1279" customFormat="false" ht="15" hidden="false" customHeight="false" outlineLevel="0" collapsed="false">
      <c r="A1279" s="10" t="n">
        <v>1273</v>
      </c>
      <c r="B1279" s="11" t="s">
        <v>2018</v>
      </c>
      <c r="C1279" s="12" t="s">
        <v>457</v>
      </c>
      <c r="D1279" s="13" t="n">
        <v>0.0111020833333333</v>
      </c>
      <c r="E1279" s="14" t="n">
        <v>1274</v>
      </c>
      <c r="F1279" s="15" t="n">
        <f aca="false">IF(D1279="","",ROUND((D1279-MIN($D$7:$D$9999))*86400,2))</f>
        <v>169.48</v>
      </c>
      <c r="G1279" s="10" t="str">
        <f aca="false">IF(D1279="","",IF(D1279&lt;=($E$3*60+$F$3)/86400,"○",""))</f>
        <v/>
      </c>
      <c r="H1279" s="16"/>
      <c r="I1279" s="17"/>
      <c r="J1279" s="16"/>
      <c r="K1279" s="17"/>
      <c r="L1279" s="17" t="n">
        <f aca="false">COUNT(E1279,I1279,K1279)</f>
        <v>1</v>
      </c>
      <c r="M1279" s="18" t="n">
        <f aca="false">(D1279&lt;&gt;"")*(D1279&lt;=($E$3*60+$F$3)/86400)+(H1279&lt;&gt;"")*(H1279&lt;=($I$3*60+$J$3)/86400)+(J1279&lt;&gt;"")*(J1279&lt;=($M$3*60+$N$3)/86400)</f>
        <v>0</v>
      </c>
      <c r="N1279" s="20"/>
      <c r="O1279" s="20"/>
      <c r="P1279" s="20"/>
      <c r="Q1279" s="19"/>
    </row>
    <row r="1280" customFormat="false" ht="15" hidden="false" customHeight="false" outlineLevel="0" collapsed="false">
      <c r="A1280" s="10" t="n">
        <v>1274</v>
      </c>
      <c r="B1280" s="11" t="s">
        <v>2019</v>
      </c>
      <c r="C1280" s="12" t="s">
        <v>601</v>
      </c>
      <c r="D1280" s="13" t="n">
        <v>0.011102662037037</v>
      </c>
      <c r="E1280" s="14" t="n">
        <v>1275</v>
      </c>
      <c r="F1280" s="15" t="n">
        <f aca="false">IF(D1280="","",ROUND((D1280-MIN($D$7:$D$9999))*86400,2))</f>
        <v>169.53</v>
      </c>
      <c r="G1280" s="10" t="str">
        <f aca="false">IF(D1280="","",IF(D1280&lt;=($E$3*60+$F$3)/86400,"○",""))</f>
        <v/>
      </c>
      <c r="H1280" s="16"/>
      <c r="I1280" s="17"/>
      <c r="J1280" s="16"/>
      <c r="K1280" s="17"/>
      <c r="L1280" s="17" t="n">
        <f aca="false">COUNT(E1280,I1280,K1280)</f>
        <v>1</v>
      </c>
      <c r="M1280" s="18" t="n">
        <f aca="false">(D1280&lt;&gt;"")*(D1280&lt;=($E$3*60+$F$3)/86400)+(H1280&lt;&gt;"")*(H1280&lt;=($I$3*60+$J$3)/86400)+(J1280&lt;&gt;"")*(J1280&lt;=($M$3*60+$N$3)/86400)</f>
        <v>0</v>
      </c>
      <c r="N1280" s="20"/>
      <c r="O1280" s="20"/>
      <c r="P1280" s="20"/>
      <c r="Q1280" s="19"/>
    </row>
    <row r="1281" customFormat="false" ht="15" hidden="false" customHeight="false" outlineLevel="0" collapsed="false">
      <c r="A1281" s="10" t="n">
        <v>1275</v>
      </c>
      <c r="B1281" s="11" t="s">
        <v>2020</v>
      </c>
      <c r="C1281" s="12" t="s">
        <v>1315</v>
      </c>
      <c r="D1281" s="13" t="n">
        <v>0.0111055555555556</v>
      </c>
      <c r="E1281" s="14" t="n">
        <v>1276</v>
      </c>
      <c r="F1281" s="15" t="n">
        <f aca="false">IF(D1281="","",ROUND((D1281-MIN($D$7:$D$9999))*86400,2))</f>
        <v>169.78</v>
      </c>
      <c r="G1281" s="10" t="str">
        <f aca="false">IF(D1281="","",IF(D1281&lt;=($E$3*60+$F$3)/86400,"○",""))</f>
        <v/>
      </c>
      <c r="H1281" s="16"/>
      <c r="I1281" s="17"/>
      <c r="J1281" s="16" t="n">
        <v>0.00272905092592593</v>
      </c>
      <c r="K1281" s="17" t="n">
        <v>64</v>
      </c>
      <c r="L1281" s="17" t="n">
        <f aca="false">COUNT(E1281,I1281,K1281)</f>
        <v>2</v>
      </c>
      <c r="M1281" s="18" t="n">
        <f aca="false">(D1281&lt;&gt;"")*(D1281&lt;=($E$3*60+$F$3)/86400)+(H1281&lt;&gt;"")*(H1281&lt;=($I$3*60+$J$3)/86400)+(J1281&lt;&gt;"")*(J1281&lt;=($M$3*60+$N$3)/86400)</f>
        <v>0</v>
      </c>
      <c r="N1281" s="20"/>
      <c r="O1281" s="20"/>
      <c r="P1281" s="20"/>
      <c r="Q1281" s="19"/>
    </row>
    <row r="1282" customFormat="false" ht="15" hidden="false" customHeight="false" outlineLevel="0" collapsed="false">
      <c r="A1282" s="10" t="n">
        <v>1276</v>
      </c>
      <c r="B1282" s="11" t="s">
        <v>2021</v>
      </c>
      <c r="C1282" s="12" t="s">
        <v>728</v>
      </c>
      <c r="D1282" s="13" t="n">
        <v>0.0111061342592593</v>
      </c>
      <c r="E1282" s="14" t="n">
        <v>1277</v>
      </c>
      <c r="F1282" s="15" t="n">
        <f aca="false">IF(D1282="","",ROUND((D1282-MIN($D$7:$D$9999))*86400,2))</f>
        <v>169.83</v>
      </c>
      <c r="G1282" s="10" t="str">
        <f aca="false">IF(D1282="","",IF(D1282&lt;=($E$3*60+$F$3)/86400,"○",""))</f>
        <v/>
      </c>
      <c r="H1282" s="16" t="n">
        <v>0.00669803240740741</v>
      </c>
      <c r="I1282" s="17" t="n">
        <v>106</v>
      </c>
      <c r="J1282" s="16"/>
      <c r="K1282" s="17"/>
      <c r="L1282" s="17" t="n">
        <f aca="false">COUNT(E1282,I1282,K1282)</f>
        <v>2</v>
      </c>
      <c r="M1282" s="18" t="n">
        <f aca="false">(D1282&lt;&gt;"")*(D1282&lt;=($E$3*60+$F$3)/86400)+(H1282&lt;&gt;"")*(H1282&lt;=($I$3*60+$J$3)/86400)+(J1282&lt;&gt;"")*(J1282&lt;=($M$3*60+$N$3)/86400)</f>
        <v>0</v>
      </c>
      <c r="N1282" s="20"/>
      <c r="O1282" s="20" t="s">
        <v>2022</v>
      </c>
      <c r="P1282" s="20"/>
      <c r="Q1282" s="19"/>
    </row>
    <row r="1283" customFormat="false" ht="15" hidden="false" customHeight="false" outlineLevel="0" collapsed="false">
      <c r="A1283" s="10" t="n">
        <v>1277</v>
      </c>
      <c r="B1283" s="11" t="s">
        <v>2023</v>
      </c>
      <c r="C1283" s="12" t="s">
        <v>939</v>
      </c>
      <c r="D1283" s="13" t="n">
        <v>0.0111101851851852</v>
      </c>
      <c r="E1283" s="14" t="n">
        <v>1278</v>
      </c>
      <c r="F1283" s="15" t="n">
        <f aca="false">IF(D1283="","",ROUND((D1283-MIN($D$7:$D$9999))*86400,2))</f>
        <v>170.18</v>
      </c>
      <c r="G1283" s="10" t="str">
        <f aca="false">IF(D1283="","",IF(D1283&lt;=($E$3*60+$F$3)/86400,"○",""))</f>
        <v/>
      </c>
      <c r="H1283" s="16" t="n">
        <v>0.00699606481481482</v>
      </c>
      <c r="I1283" s="17" t="n">
        <v>330</v>
      </c>
      <c r="J1283" s="16"/>
      <c r="K1283" s="17"/>
      <c r="L1283" s="17" t="n">
        <f aca="false">COUNT(E1283,I1283,K1283)</f>
        <v>2</v>
      </c>
      <c r="M1283" s="18" t="n">
        <f aca="false">(D1283&lt;&gt;"")*(D1283&lt;=($E$3*60+$F$3)/86400)+(H1283&lt;&gt;"")*(H1283&lt;=($I$3*60+$J$3)/86400)+(J1283&lt;&gt;"")*(J1283&lt;=($M$3*60+$N$3)/86400)</f>
        <v>0</v>
      </c>
      <c r="N1283" s="20"/>
      <c r="O1283" s="20"/>
      <c r="P1283" s="20"/>
      <c r="Q1283" s="19"/>
    </row>
    <row r="1284" customFormat="false" ht="15" hidden="false" customHeight="false" outlineLevel="0" collapsed="false">
      <c r="A1284" s="10" t="n">
        <v>1278</v>
      </c>
      <c r="B1284" s="11" t="s">
        <v>2024</v>
      </c>
      <c r="C1284" s="12" t="s">
        <v>1465</v>
      </c>
      <c r="D1284" s="13" t="n">
        <v>0.0111123842592593</v>
      </c>
      <c r="E1284" s="14" t="n">
        <v>1279</v>
      </c>
      <c r="F1284" s="15" t="n">
        <f aca="false">IF(D1284="","",ROUND((D1284-MIN($D$7:$D$9999))*86400,2))</f>
        <v>170.37</v>
      </c>
      <c r="G1284" s="10" t="str">
        <f aca="false">IF(D1284="","",IF(D1284&lt;=($E$3*60+$F$3)/86400,"○",""))</f>
        <v/>
      </c>
      <c r="H1284" s="16"/>
      <c r="I1284" s="17"/>
      <c r="J1284" s="16" t="n">
        <v>0.00286469907407407</v>
      </c>
      <c r="K1284" s="17" t="n">
        <v>664</v>
      </c>
      <c r="L1284" s="17" t="n">
        <f aca="false">COUNT(E1284,I1284,K1284)</f>
        <v>2</v>
      </c>
      <c r="M1284" s="18" t="n">
        <f aca="false">(D1284&lt;&gt;"")*(D1284&lt;=($E$3*60+$F$3)/86400)+(H1284&lt;&gt;"")*(H1284&lt;=($I$3*60+$J$3)/86400)+(J1284&lt;&gt;"")*(J1284&lt;=($M$3*60+$N$3)/86400)</f>
        <v>0</v>
      </c>
      <c r="N1284" s="20"/>
      <c r="O1284" s="20"/>
      <c r="P1284" s="20"/>
      <c r="Q1284" s="19"/>
    </row>
    <row r="1285" customFormat="false" ht="15" hidden="false" customHeight="false" outlineLevel="0" collapsed="false">
      <c r="A1285" s="10" t="n">
        <v>1279</v>
      </c>
      <c r="B1285" s="11" t="s">
        <v>2025</v>
      </c>
      <c r="C1285" s="12" t="s">
        <v>1229</v>
      </c>
      <c r="D1285" s="13" t="n">
        <v>0.0111150462962963</v>
      </c>
      <c r="E1285" s="14" t="n">
        <v>1280</v>
      </c>
      <c r="F1285" s="15" t="n">
        <f aca="false">IF(D1285="","",ROUND((D1285-MIN($D$7:$D$9999))*86400,2))</f>
        <v>170.6</v>
      </c>
      <c r="G1285" s="10" t="str">
        <f aca="false">IF(D1285="","",IF(D1285&lt;=($E$3*60+$F$3)/86400,"○",""))</f>
        <v/>
      </c>
      <c r="H1285" s="16"/>
      <c r="I1285" s="17"/>
      <c r="J1285" s="16" t="n">
        <v>0.00288425925925926</v>
      </c>
      <c r="K1285" s="17" t="n">
        <v>809</v>
      </c>
      <c r="L1285" s="17" t="n">
        <f aca="false">COUNT(E1285,I1285,K1285)</f>
        <v>2</v>
      </c>
      <c r="M1285" s="18" t="n">
        <f aca="false">(D1285&lt;&gt;"")*(D1285&lt;=($E$3*60+$F$3)/86400)+(H1285&lt;&gt;"")*(H1285&lt;=($I$3*60+$J$3)/86400)+(J1285&lt;&gt;"")*(J1285&lt;=($M$3*60+$N$3)/86400)</f>
        <v>0</v>
      </c>
      <c r="N1285" s="20"/>
      <c r="O1285" s="20"/>
      <c r="P1285" s="20"/>
      <c r="Q1285" s="19"/>
    </row>
    <row r="1286" customFormat="false" ht="15" hidden="false" customHeight="false" outlineLevel="0" collapsed="false">
      <c r="A1286" s="10" t="n">
        <v>1280</v>
      </c>
      <c r="B1286" s="11" t="s">
        <v>2026</v>
      </c>
      <c r="C1286" s="12" t="s">
        <v>2027</v>
      </c>
      <c r="D1286" s="13" t="n">
        <v>0.0111152777777778</v>
      </c>
      <c r="E1286" s="14" t="n">
        <v>1281</v>
      </c>
      <c r="F1286" s="15" t="n">
        <f aca="false">IF(D1286="","",ROUND((D1286-MIN($D$7:$D$9999))*86400,2))</f>
        <v>170.62</v>
      </c>
      <c r="G1286" s="10" t="str">
        <f aca="false">IF(D1286="","",IF(D1286&lt;=($E$3*60+$F$3)/86400,"○",""))</f>
        <v/>
      </c>
      <c r="H1286" s="16"/>
      <c r="I1286" s="17"/>
      <c r="J1286" s="16" t="n">
        <v>0.00296331018518519</v>
      </c>
      <c r="K1286" s="17" t="n">
        <v>1284</v>
      </c>
      <c r="L1286" s="17" t="n">
        <f aca="false">COUNT(E1286,I1286,K1286)</f>
        <v>2</v>
      </c>
      <c r="M1286" s="18" t="n">
        <f aca="false">(D1286&lt;&gt;"")*(D1286&lt;=($E$3*60+$F$3)/86400)+(H1286&lt;&gt;"")*(H1286&lt;=($I$3*60+$J$3)/86400)+(J1286&lt;&gt;"")*(J1286&lt;=($M$3*60+$N$3)/86400)</f>
        <v>0</v>
      </c>
      <c r="N1286" s="20"/>
      <c r="O1286" s="20" t="s">
        <v>2028</v>
      </c>
      <c r="P1286" s="20"/>
      <c r="Q1286" s="19"/>
    </row>
    <row r="1287" customFormat="false" ht="15" hidden="false" customHeight="false" outlineLevel="0" collapsed="false">
      <c r="A1287" s="10" t="n">
        <v>1281</v>
      </c>
      <c r="B1287" s="11" t="s">
        <v>2029</v>
      </c>
      <c r="C1287" s="12" t="s">
        <v>1209</v>
      </c>
      <c r="D1287" s="13" t="n">
        <v>0.0111162037037037</v>
      </c>
      <c r="E1287" s="14" t="n">
        <v>1282</v>
      </c>
      <c r="F1287" s="15" t="n">
        <f aca="false">IF(D1287="","",ROUND((D1287-MIN($D$7:$D$9999))*86400,2))</f>
        <v>170.7</v>
      </c>
      <c r="G1287" s="10" t="str">
        <f aca="false">IF(D1287="","",IF(D1287&lt;=($E$3*60+$F$3)/86400,"○",""))</f>
        <v/>
      </c>
      <c r="H1287" s="16" t="n">
        <v>0.00705625</v>
      </c>
      <c r="I1287" s="17" t="n">
        <v>397</v>
      </c>
      <c r="J1287" s="16"/>
      <c r="K1287" s="17"/>
      <c r="L1287" s="17" t="n">
        <f aca="false">COUNT(E1287,I1287,K1287)</f>
        <v>2</v>
      </c>
      <c r="M1287" s="18" t="n">
        <f aca="false">(D1287&lt;&gt;"")*(D1287&lt;=($E$3*60+$F$3)/86400)+(H1287&lt;&gt;"")*(H1287&lt;=($I$3*60+$J$3)/86400)+(J1287&lt;&gt;"")*(J1287&lt;=($M$3*60+$N$3)/86400)</f>
        <v>0</v>
      </c>
      <c r="N1287" s="20"/>
      <c r="O1287" s="20"/>
      <c r="P1287" s="20"/>
      <c r="Q1287" s="19"/>
    </row>
    <row r="1288" customFormat="false" ht="15" hidden="false" customHeight="false" outlineLevel="0" collapsed="false">
      <c r="A1288" s="10" t="n">
        <v>1282</v>
      </c>
      <c r="B1288" s="11" t="s">
        <v>2030</v>
      </c>
      <c r="C1288" s="12" t="s">
        <v>907</v>
      </c>
      <c r="D1288" s="13" t="n">
        <v>0.0111163194444444</v>
      </c>
      <c r="E1288" s="14" t="n">
        <v>1283</v>
      </c>
      <c r="F1288" s="15" t="n">
        <f aca="false">IF(D1288="","",ROUND((D1288-MIN($D$7:$D$9999))*86400,2))</f>
        <v>170.71</v>
      </c>
      <c r="G1288" s="10" t="str">
        <f aca="false">IF(D1288="","",IF(D1288&lt;=($E$3*60+$F$3)/86400,"○",""))</f>
        <v/>
      </c>
      <c r="H1288" s="16"/>
      <c r="I1288" s="17"/>
      <c r="J1288" s="16" t="n">
        <v>0.00292488425925926</v>
      </c>
      <c r="K1288" s="17" t="n">
        <v>1147</v>
      </c>
      <c r="L1288" s="17" t="n">
        <f aca="false">COUNT(E1288,I1288,K1288)</f>
        <v>2</v>
      </c>
      <c r="M1288" s="18" t="n">
        <f aca="false">(D1288&lt;&gt;"")*(D1288&lt;=($E$3*60+$F$3)/86400)+(H1288&lt;&gt;"")*(H1288&lt;=($I$3*60+$J$3)/86400)+(J1288&lt;&gt;"")*(J1288&lt;=($M$3*60+$N$3)/86400)</f>
        <v>0</v>
      </c>
      <c r="N1288" s="20"/>
      <c r="O1288" s="20"/>
      <c r="P1288" s="20"/>
      <c r="Q1288" s="19"/>
    </row>
    <row r="1289" customFormat="false" ht="15" hidden="false" customHeight="false" outlineLevel="0" collapsed="false">
      <c r="A1289" s="10" t="n">
        <v>1283</v>
      </c>
      <c r="B1289" s="11" t="s">
        <v>2031</v>
      </c>
      <c r="C1289" s="12" t="s">
        <v>61</v>
      </c>
      <c r="D1289" s="13" t="n">
        <v>0.0111173611111111</v>
      </c>
      <c r="E1289" s="14" t="n">
        <v>1284</v>
      </c>
      <c r="F1289" s="15" t="n">
        <f aca="false">IF(D1289="","",ROUND((D1289-MIN($D$7:$D$9999))*86400,2))</f>
        <v>170.8</v>
      </c>
      <c r="G1289" s="10" t="str">
        <f aca="false">IF(D1289="","",IF(D1289&lt;=($E$3*60+$F$3)/86400,"○",""))</f>
        <v/>
      </c>
      <c r="H1289" s="16"/>
      <c r="I1289" s="17"/>
      <c r="J1289" s="16" t="n">
        <v>0.00283518518518519</v>
      </c>
      <c r="K1289" s="17" t="n">
        <v>463</v>
      </c>
      <c r="L1289" s="17" t="n">
        <f aca="false">COUNT(E1289,I1289,K1289)</f>
        <v>2</v>
      </c>
      <c r="M1289" s="18" t="n">
        <f aca="false">(D1289&lt;&gt;"")*(D1289&lt;=($E$3*60+$F$3)/86400)+(H1289&lt;&gt;"")*(H1289&lt;=($I$3*60+$J$3)/86400)+(J1289&lt;&gt;"")*(J1289&lt;=($M$3*60+$N$3)/86400)</f>
        <v>0</v>
      </c>
      <c r="N1289" s="20"/>
      <c r="O1289" s="20"/>
      <c r="P1289" s="20"/>
      <c r="Q1289" s="19"/>
    </row>
    <row r="1290" customFormat="false" ht="15" hidden="false" customHeight="false" outlineLevel="0" collapsed="false">
      <c r="A1290" s="10" t="n">
        <v>1284</v>
      </c>
      <c r="B1290" s="11" t="s">
        <v>2032</v>
      </c>
      <c r="C1290" s="12" t="s">
        <v>186</v>
      </c>
      <c r="D1290" s="13" t="n">
        <v>0.0111184027777778</v>
      </c>
      <c r="E1290" s="14" t="n">
        <v>1285</v>
      </c>
      <c r="F1290" s="15" t="n">
        <f aca="false">IF(D1290="","",ROUND((D1290-MIN($D$7:$D$9999))*86400,2))</f>
        <v>170.89</v>
      </c>
      <c r="G1290" s="10" t="str">
        <f aca="false">IF(D1290="","",IF(D1290&lt;=($E$3*60+$F$3)/86400,"○",""))</f>
        <v/>
      </c>
      <c r="H1290" s="16"/>
      <c r="I1290" s="17"/>
      <c r="J1290" s="16" t="n">
        <v>0.00284097222222222</v>
      </c>
      <c r="K1290" s="17" t="n">
        <v>508</v>
      </c>
      <c r="L1290" s="17" t="n">
        <f aca="false">COUNT(E1290,I1290,K1290)</f>
        <v>2</v>
      </c>
      <c r="M1290" s="18" t="n">
        <f aca="false">(D1290&lt;&gt;"")*(D1290&lt;=($E$3*60+$F$3)/86400)+(H1290&lt;&gt;"")*(H1290&lt;=($I$3*60+$J$3)/86400)+(J1290&lt;&gt;"")*(J1290&lt;=($M$3*60+$N$3)/86400)</f>
        <v>0</v>
      </c>
      <c r="N1290" s="20"/>
      <c r="O1290" s="20"/>
      <c r="P1290" s="20"/>
      <c r="Q1290" s="19"/>
    </row>
    <row r="1291" customFormat="false" ht="15" hidden="false" customHeight="false" outlineLevel="0" collapsed="false">
      <c r="A1291" s="10" t="n">
        <v>1285</v>
      </c>
      <c r="B1291" s="11" t="s">
        <v>2033</v>
      </c>
      <c r="C1291" s="12" t="s">
        <v>1127</v>
      </c>
      <c r="D1291" s="13" t="n">
        <v>0.0111196759259259</v>
      </c>
      <c r="E1291" s="14" t="n">
        <v>1286</v>
      </c>
      <c r="F1291" s="15" t="n">
        <f aca="false">IF(D1291="","",ROUND((D1291-MIN($D$7:$D$9999))*86400,2))</f>
        <v>171</v>
      </c>
      <c r="G1291" s="10" t="str">
        <f aca="false">IF(D1291="","",IF(D1291&lt;=($E$3*60+$F$3)/86400,"○",""))</f>
        <v/>
      </c>
      <c r="H1291" s="16" t="n">
        <v>0.00745601851851852</v>
      </c>
      <c r="I1291" s="17" t="n">
        <v>840</v>
      </c>
      <c r="J1291" s="16"/>
      <c r="K1291" s="17"/>
      <c r="L1291" s="17" t="n">
        <f aca="false">COUNT(E1291,I1291,K1291)</f>
        <v>2</v>
      </c>
      <c r="M1291" s="18" t="n">
        <f aca="false">(D1291&lt;&gt;"")*(D1291&lt;=($E$3*60+$F$3)/86400)+(H1291&lt;&gt;"")*(H1291&lt;=($I$3*60+$J$3)/86400)+(J1291&lt;&gt;"")*(J1291&lt;=($M$3*60+$N$3)/86400)</f>
        <v>0</v>
      </c>
      <c r="N1291" s="20"/>
      <c r="O1291" s="20"/>
      <c r="P1291" s="20"/>
      <c r="Q1291" s="19"/>
    </row>
    <row r="1292" customFormat="false" ht="15" hidden="false" customHeight="false" outlineLevel="0" collapsed="false">
      <c r="A1292" s="10" t="n">
        <v>1286</v>
      </c>
      <c r="B1292" s="11" t="s">
        <v>2034</v>
      </c>
      <c r="C1292" s="12" t="s">
        <v>2035</v>
      </c>
      <c r="D1292" s="13" t="n">
        <v>0.0111204861111111</v>
      </c>
      <c r="E1292" s="14" t="n">
        <v>1287</v>
      </c>
      <c r="F1292" s="15" t="n">
        <f aca="false">IF(D1292="","",ROUND((D1292-MIN($D$7:$D$9999))*86400,2))</f>
        <v>171.07</v>
      </c>
      <c r="G1292" s="10" t="str">
        <f aca="false">IF(D1292="","",IF(D1292&lt;=($E$3*60+$F$3)/86400,"○",""))</f>
        <v/>
      </c>
      <c r="H1292" s="16"/>
      <c r="I1292" s="17"/>
      <c r="J1292" s="16"/>
      <c r="K1292" s="17"/>
      <c r="L1292" s="17" t="n">
        <f aca="false">COUNT(E1292,I1292,K1292)</f>
        <v>1</v>
      </c>
      <c r="M1292" s="18" t="n">
        <f aca="false">(D1292&lt;&gt;"")*(D1292&lt;=($E$3*60+$F$3)/86400)+(H1292&lt;&gt;"")*(H1292&lt;=($I$3*60+$J$3)/86400)+(J1292&lt;&gt;"")*(J1292&lt;=($M$3*60+$N$3)/86400)</f>
        <v>0</v>
      </c>
      <c r="N1292" s="20"/>
      <c r="O1292" s="20"/>
      <c r="P1292" s="20"/>
      <c r="Q1292" s="19"/>
    </row>
    <row r="1293" customFormat="false" ht="15" hidden="false" customHeight="false" outlineLevel="0" collapsed="false">
      <c r="A1293" s="10" t="n">
        <v>1287</v>
      </c>
      <c r="B1293" s="11" t="s">
        <v>2036</v>
      </c>
      <c r="C1293" s="12" t="s">
        <v>2037</v>
      </c>
      <c r="D1293" s="13" t="n">
        <v>0.0111204861111111</v>
      </c>
      <c r="E1293" s="14" t="n">
        <v>1288</v>
      </c>
      <c r="F1293" s="15" t="n">
        <f aca="false">IF(D1293="","",ROUND((D1293-MIN($D$7:$D$9999))*86400,2))</f>
        <v>171.07</v>
      </c>
      <c r="G1293" s="10" t="str">
        <f aca="false">IF(D1293="","",IF(D1293&lt;=($E$3*60+$F$3)/86400,"○",""))</f>
        <v/>
      </c>
      <c r="H1293" s="16" t="n">
        <v>0.00681215277777778</v>
      </c>
      <c r="I1293" s="17" t="n">
        <v>181</v>
      </c>
      <c r="J1293" s="16"/>
      <c r="K1293" s="17"/>
      <c r="L1293" s="17" t="n">
        <f aca="false">COUNT(E1293,I1293,K1293)</f>
        <v>2</v>
      </c>
      <c r="M1293" s="18" t="n">
        <f aca="false">(D1293&lt;&gt;"")*(D1293&lt;=($E$3*60+$F$3)/86400)+(H1293&lt;&gt;"")*(H1293&lt;=($I$3*60+$J$3)/86400)+(J1293&lt;&gt;"")*(J1293&lt;=($M$3*60+$N$3)/86400)</f>
        <v>0</v>
      </c>
      <c r="N1293" s="20"/>
      <c r="O1293" s="20"/>
      <c r="P1293" s="20"/>
      <c r="Q1293" s="19"/>
    </row>
    <row r="1294" customFormat="false" ht="15" hidden="false" customHeight="false" outlineLevel="0" collapsed="false">
      <c r="A1294" s="10" t="n">
        <v>1288</v>
      </c>
      <c r="B1294" s="11" t="s">
        <v>2038</v>
      </c>
      <c r="C1294" s="12" t="s">
        <v>1647</v>
      </c>
      <c r="D1294" s="13" t="n">
        <v>0.0111210648148148</v>
      </c>
      <c r="E1294" s="14" t="n">
        <v>1289</v>
      </c>
      <c r="F1294" s="15" t="n">
        <f aca="false">IF(D1294="","",ROUND((D1294-MIN($D$7:$D$9999))*86400,2))</f>
        <v>171.12</v>
      </c>
      <c r="G1294" s="10" t="str">
        <f aca="false">IF(D1294="","",IF(D1294&lt;=($E$3*60+$F$3)/86400,"○",""))</f>
        <v/>
      </c>
      <c r="H1294" s="16"/>
      <c r="I1294" s="17"/>
      <c r="J1294" s="16"/>
      <c r="K1294" s="17"/>
      <c r="L1294" s="17" t="n">
        <f aca="false">COUNT(E1294,I1294,K1294)</f>
        <v>1</v>
      </c>
      <c r="M1294" s="18" t="n">
        <f aca="false">(D1294&lt;&gt;"")*(D1294&lt;=($E$3*60+$F$3)/86400)+(H1294&lt;&gt;"")*(H1294&lt;=($I$3*60+$J$3)/86400)+(J1294&lt;&gt;"")*(J1294&lt;=($M$3*60+$N$3)/86400)</f>
        <v>0</v>
      </c>
      <c r="N1294" s="20"/>
      <c r="O1294" s="20"/>
      <c r="P1294" s="20"/>
      <c r="Q1294" s="19"/>
    </row>
    <row r="1295" customFormat="false" ht="15" hidden="false" customHeight="false" outlineLevel="0" collapsed="false">
      <c r="A1295" s="10" t="n">
        <v>1289</v>
      </c>
      <c r="B1295" s="11" t="s">
        <v>2039</v>
      </c>
      <c r="C1295" s="12" t="s">
        <v>601</v>
      </c>
      <c r="D1295" s="13" t="n">
        <v>0.0111222222222222</v>
      </c>
      <c r="E1295" s="14" t="n">
        <v>1290</v>
      </c>
      <c r="F1295" s="15" t="n">
        <f aca="false">IF(D1295="","",ROUND((D1295-MIN($D$7:$D$9999))*86400,2))</f>
        <v>171.22</v>
      </c>
      <c r="G1295" s="10" t="str">
        <f aca="false">IF(D1295="","",IF(D1295&lt;=($E$3*60+$F$3)/86400,"○",""))</f>
        <v/>
      </c>
      <c r="H1295" s="16"/>
      <c r="I1295" s="17"/>
      <c r="J1295" s="16" t="n">
        <v>0.00288576388888889</v>
      </c>
      <c r="K1295" s="17" t="n">
        <v>823</v>
      </c>
      <c r="L1295" s="17" t="n">
        <f aca="false">COUNT(E1295,I1295,K1295)</f>
        <v>2</v>
      </c>
      <c r="M1295" s="18" t="n">
        <f aca="false">(D1295&lt;&gt;"")*(D1295&lt;=($E$3*60+$F$3)/86400)+(H1295&lt;&gt;"")*(H1295&lt;=($I$3*60+$J$3)/86400)+(J1295&lt;&gt;"")*(J1295&lt;=($M$3*60+$N$3)/86400)</f>
        <v>0</v>
      </c>
      <c r="N1295" s="20"/>
      <c r="O1295" s="20"/>
      <c r="P1295" s="20"/>
      <c r="Q1295" s="19"/>
    </row>
    <row r="1296" customFormat="false" ht="15" hidden="false" customHeight="false" outlineLevel="0" collapsed="false">
      <c r="A1296" s="10" t="n">
        <v>1290</v>
      </c>
      <c r="B1296" s="11" t="s">
        <v>2040</v>
      </c>
      <c r="C1296" s="12" t="s">
        <v>601</v>
      </c>
      <c r="D1296" s="13" t="n">
        <v>0.0111229166666667</v>
      </c>
      <c r="E1296" s="14" t="n">
        <v>1291</v>
      </c>
      <c r="F1296" s="15" t="n">
        <f aca="false">IF(D1296="","",ROUND((D1296-MIN($D$7:$D$9999))*86400,2))</f>
        <v>171.28</v>
      </c>
      <c r="G1296" s="10" t="str">
        <f aca="false">IF(D1296="","",IF(D1296&lt;=($E$3*60+$F$3)/86400,"○",""))</f>
        <v/>
      </c>
      <c r="H1296" s="16"/>
      <c r="I1296" s="17"/>
      <c r="J1296" s="16" t="n">
        <v>0.00275451388888889</v>
      </c>
      <c r="K1296" s="17" t="n">
        <v>117</v>
      </c>
      <c r="L1296" s="17" t="n">
        <f aca="false">COUNT(E1296,I1296,K1296)</f>
        <v>2</v>
      </c>
      <c r="M1296" s="18" t="n">
        <f aca="false">(D1296&lt;&gt;"")*(D1296&lt;=($E$3*60+$F$3)/86400)+(H1296&lt;&gt;"")*(H1296&lt;=($I$3*60+$J$3)/86400)+(J1296&lt;&gt;"")*(J1296&lt;=($M$3*60+$N$3)/86400)</f>
        <v>0</v>
      </c>
      <c r="N1296" s="20"/>
      <c r="O1296" s="20"/>
      <c r="P1296" s="20"/>
      <c r="Q1296" s="19"/>
    </row>
    <row r="1297" customFormat="false" ht="15" hidden="false" customHeight="false" outlineLevel="0" collapsed="false">
      <c r="A1297" s="10" t="n">
        <v>1291</v>
      </c>
      <c r="B1297" s="12" t="s">
        <v>2041</v>
      </c>
      <c r="C1297" s="12" t="s">
        <v>37</v>
      </c>
      <c r="D1297" s="13"/>
      <c r="E1297" s="14"/>
      <c r="F1297" s="15" t="str">
        <f aca="false">IF(D1297="","",ROUND((D1297-MIN($D$7:$D$9999))*86400,2))</f>
        <v/>
      </c>
      <c r="G1297" s="10" t="str">
        <f aca="false">IF(D1297="","",IF(D1297&lt;=($E$3*60+$F$3)/86400,"○",""))</f>
        <v/>
      </c>
      <c r="H1297" s="16"/>
      <c r="I1297" s="17"/>
      <c r="J1297" s="16" t="n">
        <v>0.00265011574074074</v>
      </c>
      <c r="K1297" s="17" t="n">
        <v>4</v>
      </c>
      <c r="L1297" s="17" t="n">
        <f aca="false">COUNT(E1297,I1297,K1297)</f>
        <v>1</v>
      </c>
      <c r="M1297" s="18" t="n">
        <f aca="false">(D1297&lt;&gt;"")*(D1297&lt;=($E$3*60+$F$3)/86400)+(H1297&lt;&gt;"")*(H1297&lt;=($I$3*60+$J$3)/86400)+(J1297&lt;&gt;"")*(J1297&lt;=($M$3*60+$N$3)/86400)</f>
        <v>1</v>
      </c>
      <c r="N1297" s="20"/>
      <c r="O1297" s="20"/>
      <c r="P1297" s="20"/>
      <c r="Q1297" s="19"/>
    </row>
    <row r="1298" customFormat="false" ht="15" hidden="false" customHeight="false" outlineLevel="0" collapsed="false">
      <c r="A1298" s="10" t="n">
        <v>1292</v>
      </c>
      <c r="B1298" s="12" t="s">
        <v>2042</v>
      </c>
      <c r="C1298" s="12" t="s">
        <v>875</v>
      </c>
      <c r="D1298" s="13"/>
      <c r="E1298" s="14"/>
      <c r="F1298" s="15" t="str">
        <f aca="false">IF(D1298="","",ROUND((D1298-MIN($D$7:$D$9999))*86400,2))</f>
        <v/>
      </c>
      <c r="G1298" s="10" t="str">
        <f aca="false">IF(D1298="","",IF(D1298&lt;=($E$3*60+$F$3)/86400,"○",""))</f>
        <v/>
      </c>
      <c r="H1298" s="16"/>
      <c r="I1298" s="17"/>
      <c r="J1298" s="16" t="n">
        <v>0.00269189814814815</v>
      </c>
      <c r="K1298" s="17" t="n">
        <v>20</v>
      </c>
      <c r="L1298" s="17" t="n">
        <f aca="false">COUNT(E1298,I1298,K1298)</f>
        <v>1</v>
      </c>
      <c r="M1298" s="18" t="n">
        <f aca="false">(D1298&lt;&gt;"")*(D1298&lt;=($E$3*60+$F$3)/86400)+(H1298&lt;&gt;"")*(H1298&lt;=($I$3*60+$J$3)/86400)+(J1298&lt;&gt;"")*(J1298&lt;=($M$3*60+$N$3)/86400)</f>
        <v>1</v>
      </c>
      <c r="N1298" s="20"/>
      <c r="O1298" s="20"/>
      <c r="P1298" s="20"/>
      <c r="Q1298" s="19"/>
    </row>
    <row r="1299" customFormat="false" ht="15" hidden="false" customHeight="false" outlineLevel="0" collapsed="false">
      <c r="A1299" s="10" t="n">
        <v>1293</v>
      </c>
      <c r="B1299" s="12" t="s">
        <v>2043</v>
      </c>
      <c r="C1299" s="12" t="s">
        <v>61</v>
      </c>
      <c r="D1299" s="13"/>
      <c r="E1299" s="14"/>
      <c r="F1299" s="15" t="str">
        <f aca="false">IF(D1299="","",ROUND((D1299-MIN($D$7:$D$9999))*86400,2))</f>
        <v/>
      </c>
      <c r="G1299" s="10" t="str">
        <f aca="false">IF(D1299="","",IF(D1299&lt;=($E$3*60+$F$3)/86400,"○",""))</f>
        <v/>
      </c>
      <c r="H1299" s="16"/>
      <c r="I1299" s="17"/>
      <c r="J1299" s="16" t="n">
        <v>0.00271087962962963</v>
      </c>
      <c r="K1299" s="17" t="n">
        <v>36</v>
      </c>
      <c r="L1299" s="17" t="n">
        <f aca="false">COUNT(E1299,I1299,K1299)</f>
        <v>1</v>
      </c>
      <c r="M1299" s="18" t="n">
        <f aca="false">(D1299&lt;&gt;"")*(D1299&lt;=($E$3*60+$F$3)/86400)+(H1299&lt;&gt;"")*(H1299&lt;=($I$3*60+$J$3)/86400)+(J1299&lt;&gt;"")*(J1299&lt;=($M$3*60+$N$3)/86400)</f>
        <v>1</v>
      </c>
      <c r="N1299" s="20"/>
      <c r="O1299" s="20"/>
      <c r="P1299" s="20"/>
      <c r="Q1299" s="19"/>
    </row>
    <row r="1300" customFormat="false" ht="15" hidden="false" customHeight="false" outlineLevel="0" collapsed="false">
      <c r="A1300" s="10" t="n">
        <v>1294</v>
      </c>
      <c r="B1300" s="12" t="s">
        <v>2044</v>
      </c>
      <c r="C1300" s="12" t="s">
        <v>2045</v>
      </c>
      <c r="D1300" s="13"/>
      <c r="E1300" s="14"/>
      <c r="F1300" s="15" t="str">
        <f aca="false">IF(D1300="","",ROUND((D1300-MIN($D$7:$D$9999))*86400,2))</f>
        <v/>
      </c>
      <c r="G1300" s="10" t="str">
        <f aca="false">IF(D1300="","",IF(D1300&lt;=($E$3*60+$F$3)/86400,"○",""))</f>
        <v/>
      </c>
      <c r="H1300" s="16" t="n">
        <v>0.00656701388888889</v>
      </c>
      <c r="I1300" s="17" t="n">
        <v>56</v>
      </c>
      <c r="J1300" s="16" t="n">
        <v>0.0028380787037037</v>
      </c>
      <c r="K1300" s="17" t="n">
        <v>483</v>
      </c>
      <c r="L1300" s="17" t="n">
        <f aca="false">COUNT(E1300,I1300,K1300)</f>
        <v>2</v>
      </c>
      <c r="M1300" s="18" t="n">
        <f aca="false">(D1300&lt;&gt;"")*(D1300&lt;=($E$3*60+$F$3)/86400)+(H1300&lt;&gt;"")*(H1300&lt;=($I$3*60+$J$3)/86400)+(J1300&lt;&gt;"")*(J1300&lt;=($M$3*60+$N$3)/86400)</f>
        <v>0</v>
      </c>
      <c r="N1300" s="20"/>
      <c r="O1300" s="20"/>
      <c r="P1300" s="20"/>
      <c r="Q1300" s="19"/>
    </row>
    <row r="1301" customFormat="false" ht="15" hidden="false" customHeight="false" outlineLevel="0" collapsed="false">
      <c r="A1301" s="10" t="n">
        <v>1295</v>
      </c>
      <c r="B1301" s="12" t="s">
        <v>2046</v>
      </c>
      <c r="C1301" s="12" t="s">
        <v>2047</v>
      </c>
      <c r="D1301" s="13"/>
      <c r="E1301" s="14"/>
      <c r="F1301" s="15" t="str">
        <f aca="false">IF(D1301="","",ROUND((D1301-MIN($D$7:$D$9999))*86400,2))</f>
        <v/>
      </c>
      <c r="G1301" s="10" t="str">
        <f aca="false">IF(D1301="","",IF(D1301&lt;=($E$3*60+$F$3)/86400,"○",""))</f>
        <v/>
      </c>
      <c r="H1301" s="16" t="n">
        <v>0.00658125</v>
      </c>
      <c r="I1301" s="17" t="n">
        <v>63</v>
      </c>
      <c r="J1301" s="16" t="n">
        <v>0.00282916666666667</v>
      </c>
      <c r="K1301" s="17" t="n">
        <v>421</v>
      </c>
      <c r="L1301" s="17" t="n">
        <f aca="false">COUNT(E1301,I1301,K1301)</f>
        <v>2</v>
      </c>
      <c r="M1301" s="18" t="n">
        <f aca="false">(D1301&lt;&gt;"")*(D1301&lt;=($E$3*60+$F$3)/86400)+(H1301&lt;&gt;"")*(H1301&lt;=($I$3*60+$J$3)/86400)+(J1301&lt;&gt;"")*(J1301&lt;=($M$3*60+$N$3)/86400)</f>
        <v>0</v>
      </c>
      <c r="N1301" s="20"/>
      <c r="O1301" s="20"/>
      <c r="P1301" s="20"/>
      <c r="Q1301" s="19"/>
    </row>
    <row r="1302" customFormat="false" ht="15" hidden="false" customHeight="false" outlineLevel="0" collapsed="false">
      <c r="A1302" s="10" t="n">
        <v>1296</v>
      </c>
      <c r="B1302" s="12" t="s">
        <v>2048</v>
      </c>
      <c r="C1302" s="12" t="s">
        <v>1861</v>
      </c>
      <c r="D1302" s="13"/>
      <c r="E1302" s="14"/>
      <c r="F1302" s="15" t="str">
        <f aca="false">IF(D1302="","",ROUND((D1302-MIN($D$7:$D$9999))*86400,2))</f>
        <v/>
      </c>
      <c r="G1302" s="10" t="str">
        <f aca="false">IF(D1302="","",IF(D1302&lt;=($E$3*60+$F$3)/86400,"○",""))</f>
        <v/>
      </c>
      <c r="H1302" s="16" t="n">
        <v>0.00658298611111111</v>
      </c>
      <c r="I1302" s="17" t="n">
        <v>64</v>
      </c>
      <c r="J1302" s="16"/>
      <c r="K1302" s="17"/>
      <c r="L1302" s="17" t="n">
        <f aca="false">COUNT(E1302,I1302,K1302)</f>
        <v>1</v>
      </c>
      <c r="M1302" s="18" t="n">
        <f aca="false">(D1302&lt;&gt;"")*(D1302&lt;=($E$3*60+$F$3)/86400)+(H1302&lt;&gt;"")*(H1302&lt;=($I$3*60+$J$3)/86400)+(J1302&lt;&gt;"")*(J1302&lt;=($M$3*60+$N$3)/86400)</f>
        <v>0</v>
      </c>
      <c r="N1302" s="20"/>
      <c r="O1302" s="20"/>
      <c r="P1302" s="20"/>
      <c r="Q1302" s="19"/>
    </row>
    <row r="1303" customFormat="false" ht="15" hidden="false" customHeight="false" outlineLevel="0" collapsed="false">
      <c r="A1303" s="10" t="n">
        <v>1297</v>
      </c>
      <c r="B1303" s="12" t="s">
        <v>2049</v>
      </c>
      <c r="C1303" s="12" t="s">
        <v>2050</v>
      </c>
      <c r="D1303" s="13"/>
      <c r="E1303" s="14"/>
      <c r="F1303" s="15" t="str">
        <f aca="false">IF(D1303="","",ROUND((D1303-MIN($D$7:$D$9999))*86400,2))</f>
        <v/>
      </c>
      <c r="G1303" s="10" t="str">
        <f aca="false">IF(D1303="","",IF(D1303&lt;=($E$3*60+$F$3)/86400,"○",""))</f>
        <v/>
      </c>
      <c r="H1303" s="16" t="n">
        <v>0.00658587962962963</v>
      </c>
      <c r="I1303" s="17" t="n">
        <v>65</v>
      </c>
      <c r="J1303" s="16"/>
      <c r="K1303" s="17"/>
      <c r="L1303" s="17" t="n">
        <f aca="false">COUNT(E1303,I1303,K1303)</f>
        <v>1</v>
      </c>
      <c r="M1303" s="18" t="n">
        <f aca="false">(D1303&lt;&gt;"")*(D1303&lt;=($E$3*60+$F$3)/86400)+(H1303&lt;&gt;"")*(H1303&lt;=($I$3*60+$J$3)/86400)+(J1303&lt;&gt;"")*(J1303&lt;=($M$3*60+$N$3)/86400)</f>
        <v>0</v>
      </c>
      <c r="N1303" s="20"/>
      <c r="O1303" s="20"/>
      <c r="P1303" s="20"/>
      <c r="Q1303" s="19"/>
    </row>
    <row r="1304" customFormat="false" ht="15" hidden="false" customHeight="false" outlineLevel="0" collapsed="false">
      <c r="A1304" s="10" t="n">
        <v>1298</v>
      </c>
      <c r="B1304" s="12" t="s">
        <v>2051</v>
      </c>
      <c r="C1304" s="12" t="s">
        <v>2052</v>
      </c>
      <c r="D1304" s="13"/>
      <c r="E1304" s="14"/>
      <c r="F1304" s="15" t="str">
        <f aca="false">IF(D1304="","",ROUND((D1304-MIN($D$7:$D$9999))*86400,2))</f>
        <v/>
      </c>
      <c r="G1304" s="10" t="str">
        <f aca="false">IF(D1304="","",IF(D1304&lt;=($E$3*60+$F$3)/86400,"○",""))</f>
        <v/>
      </c>
      <c r="H1304" s="16"/>
      <c r="I1304" s="17"/>
      <c r="J1304" s="16" t="n">
        <v>0.00273125</v>
      </c>
      <c r="K1304" s="17" t="n">
        <v>67</v>
      </c>
      <c r="L1304" s="17" t="n">
        <f aca="false">COUNT(E1304,I1304,K1304)</f>
        <v>1</v>
      </c>
      <c r="M1304" s="18" t="n">
        <f aca="false">(D1304&lt;&gt;"")*(D1304&lt;=($E$3*60+$F$3)/86400)+(H1304&lt;&gt;"")*(H1304&lt;=($I$3*60+$J$3)/86400)+(J1304&lt;&gt;"")*(J1304&lt;=($M$3*60+$N$3)/86400)</f>
        <v>0</v>
      </c>
      <c r="N1304" s="20"/>
      <c r="O1304" s="20"/>
      <c r="P1304" s="20"/>
      <c r="Q1304" s="19"/>
    </row>
    <row r="1305" customFormat="false" ht="15" hidden="false" customHeight="false" outlineLevel="0" collapsed="false">
      <c r="A1305" s="10" t="n">
        <v>1299</v>
      </c>
      <c r="B1305" s="12" t="s">
        <v>2053</v>
      </c>
      <c r="C1305" s="12" t="s">
        <v>2054</v>
      </c>
      <c r="D1305" s="13"/>
      <c r="E1305" s="14"/>
      <c r="F1305" s="15" t="str">
        <f aca="false">IF(D1305="","",ROUND((D1305-MIN($D$7:$D$9999))*86400,2))</f>
        <v/>
      </c>
      <c r="G1305" s="10" t="str">
        <f aca="false">IF(D1305="","",IF(D1305&lt;=($E$3*60+$F$3)/86400,"○",""))</f>
        <v/>
      </c>
      <c r="H1305" s="16" t="n">
        <v>0.00662453703703704</v>
      </c>
      <c r="I1305" s="17" t="n">
        <v>72</v>
      </c>
      <c r="J1305" s="16"/>
      <c r="K1305" s="17"/>
      <c r="L1305" s="17" t="n">
        <f aca="false">COUNT(E1305,I1305,K1305)</f>
        <v>1</v>
      </c>
      <c r="M1305" s="18" t="n">
        <f aca="false">(D1305&lt;&gt;"")*(D1305&lt;=($E$3*60+$F$3)/86400)+(H1305&lt;&gt;"")*(H1305&lt;=($I$3*60+$J$3)/86400)+(J1305&lt;&gt;"")*(J1305&lt;=($M$3*60+$N$3)/86400)</f>
        <v>0</v>
      </c>
      <c r="N1305" s="20"/>
      <c r="O1305" s="20"/>
      <c r="P1305" s="20"/>
      <c r="Q1305" s="19"/>
    </row>
    <row r="1306" customFormat="false" ht="15" hidden="false" customHeight="false" outlineLevel="0" collapsed="false">
      <c r="A1306" s="10" t="n">
        <v>1300</v>
      </c>
      <c r="B1306" s="12" t="s">
        <v>2055</v>
      </c>
      <c r="C1306" s="12" t="s">
        <v>858</v>
      </c>
      <c r="D1306" s="13"/>
      <c r="E1306" s="14"/>
      <c r="F1306" s="15" t="str">
        <f aca="false">IF(D1306="","",ROUND((D1306-MIN($D$7:$D$9999))*86400,2))</f>
        <v/>
      </c>
      <c r="G1306" s="10" t="str">
        <f aca="false">IF(D1306="","",IF(D1306&lt;=($E$3*60+$F$3)/86400,"○",""))</f>
        <v/>
      </c>
      <c r="H1306" s="16"/>
      <c r="I1306" s="17"/>
      <c r="J1306" s="16" t="n">
        <v>0.00273796296296296</v>
      </c>
      <c r="K1306" s="17" t="n">
        <v>81</v>
      </c>
      <c r="L1306" s="17" t="n">
        <f aca="false">COUNT(E1306,I1306,K1306)</f>
        <v>1</v>
      </c>
      <c r="M1306" s="18" t="n">
        <f aca="false">(D1306&lt;&gt;"")*(D1306&lt;=($E$3*60+$F$3)/86400)+(H1306&lt;&gt;"")*(H1306&lt;=($I$3*60+$J$3)/86400)+(J1306&lt;&gt;"")*(J1306&lt;=($M$3*60+$N$3)/86400)</f>
        <v>0</v>
      </c>
      <c r="N1306" s="20"/>
      <c r="O1306" s="20"/>
      <c r="P1306" s="20"/>
      <c r="Q1306" s="19"/>
    </row>
    <row r="1307" customFormat="false" ht="15" hidden="false" customHeight="false" outlineLevel="0" collapsed="false">
      <c r="A1307" s="10" t="n">
        <v>1301</v>
      </c>
      <c r="B1307" s="12" t="s">
        <v>2056</v>
      </c>
      <c r="C1307" s="12" t="s">
        <v>1259</v>
      </c>
      <c r="D1307" s="13"/>
      <c r="E1307" s="14"/>
      <c r="F1307" s="15" t="str">
        <f aca="false">IF(D1307="","",ROUND((D1307-MIN($D$7:$D$9999))*86400,2))</f>
        <v/>
      </c>
      <c r="G1307" s="10" t="str">
        <f aca="false">IF(D1307="","",IF(D1307&lt;=($E$3*60+$F$3)/86400,"○",""))</f>
        <v/>
      </c>
      <c r="H1307" s="16"/>
      <c r="I1307" s="17"/>
      <c r="J1307" s="16" t="n">
        <v>0.00273969907407407</v>
      </c>
      <c r="K1307" s="17" t="n">
        <v>85</v>
      </c>
      <c r="L1307" s="17" t="n">
        <f aca="false">COUNT(E1307,I1307,K1307)</f>
        <v>1</v>
      </c>
      <c r="M1307" s="18" t="n">
        <f aca="false">(D1307&lt;&gt;"")*(D1307&lt;=($E$3*60+$F$3)/86400)+(H1307&lt;&gt;"")*(H1307&lt;=($I$3*60+$J$3)/86400)+(J1307&lt;&gt;"")*(J1307&lt;=($M$3*60+$N$3)/86400)</f>
        <v>0</v>
      </c>
      <c r="N1307" s="20"/>
      <c r="O1307" s="20"/>
      <c r="P1307" s="20"/>
      <c r="Q1307" s="19"/>
    </row>
    <row r="1308" customFormat="false" ht="15" hidden="false" customHeight="false" outlineLevel="0" collapsed="false">
      <c r="A1308" s="10" t="n">
        <v>1302</v>
      </c>
      <c r="B1308" s="12" t="s">
        <v>2057</v>
      </c>
      <c r="C1308" s="12" t="s">
        <v>1760</v>
      </c>
      <c r="D1308" s="13"/>
      <c r="E1308" s="14"/>
      <c r="F1308" s="15" t="str">
        <f aca="false">IF(D1308="","",ROUND((D1308-MIN($D$7:$D$9999))*86400,2))</f>
        <v/>
      </c>
      <c r="G1308" s="10" t="str">
        <f aca="false">IF(D1308="","",IF(D1308&lt;=($E$3*60+$F$3)/86400,"○",""))</f>
        <v/>
      </c>
      <c r="H1308" s="16"/>
      <c r="I1308" s="17"/>
      <c r="J1308" s="16" t="n">
        <v>0.00274583333333333</v>
      </c>
      <c r="K1308" s="17" t="n">
        <v>92</v>
      </c>
      <c r="L1308" s="17" t="n">
        <f aca="false">COUNT(E1308,I1308,K1308)</f>
        <v>1</v>
      </c>
      <c r="M1308" s="18" t="n">
        <f aca="false">(D1308&lt;&gt;"")*(D1308&lt;=($E$3*60+$F$3)/86400)+(H1308&lt;&gt;"")*(H1308&lt;=($I$3*60+$J$3)/86400)+(J1308&lt;&gt;"")*(J1308&lt;=($M$3*60+$N$3)/86400)</f>
        <v>0</v>
      </c>
      <c r="N1308" s="20"/>
      <c r="O1308" s="20"/>
      <c r="P1308" s="20"/>
      <c r="Q1308" s="19"/>
    </row>
    <row r="1309" customFormat="false" ht="15" hidden="false" customHeight="false" outlineLevel="0" collapsed="false">
      <c r="A1309" s="10" t="n">
        <v>1303</v>
      </c>
      <c r="B1309" s="12" t="s">
        <v>2058</v>
      </c>
      <c r="C1309" s="12" t="s">
        <v>599</v>
      </c>
      <c r="D1309" s="13"/>
      <c r="E1309" s="14"/>
      <c r="F1309" s="15" t="str">
        <f aca="false">IF(D1309="","",ROUND((D1309-MIN($D$7:$D$9999))*86400,2))</f>
        <v/>
      </c>
      <c r="G1309" s="10" t="str">
        <f aca="false">IF(D1309="","",IF(D1309&lt;=($E$3*60+$F$3)/86400,"○",""))</f>
        <v/>
      </c>
      <c r="H1309" s="16"/>
      <c r="I1309" s="17"/>
      <c r="J1309" s="16" t="n">
        <v>0.00274652777777778</v>
      </c>
      <c r="K1309" s="17" t="n">
        <v>93</v>
      </c>
      <c r="L1309" s="17" t="n">
        <f aca="false">COUNT(E1309,I1309,K1309)</f>
        <v>1</v>
      </c>
      <c r="M1309" s="18" t="n">
        <f aca="false">(D1309&lt;&gt;"")*(D1309&lt;=($E$3*60+$F$3)/86400)+(H1309&lt;&gt;"")*(H1309&lt;=($I$3*60+$J$3)/86400)+(J1309&lt;&gt;"")*(J1309&lt;=($M$3*60+$N$3)/86400)</f>
        <v>0</v>
      </c>
      <c r="N1309" s="20"/>
      <c r="O1309" s="20"/>
      <c r="P1309" s="20"/>
      <c r="Q1309" s="19"/>
    </row>
    <row r="1310" customFormat="false" ht="15" hidden="false" customHeight="false" outlineLevel="0" collapsed="false">
      <c r="A1310" s="10" t="n">
        <v>1304</v>
      </c>
      <c r="B1310" s="12" t="s">
        <v>2059</v>
      </c>
      <c r="C1310" s="12" t="s">
        <v>2060</v>
      </c>
      <c r="D1310" s="13"/>
      <c r="E1310" s="14"/>
      <c r="F1310" s="15" t="str">
        <f aca="false">IF(D1310="","",ROUND((D1310-MIN($D$7:$D$9999))*86400,2))</f>
        <v/>
      </c>
      <c r="G1310" s="10" t="str">
        <f aca="false">IF(D1310="","",IF(D1310&lt;=($E$3*60+$F$3)/86400,"○",""))</f>
        <v/>
      </c>
      <c r="H1310" s="16" t="n">
        <v>0.00668229166666667</v>
      </c>
      <c r="I1310" s="17" t="n">
        <v>99</v>
      </c>
      <c r="J1310" s="16" t="n">
        <v>0.00280578703703704</v>
      </c>
      <c r="K1310" s="17" t="n">
        <v>305</v>
      </c>
      <c r="L1310" s="17" t="n">
        <f aca="false">COUNT(E1310,I1310,K1310)</f>
        <v>2</v>
      </c>
      <c r="M1310" s="18" t="n">
        <f aca="false">(D1310&lt;&gt;"")*(D1310&lt;=($E$3*60+$F$3)/86400)+(H1310&lt;&gt;"")*(H1310&lt;=($I$3*60+$J$3)/86400)+(J1310&lt;&gt;"")*(J1310&lt;=($M$3*60+$N$3)/86400)</f>
        <v>0</v>
      </c>
      <c r="N1310" s="20"/>
      <c r="O1310" s="20"/>
      <c r="P1310" s="20"/>
      <c r="Q1310" s="19"/>
    </row>
    <row r="1311" customFormat="false" ht="15" hidden="false" customHeight="false" outlineLevel="0" collapsed="false">
      <c r="A1311" s="10" t="n">
        <v>1305</v>
      </c>
      <c r="B1311" s="12" t="s">
        <v>2061</v>
      </c>
      <c r="C1311" s="12" t="s">
        <v>695</v>
      </c>
      <c r="D1311" s="13"/>
      <c r="E1311" s="14"/>
      <c r="F1311" s="15" t="str">
        <f aca="false">IF(D1311="","",ROUND((D1311-MIN($D$7:$D$9999))*86400,2))</f>
        <v/>
      </c>
      <c r="G1311" s="10" t="str">
        <f aca="false">IF(D1311="","",IF(D1311&lt;=($E$3*60+$F$3)/86400,"○",""))</f>
        <v/>
      </c>
      <c r="H1311" s="16"/>
      <c r="I1311" s="17"/>
      <c r="J1311" s="16" t="n">
        <v>0.00274872685185185</v>
      </c>
      <c r="K1311" s="17" t="n">
        <v>100</v>
      </c>
      <c r="L1311" s="17" t="n">
        <f aca="false">COUNT(E1311,I1311,K1311)</f>
        <v>1</v>
      </c>
      <c r="M1311" s="18" t="n">
        <f aca="false">(D1311&lt;&gt;"")*(D1311&lt;=($E$3*60+$F$3)/86400)+(H1311&lt;&gt;"")*(H1311&lt;=($I$3*60+$J$3)/86400)+(J1311&lt;&gt;"")*(J1311&lt;=($M$3*60+$N$3)/86400)</f>
        <v>0</v>
      </c>
      <c r="N1311" s="20"/>
      <c r="O1311" s="20"/>
      <c r="P1311" s="20"/>
      <c r="Q1311" s="19"/>
    </row>
    <row r="1312" customFormat="false" ht="15" hidden="false" customHeight="false" outlineLevel="0" collapsed="false">
      <c r="A1312" s="10" t="n">
        <v>1306</v>
      </c>
      <c r="B1312" s="12" t="s">
        <v>2062</v>
      </c>
      <c r="C1312" s="12" t="s">
        <v>94</v>
      </c>
      <c r="D1312" s="13"/>
      <c r="E1312" s="14"/>
      <c r="F1312" s="15" t="str">
        <f aca="false">IF(D1312="","",ROUND((D1312-MIN($D$7:$D$9999))*86400,2))</f>
        <v/>
      </c>
      <c r="G1312" s="10" t="str">
        <f aca="false">IF(D1312="","",IF(D1312&lt;=($E$3*60+$F$3)/86400,"○",""))</f>
        <v/>
      </c>
      <c r="H1312" s="16"/>
      <c r="I1312" s="17"/>
      <c r="J1312" s="16" t="n">
        <v>0.00274895833333333</v>
      </c>
      <c r="K1312" s="17" t="n">
        <v>101</v>
      </c>
      <c r="L1312" s="17" t="n">
        <f aca="false">COUNT(E1312,I1312,K1312)</f>
        <v>1</v>
      </c>
      <c r="M1312" s="18" t="n">
        <f aca="false">(D1312&lt;&gt;"")*(D1312&lt;=($E$3*60+$F$3)/86400)+(H1312&lt;&gt;"")*(H1312&lt;=($I$3*60+$J$3)/86400)+(J1312&lt;&gt;"")*(J1312&lt;=($M$3*60+$N$3)/86400)</f>
        <v>0</v>
      </c>
      <c r="N1312" s="20"/>
      <c r="O1312" s="20"/>
      <c r="P1312" s="20"/>
      <c r="Q1312" s="19"/>
    </row>
    <row r="1313" customFormat="false" ht="15" hidden="false" customHeight="false" outlineLevel="0" collapsed="false">
      <c r="A1313" s="10" t="n">
        <v>1307</v>
      </c>
      <c r="B1313" s="12" t="s">
        <v>2063</v>
      </c>
      <c r="C1313" s="12" t="s">
        <v>2064</v>
      </c>
      <c r="D1313" s="13"/>
      <c r="E1313" s="14"/>
      <c r="F1313" s="15" t="str">
        <f aca="false">IF(D1313="","",ROUND((D1313-MIN($D$7:$D$9999))*86400,2))</f>
        <v/>
      </c>
      <c r="G1313" s="10" t="str">
        <f aca="false">IF(D1313="","",IF(D1313&lt;=($E$3*60+$F$3)/86400,"○",""))</f>
        <v/>
      </c>
      <c r="H1313" s="16" t="n">
        <v>0.00669270833333333</v>
      </c>
      <c r="I1313" s="17" t="n">
        <v>105</v>
      </c>
      <c r="J1313" s="16" t="n">
        <v>0.00284722222222222</v>
      </c>
      <c r="K1313" s="17" t="n">
        <v>553</v>
      </c>
      <c r="L1313" s="17" t="n">
        <f aca="false">COUNT(E1313,I1313,K1313)</f>
        <v>2</v>
      </c>
      <c r="M1313" s="18" t="n">
        <f aca="false">(D1313&lt;&gt;"")*(D1313&lt;=($E$3*60+$F$3)/86400)+(H1313&lt;&gt;"")*(H1313&lt;=($I$3*60+$J$3)/86400)+(J1313&lt;&gt;"")*(J1313&lt;=($M$3*60+$N$3)/86400)</f>
        <v>0</v>
      </c>
      <c r="N1313" s="20"/>
      <c r="O1313" s="20"/>
      <c r="P1313" s="20"/>
      <c r="Q1313" s="19"/>
    </row>
    <row r="1314" customFormat="false" ht="15" hidden="false" customHeight="false" outlineLevel="0" collapsed="false">
      <c r="A1314" s="10" t="n">
        <v>1308</v>
      </c>
      <c r="B1314" s="12" t="s">
        <v>2065</v>
      </c>
      <c r="C1314" s="12" t="s">
        <v>27</v>
      </c>
      <c r="D1314" s="13"/>
      <c r="E1314" s="14"/>
      <c r="F1314" s="15" t="str">
        <f aca="false">IF(D1314="","",ROUND((D1314-MIN($D$7:$D$9999))*86400,2))</f>
        <v/>
      </c>
      <c r="G1314" s="10" t="str">
        <f aca="false">IF(D1314="","",IF(D1314&lt;=($E$3*60+$F$3)/86400,"○",""))</f>
        <v/>
      </c>
      <c r="H1314" s="16" t="n">
        <v>0.00669976851851852</v>
      </c>
      <c r="I1314" s="17" t="n">
        <v>108</v>
      </c>
      <c r="J1314" s="16"/>
      <c r="K1314" s="17"/>
      <c r="L1314" s="17" t="n">
        <f aca="false">COUNT(E1314,I1314,K1314)</f>
        <v>1</v>
      </c>
      <c r="M1314" s="18" t="n">
        <f aca="false">(D1314&lt;&gt;"")*(D1314&lt;=($E$3*60+$F$3)/86400)+(H1314&lt;&gt;"")*(H1314&lt;=($I$3*60+$J$3)/86400)+(J1314&lt;&gt;"")*(J1314&lt;=($M$3*60+$N$3)/86400)</f>
        <v>0</v>
      </c>
      <c r="N1314" s="20"/>
      <c r="O1314" s="20"/>
      <c r="P1314" s="20"/>
      <c r="Q1314" s="19"/>
    </row>
    <row r="1315" customFormat="false" ht="15" hidden="false" customHeight="false" outlineLevel="0" collapsed="false">
      <c r="A1315" s="10" t="n">
        <v>1309</v>
      </c>
      <c r="B1315" s="12" t="s">
        <v>2066</v>
      </c>
      <c r="C1315" s="12" t="s">
        <v>2067</v>
      </c>
      <c r="D1315" s="13"/>
      <c r="E1315" s="14"/>
      <c r="F1315" s="15" t="str">
        <f aca="false">IF(D1315="","",ROUND((D1315-MIN($D$7:$D$9999))*86400,2))</f>
        <v/>
      </c>
      <c r="G1315" s="10" t="str">
        <f aca="false">IF(D1315="","",IF(D1315&lt;=($E$3*60+$F$3)/86400,"○",""))</f>
        <v/>
      </c>
      <c r="H1315" s="16" t="n">
        <v>0.00670486111111111</v>
      </c>
      <c r="I1315" s="17" t="n">
        <v>110</v>
      </c>
      <c r="J1315" s="16" t="n">
        <v>0.00292025462962963</v>
      </c>
      <c r="K1315" s="17" t="n">
        <v>1102</v>
      </c>
      <c r="L1315" s="17" t="n">
        <f aca="false">COUNT(E1315,I1315,K1315)</f>
        <v>2</v>
      </c>
      <c r="M1315" s="18" t="n">
        <f aca="false">(D1315&lt;&gt;"")*(D1315&lt;=($E$3*60+$F$3)/86400)+(H1315&lt;&gt;"")*(H1315&lt;=($I$3*60+$J$3)/86400)+(J1315&lt;&gt;"")*(J1315&lt;=($M$3*60+$N$3)/86400)</f>
        <v>0</v>
      </c>
      <c r="N1315" s="20"/>
      <c r="O1315" s="20"/>
      <c r="P1315" s="20"/>
      <c r="Q1315" s="19"/>
    </row>
    <row r="1316" customFormat="false" ht="15" hidden="false" customHeight="false" outlineLevel="0" collapsed="false">
      <c r="A1316" s="10" t="n">
        <v>1310</v>
      </c>
      <c r="B1316" s="12" t="s">
        <v>2068</v>
      </c>
      <c r="C1316" s="12" t="s">
        <v>595</v>
      </c>
      <c r="D1316" s="13"/>
      <c r="E1316" s="14"/>
      <c r="F1316" s="15" t="str">
        <f aca="false">IF(D1316="","",ROUND((D1316-MIN($D$7:$D$9999))*86400,2))</f>
        <v/>
      </c>
      <c r="G1316" s="10" t="str">
        <f aca="false">IF(D1316="","",IF(D1316&lt;=($E$3*60+$F$3)/86400,"○",""))</f>
        <v/>
      </c>
      <c r="H1316" s="16"/>
      <c r="I1316" s="17"/>
      <c r="J1316" s="16" t="n">
        <v>0.00275439814814815</v>
      </c>
      <c r="K1316" s="17" t="n">
        <v>116</v>
      </c>
      <c r="L1316" s="17" t="n">
        <f aca="false">COUNT(E1316,I1316,K1316)</f>
        <v>1</v>
      </c>
      <c r="M1316" s="18" t="n">
        <f aca="false">(D1316&lt;&gt;"")*(D1316&lt;=($E$3*60+$F$3)/86400)+(H1316&lt;&gt;"")*(H1316&lt;=($I$3*60+$J$3)/86400)+(J1316&lt;&gt;"")*(J1316&lt;=($M$3*60+$N$3)/86400)</f>
        <v>0</v>
      </c>
      <c r="N1316" s="20"/>
      <c r="O1316" s="20"/>
      <c r="P1316" s="20"/>
      <c r="Q1316" s="19"/>
    </row>
    <row r="1317" customFormat="false" ht="15" hidden="false" customHeight="false" outlineLevel="0" collapsed="false">
      <c r="A1317" s="10" t="n">
        <v>1311</v>
      </c>
      <c r="B1317" s="12" t="s">
        <v>2069</v>
      </c>
      <c r="C1317" s="12" t="s">
        <v>795</v>
      </c>
      <c r="D1317" s="13"/>
      <c r="E1317" s="14"/>
      <c r="F1317" s="15" t="str">
        <f aca="false">IF(D1317="","",ROUND((D1317-MIN($D$7:$D$9999))*86400,2))</f>
        <v/>
      </c>
      <c r="G1317" s="10" t="str">
        <f aca="false">IF(D1317="","",IF(D1317&lt;=($E$3*60+$F$3)/86400,"○",""))</f>
        <v/>
      </c>
      <c r="H1317" s="16" t="n">
        <v>0.00672592592592593</v>
      </c>
      <c r="I1317" s="17" t="n">
        <v>117</v>
      </c>
      <c r="J1317" s="16" t="n">
        <v>0.00285335648148148</v>
      </c>
      <c r="K1317" s="17" t="n">
        <v>587</v>
      </c>
      <c r="L1317" s="17" t="n">
        <f aca="false">COUNT(E1317,I1317,K1317)</f>
        <v>2</v>
      </c>
      <c r="M1317" s="18" t="n">
        <f aca="false">(D1317&lt;&gt;"")*(D1317&lt;=($E$3*60+$F$3)/86400)+(H1317&lt;&gt;"")*(H1317&lt;=($I$3*60+$J$3)/86400)+(J1317&lt;&gt;"")*(J1317&lt;=($M$3*60+$N$3)/86400)</f>
        <v>0</v>
      </c>
      <c r="N1317" s="20"/>
      <c r="O1317" s="20"/>
      <c r="P1317" s="20"/>
      <c r="Q1317" s="19"/>
    </row>
    <row r="1318" customFormat="false" ht="15" hidden="false" customHeight="false" outlineLevel="0" collapsed="false">
      <c r="A1318" s="10" t="n">
        <v>1312</v>
      </c>
      <c r="B1318" s="12" t="s">
        <v>2070</v>
      </c>
      <c r="C1318" s="12" t="s">
        <v>1344</v>
      </c>
      <c r="D1318" s="13"/>
      <c r="E1318" s="14"/>
      <c r="F1318" s="15" t="str">
        <f aca="false">IF(D1318="","",ROUND((D1318-MIN($D$7:$D$9999))*86400,2))</f>
        <v/>
      </c>
      <c r="G1318" s="10" t="str">
        <f aca="false">IF(D1318="","",IF(D1318&lt;=($E$3*60+$F$3)/86400,"○",""))</f>
        <v/>
      </c>
      <c r="H1318" s="16" t="n">
        <v>0.00674641203703704</v>
      </c>
      <c r="I1318" s="17" t="n">
        <v>125</v>
      </c>
      <c r="J1318" s="16" t="n">
        <v>0.00295428240740741</v>
      </c>
      <c r="K1318" s="17" t="n">
        <v>1251</v>
      </c>
      <c r="L1318" s="17" t="n">
        <f aca="false">COUNT(E1318,I1318,K1318)</f>
        <v>2</v>
      </c>
      <c r="M1318" s="18" t="n">
        <f aca="false">(D1318&lt;&gt;"")*(D1318&lt;=($E$3*60+$F$3)/86400)+(H1318&lt;&gt;"")*(H1318&lt;=($I$3*60+$J$3)/86400)+(J1318&lt;&gt;"")*(J1318&lt;=($M$3*60+$N$3)/86400)</f>
        <v>0</v>
      </c>
      <c r="N1318" s="20"/>
      <c r="O1318" s="20"/>
      <c r="P1318" s="20"/>
      <c r="Q1318" s="19"/>
    </row>
    <row r="1319" customFormat="false" ht="15" hidden="false" customHeight="false" outlineLevel="0" collapsed="false">
      <c r="A1319" s="10" t="n">
        <v>1313</v>
      </c>
      <c r="B1319" s="12" t="s">
        <v>2071</v>
      </c>
      <c r="C1319" s="12" t="s">
        <v>285</v>
      </c>
      <c r="D1319" s="13"/>
      <c r="E1319" s="14"/>
      <c r="F1319" s="15" t="str">
        <f aca="false">IF(D1319="","",ROUND((D1319-MIN($D$7:$D$9999))*86400,2))</f>
        <v/>
      </c>
      <c r="G1319" s="10" t="str">
        <f aca="false">IF(D1319="","",IF(D1319&lt;=($E$3*60+$F$3)/86400,"○",""))</f>
        <v/>
      </c>
      <c r="H1319" s="16" t="n">
        <v>0.00674988425925926</v>
      </c>
      <c r="I1319" s="17" t="n">
        <v>128</v>
      </c>
      <c r="J1319" s="16"/>
      <c r="K1319" s="17"/>
      <c r="L1319" s="17" t="n">
        <f aca="false">COUNT(E1319,I1319,K1319)</f>
        <v>1</v>
      </c>
      <c r="M1319" s="18" t="n">
        <f aca="false">(D1319&lt;&gt;"")*(D1319&lt;=($E$3*60+$F$3)/86400)+(H1319&lt;&gt;"")*(H1319&lt;=($I$3*60+$J$3)/86400)+(J1319&lt;&gt;"")*(J1319&lt;=($M$3*60+$N$3)/86400)</f>
        <v>0</v>
      </c>
      <c r="N1319" s="20"/>
      <c r="O1319" s="20"/>
      <c r="P1319" s="20"/>
      <c r="Q1319" s="19"/>
    </row>
    <row r="1320" customFormat="false" ht="15" hidden="false" customHeight="false" outlineLevel="0" collapsed="false">
      <c r="A1320" s="10" t="n">
        <v>1314</v>
      </c>
      <c r="B1320" s="12" t="s">
        <v>2072</v>
      </c>
      <c r="C1320" s="12" t="s">
        <v>2073</v>
      </c>
      <c r="D1320" s="13"/>
      <c r="E1320" s="14"/>
      <c r="F1320" s="15" t="str">
        <f aca="false">IF(D1320="","",ROUND((D1320-MIN($D$7:$D$9999))*86400,2))</f>
        <v/>
      </c>
      <c r="G1320" s="10" t="str">
        <f aca="false">IF(D1320="","",IF(D1320&lt;=($E$3*60+$F$3)/86400,"○",""))</f>
        <v/>
      </c>
      <c r="H1320" s="16" t="n">
        <v>0.00675428240740741</v>
      </c>
      <c r="I1320" s="17" t="n">
        <v>131</v>
      </c>
      <c r="J1320" s="16" t="n">
        <v>0.0028306712962963</v>
      </c>
      <c r="K1320" s="17" t="n">
        <v>430</v>
      </c>
      <c r="L1320" s="17" t="n">
        <f aca="false">COUNT(E1320,I1320,K1320)</f>
        <v>2</v>
      </c>
      <c r="M1320" s="18" t="n">
        <f aca="false">(D1320&lt;&gt;"")*(D1320&lt;=($E$3*60+$F$3)/86400)+(H1320&lt;&gt;"")*(H1320&lt;=($I$3*60+$J$3)/86400)+(J1320&lt;&gt;"")*(J1320&lt;=($M$3*60+$N$3)/86400)</f>
        <v>0</v>
      </c>
      <c r="N1320" s="20"/>
      <c r="O1320" s="20"/>
      <c r="P1320" s="20"/>
      <c r="Q1320" s="19"/>
    </row>
    <row r="1321" customFormat="false" ht="15" hidden="false" customHeight="false" outlineLevel="0" collapsed="false">
      <c r="A1321" s="10" t="n">
        <v>1315</v>
      </c>
      <c r="B1321" s="12" t="s">
        <v>2074</v>
      </c>
      <c r="C1321" s="12" t="s">
        <v>2075</v>
      </c>
      <c r="D1321" s="13"/>
      <c r="E1321" s="14"/>
      <c r="F1321" s="15" t="str">
        <f aca="false">IF(D1321="","",ROUND((D1321-MIN($D$7:$D$9999))*86400,2))</f>
        <v/>
      </c>
      <c r="G1321" s="10" t="str">
        <f aca="false">IF(D1321="","",IF(D1321&lt;=($E$3*60+$F$3)/86400,"○",""))</f>
        <v/>
      </c>
      <c r="H1321" s="16"/>
      <c r="I1321" s="17"/>
      <c r="J1321" s="16" t="n">
        <v>0.00276030092592593</v>
      </c>
      <c r="K1321" s="17" t="n">
        <v>136</v>
      </c>
      <c r="L1321" s="17" t="n">
        <f aca="false">COUNT(E1321,I1321,K1321)</f>
        <v>1</v>
      </c>
      <c r="M1321" s="18" t="n">
        <f aca="false">(D1321&lt;&gt;"")*(D1321&lt;=($E$3*60+$F$3)/86400)+(H1321&lt;&gt;"")*(H1321&lt;=($I$3*60+$J$3)/86400)+(J1321&lt;&gt;"")*(J1321&lt;=($M$3*60+$N$3)/86400)</f>
        <v>0</v>
      </c>
      <c r="N1321" s="20"/>
      <c r="O1321" s="20"/>
      <c r="P1321" s="20"/>
      <c r="Q1321" s="19"/>
    </row>
    <row r="1322" customFormat="false" ht="15" hidden="false" customHeight="false" outlineLevel="0" collapsed="false">
      <c r="A1322" s="10" t="n">
        <v>1316</v>
      </c>
      <c r="B1322" s="12" t="s">
        <v>2076</v>
      </c>
      <c r="C1322" s="12" t="s">
        <v>2077</v>
      </c>
      <c r="D1322" s="13"/>
      <c r="E1322" s="14"/>
      <c r="F1322" s="15" t="str">
        <f aca="false">IF(D1322="","",ROUND((D1322-MIN($D$7:$D$9999))*86400,2))</f>
        <v/>
      </c>
      <c r="G1322" s="10" t="str">
        <f aca="false">IF(D1322="","",IF(D1322&lt;=($E$3*60+$F$3)/86400,"○",""))</f>
        <v/>
      </c>
      <c r="H1322" s="16" t="n">
        <v>0.00676597222222222</v>
      </c>
      <c r="I1322" s="17" t="n">
        <v>143</v>
      </c>
      <c r="J1322" s="16" t="n">
        <v>0.00289074074074074</v>
      </c>
      <c r="K1322" s="17" t="n">
        <v>872</v>
      </c>
      <c r="L1322" s="17" t="n">
        <f aca="false">COUNT(E1322,I1322,K1322)</f>
        <v>2</v>
      </c>
      <c r="M1322" s="18" t="n">
        <f aca="false">(D1322&lt;&gt;"")*(D1322&lt;=($E$3*60+$F$3)/86400)+(H1322&lt;&gt;"")*(H1322&lt;=($I$3*60+$J$3)/86400)+(J1322&lt;&gt;"")*(J1322&lt;=($M$3*60+$N$3)/86400)</f>
        <v>0</v>
      </c>
      <c r="N1322" s="20"/>
      <c r="O1322" s="20"/>
      <c r="P1322" s="20"/>
      <c r="Q1322" s="19"/>
    </row>
    <row r="1323" customFormat="false" ht="15" hidden="false" customHeight="false" outlineLevel="0" collapsed="false">
      <c r="A1323" s="10" t="n">
        <v>1317</v>
      </c>
      <c r="B1323" s="12" t="s">
        <v>2078</v>
      </c>
      <c r="C1323" s="12" t="s">
        <v>619</v>
      </c>
      <c r="D1323" s="13"/>
      <c r="E1323" s="14"/>
      <c r="F1323" s="15" t="str">
        <f aca="false">IF(D1323="","",ROUND((D1323-MIN($D$7:$D$9999))*86400,2))</f>
        <v/>
      </c>
      <c r="G1323" s="10" t="str">
        <f aca="false">IF(D1323="","",IF(D1323&lt;=($E$3*60+$F$3)/86400,"○",""))</f>
        <v/>
      </c>
      <c r="H1323" s="16" t="n">
        <v>0.00771712962962963</v>
      </c>
      <c r="I1323" s="17" t="n">
        <v>1084</v>
      </c>
      <c r="J1323" s="16" t="n">
        <v>0.00276412037037037</v>
      </c>
      <c r="K1323" s="17" t="n">
        <v>145</v>
      </c>
      <c r="L1323" s="17" t="n">
        <f aca="false">COUNT(E1323,I1323,K1323)</f>
        <v>2</v>
      </c>
      <c r="M1323" s="18" t="n">
        <f aca="false">(D1323&lt;&gt;"")*(D1323&lt;=($E$3*60+$F$3)/86400)+(H1323&lt;&gt;"")*(H1323&lt;=($I$3*60+$J$3)/86400)+(J1323&lt;&gt;"")*(J1323&lt;=($M$3*60+$N$3)/86400)</f>
        <v>0</v>
      </c>
      <c r="N1323" s="20"/>
      <c r="O1323" s="20"/>
      <c r="P1323" s="12" t="s">
        <v>2079</v>
      </c>
      <c r="Q1323" s="19"/>
    </row>
    <row r="1324" customFormat="false" ht="15" hidden="false" customHeight="false" outlineLevel="0" collapsed="false">
      <c r="A1324" s="10" t="n">
        <v>1318</v>
      </c>
      <c r="B1324" s="12" t="s">
        <v>2080</v>
      </c>
      <c r="C1324" s="12" t="s">
        <v>397</v>
      </c>
      <c r="D1324" s="13"/>
      <c r="E1324" s="14"/>
      <c r="F1324" s="15" t="str">
        <f aca="false">IF(D1324="","",ROUND((D1324-MIN($D$7:$D$9999))*86400,2))</f>
        <v/>
      </c>
      <c r="G1324" s="10" t="str">
        <f aca="false">IF(D1324="","",IF(D1324&lt;=($E$3*60+$F$3)/86400,"○",""))</f>
        <v/>
      </c>
      <c r="H1324" s="16" t="n">
        <v>0.00676759259259259</v>
      </c>
      <c r="I1324" s="17" t="n">
        <v>145</v>
      </c>
      <c r="J1324" s="16"/>
      <c r="K1324" s="17"/>
      <c r="L1324" s="17" t="n">
        <f aca="false">COUNT(E1324,I1324,K1324)</f>
        <v>1</v>
      </c>
      <c r="M1324" s="18" t="n">
        <f aca="false">(D1324&lt;&gt;"")*(D1324&lt;=($E$3*60+$F$3)/86400)+(H1324&lt;&gt;"")*(H1324&lt;=($I$3*60+$J$3)/86400)+(J1324&lt;&gt;"")*(J1324&lt;=($M$3*60+$N$3)/86400)</f>
        <v>0</v>
      </c>
      <c r="N1324" s="20"/>
      <c r="O1324" s="20"/>
      <c r="P1324" s="20"/>
      <c r="Q1324" s="19"/>
    </row>
    <row r="1325" customFormat="false" ht="15" hidden="false" customHeight="false" outlineLevel="0" collapsed="false">
      <c r="A1325" s="10" t="n">
        <v>1319</v>
      </c>
      <c r="B1325" s="12" t="s">
        <v>2081</v>
      </c>
      <c r="C1325" s="12" t="s">
        <v>491</v>
      </c>
      <c r="D1325" s="13"/>
      <c r="E1325" s="14"/>
      <c r="F1325" s="15" t="str">
        <f aca="false">IF(D1325="","",ROUND((D1325-MIN($D$7:$D$9999))*86400,2))</f>
        <v/>
      </c>
      <c r="G1325" s="10" t="str">
        <f aca="false">IF(D1325="","",IF(D1325&lt;=($E$3*60+$F$3)/86400,"○",""))</f>
        <v/>
      </c>
      <c r="H1325" s="16" t="n">
        <v>0.00677511574074074</v>
      </c>
      <c r="I1325" s="17" t="n">
        <v>151</v>
      </c>
      <c r="J1325" s="16"/>
      <c r="K1325" s="17"/>
      <c r="L1325" s="17" t="n">
        <f aca="false">COUNT(E1325,I1325,K1325)</f>
        <v>1</v>
      </c>
      <c r="M1325" s="18" t="n">
        <f aca="false">(D1325&lt;&gt;"")*(D1325&lt;=($E$3*60+$F$3)/86400)+(H1325&lt;&gt;"")*(H1325&lt;=($I$3*60+$J$3)/86400)+(J1325&lt;&gt;"")*(J1325&lt;=($M$3*60+$N$3)/86400)</f>
        <v>0</v>
      </c>
      <c r="N1325" s="20"/>
      <c r="O1325" s="20"/>
      <c r="P1325" s="20"/>
      <c r="Q1325" s="19"/>
    </row>
    <row r="1326" customFormat="false" ht="15" hidden="false" customHeight="false" outlineLevel="0" collapsed="false">
      <c r="A1326" s="10" t="n">
        <v>1320</v>
      </c>
      <c r="B1326" s="12" t="s">
        <v>2082</v>
      </c>
      <c r="C1326" s="12" t="s">
        <v>953</v>
      </c>
      <c r="D1326" s="13"/>
      <c r="E1326" s="14"/>
      <c r="F1326" s="15" t="str">
        <f aca="false">IF(D1326="","",ROUND((D1326-MIN($D$7:$D$9999))*86400,2))</f>
        <v/>
      </c>
      <c r="G1326" s="10" t="str">
        <f aca="false">IF(D1326="","",IF(D1326&lt;=($E$3*60+$F$3)/86400,"○",""))</f>
        <v/>
      </c>
      <c r="H1326" s="16" t="n">
        <v>0.00677997685185185</v>
      </c>
      <c r="I1326" s="17" t="n">
        <v>155</v>
      </c>
      <c r="J1326" s="16" t="n">
        <v>0.00287476851851852</v>
      </c>
      <c r="K1326" s="17" t="n">
        <v>732</v>
      </c>
      <c r="L1326" s="17" t="n">
        <f aca="false">COUNT(E1326,I1326,K1326)</f>
        <v>2</v>
      </c>
      <c r="M1326" s="18" t="n">
        <f aca="false">(D1326&lt;&gt;"")*(D1326&lt;=($E$3*60+$F$3)/86400)+(H1326&lt;&gt;"")*(H1326&lt;=($I$3*60+$J$3)/86400)+(J1326&lt;&gt;"")*(J1326&lt;=($M$3*60+$N$3)/86400)</f>
        <v>0</v>
      </c>
      <c r="N1326" s="20"/>
      <c r="O1326" s="20"/>
      <c r="P1326" s="20"/>
      <c r="Q1326" s="19"/>
    </row>
    <row r="1327" customFormat="false" ht="15" hidden="false" customHeight="false" outlineLevel="0" collapsed="false">
      <c r="A1327" s="10" t="n">
        <v>1321</v>
      </c>
      <c r="B1327" s="12" t="s">
        <v>2083</v>
      </c>
      <c r="C1327" s="12" t="s">
        <v>1843</v>
      </c>
      <c r="D1327" s="13"/>
      <c r="E1327" s="14"/>
      <c r="F1327" s="15" t="str">
        <f aca="false">IF(D1327="","",ROUND((D1327-MIN($D$7:$D$9999))*86400,2))</f>
        <v/>
      </c>
      <c r="G1327" s="10" t="str">
        <f aca="false">IF(D1327="","",IF(D1327&lt;=($E$3*60+$F$3)/86400,"○",""))</f>
        <v/>
      </c>
      <c r="H1327" s="16"/>
      <c r="I1327" s="17"/>
      <c r="J1327" s="16" t="n">
        <v>0.00276805555555556</v>
      </c>
      <c r="K1327" s="17" t="n">
        <v>157</v>
      </c>
      <c r="L1327" s="17" t="n">
        <f aca="false">COUNT(E1327,I1327,K1327)</f>
        <v>1</v>
      </c>
      <c r="M1327" s="18" t="n">
        <f aca="false">(D1327&lt;&gt;"")*(D1327&lt;=($E$3*60+$F$3)/86400)+(H1327&lt;&gt;"")*(H1327&lt;=($I$3*60+$J$3)/86400)+(J1327&lt;&gt;"")*(J1327&lt;=($M$3*60+$N$3)/86400)</f>
        <v>0</v>
      </c>
      <c r="N1327" s="20"/>
      <c r="O1327" s="20"/>
      <c r="P1327" s="20"/>
      <c r="Q1327" s="19"/>
    </row>
    <row r="1328" customFormat="false" ht="15" hidden="false" customHeight="false" outlineLevel="0" collapsed="false">
      <c r="A1328" s="10" t="n">
        <v>1322</v>
      </c>
      <c r="B1328" s="12" t="s">
        <v>2084</v>
      </c>
      <c r="C1328" s="12" t="s">
        <v>2085</v>
      </c>
      <c r="D1328" s="13"/>
      <c r="E1328" s="14"/>
      <c r="F1328" s="15" t="str">
        <f aca="false">IF(D1328="","",ROUND((D1328-MIN($D$7:$D$9999))*86400,2))</f>
        <v/>
      </c>
      <c r="G1328" s="10" t="str">
        <f aca="false">IF(D1328="","",IF(D1328&lt;=($E$3*60+$F$3)/86400,"○",""))</f>
        <v/>
      </c>
      <c r="H1328" s="16" t="n">
        <v>0.00678368055555556</v>
      </c>
      <c r="I1328" s="17" t="n">
        <v>159</v>
      </c>
      <c r="J1328" s="16" t="n">
        <v>0.00281643518518519</v>
      </c>
      <c r="K1328" s="17" t="n">
        <v>347</v>
      </c>
      <c r="L1328" s="17" t="n">
        <f aca="false">COUNT(E1328,I1328,K1328)</f>
        <v>2</v>
      </c>
      <c r="M1328" s="18" t="n">
        <f aca="false">(D1328&lt;&gt;"")*(D1328&lt;=($E$3*60+$F$3)/86400)+(H1328&lt;&gt;"")*(H1328&lt;=($I$3*60+$J$3)/86400)+(J1328&lt;&gt;"")*(J1328&lt;=($M$3*60+$N$3)/86400)</f>
        <v>0</v>
      </c>
      <c r="N1328" s="20"/>
      <c r="O1328" s="20"/>
      <c r="P1328" s="20"/>
      <c r="Q1328" s="19"/>
    </row>
    <row r="1329" customFormat="false" ht="15" hidden="false" customHeight="false" outlineLevel="0" collapsed="false">
      <c r="A1329" s="10" t="n">
        <v>1323</v>
      </c>
      <c r="B1329" s="12" t="s">
        <v>2086</v>
      </c>
      <c r="C1329" s="12" t="s">
        <v>1315</v>
      </c>
      <c r="D1329" s="13"/>
      <c r="E1329" s="14"/>
      <c r="F1329" s="15" t="str">
        <f aca="false">IF(D1329="","",ROUND((D1329-MIN($D$7:$D$9999))*86400,2))</f>
        <v/>
      </c>
      <c r="G1329" s="10" t="str">
        <f aca="false">IF(D1329="","",IF(D1329&lt;=($E$3*60+$F$3)/86400,"○",""))</f>
        <v/>
      </c>
      <c r="H1329" s="16"/>
      <c r="I1329" s="17"/>
      <c r="J1329" s="16" t="n">
        <v>0.00276979166666667</v>
      </c>
      <c r="K1329" s="17" t="n">
        <v>160</v>
      </c>
      <c r="L1329" s="17" t="n">
        <f aca="false">COUNT(E1329,I1329,K1329)</f>
        <v>1</v>
      </c>
      <c r="M1329" s="18" t="n">
        <f aca="false">(D1329&lt;&gt;"")*(D1329&lt;=($E$3*60+$F$3)/86400)+(H1329&lt;&gt;"")*(H1329&lt;=($I$3*60+$J$3)/86400)+(J1329&lt;&gt;"")*(J1329&lt;=($M$3*60+$N$3)/86400)</f>
        <v>0</v>
      </c>
      <c r="N1329" s="20"/>
      <c r="O1329" s="20"/>
      <c r="P1329" s="20"/>
      <c r="Q1329" s="19"/>
    </row>
    <row r="1330" customFormat="false" ht="15" hidden="false" customHeight="false" outlineLevel="0" collapsed="false">
      <c r="A1330" s="10" t="n">
        <v>1324</v>
      </c>
      <c r="B1330" s="12" t="s">
        <v>2087</v>
      </c>
      <c r="C1330" s="12" t="s">
        <v>619</v>
      </c>
      <c r="D1330" s="13"/>
      <c r="E1330" s="14"/>
      <c r="F1330" s="15" t="str">
        <f aca="false">IF(D1330="","",ROUND((D1330-MIN($D$7:$D$9999))*86400,2))</f>
        <v/>
      </c>
      <c r="G1330" s="10" t="str">
        <f aca="false">IF(D1330="","",IF(D1330&lt;=($E$3*60+$F$3)/86400,"○",""))</f>
        <v/>
      </c>
      <c r="H1330" s="16" t="n">
        <v>0.00678472222222222</v>
      </c>
      <c r="I1330" s="17" t="n">
        <v>161</v>
      </c>
      <c r="J1330" s="16" t="n">
        <v>0.00283680555555556</v>
      </c>
      <c r="K1330" s="17" t="n">
        <v>475</v>
      </c>
      <c r="L1330" s="17" t="n">
        <f aca="false">COUNT(E1330,I1330,K1330)</f>
        <v>2</v>
      </c>
      <c r="M1330" s="18" t="n">
        <f aca="false">(D1330&lt;&gt;"")*(D1330&lt;=($E$3*60+$F$3)/86400)+(H1330&lt;&gt;"")*(H1330&lt;=($I$3*60+$J$3)/86400)+(J1330&lt;&gt;"")*(J1330&lt;=($M$3*60+$N$3)/86400)</f>
        <v>0</v>
      </c>
      <c r="N1330" s="20"/>
      <c r="O1330" s="20"/>
      <c r="P1330" s="20"/>
      <c r="Q1330" s="19"/>
    </row>
    <row r="1331" customFormat="false" ht="15" hidden="false" customHeight="false" outlineLevel="0" collapsed="false">
      <c r="A1331" s="10" t="n">
        <v>1325</v>
      </c>
      <c r="B1331" s="12" t="s">
        <v>2088</v>
      </c>
      <c r="C1331" s="12" t="s">
        <v>1154</v>
      </c>
      <c r="D1331" s="13"/>
      <c r="E1331" s="14"/>
      <c r="F1331" s="15" t="str">
        <f aca="false">IF(D1331="","",ROUND((D1331-MIN($D$7:$D$9999))*86400,2))</f>
        <v/>
      </c>
      <c r="G1331" s="10" t="str">
        <f aca="false">IF(D1331="","",IF(D1331&lt;=($E$3*60+$F$3)/86400,"○",""))</f>
        <v/>
      </c>
      <c r="H1331" s="16" t="n">
        <v>0.00678715277777778</v>
      </c>
      <c r="I1331" s="17" t="n">
        <v>162</v>
      </c>
      <c r="J1331" s="16"/>
      <c r="K1331" s="17"/>
      <c r="L1331" s="17" t="n">
        <f aca="false">COUNT(E1331,I1331,K1331)</f>
        <v>1</v>
      </c>
      <c r="M1331" s="18" t="n">
        <f aca="false">(D1331&lt;&gt;"")*(D1331&lt;=($E$3*60+$F$3)/86400)+(H1331&lt;&gt;"")*(H1331&lt;=($I$3*60+$J$3)/86400)+(J1331&lt;&gt;"")*(J1331&lt;=($M$3*60+$N$3)/86400)</f>
        <v>0</v>
      </c>
      <c r="N1331" s="20"/>
      <c r="O1331" s="20"/>
      <c r="P1331" s="20"/>
      <c r="Q1331" s="19"/>
    </row>
    <row r="1332" customFormat="false" ht="15" hidden="false" customHeight="false" outlineLevel="0" collapsed="false">
      <c r="A1332" s="10" t="n">
        <v>1326</v>
      </c>
      <c r="B1332" s="12" t="s">
        <v>2089</v>
      </c>
      <c r="C1332" s="12" t="s">
        <v>989</v>
      </c>
      <c r="D1332" s="13"/>
      <c r="E1332" s="14"/>
      <c r="F1332" s="15" t="str">
        <f aca="false">IF(D1332="","",ROUND((D1332-MIN($D$7:$D$9999))*86400,2))</f>
        <v/>
      </c>
      <c r="G1332" s="10" t="str">
        <f aca="false">IF(D1332="","",IF(D1332&lt;=($E$3*60+$F$3)/86400,"○",""))</f>
        <v/>
      </c>
      <c r="H1332" s="16"/>
      <c r="I1332" s="17"/>
      <c r="J1332" s="16" t="n">
        <v>0.00276990740740741</v>
      </c>
      <c r="K1332" s="17" t="n">
        <v>162</v>
      </c>
      <c r="L1332" s="17" t="n">
        <f aca="false">COUNT(E1332,I1332,K1332)</f>
        <v>1</v>
      </c>
      <c r="M1332" s="18" t="n">
        <f aca="false">(D1332&lt;&gt;"")*(D1332&lt;=($E$3*60+$F$3)/86400)+(H1332&lt;&gt;"")*(H1332&lt;=($I$3*60+$J$3)/86400)+(J1332&lt;&gt;"")*(J1332&lt;=($M$3*60+$N$3)/86400)</f>
        <v>0</v>
      </c>
      <c r="N1332" s="20"/>
      <c r="O1332" s="20"/>
      <c r="P1332" s="20"/>
      <c r="Q1332" s="19"/>
    </row>
    <row r="1333" customFormat="false" ht="15" hidden="false" customHeight="false" outlineLevel="0" collapsed="false">
      <c r="A1333" s="10" t="n">
        <v>1327</v>
      </c>
      <c r="B1333" s="12" t="s">
        <v>2090</v>
      </c>
      <c r="C1333" s="12" t="s">
        <v>2091</v>
      </c>
      <c r="D1333" s="13"/>
      <c r="E1333" s="14"/>
      <c r="F1333" s="15" t="str">
        <f aca="false">IF(D1333="","",ROUND((D1333-MIN($D$7:$D$9999))*86400,2))</f>
        <v/>
      </c>
      <c r="G1333" s="10" t="str">
        <f aca="false">IF(D1333="","",IF(D1333&lt;=($E$3*60+$F$3)/86400,"○",""))</f>
        <v/>
      </c>
      <c r="H1333" s="16"/>
      <c r="I1333" s="17"/>
      <c r="J1333" s="16" t="n">
        <v>0.00276990740740741</v>
      </c>
      <c r="K1333" s="17" t="n">
        <v>163</v>
      </c>
      <c r="L1333" s="17" t="n">
        <f aca="false">COUNT(E1333,I1333,K1333)</f>
        <v>1</v>
      </c>
      <c r="M1333" s="18" t="n">
        <f aca="false">(D1333&lt;&gt;"")*(D1333&lt;=($E$3*60+$F$3)/86400)+(H1333&lt;&gt;"")*(H1333&lt;=($I$3*60+$J$3)/86400)+(J1333&lt;&gt;"")*(J1333&lt;=($M$3*60+$N$3)/86400)</f>
        <v>0</v>
      </c>
      <c r="N1333" s="20"/>
      <c r="O1333" s="20"/>
      <c r="P1333" s="20"/>
      <c r="Q1333" s="19"/>
    </row>
    <row r="1334" customFormat="false" ht="15" hidden="false" customHeight="false" outlineLevel="0" collapsed="false">
      <c r="A1334" s="10" t="n">
        <v>1328</v>
      </c>
      <c r="B1334" s="12" t="s">
        <v>2092</v>
      </c>
      <c r="C1334" s="12" t="s">
        <v>1510</v>
      </c>
      <c r="D1334" s="13"/>
      <c r="E1334" s="14"/>
      <c r="F1334" s="15" t="str">
        <f aca="false">IF(D1334="","",ROUND((D1334-MIN($D$7:$D$9999))*86400,2))</f>
        <v/>
      </c>
      <c r="G1334" s="10" t="str">
        <f aca="false">IF(D1334="","",IF(D1334&lt;=($E$3*60+$F$3)/86400,"○",""))</f>
        <v/>
      </c>
      <c r="H1334" s="16"/>
      <c r="I1334" s="17"/>
      <c r="J1334" s="16" t="n">
        <v>0.00277280092592593</v>
      </c>
      <c r="K1334" s="17" t="n">
        <v>167</v>
      </c>
      <c r="L1334" s="17" t="n">
        <f aca="false">COUNT(E1334,I1334,K1334)</f>
        <v>1</v>
      </c>
      <c r="M1334" s="18" t="n">
        <f aca="false">(D1334&lt;&gt;"")*(D1334&lt;=($E$3*60+$F$3)/86400)+(H1334&lt;&gt;"")*(H1334&lt;=($I$3*60+$J$3)/86400)+(J1334&lt;&gt;"")*(J1334&lt;=($M$3*60+$N$3)/86400)</f>
        <v>0</v>
      </c>
      <c r="N1334" s="20"/>
      <c r="O1334" s="20"/>
      <c r="P1334" s="20"/>
      <c r="Q1334" s="19"/>
    </row>
    <row r="1335" customFormat="false" ht="15" hidden="false" customHeight="false" outlineLevel="0" collapsed="false">
      <c r="A1335" s="10" t="n">
        <v>1329</v>
      </c>
      <c r="B1335" s="12" t="s">
        <v>2093</v>
      </c>
      <c r="C1335" s="12" t="s">
        <v>94</v>
      </c>
      <c r="D1335" s="13"/>
      <c r="E1335" s="14"/>
      <c r="F1335" s="15" t="str">
        <f aca="false">IF(D1335="","",ROUND((D1335-MIN($D$7:$D$9999))*86400,2))</f>
        <v/>
      </c>
      <c r="G1335" s="10" t="str">
        <f aca="false">IF(D1335="","",IF(D1335&lt;=($E$3*60+$F$3)/86400,"○",""))</f>
        <v/>
      </c>
      <c r="H1335" s="16"/>
      <c r="I1335" s="17"/>
      <c r="J1335" s="16" t="n">
        <v>0.00277337962962963</v>
      </c>
      <c r="K1335" s="17" t="n">
        <v>169</v>
      </c>
      <c r="L1335" s="17" t="n">
        <f aca="false">COUNT(E1335,I1335,K1335)</f>
        <v>1</v>
      </c>
      <c r="M1335" s="18" t="n">
        <f aca="false">(D1335&lt;&gt;"")*(D1335&lt;=($E$3*60+$F$3)/86400)+(H1335&lt;&gt;"")*(H1335&lt;=($I$3*60+$J$3)/86400)+(J1335&lt;&gt;"")*(J1335&lt;=($M$3*60+$N$3)/86400)</f>
        <v>0</v>
      </c>
      <c r="N1335" s="20"/>
      <c r="O1335" s="20"/>
      <c r="P1335" s="20"/>
      <c r="Q1335" s="19"/>
    </row>
    <row r="1336" customFormat="false" ht="15" hidden="false" customHeight="false" outlineLevel="0" collapsed="false">
      <c r="A1336" s="10" t="n">
        <v>1330</v>
      </c>
      <c r="B1336" s="12" t="s">
        <v>2094</v>
      </c>
      <c r="C1336" s="12" t="s">
        <v>370</v>
      </c>
      <c r="D1336" s="13"/>
      <c r="E1336" s="14"/>
      <c r="F1336" s="15" t="str">
        <f aca="false">IF(D1336="","",ROUND((D1336-MIN($D$7:$D$9999))*86400,2))</f>
        <v/>
      </c>
      <c r="G1336" s="10" t="str">
        <f aca="false">IF(D1336="","",IF(D1336&lt;=($E$3*60+$F$3)/86400,"○",""))</f>
        <v/>
      </c>
      <c r="H1336" s="16"/>
      <c r="I1336" s="17"/>
      <c r="J1336" s="16" t="n">
        <v>0.0027744212962963</v>
      </c>
      <c r="K1336" s="17" t="n">
        <v>173</v>
      </c>
      <c r="L1336" s="17" t="n">
        <f aca="false">COUNT(E1336,I1336,K1336)</f>
        <v>1</v>
      </c>
      <c r="M1336" s="18" t="n">
        <f aca="false">(D1336&lt;&gt;"")*(D1336&lt;=($E$3*60+$F$3)/86400)+(H1336&lt;&gt;"")*(H1336&lt;=($I$3*60+$J$3)/86400)+(J1336&lt;&gt;"")*(J1336&lt;=($M$3*60+$N$3)/86400)</f>
        <v>0</v>
      </c>
      <c r="N1336" s="20"/>
      <c r="O1336" s="20"/>
      <c r="P1336" s="20"/>
      <c r="Q1336" s="19"/>
    </row>
    <row r="1337" customFormat="false" ht="15" hidden="false" customHeight="false" outlineLevel="0" collapsed="false">
      <c r="A1337" s="10" t="n">
        <v>1331</v>
      </c>
      <c r="B1337" s="12" t="s">
        <v>2095</v>
      </c>
      <c r="C1337" s="12" t="s">
        <v>2096</v>
      </c>
      <c r="D1337" s="13"/>
      <c r="E1337" s="14"/>
      <c r="F1337" s="15" t="str">
        <f aca="false">IF(D1337="","",ROUND((D1337-MIN($D$7:$D$9999))*86400,2))</f>
        <v/>
      </c>
      <c r="G1337" s="10" t="str">
        <f aca="false">IF(D1337="","",IF(D1337&lt;=($E$3*60+$F$3)/86400,"○",""))</f>
        <v/>
      </c>
      <c r="H1337" s="16" t="n">
        <v>0.00680185185185185</v>
      </c>
      <c r="I1337" s="17" t="n">
        <v>174</v>
      </c>
      <c r="J1337" s="16" t="n">
        <v>0.0029025462962963</v>
      </c>
      <c r="K1337" s="17" t="n">
        <v>967</v>
      </c>
      <c r="L1337" s="17" t="n">
        <f aca="false">COUNT(E1337,I1337,K1337)</f>
        <v>2</v>
      </c>
      <c r="M1337" s="18" t="n">
        <f aca="false">(D1337&lt;&gt;"")*(D1337&lt;=($E$3*60+$F$3)/86400)+(H1337&lt;&gt;"")*(H1337&lt;=($I$3*60+$J$3)/86400)+(J1337&lt;&gt;"")*(J1337&lt;=($M$3*60+$N$3)/86400)</f>
        <v>0</v>
      </c>
      <c r="N1337" s="20"/>
      <c r="O1337" s="20"/>
      <c r="P1337" s="20"/>
      <c r="Q1337" s="19"/>
    </row>
    <row r="1338" customFormat="false" ht="15" hidden="false" customHeight="false" outlineLevel="0" collapsed="false">
      <c r="A1338" s="10" t="n">
        <v>1332</v>
      </c>
      <c r="B1338" s="12" t="s">
        <v>2097</v>
      </c>
      <c r="C1338" s="12" t="s">
        <v>2075</v>
      </c>
      <c r="D1338" s="13"/>
      <c r="E1338" s="14"/>
      <c r="F1338" s="15" t="str">
        <f aca="false">IF(D1338="","",ROUND((D1338-MIN($D$7:$D$9999))*86400,2))</f>
        <v/>
      </c>
      <c r="G1338" s="10" t="str">
        <f aca="false">IF(D1338="","",IF(D1338&lt;=($E$3*60+$F$3)/86400,"○",""))</f>
        <v/>
      </c>
      <c r="H1338" s="16"/>
      <c r="I1338" s="17"/>
      <c r="J1338" s="16" t="n">
        <v>0.00277453703703704</v>
      </c>
      <c r="K1338" s="17" t="n">
        <v>174</v>
      </c>
      <c r="L1338" s="17" t="n">
        <f aca="false">COUNT(E1338,I1338,K1338)</f>
        <v>1</v>
      </c>
      <c r="M1338" s="18" t="n">
        <f aca="false">(D1338&lt;&gt;"")*(D1338&lt;=($E$3*60+$F$3)/86400)+(H1338&lt;&gt;"")*(H1338&lt;=($I$3*60+$J$3)/86400)+(J1338&lt;&gt;"")*(J1338&lt;=($M$3*60+$N$3)/86400)</f>
        <v>0</v>
      </c>
      <c r="N1338" s="20"/>
      <c r="O1338" s="20"/>
      <c r="P1338" s="20"/>
      <c r="Q1338" s="19"/>
    </row>
    <row r="1339" customFormat="false" ht="15" hidden="false" customHeight="false" outlineLevel="0" collapsed="false">
      <c r="A1339" s="10" t="n">
        <v>1333</v>
      </c>
      <c r="B1339" s="12" t="s">
        <v>2098</v>
      </c>
      <c r="C1339" s="12" t="s">
        <v>2099</v>
      </c>
      <c r="D1339" s="13"/>
      <c r="E1339" s="14"/>
      <c r="F1339" s="15" t="str">
        <f aca="false">IF(D1339="","",ROUND((D1339-MIN($D$7:$D$9999))*86400,2))</f>
        <v/>
      </c>
      <c r="G1339" s="10" t="str">
        <f aca="false">IF(D1339="","",IF(D1339&lt;=($E$3*60+$F$3)/86400,"○",""))</f>
        <v/>
      </c>
      <c r="H1339" s="16" t="n">
        <v>0.00680416666666667</v>
      </c>
      <c r="I1339" s="17" t="n">
        <v>175</v>
      </c>
      <c r="J1339" s="16" t="n">
        <v>0.00291759259259259</v>
      </c>
      <c r="K1339" s="17" t="n">
        <v>1071</v>
      </c>
      <c r="L1339" s="17" t="n">
        <f aca="false">COUNT(E1339,I1339,K1339)</f>
        <v>2</v>
      </c>
      <c r="M1339" s="18" t="n">
        <f aca="false">(D1339&lt;&gt;"")*(D1339&lt;=($E$3*60+$F$3)/86400)+(H1339&lt;&gt;"")*(H1339&lt;=($I$3*60+$J$3)/86400)+(J1339&lt;&gt;"")*(J1339&lt;=($M$3*60+$N$3)/86400)</f>
        <v>0</v>
      </c>
      <c r="N1339" s="20" t="s">
        <v>2100</v>
      </c>
      <c r="O1339" s="20"/>
      <c r="P1339" s="20"/>
      <c r="Q1339" s="19"/>
    </row>
    <row r="1340" customFormat="false" ht="15" hidden="false" customHeight="false" outlineLevel="0" collapsed="false">
      <c r="A1340" s="10" t="n">
        <v>1334</v>
      </c>
      <c r="B1340" s="12" t="s">
        <v>2101</v>
      </c>
      <c r="C1340" s="12" t="s">
        <v>2102</v>
      </c>
      <c r="D1340" s="13"/>
      <c r="E1340" s="14"/>
      <c r="F1340" s="15" t="str">
        <f aca="false">IF(D1340="","",ROUND((D1340-MIN($D$7:$D$9999))*86400,2))</f>
        <v/>
      </c>
      <c r="G1340" s="10" t="str">
        <f aca="false">IF(D1340="","",IF(D1340&lt;=($E$3*60+$F$3)/86400,"○",""))</f>
        <v/>
      </c>
      <c r="H1340" s="16" t="n">
        <v>0.00680648148148148</v>
      </c>
      <c r="I1340" s="17" t="n">
        <v>176</v>
      </c>
      <c r="J1340" s="16"/>
      <c r="K1340" s="17"/>
      <c r="L1340" s="17" t="n">
        <f aca="false">COUNT(E1340,I1340,K1340)</f>
        <v>1</v>
      </c>
      <c r="M1340" s="18" t="n">
        <f aca="false">(D1340&lt;&gt;"")*(D1340&lt;=($E$3*60+$F$3)/86400)+(H1340&lt;&gt;"")*(H1340&lt;=($I$3*60+$J$3)/86400)+(J1340&lt;&gt;"")*(J1340&lt;=($M$3*60+$N$3)/86400)</f>
        <v>0</v>
      </c>
      <c r="N1340" s="20"/>
      <c r="O1340" s="20"/>
      <c r="P1340" s="20"/>
      <c r="Q1340" s="19"/>
    </row>
    <row r="1341" customFormat="false" ht="15" hidden="false" customHeight="false" outlineLevel="0" collapsed="false">
      <c r="A1341" s="10" t="n">
        <v>1335</v>
      </c>
      <c r="B1341" s="12" t="s">
        <v>2103</v>
      </c>
      <c r="C1341" s="12" t="s">
        <v>1861</v>
      </c>
      <c r="D1341" s="13"/>
      <c r="E1341" s="14"/>
      <c r="F1341" s="15" t="str">
        <f aca="false">IF(D1341="","",ROUND((D1341-MIN($D$7:$D$9999))*86400,2))</f>
        <v/>
      </c>
      <c r="G1341" s="10" t="str">
        <f aca="false">IF(D1341="","",IF(D1341&lt;=($E$3*60+$F$3)/86400,"○",""))</f>
        <v/>
      </c>
      <c r="H1341" s="16"/>
      <c r="I1341" s="17"/>
      <c r="J1341" s="16" t="n">
        <v>0.00277569444444444</v>
      </c>
      <c r="K1341" s="17" t="n">
        <v>178</v>
      </c>
      <c r="L1341" s="17" t="n">
        <f aca="false">COUNT(E1341,I1341,K1341)</f>
        <v>1</v>
      </c>
      <c r="M1341" s="18" t="n">
        <f aca="false">(D1341&lt;&gt;"")*(D1341&lt;=($E$3*60+$F$3)/86400)+(H1341&lt;&gt;"")*(H1341&lt;=($I$3*60+$J$3)/86400)+(J1341&lt;&gt;"")*(J1341&lt;=($M$3*60+$N$3)/86400)</f>
        <v>0</v>
      </c>
      <c r="N1341" s="20"/>
      <c r="O1341" s="20"/>
      <c r="P1341" s="20"/>
      <c r="Q1341" s="19"/>
    </row>
    <row r="1342" customFormat="false" ht="15" hidden="false" customHeight="false" outlineLevel="0" collapsed="false">
      <c r="A1342" s="10" t="n">
        <v>1336</v>
      </c>
      <c r="B1342" s="12" t="s">
        <v>2104</v>
      </c>
      <c r="C1342" s="12" t="s">
        <v>2105</v>
      </c>
      <c r="D1342" s="13"/>
      <c r="E1342" s="14"/>
      <c r="F1342" s="15" t="str">
        <f aca="false">IF(D1342="","",ROUND((D1342-MIN($D$7:$D$9999))*86400,2))</f>
        <v/>
      </c>
      <c r="G1342" s="10" t="str">
        <f aca="false">IF(D1342="","",IF(D1342&lt;=($E$3*60+$F$3)/86400,"○",""))</f>
        <v/>
      </c>
      <c r="H1342" s="16" t="n">
        <v>0.0068150462962963</v>
      </c>
      <c r="I1342" s="17" t="n">
        <v>182</v>
      </c>
      <c r="J1342" s="16" t="n">
        <v>0.00288391203703704</v>
      </c>
      <c r="K1342" s="17" t="n">
        <v>808</v>
      </c>
      <c r="L1342" s="17" t="n">
        <f aca="false">COUNT(E1342,I1342,K1342)</f>
        <v>2</v>
      </c>
      <c r="M1342" s="18" t="n">
        <f aca="false">(D1342&lt;&gt;"")*(D1342&lt;=($E$3*60+$F$3)/86400)+(H1342&lt;&gt;"")*(H1342&lt;=($I$3*60+$J$3)/86400)+(J1342&lt;&gt;"")*(J1342&lt;=($M$3*60+$N$3)/86400)</f>
        <v>0</v>
      </c>
      <c r="N1342" s="20"/>
      <c r="O1342" s="20"/>
      <c r="P1342" s="20"/>
      <c r="Q1342" s="19"/>
    </row>
    <row r="1343" customFormat="false" ht="15" hidden="false" customHeight="false" outlineLevel="0" collapsed="false">
      <c r="A1343" s="10" t="n">
        <v>1337</v>
      </c>
      <c r="B1343" s="12" t="s">
        <v>2106</v>
      </c>
      <c r="C1343" s="12" t="s">
        <v>301</v>
      </c>
      <c r="D1343" s="13"/>
      <c r="E1343" s="14"/>
      <c r="F1343" s="15" t="str">
        <f aca="false">IF(D1343="","",ROUND((D1343-MIN($D$7:$D$9999))*86400,2))</f>
        <v/>
      </c>
      <c r="G1343" s="10" t="str">
        <f aca="false">IF(D1343="","",IF(D1343&lt;=($E$3*60+$F$3)/86400,"○",""))</f>
        <v/>
      </c>
      <c r="H1343" s="16" t="n">
        <v>0.00708506944444444</v>
      </c>
      <c r="I1343" s="17" t="n">
        <v>433</v>
      </c>
      <c r="J1343" s="16" t="n">
        <v>0.00277673611111111</v>
      </c>
      <c r="K1343" s="17" t="n">
        <v>185</v>
      </c>
      <c r="L1343" s="17" t="n">
        <f aca="false">COUNT(E1343,I1343,K1343)</f>
        <v>2</v>
      </c>
      <c r="M1343" s="18" t="n">
        <f aca="false">(D1343&lt;&gt;"")*(D1343&lt;=($E$3*60+$F$3)/86400)+(H1343&lt;&gt;"")*(H1343&lt;=($I$3*60+$J$3)/86400)+(J1343&lt;&gt;"")*(J1343&lt;=($M$3*60+$N$3)/86400)</f>
        <v>0</v>
      </c>
      <c r="N1343" s="20"/>
      <c r="O1343" s="20"/>
      <c r="P1343" s="20"/>
      <c r="Q1343" s="19"/>
    </row>
    <row r="1344" customFormat="false" ht="15" hidden="false" customHeight="false" outlineLevel="0" collapsed="false">
      <c r="A1344" s="10" t="n">
        <v>1338</v>
      </c>
      <c r="B1344" s="12" t="s">
        <v>2107</v>
      </c>
      <c r="C1344" s="12" t="s">
        <v>285</v>
      </c>
      <c r="D1344" s="13"/>
      <c r="E1344" s="14"/>
      <c r="F1344" s="15" t="str">
        <f aca="false">IF(D1344="","",ROUND((D1344-MIN($D$7:$D$9999))*86400,2))</f>
        <v/>
      </c>
      <c r="G1344" s="10" t="str">
        <f aca="false">IF(D1344="","",IF(D1344&lt;=($E$3*60+$F$3)/86400,"○",""))</f>
        <v/>
      </c>
      <c r="H1344" s="16" t="n">
        <v>0.00681712962962963</v>
      </c>
      <c r="I1344" s="17" t="n">
        <v>185</v>
      </c>
      <c r="J1344" s="16"/>
      <c r="K1344" s="17"/>
      <c r="L1344" s="17" t="n">
        <f aca="false">COUNT(E1344,I1344,K1344)</f>
        <v>1</v>
      </c>
      <c r="M1344" s="18" t="n">
        <f aca="false">(D1344&lt;&gt;"")*(D1344&lt;=($E$3*60+$F$3)/86400)+(H1344&lt;&gt;"")*(H1344&lt;=($I$3*60+$J$3)/86400)+(J1344&lt;&gt;"")*(J1344&lt;=($M$3*60+$N$3)/86400)</f>
        <v>0</v>
      </c>
      <c r="N1344" s="20"/>
      <c r="O1344" s="20" t="s">
        <v>2108</v>
      </c>
      <c r="P1344" s="20"/>
      <c r="Q1344" s="19"/>
    </row>
    <row r="1345" customFormat="false" ht="15" hidden="false" customHeight="false" outlineLevel="0" collapsed="false">
      <c r="A1345" s="10" t="n">
        <v>1339</v>
      </c>
      <c r="B1345" s="12" t="s">
        <v>2109</v>
      </c>
      <c r="C1345" s="12" t="s">
        <v>370</v>
      </c>
      <c r="D1345" s="13"/>
      <c r="E1345" s="14"/>
      <c r="F1345" s="15" t="str">
        <f aca="false">IF(D1345="","",ROUND((D1345-MIN($D$7:$D$9999))*86400,2))</f>
        <v/>
      </c>
      <c r="G1345" s="10" t="str">
        <f aca="false">IF(D1345="","",IF(D1345&lt;=($E$3*60+$F$3)/86400,"○",""))</f>
        <v/>
      </c>
      <c r="H1345" s="16" t="n">
        <v>0.00681759259259259</v>
      </c>
      <c r="I1345" s="17" t="n">
        <v>186</v>
      </c>
      <c r="J1345" s="16"/>
      <c r="K1345" s="17"/>
      <c r="L1345" s="17" t="n">
        <f aca="false">COUNT(E1345,I1345,K1345)</f>
        <v>1</v>
      </c>
      <c r="M1345" s="18" t="n">
        <f aca="false">(D1345&lt;&gt;"")*(D1345&lt;=($E$3*60+$F$3)/86400)+(H1345&lt;&gt;"")*(H1345&lt;=($I$3*60+$J$3)/86400)+(J1345&lt;&gt;"")*(J1345&lt;=($M$3*60+$N$3)/86400)</f>
        <v>0</v>
      </c>
      <c r="N1345" s="20"/>
      <c r="O1345" s="20"/>
      <c r="P1345" s="20"/>
      <c r="Q1345" s="19"/>
    </row>
    <row r="1346" customFormat="false" ht="15" hidden="false" customHeight="false" outlineLevel="0" collapsed="false">
      <c r="A1346" s="10" t="n">
        <v>1340</v>
      </c>
      <c r="B1346" s="12" t="s">
        <v>2110</v>
      </c>
      <c r="C1346" s="12" t="s">
        <v>1500</v>
      </c>
      <c r="D1346" s="13"/>
      <c r="E1346" s="14"/>
      <c r="F1346" s="15" t="str">
        <f aca="false">IF(D1346="","",ROUND((D1346-MIN($D$7:$D$9999))*86400,2))</f>
        <v/>
      </c>
      <c r="G1346" s="10" t="str">
        <f aca="false">IF(D1346="","",IF(D1346&lt;=($E$3*60+$F$3)/86400,"○",""))</f>
        <v/>
      </c>
      <c r="H1346" s="16" t="n">
        <v>0.00682222222222222</v>
      </c>
      <c r="I1346" s="17" t="n">
        <v>187</v>
      </c>
      <c r="J1346" s="16"/>
      <c r="K1346" s="17"/>
      <c r="L1346" s="17" t="n">
        <f aca="false">COUNT(E1346,I1346,K1346)</f>
        <v>1</v>
      </c>
      <c r="M1346" s="18" t="n">
        <f aca="false">(D1346&lt;&gt;"")*(D1346&lt;=($E$3*60+$F$3)/86400)+(H1346&lt;&gt;"")*(H1346&lt;=($I$3*60+$J$3)/86400)+(J1346&lt;&gt;"")*(J1346&lt;=($M$3*60+$N$3)/86400)</f>
        <v>0</v>
      </c>
      <c r="N1346" s="20"/>
      <c r="O1346" s="20"/>
      <c r="P1346" s="20"/>
      <c r="Q1346" s="19"/>
    </row>
    <row r="1347" customFormat="false" ht="15" hidden="false" customHeight="false" outlineLevel="0" collapsed="false">
      <c r="A1347" s="10" t="n">
        <v>1341</v>
      </c>
      <c r="B1347" s="12" t="s">
        <v>2111</v>
      </c>
      <c r="C1347" s="12" t="s">
        <v>2112</v>
      </c>
      <c r="D1347" s="13"/>
      <c r="E1347" s="14"/>
      <c r="F1347" s="15" t="str">
        <f aca="false">IF(D1347="","",ROUND((D1347-MIN($D$7:$D$9999))*86400,2))</f>
        <v/>
      </c>
      <c r="G1347" s="10" t="str">
        <f aca="false">IF(D1347="","",IF(D1347&lt;=($E$3*60+$F$3)/86400,"○",""))</f>
        <v/>
      </c>
      <c r="H1347" s="16" t="n">
        <v>0.00682488425925926</v>
      </c>
      <c r="I1347" s="17" t="n">
        <v>188</v>
      </c>
      <c r="J1347" s="16"/>
      <c r="K1347" s="17"/>
      <c r="L1347" s="17" t="n">
        <f aca="false">COUNT(E1347,I1347,K1347)</f>
        <v>1</v>
      </c>
      <c r="M1347" s="18" t="n">
        <f aca="false">(D1347&lt;&gt;"")*(D1347&lt;=($E$3*60+$F$3)/86400)+(H1347&lt;&gt;"")*(H1347&lt;=($I$3*60+$J$3)/86400)+(J1347&lt;&gt;"")*(J1347&lt;=($M$3*60+$N$3)/86400)</f>
        <v>0</v>
      </c>
      <c r="N1347" s="20"/>
      <c r="O1347" s="20"/>
      <c r="P1347" s="20"/>
      <c r="Q1347" s="19"/>
    </row>
    <row r="1348" customFormat="false" ht="15" hidden="false" customHeight="false" outlineLevel="0" collapsed="false">
      <c r="A1348" s="10" t="n">
        <v>1342</v>
      </c>
      <c r="B1348" s="12" t="s">
        <v>2113</v>
      </c>
      <c r="C1348" s="12" t="s">
        <v>2114</v>
      </c>
      <c r="D1348" s="13"/>
      <c r="E1348" s="14"/>
      <c r="F1348" s="15" t="str">
        <f aca="false">IF(D1348="","",ROUND((D1348-MIN($D$7:$D$9999))*86400,2))</f>
        <v/>
      </c>
      <c r="G1348" s="10" t="str">
        <f aca="false">IF(D1348="","",IF(D1348&lt;=($E$3*60+$F$3)/86400,"○",""))</f>
        <v/>
      </c>
      <c r="H1348" s="16" t="n">
        <v>0.00682673611111111</v>
      </c>
      <c r="I1348" s="17" t="n">
        <v>189</v>
      </c>
      <c r="J1348" s="16" t="n">
        <v>0.00289930555555556</v>
      </c>
      <c r="K1348" s="17" t="n">
        <v>939</v>
      </c>
      <c r="L1348" s="17" t="n">
        <f aca="false">COUNT(E1348,I1348,K1348)</f>
        <v>2</v>
      </c>
      <c r="M1348" s="18" t="n">
        <f aca="false">(D1348&lt;&gt;"")*(D1348&lt;=($E$3*60+$F$3)/86400)+(H1348&lt;&gt;"")*(H1348&lt;=($I$3*60+$J$3)/86400)+(J1348&lt;&gt;"")*(J1348&lt;=($M$3*60+$N$3)/86400)</f>
        <v>0</v>
      </c>
      <c r="N1348" s="20"/>
      <c r="O1348" s="20"/>
      <c r="P1348" s="20"/>
      <c r="Q1348" s="19"/>
    </row>
    <row r="1349" customFormat="false" ht="15" hidden="false" customHeight="false" outlineLevel="0" collapsed="false">
      <c r="A1349" s="10" t="n">
        <v>1343</v>
      </c>
      <c r="B1349" s="12" t="s">
        <v>2115</v>
      </c>
      <c r="C1349" s="12" t="s">
        <v>809</v>
      </c>
      <c r="D1349" s="13"/>
      <c r="E1349" s="14"/>
      <c r="F1349" s="15" t="str">
        <f aca="false">IF(D1349="","",ROUND((D1349-MIN($D$7:$D$9999))*86400,2))</f>
        <v/>
      </c>
      <c r="G1349" s="10" t="str">
        <f aca="false">IF(D1349="","",IF(D1349&lt;=($E$3*60+$F$3)/86400,"○",""))</f>
        <v/>
      </c>
      <c r="H1349" s="16"/>
      <c r="I1349" s="17"/>
      <c r="J1349" s="16" t="n">
        <v>0.00277824074074074</v>
      </c>
      <c r="K1349" s="17" t="n">
        <v>192</v>
      </c>
      <c r="L1349" s="17" t="n">
        <f aca="false">COUNT(E1349,I1349,K1349)</f>
        <v>1</v>
      </c>
      <c r="M1349" s="18" t="n">
        <f aca="false">(D1349&lt;&gt;"")*(D1349&lt;=($E$3*60+$F$3)/86400)+(H1349&lt;&gt;"")*(H1349&lt;=($I$3*60+$J$3)/86400)+(J1349&lt;&gt;"")*(J1349&lt;=($M$3*60+$N$3)/86400)</f>
        <v>0</v>
      </c>
      <c r="N1349" s="20"/>
      <c r="O1349" s="20"/>
      <c r="P1349" s="20"/>
      <c r="Q1349" s="19"/>
    </row>
    <row r="1350" customFormat="false" ht="15" hidden="false" customHeight="false" outlineLevel="0" collapsed="false">
      <c r="A1350" s="10" t="n">
        <v>1344</v>
      </c>
      <c r="B1350" s="12" t="s">
        <v>2116</v>
      </c>
      <c r="C1350" s="12" t="s">
        <v>2117</v>
      </c>
      <c r="D1350" s="13"/>
      <c r="E1350" s="14"/>
      <c r="F1350" s="15" t="str">
        <f aca="false">IF(D1350="","",ROUND((D1350-MIN($D$7:$D$9999))*86400,2))</f>
        <v/>
      </c>
      <c r="G1350" s="10" t="str">
        <f aca="false">IF(D1350="","",IF(D1350&lt;=($E$3*60+$F$3)/86400,"○",""))</f>
        <v/>
      </c>
      <c r="H1350" s="16" t="n">
        <v>0.00682905092592593</v>
      </c>
      <c r="I1350" s="17" t="n">
        <v>193</v>
      </c>
      <c r="J1350" s="16" t="n">
        <v>0.00291747685185185</v>
      </c>
      <c r="K1350" s="17" t="n">
        <v>1070</v>
      </c>
      <c r="L1350" s="17" t="n">
        <f aca="false">COUNT(E1350,I1350,K1350)</f>
        <v>2</v>
      </c>
      <c r="M1350" s="18" t="n">
        <f aca="false">(D1350&lt;&gt;"")*(D1350&lt;=($E$3*60+$F$3)/86400)+(H1350&lt;&gt;"")*(H1350&lt;=($I$3*60+$J$3)/86400)+(J1350&lt;&gt;"")*(J1350&lt;=($M$3*60+$N$3)/86400)</f>
        <v>0</v>
      </c>
      <c r="N1350" s="20"/>
      <c r="O1350" s="20"/>
      <c r="P1350" s="20"/>
      <c r="Q1350" s="19"/>
    </row>
    <row r="1351" customFormat="false" ht="15" hidden="false" customHeight="false" outlineLevel="0" collapsed="false">
      <c r="A1351" s="10" t="n">
        <v>1345</v>
      </c>
      <c r="B1351" s="12" t="s">
        <v>2118</v>
      </c>
      <c r="C1351" s="12" t="s">
        <v>2119</v>
      </c>
      <c r="D1351" s="13"/>
      <c r="E1351" s="14"/>
      <c r="F1351" s="15" t="str">
        <f aca="false">IF(D1351="","",ROUND((D1351-MIN($D$7:$D$9999))*86400,2))</f>
        <v/>
      </c>
      <c r="G1351" s="10" t="str">
        <f aca="false">IF(D1351="","",IF(D1351&lt;=($E$3*60+$F$3)/86400,"○",""))</f>
        <v/>
      </c>
      <c r="H1351" s="16"/>
      <c r="I1351" s="17"/>
      <c r="J1351" s="16" t="n">
        <v>0.0027787037037037</v>
      </c>
      <c r="K1351" s="17" t="n">
        <v>195</v>
      </c>
      <c r="L1351" s="17" t="n">
        <f aca="false">COUNT(E1351,I1351,K1351)</f>
        <v>1</v>
      </c>
      <c r="M1351" s="18" t="n">
        <f aca="false">(D1351&lt;&gt;"")*(D1351&lt;=($E$3*60+$F$3)/86400)+(H1351&lt;&gt;"")*(H1351&lt;=($I$3*60+$J$3)/86400)+(J1351&lt;&gt;"")*(J1351&lt;=($M$3*60+$N$3)/86400)</f>
        <v>0</v>
      </c>
      <c r="N1351" s="20"/>
      <c r="O1351" s="20"/>
      <c r="P1351" s="20"/>
      <c r="Q1351" s="19"/>
    </row>
    <row r="1352" customFormat="false" ht="15" hidden="false" customHeight="false" outlineLevel="0" collapsed="false">
      <c r="A1352" s="10" t="n">
        <v>1346</v>
      </c>
      <c r="B1352" s="12" t="s">
        <v>2120</v>
      </c>
      <c r="C1352" s="12" t="s">
        <v>2121</v>
      </c>
      <c r="D1352" s="13"/>
      <c r="E1352" s="14"/>
      <c r="F1352" s="15" t="str">
        <f aca="false">IF(D1352="","",ROUND((D1352-MIN($D$7:$D$9999))*86400,2))</f>
        <v/>
      </c>
      <c r="G1352" s="10" t="str">
        <f aca="false">IF(D1352="","",IF(D1352&lt;=($E$3*60+$F$3)/86400,"○",""))</f>
        <v/>
      </c>
      <c r="H1352" s="16"/>
      <c r="I1352" s="17"/>
      <c r="J1352" s="16" t="n">
        <v>0.00277928240740741</v>
      </c>
      <c r="K1352" s="17" t="n">
        <v>197</v>
      </c>
      <c r="L1352" s="17" t="n">
        <f aca="false">COUNT(E1352,I1352,K1352)</f>
        <v>1</v>
      </c>
      <c r="M1352" s="18" t="n">
        <f aca="false">(D1352&lt;&gt;"")*(D1352&lt;=($E$3*60+$F$3)/86400)+(H1352&lt;&gt;"")*(H1352&lt;=($I$3*60+$J$3)/86400)+(J1352&lt;&gt;"")*(J1352&lt;=($M$3*60+$N$3)/86400)</f>
        <v>0</v>
      </c>
      <c r="N1352" s="20"/>
      <c r="O1352" s="20"/>
      <c r="P1352" s="20"/>
      <c r="Q1352" s="19"/>
    </row>
    <row r="1353" customFormat="false" ht="15" hidden="false" customHeight="false" outlineLevel="0" collapsed="false">
      <c r="A1353" s="10" t="n">
        <v>1347</v>
      </c>
      <c r="B1353" s="12" t="s">
        <v>2122</v>
      </c>
      <c r="C1353" s="12" t="s">
        <v>285</v>
      </c>
      <c r="D1353" s="13"/>
      <c r="E1353" s="14"/>
      <c r="F1353" s="15" t="str">
        <f aca="false">IF(D1353="","",ROUND((D1353-MIN($D$7:$D$9999))*86400,2))</f>
        <v/>
      </c>
      <c r="G1353" s="10" t="str">
        <f aca="false">IF(D1353="","",IF(D1353&lt;=($E$3*60+$F$3)/86400,"○",""))</f>
        <v/>
      </c>
      <c r="H1353" s="16" t="n">
        <v>0.00684363425925926</v>
      </c>
      <c r="I1353" s="17" t="n">
        <v>198</v>
      </c>
      <c r="J1353" s="16"/>
      <c r="K1353" s="17"/>
      <c r="L1353" s="17" t="n">
        <f aca="false">COUNT(E1353,I1353,K1353)</f>
        <v>1</v>
      </c>
      <c r="M1353" s="18" t="n">
        <f aca="false">(D1353&lt;&gt;"")*(D1353&lt;=($E$3*60+$F$3)/86400)+(H1353&lt;&gt;"")*(H1353&lt;=($I$3*60+$J$3)/86400)+(J1353&lt;&gt;"")*(J1353&lt;=($M$3*60+$N$3)/86400)</f>
        <v>0</v>
      </c>
      <c r="N1353" s="20"/>
      <c r="O1353" s="20"/>
      <c r="P1353" s="20"/>
      <c r="Q1353" s="19"/>
    </row>
    <row r="1354" customFormat="false" ht="15" hidden="false" customHeight="false" outlineLevel="0" collapsed="false">
      <c r="A1354" s="10" t="n">
        <v>1348</v>
      </c>
      <c r="B1354" s="12" t="s">
        <v>2123</v>
      </c>
      <c r="C1354" s="12" t="s">
        <v>288</v>
      </c>
      <c r="D1354" s="13"/>
      <c r="E1354" s="14"/>
      <c r="F1354" s="15" t="str">
        <f aca="false">IF(D1354="","",ROUND((D1354-MIN($D$7:$D$9999))*86400,2))</f>
        <v/>
      </c>
      <c r="G1354" s="10" t="str">
        <f aca="false">IF(D1354="","",IF(D1354&lt;=($E$3*60+$F$3)/86400,"○",""))</f>
        <v/>
      </c>
      <c r="H1354" s="16" t="n">
        <v>0.00684398148148148</v>
      </c>
      <c r="I1354" s="17" t="n">
        <v>199</v>
      </c>
      <c r="J1354" s="16"/>
      <c r="K1354" s="17"/>
      <c r="L1354" s="17" t="n">
        <f aca="false">COUNT(E1354,I1354,K1354)</f>
        <v>1</v>
      </c>
      <c r="M1354" s="18" t="n">
        <f aca="false">(D1354&lt;&gt;"")*(D1354&lt;=($E$3*60+$F$3)/86400)+(H1354&lt;&gt;"")*(H1354&lt;=($I$3*60+$J$3)/86400)+(J1354&lt;&gt;"")*(J1354&lt;=($M$3*60+$N$3)/86400)</f>
        <v>0</v>
      </c>
      <c r="N1354" s="20"/>
      <c r="O1354" s="20"/>
      <c r="P1354" s="20"/>
      <c r="Q1354" s="19"/>
    </row>
    <row r="1355" customFormat="false" ht="15" hidden="false" customHeight="false" outlineLevel="0" collapsed="false">
      <c r="A1355" s="10" t="n">
        <v>1349</v>
      </c>
      <c r="B1355" s="12" t="s">
        <v>2124</v>
      </c>
      <c r="C1355" s="12" t="s">
        <v>2125</v>
      </c>
      <c r="D1355" s="13"/>
      <c r="E1355" s="14"/>
      <c r="F1355" s="15" t="str">
        <f aca="false">IF(D1355="","",ROUND((D1355-MIN($D$7:$D$9999))*86400,2))</f>
        <v/>
      </c>
      <c r="G1355" s="10" t="str">
        <f aca="false">IF(D1355="","",IF(D1355&lt;=($E$3*60+$F$3)/86400,"○",""))</f>
        <v/>
      </c>
      <c r="H1355" s="16" t="n">
        <v>0.00684768518518519</v>
      </c>
      <c r="I1355" s="17" t="n">
        <v>202</v>
      </c>
      <c r="J1355" s="16"/>
      <c r="K1355" s="17"/>
      <c r="L1355" s="17" t="n">
        <f aca="false">COUNT(E1355,I1355,K1355)</f>
        <v>1</v>
      </c>
      <c r="M1355" s="18" t="n">
        <f aca="false">(D1355&lt;&gt;"")*(D1355&lt;=($E$3*60+$F$3)/86400)+(H1355&lt;&gt;"")*(H1355&lt;=($I$3*60+$J$3)/86400)+(J1355&lt;&gt;"")*(J1355&lt;=($M$3*60+$N$3)/86400)</f>
        <v>0</v>
      </c>
      <c r="N1355" s="20" t="s">
        <v>2126</v>
      </c>
      <c r="O1355" s="20"/>
      <c r="P1355" s="20"/>
      <c r="Q1355" s="19"/>
    </row>
    <row r="1356" customFormat="false" ht="15" hidden="false" customHeight="false" outlineLevel="0" collapsed="false">
      <c r="A1356" s="10" t="n">
        <v>1350</v>
      </c>
      <c r="B1356" s="12" t="s">
        <v>2127</v>
      </c>
      <c r="C1356" s="12" t="s">
        <v>1166</v>
      </c>
      <c r="D1356" s="13"/>
      <c r="E1356" s="14"/>
      <c r="F1356" s="15" t="str">
        <f aca="false">IF(D1356="","",ROUND((D1356-MIN($D$7:$D$9999))*86400,2))</f>
        <v/>
      </c>
      <c r="G1356" s="10" t="str">
        <f aca="false">IF(D1356="","",IF(D1356&lt;=($E$3*60+$F$3)/86400,"○",""))</f>
        <v/>
      </c>
      <c r="H1356" s="16" t="n">
        <v>0.00685393518518518</v>
      </c>
      <c r="I1356" s="17" t="n">
        <v>204</v>
      </c>
      <c r="J1356" s="16"/>
      <c r="K1356" s="17"/>
      <c r="L1356" s="17" t="n">
        <f aca="false">COUNT(E1356,I1356,K1356)</f>
        <v>1</v>
      </c>
      <c r="M1356" s="18" t="n">
        <f aca="false">(D1356&lt;&gt;"")*(D1356&lt;=($E$3*60+$F$3)/86400)+(H1356&lt;&gt;"")*(H1356&lt;=($I$3*60+$J$3)/86400)+(J1356&lt;&gt;"")*(J1356&lt;=($M$3*60+$N$3)/86400)</f>
        <v>0</v>
      </c>
      <c r="N1356" s="20" t="s">
        <v>2128</v>
      </c>
      <c r="O1356" s="20"/>
      <c r="P1356" s="20"/>
      <c r="Q1356" s="19"/>
    </row>
    <row r="1357" customFormat="false" ht="15" hidden="false" customHeight="false" outlineLevel="0" collapsed="false">
      <c r="A1357" s="10" t="n">
        <v>1351</v>
      </c>
      <c r="B1357" s="12" t="s">
        <v>2129</v>
      </c>
      <c r="C1357" s="12" t="s">
        <v>2130</v>
      </c>
      <c r="D1357" s="13"/>
      <c r="E1357" s="14"/>
      <c r="F1357" s="15" t="str">
        <f aca="false">IF(D1357="","",ROUND((D1357-MIN($D$7:$D$9999))*86400,2))</f>
        <v/>
      </c>
      <c r="G1357" s="10" t="str">
        <f aca="false">IF(D1357="","",IF(D1357&lt;=($E$3*60+$F$3)/86400,"○",""))</f>
        <v/>
      </c>
      <c r="H1357" s="16"/>
      <c r="I1357" s="17"/>
      <c r="J1357" s="16" t="n">
        <v>0.00278113425925926</v>
      </c>
      <c r="K1357" s="17" t="n">
        <v>206</v>
      </c>
      <c r="L1357" s="17" t="n">
        <f aca="false">COUNT(E1357,I1357,K1357)</f>
        <v>1</v>
      </c>
      <c r="M1357" s="18" t="n">
        <f aca="false">(D1357&lt;&gt;"")*(D1357&lt;=($E$3*60+$F$3)/86400)+(H1357&lt;&gt;"")*(H1357&lt;=($I$3*60+$J$3)/86400)+(J1357&lt;&gt;"")*(J1357&lt;=($M$3*60+$N$3)/86400)</f>
        <v>0</v>
      </c>
      <c r="N1357" s="20"/>
      <c r="O1357" s="20"/>
      <c r="P1357" s="20"/>
      <c r="Q1357" s="19"/>
    </row>
    <row r="1358" customFormat="false" ht="15" hidden="false" customHeight="false" outlineLevel="0" collapsed="false">
      <c r="A1358" s="10" t="n">
        <v>1352</v>
      </c>
      <c r="B1358" s="12" t="s">
        <v>2131</v>
      </c>
      <c r="C1358" s="12" t="s">
        <v>2132</v>
      </c>
      <c r="D1358" s="13"/>
      <c r="E1358" s="14"/>
      <c r="F1358" s="15" t="str">
        <f aca="false">IF(D1358="","",ROUND((D1358-MIN($D$7:$D$9999))*86400,2))</f>
        <v/>
      </c>
      <c r="G1358" s="10" t="str">
        <f aca="false">IF(D1358="","",IF(D1358&lt;=($E$3*60+$F$3)/86400,"○",""))</f>
        <v/>
      </c>
      <c r="H1358" s="16" t="n">
        <v>0.00685810185185185</v>
      </c>
      <c r="I1358" s="17" t="n">
        <v>208</v>
      </c>
      <c r="J1358" s="16"/>
      <c r="K1358" s="17"/>
      <c r="L1358" s="17" t="n">
        <f aca="false">COUNT(E1358,I1358,K1358)</f>
        <v>1</v>
      </c>
      <c r="M1358" s="18" t="n">
        <f aca="false">(D1358&lt;&gt;"")*(D1358&lt;=($E$3*60+$F$3)/86400)+(H1358&lt;&gt;"")*(H1358&lt;=($I$3*60+$J$3)/86400)+(J1358&lt;&gt;"")*(J1358&lt;=($M$3*60+$N$3)/86400)</f>
        <v>0</v>
      </c>
      <c r="N1358" s="20"/>
      <c r="O1358" s="20"/>
      <c r="P1358" s="20"/>
      <c r="Q1358" s="19"/>
    </row>
    <row r="1359" customFormat="false" ht="15" hidden="false" customHeight="false" outlineLevel="0" collapsed="false">
      <c r="A1359" s="10" t="n">
        <v>1353</v>
      </c>
      <c r="B1359" s="12" t="s">
        <v>2133</v>
      </c>
      <c r="C1359" s="12" t="s">
        <v>167</v>
      </c>
      <c r="D1359" s="13"/>
      <c r="E1359" s="14"/>
      <c r="F1359" s="15" t="str">
        <f aca="false">IF(D1359="","",ROUND((D1359-MIN($D$7:$D$9999))*86400,2))</f>
        <v/>
      </c>
      <c r="G1359" s="10" t="str">
        <f aca="false">IF(D1359="","",IF(D1359&lt;=($E$3*60+$F$3)/86400,"○",""))</f>
        <v/>
      </c>
      <c r="H1359" s="16"/>
      <c r="I1359" s="17"/>
      <c r="J1359" s="16" t="n">
        <v>0.00278240740740741</v>
      </c>
      <c r="K1359" s="17" t="n">
        <v>211</v>
      </c>
      <c r="L1359" s="17" t="n">
        <f aca="false">COUNT(E1359,I1359,K1359)</f>
        <v>1</v>
      </c>
      <c r="M1359" s="18" t="n">
        <f aca="false">(D1359&lt;&gt;"")*(D1359&lt;=($E$3*60+$F$3)/86400)+(H1359&lt;&gt;"")*(H1359&lt;=($I$3*60+$J$3)/86400)+(J1359&lt;&gt;"")*(J1359&lt;=($M$3*60+$N$3)/86400)</f>
        <v>0</v>
      </c>
      <c r="N1359" s="20"/>
      <c r="O1359" s="20"/>
      <c r="P1359" s="20"/>
      <c r="Q1359" s="19"/>
    </row>
    <row r="1360" customFormat="false" ht="15" hidden="false" customHeight="false" outlineLevel="0" collapsed="false">
      <c r="A1360" s="10" t="n">
        <v>1354</v>
      </c>
      <c r="B1360" s="12" t="s">
        <v>2134</v>
      </c>
      <c r="C1360" s="12" t="s">
        <v>2135</v>
      </c>
      <c r="D1360" s="13"/>
      <c r="E1360" s="14"/>
      <c r="F1360" s="15" t="str">
        <f aca="false">IF(D1360="","",ROUND((D1360-MIN($D$7:$D$9999))*86400,2))</f>
        <v/>
      </c>
      <c r="G1360" s="10" t="str">
        <f aca="false">IF(D1360="","",IF(D1360&lt;=($E$3*60+$F$3)/86400,"○",""))</f>
        <v/>
      </c>
      <c r="H1360" s="16" t="n">
        <v>0.00686296296296296</v>
      </c>
      <c r="I1360" s="17" t="n">
        <v>213</v>
      </c>
      <c r="J1360" s="16"/>
      <c r="K1360" s="17"/>
      <c r="L1360" s="17" t="n">
        <f aca="false">COUNT(E1360,I1360,K1360)</f>
        <v>1</v>
      </c>
      <c r="M1360" s="18" t="n">
        <f aca="false">(D1360&lt;&gt;"")*(D1360&lt;=($E$3*60+$F$3)/86400)+(H1360&lt;&gt;"")*(H1360&lt;=($I$3*60+$J$3)/86400)+(J1360&lt;&gt;"")*(J1360&lt;=($M$3*60+$N$3)/86400)</f>
        <v>0</v>
      </c>
      <c r="N1360" s="20"/>
      <c r="O1360" s="20"/>
      <c r="P1360" s="20"/>
      <c r="Q1360" s="19"/>
    </row>
    <row r="1361" customFormat="false" ht="15" hidden="false" customHeight="false" outlineLevel="0" collapsed="false">
      <c r="A1361" s="10" t="n">
        <v>1355</v>
      </c>
      <c r="B1361" s="12" t="s">
        <v>2136</v>
      </c>
      <c r="C1361" s="12" t="s">
        <v>2137</v>
      </c>
      <c r="D1361" s="13"/>
      <c r="E1361" s="14"/>
      <c r="F1361" s="15" t="str">
        <f aca="false">IF(D1361="","",ROUND((D1361-MIN($D$7:$D$9999))*86400,2))</f>
        <v/>
      </c>
      <c r="G1361" s="10" t="str">
        <f aca="false">IF(D1361="","",IF(D1361&lt;=($E$3*60+$F$3)/86400,"○",""))</f>
        <v/>
      </c>
      <c r="H1361" s="16" t="n">
        <v>0.00686701388888889</v>
      </c>
      <c r="I1361" s="17" t="n">
        <v>216</v>
      </c>
      <c r="J1361" s="16"/>
      <c r="K1361" s="17"/>
      <c r="L1361" s="17" t="n">
        <f aca="false">COUNT(E1361,I1361,K1361)</f>
        <v>1</v>
      </c>
      <c r="M1361" s="18" t="n">
        <f aca="false">(D1361&lt;&gt;"")*(D1361&lt;=($E$3*60+$F$3)/86400)+(H1361&lt;&gt;"")*(H1361&lt;=($I$3*60+$J$3)/86400)+(J1361&lt;&gt;"")*(J1361&lt;=($M$3*60+$N$3)/86400)</f>
        <v>0</v>
      </c>
      <c r="N1361" s="20"/>
      <c r="O1361" s="20"/>
      <c r="P1361" s="20"/>
      <c r="Q1361" s="19"/>
    </row>
    <row r="1362" customFormat="false" ht="15" hidden="false" customHeight="false" outlineLevel="0" collapsed="false">
      <c r="A1362" s="10" t="n">
        <v>1356</v>
      </c>
      <c r="B1362" s="12" t="s">
        <v>2138</v>
      </c>
      <c r="C1362" s="12" t="s">
        <v>2139</v>
      </c>
      <c r="D1362" s="13"/>
      <c r="E1362" s="14"/>
      <c r="F1362" s="15" t="str">
        <f aca="false">IF(D1362="","",ROUND((D1362-MIN($D$7:$D$9999))*86400,2))</f>
        <v/>
      </c>
      <c r="G1362" s="10" t="str">
        <f aca="false">IF(D1362="","",IF(D1362&lt;=($E$3*60+$F$3)/86400,"○",""))</f>
        <v/>
      </c>
      <c r="H1362" s="16" t="n">
        <v>0.00686840277777778</v>
      </c>
      <c r="I1362" s="17" t="n">
        <v>217</v>
      </c>
      <c r="J1362" s="16"/>
      <c r="K1362" s="17"/>
      <c r="L1362" s="17" t="n">
        <f aca="false">COUNT(E1362,I1362,K1362)</f>
        <v>1</v>
      </c>
      <c r="M1362" s="18" t="n">
        <f aca="false">(D1362&lt;&gt;"")*(D1362&lt;=($E$3*60+$F$3)/86400)+(H1362&lt;&gt;"")*(H1362&lt;=($I$3*60+$J$3)/86400)+(J1362&lt;&gt;"")*(J1362&lt;=($M$3*60+$N$3)/86400)</f>
        <v>0</v>
      </c>
      <c r="N1362" s="20"/>
      <c r="O1362" s="20"/>
      <c r="P1362" s="20"/>
      <c r="Q1362" s="19"/>
    </row>
    <row r="1363" customFormat="false" ht="15" hidden="false" customHeight="false" outlineLevel="0" collapsed="false">
      <c r="A1363" s="10" t="n">
        <v>1357</v>
      </c>
      <c r="B1363" s="12" t="s">
        <v>2140</v>
      </c>
      <c r="C1363" s="12" t="s">
        <v>1503</v>
      </c>
      <c r="D1363" s="13"/>
      <c r="E1363" s="14"/>
      <c r="F1363" s="15" t="str">
        <f aca="false">IF(D1363="","",ROUND((D1363-MIN($D$7:$D$9999))*86400,2))</f>
        <v/>
      </c>
      <c r="G1363" s="10" t="str">
        <f aca="false">IF(D1363="","",IF(D1363&lt;=($E$3*60+$F$3)/86400,"○",""))</f>
        <v/>
      </c>
      <c r="H1363" s="16" t="n">
        <v>0.00692916666666667</v>
      </c>
      <c r="I1363" s="17" t="n">
        <v>271</v>
      </c>
      <c r="J1363" s="16" t="n">
        <v>0.00278564814814815</v>
      </c>
      <c r="K1363" s="17" t="n">
        <v>220</v>
      </c>
      <c r="L1363" s="17" t="n">
        <f aca="false">COUNT(E1363,I1363,K1363)</f>
        <v>2</v>
      </c>
      <c r="M1363" s="18" t="n">
        <f aca="false">(D1363&lt;&gt;"")*(D1363&lt;=($E$3*60+$F$3)/86400)+(H1363&lt;&gt;"")*(H1363&lt;=($I$3*60+$J$3)/86400)+(J1363&lt;&gt;"")*(J1363&lt;=($M$3*60+$N$3)/86400)</f>
        <v>0</v>
      </c>
      <c r="N1363" s="20"/>
      <c r="O1363" s="20"/>
      <c r="P1363" s="20"/>
      <c r="Q1363" s="19"/>
    </row>
    <row r="1364" customFormat="false" ht="15" hidden="false" customHeight="false" outlineLevel="0" collapsed="false">
      <c r="A1364" s="10" t="n">
        <v>1358</v>
      </c>
      <c r="B1364" s="12" t="s">
        <v>2141</v>
      </c>
      <c r="C1364" s="12" t="s">
        <v>1138</v>
      </c>
      <c r="D1364" s="13"/>
      <c r="E1364" s="14"/>
      <c r="F1364" s="15" t="str">
        <f aca="false">IF(D1364="","",ROUND((D1364-MIN($D$7:$D$9999))*86400,2))</f>
        <v/>
      </c>
      <c r="G1364" s="10" t="str">
        <f aca="false">IF(D1364="","",IF(D1364&lt;=($E$3*60+$F$3)/86400,"○",""))</f>
        <v/>
      </c>
      <c r="H1364" s="16" t="n">
        <v>0.00687916666666667</v>
      </c>
      <c r="I1364" s="17" t="n">
        <v>222</v>
      </c>
      <c r="J1364" s="16" t="n">
        <v>0.00286956018518519</v>
      </c>
      <c r="K1364" s="17" t="n">
        <v>692</v>
      </c>
      <c r="L1364" s="17" t="n">
        <f aca="false">COUNT(E1364,I1364,K1364)</f>
        <v>2</v>
      </c>
      <c r="M1364" s="18" t="n">
        <f aca="false">(D1364&lt;&gt;"")*(D1364&lt;=($E$3*60+$F$3)/86400)+(H1364&lt;&gt;"")*(H1364&lt;=($I$3*60+$J$3)/86400)+(J1364&lt;&gt;"")*(J1364&lt;=($M$3*60+$N$3)/86400)</f>
        <v>0</v>
      </c>
      <c r="N1364" s="20"/>
      <c r="O1364" s="20"/>
      <c r="P1364" s="20"/>
      <c r="Q1364" s="19"/>
    </row>
    <row r="1365" customFormat="false" ht="15" hidden="false" customHeight="false" outlineLevel="0" collapsed="false">
      <c r="A1365" s="10" t="n">
        <v>1359</v>
      </c>
      <c r="B1365" s="12" t="s">
        <v>2142</v>
      </c>
      <c r="C1365" s="12" t="s">
        <v>1458</v>
      </c>
      <c r="D1365" s="13"/>
      <c r="E1365" s="14"/>
      <c r="F1365" s="15" t="str">
        <f aca="false">IF(D1365="","",ROUND((D1365-MIN($D$7:$D$9999))*86400,2))</f>
        <v/>
      </c>
      <c r="G1365" s="10" t="str">
        <f aca="false">IF(D1365="","",IF(D1365&lt;=($E$3*60+$F$3)/86400,"○",""))</f>
        <v/>
      </c>
      <c r="H1365" s="16" t="n">
        <v>0.00688032407407407</v>
      </c>
      <c r="I1365" s="17" t="n">
        <v>223</v>
      </c>
      <c r="J1365" s="16" t="n">
        <v>0.00295289351851852</v>
      </c>
      <c r="K1365" s="17" t="n">
        <v>1248</v>
      </c>
      <c r="L1365" s="17" t="n">
        <f aca="false">COUNT(E1365,I1365,K1365)</f>
        <v>2</v>
      </c>
      <c r="M1365" s="18" t="n">
        <f aca="false">(D1365&lt;&gt;"")*(D1365&lt;=($E$3*60+$F$3)/86400)+(H1365&lt;&gt;"")*(H1365&lt;=($I$3*60+$J$3)/86400)+(J1365&lt;&gt;"")*(J1365&lt;=($M$3*60+$N$3)/86400)</f>
        <v>0</v>
      </c>
      <c r="N1365" s="20"/>
      <c r="O1365" s="20"/>
      <c r="P1365" s="20"/>
      <c r="Q1365" s="19"/>
    </row>
    <row r="1366" customFormat="false" ht="15" hidden="false" customHeight="false" outlineLevel="0" collapsed="false">
      <c r="A1366" s="10" t="n">
        <v>1360</v>
      </c>
      <c r="B1366" s="12" t="s">
        <v>2143</v>
      </c>
      <c r="C1366" s="12" t="s">
        <v>2144</v>
      </c>
      <c r="D1366" s="13"/>
      <c r="E1366" s="14"/>
      <c r="F1366" s="15" t="str">
        <f aca="false">IF(D1366="","",ROUND((D1366-MIN($D$7:$D$9999))*86400,2))</f>
        <v/>
      </c>
      <c r="G1366" s="10" t="str">
        <f aca="false">IF(D1366="","",IF(D1366&lt;=($E$3*60+$F$3)/86400,"○",""))</f>
        <v/>
      </c>
      <c r="H1366" s="16" t="n">
        <v>0.00688159722222222</v>
      </c>
      <c r="I1366" s="17" t="n">
        <v>224</v>
      </c>
      <c r="J1366" s="16" t="n">
        <v>0.00295532407407407</v>
      </c>
      <c r="K1366" s="17" t="n">
        <v>1254</v>
      </c>
      <c r="L1366" s="17" t="n">
        <f aca="false">COUNT(E1366,I1366,K1366)</f>
        <v>2</v>
      </c>
      <c r="M1366" s="18" t="n">
        <f aca="false">(D1366&lt;&gt;"")*(D1366&lt;=($E$3*60+$F$3)/86400)+(H1366&lt;&gt;"")*(H1366&lt;=($I$3*60+$J$3)/86400)+(J1366&lt;&gt;"")*(J1366&lt;=($M$3*60+$N$3)/86400)</f>
        <v>0</v>
      </c>
      <c r="N1366" s="20"/>
      <c r="O1366" s="20"/>
      <c r="P1366" s="20"/>
      <c r="Q1366" s="19"/>
    </row>
    <row r="1367" customFormat="false" ht="15" hidden="false" customHeight="false" outlineLevel="0" collapsed="false">
      <c r="A1367" s="10" t="n">
        <v>1361</v>
      </c>
      <c r="B1367" s="12" t="s">
        <v>2145</v>
      </c>
      <c r="C1367" s="12" t="s">
        <v>1229</v>
      </c>
      <c r="D1367" s="13"/>
      <c r="E1367" s="14"/>
      <c r="F1367" s="15" t="str">
        <f aca="false">IF(D1367="","",ROUND((D1367-MIN($D$7:$D$9999))*86400,2))</f>
        <v/>
      </c>
      <c r="G1367" s="10" t="str">
        <f aca="false">IF(D1367="","",IF(D1367&lt;=($E$3*60+$F$3)/86400,"○",""))</f>
        <v/>
      </c>
      <c r="H1367" s="16"/>
      <c r="I1367" s="17"/>
      <c r="J1367" s="16" t="n">
        <v>0.00278645833333333</v>
      </c>
      <c r="K1367" s="17" t="n">
        <v>224</v>
      </c>
      <c r="L1367" s="17" t="n">
        <f aca="false">COUNT(E1367,I1367,K1367)</f>
        <v>1</v>
      </c>
      <c r="M1367" s="18" t="n">
        <f aca="false">(D1367&lt;&gt;"")*(D1367&lt;=($E$3*60+$F$3)/86400)+(H1367&lt;&gt;"")*(H1367&lt;=($I$3*60+$J$3)/86400)+(J1367&lt;&gt;"")*(J1367&lt;=($M$3*60+$N$3)/86400)</f>
        <v>0</v>
      </c>
      <c r="N1367" s="20"/>
      <c r="O1367" s="20"/>
      <c r="P1367" s="20"/>
      <c r="Q1367" s="19"/>
    </row>
    <row r="1368" customFormat="false" ht="15" hidden="false" customHeight="false" outlineLevel="0" collapsed="false">
      <c r="A1368" s="10" t="n">
        <v>1362</v>
      </c>
      <c r="B1368" s="12" t="s">
        <v>2146</v>
      </c>
      <c r="C1368" s="12" t="s">
        <v>1049</v>
      </c>
      <c r="D1368" s="13"/>
      <c r="E1368" s="14"/>
      <c r="F1368" s="15" t="str">
        <f aca="false">IF(D1368="","",ROUND((D1368-MIN($D$7:$D$9999))*86400,2))</f>
        <v/>
      </c>
      <c r="G1368" s="10" t="str">
        <f aca="false">IF(D1368="","",IF(D1368&lt;=($E$3*60+$F$3)/86400,"○",""))</f>
        <v/>
      </c>
      <c r="H1368" s="16" t="n">
        <v>0.00802141203703704</v>
      </c>
      <c r="I1368" s="17" t="n">
        <v>1195</v>
      </c>
      <c r="J1368" s="16" t="n">
        <v>0.00278668981481482</v>
      </c>
      <c r="K1368" s="17" t="n">
        <v>225</v>
      </c>
      <c r="L1368" s="17" t="n">
        <f aca="false">COUNT(E1368,I1368,K1368)</f>
        <v>2</v>
      </c>
      <c r="M1368" s="18" t="n">
        <f aca="false">(D1368&lt;&gt;"")*(D1368&lt;=($E$3*60+$F$3)/86400)+(H1368&lt;&gt;"")*(H1368&lt;=($I$3*60+$J$3)/86400)+(J1368&lt;&gt;"")*(J1368&lt;=($M$3*60+$N$3)/86400)</f>
        <v>0</v>
      </c>
      <c r="N1368" s="20"/>
      <c r="O1368" s="20"/>
      <c r="P1368" s="20"/>
      <c r="Q1368" s="19"/>
    </row>
    <row r="1369" customFormat="false" ht="15" hidden="false" customHeight="false" outlineLevel="0" collapsed="false">
      <c r="A1369" s="10" t="n">
        <v>1363</v>
      </c>
      <c r="B1369" s="12" t="s">
        <v>2147</v>
      </c>
      <c r="C1369" s="12" t="s">
        <v>690</v>
      </c>
      <c r="D1369" s="13"/>
      <c r="E1369" s="14"/>
      <c r="F1369" s="15" t="str">
        <f aca="false">IF(D1369="","",ROUND((D1369-MIN($D$7:$D$9999))*86400,2))</f>
        <v/>
      </c>
      <c r="G1369" s="10" t="str">
        <f aca="false">IF(D1369="","",IF(D1369&lt;=($E$3*60+$F$3)/86400,"○",""))</f>
        <v/>
      </c>
      <c r="H1369" s="16" t="n">
        <v>0.00688541666666667</v>
      </c>
      <c r="I1369" s="17" t="n">
        <v>225</v>
      </c>
      <c r="J1369" s="16"/>
      <c r="K1369" s="17"/>
      <c r="L1369" s="17" t="n">
        <f aca="false">COUNT(E1369,I1369,K1369)</f>
        <v>1</v>
      </c>
      <c r="M1369" s="18" t="n">
        <f aca="false">(D1369&lt;&gt;"")*(D1369&lt;=($E$3*60+$F$3)/86400)+(H1369&lt;&gt;"")*(H1369&lt;=($I$3*60+$J$3)/86400)+(J1369&lt;&gt;"")*(J1369&lt;=($M$3*60+$N$3)/86400)</f>
        <v>0</v>
      </c>
      <c r="N1369" s="20"/>
      <c r="O1369" s="20"/>
      <c r="P1369" s="20"/>
      <c r="Q1369" s="19"/>
    </row>
    <row r="1370" customFormat="false" ht="15" hidden="false" customHeight="false" outlineLevel="0" collapsed="false">
      <c r="A1370" s="10" t="n">
        <v>1364</v>
      </c>
      <c r="B1370" s="12" t="s">
        <v>2148</v>
      </c>
      <c r="C1370" s="12" t="s">
        <v>2149</v>
      </c>
      <c r="D1370" s="13"/>
      <c r="E1370" s="14"/>
      <c r="F1370" s="15" t="str">
        <f aca="false">IF(D1370="","",ROUND((D1370-MIN($D$7:$D$9999))*86400,2))</f>
        <v/>
      </c>
      <c r="G1370" s="10" t="str">
        <f aca="false">IF(D1370="","",IF(D1370&lt;=($E$3*60+$F$3)/86400,"○",""))</f>
        <v/>
      </c>
      <c r="H1370" s="16"/>
      <c r="I1370" s="17"/>
      <c r="J1370" s="16" t="n">
        <v>0.00278668981481482</v>
      </c>
      <c r="K1370" s="17" t="n">
        <v>226</v>
      </c>
      <c r="L1370" s="17" t="n">
        <f aca="false">COUNT(E1370,I1370,K1370)</f>
        <v>1</v>
      </c>
      <c r="M1370" s="18" t="n">
        <f aca="false">(D1370&lt;&gt;"")*(D1370&lt;=($E$3*60+$F$3)/86400)+(H1370&lt;&gt;"")*(H1370&lt;=($I$3*60+$J$3)/86400)+(J1370&lt;&gt;"")*(J1370&lt;=($M$3*60+$N$3)/86400)</f>
        <v>0</v>
      </c>
      <c r="N1370" s="20"/>
      <c r="O1370" s="20"/>
      <c r="P1370" s="20"/>
      <c r="Q1370" s="19"/>
    </row>
    <row r="1371" customFormat="false" ht="15" hidden="false" customHeight="false" outlineLevel="0" collapsed="false">
      <c r="A1371" s="10" t="n">
        <v>1365</v>
      </c>
      <c r="B1371" s="12" t="s">
        <v>2150</v>
      </c>
      <c r="C1371" s="12" t="s">
        <v>2151</v>
      </c>
      <c r="D1371" s="13"/>
      <c r="E1371" s="14"/>
      <c r="F1371" s="15" t="str">
        <f aca="false">IF(D1371="","",ROUND((D1371-MIN($D$7:$D$9999))*86400,2))</f>
        <v/>
      </c>
      <c r="G1371" s="10" t="str">
        <f aca="false">IF(D1371="","",IF(D1371&lt;=($E$3*60+$F$3)/86400,"○",""))</f>
        <v/>
      </c>
      <c r="H1371" s="16" t="n">
        <v>0.006915625</v>
      </c>
      <c r="I1371" s="17" t="n">
        <v>251</v>
      </c>
      <c r="J1371" s="16" t="n">
        <v>0.00278680555555556</v>
      </c>
      <c r="K1371" s="17" t="n">
        <v>228</v>
      </c>
      <c r="L1371" s="17" t="n">
        <f aca="false">COUNT(E1371,I1371,K1371)</f>
        <v>2</v>
      </c>
      <c r="M1371" s="18" t="n">
        <f aca="false">(D1371&lt;&gt;"")*(D1371&lt;=($E$3*60+$F$3)/86400)+(H1371&lt;&gt;"")*(H1371&lt;=($I$3*60+$J$3)/86400)+(J1371&lt;&gt;"")*(J1371&lt;=($M$3*60+$N$3)/86400)</f>
        <v>0</v>
      </c>
      <c r="N1371" s="20"/>
      <c r="O1371" s="20"/>
      <c r="P1371" s="20"/>
      <c r="Q1371" s="19"/>
    </row>
    <row r="1372" customFormat="false" ht="15" hidden="false" customHeight="false" outlineLevel="0" collapsed="false">
      <c r="A1372" s="10" t="n">
        <v>1366</v>
      </c>
      <c r="B1372" s="12" t="s">
        <v>2152</v>
      </c>
      <c r="C1372" s="12" t="s">
        <v>1192</v>
      </c>
      <c r="D1372" s="13"/>
      <c r="E1372" s="14"/>
      <c r="F1372" s="15" t="str">
        <f aca="false">IF(D1372="","",ROUND((D1372-MIN($D$7:$D$9999))*86400,2))</f>
        <v/>
      </c>
      <c r="G1372" s="10" t="str">
        <f aca="false">IF(D1372="","",IF(D1372&lt;=($E$3*60+$F$3)/86400,"○",""))</f>
        <v/>
      </c>
      <c r="H1372" s="16" t="n">
        <v>0.00688715277777778</v>
      </c>
      <c r="I1372" s="17" t="n">
        <v>228</v>
      </c>
      <c r="J1372" s="16"/>
      <c r="K1372" s="17"/>
      <c r="L1372" s="17" t="n">
        <f aca="false">COUNT(E1372,I1372,K1372)</f>
        <v>1</v>
      </c>
      <c r="M1372" s="18" t="n">
        <f aca="false">(D1372&lt;&gt;"")*(D1372&lt;=($E$3*60+$F$3)/86400)+(H1372&lt;&gt;"")*(H1372&lt;=($I$3*60+$J$3)/86400)+(J1372&lt;&gt;"")*(J1372&lt;=($M$3*60+$N$3)/86400)</f>
        <v>0</v>
      </c>
      <c r="N1372" s="20"/>
      <c r="O1372" s="20"/>
      <c r="P1372" s="20"/>
      <c r="Q1372" s="19"/>
    </row>
    <row r="1373" customFormat="false" ht="15" hidden="false" customHeight="false" outlineLevel="0" collapsed="false">
      <c r="A1373" s="10" t="n">
        <v>1367</v>
      </c>
      <c r="B1373" s="12" t="s">
        <v>2153</v>
      </c>
      <c r="C1373" s="12" t="s">
        <v>2154</v>
      </c>
      <c r="D1373" s="13"/>
      <c r="E1373" s="14"/>
      <c r="F1373" s="15" t="str">
        <f aca="false">IF(D1373="","",ROUND((D1373-MIN($D$7:$D$9999))*86400,2))</f>
        <v/>
      </c>
      <c r="G1373" s="10" t="str">
        <f aca="false">IF(D1373="","",IF(D1373&lt;=($E$3*60+$F$3)/86400,"○",""))</f>
        <v/>
      </c>
      <c r="H1373" s="16" t="n">
        <v>0.00689131944444444</v>
      </c>
      <c r="I1373" s="17" t="n">
        <v>231</v>
      </c>
      <c r="J1373" s="16" t="n">
        <v>0.00291990740740741</v>
      </c>
      <c r="K1373" s="17" t="n">
        <v>1095</v>
      </c>
      <c r="L1373" s="17" t="n">
        <f aca="false">COUNT(E1373,I1373,K1373)</f>
        <v>2</v>
      </c>
      <c r="M1373" s="18" t="n">
        <f aca="false">(D1373&lt;&gt;"")*(D1373&lt;=($E$3*60+$F$3)/86400)+(H1373&lt;&gt;"")*(H1373&lt;=($I$3*60+$J$3)/86400)+(J1373&lt;&gt;"")*(J1373&lt;=($M$3*60+$N$3)/86400)</f>
        <v>0</v>
      </c>
      <c r="N1373" s="20"/>
      <c r="O1373" s="20"/>
      <c r="P1373" s="20"/>
      <c r="Q1373" s="19"/>
    </row>
    <row r="1374" customFormat="false" ht="15" hidden="false" customHeight="false" outlineLevel="0" collapsed="false">
      <c r="A1374" s="10" t="n">
        <v>1368</v>
      </c>
      <c r="B1374" s="12" t="s">
        <v>2155</v>
      </c>
      <c r="C1374" s="12" t="s">
        <v>370</v>
      </c>
      <c r="D1374" s="13"/>
      <c r="E1374" s="14"/>
      <c r="F1374" s="15" t="str">
        <f aca="false">IF(D1374="","",ROUND((D1374-MIN($D$7:$D$9999))*86400,2))</f>
        <v/>
      </c>
      <c r="G1374" s="10" t="str">
        <f aca="false">IF(D1374="","",IF(D1374&lt;=($E$3*60+$F$3)/86400,"○",""))</f>
        <v/>
      </c>
      <c r="H1374" s="16" t="n">
        <v>0.00689178240740741</v>
      </c>
      <c r="I1374" s="17" t="n">
        <v>232</v>
      </c>
      <c r="J1374" s="16"/>
      <c r="K1374" s="17"/>
      <c r="L1374" s="17" t="n">
        <f aca="false">COUNT(E1374,I1374,K1374)</f>
        <v>1</v>
      </c>
      <c r="M1374" s="18" t="n">
        <f aca="false">(D1374&lt;&gt;"")*(D1374&lt;=($E$3*60+$F$3)/86400)+(H1374&lt;&gt;"")*(H1374&lt;=($I$3*60+$J$3)/86400)+(J1374&lt;&gt;"")*(J1374&lt;=($M$3*60+$N$3)/86400)</f>
        <v>0</v>
      </c>
      <c r="N1374" s="20"/>
      <c r="O1374" s="20"/>
      <c r="P1374" s="20"/>
      <c r="Q1374" s="19"/>
    </row>
    <row r="1375" customFormat="false" ht="15" hidden="false" customHeight="false" outlineLevel="0" collapsed="false">
      <c r="A1375" s="10" t="n">
        <v>1369</v>
      </c>
      <c r="B1375" s="12" t="s">
        <v>2156</v>
      </c>
      <c r="C1375" s="12" t="s">
        <v>737</v>
      </c>
      <c r="D1375" s="13"/>
      <c r="E1375" s="14"/>
      <c r="F1375" s="15" t="str">
        <f aca="false">IF(D1375="","",ROUND((D1375-MIN($D$7:$D$9999))*86400,2))</f>
        <v/>
      </c>
      <c r="G1375" s="10" t="str">
        <f aca="false">IF(D1375="","",IF(D1375&lt;=($E$3*60+$F$3)/86400,"○",""))</f>
        <v/>
      </c>
      <c r="H1375" s="16" t="n">
        <v>0.00689236111111111</v>
      </c>
      <c r="I1375" s="17" t="n">
        <v>233</v>
      </c>
      <c r="J1375" s="16" t="n">
        <v>0.0029693287037037</v>
      </c>
      <c r="K1375" s="17" t="n">
        <v>1307</v>
      </c>
      <c r="L1375" s="17" t="n">
        <f aca="false">COUNT(E1375,I1375,K1375)</f>
        <v>2</v>
      </c>
      <c r="M1375" s="18" t="n">
        <f aca="false">(D1375&lt;&gt;"")*(D1375&lt;=($E$3*60+$F$3)/86400)+(H1375&lt;&gt;"")*(H1375&lt;=($I$3*60+$J$3)/86400)+(J1375&lt;&gt;"")*(J1375&lt;=($M$3*60+$N$3)/86400)</f>
        <v>0</v>
      </c>
      <c r="N1375" s="20"/>
      <c r="O1375" s="20"/>
      <c r="P1375" s="20"/>
      <c r="Q1375" s="19"/>
    </row>
    <row r="1376" customFormat="false" ht="15" hidden="false" customHeight="false" outlineLevel="0" collapsed="false">
      <c r="A1376" s="10" t="n">
        <v>1370</v>
      </c>
      <c r="B1376" s="12" t="s">
        <v>2157</v>
      </c>
      <c r="C1376" s="12" t="s">
        <v>737</v>
      </c>
      <c r="D1376" s="13"/>
      <c r="E1376" s="14"/>
      <c r="F1376" s="15" t="str">
        <f aca="false">IF(D1376="","",ROUND((D1376-MIN($D$7:$D$9999))*86400,2))</f>
        <v/>
      </c>
      <c r="G1376" s="10" t="str">
        <f aca="false">IF(D1376="","",IF(D1376&lt;=($E$3*60+$F$3)/86400,"○",""))</f>
        <v/>
      </c>
      <c r="H1376" s="16" t="n">
        <v>0.00695833333333333</v>
      </c>
      <c r="I1376" s="17" t="n">
        <v>291</v>
      </c>
      <c r="J1376" s="16" t="n">
        <v>0.00278819444444445</v>
      </c>
      <c r="K1376" s="17" t="n">
        <v>234</v>
      </c>
      <c r="L1376" s="17" t="n">
        <f aca="false">COUNT(E1376,I1376,K1376)</f>
        <v>2</v>
      </c>
      <c r="M1376" s="18" t="n">
        <f aca="false">(D1376&lt;&gt;"")*(D1376&lt;=($E$3*60+$F$3)/86400)+(H1376&lt;&gt;"")*(H1376&lt;=($I$3*60+$J$3)/86400)+(J1376&lt;&gt;"")*(J1376&lt;=($M$3*60+$N$3)/86400)</f>
        <v>0</v>
      </c>
      <c r="N1376" s="20" t="s">
        <v>331</v>
      </c>
      <c r="O1376" s="20"/>
      <c r="P1376" s="20"/>
      <c r="Q1376" s="19"/>
    </row>
    <row r="1377" customFormat="false" ht="15" hidden="false" customHeight="false" outlineLevel="0" collapsed="false">
      <c r="A1377" s="10" t="n">
        <v>1371</v>
      </c>
      <c r="B1377" s="12" t="s">
        <v>2158</v>
      </c>
      <c r="C1377" s="12" t="s">
        <v>1360</v>
      </c>
      <c r="D1377" s="13"/>
      <c r="E1377" s="14"/>
      <c r="F1377" s="15" t="str">
        <f aca="false">IF(D1377="","",ROUND((D1377-MIN($D$7:$D$9999))*86400,2))</f>
        <v/>
      </c>
      <c r="G1377" s="10" t="str">
        <f aca="false">IF(D1377="","",IF(D1377&lt;=($E$3*60+$F$3)/86400,"○",""))</f>
        <v/>
      </c>
      <c r="H1377" s="16"/>
      <c r="I1377" s="17"/>
      <c r="J1377" s="16" t="n">
        <v>0.00278842592592593</v>
      </c>
      <c r="K1377" s="17" t="n">
        <v>235</v>
      </c>
      <c r="L1377" s="17" t="n">
        <f aca="false">COUNT(E1377,I1377,K1377)</f>
        <v>1</v>
      </c>
      <c r="M1377" s="18" t="n">
        <f aca="false">(D1377&lt;&gt;"")*(D1377&lt;=($E$3*60+$F$3)/86400)+(H1377&lt;&gt;"")*(H1377&lt;=($I$3*60+$J$3)/86400)+(J1377&lt;&gt;"")*(J1377&lt;=($M$3*60+$N$3)/86400)</f>
        <v>0</v>
      </c>
      <c r="N1377" s="20"/>
      <c r="O1377" s="20"/>
      <c r="P1377" s="20"/>
      <c r="Q1377" s="19"/>
    </row>
    <row r="1378" customFormat="false" ht="15" hidden="false" customHeight="false" outlineLevel="0" collapsed="false">
      <c r="A1378" s="10" t="n">
        <v>1372</v>
      </c>
      <c r="B1378" s="12" t="s">
        <v>2159</v>
      </c>
      <c r="C1378" s="12" t="s">
        <v>313</v>
      </c>
      <c r="D1378" s="13"/>
      <c r="E1378" s="14"/>
      <c r="F1378" s="15" t="str">
        <f aca="false">IF(D1378="","",ROUND((D1378-MIN($D$7:$D$9999))*86400,2))</f>
        <v/>
      </c>
      <c r="G1378" s="10" t="str">
        <f aca="false">IF(D1378="","",IF(D1378&lt;=($E$3*60+$F$3)/86400,"○",""))</f>
        <v/>
      </c>
      <c r="H1378" s="16" t="n">
        <v>0.00689525462962963</v>
      </c>
      <c r="I1378" s="17" t="n">
        <v>237</v>
      </c>
      <c r="J1378" s="16"/>
      <c r="K1378" s="17"/>
      <c r="L1378" s="17" t="n">
        <f aca="false">COUNT(E1378,I1378,K1378)</f>
        <v>1</v>
      </c>
      <c r="M1378" s="18" t="n">
        <f aca="false">(D1378&lt;&gt;"")*(D1378&lt;=($E$3*60+$F$3)/86400)+(H1378&lt;&gt;"")*(H1378&lt;=($I$3*60+$J$3)/86400)+(J1378&lt;&gt;"")*(J1378&lt;=($M$3*60+$N$3)/86400)</f>
        <v>0</v>
      </c>
      <c r="N1378" s="20" t="s">
        <v>1337</v>
      </c>
      <c r="O1378" s="20"/>
      <c r="P1378" s="20"/>
      <c r="Q1378" s="19"/>
    </row>
    <row r="1379" customFormat="false" ht="15" hidden="false" customHeight="false" outlineLevel="0" collapsed="false">
      <c r="A1379" s="10" t="n">
        <v>1373</v>
      </c>
      <c r="B1379" s="12" t="s">
        <v>2160</v>
      </c>
      <c r="C1379" s="12" t="s">
        <v>2161</v>
      </c>
      <c r="D1379" s="13"/>
      <c r="E1379" s="14"/>
      <c r="F1379" s="15" t="str">
        <f aca="false">IF(D1379="","",ROUND((D1379-MIN($D$7:$D$9999))*86400,2))</f>
        <v/>
      </c>
      <c r="G1379" s="10" t="str">
        <f aca="false">IF(D1379="","",IF(D1379&lt;=($E$3*60+$F$3)/86400,"○",""))</f>
        <v/>
      </c>
      <c r="H1379" s="16" t="n">
        <v>0.00689710648148148</v>
      </c>
      <c r="I1379" s="17" t="n">
        <v>238</v>
      </c>
      <c r="J1379" s="16" t="n">
        <v>0.00291215277777778</v>
      </c>
      <c r="K1379" s="17" t="n">
        <v>1038</v>
      </c>
      <c r="L1379" s="17" t="n">
        <f aca="false">COUNT(E1379,I1379,K1379)</f>
        <v>2</v>
      </c>
      <c r="M1379" s="18" t="n">
        <f aca="false">(D1379&lt;&gt;"")*(D1379&lt;=($E$3*60+$F$3)/86400)+(H1379&lt;&gt;"")*(H1379&lt;=($I$3*60+$J$3)/86400)+(J1379&lt;&gt;"")*(J1379&lt;=($M$3*60+$N$3)/86400)</f>
        <v>0</v>
      </c>
      <c r="N1379" s="20"/>
      <c r="O1379" s="20"/>
      <c r="P1379" s="20"/>
      <c r="Q1379" s="19"/>
    </row>
    <row r="1380" customFormat="false" ht="15" hidden="false" customHeight="false" outlineLevel="0" collapsed="false">
      <c r="A1380" s="10" t="n">
        <v>1374</v>
      </c>
      <c r="B1380" s="12" t="s">
        <v>2162</v>
      </c>
      <c r="C1380" s="12" t="s">
        <v>601</v>
      </c>
      <c r="D1380" s="13"/>
      <c r="E1380" s="14"/>
      <c r="F1380" s="15" t="str">
        <f aca="false">IF(D1380="","",ROUND((D1380-MIN($D$7:$D$9999))*86400,2))</f>
        <v/>
      </c>
      <c r="G1380" s="10" t="str">
        <f aca="false">IF(D1380="","",IF(D1380&lt;=($E$3*60+$F$3)/86400,"○",""))</f>
        <v/>
      </c>
      <c r="H1380" s="16"/>
      <c r="I1380" s="17"/>
      <c r="J1380" s="16" t="n">
        <v>0.00278923611111111</v>
      </c>
      <c r="K1380" s="17" t="n">
        <v>238</v>
      </c>
      <c r="L1380" s="17" t="n">
        <f aca="false">COUNT(E1380,I1380,K1380)</f>
        <v>1</v>
      </c>
      <c r="M1380" s="18" t="n">
        <f aca="false">(D1380&lt;&gt;"")*(D1380&lt;=($E$3*60+$F$3)/86400)+(H1380&lt;&gt;"")*(H1380&lt;=($I$3*60+$J$3)/86400)+(J1380&lt;&gt;"")*(J1380&lt;=($M$3*60+$N$3)/86400)</f>
        <v>0</v>
      </c>
      <c r="N1380" s="20"/>
      <c r="O1380" s="20"/>
      <c r="P1380" s="20"/>
      <c r="Q1380" s="19"/>
    </row>
    <row r="1381" customFormat="false" ht="15" hidden="false" customHeight="false" outlineLevel="0" collapsed="false">
      <c r="A1381" s="10" t="n">
        <v>1375</v>
      </c>
      <c r="B1381" s="12" t="s">
        <v>2163</v>
      </c>
      <c r="C1381" s="12" t="s">
        <v>522</v>
      </c>
      <c r="D1381" s="13"/>
      <c r="E1381" s="14"/>
      <c r="F1381" s="15" t="str">
        <f aca="false">IF(D1381="","",ROUND((D1381-MIN($D$7:$D$9999))*86400,2))</f>
        <v/>
      </c>
      <c r="G1381" s="10" t="str">
        <f aca="false">IF(D1381="","",IF(D1381&lt;=($E$3*60+$F$3)/86400,"○",""))</f>
        <v/>
      </c>
      <c r="H1381" s="16"/>
      <c r="I1381" s="17"/>
      <c r="J1381" s="16" t="n">
        <v>0.00279027777777778</v>
      </c>
      <c r="K1381" s="17" t="n">
        <v>240</v>
      </c>
      <c r="L1381" s="17" t="n">
        <f aca="false">COUNT(E1381,I1381,K1381)</f>
        <v>1</v>
      </c>
      <c r="M1381" s="18" t="n">
        <f aca="false">(D1381&lt;&gt;"")*(D1381&lt;=($E$3*60+$F$3)/86400)+(H1381&lt;&gt;"")*(H1381&lt;=($I$3*60+$J$3)/86400)+(J1381&lt;&gt;"")*(J1381&lt;=($M$3*60+$N$3)/86400)</f>
        <v>0</v>
      </c>
      <c r="N1381" s="20"/>
      <c r="O1381" s="20"/>
      <c r="P1381" s="20"/>
      <c r="Q1381" s="19"/>
    </row>
    <row r="1382" customFormat="false" ht="15" hidden="false" customHeight="false" outlineLevel="0" collapsed="false">
      <c r="A1382" s="10" t="n">
        <v>1376</v>
      </c>
      <c r="B1382" s="12" t="s">
        <v>2164</v>
      </c>
      <c r="C1382" s="12" t="s">
        <v>389</v>
      </c>
      <c r="D1382" s="13"/>
      <c r="E1382" s="14"/>
      <c r="F1382" s="15" t="str">
        <f aca="false">IF(D1382="","",ROUND((D1382-MIN($D$7:$D$9999))*86400,2))</f>
        <v/>
      </c>
      <c r="G1382" s="10" t="str">
        <f aca="false">IF(D1382="","",IF(D1382&lt;=($E$3*60+$F$3)/86400,"○",""))</f>
        <v/>
      </c>
      <c r="H1382" s="16" t="n">
        <v>0.00690069444444445</v>
      </c>
      <c r="I1382" s="17" t="n">
        <v>242</v>
      </c>
      <c r="J1382" s="16"/>
      <c r="K1382" s="17"/>
      <c r="L1382" s="17" t="n">
        <f aca="false">COUNT(E1382,I1382,K1382)</f>
        <v>1</v>
      </c>
      <c r="M1382" s="18" t="n">
        <f aca="false">(D1382&lt;&gt;"")*(D1382&lt;=($E$3*60+$F$3)/86400)+(H1382&lt;&gt;"")*(H1382&lt;=($I$3*60+$J$3)/86400)+(J1382&lt;&gt;"")*(J1382&lt;=($M$3*60+$N$3)/86400)</f>
        <v>0</v>
      </c>
      <c r="N1382" s="20" t="s">
        <v>2165</v>
      </c>
      <c r="O1382" s="20"/>
      <c r="P1382" s="20"/>
      <c r="Q1382" s="19"/>
    </row>
    <row r="1383" customFormat="false" ht="15" hidden="false" customHeight="false" outlineLevel="0" collapsed="false">
      <c r="A1383" s="10" t="n">
        <v>1377</v>
      </c>
      <c r="B1383" s="12" t="s">
        <v>2166</v>
      </c>
      <c r="C1383" s="12" t="s">
        <v>195</v>
      </c>
      <c r="D1383" s="13"/>
      <c r="E1383" s="14"/>
      <c r="F1383" s="15" t="str">
        <f aca="false">IF(D1383="","",ROUND((D1383-MIN($D$7:$D$9999))*86400,2))</f>
        <v/>
      </c>
      <c r="G1383" s="10" t="str">
        <f aca="false">IF(D1383="","",IF(D1383&lt;=($E$3*60+$F$3)/86400,"○",""))</f>
        <v/>
      </c>
      <c r="H1383" s="16"/>
      <c r="I1383" s="17"/>
      <c r="J1383" s="16" t="n">
        <v>0.00279039351851852</v>
      </c>
      <c r="K1383" s="17" t="n">
        <v>242</v>
      </c>
      <c r="L1383" s="17" t="n">
        <f aca="false">COUNT(E1383,I1383,K1383)</f>
        <v>1</v>
      </c>
      <c r="M1383" s="18" t="n">
        <f aca="false">(D1383&lt;&gt;"")*(D1383&lt;=($E$3*60+$F$3)/86400)+(H1383&lt;&gt;"")*(H1383&lt;=($I$3*60+$J$3)/86400)+(J1383&lt;&gt;"")*(J1383&lt;=($M$3*60+$N$3)/86400)</f>
        <v>0</v>
      </c>
      <c r="N1383" s="20"/>
      <c r="O1383" s="20"/>
      <c r="P1383" s="20"/>
      <c r="Q1383" s="19"/>
    </row>
    <row r="1384" customFormat="false" ht="15" hidden="false" customHeight="false" outlineLevel="0" collapsed="false">
      <c r="A1384" s="10" t="n">
        <v>1378</v>
      </c>
      <c r="B1384" s="12" t="s">
        <v>2167</v>
      </c>
      <c r="C1384" s="12" t="s">
        <v>2168</v>
      </c>
      <c r="D1384" s="13"/>
      <c r="E1384" s="14"/>
      <c r="F1384" s="15" t="str">
        <f aca="false">IF(D1384="","",ROUND((D1384-MIN($D$7:$D$9999))*86400,2))</f>
        <v/>
      </c>
      <c r="G1384" s="10" t="str">
        <f aca="false">IF(D1384="","",IF(D1384&lt;=($E$3*60+$F$3)/86400,"○",""))</f>
        <v/>
      </c>
      <c r="H1384" s="16" t="n">
        <v>0.00690162037037037</v>
      </c>
      <c r="I1384" s="17" t="n">
        <v>243</v>
      </c>
      <c r="J1384" s="16"/>
      <c r="K1384" s="17"/>
      <c r="L1384" s="17" t="n">
        <f aca="false">COUNT(E1384,I1384,K1384)</f>
        <v>1</v>
      </c>
      <c r="M1384" s="18" t="n">
        <f aca="false">(D1384&lt;&gt;"")*(D1384&lt;=($E$3*60+$F$3)/86400)+(H1384&lt;&gt;"")*(H1384&lt;=($I$3*60+$J$3)/86400)+(J1384&lt;&gt;"")*(J1384&lt;=($M$3*60+$N$3)/86400)</f>
        <v>0</v>
      </c>
      <c r="N1384" s="20"/>
      <c r="O1384" s="20"/>
      <c r="P1384" s="20"/>
      <c r="Q1384" s="19"/>
    </row>
    <row r="1385" customFormat="false" ht="15" hidden="false" customHeight="false" outlineLevel="0" collapsed="false">
      <c r="A1385" s="10" t="n">
        <v>1379</v>
      </c>
      <c r="B1385" s="12" t="s">
        <v>2169</v>
      </c>
      <c r="C1385" s="12" t="s">
        <v>83</v>
      </c>
      <c r="D1385" s="13"/>
      <c r="E1385" s="14"/>
      <c r="F1385" s="15" t="str">
        <f aca="false">IF(D1385="","",ROUND((D1385-MIN($D$7:$D$9999))*86400,2))</f>
        <v/>
      </c>
      <c r="G1385" s="10" t="str">
        <f aca="false">IF(D1385="","",IF(D1385&lt;=($E$3*60+$F$3)/86400,"○",""))</f>
        <v/>
      </c>
      <c r="H1385" s="16"/>
      <c r="I1385" s="17"/>
      <c r="J1385" s="16" t="n">
        <v>0.0027912037037037</v>
      </c>
      <c r="K1385" s="17" t="n">
        <v>245</v>
      </c>
      <c r="L1385" s="17" t="n">
        <f aca="false">COUNT(E1385,I1385,K1385)</f>
        <v>1</v>
      </c>
      <c r="M1385" s="18" t="n">
        <f aca="false">(D1385&lt;&gt;"")*(D1385&lt;=($E$3*60+$F$3)/86400)+(H1385&lt;&gt;"")*(H1385&lt;=($I$3*60+$J$3)/86400)+(J1385&lt;&gt;"")*(J1385&lt;=($M$3*60+$N$3)/86400)</f>
        <v>0</v>
      </c>
      <c r="N1385" s="20"/>
      <c r="O1385" s="20"/>
      <c r="P1385" s="20"/>
      <c r="Q1385" s="19"/>
    </row>
    <row r="1386" customFormat="false" ht="15" hidden="false" customHeight="false" outlineLevel="0" collapsed="false">
      <c r="A1386" s="10" t="n">
        <v>1380</v>
      </c>
      <c r="B1386" s="12" t="s">
        <v>2170</v>
      </c>
      <c r="C1386" s="12" t="s">
        <v>2117</v>
      </c>
      <c r="D1386" s="13"/>
      <c r="E1386" s="14"/>
      <c r="F1386" s="15" t="str">
        <f aca="false">IF(D1386="","",ROUND((D1386-MIN($D$7:$D$9999))*86400,2))</f>
        <v/>
      </c>
      <c r="G1386" s="10" t="str">
        <f aca="false">IF(D1386="","",IF(D1386&lt;=($E$3*60+$F$3)/86400,"○",""))</f>
        <v/>
      </c>
      <c r="H1386" s="16" t="n">
        <v>0.00690555555555556</v>
      </c>
      <c r="I1386" s="17" t="n">
        <v>246</v>
      </c>
      <c r="J1386" s="16"/>
      <c r="K1386" s="17"/>
      <c r="L1386" s="17" t="n">
        <f aca="false">COUNT(E1386,I1386,K1386)</f>
        <v>1</v>
      </c>
      <c r="M1386" s="18" t="n">
        <f aca="false">(D1386&lt;&gt;"")*(D1386&lt;=($E$3*60+$F$3)/86400)+(H1386&lt;&gt;"")*(H1386&lt;=($I$3*60+$J$3)/86400)+(J1386&lt;&gt;"")*(J1386&lt;=($M$3*60+$N$3)/86400)</f>
        <v>0</v>
      </c>
      <c r="N1386" s="20"/>
      <c r="O1386" s="20"/>
      <c r="P1386" s="20"/>
      <c r="Q1386" s="19"/>
    </row>
    <row r="1387" customFormat="false" ht="15" hidden="false" customHeight="false" outlineLevel="0" collapsed="false">
      <c r="A1387" s="10" t="n">
        <v>1381</v>
      </c>
      <c r="B1387" s="12" t="s">
        <v>2171</v>
      </c>
      <c r="C1387" s="12" t="s">
        <v>2172</v>
      </c>
      <c r="D1387" s="13"/>
      <c r="E1387" s="14"/>
      <c r="F1387" s="15" t="str">
        <f aca="false">IF(D1387="","",ROUND((D1387-MIN($D$7:$D$9999))*86400,2))</f>
        <v/>
      </c>
      <c r="G1387" s="10" t="str">
        <f aca="false">IF(D1387="","",IF(D1387&lt;=($E$3*60+$F$3)/86400,"○",""))</f>
        <v/>
      </c>
      <c r="H1387" s="16" t="n">
        <v>0.00690659722222222</v>
      </c>
      <c r="I1387" s="17" t="n">
        <v>249</v>
      </c>
      <c r="J1387" s="16" t="n">
        <v>0.00287303240740741</v>
      </c>
      <c r="K1387" s="17" t="n">
        <v>721</v>
      </c>
      <c r="L1387" s="17" t="n">
        <f aca="false">COUNT(E1387,I1387,K1387)</f>
        <v>2</v>
      </c>
      <c r="M1387" s="18" t="n">
        <f aca="false">(D1387&lt;&gt;"")*(D1387&lt;=($E$3*60+$F$3)/86400)+(H1387&lt;&gt;"")*(H1387&lt;=($I$3*60+$J$3)/86400)+(J1387&lt;&gt;"")*(J1387&lt;=($M$3*60+$N$3)/86400)</f>
        <v>0</v>
      </c>
      <c r="N1387" s="20"/>
      <c r="O1387" s="20"/>
      <c r="P1387" s="20"/>
      <c r="Q1387" s="19"/>
    </row>
    <row r="1388" customFormat="false" ht="15" hidden="false" customHeight="false" outlineLevel="0" collapsed="false">
      <c r="A1388" s="10" t="n">
        <v>1382</v>
      </c>
      <c r="B1388" s="12" t="s">
        <v>2173</v>
      </c>
      <c r="C1388" s="12" t="s">
        <v>2174</v>
      </c>
      <c r="D1388" s="13"/>
      <c r="E1388" s="14"/>
      <c r="F1388" s="15" t="str">
        <f aca="false">IF(D1388="","",ROUND((D1388-MIN($D$7:$D$9999))*86400,2))</f>
        <v/>
      </c>
      <c r="G1388" s="10" t="str">
        <f aca="false">IF(D1388="","",IF(D1388&lt;=($E$3*60+$F$3)/86400,"○",""))</f>
        <v/>
      </c>
      <c r="H1388" s="16" t="n">
        <v>0.00691018518518519</v>
      </c>
      <c r="I1388" s="17" t="n">
        <v>250</v>
      </c>
      <c r="J1388" s="16"/>
      <c r="K1388" s="17"/>
      <c r="L1388" s="17" t="n">
        <f aca="false">COUNT(E1388,I1388,K1388)</f>
        <v>1</v>
      </c>
      <c r="M1388" s="18" t="n">
        <f aca="false">(D1388&lt;&gt;"")*(D1388&lt;=($E$3*60+$F$3)/86400)+(H1388&lt;&gt;"")*(H1388&lt;=($I$3*60+$J$3)/86400)+(J1388&lt;&gt;"")*(J1388&lt;=($M$3*60+$N$3)/86400)</f>
        <v>0</v>
      </c>
      <c r="N1388" s="20"/>
      <c r="O1388" s="20"/>
      <c r="P1388" s="20"/>
      <c r="Q1388" s="19"/>
    </row>
    <row r="1389" customFormat="false" ht="15" hidden="false" customHeight="false" outlineLevel="0" collapsed="false">
      <c r="A1389" s="10" t="n">
        <v>1383</v>
      </c>
      <c r="B1389" s="12" t="s">
        <v>2175</v>
      </c>
      <c r="C1389" s="12" t="s">
        <v>2176</v>
      </c>
      <c r="D1389" s="13"/>
      <c r="E1389" s="14"/>
      <c r="F1389" s="15" t="str">
        <f aca="false">IF(D1389="","",ROUND((D1389-MIN($D$7:$D$9999))*86400,2))</f>
        <v/>
      </c>
      <c r="G1389" s="10" t="str">
        <f aca="false">IF(D1389="","",IF(D1389&lt;=($E$3*60+$F$3)/86400,"○",""))</f>
        <v/>
      </c>
      <c r="H1389" s="16" t="n">
        <v>0.00691747685185185</v>
      </c>
      <c r="I1389" s="17" t="n">
        <v>253</v>
      </c>
      <c r="J1389" s="16" t="n">
        <v>0.00288518518518519</v>
      </c>
      <c r="K1389" s="17" t="n">
        <v>819</v>
      </c>
      <c r="L1389" s="17" t="n">
        <f aca="false">COUNT(E1389,I1389,K1389)</f>
        <v>2</v>
      </c>
      <c r="M1389" s="18" t="n">
        <f aca="false">(D1389&lt;&gt;"")*(D1389&lt;=($E$3*60+$F$3)/86400)+(H1389&lt;&gt;"")*(H1389&lt;=($I$3*60+$J$3)/86400)+(J1389&lt;&gt;"")*(J1389&lt;=($M$3*60+$N$3)/86400)</f>
        <v>0</v>
      </c>
      <c r="N1389" s="20"/>
      <c r="O1389" s="20"/>
      <c r="P1389" s="20"/>
      <c r="Q1389" s="19"/>
    </row>
    <row r="1390" customFormat="false" ht="15" hidden="false" customHeight="false" outlineLevel="0" collapsed="false">
      <c r="A1390" s="10" t="n">
        <v>1384</v>
      </c>
      <c r="B1390" s="12" t="s">
        <v>2177</v>
      </c>
      <c r="C1390" s="12" t="s">
        <v>742</v>
      </c>
      <c r="D1390" s="13"/>
      <c r="E1390" s="14"/>
      <c r="F1390" s="15" t="str">
        <f aca="false">IF(D1390="","",ROUND((D1390-MIN($D$7:$D$9999))*86400,2))</f>
        <v/>
      </c>
      <c r="G1390" s="10" t="str">
        <f aca="false">IF(D1390="","",IF(D1390&lt;=($E$3*60+$F$3)/86400,"○",""))</f>
        <v/>
      </c>
      <c r="H1390" s="16"/>
      <c r="I1390" s="17"/>
      <c r="J1390" s="16" t="n">
        <v>0.00279409722222222</v>
      </c>
      <c r="K1390" s="17" t="n">
        <v>254</v>
      </c>
      <c r="L1390" s="17" t="n">
        <f aca="false">COUNT(E1390,I1390,K1390)</f>
        <v>1</v>
      </c>
      <c r="M1390" s="18" t="n">
        <f aca="false">(D1390&lt;&gt;"")*(D1390&lt;=($E$3*60+$F$3)/86400)+(H1390&lt;&gt;"")*(H1390&lt;=($I$3*60+$J$3)/86400)+(J1390&lt;&gt;"")*(J1390&lt;=($M$3*60+$N$3)/86400)</f>
        <v>0</v>
      </c>
      <c r="N1390" s="20" t="s">
        <v>2178</v>
      </c>
      <c r="O1390" s="20"/>
      <c r="P1390" s="20"/>
      <c r="Q1390" s="19"/>
    </row>
    <row r="1391" customFormat="false" ht="15" hidden="false" customHeight="false" outlineLevel="0" collapsed="false">
      <c r="A1391" s="10" t="n">
        <v>1385</v>
      </c>
      <c r="B1391" s="12" t="s">
        <v>2179</v>
      </c>
      <c r="C1391" s="12" t="s">
        <v>1094</v>
      </c>
      <c r="D1391" s="13"/>
      <c r="E1391" s="14"/>
      <c r="F1391" s="15" t="str">
        <f aca="false">IF(D1391="","",ROUND((D1391-MIN($D$7:$D$9999))*86400,2))</f>
        <v/>
      </c>
      <c r="G1391" s="10" t="str">
        <f aca="false">IF(D1391="","",IF(D1391&lt;=($E$3*60+$F$3)/86400,"○",""))</f>
        <v/>
      </c>
      <c r="H1391" s="16" t="n">
        <v>0.0069193287037037</v>
      </c>
      <c r="I1391" s="17" t="n">
        <v>255</v>
      </c>
      <c r="J1391" s="16" t="n">
        <v>0.0028662037037037</v>
      </c>
      <c r="K1391" s="17" t="n">
        <v>671</v>
      </c>
      <c r="L1391" s="17" t="n">
        <f aca="false">COUNT(E1391,I1391,K1391)</f>
        <v>2</v>
      </c>
      <c r="M1391" s="18" t="n">
        <f aca="false">(D1391&lt;&gt;"")*(D1391&lt;=($E$3*60+$F$3)/86400)+(H1391&lt;&gt;"")*(H1391&lt;=($I$3*60+$J$3)/86400)+(J1391&lt;&gt;"")*(J1391&lt;=($M$3*60+$N$3)/86400)</f>
        <v>0</v>
      </c>
      <c r="N1391" s="20"/>
      <c r="O1391" s="20"/>
      <c r="P1391" s="20"/>
      <c r="Q1391" s="19"/>
    </row>
    <row r="1392" customFormat="false" ht="15" hidden="false" customHeight="false" outlineLevel="0" collapsed="false">
      <c r="A1392" s="10" t="n">
        <v>1386</v>
      </c>
      <c r="B1392" s="12" t="s">
        <v>2180</v>
      </c>
      <c r="C1392" s="12" t="s">
        <v>320</v>
      </c>
      <c r="D1392" s="13"/>
      <c r="E1392" s="14"/>
      <c r="F1392" s="15" t="str">
        <f aca="false">IF(D1392="","",ROUND((D1392-MIN($D$7:$D$9999))*86400,2))</f>
        <v/>
      </c>
      <c r="G1392" s="10" t="str">
        <f aca="false">IF(D1392="","",IF(D1392&lt;=($E$3*60+$F$3)/86400,"○",""))</f>
        <v/>
      </c>
      <c r="H1392" s="16"/>
      <c r="I1392" s="17"/>
      <c r="J1392" s="16" t="n">
        <v>0.00279421296296296</v>
      </c>
      <c r="K1392" s="17" t="n">
        <v>255</v>
      </c>
      <c r="L1392" s="17" t="n">
        <f aca="false">COUNT(E1392,I1392,K1392)</f>
        <v>1</v>
      </c>
      <c r="M1392" s="18" t="n">
        <f aca="false">(D1392&lt;&gt;"")*(D1392&lt;=($E$3*60+$F$3)/86400)+(H1392&lt;&gt;"")*(H1392&lt;=($I$3*60+$J$3)/86400)+(J1392&lt;&gt;"")*(J1392&lt;=($M$3*60+$N$3)/86400)</f>
        <v>0</v>
      </c>
      <c r="N1392" s="20"/>
      <c r="O1392" s="20"/>
      <c r="P1392" s="20"/>
      <c r="Q1392" s="19"/>
    </row>
    <row r="1393" customFormat="false" ht="15" hidden="false" customHeight="false" outlineLevel="0" collapsed="false">
      <c r="A1393" s="10" t="n">
        <v>1387</v>
      </c>
      <c r="B1393" s="12" t="s">
        <v>2181</v>
      </c>
      <c r="C1393" s="12" t="s">
        <v>2182</v>
      </c>
      <c r="D1393" s="13"/>
      <c r="E1393" s="14"/>
      <c r="F1393" s="15" t="str">
        <f aca="false">IF(D1393="","",ROUND((D1393-MIN($D$7:$D$9999))*86400,2))</f>
        <v/>
      </c>
      <c r="G1393" s="10" t="str">
        <f aca="false">IF(D1393="","",IF(D1393&lt;=($E$3*60+$F$3)/86400,"○",""))</f>
        <v/>
      </c>
      <c r="H1393" s="16" t="n">
        <v>0.00692048611111111</v>
      </c>
      <c r="I1393" s="17" t="n">
        <v>256</v>
      </c>
      <c r="J1393" s="16"/>
      <c r="K1393" s="17"/>
      <c r="L1393" s="17" t="n">
        <f aca="false">COUNT(E1393,I1393,K1393)</f>
        <v>1</v>
      </c>
      <c r="M1393" s="18" t="n">
        <f aca="false">(D1393&lt;&gt;"")*(D1393&lt;=($E$3*60+$F$3)/86400)+(H1393&lt;&gt;"")*(H1393&lt;=($I$3*60+$J$3)/86400)+(J1393&lt;&gt;"")*(J1393&lt;=($M$3*60+$N$3)/86400)</f>
        <v>0</v>
      </c>
      <c r="N1393" s="20"/>
      <c r="O1393" s="20"/>
      <c r="P1393" s="20"/>
      <c r="Q1393" s="19"/>
    </row>
    <row r="1394" customFormat="false" ht="15" hidden="false" customHeight="false" outlineLevel="0" collapsed="false">
      <c r="A1394" s="10" t="n">
        <v>1388</v>
      </c>
      <c r="B1394" s="12" t="s">
        <v>2183</v>
      </c>
      <c r="C1394" s="12" t="s">
        <v>214</v>
      </c>
      <c r="D1394" s="13"/>
      <c r="E1394" s="14"/>
      <c r="F1394" s="15" t="str">
        <f aca="false">IF(D1394="","",ROUND((D1394-MIN($D$7:$D$9999))*86400,2))</f>
        <v/>
      </c>
      <c r="G1394" s="10" t="str">
        <f aca="false">IF(D1394="","",IF(D1394&lt;=($E$3*60+$F$3)/86400,"○",""))</f>
        <v/>
      </c>
      <c r="H1394" s="16"/>
      <c r="I1394" s="17"/>
      <c r="J1394" s="16" t="n">
        <v>0.0027943287037037</v>
      </c>
      <c r="K1394" s="17" t="n">
        <v>256</v>
      </c>
      <c r="L1394" s="17" t="n">
        <f aca="false">COUNT(E1394,I1394,K1394)</f>
        <v>1</v>
      </c>
      <c r="M1394" s="18" t="n">
        <f aca="false">(D1394&lt;&gt;"")*(D1394&lt;=($E$3*60+$F$3)/86400)+(H1394&lt;&gt;"")*(H1394&lt;=($I$3*60+$J$3)/86400)+(J1394&lt;&gt;"")*(J1394&lt;=($M$3*60+$N$3)/86400)</f>
        <v>0</v>
      </c>
      <c r="N1394" s="20"/>
      <c r="O1394" s="20"/>
      <c r="P1394" s="20"/>
      <c r="Q1394" s="19"/>
    </row>
    <row r="1395" customFormat="false" ht="15" hidden="false" customHeight="false" outlineLevel="0" collapsed="false">
      <c r="A1395" s="10" t="n">
        <v>1389</v>
      </c>
      <c r="B1395" s="12" t="s">
        <v>2184</v>
      </c>
      <c r="C1395" s="12" t="s">
        <v>2119</v>
      </c>
      <c r="D1395" s="13"/>
      <c r="E1395" s="14"/>
      <c r="F1395" s="15" t="str">
        <f aca="false">IF(D1395="","",ROUND((D1395-MIN($D$7:$D$9999))*86400,2))</f>
        <v/>
      </c>
      <c r="G1395" s="10" t="str">
        <f aca="false">IF(D1395="","",IF(D1395&lt;=($E$3*60+$F$3)/86400,"○",""))</f>
        <v/>
      </c>
      <c r="H1395" s="16" t="n">
        <v>0.00692094907407407</v>
      </c>
      <c r="I1395" s="17" t="n">
        <v>258</v>
      </c>
      <c r="J1395" s="16"/>
      <c r="K1395" s="17"/>
      <c r="L1395" s="17" t="n">
        <f aca="false">COUNT(E1395,I1395,K1395)</f>
        <v>1</v>
      </c>
      <c r="M1395" s="18" t="n">
        <f aca="false">(D1395&lt;&gt;"")*(D1395&lt;=($E$3*60+$F$3)/86400)+(H1395&lt;&gt;"")*(H1395&lt;=($I$3*60+$J$3)/86400)+(J1395&lt;&gt;"")*(J1395&lt;=($M$3*60+$N$3)/86400)</f>
        <v>0</v>
      </c>
      <c r="N1395" s="20"/>
      <c r="O1395" s="20"/>
      <c r="P1395" s="20"/>
      <c r="Q1395" s="19"/>
    </row>
    <row r="1396" customFormat="false" ht="15" hidden="false" customHeight="false" outlineLevel="0" collapsed="false">
      <c r="A1396" s="10" t="n">
        <v>1390</v>
      </c>
      <c r="B1396" s="12" t="s">
        <v>2185</v>
      </c>
      <c r="C1396" s="12" t="s">
        <v>1106</v>
      </c>
      <c r="D1396" s="13"/>
      <c r="E1396" s="14"/>
      <c r="F1396" s="15" t="str">
        <f aca="false">IF(D1396="","",ROUND((D1396-MIN($D$7:$D$9999))*86400,2))</f>
        <v/>
      </c>
      <c r="G1396" s="10" t="str">
        <f aca="false">IF(D1396="","",IF(D1396&lt;=($E$3*60+$F$3)/86400,"○",""))</f>
        <v/>
      </c>
      <c r="H1396" s="16"/>
      <c r="I1396" s="17"/>
      <c r="J1396" s="16" t="n">
        <v>0.00279525462962963</v>
      </c>
      <c r="K1396" s="17" t="n">
        <v>259</v>
      </c>
      <c r="L1396" s="17" t="n">
        <f aca="false">COUNT(E1396,I1396,K1396)</f>
        <v>1</v>
      </c>
      <c r="M1396" s="18" t="n">
        <f aca="false">(D1396&lt;&gt;"")*(D1396&lt;=($E$3*60+$F$3)/86400)+(H1396&lt;&gt;"")*(H1396&lt;=($I$3*60+$J$3)/86400)+(J1396&lt;&gt;"")*(J1396&lt;=($M$3*60+$N$3)/86400)</f>
        <v>0</v>
      </c>
      <c r="N1396" s="20"/>
      <c r="O1396" s="20"/>
      <c r="P1396" s="20"/>
      <c r="Q1396" s="19"/>
    </row>
    <row r="1397" customFormat="false" ht="15" hidden="false" customHeight="false" outlineLevel="0" collapsed="false">
      <c r="A1397" s="10" t="n">
        <v>1391</v>
      </c>
      <c r="B1397" s="12" t="s">
        <v>2186</v>
      </c>
      <c r="C1397" s="12" t="s">
        <v>2052</v>
      </c>
      <c r="D1397" s="13"/>
      <c r="E1397" s="14"/>
      <c r="F1397" s="15" t="str">
        <f aca="false">IF(D1397="","",ROUND((D1397-MIN($D$7:$D$9999))*86400,2))</f>
        <v/>
      </c>
      <c r="G1397" s="10" t="str">
        <f aca="false">IF(D1397="","",IF(D1397&lt;=($E$3*60+$F$3)/86400,"○",""))</f>
        <v/>
      </c>
      <c r="H1397" s="16" t="n">
        <v>0.00692233796296296</v>
      </c>
      <c r="I1397" s="17" t="n">
        <v>260</v>
      </c>
      <c r="J1397" s="16"/>
      <c r="K1397" s="17"/>
      <c r="L1397" s="17" t="n">
        <f aca="false">COUNT(E1397,I1397,K1397)</f>
        <v>1</v>
      </c>
      <c r="M1397" s="18" t="n">
        <f aca="false">(D1397&lt;&gt;"")*(D1397&lt;=($E$3*60+$F$3)/86400)+(H1397&lt;&gt;"")*(H1397&lt;=($I$3*60+$J$3)/86400)+(J1397&lt;&gt;"")*(J1397&lt;=($M$3*60+$N$3)/86400)</f>
        <v>0</v>
      </c>
      <c r="N1397" s="20"/>
      <c r="O1397" s="20"/>
      <c r="P1397" s="20"/>
      <c r="Q1397" s="19"/>
    </row>
    <row r="1398" customFormat="false" ht="15" hidden="false" customHeight="false" outlineLevel="0" collapsed="false">
      <c r="A1398" s="10" t="n">
        <v>1392</v>
      </c>
      <c r="B1398" s="12" t="s">
        <v>2187</v>
      </c>
      <c r="C1398" s="12" t="s">
        <v>2188</v>
      </c>
      <c r="D1398" s="13"/>
      <c r="E1398" s="14"/>
      <c r="F1398" s="15" t="str">
        <f aca="false">IF(D1398="","",ROUND((D1398-MIN($D$7:$D$9999))*86400,2))</f>
        <v/>
      </c>
      <c r="G1398" s="10" t="str">
        <f aca="false">IF(D1398="","",IF(D1398&lt;=($E$3*60+$F$3)/86400,"○",""))</f>
        <v/>
      </c>
      <c r="H1398" s="16" t="n">
        <v>0.00692268518518519</v>
      </c>
      <c r="I1398" s="17" t="n">
        <v>261</v>
      </c>
      <c r="J1398" s="16" t="n">
        <v>0.00291805555555556</v>
      </c>
      <c r="K1398" s="17" t="n">
        <v>1076</v>
      </c>
      <c r="L1398" s="17" t="n">
        <f aca="false">COUNT(E1398,I1398,K1398)</f>
        <v>2</v>
      </c>
      <c r="M1398" s="18" t="n">
        <f aca="false">(D1398&lt;&gt;"")*(D1398&lt;=($E$3*60+$F$3)/86400)+(H1398&lt;&gt;"")*(H1398&lt;=($I$3*60+$J$3)/86400)+(J1398&lt;&gt;"")*(J1398&lt;=($M$3*60+$N$3)/86400)</f>
        <v>0</v>
      </c>
      <c r="N1398" s="20"/>
      <c r="O1398" s="20"/>
      <c r="P1398" s="20"/>
      <c r="Q1398" s="19"/>
    </row>
    <row r="1399" customFormat="false" ht="15" hidden="false" customHeight="false" outlineLevel="0" collapsed="false">
      <c r="A1399" s="10" t="n">
        <v>1393</v>
      </c>
      <c r="B1399" s="12" t="s">
        <v>2189</v>
      </c>
      <c r="C1399" s="12" t="s">
        <v>1346</v>
      </c>
      <c r="D1399" s="13"/>
      <c r="E1399" s="14"/>
      <c r="F1399" s="15" t="str">
        <f aca="false">IF(D1399="","",ROUND((D1399-MIN($D$7:$D$9999))*86400,2))</f>
        <v/>
      </c>
      <c r="G1399" s="10" t="str">
        <f aca="false">IF(D1399="","",IF(D1399&lt;=($E$3*60+$F$3)/86400,"○",""))</f>
        <v/>
      </c>
      <c r="H1399" s="16" t="n">
        <v>0.00692280092592593</v>
      </c>
      <c r="I1399" s="17" t="n">
        <v>262</v>
      </c>
      <c r="J1399" s="16"/>
      <c r="K1399" s="17"/>
      <c r="L1399" s="17" t="n">
        <f aca="false">COUNT(E1399,I1399,K1399)</f>
        <v>1</v>
      </c>
      <c r="M1399" s="18" t="n">
        <f aca="false">(D1399&lt;&gt;"")*(D1399&lt;=($E$3*60+$F$3)/86400)+(H1399&lt;&gt;"")*(H1399&lt;=($I$3*60+$J$3)/86400)+(J1399&lt;&gt;"")*(J1399&lt;=($M$3*60+$N$3)/86400)</f>
        <v>0</v>
      </c>
      <c r="N1399" s="20"/>
      <c r="O1399" s="20"/>
      <c r="P1399" s="20"/>
      <c r="Q1399" s="19"/>
    </row>
    <row r="1400" customFormat="false" ht="15" hidden="false" customHeight="false" outlineLevel="0" collapsed="false">
      <c r="A1400" s="10" t="n">
        <v>1394</v>
      </c>
      <c r="B1400" s="12" t="s">
        <v>2190</v>
      </c>
      <c r="C1400" s="12" t="s">
        <v>1692</v>
      </c>
      <c r="D1400" s="13"/>
      <c r="E1400" s="14"/>
      <c r="F1400" s="15" t="str">
        <f aca="false">IF(D1400="","",ROUND((D1400-MIN($D$7:$D$9999))*86400,2))</f>
        <v/>
      </c>
      <c r="G1400" s="10" t="str">
        <f aca="false">IF(D1400="","",IF(D1400&lt;=($E$3*60+$F$3)/86400,"○",""))</f>
        <v/>
      </c>
      <c r="H1400" s="16" t="n">
        <v>0.00692361111111111</v>
      </c>
      <c r="I1400" s="17" t="n">
        <v>263</v>
      </c>
      <c r="J1400" s="16"/>
      <c r="K1400" s="17"/>
      <c r="L1400" s="17" t="n">
        <f aca="false">COUNT(E1400,I1400,K1400)</f>
        <v>1</v>
      </c>
      <c r="M1400" s="18" t="n">
        <f aca="false">(D1400&lt;&gt;"")*(D1400&lt;=($E$3*60+$F$3)/86400)+(H1400&lt;&gt;"")*(H1400&lt;=($I$3*60+$J$3)/86400)+(J1400&lt;&gt;"")*(J1400&lt;=($M$3*60+$N$3)/86400)</f>
        <v>0</v>
      </c>
      <c r="N1400" s="20"/>
      <c r="O1400" s="20"/>
      <c r="P1400" s="20"/>
      <c r="Q1400" s="19"/>
    </row>
    <row r="1401" customFormat="false" ht="15" hidden="false" customHeight="false" outlineLevel="0" collapsed="false">
      <c r="A1401" s="10" t="n">
        <v>1395</v>
      </c>
      <c r="B1401" s="12" t="s">
        <v>2191</v>
      </c>
      <c r="C1401" s="12" t="s">
        <v>2192</v>
      </c>
      <c r="D1401" s="13"/>
      <c r="E1401" s="14"/>
      <c r="F1401" s="15" t="str">
        <f aca="false">IF(D1401="","",ROUND((D1401-MIN($D$7:$D$9999))*86400,2))</f>
        <v/>
      </c>
      <c r="G1401" s="10" t="str">
        <f aca="false">IF(D1401="","",IF(D1401&lt;=($E$3*60+$F$3)/86400,"○",""))</f>
        <v/>
      </c>
      <c r="H1401" s="16" t="n">
        <v>0.00692488425925926</v>
      </c>
      <c r="I1401" s="17" t="n">
        <v>264</v>
      </c>
      <c r="J1401" s="16"/>
      <c r="K1401" s="17"/>
      <c r="L1401" s="17" t="n">
        <f aca="false">COUNT(E1401,I1401,K1401)</f>
        <v>1</v>
      </c>
      <c r="M1401" s="18" t="n">
        <f aca="false">(D1401&lt;&gt;"")*(D1401&lt;=($E$3*60+$F$3)/86400)+(H1401&lt;&gt;"")*(H1401&lt;=($I$3*60+$J$3)/86400)+(J1401&lt;&gt;"")*(J1401&lt;=($M$3*60+$N$3)/86400)</f>
        <v>0</v>
      </c>
      <c r="N1401" s="20"/>
      <c r="O1401" s="20"/>
      <c r="P1401" s="20"/>
      <c r="Q1401" s="19"/>
    </row>
    <row r="1402" customFormat="false" ht="15" hidden="false" customHeight="false" outlineLevel="0" collapsed="false">
      <c r="A1402" s="10" t="n">
        <v>1396</v>
      </c>
      <c r="B1402" s="12" t="s">
        <v>2193</v>
      </c>
      <c r="C1402" s="12" t="s">
        <v>2194</v>
      </c>
      <c r="D1402" s="13"/>
      <c r="E1402" s="14"/>
      <c r="F1402" s="15" t="str">
        <f aca="false">IF(D1402="","",ROUND((D1402-MIN($D$7:$D$9999))*86400,2))</f>
        <v/>
      </c>
      <c r="G1402" s="10" t="str">
        <f aca="false">IF(D1402="","",IF(D1402&lt;=($E$3*60+$F$3)/86400,"○",""))</f>
        <v/>
      </c>
      <c r="H1402" s="16" t="n">
        <v>0.00692604166666667</v>
      </c>
      <c r="I1402" s="17" t="n">
        <v>265</v>
      </c>
      <c r="J1402" s="16"/>
      <c r="K1402" s="17"/>
      <c r="L1402" s="17" t="n">
        <f aca="false">COUNT(E1402,I1402,K1402)</f>
        <v>1</v>
      </c>
      <c r="M1402" s="18" t="n">
        <f aca="false">(D1402&lt;&gt;"")*(D1402&lt;=($E$3*60+$F$3)/86400)+(H1402&lt;&gt;"")*(H1402&lt;=($I$3*60+$J$3)/86400)+(J1402&lt;&gt;"")*(J1402&lt;=($M$3*60+$N$3)/86400)</f>
        <v>0</v>
      </c>
      <c r="N1402" s="20"/>
      <c r="O1402" s="20"/>
      <c r="P1402" s="20"/>
      <c r="Q1402" s="19"/>
    </row>
    <row r="1403" customFormat="false" ht="15" hidden="false" customHeight="false" outlineLevel="0" collapsed="false">
      <c r="A1403" s="10" t="n">
        <v>1397</v>
      </c>
      <c r="B1403" s="12" t="s">
        <v>2195</v>
      </c>
      <c r="C1403" s="12" t="s">
        <v>2196</v>
      </c>
      <c r="D1403" s="13"/>
      <c r="E1403" s="14"/>
      <c r="F1403" s="15" t="str">
        <f aca="false">IF(D1403="","",ROUND((D1403-MIN($D$7:$D$9999))*86400,2))</f>
        <v/>
      </c>
      <c r="G1403" s="10" t="str">
        <f aca="false">IF(D1403="","",IF(D1403&lt;=($E$3*60+$F$3)/86400,"○",""))</f>
        <v/>
      </c>
      <c r="H1403" s="16"/>
      <c r="I1403" s="17"/>
      <c r="J1403" s="16" t="n">
        <v>0.00279606481481482</v>
      </c>
      <c r="K1403" s="17" t="n">
        <v>265</v>
      </c>
      <c r="L1403" s="17" t="n">
        <f aca="false">COUNT(E1403,I1403,K1403)</f>
        <v>1</v>
      </c>
      <c r="M1403" s="18" t="n">
        <f aca="false">(D1403&lt;&gt;"")*(D1403&lt;=($E$3*60+$F$3)/86400)+(H1403&lt;&gt;"")*(H1403&lt;=($I$3*60+$J$3)/86400)+(J1403&lt;&gt;"")*(J1403&lt;=($M$3*60+$N$3)/86400)</f>
        <v>0</v>
      </c>
      <c r="N1403" s="20"/>
      <c r="O1403" s="20"/>
      <c r="P1403" s="20"/>
      <c r="Q1403" s="19"/>
    </row>
    <row r="1404" customFormat="false" ht="15" hidden="false" customHeight="false" outlineLevel="0" collapsed="false">
      <c r="A1404" s="10" t="n">
        <v>1398</v>
      </c>
      <c r="B1404" s="12" t="s">
        <v>2197</v>
      </c>
      <c r="C1404" s="12" t="s">
        <v>199</v>
      </c>
      <c r="D1404" s="13"/>
      <c r="E1404" s="14"/>
      <c r="F1404" s="15" t="str">
        <f aca="false">IF(D1404="","",ROUND((D1404-MIN($D$7:$D$9999))*86400,2))</f>
        <v/>
      </c>
      <c r="G1404" s="10" t="str">
        <f aca="false">IF(D1404="","",IF(D1404&lt;=($E$3*60+$F$3)/86400,"○",""))</f>
        <v/>
      </c>
      <c r="H1404" s="16" t="n">
        <v>0.0069275462962963</v>
      </c>
      <c r="I1404" s="17" t="n">
        <v>268</v>
      </c>
      <c r="J1404" s="16"/>
      <c r="K1404" s="17"/>
      <c r="L1404" s="17" t="n">
        <f aca="false">COUNT(E1404,I1404,K1404)</f>
        <v>1</v>
      </c>
      <c r="M1404" s="18" t="n">
        <f aca="false">(D1404&lt;&gt;"")*(D1404&lt;=($E$3*60+$F$3)/86400)+(H1404&lt;&gt;"")*(H1404&lt;=($I$3*60+$J$3)/86400)+(J1404&lt;&gt;"")*(J1404&lt;=($M$3*60+$N$3)/86400)</f>
        <v>0</v>
      </c>
      <c r="N1404" s="20"/>
      <c r="O1404" s="20"/>
      <c r="P1404" s="20"/>
      <c r="Q1404" s="19"/>
    </row>
    <row r="1405" customFormat="false" ht="15" hidden="false" customHeight="false" outlineLevel="0" collapsed="false">
      <c r="A1405" s="10" t="n">
        <v>1399</v>
      </c>
      <c r="B1405" s="12" t="s">
        <v>2198</v>
      </c>
      <c r="C1405" s="12" t="s">
        <v>917</v>
      </c>
      <c r="D1405" s="13"/>
      <c r="E1405" s="14"/>
      <c r="F1405" s="15" t="str">
        <f aca="false">IF(D1405="","",ROUND((D1405-MIN($D$7:$D$9999))*86400,2))</f>
        <v/>
      </c>
      <c r="G1405" s="10" t="str">
        <f aca="false">IF(D1405="","",IF(D1405&lt;=($E$3*60+$F$3)/86400,"○",""))</f>
        <v/>
      </c>
      <c r="H1405" s="16" t="n">
        <v>0.0069287037037037</v>
      </c>
      <c r="I1405" s="17" t="n">
        <v>269</v>
      </c>
      <c r="J1405" s="16"/>
      <c r="K1405" s="17"/>
      <c r="L1405" s="17" t="n">
        <f aca="false">COUNT(E1405,I1405,K1405)</f>
        <v>1</v>
      </c>
      <c r="M1405" s="18" t="n">
        <f aca="false">(D1405&lt;&gt;"")*(D1405&lt;=($E$3*60+$F$3)/86400)+(H1405&lt;&gt;"")*(H1405&lt;=($I$3*60+$J$3)/86400)+(J1405&lt;&gt;"")*(J1405&lt;=($M$3*60+$N$3)/86400)</f>
        <v>0</v>
      </c>
      <c r="N1405" s="20"/>
      <c r="O1405" s="20"/>
      <c r="P1405" s="20"/>
      <c r="Q1405" s="19"/>
    </row>
    <row r="1406" customFormat="false" ht="15" hidden="false" customHeight="false" outlineLevel="0" collapsed="false">
      <c r="A1406" s="10" t="n">
        <v>1400</v>
      </c>
      <c r="B1406" s="12" t="s">
        <v>2199</v>
      </c>
      <c r="C1406" s="12" t="s">
        <v>1833</v>
      </c>
      <c r="D1406" s="13"/>
      <c r="E1406" s="14"/>
      <c r="F1406" s="15" t="str">
        <f aca="false">IF(D1406="","",ROUND((D1406-MIN($D$7:$D$9999))*86400,2))</f>
        <v/>
      </c>
      <c r="G1406" s="10" t="str">
        <f aca="false">IF(D1406="","",IF(D1406&lt;=($E$3*60+$F$3)/86400,"○",""))</f>
        <v/>
      </c>
      <c r="H1406" s="16" t="n">
        <v>0.00692916666666667</v>
      </c>
      <c r="I1406" s="17" t="n">
        <v>270</v>
      </c>
      <c r="J1406" s="16"/>
      <c r="K1406" s="17"/>
      <c r="L1406" s="17" t="n">
        <f aca="false">COUNT(E1406,I1406,K1406)</f>
        <v>1</v>
      </c>
      <c r="M1406" s="18" t="n">
        <f aca="false">(D1406&lt;&gt;"")*(D1406&lt;=($E$3*60+$F$3)/86400)+(H1406&lt;&gt;"")*(H1406&lt;=($I$3*60+$J$3)/86400)+(J1406&lt;&gt;"")*(J1406&lt;=($M$3*60+$N$3)/86400)</f>
        <v>0</v>
      </c>
      <c r="N1406" s="20"/>
      <c r="O1406" s="20"/>
      <c r="P1406" s="20"/>
      <c r="Q1406" s="19"/>
    </row>
    <row r="1407" customFormat="false" ht="15" hidden="false" customHeight="false" outlineLevel="0" collapsed="false">
      <c r="A1407" s="10" t="n">
        <v>1401</v>
      </c>
      <c r="B1407" s="12" t="s">
        <v>2200</v>
      </c>
      <c r="C1407" s="12" t="s">
        <v>2201</v>
      </c>
      <c r="D1407" s="13"/>
      <c r="E1407" s="14"/>
      <c r="F1407" s="15" t="str">
        <f aca="false">IF(D1407="","",ROUND((D1407-MIN($D$7:$D$9999))*86400,2))</f>
        <v/>
      </c>
      <c r="G1407" s="10" t="str">
        <f aca="false">IF(D1407="","",IF(D1407&lt;=($E$3*60+$F$3)/86400,"○",""))</f>
        <v/>
      </c>
      <c r="H1407" s="16"/>
      <c r="I1407" s="17"/>
      <c r="J1407" s="16" t="n">
        <v>0.0027974537037037</v>
      </c>
      <c r="K1407" s="17" t="n">
        <v>271</v>
      </c>
      <c r="L1407" s="17" t="n">
        <f aca="false">COUNT(E1407,I1407,K1407)</f>
        <v>1</v>
      </c>
      <c r="M1407" s="18" t="n">
        <f aca="false">(D1407&lt;&gt;"")*(D1407&lt;=($E$3*60+$F$3)/86400)+(H1407&lt;&gt;"")*(H1407&lt;=($I$3*60+$J$3)/86400)+(J1407&lt;&gt;"")*(J1407&lt;=($M$3*60+$N$3)/86400)</f>
        <v>0</v>
      </c>
      <c r="N1407" s="20"/>
      <c r="O1407" s="20"/>
      <c r="P1407" s="20"/>
      <c r="Q1407" s="19"/>
    </row>
    <row r="1408" customFormat="false" ht="15" hidden="false" customHeight="false" outlineLevel="0" collapsed="false">
      <c r="A1408" s="10" t="n">
        <v>1402</v>
      </c>
      <c r="B1408" s="12" t="s">
        <v>2202</v>
      </c>
      <c r="C1408" s="12" t="s">
        <v>2203</v>
      </c>
      <c r="D1408" s="13"/>
      <c r="E1408" s="14"/>
      <c r="F1408" s="15" t="str">
        <f aca="false">IF(D1408="","",ROUND((D1408-MIN($D$7:$D$9999))*86400,2))</f>
        <v/>
      </c>
      <c r="G1408" s="10" t="str">
        <f aca="false">IF(D1408="","",IF(D1408&lt;=($E$3*60+$F$3)/86400,"○",""))</f>
        <v/>
      </c>
      <c r="H1408" s="16" t="n">
        <v>0.00692986111111111</v>
      </c>
      <c r="I1408" s="17" t="n">
        <v>272</v>
      </c>
      <c r="J1408" s="16"/>
      <c r="K1408" s="17"/>
      <c r="L1408" s="17" t="n">
        <f aca="false">COUNT(E1408,I1408,K1408)</f>
        <v>1</v>
      </c>
      <c r="M1408" s="18" t="n">
        <f aca="false">(D1408&lt;&gt;"")*(D1408&lt;=($E$3*60+$F$3)/86400)+(H1408&lt;&gt;"")*(H1408&lt;=($I$3*60+$J$3)/86400)+(J1408&lt;&gt;"")*(J1408&lt;=($M$3*60+$N$3)/86400)</f>
        <v>0</v>
      </c>
      <c r="N1408" s="20"/>
      <c r="O1408" s="20"/>
      <c r="P1408" s="20"/>
      <c r="Q1408" s="19"/>
    </row>
    <row r="1409" customFormat="false" ht="15" hidden="false" customHeight="false" outlineLevel="0" collapsed="false">
      <c r="A1409" s="10" t="n">
        <v>1403</v>
      </c>
      <c r="B1409" s="12" t="s">
        <v>2204</v>
      </c>
      <c r="C1409" s="12" t="s">
        <v>989</v>
      </c>
      <c r="D1409" s="13"/>
      <c r="E1409" s="14"/>
      <c r="F1409" s="15" t="str">
        <f aca="false">IF(D1409="","",ROUND((D1409-MIN($D$7:$D$9999))*86400,2))</f>
        <v/>
      </c>
      <c r="G1409" s="10" t="str">
        <f aca="false">IF(D1409="","",IF(D1409&lt;=($E$3*60+$F$3)/86400,"○",""))</f>
        <v/>
      </c>
      <c r="H1409" s="16" t="n">
        <v>0.00693159722222222</v>
      </c>
      <c r="I1409" s="17" t="n">
        <v>275</v>
      </c>
      <c r="J1409" s="16"/>
      <c r="K1409" s="17"/>
      <c r="L1409" s="17" t="n">
        <f aca="false">COUNT(E1409,I1409,K1409)</f>
        <v>1</v>
      </c>
      <c r="M1409" s="18" t="n">
        <f aca="false">(D1409&lt;&gt;"")*(D1409&lt;=($E$3*60+$F$3)/86400)+(H1409&lt;&gt;"")*(H1409&lt;=($I$3*60+$J$3)/86400)+(J1409&lt;&gt;"")*(J1409&lt;=($M$3*60+$N$3)/86400)</f>
        <v>0</v>
      </c>
      <c r="N1409" s="20"/>
      <c r="O1409" s="20"/>
      <c r="P1409" s="20"/>
      <c r="Q1409" s="19"/>
    </row>
    <row r="1410" customFormat="false" ht="15" hidden="false" customHeight="false" outlineLevel="0" collapsed="false">
      <c r="A1410" s="10" t="n">
        <v>1404</v>
      </c>
      <c r="B1410" s="12" t="s">
        <v>2205</v>
      </c>
      <c r="C1410" s="12" t="s">
        <v>1121</v>
      </c>
      <c r="D1410" s="13"/>
      <c r="E1410" s="14"/>
      <c r="F1410" s="15" t="str">
        <f aca="false">IF(D1410="","",ROUND((D1410-MIN($D$7:$D$9999))*86400,2))</f>
        <v/>
      </c>
      <c r="G1410" s="10" t="str">
        <f aca="false">IF(D1410="","",IF(D1410&lt;=($E$3*60+$F$3)/86400,"○",""))</f>
        <v/>
      </c>
      <c r="H1410" s="16" t="n">
        <v>0.00693333333333333</v>
      </c>
      <c r="I1410" s="17" t="n">
        <v>276</v>
      </c>
      <c r="J1410" s="16"/>
      <c r="K1410" s="17"/>
      <c r="L1410" s="17" t="n">
        <f aca="false">COUNT(E1410,I1410,K1410)</f>
        <v>1</v>
      </c>
      <c r="M1410" s="18" t="n">
        <f aca="false">(D1410&lt;&gt;"")*(D1410&lt;=($E$3*60+$F$3)/86400)+(H1410&lt;&gt;"")*(H1410&lt;=($I$3*60+$J$3)/86400)+(J1410&lt;&gt;"")*(J1410&lt;=($M$3*60+$N$3)/86400)</f>
        <v>0</v>
      </c>
      <c r="N1410" s="20"/>
      <c r="O1410" s="20"/>
      <c r="P1410" s="20"/>
      <c r="Q1410" s="19"/>
    </row>
    <row r="1411" customFormat="false" ht="15" hidden="false" customHeight="false" outlineLevel="0" collapsed="false">
      <c r="A1411" s="10" t="n">
        <v>1405</v>
      </c>
      <c r="B1411" s="12" t="s">
        <v>2206</v>
      </c>
      <c r="C1411" s="12" t="s">
        <v>2207</v>
      </c>
      <c r="D1411" s="13"/>
      <c r="E1411" s="14"/>
      <c r="F1411" s="15" t="str">
        <f aca="false">IF(D1411="","",ROUND((D1411-MIN($D$7:$D$9999))*86400,2))</f>
        <v/>
      </c>
      <c r="G1411" s="10" t="str">
        <f aca="false">IF(D1411="","",IF(D1411&lt;=($E$3*60+$F$3)/86400,"○",""))</f>
        <v/>
      </c>
      <c r="H1411" s="16" t="n">
        <v>0.00693425925925926</v>
      </c>
      <c r="I1411" s="17" t="n">
        <v>277</v>
      </c>
      <c r="J1411" s="16"/>
      <c r="K1411" s="17"/>
      <c r="L1411" s="17" t="n">
        <f aca="false">COUNT(E1411,I1411,K1411)</f>
        <v>1</v>
      </c>
      <c r="M1411" s="18" t="n">
        <f aca="false">(D1411&lt;&gt;"")*(D1411&lt;=($E$3*60+$F$3)/86400)+(H1411&lt;&gt;"")*(H1411&lt;=($I$3*60+$J$3)/86400)+(J1411&lt;&gt;"")*(J1411&lt;=($M$3*60+$N$3)/86400)</f>
        <v>0</v>
      </c>
      <c r="N1411" s="20"/>
      <c r="O1411" s="20"/>
      <c r="P1411" s="20"/>
      <c r="Q1411" s="19"/>
    </row>
    <row r="1412" customFormat="false" ht="15" hidden="false" customHeight="false" outlineLevel="0" collapsed="false">
      <c r="A1412" s="10" t="n">
        <v>1406</v>
      </c>
      <c r="B1412" s="12" t="s">
        <v>2208</v>
      </c>
      <c r="C1412" s="12" t="s">
        <v>397</v>
      </c>
      <c r="D1412" s="13"/>
      <c r="E1412" s="14"/>
      <c r="F1412" s="15" t="str">
        <f aca="false">IF(D1412="","",ROUND((D1412-MIN($D$7:$D$9999))*86400,2))</f>
        <v/>
      </c>
      <c r="G1412" s="10" t="str">
        <f aca="false">IF(D1412="","",IF(D1412&lt;=($E$3*60+$F$3)/86400,"○",""))</f>
        <v/>
      </c>
      <c r="H1412" s="16" t="n">
        <v>0.00693668981481482</v>
      </c>
      <c r="I1412" s="17" t="n">
        <v>279</v>
      </c>
      <c r="J1412" s="16"/>
      <c r="K1412" s="17"/>
      <c r="L1412" s="17" t="n">
        <f aca="false">COUNT(E1412,I1412,K1412)</f>
        <v>1</v>
      </c>
      <c r="M1412" s="18" t="n">
        <f aca="false">(D1412&lt;&gt;"")*(D1412&lt;=($E$3*60+$F$3)/86400)+(H1412&lt;&gt;"")*(H1412&lt;=($I$3*60+$J$3)/86400)+(J1412&lt;&gt;"")*(J1412&lt;=($M$3*60+$N$3)/86400)</f>
        <v>0</v>
      </c>
      <c r="N1412" s="20"/>
      <c r="O1412" s="20"/>
      <c r="P1412" s="20"/>
      <c r="Q1412" s="19"/>
    </row>
    <row r="1413" customFormat="false" ht="15" hidden="false" customHeight="false" outlineLevel="0" collapsed="false">
      <c r="A1413" s="10" t="n">
        <v>1407</v>
      </c>
      <c r="B1413" s="12" t="s">
        <v>2209</v>
      </c>
      <c r="C1413" s="12" t="s">
        <v>1469</v>
      </c>
      <c r="D1413" s="13"/>
      <c r="E1413" s="14"/>
      <c r="F1413" s="15" t="str">
        <f aca="false">IF(D1413="","",ROUND((D1413-MIN($D$7:$D$9999))*86400,2))</f>
        <v/>
      </c>
      <c r="G1413" s="10" t="str">
        <f aca="false">IF(D1413="","",IF(D1413&lt;=($E$3*60+$F$3)/86400,"○",""))</f>
        <v/>
      </c>
      <c r="H1413" s="16"/>
      <c r="I1413" s="17"/>
      <c r="J1413" s="16" t="n">
        <v>0.0027994212962963</v>
      </c>
      <c r="K1413" s="17" t="n">
        <v>280</v>
      </c>
      <c r="L1413" s="17" t="n">
        <f aca="false">COUNT(E1413,I1413,K1413)</f>
        <v>1</v>
      </c>
      <c r="M1413" s="18" t="n">
        <f aca="false">(D1413&lt;&gt;"")*(D1413&lt;=($E$3*60+$F$3)/86400)+(H1413&lt;&gt;"")*(H1413&lt;=($I$3*60+$J$3)/86400)+(J1413&lt;&gt;"")*(J1413&lt;=($M$3*60+$N$3)/86400)</f>
        <v>0</v>
      </c>
      <c r="N1413" s="20"/>
      <c r="O1413" s="20"/>
      <c r="P1413" s="20"/>
      <c r="Q1413" s="19"/>
    </row>
    <row r="1414" customFormat="false" ht="15" hidden="false" customHeight="false" outlineLevel="0" collapsed="false">
      <c r="A1414" s="10" t="n">
        <v>1408</v>
      </c>
      <c r="B1414" s="12" t="s">
        <v>2210</v>
      </c>
      <c r="C1414" s="12" t="s">
        <v>80</v>
      </c>
      <c r="D1414" s="13"/>
      <c r="E1414" s="14"/>
      <c r="F1414" s="15" t="str">
        <f aca="false">IF(D1414="","",ROUND((D1414-MIN($D$7:$D$9999))*86400,2))</f>
        <v/>
      </c>
      <c r="G1414" s="10" t="str">
        <f aca="false">IF(D1414="","",IF(D1414&lt;=($E$3*60+$F$3)/86400,"○",""))</f>
        <v/>
      </c>
      <c r="H1414" s="16" t="n">
        <v>0.00693865740740741</v>
      </c>
      <c r="I1414" s="17" t="n">
        <v>281</v>
      </c>
      <c r="J1414" s="16" t="n">
        <v>0.00288761574074074</v>
      </c>
      <c r="K1414" s="17" t="n">
        <v>840</v>
      </c>
      <c r="L1414" s="17" t="n">
        <f aca="false">COUNT(E1414,I1414,K1414)</f>
        <v>2</v>
      </c>
      <c r="M1414" s="18" t="n">
        <f aca="false">(D1414&lt;&gt;"")*(D1414&lt;=($E$3*60+$F$3)/86400)+(H1414&lt;&gt;"")*(H1414&lt;=($I$3*60+$J$3)/86400)+(J1414&lt;&gt;"")*(J1414&lt;=($M$3*60+$N$3)/86400)</f>
        <v>0</v>
      </c>
      <c r="N1414" s="20"/>
      <c r="O1414" s="20"/>
      <c r="P1414" s="20"/>
      <c r="Q1414" s="19"/>
    </row>
    <row r="1415" customFormat="false" ht="15" hidden="false" customHeight="false" outlineLevel="0" collapsed="false">
      <c r="A1415" s="10" t="n">
        <v>1409</v>
      </c>
      <c r="B1415" s="12" t="s">
        <v>2211</v>
      </c>
      <c r="C1415" s="12" t="s">
        <v>2212</v>
      </c>
      <c r="D1415" s="13"/>
      <c r="E1415" s="14"/>
      <c r="F1415" s="15" t="str">
        <f aca="false">IF(D1415="","",ROUND((D1415-MIN($D$7:$D$9999))*86400,2))</f>
        <v/>
      </c>
      <c r="G1415" s="10" t="str">
        <f aca="false">IF(D1415="","",IF(D1415&lt;=($E$3*60+$F$3)/86400,"○",""))</f>
        <v/>
      </c>
      <c r="H1415" s="16" t="n">
        <v>0.00693888888888889</v>
      </c>
      <c r="I1415" s="17" t="n">
        <v>282</v>
      </c>
      <c r="J1415" s="16" t="n">
        <v>0.00292488425925926</v>
      </c>
      <c r="K1415" s="17" t="n">
        <v>1146</v>
      </c>
      <c r="L1415" s="17" t="n">
        <f aca="false">COUNT(E1415,I1415,K1415)</f>
        <v>2</v>
      </c>
      <c r="M1415" s="18" t="n">
        <f aca="false">(D1415&lt;&gt;"")*(D1415&lt;=($E$3*60+$F$3)/86400)+(H1415&lt;&gt;"")*(H1415&lt;=($I$3*60+$J$3)/86400)+(J1415&lt;&gt;"")*(J1415&lt;=($M$3*60+$N$3)/86400)</f>
        <v>0</v>
      </c>
      <c r="N1415" s="20"/>
      <c r="O1415" s="20"/>
      <c r="P1415" s="20"/>
      <c r="Q1415" s="19"/>
    </row>
    <row r="1416" customFormat="false" ht="15" hidden="false" customHeight="false" outlineLevel="0" collapsed="false">
      <c r="A1416" s="10" t="n">
        <v>1410</v>
      </c>
      <c r="B1416" s="12" t="s">
        <v>2213</v>
      </c>
      <c r="C1416" s="12" t="s">
        <v>2214</v>
      </c>
      <c r="D1416" s="13"/>
      <c r="E1416" s="14"/>
      <c r="F1416" s="15" t="str">
        <f aca="false">IF(D1416="","",ROUND((D1416-MIN($D$7:$D$9999))*86400,2))</f>
        <v/>
      </c>
      <c r="G1416" s="10" t="str">
        <f aca="false">IF(D1416="","",IF(D1416&lt;=($E$3*60+$F$3)/86400,"○",""))</f>
        <v/>
      </c>
      <c r="H1416" s="16" t="n">
        <v>0.00694189814814815</v>
      </c>
      <c r="I1416" s="17" t="n">
        <v>283</v>
      </c>
      <c r="J1416" s="16"/>
      <c r="K1416" s="17"/>
      <c r="L1416" s="17" t="n">
        <f aca="false">COUNT(E1416,I1416,K1416)</f>
        <v>1</v>
      </c>
      <c r="M1416" s="18" t="n">
        <f aca="false">(D1416&lt;&gt;"")*(D1416&lt;=($E$3*60+$F$3)/86400)+(H1416&lt;&gt;"")*(H1416&lt;=($I$3*60+$J$3)/86400)+(J1416&lt;&gt;"")*(J1416&lt;=($M$3*60+$N$3)/86400)</f>
        <v>0</v>
      </c>
      <c r="N1416" s="20"/>
      <c r="O1416" s="20"/>
      <c r="P1416" s="20"/>
      <c r="Q1416" s="19"/>
    </row>
    <row r="1417" customFormat="false" ht="15" hidden="false" customHeight="false" outlineLevel="0" collapsed="false">
      <c r="A1417" s="10" t="n">
        <v>1411</v>
      </c>
      <c r="B1417" s="12" t="s">
        <v>2215</v>
      </c>
      <c r="C1417" s="12" t="s">
        <v>101</v>
      </c>
      <c r="D1417" s="13"/>
      <c r="E1417" s="14"/>
      <c r="F1417" s="15" t="str">
        <f aca="false">IF(D1417="","",ROUND((D1417-MIN($D$7:$D$9999))*86400,2))</f>
        <v/>
      </c>
      <c r="G1417" s="10" t="str">
        <f aca="false">IF(D1417="","",IF(D1417&lt;=($E$3*60+$F$3)/86400,"○",""))</f>
        <v/>
      </c>
      <c r="H1417" s="16" t="n">
        <v>0.00694768518518519</v>
      </c>
      <c r="I1417" s="17" t="n">
        <v>284</v>
      </c>
      <c r="J1417" s="16"/>
      <c r="K1417" s="17"/>
      <c r="L1417" s="17" t="n">
        <f aca="false">COUNT(E1417,I1417,K1417)</f>
        <v>1</v>
      </c>
      <c r="M1417" s="18" t="n">
        <f aca="false">(D1417&lt;&gt;"")*(D1417&lt;=($E$3*60+$F$3)/86400)+(H1417&lt;&gt;"")*(H1417&lt;=($I$3*60+$J$3)/86400)+(J1417&lt;&gt;"")*(J1417&lt;=($M$3*60+$N$3)/86400)</f>
        <v>0</v>
      </c>
      <c r="N1417" s="20"/>
      <c r="O1417" s="20"/>
      <c r="P1417" s="20"/>
      <c r="Q1417" s="19"/>
    </row>
    <row r="1418" customFormat="false" ht="15" hidden="false" customHeight="false" outlineLevel="0" collapsed="false">
      <c r="A1418" s="10" t="n">
        <v>1412</v>
      </c>
      <c r="B1418" s="12" t="s">
        <v>2216</v>
      </c>
      <c r="C1418" s="12" t="s">
        <v>2217</v>
      </c>
      <c r="D1418" s="13"/>
      <c r="E1418" s="14"/>
      <c r="F1418" s="15" t="str">
        <f aca="false">IF(D1418="","",ROUND((D1418-MIN($D$7:$D$9999))*86400,2))</f>
        <v/>
      </c>
      <c r="G1418" s="10" t="str">
        <f aca="false">IF(D1418="","",IF(D1418&lt;=($E$3*60+$F$3)/86400,"○",""))</f>
        <v/>
      </c>
      <c r="H1418" s="16" t="n">
        <v>0.00695127314814815</v>
      </c>
      <c r="I1418" s="17" t="n">
        <v>286</v>
      </c>
      <c r="J1418" s="16" t="n">
        <v>0.00286909722222222</v>
      </c>
      <c r="K1418" s="17" t="n">
        <v>688</v>
      </c>
      <c r="L1418" s="17" t="n">
        <f aca="false">COUNT(E1418,I1418,K1418)</f>
        <v>2</v>
      </c>
      <c r="M1418" s="18" t="n">
        <f aca="false">(D1418&lt;&gt;"")*(D1418&lt;=($E$3*60+$F$3)/86400)+(H1418&lt;&gt;"")*(H1418&lt;=($I$3*60+$J$3)/86400)+(J1418&lt;&gt;"")*(J1418&lt;=($M$3*60+$N$3)/86400)</f>
        <v>0</v>
      </c>
      <c r="N1418" s="20"/>
      <c r="O1418" s="20"/>
      <c r="P1418" s="20"/>
      <c r="Q1418" s="19"/>
    </row>
    <row r="1419" customFormat="false" ht="15" hidden="false" customHeight="false" outlineLevel="0" collapsed="false">
      <c r="A1419" s="10" t="n">
        <v>1413</v>
      </c>
      <c r="B1419" s="12" t="s">
        <v>2218</v>
      </c>
      <c r="C1419" s="12" t="s">
        <v>301</v>
      </c>
      <c r="D1419" s="13"/>
      <c r="E1419" s="14"/>
      <c r="F1419" s="15" t="str">
        <f aca="false">IF(D1419="","",ROUND((D1419-MIN($D$7:$D$9999))*86400,2))</f>
        <v/>
      </c>
      <c r="G1419" s="10" t="str">
        <f aca="false">IF(D1419="","",IF(D1419&lt;=($E$3*60+$F$3)/86400,"○",""))</f>
        <v/>
      </c>
      <c r="H1419" s="16"/>
      <c r="I1419" s="17"/>
      <c r="J1419" s="16" t="n">
        <v>0.0028005787037037</v>
      </c>
      <c r="K1419" s="17" t="n">
        <v>286</v>
      </c>
      <c r="L1419" s="17" t="n">
        <f aca="false">COUNT(E1419,I1419,K1419)</f>
        <v>1</v>
      </c>
      <c r="M1419" s="18" t="n">
        <f aca="false">(D1419&lt;&gt;"")*(D1419&lt;=($E$3*60+$F$3)/86400)+(H1419&lt;&gt;"")*(H1419&lt;=($I$3*60+$J$3)/86400)+(J1419&lt;&gt;"")*(J1419&lt;=($M$3*60+$N$3)/86400)</f>
        <v>0</v>
      </c>
      <c r="N1419" s="20"/>
      <c r="O1419" s="20"/>
      <c r="P1419" s="20"/>
      <c r="Q1419" s="19"/>
    </row>
    <row r="1420" customFormat="false" ht="15" hidden="false" customHeight="false" outlineLevel="0" collapsed="false">
      <c r="A1420" s="10" t="n">
        <v>1414</v>
      </c>
      <c r="B1420" s="12" t="s">
        <v>2219</v>
      </c>
      <c r="C1420" s="12" t="s">
        <v>2220</v>
      </c>
      <c r="D1420" s="13"/>
      <c r="E1420" s="14"/>
      <c r="F1420" s="15" t="str">
        <f aca="false">IF(D1420="","",ROUND((D1420-MIN($D$7:$D$9999))*86400,2))</f>
        <v/>
      </c>
      <c r="G1420" s="10" t="str">
        <f aca="false">IF(D1420="","",IF(D1420&lt;=($E$3*60+$F$3)/86400,"○",""))</f>
        <v/>
      </c>
      <c r="H1420" s="16" t="n">
        <v>0.00695752314814815</v>
      </c>
      <c r="I1420" s="17" t="n">
        <v>290</v>
      </c>
      <c r="J1420" s="16" t="n">
        <v>0.00296608796296296</v>
      </c>
      <c r="K1420" s="17" t="n">
        <v>1295</v>
      </c>
      <c r="L1420" s="17" t="n">
        <f aca="false">COUNT(E1420,I1420,K1420)</f>
        <v>2</v>
      </c>
      <c r="M1420" s="18" t="n">
        <f aca="false">(D1420&lt;&gt;"")*(D1420&lt;=($E$3*60+$F$3)/86400)+(H1420&lt;&gt;"")*(H1420&lt;=($I$3*60+$J$3)/86400)+(J1420&lt;&gt;"")*(J1420&lt;=($M$3*60+$N$3)/86400)</f>
        <v>0</v>
      </c>
      <c r="N1420" s="20"/>
      <c r="O1420" s="20"/>
      <c r="P1420" s="20"/>
      <c r="Q1420" s="19"/>
    </row>
    <row r="1421" customFormat="false" ht="15" hidden="false" customHeight="false" outlineLevel="0" collapsed="false">
      <c r="A1421" s="10" t="n">
        <v>1415</v>
      </c>
      <c r="B1421" s="12" t="s">
        <v>2221</v>
      </c>
      <c r="C1421" s="12" t="s">
        <v>2222</v>
      </c>
      <c r="D1421" s="13"/>
      <c r="E1421" s="14"/>
      <c r="F1421" s="15" t="str">
        <f aca="false">IF(D1421="","",ROUND((D1421-MIN($D$7:$D$9999))*86400,2))</f>
        <v/>
      </c>
      <c r="G1421" s="10" t="str">
        <f aca="false">IF(D1421="","",IF(D1421&lt;=($E$3*60+$F$3)/86400,"○",""))</f>
        <v/>
      </c>
      <c r="H1421" s="16" t="n">
        <v>0.00695972222222222</v>
      </c>
      <c r="I1421" s="17" t="n">
        <v>292</v>
      </c>
      <c r="J1421" s="16"/>
      <c r="K1421" s="17"/>
      <c r="L1421" s="17" t="n">
        <f aca="false">COUNT(E1421,I1421,K1421)</f>
        <v>1</v>
      </c>
      <c r="M1421" s="18" t="n">
        <f aca="false">(D1421&lt;&gt;"")*(D1421&lt;=($E$3*60+$F$3)/86400)+(H1421&lt;&gt;"")*(H1421&lt;=($I$3*60+$J$3)/86400)+(J1421&lt;&gt;"")*(J1421&lt;=($M$3*60+$N$3)/86400)</f>
        <v>0</v>
      </c>
      <c r="N1421" s="20" t="s">
        <v>1827</v>
      </c>
      <c r="O1421" s="20"/>
      <c r="P1421" s="20"/>
      <c r="Q1421" s="19"/>
    </row>
    <row r="1422" customFormat="false" ht="15" hidden="false" customHeight="false" outlineLevel="0" collapsed="false">
      <c r="A1422" s="10" t="n">
        <v>1416</v>
      </c>
      <c r="B1422" s="12" t="s">
        <v>2223</v>
      </c>
      <c r="C1422" s="12" t="s">
        <v>632</v>
      </c>
      <c r="D1422" s="13"/>
      <c r="E1422" s="14"/>
      <c r="F1422" s="15" t="str">
        <f aca="false">IF(D1422="","",ROUND((D1422-MIN($D$7:$D$9999))*86400,2))</f>
        <v/>
      </c>
      <c r="G1422" s="10" t="str">
        <f aca="false">IF(D1422="","",IF(D1422&lt;=($E$3*60+$F$3)/86400,"○",""))</f>
        <v/>
      </c>
      <c r="H1422" s="16"/>
      <c r="I1422" s="17"/>
      <c r="J1422" s="16" t="n">
        <v>0.00280243055555556</v>
      </c>
      <c r="K1422" s="17" t="n">
        <v>292</v>
      </c>
      <c r="L1422" s="17" t="n">
        <f aca="false">COUNT(E1422,I1422,K1422)</f>
        <v>1</v>
      </c>
      <c r="M1422" s="18" t="n">
        <f aca="false">(D1422&lt;&gt;"")*(D1422&lt;=($E$3*60+$F$3)/86400)+(H1422&lt;&gt;"")*(H1422&lt;=($I$3*60+$J$3)/86400)+(J1422&lt;&gt;"")*(J1422&lt;=($M$3*60+$N$3)/86400)</f>
        <v>0</v>
      </c>
      <c r="N1422" s="20" t="s">
        <v>215</v>
      </c>
      <c r="O1422" s="20"/>
      <c r="P1422" s="20"/>
      <c r="Q1422" s="19"/>
    </row>
    <row r="1423" customFormat="false" ht="15" hidden="false" customHeight="false" outlineLevel="0" collapsed="false">
      <c r="A1423" s="10" t="n">
        <v>1417</v>
      </c>
      <c r="B1423" s="12" t="s">
        <v>2224</v>
      </c>
      <c r="C1423" s="12" t="s">
        <v>873</v>
      </c>
      <c r="D1423" s="13"/>
      <c r="E1423" s="14"/>
      <c r="F1423" s="15" t="str">
        <f aca="false">IF(D1423="","",ROUND((D1423-MIN($D$7:$D$9999))*86400,2))</f>
        <v/>
      </c>
      <c r="G1423" s="10" t="str">
        <f aca="false">IF(D1423="","",IF(D1423&lt;=($E$3*60+$F$3)/86400,"○",""))</f>
        <v/>
      </c>
      <c r="H1423" s="16" t="n">
        <v>0.00696608796296296</v>
      </c>
      <c r="I1423" s="17" t="n">
        <v>298</v>
      </c>
      <c r="J1423" s="16"/>
      <c r="K1423" s="17"/>
      <c r="L1423" s="17" t="n">
        <f aca="false">COUNT(E1423,I1423,K1423)</f>
        <v>1</v>
      </c>
      <c r="M1423" s="18" t="n">
        <f aca="false">(D1423&lt;&gt;"")*(D1423&lt;=($E$3*60+$F$3)/86400)+(H1423&lt;&gt;"")*(H1423&lt;=($I$3*60+$J$3)/86400)+(J1423&lt;&gt;"")*(J1423&lt;=($M$3*60+$N$3)/86400)</f>
        <v>0</v>
      </c>
      <c r="N1423" s="20"/>
      <c r="O1423" s="20"/>
      <c r="P1423" s="20"/>
      <c r="Q1423" s="19"/>
    </row>
    <row r="1424" customFormat="false" ht="15" hidden="false" customHeight="false" outlineLevel="0" collapsed="false">
      <c r="A1424" s="10" t="n">
        <v>1418</v>
      </c>
      <c r="B1424" s="12" t="s">
        <v>2225</v>
      </c>
      <c r="C1424" s="12" t="s">
        <v>2226</v>
      </c>
      <c r="D1424" s="13"/>
      <c r="E1424" s="14"/>
      <c r="F1424" s="15" t="str">
        <f aca="false">IF(D1424="","",ROUND((D1424-MIN($D$7:$D$9999))*86400,2))</f>
        <v/>
      </c>
      <c r="G1424" s="10" t="str">
        <f aca="false">IF(D1424="","",IF(D1424&lt;=($E$3*60+$F$3)/86400,"○",""))</f>
        <v/>
      </c>
      <c r="H1424" s="16"/>
      <c r="I1424" s="17"/>
      <c r="J1424" s="16" t="n">
        <v>0.00280358796296296</v>
      </c>
      <c r="K1424" s="17" t="n">
        <v>298</v>
      </c>
      <c r="L1424" s="17" t="n">
        <f aca="false">COUNT(E1424,I1424,K1424)</f>
        <v>1</v>
      </c>
      <c r="M1424" s="18" t="n">
        <f aca="false">(D1424&lt;&gt;"")*(D1424&lt;=($E$3*60+$F$3)/86400)+(H1424&lt;&gt;"")*(H1424&lt;=($I$3*60+$J$3)/86400)+(J1424&lt;&gt;"")*(J1424&lt;=($M$3*60+$N$3)/86400)</f>
        <v>0</v>
      </c>
      <c r="N1424" s="20"/>
      <c r="O1424" s="20"/>
      <c r="P1424" s="20"/>
      <c r="Q1424" s="19"/>
    </row>
    <row r="1425" customFormat="false" ht="15" hidden="false" customHeight="false" outlineLevel="0" collapsed="false">
      <c r="A1425" s="10" t="n">
        <v>1419</v>
      </c>
      <c r="B1425" s="12" t="s">
        <v>2227</v>
      </c>
      <c r="C1425" s="12" t="s">
        <v>2228</v>
      </c>
      <c r="D1425" s="13"/>
      <c r="E1425" s="14"/>
      <c r="F1425" s="15" t="str">
        <f aca="false">IF(D1425="","",ROUND((D1425-MIN($D$7:$D$9999))*86400,2))</f>
        <v/>
      </c>
      <c r="G1425" s="10" t="str">
        <f aca="false">IF(D1425="","",IF(D1425&lt;=($E$3*60+$F$3)/86400,"○",""))</f>
        <v/>
      </c>
      <c r="H1425" s="16" t="n">
        <v>0.00696678240740741</v>
      </c>
      <c r="I1425" s="17" t="n">
        <v>299</v>
      </c>
      <c r="J1425" s="16" t="n">
        <v>0.00283912037037037</v>
      </c>
      <c r="K1425" s="17" t="n">
        <v>488</v>
      </c>
      <c r="L1425" s="17" t="n">
        <f aca="false">COUNT(E1425,I1425,K1425)</f>
        <v>2</v>
      </c>
      <c r="M1425" s="18" t="n">
        <f aca="false">(D1425&lt;&gt;"")*(D1425&lt;=($E$3*60+$F$3)/86400)+(H1425&lt;&gt;"")*(H1425&lt;=($I$3*60+$J$3)/86400)+(J1425&lt;&gt;"")*(J1425&lt;=($M$3*60+$N$3)/86400)</f>
        <v>0</v>
      </c>
      <c r="N1425" s="20"/>
      <c r="O1425" s="20"/>
      <c r="P1425" s="12" t="s">
        <v>2229</v>
      </c>
      <c r="Q1425" s="19"/>
    </row>
    <row r="1426" customFormat="false" ht="15" hidden="false" customHeight="false" outlineLevel="0" collapsed="false">
      <c r="A1426" s="10" t="n">
        <v>1420</v>
      </c>
      <c r="B1426" s="12" t="s">
        <v>2230</v>
      </c>
      <c r="C1426" s="12" t="s">
        <v>209</v>
      </c>
      <c r="D1426" s="13"/>
      <c r="E1426" s="14"/>
      <c r="F1426" s="15" t="str">
        <f aca="false">IF(D1426="","",ROUND((D1426-MIN($D$7:$D$9999))*86400,2))</f>
        <v/>
      </c>
      <c r="G1426" s="10" t="str">
        <f aca="false">IF(D1426="","",IF(D1426&lt;=($E$3*60+$F$3)/86400,"○",""))</f>
        <v/>
      </c>
      <c r="H1426" s="16" t="n">
        <v>0.00696840277777778</v>
      </c>
      <c r="I1426" s="17" t="n">
        <v>301</v>
      </c>
      <c r="J1426" s="16"/>
      <c r="K1426" s="17"/>
      <c r="L1426" s="17" t="n">
        <f aca="false">COUNT(E1426,I1426,K1426)</f>
        <v>1</v>
      </c>
      <c r="M1426" s="18" t="n">
        <f aca="false">(D1426&lt;&gt;"")*(D1426&lt;=($E$3*60+$F$3)/86400)+(H1426&lt;&gt;"")*(H1426&lt;=($I$3*60+$J$3)/86400)+(J1426&lt;&gt;"")*(J1426&lt;=($M$3*60+$N$3)/86400)</f>
        <v>0</v>
      </c>
      <c r="N1426" s="20"/>
      <c r="O1426" s="20"/>
      <c r="P1426" s="20"/>
      <c r="Q1426" s="19"/>
    </row>
    <row r="1427" customFormat="false" ht="15" hidden="false" customHeight="false" outlineLevel="0" collapsed="false">
      <c r="A1427" s="10" t="n">
        <v>1421</v>
      </c>
      <c r="B1427" s="12" t="s">
        <v>2231</v>
      </c>
      <c r="C1427" s="12" t="s">
        <v>1346</v>
      </c>
      <c r="D1427" s="13"/>
      <c r="E1427" s="14"/>
      <c r="F1427" s="15" t="str">
        <f aca="false">IF(D1427="","",ROUND((D1427-MIN($D$7:$D$9999))*86400,2))</f>
        <v/>
      </c>
      <c r="G1427" s="10" t="str">
        <f aca="false">IF(D1427="","",IF(D1427&lt;=($E$3*60+$F$3)/86400,"○",""))</f>
        <v/>
      </c>
      <c r="H1427" s="16" t="n">
        <v>0.00696851851851852</v>
      </c>
      <c r="I1427" s="17" t="n">
        <v>302</v>
      </c>
      <c r="J1427" s="16"/>
      <c r="K1427" s="17"/>
      <c r="L1427" s="17" t="n">
        <f aca="false">COUNT(E1427,I1427,K1427)</f>
        <v>1</v>
      </c>
      <c r="M1427" s="18" t="n">
        <f aca="false">(D1427&lt;&gt;"")*(D1427&lt;=($E$3*60+$F$3)/86400)+(H1427&lt;&gt;"")*(H1427&lt;=($I$3*60+$J$3)/86400)+(J1427&lt;&gt;"")*(J1427&lt;=($M$3*60+$N$3)/86400)</f>
        <v>0</v>
      </c>
      <c r="N1427" s="20"/>
      <c r="O1427" s="20"/>
      <c r="P1427" s="20"/>
      <c r="Q1427" s="19"/>
    </row>
    <row r="1428" customFormat="false" ht="15" hidden="false" customHeight="false" outlineLevel="0" collapsed="false">
      <c r="A1428" s="10" t="n">
        <v>1422</v>
      </c>
      <c r="B1428" s="12" t="s">
        <v>2232</v>
      </c>
      <c r="C1428" s="12" t="s">
        <v>491</v>
      </c>
      <c r="D1428" s="13"/>
      <c r="E1428" s="14"/>
      <c r="F1428" s="15" t="str">
        <f aca="false">IF(D1428="","",ROUND((D1428-MIN($D$7:$D$9999))*86400,2))</f>
        <v/>
      </c>
      <c r="G1428" s="10" t="str">
        <f aca="false">IF(D1428="","",IF(D1428&lt;=($E$3*60+$F$3)/86400,"○",""))</f>
        <v/>
      </c>
      <c r="H1428" s="16"/>
      <c r="I1428" s="17"/>
      <c r="J1428" s="16" t="n">
        <v>0.00280578703703704</v>
      </c>
      <c r="K1428" s="17" t="n">
        <v>306</v>
      </c>
      <c r="L1428" s="17" t="n">
        <f aca="false">COUNT(E1428,I1428,K1428)</f>
        <v>1</v>
      </c>
      <c r="M1428" s="18" t="n">
        <f aca="false">(D1428&lt;&gt;"")*(D1428&lt;=($E$3*60+$F$3)/86400)+(H1428&lt;&gt;"")*(H1428&lt;=($I$3*60+$J$3)/86400)+(J1428&lt;&gt;"")*(J1428&lt;=($M$3*60+$N$3)/86400)</f>
        <v>0</v>
      </c>
      <c r="N1428" s="20"/>
      <c r="O1428" s="20"/>
      <c r="P1428" s="20"/>
      <c r="Q1428" s="19"/>
    </row>
    <row r="1429" customFormat="false" ht="15" hidden="false" customHeight="false" outlineLevel="0" collapsed="false">
      <c r="A1429" s="10" t="n">
        <v>1423</v>
      </c>
      <c r="B1429" s="12" t="s">
        <v>2233</v>
      </c>
      <c r="C1429" s="12" t="s">
        <v>2234</v>
      </c>
      <c r="D1429" s="13"/>
      <c r="E1429" s="14"/>
      <c r="F1429" s="15" t="str">
        <f aca="false">IF(D1429="","",ROUND((D1429-MIN($D$7:$D$9999))*86400,2))</f>
        <v/>
      </c>
      <c r="G1429" s="10" t="str">
        <f aca="false">IF(D1429="","",IF(D1429&lt;=($E$3*60+$F$3)/86400,"○",""))</f>
        <v/>
      </c>
      <c r="H1429" s="16" t="n">
        <v>0.0069712962962963</v>
      </c>
      <c r="I1429" s="17" t="n">
        <v>307</v>
      </c>
      <c r="J1429" s="16" t="n">
        <v>0.002840625</v>
      </c>
      <c r="K1429" s="17" t="n">
        <v>502</v>
      </c>
      <c r="L1429" s="17" t="n">
        <f aca="false">COUNT(E1429,I1429,K1429)</f>
        <v>2</v>
      </c>
      <c r="M1429" s="18" t="n">
        <f aca="false">(D1429&lt;&gt;"")*(D1429&lt;=($E$3*60+$F$3)/86400)+(H1429&lt;&gt;"")*(H1429&lt;=($I$3*60+$J$3)/86400)+(J1429&lt;&gt;"")*(J1429&lt;=($M$3*60+$N$3)/86400)</f>
        <v>0</v>
      </c>
      <c r="N1429" s="20"/>
      <c r="O1429" s="20"/>
      <c r="P1429" s="20"/>
      <c r="Q1429" s="19"/>
    </row>
    <row r="1430" customFormat="false" ht="15" hidden="false" customHeight="false" outlineLevel="0" collapsed="false">
      <c r="A1430" s="10" t="n">
        <v>1424</v>
      </c>
      <c r="B1430" s="12" t="s">
        <v>2235</v>
      </c>
      <c r="C1430" s="12" t="s">
        <v>2236</v>
      </c>
      <c r="D1430" s="13"/>
      <c r="E1430" s="14"/>
      <c r="F1430" s="15" t="str">
        <f aca="false">IF(D1430="","",ROUND((D1430-MIN($D$7:$D$9999))*86400,2))</f>
        <v/>
      </c>
      <c r="G1430" s="10" t="str">
        <f aca="false">IF(D1430="","",IF(D1430&lt;=($E$3*60+$F$3)/86400,"○",""))</f>
        <v/>
      </c>
      <c r="H1430" s="16" t="n">
        <v>0.00697789351851852</v>
      </c>
      <c r="I1430" s="17" t="n">
        <v>309</v>
      </c>
      <c r="J1430" s="16"/>
      <c r="K1430" s="17"/>
      <c r="L1430" s="17" t="n">
        <f aca="false">COUNT(E1430,I1430,K1430)</f>
        <v>1</v>
      </c>
      <c r="M1430" s="18" t="n">
        <f aca="false">(D1430&lt;&gt;"")*(D1430&lt;=($E$3*60+$F$3)/86400)+(H1430&lt;&gt;"")*(H1430&lt;=($I$3*60+$J$3)/86400)+(J1430&lt;&gt;"")*(J1430&lt;=($M$3*60+$N$3)/86400)</f>
        <v>0</v>
      </c>
      <c r="N1430" s="20"/>
      <c r="O1430" s="20"/>
      <c r="P1430" s="20"/>
      <c r="Q1430" s="19"/>
    </row>
    <row r="1431" customFormat="false" ht="15" hidden="false" customHeight="false" outlineLevel="0" collapsed="false">
      <c r="A1431" s="10" t="n">
        <v>1425</v>
      </c>
      <c r="B1431" s="12" t="s">
        <v>2237</v>
      </c>
      <c r="C1431" s="12" t="s">
        <v>94</v>
      </c>
      <c r="D1431" s="13"/>
      <c r="E1431" s="14"/>
      <c r="F1431" s="15" t="str">
        <f aca="false">IF(D1431="","",ROUND((D1431-MIN($D$7:$D$9999))*86400,2))</f>
        <v/>
      </c>
      <c r="G1431" s="10" t="str">
        <f aca="false">IF(D1431="","",IF(D1431&lt;=($E$3*60+$F$3)/86400,"○",""))</f>
        <v/>
      </c>
      <c r="H1431" s="16" t="n">
        <v>0.00697835648148148</v>
      </c>
      <c r="I1431" s="17" t="n">
        <v>310</v>
      </c>
      <c r="J1431" s="16"/>
      <c r="K1431" s="17"/>
      <c r="L1431" s="17" t="n">
        <f aca="false">COUNT(E1431,I1431,K1431)</f>
        <v>1</v>
      </c>
      <c r="M1431" s="18" t="n">
        <f aca="false">(D1431&lt;&gt;"")*(D1431&lt;=($E$3*60+$F$3)/86400)+(H1431&lt;&gt;"")*(H1431&lt;=($I$3*60+$J$3)/86400)+(J1431&lt;&gt;"")*(J1431&lt;=($M$3*60+$N$3)/86400)</f>
        <v>0</v>
      </c>
      <c r="N1431" s="20"/>
      <c r="O1431" s="20"/>
      <c r="P1431" s="20"/>
      <c r="Q1431" s="19"/>
    </row>
    <row r="1432" customFormat="false" ht="15" hidden="false" customHeight="false" outlineLevel="0" collapsed="false">
      <c r="A1432" s="10" t="n">
        <v>1426</v>
      </c>
      <c r="B1432" s="12" t="s">
        <v>2238</v>
      </c>
      <c r="C1432" s="12" t="s">
        <v>2239</v>
      </c>
      <c r="D1432" s="13"/>
      <c r="E1432" s="14"/>
      <c r="F1432" s="15" t="str">
        <f aca="false">IF(D1432="","",ROUND((D1432-MIN($D$7:$D$9999))*86400,2))</f>
        <v/>
      </c>
      <c r="G1432" s="10" t="str">
        <f aca="false">IF(D1432="","",IF(D1432&lt;=($E$3*60+$F$3)/86400,"○",""))</f>
        <v/>
      </c>
      <c r="H1432" s="16"/>
      <c r="I1432" s="17"/>
      <c r="J1432" s="16" t="n">
        <v>0.00280671296296296</v>
      </c>
      <c r="K1432" s="17" t="n">
        <v>311</v>
      </c>
      <c r="L1432" s="17" t="n">
        <f aca="false">COUNT(E1432,I1432,K1432)</f>
        <v>1</v>
      </c>
      <c r="M1432" s="18" t="n">
        <f aca="false">(D1432&lt;&gt;"")*(D1432&lt;=($E$3*60+$F$3)/86400)+(H1432&lt;&gt;"")*(H1432&lt;=($I$3*60+$J$3)/86400)+(J1432&lt;&gt;"")*(J1432&lt;=($M$3*60+$N$3)/86400)</f>
        <v>0</v>
      </c>
      <c r="N1432" s="20"/>
      <c r="O1432" s="20"/>
      <c r="P1432" s="20"/>
      <c r="Q1432" s="19"/>
    </row>
    <row r="1433" customFormat="false" ht="15" hidden="false" customHeight="false" outlineLevel="0" collapsed="false">
      <c r="A1433" s="10" t="n">
        <v>1427</v>
      </c>
      <c r="B1433" s="12" t="s">
        <v>2240</v>
      </c>
      <c r="C1433" s="12" t="s">
        <v>195</v>
      </c>
      <c r="D1433" s="13"/>
      <c r="E1433" s="14"/>
      <c r="F1433" s="15" t="str">
        <f aca="false">IF(D1433="","",ROUND((D1433-MIN($D$7:$D$9999))*86400,2))</f>
        <v/>
      </c>
      <c r="G1433" s="10" t="str">
        <f aca="false">IF(D1433="","",IF(D1433&lt;=($E$3*60+$F$3)/86400,"○",""))</f>
        <v/>
      </c>
      <c r="H1433" s="16" t="n">
        <v>0.00697939814814815</v>
      </c>
      <c r="I1433" s="17" t="n">
        <v>312</v>
      </c>
      <c r="J1433" s="16"/>
      <c r="K1433" s="17"/>
      <c r="L1433" s="17" t="n">
        <f aca="false">COUNT(E1433,I1433,K1433)</f>
        <v>1</v>
      </c>
      <c r="M1433" s="18" t="n">
        <f aca="false">(D1433&lt;&gt;"")*(D1433&lt;=($E$3*60+$F$3)/86400)+(H1433&lt;&gt;"")*(H1433&lt;=($I$3*60+$J$3)/86400)+(J1433&lt;&gt;"")*(J1433&lt;=($M$3*60+$N$3)/86400)</f>
        <v>0</v>
      </c>
      <c r="N1433" s="20"/>
      <c r="O1433" s="20"/>
      <c r="P1433" s="20"/>
      <c r="Q1433" s="19"/>
    </row>
    <row r="1434" customFormat="false" ht="15" hidden="false" customHeight="false" outlineLevel="0" collapsed="false">
      <c r="A1434" s="10" t="n">
        <v>1428</v>
      </c>
      <c r="B1434" s="12" t="s">
        <v>2241</v>
      </c>
      <c r="C1434" s="12" t="s">
        <v>2242</v>
      </c>
      <c r="D1434" s="13"/>
      <c r="E1434" s="14"/>
      <c r="F1434" s="15" t="str">
        <f aca="false">IF(D1434="","",ROUND((D1434-MIN($D$7:$D$9999))*86400,2))</f>
        <v/>
      </c>
      <c r="G1434" s="10" t="str">
        <f aca="false">IF(D1434="","",IF(D1434&lt;=($E$3*60+$F$3)/86400,"○",""))</f>
        <v/>
      </c>
      <c r="H1434" s="16"/>
      <c r="I1434" s="17"/>
      <c r="J1434" s="16" t="n">
        <v>0.00280740740740741</v>
      </c>
      <c r="K1434" s="17" t="n">
        <v>315</v>
      </c>
      <c r="L1434" s="17" t="n">
        <f aca="false">COUNT(E1434,I1434,K1434)</f>
        <v>1</v>
      </c>
      <c r="M1434" s="18" t="n">
        <f aca="false">(D1434&lt;&gt;"")*(D1434&lt;=($E$3*60+$F$3)/86400)+(H1434&lt;&gt;"")*(H1434&lt;=($I$3*60+$J$3)/86400)+(J1434&lt;&gt;"")*(J1434&lt;=($M$3*60+$N$3)/86400)</f>
        <v>0</v>
      </c>
      <c r="N1434" s="20"/>
      <c r="O1434" s="20"/>
      <c r="P1434" s="20"/>
      <c r="Q1434" s="19"/>
    </row>
    <row r="1435" customFormat="false" ht="15" hidden="false" customHeight="false" outlineLevel="0" collapsed="false">
      <c r="A1435" s="10" t="n">
        <v>1429</v>
      </c>
      <c r="B1435" s="12" t="s">
        <v>2243</v>
      </c>
      <c r="C1435" s="12" t="s">
        <v>2244</v>
      </c>
      <c r="D1435" s="13"/>
      <c r="E1435" s="14"/>
      <c r="F1435" s="15" t="str">
        <f aca="false">IF(D1435="","",ROUND((D1435-MIN($D$7:$D$9999))*86400,2))</f>
        <v/>
      </c>
      <c r="G1435" s="10" t="str">
        <f aca="false">IF(D1435="","",IF(D1435&lt;=($E$3*60+$F$3)/86400,"○",""))</f>
        <v/>
      </c>
      <c r="H1435" s="16" t="n">
        <v>0.00698125</v>
      </c>
      <c r="I1435" s="17" t="n">
        <v>316</v>
      </c>
      <c r="J1435" s="16"/>
      <c r="K1435" s="17"/>
      <c r="L1435" s="17" t="n">
        <f aca="false">COUNT(E1435,I1435,K1435)</f>
        <v>1</v>
      </c>
      <c r="M1435" s="18" t="n">
        <f aca="false">(D1435&lt;&gt;"")*(D1435&lt;=($E$3*60+$F$3)/86400)+(H1435&lt;&gt;"")*(H1435&lt;=($I$3*60+$J$3)/86400)+(J1435&lt;&gt;"")*(J1435&lt;=($M$3*60+$N$3)/86400)</f>
        <v>0</v>
      </c>
      <c r="N1435" s="20"/>
      <c r="O1435" s="20"/>
      <c r="P1435" s="20"/>
      <c r="Q1435" s="19"/>
    </row>
    <row r="1436" customFormat="false" ht="15" hidden="false" customHeight="false" outlineLevel="0" collapsed="false">
      <c r="A1436" s="10" t="n">
        <v>1430</v>
      </c>
      <c r="B1436" s="12" t="s">
        <v>2245</v>
      </c>
      <c r="C1436" s="12" t="s">
        <v>2246</v>
      </c>
      <c r="D1436" s="13"/>
      <c r="E1436" s="14"/>
      <c r="F1436" s="15" t="str">
        <f aca="false">IF(D1436="","",ROUND((D1436-MIN($D$7:$D$9999))*86400,2))</f>
        <v/>
      </c>
      <c r="G1436" s="10" t="str">
        <f aca="false">IF(D1436="","",IF(D1436&lt;=($E$3*60+$F$3)/86400,"○",""))</f>
        <v/>
      </c>
      <c r="H1436" s="16" t="n">
        <v>0.00698229166666667</v>
      </c>
      <c r="I1436" s="17" t="n">
        <v>317</v>
      </c>
      <c r="J1436" s="16"/>
      <c r="K1436" s="17"/>
      <c r="L1436" s="17" t="n">
        <f aca="false">COUNT(E1436,I1436,K1436)</f>
        <v>1</v>
      </c>
      <c r="M1436" s="18" t="n">
        <f aca="false">(D1436&lt;&gt;"")*(D1436&lt;=($E$3*60+$F$3)/86400)+(H1436&lt;&gt;"")*(H1436&lt;=($I$3*60+$J$3)/86400)+(J1436&lt;&gt;"")*(J1436&lt;=($M$3*60+$N$3)/86400)</f>
        <v>0</v>
      </c>
      <c r="N1436" s="20"/>
      <c r="O1436" s="20"/>
      <c r="P1436" s="20"/>
      <c r="Q1436" s="19"/>
    </row>
    <row r="1437" customFormat="false" ht="15" hidden="false" customHeight="false" outlineLevel="0" collapsed="false">
      <c r="A1437" s="10" t="n">
        <v>1431</v>
      </c>
      <c r="B1437" s="12" t="s">
        <v>2247</v>
      </c>
      <c r="C1437" s="12" t="s">
        <v>2248</v>
      </c>
      <c r="D1437" s="13"/>
      <c r="E1437" s="14"/>
      <c r="F1437" s="15" t="str">
        <f aca="false">IF(D1437="","",ROUND((D1437-MIN($D$7:$D$9999))*86400,2))</f>
        <v/>
      </c>
      <c r="G1437" s="10" t="str">
        <f aca="false">IF(D1437="","",IF(D1437&lt;=($E$3*60+$F$3)/86400,"○",""))</f>
        <v/>
      </c>
      <c r="H1437" s="16" t="n">
        <v>0.00698252314814815</v>
      </c>
      <c r="I1437" s="17" t="n">
        <v>318</v>
      </c>
      <c r="J1437" s="16"/>
      <c r="K1437" s="17"/>
      <c r="L1437" s="17" t="n">
        <f aca="false">COUNT(E1437,I1437,K1437)</f>
        <v>1</v>
      </c>
      <c r="M1437" s="18" t="n">
        <f aca="false">(D1437&lt;&gt;"")*(D1437&lt;=($E$3*60+$F$3)/86400)+(H1437&lt;&gt;"")*(H1437&lt;=($I$3*60+$J$3)/86400)+(J1437&lt;&gt;"")*(J1437&lt;=($M$3*60+$N$3)/86400)</f>
        <v>0</v>
      </c>
      <c r="N1437" s="20"/>
      <c r="O1437" s="20"/>
      <c r="P1437" s="20"/>
      <c r="Q1437" s="19"/>
    </row>
    <row r="1438" customFormat="false" ht="15" hidden="false" customHeight="false" outlineLevel="0" collapsed="false">
      <c r="A1438" s="10" t="n">
        <v>1432</v>
      </c>
      <c r="B1438" s="12" t="s">
        <v>2249</v>
      </c>
      <c r="C1438" s="12" t="s">
        <v>159</v>
      </c>
      <c r="D1438" s="13"/>
      <c r="E1438" s="14"/>
      <c r="F1438" s="15" t="str">
        <f aca="false">IF(D1438="","",ROUND((D1438-MIN($D$7:$D$9999))*86400,2))</f>
        <v/>
      </c>
      <c r="G1438" s="10" t="str">
        <f aca="false">IF(D1438="","",IF(D1438&lt;=($E$3*60+$F$3)/86400,"○",""))</f>
        <v/>
      </c>
      <c r="H1438" s="16" t="n">
        <v>0.00698356481481482</v>
      </c>
      <c r="I1438" s="17" t="n">
        <v>319</v>
      </c>
      <c r="J1438" s="16" t="n">
        <v>0.00283460648148148</v>
      </c>
      <c r="K1438" s="17" t="n">
        <v>454</v>
      </c>
      <c r="L1438" s="17" t="n">
        <f aca="false">COUNT(E1438,I1438,K1438)</f>
        <v>2</v>
      </c>
      <c r="M1438" s="18" t="n">
        <f aca="false">(D1438&lt;&gt;"")*(D1438&lt;=($E$3*60+$F$3)/86400)+(H1438&lt;&gt;"")*(H1438&lt;=($I$3*60+$J$3)/86400)+(J1438&lt;&gt;"")*(J1438&lt;=($M$3*60+$N$3)/86400)</f>
        <v>0</v>
      </c>
      <c r="N1438" s="20"/>
      <c r="O1438" s="20"/>
      <c r="P1438" s="20"/>
      <c r="Q1438" s="19"/>
    </row>
    <row r="1439" customFormat="false" ht="15" hidden="false" customHeight="false" outlineLevel="0" collapsed="false">
      <c r="A1439" s="10" t="n">
        <v>1433</v>
      </c>
      <c r="B1439" s="12" t="s">
        <v>2250</v>
      </c>
      <c r="C1439" s="12" t="s">
        <v>1315</v>
      </c>
      <c r="D1439" s="13"/>
      <c r="E1439" s="14"/>
      <c r="F1439" s="15" t="str">
        <f aca="false">IF(D1439="","",ROUND((D1439-MIN($D$7:$D$9999))*86400,2))</f>
        <v/>
      </c>
      <c r="G1439" s="10" t="str">
        <f aca="false">IF(D1439="","",IF(D1439&lt;=($E$3*60+$F$3)/86400,"○",""))</f>
        <v/>
      </c>
      <c r="H1439" s="16"/>
      <c r="I1439" s="17"/>
      <c r="J1439" s="16" t="n">
        <v>0.00280844907407407</v>
      </c>
      <c r="K1439" s="17" t="n">
        <v>319</v>
      </c>
      <c r="L1439" s="17" t="n">
        <f aca="false">COUNT(E1439,I1439,K1439)</f>
        <v>1</v>
      </c>
      <c r="M1439" s="18" t="n">
        <f aca="false">(D1439&lt;&gt;"")*(D1439&lt;=($E$3*60+$F$3)/86400)+(H1439&lt;&gt;"")*(H1439&lt;=($I$3*60+$J$3)/86400)+(J1439&lt;&gt;"")*(J1439&lt;=($M$3*60+$N$3)/86400)</f>
        <v>0</v>
      </c>
      <c r="N1439" s="20"/>
      <c r="O1439" s="20"/>
      <c r="P1439" s="20"/>
      <c r="Q1439" s="19"/>
    </row>
    <row r="1440" customFormat="false" ht="15" hidden="false" customHeight="false" outlineLevel="0" collapsed="false">
      <c r="A1440" s="10" t="n">
        <v>1434</v>
      </c>
      <c r="B1440" s="12" t="s">
        <v>2251</v>
      </c>
      <c r="C1440" s="12" t="s">
        <v>2252</v>
      </c>
      <c r="D1440" s="13"/>
      <c r="E1440" s="14"/>
      <c r="F1440" s="15" t="str">
        <f aca="false">IF(D1440="","",ROUND((D1440-MIN($D$7:$D$9999))*86400,2))</f>
        <v/>
      </c>
      <c r="G1440" s="10" t="str">
        <f aca="false">IF(D1440="","",IF(D1440&lt;=($E$3*60+$F$3)/86400,"○",""))</f>
        <v/>
      </c>
      <c r="H1440" s="16"/>
      <c r="I1440" s="17"/>
      <c r="J1440" s="16" t="n">
        <v>0.00280925925925926</v>
      </c>
      <c r="K1440" s="17" t="n">
        <v>322</v>
      </c>
      <c r="L1440" s="17" t="n">
        <f aca="false">COUNT(E1440,I1440,K1440)</f>
        <v>1</v>
      </c>
      <c r="M1440" s="18" t="n">
        <f aca="false">(D1440&lt;&gt;"")*(D1440&lt;=($E$3*60+$F$3)/86400)+(H1440&lt;&gt;"")*(H1440&lt;=($I$3*60+$J$3)/86400)+(J1440&lt;&gt;"")*(J1440&lt;=($M$3*60+$N$3)/86400)</f>
        <v>0</v>
      </c>
      <c r="N1440" s="20"/>
      <c r="O1440" s="20"/>
      <c r="P1440" s="20"/>
      <c r="Q1440" s="19"/>
    </row>
    <row r="1441" customFormat="false" ht="15" hidden="false" customHeight="false" outlineLevel="0" collapsed="false">
      <c r="A1441" s="10" t="n">
        <v>1435</v>
      </c>
      <c r="B1441" s="12" t="s">
        <v>2253</v>
      </c>
      <c r="C1441" s="12" t="s">
        <v>2254</v>
      </c>
      <c r="D1441" s="13"/>
      <c r="E1441" s="14"/>
      <c r="F1441" s="15" t="str">
        <f aca="false">IF(D1441="","",ROUND((D1441-MIN($D$7:$D$9999))*86400,2))</f>
        <v/>
      </c>
      <c r="G1441" s="10" t="str">
        <f aca="false">IF(D1441="","",IF(D1441&lt;=($E$3*60+$F$3)/86400,"○",""))</f>
        <v/>
      </c>
      <c r="H1441" s="16" t="n">
        <v>0.00699039351851852</v>
      </c>
      <c r="I1441" s="17" t="n">
        <v>324</v>
      </c>
      <c r="J1441" s="16"/>
      <c r="K1441" s="17"/>
      <c r="L1441" s="17" t="n">
        <f aca="false">COUNT(E1441,I1441,K1441)</f>
        <v>1</v>
      </c>
      <c r="M1441" s="18" t="n">
        <f aca="false">(D1441&lt;&gt;"")*(D1441&lt;=($E$3*60+$F$3)/86400)+(H1441&lt;&gt;"")*(H1441&lt;=($I$3*60+$J$3)/86400)+(J1441&lt;&gt;"")*(J1441&lt;=($M$3*60+$N$3)/86400)</f>
        <v>0</v>
      </c>
      <c r="N1441" s="20" t="s">
        <v>2255</v>
      </c>
      <c r="O1441" s="20"/>
      <c r="P1441" s="20"/>
      <c r="Q1441" s="19"/>
    </row>
    <row r="1442" customFormat="false" ht="15" hidden="false" customHeight="false" outlineLevel="0" collapsed="false">
      <c r="A1442" s="10" t="n">
        <v>1436</v>
      </c>
      <c r="B1442" s="12" t="s">
        <v>2256</v>
      </c>
      <c r="C1442" s="12" t="s">
        <v>2257</v>
      </c>
      <c r="D1442" s="13"/>
      <c r="E1442" s="14"/>
      <c r="F1442" s="15" t="str">
        <f aca="false">IF(D1442="","",ROUND((D1442-MIN($D$7:$D$9999))*86400,2))</f>
        <v/>
      </c>
      <c r="G1442" s="10" t="str">
        <f aca="false">IF(D1442="","",IF(D1442&lt;=($E$3*60+$F$3)/86400,"○",""))</f>
        <v/>
      </c>
      <c r="H1442" s="16" t="n">
        <v>0.00699490740740741</v>
      </c>
      <c r="I1442" s="17" t="n">
        <v>327</v>
      </c>
      <c r="J1442" s="16"/>
      <c r="K1442" s="17"/>
      <c r="L1442" s="17" t="n">
        <f aca="false">COUNT(E1442,I1442,K1442)</f>
        <v>1</v>
      </c>
      <c r="M1442" s="18" t="n">
        <f aca="false">(D1442&lt;&gt;"")*(D1442&lt;=($E$3*60+$F$3)/86400)+(H1442&lt;&gt;"")*(H1442&lt;=($I$3*60+$J$3)/86400)+(J1442&lt;&gt;"")*(J1442&lt;=($M$3*60+$N$3)/86400)</f>
        <v>0</v>
      </c>
      <c r="N1442" s="20"/>
      <c r="O1442" s="20"/>
      <c r="P1442" s="20"/>
      <c r="Q1442" s="19"/>
    </row>
    <row r="1443" customFormat="false" ht="15" hidden="false" customHeight="false" outlineLevel="0" collapsed="false">
      <c r="A1443" s="10" t="n">
        <v>1437</v>
      </c>
      <c r="B1443" s="12" t="s">
        <v>2258</v>
      </c>
      <c r="C1443" s="12" t="s">
        <v>2259</v>
      </c>
      <c r="D1443" s="13"/>
      <c r="E1443" s="14"/>
      <c r="F1443" s="15" t="str">
        <f aca="false">IF(D1443="","",ROUND((D1443-MIN($D$7:$D$9999))*86400,2))</f>
        <v/>
      </c>
      <c r="G1443" s="10" t="str">
        <f aca="false">IF(D1443="","",IF(D1443&lt;=($E$3*60+$F$3)/86400,"○",""))</f>
        <v/>
      </c>
      <c r="H1443" s="16" t="n">
        <v>0.00699513888888889</v>
      </c>
      <c r="I1443" s="17" t="n">
        <v>329</v>
      </c>
      <c r="J1443" s="16"/>
      <c r="K1443" s="17"/>
      <c r="L1443" s="17" t="n">
        <f aca="false">COUNT(E1443,I1443,K1443)</f>
        <v>1</v>
      </c>
      <c r="M1443" s="18" t="n">
        <f aca="false">(D1443&lt;&gt;"")*(D1443&lt;=($E$3*60+$F$3)/86400)+(H1443&lt;&gt;"")*(H1443&lt;=($I$3*60+$J$3)/86400)+(J1443&lt;&gt;"")*(J1443&lt;=($M$3*60+$N$3)/86400)</f>
        <v>0</v>
      </c>
      <c r="N1443" s="20"/>
      <c r="O1443" s="20"/>
      <c r="P1443" s="20"/>
      <c r="Q1443" s="19"/>
    </row>
    <row r="1444" customFormat="false" ht="15" hidden="false" customHeight="false" outlineLevel="0" collapsed="false">
      <c r="A1444" s="10" t="n">
        <v>1438</v>
      </c>
      <c r="B1444" s="12" t="s">
        <v>2260</v>
      </c>
      <c r="C1444" s="12" t="s">
        <v>2261</v>
      </c>
      <c r="D1444" s="13"/>
      <c r="E1444" s="14"/>
      <c r="F1444" s="15" t="str">
        <f aca="false">IF(D1444="","",ROUND((D1444-MIN($D$7:$D$9999))*86400,2))</f>
        <v/>
      </c>
      <c r="G1444" s="10" t="str">
        <f aca="false">IF(D1444="","",IF(D1444&lt;=($E$3*60+$F$3)/86400,"○",""))</f>
        <v/>
      </c>
      <c r="H1444" s="16" t="n">
        <v>0.00699652777777778</v>
      </c>
      <c r="I1444" s="17" t="n">
        <v>331</v>
      </c>
      <c r="J1444" s="16"/>
      <c r="K1444" s="17"/>
      <c r="L1444" s="17" t="n">
        <f aca="false">COUNT(E1444,I1444,K1444)</f>
        <v>1</v>
      </c>
      <c r="M1444" s="18" t="n">
        <f aca="false">(D1444&lt;&gt;"")*(D1444&lt;=($E$3*60+$F$3)/86400)+(H1444&lt;&gt;"")*(H1444&lt;=($I$3*60+$J$3)/86400)+(J1444&lt;&gt;"")*(J1444&lt;=($M$3*60+$N$3)/86400)</f>
        <v>0</v>
      </c>
      <c r="N1444" s="20"/>
      <c r="O1444" s="20"/>
      <c r="P1444" s="20"/>
      <c r="Q1444" s="19"/>
    </row>
    <row r="1445" customFormat="false" ht="15" hidden="false" customHeight="false" outlineLevel="0" collapsed="false">
      <c r="A1445" s="10" t="n">
        <v>1439</v>
      </c>
      <c r="B1445" s="12" t="s">
        <v>2262</v>
      </c>
      <c r="C1445" s="12" t="s">
        <v>875</v>
      </c>
      <c r="D1445" s="13"/>
      <c r="E1445" s="14"/>
      <c r="F1445" s="15" t="str">
        <f aca="false">IF(D1445="","",ROUND((D1445-MIN($D$7:$D$9999))*86400,2))</f>
        <v/>
      </c>
      <c r="G1445" s="10" t="str">
        <f aca="false">IF(D1445="","",IF(D1445&lt;=($E$3*60+$F$3)/86400,"○",""))</f>
        <v/>
      </c>
      <c r="H1445" s="16"/>
      <c r="I1445" s="17"/>
      <c r="J1445" s="16" t="n">
        <v>0.00281273148148148</v>
      </c>
      <c r="K1445" s="17" t="n">
        <v>331</v>
      </c>
      <c r="L1445" s="17" t="n">
        <f aca="false">COUNT(E1445,I1445,K1445)</f>
        <v>1</v>
      </c>
      <c r="M1445" s="18" t="n">
        <f aca="false">(D1445&lt;&gt;"")*(D1445&lt;=($E$3*60+$F$3)/86400)+(H1445&lt;&gt;"")*(H1445&lt;=($I$3*60+$J$3)/86400)+(J1445&lt;&gt;"")*(J1445&lt;=($M$3*60+$N$3)/86400)</f>
        <v>0</v>
      </c>
      <c r="N1445" s="20" t="s">
        <v>2263</v>
      </c>
      <c r="O1445" s="20"/>
      <c r="P1445" s="20"/>
      <c r="Q1445" s="19"/>
    </row>
    <row r="1446" customFormat="false" ht="15" hidden="false" customHeight="false" outlineLevel="0" collapsed="false">
      <c r="A1446" s="10" t="n">
        <v>1440</v>
      </c>
      <c r="B1446" s="12" t="s">
        <v>2264</v>
      </c>
      <c r="C1446" s="12" t="s">
        <v>382</v>
      </c>
      <c r="D1446" s="13"/>
      <c r="E1446" s="14"/>
      <c r="F1446" s="15" t="str">
        <f aca="false">IF(D1446="","",ROUND((D1446-MIN($D$7:$D$9999))*86400,2))</f>
        <v/>
      </c>
      <c r="G1446" s="10" t="str">
        <f aca="false">IF(D1446="","",IF(D1446&lt;=($E$3*60+$F$3)/86400,"○",""))</f>
        <v/>
      </c>
      <c r="H1446" s="16" t="n">
        <v>0.00699675925925926</v>
      </c>
      <c r="I1446" s="17" t="n">
        <v>332</v>
      </c>
      <c r="J1446" s="16" t="n">
        <v>0.00294293981481482</v>
      </c>
      <c r="K1446" s="17" t="n">
        <v>1210</v>
      </c>
      <c r="L1446" s="17" t="n">
        <f aca="false">COUNT(E1446,I1446,K1446)</f>
        <v>2</v>
      </c>
      <c r="M1446" s="18" t="n">
        <f aca="false">(D1446&lt;&gt;"")*(D1446&lt;=($E$3*60+$F$3)/86400)+(H1446&lt;&gt;"")*(H1446&lt;=($I$3*60+$J$3)/86400)+(J1446&lt;&gt;"")*(J1446&lt;=($M$3*60+$N$3)/86400)</f>
        <v>0</v>
      </c>
      <c r="N1446" s="20"/>
      <c r="O1446" s="20"/>
      <c r="P1446" s="20"/>
      <c r="Q1446" s="19"/>
    </row>
    <row r="1447" customFormat="false" ht="15" hidden="false" customHeight="false" outlineLevel="0" collapsed="false">
      <c r="A1447" s="10" t="n">
        <v>1441</v>
      </c>
      <c r="B1447" s="12" t="s">
        <v>2265</v>
      </c>
      <c r="C1447" s="12" t="s">
        <v>2266</v>
      </c>
      <c r="D1447" s="13"/>
      <c r="E1447" s="14"/>
      <c r="F1447" s="15" t="str">
        <f aca="false">IF(D1447="","",ROUND((D1447-MIN($D$7:$D$9999))*86400,2))</f>
        <v/>
      </c>
      <c r="G1447" s="10" t="str">
        <f aca="false">IF(D1447="","",IF(D1447&lt;=($E$3*60+$F$3)/86400,"○",""))</f>
        <v/>
      </c>
      <c r="H1447" s="16" t="n">
        <v>0.00699722222222222</v>
      </c>
      <c r="I1447" s="17" t="n">
        <v>333</v>
      </c>
      <c r="J1447" s="16" t="n">
        <v>0.00292199074074074</v>
      </c>
      <c r="K1447" s="17" t="n">
        <v>1113</v>
      </c>
      <c r="L1447" s="17" t="n">
        <f aca="false">COUNT(E1447,I1447,K1447)</f>
        <v>2</v>
      </c>
      <c r="M1447" s="18" t="n">
        <f aca="false">(D1447&lt;&gt;"")*(D1447&lt;=($E$3*60+$F$3)/86400)+(H1447&lt;&gt;"")*(H1447&lt;=($I$3*60+$J$3)/86400)+(J1447&lt;&gt;"")*(J1447&lt;=($M$3*60+$N$3)/86400)</f>
        <v>0</v>
      </c>
      <c r="N1447" s="20"/>
      <c r="O1447" s="20"/>
      <c r="P1447" s="20"/>
      <c r="Q1447" s="19"/>
    </row>
    <row r="1448" customFormat="false" ht="15" hidden="false" customHeight="false" outlineLevel="0" collapsed="false">
      <c r="A1448" s="10" t="n">
        <v>1442</v>
      </c>
      <c r="B1448" s="12" t="s">
        <v>2267</v>
      </c>
      <c r="C1448" s="12" t="s">
        <v>2268</v>
      </c>
      <c r="D1448" s="13"/>
      <c r="E1448" s="14"/>
      <c r="F1448" s="15" t="str">
        <f aca="false">IF(D1448="","",ROUND((D1448-MIN($D$7:$D$9999))*86400,2))</f>
        <v/>
      </c>
      <c r="G1448" s="10" t="str">
        <f aca="false">IF(D1448="","",IF(D1448&lt;=($E$3*60+$F$3)/86400,"○",""))</f>
        <v/>
      </c>
      <c r="H1448" s="16" t="n">
        <v>0.00699965277777778</v>
      </c>
      <c r="I1448" s="17" t="n">
        <v>335</v>
      </c>
      <c r="J1448" s="16"/>
      <c r="K1448" s="17"/>
      <c r="L1448" s="17" t="n">
        <f aca="false">COUNT(E1448,I1448,K1448)</f>
        <v>1</v>
      </c>
      <c r="M1448" s="18" t="n">
        <f aca="false">(D1448&lt;&gt;"")*(D1448&lt;=($E$3*60+$F$3)/86400)+(H1448&lt;&gt;"")*(H1448&lt;=($I$3*60+$J$3)/86400)+(J1448&lt;&gt;"")*(J1448&lt;=($M$3*60+$N$3)/86400)</f>
        <v>0</v>
      </c>
      <c r="N1448" s="20"/>
      <c r="O1448" s="20"/>
      <c r="P1448" s="20"/>
      <c r="Q1448" s="19"/>
    </row>
    <row r="1449" customFormat="false" ht="15" hidden="false" customHeight="false" outlineLevel="0" collapsed="false">
      <c r="A1449" s="10" t="n">
        <v>1443</v>
      </c>
      <c r="B1449" s="12" t="s">
        <v>2269</v>
      </c>
      <c r="C1449" s="12" t="s">
        <v>2270</v>
      </c>
      <c r="D1449" s="13"/>
      <c r="E1449" s="14"/>
      <c r="F1449" s="15" t="str">
        <f aca="false">IF(D1449="","",ROUND((D1449-MIN($D$7:$D$9999))*86400,2))</f>
        <v/>
      </c>
      <c r="G1449" s="10" t="str">
        <f aca="false">IF(D1449="","",IF(D1449&lt;=($E$3*60+$F$3)/86400,"○",""))</f>
        <v/>
      </c>
      <c r="H1449" s="16" t="n">
        <v>0.00700046296296296</v>
      </c>
      <c r="I1449" s="17" t="n">
        <v>337</v>
      </c>
      <c r="J1449" s="16"/>
      <c r="K1449" s="17"/>
      <c r="L1449" s="17" t="n">
        <f aca="false">COUNT(E1449,I1449,K1449)</f>
        <v>1</v>
      </c>
      <c r="M1449" s="18" t="n">
        <f aca="false">(D1449&lt;&gt;"")*(D1449&lt;=($E$3*60+$F$3)/86400)+(H1449&lt;&gt;"")*(H1449&lt;=($I$3*60+$J$3)/86400)+(J1449&lt;&gt;"")*(J1449&lt;=($M$3*60+$N$3)/86400)</f>
        <v>0</v>
      </c>
      <c r="N1449" s="20"/>
      <c r="O1449" s="20"/>
      <c r="P1449" s="20"/>
      <c r="Q1449" s="19"/>
    </row>
    <row r="1450" customFormat="false" ht="15" hidden="false" customHeight="false" outlineLevel="0" collapsed="false">
      <c r="A1450" s="10" t="n">
        <v>1444</v>
      </c>
      <c r="B1450" s="12" t="s">
        <v>2271</v>
      </c>
      <c r="C1450" s="12" t="s">
        <v>2272</v>
      </c>
      <c r="D1450" s="13"/>
      <c r="E1450" s="14"/>
      <c r="F1450" s="15" t="str">
        <f aca="false">IF(D1450="","",ROUND((D1450-MIN($D$7:$D$9999))*86400,2))</f>
        <v/>
      </c>
      <c r="G1450" s="10" t="str">
        <f aca="false">IF(D1450="","",IF(D1450&lt;=($E$3*60+$F$3)/86400,"○",""))</f>
        <v/>
      </c>
      <c r="H1450" s="16" t="n">
        <v>0.00700324074074074</v>
      </c>
      <c r="I1450" s="17" t="n">
        <v>339</v>
      </c>
      <c r="J1450" s="16"/>
      <c r="K1450" s="17"/>
      <c r="L1450" s="17" t="n">
        <f aca="false">COUNT(E1450,I1450,K1450)</f>
        <v>1</v>
      </c>
      <c r="M1450" s="18" t="n">
        <f aca="false">(D1450&lt;&gt;"")*(D1450&lt;=($E$3*60+$F$3)/86400)+(H1450&lt;&gt;"")*(H1450&lt;=($I$3*60+$J$3)/86400)+(J1450&lt;&gt;"")*(J1450&lt;=($M$3*60+$N$3)/86400)</f>
        <v>0</v>
      </c>
      <c r="N1450" s="20"/>
      <c r="O1450" s="20"/>
      <c r="P1450" s="20"/>
      <c r="Q1450" s="19"/>
    </row>
    <row r="1451" customFormat="false" ht="15" hidden="false" customHeight="false" outlineLevel="0" collapsed="false">
      <c r="A1451" s="10" t="n">
        <v>1445</v>
      </c>
      <c r="B1451" s="12" t="s">
        <v>2273</v>
      </c>
      <c r="C1451" s="12" t="s">
        <v>204</v>
      </c>
      <c r="D1451" s="13"/>
      <c r="E1451" s="14"/>
      <c r="F1451" s="15" t="str">
        <f aca="false">IF(D1451="","",ROUND((D1451-MIN($D$7:$D$9999))*86400,2))</f>
        <v/>
      </c>
      <c r="G1451" s="10" t="str">
        <f aca="false">IF(D1451="","",IF(D1451&lt;=($E$3*60+$F$3)/86400,"○",""))</f>
        <v/>
      </c>
      <c r="H1451" s="16" t="n">
        <v>0.00700497685185185</v>
      </c>
      <c r="I1451" s="17" t="n">
        <v>342</v>
      </c>
      <c r="J1451" s="16"/>
      <c r="K1451" s="17"/>
      <c r="L1451" s="17" t="n">
        <f aca="false">COUNT(E1451,I1451,K1451)</f>
        <v>1</v>
      </c>
      <c r="M1451" s="18" t="n">
        <f aca="false">(D1451&lt;&gt;"")*(D1451&lt;=($E$3*60+$F$3)/86400)+(H1451&lt;&gt;"")*(H1451&lt;=($I$3*60+$J$3)/86400)+(J1451&lt;&gt;"")*(J1451&lt;=($M$3*60+$N$3)/86400)</f>
        <v>0</v>
      </c>
      <c r="N1451" s="20"/>
      <c r="O1451" s="20"/>
      <c r="P1451" s="20"/>
      <c r="Q1451" s="19"/>
    </row>
    <row r="1452" customFormat="false" ht="15" hidden="false" customHeight="false" outlineLevel="0" collapsed="false">
      <c r="A1452" s="10" t="n">
        <v>1446</v>
      </c>
      <c r="B1452" s="12" t="s">
        <v>2274</v>
      </c>
      <c r="C1452" s="12" t="s">
        <v>316</v>
      </c>
      <c r="D1452" s="13"/>
      <c r="E1452" s="14"/>
      <c r="F1452" s="15" t="str">
        <f aca="false">IF(D1452="","",ROUND((D1452-MIN($D$7:$D$9999))*86400,2))</f>
        <v/>
      </c>
      <c r="G1452" s="10" t="str">
        <f aca="false">IF(D1452="","",IF(D1452&lt;=($E$3*60+$F$3)/86400,"○",""))</f>
        <v/>
      </c>
      <c r="H1452" s="16" t="n">
        <v>0.00711736111111111</v>
      </c>
      <c r="I1452" s="17" t="n">
        <v>463</v>
      </c>
      <c r="J1452" s="16" t="n">
        <v>0.00281493055555556</v>
      </c>
      <c r="K1452" s="17" t="n">
        <v>343</v>
      </c>
      <c r="L1452" s="17" t="n">
        <f aca="false">COUNT(E1452,I1452,K1452)</f>
        <v>2</v>
      </c>
      <c r="M1452" s="18" t="n">
        <f aca="false">(D1452&lt;&gt;"")*(D1452&lt;=($E$3*60+$F$3)/86400)+(H1452&lt;&gt;"")*(H1452&lt;=($I$3*60+$J$3)/86400)+(J1452&lt;&gt;"")*(J1452&lt;=($M$3*60+$N$3)/86400)</f>
        <v>0</v>
      </c>
      <c r="N1452" s="20"/>
      <c r="O1452" s="20"/>
      <c r="P1452" s="20"/>
      <c r="Q1452" s="19"/>
    </row>
    <row r="1453" customFormat="false" ht="15" hidden="false" customHeight="false" outlineLevel="0" collapsed="false">
      <c r="A1453" s="10" t="n">
        <v>1447</v>
      </c>
      <c r="B1453" s="12" t="s">
        <v>2275</v>
      </c>
      <c r="C1453" s="12" t="s">
        <v>1348</v>
      </c>
      <c r="D1453" s="13"/>
      <c r="E1453" s="14"/>
      <c r="F1453" s="15" t="str">
        <f aca="false">IF(D1453="","",ROUND((D1453-MIN($D$7:$D$9999))*86400,2))</f>
        <v/>
      </c>
      <c r="G1453" s="10" t="str">
        <f aca="false">IF(D1453="","",IF(D1453&lt;=($E$3*60+$F$3)/86400,"○",""))</f>
        <v/>
      </c>
      <c r="H1453" s="16" t="n">
        <v>0.00700509259259259</v>
      </c>
      <c r="I1453" s="17" t="n">
        <v>343</v>
      </c>
      <c r="J1453" s="16"/>
      <c r="K1453" s="17"/>
      <c r="L1453" s="17" t="n">
        <f aca="false">COUNT(E1453,I1453,K1453)</f>
        <v>1</v>
      </c>
      <c r="M1453" s="18" t="n">
        <f aca="false">(D1453&lt;&gt;"")*(D1453&lt;=($E$3*60+$F$3)/86400)+(H1453&lt;&gt;"")*(H1453&lt;=($I$3*60+$J$3)/86400)+(J1453&lt;&gt;"")*(J1453&lt;=($M$3*60+$N$3)/86400)</f>
        <v>0</v>
      </c>
      <c r="N1453" s="20"/>
      <c r="O1453" s="20"/>
      <c r="P1453" s="20"/>
      <c r="Q1453" s="19"/>
    </row>
    <row r="1454" customFormat="false" ht="15" hidden="false" customHeight="false" outlineLevel="0" collapsed="false">
      <c r="A1454" s="10" t="n">
        <v>1448</v>
      </c>
      <c r="B1454" s="12" t="s">
        <v>2276</v>
      </c>
      <c r="C1454" s="12" t="s">
        <v>2277</v>
      </c>
      <c r="D1454" s="13"/>
      <c r="E1454" s="14"/>
      <c r="F1454" s="15" t="str">
        <f aca="false">IF(D1454="","",ROUND((D1454-MIN($D$7:$D$9999))*86400,2))</f>
        <v/>
      </c>
      <c r="G1454" s="10" t="str">
        <f aca="false">IF(D1454="","",IF(D1454&lt;=($E$3*60+$F$3)/86400,"○",""))</f>
        <v/>
      </c>
      <c r="H1454" s="16" t="n">
        <v>0.00700601851851852</v>
      </c>
      <c r="I1454" s="17" t="n">
        <v>344</v>
      </c>
      <c r="J1454" s="16"/>
      <c r="K1454" s="17"/>
      <c r="L1454" s="17" t="n">
        <f aca="false">COUNT(E1454,I1454,K1454)</f>
        <v>1</v>
      </c>
      <c r="M1454" s="18" t="n">
        <f aca="false">(D1454&lt;&gt;"")*(D1454&lt;=($E$3*60+$F$3)/86400)+(H1454&lt;&gt;"")*(H1454&lt;=($I$3*60+$J$3)/86400)+(J1454&lt;&gt;"")*(J1454&lt;=($M$3*60+$N$3)/86400)</f>
        <v>0</v>
      </c>
      <c r="N1454" s="20"/>
      <c r="O1454" s="20"/>
      <c r="P1454" s="20"/>
      <c r="Q1454" s="19"/>
    </row>
    <row r="1455" customFormat="false" ht="15" hidden="false" customHeight="false" outlineLevel="0" collapsed="false">
      <c r="A1455" s="10" t="n">
        <v>1449</v>
      </c>
      <c r="B1455" s="12" t="s">
        <v>2278</v>
      </c>
      <c r="C1455" s="12" t="s">
        <v>2279</v>
      </c>
      <c r="D1455" s="13"/>
      <c r="E1455" s="14"/>
      <c r="F1455" s="15" t="str">
        <f aca="false">IF(D1455="","",ROUND((D1455-MIN($D$7:$D$9999))*86400,2))</f>
        <v/>
      </c>
      <c r="G1455" s="10" t="str">
        <f aca="false">IF(D1455="","",IF(D1455&lt;=($E$3*60+$F$3)/86400,"○",""))</f>
        <v/>
      </c>
      <c r="H1455" s="16"/>
      <c r="I1455" s="17"/>
      <c r="J1455" s="16" t="n">
        <v>0.00281631944444445</v>
      </c>
      <c r="K1455" s="17" t="n">
        <v>345</v>
      </c>
      <c r="L1455" s="17" t="n">
        <f aca="false">COUNT(E1455,I1455,K1455)</f>
        <v>1</v>
      </c>
      <c r="M1455" s="18" t="n">
        <f aca="false">(D1455&lt;&gt;"")*(D1455&lt;=($E$3*60+$F$3)/86400)+(H1455&lt;&gt;"")*(H1455&lt;=($I$3*60+$J$3)/86400)+(J1455&lt;&gt;"")*(J1455&lt;=($M$3*60+$N$3)/86400)</f>
        <v>0</v>
      </c>
      <c r="N1455" s="20"/>
      <c r="O1455" s="20"/>
      <c r="P1455" s="20"/>
      <c r="Q1455" s="19"/>
    </row>
    <row r="1456" customFormat="false" ht="15" hidden="false" customHeight="false" outlineLevel="0" collapsed="false">
      <c r="A1456" s="10" t="n">
        <v>1450</v>
      </c>
      <c r="B1456" s="12" t="s">
        <v>2280</v>
      </c>
      <c r="C1456" s="12" t="s">
        <v>2281</v>
      </c>
      <c r="D1456" s="13"/>
      <c r="E1456" s="14"/>
      <c r="F1456" s="15" t="str">
        <f aca="false">IF(D1456="","",ROUND((D1456-MIN($D$7:$D$9999))*86400,2))</f>
        <v/>
      </c>
      <c r="G1456" s="10" t="str">
        <f aca="false">IF(D1456="","",IF(D1456&lt;=($E$3*60+$F$3)/86400,"○",""))</f>
        <v/>
      </c>
      <c r="H1456" s="16" t="n">
        <v>0.00700949074074074</v>
      </c>
      <c r="I1456" s="17" t="n">
        <v>346</v>
      </c>
      <c r="J1456" s="16"/>
      <c r="K1456" s="17"/>
      <c r="L1456" s="17" t="n">
        <f aca="false">COUNT(E1456,I1456,K1456)</f>
        <v>1</v>
      </c>
      <c r="M1456" s="18" t="n">
        <f aca="false">(D1456&lt;&gt;"")*(D1456&lt;=($E$3*60+$F$3)/86400)+(H1456&lt;&gt;"")*(H1456&lt;=($I$3*60+$J$3)/86400)+(J1456&lt;&gt;"")*(J1456&lt;=($M$3*60+$N$3)/86400)</f>
        <v>0</v>
      </c>
      <c r="N1456" s="20"/>
      <c r="O1456" s="20"/>
      <c r="P1456" s="20"/>
      <c r="Q1456" s="19"/>
    </row>
    <row r="1457" customFormat="false" ht="15" hidden="false" customHeight="false" outlineLevel="0" collapsed="false">
      <c r="A1457" s="10" t="n">
        <v>1451</v>
      </c>
      <c r="B1457" s="12" t="s">
        <v>2282</v>
      </c>
      <c r="C1457" s="12" t="s">
        <v>2283</v>
      </c>
      <c r="D1457" s="13"/>
      <c r="E1457" s="14"/>
      <c r="F1457" s="15" t="str">
        <f aca="false">IF(D1457="","",ROUND((D1457-MIN($D$7:$D$9999))*86400,2))</f>
        <v/>
      </c>
      <c r="G1457" s="10" t="str">
        <f aca="false">IF(D1457="","",IF(D1457&lt;=($E$3*60+$F$3)/86400,"○",""))</f>
        <v/>
      </c>
      <c r="H1457" s="16" t="n">
        <v>0.00701053240740741</v>
      </c>
      <c r="I1457" s="17" t="n">
        <v>347</v>
      </c>
      <c r="J1457" s="16"/>
      <c r="K1457" s="17"/>
      <c r="L1457" s="17" t="n">
        <f aca="false">COUNT(E1457,I1457,K1457)</f>
        <v>1</v>
      </c>
      <c r="M1457" s="18" t="n">
        <f aca="false">(D1457&lt;&gt;"")*(D1457&lt;=($E$3*60+$F$3)/86400)+(H1457&lt;&gt;"")*(H1457&lt;=($I$3*60+$J$3)/86400)+(J1457&lt;&gt;"")*(J1457&lt;=($M$3*60+$N$3)/86400)</f>
        <v>0</v>
      </c>
      <c r="N1457" s="20"/>
      <c r="O1457" s="20"/>
      <c r="P1457" s="20"/>
      <c r="Q1457" s="19"/>
    </row>
    <row r="1458" customFormat="false" ht="15" hidden="false" customHeight="false" outlineLevel="0" collapsed="false">
      <c r="A1458" s="10" t="n">
        <v>1452</v>
      </c>
      <c r="B1458" s="12" t="s">
        <v>2284</v>
      </c>
      <c r="C1458" s="12" t="s">
        <v>2285</v>
      </c>
      <c r="D1458" s="13"/>
      <c r="E1458" s="14"/>
      <c r="F1458" s="15" t="str">
        <f aca="false">IF(D1458="","",ROUND((D1458-MIN($D$7:$D$9999))*86400,2))</f>
        <v/>
      </c>
      <c r="G1458" s="10" t="str">
        <f aca="false">IF(D1458="","",IF(D1458&lt;=($E$3*60+$F$3)/86400,"○",""))</f>
        <v/>
      </c>
      <c r="H1458" s="16" t="n">
        <v>0.00701053240740741</v>
      </c>
      <c r="I1458" s="17" t="n">
        <v>348</v>
      </c>
      <c r="J1458" s="16"/>
      <c r="K1458" s="17"/>
      <c r="L1458" s="17" t="n">
        <f aca="false">COUNT(E1458,I1458,K1458)</f>
        <v>1</v>
      </c>
      <c r="M1458" s="18" t="n">
        <f aca="false">(D1458&lt;&gt;"")*(D1458&lt;=($E$3*60+$F$3)/86400)+(H1458&lt;&gt;"")*(H1458&lt;=($I$3*60+$J$3)/86400)+(J1458&lt;&gt;"")*(J1458&lt;=($M$3*60+$N$3)/86400)</f>
        <v>0</v>
      </c>
      <c r="N1458" s="20"/>
      <c r="O1458" s="20"/>
      <c r="P1458" s="20"/>
      <c r="Q1458" s="19"/>
    </row>
    <row r="1459" customFormat="false" ht="15" hidden="false" customHeight="false" outlineLevel="0" collapsed="false">
      <c r="A1459" s="10" t="n">
        <v>1453</v>
      </c>
      <c r="B1459" s="12" t="s">
        <v>2286</v>
      </c>
      <c r="C1459" s="12" t="s">
        <v>2287</v>
      </c>
      <c r="D1459" s="13"/>
      <c r="E1459" s="14"/>
      <c r="F1459" s="15" t="str">
        <f aca="false">IF(D1459="","",ROUND((D1459-MIN($D$7:$D$9999))*86400,2))</f>
        <v/>
      </c>
      <c r="G1459" s="10" t="str">
        <f aca="false">IF(D1459="","",IF(D1459&lt;=($E$3*60+$F$3)/86400,"○",""))</f>
        <v/>
      </c>
      <c r="H1459" s="16" t="n">
        <v>0.00701215277777778</v>
      </c>
      <c r="I1459" s="17" t="n">
        <v>349</v>
      </c>
      <c r="J1459" s="16"/>
      <c r="K1459" s="17"/>
      <c r="L1459" s="17" t="n">
        <f aca="false">COUNT(E1459,I1459,K1459)</f>
        <v>1</v>
      </c>
      <c r="M1459" s="18" t="n">
        <f aca="false">(D1459&lt;&gt;"")*(D1459&lt;=($E$3*60+$F$3)/86400)+(H1459&lt;&gt;"")*(H1459&lt;=($I$3*60+$J$3)/86400)+(J1459&lt;&gt;"")*(J1459&lt;=($M$3*60+$N$3)/86400)</f>
        <v>0</v>
      </c>
      <c r="N1459" s="20"/>
      <c r="O1459" s="20"/>
      <c r="P1459" s="20"/>
      <c r="Q1459" s="19"/>
    </row>
    <row r="1460" customFormat="false" ht="15" hidden="false" customHeight="false" outlineLevel="0" collapsed="false">
      <c r="A1460" s="10" t="n">
        <v>1454</v>
      </c>
      <c r="B1460" s="12" t="s">
        <v>2288</v>
      </c>
      <c r="C1460" s="12" t="s">
        <v>2289</v>
      </c>
      <c r="D1460" s="13"/>
      <c r="E1460" s="14"/>
      <c r="F1460" s="15" t="str">
        <f aca="false">IF(D1460="","",ROUND((D1460-MIN($D$7:$D$9999))*86400,2))</f>
        <v/>
      </c>
      <c r="G1460" s="10" t="str">
        <f aca="false">IF(D1460="","",IF(D1460&lt;=($E$3*60+$F$3)/86400,"○",""))</f>
        <v/>
      </c>
      <c r="H1460" s="16"/>
      <c r="I1460" s="17"/>
      <c r="J1460" s="16" t="n">
        <v>0.00281689814814815</v>
      </c>
      <c r="K1460" s="17" t="n">
        <v>349</v>
      </c>
      <c r="L1460" s="17" t="n">
        <f aca="false">COUNT(E1460,I1460,K1460)</f>
        <v>1</v>
      </c>
      <c r="M1460" s="18" t="n">
        <f aca="false">(D1460&lt;&gt;"")*(D1460&lt;=($E$3*60+$F$3)/86400)+(H1460&lt;&gt;"")*(H1460&lt;=($I$3*60+$J$3)/86400)+(J1460&lt;&gt;"")*(J1460&lt;=($M$3*60+$N$3)/86400)</f>
        <v>0</v>
      </c>
      <c r="N1460" s="20"/>
      <c r="O1460" s="20"/>
      <c r="P1460" s="20"/>
      <c r="Q1460" s="19"/>
    </row>
    <row r="1461" customFormat="false" ht="15" hidden="false" customHeight="false" outlineLevel="0" collapsed="false">
      <c r="A1461" s="10" t="n">
        <v>1455</v>
      </c>
      <c r="B1461" s="12" t="s">
        <v>2290</v>
      </c>
      <c r="C1461" s="12" t="s">
        <v>2291</v>
      </c>
      <c r="D1461" s="13"/>
      <c r="E1461" s="14"/>
      <c r="F1461" s="15" t="str">
        <f aca="false">IF(D1461="","",ROUND((D1461-MIN($D$7:$D$9999))*86400,2))</f>
        <v/>
      </c>
      <c r="G1461" s="10" t="str">
        <f aca="false">IF(D1461="","",IF(D1461&lt;=($E$3*60+$F$3)/86400,"○",""))</f>
        <v/>
      </c>
      <c r="H1461" s="16" t="n">
        <v>0.00701273148148148</v>
      </c>
      <c r="I1461" s="17" t="n">
        <v>350</v>
      </c>
      <c r="J1461" s="16"/>
      <c r="K1461" s="17"/>
      <c r="L1461" s="17" t="n">
        <f aca="false">COUNT(E1461,I1461,K1461)</f>
        <v>1</v>
      </c>
      <c r="M1461" s="18" t="n">
        <f aca="false">(D1461&lt;&gt;"")*(D1461&lt;=($E$3*60+$F$3)/86400)+(H1461&lt;&gt;"")*(H1461&lt;=($I$3*60+$J$3)/86400)+(J1461&lt;&gt;"")*(J1461&lt;=($M$3*60+$N$3)/86400)</f>
        <v>0</v>
      </c>
      <c r="N1461" s="20"/>
      <c r="O1461" s="20"/>
      <c r="P1461" s="20"/>
      <c r="Q1461" s="19"/>
    </row>
    <row r="1462" customFormat="false" ht="15" hidden="false" customHeight="false" outlineLevel="0" collapsed="false">
      <c r="A1462" s="10" t="n">
        <v>1456</v>
      </c>
      <c r="B1462" s="12" t="s">
        <v>2292</v>
      </c>
      <c r="C1462" s="12" t="s">
        <v>591</v>
      </c>
      <c r="D1462" s="13"/>
      <c r="E1462" s="14"/>
      <c r="F1462" s="15" t="str">
        <f aca="false">IF(D1462="","",ROUND((D1462-MIN($D$7:$D$9999))*86400,2))</f>
        <v/>
      </c>
      <c r="G1462" s="10" t="str">
        <f aca="false">IF(D1462="","",IF(D1462&lt;=($E$3*60+$F$3)/86400,"○",""))</f>
        <v/>
      </c>
      <c r="H1462" s="16"/>
      <c r="I1462" s="17"/>
      <c r="J1462" s="16" t="n">
        <v>0.00281689814814815</v>
      </c>
      <c r="K1462" s="17" t="n">
        <v>350</v>
      </c>
      <c r="L1462" s="17" t="n">
        <f aca="false">COUNT(E1462,I1462,K1462)</f>
        <v>1</v>
      </c>
      <c r="M1462" s="18" t="n">
        <f aca="false">(D1462&lt;&gt;"")*(D1462&lt;=($E$3*60+$F$3)/86400)+(H1462&lt;&gt;"")*(H1462&lt;=($I$3*60+$J$3)/86400)+(J1462&lt;&gt;"")*(J1462&lt;=($M$3*60+$N$3)/86400)</f>
        <v>0</v>
      </c>
      <c r="N1462" s="20"/>
      <c r="O1462" s="20"/>
      <c r="P1462" s="20"/>
      <c r="Q1462" s="19"/>
    </row>
    <row r="1463" customFormat="false" ht="15" hidden="false" customHeight="false" outlineLevel="0" collapsed="false">
      <c r="A1463" s="10" t="n">
        <v>1457</v>
      </c>
      <c r="B1463" s="12" t="s">
        <v>2293</v>
      </c>
      <c r="C1463" s="12" t="s">
        <v>2294</v>
      </c>
      <c r="D1463" s="13"/>
      <c r="E1463" s="14"/>
      <c r="F1463" s="15" t="str">
        <f aca="false">IF(D1463="","",ROUND((D1463-MIN($D$7:$D$9999))*86400,2))</f>
        <v/>
      </c>
      <c r="G1463" s="10" t="str">
        <f aca="false">IF(D1463="","",IF(D1463&lt;=($E$3*60+$F$3)/86400,"○",""))</f>
        <v/>
      </c>
      <c r="H1463" s="16" t="n">
        <v>0.00701516203703704</v>
      </c>
      <c r="I1463" s="17" t="n">
        <v>351</v>
      </c>
      <c r="J1463" s="16"/>
      <c r="K1463" s="17"/>
      <c r="L1463" s="17" t="n">
        <f aca="false">COUNT(E1463,I1463,K1463)</f>
        <v>1</v>
      </c>
      <c r="M1463" s="18" t="n">
        <f aca="false">(D1463&lt;&gt;"")*(D1463&lt;=($E$3*60+$F$3)/86400)+(H1463&lt;&gt;"")*(H1463&lt;=($I$3*60+$J$3)/86400)+(J1463&lt;&gt;"")*(J1463&lt;=($M$3*60+$N$3)/86400)</f>
        <v>0</v>
      </c>
      <c r="N1463" s="20"/>
      <c r="O1463" s="20"/>
      <c r="P1463" s="20"/>
      <c r="Q1463" s="19"/>
    </row>
    <row r="1464" customFormat="false" ht="15" hidden="false" customHeight="false" outlineLevel="0" collapsed="false">
      <c r="A1464" s="10" t="n">
        <v>1458</v>
      </c>
      <c r="B1464" s="12" t="s">
        <v>2295</v>
      </c>
      <c r="C1464" s="12" t="s">
        <v>1121</v>
      </c>
      <c r="D1464" s="13"/>
      <c r="E1464" s="14"/>
      <c r="F1464" s="15" t="str">
        <f aca="false">IF(D1464="","",ROUND((D1464-MIN($D$7:$D$9999))*86400,2))</f>
        <v/>
      </c>
      <c r="G1464" s="10" t="str">
        <f aca="false">IF(D1464="","",IF(D1464&lt;=($E$3*60+$F$3)/86400,"○",""))</f>
        <v/>
      </c>
      <c r="H1464" s="16" t="n">
        <v>0.00701574074074074</v>
      </c>
      <c r="I1464" s="17" t="n">
        <v>352</v>
      </c>
      <c r="J1464" s="16"/>
      <c r="K1464" s="17"/>
      <c r="L1464" s="17" t="n">
        <f aca="false">COUNT(E1464,I1464,K1464)</f>
        <v>1</v>
      </c>
      <c r="M1464" s="18" t="n">
        <f aca="false">(D1464&lt;&gt;"")*(D1464&lt;=($E$3*60+$F$3)/86400)+(H1464&lt;&gt;"")*(H1464&lt;=($I$3*60+$J$3)/86400)+(J1464&lt;&gt;"")*(J1464&lt;=($M$3*60+$N$3)/86400)</f>
        <v>0</v>
      </c>
      <c r="N1464" s="20"/>
      <c r="O1464" s="20"/>
      <c r="P1464" s="20"/>
      <c r="Q1464" s="19"/>
    </row>
    <row r="1465" customFormat="false" ht="15" hidden="false" customHeight="false" outlineLevel="0" collapsed="false">
      <c r="A1465" s="10" t="n">
        <v>1459</v>
      </c>
      <c r="B1465" s="12" t="s">
        <v>2296</v>
      </c>
      <c r="C1465" s="12" t="s">
        <v>212</v>
      </c>
      <c r="D1465" s="13"/>
      <c r="E1465" s="14"/>
      <c r="F1465" s="15" t="str">
        <f aca="false">IF(D1465="","",ROUND((D1465-MIN($D$7:$D$9999))*86400,2))</f>
        <v/>
      </c>
      <c r="G1465" s="10" t="str">
        <f aca="false">IF(D1465="","",IF(D1465&lt;=($E$3*60+$F$3)/86400,"○",""))</f>
        <v/>
      </c>
      <c r="H1465" s="16"/>
      <c r="I1465" s="17"/>
      <c r="J1465" s="16" t="n">
        <v>0.00281759259259259</v>
      </c>
      <c r="K1465" s="17" t="n">
        <v>352</v>
      </c>
      <c r="L1465" s="17" t="n">
        <f aca="false">COUNT(E1465,I1465,K1465)</f>
        <v>1</v>
      </c>
      <c r="M1465" s="18" t="n">
        <f aca="false">(D1465&lt;&gt;"")*(D1465&lt;=($E$3*60+$F$3)/86400)+(H1465&lt;&gt;"")*(H1465&lt;=($I$3*60+$J$3)/86400)+(J1465&lt;&gt;"")*(J1465&lt;=($M$3*60+$N$3)/86400)</f>
        <v>0</v>
      </c>
      <c r="N1465" s="20"/>
      <c r="O1465" s="20"/>
      <c r="P1465" s="20"/>
      <c r="Q1465" s="19"/>
    </row>
    <row r="1466" customFormat="false" ht="15" hidden="false" customHeight="false" outlineLevel="0" collapsed="false">
      <c r="A1466" s="10" t="n">
        <v>1460</v>
      </c>
      <c r="B1466" s="12" t="s">
        <v>2297</v>
      </c>
      <c r="C1466" s="12" t="s">
        <v>2298</v>
      </c>
      <c r="D1466" s="13"/>
      <c r="E1466" s="14"/>
      <c r="F1466" s="15" t="str">
        <f aca="false">IF(D1466="","",ROUND((D1466-MIN($D$7:$D$9999))*86400,2))</f>
        <v/>
      </c>
      <c r="G1466" s="10" t="str">
        <f aca="false">IF(D1466="","",IF(D1466&lt;=($E$3*60+$F$3)/86400,"○",""))</f>
        <v/>
      </c>
      <c r="H1466" s="16" t="n">
        <v>0.0070224537037037</v>
      </c>
      <c r="I1466" s="17" t="n">
        <v>356</v>
      </c>
      <c r="J1466" s="16"/>
      <c r="K1466" s="17"/>
      <c r="L1466" s="17" t="n">
        <f aca="false">COUNT(E1466,I1466,K1466)</f>
        <v>1</v>
      </c>
      <c r="M1466" s="18" t="n">
        <f aca="false">(D1466&lt;&gt;"")*(D1466&lt;=($E$3*60+$F$3)/86400)+(H1466&lt;&gt;"")*(H1466&lt;=($I$3*60+$J$3)/86400)+(J1466&lt;&gt;"")*(J1466&lt;=($M$3*60+$N$3)/86400)</f>
        <v>0</v>
      </c>
      <c r="N1466" s="20"/>
      <c r="O1466" s="20"/>
      <c r="P1466" s="20"/>
      <c r="Q1466" s="19"/>
    </row>
    <row r="1467" customFormat="false" ht="15" hidden="false" customHeight="false" outlineLevel="0" collapsed="false">
      <c r="A1467" s="10" t="n">
        <v>1461</v>
      </c>
      <c r="B1467" s="12" t="s">
        <v>2299</v>
      </c>
      <c r="C1467" s="12" t="s">
        <v>2300</v>
      </c>
      <c r="D1467" s="13"/>
      <c r="E1467" s="14"/>
      <c r="F1467" s="15" t="str">
        <f aca="false">IF(D1467="","",ROUND((D1467-MIN($D$7:$D$9999))*86400,2))</f>
        <v/>
      </c>
      <c r="G1467" s="10" t="str">
        <f aca="false">IF(D1467="","",IF(D1467&lt;=($E$3*60+$F$3)/86400,"○",""))</f>
        <v/>
      </c>
      <c r="H1467" s="16"/>
      <c r="I1467" s="17"/>
      <c r="J1467" s="16" t="n">
        <v>0.00281840277777778</v>
      </c>
      <c r="K1467" s="17" t="n">
        <v>356</v>
      </c>
      <c r="L1467" s="17" t="n">
        <f aca="false">COUNT(E1467,I1467,K1467)</f>
        <v>1</v>
      </c>
      <c r="M1467" s="18" t="n">
        <f aca="false">(D1467&lt;&gt;"")*(D1467&lt;=($E$3*60+$F$3)/86400)+(H1467&lt;&gt;"")*(H1467&lt;=($I$3*60+$J$3)/86400)+(J1467&lt;&gt;"")*(J1467&lt;=($M$3*60+$N$3)/86400)</f>
        <v>0</v>
      </c>
      <c r="N1467" s="20"/>
      <c r="O1467" s="20"/>
      <c r="P1467" s="20"/>
      <c r="Q1467" s="19"/>
    </row>
    <row r="1468" customFormat="false" ht="15" hidden="false" customHeight="false" outlineLevel="0" collapsed="false">
      <c r="A1468" s="10" t="n">
        <v>1462</v>
      </c>
      <c r="B1468" s="12" t="s">
        <v>2301</v>
      </c>
      <c r="C1468" s="12" t="s">
        <v>2302</v>
      </c>
      <c r="D1468" s="13"/>
      <c r="E1468" s="14"/>
      <c r="F1468" s="15" t="str">
        <f aca="false">IF(D1468="","",ROUND((D1468-MIN($D$7:$D$9999))*86400,2))</f>
        <v/>
      </c>
      <c r="G1468" s="10" t="str">
        <f aca="false">IF(D1468="","",IF(D1468&lt;=($E$3*60+$F$3)/86400,"○",""))</f>
        <v/>
      </c>
      <c r="H1468" s="16" t="n">
        <v>0.00702291666666667</v>
      </c>
      <c r="I1468" s="17" t="n">
        <v>357</v>
      </c>
      <c r="J1468" s="16"/>
      <c r="K1468" s="17"/>
      <c r="L1468" s="17" t="n">
        <f aca="false">COUNT(E1468,I1468,K1468)</f>
        <v>1</v>
      </c>
      <c r="M1468" s="18" t="n">
        <f aca="false">(D1468&lt;&gt;"")*(D1468&lt;=($E$3*60+$F$3)/86400)+(H1468&lt;&gt;"")*(H1468&lt;=($I$3*60+$J$3)/86400)+(J1468&lt;&gt;"")*(J1468&lt;=($M$3*60+$N$3)/86400)</f>
        <v>0</v>
      </c>
      <c r="N1468" s="20"/>
      <c r="O1468" s="20"/>
      <c r="P1468" s="20"/>
      <c r="Q1468" s="19"/>
    </row>
    <row r="1469" customFormat="false" ht="15" hidden="false" customHeight="false" outlineLevel="0" collapsed="false">
      <c r="A1469" s="10" t="n">
        <v>1463</v>
      </c>
      <c r="B1469" s="12" t="s">
        <v>2303</v>
      </c>
      <c r="C1469" s="12" t="s">
        <v>2304</v>
      </c>
      <c r="D1469" s="13"/>
      <c r="E1469" s="14"/>
      <c r="F1469" s="15" t="str">
        <f aca="false">IF(D1469="","",ROUND((D1469-MIN($D$7:$D$9999))*86400,2))</f>
        <v/>
      </c>
      <c r="G1469" s="10" t="str">
        <f aca="false">IF(D1469="","",IF(D1469&lt;=($E$3*60+$F$3)/86400,"○",""))</f>
        <v/>
      </c>
      <c r="H1469" s="16" t="n">
        <v>0.00702291666666667</v>
      </c>
      <c r="I1469" s="17" t="n">
        <v>358</v>
      </c>
      <c r="J1469" s="16"/>
      <c r="K1469" s="17"/>
      <c r="L1469" s="17" t="n">
        <f aca="false">COUNT(E1469,I1469,K1469)</f>
        <v>1</v>
      </c>
      <c r="M1469" s="18" t="n">
        <f aca="false">(D1469&lt;&gt;"")*(D1469&lt;=($E$3*60+$F$3)/86400)+(H1469&lt;&gt;"")*(H1469&lt;=($I$3*60+$J$3)/86400)+(J1469&lt;&gt;"")*(J1469&lt;=($M$3*60+$N$3)/86400)</f>
        <v>0</v>
      </c>
      <c r="N1469" s="20"/>
      <c r="O1469" s="20"/>
      <c r="P1469" s="20"/>
      <c r="Q1469" s="19"/>
    </row>
    <row r="1470" customFormat="false" ht="15" hidden="false" customHeight="false" outlineLevel="0" collapsed="false">
      <c r="A1470" s="10" t="n">
        <v>1464</v>
      </c>
      <c r="B1470" s="12" t="s">
        <v>2305</v>
      </c>
      <c r="C1470" s="12" t="s">
        <v>311</v>
      </c>
      <c r="D1470" s="13"/>
      <c r="E1470" s="14"/>
      <c r="F1470" s="15" t="str">
        <f aca="false">IF(D1470="","",ROUND((D1470-MIN($D$7:$D$9999))*86400,2))</f>
        <v/>
      </c>
      <c r="G1470" s="10" t="str">
        <f aca="false">IF(D1470="","",IF(D1470&lt;=($E$3*60+$F$3)/86400,"○",""))</f>
        <v/>
      </c>
      <c r="H1470" s="16" t="n">
        <v>0.00702662037037037</v>
      </c>
      <c r="I1470" s="17" t="n">
        <v>361</v>
      </c>
      <c r="J1470" s="16"/>
      <c r="K1470" s="17"/>
      <c r="L1470" s="17" t="n">
        <f aca="false">COUNT(E1470,I1470,K1470)</f>
        <v>1</v>
      </c>
      <c r="M1470" s="18" t="n">
        <f aca="false">(D1470&lt;&gt;"")*(D1470&lt;=($E$3*60+$F$3)/86400)+(H1470&lt;&gt;"")*(H1470&lt;=($I$3*60+$J$3)/86400)+(J1470&lt;&gt;"")*(J1470&lt;=($M$3*60+$N$3)/86400)</f>
        <v>0</v>
      </c>
      <c r="N1470" s="20"/>
      <c r="O1470" s="20"/>
      <c r="P1470" s="20"/>
      <c r="Q1470" s="19"/>
    </row>
    <row r="1471" customFormat="false" ht="15" hidden="false" customHeight="false" outlineLevel="0" collapsed="false">
      <c r="A1471" s="10" t="n">
        <v>1465</v>
      </c>
      <c r="B1471" s="12" t="s">
        <v>2306</v>
      </c>
      <c r="C1471" s="12" t="s">
        <v>2307</v>
      </c>
      <c r="D1471" s="13"/>
      <c r="E1471" s="14"/>
      <c r="F1471" s="15" t="str">
        <f aca="false">IF(D1471="","",ROUND((D1471-MIN($D$7:$D$9999))*86400,2))</f>
        <v/>
      </c>
      <c r="G1471" s="10" t="str">
        <f aca="false">IF(D1471="","",IF(D1471&lt;=($E$3*60+$F$3)/86400,"○",""))</f>
        <v/>
      </c>
      <c r="H1471" s="16" t="n">
        <v>0.00702708333333333</v>
      </c>
      <c r="I1471" s="17" t="n">
        <v>362</v>
      </c>
      <c r="J1471" s="16" t="n">
        <v>0.00290983796296296</v>
      </c>
      <c r="K1471" s="17" t="n">
        <v>1018</v>
      </c>
      <c r="L1471" s="17" t="n">
        <f aca="false">COUNT(E1471,I1471,K1471)</f>
        <v>2</v>
      </c>
      <c r="M1471" s="18" t="n">
        <f aca="false">(D1471&lt;&gt;"")*(D1471&lt;=($E$3*60+$F$3)/86400)+(H1471&lt;&gt;"")*(H1471&lt;=($I$3*60+$J$3)/86400)+(J1471&lt;&gt;"")*(J1471&lt;=($M$3*60+$N$3)/86400)</f>
        <v>0</v>
      </c>
      <c r="N1471" s="20"/>
      <c r="O1471" s="20"/>
      <c r="P1471" s="20"/>
      <c r="Q1471" s="19"/>
    </row>
    <row r="1472" customFormat="false" ht="15" hidden="false" customHeight="false" outlineLevel="0" collapsed="false">
      <c r="A1472" s="10" t="n">
        <v>1466</v>
      </c>
      <c r="B1472" s="12" t="s">
        <v>2308</v>
      </c>
      <c r="C1472" s="12" t="s">
        <v>1255</v>
      </c>
      <c r="D1472" s="13"/>
      <c r="E1472" s="14"/>
      <c r="F1472" s="15" t="str">
        <f aca="false">IF(D1472="","",ROUND((D1472-MIN($D$7:$D$9999))*86400,2))</f>
        <v/>
      </c>
      <c r="G1472" s="10" t="str">
        <f aca="false">IF(D1472="","",IF(D1472&lt;=($E$3*60+$F$3)/86400,"○",""))</f>
        <v/>
      </c>
      <c r="H1472" s="16" t="n">
        <v>0.00702962962962963</v>
      </c>
      <c r="I1472" s="17" t="n">
        <v>363</v>
      </c>
      <c r="J1472" s="16"/>
      <c r="K1472" s="17"/>
      <c r="L1472" s="17" t="n">
        <f aca="false">COUNT(E1472,I1472,K1472)</f>
        <v>1</v>
      </c>
      <c r="M1472" s="18" t="n">
        <f aca="false">(D1472&lt;&gt;"")*(D1472&lt;=($E$3*60+$F$3)/86400)+(H1472&lt;&gt;"")*(H1472&lt;=($I$3*60+$J$3)/86400)+(J1472&lt;&gt;"")*(J1472&lt;=($M$3*60+$N$3)/86400)</f>
        <v>0</v>
      </c>
      <c r="N1472" s="20"/>
      <c r="O1472" s="20"/>
      <c r="P1472" s="20"/>
      <c r="Q1472" s="19"/>
    </row>
    <row r="1473" customFormat="false" ht="15" hidden="false" customHeight="false" outlineLevel="0" collapsed="false">
      <c r="A1473" s="10" t="n">
        <v>1467</v>
      </c>
      <c r="B1473" s="12" t="s">
        <v>2309</v>
      </c>
      <c r="C1473" s="12" t="s">
        <v>2310</v>
      </c>
      <c r="D1473" s="13"/>
      <c r="E1473" s="14"/>
      <c r="F1473" s="15" t="str">
        <f aca="false">IF(D1473="","",ROUND((D1473-MIN($D$7:$D$9999))*86400,2))</f>
        <v/>
      </c>
      <c r="G1473" s="10" t="str">
        <f aca="false">IF(D1473="","",IF(D1473&lt;=($E$3*60+$F$3)/86400,"○",""))</f>
        <v/>
      </c>
      <c r="H1473" s="16" t="n">
        <v>0.00703206018518519</v>
      </c>
      <c r="I1473" s="17" t="n">
        <v>364</v>
      </c>
      <c r="J1473" s="16"/>
      <c r="K1473" s="17"/>
      <c r="L1473" s="17" t="n">
        <f aca="false">COUNT(E1473,I1473,K1473)</f>
        <v>1</v>
      </c>
      <c r="M1473" s="18" t="n">
        <f aca="false">(D1473&lt;&gt;"")*(D1473&lt;=($E$3*60+$F$3)/86400)+(H1473&lt;&gt;"")*(H1473&lt;=($I$3*60+$J$3)/86400)+(J1473&lt;&gt;"")*(J1473&lt;=($M$3*60+$N$3)/86400)</f>
        <v>0</v>
      </c>
      <c r="N1473" s="20"/>
      <c r="O1473" s="20"/>
      <c r="P1473" s="20"/>
      <c r="Q1473" s="19"/>
    </row>
    <row r="1474" customFormat="false" ht="15" hidden="false" customHeight="false" outlineLevel="0" collapsed="false">
      <c r="A1474" s="10" t="n">
        <v>1468</v>
      </c>
      <c r="B1474" s="12" t="s">
        <v>2311</v>
      </c>
      <c r="C1474" s="12" t="s">
        <v>2312</v>
      </c>
      <c r="D1474" s="13"/>
      <c r="E1474" s="14"/>
      <c r="F1474" s="15" t="str">
        <f aca="false">IF(D1474="","",ROUND((D1474-MIN($D$7:$D$9999))*86400,2))</f>
        <v/>
      </c>
      <c r="G1474" s="10" t="str">
        <f aca="false">IF(D1474="","",IF(D1474&lt;=($E$3*60+$F$3)/86400,"○",""))</f>
        <v/>
      </c>
      <c r="H1474" s="16" t="n">
        <v>0.00703449074074074</v>
      </c>
      <c r="I1474" s="17" t="n">
        <v>365</v>
      </c>
      <c r="J1474" s="16"/>
      <c r="K1474" s="17"/>
      <c r="L1474" s="17" t="n">
        <f aca="false">COUNT(E1474,I1474,K1474)</f>
        <v>1</v>
      </c>
      <c r="M1474" s="18" t="n">
        <f aca="false">(D1474&lt;&gt;"")*(D1474&lt;=($E$3*60+$F$3)/86400)+(H1474&lt;&gt;"")*(H1474&lt;=($I$3*60+$J$3)/86400)+(J1474&lt;&gt;"")*(J1474&lt;=($M$3*60+$N$3)/86400)</f>
        <v>0</v>
      </c>
      <c r="N1474" s="20"/>
      <c r="O1474" s="20"/>
      <c r="P1474" s="20"/>
      <c r="Q1474" s="19"/>
    </row>
    <row r="1475" customFormat="false" ht="15" hidden="false" customHeight="false" outlineLevel="0" collapsed="false">
      <c r="A1475" s="10" t="n">
        <v>1469</v>
      </c>
      <c r="B1475" s="12" t="s">
        <v>2313</v>
      </c>
      <c r="C1475" s="12" t="s">
        <v>248</v>
      </c>
      <c r="D1475" s="13"/>
      <c r="E1475" s="14"/>
      <c r="F1475" s="15" t="str">
        <f aca="false">IF(D1475="","",ROUND((D1475-MIN($D$7:$D$9999))*86400,2))</f>
        <v/>
      </c>
      <c r="G1475" s="10" t="str">
        <f aca="false">IF(D1475="","",IF(D1475&lt;=($E$3*60+$F$3)/86400,"○",""))</f>
        <v/>
      </c>
      <c r="H1475" s="16" t="n">
        <v>0.00703483796296296</v>
      </c>
      <c r="I1475" s="17" t="n">
        <v>366</v>
      </c>
      <c r="J1475" s="16"/>
      <c r="K1475" s="17"/>
      <c r="L1475" s="17" t="n">
        <f aca="false">COUNT(E1475,I1475,K1475)</f>
        <v>1</v>
      </c>
      <c r="M1475" s="18" t="n">
        <f aca="false">(D1475&lt;&gt;"")*(D1475&lt;=($E$3*60+$F$3)/86400)+(H1475&lt;&gt;"")*(H1475&lt;=($I$3*60+$J$3)/86400)+(J1475&lt;&gt;"")*(J1475&lt;=($M$3*60+$N$3)/86400)</f>
        <v>0</v>
      </c>
      <c r="N1475" s="20"/>
      <c r="O1475" s="20"/>
      <c r="P1475" s="20"/>
      <c r="Q1475" s="19"/>
    </row>
    <row r="1476" customFormat="false" ht="15" hidden="false" customHeight="false" outlineLevel="0" collapsed="false">
      <c r="A1476" s="10" t="n">
        <v>1470</v>
      </c>
      <c r="B1476" s="12" t="s">
        <v>2314</v>
      </c>
      <c r="C1476" s="12" t="s">
        <v>2315</v>
      </c>
      <c r="D1476" s="13"/>
      <c r="E1476" s="14"/>
      <c r="F1476" s="15" t="str">
        <f aca="false">IF(D1476="","",ROUND((D1476-MIN($D$7:$D$9999))*86400,2))</f>
        <v/>
      </c>
      <c r="G1476" s="10" t="str">
        <f aca="false">IF(D1476="","",IF(D1476&lt;=($E$3*60+$F$3)/86400,"○",""))</f>
        <v/>
      </c>
      <c r="H1476" s="16"/>
      <c r="I1476" s="17"/>
      <c r="J1476" s="16" t="n">
        <v>0.00282071759259259</v>
      </c>
      <c r="K1476" s="17" t="n">
        <v>366</v>
      </c>
      <c r="L1476" s="17" t="n">
        <f aca="false">COUNT(E1476,I1476,K1476)</f>
        <v>1</v>
      </c>
      <c r="M1476" s="18" t="n">
        <f aca="false">(D1476&lt;&gt;"")*(D1476&lt;=($E$3*60+$F$3)/86400)+(H1476&lt;&gt;"")*(H1476&lt;=($I$3*60+$J$3)/86400)+(J1476&lt;&gt;"")*(J1476&lt;=($M$3*60+$N$3)/86400)</f>
        <v>0</v>
      </c>
      <c r="N1476" s="20"/>
      <c r="O1476" s="20"/>
      <c r="P1476" s="20"/>
      <c r="Q1476" s="19"/>
    </row>
    <row r="1477" customFormat="false" ht="15" hidden="false" customHeight="false" outlineLevel="0" collapsed="false">
      <c r="A1477" s="10" t="n">
        <v>1471</v>
      </c>
      <c r="B1477" s="12" t="s">
        <v>2316</v>
      </c>
      <c r="C1477" s="12" t="s">
        <v>69</v>
      </c>
      <c r="D1477" s="13"/>
      <c r="E1477" s="14"/>
      <c r="F1477" s="15" t="str">
        <f aca="false">IF(D1477="","",ROUND((D1477-MIN($D$7:$D$9999))*86400,2))</f>
        <v/>
      </c>
      <c r="G1477" s="10" t="str">
        <f aca="false">IF(D1477="","",IF(D1477&lt;=($E$3*60+$F$3)/86400,"○",""))</f>
        <v/>
      </c>
      <c r="H1477" s="16" t="n">
        <v>0.00703738425925926</v>
      </c>
      <c r="I1477" s="17" t="n">
        <v>369</v>
      </c>
      <c r="J1477" s="16" t="n">
        <v>0.00290023148148148</v>
      </c>
      <c r="K1477" s="17" t="n">
        <v>948</v>
      </c>
      <c r="L1477" s="17" t="n">
        <f aca="false">COUNT(E1477,I1477,K1477)</f>
        <v>2</v>
      </c>
      <c r="M1477" s="18" t="n">
        <f aca="false">(D1477&lt;&gt;"")*(D1477&lt;=($E$3*60+$F$3)/86400)+(H1477&lt;&gt;"")*(H1477&lt;=($I$3*60+$J$3)/86400)+(J1477&lt;&gt;"")*(J1477&lt;=($M$3*60+$N$3)/86400)</f>
        <v>0</v>
      </c>
      <c r="N1477" s="20"/>
      <c r="O1477" s="20"/>
      <c r="P1477" s="20"/>
      <c r="Q1477" s="19"/>
    </row>
    <row r="1478" customFormat="false" ht="15" hidden="false" customHeight="false" outlineLevel="0" collapsed="false">
      <c r="A1478" s="10" t="n">
        <v>1472</v>
      </c>
      <c r="B1478" s="12" t="s">
        <v>2317</v>
      </c>
      <c r="C1478" s="12" t="s">
        <v>2318</v>
      </c>
      <c r="D1478" s="13"/>
      <c r="E1478" s="14"/>
      <c r="F1478" s="15" t="str">
        <f aca="false">IF(D1478="","",ROUND((D1478-MIN($D$7:$D$9999))*86400,2))</f>
        <v/>
      </c>
      <c r="G1478" s="10" t="str">
        <f aca="false">IF(D1478="","",IF(D1478&lt;=($E$3*60+$F$3)/86400,"○",""))</f>
        <v/>
      </c>
      <c r="H1478" s="16" t="n">
        <v>0.00703854166666667</v>
      </c>
      <c r="I1478" s="17" t="n">
        <v>372</v>
      </c>
      <c r="J1478" s="16"/>
      <c r="K1478" s="17"/>
      <c r="L1478" s="17" t="n">
        <f aca="false">COUNT(E1478,I1478,K1478)</f>
        <v>1</v>
      </c>
      <c r="M1478" s="18" t="n">
        <f aca="false">(D1478&lt;&gt;"")*(D1478&lt;=($E$3*60+$F$3)/86400)+(H1478&lt;&gt;"")*(H1478&lt;=($I$3*60+$J$3)/86400)+(J1478&lt;&gt;"")*(J1478&lt;=($M$3*60+$N$3)/86400)</f>
        <v>0</v>
      </c>
      <c r="N1478" s="20" t="s">
        <v>2319</v>
      </c>
      <c r="O1478" s="20"/>
      <c r="P1478" s="20"/>
      <c r="Q1478" s="19"/>
    </row>
    <row r="1479" customFormat="false" ht="15" hidden="false" customHeight="false" outlineLevel="0" collapsed="false">
      <c r="A1479" s="10" t="n">
        <v>1473</v>
      </c>
      <c r="B1479" s="12" t="s">
        <v>2320</v>
      </c>
      <c r="C1479" s="12" t="s">
        <v>1697</v>
      </c>
      <c r="D1479" s="13"/>
      <c r="E1479" s="14"/>
      <c r="F1479" s="15" t="str">
        <f aca="false">IF(D1479="","",ROUND((D1479-MIN($D$7:$D$9999))*86400,2))</f>
        <v/>
      </c>
      <c r="G1479" s="10" t="str">
        <f aca="false">IF(D1479="","",IF(D1479&lt;=($E$3*60+$F$3)/86400,"○",""))</f>
        <v/>
      </c>
      <c r="H1479" s="16" t="n">
        <v>0.00703935185185185</v>
      </c>
      <c r="I1479" s="17" t="n">
        <v>373</v>
      </c>
      <c r="J1479" s="16" t="n">
        <v>0.00291840277777778</v>
      </c>
      <c r="K1479" s="17" t="n">
        <v>1078</v>
      </c>
      <c r="L1479" s="17" t="n">
        <f aca="false">COUNT(E1479,I1479,K1479)</f>
        <v>2</v>
      </c>
      <c r="M1479" s="18" t="n">
        <f aca="false">(D1479&lt;&gt;"")*(D1479&lt;=($E$3*60+$F$3)/86400)+(H1479&lt;&gt;"")*(H1479&lt;=($I$3*60+$J$3)/86400)+(J1479&lt;&gt;"")*(J1479&lt;=($M$3*60+$N$3)/86400)</f>
        <v>0</v>
      </c>
      <c r="N1479" s="20"/>
      <c r="O1479" s="20"/>
      <c r="P1479" s="20"/>
      <c r="Q1479" s="19"/>
    </row>
    <row r="1480" customFormat="false" ht="15" hidden="false" customHeight="false" outlineLevel="0" collapsed="false">
      <c r="A1480" s="10" t="n">
        <v>1474</v>
      </c>
      <c r="B1480" s="12" t="s">
        <v>2321</v>
      </c>
      <c r="C1480" s="12" t="s">
        <v>2322</v>
      </c>
      <c r="D1480" s="13"/>
      <c r="E1480" s="14"/>
      <c r="F1480" s="15" t="str">
        <f aca="false">IF(D1480="","",ROUND((D1480-MIN($D$7:$D$9999))*86400,2))</f>
        <v/>
      </c>
      <c r="G1480" s="10" t="str">
        <f aca="false">IF(D1480="","",IF(D1480&lt;=($E$3*60+$F$3)/86400,"○",""))</f>
        <v/>
      </c>
      <c r="H1480" s="16" t="n">
        <v>0.00703935185185185</v>
      </c>
      <c r="I1480" s="17" t="n">
        <v>374</v>
      </c>
      <c r="J1480" s="16"/>
      <c r="K1480" s="17"/>
      <c r="L1480" s="17" t="n">
        <f aca="false">COUNT(E1480,I1480,K1480)</f>
        <v>1</v>
      </c>
      <c r="M1480" s="18" t="n">
        <f aca="false">(D1480&lt;&gt;"")*(D1480&lt;=($E$3*60+$F$3)/86400)+(H1480&lt;&gt;"")*(H1480&lt;=($I$3*60+$J$3)/86400)+(J1480&lt;&gt;"")*(J1480&lt;=($M$3*60+$N$3)/86400)</f>
        <v>0</v>
      </c>
      <c r="N1480" s="20"/>
      <c r="O1480" s="20"/>
      <c r="P1480" s="20"/>
      <c r="Q1480" s="19"/>
    </row>
    <row r="1481" customFormat="false" ht="15" hidden="false" customHeight="false" outlineLevel="0" collapsed="false">
      <c r="A1481" s="10" t="n">
        <v>1475</v>
      </c>
      <c r="B1481" s="12" t="s">
        <v>2323</v>
      </c>
      <c r="C1481" s="12" t="s">
        <v>1255</v>
      </c>
      <c r="D1481" s="13"/>
      <c r="E1481" s="14"/>
      <c r="F1481" s="15" t="str">
        <f aca="false">IF(D1481="","",ROUND((D1481-MIN($D$7:$D$9999))*86400,2))</f>
        <v/>
      </c>
      <c r="G1481" s="10" t="str">
        <f aca="false">IF(D1481="","",IF(D1481&lt;=($E$3*60+$F$3)/86400,"○",""))</f>
        <v/>
      </c>
      <c r="H1481" s="16"/>
      <c r="I1481" s="17"/>
      <c r="J1481" s="16" t="n">
        <v>0.00282199074074074</v>
      </c>
      <c r="K1481" s="17" t="n">
        <v>374</v>
      </c>
      <c r="L1481" s="17" t="n">
        <f aca="false">COUNT(E1481,I1481,K1481)</f>
        <v>1</v>
      </c>
      <c r="M1481" s="18" t="n">
        <f aca="false">(D1481&lt;&gt;"")*(D1481&lt;=($E$3*60+$F$3)/86400)+(H1481&lt;&gt;"")*(H1481&lt;=($I$3*60+$J$3)/86400)+(J1481&lt;&gt;"")*(J1481&lt;=($M$3*60+$N$3)/86400)</f>
        <v>0</v>
      </c>
      <c r="N1481" s="20"/>
      <c r="O1481" s="20"/>
      <c r="P1481" s="20"/>
      <c r="Q1481" s="19"/>
    </row>
    <row r="1482" customFormat="false" ht="15" hidden="false" customHeight="false" outlineLevel="0" collapsed="false">
      <c r="A1482" s="10" t="n">
        <v>1476</v>
      </c>
      <c r="B1482" s="12" t="s">
        <v>2324</v>
      </c>
      <c r="C1482" s="12" t="s">
        <v>236</v>
      </c>
      <c r="D1482" s="13"/>
      <c r="E1482" s="14"/>
      <c r="F1482" s="15" t="str">
        <f aca="false">IF(D1482="","",ROUND((D1482-MIN($D$7:$D$9999))*86400,2))</f>
        <v/>
      </c>
      <c r="G1482" s="10" t="str">
        <f aca="false">IF(D1482="","",IF(D1482&lt;=($E$3*60+$F$3)/86400,"○",""))</f>
        <v/>
      </c>
      <c r="H1482" s="16" t="n">
        <v>0.00704027777777778</v>
      </c>
      <c r="I1482" s="17" t="n">
        <v>376</v>
      </c>
      <c r="J1482" s="16"/>
      <c r="K1482" s="17"/>
      <c r="L1482" s="17" t="n">
        <f aca="false">COUNT(E1482,I1482,K1482)</f>
        <v>1</v>
      </c>
      <c r="M1482" s="18" t="n">
        <f aca="false">(D1482&lt;&gt;"")*(D1482&lt;=($E$3*60+$F$3)/86400)+(H1482&lt;&gt;"")*(H1482&lt;=($I$3*60+$J$3)/86400)+(J1482&lt;&gt;"")*(J1482&lt;=($M$3*60+$N$3)/86400)</f>
        <v>0</v>
      </c>
      <c r="N1482" s="20"/>
      <c r="O1482" s="20"/>
      <c r="P1482" s="20"/>
      <c r="Q1482" s="19"/>
    </row>
    <row r="1483" customFormat="false" ht="15" hidden="false" customHeight="false" outlineLevel="0" collapsed="false">
      <c r="A1483" s="10" t="n">
        <v>1477</v>
      </c>
      <c r="B1483" s="12" t="s">
        <v>2325</v>
      </c>
      <c r="C1483" s="12" t="s">
        <v>885</v>
      </c>
      <c r="D1483" s="13"/>
      <c r="E1483" s="14"/>
      <c r="F1483" s="15" t="str">
        <f aca="false">IF(D1483="","",ROUND((D1483-MIN($D$7:$D$9999))*86400,2))</f>
        <v/>
      </c>
      <c r="G1483" s="10" t="str">
        <f aca="false">IF(D1483="","",IF(D1483&lt;=($E$3*60+$F$3)/86400,"○",""))</f>
        <v/>
      </c>
      <c r="H1483" s="16"/>
      <c r="I1483" s="17"/>
      <c r="J1483" s="16" t="n">
        <v>0.00282233796296296</v>
      </c>
      <c r="K1483" s="17" t="n">
        <v>377</v>
      </c>
      <c r="L1483" s="17" t="n">
        <f aca="false">COUNT(E1483,I1483,K1483)</f>
        <v>1</v>
      </c>
      <c r="M1483" s="18" t="n">
        <f aca="false">(D1483&lt;&gt;"")*(D1483&lt;=($E$3*60+$F$3)/86400)+(H1483&lt;&gt;"")*(H1483&lt;=($I$3*60+$J$3)/86400)+(J1483&lt;&gt;"")*(J1483&lt;=($M$3*60+$N$3)/86400)</f>
        <v>0</v>
      </c>
      <c r="N1483" s="20"/>
      <c r="O1483" s="20"/>
      <c r="P1483" s="20"/>
      <c r="Q1483" s="19"/>
    </row>
    <row r="1484" customFormat="false" ht="15" hidden="false" customHeight="false" outlineLevel="0" collapsed="false">
      <c r="A1484" s="10" t="n">
        <v>1478</v>
      </c>
      <c r="B1484" s="12" t="s">
        <v>2326</v>
      </c>
      <c r="C1484" s="12" t="s">
        <v>2327</v>
      </c>
      <c r="D1484" s="13"/>
      <c r="E1484" s="14"/>
      <c r="F1484" s="15" t="str">
        <f aca="false">IF(D1484="","",ROUND((D1484-MIN($D$7:$D$9999))*86400,2))</f>
        <v/>
      </c>
      <c r="G1484" s="10" t="str">
        <f aca="false">IF(D1484="","",IF(D1484&lt;=($E$3*60+$F$3)/86400,"○",""))</f>
        <v/>
      </c>
      <c r="H1484" s="16" t="n">
        <v>0.00704143518518519</v>
      </c>
      <c r="I1484" s="17" t="n">
        <v>379</v>
      </c>
      <c r="J1484" s="16" t="n">
        <v>0.0029400462962963</v>
      </c>
      <c r="K1484" s="17" t="n">
        <v>1200</v>
      </c>
      <c r="L1484" s="17" t="n">
        <f aca="false">COUNT(E1484,I1484,K1484)</f>
        <v>2</v>
      </c>
      <c r="M1484" s="18" t="n">
        <f aca="false">(D1484&lt;&gt;"")*(D1484&lt;=($E$3*60+$F$3)/86400)+(H1484&lt;&gt;"")*(H1484&lt;=($I$3*60+$J$3)/86400)+(J1484&lt;&gt;"")*(J1484&lt;=($M$3*60+$N$3)/86400)</f>
        <v>0</v>
      </c>
      <c r="N1484" s="20"/>
      <c r="O1484" s="20"/>
      <c r="P1484" s="20"/>
      <c r="Q1484" s="19"/>
    </row>
    <row r="1485" customFormat="false" ht="15" hidden="false" customHeight="false" outlineLevel="0" collapsed="false">
      <c r="A1485" s="10" t="n">
        <v>1479</v>
      </c>
      <c r="B1485" s="12" t="s">
        <v>2328</v>
      </c>
      <c r="C1485" s="12" t="s">
        <v>2329</v>
      </c>
      <c r="D1485" s="13"/>
      <c r="E1485" s="14"/>
      <c r="F1485" s="15" t="str">
        <f aca="false">IF(D1485="","",ROUND((D1485-MIN($D$7:$D$9999))*86400,2))</f>
        <v/>
      </c>
      <c r="G1485" s="10" t="str">
        <f aca="false">IF(D1485="","",IF(D1485&lt;=($E$3*60+$F$3)/86400,"○",""))</f>
        <v/>
      </c>
      <c r="H1485" s="16" t="n">
        <v>0.00704282407407407</v>
      </c>
      <c r="I1485" s="17" t="n">
        <v>380</v>
      </c>
      <c r="J1485" s="16"/>
      <c r="K1485" s="17"/>
      <c r="L1485" s="17" t="n">
        <f aca="false">COUNT(E1485,I1485,K1485)</f>
        <v>1</v>
      </c>
      <c r="M1485" s="18" t="n">
        <f aca="false">(D1485&lt;&gt;"")*(D1485&lt;=($E$3*60+$F$3)/86400)+(H1485&lt;&gt;"")*(H1485&lt;=($I$3*60+$J$3)/86400)+(J1485&lt;&gt;"")*(J1485&lt;=($M$3*60+$N$3)/86400)</f>
        <v>0</v>
      </c>
      <c r="N1485" s="20"/>
      <c r="O1485" s="20"/>
      <c r="P1485" s="20"/>
      <c r="Q1485" s="19"/>
    </row>
    <row r="1486" customFormat="false" ht="15" hidden="false" customHeight="false" outlineLevel="0" collapsed="false">
      <c r="A1486" s="10" t="n">
        <v>1480</v>
      </c>
      <c r="B1486" s="12" t="s">
        <v>2330</v>
      </c>
      <c r="C1486" s="12" t="s">
        <v>2052</v>
      </c>
      <c r="D1486" s="13"/>
      <c r="E1486" s="14"/>
      <c r="F1486" s="15" t="str">
        <f aca="false">IF(D1486="","",ROUND((D1486-MIN($D$7:$D$9999))*86400,2))</f>
        <v/>
      </c>
      <c r="G1486" s="10" t="str">
        <f aca="false">IF(D1486="","",IF(D1486&lt;=($E$3*60+$F$3)/86400,"○",""))</f>
        <v/>
      </c>
      <c r="H1486" s="16"/>
      <c r="I1486" s="17"/>
      <c r="J1486" s="16" t="n">
        <v>0.00282280092592593</v>
      </c>
      <c r="K1486" s="17" t="n">
        <v>380</v>
      </c>
      <c r="L1486" s="17" t="n">
        <f aca="false">COUNT(E1486,I1486,K1486)</f>
        <v>1</v>
      </c>
      <c r="M1486" s="18" t="n">
        <f aca="false">(D1486&lt;&gt;"")*(D1486&lt;=($E$3*60+$F$3)/86400)+(H1486&lt;&gt;"")*(H1486&lt;=($I$3*60+$J$3)/86400)+(J1486&lt;&gt;"")*(J1486&lt;=($M$3*60+$N$3)/86400)</f>
        <v>0</v>
      </c>
      <c r="N1486" s="20"/>
      <c r="O1486" s="20"/>
      <c r="P1486" s="20"/>
      <c r="Q1486" s="19"/>
    </row>
    <row r="1487" customFormat="false" ht="15" hidden="false" customHeight="false" outlineLevel="0" collapsed="false">
      <c r="A1487" s="10" t="n">
        <v>1481</v>
      </c>
      <c r="B1487" s="12" t="s">
        <v>2331</v>
      </c>
      <c r="C1487" s="12" t="s">
        <v>1993</v>
      </c>
      <c r="D1487" s="13"/>
      <c r="E1487" s="14"/>
      <c r="F1487" s="15" t="str">
        <f aca="false">IF(D1487="","",ROUND((D1487-MIN($D$7:$D$9999))*86400,2))</f>
        <v/>
      </c>
      <c r="G1487" s="10" t="str">
        <f aca="false">IF(D1487="","",IF(D1487&lt;=($E$3*60+$F$3)/86400,"○",""))</f>
        <v/>
      </c>
      <c r="H1487" s="16" t="n">
        <v>0.00704282407407407</v>
      </c>
      <c r="I1487" s="17" t="n">
        <v>381</v>
      </c>
      <c r="J1487" s="16"/>
      <c r="K1487" s="17"/>
      <c r="L1487" s="17" t="n">
        <f aca="false">COUNT(E1487,I1487,K1487)</f>
        <v>1</v>
      </c>
      <c r="M1487" s="18" t="n">
        <f aca="false">(D1487&lt;&gt;"")*(D1487&lt;=($E$3*60+$F$3)/86400)+(H1487&lt;&gt;"")*(H1487&lt;=($I$3*60+$J$3)/86400)+(J1487&lt;&gt;"")*(J1487&lt;=($M$3*60+$N$3)/86400)</f>
        <v>0</v>
      </c>
      <c r="N1487" s="20"/>
      <c r="O1487" s="20"/>
      <c r="P1487" s="20"/>
      <c r="Q1487" s="19"/>
    </row>
    <row r="1488" customFormat="false" ht="15" hidden="false" customHeight="false" outlineLevel="0" collapsed="false">
      <c r="A1488" s="10" t="n">
        <v>1482</v>
      </c>
      <c r="B1488" s="12" t="s">
        <v>2332</v>
      </c>
      <c r="C1488" s="12" t="s">
        <v>2333</v>
      </c>
      <c r="D1488" s="13"/>
      <c r="E1488" s="14"/>
      <c r="F1488" s="15" t="str">
        <f aca="false">IF(D1488="","",ROUND((D1488-MIN($D$7:$D$9999))*86400,2))</f>
        <v/>
      </c>
      <c r="G1488" s="10" t="str">
        <f aca="false">IF(D1488="","",IF(D1488&lt;=($E$3*60+$F$3)/86400,"○",""))</f>
        <v/>
      </c>
      <c r="H1488" s="16" t="n">
        <v>0.00704305555555556</v>
      </c>
      <c r="I1488" s="17" t="n">
        <v>382</v>
      </c>
      <c r="J1488" s="16"/>
      <c r="K1488" s="17"/>
      <c r="L1488" s="17" t="n">
        <f aca="false">COUNT(E1488,I1488,K1488)</f>
        <v>1</v>
      </c>
      <c r="M1488" s="18" t="n">
        <f aca="false">(D1488&lt;&gt;"")*(D1488&lt;=($E$3*60+$F$3)/86400)+(H1488&lt;&gt;"")*(H1488&lt;=($I$3*60+$J$3)/86400)+(J1488&lt;&gt;"")*(J1488&lt;=($M$3*60+$N$3)/86400)</f>
        <v>0</v>
      </c>
      <c r="N1488" s="20"/>
      <c r="O1488" s="20"/>
      <c r="P1488" s="20"/>
      <c r="Q1488" s="19"/>
    </row>
    <row r="1489" customFormat="false" ht="15" hidden="false" customHeight="false" outlineLevel="0" collapsed="false">
      <c r="A1489" s="10" t="n">
        <v>1483</v>
      </c>
      <c r="B1489" s="12" t="s">
        <v>2334</v>
      </c>
      <c r="C1489" s="12" t="s">
        <v>2335</v>
      </c>
      <c r="D1489" s="13"/>
      <c r="E1489" s="14"/>
      <c r="F1489" s="15" t="str">
        <f aca="false">IF(D1489="","",ROUND((D1489-MIN($D$7:$D$9999))*86400,2))</f>
        <v/>
      </c>
      <c r="G1489" s="10" t="str">
        <f aca="false">IF(D1489="","",IF(D1489&lt;=($E$3*60+$F$3)/86400,"○",""))</f>
        <v/>
      </c>
      <c r="H1489" s="16"/>
      <c r="I1489" s="17"/>
      <c r="J1489" s="16" t="n">
        <v>0.00282326388888889</v>
      </c>
      <c r="K1489" s="17" t="n">
        <v>383</v>
      </c>
      <c r="L1489" s="17" t="n">
        <f aca="false">COUNT(E1489,I1489,K1489)</f>
        <v>1</v>
      </c>
      <c r="M1489" s="18" t="n">
        <f aca="false">(D1489&lt;&gt;"")*(D1489&lt;=($E$3*60+$F$3)/86400)+(H1489&lt;&gt;"")*(H1489&lt;=($I$3*60+$J$3)/86400)+(J1489&lt;&gt;"")*(J1489&lt;=($M$3*60+$N$3)/86400)</f>
        <v>0</v>
      </c>
      <c r="N1489" s="20"/>
      <c r="O1489" s="20"/>
      <c r="P1489" s="20"/>
      <c r="Q1489" s="19"/>
    </row>
    <row r="1490" customFormat="false" ht="15" hidden="false" customHeight="false" outlineLevel="0" collapsed="false">
      <c r="A1490" s="10" t="n">
        <v>1484</v>
      </c>
      <c r="B1490" s="12" t="s">
        <v>2336</v>
      </c>
      <c r="C1490" s="12" t="s">
        <v>2337</v>
      </c>
      <c r="D1490" s="13"/>
      <c r="E1490" s="14"/>
      <c r="F1490" s="15" t="str">
        <f aca="false">IF(D1490="","",ROUND((D1490-MIN($D$7:$D$9999))*86400,2))</f>
        <v/>
      </c>
      <c r="G1490" s="10" t="str">
        <f aca="false">IF(D1490="","",IF(D1490&lt;=($E$3*60+$F$3)/86400,"○",""))</f>
        <v/>
      </c>
      <c r="H1490" s="16" t="n">
        <v>0.00704444444444444</v>
      </c>
      <c r="I1490" s="17" t="n">
        <v>384</v>
      </c>
      <c r="J1490" s="16"/>
      <c r="K1490" s="17"/>
      <c r="L1490" s="17" t="n">
        <f aca="false">COUNT(E1490,I1490,K1490)</f>
        <v>1</v>
      </c>
      <c r="M1490" s="18" t="n">
        <f aca="false">(D1490&lt;&gt;"")*(D1490&lt;=($E$3*60+$F$3)/86400)+(H1490&lt;&gt;"")*(H1490&lt;=($I$3*60+$J$3)/86400)+(J1490&lt;&gt;"")*(J1490&lt;=($M$3*60+$N$3)/86400)</f>
        <v>0</v>
      </c>
      <c r="N1490" s="20"/>
      <c r="O1490" s="20"/>
      <c r="P1490" s="20"/>
      <c r="Q1490" s="19"/>
    </row>
    <row r="1491" customFormat="false" ht="15" hidden="false" customHeight="false" outlineLevel="0" collapsed="false">
      <c r="A1491" s="10" t="n">
        <v>1485</v>
      </c>
      <c r="B1491" s="12" t="s">
        <v>2338</v>
      </c>
      <c r="C1491" s="12" t="s">
        <v>711</v>
      </c>
      <c r="D1491" s="13"/>
      <c r="E1491" s="14"/>
      <c r="F1491" s="15" t="str">
        <f aca="false">IF(D1491="","",ROUND((D1491-MIN($D$7:$D$9999))*86400,2))</f>
        <v/>
      </c>
      <c r="G1491" s="10" t="str">
        <f aca="false">IF(D1491="","",IF(D1491&lt;=($E$3*60+$F$3)/86400,"○",""))</f>
        <v/>
      </c>
      <c r="H1491" s="16"/>
      <c r="I1491" s="17"/>
      <c r="J1491" s="16" t="n">
        <v>0.00282361111111111</v>
      </c>
      <c r="K1491" s="17" t="n">
        <v>384</v>
      </c>
      <c r="L1491" s="17" t="n">
        <f aca="false">COUNT(E1491,I1491,K1491)</f>
        <v>1</v>
      </c>
      <c r="M1491" s="18" t="n">
        <f aca="false">(D1491&lt;&gt;"")*(D1491&lt;=($E$3*60+$F$3)/86400)+(H1491&lt;&gt;"")*(H1491&lt;=($I$3*60+$J$3)/86400)+(J1491&lt;&gt;"")*(J1491&lt;=($M$3*60+$N$3)/86400)</f>
        <v>0</v>
      </c>
      <c r="N1491" s="20"/>
      <c r="O1491" s="20"/>
      <c r="P1491" s="20"/>
      <c r="Q1491" s="19"/>
    </row>
    <row r="1492" customFormat="false" ht="15" hidden="false" customHeight="false" outlineLevel="0" collapsed="false">
      <c r="A1492" s="10" t="n">
        <v>1486</v>
      </c>
      <c r="B1492" s="12" t="s">
        <v>2339</v>
      </c>
      <c r="C1492" s="12" t="s">
        <v>1360</v>
      </c>
      <c r="D1492" s="13"/>
      <c r="E1492" s="14"/>
      <c r="F1492" s="15" t="str">
        <f aca="false">IF(D1492="","",ROUND((D1492-MIN($D$7:$D$9999))*86400,2))</f>
        <v/>
      </c>
      <c r="G1492" s="10" t="str">
        <f aca="false">IF(D1492="","",IF(D1492&lt;=($E$3*60+$F$3)/86400,"○",""))</f>
        <v/>
      </c>
      <c r="H1492" s="16" t="n">
        <v>0.00704467592592593</v>
      </c>
      <c r="I1492" s="17" t="n">
        <v>385</v>
      </c>
      <c r="J1492" s="16"/>
      <c r="K1492" s="17"/>
      <c r="L1492" s="17" t="n">
        <f aca="false">COUNT(E1492,I1492,K1492)</f>
        <v>1</v>
      </c>
      <c r="M1492" s="18" t="n">
        <f aca="false">(D1492&lt;&gt;"")*(D1492&lt;=($E$3*60+$F$3)/86400)+(H1492&lt;&gt;"")*(H1492&lt;=($I$3*60+$J$3)/86400)+(J1492&lt;&gt;"")*(J1492&lt;=($M$3*60+$N$3)/86400)</f>
        <v>0</v>
      </c>
      <c r="N1492" s="20"/>
      <c r="O1492" s="20"/>
      <c r="P1492" s="20"/>
      <c r="Q1492" s="19"/>
    </row>
    <row r="1493" customFormat="false" ht="15" hidden="false" customHeight="false" outlineLevel="0" collapsed="false">
      <c r="A1493" s="10" t="n">
        <v>1487</v>
      </c>
      <c r="B1493" s="12" t="s">
        <v>2340</v>
      </c>
      <c r="C1493" s="12" t="s">
        <v>907</v>
      </c>
      <c r="D1493" s="13"/>
      <c r="E1493" s="14"/>
      <c r="F1493" s="15" t="str">
        <f aca="false">IF(D1493="","",ROUND((D1493-MIN($D$7:$D$9999))*86400,2))</f>
        <v/>
      </c>
      <c r="G1493" s="10" t="str">
        <f aca="false">IF(D1493="","",IF(D1493&lt;=($E$3*60+$F$3)/86400,"○",""))</f>
        <v/>
      </c>
      <c r="H1493" s="16" t="n">
        <v>0.00704675925925926</v>
      </c>
      <c r="I1493" s="17" t="n">
        <v>386</v>
      </c>
      <c r="J1493" s="16"/>
      <c r="K1493" s="17"/>
      <c r="L1493" s="17" t="n">
        <f aca="false">COUNT(E1493,I1493,K1493)</f>
        <v>1</v>
      </c>
      <c r="M1493" s="18" t="n">
        <f aca="false">(D1493&lt;&gt;"")*(D1493&lt;=($E$3*60+$F$3)/86400)+(H1493&lt;&gt;"")*(H1493&lt;=($I$3*60+$J$3)/86400)+(J1493&lt;&gt;"")*(J1493&lt;=($M$3*60+$N$3)/86400)</f>
        <v>0</v>
      </c>
      <c r="N1493" s="20"/>
      <c r="O1493" s="20"/>
      <c r="P1493" s="20"/>
      <c r="Q1493" s="19"/>
    </row>
    <row r="1494" customFormat="false" ht="15" hidden="false" customHeight="false" outlineLevel="0" collapsed="false">
      <c r="A1494" s="10" t="n">
        <v>1488</v>
      </c>
      <c r="B1494" s="12" t="s">
        <v>2341</v>
      </c>
      <c r="C1494" s="12" t="s">
        <v>1339</v>
      </c>
      <c r="D1494" s="13"/>
      <c r="E1494" s="14"/>
      <c r="F1494" s="15" t="str">
        <f aca="false">IF(D1494="","",ROUND((D1494-MIN($D$7:$D$9999))*86400,2))</f>
        <v/>
      </c>
      <c r="G1494" s="10" t="str">
        <f aca="false">IF(D1494="","",IF(D1494&lt;=($E$3*60+$F$3)/86400,"○",""))</f>
        <v/>
      </c>
      <c r="H1494" s="16" t="n">
        <v>0.00704699074074074</v>
      </c>
      <c r="I1494" s="17" t="n">
        <v>388</v>
      </c>
      <c r="J1494" s="16"/>
      <c r="K1494" s="17"/>
      <c r="L1494" s="17" t="n">
        <f aca="false">COUNT(E1494,I1494,K1494)</f>
        <v>1</v>
      </c>
      <c r="M1494" s="18" t="n">
        <f aca="false">(D1494&lt;&gt;"")*(D1494&lt;=($E$3*60+$F$3)/86400)+(H1494&lt;&gt;"")*(H1494&lt;=($I$3*60+$J$3)/86400)+(J1494&lt;&gt;"")*(J1494&lt;=($M$3*60+$N$3)/86400)</f>
        <v>0</v>
      </c>
      <c r="N1494" s="20"/>
      <c r="O1494" s="20"/>
      <c r="P1494" s="20"/>
      <c r="Q1494" s="19"/>
    </row>
    <row r="1495" customFormat="false" ht="15" hidden="false" customHeight="false" outlineLevel="0" collapsed="false">
      <c r="A1495" s="10" t="n">
        <v>1489</v>
      </c>
      <c r="B1495" s="12" t="s">
        <v>2342</v>
      </c>
      <c r="C1495" s="12" t="s">
        <v>898</v>
      </c>
      <c r="D1495" s="13"/>
      <c r="E1495" s="14"/>
      <c r="F1495" s="15" t="str">
        <f aca="false">IF(D1495="","",ROUND((D1495-MIN($D$7:$D$9999))*86400,2))</f>
        <v/>
      </c>
      <c r="G1495" s="10" t="str">
        <f aca="false">IF(D1495="","",IF(D1495&lt;=($E$3*60+$F$3)/86400,"○",""))</f>
        <v/>
      </c>
      <c r="H1495" s="16"/>
      <c r="I1495" s="17"/>
      <c r="J1495" s="16" t="n">
        <v>0.00282407407407407</v>
      </c>
      <c r="K1495" s="17" t="n">
        <v>388</v>
      </c>
      <c r="L1495" s="17" t="n">
        <f aca="false">COUNT(E1495,I1495,K1495)</f>
        <v>1</v>
      </c>
      <c r="M1495" s="18" t="n">
        <f aca="false">(D1495&lt;&gt;"")*(D1495&lt;=($E$3*60+$F$3)/86400)+(H1495&lt;&gt;"")*(H1495&lt;=($I$3*60+$J$3)/86400)+(J1495&lt;&gt;"")*(J1495&lt;=($M$3*60+$N$3)/86400)</f>
        <v>0</v>
      </c>
      <c r="N1495" s="20" t="s">
        <v>1554</v>
      </c>
      <c r="O1495" s="20"/>
      <c r="P1495" s="20"/>
      <c r="Q1495" s="19"/>
    </row>
    <row r="1496" customFormat="false" ht="15" hidden="false" customHeight="false" outlineLevel="0" collapsed="false">
      <c r="A1496" s="10" t="n">
        <v>1490</v>
      </c>
      <c r="B1496" s="12" t="s">
        <v>2343</v>
      </c>
      <c r="C1496" s="12" t="s">
        <v>204</v>
      </c>
      <c r="D1496" s="13"/>
      <c r="E1496" s="14"/>
      <c r="F1496" s="15" t="str">
        <f aca="false">IF(D1496="","",ROUND((D1496-MIN($D$7:$D$9999))*86400,2))</f>
        <v/>
      </c>
      <c r="G1496" s="10" t="str">
        <f aca="false">IF(D1496="","",IF(D1496&lt;=($E$3*60+$F$3)/86400,"○",""))</f>
        <v/>
      </c>
      <c r="H1496" s="16" t="n">
        <v>0.00705023148148148</v>
      </c>
      <c r="I1496" s="17" t="n">
        <v>390</v>
      </c>
      <c r="J1496" s="16"/>
      <c r="K1496" s="17"/>
      <c r="L1496" s="17" t="n">
        <f aca="false">COUNT(E1496,I1496,K1496)</f>
        <v>1</v>
      </c>
      <c r="M1496" s="18" t="n">
        <f aca="false">(D1496&lt;&gt;"")*(D1496&lt;=($E$3*60+$F$3)/86400)+(H1496&lt;&gt;"")*(H1496&lt;=($I$3*60+$J$3)/86400)+(J1496&lt;&gt;"")*(J1496&lt;=($M$3*60+$N$3)/86400)</f>
        <v>0</v>
      </c>
      <c r="N1496" s="20"/>
      <c r="O1496" s="20"/>
      <c r="P1496" s="20"/>
      <c r="Q1496" s="19"/>
    </row>
    <row r="1497" customFormat="false" ht="15" hidden="false" customHeight="false" outlineLevel="0" collapsed="false">
      <c r="A1497" s="10" t="n">
        <v>1491</v>
      </c>
      <c r="B1497" s="12" t="s">
        <v>2344</v>
      </c>
      <c r="C1497" s="12" t="s">
        <v>143</v>
      </c>
      <c r="D1497" s="13"/>
      <c r="E1497" s="14"/>
      <c r="F1497" s="15" t="str">
        <f aca="false">IF(D1497="","",ROUND((D1497-MIN($D$7:$D$9999))*86400,2))</f>
        <v/>
      </c>
      <c r="G1497" s="10" t="str">
        <f aca="false">IF(D1497="","",IF(D1497&lt;=($E$3*60+$F$3)/86400,"○",""))</f>
        <v/>
      </c>
      <c r="H1497" s="16" t="n">
        <v>0.00705046296296296</v>
      </c>
      <c r="I1497" s="17" t="n">
        <v>391</v>
      </c>
      <c r="J1497" s="16"/>
      <c r="K1497" s="17"/>
      <c r="L1497" s="17" t="n">
        <f aca="false">COUNT(E1497,I1497,K1497)</f>
        <v>1</v>
      </c>
      <c r="M1497" s="18" t="n">
        <f aca="false">(D1497&lt;&gt;"")*(D1497&lt;=($E$3*60+$F$3)/86400)+(H1497&lt;&gt;"")*(H1497&lt;=($I$3*60+$J$3)/86400)+(J1497&lt;&gt;"")*(J1497&lt;=($M$3*60+$N$3)/86400)</f>
        <v>0</v>
      </c>
      <c r="N1497" s="20"/>
      <c r="O1497" s="20"/>
      <c r="P1497" s="20"/>
      <c r="Q1497" s="19"/>
    </row>
    <row r="1498" customFormat="false" ht="15" hidden="false" customHeight="false" outlineLevel="0" collapsed="false">
      <c r="A1498" s="10" t="n">
        <v>1492</v>
      </c>
      <c r="B1498" s="12" t="s">
        <v>2345</v>
      </c>
      <c r="C1498" s="12" t="s">
        <v>817</v>
      </c>
      <c r="D1498" s="13"/>
      <c r="E1498" s="14"/>
      <c r="F1498" s="15" t="str">
        <f aca="false">IF(D1498="","",ROUND((D1498-MIN($D$7:$D$9999))*86400,2))</f>
        <v/>
      </c>
      <c r="G1498" s="10" t="str">
        <f aca="false">IF(D1498="","",IF(D1498&lt;=($E$3*60+$F$3)/86400,"○",""))</f>
        <v/>
      </c>
      <c r="H1498" s="16" t="n">
        <v>0.00705092592592593</v>
      </c>
      <c r="I1498" s="17" t="n">
        <v>392</v>
      </c>
      <c r="J1498" s="16"/>
      <c r="K1498" s="17"/>
      <c r="L1498" s="17" t="n">
        <f aca="false">COUNT(E1498,I1498,K1498)</f>
        <v>1</v>
      </c>
      <c r="M1498" s="18" t="n">
        <f aca="false">(D1498&lt;&gt;"")*(D1498&lt;=($E$3*60+$F$3)/86400)+(H1498&lt;&gt;"")*(H1498&lt;=($I$3*60+$J$3)/86400)+(J1498&lt;&gt;"")*(J1498&lt;=($M$3*60+$N$3)/86400)</f>
        <v>0</v>
      </c>
      <c r="N1498" s="20"/>
      <c r="O1498" s="20"/>
      <c r="P1498" s="20"/>
      <c r="Q1498" s="19"/>
    </row>
    <row r="1499" customFormat="false" ht="15" hidden="false" customHeight="false" outlineLevel="0" collapsed="false">
      <c r="A1499" s="10" t="n">
        <v>1493</v>
      </c>
      <c r="B1499" s="12" t="s">
        <v>2346</v>
      </c>
      <c r="C1499" s="12" t="s">
        <v>2347</v>
      </c>
      <c r="D1499" s="13"/>
      <c r="E1499" s="14"/>
      <c r="F1499" s="15" t="str">
        <f aca="false">IF(D1499="","",ROUND((D1499-MIN($D$7:$D$9999))*86400,2))</f>
        <v/>
      </c>
      <c r="G1499" s="10" t="str">
        <f aca="false">IF(D1499="","",IF(D1499&lt;=($E$3*60+$F$3)/86400,"○",""))</f>
        <v/>
      </c>
      <c r="H1499" s="16"/>
      <c r="I1499" s="17"/>
      <c r="J1499" s="16" t="n">
        <v>0.00282488425925926</v>
      </c>
      <c r="K1499" s="17" t="n">
        <v>392</v>
      </c>
      <c r="L1499" s="17" t="n">
        <f aca="false">COUNT(E1499,I1499,K1499)</f>
        <v>1</v>
      </c>
      <c r="M1499" s="18" t="n">
        <f aca="false">(D1499&lt;&gt;"")*(D1499&lt;=($E$3*60+$F$3)/86400)+(H1499&lt;&gt;"")*(H1499&lt;=($I$3*60+$J$3)/86400)+(J1499&lt;&gt;"")*(J1499&lt;=($M$3*60+$N$3)/86400)</f>
        <v>0</v>
      </c>
      <c r="N1499" s="20"/>
      <c r="O1499" s="20"/>
      <c r="P1499" s="20"/>
      <c r="Q1499" s="19"/>
    </row>
    <row r="1500" customFormat="false" ht="15" hidden="false" customHeight="false" outlineLevel="0" collapsed="false">
      <c r="A1500" s="10" t="n">
        <v>1494</v>
      </c>
      <c r="B1500" s="12" t="s">
        <v>2348</v>
      </c>
      <c r="C1500" s="12" t="s">
        <v>2349</v>
      </c>
      <c r="D1500" s="13"/>
      <c r="E1500" s="14"/>
      <c r="F1500" s="15" t="str">
        <f aca="false">IF(D1500="","",ROUND((D1500-MIN($D$7:$D$9999))*86400,2))</f>
        <v/>
      </c>
      <c r="G1500" s="10" t="str">
        <f aca="false">IF(D1500="","",IF(D1500&lt;=($E$3*60+$F$3)/86400,"○",""))</f>
        <v/>
      </c>
      <c r="H1500" s="16" t="n">
        <v>0.00705416666666667</v>
      </c>
      <c r="I1500" s="17" t="n">
        <v>393</v>
      </c>
      <c r="J1500" s="16" t="n">
        <v>0.00295925925925926</v>
      </c>
      <c r="K1500" s="17" t="n">
        <v>1266</v>
      </c>
      <c r="L1500" s="17" t="n">
        <f aca="false">COUNT(E1500,I1500,K1500)</f>
        <v>2</v>
      </c>
      <c r="M1500" s="18" t="n">
        <f aca="false">(D1500&lt;&gt;"")*(D1500&lt;=($E$3*60+$F$3)/86400)+(H1500&lt;&gt;"")*(H1500&lt;=($I$3*60+$J$3)/86400)+(J1500&lt;&gt;"")*(J1500&lt;=($M$3*60+$N$3)/86400)</f>
        <v>0</v>
      </c>
      <c r="N1500" s="20"/>
      <c r="O1500" s="20"/>
      <c r="P1500" s="20"/>
      <c r="Q1500" s="19"/>
    </row>
    <row r="1501" customFormat="false" ht="15" hidden="false" customHeight="false" outlineLevel="0" collapsed="false">
      <c r="A1501" s="10" t="n">
        <v>1495</v>
      </c>
      <c r="B1501" s="12" t="s">
        <v>2350</v>
      </c>
      <c r="C1501" s="12" t="s">
        <v>898</v>
      </c>
      <c r="D1501" s="13"/>
      <c r="E1501" s="14"/>
      <c r="F1501" s="15" t="str">
        <f aca="false">IF(D1501="","",ROUND((D1501-MIN($D$7:$D$9999))*86400,2))</f>
        <v/>
      </c>
      <c r="G1501" s="10" t="str">
        <f aca="false">IF(D1501="","",IF(D1501&lt;=($E$3*60+$F$3)/86400,"○",""))</f>
        <v/>
      </c>
      <c r="H1501" s="16" t="n">
        <v>0.00705462962962963</v>
      </c>
      <c r="I1501" s="17" t="n">
        <v>395</v>
      </c>
      <c r="J1501" s="16"/>
      <c r="K1501" s="17"/>
      <c r="L1501" s="17" t="n">
        <f aca="false">COUNT(E1501,I1501,K1501)</f>
        <v>1</v>
      </c>
      <c r="M1501" s="18" t="n">
        <f aca="false">(D1501&lt;&gt;"")*(D1501&lt;=($E$3*60+$F$3)/86400)+(H1501&lt;&gt;"")*(H1501&lt;=($I$3*60+$J$3)/86400)+(J1501&lt;&gt;"")*(J1501&lt;=($M$3*60+$N$3)/86400)</f>
        <v>0</v>
      </c>
      <c r="N1501" s="20" t="s">
        <v>2351</v>
      </c>
      <c r="O1501" s="20"/>
      <c r="P1501" s="20"/>
      <c r="Q1501" s="19"/>
    </row>
    <row r="1502" customFormat="false" ht="15" hidden="false" customHeight="false" outlineLevel="0" collapsed="false">
      <c r="A1502" s="10" t="n">
        <v>1496</v>
      </c>
      <c r="B1502" s="12" t="s">
        <v>2352</v>
      </c>
      <c r="C1502" s="12" t="s">
        <v>573</v>
      </c>
      <c r="D1502" s="13"/>
      <c r="E1502" s="14"/>
      <c r="F1502" s="15" t="str">
        <f aca="false">IF(D1502="","",ROUND((D1502-MIN($D$7:$D$9999))*86400,2))</f>
        <v/>
      </c>
      <c r="G1502" s="10" t="str">
        <f aca="false">IF(D1502="","",IF(D1502&lt;=($E$3*60+$F$3)/86400,"○",""))</f>
        <v/>
      </c>
      <c r="H1502" s="16"/>
      <c r="I1502" s="17"/>
      <c r="J1502" s="16" t="n">
        <v>0.00282581018518519</v>
      </c>
      <c r="K1502" s="17" t="n">
        <v>397</v>
      </c>
      <c r="L1502" s="17" t="n">
        <f aca="false">COUNT(E1502,I1502,K1502)</f>
        <v>1</v>
      </c>
      <c r="M1502" s="18" t="n">
        <f aca="false">(D1502&lt;&gt;"")*(D1502&lt;=($E$3*60+$F$3)/86400)+(H1502&lt;&gt;"")*(H1502&lt;=($I$3*60+$J$3)/86400)+(J1502&lt;&gt;"")*(J1502&lt;=($M$3*60+$N$3)/86400)</f>
        <v>0</v>
      </c>
      <c r="N1502" s="20"/>
      <c r="O1502" s="20"/>
      <c r="P1502" s="20"/>
      <c r="Q1502" s="19"/>
    </row>
    <row r="1503" customFormat="false" ht="15" hidden="false" customHeight="false" outlineLevel="0" collapsed="false">
      <c r="A1503" s="10" t="n">
        <v>1497</v>
      </c>
      <c r="B1503" s="12" t="s">
        <v>2353</v>
      </c>
      <c r="C1503" s="12" t="s">
        <v>790</v>
      </c>
      <c r="D1503" s="13"/>
      <c r="E1503" s="14"/>
      <c r="F1503" s="15" t="str">
        <f aca="false">IF(D1503="","",ROUND((D1503-MIN($D$7:$D$9999))*86400,2))</f>
        <v/>
      </c>
      <c r="G1503" s="10" t="str">
        <f aca="false">IF(D1503="","",IF(D1503&lt;=($E$3*60+$F$3)/86400,"○",""))</f>
        <v/>
      </c>
      <c r="H1503" s="16" t="n">
        <v>0.00705648148148148</v>
      </c>
      <c r="I1503" s="17" t="n">
        <v>398</v>
      </c>
      <c r="J1503" s="16"/>
      <c r="K1503" s="17"/>
      <c r="L1503" s="17" t="n">
        <f aca="false">COUNT(E1503,I1503,K1503)</f>
        <v>1</v>
      </c>
      <c r="M1503" s="18" t="n">
        <f aca="false">(D1503&lt;&gt;"")*(D1503&lt;=($E$3*60+$F$3)/86400)+(H1503&lt;&gt;"")*(H1503&lt;=($I$3*60+$J$3)/86400)+(J1503&lt;&gt;"")*(J1503&lt;=($M$3*60+$N$3)/86400)</f>
        <v>0</v>
      </c>
      <c r="N1503" s="20"/>
      <c r="O1503" s="20"/>
      <c r="P1503" s="20"/>
      <c r="Q1503" s="19"/>
    </row>
    <row r="1504" customFormat="false" ht="15" hidden="false" customHeight="false" outlineLevel="0" collapsed="false">
      <c r="A1504" s="10" t="n">
        <v>1498</v>
      </c>
      <c r="B1504" s="12" t="s">
        <v>2354</v>
      </c>
      <c r="C1504" s="12" t="s">
        <v>1716</v>
      </c>
      <c r="D1504" s="13"/>
      <c r="E1504" s="14"/>
      <c r="F1504" s="15" t="str">
        <f aca="false">IF(D1504="","",ROUND((D1504-MIN($D$7:$D$9999))*86400,2))</f>
        <v/>
      </c>
      <c r="G1504" s="10" t="str">
        <f aca="false">IF(D1504="","",IF(D1504&lt;=($E$3*60+$F$3)/86400,"○",""))</f>
        <v/>
      </c>
      <c r="H1504" s="16" t="n">
        <v>0.00705925925925926</v>
      </c>
      <c r="I1504" s="17" t="n">
        <v>400</v>
      </c>
      <c r="J1504" s="16" t="n">
        <v>0.00286956018518519</v>
      </c>
      <c r="K1504" s="17" t="n">
        <v>690</v>
      </c>
      <c r="L1504" s="17" t="n">
        <f aca="false">COUNT(E1504,I1504,K1504)</f>
        <v>2</v>
      </c>
      <c r="M1504" s="18" t="n">
        <f aca="false">(D1504&lt;&gt;"")*(D1504&lt;=($E$3*60+$F$3)/86400)+(H1504&lt;&gt;"")*(H1504&lt;=($I$3*60+$J$3)/86400)+(J1504&lt;&gt;"")*(J1504&lt;=($M$3*60+$N$3)/86400)</f>
        <v>0</v>
      </c>
      <c r="N1504" s="20"/>
      <c r="O1504" s="20"/>
      <c r="P1504" s="20"/>
      <c r="Q1504" s="19"/>
    </row>
    <row r="1505" customFormat="false" ht="15" hidden="false" customHeight="false" outlineLevel="0" collapsed="false">
      <c r="A1505" s="10" t="n">
        <v>1499</v>
      </c>
      <c r="B1505" s="12" t="s">
        <v>2355</v>
      </c>
      <c r="C1505" s="12" t="s">
        <v>2261</v>
      </c>
      <c r="D1505" s="13"/>
      <c r="E1505" s="14"/>
      <c r="F1505" s="15" t="str">
        <f aca="false">IF(D1505="","",ROUND((D1505-MIN($D$7:$D$9999))*86400,2))</f>
        <v/>
      </c>
      <c r="G1505" s="10" t="str">
        <f aca="false">IF(D1505="","",IF(D1505&lt;=($E$3*60+$F$3)/86400,"○",""))</f>
        <v/>
      </c>
      <c r="H1505" s="16"/>
      <c r="I1505" s="17"/>
      <c r="J1505" s="16" t="n">
        <v>0.00282627314814815</v>
      </c>
      <c r="K1505" s="17" t="n">
        <v>400</v>
      </c>
      <c r="L1505" s="17" t="n">
        <f aca="false">COUNT(E1505,I1505,K1505)</f>
        <v>1</v>
      </c>
      <c r="M1505" s="18" t="n">
        <f aca="false">(D1505&lt;&gt;"")*(D1505&lt;=($E$3*60+$F$3)/86400)+(H1505&lt;&gt;"")*(H1505&lt;=($I$3*60+$J$3)/86400)+(J1505&lt;&gt;"")*(J1505&lt;=($M$3*60+$N$3)/86400)</f>
        <v>0</v>
      </c>
      <c r="N1505" s="20"/>
      <c r="O1505" s="20"/>
      <c r="P1505" s="20"/>
      <c r="Q1505" s="19"/>
    </row>
    <row r="1506" customFormat="false" ht="15" hidden="false" customHeight="false" outlineLevel="0" collapsed="false">
      <c r="A1506" s="10" t="n">
        <v>1500</v>
      </c>
      <c r="B1506" s="12" t="s">
        <v>2356</v>
      </c>
      <c r="C1506" s="12" t="s">
        <v>1769</v>
      </c>
      <c r="D1506" s="13"/>
      <c r="E1506" s="14"/>
      <c r="F1506" s="15" t="str">
        <f aca="false">IF(D1506="","",ROUND((D1506-MIN($D$7:$D$9999))*86400,2))</f>
        <v/>
      </c>
      <c r="G1506" s="10" t="str">
        <f aca="false">IF(D1506="","",IF(D1506&lt;=($E$3*60+$F$3)/86400,"○",""))</f>
        <v/>
      </c>
      <c r="H1506" s="16" t="n">
        <v>0.00705949074074074</v>
      </c>
      <c r="I1506" s="17" t="n">
        <v>401</v>
      </c>
      <c r="J1506" s="16"/>
      <c r="K1506" s="17"/>
      <c r="L1506" s="17" t="n">
        <f aca="false">COUNT(E1506,I1506,K1506)</f>
        <v>1</v>
      </c>
      <c r="M1506" s="18" t="n">
        <f aca="false">(D1506&lt;&gt;"")*(D1506&lt;=($E$3*60+$F$3)/86400)+(H1506&lt;&gt;"")*(H1506&lt;=($I$3*60+$J$3)/86400)+(J1506&lt;&gt;"")*(J1506&lt;=($M$3*60+$N$3)/86400)</f>
        <v>0</v>
      </c>
      <c r="N1506" s="20"/>
      <c r="O1506" s="20"/>
      <c r="P1506" s="20"/>
      <c r="Q1506" s="19"/>
    </row>
    <row r="1507" customFormat="false" ht="15" hidden="false" customHeight="false" outlineLevel="0" collapsed="false">
      <c r="A1507" s="10" t="n">
        <v>1501</v>
      </c>
      <c r="B1507" s="12" t="s">
        <v>2357</v>
      </c>
      <c r="C1507" s="12" t="s">
        <v>2358</v>
      </c>
      <c r="D1507" s="13"/>
      <c r="E1507" s="14"/>
      <c r="F1507" s="15" t="str">
        <f aca="false">IF(D1507="","",ROUND((D1507-MIN($D$7:$D$9999))*86400,2))</f>
        <v/>
      </c>
      <c r="G1507" s="10" t="str">
        <f aca="false">IF(D1507="","",IF(D1507&lt;=($E$3*60+$F$3)/86400,"○",""))</f>
        <v/>
      </c>
      <c r="H1507" s="16" t="n">
        <v>0.00706284722222222</v>
      </c>
      <c r="I1507" s="17" t="n">
        <v>402</v>
      </c>
      <c r="J1507" s="16" t="n">
        <v>0.00284606481481482</v>
      </c>
      <c r="K1507" s="17" t="n">
        <v>544</v>
      </c>
      <c r="L1507" s="17" t="n">
        <f aca="false">COUNT(E1507,I1507,K1507)</f>
        <v>2</v>
      </c>
      <c r="M1507" s="18" t="n">
        <f aca="false">(D1507&lt;&gt;"")*(D1507&lt;=($E$3*60+$F$3)/86400)+(H1507&lt;&gt;"")*(H1507&lt;=($I$3*60+$J$3)/86400)+(J1507&lt;&gt;"")*(J1507&lt;=($M$3*60+$N$3)/86400)</f>
        <v>0</v>
      </c>
      <c r="N1507" s="20"/>
      <c r="O1507" s="20"/>
      <c r="P1507" s="20"/>
      <c r="Q1507" s="19"/>
    </row>
    <row r="1508" customFormat="false" ht="15" hidden="false" customHeight="false" outlineLevel="0" collapsed="false">
      <c r="A1508" s="10" t="n">
        <v>1502</v>
      </c>
      <c r="B1508" s="12" t="s">
        <v>2359</v>
      </c>
      <c r="C1508" s="12" t="s">
        <v>2360</v>
      </c>
      <c r="D1508" s="13"/>
      <c r="E1508" s="14"/>
      <c r="F1508" s="15" t="str">
        <f aca="false">IF(D1508="","",ROUND((D1508-MIN($D$7:$D$9999))*86400,2))</f>
        <v/>
      </c>
      <c r="G1508" s="10" t="str">
        <f aca="false">IF(D1508="","",IF(D1508&lt;=($E$3*60+$F$3)/86400,"○",""))</f>
        <v/>
      </c>
      <c r="H1508" s="16" t="n">
        <v>0.0070630787037037</v>
      </c>
      <c r="I1508" s="17" t="n">
        <v>403</v>
      </c>
      <c r="J1508" s="16"/>
      <c r="K1508" s="17"/>
      <c r="L1508" s="17" t="n">
        <f aca="false">COUNT(E1508,I1508,K1508)</f>
        <v>1</v>
      </c>
      <c r="M1508" s="18" t="n">
        <f aca="false">(D1508&lt;&gt;"")*(D1508&lt;=($E$3*60+$F$3)/86400)+(H1508&lt;&gt;"")*(H1508&lt;=($I$3*60+$J$3)/86400)+(J1508&lt;&gt;"")*(J1508&lt;=($M$3*60+$N$3)/86400)</f>
        <v>0</v>
      </c>
      <c r="N1508" s="20"/>
      <c r="O1508" s="20"/>
      <c r="P1508" s="20"/>
      <c r="Q1508" s="19"/>
    </row>
    <row r="1509" customFormat="false" ht="15" hidden="false" customHeight="false" outlineLevel="0" collapsed="false">
      <c r="A1509" s="10" t="n">
        <v>1503</v>
      </c>
      <c r="B1509" s="12" t="s">
        <v>2361</v>
      </c>
      <c r="C1509" s="12" t="s">
        <v>2362</v>
      </c>
      <c r="D1509" s="13"/>
      <c r="E1509" s="14"/>
      <c r="F1509" s="15" t="str">
        <f aca="false">IF(D1509="","",ROUND((D1509-MIN($D$7:$D$9999))*86400,2))</f>
        <v/>
      </c>
      <c r="G1509" s="10" t="str">
        <f aca="false">IF(D1509="","",IF(D1509&lt;=($E$3*60+$F$3)/86400,"○",""))</f>
        <v/>
      </c>
      <c r="H1509" s="16"/>
      <c r="I1509" s="17"/>
      <c r="J1509" s="16" t="n">
        <v>0.00282696759259259</v>
      </c>
      <c r="K1509" s="17" t="n">
        <v>404</v>
      </c>
      <c r="L1509" s="17" t="n">
        <f aca="false">COUNT(E1509,I1509,K1509)</f>
        <v>1</v>
      </c>
      <c r="M1509" s="18" t="n">
        <f aca="false">(D1509&lt;&gt;"")*(D1509&lt;=($E$3*60+$F$3)/86400)+(H1509&lt;&gt;"")*(H1509&lt;=($I$3*60+$J$3)/86400)+(J1509&lt;&gt;"")*(J1509&lt;=($M$3*60+$N$3)/86400)</f>
        <v>0</v>
      </c>
      <c r="N1509" s="20"/>
      <c r="O1509" s="20"/>
      <c r="P1509" s="20"/>
      <c r="Q1509" s="19"/>
    </row>
    <row r="1510" customFormat="false" ht="15" hidden="false" customHeight="false" outlineLevel="0" collapsed="false">
      <c r="A1510" s="10" t="n">
        <v>1504</v>
      </c>
      <c r="B1510" s="12" t="s">
        <v>2363</v>
      </c>
      <c r="C1510" s="12" t="s">
        <v>767</v>
      </c>
      <c r="D1510" s="13"/>
      <c r="E1510" s="14"/>
      <c r="F1510" s="15" t="str">
        <f aca="false">IF(D1510="","",ROUND((D1510-MIN($D$7:$D$9999))*86400,2))</f>
        <v/>
      </c>
      <c r="G1510" s="10" t="str">
        <f aca="false">IF(D1510="","",IF(D1510&lt;=($E$3*60+$F$3)/86400,"○",""))</f>
        <v/>
      </c>
      <c r="H1510" s="16" t="n">
        <v>0.00706331018518519</v>
      </c>
      <c r="I1510" s="17" t="n">
        <v>405</v>
      </c>
      <c r="J1510" s="16"/>
      <c r="K1510" s="17"/>
      <c r="L1510" s="17" t="n">
        <f aca="false">COUNT(E1510,I1510,K1510)</f>
        <v>1</v>
      </c>
      <c r="M1510" s="18" t="n">
        <f aca="false">(D1510&lt;&gt;"")*(D1510&lt;=($E$3*60+$F$3)/86400)+(H1510&lt;&gt;"")*(H1510&lt;=($I$3*60+$J$3)/86400)+(J1510&lt;&gt;"")*(J1510&lt;=($M$3*60+$N$3)/86400)</f>
        <v>0</v>
      </c>
      <c r="N1510" s="20"/>
      <c r="O1510" s="20"/>
      <c r="P1510" s="20"/>
      <c r="Q1510" s="19"/>
    </row>
    <row r="1511" customFormat="false" ht="15" hidden="false" customHeight="false" outlineLevel="0" collapsed="false">
      <c r="A1511" s="10" t="n">
        <v>1505</v>
      </c>
      <c r="B1511" s="12" t="s">
        <v>2364</v>
      </c>
      <c r="C1511" s="12" t="s">
        <v>2365</v>
      </c>
      <c r="D1511" s="13"/>
      <c r="E1511" s="14"/>
      <c r="F1511" s="15" t="str">
        <f aca="false">IF(D1511="","",ROUND((D1511-MIN($D$7:$D$9999))*86400,2))</f>
        <v/>
      </c>
      <c r="G1511" s="10" t="str">
        <f aca="false">IF(D1511="","",IF(D1511&lt;=($E$3*60+$F$3)/86400,"○",""))</f>
        <v/>
      </c>
      <c r="H1511" s="16"/>
      <c r="I1511" s="17"/>
      <c r="J1511" s="16" t="n">
        <v>0.00282719907407407</v>
      </c>
      <c r="K1511" s="17" t="n">
        <v>407</v>
      </c>
      <c r="L1511" s="17" t="n">
        <f aca="false">COUNT(E1511,I1511,K1511)</f>
        <v>1</v>
      </c>
      <c r="M1511" s="18" t="n">
        <f aca="false">(D1511&lt;&gt;"")*(D1511&lt;=($E$3*60+$F$3)/86400)+(H1511&lt;&gt;"")*(H1511&lt;=($I$3*60+$J$3)/86400)+(J1511&lt;&gt;"")*(J1511&lt;=($M$3*60+$N$3)/86400)</f>
        <v>0</v>
      </c>
      <c r="N1511" s="20"/>
      <c r="O1511" s="20"/>
      <c r="P1511" s="20"/>
      <c r="Q1511" s="19"/>
    </row>
    <row r="1512" customFormat="false" ht="15" hidden="false" customHeight="false" outlineLevel="0" collapsed="false">
      <c r="A1512" s="10" t="n">
        <v>1506</v>
      </c>
      <c r="B1512" s="12" t="s">
        <v>2366</v>
      </c>
      <c r="C1512" s="12" t="s">
        <v>219</v>
      </c>
      <c r="D1512" s="13"/>
      <c r="E1512" s="14"/>
      <c r="F1512" s="15" t="str">
        <f aca="false">IF(D1512="","",ROUND((D1512-MIN($D$7:$D$9999))*86400,2))</f>
        <v/>
      </c>
      <c r="G1512" s="10" t="str">
        <f aca="false">IF(D1512="","",IF(D1512&lt;=($E$3*60+$F$3)/86400,"○",""))</f>
        <v/>
      </c>
      <c r="H1512" s="16" t="n">
        <v>0.0070650462962963</v>
      </c>
      <c r="I1512" s="17" t="n">
        <v>408</v>
      </c>
      <c r="J1512" s="16"/>
      <c r="K1512" s="17"/>
      <c r="L1512" s="17" t="n">
        <f aca="false">COUNT(E1512,I1512,K1512)</f>
        <v>1</v>
      </c>
      <c r="M1512" s="18" t="n">
        <f aca="false">(D1512&lt;&gt;"")*(D1512&lt;=($E$3*60+$F$3)/86400)+(H1512&lt;&gt;"")*(H1512&lt;=($I$3*60+$J$3)/86400)+(J1512&lt;&gt;"")*(J1512&lt;=($M$3*60+$N$3)/86400)</f>
        <v>0</v>
      </c>
      <c r="N1512" s="20"/>
      <c r="O1512" s="20"/>
      <c r="P1512" s="20"/>
      <c r="Q1512" s="19"/>
    </row>
    <row r="1513" customFormat="false" ht="15" hidden="false" customHeight="false" outlineLevel="0" collapsed="false">
      <c r="A1513" s="10" t="n">
        <v>1507</v>
      </c>
      <c r="B1513" s="12" t="s">
        <v>2367</v>
      </c>
      <c r="C1513" s="12" t="s">
        <v>2368</v>
      </c>
      <c r="D1513" s="13"/>
      <c r="E1513" s="14"/>
      <c r="F1513" s="15" t="str">
        <f aca="false">IF(D1513="","",ROUND((D1513-MIN($D$7:$D$9999))*86400,2))</f>
        <v/>
      </c>
      <c r="G1513" s="10" t="str">
        <f aca="false">IF(D1513="","",IF(D1513&lt;=($E$3*60+$F$3)/86400,"○",""))</f>
        <v/>
      </c>
      <c r="H1513" s="16"/>
      <c r="I1513" s="17"/>
      <c r="J1513" s="16" t="n">
        <v>0.00282777777777778</v>
      </c>
      <c r="K1513" s="17" t="n">
        <v>408</v>
      </c>
      <c r="L1513" s="17" t="n">
        <f aca="false">COUNT(E1513,I1513,K1513)</f>
        <v>1</v>
      </c>
      <c r="M1513" s="18" t="n">
        <f aca="false">(D1513&lt;&gt;"")*(D1513&lt;=($E$3*60+$F$3)/86400)+(H1513&lt;&gt;"")*(H1513&lt;=($I$3*60+$J$3)/86400)+(J1513&lt;&gt;"")*(J1513&lt;=($M$3*60+$N$3)/86400)</f>
        <v>0</v>
      </c>
      <c r="N1513" s="20"/>
      <c r="O1513" s="20"/>
      <c r="P1513" s="20"/>
      <c r="Q1513" s="19"/>
    </row>
    <row r="1514" customFormat="false" ht="15" hidden="false" customHeight="false" outlineLevel="0" collapsed="false">
      <c r="A1514" s="10" t="n">
        <v>1508</v>
      </c>
      <c r="B1514" s="12" t="s">
        <v>2369</v>
      </c>
      <c r="C1514" s="12" t="s">
        <v>2370</v>
      </c>
      <c r="D1514" s="13"/>
      <c r="E1514" s="14"/>
      <c r="F1514" s="15" t="str">
        <f aca="false">IF(D1514="","",ROUND((D1514-MIN($D$7:$D$9999))*86400,2))</f>
        <v/>
      </c>
      <c r="G1514" s="10" t="str">
        <f aca="false">IF(D1514="","",IF(D1514&lt;=($E$3*60+$F$3)/86400,"○",""))</f>
        <v/>
      </c>
      <c r="H1514" s="16" t="n">
        <v>0.00706539351851852</v>
      </c>
      <c r="I1514" s="17" t="n">
        <v>409</v>
      </c>
      <c r="J1514" s="16"/>
      <c r="K1514" s="17"/>
      <c r="L1514" s="17" t="n">
        <f aca="false">COUNT(E1514,I1514,K1514)</f>
        <v>1</v>
      </c>
      <c r="M1514" s="18" t="n">
        <f aca="false">(D1514&lt;&gt;"")*(D1514&lt;=($E$3*60+$F$3)/86400)+(H1514&lt;&gt;"")*(H1514&lt;=($I$3*60+$J$3)/86400)+(J1514&lt;&gt;"")*(J1514&lt;=($M$3*60+$N$3)/86400)</f>
        <v>0</v>
      </c>
      <c r="N1514" s="20"/>
      <c r="O1514" s="20"/>
      <c r="P1514" s="20"/>
      <c r="Q1514" s="19"/>
    </row>
    <row r="1515" customFormat="false" ht="15" hidden="false" customHeight="false" outlineLevel="0" collapsed="false">
      <c r="A1515" s="10" t="n">
        <v>1509</v>
      </c>
      <c r="B1515" s="12" t="s">
        <v>2371</v>
      </c>
      <c r="C1515" s="12" t="s">
        <v>2372</v>
      </c>
      <c r="D1515" s="13"/>
      <c r="E1515" s="14"/>
      <c r="F1515" s="15" t="str">
        <f aca="false">IF(D1515="","",ROUND((D1515-MIN($D$7:$D$9999))*86400,2))</f>
        <v/>
      </c>
      <c r="G1515" s="10" t="str">
        <f aca="false">IF(D1515="","",IF(D1515&lt;=($E$3*60+$F$3)/86400,"○",""))</f>
        <v/>
      </c>
      <c r="H1515" s="16" t="n">
        <v>0.00706574074074074</v>
      </c>
      <c r="I1515" s="17" t="n">
        <v>411</v>
      </c>
      <c r="J1515" s="16"/>
      <c r="K1515" s="17"/>
      <c r="L1515" s="17" t="n">
        <f aca="false">COUNT(E1515,I1515,K1515)</f>
        <v>1</v>
      </c>
      <c r="M1515" s="18" t="n">
        <f aca="false">(D1515&lt;&gt;"")*(D1515&lt;=($E$3*60+$F$3)/86400)+(H1515&lt;&gt;"")*(H1515&lt;=($I$3*60+$J$3)/86400)+(J1515&lt;&gt;"")*(J1515&lt;=($M$3*60+$N$3)/86400)</f>
        <v>0</v>
      </c>
      <c r="N1515" s="20"/>
      <c r="O1515" s="20"/>
      <c r="P1515" s="20"/>
      <c r="Q1515" s="19"/>
    </row>
    <row r="1516" customFormat="false" ht="15" hidden="false" customHeight="false" outlineLevel="0" collapsed="false">
      <c r="A1516" s="10" t="n">
        <v>1510</v>
      </c>
      <c r="B1516" s="12" t="s">
        <v>2373</v>
      </c>
      <c r="C1516" s="12" t="s">
        <v>2374</v>
      </c>
      <c r="D1516" s="13"/>
      <c r="E1516" s="14"/>
      <c r="F1516" s="15" t="str">
        <f aca="false">IF(D1516="","",ROUND((D1516-MIN($D$7:$D$9999))*86400,2))</f>
        <v/>
      </c>
      <c r="G1516" s="10" t="str">
        <f aca="false">IF(D1516="","",IF(D1516&lt;=($E$3*60+$F$3)/86400,"○",""))</f>
        <v/>
      </c>
      <c r="H1516" s="16"/>
      <c r="I1516" s="17"/>
      <c r="J1516" s="16" t="n">
        <v>0.002828125</v>
      </c>
      <c r="K1516" s="17" t="n">
        <v>411</v>
      </c>
      <c r="L1516" s="17" t="n">
        <f aca="false">COUNT(E1516,I1516,K1516)</f>
        <v>1</v>
      </c>
      <c r="M1516" s="18" t="n">
        <f aca="false">(D1516&lt;&gt;"")*(D1516&lt;=($E$3*60+$F$3)/86400)+(H1516&lt;&gt;"")*(H1516&lt;=($I$3*60+$J$3)/86400)+(J1516&lt;&gt;"")*(J1516&lt;=($M$3*60+$N$3)/86400)</f>
        <v>0</v>
      </c>
      <c r="N1516" s="20"/>
      <c r="O1516" s="20"/>
      <c r="P1516" s="20"/>
      <c r="Q1516" s="19"/>
    </row>
    <row r="1517" customFormat="false" ht="15" hidden="false" customHeight="false" outlineLevel="0" collapsed="false">
      <c r="A1517" s="10" t="n">
        <v>1511</v>
      </c>
      <c r="B1517" s="12" t="s">
        <v>2375</v>
      </c>
      <c r="C1517" s="12" t="s">
        <v>1315</v>
      </c>
      <c r="D1517" s="13"/>
      <c r="E1517" s="14"/>
      <c r="F1517" s="15" t="str">
        <f aca="false">IF(D1517="","",ROUND((D1517-MIN($D$7:$D$9999))*86400,2))</f>
        <v/>
      </c>
      <c r="G1517" s="10" t="str">
        <f aca="false">IF(D1517="","",IF(D1517&lt;=($E$3*60+$F$3)/86400,"○",""))</f>
        <v/>
      </c>
      <c r="H1517" s="16" t="n">
        <v>0.00706863425925926</v>
      </c>
      <c r="I1517" s="17" t="n">
        <v>412</v>
      </c>
      <c r="J1517" s="16"/>
      <c r="K1517" s="17"/>
      <c r="L1517" s="17" t="n">
        <f aca="false">COUNT(E1517,I1517,K1517)</f>
        <v>1</v>
      </c>
      <c r="M1517" s="18" t="n">
        <f aca="false">(D1517&lt;&gt;"")*(D1517&lt;=($E$3*60+$F$3)/86400)+(H1517&lt;&gt;"")*(H1517&lt;=($I$3*60+$J$3)/86400)+(J1517&lt;&gt;"")*(J1517&lt;=($M$3*60+$N$3)/86400)</f>
        <v>0</v>
      </c>
      <c r="N1517" s="20"/>
      <c r="O1517" s="20"/>
      <c r="P1517" s="20"/>
      <c r="Q1517" s="19"/>
    </row>
    <row r="1518" customFormat="false" ht="15" hidden="false" customHeight="false" outlineLevel="0" collapsed="false">
      <c r="A1518" s="10" t="n">
        <v>1512</v>
      </c>
      <c r="B1518" s="12" t="s">
        <v>2376</v>
      </c>
      <c r="C1518" s="12" t="s">
        <v>1469</v>
      </c>
      <c r="D1518" s="13"/>
      <c r="E1518" s="14"/>
      <c r="F1518" s="15" t="str">
        <f aca="false">IF(D1518="","",ROUND((D1518-MIN($D$7:$D$9999))*86400,2))</f>
        <v/>
      </c>
      <c r="G1518" s="10" t="str">
        <f aca="false">IF(D1518="","",IF(D1518&lt;=($E$3*60+$F$3)/86400,"○",""))</f>
        <v/>
      </c>
      <c r="H1518" s="16" t="n">
        <v>0.00706967592592593</v>
      </c>
      <c r="I1518" s="17" t="n">
        <v>414</v>
      </c>
      <c r="J1518" s="16"/>
      <c r="K1518" s="17"/>
      <c r="L1518" s="17" t="n">
        <f aca="false">COUNT(E1518,I1518,K1518)</f>
        <v>1</v>
      </c>
      <c r="M1518" s="18" t="n">
        <f aca="false">(D1518&lt;&gt;"")*(D1518&lt;=($E$3*60+$F$3)/86400)+(H1518&lt;&gt;"")*(H1518&lt;=($I$3*60+$J$3)/86400)+(J1518&lt;&gt;"")*(J1518&lt;=($M$3*60+$N$3)/86400)</f>
        <v>0</v>
      </c>
      <c r="N1518" s="20"/>
      <c r="O1518" s="20"/>
      <c r="P1518" s="20"/>
      <c r="Q1518" s="19"/>
    </row>
    <row r="1519" customFormat="false" ht="15" hidden="false" customHeight="false" outlineLevel="0" collapsed="false">
      <c r="A1519" s="10" t="n">
        <v>1513</v>
      </c>
      <c r="B1519" s="12" t="s">
        <v>2377</v>
      </c>
      <c r="C1519" s="12" t="s">
        <v>2312</v>
      </c>
      <c r="D1519" s="13"/>
      <c r="E1519" s="14"/>
      <c r="F1519" s="15" t="str">
        <f aca="false">IF(D1519="","",ROUND((D1519-MIN($D$7:$D$9999))*86400,2))</f>
        <v/>
      </c>
      <c r="G1519" s="10" t="str">
        <f aca="false">IF(D1519="","",IF(D1519&lt;=($E$3*60+$F$3)/86400,"○",""))</f>
        <v/>
      </c>
      <c r="H1519" s="16" t="n">
        <v>0.00707071759259259</v>
      </c>
      <c r="I1519" s="17" t="n">
        <v>415</v>
      </c>
      <c r="J1519" s="16"/>
      <c r="K1519" s="17"/>
      <c r="L1519" s="17" t="n">
        <f aca="false">COUNT(E1519,I1519,K1519)</f>
        <v>1</v>
      </c>
      <c r="M1519" s="18" t="n">
        <f aca="false">(D1519&lt;&gt;"")*(D1519&lt;=($E$3*60+$F$3)/86400)+(H1519&lt;&gt;"")*(H1519&lt;=($I$3*60+$J$3)/86400)+(J1519&lt;&gt;"")*(J1519&lt;=($M$3*60+$N$3)/86400)</f>
        <v>0</v>
      </c>
      <c r="N1519" s="20"/>
      <c r="O1519" s="20"/>
      <c r="P1519" s="20"/>
      <c r="Q1519" s="19"/>
    </row>
    <row r="1520" customFormat="false" ht="15" hidden="false" customHeight="false" outlineLevel="0" collapsed="false">
      <c r="A1520" s="10" t="n">
        <v>1514</v>
      </c>
      <c r="B1520" s="12" t="s">
        <v>2378</v>
      </c>
      <c r="C1520" s="12" t="s">
        <v>2379</v>
      </c>
      <c r="D1520" s="13"/>
      <c r="E1520" s="14"/>
      <c r="F1520" s="15" t="str">
        <f aca="false">IF(D1520="","",ROUND((D1520-MIN($D$7:$D$9999))*86400,2))</f>
        <v/>
      </c>
      <c r="G1520" s="10" t="str">
        <f aca="false">IF(D1520="","",IF(D1520&lt;=($E$3*60+$F$3)/86400,"○",""))</f>
        <v/>
      </c>
      <c r="H1520" s="16"/>
      <c r="I1520" s="17"/>
      <c r="J1520" s="16" t="n">
        <v>0.00282858796296296</v>
      </c>
      <c r="K1520" s="17" t="n">
        <v>415</v>
      </c>
      <c r="L1520" s="17" t="n">
        <f aca="false">COUNT(E1520,I1520,K1520)</f>
        <v>1</v>
      </c>
      <c r="M1520" s="18" t="n">
        <f aca="false">(D1520&lt;&gt;"")*(D1520&lt;=($E$3*60+$F$3)/86400)+(H1520&lt;&gt;"")*(H1520&lt;=($I$3*60+$J$3)/86400)+(J1520&lt;&gt;"")*(J1520&lt;=($M$3*60+$N$3)/86400)</f>
        <v>0</v>
      </c>
      <c r="N1520" s="20"/>
      <c r="O1520" s="20"/>
      <c r="P1520" s="20"/>
      <c r="Q1520" s="19"/>
    </row>
    <row r="1521" customFormat="false" ht="15" hidden="false" customHeight="false" outlineLevel="0" collapsed="false">
      <c r="A1521" s="10" t="n">
        <v>1515</v>
      </c>
      <c r="B1521" s="12" t="s">
        <v>2380</v>
      </c>
      <c r="C1521" s="12" t="s">
        <v>2381</v>
      </c>
      <c r="D1521" s="13"/>
      <c r="E1521" s="14"/>
      <c r="F1521" s="15" t="str">
        <f aca="false">IF(D1521="","",ROUND((D1521-MIN($D$7:$D$9999))*86400,2))</f>
        <v/>
      </c>
      <c r="G1521" s="10" t="str">
        <f aca="false">IF(D1521="","",IF(D1521&lt;=($E$3*60+$F$3)/86400,"○",""))</f>
        <v/>
      </c>
      <c r="H1521" s="16" t="n">
        <v>0.00707083333333333</v>
      </c>
      <c r="I1521" s="17" t="n">
        <v>416</v>
      </c>
      <c r="J1521" s="16" t="n">
        <v>0.00288923611111111</v>
      </c>
      <c r="K1521" s="17" t="n">
        <v>857</v>
      </c>
      <c r="L1521" s="17" t="n">
        <f aca="false">COUNT(E1521,I1521,K1521)</f>
        <v>2</v>
      </c>
      <c r="M1521" s="18" t="n">
        <f aca="false">(D1521&lt;&gt;"")*(D1521&lt;=($E$3*60+$F$3)/86400)+(H1521&lt;&gt;"")*(H1521&lt;=($I$3*60+$J$3)/86400)+(J1521&lt;&gt;"")*(J1521&lt;=($M$3*60+$N$3)/86400)</f>
        <v>0</v>
      </c>
      <c r="N1521" s="20"/>
      <c r="O1521" s="20"/>
      <c r="P1521" s="20"/>
      <c r="Q1521" s="19"/>
    </row>
    <row r="1522" customFormat="false" ht="15" hidden="false" customHeight="false" outlineLevel="0" collapsed="false">
      <c r="A1522" s="10" t="n">
        <v>1516</v>
      </c>
      <c r="B1522" s="12" t="s">
        <v>2382</v>
      </c>
      <c r="C1522" s="12" t="s">
        <v>2383</v>
      </c>
      <c r="D1522" s="13"/>
      <c r="E1522" s="14"/>
      <c r="F1522" s="15" t="str">
        <f aca="false">IF(D1522="","",ROUND((D1522-MIN($D$7:$D$9999))*86400,2))</f>
        <v/>
      </c>
      <c r="G1522" s="10" t="str">
        <f aca="false">IF(D1522="","",IF(D1522&lt;=($E$3*60+$F$3)/86400,"○",""))</f>
        <v/>
      </c>
      <c r="H1522" s="16" t="n">
        <v>0.00707233796296296</v>
      </c>
      <c r="I1522" s="17" t="n">
        <v>417</v>
      </c>
      <c r="J1522" s="16"/>
      <c r="K1522" s="17"/>
      <c r="L1522" s="17" t="n">
        <f aca="false">COUNT(E1522,I1522,K1522)</f>
        <v>1</v>
      </c>
      <c r="M1522" s="18" t="n">
        <f aca="false">(D1522&lt;&gt;"")*(D1522&lt;=($E$3*60+$F$3)/86400)+(H1522&lt;&gt;"")*(H1522&lt;=($I$3*60+$J$3)/86400)+(J1522&lt;&gt;"")*(J1522&lt;=($M$3*60+$N$3)/86400)</f>
        <v>0</v>
      </c>
      <c r="N1522" s="20"/>
      <c r="O1522" s="20"/>
      <c r="P1522" s="20"/>
      <c r="Q1522" s="19"/>
    </row>
    <row r="1523" customFormat="false" ht="15" hidden="false" customHeight="false" outlineLevel="0" collapsed="false">
      <c r="A1523" s="10" t="n">
        <v>1517</v>
      </c>
      <c r="B1523" s="12" t="s">
        <v>2384</v>
      </c>
      <c r="C1523" s="12" t="s">
        <v>2385</v>
      </c>
      <c r="D1523" s="13"/>
      <c r="E1523" s="14"/>
      <c r="F1523" s="15" t="str">
        <f aca="false">IF(D1523="","",ROUND((D1523-MIN($D$7:$D$9999))*86400,2))</f>
        <v/>
      </c>
      <c r="G1523" s="10" t="str">
        <f aca="false">IF(D1523="","",IF(D1523&lt;=($E$3*60+$F$3)/86400,"○",""))</f>
        <v/>
      </c>
      <c r="H1523" s="16"/>
      <c r="I1523" s="17"/>
      <c r="J1523" s="16" t="n">
        <v>0.00282881944444445</v>
      </c>
      <c r="K1523" s="17" t="n">
        <v>417</v>
      </c>
      <c r="L1523" s="17" t="n">
        <f aca="false">COUNT(E1523,I1523,K1523)</f>
        <v>1</v>
      </c>
      <c r="M1523" s="18" t="n">
        <f aca="false">(D1523&lt;&gt;"")*(D1523&lt;=($E$3*60+$F$3)/86400)+(H1523&lt;&gt;"")*(H1523&lt;=($I$3*60+$J$3)/86400)+(J1523&lt;&gt;"")*(J1523&lt;=($M$3*60+$N$3)/86400)</f>
        <v>0</v>
      </c>
      <c r="N1523" s="20"/>
      <c r="O1523" s="20"/>
      <c r="P1523" s="20"/>
      <c r="Q1523" s="19"/>
    </row>
    <row r="1524" customFormat="false" ht="15" hidden="false" customHeight="false" outlineLevel="0" collapsed="false">
      <c r="A1524" s="10" t="n">
        <v>1518</v>
      </c>
      <c r="B1524" s="12" t="s">
        <v>2386</v>
      </c>
      <c r="C1524" s="12" t="s">
        <v>907</v>
      </c>
      <c r="D1524" s="13"/>
      <c r="E1524" s="14"/>
      <c r="F1524" s="15" t="str">
        <f aca="false">IF(D1524="","",ROUND((D1524-MIN($D$7:$D$9999))*86400,2))</f>
        <v/>
      </c>
      <c r="G1524" s="10" t="str">
        <f aca="false">IF(D1524="","",IF(D1524&lt;=($E$3*60+$F$3)/86400,"○",""))</f>
        <v/>
      </c>
      <c r="H1524" s="16" t="n">
        <v>0.00707407407407408</v>
      </c>
      <c r="I1524" s="17" t="n">
        <v>419</v>
      </c>
      <c r="J1524" s="16"/>
      <c r="K1524" s="17"/>
      <c r="L1524" s="17" t="n">
        <f aca="false">COUNT(E1524,I1524,K1524)</f>
        <v>1</v>
      </c>
      <c r="M1524" s="18" t="n">
        <f aca="false">(D1524&lt;&gt;"")*(D1524&lt;=($E$3*60+$F$3)/86400)+(H1524&lt;&gt;"")*(H1524&lt;=($I$3*60+$J$3)/86400)+(J1524&lt;&gt;"")*(J1524&lt;=($M$3*60+$N$3)/86400)</f>
        <v>0</v>
      </c>
      <c r="N1524" s="20"/>
      <c r="O1524" s="20"/>
      <c r="P1524" s="20"/>
      <c r="Q1524" s="19"/>
    </row>
    <row r="1525" customFormat="false" ht="15" hidden="false" customHeight="false" outlineLevel="0" collapsed="false">
      <c r="A1525" s="10" t="n">
        <v>1519</v>
      </c>
      <c r="B1525" s="12" t="s">
        <v>2387</v>
      </c>
      <c r="C1525" s="12" t="s">
        <v>503</v>
      </c>
      <c r="D1525" s="13"/>
      <c r="E1525" s="14"/>
      <c r="F1525" s="15" t="str">
        <f aca="false">IF(D1525="","",ROUND((D1525-MIN($D$7:$D$9999))*86400,2))</f>
        <v/>
      </c>
      <c r="G1525" s="10" t="str">
        <f aca="false">IF(D1525="","",IF(D1525&lt;=($E$3*60+$F$3)/86400,"○",""))</f>
        <v/>
      </c>
      <c r="H1525" s="16" t="n">
        <v>0.00707604166666667</v>
      </c>
      <c r="I1525" s="17" t="n">
        <v>422</v>
      </c>
      <c r="J1525" s="16"/>
      <c r="K1525" s="17"/>
      <c r="L1525" s="17" t="n">
        <f aca="false">COUNT(E1525,I1525,K1525)</f>
        <v>1</v>
      </c>
      <c r="M1525" s="18" t="n">
        <f aca="false">(D1525&lt;&gt;"")*(D1525&lt;=($E$3*60+$F$3)/86400)+(H1525&lt;&gt;"")*(H1525&lt;=($I$3*60+$J$3)/86400)+(J1525&lt;&gt;"")*(J1525&lt;=($M$3*60+$N$3)/86400)</f>
        <v>0</v>
      </c>
      <c r="N1525" s="20"/>
      <c r="O1525" s="20"/>
      <c r="P1525" s="20"/>
      <c r="Q1525" s="19"/>
    </row>
    <row r="1526" customFormat="false" ht="15" hidden="false" customHeight="false" outlineLevel="0" collapsed="false">
      <c r="A1526" s="10" t="n">
        <v>1520</v>
      </c>
      <c r="B1526" s="12" t="s">
        <v>2388</v>
      </c>
      <c r="C1526" s="12" t="s">
        <v>1798</v>
      </c>
      <c r="D1526" s="13"/>
      <c r="E1526" s="14"/>
      <c r="F1526" s="15" t="str">
        <f aca="false">IF(D1526="","",ROUND((D1526-MIN($D$7:$D$9999))*86400,2))</f>
        <v/>
      </c>
      <c r="G1526" s="10" t="str">
        <f aca="false">IF(D1526="","",IF(D1526&lt;=($E$3*60+$F$3)/86400,"○",""))</f>
        <v/>
      </c>
      <c r="H1526" s="16"/>
      <c r="I1526" s="17"/>
      <c r="J1526" s="16" t="n">
        <v>0.00282928240740741</v>
      </c>
      <c r="K1526" s="17" t="n">
        <v>422</v>
      </c>
      <c r="L1526" s="17" t="n">
        <f aca="false">COUNT(E1526,I1526,K1526)</f>
        <v>1</v>
      </c>
      <c r="M1526" s="18" t="n">
        <f aca="false">(D1526&lt;&gt;"")*(D1526&lt;=($E$3*60+$F$3)/86400)+(H1526&lt;&gt;"")*(H1526&lt;=($I$3*60+$J$3)/86400)+(J1526&lt;&gt;"")*(J1526&lt;=($M$3*60+$N$3)/86400)</f>
        <v>0</v>
      </c>
      <c r="N1526" s="20"/>
      <c r="O1526" s="20"/>
      <c r="P1526" s="20"/>
      <c r="Q1526" s="19"/>
    </row>
    <row r="1527" customFormat="false" ht="15" hidden="false" customHeight="false" outlineLevel="0" collapsed="false">
      <c r="A1527" s="10" t="n">
        <v>1521</v>
      </c>
      <c r="B1527" s="12" t="s">
        <v>2389</v>
      </c>
      <c r="C1527" s="12" t="s">
        <v>209</v>
      </c>
      <c r="D1527" s="13"/>
      <c r="E1527" s="14"/>
      <c r="F1527" s="15" t="str">
        <f aca="false">IF(D1527="","",ROUND((D1527-MIN($D$7:$D$9999))*86400,2))</f>
        <v/>
      </c>
      <c r="G1527" s="10" t="str">
        <f aca="false">IF(D1527="","",IF(D1527&lt;=($E$3*60+$F$3)/86400,"○",""))</f>
        <v/>
      </c>
      <c r="H1527" s="16" t="n">
        <v>0.00794456018518519</v>
      </c>
      <c r="I1527" s="17" t="n">
        <v>1178</v>
      </c>
      <c r="J1527" s="16" t="n">
        <v>0.00282939814814815</v>
      </c>
      <c r="K1527" s="17" t="n">
        <v>423</v>
      </c>
      <c r="L1527" s="17" t="n">
        <f aca="false">COUNT(E1527,I1527,K1527)</f>
        <v>2</v>
      </c>
      <c r="M1527" s="18" t="n">
        <f aca="false">(D1527&lt;&gt;"")*(D1527&lt;=($E$3*60+$F$3)/86400)+(H1527&lt;&gt;"")*(H1527&lt;=($I$3*60+$J$3)/86400)+(J1527&lt;&gt;"")*(J1527&lt;=($M$3*60+$N$3)/86400)</f>
        <v>0</v>
      </c>
      <c r="N1527" s="20"/>
      <c r="O1527" s="20"/>
      <c r="P1527" s="20"/>
      <c r="Q1527" s="19"/>
    </row>
    <row r="1528" customFormat="false" ht="15" hidden="false" customHeight="false" outlineLevel="0" collapsed="false">
      <c r="A1528" s="10" t="n">
        <v>1522</v>
      </c>
      <c r="B1528" s="12" t="s">
        <v>2390</v>
      </c>
      <c r="C1528" s="12" t="s">
        <v>2391</v>
      </c>
      <c r="D1528" s="13"/>
      <c r="E1528" s="14"/>
      <c r="F1528" s="15" t="str">
        <f aca="false">IF(D1528="","",ROUND((D1528-MIN($D$7:$D$9999))*86400,2))</f>
        <v/>
      </c>
      <c r="G1528" s="10" t="str">
        <f aca="false">IF(D1528="","",IF(D1528&lt;=($E$3*60+$F$3)/86400,"○",""))</f>
        <v/>
      </c>
      <c r="H1528" s="16" t="n">
        <v>0.00707673611111111</v>
      </c>
      <c r="I1528" s="17" t="n">
        <v>423</v>
      </c>
      <c r="J1528" s="16"/>
      <c r="K1528" s="17"/>
      <c r="L1528" s="17" t="n">
        <f aca="false">COUNT(E1528,I1528,K1528)</f>
        <v>1</v>
      </c>
      <c r="M1528" s="18" t="n">
        <f aca="false">(D1528&lt;&gt;"")*(D1528&lt;=($E$3*60+$F$3)/86400)+(H1528&lt;&gt;"")*(H1528&lt;=($I$3*60+$J$3)/86400)+(J1528&lt;&gt;"")*(J1528&lt;=($M$3*60+$N$3)/86400)</f>
        <v>0</v>
      </c>
      <c r="N1528" s="20"/>
      <c r="O1528" s="20"/>
      <c r="P1528" s="20"/>
      <c r="Q1528" s="19"/>
    </row>
    <row r="1529" customFormat="false" ht="15" hidden="false" customHeight="false" outlineLevel="0" collapsed="false">
      <c r="A1529" s="10" t="n">
        <v>1523</v>
      </c>
      <c r="B1529" s="12" t="s">
        <v>2392</v>
      </c>
      <c r="C1529" s="12" t="s">
        <v>103</v>
      </c>
      <c r="D1529" s="13"/>
      <c r="E1529" s="14"/>
      <c r="F1529" s="15" t="str">
        <f aca="false">IF(D1529="","",ROUND((D1529-MIN($D$7:$D$9999))*86400,2))</f>
        <v/>
      </c>
      <c r="G1529" s="10" t="str">
        <f aca="false">IF(D1529="","",IF(D1529&lt;=($E$3*60+$F$3)/86400,"○",""))</f>
        <v/>
      </c>
      <c r="H1529" s="16" t="n">
        <v>0.00707731481481482</v>
      </c>
      <c r="I1529" s="17" t="n">
        <v>424</v>
      </c>
      <c r="J1529" s="16"/>
      <c r="K1529" s="17"/>
      <c r="L1529" s="17" t="n">
        <f aca="false">COUNT(E1529,I1529,K1529)</f>
        <v>1</v>
      </c>
      <c r="M1529" s="18" t="n">
        <f aca="false">(D1529&lt;&gt;"")*(D1529&lt;=($E$3*60+$F$3)/86400)+(H1529&lt;&gt;"")*(H1529&lt;=($I$3*60+$J$3)/86400)+(J1529&lt;&gt;"")*(J1529&lt;=($M$3*60+$N$3)/86400)</f>
        <v>0</v>
      </c>
      <c r="N1529" s="20"/>
      <c r="O1529" s="20"/>
      <c r="P1529" s="20"/>
      <c r="Q1529" s="19"/>
    </row>
    <row r="1530" customFormat="false" ht="15" hidden="false" customHeight="false" outlineLevel="0" collapsed="false">
      <c r="A1530" s="10" t="n">
        <v>1524</v>
      </c>
      <c r="B1530" s="12" t="s">
        <v>2393</v>
      </c>
      <c r="C1530" s="12" t="s">
        <v>69</v>
      </c>
      <c r="D1530" s="13"/>
      <c r="E1530" s="14"/>
      <c r="F1530" s="15" t="str">
        <f aca="false">IF(D1530="","",ROUND((D1530-MIN($D$7:$D$9999))*86400,2))</f>
        <v/>
      </c>
      <c r="G1530" s="10" t="str">
        <f aca="false">IF(D1530="","",IF(D1530&lt;=($E$3*60+$F$3)/86400,"○",""))</f>
        <v/>
      </c>
      <c r="H1530" s="16" t="n">
        <v>0.00707777777777778</v>
      </c>
      <c r="I1530" s="17" t="n">
        <v>425</v>
      </c>
      <c r="J1530" s="16" t="n">
        <v>0.00283368055555556</v>
      </c>
      <c r="K1530" s="17" t="n">
        <v>448</v>
      </c>
      <c r="L1530" s="17" t="n">
        <f aca="false">COUNT(E1530,I1530,K1530)</f>
        <v>2</v>
      </c>
      <c r="M1530" s="18" t="n">
        <f aca="false">(D1530&lt;&gt;"")*(D1530&lt;=($E$3*60+$F$3)/86400)+(H1530&lt;&gt;"")*(H1530&lt;=($I$3*60+$J$3)/86400)+(J1530&lt;&gt;"")*(J1530&lt;=($M$3*60+$N$3)/86400)</f>
        <v>0</v>
      </c>
      <c r="N1530" s="20"/>
      <c r="O1530" s="20"/>
      <c r="P1530" s="20"/>
      <c r="Q1530" s="19"/>
    </row>
    <row r="1531" customFormat="false" ht="15" hidden="false" customHeight="false" outlineLevel="0" collapsed="false">
      <c r="A1531" s="10" t="n">
        <v>1525</v>
      </c>
      <c r="B1531" s="12" t="s">
        <v>2394</v>
      </c>
      <c r="C1531" s="12" t="s">
        <v>2395</v>
      </c>
      <c r="D1531" s="13"/>
      <c r="E1531" s="14"/>
      <c r="F1531" s="15" t="str">
        <f aca="false">IF(D1531="","",ROUND((D1531-MIN($D$7:$D$9999))*86400,2))</f>
        <v/>
      </c>
      <c r="G1531" s="10" t="str">
        <f aca="false">IF(D1531="","",IF(D1531&lt;=($E$3*60+$F$3)/86400,"○",""))</f>
        <v/>
      </c>
      <c r="H1531" s="16"/>
      <c r="I1531" s="17"/>
      <c r="J1531" s="16" t="n">
        <v>0.00282962962962963</v>
      </c>
      <c r="K1531" s="17" t="n">
        <v>425</v>
      </c>
      <c r="L1531" s="17" t="n">
        <f aca="false">COUNT(E1531,I1531,K1531)</f>
        <v>1</v>
      </c>
      <c r="M1531" s="18" t="n">
        <f aca="false">(D1531&lt;&gt;"")*(D1531&lt;=($E$3*60+$F$3)/86400)+(H1531&lt;&gt;"")*(H1531&lt;=($I$3*60+$J$3)/86400)+(J1531&lt;&gt;"")*(J1531&lt;=($M$3*60+$N$3)/86400)</f>
        <v>0</v>
      </c>
      <c r="N1531" s="20"/>
      <c r="O1531" s="20"/>
      <c r="P1531" s="20"/>
      <c r="Q1531" s="19"/>
    </row>
    <row r="1532" customFormat="false" ht="15" hidden="false" customHeight="false" outlineLevel="0" collapsed="false">
      <c r="A1532" s="10" t="n">
        <v>1526</v>
      </c>
      <c r="B1532" s="12" t="s">
        <v>2396</v>
      </c>
      <c r="C1532" s="12" t="s">
        <v>2397</v>
      </c>
      <c r="D1532" s="13"/>
      <c r="E1532" s="14"/>
      <c r="F1532" s="15" t="str">
        <f aca="false">IF(D1532="","",ROUND((D1532-MIN($D$7:$D$9999))*86400,2))</f>
        <v/>
      </c>
      <c r="G1532" s="10" t="str">
        <f aca="false">IF(D1532="","",IF(D1532&lt;=($E$3*60+$F$3)/86400,"○",""))</f>
        <v/>
      </c>
      <c r="H1532" s="16" t="n">
        <v>0.00707916666666667</v>
      </c>
      <c r="I1532" s="17" t="n">
        <v>426</v>
      </c>
      <c r="J1532" s="16"/>
      <c r="K1532" s="17"/>
      <c r="L1532" s="17" t="n">
        <f aca="false">COUNT(E1532,I1532,K1532)</f>
        <v>1</v>
      </c>
      <c r="M1532" s="18" t="n">
        <f aca="false">(D1532&lt;&gt;"")*(D1532&lt;=($E$3*60+$F$3)/86400)+(H1532&lt;&gt;"")*(H1532&lt;=($I$3*60+$J$3)/86400)+(J1532&lt;&gt;"")*(J1532&lt;=($M$3*60+$N$3)/86400)</f>
        <v>0</v>
      </c>
      <c r="N1532" s="20"/>
      <c r="O1532" s="20"/>
      <c r="P1532" s="20"/>
      <c r="Q1532" s="19"/>
    </row>
    <row r="1533" customFormat="false" ht="15" hidden="false" customHeight="false" outlineLevel="0" collapsed="false">
      <c r="A1533" s="10" t="n">
        <v>1527</v>
      </c>
      <c r="B1533" s="12" t="s">
        <v>2398</v>
      </c>
      <c r="C1533" s="12" t="s">
        <v>2399</v>
      </c>
      <c r="D1533" s="13"/>
      <c r="E1533" s="14"/>
      <c r="F1533" s="15" t="str">
        <f aca="false">IF(D1533="","",ROUND((D1533-MIN($D$7:$D$9999))*86400,2))</f>
        <v/>
      </c>
      <c r="G1533" s="10" t="str">
        <f aca="false">IF(D1533="","",IF(D1533&lt;=($E$3*60+$F$3)/86400,"○",""))</f>
        <v/>
      </c>
      <c r="H1533" s="16" t="n">
        <v>0.00708009259259259</v>
      </c>
      <c r="I1533" s="17" t="n">
        <v>428</v>
      </c>
      <c r="J1533" s="16"/>
      <c r="K1533" s="17"/>
      <c r="L1533" s="17" t="n">
        <f aca="false">COUNT(E1533,I1533,K1533)</f>
        <v>1</v>
      </c>
      <c r="M1533" s="18" t="n">
        <f aca="false">(D1533&lt;&gt;"")*(D1533&lt;=($E$3*60+$F$3)/86400)+(H1533&lt;&gt;"")*(H1533&lt;=($I$3*60+$J$3)/86400)+(J1533&lt;&gt;"")*(J1533&lt;=($M$3*60+$N$3)/86400)</f>
        <v>0</v>
      </c>
      <c r="N1533" s="20"/>
      <c r="O1533" s="20"/>
      <c r="P1533" s="20"/>
      <c r="Q1533" s="19"/>
    </row>
    <row r="1534" customFormat="false" ht="15" hidden="false" customHeight="false" outlineLevel="0" collapsed="false">
      <c r="A1534" s="10" t="n">
        <v>1528</v>
      </c>
      <c r="B1534" s="12" t="s">
        <v>2400</v>
      </c>
      <c r="C1534" s="12" t="s">
        <v>737</v>
      </c>
      <c r="D1534" s="13"/>
      <c r="E1534" s="14"/>
      <c r="F1534" s="15" t="str">
        <f aca="false">IF(D1534="","",ROUND((D1534-MIN($D$7:$D$9999))*86400,2))</f>
        <v/>
      </c>
      <c r="G1534" s="10" t="str">
        <f aca="false">IF(D1534="","",IF(D1534&lt;=($E$3*60+$F$3)/86400,"○",""))</f>
        <v/>
      </c>
      <c r="H1534" s="16" t="n">
        <v>0.00708217592592593</v>
      </c>
      <c r="I1534" s="17" t="n">
        <v>429</v>
      </c>
      <c r="J1534" s="16"/>
      <c r="K1534" s="17"/>
      <c r="L1534" s="17" t="n">
        <f aca="false">COUNT(E1534,I1534,K1534)</f>
        <v>1</v>
      </c>
      <c r="M1534" s="18" t="n">
        <f aca="false">(D1534&lt;&gt;"")*(D1534&lt;=($E$3*60+$F$3)/86400)+(H1534&lt;&gt;"")*(H1534&lt;=($I$3*60+$J$3)/86400)+(J1534&lt;&gt;"")*(J1534&lt;=($M$3*60+$N$3)/86400)</f>
        <v>0</v>
      </c>
      <c r="N1534" s="20"/>
      <c r="O1534" s="20"/>
      <c r="P1534" s="20"/>
      <c r="Q1534" s="19"/>
    </row>
    <row r="1535" customFormat="false" ht="15" hidden="false" customHeight="false" outlineLevel="0" collapsed="false">
      <c r="A1535" s="10" t="n">
        <v>1529</v>
      </c>
      <c r="B1535" s="12" t="s">
        <v>2401</v>
      </c>
      <c r="C1535" s="12" t="s">
        <v>1131</v>
      </c>
      <c r="D1535" s="13"/>
      <c r="E1535" s="14"/>
      <c r="F1535" s="15" t="str">
        <f aca="false">IF(D1535="","",ROUND((D1535-MIN($D$7:$D$9999))*86400,2))</f>
        <v/>
      </c>
      <c r="G1535" s="10" t="str">
        <f aca="false">IF(D1535="","",IF(D1535&lt;=($E$3*60+$F$3)/86400,"○",""))</f>
        <v/>
      </c>
      <c r="H1535" s="16" t="n">
        <v>0.00708263888888889</v>
      </c>
      <c r="I1535" s="17" t="n">
        <v>431</v>
      </c>
      <c r="J1535" s="16"/>
      <c r="K1535" s="17"/>
      <c r="L1535" s="17" t="n">
        <f aca="false">COUNT(E1535,I1535,K1535)</f>
        <v>1</v>
      </c>
      <c r="M1535" s="18" t="n">
        <f aca="false">(D1535&lt;&gt;"")*(D1535&lt;=($E$3*60+$F$3)/86400)+(H1535&lt;&gt;"")*(H1535&lt;=($I$3*60+$J$3)/86400)+(J1535&lt;&gt;"")*(J1535&lt;=($M$3*60+$N$3)/86400)</f>
        <v>0</v>
      </c>
      <c r="N1535" s="20"/>
      <c r="O1535" s="20"/>
      <c r="P1535" s="20"/>
      <c r="Q1535" s="19"/>
    </row>
    <row r="1536" customFormat="false" ht="15" hidden="false" customHeight="false" outlineLevel="0" collapsed="false">
      <c r="A1536" s="10" t="n">
        <v>1530</v>
      </c>
      <c r="B1536" s="12" t="s">
        <v>2402</v>
      </c>
      <c r="C1536" s="12" t="s">
        <v>127</v>
      </c>
      <c r="D1536" s="13"/>
      <c r="E1536" s="14"/>
      <c r="F1536" s="15" t="str">
        <f aca="false">IF(D1536="","",ROUND((D1536-MIN($D$7:$D$9999))*86400,2))</f>
        <v/>
      </c>
      <c r="G1536" s="10" t="str">
        <f aca="false">IF(D1536="","",IF(D1536&lt;=($E$3*60+$F$3)/86400,"○",""))</f>
        <v/>
      </c>
      <c r="H1536" s="16"/>
      <c r="I1536" s="17"/>
      <c r="J1536" s="16" t="n">
        <v>0.00283101851851852</v>
      </c>
      <c r="K1536" s="17" t="n">
        <v>433</v>
      </c>
      <c r="L1536" s="17" t="n">
        <f aca="false">COUNT(E1536,I1536,K1536)</f>
        <v>1</v>
      </c>
      <c r="M1536" s="18" t="n">
        <f aca="false">(D1536&lt;&gt;"")*(D1536&lt;=($E$3*60+$F$3)/86400)+(H1536&lt;&gt;"")*(H1536&lt;=($I$3*60+$J$3)/86400)+(J1536&lt;&gt;"")*(J1536&lt;=($M$3*60+$N$3)/86400)</f>
        <v>0</v>
      </c>
      <c r="N1536" s="20"/>
      <c r="O1536" s="20"/>
      <c r="P1536" s="20"/>
      <c r="Q1536" s="19"/>
    </row>
    <row r="1537" customFormat="false" ht="15" hidden="false" customHeight="false" outlineLevel="0" collapsed="false">
      <c r="A1537" s="10" t="n">
        <v>1531</v>
      </c>
      <c r="B1537" s="12" t="s">
        <v>2403</v>
      </c>
      <c r="C1537" s="12" t="s">
        <v>1476</v>
      </c>
      <c r="D1537" s="13"/>
      <c r="E1537" s="14"/>
      <c r="F1537" s="15" t="str">
        <f aca="false">IF(D1537="","",ROUND((D1537-MIN($D$7:$D$9999))*86400,2))</f>
        <v/>
      </c>
      <c r="G1537" s="10" t="str">
        <f aca="false">IF(D1537="","",IF(D1537&lt;=($E$3*60+$F$3)/86400,"○",""))</f>
        <v/>
      </c>
      <c r="H1537" s="16" t="n">
        <v>0.00708622685185185</v>
      </c>
      <c r="I1537" s="17" t="n">
        <v>434</v>
      </c>
      <c r="J1537" s="16"/>
      <c r="K1537" s="17"/>
      <c r="L1537" s="17" t="n">
        <f aca="false">COUNT(E1537,I1537,K1537)</f>
        <v>1</v>
      </c>
      <c r="M1537" s="18" t="n">
        <f aca="false">(D1537&lt;&gt;"")*(D1537&lt;=($E$3*60+$F$3)/86400)+(H1537&lt;&gt;"")*(H1537&lt;=($I$3*60+$J$3)/86400)+(J1537&lt;&gt;"")*(J1537&lt;=($M$3*60+$N$3)/86400)</f>
        <v>0</v>
      </c>
      <c r="N1537" s="20"/>
      <c r="O1537" s="20" t="s">
        <v>2404</v>
      </c>
      <c r="P1537" s="20"/>
      <c r="Q1537" s="19"/>
    </row>
    <row r="1538" customFormat="false" ht="15" hidden="false" customHeight="false" outlineLevel="0" collapsed="false">
      <c r="A1538" s="10" t="n">
        <v>1532</v>
      </c>
      <c r="B1538" s="12" t="s">
        <v>2405</v>
      </c>
      <c r="C1538" s="12" t="s">
        <v>1284</v>
      </c>
      <c r="D1538" s="13"/>
      <c r="E1538" s="14"/>
      <c r="F1538" s="15" t="str">
        <f aca="false">IF(D1538="","",ROUND((D1538-MIN($D$7:$D$9999))*86400,2))</f>
        <v/>
      </c>
      <c r="G1538" s="10" t="str">
        <f aca="false">IF(D1538="","",IF(D1538&lt;=($E$3*60+$F$3)/86400,"○",""))</f>
        <v/>
      </c>
      <c r="H1538" s="16"/>
      <c r="I1538" s="17"/>
      <c r="J1538" s="16" t="n">
        <v>0.00283159722222222</v>
      </c>
      <c r="K1538" s="17" t="n">
        <v>434</v>
      </c>
      <c r="L1538" s="17" t="n">
        <f aca="false">COUNT(E1538,I1538,K1538)</f>
        <v>1</v>
      </c>
      <c r="M1538" s="18" t="n">
        <f aca="false">(D1538&lt;&gt;"")*(D1538&lt;=($E$3*60+$F$3)/86400)+(H1538&lt;&gt;"")*(H1538&lt;=($I$3*60+$J$3)/86400)+(J1538&lt;&gt;"")*(J1538&lt;=($M$3*60+$N$3)/86400)</f>
        <v>0</v>
      </c>
      <c r="N1538" s="20"/>
      <c r="O1538" s="20"/>
      <c r="P1538" s="20"/>
      <c r="Q1538" s="19"/>
    </row>
    <row r="1539" customFormat="false" ht="15" hidden="false" customHeight="false" outlineLevel="0" collapsed="false">
      <c r="A1539" s="10" t="n">
        <v>1533</v>
      </c>
      <c r="B1539" s="12" t="s">
        <v>2406</v>
      </c>
      <c r="C1539" s="12" t="s">
        <v>179</v>
      </c>
      <c r="D1539" s="13"/>
      <c r="E1539" s="14"/>
      <c r="F1539" s="15" t="str">
        <f aca="false">IF(D1539="","",ROUND((D1539-MIN($D$7:$D$9999))*86400,2))</f>
        <v/>
      </c>
      <c r="G1539" s="10" t="str">
        <f aca="false">IF(D1539="","",IF(D1539&lt;=($E$3*60+$F$3)/86400,"○",""))</f>
        <v/>
      </c>
      <c r="H1539" s="16" t="n">
        <v>0.0070869212962963</v>
      </c>
      <c r="I1539" s="17" t="n">
        <v>436</v>
      </c>
      <c r="J1539" s="16"/>
      <c r="K1539" s="17"/>
      <c r="L1539" s="17" t="n">
        <f aca="false">COUNT(E1539,I1539,K1539)</f>
        <v>1</v>
      </c>
      <c r="M1539" s="18" t="n">
        <f aca="false">(D1539&lt;&gt;"")*(D1539&lt;=($E$3*60+$F$3)/86400)+(H1539&lt;&gt;"")*(H1539&lt;=($I$3*60+$J$3)/86400)+(J1539&lt;&gt;"")*(J1539&lt;=($M$3*60+$N$3)/86400)</f>
        <v>0</v>
      </c>
      <c r="N1539" s="20"/>
      <c r="O1539" s="20"/>
      <c r="P1539" s="20"/>
      <c r="Q1539" s="19"/>
    </row>
    <row r="1540" customFormat="false" ht="15" hidden="false" customHeight="false" outlineLevel="0" collapsed="false">
      <c r="A1540" s="10" t="n">
        <v>1534</v>
      </c>
      <c r="B1540" s="12" t="s">
        <v>2407</v>
      </c>
      <c r="C1540" s="12" t="s">
        <v>248</v>
      </c>
      <c r="D1540" s="13"/>
      <c r="E1540" s="14"/>
      <c r="F1540" s="15" t="str">
        <f aca="false">IF(D1540="","",ROUND((D1540-MIN($D$7:$D$9999))*86400,2))</f>
        <v/>
      </c>
      <c r="G1540" s="10" t="str">
        <f aca="false">IF(D1540="","",IF(D1540&lt;=($E$3*60+$F$3)/86400,"○",""))</f>
        <v/>
      </c>
      <c r="H1540" s="16" t="n">
        <v>0.00709085648148148</v>
      </c>
      <c r="I1540" s="17" t="n">
        <v>438</v>
      </c>
      <c r="J1540" s="16"/>
      <c r="K1540" s="17"/>
      <c r="L1540" s="17" t="n">
        <f aca="false">COUNT(E1540,I1540,K1540)</f>
        <v>1</v>
      </c>
      <c r="M1540" s="18" t="n">
        <f aca="false">(D1540&lt;&gt;"")*(D1540&lt;=($E$3*60+$F$3)/86400)+(H1540&lt;&gt;"")*(H1540&lt;=($I$3*60+$J$3)/86400)+(J1540&lt;&gt;"")*(J1540&lt;=($M$3*60+$N$3)/86400)</f>
        <v>0</v>
      </c>
      <c r="N1540" s="20"/>
      <c r="O1540" s="20"/>
      <c r="P1540" s="20"/>
      <c r="Q1540" s="19"/>
    </row>
    <row r="1541" customFormat="false" ht="15" hidden="false" customHeight="false" outlineLevel="0" collapsed="false">
      <c r="A1541" s="10" t="n">
        <v>1535</v>
      </c>
      <c r="B1541" s="12" t="s">
        <v>2408</v>
      </c>
      <c r="C1541" s="12" t="s">
        <v>195</v>
      </c>
      <c r="D1541" s="13"/>
      <c r="E1541" s="14"/>
      <c r="F1541" s="15" t="str">
        <f aca="false">IF(D1541="","",ROUND((D1541-MIN($D$7:$D$9999))*86400,2))</f>
        <v/>
      </c>
      <c r="G1541" s="10" t="str">
        <f aca="false">IF(D1541="","",IF(D1541&lt;=($E$3*60+$F$3)/86400,"○",""))</f>
        <v/>
      </c>
      <c r="H1541" s="16"/>
      <c r="I1541" s="17"/>
      <c r="J1541" s="16" t="n">
        <v>0.0028318287037037</v>
      </c>
      <c r="K1541" s="17" t="n">
        <v>438</v>
      </c>
      <c r="L1541" s="17" t="n">
        <f aca="false">COUNT(E1541,I1541,K1541)</f>
        <v>1</v>
      </c>
      <c r="M1541" s="18" t="n">
        <f aca="false">(D1541&lt;&gt;"")*(D1541&lt;=($E$3*60+$F$3)/86400)+(H1541&lt;&gt;"")*(H1541&lt;=($I$3*60+$J$3)/86400)+(J1541&lt;&gt;"")*(J1541&lt;=($M$3*60+$N$3)/86400)</f>
        <v>0</v>
      </c>
      <c r="N1541" s="20"/>
      <c r="O1541" s="20"/>
      <c r="P1541" s="20"/>
      <c r="Q1541" s="19"/>
    </row>
    <row r="1542" customFormat="false" ht="15" hidden="false" customHeight="false" outlineLevel="0" collapsed="false">
      <c r="A1542" s="10" t="n">
        <v>1536</v>
      </c>
      <c r="B1542" s="12" t="s">
        <v>2409</v>
      </c>
      <c r="C1542" s="12" t="s">
        <v>1342</v>
      </c>
      <c r="D1542" s="13"/>
      <c r="E1542" s="14"/>
      <c r="F1542" s="15" t="str">
        <f aca="false">IF(D1542="","",ROUND((D1542-MIN($D$7:$D$9999))*86400,2))</f>
        <v/>
      </c>
      <c r="G1542" s="10" t="str">
        <f aca="false">IF(D1542="","",IF(D1542&lt;=($E$3*60+$F$3)/86400,"○",""))</f>
        <v/>
      </c>
      <c r="H1542" s="16" t="n">
        <v>0.00709201388888889</v>
      </c>
      <c r="I1542" s="17" t="n">
        <v>439</v>
      </c>
      <c r="J1542" s="16"/>
      <c r="K1542" s="17"/>
      <c r="L1542" s="17" t="n">
        <f aca="false">COUNT(E1542,I1542,K1542)</f>
        <v>1</v>
      </c>
      <c r="M1542" s="18" t="n">
        <f aca="false">(D1542&lt;&gt;"")*(D1542&lt;=($E$3*60+$F$3)/86400)+(H1542&lt;&gt;"")*(H1542&lt;=($I$3*60+$J$3)/86400)+(J1542&lt;&gt;"")*(J1542&lt;=($M$3*60+$N$3)/86400)</f>
        <v>0</v>
      </c>
      <c r="N1542" s="20"/>
      <c r="O1542" s="20"/>
      <c r="P1542" s="20"/>
      <c r="Q1542" s="19"/>
    </row>
    <row r="1543" customFormat="false" ht="15" hidden="false" customHeight="false" outlineLevel="0" collapsed="false">
      <c r="A1543" s="10" t="n">
        <v>1537</v>
      </c>
      <c r="B1543" s="12" t="s">
        <v>2410</v>
      </c>
      <c r="C1543" s="12" t="s">
        <v>1106</v>
      </c>
      <c r="D1543" s="13"/>
      <c r="E1543" s="14"/>
      <c r="F1543" s="15" t="str">
        <f aca="false">IF(D1543="","",ROUND((D1543-MIN($D$7:$D$9999))*86400,2))</f>
        <v/>
      </c>
      <c r="G1543" s="10" t="str">
        <f aca="false">IF(D1543="","",IF(D1543&lt;=($E$3*60+$F$3)/86400,"○",""))</f>
        <v/>
      </c>
      <c r="H1543" s="16"/>
      <c r="I1543" s="17"/>
      <c r="J1543" s="16" t="n">
        <v>0.00283194444444445</v>
      </c>
      <c r="K1543" s="17" t="n">
        <v>439</v>
      </c>
      <c r="L1543" s="17" t="n">
        <f aca="false">COUNT(E1543,I1543,K1543)</f>
        <v>1</v>
      </c>
      <c r="M1543" s="18" t="n">
        <f aca="false">(D1543&lt;&gt;"")*(D1543&lt;=($E$3*60+$F$3)/86400)+(H1543&lt;&gt;"")*(H1543&lt;=($I$3*60+$J$3)/86400)+(J1543&lt;&gt;"")*(J1543&lt;=($M$3*60+$N$3)/86400)</f>
        <v>0</v>
      </c>
      <c r="N1543" s="20"/>
      <c r="O1543" s="20"/>
      <c r="P1543" s="20"/>
      <c r="Q1543" s="19"/>
    </row>
    <row r="1544" customFormat="false" ht="15" hidden="false" customHeight="false" outlineLevel="0" collapsed="false">
      <c r="A1544" s="10" t="n">
        <v>1538</v>
      </c>
      <c r="B1544" s="12" t="s">
        <v>2411</v>
      </c>
      <c r="C1544" s="12" t="s">
        <v>1310</v>
      </c>
      <c r="D1544" s="13"/>
      <c r="E1544" s="14"/>
      <c r="F1544" s="15" t="str">
        <f aca="false">IF(D1544="","",ROUND((D1544-MIN($D$7:$D$9999))*86400,2))</f>
        <v/>
      </c>
      <c r="G1544" s="10" t="str">
        <f aca="false">IF(D1544="","",IF(D1544&lt;=($E$3*60+$F$3)/86400,"○",""))</f>
        <v/>
      </c>
      <c r="H1544" s="16" t="n">
        <v>0.00709409722222222</v>
      </c>
      <c r="I1544" s="17" t="n">
        <v>440</v>
      </c>
      <c r="J1544" s="16"/>
      <c r="K1544" s="17"/>
      <c r="L1544" s="17" t="n">
        <f aca="false">COUNT(E1544,I1544,K1544)</f>
        <v>1</v>
      </c>
      <c r="M1544" s="18" t="n">
        <f aca="false">(D1544&lt;&gt;"")*(D1544&lt;=($E$3*60+$F$3)/86400)+(H1544&lt;&gt;"")*(H1544&lt;=($I$3*60+$J$3)/86400)+(J1544&lt;&gt;"")*(J1544&lt;=($M$3*60+$N$3)/86400)</f>
        <v>0</v>
      </c>
      <c r="N1544" s="20"/>
      <c r="O1544" s="20"/>
      <c r="P1544" s="20"/>
      <c r="Q1544" s="19"/>
    </row>
    <row r="1545" customFormat="false" ht="15" hidden="false" customHeight="false" outlineLevel="0" collapsed="false">
      <c r="A1545" s="10" t="n">
        <v>1539</v>
      </c>
      <c r="B1545" s="12" t="s">
        <v>2412</v>
      </c>
      <c r="C1545" s="12" t="s">
        <v>1412</v>
      </c>
      <c r="D1545" s="13"/>
      <c r="E1545" s="14"/>
      <c r="F1545" s="15" t="str">
        <f aca="false">IF(D1545="","",ROUND((D1545-MIN($D$7:$D$9999))*86400,2))</f>
        <v/>
      </c>
      <c r="G1545" s="10" t="str">
        <f aca="false">IF(D1545="","",IF(D1545&lt;=($E$3*60+$F$3)/86400,"○",""))</f>
        <v/>
      </c>
      <c r="H1545" s="16"/>
      <c r="I1545" s="17"/>
      <c r="J1545" s="16" t="n">
        <v>0.00283217592592593</v>
      </c>
      <c r="K1545" s="17" t="n">
        <v>440</v>
      </c>
      <c r="L1545" s="17" t="n">
        <f aca="false">COUNT(E1545,I1545,K1545)</f>
        <v>1</v>
      </c>
      <c r="M1545" s="18" t="n">
        <f aca="false">(D1545&lt;&gt;"")*(D1545&lt;=($E$3*60+$F$3)/86400)+(H1545&lt;&gt;"")*(H1545&lt;=($I$3*60+$J$3)/86400)+(J1545&lt;&gt;"")*(J1545&lt;=($M$3*60+$N$3)/86400)</f>
        <v>0</v>
      </c>
      <c r="N1545" s="20"/>
      <c r="O1545" s="20"/>
      <c r="P1545" s="20"/>
      <c r="Q1545" s="19"/>
    </row>
    <row r="1546" customFormat="false" ht="15" hidden="false" customHeight="false" outlineLevel="0" collapsed="false">
      <c r="A1546" s="10" t="n">
        <v>1540</v>
      </c>
      <c r="B1546" s="12" t="s">
        <v>2413</v>
      </c>
      <c r="C1546" s="12" t="s">
        <v>2414</v>
      </c>
      <c r="D1546" s="13"/>
      <c r="E1546" s="14"/>
      <c r="F1546" s="15" t="str">
        <f aca="false">IF(D1546="","",ROUND((D1546-MIN($D$7:$D$9999))*86400,2))</f>
        <v/>
      </c>
      <c r="G1546" s="10" t="str">
        <f aca="false">IF(D1546="","",IF(D1546&lt;=($E$3*60+$F$3)/86400,"○",""))</f>
        <v/>
      </c>
      <c r="H1546" s="16" t="n">
        <v>0.0070943287037037</v>
      </c>
      <c r="I1546" s="17" t="n">
        <v>441</v>
      </c>
      <c r="J1546" s="16"/>
      <c r="K1546" s="17"/>
      <c r="L1546" s="17" t="n">
        <f aca="false">COUNT(E1546,I1546,K1546)</f>
        <v>1</v>
      </c>
      <c r="M1546" s="18" t="n">
        <f aca="false">(D1546&lt;&gt;"")*(D1546&lt;=($E$3*60+$F$3)/86400)+(H1546&lt;&gt;"")*(H1546&lt;=($I$3*60+$J$3)/86400)+(J1546&lt;&gt;"")*(J1546&lt;=($M$3*60+$N$3)/86400)</f>
        <v>0</v>
      </c>
      <c r="N1546" s="20"/>
      <c r="O1546" s="20"/>
      <c r="P1546" s="20"/>
      <c r="Q1546" s="19"/>
    </row>
    <row r="1547" customFormat="false" ht="15" hidden="false" customHeight="false" outlineLevel="0" collapsed="false">
      <c r="A1547" s="10" t="n">
        <v>1541</v>
      </c>
      <c r="B1547" s="12" t="s">
        <v>2415</v>
      </c>
      <c r="C1547" s="12" t="s">
        <v>61</v>
      </c>
      <c r="D1547" s="13"/>
      <c r="E1547" s="14"/>
      <c r="F1547" s="15" t="str">
        <f aca="false">IF(D1547="","",ROUND((D1547-MIN($D$7:$D$9999))*86400,2))</f>
        <v/>
      </c>
      <c r="G1547" s="10" t="str">
        <f aca="false">IF(D1547="","",IF(D1547&lt;=($E$3*60+$F$3)/86400,"○",""))</f>
        <v/>
      </c>
      <c r="H1547" s="16" t="n">
        <v>0.00709722222222222</v>
      </c>
      <c r="I1547" s="17" t="n">
        <v>445</v>
      </c>
      <c r="J1547" s="16" t="n">
        <v>0.00292361111111111</v>
      </c>
      <c r="K1547" s="17" t="n">
        <v>1134</v>
      </c>
      <c r="L1547" s="17" t="n">
        <f aca="false">COUNT(E1547,I1547,K1547)</f>
        <v>2</v>
      </c>
      <c r="M1547" s="18" t="n">
        <f aca="false">(D1547&lt;&gt;"")*(D1547&lt;=($E$3*60+$F$3)/86400)+(H1547&lt;&gt;"")*(H1547&lt;=($I$3*60+$J$3)/86400)+(J1547&lt;&gt;"")*(J1547&lt;=($M$3*60+$N$3)/86400)</f>
        <v>0</v>
      </c>
      <c r="N1547" s="20"/>
      <c r="O1547" s="20"/>
      <c r="P1547" s="20"/>
      <c r="Q1547" s="19"/>
    </row>
    <row r="1548" customFormat="false" ht="15" hidden="false" customHeight="false" outlineLevel="0" collapsed="false">
      <c r="A1548" s="10" t="n">
        <v>1542</v>
      </c>
      <c r="B1548" s="12" t="s">
        <v>2416</v>
      </c>
      <c r="C1548" s="12" t="s">
        <v>690</v>
      </c>
      <c r="D1548" s="13"/>
      <c r="E1548" s="14"/>
      <c r="F1548" s="15" t="str">
        <f aca="false">IF(D1548="","",ROUND((D1548-MIN($D$7:$D$9999))*86400,2))</f>
        <v/>
      </c>
      <c r="G1548" s="10" t="str">
        <f aca="false">IF(D1548="","",IF(D1548&lt;=($E$3*60+$F$3)/86400,"○",""))</f>
        <v/>
      </c>
      <c r="H1548" s="16"/>
      <c r="I1548" s="17"/>
      <c r="J1548" s="16" t="n">
        <v>0.00283298611111111</v>
      </c>
      <c r="K1548" s="17" t="n">
        <v>445</v>
      </c>
      <c r="L1548" s="17" t="n">
        <f aca="false">COUNT(E1548,I1548,K1548)</f>
        <v>1</v>
      </c>
      <c r="M1548" s="18" t="n">
        <f aca="false">(D1548&lt;&gt;"")*(D1548&lt;=($E$3*60+$F$3)/86400)+(H1548&lt;&gt;"")*(H1548&lt;=($I$3*60+$J$3)/86400)+(J1548&lt;&gt;"")*(J1548&lt;=($M$3*60+$N$3)/86400)</f>
        <v>0</v>
      </c>
      <c r="N1548" s="20"/>
      <c r="O1548" s="20"/>
      <c r="P1548" s="20"/>
      <c r="Q1548" s="19"/>
    </row>
    <row r="1549" customFormat="false" ht="15" hidden="false" customHeight="false" outlineLevel="0" collapsed="false">
      <c r="A1549" s="10" t="n">
        <v>1543</v>
      </c>
      <c r="B1549" s="12" t="s">
        <v>2417</v>
      </c>
      <c r="C1549" s="12" t="s">
        <v>2418</v>
      </c>
      <c r="D1549" s="13"/>
      <c r="E1549" s="14"/>
      <c r="F1549" s="15" t="str">
        <f aca="false">IF(D1549="","",ROUND((D1549-MIN($D$7:$D$9999))*86400,2))</f>
        <v/>
      </c>
      <c r="G1549" s="10" t="str">
        <f aca="false">IF(D1549="","",IF(D1549&lt;=($E$3*60+$F$3)/86400,"○",""))</f>
        <v/>
      </c>
      <c r="H1549" s="16" t="n">
        <v>0.00709733796296296</v>
      </c>
      <c r="I1549" s="17" t="n">
        <v>446</v>
      </c>
      <c r="J1549" s="16"/>
      <c r="K1549" s="17"/>
      <c r="L1549" s="17" t="n">
        <f aca="false">COUNT(E1549,I1549,K1549)</f>
        <v>1</v>
      </c>
      <c r="M1549" s="18" t="n">
        <f aca="false">(D1549&lt;&gt;"")*(D1549&lt;=($E$3*60+$F$3)/86400)+(H1549&lt;&gt;"")*(H1549&lt;=($I$3*60+$J$3)/86400)+(J1549&lt;&gt;"")*(J1549&lt;=($M$3*60+$N$3)/86400)</f>
        <v>0</v>
      </c>
      <c r="N1549" s="20"/>
      <c r="O1549" s="20"/>
      <c r="P1549" s="20"/>
      <c r="Q1549" s="19"/>
    </row>
    <row r="1550" customFormat="false" ht="15" hidden="false" customHeight="false" outlineLevel="0" collapsed="false">
      <c r="A1550" s="10" t="n">
        <v>1544</v>
      </c>
      <c r="B1550" s="12" t="s">
        <v>2419</v>
      </c>
      <c r="C1550" s="12" t="s">
        <v>1231</v>
      </c>
      <c r="D1550" s="13"/>
      <c r="E1550" s="14"/>
      <c r="F1550" s="15" t="str">
        <f aca="false">IF(D1550="","",ROUND((D1550-MIN($D$7:$D$9999))*86400,2))</f>
        <v/>
      </c>
      <c r="G1550" s="10" t="str">
        <f aca="false">IF(D1550="","",IF(D1550&lt;=($E$3*60+$F$3)/86400,"○",""))</f>
        <v/>
      </c>
      <c r="H1550" s="16" t="n">
        <v>0.00709780092592593</v>
      </c>
      <c r="I1550" s="17" t="n">
        <v>448</v>
      </c>
      <c r="J1550" s="16"/>
      <c r="K1550" s="17"/>
      <c r="L1550" s="17" t="n">
        <f aca="false">COUNT(E1550,I1550,K1550)</f>
        <v>1</v>
      </c>
      <c r="M1550" s="18" t="n">
        <f aca="false">(D1550&lt;&gt;"")*(D1550&lt;=($E$3*60+$F$3)/86400)+(H1550&lt;&gt;"")*(H1550&lt;=($I$3*60+$J$3)/86400)+(J1550&lt;&gt;"")*(J1550&lt;=($M$3*60+$N$3)/86400)</f>
        <v>0</v>
      </c>
      <c r="N1550" s="20"/>
      <c r="O1550" s="20"/>
      <c r="P1550" s="20"/>
      <c r="Q1550" s="19"/>
    </row>
    <row r="1551" customFormat="false" ht="15" hidden="false" customHeight="false" outlineLevel="0" collapsed="false">
      <c r="A1551" s="10" t="n">
        <v>1545</v>
      </c>
      <c r="B1551" s="12" t="s">
        <v>2420</v>
      </c>
      <c r="C1551" s="12" t="s">
        <v>2119</v>
      </c>
      <c r="D1551" s="13"/>
      <c r="E1551" s="14"/>
      <c r="F1551" s="15" t="str">
        <f aca="false">IF(D1551="","",ROUND((D1551-MIN($D$7:$D$9999))*86400,2))</f>
        <v/>
      </c>
      <c r="G1551" s="10" t="str">
        <f aca="false">IF(D1551="","",IF(D1551&lt;=($E$3*60+$F$3)/86400,"○",""))</f>
        <v/>
      </c>
      <c r="H1551" s="16" t="n">
        <v>0.00709849537037037</v>
      </c>
      <c r="I1551" s="17" t="n">
        <v>449</v>
      </c>
      <c r="J1551" s="16" t="n">
        <v>0.00295694444444444</v>
      </c>
      <c r="K1551" s="17" t="n">
        <v>1259</v>
      </c>
      <c r="L1551" s="17" t="n">
        <f aca="false">COUNT(E1551,I1551,K1551)</f>
        <v>2</v>
      </c>
      <c r="M1551" s="18" t="n">
        <f aca="false">(D1551&lt;&gt;"")*(D1551&lt;=($E$3*60+$F$3)/86400)+(H1551&lt;&gt;"")*(H1551&lt;=($I$3*60+$J$3)/86400)+(J1551&lt;&gt;"")*(J1551&lt;=($M$3*60+$N$3)/86400)</f>
        <v>0</v>
      </c>
      <c r="N1551" s="20"/>
      <c r="O1551" s="20"/>
      <c r="P1551" s="20"/>
      <c r="Q1551" s="19"/>
    </row>
    <row r="1552" customFormat="false" ht="15" hidden="false" customHeight="false" outlineLevel="0" collapsed="false">
      <c r="A1552" s="10" t="n">
        <v>1546</v>
      </c>
      <c r="B1552" s="12" t="s">
        <v>2421</v>
      </c>
      <c r="C1552" s="12" t="s">
        <v>989</v>
      </c>
      <c r="D1552" s="13"/>
      <c r="E1552" s="14"/>
      <c r="F1552" s="15" t="str">
        <f aca="false">IF(D1552="","",ROUND((D1552-MIN($D$7:$D$9999))*86400,2))</f>
        <v/>
      </c>
      <c r="G1552" s="10" t="str">
        <f aca="false">IF(D1552="","",IF(D1552&lt;=($E$3*60+$F$3)/86400,"○",""))</f>
        <v/>
      </c>
      <c r="H1552" s="16"/>
      <c r="I1552" s="17"/>
      <c r="J1552" s="16" t="n">
        <v>0.00283391203703704</v>
      </c>
      <c r="K1552" s="17" t="n">
        <v>449</v>
      </c>
      <c r="L1552" s="17" t="n">
        <f aca="false">COUNT(E1552,I1552,K1552)</f>
        <v>1</v>
      </c>
      <c r="M1552" s="18" t="n">
        <f aca="false">(D1552&lt;&gt;"")*(D1552&lt;=($E$3*60+$F$3)/86400)+(H1552&lt;&gt;"")*(H1552&lt;=($I$3*60+$J$3)/86400)+(J1552&lt;&gt;"")*(J1552&lt;=($M$3*60+$N$3)/86400)</f>
        <v>0</v>
      </c>
      <c r="N1552" s="20"/>
      <c r="O1552" s="20"/>
      <c r="P1552" s="20"/>
      <c r="Q1552" s="19"/>
    </row>
    <row r="1553" customFormat="false" ht="15" hidden="false" customHeight="false" outlineLevel="0" collapsed="false">
      <c r="A1553" s="10" t="n">
        <v>1547</v>
      </c>
      <c r="B1553" s="12" t="s">
        <v>2422</v>
      </c>
      <c r="C1553" s="12" t="s">
        <v>1123</v>
      </c>
      <c r="D1553" s="13"/>
      <c r="E1553" s="14"/>
      <c r="F1553" s="15" t="str">
        <f aca="false">IF(D1553="","",ROUND((D1553-MIN($D$7:$D$9999))*86400,2))</f>
        <v/>
      </c>
      <c r="G1553" s="10" t="str">
        <f aca="false">IF(D1553="","",IF(D1553&lt;=($E$3*60+$F$3)/86400,"○",""))</f>
        <v/>
      </c>
      <c r="H1553" s="16" t="n">
        <v>0.00709872685185185</v>
      </c>
      <c r="I1553" s="17" t="n">
        <v>450</v>
      </c>
      <c r="J1553" s="16"/>
      <c r="K1553" s="17"/>
      <c r="L1553" s="17" t="n">
        <f aca="false">COUNT(E1553,I1553,K1553)</f>
        <v>1</v>
      </c>
      <c r="M1553" s="18" t="n">
        <f aca="false">(D1553&lt;&gt;"")*(D1553&lt;=($E$3*60+$F$3)/86400)+(H1553&lt;&gt;"")*(H1553&lt;=($I$3*60+$J$3)/86400)+(J1553&lt;&gt;"")*(J1553&lt;=($M$3*60+$N$3)/86400)</f>
        <v>0</v>
      </c>
      <c r="N1553" s="20"/>
      <c r="O1553" s="20"/>
      <c r="P1553" s="20"/>
      <c r="Q1553" s="19"/>
    </row>
    <row r="1554" customFormat="false" ht="15" hidden="false" customHeight="false" outlineLevel="0" collapsed="false">
      <c r="A1554" s="10" t="n">
        <v>1548</v>
      </c>
      <c r="B1554" s="12" t="s">
        <v>2423</v>
      </c>
      <c r="C1554" s="12" t="s">
        <v>1342</v>
      </c>
      <c r="D1554" s="13"/>
      <c r="E1554" s="14"/>
      <c r="F1554" s="15" t="str">
        <f aca="false">IF(D1554="","",ROUND((D1554-MIN($D$7:$D$9999))*86400,2))</f>
        <v/>
      </c>
      <c r="G1554" s="10" t="str">
        <f aca="false">IF(D1554="","",IF(D1554&lt;=($E$3*60+$F$3)/86400,"○",""))</f>
        <v/>
      </c>
      <c r="H1554" s="16"/>
      <c r="I1554" s="17"/>
      <c r="J1554" s="16" t="n">
        <v>0.00283414351851852</v>
      </c>
      <c r="K1554" s="17" t="n">
        <v>450</v>
      </c>
      <c r="L1554" s="17" t="n">
        <f aca="false">COUNT(E1554,I1554,K1554)</f>
        <v>1</v>
      </c>
      <c r="M1554" s="18" t="n">
        <f aca="false">(D1554&lt;&gt;"")*(D1554&lt;=($E$3*60+$F$3)/86400)+(H1554&lt;&gt;"")*(H1554&lt;=($I$3*60+$J$3)/86400)+(J1554&lt;&gt;"")*(J1554&lt;=($M$3*60+$N$3)/86400)</f>
        <v>0</v>
      </c>
      <c r="N1554" s="20"/>
      <c r="O1554" s="20"/>
      <c r="P1554" s="20"/>
      <c r="Q1554" s="19"/>
    </row>
    <row r="1555" customFormat="false" ht="15" hidden="false" customHeight="false" outlineLevel="0" collapsed="false">
      <c r="A1555" s="10" t="n">
        <v>1549</v>
      </c>
      <c r="B1555" s="12" t="s">
        <v>2424</v>
      </c>
      <c r="C1555" s="12" t="s">
        <v>2425</v>
      </c>
      <c r="D1555" s="13"/>
      <c r="E1555" s="14"/>
      <c r="F1555" s="15" t="str">
        <f aca="false">IF(D1555="","",ROUND((D1555-MIN($D$7:$D$9999))*86400,2))</f>
        <v/>
      </c>
      <c r="G1555" s="10" t="str">
        <f aca="false">IF(D1555="","",IF(D1555&lt;=($E$3*60+$F$3)/86400,"○",""))</f>
        <v/>
      </c>
      <c r="H1555" s="16" t="n">
        <v>0.00710266203703704</v>
      </c>
      <c r="I1555" s="17" t="n">
        <v>451</v>
      </c>
      <c r="J1555" s="16" t="n">
        <v>0.00288206018518519</v>
      </c>
      <c r="K1555" s="17" t="n">
        <v>794</v>
      </c>
      <c r="L1555" s="17" t="n">
        <f aca="false">COUNT(E1555,I1555,K1555)</f>
        <v>2</v>
      </c>
      <c r="M1555" s="18" t="n">
        <f aca="false">(D1555&lt;&gt;"")*(D1555&lt;=($E$3*60+$F$3)/86400)+(H1555&lt;&gt;"")*(H1555&lt;=($I$3*60+$J$3)/86400)+(J1555&lt;&gt;"")*(J1555&lt;=($M$3*60+$N$3)/86400)</f>
        <v>0</v>
      </c>
      <c r="N1555" s="20"/>
      <c r="O1555" s="20"/>
      <c r="P1555" s="12" t="s">
        <v>2426</v>
      </c>
      <c r="Q1555" s="19"/>
    </row>
    <row r="1556" customFormat="false" ht="15" hidden="false" customHeight="false" outlineLevel="0" collapsed="false">
      <c r="A1556" s="10" t="n">
        <v>1550</v>
      </c>
      <c r="B1556" s="12" t="s">
        <v>2427</v>
      </c>
      <c r="C1556" s="12" t="s">
        <v>281</v>
      </c>
      <c r="D1556" s="13"/>
      <c r="E1556" s="14"/>
      <c r="F1556" s="15" t="str">
        <f aca="false">IF(D1556="","",ROUND((D1556-MIN($D$7:$D$9999))*86400,2))</f>
        <v/>
      </c>
      <c r="G1556" s="10" t="str">
        <f aca="false">IF(D1556="","",IF(D1556&lt;=($E$3*60+$F$3)/86400,"○",""))</f>
        <v/>
      </c>
      <c r="H1556" s="16" t="n">
        <v>0.00710428240740741</v>
      </c>
      <c r="I1556" s="17" t="n">
        <v>452</v>
      </c>
      <c r="J1556" s="16"/>
      <c r="K1556" s="17"/>
      <c r="L1556" s="17" t="n">
        <f aca="false">COUNT(E1556,I1556,K1556)</f>
        <v>1</v>
      </c>
      <c r="M1556" s="18" t="n">
        <f aca="false">(D1556&lt;&gt;"")*(D1556&lt;=($E$3*60+$F$3)/86400)+(H1556&lt;&gt;"")*(H1556&lt;=($I$3*60+$J$3)/86400)+(J1556&lt;&gt;"")*(J1556&lt;=($M$3*60+$N$3)/86400)</f>
        <v>0</v>
      </c>
      <c r="N1556" s="20"/>
      <c r="O1556" s="20"/>
      <c r="P1556" s="20"/>
      <c r="Q1556" s="19"/>
    </row>
    <row r="1557" customFormat="false" ht="15" hidden="false" customHeight="false" outlineLevel="0" collapsed="false">
      <c r="A1557" s="10" t="n">
        <v>1551</v>
      </c>
      <c r="B1557" s="12" t="s">
        <v>2428</v>
      </c>
      <c r="C1557" s="12" t="s">
        <v>2429</v>
      </c>
      <c r="D1557" s="13"/>
      <c r="E1557" s="14"/>
      <c r="F1557" s="15" t="str">
        <f aca="false">IF(D1557="","",ROUND((D1557-MIN($D$7:$D$9999))*86400,2))</f>
        <v/>
      </c>
      <c r="G1557" s="10" t="str">
        <f aca="false">IF(D1557="","",IF(D1557&lt;=($E$3*60+$F$3)/86400,"○",""))</f>
        <v/>
      </c>
      <c r="H1557" s="16" t="n">
        <v>0.00711354166666667</v>
      </c>
      <c r="I1557" s="17" t="n">
        <v>458</v>
      </c>
      <c r="J1557" s="16"/>
      <c r="K1557" s="17"/>
      <c r="L1557" s="17" t="n">
        <f aca="false">COUNT(E1557,I1557,K1557)</f>
        <v>1</v>
      </c>
      <c r="M1557" s="18" t="n">
        <f aca="false">(D1557&lt;&gt;"")*(D1557&lt;=($E$3*60+$F$3)/86400)+(H1557&lt;&gt;"")*(H1557&lt;=($I$3*60+$J$3)/86400)+(J1557&lt;&gt;"")*(J1557&lt;=($M$3*60+$N$3)/86400)</f>
        <v>0</v>
      </c>
      <c r="N1557" s="20"/>
      <c r="O1557" s="20"/>
      <c r="P1557" s="20"/>
      <c r="Q1557" s="19"/>
    </row>
    <row r="1558" customFormat="false" ht="15" hidden="false" customHeight="false" outlineLevel="0" collapsed="false">
      <c r="A1558" s="10" t="n">
        <v>1552</v>
      </c>
      <c r="B1558" s="12" t="s">
        <v>2430</v>
      </c>
      <c r="C1558" s="12" t="s">
        <v>2431</v>
      </c>
      <c r="D1558" s="13"/>
      <c r="E1558" s="14"/>
      <c r="F1558" s="15" t="str">
        <f aca="false">IF(D1558="","",ROUND((D1558-MIN($D$7:$D$9999))*86400,2))</f>
        <v/>
      </c>
      <c r="G1558" s="10" t="str">
        <f aca="false">IF(D1558="","",IF(D1558&lt;=($E$3*60+$F$3)/86400,"○",""))</f>
        <v/>
      </c>
      <c r="H1558" s="16" t="n">
        <v>0.00711597222222222</v>
      </c>
      <c r="I1558" s="17" t="n">
        <v>459</v>
      </c>
      <c r="J1558" s="16"/>
      <c r="K1558" s="17"/>
      <c r="L1558" s="17" t="n">
        <f aca="false">COUNT(E1558,I1558,K1558)</f>
        <v>1</v>
      </c>
      <c r="M1558" s="18" t="n">
        <f aca="false">(D1558&lt;&gt;"")*(D1558&lt;=($E$3*60+$F$3)/86400)+(H1558&lt;&gt;"")*(H1558&lt;=($I$3*60+$J$3)/86400)+(J1558&lt;&gt;"")*(J1558&lt;=($M$3*60+$N$3)/86400)</f>
        <v>0</v>
      </c>
      <c r="N1558" s="20"/>
      <c r="O1558" s="20"/>
      <c r="P1558" s="20"/>
      <c r="Q1558" s="19"/>
    </row>
    <row r="1559" customFormat="false" ht="15" hidden="false" customHeight="false" outlineLevel="0" collapsed="false">
      <c r="A1559" s="10" t="n">
        <v>1553</v>
      </c>
      <c r="B1559" s="12" t="s">
        <v>2432</v>
      </c>
      <c r="C1559" s="12" t="s">
        <v>1212</v>
      </c>
      <c r="D1559" s="13"/>
      <c r="E1559" s="14"/>
      <c r="F1559" s="15" t="str">
        <f aca="false">IF(D1559="","",ROUND((D1559-MIN($D$7:$D$9999))*86400,2))</f>
        <v/>
      </c>
      <c r="G1559" s="10" t="str">
        <f aca="false">IF(D1559="","",IF(D1559&lt;=($E$3*60+$F$3)/86400,"○",""))</f>
        <v/>
      </c>
      <c r="H1559" s="16" t="n">
        <v>0.00711643518518519</v>
      </c>
      <c r="I1559" s="17" t="n">
        <v>461</v>
      </c>
      <c r="J1559" s="16" t="n">
        <v>0.00290520833333333</v>
      </c>
      <c r="K1559" s="17" t="n">
        <v>984</v>
      </c>
      <c r="L1559" s="17" t="n">
        <f aca="false">COUNT(E1559,I1559,K1559)</f>
        <v>2</v>
      </c>
      <c r="M1559" s="18" t="n">
        <f aca="false">(D1559&lt;&gt;"")*(D1559&lt;=($E$3*60+$F$3)/86400)+(H1559&lt;&gt;"")*(H1559&lt;=($I$3*60+$J$3)/86400)+(J1559&lt;&gt;"")*(J1559&lt;=($M$3*60+$N$3)/86400)</f>
        <v>0</v>
      </c>
      <c r="N1559" s="20"/>
      <c r="O1559" s="20"/>
      <c r="P1559" s="20"/>
      <c r="Q1559" s="19"/>
    </row>
    <row r="1560" customFormat="false" ht="15" hidden="false" customHeight="false" outlineLevel="0" collapsed="false">
      <c r="A1560" s="10" t="n">
        <v>1554</v>
      </c>
      <c r="B1560" s="12" t="s">
        <v>2433</v>
      </c>
      <c r="C1560" s="12" t="s">
        <v>2434</v>
      </c>
      <c r="D1560" s="13"/>
      <c r="E1560" s="14"/>
      <c r="F1560" s="15" t="str">
        <f aca="false">IF(D1560="","",ROUND((D1560-MIN($D$7:$D$9999))*86400,2))</f>
        <v/>
      </c>
      <c r="G1560" s="10" t="str">
        <f aca="false">IF(D1560="","",IF(D1560&lt;=($E$3*60+$F$3)/86400,"○",""))</f>
        <v/>
      </c>
      <c r="H1560" s="16" t="n">
        <v>0.00711678240740741</v>
      </c>
      <c r="I1560" s="17" t="n">
        <v>462</v>
      </c>
      <c r="J1560" s="16"/>
      <c r="K1560" s="17"/>
      <c r="L1560" s="17" t="n">
        <f aca="false">COUNT(E1560,I1560,K1560)</f>
        <v>1</v>
      </c>
      <c r="M1560" s="18" t="n">
        <f aca="false">(D1560&lt;&gt;"")*(D1560&lt;=($E$3*60+$F$3)/86400)+(H1560&lt;&gt;"")*(H1560&lt;=($I$3*60+$J$3)/86400)+(J1560&lt;&gt;"")*(J1560&lt;=($M$3*60+$N$3)/86400)</f>
        <v>0</v>
      </c>
      <c r="N1560" s="20"/>
      <c r="O1560" s="20"/>
      <c r="P1560" s="20"/>
      <c r="Q1560" s="19"/>
    </row>
    <row r="1561" customFormat="false" ht="15" hidden="false" customHeight="false" outlineLevel="0" collapsed="false">
      <c r="A1561" s="10" t="n">
        <v>1555</v>
      </c>
      <c r="B1561" s="12" t="s">
        <v>2435</v>
      </c>
      <c r="C1561" s="12" t="s">
        <v>2436</v>
      </c>
      <c r="D1561" s="13"/>
      <c r="E1561" s="14"/>
      <c r="F1561" s="15" t="str">
        <f aca="false">IF(D1561="","",ROUND((D1561-MIN($D$7:$D$9999))*86400,2))</f>
        <v/>
      </c>
      <c r="G1561" s="10" t="str">
        <f aca="false">IF(D1561="","",IF(D1561&lt;=($E$3*60+$F$3)/86400,"○",""))</f>
        <v/>
      </c>
      <c r="H1561" s="16"/>
      <c r="I1561" s="17"/>
      <c r="J1561" s="16" t="n">
        <v>0.00283541666666667</v>
      </c>
      <c r="K1561" s="17" t="n">
        <v>465</v>
      </c>
      <c r="L1561" s="17" t="n">
        <f aca="false">COUNT(E1561,I1561,K1561)</f>
        <v>1</v>
      </c>
      <c r="M1561" s="18" t="n">
        <f aca="false">(D1561&lt;&gt;"")*(D1561&lt;=($E$3*60+$F$3)/86400)+(H1561&lt;&gt;"")*(H1561&lt;=($I$3*60+$J$3)/86400)+(J1561&lt;&gt;"")*(J1561&lt;=($M$3*60+$N$3)/86400)</f>
        <v>0</v>
      </c>
      <c r="N1561" s="20"/>
      <c r="O1561" s="20"/>
      <c r="P1561" s="20"/>
      <c r="Q1561" s="19"/>
    </row>
    <row r="1562" customFormat="false" ht="15" hidden="false" customHeight="false" outlineLevel="0" collapsed="false">
      <c r="A1562" s="10" t="n">
        <v>1556</v>
      </c>
      <c r="B1562" s="12" t="s">
        <v>2437</v>
      </c>
      <c r="C1562" s="12" t="s">
        <v>2438</v>
      </c>
      <c r="D1562" s="13"/>
      <c r="E1562" s="14"/>
      <c r="F1562" s="15" t="str">
        <f aca="false">IF(D1562="","",ROUND((D1562-MIN($D$7:$D$9999))*86400,2))</f>
        <v/>
      </c>
      <c r="G1562" s="10" t="str">
        <f aca="false">IF(D1562="","",IF(D1562&lt;=($E$3*60+$F$3)/86400,"○",""))</f>
        <v/>
      </c>
      <c r="H1562" s="16" t="n">
        <v>0.00712094907407407</v>
      </c>
      <c r="I1562" s="17" t="n">
        <v>466</v>
      </c>
      <c r="J1562" s="16"/>
      <c r="K1562" s="17"/>
      <c r="L1562" s="17" t="n">
        <f aca="false">COUNT(E1562,I1562,K1562)</f>
        <v>1</v>
      </c>
      <c r="M1562" s="18" t="n">
        <f aca="false">(D1562&lt;&gt;"")*(D1562&lt;=($E$3*60+$F$3)/86400)+(H1562&lt;&gt;"")*(H1562&lt;=($I$3*60+$J$3)/86400)+(J1562&lt;&gt;"")*(J1562&lt;=($M$3*60+$N$3)/86400)</f>
        <v>0</v>
      </c>
      <c r="N1562" s="20"/>
      <c r="O1562" s="20"/>
      <c r="P1562" s="20"/>
      <c r="Q1562" s="19"/>
    </row>
    <row r="1563" customFormat="false" ht="15" hidden="false" customHeight="false" outlineLevel="0" collapsed="false">
      <c r="A1563" s="10" t="n">
        <v>1557</v>
      </c>
      <c r="B1563" s="12" t="s">
        <v>2439</v>
      </c>
      <c r="C1563" s="12" t="s">
        <v>2440</v>
      </c>
      <c r="D1563" s="13"/>
      <c r="E1563" s="14"/>
      <c r="F1563" s="15" t="str">
        <f aca="false">IF(D1563="","",ROUND((D1563-MIN($D$7:$D$9999))*86400,2))</f>
        <v/>
      </c>
      <c r="G1563" s="10" t="str">
        <f aca="false">IF(D1563="","",IF(D1563&lt;=($E$3*60+$F$3)/86400,"○",""))</f>
        <v/>
      </c>
      <c r="H1563" s="16" t="n">
        <v>0.0071224537037037</v>
      </c>
      <c r="I1563" s="17" t="n">
        <v>467</v>
      </c>
      <c r="J1563" s="16"/>
      <c r="K1563" s="17"/>
      <c r="L1563" s="17" t="n">
        <f aca="false">COUNT(E1563,I1563,K1563)</f>
        <v>1</v>
      </c>
      <c r="M1563" s="18" t="n">
        <f aca="false">(D1563&lt;&gt;"")*(D1563&lt;=($E$3*60+$F$3)/86400)+(H1563&lt;&gt;"")*(H1563&lt;=($I$3*60+$J$3)/86400)+(J1563&lt;&gt;"")*(J1563&lt;=($M$3*60+$N$3)/86400)</f>
        <v>0</v>
      </c>
      <c r="N1563" s="20"/>
      <c r="O1563" s="20"/>
      <c r="P1563" s="20"/>
      <c r="Q1563" s="19"/>
    </row>
    <row r="1564" customFormat="false" ht="15" hidden="false" customHeight="false" outlineLevel="0" collapsed="false">
      <c r="A1564" s="10" t="n">
        <v>1558</v>
      </c>
      <c r="B1564" s="12" t="s">
        <v>2441</v>
      </c>
      <c r="C1564" s="12" t="s">
        <v>2442</v>
      </c>
      <c r="D1564" s="13"/>
      <c r="E1564" s="14"/>
      <c r="F1564" s="15" t="str">
        <f aca="false">IF(D1564="","",ROUND((D1564-MIN($D$7:$D$9999))*86400,2))</f>
        <v/>
      </c>
      <c r="G1564" s="10" t="str">
        <f aca="false">IF(D1564="","",IF(D1564&lt;=($E$3*60+$F$3)/86400,"○",""))</f>
        <v/>
      </c>
      <c r="H1564" s="16"/>
      <c r="I1564" s="17"/>
      <c r="J1564" s="16" t="n">
        <v>0.00283564814814815</v>
      </c>
      <c r="K1564" s="17" t="n">
        <v>467</v>
      </c>
      <c r="L1564" s="17" t="n">
        <f aca="false">COUNT(E1564,I1564,K1564)</f>
        <v>1</v>
      </c>
      <c r="M1564" s="18" t="n">
        <f aca="false">(D1564&lt;&gt;"")*(D1564&lt;=($E$3*60+$F$3)/86400)+(H1564&lt;&gt;"")*(H1564&lt;=($I$3*60+$J$3)/86400)+(J1564&lt;&gt;"")*(J1564&lt;=($M$3*60+$N$3)/86400)</f>
        <v>0</v>
      </c>
      <c r="N1564" s="20"/>
      <c r="O1564" s="20"/>
      <c r="P1564" s="20"/>
      <c r="Q1564" s="19"/>
    </row>
    <row r="1565" customFormat="false" ht="15" hidden="false" customHeight="false" outlineLevel="0" collapsed="false">
      <c r="A1565" s="10" t="n">
        <v>1559</v>
      </c>
      <c r="B1565" s="12" t="s">
        <v>2443</v>
      </c>
      <c r="C1565" s="12" t="s">
        <v>2444</v>
      </c>
      <c r="D1565" s="13"/>
      <c r="E1565" s="14"/>
      <c r="F1565" s="15" t="str">
        <f aca="false">IF(D1565="","",ROUND((D1565-MIN($D$7:$D$9999))*86400,2))</f>
        <v/>
      </c>
      <c r="G1565" s="10" t="str">
        <f aca="false">IF(D1565="","",IF(D1565&lt;=($E$3*60+$F$3)/86400,"○",""))</f>
        <v/>
      </c>
      <c r="H1565" s="16" t="n">
        <v>0.00712291666666667</v>
      </c>
      <c r="I1565" s="17" t="n">
        <v>468</v>
      </c>
      <c r="J1565" s="16"/>
      <c r="K1565" s="17"/>
      <c r="L1565" s="17" t="n">
        <f aca="false">COUNT(E1565,I1565,K1565)</f>
        <v>1</v>
      </c>
      <c r="M1565" s="18" t="n">
        <f aca="false">(D1565&lt;&gt;"")*(D1565&lt;=($E$3*60+$F$3)/86400)+(H1565&lt;&gt;"")*(H1565&lt;=($I$3*60+$J$3)/86400)+(J1565&lt;&gt;"")*(J1565&lt;=($M$3*60+$N$3)/86400)</f>
        <v>0</v>
      </c>
      <c r="N1565" s="20"/>
      <c r="O1565" s="20"/>
      <c r="P1565" s="20"/>
      <c r="Q1565" s="19"/>
    </row>
    <row r="1566" customFormat="false" ht="15" hidden="false" customHeight="false" outlineLevel="0" collapsed="false">
      <c r="A1566" s="10" t="n">
        <v>1560</v>
      </c>
      <c r="B1566" s="12" t="s">
        <v>2445</v>
      </c>
      <c r="C1566" s="12" t="s">
        <v>2446</v>
      </c>
      <c r="D1566" s="13"/>
      <c r="E1566" s="14"/>
      <c r="F1566" s="15" t="str">
        <f aca="false">IF(D1566="","",ROUND((D1566-MIN($D$7:$D$9999))*86400,2))</f>
        <v/>
      </c>
      <c r="G1566" s="10" t="str">
        <f aca="false">IF(D1566="","",IF(D1566&lt;=($E$3*60+$F$3)/86400,"○",""))</f>
        <v/>
      </c>
      <c r="H1566" s="16" t="n">
        <v>0.007125</v>
      </c>
      <c r="I1566" s="17" t="n">
        <v>469</v>
      </c>
      <c r="J1566" s="16" t="n">
        <v>0.00294166666666667</v>
      </c>
      <c r="K1566" s="17" t="n">
        <v>1207</v>
      </c>
      <c r="L1566" s="17" t="n">
        <f aca="false">COUNT(E1566,I1566,K1566)</f>
        <v>2</v>
      </c>
      <c r="M1566" s="18" t="n">
        <f aca="false">(D1566&lt;&gt;"")*(D1566&lt;=($E$3*60+$F$3)/86400)+(H1566&lt;&gt;"")*(H1566&lt;=($I$3*60+$J$3)/86400)+(J1566&lt;&gt;"")*(J1566&lt;=($M$3*60+$N$3)/86400)</f>
        <v>0</v>
      </c>
      <c r="N1566" s="20"/>
      <c r="O1566" s="20"/>
      <c r="P1566" s="20"/>
      <c r="Q1566" s="19"/>
    </row>
    <row r="1567" customFormat="false" ht="15" hidden="false" customHeight="false" outlineLevel="0" collapsed="false">
      <c r="A1567" s="10" t="n">
        <v>1561</v>
      </c>
      <c r="B1567" s="12" t="s">
        <v>2447</v>
      </c>
      <c r="C1567" s="12" t="s">
        <v>864</v>
      </c>
      <c r="D1567" s="13"/>
      <c r="E1567" s="14"/>
      <c r="F1567" s="15" t="str">
        <f aca="false">IF(D1567="","",ROUND((D1567-MIN($D$7:$D$9999))*86400,2))</f>
        <v/>
      </c>
      <c r="G1567" s="10" t="str">
        <f aca="false">IF(D1567="","",IF(D1567&lt;=($E$3*60+$F$3)/86400,"○",""))</f>
        <v/>
      </c>
      <c r="H1567" s="16" t="n">
        <v>0.00712511574074074</v>
      </c>
      <c r="I1567" s="17" t="n">
        <v>470</v>
      </c>
      <c r="J1567" s="16"/>
      <c r="K1567" s="17"/>
      <c r="L1567" s="17" t="n">
        <f aca="false">COUNT(E1567,I1567,K1567)</f>
        <v>1</v>
      </c>
      <c r="M1567" s="18" t="n">
        <f aca="false">(D1567&lt;&gt;"")*(D1567&lt;=($E$3*60+$F$3)/86400)+(H1567&lt;&gt;"")*(H1567&lt;=($I$3*60+$J$3)/86400)+(J1567&lt;&gt;"")*(J1567&lt;=($M$3*60+$N$3)/86400)</f>
        <v>0</v>
      </c>
      <c r="N1567" s="20"/>
      <c r="O1567" s="20" t="s">
        <v>2448</v>
      </c>
      <c r="P1567" s="20"/>
      <c r="Q1567" s="19"/>
    </row>
    <row r="1568" customFormat="false" ht="15" hidden="false" customHeight="false" outlineLevel="0" collapsed="false">
      <c r="A1568" s="10" t="n">
        <v>1562</v>
      </c>
      <c r="B1568" s="12" t="s">
        <v>2449</v>
      </c>
      <c r="C1568" s="12" t="s">
        <v>297</v>
      </c>
      <c r="D1568" s="13"/>
      <c r="E1568" s="14"/>
      <c r="F1568" s="15" t="str">
        <f aca="false">IF(D1568="","",ROUND((D1568-MIN($D$7:$D$9999))*86400,2))</f>
        <v/>
      </c>
      <c r="G1568" s="10" t="str">
        <f aca="false">IF(D1568="","",IF(D1568&lt;=($E$3*60+$F$3)/86400,"○",""))</f>
        <v/>
      </c>
      <c r="H1568" s="16" t="n">
        <v>0.0071255787037037</v>
      </c>
      <c r="I1568" s="17" t="n">
        <v>471</v>
      </c>
      <c r="J1568" s="16"/>
      <c r="K1568" s="17"/>
      <c r="L1568" s="17" t="n">
        <f aca="false">COUNT(E1568,I1568,K1568)</f>
        <v>1</v>
      </c>
      <c r="M1568" s="18" t="n">
        <f aca="false">(D1568&lt;&gt;"")*(D1568&lt;=($E$3*60+$F$3)/86400)+(H1568&lt;&gt;"")*(H1568&lt;=($I$3*60+$J$3)/86400)+(J1568&lt;&gt;"")*(J1568&lt;=($M$3*60+$N$3)/86400)</f>
        <v>0</v>
      </c>
      <c r="N1568" s="20"/>
      <c r="O1568" s="20"/>
      <c r="P1568" s="20"/>
      <c r="Q1568" s="19"/>
    </row>
    <row r="1569" customFormat="false" ht="15" hidden="false" customHeight="false" outlineLevel="0" collapsed="false">
      <c r="A1569" s="10" t="n">
        <v>1563</v>
      </c>
      <c r="B1569" s="12" t="s">
        <v>2450</v>
      </c>
      <c r="C1569" s="12" t="s">
        <v>2257</v>
      </c>
      <c r="D1569" s="13"/>
      <c r="E1569" s="14"/>
      <c r="F1569" s="15" t="str">
        <f aca="false">IF(D1569="","",ROUND((D1569-MIN($D$7:$D$9999))*86400,2))</f>
        <v/>
      </c>
      <c r="G1569" s="10" t="str">
        <f aca="false">IF(D1569="","",IF(D1569&lt;=($E$3*60+$F$3)/86400,"○",""))</f>
        <v/>
      </c>
      <c r="H1569" s="16" t="n">
        <v>0.00712685185185185</v>
      </c>
      <c r="I1569" s="17" t="n">
        <v>472</v>
      </c>
      <c r="J1569" s="16"/>
      <c r="K1569" s="17"/>
      <c r="L1569" s="17" t="n">
        <f aca="false">COUNT(E1569,I1569,K1569)</f>
        <v>1</v>
      </c>
      <c r="M1569" s="18" t="n">
        <f aca="false">(D1569&lt;&gt;"")*(D1569&lt;=($E$3*60+$F$3)/86400)+(H1569&lt;&gt;"")*(H1569&lt;=($I$3*60+$J$3)/86400)+(J1569&lt;&gt;"")*(J1569&lt;=($M$3*60+$N$3)/86400)</f>
        <v>0</v>
      </c>
      <c r="N1569" s="20"/>
      <c r="O1569" s="20"/>
      <c r="P1569" s="20"/>
      <c r="Q1569" s="19"/>
    </row>
    <row r="1570" customFormat="false" ht="15" hidden="false" customHeight="false" outlineLevel="0" collapsed="false">
      <c r="A1570" s="10" t="n">
        <v>1564</v>
      </c>
      <c r="B1570" s="12" t="s">
        <v>2451</v>
      </c>
      <c r="C1570" s="12" t="s">
        <v>281</v>
      </c>
      <c r="D1570" s="13"/>
      <c r="E1570" s="14"/>
      <c r="F1570" s="15" t="str">
        <f aca="false">IF(D1570="","",ROUND((D1570-MIN($D$7:$D$9999))*86400,2))</f>
        <v/>
      </c>
      <c r="G1570" s="10" t="str">
        <f aca="false">IF(D1570="","",IF(D1570&lt;=($E$3*60+$F$3)/86400,"○",""))</f>
        <v/>
      </c>
      <c r="H1570" s="16"/>
      <c r="I1570" s="17"/>
      <c r="J1570" s="16" t="n">
        <v>0.00283634259259259</v>
      </c>
      <c r="K1570" s="17" t="n">
        <v>473</v>
      </c>
      <c r="L1570" s="17" t="n">
        <f aca="false">COUNT(E1570,I1570,K1570)</f>
        <v>1</v>
      </c>
      <c r="M1570" s="18" t="n">
        <f aca="false">(D1570&lt;&gt;"")*(D1570&lt;=($E$3*60+$F$3)/86400)+(H1570&lt;&gt;"")*(H1570&lt;=($I$3*60+$J$3)/86400)+(J1570&lt;&gt;"")*(J1570&lt;=($M$3*60+$N$3)/86400)</f>
        <v>0</v>
      </c>
      <c r="N1570" s="20"/>
      <c r="O1570" s="20"/>
      <c r="P1570" s="20"/>
      <c r="Q1570" s="19"/>
    </row>
    <row r="1571" customFormat="false" ht="15" hidden="false" customHeight="false" outlineLevel="0" collapsed="false">
      <c r="A1571" s="10" t="n">
        <v>1565</v>
      </c>
      <c r="B1571" s="12" t="s">
        <v>2452</v>
      </c>
      <c r="C1571" s="12" t="s">
        <v>2453</v>
      </c>
      <c r="D1571" s="13"/>
      <c r="E1571" s="14"/>
      <c r="F1571" s="15" t="str">
        <f aca="false">IF(D1571="","",ROUND((D1571-MIN($D$7:$D$9999))*86400,2))</f>
        <v/>
      </c>
      <c r="G1571" s="10" t="str">
        <f aca="false">IF(D1571="","",IF(D1571&lt;=($E$3*60+$F$3)/86400,"○",""))</f>
        <v/>
      </c>
      <c r="H1571" s="16" t="n">
        <v>0.00713171296296296</v>
      </c>
      <c r="I1571" s="17" t="n">
        <v>474</v>
      </c>
      <c r="J1571" s="16"/>
      <c r="K1571" s="17"/>
      <c r="L1571" s="17" t="n">
        <f aca="false">COUNT(E1571,I1571,K1571)</f>
        <v>1</v>
      </c>
      <c r="M1571" s="18" t="n">
        <f aca="false">(D1571&lt;&gt;"")*(D1571&lt;=($E$3*60+$F$3)/86400)+(H1571&lt;&gt;"")*(H1571&lt;=($I$3*60+$J$3)/86400)+(J1571&lt;&gt;"")*(J1571&lt;=($M$3*60+$N$3)/86400)</f>
        <v>0</v>
      </c>
      <c r="N1571" s="20"/>
      <c r="O1571" s="20"/>
      <c r="P1571" s="20"/>
      <c r="Q1571" s="19"/>
    </row>
    <row r="1572" customFormat="false" ht="15" hidden="false" customHeight="false" outlineLevel="0" collapsed="false">
      <c r="A1572" s="10" t="n">
        <v>1566</v>
      </c>
      <c r="B1572" s="12" t="s">
        <v>2454</v>
      </c>
      <c r="C1572" s="12" t="s">
        <v>2455</v>
      </c>
      <c r="D1572" s="13"/>
      <c r="E1572" s="14"/>
      <c r="F1572" s="15" t="str">
        <f aca="false">IF(D1572="","",ROUND((D1572-MIN($D$7:$D$9999))*86400,2))</f>
        <v/>
      </c>
      <c r="G1572" s="10" t="str">
        <f aca="false">IF(D1572="","",IF(D1572&lt;=($E$3*60+$F$3)/86400,"○",""))</f>
        <v/>
      </c>
      <c r="H1572" s="16" t="n">
        <v>0.00713472222222222</v>
      </c>
      <c r="I1572" s="17" t="n">
        <v>476</v>
      </c>
      <c r="J1572" s="16"/>
      <c r="K1572" s="17"/>
      <c r="L1572" s="17" t="n">
        <f aca="false">COUNT(E1572,I1572,K1572)</f>
        <v>1</v>
      </c>
      <c r="M1572" s="18" t="n">
        <f aca="false">(D1572&lt;&gt;"")*(D1572&lt;=($E$3*60+$F$3)/86400)+(H1572&lt;&gt;"")*(H1572&lt;=($I$3*60+$J$3)/86400)+(J1572&lt;&gt;"")*(J1572&lt;=($M$3*60+$N$3)/86400)</f>
        <v>0</v>
      </c>
      <c r="N1572" s="20"/>
      <c r="O1572" s="20"/>
      <c r="P1572" s="20"/>
      <c r="Q1572" s="19"/>
    </row>
    <row r="1573" customFormat="false" ht="15" hidden="false" customHeight="false" outlineLevel="0" collapsed="false">
      <c r="A1573" s="10" t="n">
        <v>1567</v>
      </c>
      <c r="B1573" s="12" t="s">
        <v>2456</v>
      </c>
      <c r="C1573" s="12" t="s">
        <v>742</v>
      </c>
      <c r="D1573" s="13"/>
      <c r="E1573" s="14"/>
      <c r="F1573" s="15" t="str">
        <f aca="false">IF(D1573="","",ROUND((D1573-MIN($D$7:$D$9999))*86400,2))</f>
        <v/>
      </c>
      <c r="G1573" s="10" t="str">
        <f aca="false">IF(D1573="","",IF(D1573&lt;=($E$3*60+$F$3)/86400,"○",""))</f>
        <v/>
      </c>
      <c r="H1573" s="16" t="n">
        <v>0.00713599537037037</v>
      </c>
      <c r="I1573" s="17" t="n">
        <v>477</v>
      </c>
      <c r="J1573" s="16"/>
      <c r="K1573" s="17"/>
      <c r="L1573" s="17" t="n">
        <f aca="false">COUNT(E1573,I1573,K1573)</f>
        <v>1</v>
      </c>
      <c r="M1573" s="18" t="n">
        <f aca="false">(D1573&lt;&gt;"")*(D1573&lt;=($E$3*60+$F$3)/86400)+(H1573&lt;&gt;"")*(H1573&lt;=($I$3*60+$J$3)/86400)+(J1573&lt;&gt;"")*(J1573&lt;=($M$3*60+$N$3)/86400)</f>
        <v>0</v>
      </c>
      <c r="N1573" s="20"/>
      <c r="O1573" s="20"/>
      <c r="P1573" s="20"/>
      <c r="Q1573" s="19"/>
    </row>
    <row r="1574" customFormat="false" ht="15" hidden="false" customHeight="false" outlineLevel="0" collapsed="false">
      <c r="A1574" s="10" t="n">
        <v>1568</v>
      </c>
      <c r="B1574" s="12" t="s">
        <v>2457</v>
      </c>
      <c r="C1574" s="12" t="s">
        <v>2372</v>
      </c>
      <c r="D1574" s="13"/>
      <c r="E1574" s="14"/>
      <c r="F1574" s="15" t="str">
        <f aca="false">IF(D1574="","",ROUND((D1574-MIN($D$7:$D$9999))*86400,2))</f>
        <v/>
      </c>
      <c r="G1574" s="10" t="str">
        <f aca="false">IF(D1574="","",IF(D1574&lt;=($E$3*60+$F$3)/86400,"○",""))</f>
        <v/>
      </c>
      <c r="H1574" s="16"/>
      <c r="I1574" s="17"/>
      <c r="J1574" s="16" t="n">
        <v>0.00283680555555556</v>
      </c>
      <c r="K1574" s="17" t="n">
        <v>477</v>
      </c>
      <c r="L1574" s="17" t="n">
        <f aca="false">COUNT(E1574,I1574,K1574)</f>
        <v>1</v>
      </c>
      <c r="M1574" s="18" t="n">
        <f aca="false">(D1574&lt;&gt;"")*(D1574&lt;=($E$3*60+$F$3)/86400)+(H1574&lt;&gt;"")*(H1574&lt;=($I$3*60+$J$3)/86400)+(J1574&lt;&gt;"")*(J1574&lt;=($M$3*60+$N$3)/86400)</f>
        <v>0</v>
      </c>
      <c r="N1574" s="20"/>
      <c r="O1574" s="20"/>
      <c r="P1574" s="20"/>
      <c r="Q1574" s="19"/>
    </row>
    <row r="1575" customFormat="false" ht="15" hidden="false" customHeight="false" outlineLevel="0" collapsed="false">
      <c r="A1575" s="10" t="n">
        <v>1569</v>
      </c>
      <c r="B1575" s="12" t="s">
        <v>2458</v>
      </c>
      <c r="C1575" s="12" t="s">
        <v>589</v>
      </c>
      <c r="D1575" s="13"/>
      <c r="E1575" s="14"/>
      <c r="F1575" s="15" t="str">
        <f aca="false">IF(D1575="","",ROUND((D1575-MIN($D$7:$D$9999))*86400,2))</f>
        <v/>
      </c>
      <c r="G1575" s="10" t="str">
        <f aca="false">IF(D1575="","",IF(D1575&lt;=($E$3*60+$F$3)/86400,"○",""))</f>
        <v/>
      </c>
      <c r="H1575" s="16" t="n">
        <v>0.00713900462962963</v>
      </c>
      <c r="I1575" s="17" t="n">
        <v>478</v>
      </c>
      <c r="J1575" s="16"/>
      <c r="K1575" s="17"/>
      <c r="L1575" s="17" t="n">
        <f aca="false">COUNT(E1575,I1575,K1575)</f>
        <v>1</v>
      </c>
      <c r="M1575" s="18" t="n">
        <f aca="false">(D1575&lt;&gt;"")*(D1575&lt;=($E$3*60+$F$3)/86400)+(H1575&lt;&gt;"")*(H1575&lt;=($I$3*60+$J$3)/86400)+(J1575&lt;&gt;"")*(J1575&lt;=($M$3*60+$N$3)/86400)</f>
        <v>0</v>
      </c>
      <c r="N1575" s="20"/>
      <c r="O1575" s="20"/>
      <c r="P1575" s="20"/>
      <c r="Q1575" s="19"/>
    </row>
    <row r="1576" customFormat="false" ht="15" hidden="false" customHeight="false" outlineLevel="0" collapsed="false">
      <c r="A1576" s="10" t="n">
        <v>1570</v>
      </c>
      <c r="B1576" s="12" t="s">
        <v>2459</v>
      </c>
      <c r="C1576" s="12" t="s">
        <v>463</v>
      </c>
      <c r="D1576" s="13"/>
      <c r="E1576" s="14"/>
      <c r="F1576" s="15" t="str">
        <f aca="false">IF(D1576="","",ROUND((D1576-MIN($D$7:$D$9999))*86400,2))</f>
        <v/>
      </c>
      <c r="G1576" s="10" t="str">
        <f aca="false">IF(D1576="","",IF(D1576&lt;=($E$3*60+$F$3)/86400,"○",""))</f>
        <v/>
      </c>
      <c r="H1576" s="16" t="n">
        <v>0.00713900462962963</v>
      </c>
      <c r="I1576" s="17" t="n">
        <v>479</v>
      </c>
      <c r="J1576" s="16"/>
      <c r="K1576" s="17"/>
      <c r="L1576" s="17" t="n">
        <f aca="false">COUNT(E1576,I1576,K1576)</f>
        <v>1</v>
      </c>
      <c r="M1576" s="18" t="n">
        <f aca="false">(D1576&lt;&gt;"")*(D1576&lt;=($E$3*60+$F$3)/86400)+(H1576&lt;&gt;"")*(H1576&lt;=($I$3*60+$J$3)/86400)+(J1576&lt;&gt;"")*(J1576&lt;=($M$3*60+$N$3)/86400)</f>
        <v>0</v>
      </c>
      <c r="N1576" s="20"/>
      <c r="O1576" s="20" t="s">
        <v>2460</v>
      </c>
      <c r="P1576" s="20"/>
      <c r="Q1576" s="19"/>
    </row>
    <row r="1577" customFormat="false" ht="15" hidden="false" customHeight="false" outlineLevel="0" collapsed="false">
      <c r="A1577" s="10" t="n">
        <v>1571</v>
      </c>
      <c r="B1577" s="12" t="s">
        <v>2461</v>
      </c>
      <c r="C1577" s="12" t="s">
        <v>2462</v>
      </c>
      <c r="D1577" s="13"/>
      <c r="E1577" s="14"/>
      <c r="F1577" s="15" t="str">
        <f aca="false">IF(D1577="","",ROUND((D1577-MIN($D$7:$D$9999))*86400,2))</f>
        <v/>
      </c>
      <c r="G1577" s="10" t="str">
        <f aca="false">IF(D1577="","",IF(D1577&lt;=($E$3*60+$F$3)/86400,"○",""))</f>
        <v/>
      </c>
      <c r="H1577" s="16" t="n">
        <v>0.00713969907407407</v>
      </c>
      <c r="I1577" s="17" t="n">
        <v>480</v>
      </c>
      <c r="J1577" s="16"/>
      <c r="K1577" s="17"/>
      <c r="L1577" s="17" t="n">
        <f aca="false">COUNT(E1577,I1577,K1577)</f>
        <v>1</v>
      </c>
      <c r="M1577" s="18" t="n">
        <f aca="false">(D1577&lt;&gt;"")*(D1577&lt;=($E$3*60+$F$3)/86400)+(H1577&lt;&gt;"")*(H1577&lt;=($I$3*60+$J$3)/86400)+(J1577&lt;&gt;"")*(J1577&lt;=($M$3*60+$N$3)/86400)</f>
        <v>0</v>
      </c>
      <c r="N1577" s="20"/>
      <c r="O1577" s="20"/>
      <c r="P1577" s="20"/>
      <c r="Q1577" s="19"/>
    </row>
    <row r="1578" customFormat="false" ht="15" hidden="false" customHeight="false" outlineLevel="0" collapsed="false">
      <c r="A1578" s="10" t="n">
        <v>1572</v>
      </c>
      <c r="B1578" s="12" t="s">
        <v>2463</v>
      </c>
      <c r="C1578" s="12" t="s">
        <v>1964</v>
      </c>
      <c r="D1578" s="13"/>
      <c r="E1578" s="14"/>
      <c r="F1578" s="15" t="str">
        <f aca="false">IF(D1578="","",ROUND((D1578-MIN($D$7:$D$9999))*86400,2))</f>
        <v/>
      </c>
      <c r="G1578" s="10" t="str">
        <f aca="false">IF(D1578="","",IF(D1578&lt;=($E$3*60+$F$3)/86400,"○",""))</f>
        <v/>
      </c>
      <c r="H1578" s="16"/>
      <c r="I1578" s="17"/>
      <c r="J1578" s="16" t="n">
        <v>0.00283726851851852</v>
      </c>
      <c r="K1578" s="17" t="n">
        <v>480</v>
      </c>
      <c r="L1578" s="17" t="n">
        <f aca="false">COUNT(E1578,I1578,K1578)</f>
        <v>1</v>
      </c>
      <c r="M1578" s="18" t="n">
        <f aca="false">(D1578&lt;&gt;"")*(D1578&lt;=($E$3*60+$F$3)/86400)+(H1578&lt;&gt;"")*(H1578&lt;=($I$3*60+$J$3)/86400)+(J1578&lt;&gt;"")*(J1578&lt;=($M$3*60+$N$3)/86400)</f>
        <v>0</v>
      </c>
      <c r="N1578" s="20"/>
      <c r="O1578" s="20"/>
      <c r="P1578" s="20"/>
      <c r="Q1578" s="19"/>
    </row>
    <row r="1579" customFormat="false" ht="15" hidden="false" customHeight="false" outlineLevel="0" collapsed="false">
      <c r="A1579" s="10" t="n">
        <v>1573</v>
      </c>
      <c r="B1579" s="12" t="s">
        <v>2464</v>
      </c>
      <c r="C1579" s="12" t="s">
        <v>2465</v>
      </c>
      <c r="D1579" s="13"/>
      <c r="E1579" s="14"/>
      <c r="F1579" s="15" t="str">
        <f aca="false">IF(D1579="","",ROUND((D1579-MIN($D$7:$D$9999))*86400,2))</f>
        <v/>
      </c>
      <c r="G1579" s="10" t="str">
        <f aca="false">IF(D1579="","",IF(D1579&lt;=($E$3*60+$F$3)/86400,"○",""))</f>
        <v/>
      </c>
      <c r="H1579" s="16" t="n">
        <v>0.00713993055555556</v>
      </c>
      <c r="I1579" s="17" t="n">
        <v>481</v>
      </c>
      <c r="J1579" s="16"/>
      <c r="K1579" s="17"/>
      <c r="L1579" s="17" t="n">
        <f aca="false">COUNT(E1579,I1579,K1579)</f>
        <v>1</v>
      </c>
      <c r="M1579" s="18" t="n">
        <f aca="false">(D1579&lt;&gt;"")*(D1579&lt;=($E$3*60+$F$3)/86400)+(H1579&lt;&gt;"")*(H1579&lt;=($I$3*60+$J$3)/86400)+(J1579&lt;&gt;"")*(J1579&lt;=($M$3*60+$N$3)/86400)</f>
        <v>0</v>
      </c>
      <c r="N1579" s="20"/>
      <c r="O1579" s="20"/>
      <c r="P1579" s="20"/>
      <c r="Q1579" s="19"/>
    </row>
    <row r="1580" customFormat="false" ht="15" hidden="false" customHeight="false" outlineLevel="0" collapsed="false">
      <c r="A1580" s="10" t="n">
        <v>1574</v>
      </c>
      <c r="B1580" s="12" t="s">
        <v>2466</v>
      </c>
      <c r="C1580" s="12" t="s">
        <v>2467</v>
      </c>
      <c r="D1580" s="13"/>
      <c r="E1580" s="14"/>
      <c r="F1580" s="15" t="str">
        <f aca="false">IF(D1580="","",ROUND((D1580-MIN($D$7:$D$9999))*86400,2))</f>
        <v/>
      </c>
      <c r="G1580" s="10" t="str">
        <f aca="false">IF(D1580="","",IF(D1580&lt;=($E$3*60+$F$3)/86400,"○",""))</f>
        <v/>
      </c>
      <c r="H1580" s="16"/>
      <c r="I1580" s="17"/>
      <c r="J1580" s="16" t="n">
        <v>0.0028375</v>
      </c>
      <c r="K1580" s="17" t="n">
        <v>481</v>
      </c>
      <c r="L1580" s="17" t="n">
        <f aca="false">COUNT(E1580,I1580,K1580)</f>
        <v>1</v>
      </c>
      <c r="M1580" s="18" t="n">
        <f aca="false">(D1580&lt;&gt;"")*(D1580&lt;=($E$3*60+$F$3)/86400)+(H1580&lt;&gt;"")*(H1580&lt;=($I$3*60+$J$3)/86400)+(J1580&lt;&gt;"")*(J1580&lt;=($M$3*60+$N$3)/86400)</f>
        <v>0</v>
      </c>
      <c r="N1580" s="20"/>
      <c r="O1580" s="20"/>
      <c r="P1580" s="20"/>
      <c r="Q1580" s="19"/>
    </row>
    <row r="1581" customFormat="false" ht="15" hidden="false" customHeight="false" outlineLevel="0" collapsed="false">
      <c r="A1581" s="10" t="n">
        <v>1575</v>
      </c>
      <c r="B1581" s="12" t="s">
        <v>2468</v>
      </c>
      <c r="C1581" s="12" t="s">
        <v>195</v>
      </c>
      <c r="D1581" s="13"/>
      <c r="E1581" s="14"/>
      <c r="F1581" s="15" t="str">
        <f aca="false">IF(D1581="","",ROUND((D1581-MIN($D$7:$D$9999))*86400,2))</f>
        <v/>
      </c>
      <c r="G1581" s="10" t="str">
        <f aca="false">IF(D1581="","",IF(D1581&lt;=($E$3*60+$F$3)/86400,"○",""))</f>
        <v/>
      </c>
      <c r="H1581" s="16" t="n">
        <v>0.00714247685185185</v>
      </c>
      <c r="I1581" s="17" t="n">
        <v>482</v>
      </c>
      <c r="J1581" s="16"/>
      <c r="K1581" s="17"/>
      <c r="L1581" s="17" t="n">
        <f aca="false">COUNT(E1581,I1581,K1581)</f>
        <v>1</v>
      </c>
      <c r="M1581" s="18" t="n">
        <f aca="false">(D1581&lt;&gt;"")*(D1581&lt;=($E$3*60+$F$3)/86400)+(H1581&lt;&gt;"")*(H1581&lt;=($I$3*60+$J$3)/86400)+(J1581&lt;&gt;"")*(J1581&lt;=($M$3*60+$N$3)/86400)</f>
        <v>0</v>
      </c>
      <c r="N1581" s="20"/>
      <c r="O1581" s="20"/>
      <c r="P1581" s="20"/>
      <c r="Q1581" s="19"/>
    </row>
    <row r="1582" customFormat="false" ht="15" hidden="false" customHeight="false" outlineLevel="0" collapsed="false">
      <c r="A1582" s="10" t="n">
        <v>1576</v>
      </c>
      <c r="B1582" s="12" t="s">
        <v>2469</v>
      </c>
      <c r="C1582" s="12" t="s">
        <v>2470</v>
      </c>
      <c r="D1582" s="13"/>
      <c r="E1582" s="14"/>
      <c r="F1582" s="15" t="str">
        <f aca="false">IF(D1582="","",ROUND((D1582-MIN($D$7:$D$9999))*86400,2))</f>
        <v/>
      </c>
      <c r="G1582" s="10" t="str">
        <f aca="false">IF(D1582="","",IF(D1582&lt;=($E$3*60+$F$3)/86400,"○",""))</f>
        <v/>
      </c>
      <c r="H1582" s="16" t="n">
        <v>0.00714467592592593</v>
      </c>
      <c r="I1582" s="17" t="n">
        <v>483</v>
      </c>
      <c r="J1582" s="16"/>
      <c r="K1582" s="17"/>
      <c r="L1582" s="17" t="n">
        <f aca="false">COUNT(E1582,I1582,K1582)</f>
        <v>1</v>
      </c>
      <c r="M1582" s="18" t="n">
        <f aca="false">(D1582&lt;&gt;"")*(D1582&lt;=($E$3*60+$F$3)/86400)+(H1582&lt;&gt;"")*(H1582&lt;=($I$3*60+$J$3)/86400)+(J1582&lt;&gt;"")*(J1582&lt;=($M$3*60+$N$3)/86400)</f>
        <v>0</v>
      </c>
      <c r="N1582" s="20"/>
      <c r="O1582" s="20"/>
      <c r="P1582" s="20"/>
      <c r="Q1582" s="19"/>
    </row>
    <row r="1583" customFormat="false" ht="15" hidden="false" customHeight="false" outlineLevel="0" collapsed="false">
      <c r="A1583" s="10" t="n">
        <v>1577</v>
      </c>
      <c r="B1583" s="12" t="s">
        <v>2471</v>
      </c>
      <c r="C1583" s="12" t="s">
        <v>165</v>
      </c>
      <c r="D1583" s="13"/>
      <c r="E1583" s="14"/>
      <c r="F1583" s="15" t="str">
        <f aca="false">IF(D1583="","",ROUND((D1583-MIN($D$7:$D$9999))*86400,2))</f>
        <v/>
      </c>
      <c r="G1583" s="10" t="str">
        <f aca="false">IF(D1583="","",IF(D1583&lt;=($E$3*60+$F$3)/86400,"○",""))</f>
        <v/>
      </c>
      <c r="H1583" s="16" t="n">
        <v>0.0071474537037037</v>
      </c>
      <c r="I1583" s="17" t="n">
        <v>484</v>
      </c>
      <c r="J1583" s="16"/>
      <c r="K1583" s="17"/>
      <c r="L1583" s="17" t="n">
        <f aca="false">COUNT(E1583,I1583,K1583)</f>
        <v>1</v>
      </c>
      <c r="M1583" s="18" t="n">
        <f aca="false">(D1583&lt;&gt;"")*(D1583&lt;=($E$3*60+$F$3)/86400)+(H1583&lt;&gt;"")*(H1583&lt;=($I$3*60+$J$3)/86400)+(J1583&lt;&gt;"")*(J1583&lt;=($M$3*60+$N$3)/86400)</f>
        <v>0</v>
      </c>
      <c r="N1583" s="20"/>
      <c r="O1583" s="20"/>
      <c r="P1583" s="20"/>
      <c r="Q1583" s="19"/>
    </row>
    <row r="1584" customFormat="false" ht="15" hidden="false" customHeight="false" outlineLevel="0" collapsed="false">
      <c r="A1584" s="10" t="n">
        <v>1578</v>
      </c>
      <c r="B1584" s="12" t="s">
        <v>2472</v>
      </c>
      <c r="C1584" s="12" t="s">
        <v>2473</v>
      </c>
      <c r="D1584" s="13"/>
      <c r="E1584" s="14"/>
      <c r="F1584" s="15" t="str">
        <f aca="false">IF(D1584="","",ROUND((D1584-MIN($D$7:$D$9999))*86400,2))</f>
        <v/>
      </c>
      <c r="G1584" s="10" t="str">
        <f aca="false">IF(D1584="","",IF(D1584&lt;=($E$3*60+$F$3)/86400,"○",""))</f>
        <v/>
      </c>
      <c r="H1584" s="16"/>
      <c r="I1584" s="17"/>
      <c r="J1584" s="16" t="n">
        <v>0.0028380787037037</v>
      </c>
      <c r="K1584" s="17" t="n">
        <v>484</v>
      </c>
      <c r="L1584" s="17" t="n">
        <f aca="false">COUNT(E1584,I1584,K1584)</f>
        <v>1</v>
      </c>
      <c r="M1584" s="18" t="n">
        <f aca="false">(D1584&lt;&gt;"")*(D1584&lt;=($E$3*60+$F$3)/86400)+(H1584&lt;&gt;"")*(H1584&lt;=($I$3*60+$J$3)/86400)+(J1584&lt;&gt;"")*(J1584&lt;=($M$3*60+$N$3)/86400)</f>
        <v>0</v>
      </c>
      <c r="N1584" s="20"/>
      <c r="O1584" s="20"/>
      <c r="P1584" s="20"/>
      <c r="Q1584" s="19"/>
    </row>
    <row r="1585" customFormat="false" ht="15" hidden="false" customHeight="false" outlineLevel="0" collapsed="false">
      <c r="A1585" s="10" t="n">
        <v>1579</v>
      </c>
      <c r="B1585" s="12" t="s">
        <v>2474</v>
      </c>
      <c r="C1585" s="12" t="s">
        <v>1409</v>
      </c>
      <c r="D1585" s="13"/>
      <c r="E1585" s="14"/>
      <c r="F1585" s="15" t="str">
        <f aca="false">IF(D1585="","",ROUND((D1585-MIN($D$7:$D$9999))*86400,2))</f>
        <v/>
      </c>
      <c r="G1585" s="10" t="str">
        <f aca="false">IF(D1585="","",IF(D1585&lt;=($E$3*60+$F$3)/86400,"○",""))</f>
        <v/>
      </c>
      <c r="H1585" s="16" t="n">
        <v>0.00714826388888889</v>
      </c>
      <c r="I1585" s="17" t="n">
        <v>485</v>
      </c>
      <c r="J1585" s="16"/>
      <c r="K1585" s="17"/>
      <c r="L1585" s="17" t="n">
        <f aca="false">COUNT(E1585,I1585,K1585)</f>
        <v>1</v>
      </c>
      <c r="M1585" s="18" t="n">
        <f aca="false">(D1585&lt;&gt;"")*(D1585&lt;=($E$3*60+$F$3)/86400)+(H1585&lt;&gt;"")*(H1585&lt;=($I$3*60+$J$3)/86400)+(J1585&lt;&gt;"")*(J1585&lt;=($M$3*60+$N$3)/86400)</f>
        <v>0</v>
      </c>
      <c r="N1585" s="20"/>
      <c r="O1585" s="20"/>
      <c r="P1585" s="20"/>
      <c r="Q1585" s="19"/>
    </row>
    <row r="1586" customFormat="false" ht="15" hidden="false" customHeight="false" outlineLevel="0" collapsed="false">
      <c r="A1586" s="10" t="n">
        <v>1580</v>
      </c>
      <c r="B1586" s="12" t="s">
        <v>2475</v>
      </c>
      <c r="C1586" s="12" t="s">
        <v>195</v>
      </c>
      <c r="D1586" s="13"/>
      <c r="E1586" s="14"/>
      <c r="F1586" s="15" t="str">
        <f aca="false">IF(D1586="","",ROUND((D1586-MIN($D$7:$D$9999))*86400,2))</f>
        <v/>
      </c>
      <c r="G1586" s="10" t="str">
        <f aca="false">IF(D1586="","",IF(D1586&lt;=($E$3*60+$F$3)/86400,"○",""))</f>
        <v/>
      </c>
      <c r="H1586" s="16" t="n">
        <v>0.00714861111111111</v>
      </c>
      <c r="I1586" s="17" t="n">
        <v>486</v>
      </c>
      <c r="J1586" s="16"/>
      <c r="K1586" s="17"/>
      <c r="L1586" s="17" t="n">
        <f aca="false">COUNT(E1586,I1586,K1586)</f>
        <v>1</v>
      </c>
      <c r="M1586" s="18" t="n">
        <f aca="false">(D1586&lt;&gt;"")*(D1586&lt;=($E$3*60+$F$3)/86400)+(H1586&lt;&gt;"")*(H1586&lt;=($I$3*60+$J$3)/86400)+(J1586&lt;&gt;"")*(J1586&lt;=($M$3*60+$N$3)/86400)</f>
        <v>0</v>
      </c>
      <c r="N1586" s="20"/>
      <c r="O1586" s="20"/>
      <c r="P1586" s="20"/>
      <c r="Q1586" s="19"/>
    </row>
    <row r="1587" customFormat="false" ht="15" hidden="false" customHeight="false" outlineLevel="0" collapsed="false">
      <c r="A1587" s="10" t="n">
        <v>1581</v>
      </c>
      <c r="B1587" s="12" t="s">
        <v>2476</v>
      </c>
      <c r="C1587" s="12" t="s">
        <v>273</v>
      </c>
      <c r="D1587" s="13"/>
      <c r="E1587" s="14"/>
      <c r="F1587" s="15" t="str">
        <f aca="false">IF(D1587="","",ROUND((D1587-MIN($D$7:$D$9999))*86400,2))</f>
        <v/>
      </c>
      <c r="G1587" s="10" t="str">
        <f aca="false">IF(D1587="","",IF(D1587&lt;=($E$3*60+$F$3)/86400,"○",""))</f>
        <v/>
      </c>
      <c r="H1587" s="16" t="n">
        <v>0.00714872685185185</v>
      </c>
      <c r="I1587" s="17" t="n">
        <v>487</v>
      </c>
      <c r="J1587" s="16"/>
      <c r="K1587" s="17"/>
      <c r="L1587" s="17" t="n">
        <f aca="false">COUNT(E1587,I1587,K1587)</f>
        <v>1</v>
      </c>
      <c r="M1587" s="18" t="n">
        <f aca="false">(D1587&lt;&gt;"")*(D1587&lt;=($E$3*60+$F$3)/86400)+(H1587&lt;&gt;"")*(H1587&lt;=($I$3*60+$J$3)/86400)+(J1587&lt;&gt;"")*(J1587&lt;=($M$3*60+$N$3)/86400)</f>
        <v>0</v>
      </c>
      <c r="N1587" s="20"/>
      <c r="O1587" s="20"/>
      <c r="P1587" s="20"/>
      <c r="Q1587" s="19"/>
    </row>
    <row r="1588" customFormat="false" ht="15" hidden="false" customHeight="false" outlineLevel="0" collapsed="false">
      <c r="A1588" s="10" t="n">
        <v>1582</v>
      </c>
      <c r="B1588" s="12" t="s">
        <v>2477</v>
      </c>
      <c r="C1588" s="12" t="s">
        <v>577</v>
      </c>
      <c r="D1588" s="13"/>
      <c r="E1588" s="14"/>
      <c r="F1588" s="15" t="str">
        <f aca="false">IF(D1588="","",ROUND((D1588-MIN($D$7:$D$9999))*86400,2))</f>
        <v/>
      </c>
      <c r="G1588" s="10" t="str">
        <f aca="false">IF(D1588="","",IF(D1588&lt;=($E$3*60+$F$3)/86400,"○",""))</f>
        <v/>
      </c>
      <c r="H1588" s="16"/>
      <c r="I1588" s="17"/>
      <c r="J1588" s="16" t="n">
        <v>0.00283888888888889</v>
      </c>
      <c r="K1588" s="17" t="n">
        <v>487</v>
      </c>
      <c r="L1588" s="17" t="n">
        <f aca="false">COUNT(E1588,I1588,K1588)</f>
        <v>1</v>
      </c>
      <c r="M1588" s="18" t="n">
        <f aca="false">(D1588&lt;&gt;"")*(D1588&lt;=($E$3*60+$F$3)/86400)+(H1588&lt;&gt;"")*(H1588&lt;=($I$3*60+$J$3)/86400)+(J1588&lt;&gt;"")*(J1588&lt;=($M$3*60+$N$3)/86400)</f>
        <v>0</v>
      </c>
      <c r="N1588" s="20"/>
      <c r="O1588" s="20"/>
      <c r="P1588" s="20"/>
      <c r="Q1588" s="19"/>
    </row>
    <row r="1589" customFormat="false" ht="15" hidden="false" customHeight="false" outlineLevel="0" collapsed="false">
      <c r="A1589" s="10" t="n">
        <v>1583</v>
      </c>
      <c r="B1589" s="12" t="s">
        <v>2478</v>
      </c>
      <c r="C1589" s="12" t="s">
        <v>2479</v>
      </c>
      <c r="D1589" s="13"/>
      <c r="E1589" s="14"/>
      <c r="F1589" s="15" t="str">
        <f aca="false">IF(D1589="","",ROUND((D1589-MIN($D$7:$D$9999))*86400,2))</f>
        <v/>
      </c>
      <c r="G1589" s="10" t="str">
        <f aca="false">IF(D1589="","",IF(D1589&lt;=($E$3*60+$F$3)/86400,"○",""))</f>
        <v/>
      </c>
      <c r="H1589" s="16" t="n">
        <v>0.00714895833333333</v>
      </c>
      <c r="I1589" s="17" t="n">
        <v>488</v>
      </c>
      <c r="J1589" s="16"/>
      <c r="K1589" s="17"/>
      <c r="L1589" s="17" t="n">
        <f aca="false">COUNT(E1589,I1589,K1589)</f>
        <v>1</v>
      </c>
      <c r="M1589" s="18" t="n">
        <f aca="false">(D1589&lt;&gt;"")*(D1589&lt;=($E$3*60+$F$3)/86400)+(H1589&lt;&gt;"")*(H1589&lt;=($I$3*60+$J$3)/86400)+(J1589&lt;&gt;"")*(J1589&lt;=($M$3*60+$N$3)/86400)</f>
        <v>0</v>
      </c>
      <c r="N1589" s="20"/>
      <c r="O1589" s="20"/>
      <c r="P1589" s="20"/>
      <c r="Q1589" s="19"/>
    </row>
    <row r="1590" customFormat="false" ht="15" hidden="false" customHeight="false" outlineLevel="0" collapsed="false">
      <c r="A1590" s="10" t="n">
        <v>1584</v>
      </c>
      <c r="B1590" s="12" t="s">
        <v>2480</v>
      </c>
      <c r="C1590" s="12" t="s">
        <v>2318</v>
      </c>
      <c r="D1590" s="13"/>
      <c r="E1590" s="14"/>
      <c r="F1590" s="15" t="str">
        <f aca="false">IF(D1590="","",ROUND((D1590-MIN($D$7:$D$9999))*86400,2))</f>
        <v/>
      </c>
      <c r="G1590" s="10" t="str">
        <f aca="false">IF(D1590="","",IF(D1590&lt;=($E$3*60+$F$3)/86400,"○",""))</f>
        <v/>
      </c>
      <c r="H1590" s="16" t="n">
        <v>0.00741527777777778</v>
      </c>
      <c r="I1590" s="17" t="n">
        <v>788</v>
      </c>
      <c r="J1590" s="16" t="n">
        <v>0.00283912037037037</v>
      </c>
      <c r="K1590" s="17" t="n">
        <v>489</v>
      </c>
      <c r="L1590" s="17" t="n">
        <f aca="false">COUNT(E1590,I1590,K1590)</f>
        <v>2</v>
      </c>
      <c r="M1590" s="18" t="n">
        <f aca="false">(D1590&lt;&gt;"")*(D1590&lt;=($E$3*60+$F$3)/86400)+(H1590&lt;&gt;"")*(H1590&lt;=($I$3*60+$J$3)/86400)+(J1590&lt;&gt;"")*(J1590&lt;=($M$3*60+$N$3)/86400)</f>
        <v>0</v>
      </c>
      <c r="N1590" s="20" t="s">
        <v>2481</v>
      </c>
      <c r="O1590" s="20"/>
      <c r="P1590" s="20"/>
      <c r="Q1590" s="19"/>
    </row>
    <row r="1591" customFormat="false" ht="15" hidden="false" customHeight="false" outlineLevel="0" collapsed="false">
      <c r="A1591" s="10" t="n">
        <v>1585</v>
      </c>
      <c r="B1591" s="12" t="s">
        <v>2482</v>
      </c>
      <c r="C1591" s="12" t="s">
        <v>2483</v>
      </c>
      <c r="D1591" s="13"/>
      <c r="E1591" s="14"/>
      <c r="F1591" s="15" t="str">
        <f aca="false">IF(D1591="","",ROUND((D1591-MIN($D$7:$D$9999))*86400,2))</f>
        <v/>
      </c>
      <c r="G1591" s="10" t="str">
        <f aca="false">IF(D1591="","",IF(D1591&lt;=($E$3*60+$F$3)/86400,"○",""))</f>
        <v/>
      </c>
      <c r="H1591" s="16" t="n">
        <v>0.00715034722222222</v>
      </c>
      <c r="I1591" s="17" t="n">
        <v>489</v>
      </c>
      <c r="J1591" s="16"/>
      <c r="K1591" s="17"/>
      <c r="L1591" s="17" t="n">
        <f aca="false">COUNT(E1591,I1591,K1591)</f>
        <v>1</v>
      </c>
      <c r="M1591" s="18" t="n">
        <f aca="false">(D1591&lt;&gt;"")*(D1591&lt;=($E$3*60+$F$3)/86400)+(H1591&lt;&gt;"")*(H1591&lt;=($I$3*60+$J$3)/86400)+(J1591&lt;&gt;"")*(J1591&lt;=($M$3*60+$N$3)/86400)</f>
        <v>0</v>
      </c>
      <c r="N1591" s="20"/>
      <c r="O1591" s="20"/>
      <c r="P1591" s="20"/>
      <c r="Q1591" s="19"/>
    </row>
    <row r="1592" customFormat="false" ht="15" hidden="false" customHeight="false" outlineLevel="0" collapsed="false">
      <c r="A1592" s="10" t="n">
        <v>1586</v>
      </c>
      <c r="B1592" s="12" t="s">
        <v>2484</v>
      </c>
      <c r="C1592" s="12" t="s">
        <v>2485</v>
      </c>
      <c r="D1592" s="13"/>
      <c r="E1592" s="14"/>
      <c r="F1592" s="15" t="str">
        <f aca="false">IF(D1592="","",ROUND((D1592-MIN($D$7:$D$9999))*86400,2))</f>
        <v/>
      </c>
      <c r="G1592" s="10" t="str">
        <f aca="false">IF(D1592="","",IF(D1592&lt;=($E$3*60+$F$3)/86400,"○",""))</f>
        <v/>
      </c>
      <c r="H1592" s="16" t="n">
        <v>0.00715335648148148</v>
      </c>
      <c r="I1592" s="17" t="n">
        <v>490</v>
      </c>
      <c r="J1592" s="16"/>
      <c r="K1592" s="17"/>
      <c r="L1592" s="17" t="n">
        <f aca="false">COUNT(E1592,I1592,K1592)</f>
        <v>1</v>
      </c>
      <c r="M1592" s="18" t="n">
        <f aca="false">(D1592&lt;&gt;"")*(D1592&lt;=($E$3*60+$F$3)/86400)+(H1592&lt;&gt;"")*(H1592&lt;=($I$3*60+$J$3)/86400)+(J1592&lt;&gt;"")*(J1592&lt;=($M$3*60+$N$3)/86400)</f>
        <v>0</v>
      </c>
      <c r="N1592" s="20"/>
      <c r="O1592" s="20"/>
      <c r="P1592" s="20"/>
      <c r="Q1592" s="19"/>
    </row>
    <row r="1593" customFormat="false" ht="15" hidden="false" customHeight="false" outlineLevel="0" collapsed="false">
      <c r="A1593" s="10" t="n">
        <v>1587</v>
      </c>
      <c r="B1593" s="12" t="s">
        <v>2486</v>
      </c>
      <c r="C1593" s="12" t="s">
        <v>2487</v>
      </c>
      <c r="D1593" s="13"/>
      <c r="E1593" s="14"/>
      <c r="F1593" s="15" t="str">
        <f aca="false">IF(D1593="","",ROUND((D1593-MIN($D$7:$D$9999))*86400,2))</f>
        <v/>
      </c>
      <c r="G1593" s="10" t="str">
        <f aca="false">IF(D1593="","",IF(D1593&lt;=($E$3*60+$F$3)/86400,"○",""))</f>
        <v/>
      </c>
      <c r="H1593" s="16" t="n">
        <v>0.00715613425925926</v>
      </c>
      <c r="I1593" s="17" t="n">
        <v>492</v>
      </c>
      <c r="J1593" s="16"/>
      <c r="K1593" s="17"/>
      <c r="L1593" s="17" t="n">
        <f aca="false">COUNT(E1593,I1593,K1593)</f>
        <v>1</v>
      </c>
      <c r="M1593" s="18" t="n">
        <f aca="false">(D1593&lt;&gt;"")*(D1593&lt;=($E$3*60+$F$3)/86400)+(H1593&lt;&gt;"")*(H1593&lt;=($I$3*60+$J$3)/86400)+(J1593&lt;&gt;"")*(J1593&lt;=($M$3*60+$N$3)/86400)</f>
        <v>0</v>
      </c>
      <c r="N1593" s="20"/>
      <c r="O1593" s="20"/>
      <c r="P1593" s="20"/>
      <c r="Q1593" s="19"/>
    </row>
    <row r="1594" customFormat="false" ht="15" hidden="false" customHeight="false" outlineLevel="0" collapsed="false">
      <c r="A1594" s="10" t="n">
        <v>1588</v>
      </c>
      <c r="B1594" s="12" t="s">
        <v>2488</v>
      </c>
      <c r="C1594" s="12" t="s">
        <v>2489</v>
      </c>
      <c r="D1594" s="13"/>
      <c r="E1594" s="14"/>
      <c r="F1594" s="15" t="str">
        <f aca="false">IF(D1594="","",ROUND((D1594-MIN($D$7:$D$9999))*86400,2))</f>
        <v/>
      </c>
      <c r="G1594" s="10" t="str">
        <f aca="false">IF(D1594="","",IF(D1594&lt;=($E$3*60+$F$3)/86400,"○",""))</f>
        <v/>
      </c>
      <c r="H1594" s="16" t="n">
        <v>0.00715671296296296</v>
      </c>
      <c r="I1594" s="17" t="n">
        <v>493</v>
      </c>
      <c r="J1594" s="16"/>
      <c r="K1594" s="17"/>
      <c r="L1594" s="17" t="n">
        <f aca="false">COUNT(E1594,I1594,K1594)</f>
        <v>1</v>
      </c>
      <c r="M1594" s="18" t="n">
        <f aca="false">(D1594&lt;&gt;"")*(D1594&lt;=($E$3*60+$F$3)/86400)+(H1594&lt;&gt;"")*(H1594&lt;=($I$3*60+$J$3)/86400)+(J1594&lt;&gt;"")*(J1594&lt;=($M$3*60+$N$3)/86400)</f>
        <v>0</v>
      </c>
      <c r="N1594" s="20"/>
      <c r="O1594" s="20"/>
      <c r="P1594" s="20"/>
      <c r="Q1594" s="19"/>
    </row>
    <row r="1595" customFormat="false" ht="15" hidden="false" customHeight="false" outlineLevel="0" collapsed="false">
      <c r="A1595" s="10" t="n">
        <v>1589</v>
      </c>
      <c r="B1595" s="12" t="s">
        <v>2490</v>
      </c>
      <c r="C1595" s="12" t="s">
        <v>2491</v>
      </c>
      <c r="D1595" s="13"/>
      <c r="E1595" s="14"/>
      <c r="F1595" s="15" t="str">
        <f aca="false">IF(D1595="","",ROUND((D1595-MIN($D$7:$D$9999))*86400,2))</f>
        <v/>
      </c>
      <c r="G1595" s="10" t="str">
        <f aca="false">IF(D1595="","",IF(D1595&lt;=($E$3*60+$F$3)/86400,"○",""))</f>
        <v/>
      </c>
      <c r="H1595" s="16" t="n">
        <v>0.00716053240740741</v>
      </c>
      <c r="I1595" s="17" t="n">
        <v>496</v>
      </c>
      <c r="J1595" s="16"/>
      <c r="K1595" s="17"/>
      <c r="L1595" s="17" t="n">
        <f aca="false">COUNT(E1595,I1595,K1595)</f>
        <v>1</v>
      </c>
      <c r="M1595" s="18" t="n">
        <f aca="false">(D1595&lt;&gt;"")*(D1595&lt;=($E$3*60+$F$3)/86400)+(H1595&lt;&gt;"")*(H1595&lt;=($I$3*60+$J$3)/86400)+(J1595&lt;&gt;"")*(J1595&lt;=($M$3*60+$N$3)/86400)</f>
        <v>0</v>
      </c>
      <c r="N1595" s="20"/>
      <c r="O1595" s="20"/>
      <c r="P1595" s="20"/>
      <c r="Q1595" s="19"/>
    </row>
    <row r="1596" customFormat="false" ht="15" hidden="false" customHeight="false" outlineLevel="0" collapsed="false">
      <c r="A1596" s="10" t="n">
        <v>1590</v>
      </c>
      <c r="B1596" s="12" t="s">
        <v>2492</v>
      </c>
      <c r="C1596" s="12" t="s">
        <v>1552</v>
      </c>
      <c r="D1596" s="13"/>
      <c r="E1596" s="14"/>
      <c r="F1596" s="15" t="str">
        <f aca="false">IF(D1596="","",ROUND((D1596-MIN($D$7:$D$9999))*86400,2))</f>
        <v/>
      </c>
      <c r="G1596" s="10" t="str">
        <f aca="false">IF(D1596="","",IF(D1596&lt;=($E$3*60+$F$3)/86400,"○",""))</f>
        <v/>
      </c>
      <c r="H1596" s="16" t="n">
        <v>0.0071630787037037</v>
      </c>
      <c r="I1596" s="17" t="n">
        <v>498</v>
      </c>
      <c r="J1596" s="16"/>
      <c r="K1596" s="17"/>
      <c r="L1596" s="17" t="n">
        <f aca="false">COUNT(E1596,I1596,K1596)</f>
        <v>1</v>
      </c>
      <c r="M1596" s="18" t="n">
        <f aca="false">(D1596&lt;&gt;"")*(D1596&lt;=($E$3*60+$F$3)/86400)+(H1596&lt;&gt;"")*(H1596&lt;=($I$3*60+$J$3)/86400)+(J1596&lt;&gt;"")*(J1596&lt;=($M$3*60+$N$3)/86400)</f>
        <v>0</v>
      </c>
      <c r="N1596" s="20"/>
      <c r="O1596" s="20"/>
      <c r="P1596" s="20"/>
      <c r="Q1596" s="19"/>
    </row>
    <row r="1597" customFormat="false" ht="15" hidden="false" customHeight="false" outlineLevel="0" collapsed="false">
      <c r="A1597" s="10" t="n">
        <v>1591</v>
      </c>
      <c r="B1597" s="12" t="s">
        <v>2493</v>
      </c>
      <c r="C1597" s="12" t="s">
        <v>2494</v>
      </c>
      <c r="D1597" s="13"/>
      <c r="E1597" s="14"/>
      <c r="F1597" s="15" t="str">
        <f aca="false">IF(D1597="","",ROUND((D1597-MIN($D$7:$D$9999))*86400,2))</f>
        <v/>
      </c>
      <c r="G1597" s="10" t="str">
        <f aca="false">IF(D1597="","",IF(D1597&lt;=($E$3*60+$F$3)/86400,"○",""))</f>
        <v/>
      </c>
      <c r="H1597" s="16" t="n">
        <v>0.00716331018518519</v>
      </c>
      <c r="I1597" s="17" t="n">
        <v>499</v>
      </c>
      <c r="J1597" s="16"/>
      <c r="K1597" s="17"/>
      <c r="L1597" s="17" t="n">
        <f aca="false">COUNT(E1597,I1597,K1597)</f>
        <v>1</v>
      </c>
      <c r="M1597" s="18" t="n">
        <f aca="false">(D1597&lt;&gt;"")*(D1597&lt;=($E$3*60+$F$3)/86400)+(H1597&lt;&gt;"")*(H1597&lt;=($I$3*60+$J$3)/86400)+(J1597&lt;&gt;"")*(J1597&lt;=($M$3*60+$N$3)/86400)</f>
        <v>0</v>
      </c>
      <c r="N1597" s="20"/>
      <c r="O1597" s="20"/>
      <c r="P1597" s="20"/>
      <c r="Q1597" s="19"/>
    </row>
    <row r="1598" customFormat="false" ht="15" hidden="false" customHeight="false" outlineLevel="0" collapsed="false">
      <c r="A1598" s="10" t="n">
        <v>1592</v>
      </c>
      <c r="B1598" s="12" t="s">
        <v>2495</v>
      </c>
      <c r="C1598" s="12" t="s">
        <v>2496</v>
      </c>
      <c r="D1598" s="13"/>
      <c r="E1598" s="14"/>
      <c r="F1598" s="15" t="str">
        <f aca="false">IF(D1598="","",ROUND((D1598-MIN($D$7:$D$9999))*86400,2))</f>
        <v/>
      </c>
      <c r="G1598" s="10" t="str">
        <f aca="false">IF(D1598="","",IF(D1598&lt;=($E$3*60+$F$3)/86400,"○",""))</f>
        <v/>
      </c>
      <c r="H1598" s="16" t="n">
        <v>0.00716354166666667</v>
      </c>
      <c r="I1598" s="17" t="n">
        <v>500</v>
      </c>
      <c r="J1598" s="16"/>
      <c r="K1598" s="17"/>
      <c r="L1598" s="17" t="n">
        <f aca="false">COUNT(E1598,I1598,K1598)</f>
        <v>1</v>
      </c>
      <c r="M1598" s="18" t="n">
        <f aca="false">(D1598&lt;&gt;"")*(D1598&lt;=($E$3*60+$F$3)/86400)+(H1598&lt;&gt;"")*(H1598&lt;=($I$3*60+$J$3)/86400)+(J1598&lt;&gt;"")*(J1598&lt;=($M$3*60+$N$3)/86400)</f>
        <v>0</v>
      </c>
      <c r="N1598" s="20"/>
      <c r="O1598" s="20"/>
      <c r="P1598" s="20"/>
      <c r="Q1598" s="19"/>
    </row>
    <row r="1599" customFormat="false" ht="15" hidden="false" customHeight="false" outlineLevel="0" collapsed="false">
      <c r="A1599" s="10" t="n">
        <v>1593</v>
      </c>
      <c r="B1599" s="12" t="s">
        <v>2497</v>
      </c>
      <c r="C1599" s="12" t="s">
        <v>1491</v>
      </c>
      <c r="D1599" s="13"/>
      <c r="E1599" s="14"/>
      <c r="F1599" s="15" t="str">
        <f aca="false">IF(D1599="","",ROUND((D1599-MIN($D$7:$D$9999))*86400,2))</f>
        <v/>
      </c>
      <c r="G1599" s="10" t="str">
        <f aca="false">IF(D1599="","",IF(D1599&lt;=($E$3*60+$F$3)/86400,"○",""))</f>
        <v/>
      </c>
      <c r="H1599" s="16" t="n">
        <v>0.00716458333333333</v>
      </c>
      <c r="I1599" s="17" t="n">
        <v>501</v>
      </c>
      <c r="J1599" s="16"/>
      <c r="K1599" s="17"/>
      <c r="L1599" s="17" t="n">
        <f aca="false">COUNT(E1599,I1599,K1599)</f>
        <v>1</v>
      </c>
      <c r="M1599" s="18" t="n">
        <f aca="false">(D1599&lt;&gt;"")*(D1599&lt;=($E$3*60+$F$3)/86400)+(H1599&lt;&gt;"")*(H1599&lt;=($I$3*60+$J$3)/86400)+(J1599&lt;&gt;"")*(J1599&lt;=($M$3*60+$N$3)/86400)</f>
        <v>0</v>
      </c>
      <c r="N1599" s="20"/>
      <c r="O1599" s="20"/>
      <c r="P1599" s="20"/>
      <c r="Q1599" s="19"/>
    </row>
    <row r="1600" customFormat="false" ht="15" hidden="false" customHeight="false" outlineLevel="0" collapsed="false">
      <c r="A1600" s="10" t="n">
        <v>1594</v>
      </c>
      <c r="B1600" s="12" t="s">
        <v>2498</v>
      </c>
      <c r="C1600" s="12" t="s">
        <v>1764</v>
      </c>
      <c r="D1600" s="13"/>
      <c r="E1600" s="14"/>
      <c r="F1600" s="15" t="str">
        <f aca="false">IF(D1600="","",ROUND((D1600-MIN($D$7:$D$9999))*86400,2))</f>
        <v/>
      </c>
      <c r="G1600" s="10" t="str">
        <f aca="false">IF(D1600="","",IF(D1600&lt;=($E$3*60+$F$3)/86400,"○",""))</f>
        <v/>
      </c>
      <c r="H1600" s="16" t="n">
        <v>0.00716724537037037</v>
      </c>
      <c r="I1600" s="17" t="n">
        <v>502</v>
      </c>
      <c r="J1600" s="16"/>
      <c r="K1600" s="17"/>
      <c r="L1600" s="17" t="n">
        <f aca="false">COUNT(E1600,I1600,K1600)</f>
        <v>1</v>
      </c>
      <c r="M1600" s="18" t="n">
        <f aca="false">(D1600&lt;&gt;"")*(D1600&lt;=($E$3*60+$F$3)/86400)+(H1600&lt;&gt;"")*(H1600&lt;=($I$3*60+$J$3)/86400)+(J1600&lt;&gt;"")*(J1600&lt;=($M$3*60+$N$3)/86400)</f>
        <v>0</v>
      </c>
      <c r="N1600" s="20"/>
      <c r="O1600" s="20"/>
      <c r="P1600" s="20"/>
      <c r="Q1600" s="19"/>
    </row>
    <row r="1601" customFormat="false" ht="15" hidden="false" customHeight="false" outlineLevel="0" collapsed="false">
      <c r="A1601" s="10" t="n">
        <v>1595</v>
      </c>
      <c r="B1601" s="12" t="s">
        <v>2499</v>
      </c>
      <c r="C1601" s="12" t="s">
        <v>2500</v>
      </c>
      <c r="D1601" s="13"/>
      <c r="E1601" s="14"/>
      <c r="F1601" s="15" t="str">
        <f aca="false">IF(D1601="","",ROUND((D1601-MIN($D$7:$D$9999))*86400,2))</f>
        <v/>
      </c>
      <c r="G1601" s="10" t="str">
        <f aca="false">IF(D1601="","",IF(D1601&lt;=($E$3*60+$F$3)/86400,"○",""))</f>
        <v/>
      </c>
      <c r="H1601" s="16" t="n">
        <v>0.00716736111111111</v>
      </c>
      <c r="I1601" s="17" t="n">
        <v>503</v>
      </c>
      <c r="J1601" s="16"/>
      <c r="K1601" s="17"/>
      <c r="L1601" s="17" t="n">
        <f aca="false">COUNT(E1601,I1601,K1601)</f>
        <v>1</v>
      </c>
      <c r="M1601" s="18" t="n">
        <f aca="false">(D1601&lt;&gt;"")*(D1601&lt;=($E$3*60+$F$3)/86400)+(H1601&lt;&gt;"")*(H1601&lt;=($I$3*60+$J$3)/86400)+(J1601&lt;&gt;"")*(J1601&lt;=($M$3*60+$N$3)/86400)</f>
        <v>0</v>
      </c>
      <c r="N1601" s="20"/>
      <c r="O1601" s="20"/>
      <c r="P1601" s="20"/>
      <c r="Q1601" s="19"/>
    </row>
    <row r="1602" customFormat="false" ht="15" hidden="false" customHeight="false" outlineLevel="0" collapsed="false">
      <c r="A1602" s="10" t="n">
        <v>1596</v>
      </c>
      <c r="B1602" s="12" t="s">
        <v>2501</v>
      </c>
      <c r="C1602" s="12" t="s">
        <v>2502</v>
      </c>
      <c r="D1602" s="13"/>
      <c r="E1602" s="14"/>
      <c r="F1602" s="15" t="str">
        <f aca="false">IF(D1602="","",ROUND((D1602-MIN($D$7:$D$9999))*86400,2))</f>
        <v/>
      </c>
      <c r="G1602" s="10" t="str">
        <f aca="false">IF(D1602="","",IF(D1602&lt;=($E$3*60+$F$3)/86400,"○",""))</f>
        <v/>
      </c>
      <c r="H1602" s="16" t="n">
        <v>0.00716782407407407</v>
      </c>
      <c r="I1602" s="17" t="n">
        <v>504</v>
      </c>
      <c r="J1602" s="16"/>
      <c r="K1602" s="17"/>
      <c r="L1602" s="17" t="n">
        <f aca="false">COUNT(E1602,I1602,K1602)</f>
        <v>1</v>
      </c>
      <c r="M1602" s="18" t="n">
        <f aca="false">(D1602&lt;&gt;"")*(D1602&lt;=($E$3*60+$F$3)/86400)+(H1602&lt;&gt;"")*(H1602&lt;=($I$3*60+$J$3)/86400)+(J1602&lt;&gt;"")*(J1602&lt;=($M$3*60+$N$3)/86400)</f>
        <v>0</v>
      </c>
      <c r="N1602" s="20"/>
      <c r="O1602" s="20"/>
      <c r="P1602" s="20"/>
      <c r="Q1602" s="19"/>
    </row>
    <row r="1603" customFormat="false" ht="15" hidden="false" customHeight="false" outlineLevel="0" collapsed="false">
      <c r="A1603" s="10" t="n">
        <v>1597</v>
      </c>
      <c r="B1603" s="12" t="s">
        <v>2503</v>
      </c>
      <c r="C1603" s="12" t="s">
        <v>2504</v>
      </c>
      <c r="D1603" s="13"/>
      <c r="E1603" s="14"/>
      <c r="F1603" s="15" t="str">
        <f aca="false">IF(D1603="","",ROUND((D1603-MIN($D$7:$D$9999))*86400,2))</f>
        <v/>
      </c>
      <c r="G1603" s="10" t="str">
        <f aca="false">IF(D1603="","",IF(D1603&lt;=($E$3*60+$F$3)/86400,"○",""))</f>
        <v/>
      </c>
      <c r="H1603" s="16" t="n">
        <v>0.00716782407407407</v>
      </c>
      <c r="I1603" s="17" t="n">
        <v>505</v>
      </c>
      <c r="J1603" s="16"/>
      <c r="K1603" s="17"/>
      <c r="L1603" s="17" t="n">
        <f aca="false">COUNT(E1603,I1603,K1603)</f>
        <v>1</v>
      </c>
      <c r="M1603" s="18" t="n">
        <f aca="false">(D1603&lt;&gt;"")*(D1603&lt;=($E$3*60+$F$3)/86400)+(H1603&lt;&gt;"")*(H1603&lt;=($I$3*60+$J$3)/86400)+(J1603&lt;&gt;"")*(J1603&lt;=($M$3*60+$N$3)/86400)</f>
        <v>0</v>
      </c>
      <c r="N1603" s="20"/>
      <c r="O1603" s="20"/>
      <c r="P1603" s="20"/>
      <c r="Q1603" s="19"/>
    </row>
    <row r="1604" customFormat="false" ht="15" hidden="false" customHeight="false" outlineLevel="0" collapsed="false">
      <c r="A1604" s="10" t="n">
        <v>1598</v>
      </c>
      <c r="B1604" s="12" t="s">
        <v>2505</v>
      </c>
      <c r="C1604" s="12" t="s">
        <v>1877</v>
      </c>
      <c r="D1604" s="13"/>
      <c r="E1604" s="14"/>
      <c r="F1604" s="15" t="str">
        <f aca="false">IF(D1604="","",ROUND((D1604-MIN($D$7:$D$9999))*86400,2))</f>
        <v/>
      </c>
      <c r="G1604" s="10" t="str">
        <f aca="false">IF(D1604="","",IF(D1604&lt;=($E$3*60+$F$3)/86400,"○",""))</f>
        <v/>
      </c>
      <c r="H1604" s="16" t="n">
        <v>0.00716886574074074</v>
      </c>
      <c r="I1604" s="17" t="n">
        <v>506</v>
      </c>
      <c r="J1604" s="16"/>
      <c r="K1604" s="17"/>
      <c r="L1604" s="17" t="n">
        <f aca="false">COUNT(E1604,I1604,K1604)</f>
        <v>1</v>
      </c>
      <c r="M1604" s="18" t="n">
        <f aca="false">(D1604&lt;&gt;"")*(D1604&lt;=($E$3*60+$F$3)/86400)+(H1604&lt;&gt;"")*(H1604&lt;=($I$3*60+$J$3)/86400)+(J1604&lt;&gt;"")*(J1604&lt;=($M$3*60+$N$3)/86400)</f>
        <v>0</v>
      </c>
      <c r="N1604" s="20"/>
      <c r="O1604" s="20"/>
      <c r="P1604" s="20"/>
      <c r="Q1604" s="19"/>
    </row>
    <row r="1605" customFormat="false" ht="15" hidden="false" customHeight="false" outlineLevel="0" collapsed="false">
      <c r="A1605" s="10" t="n">
        <v>1599</v>
      </c>
      <c r="B1605" s="12" t="s">
        <v>2506</v>
      </c>
      <c r="C1605" s="12" t="s">
        <v>875</v>
      </c>
      <c r="D1605" s="13"/>
      <c r="E1605" s="14"/>
      <c r="F1605" s="15" t="str">
        <f aca="false">IF(D1605="","",ROUND((D1605-MIN($D$7:$D$9999))*86400,2))</f>
        <v/>
      </c>
      <c r="G1605" s="10" t="str">
        <f aca="false">IF(D1605="","",IF(D1605&lt;=($E$3*60+$F$3)/86400,"○",""))</f>
        <v/>
      </c>
      <c r="H1605" s="16" t="n">
        <v>0.00716898148148148</v>
      </c>
      <c r="I1605" s="17" t="n">
        <v>507</v>
      </c>
      <c r="J1605" s="16"/>
      <c r="K1605" s="17"/>
      <c r="L1605" s="17" t="n">
        <f aca="false">COUNT(E1605,I1605,K1605)</f>
        <v>1</v>
      </c>
      <c r="M1605" s="18" t="n">
        <f aca="false">(D1605&lt;&gt;"")*(D1605&lt;=($E$3*60+$F$3)/86400)+(H1605&lt;&gt;"")*(H1605&lt;=($I$3*60+$J$3)/86400)+(J1605&lt;&gt;"")*(J1605&lt;=($M$3*60+$N$3)/86400)</f>
        <v>0</v>
      </c>
      <c r="N1605" s="20" t="s">
        <v>2507</v>
      </c>
      <c r="O1605" s="20"/>
      <c r="P1605" s="20"/>
      <c r="Q1605" s="19"/>
    </row>
    <row r="1606" customFormat="false" ht="15" hidden="false" customHeight="false" outlineLevel="0" collapsed="false">
      <c r="A1606" s="10" t="n">
        <v>1600</v>
      </c>
      <c r="B1606" s="12" t="s">
        <v>2508</v>
      </c>
      <c r="C1606" s="12" t="s">
        <v>2509</v>
      </c>
      <c r="D1606" s="13"/>
      <c r="E1606" s="14"/>
      <c r="F1606" s="15" t="str">
        <f aca="false">IF(D1606="","",ROUND((D1606-MIN($D$7:$D$9999))*86400,2))</f>
        <v/>
      </c>
      <c r="G1606" s="10" t="str">
        <f aca="false">IF(D1606="","",IF(D1606&lt;=($E$3*60+$F$3)/86400,"○",""))</f>
        <v/>
      </c>
      <c r="H1606" s="16" t="n">
        <v>0.00716898148148148</v>
      </c>
      <c r="I1606" s="17" t="n">
        <v>508</v>
      </c>
      <c r="J1606" s="16"/>
      <c r="K1606" s="17"/>
      <c r="L1606" s="17" t="n">
        <f aca="false">COUNT(E1606,I1606,K1606)</f>
        <v>1</v>
      </c>
      <c r="M1606" s="18" t="n">
        <f aca="false">(D1606&lt;&gt;"")*(D1606&lt;=($E$3*60+$F$3)/86400)+(H1606&lt;&gt;"")*(H1606&lt;=($I$3*60+$J$3)/86400)+(J1606&lt;&gt;"")*(J1606&lt;=($M$3*60+$N$3)/86400)</f>
        <v>0</v>
      </c>
      <c r="N1606" s="20"/>
      <c r="O1606" s="20"/>
      <c r="P1606" s="20"/>
      <c r="Q1606" s="19"/>
    </row>
    <row r="1607" customFormat="false" ht="15" hidden="false" customHeight="false" outlineLevel="0" collapsed="false">
      <c r="A1607" s="10" t="n">
        <v>1601</v>
      </c>
      <c r="B1607" s="12" t="s">
        <v>2510</v>
      </c>
      <c r="C1607" s="12" t="s">
        <v>161</v>
      </c>
      <c r="D1607" s="13"/>
      <c r="E1607" s="14"/>
      <c r="F1607" s="15" t="str">
        <f aca="false">IF(D1607="","",ROUND((D1607-MIN($D$7:$D$9999))*86400,2))</f>
        <v/>
      </c>
      <c r="G1607" s="10" t="str">
        <f aca="false">IF(D1607="","",IF(D1607&lt;=($E$3*60+$F$3)/86400,"○",""))</f>
        <v/>
      </c>
      <c r="H1607" s="16"/>
      <c r="I1607" s="17"/>
      <c r="J1607" s="16" t="n">
        <v>0.00284143518518519</v>
      </c>
      <c r="K1607" s="17" t="n">
        <v>510</v>
      </c>
      <c r="L1607" s="17" t="n">
        <f aca="false">COUNT(E1607,I1607,K1607)</f>
        <v>1</v>
      </c>
      <c r="M1607" s="18" t="n">
        <f aca="false">(D1607&lt;&gt;"")*(D1607&lt;=($E$3*60+$F$3)/86400)+(H1607&lt;&gt;"")*(H1607&lt;=($I$3*60+$J$3)/86400)+(J1607&lt;&gt;"")*(J1607&lt;=($M$3*60+$N$3)/86400)</f>
        <v>0</v>
      </c>
      <c r="N1607" s="20"/>
      <c r="O1607" s="20"/>
      <c r="P1607" s="20"/>
      <c r="Q1607" s="19"/>
    </row>
    <row r="1608" customFormat="false" ht="15" hidden="false" customHeight="false" outlineLevel="0" collapsed="false">
      <c r="A1608" s="10" t="n">
        <v>1602</v>
      </c>
      <c r="B1608" s="12" t="s">
        <v>2511</v>
      </c>
      <c r="C1608" s="12" t="s">
        <v>2512</v>
      </c>
      <c r="D1608" s="13"/>
      <c r="E1608" s="14"/>
      <c r="F1608" s="15" t="str">
        <f aca="false">IF(D1608="","",ROUND((D1608-MIN($D$7:$D$9999))*86400,2))</f>
        <v/>
      </c>
      <c r="G1608" s="10" t="str">
        <f aca="false">IF(D1608="","",IF(D1608&lt;=($E$3*60+$F$3)/86400,"○",""))</f>
        <v/>
      </c>
      <c r="H1608" s="16" t="n">
        <v>0.0071712962962963</v>
      </c>
      <c r="I1608" s="17" t="n">
        <v>511</v>
      </c>
      <c r="J1608" s="16"/>
      <c r="K1608" s="17"/>
      <c r="L1608" s="17" t="n">
        <f aca="false">COUNT(E1608,I1608,K1608)</f>
        <v>1</v>
      </c>
      <c r="M1608" s="18" t="n">
        <f aca="false">(D1608&lt;&gt;"")*(D1608&lt;=($E$3*60+$F$3)/86400)+(H1608&lt;&gt;"")*(H1608&lt;=($I$3*60+$J$3)/86400)+(J1608&lt;&gt;"")*(J1608&lt;=($M$3*60+$N$3)/86400)</f>
        <v>0</v>
      </c>
      <c r="N1608" s="20"/>
      <c r="O1608" s="20"/>
      <c r="P1608" s="20"/>
      <c r="Q1608" s="19"/>
    </row>
    <row r="1609" customFormat="false" ht="15" hidden="false" customHeight="false" outlineLevel="0" collapsed="false">
      <c r="A1609" s="10" t="n">
        <v>1603</v>
      </c>
      <c r="B1609" s="12" t="s">
        <v>2513</v>
      </c>
      <c r="C1609" s="12" t="s">
        <v>2514</v>
      </c>
      <c r="D1609" s="13"/>
      <c r="E1609" s="14"/>
      <c r="F1609" s="15" t="str">
        <f aca="false">IF(D1609="","",ROUND((D1609-MIN($D$7:$D$9999))*86400,2))</f>
        <v/>
      </c>
      <c r="G1609" s="10" t="str">
        <f aca="false">IF(D1609="","",IF(D1609&lt;=($E$3*60+$F$3)/86400,"○",""))</f>
        <v/>
      </c>
      <c r="H1609" s="16" t="n">
        <v>0.00752025462962963</v>
      </c>
      <c r="I1609" s="17" t="n">
        <v>919</v>
      </c>
      <c r="J1609" s="16" t="n">
        <v>0.00284224537037037</v>
      </c>
      <c r="K1609" s="17" t="n">
        <v>512</v>
      </c>
      <c r="L1609" s="17" t="n">
        <f aca="false">COUNT(E1609,I1609,K1609)</f>
        <v>2</v>
      </c>
      <c r="M1609" s="18" t="n">
        <f aca="false">(D1609&lt;&gt;"")*(D1609&lt;=($E$3*60+$F$3)/86400)+(H1609&lt;&gt;"")*(H1609&lt;=($I$3*60+$J$3)/86400)+(J1609&lt;&gt;"")*(J1609&lt;=($M$3*60+$N$3)/86400)</f>
        <v>0</v>
      </c>
      <c r="N1609" s="20"/>
      <c r="O1609" s="20"/>
      <c r="P1609" s="20"/>
      <c r="Q1609" s="19"/>
    </row>
    <row r="1610" customFormat="false" ht="15" hidden="false" customHeight="false" outlineLevel="0" collapsed="false">
      <c r="A1610" s="10" t="n">
        <v>1604</v>
      </c>
      <c r="B1610" s="12" t="s">
        <v>2515</v>
      </c>
      <c r="C1610" s="12" t="s">
        <v>1342</v>
      </c>
      <c r="D1610" s="13"/>
      <c r="E1610" s="14"/>
      <c r="F1610" s="15" t="str">
        <f aca="false">IF(D1610="","",ROUND((D1610-MIN($D$7:$D$9999))*86400,2))</f>
        <v/>
      </c>
      <c r="G1610" s="10" t="str">
        <f aca="false">IF(D1610="","",IF(D1610&lt;=($E$3*60+$F$3)/86400,"○",""))</f>
        <v/>
      </c>
      <c r="H1610" s="16" t="n">
        <v>0.00717604166666667</v>
      </c>
      <c r="I1610" s="17" t="n">
        <v>513</v>
      </c>
      <c r="J1610" s="16"/>
      <c r="K1610" s="17"/>
      <c r="L1610" s="17" t="n">
        <f aca="false">COUNT(E1610,I1610,K1610)</f>
        <v>1</v>
      </c>
      <c r="M1610" s="18" t="n">
        <f aca="false">(D1610&lt;&gt;"")*(D1610&lt;=($E$3*60+$F$3)/86400)+(H1610&lt;&gt;"")*(H1610&lt;=($I$3*60+$J$3)/86400)+(J1610&lt;&gt;"")*(J1610&lt;=($M$3*60+$N$3)/86400)</f>
        <v>0</v>
      </c>
      <c r="N1610" s="20"/>
      <c r="O1610" s="20"/>
      <c r="P1610" s="20"/>
      <c r="Q1610" s="19"/>
    </row>
    <row r="1611" customFormat="false" ht="15" hidden="false" customHeight="false" outlineLevel="0" collapsed="false">
      <c r="A1611" s="10" t="n">
        <v>1605</v>
      </c>
      <c r="B1611" s="12" t="s">
        <v>2516</v>
      </c>
      <c r="C1611" s="12" t="s">
        <v>2517</v>
      </c>
      <c r="D1611" s="13"/>
      <c r="E1611" s="14"/>
      <c r="F1611" s="15" t="str">
        <f aca="false">IF(D1611="","",ROUND((D1611-MIN($D$7:$D$9999))*86400,2))</f>
        <v/>
      </c>
      <c r="G1611" s="10" t="str">
        <f aca="false">IF(D1611="","",IF(D1611&lt;=($E$3*60+$F$3)/86400,"○",""))</f>
        <v/>
      </c>
      <c r="H1611" s="16" t="n">
        <v>0.0071775462962963</v>
      </c>
      <c r="I1611" s="17" t="n">
        <v>514</v>
      </c>
      <c r="J1611" s="16"/>
      <c r="K1611" s="17"/>
      <c r="L1611" s="17" t="n">
        <f aca="false">COUNT(E1611,I1611,K1611)</f>
        <v>1</v>
      </c>
      <c r="M1611" s="18" t="n">
        <f aca="false">(D1611&lt;&gt;"")*(D1611&lt;=($E$3*60+$F$3)/86400)+(H1611&lt;&gt;"")*(H1611&lt;=($I$3*60+$J$3)/86400)+(J1611&lt;&gt;"")*(J1611&lt;=($M$3*60+$N$3)/86400)</f>
        <v>0</v>
      </c>
      <c r="N1611" s="20"/>
      <c r="O1611" s="20"/>
      <c r="P1611" s="20"/>
      <c r="Q1611" s="19"/>
    </row>
    <row r="1612" customFormat="false" ht="15" hidden="false" customHeight="false" outlineLevel="0" collapsed="false">
      <c r="A1612" s="10" t="n">
        <v>1606</v>
      </c>
      <c r="B1612" s="12" t="s">
        <v>2518</v>
      </c>
      <c r="C1612" s="12" t="s">
        <v>262</v>
      </c>
      <c r="D1612" s="13"/>
      <c r="E1612" s="14"/>
      <c r="F1612" s="15" t="str">
        <f aca="false">IF(D1612="","",ROUND((D1612-MIN($D$7:$D$9999))*86400,2))</f>
        <v/>
      </c>
      <c r="G1612" s="10" t="str">
        <f aca="false">IF(D1612="","",IF(D1612&lt;=($E$3*60+$F$3)/86400,"○",""))</f>
        <v/>
      </c>
      <c r="H1612" s="16" t="n">
        <v>0.00717858796296296</v>
      </c>
      <c r="I1612" s="17" t="n">
        <v>515</v>
      </c>
      <c r="J1612" s="16"/>
      <c r="K1612" s="17"/>
      <c r="L1612" s="17" t="n">
        <f aca="false">COUNT(E1612,I1612,K1612)</f>
        <v>1</v>
      </c>
      <c r="M1612" s="18" t="n">
        <f aca="false">(D1612&lt;&gt;"")*(D1612&lt;=($E$3*60+$F$3)/86400)+(H1612&lt;&gt;"")*(H1612&lt;=($I$3*60+$J$3)/86400)+(J1612&lt;&gt;"")*(J1612&lt;=($M$3*60+$N$3)/86400)</f>
        <v>0</v>
      </c>
      <c r="N1612" s="20"/>
      <c r="O1612" s="20"/>
      <c r="P1612" s="20"/>
      <c r="Q1612" s="19"/>
    </row>
    <row r="1613" customFormat="false" ht="15" hidden="false" customHeight="false" outlineLevel="0" collapsed="false">
      <c r="A1613" s="10" t="n">
        <v>1607</v>
      </c>
      <c r="B1613" s="12" t="s">
        <v>2519</v>
      </c>
      <c r="C1613" s="12" t="s">
        <v>2520</v>
      </c>
      <c r="D1613" s="13"/>
      <c r="E1613" s="14"/>
      <c r="F1613" s="15" t="str">
        <f aca="false">IF(D1613="","",ROUND((D1613-MIN($D$7:$D$9999))*86400,2))</f>
        <v/>
      </c>
      <c r="G1613" s="10" t="str">
        <f aca="false">IF(D1613="","",IF(D1613&lt;=($E$3*60+$F$3)/86400,"○",""))</f>
        <v/>
      </c>
      <c r="H1613" s="16" t="n">
        <v>0.00717962962962963</v>
      </c>
      <c r="I1613" s="17" t="n">
        <v>516</v>
      </c>
      <c r="J1613" s="16"/>
      <c r="K1613" s="17"/>
      <c r="L1613" s="17" t="n">
        <f aca="false">COUNT(E1613,I1613,K1613)</f>
        <v>1</v>
      </c>
      <c r="M1613" s="18" t="n">
        <f aca="false">(D1613&lt;&gt;"")*(D1613&lt;=($E$3*60+$F$3)/86400)+(H1613&lt;&gt;"")*(H1613&lt;=($I$3*60+$J$3)/86400)+(J1613&lt;&gt;"")*(J1613&lt;=($M$3*60+$N$3)/86400)</f>
        <v>0</v>
      </c>
      <c r="N1613" s="20"/>
      <c r="O1613" s="20"/>
      <c r="P1613" s="20"/>
      <c r="Q1613" s="19"/>
    </row>
    <row r="1614" customFormat="false" ht="15" hidden="false" customHeight="false" outlineLevel="0" collapsed="false">
      <c r="A1614" s="10" t="n">
        <v>1608</v>
      </c>
      <c r="B1614" s="12" t="s">
        <v>2521</v>
      </c>
      <c r="C1614" s="12" t="s">
        <v>2522</v>
      </c>
      <c r="D1614" s="13"/>
      <c r="E1614" s="14"/>
      <c r="F1614" s="15" t="str">
        <f aca="false">IF(D1614="","",ROUND((D1614-MIN($D$7:$D$9999))*86400,2))</f>
        <v/>
      </c>
      <c r="G1614" s="10" t="str">
        <f aca="false">IF(D1614="","",IF(D1614&lt;=($E$3*60+$F$3)/86400,"○",""))</f>
        <v/>
      </c>
      <c r="H1614" s="16" t="n">
        <v>0.00717974537037037</v>
      </c>
      <c r="I1614" s="17" t="n">
        <v>517</v>
      </c>
      <c r="J1614" s="16"/>
      <c r="K1614" s="17"/>
      <c r="L1614" s="17" t="n">
        <f aca="false">COUNT(E1614,I1614,K1614)</f>
        <v>1</v>
      </c>
      <c r="M1614" s="18" t="n">
        <f aca="false">(D1614&lt;&gt;"")*(D1614&lt;=($E$3*60+$F$3)/86400)+(H1614&lt;&gt;"")*(H1614&lt;=($I$3*60+$J$3)/86400)+(J1614&lt;&gt;"")*(J1614&lt;=($M$3*60+$N$3)/86400)</f>
        <v>0</v>
      </c>
      <c r="N1614" s="20"/>
      <c r="O1614" s="20"/>
      <c r="P1614" s="20"/>
      <c r="Q1614" s="19"/>
    </row>
    <row r="1615" customFormat="false" ht="15" hidden="false" customHeight="false" outlineLevel="0" collapsed="false">
      <c r="A1615" s="10" t="n">
        <v>1609</v>
      </c>
      <c r="B1615" s="12" t="s">
        <v>2523</v>
      </c>
      <c r="C1615" s="12" t="s">
        <v>2524</v>
      </c>
      <c r="D1615" s="13"/>
      <c r="E1615" s="14"/>
      <c r="F1615" s="15" t="str">
        <f aca="false">IF(D1615="","",ROUND((D1615-MIN($D$7:$D$9999))*86400,2))</f>
        <v/>
      </c>
      <c r="G1615" s="10" t="str">
        <f aca="false">IF(D1615="","",IF(D1615&lt;=($E$3*60+$F$3)/86400,"○",""))</f>
        <v/>
      </c>
      <c r="H1615" s="16" t="n">
        <v>0.00718020833333333</v>
      </c>
      <c r="I1615" s="17" t="n">
        <v>518</v>
      </c>
      <c r="J1615" s="16"/>
      <c r="K1615" s="17"/>
      <c r="L1615" s="17" t="n">
        <f aca="false">COUNT(E1615,I1615,K1615)</f>
        <v>1</v>
      </c>
      <c r="M1615" s="18" t="n">
        <f aca="false">(D1615&lt;&gt;"")*(D1615&lt;=($E$3*60+$F$3)/86400)+(H1615&lt;&gt;"")*(H1615&lt;=($I$3*60+$J$3)/86400)+(J1615&lt;&gt;"")*(J1615&lt;=($M$3*60+$N$3)/86400)</f>
        <v>0</v>
      </c>
      <c r="N1615" s="20"/>
      <c r="O1615" s="20"/>
      <c r="P1615" s="20"/>
      <c r="Q1615" s="19"/>
    </row>
    <row r="1616" customFormat="false" ht="15" hidden="false" customHeight="false" outlineLevel="0" collapsed="false">
      <c r="A1616" s="10" t="n">
        <v>1610</v>
      </c>
      <c r="B1616" s="12" t="s">
        <v>2525</v>
      </c>
      <c r="C1616" s="12" t="s">
        <v>2526</v>
      </c>
      <c r="D1616" s="13"/>
      <c r="E1616" s="14"/>
      <c r="F1616" s="15" t="str">
        <f aca="false">IF(D1616="","",ROUND((D1616-MIN($D$7:$D$9999))*86400,2))</f>
        <v/>
      </c>
      <c r="G1616" s="10" t="str">
        <f aca="false">IF(D1616="","",IF(D1616&lt;=($E$3*60+$F$3)/86400,"○",""))</f>
        <v/>
      </c>
      <c r="H1616" s="16" t="n">
        <v>0.00718032407407407</v>
      </c>
      <c r="I1616" s="17" t="n">
        <v>519</v>
      </c>
      <c r="J1616" s="16" t="n">
        <v>0.00292488425925926</v>
      </c>
      <c r="K1616" s="17" t="n">
        <v>1145</v>
      </c>
      <c r="L1616" s="17" t="n">
        <f aca="false">COUNT(E1616,I1616,K1616)</f>
        <v>2</v>
      </c>
      <c r="M1616" s="18" t="n">
        <f aca="false">(D1616&lt;&gt;"")*(D1616&lt;=($E$3*60+$F$3)/86400)+(H1616&lt;&gt;"")*(H1616&lt;=($I$3*60+$J$3)/86400)+(J1616&lt;&gt;"")*(J1616&lt;=($M$3*60+$N$3)/86400)</f>
        <v>0</v>
      </c>
      <c r="N1616" s="20"/>
      <c r="O1616" s="20"/>
      <c r="P1616" s="20"/>
      <c r="Q1616" s="19"/>
    </row>
    <row r="1617" customFormat="false" ht="15" hidden="false" customHeight="false" outlineLevel="0" collapsed="false">
      <c r="A1617" s="10" t="n">
        <v>1611</v>
      </c>
      <c r="B1617" s="12" t="s">
        <v>2527</v>
      </c>
      <c r="C1617" s="12" t="s">
        <v>2467</v>
      </c>
      <c r="D1617" s="13"/>
      <c r="E1617" s="14"/>
      <c r="F1617" s="15" t="str">
        <f aca="false">IF(D1617="","",ROUND((D1617-MIN($D$7:$D$9999))*86400,2))</f>
        <v/>
      </c>
      <c r="G1617" s="10" t="str">
        <f aca="false">IF(D1617="","",IF(D1617&lt;=($E$3*60+$F$3)/86400,"○",""))</f>
        <v/>
      </c>
      <c r="H1617" s="16" t="n">
        <v>0.0071806712962963</v>
      </c>
      <c r="I1617" s="17" t="n">
        <v>520</v>
      </c>
      <c r="J1617" s="16"/>
      <c r="K1617" s="17"/>
      <c r="L1617" s="17" t="n">
        <f aca="false">COUNT(E1617,I1617,K1617)</f>
        <v>1</v>
      </c>
      <c r="M1617" s="18" t="n">
        <f aca="false">(D1617&lt;&gt;"")*(D1617&lt;=($E$3*60+$F$3)/86400)+(H1617&lt;&gt;"")*(H1617&lt;=($I$3*60+$J$3)/86400)+(J1617&lt;&gt;"")*(J1617&lt;=($M$3*60+$N$3)/86400)</f>
        <v>0</v>
      </c>
      <c r="N1617" s="20"/>
      <c r="O1617" s="20"/>
      <c r="P1617" s="20"/>
      <c r="Q1617" s="19"/>
    </row>
    <row r="1618" customFormat="false" ht="15" hidden="false" customHeight="false" outlineLevel="0" collapsed="false">
      <c r="A1618" s="10" t="n">
        <v>1612</v>
      </c>
      <c r="B1618" s="12" t="s">
        <v>2528</v>
      </c>
      <c r="C1618" s="12" t="s">
        <v>1625</v>
      </c>
      <c r="D1618" s="13"/>
      <c r="E1618" s="14"/>
      <c r="F1618" s="15" t="str">
        <f aca="false">IF(D1618="","",ROUND((D1618-MIN($D$7:$D$9999))*86400,2))</f>
        <v/>
      </c>
      <c r="G1618" s="10" t="str">
        <f aca="false">IF(D1618="","",IF(D1618&lt;=($E$3*60+$F$3)/86400,"○",""))</f>
        <v/>
      </c>
      <c r="H1618" s="16" t="n">
        <v>0.00718287037037037</v>
      </c>
      <c r="I1618" s="17" t="n">
        <v>521</v>
      </c>
      <c r="J1618" s="16"/>
      <c r="K1618" s="17"/>
      <c r="L1618" s="17" t="n">
        <f aca="false">COUNT(E1618,I1618,K1618)</f>
        <v>1</v>
      </c>
      <c r="M1618" s="18" t="n">
        <f aca="false">(D1618&lt;&gt;"")*(D1618&lt;=($E$3*60+$F$3)/86400)+(H1618&lt;&gt;"")*(H1618&lt;=($I$3*60+$J$3)/86400)+(J1618&lt;&gt;"")*(J1618&lt;=($M$3*60+$N$3)/86400)</f>
        <v>0</v>
      </c>
      <c r="N1618" s="20"/>
      <c r="O1618" s="20"/>
      <c r="P1618" s="20"/>
      <c r="Q1618" s="19"/>
    </row>
    <row r="1619" customFormat="false" ht="15" hidden="false" customHeight="false" outlineLevel="0" collapsed="false">
      <c r="A1619" s="10" t="n">
        <v>1613</v>
      </c>
      <c r="B1619" s="12" t="s">
        <v>2529</v>
      </c>
      <c r="C1619" s="12" t="s">
        <v>2530</v>
      </c>
      <c r="D1619" s="13"/>
      <c r="E1619" s="14"/>
      <c r="F1619" s="15" t="str">
        <f aca="false">IF(D1619="","",ROUND((D1619-MIN($D$7:$D$9999))*86400,2))</f>
        <v/>
      </c>
      <c r="G1619" s="10" t="str">
        <f aca="false">IF(D1619="","",IF(D1619&lt;=($E$3*60+$F$3)/86400,"○",""))</f>
        <v/>
      </c>
      <c r="H1619" s="16" t="n">
        <v>0.00718333333333333</v>
      </c>
      <c r="I1619" s="17" t="n">
        <v>522</v>
      </c>
      <c r="J1619" s="16"/>
      <c r="K1619" s="17"/>
      <c r="L1619" s="17" t="n">
        <f aca="false">COUNT(E1619,I1619,K1619)</f>
        <v>1</v>
      </c>
      <c r="M1619" s="18" t="n">
        <f aca="false">(D1619&lt;&gt;"")*(D1619&lt;=($E$3*60+$F$3)/86400)+(H1619&lt;&gt;"")*(H1619&lt;=($I$3*60+$J$3)/86400)+(J1619&lt;&gt;"")*(J1619&lt;=($M$3*60+$N$3)/86400)</f>
        <v>0</v>
      </c>
      <c r="N1619" s="20"/>
      <c r="O1619" s="20"/>
      <c r="P1619" s="20"/>
      <c r="Q1619" s="19"/>
    </row>
    <row r="1620" customFormat="false" ht="15" hidden="false" customHeight="false" outlineLevel="0" collapsed="false">
      <c r="A1620" s="10" t="n">
        <v>1614</v>
      </c>
      <c r="B1620" s="12" t="s">
        <v>2531</v>
      </c>
      <c r="C1620" s="12" t="s">
        <v>2532</v>
      </c>
      <c r="D1620" s="13"/>
      <c r="E1620" s="14"/>
      <c r="F1620" s="15" t="str">
        <f aca="false">IF(D1620="","",ROUND((D1620-MIN($D$7:$D$9999))*86400,2))</f>
        <v/>
      </c>
      <c r="G1620" s="10" t="str">
        <f aca="false">IF(D1620="","",IF(D1620&lt;=($E$3*60+$F$3)/86400,"○",""))</f>
        <v/>
      </c>
      <c r="H1620" s="16" t="n">
        <v>0.00718472222222222</v>
      </c>
      <c r="I1620" s="17" t="n">
        <v>524</v>
      </c>
      <c r="J1620" s="16" t="n">
        <v>0.00292824074074074</v>
      </c>
      <c r="K1620" s="17" t="n">
        <v>1168</v>
      </c>
      <c r="L1620" s="17" t="n">
        <f aca="false">COUNT(E1620,I1620,K1620)</f>
        <v>2</v>
      </c>
      <c r="M1620" s="18" t="n">
        <f aca="false">(D1620&lt;&gt;"")*(D1620&lt;=($E$3*60+$F$3)/86400)+(H1620&lt;&gt;"")*(H1620&lt;=($I$3*60+$J$3)/86400)+(J1620&lt;&gt;"")*(J1620&lt;=($M$3*60+$N$3)/86400)</f>
        <v>0</v>
      </c>
      <c r="N1620" s="20"/>
      <c r="O1620" s="20"/>
      <c r="P1620" s="20"/>
      <c r="Q1620" s="19"/>
    </row>
    <row r="1621" customFormat="false" ht="15" hidden="false" customHeight="false" outlineLevel="0" collapsed="false">
      <c r="A1621" s="10" t="n">
        <v>1615</v>
      </c>
      <c r="B1621" s="12" t="s">
        <v>2533</v>
      </c>
      <c r="C1621" s="12" t="s">
        <v>2534</v>
      </c>
      <c r="D1621" s="13"/>
      <c r="E1621" s="14"/>
      <c r="F1621" s="15" t="str">
        <f aca="false">IF(D1621="","",ROUND((D1621-MIN($D$7:$D$9999))*86400,2))</f>
        <v/>
      </c>
      <c r="G1621" s="10" t="str">
        <f aca="false">IF(D1621="","",IF(D1621&lt;=($E$3*60+$F$3)/86400,"○",""))</f>
        <v/>
      </c>
      <c r="H1621" s="16" t="n">
        <v>0.00718715277777778</v>
      </c>
      <c r="I1621" s="17" t="n">
        <v>525</v>
      </c>
      <c r="J1621" s="16"/>
      <c r="K1621" s="17"/>
      <c r="L1621" s="17" t="n">
        <f aca="false">COUNT(E1621,I1621,K1621)</f>
        <v>1</v>
      </c>
      <c r="M1621" s="18" t="n">
        <f aca="false">(D1621&lt;&gt;"")*(D1621&lt;=($E$3*60+$F$3)/86400)+(H1621&lt;&gt;"")*(H1621&lt;=($I$3*60+$J$3)/86400)+(J1621&lt;&gt;"")*(J1621&lt;=($M$3*60+$N$3)/86400)</f>
        <v>0</v>
      </c>
      <c r="N1621" s="20"/>
      <c r="O1621" s="20"/>
      <c r="P1621" s="20"/>
      <c r="Q1621" s="19"/>
    </row>
    <row r="1622" customFormat="false" ht="15" hidden="false" customHeight="false" outlineLevel="0" collapsed="false">
      <c r="A1622" s="10" t="n">
        <v>1616</v>
      </c>
      <c r="B1622" s="12" t="s">
        <v>2535</v>
      </c>
      <c r="C1622" s="12" t="s">
        <v>1913</v>
      </c>
      <c r="D1622" s="13"/>
      <c r="E1622" s="14"/>
      <c r="F1622" s="15" t="str">
        <f aca="false">IF(D1622="","",ROUND((D1622-MIN($D$7:$D$9999))*86400,2))</f>
        <v/>
      </c>
      <c r="G1622" s="10" t="str">
        <f aca="false">IF(D1622="","",IF(D1622&lt;=($E$3*60+$F$3)/86400,"○",""))</f>
        <v/>
      </c>
      <c r="H1622" s="16"/>
      <c r="I1622" s="17"/>
      <c r="J1622" s="16" t="n">
        <v>0.00284386574074074</v>
      </c>
      <c r="K1622" s="17" t="n">
        <v>525</v>
      </c>
      <c r="L1622" s="17" t="n">
        <f aca="false">COUNT(E1622,I1622,K1622)</f>
        <v>1</v>
      </c>
      <c r="M1622" s="18" t="n">
        <f aca="false">(D1622&lt;&gt;"")*(D1622&lt;=($E$3*60+$F$3)/86400)+(H1622&lt;&gt;"")*(H1622&lt;=($I$3*60+$J$3)/86400)+(J1622&lt;&gt;"")*(J1622&lt;=($M$3*60+$N$3)/86400)</f>
        <v>0</v>
      </c>
      <c r="N1622" s="20"/>
      <c r="O1622" s="20"/>
      <c r="P1622" s="20"/>
      <c r="Q1622" s="19"/>
    </row>
    <row r="1623" customFormat="false" ht="15" hidden="false" customHeight="false" outlineLevel="0" collapsed="false">
      <c r="A1623" s="10" t="n">
        <v>1617</v>
      </c>
      <c r="B1623" s="12" t="s">
        <v>2536</v>
      </c>
      <c r="C1623" s="12" t="s">
        <v>824</v>
      </c>
      <c r="D1623" s="13"/>
      <c r="E1623" s="14"/>
      <c r="F1623" s="15" t="str">
        <f aca="false">IF(D1623="","",ROUND((D1623-MIN($D$7:$D$9999))*86400,2))</f>
        <v/>
      </c>
      <c r="G1623" s="10" t="str">
        <f aca="false">IF(D1623="","",IF(D1623&lt;=($E$3*60+$F$3)/86400,"○",""))</f>
        <v/>
      </c>
      <c r="H1623" s="16" t="n">
        <v>0.00718784722222222</v>
      </c>
      <c r="I1623" s="17" t="n">
        <v>526</v>
      </c>
      <c r="J1623" s="16"/>
      <c r="K1623" s="17"/>
      <c r="L1623" s="17" t="n">
        <f aca="false">COUNT(E1623,I1623,K1623)</f>
        <v>1</v>
      </c>
      <c r="M1623" s="18" t="n">
        <f aca="false">(D1623&lt;&gt;"")*(D1623&lt;=($E$3*60+$F$3)/86400)+(H1623&lt;&gt;"")*(H1623&lt;=($I$3*60+$J$3)/86400)+(J1623&lt;&gt;"")*(J1623&lt;=($M$3*60+$N$3)/86400)</f>
        <v>0</v>
      </c>
      <c r="N1623" s="20"/>
      <c r="O1623" s="20"/>
      <c r="P1623" s="20"/>
      <c r="Q1623" s="19"/>
    </row>
    <row r="1624" customFormat="false" ht="15" hidden="false" customHeight="false" outlineLevel="0" collapsed="false">
      <c r="A1624" s="10" t="n">
        <v>1618</v>
      </c>
      <c r="B1624" s="12" t="s">
        <v>2537</v>
      </c>
      <c r="C1624" s="12" t="s">
        <v>297</v>
      </c>
      <c r="D1624" s="13"/>
      <c r="E1624" s="14"/>
      <c r="F1624" s="15" t="str">
        <f aca="false">IF(D1624="","",ROUND((D1624-MIN($D$7:$D$9999))*86400,2))</f>
        <v/>
      </c>
      <c r="G1624" s="10" t="str">
        <f aca="false">IF(D1624="","",IF(D1624&lt;=($E$3*60+$F$3)/86400,"○",""))</f>
        <v/>
      </c>
      <c r="H1624" s="16" t="n">
        <v>0.00718831018518519</v>
      </c>
      <c r="I1624" s="17" t="n">
        <v>527</v>
      </c>
      <c r="J1624" s="16"/>
      <c r="K1624" s="17"/>
      <c r="L1624" s="17" t="n">
        <f aca="false">COUNT(E1624,I1624,K1624)</f>
        <v>1</v>
      </c>
      <c r="M1624" s="18" t="n">
        <f aca="false">(D1624&lt;&gt;"")*(D1624&lt;=($E$3*60+$F$3)/86400)+(H1624&lt;&gt;"")*(H1624&lt;=($I$3*60+$J$3)/86400)+(J1624&lt;&gt;"")*(J1624&lt;=($M$3*60+$N$3)/86400)</f>
        <v>0</v>
      </c>
      <c r="N1624" s="20"/>
      <c r="O1624" s="20"/>
      <c r="P1624" s="20"/>
      <c r="Q1624" s="19"/>
    </row>
    <row r="1625" customFormat="false" ht="15" hidden="false" customHeight="false" outlineLevel="0" collapsed="false">
      <c r="A1625" s="10" t="n">
        <v>1619</v>
      </c>
      <c r="B1625" s="12" t="s">
        <v>2538</v>
      </c>
      <c r="C1625" s="12" t="s">
        <v>1415</v>
      </c>
      <c r="D1625" s="13"/>
      <c r="E1625" s="14"/>
      <c r="F1625" s="15" t="str">
        <f aca="false">IF(D1625="","",ROUND((D1625-MIN($D$7:$D$9999))*86400,2))</f>
        <v/>
      </c>
      <c r="G1625" s="10" t="str">
        <f aca="false">IF(D1625="","",IF(D1625&lt;=($E$3*60+$F$3)/86400,"○",""))</f>
        <v/>
      </c>
      <c r="H1625" s="16" t="n">
        <v>0.00719085648148148</v>
      </c>
      <c r="I1625" s="17" t="n">
        <v>528</v>
      </c>
      <c r="J1625" s="16"/>
      <c r="K1625" s="17"/>
      <c r="L1625" s="17" t="n">
        <f aca="false">COUNT(E1625,I1625,K1625)</f>
        <v>1</v>
      </c>
      <c r="M1625" s="18" t="n">
        <f aca="false">(D1625&lt;&gt;"")*(D1625&lt;=($E$3*60+$F$3)/86400)+(H1625&lt;&gt;"")*(H1625&lt;=($I$3*60+$J$3)/86400)+(J1625&lt;&gt;"")*(J1625&lt;=($M$3*60+$N$3)/86400)</f>
        <v>0</v>
      </c>
      <c r="N1625" s="20"/>
      <c r="O1625" s="20"/>
      <c r="P1625" s="20"/>
      <c r="Q1625" s="19"/>
    </row>
    <row r="1626" customFormat="false" ht="15" hidden="false" customHeight="false" outlineLevel="0" collapsed="false">
      <c r="A1626" s="10" t="n">
        <v>1620</v>
      </c>
      <c r="B1626" s="12" t="s">
        <v>2539</v>
      </c>
      <c r="C1626" s="12" t="s">
        <v>204</v>
      </c>
      <c r="D1626" s="13"/>
      <c r="E1626" s="14"/>
      <c r="F1626" s="15" t="str">
        <f aca="false">IF(D1626="","",ROUND((D1626-MIN($D$7:$D$9999))*86400,2))</f>
        <v/>
      </c>
      <c r="G1626" s="10" t="str">
        <f aca="false">IF(D1626="","",IF(D1626&lt;=($E$3*60+$F$3)/86400,"○",""))</f>
        <v/>
      </c>
      <c r="H1626" s="16" t="n">
        <v>0.00719131944444445</v>
      </c>
      <c r="I1626" s="17" t="n">
        <v>530</v>
      </c>
      <c r="J1626" s="16"/>
      <c r="K1626" s="17"/>
      <c r="L1626" s="17" t="n">
        <f aca="false">COUNT(E1626,I1626,K1626)</f>
        <v>1</v>
      </c>
      <c r="M1626" s="18" t="n">
        <f aca="false">(D1626&lt;&gt;"")*(D1626&lt;=($E$3*60+$F$3)/86400)+(H1626&lt;&gt;"")*(H1626&lt;=($I$3*60+$J$3)/86400)+(J1626&lt;&gt;"")*(J1626&lt;=($M$3*60+$N$3)/86400)</f>
        <v>0</v>
      </c>
      <c r="N1626" s="20"/>
      <c r="O1626" s="20"/>
      <c r="P1626" s="20"/>
      <c r="Q1626" s="19"/>
    </row>
    <row r="1627" customFormat="false" ht="15" hidden="false" customHeight="false" outlineLevel="0" collapsed="false">
      <c r="A1627" s="10" t="n">
        <v>1621</v>
      </c>
      <c r="B1627" s="12" t="s">
        <v>2540</v>
      </c>
      <c r="C1627" s="12" t="s">
        <v>2541</v>
      </c>
      <c r="D1627" s="13"/>
      <c r="E1627" s="14"/>
      <c r="F1627" s="15" t="str">
        <f aca="false">IF(D1627="","",ROUND((D1627-MIN($D$7:$D$9999))*86400,2))</f>
        <v/>
      </c>
      <c r="G1627" s="10" t="str">
        <f aca="false">IF(D1627="","",IF(D1627&lt;=($E$3*60+$F$3)/86400,"○",""))</f>
        <v/>
      </c>
      <c r="H1627" s="16" t="n">
        <v>0.00719386574074074</v>
      </c>
      <c r="I1627" s="17" t="n">
        <v>532</v>
      </c>
      <c r="J1627" s="16"/>
      <c r="K1627" s="17"/>
      <c r="L1627" s="17" t="n">
        <f aca="false">COUNT(E1627,I1627,K1627)</f>
        <v>1</v>
      </c>
      <c r="M1627" s="18" t="n">
        <f aca="false">(D1627&lt;&gt;"")*(D1627&lt;=($E$3*60+$F$3)/86400)+(H1627&lt;&gt;"")*(H1627&lt;=($I$3*60+$J$3)/86400)+(J1627&lt;&gt;"")*(J1627&lt;=($M$3*60+$N$3)/86400)</f>
        <v>0</v>
      </c>
      <c r="N1627" s="20"/>
      <c r="O1627" s="20"/>
      <c r="P1627" s="20"/>
      <c r="Q1627" s="19"/>
    </row>
    <row r="1628" customFormat="false" ht="15" hidden="false" customHeight="false" outlineLevel="0" collapsed="false">
      <c r="A1628" s="10" t="n">
        <v>1622</v>
      </c>
      <c r="B1628" s="12" t="s">
        <v>2542</v>
      </c>
      <c r="C1628" s="12" t="s">
        <v>1515</v>
      </c>
      <c r="D1628" s="13"/>
      <c r="E1628" s="14"/>
      <c r="F1628" s="15" t="str">
        <f aca="false">IF(D1628="","",ROUND((D1628-MIN($D$7:$D$9999))*86400,2))</f>
        <v/>
      </c>
      <c r="G1628" s="10" t="str">
        <f aca="false">IF(D1628="","",IF(D1628&lt;=($E$3*60+$F$3)/86400,"○",""))</f>
        <v/>
      </c>
      <c r="H1628" s="16" t="n">
        <v>0.00719618055555556</v>
      </c>
      <c r="I1628" s="17" t="n">
        <v>533</v>
      </c>
      <c r="J1628" s="16"/>
      <c r="K1628" s="17"/>
      <c r="L1628" s="17" t="n">
        <f aca="false">COUNT(E1628,I1628,K1628)</f>
        <v>1</v>
      </c>
      <c r="M1628" s="18" t="n">
        <f aca="false">(D1628&lt;&gt;"")*(D1628&lt;=($E$3*60+$F$3)/86400)+(H1628&lt;&gt;"")*(H1628&lt;=($I$3*60+$J$3)/86400)+(J1628&lt;&gt;"")*(J1628&lt;=($M$3*60+$N$3)/86400)</f>
        <v>0</v>
      </c>
      <c r="N1628" s="20"/>
      <c r="O1628" s="20"/>
      <c r="P1628" s="20"/>
      <c r="Q1628" s="19"/>
    </row>
    <row r="1629" customFormat="false" ht="15" hidden="false" customHeight="false" outlineLevel="0" collapsed="false">
      <c r="A1629" s="10" t="n">
        <v>1623</v>
      </c>
      <c r="B1629" s="12" t="s">
        <v>2543</v>
      </c>
      <c r="C1629" s="12" t="s">
        <v>852</v>
      </c>
      <c r="D1629" s="13"/>
      <c r="E1629" s="14"/>
      <c r="F1629" s="15" t="str">
        <f aca="false">IF(D1629="","",ROUND((D1629-MIN($D$7:$D$9999))*86400,2))</f>
        <v/>
      </c>
      <c r="G1629" s="10" t="str">
        <f aca="false">IF(D1629="","",IF(D1629&lt;=($E$3*60+$F$3)/86400,"○",""))</f>
        <v/>
      </c>
      <c r="H1629" s="16" t="n">
        <v>0.00719768518518519</v>
      </c>
      <c r="I1629" s="17" t="n">
        <v>534</v>
      </c>
      <c r="J1629" s="16"/>
      <c r="K1629" s="17"/>
      <c r="L1629" s="17" t="n">
        <f aca="false">COUNT(E1629,I1629,K1629)</f>
        <v>1</v>
      </c>
      <c r="M1629" s="18" t="n">
        <f aca="false">(D1629&lt;&gt;"")*(D1629&lt;=($E$3*60+$F$3)/86400)+(H1629&lt;&gt;"")*(H1629&lt;=($I$3*60+$J$3)/86400)+(J1629&lt;&gt;"")*(J1629&lt;=($M$3*60+$N$3)/86400)</f>
        <v>0</v>
      </c>
      <c r="N1629" s="20"/>
      <c r="O1629" s="20"/>
      <c r="P1629" s="20"/>
      <c r="Q1629" s="19"/>
    </row>
    <row r="1630" customFormat="false" ht="15" hidden="false" customHeight="false" outlineLevel="0" collapsed="false">
      <c r="A1630" s="10" t="n">
        <v>1624</v>
      </c>
      <c r="B1630" s="12" t="s">
        <v>2544</v>
      </c>
      <c r="C1630" s="12" t="s">
        <v>397</v>
      </c>
      <c r="D1630" s="13"/>
      <c r="E1630" s="14"/>
      <c r="F1630" s="15" t="str">
        <f aca="false">IF(D1630="","",ROUND((D1630-MIN($D$7:$D$9999))*86400,2))</f>
        <v/>
      </c>
      <c r="G1630" s="10" t="str">
        <f aca="false">IF(D1630="","",IF(D1630&lt;=($E$3*60+$F$3)/86400,"○",""))</f>
        <v/>
      </c>
      <c r="H1630" s="16" t="n">
        <v>0.00719884259259259</v>
      </c>
      <c r="I1630" s="17" t="n">
        <v>535</v>
      </c>
      <c r="J1630" s="16"/>
      <c r="K1630" s="17"/>
      <c r="L1630" s="17" t="n">
        <f aca="false">COUNT(E1630,I1630,K1630)</f>
        <v>1</v>
      </c>
      <c r="M1630" s="18" t="n">
        <f aca="false">(D1630&lt;&gt;"")*(D1630&lt;=($E$3*60+$F$3)/86400)+(H1630&lt;&gt;"")*(H1630&lt;=($I$3*60+$J$3)/86400)+(J1630&lt;&gt;"")*(J1630&lt;=($M$3*60+$N$3)/86400)</f>
        <v>0</v>
      </c>
      <c r="N1630" s="20"/>
      <c r="O1630" s="20"/>
      <c r="P1630" s="20"/>
      <c r="Q1630" s="19"/>
    </row>
    <row r="1631" customFormat="false" ht="15" hidden="false" customHeight="false" outlineLevel="0" collapsed="false">
      <c r="A1631" s="10" t="n">
        <v>1625</v>
      </c>
      <c r="B1631" s="12" t="s">
        <v>2545</v>
      </c>
      <c r="C1631" s="12" t="s">
        <v>2546</v>
      </c>
      <c r="D1631" s="13"/>
      <c r="E1631" s="14"/>
      <c r="F1631" s="15" t="str">
        <f aca="false">IF(D1631="","",ROUND((D1631-MIN($D$7:$D$9999))*86400,2))</f>
        <v/>
      </c>
      <c r="G1631" s="10" t="str">
        <f aca="false">IF(D1631="","",IF(D1631&lt;=($E$3*60+$F$3)/86400,"○",""))</f>
        <v/>
      </c>
      <c r="H1631" s="16" t="n">
        <v>0.00719988425925926</v>
      </c>
      <c r="I1631" s="17" t="n">
        <v>536</v>
      </c>
      <c r="J1631" s="16"/>
      <c r="K1631" s="17"/>
      <c r="L1631" s="17" t="n">
        <f aca="false">COUNT(E1631,I1631,K1631)</f>
        <v>1</v>
      </c>
      <c r="M1631" s="18" t="n">
        <f aca="false">(D1631&lt;&gt;"")*(D1631&lt;=($E$3*60+$F$3)/86400)+(H1631&lt;&gt;"")*(H1631&lt;=($I$3*60+$J$3)/86400)+(J1631&lt;&gt;"")*(J1631&lt;=($M$3*60+$N$3)/86400)</f>
        <v>0</v>
      </c>
      <c r="N1631" s="20"/>
      <c r="O1631" s="20"/>
      <c r="P1631" s="20"/>
      <c r="Q1631" s="19"/>
    </row>
    <row r="1632" customFormat="false" ht="15" hidden="false" customHeight="false" outlineLevel="0" collapsed="false">
      <c r="A1632" s="10" t="n">
        <v>1626</v>
      </c>
      <c r="B1632" s="12" t="s">
        <v>2547</v>
      </c>
      <c r="C1632" s="12" t="s">
        <v>415</v>
      </c>
      <c r="D1632" s="13"/>
      <c r="E1632" s="14"/>
      <c r="F1632" s="15" t="str">
        <f aca="false">IF(D1632="","",ROUND((D1632-MIN($D$7:$D$9999))*86400,2))</f>
        <v/>
      </c>
      <c r="G1632" s="10" t="str">
        <f aca="false">IF(D1632="","",IF(D1632&lt;=($E$3*60+$F$3)/86400,"○",""))</f>
        <v/>
      </c>
      <c r="H1632" s="16"/>
      <c r="I1632" s="17"/>
      <c r="J1632" s="16" t="n">
        <v>0.00284490740740741</v>
      </c>
      <c r="K1632" s="17" t="n">
        <v>536</v>
      </c>
      <c r="L1632" s="17" t="n">
        <f aca="false">COUNT(E1632,I1632,K1632)</f>
        <v>1</v>
      </c>
      <c r="M1632" s="18" t="n">
        <f aca="false">(D1632&lt;&gt;"")*(D1632&lt;=($E$3*60+$F$3)/86400)+(H1632&lt;&gt;"")*(H1632&lt;=($I$3*60+$J$3)/86400)+(J1632&lt;&gt;"")*(J1632&lt;=($M$3*60+$N$3)/86400)</f>
        <v>0</v>
      </c>
      <c r="N1632" s="20"/>
      <c r="O1632" s="20"/>
      <c r="P1632" s="20"/>
      <c r="Q1632" s="19"/>
    </row>
    <row r="1633" customFormat="false" ht="15" hidden="false" customHeight="false" outlineLevel="0" collapsed="false">
      <c r="A1633" s="10" t="n">
        <v>1627</v>
      </c>
      <c r="B1633" s="12" t="s">
        <v>2548</v>
      </c>
      <c r="C1633" s="12" t="s">
        <v>2182</v>
      </c>
      <c r="D1633" s="13"/>
      <c r="E1633" s="14"/>
      <c r="F1633" s="15" t="str">
        <f aca="false">IF(D1633="","",ROUND((D1633-MIN($D$7:$D$9999))*86400,2))</f>
        <v/>
      </c>
      <c r="G1633" s="10" t="str">
        <f aca="false">IF(D1633="","",IF(D1633&lt;=($E$3*60+$F$3)/86400,"○",""))</f>
        <v/>
      </c>
      <c r="H1633" s="16" t="n">
        <v>0.00720092592592593</v>
      </c>
      <c r="I1633" s="17" t="n">
        <v>537</v>
      </c>
      <c r="J1633" s="16"/>
      <c r="K1633" s="17"/>
      <c r="L1633" s="17" t="n">
        <f aca="false">COUNT(E1633,I1633,K1633)</f>
        <v>1</v>
      </c>
      <c r="M1633" s="18" t="n">
        <f aca="false">(D1633&lt;&gt;"")*(D1633&lt;=($E$3*60+$F$3)/86400)+(H1633&lt;&gt;"")*(H1633&lt;=($I$3*60+$J$3)/86400)+(J1633&lt;&gt;"")*(J1633&lt;=($M$3*60+$N$3)/86400)</f>
        <v>0</v>
      </c>
      <c r="N1633" s="20"/>
      <c r="O1633" s="20"/>
      <c r="P1633" s="20"/>
      <c r="Q1633" s="19"/>
    </row>
    <row r="1634" customFormat="false" ht="15" hidden="false" customHeight="false" outlineLevel="0" collapsed="false">
      <c r="A1634" s="10" t="n">
        <v>1628</v>
      </c>
      <c r="B1634" s="12" t="s">
        <v>2549</v>
      </c>
      <c r="C1634" s="12" t="s">
        <v>561</v>
      </c>
      <c r="D1634" s="13"/>
      <c r="E1634" s="14"/>
      <c r="F1634" s="15" t="str">
        <f aca="false">IF(D1634="","",ROUND((D1634-MIN($D$7:$D$9999))*86400,2))</f>
        <v/>
      </c>
      <c r="G1634" s="10" t="str">
        <f aca="false">IF(D1634="","",IF(D1634&lt;=($E$3*60+$F$3)/86400,"○",""))</f>
        <v/>
      </c>
      <c r="H1634" s="16"/>
      <c r="I1634" s="17"/>
      <c r="J1634" s="16" t="n">
        <v>0.00284513888888889</v>
      </c>
      <c r="K1634" s="17" t="n">
        <v>537</v>
      </c>
      <c r="L1634" s="17" t="n">
        <f aca="false">COUNT(E1634,I1634,K1634)</f>
        <v>1</v>
      </c>
      <c r="M1634" s="18" t="n">
        <f aca="false">(D1634&lt;&gt;"")*(D1634&lt;=($E$3*60+$F$3)/86400)+(H1634&lt;&gt;"")*(H1634&lt;=($I$3*60+$J$3)/86400)+(J1634&lt;&gt;"")*(J1634&lt;=($M$3*60+$N$3)/86400)</f>
        <v>0</v>
      </c>
      <c r="N1634" s="20"/>
      <c r="O1634" s="20"/>
      <c r="P1634" s="20"/>
      <c r="Q1634" s="19"/>
    </row>
    <row r="1635" customFormat="false" ht="15" hidden="false" customHeight="false" outlineLevel="0" collapsed="false">
      <c r="A1635" s="10" t="n">
        <v>1629</v>
      </c>
      <c r="B1635" s="12" t="s">
        <v>2550</v>
      </c>
      <c r="C1635" s="12" t="s">
        <v>561</v>
      </c>
      <c r="D1635" s="13"/>
      <c r="E1635" s="14"/>
      <c r="F1635" s="15" t="str">
        <f aca="false">IF(D1635="","",ROUND((D1635-MIN($D$7:$D$9999))*86400,2))</f>
        <v/>
      </c>
      <c r="G1635" s="10" t="str">
        <f aca="false">IF(D1635="","",IF(D1635&lt;=($E$3*60+$F$3)/86400,"○",""))</f>
        <v/>
      </c>
      <c r="H1635" s="16" t="n">
        <v>0.00720127314814815</v>
      </c>
      <c r="I1635" s="17" t="n">
        <v>538</v>
      </c>
      <c r="J1635" s="16" t="n">
        <v>0.0029755787037037</v>
      </c>
      <c r="K1635" s="17" t="n">
        <v>1329</v>
      </c>
      <c r="L1635" s="17" t="n">
        <f aca="false">COUNT(E1635,I1635,K1635)</f>
        <v>2</v>
      </c>
      <c r="M1635" s="18" t="n">
        <f aca="false">(D1635&lt;&gt;"")*(D1635&lt;=($E$3*60+$F$3)/86400)+(H1635&lt;&gt;"")*(H1635&lt;=($I$3*60+$J$3)/86400)+(J1635&lt;&gt;"")*(J1635&lt;=($M$3*60+$N$3)/86400)</f>
        <v>0</v>
      </c>
      <c r="N1635" s="20"/>
      <c r="O1635" s="20"/>
      <c r="P1635" s="20"/>
      <c r="Q1635" s="19"/>
    </row>
    <row r="1636" customFormat="false" ht="15" hidden="false" customHeight="false" outlineLevel="0" collapsed="false">
      <c r="A1636" s="10" t="n">
        <v>1630</v>
      </c>
      <c r="B1636" s="12" t="s">
        <v>2551</v>
      </c>
      <c r="C1636" s="12" t="s">
        <v>1843</v>
      </c>
      <c r="D1636" s="13"/>
      <c r="E1636" s="14"/>
      <c r="F1636" s="15" t="str">
        <f aca="false">IF(D1636="","",ROUND((D1636-MIN($D$7:$D$9999))*86400,2))</f>
        <v/>
      </c>
      <c r="G1636" s="10" t="str">
        <f aca="false">IF(D1636="","",IF(D1636&lt;=($E$3*60+$F$3)/86400,"○",""))</f>
        <v/>
      </c>
      <c r="H1636" s="16" t="n">
        <v>0.00720127314814815</v>
      </c>
      <c r="I1636" s="17" t="n">
        <v>539</v>
      </c>
      <c r="J1636" s="16"/>
      <c r="K1636" s="17"/>
      <c r="L1636" s="17" t="n">
        <f aca="false">COUNT(E1636,I1636,K1636)</f>
        <v>1</v>
      </c>
      <c r="M1636" s="18" t="n">
        <f aca="false">(D1636&lt;&gt;"")*(D1636&lt;=($E$3*60+$F$3)/86400)+(H1636&lt;&gt;"")*(H1636&lt;=($I$3*60+$J$3)/86400)+(J1636&lt;&gt;"")*(J1636&lt;=($M$3*60+$N$3)/86400)</f>
        <v>0</v>
      </c>
      <c r="N1636" s="20"/>
      <c r="O1636" s="20"/>
      <c r="P1636" s="20"/>
      <c r="Q1636" s="19"/>
    </row>
    <row r="1637" customFormat="false" ht="15" hidden="false" customHeight="false" outlineLevel="0" collapsed="false">
      <c r="A1637" s="10" t="n">
        <v>1631</v>
      </c>
      <c r="B1637" s="12" t="s">
        <v>2552</v>
      </c>
      <c r="C1637" s="12" t="s">
        <v>2553</v>
      </c>
      <c r="D1637" s="13"/>
      <c r="E1637" s="14"/>
      <c r="F1637" s="15" t="str">
        <f aca="false">IF(D1637="","",ROUND((D1637-MIN($D$7:$D$9999))*86400,2))</f>
        <v/>
      </c>
      <c r="G1637" s="10" t="str">
        <f aca="false">IF(D1637="","",IF(D1637&lt;=($E$3*60+$F$3)/86400,"○",""))</f>
        <v/>
      </c>
      <c r="H1637" s="16" t="n">
        <v>0.00720138888888889</v>
      </c>
      <c r="I1637" s="17" t="n">
        <v>540</v>
      </c>
      <c r="J1637" s="16"/>
      <c r="K1637" s="17"/>
      <c r="L1637" s="17" t="n">
        <f aca="false">COUNT(E1637,I1637,K1637)</f>
        <v>1</v>
      </c>
      <c r="M1637" s="18" t="n">
        <f aca="false">(D1637&lt;&gt;"")*(D1637&lt;=($E$3*60+$F$3)/86400)+(H1637&lt;&gt;"")*(H1637&lt;=($I$3*60+$J$3)/86400)+(J1637&lt;&gt;"")*(J1637&lt;=($M$3*60+$N$3)/86400)</f>
        <v>0</v>
      </c>
      <c r="N1637" s="20"/>
      <c r="O1637" s="20"/>
      <c r="P1637" s="20"/>
      <c r="Q1637" s="19"/>
    </row>
    <row r="1638" customFormat="false" ht="15" hidden="false" customHeight="false" outlineLevel="0" collapsed="false">
      <c r="A1638" s="10" t="n">
        <v>1632</v>
      </c>
      <c r="B1638" s="12" t="s">
        <v>2554</v>
      </c>
      <c r="C1638" s="12" t="s">
        <v>2555</v>
      </c>
      <c r="D1638" s="13"/>
      <c r="E1638" s="14"/>
      <c r="F1638" s="15" t="str">
        <f aca="false">IF(D1638="","",ROUND((D1638-MIN($D$7:$D$9999))*86400,2))</f>
        <v/>
      </c>
      <c r="G1638" s="10" t="str">
        <f aca="false">IF(D1638="","",IF(D1638&lt;=($E$3*60+$F$3)/86400,"○",""))</f>
        <v/>
      </c>
      <c r="H1638" s="16"/>
      <c r="I1638" s="17"/>
      <c r="J1638" s="16" t="n">
        <v>0.00284594907407407</v>
      </c>
      <c r="K1638" s="17" t="n">
        <v>540</v>
      </c>
      <c r="L1638" s="17" t="n">
        <f aca="false">COUNT(E1638,I1638,K1638)</f>
        <v>1</v>
      </c>
      <c r="M1638" s="18" t="n">
        <f aca="false">(D1638&lt;&gt;"")*(D1638&lt;=($E$3*60+$F$3)/86400)+(H1638&lt;&gt;"")*(H1638&lt;=($I$3*60+$J$3)/86400)+(J1638&lt;&gt;"")*(J1638&lt;=($M$3*60+$N$3)/86400)</f>
        <v>0</v>
      </c>
      <c r="N1638" s="20"/>
      <c r="O1638" s="20"/>
      <c r="P1638" s="20"/>
      <c r="Q1638" s="19"/>
    </row>
    <row r="1639" customFormat="false" ht="15" hidden="false" customHeight="false" outlineLevel="0" collapsed="false">
      <c r="A1639" s="10" t="n">
        <v>1633</v>
      </c>
      <c r="B1639" s="12" t="s">
        <v>2556</v>
      </c>
      <c r="C1639" s="12" t="s">
        <v>2557</v>
      </c>
      <c r="D1639" s="13"/>
      <c r="E1639" s="14"/>
      <c r="F1639" s="15" t="str">
        <f aca="false">IF(D1639="","",ROUND((D1639-MIN($D$7:$D$9999))*86400,2))</f>
        <v/>
      </c>
      <c r="G1639" s="10" t="str">
        <f aca="false">IF(D1639="","",IF(D1639&lt;=($E$3*60+$F$3)/86400,"○",""))</f>
        <v/>
      </c>
      <c r="H1639" s="16"/>
      <c r="I1639" s="17"/>
      <c r="J1639" s="16" t="n">
        <v>0.00284606481481482</v>
      </c>
      <c r="K1639" s="17" t="n">
        <v>541</v>
      </c>
      <c r="L1639" s="17" t="n">
        <f aca="false">COUNT(E1639,I1639,K1639)</f>
        <v>1</v>
      </c>
      <c r="M1639" s="18" t="n">
        <f aca="false">(D1639&lt;&gt;"")*(D1639&lt;=($E$3*60+$F$3)/86400)+(H1639&lt;&gt;"")*(H1639&lt;=($I$3*60+$J$3)/86400)+(J1639&lt;&gt;"")*(J1639&lt;=($M$3*60+$N$3)/86400)</f>
        <v>0</v>
      </c>
      <c r="N1639" s="20"/>
      <c r="O1639" s="20"/>
      <c r="P1639" s="20"/>
      <c r="Q1639" s="19"/>
    </row>
    <row r="1640" customFormat="false" ht="15" hidden="false" customHeight="false" outlineLevel="0" collapsed="false">
      <c r="A1640" s="10" t="n">
        <v>1634</v>
      </c>
      <c r="B1640" s="12" t="s">
        <v>2558</v>
      </c>
      <c r="C1640" s="12" t="s">
        <v>1510</v>
      </c>
      <c r="D1640" s="13"/>
      <c r="E1640" s="14"/>
      <c r="F1640" s="15" t="str">
        <f aca="false">IF(D1640="","",ROUND((D1640-MIN($D$7:$D$9999))*86400,2))</f>
        <v/>
      </c>
      <c r="G1640" s="10" t="str">
        <f aca="false">IF(D1640="","",IF(D1640&lt;=($E$3*60+$F$3)/86400,"○",""))</f>
        <v/>
      </c>
      <c r="H1640" s="16" t="n">
        <v>0.00720474537037037</v>
      </c>
      <c r="I1640" s="17" t="n">
        <v>542</v>
      </c>
      <c r="J1640" s="16" t="n">
        <v>0.00292210648148148</v>
      </c>
      <c r="K1640" s="17" t="n">
        <v>1114</v>
      </c>
      <c r="L1640" s="17" t="n">
        <f aca="false">COUNT(E1640,I1640,K1640)</f>
        <v>2</v>
      </c>
      <c r="M1640" s="18" t="n">
        <f aca="false">(D1640&lt;&gt;"")*(D1640&lt;=($E$3*60+$F$3)/86400)+(H1640&lt;&gt;"")*(H1640&lt;=($I$3*60+$J$3)/86400)+(J1640&lt;&gt;"")*(J1640&lt;=($M$3*60+$N$3)/86400)</f>
        <v>0</v>
      </c>
      <c r="N1640" s="20"/>
      <c r="O1640" s="20"/>
      <c r="P1640" s="20"/>
      <c r="Q1640" s="19"/>
    </row>
    <row r="1641" customFormat="false" ht="15" hidden="false" customHeight="false" outlineLevel="0" collapsed="false">
      <c r="A1641" s="10" t="n">
        <v>1635</v>
      </c>
      <c r="B1641" s="12" t="s">
        <v>2559</v>
      </c>
      <c r="C1641" s="12" t="s">
        <v>2560</v>
      </c>
      <c r="D1641" s="13"/>
      <c r="E1641" s="14"/>
      <c r="F1641" s="15" t="str">
        <f aca="false">IF(D1641="","",ROUND((D1641-MIN($D$7:$D$9999))*86400,2))</f>
        <v/>
      </c>
      <c r="G1641" s="10" t="str">
        <f aca="false">IF(D1641="","",IF(D1641&lt;=($E$3*60+$F$3)/86400,"○",""))</f>
        <v/>
      </c>
      <c r="H1641" s="16" t="n">
        <v>0.00720555555555556</v>
      </c>
      <c r="I1641" s="17" t="n">
        <v>543</v>
      </c>
      <c r="J1641" s="16"/>
      <c r="K1641" s="17"/>
      <c r="L1641" s="17" t="n">
        <f aca="false">COUNT(E1641,I1641,K1641)</f>
        <v>1</v>
      </c>
      <c r="M1641" s="18" t="n">
        <f aca="false">(D1641&lt;&gt;"")*(D1641&lt;=($E$3*60+$F$3)/86400)+(H1641&lt;&gt;"")*(H1641&lt;=($I$3*60+$J$3)/86400)+(J1641&lt;&gt;"")*(J1641&lt;=($M$3*60+$N$3)/86400)</f>
        <v>0</v>
      </c>
      <c r="N1641" s="20"/>
      <c r="O1641" s="20"/>
      <c r="P1641" s="20"/>
      <c r="Q1641" s="19"/>
    </row>
    <row r="1642" customFormat="false" ht="15" hidden="false" customHeight="false" outlineLevel="0" collapsed="false">
      <c r="A1642" s="10" t="n">
        <v>1636</v>
      </c>
      <c r="B1642" s="12" t="s">
        <v>2561</v>
      </c>
      <c r="C1642" s="12" t="s">
        <v>2562</v>
      </c>
      <c r="D1642" s="13"/>
      <c r="E1642" s="14"/>
      <c r="F1642" s="15" t="str">
        <f aca="false">IF(D1642="","",ROUND((D1642-MIN($D$7:$D$9999))*86400,2))</f>
        <v/>
      </c>
      <c r="G1642" s="10" t="str">
        <f aca="false">IF(D1642="","",IF(D1642&lt;=($E$3*60+$F$3)/86400,"○",""))</f>
        <v/>
      </c>
      <c r="H1642" s="16" t="n">
        <v>0.00720856481481482</v>
      </c>
      <c r="I1642" s="17" t="n">
        <v>544</v>
      </c>
      <c r="J1642" s="16" t="n">
        <v>0.00297523148148148</v>
      </c>
      <c r="K1642" s="17" t="n">
        <v>1326</v>
      </c>
      <c r="L1642" s="17" t="n">
        <f aca="false">COUNT(E1642,I1642,K1642)</f>
        <v>2</v>
      </c>
      <c r="M1642" s="18" t="n">
        <f aca="false">(D1642&lt;&gt;"")*(D1642&lt;=($E$3*60+$F$3)/86400)+(H1642&lt;&gt;"")*(H1642&lt;=($I$3*60+$J$3)/86400)+(J1642&lt;&gt;"")*(J1642&lt;=($M$3*60+$N$3)/86400)</f>
        <v>0</v>
      </c>
      <c r="N1642" s="20"/>
      <c r="O1642" s="20"/>
      <c r="P1642" s="20"/>
      <c r="Q1642" s="19"/>
    </row>
    <row r="1643" customFormat="false" ht="15" hidden="false" customHeight="false" outlineLevel="0" collapsed="false">
      <c r="A1643" s="10" t="n">
        <v>1637</v>
      </c>
      <c r="B1643" s="12" t="s">
        <v>2563</v>
      </c>
      <c r="C1643" s="12" t="s">
        <v>2564</v>
      </c>
      <c r="D1643" s="13"/>
      <c r="E1643" s="14"/>
      <c r="F1643" s="15" t="str">
        <f aca="false">IF(D1643="","",ROUND((D1643-MIN($D$7:$D$9999))*86400,2))</f>
        <v/>
      </c>
      <c r="G1643" s="10" t="str">
        <f aca="false">IF(D1643="","",IF(D1643&lt;=($E$3*60+$F$3)/86400,"○",""))</f>
        <v/>
      </c>
      <c r="H1643" s="16" t="n">
        <v>0.00721018518518519</v>
      </c>
      <c r="I1643" s="17" t="n">
        <v>547</v>
      </c>
      <c r="J1643" s="16"/>
      <c r="K1643" s="17"/>
      <c r="L1643" s="17" t="n">
        <f aca="false">COUNT(E1643,I1643,K1643)</f>
        <v>1</v>
      </c>
      <c r="M1643" s="18" t="n">
        <f aca="false">(D1643&lt;&gt;"")*(D1643&lt;=($E$3*60+$F$3)/86400)+(H1643&lt;&gt;"")*(H1643&lt;=($I$3*60+$J$3)/86400)+(J1643&lt;&gt;"")*(J1643&lt;=($M$3*60+$N$3)/86400)</f>
        <v>0</v>
      </c>
      <c r="N1643" s="20"/>
      <c r="O1643" s="20"/>
      <c r="P1643" s="20"/>
      <c r="Q1643" s="19"/>
    </row>
    <row r="1644" customFormat="false" ht="15" hidden="false" customHeight="false" outlineLevel="0" collapsed="false">
      <c r="A1644" s="10" t="n">
        <v>1638</v>
      </c>
      <c r="B1644" s="12" t="s">
        <v>2565</v>
      </c>
      <c r="C1644" s="12" t="s">
        <v>711</v>
      </c>
      <c r="D1644" s="13"/>
      <c r="E1644" s="14"/>
      <c r="F1644" s="15" t="str">
        <f aca="false">IF(D1644="","",ROUND((D1644-MIN($D$7:$D$9999))*86400,2))</f>
        <v/>
      </c>
      <c r="G1644" s="10" t="str">
        <f aca="false">IF(D1644="","",IF(D1644&lt;=($E$3*60+$F$3)/86400,"○",""))</f>
        <v/>
      </c>
      <c r="H1644" s="16"/>
      <c r="I1644" s="17"/>
      <c r="J1644" s="16" t="n">
        <v>0.00284641203703704</v>
      </c>
      <c r="K1644" s="17" t="n">
        <v>547</v>
      </c>
      <c r="L1644" s="17" t="n">
        <f aca="false">COUNT(E1644,I1644,K1644)</f>
        <v>1</v>
      </c>
      <c r="M1644" s="18" t="n">
        <f aca="false">(D1644&lt;&gt;"")*(D1644&lt;=($E$3*60+$F$3)/86400)+(H1644&lt;&gt;"")*(H1644&lt;=($I$3*60+$J$3)/86400)+(J1644&lt;&gt;"")*(J1644&lt;=($M$3*60+$N$3)/86400)</f>
        <v>0</v>
      </c>
      <c r="N1644" s="20"/>
      <c r="O1644" s="20"/>
      <c r="P1644" s="20"/>
      <c r="Q1644" s="19"/>
    </row>
    <row r="1645" customFormat="false" ht="15" hidden="false" customHeight="false" outlineLevel="0" collapsed="false">
      <c r="A1645" s="10" t="n">
        <v>1639</v>
      </c>
      <c r="B1645" s="12" t="s">
        <v>2566</v>
      </c>
      <c r="C1645" s="12" t="s">
        <v>875</v>
      </c>
      <c r="D1645" s="13"/>
      <c r="E1645" s="14"/>
      <c r="F1645" s="15" t="str">
        <f aca="false">IF(D1645="","",ROUND((D1645-MIN($D$7:$D$9999))*86400,2))</f>
        <v/>
      </c>
      <c r="G1645" s="10" t="str">
        <f aca="false">IF(D1645="","",IF(D1645&lt;=($E$3*60+$F$3)/86400,"○",""))</f>
        <v/>
      </c>
      <c r="H1645" s="16" t="n">
        <v>0.00721053240740741</v>
      </c>
      <c r="I1645" s="17" t="n">
        <v>548</v>
      </c>
      <c r="J1645" s="16"/>
      <c r="K1645" s="17"/>
      <c r="L1645" s="17" t="n">
        <f aca="false">COUNT(E1645,I1645,K1645)</f>
        <v>1</v>
      </c>
      <c r="M1645" s="18" t="n">
        <f aca="false">(D1645&lt;&gt;"")*(D1645&lt;=($E$3*60+$F$3)/86400)+(H1645&lt;&gt;"")*(H1645&lt;=($I$3*60+$J$3)/86400)+(J1645&lt;&gt;"")*(J1645&lt;=($M$3*60+$N$3)/86400)</f>
        <v>0</v>
      </c>
      <c r="N1645" s="20"/>
      <c r="O1645" s="20"/>
      <c r="P1645" s="20"/>
      <c r="Q1645" s="19"/>
    </row>
    <row r="1646" customFormat="false" ht="15" hidden="false" customHeight="false" outlineLevel="0" collapsed="false">
      <c r="A1646" s="10" t="n">
        <v>1640</v>
      </c>
      <c r="B1646" s="12" t="s">
        <v>2567</v>
      </c>
      <c r="C1646" s="12" t="s">
        <v>2568</v>
      </c>
      <c r="D1646" s="13"/>
      <c r="E1646" s="14"/>
      <c r="F1646" s="15" t="str">
        <f aca="false">IF(D1646="","",ROUND((D1646-MIN($D$7:$D$9999))*86400,2))</f>
        <v/>
      </c>
      <c r="G1646" s="10" t="str">
        <f aca="false">IF(D1646="","",IF(D1646&lt;=($E$3*60+$F$3)/86400,"○",""))</f>
        <v/>
      </c>
      <c r="H1646" s="16"/>
      <c r="I1646" s="17"/>
      <c r="J1646" s="16" t="n">
        <v>0.00284652777777778</v>
      </c>
      <c r="K1646" s="17" t="n">
        <v>548</v>
      </c>
      <c r="L1646" s="17" t="n">
        <f aca="false">COUNT(E1646,I1646,K1646)</f>
        <v>1</v>
      </c>
      <c r="M1646" s="18" t="n">
        <f aca="false">(D1646&lt;&gt;"")*(D1646&lt;=($E$3*60+$F$3)/86400)+(H1646&lt;&gt;"")*(H1646&lt;=($I$3*60+$J$3)/86400)+(J1646&lt;&gt;"")*(J1646&lt;=($M$3*60+$N$3)/86400)</f>
        <v>0</v>
      </c>
      <c r="N1646" s="20"/>
      <c r="O1646" s="20"/>
      <c r="P1646" s="20"/>
      <c r="Q1646" s="19"/>
    </row>
    <row r="1647" customFormat="false" ht="15" hidden="false" customHeight="false" outlineLevel="0" collapsed="false">
      <c r="A1647" s="10" t="n">
        <v>1641</v>
      </c>
      <c r="B1647" s="12" t="s">
        <v>2569</v>
      </c>
      <c r="C1647" s="12" t="s">
        <v>2570</v>
      </c>
      <c r="D1647" s="13"/>
      <c r="E1647" s="14"/>
      <c r="F1647" s="15" t="str">
        <f aca="false">IF(D1647="","",ROUND((D1647-MIN($D$7:$D$9999))*86400,2))</f>
        <v/>
      </c>
      <c r="G1647" s="10" t="str">
        <f aca="false">IF(D1647="","",IF(D1647&lt;=($E$3*60+$F$3)/86400,"○",""))</f>
        <v/>
      </c>
      <c r="H1647" s="16" t="n">
        <v>0.00721134259259259</v>
      </c>
      <c r="I1647" s="17" t="n">
        <v>549</v>
      </c>
      <c r="J1647" s="16"/>
      <c r="K1647" s="17"/>
      <c r="L1647" s="17" t="n">
        <f aca="false">COUNT(E1647,I1647,K1647)</f>
        <v>1</v>
      </c>
      <c r="M1647" s="18" t="n">
        <f aca="false">(D1647&lt;&gt;"")*(D1647&lt;=($E$3*60+$F$3)/86400)+(H1647&lt;&gt;"")*(H1647&lt;=($I$3*60+$J$3)/86400)+(J1647&lt;&gt;"")*(J1647&lt;=($M$3*60+$N$3)/86400)</f>
        <v>0</v>
      </c>
      <c r="N1647" s="20"/>
      <c r="O1647" s="20"/>
      <c r="P1647" s="20"/>
      <c r="Q1647" s="19"/>
    </row>
    <row r="1648" customFormat="false" ht="15" hidden="false" customHeight="false" outlineLevel="0" collapsed="false">
      <c r="A1648" s="10" t="n">
        <v>1642</v>
      </c>
      <c r="B1648" s="12" t="s">
        <v>2571</v>
      </c>
      <c r="C1648" s="12" t="s">
        <v>2572</v>
      </c>
      <c r="D1648" s="13"/>
      <c r="E1648" s="14"/>
      <c r="F1648" s="15" t="str">
        <f aca="false">IF(D1648="","",ROUND((D1648-MIN($D$7:$D$9999))*86400,2))</f>
        <v/>
      </c>
      <c r="G1648" s="10" t="str">
        <f aca="false">IF(D1648="","",IF(D1648&lt;=($E$3*60+$F$3)/86400,"○",""))</f>
        <v/>
      </c>
      <c r="H1648" s="16"/>
      <c r="I1648" s="17"/>
      <c r="J1648" s="16" t="n">
        <v>0.00284675925925926</v>
      </c>
      <c r="K1648" s="17" t="n">
        <v>549</v>
      </c>
      <c r="L1648" s="17" t="n">
        <f aca="false">COUNT(E1648,I1648,K1648)</f>
        <v>1</v>
      </c>
      <c r="M1648" s="18" t="n">
        <f aca="false">(D1648&lt;&gt;"")*(D1648&lt;=($E$3*60+$F$3)/86400)+(H1648&lt;&gt;"")*(H1648&lt;=($I$3*60+$J$3)/86400)+(J1648&lt;&gt;"")*(J1648&lt;=($M$3*60+$N$3)/86400)</f>
        <v>0</v>
      </c>
      <c r="N1648" s="20"/>
      <c r="O1648" s="20"/>
      <c r="P1648" s="20"/>
      <c r="Q1648" s="19"/>
    </row>
    <row r="1649" customFormat="false" ht="15" hidden="false" customHeight="false" outlineLevel="0" collapsed="false">
      <c r="A1649" s="10" t="n">
        <v>1643</v>
      </c>
      <c r="B1649" s="12" t="s">
        <v>2573</v>
      </c>
      <c r="C1649" s="12" t="s">
        <v>2574</v>
      </c>
      <c r="D1649" s="13"/>
      <c r="E1649" s="14"/>
      <c r="F1649" s="15" t="str">
        <f aca="false">IF(D1649="","",ROUND((D1649-MIN($D$7:$D$9999))*86400,2))</f>
        <v/>
      </c>
      <c r="G1649" s="10" t="str">
        <f aca="false">IF(D1649="","",IF(D1649&lt;=($E$3*60+$F$3)/86400,"○",""))</f>
        <v/>
      </c>
      <c r="H1649" s="16"/>
      <c r="I1649" s="17"/>
      <c r="J1649" s="16" t="n">
        <v>0.00284675925925926</v>
      </c>
      <c r="K1649" s="17" t="n">
        <v>550</v>
      </c>
      <c r="L1649" s="17" t="n">
        <f aca="false">COUNT(E1649,I1649,K1649)</f>
        <v>1</v>
      </c>
      <c r="M1649" s="18" t="n">
        <f aca="false">(D1649&lt;&gt;"")*(D1649&lt;=($E$3*60+$F$3)/86400)+(H1649&lt;&gt;"")*(H1649&lt;=($I$3*60+$J$3)/86400)+(J1649&lt;&gt;"")*(J1649&lt;=($M$3*60+$N$3)/86400)</f>
        <v>0</v>
      </c>
      <c r="N1649" s="20"/>
      <c r="O1649" s="20"/>
      <c r="P1649" s="20"/>
      <c r="Q1649" s="19"/>
    </row>
    <row r="1650" customFormat="false" ht="15" hidden="false" customHeight="false" outlineLevel="0" collapsed="false">
      <c r="A1650" s="10" t="n">
        <v>1644</v>
      </c>
      <c r="B1650" s="12" t="s">
        <v>2575</v>
      </c>
      <c r="C1650" s="12" t="s">
        <v>380</v>
      </c>
      <c r="D1650" s="13"/>
      <c r="E1650" s="14"/>
      <c r="F1650" s="15" t="str">
        <f aca="false">IF(D1650="","",ROUND((D1650-MIN($D$7:$D$9999))*86400,2))</f>
        <v/>
      </c>
      <c r="G1650" s="10" t="str">
        <f aca="false">IF(D1650="","",IF(D1650&lt;=($E$3*60+$F$3)/86400,"○",""))</f>
        <v/>
      </c>
      <c r="H1650" s="16" t="n">
        <v>0.00721342592592593</v>
      </c>
      <c r="I1650" s="17" t="n">
        <v>551</v>
      </c>
      <c r="J1650" s="16"/>
      <c r="K1650" s="17"/>
      <c r="L1650" s="17" t="n">
        <f aca="false">COUNT(E1650,I1650,K1650)</f>
        <v>1</v>
      </c>
      <c r="M1650" s="18" t="n">
        <f aca="false">(D1650&lt;&gt;"")*(D1650&lt;=($E$3*60+$F$3)/86400)+(H1650&lt;&gt;"")*(H1650&lt;=($I$3*60+$J$3)/86400)+(J1650&lt;&gt;"")*(J1650&lt;=($M$3*60+$N$3)/86400)</f>
        <v>0</v>
      </c>
      <c r="N1650" s="20"/>
      <c r="O1650" s="20"/>
      <c r="P1650" s="20"/>
      <c r="Q1650" s="19"/>
    </row>
    <row r="1651" customFormat="false" ht="15" hidden="false" customHeight="false" outlineLevel="0" collapsed="false">
      <c r="A1651" s="10" t="n">
        <v>1645</v>
      </c>
      <c r="B1651" s="12" t="s">
        <v>2576</v>
      </c>
      <c r="C1651" s="12" t="s">
        <v>2577</v>
      </c>
      <c r="D1651" s="13"/>
      <c r="E1651" s="14"/>
      <c r="F1651" s="15" t="str">
        <f aca="false">IF(D1651="","",ROUND((D1651-MIN($D$7:$D$9999))*86400,2))</f>
        <v/>
      </c>
      <c r="G1651" s="10" t="str">
        <f aca="false">IF(D1651="","",IF(D1651&lt;=($E$3*60+$F$3)/86400,"○",""))</f>
        <v/>
      </c>
      <c r="H1651" s="16" t="n">
        <v>0.00721365740740741</v>
      </c>
      <c r="I1651" s="17" t="n">
        <v>552</v>
      </c>
      <c r="J1651" s="16"/>
      <c r="K1651" s="17"/>
      <c r="L1651" s="17" t="n">
        <f aca="false">COUNT(E1651,I1651,K1651)</f>
        <v>1</v>
      </c>
      <c r="M1651" s="18" t="n">
        <f aca="false">(D1651&lt;&gt;"")*(D1651&lt;=($E$3*60+$F$3)/86400)+(H1651&lt;&gt;"")*(H1651&lt;=($I$3*60+$J$3)/86400)+(J1651&lt;&gt;"")*(J1651&lt;=($M$3*60+$N$3)/86400)</f>
        <v>0</v>
      </c>
      <c r="N1651" s="20"/>
      <c r="O1651" s="20"/>
      <c r="P1651" s="20"/>
      <c r="Q1651" s="19"/>
    </row>
    <row r="1652" customFormat="false" ht="15" hidden="false" customHeight="false" outlineLevel="0" collapsed="false">
      <c r="A1652" s="10" t="n">
        <v>1646</v>
      </c>
      <c r="B1652" s="12" t="s">
        <v>2578</v>
      </c>
      <c r="C1652" s="12" t="s">
        <v>2579</v>
      </c>
      <c r="D1652" s="13"/>
      <c r="E1652" s="14"/>
      <c r="F1652" s="15" t="str">
        <f aca="false">IF(D1652="","",ROUND((D1652-MIN($D$7:$D$9999))*86400,2))</f>
        <v/>
      </c>
      <c r="G1652" s="10" t="str">
        <f aca="false">IF(D1652="","",IF(D1652&lt;=($E$3*60+$F$3)/86400,"○",""))</f>
        <v/>
      </c>
      <c r="H1652" s="16" t="n">
        <v>0.00721435185185185</v>
      </c>
      <c r="I1652" s="17" t="n">
        <v>553</v>
      </c>
      <c r="J1652" s="16"/>
      <c r="K1652" s="17"/>
      <c r="L1652" s="17" t="n">
        <f aca="false">COUNT(E1652,I1652,K1652)</f>
        <v>1</v>
      </c>
      <c r="M1652" s="18" t="n">
        <f aca="false">(D1652&lt;&gt;"")*(D1652&lt;=($E$3*60+$F$3)/86400)+(H1652&lt;&gt;"")*(H1652&lt;=($I$3*60+$J$3)/86400)+(J1652&lt;&gt;"")*(J1652&lt;=($M$3*60+$N$3)/86400)</f>
        <v>0</v>
      </c>
      <c r="N1652" s="20"/>
      <c r="O1652" s="20"/>
      <c r="P1652" s="20"/>
      <c r="Q1652" s="19"/>
    </row>
    <row r="1653" customFormat="false" ht="15" hidden="false" customHeight="false" outlineLevel="0" collapsed="false">
      <c r="A1653" s="10" t="n">
        <v>1647</v>
      </c>
      <c r="B1653" s="12" t="s">
        <v>2580</v>
      </c>
      <c r="C1653" s="12" t="s">
        <v>2581</v>
      </c>
      <c r="D1653" s="13"/>
      <c r="E1653" s="14"/>
      <c r="F1653" s="15" t="str">
        <f aca="false">IF(D1653="","",ROUND((D1653-MIN($D$7:$D$9999))*86400,2))</f>
        <v/>
      </c>
      <c r="G1653" s="10" t="str">
        <f aca="false">IF(D1653="","",IF(D1653&lt;=($E$3*60+$F$3)/86400,"○",""))</f>
        <v/>
      </c>
      <c r="H1653" s="16" t="n">
        <v>0.00721539351851852</v>
      </c>
      <c r="I1653" s="17" t="n">
        <v>554</v>
      </c>
      <c r="J1653" s="16"/>
      <c r="K1653" s="17"/>
      <c r="L1653" s="17" t="n">
        <f aca="false">COUNT(E1653,I1653,K1653)</f>
        <v>1</v>
      </c>
      <c r="M1653" s="18" t="n">
        <f aca="false">(D1653&lt;&gt;"")*(D1653&lt;=($E$3*60+$F$3)/86400)+(H1653&lt;&gt;"")*(H1653&lt;=($I$3*60+$J$3)/86400)+(J1653&lt;&gt;"")*(J1653&lt;=($M$3*60+$N$3)/86400)</f>
        <v>0</v>
      </c>
      <c r="N1653" s="20"/>
      <c r="O1653" s="20"/>
      <c r="P1653" s="20"/>
      <c r="Q1653" s="19"/>
    </row>
    <row r="1654" customFormat="false" ht="15" hidden="false" customHeight="false" outlineLevel="0" collapsed="false">
      <c r="A1654" s="10" t="n">
        <v>1648</v>
      </c>
      <c r="B1654" s="12" t="s">
        <v>2582</v>
      </c>
      <c r="C1654" s="12" t="s">
        <v>2583</v>
      </c>
      <c r="D1654" s="13"/>
      <c r="E1654" s="14"/>
      <c r="F1654" s="15" t="str">
        <f aca="false">IF(D1654="","",ROUND((D1654-MIN($D$7:$D$9999))*86400,2))</f>
        <v/>
      </c>
      <c r="G1654" s="10" t="str">
        <f aca="false">IF(D1654="","",IF(D1654&lt;=($E$3*60+$F$3)/86400,"○",""))</f>
        <v/>
      </c>
      <c r="H1654" s="16" t="n">
        <v>0.00721608796296296</v>
      </c>
      <c r="I1654" s="17" t="n">
        <v>555</v>
      </c>
      <c r="J1654" s="16"/>
      <c r="K1654" s="17"/>
      <c r="L1654" s="17" t="n">
        <f aca="false">COUNT(E1654,I1654,K1654)</f>
        <v>1</v>
      </c>
      <c r="M1654" s="18" t="n">
        <f aca="false">(D1654&lt;&gt;"")*(D1654&lt;=($E$3*60+$F$3)/86400)+(H1654&lt;&gt;"")*(H1654&lt;=($I$3*60+$J$3)/86400)+(J1654&lt;&gt;"")*(J1654&lt;=($M$3*60+$N$3)/86400)</f>
        <v>0</v>
      </c>
      <c r="N1654" s="20"/>
      <c r="O1654" s="20"/>
      <c r="P1654" s="20"/>
      <c r="Q1654" s="19"/>
    </row>
    <row r="1655" customFormat="false" ht="15" hidden="false" customHeight="false" outlineLevel="0" collapsed="false">
      <c r="A1655" s="10" t="n">
        <v>1649</v>
      </c>
      <c r="B1655" s="12" t="s">
        <v>2584</v>
      </c>
      <c r="C1655" s="12" t="s">
        <v>2385</v>
      </c>
      <c r="D1655" s="13"/>
      <c r="E1655" s="14"/>
      <c r="F1655" s="15" t="str">
        <f aca="false">IF(D1655="","",ROUND((D1655-MIN($D$7:$D$9999))*86400,2))</f>
        <v/>
      </c>
      <c r="G1655" s="10" t="str">
        <f aca="false">IF(D1655="","",IF(D1655&lt;=($E$3*60+$F$3)/86400,"○",""))</f>
        <v/>
      </c>
      <c r="H1655" s="16" t="n">
        <v>0.00721655092592593</v>
      </c>
      <c r="I1655" s="17" t="n">
        <v>556</v>
      </c>
      <c r="J1655" s="16"/>
      <c r="K1655" s="17"/>
      <c r="L1655" s="17" t="n">
        <f aca="false">COUNT(E1655,I1655,K1655)</f>
        <v>1</v>
      </c>
      <c r="M1655" s="18" t="n">
        <f aca="false">(D1655&lt;&gt;"")*(D1655&lt;=($E$3*60+$F$3)/86400)+(H1655&lt;&gt;"")*(H1655&lt;=($I$3*60+$J$3)/86400)+(J1655&lt;&gt;"")*(J1655&lt;=($M$3*60+$N$3)/86400)</f>
        <v>0</v>
      </c>
      <c r="N1655" s="20"/>
      <c r="O1655" s="20"/>
      <c r="P1655" s="20"/>
      <c r="Q1655" s="19"/>
    </row>
    <row r="1656" customFormat="false" ht="15" hidden="false" customHeight="false" outlineLevel="0" collapsed="false">
      <c r="A1656" s="10" t="n">
        <v>1650</v>
      </c>
      <c r="B1656" s="12" t="s">
        <v>2585</v>
      </c>
      <c r="C1656" s="12" t="s">
        <v>1692</v>
      </c>
      <c r="D1656" s="13"/>
      <c r="E1656" s="14"/>
      <c r="F1656" s="15" t="str">
        <f aca="false">IF(D1656="","",ROUND((D1656-MIN($D$7:$D$9999))*86400,2))</f>
        <v/>
      </c>
      <c r="G1656" s="10" t="str">
        <f aca="false">IF(D1656="","",IF(D1656&lt;=($E$3*60+$F$3)/86400,"○",""))</f>
        <v/>
      </c>
      <c r="H1656" s="16"/>
      <c r="I1656" s="17"/>
      <c r="J1656" s="16" t="n">
        <v>0.00284814814814815</v>
      </c>
      <c r="K1656" s="17" t="n">
        <v>556</v>
      </c>
      <c r="L1656" s="17" t="n">
        <f aca="false">COUNT(E1656,I1656,K1656)</f>
        <v>1</v>
      </c>
      <c r="M1656" s="18" t="n">
        <f aca="false">(D1656&lt;&gt;"")*(D1656&lt;=($E$3*60+$F$3)/86400)+(H1656&lt;&gt;"")*(H1656&lt;=($I$3*60+$J$3)/86400)+(J1656&lt;&gt;"")*(J1656&lt;=($M$3*60+$N$3)/86400)</f>
        <v>0</v>
      </c>
      <c r="N1656" s="20"/>
      <c r="O1656" s="20"/>
      <c r="P1656" s="20"/>
      <c r="Q1656" s="19"/>
    </row>
    <row r="1657" customFormat="false" ht="15" hidden="false" customHeight="false" outlineLevel="0" collapsed="false">
      <c r="A1657" s="10" t="n">
        <v>1651</v>
      </c>
      <c r="B1657" s="12" t="s">
        <v>2586</v>
      </c>
      <c r="C1657" s="12" t="s">
        <v>2587</v>
      </c>
      <c r="D1657" s="13"/>
      <c r="E1657" s="14"/>
      <c r="F1657" s="15" t="str">
        <f aca="false">IF(D1657="","",ROUND((D1657-MIN($D$7:$D$9999))*86400,2))</f>
        <v/>
      </c>
      <c r="G1657" s="10" t="str">
        <f aca="false">IF(D1657="","",IF(D1657&lt;=($E$3*60+$F$3)/86400,"○",""))</f>
        <v/>
      </c>
      <c r="H1657" s="16" t="n">
        <v>0.00721712962962963</v>
      </c>
      <c r="I1657" s="17" t="n">
        <v>558</v>
      </c>
      <c r="J1657" s="16"/>
      <c r="K1657" s="17"/>
      <c r="L1657" s="17" t="n">
        <f aca="false">COUNT(E1657,I1657,K1657)</f>
        <v>1</v>
      </c>
      <c r="M1657" s="18" t="n">
        <f aca="false">(D1657&lt;&gt;"")*(D1657&lt;=($E$3*60+$F$3)/86400)+(H1657&lt;&gt;"")*(H1657&lt;=($I$3*60+$J$3)/86400)+(J1657&lt;&gt;"")*(J1657&lt;=($M$3*60+$N$3)/86400)</f>
        <v>0</v>
      </c>
      <c r="N1657" s="20"/>
      <c r="O1657" s="20"/>
      <c r="P1657" s="20"/>
      <c r="Q1657" s="19"/>
    </row>
    <row r="1658" customFormat="false" ht="15" hidden="false" customHeight="false" outlineLevel="0" collapsed="false">
      <c r="A1658" s="10" t="n">
        <v>1652</v>
      </c>
      <c r="B1658" s="12" t="s">
        <v>2588</v>
      </c>
      <c r="C1658" s="12" t="s">
        <v>2589</v>
      </c>
      <c r="D1658" s="13"/>
      <c r="E1658" s="14"/>
      <c r="F1658" s="15" t="str">
        <f aca="false">IF(D1658="","",ROUND((D1658-MIN($D$7:$D$9999))*86400,2))</f>
        <v/>
      </c>
      <c r="G1658" s="10" t="str">
        <f aca="false">IF(D1658="","",IF(D1658&lt;=($E$3*60+$F$3)/86400,"○",""))</f>
        <v/>
      </c>
      <c r="H1658" s="16" t="n">
        <v>0.00722013888888889</v>
      </c>
      <c r="I1658" s="17" t="n">
        <v>559</v>
      </c>
      <c r="J1658" s="16"/>
      <c r="K1658" s="17"/>
      <c r="L1658" s="17" t="n">
        <f aca="false">COUNT(E1658,I1658,K1658)</f>
        <v>1</v>
      </c>
      <c r="M1658" s="18" t="n">
        <f aca="false">(D1658&lt;&gt;"")*(D1658&lt;=($E$3*60+$F$3)/86400)+(H1658&lt;&gt;"")*(H1658&lt;=($I$3*60+$J$3)/86400)+(J1658&lt;&gt;"")*(J1658&lt;=($M$3*60+$N$3)/86400)</f>
        <v>0</v>
      </c>
      <c r="N1658" s="20"/>
      <c r="O1658" s="20"/>
      <c r="P1658" s="20"/>
      <c r="Q1658" s="19"/>
    </row>
    <row r="1659" customFormat="false" ht="15" hidden="false" customHeight="false" outlineLevel="0" collapsed="false">
      <c r="A1659" s="10" t="n">
        <v>1653</v>
      </c>
      <c r="B1659" s="12" t="s">
        <v>2590</v>
      </c>
      <c r="C1659" s="12" t="s">
        <v>2312</v>
      </c>
      <c r="D1659" s="13"/>
      <c r="E1659" s="14"/>
      <c r="F1659" s="15" t="str">
        <f aca="false">IF(D1659="","",ROUND((D1659-MIN($D$7:$D$9999))*86400,2))</f>
        <v/>
      </c>
      <c r="G1659" s="10" t="str">
        <f aca="false">IF(D1659="","",IF(D1659&lt;=($E$3*60+$F$3)/86400,"○",""))</f>
        <v/>
      </c>
      <c r="H1659" s="16" t="n">
        <v>0.00722094907407407</v>
      </c>
      <c r="I1659" s="17" t="n">
        <v>560</v>
      </c>
      <c r="J1659" s="16"/>
      <c r="K1659" s="17"/>
      <c r="L1659" s="17" t="n">
        <f aca="false">COUNT(E1659,I1659,K1659)</f>
        <v>1</v>
      </c>
      <c r="M1659" s="18" t="n">
        <f aca="false">(D1659&lt;&gt;"")*(D1659&lt;=($E$3*60+$F$3)/86400)+(H1659&lt;&gt;"")*(H1659&lt;=($I$3*60+$J$3)/86400)+(J1659&lt;&gt;"")*(J1659&lt;=($M$3*60+$N$3)/86400)</f>
        <v>0</v>
      </c>
      <c r="N1659" s="20"/>
      <c r="O1659" s="20"/>
      <c r="P1659" s="20"/>
      <c r="Q1659" s="19"/>
    </row>
    <row r="1660" customFormat="false" ht="15" hidden="false" customHeight="false" outlineLevel="0" collapsed="false">
      <c r="A1660" s="10" t="n">
        <v>1654</v>
      </c>
      <c r="B1660" s="12" t="s">
        <v>2591</v>
      </c>
      <c r="C1660" s="12" t="s">
        <v>1315</v>
      </c>
      <c r="D1660" s="13"/>
      <c r="E1660" s="14"/>
      <c r="F1660" s="15" t="str">
        <f aca="false">IF(D1660="","",ROUND((D1660-MIN($D$7:$D$9999))*86400,2))</f>
        <v/>
      </c>
      <c r="G1660" s="10" t="str">
        <f aca="false">IF(D1660="","",IF(D1660&lt;=($E$3*60+$F$3)/86400,"○",""))</f>
        <v/>
      </c>
      <c r="H1660" s="16" t="n">
        <v>0.00722106481481482</v>
      </c>
      <c r="I1660" s="17" t="n">
        <v>561</v>
      </c>
      <c r="J1660" s="16" t="n">
        <v>0.00289560185185185</v>
      </c>
      <c r="K1660" s="17" t="n">
        <v>916</v>
      </c>
      <c r="L1660" s="17" t="n">
        <f aca="false">COUNT(E1660,I1660,K1660)</f>
        <v>2</v>
      </c>
      <c r="M1660" s="18" t="n">
        <f aca="false">(D1660&lt;&gt;"")*(D1660&lt;=($E$3*60+$F$3)/86400)+(H1660&lt;&gt;"")*(H1660&lt;=($I$3*60+$J$3)/86400)+(J1660&lt;&gt;"")*(J1660&lt;=($M$3*60+$N$3)/86400)</f>
        <v>0</v>
      </c>
      <c r="N1660" s="20"/>
      <c r="O1660" s="20"/>
      <c r="P1660" s="20"/>
      <c r="Q1660" s="19"/>
    </row>
    <row r="1661" customFormat="false" ht="15" hidden="false" customHeight="false" outlineLevel="0" collapsed="false">
      <c r="A1661" s="10" t="n">
        <v>1655</v>
      </c>
      <c r="B1661" s="12" t="s">
        <v>2592</v>
      </c>
      <c r="C1661" s="12" t="s">
        <v>2188</v>
      </c>
      <c r="D1661" s="13"/>
      <c r="E1661" s="14"/>
      <c r="F1661" s="15" t="str">
        <f aca="false">IF(D1661="","",ROUND((D1661-MIN($D$7:$D$9999))*86400,2))</f>
        <v/>
      </c>
      <c r="G1661" s="10" t="str">
        <f aca="false">IF(D1661="","",IF(D1661&lt;=($E$3*60+$F$3)/86400,"○",""))</f>
        <v/>
      </c>
      <c r="H1661" s="16" t="n">
        <v>0.007221875</v>
      </c>
      <c r="I1661" s="17" t="n">
        <v>562</v>
      </c>
      <c r="J1661" s="16"/>
      <c r="K1661" s="17"/>
      <c r="L1661" s="17" t="n">
        <f aca="false">COUNT(E1661,I1661,K1661)</f>
        <v>1</v>
      </c>
      <c r="M1661" s="18" t="n">
        <f aca="false">(D1661&lt;&gt;"")*(D1661&lt;=($E$3*60+$F$3)/86400)+(H1661&lt;&gt;"")*(H1661&lt;=($I$3*60+$J$3)/86400)+(J1661&lt;&gt;"")*(J1661&lt;=($M$3*60+$N$3)/86400)</f>
        <v>0</v>
      </c>
      <c r="N1661" s="20"/>
      <c r="O1661" s="20"/>
      <c r="P1661" s="20"/>
      <c r="Q1661" s="19"/>
    </row>
    <row r="1662" customFormat="false" ht="15" hidden="false" customHeight="false" outlineLevel="0" collapsed="false">
      <c r="A1662" s="10" t="n">
        <v>1656</v>
      </c>
      <c r="B1662" s="12" t="s">
        <v>2593</v>
      </c>
      <c r="C1662" s="12" t="s">
        <v>2594</v>
      </c>
      <c r="D1662" s="13"/>
      <c r="E1662" s="14"/>
      <c r="F1662" s="15" t="str">
        <f aca="false">IF(D1662="","",ROUND((D1662-MIN($D$7:$D$9999))*86400,2))</f>
        <v/>
      </c>
      <c r="G1662" s="10" t="str">
        <f aca="false">IF(D1662="","",IF(D1662&lt;=($E$3*60+$F$3)/86400,"○",""))</f>
        <v/>
      </c>
      <c r="H1662" s="16"/>
      <c r="I1662" s="17"/>
      <c r="J1662" s="16" t="n">
        <v>0.00284884259259259</v>
      </c>
      <c r="K1662" s="17" t="n">
        <v>562</v>
      </c>
      <c r="L1662" s="17" t="n">
        <f aca="false">COUNT(E1662,I1662,K1662)</f>
        <v>1</v>
      </c>
      <c r="M1662" s="18" t="n">
        <f aca="false">(D1662&lt;&gt;"")*(D1662&lt;=($E$3*60+$F$3)/86400)+(H1662&lt;&gt;"")*(H1662&lt;=($I$3*60+$J$3)/86400)+(J1662&lt;&gt;"")*(J1662&lt;=($M$3*60+$N$3)/86400)</f>
        <v>0</v>
      </c>
      <c r="N1662" s="20"/>
      <c r="O1662" s="20"/>
      <c r="P1662" s="20"/>
      <c r="Q1662" s="19"/>
    </row>
    <row r="1663" customFormat="false" ht="15" hidden="false" customHeight="false" outlineLevel="0" collapsed="false">
      <c r="A1663" s="10" t="n">
        <v>1657</v>
      </c>
      <c r="B1663" s="12" t="s">
        <v>2595</v>
      </c>
      <c r="C1663" s="12" t="s">
        <v>2596</v>
      </c>
      <c r="D1663" s="13"/>
      <c r="E1663" s="14"/>
      <c r="F1663" s="15" t="str">
        <f aca="false">IF(D1663="","",ROUND((D1663-MIN($D$7:$D$9999))*86400,2))</f>
        <v/>
      </c>
      <c r="G1663" s="10" t="str">
        <f aca="false">IF(D1663="","",IF(D1663&lt;=($E$3*60+$F$3)/86400,"○",""))</f>
        <v/>
      </c>
      <c r="H1663" s="16" t="n">
        <v>0.00722326388888889</v>
      </c>
      <c r="I1663" s="17" t="n">
        <v>563</v>
      </c>
      <c r="J1663" s="16"/>
      <c r="K1663" s="17"/>
      <c r="L1663" s="17" t="n">
        <f aca="false">COUNT(E1663,I1663,K1663)</f>
        <v>1</v>
      </c>
      <c r="M1663" s="18" t="n">
        <f aca="false">(D1663&lt;&gt;"")*(D1663&lt;=($E$3*60+$F$3)/86400)+(H1663&lt;&gt;"")*(H1663&lt;=($I$3*60+$J$3)/86400)+(J1663&lt;&gt;"")*(J1663&lt;=($M$3*60+$N$3)/86400)</f>
        <v>0</v>
      </c>
      <c r="N1663" s="20"/>
      <c r="O1663" s="20"/>
      <c r="P1663" s="20"/>
      <c r="Q1663" s="19"/>
    </row>
    <row r="1664" customFormat="false" ht="15" hidden="false" customHeight="false" outlineLevel="0" collapsed="false">
      <c r="A1664" s="10" t="n">
        <v>1658</v>
      </c>
      <c r="B1664" s="12" t="s">
        <v>2597</v>
      </c>
      <c r="C1664" s="12" t="s">
        <v>2598</v>
      </c>
      <c r="D1664" s="13"/>
      <c r="E1664" s="14"/>
      <c r="F1664" s="15" t="str">
        <f aca="false">IF(D1664="","",ROUND((D1664-MIN($D$7:$D$9999))*86400,2))</f>
        <v/>
      </c>
      <c r="G1664" s="10" t="str">
        <f aca="false">IF(D1664="","",IF(D1664&lt;=($E$3*60+$F$3)/86400,"○",""))</f>
        <v/>
      </c>
      <c r="H1664" s="16"/>
      <c r="I1664" s="17"/>
      <c r="J1664" s="16" t="n">
        <v>0.00284884259259259</v>
      </c>
      <c r="K1664" s="17" t="n">
        <v>563</v>
      </c>
      <c r="L1664" s="17" t="n">
        <f aca="false">COUNT(E1664,I1664,K1664)</f>
        <v>1</v>
      </c>
      <c r="M1664" s="18" t="n">
        <f aca="false">(D1664&lt;&gt;"")*(D1664&lt;=($E$3*60+$F$3)/86400)+(H1664&lt;&gt;"")*(H1664&lt;=($I$3*60+$J$3)/86400)+(J1664&lt;&gt;"")*(J1664&lt;=($M$3*60+$N$3)/86400)</f>
        <v>0</v>
      </c>
      <c r="N1664" s="20"/>
      <c r="O1664" s="20"/>
      <c r="P1664" s="20"/>
      <c r="Q1664" s="19"/>
    </row>
    <row r="1665" customFormat="false" ht="15" hidden="false" customHeight="false" outlineLevel="0" collapsed="false">
      <c r="A1665" s="10" t="n">
        <v>1659</v>
      </c>
      <c r="B1665" s="12" t="s">
        <v>2599</v>
      </c>
      <c r="C1665" s="12" t="s">
        <v>2600</v>
      </c>
      <c r="D1665" s="13"/>
      <c r="E1665" s="14"/>
      <c r="F1665" s="15" t="str">
        <f aca="false">IF(D1665="","",ROUND((D1665-MIN($D$7:$D$9999))*86400,2))</f>
        <v/>
      </c>
      <c r="G1665" s="10" t="str">
        <f aca="false">IF(D1665="","",IF(D1665&lt;=($E$3*60+$F$3)/86400,"○",""))</f>
        <v/>
      </c>
      <c r="H1665" s="16" t="n">
        <v>0.00722395833333333</v>
      </c>
      <c r="I1665" s="17" t="n">
        <v>564</v>
      </c>
      <c r="J1665" s="16"/>
      <c r="K1665" s="17"/>
      <c r="L1665" s="17" t="n">
        <f aca="false">COUNT(E1665,I1665,K1665)</f>
        <v>1</v>
      </c>
      <c r="M1665" s="18" t="n">
        <f aca="false">(D1665&lt;&gt;"")*(D1665&lt;=($E$3*60+$F$3)/86400)+(H1665&lt;&gt;"")*(H1665&lt;=($I$3*60+$J$3)/86400)+(J1665&lt;&gt;"")*(J1665&lt;=($M$3*60+$N$3)/86400)</f>
        <v>0</v>
      </c>
      <c r="N1665" s="20"/>
      <c r="O1665" s="20"/>
      <c r="P1665" s="20"/>
      <c r="Q1665" s="19"/>
    </row>
    <row r="1666" customFormat="false" ht="15" hidden="false" customHeight="false" outlineLevel="0" collapsed="false">
      <c r="A1666" s="10" t="n">
        <v>1660</v>
      </c>
      <c r="B1666" s="12" t="s">
        <v>2601</v>
      </c>
      <c r="C1666" s="12" t="s">
        <v>1931</v>
      </c>
      <c r="D1666" s="13"/>
      <c r="E1666" s="14"/>
      <c r="F1666" s="15" t="str">
        <f aca="false">IF(D1666="","",ROUND((D1666-MIN($D$7:$D$9999))*86400,2))</f>
        <v/>
      </c>
      <c r="G1666" s="10" t="str">
        <f aca="false">IF(D1666="","",IF(D1666&lt;=($E$3*60+$F$3)/86400,"○",""))</f>
        <v/>
      </c>
      <c r="H1666" s="16"/>
      <c r="I1666" s="17"/>
      <c r="J1666" s="16" t="n">
        <v>0.00284895833333333</v>
      </c>
      <c r="K1666" s="17" t="n">
        <v>565</v>
      </c>
      <c r="L1666" s="17" t="n">
        <f aca="false">COUNT(E1666,I1666,K1666)</f>
        <v>1</v>
      </c>
      <c r="M1666" s="18" t="n">
        <f aca="false">(D1666&lt;&gt;"")*(D1666&lt;=($E$3*60+$F$3)/86400)+(H1666&lt;&gt;"")*(H1666&lt;=($I$3*60+$J$3)/86400)+(J1666&lt;&gt;"")*(J1666&lt;=($M$3*60+$N$3)/86400)</f>
        <v>0</v>
      </c>
      <c r="N1666" s="20"/>
      <c r="O1666" s="20"/>
      <c r="P1666" s="20"/>
      <c r="Q1666" s="19"/>
    </row>
    <row r="1667" customFormat="false" ht="15" hidden="false" customHeight="false" outlineLevel="0" collapsed="false">
      <c r="A1667" s="10" t="n">
        <v>1661</v>
      </c>
      <c r="B1667" s="12" t="s">
        <v>2602</v>
      </c>
      <c r="C1667" s="12" t="s">
        <v>996</v>
      </c>
      <c r="D1667" s="13"/>
      <c r="E1667" s="14"/>
      <c r="F1667" s="15" t="str">
        <f aca="false">IF(D1667="","",ROUND((D1667-MIN($D$7:$D$9999))*86400,2))</f>
        <v/>
      </c>
      <c r="G1667" s="10" t="str">
        <f aca="false">IF(D1667="","",IF(D1667&lt;=($E$3*60+$F$3)/86400,"○",""))</f>
        <v/>
      </c>
      <c r="H1667" s="16" t="n">
        <v>0.00722581018518519</v>
      </c>
      <c r="I1667" s="17" t="n">
        <v>566</v>
      </c>
      <c r="J1667" s="16"/>
      <c r="K1667" s="17"/>
      <c r="L1667" s="17" t="n">
        <f aca="false">COUNT(E1667,I1667,K1667)</f>
        <v>1</v>
      </c>
      <c r="M1667" s="18" t="n">
        <f aca="false">(D1667&lt;&gt;"")*(D1667&lt;=($E$3*60+$F$3)/86400)+(H1667&lt;&gt;"")*(H1667&lt;=($I$3*60+$J$3)/86400)+(J1667&lt;&gt;"")*(J1667&lt;=($M$3*60+$N$3)/86400)</f>
        <v>0</v>
      </c>
      <c r="N1667" s="20"/>
      <c r="O1667" s="20"/>
      <c r="P1667" s="20"/>
      <c r="Q1667" s="19"/>
    </row>
    <row r="1668" customFormat="false" ht="15" hidden="false" customHeight="false" outlineLevel="0" collapsed="false">
      <c r="A1668" s="10" t="n">
        <v>1662</v>
      </c>
      <c r="B1668" s="12" t="s">
        <v>2603</v>
      </c>
      <c r="C1668" s="12" t="s">
        <v>2442</v>
      </c>
      <c r="D1668" s="13"/>
      <c r="E1668" s="14"/>
      <c r="F1668" s="15" t="str">
        <f aca="false">IF(D1668="","",ROUND((D1668-MIN($D$7:$D$9999))*86400,2))</f>
        <v/>
      </c>
      <c r="G1668" s="10" t="str">
        <f aca="false">IF(D1668="","",IF(D1668&lt;=($E$3*60+$F$3)/86400,"○",""))</f>
        <v/>
      </c>
      <c r="H1668" s="16"/>
      <c r="I1668" s="17"/>
      <c r="J1668" s="16" t="n">
        <v>0.00284907407407407</v>
      </c>
      <c r="K1668" s="17" t="n">
        <v>566</v>
      </c>
      <c r="L1668" s="17" t="n">
        <f aca="false">COUNT(E1668,I1668,K1668)</f>
        <v>1</v>
      </c>
      <c r="M1668" s="18" t="n">
        <f aca="false">(D1668&lt;&gt;"")*(D1668&lt;=($E$3*60+$F$3)/86400)+(H1668&lt;&gt;"")*(H1668&lt;=($I$3*60+$J$3)/86400)+(J1668&lt;&gt;"")*(J1668&lt;=($M$3*60+$N$3)/86400)</f>
        <v>0</v>
      </c>
      <c r="N1668" s="20"/>
      <c r="O1668" s="20"/>
      <c r="P1668" s="20"/>
      <c r="Q1668" s="19"/>
    </row>
    <row r="1669" customFormat="false" ht="15" hidden="false" customHeight="false" outlineLevel="0" collapsed="false">
      <c r="A1669" s="10" t="n">
        <v>1663</v>
      </c>
      <c r="B1669" s="12" t="s">
        <v>2604</v>
      </c>
      <c r="C1669" s="12" t="s">
        <v>259</v>
      </c>
      <c r="D1669" s="13"/>
      <c r="E1669" s="14"/>
      <c r="F1669" s="15" t="str">
        <f aca="false">IF(D1669="","",ROUND((D1669-MIN($D$7:$D$9999))*86400,2))</f>
        <v/>
      </c>
      <c r="G1669" s="10" t="str">
        <f aca="false">IF(D1669="","",IF(D1669&lt;=($E$3*60+$F$3)/86400,"○",""))</f>
        <v/>
      </c>
      <c r="H1669" s="16" t="n">
        <v>0.00722604166666667</v>
      </c>
      <c r="I1669" s="17" t="n">
        <v>567</v>
      </c>
      <c r="J1669" s="16"/>
      <c r="K1669" s="17"/>
      <c r="L1669" s="17" t="n">
        <f aca="false">COUNT(E1669,I1669,K1669)</f>
        <v>1</v>
      </c>
      <c r="M1669" s="18" t="n">
        <f aca="false">(D1669&lt;&gt;"")*(D1669&lt;=($E$3*60+$F$3)/86400)+(H1669&lt;&gt;"")*(H1669&lt;=($I$3*60+$J$3)/86400)+(J1669&lt;&gt;"")*(J1669&lt;=($M$3*60+$N$3)/86400)</f>
        <v>0</v>
      </c>
      <c r="N1669" s="20"/>
      <c r="O1669" s="20"/>
      <c r="P1669" s="20"/>
      <c r="Q1669" s="19"/>
    </row>
    <row r="1670" customFormat="false" ht="15" hidden="false" customHeight="false" outlineLevel="0" collapsed="false">
      <c r="A1670" s="10" t="n">
        <v>1664</v>
      </c>
      <c r="B1670" s="12" t="s">
        <v>2605</v>
      </c>
      <c r="C1670" s="12" t="s">
        <v>1503</v>
      </c>
      <c r="D1670" s="13"/>
      <c r="E1670" s="14"/>
      <c r="F1670" s="15" t="str">
        <f aca="false">IF(D1670="","",ROUND((D1670-MIN($D$7:$D$9999))*86400,2))</f>
        <v/>
      </c>
      <c r="G1670" s="10" t="str">
        <f aca="false">IF(D1670="","",IF(D1670&lt;=($E$3*60+$F$3)/86400,"○",""))</f>
        <v/>
      </c>
      <c r="H1670" s="16" t="n">
        <v>0.00722638888888889</v>
      </c>
      <c r="I1670" s="17" t="n">
        <v>568</v>
      </c>
      <c r="J1670" s="16"/>
      <c r="K1670" s="17"/>
      <c r="L1670" s="17" t="n">
        <f aca="false">COUNT(E1670,I1670,K1670)</f>
        <v>1</v>
      </c>
      <c r="M1670" s="18" t="n">
        <f aca="false">(D1670&lt;&gt;"")*(D1670&lt;=($E$3*60+$F$3)/86400)+(H1670&lt;&gt;"")*(H1670&lt;=($I$3*60+$J$3)/86400)+(J1670&lt;&gt;"")*(J1670&lt;=($M$3*60+$N$3)/86400)</f>
        <v>0</v>
      </c>
      <c r="N1670" s="20"/>
      <c r="O1670" s="20"/>
      <c r="P1670" s="20"/>
      <c r="Q1670" s="19"/>
    </row>
    <row r="1671" customFormat="false" ht="15" hidden="false" customHeight="false" outlineLevel="0" collapsed="false">
      <c r="A1671" s="10" t="n">
        <v>1665</v>
      </c>
      <c r="B1671" s="12" t="s">
        <v>2606</v>
      </c>
      <c r="C1671" s="12" t="s">
        <v>2607</v>
      </c>
      <c r="D1671" s="13"/>
      <c r="E1671" s="14"/>
      <c r="F1671" s="15" t="str">
        <f aca="false">IF(D1671="","",ROUND((D1671-MIN($D$7:$D$9999))*86400,2))</f>
        <v/>
      </c>
      <c r="G1671" s="10" t="str">
        <f aca="false">IF(D1671="","",IF(D1671&lt;=($E$3*60+$F$3)/86400,"○",""))</f>
        <v/>
      </c>
      <c r="H1671" s="16" t="n">
        <v>0.00722743055555556</v>
      </c>
      <c r="I1671" s="17" t="n">
        <v>569</v>
      </c>
      <c r="J1671" s="16"/>
      <c r="K1671" s="17"/>
      <c r="L1671" s="17" t="n">
        <f aca="false">COUNT(E1671,I1671,K1671)</f>
        <v>1</v>
      </c>
      <c r="M1671" s="18" t="n">
        <f aca="false">(D1671&lt;&gt;"")*(D1671&lt;=($E$3*60+$F$3)/86400)+(H1671&lt;&gt;"")*(H1671&lt;=($I$3*60+$J$3)/86400)+(J1671&lt;&gt;"")*(J1671&lt;=($M$3*60+$N$3)/86400)</f>
        <v>0</v>
      </c>
      <c r="N1671" s="20"/>
      <c r="O1671" s="20"/>
      <c r="P1671" s="20"/>
      <c r="Q1671" s="19"/>
    </row>
    <row r="1672" customFormat="false" ht="15" hidden="false" customHeight="false" outlineLevel="0" collapsed="false">
      <c r="A1672" s="10" t="n">
        <v>1666</v>
      </c>
      <c r="B1672" s="12" t="s">
        <v>2608</v>
      </c>
      <c r="C1672" s="12" t="s">
        <v>2609</v>
      </c>
      <c r="D1672" s="13"/>
      <c r="E1672" s="14"/>
      <c r="F1672" s="15" t="str">
        <f aca="false">IF(D1672="","",ROUND((D1672-MIN($D$7:$D$9999))*86400,2))</f>
        <v/>
      </c>
      <c r="G1672" s="10" t="str">
        <f aca="false">IF(D1672="","",IF(D1672&lt;=($E$3*60+$F$3)/86400,"○",""))</f>
        <v/>
      </c>
      <c r="H1672" s="16" t="n">
        <v>0.00722881944444445</v>
      </c>
      <c r="I1672" s="17" t="n">
        <v>570</v>
      </c>
      <c r="J1672" s="16"/>
      <c r="K1672" s="17"/>
      <c r="L1672" s="17" t="n">
        <f aca="false">COUNT(E1672,I1672,K1672)</f>
        <v>1</v>
      </c>
      <c r="M1672" s="18" t="n">
        <f aca="false">(D1672&lt;&gt;"")*(D1672&lt;=($E$3*60+$F$3)/86400)+(H1672&lt;&gt;"")*(H1672&lt;=($I$3*60+$J$3)/86400)+(J1672&lt;&gt;"")*(J1672&lt;=($M$3*60+$N$3)/86400)</f>
        <v>0</v>
      </c>
      <c r="N1672" s="20"/>
      <c r="O1672" s="20"/>
      <c r="P1672" s="20"/>
      <c r="Q1672" s="19"/>
    </row>
    <row r="1673" customFormat="false" ht="15" hidden="false" customHeight="false" outlineLevel="0" collapsed="false">
      <c r="A1673" s="10" t="n">
        <v>1667</v>
      </c>
      <c r="B1673" s="12" t="s">
        <v>2610</v>
      </c>
      <c r="C1673" s="12" t="s">
        <v>1927</v>
      </c>
      <c r="D1673" s="13"/>
      <c r="E1673" s="14"/>
      <c r="F1673" s="15" t="str">
        <f aca="false">IF(D1673="","",ROUND((D1673-MIN($D$7:$D$9999))*86400,2))</f>
        <v/>
      </c>
      <c r="G1673" s="10" t="str">
        <f aca="false">IF(D1673="","",IF(D1673&lt;=($E$3*60+$F$3)/86400,"○",""))</f>
        <v/>
      </c>
      <c r="H1673" s="16" t="n">
        <v>0.00722905092592593</v>
      </c>
      <c r="I1673" s="17" t="n">
        <v>571</v>
      </c>
      <c r="J1673" s="16"/>
      <c r="K1673" s="17"/>
      <c r="L1673" s="17" t="n">
        <f aca="false">COUNT(E1673,I1673,K1673)</f>
        <v>1</v>
      </c>
      <c r="M1673" s="18" t="n">
        <f aca="false">(D1673&lt;&gt;"")*(D1673&lt;=($E$3*60+$F$3)/86400)+(H1673&lt;&gt;"")*(H1673&lt;=($I$3*60+$J$3)/86400)+(J1673&lt;&gt;"")*(J1673&lt;=($M$3*60+$N$3)/86400)</f>
        <v>0</v>
      </c>
      <c r="N1673" s="20"/>
      <c r="O1673" s="20"/>
      <c r="P1673" s="20"/>
      <c r="Q1673" s="19"/>
    </row>
    <row r="1674" customFormat="false" ht="15" hidden="false" customHeight="false" outlineLevel="0" collapsed="false">
      <c r="A1674" s="10" t="n">
        <v>1668</v>
      </c>
      <c r="B1674" s="12" t="s">
        <v>2611</v>
      </c>
      <c r="C1674" s="12" t="s">
        <v>2612</v>
      </c>
      <c r="D1674" s="13"/>
      <c r="E1674" s="14"/>
      <c r="F1674" s="15" t="str">
        <f aca="false">IF(D1674="","",ROUND((D1674-MIN($D$7:$D$9999))*86400,2))</f>
        <v/>
      </c>
      <c r="G1674" s="10" t="str">
        <f aca="false">IF(D1674="","",IF(D1674&lt;=($E$3*60+$F$3)/86400,"○",""))</f>
        <v/>
      </c>
      <c r="H1674" s="16" t="n">
        <v>0.00722916666666667</v>
      </c>
      <c r="I1674" s="17" t="n">
        <v>572</v>
      </c>
      <c r="J1674" s="16"/>
      <c r="K1674" s="17"/>
      <c r="L1674" s="17" t="n">
        <f aca="false">COUNT(E1674,I1674,K1674)</f>
        <v>1</v>
      </c>
      <c r="M1674" s="18" t="n">
        <f aca="false">(D1674&lt;&gt;"")*(D1674&lt;=($E$3*60+$F$3)/86400)+(H1674&lt;&gt;"")*(H1674&lt;=($I$3*60+$J$3)/86400)+(J1674&lt;&gt;"")*(J1674&lt;=($M$3*60+$N$3)/86400)</f>
        <v>0</v>
      </c>
      <c r="N1674" s="20"/>
      <c r="O1674" s="20"/>
      <c r="P1674" s="20"/>
      <c r="Q1674" s="19"/>
    </row>
    <row r="1675" customFormat="false" ht="15" hidden="false" customHeight="false" outlineLevel="0" collapsed="false">
      <c r="A1675" s="10" t="n">
        <v>1669</v>
      </c>
      <c r="B1675" s="12" t="s">
        <v>2613</v>
      </c>
      <c r="C1675" s="12" t="s">
        <v>1049</v>
      </c>
      <c r="D1675" s="13"/>
      <c r="E1675" s="14"/>
      <c r="F1675" s="15" t="str">
        <f aca="false">IF(D1675="","",ROUND((D1675-MIN($D$7:$D$9999))*86400,2))</f>
        <v/>
      </c>
      <c r="G1675" s="10" t="str">
        <f aca="false">IF(D1675="","",IF(D1675&lt;=($E$3*60+$F$3)/86400,"○",""))</f>
        <v/>
      </c>
      <c r="H1675" s="16" t="n">
        <v>0.00722951388888889</v>
      </c>
      <c r="I1675" s="17" t="n">
        <v>573</v>
      </c>
      <c r="J1675" s="16" t="n">
        <v>0.00286990740740741</v>
      </c>
      <c r="K1675" s="17" t="n">
        <v>695</v>
      </c>
      <c r="L1675" s="17" t="n">
        <f aca="false">COUNT(E1675,I1675,K1675)</f>
        <v>2</v>
      </c>
      <c r="M1675" s="18" t="n">
        <f aca="false">(D1675&lt;&gt;"")*(D1675&lt;=($E$3*60+$F$3)/86400)+(H1675&lt;&gt;"")*(H1675&lt;=($I$3*60+$J$3)/86400)+(J1675&lt;&gt;"")*(J1675&lt;=($M$3*60+$N$3)/86400)</f>
        <v>0</v>
      </c>
      <c r="N1675" s="20"/>
      <c r="O1675" s="20"/>
      <c r="P1675" s="20"/>
      <c r="Q1675" s="19"/>
    </row>
    <row r="1676" customFormat="false" ht="15" hidden="false" customHeight="false" outlineLevel="0" collapsed="false">
      <c r="A1676" s="10" t="n">
        <v>1670</v>
      </c>
      <c r="B1676" s="12" t="s">
        <v>2614</v>
      </c>
      <c r="C1676" s="12" t="s">
        <v>290</v>
      </c>
      <c r="D1676" s="13"/>
      <c r="E1676" s="14"/>
      <c r="F1676" s="15" t="str">
        <f aca="false">IF(D1676="","",ROUND((D1676-MIN($D$7:$D$9999))*86400,2))</f>
        <v/>
      </c>
      <c r="G1676" s="10" t="str">
        <f aca="false">IF(D1676="","",IF(D1676&lt;=($E$3*60+$F$3)/86400,"○",""))</f>
        <v/>
      </c>
      <c r="H1676" s="16"/>
      <c r="I1676" s="17"/>
      <c r="J1676" s="16" t="n">
        <v>0.00285069444444445</v>
      </c>
      <c r="K1676" s="17" t="n">
        <v>573</v>
      </c>
      <c r="L1676" s="17" t="n">
        <f aca="false">COUNT(E1676,I1676,K1676)</f>
        <v>1</v>
      </c>
      <c r="M1676" s="18" t="n">
        <f aca="false">(D1676&lt;&gt;"")*(D1676&lt;=($E$3*60+$F$3)/86400)+(H1676&lt;&gt;"")*(H1676&lt;=($I$3*60+$J$3)/86400)+(J1676&lt;&gt;"")*(J1676&lt;=($M$3*60+$N$3)/86400)</f>
        <v>0</v>
      </c>
      <c r="N1676" s="20"/>
      <c r="O1676" s="20"/>
      <c r="P1676" s="20"/>
      <c r="Q1676" s="19"/>
    </row>
    <row r="1677" customFormat="false" ht="15" hidden="false" customHeight="false" outlineLevel="0" collapsed="false">
      <c r="A1677" s="10" t="n">
        <v>1671</v>
      </c>
      <c r="B1677" s="12" t="s">
        <v>2615</v>
      </c>
      <c r="C1677" s="12" t="s">
        <v>2616</v>
      </c>
      <c r="D1677" s="13"/>
      <c r="E1677" s="14"/>
      <c r="F1677" s="15" t="str">
        <f aca="false">IF(D1677="","",ROUND((D1677-MIN($D$7:$D$9999))*86400,2))</f>
        <v/>
      </c>
      <c r="G1677" s="10" t="str">
        <f aca="false">IF(D1677="","",IF(D1677&lt;=($E$3*60+$F$3)/86400,"○",""))</f>
        <v/>
      </c>
      <c r="H1677" s="16"/>
      <c r="I1677" s="17"/>
      <c r="J1677" s="16" t="n">
        <v>0.00285092592592593</v>
      </c>
      <c r="K1677" s="17" t="n">
        <v>575</v>
      </c>
      <c r="L1677" s="17" t="n">
        <f aca="false">COUNT(E1677,I1677,K1677)</f>
        <v>1</v>
      </c>
      <c r="M1677" s="18" t="n">
        <f aca="false">(D1677&lt;&gt;"")*(D1677&lt;=($E$3*60+$F$3)/86400)+(H1677&lt;&gt;"")*(H1677&lt;=($I$3*60+$J$3)/86400)+(J1677&lt;&gt;"")*(J1677&lt;=($M$3*60+$N$3)/86400)</f>
        <v>0</v>
      </c>
      <c r="N1677" s="20"/>
      <c r="O1677" s="20"/>
      <c r="P1677" s="20"/>
      <c r="Q1677" s="19"/>
    </row>
    <row r="1678" customFormat="false" ht="15" hidden="false" customHeight="false" outlineLevel="0" collapsed="false">
      <c r="A1678" s="10" t="n">
        <v>1672</v>
      </c>
      <c r="B1678" s="12" t="s">
        <v>2617</v>
      </c>
      <c r="C1678" s="12" t="s">
        <v>674</v>
      </c>
      <c r="D1678" s="13"/>
      <c r="E1678" s="14"/>
      <c r="F1678" s="15" t="str">
        <f aca="false">IF(D1678="","",ROUND((D1678-MIN($D$7:$D$9999))*86400,2))</f>
        <v/>
      </c>
      <c r="G1678" s="10" t="str">
        <f aca="false">IF(D1678="","",IF(D1678&lt;=($E$3*60+$F$3)/86400,"○",""))</f>
        <v/>
      </c>
      <c r="H1678" s="16" t="n">
        <v>0.00723217592592593</v>
      </c>
      <c r="I1678" s="17" t="n">
        <v>577</v>
      </c>
      <c r="J1678" s="16"/>
      <c r="K1678" s="17"/>
      <c r="L1678" s="17" t="n">
        <f aca="false">COUNT(E1678,I1678,K1678)</f>
        <v>1</v>
      </c>
      <c r="M1678" s="18" t="n">
        <f aca="false">(D1678&lt;&gt;"")*(D1678&lt;=($E$3*60+$F$3)/86400)+(H1678&lt;&gt;"")*(H1678&lt;=($I$3*60+$J$3)/86400)+(J1678&lt;&gt;"")*(J1678&lt;=($M$3*60+$N$3)/86400)</f>
        <v>0</v>
      </c>
      <c r="N1678" s="20"/>
      <c r="O1678" s="20"/>
      <c r="P1678" s="20"/>
      <c r="Q1678" s="19"/>
    </row>
    <row r="1679" customFormat="false" ht="15" hidden="false" customHeight="false" outlineLevel="0" collapsed="false">
      <c r="A1679" s="10" t="n">
        <v>1673</v>
      </c>
      <c r="B1679" s="12" t="s">
        <v>2618</v>
      </c>
      <c r="C1679" s="12" t="s">
        <v>2619</v>
      </c>
      <c r="D1679" s="13"/>
      <c r="E1679" s="14"/>
      <c r="F1679" s="15" t="str">
        <f aca="false">IF(D1679="","",ROUND((D1679-MIN($D$7:$D$9999))*86400,2))</f>
        <v/>
      </c>
      <c r="G1679" s="10" t="str">
        <f aca="false">IF(D1679="","",IF(D1679&lt;=($E$3*60+$F$3)/86400,"○",""))</f>
        <v/>
      </c>
      <c r="H1679" s="16"/>
      <c r="I1679" s="17"/>
      <c r="J1679" s="16" t="n">
        <v>0.00285127314814815</v>
      </c>
      <c r="K1679" s="17" t="n">
        <v>577</v>
      </c>
      <c r="L1679" s="17" t="n">
        <f aca="false">COUNT(E1679,I1679,K1679)</f>
        <v>1</v>
      </c>
      <c r="M1679" s="18" t="n">
        <f aca="false">(D1679&lt;&gt;"")*(D1679&lt;=($E$3*60+$F$3)/86400)+(H1679&lt;&gt;"")*(H1679&lt;=($I$3*60+$J$3)/86400)+(J1679&lt;&gt;"")*(J1679&lt;=($M$3*60+$N$3)/86400)</f>
        <v>0</v>
      </c>
      <c r="N1679" s="20"/>
      <c r="O1679" s="20"/>
      <c r="P1679" s="20"/>
      <c r="Q1679" s="19"/>
    </row>
    <row r="1680" customFormat="false" ht="15" hidden="false" customHeight="false" outlineLevel="0" collapsed="false">
      <c r="A1680" s="10" t="n">
        <v>1674</v>
      </c>
      <c r="B1680" s="12" t="s">
        <v>2620</v>
      </c>
      <c r="C1680" s="12" t="s">
        <v>2621</v>
      </c>
      <c r="D1680" s="13"/>
      <c r="E1680" s="14"/>
      <c r="F1680" s="15" t="str">
        <f aca="false">IF(D1680="","",ROUND((D1680-MIN($D$7:$D$9999))*86400,2))</f>
        <v/>
      </c>
      <c r="G1680" s="10" t="str">
        <f aca="false">IF(D1680="","",IF(D1680&lt;=($E$3*60+$F$3)/86400,"○",""))</f>
        <v/>
      </c>
      <c r="H1680" s="16" t="n">
        <v>0.00723321759259259</v>
      </c>
      <c r="I1680" s="17" t="n">
        <v>578</v>
      </c>
      <c r="J1680" s="16"/>
      <c r="K1680" s="17"/>
      <c r="L1680" s="17" t="n">
        <f aca="false">COUNT(E1680,I1680,K1680)</f>
        <v>1</v>
      </c>
      <c r="M1680" s="18" t="n">
        <f aca="false">(D1680&lt;&gt;"")*(D1680&lt;=($E$3*60+$F$3)/86400)+(H1680&lt;&gt;"")*(H1680&lt;=($I$3*60+$J$3)/86400)+(J1680&lt;&gt;"")*(J1680&lt;=($M$3*60+$N$3)/86400)</f>
        <v>0</v>
      </c>
      <c r="N1680" s="20"/>
      <c r="O1680" s="20"/>
      <c r="P1680" s="20"/>
      <c r="Q1680" s="19"/>
    </row>
    <row r="1681" customFormat="false" ht="15" hidden="false" customHeight="false" outlineLevel="0" collapsed="false">
      <c r="A1681" s="10" t="n">
        <v>1675</v>
      </c>
      <c r="B1681" s="12" t="s">
        <v>2622</v>
      </c>
      <c r="C1681" s="12" t="s">
        <v>846</v>
      </c>
      <c r="D1681" s="13"/>
      <c r="E1681" s="14"/>
      <c r="F1681" s="15" t="str">
        <f aca="false">IF(D1681="","",ROUND((D1681-MIN($D$7:$D$9999))*86400,2))</f>
        <v/>
      </c>
      <c r="G1681" s="10" t="str">
        <f aca="false">IF(D1681="","",IF(D1681&lt;=($E$3*60+$F$3)/86400,"○",""))</f>
        <v/>
      </c>
      <c r="H1681" s="16" t="n">
        <v>0.0072337962962963</v>
      </c>
      <c r="I1681" s="17" t="n">
        <v>579</v>
      </c>
      <c r="J1681" s="16"/>
      <c r="K1681" s="17"/>
      <c r="L1681" s="17" t="n">
        <f aca="false">COUNT(E1681,I1681,K1681)</f>
        <v>1</v>
      </c>
      <c r="M1681" s="18" t="n">
        <f aca="false">(D1681&lt;&gt;"")*(D1681&lt;=($E$3*60+$F$3)/86400)+(H1681&lt;&gt;"")*(H1681&lt;=($I$3*60+$J$3)/86400)+(J1681&lt;&gt;"")*(J1681&lt;=($M$3*60+$N$3)/86400)</f>
        <v>0</v>
      </c>
      <c r="N1681" s="20"/>
      <c r="O1681" s="20"/>
      <c r="P1681" s="20"/>
      <c r="Q1681" s="19"/>
    </row>
    <row r="1682" customFormat="false" ht="15" hidden="false" customHeight="false" outlineLevel="0" collapsed="false">
      <c r="A1682" s="10" t="n">
        <v>1676</v>
      </c>
      <c r="B1682" s="12" t="s">
        <v>2623</v>
      </c>
      <c r="C1682" s="12" t="s">
        <v>2624</v>
      </c>
      <c r="D1682" s="13"/>
      <c r="E1682" s="14"/>
      <c r="F1682" s="15" t="str">
        <f aca="false">IF(D1682="","",ROUND((D1682-MIN($D$7:$D$9999))*86400,2))</f>
        <v/>
      </c>
      <c r="G1682" s="10" t="str">
        <f aca="false">IF(D1682="","",IF(D1682&lt;=($E$3*60+$F$3)/86400,"○",""))</f>
        <v/>
      </c>
      <c r="H1682" s="16" t="n">
        <v>0.00723460648148148</v>
      </c>
      <c r="I1682" s="17" t="n">
        <v>580</v>
      </c>
      <c r="J1682" s="16"/>
      <c r="K1682" s="17"/>
      <c r="L1682" s="17" t="n">
        <f aca="false">COUNT(E1682,I1682,K1682)</f>
        <v>1</v>
      </c>
      <c r="M1682" s="18" t="n">
        <f aca="false">(D1682&lt;&gt;"")*(D1682&lt;=($E$3*60+$F$3)/86400)+(H1682&lt;&gt;"")*(H1682&lt;=($I$3*60+$J$3)/86400)+(J1682&lt;&gt;"")*(J1682&lt;=($M$3*60+$N$3)/86400)</f>
        <v>0</v>
      </c>
      <c r="N1682" s="20"/>
      <c r="O1682" s="20"/>
      <c r="P1682" s="20"/>
      <c r="Q1682" s="19"/>
    </row>
    <row r="1683" customFormat="false" ht="15" hidden="false" customHeight="false" outlineLevel="0" collapsed="false">
      <c r="A1683" s="10" t="n">
        <v>1677</v>
      </c>
      <c r="B1683" s="12" t="s">
        <v>2625</v>
      </c>
      <c r="C1683" s="12" t="s">
        <v>1315</v>
      </c>
      <c r="D1683" s="13"/>
      <c r="E1683" s="14"/>
      <c r="F1683" s="15" t="str">
        <f aca="false">IF(D1683="","",ROUND((D1683-MIN($D$7:$D$9999))*86400,2))</f>
        <v/>
      </c>
      <c r="G1683" s="10" t="str">
        <f aca="false">IF(D1683="","",IF(D1683&lt;=($E$3*60+$F$3)/86400,"○",""))</f>
        <v/>
      </c>
      <c r="H1683" s="16"/>
      <c r="I1683" s="17"/>
      <c r="J1683" s="16" t="n">
        <v>0.00285185185185185</v>
      </c>
      <c r="K1683" s="17" t="n">
        <v>580</v>
      </c>
      <c r="L1683" s="17" t="n">
        <f aca="false">COUNT(E1683,I1683,K1683)</f>
        <v>1</v>
      </c>
      <c r="M1683" s="18" t="n">
        <f aca="false">(D1683&lt;&gt;"")*(D1683&lt;=($E$3*60+$F$3)/86400)+(H1683&lt;&gt;"")*(H1683&lt;=($I$3*60+$J$3)/86400)+(J1683&lt;&gt;"")*(J1683&lt;=($M$3*60+$N$3)/86400)</f>
        <v>0</v>
      </c>
      <c r="N1683" s="20"/>
      <c r="O1683" s="20"/>
      <c r="P1683" s="20"/>
      <c r="Q1683" s="19"/>
    </row>
    <row r="1684" customFormat="false" ht="15" hidden="false" customHeight="false" outlineLevel="0" collapsed="false">
      <c r="A1684" s="10" t="n">
        <v>1678</v>
      </c>
      <c r="B1684" s="12" t="s">
        <v>2626</v>
      </c>
      <c r="C1684" s="12" t="s">
        <v>1154</v>
      </c>
      <c r="D1684" s="13"/>
      <c r="E1684" s="14"/>
      <c r="F1684" s="15" t="str">
        <f aca="false">IF(D1684="","",ROUND((D1684-MIN($D$7:$D$9999))*86400,2))</f>
        <v/>
      </c>
      <c r="G1684" s="10" t="str">
        <f aca="false">IF(D1684="","",IF(D1684&lt;=($E$3*60+$F$3)/86400,"○",""))</f>
        <v/>
      </c>
      <c r="H1684" s="16" t="n">
        <v>0.00723634259259259</v>
      </c>
      <c r="I1684" s="17" t="n">
        <v>582</v>
      </c>
      <c r="J1684" s="16"/>
      <c r="K1684" s="17"/>
      <c r="L1684" s="17" t="n">
        <f aca="false">COUNT(E1684,I1684,K1684)</f>
        <v>1</v>
      </c>
      <c r="M1684" s="18" t="n">
        <f aca="false">(D1684&lt;&gt;"")*(D1684&lt;=($E$3*60+$F$3)/86400)+(H1684&lt;&gt;"")*(H1684&lt;=($I$3*60+$J$3)/86400)+(J1684&lt;&gt;"")*(J1684&lt;=($M$3*60+$N$3)/86400)</f>
        <v>0</v>
      </c>
      <c r="N1684" s="20"/>
      <c r="O1684" s="20"/>
      <c r="P1684" s="20"/>
      <c r="Q1684" s="19"/>
    </row>
    <row r="1685" customFormat="false" ht="15" hidden="false" customHeight="false" outlineLevel="0" collapsed="false">
      <c r="A1685" s="10" t="n">
        <v>1679</v>
      </c>
      <c r="B1685" s="12" t="s">
        <v>2627</v>
      </c>
      <c r="C1685" s="12" t="s">
        <v>2628</v>
      </c>
      <c r="D1685" s="13"/>
      <c r="E1685" s="14"/>
      <c r="F1685" s="15" t="str">
        <f aca="false">IF(D1685="","",ROUND((D1685-MIN($D$7:$D$9999))*86400,2))</f>
        <v/>
      </c>
      <c r="G1685" s="10" t="str">
        <f aca="false">IF(D1685="","",IF(D1685&lt;=($E$3*60+$F$3)/86400,"○",""))</f>
        <v/>
      </c>
      <c r="H1685" s="16" t="n">
        <v>0.00723761574074074</v>
      </c>
      <c r="I1685" s="17" t="n">
        <v>583</v>
      </c>
      <c r="J1685" s="16"/>
      <c r="K1685" s="17"/>
      <c r="L1685" s="17" t="n">
        <f aca="false">COUNT(E1685,I1685,K1685)</f>
        <v>1</v>
      </c>
      <c r="M1685" s="18" t="n">
        <f aca="false">(D1685&lt;&gt;"")*(D1685&lt;=($E$3*60+$F$3)/86400)+(H1685&lt;&gt;"")*(H1685&lt;=($I$3*60+$J$3)/86400)+(J1685&lt;&gt;"")*(J1685&lt;=($M$3*60+$N$3)/86400)</f>
        <v>0</v>
      </c>
      <c r="N1685" s="20"/>
      <c r="O1685" s="20"/>
      <c r="P1685" s="20"/>
      <c r="Q1685" s="19"/>
    </row>
    <row r="1686" customFormat="false" ht="15" hidden="false" customHeight="false" outlineLevel="0" collapsed="false">
      <c r="A1686" s="10" t="n">
        <v>1680</v>
      </c>
      <c r="B1686" s="12" t="s">
        <v>2629</v>
      </c>
      <c r="C1686" s="12" t="s">
        <v>1092</v>
      </c>
      <c r="D1686" s="13"/>
      <c r="E1686" s="14"/>
      <c r="F1686" s="15" t="str">
        <f aca="false">IF(D1686="","",ROUND((D1686-MIN($D$7:$D$9999))*86400,2))</f>
        <v/>
      </c>
      <c r="G1686" s="10" t="str">
        <f aca="false">IF(D1686="","",IF(D1686&lt;=($E$3*60+$F$3)/86400,"○",""))</f>
        <v/>
      </c>
      <c r="H1686" s="16" t="n">
        <v>0.0072380787037037</v>
      </c>
      <c r="I1686" s="17" t="n">
        <v>584</v>
      </c>
      <c r="J1686" s="16"/>
      <c r="K1686" s="17"/>
      <c r="L1686" s="17" t="n">
        <f aca="false">COUNT(E1686,I1686,K1686)</f>
        <v>1</v>
      </c>
      <c r="M1686" s="18" t="n">
        <f aca="false">(D1686&lt;&gt;"")*(D1686&lt;=($E$3*60+$F$3)/86400)+(H1686&lt;&gt;"")*(H1686&lt;=($I$3*60+$J$3)/86400)+(J1686&lt;&gt;"")*(J1686&lt;=($M$3*60+$N$3)/86400)</f>
        <v>0</v>
      </c>
      <c r="N1686" s="20"/>
      <c r="O1686" s="20"/>
      <c r="P1686" s="20"/>
      <c r="Q1686" s="19"/>
    </row>
    <row r="1687" customFormat="false" ht="15" hidden="false" customHeight="false" outlineLevel="0" collapsed="false">
      <c r="A1687" s="10" t="n">
        <v>1681</v>
      </c>
      <c r="B1687" s="12" t="s">
        <v>2630</v>
      </c>
      <c r="C1687" s="12" t="s">
        <v>2631</v>
      </c>
      <c r="D1687" s="13"/>
      <c r="E1687" s="14"/>
      <c r="F1687" s="15" t="str">
        <f aca="false">IF(D1687="","",ROUND((D1687-MIN($D$7:$D$9999))*86400,2))</f>
        <v/>
      </c>
      <c r="G1687" s="10" t="str">
        <f aca="false">IF(D1687="","",IF(D1687&lt;=($E$3*60+$F$3)/86400,"○",""))</f>
        <v/>
      </c>
      <c r="H1687" s="16" t="n">
        <v>0.00723854166666667</v>
      </c>
      <c r="I1687" s="17" t="n">
        <v>585</v>
      </c>
      <c r="J1687" s="16"/>
      <c r="K1687" s="17"/>
      <c r="L1687" s="17" t="n">
        <f aca="false">COUNT(E1687,I1687,K1687)</f>
        <v>1</v>
      </c>
      <c r="M1687" s="18" t="n">
        <f aca="false">(D1687&lt;&gt;"")*(D1687&lt;=($E$3*60+$F$3)/86400)+(H1687&lt;&gt;"")*(H1687&lt;=($I$3*60+$J$3)/86400)+(J1687&lt;&gt;"")*(J1687&lt;=($M$3*60+$N$3)/86400)</f>
        <v>0</v>
      </c>
      <c r="N1687" s="20" t="s">
        <v>2632</v>
      </c>
      <c r="O1687" s="20"/>
      <c r="P1687" s="20"/>
      <c r="Q1687" s="19"/>
    </row>
    <row r="1688" customFormat="false" ht="15" hidden="false" customHeight="false" outlineLevel="0" collapsed="false">
      <c r="A1688" s="10" t="n">
        <v>1682</v>
      </c>
      <c r="B1688" s="12" t="s">
        <v>2633</v>
      </c>
      <c r="C1688" s="12" t="s">
        <v>522</v>
      </c>
      <c r="D1688" s="13"/>
      <c r="E1688" s="14"/>
      <c r="F1688" s="15" t="str">
        <f aca="false">IF(D1688="","",ROUND((D1688-MIN($D$7:$D$9999))*86400,2))</f>
        <v/>
      </c>
      <c r="G1688" s="10" t="str">
        <f aca="false">IF(D1688="","",IF(D1688&lt;=($E$3*60+$F$3)/86400,"○",""))</f>
        <v/>
      </c>
      <c r="H1688" s="16" t="n">
        <v>0.00724212962962963</v>
      </c>
      <c r="I1688" s="17" t="n">
        <v>587</v>
      </c>
      <c r="J1688" s="16"/>
      <c r="K1688" s="17"/>
      <c r="L1688" s="17" t="n">
        <f aca="false">COUNT(E1688,I1688,K1688)</f>
        <v>1</v>
      </c>
      <c r="M1688" s="18" t="n">
        <f aca="false">(D1688&lt;&gt;"")*(D1688&lt;=($E$3*60+$F$3)/86400)+(H1688&lt;&gt;"")*(H1688&lt;=($I$3*60+$J$3)/86400)+(J1688&lt;&gt;"")*(J1688&lt;=($M$3*60+$N$3)/86400)</f>
        <v>0</v>
      </c>
      <c r="N1688" s="20"/>
      <c r="O1688" s="20"/>
      <c r="P1688" s="20"/>
      <c r="Q1688" s="19"/>
    </row>
    <row r="1689" customFormat="false" ht="15" hidden="false" customHeight="false" outlineLevel="0" collapsed="false">
      <c r="A1689" s="10" t="n">
        <v>1683</v>
      </c>
      <c r="B1689" s="12" t="s">
        <v>2634</v>
      </c>
      <c r="C1689" s="12" t="s">
        <v>1971</v>
      </c>
      <c r="D1689" s="13"/>
      <c r="E1689" s="14"/>
      <c r="F1689" s="15" t="str">
        <f aca="false">IF(D1689="","",ROUND((D1689-MIN($D$7:$D$9999))*86400,2))</f>
        <v/>
      </c>
      <c r="G1689" s="10" t="str">
        <f aca="false">IF(D1689="","",IF(D1689&lt;=($E$3*60+$F$3)/86400,"○",""))</f>
        <v/>
      </c>
      <c r="H1689" s="16" t="n">
        <v>0.00724328703703704</v>
      </c>
      <c r="I1689" s="17" t="n">
        <v>589</v>
      </c>
      <c r="J1689" s="16"/>
      <c r="K1689" s="17"/>
      <c r="L1689" s="17" t="n">
        <f aca="false">COUNT(E1689,I1689,K1689)</f>
        <v>1</v>
      </c>
      <c r="M1689" s="18" t="n">
        <f aca="false">(D1689&lt;&gt;"")*(D1689&lt;=($E$3*60+$F$3)/86400)+(H1689&lt;&gt;"")*(H1689&lt;=($I$3*60+$J$3)/86400)+(J1689&lt;&gt;"")*(J1689&lt;=($M$3*60+$N$3)/86400)</f>
        <v>0</v>
      </c>
      <c r="N1689" s="20"/>
      <c r="O1689" s="20"/>
      <c r="P1689" s="20"/>
      <c r="Q1689" s="19"/>
    </row>
    <row r="1690" customFormat="false" ht="15" hidden="false" customHeight="false" outlineLevel="0" collapsed="false">
      <c r="A1690" s="10" t="n">
        <v>1684</v>
      </c>
      <c r="B1690" s="12" t="s">
        <v>2635</v>
      </c>
      <c r="C1690" s="12" t="s">
        <v>2047</v>
      </c>
      <c r="D1690" s="13"/>
      <c r="E1690" s="14"/>
      <c r="F1690" s="15" t="str">
        <f aca="false">IF(D1690="","",ROUND((D1690-MIN($D$7:$D$9999))*86400,2))</f>
        <v/>
      </c>
      <c r="G1690" s="10" t="str">
        <f aca="false">IF(D1690="","",IF(D1690&lt;=($E$3*60+$F$3)/86400,"○",""))</f>
        <v/>
      </c>
      <c r="H1690" s="16" t="n">
        <v>0.00724328703703704</v>
      </c>
      <c r="I1690" s="17" t="n">
        <v>590</v>
      </c>
      <c r="J1690" s="16"/>
      <c r="K1690" s="17"/>
      <c r="L1690" s="17" t="n">
        <f aca="false">COUNT(E1690,I1690,K1690)</f>
        <v>1</v>
      </c>
      <c r="M1690" s="18" t="n">
        <f aca="false">(D1690&lt;&gt;"")*(D1690&lt;=($E$3*60+$F$3)/86400)+(H1690&lt;&gt;"")*(H1690&lt;=($I$3*60+$J$3)/86400)+(J1690&lt;&gt;"")*(J1690&lt;=($M$3*60+$N$3)/86400)</f>
        <v>0</v>
      </c>
      <c r="N1690" s="20"/>
      <c r="O1690" s="20"/>
      <c r="P1690" s="20"/>
      <c r="Q1690" s="19"/>
    </row>
    <row r="1691" customFormat="false" ht="15" hidden="false" customHeight="false" outlineLevel="0" collapsed="false">
      <c r="A1691" s="10" t="n">
        <v>1685</v>
      </c>
      <c r="B1691" s="12" t="s">
        <v>2636</v>
      </c>
      <c r="C1691" s="12" t="s">
        <v>1740</v>
      </c>
      <c r="D1691" s="13"/>
      <c r="E1691" s="14"/>
      <c r="F1691" s="15" t="str">
        <f aca="false">IF(D1691="","",ROUND((D1691-MIN($D$7:$D$9999))*86400,2))</f>
        <v/>
      </c>
      <c r="G1691" s="10" t="str">
        <f aca="false">IF(D1691="","",IF(D1691&lt;=($E$3*60+$F$3)/86400,"○",""))</f>
        <v/>
      </c>
      <c r="H1691" s="16" t="n">
        <v>0.0072443287037037</v>
      </c>
      <c r="I1691" s="17" t="n">
        <v>591</v>
      </c>
      <c r="J1691" s="16"/>
      <c r="K1691" s="17"/>
      <c r="L1691" s="17" t="n">
        <f aca="false">COUNT(E1691,I1691,K1691)</f>
        <v>1</v>
      </c>
      <c r="M1691" s="18" t="n">
        <f aca="false">(D1691&lt;&gt;"")*(D1691&lt;=($E$3*60+$F$3)/86400)+(H1691&lt;&gt;"")*(H1691&lt;=($I$3*60+$J$3)/86400)+(J1691&lt;&gt;"")*(J1691&lt;=($M$3*60+$N$3)/86400)</f>
        <v>0</v>
      </c>
      <c r="N1691" s="20"/>
      <c r="O1691" s="20"/>
      <c r="P1691" s="20"/>
      <c r="Q1691" s="19"/>
    </row>
    <row r="1692" customFormat="false" ht="15" hidden="false" customHeight="false" outlineLevel="0" collapsed="false">
      <c r="A1692" s="10" t="n">
        <v>1686</v>
      </c>
      <c r="B1692" s="12" t="s">
        <v>2637</v>
      </c>
      <c r="C1692" s="12" t="s">
        <v>2638</v>
      </c>
      <c r="D1692" s="13"/>
      <c r="E1692" s="14"/>
      <c r="F1692" s="15" t="str">
        <f aca="false">IF(D1692="","",ROUND((D1692-MIN($D$7:$D$9999))*86400,2))</f>
        <v/>
      </c>
      <c r="G1692" s="10" t="str">
        <f aca="false">IF(D1692="","",IF(D1692&lt;=($E$3*60+$F$3)/86400,"○",""))</f>
        <v/>
      </c>
      <c r="H1692" s="16" t="n">
        <v>0.00724618055555556</v>
      </c>
      <c r="I1692" s="17" t="n">
        <v>592</v>
      </c>
      <c r="J1692" s="16"/>
      <c r="K1692" s="17"/>
      <c r="L1692" s="17" t="n">
        <f aca="false">COUNT(E1692,I1692,K1692)</f>
        <v>1</v>
      </c>
      <c r="M1692" s="18" t="n">
        <f aca="false">(D1692&lt;&gt;"")*(D1692&lt;=($E$3*60+$F$3)/86400)+(H1692&lt;&gt;"")*(H1692&lt;=($I$3*60+$J$3)/86400)+(J1692&lt;&gt;"")*(J1692&lt;=($M$3*60+$N$3)/86400)</f>
        <v>0</v>
      </c>
      <c r="N1692" s="20"/>
      <c r="O1692" s="20"/>
      <c r="P1692" s="20"/>
      <c r="Q1692" s="19"/>
    </row>
    <row r="1693" customFormat="false" ht="15" hidden="false" customHeight="false" outlineLevel="0" collapsed="false">
      <c r="A1693" s="10" t="n">
        <v>1687</v>
      </c>
      <c r="B1693" s="12" t="s">
        <v>2639</v>
      </c>
      <c r="C1693" s="12" t="s">
        <v>2161</v>
      </c>
      <c r="D1693" s="13"/>
      <c r="E1693" s="14"/>
      <c r="F1693" s="15" t="str">
        <f aca="false">IF(D1693="","",ROUND((D1693-MIN($D$7:$D$9999))*86400,2))</f>
        <v/>
      </c>
      <c r="G1693" s="10" t="str">
        <f aca="false">IF(D1693="","",IF(D1693&lt;=($E$3*60+$F$3)/86400,"○",""))</f>
        <v/>
      </c>
      <c r="H1693" s="16" t="n">
        <v>0.00724722222222222</v>
      </c>
      <c r="I1693" s="17" t="n">
        <v>593</v>
      </c>
      <c r="J1693" s="16"/>
      <c r="K1693" s="17"/>
      <c r="L1693" s="17" t="n">
        <f aca="false">COUNT(E1693,I1693,K1693)</f>
        <v>1</v>
      </c>
      <c r="M1693" s="18" t="n">
        <f aca="false">(D1693&lt;&gt;"")*(D1693&lt;=($E$3*60+$F$3)/86400)+(H1693&lt;&gt;"")*(H1693&lt;=($I$3*60+$J$3)/86400)+(J1693&lt;&gt;"")*(J1693&lt;=($M$3*60+$N$3)/86400)</f>
        <v>0</v>
      </c>
      <c r="N1693" s="20"/>
      <c r="O1693" s="20"/>
      <c r="P1693" s="20"/>
      <c r="Q1693" s="19"/>
    </row>
    <row r="1694" customFormat="false" ht="15" hidden="false" customHeight="false" outlineLevel="0" collapsed="false">
      <c r="A1694" s="10" t="n">
        <v>1688</v>
      </c>
      <c r="B1694" s="12" t="s">
        <v>2640</v>
      </c>
      <c r="C1694" s="12" t="s">
        <v>1455</v>
      </c>
      <c r="D1694" s="13"/>
      <c r="E1694" s="14"/>
      <c r="F1694" s="15" t="str">
        <f aca="false">IF(D1694="","",ROUND((D1694-MIN($D$7:$D$9999))*86400,2))</f>
        <v/>
      </c>
      <c r="G1694" s="10" t="str">
        <f aca="false">IF(D1694="","",IF(D1694&lt;=($E$3*60+$F$3)/86400,"○",""))</f>
        <v/>
      </c>
      <c r="H1694" s="16" t="n">
        <v>0.0072474537037037</v>
      </c>
      <c r="I1694" s="17" t="n">
        <v>594</v>
      </c>
      <c r="J1694" s="16"/>
      <c r="K1694" s="17"/>
      <c r="L1694" s="17" t="n">
        <f aca="false">COUNT(E1694,I1694,K1694)</f>
        <v>1</v>
      </c>
      <c r="M1694" s="18" t="n">
        <f aca="false">(D1694&lt;&gt;"")*(D1694&lt;=($E$3*60+$F$3)/86400)+(H1694&lt;&gt;"")*(H1694&lt;=($I$3*60+$J$3)/86400)+(J1694&lt;&gt;"")*(J1694&lt;=($M$3*60+$N$3)/86400)</f>
        <v>0</v>
      </c>
      <c r="N1694" s="20"/>
      <c r="O1694" s="20"/>
      <c r="P1694" s="20"/>
      <c r="Q1694" s="19"/>
    </row>
    <row r="1695" customFormat="false" ht="15" hidden="false" customHeight="false" outlineLevel="0" collapsed="false">
      <c r="A1695" s="10" t="n">
        <v>1689</v>
      </c>
      <c r="B1695" s="12" t="s">
        <v>2641</v>
      </c>
      <c r="C1695" s="12" t="s">
        <v>2642</v>
      </c>
      <c r="D1695" s="13"/>
      <c r="E1695" s="14"/>
      <c r="F1695" s="15" t="str">
        <f aca="false">IF(D1695="","",ROUND((D1695-MIN($D$7:$D$9999))*86400,2))</f>
        <v/>
      </c>
      <c r="G1695" s="10" t="str">
        <f aca="false">IF(D1695="","",IF(D1695&lt;=($E$3*60+$F$3)/86400,"○",""))</f>
        <v/>
      </c>
      <c r="H1695" s="16"/>
      <c r="I1695" s="17"/>
      <c r="J1695" s="16" t="n">
        <v>0.00285405092592593</v>
      </c>
      <c r="K1695" s="17" t="n">
        <v>594</v>
      </c>
      <c r="L1695" s="17" t="n">
        <f aca="false">COUNT(E1695,I1695,K1695)</f>
        <v>1</v>
      </c>
      <c r="M1695" s="18" t="n">
        <f aca="false">(D1695&lt;&gt;"")*(D1695&lt;=($E$3*60+$F$3)/86400)+(H1695&lt;&gt;"")*(H1695&lt;=($I$3*60+$J$3)/86400)+(J1695&lt;&gt;"")*(J1695&lt;=($M$3*60+$N$3)/86400)</f>
        <v>0</v>
      </c>
      <c r="N1695" s="20"/>
      <c r="O1695" s="20"/>
      <c r="P1695" s="20"/>
      <c r="Q1695" s="19"/>
    </row>
    <row r="1696" customFormat="false" ht="15" hidden="false" customHeight="false" outlineLevel="0" collapsed="false">
      <c r="A1696" s="10" t="n">
        <v>1690</v>
      </c>
      <c r="B1696" s="12" t="s">
        <v>2643</v>
      </c>
      <c r="C1696" s="12" t="s">
        <v>2644</v>
      </c>
      <c r="D1696" s="13"/>
      <c r="E1696" s="14"/>
      <c r="F1696" s="15" t="str">
        <f aca="false">IF(D1696="","",ROUND((D1696-MIN($D$7:$D$9999))*86400,2))</f>
        <v/>
      </c>
      <c r="G1696" s="10" t="str">
        <f aca="false">IF(D1696="","",IF(D1696&lt;=($E$3*60+$F$3)/86400,"○",""))</f>
        <v/>
      </c>
      <c r="H1696" s="16" t="n">
        <v>0.00724768518518519</v>
      </c>
      <c r="I1696" s="17" t="n">
        <v>595</v>
      </c>
      <c r="J1696" s="16"/>
      <c r="K1696" s="17"/>
      <c r="L1696" s="17" t="n">
        <f aca="false">COUNT(E1696,I1696,K1696)</f>
        <v>1</v>
      </c>
      <c r="M1696" s="18" t="n">
        <f aca="false">(D1696&lt;&gt;"")*(D1696&lt;=($E$3*60+$F$3)/86400)+(H1696&lt;&gt;"")*(H1696&lt;=($I$3*60+$J$3)/86400)+(J1696&lt;&gt;"")*(J1696&lt;=($M$3*60+$N$3)/86400)</f>
        <v>0</v>
      </c>
      <c r="N1696" s="20"/>
      <c r="O1696" s="20"/>
      <c r="P1696" s="20"/>
      <c r="Q1696" s="19"/>
    </row>
    <row r="1697" customFormat="false" ht="15" hidden="false" customHeight="false" outlineLevel="0" collapsed="false">
      <c r="A1697" s="10" t="n">
        <v>1691</v>
      </c>
      <c r="B1697" s="12" t="s">
        <v>2645</v>
      </c>
      <c r="C1697" s="12" t="s">
        <v>2646</v>
      </c>
      <c r="D1697" s="13"/>
      <c r="E1697" s="14"/>
      <c r="F1697" s="15" t="str">
        <f aca="false">IF(D1697="","",ROUND((D1697-MIN($D$7:$D$9999))*86400,2))</f>
        <v/>
      </c>
      <c r="G1697" s="10" t="str">
        <f aca="false">IF(D1697="","",IF(D1697&lt;=($E$3*60+$F$3)/86400,"○",""))</f>
        <v/>
      </c>
      <c r="H1697" s="16"/>
      <c r="I1697" s="17"/>
      <c r="J1697" s="16" t="n">
        <v>0.00285405092592593</v>
      </c>
      <c r="K1697" s="17" t="n">
        <v>595</v>
      </c>
      <c r="L1697" s="17" t="n">
        <f aca="false">COUNT(E1697,I1697,K1697)</f>
        <v>1</v>
      </c>
      <c r="M1697" s="18" t="n">
        <f aca="false">(D1697&lt;&gt;"")*(D1697&lt;=($E$3*60+$F$3)/86400)+(H1697&lt;&gt;"")*(H1697&lt;=($I$3*60+$J$3)/86400)+(J1697&lt;&gt;"")*(J1697&lt;=($M$3*60+$N$3)/86400)</f>
        <v>0</v>
      </c>
      <c r="N1697" s="20"/>
      <c r="O1697" s="20"/>
      <c r="P1697" s="20"/>
      <c r="Q1697" s="19"/>
    </row>
    <row r="1698" customFormat="false" ht="15" hidden="false" customHeight="false" outlineLevel="0" collapsed="false">
      <c r="A1698" s="10" t="n">
        <v>1692</v>
      </c>
      <c r="B1698" s="12" t="s">
        <v>2647</v>
      </c>
      <c r="C1698" s="12" t="s">
        <v>1697</v>
      </c>
      <c r="D1698" s="13"/>
      <c r="E1698" s="14"/>
      <c r="F1698" s="15" t="str">
        <f aca="false">IF(D1698="","",ROUND((D1698-MIN($D$7:$D$9999))*86400,2))</f>
        <v/>
      </c>
      <c r="G1698" s="10" t="str">
        <f aca="false">IF(D1698="","",IF(D1698&lt;=($E$3*60+$F$3)/86400,"○",""))</f>
        <v/>
      </c>
      <c r="H1698" s="16" t="n">
        <v>0.00724826388888889</v>
      </c>
      <c r="I1698" s="17" t="n">
        <v>596</v>
      </c>
      <c r="J1698" s="16" t="n">
        <v>0.00290162037037037</v>
      </c>
      <c r="K1698" s="17" t="n">
        <v>961</v>
      </c>
      <c r="L1698" s="17" t="n">
        <f aca="false">COUNT(E1698,I1698,K1698)</f>
        <v>2</v>
      </c>
      <c r="M1698" s="18" t="n">
        <f aca="false">(D1698&lt;&gt;"")*(D1698&lt;=($E$3*60+$F$3)/86400)+(H1698&lt;&gt;"")*(H1698&lt;=($I$3*60+$J$3)/86400)+(J1698&lt;&gt;"")*(J1698&lt;=($M$3*60+$N$3)/86400)</f>
        <v>0</v>
      </c>
      <c r="N1698" s="20"/>
      <c r="O1698" s="20"/>
      <c r="P1698" s="20"/>
      <c r="Q1698" s="19"/>
    </row>
    <row r="1699" customFormat="false" ht="15" hidden="false" customHeight="false" outlineLevel="0" collapsed="false">
      <c r="A1699" s="10" t="n">
        <v>1693</v>
      </c>
      <c r="B1699" s="12" t="s">
        <v>2648</v>
      </c>
      <c r="C1699" s="12" t="s">
        <v>2649</v>
      </c>
      <c r="D1699" s="13"/>
      <c r="E1699" s="14"/>
      <c r="F1699" s="15" t="str">
        <f aca="false">IF(D1699="","",ROUND((D1699-MIN($D$7:$D$9999))*86400,2))</f>
        <v/>
      </c>
      <c r="G1699" s="10" t="str">
        <f aca="false">IF(D1699="","",IF(D1699&lt;=($E$3*60+$F$3)/86400,"○",""))</f>
        <v/>
      </c>
      <c r="H1699" s="16" t="n">
        <v>0.00725219907407407</v>
      </c>
      <c r="I1699" s="17" t="n">
        <v>598</v>
      </c>
      <c r="J1699" s="16"/>
      <c r="K1699" s="17"/>
      <c r="L1699" s="17" t="n">
        <f aca="false">COUNT(E1699,I1699,K1699)</f>
        <v>1</v>
      </c>
      <c r="M1699" s="18" t="n">
        <f aca="false">(D1699&lt;&gt;"")*(D1699&lt;=($E$3*60+$F$3)/86400)+(H1699&lt;&gt;"")*(H1699&lt;=($I$3*60+$J$3)/86400)+(J1699&lt;&gt;"")*(J1699&lt;=($M$3*60+$N$3)/86400)</f>
        <v>0</v>
      </c>
      <c r="N1699" s="20"/>
      <c r="O1699" s="20"/>
      <c r="P1699" s="20"/>
      <c r="Q1699" s="19"/>
    </row>
    <row r="1700" customFormat="false" ht="15" hidden="false" customHeight="false" outlineLevel="0" collapsed="false">
      <c r="A1700" s="10" t="n">
        <v>1694</v>
      </c>
      <c r="B1700" s="12" t="s">
        <v>2650</v>
      </c>
      <c r="C1700" s="12" t="s">
        <v>2651</v>
      </c>
      <c r="D1700" s="13"/>
      <c r="E1700" s="14"/>
      <c r="F1700" s="15" t="str">
        <f aca="false">IF(D1700="","",ROUND((D1700-MIN($D$7:$D$9999))*86400,2))</f>
        <v/>
      </c>
      <c r="G1700" s="10" t="str">
        <f aca="false">IF(D1700="","",IF(D1700&lt;=($E$3*60+$F$3)/86400,"○",""))</f>
        <v/>
      </c>
      <c r="H1700" s="16" t="n">
        <v>0.0072525462962963</v>
      </c>
      <c r="I1700" s="17" t="n">
        <v>599</v>
      </c>
      <c r="J1700" s="16"/>
      <c r="K1700" s="17"/>
      <c r="L1700" s="17" t="n">
        <f aca="false">COUNT(E1700,I1700,K1700)</f>
        <v>1</v>
      </c>
      <c r="M1700" s="18" t="n">
        <f aca="false">(D1700&lt;&gt;"")*(D1700&lt;=($E$3*60+$F$3)/86400)+(H1700&lt;&gt;"")*(H1700&lt;=($I$3*60+$J$3)/86400)+(J1700&lt;&gt;"")*(J1700&lt;=($M$3*60+$N$3)/86400)</f>
        <v>0</v>
      </c>
      <c r="N1700" s="20"/>
      <c r="O1700" s="20"/>
      <c r="P1700" s="20"/>
      <c r="Q1700" s="19"/>
    </row>
    <row r="1701" customFormat="false" ht="15" hidden="false" customHeight="false" outlineLevel="0" collapsed="false">
      <c r="A1701" s="10" t="n">
        <v>1695</v>
      </c>
      <c r="B1701" s="12" t="s">
        <v>2652</v>
      </c>
      <c r="C1701" s="12" t="s">
        <v>1721</v>
      </c>
      <c r="D1701" s="13"/>
      <c r="E1701" s="14"/>
      <c r="F1701" s="15" t="str">
        <f aca="false">IF(D1701="","",ROUND((D1701-MIN($D$7:$D$9999))*86400,2))</f>
        <v/>
      </c>
      <c r="G1701" s="10" t="str">
        <f aca="false">IF(D1701="","",IF(D1701&lt;=($E$3*60+$F$3)/86400,"○",""))</f>
        <v/>
      </c>
      <c r="H1701" s="16" t="n">
        <v>0.00725393518518519</v>
      </c>
      <c r="I1701" s="17" t="n">
        <v>600</v>
      </c>
      <c r="J1701" s="16"/>
      <c r="K1701" s="17"/>
      <c r="L1701" s="17" t="n">
        <f aca="false">COUNT(E1701,I1701,K1701)</f>
        <v>1</v>
      </c>
      <c r="M1701" s="18" t="n">
        <f aca="false">(D1701&lt;&gt;"")*(D1701&lt;=($E$3*60+$F$3)/86400)+(H1701&lt;&gt;"")*(H1701&lt;=($I$3*60+$J$3)/86400)+(J1701&lt;&gt;"")*(J1701&lt;=($M$3*60+$N$3)/86400)</f>
        <v>0</v>
      </c>
      <c r="N1701" s="20"/>
      <c r="O1701" s="20" t="s">
        <v>2653</v>
      </c>
      <c r="P1701" s="20"/>
      <c r="Q1701" s="19"/>
    </row>
    <row r="1702" customFormat="false" ht="15" hidden="false" customHeight="false" outlineLevel="0" collapsed="false">
      <c r="A1702" s="10" t="n">
        <v>1696</v>
      </c>
      <c r="B1702" s="12" t="s">
        <v>2654</v>
      </c>
      <c r="C1702" s="12" t="s">
        <v>2279</v>
      </c>
      <c r="D1702" s="13"/>
      <c r="E1702" s="14"/>
      <c r="F1702" s="15" t="str">
        <f aca="false">IF(D1702="","",ROUND((D1702-MIN($D$7:$D$9999))*86400,2))</f>
        <v/>
      </c>
      <c r="G1702" s="10" t="str">
        <f aca="false">IF(D1702="","",IF(D1702&lt;=($E$3*60+$F$3)/86400,"○",""))</f>
        <v/>
      </c>
      <c r="H1702" s="16" t="n">
        <v>0.00725497685185185</v>
      </c>
      <c r="I1702" s="17" t="n">
        <v>601</v>
      </c>
      <c r="J1702" s="16"/>
      <c r="K1702" s="17"/>
      <c r="L1702" s="17" t="n">
        <f aca="false">COUNT(E1702,I1702,K1702)</f>
        <v>1</v>
      </c>
      <c r="M1702" s="18" t="n">
        <f aca="false">(D1702&lt;&gt;"")*(D1702&lt;=($E$3*60+$F$3)/86400)+(H1702&lt;&gt;"")*(H1702&lt;=($I$3*60+$J$3)/86400)+(J1702&lt;&gt;"")*(J1702&lt;=($M$3*60+$N$3)/86400)</f>
        <v>0</v>
      </c>
      <c r="N1702" s="20"/>
      <c r="O1702" s="20"/>
      <c r="P1702" s="20"/>
      <c r="Q1702" s="19"/>
    </row>
    <row r="1703" customFormat="false" ht="15" hidden="false" customHeight="false" outlineLevel="0" collapsed="false">
      <c r="A1703" s="10" t="n">
        <v>1697</v>
      </c>
      <c r="B1703" s="12" t="s">
        <v>2655</v>
      </c>
      <c r="C1703" s="12" t="s">
        <v>1181</v>
      </c>
      <c r="D1703" s="13"/>
      <c r="E1703" s="14"/>
      <c r="F1703" s="15" t="str">
        <f aca="false">IF(D1703="","",ROUND((D1703-MIN($D$7:$D$9999))*86400,2))</f>
        <v/>
      </c>
      <c r="G1703" s="10" t="str">
        <f aca="false">IF(D1703="","",IF(D1703&lt;=($E$3*60+$F$3)/86400,"○",""))</f>
        <v/>
      </c>
      <c r="H1703" s="16" t="n">
        <v>0.00725659722222222</v>
      </c>
      <c r="I1703" s="17" t="n">
        <v>602</v>
      </c>
      <c r="J1703" s="16"/>
      <c r="K1703" s="17"/>
      <c r="L1703" s="17" t="n">
        <f aca="false">COUNT(E1703,I1703,K1703)</f>
        <v>1</v>
      </c>
      <c r="M1703" s="18" t="n">
        <f aca="false">(D1703&lt;&gt;"")*(D1703&lt;=($E$3*60+$F$3)/86400)+(H1703&lt;&gt;"")*(H1703&lt;=($I$3*60+$J$3)/86400)+(J1703&lt;&gt;"")*(J1703&lt;=($M$3*60+$N$3)/86400)</f>
        <v>0</v>
      </c>
      <c r="N1703" s="20"/>
      <c r="O1703" s="20"/>
      <c r="P1703" s="20"/>
      <c r="Q1703" s="19"/>
    </row>
    <row r="1704" customFormat="false" ht="15" hidden="false" customHeight="false" outlineLevel="0" collapsed="false">
      <c r="A1704" s="10" t="n">
        <v>1698</v>
      </c>
      <c r="B1704" s="12" t="s">
        <v>2656</v>
      </c>
      <c r="C1704" s="12" t="s">
        <v>2467</v>
      </c>
      <c r="D1704" s="13"/>
      <c r="E1704" s="14"/>
      <c r="F1704" s="15" t="str">
        <f aca="false">IF(D1704="","",ROUND((D1704-MIN($D$7:$D$9999))*86400,2))</f>
        <v/>
      </c>
      <c r="G1704" s="10" t="str">
        <f aca="false">IF(D1704="","",IF(D1704&lt;=($E$3*60+$F$3)/86400,"○",""))</f>
        <v/>
      </c>
      <c r="H1704" s="16" t="n">
        <v>0.00725891203703704</v>
      </c>
      <c r="I1704" s="17" t="n">
        <v>603</v>
      </c>
      <c r="J1704" s="16"/>
      <c r="K1704" s="17"/>
      <c r="L1704" s="17" t="n">
        <f aca="false">COUNT(E1704,I1704,K1704)</f>
        <v>1</v>
      </c>
      <c r="M1704" s="18" t="n">
        <f aca="false">(D1704&lt;&gt;"")*(D1704&lt;=($E$3*60+$F$3)/86400)+(H1704&lt;&gt;"")*(H1704&lt;=($I$3*60+$J$3)/86400)+(J1704&lt;&gt;"")*(J1704&lt;=($M$3*60+$N$3)/86400)</f>
        <v>0</v>
      </c>
      <c r="N1704" s="20"/>
      <c r="O1704" s="20"/>
      <c r="P1704" s="20"/>
      <c r="Q1704" s="19"/>
    </row>
    <row r="1705" customFormat="false" ht="15" hidden="false" customHeight="false" outlineLevel="0" collapsed="false">
      <c r="A1705" s="10" t="n">
        <v>1699</v>
      </c>
      <c r="B1705" s="12" t="s">
        <v>2657</v>
      </c>
      <c r="C1705" s="12" t="s">
        <v>1429</v>
      </c>
      <c r="D1705" s="13"/>
      <c r="E1705" s="14"/>
      <c r="F1705" s="15" t="str">
        <f aca="false">IF(D1705="","",ROUND((D1705-MIN($D$7:$D$9999))*86400,2))</f>
        <v/>
      </c>
      <c r="G1705" s="10" t="str">
        <f aca="false">IF(D1705="","",IF(D1705&lt;=($E$3*60+$F$3)/86400,"○",""))</f>
        <v/>
      </c>
      <c r="H1705" s="16" t="n">
        <v>0.00725925925925926</v>
      </c>
      <c r="I1705" s="17" t="n">
        <v>604</v>
      </c>
      <c r="J1705" s="16"/>
      <c r="K1705" s="17"/>
      <c r="L1705" s="17" t="n">
        <f aca="false">COUNT(E1705,I1705,K1705)</f>
        <v>1</v>
      </c>
      <c r="M1705" s="18" t="n">
        <f aca="false">(D1705&lt;&gt;"")*(D1705&lt;=($E$3*60+$F$3)/86400)+(H1705&lt;&gt;"")*(H1705&lt;=($I$3*60+$J$3)/86400)+(J1705&lt;&gt;"")*(J1705&lt;=($M$3*60+$N$3)/86400)</f>
        <v>0</v>
      </c>
      <c r="N1705" s="20"/>
      <c r="O1705" s="20"/>
      <c r="P1705" s="20"/>
      <c r="Q1705" s="19"/>
    </row>
    <row r="1706" customFormat="false" ht="15" hidden="false" customHeight="false" outlineLevel="0" collapsed="false">
      <c r="A1706" s="10" t="n">
        <v>1700</v>
      </c>
      <c r="B1706" s="12" t="s">
        <v>2658</v>
      </c>
      <c r="C1706" s="12" t="s">
        <v>2035</v>
      </c>
      <c r="D1706" s="13"/>
      <c r="E1706" s="14"/>
      <c r="F1706" s="15" t="str">
        <f aca="false">IF(D1706="","",ROUND((D1706-MIN($D$7:$D$9999))*86400,2))</f>
        <v/>
      </c>
      <c r="G1706" s="10" t="str">
        <f aca="false">IF(D1706="","",IF(D1706&lt;=($E$3*60+$F$3)/86400,"○",""))</f>
        <v/>
      </c>
      <c r="H1706" s="16" t="n">
        <v>0.00726006944444444</v>
      </c>
      <c r="I1706" s="17" t="n">
        <v>605</v>
      </c>
      <c r="J1706" s="16"/>
      <c r="K1706" s="17"/>
      <c r="L1706" s="17" t="n">
        <f aca="false">COUNT(E1706,I1706,K1706)</f>
        <v>1</v>
      </c>
      <c r="M1706" s="18" t="n">
        <f aca="false">(D1706&lt;&gt;"")*(D1706&lt;=($E$3*60+$F$3)/86400)+(H1706&lt;&gt;"")*(H1706&lt;=($I$3*60+$J$3)/86400)+(J1706&lt;&gt;"")*(J1706&lt;=($M$3*60+$N$3)/86400)</f>
        <v>0</v>
      </c>
      <c r="N1706" s="20"/>
      <c r="O1706" s="20"/>
      <c r="P1706" s="20"/>
      <c r="Q1706" s="19"/>
    </row>
    <row r="1707" customFormat="false" ht="15" hidden="false" customHeight="false" outlineLevel="0" collapsed="false">
      <c r="A1707" s="10" t="n">
        <v>1701</v>
      </c>
      <c r="B1707" s="12" t="s">
        <v>2659</v>
      </c>
      <c r="C1707" s="12" t="s">
        <v>1734</v>
      </c>
      <c r="D1707" s="13"/>
      <c r="E1707" s="14"/>
      <c r="F1707" s="15" t="str">
        <f aca="false">IF(D1707="","",ROUND((D1707-MIN($D$7:$D$9999))*86400,2))</f>
        <v/>
      </c>
      <c r="G1707" s="10" t="str">
        <f aca="false">IF(D1707="","",IF(D1707&lt;=($E$3*60+$F$3)/86400,"○",""))</f>
        <v/>
      </c>
      <c r="H1707" s="16" t="n">
        <v>0.00726018518518519</v>
      </c>
      <c r="I1707" s="17" t="n">
        <v>606</v>
      </c>
      <c r="J1707" s="16"/>
      <c r="K1707" s="17"/>
      <c r="L1707" s="17" t="n">
        <f aca="false">COUNT(E1707,I1707,K1707)</f>
        <v>1</v>
      </c>
      <c r="M1707" s="18" t="n">
        <f aca="false">(D1707&lt;&gt;"")*(D1707&lt;=($E$3*60+$F$3)/86400)+(H1707&lt;&gt;"")*(H1707&lt;=($I$3*60+$J$3)/86400)+(J1707&lt;&gt;"")*(J1707&lt;=($M$3*60+$N$3)/86400)</f>
        <v>0</v>
      </c>
      <c r="N1707" s="20"/>
      <c r="O1707" s="20"/>
      <c r="P1707" s="20"/>
      <c r="Q1707" s="19"/>
    </row>
    <row r="1708" customFormat="false" ht="15" hidden="false" customHeight="false" outlineLevel="0" collapsed="false">
      <c r="A1708" s="10" t="n">
        <v>1702</v>
      </c>
      <c r="B1708" s="12" t="s">
        <v>2660</v>
      </c>
      <c r="C1708" s="12" t="s">
        <v>2621</v>
      </c>
      <c r="D1708" s="13"/>
      <c r="E1708" s="14"/>
      <c r="F1708" s="15" t="str">
        <f aca="false">IF(D1708="","",ROUND((D1708-MIN($D$7:$D$9999))*86400,2))</f>
        <v/>
      </c>
      <c r="G1708" s="10" t="str">
        <f aca="false">IF(D1708="","",IF(D1708&lt;=($E$3*60+$F$3)/86400,"○",""))</f>
        <v/>
      </c>
      <c r="H1708" s="16"/>
      <c r="I1708" s="17"/>
      <c r="J1708" s="16" t="n">
        <v>0.00285590277777778</v>
      </c>
      <c r="K1708" s="17" t="n">
        <v>606</v>
      </c>
      <c r="L1708" s="17" t="n">
        <f aca="false">COUNT(E1708,I1708,K1708)</f>
        <v>1</v>
      </c>
      <c r="M1708" s="18" t="n">
        <f aca="false">(D1708&lt;&gt;"")*(D1708&lt;=($E$3*60+$F$3)/86400)+(H1708&lt;&gt;"")*(H1708&lt;=($I$3*60+$J$3)/86400)+(J1708&lt;&gt;"")*(J1708&lt;=($M$3*60+$N$3)/86400)</f>
        <v>0</v>
      </c>
      <c r="N1708" s="20"/>
      <c r="O1708" s="20"/>
      <c r="P1708" s="20"/>
      <c r="Q1708" s="19"/>
    </row>
    <row r="1709" customFormat="false" ht="15" hidden="false" customHeight="false" outlineLevel="0" collapsed="false">
      <c r="A1709" s="10" t="n">
        <v>1703</v>
      </c>
      <c r="B1709" s="12" t="s">
        <v>2661</v>
      </c>
      <c r="C1709" s="12" t="s">
        <v>1590</v>
      </c>
      <c r="D1709" s="13"/>
      <c r="E1709" s="14"/>
      <c r="F1709" s="15" t="str">
        <f aca="false">IF(D1709="","",ROUND((D1709-MIN($D$7:$D$9999))*86400,2))</f>
        <v/>
      </c>
      <c r="G1709" s="10" t="str">
        <f aca="false">IF(D1709="","",IF(D1709&lt;=($E$3*60+$F$3)/86400,"○",""))</f>
        <v/>
      </c>
      <c r="H1709" s="16" t="n">
        <v>0.00726076388888889</v>
      </c>
      <c r="I1709" s="17" t="n">
        <v>607</v>
      </c>
      <c r="J1709" s="16"/>
      <c r="K1709" s="17"/>
      <c r="L1709" s="17" t="n">
        <f aca="false">COUNT(E1709,I1709,K1709)</f>
        <v>1</v>
      </c>
      <c r="M1709" s="18" t="n">
        <f aca="false">(D1709&lt;&gt;"")*(D1709&lt;=($E$3*60+$F$3)/86400)+(H1709&lt;&gt;"")*(H1709&lt;=($I$3*60+$J$3)/86400)+(J1709&lt;&gt;"")*(J1709&lt;=($M$3*60+$N$3)/86400)</f>
        <v>0</v>
      </c>
      <c r="N1709" s="20"/>
      <c r="O1709" s="20" t="s">
        <v>2662</v>
      </c>
      <c r="P1709" s="20"/>
      <c r="Q1709" s="19"/>
    </row>
    <row r="1710" customFormat="false" ht="15" hidden="false" customHeight="false" outlineLevel="0" collapsed="false">
      <c r="A1710" s="10" t="n">
        <v>1704</v>
      </c>
      <c r="B1710" s="12" t="s">
        <v>2663</v>
      </c>
      <c r="C1710" s="12" t="s">
        <v>2119</v>
      </c>
      <c r="D1710" s="13"/>
      <c r="E1710" s="14"/>
      <c r="F1710" s="15" t="str">
        <f aca="false">IF(D1710="","",ROUND((D1710-MIN($D$7:$D$9999))*86400,2))</f>
        <v/>
      </c>
      <c r="G1710" s="10" t="str">
        <f aca="false">IF(D1710="","",IF(D1710&lt;=($E$3*60+$F$3)/86400,"○",""))</f>
        <v/>
      </c>
      <c r="H1710" s="16" t="n">
        <v>0.00726273148148148</v>
      </c>
      <c r="I1710" s="17" t="n">
        <v>608</v>
      </c>
      <c r="J1710" s="16"/>
      <c r="K1710" s="17"/>
      <c r="L1710" s="17" t="n">
        <f aca="false">COUNT(E1710,I1710,K1710)</f>
        <v>1</v>
      </c>
      <c r="M1710" s="18" t="n">
        <f aca="false">(D1710&lt;&gt;"")*(D1710&lt;=($E$3*60+$F$3)/86400)+(H1710&lt;&gt;"")*(H1710&lt;=($I$3*60+$J$3)/86400)+(J1710&lt;&gt;"")*(J1710&lt;=($M$3*60+$N$3)/86400)</f>
        <v>0</v>
      </c>
      <c r="N1710" s="20"/>
      <c r="O1710" s="20"/>
      <c r="P1710" s="20"/>
      <c r="Q1710" s="19"/>
    </row>
    <row r="1711" customFormat="false" ht="15" hidden="false" customHeight="false" outlineLevel="0" collapsed="false">
      <c r="A1711" s="10" t="n">
        <v>1705</v>
      </c>
      <c r="B1711" s="12" t="s">
        <v>2664</v>
      </c>
      <c r="C1711" s="12" t="s">
        <v>2665</v>
      </c>
      <c r="D1711" s="13"/>
      <c r="E1711" s="14"/>
      <c r="F1711" s="15" t="str">
        <f aca="false">IF(D1711="","",ROUND((D1711-MIN($D$7:$D$9999))*86400,2))</f>
        <v/>
      </c>
      <c r="G1711" s="10" t="str">
        <f aca="false">IF(D1711="","",IF(D1711&lt;=($E$3*60+$F$3)/86400,"○",""))</f>
        <v/>
      </c>
      <c r="H1711" s="16" t="n">
        <v>0.00726284722222222</v>
      </c>
      <c r="I1711" s="17" t="n">
        <v>609</v>
      </c>
      <c r="J1711" s="16"/>
      <c r="K1711" s="17"/>
      <c r="L1711" s="17" t="n">
        <f aca="false">COUNT(E1711,I1711,K1711)</f>
        <v>1</v>
      </c>
      <c r="M1711" s="18" t="n">
        <f aca="false">(D1711&lt;&gt;"")*(D1711&lt;=($E$3*60+$F$3)/86400)+(H1711&lt;&gt;"")*(H1711&lt;=($I$3*60+$J$3)/86400)+(J1711&lt;&gt;"")*(J1711&lt;=($M$3*60+$N$3)/86400)</f>
        <v>0</v>
      </c>
      <c r="N1711" s="20"/>
      <c r="O1711" s="20"/>
      <c r="P1711" s="20"/>
      <c r="Q1711" s="19"/>
    </row>
    <row r="1712" customFormat="false" ht="15" hidden="false" customHeight="false" outlineLevel="0" collapsed="false">
      <c r="A1712" s="10" t="n">
        <v>1706</v>
      </c>
      <c r="B1712" s="12" t="s">
        <v>2666</v>
      </c>
      <c r="C1712" s="12" t="s">
        <v>2667</v>
      </c>
      <c r="D1712" s="13"/>
      <c r="E1712" s="14"/>
      <c r="F1712" s="15" t="str">
        <f aca="false">IF(D1712="","",ROUND((D1712-MIN($D$7:$D$9999))*86400,2))</f>
        <v/>
      </c>
      <c r="G1712" s="10" t="str">
        <f aca="false">IF(D1712="","",IF(D1712&lt;=($E$3*60+$F$3)/86400,"○",""))</f>
        <v/>
      </c>
      <c r="H1712" s="16" t="n">
        <v>0.00726354166666667</v>
      </c>
      <c r="I1712" s="17" t="n">
        <v>610</v>
      </c>
      <c r="J1712" s="16"/>
      <c r="K1712" s="17"/>
      <c r="L1712" s="17" t="n">
        <f aca="false">COUNT(E1712,I1712,K1712)</f>
        <v>1</v>
      </c>
      <c r="M1712" s="18" t="n">
        <f aca="false">(D1712&lt;&gt;"")*(D1712&lt;=($E$3*60+$F$3)/86400)+(H1712&lt;&gt;"")*(H1712&lt;=($I$3*60+$J$3)/86400)+(J1712&lt;&gt;"")*(J1712&lt;=($M$3*60+$N$3)/86400)</f>
        <v>0</v>
      </c>
      <c r="N1712" s="20"/>
      <c r="O1712" s="20"/>
      <c r="P1712" s="20"/>
      <c r="Q1712" s="19"/>
    </row>
    <row r="1713" customFormat="false" ht="15" hidden="false" customHeight="false" outlineLevel="0" collapsed="false">
      <c r="A1713" s="10" t="n">
        <v>1707</v>
      </c>
      <c r="B1713" s="12" t="s">
        <v>2668</v>
      </c>
      <c r="C1713" s="12" t="s">
        <v>2669</v>
      </c>
      <c r="D1713" s="13"/>
      <c r="E1713" s="14"/>
      <c r="F1713" s="15" t="str">
        <f aca="false">IF(D1713="","",ROUND((D1713-MIN($D$7:$D$9999))*86400,2))</f>
        <v/>
      </c>
      <c r="G1713" s="10" t="str">
        <f aca="false">IF(D1713="","",IF(D1713&lt;=($E$3*60+$F$3)/86400,"○",""))</f>
        <v/>
      </c>
      <c r="H1713" s="16" t="n">
        <v>0.00726585648148148</v>
      </c>
      <c r="I1713" s="17" t="n">
        <v>611</v>
      </c>
      <c r="J1713" s="16"/>
      <c r="K1713" s="17"/>
      <c r="L1713" s="17" t="n">
        <f aca="false">COUNT(E1713,I1713,K1713)</f>
        <v>1</v>
      </c>
      <c r="M1713" s="18" t="n">
        <f aca="false">(D1713&lt;&gt;"")*(D1713&lt;=($E$3*60+$F$3)/86400)+(H1713&lt;&gt;"")*(H1713&lt;=($I$3*60+$J$3)/86400)+(J1713&lt;&gt;"")*(J1713&lt;=($M$3*60+$N$3)/86400)</f>
        <v>0</v>
      </c>
      <c r="N1713" s="20"/>
      <c r="O1713" s="20"/>
      <c r="P1713" s="20"/>
      <c r="Q1713" s="19"/>
    </row>
    <row r="1714" customFormat="false" ht="15" hidden="false" customHeight="false" outlineLevel="0" collapsed="false">
      <c r="A1714" s="10" t="n">
        <v>1708</v>
      </c>
      <c r="B1714" s="12" t="s">
        <v>2670</v>
      </c>
      <c r="C1714" s="12" t="s">
        <v>2671</v>
      </c>
      <c r="D1714" s="13"/>
      <c r="E1714" s="14"/>
      <c r="F1714" s="15" t="str">
        <f aca="false">IF(D1714="","",ROUND((D1714-MIN($D$7:$D$9999))*86400,2))</f>
        <v/>
      </c>
      <c r="G1714" s="10" t="str">
        <f aca="false">IF(D1714="","",IF(D1714&lt;=($E$3*60+$F$3)/86400,"○",""))</f>
        <v/>
      </c>
      <c r="H1714" s="16" t="n">
        <v>0.00726747685185185</v>
      </c>
      <c r="I1714" s="17" t="n">
        <v>612</v>
      </c>
      <c r="J1714" s="16"/>
      <c r="K1714" s="17"/>
      <c r="L1714" s="17" t="n">
        <f aca="false">COUNT(E1714,I1714,K1714)</f>
        <v>1</v>
      </c>
      <c r="M1714" s="18" t="n">
        <f aca="false">(D1714&lt;&gt;"")*(D1714&lt;=($E$3*60+$F$3)/86400)+(H1714&lt;&gt;"")*(H1714&lt;=($I$3*60+$J$3)/86400)+(J1714&lt;&gt;"")*(J1714&lt;=($M$3*60+$N$3)/86400)</f>
        <v>0</v>
      </c>
      <c r="N1714" s="20"/>
      <c r="O1714" s="20"/>
      <c r="P1714" s="20"/>
      <c r="Q1714" s="19"/>
    </row>
    <row r="1715" customFormat="false" ht="15" hidden="false" customHeight="false" outlineLevel="0" collapsed="false">
      <c r="A1715" s="10" t="n">
        <v>1709</v>
      </c>
      <c r="B1715" s="12" t="s">
        <v>2672</v>
      </c>
      <c r="C1715" s="12" t="s">
        <v>1764</v>
      </c>
      <c r="D1715" s="13"/>
      <c r="E1715" s="14"/>
      <c r="F1715" s="15" t="str">
        <f aca="false">IF(D1715="","",ROUND((D1715-MIN($D$7:$D$9999))*86400,2))</f>
        <v/>
      </c>
      <c r="G1715" s="10" t="str">
        <f aca="false">IF(D1715="","",IF(D1715&lt;=($E$3*60+$F$3)/86400,"○",""))</f>
        <v/>
      </c>
      <c r="H1715" s="16" t="n">
        <v>0.00726851851851852</v>
      </c>
      <c r="I1715" s="17" t="n">
        <v>613</v>
      </c>
      <c r="J1715" s="16"/>
      <c r="K1715" s="17"/>
      <c r="L1715" s="17" t="n">
        <f aca="false">COUNT(E1715,I1715,K1715)</f>
        <v>1</v>
      </c>
      <c r="M1715" s="18" t="n">
        <f aca="false">(D1715&lt;&gt;"")*(D1715&lt;=($E$3*60+$F$3)/86400)+(H1715&lt;&gt;"")*(H1715&lt;=($I$3*60+$J$3)/86400)+(J1715&lt;&gt;"")*(J1715&lt;=($M$3*60+$N$3)/86400)</f>
        <v>0</v>
      </c>
      <c r="N1715" s="20"/>
      <c r="O1715" s="20"/>
      <c r="P1715" s="20"/>
      <c r="Q1715" s="19"/>
    </row>
    <row r="1716" customFormat="false" ht="15" hidden="false" customHeight="false" outlineLevel="0" collapsed="false">
      <c r="A1716" s="10" t="n">
        <v>1710</v>
      </c>
      <c r="B1716" s="12" t="s">
        <v>2673</v>
      </c>
      <c r="C1716" s="12" t="s">
        <v>2174</v>
      </c>
      <c r="D1716" s="13"/>
      <c r="E1716" s="14"/>
      <c r="F1716" s="15" t="str">
        <f aca="false">IF(D1716="","",ROUND((D1716-MIN($D$7:$D$9999))*86400,2))</f>
        <v/>
      </c>
      <c r="G1716" s="10" t="str">
        <f aca="false">IF(D1716="","",IF(D1716&lt;=($E$3*60+$F$3)/86400,"○",""))</f>
        <v/>
      </c>
      <c r="H1716" s="16" t="n">
        <v>0.00726851851851852</v>
      </c>
      <c r="I1716" s="17" t="n">
        <v>614</v>
      </c>
      <c r="J1716" s="16"/>
      <c r="K1716" s="17"/>
      <c r="L1716" s="17" t="n">
        <f aca="false">COUNT(E1716,I1716,K1716)</f>
        <v>1</v>
      </c>
      <c r="M1716" s="18" t="n">
        <f aca="false">(D1716&lt;&gt;"")*(D1716&lt;=($E$3*60+$F$3)/86400)+(H1716&lt;&gt;"")*(H1716&lt;=($I$3*60+$J$3)/86400)+(J1716&lt;&gt;"")*(J1716&lt;=($M$3*60+$N$3)/86400)</f>
        <v>0</v>
      </c>
      <c r="N1716" s="20"/>
      <c r="O1716" s="20"/>
      <c r="P1716" s="20"/>
      <c r="Q1716" s="19"/>
    </row>
    <row r="1717" customFormat="false" ht="15" hidden="false" customHeight="false" outlineLevel="0" collapsed="false">
      <c r="A1717" s="10" t="n">
        <v>1711</v>
      </c>
      <c r="B1717" s="12" t="s">
        <v>2674</v>
      </c>
      <c r="C1717" s="12" t="s">
        <v>2675</v>
      </c>
      <c r="D1717" s="13"/>
      <c r="E1717" s="14"/>
      <c r="F1717" s="15" t="str">
        <f aca="false">IF(D1717="","",ROUND((D1717-MIN($D$7:$D$9999))*86400,2))</f>
        <v/>
      </c>
      <c r="G1717" s="10" t="str">
        <f aca="false">IF(D1717="","",IF(D1717&lt;=($E$3*60+$F$3)/86400,"○",""))</f>
        <v/>
      </c>
      <c r="H1717" s="16" t="n">
        <v>0.00726886574074074</v>
      </c>
      <c r="I1717" s="17" t="n">
        <v>615</v>
      </c>
      <c r="J1717" s="16"/>
      <c r="K1717" s="17"/>
      <c r="L1717" s="17" t="n">
        <f aca="false">COUNT(E1717,I1717,K1717)</f>
        <v>1</v>
      </c>
      <c r="M1717" s="18" t="n">
        <f aca="false">(D1717&lt;&gt;"")*(D1717&lt;=($E$3*60+$F$3)/86400)+(H1717&lt;&gt;"")*(H1717&lt;=($I$3*60+$J$3)/86400)+(J1717&lt;&gt;"")*(J1717&lt;=($M$3*60+$N$3)/86400)</f>
        <v>0</v>
      </c>
      <c r="N1717" s="20"/>
      <c r="O1717" s="20"/>
      <c r="P1717" s="20"/>
      <c r="Q1717" s="19"/>
    </row>
    <row r="1718" customFormat="false" ht="15" hidden="false" customHeight="false" outlineLevel="0" collapsed="false">
      <c r="A1718" s="10" t="n">
        <v>1712</v>
      </c>
      <c r="B1718" s="12" t="s">
        <v>2676</v>
      </c>
      <c r="C1718" s="12" t="s">
        <v>1458</v>
      </c>
      <c r="D1718" s="13"/>
      <c r="E1718" s="14"/>
      <c r="F1718" s="15" t="str">
        <f aca="false">IF(D1718="","",ROUND((D1718-MIN($D$7:$D$9999))*86400,2))</f>
        <v/>
      </c>
      <c r="G1718" s="10" t="str">
        <f aca="false">IF(D1718="","",IF(D1718&lt;=($E$3*60+$F$3)/86400,"○",""))</f>
        <v/>
      </c>
      <c r="H1718" s="16"/>
      <c r="I1718" s="17"/>
      <c r="J1718" s="16" t="n">
        <v>0.0028568287037037</v>
      </c>
      <c r="K1718" s="17" t="n">
        <v>615</v>
      </c>
      <c r="L1718" s="17" t="n">
        <f aca="false">COUNT(E1718,I1718,K1718)</f>
        <v>1</v>
      </c>
      <c r="M1718" s="18" t="n">
        <f aca="false">(D1718&lt;&gt;"")*(D1718&lt;=($E$3*60+$F$3)/86400)+(H1718&lt;&gt;"")*(H1718&lt;=($I$3*60+$J$3)/86400)+(J1718&lt;&gt;"")*(J1718&lt;=($M$3*60+$N$3)/86400)</f>
        <v>0</v>
      </c>
      <c r="N1718" s="20"/>
      <c r="O1718" s="20"/>
      <c r="P1718" s="20"/>
      <c r="Q1718" s="19"/>
    </row>
    <row r="1719" customFormat="false" ht="15" hidden="false" customHeight="false" outlineLevel="0" collapsed="false">
      <c r="A1719" s="10" t="n">
        <v>1713</v>
      </c>
      <c r="B1719" s="12" t="s">
        <v>2677</v>
      </c>
      <c r="C1719" s="12" t="s">
        <v>2678</v>
      </c>
      <c r="D1719" s="13"/>
      <c r="E1719" s="14"/>
      <c r="F1719" s="15" t="str">
        <f aca="false">IF(D1719="","",ROUND((D1719-MIN($D$7:$D$9999))*86400,2))</f>
        <v/>
      </c>
      <c r="G1719" s="10" t="str">
        <f aca="false">IF(D1719="","",IF(D1719&lt;=($E$3*60+$F$3)/86400,"○",""))</f>
        <v/>
      </c>
      <c r="H1719" s="16" t="n">
        <v>0.00727002314814815</v>
      </c>
      <c r="I1719" s="17" t="n">
        <v>616</v>
      </c>
      <c r="J1719" s="16"/>
      <c r="K1719" s="17"/>
      <c r="L1719" s="17" t="n">
        <f aca="false">COUNT(E1719,I1719,K1719)</f>
        <v>1</v>
      </c>
      <c r="M1719" s="18" t="n">
        <f aca="false">(D1719&lt;&gt;"")*(D1719&lt;=($E$3*60+$F$3)/86400)+(H1719&lt;&gt;"")*(H1719&lt;=($I$3*60+$J$3)/86400)+(J1719&lt;&gt;"")*(J1719&lt;=($M$3*60+$N$3)/86400)</f>
        <v>0</v>
      </c>
      <c r="N1719" s="20"/>
      <c r="O1719" s="20"/>
      <c r="P1719" s="20"/>
      <c r="Q1719" s="19"/>
    </row>
    <row r="1720" customFormat="false" ht="15" hidden="false" customHeight="false" outlineLevel="0" collapsed="false">
      <c r="A1720" s="10" t="n">
        <v>1714</v>
      </c>
      <c r="B1720" s="12" t="s">
        <v>2679</v>
      </c>
      <c r="C1720" s="12" t="s">
        <v>2680</v>
      </c>
      <c r="D1720" s="13"/>
      <c r="E1720" s="14"/>
      <c r="F1720" s="15" t="str">
        <f aca="false">IF(D1720="","",ROUND((D1720-MIN($D$7:$D$9999))*86400,2))</f>
        <v/>
      </c>
      <c r="G1720" s="10" t="str">
        <f aca="false">IF(D1720="","",IF(D1720&lt;=($E$3*60+$F$3)/86400,"○",""))</f>
        <v/>
      </c>
      <c r="H1720" s="16" t="n">
        <v>0.00727025462962963</v>
      </c>
      <c r="I1720" s="17" t="n">
        <v>617</v>
      </c>
      <c r="J1720" s="16" t="n">
        <v>0.002909375</v>
      </c>
      <c r="K1720" s="17" t="n">
        <v>1012</v>
      </c>
      <c r="L1720" s="17" t="n">
        <f aca="false">COUNT(E1720,I1720,K1720)</f>
        <v>2</v>
      </c>
      <c r="M1720" s="18" t="n">
        <f aca="false">(D1720&lt;&gt;"")*(D1720&lt;=($E$3*60+$F$3)/86400)+(H1720&lt;&gt;"")*(H1720&lt;=($I$3*60+$J$3)/86400)+(J1720&lt;&gt;"")*(J1720&lt;=($M$3*60+$N$3)/86400)</f>
        <v>0</v>
      </c>
      <c r="N1720" s="20"/>
      <c r="O1720" s="20"/>
      <c r="P1720" s="20"/>
      <c r="Q1720" s="19"/>
    </row>
    <row r="1721" customFormat="false" ht="15" hidden="false" customHeight="false" outlineLevel="0" collapsed="false">
      <c r="A1721" s="10" t="n">
        <v>1715</v>
      </c>
      <c r="B1721" s="12" t="s">
        <v>2681</v>
      </c>
      <c r="C1721" s="12" t="s">
        <v>1094</v>
      </c>
      <c r="D1721" s="13"/>
      <c r="E1721" s="14"/>
      <c r="F1721" s="15" t="str">
        <f aca="false">IF(D1721="","",ROUND((D1721-MIN($D$7:$D$9999))*86400,2))</f>
        <v/>
      </c>
      <c r="G1721" s="10" t="str">
        <f aca="false">IF(D1721="","",IF(D1721&lt;=($E$3*60+$F$3)/86400,"○",""))</f>
        <v/>
      </c>
      <c r="H1721" s="16" t="n">
        <v>0.00727291666666667</v>
      </c>
      <c r="I1721" s="17" t="n">
        <v>618</v>
      </c>
      <c r="J1721" s="16"/>
      <c r="K1721" s="17"/>
      <c r="L1721" s="17" t="n">
        <f aca="false">COUNT(E1721,I1721,K1721)</f>
        <v>1</v>
      </c>
      <c r="M1721" s="18" t="n">
        <f aca="false">(D1721&lt;&gt;"")*(D1721&lt;=($E$3*60+$F$3)/86400)+(H1721&lt;&gt;"")*(H1721&lt;=($I$3*60+$J$3)/86400)+(J1721&lt;&gt;"")*(J1721&lt;=($M$3*60+$N$3)/86400)</f>
        <v>0</v>
      </c>
      <c r="N1721" s="20"/>
      <c r="O1721" s="20"/>
      <c r="P1721" s="20"/>
      <c r="Q1721" s="19"/>
    </row>
    <row r="1722" customFormat="false" ht="15" hidden="false" customHeight="false" outlineLevel="0" collapsed="false">
      <c r="A1722" s="10" t="n">
        <v>1716</v>
      </c>
      <c r="B1722" s="12" t="s">
        <v>2682</v>
      </c>
      <c r="C1722" s="12" t="s">
        <v>2683</v>
      </c>
      <c r="D1722" s="13"/>
      <c r="E1722" s="14"/>
      <c r="F1722" s="15" t="str">
        <f aca="false">IF(D1722="","",ROUND((D1722-MIN($D$7:$D$9999))*86400,2))</f>
        <v/>
      </c>
      <c r="G1722" s="10" t="str">
        <f aca="false">IF(D1722="","",IF(D1722&lt;=($E$3*60+$F$3)/86400,"○",""))</f>
        <v/>
      </c>
      <c r="H1722" s="16" t="n">
        <v>0.007278125</v>
      </c>
      <c r="I1722" s="17" t="n">
        <v>619</v>
      </c>
      <c r="J1722" s="16" t="n">
        <v>0.00296631944444445</v>
      </c>
      <c r="K1722" s="17" t="n">
        <v>1296</v>
      </c>
      <c r="L1722" s="17" t="n">
        <f aca="false">COUNT(E1722,I1722,K1722)</f>
        <v>2</v>
      </c>
      <c r="M1722" s="18" t="n">
        <f aca="false">(D1722&lt;&gt;"")*(D1722&lt;=($E$3*60+$F$3)/86400)+(H1722&lt;&gt;"")*(H1722&lt;=($I$3*60+$J$3)/86400)+(J1722&lt;&gt;"")*(J1722&lt;=($M$3*60+$N$3)/86400)</f>
        <v>0</v>
      </c>
      <c r="N1722" s="20"/>
      <c r="O1722" s="20"/>
      <c r="P1722" s="12" t="s">
        <v>2684</v>
      </c>
      <c r="Q1722" s="19"/>
    </row>
    <row r="1723" customFormat="false" ht="15" hidden="false" customHeight="false" outlineLevel="0" collapsed="false">
      <c r="A1723" s="10" t="n">
        <v>1717</v>
      </c>
      <c r="B1723" s="12" t="s">
        <v>2685</v>
      </c>
      <c r="C1723" s="12" t="s">
        <v>2686</v>
      </c>
      <c r="D1723" s="13"/>
      <c r="E1723" s="14"/>
      <c r="F1723" s="15" t="str">
        <f aca="false">IF(D1723="","",ROUND((D1723-MIN($D$7:$D$9999))*86400,2))</f>
        <v/>
      </c>
      <c r="G1723" s="10" t="str">
        <f aca="false">IF(D1723="","",IF(D1723&lt;=($E$3*60+$F$3)/86400,"○",""))</f>
        <v/>
      </c>
      <c r="H1723" s="16"/>
      <c r="I1723" s="17"/>
      <c r="J1723" s="16" t="n">
        <v>0.00285740740740741</v>
      </c>
      <c r="K1723" s="17" t="n">
        <v>619</v>
      </c>
      <c r="L1723" s="17" t="n">
        <f aca="false">COUNT(E1723,I1723,K1723)</f>
        <v>1</v>
      </c>
      <c r="M1723" s="18" t="n">
        <f aca="false">(D1723&lt;&gt;"")*(D1723&lt;=($E$3*60+$F$3)/86400)+(H1723&lt;&gt;"")*(H1723&lt;=($I$3*60+$J$3)/86400)+(J1723&lt;&gt;"")*(J1723&lt;=($M$3*60+$N$3)/86400)</f>
        <v>0</v>
      </c>
      <c r="N1723" s="20"/>
      <c r="O1723" s="20"/>
      <c r="P1723" s="20"/>
      <c r="Q1723" s="19"/>
    </row>
    <row r="1724" customFormat="false" ht="15" hidden="false" customHeight="false" outlineLevel="0" collapsed="false">
      <c r="A1724" s="10" t="n">
        <v>1718</v>
      </c>
      <c r="B1724" s="12" t="s">
        <v>2687</v>
      </c>
      <c r="C1724" s="12" t="s">
        <v>2688</v>
      </c>
      <c r="D1724" s="13"/>
      <c r="E1724" s="14"/>
      <c r="F1724" s="15" t="str">
        <f aca="false">IF(D1724="","",ROUND((D1724-MIN($D$7:$D$9999))*86400,2))</f>
        <v/>
      </c>
      <c r="G1724" s="10" t="str">
        <f aca="false">IF(D1724="","",IF(D1724&lt;=($E$3*60+$F$3)/86400,"○",""))</f>
        <v/>
      </c>
      <c r="H1724" s="16" t="n">
        <v>0.00727893518518519</v>
      </c>
      <c r="I1724" s="17" t="n">
        <v>620</v>
      </c>
      <c r="J1724" s="16"/>
      <c r="K1724" s="17"/>
      <c r="L1724" s="17" t="n">
        <f aca="false">COUNT(E1724,I1724,K1724)</f>
        <v>1</v>
      </c>
      <c r="M1724" s="18" t="n">
        <f aca="false">(D1724&lt;&gt;"")*(D1724&lt;=($E$3*60+$F$3)/86400)+(H1724&lt;&gt;"")*(H1724&lt;=($I$3*60+$J$3)/86400)+(J1724&lt;&gt;"")*(J1724&lt;=($M$3*60+$N$3)/86400)</f>
        <v>0</v>
      </c>
      <c r="N1724" s="20"/>
      <c r="O1724" s="20"/>
      <c r="P1724" s="20"/>
      <c r="Q1724" s="19"/>
    </row>
    <row r="1725" customFormat="false" ht="15" hidden="false" customHeight="false" outlineLevel="0" collapsed="false">
      <c r="A1725" s="10" t="n">
        <v>1719</v>
      </c>
      <c r="B1725" s="12" t="s">
        <v>2689</v>
      </c>
      <c r="C1725" s="12" t="s">
        <v>129</v>
      </c>
      <c r="D1725" s="13"/>
      <c r="E1725" s="14"/>
      <c r="F1725" s="15" t="str">
        <f aca="false">IF(D1725="","",ROUND((D1725-MIN($D$7:$D$9999))*86400,2))</f>
        <v/>
      </c>
      <c r="G1725" s="10" t="str">
        <f aca="false">IF(D1725="","",IF(D1725&lt;=($E$3*60+$F$3)/86400,"○",""))</f>
        <v/>
      </c>
      <c r="H1725" s="16" t="n">
        <v>0.0072818287037037</v>
      </c>
      <c r="I1725" s="17" t="n">
        <v>622</v>
      </c>
      <c r="J1725" s="16"/>
      <c r="K1725" s="17"/>
      <c r="L1725" s="17" t="n">
        <f aca="false">COUNT(E1725,I1725,K1725)</f>
        <v>1</v>
      </c>
      <c r="M1725" s="18" t="n">
        <f aca="false">(D1725&lt;&gt;"")*(D1725&lt;=($E$3*60+$F$3)/86400)+(H1725&lt;&gt;"")*(H1725&lt;=($I$3*60+$J$3)/86400)+(J1725&lt;&gt;"")*(J1725&lt;=($M$3*60+$N$3)/86400)</f>
        <v>0</v>
      </c>
      <c r="N1725" s="20"/>
      <c r="O1725" s="20"/>
      <c r="P1725" s="20"/>
      <c r="Q1725" s="19"/>
    </row>
    <row r="1726" customFormat="false" ht="15" hidden="false" customHeight="false" outlineLevel="0" collapsed="false">
      <c r="A1726" s="10" t="n">
        <v>1720</v>
      </c>
      <c r="B1726" s="12" t="s">
        <v>2690</v>
      </c>
      <c r="C1726" s="12" t="s">
        <v>2381</v>
      </c>
      <c r="D1726" s="13"/>
      <c r="E1726" s="14"/>
      <c r="F1726" s="15" t="str">
        <f aca="false">IF(D1726="","",ROUND((D1726-MIN($D$7:$D$9999))*86400,2))</f>
        <v/>
      </c>
      <c r="G1726" s="10" t="str">
        <f aca="false">IF(D1726="","",IF(D1726&lt;=($E$3*60+$F$3)/86400,"○",""))</f>
        <v/>
      </c>
      <c r="H1726" s="16" t="n">
        <v>0.00728321759259259</v>
      </c>
      <c r="I1726" s="17" t="n">
        <v>624</v>
      </c>
      <c r="J1726" s="16"/>
      <c r="K1726" s="17"/>
      <c r="L1726" s="17" t="n">
        <f aca="false">COUNT(E1726,I1726,K1726)</f>
        <v>1</v>
      </c>
      <c r="M1726" s="18" t="n">
        <f aca="false">(D1726&lt;&gt;"")*(D1726&lt;=($E$3*60+$F$3)/86400)+(H1726&lt;&gt;"")*(H1726&lt;=($I$3*60+$J$3)/86400)+(J1726&lt;&gt;"")*(J1726&lt;=($M$3*60+$N$3)/86400)</f>
        <v>0</v>
      </c>
      <c r="N1726" s="20"/>
      <c r="O1726" s="20"/>
      <c r="P1726" s="20"/>
      <c r="Q1726" s="19"/>
    </row>
    <row r="1727" customFormat="false" ht="15" hidden="false" customHeight="false" outlineLevel="0" collapsed="false">
      <c r="A1727" s="10" t="n">
        <v>1721</v>
      </c>
      <c r="B1727" s="12" t="s">
        <v>2691</v>
      </c>
      <c r="C1727" s="12" t="s">
        <v>2692</v>
      </c>
      <c r="D1727" s="13"/>
      <c r="E1727" s="14"/>
      <c r="F1727" s="15" t="str">
        <f aca="false">IF(D1727="","",ROUND((D1727-MIN($D$7:$D$9999))*86400,2))</f>
        <v/>
      </c>
      <c r="G1727" s="10" t="str">
        <f aca="false">IF(D1727="","",IF(D1727&lt;=($E$3*60+$F$3)/86400,"○",""))</f>
        <v/>
      </c>
      <c r="H1727" s="16" t="n">
        <v>0.00728344907407407</v>
      </c>
      <c r="I1727" s="17" t="n">
        <v>625</v>
      </c>
      <c r="J1727" s="16"/>
      <c r="K1727" s="17"/>
      <c r="L1727" s="17" t="n">
        <f aca="false">COUNT(E1727,I1727,K1727)</f>
        <v>1</v>
      </c>
      <c r="M1727" s="18" t="n">
        <f aca="false">(D1727&lt;&gt;"")*(D1727&lt;=($E$3*60+$F$3)/86400)+(H1727&lt;&gt;"")*(H1727&lt;=($I$3*60+$J$3)/86400)+(J1727&lt;&gt;"")*(J1727&lt;=($M$3*60+$N$3)/86400)</f>
        <v>0</v>
      </c>
      <c r="N1727" s="20"/>
      <c r="O1727" s="20"/>
      <c r="P1727" s="20"/>
      <c r="Q1727" s="19"/>
    </row>
    <row r="1728" customFormat="false" ht="15" hidden="false" customHeight="false" outlineLevel="0" collapsed="false">
      <c r="A1728" s="10" t="n">
        <v>1722</v>
      </c>
      <c r="B1728" s="12" t="s">
        <v>2693</v>
      </c>
      <c r="C1728" s="12" t="s">
        <v>491</v>
      </c>
      <c r="D1728" s="13"/>
      <c r="E1728" s="14"/>
      <c r="F1728" s="15" t="str">
        <f aca="false">IF(D1728="","",ROUND((D1728-MIN($D$7:$D$9999))*86400,2))</f>
        <v/>
      </c>
      <c r="G1728" s="10" t="str">
        <f aca="false">IF(D1728="","",IF(D1728&lt;=($E$3*60+$F$3)/86400,"○",""))</f>
        <v/>
      </c>
      <c r="H1728" s="16"/>
      <c r="I1728" s="17"/>
      <c r="J1728" s="16" t="n">
        <v>0.00285868055555556</v>
      </c>
      <c r="K1728" s="17" t="n">
        <v>625</v>
      </c>
      <c r="L1728" s="17" t="n">
        <f aca="false">COUNT(E1728,I1728,K1728)</f>
        <v>1</v>
      </c>
      <c r="M1728" s="18" t="n">
        <f aca="false">(D1728&lt;&gt;"")*(D1728&lt;=($E$3*60+$F$3)/86400)+(H1728&lt;&gt;"")*(H1728&lt;=($I$3*60+$J$3)/86400)+(J1728&lt;&gt;"")*(J1728&lt;=($M$3*60+$N$3)/86400)</f>
        <v>0</v>
      </c>
      <c r="N1728" s="20"/>
      <c r="O1728" s="20"/>
      <c r="P1728" s="20"/>
      <c r="Q1728" s="19"/>
    </row>
    <row r="1729" customFormat="false" ht="15" hidden="false" customHeight="false" outlineLevel="0" collapsed="false">
      <c r="A1729" s="10" t="n">
        <v>1723</v>
      </c>
      <c r="B1729" s="12" t="s">
        <v>2694</v>
      </c>
      <c r="C1729" s="12" t="s">
        <v>256</v>
      </c>
      <c r="D1729" s="13"/>
      <c r="E1729" s="14"/>
      <c r="F1729" s="15" t="str">
        <f aca="false">IF(D1729="","",ROUND((D1729-MIN($D$7:$D$9999))*86400,2))</f>
        <v/>
      </c>
      <c r="G1729" s="10" t="str">
        <f aca="false">IF(D1729="","",IF(D1729&lt;=($E$3*60+$F$3)/86400,"○",""))</f>
        <v/>
      </c>
      <c r="H1729" s="16" t="n">
        <v>0.00728356481481481</v>
      </c>
      <c r="I1729" s="17" t="n">
        <v>626</v>
      </c>
      <c r="J1729" s="16"/>
      <c r="K1729" s="17"/>
      <c r="L1729" s="17" t="n">
        <f aca="false">COUNT(E1729,I1729,K1729)</f>
        <v>1</v>
      </c>
      <c r="M1729" s="18" t="n">
        <f aca="false">(D1729&lt;&gt;"")*(D1729&lt;=($E$3*60+$F$3)/86400)+(H1729&lt;&gt;"")*(H1729&lt;=($I$3*60+$J$3)/86400)+(J1729&lt;&gt;"")*(J1729&lt;=($M$3*60+$N$3)/86400)</f>
        <v>0</v>
      </c>
      <c r="N1729" s="20"/>
      <c r="O1729" s="20"/>
      <c r="P1729" s="20"/>
      <c r="Q1729" s="19"/>
    </row>
    <row r="1730" customFormat="false" ht="15" hidden="false" customHeight="false" outlineLevel="0" collapsed="false">
      <c r="A1730" s="10" t="n">
        <v>1724</v>
      </c>
      <c r="B1730" s="12" t="s">
        <v>2695</v>
      </c>
      <c r="C1730" s="12" t="s">
        <v>2125</v>
      </c>
      <c r="D1730" s="13"/>
      <c r="E1730" s="14"/>
      <c r="F1730" s="15" t="str">
        <f aca="false">IF(D1730="","",ROUND((D1730-MIN($D$7:$D$9999))*86400,2))</f>
        <v/>
      </c>
      <c r="G1730" s="10" t="str">
        <f aca="false">IF(D1730="","",IF(D1730&lt;=($E$3*60+$F$3)/86400,"○",""))</f>
        <v/>
      </c>
      <c r="H1730" s="16"/>
      <c r="I1730" s="17"/>
      <c r="J1730" s="16" t="n">
        <v>0.0028587962962963</v>
      </c>
      <c r="K1730" s="17" t="n">
        <v>626</v>
      </c>
      <c r="L1730" s="17" t="n">
        <f aca="false">COUNT(E1730,I1730,K1730)</f>
        <v>1</v>
      </c>
      <c r="M1730" s="18" t="n">
        <f aca="false">(D1730&lt;&gt;"")*(D1730&lt;=($E$3*60+$F$3)/86400)+(H1730&lt;&gt;"")*(H1730&lt;=($I$3*60+$J$3)/86400)+(J1730&lt;&gt;"")*(J1730&lt;=($M$3*60+$N$3)/86400)</f>
        <v>0</v>
      </c>
      <c r="N1730" s="20" t="s">
        <v>2696</v>
      </c>
      <c r="O1730" s="20"/>
      <c r="P1730" s="20"/>
      <c r="Q1730" s="19"/>
    </row>
    <row r="1731" customFormat="false" ht="15" hidden="false" customHeight="false" outlineLevel="0" collapsed="false">
      <c r="A1731" s="10" t="n">
        <v>1725</v>
      </c>
      <c r="B1731" s="12" t="s">
        <v>2697</v>
      </c>
      <c r="C1731" s="12" t="s">
        <v>2688</v>
      </c>
      <c r="D1731" s="13"/>
      <c r="E1731" s="14"/>
      <c r="F1731" s="15" t="str">
        <f aca="false">IF(D1731="","",ROUND((D1731-MIN($D$7:$D$9999))*86400,2))</f>
        <v/>
      </c>
      <c r="G1731" s="10" t="str">
        <f aca="false">IF(D1731="","",IF(D1731&lt;=($E$3*60+$F$3)/86400,"○",""))</f>
        <v/>
      </c>
      <c r="H1731" s="16" t="n">
        <v>0.00728414351851852</v>
      </c>
      <c r="I1731" s="17" t="n">
        <v>627</v>
      </c>
      <c r="J1731" s="16"/>
      <c r="K1731" s="17"/>
      <c r="L1731" s="17" t="n">
        <f aca="false">COUNT(E1731,I1731,K1731)</f>
        <v>1</v>
      </c>
      <c r="M1731" s="18" t="n">
        <f aca="false">(D1731&lt;&gt;"")*(D1731&lt;=($E$3*60+$F$3)/86400)+(H1731&lt;&gt;"")*(H1731&lt;=($I$3*60+$J$3)/86400)+(J1731&lt;&gt;"")*(J1731&lt;=($M$3*60+$N$3)/86400)</f>
        <v>0</v>
      </c>
      <c r="N1731" s="20"/>
      <c r="O1731" s="20"/>
      <c r="P1731" s="20"/>
      <c r="Q1731" s="19"/>
    </row>
    <row r="1732" customFormat="false" ht="15" hidden="false" customHeight="false" outlineLevel="0" collapsed="false">
      <c r="A1732" s="10" t="n">
        <v>1726</v>
      </c>
      <c r="B1732" s="12" t="s">
        <v>2698</v>
      </c>
      <c r="C1732" s="12" t="s">
        <v>1548</v>
      </c>
      <c r="D1732" s="13"/>
      <c r="E1732" s="14"/>
      <c r="F1732" s="15" t="str">
        <f aca="false">IF(D1732="","",ROUND((D1732-MIN($D$7:$D$9999))*86400,2))</f>
        <v/>
      </c>
      <c r="G1732" s="10" t="str">
        <f aca="false">IF(D1732="","",IF(D1732&lt;=($E$3*60+$F$3)/86400,"○",""))</f>
        <v/>
      </c>
      <c r="H1732" s="16" t="n">
        <v>0.00728912037037037</v>
      </c>
      <c r="I1732" s="17" t="n">
        <v>629</v>
      </c>
      <c r="J1732" s="16"/>
      <c r="K1732" s="17"/>
      <c r="L1732" s="17" t="n">
        <f aca="false">COUNT(E1732,I1732,K1732)</f>
        <v>1</v>
      </c>
      <c r="M1732" s="18" t="n">
        <f aca="false">(D1732&lt;&gt;"")*(D1732&lt;=($E$3*60+$F$3)/86400)+(H1732&lt;&gt;"")*(H1732&lt;=($I$3*60+$J$3)/86400)+(J1732&lt;&gt;"")*(J1732&lt;=($M$3*60+$N$3)/86400)</f>
        <v>0</v>
      </c>
      <c r="N1732" s="20"/>
      <c r="O1732" s="20"/>
      <c r="P1732" s="20"/>
      <c r="Q1732" s="19"/>
    </row>
    <row r="1733" customFormat="false" ht="15" hidden="false" customHeight="false" outlineLevel="0" collapsed="false">
      <c r="A1733" s="10" t="n">
        <v>1727</v>
      </c>
      <c r="B1733" s="12" t="s">
        <v>2699</v>
      </c>
      <c r="C1733" s="12" t="s">
        <v>2541</v>
      </c>
      <c r="D1733" s="13"/>
      <c r="E1733" s="14"/>
      <c r="F1733" s="15" t="str">
        <f aca="false">IF(D1733="","",ROUND((D1733-MIN($D$7:$D$9999))*86400,2))</f>
        <v/>
      </c>
      <c r="G1733" s="10" t="str">
        <f aca="false">IF(D1733="","",IF(D1733&lt;=($E$3*60+$F$3)/86400,"○",""))</f>
        <v/>
      </c>
      <c r="H1733" s="16"/>
      <c r="I1733" s="17"/>
      <c r="J1733" s="16" t="n">
        <v>0.00285914351851852</v>
      </c>
      <c r="K1733" s="17" t="n">
        <v>629</v>
      </c>
      <c r="L1733" s="17" t="n">
        <f aca="false">COUNT(E1733,I1733,K1733)</f>
        <v>1</v>
      </c>
      <c r="M1733" s="18" t="n">
        <f aca="false">(D1733&lt;&gt;"")*(D1733&lt;=($E$3*60+$F$3)/86400)+(H1733&lt;&gt;"")*(H1733&lt;=($I$3*60+$J$3)/86400)+(J1733&lt;&gt;"")*(J1733&lt;=($M$3*60+$N$3)/86400)</f>
        <v>0</v>
      </c>
      <c r="N1733" s="20"/>
      <c r="O1733" s="20"/>
      <c r="P1733" s="20"/>
      <c r="Q1733" s="19"/>
    </row>
    <row r="1734" customFormat="false" ht="15" hidden="false" customHeight="false" outlineLevel="0" collapsed="false">
      <c r="A1734" s="10" t="n">
        <v>1728</v>
      </c>
      <c r="B1734" s="12" t="s">
        <v>2700</v>
      </c>
      <c r="C1734" s="12" t="s">
        <v>2701</v>
      </c>
      <c r="D1734" s="13"/>
      <c r="E1734" s="14"/>
      <c r="F1734" s="15" t="str">
        <f aca="false">IF(D1734="","",ROUND((D1734-MIN($D$7:$D$9999))*86400,2))</f>
        <v/>
      </c>
      <c r="G1734" s="10" t="str">
        <f aca="false">IF(D1734="","",IF(D1734&lt;=($E$3*60+$F$3)/86400,"○",""))</f>
        <v/>
      </c>
      <c r="H1734" s="16" t="n">
        <v>0.00729085648148148</v>
      </c>
      <c r="I1734" s="17" t="n">
        <v>631</v>
      </c>
      <c r="J1734" s="16" t="n">
        <v>0.00291111111111111</v>
      </c>
      <c r="K1734" s="17" t="n">
        <v>1030</v>
      </c>
      <c r="L1734" s="17" t="n">
        <f aca="false">COUNT(E1734,I1734,K1734)</f>
        <v>2</v>
      </c>
      <c r="M1734" s="18" t="n">
        <f aca="false">(D1734&lt;&gt;"")*(D1734&lt;=($E$3*60+$F$3)/86400)+(H1734&lt;&gt;"")*(H1734&lt;=($I$3*60+$J$3)/86400)+(J1734&lt;&gt;"")*(J1734&lt;=($M$3*60+$N$3)/86400)</f>
        <v>0</v>
      </c>
      <c r="N1734" s="20"/>
      <c r="O1734" s="20"/>
      <c r="P1734" s="20"/>
      <c r="Q1734" s="19"/>
    </row>
    <row r="1735" customFormat="false" ht="15" hidden="false" customHeight="false" outlineLevel="0" collapsed="false">
      <c r="A1735" s="10" t="n">
        <v>1729</v>
      </c>
      <c r="B1735" s="12" t="s">
        <v>2702</v>
      </c>
      <c r="C1735" s="12" t="s">
        <v>873</v>
      </c>
      <c r="D1735" s="13"/>
      <c r="E1735" s="14"/>
      <c r="F1735" s="15" t="str">
        <f aca="false">IF(D1735="","",ROUND((D1735-MIN($D$7:$D$9999))*86400,2))</f>
        <v/>
      </c>
      <c r="G1735" s="10" t="str">
        <f aca="false">IF(D1735="","",IF(D1735&lt;=($E$3*60+$F$3)/86400,"○",""))</f>
        <v/>
      </c>
      <c r="H1735" s="16"/>
      <c r="I1735" s="17"/>
      <c r="J1735" s="16" t="n">
        <v>0.00285925925925926</v>
      </c>
      <c r="K1735" s="17" t="n">
        <v>631</v>
      </c>
      <c r="L1735" s="17" t="n">
        <f aca="false">COUNT(E1735,I1735,K1735)</f>
        <v>1</v>
      </c>
      <c r="M1735" s="18" t="n">
        <f aca="false">(D1735&lt;&gt;"")*(D1735&lt;=($E$3*60+$F$3)/86400)+(H1735&lt;&gt;"")*(H1735&lt;=($I$3*60+$J$3)/86400)+(J1735&lt;&gt;"")*(J1735&lt;=($M$3*60+$N$3)/86400)</f>
        <v>0</v>
      </c>
      <c r="N1735" s="20"/>
      <c r="O1735" s="20"/>
      <c r="P1735" s="20"/>
      <c r="Q1735" s="19"/>
    </row>
    <row r="1736" customFormat="false" ht="15" hidden="false" customHeight="false" outlineLevel="0" collapsed="false">
      <c r="A1736" s="10" t="n">
        <v>1730</v>
      </c>
      <c r="B1736" s="12" t="s">
        <v>2703</v>
      </c>
      <c r="C1736" s="12" t="s">
        <v>2704</v>
      </c>
      <c r="D1736" s="13"/>
      <c r="E1736" s="14"/>
      <c r="F1736" s="15" t="str">
        <f aca="false">IF(D1736="","",ROUND((D1736-MIN($D$7:$D$9999))*86400,2))</f>
        <v/>
      </c>
      <c r="G1736" s="10" t="str">
        <f aca="false">IF(D1736="","",IF(D1736&lt;=($E$3*60+$F$3)/86400,"○",""))</f>
        <v/>
      </c>
      <c r="H1736" s="16" t="n">
        <v>0.00729189814814815</v>
      </c>
      <c r="I1736" s="17" t="n">
        <v>632</v>
      </c>
      <c r="J1736" s="16"/>
      <c r="K1736" s="17"/>
      <c r="L1736" s="17" t="n">
        <f aca="false">COUNT(E1736,I1736,K1736)</f>
        <v>1</v>
      </c>
      <c r="M1736" s="18" t="n">
        <f aca="false">(D1736&lt;&gt;"")*(D1736&lt;=($E$3*60+$F$3)/86400)+(H1736&lt;&gt;"")*(H1736&lt;=($I$3*60+$J$3)/86400)+(J1736&lt;&gt;"")*(J1736&lt;=($M$3*60+$N$3)/86400)</f>
        <v>0</v>
      </c>
      <c r="N1736" s="20"/>
      <c r="O1736" s="20"/>
      <c r="P1736" s="20"/>
      <c r="Q1736" s="19"/>
    </row>
    <row r="1737" customFormat="false" ht="15" hidden="false" customHeight="false" outlineLevel="0" collapsed="false">
      <c r="A1737" s="10" t="n">
        <v>1731</v>
      </c>
      <c r="B1737" s="12" t="s">
        <v>2705</v>
      </c>
      <c r="C1737" s="12" t="s">
        <v>2102</v>
      </c>
      <c r="D1737" s="13"/>
      <c r="E1737" s="14"/>
      <c r="F1737" s="15" t="str">
        <f aca="false">IF(D1737="","",ROUND((D1737-MIN($D$7:$D$9999))*86400,2))</f>
        <v/>
      </c>
      <c r="G1737" s="10" t="str">
        <f aca="false">IF(D1737="","",IF(D1737&lt;=($E$3*60+$F$3)/86400,"○",""))</f>
        <v/>
      </c>
      <c r="H1737" s="16" t="n">
        <v>0.00729236111111111</v>
      </c>
      <c r="I1737" s="17" t="n">
        <v>633</v>
      </c>
      <c r="J1737" s="16"/>
      <c r="K1737" s="17"/>
      <c r="L1737" s="17" t="n">
        <f aca="false">COUNT(E1737,I1737,K1737)</f>
        <v>1</v>
      </c>
      <c r="M1737" s="18" t="n">
        <f aca="false">(D1737&lt;&gt;"")*(D1737&lt;=($E$3*60+$F$3)/86400)+(H1737&lt;&gt;"")*(H1737&lt;=($I$3*60+$J$3)/86400)+(J1737&lt;&gt;"")*(J1737&lt;=($M$3*60+$N$3)/86400)</f>
        <v>0</v>
      </c>
      <c r="N1737" s="20"/>
      <c r="O1737" s="20"/>
      <c r="P1737" s="20"/>
      <c r="Q1737" s="19"/>
    </row>
    <row r="1738" customFormat="false" ht="15" hidden="false" customHeight="false" outlineLevel="0" collapsed="false">
      <c r="A1738" s="10" t="n">
        <v>1732</v>
      </c>
      <c r="B1738" s="12" t="s">
        <v>2706</v>
      </c>
      <c r="C1738" s="12" t="s">
        <v>2212</v>
      </c>
      <c r="D1738" s="13"/>
      <c r="E1738" s="14"/>
      <c r="F1738" s="15" t="str">
        <f aca="false">IF(D1738="","",ROUND((D1738-MIN($D$7:$D$9999))*86400,2))</f>
        <v/>
      </c>
      <c r="G1738" s="10" t="str">
        <f aca="false">IF(D1738="","",IF(D1738&lt;=($E$3*60+$F$3)/86400,"○",""))</f>
        <v/>
      </c>
      <c r="H1738" s="16" t="n">
        <v>0.00729236111111111</v>
      </c>
      <c r="I1738" s="17" t="n">
        <v>634</v>
      </c>
      <c r="J1738" s="16"/>
      <c r="K1738" s="17"/>
      <c r="L1738" s="17" t="n">
        <f aca="false">COUNT(E1738,I1738,K1738)</f>
        <v>1</v>
      </c>
      <c r="M1738" s="18" t="n">
        <f aca="false">(D1738&lt;&gt;"")*(D1738&lt;=($E$3*60+$F$3)/86400)+(H1738&lt;&gt;"")*(H1738&lt;=($I$3*60+$J$3)/86400)+(J1738&lt;&gt;"")*(J1738&lt;=($M$3*60+$N$3)/86400)</f>
        <v>0</v>
      </c>
      <c r="N1738" s="20"/>
      <c r="O1738" s="20"/>
      <c r="P1738" s="20"/>
      <c r="Q1738" s="19"/>
    </row>
    <row r="1739" customFormat="false" ht="15" hidden="false" customHeight="false" outlineLevel="0" collapsed="false">
      <c r="A1739" s="10" t="n">
        <v>1733</v>
      </c>
      <c r="B1739" s="12" t="s">
        <v>2707</v>
      </c>
      <c r="C1739" s="12" t="s">
        <v>1707</v>
      </c>
      <c r="D1739" s="13"/>
      <c r="E1739" s="14"/>
      <c r="F1739" s="15" t="str">
        <f aca="false">IF(D1739="","",ROUND((D1739-MIN($D$7:$D$9999))*86400,2))</f>
        <v/>
      </c>
      <c r="G1739" s="10" t="str">
        <f aca="false">IF(D1739="","",IF(D1739&lt;=($E$3*60+$F$3)/86400,"○",""))</f>
        <v/>
      </c>
      <c r="H1739" s="16" t="n">
        <v>0.00729409722222222</v>
      </c>
      <c r="I1739" s="17" t="n">
        <v>635</v>
      </c>
      <c r="J1739" s="16"/>
      <c r="K1739" s="17"/>
      <c r="L1739" s="17" t="n">
        <f aca="false">COUNT(E1739,I1739,K1739)</f>
        <v>1</v>
      </c>
      <c r="M1739" s="18" t="n">
        <f aca="false">(D1739&lt;&gt;"")*(D1739&lt;=($E$3*60+$F$3)/86400)+(H1739&lt;&gt;"")*(H1739&lt;=($I$3*60+$J$3)/86400)+(J1739&lt;&gt;"")*(J1739&lt;=($M$3*60+$N$3)/86400)</f>
        <v>0</v>
      </c>
      <c r="N1739" s="20"/>
      <c r="O1739" s="20"/>
      <c r="P1739" s="20"/>
      <c r="Q1739" s="19"/>
    </row>
    <row r="1740" customFormat="false" ht="15" hidden="false" customHeight="false" outlineLevel="0" collapsed="false">
      <c r="A1740" s="10" t="n">
        <v>1734</v>
      </c>
      <c r="B1740" s="12" t="s">
        <v>2708</v>
      </c>
      <c r="C1740" s="12" t="s">
        <v>2709</v>
      </c>
      <c r="D1740" s="13"/>
      <c r="E1740" s="14"/>
      <c r="F1740" s="15" t="str">
        <f aca="false">IF(D1740="","",ROUND((D1740-MIN($D$7:$D$9999))*86400,2))</f>
        <v/>
      </c>
      <c r="G1740" s="10" t="str">
        <f aca="false">IF(D1740="","",IF(D1740&lt;=($E$3*60+$F$3)/86400,"○",""))</f>
        <v/>
      </c>
      <c r="H1740" s="16" t="n">
        <v>0.00729421296296296</v>
      </c>
      <c r="I1740" s="17" t="n">
        <v>636</v>
      </c>
      <c r="J1740" s="16"/>
      <c r="K1740" s="17"/>
      <c r="L1740" s="17" t="n">
        <f aca="false">COUNT(E1740,I1740,K1740)</f>
        <v>1</v>
      </c>
      <c r="M1740" s="18" t="n">
        <f aca="false">(D1740&lt;&gt;"")*(D1740&lt;=($E$3*60+$F$3)/86400)+(H1740&lt;&gt;"")*(H1740&lt;=($I$3*60+$J$3)/86400)+(J1740&lt;&gt;"")*(J1740&lt;=($M$3*60+$N$3)/86400)</f>
        <v>0</v>
      </c>
      <c r="N1740" s="20"/>
      <c r="O1740" s="20"/>
      <c r="P1740" s="20"/>
      <c r="Q1740" s="19"/>
    </row>
    <row r="1741" customFormat="false" ht="15" hidden="false" customHeight="false" outlineLevel="0" collapsed="false">
      <c r="A1741" s="10" t="n">
        <v>1735</v>
      </c>
      <c r="B1741" s="12" t="s">
        <v>2710</v>
      </c>
      <c r="C1741" s="12" t="s">
        <v>2711</v>
      </c>
      <c r="D1741" s="13"/>
      <c r="E1741" s="14"/>
      <c r="F1741" s="15" t="str">
        <f aca="false">IF(D1741="","",ROUND((D1741-MIN($D$7:$D$9999))*86400,2))</f>
        <v/>
      </c>
      <c r="G1741" s="10" t="str">
        <f aca="false">IF(D1741="","",IF(D1741&lt;=($E$3*60+$F$3)/86400,"○",""))</f>
        <v/>
      </c>
      <c r="H1741" s="16" t="n">
        <v>0.00729444444444445</v>
      </c>
      <c r="I1741" s="17" t="n">
        <v>637</v>
      </c>
      <c r="J1741" s="16"/>
      <c r="K1741" s="17"/>
      <c r="L1741" s="17" t="n">
        <f aca="false">COUNT(E1741,I1741,K1741)</f>
        <v>1</v>
      </c>
      <c r="M1741" s="18" t="n">
        <f aca="false">(D1741&lt;&gt;"")*(D1741&lt;=($E$3*60+$F$3)/86400)+(H1741&lt;&gt;"")*(H1741&lt;=($I$3*60+$J$3)/86400)+(J1741&lt;&gt;"")*(J1741&lt;=($M$3*60+$N$3)/86400)</f>
        <v>0</v>
      </c>
      <c r="N1741" s="20"/>
      <c r="O1741" s="20"/>
      <c r="P1741" s="20"/>
      <c r="Q1741" s="19"/>
    </row>
    <row r="1742" customFormat="false" ht="15" hidden="false" customHeight="false" outlineLevel="0" collapsed="false">
      <c r="A1742" s="10" t="n">
        <v>1736</v>
      </c>
      <c r="B1742" s="12" t="s">
        <v>2712</v>
      </c>
      <c r="C1742" s="12" t="s">
        <v>728</v>
      </c>
      <c r="D1742" s="13"/>
      <c r="E1742" s="14"/>
      <c r="F1742" s="15" t="str">
        <f aca="false">IF(D1742="","",ROUND((D1742-MIN($D$7:$D$9999))*86400,2))</f>
        <v/>
      </c>
      <c r="G1742" s="10" t="str">
        <f aca="false">IF(D1742="","",IF(D1742&lt;=($E$3*60+$F$3)/86400,"○",""))</f>
        <v/>
      </c>
      <c r="H1742" s="16" t="n">
        <v>0.00729456018518519</v>
      </c>
      <c r="I1742" s="17" t="n">
        <v>638</v>
      </c>
      <c r="J1742" s="16"/>
      <c r="K1742" s="17"/>
      <c r="L1742" s="17" t="n">
        <f aca="false">COUNT(E1742,I1742,K1742)</f>
        <v>1</v>
      </c>
      <c r="M1742" s="18" t="n">
        <f aca="false">(D1742&lt;&gt;"")*(D1742&lt;=($E$3*60+$F$3)/86400)+(H1742&lt;&gt;"")*(H1742&lt;=($I$3*60+$J$3)/86400)+(J1742&lt;&gt;"")*(J1742&lt;=($M$3*60+$N$3)/86400)</f>
        <v>0</v>
      </c>
      <c r="N1742" s="20"/>
      <c r="O1742" s="20"/>
      <c r="P1742" s="20"/>
      <c r="Q1742" s="19"/>
    </row>
    <row r="1743" customFormat="false" ht="15" hidden="false" customHeight="false" outlineLevel="0" collapsed="false">
      <c r="A1743" s="10" t="n">
        <v>1737</v>
      </c>
      <c r="B1743" s="12" t="s">
        <v>2713</v>
      </c>
      <c r="C1743" s="12" t="s">
        <v>1909</v>
      </c>
      <c r="D1743" s="13"/>
      <c r="E1743" s="14"/>
      <c r="F1743" s="15" t="str">
        <f aca="false">IF(D1743="","",ROUND((D1743-MIN($D$7:$D$9999))*86400,2))</f>
        <v/>
      </c>
      <c r="G1743" s="10" t="str">
        <f aca="false">IF(D1743="","",IF(D1743&lt;=($E$3*60+$F$3)/86400,"○",""))</f>
        <v/>
      </c>
      <c r="H1743" s="16"/>
      <c r="I1743" s="17"/>
      <c r="J1743" s="16" t="n">
        <v>0.00286087962962963</v>
      </c>
      <c r="K1743" s="17" t="n">
        <v>638</v>
      </c>
      <c r="L1743" s="17" t="n">
        <f aca="false">COUNT(E1743,I1743,K1743)</f>
        <v>1</v>
      </c>
      <c r="M1743" s="18" t="n">
        <f aca="false">(D1743&lt;&gt;"")*(D1743&lt;=($E$3*60+$F$3)/86400)+(H1743&lt;&gt;"")*(H1743&lt;=($I$3*60+$J$3)/86400)+(J1743&lt;&gt;"")*(J1743&lt;=($M$3*60+$N$3)/86400)</f>
        <v>0</v>
      </c>
      <c r="N1743" s="20"/>
      <c r="O1743" s="20"/>
      <c r="P1743" s="20"/>
      <c r="Q1743" s="19"/>
    </row>
    <row r="1744" customFormat="false" ht="15" hidden="false" customHeight="false" outlineLevel="0" collapsed="false">
      <c r="A1744" s="10" t="n">
        <v>1738</v>
      </c>
      <c r="B1744" s="12" t="s">
        <v>2714</v>
      </c>
      <c r="C1744" s="12" t="s">
        <v>2577</v>
      </c>
      <c r="D1744" s="13"/>
      <c r="E1744" s="14"/>
      <c r="F1744" s="15" t="str">
        <f aca="false">IF(D1744="","",ROUND((D1744-MIN($D$7:$D$9999))*86400,2))</f>
        <v/>
      </c>
      <c r="G1744" s="10" t="str">
        <f aca="false">IF(D1744="","",IF(D1744&lt;=($E$3*60+$F$3)/86400,"○",""))</f>
        <v/>
      </c>
      <c r="H1744" s="16" t="n">
        <v>0.00729537037037037</v>
      </c>
      <c r="I1744" s="17" t="n">
        <v>639</v>
      </c>
      <c r="J1744" s="16"/>
      <c r="K1744" s="17"/>
      <c r="L1744" s="17" t="n">
        <f aca="false">COUNT(E1744,I1744,K1744)</f>
        <v>1</v>
      </c>
      <c r="M1744" s="18" t="n">
        <f aca="false">(D1744&lt;&gt;"")*(D1744&lt;=($E$3*60+$F$3)/86400)+(H1744&lt;&gt;"")*(H1744&lt;=($I$3*60+$J$3)/86400)+(J1744&lt;&gt;"")*(J1744&lt;=($M$3*60+$N$3)/86400)</f>
        <v>0</v>
      </c>
      <c r="N1744" s="20"/>
      <c r="O1744" s="20"/>
      <c r="P1744" s="20"/>
      <c r="Q1744" s="19"/>
    </row>
    <row r="1745" customFormat="false" ht="15" hidden="false" customHeight="false" outlineLevel="0" collapsed="false">
      <c r="A1745" s="10" t="n">
        <v>1739</v>
      </c>
      <c r="B1745" s="12" t="s">
        <v>2715</v>
      </c>
      <c r="C1745" s="12" t="s">
        <v>204</v>
      </c>
      <c r="D1745" s="13"/>
      <c r="E1745" s="14"/>
      <c r="F1745" s="15" t="str">
        <f aca="false">IF(D1745="","",ROUND((D1745-MIN($D$7:$D$9999))*86400,2))</f>
        <v/>
      </c>
      <c r="G1745" s="10" t="str">
        <f aca="false">IF(D1745="","",IF(D1745&lt;=($E$3*60+$F$3)/86400,"○",""))</f>
        <v/>
      </c>
      <c r="H1745" s="16"/>
      <c r="I1745" s="17"/>
      <c r="J1745" s="16" t="n">
        <v>0.00286099537037037</v>
      </c>
      <c r="K1745" s="17" t="n">
        <v>639</v>
      </c>
      <c r="L1745" s="17" t="n">
        <f aca="false">COUNT(E1745,I1745,K1745)</f>
        <v>1</v>
      </c>
      <c r="M1745" s="18" t="n">
        <f aca="false">(D1745&lt;&gt;"")*(D1745&lt;=($E$3*60+$F$3)/86400)+(H1745&lt;&gt;"")*(H1745&lt;=($I$3*60+$J$3)/86400)+(J1745&lt;&gt;"")*(J1745&lt;=($M$3*60+$N$3)/86400)</f>
        <v>0</v>
      </c>
      <c r="N1745" s="20" t="s">
        <v>2716</v>
      </c>
      <c r="O1745" s="20"/>
      <c r="P1745" s="20"/>
      <c r="Q1745" s="19"/>
    </row>
    <row r="1746" customFormat="false" ht="15" hidden="false" customHeight="false" outlineLevel="0" collapsed="false">
      <c r="A1746" s="10" t="n">
        <v>1740</v>
      </c>
      <c r="B1746" s="12" t="s">
        <v>2717</v>
      </c>
      <c r="C1746" s="12" t="s">
        <v>2718</v>
      </c>
      <c r="D1746" s="13"/>
      <c r="E1746" s="14"/>
      <c r="F1746" s="15" t="str">
        <f aca="false">IF(D1746="","",ROUND((D1746-MIN($D$7:$D$9999))*86400,2))</f>
        <v/>
      </c>
      <c r="G1746" s="10" t="str">
        <f aca="false">IF(D1746="","",IF(D1746&lt;=($E$3*60+$F$3)/86400,"○",""))</f>
        <v/>
      </c>
      <c r="H1746" s="16" t="n">
        <v>0.00729664351851852</v>
      </c>
      <c r="I1746" s="17" t="n">
        <v>640</v>
      </c>
      <c r="J1746" s="16"/>
      <c r="K1746" s="17"/>
      <c r="L1746" s="17" t="n">
        <f aca="false">COUNT(E1746,I1746,K1746)</f>
        <v>1</v>
      </c>
      <c r="M1746" s="18" t="n">
        <f aca="false">(D1746&lt;&gt;"")*(D1746&lt;=($E$3*60+$F$3)/86400)+(H1746&lt;&gt;"")*(H1746&lt;=($I$3*60+$J$3)/86400)+(J1746&lt;&gt;"")*(J1746&lt;=($M$3*60+$N$3)/86400)</f>
        <v>0</v>
      </c>
      <c r="N1746" s="20"/>
      <c r="O1746" s="20"/>
      <c r="P1746" s="20"/>
      <c r="Q1746" s="19"/>
    </row>
    <row r="1747" customFormat="false" ht="15" hidden="false" customHeight="false" outlineLevel="0" collapsed="false">
      <c r="A1747" s="10" t="n">
        <v>1741</v>
      </c>
      <c r="B1747" s="12" t="s">
        <v>2719</v>
      </c>
      <c r="C1747" s="12" t="s">
        <v>2720</v>
      </c>
      <c r="D1747" s="13"/>
      <c r="E1747" s="14"/>
      <c r="F1747" s="15" t="str">
        <f aca="false">IF(D1747="","",ROUND((D1747-MIN($D$7:$D$9999))*86400,2))</f>
        <v/>
      </c>
      <c r="G1747" s="10" t="str">
        <f aca="false">IF(D1747="","",IF(D1747&lt;=($E$3*60+$F$3)/86400,"○",""))</f>
        <v/>
      </c>
      <c r="H1747" s="16" t="n">
        <v>0.00729849537037037</v>
      </c>
      <c r="I1747" s="17" t="n">
        <v>641</v>
      </c>
      <c r="J1747" s="16"/>
      <c r="K1747" s="17"/>
      <c r="L1747" s="17" t="n">
        <f aca="false">COUNT(E1747,I1747,K1747)</f>
        <v>1</v>
      </c>
      <c r="M1747" s="18" t="n">
        <f aca="false">(D1747&lt;&gt;"")*(D1747&lt;=($E$3*60+$F$3)/86400)+(H1747&lt;&gt;"")*(H1747&lt;=($I$3*60+$J$3)/86400)+(J1747&lt;&gt;"")*(J1747&lt;=($M$3*60+$N$3)/86400)</f>
        <v>0</v>
      </c>
      <c r="N1747" s="20"/>
      <c r="O1747" s="20"/>
      <c r="P1747" s="20"/>
      <c r="Q1747" s="19"/>
    </row>
    <row r="1748" customFormat="false" ht="15" hidden="false" customHeight="false" outlineLevel="0" collapsed="false">
      <c r="A1748" s="10" t="n">
        <v>1742</v>
      </c>
      <c r="B1748" s="12" t="s">
        <v>2721</v>
      </c>
      <c r="C1748" s="12" t="s">
        <v>101</v>
      </c>
      <c r="D1748" s="13"/>
      <c r="E1748" s="14"/>
      <c r="F1748" s="15" t="str">
        <f aca="false">IF(D1748="","",ROUND((D1748-MIN($D$7:$D$9999))*86400,2))</f>
        <v/>
      </c>
      <c r="G1748" s="10" t="str">
        <f aca="false">IF(D1748="","",IF(D1748&lt;=($E$3*60+$F$3)/86400,"○",""))</f>
        <v/>
      </c>
      <c r="H1748" s="16" t="n">
        <v>0.00729849537037037</v>
      </c>
      <c r="I1748" s="17" t="n">
        <v>642</v>
      </c>
      <c r="J1748" s="16"/>
      <c r="K1748" s="17"/>
      <c r="L1748" s="17" t="n">
        <f aca="false">COUNT(E1748,I1748,K1748)</f>
        <v>1</v>
      </c>
      <c r="M1748" s="18" t="n">
        <f aca="false">(D1748&lt;&gt;"")*(D1748&lt;=($E$3*60+$F$3)/86400)+(H1748&lt;&gt;"")*(H1748&lt;=($I$3*60+$J$3)/86400)+(J1748&lt;&gt;"")*(J1748&lt;=($M$3*60+$N$3)/86400)</f>
        <v>0</v>
      </c>
      <c r="N1748" s="20"/>
      <c r="O1748" s="20"/>
      <c r="P1748" s="20"/>
      <c r="Q1748" s="19"/>
    </row>
    <row r="1749" customFormat="false" ht="15" hidden="false" customHeight="false" outlineLevel="0" collapsed="false">
      <c r="A1749" s="10" t="n">
        <v>1743</v>
      </c>
      <c r="B1749" s="12" t="s">
        <v>2722</v>
      </c>
      <c r="C1749" s="12" t="s">
        <v>2723</v>
      </c>
      <c r="D1749" s="13"/>
      <c r="E1749" s="14"/>
      <c r="F1749" s="15" t="str">
        <f aca="false">IF(D1749="","",ROUND((D1749-MIN($D$7:$D$9999))*86400,2))</f>
        <v/>
      </c>
      <c r="G1749" s="10" t="str">
        <f aca="false">IF(D1749="","",IF(D1749&lt;=($E$3*60+$F$3)/86400,"○",""))</f>
        <v/>
      </c>
      <c r="H1749" s="16"/>
      <c r="I1749" s="17"/>
      <c r="J1749" s="16" t="n">
        <v>0.00286134259259259</v>
      </c>
      <c r="K1749" s="17" t="n">
        <v>642</v>
      </c>
      <c r="L1749" s="17" t="n">
        <f aca="false">COUNT(E1749,I1749,K1749)</f>
        <v>1</v>
      </c>
      <c r="M1749" s="18" t="n">
        <f aca="false">(D1749&lt;&gt;"")*(D1749&lt;=($E$3*60+$F$3)/86400)+(H1749&lt;&gt;"")*(H1749&lt;=($I$3*60+$J$3)/86400)+(J1749&lt;&gt;"")*(J1749&lt;=($M$3*60+$N$3)/86400)</f>
        <v>0</v>
      </c>
      <c r="N1749" s="20"/>
      <c r="O1749" s="20"/>
      <c r="P1749" s="20"/>
      <c r="Q1749" s="19"/>
    </row>
    <row r="1750" customFormat="false" ht="15" hidden="false" customHeight="false" outlineLevel="0" collapsed="false">
      <c r="A1750" s="10" t="n">
        <v>1744</v>
      </c>
      <c r="B1750" s="12" t="s">
        <v>2724</v>
      </c>
      <c r="C1750" s="12" t="s">
        <v>2651</v>
      </c>
      <c r="D1750" s="13"/>
      <c r="E1750" s="14"/>
      <c r="F1750" s="15" t="str">
        <f aca="false">IF(D1750="","",ROUND((D1750-MIN($D$7:$D$9999))*86400,2))</f>
        <v/>
      </c>
      <c r="G1750" s="10" t="str">
        <f aca="false">IF(D1750="","",IF(D1750&lt;=($E$3*60+$F$3)/86400,"○",""))</f>
        <v/>
      </c>
      <c r="H1750" s="16" t="n">
        <v>0.00729872685185185</v>
      </c>
      <c r="I1750" s="17" t="n">
        <v>643</v>
      </c>
      <c r="J1750" s="16"/>
      <c r="K1750" s="17"/>
      <c r="L1750" s="17" t="n">
        <f aca="false">COUNT(E1750,I1750,K1750)</f>
        <v>1</v>
      </c>
      <c r="M1750" s="18" t="n">
        <f aca="false">(D1750&lt;&gt;"")*(D1750&lt;=($E$3*60+$F$3)/86400)+(H1750&lt;&gt;"")*(H1750&lt;=($I$3*60+$J$3)/86400)+(J1750&lt;&gt;"")*(J1750&lt;=($M$3*60+$N$3)/86400)</f>
        <v>0</v>
      </c>
      <c r="N1750" s="20"/>
      <c r="O1750" s="20"/>
      <c r="P1750" s="20"/>
      <c r="Q1750" s="19"/>
    </row>
    <row r="1751" customFormat="false" ht="15" hidden="false" customHeight="false" outlineLevel="0" collapsed="false">
      <c r="A1751" s="10" t="n">
        <v>1745</v>
      </c>
      <c r="B1751" s="12" t="s">
        <v>2725</v>
      </c>
      <c r="C1751" s="12" t="s">
        <v>2726</v>
      </c>
      <c r="D1751" s="13"/>
      <c r="E1751" s="14"/>
      <c r="F1751" s="15" t="str">
        <f aca="false">IF(D1751="","",ROUND((D1751-MIN($D$7:$D$9999))*86400,2))</f>
        <v/>
      </c>
      <c r="G1751" s="10" t="str">
        <f aca="false">IF(D1751="","",IF(D1751&lt;=($E$3*60+$F$3)/86400,"○",""))</f>
        <v/>
      </c>
      <c r="H1751" s="16" t="n">
        <v>0.00729884259259259</v>
      </c>
      <c r="I1751" s="17" t="n">
        <v>644</v>
      </c>
      <c r="J1751" s="16"/>
      <c r="K1751" s="17"/>
      <c r="L1751" s="17" t="n">
        <f aca="false">COUNT(E1751,I1751,K1751)</f>
        <v>1</v>
      </c>
      <c r="M1751" s="18" t="n">
        <f aca="false">(D1751&lt;&gt;"")*(D1751&lt;=($E$3*60+$F$3)/86400)+(H1751&lt;&gt;"")*(H1751&lt;=($I$3*60+$J$3)/86400)+(J1751&lt;&gt;"")*(J1751&lt;=($M$3*60+$N$3)/86400)</f>
        <v>0</v>
      </c>
      <c r="N1751" s="20"/>
      <c r="O1751" s="20"/>
      <c r="P1751" s="20"/>
      <c r="Q1751" s="19"/>
    </row>
    <row r="1752" customFormat="false" ht="15" hidden="false" customHeight="false" outlineLevel="0" collapsed="false">
      <c r="A1752" s="10" t="n">
        <v>1746</v>
      </c>
      <c r="B1752" s="12" t="s">
        <v>2727</v>
      </c>
      <c r="C1752" s="12" t="s">
        <v>1688</v>
      </c>
      <c r="D1752" s="13"/>
      <c r="E1752" s="14"/>
      <c r="F1752" s="15" t="str">
        <f aca="false">IF(D1752="","",ROUND((D1752-MIN($D$7:$D$9999))*86400,2))</f>
        <v/>
      </c>
      <c r="G1752" s="10" t="str">
        <f aca="false">IF(D1752="","",IF(D1752&lt;=($E$3*60+$F$3)/86400,"○",""))</f>
        <v/>
      </c>
      <c r="H1752" s="16" t="n">
        <v>0.00729930555555556</v>
      </c>
      <c r="I1752" s="17" t="n">
        <v>645</v>
      </c>
      <c r="J1752" s="16"/>
      <c r="K1752" s="17"/>
      <c r="L1752" s="17" t="n">
        <f aca="false">COUNT(E1752,I1752,K1752)</f>
        <v>1</v>
      </c>
      <c r="M1752" s="18" t="n">
        <f aca="false">(D1752&lt;&gt;"")*(D1752&lt;=($E$3*60+$F$3)/86400)+(H1752&lt;&gt;"")*(H1752&lt;=($I$3*60+$J$3)/86400)+(J1752&lt;&gt;"")*(J1752&lt;=($M$3*60+$N$3)/86400)</f>
        <v>0</v>
      </c>
      <c r="N1752" s="20" t="s">
        <v>2728</v>
      </c>
      <c r="O1752" s="20"/>
      <c r="P1752" s="20"/>
      <c r="Q1752" s="19"/>
    </row>
    <row r="1753" customFormat="false" ht="15" hidden="false" customHeight="false" outlineLevel="0" collapsed="false">
      <c r="A1753" s="10" t="n">
        <v>1747</v>
      </c>
      <c r="B1753" s="12" t="s">
        <v>2729</v>
      </c>
      <c r="C1753" s="12" t="s">
        <v>2239</v>
      </c>
      <c r="D1753" s="13"/>
      <c r="E1753" s="14"/>
      <c r="F1753" s="15" t="str">
        <f aca="false">IF(D1753="","",ROUND((D1753-MIN($D$7:$D$9999))*86400,2))</f>
        <v/>
      </c>
      <c r="G1753" s="10" t="str">
        <f aca="false">IF(D1753="","",IF(D1753&lt;=($E$3*60+$F$3)/86400,"○",""))</f>
        <v/>
      </c>
      <c r="H1753" s="16"/>
      <c r="I1753" s="17"/>
      <c r="J1753" s="16" t="n">
        <v>0.0028619212962963</v>
      </c>
      <c r="K1753" s="17" t="n">
        <v>645</v>
      </c>
      <c r="L1753" s="17" t="n">
        <f aca="false">COUNT(E1753,I1753,K1753)</f>
        <v>1</v>
      </c>
      <c r="M1753" s="18" t="n">
        <f aca="false">(D1753&lt;&gt;"")*(D1753&lt;=($E$3*60+$F$3)/86400)+(H1753&lt;&gt;"")*(H1753&lt;=($I$3*60+$J$3)/86400)+(J1753&lt;&gt;"")*(J1753&lt;=($M$3*60+$N$3)/86400)</f>
        <v>0</v>
      </c>
      <c r="N1753" s="20"/>
      <c r="O1753" s="20"/>
      <c r="P1753" s="20"/>
      <c r="Q1753" s="19"/>
    </row>
    <row r="1754" customFormat="false" ht="15" hidden="false" customHeight="false" outlineLevel="0" collapsed="false">
      <c r="A1754" s="10" t="n">
        <v>1748</v>
      </c>
      <c r="B1754" s="12" t="s">
        <v>2730</v>
      </c>
      <c r="C1754" s="12" t="s">
        <v>2731</v>
      </c>
      <c r="D1754" s="13"/>
      <c r="E1754" s="14"/>
      <c r="F1754" s="15" t="str">
        <f aca="false">IF(D1754="","",ROUND((D1754-MIN($D$7:$D$9999))*86400,2))</f>
        <v/>
      </c>
      <c r="G1754" s="10" t="str">
        <f aca="false">IF(D1754="","",IF(D1754&lt;=($E$3*60+$F$3)/86400,"○",""))</f>
        <v/>
      </c>
      <c r="H1754" s="16"/>
      <c r="I1754" s="17"/>
      <c r="J1754" s="16" t="n">
        <v>0.00286215277777778</v>
      </c>
      <c r="K1754" s="17" t="n">
        <v>646</v>
      </c>
      <c r="L1754" s="17" t="n">
        <f aca="false">COUNT(E1754,I1754,K1754)</f>
        <v>1</v>
      </c>
      <c r="M1754" s="18" t="n">
        <f aca="false">(D1754&lt;&gt;"")*(D1754&lt;=($E$3*60+$F$3)/86400)+(H1754&lt;&gt;"")*(H1754&lt;=($I$3*60+$J$3)/86400)+(J1754&lt;&gt;"")*(J1754&lt;=($M$3*60+$N$3)/86400)</f>
        <v>0</v>
      </c>
      <c r="N1754" s="20"/>
      <c r="O1754" s="20"/>
      <c r="P1754" s="20"/>
      <c r="Q1754" s="19"/>
    </row>
    <row r="1755" customFormat="false" ht="15" hidden="false" customHeight="false" outlineLevel="0" collapsed="false">
      <c r="A1755" s="10" t="n">
        <v>1749</v>
      </c>
      <c r="B1755" s="12" t="s">
        <v>2732</v>
      </c>
      <c r="C1755" s="12" t="s">
        <v>674</v>
      </c>
      <c r="D1755" s="13"/>
      <c r="E1755" s="14"/>
      <c r="F1755" s="15" t="str">
        <f aca="false">IF(D1755="","",ROUND((D1755-MIN($D$7:$D$9999))*86400,2))</f>
        <v/>
      </c>
      <c r="G1755" s="10" t="str">
        <f aca="false">IF(D1755="","",IF(D1755&lt;=($E$3*60+$F$3)/86400,"○",""))</f>
        <v/>
      </c>
      <c r="H1755" s="16" t="n">
        <v>0.00729988425925926</v>
      </c>
      <c r="I1755" s="17" t="n">
        <v>647</v>
      </c>
      <c r="J1755" s="16"/>
      <c r="K1755" s="17"/>
      <c r="L1755" s="17" t="n">
        <f aca="false">COUNT(E1755,I1755,K1755)</f>
        <v>1</v>
      </c>
      <c r="M1755" s="18" t="n">
        <f aca="false">(D1755&lt;&gt;"")*(D1755&lt;=($E$3*60+$F$3)/86400)+(H1755&lt;&gt;"")*(H1755&lt;=($I$3*60+$J$3)/86400)+(J1755&lt;&gt;"")*(J1755&lt;=($M$3*60+$N$3)/86400)</f>
        <v>0</v>
      </c>
      <c r="N1755" s="20" t="s">
        <v>2733</v>
      </c>
      <c r="O1755" s="20"/>
      <c r="P1755" s="20"/>
      <c r="Q1755" s="19"/>
    </row>
    <row r="1756" customFormat="false" ht="15" hidden="false" customHeight="false" outlineLevel="0" collapsed="false">
      <c r="A1756" s="10" t="n">
        <v>1750</v>
      </c>
      <c r="B1756" s="12" t="s">
        <v>2734</v>
      </c>
      <c r="C1756" s="12" t="s">
        <v>2735</v>
      </c>
      <c r="D1756" s="13"/>
      <c r="E1756" s="14"/>
      <c r="F1756" s="15" t="str">
        <f aca="false">IF(D1756="","",ROUND((D1756-MIN($D$7:$D$9999))*86400,2))</f>
        <v/>
      </c>
      <c r="G1756" s="10" t="str">
        <f aca="false">IF(D1756="","",IF(D1756&lt;=($E$3*60+$F$3)/86400,"○",""))</f>
        <v/>
      </c>
      <c r="H1756" s="16" t="n">
        <v>0.0073005787037037</v>
      </c>
      <c r="I1756" s="17" t="n">
        <v>648</v>
      </c>
      <c r="J1756" s="16"/>
      <c r="K1756" s="17"/>
      <c r="L1756" s="17" t="n">
        <f aca="false">COUNT(E1756,I1756,K1756)</f>
        <v>1</v>
      </c>
      <c r="M1756" s="18" t="n">
        <f aca="false">(D1756&lt;&gt;"")*(D1756&lt;=($E$3*60+$F$3)/86400)+(H1756&lt;&gt;"")*(H1756&lt;=($I$3*60+$J$3)/86400)+(J1756&lt;&gt;"")*(J1756&lt;=($M$3*60+$N$3)/86400)</f>
        <v>0</v>
      </c>
      <c r="N1756" s="20"/>
      <c r="O1756" s="20"/>
      <c r="P1756" s="20"/>
      <c r="Q1756" s="19"/>
    </row>
    <row r="1757" customFormat="false" ht="15" hidden="false" customHeight="false" outlineLevel="0" collapsed="false">
      <c r="A1757" s="10" t="n">
        <v>1751</v>
      </c>
      <c r="B1757" s="12" t="s">
        <v>2736</v>
      </c>
      <c r="C1757" s="12" t="s">
        <v>1697</v>
      </c>
      <c r="D1757" s="13"/>
      <c r="E1757" s="14"/>
      <c r="F1757" s="15" t="str">
        <f aca="false">IF(D1757="","",ROUND((D1757-MIN($D$7:$D$9999))*86400,2))</f>
        <v/>
      </c>
      <c r="G1757" s="10" t="str">
        <f aca="false">IF(D1757="","",IF(D1757&lt;=($E$3*60+$F$3)/86400,"○",""))</f>
        <v/>
      </c>
      <c r="H1757" s="16" t="n">
        <v>0.00730069444444444</v>
      </c>
      <c r="I1757" s="17" t="n">
        <v>649</v>
      </c>
      <c r="J1757" s="16"/>
      <c r="K1757" s="17"/>
      <c r="L1757" s="17" t="n">
        <f aca="false">COUNT(E1757,I1757,K1757)</f>
        <v>1</v>
      </c>
      <c r="M1757" s="18" t="n">
        <f aca="false">(D1757&lt;&gt;"")*(D1757&lt;=($E$3*60+$F$3)/86400)+(H1757&lt;&gt;"")*(H1757&lt;=($I$3*60+$J$3)/86400)+(J1757&lt;&gt;"")*(J1757&lt;=($M$3*60+$N$3)/86400)</f>
        <v>0</v>
      </c>
      <c r="N1757" s="20"/>
      <c r="O1757" s="20"/>
      <c r="P1757" s="20"/>
      <c r="Q1757" s="19"/>
    </row>
    <row r="1758" customFormat="false" ht="15" hidden="false" customHeight="false" outlineLevel="0" collapsed="false">
      <c r="A1758" s="10" t="n">
        <v>1752</v>
      </c>
      <c r="B1758" s="12" t="s">
        <v>2737</v>
      </c>
      <c r="C1758" s="12" t="s">
        <v>1218</v>
      </c>
      <c r="D1758" s="13"/>
      <c r="E1758" s="14"/>
      <c r="F1758" s="15" t="str">
        <f aca="false">IF(D1758="","",ROUND((D1758-MIN($D$7:$D$9999))*86400,2))</f>
        <v/>
      </c>
      <c r="G1758" s="10" t="str">
        <f aca="false">IF(D1758="","",IF(D1758&lt;=($E$3*60+$F$3)/86400,"○",""))</f>
        <v/>
      </c>
      <c r="H1758" s="16" t="n">
        <v>0.00730439814814815</v>
      </c>
      <c r="I1758" s="17" t="n">
        <v>653</v>
      </c>
      <c r="J1758" s="16"/>
      <c r="K1758" s="17"/>
      <c r="L1758" s="17" t="n">
        <f aca="false">COUNT(E1758,I1758,K1758)</f>
        <v>1</v>
      </c>
      <c r="M1758" s="18" t="n">
        <f aca="false">(D1758&lt;&gt;"")*(D1758&lt;=($E$3*60+$F$3)/86400)+(H1758&lt;&gt;"")*(H1758&lt;=($I$3*60+$J$3)/86400)+(J1758&lt;&gt;"")*(J1758&lt;=($M$3*60+$N$3)/86400)</f>
        <v>0</v>
      </c>
      <c r="N1758" s="20"/>
      <c r="O1758" s="20"/>
      <c r="P1758" s="20"/>
      <c r="Q1758" s="19"/>
    </row>
    <row r="1759" customFormat="false" ht="15" hidden="false" customHeight="false" outlineLevel="0" collapsed="false">
      <c r="A1759" s="10" t="n">
        <v>1753</v>
      </c>
      <c r="B1759" s="12" t="s">
        <v>2738</v>
      </c>
      <c r="C1759" s="12" t="s">
        <v>2739</v>
      </c>
      <c r="D1759" s="13"/>
      <c r="E1759" s="14"/>
      <c r="F1759" s="15" t="str">
        <f aca="false">IF(D1759="","",ROUND((D1759-MIN($D$7:$D$9999))*86400,2))</f>
        <v/>
      </c>
      <c r="G1759" s="10" t="str">
        <f aca="false">IF(D1759="","",IF(D1759&lt;=($E$3*60+$F$3)/86400,"○",""))</f>
        <v/>
      </c>
      <c r="H1759" s="16" t="n">
        <v>0.00730578703703704</v>
      </c>
      <c r="I1759" s="17" t="n">
        <v>654</v>
      </c>
      <c r="J1759" s="16"/>
      <c r="K1759" s="17"/>
      <c r="L1759" s="17" t="n">
        <f aca="false">COUNT(E1759,I1759,K1759)</f>
        <v>1</v>
      </c>
      <c r="M1759" s="18" t="n">
        <f aca="false">(D1759&lt;&gt;"")*(D1759&lt;=($E$3*60+$F$3)/86400)+(H1759&lt;&gt;"")*(H1759&lt;=($I$3*60+$J$3)/86400)+(J1759&lt;&gt;"")*(J1759&lt;=($M$3*60+$N$3)/86400)</f>
        <v>0</v>
      </c>
      <c r="N1759" s="20"/>
      <c r="O1759" s="20"/>
      <c r="P1759" s="20"/>
      <c r="Q1759" s="19"/>
    </row>
    <row r="1760" customFormat="false" ht="15" hidden="false" customHeight="false" outlineLevel="0" collapsed="false">
      <c r="A1760" s="10" t="n">
        <v>1754</v>
      </c>
      <c r="B1760" s="12" t="s">
        <v>2740</v>
      </c>
      <c r="C1760" s="12" t="s">
        <v>2741</v>
      </c>
      <c r="D1760" s="13"/>
      <c r="E1760" s="14"/>
      <c r="F1760" s="15" t="str">
        <f aca="false">IF(D1760="","",ROUND((D1760-MIN($D$7:$D$9999))*86400,2))</f>
        <v/>
      </c>
      <c r="G1760" s="10" t="str">
        <f aca="false">IF(D1760="","",IF(D1760&lt;=($E$3*60+$F$3)/86400,"○",""))</f>
        <v/>
      </c>
      <c r="H1760" s="16" t="n">
        <v>0.00730578703703704</v>
      </c>
      <c r="I1760" s="17" t="n">
        <v>655</v>
      </c>
      <c r="J1760" s="16"/>
      <c r="K1760" s="17"/>
      <c r="L1760" s="17" t="n">
        <f aca="false">COUNT(E1760,I1760,K1760)</f>
        <v>1</v>
      </c>
      <c r="M1760" s="18" t="n">
        <f aca="false">(D1760&lt;&gt;"")*(D1760&lt;=($E$3*60+$F$3)/86400)+(H1760&lt;&gt;"")*(H1760&lt;=($I$3*60+$J$3)/86400)+(J1760&lt;&gt;"")*(J1760&lt;=($M$3*60+$N$3)/86400)</f>
        <v>0</v>
      </c>
      <c r="N1760" s="20"/>
      <c r="O1760" s="20"/>
      <c r="P1760" s="20"/>
      <c r="Q1760" s="19"/>
    </row>
    <row r="1761" customFormat="false" ht="15" hidden="false" customHeight="false" outlineLevel="0" collapsed="false">
      <c r="A1761" s="10" t="n">
        <v>1755</v>
      </c>
      <c r="B1761" s="12" t="s">
        <v>2742</v>
      </c>
      <c r="C1761" s="12" t="s">
        <v>674</v>
      </c>
      <c r="D1761" s="13"/>
      <c r="E1761" s="14"/>
      <c r="F1761" s="15" t="str">
        <f aca="false">IF(D1761="","",ROUND((D1761-MIN($D$7:$D$9999))*86400,2))</f>
        <v/>
      </c>
      <c r="G1761" s="10" t="str">
        <f aca="false">IF(D1761="","",IF(D1761&lt;=($E$3*60+$F$3)/86400,"○",""))</f>
        <v/>
      </c>
      <c r="H1761" s="16" t="n">
        <v>0.0073068287037037</v>
      </c>
      <c r="I1761" s="17" t="n">
        <v>656</v>
      </c>
      <c r="J1761" s="16"/>
      <c r="K1761" s="17"/>
      <c r="L1761" s="17" t="n">
        <f aca="false">COUNT(E1761,I1761,K1761)</f>
        <v>1</v>
      </c>
      <c r="M1761" s="18" t="n">
        <f aca="false">(D1761&lt;&gt;"")*(D1761&lt;=($E$3*60+$F$3)/86400)+(H1761&lt;&gt;"")*(H1761&lt;=($I$3*60+$J$3)/86400)+(J1761&lt;&gt;"")*(J1761&lt;=($M$3*60+$N$3)/86400)</f>
        <v>0</v>
      </c>
      <c r="N1761" s="20" t="s">
        <v>2743</v>
      </c>
      <c r="O1761" s="20"/>
      <c r="P1761" s="20"/>
      <c r="Q1761" s="19"/>
    </row>
    <row r="1762" customFormat="false" ht="15" hidden="false" customHeight="false" outlineLevel="0" collapsed="false">
      <c r="A1762" s="10" t="n">
        <v>1756</v>
      </c>
      <c r="B1762" s="12" t="s">
        <v>2744</v>
      </c>
      <c r="C1762" s="12" t="s">
        <v>127</v>
      </c>
      <c r="D1762" s="13"/>
      <c r="E1762" s="14"/>
      <c r="F1762" s="15" t="str">
        <f aca="false">IF(D1762="","",ROUND((D1762-MIN($D$7:$D$9999))*86400,2))</f>
        <v/>
      </c>
      <c r="G1762" s="10" t="str">
        <f aca="false">IF(D1762="","",IF(D1762&lt;=($E$3*60+$F$3)/86400,"○",""))</f>
        <v/>
      </c>
      <c r="H1762" s="16"/>
      <c r="I1762" s="17"/>
      <c r="J1762" s="16" t="n">
        <v>0.00286342592592593</v>
      </c>
      <c r="K1762" s="17" t="n">
        <v>657</v>
      </c>
      <c r="L1762" s="17" t="n">
        <f aca="false">COUNT(E1762,I1762,K1762)</f>
        <v>1</v>
      </c>
      <c r="M1762" s="18" t="n">
        <f aca="false">(D1762&lt;&gt;"")*(D1762&lt;=($E$3*60+$F$3)/86400)+(H1762&lt;&gt;"")*(H1762&lt;=($I$3*60+$J$3)/86400)+(J1762&lt;&gt;"")*(J1762&lt;=($M$3*60+$N$3)/86400)</f>
        <v>0</v>
      </c>
      <c r="N1762" s="20"/>
      <c r="O1762" s="20"/>
      <c r="P1762" s="20"/>
      <c r="Q1762" s="19"/>
    </row>
    <row r="1763" customFormat="false" ht="15" hidden="false" customHeight="false" outlineLevel="0" collapsed="false">
      <c r="A1763" s="10" t="n">
        <v>1757</v>
      </c>
      <c r="B1763" s="12" t="s">
        <v>2745</v>
      </c>
      <c r="C1763" s="12" t="s">
        <v>1385</v>
      </c>
      <c r="D1763" s="13"/>
      <c r="E1763" s="14"/>
      <c r="F1763" s="15" t="str">
        <f aca="false">IF(D1763="","",ROUND((D1763-MIN($D$7:$D$9999))*86400,2))</f>
        <v/>
      </c>
      <c r="G1763" s="10" t="str">
        <f aca="false">IF(D1763="","",IF(D1763&lt;=($E$3*60+$F$3)/86400,"○",""))</f>
        <v/>
      </c>
      <c r="H1763" s="16" t="n">
        <v>0.00730821759259259</v>
      </c>
      <c r="I1763" s="17" t="n">
        <v>658</v>
      </c>
      <c r="J1763" s="16"/>
      <c r="K1763" s="17"/>
      <c r="L1763" s="17" t="n">
        <f aca="false">COUNT(E1763,I1763,K1763)</f>
        <v>1</v>
      </c>
      <c r="M1763" s="18" t="n">
        <f aca="false">(D1763&lt;&gt;"")*(D1763&lt;=($E$3*60+$F$3)/86400)+(H1763&lt;&gt;"")*(H1763&lt;=($I$3*60+$J$3)/86400)+(J1763&lt;&gt;"")*(J1763&lt;=($M$3*60+$N$3)/86400)</f>
        <v>0</v>
      </c>
      <c r="N1763" s="20"/>
      <c r="O1763" s="20"/>
      <c r="P1763" s="20"/>
      <c r="Q1763" s="19"/>
    </row>
    <row r="1764" customFormat="false" ht="15" hidden="false" customHeight="false" outlineLevel="0" collapsed="false">
      <c r="A1764" s="10" t="n">
        <v>1758</v>
      </c>
      <c r="B1764" s="12" t="s">
        <v>2746</v>
      </c>
      <c r="C1764" s="12" t="s">
        <v>1843</v>
      </c>
      <c r="D1764" s="13"/>
      <c r="E1764" s="14"/>
      <c r="F1764" s="15" t="str">
        <f aca="false">IF(D1764="","",ROUND((D1764-MIN($D$7:$D$9999))*86400,2))</f>
        <v/>
      </c>
      <c r="G1764" s="10" t="str">
        <f aca="false">IF(D1764="","",IF(D1764&lt;=($E$3*60+$F$3)/86400,"○",""))</f>
        <v/>
      </c>
      <c r="H1764" s="16" t="n">
        <v>0.00731238425925926</v>
      </c>
      <c r="I1764" s="17" t="n">
        <v>659</v>
      </c>
      <c r="J1764" s="16"/>
      <c r="K1764" s="17"/>
      <c r="L1764" s="17" t="n">
        <f aca="false">COUNT(E1764,I1764,K1764)</f>
        <v>1</v>
      </c>
      <c r="M1764" s="18" t="n">
        <f aca="false">(D1764&lt;&gt;"")*(D1764&lt;=($E$3*60+$F$3)/86400)+(H1764&lt;&gt;"")*(H1764&lt;=($I$3*60+$J$3)/86400)+(J1764&lt;&gt;"")*(J1764&lt;=($M$3*60+$N$3)/86400)</f>
        <v>0</v>
      </c>
      <c r="N1764" s="20"/>
      <c r="O1764" s="20"/>
      <c r="P1764" s="20"/>
      <c r="Q1764" s="19"/>
    </row>
    <row r="1765" customFormat="false" ht="15" hidden="false" customHeight="false" outlineLevel="0" collapsed="false">
      <c r="A1765" s="10" t="n">
        <v>1759</v>
      </c>
      <c r="B1765" s="12" t="s">
        <v>2747</v>
      </c>
      <c r="C1765" s="12" t="s">
        <v>1418</v>
      </c>
      <c r="D1765" s="13"/>
      <c r="E1765" s="14"/>
      <c r="F1765" s="15" t="str">
        <f aca="false">IF(D1765="","",ROUND((D1765-MIN($D$7:$D$9999))*86400,2))</f>
        <v/>
      </c>
      <c r="G1765" s="10" t="str">
        <f aca="false">IF(D1765="","",IF(D1765&lt;=($E$3*60+$F$3)/86400,"○",""))</f>
        <v/>
      </c>
      <c r="H1765" s="16" t="n">
        <v>0.00731354166666667</v>
      </c>
      <c r="I1765" s="17" t="n">
        <v>660</v>
      </c>
      <c r="J1765" s="16"/>
      <c r="K1765" s="17"/>
      <c r="L1765" s="17" t="n">
        <f aca="false">COUNT(E1765,I1765,K1765)</f>
        <v>1</v>
      </c>
      <c r="M1765" s="18" t="n">
        <f aca="false">(D1765&lt;&gt;"")*(D1765&lt;=($E$3*60+$F$3)/86400)+(H1765&lt;&gt;"")*(H1765&lt;=($I$3*60+$J$3)/86400)+(J1765&lt;&gt;"")*(J1765&lt;=($M$3*60+$N$3)/86400)</f>
        <v>0</v>
      </c>
      <c r="N1765" s="20"/>
      <c r="O1765" s="20"/>
      <c r="P1765" s="20"/>
      <c r="Q1765" s="19"/>
    </row>
    <row r="1766" customFormat="false" ht="15" hidden="false" customHeight="false" outlineLevel="0" collapsed="false">
      <c r="A1766" s="10" t="n">
        <v>1760</v>
      </c>
      <c r="B1766" s="12" t="s">
        <v>2748</v>
      </c>
      <c r="C1766" s="12" t="s">
        <v>1637</v>
      </c>
      <c r="D1766" s="13"/>
      <c r="E1766" s="14"/>
      <c r="F1766" s="15" t="str">
        <f aca="false">IF(D1766="","",ROUND((D1766-MIN($D$7:$D$9999))*86400,2))</f>
        <v/>
      </c>
      <c r="G1766" s="10" t="str">
        <f aca="false">IF(D1766="","",IF(D1766&lt;=($E$3*60+$F$3)/86400,"○",""))</f>
        <v/>
      </c>
      <c r="H1766" s="16"/>
      <c r="I1766" s="17"/>
      <c r="J1766" s="16" t="n">
        <v>0.00286400462962963</v>
      </c>
      <c r="K1766" s="17" t="n">
        <v>660</v>
      </c>
      <c r="L1766" s="17" t="n">
        <f aca="false">COUNT(E1766,I1766,K1766)</f>
        <v>1</v>
      </c>
      <c r="M1766" s="18" t="n">
        <f aca="false">(D1766&lt;&gt;"")*(D1766&lt;=($E$3*60+$F$3)/86400)+(H1766&lt;&gt;"")*(H1766&lt;=($I$3*60+$J$3)/86400)+(J1766&lt;&gt;"")*(J1766&lt;=($M$3*60+$N$3)/86400)</f>
        <v>0</v>
      </c>
      <c r="N1766" s="20"/>
      <c r="O1766" s="20"/>
      <c r="P1766" s="20"/>
      <c r="Q1766" s="19"/>
    </row>
    <row r="1767" customFormat="false" ht="15" hidden="false" customHeight="false" outlineLevel="0" collapsed="false">
      <c r="A1767" s="10" t="n">
        <v>1761</v>
      </c>
      <c r="B1767" s="12" t="s">
        <v>2749</v>
      </c>
      <c r="C1767" s="12" t="s">
        <v>2726</v>
      </c>
      <c r="D1767" s="13"/>
      <c r="E1767" s="14"/>
      <c r="F1767" s="15" t="str">
        <f aca="false">IF(D1767="","",ROUND((D1767-MIN($D$7:$D$9999))*86400,2))</f>
        <v/>
      </c>
      <c r="G1767" s="10" t="str">
        <f aca="false">IF(D1767="","",IF(D1767&lt;=($E$3*60+$F$3)/86400,"○",""))</f>
        <v/>
      </c>
      <c r="H1767" s="16" t="n">
        <v>0.00731400462962963</v>
      </c>
      <c r="I1767" s="17" t="n">
        <v>661</v>
      </c>
      <c r="J1767" s="16" t="n">
        <v>0.00290173611111111</v>
      </c>
      <c r="K1767" s="17" t="n">
        <v>962</v>
      </c>
      <c r="L1767" s="17" t="n">
        <f aca="false">COUNT(E1767,I1767,K1767)</f>
        <v>2</v>
      </c>
      <c r="M1767" s="18" t="n">
        <f aca="false">(D1767&lt;&gt;"")*(D1767&lt;=($E$3*60+$F$3)/86400)+(H1767&lt;&gt;"")*(H1767&lt;=($I$3*60+$J$3)/86400)+(J1767&lt;&gt;"")*(J1767&lt;=($M$3*60+$N$3)/86400)</f>
        <v>0</v>
      </c>
      <c r="N1767" s="20"/>
      <c r="O1767" s="20"/>
      <c r="P1767" s="20"/>
      <c r="Q1767" s="19"/>
    </row>
    <row r="1768" customFormat="false" ht="15" hidden="false" customHeight="false" outlineLevel="0" collapsed="false">
      <c r="A1768" s="10" t="n">
        <v>1762</v>
      </c>
      <c r="B1768" s="12" t="s">
        <v>2750</v>
      </c>
      <c r="C1768" s="12" t="s">
        <v>2751</v>
      </c>
      <c r="D1768" s="13"/>
      <c r="E1768" s="14"/>
      <c r="F1768" s="15" t="str">
        <f aca="false">IF(D1768="","",ROUND((D1768-MIN($D$7:$D$9999))*86400,2))</f>
        <v/>
      </c>
      <c r="G1768" s="10" t="str">
        <f aca="false">IF(D1768="","",IF(D1768&lt;=($E$3*60+$F$3)/86400,"○",""))</f>
        <v/>
      </c>
      <c r="H1768" s="16" t="n">
        <v>0.0073150462962963</v>
      </c>
      <c r="I1768" s="17" t="n">
        <v>662</v>
      </c>
      <c r="J1768" s="16"/>
      <c r="K1768" s="17"/>
      <c r="L1768" s="17" t="n">
        <f aca="false">COUNT(E1768,I1768,K1768)</f>
        <v>1</v>
      </c>
      <c r="M1768" s="18" t="n">
        <f aca="false">(D1768&lt;&gt;"")*(D1768&lt;=($E$3*60+$F$3)/86400)+(H1768&lt;&gt;"")*(H1768&lt;=($I$3*60+$J$3)/86400)+(J1768&lt;&gt;"")*(J1768&lt;=($M$3*60+$N$3)/86400)</f>
        <v>0</v>
      </c>
      <c r="N1768" s="20"/>
      <c r="O1768" s="20"/>
      <c r="P1768" s="20"/>
      <c r="Q1768" s="19"/>
    </row>
    <row r="1769" customFormat="false" ht="15" hidden="false" customHeight="false" outlineLevel="0" collapsed="false">
      <c r="A1769" s="10" t="n">
        <v>1763</v>
      </c>
      <c r="B1769" s="12" t="s">
        <v>2752</v>
      </c>
      <c r="C1769" s="12" t="s">
        <v>2564</v>
      </c>
      <c r="D1769" s="13"/>
      <c r="E1769" s="14"/>
      <c r="F1769" s="15" t="str">
        <f aca="false">IF(D1769="","",ROUND((D1769-MIN($D$7:$D$9999))*86400,2))</f>
        <v/>
      </c>
      <c r="G1769" s="10" t="str">
        <f aca="false">IF(D1769="","",IF(D1769&lt;=($E$3*60+$F$3)/86400,"○",""))</f>
        <v/>
      </c>
      <c r="H1769" s="16"/>
      <c r="I1769" s="17"/>
      <c r="J1769" s="16" t="n">
        <v>0.00286446759259259</v>
      </c>
      <c r="K1769" s="17" t="n">
        <v>662</v>
      </c>
      <c r="L1769" s="17" t="n">
        <f aca="false">COUNT(E1769,I1769,K1769)</f>
        <v>1</v>
      </c>
      <c r="M1769" s="18" t="n">
        <f aca="false">(D1769&lt;&gt;"")*(D1769&lt;=($E$3*60+$F$3)/86400)+(H1769&lt;&gt;"")*(H1769&lt;=($I$3*60+$J$3)/86400)+(J1769&lt;&gt;"")*(J1769&lt;=($M$3*60+$N$3)/86400)</f>
        <v>0</v>
      </c>
      <c r="N1769" s="20"/>
      <c r="O1769" s="20"/>
      <c r="P1769" s="20"/>
      <c r="Q1769" s="19"/>
    </row>
    <row r="1770" customFormat="false" ht="15" hidden="false" customHeight="false" outlineLevel="0" collapsed="false">
      <c r="A1770" s="10" t="n">
        <v>1764</v>
      </c>
      <c r="B1770" s="12" t="s">
        <v>2753</v>
      </c>
      <c r="C1770" s="12" t="s">
        <v>1934</v>
      </c>
      <c r="D1770" s="13"/>
      <c r="E1770" s="14"/>
      <c r="F1770" s="15" t="str">
        <f aca="false">IF(D1770="","",ROUND((D1770-MIN($D$7:$D$9999))*86400,2))</f>
        <v/>
      </c>
      <c r="G1770" s="10" t="str">
        <f aca="false">IF(D1770="","",IF(D1770&lt;=($E$3*60+$F$3)/86400,"○",""))</f>
        <v/>
      </c>
      <c r="H1770" s="16" t="n">
        <v>0.00731655092592593</v>
      </c>
      <c r="I1770" s="17" t="n">
        <v>663</v>
      </c>
      <c r="J1770" s="16"/>
      <c r="K1770" s="17"/>
      <c r="L1770" s="17" t="n">
        <f aca="false">COUNT(E1770,I1770,K1770)</f>
        <v>1</v>
      </c>
      <c r="M1770" s="18" t="n">
        <f aca="false">(D1770&lt;&gt;"")*(D1770&lt;=($E$3*60+$F$3)/86400)+(H1770&lt;&gt;"")*(H1770&lt;=($I$3*60+$J$3)/86400)+(J1770&lt;&gt;"")*(J1770&lt;=($M$3*60+$N$3)/86400)</f>
        <v>0</v>
      </c>
      <c r="N1770" s="20"/>
      <c r="O1770" s="20"/>
      <c r="P1770" s="20"/>
      <c r="Q1770" s="19"/>
    </row>
    <row r="1771" customFormat="false" ht="15" hidden="false" customHeight="false" outlineLevel="0" collapsed="false">
      <c r="A1771" s="10" t="n">
        <v>1765</v>
      </c>
      <c r="B1771" s="12" t="s">
        <v>2754</v>
      </c>
      <c r="C1771" s="12" t="s">
        <v>1190</v>
      </c>
      <c r="D1771" s="13"/>
      <c r="E1771" s="14"/>
      <c r="F1771" s="15" t="str">
        <f aca="false">IF(D1771="","",ROUND((D1771-MIN($D$7:$D$9999))*86400,2))</f>
        <v/>
      </c>
      <c r="G1771" s="10" t="str">
        <f aca="false">IF(D1771="","",IF(D1771&lt;=($E$3*60+$F$3)/86400,"○",""))</f>
        <v/>
      </c>
      <c r="H1771" s="16" t="n">
        <v>0.00731689814814815</v>
      </c>
      <c r="I1771" s="17" t="n">
        <v>665</v>
      </c>
      <c r="J1771" s="16"/>
      <c r="K1771" s="17"/>
      <c r="L1771" s="17" t="n">
        <f aca="false">COUNT(E1771,I1771,K1771)</f>
        <v>1</v>
      </c>
      <c r="M1771" s="18" t="n">
        <f aca="false">(D1771&lt;&gt;"")*(D1771&lt;=($E$3*60+$F$3)/86400)+(H1771&lt;&gt;"")*(H1771&lt;=($I$3*60+$J$3)/86400)+(J1771&lt;&gt;"")*(J1771&lt;=($M$3*60+$N$3)/86400)</f>
        <v>0</v>
      </c>
      <c r="N1771" s="20"/>
      <c r="O1771" s="20"/>
      <c r="P1771" s="20"/>
      <c r="Q1771" s="19"/>
    </row>
    <row r="1772" customFormat="false" ht="15" hidden="false" customHeight="false" outlineLevel="0" collapsed="false">
      <c r="A1772" s="10" t="n">
        <v>1766</v>
      </c>
      <c r="B1772" s="12" t="s">
        <v>2755</v>
      </c>
      <c r="C1772" s="12" t="s">
        <v>2756</v>
      </c>
      <c r="D1772" s="13"/>
      <c r="E1772" s="14"/>
      <c r="F1772" s="15" t="str">
        <f aca="false">IF(D1772="","",ROUND((D1772-MIN($D$7:$D$9999))*86400,2))</f>
        <v/>
      </c>
      <c r="G1772" s="10" t="str">
        <f aca="false">IF(D1772="","",IF(D1772&lt;=($E$3*60+$F$3)/86400,"○",""))</f>
        <v/>
      </c>
      <c r="H1772" s="16"/>
      <c r="I1772" s="17"/>
      <c r="J1772" s="16" t="n">
        <v>0.00286481481481482</v>
      </c>
      <c r="K1772" s="17" t="n">
        <v>665</v>
      </c>
      <c r="L1772" s="17" t="n">
        <f aca="false">COUNT(E1772,I1772,K1772)</f>
        <v>1</v>
      </c>
      <c r="M1772" s="18" t="n">
        <f aca="false">(D1772&lt;&gt;"")*(D1772&lt;=($E$3*60+$F$3)/86400)+(H1772&lt;&gt;"")*(H1772&lt;=($I$3*60+$J$3)/86400)+(J1772&lt;&gt;"")*(J1772&lt;=($M$3*60+$N$3)/86400)</f>
        <v>0</v>
      </c>
      <c r="N1772" s="20"/>
      <c r="O1772" s="20"/>
      <c r="P1772" s="20"/>
      <c r="Q1772" s="19"/>
    </row>
    <row r="1773" customFormat="false" ht="15" hidden="false" customHeight="false" outlineLevel="0" collapsed="false">
      <c r="A1773" s="10" t="n">
        <v>1767</v>
      </c>
      <c r="B1773" s="12" t="s">
        <v>2757</v>
      </c>
      <c r="C1773" s="12" t="s">
        <v>2631</v>
      </c>
      <c r="D1773" s="13"/>
      <c r="E1773" s="14"/>
      <c r="F1773" s="15" t="str">
        <f aca="false">IF(D1773="","",ROUND((D1773-MIN($D$7:$D$9999))*86400,2))</f>
        <v/>
      </c>
      <c r="G1773" s="10" t="str">
        <f aca="false">IF(D1773="","",IF(D1773&lt;=($E$3*60+$F$3)/86400,"○",""))</f>
        <v/>
      </c>
      <c r="H1773" s="16" t="n">
        <v>0.00731724537037037</v>
      </c>
      <c r="I1773" s="17" t="n">
        <v>666</v>
      </c>
      <c r="J1773" s="16"/>
      <c r="K1773" s="17"/>
      <c r="L1773" s="17" t="n">
        <f aca="false">COUNT(E1773,I1773,K1773)</f>
        <v>1</v>
      </c>
      <c r="M1773" s="18" t="n">
        <f aca="false">(D1773&lt;&gt;"")*(D1773&lt;=($E$3*60+$F$3)/86400)+(H1773&lt;&gt;"")*(H1773&lt;=($I$3*60+$J$3)/86400)+(J1773&lt;&gt;"")*(J1773&lt;=($M$3*60+$N$3)/86400)</f>
        <v>0</v>
      </c>
      <c r="N1773" s="20" t="s">
        <v>2758</v>
      </c>
      <c r="O1773" s="20"/>
      <c r="P1773" s="20"/>
      <c r="Q1773" s="19"/>
    </row>
    <row r="1774" customFormat="false" ht="15" hidden="false" customHeight="false" outlineLevel="0" collapsed="false">
      <c r="A1774" s="10" t="n">
        <v>1768</v>
      </c>
      <c r="B1774" s="12" t="s">
        <v>2759</v>
      </c>
      <c r="C1774" s="12" t="s">
        <v>1721</v>
      </c>
      <c r="D1774" s="13"/>
      <c r="E1774" s="14"/>
      <c r="F1774" s="15" t="str">
        <f aca="false">IF(D1774="","",ROUND((D1774-MIN($D$7:$D$9999))*86400,2))</f>
        <v/>
      </c>
      <c r="G1774" s="10" t="str">
        <f aca="false">IF(D1774="","",IF(D1774&lt;=($E$3*60+$F$3)/86400,"○",""))</f>
        <v/>
      </c>
      <c r="H1774" s="16" t="n">
        <v>0.00731782407407407</v>
      </c>
      <c r="I1774" s="17" t="n">
        <v>667</v>
      </c>
      <c r="J1774" s="16" t="n">
        <v>0.0028869212962963</v>
      </c>
      <c r="K1774" s="17" t="n">
        <v>832</v>
      </c>
      <c r="L1774" s="17" t="n">
        <f aca="false">COUNT(E1774,I1774,K1774)</f>
        <v>2</v>
      </c>
      <c r="M1774" s="18" t="n">
        <f aca="false">(D1774&lt;&gt;"")*(D1774&lt;=($E$3*60+$F$3)/86400)+(H1774&lt;&gt;"")*(H1774&lt;=($I$3*60+$J$3)/86400)+(J1774&lt;&gt;"")*(J1774&lt;=($M$3*60+$N$3)/86400)</f>
        <v>0</v>
      </c>
      <c r="N1774" s="20"/>
      <c r="O1774" s="20" t="s">
        <v>2760</v>
      </c>
      <c r="P1774" s="20"/>
      <c r="Q1774" s="19"/>
    </row>
    <row r="1775" customFormat="false" ht="15" hidden="false" customHeight="false" outlineLevel="0" collapsed="false">
      <c r="A1775" s="10" t="n">
        <v>1769</v>
      </c>
      <c r="B1775" s="12" t="s">
        <v>2761</v>
      </c>
      <c r="C1775" s="12" t="s">
        <v>2279</v>
      </c>
      <c r="D1775" s="13"/>
      <c r="E1775" s="14"/>
      <c r="F1775" s="15" t="str">
        <f aca="false">IF(D1775="","",ROUND((D1775-MIN($D$7:$D$9999))*86400,2))</f>
        <v/>
      </c>
      <c r="G1775" s="10" t="str">
        <f aca="false">IF(D1775="","",IF(D1775&lt;=($E$3*60+$F$3)/86400,"○",""))</f>
        <v/>
      </c>
      <c r="H1775" s="16"/>
      <c r="I1775" s="17"/>
      <c r="J1775" s="16" t="n">
        <v>0.00286539351851852</v>
      </c>
      <c r="K1775" s="17" t="n">
        <v>667</v>
      </c>
      <c r="L1775" s="17" t="n">
        <f aca="false">COUNT(E1775,I1775,K1775)</f>
        <v>1</v>
      </c>
      <c r="M1775" s="18" t="n">
        <f aca="false">(D1775&lt;&gt;"")*(D1775&lt;=($E$3*60+$F$3)/86400)+(H1775&lt;&gt;"")*(H1775&lt;=($I$3*60+$J$3)/86400)+(J1775&lt;&gt;"")*(J1775&lt;=($M$3*60+$N$3)/86400)</f>
        <v>0</v>
      </c>
      <c r="N1775" s="20"/>
      <c r="O1775" s="20"/>
      <c r="P1775" s="20"/>
      <c r="Q1775" s="19"/>
    </row>
    <row r="1776" customFormat="false" ht="15" hidden="false" customHeight="false" outlineLevel="0" collapsed="false">
      <c r="A1776" s="10" t="n">
        <v>1770</v>
      </c>
      <c r="B1776" s="12" t="s">
        <v>1247</v>
      </c>
      <c r="C1776" s="12" t="s">
        <v>2762</v>
      </c>
      <c r="D1776" s="13"/>
      <c r="E1776" s="14"/>
      <c r="F1776" s="15" t="str">
        <f aca="false">IF(D1776="","",ROUND((D1776-MIN($D$7:$D$9999))*86400,2))</f>
        <v/>
      </c>
      <c r="G1776" s="10" t="str">
        <f aca="false">IF(D1776="","",IF(D1776&lt;=($E$3*60+$F$3)/86400,"○",""))</f>
        <v/>
      </c>
      <c r="H1776" s="16" t="n">
        <v>0.00731805555555556</v>
      </c>
      <c r="I1776" s="17" t="n">
        <v>668</v>
      </c>
      <c r="J1776" s="16"/>
      <c r="K1776" s="17"/>
      <c r="L1776" s="17" t="n">
        <f aca="false">COUNT(E1776,I1776,K1776)</f>
        <v>1</v>
      </c>
      <c r="M1776" s="18" t="n">
        <f aca="false">(D1776&lt;&gt;"")*(D1776&lt;=($E$3*60+$F$3)/86400)+(H1776&lt;&gt;"")*(H1776&lt;=($I$3*60+$J$3)/86400)+(J1776&lt;&gt;"")*(J1776&lt;=($M$3*60+$N$3)/86400)</f>
        <v>0</v>
      </c>
      <c r="N1776" s="20"/>
      <c r="O1776" s="20"/>
      <c r="P1776" s="12" t="s">
        <v>2763</v>
      </c>
      <c r="Q1776" s="19"/>
    </row>
    <row r="1777" customFormat="false" ht="15" hidden="false" customHeight="false" outlineLevel="0" collapsed="false">
      <c r="A1777" s="10" t="n">
        <v>1771</v>
      </c>
      <c r="B1777" s="12" t="s">
        <v>2764</v>
      </c>
      <c r="C1777" s="12" t="s">
        <v>2765</v>
      </c>
      <c r="D1777" s="13"/>
      <c r="E1777" s="14"/>
      <c r="F1777" s="15" t="str">
        <f aca="false">IF(D1777="","",ROUND((D1777-MIN($D$7:$D$9999))*86400,2))</f>
        <v/>
      </c>
      <c r="G1777" s="10" t="str">
        <f aca="false">IF(D1777="","",IF(D1777&lt;=($E$3*60+$F$3)/86400,"○",""))</f>
        <v/>
      </c>
      <c r="H1777" s="16" t="n">
        <v>0.00731840277777778</v>
      </c>
      <c r="I1777" s="17" t="n">
        <v>669</v>
      </c>
      <c r="J1777" s="16"/>
      <c r="K1777" s="17"/>
      <c r="L1777" s="17" t="n">
        <f aca="false">COUNT(E1777,I1777,K1777)</f>
        <v>1</v>
      </c>
      <c r="M1777" s="18" t="n">
        <f aca="false">(D1777&lt;&gt;"")*(D1777&lt;=($E$3*60+$F$3)/86400)+(H1777&lt;&gt;"")*(H1777&lt;=($I$3*60+$J$3)/86400)+(J1777&lt;&gt;"")*(J1777&lt;=($M$3*60+$N$3)/86400)</f>
        <v>0</v>
      </c>
      <c r="N1777" s="20"/>
      <c r="O1777" s="20"/>
      <c r="P1777" s="20"/>
      <c r="Q1777" s="19"/>
    </row>
    <row r="1778" customFormat="false" ht="15" hidden="false" customHeight="false" outlineLevel="0" collapsed="false">
      <c r="A1778" s="10" t="n">
        <v>1772</v>
      </c>
      <c r="B1778" s="12" t="s">
        <v>2766</v>
      </c>
      <c r="C1778" s="12" t="s">
        <v>2372</v>
      </c>
      <c r="D1778" s="13"/>
      <c r="E1778" s="14"/>
      <c r="F1778" s="15" t="str">
        <f aca="false">IF(D1778="","",ROUND((D1778-MIN($D$7:$D$9999))*86400,2))</f>
        <v/>
      </c>
      <c r="G1778" s="10" t="str">
        <f aca="false">IF(D1778="","",IF(D1778&lt;=($E$3*60+$F$3)/86400,"○",""))</f>
        <v/>
      </c>
      <c r="H1778" s="16" t="n">
        <v>0.00731956018518519</v>
      </c>
      <c r="I1778" s="17" t="n">
        <v>670</v>
      </c>
      <c r="J1778" s="16"/>
      <c r="K1778" s="17"/>
      <c r="L1778" s="17" t="n">
        <f aca="false">COUNT(E1778,I1778,K1778)</f>
        <v>1</v>
      </c>
      <c r="M1778" s="18" t="n">
        <f aca="false">(D1778&lt;&gt;"")*(D1778&lt;=($E$3*60+$F$3)/86400)+(H1778&lt;&gt;"")*(H1778&lt;=($I$3*60+$J$3)/86400)+(J1778&lt;&gt;"")*(J1778&lt;=($M$3*60+$N$3)/86400)</f>
        <v>0</v>
      </c>
      <c r="N1778" s="20"/>
      <c r="O1778" s="20"/>
      <c r="P1778" s="20"/>
      <c r="Q1778" s="19"/>
    </row>
    <row r="1779" customFormat="false" ht="15" hidden="false" customHeight="false" outlineLevel="0" collapsed="false">
      <c r="A1779" s="10" t="n">
        <v>1773</v>
      </c>
      <c r="B1779" s="12" t="s">
        <v>2767</v>
      </c>
      <c r="C1779" s="12" t="s">
        <v>2370</v>
      </c>
      <c r="D1779" s="13"/>
      <c r="E1779" s="14"/>
      <c r="F1779" s="15" t="str">
        <f aca="false">IF(D1779="","",ROUND((D1779-MIN($D$7:$D$9999))*86400,2))</f>
        <v/>
      </c>
      <c r="G1779" s="10" t="str">
        <f aca="false">IF(D1779="","",IF(D1779&lt;=($E$3*60+$F$3)/86400,"○",""))</f>
        <v/>
      </c>
      <c r="H1779" s="16" t="n">
        <v>0.00732141203703704</v>
      </c>
      <c r="I1779" s="17" t="n">
        <v>672</v>
      </c>
      <c r="J1779" s="16" t="n">
        <v>0.00292604166666667</v>
      </c>
      <c r="K1779" s="17" t="n">
        <v>1158</v>
      </c>
      <c r="L1779" s="17" t="n">
        <f aca="false">COUNT(E1779,I1779,K1779)</f>
        <v>2</v>
      </c>
      <c r="M1779" s="18" t="n">
        <f aca="false">(D1779&lt;&gt;"")*(D1779&lt;=($E$3*60+$F$3)/86400)+(H1779&lt;&gt;"")*(H1779&lt;=($I$3*60+$J$3)/86400)+(J1779&lt;&gt;"")*(J1779&lt;=($M$3*60+$N$3)/86400)</f>
        <v>0</v>
      </c>
      <c r="N1779" s="20"/>
      <c r="O1779" s="20"/>
      <c r="P1779" s="20"/>
      <c r="Q1779" s="19"/>
    </row>
    <row r="1780" customFormat="false" ht="15" hidden="false" customHeight="false" outlineLevel="0" collapsed="false">
      <c r="A1780" s="10" t="n">
        <v>1774</v>
      </c>
      <c r="B1780" s="12" t="s">
        <v>2768</v>
      </c>
      <c r="C1780" s="12" t="s">
        <v>2769</v>
      </c>
      <c r="D1780" s="13"/>
      <c r="E1780" s="14"/>
      <c r="F1780" s="15" t="str">
        <f aca="false">IF(D1780="","",ROUND((D1780-MIN($D$7:$D$9999))*86400,2))</f>
        <v/>
      </c>
      <c r="G1780" s="10" t="str">
        <f aca="false">IF(D1780="","",IF(D1780&lt;=($E$3*60+$F$3)/86400,"○",""))</f>
        <v/>
      </c>
      <c r="H1780" s="16"/>
      <c r="I1780" s="17"/>
      <c r="J1780" s="16" t="n">
        <v>0.00286643518518519</v>
      </c>
      <c r="K1780" s="17" t="n">
        <v>672</v>
      </c>
      <c r="L1780" s="17" t="n">
        <f aca="false">COUNT(E1780,I1780,K1780)</f>
        <v>1</v>
      </c>
      <c r="M1780" s="18" t="n">
        <f aca="false">(D1780&lt;&gt;"")*(D1780&lt;=($E$3*60+$F$3)/86400)+(H1780&lt;&gt;"")*(H1780&lt;=($I$3*60+$J$3)/86400)+(J1780&lt;&gt;"")*(J1780&lt;=($M$3*60+$N$3)/86400)</f>
        <v>0</v>
      </c>
      <c r="N1780" s="20" t="s">
        <v>2770</v>
      </c>
      <c r="O1780" s="20"/>
      <c r="P1780" s="20"/>
      <c r="Q1780" s="19"/>
    </row>
    <row r="1781" customFormat="false" ht="15" hidden="false" customHeight="false" outlineLevel="0" collapsed="false">
      <c r="A1781" s="10" t="n">
        <v>1775</v>
      </c>
      <c r="B1781" s="12" t="s">
        <v>2771</v>
      </c>
      <c r="C1781" s="12" t="s">
        <v>2121</v>
      </c>
      <c r="D1781" s="13"/>
      <c r="E1781" s="14"/>
      <c r="F1781" s="15" t="str">
        <f aca="false">IF(D1781="","",ROUND((D1781-MIN($D$7:$D$9999))*86400,2))</f>
        <v/>
      </c>
      <c r="G1781" s="10" t="str">
        <f aca="false">IF(D1781="","",IF(D1781&lt;=($E$3*60+$F$3)/86400,"○",""))</f>
        <v/>
      </c>
      <c r="H1781" s="16" t="n">
        <v>0.00732152777777778</v>
      </c>
      <c r="I1781" s="17" t="n">
        <v>673</v>
      </c>
      <c r="J1781" s="16"/>
      <c r="K1781" s="17"/>
      <c r="L1781" s="17" t="n">
        <f aca="false">COUNT(E1781,I1781,K1781)</f>
        <v>1</v>
      </c>
      <c r="M1781" s="18" t="n">
        <f aca="false">(D1781&lt;&gt;"")*(D1781&lt;=($E$3*60+$F$3)/86400)+(H1781&lt;&gt;"")*(H1781&lt;=($I$3*60+$J$3)/86400)+(J1781&lt;&gt;"")*(J1781&lt;=($M$3*60+$N$3)/86400)</f>
        <v>0</v>
      </c>
      <c r="N1781" s="20"/>
      <c r="O1781" s="20"/>
      <c r="P1781" s="20"/>
      <c r="Q1781" s="19"/>
    </row>
    <row r="1782" customFormat="false" ht="15" hidden="false" customHeight="false" outlineLevel="0" collapsed="false">
      <c r="A1782" s="10" t="n">
        <v>1776</v>
      </c>
      <c r="B1782" s="12" t="s">
        <v>2772</v>
      </c>
      <c r="C1782" s="12" t="s">
        <v>2773</v>
      </c>
      <c r="D1782" s="13"/>
      <c r="E1782" s="14"/>
      <c r="F1782" s="15" t="str">
        <f aca="false">IF(D1782="","",ROUND((D1782-MIN($D$7:$D$9999))*86400,2))</f>
        <v/>
      </c>
      <c r="G1782" s="10" t="str">
        <f aca="false">IF(D1782="","",IF(D1782&lt;=($E$3*60+$F$3)/86400,"○",""))</f>
        <v/>
      </c>
      <c r="H1782" s="16" t="n">
        <v>0.00732175925925926</v>
      </c>
      <c r="I1782" s="17" t="n">
        <v>674</v>
      </c>
      <c r="J1782" s="16"/>
      <c r="K1782" s="17"/>
      <c r="L1782" s="17" t="n">
        <f aca="false">COUNT(E1782,I1782,K1782)</f>
        <v>1</v>
      </c>
      <c r="M1782" s="18" t="n">
        <f aca="false">(D1782&lt;&gt;"")*(D1782&lt;=($E$3*60+$F$3)/86400)+(H1782&lt;&gt;"")*(H1782&lt;=($I$3*60+$J$3)/86400)+(J1782&lt;&gt;"")*(J1782&lt;=($M$3*60+$N$3)/86400)</f>
        <v>0</v>
      </c>
      <c r="N1782" s="20"/>
      <c r="O1782" s="20"/>
      <c r="P1782" s="20"/>
      <c r="Q1782" s="19"/>
    </row>
    <row r="1783" customFormat="false" ht="15" hidden="false" customHeight="false" outlineLevel="0" collapsed="false">
      <c r="A1783" s="10" t="n">
        <v>1777</v>
      </c>
      <c r="B1783" s="12" t="s">
        <v>2774</v>
      </c>
      <c r="C1783" s="12" t="s">
        <v>2222</v>
      </c>
      <c r="D1783" s="13"/>
      <c r="E1783" s="14"/>
      <c r="F1783" s="15" t="str">
        <f aca="false">IF(D1783="","",ROUND((D1783-MIN($D$7:$D$9999))*86400,2))</f>
        <v/>
      </c>
      <c r="G1783" s="10" t="str">
        <f aca="false">IF(D1783="","",IF(D1783&lt;=($E$3*60+$F$3)/86400,"○",""))</f>
        <v/>
      </c>
      <c r="H1783" s="16"/>
      <c r="I1783" s="17"/>
      <c r="J1783" s="16" t="n">
        <v>0.00286678240740741</v>
      </c>
      <c r="K1783" s="17" t="n">
        <v>674</v>
      </c>
      <c r="L1783" s="17" t="n">
        <f aca="false">COUNT(E1783,I1783,K1783)</f>
        <v>1</v>
      </c>
      <c r="M1783" s="18" t="n">
        <f aca="false">(D1783&lt;&gt;"")*(D1783&lt;=($E$3*60+$F$3)/86400)+(H1783&lt;&gt;"")*(H1783&lt;=($I$3*60+$J$3)/86400)+(J1783&lt;&gt;"")*(J1783&lt;=($M$3*60+$N$3)/86400)</f>
        <v>0</v>
      </c>
      <c r="N1783" s="20"/>
      <c r="O1783" s="20"/>
      <c r="P1783" s="20"/>
      <c r="Q1783" s="19"/>
    </row>
    <row r="1784" customFormat="false" ht="15" hidden="false" customHeight="false" outlineLevel="0" collapsed="false">
      <c r="A1784" s="10" t="n">
        <v>1778</v>
      </c>
      <c r="B1784" s="12" t="s">
        <v>2775</v>
      </c>
      <c r="C1784" s="12" t="s">
        <v>2776</v>
      </c>
      <c r="D1784" s="13"/>
      <c r="E1784" s="14"/>
      <c r="F1784" s="15" t="str">
        <f aca="false">IF(D1784="","",ROUND((D1784-MIN($D$7:$D$9999))*86400,2))</f>
        <v/>
      </c>
      <c r="G1784" s="10" t="str">
        <f aca="false">IF(D1784="","",IF(D1784&lt;=($E$3*60+$F$3)/86400,"○",""))</f>
        <v/>
      </c>
      <c r="H1784" s="16" t="n">
        <v>0.00732361111111111</v>
      </c>
      <c r="I1784" s="17" t="n">
        <v>675</v>
      </c>
      <c r="J1784" s="16"/>
      <c r="K1784" s="17"/>
      <c r="L1784" s="17" t="n">
        <f aca="false">COUNT(E1784,I1784,K1784)</f>
        <v>1</v>
      </c>
      <c r="M1784" s="18" t="n">
        <f aca="false">(D1784&lt;&gt;"")*(D1784&lt;=($E$3*60+$F$3)/86400)+(H1784&lt;&gt;"")*(H1784&lt;=($I$3*60+$J$3)/86400)+(J1784&lt;&gt;"")*(J1784&lt;=($M$3*60+$N$3)/86400)</f>
        <v>0</v>
      </c>
      <c r="N1784" s="20"/>
      <c r="O1784" s="20"/>
      <c r="P1784" s="20"/>
      <c r="Q1784" s="19"/>
    </row>
    <row r="1785" customFormat="false" ht="15" hidden="false" customHeight="false" outlineLevel="0" collapsed="false">
      <c r="A1785" s="10" t="n">
        <v>1779</v>
      </c>
      <c r="B1785" s="12" t="s">
        <v>2777</v>
      </c>
      <c r="C1785" s="12" t="s">
        <v>2778</v>
      </c>
      <c r="D1785" s="13"/>
      <c r="E1785" s="14"/>
      <c r="F1785" s="15" t="str">
        <f aca="false">IF(D1785="","",ROUND((D1785-MIN($D$7:$D$9999))*86400,2))</f>
        <v/>
      </c>
      <c r="G1785" s="10" t="str">
        <f aca="false">IF(D1785="","",IF(D1785&lt;=($E$3*60+$F$3)/86400,"○",""))</f>
        <v/>
      </c>
      <c r="H1785" s="16"/>
      <c r="I1785" s="17"/>
      <c r="J1785" s="16" t="n">
        <v>0.00286712962962963</v>
      </c>
      <c r="K1785" s="17" t="n">
        <v>675</v>
      </c>
      <c r="L1785" s="17" t="n">
        <f aca="false">COUNT(E1785,I1785,K1785)</f>
        <v>1</v>
      </c>
      <c r="M1785" s="18" t="n">
        <f aca="false">(D1785&lt;&gt;"")*(D1785&lt;=($E$3*60+$F$3)/86400)+(H1785&lt;&gt;"")*(H1785&lt;=($I$3*60+$J$3)/86400)+(J1785&lt;&gt;"")*(J1785&lt;=($M$3*60+$N$3)/86400)</f>
        <v>0</v>
      </c>
      <c r="N1785" s="20"/>
      <c r="O1785" s="20"/>
      <c r="P1785" s="20"/>
      <c r="Q1785" s="19"/>
    </row>
    <row r="1786" customFormat="false" ht="15" hidden="false" customHeight="false" outlineLevel="0" collapsed="false">
      <c r="A1786" s="10" t="n">
        <v>1780</v>
      </c>
      <c r="B1786" s="12" t="s">
        <v>2779</v>
      </c>
      <c r="C1786" s="12" t="s">
        <v>2780</v>
      </c>
      <c r="D1786" s="13"/>
      <c r="E1786" s="14"/>
      <c r="F1786" s="15" t="str">
        <f aca="false">IF(D1786="","",ROUND((D1786-MIN($D$7:$D$9999))*86400,2))</f>
        <v/>
      </c>
      <c r="G1786" s="10" t="str">
        <f aca="false">IF(D1786="","",IF(D1786&lt;=($E$3*60+$F$3)/86400,"○",""))</f>
        <v/>
      </c>
      <c r="H1786" s="16" t="n">
        <v>0.00732384259259259</v>
      </c>
      <c r="I1786" s="17" t="n">
        <v>676</v>
      </c>
      <c r="J1786" s="16"/>
      <c r="K1786" s="17"/>
      <c r="L1786" s="17" t="n">
        <f aca="false">COUNT(E1786,I1786,K1786)</f>
        <v>1</v>
      </c>
      <c r="M1786" s="18" t="n">
        <f aca="false">(D1786&lt;&gt;"")*(D1786&lt;=($E$3*60+$F$3)/86400)+(H1786&lt;&gt;"")*(H1786&lt;=($I$3*60+$J$3)/86400)+(J1786&lt;&gt;"")*(J1786&lt;=($M$3*60+$N$3)/86400)</f>
        <v>0</v>
      </c>
      <c r="N1786" s="20"/>
      <c r="O1786" s="20"/>
      <c r="P1786" s="20"/>
      <c r="Q1786" s="19"/>
    </row>
    <row r="1787" customFormat="false" ht="15" hidden="false" customHeight="false" outlineLevel="0" collapsed="false">
      <c r="A1787" s="10" t="n">
        <v>1781</v>
      </c>
      <c r="B1787" s="12" t="s">
        <v>2781</v>
      </c>
      <c r="C1787" s="12" t="s">
        <v>2782</v>
      </c>
      <c r="D1787" s="13"/>
      <c r="E1787" s="14"/>
      <c r="F1787" s="15" t="str">
        <f aca="false">IF(D1787="","",ROUND((D1787-MIN($D$7:$D$9999))*86400,2))</f>
        <v/>
      </c>
      <c r="G1787" s="10" t="str">
        <f aca="false">IF(D1787="","",IF(D1787&lt;=($E$3*60+$F$3)/86400,"○",""))</f>
        <v/>
      </c>
      <c r="H1787" s="16" t="n">
        <v>0.00732453703703704</v>
      </c>
      <c r="I1787" s="17" t="n">
        <v>677</v>
      </c>
      <c r="J1787" s="16"/>
      <c r="K1787" s="17"/>
      <c r="L1787" s="17" t="n">
        <f aca="false">COUNT(E1787,I1787,K1787)</f>
        <v>1</v>
      </c>
      <c r="M1787" s="18" t="n">
        <f aca="false">(D1787&lt;&gt;"")*(D1787&lt;=($E$3*60+$F$3)/86400)+(H1787&lt;&gt;"")*(H1787&lt;=($I$3*60+$J$3)/86400)+(J1787&lt;&gt;"")*(J1787&lt;=($M$3*60+$N$3)/86400)</f>
        <v>0</v>
      </c>
      <c r="N1787" s="20"/>
      <c r="O1787" s="20"/>
      <c r="P1787" s="20"/>
      <c r="Q1787" s="19"/>
    </row>
    <row r="1788" customFormat="false" ht="15" hidden="false" customHeight="false" outlineLevel="0" collapsed="false">
      <c r="A1788" s="10" t="n">
        <v>1782</v>
      </c>
      <c r="B1788" s="12" t="s">
        <v>2783</v>
      </c>
      <c r="C1788" s="12" t="s">
        <v>2522</v>
      </c>
      <c r="D1788" s="13"/>
      <c r="E1788" s="14"/>
      <c r="F1788" s="15" t="str">
        <f aca="false">IF(D1788="","",ROUND((D1788-MIN($D$7:$D$9999))*86400,2))</f>
        <v/>
      </c>
      <c r="G1788" s="10" t="str">
        <f aca="false">IF(D1788="","",IF(D1788&lt;=($E$3*60+$F$3)/86400,"○",""))</f>
        <v/>
      </c>
      <c r="H1788" s="16"/>
      <c r="I1788" s="17"/>
      <c r="J1788" s="16" t="n">
        <v>0.00286724537037037</v>
      </c>
      <c r="K1788" s="17" t="n">
        <v>677</v>
      </c>
      <c r="L1788" s="17" t="n">
        <f aca="false">COUNT(E1788,I1788,K1788)</f>
        <v>1</v>
      </c>
      <c r="M1788" s="18" t="n">
        <f aca="false">(D1788&lt;&gt;"")*(D1788&lt;=($E$3*60+$F$3)/86400)+(H1788&lt;&gt;"")*(H1788&lt;=($I$3*60+$J$3)/86400)+(J1788&lt;&gt;"")*(J1788&lt;=($M$3*60+$N$3)/86400)</f>
        <v>0</v>
      </c>
      <c r="N1788" s="20"/>
      <c r="O1788" s="20"/>
      <c r="P1788" s="20"/>
      <c r="Q1788" s="19"/>
    </row>
    <row r="1789" customFormat="false" ht="15" hidden="false" customHeight="false" outlineLevel="0" collapsed="false">
      <c r="A1789" s="10" t="n">
        <v>1783</v>
      </c>
      <c r="B1789" s="12" t="s">
        <v>2784</v>
      </c>
      <c r="C1789" s="12" t="s">
        <v>2785</v>
      </c>
      <c r="D1789" s="13"/>
      <c r="E1789" s="14"/>
      <c r="F1789" s="15" t="str">
        <f aca="false">IF(D1789="","",ROUND((D1789-MIN($D$7:$D$9999))*86400,2))</f>
        <v/>
      </c>
      <c r="G1789" s="10" t="str">
        <f aca="false">IF(D1789="","",IF(D1789&lt;=($E$3*60+$F$3)/86400,"○",""))</f>
        <v/>
      </c>
      <c r="H1789" s="16" t="n">
        <v>0.007325</v>
      </c>
      <c r="I1789" s="17" t="n">
        <v>678</v>
      </c>
      <c r="J1789" s="16"/>
      <c r="K1789" s="17"/>
      <c r="L1789" s="17" t="n">
        <f aca="false">COUNT(E1789,I1789,K1789)</f>
        <v>1</v>
      </c>
      <c r="M1789" s="18" t="n">
        <f aca="false">(D1789&lt;&gt;"")*(D1789&lt;=($E$3*60+$F$3)/86400)+(H1789&lt;&gt;"")*(H1789&lt;=($I$3*60+$J$3)/86400)+(J1789&lt;&gt;"")*(J1789&lt;=($M$3*60+$N$3)/86400)</f>
        <v>0</v>
      </c>
      <c r="N1789" s="20"/>
      <c r="O1789" s="20"/>
      <c r="P1789" s="20"/>
      <c r="Q1789" s="19"/>
    </row>
    <row r="1790" customFormat="false" ht="15" hidden="false" customHeight="false" outlineLevel="0" collapsed="false">
      <c r="A1790" s="10" t="n">
        <v>1784</v>
      </c>
      <c r="B1790" s="12" t="s">
        <v>2786</v>
      </c>
      <c r="C1790" s="12" t="s">
        <v>2787</v>
      </c>
      <c r="D1790" s="13"/>
      <c r="E1790" s="14"/>
      <c r="F1790" s="15" t="str">
        <f aca="false">IF(D1790="","",ROUND((D1790-MIN($D$7:$D$9999))*86400,2))</f>
        <v/>
      </c>
      <c r="G1790" s="10" t="str">
        <f aca="false">IF(D1790="","",IF(D1790&lt;=($E$3*60+$F$3)/86400,"○",""))</f>
        <v/>
      </c>
      <c r="H1790" s="16"/>
      <c r="I1790" s="17"/>
      <c r="J1790" s="16" t="n">
        <v>0.00286724537037037</v>
      </c>
      <c r="K1790" s="17" t="n">
        <v>678</v>
      </c>
      <c r="L1790" s="17" t="n">
        <f aca="false">COUNT(E1790,I1790,K1790)</f>
        <v>1</v>
      </c>
      <c r="M1790" s="18" t="n">
        <f aca="false">(D1790&lt;&gt;"")*(D1790&lt;=($E$3*60+$F$3)/86400)+(H1790&lt;&gt;"")*(H1790&lt;=($I$3*60+$J$3)/86400)+(J1790&lt;&gt;"")*(J1790&lt;=($M$3*60+$N$3)/86400)</f>
        <v>0</v>
      </c>
      <c r="N1790" s="20"/>
      <c r="O1790" s="20"/>
      <c r="P1790" s="20"/>
      <c r="Q1790" s="19"/>
    </row>
    <row r="1791" customFormat="false" ht="15" hidden="false" customHeight="false" outlineLevel="0" collapsed="false">
      <c r="A1791" s="10" t="n">
        <v>1785</v>
      </c>
      <c r="B1791" s="12" t="s">
        <v>2788</v>
      </c>
      <c r="C1791" s="12" t="s">
        <v>2067</v>
      </c>
      <c r="D1791" s="13"/>
      <c r="E1791" s="14"/>
      <c r="F1791" s="15" t="str">
        <f aca="false">IF(D1791="","",ROUND((D1791-MIN($D$7:$D$9999))*86400,2))</f>
        <v/>
      </c>
      <c r="G1791" s="10" t="str">
        <f aca="false">IF(D1791="","",IF(D1791&lt;=($E$3*60+$F$3)/86400,"○",""))</f>
        <v/>
      </c>
      <c r="H1791" s="16" t="n">
        <v>0.00732719907407408</v>
      </c>
      <c r="I1791" s="17" t="n">
        <v>679</v>
      </c>
      <c r="J1791" s="16" t="n">
        <v>0.00296273148148148</v>
      </c>
      <c r="K1791" s="17" t="n">
        <v>1282</v>
      </c>
      <c r="L1791" s="17" t="n">
        <f aca="false">COUNT(E1791,I1791,K1791)</f>
        <v>2</v>
      </c>
      <c r="M1791" s="18" t="n">
        <f aca="false">(D1791&lt;&gt;"")*(D1791&lt;=($E$3*60+$F$3)/86400)+(H1791&lt;&gt;"")*(H1791&lt;=($I$3*60+$J$3)/86400)+(J1791&lt;&gt;"")*(J1791&lt;=($M$3*60+$N$3)/86400)</f>
        <v>0</v>
      </c>
      <c r="N1791" s="20"/>
      <c r="O1791" s="20"/>
      <c r="P1791" s="20"/>
      <c r="Q1791" s="19"/>
    </row>
    <row r="1792" customFormat="false" ht="15" hidden="false" customHeight="false" outlineLevel="0" collapsed="false">
      <c r="A1792" s="10" t="n">
        <v>1786</v>
      </c>
      <c r="B1792" s="12" t="s">
        <v>2789</v>
      </c>
      <c r="C1792" s="12" t="s">
        <v>236</v>
      </c>
      <c r="D1792" s="13"/>
      <c r="E1792" s="14"/>
      <c r="F1792" s="15" t="str">
        <f aca="false">IF(D1792="","",ROUND((D1792-MIN($D$7:$D$9999))*86400,2))</f>
        <v/>
      </c>
      <c r="G1792" s="10" t="str">
        <f aca="false">IF(D1792="","",IF(D1792&lt;=($E$3*60+$F$3)/86400,"○",""))</f>
        <v/>
      </c>
      <c r="H1792" s="16" t="n">
        <v>0.00732893518518519</v>
      </c>
      <c r="I1792" s="17" t="n">
        <v>680</v>
      </c>
      <c r="J1792" s="16"/>
      <c r="K1792" s="17"/>
      <c r="L1792" s="17" t="n">
        <f aca="false">COUNT(E1792,I1792,K1792)</f>
        <v>1</v>
      </c>
      <c r="M1792" s="18" t="n">
        <f aca="false">(D1792&lt;&gt;"")*(D1792&lt;=($E$3*60+$F$3)/86400)+(H1792&lt;&gt;"")*(H1792&lt;=($I$3*60+$J$3)/86400)+(J1792&lt;&gt;"")*(J1792&lt;=($M$3*60+$N$3)/86400)</f>
        <v>0</v>
      </c>
      <c r="N1792" s="20"/>
      <c r="O1792" s="20"/>
      <c r="P1792" s="20"/>
      <c r="Q1792" s="19"/>
    </row>
    <row r="1793" customFormat="false" ht="15" hidden="false" customHeight="false" outlineLevel="0" collapsed="false">
      <c r="A1793" s="10" t="n">
        <v>1787</v>
      </c>
      <c r="B1793" s="12" t="s">
        <v>2790</v>
      </c>
      <c r="C1793" s="12" t="s">
        <v>2791</v>
      </c>
      <c r="D1793" s="13"/>
      <c r="E1793" s="14"/>
      <c r="F1793" s="15" t="str">
        <f aca="false">IF(D1793="","",ROUND((D1793-MIN($D$7:$D$9999))*86400,2))</f>
        <v/>
      </c>
      <c r="G1793" s="10" t="str">
        <f aca="false">IF(D1793="","",IF(D1793&lt;=($E$3*60+$F$3)/86400,"○",""))</f>
        <v/>
      </c>
      <c r="H1793" s="16"/>
      <c r="I1793" s="17"/>
      <c r="J1793" s="16" t="n">
        <v>0.00286805555555556</v>
      </c>
      <c r="K1793" s="17" t="n">
        <v>681</v>
      </c>
      <c r="L1793" s="17" t="n">
        <f aca="false">COUNT(E1793,I1793,K1793)</f>
        <v>1</v>
      </c>
      <c r="M1793" s="18" t="n">
        <f aca="false">(D1793&lt;&gt;"")*(D1793&lt;=($E$3*60+$F$3)/86400)+(H1793&lt;&gt;"")*(H1793&lt;=($I$3*60+$J$3)/86400)+(J1793&lt;&gt;"")*(J1793&lt;=($M$3*60+$N$3)/86400)</f>
        <v>0</v>
      </c>
      <c r="N1793" s="20"/>
      <c r="O1793" s="20"/>
      <c r="P1793" s="20"/>
      <c r="Q1793" s="19"/>
    </row>
    <row r="1794" customFormat="false" ht="15" hidden="false" customHeight="false" outlineLevel="0" collapsed="false">
      <c r="A1794" s="10" t="n">
        <v>1788</v>
      </c>
      <c r="B1794" s="12" t="s">
        <v>2792</v>
      </c>
      <c r="C1794" s="12" t="s">
        <v>2793</v>
      </c>
      <c r="D1794" s="13"/>
      <c r="E1794" s="14"/>
      <c r="F1794" s="15" t="str">
        <f aca="false">IF(D1794="","",ROUND((D1794-MIN($D$7:$D$9999))*86400,2))</f>
        <v/>
      </c>
      <c r="G1794" s="10" t="str">
        <f aca="false">IF(D1794="","",IF(D1794&lt;=($E$3*60+$F$3)/86400,"○",""))</f>
        <v/>
      </c>
      <c r="H1794" s="16" t="n">
        <v>0.00732962962962963</v>
      </c>
      <c r="I1794" s="17" t="n">
        <v>682</v>
      </c>
      <c r="J1794" s="16"/>
      <c r="K1794" s="17"/>
      <c r="L1794" s="17" t="n">
        <f aca="false">COUNT(E1794,I1794,K1794)</f>
        <v>1</v>
      </c>
      <c r="M1794" s="18" t="n">
        <f aca="false">(D1794&lt;&gt;"")*(D1794&lt;=($E$3*60+$F$3)/86400)+(H1794&lt;&gt;"")*(H1794&lt;=($I$3*60+$J$3)/86400)+(J1794&lt;&gt;"")*(J1794&lt;=($M$3*60+$N$3)/86400)</f>
        <v>0</v>
      </c>
      <c r="N1794" s="20"/>
      <c r="O1794" s="20"/>
      <c r="P1794" s="20"/>
      <c r="Q1794" s="19"/>
    </row>
    <row r="1795" customFormat="false" ht="15" hidden="false" customHeight="false" outlineLevel="0" collapsed="false">
      <c r="A1795" s="10" t="n">
        <v>1789</v>
      </c>
      <c r="B1795" s="12" t="s">
        <v>2794</v>
      </c>
      <c r="C1795" s="12" t="s">
        <v>2391</v>
      </c>
      <c r="D1795" s="13"/>
      <c r="E1795" s="14"/>
      <c r="F1795" s="15" t="str">
        <f aca="false">IF(D1795="","",ROUND((D1795-MIN($D$7:$D$9999))*86400,2))</f>
        <v/>
      </c>
      <c r="G1795" s="10" t="str">
        <f aca="false">IF(D1795="","",IF(D1795&lt;=($E$3*60+$F$3)/86400,"○",""))</f>
        <v/>
      </c>
      <c r="H1795" s="16" t="n">
        <v>0.00733078703703704</v>
      </c>
      <c r="I1795" s="17" t="n">
        <v>683</v>
      </c>
      <c r="J1795" s="16"/>
      <c r="K1795" s="17"/>
      <c r="L1795" s="17" t="n">
        <f aca="false">COUNT(E1795,I1795,K1795)</f>
        <v>1</v>
      </c>
      <c r="M1795" s="18" t="n">
        <f aca="false">(D1795&lt;&gt;"")*(D1795&lt;=($E$3*60+$F$3)/86400)+(H1795&lt;&gt;"")*(H1795&lt;=($I$3*60+$J$3)/86400)+(J1795&lt;&gt;"")*(J1795&lt;=($M$3*60+$N$3)/86400)</f>
        <v>0</v>
      </c>
      <c r="N1795" s="20"/>
      <c r="O1795" s="20"/>
      <c r="P1795" s="20"/>
      <c r="Q1795" s="19"/>
    </row>
    <row r="1796" customFormat="false" ht="15" hidden="false" customHeight="false" outlineLevel="0" collapsed="false">
      <c r="A1796" s="10" t="n">
        <v>1790</v>
      </c>
      <c r="B1796" s="12" t="s">
        <v>2795</v>
      </c>
      <c r="C1796" s="12" t="s">
        <v>2587</v>
      </c>
      <c r="D1796" s="13"/>
      <c r="E1796" s="14"/>
      <c r="F1796" s="15" t="str">
        <f aca="false">IF(D1796="","",ROUND((D1796-MIN($D$7:$D$9999))*86400,2))</f>
        <v/>
      </c>
      <c r="G1796" s="10" t="str">
        <f aca="false">IF(D1796="","",IF(D1796&lt;=($E$3*60+$F$3)/86400,"○",""))</f>
        <v/>
      </c>
      <c r="H1796" s="16"/>
      <c r="I1796" s="17"/>
      <c r="J1796" s="16" t="n">
        <v>0.00286828703703704</v>
      </c>
      <c r="K1796" s="17" t="n">
        <v>683</v>
      </c>
      <c r="L1796" s="17" t="n">
        <f aca="false">COUNT(E1796,I1796,K1796)</f>
        <v>1</v>
      </c>
      <c r="M1796" s="18" t="n">
        <f aca="false">(D1796&lt;&gt;"")*(D1796&lt;=($E$3*60+$F$3)/86400)+(H1796&lt;&gt;"")*(H1796&lt;=($I$3*60+$J$3)/86400)+(J1796&lt;&gt;"")*(J1796&lt;=($M$3*60+$N$3)/86400)</f>
        <v>0</v>
      </c>
      <c r="N1796" s="20"/>
      <c r="O1796" s="20"/>
      <c r="P1796" s="20"/>
      <c r="Q1796" s="19"/>
    </row>
    <row r="1797" customFormat="false" ht="15" hidden="false" customHeight="false" outlineLevel="0" collapsed="false">
      <c r="A1797" s="10" t="n">
        <v>1791</v>
      </c>
      <c r="B1797" s="12" t="s">
        <v>2796</v>
      </c>
      <c r="C1797" s="12" t="s">
        <v>2196</v>
      </c>
      <c r="D1797" s="13"/>
      <c r="E1797" s="14"/>
      <c r="F1797" s="15" t="str">
        <f aca="false">IF(D1797="","",ROUND((D1797-MIN($D$7:$D$9999))*86400,2))</f>
        <v/>
      </c>
      <c r="G1797" s="10" t="str">
        <f aca="false">IF(D1797="","",IF(D1797&lt;=($E$3*60+$F$3)/86400,"○",""))</f>
        <v/>
      </c>
      <c r="H1797" s="16" t="n">
        <v>0.00733136574074074</v>
      </c>
      <c r="I1797" s="17" t="n">
        <v>684</v>
      </c>
      <c r="J1797" s="16"/>
      <c r="K1797" s="17"/>
      <c r="L1797" s="17" t="n">
        <f aca="false">COUNT(E1797,I1797,K1797)</f>
        <v>1</v>
      </c>
      <c r="M1797" s="18" t="n">
        <f aca="false">(D1797&lt;&gt;"")*(D1797&lt;=($E$3*60+$F$3)/86400)+(H1797&lt;&gt;"")*(H1797&lt;=($I$3*60+$J$3)/86400)+(J1797&lt;&gt;"")*(J1797&lt;=($M$3*60+$N$3)/86400)</f>
        <v>0</v>
      </c>
      <c r="N1797" s="20"/>
      <c r="O1797" s="20"/>
      <c r="P1797" s="20"/>
      <c r="Q1797" s="19"/>
    </row>
    <row r="1798" customFormat="false" ht="15" hidden="false" customHeight="false" outlineLevel="0" collapsed="false">
      <c r="A1798" s="10" t="n">
        <v>1792</v>
      </c>
      <c r="B1798" s="12" t="s">
        <v>2797</v>
      </c>
      <c r="C1798" s="12" t="s">
        <v>2798</v>
      </c>
      <c r="D1798" s="13"/>
      <c r="E1798" s="14"/>
      <c r="F1798" s="15" t="str">
        <f aca="false">IF(D1798="","",ROUND((D1798-MIN($D$7:$D$9999))*86400,2))</f>
        <v/>
      </c>
      <c r="G1798" s="10" t="str">
        <f aca="false">IF(D1798="","",IF(D1798&lt;=($E$3*60+$F$3)/86400,"○",""))</f>
        <v/>
      </c>
      <c r="H1798" s="16" t="n">
        <v>0.00733229166666667</v>
      </c>
      <c r="I1798" s="17" t="n">
        <v>685</v>
      </c>
      <c r="J1798" s="16"/>
      <c r="K1798" s="17"/>
      <c r="L1798" s="17" t="n">
        <f aca="false">COUNT(E1798,I1798,K1798)</f>
        <v>1</v>
      </c>
      <c r="M1798" s="18" t="n">
        <f aca="false">(D1798&lt;&gt;"")*(D1798&lt;=($E$3*60+$F$3)/86400)+(H1798&lt;&gt;"")*(H1798&lt;=($I$3*60+$J$3)/86400)+(J1798&lt;&gt;"")*(J1798&lt;=($M$3*60+$N$3)/86400)</f>
        <v>0</v>
      </c>
      <c r="N1798" s="20"/>
      <c r="O1798" s="20"/>
      <c r="P1798" s="20"/>
      <c r="Q1798" s="19"/>
    </row>
    <row r="1799" customFormat="false" ht="15" hidden="false" customHeight="false" outlineLevel="0" collapsed="false">
      <c r="A1799" s="10" t="n">
        <v>1793</v>
      </c>
      <c r="B1799" s="12" t="s">
        <v>2799</v>
      </c>
      <c r="C1799" s="12" t="s">
        <v>440</v>
      </c>
      <c r="D1799" s="13"/>
      <c r="E1799" s="14"/>
      <c r="F1799" s="15" t="str">
        <f aca="false">IF(D1799="","",ROUND((D1799-MIN($D$7:$D$9999))*86400,2))</f>
        <v/>
      </c>
      <c r="G1799" s="10" t="str">
        <f aca="false">IF(D1799="","",IF(D1799&lt;=($E$3*60+$F$3)/86400,"○",""))</f>
        <v/>
      </c>
      <c r="H1799" s="16" t="n">
        <v>0.0073337962962963</v>
      </c>
      <c r="I1799" s="17" t="n">
        <v>686</v>
      </c>
      <c r="J1799" s="16"/>
      <c r="K1799" s="17"/>
      <c r="L1799" s="17" t="n">
        <f aca="false">COUNT(E1799,I1799,K1799)</f>
        <v>1</v>
      </c>
      <c r="M1799" s="18" t="n">
        <f aca="false">(D1799&lt;&gt;"")*(D1799&lt;=($E$3*60+$F$3)/86400)+(H1799&lt;&gt;"")*(H1799&lt;=($I$3*60+$J$3)/86400)+(J1799&lt;&gt;"")*(J1799&lt;=($M$3*60+$N$3)/86400)</f>
        <v>0</v>
      </c>
      <c r="N1799" s="20"/>
      <c r="O1799" s="20"/>
      <c r="P1799" s="20"/>
      <c r="Q1799" s="19"/>
    </row>
    <row r="1800" customFormat="false" ht="15" hidden="false" customHeight="false" outlineLevel="0" collapsed="false">
      <c r="A1800" s="10" t="n">
        <v>1794</v>
      </c>
      <c r="B1800" s="12" t="s">
        <v>2800</v>
      </c>
      <c r="C1800" s="12" t="s">
        <v>1570</v>
      </c>
      <c r="D1800" s="13"/>
      <c r="E1800" s="14"/>
      <c r="F1800" s="15" t="str">
        <f aca="false">IF(D1800="","",ROUND((D1800-MIN($D$7:$D$9999))*86400,2))</f>
        <v/>
      </c>
      <c r="G1800" s="10" t="str">
        <f aca="false">IF(D1800="","",IF(D1800&lt;=($E$3*60+$F$3)/86400,"○",""))</f>
        <v/>
      </c>
      <c r="H1800" s="16" t="n">
        <v>0.00733449074074074</v>
      </c>
      <c r="I1800" s="17" t="n">
        <v>687</v>
      </c>
      <c r="J1800" s="16"/>
      <c r="K1800" s="17"/>
      <c r="L1800" s="17" t="n">
        <f aca="false">COUNT(E1800,I1800,K1800)</f>
        <v>1</v>
      </c>
      <c r="M1800" s="18" t="n">
        <f aca="false">(D1800&lt;&gt;"")*(D1800&lt;=($E$3*60+$F$3)/86400)+(H1800&lt;&gt;"")*(H1800&lt;=($I$3*60+$J$3)/86400)+(J1800&lt;&gt;"")*(J1800&lt;=($M$3*60+$N$3)/86400)</f>
        <v>0</v>
      </c>
      <c r="N1800" s="20"/>
      <c r="O1800" s="20"/>
      <c r="P1800" s="20"/>
      <c r="Q1800" s="19"/>
    </row>
    <row r="1801" customFormat="false" ht="15" hidden="false" customHeight="false" outlineLevel="0" collapsed="false">
      <c r="A1801" s="10" t="n">
        <v>1795</v>
      </c>
      <c r="B1801" s="12" t="s">
        <v>2801</v>
      </c>
      <c r="C1801" s="12" t="s">
        <v>2802</v>
      </c>
      <c r="D1801" s="13"/>
      <c r="E1801" s="14"/>
      <c r="F1801" s="15" t="str">
        <f aca="false">IF(D1801="","",ROUND((D1801-MIN($D$7:$D$9999))*86400,2))</f>
        <v/>
      </c>
      <c r="G1801" s="10" t="str">
        <f aca="false">IF(D1801="","",IF(D1801&lt;=($E$3*60+$F$3)/86400,"○",""))</f>
        <v/>
      </c>
      <c r="H1801" s="16" t="n">
        <v>0.00733680555555556</v>
      </c>
      <c r="I1801" s="17" t="n">
        <v>688</v>
      </c>
      <c r="J1801" s="16"/>
      <c r="K1801" s="17"/>
      <c r="L1801" s="17" t="n">
        <f aca="false">COUNT(E1801,I1801,K1801)</f>
        <v>1</v>
      </c>
      <c r="M1801" s="18" t="n">
        <f aca="false">(D1801&lt;&gt;"")*(D1801&lt;=($E$3*60+$F$3)/86400)+(H1801&lt;&gt;"")*(H1801&lt;=($I$3*60+$J$3)/86400)+(J1801&lt;&gt;"")*(J1801&lt;=($M$3*60+$N$3)/86400)</f>
        <v>0</v>
      </c>
      <c r="N1801" s="20"/>
      <c r="O1801" s="20"/>
      <c r="P1801" s="20"/>
      <c r="Q1801" s="19"/>
    </row>
    <row r="1802" customFormat="false" ht="15" hidden="false" customHeight="false" outlineLevel="0" collapsed="false">
      <c r="A1802" s="10" t="n">
        <v>1796</v>
      </c>
      <c r="B1802" s="12" t="s">
        <v>2803</v>
      </c>
      <c r="C1802" s="12" t="s">
        <v>204</v>
      </c>
      <c r="D1802" s="13"/>
      <c r="E1802" s="14"/>
      <c r="F1802" s="15" t="str">
        <f aca="false">IF(D1802="","",ROUND((D1802-MIN($D$7:$D$9999))*86400,2))</f>
        <v/>
      </c>
      <c r="G1802" s="10" t="str">
        <f aca="false">IF(D1802="","",IF(D1802&lt;=($E$3*60+$F$3)/86400,"○",""))</f>
        <v/>
      </c>
      <c r="H1802" s="16" t="n">
        <v>0.0073375</v>
      </c>
      <c r="I1802" s="17" t="n">
        <v>689</v>
      </c>
      <c r="J1802" s="16"/>
      <c r="K1802" s="17"/>
      <c r="L1802" s="17" t="n">
        <f aca="false">COUNT(E1802,I1802,K1802)</f>
        <v>1</v>
      </c>
      <c r="M1802" s="18" t="n">
        <f aca="false">(D1802&lt;&gt;"")*(D1802&lt;=($E$3*60+$F$3)/86400)+(H1802&lt;&gt;"")*(H1802&lt;=($I$3*60+$J$3)/86400)+(J1802&lt;&gt;"")*(J1802&lt;=($M$3*60+$N$3)/86400)</f>
        <v>0</v>
      </c>
      <c r="N1802" s="20"/>
      <c r="O1802" s="20"/>
      <c r="P1802" s="20"/>
      <c r="Q1802" s="19"/>
    </row>
    <row r="1803" customFormat="false" ht="15" hidden="false" customHeight="false" outlineLevel="0" collapsed="false">
      <c r="A1803" s="10" t="n">
        <v>1797</v>
      </c>
      <c r="B1803" s="12" t="s">
        <v>2804</v>
      </c>
      <c r="C1803" s="12" t="s">
        <v>2805</v>
      </c>
      <c r="D1803" s="13"/>
      <c r="E1803" s="14"/>
      <c r="F1803" s="15" t="str">
        <f aca="false">IF(D1803="","",ROUND((D1803-MIN($D$7:$D$9999))*86400,2))</f>
        <v/>
      </c>
      <c r="G1803" s="10" t="str">
        <f aca="false">IF(D1803="","",IF(D1803&lt;=($E$3*60+$F$3)/86400,"○",""))</f>
        <v/>
      </c>
      <c r="H1803" s="16" t="n">
        <v>0.00733819444444444</v>
      </c>
      <c r="I1803" s="17" t="n">
        <v>691</v>
      </c>
      <c r="J1803" s="16"/>
      <c r="K1803" s="17"/>
      <c r="L1803" s="17" t="n">
        <f aca="false">COUNT(E1803,I1803,K1803)</f>
        <v>1</v>
      </c>
      <c r="M1803" s="18" t="n">
        <f aca="false">(D1803&lt;&gt;"")*(D1803&lt;=($E$3*60+$F$3)/86400)+(H1803&lt;&gt;"")*(H1803&lt;=($I$3*60+$J$3)/86400)+(J1803&lt;&gt;"")*(J1803&lt;=($M$3*60+$N$3)/86400)</f>
        <v>0</v>
      </c>
      <c r="N1803" s="20"/>
      <c r="O1803" s="20"/>
      <c r="P1803" s="20"/>
      <c r="Q1803" s="19"/>
    </row>
    <row r="1804" customFormat="false" ht="15" hidden="false" customHeight="false" outlineLevel="0" collapsed="false">
      <c r="A1804" s="10" t="n">
        <v>1798</v>
      </c>
      <c r="B1804" s="12" t="s">
        <v>2806</v>
      </c>
      <c r="C1804" s="12" t="s">
        <v>2807</v>
      </c>
      <c r="D1804" s="13"/>
      <c r="E1804" s="14"/>
      <c r="F1804" s="15" t="str">
        <f aca="false">IF(D1804="","",ROUND((D1804-MIN($D$7:$D$9999))*86400,2))</f>
        <v/>
      </c>
      <c r="G1804" s="10" t="str">
        <f aca="false">IF(D1804="","",IF(D1804&lt;=($E$3*60+$F$3)/86400,"○",""))</f>
        <v/>
      </c>
      <c r="H1804" s="16" t="n">
        <v>0.00734178240740741</v>
      </c>
      <c r="I1804" s="17" t="n">
        <v>698</v>
      </c>
      <c r="J1804" s="16" t="n">
        <v>0.00286956018518519</v>
      </c>
      <c r="K1804" s="17" t="n">
        <v>693</v>
      </c>
      <c r="L1804" s="17" t="n">
        <f aca="false">COUNT(E1804,I1804,K1804)</f>
        <v>2</v>
      </c>
      <c r="M1804" s="18" t="n">
        <f aca="false">(D1804&lt;&gt;"")*(D1804&lt;=($E$3*60+$F$3)/86400)+(H1804&lt;&gt;"")*(H1804&lt;=($I$3*60+$J$3)/86400)+(J1804&lt;&gt;"")*(J1804&lt;=($M$3*60+$N$3)/86400)</f>
        <v>0</v>
      </c>
      <c r="N1804" s="20"/>
      <c r="O1804" s="20"/>
      <c r="P1804" s="20"/>
      <c r="Q1804" s="19"/>
    </row>
    <row r="1805" customFormat="false" ht="15" hidden="false" customHeight="false" outlineLevel="0" collapsed="false">
      <c r="A1805" s="10" t="n">
        <v>1799</v>
      </c>
      <c r="B1805" s="12" t="s">
        <v>2808</v>
      </c>
      <c r="C1805" s="12" t="s">
        <v>2114</v>
      </c>
      <c r="D1805" s="13"/>
      <c r="E1805" s="14"/>
      <c r="F1805" s="15" t="str">
        <f aca="false">IF(D1805="","",ROUND((D1805-MIN($D$7:$D$9999))*86400,2))</f>
        <v/>
      </c>
      <c r="G1805" s="10" t="str">
        <f aca="false">IF(D1805="","",IF(D1805&lt;=($E$3*60+$F$3)/86400,"○",""))</f>
        <v/>
      </c>
      <c r="H1805" s="16" t="n">
        <v>0.00733969907407407</v>
      </c>
      <c r="I1805" s="17" t="n">
        <v>693</v>
      </c>
      <c r="J1805" s="16"/>
      <c r="K1805" s="17"/>
      <c r="L1805" s="17" t="n">
        <f aca="false">COUNT(E1805,I1805,K1805)</f>
        <v>1</v>
      </c>
      <c r="M1805" s="18" t="n">
        <f aca="false">(D1805&lt;&gt;"")*(D1805&lt;=($E$3*60+$F$3)/86400)+(H1805&lt;&gt;"")*(H1805&lt;=($I$3*60+$J$3)/86400)+(J1805&lt;&gt;"")*(J1805&lt;=($M$3*60+$N$3)/86400)</f>
        <v>0</v>
      </c>
      <c r="N1805" s="20"/>
      <c r="O1805" s="20"/>
      <c r="P1805" s="20"/>
      <c r="Q1805" s="19"/>
    </row>
    <row r="1806" customFormat="false" ht="15" hidden="false" customHeight="false" outlineLevel="0" collapsed="false">
      <c r="A1806" s="10" t="n">
        <v>1800</v>
      </c>
      <c r="B1806" s="12" t="s">
        <v>2809</v>
      </c>
      <c r="C1806" s="12" t="s">
        <v>2594</v>
      </c>
      <c r="D1806" s="13"/>
      <c r="E1806" s="14"/>
      <c r="F1806" s="15" t="str">
        <f aca="false">IF(D1806="","",ROUND((D1806-MIN($D$7:$D$9999))*86400,2))</f>
        <v/>
      </c>
      <c r="G1806" s="10" t="str">
        <f aca="false">IF(D1806="","",IF(D1806&lt;=($E$3*60+$F$3)/86400,"○",""))</f>
        <v/>
      </c>
      <c r="H1806" s="16" t="n">
        <v>0.00733981481481482</v>
      </c>
      <c r="I1806" s="17" t="n">
        <v>694</v>
      </c>
      <c r="J1806" s="16"/>
      <c r="K1806" s="17"/>
      <c r="L1806" s="17" t="n">
        <f aca="false">COUNT(E1806,I1806,K1806)</f>
        <v>1</v>
      </c>
      <c r="M1806" s="18" t="n">
        <f aca="false">(D1806&lt;&gt;"")*(D1806&lt;=($E$3*60+$F$3)/86400)+(H1806&lt;&gt;"")*(H1806&lt;=($I$3*60+$J$3)/86400)+(J1806&lt;&gt;"")*(J1806&lt;=($M$3*60+$N$3)/86400)</f>
        <v>0</v>
      </c>
      <c r="N1806" s="20"/>
      <c r="O1806" s="20"/>
      <c r="P1806" s="20"/>
      <c r="Q1806" s="19"/>
    </row>
    <row r="1807" customFormat="false" ht="15" hidden="false" customHeight="false" outlineLevel="0" collapsed="false">
      <c r="A1807" s="10" t="n">
        <v>1801</v>
      </c>
      <c r="B1807" s="12" t="s">
        <v>2810</v>
      </c>
      <c r="C1807" s="12" t="s">
        <v>2811</v>
      </c>
      <c r="D1807" s="13"/>
      <c r="E1807" s="14"/>
      <c r="F1807" s="15" t="str">
        <f aca="false">IF(D1807="","",ROUND((D1807-MIN($D$7:$D$9999))*86400,2))</f>
        <v/>
      </c>
      <c r="G1807" s="10" t="str">
        <f aca="false">IF(D1807="","",IF(D1807&lt;=($E$3*60+$F$3)/86400,"○",""))</f>
        <v/>
      </c>
      <c r="H1807" s="16" t="n">
        <v>0.00733981481481482</v>
      </c>
      <c r="I1807" s="17" t="n">
        <v>695</v>
      </c>
      <c r="J1807" s="16"/>
      <c r="K1807" s="17"/>
      <c r="L1807" s="17" t="n">
        <f aca="false">COUNT(E1807,I1807,K1807)</f>
        <v>1</v>
      </c>
      <c r="M1807" s="18" t="n">
        <f aca="false">(D1807&lt;&gt;"")*(D1807&lt;=($E$3*60+$F$3)/86400)+(H1807&lt;&gt;"")*(H1807&lt;=($I$3*60+$J$3)/86400)+(J1807&lt;&gt;"")*(J1807&lt;=($M$3*60+$N$3)/86400)</f>
        <v>0</v>
      </c>
      <c r="N1807" s="20"/>
      <c r="O1807" s="20"/>
      <c r="P1807" s="20"/>
      <c r="Q1807" s="19"/>
    </row>
    <row r="1808" customFormat="false" ht="15" hidden="false" customHeight="false" outlineLevel="0" collapsed="false">
      <c r="A1808" s="10" t="n">
        <v>1802</v>
      </c>
      <c r="B1808" s="12" t="s">
        <v>2812</v>
      </c>
      <c r="C1808" s="12" t="s">
        <v>2616</v>
      </c>
      <c r="D1808" s="13"/>
      <c r="E1808" s="14"/>
      <c r="F1808" s="15" t="str">
        <f aca="false">IF(D1808="","",ROUND((D1808-MIN($D$7:$D$9999))*86400,2))</f>
        <v/>
      </c>
      <c r="G1808" s="10" t="str">
        <f aca="false">IF(D1808="","",IF(D1808&lt;=($E$3*60+$F$3)/86400,"○",""))</f>
        <v/>
      </c>
      <c r="H1808" s="16" t="n">
        <v>0.00734085648148148</v>
      </c>
      <c r="I1808" s="17" t="n">
        <v>696</v>
      </c>
      <c r="J1808" s="16"/>
      <c r="K1808" s="17"/>
      <c r="L1808" s="17" t="n">
        <f aca="false">COUNT(E1808,I1808,K1808)</f>
        <v>1</v>
      </c>
      <c r="M1808" s="18" t="n">
        <f aca="false">(D1808&lt;&gt;"")*(D1808&lt;=($E$3*60+$F$3)/86400)+(H1808&lt;&gt;"")*(H1808&lt;=($I$3*60+$J$3)/86400)+(J1808&lt;&gt;"")*(J1808&lt;=($M$3*60+$N$3)/86400)</f>
        <v>0</v>
      </c>
      <c r="N1808" s="20"/>
      <c r="O1808" s="20"/>
      <c r="P1808" s="20"/>
      <c r="Q1808" s="19"/>
    </row>
    <row r="1809" customFormat="false" ht="15" hidden="false" customHeight="false" outlineLevel="0" collapsed="false">
      <c r="A1809" s="10" t="n">
        <v>1803</v>
      </c>
      <c r="B1809" s="12" t="s">
        <v>2813</v>
      </c>
      <c r="C1809" s="12" t="s">
        <v>2814</v>
      </c>
      <c r="D1809" s="13"/>
      <c r="E1809" s="14"/>
      <c r="F1809" s="15" t="str">
        <f aca="false">IF(D1809="","",ROUND((D1809-MIN($D$7:$D$9999))*86400,2))</f>
        <v/>
      </c>
      <c r="G1809" s="10" t="str">
        <f aca="false">IF(D1809="","",IF(D1809&lt;=($E$3*60+$F$3)/86400,"○",""))</f>
        <v/>
      </c>
      <c r="H1809" s="16"/>
      <c r="I1809" s="17"/>
      <c r="J1809" s="16" t="n">
        <v>0.00287013888888889</v>
      </c>
      <c r="K1809" s="17" t="n">
        <v>696</v>
      </c>
      <c r="L1809" s="17" t="n">
        <f aca="false">COUNT(E1809,I1809,K1809)</f>
        <v>1</v>
      </c>
      <c r="M1809" s="18" t="n">
        <f aca="false">(D1809&lt;&gt;"")*(D1809&lt;=($E$3*60+$F$3)/86400)+(H1809&lt;&gt;"")*(H1809&lt;=($I$3*60+$J$3)/86400)+(J1809&lt;&gt;"")*(J1809&lt;=($M$3*60+$N$3)/86400)</f>
        <v>0</v>
      </c>
      <c r="N1809" s="20"/>
      <c r="O1809" s="20"/>
      <c r="P1809" s="20"/>
      <c r="Q1809" s="19"/>
    </row>
    <row r="1810" customFormat="false" ht="15" hidden="false" customHeight="false" outlineLevel="0" collapsed="false">
      <c r="A1810" s="10" t="n">
        <v>1804</v>
      </c>
      <c r="B1810" s="12" t="s">
        <v>2815</v>
      </c>
      <c r="C1810" s="12" t="s">
        <v>2816</v>
      </c>
      <c r="D1810" s="13"/>
      <c r="E1810" s="14"/>
      <c r="F1810" s="15" t="str">
        <f aca="false">IF(D1810="","",ROUND((D1810-MIN($D$7:$D$9999))*86400,2))</f>
        <v/>
      </c>
      <c r="G1810" s="10" t="str">
        <f aca="false">IF(D1810="","",IF(D1810&lt;=($E$3*60+$F$3)/86400,"○",""))</f>
        <v/>
      </c>
      <c r="H1810" s="16" t="n">
        <v>0.00734131944444444</v>
      </c>
      <c r="I1810" s="17" t="n">
        <v>697</v>
      </c>
      <c r="J1810" s="16"/>
      <c r="K1810" s="17"/>
      <c r="L1810" s="17" t="n">
        <f aca="false">COUNT(E1810,I1810,K1810)</f>
        <v>1</v>
      </c>
      <c r="M1810" s="18" t="n">
        <f aca="false">(D1810&lt;&gt;"")*(D1810&lt;=($E$3*60+$F$3)/86400)+(H1810&lt;&gt;"")*(H1810&lt;=($I$3*60+$J$3)/86400)+(J1810&lt;&gt;"")*(J1810&lt;=($M$3*60+$N$3)/86400)</f>
        <v>0</v>
      </c>
      <c r="N1810" s="20"/>
      <c r="O1810" s="20"/>
      <c r="P1810" s="20"/>
      <c r="Q1810" s="19"/>
    </row>
    <row r="1811" customFormat="false" ht="15" hidden="false" customHeight="false" outlineLevel="0" collapsed="false">
      <c r="A1811" s="10" t="n">
        <v>1805</v>
      </c>
      <c r="B1811" s="12" t="s">
        <v>2817</v>
      </c>
      <c r="C1811" s="12" t="s">
        <v>2818</v>
      </c>
      <c r="D1811" s="13"/>
      <c r="E1811" s="14"/>
      <c r="F1811" s="15" t="str">
        <f aca="false">IF(D1811="","",ROUND((D1811-MIN($D$7:$D$9999))*86400,2))</f>
        <v/>
      </c>
      <c r="G1811" s="10" t="str">
        <f aca="false">IF(D1811="","",IF(D1811&lt;=($E$3*60+$F$3)/86400,"○",""))</f>
        <v/>
      </c>
      <c r="H1811" s="16"/>
      <c r="I1811" s="17"/>
      <c r="J1811" s="16" t="n">
        <v>0.00287048611111111</v>
      </c>
      <c r="K1811" s="17" t="n">
        <v>699</v>
      </c>
      <c r="L1811" s="17" t="n">
        <f aca="false">COUNT(E1811,I1811,K1811)</f>
        <v>1</v>
      </c>
      <c r="M1811" s="18" t="n">
        <f aca="false">(D1811&lt;&gt;"")*(D1811&lt;=($E$3*60+$F$3)/86400)+(H1811&lt;&gt;"")*(H1811&lt;=($I$3*60+$J$3)/86400)+(J1811&lt;&gt;"")*(J1811&lt;=($M$3*60+$N$3)/86400)</f>
        <v>0</v>
      </c>
      <c r="N1811" s="20"/>
      <c r="O1811" s="20"/>
      <c r="P1811" s="20"/>
      <c r="Q1811" s="19"/>
    </row>
    <row r="1812" customFormat="false" ht="15" hidden="false" customHeight="false" outlineLevel="0" collapsed="false">
      <c r="A1812" s="10" t="n">
        <v>1806</v>
      </c>
      <c r="B1812" s="12" t="s">
        <v>2819</v>
      </c>
      <c r="C1812" s="12" t="s">
        <v>2820</v>
      </c>
      <c r="D1812" s="13"/>
      <c r="E1812" s="14"/>
      <c r="F1812" s="15" t="str">
        <f aca="false">IF(D1812="","",ROUND((D1812-MIN($D$7:$D$9999))*86400,2))</f>
        <v/>
      </c>
      <c r="G1812" s="10" t="str">
        <f aca="false">IF(D1812="","",IF(D1812&lt;=($E$3*60+$F$3)/86400,"○",""))</f>
        <v/>
      </c>
      <c r="H1812" s="16"/>
      <c r="I1812" s="17"/>
      <c r="J1812" s="16" t="n">
        <v>0.00287060185185185</v>
      </c>
      <c r="K1812" s="17" t="n">
        <v>700</v>
      </c>
      <c r="L1812" s="17" t="n">
        <f aca="false">COUNT(E1812,I1812,K1812)</f>
        <v>1</v>
      </c>
      <c r="M1812" s="18" t="n">
        <f aca="false">(D1812&lt;&gt;"")*(D1812&lt;=($E$3*60+$F$3)/86400)+(H1812&lt;&gt;"")*(H1812&lt;=($I$3*60+$J$3)/86400)+(J1812&lt;&gt;"")*(J1812&lt;=($M$3*60+$N$3)/86400)</f>
        <v>0</v>
      </c>
      <c r="N1812" s="20"/>
      <c r="O1812" s="20"/>
      <c r="P1812" s="20"/>
      <c r="Q1812" s="19"/>
    </row>
    <row r="1813" customFormat="false" ht="15" hidden="false" customHeight="false" outlineLevel="0" collapsed="false">
      <c r="A1813" s="10" t="n">
        <v>1807</v>
      </c>
      <c r="B1813" s="12" t="s">
        <v>2821</v>
      </c>
      <c r="C1813" s="12" t="s">
        <v>2822</v>
      </c>
      <c r="D1813" s="13"/>
      <c r="E1813" s="14"/>
      <c r="F1813" s="15" t="str">
        <f aca="false">IF(D1813="","",ROUND((D1813-MIN($D$7:$D$9999))*86400,2))</f>
        <v/>
      </c>
      <c r="G1813" s="10" t="str">
        <f aca="false">IF(D1813="","",IF(D1813&lt;=($E$3*60+$F$3)/86400,"○",""))</f>
        <v/>
      </c>
      <c r="H1813" s="16" t="n">
        <v>0.00734363425925926</v>
      </c>
      <c r="I1813" s="17" t="n">
        <v>701</v>
      </c>
      <c r="J1813" s="16"/>
      <c r="K1813" s="17"/>
      <c r="L1813" s="17" t="n">
        <f aca="false">COUNT(E1813,I1813,K1813)</f>
        <v>1</v>
      </c>
      <c r="M1813" s="18" t="n">
        <f aca="false">(D1813&lt;&gt;"")*(D1813&lt;=($E$3*60+$F$3)/86400)+(H1813&lt;&gt;"")*(H1813&lt;=($I$3*60+$J$3)/86400)+(J1813&lt;&gt;"")*(J1813&lt;=($M$3*60+$N$3)/86400)</f>
        <v>0</v>
      </c>
      <c r="N1813" s="20"/>
      <c r="O1813" s="20"/>
      <c r="P1813" s="20"/>
      <c r="Q1813" s="19"/>
    </row>
    <row r="1814" customFormat="false" ht="15" hidden="false" customHeight="false" outlineLevel="0" collapsed="false">
      <c r="A1814" s="10" t="n">
        <v>1808</v>
      </c>
      <c r="B1814" s="12" t="s">
        <v>2823</v>
      </c>
      <c r="C1814" s="12" t="s">
        <v>577</v>
      </c>
      <c r="D1814" s="13"/>
      <c r="E1814" s="14"/>
      <c r="F1814" s="15" t="str">
        <f aca="false">IF(D1814="","",ROUND((D1814-MIN($D$7:$D$9999))*86400,2))</f>
        <v/>
      </c>
      <c r="G1814" s="10" t="str">
        <f aca="false">IF(D1814="","",IF(D1814&lt;=($E$3*60+$F$3)/86400,"○",""))</f>
        <v/>
      </c>
      <c r="H1814" s="16" t="n">
        <v>0.00734363425925926</v>
      </c>
      <c r="I1814" s="17" t="n">
        <v>702</v>
      </c>
      <c r="J1814" s="16"/>
      <c r="K1814" s="17"/>
      <c r="L1814" s="17" t="n">
        <f aca="false">COUNT(E1814,I1814,K1814)</f>
        <v>1</v>
      </c>
      <c r="M1814" s="18" t="n">
        <f aca="false">(D1814&lt;&gt;"")*(D1814&lt;=($E$3*60+$F$3)/86400)+(H1814&lt;&gt;"")*(H1814&lt;=($I$3*60+$J$3)/86400)+(J1814&lt;&gt;"")*(J1814&lt;=($M$3*60+$N$3)/86400)</f>
        <v>0</v>
      </c>
      <c r="N1814" s="20"/>
      <c r="O1814" s="20"/>
      <c r="P1814" s="20"/>
      <c r="Q1814" s="19"/>
    </row>
    <row r="1815" customFormat="false" ht="15" hidden="false" customHeight="false" outlineLevel="0" collapsed="false">
      <c r="A1815" s="10" t="n">
        <v>1809</v>
      </c>
      <c r="B1815" s="12" t="s">
        <v>2824</v>
      </c>
      <c r="C1815" s="12" t="s">
        <v>2524</v>
      </c>
      <c r="D1815" s="13"/>
      <c r="E1815" s="14"/>
      <c r="F1815" s="15" t="str">
        <f aca="false">IF(D1815="","",ROUND((D1815-MIN($D$7:$D$9999))*86400,2))</f>
        <v/>
      </c>
      <c r="G1815" s="10" t="str">
        <f aca="false">IF(D1815="","",IF(D1815&lt;=($E$3*60+$F$3)/86400,"○",""))</f>
        <v/>
      </c>
      <c r="H1815" s="16" t="n">
        <v>0.00734502314814815</v>
      </c>
      <c r="I1815" s="17" t="n">
        <v>704</v>
      </c>
      <c r="J1815" s="16"/>
      <c r="K1815" s="17"/>
      <c r="L1815" s="17" t="n">
        <f aca="false">COUNT(E1815,I1815,K1815)</f>
        <v>1</v>
      </c>
      <c r="M1815" s="18" t="n">
        <f aca="false">(D1815&lt;&gt;"")*(D1815&lt;=($E$3*60+$F$3)/86400)+(H1815&lt;&gt;"")*(H1815&lt;=($I$3*60+$J$3)/86400)+(J1815&lt;&gt;"")*(J1815&lt;=($M$3*60+$N$3)/86400)</f>
        <v>0</v>
      </c>
      <c r="N1815" s="20"/>
      <c r="O1815" s="20"/>
      <c r="P1815" s="20"/>
      <c r="Q1815" s="19"/>
    </row>
    <row r="1816" customFormat="false" ht="15" hidden="false" customHeight="false" outlineLevel="0" collapsed="false">
      <c r="A1816" s="10" t="n">
        <v>1810</v>
      </c>
      <c r="B1816" s="12" t="s">
        <v>2825</v>
      </c>
      <c r="C1816" s="12" t="s">
        <v>2826</v>
      </c>
      <c r="D1816" s="13"/>
      <c r="E1816" s="14"/>
      <c r="F1816" s="15" t="str">
        <f aca="false">IF(D1816="","",ROUND((D1816-MIN($D$7:$D$9999))*86400,2))</f>
        <v/>
      </c>
      <c r="G1816" s="10" t="str">
        <f aca="false">IF(D1816="","",IF(D1816&lt;=($E$3*60+$F$3)/86400,"○",""))</f>
        <v/>
      </c>
      <c r="H1816" s="16" t="n">
        <v>0.00734513888888889</v>
      </c>
      <c r="I1816" s="17" t="n">
        <v>705</v>
      </c>
      <c r="J1816" s="16"/>
      <c r="K1816" s="17"/>
      <c r="L1816" s="17" t="n">
        <f aca="false">COUNT(E1816,I1816,K1816)</f>
        <v>1</v>
      </c>
      <c r="M1816" s="18" t="n">
        <f aca="false">(D1816&lt;&gt;"")*(D1816&lt;=($E$3*60+$F$3)/86400)+(H1816&lt;&gt;"")*(H1816&lt;=($I$3*60+$J$3)/86400)+(J1816&lt;&gt;"")*(J1816&lt;=($M$3*60+$N$3)/86400)</f>
        <v>0</v>
      </c>
      <c r="N1816" s="20"/>
      <c r="O1816" s="20"/>
      <c r="P1816" s="20"/>
      <c r="Q1816" s="19"/>
    </row>
    <row r="1817" customFormat="false" ht="15" hidden="false" customHeight="false" outlineLevel="0" collapsed="false">
      <c r="A1817" s="10" t="n">
        <v>1811</v>
      </c>
      <c r="B1817" s="12" t="s">
        <v>2827</v>
      </c>
      <c r="C1817" s="12" t="s">
        <v>1552</v>
      </c>
      <c r="D1817" s="13"/>
      <c r="E1817" s="14"/>
      <c r="F1817" s="15" t="str">
        <f aca="false">IF(D1817="","",ROUND((D1817-MIN($D$7:$D$9999))*86400,2))</f>
        <v/>
      </c>
      <c r="G1817" s="10" t="str">
        <f aca="false">IF(D1817="","",IF(D1817&lt;=($E$3*60+$F$3)/86400,"○",""))</f>
        <v/>
      </c>
      <c r="H1817" s="16"/>
      <c r="I1817" s="17"/>
      <c r="J1817" s="16" t="n">
        <v>0.00287094907407407</v>
      </c>
      <c r="K1817" s="17" t="n">
        <v>705</v>
      </c>
      <c r="L1817" s="17" t="n">
        <f aca="false">COUNT(E1817,I1817,K1817)</f>
        <v>1</v>
      </c>
      <c r="M1817" s="18" t="n">
        <f aca="false">(D1817&lt;&gt;"")*(D1817&lt;=($E$3*60+$F$3)/86400)+(H1817&lt;&gt;"")*(H1817&lt;=($I$3*60+$J$3)/86400)+(J1817&lt;&gt;"")*(J1817&lt;=($M$3*60+$N$3)/86400)</f>
        <v>0</v>
      </c>
      <c r="N1817" s="20"/>
      <c r="O1817" s="20"/>
      <c r="P1817" s="20"/>
      <c r="Q1817" s="19"/>
    </row>
    <row r="1818" customFormat="false" ht="15" hidden="false" customHeight="false" outlineLevel="0" collapsed="false">
      <c r="A1818" s="10" t="n">
        <v>1812</v>
      </c>
      <c r="B1818" s="12" t="s">
        <v>2828</v>
      </c>
      <c r="C1818" s="12" t="s">
        <v>917</v>
      </c>
      <c r="D1818" s="13"/>
      <c r="E1818" s="14"/>
      <c r="F1818" s="15" t="str">
        <f aca="false">IF(D1818="","",ROUND((D1818-MIN($D$7:$D$9999))*86400,2))</f>
        <v/>
      </c>
      <c r="G1818" s="10" t="str">
        <f aca="false">IF(D1818="","",IF(D1818&lt;=($E$3*60+$F$3)/86400,"○",""))</f>
        <v/>
      </c>
      <c r="H1818" s="16" t="n">
        <v>0.00734606481481482</v>
      </c>
      <c r="I1818" s="17" t="n">
        <v>707</v>
      </c>
      <c r="J1818" s="16"/>
      <c r="K1818" s="17"/>
      <c r="L1818" s="17" t="n">
        <f aca="false">COUNT(E1818,I1818,K1818)</f>
        <v>1</v>
      </c>
      <c r="M1818" s="18" t="n">
        <f aca="false">(D1818&lt;&gt;"")*(D1818&lt;=($E$3*60+$F$3)/86400)+(H1818&lt;&gt;"")*(H1818&lt;=($I$3*60+$J$3)/86400)+(J1818&lt;&gt;"")*(J1818&lt;=($M$3*60+$N$3)/86400)</f>
        <v>0</v>
      </c>
      <c r="N1818" s="20"/>
      <c r="O1818" s="20"/>
      <c r="P1818" s="20"/>
      <c r="Q1818" s="19"/>
    </row>
    <row r="1819" customFormat="false" ht="15" hidden="false" customHeight="false" outlineLevel="0" collapsed="false">
      <c r="A1819" s="10" t="n">
        <v>1813</v>
      </c>
      <c r="B1819" s="12" t="s">
        <v>2829</v>
      </c>
      <c r="C1819" s="12" t="s">
        <v>1847</v>
      </c>
      <c r="D1819" s="13"/>
      <c r="E1819" s="14"/>
      <c r="F1819" s="15" t="str">
        <f aca="false">IF(D1819="","",ROUND((D1819-MIN($D$7:$D$9999))*86400,2))</f>
        <v/>
      </c>
      <c r="G1819" s="10" t="str">
        <f aca="false">IF(D1819="","",IF(D1819&lt;=($E$3*60+$F$3)/86400,"○",""))</f>
        <v/>
      </c>
      <c r="H1819" s="16"/>
      <c r="I1819" s="17"/>
      <c r="J1819" s="16" t="n">
        <v>0.00287106481481482</v>
      </c>
      <c r="K1819" s="17" t="n">
        <v>707</v>
      </c>
      <c r="L1819" s="17" t="n">
        <f aca="false">COUNT(E1819,I1819,K1819)</f>
        <v>1</v>
      </c>
      <c r="M1819" s="18" t="n">
        <f aca="false">(D1819&lt;&gt;"")*(D1819&lt;=($E$3*60+$F$3)/86400)+(H1819&lt;&gt;"")*(H1819&lt;=($I$3*60+$J$3)/86400)+(J1819&lt;&gt;"")*(J1819&lt;=($M$3*60+$N$3)/86400)</f>
        <v>0</v>
      </c>
      <c r="N1819" s="20"/>
      <c r="O1819" s="20"/>
      <c r="P1819" s="20"/>
      <c r="Q1819" s="19"/>
    </row>
    <row r="1820" customFormat="false" ht="15" hidden="false" customHeight="false" outlineLevel="0" collapsed="false">
      <c r="A1820" s="10" t="n">
        <v>1814</v>
      </c>
      <c r="B1820" s="12" t="s">
        <v>2830</v>
      </c>
      <c r="C1820" s="12" t="s">
        <v>2381</v>
      </c>
      <c r="D1820" s="13"/>
      <c r="E1820" s="14"/>
      <c r="F1820" s="15" t="str">
        <f aca="false">IF(D1820="","",ROUND((D1820-MIN($D$7:$D$9999))*86400,2))</f>
        <v/>
      </c>
      <c r="G1820" s="10" t="str">
        <f aca="false">IF(D1820="","",IF(D1820&lt;=($E$3*60+$F$3)/86400,"○",""))</f>
        <v/>
      </c>
      <c r="H1820" s="16" t="n">
        <v>0.00734837962962963</v>
      </c>
      <c r="I1820" s="17" t="n">
        <v>708</v>
      </c>
      <c r="J1820" s="16"/>
      <c r="K1820" s="17"/>
      <c r="L1820" s="17" t="n">
        <f aca="false">COUNT(E1820,I1820,K1820)</f>
        <v>1</v>
      </c>
      <c r="M1820" s="18" t="n">
        <f aca="false">(D1820&lt;&gt;"")*(D1820&lt;=($E$3*60+$F$3)/86400)+(H1820&lt;&gt;"")*(H1820&lt;=($I$3*60+$J$3)/86400)+(J1820&lt;&gt;"")*(J1820&lt;=($M$3*60+$N$3)/86400)</f>
        <v>0</v>
      </c>
      <c r="N1820" s="20"/>
      <c r="O1820" s="20"/>
      <c r="P1820" s="20"/>
      <c r="Q1820" s="19"/>
    </row>
    <row r="1821" customFormat="false" ht="15" hidden="false" customHeight="false" outlineLevel="0" collapsed="false">
      <c r="A1821" s="10" t="n">
        <v>1815</v>
      </c>
      <c r="B1821" s="12" t="s">
        <v>2831</v>
      </c>
      <c r="C1821" s="12" t="s">
        <v>457</v>
      </c>
      <c r="D1821" s="13"/>
      <c r="E1821" s="14"/>
      <c r="F1821" s="15" t="str">
        <f aca="false">IF(D1821="","",ROUND((D1821-MIN($D$7:$D$9999))*86400,2))</f>
        <v/>
      </c>
      <c r="G1821" s="10" t="str">
        <f aca="false">IF(D1821="","",IF(D1821&lt;=($E$3*60+$F$3)/86400,"○",""))</f>
        <v/>
      </c>
      <c r="H1821" s="16"/>
      <c r="I1821" s="17"/>
      <c r="J1821" s="16" t="n">
        <v>0.00287118055555556</v>
      </c>
      <c r="K1821" s="17" t="n">
        <v>708</v>
      </c>
      <c r="L1821" s="17" t="n">
        <f aca="false">COUNT(E1821,I1821,K1821)</f>
        <v>1</v>
      </c>
      <c r="M1821" s="18" t="n">
        <f aca="false">(D1821&lt;&gt;"")*(D1821&lt;=($E$3*60+$F$3)/86400)+(H1821&lt;&gt;"")*(H1821&lt;=($I$3*60+$J$3)/86400)+(J1821&lt;&gt;"")*(J1821&lt;=($M$3*60+$N$3)/86400)</f>
        <v>0</v>
      </c>
      <c r="N1821" s="20"/>
      <c r="O1821" s="20"/>
      <c r="P1821" s="20"/>
      <c r="Q1821" s="19"/>
    </row>
    <row r="1822" customFormat="false" ht="15" hidden="false" customHeight="false" outlineLevel="0" collapsed="false">
      <c r="A1822" s="10" t="n">
        <v>1816</v>
      </c>
      <c r="B1822" s="12" t="s">
        <v>2832</v>
      </c>
      <c r="C1822" s="12" t="s">
        <v>1491</v>
      </c>
      <c r="D1822" s="13"/>
      <c r="E1822" s="14"/>
      <c r="F1822" s="15" t="str">
        <f aca="false">IF(D1822="","",ROUND((D1822-MIN($D$7:$D$9999))*86400,2))</f>
        <v/>
      </c>
      <c r="G1822" s="10" t="str">
        <f aca="false">IF(D1822="","",IF(D1822&lt;=($E$3*60+$F$3)/86400,"○",""))</f>
        <v/>
      </c>
      <c r="H1822" s="16" t="n">
        <v>0.00734884259259259</v>
      </c>
      <c r="I1822" s="17" t="n">
        <v>709</v>
      </c>
      <c r="J1822" s="16"/>
      <c r="K1822" s="17"/>
      <c r="L1822" s="17" t="n">
        <f aca="false">COUNT(E1822,I1822,K1822)</f>
        <v>1</v>
      </c>
      <c r="M1822" s="18" t="n">
        <f aca="false">(D1822&lt;&gt;"")*(D1822&lt;=($E$3*60+$F$3)/86400)+(H1822&lt;&gt;"")*(H1822&lt;=($I$3*60+$J$3)/86400)+(J1822&lt;&gt;"")*(J1822&lt;=($M$3*60+$N$3)/86400)</f>
        <v>0</v>
      </c>
      <c r="N1822" s="20"/>
      <c r="O1822" s="20"/>
      <c r="P1822" s="20"/>
      <c r="Q1822" s="19"/>
    </row>
    <row r="1823" customFormat="false" ht="15" hidden="false" customHeight="false" outlineLevel="0" collapsed="false">
      <c r="A1823" s="10" t="n">
        <v>1817</v>
      </c>
      <c r="B1823" s="12" t="s">
        <v>2833</v>
      </c>
      <c r="C1823" s="12" t="s">
        <v>2834</v>
      </c>
      <c r="D1823" s="13"/>
      <c r="E1823" s="14"/>
      <c r="F1823" s="15" t="str">
        <f aca="false">IF(D1823="","",ROUND((D1823-MIN($D$7:$D$9999))*86400,2))</f>
        <v/>
      </c>
      <c r="G1823" s="10" t="str">
        <f aca="false">IF(D1823="","",IF(D1823&lt;=($E$3*60+$F$3)/86400,"○",""))</f>
        <v/>
      </c>
      <c r="H1823" s="16" t="n">
        <v>0.00734918981481482</v>
      </c>
      <c r="I1823" s="17" t="n">
        <v>710</v>
      </c>
      <c r="J1823" s="16"/>
      <c r="K1823" s="17"/>
      <c r="L1823" s="17" t="n">
        <f aca="false">COUNT(E1823,I1823,K1823)</f>
        <v>1</v>
      </c>
      <c r="M1823" s="18" t="n">
        <f aca="false">(D1823&lt;&gt;"")*(D1823&lt;=($E$3*60+$F$3)/86400)+(H1823&lt;&gt;"")*(H1823&lt;=($I$3*60+$J$3)/86400)+(J1823&lt;&gt;"")*(J1823&lt;=($M$3*60+$N$3)/86400)</f>
        <v>0</v>
      </c>
      <c r="N1823" s="20" t="s">
        <v>2835</v>
      </c>
      <c r="O1823" s="20"/>
      <c r="P1823" s="20"/>
      <c r="Q1823" s="19"/>
    </row>
    <row r="1824" customFormat="false" ht="15" hidden="false" customHeight="false" outlineLevel="0" collapsed="false">
      <c r="A1824" s="10" t="n">
        <v>1818</v>
      </c>
      <c r="B1824" s="12" t="s">
        <v>2836</v>
      </c>
      <c r="C1824" s="12" t="s">
        <v>43</v>
      </c>
      <c r="D1824" s="13"/>
      <c r="E1824" s="14"/>
      <c r="F1824" s="15" t="str">
        <f aca="false">IF(D1824="","",ROUND((D1824-MIN($D$7:$D$9999))*86400,2))</f>
        <v/>
      </c>
      <c r="G1824" s="10" t="str">
        <f aca="false">IF(D1824="","",IF(D1824&lt;=($E$3*60+$F$3)/86400,"○",""))</f>
        <v/>
      </c>
      <c r="H1824" s="16"/>
      <c r="I1824" s="17"/>
      <c r="J1824" s="16" t="n">
        <v>0.00287141203703704</v>
      </c>
      <c r="K1824" s="17" t="n">
        <v>710</v>
      </c>
      <c r="L1824" s="17" t="n">
        <f aca="false">COUNT(E1824,I1824,K1824)</f>
        <v>1</v>
      </c>
      <c r="M1824" s="18" t="n">
        <f aca="false">(D1824&lt;&gt;"")*(D1824&lt;=($E$3*60+$F$3)/86400)+(H1824&lt;&gt;"")*(H1824&lt;=($I$3*60+$J$3)/86400)+(J1824&lt;&gt;"")*(J1824&lt;=($M$3*60+$N$3)/86400)</f>
        <v>0</v>
      </c>
      <c r="N1824" s="20"/>
      <c r="O1824" s="20"/>
      <c r="P1824" s="20"/>
      <c r="Q1824" s="19"/>
    </row>
    <row r="1825" customFormat="false" ht="15" hidden="false" customHeight="false" outlineLevel="0" collapsed="false">
      <c r="A1825" s="10" t="n">
        <v>1819</v>
      </c>
      <c r="B1825" s="12" t="s">
        <v>2837</v>
      </c>
      <c r="C1825" s="12" t="s">
        <v>2838</v>
      </c>
      <c r="D1825" s="13"/>
      <c r="E1825" s="14"/>
      <c r="F1825" s="15" t="str">
        <f aca="false">IF(D1825="","",ROUND((D1825-MIN($D$7:$D$9999))*86400,2))</f>
        <v/>
      </c>
      <c r="G1825" s="10" t="str">
        <f aca="false">IF(D1825="","",IF(D1825&lt;=($E$3*60+$F$3)/86400,"○",""))</f>
        <v/>
      </c>
      <c r="H1825" s="16" t="n">
        <v>0.00735208333333333</v>
      </c>
      <c r="I1825" s="17" t="n">
        <v>711</v>
      </c>
      <c r="J1825" s="16"/>
      <c r="K1825" s="17"/>
      <c r="L1825" s="17" t="n">
        <f aca="false">COUNT(E1825,I1825,K1825)</f>
        <v>1</v>
      </c>
      <c r="M1825" s="18" t="n">
        <f aca="false">(D1825&lt;&gt;"")*(D1825&lt;=($E$3*60+$F$3)/86400)+(H1825&lt;&gt;"")*(H1825&lt;=($I$3*60+$J$3)/86400)+(J1825&lt;&gt;"")*(J1825&lt;=($M$3*60+$N$3)/86400)</f>
        <v>0</v>
      </c>
      <c r="N1825" s="20"/>
      <c r="O1825" s="20"/>
      <c r="P1825" s="20"/>
      <c r="Q1825" s="19"/>
    </row>
    <row r="1826" customFormat="false" ht="15" hidden="false" customHeight="false" outlineLevel="0" collapsed="false">
      <c r="A1826" s="10" t="n">
        <v>1820</v>
      </c>
      <c r="B1826" s="12" t="s">
        <v>1864</v>
      </c>
      <c r="C1826" s="12" t="s">
        <v>1220</v>
      </c>
      <c r="D1826" s="13"/>
      <c r="E1826" s="14"/>
      <c r="F1826" s="15" t="str">
        <f aca="false">IF(D1826="","",ROUND((D1826-MIN($D$7:$D$9999))*86400,2))</f>
        <v/>
      </c>
      <c r="G1826" s="10" t="str">
        <f aca="false">IF(D1826="","",IF(D1826&lt;=($E$3*60+$F$3)/86400,"○",""))</f>
        <v/>
      </c>
      <c r="H1826" s="16" t="n">
        <v>0.00735243055555556</v>
      </c>
      <c r="I1826" s="17" t="n">
        <v>712</v>
      </c>
      <c r="J1826" s="16"/>
      <c r="K1826" s="17"/>
      <c r="L1826" s="17" t="n">
        <f aca="false">COUNT(E1826,I1826,K1826)</f>
        <v>1</v>
      </c>
      <c r="M1826" s="18" t="n">
        <f aca="false">(D1826&lt;&gt;"")*(D1826&lt;=($E$3*60+$F$3)/86400)+(H1826&lt;&gt;"")*(H1826&lt;=($I$3*60+$J$3)/86400)+(J1826&lt;&gt;"")*(J1826&lt;=($M$3*60+$N$3)/86400)</f>
        <v>0</v>
      </c>
      <c r="N1826" s="20"/>
      <c r="O1826" s="20"/>
      <c r="P1826" s="12" t="s">
        <v>2839</v>
      </c>
      <c r="Q1826" s="19"/>
    </row>
    <row r="1827" customFormat="false" ht="15" hidden="false" customHeight="false" outlineLevel="0" collapsed="false">
      <c r="A1827" s="10" t="n">
        <v>1821</v>
      </c>
      <c r="B1827" s="12" t="s">
        <v>2840</v>
      </c>
      <c r="C1827" s="12" t="s">
        <v>1803</v>
      </c>
      <c r="D1827" s="13"/>
      <c r="E1827" s="14"/>
      <c r="F1827" s="15" t="str">
        <f aca="false">IF(D1827="","",ROUND((D1827-MIN($D$7:$D$9999))*86400,2))</f>
        <v/>
      </c>
      <c r="G1827" s="10" t="str">
        <f aca="false">IF(D1827="","",IF(D1827&lt;=($E$3*60+$F$3)/86400,"○",""))</f>
        <v/>
      </c>
      <c r="H1827" s="16" t="n">
        <v>0.00735289351851852</v>
      </c>
      <c r="I1827" s="17" t="n">
        <v>713</v>
      </c>
      <c r="J1827" s="16" t="n">
        <v>0.00287974537037037</v>
      </c>
      <c r="K1827" s="17" t="n">
        <v>768</v>
      </c>
      <c r="L1827" s="17" t="n">
        <f aca="false">COUNT(E1827,I1827,K1827)</f>
        <v>2</v>
      </c>
      <c r="M1827" s="18" t="n">
        <f aca="false">(D1827&lt;&gt;"")*(D1827&lt;=($E$3*60+$F$3)/86400)+(H1827&lt;&gt;"")*(H1827&lt;=($I$3*60+$J$3)/86400)+(J1827&lt;&gt;"")*(J1827&lt;=($M$3*60+$N$3)/86400)</f>
        <v>0</v>
      </c>
      <c r="N1827" s="20" t="s">
        <v>2841</v>
      </c>
      <c r="O1827" s="20"/>
      <c r="P1827" s="20"/>
      <c r="Q1827" s="19"/>
    </row>
    <row r="1828" customFormat="false" ht="15" hidden="false" customHeight="false" outlineLevel="0" collapsed="false">
      <c r="A1828" s="10" t="n">
        <v>1822</v>
      </c>
      <c r="B1828" s="12" t="s">
        <v>2842</v>
      </c>
      <c r="C1828" s="12" t="s">
        <v>1420</v>
      </c>
      <c r="D1828" s="13"/>
      <c r="E1828" s="14"/>
      <c r="F1828" s="15" t="str">
        <f aca="false">IF(D1828="","",ROUND((D1828-MIN($D$7:$D$9999))*86400,2))</f>
        <v/>
      </c>
      <c r="G1828" s="10" t="str">
        <f aca="false">IF(D1828="","",IF(D1828&lt;=($E$3*60+$F$3)/86400,"○",""))</f>
        <v/>
      </c>
      <c r="H1828" s="16"/>
      <c r="I1828" s="17"/>
      <c r="J1828" s="16" t="n">
        <v>0.00287164351851852</v>
      </c>
      <c r="K1828" s="17" t="n">
        <v>714</v>
      </c>
      <c r="L1828" s="17" t="n">
        <f aca="false">COUNT(E1828,I1828,K1828)</f>
        <v>1</v>
      </c>
      <c r="M1828" s="18" t="n">
        <f aca="false">(D1828&lt;&gt;"")*(D1828&lt;=($E$3*60+$F$3)/86400)+(H1828&lt;&gt;"")*(H1828&lt;=($I$3*60+$J$3)/86400)+(J1828&lt;&gt;"")*(J1828&lt;=($M$3*60+$N$3)/86400)</f>
        <v>0</v>
      </c>
      <c r="N1828" s="20"/>
      <c r="O1828" s="20"/>
      <c r="P1828" s="20"/>
      <c r="Q1828" s="19"/>
    </row>
    <row r="1829" customFormat="false" ht="15" hidden="false" customHeight="false" outlineLevel="0" collapsed="false">
      <c r="A1829" s="10" t="n">
        <v>1823</v>
      </c>
      <c r="B1829" s="12" t="s">
        <v>2843</v>
      </c>
      <c r="C1829" s="12" t="s">
        <v>2844</v>
      </c>
      <c r="D1829" s="13"/>
      <c r="E1829" s="14"/>
      <c r="F1829" s="15" t="str">
        <f aca="false">IF(D1829="","",ROUND((D1829-MIN($D$7:$D$9999))*86400,2))</f>
        <v/>
      </c>
      <c r="G1829" s="10" t="str">
        <f aca="false">IF(D1829="","",IF(D1829&lt;=($E$3*60+$F$3)/86400,"○",""))</f>
        <v/>
      </c>
      <c r="H1829" s="16" t="n">
        <v>0.00735601851851852</v>
      </c>
      <c r="I1829" s="17" t="n">
        <v>717</v>
      </c>
      <c r="J1829" s="16"/>
      <c r="K1829" s="17"/>
      <c r="L1829" s="17" t="n">
        <f aca="false">COUNT(E1829,I1829,K1829)</f>
        <v>1</v>
      </c>
      <c r="M1829" s="18" t="n">
        <f aca="false">(D1829&lt;&gt;"")*(D1829&lt;=($E$3*60+$F$3)/86400)+(H1829&lt;&gt;"")*(H1829&lt;=($I$3*60+$J$3)/86400)+(J1829&lt;&gt;"")*(J1829&lt;=($M$3*60+$N$3)/86400)</f>
        <v>0</v>
      </c>
      <c r="N1829" s="20"/>
      <c r="O1829" s="20"/>
      <c r="P1829" s="20"/>
      <c r="Q1829" s="19"/>
    </row>
    <row r="1830" customFormat="false" ht="15" hidden="false" customHeight="false" outlineLevel="0" collapsed="false">
      <c r="A1830" s="10" t="n">
        <v>1824</v>
      </c>
      <c r="B1830" s="12" t="s">
        <v>2845</v>
      </c>
      <c r="C1830" s="12" t="s">
        <v>2434</v>
      </c>
      <c r="D1830" s="13"/>
      <c r="E1830" s="14"/>
      <c r="F1830" s="15" t="str">
        <f aca="false">IF(D1830="","",ROUND((D1830-MIN($D$7:$D$9999))*86400,2))</f>
        <v/>
      </c>
      <c r="G1830" s="10" t="str">
        <f aca="false">IF(D1830="","",IF(D1830&lt;=($E$3*60+$F$3)/86400,"○",""))</f>
        <v/>
      </c>
      <c r="H1830" s="16" t="n">
        <v>0.00736041666666667</v>
      </c>
      <c r="I1830" s="17" t="n">
        <v>718</v>
      </c>
      <c r="J1830" s="16"/>
      <c r="K1830" s="17"/>
      <c r="L1830" s="17" t="n">
        <f aca="false">COUNT(E1830,I1830,K1830)</f>
        <v>1</v>
      </c>
      <c r="M1830" s="18" t="n">
        <f aca="false">(D1830&lt;&gt;"")*(D1830&lt;=($E$3*60+$F$3)/86400)+(H1830&lt;&gt;"")*(H1830&lt;=($I$3*60+$J$3)/86400)+(J1830&lt;&gt;"")*(J1830&lt;=($M$3*60+$N$3)/86400)</f>
        <v>0</v>
      </c>
      <c r="N1830" s="20"/>
      <c r="O1830" s="20"/>
      <c r="P1830" s="20"/>
      <c r="Q1830" s="19"/>
    </row>
    <row r="1831" customFormat="false" ht="15" hidden="false" customHeight="false" outlineLevel="0" collapsed="false">
      <c r="A1831" s="10" t="n">
        <v>1825</v>
      </c>
      <c r="B1831" s="12" t="s">
        <v>2846</v>
      </c>
      <c r="C1831" s="12" t="s">
        <v>2847</v>
      </c>
      <c r="D1831" s="13"/>
      <c r="E1831" s="14"/>
      <c r="F1831" s="15" t="str">
        <f aca="false">IF(D1831="","",ROUND((D1831-MIN($D$7:$D$9999))*86400,2))</f>
        <v/>
      </c>
      <c r="G1831" s="10" t="str">
        <f aca="false">IF(D1831="","",IF(D1831&lt;=($E$3*60+$F$3)/86400,"○",""))</f>
        <v/>
      </c>
      <c r="H1831" s="16" t="n">
        <v>0.00736041666666667</v>
      </c>
      <c r="I1831" s="17" t="n">
        <v>719</v>
      </c>
      <c r="J1831" s="16"/>
      <c r="K1831" s="17"/>
      <c r="L1831" s="17" t="n">
        <f aca="false">COUNT(E1831,I1831,K1831)</f>
        <v>1</v>
      </c>
      <c r="M1831" s="18" t="n">
        <f aca="false">(D1831&lt;&gt;"")*(D1831&lt;=($E$3*60+$F$3)/86400)+(H1831&lt;&gt;"")*(H1831&lt;=($I$3*60+$J$3)/86400)+(J1831&lt;&gt;"")*(J1831&lt;=($M$3*60+$N$3)/86400)</f>
        <v>0</v>
      </c>
      <c r="N1831" s="20"/>
      <c r="O1831" s="20"/>
      <c r="P1831" s="20"/>
      <c r="Q1831" s="19"/>
    </row>
    <row r="1832" customFormat="false" ht="15" hidden="false" customHeight="false" outlineLevel="0" collapsed="false">
      <c r="A1832" s="10" t="n">
        <v>1826</v>
      </c>
      <c r="B1832" s="12" t="s">
        <v>2848</v>
      </c>
      <c r="C1832" s="12" t="s">
        <v>415</v>
      </c>
      <c r="D1832" s="13"/>
      <c r="E1832" s="14"/>
      <c r="F1832" s="15" t="str">
        <f aca="false">IF(D1832="","",ROUND((D1832-MIN($D$7:$D$9999))*86400,2))</f>
        <v/>
      </c>
      <c r="G1832" s="10" t="str">
        <f aca="false">IF(D1832="","",IF(D1832&lt;=($E$3*60+$F$3)/86400,"○",""))</f>
        <v/>
      </c>
      <c r="H1832" s="16" t="n">
        <v>0.00736053240740741</v>
      </c>
      <c r="I1832" s="17" t="n">
        <v>720</v>
      </c>
      <c r="J1832" s="16"/>
      <c r="K1832" s="17"/>
      <c r="L1832" s="17" t="n">
        <f aca="false">COUNT(E1832,I1832,K1832)</f>
        <v>1</v>
      </c>
      <c r="M1832" s="18" t="n">
        <f aca="false">(D1832&lt;&gt;"")*(D1832&lt;=($E$3*60+$F$3)/86400)+(H1832&lt;&gt;"")*(H1832&lt;=($I$3*60+$J$3)/86400)+(J1832&lt;&gt;"")*(J1832&lt;=($M$3*60+$N$3)/86400)</f>
        <v>0</v>
      </c>
      <c r="N1832" s="20"/>
      <c r="O1832" s="20"/>
      <c r="P1832" s="20"/>
      <c r="Q1832" s="19"/>
    </row>
    <row r="1833" customFormat="false" ht="15" hidden="false" customHeight="false" outlineLevel="0" collapsed="false">
      <c r="A1833" s="10" t="n">
        <v>1827</v>
      </c>
      <c r="B1833" s="12" t="s">
        <v>2849</v>
      </c>
      <c r="C1833" s="12" t="s">
        <v>1399</v>
      </c>
      <c r="D1833" s="13"/>
      <c r="E1833" s="14"/>
      <c r="F1833" s="15" t="str">
        <f aca="false">IF(D1833="","",ROUND((D1833-MIN($D$7:$D$9999))*86400,2))</f>
        <v/>
      </c>
      <c r="G1833" s="10" t="str">
        <f aca="false">IF(D1833="","",IF(D1833&lt;=($E$3*60+$F$3)/86400,"○",""))</f>
        <v/>
      </c>
      <c r="H1833" s="16" t="n">
        <v>0.00736087962962963</v>
      </c>
      <c r="I1833" s="17" t="n">
        <v>721</v>
      </c>
      <c r="J1833" s="16"/>
      <c r="K1833" s="17"/>
      <c r="L1833" s="17" t="n">
        <f aca="false">COUNT(E1833,I1833,K1833)</f>
        <v>1</v>
      </c>
      <c r="M1833" s="18" t="n">
        <f aca="false">(D1833&lt;&gt;"")*(D1833&lt;=($E$3*60+$F$3)/86400)+(H1833&lt;&gt;"")*(H1833&lt;=($I$3*60+$J$3)/86400)+(J1833&lt;&gt;"")*(J1833&lt;=($M$3*60+$N$3)/86400)</f>
        <v>0</v>
      </c>
      <c r="N1833" s="20" t="s">
        <v>2850</v>
      </c>
      <c r="O1833" s="20"/>
      <c r="P1833" s="20"/>
      <c r="Q1833" s="19"/>
    </row>
    <row r="1834" customFormat="false" ht="15" hidden="false" customHeight="false" outlineLevel="0" collapsed="false">
      <c r="A1834" s="10" t="n">
        <v>1828</v>
      </c>
      <c r="B1834" s="12" t="s">
        <v>2851</v>
      </c>
      <c r="C1834" s="12" t="s">
        <v>2852</v>
      </c>
      <c r="D1834" s="13"/>
      <c r="E1834" s="14"/>
      <c r="F1834" s="15" t="str">
        <f aca="false">IF(D1834="","",ROUND((D1834-MIN($D$7:$D$9999))*86400,2))</f>
        <v/>
      </c>
      <c r="G1834" s="10" t="str">
        <f aca="false">IF(D1834="","",IF(D1834&lt;=($E$3*60+$F$3)/86400,"○",""))</f>
        <v/>
      </c>
      <c r="H1834" s="16" t="n">
        <v>0.00736157407407407</v>
      </c>
      <c r="I1834" s="17" t="n">
        <v>722</v>
      </c>
      <c r="J1834" s="16"/>
      <c r="K1834" s="17"/>
      <c r="L1834" s="17" t="n">
        <f aca="false">COUNT(E1834,I1834,K1834)</f>
        <v>1</v>
      </c>
      <c r="M1834" s="18" t="n">
        <f aca="false">(D1834&lt;&gt;"")*(D1834&lt;=($E$3*60+$F$3)/86400)+(H1834&lt;&gt;"")*(H1834&lt;=($I$3*60+$J$3)/86400)+(J1834&lt;&gt;"")*(J1834&lt;=($M$3*60+$N$3)/86400)</f>
        <v>0</v>
      </c>
      <c r="N1834" s="20"/>
      <c r="O1834" s="20"/>
      <c r="P1834" s="20"/>
      <c r="Q1834" s="19"/>
    </row>
    <row r="1835" customFormat="false" ht="15" hidden="false" customHeight="false" outlineLevel="0" collapsed="false">
      <c r="A1835" s="10" t="n">
        <v>1829</v>
      </c>
      <c r="B1835" s="12" t="s">
        <v>2853</v>
      </c>
      <c r="C1835" s="12" t="s">
        <v>1510</v>
      </c>
      <c r="D1835" s="13"/>
      <c r="E1835" s="14"/>
      <c r="F1835" s="15" t="str">
        <f aca="false">IF(D1835="","",ROUND((D1835-MIN($D$7:$D$9999))*86400,2))</f>
        <v/>
      </c>
      <c r="G1835" s="10" t="str">
        <f aca="false">IF(D1835="","",IF(D1835&lt;=($E$3*60+$F$3)/86400,"○",""))</f>
        <v/>
      </c>
      <c r="H1835" s="16"/>
      <c r="I1835" s="17"/>
      <c r="J1835" s="16" t="n">
        <v>0.00287303240740741</v>
      </c>
      <c r="K1835" s="17" t="n">
        <v>722</v>
      </c>
      <c r="L1835" s="17" t="n">
        <f aca="false">COUNT(E1835,I1835,K1835)</f>
        <v>1</v>
      </c>
      <c r="M1835" s="18" t="n">
        <f aca="false">(D1835&lt;&gt;"")*(D1835&lt;=($E$3*60+$F$3)/86400)+(H1835&lt;&gt;"")*(H1835&lt;=($I$3*60+$J$3)/86400)+(J1835&lt;&gt;"")*(J1835&lt;=($M$3*60+$N$3)/86400)</f>
        <v>0</v>
      </c>
      <c r="N1835" s="20" t="s">
        <v>2854</v>
      </c>
      <c r="O1835" s="20"/>
      <c r="P1835" s="20"/>
      <c r="Q1835" s="19"/>
    </row>
    <row r="1836" customFormat="false" ht="15" hidden="false" customHeight="false" outlineLevel="0" collapsed="false">
      <c r="A1836" s="10" t="n">
        <v>1830</v>
      </c>
      <c r="B1836" s="12" t="s">
        <v>2855</v>
      </c>
      <c r="C1836" s="12" t="s">
        <v>1586</v>
      </c>
      <c r="D1836" s="13"/>
      <c r="E1836" s="14"/>
      <c r="F1836" s="15" t="str">
        <f aca="false">IF(D1836="","",ROUND((D1836-MIN($D$7:$D$9999))*86400,2))</f>
        <v/>
      </c>
      <c r="G1836" s="10" t="str">
        <f aca="false">IF(D1836="","",IF(D1836&lt;=($E$3*60+$F$3)/86400,"○",""))</f>
        <v/>
      </c>
      <c r="H1836" s="16" t="n">
        <v>0.00736273148148148</v>
      </c>
      <c r="I1836" s="17" t="n">
        <v>723</v>
      </c>
      <c r="J1836" s="16"/>
      <c r="K1836" s="17"/>
      <c r="L1836" s="17" t="n">
        <f aca="false">COUNT(E1836,I1836,K1836)</f>
        <v>1</v>
      </c>
      <c r="M1836" s="18" t="n">
        <f aca="false">(D1836&lt;&gt;"")*(D1836&lt;=($E$3*60+$F$3)/86400)+(H1836&lt;&gt;"")*(H1836&lt;=($I$3*60+$J$3)/86400)+(J1836&lt;&gt;"")*(J1836&lt;=($M$3*60+$N$3)/86400)</f>
        <v>0</v>
      </c>
      <c r="N1836" s="20"/>
      <c r="O1836" s="20"/>
      <c r="P1836" s="20"/>
      <c r="Q1836" s="19"/>
    </row>
    <row r="1837" customFormat="false" ht="15" hidden="false" customHeight="false" outlineLevel="0" collapsed="false">
      <c r="A1837" s="10" t="n">
        <v>1831</v>
      </c>
      <c r="B1837" s="12" t="s">
        <v>2856</v>
      </c>
      <c r="C1837" s="12" t="s">
        <v>382</v>
      </c>
      <c r="D1837" s="13"/>
      <c r="E1837" s="14"/>
      <c r="F1837" s="15" t="str">
        <f aca="false">IF(D1837="","",ROUND((D1837-MIN($D$7:$D$9999))*86400,2))</f>
        <v/>
      </c>
      <c r="G1837" s="10" t="str">
        <f aca="false">IF(D1837="","",IF(D1837&lt;=($E$3*60+$F$3)/86400,"○",""))</f>
        <v/>
      </c>
      <c r="H1837" s="16"/>
      <c r="I1837" s="17"/>
      <c r="J1837" s="16" t="n">
        <v>0.00287326388888889</v>
      </c>
      <c r="K1837" s="17" t="n">
        <v>723</v>
      </c>
      <c r="L1837" s="17" t="n">
        <f aca="false">COUNT(E1837,I1837,K1837)</f>
        <v>1</v>
      </c>
      <c r="M1837" s="18" t="n">
        <f aca="false">(D1837&lt;&gt;"")*(D1837&lt;=($E$3*60+$F$3)/86400)+(H1837&lt;&gt;"")*(H1837&lt;=($I$3*60+$J$3)/86400)+(J1837&lt;&gt;"")*(J1837&lt;=($M$3*60+$N$3)/86400)</f>
        <v>0</v>
      </c>
      <c r="N1837" s="20"/>
      <c r="O1837" s="20"/>
      <c r="P1837" s="20"/>
      <c r="Q1837" s="19"/>
    </row>
    <row r="1838" customFormat="false" ht="15" hidden="false" customHeight="false" outlineLevel="0" collapsed="false">
      <c r="A1838" s="10" t="n">
        <v>1832</v>
      </c>
      <c r="B1838" s="12" t="s">
        <v>2857</v>
      </c>
      <c r="C1838" s="12" t="s">
        <v>2858</v>
      </c>
      <c r="D1838" s="13"/>
      <c r="E1838" s="14"/>
      <c r="F1838" s="15" t="str">
        <f aca="false">IF(D1838="","",ROUND((D1838-MIN($D$7:$D$9999))*86400,2))</f>
        <v/>
      </c>
      <c r="G1838" s="10" t="str">
        <f aca="false">IF(D1838="","",IF(D1838&lt;=($E$3*60+$F$3)/86400,"○",""))</f>
        <v/>
      </c>
      <c r="H1838" s="16" t="n">
        <v>0.00736273148148148</v>
      </c>
      <c r="I1838" s="17" t="n">
        <v>724</v>
      </c>
      <c r="J1838" s="16"/>
      <c r="K1838" s="17"/>
      <c r="L1838" s="17" t="n">
        <f aca="false">COUNT(E1838,I1838,K1838)</f>
        <v>1</v>
      </c>
      <c r="M1838" s="18" t="n">
        <f aca="false">(D1838&lt;&gt;"")*(D1838&lt;=($E$3*60+$F$3)/86400)+(H1838&lt;&gt;"")*(H1838&lt;=($I$3*60+$J$3)/86400)+(J1838&lt;&gt;"")*(J1838&lt;=($M$3*60+$N$3)/86400)</f>
        <v>0</v>
      </c>
      <c r="N1838" s="20"/>
      <c r="O1838" s="20"/>
      <c r="P1838" s="20"/>
      <c r="Q1838" s="19"/>
    </row>
    <row r="1839" customFormat="false" ht="15" hidden="false" customHeight="false" outlineLevel="0" collapsed="false">
      <c r="A1839" s="10" t="n">
        <v>1833</v>
      </c>
      <c r="B1839" s="12" t="s">
        <v>2859</v>
      </c>
      <c r="C1839" s="12" t="s">
        <v>2860</v>
      </c>
      <c r="D1839" s="13"/>
      <c r="E1839" s="14"/>
      <c r="F1839" s="15" t="str">
        <f aca="false">IF(D1839="","",ROUND((D1839-MIN($D$7:$D$9999))*86400,2))</f>
        <v/>
      </c>
      <c r="G1839" s="10" t="str">
        <f aca="false">IF(D1839="","",IF(D1839&lt;=($E$3*60+$F$3)/86400,"○",""))</f>
        <v/>
      </c>
      <c r="H1839" s="16"/>
      <c r="I1839" s="17"/>
      <c r="J1839" s="16" t="n">
        <v>0.00287372685185185</v>
      </c>
      <c r="K1839" s="17" t="n">
        <v>725</v>
      </c>
      <c r="L1839" s="17" t="n">
        <f aca="false">COUNT(E1839,I1839,K1839)</f>
        <v>1</v>
      </c>
      <c r="M1839" s="18" t="n">
        <f aca="false">(D1839&lt;&gt;"")*(D1839&lt;=($E$3*60+$F$3)/86400)+(H1839&lt;&gt;"")*(H1839&lt;=($I$3*60+$J$3)/86400)+(J1839&lt;&gt;"")*(J1839&lt;=($M$3*60+$N$3)/86400)</f>
        <v>0</v>
      </c>
      <c r="N1839" s="20"/>
      <c r="O1839" s="20"/>
      <c r="P1839" s="20"/>
      <c r="Q1839" s="19"/>
    </row>
    <row r="1840" customFormat="false" ht="15" hidden="false" customHeight="false" outlineLevel="0" collapsed="false">
      <c r="A1840" s="10" t="n">
        <v>1834</v>
      </c>
      <c r="B1840" s="12" t="s">
        <v>2861</v>
      </c>
      <c r="C1840" s="12" t="s">
        <v>1855</v>
      </c>
      <c r="D1840" s="13"/>
      <c r="E1840" s="14"/>
      <c r="F1840" s="15" t="str">
        <f aca="false">IF(D1840="","",ROUND((D1840-MIN($D$7:$D$9999))*86400,2))</f>
        <v/>
      </c>
      <c r="G1840" s="10" t="str">
        <f aca="false">IF(D1840="","",IF(D1840&lt;=($E$3*60+$F$3)/86400,"○",""))</f>
        <v/>
      </c>
      <c r="H1840" s="16" t="n">
        <v>0.00736400462962963</v>
      </c>
      <c r="I1840" s="17" t="n">
        <v>726</v>
      </c>
      <c r="J1840" s="16"/>
      <c r="K1840" s="17"/>
      <c r="L1840" s="17" t="n">
        <f aca="false">COUNT(E1840,I1840,K1840)</f>
        <v>1</v>
      </c>
      <c r="M1840" s="18" t="n">
        <f aca="false">(D1840&lt;&gt;"")*(D1840&lt;=($E$3*60+$F$3)/86400)+(H1840&lt;&gt;"")*(H1840&lt;=($I$3*60+$J$3)/86400)+(J1840&lt;&gt;"")*(J1840&lt;=($M$3*60+$N$3)/86400)</f>
        <v>0</v>
      </c>
      <c r="N1840" s="20"/>
      <c r="O1840" s="20"/>
      <c r="P1840" s="20"/>
      <c r="Q1840" s="19"/>
    </row>
    <row r="1841" customFormat="false" ht="15" hidden="false" customHeight="false" outlineLevel="0" collapsed="false">
      <c r="A1841" s="10" t="n">
        <v>1835</v>
      </c>
      <c r="B1841" s="12" t="s">
        <v>2862</v>
      </c>
      <c r="C1841" s="12" t="s">
        <v>824</v>
      </c>
      <c r="D1841" s="13"/>
      <c r="E1841" s="14"/>
      <c r="F1841" s="15" t="str">
        <f aca="false">IF(D1841="","",ROUND((D1841-MIN($D$7:$D$9999))*86400,2))</f>
        <v/>
      </c>
      <c r="G1841" s="10" t="str">
        <f aca="false">IF(D1841="","",IF(D1841&lt;=($E$3*60+$F$3)/86400,"○",""))</f>
        <v/>
      </c>
      <c r="H1841" s="16"/>
      <c r="I1841" s="17"/>
      <c r="J1841" s="16" t="n">
        <v>0.00287384259259259</v>
      </c>
      <c r="K1841" s="17" t="n">
        <v>726</v>
      </c>
      <c r="L1841" s="17" t="n">
        <f aca="false">COUNT(E1841,I1841,K1841)</f>
        <v>1</v>
      </c>
      <c r="M1841" s="18" t="n">
        <f aca="false">(D1841&lt;&gt;"")*(D1841&lt;=($E$3*60+$F$3)/86400)+(H1841&lt;&gt;"")*(H1841&lt;=($I$3*60+$J$3)/86400)+(J1841&lt;&gt;"")*(J1841&lt;=($M$3*60+$N$3)/86400)</f>
        <v>0</v>
      </c>
      <c r="N1841" s="20"/>
      <c r="O1841" s="20"/>
      <c r="P1841" s="20"/>
      <c r="Q1841" s="19"/>
    </row>
    <row r="1842" customFormat="false" ht="15" hidden="false" customHeight="false" outlineLevel="0" collapsed="false">
      <c r="A1842" s="10" t="n">
        <v>1836</v>
      </c>
      <c r="B1842" s="12" t="s">
        <v>2863</v>
      </c>
      <c r="C1842" s="12" t="s">
        <v>1069</v>
      </c>
      <c r="D1842" s="13"/>
      <c r="E1842" s="14"/>
      <c r="F1842" s="15" t="str">
        <f aca="false">IF(D1842="","",ROUND((D1842-MIN($D$7:$D$9999))*86400,2))</f>
        <v/>
      </c>
      <c r="G1842" s="10" t="str">
        <f aca="false">IF(D1842="","",IF(D1842&lt;=($E$3*60+$F$3)/86400,"○",""))</f>
        <v/>
      </c>
      <c r="H1842" s="16" t="n">
        <v>0.00736446759259259</v>
      </c>
      <c r="I1842" s="17" t="n">
        <v>727</v>
      </c>
      <c r="J1842" s="16" t="n">
        <v>0.00290729166666667</v>
      </c>
      <c r="K1842" s="17" t="n">
        <v>995</v>
      </c>
      <c r="L1842" s="17" t="n">
        <f aca="false">COUNT(E1842,I1842,K1842)</f>
        <v>2</v>
      </c>
      <c r="M1842" s="18" t="n">
        <f aca="false">(D1842&lt;&gt;"")*(D1842&lt;=($E$3*60+$F$3)/86400)+(H1842&lt;&gt;"")*(H1842&lt;=($I$3*60+$J$3)/86400)+(J1842&lt;&gt;"")*(J1842&lt;=($M$3*60+$N$3)/86400)</f>
        <v>0</v>
      </c>
      <c r="N1842" s="20"/>
      <c r="O1842" s="20"/>
      <c r="P1842" s="20"/>
      <c r="Q1842" s="19"/>
    </row>
    <row r="1843" customFormat="false" ht="15" hidden="false" customHeight="false" outlineLevel="0" collapsed="false">
      <c r="A1843" s="10" t="n">
        <v>1837</v>
      </c>
      <c r="B1843" s="12" t="s">
        <v>2864</v>
      </c>
      <c r="C1843" s="12" t="s">
        <v>2865</v>
      </c>
      <c r="D1843" s="13"/>
      <c r="E1843" s="14"/>
      <c r="F1843" s="15" t="str">
        <f aca="false">IF(D1843="","",ROUND((D1843-MIN($D$7:$D$9999))*86400,2))</f>
        <v/>
      </c>
      <c r="G1843" s="10" t="str">
        <f aca="false">IF(D1843="","",IF(D1843&lt;=($E$3*60+$F$3)/86400,"○",""))</f>
        <v/>
      </c>
      <c r="H1843" s="16" t="n">
        <v>0.00736469907407407</v>
      </c>
      <c r="I1843" s="17" t="n">
        <v>728</v>
      </c>
      <c r="J1843" s="16"/>
      <c r="K1843" s="17"/>
      <c r="L1843" s="17" t="n">
        <f aca="false">COUNT(E1843,I1843,K1843)</f>
        <v>1</v>
      </c>
      <c r="M1843" s="18" t="n">
        <f aca="false">(D1843&lt;&gt;"")*(D1843&lt;=($E$3*60+$F$3)/86400)+(H1843&lt;&gt;"")*(H1843&lt;=($I$3*60+$J$3)/86400)+(J1843&lt;&gt;"")*(J1843&lt;=($M$3*60+$N$3)/86400)</f>
        <v>0</v>
      </c>
      <c r="N1843" s="20"/>
      <c r="O1843" s="20"/>
      <c r="P1843" s="20"/>
      <c r="Q1843" s="19"/>
    </row>
    <row r="1844" customFormat="false" ht="15" hidden="false" customHeight="false" outlineLevel="0" collapsed="false">
      <c r="A1844" s="10" t="n">
        <v>1838</v>
      </c>
      <c r="B1844" s="12" t="s">
        <v>2866</v>
      </c>
      <c r="C1844" s="12" t="s">
        <v>2867</v>
      </c>
      <c r="D1844" s="13"/>
      <c r="E1844" s="14"/>
      <c r="F1844" s="15" t="str">
        <f aca="false">IF(D1844="","",ROUND((D1844-MIN($D$7:$D$9999))*86400,2))</f>
        <v/>
      </c>
      <c r="G1844" s="10" t="str">
        <f aca="false">IF(D1844="","",IF(D1844&lt;=($E$3*60+$F$3)/86400,"○",""))</f>
        <v/>
      </c>
      <c r="H1844" s="16" t="n">
        <v>0.00736527777777778</v>
      </c>
      <c r="I1844" s="17" t="n">
        <v>729</v>
      </c>
      <c r="J1844" s="16"/>
      <c r="K1844" s="17"/>
      <c r="L1844" s="17" t="n">
        <f aca="false">COUNT(E1844,I1844,K1844)</f>
        <v>1</v>
      </c>
      <c r="M1844" s="18" t="n">
        <f aca="false">(D1844&lt;&gt;"")*(D1844&lt;=($E$3*60+$F$3)/86400)+(H1844&lt;&gt;"")*(H1844&lt;=($I$3*60+$J$3)/86400)+(J1844&lt;&gt;"")*(J1844&lt;=($M$3*60+$N$3)/86400)</f>
        <v>0</v>
      </c>
      <c r="N1844" s="20"/>
      <c r="O1844" s="20"/>
      <c r="P1844" s="20"/>
      <c r="Q1844" s="19"/>
    </row>
    <row r="1845" customFormat="false" ht="15" hidden="false" customHeight="false" outlineLevel="0" collapsed="false">
      <c r="A1845" s="10" t="n">
        <v>1839</v>
      </c>
      <c r="B1845" s="12" t="s">
        <v>2868</v>
      </c>
      <c r="C1845" s="12" t="s">
        <v>1166</v>
      </c>
      <c r="D1845" s="13"/>
      <c r="E1845" s="14"/>
      <c r="F1845" s="15" t="str">
        <f aca="false">IF(D1845="","",ROUND((D1845-MIN($D$7:$D$9999))*86400,2))</f>
        <v/>
      </c>
      <c r="G1845" s="10" t="str">
        <f aca="false">IF(D1845="","",IF(D1845&lt;=($E$3*60+$F$3)/86400,"○",""))</f>
        <v/>
      </c>
      <c r="H1845" s="16"/>
      <c r="I1845" s="17"/>
      <c r="J1845" s="16" t="n">
        <v>0.00287430555555556</v>
      </c>
      <c r="K1845" s="17" t="n">
        <v>729</v>
      </c>
      <c r="L1845" s="17" t="n">
        <f aca="false">COUNT(E1845,I1845,K1845)</f>
        <v>1</v>
      </c>
      <c r="M1845" s="18" t="n">
        <f aca="false">(D1845&lt;&gt;"")*(D1845&lt;=($E$3*60+$F$3)/86400)+(H1845&lt;&gt;"")*(H1845&lt;=($I$3*60+$J$3)/86400)+(J1845&lt;&gt;"")*(J1845&lt;=($M$3*60+$N$3)/86400)</f>
        <v>0</v>
      </c>
      <c r="N1845" s="20" t="s">
        <v>2869</v>
      </c>
      <c r="O1845" s="20"/>
      <c r="P1845" s="20"/>
      <c r="Q1845" s="19"/>
    </row>
    <row r="1846" customFormat="false" ht="15" hidden="false" customHeight="false" outlineLevel="0" collapsed="false">
      <c r="A1846" s="10" t="n">
        <v>1840</v>
      </c>
      <c r="B1846" s="12" t="s">
        <v>2870</v>
      </c>
      <c r="C1846" s="12" t="s">
        <v>2871</v>
      </c>
      <c r="D1846" s="13"/>
      <c r="E1846" s="14"/>
      <c r="F1846" s="15" t="str">
        <f aca="false">IF(D1846="","",ROUND((D1846-MIN($D$7:$D$9999))*86400,2))</f>
        <v/>
      </c>
      <c r="G1846" s="10" t="str">
        <f aca="false">IF(D1846="","",IF(D1846&lt;=($E$3*60+$F$3)/86400,"○",""))</f>
        <v/>
      </c>
      <c r="H1846" s="16" t="n">
        <v>0.00793425925925926</v>
      </c>
      <c r="I1846" s="17" t="n">
        <v>1174</v>
      </c>
      <c r="J1846" s="16" t="n">
        <v>0.00287453703703704</v>
      </c>
      <c r="K1846" s="17" t="n">
        <v>730</v>
      </c>
      <c r="L1846" s="17" t="n">
        <f aca="false">COUNT(E1846,I1846,K1846)</f>
        <v>2</v>
      </c>
      <c r="M1846" s="18" t="n">
        <f aca="false">(D1846&lt;&gt;"")*(D1846&lt;=($E$3*60+$F$3)/86400)+(H1846&lt;&gt;"")*(H1846&lt;=($I$3*60+$J$3)/86400)+(J1846&lt;&gt;"")*(J1846&lt;=($M$3*60+$N$3)/86400)</f>
        <v>0</v>
      </c>
      <c r="N1846" s="20"/>
      <c r="O1846" s="20"/>
      <c r="P1846" s="20"/>
      <c r="Q1846" s="19"/>
    </row>
    <row r="1847" customFormat="false" ht="15" hidden="false" customHeight="false" outlineLevel="0" collapsed="false">
      <c r="A1847" s="10" t="n">
        <v>1841</v>
      </c>
      <c r="B1847" s="12" t="s">
        <v>2872</v>
      </c>
      <c r="C1847" s="12" t="s">
        <v>2873</v>
      </c>
      <c r="D1847" s="13"/>
      <c r="E1847" s="14"/>
      <c r="F1847" s="15" t="str">
        <f aca="false">IF(D1847="","",ROUND((D1847-MIN($D$7:$D$9999))*86400,2))</f>
        <v/>
      </c>
      <c r="G1847" s="10" t="str">
        <f aca="false">IF(D1847="","",IF(D1847&lt;=($E$3*60+$F$3)/86400,"○",""))</f>
        <v/>
      </c>
      <c r="H1847" s="16" t="n">
        <v>0.00736747685185185</v>
      </c>
      <c r="I1847" s="17" t="n">
        <v>730</v>
      </c>
      <c r="J1847" s="16"/>
      <c r="K1847" s="17"/>
      <c r="L1847" s="17" t="n">
        <f aca="false">COUNT(E1847,I1847,K1847)</f>
        <v>1</v>
      </c>
      <c r="M1847" s="18" t="n">
        <f aca="false">(D1847&lt;&gt;"")*(D1847&lt;=($E$3*60+$F$3)/86400)+(H1847&lt;&gt;"")*(H1847&lt;=($I$3*60+$J$3)/86400)+(J1847&lt;&gt;"")*(J1847&lt;=($M$3*60+$N$3)/86400)</f>
        <v>0</v>
      </c>
      <c r="N1847" s="20"/>
      <c r="O1847" s="20"/>
      <c r="P1847" s="20"/>
      <c r="Q1847" s="19"/>
    </row>
    <row r="1848" customFormat="false" ht="15" hidden="false" customHeight="false" outlineLevel="0" collapsed="false">
      <c r="A1848" s="10" t="n">
        <v>1842</v>
      </c>
      <c r="B1848" s="12" t="s">
        <v>2874</v>
      </c>
      <c r="C1848" s="12" t="s">
        <v>2875</v>
      </c>
      <c r="D1848" s="13"/>
      <c r="E1848" s="14"/>
      <c r="F1848" s="15" t="str">
        <f aca="false">IF(D1848="","",ROUND((D1848-MIN($D$7:$D$9999))*86400,2))</f>
        <v/>
      </c>
      <c r="G1848" s="10" t="str">
        <f aca="false">IF(D1848="","",IF(D1848&lt;=($E$3*60+$F$3)/86400,"○",""))</f>
        <v/>
      </c>
      <c r="H1848" s="16" t="n">
        <v>0.00736921296296296</v>
      </c>
      <c r="I1848" s="17" t="n">
        <v>731</v>
      </c>
      <c r="J1848" s="16"/>
      <c r="K1848" s="17"/>
      <c r="L1848" s="17" t="n">
        <f aca="false">COUNT(E1848,I1848,K1848)</f>
        <v>1</v>
      </c>
      <c r="M1848" s="18" t="n">
        <f aca="false">(D1848&lt;&gt;"")*(D1848&lt;=($E$3*60+$F$3)/86400)+(H1848&lt;&gt;"")*(H1848&lt;=($I$3*60+$J$3)/86400)+(J1848&lt;&gt;"")*(J1848&lt;=($M$3*60+$N$3)/86400)</f>
        <v>0</v>
      </c>
      <c r="N1848" s="20"/>
      <c r="O1848" s="20"/>
      <c r="P1848" s="20"/>
      <c r="Q1848" s="19"/>
    </row>
    <row r="1849" customFormat="false" ht="15" hidden="false" customHeight="false" outlineLevel="0" collapsed="false">
      <c r="A1849" s="10" t="n">
        <v>1843</v>
      </c>
      <c r="B1849" s="12" t="s">
        <v>2876</v>
      </c>
      <c r="C1849" s="12" t="s">
        <v>1950</v>
      </c>
      <c r="D1849" s="13"/>
      <c r="E1849" s="14"/>
      <c r="F1849" s="15" t="str">
        <f aca="false">IF(D1849="","",ROUND((D1849-MIN($D$7:$D$9999))*86400,2))</f>
        <v/>
      </c>
      <c r="G1849" s="10" t="str">
        <f aca="false">IF(D1849="","",IF(D1849&lt;=($E$3*60+$F$3)/86400,"○",""))</f>
        <v/>
      </c>
      <c r="H1849" s="16"/>
      <c r="I1849" s="17"/>
      <c r="J1849" s="16" t="n">
        <v>0.00287465277777778</v>
      </c>
      <c r="K1849" s="17" t="n">
        <v>731</v>
      </c>
      <c r="L1849" s="17" t="n">
        <f aca="false">COUNT(E1849,I1849,K1849)</f>
        <v>1</v>
      </c>
      <c r="M1849" s="18" t="n">
        <f aca="false">(D1849&lt;&gt;"")*(D1849&lt;=($E$3*60+$F$3)/86400)+(H1849&lt;&gt;"")*(H1849&lt;=($I$3*60+$J$3)/86400)+(J1849&lt;&gt;"")*(J1849&lt;=($M$3*60+$N$3)/86400)</f>
        <v>0</v>
      </c>
      <c r="N1849" s="20"/>
      <c r="O1849" s="20"/>
      <c r="P1849" s="20"/>
      <c r="Q1849" s="19"/>
    </row>
    <row r="1850" customFormat="false" ht="15" hidden="false" customHeight="false" outlineLevel="0" collapsed="false">
      <c r="A1850" s="10" t="n">
        <v>1844</v>
      </c>
      <c r="B1850" s="12" t="s">
        <v>2877</v>
      </c>
      <c r="C1850" s="12" t="s">
        <v>2686</v>
      </c>
      <c r="D1850" s="13"/>
      <c r="E1850" s="14"/>
      <c r="F1850" s="15" t="str">
        <f aca="false">IF(D1850="","",ROUND((D1850-MIN($D$7:$D$9999))*86400,2))</f>
        <v/>
      </c>
      <c r="G1850" s="10" t="str">
        <f aca="false">IF(D1850="","",IF(D1850&lt;=($E$3*60+$F$3)/86400,"○",""))</f>
        <v/>
      </c>
      <c r="H1850" s="16" t="n">
        <v>0.0073693287037037</v>
      </c>
      <c r="I1850" s="17" t="n">
        <v>732</v>
      </c>
      <c r="J1850" s="16"/>
      <c r="K1850" s="17"/>
      <c r="L1850" s="17" t="n">
        <f aca="false">COUNT(E1850,I1850,K1850)</f>
        <v>1</v>
      </c>
      <c r="M1850" s="18" t="n">
        <f aca="false">(D1850&lt;&gt;"")*(D1850&lt;=($E$3*60+$F$3)/86400)+(H1850&lt;&gt;"")*(H1850&lt;=($I$3*60+$J$3)/86400)+(J1850&lt;&gt;"")*(J1850&lt;=($M$3*60+$N$3)/86400)</f>
        <v>0</v>
      </c>
      <c r="N1850" s="20"/>
      <c r="O1850" s="20"/>
      <c r="P1850" s="20"/>
      <c r="Q1850" s="19"/>
    </row>
    <row r="1851" customFormat="false" ht="15" hidden="false" customHeight="false" outlineLevel="0" collapsed="false">
      <c r="A1851" s="10" t="n">
        <v>1845</v>
      </c>
      <c r="B1851" s="12" t="s">
        <v>2878</v>
      </c>
      <c r="C1851" s="12" t="s">
        <v>982</v>
      </c>
      <c r="D1851" s="13"/>
      <c r="E1851" s="14"/>
      <c r="F1851" s="15" t="str">
        <f aca="false">IF(D1851="","",ROUND((D1851-MIN($D$7:$D$9999))*86400,2))</f>
        <v/>
      </c>
      <c r="G1851" s="10" t="str">
        <f aca="false">IF(D1851="","",IF(D1851&lt;=($E$3*60+$F$3)/86400,"○",""))</f>
        <v/>
      </c>
      <c r="H1851" s="16" t="n">
        <v>0.00736979166666667</v>
      </c>
      <c r="I1851" s="17" t="n">
        <v>733</v>
      </c>
      <c r="J1851" s="16"/>
      <c r="K1851" s="17"/>
      <c r="L1851" s="17" t="n">
        <f aca="false">COUNT(E1851,I1851,K1851)</f>
        <v>1</v>
      </c>
      <c r="M1851" s="18" t="n">
        <f aca="false">(D1851&lt;&gt;"")*(D1851&lt;=($E$3*60+$F$3)/86400)+(H1851&lt;&gt;"")*(H1851&lt;=($I$3*60+$J$3)/86400)+(J1851&lt;&gt;"")*(J1851&lt;=($M$3*60+$N$3)/86400)</f>
        <v>0</v>
      </c>
      <c r="N1851" s="20"/>
      <c r="O1851" s="20"/>
      <c r="P1851" s="20"/>
      <c r="Q1851" s="19"/>
    </row>
    <row r="1852" customFormat="false" ht="15" hidden="false" customHeight="false" outlineLevel="0" collapsed="false">
      <c r="A1852" s="10" t="n">
        <v>1846</v>
      </c>
      <c r="B1852" s="12" t="s">
        <v>2879</v>
      </c>
      <c r="C1852" s="12" t="s">
        <v>2414</v>
      </c>
      <c r="D1852" s="13"/>
      <c r="E1852" s="14"/>
      <c r="F1852" s="15" t="str">
        <f aca="false">IF(D1852="","",ROUND((D1852-MIN($D$7:$D$9999))*86400,2))</f>
        <v/>
      </c>
      <c r="G1852" s="10" t="str">
        <f aca="false">IF(D1852="","",IF(D1852&lt;=($E$3*60+$F$3)/86400,"○",""))</f>
        <v/>
      </c>
      <c r="H1852" s="16" t="n">
        <v>0.00737002314814815</v>
      </c>
      <c r="I1852" s="17" t="n">
        <v>734</v>
      </c>
      <c r="J1852" s="16"/>
      <c r="K1852" s="17"/>
      <c r="L1852" s="17" t="n">
        <f aca="false">COUNT(E1852,I1852,K1852)</f>
        <v>1</v>
      </c>
      <c r="M1852" s="18" t="n">
        <f aca="false">(D1852&lt;&gt;"")*(D1852&lt;=($E$3*60+$F$3)/86400)+(H1852&lt;&gt;"")*(H1852&lt;=($I$3*60+$J$3)/86400)+(J1852&lt;&gt;"")*(J1852&lt;=($M$3*60+$N$3)/86400)</f>
        <v>0</v>
      </c>
      <c r="N1852" s="20"/>
      <c r="O1852" s="20"/>
      <c r="P1852" s="20"/>
      <c r="Q1852" s="19"/>
    </row>
    <row r="1853" customFormat="false" ht="15" hidden="false" customHeight="false" outlineLevel="0" collapsed="false">
      <c r="A1853" s="10" t="n">
        <v>1847</v>
      </c>
      <c r="B1853" s="12" t="s">
        <v>2880</v>
      </c>
      <c r="C1853" s="12" t="s">
        <v>2871</v>
      </c>
      <c r="D1853" s="13"/>
      <c r="E1853" s="14"/>
      <c r="F1853" s="15" t="str">
        <f aca="false">IF(D1853="","",ROUND((D1853-MIN($D$7:$D$9999))*86400,2))</f>
        <v/>
      </c>
      <c r="G1853" s="10" t="str">
        <f aca="false">IF(D1853="","",IF(D1853&lt;=($E$3*60+$F$3)/86400,"○",""))</f>
        <v/>
      </c>
      <c r="H1853" s="16" t="n">
        <v>0.00737037037037037</v>
      </c>
      <c r="I1853" s="17" t="n">
        <v>735</v>
      </c>
      <c r="J1853" s="16"/>
      <c r="K1853" s="17"/>
      <c r="L1853" s="17" t="n">
        <f aca="false">COUNT(E1853,I1853,K1853)</f>
        <v>1</v>
      </c>
      <c r="M1853" s="18" t="n">
        <f aca="false">(D1853&lt;&gt;"")*(D1853&lt;=($E$3*60+$F$3)/86400)+(H1853&lt;&gt;"")*(H1853&lt;=($I$3*60+$J$3)/86400)+(J1853&lt;&gt;"")*(J1853&lt;=($M$3*60+$N$3)/86400)</f>
        <v>0</v>
      </c>
      <c r="N1853" s="20"/>
      <c r="O1853" s="20"/>
      <c r="P1853" s="20"/>
      <c r="Q1853" s="19"/>
    </row>
    <row r="1854" customFormat="false" ht="15" hidden="false" customHeight="false" outlineLevel="0" collapsed="false">
      <c r="A1854" s="10" t="n">
        <v>1848</v>
      </c>
      <c r="B1854" s="12" t="s">
        <v>2881</v>
      </c>
      <c r="C1854" s="12" t="s">
        <v>1212</v>
      </c>
      <c r="D1854" s="13"/>
      <c r="E1854" s="14"/>
      <c r="F1854" s="15" t="str">
        <f aca="false">IF(D1854="","",ROUND((D1854-MIN($D$7:$D$9999))*86400,2))</f>
        <v/>
      </c>
      <c r="G1854" s="10" t="str">
        <f aca="false">IF(D1854="","",IF(D1854&lt;=($E$3*60+$F$3)/86400,"○",""))</f>
        <v/>
      </c>
      <c r="H1854" s="16"/>
      <c r="I1854" s="17"/>
      <c r="J1854" s="16" t="n">
        <v>0.002875</v>
      </c>
      <c r="K1854" s="17" t="n">
        <v>735</v>
      </c>
      <c r="L1854" s="17" t="n">
        <f aca="false">COUNT(E1854,I1854,K1854)</f>
        <v>1</v>
      </c>
      <c r="M1854" s="18" t="n">
        <f aca="false">(D1854&lt;&gt;"")*(D1854&lt;=($E$3*60+$F$3)/86400)+(H1854&lt;&gt;"")*(H1854&lt;=($I$3*60+$J$3)/86400)+(J1854&lt;&gt;"")*(J1854&lt;=($M$3*60+$N$3)/86400)</f>
        <v>0</v>
      </c>
      <c r="N1854" s="20"/>
      <c r="O1854" s="20"/>
      <c r="P1854" s="20"/>
      <c r="Q1854" s="19"/>
    </row>
    <row r="1855" customFormat="false" ht="15" hidden="false" customHeight="false" outlineLevel="0" collapsed="false">
      <c r="A1855" s="10" t="n">
        <v>1849</v>
      </c>
      <c r="B1855" s="12" t="s">
        <v>2882</v>
      </c>
      <c r="C1855" s="12" t="s">
        <v>2883</v>
      </c>
      <c r="D1855" s="13"/>
      <c r="E1855" s="14"/>
      <c r="F1855" s="15" t="str">
        <f aca="false">IF(D1855="","",ROUND((D1855-MIN($D$7:$D$9999))*86400,2))</f>
        <v/>
      </c>
      <c r="G1855" s="10" t="str">
        <f aca="false">IF(D1855="","",IF(D1855&lt;=($E$3*60+$F$3)/86400,"○",""))</f>
        <v/>
      </c>
      <c r="H1855" s="16" t="n">
        <v>0.00737210648148148</v>
      </c>
      <c r="I1855" s="17" t="n">
        <v>736</v>
      </c>
      <c r="J1855" s="16"/>
      <c r="K1855" s="17"/>
      <c r="L1855" s="17" t="n">
        <f aca="false">COUNT(E1855,I1855,K1855)</f>
        <v>1</v>
      </c>
      <c r="M1855" s="18" t="n">
        <f aca="false">(D1855&lt;&gt;"")*(D1855&lt;=($E$3*60+$F$3)/86400)+(H1855&lt;&gt;"")*(H1855&lt;=($I$3*60+$J$3)/86400)+(J1855&lt;&gt;"")*(J1855&lt;=($M$3*60+$N$3)/86400)</f>
        <v>0</v>
      </c>
      <c r="N1855" s="20"/>
      <c r="O1855" s="20"/>
      <c r="P1855" s="20"/>
      <c r="Q1855" s="19"/>
    </row>
    <row r="1856" customFormat="false" ht="15" hidden="false" customHeight="false" outlineLevel="0" collapsed="false">
      <c r="A1856" s="10" t="n">
        <v>1850</v>
      </c>
      <c r="B1856" s="12" t="s">
        <v>2884</v>
      </c>
      <c r="C1856" s="12" t="s">
        <v>1740</v>
      </c>
      <c r="D1856" s="13"/>
      <c r="E1856" s="14"/>
      <c r="F1856" s="15" t="str">
        <f aca="false">IF(D1856="","",ROUND((D1856-MIN($D$7:$D$9999))*86400,2))</f>
        <v/>
      </c>
      <c r="G1856" s="10" t="str">
        <f aca="false">IF(D1856="","",IF(D1856&lt;=($E$3*60+$F$3)/86400,"○",""))</f>
        <v/>
      </c>
      <c r="H1856" s="16"/>
      <c r="I1856" s="17"/>
      <c r="J1856" s="16" t="n">
        <v>0.00287523148148148</v>
      </c>
      <c r="K1856" s="17" t="n">
        <v>736</v>
      </c>
      <c r="L1856" s="17" t="n">
        <f aca="false">COUNT(E1856,I1856,K1856)</f>
        <v>1</v>
      </c>
      <c r="M1856" s="18" t="n">
        <f aca="false">(D1856&lt;&gt;"")*(D1856&lt;=($E$3*60+$F$3)/86400)+(H1856&lt;&gt;"")*(H1856&lt;=($I$3*60+$J$3)/86400)+(J1856&lt;&gt;"")*(J1856&lt;=($M$3*60+$N$3)/86400)</f>
        <v>0</v>
      </c>
      <c r="N1856" s="20"/>
      <c r="O1856" s="20"/>
      <c r="P1856" s="20"/>
      <c r="Q1856" s="19"/>
    </row>
    <row r="1857" customFormat="false" ht="15" hidden="false" customHeight="false" outlineLevel="0" collapsed="false">
      <c r="A1857" s="10" t="n">
        <v>1851</v>
      </c>
      <c r="B1857" s="12" t="s">
        <v>2885</v>
      </c>
      <c r="C1857" s="12" t="s">
        <v>2886</v>
      </c>
      <c r="D1857" s="13"/>
      <c r="E1857" s="14"/>
      <c r="F1857" s="15" t="str">
        <f aca="false">IF(D1857="","",ROUND((D1857-MIN($D$7:$D$9999))*86400,2))</f>
        <v/>
      </c>
      <c r="G1857" s="10" t="str">
        <f aca="false">IF(D1857="","",IF(D1857&lt;=($E$3*60+$F$3)/86400,"○",""))</f>
        <v/>
      </c>
      <c r="H1857" s="16"/>
      <c r="I1857" s="17"/>
      <c r="J1857" s="16" t="n">
        <v>0.00287546296296296</v>
      </c>
      <c r="K1857" s="17" t="n">
        <v>737</v>
      </c>
      <c r="L1857" s="17" t="n">
        <f aca="false">COUNT(E1857,I1857,K1857)</f>
        <v>1</v>
      </c>
      <c r="M1857" s="18" t="n">
        <f aca="false">(D1857&lt;&gt;"")*(D1857&lt;=($E$3*60+$F$3)/86400)+(H1857&lt;&gt;"")*(H1857&lt;=($I$3*60+$J$3)/86400)+(J1857&lt;&gt;"")*(J1857&lt;=($M$3*60+$N$3)/86400)</f>
        <v>0</v>
      </c>
      <c r="N1857" s="20"/>
      <c r="O1857" s="20"/>
      <c r="P1857" s="20"/>
      <c r="Q1857" s="19"/>
    </row>
    <row r="1858" customFormat="false" ht="15" hidden="false" customHeight="false" outlineLevel="0" collapsed="false">
      <c r="A1858" s="10" t="n">
        <v>1852</v>
      </c>
      <c r="B1858" s="12" t="s">
        <v>2887</v>
      </c>
      <c r="C1858" s="12" t="s">
        <v>589</v>
      </c>
      <c r="D1858" s="13"/>
      <c r="E1858" s="14"/>
      <c r="F1858" s="15" t="str">
        <f aca="false">IF(D1858="","",ROUND((D1858-MIN($D$7:$D$9999))*86400,2))</f>
        <v/>
      </c>
      <c r="G1858" s="10" t="str">
        <f aca="false">IF(D1858="","",IF(D1858&lt;=($E$3*60+$F$3)/86400,"○",""))</f>
        <v/>
      </c>
      <c r="H1858" s="16" t="n">
        <v>0.00737280092592593</v>
      </c>
      <c r="I1858" s="17" t="n">
        <v>738</v>
      </c>
      <c r="J1858" s="16"/>
      <c r="K1858" s="17"/>
      <c r="L1858" s="17" t="n">
        <f aca="false">COUNT(E1858,I1858,K1858)</f>
        <v>1</v>
      </c>
      <c r="M1858" s="18" t="n">
        <f aca="false">(D1858&lt;&gt;"")*(D1858&lt;=($E$3*60+$F$3)/86400)+(H1858&lt;&gt;"")*(H1858&lt;=($I$3*60+$J$3)/86400)+(J1858&lt;&gt;"")*(J1858&lt;=($M$3*60+$N$3)/86400)</f>
        <v>0</v>
      </c>
      <c r="N1858" s="20"/>
      <c r="O1858" s="20"/>
      <c r="P1858" s="20"/>
      <c r="Q1858" s="19"/>
    </row>
    <row r="1859" customFormat="false" ht="15" hidden="false" customHeight="false" outlineLevel="0" collapsed="false">
      <c r="A1859" s="10" t="n">
        <v>1853</v>
      </c>
      <c r="B1859" s="12" t="s">
        <v>2888</v>
      </c>
      <c r="C1859" s="12" t="s">
        <v>1661</v>
      </c>
      <c r="D1859" s="13"/>
      <c r="E1859" s="14"/>
      <c r="F1859" s="15" t="str">
        <f aca="false">IF(D1859="","",ROUND((D1859-MIN($D$7:$D$9999))*86400,2))</f>
        <v/>
      </c>
      <c r="G1859" s="10" t="str">
        <f aca="false">IF(D1859="","",IF(D1859&lt;=($E$3*60+$F$3)/86400,"○",""))</f>
        <v/>
      </c>
      <c r="H1859" s="16" t="n">
        <v>0.00737337962962963</v>
      </c>
      <c r="I1859" s="17" t="n">
        <v>739</v>
      </c>
      <c r="J1859" s="16"/>
      <c r="K1859" s="17"/>
      <c r="L1859" s="17" t="n">
        <f aca="false">COUNT(E1859,I1859,K1859)</f>
        <v>1</v>
      </c>
      <c r="M1859" s="18" t="n">
        <f aca="false">(D1859&lt;&gt;"")*(D1859&lt;=($E$3*60+$F$3)/86400)+(H1859&lt;&gt;"")*(H1859&lt;=($I$3*60+$J$3)/86400)+(J1859&lt;&gt;"")*(J1859&lt;=($M$3*60+$N$3)/86400)</f>
        <v>0</v>
      </c>
      <c r="N1859" s="20"/>
      <c r="O1859" s="20"/>
      <c r="P1859" s="20"/>
      <c r="Q1859" s="19"/>
    </row>
    <row r="1860" customFormat="false" ht="15" hidden="false" customHeight="false" outlineLevel="0" collapsed="false">
      <c r="A1860" s="10" t="n">
        <v>1854</v>
      </c>
      <c r="B1860" s="12" t="s">
        <v>2889</v>
      </c>
      <c r="C1860" s="12" t="s">
        <v>2890</v>
      </c>
      <c r="D1860" s="13"/>
      <c r="E1860" s="14"/>
      <c r="F1860" s="15" t="str">
        <f aca="false">IF(D1860="","",ROUND((D1860-MIN($D$7:$D$9999))*86400,2))</f>
        <v/>
      </c>
      <c r="G1860" s="10" t="str">
        <f aca="false">IF(D1860="","",IF(D1860&lt;=($E$3*60+$F$3)/86400,"○",""))</f>
        <v/>
      </c>
      <c r="H1860" s="16"/>
      <c r="I1860" s="17"/>
      <c r="J1860" s="16" t="n">
        <v>0.00287581018518519</v>
      </c>
      <c r="K1860" s="17" t="n">
        <v>739</v>
      </c>
      <c r="L1860" s="17" t="n">
        <f aca="false">COUNT(E1860,I1860,K1860)</f>
        <v>1</v>
      </c>
      <c r="M1860" s="18" t="n">
        <f aca="false">(D1860&lt;&gt;"")*(D1860&lt;=($E$3*60+$F$3)/86400)+(H1860&lt;&gt;"")*(H1860&lt;=($I$3*60+$J$3)/86400)+(J1860&lt;&gt;"")*(J1860&lt;=($M$3*60+$N$3)/86400)</f>
        <v>0</v>
      </c>
      <c r="N1860" s="20"/>
      <c r="O1860" s="20"/>
      <c r="P1860" s="20"/>
      <c r="Q1860" s="19"/>
    </row>
    <row r="1861" customFormat="false" ht="15" hidden="false" customHeight="false" outlineLevel="0" collapsed="false">
      <c r="A1861" s="10" t="n">
        <v>1855</v>
      </c>
      <c r="B1861" s="12" t="s">
        <v>2891</v>
      </c>
      <c r="C1861" s="12" t="s">
        <v>2892</v>
      </c>
      <c r="D1861" s="13"/>
      <c r="E1861" s="14"/>
      <c r="F1861" s="15" t="str">
        <f aca="false">IF(D1861="","",ROUND((D1861-MIN($D$7:$D$9999))*86400,2))</f>
        <v/>
      </c>
      <c r="G1861" s="10" t="str">
        <f aca="false">IF(D1861="","",IF(D1861&lt;=($E$3*60+$F$3)/86400,"○",""))</f>
        <v/>
      </c>
      <c r="H1861" s="16" t="n">
        <v>0.00737361111111111</v>
      </c>
      <c r="I1861" s="17" t="n">
        <v>740</v>
      </c>
      <c r="J1861" s="16"/>
      <c r="K1861" s="17"/>
      <c r="L1861" s="17" t="n">
        <f aca="false">COUNT(E1861,I1861,K1861)</f>
        <v>1</v>
      </c>
      <c r="M1861" s="18" t="n">
        <f aca="false">(D1861&lt;&gt;"")*(D1861&lt;=($E$3*60+$F$3)/86400)+(H1861&lt;&gt;"")*(H1861&lt;=($I$3*60+$J$3)/86400)+(J1861&lt;&gt;"")*(J1861&lt;=($M$3*60+$N$3)/86400)</f>
        <v>0</v>
      </c>
      <c r="N1861" s="20"/>
      <c r="O1861" s="20"/>
      <c r="P1861" s="20"/>
      <c r="Q1861" s="19"/>
    </row>
    <row r="1862" customFormat="false" ht="15" hidden="false" customHeight="false" outlineLevel="0" collapsed="false">
      <c r="A1862" s="10" t="n">
        <v>1856</v>
      </c>
      <c r="B1862" s="12" t="s">
        <v>2893</v>
      </c>
      <c r="C1862" s="12" t="s">
        <v>2894</v>
      </c>
      <c r="D1862" s="13"/>
      <c r="E1862" s="14"/>
      <c r="F1862" s="15" t="str">
        <f aca="false">IF(D1862="","",ROUND((D1862-MIN($D$7:$D$9999))*86400,2))</f>
        <v/>
      </c>
      <c r="G1862" s="10" t="str">
        <f aca="false">IF(D1862="","",IF(D1862&lt;=($E$3*60+$F$3)/86400,"○",""))</f>
        <v/>
      </c>
      <c r="H1862" s="16"/>
      <c r="I1862" s="17"/>
      <c r="J1862" s="16" t="n">
        <v>0.00287592592592593</v>
      </c>
      <c r="K1862" s="17" t="n">
        <v>740</v>
      </c>
      <c r="L1862" s="17" t="n">
        <f aca="false">COUNT(E1862,I1862,K1862)</f>
        <v>1</v>
      </c>
      <c r="M1862" s="18" t="n">
        <f aca="false">(D1862&lt;&gt;"")*(D1862&lt;=($E$3*60+$F$3)/86400)+(H1862&lt;&gt;"")*(H1862&lt;=($I$3*60+$J$3)/86400)+(J1862&lt;&gt;"")*(J1862&lt;=($M$3*60+$N$3)/86400)</f>
        <v>0</v>
      </c>
      <c r="N1862" s="20" t="s">
        <v>1020</v>
      </c>
      <c r="O1862" s="20"/>
      <c r="P1862" s="20"/>
      <c r="Q1862" s="19"/>
    </row>
    <row r="1863" customFormat="false" ht="15" hidden="false" customHeight="false" outlineLevel="0" collapsed="false">
      <c r="A1863" s="10" t="n">
        <v>1857</v>
      </c>
      <c r="B1863" s="12" t="s">
        <v>2895</v>
      </c>
      <c r="C1863" s="12" t="s">
        <v>1063</v>
      </c>
      <c r="D1863" s="13"/>
      <c r="E1863" s="14"/>
      <c r="F1863" s="15" t="str">
        <f aca="false">IF(D1863="","",ROUND((D1863-MIN($D$7:$D$9999))*86400,2))</f>
        <v/>
      </c>
      <c r="G1863" s="10" t="str">
        <f aca="false">IF(D1863="","",IF(D1863&lt;=($E$3*60+$F$3)/86400,"○",""))</f>
        <v/>
      </c>
      <c r="H1863" s="16" t="n">
        <v>0.00737418981481482</v>
      </c>
      <c r="I1863" s="17" t="n">
        <v>741</v>
      </c>
      <c r="J1863" s="16"/>
      <c r="K1863" s="17"/>
      <c r="L1863" s="17" t="n">
        <f aca="false">COUNT(E1863,I1863,K1863)</f>
        <v>1</v>
      </c>
      <c r="M1863" s="18" t="n">
        <f aca="false">(D1863&lt;&gt;"")*(D1863&lt;=($E$3*60+$F$3)/86400)+(H1863&lt;&gt;"")*(H1863&lt;=($I$3*60+$J$3)/86400)+(J1863&lt;&gt;"")*(J1863&lt;=($M$3*60+$N$3)/86400)</f>
        <v>0</v>
      </c>
      <c r="N1863" s="20"/>
      <c r="O1863" s="20"/>
      <c r="P1863" s="20"/>
      <c r="Q1863" s="19"/>
    </row>
    <row r="1864" customFormat="false" ht="15" hidden="false" customHeight="false" outlineLevel="0" collapsed="false">
      <c r="A1864" s="10" t="n">
        <v>1858</v>
      </c>
      <c r="B1864" s="12" t="s">
        <v>2896</v>
      </c>
      <c r="C1864" s="12" t="s">
        <v>2897</v>
      </c>
      <c r="D1864" s="13"/>
      <c r="E1864" s="14"/>
      <c r="F1864" s="15" t="str">
        <f aca="false">IF(D1864="","",ROUND((D1864-MIN($D$7:$D$9999))*86400,2))</f>
        <v/>
      </c>
      <c r="G1864" s="10" t="str">
        <f aca="false">IF(D1864="","",IF(D1864&lt;=($E$3*60+$F$3)/86400,"○",""))</f>
        <v/>
      </c>
      <c r="H1864" s="16" t="n">
        <v>0.00737453703703704</v>
      </c>
      <c r="I1864" s="17" t="n">
        <v>742</v>
      </c>
      <c r="J1864" s="16"/>
      <c r="K1864" s="17"/>
      <c r="L1864" s="17" t="n">
        <f aca="false">COUNT(E1864,I1864,K1864)</f>
        <v>1</v>
      </c>
      <c r="M1864" s="18" t="n">
        <f aca="false">(D1864&lt;&gt;"")*(D1864&lt;=($E$3*60+$F$3)/86400)+(H1864&lt;&gt;"")*(H1864&lt;=($I$3*60+$J$3)/86400)+(J1864&lt;&gt;"")*(J1864&lt;=($M$3*60+$N$3)/86400)</f>
        <v>0</v>
      </c>
      <c r="N1864" s="20"/>
      <c r="O1864" s="20"/>
      <c r="P1864" s="20"/>
      <c r="Q1864" s="19"/>
    </row>
    <row r="1865" customFormat="false" ht="15" hidden="false" customHeight="false" outlineLevel="0" collapsed="false">
      <c r="A1865" s="10" t="n">
        <v>1859</v>
      </c>
      <c r="B1865" s="12" t="s">
        <v>2898</v>
      </c>
      <c r="C1865" s="12" t="s">
        <v>2899</v>
      </c>
      <c r="D1865" s="13"/>
      <c r="E1865" s="14"/>
      <c r="F1865" s="15" t="str">
        <f aca="false">IF(D1865="","",ROUND((D1865-MIN($D$7:$D$9999))*86400,2))</f>
        <v/>
      </c>
      <c r="G1865" s="10" t="str">
        <f aca="false">IF(D1865="","",IF(D1865&lt;=($E$3*60+$F$3)/86400,"○",""))</f>
        <v/>
      </c>
      <c r="H1865" s="16"/>
      <c r="I1865" s="17"/>
      <c r="J1865" s="16" t="n">
        <v>0.00287638888888889</v>
      </c>
      <c r="K1865" s="17" t="n">
        <v>742</v>
      </c>
      <c r="L1865" s="17" t="n">
        <f aca="false">COUNT(E1865,I1865,K1865)</f>
        <v>1</v>
      </c>
      <c r="M1865" s="18" t="n">
        <f aca="false">(D1865&lt;&gt;"")*(D1865&lt;=($E$3*60+$F$3)/86400)+(H1865&lt;&gt;"")*(H1865&lt;=($I$3*60+$J$3)/86400)+(J1865&lt;&gt;"")*(J1865&lt;=($M$3*60+$N$3)/86400)</f>
        <v>0</v>
      </c>
      <c r="N1865" s="20"/>
      <c r="O1865" s="20"/>
      <c r="P1865" s="20"/>
      <c r="Q1865" s="19"/>
    </row>
    <row r="1866" customFormat="false" ht="15" hidden="false" customHeight="false" outlineLevel="0" collapsed="false">
      <c r="A1866" s="10" t="n">
        <v>1860</v>
      </c>
      <c r="B1866" s="12" t="s">
        <v>2900</v>
      </c>
      <c r="C1866" s="12" t="s">
        <v>2901</v>
      </c>
      <c r="D1866" s="13"/>
      <c r="E1866" s="14"/>
      <c r="F1866" s="15" t="str">
        <f aca="false">IF(D1866="","",ROUND((D1866-MIN($D$7:$D$9999))*86400,2))</f>
        <v/>
      </c>
      <c r="G1866" s="10" t="str">
        <f aca="false">IF(D1866="","",IF(D1866&lt;=($E$3*60+$F$3)/86400,"○",""))</f>
        <v/>
      </c>
      <c r="H1866" s="16" t="n">
        <v>0.00737662037037037</v>
      </c>
      <c r="I1866" s="17" t="n">
        <v>744</v>
      </c>
      <c r="J1866" s="16"/>
      <c r="K1866" s="17"/>
      <c r="L1866" s="17" t="n">
        <f aca="false">COUNT(E1866,I1866,K1866)</f>
        <v>1</v>
      </c>
      <c r="M1866" s="18" t="n">
        <f aca="false">(D1866&lt;&gt;"")*(D1866&lt;=($E$3*60+$F$3)/86400)+(H1866&lt;&gt;"")*(H1866&lt;=($I$3*60+$J$3)/86400)+(J1866&lt;&gt;"")*(J1866&lt;=($M$3*60+$N$3)/86400)</f>
        <v>0</v>
      </c>
      <c r="N1866" s="20"/>
      <c r="O1866" s="20"/>
      <c r="P1866" s="20"/>
      <c r="Q1866" s="19"/>
    </row>
    <row r="1867" customFormat="false" ht="15" hidden="false" customHeight="false" outlineLevel="0" collapsed="false">
      <c r="A1867" s="10" t="n">
        <v>1861</v>
      </c>
      <c r="B1867" s="12" t="s">
        <v>2902</v>
      </c>
      <c r="C1867" s="12" t="s">
        <v>2903</v>
      </c>
      <c r="D1867" s="13"/>
      <c r="E1867" s="14"/>
      <c r="F1867" s="15" t="str">
        <f aca="false">IF(D1867="","",ROUND((D1867-MIN($D$7:$D$9999))*86400,2))</f>
        <v/>
      </c>
      <c r="G1867" s="10" t="str">
        <f aca="false">IF(D1867="","",IF(D1867&lt;=($E$3*60+$F$3)/86400,"○",""))</f>
        <v/>
      </c>
      <c r="H1867" s="16"/>
      <c r="I1867" s="17"/>
      <c r="J1867" s="16" t="n">
        <v>0.00287673611111111</v>
      </c>
      <c r="K1867" s="17" t="n">
        <v>744</v>
      </c>
      <c r="L1867" s="17" t="n">
        <f aca="false">COUNT(E1867,I1867,K1867)</f>
        <v>1</v>
      </c>
      <c r="M1867" s="18" t="n">
        <f aca="false">(D1867&lt;&gt;"")*(D1867&lt;=($E$3*60+$F$3)/86400)+(H1867&lt;&gt;"")*(H1867&lt;=($I$3*60+$J$3)/86400)+(J1867&lt;&gt;"")*(J1867&lt;=($M$3*60+$N$3)/86400)</f>
        <v>0</v>
      </c>
      <c r="N1867" s="20"/>
      <c r="O1867" s="20"/>
      <c r="P1867" s="20"/>
      <c r="Q1867" s="19"/>
    </row>
    <row r="1868" customFormat="false" ht="15" hidden="false" customHeight="false" outlineLevel="0" collapsed="false">
      <c r="A1868" s="10" t="n">
        <v>1862</v>
      </c>
      <c r="B1868" s="12" t="s">
        <v>2904</v>
      </c>
      <c r="C1868" s="12" t="s">
        <v>323</v>
      </c>
      <c r="D1868" s="13"/>
      <c r="E1868" s="14"/>
      <c r="F1868" s="15" t="str">
        <f aca="false">IF(D1868="","",ROUND((D1868-MIN($D$7:$D$9999))*86400,2))</f>
        <v/>
      </c>
      <c r="G1868" s="10" t="str">
        <f aca="false">IF(D1868="","",IF(D1868&lt;=($E$3*60+$F$3)/86400,"○",""))</f>
        <v/>
      </c>
      <c r="H1868" s="16" t="n">
        <v>0.00737662037037037</v>
      </c>
      <c r="I1868" s="17" t="n">
        <v>745</v>
      </c>
      <c r="J1868" s="16"/>
      <c r="K1868" s="17"/>
      <c r="L1868" s="17" t="n">
        <f aca="false">COUNT(E1868,I1868,K1868)</f>
        <v>1</v>
      </c>
      <c r="M1868" s="18" t="n">
        <f aca="false">(D1868&lt;&gt;"")*(D1868&lt;=($E$3*60+$F$3)/86400)+(H1868&lt;&gt;"")*(H1868&lt;=($I$3*60+$J$3)/86400)+(J1868&lt;&gt;"")*(J1868&lt;=($M$3*60+$N$3)/86400)</f>
        <v>0</v>
      </c>
      <c r="N1868" s="20"/>
      <c r="O1868" s="20"/>
      <c r="P1868" s="20"/>
      <c r="Q1868" s="19"/>
    </row>
    <row r="1869" customFormat="false" ht="15" hidden="false" customHeight="false" outlineLevel="0" collapsed="false">
      <c r="A1869" s="10" t="n">
        <v>1863</v>
      </c>
      <c r="B1869" s="12" t="s">
        <v>2905</v>
      </c>
      <c r="C1869" s="12" t="s">
        <v>2906</v>
      </c>
      <c r="D1869" s="13"/>
      <c r="E1869" s="14"/>
      <c r="F1869" s="15" t="str">
        <f aca="false">IF(D1869="","",ROUND((D1869-MIN($D$7:$D$9999))*86400,2))</f>
        <v/>
      </c>
      <c r="G1869" s="10" t="str">
        <f aca="false">IF(D1869="","",IF(D1869&lt;=($E$3*60+$F$3)/86400,"○",""))</f>
        <v/>
      </c>
      <c r="H1869" s="16" t="n">
        <v>0.00737673611111111</v>
      </c>
      <c r="I1869" s="17" t="n">
        <v>746</v>
      </c>
      <c r="J1869" s="16"/>
      <c r="K1869" s="17"/>
      <c r="L1869" s="17" t="n">
        <f aca="false">COUNT(E1869,I1869,K1869)</f>
        <v>1</v>
      </c>
      <c r="M1869" s="18" t="n">
        <f aca="false">(D1869&lt;&gt;"")*(D1869&lt;=($E$3*60+$F$3)/86400)+(H1869&lt;&gt;"")*(H1869&lt;=($I$3*60+$J$3)/86400)+(J1869&lt;&gt;"")*(J1869&lt;=($M$3*60+$N$3)/86400)</f>
        <v>0</v>
      </c>
      <c r="N1869" s="20"/>
      <c r="O1869" s="20"/>
      <c r="P1869" s="20"/>
      <c r="Q1869" s="19"/>
    </row>
    <row r="1870" customFormat="false" ht="15" hidden="false" customHeight="false" outlineLevel="0" collapsed="false">
      <c r="A1870" s="10" t="n">
        <v>1864</v>
      </c>
      <c r="B1870" s="12" t="s">
        <v>2907</v>
      </c>
      <c r="C1870" s="12" t="s">
        <v>488</v>
      </c>
      <c r="D1870" s="13"/>
      <c r="E1870" s="14"/>
      <c r="F1870" s="15" t="str">
        <f aca="false">IF(D1870="","",ROUND((D1870-MIN($D$7:$D$9999))*86400,2))</f>
        <v/>
      </c>
      <c r="G1870" s="10" t="str">
        <f aca="false">IF(D1870="","",IF(D1870&lt;=($E$3*60+$F$3)/86400,"○",""))</f>
        <v/>
      </c>
      <c r="H1870" s="16" t="n">
        <v>0.00737824074074074</v>
      </c>
      <c r="I1870" s="17" t="n">
        <v>747</v>
      </c>
      <c r="J1870" s="16"/>
      <c r="K1870" s="17"/>
      <c r="L1870" s="17" t="n">
        <f aca="false">COUNT(E1870,I1870,K1870)</f>
        <v>1</v>
      </c>
      <c r="M1870" s="18" t="n">
        <f aca="false">(D1870&lt;&gt;"")*(D1870&lt;=($E$3*60+$F$3)/86400)+(H1870&lt;&gt;"")*(H1870&lt;=($I$3*60+$J$3)/86400)+(J1870&lt;&gt;"")*(J1870&lt;=($M$3*60+$N$3)/86400)</f>
        <v>0</v>
      </c>
      <c r="N1870" s="20"/>
      <c r="O1870" s="20"/>
      <c r="P1870" s="20"/>
      <c r="Q1870" s="19"/>
    </row>
    <row r="1871" customFormat="false" ht="15" hidden="false" customHeight="false" outlineLevel="0" collapsed="false">
      <c r="A1871" s="10" t="n">
        <v>1865</v>
      </c>
      <c r="B1871" s="12" t="s">
        <v>2908</v>
      </c>
      <c r="C1871" s="12" t="s">
        <v>2909</v>
      </c>
      <c r="D1871" s="13"/>
      <c r="E1871" s="14"/>
      <c r="F1871" s="15" t="str">
        <f aca="false">IF(D1871="","",ROUND((D1871-MIN($D$7:$D$9999))*86400,2))</f>
        <v/>
      </c>
      <c r="G1871" s="10" t="str">
        <f aca="false">IF(D1871="","",IF(D1871&lt;=($E$3*60+$F$3)/86400,"○",""))</f>
        <v/>
      </c>
      <c r="H1871" s="16" t="n">
        <v>0.00737824074074074</v>
      </c>
      <c r="I1871" s="17" t="n">
        <v>748</v>
      </c>
      <c r="J1871" s="16"/>
      <c r="K1871" s="17"/>
      <c r="L1871" s="17" t="n">
        <f aca="false">COUNT(E1871,I1871,K1871)</f>
        <v>1</v>
      </c>
      <c r="M1871" s="18" t="n">
        <f aca="false">(D1871&lt;&gt;"")*(D1871&lt;=($E$3*60+$F$3)/86400)+(H1871&lt;&gt;"")*(H1871&lt;=($I$3*60+$J$3)/86400)+(J1871&lt;&gt;"")*(J1871&lt;=($M$3*60+$N$3)/86400)</f>
        <v>0</v>
      </c>
      <c r="N1871" s="20"/>
      <c r="O1871" s="20"/>
      <c r="P1871" s="20"/>
      <c r="Q1871" s="19"/>
    </row>
    <row r="1872" customFormat="false" ht="15" hidden="false" customHeight="false" outlineLevel="0" collapsed="false">
      <c r="A1872" s="10" t="n">
        <v>1866</v>
      </c>
      <c r="B1872" s="12" t="s">
        <v>2910</v>
      </c>
      <c r="C1872" s="12" t="s">
        <v>2911</v>
      </c>
      <c r="D1872" s="13"/>
      <c r="E1872" s="14"/>
      <c r="F1872" s="15" t="str">
        <f aca="false">IF(D1872="","",ROUND((D1872-MIN($D$7:$D$9999))*86400,2))</f>
        <v/>
      </c>
      <c r="G1872" s="10" t="str">
        <f aca="false">IF(D1872="","",IF(D1872&lt;=($E$3*60+$F$3)/86400,"○",""))</f>
        <v/>
      </c>
      <c r="H1872" s="16"/>
      <c r="I1872" s="17"/>
      <c r="J1872" s="16" t="n">
        <v>0.00287708333333333</v>
      </c>
      <c r="K1872" s="17" t="n">
        <v>748</v>
      </c>
      <c r="L1872" s="17" t="n">
        <f aca="false">COUNT(E1872,I1872,K1872)</f>
        <v>1</v>
      </c>
      <c r="M1872" s="18" t="n">
        <f aca="false">(D1872&lt;&gt;"")*(D1872&lt;=($E$3*60+$F$3)/86400)+(H1872&lt;&gt;"")*(H1872&lt;=($I$3*60+$J$3)/86400)+(J1872&lt;&gt;"")*(J1872&lt;=($M$3*60+$N$3)/86400)</f>
        <v>0</v>
      </c>
      <c r="N1872" s="20"/>
      <c r="O1872" s="20"/>
      <c r="P1872" s="20"/>
      <c r="Q1872" s="19"/>
    </row>
    <row r="1873" customFormat="false" ht="15" hidden="false" customHeight="false" outlineLevel="0" collapsed="false">
      <c r="A1873" s="10" t="n">
        <v>1867</v>
      </c>
      <c r="B1873" s="12" t="s">
        <v>2912</v>
      </c>
      <c r="C1873" s="12" t="s">
        <v>389</v>
      </c>
      <c r="D1873" s="13"/>
      <c r="E1873" s="14"/>
      <c r="F1873" s="15" t="str">
        <f aca="false">IF(D1873="","",ROUND((D1873-MIN($D$7:$D$9999))*86400,2))</f>
        <v/>
      </c>
      <c r="G1873" s="10" t="str">
        <f aca="false">IF(D1873="","",IF(D1873&lt;=($E$3*60+$F$3)/86400,"○",""))</f>
        <v/>
      </c>
      <c r="H1873" s="16" t="n">
        <v>0.00737881944444444</v>
      </c>
      <c r="I1873" s="17" t="n">
        <v>749</v>
      </c>
      <c r="J1873" s="16"/>
      <c r="K1873" s="17"/>
      <c r="L1873" s="17" t="n">
        <f aca="false">COUNT(E1873,I1873,K1873)</f>
        <v>1</v>
      </c>
      <c r="M1873" s="18" t="n">
        <f aca="false">(D1873&lt;&gt;"")*(D1873&lt;=($E$3*60+$F$3)/86400)+(H1873&lt;&gt;"")*(H1873&lt;=($I$3*60+$J$3)/86400)+(J1873&lt;&gt;"")*(J1873&lt;=($M$3*60+$N$3)/86400)</f>
        <v>0</v>
      </c>
      <c r="N1873" s="20"/>
      <c r="O1873" s="20"/>
      <c r="P1873" s="20"/>
      <c r="Q1873" s="19"/>
    </row>
    <row r="1874" customFormat="false" ht="15" hidden="false" customHeight="false" outlineLevel="0" collapsed="false">
      <c r="A1874" s="10" t="n">
        <v>1868</v>
      </c>
      <c r="B1874" s="12" t="s">
        <v>2913</v>
      </c>
      <c r="C1874" s="12" t="s">
        <v>2914</v>
      </c>
      <c r="D1874" s="13"/>
      <c r="E1874" s="14"/>
      <c r="F1874" s="15" t="str">
        <f aca="false">IF(D1874="","",ROUND((D1874-MIN($D$7:$D$9999))*86400,2))</f>
        <v/>
      </c>
      <c r="G1874" s="10" t="str">
        <f aca="false">IF(D1874="","",IF(D1874&lt;=($E$3*60+$F$3)/86400,"○",""))</f>
        <v/>
      </c>
      <c r="H1874" s="16" t="n">
        <v>0.00737939814814815</v>
      </c>
      <c r="I1874" s="17" t="n">
        <v>750</v>
      </c>
      <c r="J1874" s="16"/>
      <c r="K1874" s="17"/>
      <c r="L1874" s="17" t="n">
        <f aca="false">COUNT(E1874,I1874,K1874)</f>
        <v>1</v>
      </c>
      <c r="M1874" s="18" t="n">
        <f aca="false">(D1874&lt;&gt;"")*(D1874&lt;=($E$3*60+$F$3)/86400)+(H1874&lt;&gt;"")*(H1874&lt;=($I$3*60+$J$3)/86400)+(J1874&lt;&gt;"")*(J1874&lt;=($M$3*60+$N$3)/86400)</f>
        <v>0</v>
      </c>
      <c r="N1874" s="20"/>
      <c r="O1874" s="20"/>
      <c r="P1874" s="20"/>
      <c r="Q1874" s="19"/>
    </row>
    <row r="1875" customFormat="false" ht="15" hidden="false" customHeight="false" outlineLevel="0" collapsed="false">
      <c r="A1875" s="10" t="n">
        <v>1869</v>
      </c>
      <c r="B1875" s="12" t="s">
        <v>2915</v>
      </c>
      <c r="C1875" s="12" t="s">
        <v>2916</v>
      </c>
      <c r="D1875" s="13"/>
      <c r="E1875" s="14"/>
      <c r="F1875" s="15" t="str">
        <f aca="false">IF(D1875="","",ROUND((D1875-MIN($D$7:$D$9999))*86400,2))</f>
        <v/>
      </c>
      <c r="G1875" s="10" t="str">
        <f aca="false">IF(D1875="","",IF(D1875&lt;=($E$3*60+$F$3)/86400,"○",""))</f>
        <v/>
      </c>
      <c r="H1875" s="16"/>
      <c r="I1875" s="17"/>
      <c r="J1875" s="16" t="n">
        <v>0.00287777777777778</v>
      </c>
      <c r="K1875" s="17" t="n">
        <v>750</v>
      </c>
      <c r="L1875" s="17" t="n">
        <f aca="false">COUNT(E1875,I1875,K1875)</f>
        <v>1</v>
      </c>
      <c r="M1875" s="18" t="n">
        <f aca="false">(D1875&lt;&gt;"")*(D1875&lt;=($E$3*60+$F$3)/86400)+(H1875&lt;&gt;"")*(H1875&lt;=($I$3*60+$J$3)/86400)+(J1875&lt;&gt;"")*(J1875&lt;=($M$3*60+$N$3)/86400)</f>
        <v>0</v>
      </c>
      <c r="N1875" s="20"/>
      <c r="O1875" s="20"/>
      <c r="P1875" s="20"/>
      <c r="Q1875" s="19"/>
    </row>
    <row r="1876" customFormat="false" ht="15" hidden="false" customHeight="false" outlineLevel="0" collapsed="false">
      <c r="A1876" s="10" t="n">
        <v>1870</v>
      </c>
      <c r="B1876" s="12" t="s">
        <v>2917</v>
      </c>
      <c r="C1876" s="12" t="s">
        <v>2918</v>
      </c>
      <c r="D1876" s="13"/>
      <c r="E1876" s="14"/>
      <c r="F1876" s="15" t="str">
        <f aca="false">IF(D1876="","",ROUND((D1876-MIN($D$7:$D$9999))*86400,2))</f>
        <v/>
      </c>
      <c r="G1876" s="10" t="str">
        <f aca="false">IF(D1876="","",IF(D1876&lt;=($E$3*60+$F$3)/86400,"○",""))</f>
        <v/>
      </c>
      <c r="H1876" s="16" t="n">
        <v>0.00737986111111111</v>
      </c>
      <c r="I1876" s="17" t="n">
        <v>751</v>
      </c>
      <c r="J1876" s="16"/>
      <c r="K1876" s="17"/>
      <c r="L1876" s="17" t="n">
        <f aca="false">COUNT(E1876,I1876,K1876)</f>
        <v>1</v>
      </c>
      <c r="M1876" s="18" t="n">
        <f aca="false">(D1876&lt;&gt;"")*(D1876&lt;=($E$3*60+$F$3)/86400)+(H1876&lt;&gt;"")*(H1876&lt;=($I$3*60+$J$3)/86400)+(J1876&lt;&gt;"")*(J1876&lt;=($M$3*60+$N$3)/86400)</f>
        <v>0</v>
      </c>
      <c r="N1876" s="20"/>
      <c r="O1876" s="20"/>
      <c r="P1876" s="20"/>
      <c r="Q1876" s="19"/>
    </row>
    <row r="1877" customFormat="false" ht="15" hidden="false" customHeight="false" outlineLevel="0" collapsed="false">
      <c r="A1877" s="10" t="n">
        <v>1871</v>
      </c>
      <c r="B1877" s="12" t="s">
        <v>2919</v>
      </c>
      <c r="C1877" s="12" t="s">
        <v>1775</v>
      </c>
      <c r="D1877" s="13"/>
      <c r="E1877" s="14"/>
      <c r="F1877" s="15" t="str">
        <f aca="false">IF(D1877="","",ROUND((D1877-MIN($D$7:$D$9999))*86400,2))</f>
        <v/>
      </c>
      <c r="G1877" s="10" t="str">
        <f aca="false">IF(D1877="","",IF(D1877&lt;=($E$3*60+$F$3)/86400,"○",""))</f>
        <v/>
      </c>
      <c r="H1877" s="16" t="n">
        <v>0.00738032407407407</v>
      </c>
      <c r="I1877" s="17" t="n">
        <v>752</v>
      </c>
      <c r="J1877" s="16" t="n">
        <v>0.00289409722222222</v>
      </c>
      <c r="K1877" s="17" t="n">
        <v>905</v>
      </c>
      <c r="L1877" s="17" t="n">
        <f aca="false">COUNT(E1877,I1877,K1877)</f>
        <v>2</v>
      </c>
      <c r="M1877" s="18" t="n">
        <f aca="false">(D1877&lt;&gt;"")*(D1877&lt;=($E$3*60+$F$3)/86400)+(H1877&lt;&gt;"")*(H1877&lt;=($I$3*60+$J$3)/86400)+(J1877&lt;&gt;"")*(J1877&lt;=($M$3*60+$N$3)/86400)</f>
        <v>0</v>
      </c>
      <c r="N1877" s="20"/>
      <c r="O1877" s="20"/>
      <c r="P1877" s="20"/>
      <c r="Q1877" s="19"/>
    </row>
    <row r="1878" customFormat="false" ht="15" hidden="false" customHeight="false" outlineLevel="0" collapsed="false">
      <c r="A1878" s="10" t="n">
        <v>1872</v>
      </c>
      <c r="B1878" s="12" t="s">
        <v>2920</v>
      </c>
      <c r="C1878" s="12" t="s">
        <v>2921</v>
      </c>
      <c r="D1878" s="13"/>
      <c r="E1878" s="14"/>
      <c r="F1878" s="15" t="str">
        <f aca="false">IF(D1878="","",ROUND((D1878-MIN($D$7:$D$9999))*86400,2))</f>
        <v/>
      </c>
      <c r="G1878" s="10" t="str">
        <f aca="false">IF(D1878="","",IF(D1878&lt;=($E$3*60+$F$3)/86400,"○",""))</f>
        <v/>
      </c>
      <c r="H1878" s="16"/>
      <c r="I1878" s="17"/>
      <c r="J1878" s="16" t="n">
        <v>0.00287789351851852</v>
      </c>
      <c r="K1878" s="17" t="n">
        <v>752</v>
      </c>
      <c r="L1878" s="17" t="n">
        <f aca="false">COUNT(E1878,I1878,K1878)</f>
        <v>1</v>
      </c>
      <c r="M1878" s="18" t="n">
        <f aca="false">(D1878&lt;&gt;"")*(D1878&lt;=($E$3*60+$F$3)/86400)+(H1878&lt;&gt;"")*(H1878&lt;=($I$3*60+$J$3)/86400)+(J1878&lt;&gt;"")*(J1878&lt;=($M$3*60+$N$3)/86400)</f>
        <v>0</v>
      </c>
      <c r="N1878" s="20"/>
      <c r="O1878" s="20"/>
      <c r="P1878" s="20"/>
      <c r="Q1878" s="19"/>
    </row>
    <row r="1879" customFormat="false" ht="15" hidden="false" customHeight="false" outlineLevel="0" collapsed="false">
      <c r="A1879" s="10" t="n">
        <v>1873</v>
      </c>
      <c r="B1879" s="12" t="s">
        <v>2922</v>
      </c>
      <c r="C1879" s="12" t="s">
        <v>2923</v>
      </c>
      <c r="D1879" s="13"/>
      <c r="E1879" s="14"/>
      <c r="F1879" s="15" t="str">
        <f aca="false">IF(D1879="","",ROUND((D1879-MIN($D$7:$D$9999))*86400,2))</f>
        <v/>
      </c>
      <c r="G1879" s="10" t="str">
        <f aca="false">IF(D1879="","",IF(D1879&lt;=($E$3*60+$F$3)/86400,"○",""))</f>
        <v/>
      </c>
      <c r="H1879" s="16" t="n">
        <v>0.00738055555555556</v>
      </c>
      <c r="I1879" s="17" t="n">
        <v>753</v>
      </c>
      <c r="J1879" s="16"/>
      <c r="K1879" s="17"/>
      <c r="L1879" s="17" t="n">
        <f aca="false">COUNT(E1879,I1879,K1879)</f>
        <v>1</v>
      </c>
      <c r="M1879" s="18" t="n">
        <f aca="false">(D1879&lt;&gt;"")*(D1879&lt;=($E$3*60+$F$3)/86400)+(H1879&lt;&gt;"")*(H1879&lt;=($I$3*60+$J$3)/86400)+(J1879&lt;&gt;"")*(J1879&lt;=($M$3*60+$N$3)/86400)</f>
        <v>0</v>
      </c>
      <c r="N1879" s="20"/>
      <c r="O1879" s="20"/>
      <c r="P1879" s="20"/>
      <c r="Q1879" s="19"/>
    </row>
    <row r="1880" customFormat="false" ht="15" hidden="false" customHeight="false" outlineLevel="0" collapsed="false">
      <c r="A1880" s="10" t="n">
        <v>1874</v>
      </c>
      <c r="B1880" s="12" t="s">
        <v>2924</v>
      </c>
      <c r="C1880" s="12" t="s">
        <v>2925</v>
      </c>
      <c r="D1880" s="13"/>
      <c r="E1880" s="14"/>
      <c r="F1880" s="15" t="str">
        <f aca="false">IF(D1880="","",ROUND((D1880-MIN($D$7:$D$9999))*86400,2))</f>
        <v/>
      </c>
      <c r="G1880" s="10" t="str">
        <f aca="false">IF(D1880="","",IF(D1880&lt;=($E$3*60+$F$3)/86400,"○",""))</f>
        <v/>
      </c>
      <c r="H1880" s="16" t="n">
        <v>0.00738090277777778</v>
      </c>
      <c r="I1880" s="17" t="n">
        <v>754</v>
      </c>
      <c r="J1880" s="16"/>
      <c r="K1880" s="17"/>
      <c r="L1880" s="17" t="n">
        <f aca="false">COUNT(E1880,I1880,K1880)</f>
        <v>1</v>
      </c>
      <c r="M1880" s="18" t="n">
        <f aca="false">(D1880&lt;&gt;"")*(D1880&lt;=($E$3*60+$F$3)/86400)+(H1880&lt;&gt;"")*(H1880&lt;=($I$3*60+$J$3)/86400)+(J1880&lt;&gt;"")*(J1880&lt;=($M$3*60+$N$3)/86400)</f>
        <v>0</v>
      </c>
      <c r="N1880" s="20"/>
      <c r="O1880" s="20"/>
      <c r="P1880" s="20"/>
      <c r="Q1880" s="19"/>
    </row>
    <row r="1881" customFormat="false" ht="15" hidden="false" customHeight="false" outlineLevel="0" collapsed="false">
      <c r="A1881" s="10" t="n">
        <v>1875</v>
      </c>
      <c r="B1881" s="12" t="s">
        <v>2926</v>
      </c>
      <c r="C1881" s="12" t="s">
        <v>2927</v>
      </c>
      <c r="D1881" s="13"/>
      <c r="E1881" s="14"/>
      <c r="F1881" s="15" t="str">
        <f aca="false">IF(D1881="","",ROUND((D1881-MIN($D$7:$D$9999))*86400,2))</f>
        <v/>
      </c>
      <c r="G1881" s="10" t="str">
        <f aca="false">IF(D1881="","",IF(D1881&lt;=($E$3*60+$F$3)/86400,"○",""))</f>
        <v/>
      </c>
      <c r="H1881" s="16"/>
      <c r="I1881" s="17"/>
      <c r="J1881" s="16" t="n">
        <v>0.002878125</v>
      </c>
      <c r="K1881" s="17" t="n">
        <v>754</v>
      </c>
      <c r="L1881" s="17" t="n">
        <f aca="false">COUNT(E1881,I1881,K1881)</f>
        <v>1</v>
      </c>
      <c r="M1881" s="18" t="n">
        <f aca="false">(D1881&lt;&gt;"")*(D1881&lt;=($E$3*60+$F$3)/86400)+(H1881&lt;&gt;"")*(H1881&lt;=($I$3*60+$J$3)/86400)+(J1881&lt;&gt;"")*(J1881&lt;=($M$3*60+$N$3)/86400)</f>
        <v>0</v>
      </c>
      <c r="N1881" s="20"/>
      <c r="O1881" s="20"/>
      <c r="P1881" s="20"/>
      <c r="Q1881" s="19"/>
    </row>
    <row r="1882" customFormat="false" ht="15" hidden="false" customHeight="false" outlineLevel="0" collapsed="false">
      <c r="A1882" s="10" t="n">
        <v>1876</v>
      </c>
      <c r="B1882" s="12" t="s">
        <v>2928</v>
      </c>
      <c r="C1882" s="12" t="s">
        <v>575</v>
      </c>
      <c r="D1882" s="13"/>
      <c r="E1882" s="14"/>
      <c r="F1882" s="15" t="str">
        <f aca="false">IF(D1882="","",ROUND((D1882-MIN($D$7:$D$9999))*86400,2))</f>
        <v/>
      </c>
      <c r="G1882" s="10" t="str">
        <f aca="false">IF(D1882="","",IF(D1882&lt;=($E$3*60+$F$3)/86400,"○",""))</f>
        <v/>
      </c>
      <c r="H1882" s="16" t="n">
        <v>0.00738402777777778</v>
      </c>
      <c r="I1882" s="17" t="n">
        <v>755</v>
      </c>
      <c r="J1882" s="16"/>
      <c r="K1882" s="17"/>
      <c r="L1882" s="17" t="n">
        <f aca="false">COUNT(E1882,I1882,K1882)</f>
        <v>1</v>
      </c>
      <c r="M1882" s="18" t="n">
        <f aca="false">(D1882&lt;&gt;"")*(D1882&lt;=($E$3*60+$F$3)/86400)+(H1882&lt;&gt;"")*(H1882&lt;=($I$3*60+$J$3)/86400)+(J1882&lt;&gt;"")*(J1882&lt;=($M$3*60+$N$3)/86400)</f>
        <v>0</v>
      </c>
      <c r="N1882" s="20"/>
      <c r="O1882" s="20"/>
      <c r="P1882" s="20"/>
      <c r="Q1882" s="19"/>
    </row>
    <row r="1883" customFormat="false" ht="15" hidden="false" customHeight="false" outlineLevel="0" collapsed="false">
      <c r="A1883" s="10" t="n">
        <v>1877</v>
      </c>
      <c r="B1883" s="12" t="s">
        <v>2929</v>
      </c>
      <c r="C1883" s="12" t="s">
        <v>2930</v>
      </c>
      <c r="D1883" s="13"/>
      <c r="E1883" s="14"/>
      <c r="F1883" s="15" t="str">
        <f aca="false">IF(D1883="","",ROUND((D1883-MIN($D$7:$D$9999))*86400,2))</f>
        <v/>
      </c>
      <c r="G1883" s="10" t="str">
        <f aca="false">IF(D1883="","",IF(D1883&lt;=($E$3*60+$F$3)/86400,"○",""))</f>
        <v/>
      </c>
      <c r="H1883" s="16" t="n">
        <v>0.00738414351851852</v>
      </c>
      <c r="I1883" s="17" t="n">
        <v>756</v>
      </c>
      <c r="J1883" s="16"/>
      <c r="K1883" s="17"/>
      <c r="L1883" s="17" t="n">
        <f aca="false">COUNT(E1883,I1883,K1883)</f>
        <v>1</v>
      </c>
      <c r="M1883" s="18" t="n">
        <f aca="false">(D1883&lt;&gt;"")*(D1883&lt;=($E$3*60+$F$3)/86400)+(H1883&lt;&gt;"")*(H1883&lt;=($I$3*60+$J$3)/86400)+(J1883&lt;&gt;"")*(J1883&lt;=($M$3*60+$N$3)/86400)</f>
        <v>0</v>
      </c>
      <c r="N1883" s="20"/>
      <c r="O1883" s="20"/>
      <c r="P1883" s="20"/>
      <c r="Q1883" s="19"/>
    </row>
    <row r="1884" customFormat="false" ht="15" hidden="false" customHeight="false" outlineLevel="0" collapsed="false">
      <c r="A1884" s="10" t="n">
        <v>1878</v>
      </c>
      <c r="B1884" s="12" t="s">
        <v>2931</v>
      </c>
      <c r="C1884" s="12" t="s">
        <v>2932</v>
      </c>
      <c r="D1884" s="13"/>
      <c r="E1884" s="14"/>
      <c r="F1884" s="15" t="str">
        <f aca="false">IF(D1884="","",ROUND((D1884-MIN($D$7:$D$9999))*86400,2))</f>
        <v/>
      </c>
      <c r="G1884" s="10" t="str">
        <f aca="false">IF(D1884="","",IF(D1884&lt;=($E$3*60+$F$3)/86400,"○",""))</f>
        <v/>
      </c>
      <c r="H1884" s="16" t="n">
        <v>0.00739236111111111</v>
      </c>
      <c r="I1884" s="17" t="n">
        <v>757</v>
      </c>
      <c r="J1884" s="16"/>
      <c r="K1884" s="17"/>
      <c r="L1884" s="17" t="n">
        <f aca="false">COUNT(E1884,I1884,K1884)</f>
        <v>1</v>
      </c>
      <c r="M1884" s="18" t="n">
        <f aca="false">(D1884&lt;&gt;"")*(D1884&lt;=($E$3*60+$F$3)/86400)+(H1884&lt;&gt;"")*(H1884&lt;=($I$3*60+$J$3)/86400)+(J1884&lt;&gt;"")*(J1884&lt;=($M$3*60+$N$3)/86400)</f>
        <v>0</v>
      </c>
      <c r="N1884" s="20"/>
      <c r="O1884" s="20"/>
      <c r="P1884" s="12" t="s">
        <v>2933</v>
      </c>
      <c r="Q1884" s="19"/>
    </row>
    <row r="1885" customFormat="false" ht="15" hidden="false" customHeight="false" outlineLevel="0" collapsed="false">
      <c r="A1885" s="10" t="n">
        <v>1879</v>
      </c>
      <c r="B1885" s="12" t="s">
        <v>2934</v>
      </c>
      <c r="C1885" s="12" t="s">
        <v>2467</v>
      </c>
      <c r="D1885" s="13"/>
      <c r="E1885" s="14"/>
      <c r="F1885" s="15" t="str">
        <f aca="false">IF(D1885="","",ROUND((D1885-MIN($D$7:$D$9999))*86400,2))</f>
        <v/>
      </c>
      <c r="G1885" s="10" t="str">
        <f aca="false">IF(D1885="","",IF(D1885&lt;=($E$3*60+$F$3)/86400,"○",""))</f>
        <v/>
      </c>
      <c r="H1885" s="16" t="n">
        <v>0.00738599537037037</v>
      </c>
      <c r="I1885" s="17" t="n">
        <v>758</v>
      </c>
      <c r="J1885" s="16"/>
      <c r="K1885" s="17"/>
      <c r="L1885" s="17" t="n">
        <f aca="false">COUNT(E1885,I1885,K1885)</f>
        <v>1</v>
      </c>
      <c r="M1885" s="18" t="n">
        <f aca="false">(D1885&lt;&gt;"")*(D1885&lt;=($E$3*60+$F$3)/86400)+(H1885&lt;&gt;"")*(H1885&lt;=($I$3*60+$J$3)/86400)+(J1885&lt;&gt;"")*(J1885&lt;=($M$3*60+$N$3)/86400)</f>
        <v>0</v>
      </c>
      <c r="N1885" s="20"/>
      <c r="O1885" s="20"/>
      <c r="P1885" s="20"/>
      <c r="Q1885" s="19"/>
    </row>
    <row r="1886" customFormat="false" ht="15" hidden="false" customHeight="false" outlineLevel="0" collapsed="false">
      <c r="A1886" s="10" t="n">
        <v>1880</v>
      </c>
      <c r="B1886" s="12" t="s">
        <v>2935</v>
      </c>
      <c r="C1886" s="12" t="s">
        <v>2936</v>
      </c>
      <c r="D1886" s="13"/>
      <c r="E1886" s="14"/>
      <c r="F1886" s="15" t="str">
        <f aca="false">IF(D1886="","",ROUND((D1886-MIN($D$7:$D$9999))*86400,2))</f>
        <v/>
      </c>
      <c r="G1886" s="10" t="str">
        <f aca="false">IF(D1886="","",IF(D1886&lt;=($E$3*60+$F$3)/86400,"○",""))</f>
        <v/>
      </c>
      <c r="H1886" s="16"/>
      <c r="I1886" s="17"/>
      <c r="J1886" s="16" t="n">
        <v>0.00287847222222222</v>
      </c>
      <c r="K1886" s="17" t="n">
        <v>758</v>
      </c>
      <c r="L1886" s="17" t="n">
        <f aca="false">COUNT(E1886,I1886,K1886)</f>
        <v>1</v>
      </c>
      <c r="M1886" s="18" t="n">
        <f aca="false">(D1886&lt;&gt;"")*(D1886&lt;=($E$3*60+$F$3)/86400)+(H1886&lt;&gt;"")*(H1886&lt;=($I$3*60+$J$3)/86400)+(J1886&lt;&gt;"")*(J1886&lt;=($M$3*60+$N$3)/86400)</f>
        <v>0</v>
      </c>
      <c r="N1886" s="20"/>
      <c r="O1886" s="20"/>
      <c r="P1886" s="20"/>
      <c r="Q1886" s="19"/>
    </row>
    <row r="1887" customFormat="false" ht="15" hidden="false" customHeight="false" outlineLevel="0" collapsed="false">
      <c r="A1887" s="10" t="n">
        <v>1881</v>
      </c>
      <c r="B1887" s="12" t="s">
        <v>2937</v>
      </c>
      <c r="C1887" s="12" t="s">
        <v>2938</v>
      </c>
      <c r="D1887" s="13"/>
      <c r="E1887" s="14"/>
      <c r="F1887" s="15" t="str">
        <f aca="false">IF(D1887="","",ROUND((D1887-MIN($D$7:$D$9999))*86400,2))</f>
        <v/>
      </c>
      <c r="G1887" s="10" t="str">
        <f aca="false">IF(D1887="","",IF(D1887&lt;=($E$3*60+$F$3)/86400,"○",""))</f>
        <v/>
      </c>
      <c r="H1887" s="16" t="n">
        <v>0.00738912037037037</v>
      </c>
      <c r="I1887" s="17" t="n">
        <v>759</v>
      </c>
      <c r="J1887" s="16"/>
      <c r="K1887" s="17"/>
      <c r="L1887" s="17" t="n">
        <f aca="false">COUNT(E1887,I1887,K1887)</f>
        <v>1</v>
      </c>
      <c r="M1887" s="18" t="n">
        <f aca="false">(D1887&lt;&gt;"")*(D1887&lt;=($E$3*60+$F$3)/86400)+(H1887&lt;&gt;"")*(H1887&lt;=($I$3*60+$J$3)/86400)+(J1887&lt;&gt;"")*(J1887&lt;=($M$3*60+$N$3)/86400)</f>
        <v>0</v>
      </c>
      <c r="N1887" s="20"/>
      <c r="O1887" s="20"/>
      <c r="P1887" s="20"/>
      <c r="Q1887" s="19"/>
    </row>
    <row r="1888" customFormat="false" ht="15" hidden="false" customHeight="false" outlineLevel="0" collapsed="false">
      <c r="A1888" s="10" t="n">
        <v>1882</v>
      </c>
      <c r="B1888" s="12" t="s">
        <v>2939</v>
      </c>
      <c r="C1888" s="12" t="s">
        <v>2940</v>
      </c>
      <c r="D1888" s="13"/>
      <c r="E1888" s="14"/>
      <c r="F1888" s="15" t="str">
        <f aca="false">IF(D1888="","",ROUND((D1888-MIN($D$7:$D$9999))*86400,2))</f>
        <v/>
      </c>
      <c r="G1888" s="10" t="str">
        <f aca="false">IF(D1888="","",IF(D1888&lt;=($E$3*60+$F$3)/86400,"○",""))</f>
        <v/>
      </c>
      <c r="H1888" s="16"/>
      <c r="I1888" s="17"/>
      <c r="J1888" s="16" t="n">
        <v>0.0028787037037037</v>
      </c>
      <c r="K1888" s="17" t="n">
        <v>760</v>
      </c>
      <c r="L1888" s="17" t="n">
        <f aca="false">COUNT(E1888,I1888,K1888)</f>
        <v>1</v>
      </c>
      <c r="M1888" s="18" t="n">
        <f aca="false">(D1888&lt;&gt;"")*(D1888&lt;=($E$3*60+$F$3)/86400)+(H1888&lt;&gt;"")*(H1888&lt;=($I$3*60+$J$3)/86400)+(J1888&lt;&gt;"")*(J1888&lt;=($M$3*60+$N$3)/86400)</f>
        <v>0</v>
      </c>
      <c r="N1888" s="20"/>
      <c r="O1888" s="20"/>
      <c r="P1888" s="20"/>
      <c r="Q1888" s="19"/>
    </row>
    <row r="1889" customFormat="false" ht="15" hidden="false" customHeight="false" outlineLevel="0" collapsed="false">
      <c r="A1889" s="10" t="n">
        <v>1883</v>
      </c>
      <c r="B1889" s="12" t="s">
        <v>2941</v>
      </c>
      <c r="C1889" s="12" t="s">
        <v>2154</v>
      </c>
      <c r="D1889" s="13"/>
      <c r="E1889" s="14"/>
      <c r="F1889" s="15" t="str">
        <f aca="false">IF(D1889="","",ROUND((D1889-MIN($D$7:$D$9999))*86400,2))</f>
        <v/>
      </c>
      <c r="G1889" s="10" t="str">
        <f aca="false">IF(D1889="","",IF(D1889&lt;=($E$3*60+$F$3)/86400,"○",""))</f>
        <v/>
      </c>
      <c r="H1889" s="16" t="n">
        <v>0.00738958333333333</v>
      </c>
      <c r="I1889" s="17" t="n">
        <v>761</v>
      </c>
      <c r="J1889" s="16"/>
      <c r="K1889" s="17"/>
      <c r="L1889" s="17" t="n">
        <f aca="false">COUNT(E1889,I1889,K1889)</f>
        <v>1</v>
      </c>
      <c r="M1889" s="18" t="n">
        <f aca="false">(D1889&lt;&gt;"")*(D1889&lt;=($E$3*60+$F$3)/86400)+(H1889&lt;&gt;"")*(H1889&lt;=($I$3*60+$J$3)/86400)+(J1889&lt;&gt;"")*(J1889&lt;=($M$3*60+$N$3)/86400)</f>
        <v>0</v>
      </c>
      <c r="N1889" s="20"/>
      <c r="O1889" s="20"/>
      <c r="P1889" s="20"/>
      <c r="Q1889" s="19"/>
    </row>
    <row r="1890" customFormat="false" ht="15" hidden="false" customHeight="false" outlineLevel="0" collapsed="false">
      <c r="A1890" s="10" t="n">
        <v>1884</v>
      </c>
      <c r="B1890" s="12" t="s">
        <v>2942</v>
      </c>
      <c r="C1890" s="12" t="s">
        <v>486</v>
      </c>
      <c r="D1890" s="13"/>
      <c r="E1890" s="14"/>
      <c r="F1890" s="15" t="str">
        <f aca="false">IF(D1890="","",ROUND((D1890-MIN($D$7:$D$9999))*86400,2))</f>
        <v/>
      </c>
      <c r="G1890" s="10" t="str">
        <f aca="false">IF(D1890="","",IF(D1890&lt;=($E$3*60+$F$3)/86400,"○",""))</f>
        <v/>
      </c>
      <c r="H1890" s="16" t="n">
        <v>0.00738969907407408</v>
      </c>
      <c r="I1890" s="17" t="n">
        <v>762</v>
      </c>
      <c r="J1890" s="16" t="n">
        <v>0.00297581018518519</v>
      </c>
      <c r="K1890" s="17" t="n">
        <v>1333</v>
      </c>
      <c r="L1890" s="17" t="n">
        <f aca="false">COUNT(E1890,I1890,K1890)</f>
        <v>2</v>
      </c>
      <c r="M1890" s="18" t="n">
        <f aca="false">(D1890&lt;&gt;"")*(D1890&lt;=($E$3*60+$F$3)/86400)+(H1890&lt;&gt;"")*(H1890&lt;=($I$3*60+$J$3)/86400)+(J1890&lt;&gt;"")*(J1890&lt;=($M$3*60+$N$3)/86400)</f>
        <v>0</v>
      </c>
      <c r="N1890" s="20"/>
      <c r="O1890" s="20"/>
      <c r="P1890" s="20"/>
      <c r="Q1890" s="19"/>
    </row>
    <row r="1891" customFormat="false" ht="15" hidden="false" customHeight="false" outlineLevel="0" collapsed="false">
      <c r="A1891" s="10" t="n">
        <v>1885</v>
      </c>
      <c r="B1891" s="12" t="s">
        <v>2943</v>
      </c>
      <c r="C1891" s="12" t="s">
        <v>269</v>
      </c>
      <c r="D1891" s="13"/>
      <c r="E1891" s="14"/>
      <c r="F1891" s="15" t="str">
        <f aca="false">IF(D1891="","",ROUND((D1891-MIN($D$7:$D$9999))*86400,2))</f>
        <v/>
      </c>
      <c r="G1891" s="10" t="str">
        <f aca="false">IF(D1891="","",IF(D1891&lt;=($E$3*60+$F$3)/86400,"○",""))</f>
        <v/>
      </c>
      <c r="H1891" s="16"/>
      <c r="I1891" s="17"/>
      <c r="J1891" s="16" t="n">
        <v>0.00287905092592593</v>
      </c>
      <c r="K1891" s="17" t="n">
        <v>762</v>
      </c>
      <c r="L1891" s="17" t="n">
        <f aca="false">COUNT(E1891,I1891,K1891)</f>
        <v>1</v>
      </c>
      <c r="M1891" s="18" t="n">
        <f aca="false">(D1891&lt;&gt;"")*(D1891&lt;=($E$3*60+$F$3)/86400)+(H1891&lt;&gt;"")*(H1891&lt;=($I$3*60+$J$3)/86400)+(J1891&lt;&gt;"")*(J1891&lt;=($M$3*60+$N$3)/86400)</f>
        <v>0</v>
      </c>
      <c r="N1891" s="20"/>
      <c r="O1891" s="20"/>
      <c r="P1891" s="20"/>
      <c r="Q1891" s="19"/>
    </row>
    <row r="1892" customFormat="false" ht="15" hidden="false" customHeight="false" outlineLevel="0" collapsed="false">
      <c r="A1892" s="10" t="n">
        <v>1886</v>
      </c>
      <c r="B1892" s="12" t="s">
        <v>2944</v>
      </c>
      <c r="C1892" s="12" t="s">
        <v>2945</v>
      </c>
      <c r="D1892" s="13"/>
      <c r="E1892" s="14"/>
      <c r="F1892" s="15" t="str">
        <f aca="false">IF(D1892="","",ROUND((D1892-MIN($D$7:$D$9999))*86400,2))</f>
        <v/>
      </c>
      <c r="G1892" s="10" t="str">
        <f aca="false">IF(D1892="","",IF(D1892&lt;=($E$3*60+$F$3)/86400,"○",""))</f>
        <v/>
      </c>
      <c r="H1892" s="16" t="n">
        <v>0.00739143518518519</v>
      </c>
      <c r="I1892" s="17" t="n">
        <v>763</v>
      </c>
      <c r="J1892" s="16"/>
      <c r="K1892" s="17"/>
      <c r="L1892" s="17" t="n">
        <f aca="false">COUNT(E1892,I1892,K1892)</f>
        <v>1</v>
      </c>
      <c r="M1892" s="18" t="n">
        <f aca="false">(D1892&lt;&gt;"")*(D1892&lt;=($E$3*60+$F$3)/86400)+(H1892&lt;&gt;"")*(H1892&lt;=($I$3*60+$J$3)/86400)+(J1892&lt;&gt;"")*(J1892&lt;=($M$3*60+$N$3)/86400)</f>
        <v>0</v>
      </c>
      <c r="N1892" s="20"/>
      <c r="O1892" s="20"/>
      <c r="P1892" s="20"/>
      <c r="Q1892" s="19"/>
    </row>
    <row r="1893" customFormat="false" ht="15" hidden="false" customHeight="false" outlineLevel="0" collapsed="false">
      <c r="A1893" s="10" t="n">
        <v>1887</v>
      </c>
      <c r="B1893" s="12" t="s">
        <v>2946</v>
      </c>
      <c r="C1893" s="12" t="s">
        <v>980</v>
      </c>
      <c r="D1893" s="13"/>
      <c r="E1893" s="14"/>
      <c r="F1893" s="15" t="str">
        <f aca="false">IF(D1893="","",ROUND((D1893-MIN($D$7:$D$9999))*86400,2))</f>
        <v/>
      </c>
      <c r="G1893" s="10" t="str">
        <f aca="false">IF(D1893="","",IF(D1893&lt;=($E$3*60+$F$3)/86400,"○",""))</f>
        <v/>
      </c>
      <c r="H1893" s="16"/>
      <c r="I1893" s="17"/>
      <c r="J1893" s="16" t="n">
        <v>0.00287916666666667</v>
      </c>
      <c r="K1893" s="17" t="n">
        <v>763</v>
      </c>
      <c r="L1893" s="17" t="n">
        <f aca="false">COUNT(E1893,I1893,K1893)</f>
        <v>1</v>
      </c>
      <c r="M1893" s="18" t="n">
        <f aca="false">(D1893&lt;&gt;"")*(D1893&lt;=($E$3*60+$F$3)/86400)+(H1893&lt;&gt;"")*(H1893&lt;=($I$3*60+$J$3)/86400)+(J1893&lt;&gt;"")*(J1893&lt;=($M$3*60+$N$3)/86400)</f>
        <v>0</v>
      </c>
      <c r="N1893" s="20"/>
      <c r="O1893" s="20"/>
      <c r="P1893" s="20"/>
      <c r="Q1893" s="19"/>
    </row>
    <row r="1894" customFormat="false" ht="15" hidden="false" customHeight="false" outlineLevel="0" collapsed="false">
      <c r="A1894" s="10" t="n">
        <v>1888</v>
      </c>
      <c r="B1894" s="12" t="s">
        <v>2947</v>
      </c>
      <c r="C1894" s="12" t="s">
        <v>779</v>
      </c>
      <c r="D1894" s="13"/>
      <c r="E1894" s="14"/>
      <c r="F1894" s="15" t="str">
        <f aca="false">IF(D1894="","",ROUND((D1894-MIN($D$7:$D$9999))*86400,2))</f>
        <v/>
      </c>
      <c r="G1894" s="10" t="str">
        <f aca="false">IF(D1894="","",IF(D1894&lt;=($E$3*60+$F$3)/86400,"○",""))</f>
        <v/>
      </c>
      <c r="H1894" s="16" t="n">
        <v>0.00739247685185185</v>
      </c>
      <c r="I1894" s="17" t="n">
        <v>764</v>
      </c>
      <c r="J1894" s="16"/>
      <c r="K1894" s="17"/>
      <c r="L1894" s="17" t="n">
        <f aca="false">COUNT(E1894,I1894,K1894)</f>
        <v>1</v>
      </c>
      <c r="M1894" s="18" t="n">
        <f aca="false">(D1894&lt;&gt;"")*(D1894&lt;=($E$3*60+$F$3)/86400)+(H1894&lt;&gt;"")*(H1894&lt;=($I$3*60+$J$3)/86400)+(J1894&lt;&gt;"")*(J1894&lt;=($M$3*60+$N$3)/86400)</f>
        <v>0</v>
      </c>
      <c r="N1894" s="20"/>
      <c r="O1894" s="20"/>
      <c r="P1894" s="20"/>
      <c r="Q1894" s="19"/>
    </row>
    <row r="1895" customFormat="false" ht="15" hidden="false" customHeight="false" outlineLevel="0" collapsed="false">
      <c r="A1895" s="10" t="n">
        <v>1889</v>
      </c>
      <c r="B1895" s="12" t="s">
        <v>2948</v>
      </c>
      <c r="C1895" s="12" t="s">
        <v>157</v>
      </c>
      <c r="D1895" s="13"/>
      <c r="E1895" s="14"/>
      <c r="F1895" s="15" t="str">
        <f aca="false">IF(D1895="","",ROUND((D1895-MIN($D$7:$D$9999))*86400,2))</f>
        <v/>
      </c>
      <c r="G1895" s="10" t="str">
        <f aca="false">IF(D1895="","",IF(D1895&lt;=($E$3*60+$F$3)/86400,"○",""))</f>
        <v/>
      </c>
      <c r="H1895" s="16"/>
      <c r="I1895" s="17"/>
      <c r="J1895" s="16" t="n">
        <v>0.00287916666666667</v>
      </c>
      <c r="K1895" s="17" t="n">
        <v>764</v>
      </c>
      <c r="L1895" s="17" t="n">
        <f aca="false">COUNT(E1895,I1895,K1895)</f>
        <v>1</v>
      </c>
      <c r="M1895" s="18" t="n">
        <f aca="false">(D1895&lt;&gt;"")*(D1895&lt;=($E$3*60+$F$3)/86400)+(H1895&lt;&gt;"")*(H1895&lt;=($I$3*60+$J$3)/86400)+(J1895&lt;&gt;"")*(J1895&lt;=($M$3*60+$N$3)/86400)</f>
        <v>0</v>
      </c>
      <c r="N1895" s="20"/>
      <c r="O1895" s="20"/>
      <c r="P1895" s="20"/>
      <c r="Q1895" s="19"/>
    </row>
    <row r="1896" customFormat="false" ht="15" hidden="false" customHeight="false" outlineLevel="0" collapsed="false">
      <c r="A1896" s="10" t="n">
        <v>1890</v>
      </c>
      <c r="B1896" s="12" t="s">
        <v>2949</v>
      </c>
      <c r="C1896" s="12" t="s">
        <v>159</v>
      </c>
      <c r="D1896" s="13"/>
      <c r="E1896" s="14"/>
      <c r="F1896" s="15" t="str">
        <f aca="false">IF(D1896="","",ROUND((D1896-MIN($D$7:$D$9999))*86400,2))</f>
        <v/>
      </c>
      <c r="G1896" s="10" t="str">
        <f aca="false">IF(D1896="","",IF(D1896&lt;=($E$3*60+$F$3)/86400,"○",""))</f>
        <v/>
      </c>
      <c r="H1896" s="16"/>
      <c r="I1896" s="17"/>
      <c r="J1896" s="16" t="n">
        <v>0.00287951388888889</v>
      </c>
      <c r="K1896" s="17" t="n">
        <v>765</v>
      </c>
      <c r="L1896" s="17" t="n">
        <f aca="false">COUNT(E1896,I1896,K1896)</f>
        <v>1</v>
      </c>
      <c r="M1896" s="18" t="n">
        <f aca="false">(D1896&lt;&gt;"")*(D1896&lt;=($E$3*60+$F$3)/86400)+(H1896&lt;&gt;"")*(H1896&lt;=($I$3*60+$J$3)/86400)+(J1896&lt;&gt;"")*(J1896&lt;=($M$3*60+$N$3)/86400)</f>
        <v>0</v>
      </c>
      <c r="N1896" s="20"/>
      <c r="O1896" s="20"/>
      <c r="P1896" s="20"/>
      <c r="Q1896" s="19"/>
    </row>
    <row r="1897" customFormat="false" ht="15" hidden="false" customHeight="false" outlineLevel="0" collapsed="false">
      <c r="A1897" s="10" t="n">
        <v>1891</v>
      </c>
      <c r="B1897" s="12" t="s">
        <v>2950</v>
      </c>
      <c r="C1897" s="12" t="s">
        <v>2951</v>
      </c>
      <c r="D1897" s="13"/>
      <c r="E1897" s="14"/>
      <c r="F1897" s="15" t="str">
        <f aca="false">IF(D1897="","",ROUND((D1897-MIN($D$7:$D$9999))*86400,2))</f>
        <v/>
      </c>
      <c r="G1897" s="10" t="str">
        <f aca="false">IF(D1897="","",IF(D1897&lt;=($E$3*60+$F$3)/86400,"○",""))</f>
        <v/>
      </c>
      <c r="H1897" s="16" t="n">
        <v>0.00739409722222222</v>
      </c>
      <c r="I1897" s="17" t="n">
        <v>766</v>
      </c>
      <c r="J1897" s="16"/>
      <c r="K1897" s="17"/>
      <c r="L1897" s="17" t="n">
        <f aca="false">COUNT(E1897,I1897,K1897)</f>
        <v>1</v>
      </c>
      <c r="M1897" s="18" t="n">
        <f aca="false">(D1897&lt;&gt;"")*(D1897&lt;=($E$3*60+$F$3)/86400)+(H1897&lt;&gt;"")*(H1897&lt;=($I$3*60+$J$3)/86400)+(J1897&lt;&gt;"")*(J1897&lt;=($M$3*60+$N$3)/86400)</f>
        <v>0</v>
      </c>
      <c r="N1897" s="20"/>
      <c r="O1897" s="20"/>
      <c r="P1897" s="20"/>
      <c r="Q1897" s="19"/>
    </row>
    <row r="1898" customFormat="false" ht="15" hidden="false" customHeight="false" outlineLevel="0" collapsed="false">
      <c r="A1898" s="10" t="n">
        <v>1892</v>
      </c>
      <c r="B1898" s="12" t="s">
        <v>2952</v>
      </c>
      <c r="C1898" s="12" t="s">
        <v>290</v>
      </c>
      <c r="D1898" s="13"/>
      <c r="E1898" s="14"/>
      <c r="F1898" s="15" t="str">
        <f aca="false">IF(D1898="","",ROUND((D1898-MIN($D$7:$D$9999))*86400,2))</f>
        <v/>
      </c>
      <c r="G1898" s="10" t="str">
        <f aca="false">IF(D1898="","",IF(D1898&lt;=($E$3*60+$F$3)/86400,"○",""))</f>
        <v/>
      </c>
      <c r="H1898" s="16"/>
      <c r="I1898" s="17"/>
      <c r="J1898" s="16" t="n">
        <v>0.00287974537037037</v>
      </c>
      <c r="K1898" s="17" t="n">
        <v>766</v>
      </c>
      <c r="L1898" s="17" t="n">
        <f aca="false">COUNT(E1898,I1898,K1898)</f>
        <v>1</v>
      </c>
      <c r="M1898" s="18" t="n">
        <f aca="false">(D1898&lt;&gt;"")*(D1898&lt;=($E$3*60+$F$3)/86400)+(H1898&lt;&gt;"")*(H1898&lt;=($I$3*60+$J$3)/86400)+(J1898&lt;&gt;"")*(J1898&lt;=($M$3*60+$N$3)/86400)</f>
        <v>0</v>
      </c>
      <c r="N1898" s="20"/>
      <c r="O1898" s="20"/>
      <c r="P1898" s="20"/>
      <c r="Q1898" s="19"/>
    </row>
    <row r="1899" customFormat="false" ht="15" hidden="false" customHeight="false" outlineLevel="0" collapsed="false">
      <c r="A1899" s="10" t="n">
        <v>1893</v>
      </c>
      <c r="B1899" s="12" t="s">
        <v>2953</v>
      </c>
      <c r="C1899" s="12" t="s">
        <v>749</v>
      </c>
      <c r="D1899" s="13"/>
      <c r="E1899" s="14"/>
      <c r="F1899" s="15" t="str">
        <f aca="false">IF(D1899="","",ROUND((D1899-MIN($D$7:$D$9999))*86400,2))</f>
        <v/>
      </c>
      <c r="G1899" s="10" t="str">
        <f aca="false">IF(D1899="","",IF(D1899&lt;=($E$3*60+$F$3)/86400,"○",""))</f>
        <v/>
      </c>
      <c r="H1899" s="16" t="n">
        <v>0.00739548611111111</v>
      </c>
      <c r="I1899" s="17" t="n">
        <v>767</v>
      </c>
      <c r="J1899" s="16"/>
      <c r="K1899" s="17"/>
      <c r="L1899" s="17" t="n">
        <f aca="false">COUNT(E1899,I1899,K1899)</f>
        <v>1</v>
      </c>
      <c r="M1899" s="18" t="n">
        <f aca="false">(D1899&lt;&gt;"")*(D1899&lt;=($E$3*60+$F$3)/86400)+(H1899&lt;&gt;"")*(H1899&lt;=($I$3*60+$J$3)/86400)+(J1899&lt;&gt;"")*(J1899&lt;=($M$3*60+$N$3)/86400)</f>
        <v>0</v>
      </c>
      <c r="N1899" s="20"/>
      <c r="O1899" s="20"/>
      <c r="P1899" s="20"/>
      <c r="Q1899" s="19"/>
    </row>
    <row r="1900" customFormat="false" ht="15" hidden="false" customHeight="false" outlineLevel="0" collapsed="false">
      <c r="A1900" s="10" t="n">
        <v>1894</v>
      </c>
      <c r="B1900" s="12" t="s">
        <v>2954</v>
      </c>
      <c r="C1900" s="12" t="s">
        <v>875</v>
      </c>
      <c r="D1900" s="13"/>
      <c r="E1900" s="14"/>
      <c r="F1900" s="15" t="str">
        <f aca="false">IF(D1900="","",ROUND((D1900-MIN($D$7:$D$9999))*86400,2))</f>
        <v/>
      </c>
      <c r="G1900" s="10" t="str">
        <f aca="false">IF(D1900="","",IF(D1900&lt;=($E$3*60+$F$3)/86400,"○",""))</f>
        <v/>
      </c>
      <c r="H1900" s="16"/>
      <c r="I1900" s="17"/>
      <c r="J1900" s="16" t="n">
        <v>0.00287974537037037</v>
      </c>
      <c r="K1900" s="17" t="n">
        <v>767</v>
      </c>
      <c r="L1900" s="17" t="n">
        <f aca="false">COUNT(E1900,I1900,K1900)</f>
        <v>1</v>
      </c>
      <c r="M1900" s="18" t="n">
        <f aca="false">(D1900&lt;&gt;"")*(D1900&lt;=($E$3*60+$F$3)/86400)+(H1900&lt;&gt;"")*(H1900&lt;=($I$3*60+$J$3)/86400)+(J1900&lt;&gt;"")*(J1900&lt;=($M$3*60+$N$3)/86400)</f>
        <v>0</v>
      </c>
      <c r="N1900" s="20" t="s">
        <v>2955</v>
      </c>
      <c r="O1900" s="20"/>
      <c r="P1900" s="20"/>
      <c r="Q1900" s="19"/>
    </row>
    <row r="1901" customFormat="false" ht="15" hidden="false" customHeight="false" outlineLevel="0" collapsed="false">
      <c r="A1901" s="10" t="n">
        <v>1895</v>
      </c>
      <c r="B1901" s="12" t="s">
        <v>2956</v>
      </c>
      <c r="C1901" s="12" t="s">
        <v>2957</v>
      </c>
      <c r="D1901" s="13"/>
      <c r="E1901" s="14"/>
      <c r="F1901" s="15" t="str">
        <f aca="false">IF(D1901="","",ROUND((D1901-MIN($D$7:$D$9999))*86400,2))</f>
        <v/>
      </c>
      <c r="G1901" s="10" t="str">
        <f aca="false">IF(D1901="","",IF(D1901&lt;=($E$3*60+$F$3)/86400,"○",""))</f>
        <v/>
      </c>
      <c r="H1901" s="16" t="n">
        <v>0.00739571759259259</v>
      </c>
      <c r="I1901" s="17" t="n">
        <v>768</v>
      </c>
      <c r="J1901" s="16"/>
      <c r="K1901" s="17"/>
      <c r="L1901" s="17" t="n">
        <f aca="false">COUNT(E1901,I1901,K1901)</f>
        <v>1</v>
      </c>
      <c r="M1901" s="18" t="n">
        <f aca="false">(D1901&lt;&gt;"")*(D1901&lt;=($E$3*60+$F$3)/86400)+(H1901&lt;&gt;"")*(H1901&lt;=($I$3*60+$J$3)/86400)+(J1901&lt;&gt;"")*(J1901&lt;=($M$3*60+$N$3)/86400)</f>
        <v>0</v>
      </c>
      <c r="N1901" s="20"/>
      <c r="O1901" s="20"/>
      <c r="P1901" s="20"/>
      <c r="Q1901" s="19"/>
    </row>
    <row r="1902" customFormat="false" ht="15" hidden="false" customHeight="false" outlineLevel="0" collapsed="false">
      <c r="A1902" s="10" t="n">
        <v>1896</v>
      </c>
      <c r="B1902" s="12" t="s">
        <v>2958</v>
      </c>
      <c r="C1902" s="12" t="s">
        <v>2959</v>
      </c>
      <c r="D1902" s="13"/>
      <c r="E1902" s="14"/>
      <c r="F1902" s="15" t="str">
        <f aca="false">IF(D1902="","",ROUND((D1902-MIN($D$7:$D$9999))*86400,2))</f>
        <v/>
      </c>
      <c r="G1902" s="10" t="str">
        <f aca="false">IF(D1902="","",IF(D1902&lt;=($E$3*60+$F$3)/86400,"○",""))</f>
        <v/>
      </c>
      <c r="H1902" s="16" t="n">
        <v>0.007396875</v>
      </c>
      <c r="I1902" s="17" t="n">
        <v>769</v>
      </c>
      <c r="J1902" s="16"/>
      <c r="K1902" s="17"/>
      <c r="L1902" s="17" t="n">
        <f aca="false">COUNT(E1902,I1902,K1902)</f>
        <v>1</v>
      </c>
      <c r="M1902" s="18" t="n">
        <f aca="false">(D1902&lt;&gt;"")*(D1902&lt;=($E$3*60+$F$3)/86400)+(H1902&lt;&gt;"")*(H1902&lt;=($I$3*60+$J$3)/86400)+(J1902&lt;&gt;"")*(J1902&lt;=($M$3*60+$N$3)/86400)</f>
        <v>0</v>
      </c>
      <c r="N1902" s="20"/>
      <c r="O1902" s="20"/>
      <c r="P1902" s="20"/>
      <c r="Q1902" s="19"/>
    </row>
    <row r="1903" customFormat="false" ht="15" hidden="false" customHeight="false" outlineLevel="0" collapsed="false">
      <c r="A1903" s="10" t="n">
        <v>1897</v>
      </c>
      <c r="B1903" s="12" t="s">
        <v>2960</v>
      </c>
      <c r="C1903" s="12" t="s">
        <v>2434</v>
      </c>
      <c r="D1903" s="13"/>
      <c r="E1903" s="14"/>
      <c r="F1903" s="15" t="str">
        <f aca="false">IF(D1903="","",ROUND((D1903-MIN($D$7:$D$9999))*86400,2))</f>
        <v/>
      </c>
      <c r="G1903" s="10" t="str">
        <f aca="false">IF(D1903="","",IF(D1903&lt;=($E$3*60+$F$3)/86400,"○",""))</f>
        <v/>
      </c>
      <c r="H1903" s="16" t="n">
        <v>0.00739780092592593</v>
      </c>
      <c r="I1903" s="17" t="n">
        <v>770</v>
      </c>
      <c r="J1903" s="16"/>
      <c r="K1903" s="17"/>
      <c r="L1903" s="17" t="n">
        <f aca="false">COUNT(E1903,I1903,K1903)</f>
        <v>1</v>
      </c>
      <c r="M1903" s="18" t="n">
        <f aca="false">(D1903&lt;&gt;"")*(D1903&lt;=($E$3*60+$F$3)/86400)+(H1903&lt;&gt;"")*(H1903&lt;=($I$3*60+$J$3)/86400)+(J1903&lt;&gt;"")*(J1903&lt;=($M$3*60+$N$3)/86400)</f>
        <v>0</v>
      </c>
      <c r="N1903" s="20"/>
      <c r="O1903" s="20"/>
      <c r="P1903" s="20"/>
      <c r="Q1903" s="19"/>
    </row>
    <row r="1904" customFormat="false" ht="15" hidden="false" customHeight="false" outlineLevel="0" collapsed="false">
      <c r="A1904" s="10" t="n">
        <v>1898</v>
      </c>
      <c r="B1904" s="12" t="s">
        <v>2961</v>
      </c>
      <c r="C1904" s="12" t="s">
        <v>2883</v>
      </c>
      <c r="D1904" s="13"/>
      <c r="E1904" s="14"/>
      <c r="F1904" s="15" t="str">
        <f aca="false">IF(D1904="","",ROUND((D1904-MIN($D$7:$D$9999))*86400,2))</f>
        <v/>
      </c>
      <c r="G1904" s="10" t="str">
        <f aca="false">IF(D1904="","",IF(D1904&lt;=($E$3*60+$F$3)/86400,"○",""))</f>
        <v/>
      </c>
      <c r="H1904" s="16" t="n">
        <v>0.00739988425925926</v>
      </c>
      <c r="I1904" s="17" t="n">
        <v>771</v>
      </c>
      <c r="J1904" s="16"/>
      <c r="K1904" s="17"/>
      <c r="L1904" s="17" t="n">
        <f aca="false">COUNT(E1904,I1904,K1904)</f>
        <v>1</v>
      </c>
      <c r="M1904" s="18" t="n">
        <f aca="false">(D1904&lt;&gt;"")*(D1904&lt;=($E$3*60+$F$3)/86400)+(H1904&lt;&gt;"")*(H1904&lt;=($I$3*60+$J$3)/86400)+(J1904&lt;&gt;"")*(J1904&lt;=($M$3*60+$N$3)/86400)</f>
        <v>0</v>
      </c>
      <c r="N1904" s="20"/>
      <c r="O1904" s="20"/>
      <c r="P1904" s="20"/>
      <c r="Q1904" s="19"/>
    </row>
    <row r="1905" customFormat="false" ht="15" hidden="false" customHeight="false" outlineLevel="0" collapsed="false">
      <c r="A1905" s="10" t="n">
        <v>1899</v>
      </c>
      <c r="B1905" s="12" t="s">
        <v>2962</v>
      </c>
      <c r="C1905" s="12" t="s">
        <v>1342</v>
      </c>
      <c r="D1905" s="13"/>
      <c r="E1905" s="14"/>
      <c r="F1905" s="15" t="str">
        <f aca="false">IF(D1905="","",ROUND((D1905-MIN($D$7:$D$9999))*86400,2))</f>
        <v/>
      </c>
      <c r="G1905" s="10" t="str">
        <f aca="false">IF(D1905="","",IF(D1905&lt;=($E$3*60+$F$3)/86400,"○",""))</f>
        <v/>
      </c>
      <c r="H1905" s="16" t="n">
        <v>0.00740138888888889</v>
      </c>
      <c r="I1905" s="17" t="n">
        <v>772</v>
      </c>
      <c r="J1905" s="16"/>
      <c r="K1905" s="17"/>
      <c r="L1905" s="17" t="n">
        <f aca="false">COUNT(E1905,I1905,K1905)</f>
        <v>1</v>
      </c>
      <c r="M1905" s="18" t="n">
        <f aca="false">(D1905&lt;&gt;"")*(D1905&lt;=($E$3*60+$F$3)/86400)+(H1905&lt;&gt;"")*(H1905&lt;=($I$3*60+$J$3)/86400)+(J1905&lt;&gt;"")*(J1905&lt;=($M$3*60+$N$3)/86400)</f>
        <v>0</v>
      </c>
      <c r="N1905" s="20"/>
      <c r="O1905" s="20"/>
      <c r="P1905" s="20"/>
      <c r="Q1905" s="19"/>
    </row>
    <row r="1906" customFormat="false" ht="15" hidden="false" customHeight="false" outlineLevel="0" collapsed="false">
      <c r="A1906" s="10" t="n">
        <v>1900</v>
      </c>
      <c r="B1906" s="12" t="s">
        <v>2963</v>
      </c>
      <c r="C1906" s="12" t="s">
        <v>2793</v>
      </c>
      <c r="D1906" s="13"/>
      <c r="E1906" s="14"/>
      <c r="F1906" s="15" t="str">
        <f aca="false">IF(D1906="","",ROUND((D1906-MIN($D$7:$D$9999))*86400,2))</f>
        <v/>
      </c>
      <c r="G1906" s="10" t="str">
        <f aca="false">IF(D1906="","",IF(D1906&lt;=($E$3*60+$F$3)/86400,"○",""))</f>
        <v/>
      </c>
      <c r="H1906" s="16"/>
      <c r="I1906" s="17"/>
      <c r="J1906" s="16" t="n">
        <v>0.00288032407407407</v>
      </c>
      <c r="K1906" s="17" t="n">
        <v>772</v>
      </c>
      <c r="L1906" s="17" t="n">
        <f aca="false">COUNT(E1906,I1906,K1906)</f>
        <v>1</v>
      </c>
      <c r="M1906" s="18" t="n">
        <f aca="false">(D1906&lt;&gt;"")*(D1906&lt;=($E$3*60+$F$3)/86400)+(H1906&lt;&gt;"")*(H1906&lt;=($I$3*60+$J$3)/86400)+(J1906&lt;&gt;"")*(J1906&lt;=($M$3*60+$N$3)/86400)</f>
        <v>0</v>
      </c>
      <c r="N1906" s="20"/>
      <c r="O1906" s="20"/>
      <c r="P1906" s="20"/>
      <c r="Q1906" s="19"/>
    </row>
    <row r="1907" customFormat="false" ht="15" hidden="false" customHeight="false" outlineLevel="0" collapsed="false">
      <c r="A1907" s="10" t="n">
        <v>1901</v>
      </c>
      <c r="B1907" s="12" t="s">
        <v>2964</v>
      </c>
      <c r="C1907" s="12" t="s">
        <v>2965</v>
      </c>
      <c r="D1907" s="13"/>
      <c r="E1907" s="14"/>
      <c r="F1907" s="15" t="str">
        <f aca="false">IF(D1907="","",ROUND((D1907-MIN($D$7:$D$9999))*86400,2))</f>
        <v/>
      </c>
      <c r="G1907" s="10" t="str">
        <f aca="false">IF(D1907="","",IF(D1907&lt;=($E$3*60+$F$3)/86400,"○",""))</f>
        <v/>
      </c>
      <c r="H1907" s="16"/>
      <c r="I1907" s="17"/>
      <c r="J1907" s="16" t="n">
        <v>0.00288032407407407</v>
      </c>
      <c r="K1907" s="17" t="n">
        <v>773</v>
      </c>
      <c r="L1907" s="17" t="n">
        <f aca="false">COUNT(E1907,I1907,K1907)</f>
        <v>1</v>
      </c>
      <c r="M1907" s="18" t="n">
        <f aca="false">(D1907&lt;&gt;"")*(D1907&lt;=($E$3*60+$F$3)/86400)+(H1907&lt;&gt;"")*(H1907&lt;=($I$3*60+$J$3)/86400)+(J1907&lt;&gt;"")*(J1907&lt;=($M$3*60+$N$3)/86400)</f>
        <v>0</v>
      </c>
      <c r="N1907" s="20"/>
      <c r="O1907" s="20"/>
      <c r="P1907" s="20"/>
      <c r="Q1907" s="19"/>
    </row>
    <row r="1908" customFormat="false" ht="15" hidden="false" customHeight="false" outlineLevel="0" collapsed="false">
      <c r="A1908" s="10" t="n">
        <v>1902</v>
      </c>
      <c r="B1908" s="12" t="s">
        <v>2966</v>
      </c>
      <c r="C1908" s="12" t="s">
        <v>2967</v>
      </c>
      <c r="D1908" s="13"/>
      <c r="E1908" s="14"/>
      <c r="F1908" s="15" t="str">
        <f aca="false">IF(D1908="","",ROUND((D1908-MIN($D$7:$D$9999))*86400,2))</f>
        <v/>
      </c>
      <c r="G1908" s="10" t="str">
        <f aca="false">IF(D1908="","",IF(D1908&lt;=($E$3*60+$F$3)/86400,"○",""))</f>
        <v/>
      </c>
      <c r="H1908" s="16" t="n">
        <v>0.00740173611111111</v>
      </c>
      <c r="I1908" s="17" t="n">
        <v>774</v>
      </c>
      <c r="J1908" s="16"/>
      <c r="K1908" s="17"/>
      <c r="L1908" s="17" t="n">
        <f aca="false">COUNT(E1908,I1908,K1908)</f>
        <v>1</v>
      </c>
      <c r="M1908" s="18" t="n">
        <f aca="false">(D1908&lt;&gt;"")*(D1908&lt;=($E$3*60+$F$3)/86400)+(H1908&lt;&gt;"")*(H1908&lt;=($I$3*60+$J$3)/86400)+(J1908&lt;&gt;"")*(J1908&lt;=($M$3*60+$N$3)/86400)</f>
        <v>0</v>
      </c>
      <c r="N1908" s="20"/>
      <c r="O1908" s="20"/>
      <c r="P1908" s="20"/>
      <c r="Q1908" s="19"/>
    </row>
    <row r="1909" customFormat="false" ht="15" hidden="false" customHeight="false" outlineLevel="0" collapsed="false">
      <c r="A1909" s="10" t="n">
        <v>1903</v>
      </c>
      <c r="B1909" s="12" t="s">
        <v>2968</v>
      </c>
      <c r="C1909" s="12" t="s">
        <v>1229</v>
      </c>
      <c r="D1909" s="13"/>
      <c r="E1909" s="14"/>
      <c r="F1909" s="15" t="str">
        <f aca="false">IF(D1909="","",ROUND((D1909-MIN($D$7:$D$9999))*86400,2))</f>
        <v/>
      </c>
      <c r="G1909" s="10" t="str">
        <f aca="false">IF(D1909="","",IF(D1909&lt;=($E$3*60+$F$3)/86400,"○",""))</f>
        <v/>
      </c>
      <c r="H1909" s="16"/>
      <c r="I1909" s="17"/>
      <c r="J1909" s="16" t="n">
        <v>0.00288055555555556</v>
      </c>
      <c r="K1909" s="17" t="n">
        <v>774</v>
      </c>
      <c r="L1909" s="17" t="n">
        <f aca="false">COUNT(E1909,I1909,K1909)</f>
        <v>1</v>
      </c>
      <c r="M1909" s="18" t="n">
        <f aca="false">(D1909&lt;&gt;"")*(D1909&lt;=($E$3*60+$F$3)/86400)+(H1909&lt;&gt;"")*(H1909&lt;=($I$3*60+$J$3)/86400)+(J1909&lt;&gt;"")*(J1909&lt;=($M$3*60+$N$3)/86400)</f>
        <v>0</v>
      </c>
      <c r="N1909" s="20"/>
      <c r="O1909" s="20"/>
      <c r="P1909" s="20"/>
      <c r="Q1909" s="19"/>
    </row>
    <row r="1910" customFormat="false" ht="15" hidden="false" customHeight="false" outlineLevel="0" collapsed="false">
      <c r="A1910" s="10" t="n">
        <v>1904</v>
      </c>
      <c r="B1910" s="12" t="s">
        <v>2969</v>
      </c>
      <c r="C1910" s="12" t="s">
        <v>2970</v>
      </c>
      <c r="D1910" s="13"/>
      <c r="E1910" s="14"/>
      <c r="F1910" s="15" t="str">
        <f aca="false">IF(D1910="","",ROUND((D1910-MIN($D$7:$D$9999))*86400,2))</f>
        <v/>
      </c>
      <c r="G1910" s="10" t="str">
        <f aca="false">IF(D1910="","",IF(D1910&lt;=($E$3*60+$F$3)/86400,"○",""))</f>
        <v/>
      </c>
      <c r="H1910" s="16" t="n">
        <v>0.00740243055555556</v>
      </c>
      <c r="I1910" s="17" t="n">
        <v>775</v>
      </c>
      <c r="J1910" s="16"/>
      <c r="K1910" s="17"/>
      <c r="L1910" s="17" t="n">
        <f aca="false">COUNT(E1910,I1910,K1910)</f>
        <v>1</v>
      </c>
      <c r="M1910" s="18" t="n">
        <f aca="false">(D1910&lt;&gt;"")*(D1910&lt;=($E$3*60+$F$3)/86400)+(H1910&lt;&gt;"")*(H1910&lt;=($I$3*60+$J$3)/86400)+(J1910&lt;&gt;"")*(J1910&lt;=($M$3*60+$N$3)/86400)</f>
        <v>0</v>
      </c>
      <c r="N1910" s="20"/>
      <c r="O1910" s="20"/>
      <c r="P1910" s="20"/>
      <c r="Q1910" s="19"/>
    </row>
    <row r="1911" customFormat="false" ht="15" hidden="false" customHeight="false" outlineLevel="0" collapsed="false">
      <c r="A1911" s="10" t="n">
        <v>1905</v>
      </c>
      <c r="B1911" s="12" t="s">
        <v>2971</v>
      </c>
      <c r="C1911" s="12" t="s">
        <v>2283</v>
      </c>
      <c r="D1911" s="13"/>
      <c r="E1911" s="14"/>
      <c r="F1911" s="15" t="str">
        <f aca="false">IF(D1911="","",ROUND((D1911-MIN($D$7:$D$9999))*86400,2))</f>
        <v/>
      </c>
      <c r="G1911" s="10" t="str">
        <f aca="false">IF(D1911="","",IF(D1911&lt;=($E$3*60+$F$3)/86400,"○",""))</f>
        <v/>
      </c>
      <c r="H1911" s="16" t="n">
        <v>0.00740381944444445</v>
      </c>
      <c r="I1911" s="17" t="n">
        <v>776</v>
      </c>
      <c r="J1911" s="16"/>
      <c r="K1911" s="17"/>
      <c r="L1911" s="17" t="n">
        <f aca="false">COUNT(E1911,I1911,K1911)</f>
        <v>1</v>
      </c>
      <c r="M1911" s="18" t="n">
        <f aca="false">(D1911&lt;&gt;"")*(D1911&lt;=($E$3*60+$F$3)/86400)+(H1911&lt;&gt;"")*(H1911&lt;=($I$3*60+$J$3)/86400)+(J1911&lt;&gt;"")*(J1911&lt;=($M$3*60+$N$3)/86400)</f>
        <v>0</v>
      </c>
      <c r="N1911" s="20"/>
      <c r="O1911" s="20"/>
      <c r="P1911" s="20"/>
      <c r="Q1911" s="19"/>
    </row>
    <row r="1912" customFormat="false" ht="15" hidden="false" customHeight="false" outlineLevel="0" collapsed="false">
      <c r="A1912" s="10" t="n">
        <v>1906</v>
      </c>
      <c r="B1912" s="12" t="s">
        <v>2972</v>
      </c>
      <c r="C1912" s="12" t="s">
        <v>1637</v>
      </c>
      <c r="D1912" s="13"/>
      <c r="E1912" s="14"/>
      <c r="F1912" s="15" t="str">
        <f aca="false">IF(D1912="","",ROUND((D1912-MIN($D$7:$D$9999))*86400,2))</f>
        <v/>
      </c>
      <c r="G1912" s="10" t="str">
        <f aca="false">IF(D1912="","",IF(D1912&lt;=($E$3*60+$F$3)/86400,"○",""))</f>
        <v/>
      </c>
      <c r="H1912" s="16"/>
      <c r="I1912" s="17"/>
      <c r="J1912" s="16" t="n">
        <v>0.00288090277777778</v>
      </c>
      <c r="K1912" s="17" t="n">
        <v>776</v>
      </c>
      <c r="L1912" s="17" t="n">
        <f aca="false">COUNT(E1912,I1912,K1912)</f>
        <v>1</v>
      </c>
      <c r="M1912" s="18" t="n">
        <f aca="false">(D1912&lt;&gt;"")*(D1912&lt;=($E$3*60+$F$3)/86400)+(H1912&lt;&gt;"")*(H1912&lt;=($I$3*60+$J$3)/86400)+(J1912&lt;&gt;"")*(J1912&lt;=($M$3*60+$N$3)/86400)</f>
        <v>0</v>
      </c>
      <c r="N1912" s="20"/>
      <c r="O1912" s="20"/>
      <c r="P1912" s="20"/>
      <c r="Q1912" s="19"/>
    </row>
    <row r="1913" customFormat="false" ht="15" hidden="false" customHeight="false" outlineLevel="0" collapsed="false">
      <c r="A1913" s="10" t="n">
        <v>1907</v>
      </c>
      <c r="B1913" s="12" t="s">
        <v>2973</v>
      </c>
      <c r="C1913" s="12" t="s">
        <v>161</v>
      </c>
      <c r="D1913" s="13"/>
      <c r="E1913" s="14"/>
      <c r="F1913" s="15" t="str">
        <f aca="false">IF(D1913="","",ROUND((D1913-MIN($D$7:$D$9999))*86400,2))</f>
        <v/>
      </c>
      <c r="G1913" s="10" t="str">
        <f aca="false">IF(D1913="","",IF(D1913&lt;=($E$3*60+$F$3)/86400,"○",""))</f>
        <v/>
      </c>
      <c r="H1913" s="16" t="n">
        <v>0.00740474537037037</v>
      </c>
      <c r="I1913" s="17" t="n">
        <v>778</v>
      </c>
      <c r="J1913" s="16"/>
      <c r="K1913" s="17"/>
      <c r="L1913" s="17" t="n">
        <f aca="false">COUNT(E1913,I1913,K1913)</f>
        <v>1</v>
      </c>
      <c r="M1913" s="18" t="n">
        <f aca="false">(D1913&lt;&gt;"")*(D1913&lt;=($E$3*60+$F$3)/86400)+(H1913&lt;&gt;"")*(H1913&lt;=($I$3*60+$J$3)/86400)+(J1913&lt;&gt;"")*(J1913&lt;=($M$3*60+$N$3)/86400)</f>
        <v>0</v>
      </c>
      <c r="N1913" s="20"/>
      <c r="O1913" s="20"/>
      <c r="P1913" s="20"/>
      <c r="Q1913" s="19"/>
    </row>
    <row r="1914" customFormat="false" ht="15" hidden="false" customHeight="false" outlineLevel="0" collapsed="false">
      <c r="A1914" s="10" t="n">
        <v>1908</v>
      </c>
      <c r="B1914" s="12" t="s">
        <v>2974</v>
      </c>
      <c r="C1914" s="12" t="s">
        <v>2975</v>
      </c>
      <c r="D1914" s="13"/>
      <c r="E1914" s="14"/>
      <c r="F1914" s="15" t="str">
        <f aca="false">IF(D1914="","",ROUND((D1914-MIN($D$7:$D$9999))*86400,2))</f>
        <v/>
      </c>
      <c r="G1914" s="10" t="str">
        <f aca="false">IF(D1914="","",IF(D1914&lt;=($E$3*60+$F$3)/86400,"○",""))</f>
        <v/>
      </c>
      <c r="H1914" s="16" t="n">
        <v>0.00740509259259259</v>
      </c>
      <c r="I1914" s="17" t="n">
        <v>779</v>
      </c>
      <c r="J1914" s="16"/>
      <c r="K1914" s="17"/>
      <c r="L1914" s="17" t="n">
        <f aca="false">COUNT(E1914,I1914,K1914)</f>
        <v>1</v>
      </c>
      <c r="M1914" s="18" t="n">
        <f aca="false">(D1914&lt;&gt;"")*(D1914&lt;=($E$3*60+$F$3)/86400)+(H1914&lt;&gt;"")*(H1914&lt;=($I$3*60+$J$3)/86400)+(J1914&lt;&gt;"")*(J1914&lt;=($M$3*60+$N$3)/86400)</f>
        <v>0</v>
      </c>
      <c r="N1914" s="20"/>
      <c r="O1914" s="20"/>
      <c r="P1914" s="20"/>
      <c r="Q1914" s="19"/>
    </row>
    <row r="1915" customFormat="false" ht="15" hidden="false" customHeight="false" outlineLevel="0" collapsed="false">
      <c r="A1915" s="10" t="n">
        <v>1909</v>
      </c>
      <c r="B1915" s="12" t="s">
        <v>2976</v>
      </c>
      <c r="C1915" s="12" t="s">
        <v>1255</v>
      </c>
      <c r="D1915" s="13"/>
      <c r="E1915" s="14"/>
      <c r="F1915" s="15" t="str">
        <f aca="false">IF(D1915="","",ROUND((D1915-MIN($D$7:$D$9999))*86400,2))</f>
        <v/>
      </c>
      <c r="G1915" s="10" t="str">
        <f aca="false">IF(D1915="","",IF(D1915&lt;=($E$3*60+$F$3)/86400,"○",""))</f>
        <v/>
      </c>
      <c r="H1915" s="16"/>
      <c r="I1915" s="17"/>
      <c r="J1915" s="16" t="n">
        <v>0.00288113425925926</v>
      </c>
      <c r="K1915" s="17" t="n">
        <v>779</v>
      </c>
      <c r="L1915" s="17" t="n">
        <f aca="false">COUNT(E1915,I1915,K1915)</f>
        <v>1</v>
      </c>
      <c r="M1915" s="18" t="n">
        <f aca="false">(D1915&lt;&gt;"")*(D1915&lt;=($E$3*60+$F$3)/86400)+(H1915&lt;&gt;"")*(H1915&lt;=($I$3*60+$J$3)/86400)+(J1915&lt;&gt;"")*(J1915&lt;=($M$3*60+$N$3)/86400)</f>
        <v>0</v>
      </c>
      <c r="N1915" s="20"/>
      <c r="O1915" s="20"/>
      <c r="P1915" s="20"/>
      <c r="Q1915" s="19"/>
    </row>
    <row r="1916" customFormat="false" ht="15" hidden="false" customHeight="false" outlineLevel="0" collapsed="false">
      <c r="A1916" s="10" t="n">
        <v>1910</v>
      </c>
      <c r="B1916" s="12" t="s">
        <v>2977</v>
      </c>
      <c r="C1916" s="12" t="s">
        <v>1392</v>
      </c>
      <c r="D1916" s="13"/>
      <c r="E1916" s="14"/>
      <c r="F1916" s="15" t="str">
        <f aca="false">IF(D1916="","",ROUND((D1916-MIN($D$7:$D$9999))*86400,2))</f>
        <v/>
      </c>
      <c r="G1916" s="10" t="str">
        <f aca="false">IF(D1916="","",IF(D1916&lt;=($E$3*60+$F$3)/86400,"○",""))</f>
        <v/>
      </c>
      <c r="H1916" s="16" t="n">
        <v>0.00740555555555556</v>
      </c>
      <c r="I1916" s="17" t="n">
        <v>780</v>
      </c>
      <c r="J1916" s="16"/>
      <c r="K1916" s="17"/>
      <c r="L1916" s="17" t="n">
        <f aca="false">COUNT(E1916,I1916,K1916)</f>
        <v>1</v>
      </c>
      <c r="M1916" s="18" t="n">
        <f aca="false">(D1916&lt;&gt;"")*(D1916&lt;=($E$3*60+$F$3)/86400)+(H1916&lt;&gt;"")*(H1916&lt;=($I$3*60+$J$3)/86400)+(J1916&lt;&gt;"")*(J1916&lt;=($M$3*60+$N$3)/86400)</f>
        <v>0</v>
      </c>
      <c r="N1916" s="20"/>
      <c r="O1916" s="20"/>
      <c r="P1916" s="20"/>
      <c r="Q1916" s="19"/>
    </row>
    <row r="1917" customFormat="false" ht="15" hidden="false" customHeight="false" outlineLevel="0" collapsed="false">
      <c r="A1917" s="10" t="n">
        <v>1911</v>
      </c>
      <c r="B1917" s="12" t="s">
        <v>2978</v>
      </c>
      <c r="C1917" s="12" t="s">
        <v>1705</v>
      </c>
      <c r="D1917" s="13"/>
      <c r="E1917" s="14"/>
      <c r="F1917" s="15" t="str">
        <f aca="false">IF(D1917="","",ROUND((D1917-MIN($D$7:$D$9999))*86400,2))</f>
        <v/>
      </c>
      <c r="G1917" s="10" t="str">
        <f aca="false">IF(D1917="","",IF(D1917&lt;=($E$3*60+$F$3)/86400,"○",""))</f>
        <v/>
      </c>
      <c r="H1917" s="16"/>
      <c r="I1917" s="17"/>
      <c r="J1917" s="16" t="n">
        <v>0.00288125</v>
      </c>
      <c r="K1917" s="17" t="n">
        <v>780</v>
      </c>
      <c r="L1917" s="17" t="n">
        <f aca="false">COUNT(E1917,I1917,K1917)</f>
        <v>1</v>
      </c>
      <c r="M1917" s="18" t="n">
        <f aca="false">(D1917&lt;&gt;"")*(D1917&lt;=($E$3*60+$F$3)/86400)+(H1917&lt;&gt;"")*(H1917&lt;=($I$3*60+$J$3)/86400)+(J1917&lt;&gt;"")*(J1917&lt;=($M$3*60+$N$3)/86400)</f>
        <v>0</v>
      </c>
      <c r="N1917" s="20"/>
      <c r="O1917" s="20"/>
      <c r="P1917" s="20"/>
      <c r="Q1917" s="19"/>
    </row>
    <row r="1918" customFormat="false" ht="15" hidden="false" customHeight="false" outlineLevel="0" collapsed="false">
      <c r="A1918" s="10" t="n">
        <v>1912</v>
      </c>
      <c r="B1918" s="12" t="s">
        <v>2979</v>
      </c>
      <c r="C1918" s="12" t="s">
        <v>968</v>
      </c>
      <c r="D1918" s="13"/>
      <c r="E1918" s="14"/>
      <c r="F1918" s="15" t="str">
        <f aca="false">IF(D1918="","",ROUND((D1918-MIN($D$7:$D$9999))*86400,2))</f>
        <v/>
      </c>
      <c r="G1918" s="10" t="str">
        <f aca="false">IF(D1918="","",IF(D1918&lt;=($E$3*60+$F$3)/86400,"○",""))</f>
        <v/>
      </c>
      <c r="H1918" s="16" t="n">
        <v>0.00740868055555556</v>
      </c>
      <c r="I1918" s="17" t="n">
        <v>782</v>
      </c>
      <c r="J1918" s="16"/>
      <c r="K1918" s="17"/>
      <c r="L1918" s="17" t="n">
        <f aca="false">COUNT(E1918,I1918,K1918)</f>
        <v>1</v>
      </c>
      <c r="M1918" s="18" t="n">
        <f aca="false">(D1918&lt;&gt;"")*(D1918&lt;=($E$3*60+$F$3)/86400)+(H1918&lt;&gt;"")*(H1918&lt;=($I$3*60+$J$3)/86400)+(J1918&lt;&gt;"")*(J1918&lt;=($M$3*60+$N$3)/86400)</f>
        <v>0</v>
      </c>
      <c r="N1918" s="20"/>
      <c r="O1918" s="20"/>
      <c r="P1918" s="20"/>
      <c r="Q1918" s="19"/>
    </row>
    <row r="1919" customFormat="false" ht="15" hidden="false" customHeight="false" outlineLevel="0" collapsed="false">
      <c r="A1919" s="10" t="n">
        <v>1913</v>
      </c>
      <c r="B1919" s="12" t="s">
        <v>2980</v>
      </c>
      <c r="C1919" s="12" t="s">
        <v>1859</v>
      </c>
      <c r="D1919" s="13"/>
      <c r="E1919" s="14"/>
      <c r="F1919" s="15" t="str">
        <f aca="false">IF(D1919="","",ROUND((D1919-MIN($D$7:$D$9999))*86400,2))</f>
        <v/>
      </c>
      <c r="G1919" s="10" t="str">
        <f aca="false">IF(D1919="","",IF(D1919&lt;=($E$3*60+$F$3)/86400,"○",""))</f>
        <v/>
      </c>
      <c r="H1919" s="16"/>
      <c r="I1919" s="17"/>
      <c r="J1919" s="16" t="n">
        <v>0.00288136574074074</v>
      </c>
      <c r="K1919" s="17" t="n">
        <v>782</v>
      </c>
      <c r="L1919" s="17" t="n">
        <f aca="false">COUNT(E1919,I1919,K1919)</f>
        <v>1</v>
      </c>
      <c r="M1919" s="18" t="n">
        <f aca="false">(D1919&lt;&gt;"")*(D1919&lt;=($E$3*60+$F$3)/86400)+(H1919&lt;&gt;"")*(H1919&lt;=($I$3*60+$J$3)/86400)+(J1919&lt;&gt;"")*(J1919&lt;=($M$3*60+$N$3)/86400)</f>
        <v>0</v>
      </c>
      <c r="N1919" s="20"/>
      <c r="O1919" s="20"/>
      <c r="P1919" s="20"/>
      <c r="Q1919" s="19"/>
    </row>
    <row r="1920" customFormat="false" ht="15" hidden="false" customHeight="false" outlineLevel="0" collapsed="false">
      <c r="A1920" s="10" t="n">
        <v>1914</v>
      </c>
      <c r="B1920" s="12" t="s">
        <v>2981</v>
      </c>
      <c r="C1920" s="12" t="s">
        <v>2982</v>
      </c>
      <c r="D1920" s="13"/>
      <c r="E1920" s="14"/>
      <c r="F1920" s="15" t="str">
        <f aca="false">IF(D1920="","",ROUND((D1920-MIN($D$7:$D$9999))*86400,2))</f>
        <v/>
      </c>
      <c r="G1920" s="10" t="str">
        <f aca="false">IF(D1920="","",IF(D1920&lt;=($E$3*60+$F$3)/86400,"○",""))</f>
        <v/>
      </c>
      <c r="H1920" s="16" t="n">
        <v>0.00740949074074074</v>
      </c>
      <c r="I1920" s="17" t="n">
        <v>783</v>
      </c>
      <c r="J1920" s="16"/>
      <c r="K1920" s="17"/>
      <c r="L1920" s="17" t="n">
        <f aca="false">COUNT(E1920,I1920,K1920)</f>
        <v>1</v>
      </c>
      <c r="M1920" s="18" t="n">
        <f aca="false">(D1920&lt;&gt;"")*(D1920&lt;=($E$3*60+$F$3)/86400)+(H1920&lt;&gt;"")*(H1920&lt;=($I$3*60+$J$3)/86400)+(J1920&lt;&gt;"")*(J1920&lt;=($M$3*60+$N$3)/86400)</f>
        <v>0</v>
      </c>
      <c r="N1920" s="20"/>
      <c r="O1920" s="20"/>
      <c r="P1920" s="20"/>
      <c r="Q1920" s="19"/>
    </row>
    <row r="1921" customFormat="false" ht="15" hidden="false" customHeight="false" outlineLevel="0" collapsed="false">
      <c r="A1921" s="10" t="n">
        <v>1915</v>
      </c>
      <c r="B1921" s="12" t="s">
        <v>2983</v>
      </c>
      <c r="C1921" s="12" t="s">
        <v>2649</v>
      </c>
      <c r="D1921" s="13"/>
      <c r="E1921" s="14"/>
      <c r="F1921" s="15" t="str">
        <f aca="false">IF(D1921="","",ROUND((D1921-MIN($D$7:$D$9999))*86400,2))</f>
        <v/>
      </c>
      <c r="G1921" s="10" t="str">
        <f aca="false">IF(D1921="","",IF(D1921&lt;=($E$3*60+$F$3)/86400,"○",""))</f>
        <v/>
      </c>
      <c r="H1921" s="16" t="n">
        <v>0.00741122685185185</v>
      </c>
      <c r="I1921" s="17" t="n">
        <v>784</v>
      </c>
      <c r="J1921" s="16"/>
      <c r="K1921" s="17"/>
      <c r="L1921" s="17" t="n">
        <f aca="false">COUNT(E1921,I1921,K1921)</f>
        <v>1</v>
      </c>
      <c r="M1921" s="18" t="n">
        <f aca="false">(D1921&lt;&gt;"")*(D1921&lt;=($E$3*60+$F$3)/86400)+(H1921&lt;&gt;"")*(H1921&lt;=($I$3*60+$J$3)/86400)+(J1921&lt;&gt;"")*(J1921&lt;=($M$3*60+$N$3)/86400)</f>
        <v>0</v>
      </c>
      <c r="N1921" s="20"/>
      <c r="O1921" s="20"/>
      <c r="P1921" s="20"/>
      <c r="Q1921" s="19"/>
    </row>
    <row r="1922" customFormat="false" ht="15" hidden="false" customHeight="false" outlineLevel="0" collapsed="false">
      <c r="A1922" s="10" t="n">
        <v>1916</v>
      </c>
      <c r="B1922" s="12" t="s">
        <v>2984</v>
      </c>
      <c r="C1922" s="12" t="s">
        <v>2587</v>
      </c>
      <c r="D1922" s="13"/>
      <c r="E1922" s="14"/>
      <c r="F1922" s="15" t="str">
        <f aca="false">IF(D1922="","",ROUND((D1922-MIN($D$7:$D$9999))*86400,2))</f>
        <v/>
      </c>
      <c r="G1922" s="10" t="str">
        <f aca="false">IF(D1922="","",IF(D1922&lt;=($E$3*60+$F$3)/86400,"○",""))</f>
        <v/>
      </c>
      <c r="H1922" s="16" t="n">
        <v>0.00741226851851852</v>
      </c>
      <c r="I1922" s="17" t="n">
        <v>785</v>
      </c>
      <c r="J1922" s="16"/>
      <c r="K1922" s="17"/>
      <c r="L1922" s="17" t="n">
        <f aca="false">COUNT(E1922,I1922,K1922)</f>
        <v>1</v>
      </c>
      <c r="M1922" s="18" t="n">
        <f aca="false">(D1922&lt;&gt;"")*(D1922&lt;=($E$3*60+$F$3)/86400)+(H1922&lt;&gt;"")*(H1922&lt;=($I$3*60+$J$3)/86400)+(J1922&lt;&gt;"")*(J1922&lt;=($M$3*60+$N$3)/86400)</f>
        <v>0</v>
      </c>
      <c r="N1922" s="20"/>
      <c r="O1922" s="20"/>
      <c r="P1922" s="20"/>
      <c r="Q1922" s="19"/>
    </row>
    <row r="1923" customFormat="false" ht="15" hidden="false" customHeight="false" outlineLevel="0" collapsed="false">
      <c r="A1923" s="10" t="n">
        <v>1917</v>
      </c>
      <c r="B1923" s="12" t="s">
        <v>2985</v>
      </c>
      <c r="C1923" s="12" t="s">
        <v>648</v>
      </c>
      <c r="D1923" s="13"/>
      <c r="E1923" s="14"/>
      <c r="F1923" s="15" t="str">
        <f aca="false">IF(D1923="","",ROUND((D1923-MIN($D$7:$D$9999))*86400,2))</f>
        <v/>
      </c>
      <c r="G1923" s="10" t="str">
        <f aca="false">IF(D1923="","",IF(D1923&lt;=($E$3*60+$F$3)/86400,"○",""))</f>
        <v/>
      </c>
      <c r="H1923" s="16"/>
      <c r="I1923" s="17"/>
      <c r="J1923" s="16" t="n">
        <v>0.00288171296296296</v>
      </c>
      <c r="K1923" s="17" t="n">
        <v>786</v>
      </c>
      <c r="L1923" s="17" t="n">
        <f aca="false">COUNT(E1923,I1923,K1923)</f>
        <v>1</v>
      </c>
      <c r="M1923" s="18" t="n">
        <f aca="false">(D1923&lt;&gt;"")*(D1923&lt;=($E$3*60+$F$3)/86400)+(H1923&lt;&gt;"")*(H1923&lt;=($I$3*60+$J$3)/86400)+(J1923&lt;&gt;"")*(J1923&lt;=($M$3*60+$N$3)/86400)</f>
        <v>0</v>
      </c>
      <c r="N1923" s="20"/>
      <c r="O1923" s="20"/>
      <c r="P1923" s="20"/>
      <c r="Q1923" s="19"/>
    </row>
    <row r="1924" customFormat="false" ht="15" hidden="false" customHeight="false" outlineLevel="0" collapsed="false">
      <c r="A1924" s="10" t="n">
        <v>1918</v>
      </c>
      <c r="B1924" s="12" t="s">
        <v>2986</v>
      </c>
      <c r="C1924" s="12" t="s">
        <v>1265</v>
      </c>
      <c r="D1924" s="13"/>
      <c r="E1924" s="14"/>
      <c r="F1924" s="15" t="str">
        <f aca="false">IF(D1924="","",ROUND((D1924-MIN($D$7:$D$9999))*86400,2))</f>
        <v/>
      </c>
      <c r="G1924" s="10" t="str">
        <f aca="false">IF(D1924="","",IF(D1924&lt;=($E$3*60+$F$3)/86400,"○",""))</f>
        <v/>
      </c>
      <c r="H1924" s="16" t="n">
        <v>0.00741493055555556</v>
      </c>
      <c r="I1924" s="17" t="n">
        <v>787</v>
      </c>
      <c r="J1924" s="16"/>
      <c r="K1924" s="17"/>
      <c r="L1924" s="17" t="n">
        <f aca="false">COUNT(E1924,I1924,K1924)</f>
        <v>1</v>
      </c>
      <c r="M1924" s="18" t="n">
        <f aca="false">(D1924&lt;&gt;"")*(D1924&lt;=($E$3*60+$F$3)/86400)+(H1924&lt;&gt;"")*(H1924&lt;=($I$3*60+$J$3)/86400)+(J1924&lt;&gt;"")*(J1924&lt;=($M$3*60+$N$3)/86400)</f>
        <v>0</v>
      </c>
      <c r="N1924" s="20"/>
      <c r="O1924" s="20"/>
      <c r="P1924" s="20"/>
      <c r="Q1924" s="19"/>
    </row>
    <row r="1925" customFormat="false" ht="15" hidden="false" customHeight="false" outlineLevel="0" collapsed="false">
      <c r="A1925" s="10" t="n">
        <v>1919</v>
      </c>
      <c r="B1925" s="12" t="s">
        <v>2987</v>
      </c>
      <c r="C1925" s="12" t="s">
        <v>2572</v>
      </c>
      <c r="D1925" s="13"/>
      <c r="E1925" s="14"/>
      <c r="F1925" s="15" t="str">
        <f aca="false">IF(D1925="","",ROUND((D1925-MIN($D$7:$D$9999))*86400,2))</f>
        <v/>
      </c>
      <c r="G1925" s="10" t="str">
        <f aca="false">IF(D1925="","",IF(D1925&lt;=($E$3*60+$F$3)/86400,"○",""))</f>
        <v/>
      </c>
      <c r="H1925" s="16"/>
      <c r="I1925" s="17"/>
      <c r="J1925" s="16" t="n">
        <v>0.00288194444444444</v>
      </c>
      <c r="K1925" s="17" t="n">
        <v>788</v>
      </c>
      <c r="L1925" s="17" t="n">
        <f aca="false">COUNT(E1925,I1925,K1925)</f>
        <v>1</v>
      </c>
      <c r="M1925" s="18" t="n">
        <f aca="false">(D1925&lt;&gt;"")*(D1925&lt;=($E$3*60+$F$3)/86400)+(H1925&lt;&gt;"")*(H1925&lt;=($I$3*60+$J$3)/86400)+(J1925&lt;&gt;"")*(J1925&lt;=($M$3*60+$N$3)/86400)</f>
        <v>0</v>
      </c>
      <c r="N1925" s="20"/>
      <c r="O1925" s="20"/>
      <c r="P1925" s="12" t="s">
        <v>2988</v>
      </c>
      <c r="Q1925" s="19"/>
    </row>
    <row r="1926" customFormat="false" ht="15" hidden="false" customHeight="false" outlineLevel="0" collapsed="false">
      <c r="A1926" s="10" t="n">
        <v>1920</v>
      </c>
      <c r="B1926" s="12" t="s">
        <v>2989</v>
      </c>
      <c r="C1926" s="12" t="s">
        <v>591</v>
      </c>
      <c r="D1926" s="13"/>
      <c r="E1926" s="14"/>
      <c r="F1926" s="15" t="str">
        <f aca="false">IF(D1926="","",ROUND((D1926-MIN($D$7:$D$9999))*86400,2))</f>
        <v/>
      </c>
      <c r="G1926" s="10" t="str">
        <f aca="false">IF(D1926="","",IF(D1926&lt;=($E$3*60+$F$3)/86400,"○",""))</f>
        <v/>
      </c>
      <c r="H1926" s="16" t="n">
        <v>0.00741678240740741</v>
      </c>
      <c r="I1926" s="17" t="n">
        <v>789</v>
      </c>
      <c r="J1926" s="16"/>
      <c r="K1926" s="17"/>
      <c r="L1926" s="17" t="n">
        <f aca="false">COUNT(E1926,I1926,K1926)</f>
        <v>1</v>
      </c>
      <c r="M1926" s="18" t="n">
        <f aca="false">(D1926&lt;&gt;"")*(D1926&lt;=($E$3*60+$F$3)/86400)+(H1926&lt;&gt;"")*(H1926&lt;=($I$3*60+$J$3)/86400)+(J1926&lt;&gt;"")*(J1926&lt;=($M$3*60+$N$3)/86400)</f>
        <v>0</v>
      </c>
      <c r="N1926" s="20"/>
      <c r="O1926" s="20"/>
      <c r="P1926" s="20"/>
      <c r="Q1926" s="19"/>
    </row>
    <row r="1927" customFormat="false" ht="15" hidden="false" customHeight="false" outlineLevel="0" collapsed="false">
      <c r="A1927" s="10" t="n">
        <v>1921</v>
      </c>
      <c r="B1927" s="12" t="s">
        <v>2990</v>
      </c>
      <c r="C1927" s="12" t="s">
        <v>444</v>
      </c>
      <c r="D1927" s="13"/>
      <c r="E1927" s="14"/>
      <c r="F1927" s="15" t="str">
        <f aca="false">IF(D1927="","",ROUND((D1927-MIN($D$7:$D$9999))*86400,2))</f>
        <v/>
      </c>
      <c r="G1927" s="10" t="str">
        <f aca="false">IF(D1927="","",IF(D1927&lt;=($E$3*60+$F$3)/86400,"○",""))</f>
        <v/>
      </c>
      <c r="H1927" s="16"/>
      <c r="I1927" s="17"/>
      <c r="J1927" s="16" t="n">
        <v>0.00288194444444444</v>
      </c>
      <c r="K1927" s="17" t="n">
        <v>789</v>
      </c>
      <c r="L1927" s="17" t="n">
        <f aca="false">COUNT(E1927,I1927,K1927)</f>
        <v>1</v>
      </c>
      <c r="M1927" s="18" t="n">
        <f aca="false">(D1927&lt;&gt;"")*(D1927&lt;=($E$3*60+$F$3)/86400)+(H1927&lt;&gt;"")*(H1927&lt;=($I$3*60+$J$3)/86400)+(J1927&lt;&gt;"")*(J1927&lt;=($M$3*60+$N$3)/86400)</f>
        <v>0</v>
      </c>
      <c r="N1927" s="20"/>
      <c r="O1927" s="20"/>
      <c r="P1927" s="20"/>
      <c r="Q1927" s="19"/>
    </row>
    <row r="1928" customFormat="false" ht="15" hidden="false" customHeight="false" outlineLevel="0" collapsed="false">
      <c r="A1928" s="10" t="n">
        <v>1922</v>
      </c>
      <c r="B1928" s="12" t="s">
        <v>2991</v>
      </c>
      <c r="C1928" s="12" t="s">
        <v>2992</v>
      </c>
      <c r="D1928" s="13"/>
      <c r="E1928" s="14"/>
      <c r="F1928" s="15" t="str">
        <f aca="false">IF(D1928="","",ROUND((D1928-MIN($D$7:$D$9999))*86400,2))</f>
        <v/>
      </c>
      <c r="G1928" s="10" t="str">
        <f aca="false">IF(D1928="","",IF(D1928&lt;=($E$3*60+$F$3)/86400,"○",""))</f>
        <v/>
      </c>
      <c r="H1928" s="16" t="n">
        <v>0.00741724537037037</v>
      </c>
      <c r="I1928" s="17" t="n">
        <v>790</v>
      </c>
      <c r="J1928" s="16"/>
      <c r="K1928" s="17"/>
      <c r="L1928" s="17" t="n">
        <f aca="false">COUNT(E1928,I1928,K1928)</f>
        <v>1</v>
      </c>
      <c r="M1928" s="18" t="n">
        <f aca="false">(D1928&lt;&gt;"")*(D1928&lt;=($E$3*60+$F$3)/86400)+(H1928&lt;&gt;"")*(H1928&lt;=($I$3*60+$J$3)/86400)+(J1928&lt;&gt;"")*(J1928&lt;=($M$3*60+$N$3)/86400)</f>
        <v>0</v>
      </c>
      <c r="N1928" s="20"/>
      <c r="O1928" s="20"/>
      <c r="P1928" s="20"/>
      <c r="Q1928" s="19"/>
    </row>
    <row r="1929" customFormat="false" ht="15" hidden="false" customHeight="false" outlineLevel="0" collapsed="false">
      <c r="A1929" s="10" t="n">
        <v>1923</v>
      </c>
      <c r="B1929" s="12" t="s">
        <v>2993</v>
      </c>
      <c r="C1929" s="12" t="s">
        <v>1049</v>
      </c>
      <c r="D1929" s="13"/>
      <c r="E1929" s="14"/>
      <c r="F1929" s="15" t="str">
        <f aca="false">IF(D1929="","",ROUND((D1929-MIN($D$7:$D$9999))*86400,2))</f>
        <v/>
      </c>
      <c r="G1929" s="10" t="str">
        <f aca="false">IF(D1929="","",IF(D1929&lt;=($E$3*60+$F$3)/86400,"○",""))</f>
        <v/>
      </c>
      <c r="H1929" s="16" t="n">
        <v>0.00741736111111111</v>
      </c>
      <c r="I1929" s="17" t="n">
        <v>791</v>
      </c>
      <c r="J1929" s="16"/>
      <c r="K1929" s="17"/>
      <c r="L1929" s="17" t="n">
        <f aca="false">COUNT(E1929,I1929,K1929)</f>
        <v>1</v>
      </c>
      <c r="M1929" s="18" t="n">
        <f aca="false">(D1929&lt;&gt;"")*(D1929&lt;=($E$3*60+$F$3)/86400)+(H1929&lt;&gt;"")*(H1929&lt;=($I$3*60+$J$3)/86400)+(J1929&lt;&gt;"")*(J1929&lt;=($M$3*60+$N$3)/86400)</f>
        <v>0</v>
      </c>
      <c r="N1929" s="20"/>
      <c r="O1929" s="20"/>
      <c r="P1929" s="20"/>
      <c r="Q1929" s="19"/>
    </row>
    <row r="1930" customFormat="false" ht="15" hidden="false" customHeight="false" outlineLevel="0" collapsed="false">
      <c r="A1930" s="10" t="n">
        <v>1924</v>
      </c>
      <c r="B1930" s="12" t="s">
        <v>2994</v>
      </c>
      <c r="C1930" s="12" t="s">
        <v>1035</v>
      </c>
      <c r="D1930" s="13"/>
      <c r="E1930" s="14"/>
      <c r="F1930" s="15" t="str">
        <f aca="false">IF(D1930="","",ROUND((D1930-MIN($D$7:$D$9999))*86400,2))</f>
        <v/>
      </c>
      <c r="G1930" s="10" t="str">
        <f aca="false">IF(D1930="","",IF(D1930&lt;=($E$3*60+$F$3)/86400,"○",""))</f>
        <v/>
      </c>
      <c r="H1930" s="16" t="n">
        <v>0.00741747685185185</v>
      </c>
      <c r="I1930" s="17" t="n">
        <v>792</v>
      </c>
      <c r="J1930" s="16"/>
      <c r="K1930" s="17"/>
      <c r="L1930" s="17" t="n">
        <f aca="false">COUNT(E1930,I1930,K1930)</f>
        <v>1</v>
      </c>
      <c r="M1930" s="18" t="n">
        <f aca="false">(D1930&lt;&gt;"")*(D1930&lt;=($E$3*60+$F$3)/86400)+(H1930&lt;&gt;"")*(H1930&lt;=($I$3*60+$J$3)/86400)+(J1930&lt;&gt;"")*(J1930&lt;=($M$3*60+$N$3)/86400)</f>
        <v>0</v>
      </c>
      <c r="N1930" s="20"/>
      <c r="O1930" s="20"/>
      <c r="P1930" s="20"/>
      <c r="Q1930" s="19"/>
    </row>
    <row r="1931" customFormat="false" ht="15" hidden="false" customHeight="false" outlineLevel="0" collapsed="false">
      <c r="A1931" s="10" t="n">
        <v>1925</v>
      </c>
      <c r="B1931" s="12" t="s">
        <v>2995</v>
      </c>
      <c r="C1931" s="12" t="s">
        <v>59</v>
      </c>
      <c r="D1931" s="13"/>
      <c r="E1931" s="14"/>
      <c r="F1931" s="15" t="str">
        <f aca="false">IF(D1931="","",ROUND((D1931-MIN($D$7:$D$9999))*86400,2))</f>
        <v/>
      </c>
      <c r="G1931" s="10" t="str">
        <f aca="false">IF(D1931="","",IF(D1931&lt;=($E$3*60+$F$3)/86400,"○",""))</f>
        <v/>
      </c>
      <c r="H1931" s="16"/>
      <c r="I1931" s="17"/>
      <c r="J1931" s="16" t="n">
        <v>0.00288194444444444</v>
      </c>
      <c r="K1931" s="17" t="n">
        <v>792</v>
      </c>
      <c r="L1931" s="17" t="n">
        <f aca="false">COUNT(E1931,I1931,K1931)</f>
        <v>1</v>
      </c>
      <c r="M1931" s="18" t="n">
        <f aca="false">(D1931&lt;&gt;"")*(D1931&lt;=($E$3*60+$F$3)/86400)+(H1931&lt;&gt;"")*(H1931&lt;=($I$3*60+$J$3)/86400)+(J1931&lt;&gt;"")*(J1931&lt;=($M$3*60+$N$3)/86400)</f>
        <v>0</v>
      </c>
      <c r="N1931" s="20"/>
      <c r="O1931" s="20"/>
      <c r="P1931" s="20"/>
      <c r="Q1931" s="19"/>
    </row>
    <row r="1932" customFormat="false" ht="15" hidden="false" customHeight="false" outlineLevel="0" collapsed="false">
      <c r="A1932" s="10" t="n">
        <v>1926</v>
      </c>
      <c r="B1932" s="12" t="s">
        <v>2996</v>
      </c>
      <c r="C1932" s="12" t="s">
        <v>1684</v>
      </c>
      <c r="D1932" s="13"/>
      <c r="E1932" s="14"/>
      <c r="F1932" s="15" t="str">
        <f aca="false">IF(D1932="","",ROUND((D1932-MIN($D$7:$D$9999))*86400,2))</f>
        <v/>
      </c>
      <c r="G1932" s="10" t="str">
        <f aca="false">IF(D1932="","",IF(D1932&lt;=($E$3*60+$F$3)/86400,"○",""))</f>
        <v/>
      </c>
      <c r="H1932" s="16" t="n">
        <v>0.00741886574074074</v>
      </c>
      <c r="I1932" s="17" t="n">
        <v>793</v>
      </c>
      <c r="J1932" s="16"/>
      <c r="K1932" s="17"/>
      <c r="L1932" s="17" t="n">
        <f aca="false">COUNT(E1932,I1932,K1932)</f>
        <v>1</v>
      </c>
      <c r="M1932" s="18" t="n">
        <f aca="false">(D1932&lt;&gt;"")*(D1932&lt;=($E$3*60+$F$3)/86400)+(H1932&lt;&gt;"")*(H1932&lt;=($I$3*60+$J$3)/86400)+(J1932&lt;&gt;"")*(J1932&lt;=($M$3*60+$N$3)/86400)</f>
        <v>0</v>
      </c>
      <c r="N1932" s="20"/>
      <c r="O1932" s="20"/>
      <c r="P1932" s="20"/>
      <c r="Q1932" s="19"/>
    </row>
    <row r="1933" customFormat="false" ht="15" hidden="false" customHeight="false" outlineLevel="0" collapsed="false">
      <c r="A1933" s="10" t="n">
        <v>1927</v>
      </c>
      <c r="B1933" s="12" t="s">
        <v>2997</v>
      </c>
      <c r="C1933" s="12" t="s">
        <v>2998</v>
      </c>
      <c r="D1933" s="13"/>
      <c r="E1933" s="14"/>
      <c r="F1933" s="15" t="str">
        <f aca="false">IF(D1933="","",ROUND((D1933-MIN($D$7:$D$9999))*86400,2))</f>
        <v/>
      </c>
      <c r="G1933" s="10" t="str">
        <f aca="false">IF(D1933="","",IF(D1933&lt;=($E$3*60+$F$3)/86400,"○",""))</f>
        <v/>
      </c>
      <c r="H1933" s="16" t="n">
        <v>0.00742025462962963</v>
      </c>
      <c r="I1933" s="17" t="n">
        <v>794</v>
      </c>
      <c r="J1933" s="16"/>
      <c r="K1933" s="17"/>
      <c r="L1933" s="17" t="n">
        <f aca="false">COUNT(E1933,I1933,K1933)</f>
        <v>1</v>
      </c>
      <c r="M1933" s="18" t="n">
        <f aca="false">(D1933&lt;&gt;"")*(D1933&lt;=($E$3*60+$F$3)/86400)+(H1933&lt;&gt;"")*(H1933&lt;=($I$3*60+$J$3)/86400)+(J1933&lt;&gt;"")*(J1933&lt;=($M$3*60+$N$3)/86400)</f>
        <v>0</v>
      </c>
      <c r="N1933" s="20"/>
      <c r="O1933" s="20"/>
      <c r="P1933" s="20"/>
      <c r="Q1933" s="19"/>
    </row>
    <row r="1934" customFormat="false" ht="15" hidden="false" customHeight="false" outlineLevel="0" collapsed="false">
      <c r="A1934" s="10" t="n">
        <v>1928</v>
      </c>
      <c r="B1934" s="12" t="s">
        <v>2999</v>
      </c>
      <c r="C1934" s="12" t="s">
        <v>297</v>
      </c>
      <c r="D1934" s="13"/>
      <c r="E1934" s="14"/>
      <c r="F1934" s="15" t="str">
        <f aca="false">IF(D1934="","",ROUND((D1934-MIN($D$7:$D$9999))*86400,2))</f>
        <v/>
      </c>
      <c r="G1934" s="10" t="str">
        <f aca="false">IF(D1934="","",IF(D1934&lt;=($E$3*60+$F$3)/86400,"○",""))</f>
        <v/>
      </c>
      <c r="H1934" s="16"/>
      <c r="I1934" s="17"/>
      <c r="J1934" s="16" t="n">
        <v>0.00288217592592593</v>
      </c>
      <c r="K1934" s="17" t="n">
        <v>795</v>
      </c>
      <c r="L1934" s="17" t="n">
        <f aca="false">COUNT(E1934,I1934,K1934)</f>
        <v>1</v>
      </c>
      <c r="M1934" s="18" t="n">
        <f aca="false">(D1934&lt;&gt;"")*(D1934&lt;=($E$3*60+$F$3)/86400)+(H1934&lt;&gt;"")*(H1934&lt;=($I$3*60+$J$3)/86400)+(J1934&lt;&gt;"")*(J1934&lt;=($M$3*60+$N$3)/86400)</f>
        <v>0</v>
      </c>
      <c r="N1934" s="20"/>
      <c r="O1934" s="20"/>
      <c r="P1934" s="20"/>
      <c r="Q1934" s="19"/>
    </row>
    <row r="1935" customFormat="false" ht="15" hidden="false" customHeight="false" outlineLevel="0" collapsed="false">
      <c r="A1935" s="10" t="n">
        <v>1929</v>
      </c>
      <c r="B1935" s="12" t="s">
        <v>3000</v>
      </c>
      <c r="C1935" s="12" t="s">
        <v>1677</v>
      </c>
      <c r="D1935" s="13"/>
      <c r="E1935" s="14"/>
      <c r="F1935" s="15" t="str">
        <f aca="false">IF(D1935="","",ROUND((D1935-MIN($D$7:$D$9999))*86400,2))</f>
        <v/>
      </c>
      <c r="G1935" s="10" t="str">
        <f aca="false">IF(D1935="","",IF(D1935&lt;=($E$3*60+$F$3)/86400,"○",""))</f>
        <v/>
      </c>
      <c r="H1935" s="16" t="n">
        <v>0.00742118055555556</v>
      </c>
      <c r="I1935" s="17" t="n">
        <v>796</v>
      </c>
      <c r="J1935" s="16"/>
      <c r="K1935" s="17"/>
      <c r="L1935" s="17" t="n">
        <f aca="false">COUNT(E1935,I1935,K1935)</f>
        <v>1</v>
      </c>
      <c r="M1935" s="18" t="n">
        <f aca="false">(D1935&lt;&gt;"")*(D1935&lt;=($E$3*60+$F$3)/86400)+(H1935&lt;&gt;"")*(H1935&lt;=($I$3*60+$J$3)/86400)+(J1935&lt;&gt;"")*(J1935&lt;=($M$3*60+$N$3)/86400)</f>
        <v>0</v>
      </c>
      <c r="N1935" s="20"/>
      <c r="O1935" s="20"/>
      <c r="P1935" s="20"/>
      <c r="Q1935" s="19"/>
    </row>
    <row r="1936" customFormat="false" ht="15" hidden="false" customHeight="false" outlineLevel="0" collapsed="false">
      <c r="A1936" s="10" t="n">
        <v>1930</v>
      </c>
      <c r="B1936" s="12" t="s">
        <v>3001</v>
      </c>
      <c r="C1936" s="12" t="s">
        <v>301</v>
      </c>
      <c r="D1936" s="13"/>
      <c r="E1936" s="14"/>
      <c r="F1936" s="15" t="str">
        <f aca="false">IF(D1936="","",ROUND((D1936-MIN($D$7:$D$9999))*86400,2))</f>
        <v/>
      </c>
      <c r="G1936" s="10" t="str">
        <f aca="false">IF(D1936="","",IF(D1936&lt;=($E$3*60+$F$3)/86400,"○",""))</f>
        <v/>
      </c>
      <c r="H1936" s="16"/>
      <c r="I1936" s="17"/>
      <c r="J1936" s="16" t="n">
        <v>0.00288240740740741</v>
      </c>
      <c r="K1936" s="17" t="n">
        <v>796</v>
      </c>
      <c r="L1936" s="17" t="n">
        <f aca="false">COUNT(E1936,I1936,K1936)</f>
        <v>1</v>
      </c>
      <c r="M1936" s="18" t="n">
        <f aca="false">(D1936&lt;&gt;"")*(D1936&lt;=($E$3*60+$F$3)/86400)+(H1936&lt;&gt;"")*(H1936&lt;=($I$3*60+$J$3)/86400)+(J1936&lt;&gt;"")*(J1936&lt;=($M$3*60+$N$3)/86400)</f>
        <v>0</v>
      </c>
      <c r="N1936" s="20"/>
      <c r="O1936" s="20"/>
      <c r="P1936" s="20"/>
      <c r="Q1936" s="19"/>
    </row>
    <row r="1937" customFormat="false" ht="15" hidden="false" customHeight="false" outlineLevel="0" collapsed="false">
      <c r="A1937" s="10" t="n">
        <v>1931</v>
      </c>
      <c r="B1937" s="12" t="s">
        <v>3002</v>
      </c>
      <c r="C1937" s="12" t="s">
        <v>817</v>
      </c>
      <c r="D1937" s="13"/>
      <c r="E1937" s="14"/>
      <c r="F1937" s="15" t="str">
        <f aca="false">IF(D1937="","",ROUND((D1937-MIN($D$7:$D$9999))*86400,2))</f>
        <v/>
      </c>
      <c r="G1937" s="10" t="str">
        <f aca="false">IF(D1937="","",IF(D1937&lt;=($E$3*60+$F$3)/86400,"○",""))</f>
        <v/>
      </c>
      <c r="H1937" s="16" t="n">
        <v>0.00742372685185185</v>
      </c>
      <c r="I1937" s="17" t="n">
        <v>798</v>
      </c>
      <c r="J1937" s="16"/>
      <c r="K1937" s="17"/>
      <c r="L1937" s="17" t="n">
        <f aca="false">COUNT(E1937,I1937,K1937)</f>
        <v>1</v>
      </c>
      <c r="M1937" s="18" t="n">
        <f aca="false">(D1937&lt;&gt;"")*(D1937&lt;=($E$3*60+$F$3)/86400)+(H1937&lt;&gt;"")*(H1937&lt;=($I$3*60+$J$3)/86400)+(J1937&lt;&gt;"")*(J1937&lt;=($M$3*60+$N$3)/86400)</f>
        <v>0</v>
      </c>
      <c r="N1937" s="20"/>
      <c r="O1937" s="20"/>
      <c r="P1937" s="20"/>
      <c r="Q1937" s="19"/>
    </row>
    <row r="1938" customFormat="false" ht="15" hidden="false" customHeight="false" outlineLevel="0" collapsed="false">
      <c r="A1938" s="10" t="n">
        <v>1932</v>
      </c>
      <c r="B1938" s="12" t="s">
        <v>584</v>
      </c>
      <c r="C1938" s="12" t="s">
        <v>256</v>
      </c>
      <c r="D1938" s="13"/>
      <c r="E1938" s="14"/>
      <c r="F1938" s="15" t="str">
        <f aca="false">IF(D1938="","",ROUND((D1938-MIN($D$7:$D$9999))*86400,2))</f>
        <v/>
      </c>
      <c r="G1938" s="10" t="str">
        <f aca="false">IF(D1938="","",IF(D1938&lt;=($E$3*60+$F$3)/86400,"○",""))</f>
        <v/>
      </c>
      <c r="H1938" s="16"/>
      <c r="I1938" s="17"/>
      <c r="J1938" s="16" t="n">
        <v>0.00288263888888889</v>
      </c>
      <c r="K1938" s="17" t="n">
        <v>798</v>
      </c>
      <c r="L1938" s="17" t="n">
        <f aca="false">COUNT(E1938,I1938,K1938)</f>
        <v>1</v>
      </c>
      <c r="M1938" s="18" t="n">
        <f aca="false">(D1938&lt;&gt;"")*(D1938&lt;=($E$3*60+$F$3)/86400)+(H1938&lt;&gt;"")*(H1938&lt;=($I$3*60+$J$3)/86400)+(J1938&lt;&gt;"")*(J1938&lt;=($M$3*60+$N$3)/86400)</f>
        <v>0</v>
      </c>
      <c r="N1938" s="20"/>
      <c r="O1938" s="20"/>
      <c r="P1938" s="12" t="s">
        <v>3003</v>
      </c>
      <c r="Q1938" s="19"/>
    </row>
    <row r="1939" customFormat="false" ht="15" hidden="false" customHeight="false" outlineLevel="0" collapsed="false">
      <c r="A1939" s="10" t="n">
        <v>1933</v>
      </c>
      <c r="B1939" s="12" t="s">
        <v>3004</v>
      </c>
      <c r="C1939" s="12" t="s">
        <v>613</v>
      </c>
      <c r="D1939" s="13"/>
      <c r="E1939" s="14"/>
      <c r="F1939" s="15" t="str">
        <f aca="false">IF(D1939="","",ROUND((D1939-MIN($D$7:$D$9999))*86400,2))</f>
        <v/>
      </c>
      <c r="G1939" s="10" t="str">
        <f aca="false">IF(D1939="","",IF(D1939&lt;=($E$3*60+$F$3)/86400,"○",""))</f>
        <v/>
      </c>
      <c r="H1939" s="16" t="n">
        <v>0.0074244212962963</v>
      </c>
      <c r="I1939" s="17" t="n">
        <v>799</v>
      </c>
      <c r="J1939" s="16"/>
      <c r="K1939" s="17"/>
      <c r="L1939" s="17" t="n">
        <f aca="false">COUNT(E1939,I1939,K1939)</f>
        <v>1</v>
      </c>
      <c r="M1939" s="18" t="n">
        <f aca="false">(D1939&lt;&gt;"")*(D1939&lt;=($E$3*60+$F$3)/86400)+(H1939&lt;&gt;"")*(H1939&lt;=($I$3*60+$J$3)/86400)+(J1939&lt;&gt;"")*(J1939&lt;=($M$3*60+$N$3)/86400)</f>
        <v>0</v>
      </c>
      <c r="N1939" s="20"/>
      <c r="O1939" s="20"/>
      <c r="P1939" s="20"/>
      <c r="Q1939" s="19"/>
    </row>
    <row r="1940" customFormat="false" ht="15" hidden="false" customHeight="false" outlineLevel="0" collapsed="false">
      <c r="A1940" s="10" t="n">
        <v>1934</v>
      </c>
      <c r="B1940" s="12" t="s">
        <v>3005</v>
      </c>
      <c r="C1940" s="12" t="s">
        <v>3006</v>
      </c>
      <c r="D1940" s="13"/>
      <c r="E1940" s="14"/>
      <c r="F1940" s="15" t="str">
        <f aca="false">IF(D1940="","",ROUND((D1940-MIN($D$7:$D$9999))*86400,2))</f>
        <v/>
      </c>
      <c r="G1940" s="10" t="str">
        <f aca="false">IF(D1940="","",IF(D1940&lt;=($E$3*60+$F$3)/86400,"○",""))</f>
        <v/>
      </c>
      <c r="H1940" s="16" t="n">
        <v>0.00742638888888889</v>
      </c>
      <c r="I1940" s="17" t="n">
        <v>800</v>
      </c>
      <c r="J1940" s="16"/>
      <c r="K1940" s="17"/>
      <c r="L1940" s="17" t="n">
        <f aca="false">COUNT(E1940,I1940,K1940)</f>
        <v>1</v>
      </c>
      <c r="M1940" s="18" t="n">
        <f aca="false">(D1940&lt;&gt;"")*(D1940&lt;=($E$3*60+$F$3)/86400)+(H1940&lt;&gt;"")*(H1940&lt;=($I$3*60+$J$3)/86400)+(J1940&lt;&gt;"")*(J1940&lt;=($M$3*60+$N$3)/86400)</f>
        <v>0</v>
      </c>
      <c r="N1940" s="20"/>
      <c r="O1940" s="20"/>
      <c r="P1940" s="20"/>
      <c r="Q1940" s="19"/>
    </row>
    <row r="1941" customFormat="false" ht="15" hidden="false" customHeight="false" outlineLevel="0" collapsed="false">
      <c r="A1941" s="10" t="n">
        <v>1935</v>
      </c>
      <c r="B1941" s="12" t="s">
        <v>3007</v>
      </c>
      <c r="C1941" s="12" t="s">
        <v>69</v>
      </c>
      <c r="D1941" s="13"/>
      <c r="E1941" s="14"/>
      <c r="F1941" s="15" t="str">
        <f aca="false">IF(D1941="","",ROUND((D1941-MIN($D$7:$D$9999))*86400,2))</f>
        <v/>
      </c>
      <c r="G1941" s="10" t="str">
        <f aca="false">IF(D1941="","",IF(D1941&lt;=($E$3*60+$F$3)/86400,"○",""))</f>
        <v/>
      </c>
      <c r="H1941" s="16"/>
      <c r="I1941" s="17"/>
      <c r="J1941" s="16" t="n">
        <v>0.00288275462962963</v>
      </c>
      <c r="K1941" s="17" t="n">
        <v>800</v>
      </c>
      <c r="L1941" s="17" t="n">
        <f aca="false">COUNT(E1941,I1941,K1941)</f>
        <v>1</v>
      </c>
      <c r="M1941" s="18" t="n">
        <f aca="false">(D1941&lt;&gt;"")*(D1941&lt;=($E$3*60+$F$3)/86400)+(H1941&lt;&gt;"")*(H1941&lt;=($I$3*60+$J$3)/86400)+(J1941&lt;&gt;"")*(J1941&lt;=($M$3*60+$N$3)/86400)</f>
        <v>0</v>
      </c>
      <c r="N1941" s="20"/>
      <c r="O1941" s="20"/>
      <c r="P1941" s="20"/>
      <c r="Q1941" s="19"/>
    </row>
    <row r="1942" customFormat="false" ht="15" hidden="false" customHeight="false" outlineLevel="0" collapsed="false">
      <c r="A1942" s="10" t="n">
        <v>1936</v>
      </c>
      <c r="B1942" s="12" t="s">
        <v>3008</v>
      </c>
      <c r="C1942" s="12" t="s">
        <v>3009</v>
      </c>
      <c r="D1942" s="13"/>
      <c r="E1942" s="14"/>
      <c r="F1942" s="15" t="str">
        <f aca="false">IF(D1942="","",ROUND((D1942-MIN($D$7:$D$9999))*86400,2))</f>
        <v/>
      </c>
      <c r="G1942" s="10" t="str">
        <f aca="false">IF(D1942="","",IF(D1942&lt;=($E$3*60+$F$3)/86400,"○",""))</f>
        <v/>
      </c>
      <c r="H1942" s="16" t="n">
        <v>0.00742743055555556</v>
      </c>
      <c r="I1942" s="17" t="n">
        <v>801</v>
      </c>
      <c r="J1942" s="16"/>
      <c r="K1942" s="17"/>
      <c r="L1942" s="17" t="n">
        <f aca="false">COUNT(E1942,I1942,K1942)</f>
        <v>1</v>
      </c>
      <c r="M1942" s="18" t="n">
        <f aca="false">(D1942&lt;&gt;"")*(D1942&lt;=($E$3*60+$F$3)/86400)+(H1942&lt;&gt;"")*(H1942&lt;=($I$3*60+$J$3)/86400)+(J1942&lt;&gt;"")*(J1942&lt;=($M$3*60+$N$3)/86400)</f>
        <v>0</v>
      </c>
      <c r="N1942" s="20"/>
      <c r="O1942" s="20"/>
      <c r="P1942" s="20"/>
      <c r="Q1942" s="19"/>
    </row>
    <row r="1943" customFormat="false" ht="15" hidden="false" customHeight="false" outlineLevel="0" collapsed="false">
      <c r="A1943" s="10" t="n">
        <v>1937</v>
      </c>
      <c r="B1943" s="12" t="s">
        <v>3010</v>
      </c>
      <c r="C1943" s="12" t="s">
        <v>953</v>
      </c>
      <c r="D1943" s="13"/>
      <c r="E1943" s="14"/>
      <c r="F1943" s="15" t="str">
        <f aca="false">IF(D1943="","",ROUND((D1943-MIN($D$7:$D$9999))*86400,2))</f>
        <v/>
      </c>
      <c r="G1943" s="10" t="str">
        <f aca="false">IF(D1943="","",IF(D1943&lt;=($E$3*60+$F$3)/86400,"○",""))</f>
        <v/>
      </c>
      <c r="H1943" s="16" t="n">
        <v>0.00742905092592593</v>
      </c>
      <c r="I1943" s="17" t="n">
        <v>802</v>
      </c>
      <c r="J1943" s="16"/>
      <c r="K1943" s="17"/>
      <c r="L1943" s="17" t="n">
        <f aca="false">COUNT(E1943,I1943,K1943)</f>
        <v>1</v>
      </c>
      <c r="M1943" s="18" t="n">
        <f aca="false">(D1943&lt;&gt;"")*(D1943&lt;=($E$3*60+$F$3)/86400)+(H1943&lt;&gt;"")*(H1943&lt;=($I$3*60+$J$3)/86400)+(J1943&lt;&gt;"")*(J1943&lt;=($M$3*60+$N$3)/86400)</f>
        <v>0</v>
      </c>
      <c r="N1943" s="20"/>
      <c r="O1943" s="20"/>
      <c r="P1943" s="20"/>
      <c r="Q1943" s="19"/>
    </row>
    <row r="1944" customFormat="false" ht="15" hidden="false" customHeight="false" outlineLevel="0" collapsed="false">
      <c r="A1944" s="10" t="n">
        <v>1938</v>
      </c>
      <c r="B1944" s="12" t="s">
        <v>3011</v>
      </c>
      <c r="C1944" s="12" t="s">
        <v>3012</v>
      </c>
      <c r="D1944" s="13"/>
      <c r="E1944" s="14"/>
      <c r="F1944" s="15" t="str">
        <f aca="false">IF(D1944="","",ROUND((D1944-MIN($D$7:$D$9999))*86400,2))</f>
        <v/>
      </c>
      <c r="G1944" s="10" t="str">
        <f aca="false">IF(D1944="","",IF(D1944&lt;=($E$3*60+$F$3)/86400,"○",""))</f>
        <v/>
      </c>
      <c r="H1944" s="16" t="n">
        <v>0.00742916666666667</v>
      </c>
      <c r="I1944" s="17" t="n">
        <v>803</v>
      </c>
      <c r="J1944" s="16"/>
      <c r="K1944" s="17"/>
      <c r="L1944" s="17" t="n">
        <f aca="false">COUNT(E1944,I1944,K1944)</f>
        <v>1</v>
      </c>
      <c r="M1944" s="18" t="n">
        <f aca="false">(D1944&lt;&gt;"")*(D1944&lt;=($E$3*60+$F$3)/86400)+(H1944&lt;&gt;"")*(H1944&lt;=($I$3*60+$J$3)/86400)+(J1944&lt;&gt;"")*(J1944&lt;=($M$3*60+$N$3)/86400)</f>
        <v>0</v>
      </c>
      <c r="N1944" s="20"/>
      <c r="O1944" s="20"/>
      <c r="P1944" s="20"/>
      <c r="Q1944" s="19"/>
    </row>
    <row r="1945" customFormat="false" ht="15" hidden="false" customHeight="false" outlineLevel="0" collapsed="false">
      <c r="A1945" s="10" t="n">
        <v>1939</v>
      </c>
      <c r="B1945" s="12" t="s">
        <v>3013</v>
      </c>
      <c r="C1945" s="12" t="s">
        <v>1269</v>
      </c>
      <c r="D1945" s="13"/>
      <c r="E1945" s="14"/>
      <c r="F1945" s="15" t="str">
        <f aca="false">IF(D1945="","",ROUND((D1945-MIN($D$7:$D$9999))*86400,2))</f>
        <v/>
      </c>
      <c r="G1945" s="10" t="str">
        <f aca="false">IF(D1945="","",IF(D1945&lt;=($E$3*60+$F$3)/86400,"○",""))</f>
        <v/>
      </c>
      <c r="H1945" s="16"/>
      <c r="I1945" s="17"/>
      <c r="J1945" s="16" t="n">
        <v>0.00288368055555556</v>
      </c>
      <c r="K1945" s="17" t="n">
        <v>805</v>
      </c>
      <c r="L1945" s="17" t="n">
        <f aca="false">COUNT(E1945,I1945,K1945)</f>
        <v>1</v>
      </c>
      <c r="M1945" s="18" t="n">
        <f aca="false">(D1945&lt;&gt;"")*(D1945&lt;=($E$3*60+$F$3)/86400)+(H1945&lt;&gt;"")*(H1945&lt;=($I$3*60+$J$3)/86400)+(J1945&lt;&gt;"")*(J1945&lt;=($M$3*60+$N$3)/86400)</f>
        <v>0</v>
      </c>
      <c r="N1945" s="20"/>
      <c r="O1945" s="20"/>
      <c r="P1945" s="20"/>
      <c r="Q1945" s="19"/>
    </row>
    <row r="1946" customFormat="false" ht="15" hidden="false" customHeight="false" outlineLevel="0" collapsed="false">
      <c r="A1946" s="10" t="n">
        <v>1940</v>
      </c>
      <c r="B1946" s="12" t="s">
        <v>3014</v>
      </c>
      <c r="C1946" s="12" t="s">
        <v>1877</v>
      </c>
      <c r="D1946" s="13"/>
      <c r="E1946" s="14"/>
      <c r="F1946" s="15" t="str">
        <f aca="false">IF(D1946="","",ROUND((D1946-MIN($D$7:$D$9999))*86400,2))</f>
        <v/>
      </c>
      <c r="G1946" s="10" t="str">
        <f aca="false">IF(D1946="","",IF(D1946&lt;=($E$3*60+$F$3)/86400,"○",""))</f>
        <v/>
      </c>
      <c r="H1946" s="16" t="n">
        <v>0.00743032407407407</v>
      </c>
      <c r="I1946" s="17" t="n">
        <v>806</v>
      </c>
      <c r="J1946" s="16"/>
      <c r="K1946" s="17"/>
      <c r="L1946" s="17" t="n">
        <f aca="false">COUNT(E1946,I1946,K1946)</f>
        <v>1</v>
      </c>
      <c r="M1946" s="18" t="n">
        <f aca="false">(D1946&lt;&gt;"")*(D1946&lt;=($E$3*60+$F$3)/86400)+(H1946&lt;&gt;"")*(H1946&lt;=($I$3*60+$J$3)/86400)+(J1946&lt;&gt;"")*(J1946&lt;=($M$3*60+$N$3)/86400)</f>
        <v>0</v>
      </c>
      <c r="N1946" s="20"/>
      <c r="O1946" s="20"/>
      <c r="P1946" s="20"/>
      <c r="Q1946" s="19"/>
    </row>
    <row r="1947" customFormat="false" ht="15" hidden="false" customHeight="false" outlineLevel="0" collapsed="false">
      <c r="A1947" s="10" t="n">
        <v>1941</v>
      </c>
      <c r="B1947" s="12" t="s">
        <v>3015</v>
      </c>
      <c r="C1947" s="12" t="s">
        <v>3016</v>
      </c>
      <c r="D1947" s="13"/>
      <c r="E1947" s="14"/>
      <c r="F1947" s="15" t="str">
        <f aca="false">IF(D1947="","",ROUND((D1947-MIN($D$7:$D$9999))*86400,2))</f>
        <v/>
      </c>
      <c r="G1947" s="10" t="str">
        <f aca="false">IF(D1947="","",IF(D1947&lt;=($E$3*60+$F$3)/86400,"○",""))</f>
        <v/>
      </c>
      <c r="H1947" s="16"/>
      <c r="I1947" s="17"/>
      <c r="J1947" s="16" t="n">
        <v>0.0028837962962963</v>
      </c>
      <c r="K1947" s="17" t="n">
        <v>806</v>
      </c>
      <c r="L1947" s="17" t="n">
        <f aca="false">COUNT(E1947,I1947,K1947)</f>
        <v>1</v>
      </c>
      <c r="M1947" s="18" t="n">
        <f aca="false">(D1947&lt;&gt;"")*(D1947&lt;=($E$3*60+$F$3)/86400)+(H1947&lt;&gt;"")*(H1947&lt;=($I$3*60+$J$3)/86400)+(J1947&lt;&gt;"")*(J1947&lt;=($M$3*60+$N$3)/86400)</f>
        <v>0</v>
      </c>
      <c r="N1947" s="20"/>
      <c r="O1947" s="20"/>
      <c r="P1947" s="20"/>
      <c r="Q1947" s="19"/>
    </row>
    <row r="1948" customFormat="false" ht="15" hidden="false" customHeight="false" outlineLevel="0" collapsed="false">
      <c r="A1948" s="10" t="n">
        <v>1942</v>
      </c>
      <c r="B1948" s="12" t="s">
        <v>3017</v>
      </c>
      <c r="C1948" s="12" t="s">
        <v>3018</v>
      </c>
      <c r="D1948" s="13"/>
      <c r="E1948" s="14"/>
      <c r="F1948" s="15" t="str">
        <f aca="false">IF(D1948="","",ROUND((D1948-MIN($D$7:$D$9999))*86400,2))</f>
        <v/>
      </c>
      <c r="G1948" s="10" t="str">
        <f aca="false">IF(D1948="","",IF(D1948&lt;=($E$3*60+$F$3)/86400,"○",""))</f>
        <v/>
      </c>
      <c r="H1948" s="16" t="n">
        <v>0.00743148148148148</v>
      </c>
      <c r="I1948" s="17" t="n">
        <v>807</v>
      </c>
      <c r="J1948" s="16"/>
      <c r="K1948" s="17"/>
      <c r="L1948" s="17" t="n">
        <f aca="false">COUNT(E1948,I1948,K1948)</f>
        <v>1</v>
      </c>
      <c r="M1948" s="18" t="n">
        <f aca="false">(D1948&lt;&gt;"")*(D1948&lt;=($E$3*60+$F$3)/86400)+(H1948&lt;&gt;"")*(H1948&lt;=($I$3*60+$J$3)/86400)+(J1948&lt;&gt;"")*(J1948&lt;=($M$3*60+$N$3)/86400)</f>
        <v>0</v>
      </c>
      <c r="N1948" s="20"/>
      <c r="O1948" s="20"/>
      <c r="P1948" s="20"/>
      <c r="Q1948" s="19"/>
    </row>
    <row r="1949" customFormat="false" ht="15" hidden="false" customHeight="false" outlineLevel="0" collapsed="false">
      <c r="A1949" s="10" t="n">
        <v>1943</v>
      </c>
      <c r="B1949" s="12" t="s">
        <v>3019</v>
      </c>
      <c r="C1949" s="12" t="s">
        <v>674</v>
      </c>
      <c r="D1949" s="13"/>
      <c r="E1949" s="14"/>
      <c r="F1949" s="15" t="str">
        <f aca="false">IF(D1949="","",ROUND((D1949-MIN($D$7:$D$9999))*86400,2))</f>
        <v/>
      </c>
      <c r="G1949" s="10" t="str">
        <f aca="false">IF(D1949="","",IF(D1949&lt;=($E$3*60+$F$3)/86400,"○",""))</f>
        <v/>
      </c>
      <c r="H1949" s="16"/>
      <c r="I1949" s="17"/>
      <c r="J1949" s="16" t="n">
        <v>0.00288391203703704</v>
      </c>
      <c r="K1949" s="17" t="n">
        <v>807</v>
      </c>
      <c r="L1949" s="17" t="n">
        <f aca="false">COUNT(E1949,I1949,K1949)</f>
        <v>1</v>
      </c>
      <c r="M1949" s="18" t="n">
        <f aca="false">(D1949&lt;&gt;"")*(D1949&lt;=($E$3*60+$F$3)/86400)+(H1949&lt;&gt;"")*(H1949&lt;=($I$3*60+$J$3)/86400)+(J1949&lt;&gt;"")*(J1949&lt;=($M$3*60+$N$3)/86400)</f>
        <v>0</v>
      </c>
      <c r="N1949" s="20" t="s">
        <v>3020</v>
      </c>
      <c r="O1949" s="20"/>
      <c r="P1949" s="20"/>
      <c r="Q1949" s="19"/>
    </row>
    <row r="1950" customFormat="false" ht="15" hidden="false" customHeight="false" outlineLevel="0" collapsed="false">
      <c r="A1950" s="10" t="n">
        <v>1944</v>
      </c>
      <c r="B1950" s="12" t="s">
        <v>3021</v>
      </c>
      <c r="C1950" s="12" t="s">
        <v>3022</v>
      </c>
      <c r="D1950" s="13"/>
      <c r="E1950" s="14"/>
      <c r="F1950" s="15" t="str">
        <f aca="false">IF(D1950="","",ROUND((D1950-MIN($D$7:$D$9999))*86400,2))</f>
        <v/>
      </c>
      <c r="G1950" s="10" t="str">
        <f aca="false">IF(D1950="","",IF(D1950&lt;=($E$3*60+$F$3)/86400,"○",""))</f>
        <v/>
      </c>
      <c r="H1950" s="16" t="n">
        <v>0.00743240740740741</v>
      </c>
      <c r="I1950" s="17" t="n">
        <v>808</v>
      </c>
      <c r="J1950" s="16"/>
      <c r="K1950" s="17"/>
      <c r="L1950" s="17" t="n">
        <f aca="false">COUNT(E1950,I1950,K1950)</f>
        <v>1</v>
      </c>
      <c r="M1950" s="18" t="n">
        <f aca="false">(D1950&lt;&gt;"")*(D1950&lt;=($E$3*60+$F$3)/86400)+(H1950&lt;&gt;"")*(H1950&lt;=($I$3*60+$J$3)/86400)+(J1950&lt;&gt;"")*(J1950&lt;=($M$3*60+$N$3)/86400)</f>
        <v>0</v>
      </c>
      <c r="N1950" s="20"/>
      <c r="O1950" s="20"/>
      <c r="P1950" s="20"/>
      <c r="Q1950" s="19"/>
    </row>
    <row r="1951" customFormat="false" ht="15" hidden="false" customHeight="false" outlineLevel="0" collapsed="false">
      <c r="A1951" s="10" t="n">
        <v>1945</v>
      </c>
      <c r="B1951" s="12" t="s">
        <v>3023</v>
      </c>
      <c r="C1951" s="12" t="s">
        <v>3024</v>
      </c>
      <c r="D1951" s="13"/>
      <c r="E1951" s="14"/>
      <c r="F1951" s="15" t="str">
        <f aca="false">IF(D1951="","",ROUND((D1951-MIN($D$7:$D$9999))*86400,2))</f>
        <v/>
      </c>
      <c r="G1951" s="10" t="str">
        <f aca="false">IF(D1951="","",IF(D1951&lt;=($E$3*60+$F$3)/86400,"○",""))</f>
        <v/>
      </c>
      <c r="H1951" s="16" t="n">
        <v>0.00743252314814815</v>
      </c>
      <c r="I1951" s="17" t="n">
        <v>809</v>
      </c>
      <c r="J1951" s="16"/>
      <c r="K1951" s="17"/>
      <c r="L1951" s="17" t="n">
        <f aca="false">COUNT(E1951,I1951,K1951)</f>
        <v>1</v>
      </c>
      <c r="M1951" s="18" t="n">
        <f aca="false">(D1951&lt;&gt;"")*(D1951&lt;=($E$3*60+$F$3)/86400)+(H1951&lt;&gt;"")*(H1951&lt;=($I$3*60+$J$3)/86400)+(J1951&lt;&gt;"")*(J1951&lt;=($M$3*60+$N$3)/86400)</f>
        <v>0</v>
      </c>
      <c r="N1951" s="20"/>
      <c r="O1951" s="20"/>
      <c r="P1951" s="20"/>
      <c r="Q1951" s="19"/>
    </row>
    <row r="1952" customFormat="false" ht="15" hidden="false" customHeight="false" outlineLevel="0" collapsed="false">
      <c r="A1952" s="10" t="n">
        <v>1946</v>
      </c>
      <c r="B1952" s="12" t="s">
        <v>3025</v>
      </c>
      <c r="C1952" s="12" t="s">
        <v>3026</v>
      </c>
      <c r="D1952" s="13"/>
      <c r="E1952" s="14"/>
      <c r="F1952" s="15" t="str">
        <f aca="false">IF(D1952="","",ROUND((D1952-MIN($D$7:$D$9999))*86400,2))</f>
        <v/>
      </c>
      <c r="G1952" s="10" t="str">
        <f aca="false">IF(D1952="","",IF(D1952&lt;=($E$3*60+$F$3)/86400,"○",""))</f>
        <v/>
      </c>
      <c r="H1952" s="16" t="n">
        <v>0.00743310185185185</v>
      </c>
      <c r="I1952" s="17" t="n">
        <v>810</v>
      </c>
      <c r="J1952" s="16"/>
      <c r="K1952" s="17"/>
      <c r="L1952" s="17" t="n">
        <f aca="false">COUNT(E1952,I1952,K1952)</f>
        <v>1</v>
      </c>
      <c r="M1952" s="18" t="n">
        <f aca="false">(D1952&lt;&gt;"")*(D1952&lt;=($E$3*60+$F$3)/86400)+(H1952&lt;&gt;"")*(H1952&lt;=($I$3*60+$J$3)/86400)+(J1952&lt;&gt;"")*(J1952&lt;=($M$3*60+$N$3)/86400)</f>
        <v>0</v>
      </c>
      <c r="N1952" s="20"/>
      <c r="O1952" s="20"/>
      <c r="P1952" s="20"/>
      <c r="Q1952" s="19"/>
    </row>
    <row r="1953" customFormat="false" ht="15" hidden="false" customHeight="false" outlineLevel="0" collapsed="false">
      <c r="A1953" s="10" t="n">
        <v>1947</v>
      </c>
      <c r="B1953" s="12" t="s">
        <v>3027</v>
      </c>
      <c r="C1953" s="12" t="s">
        <v>3028</v>
      </c>
      <c r="D1953" s="13"/>
      <c r="E1953" s="14"/>
      <c r="F1953" s="15" t="str">
        <f aca="false">IF(D1953="","",ROUND((D1953-MIN($D$7:$D$9999))*86400,2))</f>
        <v/>
      </c>
      <c r="G1953" s="10" t="str">
        <f aca="false">IF(D1953="","",IF(D1953&lt;=($E$3*60+$F$3)/86400,"○",""))</f>
        <v/>
      </c>
      <c r="H1953" s="16" t="n">
        <v>0.00743321759259259</v>
      </c>
      <c r="I1953" s="17" t="n">
        <v>811</v>
      </c>
      <c r="J1953" s="16"/>
      <c r="K1953" s="17"/>
      <c r="L1953" s="17" t="n">
        <f aca="false">COUNT(E1953,I1953,K1953)</f>
        <v>1</v>
      </c>
      <c r="M1953" s="18" t="n">
        <f aca="false">(D1953&lt;&gt;"")*(D1953&lt;=($E$3*60+$F$3)/86400)+(H1953&lt;&gt;"")*(H1953&lt;=($I$3*60+$J$3)/86400)+(J1953&lt;&gt;"")*(J1953&lt;=($M$3*60+$N$3)/86400)</f>
        <v>0</v>
      </c>
      <c r="N1953" s="20"/>
      <c r="O1953" s="20"/>
      <c r="P1953" s="20"/>
      <c r="Q1953" s="19"/>
    </row>
    <row r="1954" customFormat="false" ht="15" hidden="false" customHeight="false" outlineLevel="0" collapsed="false">
      <c r="A1954" s="10" t="n">
        <v>1948</v>
      </c>
      <c r="B1954" s="12" t="s">
        <v>3029</v>
      </c>
      <c r="C1954" s="12" t="s">
        <v>2798</v>
      </c>
      <c r="D1954" s="13"/>
      <c r="E1954" s="14"/>
      <c r="F1954" s="15" t="str">
        <f aca="false">IF(D1954="","",ROUND((D1954-MIN($D$7:$D$9999))*86400,2))</f>
        <v/>
      </c>
      <c r="G1954" s="10" t="str">
        <f aca="false">IF(D1954="","",IF(D1954&lt;=($E$3*60+$F$3)/86400,"○",""))</f>
        <v/>
      </c>
      <c r="H1954" s="16" t="n">
        <v>0.00743333333333333</v>
      </c>
      <c r="I1954" s="17" t="n">
        <v>812</v>
      </c>
      <c r="J1954" s="16"/>
      <c r="K1954" s="17"/>
      <c r="L1954" s="17" t="n">
        <f aca="false">COUNT(E1954,I1954,K1954)</f>
        <v>1</v>
      </c>
      <c r="M1954" s="18" t="n">
        <f aca="false">(D1954&lt;&gt;"")*(D1954&lt;=($E$3*60+$F$3)/86400)+(H1954&lt;&gt;"")*(H1954&lt;=($I$3*60+$J$3)/86400)+(J1954&lt;&gt;"")*(J1954&lt;=($M$3*60+$N$3)/86400)</f>
        <v>0</v>
      </c>
      <c r="N1954" s="20"/>
      <c r="O1954" s="20"/>
      <c r="P1954" s="20"/>
      <c r="Q1954" s="19"/>
    </row>
    <row r="1955" customFormat="false" ht="15" hidden="false" customHeight="false" outlineLevel="0" collapsed="false">
      <c r="A1955" s="10" t="n">
        <v>1949</v>
      </c>
      <c r="B1955" s="12" t="s">
        <v>3030</v>
      </c>
      <c r="C1955" s="12" t="s">
        <v>94</v>
      </c>
      <c r="D1955" s="13"/>
      <c r="E1955" s="14"/>
      <c r="F1955" s="15" t="str">
        <f aca="false">IF(D1955="","",ROUND((D1955-MIN($D$7:$D$9999))*86400,2))</f>
        <v/>
      </c>
      <c r="G1955" s="10" t="str">
        <f aca="false">IF(D1955="","",IF(D1955&lt;=($E$3*60+$F$3)/86400,"○",""))</f>
        <v/>
      </c>
      <c r="H1955" s="16"/>
      <c r="I1955" s="17"/>
      <c r="J1955" s="16" t="n">
        <v>0.00288460648148148</v>
      </c>
      <c r="K1955" s="17" t="n">
        <v>812</v>
      </c>
      <c r="L1955" s="17" t="n">
        <f aca="false">COUNT(E1955,I1955,K1955)</f>
        <v>1</v>
      </c>
      <c r="M1955" s="18" t="n">
        <f aca="false">(D1955&lt;&gt;"")*(D1955&lt;=($E$3*60+$F$3)/86400)+(H1955&lt;&gt;"")*(H1955&lt;=($I$3*60+$J$3)/86400)+(J1955&lt;&gt;"")*(J1955&lt;=($M$3*60+$N$3)/86400)</f>
        <v>0</v>
      </c>
      <c r="N1955" s="20"/>
      <c r="O1955" s="20"/>
      <c r="P1955" s="20"/>
      <c r="Q1955" s="19"/>
    </row>
    <row r="1956" customFormat="false" ht="15" hidden="false" customHeight="false" outlineLevel="0" collapsed="false">
      <c r="A1956" s="10" t="n">
        <v>1950</v>
      </c>
      <c r="B1956" s="12" t="s">
        <v>1379</v>
      </c>
      <c r="C1956" s="12" t="s">
        <v>1843</v>
      </c>
      <c r="D1956" s="13"/>
      <c r="E1956" s="14"/>
      <c r="F1956" s="15" t="str">
        <f aca="false">IF(D1956="","",ROUND((D1956-MIN($D$7:$D$9999))*86400,2))</f>
        <v/>
      </c>
      <c r="G1956" s="10" t="str">
        <f aca="false">IF(D1956="","",IF(D1956&lt;=($E$3*60+$F$3)/86400,"○",""))</f>
        <v/>
      </c>
      <c r="H1956" s="16" t="n">
        <v>0.00743541666666667</v>
      </c>
      <c r="I1956" s="17" t="n">
        <v>813</v>
      </c>
      <c r="J1956" s="16"/>
      <c r="K1956" s="17"/>
      <c r="L1956" s="17" t="n">
        <f aca="false">COUNT(E1956,I1956,K1956)</f>
        <v>1</v>
      </c>
      <c r="M1956" s="18" t="n">
        <f aca="false">(D1956&lt;&gt;"")*(D1956&lt;=($E$3*60+$F$3)/86400)+(H1956&lt;&gt;"")*(H1956&lt;=($I$3*60+$J$3)/86400)+(J1956&lt;&gt;"")*(J1956&lt;=($M$3*60+$N$3)/86400)</f>
        <v>0</v>
      </c>
      <c r="N1956" s="20"/>
      <c r="O1956" s="20"/>
      <c r="P1956" s="12" t="s">
        <v>3031</v>
      </c>
      <c r="Q1956" s="19"/>
    </row>
    <row r="1957" customFormat="false" ht="15" hidden="false" customHeight="false" outlineLevel="0" collapsed="false">
      <c r="A1957" s="10" t="n">
        <v>1951</v>
      </c>
      <c r="B1957" s="12" t="s">
        <v>3032</v>
      </c>
      <c r="C1957" s="12" t="s">
        <v>80</v>
      </c>
      <c r="D1957" s="13"/>
      <c r="E1957" s="14"/>
      <c r="F1957" s="15" t="str">
        <f aca="false">IF(D1957="","",ROUND((D1957-MIN($D$7:$D$9999))*86400,2))</f>
        <v/>
      </c>
      <c r="G1957" s="10" t="str">
        <f aca="false">IF(D1957="","",IF(D1957&lt;=($E$3*60+$F$3)/86400,"○",""))</f>
        <v/>
      </c>
      <c r="H1957" s="16" t="n">
        <v>0.00743738425925926</v>
      </c>
      <c r="I1957" s="17" t="n">
        <v>814</v>
      </c>
      <c r="J1957" s="16"/>
      <c r="K1957" s="17"/>
      <c r="L1957" s="17" t="n">
        <f aca="false">COUNT(E1957,I1957,K1957)</f>
        <v>1</v>
      </c>
      <c r="M1957" s="18" t="n">
        <f aca="false">(D1957&lt;&gt;"")*(D1957&lt;=($E$3*60+$F$3)/86400)+(H1957&lt;&gt;"")*(H1957&lt;=($I$3*60+$J$3)/86400)+(J1957&lt;&gt;"")*(J1957&lt;=($M$3*60+$N$3)/86400)</f>
        <v>0</v>
      </c>
      <c r="N1957" s="20"/>
      <c r="O1957" s="20"/>
      <c r="P1957" s="20"/>
      <c r="Q1957" s="19"/>
    </row>
    <row r="1958" customFormat="false" ht="15" hidden="false" customHeight="false" outlineLevel="0" collapsed="false">
      <c r="A1958" s="10" t="n">
        <v>1952</v>
      </c>
      <c r="B1958" s="12" t="s">
        <v>3033</v>
      </c>
      <c r="C1958" s="12" t="s">
        <v>3034</v>
      </c>
      <c r="D1958" s="13"/>
      <c r="E1958" s="14"/>
      <c r="F1958" s="15" t="str">
        <f aca="false">IF(D1958="","",ROUND((D1958-MIN($D$7:$D$9999))*86400,2))</f>
        <v/>
      </c>
      <c r="G1958" s="10" t="str">
        <f aca="false">IF(D1958="","",IF(D1958&lt;=($E$3*60+$F$3)/86400,"○",""))</f>
        <v/>
      </c>
      <c r="H1958" s="16" t="n">
        <v>0.00743738425925926</v>
      </c>
      <c r="I1958" s="17" t="n">
        <v>815</v>
      </c>
      <c r="J1958" s="16"/>
      <c r="K1958" s="17"/>
      <c r="L1958" s="17" t="n">
        <f aca="false">COUNT(E1958,I1958,K1958)</f>
        <v>1</v>
      </c>
      <c r="M1958" s="18" t="n">
        <f aca="false">(D1958&lt;&gt;"")*(D1958&lt;=($E$3*60+$F$3)/86400)+(H1958&lt;&gt;"")*(H1958&lt;=($I$3*60+$J$3)/86400)+(J1958&lt;&gt;"")*(J1958&lt;=($M$3*60+$N$3)/86400)</f>
        <v>0</v>
      </c>
      <c r="N1958" s="20"/>
      <c r="O1958" s="20"/>
      <c r="P1958" s="20"/>
      <c r="Q1958" s="19"/>
    </row>
    <row r="1959" customFormat="false" ht="15" hidden="false" customHeight="false" outlineLevel="0" collapsed="false">
      <c r="A1959" s="10" t="n">
        <v>1953</v>
      </c>
      <c r="B1959" s="12" t="s">
        <v>3035</v>
      </c>
      <c r="C1959" s="12" t="s">
        <v>311</v>
      </c>
      <c r="D1959" s="13"/>
      <c r="E1959" s="14"/>
      <c r="F1959" s="15" t="str">
        <f aca="false">IF(D1959="","",ROUND((D1959-MIN($D$7:$D$9999))*86400,2))</f>
        <v/>
      </c>
      <c r="G1959" s="10" t="str">
        <f aca="false">IF(D1959="","",IF(D1959&lt;=($E$3*60+$F$3)/86400,"○",""))</f>
        <v/>
      </c>
      <c r="H1959" s="16" t="n">
        <v>0.00743819444444444</v>
      </c>
      <c r="I1959" s="17" t="n">
        <v>816</v>
      </c>
      <c r="J1959" s="16"/>
      <c r="K1959" s="17"/>
      <c r="L1959" s="17" t="n">
        <f aca="false">COUNT(E1959,I1959,K1959)</f>
        <v>1</v>
      </c>
      <c r="M1959" s="18" t="n">
        <f aca="false">(D1959&lt;&gt;"")*(D1959&lt;=($E$3*60+$F$3)/86400)+(H1959&lt;&gt;"")*(H1959&lt;=($I$3*60+$J$3)/86400)+(J1959&lt;&gt;"")*(J1959&lt;=($M$3*60+$N$3)/86400)</f>
        <v>0</v>
      </c>
      <c r="N1959" s="20"/>
      <c r="O1959" s="20"/>
      <c r="P1959" s="20"/>
      <c r="Q1959" s="19"/>
    </row>
    <row r="1960" customFormat="false" ht="15" hidden="false" customHeight="false" outlineLevel="0" collapsed="false">
      <c r="A1960" s="10" t="n">
        <v>1954</v>
      </c>
      <c r="B1960" s="12" t="s">
        <v>3036</v>
      </c>
      <c r="C1960" s="12" t="s">
        <v>2222</v>
      </c>
      <c r="D1960" s="13"/>
      <c r="E1960" s="14"/>
      <c r="F1960" s="15" t="str">
        <f aca="false">IF(D1960="","",ROUND((D1960-MIN($D$7:$D$9999))*86400,2))</f>
        <v/>
      </c>
      <c r="G1960" s="10" t="str">
        <f aca="false">IF(D1960="","",IF(D1960&lt;=($E$3*60+$F$3)/86400,"○",""))</f>
        <v/>
      </c>
      <c r="H1960" s="16"/>
      <c r="I1960" s="17"/>
      <c r="J1960" s="16" t="n">
        <v>0.00288506944444444</v>
      </c>
      <c r="K1960" s="17" t="n">
        <v>816</v>
      </c>
      <c r="L1960" s="17" t="n">
        <f aca="false">COUNT(E1960,I1960,K1960)</f>
        <v>1</v>
      </c>
      <c r="M1960" s="18" t="n">
        <f aca="false">(D1960&lt;&gt;"")*(D1960&lt;=($E$3*60+$F$3)/86400)+(H1960&lt;&gt;"")*(H1960&lt;=($I$3*60+$J$3)/86400)+(J1960&lt;&gt;"")*(J1960&lt;=($M$3*60+$N$3)/86400)</f>
        <v>0</v>
      </c>
      <c r="N1960" s="20" t="s">
        <v>3037</v>
      </c>
      <c r="O1960" s="20"/>
      <c r="P1960" s="20"/>
      <c r="Q1960" s="19"/>
    </row>
    <row r="1961" customFormat="false" ht="15" hidden="false" customHeight="false" outlineLevel="0" collapsed="false">
      <c r="A1961" s="10" t="n">
        <v>1955</v>
      </c>
      <c r="B1961" s="12" t="s">
        <v>3038</v>
      </c>
      <c r="C1961" s="12" t="s">
        <v>1216</v>
      </c>
      <c r="D1961" s="13"/>
      <c r="E1961" s="14"/>
      <c r="F1961" s="15" t="str">
        <f aca="false">IF(D1961="","",ROUND((D1961-MIN($D$7:$D$9999))*86400,2))</f>
        <v/>
      </c>
      <c r="G1961" s="10" t="str">
        <f aca="false">IF(D1961="","",IF(D1961&lt;=($E$3*60+$F$3)/86400,"○",""))</f>
        <v/>
      </c>
      <c r="H1961" s="16" t="n">
        <v>0.00743900462962963</v>
      </c>
      <c r="I1961" s="17" t="n">
        <v>817</v>
      </c>
      <c r="J1961" s="16"/>
      <c r="K1961" s="17"/>
      <c r="L1961" s="17" t="n">
        <f aca="false">COUNT(E1961,I1961,K1961)</f>
        <v>1</v>
      </c>
      <c r="M1961" s="18" t="n">
        <f aca="false">(D1961&lt;&gt;"")*(D1961&lt;=($E$3*60+$F$3)/86400)+(H1961&lt;&gt;"")*(H1961&lt;=($I$3*60+$J$3)/86400)+(J1961&lt;&gt;"")*(J1961&lt;=($M$3*60+$N$3)/86400)</f>
        <v>0</v>
      </c>
      <c r="N1961" s="20"/>
      <c r="O1961" s="20"/>
      <c r="P1961" s="20"/>
      <c r="Q1961" s="19"/>
    </row>
    <row r="1962" customFormat="false" ht="15" hidden="false" customHeight="false" outlineLevel="0" collapsed="false">
      <c r="A1962" s="10" t="n">
        <v>1956</v>
      </c>
      <c r="B1962" s="12" t="s">
        <v>3039</v>
      </c>
      <c r="C1962" s="12" t="s">
        <v>3040</v>
      </c>
      <c r="D1962" s="13"/>
      <c r="E1962" s="14"/>
      <c r="F1962" s="15" t="str">
        <f aca="false">IF(D1962="","",ROUND((D1962-MIN($D$7:$D$9999))*86400,2))</f>
        <v/>
      </c>
      <c r="G1962" s="10" t="str">
        <f aca="false">IF(D1962="","",IF(D1962&lt;=($E$3*60+$F$3)/86400,"○",""))</f>
        <v/>
      </c>
      <c r="H1962" s="16" t="n">
        <v>0.00744016203703704</v>
      </c>
      <c r="I1962" s="17" t="n">
        <v>818</v>
      </c>
      <c r="J1962" s="16"/>
      <c r="K1962" s="17"/>
      <c r="L1962" s="17" t="n">
        <f aca="false">COUNT(E1962,I1962,K1962)</f>
        <v>1</v>
      </c>
      <c r="M1962" s="18" t="n">
        <f aca="false">(D1962&lt;&gt;"")*(D1962&lt;=($E$3*60+$F$3)/86400)+(H1962&lt;&gt;"")*(H1962&lt;=($I$3*60+$J$3)/86400)+(J1962&lt;&gt;"")*(J1962&lt;=($M$3*60+$N$3)/86400)</f>
        <v>0</v>
      </c>
      <c r="N1962" s="20"/>
      <c r="O1962" s="20"/>
      <c r="P1962" s="20"/>
      <c r="Q1962" s="19"/>
    </row>
    <row r="1963" customFormat="false" ht="15" hidden="false" customHeight="false" outlineLevel="0" collapsed="false">
      <c r="A1963" s="10" t="n">
        <v>1957</v>
      </c>
      <c r="B1963" s="12" t="s">
        <v>3041</v>
      </c>
      <c r="C1963" s="12" t="s">
        <v>1843</v>
      </c>
      <c r="D1963" s="13"/>
      <c r="E1963" s="14"/>
      <c r="F1963" s="15" t="str">
        <f aca="false">IF(D1963="","",ROUND((D1963-MIN($D$7:$D$9999))*86400,2))</f>
        <v/>
      </c>
      <c r="G1963" s="10" t="str">
        <f aca="false">IF(D1963="","",IF(D1963&lt;=($E$3*60+$F$3)/86400,"○",""))</f>
        <v/>
      </c>
      <c r="H1963" s="16"/>
      <c r="I1963" s="17"/>
      <c r="J1963" s="16" t="n">
        <v>0.00288518518518519</v>
      </c>
      <c r="K1963" s="17" t="n">
        <v>818</v>
      </c>
      <c r="L1963" s="17" t="n">
        <f aca="false">COUNT(E1963,I1963,K1963)</f>
        <v>1</v>
      </c>
      <c r="M1963" s="18" t="n">
        <f aca="false">(D1963&lt;&gt;"")*(D1963&lt;=($E$3*60+$F$3)/86400)+(H1963&lt;&gt;"")*(H1963&lt;=($I$3*60+$J$3)/86400)+(J1963&lt;&gt;"")*(J1963&lt;=($M$3*60+$N$3)/86400)</f>
        <v>0</v>
      </c>
      <c r="N1963" s="20"/>
      <c r="O1963" s="20"/>
      <c r="P1963" s="20"/>
      <c r="Q1963" s="19"/>
    </row>
    <row r="1964" customFormat="false" ht="15" hidden="false" customHeight="false" outlineLevel="0" collapsed="false">
      <c r="A1964" s="10" t="n">
        <v>1958</v>
      </c>
      <c r="B1964" s="12" t="s">
        <v>3042</v>
      </c>
      <c r="C1964" s="12" t="s">
        <v>3043</v>
      </c>
      <c r="D1964" s="13"/>
      <c r="E1964" s="14"/>
      <c r="F1964" s="15" t="str">
        <f aca="false">IF(D1964="","",ROUND((D1964-MIN($D$7:$D$9999))*86400,2))</f>
        <v/>
      </c>
      <c r="G1964" s="10" t="str">
        <f aca="false">IF(D1964="","",IF(D1964&lt;=($E$3*60+$F$3)/86400,"○",""))</f>
        <v/>
      </c>
      <c r="H1964" s="16" t="n">
        <v>0.00744039351851852</v>
      </c>
      <c r="I1964" s="17" t="n">
        <v>819</v>
      </c>
      <c r="J1964" s="16"/>
      <c r="K1964" s="17"/>
      <c r="L1964" s="17" t="n">
        <f aca="false">COUNT(E1964,I1964,K1964)</f>
        <v>1</v>
      </c>
      <c r="M1964" s="18" t="n">
        <f aca="false">(D1964&lt;&gt;"")*(D1964&lt;=($E$3*60+$F$3)/86400)+(H1964&lt;&gt;"")*(H1964&lt;=($I$3*60+$J$3)/86400)+(J1964&lt;&gt;"")*(J1964&lt;=($M$3*60+$N$3)/86400)</f>
        <v>0</v>
      </c>
      <c r="N1964" s="20"/>
      <c r="O1964" s="20"/>
      <c r="P1964" s="20"/>
      <c r="Q1964" s="19"/>
    </row>
    <row r="1965" customFormat="false" ht="15" hidden="false" customHeight="false" outlineLevel="0" collapsed="false">
      <c r="A1965" s="10" t="n">
        <v>1959</v>
      </c>
      <c r="B1965" s="12" t="s">
        <v>3044</v>
      </c>
      <c r="C1965" s="12" t="s">
        <v>2182</v>
      </c>
      <c r="D1965" s="13"/>
      <c r="E1965" s="14"/>
      <c r="F1965" s="15" t="str">
        <f aca="false">IF(D1965="","",ROUND((D1965-MIN($D$7:$D$9999))*86400,2))</f>
        <v/>
      </c>
      <c r="G1965" s="10" t="str">
        <f aca="false">IF(D1965="","",IF(D1965&lt;=($E$3*60+$F$3)/86400,"○",""))</f>
        <v/>
      </c>
      <c r="H1965" s="16" t="n">
        <v>0.00744305555555556</v>
      </c>
      <c r="I1965" s="17" t="n">
        <v>820</v>
      </c>
      <c r="J1965" s="16"/>
      <c r="K1965" s="17"/>
      <c r="L1965" s="17" t="n">
        <f aca="false">COUNT(E1965,I1965,K1965)</f>
        <v>1</v>
      </c>
      <c r="M1965" s="18" t="n">
        <f aca="false">(D1965&lt;&gt;"")*(D1965&lt;=($E$3*60+$F$3)/86400)+(H1965&lt;&gt;"")*(H1965&lt;=($I$3*60+$J$3)/86400)+(J1965&lt;&gt;"")*(J1965&lt;=($M$3*60+$N$3)/86400)</f>
        <v>0</v>
      </c>
      <c r="N1965" s="20"/>
      <c r="O1965" s="20"/>
      <c r="P1965" s="20"/>
      <c r="Q1965" s="19"/>
    </row>
    <row r="1966" customFormat="false" ht="15" hidden="false" customHeight="false" outlineLevel="0" collapsed="false">
      <c r="A1966" s="10" t="n">
        <v>1960</v>
      </c>
      <c r="B1966" s="12" t="s">
        <v>3045</v>
      </c>
      <c r="C1966" s="12" t="s">
        <v>2453</v>
      </c>
      <c r="D1966" s="13"/>
      <c r="E1966" s="14"/>
      <c r="F1966" s="15" t="str">
        <f aca="false">IF(D1966="","",ROUND((D1966-MIN($D$7:$D$9999))*86400,2))</f>
        <v/>
      </c>
      <c r="G1966" s="10" t="str">
        <f aca="false">IF(D1966="","",IF(D1966&lt;=($E$3*60+$F$3)/86400,"○",""))</f>
        <v/>
      </c>
      <c r="H1966" s="16" t="n">
        <v>0.00744328703703704</v>
      </c>
      <c r="I1966" s="17" t="n">
        <v>821</v>
      </c>
      <c r="J1966" s="16"/>
      <c r="K1966" s="17"/>
      <c r="L1966" s="17" t="n">
        <f aca="false">COUNT(E1966,I1966,K1966)</f>
        <v>1</v>
      </c>
      <c r="M1966" s="18" t="n">
        <f aca="false">(D1966&lt;&gt;"")*(D1966&lt;=($E$3*60+$F$3)/86400)+(H1966&lt;&gt;"")*(H1966&lt;=($I$3*60+$J$3)/86400)+(J1966&lt;&gt;"")*(J1966&lt;=($M$3*60+$N$3)/86400)</f>
        <v>0</v>
      </c>
      <c r="N1966" s="20"/>
      <c r="O1966" s="20"/>
      <c r="P1966" s="20"/>
      <c r="Q1966" s="19"/>
    </row>
    <row r="1967" customFormat="false" ht="15" hidden="false" customHeight="false" outlineLevel="0" collapsed="false">
      <c r="A1967" s="10" t="n">
        <v>1961</v>
      </c>
      <c r="B1967" s="12" t="s">
        <v>3046</v>
      </c>
      <c r="C1967" s="12" t="s">
        <v>3047</v>
      </c>
      <c r="D1967" s="13"/>
      <c r="E1967" s="14"/>
      <c r="F1967" s="15" t="str">
        <f aca="false">IF(D1967="","",ROUND((D1967-MIN($D$7:$D$9999))*86400,2))</f>
        <v/>
      </c>
      <c r="G1967" s="10" t="str">
        <f aca="false">IF(D1967="","",IF(D1967&lt;=($E$3*60+$F$3)/86400,"○",""))</f>
        <v/>
      </c>
      <c r="H1967" s="16" t="n">
        <v>0.00744490740740741</v>
      </c>
      <c r="I1967" s="17" t="n">
        <v>822</v>
      </c>
      <c r="J1967" s="16"/>
      <c r="K1967" s="17"/>
      <c r="L1967" s="17" t="n">
        <f aca="false">COUNT(E1967,I1967,K1967)</f>
        <v>1</v>
      </c>
      <c r="M1967" s="18" t="n">
        <f aca="false">(D1967&lt;&gt;"")*(D1967&lt;=($E$3*60+$F$3)/86400)+(H1967&lt;&gt;"")*(H1967&lt;=($I$3*60+$J$3)/86400)+(J1967&lt;&gt;"")*(J1967&lt;=($M$3*60+$N$3)/86400)</f>
        <v>0</v>
      </c>
      <c r="N1967" s="20"/>
      <c r="O1967" s="20"/>
      <c r="P1967" s="20"/>
      <c r="Q1967" s="19"/>
    </row>
    <row r="1968" customFormat="false" ht="15" hidden="false" customHeight="false" outlineLevel="0" collapsed="false">
      <c r="A1968" s="10" t="n">
        <v>1962</v>
      </c>
      <c r="B1968" s="12" t="s">
        <v>3048</v>
      </c>
      <c r="C1968" s="12" t="s">
        <v>1641</v>
      </c>
      <c r="D1968" s="13"/>
      <c r="E1968" s="14"/>
      <c r="F1968" s="15" t="str">
        <f aca="false">IF(D1968="","",ROUND((D1968-MIN($D$7:$D$9999))*86400,2))</f>
        <v/>
      </c>
      <c r="G1968" s="10" t="str">
        <f aca="false">IF(D1968="","",IF(D1968&lt;=($E$3*60+$F$3)/86400,"○",""))</f>
        <v/>
      </c>
      <c r="H1968" s="16" t="n">
        <v>0.00744571759259259</v>
      </c>
      <c r="I1968" s="17" t="n">
        <v>823</v>
      </c>
      <c r="J1968" s="16"/>
      <c r="K1968" s="17"/>
      <c r="L1968" s="17" t="n">
        <f aca="false">COUNT(E1968,I1968,K1968)</f>
        <v>1</v>
      </c>
      <c r="M1968" s="18" t="n">
        <f aca="false">(D1968&lt;&gt;"")*(D1968&lt;=($E$3*60+$F$3)/86400)+(H1968&lt;&gt;"")*(H1968&lt;=($I$3*60+$J$3)/86400)+(J1968&lt;&gt;"")*(J1968&lt;=($M$3*60+$N$3)/86400)</f>
        <v>0</v>
      </c>
      <c r="N1968" s="20"/>
      <c r="O1968" s="20"/>
      <c r="P1968" s="20"/>
      <c r="Q1968" s="19"/>
    </row>
    <row r="1969" customFormat="false" ht="15" hidden="false" customHeight="false" outlineLevel="0" collapsed="false">
      <c r="A1969" s="10" t="n">
        <v>1963</v>
      </c>
      <c r="B1969" s="12" t="s">
        <v>3049</v>
      </c>
      <c r="C1969" s="12" t="s">
        <v>2927</v>
      </c>
      <c r="D1969" s="13"/>
      <c r="E1969" s="14"/>
      <c r="F1969" s="15" t="str">
        <f aca="false">IF(D1969="","",ROUND((D1969-MIN($D$7:$D$9999))*86400,2))</f>
        <v/>
      </c>
      <c r="G1969" s="10" t="str">
        <f aca="false">IF(D1969="","",IF(D1969&lt;=($E$3*60+$F$3)/86400,"○",""))</f>
        <v/>
      </c>
      <c r="H1969" s="16" t="n">
        <v>0.00744675925925926</v>
      </c>
      <c r="I1969" s="17" t="n">
        <v>824</v>
      </c>
      <c r="J1969" s="16"/>
      <c r="K1969" s="17"/>
      <c r="L1969" s="17" t="n">
        <f aca="false">COUNT(E1969,I1969,K1969)</f>
        <v>1</v>
      </c>
      <c r="M1969" s="18" t="n">
        <f aca="false">(D1969&lt;&gt;"")*(D1969&lt;=($E$3*60+$F$3)/86400)+(H1969&lt;&gt;"")*(H1969&lt;=($I$3*60+$J$3)/86400)+(J1969&lt;&gt;"")*(J1969&lt;=($M$3*60+$N$3)/86400)</f>
        <v>0</v>
      </c>
      <c r="N1969" s="20"/>
      <c r="O1969" s="20"/>
      <c r="P1969" s="20"/>
      <c r="Q1969" s="19"/>
    </row>
    <row r="1970" customFormat="false" ht="15" hidden="false" customHeight="false" outlineLevel="0" collapsed="false">
      <c r="A1970" s="10" t="n">
        <v>1964</v>
      </c>
      <c r="B1970" s="12" t="s">
        <v>3050</v>
      </c>
      <c r="C1970" s="12" t="s">
        <v>1209</v>
      </c>
      <c r="D1970" s="13"/>
      <c r="E1970" s="14"/>
      <c r="F1970" s="15" t="str">
        <f aca="false">IF(D1970="","",ROUND((D1970-MIN($D$7:$D$9999))*86400,2))</f>
        <v/>
      </c>
      <c r="G1970" s="10" t="str">
        <f aca="false">IF(D1970="","",IF(D1970&lt;=($E$3*60+$F$3)/86400,"○",""))</f>
        <v/>
      </c>
      <c r="H1970" s="16" t="n">
        <v>0.00744768518518519</v>
      </c>
      <c r="I1970" s="17" t="n">
        <v>825</v>
      </c>
      <c r="J1970" s="16"/>
      <c r="K1970" s="17"/>
      <c r="L1970" s="17" t="n">
        <f aca="false">COUNT(E1970,I1970,K1970)</f>
        <v>1</v>
      </c>
      <c r="M1970" s="18" t="n">
        <f aca="false">(D1970&lt;&gt;"")*(D1970&lt;=($E$3*60+$F$3)/86400)+(H1970&lt;&gt;"")*(H1970&lt;=($I$3*60+$J$3)/86400)+(J1970&lt;&gt;"")*(J1970&lt;=($M$3*60+$N$3)/86400)</f>
        <v>0</v>
      </c>
      <c r="N1970" s="20"/>
      <c r="O1970" s="20"/>
      <c r="P1970" s="20"/>
      <c r="Q1970" s="19"/>
    </row>
    <row r="1971" customFormat="false" ht="15" hidden="false" customHeight="false" outlineLevel="0" collapsed="false">
      <c r="A1971" s="10" t="n">
        <v>1965</v>
      </c>
      <c r="B1971" s="12" t="s">
        <v>3051</v>
      </c>
      <c r="C1971" s="12" t="s">
        <v>204</v>
      </c>
      <c r="D1971" s="13"/>
      <c r="E1971" s="14"/>
      <c r="F1971" s="15" t="str">
        <f aca="false">IF(D1971="","",ROUND((D1971-MIN($D$7:$D$9999))*86400,2))</f>
        <v/>
      </c>
      <c r="G1971" s="10" t="str">
        <f aca="false">IF(D1971="","",IF(D1971&lt;=($E$3*60+$F$3)/86400,"○",""))</f>
        <v/>
      </c>
      <c r="H1971" s="16"/>
      <c r="I1971" s="17"/>
      <c r="J1971" s="16" t="n">
        <v>0.00288611111111111</v>
      </c>
      <c r="K1971" s="17" t="n">
        <v>825</v>
      </c>
      <c r="L1971" s="17" t="n">
        <f aca="false">COUNT(E1971,I1971,K1971)</f>
        <v>1</v>
      </c>
      <c r="M1971" s="18" t="n">
        <f aca="false">(D1971&lt;&gt;"")*(D1971&lt;=($E$3*60+$F$3)/86400)+(H1971&lt;&gt;"")*(H1971&lt;=($I$3*60+$J$3)/86400)+(J1971&lt;&gt;"")*(J1971&lt;=($M$3*60+$N$3)/86400)</f>
        <v>0</v>
      </c>
      <c r="N1971" s="20"/>
      <c r="O1971" s="20"/>
      <c r="P1971" s="20"/>
      <c r="Q1971" s="19"/>
    </row>
    <row r="1972" customFormat="false" ht="15" hidden="false" customHeight="false" outlineLevel="0" collapsed="false">
      <c r="A1972" s="10" t="n">
        <v>1966</v>
      </c>
      <c r="B1972" s="12" t="s">
        <v>3052</v>
      </c>
      <c r="C1972" s="12" t="s">
        <v>1334</v>
      </c>
      <c r="D1972" s="13"/>
      <c r="E1972" s="14"/>
      <c r="F1972" s="15" t="str">
        <f aca="false">IF(D1972="","",ROUND((D1972-MIN($D$7:$D$9999))*86400,2))</f>
        <v/>
      </c>
      <c r="G1972" s="10" t="str">
        <f aca="false">IF(D1972="","",IF(D1972&lt;=($E$3*60+$F$3)/86400,"○",""))</f>
        <v/>
      </c>
      <c r="H1972" s="16" t="n">
        <v>0.00744791666666667</v>
      </c>
      <c r="I1972" s="17" t="n">
        <v>826</v>
      </c>
      <c r="J1972" s="16"/>
      <c r="K1972" s="17"/>
      <c r="L1972" s="17" t="n">
        <f aca="false">COUNT(E1972,I1972,K1972)</f>
        <v>1</v>
      </c>
      <c r="M1972" s="18" t="n">
        <f aca="false">(D1972&lt;&gt;"")*(D1972&lt;=($E$3*60+$F$3)/86400)+(H1972&lt;&gt;"")*(H1972&lt;=($I$3*60+$J$3)/86400)+(J1972&lt;&gt;"")*(J1972&lt;=($M$3*60+$N$3)/86400)</f>
        <v>0</v>
      </c>
      <c r="N1972" s="20"/>
      <c r="O1972" s="20"/>
      <c r="P1972" s="20"/>
      <c r="Q1972" s="19"/>
    </row>
    <row r="1973" customFormat="false" ht="15" hidden="false" customHeight="false" outlineLevel="0" collapsed="false">
      <c r="A1973" s="10" t="n">
        <v>1967</v>
      </c>
      <c r="B1973" s="12" t="s">
        <v>3053</v>
      </c>
      <c r="C1973" s="12" t="s">
        <v>2114</v>
      </c>
      <c r="D1973" s="13"/>
      <c r="E1973" s="14"/>
      <c r="F1973" s="15" t="str">
        <f aca="false">IF(D1973="","",ROUND((D1973-MIN($D$7:$D$9999))*86400,2))</f>
        <v/>
      </c>
      <c r="G1973" s="10" t="str">
        <f aca="false">IF(D1973="","",IF(D1973&lt;=($E$3*60+$F$3)/86400,"○",""))</f>
        <v/>
      </c>
      <c r="H1973" s="16" t="n">
        <v>0.00825486111111111</v>
      </c>
      <c r="I1973" s="17" t="n">
        <v>1244</v>
      </c>
      <c r="J1973" s="16" t="n">
        <v>0.00288657407407407</v>
      </c>
      <c r="K1973" s="17" t="n">
        <v>827</v>
      </c>
      <c r="L1973" s="17" t="n">
        <f aca="false">COUNT(E1973,I1973,K1973)</f>
        <v>2</v>
      </c>
      <c r="M1973" s="18" t="n">
        <f aca="false">(D1973&lt;&gt;"")*(D1973&lt;=($E$3*60+$F$3)/86400)+(H1973&lt;&gt;"")*(H1973&lt;=($I$3*60+$J$3)/86400)+(J1973&lt;&gt;"")*(J1973&lt;=($M$3*60+$N$3)/86400)</f>
        <v>0</v>
      </c>
      <c r="N1973" s="20"/>
      <c r="O1973" s="20"/>
      <c r="P1973" s="20"/>
      <c r="Q1973" s="19"/>
    </row>
    <row r="1974" customFormat="false" ht="15" hidden="false" customHeight="false" outlineLevel="0" collapsed="false">
      <c r="A1974" s="10" t="n">
        <v>1968</v>
      </c>
      <c r="B1974" s="12" t="s">
        <v>3054</v>
      </c>
      <c r="C1974" s="12" t="s">
        <v>3055</v>
      </c>
      <c r="D1974" s="13"/>
      <c r="E1974" s="14"/>
      <c r="F1974" s="15" t="str">
        <f aca="false">IF(D1974="","",ROUND((D1974-MIN($D$7:$D$9999))*86400,2))</f>
        <v/>
      </c>
      <c r="G1974" s="10" t="str">
        <f aca="false">IF(D1974="","",IF(D1974&lt;=($E$3*60+$F$3)/86400,"○",""))</f>
        <v/>
      </c>
      <c r="H1974" s="16" t="n">
        <v>0.00744826388888889</v>
      </c>
      <c r="I1974" s="17" t="n">
        <v>827</v>
      </c>
      <c r="J1974" s="16"/>
      <c r="K1974" s="17"/>
      <c r="L1974" s="17" t="n">
        <f aca="false">COUNT(E1974,I1974,K1974)</f>
        <v>1</v>
      </c>
      <c r="M1974" s="18" t="n">
        <f aca="false">(D1974&lt;&gt;"")*(D1974&lt;=($E$3*60+$F$3)/86400)+(H1974&lt;&gt;"")*(H1974&lt;=($I$3*60+$J$3)/86400)+(J1974&lt;&gt;"")*(J1974&lt;=($M$3*60+$N$3)/86400)</f>
        <v>0</v>
      </c>
      <c r="N1974" s="20"/>
      <c r="O1974" s="20"/>
      <c r="P1974" s="20"/>
      <c r="Q1974" s="19"/>
    </row>
    <row r="1975" customFormat="false" ht="15" hidden="false" customHeight="false" outlineLevel="0" collapsed="false">
      <c r="A1975" s="10" t="n">
        <v>1969</v>
      </c>
      <c r="B1975" s="12" t="s">
        <v>3056</v>
      </c>
      <c r="C1975" s="12" t="s">
        <v>3057</v>
      </c>
      <c r="D1975" s="13"/>
      <c r="E1975" s="14"/>
      <c r="F1975" s="15" t="str">
        <f aca="false">IF(D1975="","",ROUND((D1975-MIN($D$7:$D$9999))*86400,2))</f>
        <v/>
      </c>
      <c r="G1975" s="10" t="str">
        <f aca="false">IF(D1975="","",IF(D1975&lt;=($E$3*60+$F$3)/86400,"○",""))</f>
        <v/>
      </c>
      <c r="H1975" s="16" t="n">
        <v>0.00744872685185185</v>
      </c>
      <c r="I1975" s="17" t="n">
        <v>828</v>
      </c>
      <c r="J1975" s="16" t="n">
        <v>0.00295092592592593</v>
      </c>
      <c r="K1975" s="17" t="n">
        <v>1243</v>
      </c>
      <c r="L1975" s="17" t="n">
        <f aca="false">COUNT(E1975,I1975,K1975)</f>
        <v>2</v>
      </c>
      <c r="M1975" s="18" t="n">
        <f aca="false">(D1975&lt;&gt;"")*(D1975&lt;=($E$3*60+$F$3)/86400)+(H1975&lt;&gt;"")*(H1975&lt;=($I$3*60+$J$3)/86400)+(J1975&lt;&gt;"")*(J1975&lt;=($M$3*60+$N$3)/86400)</f>
        <v>0</v>
      </c>
      <c r="N1975" s="20"/>
      <c r="O1975" s="20"/>
      <c r="P1975" s="20"/>
      <c r="Q1975" s="19"/>
    </row>
    <row r="1976" customFormat="false" ht="15" hidden="false" customHeight="false" outlineLevel="0" collapsed="false">
      <c r="A1976" s="10" t="n">
        <v>1970</v>
      </c>
      <c r="B1976" s="12" t="s">
        <v>3058</v>
      </c>
      <c r="C1976" s="12" t="s">
        <v>3059</v>
      </c>
      <c r="D1976" s="13"/>
      <c r="E1976" s="14"/>
      <c r="F1976" s="15" t="str">
        <f aca="false">IF(D1976="","",ROUND((D1976-MIN($D$7:$D$9999))*86400,2))</f>
        <v/>
      </c>
      <c r="G1976" s="10" t="str">
        <f aca="false">IF(D1976="","",IF(D1976&lt;=($E$3*60+$F$3)/86400,"○",""))</f>
        <v/>
      </c>
      <c r="H1976" s="16" t="n">
        <v>0.00744953703703704</v>
      </c>
      <c r="I1976" s="17" t="n">
        <v>829</v>
      </c>
      <c r="J1976" s="16"/>
      <c r="K1976" s="17"/>
      <c r="L1976" s="17" t="n">
        <f aca="false">COUNT(E1976,I1976,K1976)</f>
        <v>1</v>
      </c>
      <c r="M1976" s="18" t="n">
        <f aca="false">(D1976&lt;&gt;"")*(D1976&lt;=($E$3*60+$F$3)/86400)+(H1976&lt;&gt;"")*(H1976&lt;=($I$3*60+$J$3)/86400)+(J1976&lt;&gt;"")*(J1976&lt;=($M$3*60+$N$3)/86400)</f>
        <v>0</v>
      </c>
      <c r="N1976" s="20"/>
      <c r="O1976" s="20"/>
      <c r="P1976" s="20"/>
      <c r="Q1976" s="19"/>
    </row>
    <row r="1977" customFormat="false" ht="15" hidden="false" customHeight="false" outlineLevel="0" collapsed="false">
      <c r="A1977" s="10" t="n">
        <v>1971</v>
      </c>
      <c r="B1977" s="12" t="s">
        <v>3060</v>
      </c>
      <c r="C1977" s="12" t="s">
        <v>2811</v>
      </c>
      <c r="D1977" s="13"/>
      <c r="E1977" s="14"/>
      <c r="F1977" s="15" t="str">
        <f aca="false">IF(D1977="","",ROUND((D1977-MIN($D$7:$D$9999))*86400,2))</f>
        <v/>
      </c>
      <c r="G1977" s="10" t="str">
        <f aca="false">IF(D1977="","",IF(D1977&lt;=($E$3*60+$F$3)/86400,"○",""))</f>
        <v/>
      </c>
      <c r="H1977" s="16" t="n">
        <v>0.00745011574074074</v>
      </c>
      <c r="I1977" s="17" t="n">
        <v>830</v>
      </c>
      <c r="J1977" s="16"/>
      <c r="K1977" s="17"/>
      <c r="L1977" s="17" t="n">
        <f aca="false">COUNT(E1977,I1977,K1977)</f>
        <v>1</v>
      </c>
      <c r="M1977" s="18" t="n">
        <f aca="false">(D1977&lt;&gt;"")*(D1977&lt;=($E$3*60+$F$3)/86400)+(H1977&lt;&gt;"")*(H1977&lt;=($I$3*60+$J$3)/86400)+(J1977&lt;&gt;"")*(J1977&lt;=($M$3*60+$N$3)/86400)</f>
        <v>0</v>
      </c>
      <c r="N1977" s="20"/>
      <c r="O1977" s="20"/>
      <c r="P1977" s="20"/>
      <c r="Q1977" s="19"/>
    </row>
    <row r="1978" customFormat="false" ht="15" hidden="false" customHeight="false" outlineLevel="0" collapsed="false">
      <c r="A1978" s="10" t="n">
        <v>1972</v>
      </c>
      <c r="B1978" s="12" t="s">
        <v>3061</v>
      </c>
      <c r="C1978" s="12" t="s">
        <v>3062</v>
      </c>
      <c r="D1978" s="13"/>
      <c r="E1978" s="14"/>
      <c r="F1978" s="15" t="str">
        <f aca="false">IF(D1978="","",ROUND((D1978-MIN($D$7:$D$9999))*86400,2))</f>
        <v/>
      </c>
      <c r="G1978" s="10" t="str">
        <f aca="false">IF(D1978="","",IF(D1978&lt;=($E$3*60+$F$3)/86400,"○",""))</f>
        <v/>
      </c>
      <c r="H1978" s="16"/>
      <c r="I1978" s="17"/>
      <c r="J1978" s="16" t="n">
        <v>0.00288668981481482</v>
      </c>
      <c r="K1978" s="17" t="n">
        <v>830</v>
      </c>
      <c r="L1978" s="17" t="n">
        <f aca="false">COUNT(E1978,I1978,K1978)</f>
        <v>1</v>
      </c>
      <c r="M1978" s="18" t="n">
        <f aca="false">(D1978&lt;&gt;"")*(D1978&lt;=($E$3*60+$F$3)/86400)+(H1978&lt;&gt;"")*(H1978&lt;=($I$3*60+$J$3)/86400)+(J1978&lt;&gt;"")*(J1978&lt;=($M$3*60+$N$3)/86400)</f>
        <v>0</v>
      </c>
      <c r="N1978" s="20"/>
      <c r="O1978" s="20"/>
      <c r="P1978" s="20"/>
      <c r="Q1978" s="19"/>
    </row>
    <row r="1979" customFormat="false" ht="15" hidden="false" customHeight="false" outlineLevel="0" collapsed="false">
      <c r="A1979" s="10" t="n">
        <v>1973</v>
      </c>
      <c r="B1979" s="12" t="s">
        <v>3063</v>
      </c>
      <c r="C1979" s="12" t="s">
        <v>3064</v>
      </c>
      <c r="D1979" s="13"/>
      <c r="E1979" s="14"/>
      <c r="F1979" s="15" t="str">
        <f aca="false">IF(D1979="","",ROUND((D1979-MIN($D$7:$D$9999))*86400,2))</f>
        <v/>
      </c>
      <c r="G1979" s="10" t="str">
        <f aca="false">IF(D1979="","",IF(D1979&lt;=($E$3*60+$F$3)/86400,"○",""))</f>
        <v/>
      </c>
      <c r="H1979" s="16" t="n">
        <v>0.00745162037037037</v>
      </c>
      <c r="I1979" s="17" t="n">
        <v>831</v>
      </c>
      <c r="J1979" s="16"/>
      <c r="K1979" s="17"/>
      <c r="L1979" s="17" t="n">
        <f aca="false">COUNT(E1979,I1979,K1979)</f>
        <v>1</v>
      </c>
      <c r="M1979" s="18" t="n">
        <f aca="false">(D1979&lt;&gt;"")*(D1979&lt;=($E$3*60+$F$3)/86400)+(H1979&lt;&gt;"")*(H1979&lt;=($I$3*60+$J$3)/86400)+(J1979&lt;&gt;"")*(J1979&lt;=($M$3*60+$N$3)/86400)</f>
        <v>0</v>
      </c>
      <c r="N1979" s="20"/>
      <c r="O1979" s="20"/>
      <c r="P1979" s="20"/>
      <c r="Q1979" s="19"/>
    </row>
    <row r="1980" customFormat="false" ht="15" hidden="false" customHeight="false" outlineLevel="0" collapsed="false">
      <c r="A1980" s="10" t="n">
        <v>1974</v>
      </c>
      <c r="B1980" s="12" t="s">
        <v>3065</v>
      </c>
      <c r="C1980" s="12" t="s">
        <v>532</v>
      </c>
      <c r="D1980" s="13"/>
      <c r="E1980" s="14"/>
      <c r="F1980" s="15" t="str">
        <f aca="false">IF(D1980="","",ROUND((D1980-MIN($D$7:$D$9999))*86400,2))</f>
        <v/>
      </c>
      <c r="G1980" s="10" t="str">
        <f aca="false">IF(D1980="","",IF(D1980&lt;=($E$3*60+$F$3)/86400,"○",""))</f>
        <v/>
      </c>
      <c r="H1980" s="16"/>
      <c r="I1980" s="17"/>
      <c r="J1980" s="16" t="n">
        <v>0.00288680555555556</v>
      </c>
      <c r="K1980" s="17" t="n">
        <v>831</v>
      </c>
      <c r="L1980" s="17" t="n">
        <f aca="false">COUNT(E1980,I1980,K1980)</f>
        <v>1</v>
      </c>
      <c r="M1980" s="18" t="n">
        <f aca="false">(D1980&lt;&gt;"")*(D1980&lt;=($E$3*60+$F$3)/86400)+(H1980&lt;&gt;"")*(H1980&lt;=($I$3*60+$J$3)/86400)+(J1980&lt;&gt;"")*(J1980&lt;=($M$3*60+$N$3)/86400)</f>
        <v>0</v>
      </c>
      <c r="N1980" s="20"/>
      <c r="O1980" s="20"/>
      <c r="P1980" s="20"/>
      <c r="Q1980" s="19"/>
    </row>
    <row r="1981" customFormat="false" ht="15" hidden="false" customHeight="false" outlineLevel="0" collapsed="false">
      <c r="A1981" s="10" t="n">
        <v>1975</v>
      </c>
      <c r="B1981" s="12" t="s">
        <v>3066</v>
      </c>
      <c r="C1981" s="12" t="s">
        <v>858</v>
      </c>
      <c r="D1981" s="13"/>
      <c r="E1981" s="14"/>
      <c r="F1981" s="15" t="str">
        <f aca="false">IF(D1981="","",ROUND((D1981-MIN($D$7:$D$9999))*86400,2))</f>
        <v/>
      </c>
      <c r="G1981" s="10" t="str">
        <f aca="false">IF(D1981="","",IF(D1981&lt;=($E$3*60+$F$3)/86400,"○",""))</f>
        <v/>
      </c>
      <c r="H1981" s="16" t="n">
        <v>0.0074525462962963</v>
      </c>
      <c r="I1981" s="17" t="n">
        <v>832</v>
      </c>
      <c r="J1981" s="16"/>
      <c r="K1981" s="17"/>
      <c r="L1981" s="17" t="n">
        <f aca="false">COUNT(E1981,I1981,K1981)</f>
        <v>1</v>
      </c>
      <c r="M1981" s="18" t="n">
        <f aca="false">(D1981&lt;&gt;"")*(D1981&lt;=($E$3*60+$F$3)/86400)+(H1981&lt;&gt;"")*(H1981&lt;=($I$3*60+$J$3)/86400)+(J1981&lt;&gt;"")*(J1981&lt;=($M$3*60+$N$3)/86400)</f>
        <v>0</v>
      </c>
      <c r="N1981" s="20"/>
      <c r="O1981" s="20"/>
      <c r="P1981" s="20"/>
      <c r="Q1981" s="19"/>
    </row>
    <row r="1982" customFormat="false" ht="15" hidden="false" customHeight="false" outlineLevel="0" collapsed="false">
      <c r="A1982" s="10" t="n">
        <v>1976</v>
      </c>
      <c r="B1982" s="12" t="s">
        <v>3067</v>
      </c>
      <c r="C1982" s="12" t="s">
        <v>2272</v>
      </c>
      <c r="D1982" s="13"/>
      <c r="E1982" s="14"/>
      <c r="F1982" s="15" t="str">
        <f aca="false">IF(D1982="","",ROUND((D1982-MIN($D$7:$D$9999))*86400,2))</f>
        <v/>
      </c>
      <c r="G1982" s="10" t="str">
        <f aca="false">IF(D1982="","",IF(D1982&lt;=($E$3*60+$F$3)/86400,"○",""))</f>
        <v/>
      </c>
      <c r="H1982" s="16" t="n">
        <v>0.00745277777777778</v>
      </c>
      <c r="I1982" s="17" t="n">
        <v>833</v>
      </c>
      <c r="J1982" s="16"/>
      <c r="K1982" s="17"/>
      <c r="L1982" s="17" t="n">
        <f aca="false">COUNT(E1982,I1982,K1982)</f>
        <v>1</v>
      </c>
      <c r="M1982" s="18" t="n">
        <f aca="false">(D1982&lt;&gt;"")*(D1982&lt;=($E$3*60+$F$3)/86400)+(H1982&lt;&gt;"")*(H1982&lt;=($I$3*60+$J$3)/86400)+(J1982&lt;&gt;"")*(J1982&lt;=($M$3*60+$N$3)/86400)</f>
        <v>0</v>
      </c>
      <c r="N1982" s="20"/>
      <c r="O1982" s="20"/>
      <c r="P1982" s="20"/>
      <c r="Q1982" s="19"/>
    </row>
    <row r="1983" customFormat="false" ht="15" hidden="false" customHeight="false" outlineLevel="0" collapsed="false">
      <c r="A1983" s="10" t="n">
        <v>1977</v>
      </c>
      <c r="B1983" s="12" t="s">
        <v>3068</v>
      </c>
      <c r="C1983" s="12" t="s">
        <v>3069</v>
      </c>
      <c r="D1983" s="13"/>
      <c r="E1983" s="14"/>
      <c r="F1983" s="15" t="str">
        <f aca="false">IF(D1983="","",ROUND((D1983-MIN($D$7:$D$9999))*86400,2))</f>
        <v/>
      </c>
      <c r="G1983" s="10" t="str">
        <f aca="false">IF(D1983="","",IF(D1983&lt;=($E$3*60+$F$3)/86400,"○",""))</f>
        <v/>
      </c>
      <c r="H1983" s="16" t="n">
        <v>0.00745289351851852</v>
      </c>
      <c r="I1983" s="17" t="n">
        <v>834</v>
      </c>
      <c r="J1983" s="16"/>
      <c r="K1983" s="17"/>
      <c r="L1983" s="17" t="n">
        <f aca="false">COUNT(E1983,I1983,K1983)</f>
        <v>1</v>
      </c>
      <c r="M1983" s="18" t="n">
        <f aca="false">(D1983&lt;&gt;"")*(D1983&lt;=($E$3*60+$F$3)/86400)+(H1983&lt;&gt;"")*(H1983&lt;=($I$3*60+$J$3)/86400)+(J1983&lt;&gt;"")*(J1983&lt;=($M$3*60+$N$3)/86400)</f>
        <v>0</v>
      </c>
      <c r="N1983" s="20"/>
      <c r="O1983" s="20"/>
      <c r="P1983" s="20"/>
      <c r="Q1983" s="19"/>
    </row>
    <row r="1984" customFormat="false" ht="15" hidden="false" customHeight="false" outlineLevel="0" collapsed="false">
      <c r="A1984" s="10" t="n">
        <v>1978</v>
      </c>
      <c r="B1984" s="12" t="s">
        <v>3070</v>
      </c>
      <c r="C1984" s="12" t="s">
        <v>2504</v>
      </c>
      <c r="D1984" s="13"/>
      <c r="E1984" s="14"/>
      <c r="F1984" s="15" t="str">
        <f aca="false">IF(D1984="","",ROUND((D1984-MIN($D$7:$D$9999))*86400,2))</f>
        <v/>
      </c>
      <c r="G1984" s="10" t="str">
        <f aca="false">IF(D1984="","",IF(D1984&lt;=($E$3*60+$F$3)/86400,"○",""))</f>
        <v/>
      </c>
      <c r="H1984" s="16"/>
      <c r="I1984" s="17"/>
      <c r="J1984" s="16" t="n">
        <v>0.00288703703703704</v>
      </c>
      <c r="K1984" s="17" t="n">
        <v>834</v>
      </c>
      <c r="L1984" s="17" t="n">
        <f aca="false">COUNT(E1984,I1984,K1984)</f>
        <v>1</v>
      </c>
      <c r="M1984" s="18" t="n">
        <f aca="false">(D1984&lt;&gt;"")*(D1984&lt;=($E$3*60+$F$3)/86400)+(H1984&lt;&gt;"")*(H1984&lt;=($I$3*60+$J$3)/86400)+(J1984&lt;&gt;"")*(J1984&lt;=($M$3*60+$N$3)/86400)</f>
        <v>0</v>
      </c>
      <c r="N1984" s="20"/>
      <c r="O1984" s="20"/>
      <c r="P1984" s="20"/>
      <c r="Q1984" s="19"/>
    </row>
    <row r="1985" customFormat="false" ht="15" hidden="false" customHeight="false" outlineLevel="0" collapsed="false">
      <c r="A1985" s="10" t="n">
        <v>1979</v>
      </c>
      <c r="B1985" s="12" t="s">
        <v>3071</v>
      </c>
      <c r="C1985" s="12" t="s">
        <v>2560</v>
      </c>
      <c r="D1985" s="13"/>
      <c r="E1985" s="14"/>
      <c r="F1985" s="15" t="str">
        <f aca="false">IF(D1985="","",ROUND((D1985-MIN($D$7:$D$9999))*86400,2))</f>
        <v/>
      </c>
      <c r="G1985" s="10" t="str">
        <f aca="false">IF(D1985="","",IF(D1985&lt;=($E$3*60+$F$3)/86400,"○",""))</f>
        <v/>
      </c>
      <c r="H1985" s="16" t="n">
        <v>0.00745289351851852</v>
      </c>
      <c r="I1985" s="17" t="n">
        <v>835</v>
      </c>
      <c r="J1985" s="16"/>
      <c r="K1985" s="17"/>
      <c r="L1985" s="17" t="n">
        <f aca="false">COUNT(E1985,I1985,K1985)</f>
        <v>1</v>
      </c>
      <c r="M1985" s="18" t="n">
        <f aca="false">(D1985&lt;&gt;"")*(D1985&lt;=($E$3*60+$F$3)/86400)+(H1985&lt;&gt;"")*(H1985&lt;=($I$3*60+$J$3)/86400)+(J1985&lt;&gt;"")*(J1985&lt;=($M$3*60+$N$3)/86400)</f>
        <v>0</v>
      </c>
      <c r="N1985" s="20"/>
      <c r="O1985" s="20"/>
      <c r="P1985" s="20"/>
      <c r="Q1985" s="19"/>
    </row>
    <row r="1986" customFormat="false" ht="15" hidden="false" customHeight="false" outlineLevel="0" collapsed="false">
      <c r="A1986" s="10" t="n">
        <v>1980</v>
      </c>
      <c r="B1986" s="12" t="s">
        <v>3072</v>
      </c>
      <c r="C1986" s="12" t="s">
        <v>3073</v>
      </c>
      <c r="D1986" s="13"/>
      <c r="E1986" s="14"/>
      <c r="F1986" s="15" t="str">
        <f aca="false">IF(D1986="","",ROUND((D1986-MIN($D$7:$D$9999))*86400,2))</f>
        <v/>
      </c>
      <c r="G1986" s="10" t="str">
        <f aca="false">IF(D1986="","",IF(D1986&lt;=($E$3*60+$F$3)/86400,"○",""))</f>
        <v/>
      </c>
      <c r="H1986" s="16" t="n">
        <v>0.00745347222222222</v>
      </c>
      <c r="I1986" s="17" t="n">
        <v>836</v>
      </c>
      <c r="J1986" s="16"/>
      <c r="K1986" s="17"/>
      <c r="L1986" s="17" t="n">
        <f aca="false">COUNT(E1986,I1986,K1986)</f>
        <v>1</v>
      </c>
      <c r="M1986" s="18" t="n">
        <f aca="false">(D1986&lt;&gt;"")*(D1986&lt;=($E$3*60+$F$3)/86400)+(H1986&lt;&gt;"")*(H1986&lt;=($I$3*60+$J$3)/86400)+(J1986&lt;&gt;"")*(J1986&lt;=($M$3*60+$N$3)/86400)</f>
        <v>0</v>
      </c>
      <c r="N1986" s="20"/>
      <c r="O1986" s="20"/>
      <c r="P1986" s="20"/>
      <c r="Q1986" s="19"/>
    </row>
    <row r="1987" customFormat="false" ht="15" hidden="false" customHeight="false" outlineLevel="0" collapsed="false">
      <c r="A1987" s="10" t="n">
        <v>1981</v>
      </c>
      <c r="B1987" s="12" t="s">
        <v>3074</v>
      </c>
      <c r="C1987" s="12" t="s">
        <v>152</v>
      </c>
      <c r="D1987" s="13"/>
      <c r="E1987" s="14"/>
      <c r="F1987" s="15" t="str">
        <f aca="false">IF(D1987="","",ROUND((D1987-MIN($D$7:$D$9999))*86400,2))</f>
        <v/>
      </c>
      <c r="G1987" s="10" t="str">
        <f aca="false">IF(D1987="","",IF(D1987&lt;=($E$3*60+$F$3)/86400,"○",""))</f>
        <v/>
      </c>
      <c r="H1987" s="16"/>
      <c r="I1987" s="17"/>
      <c r="J1987" s="16" t="n">
        <v>0.00288703703703704</v>
      </c>
      <c r="K1987" s="17" t="n">
        <v>836</v>
      </c>
      <c r="L1987" s="17" t="n">
        <f aca="false">COUNT(E1987,I1987,K1987)</f>
        <v>1</v>
      </c>
      <c r="M1987" s="18" t="n">
        <f aca="false">(D1987&lt;&gt;"")*(D1987&lt;=($E$3*60+$F$3)/86400)+(H1987&lt;&gt;"")*(H1987&lt;=($I$3*60+$J$3)/86400)+(J1987&lt;&gt;"")*(J1987&lt;=($M$3*60+$N$3)/86400)</f>
        <v>0</v>
      </c>
      <c r="N1987" s="20"/>
      <c r="O1987" s="20"/>
      <c r="P1987" s="20"/>
      <c r="Q1987" s="19"/>
    </row>
    <row r="1988" customFormat="false" ht="15" hidden="false" customHeight="false" outlineLevel="0" collapsed="false">
      <c r="A1988" s="10" t="n">
        <v>1982</v>
      </c>
      <c r="B1988" s="12" t="s">
        <v>3075</v>
      </c>
      <c r="C1988" s="12" t="s">
        <v>3076</v>
      </c>
      <c r="D1988" s="13"/>
      <c r="E1988" s="14"/>
      <c r="F1988" s="15" t="str">
        <f aca="false">IF(D1988="","",ROUND((D1988-MIN($D$7:$D$9999))*86400,2))</f>
        <v/>
      </c>
      <c r="G1988" s="10" t="str">
        <f aca="false">IF(D1988="","",IF(D1988&lt;=($E$3*60+$F$3)/86400,"○",""))</f>
        <v/>
      </c>
      <c r="H1988" s="16" t="n">
        <v>0.00745405092592593</v>
      </c>
      <c r="I1988" s="17" t="n">
        <v>837</v>
      </c>
      <c r="J1988" s="16"/>
      <c r="K1988" s="17"/>
      <c r="L1988" s="17" t="n">
        <f aca="false">COUNT(E1988,I1988,K1988)</f>
        <v>1</v>
      </c>
      <c r="M1988" s="18" t="n">
        <f aca="false">(D1988&lt;&gt;"")*(D1988&lt;=($E$3*60+$F$3)/86400)+(H1988&lt;&gt;"")*(H1988&lt;=($I$3*60+$J$3)/86400)+(J1988&lt;&gt;"")*(J1988&lt;=($M$3*60+$N$3)/86400)</f>
        <v>0</v>
      </c>
      <c r="N1988" s="20"/>
      <c r="O1988" s="20"/>
      <c r="P1988" s="20"/>
      <c r="Q1988" s="19"/>
    </row>
    <row r="1989" customFormat="false" ht="15" hidden="false" customHeight="false" outlineLevel="0" collapsed="false">
      <c r="A1989" s="10" t="n">
        <v>1983</v>
      </c>
      <c r="B1989" s="12" t="s">
        <v>3077</v>
      </c>
      <c r="C1989" s="12" t="s">
        <v>3078</v>
      </c>
      <c r="D1989" s="13"/>
      <c r="E1989" s="14"/>
      <c r="F1989" s="15" t="str">
        <f aca="false">IF(D1989="","",ROUND((D1989-MIN($D$7:$D$9999))*86400,2))</f>
        <v/>
      </c>
      <c r="G1989" s="10" t="str">
        <f aca="false">IF(D1989="","",IF(D1989&lt;=($E$3*60+$F$3)/86400,"○",""))</f>
        <v/>
      </c>
      <c r="H1989" s="16" t="n">
        <v>0.00745451388888889</v>
      </c>
      <c r="I1989" s="17" t="n">
        <v>838</v>
      </c>
      <c r="J1989" s="16"/>
      <c r="K1989" s="17"/>
      <c r="L1989" s="17" t="n">
        <f aca="false">COUNT(E1989,I1989,K1989)</f>
        <v>1</v>
      </c>
      <c r="M1989" s="18" t="n">
        <f aca="false">(D1989&lt;&gt;"")*(D1989&lt;=($E$3*60+$F$3)/86400)+(H1989&lt;&gt;"")*(H1989&lt;=($I$3*60+$J$3)/86400)+(J1989&lt;&gt;"")*(J1989&lt;=($M$3*60+$N$3)/86400)</f>
        <v>0</v>
      </c>
      <c r="N1989" s="20"/>
      <c r="O1989" s="20"/>
      <c r="P1989" s="20"/>
      <c r="Q1989" s="19"/>
    </row>
    <row r="1990" customFormat="false" ht="15" hidden="false" customHeight="false" outlineLevel="0" collapsed="false">
      <c r="A1990" s="10" t="n">
        <v>1984</v>
      </c>
      <c r="B1990" s="12" t="s">
        <v>3079</v>
      </c>
      <c r="C1990" s="12" t="s">
        <v>1141</v>
      </c>
      <c r="D1990" s="13"/>
      <c r="E1990" s="14"/>
      <c r="F1990" s="15" t="str">
        <f aca="false">IF(D1990="","",ROUND((D1990-MIN($D$7:$D$9999))*86400,2))</f>
        <v/>
      </c>
      <c r="G1990" s="10" t="str">
        <f aca="false">IF(D1990="","",IF(D1990&lt;=($E$3*60+$F$3)/86400,"○",""))</f>
        <v/>
      </c>
      <c r="H1990" s="16"/>
      <c r="I1990" s="17"/>
      <c r="J1990" s="16" t="n">
        <v>0.00288738425925926</v>
      </c>
      <c r="K1990" s="17" t="n">
        <v>838</v>
      </c>
      <c r="L1990" s="17" t="n">
        <f aca="false">COUNT(E1990,I1990,K1990)</f>
        <v>1</v>
      </c>
      <c r="M1990" s="18" t="n">
        <f aca="false">(D1990&lt;&gt;"")*(D1990&lt;=($E$3*60+$F$3)/86400)+(H1990&lt;&gt;"")*(H1990&lt;=($I$3*60+$J$3)/86400)+(J1990&lt;&gt;"")*(J1990&lt;=($M$3*60+$N$3)/86400)</f>
        <v>0</v>
      </c>
      <c r="N1990" s="20"/>
      <c r="O1990" s="20"/>
      <c r="P1990" s="20"/>
      <c r="Q1990" s="19"/>
    </row>
    <row r="1991" customFormat="false" ht="15" hidden="false" customHeight="false" outlineLevel="0" collapsed="false">
      <c r="A1991" s="10" t="n">
        <v>1985</v>
      </c>
      <c r="B1991" s="12" t="s">
        <v>3080</v>
      </c>
      <c r="C1991" s="12" t="s">
        <v>3081</v>
      </c>
      <c r="D1991" s="13"/>
      <c r="E1991" s="14"/>
      <c r="F1991" s="15" t="str">
        <f aca="false">IF(D1991="","",ROUND((D1991-MIN($D$7:$D$9999))*86400,2))</f>
        <v/>
      </c>
      <c r="G1991" s="10" t="str">
        <f aca="false">IF(D1991="","",IF(D1991&lt;=($E$3*60+$F$3)/86400,"○",""))</f>
        <v/>
      </c>
      <c r="H1991" s="16" t="n">
        <v>0.00745520833333333</v>
      </c>
      <c r="I1991" s="17" t="n">
        <v>839</v>
      </c>
      <c r="J1991" s="16"/>
      <c r="K1991" s="17"/>
      <c r="L1991" s="17" t="n">
        <f aca="false">COUNT(E1991,I1991,K1991)</f>
        <v>1</v>
      </c>
      <c r="M1991" s="18" t="n">
        <f aca="false">(D1991&lt;&gt;"")*(D1991&lt;=($E$3*60+$F$3)/86400)+(H1991&lt;&gt;"")*(H1991&lt;=($I$3*60+$J$3)/86400)+(J1991&lt;&gt;"")*(J1991&lt;=($M$3*60+$N$3)/86400)</f>
        <v>0</v>
      </c>
      <c r="N1991" s="20"/>
      <c r="O1991" s="20"/>
      <c r="P1991" s="20"/>
      <c r="Q1991" s="19"/>
    </row>
    <row r="1992" customFormat="false" ht="15" hidden="false" customHeight="false" outlineLevel="0" collapsed="false">
      <c r="A1992" s="10" t="n">
        <v>1986</v>
      </c>
      <c r="B1992" s="12" t="s">
        <v>3082</v>
      </c>
      <c r="C1992" s="12" t="s">
        <v>3083</v>
      </c>
      <c r="D1992" s="13"/>
      <c r="E1992" s="14"/>
      <c r="F1992" s="15" t="str">
        <f aca="false">IF(D1992="","",ROUND((D1992-MIN($D$7:$D$9999))*86400,2))</f>
        <v/>
      </c>
      <c r="G1992" s="10" t="str">
        <f aca="false">IF(D1992="","",IF(D1992&lt;=($E$3*60+$F$3)/86400,"○",""))</f>
        <v/>
      </c>
      <c r="H1992" s="16" t="n">
        <v>0.00745717592592593</v>
      </c>
      <c r="I1992" s="17" t="n">
        <v>842</v>
      </c>
      <c r="J1992" s="16"/>
      <c r="K1992" s="17"/>
      <c r="L1992" s="17" t="n">
        <f aca="false">COUNT(E1992,I1992,K1992)</f>
        <v>1</v>
      </c>
      <c r="M1992" s="18" t="n">
        <f aca="false">(D1992&lt;&gt;"")*(D1992&lt;=($E$3*60+$F$3)/86400)+(H1992&lt;&gt;"")*(H1992&lt;=($I$3*60+$J$3)/86400)+(J1992&lt;&gt;"")*(J1992&lt;=($M$3*60+$N$3)/86400)</f>
        <v>0</v>
      </c>
      <c r="N1992" s="20"/>
      <c r="O1992" s="20"/>
      <c r="P1992" s="20"/>
      <c r="Q1992" s="19"/>
    </row>
    <row r="1993" customFormat="false" ht="15" hidden="false" customHeight="false" outlineLevel="0" collapsed="false">
      <c r="A1993" s="10" t="n">
        <v>1987</v>
      </c>
      <c r="B1993" s="12" t="s">
        <v>3084</v>
      </c>
      <c r="C1993" s="12" t="s">
        <v>1729</v>
      </c>
      <c r="D1993" s="13"/>
      <c r="E1993" s="14"/>
      <c r="F1993" s="15" t="str">
        <f aca="false">IF(D1993="","",ROUND((D1993-MIN($D$7:$D$9999))*86400,2))</f>
        <v/>
      </c>
      <c r="G1993" s="10" t="str">
        <f aca="false">IF(D1993="","",IF(D1993&lt;=($E$3*60+$F$3)/86400,"○",""))</f>
        <v/>
      </c>
      <c r="H1993" s="16"/>
      <c r="I1993" s="17"/>
      <c r="J1993" s="16" t="n">
        <v>0.00288773148148148</v>
      </c>
      <c r="K1993" s="17" t="n">
        <v>842</v>
      </c>
      <c r="L1993" s="17" t="n">
        <f aca="false">COUNT(E1993,I1993,K1993)</f>
        <v>1</v>
      </c>
      <c r="M1993" s="18" t="n">
        <f aca="false">(D1993&lt;&gt;"")*(D1993&lt;=($E$3*60+$F$3)/86400)+(H1993&lt;&gt;"")*(H1993&lt;=($I$3*60+$J$3)/86400)+(J1993&lt;&gt;"")*(J1993&lt;=($M$3*60+$N$3)/86400)</f>
        <v>0</v>
      </c>
      <c r="N1993" s="20"/>
      <c r="O1993" s="20"/>
      <c r="P1993" s="20"/>
      <c r="Q1993" s="19"/>
    </row>
    <row r="1994" customFormat="false" ht="15" hidden="false" customHeight="false" outlineLevel="0" collapsed="false">
      <c r="A1994" s="10" t="n">
        <v>1988</v>
      </c>
      <c r="B1994" s="12" t="s">
        <v>3085</v>
      </c>
      <c r="C1994" s="12" t="s">
        <v>454</v>
      </c>
      <c r="D1994" s="13"/>
      <c r="E1994" s="14"/>
      <c r="F1994" s="15" t="str">
        <f aca="false">IF(D1994="","",ROUND((D1994-MIN($D$7:$D$9999))*86400,2))</f>
        <v/>
      </c>
      <c r="G1994" s="10" t="str">
        <f aca="false">IF(D1994="","",IF(D1994&lt;=($E$3*60+$F$3)/86400,"○",""))</f>
        <v/>
      </c>
      <c r="H1994" s="16" t="n">
        <v>0.00745833333333333</v>
      </c>
      <c r="I1994" s="17" t="n">
        <v>843</v>
      </c>
      <c r="J1994" s="16"/>
      <c r="K1994" s="17"/>
      <c r="L1994" s="17" t="n">
        <f aca="false">COUNT(E1994,I1994,K1994)</f>
        <v>1</v>
      </c>
      <c r="M1994" s="18" t="n">
        <f aca="false">(D1994&lt;&gt;"")*(D1994&lt;=($E$3*60+$F$3)/86400)+(H1994&lt;&gt;"")*(H1994&lt;=($I$3*60+$J$3)/86400)+(J1994&lt;&gt;"")*(J1994&lt;=($M$3*60+$N$3)/86400)</f>
        <v>0</v>
      </c>
      <c r="N1994" s="20"/>
      <c r="O1994" s="20"/>
      <c r="P1994" s="20"/>
      <c r="Q1994" s="19"/>
    </row>
    <row r="1995" customFormat="false" ht="15" hidden="false" customHeight="false" outlineLevel="0" collapsed="false">
      <c r="A1995" s="10" t="n">
        <v>1989</v>
      </c>
      <c r="B1995" s="12" t="s">
        <v>3086</v>
      </c>
      <c r="C1995" s="12" t="s">
        <v>3087</v>
      </c>
      <c r="D1995" s="13"/>
      <c r="E1995" s="14"/>
      <c r="F1995" s="15" t="str">
        <f aca="false">IF(D1995="","",ROUND((D1995-MIN($D$7:$D$9999))*86400,2))</f>
        <v/>
      </c>
      <c r="G1995" s="10" t="str">
        <f aca="false">IF(D1995="","",IF(D1995&lt;=($E$3*60+$F$3)/86400,"○",""))</f>
        <v/>
      </c>
      <c r="H1995" s="16"/>
      <c r="I1995" s="17"/>
      <c r="J1995" s="16" t="n">
        <v>0.00288784722222222</v>
      </c>
      <c r="K1995" s="17" t="n">
        <v>843</v>
      </c>
      <c r="L1995" s="17" t="n">
        <f aca="false">COUNT(E1995,I1995,K1995)</f>
        <v>1</v>
      </c>
      <c r="M1995" s="18" t="n">
        <f aca="false">(D1995&lt;&gt;"")*(D1995&lt;=($E$3*60+$F$3)/86400)+(H1995&lt;&gt;"")*(H1995&lt;=($I$3*60+$J$3)/86400)+(J1995&lt;&gt;"")*(J1995&lt;=($M$3*60+$N$3)/86400)</f>
        <v>0</v>
      </c>
      <c r="N1995" s="20"/>
      <c r="O1995" s="20"/>
      <c r="P1995" s="20"/>
      <c r="Q1995" s="19"/>
    </row>
    <row r="1996" customFormat="false" ht="15" hidden="false" customHeight="false" outlineLevel="0" collapsed="false">
      <c r="A1996" s="10" t="n">
        <v>1990</v>
      </c>
      <c r="B1996" s="12" t="s">
        <v>3088</v>
      </c>
      <c r="C1996" s="12" t="s">
        <v>1548</v>
      </c>
      <c r="D1996" s="13"/>
      <c r="E1996" s="14"/>
      <c r="F1996" s="15" t="str">
        <f aca="false">IF(D1996="","",ROUND((D1996-MIN($D$7:$D$9999))*86400,2))</f>
        <v/>
      </c>
      <c r="G1996" s="10" t="str">
        <f aca="false">IF(D1996="","",IF(D1996&lt;=($E$3*60+$F$3)/86400,"○",""))</f>
        <v/>
      </c>
      <c r="H1996" s="16" t="n">
        <v>0.00745972222222222</v>
      </c>
      <c r="I1996" s="17" t="n">
        <v>844</v>
      </c>
      <c r="J1996" s="16"/>
      <c r="K1996" s="17"/>
      <c r="L1996" s="17" t="n">
        <f aca="false">COUNT(E1996,I1996,K1996)</f>
        <v>1</v>
      </c>
      <c r="M1996" s="18" t="n">
        <f aca="false">(D1996&lt;&gt;"")*(D1996&lt;=($E$3*60+$F$3)/86400)+(H1996&lt;&gt;"")*(H1996&lt;=($I$3*60+$J$3)/86400)+(J1996&lt;&gt;"")*(J1996&lt;=($M$3*60+$N$3)/86400)</f>
        <v>0</v>
      </c>
      <c r="N1996" s="20"/>
      <c r="O1996" s="20"/>
      <c r="P1996" s="20"/>
      <c r="Q1996" s="19"/>
    </row>
    <row r="1997" customFormat="false" ht="15" hidden="false" customHeight="false" outlineLevel="0" collapsed="false">
      <c r="A1997" s="10" t="n">
        <v>1991</v>
      </c>
      <c r="B1997" s="12" t="s">
        <v>3089</v>
      </c>
      <c r="C1997" s="12" t="s">
        <v>3090</v>
      </c>
      <c r="D1997" s="13"/>
      <c r="E1997" s="14"/>
      <c r="F1997" s="15" t="str">
        <f aca="false">IF(D1997="","",ROUND((D1997-MIN($D$7:$D$9999))*86400,2))</f>
        <v/>
      </c>
      <c r="G1997" s="10" t="str">
        <f aca="false">IF(D1997="","",IF(D1997&lt;=($E$3*60+$F$3)/86400,"○",""))</f>
        <v/>
      </c>
      <c r="H1997" s="16" t="n">
        <v>0.00746041666666667</v>
      </c>
      <c r="I1997" s="17" t="n">
        <v>845</v>
      </c>
      <c r="J1997" s="16"/>
      <c r="K1997" s="17"/>
      <c r="L1997" s="17" t="n">
        <f aca="false">COUNT(E1997,I1997,K1997)</f>
        <v>1</v>
      </c>
      <c r="M1997" s="18" t="n">
        <f aca="false">(D1997&lt;&gt;"")*(D1997&lt;=($E$3*60+$F$3)/86400)+(H1997&lt;&gt;"")*(H1997&lt;=($I$3*60+$J$3)/86400)+(J1997&lt;&gt;"")*(J1997&lt;=($M$3*60+$N$3)/86400)</f>
        <v>0</v>
      </c>
      <c r="N1997" s="20"/>
      <c r="O1997" s="20"/>
      <c r="P1997" s="20"/>
      <c r="Q1997" s="19"/>
    </row>
    <row r="1998" customFormat="false" ht="15" hidden="false" customHeight="false" outlineLevel="0" collapsed="false">
      <c r="A1998" s="10" t="n">
        <v>1992</v>
      </c>
      <c r="B1998" s="12" t="s">
        <v>3091</v>
      </c>
      <c r="C1998" s="12" t="s">
        <v>1255</v>
      </c>
      <c r="D1998" s="13"/>
      <c r="E1998" s="14"/>
      <c r="F1998" s="15" t="str">
        <f aca="false">IF(D1998="","",ROUND((D1998-MIN($D$7:$D$9999))*86400,2))</f>
        <v/>
      </c>
      <c r="G1998" s="10" t="str">
        <f aca="false">IF(D1998="","",IF(D1998&lt;=($E$3*60+$F$3)/86400,"○",""))</f>
        <v/>
      </c>
      <c r="H1998" s="16" t="n">
        <v>0.00746122685185185</v>
      </c>
      <c r="I1998" s="17" t="n">
        <v>846</v>
      </c>
      <c r="J1998" s="16"/>
      <c r="K1998" s="17"/>
      <c r="L1998" s="17" t="n">
        <f aca="false">COUNT(E1998,I1998,K1998)</f>
        <v>1</v>
      </c>
      <c r="M1998" s="18" t="n">
        <f aca="false">(D1998&lt;&gt;"")*(D1998&lt;=($E$3*60+$F$3)/86400)+(H1998&lt;&gt;"")*(H1998&lt;=($I$3*60+$J$3)/86400)+(J1998&lt;&gt;"")*(J1998&lt;=($M$3*60+$N$3)/86400)</f>
        <v>0</v>
      </c>
      <c r="N1998" s="20"/>
      <c r="O1998" s="20"/>
      <c r="P1998" s="20"/>
      <c r="Q1998" s="19"/>
    </row>
    <row r="1999" customFormat="false" ht="15" hidden="false" customHeight="false" outlineLevel="0" collapsed="false">
      <c r="A1999" s="10" t="n">
        <v>1993</v>
      </c>
      <c r="B1999" s="12" t="s">
        <v>3092</v>
      </c>
      <c r="C1999" s="12" t="s">
        <v>1697</v>
      </c>
      <c r="D1999" s="13"/>
      <c r="E1999" s="14"/>
      <c r="F1999" s="15" t="str">
        <f aca="false">IF(D1999="","",ROUND((D1999-MIN($D$7:$D$9999))*86400,2))</f>
        <v/>
      </c>
      <c r="G1999" s="10" t="str">
        <f aca="false">IF(D1999="","",IF(D1999&lt;=($E$3*60+$F$3)/86400,"○",""))</f>
        <v/>
      </c>
      <c r="H1999" s="16"/>
      <c r="I1999" s="17"/>
      <c r="J1999" s="16" t="n">
        <v>0.00288784722222222</v>
      </c>
      <c r="K1999" s="17" t="n">
        <v>846</v>
      </c>
      <c r="L1999" s="17" t="n">
        <f aca="false">COUNT(E1999,I1999,K1999)</f>
        <v>1</v>
      </c>
      <c r="M1999" s="18" t="n">
        <f aca="false">(D1999&lt;&gt;"")*(D1999&lt;=($E$3*60+$F$3)/86400)+(H1999&lt;&gt;"")*(H1999&lt;=($I$3*60+$J$3)/86400)+(J1999&lt;&gt;"")*(J1999&lt;=($M$3*60+$N$3)/86400)</f>
        <v>0</v>
      </c>
      <c r="N1999" s="20"/>
      <c r="O1999" s="20"/>
      <c r="P1999" s="20"/>
      <c r="Q1999" s="19"/>
    </row>
    <row r="2000" customFormat="false" ht="15" hidden="false" customHeight="false" outlineLevel="0" collapsed="false">
      <c r="A2000" s="10" t="n">
        <v>1994</v>
      </c>
      <c r="B2000" s="12" t="s">
        <v>3093</v>
      </c>
      <c r="C2000" s="12" t="s">
        <v>3094</v>
      </c>
      <c r="D2000" s="13"/>
      <c r="E2000" s="14"/>
      <c r="F2000" s="15" t="str">
        <f aca="false">IF(D2000="","",ROUND((D2000-MIN($D$7:$D$9999))*86400,2))</f>
        <v/>
      </c>
      <c r="G2000" s="10" t="str">
        <f aca="false">IF(D2000="","",IF(D2000&lt;=($E$3*60+$F$3)/86400,"○",""))</f>
        <v/>
      </c>
      <c r="H2000" s="16" t="n">
        <v>0.0074619212962963</v>
      </c>
      <c r="I2000" s="17" t="n">
        <v>847</v>
      </c>
      <c r="J2000" s="16"/>
      <c r="K2000" s="17"/>
      <c r="L2000" s="17" t="n">
        <f aca="false">COUNT(E2000,I2000,K2000)</f>
        <v>1</v>
      </c>
      <c r="M2000" s="18" t="n">
        <f aca="false">(D2000&lt;&gt;"")*(D2000&lt;=($E$3*60+$F$3)/86400)+(H2000&lt;&gt;"")*(H2000&lt;=($I$3*60+$J$3)/86400)+(J2000&lt;&gt;"")*(J2000&lt;=($M$3*60+$N$3)/86400)</f>
        <v>0</v>
      </c>
      <c r="N2000" s="20"/>
      <c r="O2000" s="20"/>
      <c r="P2000" s="20"/>
      <c r="Q2000" s="19"/>
    </row>
    <row r="2001" customFormat="false" ht="15" hidden="false" customHeight="false" outlineLevel="0" collapsed="false">
      <c r="A2001" s="10" t="n">
        <v>1995</v>
      </c>
      <c r="B2001" s="12" t="s">
        <v>3095</v>
      </c>
      <c r="C2001" s="12" t="s">
        <v>3096</v>
      </c>
      <c r="D2001" s="13"/>
      <c r="E2001" s="14"/>
      <c r="F2001" s="15" t="str">
        <f aca="false">IF(D2001="","",ROUND((D2001-MIN($D$7:$D$9999))*86400,2))</f>
        <v/>
      </c>
      <c r="G2001" s="10" t="str">
        <f aca="false">IF(D2001="","",IF(D2001&lt;=($E$3*60+$F$3)/86400,"○",""))</f>
        <v/>
      </c>
      <c r="H2001" s="16" t="n">
        <v>0.00746203703703704</v>
      </c>
      <c r="I2001" s="17" t="n">
        <v>848</v>
      </c>
      <c r="J2001" s="16"/>
      <c r="K2001" s="17"/>
      <c r="L2001" s="17" t="n">
        <f aca="false">COUNT(E2001,I2001,K2001)</f>
        <v>1</v>
      </c>
      <c r="M2001" s="18" t="n">
        <f aca="false">(D2001&lt;&gt;"")*(D2001&lt;=($E$3*60+$F$3)/86400)+(H2001&lt;&gt;"")*(H2001&lt;=($I$3*60+$J$3)/86400)+(J2001&lt;&gt;"")*(J2001&lt;=($M$3*60+$N$3)/86400)</f>
        <v>0</v>
      </c>
      <c r="N2001" s="20"/>
      <c r="O2001" s="20"/>
      <c r="P2001" s="20"/>
      <c r="Q2001" s="19"/>
    </row>
    <row r="2002" customFormat="false" ht="15" hidden="false" customHeight="false" outlineLevel="0" collapsed="false">
      <c r="A2002" s="10" t="n">
        <v>1996</v>
      </c>
      <c r="B2002" s="12" t="s">
        <v>3097</v>
      </c>
      <c r="C2002" s="12" t="s">
        <v>3098</v>
      </c>
      <c r="D2002" s="13"/>
      <c r="E2002" s="14"/>
      <c r="F2002" s="15" t="str">
        <f aca="false">IF(D2002="","",ROUND((D2002-MIN($D$7:$D$9999))*86400,2))</f>
        <v/>
      </c>
      <c r="G2002" s="10" t="str">
        <f aca="false">IF(D2002="","",IF(D2002&lt;=($E$3*60+$F$3)/86400,"○",""))</f>
        <v/>
      </c>
      <c r="H2002" s="16" t="n">
        <v>0.0074625</v>
      </c>
      <c r="I2002" s="17" t="n">
        <v>849</v>
      </c>
      <c r="J2002" s="16"/>
      <c r="K2002" s="17"/>
      <c r="L2002" s="17" t="n">
        <f aca="false">COUNT(E2002,I2002,K2002)</f>
        <v>1</v>
      </c>
      <c r="M2002" s="18" t="n">
        <f aca="false">(D2002&lt;&gt;"")*(D2002&lt;=($E$3*60+$F$3)/86400)+(H2002&lt;&gt;"")*(H2002&lt;=($I$3*60+$J$3)/86400)+(J2002&lt;&gt;"")*(J2002&lt;=($M$3*60+$N$3)/86400)</f>
        <v>0</v>
      </c>
      <c r="N2002" s="20"/>
      <c r="O2002" s="20"/>
      <c r="P2002" s="20"/>
      <c r="Q2002" s="19"/>
    </row>
    <row r="2003" customFormat="false" ht="15" hidden="false" customHeight="false" outlineLevel="0" collapsed="false">
      <c r="A2003" s="10" t="n">
        <v>1997</v>
      </c>
      <c r="B2003" s="12" t="s">
        <v>3099</v>
      </c>
      <c r="C2003" s="12" t="s">
        <v>34</v>
      </c>
      <c r="D2003" s="13"/>
      <c r="E2003" s="14"/>
      <c r="F2003" s="15" t="str">
        <f aca="false">IF(D2003="","",ROUND((D2003-MIN($D$7:$D$9999))*86400,2))</f>
        <v/>
      </c>
      <c r="G2003" s="10" t="str">
        <f aca="false">IF(D2003="","",IF(D2003&lt;=($E$3*60+$F$3)/86400,"○",""))</f>
        <v/>
      </c>
      <c r="H2003" s="16"/>
      <c r="I2003" s="17"/>
      <c r="J2003" s="16" t="n">
        <v>0.00288819444444445</v>
      </c>
      <c r="K2003" s="17" t="n">
        <v>849</v>
      </c>
      <c r="L2003" s="17" t="n">
        <f aca="false">COUNT(E2003,I2003,K2003)</f>
        <v>1</v>
      </c>
      <c r="M2003" s="18" t="n">
        <f aca="false">(D2003&lt;&gt;"")*(D2003&lt;=($E$3*60+$F$3)/86400)+(H2003&lt;&gt;"")*(H2003&lt;=($I$3*60+$J$3)/86400)+(J2003&lt;&gt;"")*(J2003&lt;=($M$3*60+$N$3)/86400)</f>
        <v>0</v>
      </c>
      <c r="N2003" s="20"/>
      <c r="O2003" s="20"/>
      <c r="P2003" s="20"/>
      <c r="Q2003" s="19"/>
    </row>
    <row r="2004" customFormat="false" ht="15" hidden="false" customHeight="false" outlineLevel="0" collapsed="false">
      <c r="A2004" s="10" t="n">
        <v>1998</v>
      </c>
      <c r="B2004" s="12" t="s">
        <v>3100</v>
      </c>
      <c r="C2004" s="12" t="s">
        <v>2298</v>
      </c>
      <c r="D2004" s="13"/>
      <c r="E2004" s="14"/>
      <c r="F2004" s="15" t="str">
        <f aca="false">IF(D2004="","",ROUND((D2004-MIN($D$7:$D$9999))*86400,2))</f>
        <v/>
      </c>
      <c r="G2004" s="10" t="str">
        <f aca="false">IF(D2004="","",IF(D2004&lt;=($E$3*60+$F$3)/86400,"○",""))</f>
        <v/>
      </c>
      <c r="H2004" s="16" t="n">
        <v>0.0074625</v>
      </c>
      <c r="I2004" s="17" t="n">
        <v>850</v>
      </c>
      <c r="J2004" s="16"/>
      <c r="K2004" s="17"/>
      <c r="L2004" s="17" t="n">
        <f aca="false">COUNT(E2004,I2004,K2004)</f>
        <v>1</v>
      </c>
      <c r="M2004" s="18" t="n">
        <f aca="false">(D2004&lt;&gt;"")*(D2004&lt;=($E$3*60+$F$3)/86400)+(H2004&lt;&gt;"")*(H2004&lt;=($I$3*60+$J$3)/86400)+(J2004&lt;&gt;"")*(J2004&lt;=($M$3*60+$N$3)/86400)</f>
        <v>0</v>
      </c>
      <c r="N2004" s="20"/>
      <c r="O2004" s="20"/>
      <c r="P2004" s="20"/>
      <c r="Q2004" s="19"/>
    </row>
    <row r="2005" customFormat="false" ht="15" hidden="false" customHeight="false" outlineLevel="0" collapsed="false">
      <c r="A2005" s="10" t="n">
        <v>1999</v>
      </c>
      <c r="B2005" s="12" t="s">
        <v>3101</v>
      </c>
      <c r="C2005" s="12" t="s">
        <v>3102</v>
      </c>
      <c r="D2005" s="13"/>
      <c r="E2005" s="14"/>
      <c r="F2005" s="15" t="str">
        <f aca="false">IF(D2005="","",ROUND((D2005-MIN($D$7:$D$9999))*86400,2))</f>
        <v/>
      </c>
      <c r="G2005" s="10" t="str">
        <f aca="false">IF(D2005="","",IF(D2005&lt;=($E$3*60+$F$3)/86400,"○",""))</f>
        <v/>
      </c>
      <c r="H2005" s="16"/>
      <c r="I2005" s="17"/>
      <c r="J2005" s="16" t="n">
        <v>0.00288819444444445</v>
      </c>
      <c r="K2005" s="17" t="n">
        <v>850</v>
      </c>
      <c r="L2005" s="17" t="n">
        <f aca="false">COUNT(E2005,I2005,K2005)</f>
        <v>1</v>
      </c>
      <c r="M2005" s="18" t="n">
        <f aca="false">(D2005&lt;&gt;"")*(D2005&lt;=($E$3*60+$F$3)/86400)+(H2005&lt;&gt;"")*(H2005&lt;=($I$3*60+$J$3)/86400)+(J2005&lt;&gt;"")*(J2005&lt;=($M$3*60+$N$3)/86400)</f>
        <v>0</v>
      </c>
      <c r="N2005" s="20"/>
      <c r="O2005" s="20"/>
      <c r="P2005" s="20"/>
      <c r="Q2005" s="19"/>
    </row>
    <row r="2006" customFormat="false" ht="15" hidden="false" customHeight="false" outlineLevel="0" collapsed="false">
      <c r="A2006" s="10" t="n">
        <v>2000</v>
      </c>
      <c r="B2006" s="12" t="s">
        <v>3103</v>
      </c>
      <c r="C2006" s="12" t="s">
        <v>3104</v>
      </c>
      <c r="D2006" s="13"/>
      <c r="E2006" s="14"/>
      <c r="F2006" s="15" t="str">
        <f aca="false">IF(D2006="","",ROUND((D2006-MIN($D$7:$D$9999))*86400,2))</f>
        <v/>
      </c>
      <c r="G2006" s="10" t="str">
        <f aca="false">IF(D2006="","",IF(D2006&lt;=($E$3*60+$F$3)/86400,"○",""))</f>
        <v/>
      </c>
      <c r="H2006" s="16" t="n">
        <v>0.0074630787037037</v>
      </c>
      <c r="I2006" s="17" t="n">
        <v>851</v>
      </c>
      <c r="J2006" s="16"/>
      <c r="K2006" s="17"/>
      <c r="L2006" s="17" t="n">
        <f aca="false">COUNT(E2006,I2006,K2006)</f>
        <v>1</v>
      </c>
      <c r="M2006" s="18" t="n">
        <f aca="false">(D2006&lt;&gt;"")*(D2006&lt;=($E$3*60+$F$3)/86400)+(H2006&lt;&gt;"")*(H2006&lt;=($I$3*60+$J$3)/86400)+(J2006&lt;&gt;"")*(J2006&lt;=($M$3*60+$N$3)/86400)</f>
        <v>0</v>
      </c>
      <c r="N2006" s="20"/>
      <c r="O2006" s="20"/>
      <c r="P2006" s="20"/>
      <c r="Q2006" s="19"/>
    </row>
    <row r="2007" customFormat="false" ht="15" hidden="false" customHeight="false" outlineLevel="0" collapsed="false">
      <c r="A2007" s="10" t="n">
        <v>2001</v>
      </c>
      <c r="B2007" s="12" t="s">
        <v>3105</v>
      </c>
      <c r="C2007" s="12" t="s">
        <v>1527</v>
      </c>
      <c r="D2007" s="13"/>
      <c r="E2007" s="14"/>
      <c r="F2007" s="15" t="str">
        <f aca="false">IF(D2007="","",ROUND((D2007-MIN($D$7:$D$9999))*86400,2))</f>
        <v/>
      </c>
      <c r="G2007" s="10" t="str">
        <f aca="false">IF(D2007="","",IF(D2007&lt;=($E$3*60+$F$3)/86400,"○",""))</f>
        <v/>
      </c>
      <c r="H2007" s="16" t="n">
        <v>0.00746377314814815</v>
      </c>
      <c r="I2007" s="17" t="n">
        <v>852</v>
      </c>
      <c r="J2007" s="16"/>
      <c r="K2007" s="17"/>
      <c r="L2007" s="17" t="n">
        <f aca="false">COUNT(E2007,I2007,K2007)</f>
        <v>1</v>
      </c>
      <c r="M2007" s="18" t="n">
        <f aca="false">(D2007&lt;&gt;"")*(D2007&lt;=($E$3*60+$F$3)/86400)+(H2007&lt;&gt;"")*(H2007&lt;=($I$3*60+$J$3)/86400)+(J2007&lt;&gt;"")*(J2007&lt;=($M$3*60+$N$3)/86400)</f>
        <v>0</v>
      </c>
      <c r="N2007" s="20"/>
      <c r="O2007" s="20"/>
      <c r="P2007" s="20"/>
      <c r="Q2007" s="19"/>
    </row>
    <row r="2008" customFormat="false" ht="15" hidden="false" customHeight="false" outlineLevel="0" collapsed="false">
      <c r="A2008" s="10" t="n">
        <v>2002</v>
      </c>
      <c r="B2008" s="12" t="s">
        <v>3106</v>
      </c>
      <c r="C2008" s="12" t="s">
        <v>3107</v>
      </c>
      <c r="D2008" s="13"/>
      <c r="E2008" s="14"/>
      <c r="F2008" s="15" t="str">
        <f aca="false">IF(D2008="","",ROUND((D2008-MIN($D$7:$D$9999))*86400,2))</f>
        <v/>
      </c>
      <c r="G2008" s="10" t="str">
        <f aca="false">IF(D2008="","",IF(D2008&lt;=($E$3*60+$F$3)/86400,"○",""))</f>
        <v/>
      </c>
      <c r="H2008" s="16" t="n">
        <v>0.00746412037037037</v>
      </c>
      <c r="I2008" s="17" t="n">
        <v>853</v>
      </c>
      <c r="J2008" s="16"/>
      <c r="K2008" s="17"/>
      <c r="L2008" s="17" t="n">
        <f aca="false">COUNT(E2008,I2008,K2008)</f>
        <v>1</v>
      </c>
      <c r="M2008" s="18" t="n">
        <f aca="false">(D2008&lt;&gt;"")*(D2008&lt;=($E$3*60+$F$3)/86400)+(H2008&lt;&gt;"")*(H2008&lt;=($I$3*60+$J$3)/86400)+(J2008&lt;&gt;"")*(J2008&lt;=($M$3*60+$N$3)/86400)</f>
        <v>0</v>
      </c>
      <c r="N2008" s="20"/>
      <c r="O2008" s="20"/>
      <c r="P2008" s="20"/>
      <c r="Q2008" s="19"/>
    </row>
    <row r="2009" customFormat="false" ht="15" hidden="false" customHeight="false" outlineLevel="0" collapsed="false">
      <c r="A2009" s="10" t="n">
        <v>2003</v>
      </c>
      <c r="B2009" s="12" t="s">
        <v>3108</v>
      </c>
      <c r="C2009" s="12" t="s">
        <v>3109</v>
      </c>
      <c r="D2009" s="13"/>
      <c r="E2009" s="14"/>
      <c r="F2009" s="15" t="str">
        <f aca="false">IF(D2009="","",ROUND((D2009-MIN($D$7:$D$9999))*86400,2))</f>
        <v/>
      </c>
      <c r="G2009" s="10" t="str">
        <f aca="false">IF(D2009="","",IF(D2009&lt;=($E$3*60+$F$3)/86400,"○",""))</f>
        <v/>
      </c>
      <c r="H2009" s="16" t="n">
        <v>0.00746412037037037</v>
      </c>
      <c r="I2009" s="17" t="n">
        <v>854</v>
      </c>
      <c r="J2009" s="16"/>
      <c r="K2009" s="17"/>
      <c r="L2009" s="17" t="n">
        <f aca="false">COUNT(E2009,I2009,K2009)</f>
        <v>1</v>
      </c>
      <c r="M2009" s="18" t="n">
        <f aca="false">(D2009&lt;&gt;"")*(D2009&lt;=($E$3*60+$F$3)/86400)+(H2009&lt;&gt;"")*(H2009&lt;=($I$3*60+$J$3)/86400)+(J2009&lt;&gt;"")*(J2009&lt;=($M$3*60+$N$3)/86400)</f>
        <v>0</v>
      </c>
      <c r="N2009" s="20"/>
      <c r="O2009" s="20"/>
      <c r="P2009" s="20"/>
      <c r="Q2009" s="19"/>
    </row>
    <row r="2010" customFormat="false" ht="15" hidden="false" customHeight="false" outlineLevel="0" collapsed="false">
      <c r="A2010" s="10" t="n">
        <v>2004</v>
      </c>
      <c r="B2010" s="12" t="s">
        <v>3110</v>
      </c>
      <c r="C2010" s="12" t="s">
        <v>1769</v>
      </c>
      <c r="D2010" s="13"/>
      <c r="E2010" s="14"/>
      <c r="F2010" s="15" t="str">
        <f aca="false">IF(D2010="","",ROUND((D2010-MIN($D$7:$D$9999))*86400,2))</f>
        <v/>
      </c>
      <c r="G2010" s="10" t="str">
        <f aca="false">IF(D2010="","",IF(D2010&lt;=($E$3*60+$F$3)/86400,"○",""))</f>
        <v/>
      </c>
      <c r="H2010" s="16" t="n">
        <v>0.00746527777777778</v>
      </c>
      <c r="I2010" s="17" t="n">
        <v>855</v>
      </c>
      <c r="J2010" s="16"/>
      <c r="K2010" s="17"/>
      <c r="L2010" s="17" t="n">
        <f aca="false">COUNT(E2010,I2010,K2010)</f>
        <v>1</v>
      </c>
      <c r="M2010" s="18" t="n">
        <f aca="false">(D2010&lt;&gt;"")*(D2010&lt;=($E$3*60+$F$3)/86400)+(H2010&lt;&gt;"")*(H2010&lt;=($I$3*60+$J$3)/86400)+(J2010&lt;&gt;"")*(J2010&lt;=($M$3*60+$N$3)/86400)</f>
        <v>0</v>
      </c>
      <c r="N2010" s="20"/>
      <c r="O2010" s="20"/>
      <c r="P2010" s="20"/>
      <c r="Q2010" s="19"/>
    </row>
    <row r="2011" customFormat="false" ht="15" hidden="false" customHeight="false" outlineLevel="0" collapsed="false">
      <c r="A2011" s="10" t="n">
        <v>2005</v>
      </c>
      <c r="B2011" s="12" t="s">
        <v>3111</v>
      </c>
      <c r="C2011" s="12" t="s">
        <v>873</v>
      </c>
      <c r="D2011" s="13"/>
      <c r="E2011" s="14"/>
      <c r="F2011" s="15" t="str">
        <f aca="false">IF(D2011="","",ROUND((D2011-MIN($D$7:$D$9999))*86400,2))</f>
        <v/>
      </c>
      <c r="G2011" s="10" t="str">
        <f aca="false">IF(D2011="","",IF(D2011&lt;=($E$3*60+$F$3)/86400,"○",""))</f>
        <v/>
      </c>
      <c r="H2011" s="16" t="n">
        <v>0.00746666666666667</v>
      </c>
      <c r="I2011" s="17" t="n">
        <v>856</v>
      </c>
      <c r="J2011" s="16"/>
      <c r="K2011" s="17"/>
      <c r="L2011" s="17" t="n">
        <f aca="false">COUNT(E2011,I2011,K2011)</f>
        <v>1</v>
      </c>
      <c r="M2011" s="18" t="n">
        <f aca="false">(D2011&lt;&gt;"")*(D2011&lt;=($E$3*60+$F$3)/86400)+(H2011&lt;&gt;"")*(H2011&lt;=($I$3*60+$J$3)/86400)+(J2011&lt;&gt;"")*(J2011&lt;=($M$3*60+$N$3)/86400)</f>
        <v>0</v>
      </c>
      <c r="N2011" s="20"/>
      <c r="O2011" s="20"/>
      <c r="P2011" s="20"/>
      <c r="Q2011" s="19"/>
    </row>
    <row r="2012" customFormat="false" ht="15" hidden="false" customHeight="false" outlineLevel="0" collapsed="false">
      <c r="A2012" s="10" t="n">
        <v>2006</v>
      </c>
      <c r="B2012" s="12" t="s">
        <v>3112</v>
      </c>
      <c r="C2012" s="12" t="s">
        <v>3113</v>
      </c>
      <c r="D2012" s="13"/>
      <c r="E2012" s="14"/>
      <c r="F2012" s="15" t="str">
        <f aca="false">IF(D2012="","",ROUND((D2012-MIN($D$7:$D$9999))*86400,2))</f>
        <v/>
      </c>
      <c r="G2012" s="10" t="str">
        <f aca="false">IF(D2012="","",IF(D2012&lt;=($E$3*60+$F$3)/86400,"○",""))</f>
        <v/>
      </c>
      <c r="H2012" s="16"/>
      <c r="I2012" s="17"/>
      <c r="J2012" s="16" t="n">
        <v>0.00288912037037037</v>
      </c>
      <c r="K2012" s="17" t="n">
        <v>856</v>
      </c>
      <c r="L2012" s="17" t="n">
        <f aca="false">COUNT(E2012,I2012,K2012)</f>
        <v>1</v>
      </c>
      <c r="M2012" s="18" t="n">
        <f aca="false">(D2012&lt;&gt;"")*(D2012&lt;=($E$3*60+$F$3)/86400)+(H2012&lt;&gt;"")*(H2012&lt;=($I$3*60+$J$3)/86400)+(J2012&lt;&gt;"")*(J2012&lt;=($M$3*60+$N$3)/86400)</f>
        <v>0</v>
      </c>
      <c r="N2012" s="20"/>
      <c r="O2012" s="20"/>
      <c r="P2012" s="20"/>
      <c r="Q2012" s="19"/>
    </row>
    <row r="2013" customFormat="false" ht="15" hidden="false" customHeight="false" outlineLevel="0" collapsed="false">
      <c r="A2013" s="10" t="n">
        <v>2007</v>
      </c>
      <c r="B2013" s="12" t="s">
        <v>3114</v>
      </c>
      <c r="C2013" s="12" t="s">
        <v>1123</v>
      </c>
      <c r="D2013" s="13"/>
      <c r="E2013" s="14"/>
      <c r="F2013" s="15" t="str">
        <f aca="false">IF(D2013="","",ROUND((D2013-MIN($D$7:$D$9999))*86400,2))</f>
        <v/>
      </c>
      <c r="G2013" s="10" t="str">
        <f aca="false">IF(D2013="","",IF(D2013&lt;=($E$3*60+$F$3)/86400,"○",""))</f>
        <v/>
      </c>
      <c r="H2013" s="16" t="n">
        <v>0.00746793981481482</v>
      </c>
      <c r="I2013" s="17" t="n">
        <v>858</v>
      </c>
      <c r="J2013" s="16"/>
      <c r="K2013" s="17"/>
      <c r="L2013" s="17" t="n">
        <f aca="false">COUNT(E2013,I2013,K2013)</f>
        <v>1</v>
      </c>
      <c r="M2013" s="18" t="n">
        <f aca="false">(D2013&lt;&gt;"")*(D2013&lt;=($E$3*60+$F$3)/86400)+(H2013&lt;&gt;"")*(H2013&lt;=($I$3*60+$J$3)/86400)+(J2013&lt;&gt;"")*(J2013&lt;=($M$3*60+$N$3)/86400)</f>
        <v>0</v>
      </c>
      <c r="N2013" s="20"/>
      <c r="O2013" s="20"/>
      <c r="P2013" s="20"/>
      <c r="Q2013" s="19"/>
    </row>
    <row r="2014" customFormat="false" ht="15" hidden="false" customHeight="false" outlineLevel="0" collapsed="false">
      <c r="A2014" s="10" t="n">
        <v>2008</v>
      </c>
      <c r="B2014" s="12" t="s">
        <v>3115</v>
      </c>
      <c r="C2014" s="12" t="s">
        <v>929</v>
      </c>
      <c r="D2014" s="13"/>
      <c r="E2014" s="14"/>
      <c r="F2014" s="15" t="str">
        <f aca="false">IF(D2014="","",ROUND((D2014-MIN($D$7:$D$9999))*86400,2))</f>
        <v/>
      </c>
      <c r="G2014" s="10" t="str">
        <f aca="false">IF(D2014="","",IF(D2014&lt;=($E$3*60+$F$3)/86400,"○",""))</f>
        <v/>
      </c>
      <c r="H2014" s="16" t="n">
        <v>0.00746956018518519</v>
      </c>
      <c r="I2014" s="17" t="n">
        <v>859</v>
      </c>
      <c r="J2014" s="16"/>
      <c r="K2014" s="17"/>
      <c r="L2014" s="17" t="n">
        <f aca="false">COUNT(E2014,I2014,K2014)</f>
        <v>1</v>
      </c>
      <c r="M2014" s="18" t="n">
        <f aca="false">(D2014&lt;&gt;"")*(D2014&lt;=($E$3*60+$F$3)/86400)+(H2014&lt;&gt;"")*(H2014&lt;=($I$3*60+$J$3)/86400)+(J2014&lt;&gt;"")*(J2014&lt;=($M$3*60+$N$3)/86400)</f>
        <v>0</v>
      </c>
      <c r="N2014" s="20"/>
      <c r="O2014" s="20"/>
      <c r="P2014" s="20"/>
      <c r="Q2014" s="19"/>
    </row>
    <row r="2015" customFormat="false" ht="15" hidden="false" customHeight="false" outlineLevel="0" collapsed="false">
      <c r="A2015" s="10" t="n">
        <v>2009</v>
      </c>
      <c r="B2015" s="12" t="s">
        <v>3116</v>
      </c>
      <c r="C2015" s="12" t="s">
        <v>2203</v>
      </c>
      <c r="D2015" s="13"/>
      <c r="E2015" s="14"/>
      <c r="F2015" s="15" t="str">
        <f aca="false">IF(D2015="","",ROUND((D2015-MIN($D$7:$D$9999))*86400,2))</f>
        <v/>
      </c>
      <c r="G2015" s="10" t="str">
        <f aca="false">IF(D2015="","",IF(D2015&lt;=($E$3*60+$F$3)/86400,"○",""))</f>
        <v/>
      </c>
      <c r="H2015" s="16" t="n">
        <v>0.00747141203703704</v>
      </c>
      <c r="I2015" s="17" t="n">
        <v>860</v>
      </c>
      <c r="J2015" s="16" t="n">
        <v>0.00292881944444444</v>
      </c>
      <c r="K2015" s="17" t="n">
        <v>1170</v>
      </c>
      <c r="L2015" s="17" t="n">
        <f aca="false">COUNT(E2015,I2015,K2015)</f>
        <v>2</v>
      </c>
      <c r="M2015" s="18" t="n">
        <f aca="false">(D2015&lt;&gt;"")*(D2015&lt;=($E$3*60+$F$3)/86400)+(H2015&lt;&gt;"")*(H2015&lt;=($I$3*60+$J$3)/86400)+(J2015&lt;&gt;"")*(J2015&lt;=($M$3*60+$N$3)/86400)</f>
        <v>0</v>
      </c>
      <c r="N2015" s="20"/>
      <c r="O2015" s="20"/>
      <c r="P2015" s="20"/>
      <c r="Q2015" s="19"/>
    </row>
    <row r="2016" customFormat="false" ht="15" hidden="false" customHeight="false" outlineLevel="0" collapsed="false">
      <c r="A2016" s="10" t="n">
        <v>2010</v>
      </c>
      <c r="B2016" s="12" t="s">
        <v>3117</v>
      </c>
      <c r="C2016" s="12" t="s">
        <v>382</v>
      </c>
      <c r="D2016" s="13"/>
      <c r="E2016" s="14"/>
      <c r="F2016" s="15" t="str">
        <f aca="false">IF(D2016="","",ROUND((D2016-MIN($D$7:$D$9999))*86400,2))</f>
        <v/>
      </c>
      <c r="G2016" s="10" t="str">
        <f aca="false">IF(D2016="","",IF(D2016&lt;=($E$3*60+$F$3)/86400,"○",""))</f>
        <v/>
      </c>
      <c r="H2016" s="16"/>
      <c r="I2016" s="17"/>
      <c r="J2016" s="16" t="n">
        <v>0.00288946759259259</v>
      </c>
      <c r="K2016" s="17" t="n">
        <v>860</v>
      </c>
      <c r="L2016" s="17" t="n">
        <f aca="false">COUNT(E2016,I2016,K2016)</f>
        <v>1</v>
      </c>
      <c r="M2016" s="18" t="n">
        <f aca="false">(D2016&lt;&gt;"")*(D2016&lt;=($E$3*60+$F$3)/86400)+(H2016&lt;&gt;"")*(H2016&lt;=($I$3*60+$J$3)/86400)+(J2016&lt;&gt;"")*(J2016&lt;=($M$3*60+$N$3)/86400)</f>
        <v>0</v>
      </c>
      <c r="N2016" s="20"/>
      <c r="O2016" s="20"/>
      <c r="P2016" s="20"/>
      <c r="Q2016" s="19"/>
    </row>
    <row r="2017" customFormat="false" ht="15" hidden="false" customHeight="false" outlineLevel="0" collapsed="false">
      <c r="A2017" s="10" t="n">
        <v>2011</v>
      </c>
      <c r="B2017" s="12" t="s">
        <v>3118</v>
      </c>
      <c r="C2017" s="12" t="s">
        <v>1677</v>
      </c>
      <c r="D2017" s="13"/>
      <c r="E2017" s="14"/>
      <c r="F2017" s="15" t="str">
        <f aca="false">IF(D2017="","",ROUND((D2017-MIN($D$7:$D$9999))*86400,2))</f>
        <v/>
      </c>
      <c r="G2017" s="10" t="str">
        <f aca="false">IF(D2017="","",IF(D2017&lt;=($E$3*60+$F$3)/86400,"○",""))</f>
        <v/>
      </c>
      <c r="H2017" s="16" t="n">
        <v>0.00747418981481482</v>
      </c>
      <c r="I2017" s="17" t="n">
        <v>861</v>
      </c>
      <c r="J2017" s="16"/>
      <c r="K2017" s="17"/>
      <c r="L2017" s="17" t="n">
        <f aca="false">COUNT(E2017,I2017,K2017)</f>
        <v>1</v>
      </c>
      <c r="M2017" s="18" t="n">
        <f aca="false">(D2017&lt;&gt;"")*(D2017&lt;=($E$3*60+$F$3)/86400)+(H2017&lt;&gt;"")*(H2017&lt;=($I$3*60+$J$3)/86400)+(J2017&lt;&gt;"")*(J2017&lt;=($M$3*60+$N$3)/86400)</f>
        <v>0</v>
      </c>
      <c r="N2017" s="20"/>
      <c r="O2017" s="20"/>
      <c r="P2017" s="20"/>
      <c r="Q2017" s="19"/>
    </row>
    <row r="2018" customFormat="false" ht="15" hidden="false" customHeight="false" outlineLevel="0" collapsed="false">
      <c r="A2018" s="10" t="n">
        <v>2012</v>
      </c>
      <c r="B2018" s="12" t="s">
        <v>3119</v>
      </c>
      <c r="C2018" s="12" t="s">
        <v>1330</v>
      </c>
      <c r="D2018" s="13"/>
      <c r="E2018" s="14"/>
      <c r="F2018" s="15" t="str">
        <f aca="false">IF(D2018="","",ROUND((D2018-MIN($D$7:$D$9999))*86400,2))</f>
        <v/>
      </c>
      <c r="G2018" s="10" t="str">
        <f aca="false">IF(D2018="","",IF(D2018&lt;=($E$3*60+$F$3)/86400,"○",""))</f>
        <v/>
      </c>
      <c r="H2018" s="16"/>
      <c r="I2018" s="17"/>
      <c r="J2018" s="16" t="n">
        <v>0.00288958333333333</v>
      </c>
      <c r="K2018" s="17" t="n">
        <v>861</v>
      </c>
      <c r="L2018" s="17" t="n">
        <f aca="false">COUNT(E2018,I2018,K2018)</f>
        <v>1</v>
      </c>
      <c r="M2018" s="18" t="n">
        <f aca="false">(D2018&lt;&gt;"")*(D2018&lt;=($E$3*60+$F$3)/86400)+(H2018&lt;&gt;"")*(H2018&lt;=($I$3*60+$J$3)/86400)+(J2018&lt;&gt;"")*(J2018&lt;=($M$3*60+$N$3)/86400)</f>
        <v>0</v>
      </c>
      <c r="N2018" s="20"/>
      <c r="O2018" s="20"/>
      <c r="P2018" s="20"/>
      <c r="Q2018" s="19"/>
    </row>
    <row r="2019" customFormat="false" ht="15" hidden="false" customHeight="false" outlineLevel="0" collapsed="false">
      <c r="A2019" s="10" t="n">
        <v>2013</v>
      </c>
      <c r="B2019" s="12" t="s">
        <v>3120</v>
      </c>
      <c r="C2019" s="12" t="s">
        <v>3121</v>
      </c>
      <c r="D2019" s="13"/>
      <c r="E2019" s="14"/>
      <c r="F2019" s="15" t="str">
        <f aca="false">IF(D2019="","",ROUND((D2019-MIN($D$7:$D$9999))*86400,2))</f>
        <v/>
      </c>
      <c r="G2019" s="10" t="str">
        <f aca="false">IF(D2019="","",IF(D2019&lt;=($E$3*60+$F$3)/86400,"○",""))</f>
        <v/>
      </c>
      <c r="H2019" s="16" t="n">
        <v>0.0074744212962963</v>
      </c>
      <c r="I2019" s="17" t="n">
        <v>862</v>
      </c>
      <c r="J2019" s="16"/>
      <c r="K2019" s="17"/>
      <c r="L2019" s="17" t="n">
        <f aca="false">COUNT(E2019,I2019,K2019)</f>
        <v>1</v>
      </c>
      <c r="M2019" s="18" t="n">
        <f aca="false">(D2019&lt;&gt;"")*(D2019&lt;=($E$3*60+$F$3)/86400)+(H2019&lt;&gt;"")*(H2019&lt;=($I$3*60+$J$3)/86400)+(J2019&lt;&gt;"")*(J2019&lt;=($M$3*60+$N$3)/86400)</f>
        <v>0</v>
      </c>
      <c r="N2019" s="20"/>
      <c r="O2019" s="20"/>
      <c r="P2019" s="20"/>
      <c r="Q2019" s="19"/>
    </row>
    <row r="2020" customFormat="false" ht="15" hidden="false" customHeight="false" outlineLevel="0" collapsed="false">
      <c r="A2020" s="10" t="n">
        <v>2014</v>
      </c>
      <c r="B2020" s="12" t="s">
        <v>3122</v>
      </c>
      <c r="C2020" s="12" t="s">
        <v>623</v>
      </c>
      <c r="D2020" s="13"/>
      <c r="E2020" s="14"/>
      <c r="F2020" s="15" t="str">
        <f aca="false">IF(D2020="","",ROUND((D2020-MIN($D$7:$D$9999))*86400,2))</f>
        <v/>
      </c>
      <c r="G2020" s="10" t="str">
        <f aca="false">IF(D2020="","",IF(D2020&lt;=($E$3*60+$F$3)/86400,"○",""))</f>
        <v/>
      </c>
      <c r="H2020" s="16" t="n">
        <v>0.00747476851851852</v>
      </c>
      <c r="I2020" s="17" t="n">
        <v>863</v>
      </c>
      <c r="J2020" s="16"/>
      <c r="K2020" s="17"/>
      <c r="L2020" s="17" t="n">
        <f aca="false">COUNT(E2020,I2020,K2020)</f>
        <v>1</v>
      </c>
      <c r="M2020" s="18" t="n">
        <f aca="false">(D2020&lt;&gt;"")*(D2020&lt;=($E$3*60+$F$3)/86400)+(H2020&lt;&gt;"")*(H2020&lt;=($I$3*60+$J$3)/86400)+(J2020&lt;&gt;"")*(J2020&lt;=($M$3*60+$N$3)/86400)</f>
        <v>0</v>
      </c>
      <c r="N2020" s="20"/>
      <c r="O2020" s="20"/>
      <c r="P2020" s="20"/>
      <c r="Q2020" s="19"/>
    </row>
    <row r="2021" customFormat="false" ht="15" hidden="false" customHeight="false" outlineLevel="0" collapsed="false">
      <c r="A2021" s="10" t="n">
        <v>2015</v>
      </c>
      <c r="B2021" s="12" t="s">
        <v>3123</v>
      </c>
      <c r="C2021" s="12" t="s">
        <v>273</v>
      </c>
      <c r="D2021" s="13"/>
      <c r="E2021" s="14"/>
      <c r="F2021" s="15" t="str">
        <f aca="false">IF(D2021="","",ROUND((D2021-MIN($D$7:$D$9999))*86400,2))</f>
        <v/>
      </c>
      <c r="G2021" s="10" t="str">
        <f aca="false">IF(D2021="","",IF(D2021&lt;=($E$3*60+$F$3)/86400,"○",""))</f>
        <v/>
      </c>
      <c r="H2021" s="16"/>
      <c r="I2021" s="17"/>
      <c r="J2021" s="16" t="n">
        <v>0.00288981481481482</v>
      </c>
      <c r="K2021" s="17" t="n">
        <v>863</v>
      </c>
      <c r="L2021" s="17" t="n">
        <f aca="false">COUNT(E2021,I2021,K2021)</f>
        <v>1</v>
      </c>
      <c r="M2021" s="18" t="n">
        <f aca="false">(D2021&lt;&gt;"")*(D2021&lt;=($E$3*60+$F$3)/86400)+(H2021&lt;&gt;"")*(H2021&lt;=($I$3*60+$J$3)/86400)+(J2021&lt;&gt;"")*(J2021&lt;=($M$3*60+$N$3)/86400)</f>
        <v>0</v>
      </c>
      <c r="N2021" s="20"/>
      <c r="O2021" s="20"/>
      <c r="P2021" s="20"/>
      <c r="Q2021" s="19"/>
    </row>
    <row r="2022" customFormat="false" ht="15" hidden="false" customHeight="false" outlineLevel="0" collapsed="false">
      <c r="A2022" s="10" t="n">
        <v>2016</v>
      </c>
      <c r="B2022" s="12" t="s">
        <v>3124</v>
      </c>
      <c r="C2022" s="12" t="s">
        <v>2037</v>
      </c>
      <c r="D2022" s="13"/>
      <c r="E2022" s="14"/>
      <c r="F2022" s="15" t="str">
        <f aca="false">IF(D2022="","",ROUND((D2022-MIN($D$7:$D$9999))*86400,2))</f>
        <v/>
      </c>
      <c r="G2022" s="10" t="str">
        <f aca="false">IF(D2022="","",IF(D2022&lt;=($E$3*60+$F$3)/86400,"○",""))</f>
        <v/>
      </c>
      <c r="H2022" s="16" t="n">
        <v>0.007475</v>
      </c>
      <c r="I2022" s="17" t="n">
        <v>864</v>
      </c>
      <c r="J2022" s="16"/>
      <c r="K2022" s="17"/>
      <c r="L2022" s="17" t="n">
        <f aca="false">COUNT(E2022,I2022,K2022)</f>
        <v>1</v>
      </c>
      <c r="M2022" s="18" t="n">
        <f aca="false">(D2022&lt;&gt;"")*(D2022&lt;=($E$3*60+$F$3)/86400)+(H2022&lt;&gt;"")*(H2022&lt;=($I$3*60+$J$3)/86400)+(J2022&lt;&gt;"")*(J2022&lt;=($M$3*60+$N$3)/86400)</f>
        <v>0</v>
      </c>
      <c r="N2022" s="20"/>
      <c r="O2022" s="20"/>
      <c r="P2022" s="20"/>
      <c r="Q2022" s="19"/>
    </row>
    <row r="2023" customFormat="false" ht="15" hidden="false" customHeight="false" outlineLevel="0" collapsed="false">
      <c r="A2023" s="10" t="n">
        <v>2017</v>
      </c>
      <c r="B2023" s="12" t="s">
        <v>3125</v>
      </c>
      <c r="C2023" s="12" t="s">
        <v>486</v>
      </c>
      <c r="D2023" s="13"/>
      <c r="E2023" s="14"/>
      <c r="F2023" s="15" t="str">
        <f aca="false">IF(D2023="","",ROUND((D2023-MIN($D$7:$D$9999))*86400,2))</f>
        <v/>
      </c>
      <c r="G2023" s="10" t="str">
        <f aca="false">IF(D2023="","",IF(D2023&lt;=($E$3*60+$F$3)/86400,"○",""))</f>
        <v/>
      </c>
      <c r="H2023" s="16" t="n">
        <v>0.00747627314814815</v>
      </c>
      <c r="I2023" s="17" t="n">
        <v>865</v>
      </c>
      <c r="J2023" s="16"/>
      <c r="K2023" s="17"/>
      <c r="L2023" s="17" t="n">
        <f aca="false">COUNT(E2023,I2023,K2023)</f>
        <v>1</v>
      </c>
      <c r="M2023" s="18" t="n">
        <f aca="false">(D2023&lt;&gt;"")*(D2023&lt;=($E$3*60+$F$3)/86400)+(H2023&lt;&gt;"")*(H2023&lt;=($I$3*60+$J$3)/86400)+(J2023&lt;&gt;"")*(J2023&lt;=($M$3*60+$N$3)/86400)</f>
        <v>0</v>
      </c>
      <c r="N2023" s="20"/>
      <c r="O2023" s="20"/>
      <c r="P2023" s="20"/>
      <c r="Q2023" s="19"/>
    </row>
    <row r="2024" customFormat="false" ht="15" hidden="false" customHeight="false" outlineLevel="0" collapsed="false">
      <c r="A2024" s="10" t="n">
        <v>2018</v>
      </c>
      <c r="B2024" s="12" t="s">
        <v>3126</v>
      </c>
      <c r="C2024" s="12" t="s">
        <v>370</v>
      </c>
      <c r="D2024" s="13"/>
      <c r="E2024" s="14"/>
      <c r="F2024" s="15" t="str">
        <f aca="false">IF(D2024="","",ROUND((D2024-MIN($D$7:$D$9999))*86400,2))</f>
        <v/>
      </c>
      <c r="G2024" s="10" t="str">
        <f aca="false">IF(D2024="","",IF(D2024&lt;=($E$3*60+$F$3)/86400,"○",""))</f>
        <v/>
      </c>
      <c r="H2024" s="16"/>
      <c r="I2024" s="17"/>
      <c r="J2024" s="16" t="n">
        <v>0.00288993055555556</v>
      </c>
      <c r="K2024" s="17" t="n">
        <v>865</v>
      </c>
      <c r="L2024" s="17" t="n">
        <f aca="false">COUNT(E2024,I2024,K2024)</f>
        <v>1</v>
      </c>
      <c r="M2024" s="18" t="n">
        <f aca="false">(D2024&lt;&gt;"")*(D2024&lt;=($E$3*60+$F$3)/86400)+(H2024&lt;&gt;"")*(H2024&lt;=($I$3*60+$J$3)/86400)+(J2024&lt;&gt;"")*(J2024&lt;=($M$3*60+$N$3)/86400)</f>
        <v>0</v>
      </c>
      <c r="N2024" s="20"/>
      <c r="O2024" s="20"/>
      <c r="P2024" s="20"/>
      <c r="Q2024" s="19"/>
    </row>
    <row r="2025" customFormat="false" ht="15" hidden="false" customHeight="false" outlineLevel="0" collapsed="false">
      <c r="A2025" s="10" t="n">
        <v>2019</v>
      </c>
      <c r="B2025" s="12" t="s">
        <v>3127</v>
      </c>
      <c r="C2025" s="12" t="s">
        <v>3128</v>
      </c>
      <c r="D2025" s="13"/>
      <c r="E2025" s="14"/>
      <c r="F2025" s="15" t="str">
        <f aca="false">IF(D2025="","",ROUND((D2025-MIN($D$7:$D$9999))*86400,2))</f>
        <v/>
      </c>
      <c r="G2025" s="10" t="str">
        <f aca="false">IF(D2025="","",IF(D2025&lt;=($E$3*60+$F$3)/86400,"○",""))</f>
        <v/>
      </c>
      <c r="H2025" s="16" t="n">
        <v>0.00747708333333333</v>
      </c>
      <c r="I2025" s="17" t="n">
        <v>866</v>
      </c>
      <c r="J2025" s="16"/>
      <c r="K2025" s="17"/>
      <c r="L2025" s="17" t="n">
        <f aca="false">COUNT(E2025,I2025,K2025)</f>
        <v>1</v>
      </c>
      <c r="M2025" s="18" t="n">
        <f aca="false">(D2025&lt;&gt;"")*(D2025&lt;=($E$3*60+$F$3)/86400)+(H2025&lt;&gt;"")*(H2025&lt;=($I$3*60+$J$3)/86400)+(J2025&lt;&gt;"")*(J2025&lt;=($M$3*60+$N$3)/86400)</f>
        <v>0</v>
      </c>
      <c r="N2025" s="20"/>
      <c r="O2025" s="20"/>
      <c r="P2025" s="20"/>
      <c r="Q2025" s="19"/>
    </row>
    <row r="2026" customFormat="false" ht="15" hidden="false" customHeight="false" outlineLevel="0" collapsed="false">
      <c r="A2026" s="10" t="n">
        <v>2020</v>
      </c>
      <c r="B2026" s="12" t="s">
        <v>3129</v>
      </c>
      <c r="C2026" s="12" t="s">
        <v>3057</v>
      </c>
      <c r="D2026" s="13"/>
      <c r="E2026" s="14"/>
      <c r="F2026" s="15" t="str">
        <f aca="false">IF(D2026="","",ROUND((D2026-MIN($D$7:$D$9999))*86400,2))</f>
        <v/>
      </c>
      <c r="G2026" s="10" t="str">
        <f aca="false">IF(D2026="","",IF(D2026&lt;=($E$3*60+$F$3)/86400,"○",""))</f>
        <v/>
      </c>
      <c r="H2026" s="16" t="n">
        <v>0.00747708333333333</v>
      </c>
      <c r="I2026" s="17" t="n">
        <v>867</v>
      </c>
      <c r="J2026" s="16"/>
      <c r="K2026" s="17"/>
      <c r="L2026" s="17" t="n">
        <f aca="false">COUNT(E2026,I2026,K2026)</f>
        <v>1</v>
      </c>
      <c r="M2026" s="18" t="n">
        <f aca="false">(D2026&lt;&gt;"")*(D2026&lt;=($E$3*60+$F$3)/86400)+(H2026&lt;&gt;"")*(H2026&lt;=($I$3*60+$J$3)/86400)+(J2026&lt;&gt;"")*(J2026&lt;=($M$3*60+$N$3)/86400)</f>
        <v>0</v>
      </c>
      <c r="N2026" s="20"/>
      <c r="O2026" s="20"/>
      <c r="P2026" s="20"/>
      <c r="Q2026" s="19"/>
    </row>
    <row r="2027" customFormat="false" ht="15" hidden="false" customHeight="false" outlineLevel="0" collapsed="false">
      <c r="A2027" s="10" t="n">
        <v>2021</v>
      </c>
      <c r="B2027" s="12" t="s">
        <v>3130</v>
      </c>
      <c r="C2027" s="12" t="s">
        <v>980</v>
      </c>
      <c r="D2027" s="13"/>
      <c r="E2027" s="14"/>
      <c r="F2027" s="15" t="str">
        <f aca="false">IF(D2027="","",ROUND((D2027-MIN($D$7:$D$9999))*86400,2))</f>
        <v/>
      </c>
      <c r="G2027" s="10" t="str">
        <f aca="false">IF(D2027="","",IF(D2027&lt;=($E$3*60+$F$3)/86400,"○",""))</f>
        <v/>
      </c>
      <c r="H2027" s="16"/>
      <c r="I2027" s="17"/>
      <c r="J2027" s="16" t="n">
        <v>0.00289016203703704</v>
      </c>
      <c r="K2027" s="17" t="n">
        <v>867</v>
      </c>
      <c r="L2027" s="17" t="n">
        <f aca="false">COUNT(E2027,I2027,K2027)</f>
        <v>1</v>
      </c>
      <c r="M2027" s="18" t="n">
        <f aca="false">(D2027&lt;&gt;"")*(D2027&lt;=($E$3*60+$F$3)/86400)+(H2027&lt;&gt;"")*(H2027&lt;=($I$3*60+$J$3)/86400)+(J2027&lt;&gt;"")*(J2027&lt;=($M$3*60+$N$3)/86400)</f>
        <v>0</v>
      </c>
      <c r="N2027" s="20"/>
      <c r="O2027" s="20" t="s">
        <v>3131</v>
      </c>
      <c r="P2027" s="20"/>
      <c r="Q2027" s="19"/>
    </row>
    <row r="2028" customFormat="false" ht="15" hidden="false" customHeight="false" outlineLevel="0" collapsed="false">
      <c r="A2028" s="10" t="n">
        <v>2022</v>
      </c>
      <c r="B2028" s="12" t="s">
        <v>3132</v>
      </c>
      <c r="C2028" s="12" t="s">
        <v>3133</v>
      </c>
      <c r="D2028" s="13"/>
      <c r="E2028" s="14"/>
      <c r="F2028" s="15" t="str">
        <f aca="false">IF(D2028="","",ROUND((D2028-MIN($D$7:$D$9999))*86400,2))</f>
        <v/>
      </c>
      <c r="G2028" s="10" t="str">
        <f aca="false">IF(D2028="","",IF(D2028&lt;=($E$3*60+$F$3)/86400,"○",""))</f>
        <v/>
      </c>
      <c r="H2028" s="16" t="n">
        <v>0.0074775462962963</v>
      </c>
      <c r="I2028" s="17" t="n">
        <v>868</v>
      </c>
      <c r="J2028" s="16"/>
      <c r="K2028" s="17"/>
      <c r="L2028" s="17" t="n">
        <f aca="false">COUNT(E2028,I2028,K2028)</f>
        <v>1</v>
      </c>
      <c r="M2028" s="18" t="n">
        <f aca="false">(D2028&lt;&gt;"")*(D2028&lt;=($E$3*60+$F$3)/86400)+(H2028&lt;&gt;"")*(H2028&lt;=($I$3*60+$J$3)/86400)+(J2028&lt;&gt;"")*(J2028&lt;=($M$3*60+$N$3)/86400)</f>
        <v>0</v>
      </c>
      <c r="N2028" s="20"/>
      <c r="O2028" s="20"/>
      <c r="P2028" s="20"/>
      <c r="Q2028" s="19"/>
    </row>
    <row r="2029" customFormat="false" ht="15" hidden="false" customHeight="false" outlineLevel="0" collapsed="false">
      <c r="A2029" s="10" t="n">
        <v>2023</v>
      </c>
      <c r="B2029" s="12" t="s">
        <v>3134</v>
      </c>
      <c r="C2029" s="12" t="s">
        <v>3135</v>
      </c>
      <c r="D2029" s="13"/>
      <c r="E2029" s="14"/>
      <c r="F2029" s="15" t="str">
        <f aca="false">IF(D2029="","",ROUND((D2029-MIN($D$7:$D$9999))*86400,2))</f>
        <v/>
      </c>
      <c r="G2029" s="10" t="str">
        <f aca="false">IF(D2029="","",IF(D2029&lt;=($E$3*60+$F$3)/86400,"○",""))</f>
        <v/>
      </c>
      <c r="H2029" s="16"/>
      <c r="I2029" s="17"/>
      <c r="J2029" s="16" t="n">
        <v>0.00289027777777778</v>
      </c>
      <c r="K2029" s="17" t="n">
        <v>869</v>
      </c>
      <c r="L2029" s="17" t="n">
        <f aca="false">COUNT(E2029,I2029,K2029)</f>
        <v>1</v>
      </c>
      <c r="M2029" s="18" t="n">
        <f aca="false">(D2029&lt;&gt;"")*(D2029&lt;=($E$3*60+$F$3)/86400)+(H2029&lt;&gt;"")*(H2029&lt;=($I$3*60+$J$3)/86400)+(J2029&lt;&gt;"")*(J2029&lt;=($M$3*60+$N$3)/86400)</f>
        <v>0</v>
      </c>
      <c r="N2029" s="20"/>
      <c r="O2029" s="20"/>
      <c r="P2029" s="20"/>
      <c r="Q2029" s="19"/>
    </row>
    <row r="2030" customFormat="false" ht="15" hidden="false" customHeight="false" outlineLevel="0" collapsed="false">
      <c r="A2030" s="10" t="n">
        <v>2024</v>
      </c>
      <c r="B2030" s="12" t="s">
        <v>3136</v>
      </c>
      <c r="C2030" s="12" t="s">
        <v>3137</v>
      </c>
      <c r="D2030" s="13"/>
      <c r="E2030" s="14"/>
      <c r="F2030" s="15" t="str">
        <f aca="false">IF(D2030="","",ROUND((D2030-MIN($D$7:$D$9999))*86400,2))</f>
        <v/>
      </c>
      <c r="G2030" s="10" t="str">
        <f aca="false">IF(D2030="","",IF(D2030&lt;=($E$3*60+$F$3)/86400,"○",""))</f>
        <v/>
      </c>
      <c r="H2030" s="16" t="n">
        <v>0.00748043981481481</v>
      </c>
      <c r="I2030" s="17" t="n">
        <v>870</v>
      </c>
      <c r="J2030" s="16"/>
      <c r="K2030" s="17"/>
      <c r="L2030" s="17" t="n">
        <f aca="false">COUNT(E2030,I2030,K2030)</f>
        <v>1</v>
      </c>
      <c r="M2030" s="18" t="n">
        <f aca="false">(D2030&lt;&gt;"")*(D2030&lt;=($E$3*60+$F$3)/86400)+(H2030&lt;&gt;"")*(H2030&lt;=($I$3*60+$J$3)/86400)+(J2030&lt;&gt;"")*(J2030&lt;=($M$3*60+$N$3)/86400)</f>
        <v>0</v>
      </c>
      <c r="N2030" s="20"/>
      <c r="O2030" s="20"/>
      <c r="P2030" s="20"/>
      <c r="Q2030" s="19"/>
    </row>
    <row r="2031" customFormat="false" ht="15" hidden="false" customHeight="false" outlineLevel="0" collapsed="false">
      <c r="A2031" s="10" t="n">
        <v>2025</v>
      </c>
      <c r="B2031" s="12" t="s">
        <v>3138</v>
      </c>
      <c r="C2031" s="12" t="s">
        <v>1330</v>
      </c>
      <c r="D2031" s="13"/>
      <c r="E2031" s="14"/>
      <c r="F2031" s="15" t="str">
        <f aca="false">IF(D2031="","",ROUND((D2031-MIN($D$7:$D$9999))*86400,2))</f>
        <v/>
      </c>
      <c r="G2031" s="10" t="str">
        <f aca="false">IF(D2031="","",IF(D2031&lt;=($E$3*60+$F$3)/86400,"○",""))</f>
        <v/>
      </c>
      <c r="H2031" s="16"/>
      <c r="I2031" s="17"/>
      <c r="J2031" s="16" t="n">
        <v>0.00289039351851852</v>
      </c>
      <c r="K2031" s="17" t="n">
        <v>870</v>
      </c>
      <c r="L2031" s="17" t="n">
        <f aca="false">COUNT(E2031,I2031,K2031)</f>
        <v>1</v>
      </c>
      <c r="M2031" s="18" t="n">
        <f aca="false">(D2031&lt;&gt;"")*(D2031&lt;=($E$3*60+$F$3)/86400)+(H2031&lt;&gt;"")*(H2031&lt;=($I$3*60+$J$3)/86400)+(J2031&lt;&gt;"")*(J2031&lt;=($M$3*60+$N$3)/86400)</f>
        <v>0</v>
      </c>
      <c r="N2031" s="20"/>
      <c r="O2031" s="20"/>
      <c r="P2031" s="20"/>
      <c r="Q2031" s="19"/>
    </row>
    <row r="2032" customFormat="false" ht="15" hidden="false" customHeight="false" outlineLevel="0" collapsed="false">
      <c r="A2032" s="10" t="n">
        <v>2026</v>
      </c>
      <c r="B2032" s="12" t="s">
        <v>3139</v>
      </c>
      <c r="C2032" s="12" t="s">
        <v>3140</v>
      </c>
      <c r="D2032" s="13"/>
      <c r="E2032" s="14"/>
      <c r="F2032" s="15" t="str">
        <f aca="false">IF(D2032="","",ROUND((D2032-MIN($D$7:$D$9999))*86400,2))</f>
        <v/>
      </c>
      <c r="G2032" s="10" t="str">
        <f aca="false">IF(D2032="","",IF(D2032&lt;=($E$3*60+$F$3)/86400,"○",""))</f>
        <v/>
      </c>
      <c r="H2032" s="16" t="n">
        <v>0.00748101851851852</v>
      </c>
      <c r="I2032" s="17" t="n">
        <v>871</v>
      </c>
      <c r="J2032" s="16"/>
      <c r="K2032" s="17"/>
      <c r="L2032" s="17" t="n">
        <f aca="false">COUNT(E2032,I2032,K2032)</f>
        <v>1</v>
      </c>
      <c r="M2032" s="18" t="n">
        <f aca="false">(D2032&lt;&gt;"")*(D2032&lt;=($E$3*60+$F$3)/86400)+(H2032&lt;&gt;"")*(H2032&lt;=($I$3*60+$J$3)/86400)+(J2032&lt;&gt;"")*(J2032&lt;=($M$3*60+$N$3)/86400)</f>
        <v>0</v>
      </c>
      <c r="N2032" s="20"/>
      <c r="O2032" s="20"/>
      <c r="P2032" s="20"/>
      <c r="Q2032" s="19"/>
    </row>
    <row r="2033" customFormat="false" ht="15" hidden="false" customHeight="false" outlineLevel="0" collapsed="false">
      <c r="A2033" s="10" t="n">
        <v>2027</v>
      </c>
      <c r="B2033" s="12" t="s">
        <v>3141</v>
      </c>
      <c r="C2033" s="12" t="s">
        <v>3142</v>
      </c>
      <c r="D2033" s="13"/>
      <c r="E2033" s="14"/>
      <c r="F2033" s="15" t="str">
        <f aca="false">IF(D2033="","",ROUND((D2033-MIN($D$7:$D$9999))*86400,2))</f>
        <v/>
      </c>
      <c r="G2033" s="10" t="str">
        <f aca="false">IF(D2033="","",IF(D2033&lt;=($E$3*60+$F$3)/86400,"○",""))</f>
        <v/>
      </c>
      <c r="H2033" s="16" t="n">
        <v>0.00748101851851852</v>
      </c>
      <c r="I2033" s="17" t="n">
        <v>872</v>
      </c>
      <c r="J2033" s="16"/>
      <c r="K2033" s="17"/>
      <c r="L2033" s="17" t="n">
        <f aca="false">COUNT(E2033,I2033,K2033)</f>
        <v>1</v>
      </c>
      <c r="M2033" s="18" t="n">
        <f aca="false">(D2033&lt;&gt;"")*(D2033&lt;=($E$3*60+$F$3)/86400)+(H2033&lt;&gt;"")*(H2033&lt;=($I$3*60+$J$3)/86400)+(J2033&lt;&gt;"")*(J2033&lt;=($M$3*60+$N$3)/86400)</f>
        <v>0</v>
      </c>
      <c r="N2033" s="20"/>
      <c r="O2033" s="20"/>
      <c r="P2033" s="20"/>
      <c r="Q2033" s="19"/>
    </row>
    <row r="2034" customFormat="false" ht="15" hidden="false" customHeight="false" outlineLevel="0" collapsed="false">
      <c r="A2034" s="10" t="n">
        <v>2028</v>
      </c>
      <c r="B2034" s="12" t="s">
        <v>3143</v>
      </c>
      <c r="C2034" s="12" t="s">
        <v>3144</v>
      </c>
      <c r="D2034" s="13"/>
      <c r="E2034" s="14"/>
      <c r="F2034" s="15" t="str">
        <f aca="false">IF(D2034="","",ROUND((D2034-MIN($D$7:$D$9999))*86400,2))</f>
        <v/>
      </c>
      <c r="G2034" s="10" t="str">
        <f aca="false">IF(D2034="","",IF(D2034&lt;=($E$3*60+$F$3)/86400,"○",""))</f>
        <v/>
      </c>
      <c r="H2034" s="16" t="n">
        <v>0.0074818287037037</v>
      </c>
      <c r="I2034" s="17" t="n">
        <v>873</v>
      </c>
      <c r="J2034" s="16"/>
      <c r="K2034" s="17"/>
      <c r="L2034" s="17" t="n">
        <f aca="false">COUNT(E2034,I2034,K2034)</f>
        <v>1</v>
      </c>
      <c r="M2034" s="18" t="n">
        <f aca="false">(D2034&lt;&gt;"")*(D2034&lt;=($E$3*60+$F$3)/86400)+(H2034&lt;&gt;"")*(H2034&lt;=($I$3*60+$J$3)/86400)+(J2034&lt;&gt;"")*(J2034&lt;=($M$3*60+$N$3)/86400)</f>
        <v>0</v>
      </c>
      <c r="N2034" s="20"/>
      <c r="O2034" s="20"/>
      <c r="P2034" s="20"/>
      <c r="Q2034" s="19"/>
    </row>
    <row r="2035" customFormat="false" ht="15" hidden="false" customHeight="false" outlineLevel="0" collapsed="false">
      <c r="A2035" s="10" t="n">
        <v>2029</v>
      </c>
      <c r="B2035" s="12" t="s">
        <v>3145</v>
      </c>
      <c r="C2035" s="12" t="s">
        <v>1803</v>
      </c>
      <c r="D2035" s="13"/>
      <c r="E2035" s="14"/>
      <c r="F2035" s="15" t="str">
        <f aca="false">IF(D2035="","",ROUND((D2035-MIN($D$7:$D$9999))*86400,2))</f>
        <v/>
      </c>
      <c r="G2035" s="10" t="str">
        <f aca="false">IF(D2035="","",IF(D2035&lt;=($E$3*60+$F$3)/86400,"○",""))</f>
        <v/>
      </c>
      <c r="H2035" s="16"/>
      <c r="I2035" s="17"/>
      <c r="J2035" s="16" t="n">
        <v>0.00289085648148148</v>
      </c>
      <c r="K2035" s="17" t="n">
        <v>873</v>
      </c>
      <c r="L2035" s="17" t="n">
        <f aca="false">COUNT(E2035,I2035,K2035)</f>
        <v>1</v>
      </c>
      <c r="M2035" s="18" t="n">
        <f aca="false">(D2035&lt;&gt;"")*(D2035&lt;=($E$3*60+$F$3)/86400)+(H2035&lt;&gt;"")*(H2035&lt;=($I$3*60+$J$3)/86400)+(J2035&lt;&gt;"")*(J2035&lt;=($M$3*60+$N$3)/86400)</f>
        <v>0</v>
      </c>
      <c r="N2035" s="20" t="s">
        <v>3146</v>
      </c>
      <c r="O2035" s="20"/>
      <c r="P2035" s="20"/>
      <c r="Q2035" s="19"/>
    </row>
    <row r="2036" customFormat="false" ht="15" hidden="false" customHeight="false" outlineLevel="0" collapsed="false">
      <c r="A2036" s="10" t="n">
        <v>2030</v>
      </c>
      <c r="B2036" s="12" t="s">
        <v>3147</v>
      </c>
      <c r="C2036" s="12" t="s">
        <v>3148</v>
      </c>
      <c r="D2036" s="13"/>
      <c r="E2036" s="14"/>
      <c r="F2036" s="15" t="str">
        <f aca="false">IF(D2036="","",ROUND((D2036-MIN($D$7:$D$9999))*86400,2))</f>
        <v/>
      </c>
      <c r="G2036" s="10" t="str">
        <f aca="false">IF(D2036="","",IF(D2036&lt;=($E$3*60+$F$3)/86400,"○",""))</f>
        <v/>
      </c>
      <c r="H2036" s="16" t="n">
        <v>0.00748194444444445</v>
      </c>
      <c r="I2036" s="17" t="n">
        <v>874</v>
      </c>
      <c r="J2036" s="16"/>
      <c r="K2036" s="17"/>
      <c r="L2036" s="17" t="n">
        <f aca="false">COUNT(E2036,I2036,K2036)</f>
        <v>1</v>
      </c>
      <c r="M2036" s="18" t="n">
        <f aca="false">(D2036&lt;&gt;"")*(D2036&lt;=($E$3*60+$F$3)/86400)+(H2036&lt;&gt;"")*(H2036&lt;=($I$3*60+$J$3)/86400)+(J2036&lt;&gt;"")*(J2036&lt;=($M$3*60+$N$3)/86400)</f>
        <v>0</v>
      </c>
      <c r="N2036" s="20"/>
      <c r="O2036" s="20"/>
      <c r="P2036" s="20"/>
      <c r="Q2036" s="19"/>
    </row>
    <row r="2037" customFormat="false" ht="15" hidden="false" customHeight="false" outlineLevel="0" collapsed="false">
      <c r="A2037" s="10" t="n">
        <v>2031</v>
      </c>
      <c r="B2037" s="12" t="s">
        <v>3149</v>
      </c>
      <c r="C2037" s="12" t="s">
        <v>2114</v>
      </c>
      <c r="D2037" s="13"/>
      <c r="E2037" s="14"/>
      <c r="F2037" s="15" t="str">
        <f aca="false">IF(D2037="","",ROUND((D2037-MIN($D$7:$D$9999))*86400,2))</f>
        <v/>
      </c>
      <c r="G2037" s="10" t="str">
        <f aca="false">IF(D2037="","",IF(D2037&lt;=($E$3*60+$F$3)/86400,"○",""))</f>
        <v/>
      </c>
      <c r="H2037" s="16"/>
      <c r="I2037" s="17"/>
      <c r="J2037" s="16" t="n">
        <v>0.00289085648148148</v>
      </c>
      <c r="K2037" s="17" t="n">
        <v>874</v>
      </c>
      <c r="L2037" s="17" t="n">
        <f aca="false">COUNT(E2037,I2037,K2037)</f>
        <v>1</v>
      </c>
      <c r="M2037" s="18" t="n">
        <f aca="false">(D2037&lt;&gt;"")*(D2037&lt;=($E$3*60+$F$3)/86400)+(H2037&lt;&gt;"")*(H2037&lt;=($I$3*60+$J$3)/86400)+(J2037&lt;&gt;"")*(J2037&lt;=($M$3*60+$N$3)/86400)</f>
        <v>0</v>
      </c>
      <c r="N2037" s="20"/>
      <c r="O2037" s="20"/>
      <c r="P2037" s="20"/>
      <c r="Q2037" s="19"/>
    </row>
    <row r="2038" customFormat="false" ht="15" hidden="false" customHeight="false" outlineLevel="0" collapsed="false">
      <c r="A2038" s="10" t="n">
        <v>2032</v>
      </c>
      <c r="B2038" s="12" t="s">
        <v>3150</v>
      </c>
      <c r="C2038" s="12" t="s">
        <v>3151</v>
      </c>
      <c r="D2038" s="13"/>
      <c r="E2038" s="14"/>
      <c r="F2038" s="15" t="str">
        <f aca="false">IF(D2038="","",ROUND((D2038-MIN($D$7:$D$9999))*86400,2))</f>
        <v/>
      </c>
      <c r="G2038" s="10" t="str">
        <f aca="false">IF(D2038="","",IF(D2038&lt;=($E$3*60+$F$3)/86400,"○",""))</f>
        <v/>
      </c>
      <c r="H2038" s="16" t="n">
        <v>0.00748391203703704</v>
      </c>
      <c r="I2038" s="17" t="n">
        <v>875</v>
      </c>
      <c r="J2038" s="16"/>
      <c r="K2038" s="17"/>
      <c r="L2038" s="17" t="n">
        <f aca="false">COUNT(E2038,I2038,K2038)</f>
        <v>1</v>
      </c>
      <c r="M2038" s="18" t="n">
        <f aca="false">(D2038&lt;&gt;"")*(D2038&lt;=($E$3*60+$F$3)/86400)+(H2038&lt;&gt;"")*(H2038&lt;=($I$3*60+$J$3)/86400)+(J2038&lt;&gt;"")*(J2038&lt;=($M$3*60+$N$3)/86400)</f>
        <v>0</v>
      </c>
      <c r="N2038" s="20" t="s">
        <v>3152</v>
      </c>
      <c r="O2038" s="20"/>
      <c r="P2038" s="20"/>
      <c r="Q2038" s="19"/>
    </row>
    <row r="2039" customFormat="false" ht="15" hidden="false" customHeight="false" outlineLevel="0" collapsed="false">
      <c r="A2039" s="10" t="n">
        <v>2033</v>
      </c>
      <c r="B2039" s="12" t="s">
        <v>3153</v>
      </c>
      <c r="C2039" s="12" t="s">
        <v>3154</v>
      </c>
      <c r="D2039" s="13"/>
      <c r="E2039" s="14"/>
      <c r="F2039" s="15" t="str">
        <f aca="false">IF(D2039="","",ROUND((D2039-MIN($D$7:$D$9999))*86400,2))</f>
        <v/>
      </c>
      <c r="G2039" s="10" t="str">
        <f aca="false">IF(D2039="","",IF(D2039&lt;=($E$3*60+$F$3)/86400,"○",""))</f>
        <v/>
      </c>
      <c r="H2039" s="16" t="n">
        <v>0.00748449074074074</v>
      </c>
      <c r="I2039" s="17" t="n">
        <v>876</v>
      </c>
      <c r="J2039" s="16"/>
      <c r="K2039" s="17"/>
      <c r="L2039" s="17" t="n">
        <f aca="false">COUNT(E2039,I2039,K2039)</f>
        <v>1</v>
      </c>
      <c r="M2039" s="18" t="n">
        <f aca="false">(D2039&lt;&gt;"")*(D2039&lt;=($E$3*60+$F$3)/86400)+(H2039&lt;&gt;"")*(H2039&lt;=($I$3*60+$J$3)/86400)+(J2039&lt;&gt;"")*(J2039&lt;=($M$3*60+$N$3)/86400)</f>
        <v>0</v>
      </c>
      <c r="N2039" s="20"/>
      <c r="O2039" s="20"/>
      <c r="P2039" s="20"/>
      <c r="Q2039" s="19"/>
    </row>
    <row r="2040" customFormat="false" ht="15" hidden="false" customHeight="false" outlineLevel="0" collapsed="false">
      <c r="A2040" s="10" t="n">
        <v>2034</v>
      </c>
      <c r="B2040" s="12" t="s">
        <v>3155</v>
      </c>
      <c r="C2040" s="12" t="s">
        <v>1997</v>
      </c>
      <c r="D2040" s="13"/>
      <c r="E2040" s="14"/>
      <c r="F2040" s="15" t="str">
        <f aca="false">IF(D2040="","",ROUND((D2040-MIN($D$7:$D$9999))*86400,2))</f>
        <v/>
      </c>
      <c r="G2040" s="10" t="str">
        <f aca="false">IF(D2040="","",IF(D2040&lt;=($E$3*60+$F$3)/86400,"○",""))</f>
        <v/>
      </c>
      <c r="H2040" s="16"/>
      <c r="I2040" s="17"/>
      <c r="J2040" s="16" t="n">
        <v>0.00289108796296296</v>
      </c>
      <c r="K2040" s="17" t="n">
        <v>876</v>
      </c>
      <c r="L2040" s="17" t="n">
        <f aca="false">COUNT(E2040,I2040,K2040)</f>
        <v>1</v>
      </c>
      <c r="M2040" s="18" t="n">
        <f aca="false">(D2040&lt;&gt;"")*(D2040&lt;=($E$3*60+$F$3)/86400)+(H2040&lt;&gt;"")*(H2040&lt;=($I$3*60+$J$3)/86400)+(J2040&lt;&gt;"")*(J2040&lt;=($M$3*60+$N$3)/86400)</f>
        <v>0</v>
      </c>
      <c r="N2040" s="20"/>
      <c r="O2040" s="20"/>
      <c r="P2040" s="20"/>
      <c r="Q2040" s="19"/>
    </row>
    <row r="2041" customFormat="false" ht="15" hidden="false" customHeight="false" outlineLevel="0" collapsed="false">
      <c r="A2041" s="10" t="n">
        <v>2035</v>
      </c>
      <c r="B2041" s="12" t="s">
        <v>3156</v>
      </c>
      <c r="C2041" s="12" t="s">
        <v>3157</v>
      </c>
      <c r="D2041" s="13"/>
      <c r="E2041" s="14"/>
      <c r="F2041" s="15" t="str">
        <f aca="false">IF(D2041="","",ROUND((D2041-MIN($D$7:$D$9999))*86400,2))</f>
        <v/>
      </c>
      <c r="G2041" s="10" t="str">
        <f aca="false">IF(D2041="","",IF(D2041&lt;=($E$3*60+$F$3)/86400,"○",""))</f>
        <v/>
      </c>
      <c r="H2041" s="16" t="n">
        <v>0.00748564814814815</v>
      </c>
      <c r="I2041" s="17" t="n">
        <v>877</v>
      </c>
      <c r="J2041" s="16"/>
      <c r="K2041" s="17"/>
      <c r="L2041" s="17" t="n">
        <f aca="false">COUNT(E2041,I2041,K2041)</f>
        <v>1</v>
      </c>
      <c r="M2041" s="18" t="n">
        <f aca="false">(D2041&lt;&gt;"")*(D2041&lt;=($E$3*60+$F$3)/86400)+(H2041&lt;&gt;"")*(H2041&lt;=($I$3*60+$J$3)/86400)+(J2041&lt;&gt;"")*(J2041&lt;=($M$3*60+$N$3)/86400)</f>
        <v>0</v>
      </c>
      <c r="N2041" s="20"/>
      <c r="O2041" s="20"/>
      <c r="P2041" s="20"/>
      <c r="Q2041" s="19"/>
    </row>
    <row r="2042" customFormat="false" ht="15" hidden="false" customHeight="false" outlineLevel="0" collapsed="false">
      <c r="A2042" s="10" t="n">
        <v>2036</v>
      </c>
      <c r="B2042" s="12" t="s">
        <v>3158</v>
      </c>
      <c r="C2042" s="12" t="s">
        <v>3159</v>
      </c>
      <c r="D2042" s="13"/>
      <c r="E2042" s="14"/>
      <c r="F2042" s="15" t="str">
        <f aca="false">IF(D2042="","",ROUND((D2042-MIN($D$7:$D$9999))*86400,2))</f>
        <v/>
      </c>
      <c r="G2042" s="10" t="str">
        <f aca="false">IF(D2042="","",IF(D2042&lt;=($E$3*60+$F$3)/86400,"○",""))</f>
        <v/>
      </c>
      <c r="H2042" s="16"/>
      <c r="I2042" s="17"/>
      <c r="J2042" s="16" t="n">
        <v>0.00289108796296296</v>
      </c>
      <c r="K2042" s="17" t="n">
        <v>877</v>
      </c>
      <c r="L2042" s="17" t="n">
        <f aca="false">COUNT(E2042,I2042,K2042)</f>
        <v>1</v>
      </c>
      <c r="M2042" s="18" t="n">
        <f aca="false">(D2042&lt;&gt;"")*(D2042&lt;=($E$3*60+$F$3)/86400)+(H2042&lt;&gt;"")*(H2042&lt;=($I$3*60+$J$3)/86400)+(J2042&lt;&gt;"")*(J2042&lt;=($M$3*60+$N$3)/86400)</f>
        <v>0</v>
      </c>
      <c r="N2042" s="20"/>
      <c r="O2042" s="20"/>
      <c r="P2042" s="20"/>
      <c r="Q2042" s="19"/>
    </row>
    <row r="2043" customFormat="false" ht="15" hidden="false" customHeight="false" outlineLevel="0" collapsed="false">
      <c r="A2043" s="10" t="n">
        <v>2037</v>
      </c>
      <c r="B2043" s="12" t="s">
        <v>3160</v>
      </c>
      <c r="C2043" s="12" t="s">
        <v>3161</v>
      </c>
      <c r="D2043" s="13"/>
      <c r="E2043" s="14"/>
      <c r="F2043" s="15" t="str">
        <f aca="false">IF(D2043="","",ROUND((D2043-MIN($D$7:$D$9999))*86400,2))</f>
        <v/>
      </c>
      <c r="G2043" s="10" t="str">
        <f aca="false">IF(D2043="","",IF(D2043&lt;=($E$3*60+$F$3)/86400,"○",""))</f>
        <v/>
      </c>
      <c r="H2043" s="16" t="n">
        <v>0.00748726851851852</v>
      </c>
      <c r="I2043" s="17" t="n">
        <v>878</v>
      </c>
      <c r="J2043" s="16"/>
      <c r="K2043" s="17"/>
      <c r="L2043" s="17" t="n">
        <f aca="false">COUNT(E2043,I2043,K2043)</f>
        <v>1</v>
      </c>
      <c r="M2043" s="18" t="n">
        <f aca="false">(D2043&lt;&gt;"")*(D2043&lt;=($E$3*60+$F$3)/86400)+(H2043&lt;&gt;"")*(H2043&lt;=($I$3*60+$J$3)/86400)+(J2043&lt;&gt;"")*(J2043&lt;=($M$3*60+$N$3)/86400)</f>
        <v>0</v>
      </c>
      <c r="N2043" s="20"/>
      <c r="O2043" s="20"/>
      <c r="P2043" s="20"/>
      <c r="Q2043" s="19"/>
    </row>
    <row r="2044" customFormat="false" ht="15" hidden="false" customHeight="false" outlineLevel="0" collapsed="false">
      <c r="A2044" s="10" t="n">
        <v>2038</v>
      </c>
      <c r="B2044" s="12" t="s">
        <v>3162</v>
      </c>
      <c r="C2044" s="12" t="s">
        <v>2502</v>
      </c>
      <c r="D2044" s="13"/>
      <c r="E2044" s="14"/>
      <c r="F2044" s="15" t="str">
        <f aca="false">IF(D2044="","",ROUND((D2044-MIN($D$7:$D$9999))*86400,2))</f>
        <v/>
      </c>
      <c r="G2044" s="10" t="str">
        <f aca="false">IF(D2044="","",IF(D2044&lt;=($E$3*60+$F$3)/86400,"○",""))</f>
        <v/>
      </c>
      <c r="H2044" s="16" t="n">
        <v>0.00748738425925926</v>
      </c>
      <c r="I2044" s="17" t="n">
        <v>879</v>
      </c>
      <c r="J2044" s="16"/>
      <c r="K2044" s="17"/>
      <c r="L2044" s="17" t="n">
        <f aca="false">COUNT(E2044,I2044,K2044)</f>
        <v>1</v>
      </c>
      <c r="M2044" s="18" t="n">
        <f aca="false">(D2044&lt;&gt;"")*(D2044&lt;=($E$3*60+$F$3)/86400)+(H2044&lt;&gt;"")*(H2044&lt;=($I$3*60+$J$3)/86400)+(J2044&lt;&gt;"")*(J2044&lt;=($M$3*60+$N$3)/86400)</f>
        <v>0</v>
      </c>
      <c r="N2044" s="20"/>
      <c r="O2044" s="20"/>
      <c r="P2044" s="20"/>
      <c r="Q2044" s="19"/>
    </row>
    <row r="2045" customFormat="false" ht="15" hidden="false" customHeight="false" outlineLevel="0" collapsed="false">
      <c r="A2045" s="10" t="n">
        <v>2039</v>
      </c>
      <c r="B2045" s="12" t="s">
        <v>3163</v>
      </c>
      <c r="C2045" s="12" t="s">
        <v>3164</v>
      </c>
      <c r="D2045" s="13"/>
      <c r="E2045" s="14"/>
      <c r="F2045" s="15" t="str">
        <f aca="false">IF(D2045="","",ROUND((D2045-MIN($D$7:$D$9999))*86400,2))</f>
        <v/>
      </c>
      <c r="G2045" s="10" t="str">
        <f aca="false">IF(D2045="","",IF(D2045&lt;=($E$3*60+$F$3)/86400,"○",""))</f>
        <v/>
      </c>
      <c r="H2045" s="16" t="n">
        <v>0.00749016203703704</v>
      </c>
      <c r="I2045" s="17" t="n">
        <v>880</v>
      </c>
      <c r="J2045" s="16"/>
      <c r="K2045" s="17"/>
      <c r="L2045" s="17" t="n">
        <f aca="false">COUNT(E2045,I2045,K2045)</f>
        <v>1</v>
      </c>
      <c r="M2045" s="18" t="n">
        <f aca="false">(D2045&lt;&gt;"")*(D2045&lt;=($E$3*60+$F$3)/86400)+(H2045&lt;&gt;"")*(H2045&lt;=($I$3*60+$J$3)/86400)+(J2045&lt;&gt;"")*(J2045&lt;=($M$3*60+$N$3)/86400)</f>
        <v>0</v>
      </c>
      <c r="N2045" s="20"/>
      <c r="O2045" s="20"/>
      <c r="P2045" s="20"/>
      <c r="Q2045" s="19"/>
    </row>
    <row r="2046" customFormat="false" ht="15" hidden="false" customHeight="false" outlineLevel="0" collapsed="false">
      <c r="A2046" s="10" t="n">
        <v>2040</v>
      </c>
      <c r="B2046" s="12" t="s">
        <v>3165</v>
      </c>
      <c r="C2046" s="12" t="s">
        <v>2414</v>
      </c>
      <c r="D2046" s="13"/>
      <c r="E2046" s="14"/>
      <c r="F2046" s="15" t="str">
        <f aca="false">IF(D2046="","",ROUND((D2046-MIN($D$7:$D$9999))*86400,2))</f>
        <v/>
      </c>
      <c r="G2046" s="10" t="str">
        <f aca="false">IF(D2046="","",IF(D2046&lt;=($E$3*60+$F$3)/86400,"○",""))</f>
        <v/>
      </c>
      <c r="H2046" s="16" t="n">
        <v>0.00749016203703704</v>
      </c>
      <c r="I2046" s="17" t="n">
        <v>881</v>
      </c>
      <c r="J2046" s="16"/>
      <c r="K2046" s="17"/>
      <c r="L2046" s="17" t="n">
        <f aca="false">COUNT(E2046,I2046,K2046)</f>
        <v>1</v>
      </c>
      <c r="M2046" s="18" t="n">
        <f aca="false">(D2046&lt;&gt;"")*(D2046&lt;=($E$3*60+$F$3)/86400)+(H2046&lt;&gt;"")*(H2046&lt;=($I$3*60+$J$3)/86400)+(J2046&lt;&gt;"")*(J2046&lt;=($M$3*60+$N$3)/86400)</f>
        <v>0</v>
      </c>
      <c r="N2046" s="20"/>
      <c r="O2046" s="20"/>
      <c r="P2046" s="20"/>
      <c r="Q2046" s="19"/>
    </row>
    <row r="2047" customFormat="false" ht="15" hidden="false" customHeight="false" outlineLevel="0" collapsed="false">
      <c r="A2047" s="10" t="n">
        <v>2041</v>
      </c>
      <c r="B2047" s="12" t="s">
        <v>3166</v>
      </c>
      <c r="C2047" s="12" t="s">
        <v>3167</v>
      </c>
      <c r="D2047" s="13"/>
      <c r="E2047" s="14"/>
      <c r="F2047" s="15" t="str">
        <f aca="false">IF(D2047="","",ROUND((D2047-MIN($D$7:$D$9999))*86400,2))</f>
        <v/>
      </c>
      <c r="G2047" s="10" t="str">
        <f aca="false">IF(D2047="","",IF(D2047&lt;=($E$3*60+$F$3)/86400,"○",""))</f>
        <v/>
      </c>
      <c r="H2047" s="16" t="n">
        <v>0.00749189814814815</v>
      </c>
      <c r="I2047" s="17" t="n">
        <v>882</v>
      </c>
      <c r="J2047" s="16"/>
      <c r="K2047" s="17"/>
      <c r="L2047" s="17" t="n">
        <f aca="false">COUNT(E2047,I2047,K2047)</f>
        <v>1</v>
      </c>
      <c r="M2047" s="18" t="n">
        <f aca="false">(D2047&lt;&gt;"")*(D2047&lt;=($E$3*60+$F$3)/86400)+(H2047&lt;&gt;"")*(H2047&lt;=($I$3*60+$J$3)/86400)+(J2047&lt;&gt;"")*(J2047&lt;=($M$3*60+$N$3)/86400)</f>
        <v>0</v>
      </c>
      <c r="N2047" s="20"/>
      <c r="O2047" s="20"/>
      <c r="P2047" s="20"/>
      <c r="Q2047" s="19"/>
    </row>
    <row r="2048" customFormat="false" ht="15" hidden="false" customHeight="false" outlineLevel="0" collapsed="false">
      <c r="A2048" s="10" t="n">
        <v>2042</v>
      </c>
      <c r="B2048" s="12" t="s">
        <v>3168</v>
      </c>
      <c r="C2048" s="12" t="s">
        <v>1934</v>
      </c>
      <c r="D2048" s="13"/>
      <c r="E2048" s="14"/>
      <c r="F2048" s="15" t="str">
        <f aca="false">IF(D2048="","",ROUND((D2048-MIN($D$7:$D$9999))*86400,2))</f>
        <v/>
      </c>
      <c r="G2048" s="10" t="str">
        <f aca="false">IF(D2048="","",IF(D2048&lt;=($E$3*60+$F$3)/86400,"○",""))</f>
        <v/>
      </c>
      <c r="H2048" s="16"/>
      <c r="I2048" s="17"/>
      <c r="J2048" s="16" t="n">
        <v>0.00289143518518519</v>
      </c>
      <c r="K2048" s="17" t="n">
        <v>882</v>
      </c>
      <c r="L2048" s="17" t="n">
        <f aca="false">COUNT(E2048,I2048,K2048)</f>
        <v>1</v>
      </c>
      <c r="M2048" s="18" t="n">
        <f aca="false">(D2048&lt;&gt;"")*(D2048&lt;=($E$3*60+$F$3)/86400)+(H2048&lt;&gt;"")*(H2048&lt;=($I$3*60+$J$3)/86400)+(J2048&lt;&gt;"")*(J2048&lt;=($M$3*60+$N$3)/86400)</f>
        <v>0</v>
      </c>
      <c r="N2048" s="20"/>
      <c r="O2048" s="20"/>
      <c r="P2048" s="20"/>
      <c r="Q2048" s="19"/>
    </row>
    <row r="2049" customFormat="false" ht="15" hidden="false" customHeight="false" outlineLevel="0" collapsed="false">
      <c r="A2049" s="10" t="n">
        <v>2043</v>
      </c>
      <c r="B2049" s="12" t="s">
        <v>3169</v>
      </c>
      <c r="C2049" s="12" t="s">
        <v>3144</v>
      </c>
      <c r="D2049" s="13"/>
      <c r="E2049" s="14"/>
      <c r="F2049" s="15" t="str">
        <f aca="false">IF(D2049="","",ROUND((D2049-MIN($D$7:$D$9999))*86400,2))</f>
        <v/>
      </c>
      <c r="G2049" s="10" t="str">
        <f aca="false">IF(D2049="","",IF(D2049&lt;=($E$3*60+$F$3)/86400,"○",""))</f>
        <v/>
      </c>
      <c r="H2049" s="16" t="n">
        <v>0.00749212962962963</v>
      </c>
      <c r="I2049" s="17" t="n">
        <v>883</v>
      </c>
      <c r="J2049" s="16"/>
      <c r="K2049" s="17"/>
      <c r="L2049" s="17" t="n">
        <f aca="false">COUNT(E2049,I2049,K2049)</f>
        <v>1</v>
      </c>
      <c r="M2049" s="18" t="n">
        <f aca="false">(D2049&lt;&gt;"")*(D2049&lt;=($E$3*60+$F$3)/86400)+(H2049&lt;&gt;"")*(H2049&lt;=($I$3*60+$J$3)/86400)+(J2049&lt;&gt;"")*(J2049&lt;=($M$3*60+$N$3)/86400)</f>
        <v>0</v>
      </c>
      <c r="N2049" s="20"/>
      <c r="O2049" s="20"/>
      <c r="P2049" s="20"/>
      <c r="Q2049" s="19"/>
    </row>
    <row r="2050" customFormat="false" ht="15" hidden="false" customHeight="false" outlineLevel="0" collapsed="false">
      <c r="A2050" s="10" t="n">
        <v>2044</v>
      </c>
      <c r="B2050" s="12" t="s">
        <v>3170</v>
      </c>
      <c r="C2050" s="12" t="s">
        <v>59</v>
      </c>
      <c r="D2050" s="13"/>
      <c r="E2050" s="14"/>
      <c r="F2050" s="15" t="str">
        <f aca="false">IF(D2050="","",ROUND((D2050-MIN($D$7:$D$9999))*86400,2))</f>
        <v/>
      </c>
      <c r="G2050" s="10" t="str">
        <f aca="false">IF(D2050="","",IF(D2050&lt;=($E$3*60+$F$3)/86400,"○",""))</f>
        <v/>
      </c>
      <c r="H2050" s="16" t="n">
        <v>0.00749490740740741</v>
      </c>
      <c r="I2050" s="17" t="n">
        <v>884</v>
      </c>
      <c r="J2050" s="16"/>
      <c r="K2050" s="17"/>
      <c r="L2050" s="17" t="n">
        <f aca="false">COUNT(E2050,I2050,K2050)</f>
        <v>1</v>
      </c>
      <c r="M2050" s="18" t="n">
        <f aca="false">(D2050&lt;&gt;"")*(D2050&lt;=($E$3*60+$F$3)/86400)+(H2050&lt;&gt;"")*(H2050&lt;=($I$3*60+$J$3)/86400)+(J2050&lt;&gt;"")*(J2050&lt;=($M$3*60+$N$3)/86400)</f>
        <v>0</v>
      </c>
      <c r="N2050" s="20"/>
      <c r="O2050" s="20"/>
      <c r="P2050" s="20"/>
      <c r="Q2050" s="19"/>
    </row>
    <row r="2051" customFormat="false" ht="15" hidden="false" customHeight="false" outlineLevel="0" collapsed="false">
      <c r="A2051" s="10" t="n">
        <v>2045</v>
      </c>
      <c r="B2051" s="12" t="s">
        <v>3171</v>
      </c>
      <c r="C2051" s="12" t="s">
        <v>3172</v>
      </c>
      <c r="D2051" s="13"/>
      <c r="E2051" s="14"/>
      <c r="F2051" s="15" t="str">
        <f aca="false">IF(D2051="","",ROUND((D2051-MIN($D$7:$D$9999))*86400,2))</f>
        <v/>
      </c>
      <c r="G2051" s="10" t="str">
        <f aca="false">IF(D2051="","",IF(D2051&lt;=($E$3*60+$F$3)/86400,"○",""))</f>
        <v/>
      </c>
      <c r="H2051" s="16" t="n">
        <v>0.00749675925925926</v>
      </c>
      <c r="I2051" s="17" t="n">
        <v>885</v>
      </c>
      <c r="J2051" s="16"/>
      <c r="K2051" s="17"/>
      <c r="L2051" s="17" t="n">
        <f aca="false">COUNT(E2051,I2051,K2051)</f>
        <v>1</v>
      </c>
      <c r="M2051" s="18" t="n">
        <f aca="false">(D2051&lt;&gt;"")*(D2051&lt;=($E$3*60+$F$3)/86400)+(H2051&lt;&gt;"")*(H2051&lt;=($I$3*60+$J$3)/86400)+(J2051&lt;&gt;"")*(J2051&lt;=($M$3*60+$N$3)/86400)</f>
        <v>0</v>
      </c>
      <c r="N2051" s="20"/>
      <c r="O2051" s="20"/>
      <c r="P2051" s="20"/>
      <c r="Q2051" s="19"/>
    </row>
    <row r="2052" customFormat="false" ht="15" hidden="false" customHeight="false" outlineLevel="0" collapsed="false">
      <c r="A2052" s="10" t="n">
        <v>2046</v>
      </c>
      <c r="B2052" s="12" t="s">
        <v>3173</v>
      </c>
      <c r="C2052" s="12" t="s">
        <v>3174</v>
      </c>
      <c r="D2052" s="13"/>
      <c r="E2052" s="14"/>
      <c r="F2052" s="15" t="str">
        <f aca="false">IF(D2052="","",ROUND((D2052-MIN($D$7:$D$9999))*86400,2))</f>
        <v/>
      </c>
      <c r="G2052" s="10" t="str">
        <f aca="false">IF(D2052="","",IF(D2052&lt;=($E$3*60+$F$3)/86400,"○",""))</f>
        <v/>
      </c>
      <c r="H2052" s="16"/>
      <c r="I2052" s="17"/>
      <c r="J2052" s="16" t="n">
        <v>0.00289178240740741</v>
      </c>
      <c r="K2052" s="17" t="n">
        <v>885</v>
      </c>
      <c r="L2052" s="17" t="n">
        <f aca="false">COUNT(E2052,I2052,K2052)</f>
        <v>1</v>
      </c>
      <c r="M2052" s="18" t="n">
        <f aca="false">(D2052&lt;&gt;"")*(D2052&lt;=($E$3*60+$F$3)/86400)+(H2052&lt;&gt;"")*(H2052&lt;=($I$3*60+$J$3)/86400)+(J2052&lt;&gt;"")*(J2052&lt;=($M$3*60+$N$3)/86400)</f>
        <v>0</v>
      </c>
      <c r="N2052" s="20"/>
      <c r="O2052" s="20"/>
      <c r="P2052" s="20"/>
      <c r="Q2052" s="19"/>
    </row>
    <row r="2053" customFormat="false" ht="15" hidden="false" customHeight="false" outlineLevel="0" collapsed="false">
      <c r="A2053" s="10" t="n">
        <v>2047</v>
      </c>
      <c r="B2053" s="12" t="s">
        <v>3175</v>
      </c>
      <c r="C2053" s="12" t="s">
        <v>2132</v>
      </c>
      <c r="D2053" s="13"/>
      <c r="E2053" s="14"/>
      <c r="F2053" s="15" t="str">
        <f aca="false">IF(D2053="","",ROUND((D2053-MIN($D$7:$D$9999))*86400,2))</f>
        <v/>
      </c>
      <c r="G2053" s="10" t="str">
        <f aca="false">IF(D2053="","",IF(D2053&lt;=($E$3*60+$F$3)/86400,"○",""))</f>
        <v/>
      </c>
      <c r="H2053" s="16" t="n">
        <v>0.00750069444444444</v>
      </c>
      <c r="I2053" s="17" t="n">
        <v>886</v>
      </c>
      <c r="J2053" s="16"/>
      <c r="K2053" s="17"/>
      <c r="L2053" s="17" t="n">
        <f aca="false">COUNT(E2053,I2053,K2053)</f>
        <v>1</v>
      </c>
      <c r="M2053" s="18" t="n">
        <f aca="false">(D2053&lt;&gt;"")*(D2053&lt;=($E$3*60+$F$3)/86400)+(H2053&lt;&gt;"")*(H2053&lt;=($I$3*60+$J$3)/86400)+(J2053&lt;&gt;"")*(J2053&lt;=($M$3*60+$N$3)/86400)</f>
        <v>0</v>
      </c>
      <c r="N2053" s="20"/>
      <c r="O2053" s="20"/>
      <c r="P2053" s="20"/>
      <c r="Q2053" s="19"/>
    </row>
    <row r="2054" customFormat="false" ht="15" hidden="false" customHeight="false" outlineLevel="0" collapsed="false">
      <c r="A2054" s="10" t="n">
        <v>2048</v>
      </c>
      <c r="B2054" s="12" t="s">
        <v>3176</v>
      </c>
      <c r="C2054" s="12" t="s">
        <v>2381</v>
      </c>
      <c r="D2054" s="13"/>
      <c r="E2054" s="14"/>
      <c r="F2054" s="15" t="str">
        <f aca="false">IF(D2054="","",ROUND((D2054-MIN($D$7:$D$9999))*86400,2))</f>
        <v/>
      </c>
      <c r="G2054" s="10" t="str">
        <f aca="false">IF(D2054="","",IF(D2054&lt;=($E$3*60+$F$3)/86400,"○",""))</f>
        <v/>
      </c>
      <c r="H2054" s="16" t="n">
        <v>0.00750208333333333</v>
      </c>
      <c r="I2054" s="17" t="n">
        <v>887</v>
      </c>
      <c r="J2054" s="16"/>
      <c r="K2054" s="17"/>
      <c r="L2054" s="17" t="n">
        <f aca="false">COUNT(E2054,I2054,K2054)</f>
        <v>1</v>
      </c>
      <c r="M2054" s="18" t="n">
        <f aca="false">(D2054&lt;&gt;"")*(D2054&lt;=($E$3*60+$F$3)/86400)+(H2054&lt;&gt;"")*(H2054&lt;=($I$3*60+$J$3)/86400)+(J2054&lt;&gt;"")*(J2054&lt;=($M$3*60+$N$3)/86400)</f>
        <v>0</v>
      </c>
      <c r="N2054" s="20"/>
      <c r="O2054" s="20"/>
      <c r="P2054" s="20"/>
      <c r="Q2054" s="19"/>
    </row>
    <row r="2055" customFormat="false" ht="15" hidden="false" customHeight="false" outlineLevel="0" collapsed="false">
      <c r="A2055" s="10" t="n">
        <v>2049</v>
      </c>
      <c r="B2055" s="12" t="s">
        <v>3177</v>
      </c>
      <c r="C2055" s="12" t="s">
        <v>2194</v>
      </c>
      <c r="D2055" s="13"/>
      <c r="E2055" s="14"/>
      <c r="F2055" s="15" t="str">
        <f aca="false">IF(D2055="","",ROUND((D2055-MIN($D$7:$D$9999))*86400,2))</f>
        <v/>
      </c>
      <c r="G2055" s="10" t="str">
        <f aca="false">IF(D2055="","",IF(D2055&lt;=($E$3*60+$F$3)/86400,"○",""))</f>
        <v/>
      </c>
      <c r="H2055" s="16" t="n">
        <v>0.00750451388888889</v>
      </c>
      <c r="I2055" s="17" t="n">
        <v>888</v>
      </c>
      <c r="J2055" s="16"/>
      <c r="K2055" s="17"/>
      <c r="L2055" s="17" t="n">
        <f aca="false">COUNT(E2055,I2055,K2055)</f>
        <v>1</v>
      </c>
      <c r="M2055" s="18" t="n">
        <f aca="false">(D2055&lt;&gt;"")*(D2055&lt;=($E$3*60+$F$3)/86400)+(H2055&lt;&gt;"")*(H2055&lt;=($I$3*60+$J$3)/86400)+(J2055&lt;&gt;"")*(J2055&lt;=($M$3*60+$N$3)/86400)</f>
        <v>0</v>
      </c>
      <c r="N2055" s="20"/>
      <c r="O2055" s="20"/>
      <c r="P2055" s="20"/>
      <c r="Q2055" s="19"/>
    </row>
    <row r="2056" customFormat="false" ht="15" hidden="false" customHeight="false" outlineLevel="0" collapsed="false">
      <c r="A2056" s="10" t="n">
        <v>2050</v>
      </c>
      <c r="B2056" s="12" t="s">
        <v>3178</v>
      </c>
      <c r="C2056" s="12" t="s">
        <v>2667</v>
      </c>
      <c r="D2056" s="13"/>
      <c r="E2056" s="14"/>
      <c r="F2056" s="15" t="str">
        <f aca="false">IF(D2056="","",ROUND((D2056-MIN($D$7:$D$9999))*86400,2))</f>
        <v/>
      </c>
      <c r="G2056" s="10" t="str">
        <f aca="false">IF(D2056="","",IF(D2056&lt;=($E$3*60+$F$3)/86400,"○",""))</f>
        <v/>
      </c>
      <c r="H2056" s="16"/>
      <c r="I2056" s="17"/>
      <c r="J2056" s="16" t="n">
        <v>0.00289201388888889</v>
      </c>
      <c r="K2056" s="17" t="n">
        <v>888</v>
      </c>
      <c r="L2056" s="17" t="n">
        <f aca="false">COUNT(E2056,I2056,K2056)</f>
        <v>1</v>
      </c>
      <c r="M2056" s="18" t="n">
        <f aca="false">(D2056&lt;&gt;"")*(D2056&lt;=($E$3*60+$F$3)/86400)+(H2056&lt;&gt;"")*(H2056&lt;=($I$3*60+$J$3)/86400)+(J2056&lt;&gt;"")*(J2056&lt;=($M$3*60+$N$3)/86400)</f>
        <v>0</v>
      </c>
      <c r="N2056" s="20"/>
      <c r="O2056" s="20"/>
      <c r="P2056" s="20"/>
      <c r="Q2056" s="19"/>
    </row>
    <row r="2057" customFormat="false" ht="15" hidden="false" customHeight="false" outlineLevel="0" collapsed="false">
      <c r="A2057" s="10" t="n">
        <v>2051</v>
      </c>
      <c r="B2057" s="12" t="s">
        <v>3179</v>
      </c>
      <c r="C2057" s="12" t="s">
        <v>2773</v>
      </c>
      <c r="D2057" s="13"/>
      <c r="E2057" s="14"/>
      <c r="F2057" s="15" t="str">
        <f aca="false">IF(D2057="","",ROUND((D2057-MIN($D$7:$D$9999))*86400,2))</f>
        <v/>
      </c>
      <c r="G2057" s="10" t="str">
        <f aca="false">IF(D2057="","",IF(D2057&lt;=($E$3*60+$F$3)/86400,"○",""))</f>
        <v/>
      </c>
      <c r="H2057" s="16" t="n">
        <v>0.00750462962962963</v>
      </c>
      <c r="I2057" s="17" t="n">
        <v>889</v>
      </c>
      <c r="J2057" s="16"/>
      <c r="K2057" s="17"/>
      <c r="L2057" s="17" t="n">
        <f aca="false">COUNT(E2057,I2057,K2057)</f>
        <v>1</v>
      </c>
      <c r="M2057" s="18" t="n">
        <f aca="false">(D2057&lt;&gt;"")*(D2057&lt;=($E$3*60+$F$3)/86400)+(H2057&lt;&gt;"")*(H2057&lt;=($I$3*60+$J$3)/86400)+(J2057&lt;&gt;"")*(J2057&lt;=($M$3*60+$N$3)/86400)</f>
        <v>0</v>
      </c>
      <c r="N2057" s="20"/>
      <c r="O2057" s="20"/>
      <c r="P2057" s="20"/>
      <c r="Q2057" s="19"/>
    </row>
    <row r="2058" customFormat="false" ht="15" hidden="false" customHeight="false" outlineLevel="0" collapsed="false">
      <c r="A2058" s="10" t="n">
        <v>2052</v>
      </c>
      <c r="B2058" s="12" t="s">
        <v>3180</v>
      </c>
      <c r="C2058" s="12" t="s">
        <v>3181</v>
      </c>
      <c r="D2058" s="13"/>
      <c r="E2058" s="14"/>
      <c r="F2058" s="15" t="str">
        <f aca="false">IF(D2058="","",ROUND((D2058-MIN($D$7:$D$9999))*86400,2))</f>
        <v/>
      </c>
      <c r="G2058" s="10" t="str">
        <f aca="false">IF(D2058="","",IF(D2058&lt;=($E$3*60+$F$3)/86400,"○",""))</f>
        <v/>
      </c>
      <c r="H2058" s="16"/>
      <c r="I2058" s="17"/>
      <c r="J2058" s="16" t="n">
        <v>0.00289201388888889</v>
      </c>
      <c r="K2058" s="17" t="n">
        <v>889</v>
      </c>
      <c r="L2058" s="17" t="n">
        <f aca="false">COUNT(E2058,I2058,K2058)</f>
        <v>1</v>
      </c>
      <c r="M2058" s="18" t="n">
        <f aca="false">(D2058&lt;&gt;"")*(D2058&lt;=($E$3*60+$F$3)/86400)+(H2058&lt;&gt;"")*(H2058&lt;=($I$3*60+$J$3)/86400)+(J2058&lt;&gt;"")*(J2058&lt;=($M$3*60+$N$3)/86400)</f>
        <v>0</v>
      </c>
      <c r="N2058" s="20"/>
      <c r="O2058" s="20"/>
      <c r="P2058" s="20"/>
      <c r="Q2058" s="19"/>
    </row>
    <row r="2059" customFormat="false" ht="15" hidden="false" customHeight="false" outlineLevel="0" collapsed="false">
      <c r="A2059" s="10" t="n">
        <v>2053</v>
      </c>
      <c r="B2059" s="12" t="s">
        <v>3182</v>
      </c>
      <c r="C2059" s="12" t="s">
        <v>3183</v>
      </c>
      <c r="D2059" s="13"/>
      <c r="E2059" s="14"/>
      <c r="F2059" s="15" t="str">
        <f aca="false">IF(D2059="","",ROUND((D2059-MIN($D$7:$D$9999))*86400,2))</f>
        <v/>
      </c>
      <c r="G2059" s="10" t="str">
        <f aca="false">IF(D2059="","",IF(D2059&lt;=($E$3*60+$F$3)/86400,"○",""))</f>
        <v/>
      </c>
      <c r="H2059" s="16" t="n">
        <v>0.00750520833333333</v>
      </c>
      <c r="I2059" s="17" t="n">
        <v>890</v>
      </c>
      <c r="J2059" s="16"/>
      <c r="K2059" s="17"/>
      <c r="L2059" s="17" t="n">
        <f aca="false">COUNT(E2059,I2059,K2059)</f>
        <v>1</v>
      </c>
      <c r="M2059" s="18" t="n">
        <f aca="false">(D2059&lt;&gt;"")*(D2059&lt;=($E$3*60+$F$3)/86400)+(H2059&lt;&gt;"")*(H2059&lt;=($I$3*60+$J$3)/86400)+(J2059&lt;&gt;"")*(J2059&lt;=($M$3*60+$N$3)/86400)</f>
        <v>0</v>
      </c>
      <c r="N2059" s="20"/>
      <c r="O2059" s="20"/>
      <c r="P2059" s="20"/>
      <c r="Q2059" s="19"/>
    </row>
    <row r="2060" customFormat="false" ht="15" hidden="false" customHeight="false" outlineLevel="0" collapsed="false">
      <c r="A2060" s="10" t="n">
        <v>2054</v>
      </c>
      <c r="B2060" s="12" t="s">
        <v>3184</v>
      </c>
      <c r="C2060" s="12" t="s">
        <v>2161</v>
      </c>
      <c r="D2060" s="13"/>
      <c r="E2060" s="14"/>
      <c r="F2060" s="15" t="str">
        <f aca="false">IF(D2060="","",ROUND((D2060-MIN($D$7:$D$9999))*86400,2))</f>
        <v/>
      </c>
      <c r="G2060" s="10" t="str">
        <f aca="false">IF(D2060="","",IF(D2060&lt;=($E$3*60+$F$3)/86400,"○",""))</f>
        <v/>
      </c>
      <c r="H2060" s="16" t="n">
        <v>0.00750625</v>
      </c>
      <c r="I2060" s="17" t="n">
        <v>891</v>
      </c>
      <c r="J2060" s="16"/>
      <c r="K2060" s="17"/>
      <c r="L2060" s="17" t="n">
        <f aca="false">COUNT(E2060,I2060,K2060)</f>
        <v>1</v>
      </c>
      <c r="M2060" s="18" t="n">
        <f aca="false">(D2060&lt;&gt;"")*(D2060&lt;=($E$3*60+$F$3)/86400)+(H2060&lt;&gt;"")*(H2060&lt;=($I$3*60+$J$3)/86400)+(J2060&lt;&gt;"")*(J2060&lt;=($M$3*60+$N$3)/86400)</f>
        <v>0</v>
      </c>
      <c r="N2060" s="20"/>
      <c r="O2060" s="20"/>
      <c r="P2060" s="20"/>
      <c r="Q2060" s="19"/>
    </row>
    <row r="2061" customFormat="false" ht="15" hidden="false" customHeight="false" outlineLevel="0" collapsed="false">
      <c r="A2061" s="10" t="n">
        <v>2055</v>
      </c>
      <c r="B2061" s="12" t="s">
        <v>3185</v>
      </c>
      <c r="C2061" s="12" t="s">
        <v>601</v>
      </c>
      <c r="D2061" s="13"/>
      <c r="E2061" s="14"/>
      <c r="F2061" s="15" t="str">
        <f aca="false">IF(D2061="","",ROUND((D2061-MIN($D$7:$D$9999))*86400,2))</f>
        <v/>
      </c>
      <c r="G2061" s="10" t="str">
        <f aca="false">IF(D2061="","",IF(D2061&lt;=($E$3*60+$F$3)/86400,"○",""))</f>
        <v/>
      </c>
      <c r="H2061" s="16" t="n">
        <v>0.00750636574074074</v>
      </c>
      <c r="I2061" s="17" t="n">
        <v>892</v>
      </c>
      <c r="J2061" s="16"/>
      <c r="K2061" s="17"/>
      <c r="L2061" s="17" t="n">
        <f aca="false">COUNT(E2061,I2061,K2061)</f>
        <v>1</v>
      </c>
      <c r="M2061" s="18" t="n">
        <f aca="false">(D2061&lt;&gt;"")*(D2061&lt;=($E$3*60+$F$3)/86400)+(H2061&lt;&gt;"")*(H2061&lt;=($I$3*60+$J$3)/86400)+(J2061&lt;&gt;"")*(J2061&lt;=($M$3*60+$N$3)/86400)</f>
        <v>0</v>
      </c>
      <c r="N2061" s="20"/>
      <c r="O2061" s="20"/>
      <c r="P2061" s="20"/>
      <c r="Q2061" s="19"/>
    </row>
    <row r="2062" customFormat="false" ht="15" hidden="false" customHeight="false" outlineLevel="0" collapsed="false">
      <c r="A2062" s="10" t="n">
        <v>2056</v>
      </c>
      <c r="B2062" s="12" t="s">
        <v>3186</v>
      </c>
      <c r="C2062" s="12" t="s">
        <v>690</v>
      </c>
      <c r="D2062" s="13"/>
      <c r="E2062" s="14"/>
      <c r="F2062" s="15" t="str">
        <f aca="false">IF(D2062="","",ROUND((D2062-MIN($D$7:$D$9999))*86400,2))</f>
        <v/>
      </c>
      <c r="G2062" s="10" t="str">
        <f aca="false">IF(D2062="","",IF(D2062&lt;=($E$3*60+$F$3)/86400,"○",""))</f>
        <v/>
      </c>
      <c r="H2062" s="16" t="n">
        <v>0.00750729166666667</v>
      </c>
      <c r="I2062" s="17" t="n">
        <v>893</v>
      </c>
      <c r="J2062" s="16"/>
      <c r="K2062" s="17"/>
      <c r="L2062" s="17" t="n">
        <f aca="false">COUNT(E2062,I2062,K2062)</f>
        <v>1</v>
      </c>
      <c r="M2062" s="18" t="n">
        <f aca="false">(D2062&lt;&gt;"")*(D2062&lt;=($E$3*60+$F$3)/86400)+(H2062&lt;&gt;"")*(H2062&lt;=($I$3*60+$J$3)/86400)+(J2062&lt;&gt;"")*(J2062&lt;=($M$3*60+$N$3)/86400)</f>
        <v>0</v>
      </c>
      <c r="N2062" s="20"/>
      <c r="O2062" s="20"/>
      <c r="P2062" s="20"/>
      <c r="Q2062" s="19"/>
    </row>
    <row r="2063" customFormat="false" ht="15" hidden="false" customHeight="false" outlineLevel="0" collapsed="false">
      <c r="A2063" s="10" t="n">
        <v>2057</v>
      </c>
      <c r="B2063" s="12" t="s">
        <v>3187</v>
      </c>
      <c r="C2063" s="12" t="s">
        <v>3188</v>
      </c>
      <c r="D2063" s="13"/>
      <c r="E2063" s="14"/>
      <c r="F2063" s="15" t="str">
        <f aca="false">IF(D2063="","",ROUND((D2063-MIN($D$7:$D$9999))*86400,2))</f>
        <v/>
      </c>
      <c r="G2063" s="10" t="str">
        <f aca="false">IF(D2063="","",IF(D2063&lt;=($E$3*60+$F$3)/86400,"○",""))</f>
        <v/>
      </c>
      <c r="H2063" s="16" t="n">
        <v>0.00750740740740741</v>
      </c>
      <c r="I2063" s="17" t="n">
        <v>894</v>
      </c>
      <c r="J2063" s="16"/>
      <c r="K2063" s="17"/>
      <c r="L2063" s="17" t="n">
        <f aca="false">COUNT(E2063,I2063,K2063)</f>
        <v>1</v>
      </c>
      <c r="M2063" s="18" t="n">
        <f aca="false">(D2063&lt;&gt;"")*(D2063&lt;=($E$3*60+$F$3)/86400)+(H2063&lt;&gt;"")*(H2063&lt;=($I$3*60+$J$3)/86400)+(J2063&lt;&gt;"")*(J2063&lt;=($M$3*60+$N$3)/86400)</f>
        <v>0</v>
      </c>
      <c r="N2063" s="20"/>
      <c r="O2063" s="20"/>
      <c r="P2063" s="20"/>
      <c r="Q2063" s="19"/>
    </row>
    <row r="2064" customFormat="false" ht="15" hidden="false" customHeight="false" outlineLevel="0" collapsed="false">
      <c r="A2064" s="10" t="n">
        <v>2058</v>
      </c>
      <c r="B2064" s="12" t="s">
        <v>3189</v>
      </c>
      <c r="C2064" s="12" t="s">
        <v>3190</v>
      </c>
      <c r="D2064" s="13"/>
      <c r="E2064" s="14"/>
      <c r="F2064" s="15" t="str">
        <f aca="false">IF(D2064="","",ROUND((D2064-MIN($D$7:$D$9999))*86400,2))</f>
        <v/>
      </c>
      <c r="G2064" s="10" t="str">
        <f aca="false">IF(D2064="","",IF(D2064&lt;=($E$3*60+$F$3)/86400,"○",""))</f>
        <v/>
      </c>
      <c r="H2064" s="16"/>
      <c r="I2064" s="17"/>
      <c r="J2064" s="16" t="n">
        <v>0.00289247685185185</v>
      </c>
      <c r="K2064" s="17" t="n">
        <v>894</v>
      </c>
      <c r="L2064" s="17" t="n">
        <f aca="false">COUNT(E2064,I2064,K2064)</f>
        <v>1</v>
      </c>
      <c r="M2064" s="18" t="n">
        <f aca="false">(D2064&lt;&gt;"")*(D2064&lt;=($E$3*60+$F$3)/86400)+(H2064&lt;&gt;"")*(H2064&lt;=($I$3*60+$J$3)/86400)+(J2064&lt;&gt;"")*(J2064&lt;=($M$3*60+$N$3)/86400)</f>
        <v>0</v>
      </c>
      <c r="N2064" s="20" t="s">
        <v>3191</v>
      </c>
      <c r="O2064" s="20"/>
      <c r="P2064" s="20"/>
      <c r="Q2064" s="19"/>
    </row>
    <row r="2065" customFormat="false" ht="15" hidden="false" customHeight="false" outlineLevel="0" collapsed="false">
      <c r="A2065" s="10" t="n">
        <v>2059</v>
      </c>
      <c r="B2065" s="12" t="s">
        <v>3192</v>
      </c>
      <c r="C2065" s="12" t="s">
        <v>3193</v>
      </c>
      <c r="D2065" s="13"/>
      <c r="E2065" s="14"/>
      <c r="F2065" s="15" t="str">
        <f aca="false">IF(D2065="","",ROUND((D2065-MIN($D$7:$D$9999))*86400,2))</f>
        <v/>
      </c>
      <c r="G2065" s="10" t="str">
        <f aca="false">IF(D2065="","",IF(D2065&lt;=($E$3*60+$F$3)/86400,"○",""))</f>
        <v/>
      </c>
      <c r="H2065" s="16" t="n">
        <v>0.00750763888888889</v>
      </c>
      <c r="I2065" s="17" t="n">
        <v>895</v>
      </c>
      <c r="J2065" s="16"/>
      <c r="K2065" s="17"/>
      <c r="L2065" s="17" t="n">
        <f aca="false">COUNT(E2065,I2065,K2065)</f>
        <v>1</v>
      </c>
      <c r="M2065" s="18" t="n">
        <f aca="false">(D2065&lt;&gt;"")*(D2065&lt;=($E$3*60+$F$3)/86400)+(H2065&lt;&gt;"")*(H2065&lt;=($I$3*60+$J$3)/86400)+(J2065&lt;&gt;"")*(J2065&lt;=($M$3*60+$N$3)/86400)</f>
        <v>0</v>
      </c>
      <c r="N2065" s="20"/>
      <c r="O2065" s="20"/>
      <c r="P2065" s="20"/>
      <c r="Q2065" s="19"/>
    </row>
    <row r="2066" customFormat="false" ht="15" hidden="false" customHeight="false" outlineLevel="0" collapsed="false">
      <c r="A2066" s="10" t="n">
        <v>2060</v>
      </c>
      <c r="B2066" s="12" t="s">
        <v>3194</v>
      </c>
      <c r="C2066" s="12" t="s">
        <v>2135</v>
      </c>
      <c r="D2066" s="13"/>
      <c r="E2066" s="14"/>
      <c r="F2066" s="15" t="str">
        <f aca="false">IF(D2066="","",ROUND((D2066-MIN($D$7:$D$9999))*86400,2))</f>
        <v/>
      </c>
      <c r="G2066" s="10" t="str">
        <f aca="false">IF(D2066="","",IF(D2066&lt;=($E$3*60+$F$3)/86400,"○",""))</f>
        <v/>
      </c>
      <c r="H2066" s="16" t="n">
        <v>0.00750798611111111</v>
      </c>
      <c r="I2066" s="17" t="n">
        <v>896</v>
      </c>
      <c r="J2066" s="16"/>
      <c r="K2066" s="17"/>
      <c r="L2066" s="17" t="n">
        <f aca="false">COUNT(E2066,I2066,K2066)</f>
        <v>1</v>
      </c>
      <c r="M2066" s="18" t="n">
        <f aca="false">(D2066&lt;&gt;"")*(D2066&lt;=($E$3*60+$F$3)/86400)+(H2066&lt;&gt;"")*(H2066&lt;=($I$3*60+$J$3)/86400)+(J2066&lt;&gt;"")*(J2066&lt;=($M$3*60+$N$3)/86400)</f>
        <v>0</v>
      </c>
      <c r="N2066" s="20"/>
      <c r="O2066" s="20"/>
      <c r="P2066" s="20"/>
      <c r="Q2066" s="19"/>
    </row>
    <row r="2067" customFormat="false" ht="15" hidden="false" customHeight="false" outlineLevel="0" collapsed="false">
      <c r="A2067" s="10" t="n">
        <v>2061</v>
      </c>
      <c r="B2067" s="12" t="s">
        <v>3195</v>
      </c>
      <c r="C2067" s="12" t="s">
        <v>3196</v>
      </c>
      <c r="D2067" s="13"/>
      <c r="E2067" s="14"/>
      <c r="F2067" s="15" t="str">
        <f aca="false">IF(D2067="","",ROUND((D2067-MIN($D$7:$D$9999))*86400,2))</f>
        <v/>
      </c>
      <c r="G2067" s="10" t="str">
        <f aca="false">IF(D2067="","",IF(D2067&lt;=($E$3*60+$F$3)/86400,"○",""))</f>
        <v/>
      </c>
      <c r="H2067" s="16"/>
      <c r="I2067" s="17"/>
      <c r="J2067" s="16" t="n">
        <v>0.00289293981481482</v>
      </c>
      <c r="K2067" s="17" t="n">
        <v>896</v>
      </c>
      <c r="L2067" s="17" t="n">
        <f aca="false">COUNT(E2067,I2067,K2067)</f>
        <v>1</v>
      </c>
      <c r="M2067" s="18" t="n">
        <f aca="false">(D2067&lt;&gt;"")*(D2067&lt;=($E$3*60+$F$3)/86400)+(H2067&lt;&gt;"")*(H2067&lt;=($I$3*60+$J$3)/86400)+(J2067&lt;&gt;"")*(J2067&lt;=($M$3*60+$N$3)/86400)</f>
        <v>0</v>
      </c>
      <c r="N2067" s="20"/>
      <c r="O2067" s="20"/>
      <c r="P2067" s="20"/>
      <c r="Q2067" s="19"/>
    </row>
    <row r="2068" customFormat="false" ht="15" hidden="false" customHeight="false" outlineLevel="0" collapsed="false">
      <c r="A2068" s="10" t="n">
        <v>2062</v>
      </c>
      <c r="B2068" s="12" t="s">
        <v>3197</v>
      </c>
      <c r="C2068" s="12" t="s">
        <v>2192</v>
      </c>
      <c r="D2068" s="13"/>
      <c r="E2068" s="14"/>
      <c r="F2068" s="15" t="str">
        <f aca="false">IF(D2068="","",ROUND((D2068-MIN($D$7:$D$9999))*86400,2))</f>
        <v/>
      </c>
      <c r="G2068" s="10" t="str">
        <f aca="false">IF(D2068="","",IF(D2068&lt;=($E$3*60+$F$3)/86400,"○",""))</f>
        <v/>
      </c>
      <c r="H2068" s="16"/>
      <c r="I2068" s="17"/>
      <c r="J2068" s="16" t="n">
        <v>0.00289293981481482</v>
      </c>
      <c r="K2068" s="17" t="n">
        <v>897</v>
      </c>
      <c r="L2068" s="17" t="n">
        <f aca="false">COUNT(E2068,I2068,K2068)</f>
        <v>1</v>
      </c>
      <c r="M2068" s="18" t="n">
        <f aca="false">(D2068&lt;&gt;"")*(D2068&lt;=($E$3*60+$F$3)/86400)+(H2068&lt;&gt;"")*(H2068&lt;=($I$3*60+$J$3)/86400)+(J2068&lt;&gt;"")*(J2068&lt;=($M$3*60+$N$3)/86400)</f>
        <v>0</v>
      </c>
      <c r="N2068" s="20"/>
      <c r="O2068" s="20"/>
      <c r="P2068" s="20"/>
      <c r="Q2068" s="19"/>
    </row>
    <row r="2069" customFormat="false" ht="15" hidden="false" customHeight="false" outlineLevel="0" collapsed="false">
      <c r="A2069" s="10" t="n">
        <v>2063</v>
      </c>
      <c r="B2069" s="12" t="s">
        <v>3198</v>
      </c>
      <c r="C2069" s="12" t="s">
        <v>440</v>
      </c>
      <c r="D2069" s="13"/>
      <c r="E2069" s="14"/>
      <c r="F2069" s="15" t="str">
        <f aca="false">IF(D2069="","",ROUND((D2069-MIN($D$7:$D$9999))*86400,2))</f>
        <v/>
      </c>
      <c r="G2069" s="10" t="str">
        <f aca="false">IF(D2069="","",IF(D2069&lt;=($E$3*60+$F$3)/86400,"○",""))</f>
        <v/>
      </c>
      <c r="H2069" s="16" t="n">
        <v>0.00750821759259259</v>
      </c>
      <c r="I2069" s="17" t="n">
        <v>898</v>
      </c>
      <c r="J2069" s="16"/>
      <c r="K2069" s="17"/>
      <c r="L2069" s="17" t="n">
        <f aca="false">COUNT(E2069,I2069,K2069)</f>
        <v>1</v>
      </c>
      <c r="M2069" s="18" t="n">
        <f aca="false">(D2069&lt;&gt;"")*(D2069&lt;=($E$3*60+$F$3)/86400)+(H2069&lt;&gt;"")*(H2069&lt;=($I$3*60+$J$3)/86400)+(J2069&lt;&gt;"")*(J2069&lt;=($M$3*60+$N$3)/86400)</f>
        <v>0</v>
      </c>
      <c r="N2069" s="20"/>
      <c r="O2069" s="20"/>
      <c r="P2069" s="20"/>
      <c r="Q2069" s="19"/>
    </row>
    <row r="2070" customFormat="false" ht="15" hidden="false" customHeight="false" outlineLevel="0" collapsed="false">
      <c r="A2070" s="10" t="n">
        <v>2064</v>
      </c>
      <c r="B2070" s="12" t="s">
        <v>3199</v>
      </c>
      <c r="C2070" s="12" t="s">
        <v>3200</v>
      </c>
      <c r="D2070" s="13"/>
      <c r="E2070" s="14"/>
      <c r="F2070" s="15" t="str">
        <f aca="false">IF(D2070="","",ROUND((D2070-MIN($D$7:$D$9999))*86400,2))</f>
        <v/>
      </c>
      <c r="G2070" s="10" t="str">
        <f aca="false">IF(D2070="","",IF(D2070&lt;=($E$3*60+$F$3)/86400,"○",""))</f>
        <v/>
      </c>
      <c r="H2070" s="16" t="n">
        <v>0.00750833333333333</v>
      </c>
      <c r="I2070" s="17" t="n">
        <v>899</v>
      </c>
      <c r="J2070" s="16"/>
      <c r="K2070" s="17"/>
      <c r="L2070" s="17" t="n">
        <f aca="false">COUNT(E2070,I2070,K2070)</f>
        <v>1</v>
      </c>
      <c r="M2070" s="18" t="n">
        <f aca="false">(D2070&lt;&gt;"")*(D2070&lt;=($E$3*60+$F$3)/86400)+(H2070&lt;&gt;"")*(H2070&lt;=($I$3*60+$J$3)/86400)+(J2070&lt;&gt;"")*(J2070&lt;=($M$3*60+$N$3)/86400)</f>
        <v>0</v>
      </c>
      <c r="N2070" s="20"/>
      <c r="O2070" s="20"/>
      <c r="P2070" s="20"/>
      <c r="Q2070" s="19"/>
    </row>
    <row r="2071" customFormat="false" ht="15" hidden="false" customHeight="false" outlineLevel="0" collapsed="false">
      <c r="A2071" s="10" t="n">
        <v>2065</v>
      </c>
      <c r="B2071" s="12" t="s">
        <v>3201</v>
      </c>
      <c r="C2071" s="12" t="s">
        <v>3202</v>
      </c>
      <c r="D2071" s="13"/>
      <c r="E2071" s="14"/>
      <c r="F2071" s="15" t="str">
        <f aca="false">IF(D2071="","",ROUND((D2071-MIN($D$7:$D$9999))*86400,2))</f>
        <v/>
      </c>
      <c r="G2071" s="10" t="str">
        <f aca="false">IF(D2071="","",IF(D2071&lt;=($E$3*60+$F$3)/86400,"○",""))</f>
        <v/>
      </c>
      <c r="H2071" s="16" t="n">
        <v>0.0075099537037037</v>
      </c>
      <c r="I2071" s="17" t="n">
        <v>900</v>
      </c>
      <c r="J2071" s="16"/>
      <c r="K2071" s="17"/>
      <c r="L2071" s="17" t="n">
        <f aca="false">COUNT(E2071,I2071,K2071)</f>
        <v>1</v>
      </c>
      <c r="M2071" s="18" t="n">
        <f aca="false">(D2071&lt;&gt;"")*(D2071&lt;=($E$3*60+$F$3)/86400)+(H2071&lt;&gt;"")*(H2071&lt;=($I$3*60+$J$3)/86400)+(J2071&lt;&gt;"")*(J2071&lt;=($M$3*60+$N$3)/86400)</f>
        <v>0</v>
      </c>
      <c r="N2071" s="20"/>
      <c r="O2071" s="20"/>
      <c r="P2071" s="20"/>
      <c r="Q2071" s="19"/>
    </row>
    <row r="2072" customFormat="false" ht="15" hidden="false" customHeight="false" outlineLevel="0" collapsed="false">
      <c r="A2072" s="10" t="n">
        <v>2066</v>
      </c>
      <c r="B2072" s="12" t="s">
        <v>3203</v>
      </c>
      <c r="C2072" s="12" t="s">
        <v>3204</v>
      </c>
      <c r="D2072" s="13"/>
      <c r="E2072" s="14"/>
      <c r="F2072" s="15" t="str">
        <f aca="false">IF(D2072="","",ROUND((D2072-MIN($D$7:$D$9999))*86400,2))</f>
        <v/>
      </c>
      <c r="G2072" s="10" t="str">
        <f aca="false">IF(D2072="","",IF(D2072&lt;=($E$3*60+$F$3)/86400,"○",""))</f>
        <v/>
      </c>
      <c r="H2072" s="16"/>
      <c r="I2072" s="17"/>
      <c r="J2072" s="16" t="n">
        <v>0.00289340277777778</v>
      </c>
      <c r="K2072" s="17" t="n">
        <v>900</v>
      </c>
      <c r="L2072" s="17" t="n">
        <f aca="false">COUNT(E2072,I2072,K2072)</f>
        <v>1</v>
      </c>
      <c r="M2072" s="18" t="n">
        <f aca="false">(D2072&lt;&gt;"")*(D2072&lt;=($E$3*60+$F$3)/86400)+(H2072&lt;&gt;"")*(H2072&lt;=($I$3*60+$J$3)/86400)+(J2072&lt;&gt;"")*(J2072&lt;=($M$3*60+$N$3)/86400)</f>
        <v>0</v>
      </c>
      <c r="N2072" s="20"/>
      <c r="O2072" s="20"/>
      <c r="P2072" s="20"/>
      <c r="Q2072" s="19"/>
    </row>
    <row r="2073" customFormat="false" ht="15" hidden="false" customHeight="false" outlineLevel="0" collapsed="false">
      <c r="A2073" s="10" t="n">
        <v>2067</v>
      </c>
      <c r="B2073" s="12" t="s">
        <v>3205</v>
      </c>
      <c r="C2073" s="12" t="s">
        <v>3206</v>
      </c>
      <c r="D2073" s="13"/>
      <c r="E2073" s="14"/>
      <c r="F2073" s="15" t="str">
        <f aca="false">IF(D2073="","",ROUND((D2073-MIN($D$7:$D$9999))*86400,2))</f>
        <v/>
      </c>
      <c r="G2073" s="10" t="str">
        <f aca="false">IF(D2073="","",IF(D2073&lt;=($E$3*60+$F$3)/86400,"○",""))</f>
        <v/>
      </c>
      <c r="H2073" s="16" t="n">
        <v>0.00751018518518519</v>
      </c>
      <c r="I2073" s="17" t="n">
        <v>901</v>
      </c>
      <c r="J2073" s="16"/>
      <c r="K2073" s="17"/>
      <c r="L2073" s="17" t="n">
        <f aca="false">COUNT(E2073,I2073,K2073)</f>
        <v>1</v>
      </c>
      <c r="M2073" s="18" t="n">
        <f aca="false">(D2073&lt;&gt;"")*(D2073&lt;=($E$3*60+$F$3)/86400)+(H2073&lt;&gt;"")*(H2073&lt;=($I$3*60+$J$3)/86400)+(J2073&lt;&gt;"")*(J2073&lt;=($M$3*60+$N$3)/86400)</f>
        <v>0</v>
      </c>
      <c r="N2073" s="20"/>
      <c r="O2073" s="20"/>
      <c r="P2073" s="20"/>
      <c r="Q2073" s="19"/>
    </row>
    <row r="2074" customFormat="false" ht="15" hidden="false" customHeight="false" outlineLevel="0" collapsed="false">
      <c r="A2074" s="10" t="n">
        <v>2068</v>
      </c>
      <c r="B2074" s="12" t="s">
        <v>3207</v>
      </c>
      <c r="C2074" s="12" t="s">
        <v>3151</v>
      </c>
      <c r="D2074" s="13"/>
      <c r="E2074" s="14"/>
      <c r="F2074" s="15" t="str">
        <f aca="false">IF(D2074="","",ROUND((D2074-MIN($D$7:$D$9999))*86400,2))</f>
        <v/>
      </c>
      <c r="G2074" s="10" t="str">
        <f aca="false">IF(D2074="","",IF(D2074&lt;=($E$3*60+$F$3)/86400,"○",""))</f>
        <v/>
      </c>
      <c r="H2074" s="16" t="n">
        <v>0.00751053240740741</v>
      </c>
      <c r="I2074" s="17" t="n">
        <v>902</v>
      </c>
      <c r="J2074" s="16"/>
      <c r="K2074" s="17"/>
      <c r="L2074" s="17" t="n">
        <f aca="false">COUNT(E2074,I2074,K2074)</f>
        <v>1</v>
      </c>
      <c r="M2074" s="18" t="n">
        <f aca="false">(D2074&lt;&gt;"")*(D2074&lt;=($E$3*60+$F$3)/86400)+(H2074&lt;&gt;"")*(H2074&lt;=($I$3*60+$J$3)/86400)+(J2074&lt;&gt;"")*(J2074&lt;=($M$3*60+$N$3)/86400)</f>
        <v>0</v>
      </c>
      <c r="N2074" s="20" t="s">
        <v>3208</v>
      </c>
      <c r="O2074" s="20"/>
      <c r="P2074" s="20"/>
      <c r="Q2074" s="19"/>
    </row>
    <row r="2075" customFormat="false" ht="15" hidden="false" customHeight="false" outlineLevel="0" collapsed="false">
      <c r="A2075" s="10" t="n">
        <v>2069</v>
      </c>
      <c r="B2075" s="12" t="s">
        <v>3209</v>
      </c>
      <c r="C2075" s="12" t="s">
        <v>3210</v>
      </c>
      <c r="D2075" s="13"/>
      <c r="E2075" s="14"/>
      <c r="F2075" s="15" t="str">
        <f aca="false">IF(D2075="","",ROUND((D2075-MIN($D$7:$D$9999))*86400,2))</f>
        <v/>
      </c>
      <c r="G2075" s="10" t="str">
        <f aca="false">IF(D2075="","",IF(D2075&lt;=($E$3*60+$F$3)/86400,"○",""))</f>
        <v/>
      </c>
      <c r="H2075" s="16"/>
      <c r="I2075" s="17"/>
      <c r="J2075" s="16" t="n">
        <v>0.00289351851851852</v>
      </c>
      <c r="K2075" s="17" t="n">
        <v>902</v>
      </c>
      <c r="L2075" s="17" t="n">
        <f aca="false">COUNT(E2075,I2075,K2075)</f>
        <v>1</v>
      </c>
      <c r="M2075" s="18" t="n">
        <f aca="false">(D2075&lt;&gt;"")*(D2075&lt;=($E$3*60+$F$3)/86400)+(H2075&lt;&gt;"")*(H2075&lt;=($I$3*60+$J$3)/86400)+(J2075&lt;&gt;"")*(J2075&lt;=($M$3*60+$N$3)/86400)</f>
        <v>0</v>
      </c>
      <c r="N2075" s="20"/>
      <c r="O2075" s="20"/>
      <c r="P2075" s="20"/>
      <c r="Q2075" s="19"/>
    </row>
    <row r="2076" customFormat="false" ht="15" hidden="false" customHeight="false" outlineLevel="0" collapsed="false">
      <c r="A2076" s="10" t="n">
        <v>2070</v>
      </c>
      <c r="B2076" s="12" t="s">
        <v>3211</v>
      </c>
      <c r="C2076" s="12" t="s">
        <v>1599</v>
      </c>
      <c r="D2076" s="13"/>
      <c r="E2076" s="14"/>
      <c r="F2076" s="15" t="str">
        <f aca="false">IF(D2076="","",ROUND((D2076-MIN($D$7:$D$9999))*86400,2))</f>
        <v/>
      </c>
      <c r="G2076" s="10" t="str">
        <f aca="false">IF(D2076="","",IF(D2076&lt;=($E$3*60+$F$3)/86400,"○",""))</f>
        <v/>
      </c>
      <c r="H2076" s="16" t="n">
        <v>0.00751099537037037</v>
      </c>
      <c r="I2076" s="17" t="n">
        <v>903</v>
      </c>
      <c r="J2076" s="16"/>
      <c r="K2076" s="17"/>
      <c r="L2076" s="17" t="n">
        <f aca="false">COUNT(E2076,I2076,K2076)</f>
        <v>1</v>
      </c>
      <c r="M2076" s="18" t="n">
        <f aca="false">(D2076&lt;&gt;"")*(D2076&lt;=($E$3*60+$F$3)/86400)+(H2076&lt;&gt;"")*(H2076&lt;=($I$3*60+$J$3)/86400)+(J2076&lt;&gt;"")*(J2076&lt;=($M$3*60+$N$3)/86400)</f>
        <v>0</v>
      </c>
      <c r="N2076" s="20"/>
      <c r="O2076" s="20"/>
      <c r="P2076" s="12" t="s">
        <v>3212</v>
      </c>
      <c r="Q2076" s="19"/>
    </row>
    <row r="2077" customFormat="false" ht="15" hidden="false" customHeight="false" outlineLevel="0" collapsed="false">
      <c r="A2077" s="10" t="n">
        <v>2071</v>
      </c>
      <c r="B2077" s="12" t="s">
        <v>3213</v>
      </c>
      <c r="C2077" s="12" t="s">
        <v>3214</v>
      </c>
      <c r="D2077" s="13"/>
      <c r="E2077" s="14"/>
      <c r="F2077" s="15" t="str">
        <f aca="false">IF(D2077="","",ROUND((D2077-MIN($D$7:$D$9999))*86400,2))</f>
        <v/>
      </c>
      <c r="G2077" s="10" t="str">
        <f aca="false">IF(D2077="","",IF(D2077&lt;=($E$3*60+$F$3)/86400,"○",""))</f>
        <v/>
      </c>
      <c r="H2077" s="16"/>
      <c r="I2077" s="17"/>
      <c r="J2077" s="16" t="n">
        <v>0.00289363425925926</v>
      </c>
      <c r="K2077" s="17" t="n">
        <v>903</v>
      </c>
      <c r="L2077" s="17" t="n">
        <f aca="false">COUNT(E2077,I2077,K2077)</f>
        <v>1</v>
      </c>
      <c r="M2077" s="18" t="n">
        <f aca="false">(D2077&lt;&gt;"")*(D2077&lt;=($E$3*60+$F$3)/86400)+(H2077&lt;&gt;"")*(H2077&lt;=($I$3*60+$J$3)/86400)+(J2077&lt;&gt;"")*(J2077&lt;=($M$3*60+$N$3)/86400)</f>
        <v>0</v>
      </c>
      <c r="N2077" s="20"/>
      <c r="O2077" s="20"/>
      <c r="P2077" s="20"/>
      <c r="Q2077" s="19"/>
    </row>
    <row r="2078" customFormat="false" ht="15" hidden="false" customHeight="false" outlineLevel="0" collapsed="false">
      <c r="A2078" s="10" t="n">
        <v>2072</v>
      </c>
      <c r="B2078" s="12" t="s">
        <v>3215</v>
      </c>
      <c r="C2078" s="12" t="s">
        <v>3216</v>
      </c>
      <c r="D2078" s="13"/>
      <c r="E2078" s="14"/>
      <c r="F2078" s="15" t="str">
        <f aca="false">IF(D2078="","",ROUND((D2078-MIN($D$7:$D$9999))*86400,2))</f>
        <v/>
      </c>
      <c r="G2078" s="10" t="str">
        <f aca="false">IF(D2078="","",IF(D2078&lt;=($E$3*60+$F$3)/86400,"○",""))</f>
        <v/>
      </c>
      <c r="H2078" s="16" t="n">
        <v>0.00751215277777778</v>
      </c>
      <c r="I2078" s="17" t="n">
        <v>904</v>
      </c>
      <c r="J2078" s="16"/>
      <c r="K2078" s="17"/>
      <c r="L2078" s="17" t="n">
        <f aca="false">COUNT(E2078,I2078,K2078)</f>
        <v>1</v>
      </c>
      <c r="M2078" s="18" t="n">
        <f aca="false">(D2078&lt;&gt;"")*(D2078&lt;=($E$3*60+$F$3)/86400)+(H2078&lt;&gt;"")*(H2078&lt;=($I$3*60+$J$3)/86400)+(J2078&lt;&gt;"")*(J2078&lt;=($M$3*60+$N$3)/86400)</f>
        <v>0</v>
      </c>
      <c r="N2078" s="20"/>
      <c r="O2078" s="20"/>
      <c r="P2078" s="20"/>
      <c r="Q2078" s="19"/>
    </row>
    <row r="2079" customFormat="false" ht="15" hidden="false" customHeight="false" outlineLevel="0" collapsed="false">
      <c r="A2079" s="10" t="n">
        <v>2073</v>
      </c>
      <c r="B2079" s="12" t="s">
        <v>3217</v>
      </c>
      <c r="C2079" s="12" t="s">
        <v>2257</v>
      </c>
      <c r="D2079" s="13"/>
      <c r="E2079" s="14"/>
      <c r="F2079" s="15" t="str">
        <f aca="false">IF(D2079="","",ROUND((D2079-MIN($D$7:$D$9999))*86400,2))</f>
        <v/>
      </c>
      <c r="G2079" s="10" t="str">
        <f aca="false">IF(D2079="","",IF(D2079&lt;=($E$3*60+$F$3)/86400,"○",""))</f>
        <v/>
      </c>
      <c r="H2079" s="16" t="n">
        <v>0.00751377314814815</v>
      </c>
      <c r="I2079" s="17" t="n">
        <v>905</v>
      </c>
      <c r="J2079" s="16"/>
      <c r="K2079" s="17"/>
      <c r="L2079" s="17" t="n">
        <f aca="false">COUNT(E2079,I2079,K2079)</f>
        <v>1</v>
      </c>
      <c r="M2079" s="18" t="n">
        <f aca="false">(D2079&lt;&gt;"")*(D2079&lt;=($E$3*60+$F$3)/86400)+(H2079&lt;&gt;"")*(H2079&lt;=($I$3*60+$J$3)/86400)+(J2079&lt;&gt;"")*(J2079&lt;=($M$3*60+$N$3)/86400)</f>
        <v>0</v>
      </c>
      <c r="N2079" s="20"/>
      <c r="O2079" s="20"/>
      <c r="P2079" s="20"/>
      <c r="Q2079" s="19"/>
    </row>
    <row r="2080" customFormat="false" ht="15" hidden="false" customHeight="false" outlineLevel="0" collapsed="false">
      <c r="A2080" s="10" t="n">
        <v>2074</v>
      </c>
      <c r="B2080" s="12" t="s">
        <v>3218</v>
      </c>
      <c r="C2080" s="12" t="s">
        <v>507</v>
      </c>
      <c r="D2080" s="13"/>
      <c r="E2080" s="14"/>
      <c r="F2080" s="15" t="str">
        <f aca="false">IF(D2080="","",ROUND((D2080-MIN($D$7:$D$9999))*86400,2))</f>
        <v/>
      </c>
      <c r="G2080" s="10" t="str">
        <f aca="false">IF(D2080="","",IF(D2080&lt;=($E$3*60+$F$3)/86400,"○",""))</f>
        <v/>
      </c>
      <c r="H2080" s="16" t="n">
        <v>0.00751435185185185</v>
      </c>
      <c r="I2080" s="17" t="n">
        <v>906</v>
      </c>
      <c r="J2080" s="16"/>
      <c r="K2080" s="17"/>
      <c r="L2080" s="17" t="n">
        <f aca="false">COUNT(E2080,I2080,K2080)</f>
        <v>1</v>
      </c>
      <c r="M2080" s="18" t="n">
        <f aca="false">(D2080&lt;&gt;"")*(D2080&lt;=($E$3*60+$F$3)/86400)+(H2080&lt;&gt;"")*(H2080&lt;=($I$3*60+$J$3)/86400)+(J2080&lt;&gt;"")*(J2080&lt;=($M$3*60+$N$3)/86400)</f>
        <v>0</v>
      </c>
      <c r="N2080" s="20"/>
      <c r="O2080" s="20"/>
      <c r="P2080" s="20"/>
      <c r="Q2080" s="19"/>
    </row>
    <row r="2081" customFormat="false" ht="15" hidden="false" customHeight="false" outlineLevel="0" collapsed="false">
      <c r="A2081" s="10" t="n">
        <v>2075</v>
      </c>
      <c r="B2081" s="12" t="s">
        <v>3219</v>
      </c>
      <c r="C2081" s="12" t="s">
        <v>3220</v>
      </c>
      <c r="D2081" s="13"/>
      <c r="E2081" s="14"/>
      <c r="F2081" s="15" t="str">
        <f aca="false">IF(D2081="","",ROUND((D2081-MIN($D$7:$D$9999))*86400,2))</f>
        <v/>
      </c>
      <c r="G2081" s="10" t="str">
        <f aca="false">IF(D2081="","",IF(D2081&lt;=($E$3*60+$F$3)/86400,"○",""))</f>
        <v/>
      </c>
      <c r="H2081" s="16" t="n">
        <v>0.00751481481481481</v>
      </c>
      <c r="I2081" s="17" t="n">
        <v>907</v>
      </c>
      <c r="J2081" s="16"/>
      <c r="K2081" s="17"/>
      <c r="L2081" s="17" t="n">
        <f aca="false">COUNT(E2081,I2081,K2081)</f>
        <v>1</v>
      </c>
      <c r="M2081" s="18" t="n">
        <f aca="false">(D2081&lt;&gt;"")*(D2081&lt;=($E$3*60+$F$3)/86400)+(H2081&lt;&gt;"")*(H2081&lt;=($I$3*60+$J$3)/86400)+(J2081&lt;&gt;"")*(J2081&lt;=($M$3*60+$N$3)/86400)</f>
        <v>0</v>
      </c>
      <c r="N2081" s="20"/>
      <c r="O2081" s="20"/>
      <c r="P2081" s="20"/>
      <c r="Q2081" s="19"/>
    </row>
    <row r="2082" customFormat="false" ht="15" hidden="false" customHeight="false" outlineLevel="0" collapsed="false">
      <c r="A2082" s="10" t="n">
        <v>2076</v>
      </c>
      <c r="B2082" s="12" t="s">
        <v>3221</v>
      </c>
      <c r="C2082" s="12" t="s">
        <v>3222</v>
      </c>
      <c r="D2082" s="13"/>
      <c r="E2082" s="14"/>
      <c r="F2082" s="15" t="str">
        <f aca="false">IF(D2082="","",ROUND((D2082-MIN($D$7:$D$9999))*86400,2))</f>
        <v/>
      </c>
      <c r="G2082" s="10" t="str">
        <f aca="false">IF(D2082="","",IF(D2082&lt;=($E$3*60+$F$3)/86400,"○",""))</f>
        <v/>
      </c>
      <c r="H2082" s="16"/>
      <c r="I2082" s="17"/>
      <c r="J2082" s="16" t="n">
        <v>0.00289444444444445</v>
      </c>
      <c r="K2082" s="17" t="n">
        <v>907</v>
      </c>
      <c r="L2082" s="17" t="n">
        <f aca="false">COUNT(E2082,I2082,K2082)</f>
        <v>1</v>
      </c>
      <c r="M2082" s="18" t="n">
        <f aca="false">(D2082&lt;&gt;"")*(D2082&lt;=($E$3*60+$F$3)/86400)+(H2082&lt;&gt;"")*(H2082&lt;=($I$3*60+$J$3)/86400)+(J2082&lt;&gt;"")*(J2082&lt;=($M$3*60+$N$3)/86400)</f>
        <v>0</v>
      </c>
      <c r="N2082" s="20"/>
      <c r="O2082" s="20"/>
      <c r="P2082" s="20"/>
      <c r="Q2082" s="19"/>
    </row>
    <row r="2083" customFormat="false" ht="15" hidden="false" customHeight="false" outlineLevel="0" collapsed="false">
      <c r="A2083" s="10" t="n">
        <v>2077</v>
      </c>
      <c r="B2083" s="12" t="s">
        <v>3223</v>
      </c>
      <c r="C2083" s="12" t="s">
        <v>3224</v>
      </c>
      <c r="D2083" s="13"/>
      <c r="E2083" s="14"/>
      <c r="F2083" s="15" t="str">
        <f aca="false">IF(D2083="","",ROUND((D2083-MIN($D$7:$D$9999))*86400,2))</f>
        <v/>
      </c>
      <c r="G2083" s="10" t="str">
        <f aca="false">IF(D2083="","",IF(D2083&lt;=($E$3*60+$F$3)/86400,"○",""))</f>
        <v/>
      </c>
      <c r="H2083" s="16" t="n">
        <v>0.00751516203703704</v>
      </c>
      <c r="I2083" s="17" t="n">
        <v>908</v>
      </c>
      <c r="J2083" s="16"/>
      <c r="K2083" s="17"/>
      <c r="L2083" s="17" t="n">
        <f aca="false">COUNT(E2083,I2083,K2083)</f>
        <v>1</v>
      </c>
      <c r="M2083" s="18" t="n">
        <f aca="false">(D2083&lt;&gt;"")*(D2083&lt;=($E$3*60+$F$3)/86400)+(H2083&lt;&gt;"")*(H2083&lt;=($I$3*60+$J$3)/86400)+(J2083&lt;&gt;"")*(J2083&lt;=($M$3*60+$N$3)/86400)</f>
        <v>0</v>
      </c>
      <c r="N2083" s="20"/>
      <c r="O2083" s="20"/>
      <c r="P2083" s="20"/>
      <c r="Q2083" s="19"/>
    </row>
    <row r="2084" customFormat="false" ht="15" hidden="false" customHeight="false" outlineLevel="0" collapsed="false">
      <c r="A2084" s="10" t="n">
        <v>2078</v>
      </c>
      <c r="B2084" s="12" t="s">
        <v>3225</v>
      </c>
      <c r="C2084" s="12" t="s">
        <v>3226</v>
      </c>
      <c r="D2084" s="13"/>
      <c r="E2084" s="14"/>
      <c r="F2084" s="15" t="str">
        <f aca="false">IF(D2084="","",ROUND((D2084-MIN($D$7:$D$9999))*86400,2))</f>
        <v/>
      </c>
      <c r="G2084" s="10" t="str">
        <f aca="false">IF(D2084="","",IF(D2084&lt;=($E$3*60+$F$3)/86400,"○",""))</f>
        <v/>
      </c>
      <c r="H2084" s="16" t="n">
        <v>0.00751527777777778</v>
      </c>
      <c r="I2084" s="17" t="n">
        <v>909</v>
      </c>
      <c r="J2084" s="16"/>
      <c r="K2084" s="17"/>
      <c r="L2084" s="17" t="n">
        <f aca="false">COUNT(E2084,I2084,K2084)</f>
        <v>1</v>
      </c>
      <c r="M2084" s="18" t="n">
        <f aca="false">(D2084&lt;&gt;"")*(D2084&lt;=($E$3*60+$F$3)/86400)+(H2084&lt;&gt;"")*(H2084&lt;=($I$3*60+$J$3)/86400)+(J2084&lt;&gt;"")*(J2084&lt;=($M$3*60+$N$3)/86400)</f>
        <v>0</v>
      </c>
      <c r="N2084" s="20"/>
      <c r="O2084" s="20"/>
      <c r="P2084" s="20"/>
      <c r="Q2084" s="19"/>
    </row>
    <row r="2085" customFormat="false" ht="15" hidden="false" customHeight="false" outlineLevel="0" collapsed="false">
      <c r="A2085" s="10" t="n">
        <v>2079</v>
      </c>
      <c r="B2085" s="12" t="s">
        <v>3227</v>
      </c>
      <c r="C2085" s="12" t="s">
        <v>629</v>
      </c>
      <c r="D2085" s="13"/>
      <c r="E2085" s="14"/>
      <c r="F2085" s="15" t="str">
        <f aca="false">IF(D2085="","",ROUND((D2085-MIN($D$7:$D$9999))*86400,2))</f>
        <v/>
      </c>
      <c r="G2085" s="10" t="str">
        <f aca="false">IF(D2085="","",IF(D2085&lt;=($E$3*60+$F$3)/86400,"○",""))</f>
        <v/>
      </c>
      <c r="H2085" s="16"/>
      <c r="I2085" s="17"/>
      <c r="J2085" s="16" t="n">
        <v>0.00289467592592593</v>
      </c>
      <c r="K2085" s="17" t="n">
        <v>909</v>
      </c>
      <c r="L2085" s="17" t="n">
        <f aca="false">COUNT(E2085,I2085,K2085)</f>
        <v>1</v>
      </c>
      <c r="M2085" s="18" t="n">
        <f aca="false">(D2085&lt;&gt;"")*(D2085&lt;=($E$3*60+$F$3)/86400)+(H2085&lt;&gt;"")*(H2085&lt;=($I$3*60+$J$3)/86400)+(J2085&lt;&gt;"")*(J2085&lt;=($M$3*60+$N$3)/86400)</f>
        <v>0</v>
      </c>
      <c r="N2085" s="20"/>
      <c r="O2085" s="20"/>
      <c r="P2085" s="20"/>
      <c r="Q2085" s="19"/>
    </row>
    <row r="2086" customFormat="false" ht="15" hidden="false" customHeight="false" outlineLevel="0" collapsed="false">
      <c r="A2086" s="10" t="n">
        <v>2080</v>
      </c>
      <c r="B2086" s="12" t="s">
        <v>3228</v>
      </c>
      <c r="C2086" s="12" t="s">
        <v>313</v>
      </c>
      <c r="D2086" s="13"/>
      <c r="E2086" s="14"/>
      <c r="F2086" s="15" t="str">
        <f aca="false">IF(D2086="","",ROUND((D2086-MIN($D$7:$D$9999))*86400,2))</f>
        <v/>
      </c>
      <c r="G2086" s="10" t="str">
        <f aca="false">IF(D2086="","",IF(D2086&lt;=($E$3*60+$F$3)/86400,"○",""))</f>
        <v/>
      </c>
      <c r="H2086" s="16" t="n">
        <v>0.007515625</v>
      </c>
      <c r="I2086" s="17" t="n">
        <v>910</v>
      </c>
      <c r="J2086" s="16"/>
      <c r="K2086" s="17"/>
      <c r="L2086" s="17" t="n">
        <f aca="false">COUNT(E2086,I2086,K2086)</f>
        <v>1</v>
      </c>
      <c r="M2086" s="18" t="n">
        <f aca="false">(D2086&lt;&gt;"")*(D2086&lt;=($E$3*60+$F$3)/86400)+(H2086&lt;&gt;"")*(H2086&lt;=($I$3*60+$J$3)/86400)+(J2086&lt;&gt;"")*(J2086&lt;=($M$3*60+$N$3)/86400)</f>
        <v>0</v>
      </c>
      <c r="N2086" s="20"/>
      <c r="O2086" s="20"/>
      <c r="P2086" s="20"/>
      <c r="Q2086" s="19"/>
    </row>
    <row r="2087" customFormat="false" ht="15" hidden="false" customHeight="false" outlineLevel="0" collapsed="false">
      <c r="A2087" s="10" t="n">
        <v>2081</v>
      </c>
      <c r="B2087" s="12" t="s">
        <v>3229</v>
      </c>
      <c r="C2087" s="12" t="s">
        <v>3083</v>
      </c>
      <c r="D2087" s="13"/>
      <c r="E2087" s="14"/>
      <c r="F2087" s="15" t="str">
        <f aca="false">IF(D2087="","",ROUND((D2087-MIN($D$7:$D$9999))*86400,2))</f>
        <v/>
      </c>
      <c r="G2087" s="10" t="str">
        <f aca="false">IF(D2087="","",IF(D2087&lt;=($E$3*60+$F$3)/86400,"○",""))</f>
        <v/>
      </c>
      <c r="H2087" s="16" t="n">
        <v>0.00751585648148148</v>
      </c>
      <c r="I2087" s="17" t="n">
        <v>911</v>
      </c>
      <c r="J2087" s="16"/>
      <c r="K2087" s="17"/>
      <c r="L2087" s="17" t="n">
        <f aca="false">COUNT(E2087,I2087,K2087)</f>
        <v>1</v>
      </c>
      <c r="M2087" s="18" t="n">
        <f aca="false">(D2087&lt;&gt;"")*(D2087&lt;=($E$3*60+$F$3)/86400)+(H2087&lt;&gt;"")*(H2087&lt;=($I$3*60+$J$3)/86400)+(J2087&lt;&gt;"")*(J2087&lt;=($M$3*60+$N$3)/86400)</f>
        <v>0</v>
      </c>
      <c r="N2087" s="20"/>
      <c r="O2087" s="20"/>
      <c r="P2087" s="20"/>
      <c r="Q2087" s="19"/>
    </row>
    <row r="2088" customFormat="false" ht="15" hidden="false" customHeight="false" outlineLevel="0" collapsed="false">
      <c r="A2088" s="10" t="n">
        <v>2082</v>
      </c>
      <c r="B2088" s="12" t="s">
        <v>3230</v>
      </c>
      <c r="C2088" s="12" t="s">
        <v>2257</v>
      </c>
      <c r="D2088" s="13"/>
      <c r="E2088" s="14"/>
      <c r="F2088" s="15" t="str">
        <f aca="false">IF(D2088="","",ROUND((D2088-MIN($D$7:$D$9999))*86400,2))</f>
        <v/>
      </c>
      <c r="G2088" s="10" t="str">
        <f aca="false">IF(D2088="","",IF(D2088&lt;=($E$3*60+$F$3)/86400,"○",""))</f>
        <v/>
      </c>
      <c r="H2088" s="16"/>
      <c r="I2088" s="17"/>
      <c r="J2088" s="16" t="n">
        <v>0.00289490740740741</v>
      </c>
      <c r="K2088" s="17" t="n">
        <v>911</v>
      </c>
      <c r="L2088" s="17" t="n">
        <f aca="false">COUNT(E2088,I2088,K2088)</f>
        <v>1</v>
      </c>
      <c r="M2088" s="18" t="n">
        <f aca="false">(D2088&lt;&gt;"")*(D2088&lt;=($E$3*60+$F$3)/86400)+(H2088&lt;&gt;"")*(H2088&lt;=($I$3*60+$J$3)/86400)+(J2088&lt;&gt;"")*(J2088&lt;=($M$3*60+$N$3)/86400)</f>
        <v>0</v>
      </c>
      <c r="N2088" s="20"/>
      <c r="O2088" s="20"/>
      <c r="P2088" s="20"/>
      <c r="Q2088" s="19"/>
    </row>
    <row r="2089" customFormat="false" ht="15" hidden="false" customHeight="false" outlineLevel="0" collapsed="false">
      <c r="A2089" s="10" t="n">
        <v>2083</v>
      </c>
      <c r="B2089" s="12" t="s">
        <v>3231</v>
      </c>
      <c r="C2089" s="12" t="s">
        <v>3232</v>
      </c>
      <c r="D2089" s="13"/>
      <c r="E2089" s="14"/>
      <c r="F2089" s="15" t="str">
        <f aca="false">IF(D2089="","",ROUND((D2089-MIN($D$7:$D$9999))*86400,2))</f>
        <v/>
      </c>
      <c r="G2089" s="10" t="str">
        <f aca="false">IF(D2089="","",IF(D2089&lt;=($E$3*60+$F$3)/86400,"○",""))</f>
        <v/>
      </c>
      <c r="H2089" s="16" t="n">
        <v>0.00751608796296296</v>
      </c>
      <c r="I2089" s="17" t="n">
        <v>912</v>
      </c>
      <c r="J2089" s="16"/>
      <c r="K2089" s="17"/>
      <c r="L2089" s="17" t="n">
        <f aca="false">COUNT(E2089,I2089,K2089)</f>
        <v>1</v>
      </c>
      <c r="M2089" s="18" t="n">
        <f aca="false">(D2089&lt;&gt;"")*(D2089&lt;=($E$3*60+$F$3)/86400)+(H2089&lt;&gt;"")*(H2089&lt;=($I$3*60+$J$3)/86400)+(J2089&lt;&gt;"")*(J2089&lt;=($M$3*60+$N$3)/86400)</f>
        <v>0</v>
      </c>
      <c r="N2089" s="20"/>
      <c r="O2089" s="20"/>
      <c r="P2089" s="20"/>
      <c r="Q2089" s="19"/>
    </row>
    <row r="2090" customFormat="false" ht="15" hidden="false" customHeight="false" outlineLevel="0" collapsed="false">
      <c r="A2090" s="10" t="n">
        <v>2084</v>
      </c>
      <c r="B2090" s="12" t="s">
        <v>3233</v>
      </c>
      <c r="C2090" s="12" t="s">
        <v>3234</v>
      </c>
      <c r="D2090" s="13"/>
      <c r="E2090" s="14"/>
      <c r="F2090" s="15" t="str">
        <f aca="false">IF(D2090="","",ROUND((D2090-MIN($D$7:$D$9999))*86400,2))</f>
        <v/>
      </c>
      <c r="G2090" s="10" t="str">
        <f aca="false">IF(D2090="","",IF(D2090&lt;=($E$3*60+$F$3)/86400,"○",""))</f>
        <v/>
      </c>
      <c r="H2090" s="16" t="n">
        <v>0.00751631944444444</v>
      </c>
      <c r="I2090" s="17" t="n">
        <v>913</v>
      </c>
      <c r="J2090" s="16"/>
      <c r="K2090" s="17"/>
      <c r="L2090" s="17" t="n">
        <f aca="false">COUNT(E2090,I2090,K2090)</f>
        <v>1</v>
      </c>
      <c r="M2090" s="18" t="n">
        <f aca="false">(D2090&lt;&gt;"")*(D2090&lt;=($E$3*60+$F$3)/86400)+(H2090&lt;&gt;"")*(H2090&lt;=($I$3*60+$J$3)/86400)+(J2090&lt;&gt;"")*(J2090&lt;=($M$3*60+$N$3)/86400)</f>
        <v>0</v>
      </c>
      <c r="N2090" s="20"/>
      <c r="O2090" s="20"/>
      <c r="P2090" s="20"/>
      <c r="Q2090" s="19"/>
    </row>
    <row r="2091" customFormat="false" ht="15" hidden="false" customHeight="false" outlineLevel="0" collapsed="false">
      <c r="A2091" s="10" t="n">
        <v>2085</v>
      </c>
      <c r="B2091" s="12" t="s">
        <v>3235</v>
      </c>
      <c r="C2091" s="12" t="s">
        <v>846</v>
      </c>
      <c r="D2091" s="13"/>
      <c r="E2091" s="14"/>
      <c r="F2091" s="15" t="str">
        <f aca="false">IF(D2091="","",ROUND((D2091-MIN($D$7:$D$9999))*86400,2))</f>
        <v/>
      </c>
      <c r="G2091" s="10" t="str">
        <f aca="false">IF(D2091="","",IF(D2091&lt;=($E$3*60+$F$3)/86400,"○",""))</f>
        <v/>
      </c>
      <c r="H2091" s="16" t="n">
        <v>0.00751689814814815</v>
      </c>
      <c r="I2091" s="17" t="n">
        <v>914</v>
      </c>
      <c r="J2091" s="16"/>
      <c r="K2091" s="17"/>
      <c r="L2091" s="17" t="n">
        <f aca="false">COUNT(E2091,I2091,K2091)</f>
        <v>1</v>
      </c>
      <c r="M2091" s="18" t="n">
        <f aca="false">(D2091&lt;&gt;"")*(D2091&lt;=($E$3*60+$F$3)/86400)+(H2091&lt;&gt;"")*(H2091&lt;=($I$3*60+$J$3)/86400)+(J2091&lt;&gt;"")*(J2091&lt;=($M$3*60+$N$3)/86400)</f>
        <v>0</v>
      </c>
      <c r="N2091" s="20"/>
      <c r="O2091" s="20"/>
      <c r="P2091" s="20"/>
      <c r="Q2091" s="19"/>
    </row>
    <row r="2092" customFormat="false" ht="15" hidden="false" customHeight="false" outlineLevel="0" collapsed="false">
      <c r="A2092" s="10" t="n">
        <v>2086</v>
      </c>
      <c r="B2092" s="12" t="s">
        <v>3236</v>
      </c>
      <c r="C2092" s="12" t="s">
        <v>1552</v>
      </c>
      <c r="D2092" s="13"/>
      <c r="E2092" s="14"/>
      <c r="F2092" s="15" t="str">
        <f aca="false">IF(D2092="","",ROUND((D2092-MIN($D$7:$D$9999))*86400,2))</f>
        <v/>
      </c>
      <c r="G2092" s="10" t="str">
        <f aca="false">IF(D2092="","",IF(D2092&lt;=($E$3*60+$F$3)/86400,"○",""))</f>
        <v/>
      </c>
      <c r="H2092" s="16"/>
      <c r="I2092" s="17"/>
      <c r="J2092" s="16" t="n">
        <v>0.00289537037037037</v>
      </c>
      <c r="K2092" s="17" t="n">
        <v>914</v>
      </c>
      <c r="L2092" s="17" t="n">
        <f aca="false">COUNT(E2092,I2092,K2092)</f>
        <v>1</v>
      </c>
      <c r="M2092" s="18" t="n">
        <f aca="false">(D2092&lt;&gt;"")*(D2092&lt;=($E$3*60+$F$3)/86400)+(H2092&lt;&gt;"")*(H2092&lt;=($I$3*60+$J$3)/86400)+(J2092&lt;&gt;"")*(J2092&lt;=($M$3*60+$N$3)/86400)</f>
        <v>0</v>
      </c>
      <c r="N2092" s="20"/>
      <c r="O2092" s="20"/>
      <c r="P2092" s="20"/>
      <c r="Q2092" s="19"/>
    </row>
    <row r="2093" customFormat="false" ht="15" hidden="false" customHeight="false" outlineLevel="0" collapsed="false">
      <c r="A2093" s="10" t="n">
        <v>2087</v>
      </c>
      <c r="B2093" s="12" t="s">
        <v>3237</v>
      </c>
      <c r="C2093" s="12" t="s">
        <v>3238</v>
      </c>
      <c r="D2093" s="13"/>
      <c r="E2093" s="14"/>
      <c r="F2093" s="15" t="str">
        <f aca="false">IF(D2093="","",ROUND((D2093-MIN($D$7:$D$9999))*86400,2))</f>
        <v/>
      </c>
      <c r="G2093" s="10" t="str">
        <f aca="false">IF(D2093="","",IF(D2093&lt;=($E$3*60+$F$3)/86400,"○",""))</f>
        <v/>
      </c>
      <c r="H2093" s="16" t="n">
        <v>0.00751724537037037</v>
      </c>
      <c r="I2093" s="17" t="n">
        <v>915</v>
      </c>
      <c r="J2093" s="16"/>
      <c r="K2093" s="17"/>
      <c r="L2093" s="17" t="n">
        <f aca="false">COUNT(E2093,I2093,K2093)</f>
        <v>1</v>
      </c>
      <c r="M2093" s="18" t="n">
        <f aca="false">(D2093&lt;&gt;"")*(D2093&lt;=($E$3*60+$F$3)/86400)+(H2093&lt;&gt;"")*(H2093&lt;=($I$3*60+$J$3)/86400)+(J2093&lt;&gt;"")*(J2093&lt;=($M$3*60+$N$3)/86400)</f>
        <v>0</v>
      </c>
      <c r="N2093" s="20"/>
      <c r="O2093" s="20"/>
      <c r="P2093" s="20"/>
      <c r="Q2093" s="19"/>
    </row>
    <row r="2094" customFormat="false" ht="15" hidden="false" customHeight="false" outlineLevel="0" collapsed="false">
      <c r="A2094" s="10" t="n">
        <v>2088</v>
      </c>
      <c r="B2094" s="12" t="s">
        <v>3239</v>
      </c>
      <c r="C2094" s="12" t="s">
        <v>875</v>
      </c>
      <c r="D2094" s="13"/>
      <c r="E2094" s="14"/>
      <c r="F2094" s="15" t="str">
        <f aca="false">IF(D2094="","",ROUND((D2094-MIN($D$7:$D$9999))*86400,2))</f>
        <v/>
      </c>
      <c r="G2094" s="10" t="str">
        <f aca="false">IF(D2094="","",IF(D2094&lt;=($E$3*60+$F$3)/86400,"○",""))</f>
        <v/>
      </c>
      <c r="H2094" s="16"/>
      <c r="I2094" s="17"/>
      <c r="J2094" s="16" t="n">
        <v>0.00289548611111111</v>
      </c>
      <c r="K2094" s="17" t="n">
        <v>915</v>
      </c>
      <c r="L2094" s="17" t="n">
        <f aca="false">COUNT(E2094,I2094,K2094)</f>
        <v>1</v>
      </c>
      <c r="M2094" s="18" t="n">
        <f aca="false">(D2094&lt;&gt;"")*(D2094&lt;=($E$3*60+$F$3)/86400)+(H2094&lt;&gt;"")*(H2094&lt;=($I$3*60+$J$3)/86400)+(J2094&lt;&gt;"")*(J2094&lt;=($M$3*60+$N$3)/86400)</f>
        <v>0</v>
      </c>
      <c r="N2094" s="20"/>
      <c r="O2094" s="20"/>
      <c r="P2094" s="20"/>
      <c r="Q2094" s="19"/>
    </row>
    <row r="2095" customFormat="false" ht="15" hidden="false" customHeight="false" outlineLevel="0" collapsed="false">
      <c r="A2095" s="10" t="n">
        <v>2089</v>
      </c>
      <c r="B2095" s="12" t="s">
        <v>3240</v>
      </c>
      <c r="C2095" s="12" t="s">
        <v>3241</v>
      </c>
      <c r="D2095" s="13"/>
      <c r="E2095" s="14"/>
      <c r="F2095" s="15" t="str">
        <f aca="false">IF(D2095="","",ROUND((D2095-MIN($D$7:$D$9999))*86400,2))</f>
        <v/>
      </c>
      <c r="G2095" s="10" t="str">
        <f aca="false">IF(D2095="","",IF(D2095&lt;=($E$3*60+$F$3)/86400,"○",""))</f>
        <v/>
      </c>
      <c r="H2095" s="16" t="n">
        <v>0.00751782407407407</v>
      </c>
      <c r="I2095" s="17" t="n">
        <v>916</v>
      </c>
      <c r="J2095" s="16"/>
      <c r="K2095" s="17"/>
      <c r="L2095" s="17" t="n">
        <f aca="false">COUNT(E2095,I2095,K2095)</f>
        <v>1</v>
      </c>
      <c r="M2095" s="18" t="n">
        <f aca="false">(D2095&lt;&gt;"")*(D2095&lt;=($E$3*60+$F$3)/86400)+(H2095&lt;&gt;"")*(H2095&lt;=($I$3*60+$J$3)/86400)+(J2095&lt;&gt;"")*(J2095&lt;=($M$3*60+$N$3)/86400)</f>
        <v>0</v>
      </c>
      <c r="N2095" s="20"/>
      <c r="O2095" s="20"/>
      <c r="P2095" s="20"/>
      <c r="Q2095" s="19"/>
    </row>
    <row r="2096" customFormat="false" ht="15" hidden="false" customHeight="false" outlineLevel="0" collapsed="false">
      <c r="A2096" s="10" t="n">
        <v>2090</v>
      </c>
      <c r="B2096" s="12" t="s">
        <v>3242</v>
      </c>
      <c r="C2096" s="12" t="s">
        <v>3243</v>
      </c>
      <c r="D2096" s="13"/>
      <c r="E2096" s="14"/>
      <c r="F2096" s="15" t="str">
        <f aca="false">IF(D2096="","",ROUND((D2096-MIN($D$7:$D$9999))*86400,2))</f>
        <v/>
      </c>
      <c r="G2096" s="10" t="str">
        <f aca="false">IF(D2096="","",IF(D2096&lt;=($E$3*60+$F$3)/86400,"○",""))</f>
        <v/>
      </c>
      <c r="H2096" s="16" t="n">
        <v>0.00751793981481481</v>
      </c>
      <c r="I2096" s="17" t="n">
        <v>917</v>
      </c>
      <c r="J2096" s="16"/>
      <c r="K2096" s="17"/>
      <c r="L2096" s="17" t="n">
        <f aca="false">COUNT(E2096,I2096,K2096)</f>
        <v>1</v>
      </c>
      <c r="M2096" s="18" t="n">
        <f aca="false">(D2096&lt;&gt;"")*(D2096&lt;=($E$3*60+$F$3)/86400)+(H2096&lt;&gt;"")*(H2096&lt;=($I$3*60+$J$3)/86400)+(J2096&lt;&gt;"")*(J2096&lt;=($M$3*60+$N$3)/86400)</f>
        <v>0</v>
      </c>
      <c r="N2096" s="20"/>
      <c r="O2096" s="20"/>
      <c r="P2096" s="20"/>
      <c r="Q2096" s="19"/>
    </row>
    <row r="2097" customFormat="false" ht="15" hidden="false" customHeight="false" outlineLevel="0" collapsed="false">
      <c r="A2097" s="10" t="n">
        <v>2091</v>
      </c>
      <c r="B2097" s="12" t="s">
        <v>3244</v>
      </c>
      <c r="C2097" s="12" t="s">
        <v>1346</v>
      </c>
      <c r="D2097" s="13"/>
      <c r="E2097" s="14"/>
      <c r="F2097" s="15" t="str">
        <f aca="false">IF(D2097="","",ROUND((D2097-MIN($D$7:$D$9999))*86400,2))</f>
        <v/>
      </c>
      <c r="G2097" s="10" t="str">
        <f aca="false">IF(D2097="","",IF(D2097&lt;=($E$3*60+$F$3)/86400,"○",""))</f>
        <v/>
      </c>
      <c r="H2097" s="16"/>
      <c r="I2097" s="17"/>
      <c r="J2097" s="16" t="n">
        <v>0.00289571759259259</v>
      </c>
      <c r="K2097" s="17" t="n">
        <v>917</v>
      </c>
      <c r="L2097" s="17" t="n">
        <f aca="false">COUNT(E2097,I2097,K2097)</f>
        <v>1</v>
      </c>
      <c r="M2097" s="18" t="n">
        <f aca="false">(D2097&lt;&gt;"")*(D2097&lt;=($E$3*60+$F$3)/86400)+(H2097&lt;&gt;"")*(H2097&lt;=($I$3*60+$J$3)/86400)+(J2097&lt;&gt;"")*(J2097&lt;=($M$3*60+$N$3)/86400)</f>
        <v>0</v>
      </c>
      <c r="N2097" s="20"/>
      <c r="O2097" s="20"/>
      <c r="P2097" s="20"/>
      <c r="Q2097" s="19"/>
    </row>
    <row r="2098" customFormat="false" ht="15" hidden="false" customHeight="false" outlineLevel="0" collapsed="false">
      <c r="A2098" s="10" t="n">
        <v>2092</v>
      </c>
      <c r="B2098" s="12" t="s">
        <v>3245</v>
      </c>
      <c r="C2098" s="12" t="s">
        <v>1354</v>
      </c>
      <c r="D2098" s="13"/>
      <c r="E2098" s="14"/>
      <c r="F2098" s="15" t="str">
        <f aca="false">IF(D2098="","",ROUND((D2098-MIN($D$7:$D$9999))*86400,2))</f>
        <v/>
      </c>
      <c r="G2098" s="10" t="str">
        <f aca="false">IF(D2098="","",IF(D2098&lt;=($E$3*60+$F$3)/86400,"○",""))</f>
        <v/>
      </c>
      <c r="H2098" s="16" t="n">
        <v>0.00751805555555556</v>
      </c>
      <c r="I2098" s="17" t="n">
        <v>918</v>
      </c>
      <c r="J2098" s="16"/>
      <c r="K2098" s="17"/>
      <c r="L2098" s="17" t="n">
        <f aca="false">COUNT(E2098,I2098,K2098)</f>
        <v>1</v>
      </c>
      <c r="M2098" s="18" t="n">
        <f aca="false">(D2098&lt;&gt;"")*(D2098&lt;=($E$3*60+$F$3)/86400)+(H2098&lt;&gt;"")*(H2098&lt;=($I$3*60+$J$3)/86400)+(J2098&lt;&gt;"")*(J2098&lt;=($M$3*60+$N$3)/86400)</f>
        <v>0</v>
      </c>
      <c r="N2098" s="20"/>
      <c r="O2098" s="20"/>
      <c r="P2098" s="20"/>
      <c r="Q2098" s="19"/>
    </row>
    <row r="2099" customFormat="false" ht="15" hidden="false" customHeight="false" outlineLevel="0" collapsed="false">
      <c r="A2099" s="10" t="n">
        <v>2093</v>
      </c>
      <c r="B2099" s="12" t="s">
        <v>3246</v>
      </c>
      <c r="C2099" s="12" t="s">
        <v>2222</v>
      </c>
      <c r="D2099" s="13"/>
      <c r="E2099" s="14"/>
      <c r="F2099" s="15" t="str">
        <f aca="false">IF(D2099="","",ROUND((D2099-MIN($D$7:$D$9999))*86400,2))</f>
        <v/>
      </c>
      <c r="G2099" s="10" t="str">
        <f aca="false">IF(D2099="","",IF(D2099&lt;=($E$3*60+$F$3)/86400,"○",""))</f>
        <v/>
      </c>
      <c r="H2099" s="16"/>
      <c r="I2099" s="17"/>
      <c r="J2099" s="16" t="n">
        <v>0.00289571759259259</v>
      </c>
      <c r="K2099" s="17" t="n">
        <v>918</v>
      </c>
      <c r="L2099" s="17" t="n">
        <f aca="false">COUNT(E2099,I2099,K2099)</f>
        <v>1</v>
      </c>
      <c r="M2099" s="18" t="n">
        <f aca="false">(D2099&lt;&gt;"")*(D2099&lt;=($E$3*60+$F$3)/86400)+(H2099&lt;&gt;"")*(H2099&lt;=($I$3*60+$J$3)/86400)+(J2099&lt;&gt;"")*(J2099&lt;=($M$3*60+$N$3)/86400)</f>
        <v>0</v>
      </c>
      <c r="N2099" s="20"/>
      <c r="O2099" s="20"/>
      <c r="P2099" s="20"/>
      <c r="Q2099" s="19"/>
    </row>
    <row r="2100" customFormat="false" ht="15" hidden="false" customHeight="false" outlineLevel="0" collapsed="false">
      <c r="A2100" s="10" t="n">
        <v>2094</v>
      </c>
      <c r="B2100" s="12" t="s">
        <v>3247</v>
      </c>
      <c r="C2100" s="12" t="s">
        <v>2651</v>
      </c>
      <c r="D2100" s="13"/>
      <c r="E2100" s="14"/>
      <c r="F2100" s="15" t="str">
        <f aca="false">IF(D2100="","",ROUND((D2100-MIN($D$7:$D$9999))*86400,2))</f>
        <v/>
      </c>
      <c r="G2100" s="10" t="str">
        <f aca="false">IF(D2100="","",IF(D2100&lt;=($E$3*60+$F$3)/86400,"○",""))</f>
        <v/>
      </c>
      <c r="H2100" s="16"/>
      <c r="I2100" s="17"/>
      <c r="J2100" s="16" t="n">
        <v>0.00289583333333333</v>
      </c>
      <c r="K2100" s="17" t="n">
        <v>919</v>
      </c>
      <c r="L2100" s="17" t="n">
        <f aca="false">COUNT(E2100,I2100,K2100)</f>
        <v>1</v>
      </c>
      <c r="M2100" s="18" t="n">
        <f aca="false">(D2100&lt;&gt;"")*(D2100&lt;=($E$3*60+$F$3)/86400)+(H2100&lt;&gt;"")*(H2100&lt;=($I$3*60+$J$3)/86400)+(J2100&lt;&gt;"")*(J2100&lt;=($M$3*60+$N$3)/86400)</f>
        <v>0</v>
      </c>
      <c r="N2100" s="20"/>
      <c r="O2100" s="20"/>
      <c r="P2100" s="20"/>
      <c r="Q2100" s="19"/>
    </row>
    <row r="2101" customFormat="false" ht="15" hidden="false" customHeight="false" outlineLevel="0" collapsed="false">
      <c r="A2101" s="10" t="n">
        <v>2095</v>
      </c>
      <c r="B2101" s="12" t="s">
        <v>3248</v>
      </c>
      <c r="C2101" s="12" t="s">
        <v>3249</v>
      </c>
      <c r="D2101" s="13"/>
      <c r="E2101" s="14"/>
      <c r="F2101" s="15" t="str">
        <f aca="false">IF(D2101="","",ROUND((D2101-MIN($D$7:$D$9999))*86400,2))</f>
        <v/>
      </c>
      <c r="G2101" s="10" t="str">
        <f aca="false">IF(D2101="","",IF(D2101&lt;=($E$3*60+$F$3)/86400,"○",""))</f>
        <v/>
      </c>
      <c r="H2101" s="16" t="n">
        <v>0.00752094907407407</v>
      </c>
      <c r="I2101" s="17" t="n">
        <v>920</v>
      </c>
      <c r="J2101" s="16"/>
      <c r="K2101" s="17"/>
      <c r="L2101" s="17" t="n">
        <f aca="false">COUNT(E2101,I2101,K2101)</f>
        <v>1</v>
      </c>
      <c r="M2101" s="18" t="n">
        <f aca="false">(D2101&lt;&gt;"")*(D2101&lt;=($E$3*60+$F$3)/86400)+(H2101&lt;&gt;"")*(H2101&lt;=($I$3*60+$J$3)/86400)+(J2101&lt;&gt;"")*(J2101&lt;=($M$3*60+$N$3)/86400)</f>
        <v>0</v>
      </c>
      <c r="N2101" s="20"/>
      <c r="O2101" s="20"/>
      <c r="P2101" s="20"/>
      <c r="Q2101" s="19"/>
    </row>
    <row r="2102" customFormat="false" ht="15" hidden="false" customHeight="false" outlineLevel="0" collapsed="false">
      <c r="A2102" s="10" t="n">
        <v>2096</v>
      </c>
      <c r="B2102" s="12" t="s">
        <v>3250</v>
      </c>
      <c r="C2102" s="12" t="s">
        <v>3251</v>
      </c>
      <c r="D2102" s="13"/>
      <c r="E2102" s="14"/>
      <c r="F2102" s="15" t="str">
        <f aca="false">IF(D2102="","",ROUND((D2102-MIN($D$7:$D$9999))*86400,2))</f>
        <v/>
      </c>
      <c r="G2102" s="10" t="str">
        <f aca="false">IF(D2102="","",IF(D2102&lt;=($E$3*60+$F$3)/86400,"○",""))</f>
        <v/>
      </c>
      <c r="H2102" s="16" t="n">
        <v>0.00752164351851852</v>
      </c>
      <c r="I2102" s="17" t="n">
        <v>921</v>
      </c>
      <c r="J2102" s="16"/>
      <c r="K2102" s="17"/>
      <c r="L2102" s="17" t="n">
        <f aca="false">COUNT(E2102,I2102,K2102)</f>
        <v>1</v>
      </c>
      <c r="M2102" s="18" t="n">
        <f aca="false">(D2102&lt;&gt;"")*(D2102&lt;=($E$3*60+$F$3)/86400)+(H2102&lt;&gt;"")*(H2102&lt;=($I$3*60+$J$3)/86400)+(J2102&lt;&gt;"")*(J2102&lt;=($M$3*60+$N$3)/86400)</f>
        <v>0</v>
      </c>
      <c r="N2102" s="20"/>
      <c r="O2102" s="20"/>
      <c r="P2102" s="20"/>
      <c r="Q2102" s="19"/>
    </row>
    <row r="2103" customFormat="false" ht="15" hidden="false" customHeight="false" outlineLevel="0" collapsed="false">
      <c r="A2103" s="10" t="n">
        <v>2097</v>
      </c>
      <c r="B2103" s="12" t="s">
        <v>3252</v>
      </c>
      <c r="C2103" s="12" t="s">
        <v>3253</v>
      </c>
      <c r="D2103" s="13"/>
      <c r="E2103" s="14"/>
      <c r="F2103" s="15" t="str">
        <f aca="false">IF(D2103="","",ROUND((D2103-MIN($D$7:$D$9999))*86400,2))</f>
        <v/>
      </c>
      <c r="G2103" s="10" t="str">
        <f aca="false">IF(D2103="","",IF(D2103&lt;=($E$3*60+$F$3)/86400,"○",""))</f>
        <v/>
      </c>
      <c r="H2103" s="16" t="n">
        <v>0.007521875</v>
      </c>
      <c r="I2103" s="17" t="n">
        <v>922</v>
      </c>
      <c r="J2103" s="16"/>
      <c r="K2103" s="17"/>
      <c r="L2103" s="17" t="n">
        <f aca="false">COUNT(E2103,I2103,K2103)</f>
        <v>1</v>
      </c>
      <c r="M2103" s="18" t="n">
        <f aca="false">(D2103&lt;&gt;"")*(D2103&lt;=($E$3*60+$F$3)/86400)+(H2103&lt;&gt;"")*(H2103&lt;=($I$3*60+$J$3)/86400)+(J2103&lt;&gt;"")*(J2103&lt;=($M$3*60+$N$3)/86400)</f>
        <v>0</v>
      </c>
      <c r="N2103" s="20"/>
      <c r="O2103" s="20"/>
      <c r="P2103" s="20"/>
      <c r="Q2103" s="19"/>
    </row>
    <row r="2104" customFormat="false" ht="15" hidden="false" customHeight="false" outlineLevel="0" collapsed="false">
      <c r="A2104" s="10" t="n">
        <v>2098</v>
      </c>
      <c r="B2104" s="12" t="s">
        <v>3254</v>
      </c>
      <c r="C2104" s="12" t="s">
        <v>1415</v>
      </c>
      <c r="D2104" s="13"/>
      <c r="E2104" s="14"/>
      <c r="F2104" s="15" t="str">
        <f aca="false">IF(D2104="","",ROUND((D2104-MIN($D$7:$D$9999))*86400,2))</f>
        <v/>
      </c>
      <c r="G2104" s="10" t="str">
        <f aca="false">IF(D2104="","",IF(D2104&lt;=($E$3*60+$F$3)/86400,"○",""))</f>
        <v/>
      </c>
      <c r="H2104" s="16"/>
      <c r="I2104" s="17"/>
      <c r="J2104" s="16" t="n">
        <v>0.00289618055555556</v>
      </c>
      <c r="K2104" s="17" t="n">
        <v>923</v>
      </c>
      <c r="L2104" s="17" t="n">
        <f aca="false">COUNT(E2104,I2104,K2104)</f>
        <v>1</v>
      </c>
      <c r="M2104" s="18" t="n">
        <f aca="false">(D2104&lt;&gt;"")*(D2104&lt;=($E$3*60+$F$3)/86400)+(H2104&lt;&gt;"")*(H2104&lt;=($I$3*60+$J$3)/86400)+(J2104&lt;&gt;"")*(J2104&lt;=($M$3*60+$N$3)/86400)</f>
        <v>0</v>
      </c>
      <c r="N2104" s="20" t="s">
        <v>3255</v>
      </c>
      <c r="O2104" s="20"/>
      <c r="P2104" s="20"/>
      <c r="Q2104" s="19"/>
    </row>
    <row r="2105" customFormat="false" ht="15" hidden="false" customHeight="false" outlineLevel="0" collapsed="false">
      <c r="A2105" s="10" t="n">
        <v>2099</v>
      </c>
      <c r="B2105" s="12" t="s">
        <v>3256</v>
      </c>
      <c r="C2105" s="12" t="s">
        <v>3257</v>
      </c>
      <c r="D2105" s="13"/>
      <c r="E2105" s="14"/>
      <c r="F2105" s="15" t="str">
        <f aca="false">IF(D2105="","",ROUND((D2105-MIN($D$7:$D$9999))*86400,2))</f>
        <v/>
      </c>
      <c r="G2105" s="10" t="str">
        <f aca="false">IF(D2105="","",IF(D2105&lt;=($E$3*60+$F$3)/86400,"○",""))</f>
        <v/>
      </c>
      <c r="H2105" s="16" t="n">
        <v>0.00752222222222222</v>
      </c>
      <c r="I2105" s="17" t="n">
        <v>924</v>
      </c>
      <c r="J2105" s="16"/>
      <c r="K2105" s="17"/>
      <c r="L2105" s="17" t="n">
        <f aca="false">COUNT(E2105,I2105,K2105)</f>
        <v>1</v>
      </c>
      <c r="M2105" s="18" t="n">
        <f aca="false">(D2105&lt;&gt;"")*(D2105&lt;=($E$3*60+$F$3)/86400)+(H2105&lt;&gt;"")*(H2105&lt;=($I$3*60+$J$3)/86400)+(J2105&lt;&gt;"")*(J2105&lt;=($M$3*60+$N$3)/86400)</f>
        <v>0</v>
      </c>
      <c r="N2105" s="20"/>
      <c r="O2105" s="20"/>
      <c r="P2105" s="20"/>
      <c r="Q2105" s="19"/>
    </row>
    <row r="2106" customFormat="false" ht="15" hidden="false" customHeight="false" outlineLevel="0" collapsed="false">
      <c r="A2106" s="10" t="n">
        <v>2100</v>
      </c>
      <c r="B2106" s="12" t="s">
        <v>3258</v>
      </c>
      <c r="C2106" s="12" t="s">
        <v>1315</v>
      </c>
      <c r="D2106" s="13"/>
      <c r="E2106" s="14"/>
      <c r="F2106" s="15" t="str">
        <f aca="false">IF(D2106="","",ROUND((D2106-MIN($D$7:$D$9999))*86400,2))</f>
        <v/>
      </c>
      <c r="G2106" s="10" t="str">
        <f aca="false">IF(D2106="","",IF(D2106&lt;=($E$3*60+$F$3)/86400,"○",""))</f>
        <v/>
      </c>
      <c r="H2106" s="16"/>
      <c r="I2106" s="17"/>
      <c r="J2106" s="16" t="n">
        <v>0.00289652777777778</v>
      </c>
      <c r="K2106" s="17" t="n">
        <v>924</v>
      </c>
      <c r="L2106" s="17" t="n">
        <f aca="false">COUNT(E2106,I2106,K2106)</f>
        <v>1</v>
      </c>
      <c r="M2106" s="18" t="n">
        <f aca="false">(D2106&lt;&gt;"")*(D2106&lt;=($E$3*60+$F$3)/86400)+(H2106&lt;&gt;"")*(H2106&lt;=($I$3*60+$J$3)/86400)+(J2106&lt;&gt;"")*(J2106&lt;=($M$3*60+$N$3)/86400)</f>
        <v>0</v>
      </c>
      <c r="N2106" s="20"/>
      <c r="O2106" s="20"/>
      <c r="P2106" s="20"/>
      <c r="Q2106" s="19"/>
    </row>
    <row r="2107" customFormat="false" ht="15" hidden="false" customHeight="false" outlineLevel="0" collapsed="false">
      <c r="A2107" s="10" t="n">
        <v>2101</v>
      </c>
      <c r="B2107" s="12" t="s">
        <v>3259</v>
      </c>
      <c r="C2107" s="12" t="s">
        <v>1190</v>
      </c>
      <c r="D2107" s="13"/>
      <c r="E2107" s="14"/>
      <c r="F2107" s="15" t="str">
        <f aca="false">IF(D2107="","",ROUND((D2107-MIN($D$7:$D$9999))*86400,2))</f>
        <v/>
      </c>
      <c r="G2107" s="10" t="str">
        <f aca="false">IF(D2107="","",IF(D2107&lt;=($E$3*60+$F$3)/86400,"○",""))</f>
        <v/>
      </c>
      <c r="H2107" s="16"/>
      <c r="I2107" s="17"/>
      <c r="J2107" s="16" t="n">
        <v>0.00289722222222222</v>
      </c>
      <c r="K2107" s="17" t="n">
        <v>925</v>
      </c>
      <c r="L2107" s="17" t="n">
        <f aca="false">COUNT(E2107,I2107,K2107)</f>
        <v>1</v>
      </c>
      <c r="M2107" s="18" t="n">
        <f aca="false">(D2107&lt;&gt;"")*(D2107&lt;=($E$3*60+$F$3)/86400)+(H2107&lt;&gt;"")*(H2107&lt;=($I$3*60+$J$3)/86400)+(J2107&lt;&gt;"")*(J2107&lt;=($M$3*60+$N$3)/86400)</f>
        <v>0</v>
      </c>
      <c r="N2107" s="20"/>
      <c r="O2107" s="20"/>
      <c r="P2107" s="20"/>
      <c r="Q2107" s="19"/>
    </row>
    <row r="2108" customFormat="false" ht="15" hidden="false" customHeight="false" outlineLevel="0" collapsed="false">
      <c r="A2108" s="10" t="n">
        <v>2102</v>
      </c>
      <c r="B2108" s="12" t="s">
        <v>3260</v>
      </c>
      <c r="C2108" s="12" t="s">
        <v>1418</v>
      </c>
      <c r="D2108" s="13"/>
      <c r="E2108" s="14"/>
      <c r="F2108" s="15" t="str">
        <f aca="false">IF(D2108="","",ROUND((D2108-MIN($D$7:$D$9999))*86400,2))</f>
        <v/>
      </c>
      <c r="G2108" s="10" t="str">
        <f aca="false">IF(D2108="","",IF(D2108&lt;=($E$3*60+$F$3)/86400,"○",""))</f>
        <v/>
      </c>
      <c r="H2108" s="16" t="n">
        <v>0.00752534722222222</v>
      </c>
      <c r="I2108" s="17" t="n">
        <v>926</v>
      </c>
      <c r="J2108" s="16"/>
      <c r="K2108" s="17"/>
      <c r="L2108" s="17" t="n">
        <f aca="false">COUNT(E2108,I2108,K2108)</f>
        <v>1</v>
      </c>
      <c r="M2108" s="18" t="n">
        <f aca="false">(D2108&lt;&gt;"")*(D2108&lt;=($E$3*60+$F$3)/86400)+(H2108&lt;&gt;"")*(H2108&lt;=($I$3*60+$J$3)/86400)+(J2108&lt;&gt;"")*(J2108&lt;=($M$3*60+$N$3)/86400)</f>
        <v>0</v>
      </c>
      <c r="N2108" s="20"/>
      <c r="O2108" s="20"/>
      <c r="P2108" s="20"/>
      <c r="Q2108" s="19"/>
    </row>
    <row r="2109" customFormat="false" ht="15" hidden="false" customHeight="false" outlineLevel="0" collapsed="false">
      <c r="A2109" s="10" t="n">
        <v>2103</v>
      </c>
      <c r="B2109" s="12" t="s">
        <v>3261</v>
      </c>
      <c r="C2109" s="12" t="s">
        <v>3262</v>
      </c>
      <c r="D2109" s="13"/>
      <c r="E2109" s="14"/>
      <c r="F2109" s="15" t="str">
        <f aca="false">IF(D2109="","",ROUND((D2109-MIN($D$7:$D$9999))*86400,2))</f>
        <v/>
      </c>
      <c r="G2109" s="10" t="str">
        <f aca="false">IF(D2109="","",IF(D2109&lt;=($E$3*60+$F$3)/86400,"○",""))</f>
        <v/>
      </c>
      <c r="H2109" s="16" t="n">
        <v>0.0075275462962963</v>
      </c>
      <c r="I2109" s="17" t="n">
        <v>927</v>
      </c>
      <c r="J2109" s="16"/>
      <c r="K2109" s="17"/>
      <c r="L2109" s="17" t="n">
        <f aca="false">COUNT(E2109,I2109,K2109)</f>
        <v>1</v>
      </c>
      <c r="M2109" s="18" t="n">
        <f aca="false">(D2109&lt;&gt;"")*(D2109&lt;=($E$3*60+$F$3)/86400)+(H2109&lt;&gt;"")*(H2109&lt;=($I$3*60+$J$3)/86400)+(J2109&lt;&gt;"")*(J2109&lt;=($M$3*60+$N$3)/86400)</f>
        <v>0</v>
      </c>
      <c r="N2109" s="20"/>
      <c r="O2109" s="20"/>
      <c r="P2109" s="20"/>
      <c r="Q2109" s="19"/>
    </row>
    <row r="2110" customFormat="false" ht="15" hidden="false" customHeight="false" outlineLevel="0" collapsed="false">
      <c r="A2110" s="10" t="n">
        <v>2104</v>
      </c>
      <c r="B2110" s="12" t="s">
        <v>3263</v>
      </c>
      <c r="C2110" s="12" t="s">
        <v>2541</v>
      </c>
      <c r="D2110" s="13"/>
      <c r="E2110" s="14"/>
      <c r="F2110" s="15" t="str">
        <f aca="false">IF(D2110="","",ROUND((D2110-MIN($D$7:$D$9999))*86400,2))</f>
        <v/>
      </c>
      <c r="G2110" s="10" t="str">
        <f aca="false">IF(D2110="","",IF(D2110&lt;=($E$3*60+$F$3)/86400,"○",""))</f>
        <v/>
      </c>
      <c r="H2110" s="16" t="n">
        <v>0.00752858796296296</v>
      </c>
      <c r="I2110" s="17" t="n">
        <v>929</v>
      </c>
      <c r="J2110" s="16"/>
      <c r="K2110" s="17"/>
      <c r="L2110" s="17" t="n">
        <f aca="false">COUNT(E2110,I2110,K2110)</f>
        <v>1</v>
      </c>
      <c r="M2110" s="18" t="n">
        <f aca="false">(D2110&lt;&gt;"")*(D2110&lt;=($E$3*60+$F$3)/86400)+(H2110&lt;&gt;"")*(H2110&lt;=($I$3*60+$J$3)/86400)+(J2110&lt;&gt;"")*(J2110&lt;=($M$3*60+$N$3)/86400)</f>
        <v>0</v>
      </c>
      <c r="N2110" s="20"/>
      <c r="O2110" s="20"/>
      <c r="P2110" s="20"/>
      <c r="Q2110" s="19"/>
    </row>
    <row r="2111" customFormat="false" ht="15" hidden="false" customHeight="false" outlineLevel="0" collapsed="false">
      <c r="A2111" s="10" t="n">
        <v>2105</v>
      </c>
      <c r="B2111" s="12" t="s">
        <v>3264</v>
      </c>
      <c r="C2111" s="12" t="s">
        <v>3241</v>
      </c>
      <c r="D2111" s="13"/>
      <c r="E2111" s="14"/>
      <c r="F2111" s="15" t="str">
        <f aca="false">IF(D2111="","",ROUND((D2111-MIN($D$7:$D$9999))*86400,2))</f>
        <v/>
      </c>
      <c r="G2111" s="10" t="str">
        <f aca="false">IF(D2111="","",IF(D2111&lt;=($E$3*60+$F$3)/86400,"○",""))</f>
        <v/>
      </c>
      <c r="H2111" s="16" t="n">
        <v>0.00752974537037037</v>
      </c>
      <c r="I2111" s="17" t="n">
        <v>930</v>
      </c>
      <c r="J2111" s="16"/>
      <c r="K2111" s="17"/>
      <c r="L2111" s="17" t="n">
        <f aca="false">COUNT(E2111,I2111,K2111)</f>
        <v>1</v>
      </c>
      <c r="M2111" s="18" t="n">
        <f aca="false">(D2111&lt;&gt;"")*(D2111&lt;=($E$3*60+$F$3)/86400)+(H2111&lt;&gt;"")*(H2111&lt;=($I$3*60+$J$3)/86400)+(J2111&lt;&gt;"")*(J2111&lt;=($M$3*60+$N$3)/86400)</f>
        <v>0</v>
      </c>
      <c r="N2111" s="20"/>
      <c r="O2111" s="20"/>
      <c r="P2111" s="20"/>
      <c r="Q2111" s="19"/>
    </row>
    <row r="2112" customFormat="false" ht="15" hidden="false" customHeight="false" outlineLevel="0" collapsed="false">
      <c r="A2112" s="10" t="n">
        <v>2106</v>
      </c>
      <c r="B2112" s="12" t="s">
        <v>3265</v>
      </c>
      <c r="C2112" s="12" t="s">
        <v>3266</v>
      </c>
      <c r="D2112" s="13"/>
      <c r="E2112" s="14"/>
      <c r="F2112" s="15" t="str">
        <f aca="false">IF(D2112="","",ROUND((D2112-MIN($D$7:$D$9999))*86400,2))</f>
        <v/>
      </c>
      <c r="G2112" s="10" t="str">
        <f aca="false">IF(D2112="","",IF(D2112&lt;=($E$3*60+$F$3)/86400,"○",""))</f>
        <v/>
      </c>
      <c r="H2112" s="16"/>
      <c r="I2112" s="17"/>
      <c r="J2112" s="16" t="n">
        <v>0.0028974537037037</v>
      </c>
      <c r="K2112" s="17" t="n">
        <v>930</v>
      </c>
      <c r="L2112" s="17" t="n">
        <f aca="false">COUNT(E2112,I2112,K2112)</f>
        <v>1</v>
      </c>
      <c r="M2112" s="18" t="n">
        <f aca="false">(D2112&lt;&gt;"")*(D2112&lt;=($E$3*60+$F$3)/86400)+(H2112&lt;&gt;"")*(H2112&lt;=($I$3*60+$J$3)/86400)+(J2112&lt;&gt;"")*(J2112&lt;=($M$3*60+$N$3)/86400)</f>
        <v>0</v>
      </c>
      <c r="N2112" s="20"/>
      <c r="O2112" s="20"/>
      <c r="P2112" s="20"/>
      <c r="Q2112" s="19"/>
    </row>
    <row r="2113" customFormat="false" ht="15" hidden="false" customHeight="false" outlineLevel="0" collapsed="false">
      <c r="A2113" s="10" t="n">
        <v>2107</v>
      </c>
      <c r="B2113" s="12" t="s">
        <v>3267</v>
      </c>
      <c r="C2113" s="12" t="s">
        <v>313</v>
      </c>
      <c r="D2113" s="13"/>
      <c r="E2113" s="14"/>
      <c r="F2113" s="15" t="str">
        <f aca="false">IF(D2113="","",ROUND((D2113-MIN($D$7:$D$9999))*86400,2))</f>
        <v/>
      </c>
      <c r="G2113" s="10" t="str">
        <f aca="false">IF(D2113="","",IF(D2113&lt;=($E$3*60+$F$3)/86400,"○",""))</f>
        <v/>
      </c>
      <c r="H2113" s="16" t="n">
        <v>0.0075306712962963</v>
      </c>
      <c r="I2113" s="17" t="n">
        <v>931</v>
      </c>
      <c r="J2113" s="16"/>
      <c r="K2113" s="17"/>
      <c r="L2113" s="17" t="n">
        <f aca="false">COUNT(E2113,I2113,K2113)</f>
        <v>1</v>
      </c>
      <c r="M2113" s="18" t="n">
        <f aca="false">(D2113&lt;&gt;"")*(D2113&lt;=($E$3*60+$F$3)/86400)+(H2113&lt;&gt;"")*(H2113&lt;=($I$3*60+$J$3)/86400)+(J2113&lt;&gt;"")*(J2113&lt;=($M$3*60+$N$3)/86400)</f>
        <v>0</v>
      </c>
      <c r="N2113" s="20"/>
      <c r="O2113" s="20"/>
      <c r="P2113" s="20"/>
      <c r="Q2113" s="19"/>
    </row>
    <row r="2114" customFormat="false" ht="15" hidden="false" customHeight="false" outlineLevel="0" collapsed="false">
      <c r="A2114" s="10" t="n">
        <v>2108</v>
      </c>
      <c r="B2114" s="12" t="s">
        <v>3268</v>
      </c>
      <c r="C2114" s="12" t="s">
        <v>3269</v>
      </c>
      <c r="D2114" s="13"/>
      <c r="E2114" s="14"/>
      <c r="F2114" s="15" t="str">
        <f aca="false">IF(D2114="","",ROUND((D2114-MIN($D$7:$D$9999))*86400,2))</f>
        <v/>
      </c>
      <c r="G2114" s="10" t="str">
        <f aca="false">IF(D2114="","",IF(D2114&lt;=($E$3*60+$F$3)/86400,"○",""))</f>
        <v/>
      </c>
      <c r="H2114" s="16" t="n">
        <v>0.00753159722222222</v>
      </c>
      <c r="I2114" s="17" t="n">
        <v>932</v>
      </c>
      <c r="J2114" s="16"/>
      <c r="K2114" s="17"/>
      <c r="L2114" s="17" t="n">
        <f aca="false">COUNT(E2114,I2114,K2114)</f>
        <v>1</v>
      </c>
      <c r="M2114" s="18" t="n">
        <f aca="false">(D2114&lt;&gt;"")*(D2114&lt;=($E$3*60+$F$3)/86400)+(H2114&lt;&gt;"")*(H2114&lt;=($I$3*60+$J$3)/86400)+(J2114&lt;&gt;"")*(J2114&lt;=($M$3*60+$N$3)/86400)</f>
        <v>0</v>
      </c>
      <c r="N2114" s="20"/>
      <c r="O2114" s="20"/>
      <c r="P2114" s="20"/>
      <c r="Q2114" s="19"/>
    </row>
    <row r="2115" customFormat="false" ht="15" hidden="false" customHeight="false" outlineLevel="0" collapsed="false">
      <c r="A2115" s="10" t="n">
        <v>2109</v>
      </c>
      <c r="B2115" s="12" t="s">
        <v>3270</v>
      </c>
      <c r="C2115" s="12" t="s">
        <v>3271</v>
      </c>
      <c r="D2115" s="13"/>
      <c r="E2115" s="14"/>
      <c r="F2115" s="15" t="str">
        <f aca="false">IF(D2115="","",ROUND((D2115-MIN($D$7:$D$9999))*86400,2))</f>
        <v/>
      </c>
      <c r="G2115" s="10" t="str">
        <f aca="false">IF(D2115="","",IF(D2115&lt;=($E$3*60+$F$3)/86400,"○",""))</f>
        <v/>
      </c>
      <c r="H2115" s="16" t="n">
        <v>0.00753298611111111</v>
      </c>
      <c r="I2115" s="17" t="n">
        <v>933</v>
      </c>
      <c r="J2115" s="16"/>
      <c r="K2115" s="17"/>
      <c r="L2115" s="17" t="n">
        <f aca="false">COUNT(E2115,I2115,K2115)</f>
        <v>1</v>
      </c>
      <c r="M2115" s="18" t="n">
        <f aca="false">(D2115&lt;&gt;"")*(D2115&lt;=($E$3*60+$F$3)/86400)+(H2115&lt;&gt;"")*(H2115&lt;=($I$3*60+$J$3)/86400)+(J2115&lt;&gt;"")*(J2115&lt;=($M$3*60+$N$3)/86400)</f>
        <v>0</v>
      </c>
      <c r="N2115" s="20"/>
      <c r="O2115" s="20"/>
      <c r="P2115" s="20"/>
      <c r="Q2115" s="19"/>
    </row>
    <row r="2116" customFormat="false" ht="15" hidden="false" customHeight="false" outlineLevel="0" collapsed="false">
      <c r="A2116" s="10" t="n">
        <v>2110</v>
      </c>
      <c r="B2116" s="12" t="s">
        <v>3272</v>
      </c>
      <c r="C2116" s="12" t="s">
        <v>3273</v>
      </c>
      <c r="D2116" s="13"/>
      <c r="E2116" s="14"/>
      <c r="F2116" s="15" t="str">
        <f aca="false">IF(D2116="","",ROUND((D2116-MIN($D$7:$D$9999))*86400,2))</f>
        <v/>
      </c>
      <c r="G2116" s="10" t="str">
        <f aca="false">IF(D2116="","",IF(D2116&lt;=($E$3*60+$F$3)/86400,"○",""))</f>
        <v/>
      </c>
      <c r="H2116" s="16"/>
      <c r="I2116" s="17"/>
      <c r="J2116" s="16" t="n">
        <v>0.00289814814814815</v>
      </c>
      <c r="K2116" s="17" t="n">
        <v>933</v>
      </c>
      <c r="L2116" s="17" t="n">
        <f aca="false">COUNT(E2116,I2116,K2116)</f>
        <v>1</v>
      </c>
      <c r="M2116" s="18" t="n">
        <f aca="false">(D2116&lt;&gt;"")*(D2116&lt;=($E$3*60+$F$3)/86400)+(H2116&lt;&gt;"")*(H2116&lt;=($I$3*60+$J$3)/86400)+(J2116&lt;&gt;"")*(J2116&lt;=($M$3*60+$N$3)/86400)</f>
        <v>0</v>
      </c>
      <c r="N2116" s="20"/>
      <c r="O2116" s="20"/>
      <c r="P2116" s="20"/>
      <c r="Q2116" s="19"/>
    </row>
    <row r="2117" customFormat="false" ht="15" hidden="false" customHeight="false" outlineLevel="0" collapsed="false">
      <c r="A2117" s="10" t="n">
        <v>2111</v>
      </c>
      <c r="B2117" s="12" t="s">
        <v>3274</v>
      </c>
      <c r="C2117" s="12" t="s">
        <v>3275</v>
      </c>
      <c r="D2117" s="13"/>
      <c r="E2117" s="14"/>
      <c r="F2117" s="15" t="str">
        <f aca="false">IF(D2117="","",ROUND((D2117-MIN($D$7:$D$9999))*86400,2))</f>
        <v/>
      </c>
      <c r="G2117" s="10" t="str">
        <f aca="false">IF(D2117="","",IF(D2117&lt;=($E$3*60+$F$3)/86400,"○",""))</f>
        <v/>
      </c>
      <c r="H2117" s="16" t="n">
        <v>0.00753333333333333</v>
      </c>
      <c r="I2117" s="17" t="n">
        <v>934</v>
      </c>
      <c r="J2117" s="16"/>
      <c r="K2117" s="17"/>
      <c r="L2117" s="17" t="n">
        <f aca="false">COUNT(E2117,I2117,K2117)</f>
        <v>1</v>
      </c>
      <c r="M2117" s="18" t="n">
        <f aca="false">(D2117&lt;&gt;"")*(D2117&lt;=($E$3*60+$F$3)/86400)+(H2117&lt;&gt;"")*(H2117&lt;=($I$3*60+$J$3)/86400)+(J2117&lt;&gt;"")*(J2117&lt;=($M$3*60+$N$3)/86400)</f>
        <v>0</v>
      </c>
      <c r="N2117" s="20"/>
      <c r="O2117" s="20"/>
      <c r="P2117" s="20"/>
      <c r="Q2117" s="19"/>
    </row>
    <row r="2118" customFormat="false" ht="15" hidden="false" customHeight="false" outlineLevel="0" collapsed="false">
      <c r="A2118" s="10" t="n">
        <v>2112</v>
      </c>
      <c r="B2118" s="12" t="s">
        <v>3276</v>
      </c>
      <c r="C2118" s="12" t="s">
        <v>3277</v>
      </c>
      <c r="D2118" s="13"/>
      <c r="E2118" s="14"/>
      <c r="F2118" s="15" t="str">
        <f aca="false">IF(D2118="","",ROUND((D2118-MIN($D$7:$D$9999))*86400,2))</f>
        <v/>
      </c>
      <c r="G2118" s="10" t="str">
        <f aca="false">IF(D2118="","",IF(D2118&lt;=($E$3*60+$F$3)/86400,"○",""))</f>
        <v/>
      </c>
      <c r="H2118" s="16" t="n">
        <v>0.00753356481481482</v>
      </c>
      <c r="I2118" s="17" t="n">
        <v>935</v>
      </c>
      <c r="J2118" s="16"/>
      <c r="K2118" s="17"/>
      <c r="L2118" s="17" t="n">
        <f aca="false">COUNT(E2118,I2118,K2118)</f>
        <v>1</v>
      </c>
      <c r="M2118" s="18" t="n">
        <f aca="false">(D2118&lt;&gt;"")*(D2118&lt;=($E$3*60+$F$3)/86400)+(H2118&lt;&gt;"")*(H2118&lt;=($I$3*60+$J$3)/86400)+(J2118&lt;&gt;"")*(J2118&lt;=($M$3*60+$N$3)/86400)</f>
        <v>0</v>
      </c>
      <c r="N2118" s="20"/>
      <c r="O2118" s="20"/>
      <c r="P2118" s="20"/>
      <c r="Q2118" s="19"/>
    </row>
    <row r="2119" customFormat="false" ht="15" hidden="false" customHeight="false" outlineLevel="0" collapsed="false">
      <c r="A2119" s="10" t="n">
        <v>2113</v>
      </c>
      <c r="B2119" s="12" t="s">
        <v>3278</v>
      </c>
      <c r="C2119" s="12" t="s">
        <v>2287</v>
      </c>
      <c r="D2119" s="13"/>
      <c r="E2119" s="14"/>
      <c r="F2119" s="15" t="str">
        <f aca="false">IF(D2119="","",ROUND((D2119-MIN($D$7:$D$9999))*86400,2))</f>
        <v/>
      </c>
      <c r="G2119" s="10" t="str">
        <f aca="false">IF(D2119="","",IF(D2119&lt;=($E$3*60+$F$3)/86400,"○",""))</f>
        <v/>
      </c>
      <c r="H2119" s="16" t="n">
        <v>0.00753518518518519</v>
      </c>
      <c r="I2119" s="17" t="n">
        <v>936</v>
      </c>
      <c r="J2119" s="16"/>
      <c r="K2119" s="17"/>
      <c r="L2119" s="17" t="n">
        <f aca="false">COUNT(E2119,I2119,K2119)</f>
        <v>1</v>
      </c>
      <c r="M2119" s="18" t="n">
        <f aca="false">(D2119&lt;&gt;"")*(D2119&lt;=($E$3*60+$F$3)/86400)+(H2119&lt;&gt;"")*(H2119&lt;=($I$3*60+$J$3)/86400)+(J2119&lt;&gt;"")*(J2119&lt;=($M$3*60+$N$3)/86400)</f>
        <v>0</v>
      </c>
      <c r="N2119" s="20"/>
      <c r="O2119" s="20"/>
      <c r="P2119" s="20"/>
      <c r="Q2119" s="19"/>
    </row>
    <row r="2120" customFormat="false" ht="15" hidden="false" customHeight="false" outlineLevel="0" collapsed="false">
      <c r="A2120" s="10" t="n">
        <v>2114</v>
      </c>
      <c r="B2120" s="12" t="s">
        <v>3279</v>
      </c>
      <c r="C2120" s="12" t="s">
        <v>3280</v>
      </c>
      <c r="D2120" s="13"/>
      <c r="E2120" s="14"/>
      <c r="F2120" s="15" t="str">
        <f aca="false">IF(D2120="","",ROUND((D2120-MIN($D$7:$D$9999))*86400,2))</f>
        <v/>
      </c>
      <c r="G2120" s="10" t="str">
        <f aca="false">IF(D2120="","",IF(D2120&lt;=($E$3*60+$F$3)/86400,"○",""))</f>
        <v/>
      </c>
      <c r="H2120" s="16"/>
      <c r="I2120" s="17"/>
      <c r="J2120" s="16" t="n">
        <v>0.00289849537037037</v>
      </c>
      <c r="K2120" s="17" t="n">
        <v>936</v>
      </c>
      <c r="L2120" s="17" t="n">
        <f aca="false">COUNT(E2120,I2120,K2120)</f>
        <v>1</v>
      </c>
      <c r="M2120" s="18" t="n">
        <f aca="false">(D2120&lt;&gt;"")*(D2120&lt;=($E$3*60+$F$3)/86400)+(H2120&lt;&gt;"")*(H2120&lt;=($I$3*60+$J$3)/86400)+(J2120&lt;&gt;"")*(J2120&lt;=($M$3*60+$N$3)/86400)</f>
        <v>0</v>
      </c>
      <c r="N2120" s="20"/>
      <c r="O2120" s="20"/>
      <c r="P2120" s="20"/>
      <c r="Q2120" s="19"/>
    </row>
    <row r="2121" customFormat="false" ht="15" hidden="false" customHeight="false" outlineLevel="0" collapsed="false">
      <c r="A2121" s="10" t="n">
        <v>2115</v>
      </c>
      <c r="B2121" s="12" t="s">
        <v>3281</v>
      </c>
      <c r="C2121" s="12" t="s">
        <v>1595</v>
      </c>
      <c r="D2121" s="13"/>
      <c r="E2121" s="14"/>
      <c r="F2121" s="15" t="str">
        <f aca="false">IF(D2121="","",ROUND((D2121-MIN($D$7:$D$9999))*86400,2))</f>
        <v/>
      </c>
      <c r="G2121" s="10" t="str">
        <f aca="false">IF(D2121="","",IF(D2121&lt;=($E$3*60+$F$3)/86400,"○",""))</f>
        <v/>
      </c>
      <c r="H2121" s="16" t="n">
        <v>0.00753541666666667</v>
      </c>
      <c r="I2121" s="17" t="n">
        <v>937</v>
      </c>
      <c r="J2121" s="16"/>
      <c r="K2121" s="17"/>
      <c r="L2121" s="17" t="n">
        <f aca="false">COUNT(E2121,I2121,K2121)</f>
        <v>1</v>
      </c>
      <c r="M2121" s="18" t="n">
        <f aca="false">(D2121&lt;&gt;"")*(D2121&lt;=($E$3*60+$F$3)/86400)+(H2121&lt;&gt;"")*(H2121&lt;=($I$3*60+$J$3)/86400)+(J2121&lt;&gt;"")*(J2121&lt;=($M$3*60+$N$3)/86400)</f>
        <v>0</v>
      </c>
      <c r="N2121" s="20"/>
      <c r="O2121" s="20"/>
      <c r="P2121" s="20"/>
      <c r="Q2121" s="19"/>
    </row>
    <row r="2122" customFormat="false" ht="15" hidden="false" customHeight="false" outlineLevel="0" collapsed="false">
      <c r="A2122" s="10" t="n">
        <v>2116</v>
      </c>
      <c r="B2122" s="12" t="s">
        <v>3282</v>
      </c>
      <c r="C2122" s="12" t="s">
        <v>370</v>
      </c>
      <c r="D2122" s="13"/>
      <c r="E2122" s="14"/>
      <c r="F2122" s="15" t="str">
        <f aca="false">IF(D2122="","",ROUND((D2122-MIN($D$7:$D$9999))*86400,2))</f>
        <v/>
      </c>
      <c r="G2122" s="10" t="str">
        <f aca="false">IF(D2122="","",IF(D2122&lt;=($E$3*60+$F$3)/86400,"○",""))</f>
        <v/>
      </c>
      <c r="H2122" s="16"/>
      <c r="I2122" s="17"/>
      <c r="J2122" s="16" t="n">
        <v>0.00289849537037037</v>
      </c>
      <c r="K2122" s="17" t="n">
        <v>937</v>
      </c>
      <c r="L2122" s="17" t="n">
        <f aca="false">COUNT(E2122,I2122,K2122)</f>
        <v>1</v>
      </c>
      <c r="M2122" s="18" t="n">
        <f aca="false">(D2122&lt;&gt;"")*(D2122&lt;=($E$3*60+$F$3)/86400)+(H2122&lt;&gt;"")*(H2122&lt;=($I$3*60+$J$3)/86400)+(J2122&lt;&gt;"")*(J2122&lt;=($M$3*60+$N$3)/86400)</f>
        <v>0</v>
      </c>
      <c r="N2122" s="20"/>
      <c r="O2122" s="20"/>
      <c r="P2122" s="20"/>
      <c r="Q2122" s="19"/>
    </row>
    <row r="2123" customFormat="false" ht="15" hidden="false" customHeight="false" outlineLevel="0" collapsed="false">
      <c r="A2123" s="10" t="n">
        <v>2117</v>
      </c>
      <c r="B2123" s="12" t="s">
        <v>3283</v>
      </c>
      <c r="C2123" s="12" t="s">
        <v>2816</v>
      </c>
      <c r="D2123" s="13"/>
      <c r="E2123" s="14"/>
      <c r="F2123" s="15" t="str">
        <f aca="false">IF(D2123="","",ROUND((D2123-MIN($D$7:$D$9999))*86400,2))</f>
        <v/>
      </c>
      <c r="G2123" s="10" t="str">
        <f aca="false">IF(D2123="","",IF(D2123&lt;=($E$3*60+$F$3)/86400,"○",""))</f>
        <v/>
      </c>
      <c r="H2123" s="16" t="n">
        <v>0.00753564814814815</v>
      </c>
      <c r="I2123" s="17" t="n">
        <v>938</v>
      </c>
      <c r="J2123" s="16"/>
      <c r="K2123" s="17"/>
      <c r="L2123" s="17" t="n">
        <f aca="false">COUNT(E2123,I2123,K2123)</f>
        <v>1</v>
      </c>
      <c r="M2123" s="18" t="n">
        <f aca="false">(D2123&lt;&gt;"")*(D2123&lt;=($E$3*60+$F$3)/86400)+(H2123&lt;&gt;"")*(H2123&lt;=($I$3*60+$J$3)/86400)+(J2123&lt;&gt;"")*(J2123&lt;=($M$3*60+$N$3)/86400)</f>
        <v>0</v>
      </c>
      <c r="N2123" s="20"/>
      <c r="O2123" s="20"/>
      <c r="P2123" s="20"/>
      <c r="Q2123" s="19"/>
    </row>
    <row r="2124" customFormat="false" ht="15" hidden="false" customHeight="false" outlineLevel="0" collapsed="false">
      <c r="A2124" s="10" t="n">
        <v>2118</v>
      </c>
      <c r="B2124" s="12" t="s">
        <v>3284</v>
      </c>
      <c r="C2124" s="12" t="s">
        <v>3285</v>
      </c>
      <c r="D2124" s="13"/>
      <c r="E2124" s="14"/>
      <c r="F2124" s="15" t="str">
        <f aca="false">IF(D2124="","",ROUND((D2124-MIN($D$7:$D$9999))*86400,2))</f>
        <v/>
      </c>
      <c r="G2124" s="10" t="str">
        <f aca="false">IF(D2124="","",IF(D2124&lt;=($E$3*60+$F$3)/86400,"○",""))</f>
        <v/>
      </c>
      <c r="H2124" s="16" t="n">
        <v>0.00753599537037037</v>
      </c>
      <c r="I2124" s="17" t="n">
        <v>939</v>
      </c>
      <c r="J2124" s="16"/>
      <c r="K2124" s="17"/>
      <c r="L2124" s="17" t="n">
        <f aca="false">COUNT(E2124,I2124,K2124)</f>
        <v>1</v>
      </c>
      <c r="M2124" s="18" t="n">
        <f aca="false">(D2124&lt;&gt;"")*(D2124&lt;=($E$3*60+$F$3)/86400)+(H2124&lt;&gt;"")*(H2124&lt;=($I$3*60+$J$3)/86400)+(J2124&lt;&gt;"")*(J2124&lt;=($M$3*60+$N$3)/86400)</f>
        <v>0</v>
      </c>
      <c r="N2124" s="20"/>
      <c r="O2124" s="20"/>
      <c r="P2124" s="20"/>
      <c r="Q2124" s="19"/>
    </row>
    <row r="2125" customFormat="false" ht="15" hidden="false" customHeight="false" outlineLevel="0" collapsed="false">
      <c r="A2125" s="10" t="n">
        <v>2119</v>
      </c>
      <c r="B2125" s="12" t="s">
        <v>3286</v>
      </c>
      <c r="C2125" s="12" t="s">
        <v>288</v>
      </c>
      <c r="D2125" s="13"/>
      <c r="E2125" s="14"/>
      <c r="F2125" s="15" t="str">
        <f aca="false">IF(D2125="","",ROUND((D2125-MIN($D$7:$D$9999))*86400,2))</f>
        <v/>
      </c>
      <c r="G2125" s="10" t="str">
        <f aca="false">IF(D2125="","",IF(D2125&lt;=($E$3*60+$F$3)/86400,"○",""))</f>
        <v/>
      </c>
      <c r="H2125" s="16"/>
      <c r="I2125" s="17"/>
      <c r="J2125" s="16" t="n">
        <v>0.00289953703703704</v>
      </c>
      <c r="K2125" s="17" t="n">
        <v>940</v>
      </c>
      <c r="L2125" s="17" t="n">
        <f aca="false">COUNT(E2125,I2125,K2125)</f>
        <v>1</v>
      </c>
      <c r="M2125" s="18" t="n">
        <f aca="false">(D2125&lt;&gt;"")*(D2125&lt;=($E$3*60+$F$3)/86400)+(H2125&lt;&gt;"")*(H2125&lt;=($I$3*60+$J$3)/86400)+(J2125&lt;&gt;"")*(J2125&lt;=($M$3*60+$N$3)/86400)</f>
        <v>0</v>
      </c>
      <c r="N2125" s="20"/>
      <c r="O2125" s="20"/>
      <c r="P2125" s="20"/>
      <c r="Q2125" s="19"/>
    </row>
    <row r="2126" customFormat="false" ht="15" hidden="false" customHeight="false" outlineLevel="0" collapsed="false">
      <c r="A2126" s="10" t="n">
        <v>2120</v>
      </c>
      <c r="B2126" s="12" t="s">
        <v>3287</v>
      </c>
      <c r="C2126" s="12" t="s">
        <v>3288</v>
      </c>
      <c r="D2126" s="13"/>
      <c r="E2126" s="14"/>
      <c r="F2126" s="15" t="str">
        <f aca="false">IF(D2126="","",ROUND((D2126-MIN($D$7:$D$9999))*86400,2))</f>
        <v/>
      </c>
      <c r="G2126" s="10" t="str">
        <f aca="false">IF(D2126="","",IF(D2126&lt;=($E$3*60+$F$3)/86400,"○",""))</f>
        <v/>
      </c>
      <c r="H2126" s="16" t="n">
        <v>0.00753657407407407</v>
      </c>
      <c r="I2126" s="17" t="n">
        <v>941</v>
      </c>
      <c r="J2126" s="16"/>
      <c r="K2126" s="17"/>
      <c r="L2126" s="17" t="n">
        <f aca="false">COUNT(E2126,I2126,K2126)</f>
        <v>1</v>
      </c>
      <c r="M2126" s="18" t="n">
        <f aca="false">(D2126&lt;&gt;"")*(D2126&lt;=($E$3*60+$F$3)/86400)+(H2126&lt;&gt;"")*(H2126&lt;=($I$3*60+$J$3)/86400)+(J2126&lt;&gt;"")*(J2126&lt;=($M$3*60+$N$3)/86400)</f>
        <v>0</v>
      </c>
      <c r="N2126" s="20"/>
      <c r="O2126" s="20"/>
      <c r="P2126" s="20"/>
      <c r="Q2126" s="19"/>
    </row>
    <row r="2127" customFormat="false" ht="15" hidden="false" customHeight="false" outlineLevel="0" collapsed="false">
      <c r="A2127" s="10" t="n">
        <v>2121</v>
      </c>
      <c r="B2127" s="12" t="s">
        <v>3289</v>
      </c>
      <c r="C2127" s="12" t="s">
        <v>3290</v>
      </c>
      <c r="D2127" s="13"/>
      <c r="E2127" s="14"/>
      <c r="F2127" s="15" t="str">
        <f aca="false">IF(D2127="","",ROUND((D2127-MIN($D$7:$D$9999))*86400,2))</f>
        <v/>
      </c>
      <c r="G2127" s="10" t="str">
        <f aca="false">IF(D2127="","",IF(D2127&lt;=($E$3*60+$F$3)/86400,"○",""))</f>
        <v/>
      </c>
      <c r="H2127" s="16" t="n">
        <v>0.00753773148148148</v>
      </c>
      <c r="I2127" s="17" t="n">
        <v>942</v>
      </c>
      <c r="J2127" s="16" t="n">
        <v>0.00295590277777778</v>
      </c>
      <c r="K2127" s="17" t="n">
        <v>1257</v>
      </c>
      <c r="L2127" s="17" t="n">
        <f aca="false">COUNT(E2127,I2127,K2127)</f>
        <v>2</v>
      </c>
      <c r="M2127" s="18" t="n">
        <f aca="false">(D2127&lt;&gt;"")*(D2127&lt;=($E$3*60+$F$3)/86400)+(H2127&lt;&gt;"")*(H2127&lt;=($I$3*60+$J$3)/86400)+(J2127&lt;&gt;"")*(J2127&lt;=($M$3*60+$N$3)/86400)</f>
        <v>0</v>
      </c>
      <c r="N2127" s="20"/>
      <c r="O2127" s="20"/>
      <c r="P2127" s="12" t="s">
        <v>3291</v>
      </c>
      <c r="Q2127" s="19"/>
    </row>
    <row r="2128" customFormat="false" ht="15" hidden="false" customHeight="false" outlineLevel="0" collapsed="false">
      <c r="A2128" s="10" t="n">
        <v>2122</v>
      </c>
      <c r="B2128" s="12" t="s">
        <v>3292</v>
      </c>
      <c r="C2128" s="12" t="s">
        <v>1775</v>
      </c>
      <c r="D2128" s="13"/>
      <c r="E2128" s="14"/>
      <c r="F2128" s="15" t="str">
        <f aca="false">IF(D2128="","",ROUND((D2128-MIN($D$7:$D$9999))*86400,2))</f>
        <v/>
      </c>
      <c r="G2128" s="10" t="str">
        <f aca="false">IF(D2128="","",IF(D2128&lt;=($E$3*60+$F$3)/86400,"○",""))</f>
        <v/>
      </c>
      <c r="H2128" s="16" t="n">
        <v>0.00753854166666667</v>
      </c>
      <c r="I2128" s="17" t="n">
        <v>943</v>
      </c>
      <c r="J2128" s="16"/>
      <c r="K2128" s="17"/>
      <c r="L2128" s="17" t="n">
        <f aca="false">COUNT(E2128,I2128,K2128)</f>
        <v>1</v>
      </c>
      <c r="M2128" s="18" t="n">
        <f aca="false">(D2128&lt;&gt;"")*(D2128&lt;=($E$3*60+$F$3)/86400)+(H2128&lt;&gt;"")*(H2128&lt;=($I$3*60+$J$3)/86400)+(J2128&lt;&gt;"")*(J2128&lt;=($M$3*60+$N$3)/86400)</f>
        <v>0</v>
      </c>
      <c r="N2128" s="20"/>
      <c r="O2128" s="20"/>
      <c r="P2128" s="20"/>
      <c r="Q2128" s="19"/>
    </row>
    <row r="2129" customFormat="false" ht="15" hidden="false" customHeight="false" outlineLevel="0" collapsed="false">
      <c r="A2129" s="10" t="n">
        <v>2123</v>
      </c>
      <c r="B2129" s="12" t="s">
        <v>3293</v>
      </c>
      <c r="C2129" s="12" t="s">
        <v>3294</v>
      </c>
      <c r="D2129" s="13"/>
      <c r="E2129" s="14"/>
      <c r="F2129" s="15" t="str">
        <f aca="false">IF(D2129="","",ROUND((D2129-MIN($D$7:$D$9999))*86400,2))</f>
        <v/>
      </c>
      <c r="G2129" s="10" t="str">
        <f aca="false">IF(D2129="","",IF(D2129&lt;=($E$3*60+$F$3)/86400,"○",""))</f>
        <v/>
      </c>
      <c r="H2129" s="16"/>
      <c r="I2129" s="17"/>
      <c r="J2129" s="16" t="n">
        <v>0.00289976851851852</v>
      </c>
      <c r="K2129" s="17" t="n">
        <v>943</v>
      </c>
      <c r="L2129" s="17" t="n">
        <f aca="false">COUNT(E2129,I2129,K2129)</f>
        <v>1</v>
      </c>
      <c r="M2129" s="18" t="n">
        <f aca="false">(D2129&lt;&gt;"")*(D2129&lt;=($E$3*60+$F$3)/86400)+(H2129&lt;&gt;"")*(H2129&lt;=($I$3*60+$J$3)/86400)+(J2129&lt;&gt;"")*(J2129&lt;=($M$3*60+$N$3)/86400)</f>
        <v>0</v>
      </c>
      <c r="N2129" s="20"/>
      <c r="O2129" s="20"/>
      <c r="P2129" s="20"/>
      <c r="Q2129" s="19"/>
    </row>
    <row r="2130" customFormat="false" ht="15" hidden="false" customHeight="false" outlineLevel="0" collapsed="false">
      <c r="A2130" s="10" t="n">
        <v>2124</v>
      </c>
      <c r="B2130" s="12" t="s">
        <v>3295</v>
      </c>
      <c r="C2130" s="12" t="s">
        <v>3296</v>
      </c>
      <c r="D2130" s="13"/>
      <c r="E2130" s="14"/>
      <c r="F2130" s="15" t="str">
        <f aca="false">IF(D2130="","",ROUND((D2130-MIN($D$7:$D$9999))*86400,2))</f>
        <v/>
      </c>
      <c r="G2130" s="10" t="str">
        <f aca="false">IF(D2130="","",IF(D2130&lt;=($E$3*60+$F$3)/86400,"○",""))</f>
        <v/>
      </c>
      <c r="H2130" s="16" t="n">
        <v>0.00753946759259259</v>
      </c>
      <c r="I2130" s="17" t="n">
        <v>944</v>
      </c>
      <c r="J2130" s="16"/>
      <c r="K2130" s="17"/>
      <c r="L2130" s="17" t="n">
        <f aca="false">COUNT(E2130,I2130,K2130)</f>
        <v>1</v>
      </c>
      <c r="M2130" s="18" t="n">
        <f aca="false">(D2130&lt;&gt;"")*(D2130&lt;=($E$3*60+$F$3)/86400)+(H2130&lt;&gt;"")*(H2130&lt;=($I$3*60+$J$3)/86400)+(J2130&lt;&gt;"")*(J2130&lt;=($M$3*60+$N$3)/86400)</f>
        <v>0</v>
      </c>
      <c r="N2130" s="20"/>
      <c r="O2130" s="20"/>
      <c r="P2130" s="20"/>
      <c r="Q2130" s="19"/>
    </row>
    <row r="2131" customFormat="false" ht="15" hidden="false" customHeight="false" outlineLevel="0" collapsed="false">
      <c r="A2131" s="10" t="n">
        <v>2125</v>
      </c>
      <c r="B2131" s="12" t="s">
        <v>3297</v>
      </c>
      <c r="C2131" s="12" t="s">
        <v>3298</v>
      </c>
      <c r="D2131" s="13"/>
      <c r="E2131" s="14"/>
      <c r="F2131" s="15" t="str">
        <f aca="false">IF(D2131="","",ROUND((D2131-MIN($D$7:$D$9999))*86400,2))</f>
        <v/>
      </c>
      <c r="G2131" s="10" t="str">
        <f aca="false">IF(D2131="","",IF(D2131&lt;=($E$3*60+$F$3)/86400,"○",""))</f>
        <v/>
      </c>
      <c r="H2131" s="16" t="n">
        <v>0.00753946759259259</v>
      </c>
      <c r="I2131" s="17" t="n">
        <v>945</v>
      </c>
      <c r="J2131" s="16"/>
      <c r="K2131" s="17"/>
      <c r="L2131" s="17" t="n">
        <f aca="false">COUNT(E2131,I2131,K2131)</f>
        <v>1</v>
      </c>
      <c r="M2131" s="18" t="n">
        <f aca="false">(D2131&lt;&gt;"")*(D2131&lt;=($E$3*60+$F$3)/86400)+(H2131&lt;&gt;"")*(H2131&lt;=($I$3*60+$J$3)/86400)+(J2131&lt;&gt;"")*(J2131&lt;=($M$3*60+$N$3)/86400)</f>
        <v>0</v>
      </c>
      <c r="N2131" s="20"/>
      <c r="O2131" s="20"/>
      <c r="P2131" s="20"/>
      <c r="Q2131" s="19"/>
    </row>
    <row r="2132" customFormat="false" ht="15" hidden="false" customHeight="false" outlineLevel="0" collapsed="false">
      <c r="A2132" s="10" t="n">
        <v>2126</v>
      </c>
      <c r="B2132" s="12" t="s">
        <v>3299</v>
      </c>
      <c r="C2132" s="12" t="s">
        <v>1590</v>
      </c>
      <c r="D2132" s="13"/>
      <c r="E2132" s="14"/>
      <c r="F2132" s="15" t="str">
        <f aca="false">IF(D2132="","",ROUND((D2132-MIN($D$7:$D$9999))*86400,2))</f>
        <v/>
      </c>
      <c r="G2132" s="10" t="str">
        <f aca="false">IF(D2132="","",IF(D2132&lt;=($E$3*60+$F$3)/86400,"○",""))</f>
        <v/>
      </c>
      <c r="H2132" s="16"/>
      <c r="I2132" s="17"/>
      <c r="J2132" s="16" t="n">
        <v>0.00289988425925926</v>
      </c>
      <c r="K2132" s="17" t="n">
        <v>945</v>
      </c>
      <c r="L2132" s="17" t="n">
        <f aca="false">COUNT(E2132,I2132,K2132)</f>
        <v>1</v>
      </c>
      <c r="M2132" s="18" t="n">
        <f aca="false">(D2132&lt;&gt;"")*(D2132&lt;=($E$3*60+$F$3)/86400)+(H2132&lt;&gt;"")*(H2132&lt;=($I$3*60+$J$3)/86400)+(J2132&lt;&gt;"")*(J2132&lt;=($M$3*60+$N$3)/86400)</f>
        <v>0</v>
      </c>
      <c r="N2132" s="20"/>
      <c r="O2132" s="20" t="s">
        <v>3300</v>
      </c>
      <c r="P2132" s="20"/>
      <c r="Q2132" s="19"/>
    </row>
    <row r="2133" customFormat="false" ht="15" hidden="false" customHeight="false" outlineLevel="0" collapsed="false">
      <c r="A2133" s="10" t="n">
        <v>2127</v>
      </c>
      <c r="B2133" s="12" t="s">
        <v>3301</v>
      </c>
      <c r="C2133" s="12" t="s">
        <v>615</v>
      </c>
      <c r="D2133" s="13"/>
      <c r="E2133" s="14"/>
      <c r="F2133" s="15" t="str">
        <f aca="false">IF(D2133="","",ROUND((D2133-MIN($D$7:$D$9999))*86400,2))</f>
        <v/>
      </c>
      <c r="G2133" s="10" t="str">
        <f aca="false">IF(D2133="","",IF(D2133&lt;=($E$3*60+$F$3)/86400,"○",""))</f>
        <v/>
      </c>
      <c r="H2133" s="16" t="n">
        <v>0.00754155092592593</v>
      </c>
      <c r="I2133" s="17" t="n">
        <v>946</v>
      </c>
      <c r="J2133" s="16"/>
      <c r="K2133" s="17"/>
      <c r="L2133" s="17" t="n">
        <f aca="false">COUNT(E2133,I2133,K2133)</f>
        <v>1</v>
      </c>
      <c r="M2133" s="18" t="n">
        <f aca="false">(D2133&lt;&gt;"")*(D2133&lt;=($E$3*60+$F$3)/86400)+(H2133&lt;&gt;"")*(H2133&lt;=($I$3*60+$J$3)/86400)+(J2133&lt;&gt;"")*(J2133&lt;=($M$3*60+$N$3)/86400)</f>
        <v>0</v>
      </c>
      <c r="N2133" s="20"/>
      <c r="O2133" s="20"/>
      <c r="P2133" s="20"/>
      <c r="Q2133" s="19"/>
    </row>
    <row r="2134" customFormat="false" ht="15" hidden="false" customHeight="false" outlineLevel="0" collapsed="false">
      <c r="A2134" s="10" t="n">
        <v>2128</v>
      </c>
      <c r="B2134" s="12" t="s">
        <v>3302</v>
      </c>
      <c r="C2134" s="12" t="s">
        <v>3303</v>
      </c>
      <c r="D2134" s="13"/>
      <c r="E2134" s="14"/>
      <c r="F2134" s="15" t="str">
        <f aca="false">IF(D2134="","",ROUND((D2134-MIN($D$7:$D$9999))*86400,2))</f>
        <v/>
      </c>
      <c r="G2134" s="10" t="str">
        <f aca="false">IF(D2134="","",IF(D2134&lt;=($E$3*60+$F$3)/86400,"○",""))</f>
        <v/>
      </c>
      <c r="H2134" s="16" t="n">
        <v>0.00754236111111111</v>
      </c>
      <c r="I2134" s="17" t="n">
        <v>947</v>
      </c>
      <c r="J2134" s="16"/>
      <c r="K2134" s="17"/>
      <c r="L2134" s="17" t="n">
        <f aca="false">COUNT(E2134,I2134,K2134)</f>
        <v>1</v>
      </c>
      <c r="M2134" s="18" t="n">
        <f aca="false">(D2134&lt;&gt;"")*(D2134&lt;=($E$3*60+$F$3)/86400)+(H2134&lt;&gt;"")*(H2134&lt;=($I$3*60+$J$3)/86400)+(J2134&lt;&gt;"")*(J2134&lt;=($M$3*60+$N$3)/86400)</f>
        <v>0</v>
      </c>
      <c r="N2134" s="20"/>
      <c r="O2134" s="20"/>
      <c r="P2134" s="20"/>
      <c r="Q2134" s="19"/>
    </row>
    <row r="2135" customFormat="false" ht="15" hidden="false" customHeight="false" outlineLevel="0" collapsed="false">
      <c r="A2135" s="10" t="n">
        <v>2129</v>
      </c>
      <c r="B2135" s="12" t="s">
        <v>3304</v>
      </c>
      <c r="C2135" s="12" t="s">
        <v>2453</v>
      </c>
      <c r="D2135" s="13"/>
      <c r="E2135" s="14"/>
      <c r="F2135" s="15" t="str">
        <f aca="false">IF(D2135="","",ROUND((D2135-MIN($D$7:$D$9999))*86400,2))</f>
        <v/>
      </c>
      <c r="G2135" s="10" t="str">
        <f aca="false">IF(D2135="","",IF(D2135&lt;=($E$3*60+$F$3)/86400,"○",""))</f>
        <v/>
      </c>
      <c r="H2135" s="16" t="n">
        <v>0.00754363425925926</v>
      </c>
      <c r="I2135" s="17" t="n">
        <v>948</v>
      </c>
      <c r="J2135" s="16"/>
      <c r="K2135" s="17"/>
      <c r="L2135" s="17" t="n">
        <f aca="false">COUNT(E2135,I2135,K2135)</f>
        <v>1</v>
      </c>
      <c r="M2135" s="18" t="n">
        <f aca="false">(D2135&lt;&gt;"")*(D2135&lt;=($E$3*60+$F$3)/86400)+(H2135&lt;&gt;"")*(H2135&lt;=($I$3*60+$J$3)/86400)+(J2135&lt;&gt;"")*(J2135&lt;=($M$3*60+$N$3)/86400)</f>
        <v>0</v>
      </c>
      <c r="N2135" s="20"/>
      <c r="O2135" s="20"/>
      <c r="P2135" s="20"/>
      <c r="Q2135" s="19"/>
    </row>
    <row r="2136" customFormat="false" ht="15" hidden="false" customHeight="false" outlineLevel="0" collapsed="false">
      <c r="A2136" s="10" t="n">
        <v>2130</v>
      </c>
      <c r="B2136" s="12" t="s">
        <v>3305</v>
      </c>
      <c r="C2136" s="12" t="s">
        <v>3306</v>
      </c>
      <c r="D2136" s="13"/>
      <c r="E2136" s="14"/>
      <c r="F2136" s="15" t="str">
        <f aca="false">IF(D2136="","",ROUND((D2136-MIN($D$7:$D$9999))*86400,2))</f>
        <v/>
      </c>
      <c r="G2136" s="10" t="str">
        <f aca="false">IF(D2136="","",IF(D2136&lt;=($E$3*60+$F$3)/86400,"○",""))</f>
        <v/>
      </c>
      <c r="H2136" s="16" t="n">
        <v>0.00754421296296296</v>
      </c>
      <c r="I2136" s="17" t="n">
        <v>949</v>
      </c>
      <c r="J2136" s="16"/>
      <c r="K2136" s="17"/>
      <c r="L2136" s="17" t="n">
        <f aca="false">COUNT(E2136,I2136,K2136)</f>
        <v>1</v>
      </c>
      <c r="M2136" s="18" t="n">
        <f aca="false">(D2136&lt;&gt;"")*(D2136&lt;=($E$3*60+$F$3)/86400)+(H2136&lt;&gt;"")*(H2136&lt;=($I$3*60+$J$3)/86400)+(J2136&lt;&gt;"")*(J2136&lt;=($M$3*60+$N$3)/86400)</f>
        <v>0</v>
      </c>
      <c r="N2136" s="20"/>
      <c r="O2136" s="20"/>
      <c r="P2136" s="20"/>
      <c r="Q2136" s="19"/>
    </row>
    <row r="2137" customFormat="false" ht="15" hidden="false" customHeight="false" outlineLevel="0" collapsed="false">
      <c r="A2137" s="10" t="n">
        <v>2131</v>
      </c>
      <c r="B2137" s="12" t="s">
        <v>3307</v>
      </c>
      <c r="C2137" s="12" t="s">
        <v>204</v>
      </c>
      <c r="D2137" s="13"/>
      <c r="E2137" s="14"/>
      <c r="F2137" s="15" t="str">
        <f aca="false">IF(D2137="","",ROUND((D2137-MIN($D$7:$D$9999))*86400,2))</f>
        <v/>
      </c>
      <c r="G2137" s="10" t="str">
        <f aca="false">IF(D2137="","",IF(D2137&lt;=($E$3*60+$F$3)/86400,"○",""))</f>
        <v/>
      </c>
      <c r="H2137" s="16"/>
      <c r="I2137" s="17"/>
      <c r="J2137" s="16" t="n">
        <v>0.00290023148148148</v>
      </c>
      <c r="K2137" s="17" t="n">
        <v>949</v>
      </c>
      <c r="L2137" s="17" t="n">
        <f aca="false">COUNT(E2137,I2137,K2137)</f>
        <v>1</v>
      </c>
      <c r="M2137" s="18" t="n">
        <f aca="false">(D2137&lt;&gt;"")*(D2137&lt;=($E$3*60+$F$3)/86400)+(H2137&lt;&gt;"")*(H2137&lt;=($I$3*60+$J$3)/86400)+(J2137&lt;&gt;"")*(J2137&lt;=($M$3*60+$N$3)/86400)</f>
        <v>0</v>
      </c>
      <c r="N2137" s="20"/>
      <c r="O2137" s="20"/>
      <c r="P2137" s="20"/>
      <c r="Q2137" s="19"/>
    </row>
    <row r="2138" customFormat="false" ht="15" hidden="false" customHeight="false" outlineLevel="0" collapsed="false">
      <c r="A2138" s="10" t="n">
        <v>2132</v>
      </c>
      <c r="B2138" s="12" t="s">
        <v>3308</v>
      </c>
      <c r="C2138" s="12" t="s">
        <v>1396</v>
      </c>
      <c r="D2138" s="13"/>
      <c r="E2138" s="14"/>
      <c r="F2138" s="15" t="str">
        <f aca="false">IF(D2138="","",ROUND((D2138-MIN($D$7:$D$9999))*86400,2))</f>
        <v/>
      </c>
      <c r="G2138" s="10" t="str">
        <f aca="false">IF(D2138="","",IF(D2138&lt;=($E$3*60+$F$3)/86400,"○",""))</f>
        <v/>
      </c>
      <c r="H2138" s="16" t="n">
        <v>0.00754513888888889</v>
      </c>
      <c r="I2138" s="17" t="n">
        <v>950</v>
      </c>
      <c r="J2138" s="16"/>
      <c r="K2138" s="17"/>
      <c r="L2138" s="17" t="n">
        <f aca="false">COUNT(E2138,I2138,K2138)</f>
        <v>1</v>
      </c>
      <c r="M2138" s="18" t="n">
        <f aca="false">(D2138&lt;&gt;"")*(D2138&lt;=($E$3*60+$F$3)/86400)+(H2138&lt;&gt;"")*(H2138&lt;=($I$3*60+$J$3)/86400)+(J2138&lt;&gt;"")*(J2138&lt;=($M$3*60+$N$3)/86400)</f>
        <v>0</v>
      </c>
      <c r="N2138" s="20"/>
      <c r="O2138" s="20"/>
      <c r="P2138" s="20"/>
      <c r="Q2138" s="19"/>
    </row>
    <row r="2139" customFormat="false" ht="15" hidden="false" customHeight="false" outlineLevel="0" collapsed="false">
      <c r="A2139" s="10" t="n">
        <v>2133</v>
      </c>
      <c r="B2139" s="12" t="s">
        <v>3309</v>
      </c>
      <c r="C2139" s="12" t="s">
        <v>2649</v>
      </c>
      <c r="D2139" s="13"/>
      <c r="E2139" s="14"/>
      <c r="F2139" s="15" t="str">
        <f aca="false">IF(D2139="","",ROUND((D2139-MIN($D$7:$D$9999))*86400,2))</f>
        <v/>
      </c>
      <c r="G2139" s="10" t="str">
        <f aca="false">IF(D2139="","",IF(D2139&lt;=($E$3*60+$F$3)/86400,"○",""))</f>
        <v/>
      </c>
      <c r="H2139" s="16" t="n">
        <v>0.00754537037037037</v>
      </c>
      <c r="I2139" s="17" t="n">
        <v>951</v>
      </c>
      <c r="J2139" s="16"/>
      <c r="K2139" s="17"/>
      <c r="L2139" s="17" t="n">
        <f aca="false">COUNT(E2139,I2139,K2139)</f>
        <v>1</v>
      </c>
      <c r="M2139" s="18" t="n">
        <f aca="false">(D2139&lt;&gt;"")*(D2139&lt;=($E$3*60+$F$3)/86400)+(H2139&lt;&gt;"")*(H2139&lt;=($I$3*60+$J$3)/86400)+(J2139&lt;&gt;"")*(J2139&lt;=($M$3*60+$N$3)/86400)</f>
        <v>0</v>
      </c>
      <c r="N2139" s="20"/>
      <c r="O2139" s="20"/>
      <c r="P2139" s="20"/>
      <c r="Q2139" s="19"/>
    </row>
    <row r="2140" customFormat="false" ht="15" hidden="false" customHeight="false" outlineLevel="0" collapsed="false">
      <c r="A2140" s="10" t="n">
        <v>2134</v>
      </c>
      <c r="B2140" s="12" t="s">
        <v>3310</v>
      </c>
      <c r="C2140" s="12" t="s">
        <v>3311</v>
      </c>
      <c r="D2140" s="13"/>
      <c r="E2140" s="14"/>
      <c r="F2140" s="15" t="str">
        <f aca="false">IF(D2140="","",ROUND((D2140-MIN($D$7:$D$9999))*86400,2))</f>
        <v/>
      </c>
      <c r="G2140" s="10" t="str">
        <f aca="false">IF(D2140="","",IF(D2140&lt;=($E$3*60+$F$3)/86400,"○",""))</f>
        <v/>
      </c>
      <c r="H2140" s="16" t="n">
        <v>0.00754594907407408</v>
      </c>
      <c r="I2140" s="17" t="n">
        <v>952</v>
      </c>
      <c r="J2140" s="16"/>
      <c r="K2140" s="17"/>
      <c r="L2140" s="17" t="n">
        <f aca="false">COUNT(E2140,I2140,K2140)</f>
        <v>1</v>
      </c>
      <c r="M2140" s="18" t="n">
        <f aca="false">(D2140&lt;&gt;"")*(D2140&lt;=($E$3*60+$F$3)/86400)+(H2140&lt;&gt;"")*(H2140&lt;=($I$3*60+$J$3)/86400)+(J2140&lt;&gt;"")*(J2140&lt;=($M$3*60+$N$3)/86400)</f>
        <v>0</v>
      </c>
      <c r="N2140" s="20"/>
      <c r="O2140" s="20"/>
      <c r="P2140" s="20"/>
      <c r="Q2140" s="19"/>
    </row>
    <row r="2141" customFormat="false" ht="15" hidden="false" customHeight="false" outlineLevel="0" collapsed="false">
      <c r="A2141" s="10" t="n">
        <v>2135</v>
      </c>
      <c r="B2141" s="12" t="s">
        <v>3312</v>
      </c>
      <c r="C2141" s="12" t="s">
        <v>1431</v>
      </c>
      <c r="D2141" s="13"/>
      <c r="E2141" s="14"/>
      <c r="F2141" s="15" t="str">
        <f aca="false">IF(D2141="","",ROUND((D2141-MIN($D$7:$D$9999))*86400,2))</f>
        <v/>
      </c>
      <c r="G2141" s="10" t="str">
        <f aca="false">IF(D2141="","",IF(D2141&lt;=($E$3*60+$F$3)/86400,"○",""))</f>
        <v/>
      </c>
      <c r="H2141" s="16"/>
      <c r="I2141" s="17"/>
      <c r="J2141" s="16" t="n">
        <v>0.0029005787037037</v>
      </c>
      <c r="K2141" s="17" t="n">
        <v>952</v>
      </c>
      <c r="L2141" s="17" t="n">
        <f aca="false">COUNT(E2141,I2141,K2141)</f>
        <v>1</v>
      </c>
      <c r="M2141" s="18" t="n">
        <f aca="false">(D2141&lt;&gt;"")*(D2141&lt;=($E$3*60+$F$3)/86400)+(H2141&lt;&gt;"")*(H2141&lt;=($I$3*60+$J$3)/86400)+(J2141&lt;&gt;"")*(J2141&lt;=($M$3*60+$N$3)/86400)</f>
        <v>0</v>
      </c>
      <c r="N2141" s="20"/>
      <c r="O2141" s="20"/>
      <c r="P2141" s="20"/>
      <c r="Q2141" s="19"/>
    </row>
    <row r="2142" customFormat="false" ht="15" hidden="false" customHeight="false" outlineLevel="0" collapsed="false">
      <c r="A2142" s="10" t="n">
        <v>2136</v>
      </c>
      <c r="B2142" s="12" t="s">
        <v>3313</v>
      </c>
      <c r="C2142" s="12" t="s">
        <v>2176</v>
      </c>
      <c r="D2142" s="13"/>
      <c r="E2142" s="14"/>
      <c r="F2142" s="15" t="str">
        <f aca="false">IF(D2142="","",ROUND((D2142-MIN($D$7:$D$9999))*86400,2))</f>
        <v/>
      </c>
      <c r="G2142" s="10" t="str">
        <f aca="false">IF(D2142="","",IF(D2142&lt;=($E$3*60+$F$3)/86400,"○",""))</f>
        <v/>
      </c>
      <c r="H2142" s="16" t="n">
        <v>0.00754768518518519</v>
      </c>
      <c r="I2142" s="17" t="n">
        <v>953</v>
      </c>
      <c r="J2142" s="16"/>
      <c r="K2142" s="17"/>
      <c r="L2142" s="17" t="n">
        <f aca="false">COUNT(E2142,I2142,K2142)</f>
        <v>1</v>
      </c>
      <c r="M2142" s="18" t="n">
        <f aca="false">(D2142&lt;&gt;"")*(D2142&lt;=($E$3*60+$F$3)/86400)+(H2142&lt;&gt;"")*(H2142&lt;=($I$3*60+$J$3)/86400)+(J2142&lt;&gt;"")*(J2142&lt;=($M$3*60+$N$3)/86400)</f>
        <v>0</v>
      </c>
      <c r="N2142" s="20"/>
      <c r="O2142" s="20"/>
      <c r="P2142" s="20"/>
      <c r="Q2142" s="19"/>
    </row>
    <row r="2143" customFormat="false" ht="15" hidden="false" customHeight="false" outlineLevel="0" collapsed="false">
      <c r="A2143" s="10" t="n">
        <v>2137</v>
      </c>
      <c r="B2143" s="12" t="s">
        <v>3314</v>
      </c>
      <c r="C2143" s="12" t="s">
        <v>1415</v>
      </c>
      <c r="D2143" s="13"/>
      <c r="E2143" s="14"/>
      <c r="F2143" s="15" t="str">
        <f aca="false">IF(D2143="","",ROUND((D2143-MIN($D$7:$D$9999))*86400,2))</f>
        <v/>
      </c>
      <c r="G2143" s="10" t="str">
        <f aca="false">IF(D2143="","",IF(D2143&lt;=($E$3*60+$F$3)/86400,"○",""))</f>
        <v/>
      </c>
      <c r="H2143" s="16" t="n">
        <v>0.00754861111111111</v>
      </c>
      <c r="I2143" s="17" t="n">
        <v>954</v>
      </c>
      <c r="J2143" s="16"/>
      <c r="K2143" s="17"/>
      <c r="L2143" s="17" t="n">
        <f aca="false">COUNT(E2143,I2143,K2143)</f>
        <v>1</v>
      </c>
      <c r="M2143" s="18" t="n">
        <f aca="false">(D2143&lt;&gt;"")*(D2143&lt;=($E$3*60+$F$3)/86400)+(H2143&lt;&gt;"")*(H2143&lt;=($I$3*60+$J$3)/86400)+(J2143&lt;&gt;"")*(J2143&lt;=($M$3*60+$N$3)/86400)</f>
        <v>0</v>
      </c>
      <c r="N2143" s="20"/>
      <c r="O2143" s="20"/>
      <c r="P2143" s="20"/>
      <c r="Q2143" s="19"/>
    </row>
    <row r="2144" customFormat="false" ht="15" hidden="false" customHeight="false" outlineLevel="0" collapsed="false">
      <c r="A2144" s="10" t="n">
        <v>2138</v>
      </c>
      <c r="B2144" s="12" t="s">
        <v>3315</v>
      </c>
      <c r="C2144" s="12" t="s">
        <v>996</v>
      </c>
      <c r="D2144" s="13"/>
      <c r="E2144" s="14"/>
      <c r="F2144" s="15" t="str">
        <f aca="false">IF(D2144="","",ROUND((D2144-MIN($D$7:$D$9999))*86400,2))</f>
        <v/>
      </c>
      <c r="G2144" s="10" t="str">
        <f aca="false">IF(D2144="","",IF(D2144&lt;=($E$3*60+$F$3)/86400,"○",""))</f>
        <v/>
      </c>
      <c r="H2144" s="16" t="n">
        <v>0.00754884259259259</v>
      </c>
      <c r="I2144" s="17" t="n">
        <v>955</v>
      </c>
      <c r="J2144" s="16"/>
      <c r="K2144" s="17"/>
      <c r="L2144" s="17" t="n">
        <f aca="false">COUNT(E2144,I2144,K2144)</f>
        <v>1</v>
      </c>
      <c r="M2144" s="18" t="n">
        <f aca="false">(D2144&lt;&gt;"")*(D2144&lt;=($E$3*60+$F$3)/86400)+(H2144&lt;&gt;"")*(H2144&lt;=($I$3*60+$J$3)/86400)+(J2144&lt;&gt;"")*(J2144&lt;=($M$3*60+$N$3)/86400)</f>
        <v>0</v>
      </c>
      <c r="N2144" s="20"/>
      <c r="O2144" s="20"/>
      <c r="P2144" s="20"/>
      <c r="Q2144" s="19"/>
    </row>
    <row r="2145" customFormat="false" ht="15" hidden="false" customHeight="false" outlineLevel="0" collapsed="false">
      <c r="A2145" s="10" t="n">
        <v>2139</v>
      </c>
      <c r="B2145" s="12" t="s">
        <v>3316</v>
      </c>
      <c r="C2145" s="12" t="s">
        <v>3317</v>
      </c>
      <c r="D2145" s="13"/>
      <c r="E2145" s="14"/>
      <c r="F2145" s="15" t="str">
        <f aca="false">IF(D2145="","",ROUND((D2145-MIN($D$7:$D$9999))*86400,2))</f>
        <v/>
      </c>
      <c r="G2145" s="10" t="str">
        <f aca="false">IF(D2145="","",IF(D2145&lt;=($E$3*60+$F$3)/86400,"○",""))</f>
        <v/>
      </c>
      <c r="H2145" s="16"/>
      <c r="I2145" s="17"/>
      <c r="J2145" s="16" t="n">
        <v>0.00290104166666667</v>
      </c>
      <c r="K2145" s="17" t="n">
        <v>955</v>
      </c>
      <c r="L2145" s="17" t="n">
        <f aca="false">COUNT(E2145,I2145,K2145)</f>
        <v>1</v>
      </c>
      <c r="M2145" s="18" t="n">
        <f aca="false">(D2145&lt;&gt;"")*(D2145&lt;=($E$3*60+$F$3)/86400)+(H2145&lt;&gt;"")*(H2145&lt;=($I$3*60+$J$3)/86400)+(J2145&lt;&gt;"")*(J2145&lt;=($M$3*60+$N$3)/86400)</f>
        <v>0</v>
      </c>
      <c r="N2145" s="20"/>
      <c r="O2145" s="20"/>
      <c r="P2145" s="20"/>
      <c r="Q2145" s="19"/>
    </row>
    <row r="2146" customFormat="false" ht="15" hidden="false" customHeight="false" outlineLevel="0" collapsed="false">
      <c r="A2146" s="10" t="n">
        <v>2140</v>
      </c>
      <c r="B2146" s="12" t="s">
        <v>3318</v>
      </c>
      <c r="C2146" s="12" t="s">
        <v>179</v>
      </c>
      <c r="D2146" s="13"/>
      <c r="E2146" s="14"/>
      <c r="F2146" s="15" t="str">
        <f aca="false">IF(D2146="","",ROUND((D2146-MIN($D$7:$D$9999))*86400,2))</f>
        <v/>
      </c>
      <c r="G2146" s="10" t="str">
        <f aca="false">IF(D2146="","",IF(D2146&lt;=($E$3*60+$F$3)/86400,"○",""))</f>
        <v/>
      </c>
      <c r="H2146" s="16" t="n">
        <v>0.00754907407407407</v>
      </c>
      <c r="I2146" s="17" t="n">
        <v>956</v>
      </c>
      <c r="J2146" s="16"/>
      <c r="K2146" s="17"/>
      <c r="L2146" s="17" t="n">
        <f aca="false">COUNT(E2146,I2146,K2146)</f>
        <v>1</v>
      </c>
      <c r="M2146" s="18" t="n">
        <f aca="false">(D2146&lt;&gt;"")*(D2146&lt;=($E$3*60+$F$3)/86400)+(H2146&lt;&gt;"")*(H2146&lt;=($I$3*60+$J$3)/86400)+(J2146&lt;&gt;"")*(J2146&lt;=($M$3*60+$N$3)/86400)</f>
        <v>0</v>
      </c>
      <c r="N2146" s="20"/>
      <c r="O2146" s="20"/>
      <c r="P2146" s="20"/>
      <c r="Q2146" s="19"/>
    </row>
    <row r="2147" customFormat="false" ht="15" hidden="false" customHeight="false" outlineLevel="0" collapsed="false">
      <c r="A2147" s="10" t="n">
        <v>2141</v>
      </c>
      <c r="B2147" s="12" t="s">
        <v>3319</v>
      </c>
      <c r="C2147" s="12" t="s">
        <v>320</v>
      </c>
      <c r="D2147" s="13"/>
      <c r="E2147" s="14"/>
      <c r="F2147" s="15" t="str">
        <f aca="false">IF(D2147="","",ROUND((D2147-MIN($D$7:$D$9999))*86400,2))</f>
        <v/>
      </c>
      <c r="G2147" s="10" t="str">
        <f aca="false">IF(D2147="","",IF(D2147&lt;=($E$3*60+$F$3)/86400,"○",""))</f>
        <v/>
      </c>
      <c r="H2147" s="16"/>
      <c r="I2147" s="17"/>
      <c r="J2147" s="16" t="n">
        <v>0.00290138888888889</v>
      </c>
      <c r="K2147" s="17" t="n">
        <v>957</v>
      </c>
      <c r="L2147" s="17" t="n">
        <f aca="false">COUNT(E2147,I2147,K2147)</f>
        <v>1</v>
      </c>
      <c r="M2147" s="18" t="n">
        <f aca="false">(D2147&lt;&gt;"")*(D2147&lt;=($E$3*60+$F$3)/86400)+(H2147&lt;&gt;"")*(H2147&lt;=($I$3*60+$J$3)/86400)+(J2147&lt;&gt;"")*(J2147&lt;=($M$3*60+$N$3)/86400)</f>
        <v>0</v>
      </c>
      <c r="N2147" s="20"/>
      <c r="O2147" s="20" t="s">
        <v>3320</v>
      </c>
      <c r="P2147" s="20"/>
      <c r="Q2147" s="19"/>
    </row>
    <row r="2148" customFormat="false" ht="15" hidden="false" customHeight="false" outlineLevel="0" collapsed="false">
      <c r="A2148" s="10" t="n">
        <v>2142</v>
      </c>
      <c r="B2148" s="12" t="s">
        <v>3321</v>
      </c>
      <c r="C2148" s="12" t="s">
        <v>3322</v>
      </c>
      <c r="D2148" s="13"/>
      <c r="E2148" s="14"/>
      <c r="F2148" s="15" t="str">
        <f aca="false">IF(D2148="","",ROUND((D2148-MIN($D$7:$D$9999))*86400,2))</f>
        <v/>
      </c>
      <c r="G2148" s="10" t="str">
        <f aca="false">IF(D2148="","",IF(D2148&lt;=($E$3*60+$F$3)/86400,"○",""))</f>
        <v/>
      </c>
      <c r="H2148" s="16" t="n">
        <v>0.00755219907407407</v>
      </c>
      <c r="I2148" s="17" t="n">
        <v>958</v>
      </c>
      <c r="J2148" s="16"/>
      <c r="K2148" s="17"/>
      <c r="L2148" s="17" t="n">
        <f aca="false">COUNT(E2148,I2148,K2148)</f>
        <v>1</v>
      </c>
      <c r="M2148" s="18" t="n">
        <f aca="false">(D2148&lt;&gt;"")*(D2148&lt;=($E$3*60+$F$3)/86400)+(H2148&lt;&gt;"")*(H2148&lt;=($I$3*60+$J$3)/86400)+(J2148&lt;&gt;"")*(J2148&lt;=($M$3*60+$N$3)/86400)</f>
        <v>0</v>
      </c>
      <c r="N2148" s="20"/>
      <c r="O2148" s="20"/>
      <c r="P2148" s="20"/>
      <c r="Q2148" s="19"/>
    </row>
    <row r="2149" customFormat="false" ht="15" hidden="false" customHeight="false" outlineLevel="0" collapsed="false">
      <c r="A2149" s="10" t="n">
        <v>2143</v>
      </c>
      <c r="B2149" s="12" t="s">
        <v>3323</v>
      </c>
      <c r="C2149" s="12" t="s">
        <v>1852</v>
      </c>
      <c r="D2149" s="13"/>
      <c r="E2149" s="14"/>
      <c r="F2149" s="15" t="str">
        <f aca="false">IF(D2149="","",ROUND((D2149-MIN($D$7:$D$9999))*86400,2))</f>
        <v/>
      </c>
      <c r="G2149" s="10" t="str">
        <f aca="false">IF(D2149="","",IF(D2149&lt;=($E$3*60+$F$3)/86400,"○",""))</f>
        <v/>
      </c>
      <c r="H2149" s="16" t="n">
        <v>0.00755289351851852</v>
      </c>
      <c r="I2149" s="17" t="n">
        <v>959</v>
      </c>
      <c r="J2149" s="16"/>
      <c r="K2149" s="17"/>
      <c r="L2149" s="17" t="n">
        <f aca="false">COUNT(E2149,I2149,K2149)</f>
        <v>1</v>
      </c>
      <c r="M2149" s="18" t="n">
        <f aca="false">(D2149&lt;&gt;"")*(D2149&lt;=($E$3*60+$F$3)/86400)+(H2149&lt;&gt;"")*(H2149&lt;=($I$3*60+$J$3)/86400)+(J2149&lt;&gt;"")*(J2149&lt;=($M$3*60+$N$3)/86400)</f>
        <v>0</v>
      </c>
      <c r="N2149" s="20"/>
      <c r="O2149" s="20"/>
      <c r="P2149" s="20"/>
      <c r="Q2149" s="19"/>
    </row>
    <row r="2150" customFormat="false" ht="15" hidden="false" customHeight="false" outlineLevel="0" collapsed="false">
      <c r="A2150" s="10" t="n">
        <v>2144</v>
      </c>
      <c r="B2150" s="12" t="s">
        <v>3324</v>
      </c>
      <c r="C2150" s="12" t="s">
        <v>3040</v>
      </c>
      <c r="D2150" s="13"/>
      <c r="E2150" s="14"/>
      <c r="F2150" s="15" t="str">
        <f aca="false">IF(D2150="","",ROUND((D2150-MIN($D$7:$D$9999))*86400,2))</f>
        <v/>
      </c>
      <c r="G2150" s="10" t="str">
        <f aca="false">IF(D2150="","",IF(D2150&lt;=($E$3*60+$F$3)/86400,"○",""))</f>
        <v/>
      </c>
      <c r="H2150" s="16"/>
      <c r="I2150" s="17"/>
      <c r="J2150" s="16" t="n">
        <v>0.00290162037037037</v>
      </c>
      <c r="K2150" s="17" t="n">
        <v>959</v>
      </c>
      <c r="L2150" s="17" t="n">
        <f aca="false">COUNT(E2150,I2150,K2150)</f>
        <v>1</v>
      </c>
      <c r="M2150" s="18" t="n">
        <f aca="false">(D2150&lt;&gt;"")*(D2150&lt;=($E$3*60+$F$3)/86400)+(H2150&lt;&gt;"")*(H2150&lt;=($I$3*60+$J$3)/86400)+(J2150&lt;&gt;"")*(J2150&lt;=($M$3*60+$N$3)/86400)</f>
        <v>0</v>
      </c>
      <c r="N2150" s="20"/>
      <c r="O2150" s="20"/>
      <c r="P2150" s="20"/>
      <c r="Q2150" s="19"/>
    </row>
    <row r="2151" customFormat="false" ht="15" hidden="false" customHeight="false" outlineLevel="0" collapsed="false">
      <c r="A2151" s="10" t="n">
        <v>2145</v>
      </c>
      <c r="B2151" s="12" t="s">
        <v>3325</v>
      </c>
      <c r="C2151" s="12" t="s">
        <v>3326</v>
      </c>
      <c r="D2151" s="13"/>
      <c r="E2151" s="14"/>
      <c r="F2151" s="15" t="str">
        <f aca="false">IF(D2151="","",ROUND((D2151-MIN($D$7:$D$9999))*86400,2))</f>
        <v/>
      </c>
      <c r="G2151" s="10" t="str">
        <f aca="false">IF(D2151="","",IF(D2151&lt;=($E$3*60+$F$3)/86400,"○",""))</f>
        <v/>
      </c>
      <c r="H2151" s="16" t="n">
        <v>0.00755347222222222</v>
      </c>
      <c r="I2151" s="17" t="n">
        <v>960</v>
      </c>
      <c r="J2151" s="16"/>
      <c r="K2151" s="17"/>
      <c r="L2151" s="17" t="n">
        <f aca="false">COUNT(E2151,I2151,K2151)</f>
        <v>1</v>
      </c>
      <c r="M2151" s="18" t="n">
        <f aca="false">(D2151&lt;&gt;"")*(D2151&lt;=($E$3*60+$F$3)/86400)+(H2151&lt;&gt;"")*(H2151&lt;=($I$3*60+$J$3)/86400)+(J2151&lt;&gt;"")*(J2151&lt;=($M$3*60+$N$3)/86400)</f>
        <v>0</v>
      </c>
      <c r="N2151" s="20"/>
      <c r="O2151" s="20"/>
      <c r="P2151" s="20"/>
      <c r="Q2151" s="19"/>
    </row>
    <row r="2152" customFormat="false" ht="15" hidden="false" customHeight="false" outlineLevel="0" collapsed="false">
      <c r="A2152" s="10" t="n">
        <v>2146</v>
      </c>
      <c r="B2152" s="12" t="s">
        <v>3327</v>
      </c>
      <c r="C2152" s="12" t="s">
        <v>2509</v>
      </c>
      <c r="D2152" s="13"/>
      <c r="E2152" s="14"/>
      <c r="F2152" s="15" t="str">
        <f aca="false">IF(D2152="","",ROUND((D2152-MIN($D$7:$D$9999))*86400,2))</f>
        <v/>
      </c>
      <c r="G2152" s="10" t="str">
        <f aca="false">IF(D2152="","",IF(D2152&lt;=($E$3*60+$F$3)/86400,"○",""))</f>
        <v/>
      </c>
      <c r="H2152" s="16" t="n">
        <v>0.00755636574074074</v>
      </c>
      <c r="I2152" s="17" t="n">
        <v>961</v>
      </c>
      <c r="J2152" s="16"/>
      <c r="K2152" s="17"/>
      <c r="L2152" s="17" t="n">
        <f aca="false">COUNT(E2152,I2152,K2152)</f>
        <v>1</v>
      </c>
      <c r="M2152" s="18" t="n">
        <f aca="false">(D2152&lt;&gt;"")*(D2152&lt;=($E$3*60+$F$3)/86400)+(H2152&lt;&gt;"")*(H2152&lt;=($I$3*60+$J$3)/86400)+(J2152&lt;&gt;"")*(J2152&lt;=($M$3*60+$N$3)/86400)</f>
        <v>0</v>
      </c>
      <c r="N2152" s="20"/>
      <c r="O2152" s="20"/>
      <c r="P2152" s="20"/>
      <c r="Q2152" s="19"/>
    </row>
    <row r="2153" customFormat="false" ht="15" hidden="false" customHeight="false" outlineLevel="0" collapsed="false">
      <c r="A2153" s="10" t="n">
        <v>2147</v>
      </c>
      <c r="B2153" s="12" t="s">
        <v>3328</v>
      </c>
      <c r="C2153" s="12" t="s">
        <v>2064</v>
      </c>
      <c r="D2153" s="13"/>
      <c r="E2153" s="14"/>
      <c r="F2153" s="15" t="str">
        <f aca="false">IF(D2153="","",ROUND((D2153-MIN($D$7:$D$9999))*86400,2))</f>
        <v/>
      </c>
      <c r="G2153" s="10" t="str">
        <f aca="false">IF(D2153="","",IF(D2153&lt;=($E$3*60+$F$3)/86400,"○",""))</f>
        <v/>
      </c>
      <c r="H2153" s="16" t="n">
        <v>0.00755798611111111</v>
      </c>
      <c r="I2153" s="17" t="n">
        <v>962</v>
      </c>
      <c r="J2153" s="16"/>
      <c r="K2153" s="17"/>
      <c r="L2153" s="17" t="n">
        <f aca="false">COUNT(E2153,I2153,K2153)</f>
        <v>1</v>
      </c>
      <c r="M2153" s="18" t="n">
        <f aca="false">(D2153&lt;&gt;"")*(D2153&lt;=($E$3*60+$F$3)/86400)+(H2153&lt;&gt;"")*(H2153&lt;=($I$3*60+$J$3)/86400)+(J2153&lt;&gt;"")*(J2153&lt;=($M$3*60+$N$3)/86400)</f>
        <v>0</v>
      </c>
      <c r="N2153" s="20"/>
      <c r="O2153" s="20"/>
      <c r="P2153" s="20"/>
      <c r="Q2153" s="19"/>
    </row>
    <row r="2154" customFormat="false" ht="15" hidden="false" customHeight="false" outlineLevel="0" collapsed="false">
      <c r="A2154" s="10" t="n">
        <v>2148</v>
      </c>
      <c r="B2154" s="12" t="s">
        <v>3329</v>
      </c>
      <c r="C2154" s="12" t="s">
        <v>3330</v>
      </c>
      <c r="D2154" s="13"/>
      <c r="E2154" s="14"/>
      <c r="F2154" s="15" t="str">
        <f aca="false">IF(D2154="","",ROUND((D2154-MIN($D$7:$D$9999))*86400,2))</f>
        <v/>
      </c>
      <c r="G2154" s="10" t="str">
        <f aca="false">IF(D2154="","",IF(D2154&lt;=($E$3*60+$F$3)/86400,"○",""))</f>
        <v/>
      </c>
      <c r="H2154" s="16" t="n">
        <v>0.007559375</v>
      </c>
      <c r="I2154" s="17" t="n">
        <v>963</v>
      </c>
      <c r="J2154" s="16"/>
      <c r="K2154" s="17"/>
      <c r="L2154" s="17" t="n">
        <f aca="false">COUNT(E2154,I2154,K2154)</f>
        <v>1</v>
      </c>
      <c r="M2154" s="18" t="n">
        <f aca="false">(D2154&lt;&gt;"")*(D2154&lt;=($E$3*60+$F$3)/86400)+(H2154&lt;&gt;"")*(H2154&lt;=($I$3*60+$J$3)/86400)+(J2154&lt;&gt;"")*(J2154&lt;=($M$3*60+$N$3)/86400)</f>
        <v>0</v>
      </c>
      <c r="N2154" s="20"/>
      <c r="O2154" s="20"/>
      <c r="P2154" s="20"/>
      <c r="Q2154" s="19"/>
    </row>
    <row r="2155" customFormat="false" ht="15" hidden="false" customHeight="false" outlineLevel="0" collapsed="false">
      <c r="A2155" s="10" t="n">
        <v>2149</v>
      </c>
      <c r="B2155" s="12" t="s">
        <v>3331</v>
      </c>
      <c r="C2155" s="12" t="s">
        <v>3332</v>
      </c>
      <c r="D2155" s="13"/>
      <c r="E2155" s="14"/>
      <c r="F2155" s="15" t="str">
        <f aca="false">IF(D2155="","",ROUND((D2155-MIN($D$7:$D$9999))*86400,2))</f>
        <v/>
      </c>
      <c r="G2155" s="10" t="str">
        <f aca="false">IF(D2155="","",IF(D2155&lt;=($E$3*60+$F$3)/86400,"○",""))</f>
        <v/>
      </c>
      <c r="H2155" s="16"/>
      <c r="I2155" s="17"/>
      <c r="J2155" s="16" t="n">
        <v>0.00290173611111111</v>
      </c>
      <c r="K2155" s="17" t="n">
        <v>963</v>
      </c>
      <c r="L2155" s="17" t="n">
        <f aca="false">COUNT(E2155,I2155,K2155)</f>
        <v>1</v>
      </c>
      <c r="M2155" s="18" t="n">
        <f aca="false">(D2155&lt;&gt;"")*(D2155&lt;=($E$3*60+$F$3)/86400)+(H2155&lt;&gt;"")*(H2155&lt;=($I$3*60+$J$3)/86400)+(J2155&lt;&gt;"")*(J2155&lt;=($M$3*60+$N$3)/86400)</f>
        <v>0</v>
      </c>
      <c r="N2155" s="20"/>
      <c r="O2155" s="20"/>
      <c r="P2155" s="20"/>
      <c r="Q2155" s="19"/>
    </row>
    <row r="2156" customFormat="false" ht="15" hidden="false" customHeight="false" outlineLevel="0" collapsed="false">
      <c r="A2156" s="10" t="n">
        <v>2150</v>
      </c>
      <c r="B2156" s="12" t="s">
        <v>3333</v>
      </c>
      <c r="C2156" s="12" t="s">
        <v>3334</v>
      </c>
      <c r="D2156" s="13"/>
      <c r="E2156" s="14"/>
      <c r="F2156" s="15" t="str">
        <f aca="false">IF(D2156="","",ROUND((D2156-MIN($D$7:$D$9999))*86400,2))</f>
        <v/>
      </c>
      <c r="G2156" s="10" t="str">
        <f aca="false">IF(D2156="","",IF(D2156&lt;=($E$3*60+$F$3)/86400,"○",""))</f>
        <v/>
      </c>
      <c r="H2156" s="16" t="n">
        <v>0.00756030092592593</v>
      </c>
      <c r="I2156" s="17" t="n">
        <v>964</v>
      </c>
      <c r="J2156" s="16" t="n">
        <v>0.00290856481481482</v>
      </c>
      <c r="K2156" s="17" t="n">
        <v>1005</v>
      </c>
      <c r="L2156" s="17" t="n">
        <f aca="false">COUNT(E2156,I2156,K2156)</f>
        <v>2</v>
      </c>
      <c r="M2156" s="18" t="n">
        <f aca="false">(D2156&lt;&gt;"")*(D2156&lt;=($E$3*60+$F$3)/86400)+(H2156&lt;&gt;"")*(H2156&lt;=($I$3*60+$J$3)/86400)+(J2156&lt;&gt;"")*(J2156&lt;=($M$3*60+$N$3)/86400)</f>
        <v>0</v>
      </c>
      <c r="N2156" s="20"/>
      <c r="O2156" s="20"/>
      <c r="P2156" s="20"/>
      <c r="Q2156" s="19"/>
    </row>
    <row r="2157" customFormat="false" ht="15" hidden="false" customHeight="false" outlineLevel="0" collapsed="false">
      <c r="A2157" s="10" t="n">
        <v>2151</v>
      </c>
      <c r="B2157" s="12" t="s">
        <v>3335</v>
      </c>
      <c r="C2157" s="12" t="s">
        <v>434</v>
      </c>
      <c r="D2157" s="13"/>
      <c r="E2157" s="14"/>
      <c r="F2157" s="15" t="str">
        <f aca="false">IF(D2157="","",ROUND((D2157-MIN($D$7:$D$9999))*86400,2))</f>
        <v/>
      </c>
      <c r="G2157" s="10" t="str">
        <f aca="false">IF(D2157="","",IF(D2157&lt;=($E$3*60+$F$3)/86400,"○",""))</f>
        <v/>
      </c>
      <c r="H2157" s="16" t="n">
        <v>0.00756261574074074</v>
      </c>
      <c r="I2157" s="17" t="n">
        <v>965</v>
      </c>
      <c r="J2157" s="16" t="n">
        <v>0.00294131944444444</v>
      </c>
      <c r="K2157" s="17" t="n">
        <v>1204</v>
      </c>
      <c r="L2157" s="17" t="n">
        <f aca="false">COUNT(E2157,I2157,K2157)</f>
        <v>2</v>
      </c>
      <c r="M2157" s="18" t="n">
        <f aca="false">(D2157&lt;&gt;"")*(D2157&lt;=($E$3*60+$F$3)/86400)+(H2157&lt;&gt;"")*(H2157&lt;=($I$3*60+$J$3)/86400)+(J2157&lt;&gt;"")*(J2157&lt;=($M$3*60+$N$3)/86400)</f>
        <v>0</v>
      </c>
      <c r="N2157" s="20"/>
      <c r="O2157" s="20"/>
      <c r="P2157" s="20"/>
      <c r="Q2157" s="19"/>
    </row>
    <row r="2158" customFormat="false" ht="15" hidden="false" customHeight="false" outlineLevel="0" collapsed="false">
      <c r="A2158" s="10" t="n">
        <v>2152</v>
      </c>
      <c r="B2158" s="12" t="s">
        <v>3336</v>
      </c>
      <c r="C2158" s="12" t="s">
        <v>3337</v>
      </c>
      <c r="D2158" s="13"/>
      <c r="E2158" s="14"/>
      <c r="F2158" s="15" t="str">
        <f aca="false">IF(D2158="","",ROUND((D2158-MIN($D$7:$D$9999))*86400,2))</f>
        <v/>
      </c>
      <c r="G2158" s="10" t="str">
        <f aca="false">IF(D2158="","",IF(D2158&lt;=($E$3*60+$F$3)/86400,"○",""))</f>
        <v/>
      </c>
      <c r="H2158" s="16" t="n">
        <v>0.00756273148148148</v>
      </c>
      <c r="I2158" s="17" t="n">
        <v>966</v>
      </c>
      <c r="J2158" s="16"/>
      <c r="K2158" s="17"/>
      <c r="L2158" s="17" t="n">
        <f aca="false">COUNT(E2158,I2158,K2158)</f>
        <v>1</v>
      </c>
      <c r="M2158" s="18" t="n">
        <f aca="false">(D2158&lt;&gt;"")*(D2158&lt;=($E$3*60+$F$3)/86400)+(H2158&lt;&gt;"")*(H2158&lt;=($I$3*60+$J$3)/86400)+(J2158&lt;&gt;"")*(J2158&lt;=($M$3*60+$N$3)/86400)</f>
        <v>0</v>
      </c>
      <c r="N2158" s="20"/>
      <c r="O2158" s="20"/>
      <c r="P2158" s="20"/>
      <c r="Q2158" s="19"/>
    </row>
    <row r="2159" customFormat="false" ht="15" hidden="false" customHeight="false" outlineLevel="0" collapsed="false">
      <c r="A2159" s="10" t="n">
        <v>2153</v>
      </c>
      <c r="B2159" s="12" t="s">
        <v>3338</v>
      </c>
      <c r="C2159" s="12" t="s">
        <v>1269</v>
      </c>
      <c r="D2159" s="13"/>
      <c r="E2159" s="14"/>
      <c r="F2159" s="15" t="str">
        <f aca="false">IF(D2159="","",ROUND((D2159-MIN($D$7:$D$9999))*86400,2))</f>
        <v/>
      </c>
      <c r="G2159" s="10" t="str">
        <f aca="false">IF(D2159="","",IF(D2159&lt;=($E$3*60+$F$3)/86400,"○",""))</f>
        <v/>
      </c>
      <c r="H2159" s="16"/>
      <c r="I2159" s="17"/>
      <c r="J2159" s="16" t="n">
        <v>0.00290231481481482</v>
      </c>
      <c r="K2159" s="17" t="n">
        <v>966</v>
      </c>
      <c r="L2159" s="17" t="n">
        <f aca="false">COUNT(E2159,I2159,K2159)</f>
        <v>1</v>
      </c>
      <c r="M2159" s="18" t="n">
        <f aca="false">(D2159&lt;&gt;"")*(D2159&lt;=($E$3*60+$F$3)/86400)+(H2159&lt;&gt;"")*(H2159&lt;=($I$3*60+$J$3)/86400)+(J2159&lt;&gt;"")*(J2159&lt;=($M$3*60+$N$3)/86400)</f>
        <v>0</v>
      </c>
      <c r="N2159" s="20"/>
      <c r="O2159" s="20"/>
      <c r="P2159" s="20"/>
      <c r="Q2159" s="19"/>
    </row>
    <row r="2160" customFormat="false" ht="15" hidden="false" customHeight="false" outlineLevel="0" collapsed="false">
      <c r="A2160" s="10" t="n">
        <v>2154</v>
      </c>
      <c r="B2160" s="12" t="s">
        <v>3339</v>
      </c>
      <c r="C2160" s="12" t="s">
        <v>3340</v>
      </c>
      <c r="D2160" s="13"/>
      <c r="E2160" s="14"/>
      <c r="F2160" s="15" t="str">
        <f aca="false">IF(D2160="","",ROUND((D2160-MIN($D$7:$D$9999))*86400,2))</f>
        <v/>
      </c>
      <c r="G2160" s="10" t="str">
        <f aca="false">IF(D2160="","",IF(D2160&lt;=($E$3*60+$F$3)/86400,"○",""))</f>
        <v/>
      </c>
      <c r="H2160" s="16" t="n">
        <v>0.00756342592592593</v>
      </c>
      <c r="I2160" s="17" t="n">
        <v>967</v>
      </c>
      <c r="J2160" s="16"/>
      <c r="K2160" s="17"/>
      <c r="L2160" s="17" t="n">
        <f aca="false">COUNT(E2160,I2160,K2160)</f>
        <v>1</v>
      </c>
      <c r="M2160" s="18" t="n">
        <f aca="false">(D2160&lt;&gt;"")*(D2160&lt;=($E$3*60+$F$3)/86400)+(H2160&lt;&gt;"")*(H2160&lt;=($I$3*60+$J$3)/86400)+(J2160&lt;&gt;"")*(J2160&lt;=($M$3*60+$N$3)/86400)</f>
        <v>0</v>
      </c>
      <c r="N2160" s="20"/>
      <c r="O2160" s="20"/>
      <c r="P2160" s="20"/>
      <c r="Q2160" s="19"/>
    </row>
    <row r="2161" customFormat="false" ht="15" hidden="false" customHeight="false" outlineLevel="0" collapsed="false">
      <c r="A2161" s="10" t="n">
        <v>2155</v>
      </c>
      <c r="B2161" s="12" t="s">
        <v>3341</v>
      </c>
      <c r="C2161" s="12" t="s">
        <v>3342</v>
      </c>
      <c r="D2161" s="13"/>
      <c r="E2161" s="14"/>
      <c r="F2161" s="15" t="str">
        <f aca="false">IF(D2161="","",ROUND((D2161-MIN($D$7:$D$9999))*86400,2))</f>
        <v/>
      </c>
      <c r="G2161" s="10" t="str">
        <f aca="false">IF(D2161="","",IF(D2161&lt;=($E$3*60+$F$3)/86400,"○",""))</f>
        <v/>
      </c>
      <c r="H2161" s="16" t="n">
        <v>0.00756400462962963</v>
      </c>
      <c r="I2161" s="17" t="n">
        <v>968</v>
      </c>
      <c r="J2161" s="16"/>
      <c r="K2161" s="17"/>
      <c r="L2161" s="17" t="n">
        <f aca="false">COUNT(E2161,I2161,K2161)</f>
        <v>1</v>
      </c>
      <c r="M2161" s="18" t="n">
        <f aca="false">(D2161&lt;&gt;"")*(D2161&lt;=($E$3*60+$F$3)/86400)+(H2161&lt;&gt;"")*(H2161&lt;=($I$3*60+$J$3)/86400)+(J2161&lt;&gt;"")*(J2161&lt;=($M$3*60+$N$3)/86400)</f>
        <v>0</v>
      </c>
      <c r="N2161" s="20"/>
      <c r="O2161" s="20"/>
      <c r="P2161" s="20"/>
      <c r="Q2161" s="19"/>
    </row>
    <row r="2162" customFormat="false" ht="15" hidden="false" customHeight="false" outlineLevel="0" collapsed="false">
      <c r="A2162" s="10" t="n">
        <v>2156</v>
      </c>
      <c r="B2162" s="12" t="s">
        <v>3343</v>
      </c>
      <c r="C2162" s="12" t="s">
        <v>3210</v>
      </c>
      <c r="D2162" s="13"/>
      <c r="E2162" s="14"/>
      <c r="F2162" s="15" t="str">
        <f aca="false">IF(D2162="","",ROUND((D2162-MIN($D$7:$D$9999))*86400,2))</f>
        <v/>
      </c>
      <c r="G2162" s="10" t="str">
        <f aca="false">IF(D2162="","",IF(D2162&lt;=($E$3*60+$F$3)/86400,"○",""))</f>
        <v/>
      </c>
      <c r="H2162" s="16"/>
      <c r="I2162" s="17"/>
      <c r="J2162" s="16" t="n">
        <v>0.00290266203703704</v>
      </c>
      <c r="K2162" s="17" t="n">
        <v>968</v>
      </c>
      <c r="L2162" s="17" t="n">
        <f aca="false">COUNT(E2162,I2162,K2162)</f>
        <v>1</v>
      </c>
      <c r="M2162" s="18" t="n">
        <f aca="false">(D2162&lt;&gt;"")*(D2162&lt;=($E$3*60+$F$3)/86400)+(H2162&lt;&gt;"")*(H2162&lt;=($I$3*60+$J$3)/86400)+(J2162&lt;&gt;"")*(J2162&lt;=($M$3*60+$N$3)/86400)</f>
        <v>0</v>
      </c>
      <c r="N2162" s="20"/>
      <c r="O2162" s="20"/>
      <c r="P2162" s="20"/>
      <c r="Q2162" s="19"/>
    </row>
    <row r="2163" customFormat="false" ht="15" hidden="false" customHeight="false" outlineLevel="0" collapsed="false">
      <c r="A2163" s="10" t="n">
        <v>2157</v>
      </c>
      <c r="B2163" s="12" t="s">
        <v>3344</v>
      </c>
      <c r="C2163" s="12" t="s">
        <v>3345</v>
      </c>
      <c r="D2163" s="13"/>
      <c r="E2163" s="14"/>
      <c r="F2163" s="15" t="str">
        <f aca="false">IF(D2163="","",ROUND((D2163-MIN($D$7:$D$9999))*86400,2))</f>
        <v/>
      </c>
      <c r="G2163" s="10" t="str">
        <f aca="false">IF(D2163="","",IF(D2163&lt;=($E$3*60+$F$3)/86400,"○",""))</f>
        <v/>
      </c>
      <c r="H2163" s="16" t="n">
        <v>0.00756423611111111</v>
      </c>
      <c r="I2163" s="17" t="n">
        <v>969</v>
      </c>
      <c r="J2163" s="16"/>
      <c r="K2163" s="17"/>
      <c r="L2163" s="17" t="n">
        <f aca="false">COUNT(E2163,I2163,K2163)</f>
        <v>1</v>
      </c>
      <c r="M2163" s="18" t="n">
        <f aca="false">(D2163&lt;&gt;"")*(D2163&lt;=($E$3*60+$F$3)/86400)+(H2163&lt;&gt;"")*(H2163&lt;=($I$3*60+$J$3)/86400)+(J2163&lt;&gt;"")*(J2163&lt;=($M$3*60+$N$3)/86400)</f>
        <v>0</v>
      </c>
      <c r="N2163" s="20"/>
      <c r="O2163" s="20"/>
      <c r="P2163" s="20"/>
      <c r="Q2163" s="19"/>
    </row>
    <row r="2164" customFormat="false" ht="15" hidden="false" customHeight="false" outlineLevel="0" collapsed="false">
      <c r="A2164" s="10" t="n">
        <v>2158</v>
      </c>
      <c r="B2164" s="12" t="s">
        <v>3346</v>
      </c>
      <c r="C2164" s="12" t="s">
        <v>3347</v>
      </c>
      <c r="D2164" s="13"/>
      <c r="E2164" s="14"/>
      <c r="F2164" s="15" t="str">
        <f aca="false">IF(D2164="","",ROUND((D2164-MIN($D$7:$D$9999))*86400,2))</f>
        <v/>
      </c>
      <c r="G2164" s="10" t="str">
        <f aca="false">IF(D2164="","",IF(D2164&lt;=($E$3*60+$F$3)/86400,"○",""))</f>
        <v/>
      </c>
      <c r="H2164" s="16"/>
      <c r="I2164" s="17"/>
      <c r="J2164" s="16" t="n">
        <v>0.00290277777777778</v>
      </c>
      <c r="K2164" s="17" t="n">
        <v>969</v>
      </c>
      <c r="L2164" s="17" t="n">
        <f aca="false">COUNT(E2164,I2164,K2164)</f>
        <v>1</v>
      </c>
      <c r="M2164" s="18" t="n">
        <f aca="false">(D2164&lt;&gt;"")*(D2164&lt;=($E$3*60+$F$3)/86400)+(H2164&lt;&gt;"")*(H2164&lt;=($I$3*60+$J$3)/86400)+(J2164&lt;&gt;"")*(J2164&lt;=($M$3*60+$N$3)/86400)</f>
        <v>0</v>
      </c>
      <c r="N2164" s="20"/>
      <c r="O2164" s="20"/>
      <c r="P2164" s="20"/>
      <c r="Q2164" s="19"/>
    </row>
    <row r="2165" customFormat="false" ht="15" hidden="false" customHeight="false" outlineLevel="0" collapsed="false">
      <c r="A2165" s="10" t="n">
        <v>2159</v>
      </c>
      <c r="B2165" s="12" t="s">
        <v>3348</v>
      </c>
      <c r="C2165" s="12" t="s">
        <v>3349</v>
      </c>
      <c r="D2165" s="13"/>
      <c r="E2165" s="14"/>
      <c r="F2165" s="15" t="str">
        <f aca="false">IF(D2165="","",ROUND((D2165-MIN($D$7:$D$9999))*86400,2))</f>
        <v/>
      </c>
      <c r="G2165" s="10" t="str">
        <f aca="false">IF(D2165="","",IF(D2165&lt;=($E$3*60+$F$3)/86400,"○",""))</f>
        <v/>
      </c>
      <c r="H2165" s="16" t="n">
        <v>0.00756446759259259</v>
      </c>
      <c r="I2165" s="17" t="n">
        <v>970</v>
      </c>
      <c r="J2165" s="16"/>
      <c r="K2165" s="17"/>
      <c r="L2165" s="17" t="n">
        <f aca="false">COUNT(E2165,I2165,K2165)</f>
        <v>1</v>
      </c>
      <c r="M2165" s="18" t="n">
        <f aca="false">(D2165&lt;&gt;"")*(D2165&lt;=($E$3*60+$F$3)/86400)+(H2165&lt;&gt;"")*(H2165&lt;=($I$3*60+$J$3)/86400)+(J2165&lt;&gt;"")*(J2165&lt;=($M$3*60+$N$3)/86400)</f>
        <v>0</v>
      </c>
      <c r="N2165" s="20"/>
      <c r="O2165" s="20"/>
      <c r="P2165" s="20"/>
      <c r="Q2165" s="19"/>
    </row>
    <row r="2166" customFormat="false" ht="15" hidden="false" customHeight="false" outlineLevel="0" collapsed="false">
      <c r="A2166" s="10" t="n">
        <v>2160</v>
      </c>
      <c r="B2166" s="12" t="s">
        <v>3350</v>
      </c>
      <c r="C2166" s="12" t="s">
        <v>2060</v>
      </c>
      <c r="D2166" s="13"/>
      <c r="E2166" s="14"/>
      <c r="F2166" s="15" t="str">
        <f aca="false">IF(D2166="","",ROUND((D2166-MIN($D$7:$D$9999))*86400,2))</f>
        <v/>
      </c>
      <c r="G2166" s="10" t="str">
        <f aca="false">IF(D2166="","",IF(D2166&lt;=($E$3*60+$F$3)/86400,"○",""))</f>
        <v/>
      </c>
      <c r="H2166" s="16"/>
      <c r="I2166" s="17"/>
      <c r="J2166" s="16" t="n">
        <v>0.00290289351851852</v>
      </c>
      <c r="K2166" s="17" t="n">
        <v>971</v>
      </c>
      <c r="L2166" s="17" t="n">
        <f aca="false">COUNT(E2166,I2166,K2166)</f>
        <v>1</v>
      </c>
      <c r="M2166" s="18" t="n">
        <f aca="false">(D2166&lt;&gt;"")*(D2166&lt;=($E$3*60+$F$3)/86400)+(H2166&lt;&gt;"")*(H2166&lt;=($I$3*60+$J$3)/86400)+(J2166&lt;&gt;"")*(J2166&lt;=($M$3*60+$N$3)/86400)</f>
        <v>0</v>
      </c>
      <c r="N2166" s="20"/>
      <c r="O2166" s="20"/>
      <c r="P2166" s="20"/>
      <c r="Q2166" s="19"/>
    </row>
    <row r="2167" customFormat="false" ht="15" hidden="false" customHeight="false" outlineLevel="0" collapsed="false">
      <c r="A2167" s="10" t="n">
        <v>2161</v>
      </c>
      <c r="B2167" s="12" t="s">
        <v>3351</v>
      </c>
      <c r="C2167" s="12" t="s">
        <v>2119</v>
      </c>
      <c r="D2167" s="13"/>
      <c r="E2167" s="14"/>
      <c r="F2167" s="15" t="str">
        <f aca="false">IF(D2167="","",ROUND((D2167-MIN($D$7:$D$9999))*86400,2))</f>
        <v/>
      </c>
      <c r="G2167" s="10" t="str">
        <f aca="false">IF(D2167="","",IF(D2167&lt;=($E$3*60+$F$3)/86400,"○",""))</f>
        <v/>
      </c>
      <c r="H2167" s="16" t="n">
        <v>0.00756678240740741</v>
      </c>
      <c r="I2167" s="17" t="n">
        <v>972</v>
      </c>
      <c r="J2167" s="16"/>
      <c r="K2167" s="17"/>
      <c r="L2167" s="17" t="n">
        <f aca="false">COUNT(E2167,I2167,K2167)</f>
        <v>1</v>
      </c>
      <c r="M2167" s="18" t="n">
        <f aca="false">(D2167&lt;&gt;"")*(D2167&lt;=($E$3*60+$F$3)/86400)+(H2167&lt;&gt;"")*(H2167&lt;=($I$3*60+$J$3)/86400)+(J2167&lt;&gt;"")*(J2167&lt;=($M$3*60+$N$3)/86400)</f>
        <v>0</v>
      </c>
      <c r="N2167" s="20"/>
      <c r="O2167" s="20"/>
      <c r="P2167" s="20"/>
      <c r="Q2167" s="19"/>
    </row>
    <row r="2168" customFormat="false" ht="15" hidden="false" customHeight="false" outlineLevel="0" collapsed="false">
      <c r="A2168" s="10" t="n">
        <v>2162</v>
      </c>
      <c r="B2168" s="12" t="s">
        <v>3352</v>
      </c>
      <c r="C2168" s="12" t="s">
        <v>599</v>
      </c>
      <c r="D2168" s="13"/>
      <c r="E2168" s="14"/>
      <c r="F2168" s="15" t="str">
        <f aca="false">IF(D2168="","",ROUND((D2168-MIN($D$7:$D$9999))*86400,2))</f>
        <v/>
      </c>
      <c r="G2168" s="10" t="str">
        <f aca="false">IF(D2168="","",IF(D2168&lt;=($E$3*60+$F$3)/86400,"○",""))</f>
        <v/>
      </c>
      <c r="H2168" s="16"/>
      <c r="I2168" s="17"/>
      <c r="J2168" s="16" t="n">
        <v>0.00290324074074074</v>
      </c>
      <c r="K2168" s="17" t="n">
        <v>972</v>
      </c>
      <c r="L2168" s="17" t="n">
        <f aca="false">COUNT(E2168,I2168,K2168)</f>
        <v>1</v>
      </c>
      <c r="M2168" s="18" t="n">
        <f aca="false">(D2168&lt;&gt;"")*(D2168&lt;=($E$3*60+$F$3)/86400)+(H2168&lt;&gt;"")*(H2168&lt;=($I$3*60+$J$3)/86400)+(J2168&lt;&gt;"")*(J2168&lt;=($M$3*60+$N$3)/86400)</f>
        <v>0</v>
      </c>
      <c r="N2168" s="20"/>
      <c r="O2168" s="20"/>
      <c r="P2168" s="20"/>
      <c r="Q2168" s="19"/>
    </row>
    <row r="2169" customFormat="false" ht="15" hidden="false" customHeight="false" outlineLevel="0" collapsed="false">
      <c r="A2169" s="10" t="n">
        <v>2163</v>
      </c>
      <c r="B2169" s="12" t="s">
        <v>3353</v>
      </c>
      <c r="C2169" s="12" t="s">
        <v>1950</v>
      </c>
      <c r="D2169" s="13"/>
      <c r="E2169" s="14"/>
      <c r="F2169" s="15" t="str">
        <f aca="false">IF(D2169="","",ROUND((D2169-MIN($D$7:$D$9999))*86400,2))</f>
        <v/>
      </c>
      <c r="G2169" s="10" t="str">
        <f aca="false">IF(D2169="","",IF(D2169&lt;=($E$3*60+$F$3)/86400,"○",""))</f>
        <v/>
      </c>
      <c r="H2169" s="16" t="n">
        <v>0.00757106481481481</v>
      </c>
      <c r="I2169" s="17" t="n">
        <v>973</v>
      </c>
      <c r="J2169" s="16"/>
      <c r="K2169" s="17"/>
      <c r="L2169" s="17" t="n">
        <f aca="false">COUNT(E2169,I2169,K2169)</f>
        <v>1</v>
      </c>
      <c r="M2169" s="18" t="n">
        <f aca="false">(D2169&lt;&gt;"")*(D2169&lt;=($E$3*60+$F$3)/86400)+(H2169&lt;&gt;"")*(H2169&lt;=($I$3*60+$J$3)/86400)+(J2169&lt;&gt;"")*(J2169&lt;=($M$3*60+$N$3)/86400)</f>
        <v>0</v>
      </c>
      <c r="N2169" s="20"/>
      <c r="O2169" s="20"/>
      <c r="P2169" s="20"/>
      <c r="Q2169" s="19"/>
    </row>
    <row r="2170" customFormat="false" ht="15" hidden="false" customHeight="false" outlineLevel="0" collapsed="false">
      <c r="A2170" s="10" t="n">
        <v>2164</v>
      </c>
      <c r="B2170" s="12" t="s">
        <v>3354</v>
      </c>
      <c r="C2170" s="12" t="s">
        <v>573</v>
      </c>
      <c r="D2170" s="13"/>
      <c r="E2170" s="14"/>
      <c r="F2170" s="15" t="str">
        <f aca="false">IF(D2170="","",ROUND((D2170-MIN($D$7:$D$9999))*86400,2))</f>
        <v/>
      </c>
      <c r="G2170" s="10" t="str">
        <f aca="false">IF(D2170="","",IF(D2170&lt;=($E$3*60+$F$3)/86400,"○",""))</f>
        <v/>
      </c>
      <c r="H2170" s="16"/>
      <c r="I2170" s="17"/>
      <c r="J2170" s="16" t="n">
        <v>0.00290324074074074</v>
      </c>
      <c r="K2170" s="17" t="n">
        <v>973</v>
      </c>
      <c r="L2170" s="17" t="n">
        <f aca="false">COUNT(E2170,I2170,K2170)</f>
        <v>1</v>
      </c>
      <c r="M2170" s="18" t="n">
        <f aca="false">(D2170&lt;&gt;"")*(D2170&lt;=($E$3*60+$F$3)/86400)+(H2170&lt;&gt;"")*(H2170&lt;=($I$3*60+$J$3)/86400)+(J2170&lt;&gt;"")*(J2170&lt;=($M$3*60+$N$3)/86400)</f>
        <v>0</v>
      </c>
      <c r="N2170" s="20"/>
      <c r="O2170" s="20"/>
      <c r="P2170" s="20"/>
      <c r="Q2170" s="19"/>
    </row>
    <row r="2171" customFormat="false" ht="15" hidden="false" customHeight="false" outlineLevel="0" collapsed="false">
      <c r="A2171" s="10" t="n">
        <v>2165</v>
      </c>
      <c r="B2171" s="12" t="s">
        <v>3355</v>
      </c>
      <c r="C2171" s="12" t="s">
        <v>1127</v>
      </c>
      <c r="D2171" s="13"/>
      <c r="E2171" s="14"/>
      <c r="F2171" s="15" t="str">
        <f aca="false">IF(D2171="","",ROUND((D2171-MIN($D$7:$D$9999))*86400,2))</f>
        <v/>
      </c>
      <c r="G2171" s="10" t="str">
        <f aca="false">IF(D2171="","",IF(D2171&lt;=($E$3*60+$F$3)/86400,"○",""))</f>
        <v/>
      </c>
      <c r="H2171" s="16" t="n">
        <v>0.00757141203703704</v>
      </c>
      <c r="I2171" s="17" t="n">
        <v>974</v>
      </c>
      <c r="J2171" s="16"/>
      <c r="K2171" s="17"/>
      <c r="L2171" s="17" t="n">
        <f aca="false">COUNT(E2171,I2171,K2171)</f>
        <v>1</v>
      </c>
      <c r="M2171" s="18" t="n">
        <f aca="false">(D2171&lt;&gt;"")*(D2171&lt;=($E$3*60+$F$3)/86400)+(H2171&lt;&gt;"")*(H2171&lt;=($I$3*60+$J$3)/86400)+(J2171&lt;&gt;"")*(J2171&lt;=($M$3*60+$N$3)/86400)</f>
        <v>0</v>
      </c>
      <c r="N2171" s="20"/>
      <c r="O2171" s="20"/>
      <c r="P2171" s="20"/>
      <c r="Q2171" s="19"/>
    </row>
    <row r="2172" customFormat="false" ht="15" hidden="false" customHeight="false" outlineLevel="0" collapsed="false">
      <c r="A2172" s="10" t="n">
        <v>2166</v>
      </c>
      <c r="B2172" s="12" t="s">
        <v>3356</v>
      </c>
      <c r="C2172" s="12" t="s">
        <v>864</v>
      </c>
      <c r="D2172" s="13"/>
      <c r="E2172" s="14"/>
      <c r="F2172" s="15" t="str">
        <f aca="false">IF(D2172="","",ROUND((D2172-MIN($D$7:$D$9999))*86400,2))</f>
        <v/>
      </c>
      <c r="G2172" s="10" t="str">
        <f aca="false">IF(D2172="","",IF(D2172&lt;=($E$3*60+$F$3)/86400,"○",""))</f>
        <v/>
      </c>
      <c r="H2172" s="16"/>
      <c r="I2172" s="17"/>
      <c r="J2172" s="16" t="n">
        <v>0.00290335648148148</v>
      </c>
      <c r="K2172" s="17" t="n">
        <v>974</v>
      </c>
      <c r="L2172" s="17" t="n">
        <f aca="false">COUNT(E2172,I2172,K2172)</f>
        <v>1</v>
      </c>
      <c r="M2172" s="18" t="n">
        <f aca="false">(D2172&lt;&gt;"")*(D2172&lt;=($E$3*60+$F$3)/86400)+(H2172&lt;&gt;"")*(H2172&lt;=($I$3*60+$J$3)/86400)+(J2172&lt;&gt;"")*(J2172&lt;=($M$3*60+$N$3)/86400)</f>
        <v>0</v>
      </c>
      <c r="N2172" s="20"/>
      <c r="O2172" s="20" t="s">
        <v>3357</v>
      </c>
      <c r="P2172" s="20"/>
      <c r="Q2172" s="19"/>
    </row>
    <row r="2173" customFormat="false" ht="15" hidden="false" customHeight="false" outlineLevel="0" collapsed="false">
      <c r="A2173" s="10" t="n">
        <v>2167</v>
      </c>
      <c r="B2173" s="12" t="s">
        <v>3358</v>
      </c>
      <c r="C2173" s="12" t="s">
        <v>1184</v>
      </c>
      <c r="D2173" s="13"/>
      <c r="E2173" s="14"/>
      <c r="F2173" s="15" t="str">
        <f aca="false">IF(D2173="","",ROUND((D2173-MIN($D$7:$D$9999))*86400,2))</f>
        <v/>
      </c>
      <c r="G2173" s="10" t="str">
        <f aca="false">IF(D2173="","",IF(D2173&lt;=($E$3*60+$F$3)/86400,"○",""))</f>
        <v/>
      </c>
      <c r="H2173" s="16" t="n">
        <v>0.00757326388888889</v>
      </c>
      <c r="I2173" s="17" t="n">
        <v>975</v>
      </c>
      <c r="J2173" s="16"/>
      <c r="K2173" s="17"/>
      <c r="L2173" s="17" t="n">
        <f aca="false">COUNT(E2173,I2173,K2173)</f>
        <v>1</v>
      </c>
      <c r="M2173" s="18" t="n">
        <f aca="false">(D2173&lt;&gt;"")*(D2173&lt;=($E$3*60+$F$3)/86400)+(H2173&lt;&gt;"")*(H2173&lt;=($I$3*60+$J$3)/86400)+(J2173&lt;&gt;"")*(J2173&lt;=($M$3*60+$N$3)/86400)</f>
        <v>0</v>
      </c>
      <c r="N2173" s="20"/>
      <c r="O2173" s="20"/>
      <c r="P2173" s="20"/>
      <c r="Q2173" s="19"/>
    </row>
    <row r="2174" customFormat="false" ht="15" hidden="false" customHeight="false" outlineLevel="0" collapsed="false">
      <c r="A2174" s="10" t="n">
        <v>2168</v>
      </c>
      <c r="B2174" s="12" t="s">
        <v>3359</v>
      </c>
      <c r="C2174" s="12" t="s">
        <v>440</v>
      </c>
      <c r="D2174" s="13"/>
      <c r="E2174" s="14"/>
      <c r="F2174" s="15" t="str">
        <f aca="false">IF(D2174="","",ROUND((D2174-MIN($D$7:$D$9999))*86400,2))</f>
        <v/>
      </c>
      <c r="G2174" s="10" t="str">
        <f aca="false">IF(D2174="","",IF(D2174&lt;=($E$3*60+$F$3)/86400,"○",""))</f>
        <v/>
      </c>
      <c r="H2174" s="16" t="n">
        <v>0.00757337962962963</v>
      </c>
      <c r="I2174" s="17" t="n">
        <v>976</v>
      </c>
      <c r="J2174" s="16"/>
      <c r="K2174" s="17"/>
      <c r="L2174" s="17" t="n">
        <f aca="false">COUNT(E2174,I2174,K2174)</f>
        <v>1</v>
      </c>
      <c r="M2174" s="18" t="n">
        <f aca="false">(D2174&lt;&gt;"")*(D2174&lt;=($E$3*60+$F$3)/86400)+(H2174&lt;&gt;"")*(H2174&lt;=($I$3*60+$J$3)/86400)+(J2174&lt;&gt;"")*(J2174&lt;=($M$3*60+$N$3)/86400)</f>
        <v>0</v>
      </c>
      <c r="N2174" s="20"/>
      <c r="O2174" s="20"/>
      <c r="P2174" s="20"/>
      <c r="Q2174" s="19"/>
    </row>
    <row r="2175" customFormat="false" ht="15" hidden="false" customHeight="false" outlineLevel="0" collapsed="false">
      <c r="A2175" s="10" t="n">
        <v>2169</v>
      </c>
      <c r="B2175" s="12" t="s">
        <v>3360</v>
      </c>
      <c r="C2175" s="12" t="s">
        <v>199</v>
      </c>
      <c r="D2175" s="13"/>
      <c r="E2175" s="14"/>
      <c r="F2175" s="15" t="str">
        <f aca="false">IF(D2175="","",ROUND((D2175-MIN($D$7:$D$9999))*86400,2))</f>
        <v/>
      </c>
      <c r="G2175" s="10" t="str">
        <f aca="false">IF(D2175="","",IF(D2175&lt;=($E$3*60+$F$3)/86400,"○",""))</f>
        <v/>
      </c>
      <c r="H2175" s="16" t="n">
        <v>0.00757511574074074</v>
      </c>
      <c r="I2175" s="17" t="n">
        <v>977</v>
      </c>
      <c r="J2175" s="16"/>
      <c r="K2175" s="17"/>
      <c r="L2175" s="17" t="n">
        <f aca="false">COUNT(E2175,I2175,K2175)</f>
        <v>1</v>
      </c>
      <c r="M2175" s="18" t="n">
        <f aca="false">(D2175&lt;&gt;"")*(D2175&lt;=($E$3*60+$F$3)/86400)+(H2175&lt;&gt;"")*(H2175&lt;=($I$3*60+$J$3)/86400)+(J2175&lt;&gt;"")*(J2175&lt;=($M$3*60+$N$3)/86400)</f>
        <v>0</v>
      </c>
      <c r="N2175" s="20"/>
      <c r="O2175" s="20"/>
      <c r="P2175" s="20"/>
      <c r="Q2175" s="19"/>
    </row>
    <row r="2176" customFormat="false" ht="15" hidden="false" customHeight="false" outlineLevel="0" collapsed="false">
      <c r="A2176" s="10" t="n">
        <v>2170</v>
      </c>
      <c r="B2176" s="12" t="s">
        <v>3361</v>
      </c>
      <c r="C2176" s="12" t="s">
        <v>3362</v>
      </c>
      <c r="D2176" s="13"/>
      <c r="E2176" s="14"/>
      <c r="F2176" s="15" t="str">
        <f aca="false">IF(D2176="","",ROUND((D2176-MIN($D$7:$D$9999))*86400,2))</f>
        <v/>
      </c>
      <c r="G2176" s="10" t="str">
        <f aca="false">IF(D2176="","",IF(D2176&lt;=($E$3*60+$F$3)/86400,"○",""))</f>
        <v/>
      </c>
      <c r="H2176" s="16"/>
      <c r="I2176" s="17"/>
      <c r="J2176" s="16" t="n">
        <v>0.00290393518518519</v>
      </c>
      <c r="K2176" s="17" t="n">
        <v>977</v>
      </c>
      <c r="L2176" s="17" t="n">
        <f aca="false">COUNT(E2176,I2176,K2176)</f>
        <v>1</v>
      </c>
      <c r="M2176" s="18" t="n">
        <f aca="false">(D2176&lt;&gt;"")*(D2176&lt;=($E$3*60+$F$3)/86400)+(H2176&lt;&gt;"")*(H2176&lt;=($I$3*60+$J$3)/86400)+(J2176&lt;&gt;"")*(J2176&lt;=($M$3*60+$N$3)/86400)</f>
        <v>0</v>
      </c>
      <c r="N2176" s="20"/>
      <c r="O2176" s="20"/>
      <c r="P2176" s="20"/>
      <c r="Q2176" s="19"/>
    </row>
    <row r="2177" customFormat="false" ht="15" hidden="false" customHeight="false" outlineLevel="0" collapsed="false">
      <c r="A2177" s="10" t="n">
        <v>2171</v>
      </c>
      <c r="B2177" s="12" t="s">
        <v>3363</v>
      </c>
      <c r="C2177" s="12" t="s">
        <v>1049</v>
      </c>
      <c r="D2177" s="13"/>
      <c r="E2177" s="14"/>
      <c r="F2177" s="15" t="str">
        <f aca="false">IF(D2177="","",ROUND((D2177-MIN($D$7:$D$9999))*86400,2))</f>
        <v/>
      </c>
      <c r="G2177" s="10" t="str">
        <f aca="false">IF(D2177="","",IF(D2177&lt;=($E$3*60+$F$3)/86400,"○",""))</f>
        <v/>
      </c>
      <c r="H2177" s="16" t="n">
        <v>0.00757627314814815</v>
      </c>
      <c r="I2177" s="17" t="n">
        <v>978</v>
      </c>
      <c r="J2177" s="16" t="n">
        <v>0.00295902777777778</v>
      </c>
      <c r="K2177" s="17" t="n">
        <v>1264</v>
      </c>
      <c r="L2177" s="17" t="n">
        <f aca="false">COUNT(E2177,I2177,K2177)</f>
        <v>2</v>
      </c>
      <c r="M2177" s="18" t="n">
        <f aca="false">(D2177&lt;&gt;"")*(D2177&lt;=($E$3*60+$F$3)/86400)+(H2177&lt;&gt;"")*(H2177&lt;=($I$3*60+$J$3)/86400)+(J2177&lt;&gt;"")*(J2177&lt;=($M$3*60+$N$3)/86400)</f>
        <v>0</v>
      </c>
      <c r="N2177" s="20"/>
      <c r="O2177" s="20"/>
      <c r="P2177" s="20"/>
      <c r="Q2177" s="19"/>
    </row>
    <row r="2178" customFormat="false" ht="15" hidden="false" customHeight="false" outlineLevel="0" collapsed="false">
      <c r="A2178" s="10" t="n">
        <v>2172</v>
      </c>
      <c r="B2178" s="12" t="s">
        <v>3364</v>
      </c>
      <c r="C2178" s="12" t="s">
        <v>301</v>
      </c>
      <c r="D2178" s="13"/>
      <c r="E2178" s="14"/>
      <c r="F2178" s="15" t="str">
        <f aca="false">IF(D2178="","",ROUND((D2178-MIN($D$7:$D$9999))*86400,2))</f>
        <v/>
      </c>
      <c r="G2178" s="10" t="str">
        <f aca="false">IF(D2178="","",IF(D2178&lt;=($E$3*60+$F$3)/86400,"○",""))</f>
        <v/>
      </c>
      <c r="H2178" s="16"/>
      <c r="I2178" s="17"/>
      <c r="J2178" s="16" t="n">
        <v>0.00290405092592593</v>
      </c>
      <c r="K2178" s="17" t="n">
        <v>978</v>
      </c>
      <c r="L2178" s="17" t="n">
        <f aca="false">COUNT(E2178,I2178,K2178)</f>
        <v>1</v>
      </c>
      <c r="M2178" s="18" t="n">
        <f aca="false">(D2178&lt;&gt;"")*(D2178&lt;=($E$3*60+$F$3)/86400)+(H2178&lt;&gt;"")*(H2178&lt;=($I$3*60+$J$3)/86400)+(J2178&lt;&gt;"")*(J2178&lt;=($M$3*60+$N$3)/86400)</f>
        <v>0</v>
      </c>
      <c r="N2178" s="20"/>
      <c r="O2178" s="20"/>
      <c r="P2178" s="20"/>
      <c r="Q2178" s="19"/>
    </row>
    <row r="2179" customFormat="false" ht="15" hidden="false" customHeight="false" outlineLevel="0" collapsed="false">
      <c r="A2179" s="10" t="n">
        <v>2173</v>
      </c>
      <c r="B2179" s="12" t="s">
        <v>3365</v>
      </c>
      <c r="C2179" s="12" t="s">
        <v>3366</v>
      </c>
      <c r="D2179" s="13"/>
      <c r="E2179" s="14"/>
      <c r="F2179" s="15" t="str">
        <f aca="false">IF(D2179="","",ROUND((D2179-MIN($D$7:$D$9999))*86400,2))</f>
        <v/>
      </c>
      <c r="G2179" s="10" t="str">
        <f aca="false">IF(D2179="","",IF(D2179&lt;=($E$3*60+$F$3)/86400,"○",""))</f>
        <v/>
      </c>
      <c r="H2179" s="16" t="n">
        <v>0.00757916666666667</v>
      </c>
      <c r="I2179" s="17" t="n">
        <v>979</v>
      </c>
      <c r="J2179" s="16"/>
      <c r="K2179" s="17"/>
      <c r="L2179" s="17" t="n">
        <f aca="false">COUNT(E2179,I2179,K2179)</f>
        <v>1</v>
      </c>
      <c r="M2179" s="18" t="n">
        <f aca="false">(D2179&lt;&gt;"")*(D2179&lt;=($E$3*60+$F$3)/86400)+(H2179&lt;&gt;"")*(H2179&lt;=($I$3*60+$J$3)/86400)+(J2179&lt;&gt;"")*(J2179&lt;=($M$3*60+$N$3)/86400)</f>
        <v>0</v>
      </c>
      <c r="N2179" s="20"/>
      <c r="O2179" s="20"/>
      <c r="P2179" s="20"/>
      <c r="Q2179" s="19"/>
    </row>
    <row r="2180" customFormat="false" ht="15" hidden="false" customHeight="false" outlineLevel="0" collapsed="false">
      <c r="A2180" s="10" t="n">
        <v>2174</v>
      </c>
      <c r="B2180" s="12" t="s">
        <v>3367</v>
      </c>
      <c r="C2180" s="12" t="s">
        <v>3104</v>
      </c>
      <c r="D2180" s="13"/>
      <c r="E2180" s="14"/>
      <c r="F2180" s="15" t="str">
        <f aca="false">IF(D2180="","",ROUND((D2180-MIN($D$7:$D$9999))*86400,2))</f>
        <v/>
      </c>
      <c r="G2180" s="10" t="str">
        <f aca="false">IF(D2180="","",IF(D2180&lt;=($E$3*60+$F$3)/86400,"○",""))</f>
        <v/>
      </c>
      <c r="H2180" s="16"/>
      <c r="I2180" s="17"/>
      <c r="J2180" s="16" t="n">
        <v>0.00290405092592593</v>
      </c>
      <c r="K2180" s="17" t="n">
        <v>979</v>
      </c>
      <c r="L2180" s="17" t="n">
        <f aca="false">COUNT(E2180,I2180,K2180)</f>
        <v>1</v>
      </c>
      <c r="M2180" s="18" t="n">
        <f aca="false">(D2180&lt;&gt;"")*(D2180&lt;=($E$3*60+$F$3)/86400)+(H2180&lt;&gt;"")*(H2180&lt;=($I$3*60+$J$3)/86400)+(J2180&lt;&gt;"")*(J2180&lt;=($M$3*60+$N$3)/86400)</f>
        <v>0</v>
      </c>
      <c r="N2180" s="20"/>
      <c r="O2180" s="20"/>
      <c r="P2180" s="20"/>
      <c r="Q2180" s="19"/>
    </row>
    <row r="2181" customFormat="false" ht="15" hidden="false" customHeight="false" outlineLevel="0" collapsed="false">
      <c r="A2181" s="10" t="n">
        <v>2175</v>
      </c>
      <c r="B2181" s="12" t="s">
        <v>3368</v>
      </c>
      <c r="C2181" s="12" t="s">
        <v>1707</v>
      </c>
      <c r="D2181" s="13"/>
      <c r="E2181" s="14"/>
      <c r="F2181" s="15" t="str">
        <f aca="false">IF(D2181="","",ROUND((D2181-MIN($D$7:$D$9999))*86400,2))</f>
        <v/>
      </c>
      <c r="G2181" s="10" t="str">
        <f aca="false">IF(D2181="","",IF(D2181&lt;=($E$3*60+$F$3)/86400,"○",""))</f>
        <v/>
      </c>
      <c r="H2181" s="16" t="n">
        <v>0.00757939814814815</v>
      </c>
      <c r="I2181" s="17" t="n">
        <v>980</v>
      </c>
      <c r="J2181" s="16"/>
      <c r="K2181" s="17"/>
      <c r="L2181" s="17" t="n">
        <f aca="false">COUNT(E2181,I2181,K2181)</f>
        <v>1</v>
      </c>
      <c r="M2181" s="18" t="n">
        <f aca="false">(D2181&lt;&gt;"")*(D2181&lt;=($E$3*60+$F$3)/86400)+(H2181&lt;&gt;"")*(H2181&lt;=($I$3*60+$J$3)/86400)+(J2181&lt;&gt;"")*(J2181&lt;=($M$3*60+$N$3)/86400)</f>
        <v>0</v>
      </c>
      <c r="N2181" s="20"/>
      <c r="O2181" s="20"/>
      <c r="P2181" s="20"/>
      <c r="Q2181" s="19"/>
    </row>
    <row r="2182" customFormat="false" ht="15" hidden="false" customHeight="false" outlineLevel="0" collapsed="false">
      <c r="A2182" s="10" t="n">
        <v>2176</v>
      </c>
      <c r="B2182" s="12" t="s">
        <v>3369</v>
      </c>
      <c r="C2182" s="12" t="s">
        <v>3104</v>
      </c>
      <c r="D2182" s="13"/>
      <c r="E2182" s="14"/>
      <c r="F2182" s="15" t="str">
        <f aca="false">IF(D2182="","",ROUND((D2182-MIN($D$7:$D$9999))*86400,2))</f>
        <v/>
      </c>
      <c r="G2182" s="10" t="str">
        <f aca="false">IF(D2182="","",IF(D2182&lt;=($E$3*60+$F$3)/86400,"○",""))</f>
        <v/>
      </c>
      <c r="H2182" s="16" t="n">
        <v>0.00757997685185185</v>
      </c>
      <c r="I2182" s="17" t="n">
        <v>982</v>
      </c>
      <c r="J2182" s="16"/>
      <c r="K2182" s="17"/>
      <c r="L2182" s="17" t="n">
        <f aca="false">COUNT(E2182,I2182,K2182)</f>
        <v>1</v>
      </c>
      <c r="M2182" s="18" t="n">
        <f aca="false">(D2182&lt;&gt;"")*(D2182&lt;=($E$3*60+$F$3)/86400)+(H2182&lt;&gt;"")*(H2182&lt;=($I$3*60+$J$3)/86400)+(J2182&lt;&gt;"")*(J2182&lt;=($M$3*60+$N$3)/86400)</f>
        <v>0</v>
      </c>
      <c r="N2182" s="20"/>
      <c r="O2182" s="20"/>
      <c r="P2182" s="20"/>
      <c r="Q2182" s="19"/>
    </row>
    <row r="2183" customFormat="false" ht="15" hidden="false" customHeight="false" outlineLevel="0" collapsed="false">
      <c r="A2183" s="10" t="n">
        <v>2177</v>
      </c>
      <c r="B2183" s="12" t="s">
        <v>3370</v>
      </c>
      <c r="C2183" s="12" t="s">
        <v>2667</v>
      </c>
      <c r="D2183" s="13"/>
      <c r="E2183" s="14"/>
      <c r="F2183" s="15" t="str">
        <f aca="false">IF(D2183="","",ROUND((D2183-MIN($D$7:$D$9999))*86400,2))</f>
        <v/>
      </c>
      <c r="G2183" s="10" t="str">
        <f aca="false">IF(D2183="","",IF(D2183&lt;=($E$3*60+$F$3)/86400,"○",""))</f>
        <v/>
      </c>
      <c r="H2183" s="16" t="n">
        <v>0.00758136574074074</v>
      </c>
      <c r="I2183" s="17" t="n">
        <v>983</v>
      </c>
      <c r="J2183" s="16"/>
      <c r="K2183" s="17"/>
      <c r="L2183" s="17" t="n">
        <f aca="false">COUNT(E2183,I2183,K2183)</f>
        <v>1</v>
      </c>
      <c r="M2183" s="18" t="n">
        <f aca="false">(D2183&lt;&gt;"")*(D2183&lt;=($E$3*60+$F$3)/86400)+(H2183&lt;&gt;"")*(H2183&lt;=($I$3*60+$J$3)/86400)+(J2183&lt;&gt;"")*(J2183&lt;=($M$3*60+$N$3)/86400)</f>
        <v>0</v>
      </c>
      <c r="N2183" s="20"/>
      <c r="O2183" s="20"/>
      <c r="P2183" s="20"/>
      <c r="Q2183" s="19"/>
    </row>
    <row r="2184" customFormat="false" ht="15" hidden="false" customHeight="false" outlineLevel="0" collapsed="false">
      <c r="A2184" s="10" t="n">
        <v>2178</v>
      </c>
      <c r="B2184" s="12" t="s">
        <v>3371</v>
      </c>
      <c r="C2184" s="12" t="s">
        <v>3372</v>
      </c>
      <c r="D2184" s="13"/>
      <c r="E2184" s="14"/>
      <c r="F2184" s="15" t="str">
        <f aca="false">IF(D2184="","",ROUND((D2184-MIN($D$7:$D$9999))*86400,2))</f>
        <v/>
      </c>
      <c r="G2184" s="10" t="str">
        <f aca="false">IF(D2184="","",IF(D2184&lt;=($E$3*60+$F$3)/86400,"○",""))</f>
        <v/>
      </c>
      <c r="H2184" s="16" t="n">
        <v>0.00758541666666667</v>
      </c>
      <c r="I2184" s="17" t="n">
        <v>984</v>
      </c>
      <c r="J2184" s="16"/>
      <c r="K2184" s="17"/>
      <c r="L2184" s="17" t="n">
        <f aca="false">COUNT(E2184,I2184,K2184)</f>
        <v>1</v>
      </c>
      <c r="M2184" s="18" t="n">
        <f aca="false">(D2184&lt;&gt;"")*(D2184&lt;=($E$3*60+$F$3)/86400)+(H2184&lt;&gt;"")*(H2184&lt;=($I$3*60+$J$3)/86400)+(J2184&lt;&gt;"")*(J2184&lt;=($M$3*60+$N$3)/86400)</f>
        <v>0</v>
      </c>
      <c r="N2184" s="20"/>
      <c r="O2184" s="20"/>
      <c r="P2184" s="20"/>
      <c r="Q2184" s="19"/>
    </row>
    <row r="2185" customFormat="false" ht="15" hidden="false" customHeight="false" outlineLevel="0" collapsed="false">
      <c r="A2185" s="10" t="n">
        <v>2179</v>
      </c>
      <c r="B2185" s="12" t="s">
        <v>3373</v>
      </c>
      <c r="C2185" s="12" t="s">
        <v>2546</v>
      </c>
      <c r="D2185" s="13"/>
      <c r="E2185" s="14"/>
      <c r="F2185" s="15" t="str">
        <f aca="false">IF(D2185="","",ROUND((D2185-MIN($D$7:$D$9999))*86400,2))</f>
        <v/>
      </c>
      <c r="G2185" s="10" t="str">
        <f aca="false">IF(D2185="","",IF(D2185&lt;=($E$3*60+$F$3)/86400,"○",""))</f>
        <v/>
      </c>
      <c r="H2185" s="16" t="n">
        <v>0.00758645833333333</v>
      </c>
      <c r="I2185" s="17" t="n">
        <v>985</v>
      </c>
      <c r="J2185" s="16"/>
      <c r="K2185" s="17"/>
      <c r="L2185" s="17" t="n">
        <f aca="false">COUNT(E2185,I2185,K2185)</f>
        <v>1</v>
      </c>
      <c r="M2185" s="18" t="n">
        <f aca="false">(D2185&lt;&gt;"")*(D2185&lt;=($E$3*60+$F$3)/86400)+(H2185&lt;&gt;"")*(H2185&lt;=($I$3*60+$J$3)/86400)+(J2185&lt;&gt;"")*(J2185&lt;=($M$3*60+$N$3)/86400)</f>
        <v>0</v>
      </c>
      <c r="N2185" s="20"/>
      <c r="O2185" s="20"/>
      <c r="P2185" s="20"/>
      <c r="Q2185" s="19"/>
    </row>
    <row r="2186" customFormat="false" ht="15" hidden="false" customHeight="false" outlineLevel="0" collapsed="false">
      <c r="A2186" s="10" t="n">
        <v>2180</v>
      </c>
      <c r="B2186" s="12" t="s">
        <v>3374</v>
      </c>
      <c r="C2186" s="12" t="s">
        <v>707</v>
      </c>
      <c r="D2186" s="13"/>
      <c r="E2186" s="14"/>
      <c r="F2186" s="15" t="str">
        <f aca="false">IF(D2186="","",ROUND((D2186-MIN($D$7:$D$9999))*86400,2))</f>
        <v/>
      </c>
      <c r="G2186" s="10" t="str">
        <f aca="false">IF(D2186="","",IF(D2186&lt;=($E$3*60+$F$3)/86400,"○",""))</f>
        <v/>
      </c>
      <c r="H2186" s="16" t="n">
        <v>0.00758900462962963</v>
      </c>
      <c r="I2186" s="17" t="n">
        <v>986</v>
      </c>
      <c r="J2186" s="16"/>
      <c r="K2186" s="17"/>
      <c r="L2186" s="17" t="n">
        <f aca="false">COUNT(E2186,I2186,K2186)</f>
        <v>1</v>
      </c>
      <c r="M2186" s="18" t="n">
        <f aca="false">(D2186&lt;&gt;"")*(D2186&lt;=($E$3*60+$F$3)/86400)+(H2186&lt;&gt;"")*(H2186&lt;=($I$3*60+$J$3)/86400)+(J2186&lt;&gt;"")*(J2186&lt;=($M$3*60+$N$3)/86400)</f>
        <v>0</v>
      </c>
      <c r="N2186" s="20"/>
      <c r="O2186" s="20"/>
      <c r="P2186" s="20"/>
      <c r="Q2186" s="19"/>
    </row>
    <row r="2187" customFormat="false" ht="15" hidden="false" customHeight="false" outlineLevel="0" collapsed="false">
      <c r="A2187" s="10" t="n">
        <v>2181</v>
      </c>
      <c r="B2187" s="12" t="s">
        <v>3375</v>
      </c>
      <c r="C2187" s="12" t="s">
        <v>1363</v>
      </c>
      <c r="D2187" s="13"/>
      <c r="E2187" s="14"/>
      <c r="F2187" s="15" t="str">
        <f aca="false">IF(D2187="","",ROUND((D2187-MIN($D$7:$D$9999))*86400,2))</f>
        <v/>
      </c>
      <c r="G2187" s="10" t="str">
        <f aca="false">IF(D2187="","",IF(D2187&lt;=($E$3*60+$F$3)/86400,"○",""))</f>
        <v/>
      </c>
      <c r="H2187" s="16" t="n">
        <v>0.00759097222222222</v>
      </c>
      <c r="I2187" s="17" t="n">
        <v>987</v>
      </c>
      <c r="J2187" s="16"/>
      <c r="K2187" s="17"/>
      <c r="L2187" s="17" t="n">
        <f aca="false">COUNT(E2187,I2187,K2187)</f>
        <v>1</v>
      </c>
      <c r="M2187" s="18" t="n">
        <f aca="false">(D2187&lt;&gt;"")*(D2187&lt;=($E$3*60+$F$3)/86400)+(H2187&lt;&gt;"")*(H2187&lt;=($I$3*60+$J$3)/86400)+(J2187&lt;&gt;"")*(J2187&lt;=($M$3*60+$N$3)/86400)</f>
        <v>0</v>
      </c>
      <c r="N2187" s="20" t="s">
        <v>3376</v>
      </c>
      <c r="O2187" s="20"/>
      <c r="P2187" s="20"/>
      <c r="Q2187" s="19"/>
    </row>
    <row r="2188" customFormat="false" ht="15" hidden="false" customHeight="false" outlineLevel="0" collapsed="false">
      <c r="A2188" s="10" t="n">
        <v>2182</v>
      </c>
      <c r="B2188" s="12" t="s">
        <v>3377</v>
      </c>
      <c r="C2188" s="12" t="s">
        <v>2279</v>
      </c>
      <c r="D2188" s="13"/>
      <c r="E2188" s="14"/>
      <c r="F2188" s="15" t="str">
        <f aca="false">IF(D2188="","",ROUND((D2188-MIN($D$7:$D$9999))*86400,2))</f>
        <v/>
      </c>
      <c r="G2188" s="10" t="str">
        <f aca="false">IF(D2188="","",IF(D2188&lt;=($E$3*60+$F$3)/86400,"○",""))</f>
        <v/>
      </c>
      <c r="H2188" s="16"/>
      <c r="I2188" s="17"/>
      <c r="J2188" s="16" t="n">
        <v>0.00290543981481482</v>
      </c>
      <c r="K2188" s="17" t="n">
        <v>987</v>
      </c>
      <c r="L2188" s="17" t="n">
        <f aca="false">COUNT(E2188,I2188,K2188)</f>
        <v>1</v>
      </c>
      <c r="M2188" s="18" t="n">
        <f aca="false">(D2188&lt;&gt;"")*(D2188&lt;=($E$3*60+$F$3)/86400)+(H2188&lt;&gt;"")*(H2188&lt;=($I$3*60+$J$3)/86400)+(J2188&lt;&gt;"")*(J2188&lt;=($M$3*60+$N$3)/86400)</f>
        <v>0</v>
      </c>
      <c r="N2188" s="20"/>
      <c r="O2188" s="20"/>
      <c r="P2188" s="20"/>
      <c r="Q2188" s="19"/>
    </row>
    <row r="2189" customFormat="false" ht="15" hidden="false" customHeight="false" outlineLevel="0" collapsed="false">
      <c r="A2189" s="10" t="n">
        <v>2183</v>
      </c>
      <c r="B2189" s="12" t="s">
        <v>3378</v>
      </c>
      <c r="C2189" s="12" t="s">
        <v>3379</v>
      </c>
      <c r="D2189" s="13"/>
      <c r="E2189" s="14"/>
      <c r="F2189" s="15" t="str">
        <f aca="false">IF(D2189="","",ROUND((D2189-MIN($D$7:$D$9999))*86400,2))</f>
        <v/>
      </c>
      <c r="G2189" s="10" t="str">
        <f aca="false">IF(D2189="","",IF(D2189&lt;=($E$3*60+$F$3)/86400,"○",""))</f>
        <v/>
      </c>
      <c r="H2189" s="16" t="n">
        <v>0.00759189814814815</v>
      </c>
      <c r="I2189" s="17" t="n">
        <v>988</v>
      </c>
      <c r="J2189" s="16"/>
      <c r="K2189" s="17"/>
      <c r="L2189" s="17" t="n">
        <f aca="false">COUNT(E2189,I2189,K2189)</f>
        <v>1</v>
      </c>
      <c r="M2189" s="18" t="n">
        <f aca="false">(D2189&lt;&gt;"")*(D2189&lt;=($E$3*60+$F$3)/86400)+(H2189&lt;&gt;"")*(H2189&lt;=($I$3*60+$J$3)/86400)+(J2189&lt;&gt;"")*(J2189&lt;=($M$3*60+$N$3)/86400)</f>
        <v>0</v>
      </c>
      <c r="N2189" s="20"/>
      <c r="O2189" s="20"/>
      <c r="P2189" s="20"/>
      <c r="Q2189" s="19"/>
    </row>
    <row r="2190" customFormat="false" ht="15" hidden="false" customHeight="false" outlineLevel="0" collapsed="false">
      <c r="A2190" s="10" t="n">
        <v>2184</v>
      </c>
      <c r="B2190" s="12" t="s">
        <v>3380</v>
      </c>
      <c r="C2190" s="12" t="s">
        <v>3381</v>
      </c>
      <c r="D2190" s="13"/>
      <c r="E2190" s="14"/>
      <c r="F2190" s="15" t="str">
        <f aca="false">IF(D2190="","",ROUND((D2190-MIN($D$7:$D$9999))*86400,2))</f>
        <v/>
      </c>
      <c r="G2190" s="10" t="str">
        <f aca="false">IF(D2190="","",IF(D2190&lt;=($E$3*60+$F$3)/86400,"○",""))</f>
        <v/>
      </c>
      <c r="H2190" s="16" t="n">
        <v>0.00759305555555556</v>
      </c>
      <c r="I2190" s="17" t="n">
        <v>989</v>
      </c>
      <c r="J2190" s="16"/>
      <c r="K2190" s="17"/>
      <c r="L2190" s="17" t="n">
        <f aca="false">COUNT(E2190,I2190,K2190)</f>
        <v>1</v>
      </c>
      <c r="M2190" s="18" t="n">
        <f aca="false">(D2190&lt;&gt;"")*(D2190&lt;=($E$3*60+$F$3)/86400)+(H2190&lt;&gt;"")*(H2190&lt;=($I$3*60+$J$3)/86400)+(J2190&lt;&gt;"")*(J2190&lt;=($M$3*60+$N$3)/86400)</f>
        <v>0</v>
      </c>
      <c r="N2190" s="20"/>
      <c r="O2190" s="20"/>
      <c r="P2190" s="20"/>
      <c r="Q2190" s="19"/>
    </row>
    <row r="2191" customFormat="false" ht="15" hidden="false" customHeight="false" outlineLevel="0" collapsed="false">
      <c r="A2191" s="10" t="n">
        <v>2185</v>
      </c>
      <c r="B2191" s="12" t="s">
        <v>3382</v>
      </c>
      <c r="C2191" s="12" t="s">
        <v>3383</v>
      </c>
      <c r="D2191" s="13"/>
      <c r="E2191" s="14"/>
      <c r="F2191" s="15" t="str">
        <f aca="false">IF(D2191="","",ROUND((D2191-MIN($D$7:$D$9999))*86400,2))</f>
        <v/>
      </c>
      <c r="G2191" s="10" t="str">
        <f aca="false">IF(D2191="","",IF(D2191&lt;=($E$3*60+$F$3)/86400,"○",""))</f>
        <v/>
      </c>
      <c r="H2191" s="16"/>
      <c r="I2191" s="17"/>
      <c r="J2191" s="16" t="n">
        <v>0.00290601851851852</v>
      </c>
      <c r="K2191" s="17" t="n">
        <v>989</v>
      </c>
      <c r="L2191" s="17" t="n">
        <f aca="false">COUNT(E2191,I2191,K2191)</f>
        <v>1</v>
      </c>
      <c r="M2191" s="18" t="n">
        <f aca="false">(D2191&lt;&gt;"")*(D2191&lt;=($E$3*60+$F$3)/86400)+(H2191&lt;&gt;"")*(H2191&lt;=($I$3*60+$J$3)/86400)+(J2191&lt;&gt;"")*(J2191&lt;=($M$3*60+$N$3)/86400)</f>
        <v>0</v>
      </c>
      <c r="N2191" s="20"/>
      <c r="O2191" s="20"/>
      <c r="P2191" s="20"/>
      <c r="Q2191" s="19"/>
    </row>
    <row r="2192" customFormat="false" ht="15" hidden="false" customHeight="false" outlineLevel="0" collapsed="false">
      <c r="A2192" s="10" t="n">
        <v>2186</v>
      </c>
      <c r="B2192" s="12" t="s">
        <v>3384</v>
      </c>
      <c r="C2192" s="12" t="s">
        <v>3385</v>
      </c>
      <c r="D2192" s="13"/>
      <c r="E2192" s="14"/>
      <c r="F2192" s="15" t="str">
        <f aca="false">IF(D2192="","",ROUND((D2192-MIN($D$7:$D$9999))*86400,2))</f>
        <v/>
      </c>
      <c r="G2192" s="10" t="str">
        <f aca="false">IF(D2192="","",IF(D2192&lt;=($E$3*60+$F$3)/86400,"○",""))</f>
        <v/>
      </c>
      <c r="H2192" s="16" t="n">
        <v>0.0075931712962963</v>
      </c>
      <c r="I2192" s="17" t="n">
        <v>990</v>
      </c>
      <c r="J2192" s="16"/>
      <c r="K2192" s="17"/>
      <c r="L2192" s="17" t="n">
        <f aca="false">COUNT(E2192,I2192,K2192)</f>
        <v>1</v>
      </c>
      <c r="M2192" s="18" t="n">
        <f aca="false">(D2192&lt;&gt;"")*(D2192&lt;=($E$3*60+$F$3)/86400)+(H2192&lt;&gt;"")*(H2192&lt;=($I$3*60+$J$3)/86400)+(J2192&lt;&gt;"")*(J2192&lt;=($M$3*60+$N$3)/86400)</f>
        <v>0</v>
      </c>
      <c r="N2192" s="20"/>
      <c r="O2192" s="20"/>
      <c r="P2192" s="20"/>
      <c r="Q2192" s="19"/>
    </row>
    <row r="2193" customFormat="false" ht="15" hidden="false" customHeight="false" outlineLevel="0" collapsed="false">
      <c r="A2193" s="10" t="n">
        <v>2187</v>
      </c>
      <c r="B2193" s="12" t="s">
        <v>3386</v>
      </c>
      <c r="C2193" s="12" t="s">
        <v>3387</v>
      </c>
      <c r="D2193" s="13"/>
      <c r="E2193" s="14"/>
      <c r="F2193" s="15" t="str">
        <f aca="false">IF(D2193="","",ROUND((D2193-MIN($D$7:$D$9999))*86400,2))</f>
        <v/>
      </c>
      <c r="G2193" s="10" t="str">
        <f aca="false">IF(D2193="","",IF(D2193&lt;=($E$3*60+$F$3)/86400,"○",""))</f>
        <v/>
      </c>
      <c r="H2193" s="16" t="n">
        <v>0.00759328703703704</v>
      </c>
      <c r="I2193" s="17" t="n">
        <v>991</v>
      </c>
      <c r="J2193" s="16"/>
      <c r="K2193" s="17"/>
      <c r="L2193" s="17" t="n">
        <f aca="false">COUNT(E2193,I2193,K2193)</f>
        <v>1</v>
      </c>
      <c r="M2193" s="18" t="n">
        <f aca="false">(D2193&lt;&gt;"")*(D2193&lt;=($E$3*60+$F$3)/86400)+(H2193&lt;&gt;"")*(H2193&lt;=($I$3*60+$J$3)/86400)+(J2193&lt;&gt;"")*(J2193&lt;=($M$3*60+$N$3)/86400)</f>
        <v>0</v>
      </c>
      <c r="N2193" s="20"/>
      <c r="O2193" s="20"/>
      <c r="P2193" s="20"/>
      <c r="Q2193" s="19"/>
    </row>
    <row r="2194" customFormat="false" ht="15" hidden="false" customHeight="false" outlineLevel="0" collapsed="false">
      <c r="A2194" s="10" t="n">
        <v>2188</v>
      </c>
      <c r="B2194" s="12" t="s">
        <v>3388</v>
      </c>
      <c r="C2194" s="12" t="s">
        <v>3389</v>
      </c>
      <c r="D2194" s="13"/>
      <c r="E2194" s="14"/>
      <c r="F2194" s="15" t="str">
        <f aca="false">IF(D2194="","",ROUND((D2194-MIN($D$7:$D$9999))*86400,2))</f>
        <v/>
      </c>
      <c r="G2194" s="10" t="str">
        <f aca="false">IF(D2194="","",IF(D2194&lt;=($E$3*60+$F$3)/86400,"○",""))</f>
        <v/>
      </c>
      <c r="H2194" s="16" t="n">
        <v>0.00759328703703704</v>
      </c>
      <c r="I2194" s="17" t="n">
        <v>992</v>
      </c>
      <c r="J2194" s="16"/>
      <c r="K2194" s="17"/>
      <c r="L2194" s="17" t="n">
        <f aca="false">COUNT(E2194,I2194,K2194)</f>
        <v>1</v>
      </c>
      <c r="M2194" s="18" t="n">
        <f aca="false">(D2194&lt;&gt;"")*(D2194&lt;=($E$3*60+$F$3)/86400)+(H2194&lt;&gt;"")*(H2194&lt;=($I$3*60+$J$3)/86400)+(J2194&lt;&gt;"")*(J2194&lt;=($M$3*60+$N$3)/86400)</f>
        <v>0</v>
      </c>
      <c r="N2194" s="20"/>
      <c r="O2194" s="20"/>
      <c r="P2194" s="20"/>
      <c r="Q2194" s="19"/>
    </row>
    <row r="2195" customFormat="false" ht="15" hidden="false" customHeight="false" outlineLevel="0" collapsed="false">
      <c r="A2195" s="10" t="n">
        <v>2189</v>
      </c>
      <c r="B2195" s="12" t="s">
        <v>3390</v>
      </c>
      <c r="C2195" s="12" t="s">
        <v>3391</v>
      </c>
      <c r="D2195" s="13"/>
      <c r="E2195" s="14"/>
      <c r="F2195" s="15" t="str">
        <f aca="false">IF(D2195="","",ROUND((D2195-MIN($D$7:$D$9999))*86400,2))</f>
        <v/>
      </c>
      <c r="G2195" s="10" t="str">
        <f aca="false">IF(D2195="","",IF(D2195&lt;=($E$3*60+$F$3)/86400,"○",""))</f>
        <v/>
      </c>
      <c r="H2195" s="16" t="n">
        <v>0.00759479166666667</v>
      </c>
      <c r="I2195" s="17" t="n">
        <v>993</v>
      </c>
      <c r="J2195" s="16"/>
      <c r="K2195" s="17"/>
      <c r="L2195" s="17" t="n">
        <f aca="false">COUNT(E2195,I2195,K2195)</f>
        <v>1</v>
      </c>
      <c r="M2195" s="18" t="n">
        <f aca="false">(D2195&lt;&gt;"")*(D2195&lt;=($E$3*60+$F$3)/86400)+(H2195&lt;&gt;"")*(H2195&lt;=($I$3*60+$J$3)/86400)+(J2195&lt;&gt;"")*(J2195&lt;=($M$3*60+$N$3)/86400)</f>
        <v>0</v>
      </c>
      <c r="N2195" s="20"/>
      <c r="O2195" s="20"/>
      <c r="P2195" s="20"/>
      <c r="Q2195" s="19"/>
    </row>
    <row r="2196" customFormat="false" ht="15" hidden="false" customHeight="false" outlineLevel="0" collapsed="false">
      <c r="A2196" s="10" t="n">
        <v>2190</v>
      </c>
      <c r="B2196" s="12" t="s">
        <v>3392</v>
      </c>
      <c r="C2196" s="12" t="s">
        <v>3393</v>
      </c>
      <c r="D2196" s="13"/>
      <c r="E2196" s="14"/>
      <c r="F2196" s="15" t="str">
        <f aca="false">IF(D2196="","",ROUND((D2196-MIN($D$7:$D$9999))*86400,2))</f>
        <v/>
      </c>
      <c r="G2196" s="10" t="str">
        <f aca="false">IF(D2196="","",IF(D2196&lt;=($E$3*60+$F$3)/86400,"○",""))</f>
        <v/>
      </c>
      <c r="H2196" s="16" t="n">
        <v>0.00759895833333333</v>
      </c>
      <c r="I2196" s="17" t="n">
        <v>994</v>
      </c>
      <c r="J2196" s="16"/>
      <c r="K2196" s="17"/>
      <c r="L2196" s="17" t="n">
        <f aca="false">COUNT(E2196,I2196,K2196)</f>
        <v>1</v>
      </c>
      <c r="M2196" s="18" t="n">
        <f aca="false">(D2196&lt;&gt;"")*(D2196&lt;=($E$3*60+$F$3)/86400)+(H2196&lt;&gt;"")*(H2196&lt;=($I$3*60+$J$3)/86400)+(J2196&lt;&gt;"")*(J2196&lt;=($M$3*60+$N$3)/86400)</f>
        <v>0</v>
      </c>
      <c r="N2196" s="20"/>
      <c r="O2196" s="20"/>
      <c r="P2196" s="20"/>
      <c r="Q2196" s="19"/>
    </row>
    <row r="2197" customFormat="false" ht="15" hidden="false" customHeight="false" outlineLevel="0" collapsed="false">
      <c r="A2197" s="10" t="n">
        <v>2191</v>
      </c>
      <c r="B2197" s="12" t="s">
        <v>3394</v>
      </c>
      <c r="C2197" s="12" t="s">
        <v>3395</v>
      </c>
      <c r="D2197" s="13"/>
      <c r="E2197" s="14"/>
      <c r="F2197" s="15" t="str">
        <f aca="false">IF(D2197="","",ROUND((D2197-MIN($D$7:$D$9999))*86400,2))</f>
        <v/>
      </c>
      <c r="G2197" s="10" t="str">
        <f aca="false">IF(D2197="","",IF(D2197&lt;=($E$3*60+$F$3)/86400,"○",""))</f>
        <v/>
      </c>
      <c r="H2197" s="16"/>
      <c r="I2197" s="17"/>
      <c r="J2197" s="16" t="n">
        <v>0.00290659722222222</v>
      </c>
      <c r="K2197" s="17" t="n">
        <v>994</v>
      </c>
      <c r="L2197" s="17" t="n">
        <f aca="false">COUNT(E2197,I2197,K2197)</f>
        <v>1</v>
      </c>
      <c r="M2197" s="18" t="n">
        <f aca="false">(D2197&lt;&gt;"")*(D2197&lt;=($E$3*60+$F$3)/86400)+(H2197&lt;&gt;"")*(H2197&lt;=($I$3*60+$J$3)/86400)+(J2197&lt;&gt;"")*(J2197&lt;=($M$3*60+$N$3)/86400)</f>
        <v>0</v>
      </c>
      <c r="N2197" s="20"/>
      <c r="O2197" s="20"/>
      <c r="P2197" s="20"/>
      <c r="Q2197" s="19"/>
    </row>
    <row r="2198" customFormat="false" ht="15" hidden="false" customHeight="false" outlineLevel="0" collapsed="false">
      <c r="A2198" s="10" t="n">
        <v>2192</v>
      </c>
      <c r="B2198" s="12" t="s">
        <v>3396</v>
      </c>
      <c r="C2198" s="12" t="s">
        <v>3397</v>
      </c>
      <c r="D2198" s="13"/>
      <c r="E2198" s="14"/>
      <c r="F2198" s="15" t="str">
        <f aca="false">IF(D2198="","",ROUND((D2198-MIN($D$7:$D$9999))*86400,2))</f>
        <v/>
      </c>
      <c r="G2198" s="10" t="str">
        <f aca="false">IF(D2198="","",IF(D2198&lt;=($E$3*60+$F$3)/86400,"○",""))</f>
        <v/>
      </c>
      <c r="H2198" s="16" t="n">
        <v>0.00759953703703704</v>
      </c>
      <c r="I2198" s="17" t="n">
        <v>995</v>
      </c>
      <c r="J2198" s="16"/>
      <c r="K2198" s="17"/>
      <c r="L2198" s="17" t="n">
        <f aca="false">COUNT(E2198,I2198,K2198)</f>
        <v>1</v>
      </c>
      <c r="M2198" s="18" t="n">
        <f aca="false">(D2198&lt;&gt;"")*(D2198&lt;=($E$3*60+$F$3)/86400)+(H2198&lt;&gt;"")*(H2198&lt;=($I$3*60+$J$3)/86400)+(J2198&lt;&gt;"")*(J2198&lt;=($M$3*60+$N$3)/86400)</f>
        <v>0</v>
      </c>
      <c r="N2198" s="20"/>
      <c r="O2198" s="20"/>
      <c r="P2198" s="20"/>
      <c r="Q2198" s="19"/>
    </row>
    <row r="2199" customFormat="false" ht="15" hidden="false" customHeight="false" outlineLevel="0" collapsed="false">
      <c r="A2199" s="10" t="n">
        <v>2193</v>
      </c>
      <c r="B2199" s="12" t="s">
        <v>3398</v>
      </c>
      <c r="C2199" s="12" t="s">
        <v>2938</v>
      </c>
      <c r="D2199" s="13"/>
      <c r="E2199" s="14"/>
      <c r="F2199" s="15" t="str">
        <f aca="false">IF(D2199="","",ROUND((D2199-MIN($D$7:$D$9999))*86400,2))</f>
        <v/>
      </c>
      <c r="G2199" s="10" t="str">
        <f aca="false">IF(D2199="","",IF(D2199&lt;=($E$3*60+$F$3)/86400,"○",""))</f>
        <v/>
      </c>
      <c r="H2199" s="16" t="n">
        <v>0.00760289351851852</v>
      </c>
      <c r="I2199" s="17" t="n">
        <v>996</v>
      </c>
      <c r="J2199" s="16"/>
      <c r="K2199" s="17"/>
      <c r="L2199" s="17" t="n">
        <f aca="false">COUNT(E2199,I2199,K2199)</f>
        <v>1</v>
      </c>
      <c r="M2199" s="18" t="n">
        <f aca="false">(D2199&lt;&gt;"")*(D2199&lt;=($E$3*60+$F$3)/86400)+(H2199&lt;&gt;"")*(H2199&lt;=($I$3*60+$J$3)/86400)+(J2199&lt;&gt;"")*(J2199&lt;=($M$3*60+$N$3)/86400)</f>
        <v>0</v>
      </c>
      <c r="N2199" s="20"/>
      <c r="O2199" s="20"/>
      <c r="P2199" s="20"/>
      <c r="Q2199" s="19"/>
    </row>
    <row r="2200" customFormat="false" ht="15" hidden="false" customHeight="false" outlineLevel="0" collapsed="false">
      <c r="A2200" s="10" t="n">
        <v>2194</v>
      </c>
      <c r="B2200" s="12" t="s">
        <v>3399</v>
      </c>
      <c r="C2200" s="12" t="s">
        <v>1463</v>
      </c>
      <c r="D2200" s="13"/>
      <c r="E2200" s="14"/>
      <c r="F2200" s="15" t="str">
        <f aca="false">IF(D2200="","",ROUND((D2200-MIN($D$7:$D$9999))*86400,2))</f>
        <v/>
      </c>
      <c r="G2200" s="10" t="str">
        <f aca="false">IF(D2200="","",IF(D2200&lt;=($E$3*60+$F$3)/86400,"○",""))</f>
        <v/>
      </c>
      <c r="H2200" s="16" t="n">
        <v>0.00760613425925926</v>
      </c>
      <c r="I2200" s="17" t="n">
        <v>997</v>
      </c>
      <c r="J2200" s="16"/>
      <c r="K2200" s="17"/>
      <c r="L2200" s="17" t="n">
        <f aca="false">COUNT(E2200,I2200,K2200)</f>
        <v>1</v>
      </c>
      <c r="M2200" s="18" t="n">
        <f aca="false">(D2200&lt;&gt;"")*(D2200&lt;=($E$3*60+$F$3)/86400)+(H2200&lt;&gt;"")*(H2200&lt;=($I$3*60+$J$3)/86400)+(J2200&lt;&gt;"")*(J2200&lt;=($M$3*60+$N$3)/86400)</f>
        <v>0</v>
      </c>
      <c r="N2200" s="20"/>
      <c r="O2200" s="20"/>
      <c r="P2200" s="20"/>
      <c r="Q2200" s="19"/>
    </row>
    <row r="2201" customFormat="false" ht="15" hidden="false" customHeight="false" outlineLevel="0" collapsed="false">
      <c r="A2201" s="10" t="n">
        <v>2195</v>
      </c>
      <c r="B2201" s="12" t="s">
        <v>3400</v>
      </c>
      <c r="C2201" s="12" t="s">
        <v>1199</v>
      </c>
      <c r="D2201" s="13"/>
      <c r="E2201" s="14"/>
      <c r="F2201" s="15" t="str">
        <f aca="false">IF(D2201="","",ROUND((D2201-MIN($D$7:$D$9999))*86400,2))</f>
        <v/>
      </c>
      <c r="G2201" s="10" t="str">
        <f aca="false">IF(D2201="","",IF(D2201&lt;=($E$3*60+$F$3)/86400,"○",""))</f>
        <v/>
      </c>
      <c r="H2201" s="16" t="n">
        <v>0.0076068287037037</v>
      </c>
      <c r="I2201" s="17" t="n">
        <v>998</v>
      </c>
      <c r="J2201" s="16"/>
      <c r="K2201" s="17"/>
      <c r="L2201" s="17" t="n">
        <f aca="false">COUNT(E2201,I2201,K2201)</f>
        <v>1</v>
      </c>
      <c r="M2201" s="18" t="n">
        <f aca="false">(D2201&lt;&gt;"")*(D2201&lt;=($E$3*60+$F$3)/86400)+(H2201&lt;&gt;"")*(H2201&lt;=($I$3*60+$J$3)/86400)+(J2201&lt;&gt;"")*(J2201&lt;=($M$3*60+$N$3)/86400)</f>
        <v>0</v>
      </c>
      <c r="N2201" s="20"/>
      <c r="O2201" s="20"/>
      <c r="P2201" s="20"/>
      <c r="Q2201" s="19"/>
    </row>
    <row r="2202" customFormat="false" ht="15" hidden="false" customHeight="false" outlineLevel="0" collapsed="false">
      <c r="A2202" s="10" t="n">
        <v>2196</v>
      </c>
      <c r="B2202" s="12" t="s">
        <v>3401</v>
      </c>
      <c r="C2202" s="12" t="s">
        <v>2395</v>
      </c>
      <c r="D2202" s="13"/>
      <c r="E2202" s="14"/>
      <c r="F2202" s="15" t="str">
        <f aca="false">IF(D2202="","",ROUND((D2202-MIN($D$7:$D$9999))*86400,2))</f>
        <v/>
      </c>
      <c r="G2202" s="10" t="str">
        <f aca="false">IF(D2202="","",IF(D2202&lt;=($E$3*60+$F$3)/86400,"○",""))</f>
        <v/>
      </c>
      <c r="H2202" s="16" t="n">
        <v>0.00760740740740741</v>
      </c>
      <c r="I2202" s="17" t="n">
        <v>999</v>
      </c>
      <c r="J2202" s="16"/>
      <c r="K2202" s="17"/>
      <c r="L2202" s="17" t="n">
        <f aca="false">COUNT(E2202,I2202,K2202)</f>
        <v>1</v>
      </c>
      <c r="M2202" s="18" t="n">
        <f aca="false">(D2202&lt;&gt;"")*(D2202&lt;=($E$3*60+$F$3)/86400)+(H2202&lt;&gt;"")*(H2202&lt;=($I$3*60+$J$3)/86400)+(J2202&lt;&gt;"")*(J2202&lt;=($M$3*60+$N$3)/86400)</f>
        <v>0</v>
      </c>
      <c r="N2202" s="20"/>
      <c r="O2202" s="20"/>
      <c r="P2202" s="20"/>
      <c r="Q2202" s="19"/>
    </row>
    <row r="2203" customFormat="false" ht="15" hidden="false" customHeight="false" outlineLevel="0" collapsed="false">
      <c r="A2203" s="10" t="n">
        <v>2197</v>
      </c>
      <c r="B2203" s="12" t="s">
        <v>3402</v>
      </c>
      <c r="C2203" s="12" t="s">
        <v>179</v>
      </c>
      <c r="D2203" s="13"/>
      <c r="E2203" s="14"/>
      <c r="F2203" s="15" t="str">
        <f aca="false">IF(D2203="","",ROUND((D2203-MIN($D$7:$D$9999))*86400,2))</f>
        <v/>
      </c>
      <c r="G2203" s="10" t="str">
        <f aca="false">IF(D2203="","",IF(D2203&lt;=($E$3*60+$F$3)/86400,"○",""))</f>
        <v/>
      </c>
      <c r="H2203" s="16" t="n">
        <v>0.00760763888888889</v>
      </c>
      <c r="I2203" s="17" t="n">
        <v>1000</v>
      </c>
      <c r="J2203" s="16"/>
      <c r="K2203" s="17"/>
      <c r="L2203" s="17" t="n">
        <f aca="false">COUNT(E2203,I2203,K2203)</f>
        <v>1</v>
      </c>
      <c r="M2203" s="18" t="n">
        <f aca="false">(D2203&lt;&gt;"")*(D2203&lt;=($E$3*60+$F$3)/86400)+(H2203&lt;&gt;"")*(H2203&lt;=($I$3*60+$J$3)/86400)+(J2203&lt;&gt;"")*(J2203&lt;=($M$3*60+$N$3)/86400)</f>
        <v>0</v>
      </c>
      <c r="N2203" s="20"/>
      <c r="O2203" s="20"/>
      <c r="P2203" s="20"/>
      <c r="Q2203" s="19"/>
    </row>
    <row r="2204" customFormat="false" ht="15" hidden="false" customHeight="false" outlineLevel="0" collapsed="false">
      <c r="A2204" s="10" t="n">
        <v>2198</v>
      </c>
      <c r="B2204" s="12" t="s">
        <v>3403</v>
      </c>
      <c r="C2204" s="12" t="s">
        <v>199</v>
      </c>
      <c r="D2204" s="13"/>
      <c r="E2204" s="14"/>
      <c r="F2204" s="15" t="str">
        <f aca="false">IF(D2204="","",ROUND((D2204-MIN($D$7:$D$9999))*86400,2))</f>
        <v/>
      </c>
      <c r="G2204" s="10" t="str">
        <f aca="false">IF(D2204="","",IF(D2204&lt;=($E$3*60+$F$3)/86400,"○",""))</f>
        <v/>
      </c>
      <c r="H2204" s="16" t="n">
        <v>0.00760798611111111</v>
      </c>
      <c r="I2204" s="17" t="n">
        <v>1001</v>
      </c>
      <c r="J2204" s="16"/>
      <c r="K2204" s="17"/>
      <c r="L2204" s="17" t="n">
        <f aca="false">COUNT(E2204,I2204,K2204)</f>
        <v>1</v>
      </c>
      <c r="M2204" s="18" t="n">
        <f aca="false">(D2204&lt;&gt;"")*(D2204&lt;=($E$3*60+$F$3)/86400)+(H2204&lt;&gt;"")*(H2204&lt;=($I$3*60+$J$3)/86400)+(J2204&lt;&gt;"")*(J2204&lt;=($M$3*60+$N$3)/86400)</f>
        <v>0</v>
      </c>
      <c r="N2204" s="20"/>
      <c r="O2204" s="20"/>
      <c r="P2204" s="20"/>
      <c r="Q2204" s="19"/>
    </row>
    <row r="2205" customFormat="false" ht="15" hidden="false" customHeight="false" outlineLevel="0" collapsed="false">
      <c r="A2205" s="10" t="n">
        <v>2199</v>
      </c>
      <c r="B2205" s="12" t="s">
        <v>3404</v>
      </c>
      <c r="C2205" s="12" t="s">
        <v>3405</v>
      </c>
      <c r="D2205" s="13"/>
      <c r="E2205" s="14"/>
      <c r="F2205" s="15" t="str">
        <f aca="false">IF(D2205="","",ROUND((D2205-MIN($D$7:$D$9999))*86400,2))</f>
        <v/>
      </c>
      <c r="G2205" s="10" t="str">
        <f aca="false">IF(D2205="","",IF(D2205&lt;=($E$3*60+$F$3)/86400,"○",""))</f>
        <v/>
      </c>
      <c r="H2205" s="16"/>
      <c r="I2205" s="17"/>
      <c r="J2205" s="16" t="n">
        <v>0.00290798611111111</v>
      </c>
      <c r="K2205" s="17" t="n">
        <v>1001</v>
      </c>
      <c r="L2205" s="17" t="n">
        <f aca="false">COUNT(E2205,I2205,K2205)</f>
        <v>1</v>
      </c>
      <c r="M2205" s="18" t="n">
        <f aca="false">(D2205&lt;&gt;"")*(D2205&lt;=($E$3*60+$F$3)/86400)+(H2205&lt;&gt;"")*(H2205&lt;=($I$3*60+$J$3)/86400)+(J2205&lt;&gt;"")*(J2205&lt;=($M$3*60+$N$3)/86400)</f>
        <v>0</v>
      </c>
      <c r="N2205" s="20"/>
      <c r="O2205" s="20"/>
      <c r="P2205" s="20"/>
      <c r="Q2205" s="19"/>
    </row>
    <row r="2206" customFormat="false" ht="15" hidden="false" customHeight="false" outlineLevel="0" collapsed="false">
      <c r="A2206" s="10" t="n">
        <v>2200</v>
      </c>
      <c r="B2206" s="12" t="s">
        <v>3406</v>
      </c>
      <c r="C2206" s="12" t="s">
        <v>1909</v>
      </c>
      <c r="D2206" s="13"/>
      <c r="E2206" s="14"/>
      <c r="F2206" s="15" t="str">
        <f aca="false">IF(D2206="","",ROUND((D2206-MIN($D$7:$D$9999))*86400,2))</f>
        <v/>
      </c>
      <c r="G2206" s="10" t="str">
        <f aca="false">IF(D2206="","",IF(D2206&lt;=($E$3*60+$F$3)/86400,"○",""))</f>
        <v/>
      </c>
      <c r="H2206" s="16" t="n">
        <v>0.00760821759259259</v>
      </c>
      <c r="I2206" s="17" t="n">
        <v>1002</v>
      </c>
      <c r="J2206" s="16"/>
      <c r="K2206" s="17"/>
      <c r="L2206" s="17" t="n">
        <f aca="false">COUNT(E2206,I2206,K2206)</f>
        <v>1</v>
      </c>
      <c r="M2206" s="18" t="n">
        <f aca="false">(D2206&lt;&gt;"")*(D2206&lt;=($E$3*60+$F$3)/86400)+(H2206&lt;&gt;"")*(H2206&lt;=($I$3*60+$J$3)/86400)+(J2206&lt;&gt;"")*(J2206&lt;=($M$3*60+$N$3)/86400)</f>
        <v>0</v>
      </c>
      <c r="N2206" s="20"/>
      <c r="O2206" s="20"/>
      <c r="P2206" s="20"/>
      <c r="Q2206" s="19"/>
    </row>
    <row r="2207" customFormat="false" ht="15" hidden="false" customHeight="false" outlineLevel="0" collapsed="false">
      <c r="A2207" s="10" t="n">
        <v>2201</v>
      </c>
      <c r="B2207" s="12" t="s">
        <v>3407</v>
      </c>
      <c r="C2207" s="12" t="s">
        <v>939</v>
      </c>
      <c r="D2207" s="13"/>
      <c r="E2207" s="14"/>
      <c r="F2207" s="15" t="str">
        <f aca="false">IF(D2207="","",ROUND((D2207-MIN($D$7:$D$9999))*86400,2))</f>
        <v/>
      </c>
      <c r="G2207" s="10" t="str">
        <f aca="false">IF(D2207="","",IF(D2207&lt;=($E$3*60+$F$3)/86400,"○",""))</f>
        <v/>
      </c>
      <c r="H2207" s="16"/>
      <c r="I2207" s="17"/>
      <c r="J2207" s="16" t="n">
        <v>0.00290821759259259</v>
      </c>
      <c r="K2207" s="17" t="n">
        <v>1002</v>
      </c>
      <c r="L2207" s="17" t="n">
        <f aca="false">COUNT(E2207,I2207,K2207)</f>
        <v>1</v>
      </c>
      <c r="M2207" s="18" t="n">
        <f aca="false">(D2207&lt;&gt;"")*(D2207&lt;=($E$3*60+$F$3)/86400)+(H2207&lt;&gt;"")*(H2207&lt;=($I$3*60+$J$3)/86400)+(J2207&lt;&gt;"")*(J2207&lt;=($M$3*60+$N$3)/86400)</f>
        <v>0</v>
      </c>
      <c r="N2207" s="20"/>
      <c r="O2207" s="20" t="s">
        <v>3408</v>
      </c>
      <c r="P2207" s="20"/>
      <c r="Q2207" s="19"/>
    </row>
    <row r="2208" customFormat="false" ht="15" hidden="false" customHeight="false" outlineLevel="0" collapsed="false">
      <c r="A2208" s="10" t="n">
        <v>2202</v>
      </c>
      <c r="B2208" s="12" t="s">
        <v>3409</v>
      </c>
      <c r="C2208" s="12" t="s">
        <v>2875</v>
      </c>
      <c r="D2208" s="13"/>
      <c r="E2208" s="14"/>
      <c r="F2208" s="15" t="str">
        <f aca="false">IF(D2208="","",ROUND((D2208-MIN($D$7:$D$9999))*86400,2))</f>
        <v/>
      </c>
      <c r="G2208" s="10" t="str">
        <f aca="false">IF(D2208="","",IF(D2208&lt;=($E$3*60+$F$3)/86400,"○",""))</f>
        <v/>
      </c>
      <c r="H2208" s="16" t="n">
        <v>0.00761168981481481</v>
      </c>
      <c r="I2208" s="17" t="n">
        <v>1003</v>
      </c>
      <c r="J2208" s="16"/>
      <c r="K2208" s="17"/>
      <c r="L2208" s="17" t="n">
        <f aca="false">COUNT(E2208,I2208,K2208)</f>
        <v>1</v>
      </c>
      <c r="M2208" s="18" t="n">
        <f aca="false">(D2208&lt;&gt;"")*(D2208&lt;=($E$3*60+$F$3)/86400)+(H2208&lt;&gt;"")*(H2208&lt;=($I$3*60+$J$3)/86400)+(J2208&lt;&gt;"")*(J2208&lt;=($M$3*60+$N$3)/86400)</f>
        <v>0</v>
      </c>
      <c r="N2208" s="20"/>
      <c r="O2208" s="20"/>
      <c r="P2208" s="20"/>
      <c r="Q2208" s="19"/>
    </row>
    <row r="2209" customFormat="false" ht="15" hidden="false" customHeight="false" outlineLevel="0" collapsed="false">
      <c r="A2209" s="10" t="n">
        <v>2203</v>
      </c>
      <c r="B2209" s="12" t="s">
        <v>3410</v>
      </c>
      <c r="C2209" s="12" t="s">
        <v>3411</v>
      </c>
      <c r="D2209" s="13"/>
      <c r="E2209" s="14"/>
      <c r="F2209" s="15" t="str">
        <f aca="false">IF(D2209="","",ROUND((D2209-MIN($D$7:$D$9999))*86400,2))</f>
        <v/>
      </c>
      <c r="G2209" s="10" t="str">
        <f aca="false">IF(D2209="","",IF(D2209&lt;=($E$3*60+$F$3)/86400,"○",""))</f>
        <v/>
      </c>
      <c r="H2209" s="16" t="n">
        <v>0.00761354166666667</v>
      </c>
      <c r="I2209" s="17" t="n">
        <v>1004</v>
      </c>
      <c r="J2209" s="16"/>
      <c r="K2209" s="17"/>
      <c r="L2209" s="17" t="n">
        <f aca="false">COUNT(E2209,I2209,K2209)</f>
        <v>1</v>
      </c>
      <c r="M2209" s="18" t="n">
        <f aca="false">(D2209&lt;&gt;"")*(D2209&lt;=($E$3*60+$F$3)/86400)+(H2209&lt;&gt;"")*(H2209&lt;=($I$3*60+$J$3)/86400)+(J2209&lt;&gt;"")*(J2209&lt;=($M$3*60+$N$3)/86400)</f>
        <v>0</v>
      </c>
      <c r="N2209" s="20"/>
      <c r="O2209" s="20"/>
      <c r="P2209" s="20"/>
      <c r="Q2209" s="19"/>
    </row>
    <row r="2210" customFormat="false" ht="15" hidden="false" customHeight="false" outlineLevel="0" collapsed="false">
      <c r="A2210" s="10" t="n">
        <v>2204</v>
      </c>
      <c r="B2210" s="12" t="s">
        <v>3412</v>
      </c>
      <c r="C2210" s="12" t="s">
        <v>3413</v>
      </c>
      <c r="D2210" s="13"/>
      <c r="E2210" s="14"/>
      <c r="F2210" s="15" t="str">
        <f aca="false">IF(D2210="","",ROUND((D2210-MIN($D$7:$D$9999))*86400,2))</f>
        <v/>
      </c>
      <c r="G2210" s="10" t="str">
        <f aca="false">IF(D2210="","",IF(D2210&lt;=($E$3*60+$F$3)/86400,"○",""))</f>
        <v/>
      </c>
      <c r="H2210" s="16"/>
      <c r="I2210" s="17"/>
      <c r="J2210" s="16" t="n">
        <v>0.00290833333333333</v>
      </c>
      <c r="K2210" s="17" t="n">
        <v>1004</v>
      </c>
      <c r="L2210" s="17" t="n">
        <f aca="false">COUNT(E2210,I2210,K2210)</f>
        <v>1</v>
      </c>
      <c r="M2210" s="18" t="n">
        <f aca="false">(D2210&lt;&gt;"")*(D2210&lt;=($E$3*60+$F$3)/86400)+(H2210&lt;&gt;"")*(H2210&lt;=($I$3*60+$J$3)/86400)+(J2210&lt;&gt;"")*(J2210&lt;=($M$3*60+$N$3)/86400)</f>
        <v>0</v>
      </c>
      <c r="N2210" s="20"/>
      <c r="O2210" s="20"/>
      <c r="P2210" s="20"/>
      <c r="Q2210" s="19"/>
    </row>
    <row r="2211" customFormat="false" ht="15" hidden="false" customHeight="false" outlineLevel="0" collapsed="false">
      <c r="A2211" s="10" t="n">
        <v>2205</v>
      </c>
      <c r="B2211" s="12" t="s">
        <v>3414</v>
      </c>
      <c r="C2211" s="12" t="s">
        <v>2594</v>
      </c>
      <c r="D2211" s="13"/>
      <c r="E2211" s="14"/>
      <c r="F2211" s="15" t="str">
        <f aca="false">IF(D2211="","",ROUND((D2211-MIN($D$7:$D$9999))*86400,2))</f>
        <v/>
      </c>
      <c r="G2211" s="10" t="str">
        <f aca="false">IF(D2211="","",IF(D2211&lt;=($E$3*60+$F$3)/86400,"○",""))</f>
        <v/>
      </c>
      <c r="H2211" s="16" t="n">
        <v>0.00761446759259259</v>
      </c>
      <c r="I2211" s="17" t="n">
        <v>1005</v>
      </c>
      <c r="J2211" s="16"/>
      <c r="K2211" s="17"/>
      <c r="L2211" s="17" t="n">
        <f aca="false">COUNT(E2211,I2211,K2211)</f>
        <v>1</v>
      </c>
      <c r="M2211" s="18" t="n">
        <f aca="false">(D2211&lt;&gt;"")*(D2211&lt;=($E$3*60+$F$3)/86400)+(H2211&lt;&gt;"")*(H2211&lt;=($I$3*60+$J$3)/86400)+(J2211&lt;&gt;"")*(J2211&lt;=($M$3*60+$N$3)/86400)</f>
        <v>0</v>
      </c>
      <c r="N2211" s="20"/>
      <c r="O2211" s="20"/>
      <c r="P2211" s="20"/>
      <c r="Q2211" s="19"/>
    </row>
    <row r="2212" customFormat="false" ht="15" hidden="false" customHeight="false" outlineLevel="0" collapsed="false">
      <c r="A2212" s="10" t="n">
        <v>2206</v>
      </c>
      <c r="B2212" s="12" t="s">
        <v>3415</v>
      </c>
      <c r="C2212" s="12" t="s">
        <v>1231</v>
      </c>
      <c r="D2212" s="13"/>
      <c r="E2212" s="14"/>
      <c r="F2212" s="15" t="str">
        <f aca="false">IF(D2212="","",ROUND((D2212-MIN($D$7:$D$9999))*86400,2))</f>
        <v/>
      </c>
      <c r="G2212" s="10" t="str">
        <f aca="false">IF(D2212="","",IF(D2212&lt;=($E$3*60+$F$3)/86400,"○",""))</f>
        <v/>
      </c>
      <c r="H2212" s="16" t="n">
        <v>0.00761481481481482</v>
      </c>
      <c r="I2212" s="17" t="n">
        <v>1006</v>
      </c>
      <c r="J2212" s="16"/>
      <c r="K2212" s="17"/>
      <c r="L2212" s="17" t="n">
        <f aca="false">COUNT(E2212,I2212,K2212)</f>
        <v>1</v>
      </c>
      <c r="M2212" s="18" t="n">
        <f aca="false">(D2212&lt;&gt;"")*(D2212&lt;=($E$3*60+$F$3)/86400)+(H2212&lt;&gt;"")*(H2212&lt;=($I$3*60+$J$3)/86400)+(J2212&lt;&gt;"")*(J2212&lt;=($M$3*60+$N$3)/86400)</f>
        <v>0</v>
      </c>
      <c r="N2212" s="20"/>
      <c r="O2212" s="20"/>
      <c r="P2212" s="20"/>
      <c r="Q2212" s="19"/>
    </row>
    <row r="2213" customFormat="false" ht="15" hidden="false" customHeight="false" outlineLevel="0" collapsed="false">
      <c r="A2213" s="10" t="n">
        <v>2207</v>
      </c>
      <c r="B2213" s="12" t="s">
        <v>3416</v>
      </c>
      <c r="C2213" s="12" t="s">
        <v>1957</v>
      </c>
      <c r="D2213" s="13"/>
      <c r="E2213" s="14"/>
      <c r="F2213" s="15" t="str">
        <f aca="false">IF(D2213="","",ROUND((D2213-MIN($D$7:$D$9999))*86400,2))</f>
        <v/>
      </c>
      <c r="G2213" s="10" t="str">
        <f aca="false">IF(D2213="","",IF(D2213&lt;=($E$3*60+$F$3)/86400,"○",""))</f>
        <v/>
      </c>
      <c r="H2213" s="16"/>
      <c r="I2213" s="17"/>
      <c r="J2213" s="16" t="n">
        <v>0.00290856481481482</v>
      </c>
      <c r="K2213" s="17" t="n">
        <v>1006</v>
      </c>
      <c r="L2213" s="17" t="n">
        <f aca="false">COUNT(E2213,I2213,K2213)</f>
        <v>1</v>
      </c>
      <c r="M2213" s="18" t="n">
        <f aca="false">(D2213&lt;&gt;"")*(D2213&lt;=($E$3*60+$F$3)/86400)+(H2213&lt;&gt;"")*(H2213&lt;=($I$3*60+$J$3)/86400)+(J2213&lt;&gt;"")*(J2213&lt;=($M$3*60+$N$3)/86400)</f>
        <v>0</v>
      </c>
      <c r="N2213" s="20"/>
      <c r="O2213" s="20"/>
      <c r="P2213" s="20"/>
      <c r="Q2213" s="19"/>
    </row>
    <row r="2214" customFormat="false" ht="15" hidden="false" customHeight="false" outlineLevel="0" collapsed="false">
      <c r="A2214" s="10" t="n">
        <v>2208</v>
      </c>
      <c r="B2214" s="12" t="s">
        <v>3417</v>
      </c>
      <c r="C2214" s="12" t="s">
        <v>2270</v>
      </c>
      <c r="D2214" s="13"/>
      <c r="E2214" s="14"/>
      <c r="F2214" s="15" t="str">
        <f aca="false">IF(D2214="","",ROUND((D2214-MIN($D$7:$D$9999))*86400,2))</f>
        <v/>
      </c>
      <c r="G2214" s="10" t="str">
        <f aca="false">IF(D2214="","",IF(D2214&lt;=($E$3*60+$F$3)/86400,"○",""))</f>
        <v/>
      </c>
      <c r="H2214" s="16" t="n">
        <v>0.00761678240740741</v>
      </c>
      <c r="I2214" s="17" t="n">
        <v>1007</v>
      </c>
      <c r="J2214" s="16"/>
      <c r="K2214" s="17"/>
      <c r="L2214" s="17" t="n">
        <f aca="false">COUNT(E2214,I2214,K2214)</f>
        <v>1</v>
      </c>
      <c r="M2214" s="18" t="n">
        <f aca="false">(D2214&lt;&gt;"")*(D2214&lt;=($E$3*60+$F$3)/86400)+(H2214&lt;&gt;"")*(H2214&lt;=($I$3*60+$J$3)/86400)+(J2214&lt;&gt;"")*(J2214&lt;=($M$3*60+$N$3)/86400)</f>
        <v>0</v>
      </c>
      <c r="N2214" s="20"/>
      <c r="O2214" s="20"/>
      <c r="P2214" s="20"/>
      <c r="Q2214" s="19"/>
    </row>
    <row r="2215" customFormat="false" ht="15" hidden="false" customHeight="false" outlineLevel="0" collapsed="false">
      <c r="A2215" s="10" t="n">
        <v>2209</v>
      </c>
      <c r="B2215" s="12" t="s">
        <v>3418</v>
      </c>
      <c r="C2215" s="12" t="s">
        <v>167</v>
      </c>
      <c r="D2215" s="13"/>
      <c r="E2215" s="14"/>
      <c r="F2215" s="15" t="str">
        <f aca="false">IF(D2215="","",ROUND((D2215-MIN($D$7:$D$9999))*86400,2))</f>
        <v/>
      </c>
      <c r="G2215" s="10" t="str">
        <f aca="false">IF(D2215="","",IF(D2215&lt;=($E$3*60+$F$3)/86400,"○",""))</f>
        <v/>
      </c>
      <c r="H2215" s="16"/>
      <c r="I2215" s="17"/>
      <c r="J2215" s="16" t="n">
        <v>0.00290868055555556</v>
      </c>
      <c r="K2215" s="17" t="n">
        <v>1007</v>
      </c>
      <c r="L2215" s="17" t="n">
        <f aca="false">COUNT(E2215,I2215,K2215)</f>
        <v>1</v>
      </c>
      <c r="M2215" s="18" t="n">
        <f aca="false">(D2215&lt;&gt;"")*(D2215&lt;=($E$3*60+$F$3)/86400)+(H2215&lt;&gt;"")*(H2215&lt;=($I$3*60+$J$3)/86400)+(J2215&lt;&gt;"")*(J2215&lt;=($M$3*60+$N$3)/86400)</f>
        <v>0</v>
      </c>
      <c r="N2215" s="20"/>
      <c r="O2215" s="20"/>
      <c r="P2215" s="20"/>
      <c r="Q2215" s="19"/>
    </row>
    <row r="2216" customFormat="false" ht="15" hidden="false" customHeight="false" outlineLevel="0" collapsed="false">
      <c r="A2216" s="10" t="n">
        <v>2210</v>
      </c>
      <c r="B2216" s="12" t="s">
        <v>3419</v>
      </c>
      <c r="C2216" s="12" t="s">
        <v>2765</v>
      </c>
      <c r="D2216" s="13"/>
      <c r="E2216" s="14"/>
      <c r="F2216" s="15" t="str">
        <f aca="false">IF(D2216="","",ROUND((D2216-MIN($D$7:$D$9999))*86400,2))</f>
        <v/>
      </c>
      <c r="G2216" s="10" t="str">
        <f aca="false">IF(D2216="","",IF(D2216&lt;=($E$3*60+$F$3)/86400,"○",""))</f>
        <v/>
      </c>
      <c r="H2216" s="16" t="n">
        <v>0.00761759259259259</v>
      </c>
      <c r="I2216" s="17" t="n">
        <v>1008</v>
      </c>
      <c r="J2216" s="16"/>
      <c r="K2216" s="17"/>
      <c r="L2216" s="17" t="n">
        <f aca="false">COUNT(E2216,I2216,K2216)</f>
        <v>1</v>
      </c>
      <c r="M2216" s="18" t="n">
        <f aca="false">(D2216&lt;&gt;"")*(D2216&lt;=($E$3*60+$F$3)/86400)+(H2216&lt;&gt;"")*(H2216&lt;=($I$3*60+$J$3)/86400)+(J2216&lt;&gt;"")*(J2216&lt;=($M$3*60+$N$3)/86400)</f>
        <v>0</v>
      </c>
      <c r="N2216" s="20"/>
      <c r="O2216" s="20"/>
      <c r="P2216" s="20"/>
      <c r="Q2216" s="19"/>
    </row>
    <row r="2217" customFormat="false" ht="15" hidden="false" customHeight="false" outlineLevel="0" collapsed="false">
      <c r="A2217" s="10" t="n">
        <v>2211</v>
      </c>
      <c r="B2217" s="12" t="s">
        <v>3420</v>
      </c>
      <c r="C2217" s="12" t="s">
        <v>1570</v>
      </c>
      <c r="D2217" s="13"/>
      <c r="E2217" s="14"/>
      <c r="F2217" s="15" t="str">
        <f aca="false">IF(D2217="","",ROUND((D2217-MIN($D$7:$D$9999))*86400,2))</f>
        <v/>
      </c>
      <c r="G2217" s="10" t="str">
        <f aca="false">IF(D2217="","",IF(D2217&lt;=($E$3*60+$F$3)/86400,"○",""))</f>
        <v/>
      </c>
      <c r="H2217" s="16"/>
      <c r="I2217" s="17"/>
      <c r="J2217" s="16" t="n">
        <v>0.0029087962962963</v>
      </c>
      <c r="K2217" s="17" t="n">
        <v>1008</v>
      </c>
      <c r="L2217" s="17" t="n">
        <f aca="false">COUNT(E2217,I2217,K2217)</f>
        <v>1</v>
      </c>
      <c r="M2217" s="18" t="n">
        <f aca="false">(D2217&lt;&gt;"")*(D2217&lt;=($E$3*60+$F$3)/86400)+(H2217&lt;&gt;"")*(H2217&lt;=($I$3*60+$J$3)/86400)+(J2217&lt;&gt;"")*(J2217&lt;=($M$3*60+$N$3)/86400)</f>
        <v>0</v>
      </c>
      <c r="N2217" s="20"/>
      <c r="O2217" s="20"/>
      <c r="P2217" s="20"/>
      <c r="Q2217" s="19"/>
    </row>
    <row r="2218" customFormat="false" ht="15" hidden="false" customHeight="false" outlineLevel="0" collapsed="false">
      <c r="A2218" s="10" t="n">
        <v>2212</v>
      </c>
      <c r="B2218" s="12" t="s">
        <v>3421</v>
      </c>
      <c r="C2218" s="12" t="s">
        <v>434</v>
      </c>
      <c r="D2218" s="13"/>
      <c r="E2218" s="14"/>
      <c r="F2218" s="15" t="str">
        <f aca="false">IF(D2218="","",ROUND((D2218-MIN($D$7:$D$9999))*86400,2))</f>
        <v/>
      </c>
      <c r="G2218" s="10" t="str">
        <f aca="false">IF(D2218="","",IF(D2218&lt;=($E$3*60+$F$3)/86400,"○",""))</f>
        <v/>
      </c>
      <c r="H2218" s="16" t="n">
        <v>0.00761956018518519</v>
      </c>
      <c r="I2218" s="17" t="n">
        <v>1009</v>
      </c>
      <c r="J2218" s="16"/>
      <c r="K2218" s="17"/>
      <c r="L2218" s="17" t="n">
        <f aca="false">COUNT(E2218,I2218,K2218)</f>
        <v>1</v>
      </c>
      <c r="M2218" s="18" t="n">
        <f aca="false">(D2218&lt;&gt;"")*(D2218&lt;=($E$3*60+$F$3)/86400)+(H2218&lt;&gt;"")*(H2218&lt;=($I$3*60+$J$3)/86400)+(J2218&lt;&gt;"")*(J2218&lt;=($M$3*60+$N$3)/86400)</f>
        <v>0</v>
      </c>
      <c r="N2218" s="20"/>
      <c r="O2218" s="20"/>
      <c r="P2218" s="20"/>
      <c r="Q2218" s="19"/>
    </row>
    <row r="2219" customFormat="false" ht="15" hidden="false" customHeight="false" outlineLevel="0" collapsed="false">
      <c r="A2219" s="10" t="n">
        <v>2213</v>
      </c>
      <c r="B2219" s="12" t="s">
        <v>3422</v>
      </c>
      <c r="C2219" s="12" t="s">
        <v>3423</v>
      </c>
      <c r="D2219" s="13"/>
      <c r="E2219" s="14"/>
      <c r="F2219" s="15" t="str">
        <f aca="false">IF(D2219="","",ROUND((D2219-MIN($D$7:$D$9999))*86400,2))</f>
        <v/>
      </c>
      <c r="G2219" s="10" t="str">
        <f aca="false">IF(D2219="","",IF(D2219&lt;=($E$3*60+$F$3)/86400,"○",""))</f>
        <v/>
      </c>
      <c r="H2219" s="16" t="n">
        <v>0.00762222222222222</v>
      </c>
      <c r="I2219" s="17" t="n">
        <v>1010</v>
      </c>
      <c r="J2219" s="16"/>
      <c r="K2219" s="17"/>
      <c r="L2219" s="17" t="n">
        <f aca="false">COUNT(E2219,I2219,K2219)</f>
        <v>1</v>
      </c>
      <c r="M2219" s="18" t="n">
        <f aca="false">(D2219&lt;&gt;"")*(D2219&lt;=($E$3*60+$F$3)/86400)+(H2219&lt;&gt;"")*(H2219&lt;=($I$3*60+$J$3)/86400)+(J2219&lt;&gt;"")*(J2219&lt;=($M$3*60+$N$3)/86400)</f>
        <v>0</v>
      </c>
      <c r="N2219" s="20"/>
      <c r="O2219" s="20"/>
      <c r="P2219" s="20"/>
      <c r="Q2219" s="19"/>
    </row>
    <row r="2220" customFormat="false" ht="15" hidden="false" customHeight="false" outlineLevel="0" collapsed="false">
      <c r="A2220" s="10" t="n">
        <v>2214</v>
      </c>
      <c r="B2220" s="12" t="s">
        <v>3424</v>
      </c>
      <c r="C2220" s="12" t="s">
        <v>2222</v>
      </c>
      <c r="D2220" s="13"/>
      <c r="E2220" s="14"/>
      <c r="F2220" s="15" t="str">
        <f aca="false">IF(D2220="","",ROUND((D2220-MIN($D$7:$D$9999))*86400,2))</f>
        <v/>
      </c>
      <c r="G2220" s="10" t="str">
        <f aca="false">IF(D2220="","",IF(D2220&lt;=($E$3*60+$F$3)/86400,"○",""))</f>
        <v/>
      </c>
      <c r="H2220" s="16"/>
      <c r="I2220" s="17"/>
      <c r="J2220" s="16" t="n">
        <v>0.00290902777777778</v>
      </c>
      <c r="K2220" s="17" t="n">
        <v>1010</v>
      </c>
      <c r="L2220" s="17" t="n">
        <f aca="false">COUNT(E2220,I2220,K2220)</f>
        <v>1</v>
      </c>
      <c r="M2220" s="18" t="n">
        <f aca="false">(D2220&lt;&gt;"")*(D2220&lt;=($E$3*60+$F$3)/86400)+(H2220&lt;&gt;"")*(H2220&lt;=($I$3*60+$J$3)/86400)+(J2220&lt;&gt;"")*(J2220&lt;=($M$3*60+$N$3)/86400)</f>
        <v>0</v>
      </c>
      <c r="N2220" s="20"/>
      <c r="O2220" s="20"/>
      <c r="P2220" s="20"/>
      <c r="Q2220" s="19"/>
    </row>
    <row r="2221" customFormat="false" ht="15" hidden="false" customHeight="false" outlineLevel="0" collapsed="false">
      <c r="A2221" s="10" t="n">
        <v>2215</v>
      </c>
      <c r="B2221" s="12" t="s">
        <v>3425</v>
      </c>
      <c r="C2221" s="12" t="s">
        <v>3426</v>
      </c>
      <c r="D2221" s="13"/>
      <c r="E2221" s="14"/>
      <c r="F2221" s="15" t="str">
        <f aca="false">IF(D2221="","",ROUND((D2221-MIN($D$7:$D$9999))*86400,2))</f>
        <v/>
      </c>
      <c r="G2221" s="10" t="str">
        <f aca="false">IF(D2221="","",IF(D2221&lt;=($E$3*60+$F$3)/86400,"○",""))</f>
        <v/>
      </c>
      <c r="H2221" s="16" t="n">
        <v>0.00762233796296296</v>
      </c>
      <c r="I2221" s="17" t="n">
        <v>1011</v>
      </c>
      <c r="J2221" s="16"/>
      <c r="K2221" s="17"/>
      <c r="L2221" s="17" t="n">
        <f aca="false">COUNT(E2221,I2221,K2221)</f>
        <v>1</v>
      </c>
      <c r="M2221" s="18" t="n">
        <f aca="false">(D2221&lt;&gt;"")*(D2221&lt;=($E$3*60+$F$3)/86400)+(H2221&lt;&gt;"")*(H2221&lt;=($I$3*60+$J$3)/86400)+(J2221&lt;&gt;"")*(J2221&lt;=($M$3*60+$N$3)/86400)</f>
        <v>0</v>
      </c>
      <c r="N2221" s="20"/>
      <c r="O2221" s="20"/>
      <c r="P2221" s="20"/>
      <c r="Q2221" s="19"/>
    </row>
    <row r="2222" customFormat="false" ht="15" hidden="false" customHeight="false" outlineLevel="0" collapsed="false">
      <c r="A2222" s="10" t="n">
        <v>2216</v>
      </c>
      <c r="B2222" s="12" t="s">
        <v>3427</v>
      </c>
      <c r="C2222" s="12" t="s">
        <v>2196</v>
      </c>
      <c r="D2222" s="13"/>
      <c r="E2222" s="14"/>
      <c r="F2222" s="15" t="str">
        <f aca="false">IF(D2222="","",ROUND((D2222-MIN($D$7:$D$9999))*86400,2))</f>
        <v/>
      </c>
      <c r="G2222" s="10" t="str">
        <f aca="false">IF(D2222="","",IF(D2222&lt;=($E$3*60+$F$3)/86400,"○",""))</f>
        <v/>
      </c>
      <c r="H2222" s="16"/>
      <c r="I2222" s="17"/>
      <c r="J2222" s="16" t="n">
        <v>0.00290914351851852</v>
      </c>
      <c r="K2222" s="17" t="n">
        <v>1011</v>
      </c>
      <c r="L2222" s="17" t="n">
        <f aca="false">COUNT(E2222,I2222,K2222)</f>
        <v>1</v>
      </c>
      <c r="M2222" s="18" t="n">
        <f aca="false">(D2222&lt;&gt;"")*(D2222&lt;=($E$3*60+$F$3)/86400)+(H2222&lt;&gt;"")*(H2222&lt;=($I$3*60+$J$3)/86400)+(J2222&lt;&gt;"")*(J2222&lt;=($M$3*60+$N$3)/86400)</f>
        <v>0</v>
      </c>
      <c r="N2222" s="20"/>
      <c r="O2222" s="20"/>
      <c r="P2222" s="20"/>
      <c r="Q2222" s="19"/>
    </row>
    <row r="2223" customFormat="false" ht="15" hidden="false" customHeight="false" outlineLevel="0" collapsed="false">
      <c r="A2223" s="10" t="n">
        <v>2217</v>
      </c>
      <c r="B2223" s="12" t="s">
        <v>3428</v>
      </c>
      <c r="C2223" s="12" t="s">
        <v>1255</v>
      </c>
      <c r="D2223" s="13"/>
      <c r="E2223" s="14"/>
      <c r="F2223" s="15" t="str">
        <f aca="false">IF(D2223="","",ROUND((D2223-MIN($D$7:$D$9999))*86400,2))</f>
        <v/>
      </c>
      <c r="G2223" s="10" t="str">
        <f aca="false">IF(D2223="","",IF(D2223&lt;=($E$3*60+$F$3)/86400,"○",""))</f>
        <v/>
      </c>
      <c r="H2223" s="16" t="n">
        <v>0.00762511574074074</v>
      </c>
      <c r="I2223" s="17" t="n">
        <v>1012</v>
      </c>
      <c r="J2223" s="16"/>
      <c r="K2223" s="17"/>
      <c r="L2223" s="17" t="n">
        <f aca="false">COUNT(E2223,I2223,K2223)</f>
        <v>1</v>
      </c>
      <c r="M2223" s="18" t="n">
        <f aca="false">(D2223&lt;&gt;"")*(D2223&lt;=($E$3*60+$F$3)/86400)+(H2223&lt;&gt;"")*(H2223&lt;=($I$3*60+$J$3)/86400)+(J2223&lt;&gt;"")*(J2223&lt;=($M$3*60+$N$3)/86400)</f>
        <v>0</v>
      </c>
      <c r="N2223" s="20"/>
      <c r="O2223" s="20"/>
      <c r="P2223" s="20"/>
      <c r="Q2223" s="19"/>
    </row>
    <row r="2224" customFormat="false" ht="15" hidden="false" customHeight="false" outlineLevel="0" collapsed="false">
      <c r="A2224" s="10" t="n">
        <v>2218</v>
      </c>
      <c r="B2224" s="12" t="s">
        <v>3429</v>
      </c>
      <c r="C2224" s="12" t="s">
        <v>2822</v>
      </c>
      <c r="D2224" s="13"/>
      <c r="E2224" s="14"/>
      <c r="F2224" s="15" t="str">
        <f aca="false">IF(D2224="","",ROUND((D2224-MIN($D$7:$D$9999))*86400,2))</f>
        <v/>
      </c>
      <c r="G2224" s="10" t="str">
        <f aca="false">IF(D2224="","",IF(D2224&lt;=($E$3*60+$F$3)/86400,"○",""))</f>
        <v/>
      </c>
      <c r="H2224" s="16" t="n">
        <v>0.00762534722222222</v>
      </c>
      <c r="I2224" s="17" t="n">
        <v>1013</v>
      </c>
      <c r="J2224" s="16"/>
      <c r="K2224" s="17"/>
      <c r="L2224" s="17" t="n">
        <f aca="false">COUNT(E2224,I2224,K2224)</f>
        <v>1</v>
      </c>
      <c r="M2224" s="18" t="n">
        <f aca="false">(D2224&lt;&gt;"")*(D2224&lt;=($E$3*60+$F$3)/86400)+(H2224&lt;&gt;"")*(H2224&lt;=($I$3*60+$J$3)/86400)+(J2224&lt;&gt;"")*(J2224&lt;=($M$3*60+$N$3)/86400)</f>
        <v>0</v>
      </c>
      <c r="N2224" s="20"/>
      <c r="O2224" s="20"/>
      <c r="P2224" s="20"/>
      <c r="Q2224" s="19"/>
    </row>
    <row r="2225" customFormat="false" ht="15" hidden="false" customHeight="false" outlineLevel="0" collapsed="false">
      <c r="A2225" s="10" t="n">
        <v>2219</v>
      </c>
      <c r="B2225" s="12" t="s">
        <v>3430</v>
      </c>
      <c r="C2225" s="12" t="s">
        <v>406</v>
      </c>
      <c r="D2225" s="13"/>
      <c r="E2225" s="14"/>
      <c r="F2225" s="15" t="str">
        <f aca="false">IF(D2225="","",ROUND((D2225-MIN($D$7:$D$9999))*86400,2))</f>
        <v/>
      </c>
      <c r="G2225" s="10" t="str">
        <f aca="false">IF(D2225="","",IF(D2225&lt;=($E$3*60+$F$3)/86400,"○",""))</f>
        <v/>
      </c>
      <c r="H2225" s="16" t="n">
        <v>0.00762673611111111</v>
      </c>
      <c r="I2225" s="17" t="n">
        <v>1014</v>
      </c>
      <c r="J2225" s="16"/>
      <c r="K2225" s="17"/>
      <c r="L2225" s="17" t="n">
        <f aca="false">COUNT(E2225,I2225,K2225)</f>
        <v>1</v>
      </c>
      <c r="M2225" s="18" t="n">
        <f aca="false">(D2225&lt;&gt;"")*(D2225&lt;=($E$3*60+$F$3)/86400)+(H2225&lt;&gt;"")*(H2225&lt;=($I$3*60+$J$3)/86400)+(J2225&lt;&gt;"")*(J2225&lt;=($M$3*60+$N$3)/86400)</f>
        <v>0</v>
      </c>
      <c r="N2225" s="20"/>
      <c r="O2225" s="20"/>
      <c r="P2225" s="20"/>
      <c r="Q2225" s="19"/>
    </row>
    <row r="2226" customFormat="false" ht="15" hidden="false" customHeight="false" outlineLevel="0" collapsed="false">
      <c r="A2226" s="10" t="n">
        <v>2220</v>
      </c>
      <c r="B2226" s="12" t="s">
        <v>3431</v>
      </c>
      <c r="C2226" s="12" t="s">
        <v>3432</v>
      </c>
      <c r="D2226" s="13"/>
      <c r="E2226" s="14"/>
      <c r="F2226" s="15" t="str">
        <f aca="false">IF(D2226="","",ROUND((D2226-MIN($D$7:$D$9999))*86400,2))</f>
        <v/>
      </c>
      <c r="G2226" s="10" t="str">
        <f aca="false">IF(D2226="","",IF(D2226&lt;=($E$3*60+$F$3)/86400,"○",""))</f>
        <v/>
      </c>
      <c r="H2226" s="16"/>
      <c r="I2226" s="17"/>
      <c r="J2226" s="16" t="n">
        <v>0.00290960648148148</v>
      </c>
      <c r="K2226" s="17" t="n">
        <v>1014</v>
      </c>
      <c r="L2226" s="17" t="n">
        <f aca="false">COUNT(E2226,I2226,K2226)</f>
        <v>1</v>
      </c>
      <c r="M2226" s="18" t="n">
        <f aca="false">(D2226&lt;&gt;"")*(D2226&lt;=($E$3*60+$F$3)/86400)+(H2226&lt;&gt;"")*(H2226&lt;=($I$3*60+$J$3)/86400)+(J2226&lt;&gt;"")*(J2226&lt;=($M$3*60+$N$3)/86400)</f>
        <v>0</v>
      </c>
      <c r="N2226" s="20"/>
      <c r="O2226" s="20"/>
      <c r="P2226" s="20"/>
      <c r="Q2226" s="19"/>
    </row>
    <row r="2227" customFormat="false" ht="15" hidden="false" customHeight="false" outlineLevel="0" collapsed="false">
      <c r="A2227" s="10" t="n">
        <v>2221</v>
      </c>
      <c r="B2227" s="12" t="s">
        <v>3433</v>
      </c>
      <c r="C2227" s="12" t="s">
        <v>2807</v>
      </c>
      <c r="D2227" s="13"/>
      <c r="E2227" s="14"/>
      <c r="F2227" s="15" t="str">
        <f aca="false">IF(D2227="","",ROUND((D2227-MIN($D$7:$D$9999))*86400,2))</f>
        <v/>
      </c>
      <c r="G2227" s="10" t="str">
        <f aca="false">IF(D2227="","",IF(D2227&lt;=($E$3*60+$F$3)/86400,"○",""))</f>
        <v/>
      </c>
      <c r="H2227" s="16" t="n">
        <v>0.00762766203703704</v>
      </c>
      <c r="I2227" s="17" t="n">
        <v>1015</v>
      </c>
      <c r="J2227" s="16"/>
      <c r="K2227" s="17"/>
      <c r="L2227" s="17" t="n">
        <f aca="false">COUNT(E2227,I2227,K2227)</f>
        <v>1</v>
      </c>
      <c r="M2227" s="18" t="n">
        <f aca="false">(D2227&lt;&gt;"")*(D2227&lt;=($E$3*60+$F$3)/86400)+(H2227&lt;&gt;"")*(H2227&lt;=($I$3*60+$J$3)/86400)+(J2227&lt;&gt;"")*(J2227&lt;=($M$3*60+$N$3)/86400)</f>
        <v>0</v>
      </c>
      <c r="N2227" s="20"/>
      <c r="O2227" s="20"/>
      <c r="P2227" s="20"/>
      <c r="Q2227" s="19"/>
    </row>
    <row r="2228" customFormat="false" ht="15" hidden="false" customHeight="false" outlineLevel="0" collapsed="false">
      <c r="A2228" s="10" t="n">
        <v>2222</v>
      </c>
      <c r="B2228" s="12" t="s">
        <v>3434</v>
      </c>
      <c r="C2228" s="12" t="s">
        <v>3435</v>
      </c>
      <c r="D2228" s="13"/>
      <c r="E2228" s="14"/>
      <c r="F2228" s="15" t="str">
        <f aca="false">IF(D2228="","",ROUND((D2228-MIN($D$7:$D$9999))*86400,2))</f>
        <v/>
      </c>
      <c r="G2228" s="10" t="str">
        <f aca="false">IF(D2228="","",IF(D2228&lt;=($E$3*60+$F$3)/86400,"○",""))</f>
        <v/>
      </c>
      <c r="H2228" s="16" t="n">
        <v>0.00762777777777778</v>
      </c>
      <c r="I2228" s="17" t="n">
        <v>1016</v>
      </c>
      <c r="J2228" s="16"/>
      <c r="K2228" s="17"/>
      <c r="L2228" s="17" t="n">
        <f aca="false">COUNT(E2228,I2228,K2228)</f>
        <v>1</v>
      </c>
      <c r="M2228" s="18" t="n">
        <f aca="false">(D2228&lt;&gt;"")*(D2228&lt;=($E$3*60+$F$3)/86400)+(H2228&lt;&gt;"")*(H2228&lt;=($I$3*60+$J$3)/86400)+(J2228&lt;&gt;"")*(J2228&lt;=($M$3*60+$N$3)/86400)</f>
        <v>0</v>
      </c>
      <c r="N2228" s="20"/>
      <c r="O2228" s="20"/>
      <c r="P2228" s="20"/>
      <c r="Q2228" s="19"/>
    </row>
    <row r="2229" customFormat="false" ht="15" hidden="false" customHeight="false" outlineLevel="0" collapsed="false">
      <c r="A2229" s="10" t="n">
        <v>2223</v>
      </c>
      <c r="B2229" s="12" t="s">
        <v>3436</v>
      </c>
      <c r="C2229" s="12" t="s">
        <v>3437</v>
      </c>
      <c r="D2229" s="13"/>
      <c r="E2229" s="14"/>
      <c r="F2229" s="15" t="str">
        <f aca="false">IF(D2229="","",ROUND((D2229-MIN($D$7:$D$9999))*86400,2))</f>
        <v/>
      </c>
      <c r="G2229" s="10" t="str">
        <f aca="false">IF(D2229="","",IF(D2229&lt;=($E$3*60+$F$3)/86400,"○",""))</f>
        <v/>
      </c>
      <c r="H2229" s="16"/>
      <c r="I2229" s="17"/>
      <c r="J2229" s="16" t="n">
        <v>0.00290972222222222</v>
      </c>
      <c r="K2229" s="17" t="n">
        <v>1016</v>
      </c>
      <c r="L2229" s="17" t="n">
        <f aca="false">COUNT(E2229,I2229,K2229)</f>
        <v>1</v>
      </c>
      <c r="M2229" s="18" t="n">
        <f aca="false">(D2229&lt;&gt;"")*(D2229&lt;=($E$3*60+$F$3)/86400)+(H2229&lt;&gt;"")*(H2229&lt;=($I$3*60+$J$3)/86400)+(J2229&lt;&gt;"")*(J2229&lt;=($M$3*60+$N$3)/86400)</f>
        <v>0</v>
      </c>
      <c r="N2229" s="20"/>
      <c r="O2229" s="20"/>
      <c r="P2229" s="20"/>
      <c r="Q2229" s="19"/>
    </row>
    <row r="2230" customFormat="false" ht="15" hidden="false" customHeight="false" outlineLevel="0" collapsed="false">
      <c r="A2230" s="10" t="n">
        <v>2224</v>
      </c>
      <c r="B2230" s="12" t="s">
        <v>3438</v>
      </c>
      <c r="C2230" s="12" t="s">
        <v>3439</v>
      </c>
      <c r="D2230" s="13"/>
      <c r="E2230" s="14"/>
      <c r="F2230" s="15" t="str">
        <f aca="false">IF(D2230="","",ROUND((D2230-MIN($D$7:$D$9999))*86400,2))</f>
        <v/>
      </c>
      <c r="G2230" s="10" t="str">
        <f aca="false">IF(D2230="","",IF(D2230&lt;=($E$3*60+$F$3)/86400,"○",""))</f>
        <v/>
      </c>
      <c r="H2230" s="16" t="n">
        <v>0.00762905092592593</v>
      </c>
      <c r="I2230" s="17" t="n">
        <v>1017</v>
      </c>
      <c r="J2230" s="16"/>
      <c r="K2230" s="17"/>
      <c r="L2230" s="17" t="n">
        <f aca="false">COUNT(E2230,I2230,K2230)</f>
        <v>1</v>
      </c>
      <c r="M2230" s="18" t="n">
        <f aca="false">(D2230&lt;&gt;"")*(D2230&lt;=($E$3*60+$F$3)/86400)+(H2230&lt;&gt;"")*(H2230&lt;=($I$3*60+$J$3)/86400)+(J2230&lt;&gt;"")*(J2230&lt;=($M$3*60+$N$3)/86400)</f>
        <v>0</v>
      </c>
      <c r="N2230" s="20"/>
      <c r="O2230" s="20"/>
      <c r="P2230" s="20"/>
      <c r="Q2230" s="19"/>
    </row>
    <row r="2231" customFormat="false" ht="15" hidden="false" customHeight="false" outlineLevel="0" collapsed="false">
      <c r="A2231" s="10" t="n">
        <v>2225</v>
      </c>
      <c r="B2231" s="12" t="s">
        <v>3440</v>
      </c>
      <c r="C2231" s="12" t="s">
        <v>311</v>
      </c>
      <c r="D2231" s="13"/>
      <c r="E2231" s="14"/>
      <c r="F2231" s="15" t="str">
        <f aca="false">IF(D2231="","",ROUND((D2231-MIN($D$7:$D$9999))*86400,2))</f>
        <v/>
      </c>
      <c r="G2231" s="10" t="str">
        <f aca="false">IF(D2231="","",IF(D2231&lt;=($E$3*60+$F$3)/86400,"○",""))</f>
        <v/>
      </c>
      <c r="H2231" s="16"/>
      <c r="I2231" s="17"/>
      <c r="J2231" s="16" t="n">
        <v>0.00290972222222222</v>
      </c>
      <c r="K2231" s="17" t="n">
        <v>1017</v>
      </c>
      <c r="L2231" s="17" t="n">
        <f aca="false">COUNT(E2231,I2231,K2231)</f>
        <v>1</v>
      </c>
      <c r="M2231" s="18" t="n">
        <f aca="false">(D2231&lt;&gt;"")*(D2231&lt;=($E$3*60+$F$3)/86400)+(H2231&lt;&gt;"")*(H2231&lt;=($I$3*60+$J$3)/86400)+(J2231&lt;&gt;"")*(J2231&lt;=($M$3*60+$N$3)/86400)</f>
        <v>0</v>
      </c>
      <c r="N2231" s="20"/>
      <c r="O2231" s="20"/>
      <c r="P2231" s="20"/>
      <c r="Q2231" s="19"/>
    </row>
    <row r="2232" customFormat="false" ht="15" hidden="false" customHeight="false" outlineLevel="0" collapsed="false">
      <c r="A2232" s="10" t="n">
        <v>2226</v>
      </c>
      <c r="B2232" s="12" t="s">
        <v>3441</v>
      </c>
      <c r="C2232" s="12" t="s">
        <v>3442</v>
      </c>
      <c r="D2232" s="13"/>
      <c r="E2232" s="14"/>
      <c r="F2232" s="15" t="str">
        <f aca="false">IF(D2232="","",ROUND((D2232-MIN($D$7:$D$9999))*86400,2))</f>
        <v/>
      </c>
      <c r="G2232" s="10" t="str">
        <f aca="false">IF(D2232="","",IF(D2232&lt;=($E$3*60+$F$3)/86400,"○",""))</f>
        <v/>
      </c>
      <c r="H2232" s="16" t="n">
        <v>0.00762939814814815</v>
      </c>
      <c r="I2232" s="17" t="n">
        <v>1018</v>
      </c>
      <c r="J2232" s="16"/>
      <c r="K2232" s="17"/>
      <c r="L2232" s="17" t="n">
        <f aca="false">COUNT(E2232,I2232,K2232)</f>
        <v>1</v>
      </c>
      <c r="M2232" s="18" t="n">
        <f aca="false">(D2232&lt;&gt;"")*(D2232&lt;=($E$3*60+$F$3)/86400)+(H2232&lt;&gt;"")*(H2232&lt;=($I$3*60+$J$3)/86400)+(J2232&lt;&gt;"")*(J2232&lt;=($M$3*60+$N$3)/86400)</f>
        <v>0</v>
      </c>
      <c r="N2232" s="20"/>
      <c r="O2232" s="20"/>
      <c r="P2232" s="20"/>
      <c r="Q2232" s="19"/>
    </row>
    <row r="2233" customFormat="false" ht="15" hidden="false" customHeight="false" outlineLevel="0" collapsed="false">
      <c r="A2233" s="10" t="n">
        <v>2227</v>
      </c>
      <c r="B2233" s="12" t="s">
        <v>3443</v>
      </c>
      <c r="C2233" s="12" t="s">
        <v>3444</v>
      </c>
      <c r="D2233" s="13"/>
      <c r="E2233" s="14"/>
      <c r="F2233" s="15" t="str">
        <f aca="false">IF(D2233="","",ROUND((D2233-MIN($D$7:$D$9999))*86400,2))</f>
        <v/>
      </c>
      <c r="G2233" s="10" t="str">
        <f aca="false">IF(D2233="","",IF(D2233&lt;=($E$3*60+$F$3)/86400,"○",""))</f>
        <v/>
      </c>
      <c r="H2233" s="16" t="n">
        <v>0.00762962962962963</v>
      </c>
      <c r="I2233" s="17" t="n">
        <v>1019</v>
      </c>
      <c r="J2233" s="16"/>
      <c r="K2233" s="17"/>
      <c r="L2233" s="17" t="n">
        <f aca="false">COUNT(E2233,I2233,K2233)</f>
        <v>1</v>
      </c>
      <c r="M2233" s="18" t="n">
        <f aca="false">(D2233&lt;&gt;"")*(D2233&lt;=($E$3*60+$F$3)/86400)+(H2233&lt;&gt;"")*(H2233&lt;=($I$3*60+$J$3)/86400)+(J2233&lt;&gt;"")*(J2233&lt;=($M$3*60+$N$3)/86400)</f>
        <v>0</v>
      </c>
      <c r="N2233" s="20"/>
      <c r="O2233" s="20"/>
      <c r="P2233" s="20"/>
      <c r="Q2233" s="19"/>
    </row>
    <row r="2234" customFormat="false" ht="15" hidden="false" customHeight="false" outlineLevel="0" collapsed="false">
      <c r="A2234" s="10" t="n">
        <v>2228</v>
      </c>
      <c r="B2234" s="12" t="s">
        <v>3445</v>
      </c>
      <c r="C2234" s="12" t="s">
        <v>3446</v>
      </c>
      <c r="D2234" s="13"/>
      <c r="E2234" s="14"/>
      <c r="F2234" s="15" t="str">
        <f aca="false">IF(D2234="","",ROUND((D2234-MIN($D$7:$D$9999))*86400,2))</f>
        <v/>
      </c>
      <c r="G2234" s="10" t="str">
        <f aca="false">IF(D2234="","",IF(D2234&lt;=($E$3*60+$F$3)/86400,"○",""))</f>
        <v/>
      </c>
      <c r="H2234" s="16" t="n">
        <v>0.00763043981481482</v>
      </c>
      <c r="I2234" s="17" t="n">
        <v>1020</v>
      </c>
      <c r="J2234" s="16"/>
      <c r="K2234" s="17"/>
      <c r="L2234" s="17" t="n">
        <f aca="false">COUNT(E2234,I2234,K2234)</f>
        <v>1</v>
      </c>
      <c r="M2234" s="18" t="n">
        <f aca="false">(D2234&lt;&gt;"")*(D2234&lt;=($E$3*60+$F$3)/86400)+(H2234&lt;&gt;"")*(H2234&lt;=($I$3*60+$J$3)/86400)+(J2234&lt;&gt;"")*(J2234&lt;=($M$3*60+$N$3)/86400)</f>
        <v>0</v>
      </c>
      <c r="N2234" s="20"/>
      <c r="O2234" s="20"/>
      <c r="P2234" s="20"/>
      <c r="Q2234" s="19"/>
    </row>
    <row r="2235" customFormat="false" ht="15" hidden="false" customHeight="false" outlineLevel="0" collapsed="false">
      <c r="A2235" s="10" t="n">
        <v>2229</v>
      </c>
      <c r="B2235" s="12" t="s">
        <v>3447</v>
      </c>
      <c r="C2235" s="12" t="s">
        <v>2119</v>
      </c>
      <c r="D2235" s="13"/>
      <c r="E2235" s="14"/>
      <c r="F2235" s="15" t="str">
        <f aca="false">IF(D2235="","",ROUND((D2235-MIN($D$7:$D$9999))*86400,2))</f>
        <v/>
      </c>
      <c r="G2235" s="10" t="str">
        <f aca="false">IF(D2235="","",IF(D2235&lt;=($E$3*60+$F$3)/86400,"○",""))</f>
        <v/>
      </c>
      <c r="H2235" s="16"/>
      <c r="I2235" s="17"/>
      <c r="J2235" s="16" t="n">
        <v>0.00291006944444445</v>
      </c>
      <c r="K2235" s="17" t="n">
        <v>1020</v>
      </c>
      <c r="L2235" s="17" t="n">
        <f aca="false">COUNT(E2235,I2235,K2235)</f>
        <v>1</v>
      </c>
      <c r="M2235" s="18" t="n">
        <f aca="false">(D2235&lt;&gt;"")*(D2235&lt;=($E$3*60+$F$3)/86400)+(H2235&lt;&gt;"")*(H2235&lt;=($I$3*60+$J$3)/86400)+(J2235&lt;&gt;"")*(J2235&lt;=($M$3*60+$N$3)/86400)</f>
        <v>0</v>
      </c>
      <c r="N2235" s="20"/>
      <c r="O2235" s="20"/>
      <c r="P2235" s="20"/>
      <c r="Q2235" s="19"/>
    </row>
    <row r="2236" customFormat="false" ht="15" hidden="false" customHeight="false" outlineLevel="0" collapsed="false">
      <c r="A2236" s="10" t="n">
        <v>2230</v>
      </c>
      <c r="B2236" s="12" t="s">
        <v>3448</v>
      </c>
      <c r="C2236" s="12" t="s">
        <v>790</v>
      </c>
      <c r="D2236" s="13"/>
      <c r="E2236" s="14"/>
      <c r="F2236" s="15" t="str">
        <f aca="false">IF(D2236="","",ROUND((D2236-MIN($D$7:$D$9999))*86400,2))</f>
        <v/>
      </c>
      <c r="G2236" s="10" t="str">
        <f aca="false">IF(D2236="","",IF(D2236&lt;=($E$3*60+$F$3)/86400,"○",""))</f>
        <v/>
      </c>
      <c r="H2236" s="16" t="n">
        <v>0.00763333333333333</v>
      </c>
      <c r="I2236" s="17" t="n">
        <v>1021</v>
      </c>
      <c r="J2236" s="16"/>
      <c r="K2236" s="17"/>
      <c r="L2236" s="17" t="n">
        <f aca="false">COUNT(E2236,I2236,K2236)</f>
        <v>1</v>
      </c>
      <c r="M2236" s="18" t="n">
        <f aca="false">(D2236&lt;&gt;"")*(D2236&lt;=($E$3*60+$F$3)/86400)+(H2236&lt;&gt;"")*(H2236&lt;=($I$3*60+$J$3)/86400)+(J2236&lt;&gt;"")*(J2236&lt;=($M$3*60+$N$3)/86400)</f>
        <v>0</v>
      </c>
      <c r="N2236" s="20"/>
      <c r="O2236" s="20"/>
      <c r="P2236" s="20"/>
      <c r="Q2236" s="19"/>
    </row>
    <row r="2237" customFormat="false" ht="15" hidden="false" customHeight="false" outlineLevel="0" collapsed="false">
      <c r="A2237" s="10" t="n">
        <v>2231</v>
      </c>
      <c r="B2237" s="12" t="s">
        <v>3449</v>
      </c>
      <c r="C2237" s="12" t="s">
        <v>3450</v>
      </c>
      <c r="D2237" s="13"/>
      <c r="E2237" s="14"/>
      <c r="F2237" s="15" t="str">
        <f aca="false">IF(D2237="","",ROUND((D2237-MIN($D$7:$D$9999))*86400,2))</f>
        <v/>
      </c>
      <c r="G2237" s="10" t="str">
        <f aca="false">IF(D2237="","",IF(D2237&lt;=($E$3*60+$F$3)/86400,"○",""))</f>
        <v/>
      </c>
      <c r="H2237" s="16"/>
      <c r="I2237" s="17"/>
      <c r="J2237" s="16" t="n">
        <v>0.00291006944444445</v>
      </c>
      <c r="K2237" s="17" t="n">
        <v>1021</v>
      </c>
      <c r="L2237" s="17" t="n">
        <f aca="false">COUNT(E2237,I2237,K2237)</f>
        <v>1</v>
      </c>
      <c r="M2237" s="18" t="n">
        <f aca="false">(D2237&lt;&gt;"")*(D2237&lt;=($E$3*60+$F$3)/86400)+(H2237&lt;&gt;"")*(H2237&lt;=($I$3*60+$J$3)/86400)+(J2237&lt;&gt;"")*(J2237&lt;=($M$3*60+$N$3)/86400)</f>
        <v>0</v>
      </c>
      <c r="N2237" s="20"/>
      <c r="O2237" s="20"/>
      <c r="P2237" s="20"/>
      <c r="Q2237" s="19"/>
    </row>
    <row r="2238" customFormat="false" ht="15" hidden="false" customHeight="false" outlineLevel="0" collapsed="false">
      <c r="A2238" s="10" t="n">
        <v>2232</v>
      </c>
      <c r="B2238" s="12" t="s">
        <v>3451</v>
      </c>
      <c r="C2238" s="12" t="s">
        <v>3452</v>
      </c>
      <c r="D2238" s="13"/>
      <c r="E2238" s="14"/>
      <c r="F2238" s="15" t="str">
        <f aca="false">IF(D2238="","",ROUND((D2238-MIN($D$7:$D$9999))*86400,2))</f>
        <v/>
      </c>
      <c r="G2238" s="10" t="str">
        <f aca="false">IF(D2238="","",IF(D2238&lt;=($E$3*60+$F$3)/86400,"○",""))</f>
        <v/>
      </c>
      <c r="H2238" s="16" t="n">
        <v>0.00763344907407407</v>
      </c>
      <c r="I2238" s="17" t="n">
        <v>1022</v>
      </c>
      <c r="J2238" s="16"/>
      <c r="K2238" s="17"/>
      <c r="L2238" s="17" t="n">
        <f aca="false">COUNT(E2238,I2238,K2238)</f>
        <v>1</v>
      </c>
      <c r="M2238" s="18" t="n">
        <f aca="false">(D2238&lt;&gt;"")*(D2238&lt;=($E$3*60+$F$3)/86400)+(H2238&lt;&gt;"")*(H2238&lt;=($I$3*60+$J$3)/86400)+(J2238&lt;&gt;"")*(J2238&lt;=($M$3*60+$N$3)/86400)</f>
        <v>0</v>
      </c>
      <c r="N2238" s="20"/>
      <c r="O2238" s="20"/>
      <c r="P2238" s="20"/>
      <c r="Q2238" s="19"/>
    </row>
    <row r="2239" customFormat="false" ht="15" hidden="false" customHeight="false" outlineLevel="0" collapsed="false">
      <c r="A2239" s="10" t="n">
        <v>2233</v>
      </c>
      <c r="B2239" s="12" t="s">
        <v>3453</v>
      </c>
      <c r="C2239" s="12" t="s">
        <v>2899</v>
      </c>
      <c r="D2239" s="13"/>
      <c r="E2239" s="14"/>
      <c r="F2239" s="15" t="str">
        <f aca="false">IF(D2239="","",ROUND((D2239-MIN($D$7:$D$9999))*86400,2))</f>
        <v/>
      </c>
      <c r="G2239" s="10" t="str">
        <f aca="false">IF(D2239="","",IF(D2239&lt;=($E$3*60+$F$3)/86400,"○",""))</f>
        <v/>
      </c>
      <c r="H2239" s="16"/>
      <c r="I2239" s="17"/>
      <c r="J2239" s="16" t="n">
        <v>0.00291030092592593</v>
      </c>
      <c r="K2239" s="17" t="n">
        <v>1022</v>
      </c>
      <c r="L2239" s="17" t="n">
        <f aca="false">COUNT(E2239,I2239,K2239)</f>
        <v>1</v>
      </c>
      <c r="M2239" s="18" t="n">
        <f aca="false">(D2239&lt;&gt;"")*(D2239&lt;=($E$3*60+$F$3)/86400)+(H2239&lt;&gt;"")*(H2239&lt;=($I$3*60+$J$3)/86400)+(J2239&lt;&gt;"")*(J2239&lt;=($M$3*60+$N$3)/86400)</f>
        <v>0</v>
      </c>
      <c r="N2239" s="20"/>
      <c r="O2239" s="20"/>
      <c r="P2239" s="20"/>
      <c r="Q2239" s="19"/>
    </row>
    <row r="2240" customFormat="false" ht="15" hidden="false" customHeight="false" outlineLevel="0" collapsed="false">
      <c r="A2240" s="10" t="n">
        <v>2234</v>
      </c>
      <c r="B2240" s="12" t="s">
        <v>3454</v>
      </c>
      <c r="C2240" s="12" t="s">
        <v>3455</v>
      </c>
      <c r="D2240" s="13"/>
      <c r="E2240" s="14"/>
      <c r="F2240" s="15" t="str">
        <f aca="false">IF(D2240="","",ROUND((D2240-MIN($D$7:$D$9999))*86400,2))</f>
        <v/>
      </c>
      <c r="G2240" s="10" t="str">
        <f aca="false">IF(D2240="","",IF(D2240&lt;=($E$3*60+$F$3)/86400,"○",""))</f>
        <v/>
      </c>
      <c r="H2240" s="16" t="n">
        <v>0.00763449074074074</v>
      </c>
      <c r="I2240" s="17" t="n">
        <v>1023</v>
      </c>
      <c r="J2240" s="16"/>
      <c r="K2240" s="17"/>
      <c r="L2240" s="17" t="n">
        <f aca="false">COUNT(E2240,I2240,K2240)</f>
        <v>1</v>
      </c>
      <c r="M2240" s="18" t="n">
        <f aca="false">(D2240&lt;&gt;"")*(D2240&lt;=($E$3*60+$F$3)/86400)+(H2240&lt;&gt;"")*(H2240&lt;=($I$3*60+$J$3)/86400)+(J2240&lt;&gt;"")*(J2240&lt;=($M$3*60+$N$3)/86400)</f>
        <v>0</v>
      </c>
      <c r="N2240" s="20"/>
      <c r="O2240" s="20"/>
      <c r="P2240" s="20"/>
      <c r="Q2240" s="19"/>
    </row>
    <row r="2241" customFormat="false" ht="15" hidden="false" customHeight="false" outlineLevel="0" collapsed="false">
      <c r="A2241" s="10" t="n">
        <v>2235</v>
      </c>
      <c r="B2241" s="12" t="s">
        <v>3456</v>
      </c>
      <c r="C2241" s="12" t="s">
        <v>3457</v>
      </c>
      <c r="D2241" s="13"/>
      <c r="E2241" s="14"/>
      <c r="F2241" s="15" t="str">
        <f aca="false">IF(D2241="","",ROUND((D2241-MIN($D$7:$D$9999))*86400,2))</f>
        <v/>
      </c>
      <c r="G2241" s="10" t="str">
        <f aca="false">IF(D2241="","",IF(D2241&lt;=($E$3*60+$F$3)/86400,"○",""))</f>
        <v/>
      </c>
      <c r="H2241" s="16"/>
      <c r="I2241" s="17"/>
      <c r="J2241" s="16" t="n">
        <v>0.00291030092592593</v>
      </c>
      <c r="K2241" s="17" t="n">
        <v>1023</v>
      </c>
      <c r="L2241" s="17" t="n">
        <f aca="false">COUNT(E2241,I2241,K2241)</f>
        <v>1</v>
      </c>
      <c r="M2241" s="18" t="n">
        <f aca="false">(D2241&lt;&gt;"")*(D2241&lt;=($E$3*60+$F$3)/86400)+(H2241&lt;&gt;"")*(H2241&lt;=($I$3*60+$J$3)/86400)+(J2241&lt;&gt;"")*(J2241&lt;=($M$3*60+$N$3)/86400)</f>
        <v>0</v>
      </c>
      <c r="N2241" s="20"/>
      <c r="O2241" s="20"/>
      <c r="P2241" s="20"/>
      <c r="Q2241" s="19"/>
    </row>
    <row r="2242" customFormat="false" ht="15" hidden="false" customHeight="false" outlineLevel="0" collapsed="false">
      <c r="A2242" s="10" t="n">
        <v>2236</v>
      </c>
      <c r="B2242" s="12" t="s">
        <v>3458</v>
      </c>
      <c r="C2242" s="12" t="s">
        <v>3459</v>
      </c>
      <c r="D2242" s="13"/>
      <c r="E2242" s="14"/>
      <c r="F2242" s="15" t="str">
        <f aca="false">IF(D2242="","",ROUND((D2242-MIN($D$7:$D$9999))*86400,2))</f>
        <v/>
      </c>
      <c r="G2242" s="10" t="str">
        <f aca="false">IF(D2242="","",IF(D2242&lt;=($E$3*60+$F$3)/86400,"○",""))</f>
        <v/>
      </c>
      <c r="H2242" s="16" t="n">
        <v>0.00763564814814815</v>
      </c>
      <c r="I2242" s="17" t="n">
        <v>1024</v>
      </c>
      <c r="J2242" s="16"/>
      <c r="K2242" s="17"/>
      <c r="L2242" s="17" t="n">
        <f aca="false">COUNT(E2242,I2242,K2242)</f>
        <v>1</v>
      </c>
      <c r="M2242" s="18" t="n">
        <f aca="false">(D2242&lt;&gt;"")*(D2242&lt;=($E$3*60+$F$3)/86400)+(H2242&lt;&gt;"")*(H2242&lt;=($I$3*60+$J$3)/86400)+(J2242&lt;&gt;"")*(J2242&lt;=($M$3*60+$N$3)/86400)</f>
        <v>0</v>
      </c>
      <c r="N2242" s="20"/>
      <c r="O2242" s="20"/>
      <c r="P2242" s="20"/>
      <c r="Q2242" s="19"/>
    </row>
    <row r="2243" customFormat="false" ht="15" hidden="false" customHeight="false" outlineLevel="0" collapsed="false">
      <c r="A2243" s="10" t="n">
        <v>2237</v>
      </c>
      <c r="B2243" s="12" t="s">
        <v>3460</v>
      </c>
      <c r="C2243" s="12" t="s">
        <v>1558</v>
      </c>
      <c r="D2243" s="13"/>
      <c r="E2243" s="14"/>
      <c r="F2243" s="15" t="str">
        <f aca="false">IF(D2243="","",ROUND((D2243-MIN($D$7:$D$9999))*86400,2))</f>
        <v/>
      </c>
      <c r="G2243" s="10" t="str">
        <f aca="false">IF(D2243="","",IF(D2243&lt;=($E$3*60+$F$3)/86400,"○",""))</f>
        <v/>
      </c>
      <c r="H2243" s="16" t="n">
        <v>0.00763576388888889</v>
      </c>
      <c r="I2243" s="17" t="n">
        <v>1025</v>
      </c>
      <c r="J2243" s="16"/>
      <c r="K2243" s="17"/>
      <c r="L2243" s="17" t="n">
        <f aca="false">COUNT(E2243,I2243,K2243)</f>
        <v>1</v>
      </c>
      <c r="M2243" s="18" t="n">
        <f aca="false">(D2243&lt;&gt;"")*(D2243&lt;=($E$3*60+$F$3)/86400)+(H2243&lt;&gt;"")*(H2243&lt;=($I$3*60+$J$3)/86400)+(J2243&lt;&gt;"")*(J2243&lt;=($M$3*60+$N$3)/86400)</f>
        <v>0</v>
      </c>
      <c r="N2243" s="20"/>
      <c r="O2243" s="20"/>
      <c r="P2243" s="20"/>
      <c r="Q2243" s="19"/>
    </row>
    <row r="2244" customFormat="false" ht="15" hidden="false" customHeight="false" outlineLevel="0" collapsed="false">
      <c r="A2244" s="10" t="n">
        <v>2238</v>
      </c>
      <c r="B2244" s="12" t="s">
        <v>3461</v>
      </c>
      <c r="C2244" s="12" t="s">
        <v>3462</v>
      </c>
      <c r="D2244" s="13"/>
      <c r="E2244" s="14"/>
      <c r="F2244" s="15" t="str">
        <f aca="false">IF(D2244="","",ROUND((D2244-MIN($D$7:$D$9999))*86400,2))</f>
        <v/>
      </c>
      <c r="G2244" s="10" t="str">
        <f aca="false">IF(D2244="","",IF(D2244&lt;=($E$3*60+$F$3)/86400,"○",""))</f>
        <v/>
      </c>
      <c r="H2244" s="16" t="n">
        <v>0.00763831018518519</v>
      </c>
      <c r="I2244" s="17" t="n">
        <v>1026</v>
      </c>
      <c r="J2244" s="16"/>
      <c r="K2244" s="17"/>
      <c r="L2244" s="17" t="n">
        <f aca="false">COUNT(E2244,I2244,K2244)</f>
        <v>1</v>
      </c>
      <c r="M2244" s="18" t="n">
        <f aca="false">(D2244&lt;&gt;"")*(D2244&lt;=($E$3*60+$F$3)/86400)+(H2244&lt;&gt;"")*(H2244&lt;=($I$3*60+$J$3)/86400)+(J2244&lt;&gt;"")*(J2244&lt;=($M$3*60+$N$3)/86400)</f>
        <v>0</v>
      </c>
      <c r="N2244" s="20"/>
      <c r="O2244" s="20"/>
      <c r="P2244" s="20"/>
      <c r="Q2244" s="19"/>
    </row>
    <row r="2245" customFormat="false" ht="15" hidden="false" customHeight="false" outlineLevel="0" collapsed="false">
      <c r="A2245" s="10" t="n">
        <v>2239</v>
      </c>
      <c r="B2245" s="12" t="s">
        <v>3463</v>
      </c>
      <c r="C2245" s="12" t="s">
        <v>3464</v>
      </c>
      <c r="D2245" s="13"/>
      <c r="E2245" s="14"/>
      <c r="F2245" s="15" t="str">
        <f aca="false">IF(D2245="","",ROUND((D2245-MIN($D$7:$D$9999))*86400,2))</f>
        <v/>
      </c>
      <c r="G2245" s="10" t="str">
        <f aca="false">IF(D2245="","",IF(D2245&lt;=($E$3*60+$F$3)/86400,"○",""))</f>
        <v/>
      </c>
      <c r="H2245" s="16" t="n">
        <v>0.00764224537037037</v>
      </c>
      <c r="I2245" s="17" t="n">
        <v>1027</v>
      </c>
      <c r="J2245" s="16"/>
      <c r="K2245" s="17"/>
      <c r="L2245" s="17" t="n">
        <f aca="false">COUNT(E2245,I2245,K2245)</f>
        <v>1</v>
      </c>
      <c r="M2245" s="18" t="n">
        <f aca="false">(D2245&lt;&gt;"")*(D2245&lt;=($E$3*60+$F$3)/86400)+(H2245&lt;&gt;"")*(H2245&lt;=($I$3*60+$J$3)/86400)+(J2245&lt;&gt;"")*(J2245&lt;=($M$3*60+$N$3)/86400)</f>
        <v>0</v>
      </c>
      <c r="N2245" s="20"/>
      <c r="O2245" s="20"/>
      <c r="P2245" s="20"/>
      <c r="Q2245" s="19"/>
    </row>
    <row r="2246" customFormat="false" ht="15" hidden="false" customHeight="false" outlineLevel="0" collapsed="false">
      <c r="A2246" s="10" t="n">
        <v>2240</v>
      </c>
      <c r="B2246" s="12" t="s">
        <v>3465</v>
      </c>
      <c r="C2246" s="12" t="s">
        <v>1035</v>
      </c>
      <c r="D2246" s="13"/>
      <c r="E2246" s="14"/>
      <c r="F2246" s="15" t="str">
        <f aca="false">IF(D2246="","",ROUND((D2246-MIN($D$7:$D$9999))*86400,2))</f>
        <v/>
      </c>
      <c r="G2246" s="10" t="str">
        <f aca="false">IF(D2246="","",IF(D2246&lt;=($E$3*60+$F$3)/86400,"○",""))</f>
        <v/>
      </c>
      <c r="H2246" s="16" t="n">
        <v>0.00764247685185185</v>
      </c>
      <c r="I2246" s="17" t="n">
        <v>1028</v>
      </c>
      <c r="J2246" s="16"/>
      <c r="K2246" s="17"/>
      <c r="L2246" s="17" t="n">
        <f aca="false">COUNT(E2246,I2246,K2246)</f>
        <v>1</v>
      </c>
      <c r="M2246" s="18" t="n">
        <f aca="false">(D2246&lt;&gt;"")*(D2246&lt;=($E$3*60+$F$3)/86400)+(H2246&lt;&gt;"")*(H2246&lt;=($I$3*60+$J$3)/86400)+(J2246&lt;&gt;"")*(J2246&lt;=($M$3*60+$N$3)/86400)</f>
        <v>0</v>
      </c>
      <c r="N2246" s="20"/>
      <c r="O2246" s="20"/>
      <c r="P2246" s="20"/>
      <c r="Q2246" s="19"/>
    </row>
    <row r="2247" customFormat="false" ht="15" hidden="false" customHeight="false" outlineLevel="0" collapsed="false">
      <c r="A2247" s="10" t="n">
        <v>2241</v>
      </c>
      <c r="B2247" s="12" t="s">
        <v>3466</v>
      </c>
      <c r="C2247" s="12" t="s">
        <v>3467</v>
      </c>
      <c r="D2247" s="13"/>
      <c r="E2247" s="14"/>
      <c r="F2247" s="15" t="str">
        <f aca="false">IF(D2247="","",ROUND((D2247-MIN($D$7:$D$9999))*86400,2))</f>
        <v/>
      </c>
      <c r="G2247" s="10" t="str">
        <f aca="false">IF(D2247="","",IF(D2247&lt;=($E$3*60+$F$3)/86400,"○",""))</f>
        <v/>
      </c>
      <c r="H2247" s="16" t="n">
        <v>0.00764270833333333</v>
      </c>
      <c r="I2247" s="17" t="n">
        <v>1029</v>
      </c>
      <c r="J2247" s="16"/>
      <c r="K2247" s="17"/>
      <c r="L2247" s="17" t="n">
        <f aca="false">COUNT(E2247,I2247,K2247)</f>
        <v>1</v>
      </c>
      <c r="M2247" s="18" t="n">
        <f aca="false">(D2247&lt;&gt;"")*(D2247&lt;=($E$3*60+$F$3)/86400)+(H2247&lt;&gt;"")*(H2247&lt;=($I$3*60+$J$3)/86400)+(J2247&lt;&gt;"")*(J2247&lt;=($M$3*60+$N$3)/86400)</f>
        <v>0</v>
      </c>
      <c r="N2247" s="20"/>
      <c r="O2247" s="20"/>
      <c r="P2247" s="20"/>
      <c r="Q2247" s="19"/>
    </row>
    <row r="2248" customFormat="false" ht="15" hidden="false" customHeight="false" outlineLevel="0" collapsed="false">
      <c r="A2248" s="10" t="n">
        <v>2242</v>
      </c>
      <c r="B2248" s="12" t="s">
        <v>3468</v>
      </c>
      <c r="C2248" s="12" t="s">
        <v>3469</v>
      </c>
      <c r="D2248" s="13"/>
      <c r="E2248" s="14"/>
      <c r="F2248" s="15" t="str">
        <f aca="false">IF(D2248="","",ROUND((D2248-MIN($D$7:$D$9999))*86400,2))</f>
        <v/>
      </c>
      <c r="G2248" s="10" t="str">
        <f aca="false">IF(D2248="","",IF(D2248&lt;=($E$3*60+$F$3)/86400,"○",""))</f>
        <v/>
      </c>
      <c r="H2248" s="16" t="n">
        <v>0.0076443287037037</v>
      </c>
      <c r="I2248" s="17" t="n">
        <v>1030</v>
      </c>
      <c r="J2248" s="16"/>
      <c r="K2248" s="17"/>
      <c r="L2248" s="17" t="n">
        <f aca="false">COUNT(E2248,I2248,K2248)</f>
        <v>1</v>
      </c>
      <c r="M2248" s="18" t="n">
        <f aca="false">(D2248&lt;&gt;"")*(D2248&lt;=($E$3*60+$F$3)/86400)+(H2248&lt;&gt;"")*(H2248&lt;=($I$3*60+$J$3)/86400)+(J2248&lt;&gt;"")*(J2248&lt;=($M$3*60+$N$3)/86400)</f>
        <v>0</v>
      </c>
      <c r="N2248" s="20"/>
      <c r="O2248" s="20"/>
      <c r="P2248" s="20"/>
      <c r="Q2248" s="19"/>
    </row>
    <row r="2249" customFormat="false" ht="15" hidden="false" customHeight="false" outlineLevel="0" collapsed="false">
      <c r="A2249" s="10" t="n">
        <v>2243</v>
      </c>
      <c r="B2249" s="12" t="s">
        <v>3470</v>
      </c>
      <c r="C2249" s="12" t="s">
        <v>3471</v>
      </c>
      <c r="D2249" s="13"/>
      <c r="E2249" s="14"/>
      <c r="F2249" s="15" t="str">
        <f aca="false">IF(D2249="","",ROUND((D2249-MIN($D$7:$D$9999))*86400,2))</f>
        <v/>
      </c>
      <c r="G2249" s="10" t="str">
        <f aca="false">IF(D2249="","",IF(D2249&lt;=($E$3*60+$F$3)/86400,"○",""))</f>
        <v/>
      </c>
      <c r="H2249" s="16" t="n">
        <v>0.00764456018518519</v>
      </c>
      <c r="I2249" s="17" t="n">
        <v>1031</v>
      </c>
      <c r="J2249" s="16"/>
      <c r="K2249" s="17"/>
      <c r="L2249" s="17" t="n">
        <f aca="false">COUNT(E2249,I2249,K2249)</f>
        <v>1</v>
      </c>
      <c r="M2249" s="18" t="n">
        <f aca="false">(D2249&lt;&gt;"")*(D2249&lt;=($E$3*60+$F$3)/86400)+(H2249&lt;&gt;"")*(H2249&lt;=($I$3*60+$J$3)/86400)+(J2249&lt;&gt;"")*(J2249&lt;=($M$3*60+$N$3)/86400)</f>
        <v>0</v>
      </c>
      <c r="N2249" s="20"/>
      <c r="O2249" s="20"/>
      <c r="P2249" s="20"/>
      <c r="Q2249" s="19"/>
    </row>
    <row r="2250" customFormat="false" ht="15" hidden="false" customHeight="false" outlineLevel="0" collapsed="false">
      <c r="A2250" s="10" t="n">
        <v>2244</v>
      </c>
      <c r="B2250" s="12" t="s">
        <v>3472</v>
      </c>
      <c r="C2250" s="12" t="s">
        <v>3473</v>
      </c>
      <c r="D2250" s="13"/>
      <c r="E2250" s="14"/>
      <c r="F2250" s="15" t="str">
        <f aca="false">IF(D2250="","",ROUND((D2250-MIN($D$7:$D$9999))*86400,2))</f>
        <v/>
      </c>
      <c r="G2250" s="10" t="str">
        <f aca="false">IF(D2250="","",IF(D2250&lt;=($E$3*60+$F$3)/86400,"○",""))</f>
        <v/>
      </c>
      <c r="H2250" s="16"/>
      <c r="I2250" s="17"/>
      <c r="J2250" s="16" t="n">
        <v>0.00291134259259259</v>
      </c>
      <c r="K2250" s="17" t="n">
        <v>1031</v>
      </c>
      <c r="L2250" s="17" t="n">
        <f aca="false">COUNT(E2250,I2250,K2250)</f>
        <v>1</v>
      </c>
      <c r="M2250" s="18" t="n">
        <f aca="false">(D2250&lt;&gt;"")*(D2250&lt;=($E$3*60+$F$3)/86400)+(H2250&lt;&gt;"")*(H2250&lt;=($I$3*60+$J$3)/86400)+(J2250&lt;&gt;"")*(J2250&lt;=($M$3*60+$N$3)/86400)</f>
        <v>0</v>
      </c>
      <c r="N2250" s="20"/>
      <c r="O2250" s="20"/>
      <c r="P2250" s="20"/>
      <c r="Q2250" s="19"/>
    </row>
    <row r="2251" customFormat="false" ht="15" hidden="false" customHeight="false" outlineLevel="0" collapsed="false">
      <c r="A2251" s="10" t="n">
        <v>2245</v>
      </c>
      <c r="B2251" s="12" t="s">
        <v>3474</v>
      </c>
      <c r="C2251" s="12" t="s">
        <v>3475</v>
      </c>
      <c r="D2251" s="13"/>
      <c r="E2251" s="14"/>
      <c r="F2251" s="15" t="str">
        <f aca="false">IF(D2251="","",ROUND((D2251-MIN($D$7:$D$9999))*86400,2))</f>
        <v/>
      </c>
      <c r="G2251" s="10" t="str">
        <f aca="false">IF(D2251="","",IF(D2251&lt;=($E$3*60+$F$3)/86400,"○",""))</f>
        <v/>
      </c>
      <c r="H2251" s="16" t="n">
        <v>0.00764571759259259</v>
      </c>
      <c r="I2251" s="17" t="n">
        <v>1032</v>
      </c>
      <c r="J2251" s="16"/>
      <c r="K2251" s="17"/>
      <c r="L2251" s="17" t="n">
        <f aca="false">COUNT(E2251,I2251,K2251)</f>
        <v>1</v>
      </c>
      <c r="M2251" s="18" t="n">
        <f aca="false">(D2251&lt;&gt;"")*(D2251&lt;=($E$3*60+$F$3)/86400)+(H2251&lt;&gt;"")*(H2251&lt;=($I$3*60+$J$3)/86400)+(J2251&lt;&gt;"")*(J2251&lt;=($M$3*60+$N$3)/86400)</f>
        <v>0</v>
      </c>
      <c r="N2251" s="20"/>
      <c r="O2251" s="20"/>
      <c r="P2251" s="20"/>
      <c r="Q2251" s="19"/>
    </row>
    <row r="2252" customFormat="false" ht="15" hidden="false" customHeight="false" outlineLevel="0" collapsed="false">
      <c r="A2252" s="10" t="n">
        <v>2246</v>
      </c>
      <c r="B2252" s="12" t="s">
        <v>3476</v>
      </c>
      <c r="C2252" s="12" t="s">
        <v>809</v>
      </c>
      <c r="D2252" s="13"/>
      <c r="E2252" s="14"/>
      <c r="F2252" s="15" t="str">
        <f aca="false">IF(D2252="","",ROUND((D2252-MIN($D$7:$D$9999))*86400,2))</f>
        <v/>
      </c>
      <c r="G2252" s="10" t="str">
        <f aca="false">IF(D2252="","",IF(D2252&lt;=($E$3*60+$F$3)/86400,"○",""))</f>
        <v/>
      </c>
      <c r="H2252" s="16" t="n">
        <v>0.00764710648148148</v>
      </c>
      <c r="I2252" s="17" t="n">
        <v>1033</v>
      </c>
      <c r="J2252" s="16"/>
      <c r="K2252" s="17"/>
      <c r="L2252" s="17" t="n">
        <f aca="false">COUNT(E2252,I2252,K2252)</f>
        <v>1</v>
      </c>
      <c r="M2252" s="18" t="n">
        <f aca="false">(D2252&lt;&gt;"")*(D2252&lt;=($E$3*60+$F$3)/86400)+(H2252&lt;&gt;"")*(H2252&lt;=($I$3*60+$J$3)/86400)+(J2252&lt;&gt;"")*(J2252&lt;=($M$3*60+$N$3)/86400)</f>
        <v>0</v>
      </c>
      <c r="N2252" s="20"/>
      <c r="O2252" s="20"/>
      <c r="P2252" s="20"/>
      <c r="Q2252" s="19"/>
    </row>
    <row r="2253" customFormat="false" ht="15" hidden="false" customHeight="false" outlineLevel="0" collapsed="false">
      <c r="A2253" s="10" t="n">
        <v>2247</v>
      </c>
      <c r="B2253" s="12" t="s">
        <v>3477</v>
      </c>
      <c r="C2253" s="12" t="s">
        <v>3478</v>
      </c>
      <c r="D2253" s="13"/>
      <c r="E2253" s="14"/>
      <c r="F2253" s="15" t="str">
        <f aca="false">IF(D2253="","",ROUND((D2253-MIN($D$7:$D$9999))*86400,2))</f>
        <v/>
      </c>
      <c r="G2253" s="10" t="str">
        <f aca="false">IF(D2253="","",IF(D2253&lt;=($E$3*60+$F$3)/86400,"○",""))</f>
        <v/>
      </c>
      <c r="H2253" s="16" t="n">
        <v>0.00764814814814815</v>
      </c>
      <c r="I2253" s="17" t="n">
        <v>1034</v>
      </c>
      <c r="J2253" s="16"/>
      <c r="K2253" s="17"/>
      <c r="L2253" s="17" t="n">
        <f aca="false">COUNT(E2253,I2253,K2253)</f>
        <v>1</v>
      </c>
      <c r="M2253" s="18" t="n">
        <f aca="false">(D2253&lt;&gt;"")*(D2253&lt;=($E$3*60+$F$3)/86400)+(H2253&lt;&gt;"")*(H2253&lt;=($I$3*60+$J$3)/86400)+(J2253&lt;&gt;"")*(J2253&lt;=($M$3*60+$N$3)/86400)</f>
        <v>0</v>
      </c>
      <c r="N2253" s="20"/>
      <c r="O2253" s="20"/>
      <c r="P2253" s="20"/>
      <c r="Q2253" s="19"/>
    </row>
    <row r="2254" customFormat="false" ht="15" hidden="false" customHeight="false" outlineLevel="0" collapsed="false">
      <c r="A2254" s="10" t="n">
        <v>2248</v>
      </c>
      <c r="B2254" s="12" t="s">
        <v>3211</v>
      </c>
      <c r="C2254" s="12" t="s">
        <v>3479</v>
      </c>
      <c r="D2254" s="13"/>
      <c r="E2254" s="14"/>
      <c r="F2254" s="15" t="str">
        <f aca="false">IF(D2254="","",ROUND((D2254-MIN($D$7:$D$9999))*86400,2))</f>
        <v/>
      </c>
      <c r="G2254" s="10" t="str">
        <f aca="false">IF(D2254="","",IF(D2254&lt;=($E$3*60+$F$3)/86400,"○",""))</f>
        <v/>
      </c>
      <c r="H2254" s="16"/>
      <c r="I2254" s="17"/>
      <c r="J2254" s="16" t="n">
        <v>0.00291157407407407</v>
      </c>
      <c r="K2254" s="17" t="n">
        <v>1034</v>
      </c>
      <c r="L2254" s="17" t="n">
        <f aca="false">COUNT(E2254,I2254,K2254)</f>
        <v>1</v>
      </c>
      <c r="M2254" s="18" t="n">
        <f aca="false">(D2254&lt;&gt;"")*(D2254&lt;=($E$3*60+$F$3)/86400)+(H2254&lt;&gt;"")*(H2254&lt;=($I$3*60+$J$3)/86400)+(J2254&lt;&gt;"")*(J2254&lt;=($M$3*60+$N$3)/86400)</f>
        <v>0</v>
      </c>
      <c r="N2254" s="20"/>
      <c r="O2254" s="20"/>
      <c r="P2254" s="12" t="s">
        <v>3480</v>
      </c>
      <c r="Q2254" s="19"/>
    </row>
    <row r="2255" customFormat="false" ht="15" hidden="false" customHeight="false" outlineLevel="0" collapsed="false">
      <c r="A2255" s="10" t="n">
        <v>2249</v>
      </c>
      <c r="B2255" s="12" t="s">
        <v>3481</v>
      </c>
      <c r="C2255" s="12" t="s">
        <v>2583</v>
      </c>
      <c r="D2255" s="13"/>
      <c r="E2255" s="14"/>
      <c r="F2255" s="15" t="str">
        <f aca="false">IF(D2255="","",ROUND((D2255-MIN($D$7:$D$9999))*86400,2))</f>
        <v/>
      </c>
      <c r="G2255" s="10" t="str">
        <f aca="false">IF(D2255="","",IF(D2255&lt;=($E$3*60+$F$3)/86400,"○",""))</f>
        <v/>
      </c>
      <c r="H2255" s="16" t="n">
        <v>0.00764988425925926</v>
      </c>
      <c r="I2255" s="17" t="n">
        <v>1035</v>
      </c>
      <c r="J2255" s="16"/>
      <c r="K2255" s="17"/>
      <c r="L2255" s="17" t="n">
        <f aca="false">COUNT(E2255,I2255,K2255)</f>
        <v>1</v>
      </c>
      <c r="M2255" s="18" t="n">
        <f aca="false">(D2255&lt;&gt;"")*(D2255&lt;=($E$3*60+$F$3)/86400)+(H2255&lt;&gt;"")*(H2255&lt;=($I$3*60+$J$3)/86400)+(J2255&lt;&gt;"")*(J2255&lt;=($M$3*60+$N$3)/86400)</f>
        <v>0</v>
      </c>
      <c r="N2255" s="20"/>
      <c r="O2255" s="20"/>
      <c r="P2255" s="20"/>
      <c r="Q2255" s="19"/>
    </row>
    <row r="2256" customFormat="false" ht="15" hidden="false" customHeight="false" outlineLevel="0" collapsed="false">
      <c r="A2256" s="10" t="n">
        <v>2250</v>
      </c>
      <c r="B2256" s="12" t="s">
        <v>3482</v>
      </c>
      <c r="C2256" s="12" t="s">
        <v>1315</v>
      </c>
      <c r="D2256" s="13"/>
      <c r="E2256" s="14"/>
      <c r="F2256" s="15" t="str">
        <f aca="false">IF(D2256="","",ROUND((D2256-MIN($D$7:$D$9999))*86400,2))</f>
        <v/>
      </c>
      <c r="G2256" s="10" t="str">
        <f aca="false">IF(D2256="","",IF(D2256&lt;=($E$3*60+$F$3)/86400,"○",""))</f>
        <v/>
      </c>
      <c r="H2256" s="16"/>
      <c r="I2256" s="17"/>
      <c r="J2256" s="16" t="n">
        <v>0.00291157407407407</v>
      </c>
      <c r="K2256" s="17" t="n">
        <v>1035</v>
      </c>
      <c r="L2256" s="17" t="n">
        <f aca="false">COUNT(E2256,I2256,K2256)</f>
        <v>1</v>
      </c>
      <c r="M2256" s="18" t="n">
        <f aca="false">(D2256&lt;&gt;"")*(D2256&lt;=($E$3*60+$F$3)/86400)+(H2256&lt;&gt;"")*(H2256&lt;=($I$3*60+$J$3)/86400)+(J2256&lt;&gt;"")*(J2256&lt;=($M$3*60+$N$3)/86400)</f>
        <v>0</v>
      </c>
      <c r="N2256" s="20"/>
      <c r="O2256" s="20"/>
      <c r="P2256" s="20"/>
      <c r="Q2256" s="19"/>
    </row>
    <row r="2257" customFormat="false" ht="15" hidden="false" customHeight="false" outlineLevel="0" collapsed="false">
      <c r="A2257" s="10" t="n">
        <v>2251</v>
      </c>
      <c r="B2257" s="12" t="s">
        <v>3483</v>
      </c>
      <c r="C2257" s="12" t="s">
        <v>2418</v>
      </c>
      <c r="D2257" s="13"/>
      <c r="E2257" s="14"/>
      <c r="F2257" s="15" t="str">
        <f aca="false">IF(D2257="","",ROUND((D2257-MIN($D$7:$D$9999))*86400,2))</f>
        <v/>
      </c>
      <c r="G2257" s="10" t="str">
        <f aca="false">IF(D2257="","",IF(D2257&lt;=($E$3*60+$F$3)/86400,"○",""))</f>
        <v/>
      </c>
      <c r="H2257" s="16" t="n">
        <v>0.00765138888888889</v>
      </c>
      <c r="I2257" s="17" t="n">
        <v>1036</v>
      </c>
      <c r="J2257" s="16"/>
      <c r="K2257" s="17"/>
      <c r="L2257" s="17" t="n">
        <f aca="false">COUNT(E2257,I2257,K2257)</f>
        <v>1</v>
      </c>
      <c r="M2257" s="18" t="n">
        <f aca="false">(D2257&lt;&gt;"")*(D2257&lt;=($E$3*60+$F$3)/86400)+(H2257&lt;&gt;"")*(H2257&lt;=($I$3*60+$J$3)/86400)+(J2257&lt;&gt;"")*(J2257&lt;=($M$3*60+$N$3)/86400)</f>
        <v>0</v>
      </c>
      <c r="N2257" s="20"/>
      <c r="O2257" s="20"/>
      <c r="P2257" s="20"/>
      <c r="Q2257" s="19"/>
    </row>
    <row r="2258" customFormat="false" ht="15" hidden="false" customHeight="false" outlineLevel="0" collapsed="false">
      <c r="A2258" s="10" t="n">
        <v>2252</v>
      </c>
      <c r="B2258" s="12" t="s">
        <v>3484</v>
      </c>
      <c r="C2258" s="12" t="s">
        <v>3485</v>
      </c>
      <c r="D2258" s="13"/>
      <c r="E2258" s="14"/>
      <c r="F2258" s="15" t="str">
        <f aca="false">IF(D2258="","",ROUND((D2258-MIN($D$7:$D$9999))*86400,2))</f>
        <v/>
      </c>
      <c r="G2258" s="10" t="str">
        <f aca="false">IF(D2258="","",IF(D2258&lt;=($E$3*60+$F$3)/86400,"○",""))</f>
        <v/>
      </c>
      <c r="H2258" s="16"/>
      <c r="I2258" s="17"/>
      <c r="J2258" s="16" t="n">
        <v>0.00291180555555556</v>
      </c>
      <c r="K2258" s="17" t="n">
        <v>1036</v>
      </c>
      <c r="L2258" s="17" t="n">
        <f aca="false">COUNT(E2258,I2258,K2258)</f>
        <v>1</v>
      </c>
      <c r="M2258" s="18" t="n">
        <f aca="false">(D2258&lt;&gt;"")*(D2258&lt;=($E$3*60+$F$3)/86400)+(H2258&lt;&gt;"")*(H2258&lt;=($I$3*60+$J$3)/86400)+(J2258&lt;&gt;"")*(J2258&lt;=($M$3*60+$N$3)/86400)</f>
        <v>0</v>
      </c>
      <c r="N2258" s="20"/>
      <c r="O2258" s="20"/>
      <c r="P2258" s="20"/>
      <c r="Q2258" s="19"/>
    </row>
    <row r="2259" customFormat="false" ht="15" hidden="false" customHeight="false" outlineLevel="0" collapsed="false">
      <c r="A2259" s="10" t="n">
        <v>2253</v>
      </c>
      <c r="B2259" s="12" t="s">
        <v>3486</v>
      </c>
      <c r="C2259" s="12" t="s">
        <v>377</v>
      </c>
      <c r="D2259" s="13"/>
      <c r="E2259" s="14"/>
      <c r="F2259" s="15" t="str">
        <f aca="false">IF(D2259="","",ROUND((D2259-MIN($D$7:$D$9999))*86400,2))</f>
        <v/>
      </c>
      <c r="G2259" s="10" t="str">
        <f aca="false">IF(D2259="","",IF(D2259&lt;=($E$3*60+$F$3)/86400,"○",""))</f>
        <v/>
      </c>
      <c r="H2259" s="16" t="n">
        <v>0.00765416666666667</v>
      </c>
      <c r="I2259" s="17" t="n">
        <v>1037</v>
      </c>
      <c r="J2259" s="16"/>
      <c r="K2259" s="17"/>
      <c r="L2259" s="17" t="n">
        <f aca="false">COUNT(E2259,I2259,K2259)</f>
        <v>1</v>
      </c>
      <c r="M2259" s="18" t="n">
        <f aca="false">(D2259&lt;&gt;"")*(D2259&lt;=($E$3*60+$F$3)/86400)+(H2259&lt;&gt;"")*(H2259&lt;=($I$3*60+$J$3)/86400)+(J2259&lt;&gt;"")*(J2259&lt;=($M$3*60+$N$3)/86400)</f>
        <v>0</v>
      </c>
      <c r="N2259" s="20"/>
      <c r="O2259" s="20"/>
      <c r="P2259" s="20"/>
      <c r="Q2259" s="19"/>
    </row>
    <row r="2260" customFormat="false" ht="15" hidden="false" customHeight="false" outlineLevel="0" collapsed="false">
      <c r="A2260" s="10" t="n">
        <v>2254</v>
      </c>
      <c r="B2260" s="12" t="s">
        <v>3487</v>
      </c>
      <c r="C2260" s="12" t="s">
        <v>873</v>
      </c>
      <c r="D2260" s="13"/>
      <c r="E2260" s="14"/>
      <c r="F2260" s="15" t="str">
        <f aca="false">IF(D2260="","",ROUND((D2260-MIN($D$7:$D$9999))*86400,2))</f>
        <v/>
      </c>
      <c r="G2260" s="10" t="str">
        <f aca="false">IF(D2260="","",IF(D2260&lt;=($E$3*60+$F$3)/86400,"○",""))</f>
        <v/>
      </c>
      <c r="H2260" s="16"/>
      <c r="I2260" s="17"/>
      <c r="J2260" s="16" t="n">
        <v>0.00291180555555556</v>
      </c>
      <c r="K2260" s="17" t="n">
        <v>1037</v>
      </c>
      <c r="L2260" s="17" t="n">
        <f aca="false">COUNT(E2260,I2260,K2260)</f>
        <v>1</v>
      </c>
      <c r="M2260" s="18" t="n">
        <f aca="false">(D2260&lt;&gt;"")*(D2260&lt;=($E$3*60+$F$3)/86400)+(H2260&lt;&gt;"")*(H2260&lt;=($I$3*60+$J$3)/86400)+(J2260&lt;&gt;"")*(J2260&lt;=($M$3*60+$N$3)/86400)</f>
        <v>0</v>
      </c>
      <c r="N2260" s="20"/>
      <c r="O2260" s="20"/>
      <c r="P2260" s="20"/>
      <c r="Q2260" s="19"/>
    </row>
    <row r="2261" customFormat="false" ht="15" hidden="false" customHeight="false" outlineLevel="0" collapsed="false">
      <c r="A2261" s="10" t="n">
        <v>2255</v>
      </c>
      <c r="B2261" s="12" t="s">
        <v>3488</v>
      </c>
      <c r="C2261" s="12" t="s">
        <v>2867</v>
      </c>
      <c r="D2261" s="13"/>
      <c r="E2261" s="14"/>
      <c r="F2261" s="15" t="str">
        <f aca="false">IF(D2261="","",ROUND((D2261-MIN($D$7:$D$9999))*86400,2))</f>
        <v/>
      </c>
      <c r="G2261" s="10" t="str">
        <f aca="false">IF(D2261="","",IF(D2261&lt;=($E$3*60+$F$3)/86400,"○",""))</f>
        <v/>
      </c>
      <c r="H2261" s="16" t="n">
        <v>0.00765451388888889</v>
      </c>
      <c r="I2261" s="17" t="n">
        <v>1038</v>
      </c>
      <c r="J2261" s="16"/>
      <c r="K2261" s="17"/>
      <c r="L2261" s="17" t="n">
        <f aca="false">COUNT(E2261,I2261,K2261)</f>
        <v>1</v>
      </c>
      <c r="M2261" s="18" t="n">
        <f aca="false">(D2261&lt;&gt;"")*(D2261&lt;=($E$3*60+$F$3)/86400)+(H2261&lt;&gt;"")*(H2261&lt;=($I$3*60+$J$3)/86400)+(J2261&lt;&gt;"")*(J2261&lt;=($M$3*60+$N$3)/86400)</f>
        <v>0</v>
      </c>
      <c r="N2261" s="20"/>
      <c r="O2261" s="20"/>
      <c r="P2261" s="20"/>
      <c r="Q2261" s="19"/>
    </row>
    <row r="2262" customFormat="false" ht="15" hidden="false" customHeight="false" outlineLevel="0" collapsed="false">
      <c r="A2262" s="10" t="n">
        <v>2256</v>
      </c>
      <c r="B2262" s="12" t="s">
        <v>3489</v>
      </c>
      <c r="C2262" s="12" t="s">
        <v>2587</v>
      </c>
      <c r="D2262" s="13"/>
      <c r="E2262" s="14"/>
      <c r="F2262" s="15" t="str">
        <f aca="false">IF(D2262="","",ROUND((D2262-MIN($D$7:$D$9999))*86400,2))</f>
        <v/>
      </c>
      <c r="G2262" s="10" t="str">
        <f aca="false">IF(D2262="","",IF(D2262&lt;=($E$3*60+$F$3)/86400,"○",""))</f>
        <v/>
      </c>
      <c r="H2262" s="16" t="n">
        <v>0.00765810185185185</v>
      </c>
      <c r="I2262" s="17" t="n">
        <v>1039</v>
      </c>
      <c r="J2262" s="16"/>
      <c r="K2262" s="17"/>
      <c r="L2262" s="17" t="n">
        <f aca="false">COUNT(E2262,I2262,K2262)</f>
        <v>1</v>
      </c>
      <c r="M2262" s="18" t="n">
        <f aca="false">(D2262&lt;&gt;"")*(D2262&lt;=($E$3*60+$F$3)/86400)+(H2262&lt;&gt;"")*(H2262&lt;=($I$3*60+$J$3)/86400)+(J2262&lt;&gt;"")*(J2262&lt;=($M$3*60+$N$3)/86400)</f>
        <v>0</v>
      </c>
      <c r="N2262" s="20"/>
      <c r="O2262" s="20"/>
      <c r="P2262" s="20"/>
      <c r="Q2262" s="19"/>
    </row>
    <row r="2263" customFormat="false" ht="15" hidden="false" customHeight="false" outlineLevel="0" collapsed="false">
      <c r="A2263" s="10" t="n">
        <v>2257</v>
      </c>
      <c r="B2263" s="12" t="s">
        <v>3490</v>
      </c>
      <c r="C2263" s="12" t="s">
        <v>3491</v>
      </c>
      <c r="D2263" s="13"/>
      <c r="E2263" s="14"/>
      <c r="F2263" s="15" t="str">
        <f aca="false">IF(D2263="","",ROUND((D2263-MIN($D$7:$D$9999))*86400,2))</f>
        <v/>
      </c>
      <c r="G2263" s="10" t="str">
        <f aca="false">IF(D2263="","",IF(D2263&lt;=($E$3*60+$F$3)/86400,"○",""))</f>
        <v/>
      </c>
      <c r="H2263" s="16"/>
      <c r="I2263" s="17"/>
      <c r="J2263" s="16" t="n">
        <v>0.00291226851851852</v>
      </c>
      <c r="K2263" s="17" t="n">
        <v>1039</v>
      </c>
      <c r="L2263" s="17" t="n">
        <f aca="false">COUNT(E2263,I2263,K2263)</f>
        <v>1</v>
      </c>
      <c r="M2263" s="18" t="n">
        <f aca="false">(D2263&lt;&gt;"")*(D2263&lt;=($E$3*60+$F$3)/86400)+(H2263&lt;&gt;"")*(H2263&lt;=($I$3*60+$J$3)/86400)+(J2263&lt;&gt;"")*(J2263&lt;=($M$3*60+$N$3)/86400)</f>
        <v>0</v>
      </c>
      <c r="N2263" s="20"/>
      <c r="O2263" s="20"/>
      <c r="P2263" s="20"/>
      <c r="Q2263" s="19"/>
    </row>
    <row r="2264" customFormat="false" ht="15" hidden="false" customHeight="false" outlineLevel="0" collapsed="false">
      <c r="A2264" s="10" t="n">
        <v>2258</v>
      </c>
      <c r="B2264" s="12" t="s">
        <v>3492</v>
      </c>
      <c r="C2264" s="12" t="s">
        <v>3493</v>
      </c>
      <c r="D2264" s="13"/>
      <c r="E2264" s="14"/>
      <c r="F2264" s="15" t="str">
        <f aca="false">IF(D2264="","",ROUND((D2264-MIN($D$7:$D$9999))*86400,2))</f>
        <v/>
      </c>
      <c r="G2264" s="10" t="str">
        <f aca="false">IF(D2264="","",IF(D2264&lt;=($E$3*60+$F$3)/86400,"○",""))</f>
        <v/>
      </c>
      <c r="H2264" s="16" t="n">
        <v>0.00765856481481482</v>
      </c>
      <c r="I2264" s="17" t="n">
        <v>1040</v>
      </c>
      <c r="J2264" s="16"/>
      <c r="K2264" s="17"/>
      <c r="L2264" s="17" t="n">
        <f aca="false">COUNT(E2264,I2264,K2264)</f>
        <v>1</v>
      </c>
      <c r="M2264" s="18" t="n">
        <f aca="false">(D2264&lt;&gt;"")*(D2264&lt;=($E$3*60+$F$3)/86400)+(H2264&lt;&gt;"")*(H2264&lt;=($I$3*60+$J$3)/86400)+(J2264&lt;&gt;"")*(J2264&lt;=($M$3*60+$N$3)/86400)</f>
        <v>0</v>
      </c>
      <c r="N2264" s="20"/>
      <c r="O2264" s="20"/>
      <c r="P2264" s="20"/>
      <c r="Q2264" s="19"/>
    </row>
    <row r="2265" customFormat="false" ht="15" hidden="false" customHeight="false" outlineLevel="0" collapsed="false">
      <c r="A2265" s="10" t="n">
        <v>2259</v>
      </c>
      <c r="B2265" s="12" t="s">
        <v>3494</v>
      </c>
      <c r="C2265" s="12" t="s">
        <v>3311</v>
      </c>
      <c r="D2265" s="13"/>
      <c r="E2265" s="14"/>
      <c r="F2265" s="15" t="str">
        <f aca="false">IF(D2265="","",ROUND((D2265-MIN($D$7:$D$9999))*86400,2))</f>
        <v/>
      </c>
      <c r="G2265" s="10" t="str">
        <f aca="false">IF(D2265="","",IF(D2265&lt;=($E$3*60+$F$3)/86400,"○",""))</f>
        <v/>
      </c>
      <c r="H2265" s="16" t="n">
        <v>0.00766550925925926</v>
      </c>
      <c r="I2265" s="17" t="n">
        <v>1041</v>
      </c>
      <c r="J2265" s="16"/>
      <c r="K2265" s="17"/>
      <c r="L2265" s="17" t="n">
        <f aca="false">COUNT(E2265,I2265,K2265)</f>
        <v>1</v>
      </c>
      <c r="M2265" s="18" t="n">
        <f aca="false">(D2265&lt;&gt;"")*(D2265&lt;=($E$3*60+$F$3)/86400)+(H2265&lt;&gt;"")*(H2265&lt;=($I$3*60+$J$3)/86400)+(J2265&lt;&gt;"")*(J2265&lt;=($M$3*60+$N$3)/86400)</f>
        <v>0</v>
      </c>
      <c r="N2265" s="20"/>
      <c r="O2265" s="20"/>
      <c r="P2265" s="20"/>
      <c r="Q2265" s="19"/>
    </row>
    <row r="2266" customFormat="false" ht="15" hidden="false" customHeight="false" outlineLevel="0" collapsed="false">
      <c r="A2266" s="10" t="n">
        <v>2260</v>
      </c>
      <c r="B2266" s="12" t="s">
        <v>3495</v>
      </c>
      <c r="C2266" s="12" t="s">
        <v>96</v>
      </c>
      <c r="D2266" s="13"/>
      <c r="E2266" s="14"/>
      <c r="F2266" s="15" t="str">
        <f aca="false">IF(D2266="","",ROUND((D2266-MIN($D$7:$D$9999))*86400,2))</f>
        <v/>
      </c>
      <c r="G2266" s="10" t="str">
        <f aca="false">IF(D2266="","",IF(D2266&lt;=($E$3*60+$F$3)/86400,"○",""))</f>
        <v/>
      </c>
      <c r="H2266" s="16"/>
      <c r="I2266" s="17"/>
      <c r="J2266" s="16" t="n">
        <v>0.00291273148148148</v>
      </c>
      <c r="K2266" s="17" t="n">
        <v>1041</v>
      </c>
      <c r="L2266" s="17" t="n">
        <f aca="false">COUNT(E2266,I2266,K2266)</f>
        <v>1</v>
      </c>
      <c r="M2266" s="18" t="n">
        <f aca="false">(D2266&lt;&gt;"")*(D2266&lt;=($E$3*60+$F$3)/86400)+(H2266&lt;&gt;"")*(H2266&lt;=($I$3*60+$J$3)/86400)+(J2266&lt;&gt;"")*(J2266&lt;=($M$3*60+$N$3)/86400)</f>
        <v>0</v>
      </c>
      <c r="N2266" s="20"/>
      <c r="O2266" s="20"/>
      <c r="P2266" s="20"/>
      <c r="Q2266" s="19"/>
    </row>
    <row r="2267" customFormat="false" ht="15" hidden="false" customHeight="false" outlineLevel="0" collapsed="false">
      <c r="A2267" s="10" t="n">
        <v>2261</v>
      </c>
      <c r="B2267" s="12" t="s">
        <v>3496</v>
      </c>
      <c r="C2267" s="12" t="s">
        <v>3497</v>
      </c>
      <c r="D2267" s="13"/>
      <c r="E2267" s="14"/>
      <c r="F2267" s="15" t="str">
        <f aca="false">IF(D2267="","",ROUND((D2267-MIN($D$7:$D$9999))*86400,2))</f>
        <v/>
      </c>
      <c r="G2267" s="10" t="str">
        <f aca="false">IF(D2267="","",IF(D2267&lt;=($E$3*60+$F$3)/86400,"○",""))</f>
        <v/>
      </c>
      <c r="H2267" s="16" t="n">
        <v>0.00766608796296296</v>
      </c>
      <c r="I2267" s="17" t="n">
        <v>1042</v>
      </c>
      <c r="J2267" s="16"/>
      <c r="K2267" s="17"/>
      <c r="L2267" s="17" t="n">
        <f aca="false">COUNT(E2267,I2267,K2267)</f>
        <v>1</v>
      </c>
      <c r="M2267" s="18" t="n">
        <f aca="false">(D2267&lt;&gt;"")*(D2267&lt;=($E$3*60+$F$3)/86400)+(H2267&lt;&gt;"")*(H2267&lt;=($I$3*60+$J$3)/86400)+(J2267&lt;&gt;"")*(J2267&lt;=($M$3*60+$N$3)/86400)</f>
        <v>0</v>
      </c>
      <c r="N2267" s="20"/>
      <c r="O2267" s="20"/>
      <c r="P2267" s="20"/>
      <c r="Q2267" s="19"/>
    </row>
    <row r="2268" customFormat="false" ht="15" hidden="false" customHeight="false" outlineLevel="0" collapsed="false">
      <c r="A2268" s="10" t="n">
        <v>2262</v>
      </c>
      <c r="B2268" s="12" t="s">
        <v>3498</v>
      </c>
      <c r="C2268" s="12" t="s">
        <v>1877</v>
      </c>
      <c r="D2268" s="13"/>
      <c r="E2268" s="14"/>
      <c r="F2268" s="15" t="str">
        <f aca="false">IF(D2268="","",ROUND((D2268-MIN($D$7:$D$9999))*86400,2))</f>
        <v/>
      </c>
      <c r="G2268" s="10" t="str">
        <f aca="false">IF(D2268="","",IF(D2268&lt;=($E$3*60+$F$3)/86400,"○",""))</f>
        <v/>
      </c>
      <c r="H2268" s="16" t="n">
        <v>0.00766689814814815</v>
      </c>
      <c r="I2268" s="17" t="n">
        <v>1043</v>
      </c>
      <c r="J2268" s="16"/>
      <c r="K2268" s="17"/>
      <c r="L2268" s="17" t="n">
        <f aca="false">COUNT(E2268,I2268,K2268)</f>
        <v>1</v>
      </c>
      <c r="M2268" s="18" t="n">
        <f aca="false">(D2268&lt;&gt;"")*(D2268&lt;=($E$3*60+$F$3)/86400)+(H2268&lt;&gt;"")*(H2268&lt;=($I$3*60+$J$3)/86400)+(J2268&lt;&gt;"")*(J2268&lt;=($M$3*60+$N$3)/86400)</f>
        <v>0</v>
      </c>
      <c r="N2268" s="20"/>
      <c r="O2268" s="20"/>
      <c r="P2268" s="20"/>
      <c r="Q2268" s="19"/>
    </row>
    <row r="2269" customFormat="false" ht="15" hidden="false" customHeight="false" outlineLevel="0" collapsed="false">
      <c r="A2269" s="10" t="n">
        <v>2263</v>
      </c>
      <c r="B2269" s="12" t="s">
        <v>3499</v>
      </c>
      <c r="C2269" s="12" t="s">
        <v>742</v>
      </c>
      <c r="D2269" s="13"/>
      <c r="E2269" s="14"/>
      <c r="F2269" s="15" t="str">
        <f aca="false">IF(D2269="","",ROUND((D2269-MIN($D$7:$D$9999))*86400,2))</f>
        <v/>
      </c>
      <c r="G2269" s="10" t="str">
        <f aca="false">IF(D2269="","",IF(D2269&lt;=($E$3*60+$F$3)/86400,"○",""))</f>
        <v/>
      </c>
      <c r="H2269" s="16" t="n">
        <v>0.0076681712962963</v>
      </c>
      <c r="I2269" s="17" t="n">
        <v>1044</v>
      </c>
      <c r="J2269" s="16"/>
      <c r="K2269" s="17"/>
      <c r="L2269" s="17" t="n">
        <f aca="false">COUNT(E2269,I2269,K2269)</f>
        <v>1</v>
      </c>
      <c r="M2269" s="18" t="n">
        <f aca="false">(D2269&lt;&gt;"")*(D2269&lt;=($E$3*60+$F$3)/86400)+(H2269&lt;&gt;"")*(H2269&lt;=($I$3*60+$J$3)/86400)+(J2269&lt;&gt;"")*(J2269&lt;=($M$3*60+$N$3)/86400)</f>
        <v>0</v>
      </c>
      <c r="N2269" s="20"/>
      <c r="O2269" s="20"/>
      <c r="P2269" s="20"/>
      <c r="Q2269" s="19"/>
    </row>
    <row r="2270" customFormat="false" ht="15" hidden="false" customHeight="false" outlineLevel="0" collapsed="false">
      <c r="A2270" s="10" t="n">
        <v>2264</v>
      </c>
      <c r="B2270" s="12" t="s">
        <v>3500</v>
      </c>
      <c r="C2270" s="12" t="s">
        <v>2285</v>
      </c>
      <c r="D2270" s="13"/>
      <c r="E2270" s="14"/>
      <c r="F2270" s="15" t="str">
        <f aca="false">IF(D2270="","",ROUND((D2270-MIN($D$7:$D$9999))*86400,2))</f>
        <v/>
      </c>
      <c r="G2270" s="10" t="str">
        <f aca="false">IF(D2270="","",IF(D2270&lt;=($E$3*60+$F$3)/86400,"○",""))</f>
        <v/>
      </c>
      <c r="H2270" s="16"/>
      <c r="I2270" s="17"/>
      <c r="J2270" s="16" t="n">
        <v>0.00291331018518519</v>
      </c>
      <c r="K2270" s="17" t="n">
        <v>1044</v>
      </c>
      <c r="L2270" s="17" t="n">
        <f aca="false">COUNT(E2270,I2270,K2270)</f>
        <v>1</v>
      </c>
      <c r="M2270" s="18" t="n">
        <f aca="false">(D2270&lt;&gt;"")*(D2270&lt;=($E$3*60+$F$3)/86400)+(H2270&lt;&gt;"")*(H2270&lt;=($I$3*60+$J$3)/86400)+(J2270&lt;&gt;"")*(J2270&lt;=($M$3*60+$N$3)/86400)</f>
        <v>0</v>
      </c>
      <c r="N2270" s="20"/>
      <c r="O2270" s="20"/>
      <c r="P2270" s="20"/>
      <c r="Q2270" s="19"/>
    </row>
    <row r="2271" customFormat="false" ht="15" hidden="false" customHeight="false" outlineLevel="0" collapsed="false">
      <c r="A2271" s="10" t="n">
        <v>2265</v>
      </c>
      <c r="B2271" s="12" t="s">
        <v>3501</v>
      </c>
      <c r="C2271" s="12" t="s">
        <v>3096</v>
      </c>
      <c r="D2271" s="13"/>
      <c r="E2271" s="14"/>
      <c r="F2271" s="15" t="str">
        <f aca="false">IF(D2271="","",ROUND((D2271-MIN($D$7:$D$9999))*86400,2))</f>
        <v/>
      </c>
      <c r="G2271" s="10" t="str">
        <f aca="false">IF(D2271="","",IF(D2271&lt;=($E$3*60+$F$3)/86400,"○",""))</f>
        <v/>
      </c>
      <c r="H2271" s="16" t="n">
        <v>0.00767013888888889</v>
      </c>
      <c r="I2271" s="17" t="n">
        <v>1045</v>
      </c>
      <c r="J2271" s="16"/>
      <c r="K2271" s="17"/>
      <c r="L2271" s="17" t="n">
        <f aca="false">COUNT(E2271,I2271,K2271)</f>
        <v>1</v>
      </c>
      <c r="M2271" s="18" t="n">
        <f aca="false">(D2271&lt;&gt;"")*(D2271&lt;=($E$3*60+$F$3)/86400)+(H2271&lt;&gt;"")*(H2271&lt;=($I$3*60+$J$3)/86400)+(J2271&lt;&gt;"")*(J2271&lt;=($M$3*60+$N$3)/86400)</f>
        <v>0</v>
      </c>
      <c r="N2271" s="20"/>
      <c r="O2271" s="20"/>
      <c r="P2271" s="20"/>
      <c r="Q2271" s="19"/>
    </row>
    <row r="2272" customFormat="false" ht="15" hidden="false" customHeight="false" outlineLevel="0" collapsed="false">
      <c r="A2272" s="10" t="n">
        <v>2266</v>
      </c>
      <c r="B2272" s="12" t="s">
        <v>3502</v>
      </c>
      <c r="C2272" s="12" t="s">
        <v>2918</v>
      </c>
      <c r="D2272" s="13"/>
      <c r="E2272" s="14"/>
      <c r="F2272" s="15" t="str">
        <f aca="false">IF(D2272="","",ROUND((D2272-MIN($D$7:$D$9999))*86400,2))</f>
        <v/>
      </c>
      <c r="G2272" s="10" t="str">
        <f aca="false">IF(D2272="","",IF(D2272&lt;=($E$3*60+$F$3)/86400,"○",""))</f>
        <v/>
      </c>
      <c r="H2272" s="16"/>
      <c r="I2272" s="17"/>
      <c r="J2272" s="16" t="n">
        <v>0.00291331018518519</v>
      </c>
      <c r="K2272" s="17" t="n">
        <v>1045</v>
      </c>
      <c r="L2272" s="17" t="n">
        <f aca="false">COUNT(E2272,I2272,K2272)</f>
        <v>1</v>
      </c>
      <c r="M2272" s="18" t="n">
        <f aca="false">(D2272&lt;&gt;"")*(D2272&lt;=($E$3*60+$F$3)/86400)+(H2272&lt;&gt;"")*(H2272&lt;=($I$3*60+$J$3)/86400)+(J2272&lt;&gt;"")*(J2272&lt;=($M$3*60+$N$3)/86400)</f>
        <v>0</v>
      </c>
      <c r="N2272" s="20"/>
      <c r="O2272" s="20"/>
      <c r="P2272" s="20"/>
      <c r="Q2272" s="19"/>
    </row>
    <row r="2273" customFormat="false" ht="15" hidden="false" customHeight="false" outlineLevel="0" collapsed="false">
      <c r="A2273" s="10" t="n">
        <v>2267</v>
      </c>
      <c r="B2273" s="12" t="s">
        <v>3503</v>
      </c>
      <c r="C2273" s="12" t="s">
        <v>3504</v>
      </c>
      <c r="D2273" s="13"/>
      <c r="E2273" s="14"/>
      <c r="F2273" s="15" t="str">
        <f aca="false">IF(D2273="","",ROUND((D2273-MIN($D$7:$D$9999))*86400,2))</f>
        <v/>
      </c>
      <c r="G2273" s="10" t="str">
        <f aca="false">IF(D2273="","",IF(D2273&lt;=($E$3*60+$F$3)/86400,"○",""))</f>
        <v/>
      </c>
      <c r="H2273" s="16" t="n">
        <v>0.00767106481481482</v>
      </c>
      <c r="I2273" s="17" t="n">
        <v>1046</v>
      </c>
      <c r="J2273" s="16"/>
      <c r="K2273" s="17"/>
      <c r="L2273" s="17" t="n">
        <f aca="false">COUNT(E2273,I2273,K2273)</f>
        <v>1</v>
      </c>
      <c r="M2273" s="18" t="n">
        <f aca="false">(D2273&lt;&gt;"")*(D2273&lt;=($E$3*60+$F$3)/86400)+(H2273&lt;&gt;"")*(H2273&lt;=($I$3*60+$J$3)/86400)+(J2273&lt;&gt;"")*(J2273&lt;=($M$3*60+$N$3)/86400)</f>
        <v>0</v>
      </c>
      <c r="N2273" s="20"/>
      <c r="O2273" s="20"/>
      <c r="P2273" s="20"/>
      <c r="Q2273" s="19"/>
    </row>
    <row r="2274" customFormat="false" ht="15" hidden="false" customHeight="false" outlineLevel="0" collapsed="false">
      <c r="A2274" s="10" t="n">
        <v>2268</v>
      </c>
      <c r="B2274" s="12" t="s">
        <v>3505</v>
      </c>
      <c r="C2274" s="12" t="s">
        <v>3506</v>
      </c>
      <c r="D2274" s="13"/>
      <c r="E2274" s="14"/>
      <c r="F2274" s="15" t="str">
        <f aca="false">IF(D2274="","",ROUND((D2274-MIN($D$7:$D$9999))*86400,2))</f>
        <v/>
      </c>
      <c r="G2274" s="10" t="str">
        <f aca="false">IF(D2274="","",IF(D2274&lt;=($E$3*60+$F$3)/86400,"○",""))</f>
        <v/>
      </c>
      <c r="H2274" s="16" t="n">
        <v>0.00767118055555556</v>
      </c>
      <c r="I2274" s="17" t="n">
        <v>1047</v>
      </c>
      <c r="J2274" s="16"/>
      <c r="K2274" s="17"/>
      <c r="L2274" s="17" t="n">
        <f aca="false">COUNT(E2274,I2274,K2274)</f>
        <v>1</v>
      </c>
      <c r="M2274" s="18" t="n">
        <f aca="false">(D2274&lt;&gt;"")*(D2274&lt;=($E$3*60+$F$3)/86400)+(H2274&lt;&gt;"")*(H2274&lt;=($I$3*60+$J$3)/86400)+(J2274&lt;&gt;"")*(J2274&lt;=($M$3*60+$N$3)/86400)</f>
        <v>0</v>
      </c>
      <c r="N2274" s="20"/>
      <c r="O2274" s="20"/>
      <c r="P2274" s="20"/>
      <c r="Q2274" s="19"/>
    </row>
    <row r="2275" customFormat="false" ht="15" hidden="false" customHeight="false" outlineLevel="0" collapsed="false">
      <c r="A2275" s="10" t="n">
        <v>2269</v>
      </c>
      <c r="B2275" s="12" t="s">
        <v>3507</v>
      </c>
      <c r="C2275" s="12" t="s">
        <v>648</v>
      </c>
      <c r="D2275" s="13"/>
      <c r="E2275" s="14"/>
      <c r="F2275" s="15" t="str">
        <f aca="false">IF(D2275="","",ROUND((D2275-MIN($D$7:$D$9999))*86400,2))</f>
        <v/>
      </c>
      <c r="G2275" s="10" t="str">
        <f aca="false">IF(D2275="","",IF(D2275&lt;=($E$3*60+$F$3)/86400,"○",""))</f>
        <v/>
      </c>
      <c r="H2275" s="16"/>
      <c r="I2275" s="17"/>
      <c r="J2275" s="16" t="n">
        <v>0.00291365740740741</v>
      </c>
      <c r="K2275" s="17" t="n">
        <v>1047</v>
      </c>
      <c r="L2275" s="17" t="n">
        <f aca="false">COUNT(E2275,I2275,K2275)</f>
        <v>1</v>
      </c>
      <c r="M2275" s="18" t="n">
        <f aca="false">(D2275&lt;&gt;"")*(D2275&lt;=($E$3*60+$F$3)/86400)+(H2275&lt;&gt;"")*(H2275&lt;=($I$3*60+$J$3)/86400)+(J2275&lt;&gt;"")*(J2275&lt;=($M$3*60+$N$3)/86400)</f>
        <v>0</v>
      </c>
      <c r="N2275" s="20"/>
      <c r="O2275" s="20"/>
      <c r="P2275" s="20"/>
      <c r="Q2275" s="19"/>
    </row>
    <row r="2276" customFormat="false" ht="15" hidden="false" customHeight="false" outlineLevel="0" collapsed="false">
      <c r="A2276" s="10" t="n">
        <v>2270</v>
      </c>
      <c r="B2276" s="12" t="s">
        <v>3508</v>
      </c>
      <c r="C2276" s="12" t="s">
        <v>454</v>
      </c>
      <c r="D2276" s="13"/>
      <c r="E2276" s="14"/>
      <c r="F2276" s="15" t="str">
        <f aca="false">IF(D2276="","",ROUND((D2276-MIN($D$7:$D$9999))*86400,2))</f>
        <v/>
      </c>
      <c r="G2276" s="10" t="str">
        <f aca="false">IF(D2276="","",IF(D2276&lt;=($E$3*60+$F$3)/86400,"○",""))</f>
        <v/>
      </c>
      <c r="H2276" s="16" t="n">
        <v>0.00767199074074074</v>
      </c>
      <c r="I2276" s="17" t="n">
        <v>1048</v>
      </c>
      <c r="J2276" s="16"/>
      <c r="K2276" s="17"/>
      <c r="L2276" s="17" t="n">
        <f aca="false">COUNT(E2276,I2276,K2276)</f>
        <v>1</v>
      </c>
      <c r="M2276" s="18" t="n">
        <f aca="false">(D2276&lt;&gt;"")*(D2276&lt;=($E$3*60+$F$3)/86400)+(H2276&lt;&gt;"")*(H2276&lt;=($I$3*60+$J$3)/86400)+(J2276&lt;&gt;"")*(J2276&lt;=($M$3*60+$N$3)/86400)</f>
        <v>0</v>
      </c>
      <c r="N2276" s="20"/>
      <c r="O2276" s="20"/>
      <c r="P2276" s="20"/>
      <c r="Q2276" s="19"/>
    </row>
    <row r="2277" customFormat="false" ht="15" hidden="false" customHeight="false" outlineLevel="0" collapsed="false">
      <c r="A2277" s="10" t="n">
        <v>2271</v>
      </c>
      <c r="B2277" s="12" t="s">
        <v>3509</v>
      </c>
      <c r="C2277" s="12" t="s">
        <v>3510</v>
      </c>
      <c r="D2277" s="13"/>
      <c r="E2277" s="14"/>
      <c r="F2277" s="15" t="str">
        <f aca="false">IF(D2277="","",ROUND((D2277-MIN($D$7:$D$9999))*86400,2))</f>
        <v/>
      </c>
      <c r="G2277" s="10" t="str">
        <f aca="false">IF(D2277="","",IF(D2277&lt;=($E$3*60+$F$3)/86400,"○",""))</f>
        <v/>
      </c>
      <c r="H2277" s="16" t="n">
        <v>0.00767210648148148</v>
      </c>
      <c r="I2277" s="17" t="n">
        <v>1049</v>
      </c>
      <c r="J2277" s="16"/>
      <c r="K2277" s="17"/>
      <c r="L2277" s="17" t="n">
        <f aca="false">COUNT(E2277,I2277,K2277)</f>
        <v>1</v>
      </c>
      <c r="M2277" s="18" t="n">
        <f aca="false">(D2277&lt;&gt;"")*(D2277&lt;=($E$3*60+$F$3)/86400)+(H2277&lt;&gt;"")*(H2277&lt;=($I$3*60+$J$3)/86400)+(J2277&lt;&gt;"")*(J2277&lt;=($M$3*60+$N$3)/86400)</f>
        <v>0</v>
      </c>
      <c r="N2277" s="20"/>
      <c r="O2277" s="20"/>
      <c r="P2277" s="20"/>
      <c r="Q2277" s="19"/>
    </row>
    <row r="2278" customFormat="false" ht="15" hidden="false" customHeight="false" outlineLevel="0" collapsed="false">
      <c r="A2278" s="10" t="n">
        <v>2272</v>
      </c>
      <c r="B2278" s="12" t="s">
        <v>3511</v>
      </c>
      <c r="C2278" s="12" t="s">
        <v>219</v>
      </c>
      <c r="D2278" s="13"/>
      <c r="E2278" s="14"/>
      <c r="F2278" s="15" t="str">
        <f aca="false">IF(D2278="","",ROUND((D2278-MIN($D$7:$D$9999))*86400,2))</f>
        <v/>
      </c>
      <c r="G2278" s="10" t="str">
        <f aca="false">IF(D2278="","",IF(D2278&lt;=($E$3*60+$F$3)/86400,"○",""))</f>
        <v/>
      </c>
      <c r="H2278" s="16" t="n">
        <v>0.00767291666666667</v>
      </c>
      <c r="I2278" s="17" t="n">
        <v>1050</v>
      </c>
      <c r="J2278" s="16"/>
      <c r="K2278" s="17"/>
      <c r="L2278" s="17" t="n">
        <f aca="false">COUNT(E2278,I2278,K2278)</f>
        <v>1</v>
      </c>
      <c r="M2278" s="18" t="n">
        <f aca="false">(D2278&lt;&gt;"")*(D2278&lt;=($E$3*60+$F$3)/86400)+(H2278&lt;&gt;"")*(H2278&lt;=($I$3*60+$J$3)/86400)+(J2278&lt;&gt;"")*(J2278&lt;=($M$3*60+$N$3)/86400)</f>
        <v>0</v>
      </c>
      <c r="N2278" s="20"/>
      <c r="O2278" s="20"/>
      <c r="P2278" s="20"/>
      <c r="Q2278" s="19"/>
    </row>
    <row r="2279" customFormat="false" ht="15" hidden="false" customHeight="false" outlineLevel="0" collapsed="false">
      <c r="A2279" s="10" t="n">
        <v>2273</v>
      </c>
      <c r="B2279" s="12" t="s">
        <v>3512</v>
      </c>
      <c r="C2279" s="12" t="s">
        <v>3513</v>
      </c>
      <c r="D2279" s="13"/>
      <c r="E2279" s="14"/>
      <c r="F2279" s="15" t="str">
        <f aca="false">IF(D2279="","",ROUND((D2279-MIN($D$7:$D$9999))*86400,2))</f>
        <v/>
      </c>
      <c r="G2279" s="10" t="str">
        <f aca="false">IF(D2279="","",IF(D2279&lt;=($E$3*60+$F$3)/86400,"○",""))</f>
        <v/>
      </c>
      <c r="H2279" s="16" t="n">
        <v>0.00767326388888889</v>
      </c>
      <c r="I2279" s="17" t="n">
        <v>1051</v>
      </c>
      <c r="J2279" s="16"/>
      <c r="K2279" s="17"/>
      <c r="L2279" s="17" t="n">
        <f aca="false">COUNT(E2279,I2279,K2279)</f>
        <v>1</v>
      </c>
      <c r="M2279" s="18" t="n">
        <f aca="false">(D2279&lt;&gt;"")*(D2279&lt;=($E$3*60+$F$3)/86400)+(H2279&lt;&gt;"")*(H2279&lt;=($I$3*60+$J$3)/86400)+(J2279&lt;&gt;"")*(J2279&lt;=($M$3*60+$N$3)/86400)</f>
        <v>0</v>
      </c>
      <c r="N2279" s="20"/>
      <c r="O2279" s="20"/>
      <c r="P2279" s="20"/>
      <c r="Q2279" s="19"/>
    </row>
    <row r="2280" customFormat="false" ht="15" hidden="false" customHeight="false" outlineLevel="0" collapsed="false">
      <c r="A2280" s="10" t="n">
        <v>2274</v>
      </c>
      <c r="B2280" s="12" t="s">
        <v>3514</v>
      </c>
      <c r="C2280" s="12" t="s">
        <v>3515</v>
      </c>
      <c r="D2280" s="13"/>
      <c r="E2280" s="14"/>
      <c r="F2280" s="15" t="str">
        <f aca="false">IF(D2280="","",ROUND((D2280-MIN($D$7:$D$9999))*86400,2))</f>
        <v/>
      </c>
      <c r="G2280" s="10" t="str">
        <f aca="false">IF(D2280="","",IF(D2280&lt;=($E$3*60+$F$3)/86400,"○",""))</f>
        <v/>
      </c>
      <c r="H2280" s="16" t="n">
        <v>0.00767407407407407</v>
      </c>
      <c r="I2280" s="17" t="n">
        <v>1052</v>
      </c>
      <c r="J2280" s="16"/>
      <c r="K2280" s="17"/>
      <c r="L2280" s="17" t="n">
        <f aca="false">COUNT(E2280,I2280,K2280)</f>
        <v>1</v>
      </c>
      <c r="M2280" s="18" t="n">
        <f aca="false">(D2280&lt;&gt;"")*(D2280&lt;=($E$3*60+$F$3)/86400)+(H2280&lt;&gt;"")*(H2280&lt;=($I$3*60+$J$3)/86400)+(J2280&lt;&gt;"")*(J2280&lt;=($M$3*60+$N$3)/86400)</f>
        <v>0</v>
      </c>
      <c r="N2280" s="20"/>
      <c r="O2280" s="20"/>
      <c r="P2280" s="20"/>
      <c r="Q2280" s="19"/>
    </row>
    <row r="2281" customFormat="false" ht="15" hidden="false" customHeight="false" outlineLevel="0" collapsed="false">
      <c r="A2281" s="10" t="n">
        <v>2275</v>
      </c>
      <c r="B2281" s="12" t="s">
        <v>3516</v>
      </c>
      <c r="C2281" s="12" t="s">
        <v>3517</v>
      </c>
      <c r="D2281" s="13"/>
      <c r="E2281" s="14"/>
      <c r="F2281" s="15" t="str">
        <f aca="false">IF(D2281="","",ROUND((D2281-MIN($D$7:$D$9999))*86400,2))</f>
        <v/>
      </c>
      <c r="G2281" s="10" t="str">
        <f aca="false">IF(D2281="","",IF(D2281&lt;=($E$3*60+$F$3)/86400,"○",""))</f>
        <v/>
      </c>
      <c r="H2281" s="16"/>
      <c r="I2281" s="17"/>
      <c r="J2281" s="16" t="n">
        <v>0.00291435185185185</v>
      </c>
      <c r="K2281" s="17" t="n">
        <v>1052</v>
      </c>
      <c r="L2281" s="17" t="n">
        <f aca="false">COUNT(E2281,I2281,K2281)</f>
        <v>1</v>
      </c>
      <c r="M2281" s="18" t="n">
        <f aca="false">(D2281&lt;&gt;"")*(D2281&lt;=($E$3*60+$F$3)/86400)+(H2281&lt;&gt;"")*(H2281&lt;=($I$3*60+$J$3)/86400)+(J2281&lt;&gt;"")*(J2281&lt;=($M$3*60+$N$3)/86400)</f>
        <v>0</v>
      </c>
      <c r="N2281" s="20"/>
      <c r="O2281" s="20"/>
      <c r="P2281" s="20"/>
      <c r="Q2281" s="19"/>
    </row>
    <row r="2282" customFormat="false" ht="15" hidden="false" customHeight="false" outlineLevel="0" collapsed="false">
      <c r="A2282" s="10" t="n">
        <v>2276</v>
      </c>
      <c r="B2282" s="12" t="s">
        <v>3518</v>
      </c>
      <c r="C2282" s="12" t="s">
        <v>589</v>
      </c>
      <c r="D2282" s="13"/>
      <c r="E2282" s="14"/>
      <c r="F2282" s="15" t="str">
        <f aca="false">IF(D2282="","",ROUND((D2282-MIN($D$7:$D$9999))*86400,2))</f>
        <v/>
      </c>
      <c r="G2282" s="10" t="str">
        <f aca="false">IF(D2282="","",IF(D2282&lt;=($E$3*60+$F$3)/86400,"○",""))</f>
        <v/>
      </c>
      <c r="H2282" s="16" t="n">
        <v>0.00767488425925926</v>
      </c>
      <c r="I2282" s="17" t="n">
        <v>1053</v>
      </c>
      <c r="J2282" s="16"/>
      <c r="K2282" s="17"/>
      <c r="L2282" s="17" t="n">
        <f aca="false">COUNT(E2282,I2282,K2282)</f>
        <v>1</v>
      </c>
      <c r="M2282" s="18" t="n">
        <f aca="false">(D2282&lt;&gt;"")*(D2282&lt;=($E$3*60+$F$3)/86400)+(H2282&lt;&gt;"")*(H2282&lt;=($I$3*60+$J$3)/86400)+(J2282&lt;&gt;"")*(J2282&lt;=($M$3*60+$N$3)/86400)</f>
        <v>0</v>
      </c>
      <c r="N2282" s="20"/>
      <c r="O2282" s="20"/>
      <c r="P2282" s="20"/>
      <c r="Q2282" s="19"/>
    </row>
    <row r="2283" customFormat="false" ht="15" hidden="false" customHeight="false" outlineLevel="0" collapsed="false">
      <c r="A2283" s="10" t="n">
        <v>2277</v>
      </c>
      <c r="B2283" s="12" t="s">
        <v>3519</v>
      </c>
      <c r="C2283" s="12" t="s">
        <v>3148</v>
      </c>
      <c r="D2283" s="13"/>
      <c r="E2283" s="14"/>
      <c r="F2283" s="15" t="str">
        <f aca="false">IF(D2283="","",ROUND((D2283-MIN($D$7:$D$9999))*86400,2))</f>
        <v/>
      </c>
      <c r="G2283" s="10" t="str">
        <f aca="false">IF(D2283="","",IF(D2283&lt;=($E$3*60+$F$3)/86400,"○",""))</f>
        <v/>
      </c>
      <c r="H2283" s="16" t="n">
        <v>0.00767534722222222</v>
      </c>
      <c r="I2283" s="17" t="n">
        <v>1054</v>
      </c>
      <c r="J2283" s="16"/>
      <c r="K2283" s="17"/>
      <c r="L2283" s="17" t="n">
        <f aca="false">COUNT(E2283,I2283,K2283)</f>
        <v>1</v>
      </c>
      <c r="M2283" s="18" t="n">
        <f aca="false">(D2283&lt;&gt;"")*(D2283&lt;=($E$3*60+$F$3)/86400)+(H2283&lt;&gt;"")*(H2283&lt;=($I$3*60+$J$3)/86400)+(J2283&lt;&gt;"")*(J2283&lt;=($M$3*60+$N$3)/86400)</f>
        <v>0</v>
      </c>
      <c r="N2283" s="20"/>
      <c r="O2283" s="20"/>
      <c r="P2283" s="20"/>
      <c r="Q2283" s="19"/>
    </row>
    <row r="2284" customFormat="false" ht="15" hidden="false" customHeight="false" outlineLevel="0" collapsed="false">
      <c r="A2284" s="10" t="n">
        <v>2278</v>
      </c>
      <c r="B2284" s="12" t="s">
        <v>3520</v>
      </c>
      <c r="C2284" s="12" t="s">
        <v>2807</v>
      </c>
      <c r="D2284" s="13"/>
      <c r="E2284" s="14"/>
      <c r="F2284" s="15" t="str">
        <f aca="false">IF(D2284="","",ROUND((D2284-MIN($D$7:$D$9999))*86400,2))</f>
        <v/>
      </c>
      <c r="G2284" s="10" t="str">
        <f aca="false">IF(D2284="","",IF(D2284&lt;=($E$3*60+$F$3)/86400,"○",""))</f>
        <v/>
      </c>
      <c r="H2284" s="16"/>
      <c r="I2284" s="17"/>
      <c r="J2284" s="16" t="n">
        <v>0.00291493055555556</v>
      </c>
      <c r="K2284" s="17" t="n">
        <v>1054</v>
      </c>
      <c r="L2284" s="17" t="n">
        <f aca="false">COUNT(E2284,I2284,K2284)</f>
        <v>1</v>
      </c>
      <c r="M2284" s="18" t="n">
        <f aca="false">(D2284&lt;&gt;"")*(D2284&lt;=($E$3*60+$F$3)/86400)+(H2284&lt;&gt;"")*(H2284&lt;=($I$3*60+$J$3)/86400)+(J2284&lt;&gt;"")*(J2284&lt;=($M$3*60+$N$3)/86400)</f>
        <v>0</v>
      </c>
      <c r="N2284" s="20"/>
      <c r="O2284" s="20"/>
      <c r="P2284" s="20"/>
      <c r="Q2284" s="19"/>
    </row>
    <row r="2285" customFormat="false" ht="15" hidden="false" customHeight="false" outlineLevel="0" collapsed="false">
      <c r="A2285" s="10" t="n">
        <v>2279</v>
      </c>
      <c r="B2285" s="12" t="s">
        <v>3521</v>
      </c>
      <c r="C2285" s="12" t="s">
        <v>3154</v>
      </c>
      <c r="D2285" s="13"/>
      <c r="E2285" s="14"/>
      <c r="F2285" s="15" t="str">
        <f aca="false">IF(D2285="","",ROUND((D2285-MIN($D$7:$D$9999))*86400,2))</f>
        <v/>
      </c>
      <c r="G2285" s="10" t="str">
        <f aca="false">IF(D2285="","",IF(D2285&lt;=($E$3*60+$F$3)/86400,"○",""))</f>
        <v/>
      </c>
      <c r="H2285" s="16" t="n">
        <v>0.00767627314814815</v>
      </c>
      <c r="I2285" s="17" t="n">
        <v>1055</v>
      </c>
      <c r="J2285" s="16"/>
      <c r="K2285" s="17"/>
      <c r="L2285" s="17" t="n">
        <f aca="false">COUNT(E2285,I2285,K2285)</f>
        <v>1</v>
      </c>
      <c r="M2285" s="18" t="n">
        <f aca="false">(D2285&lt;&gt;"")*(D2285&lt;=($E$3*60+$F$3)/86400)+(H2285&lt;&gt;"")*(H2285&lt;=($I$3*60+$J$3)/86400)+(J2285&lt;&gt;"")*(J2285&lt;=($M$3*60+$N$3)/86400)</f>
        <v>0</v>
      </c>
      <c r="N2285" s="20"/>
      <c r="O2285" s="20"/>
      <c r="P2285" s="20"/>
      <c r="Q2285" s="19"/>
    </row>
    <row r="2286" customFormat="false" ht="15" hidden="false" customHeight="false" outlineLevel="0" collapsed="false">
      <c r="A2286" s="10" t="n">
        <v>2280</v>
      </c>
      <c r="B2286" s="12" t="s">
        <v>3522</v>
      </c>
      <c r="C2286" s="12" t="s">
        <v>609</v>
      </c>
      <c r="D2286" s="13"/>
      <c r="E2286" s="14"/>
      <c r="F2286" s="15" t="str">
        <f aca="false">IF(D2286="","",ROUND((D2286-MIN($D$7:$D$9999))*86400,2))</f>
        <v/>
      </c>
      <c r="G2286" s="10" t="str">
        <f aca="false">IF(D2286="","",IF(D2286&lt;=($E$3*60+$F$3)/86400,"○",""))</f>
        <v/>
      </c>
      <c r="H2286" s="16" t="n">
        <v>0.00767847222222222</v>
      </c>
      <c r="I2286" s="17" t="n">
        <v>1057</v>
      </c>
      <c r="J2286" s="16"/>
      <c r="K2286" s="17"/>
      <c r="L2286" s="17" t="n">
        <f aca="false">COUNT(E2286,I2286,K2286)</f>
        <v>1</v>
      </c>
      <c r="M2286" s="18" t="n">
        <f aca="false">(D2286&lt;&gt;"")*(D2286&lt;=($E$3*60+$F$3)/86400)+(H2286&lt;&gt;"")*(H2286&lt;=($I$3*60+$J$3)/86400)+(J2286&lt;&gt;"")*(J2286&lt;=($M$3*60+$N$3)/86400)</f>
        <v>0</v>
      </c>
      <c r="N2286" s="20"/>
      <c r="O2286" s="20"/>
      <c r="P2286" s="20"/>
      <c r="Q2286" s="19"/>
    </row>
    <row r="2287" customFormat="false" ht="15" hidden="false" customHeight="false" outlineLevel="0" collapsed="false">
      <c r="A2287" s="10" t="n">
        <v>2281</v>
      </c>
      <c r="B2287" s="12" t="s">
        <v>3523</v>
      </c>
      <c r="C2287" s="12" t="s">
        <v>1148</v>
      </c>
      <c r="D2287" s="13"/>
      <c r="E2287" s="14"/>
      <c r="F2287" s="15" t="str">
        <f aca="false">IF(D2287="","",ROUND((D2287-MIN($D$7:$D$9999))*86400,2))</f>
        <v/>
      </c>
      <c r="G2287" s="10" t="str">
        <f aca="false">IF(D2287="","",IF(D2287&lt;=($E$3*60+$F$3)/86400,"○",""))</f>
        <v/>
      </c>
      <c r="H2287" s="16" t="n">
        <v>0.00767951388888889</v>
      </c>
      <c r="I2287" s="17" t="n">
        <v>1058</v>
      </c>
      <c r="J2287" s="16"/>
      <c r="K2287" s="17"/>
      <c r="L2287" s="17" t="n">
        <f aca="false">COUNT(E2287,I2287,K2287)</f>
        <v>1</v>
      </c>
      <c r="M2287" s="18" t="n">
        <f aca="false">(D2287&lt;&gt;"")*(D2287&lt;=($E$3*60+$F$3)/86400)+(H2287&lt;&gt;"")*(H2287&lt;=($I$3*60+$J$3)/86400)+(J2287&lt;&gt;"")*(J2287&lt;=($M$3*60+$N$3)/86400)</f>
        <v>0</v>
      </c>
      <c r="N2287" s="20"/>
      <c r="O2287" s="20"/>
      <c r="P2287" s="20"/>
      <c r="Q2287" s="19"/>
    </row>
    <row r="2288" customFormat="false" ht="15" hidden="false" customHeight="false" outlineLevel="0" collapsed="false">
      <c r="A2288" s="10" t="n">
        <v>2282</v>
      </c>
      <c r="B2288" s="12" t="s">
        <v>3524</v>
      </c>
      <c r="C2288" s="12" t="s">
        <v>537</v>
      </c>
      <c r="D2288" s="13"/>
      <c r="E2288" s="14"/>
      <c r="F2288" s="15" t="str">
        <f aca="false">IF(D2288="","",ROUND((D2288-MIN($D$7:$D$9999))*86400,2))</f>
        <v/>
      </c>
      <c r="G2288" s="10" t="str">
        <f aca="false">IF(D2288="","",IF(D2288&lt;=($E$3*60+$F$3)/86400,"○",""))</f>
        <v/>
      </c>
      <c r="H2288" s="16"/>
      <c r="I2288" s="17"/>
      <c r="J2288" s="16" t="n">
        <v>0.00291597222222222</v>
      </c>
      <c r="K2288" s="17" t="n">
        <v>1058</v>
      </c>
      <c r="L2288" s="17" t="n">
        <f aca="false">COUNT(E2288,I2288,K2288)</f>
        <v>1</v>
      </c>
      <c r="M2288" s="18" t="n">
        <f aca="false">(D2288&lt;&gt;"")*(D2288&lt;=($E$3*60+$F$3)/86400)+(H2288&lt;&gt;"")*(H2288&lt;=($I$3*60+$J$3)/86400)+(J2288&lt;&gt;"")*(J2288&lt;=($M$3*60+$N$3)/86400)</f>
        <v>0</v>
      </c>
      <c r="N2288" s="20"/>
      <c r="O2288" s="20"/>
      <c r="P2288" s="20"/>
      <c r="Q2288" s="19"/>
    </row>
    <row r="2289" customFormat="false" ht="15" hidden="false" customHeight="false" outlineLevel="0" collapsed="false">
      <c r="A2289" s="10" t="n">
        <v>2283</v>
      </c>
      <c r="B2289" s="12" t="s">
        <v>3525</v>
      </c>
      <c r="C2289" s="12" t="s">
        <v>1348</v>
      </c>
      <c r="D2289" s="13"/>
      <c r="E2289" s="14"/>
      <c r="F2289" s="15" t="str">
        <f aca="false">IF(D2289="","",ROUND((D2289-MIN($D$7:$D$9999))*86400,2))</f>
        <v/>
      </c>
      <c r="G2289" s="10" t="str">
        <f aca="false">IF(D2289="","",IF(D2289&lt;=($E$3*60+$F$3)/86400,"○",""))</f>
        <v/>
      </c>
      <c r="H2289" s="16" t="n">
        <v>0.00768252314814815</v>
      </c>
      <c r="I2289" s="17" t="n">
        <v>1059</v>
      </c>
      <c r="J2289" s="16"/>
      <c r="K2289" s="17"/>
      <c r="L2289" s="17" t="n">
        <f aca="false">COUNT(E2289,I2289,K2289)</f>
        <v>1</v>
      </c>
      <c r="M2289" s="18" t="n">
        <f aca="false">(D2289&lt;&gt;"")*(D2289&lt;=($E$3*60+$F$3)/86400)+(H2289&lt;&gt;"")*(H2289&lt;=($I$3*60+$J$3)/86400)+(J2289&lt;&gt;"")*(J2289&lt;=($M$3*60+$N$3)/86400)</f>
        <v>0</v>
      </c>
      <c r="N2289" s="20"/>
      <c r="O2289" s="20"/>
      <c r="P2289" s="20"/>
      <c r="Q2289" s="19"/>
    </row>
    <row r="2290" customFormat="false" ht="15" hidden="false" customHeight="false" outlineLevel="0" collapsed="false">
      <c r="A2290" s="10" t="n">
        <v>2284</v>
      </c>
      <c r="B2290" s="12" t="s">
        <v>3526</v>
      </c>
      <c r="C2290" s="12" t="s">
        <v>3527</v>
      </c>
      <c r="D2290" s="13"/>
      <c r="E2290" s="14"/>
      <c r="F2290" s="15" t="str">
        <f aca="false">IF(D2290="","",ROUND((D2290-MIN($D$7:$D$9999))*86400,2))</f>
        <v/>
      </c>
      <c r="G2290" s="10" t="str">
        <f aca="false">IF(D2290="","",IF(D2290&lt;=($E$3*60+$F$3)/86400,"○",""))</f>
        <v/>
      </c>
      <c r="H2290" s="16" t="n">
        <v>0.00768344907407407</v>
      </c>
      <c r="I2290" s="17" t="n">
        <v>1060</v>
      </c>
      <c r="J2290" s="16"/>
      <c r="K2290" s="17"/>
      <c r="L2290" s="17" t="n">
        <f aca="false">COUNT(E2290,I2290,K2290)</f>
        <v>1</v>
      </c>
      <c r="M2290" s="18" t="n">
        <f aca="false">(D2290&lt;&gt;"")*(D2290&lt;=($E$3*60+$F$3)/86400)+(H2290&lt;&gt;"")*(H2290&lt;=($I$3*60+$J$3)/86400)+(J2290&lt;&gt;"")*(J2290&lt;=($M$3*60+$N$3)/86400)</f>
        <v>0</v>
      </c>
      <c r="N2290" s="20"/>
      <c r="O2290" s="20"/>
      <c r="P2290" s="20"/>
      <c r="Q2290" s="19"/>
    </row>
    <row r="2291" customFormat="false" ht="15" hidden="false" customHeight="false" outlineLevel="0" collapsed="false">
      <c r="A2291" s="10" t="n">
        <v>2285</v>
      </c>
      <c r="B2291" s="12" t="s">
        <v>3528</v>
      </c>
      <c r="C2291" s="12" t="s">
        <v>2909</v>
      </c>
      <c r="D2291" s="13"/>
      <c r="E2291" s="14"/>
      <c r="F2291" s="15" t="str">
        <f aca="false">IF(D2291="","",ROUND((D2291-MIN($D$7:$D$9999))*86400,2))</f>
        <v/>
      </c>
      <c r="G2291" s="10" t="str">
        <f aca="false">IF(D2291="","",IF(D2291&lt;=($E$3*60+$F$3)/86400,"○",""))</f>
        <v/>
      </c>
      <c r="H2291" s="16" t="n">
        <v>0.00768622685185185</v>
      </c>
      <c r="I2291" s="17" t="n">
        <v>1061</v>
      </c>
      <c r="J2291" s="16"/>
      <c r="K2291" s="17"/>
      <c r="L2291" s="17" t="n">
        <f aca="false">COUNT(E2291,I2291,K2291)</f>
        <v>1</v>
      </c>
      <c r="M2291" s="18" t="n">
        <f aca="false">(D2291&lt;&gt;"")*(D2291&lt;=($E$3*60+$F$3)/86400)+(H2291&lt;&gt;"")*(H2291&lt;=($I$3*60+$J$3)/86400)+(J2291&lt;&gt;"")*(J2291&lt;=($M$3*60+$N$3)/86400)</f>
        <v>0</v>
      </c>
      <c r="N2291" s="20"/>
      <c r="O2291" s="20"/>
      <c r="P2291" s="20"/>
      <c r="Q2291" s="19"/>
    </row>
    <row r="2292" customFormat="false" ht="15" hidden="false" customHeight="false" outlineLevel="0" collapsed="false">
      <c r="A2292" s="10" t="n">
        <v>2286</v>
      </c>
      <c r="B2292" s="12" t="s">
        <v>3529</v>
      </c>
      <c r="C2292" s="12" t="s">
        <v>3530</v>
      </c>
      <c r="D2292" s="13"/>
      <c r="E2292" s="14"/>
      <c r="F2292" s="15" t="str">
        <f aca="false">IF(D2292="","",ROUND((D2292-MIN($D$7:$D$9999))*86400,2))</f>
        <v/>
      </c>
      <c r="G2292" s="10" t="str">
        <f aca="false">IF(D2292="","",IF(D2292&lt;=($E$3*60+$F$3)/86400,"○",""))</f>
        <v/>
      </c>
      <c r="H2292" s="16"/>
      <c r="I2292" s="17"/>
      <c r="J2292" s="16" t="n">
        <v>0.00291631944444444</v>
      </c>
      <c r="K2292" s="17" t="n">
        <v>1061</v>
      </c>
      <c r="L2292" s="17" t="n">
        <f aca="false">COUNT(E2292,I2292,K2292)</f>
        <v>1</v>
      </c>
      <c r="M2292" s="18" t="n">
        <f aca="false">(D2292&lt;&gt;"")*(D2292&lt;=($E$3*60+$F$3)/86400)+(H2292&lt;&gt;"")*(H2292&lt;=($I$3*60+$J$3)/86400)+(J2292&lt;&gt;"")*(J2292&lt;=($M$3*60+$N$3)/86400)</f>
        <v>0</v>
      </c>
      <c r="N2292" s="20"/>
      <c r="O2292" s="20"/>
      <c r="P2292" s="20"/>
      <c r="Q2292" s="19"/>
    </row>
    <row r="2293" customFormat="false" ht="15" hidden="false" customHeight="false" outlineLevel="0" collapsed="false">
      <c r="A2293" s="10" t="n">
        <v>2287</v>
      </c>
      <c r="B2293" s="12" t="s">
        <v>3531</v>
      </c>
      <c r="C2293" s="12" t="s">
        <v>1229</v>
      </c>
      <c r="D2293" s="13"/>
      <c r="E2293" s="14"/>
      <c r="F2293" s="15" t="str">
        <f aca="false">IF(D2293="","",ROUND((D2293-MIN($D$7:$D$9999))*86400,2))</f>
        <v/>
      </c>
      <c r="G2293" s="10" t="str">
        <f aca="false">IF(D2293="","",IF(D2293&lt;=($E$3*60+$F$3)/86400,"○",""))</f>
        <v/>
      </c>
      <c r="H2293" s="16" t="n">
        <v>0.00769212962962963</v>
      </c>
      <c r="I2293" s="17" t="n">
        <v>1062</v>
      </c>
      <c r="J2293" s="16"/>
      <c r="K2293" s="17"/>
      <c r="L2293" s="17" t="n">
        <f aca="false">COUNT(E2293,I2293,K2293)</f>
        <v>1</v>
      </c>
      <c r="M2293" s="18" t="n">
        <f aca="false">(D2293&lt;&gt;"")*(D2293&lt;=($E$3*60+$F$3)/86400)+(H2293&lt;&gt;"")*(H2293&lt;=($I$3*60+$J$3)/86400)+(J2293&lt;&gt;"")*(J2293&lt;=($M$3*60+$N$3)/86400)</f>
        <v>0</v>
      </c>
      <c r="N2293" s="20"/>
      <c r="O2293" s="20"/>
      <c r="P2293" s="20"/>
      <c r="Q2293" s="19"/>
    </row>
    <row r="2294" customFormat="false" ht="15" hidden="false" customHeight="false" outlineLevel="0" collapsed="false">
      <c r="A2294" s="10" t="n">
        <v>2288</v>
      </c>
      <c r="B2294" s="12" t="s">
        <v>3532</v>
      </c>
      <c r="C2294" s="12" t="s">
        <v>3457</v>
      </c>
      <c r="D2294" s="13"/>
      <c r="E2294" s="14"/>
      <c r="F2294" s="15" t="str">
        <f aca="false">IF(D2294="","",ROUND((D2294-MIN($D$7:$D$9999))*86400,2))</f>
        <v/>
      </c>
      <c r="G2294" s="10" t="str">
        <f aca="false">IF(D2294="","",IF(D2294&lt;=($E$3*60+$F$3)/86400,"○",""))</f>
        <v/>
      </c>
      <c r="H2294" s="16"/>
      <c r="I2294" s="17"/>
      <c r="J2294" s="16" t="n">
        <v>0.00291631944444444</v>
      </c>
      <c r="K2294" s="17" t="n">
        <v>1062</v>
      </c>
      <c r="L2294" s="17" t="n">
        <f aca="false">COUNT(E2294,I2294,K2294)</f>
        <v>1</v>
      </c>
      <c r="M2294" s="18" t="n">
        <f aca="false">(D2294&lt;&gt;"")*(D2294&lt;=($E$3*60+$F$3)/86400)+(H2294&lt;&gt;"")*(H2294&lt;=($I$3*60+$J$3)/86400)+(J2294&lt;&gt;"")*(J2294&lt;=($M$3*60+$N$3)/86400)</f>
        <v>0</v>
      </c>
      <c r="N2294" s="20"/>
      <c r="O2294" s="20"/>
      <c r="P2294" s="20"/>
      <c r="Q2294" s="19"/>
    </row>
    <row r="2295" customFormat="false" ht="15" hidden="false" customHeight="false" outlineLevel="0" collapsed="false">
      <c r="A2295" s="10" t="n">
        <v>2289</v>
      </c>
      <c r="B2295" s="12" t="s">
        <v>3533</v>
      </c>
      <c r="C2295" s="12" t="s">
        <v>3534</v>
      </c>
      <c r="D2295" s="13"/>
      <c r="E2295" s="14"/>
      <c r="F2295" s="15" t="str">
        <f aca="false">IF(D2295="","",ROUND((D2295-MIN($D$7:$D$9999))*86400,2))</f>
        <v/>
      </c>
      <c r="G2295" s="10" t="str">
        <f aca="false">IF(D2295="","",IF(D2295&lt;=($E$3*60+$F$3)/86400,"○",""))</f>
        <v/>
      </c>
      <c r="H2295" s="16" t="n">
        <v>0.00769328703703704</v>
      </c>
      <c r="I2295" s="17" t="n">
        <v>1063</v>
      </c>
      <c r="J2295" s="16"/>
      <c r="K2295" s="17"/>
      <c r="L2295" s="17" t="n">
        <f aca="false">COUNT(E2295,I2295,K2295)</f>
        <v>1</v>
      </c>
      <c r="M2295" s="18" t="n">
        <f aca="false">(D2295&lt;&gt;"")*(D2295&lt;=($E$3*60+$F$3)/86400)+(H2295&lt;&gt;"")*(H2295&lt;=($I$3*60+$J$3)/86400)+(J2295&lt;&gt;"")*(J2295&lt;=($M$3*60+$N$3)/86400)</f>
        <v>0</v>
      </c>
      <c r="N2295" s="20"/>
      <c r="O2295" s="20"/>
      <c r="P2295" s="20"/>
      <c r="Q2295" s="19"/>
    </row>
    <row r="2296" customFormat="false" ht="15" hidden="false" customHeight="false" outlineLevel="0" collapsed="false">
      <c r="A2296" s="10" t="n">
        <v>2290</v>
      </c>
      <c r="B2296" s="12" t="s">
        <v>3535</v>
      </c>
      <c r="C2296" s="12" t="s">
        <v>978</v>
      </c>
      <c r="D2296" s="13"/>
      <c r="E2296" s="14"/>
      <c r="F2296" s="15" t="str">
        <f aca="false">IF(D2296="","",ROUND((D2296-MIN($D$7:$D$9999))*86400,2))</f>
        <v/>
      </c>
      <c r="G2296" s="10" t="str">
        <f aca="false">IF(D2296="","",IF(D2296&lt;=($E$3*60+$F$3)/86400,"○",""))</f>
        <v/>
      </c>
      <c r="H2296" s="16" t="n">
        <v>0.00769953703703704</v>
      </c>
      <c r="I2296" s="17" t="n">
        <v>1065</v>
      </c>
      <c r="J2296" s="16"/>
      <c r="K2296" s="17"/>
      <c r="L2296" s="17" t="n">
        <f aca="false">COUNT(E2296,I2296,K2296)</f>
        <v>1</v>
      </c>
      <c r="M2296" s="18" t="n">
        <f aca="false">(D2296&lt;&gt;"")*(D2296&lt;=($E$3*60+$F$3)/86400)+(H2296&lt;&gt;"")*(H2296&lt;=($I$3*60+$J$3)/86400)+(J2296&lt;&gt;"")*(J2296&lt;=($M$3*60+$N$3)/86400)</f>
        <v>0</v>
      </c>
      <c r="N2296" s="20"/>
      <c r="O2296" s="20"/>
      <c r="P2296" s="20"/>
      <c r="Q2296" s="19"/>
    </row>
    <row r="2297" customFormat="false" ht="15" hidden="false" customHeight="false" outlineLevel="0" collapsed="false">
      <c r="A2297" s="10" t="n">
        <v>2291</v>
      </c>
      <c r="B2297" s="12" t="s">
        <v>3536</v>
      </c>
      <c r="C2297" s="12" t="s">
        <v>2444</v>
      </c>
      <c r="D2297" s="13"/>
      <c r="E2297" s="14"/>
      <c r="F2297" s="15" t="str">
        <f aca="false">IF(D2297="","",ROUND((D2297-MIN($D$7:$D$9999))*86400,2))</f>
        <v/>
      </c>
      <c r="G2297" s="10" t="str">
        <f aca="false">IF(D2297="","",IF(D2297&lt;=($E$3*60+$F$3)/86400,"○",""))</f>
        <v/>
      </c>
      <c r="H2297" s="16"/>
      <c r="I2297" s="17"/>
      <c r="J2297" s="16" t="n">
        <v>0.00291689814814815</v>
      </c>
      <c r="K2297" s="17" t="n">
        <v>1065</v>
      </c>
      <c r="L2297" s="17" t="n">
        <f aca="false">COUNT(E2297,I2297,K2297)</f>
        <v>1</v>
      </c>
      <c r="M2297" s="18" t="n">
        <f aca="false">(D2297&lt;&gt;"")*(D2297&lt;=($E$3*60+$F$3)/86400)+(H2297&lt;&gt;"")*(H2297&lt;=($I$3*60+$J$3)/86400)+(J2297&lt;&gt;"")*(J2297&lt;=($M$3*60+$N$3)/86400)</f>
        <v>0</v>
      </c>
      <c r="N2297" s="20"/>
      <c r="O2297" s="20"/>
      <c r="P2297" s="20"/>
      <c r="Q2297" s="19"/>
    </row>
    <row r="2298" customFormat="false" ht="15" hidden="false" customHeight="false" outlineLevel="0" collapsed="false">
      <c r="A2298" s="10" t="n">
        <v>2292</v>
      </c>
      <c r="B2298" s="12" t="s">
        <v>3537</v>
      </c>
      <c r="C2298" s="12" t="s">
        <v>1590</v>
      </c>
      <c r="D2298" s="13"/>
      <c r="E2298" s="14"/>
      <c r="F2298" s="15" t="str">
        <f aca="false">IF(D2298="","",ROUND((D2298-MIN($D$7:$D$9999))*86400,2))</f>
        <v/>
      </c>
      <c r="G2298" s="10" t="str">
        <f aca="false">IF(D2298="","",IF(D2298&lt;=($E$3*60+$F$3)/86400,"○",""))</f>
        <v/>
      </c>
      <c r="H2298" s="16" t="n">
        <v>0.0077005787037037</v>
      </c>
      <c r="I2298" s="17" t="n">
        <v>1066</v>
      </c>
      <c r="J2298" s="16"/>
      <c r="K2298" s="17"/>
      <c r="L2298" s="17" t="n">
        <f aca="false">COUNT(E2298,I2298,K2298)</f>
        <v>1</v>
      </c>
      <c r="M2298" s="18" t="n">
        <f aca="false">(D2298&lt;&gt;"")*(D2298&lt;=($E$3*60+$F$3)/86400)+(H2298&lt;&gt;"")*(H2298&lt;=($I$3*60+$J$3)/86400)+(J2298&lt;&gt;"")*(J2298&lt;=($M$3*60+$N$3)/86400)</f>
        <v>0</v>
      </c>
      <c r="N2298" s="20"/>
      <c r="O2298" s="20" t="s">
        <v>3538</v>
      </c>
      <c r="P2298" s="20"/>
      <c r="Q2298" s="19"/>
    </row>
    <row r="2299" customFormat="false" ht="15" hidden="false" customHeight="false" outlineLevel="0" collapsed="false">
      <c r="A2299" s="10" t="n">
        <v>2293</v>
      </c>
      <c r="B2299" s="12" t="s">
        <v>3539</v>
      </c>
      <c r="C2299" s="12" t="s">
        <v>3540</v>
      </c>
      <c r="D2299" s="13"/>
      <c r="E2299" s="14"/>
      <c r="F2299" s="15" t="str">
        <f aca="false">IF(D2299="","",ROUND((D2299-MIN($D$7:$D$9999))*86400,2))</f>
        <v/>
      </c>
      <c r="G2299" s="10" t="str">
        <f aca="false">IF(D2299="","",IF(D2299&lt;=($E$3*60+$F$3)/86400,"○",""))</f>
        <v/>
      </c>
      <c r="H2299" s="16" t="n">
        <v>0.00770081018518519</v>
      </c>
      <c r="I2299" s="17" t="n">
        <v>1067</v>
      </c>
      <c r="J2299" s="16"/>
      <c r="K2299" s="17"/>
      <c r="L2299" s="17" t="n">
        <f aca="false">COUNT(E2299,I2299,K2299)</f>
        <v>1</v>
      </c>
      <c r="M2299" s="18" t="n">
        <f aca="false">(D2299&lt;&gt;"")*(D2299&lt;=($E$3*60+$F$3)/86400)+(H2299&lt;&gt;"")*(H2299&lt;=($I$3*60+$J$3)/86400)+(J2299&lt;&gt;"")*(J2299&lt;=($M$3*60+$N$3)/86400)</f>
        <v>0</v>
      </c>
      <c r="N2299" s="20"/>
      <c r="O2299" s="20"/>
      <c r="P2299" s="20"/>
      <c r="Q2299" s="19"/>
    </row>
    <row r="2300" customFormat="false" ht="15" hidden="false" customHeight="false" outlineLevel="0" collapsed="false">
      <c r="A2300" s="10" t="n">
        <v>2294</v>
      </c>
      <c r="B2300" s="12" t="s">
        <v>3541</v>
      </c>
      <c r="C2300" s="12" t="s">
        <v>3542</v>
      </c>
      <c r="D2300" s="13"/>
      <c r="E2300" s="14"/>
      <c r="F2300" s="15" t="str">
        <f aca="false">IF(D2300="","",ROUND((D2300-MIN($D$7:$D$9999))*86400,2))</f>
        <v/>
      </c>
      <c r="G2300" s="10" t="str">
        <f aca="false">IF(D2300="","",IF(D2300&lt;=($E$3*60+$F$3)/86400,"○",""))</f>
        <v/>
      </c>
      <c r="H2300" s="16" t="n">
        <v>0.0077037037037037</v>
      </c>
      <c r="I2300" s="17" t="n">
        <v>1069</v>
      </c>
      <c r="J2300" s="16"/>
      <c r="K2300" s="17"/>
      <c r="L2300" s="17" t="n">
        <f aca="false">COUNT(E2300,I2300,K2300)</f>
        <v>1</v>
      </c>
      <c r="M2300" s="18" t="n">
        <f aca="false">(D2300&lt;&gt;"")*(D2300&lt;=($E$3*60+$F$3)/86400)+(H2300&lt;&gt;"")*(H2300&lt;=($I$3*60+$J$3)/86400)+(J2300&lt;&gt;"")*(J2300&lt;=($M$3*60+$N$3)/86400)</f>
        <v>0</v>
      </c>
      <c r="N2300" s="20"/>
      <c r="O2300" s="20"/>
      <c r="P2300" s="20"/>
      <c r="Q2300" s="19"/>
    </row>
    <row r="2301" customFormat="false" ht="15" hidden="false" customHeight="false" outlineLevel="0" collapsed="false">
      <c r="A2301" s="10" t="n">
        <v>2295</v>
      </c>
      <c r="B2301" s="12" t="s">
        <v>3543</v>
      </c>
      <c r="C2301" s="12" t="s">
        <v>3544</v>
      </c>
      <c r="D2301" s="13"/>
      <c r="E2301" s="14"/>
      <c r="F2301" s="15" t="str">
        <f aca="false">IF(D2301="","",ROUND((D2301-MIN($D$7:$D$9999))*86400,2))</f>
        <v/>
      </c>
      <c r="G2301" s="10" t="str">
        <f aca="false">IF(D2301="","",IF(D2301&lt;=($E$3*60+$F$3)/86400,"○",""))</f>
        <v/>
      </c>
      <c r="H2301" s="16"/>
      <c r="I2301" s="17"/>
      <c r="J2301" s="16" t="n">
        <v>0.00291724537037037</v>
      </c>
      <c r="K2301" s="17" t="n">
        <v>1069</v>
      </c>
      <c r="L2301" s="17" t="n">
        <f aca="false">COUNT(E2301,I2301,K2301)</f>
        <v>1</v>
      </c>
      <c r="M2301" s="18" t="n">
        <f aca="false">(D2301&lt;&gt;"")*(D2301&lt;=($E$3*60+$F$3)/86400)+(H2301&lt;&gt;"")*(H2301&lt;=($I$3*60+$J$3)/86400)+(J2301&lt;&gt;"")*(J2301&lt;=($M$3*60+$N$3)/86400)</f>
        <v>0</v>
      </c>
      <c r="N2301" s="20"/>
      <c r="O2301" s="20"/>
      <c r="P2301" s="20"/>
      <c r="Q2301" s="19"/>
    </row>
    <row r="2302" customFormat="false" ht="15" hidden="false" customHeight="false" outlineLevel="0" collapsed="false">
      <c r="A2302" s="10" t="n">
        <v>2296</v>
      </c>
      <c r="B2302" s="12" t="s">
        <v>3545</v>
      </c>
      <c r="C2302" s="12" t="s">
        <v>1049</v>
      </c>
      <c r="D2302" s="13"/>
      <c r="E2302" s="14"/>
      <c r="F2302" s="15" t="str">
        <f aca="false">IF(D2302="","",ROUND((D2302-MIN($D$7:$D$9999))*86400,2))</f>
        <v/>
      </c>
      <c r="G2302" s="10" t="str">
        <f aca="false">IF(D2302="","",IF(D2302&lt;=($E$3*60+$F$3)/86400,"○",""))</f>
        <v/>
      </c>
      <c r="H2302" s="16" t="n">
        <v>0.00770405092592593</v>
      </c>
      <c r="I2302" s="17" t="n">
        <v>1070</v>
      </c>
      <c r="J2302" s="16"/>
      <c r="K2302" s="17"/>
      <c r="L2302" s="17" t="n">
        <f aca="false">COUNT(E2302,I2302,K2302)</f>
        <v>1</v>
      </c>
      <c r="M2302" s="18" t="n">
        <f aca="false">(D2302&lt;&gt;"")*(D2302&lt;=($E$3*60+$F$3)/86400)+(H2302&lt;&gt;"")*(H2302&lt;=($I$3*60+$J$3)/86400)+(J2302&lt;&gt;"")*(J2302&lt;=($M$3*60+$N$3)/86400)</f>
        <v>0</v>
      </c>
      <c r="N2302" s="20"/>
      <c r="O2302" s="20"/>
      <c r="P2302" s="20"/>
      <c r="Q2302" s="19"/>
    </row>
    <row r="2303" customFormat="false" ht="15" hidden="false" customHeight="false" outlineLevel="0" collapsed="false">
      <c r="A2303" s="10" t="n">
        <v>2297</v>
      </c>
      <c r="B2303" s="12" t="s">
        <v>3546</v>
      </c>
      <c r="C2303" s="12" t="s">
        <v>3547</v>
      </c>
      <c r="D2303" s="13"/>
      <c r="E2303" s="14"/>
      <c r="F2303" s="15" t="str">
        <f aca="false">IF(D2303="","",ROUND((D2303-MIN($D$7:$D$9999))*86400,2))</f>
        <v/>
      </c>
      <c r="G2303" s="10" t="str">
        <f aca="false">IF(D2303="","",IF(D2303&lt;=($E$3*60+$F$3)/86400,"○",""))</f>
        <v/>
      </c>
      <c r="H2303" s="16" t="n">
        <v>0.00770486111111111</v>
      </c>
      <c r="I2303" s="17" t="n">
        <v>1071</v>
      </c>
      <c r="J2303" s="16"/>
      <c r="K2303" s="17"/>
      <c r="L2303" s="17" t="n">
        <f aca="false">COUNT(E2303,I2303,K2303)</f>
        <v>1</v>
      </c>
      <c r="M2303" s="18" t="n">
        <f aca="false">(D2303&lt;&gt;"")*(D2303&lt;=($E$3*60+$F$3)/86400)+(H2303&lt;&gt;"")*(H2303&lt;=($I$3*60+$J$3)/86400)+(J2303&lt;&gt;"")*(J2303&lt;=($M$3*60+$N$3)/86400)</f>
        <v>0</v>
      </c>
      <c r="N2303" s="20"/>
      <c r="O2303" s="20"/>
      <c r="P2303" s="20"/>
      <c r="Q2303" s="19"/>
    </row>
    <row r="2304" customFormat="false" ht="15" hidden="false" customHeight="false" outlineLevel="0" collapsed="false">
      <c r="A2304" s="10" t="n">
        <v>2298</v>
      </c>
      <c r="B2304" s="12" t="s">
        <v>3548</v>
      </c>
      <c r="C2304" s="12" t="s">
        <v>3549</v>
      </c>
      <c r="D2304" s="13"/>
      <c r="E2304" s="14"/>
      <c r="F2304" s="15" t="str">
        <f aca="false">IF(D2304="","",ROUND((D2304-MIN($D$7:$D$9999))*86400,2))</f>
        <v/>
      </c>
      <c r="G2304" s="10" t="str">
        <f aca="false">IF(D2304="","",IF(D2304&lt;=($E$3*60+$F$3)/86400,"○",""))</f>
        <v/>
      </c>
      <c r="H2304" s="16" t="n">
        <v>0.00770509259259259</v>
      </c>
      <c r="I2304" s="17" t="n">
        <v>1072</v>
      </c>
      <c r="J2304" s="16"/>
      <c r="K2304" s="17"/>
      <c r="L2304" s="17" t="n">
        <f aca="false">COUNT(E2304,I2304,K2304)</f>
        <v>1</v>
      </c>
      <c r="M2304" s="18" t="n">
        <f aca="false">(D2304&lt;&gt;"")*(D2304&lt;=($E$3*60+$F$3)/86400)+(H2304&lt;&gt;"")*(H2304&lt;=($I$3*60+$J$3)/86400)+(J2304&lt;&gt;"")*(J2304&lt;=($M$3*60+$N$3)/86400)</f>
        <v>0</v>
      </c>
      <c r="N2304" s="20"/>
      <c r="O2304" s="20"/>
      <c r="P2304" s="20"/>
      <c r="Q2304" s="19"/>
    </row>
    <row r="2305" customFormat="false" ht="15" hidden="false" customHeight="false" outlineLevel="0" collapsed="false">
      <c r="A2305" s="10" t="n">
        <v>2299</v>
      </c>
      <c r="B2305" s="12" t="s">
        <v>3550</v>
      </c>
      <c r="C2305" s="12" t="s">
        <v>3026</v>
      </c>
      <c r="D2305" s="13"/>
      <c r="E2305" s="14"/>
      <c r="F2305" s="15" t="str">
        <f aca="false">IF(D2305="","",ROUND((D2305-MIN($D$7:$D$9999))*86400,2))</f>
        <v/>
      </c>
      <c r="G2305" s="10" t="str">
        <f aca="false">IF(D2305="","",IF(D2305&lt;=($E$3*60+$F$3)/86400,"○",""))</f>
        <v/>
      </c>
      <c r="H2305" s="16"/>
      <c r="I2305" s="17"/>
      <c r="J2305" s="16" t="n">
        <v>0.00291759259259259</v>
      </c>
      <c r="K2305" s="17" t="n">
        <v>1072</v>
      </c>
      <c r="L2305" s="17" t="n">
        <f aca="false">COUNT(E2305,I2305,K2305)</f>
        <v>1</v>
      </c>
      <c r="M2305" s="18" t="n">
        <f aca="false">(D2305&lt;&gt;"")*(D2305&lt;=($E$3*60+$F$3)/86400)+(H2305&lt;&gt;"")*(H2305&lt;=($I$3*60+$J$3)/86400)+(J2305&lt;&gt;"")*(J2305&lt;=($M$3*60+$N$3)/86400)</f>
        <v>0</v>
      </c>
      <c r="N2305" s="20"/>
      <c r="O2305" s="20"/>
      <c r="P2305" s="20"/>
      <c r="Q2305" s="19"/>
    </row>
    <row r="2306" customFormat="false" ht="15" hidden="false" customHeight="false" outlineLevel="0" collapsed="false">
      <c r="A2306" s="10" t="n">
        <v>2300</v>
      </c>
      <c r="B2306" s="12" t="s">
        <v>3551</v>
      </c>
      <c r="C2306" s="12" t="s">
        <v>2621</v>
      </c>
      <c r="D2306" s="13"/>
      <c r="E2306" s="14"/>
      <c r="F2306" s="15" t="str">
        <f aca="false">IF(D2306="","",ROUND((D2306-MIN($D$7:$D$9999))*86400,2))</f>
        <v/>
      </c>
      <c r="G2306" s="10" t="str">
        <f aca="false">IF(D2306="","",IF(D2306&lt;=($E$3*60+$F$3)/86400,"○",""))</f>
        <v/>
      </c>
      <c r="H2306" s="16" t="n">
        <v>0.00770601851851852</v>
      </c>
      <c r="I2306" s="17" t="n">
        <v>1073</v>
      </c>
      <c r="J2306" s="16"/>
      <c r="K2306" s="17"/>
      <c r="L2306" s="17" t="n">
        <f aca="false">COUNT(E2306,I2306,K2306)</f>
        <v>1</v>
      </c>
      <c r="M2306" s="18" t="n">
        <f aca="false">(D2306&lt;&gt;"")*(D2306&lt;=($E$3*60+$F$3)/86400)+(H2306&lt;&gt;"")*(H2306&lt;=($I$3*60+$J$3)/86400)+(J2306&lt;&gt;"")*(J2306&lt;=($M$3*60+$N$3)/86400)</f>
        <v>0</v>
      </c>
      <c r="N2306" s="20"/>
      <c r="O2306" s="20"/>
      <c r="P2306" s="20"/>
      <c r="Q2306" s="19"/>
    </row>
    <row r="2307" customFormat="false" ht="15" hidden="false" customHeight="false" outlineLevel="0" collapsed="false">
      <c r="A2307" s="10" t="n">
        <v>2301</v>
      </c>
      <c r="B2307" s="12" t="s">
        <v>3552</v>
      </c>
      <c r="C2307" s="12" t="s">
        <v>2628</v>
      </c>
      <c r="D2307" s="13"/>
      <c r="E2307" s="14"/>
      <c r="F2307" s="15" t="str">
        <f aca="false">IF(D2307="","",ROUND((D2307-MIN($D$7:$D$9999))*86400,2))</f>
        <v/>
      </c>
      <c r="G2307" s="10" t="str">
        <f aca="false">IF(D2307="","",IF(D2307&lt;=($E$3*60+$F$3)/86400,"○",""))</f>
        <v/>
      </c>
      <c r="H2307" s="16"/>
      <c r="I2307" s="17"/>
      <c r="J2307" s="16" t="n">
        <v>0.00291782407407407</v>
      </c>
      <c r="K2307" s="17" t="n">
        <v>1073</v>
      </c>
      <c r="L2307" s="17" t="n">
        <f aca="false">COUNT(E2307,I2307,K2307)</f>
        <v>1</v>
      </c>
      <c r="M2307" s="18" t="n">
        <f aca="false">(D2307&lt;&gt;"")*(D2307&lt;=($E$3*60+$F$3)/86400)+(H2307&lt;&gt;"")*(H2307&lt;=($I$3*60+$J$3)/86400)+(J2307&lt;&gt;"")*(J2307&lt;=($M$3*60+$N$3)/86400)</f>
        <v>0</v>
      </c>
      <c r="N2307" s="20"/>
      <c r="O2307" s="20"/>
      <c r="P2307" s="20"/>
      <c r="Q2307" s="19"/>
    </row>
    <row r="2308" customFormat="false" ht="15" hidden="false" customHeight="false" outlineLevel="0" collapsed="false">
      <c r="A2308" s="10" t="n">
        <v>2302</v>
      </c>
      <c r="B2308" s="12" t="s">
        <v>3553</v>
      </c>
      <c r="C2308" s="12" t="s">
        <v>3554</v>
      </c>
      <c r="D2308" s="13"/>
      <c r="E2308" s="14"/>
      <c r="F2308" s="15" t="str">
        <f aca="false">IF(D2308="","",ROUND((D2308-MIN($D$7:$D$9999))*86400,2))</f>
        <v/>
      </c>
      <c r="G2308" s="10" t="str">
        <f aca="false">IF(D2308="","",IF(D2308&lt;=($E$3*60+$F$3)/86400,"○",""))</f>
        <v/>
      </c>
      <c r="H2308" s="16" t="n">
        <v>0.00770613425925926</v>
      </c>
      <c r="I2308" s="17" t="n">
        <v>1074</v>
      </c>
      <c r="J2308" s="16"/>
      <c r="K2308" s="17"/>
      <c r="L2308" s="17" t="n">
        <f aca="false">COUNT(E2308,I2308,K2308)</f>
        <v>1</v>
      </c>
      <c r="M2308" s="18" t="n">
        <f aca="false">(D2308&lt;&gt;"")*(D2308&lt;=($E$3*60+$F$3)/86400)+(H2308&lt;&gt;"")*(H2308&lt;=($I$3*60+$J$3)/86400)+(J2308&lt;&gt;"")*(J2308&lt;=($M$3*60+$N$3)/86400)</f>
        <v>0</v>
      </c>
      <c r="N2308" s="20"/>
      <c r="O2308" s="20"/>
      <c r="P2308" s="20"/>
      <c r="Q2308" s="19"/>
    </row>
    <row r="2309" customFormat="false" ht="15" hidden="false" customHeight="false" outlineLevel="0" collapsed="false">
      <c r="A2309" s="10" t="n">
        <v>2303</v>
      </c>
      <c r="B2309" s="12" t="s">
        <v>3555</v>
      </c>
      <c r="C2309" s="12" t="s">
        <v>2372</v>
      </c>
      <c r="D2309" s="13"/>
      <c r="E2309" s="14"/>
      <c r="F2309" s="15" t="str">
        <f aca="false">IF(D2309="","",ROUND((D2309-MIN($D$7:$D$9999))*86400,2))</f>
        <v/>
      </c>
      <c r="G2309" s="10" t="str">
        <f aca="false">IF(D2309="","",IF(D2309&lt;=($E$3*60+$F$3)/86400,"○",""))</f>
        <v/>
      </c>
      <c r="H2309" s="16"/>
      <c r="I2309" s="17"/>
      <c r="J2309" s="16" t="n">
        <v>0.00291793981481482</v>
      </c>
      <c r="K2309" s="17" t="n">
        <v>1074</v>
      </c>
      <c r="L2309" s="17" t="n">
        <f aca="false">COUNT(E2309,I2309,K2309)</f>
        <v>1</v>
      </c>
      <c r="M2309" s="18" t="n">
        <f aca="false">(D2309&lt;&gt;"")*(D2309&lt;=($E$3*60+$F$3)/86400)+(H2309&lt;&gt;"")*(H2309&lt;=($I$3*60+$J$3)/86400)+(J2309&lt;&gt;"")*(J2309&lt;=($M$3*60+$N$3)/86400)</f>
        <v>0</v>
      </c>
      <c r="N2309" s="20"/>
      <c r="O2309" s="20"/>
      <c r="P2309" s="20"/>
      <c r="Q2309" s="19"/>
    </row>
    <row r="2310" customFormat="false" ht="15" hidden="false" customHeight="false" outlineLevel="0" collapsed="false">
      <c r="A2310" s="10" t="n">
        <v>2304</v>
      </c>
      <c r="B2310" s="12" t="s">
        <v>3556</v>
      </c>
      <c r="C2310" s="12" t="s">
        <v>3557</v>
      </c>
      <c r="D2310" s="13"/>
      <c r="E2310" s="14"/>
      <c r="F2310" s="15" t="str">
        <f aca="false">IF(D2310="","",ROUND((D2310-MIN($D$7:$D$9999))*86400,2))</f>
        <v/>
      </c>
      <c r="G2310" s="10" t="str">
        <f aca="false">IF(D2310="","",IF(D2310&lt;=($E$3*60+$F$3)/86400,"○",""))</f>
        <v/>
      </c>
      <c r="H2310" s="16" t="n">
        <v>0.00770740740740741</v>
      </c>
      <c r="I2310" s="17" t="n">
        <v>1075</v>
      </c>
      <c r="J2310" s="16"/>
      <c r="K2310" s="17"/>
      <c r="L2310" s="17" t="n">
        <f aca="false">COUNT(E2310,I2310,K2310)</f>
        <v>1</v>
      </c>
      <c r="M2310" s="18" t="n">
        <f aca="false">(D2310&lt;&gt;"")*(D2310&lt;=($E$3*60+$F$3)/86400)+(H2310&lt;&gt;"")*(H2310&lt;=($I$3*60+$J$3)/86400)+(J2310&lt;&gt;"")*(J2310&lt;=($M$3*60+$N$3)/86400)</f>
        <v>0</v>
      </c>
      <c r="N2310" s="20"/>
      <c r="O2310" s="20"/>
      <c r="P2310" s="20"/>
      <c r="Q2310" s="19"/>
    </row>
    <row r="2311" customFormat="false" ht="15" hidden="false" customHeight="false" outlineLevel="0" collapsed="false">
      <c r="A2311" s="10" t="n">
        <v>2305</v>
      </c>
      <c r="B2311" s="12" t="s">
        <v>3558</v>
      </c>
      <c r="C2311" s="12" t="s">
        <v>3559</v>
      </c>
      <c r="D2311" s="13"/>
      <c r="E2311" s="14"/>
      <c r="F2311" s="15" t="str">
        <f aca="false">IF(D2311="","",ROUND((D2311-MIN($D$7:$D$9999))*86400,2))</f>
        <v/>
      </c>
      <c r="G2311" s="10" t="str">
        <f aca="false">IF(D2311="","",IF(D2311&lt;=($E$3*60+$F$3)/86400,"○",""))</f>
        <v/>
      </c>
      <c r="H2311" s="16"/>
      <c r="I2311" s="17"/>
      <c r="J2311" s="16" t="n">
        <v>0.00291805555555556</v>
      </c>
      <c r="K2311" s="17" t="n">
        <v>1075</v>
      </c>
      <c r="L2311" s="17" t="n">
        <f aca="false">COUNT(E2311,I2311,K2311)</f>
        <v>1</v>
      </c>
      <c r="M2311" s="18" t="n">
        <f aca="false">(D2311&lt;&gt;"")*(D2311&lt;=($E$3*60+$F$3)/86400)+(H2311&lt;&gt;"")*(H2311&lt;=($I$3*60+$J$3)/86400)+(J2311&lt;&gt;"")*(J2311&lt;=($M$3*60+$N$3)/86400)</f>
        <v>0</v>
      </c>
      <c r="N2311" s="20"/>
      <c r="O2311" s="20"/>
      <c r="P2311" s="20"/>
      <c r="Q2311" s="19"/>
    </row>
    <row r="2312" customFormat="false" ht="15" hidden="false" customHeight="false" outlineLevel="0" collapsed="false">
      <c r="A2312" s="10" t="n">
        <v>2306</v>
      </c>
      <c r="B2312" s="12" t="s">
        <v>3560</v>
      </c>
      <c r="C2312" s="12" t="s">
        <v>3022</v>
      </c>
      <c r="D2312" s="13"/>
      <c r="E2312" s="14"/>
      <c r="F2312" s="15" t="str">
        <f aca="false">IF(D2312="","",ROUND((D2312-MIN($D$7:$D$9999))*86400,2))</f>
        <v/>
      </c>
      <c r="G2312" s="10" t="str">
        <f aca="false">IF(D2312="","",IF(D2312&lt;=($E$3*60+$F$3)/86400,"○",""))</f>
        <v/>
      </c>
      <c r="H2312" s="16" t="n">
        <v>0.00770775462962963</v>
      </c>
      <c r="I2312" s="17" t="n">
        <v>1076</v>
      </c>
      <c r="J2312" s="16"/>
      <c r="K2312" s="17"/>
      <c r="L2312" s="17" t="n">
        <f aca="false">COUNT(E2312,I2312,K2312)</f>
        <v>1</v>
      </c>
      <c r="M2312" s="18" t="n">
        <f aca="false">(D2312&lt;&gt;"")*(D2312&lt;=($E$3*60+$F$3)/86400)+(H2312&lt;&gt;"")*(H2312&lt;=($I$3*60+$J$3)/86400)+(J2312&lt;&gt;"")*(J2312&lt;=($M$3*60+$N$3)/86400)</f>
        <v>0</v>
      </c>
      <c r="N2312" s="20"/>
      <c r="O2312" s="20"/>
      <c r="P2312" s="20"/>
      <c r="Q2312" s="19"/>
    </row>
    <row r="2313" customFormat="false" ht="15" hidden="false" customHeight="false" outlineLevel="0" collapsed="false">
      <c r="A2313" s="10" t="n">
        <v>2307</v>
      </c>
      <c r="B2313" s="12" t="s">
        <v>3561</v>
      </c>
      <c r="C2313" s="12" t="s">
        <v>313</v>
      </c>
      <c r="D2313" s="13"/>
      <c r="E2313" s="14"/>
      <c r="F2313" s="15" t="str">
        <f aca="false">IF(D2313="","",ROUND((D2313-MIN($D$7:$D$9999))*86400,2))</f>
        <v/>
      </c>
      <c r="G2313" s="10" t="str">
        <f aca="false">IF(D2313="","",IF(D2313&lt;=($E$3*60+$F$3)/86400,"○",""))</f>
        <v/>
      </c>
      <c r="H2313" s="16" t="n">
        <v>0.00770810185185185</v>
      </c>
      <c r="I2313" s="17" t="n">
        <v>1077</v>
      </c>
      <c r="J2313" s="16"/>
      <c r="K2313" s="17"/>
      <c r="L2313" s="17" t="n">
        <f aca="false">COUNT(E2313,I2313,K2313)</f>
        <v>1</v>
      </c>
      <c r="M2313" s="18" t="n">
        <f aca="false">(D2313&lt;&gt;"")*(D2313&lt;=($E$3*60+$F$3)/86400)+(H2313&lt;&gt;"")*(H2313&lt;=($I$3*60+$J$3)/86400)+(J2313&lt;&gt;"")*(J2313&lt;=($M$3*60+$N$3)/86400)</f>
        <v>0</v>
      </c>
      <c r="N2313" s="20"/>
      <c r="O2313" s="20"/>
      <c r="P2313" s="20"/>
      <c r="Q2313" s="19"/>
    </row>
    <row r="2314" customFormat="false" ht="15" hidden="false" customHeight="false" outlineLevel="0" collapsed="false">
      <c r="A2314" s="10" t="n">
        <v>2308</v>
      </c>
      <c r="B2314" s="12" t="s">
        <v>3562</v>
      </c>
      <c r="C2314" s="12" t="s">
        <v>3469</v>
      </c>
      <c r="D2314" s="13"/>
      <c r="E2314" s="14"/>
      <c r="F2314" s="15" t="str">
        <f aca="false">IF(D2314="","",ROUND((D2314-MIN($D$7:$D$9999))*86400,2))</f>
        <v/>
      </c>
      <c r="G2314" s="10" t="str">
        <f aca="false">IF(D2314="","",IF(D2314&lt;=($E$3*60+$F$3)/86400,"○",""))</f>
        <v/>
      </c>
      <c r="H2314" s="16"/>
      <c r="I2314" s="17"/>
      <c r="J2314" s="16" t="n">
        <v>0.00291828703703704</v>
      </c>
      <c r="K2314" s="17" t="n">
        <v>1077</v>
      </c>
      <c r="L2314" s="17" t="n">
        <f aca="false">COUNT(E2314,I2314,K2314)</f>
        <v>1</v>
      </c>
      <c r="M2314" s="18" t="n">
        <f aca="false">(D2314&lt;&gt;"")*(D2314&lt;=($E$3*60+$F$3)/86400)+(H2314&lt;&gt;"")*(H2314&lt;=($I$3*60+$J$3)/86400)+(J2314&lt;&gt;"")*(J2314&lt;=($M$3*60+$N$3)/86400)</f>
        <v>0</v>
      </c>
      <c r="N2314" s="20"/>
      <c r="O2314" s="20"/>
      <c r="P2314" s="20"/>
      <c r="Q2314" s="19"/>
    </row>
    <row r="2315" customFormat="false" ht="15" hidden="false" customHeight="false" outlineLevel="0" collapsed="false">
      <c r="A2315" s="10" t="n">
        <v>2309</v>
      </c>
      <c r="B2315" s="12" t="s">
        <v>3563</v>
      </c>
      <c r="C2315" s="12" t="s">
        <v>3564</v>
      </c>
      <c r="D2315" s="13"/>
      <c r="E2315" s="14"/>
      <c r="F2315" s="15" t="str">
        <f aca="false">IF(D2315="","",ROUND((D2315-MIN($D$7:$D$9999))*86400,2))</f>
        <v/>
      </c>
      <c r="G2315" s="10" t="str">
        <f aca="false">IF(D2315="","",IF(D2315&lt;=($E$3*60+$F$3)/86400,"○",""))</f>
        <v/>
      </c>
      <c r="H2315" s="16" t="n">
        <v>0.00770821759259259</v>
      </c>
      <c r="I2315" s="17" t="n">
        <v>1078</v>
      </c>
      <c r="J2315" s="16"/>
      <c r="K2315" s="17"/>
      <c r="L2315" s="17" t="n">
        <f aca="false">COUNT(E2315,I2315,K2315)</f>
        <v>1</v>
      </c>
      <c r="M2315" s="18" t="n">
        <f aca="false">(D2315&lt;&gt;"")*(D2315&lt;=($E$3*60+$F$3)/86400)+(H2315&lt;&gt;"")*(H2315&lt;=($I$3*60+$J$3)/86400)+(J2315&lt;&gt;"")*(J2315&lt;=($M$3*60+$N$3)/86400)</f>
        <v>0</v>
      </c>
      <c r="N2315" s="20"/>
      <c r="O2315" s="20"/>
      <c r="P2315" s="20"/>
      <c r="Q2315" s="19"/>
    </row>
    <row r="2316" customFormat="false" ht="15" hidden="false" customHeight="false" outlineLevel="0" collapsed="false">
      <c r="A2316" s="10" t="n">
        <v>2310</v>
      </c>
      <c r="B2316" s="12" t="s">
        <v>3565</v>
      </c>
      <c r="C2316" s="12" t="s">
        <v>159</v>
      </c>
      <c r="D2316" s="13"/>
      <c r="E2316" s="14"/>
      <c r="F2316" s="15" t="str">
        <f aca="false">IF(D2316="","",ROUND((D2316-MIN($D$7:$D$9999))*86400,2))</f>
        <v/>
      </c>
      <c r="G2316" s="10" t="str">
        <f aca="false">IF(D2316="","",IF(D2316&lt;=($E$3*60+$F$3)/86400,"○",""))</f>
        <v/>
      </c>
      <c r="H2316" s="16" t="n">
        <v>0.00771157407407407</v>
      </c>
      <c r="I2316" s="17" t="n">
        <v>1079</v>
      </c>
      <c r="J2316" s="16"/>
      <c r="K2316" s="17"/>
      <c r="L2316" s="17" t="n">
        <f aca="false">COUNT(E2316,I2316,K2316)</f>
        <v>1</v>
      </c>
      <c r="M2316" s="18" t="n">
        <f aca="false">(D2316&lt;&gt;"")*(D2316&lt;=($E$3*60+$F$3)/86400)+(H2316&lt;&gt;"")*(H2316&lt;=($I$3*60+$J$3)/86400)+(J2316&lt;&gt;"")*(J2316&lt;=($M$3*60+$N$3)/86400)</f>
        <v>0</v>
      </c>
      <c r="N2316" s="20"/>
      <c r="O2316" s="20"/>
      <c r="P2316" s="20"/>
      <c r="Q2316" s="19"/>
    </row>
    <row r="2317" customFormat="false" ht="15" hidden="false" customHeight="false" outlineLevel="0" collapsed="false">
      <c r="A2317" s="10" t="n">
        <v>2311</v>
      </c>
      <c r="B2317" s="12" t="s">
        <v>3566</v>
      </c>
      <c r="C2317" s="12" t="s">
        <v>1184</v>
      </c>
      <c r="D2317" s="13"/>
      <c r="E2317" s="14"/>
      <c r="F2317" s="15" t="str">
        <f aca="false">IF(D2317="","",ROUND((D2317-MIN($D$7:$D$9999))*86400,2))</f>
        <v/>
      </c>
      <c r="G2317" s="10" t="str">
        <f aca="false">IF(D2317="","",IF(D2317&lt;=($E$3*60+$F$3)/86400,"○",""))</f>
        <v/>
      </c>
      <c r="H2317" s="16"/>
      <c r="I2317" s="17"/>
      <c r="J2317" s="16" t="n">
        <v>0.00291851851851852</v>
      </c>
      <c r="K2317" s="17" t="n">
        <v>1079</v>
      </c>
      <c r="L2317" s="17" t="n">
        <f aca="false">COUNT(E2317,I2317,K2317)</f>
        <v>1</v>
      </c>
      <c r="M2317" s="18" t="n">
        <f aca="false">(D2317&lt;&gt;"")*(D2317&lt;=($E$3*60+$F$3)/86400)+(H2317&lt;&gt;"")*(H2317&lt;=($I$3*60+$J$3)/86400)+(J2317&lt;&gt;"")*(J2317&lt;=($M$3*60+$N$3)/86400)</f>
        <v>0</v>
      </c>
      <c r="N2317" s="20"/>
      <c r="O2317" s="20"/>
      <c r="P2317" s="20"/>
      <c r="Q2317" s="19"/>
    </row>
    <row r="2318" customFormat="false" ht="15" hidden="false" customHeight="false" outlineLevel="0" collapsed="false">
      <c r="A2318" s="10" t="n">
        <v>2312</v>
      </c>
      <c r="B2318" s="12" t="s">
        <v>3567</v>
      </c>
      <c r="C2318" s="12" t="s">
        <v>3568</v>
      </c>
      <c r="D2318" s="13"/>
      <c r="E2318" s="14"/>
      <c r="F2318" s="15" t="str">
        <f aca="false">IF(D2318="","",ROUND((D2318-MIN($D$7:$D$9999))*86400,2))</f>
        <v/>
      </c>
      <c r="G2318" s="10" t="str">
        <f aca="false">IF(D2318="","",IF(D2318&lt;=($E$3*60+$F$3)/86400,"○",""))</f>
        <v/>
      </c>
      <c r="H2318" s="16" t="n">
        <v>0.00771215277777778</v>
      </c>
      <c r="I2318" s="17" t="n">
        <v>1080</v>
      </c>
      <c r="J2318" s="16"/>
      <c r="K2318" s="17"/>
      <c r="L2318" s="17" t="n">
        <f aca="false">COUNT(E2318,I2318,K2318)</f>
        <v>1</v>
      </c>
      <c r="M2318" s="18" t="n">
        <f aca="false">(D2318&lt;&gt;"")*(D2318&lt;=($E$3*60+$F$3)/86400)+(H2318&lt;&gt;"")*(H2318&lt;=($I$3*60+$J$3)/86400)+(J2318&lt;&gt;"")*(J2318&lt;=($M$3*60+$N$3)/86400)</f>
        <v>0</v>
      </c>
      <c r="N2318" s="20"/>
      <c r="O2318" s="20"/>
      <c r="P2318" s="20"/>
      <c r="Q2318" s="19"/>
    </row>
    <row r="2319" customFormat="false" ht="15" hidden="false" customHeight="false" outlineLevel="0" collapsed="false">
      <c r="A2319" s="10" t="n">
        <v>2313</v>
      </c>
      <c r="B2319" s="12" t="s">
        <v>3569</v>
      </c>
      <c r="C2319" s="12" t="s">
        <v>2137</v>
      </c>
      <c r="D2319" s="13"/>
      <c r="E2319" s="14"/>
      <c r="F2319" s="15" t="str">
        <f aca="false">IF(D2319="","",ROUND((D2319-MIN($D$7:$D$9999))*86400,2))</f>
        <v/>
      </c>
      <c r="G2319" s="10" t="str">
        <f aca="false">IF(D2319="","",IF(D2319&lt;=($E$3*60+$F$3)/86400,"○",""))</f>
        <v/>
      </c>
      <c r="H2319" s="16" t="n">
        <v>0.00771261574074074</v>
      </c>
      <c r="I2319" s="17" t="n">
        <v>1081</v>
      </c>
      <c r="J2319" s="16"/>
      <c r="K2319" s="17"/>
      <c r="L2319" s="17" t="n">
        <f aca="false">COUNT(E2319,I2319,K2319)</f>
        <v>1</v>
      </c>
      <c r="M2319" s="18" t="n">
        <f aca="false">(D2319&lt;&gt;"")*(D2319&lt;=($E$3*60+$F$3)/86400)+(H2319&lt;&gt;"")*(H2319&lt;=($I$3*60+$J$3)/86400)+(J2319&lt;&gt;"")*(J2319&lt;=($M$3*60+$N$3)/86400)</f>
        <v>0</v>
      </c>
      <c r="N2319" s="20"/>
      <c r="O2319" s="20"/>
      <c r="P2319" s="20"/>
      <c r="Q2319" s="19"/>
    </row>
    <row r="2320" customFormat="false" ht="15" hidden="false" customHeight="false" outlineLevel="0" collapsed="false">
      <c r="A2320" s="10" t="n">
        <v>2314</v>
      </c>
      <c r="B2320" s="12" t="s">
        <v>3570</v>
      </c>
      <c r="C2320" s="12" t="s">
        <v>2967</v>
      </c>
      <c r="D2320" s="13"/>
      <c r="E2320" s="14"/>
      <c r="F2320" s="15" t="str">
        <f aca="false">IF(D2320="","",ROUND((D2320-MIN($D$7:$D$9999))*86400,2))</f>
        <v/>
      </c>
      <c r="G2320" s="10" t="str">
        <f aca="false">IF(D2320="","",IF(D2320&lt;=($E$3*60+$F$3)/86400,"○",""))</f>
        <v/>
      </c>
      <c r="H2320" s="16" t="n">
        <v>0.00771331018518519</v>
      </c>
      <c r="I2320" s="17" t="n">
        <v>1082</v>
      </c>
      <c r="J2320" s="16"/>
      <c r="K2320" s="17"/>
      <c r="L2320" s="17" t="n">
        <f aca="false">COUNT(E2320,I2320,K2320)</f>
        <v>1</v>
      </c>
      <c r="M2320" s="18" t="n">
        <f aca="false">(D2320&lt;&gt;"")*(D2320&lt;=($E$3*60+$F$3)/86400)+(H2320&lt;&gt;"")*(H2320&lt;=($I$3*60+$J$3)/86400)+(J2320&lt;&gt;"")*(J2320&lt;=($M$3*60+$N$3)/86400)</f>
        <v>0</v>
      </c>
      <c r="N2320" s="20"/>
      <c r="O2320" s="20"/>
      <c r="P2320" s="20"/>
      <c r="Q2320" s="19"/>
    </row>
    <row r="2321" customFormat="false" ht="15" hidden="false" customHeight="false" outlineLevel="0" collapsed="false">
      <c r="A2321" s="10" t="n">
        <v>2315</v>
      </c>
      <c r="B2321" s="12" t="s">
        <v>3571</v>
      </c>
      <c r="C2321" s="12" t="s">
        <v>488</v>
      </c>
      <c r="D2321" s="13"/>
      <c r="E2321" s="14"/>
      <c r="F2321" s="15" t="str">
        <f aca="false">IF(D2321="","",ROUND((D2321-MIN($D$7:$D$9999))*86400,2))</f>
        <v/>
      </c>
      <c r="G2321" s="10" t="str">
        <f aca="false">IF(D2321="","",IF(D2321&lt;=($E$3*60+$F$3)/86400,"○",""))</f>
        <v/>
      </c>
      <c r="H2321" s="16" t="n">
        <v>0.00771377314814815</v>
      </c>
      <c r="I2321" s="17" t="n">
        <v>1083</v>
      </c>
      <c r="J2321" s="16"/>
      <c r="K2321" s="17"/>
      <c r="L2321" s="17" t="n">
        <f aca="false">COUNT(E2321,I2321,K2321)</f>
        <v>1</v>
      </c>
      <c r="M2321" s="18" t="n">
        <f aca="false">(D2321&lt;&gt;"")*(D2321&lt;=($E$3*60+$F$3)/86400)+(H2321&lt;&gt;"")*(H2321&lt;=($I$3*60+$J$3)/86400)+(J2321&lt;&gt;"")*(J2321&lt;=($M$3*60+$N$3)/86400)</f>
        <v>0</v>
      </c>
      <c r="N2321" s="20"/>
      <c r="O2321" s="20"/>
      <c r="P2321" s="20"/>
      <c r="Q2321" s="19"/>
    </row>
    <row r="2322" customFormat="false" ht="15" hidden="false" customHeight="false" outlineLevel="0" collapsed="false">
      <c r="A2322" s="10" t="n">
        <v>2316</v>
      </c>
      <c r="B2322" s="12" t="s">
        <v>3572</v>
      </c>
      <c r="C2322" s="12" t="s">
        <v>2196</v>
      </c>
      <c r="D2322" s="13"/>
      <c r="E2322" s="14"/>
      <c r="F2322" s="15" t="str">
        <f aca="false">IF(D2322="","",ROUND((D2322-MIN($D$7:$D$9999))*86400,2))</f>
        <v/>
      </c>
      <c r="G2322" s="10" t="str">
        <f aca="false">IF(D2322="","",IF(D2322&lt;=($E$3*60+$F$3)/86400,"○",""))</f>
        <v/>
      </c>
      <c r="H2322" s="16"/>
      <c r="I2322" s="17"/>
      <c r="J2322" s="16" t="n">
        <v>0.00291898148148148</v>
      </c>
      <c r="K2322" s="17" t="n">
        <v>1084</v>
      </c>
      <c r="L2322" s="17" t="n">
        <f aca="false">COUNT(E2322,I2322,K2322)</f>
        <v>1</v>
      </c>
      <c r="M2322" s="18" t="n">
        <f aca="false">(D2322&lt;&gt;"")*(D2322&lt;=($E$3*60+$F$3)/86400)+(H2322&lt;&gt;"")*(H2322&lt;=($I$3*60+$J$3)/86400)+(J2322&lt;&gt;"")*(J2322&lt;=($M$3*60+$N$3)/86400)</f>
        <v>0</v>
      </c>
      <c r="N2322" s="20"/>
      <c r="O2322" s="20"/>
      <c r="P2322" s="20"/>
      <c r="Q2322" s="19"/>
    </row>
    <row r="2323" customFormat="false" ht="15" hidden="false" customHeight="false" outlineLevel="0" collapsed="false">
      <c r="A2323" s="10" t="n">
        <v>2317</v>
      </c>
      <c r="B2323" s="12" t="s">
        <v>3573</v>
      </c>
      <c r="C2323" s="12" t="s">
        <v>2174</v>
      </c>
      <c r="D2323" s="13"/>
      <c r="E2323" s="14"/>
      <c r="F2323" s="15" t="str">
        <f aca="false">IF(D2323="","",ROUND((D2323-MIN($D$7:$D$9999))*86400,2))</f>
        <v/>
      </c>
      <c r="G2323" s="10" t="str">
        <f aca="false">IF(D2323="","",IF(D2323&lt;=($E$3*60+$F$3)/86400,"○",""))</f>
        <v/>
      </c>
      <c r="H2323" s="16" t="n">
        <v>0.0077193287037037</v>
      </c>
      <c r="I2323" s="17" t="n">
        <v>1085</v>
      </c>
      <c r="J2323" s="16" t="n">
        <v>0.00292418981481482</v>
      </c>
      <c r="K2323" s="17" t="n">
        <v>1139</v>
      </c>
      <c r="L2323" s="17" t="n">
        <f aca="false">COUNT(E2323,I2323,K2323)</f>
        <v>2</v>
      </c>
      <c r="M2323" s="18" t="n">
        <f aca="false">(D2323&lt;&gt;"")*(D2323&lt;=($E$3*60+$F$3)/86400)+(H2323&lt;&gt;"")*(H2323&lt;=($I$3*60+$J$3)/86400)+(J2323&lt;&gt;"")*(J2323&lt;=($M$3*60+$N$3)/86400)</f>
        <v>0</v>
      </c>
      <c r="N2323" s="20"/>
      <c r="O2323" s="20"/>
      <c r="P2323" s="20"/>
      <c r="Q2323" s="19"/>
    </row>
    <row r="2324" customFormat="false" ht="15" hidden="false" customHeight="false" outlineLevel="0" collapsed="false">
      <c r="A2324" s="10" t="n">
        <v>2318</v>
      </c>
      <c r="B2324" s="12" t="s">
        <v>3574</v>
      </c>
      <c r="C2324" s="12" t="s">
        <v>2883</v>
      </c>
      <c r="D2324" s="13"/>
      <c r="E2324" s="14"/>
      <c r="F2324" s="15" t="str">
        <f aca="false">IF(D2324="","",ROUND((D2324-MIN($D$7:$D$9999))*86400,2))</f>
        <v/>
      </c>
      <c r="G2324" s="10" t="str">
        <f aca="false">IF(D2324="","",IF(D2324&lt;=($E$3*60+$F$3)/86400,"○",""))</f>
        <v/>
      </c>
      <c r="H2324" s="16" t="n">
        <v>0.00771944444444445</v>
      </c>
      <c r="I2324" s="17" t="n">
        <v>1086</v>
      </c>
      <c r="J2324" s="16"/>
      <c r="K2324" s="17"/>
      <c r="L2324" s="17" t="n">
        <f aca="false">COUNT(E2324,I2324,K2324)</f>
        <v>1</v>
      </c>
      <c r="M2324" s="18" t="n">
        <f aca="false">(D2324&lt;&gt;"")*(D2324&lt;=($E$3*60+$F$3)/86400)+(H2324&lt;&gt;"")*(H2324&lt;=($I$3*60+$J$3)/86400)+(J2324&lt;&gt;"")*(J2324&lt;=($M$3*60+$N$3)/86400)</f>
        <v>0</v>
      </c>
      <c r="N2324" s="20"/>
      <c r="O2324" s="20"/>
      <c r="P2324" s="20"/>
      <c r="Q2324" s="19"/>
    </row>
    <row r="2325" customFormat="false" ht="15" hidden="false" customHeight="false" outlineLevel="0" collapsed="false">
      <c r="A2325" s="10" t="n">
        <v>2319</v>
      </c>
      <c r="B2325" s="12" t="s">
        <v>3575</v>
      </c>
      <c r="C2325" s="12" t="s">
        <v>3576</v>
      </c>
      <c r="D2325" s="13"/>
      <c r="E2325" s="14"/>
      <c r="F2325" s="15" t="str">
        <f aca="false">IF(D2325="","",ROUND((D2325-MIN($D$7:$D$9999))*86400,2))</f>
        <v/>
      </c>
      <c r="G2325" s="10" t="str">
        <f aca="false">IF(D2325="","",IF(D2325&lt;=($E$3*60+$F$3)/86400,"○",""))</f>
        <v/>
      </c>
      <c r="H2325" s="16"/>
      <c r="I2325" s="17"/>
      <c r="J2325" s="16" t="n">
        <v>0.0029193287037037</v>
      </c>
      <c r="K2325" s="17" t="n">
        <v>1086</v>
      </c>
      <c r="L2325" s="17" t="n">
        <f aca="false">COUNT(E2325,I2325,K2325)</f>
        <v>1</v>
      </c>
      <c r="M2325" s="18" t="n">
        <f aca="false">(D2325&lt;&gt;"")*(D2325&lt;=($E$3*60+$F$3)/86400)+(H2325&lt;&gt;"")*(H2325&lt;=($I$3*60+$J$3)/86400)+(J2325&lt;&gt;"")*(J2325&lt;=($M$3*60+$N$3)/86400)</f>
        <v>0</v>
      </c>
      <c r="N2325" s="20"/>
      <c r="O2325" s="20"/>
      <c r="P2325" s="20"/>
      <c r="Q2325" s="19"/>
    </row>
    <row r="2326" customFormat="false" ht="15" hidden="false" customHeight="false" outlineLevel="0" collapsed="false">
      <c r="A2326" s="10" t="n">
        <v>2320</v>
      </c>
      <c r="B2326" s="12" t="s">
        <v>3577</v>
      </c>
      <c r="C2326" s="12" t="s">
        <v>3578</v>
      </c>
      <c r="D2326" s="13"/>
      <c r="E2326" s="14"/>
      <c r="F2326" s="15" t="str">
        <f aca="false">IF(D2326="","",ROUND((D2326-MIN($D$7:$D$9999))*86400,2))</f>
        <v/>
      </c>
      <c r="G2326" s="10" t="str">
        <f aca="false">IF(D2326="","",IF(D2326&lt;=($E$3*60+$F$3)/86400,"○",""))</f>
        <v/>
      </c>
      <c r="H2326" s="16" t="n">
        <v>0.00772106481481482</v>
      </c>
      <c r="I2326" s="17" t="n">
        <v>1087</v>
      </c>
      <c r="J2326" s="16"/>
      <c r="K2326" s="17"/>
      <c r="L2326" s="17" t="n">
        <f aca="false">COUNT(E2326,I2326,K2326)</f>
        <v>1</v>
      </c>
      <c r="M2326" s="18" t="n">
        <f aca="false">(D2326&lt;&gt;"")*(D2326&lt;=($E$3*60+$F$3)/86400)+(H2326&lt;&gt;"")*(H2326&lt;=($I$3*60+$J$3)/86400)+(J2326&lt;&gt;"")*(J2326&lt;=($M$3*60+$N$3)/86400)</f>
        <v>0</v>
      </c>
      <c r="N2326" s="20"/>
      <c r="O2326" s="20"/>
      <c r="P2326" s="20"/>
      <c r="Q2326" s="19"/>
    </row>
    <row r="2327" customFormat="false" ht="15" hidden="false" customHeight="false" outlineLevel="0" collapsed="false">
      <c r="A2327" s="10" t="n">
        <v>2321</v>
      </c>
      <c r="B2327" s="12" t="s">
        <v>3579</v>
      </c>
      <c r="C2327" s="12" t="s">
        <v>3148</v>
      </c>
      <c r="D2327" s="13"/>
      <c r="E2327" s="14"/>
      <c r="F2327" s="15" t="str">
        <f aca="false">IF(D2327="","",ROUND((D2327-MIN($D$7:$D$9999))*86400,2))</f>
        <v/>
      </c>
      <c r="G2327" s="10" t="str">
        <f aca="false">IF(D2327="","",IF(D2327&lt;=($E$3*60+$F$3)/86400,"○",""))</f>
        <v/>
      </c>
      <c r="H2327" s="16"/>
      <c r="I2327" s="17"/>
      <c r="J2327" s="16" t="n">
        <v>0.0029193287037037</v>
      </c>
      <c r="K2327" s="17" t="n">
        <v>1087</v>
      </c>
      <c r="L2327" s="17" t="n">
        <f aca="false">COUNT(E2327,I2327,K2327)</f>
        <v>1</v>
      </c>
      <c r="M2327" s="18" t="n">
        <f aca="false">(D2327&lt;&gt;"")*(D2327&lt;=($E$3*60+$F$3)/86400)+(H2327&lt;&gt;"")*(H2327&lt;=($I$3*60+$J$3)/86400)+(J2327&lt;&gt;"")*(J2327&lt;=($M$3*60+$N$3)/86400)</f>
        <v>0</v>
      </c>
      <c r="N2327" s="20"/>
      <c r="O2327" s="20"/>
      <c r="P2327" s="20"/>
      <c r="Q2327" s="19"/>
    </row>
    <row r="2328" customFormat="false" ht="15" hidden="false" customHeight="false" outlineLevel="0" collapsed="false">
      <c r="A2328" s="10" t="n">
        <v>2322</v>
      </c>
      <c r="B2328" s="12" t="s">
        <v>3580</v>
      </c>
      <c r="C2328" s="12" t="s">
        <v>1320</v>
      </c>
      <c r="D2328" s="13"/>
      <c r="E2328" s="14"/>
      <c r="F2328" s="15" t="str">
        <f aca="false">IF(D2328="","",ROUND((D2328-MIN($D$7:$D$9999))*86400,2))</f>
        <v/>
      </c>
      <c r="G2328" s="10" t="str">
        <f aca="false">IF(D2328="","",IF(D2328&lt;=($E$3*60+$F$3)/86400,"○",""))</f>
        <v/>
      </c>
      <c r="H2328" s="16" t="n">
        <v>0.00772233796296296</v>
      </c>
      <c r="I2328" s="17" t="n">
        <v>1088</v>
      </c>
      <c r="J2328" s="16"/>
      <c r="K2328" s="17"/>
      <c r="L2328" s="17" t="n">
        <f aca="false">COUNT(E2328,I2328,K2328)</f>
        <v>1</v>
      </c>
      <c r="M2328" s="18" t="n">
        <f aca="false">(D2328&lt;&gt;"")*(D2328&lt;=($E$3*60+$F$3)/86400)+(H2328&lt;&gt;"")*(H2328&lt;=($I$3*60+$J$3)/86400)+(J2328&lt;&gt;"")*(J2328&lt;=($M$3*60+$N$3)/86400)</f>
        <v>0</v>
      </c>
      <c r="N2328" s="20"/>
      <c r="O2328" s="20"/>
      <c r="P2328" s="20"/>
      <c r="Q2328" s="19"/>
    </row>
    <row r="2329" customFormat="false" ht="15" hidden="false" customHeight="false" outlineLevel="0" collapsed="false">
      <c r="A2329" s="10" t="n">
        <v>2323</v>
      </c>
      <c r="B2329" s="12" t="s">
        <v>3581</v>
      </c>
      <c r="C2329" s="12" t="s">
        <v>3582</v>
      </c>
      <c r="D2329" s="13"/>
      <c r="E2329" s="14"/>
      <c r="F2329" s="15" t="str">
        <f aca="false">IF(D2329="","",ROUND((D2329-MIN($D$7:$D$9999))*86400,2))</f>
        <v/>
      </c>
      <c r="G2329" s="10" t="str">
        <f aca="false">IF(D2329="","",IF(D2329&lt;=($E$3*60+$F$3)/86400,"○",""))</f>
        <v/>
      </c>
      <c r="H2329" s="16" t="n">
        <v>0.00772291666666667</v>
      </c>
      <c r="I2329" s="17" t="n">
        <v>1089</v>
      </c>
      <c r="J2329" s="16"/>
      <c r="K2329" s="17"/>
      <c r="L2329" s="17" t="n">
        <f aca="false">COUNT(E2329,I2329,K2329)</f>
        <v>1</v>
      </c>
      <c r="M2329" s="18" t="n">
        <f aca="false">(D2329&lt;&gt;"")*(D2329&lt;=($E$3*60+$F$3)/86400)+(H2329&lt;&gt;"")*(H2329&lt;=($I$3*60+$J$3)/86400)+(J2329&lt;&gt;"")*(J2329&lt;=($M$3*60+$N$3)/86400)</f>
        <v>0</v>
      </c>
      <c r="N2329" s="20"/>
      <c r="O2329" s="20"/>
      <c r="P2329" s="20"/>
      <c r="Q2329" s="19"/>
    </row>
    <row r="2330" customFormat="false" ht="15" hidden="false" customHeight="false" outlineLevel="0" collapsed="false">
      <c r="A2330" s="10" t="n">
        <v>2324</v>
      </c>
      <c r="B2330" s="12" t="s">
        <v>3583</v>
      </c>
      <c r="C2330" s="12" t="s">
        <v>3584</v>
      </c>
      <c r="D2330" s="13"/>
      <c r="E2330" s="14"/>
      <c r="F2330" s="15" t="str">
        <f aca="false">IF(D2330="","",ROUND((D2330-MIN($D$7:$D$9999))*86400,2))</f>
        <v/>
      </c>
      <c r="G2330" s="10" t="str">
        <f aca="false">IF(D2330="","",IF(D2330&lt;=($E$3*60+$F$3)/86400,"○",""))</f>
        <v/>
      </c>
      <c r="H2330" s="16"/>
      <c r="I2330" s="17"/>
      <c r="J2330" s="16" t="n">
        <v>0.00291944444444445</v>
      </c>
      <c r="K2330" s="17" t="n">
        <v>1089</v>
      </c>
      <c r="L2330" s="17" t="n">
        <f aca="false">COUNT(E2330,I2330,K2330)</f>
        <v>1</v>
      </c>
      <c r="M2330" s="18" t="n">
        <f aca="false">(D2330&lt;&gt;"")*(D2330&lt;=($E$3*60+$F$3)/86400)+(H2330&lt;&gt;"")*(H2330&lt;=($I$3*60+$J$3)/86400)+(J2330&lt;&gt;"")*(J2330&lt;=($M$3*60+$N$3)/86400)</f>
        <v>0</v>
      </c>
      <c r="N2330" s="20"/>
      <c r="O2330" s="20"/>
      <c r="P2330" s="20"/>
      <c r="Q2330" s="19"/>
    </row>
    <row r="2331" customFormat="false" ht="15" hidden="false" customHeight="false" outlineLevel="0" collapsed="false">
      <c r="A2331" s="10" t="n">
        <v>2325</v>
      </c>
      <c r="B2331" s="12" t="s">
        <v>3585</v>
      </c>
      <c r="C2331" s="12" t="s">
        <v>3586</v>
      </c>
      <c r="D2331" s="13"/>
      <c r="E2331" s="14"/>
      <c r="F2331" s="15" t="str">
        <f aca="false">IF(D2331="","",ROUND((D2331-MIN($D$7:$D$9999))*86400,2))</f>
        <v/>
      </c>
      <c r="G2331" s="10" t="str">
        <f aca="false">IF(D2331="","",IF(D2331&lt;=($E$3*60+$F$3)/86400,"○",""))</f>
        <v/>
      </c>
      <c r="H2331" s="16" t="n">
        <v>0.00772534722222222</v>
      </c>
      <c r="I2331" s="17" t="n">
        <v>1090</v>
      </c>
      <c r="J2331" s="16"/>
      <c r="K2331" s="17"/>
      <c r="L2331" s="17" t="n">
        <f aca="false">COUNT(E2331,I2331,K2331)</f>
        <v>1</v>
      </c>
      <c r="M2331" s="18" t="n">
        <f aca="false">(D2331&lt;&gt;"")*(D2331&lt;=($E$3*60+$F$3)/86400)+(H2331&lt;&gt;"")*(H2331&lt;=($I$3*60+$J$3)/86400)+(J2331&lt;&gt;"")*(J2331&lt;=($M$3*60+$N$3)/86400)</f>
        <v>0</v>
      </c>
      <c r="N2331" s="20"/>
      <c r="O2331" s="20"/>
      <c r="P2331" s="20"/>
      <c r="Q2331" s="19"/>
    </row>
    <row r="2332" customFormat="false" ht="15" hidden="false" customHeight="false" outlineLevel="0" collapsed="false">
      <c r="A2332" s="10" t="n">
        <v>2326</v>
      </c>
      <c r="B2332" s="12" t="s">
        <v>3587</v>
      </c>
      <c r="C2332" s="12" t="s">
        <v>1957</v>
      </c>
      <c r="D2332" s="13"/>
      <c r="E2332" s="14"/>
      <c r="F2332" s="15" t="str">
        <f aca="false">IF(D2332="","",ROUND((D2332-MIN($D$7:$D$9999))*86400,2))</f>
        <v/>
      </c>
      <c r="G2332" s="10" t="str">
        <f aca="false">IF(D2332="","",IF(D2332&lt;=($E$3*60+$F$3)/86400,"○",""))</f>
        <v/>
      </c>
      <c r="H2332" s="16" t="n">
        <v>0.00772569444444445</v>
      </c>
      <c r="I2332" s="17" t="n">
        <v>1092</v>
      </c>
      <c r="J2332" s="16"/>
      <c r="K2332" s="17"/>
      <c r="L2332" s="17" t="n">
        <f aca="false">COUNT(E2332,I2332,K2332)</f>
        <v>1</v>
      </c>
      <c r="M2332" s="18" t="n">
        <f aca="false">(D2332&lt;&gt;"")*(D2332&lt;=($E$3*60+$F$3)/86400)+(H2332&lt;&gt;"")*(H2332&lt;=($I$3*60+$J$3)/86400)+(J2332&lt;&gt;"")*(J2332&lt;=($M$3*60+$N$3)/86400)</f>
        <v>0</v>
      </c>
      <c r="N2332" s="20"/>
      <c r="O2332" s="20"/>
      <c r="P2332" s="20"/>
      <c r="Q2332" s="19"/>
    </row>
    <row r="2333" customFormat="false" ht="15" hidden="false" customHeight="false" outlineLevel="0" collapsed="false">
      <c r="A2333" s="10" t="n">
        <v>2327</v>
      </c>
      <c r="B2333" s="12" t="s">
        <v>3588</v>
      </c>
      <c r="C2333" s="12" t="s">
        <v>565</v>
      </c>
      <c r="D2333" s="13"/>
      <c r="E2333" s="14"/>
      <c r="F2333" s="15" t="str">
        <f aca="false">IF(D2333="","",ROUND((D2333-MIN($D$7:$D$9999))*86400,2))</f>
        <v/>
      </c>
      <c r="G2333" s="10" t="str">
        <f aca="false">IF(D2333="","",IF(D2333&lt;=($E$3*60+$F$3)/86400,"○",""))</f>
        <v/>
      </c>
      <c r="H2333" s="16"/>
      <c r="I2333" s="17"/>
      <c r="J2333" s="16" t="n">
        <v>0.00291967592592593</v>
      </c>
      <c r="K2333" s="17" t="n">
        <v>1092</v>
      </c>
      <c r="L2333" s="17" t="n">
        <f aca="false">COUNT(E2333,I2333,K2333)</f>
        <v>1</v>
      </c>
      <c r="M2333" s="18" t="n">
        <f aca="false">(D2333&lt;&gt;"")*(D2333&lt;=($E$3*60+$F$3)/86400)+(H2333&lt;&gt;"")*(H2333&lt;=($I$3*60+$J$3)/86400)+(J2333&lt;&gt;"")*(J2333&lt;=($M$3*60+$N$3)/86400)</f>
        <v>0</v>
      </c>
      <c r="N2333" s="20"/>
      <c r="O2333" s="20"/>
      <c r="P2333" s="20"/>
      <c r="Q2333" s="19"/>
    </row>
    <row r="2334" customFormat="false" ht="15" hidden="false" customHeight="false" outlineLevel="0" collapsed="false">
      <c r="A2334" s="10" t="n">
        <v>2328</v>
      </c>
      <c r="B2334" s="12" t="s">
        <v>3589</v>
      </c>
      <c r="C2334" s="12" t="s">
        <v>3590</v>
      </c>
      <c r="D2334" s="13"/>
      <c r="E2334" s="14"/>
      <c r="F2334" s="15" t="str">
        <f aca="false">IF(D2334="","",ROUND((D2334-MIN($D$7:$D$9999))*86400,2))</f>
        <v/>
      </c>
      <c r="G2334" s="10" t="str">
        <f aca="false">IF(D2334="","",IF(D2334&lt;=($E$3*60+$F$3)/86400,"○",""))</f>
        <v/>
      </c>
      <c r="H2334" s="16" t="n">
        <v>0.00772627314814815</v>
      </c>
      <c r="I2334" s="17" t="n">
        <v>1093</v>
      </c>
      <c r="J2334" s="16"/>
      <c r="K2334" s="17"/>
      <c r="L2334" s="17" t="n">
        <f aca="false">COUNT(E2334,I2334,K2334)</f>
        <v>1</v>
      </c>
      <c r="M2334" s="18" t="n">
        <f aca="false">(D2334&lt;&gt;"")*(D2334&lt;=($E$3*60+$F$3)/86400)+(H2334&lt;&gt;"")*(H2334&lt;=($I$3*60+$J$3)/86400)+(J2334&lt;&gt;"")*(J2334&lt;=($M$3*60+$N$3)/86400)</f>
        <v>0</v>
      </c>
      <c r="N2334" s="20"/>
      <c r="O2334" s="20"/>
      <c r="P2334" s="20"/>
      <c r="Q2334" s="19"/>
    </row>
    <row r="2335" customFormat="false" ht="15" hidden="false" customHeight="false" outlineLevel="0" collapsed="false">
      <c r="A2335" s="10" t="n">
        <v>2329</v>
      </c>
      <c r="B2335" s="12" t="s">
        <v>3591</v>
      </c>
      <c r="C2335" s="12" t="s">
        <v>3592</v>
      </c>
      <c r="D2335" s="13"/>
      <c r="E2335" s="14"/>
      <c r="F2335" s="15" t="str">
        <f aca="false">IF(D2335="","",ROUND((D2335-MIN($D$7:$D$9999))*86400,2))</f>
        <v/>
      </c>
      <c r="G2335" s="10" t="str">
        <f aca="false">IF(D2335="","",IF(D2335&lt;=($E$3*60+$F$3)/86400,"○",""))</f>
        <v/>
      </c>
      <c r="H2335" s="16"/>
      <c r="I2335" s="17"/>
      <c r="J2335" s="16" t="n">
        <v>0.00291979166666667</v>
      </c>
      <c r="K2335" s="17" t="n">
        <v>1093</v>
      </c>
      <c r="L2335" s="17" t="n">
        <f aca="false">COUNT(E2335,I2335,K2335)</f>
        <v>1</v>
      </c>
      <c r="M2335" s="18" t="n">
        <f aca="false">(D2335&lt;&gt;"")*(D2335&lt;=($E$3*60+$F$3)/86400)+(H2335&lt;&gt;"")*(H2335&lt;=($I$3*60+$J$3)/86400)+(J2335&lt;&gt;"")*(J2335&lt;=($M$3*60+$N$3)/86400)</f>
        <v>0</v>
      </c>
      <c r="N2335" s="20"/>
      <c r="O2335" s="20"/>
      <c r="P2335" s="20"/>
      <c r="Q2335" s="19"/>
    </row>
    <row r="2336" customFormat="false" ht="15" hidden="false" customHeight="false" outlineLevel="0" collapsed="false">
      <c r="A2336" s="10" t="n">
        <v>2330</v>
      </c>
      <c r="B2336" s="12" t="s">
        <v>3593</v>
      </c>
      <c r="C2336" s="12" t="s">
        <v>3334</v>
      </c>
      <c r="D2336" s="13"/>
      <c r="E2336" s="14"/>
      <c r="F2336" s="15" t="str">
        <f aca="false">IF(D2336="","",ROUND((D2336-MIN($D$7:$D$9999))*86400,2))</f>
        <v/>
      </c>
      <c r="G2336" s="10" t="str">
        <f aca="false">IF(D2336="","",IF(D2336&lt;=($E$3*60+$F$3)/86400,"○",""))</f>
        <v/>
      </c>
      <c r="H2336" s="16"/>
      <c r="I2336" s="17"/>
      <c r="J2336" s="16" t="n">
        <v>0.00291990740740741</v>
      </c>
      <c r="K2336" s="17" t="n">
        <v>1094</v>
      </c>
      <c r="L2336" s="17" t="n">
        <f aca="false">COUNT(E2336,I2336,K2336)</f>
        <v>1</v>
      </c>
      <c r="M2336" s="18" t="n">
        <f aca="false">(D2336&lt;&gt;"")*(D2336&lt;=($E$3*60+$F$3)/86400)+(H2336&lt;&gt;"")*(H2336&lt;=($I$3*60+$J$3)/86400)+(J2336&lt;&gt;"")*(J2336&lt;=($M$3*60+$N$3)/86400)</f>
        <v>0</v>
      </c>
      <c r="N2336" s="20"/>
      <c r="O2336" s="20"/>
      <c r="P2336" s="20"/>
      <c r="Q2336" s="19"/>
    </row>
    <row r="2337" customFormat="false" ht="15" hidden="false" customHeight="false" outlineLevel="0" collapsed="false">
      <c r="A2337" s="10" t="n">
        <v>2331</v>
      </c>
      <c r="B2337" s="12" t="s">
        <v>3594</v>
      </c>
      <c r="C2337" s="12" t="s">
        <v>3595</v>
      </c>
      <c r="D2337" s="13"/>
      <c r="E2337" s="14"/>
      <c r="F2337" s="15" t="str">
        <f aca="false">IF(D2337="","",ROUND((D2337-MIN($D$7:$D$9999))*86400,2))</f>
        <v/>
      </c>
      <c r="G2337" s="10" t="str">
        <f aca="false">IF(D2337="","",IF(D2337&lt;=($E$3*60+$F$3)/86400,"○",""))</f>
        <v/>
      </c>
      <c r="H2337" s="16" t="n">
        <v>0.0077275462962963</v>
      </c>
      <c r="I2337" s="17" t="n">
        <v>1095</v>
      </c>
      <c r="J2337" s="16"/>
      <c r="K2337" s="17"/>
      <c r="L2337" s="17" t="n">
        <f aca="false">COUNT(E2337,I2337,K2337)</f>
        <v>1</v>
      </c>
      <c r="M2337" s="18" t="n">
        <f aca="false">(D2337&lt;&gt;"")*(D2337&lt;=($E$3*60+$F$3)/86400)+(H2337&lt;&gt;"")*(H2337&lt;=($I$3*60+$J$3)/86400)+(J2337&lt;&gt;"")*(J2337&lt;=($M$3*60+$N$3)/86400)</f>
        <v>0</v>
      </c>
      <c r="N2337" s="20"/>
      <c r="O2337" s="20"/>
      <c r="P2337" s="20"/>
      <c r="Q2337" s="19"/>
    </row>
    <row r="2338" customFormat="false" ht="15" hidden="false" customHeight="false" outlineLevel="0" collapsed="false">
      <c r="A2338" s="10" t="n">
        <v>2332</v>
      </c>
      <c r="B2338" s="12" t="s">
        <v>3596</v>
      </c>
      <c r="C2338" s="12" t="s">
        <v>2385</v>
      </c>
      <c r="D2338" s="13"/>
      <c r="E2338" s="14"/>
      <c r="F2338" s="15" t="str">
        <f aca="false">IF(D2338="","",ROUND((D2338-MIN($D$7:$D$9999))*86400,2))</f>
        <v/>
      </c>
      <c r="G2338" s="10" t="str">
        <f aca="false">IF(D2338="","",IF(D2338&lt;=($E$3*60+$F$3)/86400,"○",""))</f>
        <v/>
      </c>
      <c r="H2338" s="16" t="n">
        <v>0.00772939814814815</v>
      </c>
      <c r="I2338" s="17" t="n">
        <v>1096</v>
      </c>
      <c r="J2338" s="16"/>
      <c r="K2338" s="17"/>
      <c r="L2338" s="17" t="n">
        <f aca="false">COUNT(E2338,I2338,K2338)</f>
        <v>1</v>
      </c>
      <c r="M2338" s="18" t="n">
        <f aca="false">(D2338&lt;&gt;"")*(D2338&lt;=($E$3*60+$F$3)/86400)+(H2338&lt;&gt;"")*(H2338&lt;=($I$3*60+$J$3)/86400)+(J2338&lt;&gt;"")*(J2338&lt;=($M$3*60+$N$3)/86400)</f>
        <v>0</v>
      </c>
      <c r="N2338" s="20"/>
      <c r="O2338" s="20"/>
      <c r="P2338" s="20"/>
      <c r="Q2338" s="19"/>
    </row>
    <row r="2339" customFormat="false" ht="15" hidden="false" customHeight="false" outlineLevel="0" collapsed="false">
      <c r="A2339" s="10" t="n">
        <v>2333</v>
      </c>
      <c r="B2339" s="12" t="s">
        <v>3597</v>
      </c>
      <c r="C2339" s="12" t="s">
        <v>3598</v>
      </c>
      <c r="D2339" s="13"/>
      <c r="E2339" s="14"/>
      <c r="F2339" s="15" t="str">
        <f aca="false">IF(D2339="","",ROUND((D2339-MIN($D$7:$D$9999))*86400,2))</f>
        <v/>
      </c>
      <c r="G2339" s="10" t="str">
        <f aca="false">IF(D2339="","",IF(D2339&lt;=($E$3*60+$F$3)/86400,"○",""))</f>
        <v/>
      </c>
      <c r="H2339" s="16"/>
      <c r="I2339" s="17"/>
      <c r="J2339" s="16" t="n">
        <v>0.00292002314814815</v>
      </c>
      <c r="K2339" s="17" t="n">
        <v>1096</v>
      </c>
      <c r="L2339" s="17" t="n">
        <f aca="false">COUNT(E2339,I2339,K2339)</f>
        <v>1</v>
      </c>
      <c r="M2339" s="18" t="n">
        <f aca="false">(D2339&lt;&gt;"")*(D2339&lt;=($E$3*60+$F$3)/86400)+(H2339&lt;&gt;"")*(H2339&lt;=($I$3*60+$J$3)/86400)+(J2339&lt;&gt;"")*(J2339&lt;=($M$3*60+$N$3)/86400)</f>
        <v>0</v>
      </c>
      <c r="N2339" s="20"/>
      <c r="O2339" s="20"/>
      <c r="P2339" s="20"/>
      <c r="Q2339" s="19"/>
    </row>
    <row r="2340" customFormat="false" ht="15" hidden="false" customHeight="false" outlineLevel="0" collapsed="false">
      <c r="A2340" s="10" t="n">
        <v>2334</v>
      </c>
      <c r="B2340" s="12" t="s">
        <v>3599</v>
      </c>
      <c r="C2340" s="12" t="s">
        <v>3600</v>
      </c>
      <c r="D2340" s="13"/>
      <c r="E2340" s="14"/>
      <c r="F2340" s="15" t="str">
        <f aca="false">IF(D2340="","",ROUND((D2340-MIN($D$7:$D$9999))*86400,2))</f>
        <v/>
      </c>
      <c r="G2340" s="10" t="str">
        <f aca="false">IF(D2340="","",IF(D2340&lt;=($E$3*60+$F$3)/86400,"○",""))</f>
        <v/>
      </c>
      <c r="H2340" s="16" t="n">
        <v>0.00773078703703704</v>
      </c>
      <c r="I2340" s="17" t="n">
        <v>1097</v>
      </c>
      <c r="J2340" s="16"/>
      <c r="K2340" s="17"/>
      <c r="L2340" s="17" t="n">
        <f aca="false">COUNT(E2340,I2340,K2340)</f>
        <v>1</v>
      </c>
      <c r="M2340" s="18" t="n">
        <f aca="false">(D2340&lt;&gt;"")*(D2340&lt;=($E$3*60+$F$3)/86400)+(H2340&lt;&gt;"")*(H2340&lt;=($I$3*60+$J$3)/86400)+(J2340&lt;&gt;"")*(J2340&lt;=($M$3*60+$N$3)/86400)</f>
        <v>0</v>
      </c>
      <c r="N2340" s="20"/>
      <c r="O2340" s="20"/>
      <c r="P2340" s="20"/>
      <c r="Q2340" s="19"/>
    </row>
    <row r="2341" customFormat="false" ht="15" hidden="false" customHeight="false" outlineLevel="0" collapsed="false">
      <c r="A2341" s="10" t="n">
        <v>2335</v>
      </c>
      <c r="B2341" s="12" t="s">
        <v>3601</v>
      </c>
      <c r="C2341" s="12" t="s">
        <v>1746</v>
      </c>
      <c r="D2341" s="13"/>
      <c r="E2341" s="14"/>
      <c r="F2341" s="15" t="str">
        <f aca="false">IF(D2341="","",ROUND((D2341-MIN($D$7:$D$9999))*86400,2))</f>
        <v/>
      </c>
      <c r="G2341" s="10" t="str">
        <f aca="false">IF(D2341="","",IF(D2341&lt;=($E$3*60+$F$3)/86400,"○",""))</f>
        <v/>
      </c>
      <c r="H2341" s="16"/>
      <c r="I2341" s="17"/>
      <c r="J2341" s="16" t="n">
        <v>0.00292002314814815</v>
      </c>
      <c r="K2341" s="17" t="n">
        <v>1097</v>
      </c>
      <c r="L2341" s="17" t="n">
        <f aca="false">COUNT(E2341,I2341,K2341)</f>
        <v>1</v>
      </c>
      <c r="M2341" s="18" t="n">
        <f aca="false">(D2341&lt;&gt;"")*(D2341&lt;=($E$3*60+$F$3)/86400)+(H2341&lt;&gt;"")*(H2341&lt;=($I$3*60+$J$3)/86400)+(J2341&lt;&gt;"")*(J2341&lt;=($M$3*60+$N$3)/86400)</f>
        <v>0</v>
      </c>
      <c r="N2341" s="20"/>
      <c r="O2341" s="20"/>
      <c r="P2341" s="20"/>
      <c r="Q2341" s="19"/>
    </row>
    <row r="2342" customFormat="false" ht="15" hidden="false" customHeight="false" outlineLevel="0" collapsed="false">
      <c r="A2342" s="10" t="n">
        <v>2336</v>
      </c>
      <c r="B2342" s="12" t="s">
        <v>3602</v>
      </c>
      <c r="C2342" s="12" t="s">
        <v>3603</v>
      </c>
      <c r="D2342" s="13"/>
      <c r="E2342" s="14"/>
      <c r="F2342" s="15" t="str">
        <f aca="false">IF(D2342="","",ROUND((D2342-MIN($D$7:$D$9999))*86400,2))</f>
        <v/>
      </c>
      <c r="G2342" s="10" t="str">
        <f aca="false">IF(D2342="","",IF(D2342&lt;=($E$3*60+$F$3)/86400,"○",""))</f>
        <v/>
      </c>
      <c r="H2342" s="16" t="n">
        <v>0.00773078703703704</v>
      </c>
      <c r="I2342" s="17" t="n">
        <v>1098</v>
      </c>
      <c r="J2342" s="16"/>
      <c r="K2342" s="17"/>
      <c r="L2342" s="17" t="n">
        <f aca="false">COUNT(E2342,I2342,K2342)</f>
        <v>1</v>
      </c>
      <c r="M2342" s="18" t="n">
        <f aca="false">(D2342&lt;&gt;"")*(D2342&lt;=($E$3*60+$F$3)/86400)+(H2342&lt;&gt;"")*(H2342&lt;=($I$3*60+$J$3)/86400)+(J2342&lt;&gt;"")*(J2342&lt;=($M$3*60+$N$3)/86400)</f>
        <v>0</v>
      </c>
      <c r="N2342" s="20"/>
      <c r="O2342" s="20"/>
      <c r="P2342" s="20"/>
      <c r="Q2342" s="19"/>
    </row>
    <row r="2343" customFormat="false" ht="15" hidden="false" customHeight="false" outlineLevel="0" collapsed="false">
      <c r="A2343" s="10" t="n">
        <v>2337</v>
      </c>
      <c r="B2343" s="12" t="s">
        <v>3604</v>
      </c>
      <c r="C2343" s="12" t="s">
        <v>2188</v>
      </c>
      <c r="D2343" s="13"/>
      <c r="E2343" s="14"/>
      <c r="F2343" s="15" t="str">
        <f aca="false">IF(D2343="","",ROUND((D2343-MIN($D$7:$D$9999))*86400,2))</f>
        <v/>
      </c>
      <c r="G2343" s="10" t="str">
        <f aca="false">IF(D2343="","",IF(D2343&lt;=($E$3*60+$F$3)/86400,"○",""))</f>
        <v/>
      </c>
      <c r="H2343" s="16" t="n">
        <v>0.00773078703703704</v>
      </c>
      <c r="I2343" s="17" t="n">
        <v>1099</v>
      </c>
      <c r="J2343" s="16"/>
      <c r="K2343" s="17"/>
      <c r="L2343" s="17" t="n">
        <f aca="false">COUNT(E2343,I2343,K2343)</f>
        <v>1</v>
      </c>
      <c r="M2343" s="18" t="n">
        <f aca="false">(D2343&lt;&gt;"")*(D2343&lt;=($E$3*60+$F$3)/86400)+(H2343&lt;&gt;"")*(H2343&lt;=($I$3*60+$J$3)/86400)+(J2343&lt;&gt;"")*(J2343&lt;=($M$3*60+$N$3)/86400)</f>
        <v>0</v>
      </c>
      <c r="N2343" s="20"/>
      <c r="O2343" s="20"/>
      <c r="P2343" s="20"/>
      <c r="Q2343" s="19"/>
    </row>
    <row r="2344" customFormat="false" ht="15" hidden="false" customHeight="false" outlineLevel="0" collapsed="false">
      <c r="A2344" s="10" t="n">
        <v>2338</v>
      </c>
      <c r="B2344" s="12" t="s">
        <v>3605</v>
      </c>
      <c r="C2344" s="12" t="s">
        <v>2619</v>
      </c>
      <c r="D2344" s="13"/>
      <c r="E2344" s="14"/>
      <c r="F2344" s="15" t="str">
        <f aca="false">IF(D2344="","",ROUND((D2344-MIN($D$7:$D$9999))*86400,2))</f>
        <v/>
      </c>
      <c r="G2344" s="10" t="str">
        <f aca="false">IF(D2344="","",IF(D2344&lt;=($E$3*60+$F$3)/86400,"○",""))</f>
        <v/>
      </c>
      <c r="H2344" s="16"/>
      <c r="I2344" s="17"/>
      <c r="J2344" s="16" t="n">
        <v>0.00292025462962963</v>
      </c>
      <c r="K2344" s="17" t="n">
        <v>1099</v>
      </c>
      <c r="L2344" s="17" t="n">
        <f aca="false">COUNT(E2344,I2344,K2344)</f>
        <v>1</v>
      </c>
      <c r="M2344" s="18" t="n">
        <f aca="false">(D2344&lt;&gt;"")*(D2344&lt;=($E$3*60+$F$3)/86400)+(H2344&lt;&gt;"")*(H2344&lt;=($I$3*60+$J$3)/86400)+(J2344&lt;&gt;"")*(J2344&lt;=($M$3*60+$N$3)/86400)</f>
        <v>0</v>
      </c>
      <c r="N2344" s="20"/>
      <c r="O2344" s="20"/>
      <c r="P2344" s="20"/>
      <c r="Q2344" s="19"/>
    </row>
    <row r="2345" customFormat="false" ht="15" hidden="false" customHeight="false" outlineLevel="0" collapsed="false">
      <c r="A2345" s="10" t="n">
        <v>2339</v>
      </c>
      <c r="B2345" s="12" t="s">
        <v>3606</v>
      </c>
      <c r="C2345" s="12" t="s">
        <v>2921</v>
      </c>
      <c r="D2345" s="13"/>
      <c r="E2345" s="14"/>
      <c r="F2345" s="15" t="str">
        <f aca="false">IF(D2345="","",ROUND((D2345-MIN($D$7:$D$9999))*86400,2))</f>
        <v/>
      </c>
      <c r="G2345" s="10" t="str">
        <f aca="false">IF(D2345="","",IF(D2345&lt;=($E$3*60+$F$3)/86400,"○",""))</f>
        <v/>
      </c>
      <c r="H2345" s="16" t="n">
        <v>0.0077318287037037</v>
      </c>
      <c r="I2345" s="17" t="n">
        <v>1100</v>
      </c>
      <c r="J2345" s="16"/>
      <c r="K2345" s="17"/>
      <c r="L2345" s="17" t="n">
        <f aca="false">COUNT(E2345,I2345,K2345)</f>
        <v>1</v>
      </c>
      <c r="M2345" s="18" t="n">
        <f aca="false">(D2345&lt;&gt;"")*(D2345&lt;=($E$3*60+$F$3)/86400)+(H2345&lt;&gt;"")*(H2345&lt;=($I$3*60+$J$3)/86400)+(J2345&lt;&gt;"")*(J2345&lt;=($M$3*60+$N$3)/86400)</f>
        <v>0</v>
      </c>
      <c r="N2345" s="20"/>
      <c r="O2345" s="20"/>
      <c r="P2345" s="20"/>
      <c r="Q2345" s="19"/>
    </row>
    <row r="2346" customFormat="false" ht="15" hidden="false" customHeight="false" outlineLevel="0" collapsed="false">
      <c r="A2346" s="10" t="n">
        <v>2340</v>
      </c>
      <c r="B2346" s="12" t="s">
        <v>3607</v>
      </c>
      <c r="C2346" s="12" t="s">
        <v>1971</v>
      </c>
      <c r="D2346" s="13"/>
      <c r="E2346" s="14"/>
      <c r="F2346" s="15" t="str">
        <f aca="false">IF(D2346="","",ROUND((D2346-MIN($D$7:$D$9999))*86400,2))</f>
        <v/>
      </c>
      <c r="G2346" s="10" t="str">
        <f aca="false">IF(D2346="","",IF(D2346&lt;=($E$3*60+$F$3)/86400,"○",""))</f>
        <v/>
      </c>
      <c r="H2346" s="16" t="n">
        <v>0.00773206018518519</v>
      </c>
      <c r="I2346" s="17" t="n">
        <v>1101</v>
      </c>
      <c r="J2346" s="16"/>
      <c r="K2346" s="17"/>
      <c r="L2346" s="17" t="n">
        <f aca="false">COUNT(E2346,I2346,K2346)</f>
        <v>1</v>
      </c>
      <c r="M2346" s="18" t="n">
        <f aca="false">(D2346&lt;&gt;"")*(D2346&lt;=($E$3*60+$F$3)/86400)+(H2346&lt;&gt;"")*(H2346&lt;=($I$3*60+$J$3)/86400)+(J2346&lt;&gt;"")*(J2346&lt;=($M$3*60+$N$3)/86400)</f>
        <v>0</v>
      </c>
      <c r="N2346" s="20"/>
      <c r="O2346" s="20"/>
      <c r="P2346" s="20"/>
      <c r="Q2346" s="19"/>
    </row>
    <row r="2347" customFormat="false" ht="15" hidden="false" customHeight="false" outlineLevel="0" collapsed="false">
      <c r="A2347" s="10" t="n">
        <v>2341</v>
      </c>
      <c r="B2347" s="12" t="s">
        <v>3608</v>
      </c>
      <c r="C2347" s="12" t="s">
        <v>1510</v>
      </c>
      <c r="D2347" s="13"/>
      <c r="E2347" s="14"/>
      <c r="F2347" s="15" t="str">
        <f aca="false">IF(D2347="","",ROUND((D2347-MIN($D$7:$D$9999))*86400,2))</f>
        <v/>
      </c>
      <c r="G2347" s="10" t="str">
        <f aca="false">IF(D2347="","",IF(D2347&lt;=($E$3*60+$F$3)/86400,"○",""))</f>
        <v/>
      </c>
      <c r="H2347" s="16"/>
      <c r="I2347" s="17"/>
      <c r="J2347" s="16" t="n">
        <v>0.00292025462962963</v>
      </c>
      <c r="K2347" s="17" t="n">
        <v>1101</v>
      </c>
      <c r="L2347" s="17" t="n">
        <f aca="false">COUNT(E2347,I2347,K2347)</f>
        <v>1</v>
      </c>
      <c r="M2347" s="18" t="n">
        <f aca="false">(D2347&lt;&gt;"")*(D2347&lt;=($E$3*60+$F$3)/86400)+(H2347&lt;&gt;"")*(H2347&lt;=($I$3*60+$J$3)/86400)+(J2347&lt;&gt;"")*(J2347&lt;=($M$3*60+$N$3)/86400)</f>
        <v>0</v>
      </c>
      <c r="N2347" s="20"/>
      <c r="O2347" s="20"/>
      <c r="P2347" s="20"/>
      <c r="Q2347" s="19"/>
    </row>
    <row r="2348" customFormat="false" ht="15" hidden="false" customHeight="false" outlineLevel="0" collapsed="false">
      <c r="A2348" s="10" t="n">
        <v>2342</v>
      </c>
      <c r="B2348" s="12" t="s">
        <v>3609</v>
      </c>
      <c r="C2348" s="12" t="s">
        <v>3610</v>
      </c>
      <c r="D2348" s="13"/>
      <c r="E2348" s="14"/>
      <c r="F2348" s="15" t="str">
        <f aca="false">IF(D2348="","",ROUND((D2348-MIN($D$7:$D$9999))*86400,2))</f>
        <v/>
      </c>
      <c r="G2348" s="10" t="str">
        <f aca="false">IF(D2348="","",IF(D2348&lt;=($E$3*60+$F$3)/86400,"○",""))</f>
        <v/>
      </c>
      <c r="H2348" s="16" t="n">
        <v>0.00773298611111111</v>
      </c>
      <c r="I2348" s="17" t="n">
        <v>1102</v>
      </c>
      <c r="J2348" s="16"/>
      <c r="K2348" s="17"/>
      <c r="L2348" s="17" t="n">
        <f aca="false">COUNT(E2348,I2348,K2348)</f>
        <v>1</v>
      </c>
      <c r="M2348" s="18" t="n">
        <f aca="false">(D2348&lt;&gt;"")*(D2348&lt;=($E$3*60+$F$3)/86400)+(H2348&lt;&gt;"")*(H2348&lt;=($I$3*60+$J$3)/86400)+(J2348&lt;&gt;"")*(J2348&lt;=($M$3*60+$N$3)/86400)</f>
        <v>0</v>
      </c>
      <c r="N2348" s="20"/>
      <c r="O2348" s="20"/>
      <c r="P2348" s="20"/>
      <c r="Q2348" s="19"/>
    </row>
    <row r="2349" customFormat="false" ht="15" hidden="false" customHeight="false" outlineLevel="0" collapsed="false">
      <c r="A2349" s="10" t="n">
        <v>2343</v>
      </c>
      <c r="B2349" s="12" t="s">
        <v>3611</v>
      </c>
      <c r="C2349" s="12" t="s">
        <v>2307</v>
      </c>
      <c r="D2349" s="13"/>
      <c r="E2349" s="14"/>
      <c r="F2349" s="15" t="str">
        <f aca="false">IF(D2349="","",ROUND((D2349-MIN($D$7:$D$9999))*86400,2))</f>
        <v/>
      </c>
      <c r="G2349" s="10" t="str">
        <f aca="false">IF(D2349="","",IF(D2349&lt;=($E$3*60+$F$3)/86400,"○",""))</f>
        <v/>
      </c>
      <c r="H2349" s="16" t="n">
        <v>0.00773622685185185</v>
      </c>
      <c r="I2349" s="17" t="n">
        <v>1103</v>
      </c>
      <c r="J2349" s="16"/>
      <c r="K2349" s="17"/>
      <c r="L2349" s="17" t="n">
        <f aca="false">COUNT(E2349,I2349,K2349)</f>
        <v>1</v>
      </c>
      <c r="M2349" s="18" t="n">
        <f aca="false">(D2349&lt;&gt;"")*(D2349&lt;=($E$3*60+$F$3)/86400)+(H2349&lt;&gt;"")*(H2349&lt;=($I$3*60+$J$3)/86400)+(J2349&lt;&gt;"")*(J2349&lt;=($M$3*60+$N$3)/86400)</f>
        <v>0</v>
      </c>
      <c r="N2349" s="20"/>
      <c r="O2349" s="20"/>
      <c r="P2349" s="20"/>
      <c r="Q2349" s="19"/>
    </row>
    <row r="2350" customFormat="false" ht="15" hidden="false" customHeight="false" outlineLevel="0" collapsed="false">
      <c r="A2350" s="10" t="n">
        <v>2344</v>
      </c>
      <c r="B2350" s="12" t="s">
        <v>3612</v>
      </c>
      <c r="C2350" s="12" t="s">
        <v>2050</v>
      </c>
      <c r="D2350" s="13"/>
      <c r="E2350" s="14"/>
      <c r="F2350" s="15" t="str">
        <f aca="false">IF(D2350="","",ROUND((D2350-MIN($D$7:$D$9999))*86400,2))</f>
        <v/>
      </c>
      <c r="G2350" s="10" t="str">
        <f aca="false">IF(D2350="","",IF(D2350&lt;=($E$3*60+$F$3)/86400,"○",""))</f>
        <v/>
      </c>
      <c r="H2350" s="16"/>
      <c r="I2350" s="17"/>
      <c r="J2350" s="16" t="n">
        <v>0.00292025462962963</v>
      </c>
      <c r="K2350" s="17" t="n">
        <v>1103</v>
      </c>
      <c r="L2350" s="17" t="n">
        <f aca="false">COUNT(E2350,I2350,K2350)</f>
        <v>1</v>
      </c>
      <c r="M2350" s="18" t="n">
        <f aca="false">(D2350&lt;&gt;"")*(D2350&lt;=($E$3*60+$F$3)/86400)+(H2350&lt;&gt;"")*(H2350&lt;=($I$3*60+$J$3)/86400)+(J2350&lt;&gt;"")*(J2350&lt;=($M$3*60+$N$3)/86400)</f>
        <v>0</v>
      </c>
      <c r="N2350" s="20"/>
      <c r="O2350" s="20"/>
      <c r="P2350" s="20"/>
      <c r="Q2350" s="19"/>
    </row>
    <row r="2351" customFormat="false" ht="15" hidden="false" customHeight="false" outlineLevel="0" collapsed="false">
      <c r="A2351" s="10" t="n">
        <v>2345</v>
      </c>
      <c r="B2351" s="12" t="s">
        <v>3613</v>
      </c>
      <c r="C2351" s="12" t="s">
        <v>3614</v>
      </c>
      <c r="D2351" s="13"/>
      <c r="E2351" s="14"/>
      <c r="F2351" s="15" t="str">
        <f aca="false">IF(D2351="","",ROUND((D2351-MIN($D$7:$D$9999))*86400,2))</f>
        <v/>
      </c>
      <c r="G2351" s="10" t="str">
        <f aca="false">IF(D2351="","",IF(D2351&lt;=($E$3*60+$F$3)/86400,"○",""))</f>
        <v/>
      </c>
      <c r="H2351" s="16" t="n">
        <v>0.00773912037037037</v>
      </c>
      <c r="I2351" s="17" t="n">
        <v>1104</v>
      </c>
      <c r="J2351" s="16"/>
      <c r="K2351" s="17"/>
      <c r="L2351" s="17" t="n">
        <f aca="false">COUNT(E2351,I2351,K2351)</f>
        <v>1</v>
      </c>
      <c r="M2351" s="18" t="n">
        <f aca="false">(D2351&lt;&gt;"")*(D2351&lt;=($E$3*60+$F$3)/86400)+(H2351&lt;&gt;"")*(H2351&lt;=($I$3*60+$J$3)/86400)+(J2351&lt;&gt;"")*(J2351&lt;=($M$3*60+$N$3)/86400)</f>
        <v>0</v>
      </c>
      <c r="N2351" s="20"/>
      <c r="O2351" s="20"/>
      <c r="P2351" s="20"/>
      <c r="Q2351" s="19"/>
    </row>
    <row r="2352" customFormat="false" ht="15" hidden="false" customHeight="false" outlineLevel="0" collapsed="false">
      <c r="A2352" s="10" t="n">
        <v>2346</v>
      </c>
      <c r="B2352" s="12" t="s">
        <v>3615</v>
      </c>
      <c r="C2352" s="12" t="s">
        <v>3081</v>
      </c>
      <c r="D2352" s="13"/>
      <c r="E2352" s="14"/>
      <c r="F2352" s="15" t="str">
        <f aca="false">IF(D2352="","",ROUND((D2352-MIN($D$7:$D$9999))*86400,2))</f>
        <v/>
      </c>
      <c r="G2352" s="10" t="str">
        <f aca="false">IF(D2352="","",IF(D2352&lt;=($E$3*60+$F$3)/86400,"○",""))</f>
        <v/>
      </c>
      <c r="H2352" s="16"/>
      <c r="I2352" s="17"/>
      <c r="J2352" s="16" t="n">
        <v>0.00292037037037037</v>
      </c>
      <c r="K2352" s="17" t="n">
        <v>1104</v>
      </c>
      <c r="L2352" s="17" t="n">
        <f aca="false">COUNT(E2352,I2352,K2352)</f>
        <v>1</v>
      </c>
      <c r="M2352" s="18" t="n">
        <f aca="false">(D2352&lt;&gt;"")*(D2352&lt;=($E$3*60+$F$3)/86400)+(H2352&lt;&gt;"")*(H2352&lt;=($I$3*60+$J$3)/86400)+(J2352&lt;&gt;"")*(J2352&lt;=($M$3*60+$N$3)/86400)</f>
        <v>0</v>
      </c>
      <c r="N2352" s="20"/>
      <c r="O2352" s="20"/>
      <c r="P2352" s="20"/>
      <c r="Q2352" s="19"/>
    </row>
    <row r="2353" customFormat="false" ht="15" hidden="false" customHeight="false" outlineLevel="0" collapsed="false">
      <c r="A2353" s="10" t="n">
        <v>2347</v>
      </c>
      <c r="B2353" s="12" t="s">
        <v>3616</v>
      </c>
      <c r="C2353" s="12" t="s">
        <v>2132</v>
      </c>
      <c r="D2353" s="13"/>
      <c r="E2353" s="14"/>
      <c r="F2353" s="15" t="str">
        <f aca="false">IF(D2353="","",ROUND((D2353-MIN($D$7:$D$9999))*86400,2))</f>
        <v/>
      </c>
      <c r="G2353" s="10" t="str">
        <f aca="false">IF(D2353="","",IF(D2353&lt;=($E$3*60+$F$3)/86400,"○",""))</f>
        <v/>
      </c>
      <c r="H2353" s="16" t="n">
        <v>0.00774155092592593</v>
      </c>
      <c r="I2353" s="17" t="n">
        <v>1105</v>
      </c>
      <c r="J2353" s="16"/>
      <c r="K2353" s="17"/>
      <c r="L2353" s="17" t="n">
        <f aca="false">COUNT(E2353,I2353,K2353)</f>
        <v>1</v>
      </c>
      <c r="M2353" s="18" t="n">
        <f aca="false">(D2353&lt;&gt;"")*(D2353&lt;=($E$3*60+$F$3)/86400)+(H2353&lt;&gt;"")*(H2353&lt;=($I$3*60+$J$3)/86400)+(J2353&lt;&gt;"")*(J2353&lt;=($M$3*60+$N$3)/86400)</f>
        <v>0</v>
      </c>
      <c r="N2353" s="20"/>
      <c r="O2353" s="20"/>
      <c r="P2353" s="20"/>
      <c r="Q2353" s="19"/>
    </row>
    <row r="2354" customFormat="false" ht="15" hidden="false" customHeight="false" outlineLevel="0" collapsed="false">
      <c r="A2354" s="10" t="n">
        <v>2348</v>
      </c>
      <c r="B2354" s="12" t="s">
        <v>3617</v>
      </c>
      <c r="C2354" s="12" t="s">
        <v>1063</v>
      </c>
      <c r="D2354" s="13"/>
      <c r="E2354" s="14"/>
      <c r="F2354" s="15" t="str">
        <f aca="false">IF(D2354="","",ROUND((D2354-MIN($D$7:$D$9999))*86400,2))</f>
        <v/>
      </c>
      <c r="G2354" s="10" t="str">
        <f aca="false">IF(D2354="","",IF(D2354&lt;=($E$3*60+$F$3)/86400,"○",""))</f>
        <v/>
      </c>
      <c r="H2354" s="16" t="n">
        <v>0.00774282407407408</v>
      </c>
      <c r="I2354" s="17" t="n">
        <v>1106</v>
      </c>
      <c r="J2354" s="16"/>
      <c r="K2354" s="17"/>
      <c r="L2354" s="17" t="n">
        <f aca="false">COUNT(E2354,I2354,K2354)</f>
        <v>1</v>
      </c>
      <c r="M2354" s="18" t="n">
        <f aca="false">(D2354&lt;&gt;"")*(D2354&lt;=($E$3*60+$F$3)/86400)+(H2354&lt;&gt;"")*(H2354&lt;=($I$3*60+$J$3)/86400)+(J2354&lt;&gt;"")*(J2354&lt;=($M$3*60+$N$3)/86400)</f>
        <v>0</v>
      </c>
      <c r="N2354" s="20"/>
      <c r="O2354" s="20"/>
      <c r="P2354" s="20"/>
      <c r="Q2354" s="19"/>
    </row>
    <row r="2355" customFormat="false" ht="15" hidden="false" customHeight="false" outlineLevel="0" collapsed="false">
      <c r="A2355" s="10" t="n">
        <v>2349</v>
      </c>
      <c r="B2355" s="12" t="s">
        <v>3618</v>
      </c>
      <c r="C2355" s="12" t="s">
        <v>3619</v>
      </c>
      <c r="D2355" s="13"/>
      <c r="E2355" s="14"/>
      <c r="F2355" s="15" t="str">
        <f aca="false">IF(D2355="","",ROUND((D2355-MIN($D$7:$D$9999))*86400,2))</f>
        <v/>
      </c>
      <c r="G2355" s="10" t="str">
        <f aca="false">IF(D2355="","",IF(D2355&lt;=($E$3*60+$F$3)/86400,"○",""))</f>
        <v/>
      </c>
      <c r="H2355" s="16" t="n">
        <v>0.00774375</v>
      </c>
      <c r="I2355" s="17" t="n">
        <v>1107</v>
      </c>
      <c r="J2355" s="16"/>
      <c r="K2355" s="17"/>
      <c r="L2355" s="17" t="n">
        <f aca="false">COUNT(E2355,I2355,K2355)</f>
        <v>1</v>
      </c>
      <c r="M2355" s="18" t="n">
        <f aca="false">(D2355&lt;&gt;"")*(D2355&lt;=($E$3*60+$F$3)/86400)+(H2355&lt;&gt;"")*(H2355&lt;=($I$3*60+$J$3)/86400)+(J2355&lt;&gt;"")*(J2355&lt;=($M$3*60+$N$3)/86400)</f>
        <v>0</v>
      </c>
      <c r="N2355" s="20"/>
      <c r="O2355" s="20"/>
      <c r="P2355" s="20"/>
      <c r="Q2355" s="19"/>
    </row>
    <row r="2356" customFormat="false" ht="15" hidden="false" customHeight="false" outlineLevel="0" collapsed="false">
      <c r="A2356" s="10" t="n">
        <v>2350</v>
      </c>
      <c r="B2356" s="12" t="s">
        <v>3620</v>
      </c>
      <c r="C2356" s="12" t="s">
        <v>3621</v>
      </c>
      <c r="D2356" s="13"/>
      <c r="E2356" s="14"/>
      <c r="F2356" s="15" t="str">
        <f aca="false">IF(D2356="","",ROUND((D2356-MIN($D$7:$D$9999))*86400,2))</f>
        <v/>
      </c>
      <c r="G2356" s="10" t="str">
        <f aca="false">IF(D2356="","",IF(D2356&lt;=($E$3*60+$F$3)/86400,"○",""))</f>
        <v/>
      </c>
      <c r="H2356" s="16" t="n">
        <v>0.00774398148148148</v>
      </c>
      <c r="I2356" s="17" t="n">
        <v>1108</v>
      </c>
      <c r="J2356" s="16"/>
      <c r="K2356" s="17"/>
      <c r="L2356" s="17" t="n">
        <f aca="false">COUNT(E2356,I2356,K2356)</f>
        <v>1</v>
      </c>
      <c r="M2356" s="18" t="n">
        <f aca="false">(D2356&lt;&gt;"")*(D2356&lt;=($E$3*60+$F$3)/86400)+(H2356&lt;&gt;"")*(H2356&lt;=($I$3*60+$J$3)/86400)+(J2356&lt;&gt;"")*(J2356&lt;=($M$3*60+$N$3)/86400)</f>
        <v>0</v>
      </c>
      <c r="N2356" s="20"/>
      <c r="O2356" s="20"/>
      <c r="P2356" s="20"/>
      <c r="Q2356" s="19"/>
    </row>
    <row r="2357" customFormat="false" ht="15" hidden="false" customHeight="false" outlineLevel="0" collapsed="false">
      <c r="A2357" s="10" t="n">
        <v>2351</v>
      </c>
      <c r="B2357" s="12" t="s">
        <v>3622</v>
      </c>
      <c r="C2357" s="12" t="s">
        <v>3623</v>
      </c>
      <c r="D2357" s="13"/>
      <c r="E2357" s="14"/>
      <c r="F2357" s="15" t="str">
        <f aca="false">IF(D2357="","",ROUND((D2357-MIN($D$7:$D$9999))*86400,2))</f>
        <v/>
      </c>
      <c r="G2357" s="10" t="str">
        <f aca="false">IF(D2357="","",IF(D2357&lt;=($E$3*60+$F$3)/86400,"○",""))</f>
        <v/>
      </c>
      <c r="H2357" s="16"/>
      <c r="I2357" s="17"/>
      <c r="J2357" s="16" t="n">
        <v>0.00292106481481482</v>
      </c>
      <c r="K2357" s="17" t="n">
        <v>1108</v>
      </c>
      <c r="L2357" s="17" t="n">
        <f aca="false">COUNT(E2357,I2357,K2357)</f>
        <v>1</v>
      </c>
      <c r="M2357" s="18" t="n">
        <f aca="false">(D2357&lt;&gt;"")*(D2357&lt;=($E$3*60+$F$3)/86400)+(H2357&lt;&gt;"")*(H2357&lt;=($I$3*60+$J$3)/86400)+(J2357&lt;&gt;"")*(J2357&lt;=($M$3*60+$N$3)/86400)</f>
        <v>0</v>
      </c>
      <c r="N2357" s="20"/>
      <c r="O2357" s="20"/>
      <c r="P2357" s="20"/>
      <c r="Q2357" s="19"/>
    </row>
    <row r="2358" customFormat="false" ht="15" hidden="false" customHeight="false" outlineLevel="0" collapsed="false">
      <c r="A2358" s="10" t="n">
        <v>2352</v>
      </c>
      <c r="B2358" s="12" t="s">
        <v>3624</v>
      </c>
      <c r="C2358" s="12" t="s">
        <v>288</v>
      </c>
      <c r="D2358" s="13"/>
      <c r="E2358" s="14"/>
      <c r="F2358" s="15" t="str">
        <f aca="false">IF(D2358="","",ROUND((D2358-MIN($D$7:$D$9999))*86400,2))</f>
        <v/>
      </c>
      <c r="G2358" s="10" t="str">
        <f aca="false">IF(D2358="","",IF(D2358&lt;=($E$3*60+$F$3)/86400,"○",""))</f>
        <v/>
      </c>
      <c r="H2358" s="16" t="n">
        <v>0.00774525462962963</v>
      </c>
      <c r="I2358" s="17" t="n">
        <v>1109</v>
      </c>
      <c r="J2358" s="16"/>
      <c r="K2358" s="17"/>
      <c r="L2358" s="17" t="n">
        <f aca="false">COUNT(E2358,I2358,K2358)</f>
        <v>1</v>
      </c>
      <c r="M2358" s="18" t="n">
        <f aca="false">(D2358&lt;&gt;"")*(D2358&lt;=($E$3*60+$F$3)/86400)+(H2358&lt;&gt;"")*(H2358&lt;=($I$3*60+$J$3)/86400)+(J2358&lt;&gt;"")*(J2358&lt;=($M$3*60+$N$3)/86400)</f>
        <v>0</v>
      </c>
      <c r="N2358" s="20"/>
      <c r="O2358" s="20"/>
      <c r="P2358" s="20"/>
      <c r="Q2358" s="19"/>
    </row>
    <row r="2359" customFormat="false" ht="15" hidden="false" customHeight="false" outlineLevel="0" collapsed="false">
      <c r="A2359" s="10" t="n">
        <v>2353</v>
      </c>
      <c r="B2359" s="12" t="s">
        <v>3625</v>
      </c>
      <c r="C2359" s="12" t="s">
        <v>3626</v>
      </c>
      <c r="D2359" s="13"/>
      <c r="E2359" s="14"/>
      <c r="F2359" s="15" t="str">
        <f aca="false">IF(D2359="","",ROUND((D2359-MIN($D$7:$D$9999))*86400,2))</f>
        <v/>
      </c>
      <c r="G2359" s="10" t="str">
        <f aca="false">IF(D2359="","",IF(D2359&lt;=($E$3*60+$F$3)/86400,"○",""))</f>
        <v/>
      </c>
      <c r="H2359" s="16"/>
      <c r="I2359" s="17"/>
      <c r="J2359" s="16" t="n">
        <v>0.00292118055555556</v>
      </c>
      <c r="K2359" s="17" t="n">
        <v>1109</v>
      </c>
      <c r="L2359" s="17" t="n">
        <f aca="false">COUNT(E2359,I2359,K2359)</f>
        <v>1</v>
      </c>
      <c r="M2359" s="18" t="n">
        <f aca="false">(D2359&lt;&gt;"")*(D2359&lt;=($E$3*60+$F$3)/86400)+(H2359&lt;&gt;"")*(H2359&lt;=($I$3*60+$J$3)/86400)+(J2359&lt;&gt;"")*(J2359&lt;=($M$3*60+$N$3)/86400)</f>
        <v>0</v>
      </c>
      <c r="N2359" s="20"/>
      <c r="O2359" s="20"/>
      <c r="P2359" s="20"/>
      <c r="Q2359" s="19"/>
    </row>
    <row r="2360" customFormat="false" ht="15" hidden="false" customHeight="false" outlineLevel="0" collapsed="false">
      <c r="A2360" s="10" t="n">
        <v>2354</v>
      </c>
      <c r="B2360" s="12" t="s">
        <v>3627</v>
      </c>
      <c r="C2360" s="12" t="s">
        <v>1829</v>
      </c>
      <c r="D2360" s="13"/>
      <c r="E2360" s="14"/>
      <c r="F2360" s="15" t="str">
        <f aca="false">IF(D2360="","",ROUND((D2360-MIN($D$7:$D$9999))*86400,2))</f>
        <v/>
      </c>
      <c r="G2360" s="10" t="str">
        <f aca="false">IF(D2360="","",IF(D2360&lt;=($E$3*60+$F$3)/86400,"○",""))</f>
        <v/>
      </c>
      <c r="H2360" s="16" t="n">
        <v>0.00774525462962963</v>
      </c>
      <c r="I2360" s="17" t="n">
        <v>1110</v>
      </c>
      <c r="J2360" s="16"/>
      <c r="K2360" s="17"/>
      <c r="L2360" s="17" t="n">
        <f aca="false">COUNT(E2360,I2360,K2360)</f>
        <v>1</v>
      </c>
      <c r="M2360" s="18" t="n">
        <f aca="false">(D2360&lt;&gt;"")*(D2360&lt;=($E$3*60+$F$3)/86400)+(H2360&lt;&gt;"")*(H2360&lt;=($I$3*60+$J$3)/86400)+(J2360&lt;&gt;"")*(J2360&lt;=($M$3*60+$N$3)/86400)</f>
        <v>0</v>
      </c>
      <c r="N2360" s="20"/>
      <c r="O2360" s="20"/>
      <c r="P2360" s="20"/>
      <c r="Q2360" s="19"/>
    </row>
    <row r="2361" customFormat="false" ht="15" hidden="false" customHeight="false" outlineLevel="0" collapsed="false">
      <c r="A2361" s="10" t="n">
        <v>2355</v>
      </c>
      <c r="B2361" s="12" t="s">
        <v>3628</v>
      </c>
      <c r="C2361" s="12" t="s">
        <v>3040</v>
      </c>
      <c r="D2361" s="13"/>
      <c r="E2361" s="14"/>
      <c r="F2361" s="15" t="str">
        <f aca="false">IF(D2361="","",ROUND((D2361-MIN($D$7:$D$9999))*86400,2))</f>
        <v/>
      </c>
      <c r="G2361" s="10" t="str">
        <f aca="false">IF(D2361="","",IF(D2361&lt;=($E$3*60+$F$3)/86400,"○",""))</f>
        <v/>
      </c>
      <c r="H2361" s="16"/>
      <c r="I2361" s="17"/>
      <c r="J2361" s="16" t="n">
        <v>0.00292141203703704</v>
      </c>
      <c r="K2361" s="17" t="n">
        <v>1110</v>
      </c>
      <c r="L2361" s="17" t="n">
        <f aca="false">COUNT(E2361,I2361,K2361)</f>
        <v>1</v>
      </c>
      <c r="M2361" s="18" t="n">
        <f aca="false">(D2361&lt;&gt;"")*(D2361&lt;=($E$3*60+$F$3)/86400)+(H2361&lt;&gt;"")*(H2361&lt;=($I$3*60+$J$3)/86400)+(J2361&lt;&gt;"")*(J2361&lt;=($M$3*60+$N$3)/86400)</f>
        <v>0</v>
      </c>
      <c r="N2361" s="20" t="s">
        <v>3629</v>
      </c>
      <c r="O2361" s="20"/>
      <c r="P2361" s="20"/>
      <c r="Q2361" s="19"/>
    </row>
    <row r="2362" customFormat="false" ht="15" hidden="false" customHeight="false" outlineLevel="0" collapsed="false">
      <c r="A2362" s="10" t="n">
        <v>2356</v>
      </c>
      <c r="B2362" s="12" t="s">
        <v>3630</v>
      </c>
      <c r="C2362" s="12" t="s">
        <v>161</v>
      </c>
      <c r="D2362" s="13"/>
      <c r="E2362" s="14"/>
      <c r="F2362" s="15" t="str">
        <f aca="false">IF(D2362="","",ROUND((D2362-MIN($D$7:$D$9999))*86400,2))</f>
        <v/>
      </c>
      <c r="G2362" s="10" t="str">
        <f aca="false">IF(D2362="","",IF(D2362&lt;=($E$3*60+$F$3)/86400,"○",""))</f>
        <v/>
      </c>
      <c r="H2362" s="16" t="n">
        <v>0.00774652777777778</v>
      </c>
      <c r="I2362" s="17" t="n">
        <v>1111</v>
      </c>
      <c r="J2362" s="16"/>
      <c r="K2362" s="17"/>
      <c r="L2362" s="17" t="n">
        <f aca="false">COUNT(E2362,I2362,K2362)</f>
        <v>1</v>
      </c>
      <c r="M2362" s="18" t="n">
        <f aca="false">(D2362&lt;&gt;"")*(D2362&lt;=($E$3*60+$F$3)/86400)+(H2362&lt;&gt;"")*(H2362&lt;=($I$3*60+$J$3)/86400)+(J2362&lt;&gt;"")*(J2362&lt;=($M$3*60+$N$3)/86400)</f>
        <v>0</v>
      </c>
      <c r="N2362" s="20"/>
      <c r="O2362" s="20"/>
      <c r="P2362" s="20"/>
      <c r="Q2362" s="19"/>
    </row>
    <row r="2363" customFormat="false" ht="15" hidden="false" customHeight="false" outlineLevel="0" collapsed="false">
      <c r="A2363" s="10" t="n">
        <v>2357</v>
      </c>
      <c r="B2363" s="12" t="s">
        <v>3631</v>
      </c>
      <c r="C2363" s="12" t="s">
        <v>695</v>
      </c>
      <c r="D2363" s="13"/>
      <c r="E2363" s="14"/>
      <c r="F2363" s="15" t="str">
        <f aca="false">IF(D2363="","",ROUND((D2363-MIN($D$7:$D$9999))*86400,2))</f>
        <v/>
      </c>
      <c r="G2363" s="10" t="str">
        <f aca="false">IF(D2363="","",IF(D2363&lt;=($E$3*60+$F$3)/86400,"○",""))</f>
        <v/>
      </c>
      <c r="H2363" s="16" t="n">
        <v>0.00774930555555556</v>
      </c>
      <c r="I2363" s="17" t="n">
        <v>1112</v>
      </c>
      <c r="J2363" s="16"/>
      <c r="K2363" s="17"/>
      <c r="L2363" s="17" t="n">
        <f aca="false">COUNT(E2363,I2363,K2363)</f>
        <v>1</v>
      </c>
      <c r="M2363" s="18" t="n">
        <f aca="false">(D2363&lt;&gt;"")*(D2363&lt;=($E$3*60+$F$3)/86400)+(H2363&lt;&gt;"")*(H2363&lt;=($I$3*60+$J$3)/86400)+(J2363&lt;&gt;"")*(J2363&lt;=($M$3*60+$N$3)/86400)</f>
        <v>0</v>
      </c>
      <c r="N2363" s="20"/>
      <c r="O2363" s="20"/>
      <c r="P2363" s="20"/>
      <c r="Q2363" s="19"/>
    </row>
    <row r="2364" customFormat="false" ht="15" hidden="false" customHeight="false" outlineLevel="0" collapsed="false">
      <c r="A2364" s="10" t="n">
        <v>2358</v>
      </c>
      <c r="B2364" s="12" t="s">
        <v>3632</v>
      </c>
      <c r="C2364" s="12" t="s">
        <v>94</v>
      </c>
      <c r="D2364" s="13"/>
      <c r="E2364" s="14"/>
      <c r="F2364" s="15" t="str">
        <f aca="false">IF(D2364="","",ROUND((D2364-MIN($D$7:$D$9999))*86400,2))</f>
        <v/>
      </c>
      <c r="G2364" s="10" t="str">
        <f aca="false">IF(D2364="","",IF(D2364&lt;=($E$3*60+$F$3)/86400,"○",""))</f>
        <v/>
      </c>
      <c r="H2364" s="16" t="n">
        <v>0.00775173611111111</v>
      </c>
      <c r="I2364" s="17" t="n">
        <v>1113</v>
      </c>
      <c r="J2364" s="16"/>
      <c r="K2364" s="17"/>
      <c r="L2364" s="17" t="n">
        <f aca="false">COUNT(E2364,I2364,K2364)</f>
        <v>1</v>
      </c>
      <c r="M2364" s="18" t="n">
        <f aca="false">(D2364&lt;&gt;"")*(D2364&lt;=($E$3*60+$F$3)/86400)+(H2364&lt;&gt;"")*(H2364&lt;=($I$3*60+$J$3)/86400)+(J2364&lt;&gt;"")*(J2364&lt;=($M$3*60+$N$3)/86400)</f>
        <v>0</v>
      </c>
      <c r="N2364" s="20"/>
      <c r="O2364" s="20"/>
      <c r="P2364" s="20"/>
      <c r="Q2364" s="19"/>
    </row>
    <row r="2365" customFormat="false" ht="15" hidden="false" customHeight="false" outlineLevel="0" collapsed="false">
      <c r="A2365" s="10" t="n">
        <v>2359</v>
      </c>
      <c r="B2365" s="12" t="s">
        <v>3633</v>
      </c>
      <c r="C2365" s="12" t="s">
        <v>2318</v>
      </c>
      <c r="D2365" s="13"/>
      <c r="E2365" s="14"/>
      <c r="F2365" s="15" t="str">
        <f aca="false">IF(D2365="","",ROUND((D2365-MIN($D$7:$D$9999))*86400,2))</f>
        <v/>
      </c>
      <c r="G2365" s="10" t="str">
        <f aca="false">IF(D2365="","",IF(D2365&lt;=($E$3*60+$F$3)/86400,"○",""))</f>
        <v/>
      </c>
      <c r="H2365" s="16" t="n">
        <v>0.00775231481481481</v>
      </c>
      <c r="I2365" s="17" t="n">
        <v>1114</v>
      </c>
      <c r="J2365" s="16"/>
      <c r="K2365" s="17"/>
      <c r="L2365" s="17" t="n">
        <f aca="false">COUNT(E2365,I2365,K2365)</f>
        <v>1</v>
      </c>
      <c r="M2365" s="18" t="n">
        <f aca="false">(D2365&lt;&gt;"")*(D2365&lt;=($E$3*60+$F$3)/86400)+(H2365&lt;&gt;"")*(H2365&lt;=($I$3*60+$J$3)/86400)+(J2365&lt;&gt;"")*(J2365&lt;=($M$3*60+$N$3)/86400)</f>
        <v>0</v>
      </c>
      <c r="N2365" s="20" t="s">
        <v>3634</v>
      </c>
      <c r="O2365" s="20"/>
      <c r="P2365" s="20"/>
      <c r="Q2365" s="19"/>
    </row>
    <row r="2366" customFormat="false" ht="15" hidden="false" customHeight="false" outlineLevel="0" collapsed="false">
      <c r="A2366" s="10" t="n">
        <v>2360</v>
      </c>
      <c r="B2366" s="12" t="s">
        <v>3635</v>
      </c>
      <c r="C2366" s="12" t="s">
        <v>3636</v>
      </c>
      <c r="D2366" s="13"/>
      <c r="E2366" s="14"/>
      <c r="F2366" s="15" t="str">
        <f aca="false">IF(D2366="","",ROUND((D2366-MIN($D$7:$D$9999))*86400,2))</f>
        <v/>
      </c>
      <c r="G2366" s="10" t="str">
        <f aca="false">IF(D2366="","",IF(D2366&lt;=($E$3*60+$F$3)/86400,"○",""))</f>
        <v/>
      </c>
      <c r="H2366" s="16" t="n">
        <v>0.00775266203703704</v>
      </c>
      <c r="I2366" s="17" t="n">
        <v>1115</v>
      </c>
      <c r="J2366" s="16"/>
      <c r="K2366" s="17"/>
      <c r="L2366" s="17" t="n">
        <f aca="false">COUNT(E2366,I2366,K2366)</f>
        <v>1</v>
      </c>
      <c r="M2366" s="18" t="n">
        <f aca="false">(D2366&lt;&gt;"")*(D2366&lt;=($E$3*60+$F$3)/86400)+(H2366&lt;&gt;"")*(H2366&lt;=($I$3*60+$J$3)/86400)+(J2366&lt;&gt;"")*(J2366&lt;=($M$3*60+$N$3)/86400)</f>
        <v>0</v>
      </c>
      <c r="N2366" s="20"/>
      <c r="O2366" s="20"/>
      <c r="P2366" s="20"/>
      <c r="Q2366" s="19"/>
    </row>
    <row r="2367" customFormat="false" ht="15" hidden="false" customHeight="false" outlineLevel="0" collapsed="false">
      <c r="A2367" s="10" t="n">
        <v>2361</v>
      </c>
      <c r="B2367" s="12" t="s">
        <v>3637</v>
      </c>
      <c r="C2367" s="12" t="s">
        <v>2720</v>
      </c>
      <c r="D2367" s="13"/>
      <c r="E2367" s="14"/>
      <c r="F2367" s="15" t="str">
        <f aca="false">IF(D2367="","",ROUND((D2367-MIN($D$7:$D$9999))*86400,2))</f>
        <v/>
      </c>
      <c r="G2367" s="10" t="str">
        <f aca="false">IF(D2367="","",IF(D2367&lt;=($E$3*60+$F$3)/86400,"○",""))</f>
        <v/>
      </c>
      <c r="H2367" s="16" t="n">
        <v>0.00775324074074074</v>
      </c>
      <c r="I2367" s="17" t="n">
        <v>1116</v>
      </c>
      <c r="J2367" s="16"/>
      <c r="K2367" s="17"/>
      <c r="L2367" s="17" t="n">
        <f aca="false">COUNT(E2367,I2367,K2367)</f>
        <v>1</v>
      </c>
      <c r="M2367" s="18" t="n">
        <f aca="false">(D2367&lt;&gt;"")*(D2367&lt;=($E$3*60+$F$3)/86400)+(H2367&lt;&gt;"")*(H2367&lt;=($I$3*60+$J$3)/86400)+(J2367&lt;&gt;"")*(J2367&lt;=($M$3*60+$N$3)/86400)</f>
        <v>0</v>
      </c>
      <c r="N2367" s="20"/>
      <c r="O2367" s="20"/>
      <c r="P2367" s="20"/>
      <c r="Q2367" s="19"/>
    </row>
    <row r="2368" customFormat="false" ht="15" hidden="false" customHeight="false" outlineLevel="0" collapsed="false">
      <c r="A2368" s="10" t="n">
        <v>2362</v>
      </c>
      <c r="B2368" s="12" t="s">
        <v>3638</v>
      </c>
      <c r="C2368" s="12" t="s">
        <v>486</v>
      </c>
      <c r="D2368" s="13"/>
      <c r="E2368" s="14"/>
      <c r="F2368" s="15" t="str">
        <f aca="false">IF(D2368="","",ROUND((D2368-MIN($D$7:$D$9999))*86400,2))</f>
        <v/>
      </c>
      <c r="G2368" s="10" t="str">
        <f aca="false">IF(D2368="","",IF(D2368&lt;=($E$3*60+$F$3)/86400,"○",""))</f>
        <v/>
      </c>
      <c r="H2368" s="16" t="n">
        <v>0.00775659722222222</v>
      </c>
      <c r="I2368" s="17" t="n">
        <v>1117</v>
      </c>
      <c r="J2368" s="16"/>
      <c r="K2368" s="17"/>
      <c r="L2368" s="17" t="n">
        <f aca="false">COUNT(E2368,I2368,K2368)</f>
        <v>1</v>
      </c>
      <c r="M2368" s="18" t="n">
        <f aca="false">(D2368&lt;&gt;"")*(D2368&lt;=($E$3*60+$F$3)/86400)+(H2368&lt;&gt;"")*(H2368&lt;=($I$3*60+$J$3)/86400)+(J2368&lt;&gt;"")*(J2368&lt;=($M$3*60+$N$3)/86400)</f>
        <v>0</v>
      </c>
      <c r="N2368" s="20"/>
      <c r="O2368" s="20"/>
      <c r="P2368" s="20"/>
      <c r="Q2368" s="19"/>
    </row>
    <row r="2369" customFormat="false" ht="15" hidden="false" customHeight="false" outlineLevel="0" collapsed="false">
      <c r="A2369" s="10" t="n">
        <v>2363</v>
      </c>
      <c r="B2369" s="12" t="s">
        <v>3639</v>
      </c>
      <c r="C2369" s="12" t="s">
        <v>297</v>
      </c>
      <c r="D2369" s="13"/>
      <c r="E2369" s="14"/>
      <c r="F2369" s="15" t="str">
        <f aca="false">IF(D2369="","",ROUND((D2369-MIN($D$7:$D$9999))*86400,2))</f>
        <v/>
      </c>
      <c r="G2369" s="10" t="str">
        <f aca="false">IF(D2369="","",IF(D2369&lt;=($E$3*60+$F$3)/86400,"○",""))</f>
        <v/>
      </c>
      <c r="H2369" s="16"/>
      <c r="I2369" s="17"/>
      <c r="J2369" s="16" t="n">
        <v>0.00292233796296296</v>
      </c>
      <c r="K2369" s="17" t="n">
        <v>1117</v>
      </c>
      <c r="L2369" s="17" t="n">
        <f aca="false">COUNT(E2369,I2369,K2369)</f>
        <v>1</v>
      </c>
      <c r="M2369" s="18" t="n">
        <f aca="false">(D2369&lt;&gt;"")*(D2369&lt;=($E$3*60+$F$3)/86400)+(H2369&lt;&gt;"")*(H2369&lt;=($I$3*60+$J$3)/86400)+(J2369&lt;&gt;"")*(J2369&lt;=($M$3*60+$N$3)/86400)</f>
        <v>0</v>
      </c>
      <c r="N2369" s="20"/>
      <c r="O2369" s="20"/>
      <c r="P2369" s="20"/>
      <c r="Q2369" s="19"/>
    </row>
    <row r="2370" customFormat="false" ht="15" hidden="false" customHeight="false" outlineLevel="0" collapsed="false">
      <c r="A2370" s="10" t="n">
        <v>2364</v>
      </c>
      <c r="B2370" s="12" t="s">
        <v>3640</v>
      </c>
      <c r="C2370" s="12" t="s">
        <v>348</v>
      </c>
      <c r="D2370" s="13"/>
      <c r="E2370" s="14"/>
      <c r="F2370" s="15" t="str">
        <f aca="false">IF(D2370="","",ROUND((D2370-MIN($D$7:$D$9999))*86400,2))</f>
        <v/>
      </c>
      <c r="G2370" s="10" t="str">
        <f aca="false">IF(D2370="","",IF(D2370&lt;=($E$3*60+$F$3)/86400,"○",""))</f>
        <v/>
      </c>
      <c r="H2370" s="16" t="n">
        <v>0.00775763888888889</v>
      </c>
      <c r="I2370" s="17" t="n">
        <v>1118</v>
      </c>
      <c r="J2370" s="16"/>
      <c r="K2370" s="17"/>
      <c r="L2370" s="17" t="n">
        <f aca="false">COUNT(E2370,I2370,K2370)</f>
        <v>1</v>
      </c>
      <c r="M2370" s="18" t="n">
        <f aca="false">(D2370&lt;&gt;"")*(D2370&lt;=($E$3*60+$F$3)/86400)+(H2370&lt;&gt;"")*(H2370&lt;=($I$3*60+$J$3)/86400)+(J2370&lt;&gt;"")*(J2370&lt;=($M$3*60+$N$3)/86400)</f>
        <v>0</v>
      </c>
      <c r="N2370" s="20"/>
      <c r="O2370" s="20"/>
      <c r="P2370" s="20"/>
      <c r="Q2370" s="19"/>
    </row>
    <row r="2371" customFormat="false" ht="15" hidden="false" customHeight="false" outlineLevel="0" collapsed="false">
      <c r="A2371" s="10" t="n">
        <v>2365</v>
      </c>
      <c r="B2371" s="12" t="s">
        <v>3641</v>
      </c>
      <c r="C2371" s="12" t="s">
        <v>3642</v>
      </c>
      <c r="D2371" s="13"/>
      <c r="E2371" s="14"/>
      <c r="F2371" s="15" t="str">
        <f aca="false">IF(D2371="","",ROUND((D2371-MIN($D$7:$D$9999))*86400,2))</f>
        <v/>
      </c>
      <c r="G2371" s="10" t="str">
        <f aca="false">IF(D2371="","",IF(D2371&lt;=($E$3*60+$F$3)/86400,"○",""))</f>
        <v/>
      </c>
      <c r="H2371" s="16"/>
      <c r="I2371" s="17"/>
      <c r="J2371" s="16" t="n">
        <v>0.00292233796296296</v>
      </c>
      <c r="K2371" s="17" t="n">
        <v>1118</v>
      </c>
      <c r="L2371" s="17" t="n">
        <f aca="false">COUNT(E2371,I2371,K2371)</f>
        <v>1</v>
      </c>
      <c r="M2371" s="18" t="n">
        <f aca="false">(D2371&lt;&gt;"")*(D2371&lt;=($E$3*60+$F$3)/86400)+(H2371&lt;&gt;"")*(H2371&lt;=($I$3*60+$J$3)/86400)+(J2371&lt;&gt;"")*(J2371&lt;=($M$3*60+$N$3)/86400)</f>
        <v>0</v>
      </c>
      <c r="N2371" s="20"/>
      <c r="O2371" s="20"/>
      <c r="P2371" s="20"/>
      <c r="Q2371" s="19"/>
    </row>
    <row r="2372" customFormat="false" ht="15" hidden="false" customHeight="false" outlineLevel="0" collapsed="false">
      <c r="A2372" s="10" t="n">
        <v>2366</v>
      </c>
      <c r="B2372" s="12" t="s">
        <v>3643</v>
      </c>
      <c r="C2372" s="12" t="s">
        <v>3644</v>
      </c>
      <c r="D2372" s="13"/>
      <c r="E2372" s="14"/>
      <c r="F2372" s="15" t="str">
        <f aca="false">IF(D2372="","",ROUND((D2372-MIN($D$7:$D$9999))*86400,2))</f>
        <v/>
      </c>
      <c r="G2372" s="10" t="str">
        <f aca="false">IF(D2372="","",IF(D2372&lt;=($E$3*60+$F$3)/86400,"○",""))</f>
        <v/>
      </c>
      <c r="H2372" s="16" t="n">
        <v>0.00775833333333333</v>
      </c>
      <c r="I2372" s="17" t="n">
        <v>1119</v>
      </c>
      <c r="J2372" s="16"/>
      <c r="K2372" s="17"/>
      <c r="L2372" s="17" t="n">
        <f aca="false">COUNT(E2372,I2372,K2372)</f>
        <v>1</v>
      </c>
      <c r="M2372" s="18" t="n">
        <f aca="false">(D2372&lt;&gt;"")*(D2372&lt;=($E$3*60+$F$3)/86400)+(H2372&lt;&gt;"")*(H2372&lt;=($I$3*60+$J$3)/86400)+(J2372&lt;&gt;"")*(J2372&lt;=($M$3*60+$N$3)/86400)</f>
        <v>0</v>
      </c>
      <c r="N2372" s="20"/>
      <c r="O2372" s="20"/>
      <c r="P2372" s="20"/>
      <c r="Q2372" s="19"/>
    </row>
    <row r="2373" customFormat="false" ht="15" hidden="false" customHeight="false" outlineLevel="0" collapsed="false">
      <c r="A2373" s="10" t="n">
        <v>2367</v>
      </c>
      <c r="B2373" s="12" t="s">
        <v>3645</v>
      </c>
      <c r="C2373" s="12" t="s">
        <v>3646</v>
      </c>
      <c r="D2373" s="13"/>
      <c r="E2373" s="14"/>
      <c r="F2373" s="15" t="str">
        <f aca="false">IF(D2373="","",ROUND((D2373-MIN($D$7:$D$9999))*86400,2))</f>
        <v/>
      </c>
      <c r="G2373" s="10" t="str">
        <f aca="false">IF(D2373="","",IF(D2373&lt;=($E$3*60+$F$3)/86400,"○",""))</f>
        <v/>
      </c>
      <c r="H2373" s="16" t="n">
        <v>0.00776018518518519</v>
      </c>
      <c r="I2373" s="17" t="n">
        <v>1120</v>
      </c>
      <c r="J2373" s="16"/>
      <c r="K2373" s="17"/>
      <c r="L2373" s="17" t="n">
        <f aca="false">COUNT(E2373,I2373,K2373)</f>
        <v>1</v>
      </c>
      <c r="M2373" s="18" t="n">
        <f aca="false">(D2373&lt;&gt;"")*(D2373&lt;=($E$3*60+$F$3)/86400)+(H2373&lt;&gt;"")*(H2373&lt;=($I$3*60+$J$3)/86400)+(J2373&lt;&gt;"")*(J2373&lt;=($M$3*60+$N$3)/86400)</f>
        <v>0</v>
      </c>
      <c r="N2373" s="20"/>
      <c r="O2373" s="20"/>
      <c r="P2373" s="20"/>
      <c r="Q2373" s="19"/>
    </row>
    <row r="2374" customFormat="false" ht="15" hidden="false" customHeight="false" outlineLevel="0" collapsed="false">
      <c r="A2374" s="10" t="n">
        <v>2368</v>
      </c>
      <c r="B2374" s="12" t="s">
        <v>3647</v>
      </c>
      <c r="C2374" s="12" t="s">
        <v>3648</v>
      </c>
      <c r="D2374" s="13"/>
      <c r="E2374" s="14"/>
      <c r="F2374" s="15" t="str">
        <f aca="false">IF(D2374="","",ROUND((D2374-MIN($D$7:$D$9999))*86400,2))</f>
        <v/>
      </c>
      <c r="G2374" s="10" t="str">
        <f aca="false">IF(D2374="","",IF(D2374&lt;=($E$3*60+$F$3)/86400,"○",""))</f>
        <v/>
      </c>
      <c r="H2374" s="16"/>
      <c r="I2374" s="17"/>
      <c r="J2374" s="16" t="n">
        <v>0.00292256944444444</v>
      </c>
      <c r="K2374" s="17" t="n">
        <v>1120</v>
      </c>
      <c r="L2374" s="17" t="n">
        <f aca="false">COUNT(E2374,I2374,K2374)</f>
        <v>1</v>
      </c>
      <c r="M2374" s="18" t="n">
        <f aca="false">(D2374&lt;&gt;"")*(D2374&lt;=($E$3*60+$F$3)/86400)+(H2374&lt;&gt;"")*(H2374&lt;=($I$3*60+$J$3)/86400)+(J2374&lt;&gt;"")*(J2374&lt;=($M$3*60+$N$3)/86400)</f>
        <v>0</v>
      </c>
      <c r="N2374" s="20"/>
      <c r="O2374" s="20"/>
      <c r="P2374" s="20"/>
      <c r="Q2374" s="19"/>
    </row>
    <row r="2375" customFormat="false" ht="15" hidden="false" customHeight="false" outlineLevel="0" collapsed="false">
      <c r="A2375" s="10" t="n">
        <v>2369</v>
      </c>
      <c r="B2375" s="12" t="s">
        <v>3649</v>
      </c>
      <c r="C2375" s="12" t="s">
        <v>3650</v>
      </c>
      <c r="D2375" s="13"/>
      <c r="E2375" s="14"/>
      <c r="F2375" s="15" t="str">
        <f aca="false">IF(D2375="","",ROUND((D2375-MIN($D$7:$D$9999))*86400,2))</f>
        <v/>
      </c>
      <c r="G2375" s="10" t="str">
        <f aca="false">IF(D2375="","",IF(D2375&lt;=($E$3*60+$F$3)/86400,"○",""))</f>
        <v/>
      </c>
      <c r="H2375" s="16" t="n">
        <v>0.00776076388888889</v>
      </c>
      <c r="I2375" s="17" t="n">
        <v>1121</v>
      </c>
      <c r="J2375" s="16"/>
      <c r="K2375" s="17"/>
      <c r="L2375" s="17" t="n">
        <f aca="false">COUNT(E2375,I2375,K2375)</f>
        <v>1</v>
      </c>
      <c r="M2375" s="18" t="n">
        <f aca="false">(D2375&lt;&gt;"")*(D2375&lt;=($E$3*60+$F$3)/86400)+(H2375&lt;&gt;"")*(H2375&lt;=($I$3*60+$J$3)/86400)+(J2375&lt;&gt;"")*(J2375&lt;=($M$3*60+$N$3)/86400)</f>
        <v>0</v>
      </c>
      <c r="N2375" s="20"/>
      <c r="O2375" s="20"/>
      <c r="P2375" s="20"/>
      <c r="Q2375" s="19"/>
    </row>
    <row r="2376" customFormat="false" ht="15" hidden="false" customHeight="false" outlineLevel="0" collapsed="false">
      <c r="A2376" s="10" t="n">
        <v>2370</v>
      </c>
      <c r="B2376" s="12" t="s">
        <v>3651</v>
      </c>
      <c r="C2376" s="12" t="s">
        <v>3652</v>
      </c>
      <c r="D2376" s="13"/>
      <c r="E2376" s="14"/>
      <c r="F2376" s="15" t="str">
        <f aca="false">IF(D2376="","",ROUND((D2376-MIN($D$7:$D$9999))*86400,2))</f>
        <v/>
      </c>
      <c r="G2376" s="10" t="str">
        <f aca="false">IF(D2376="","",IF(D2376&lt;=($E$3*60+$F$3)/86400,"○",""))</f>
        <v/>
      </c>
      <c r="H2376" s="16"/>
      <c r="I2376" s="17"/>
      <c r="J2376" s="16" t="n">
        <v>0.00292256944444444</v>
      </c>
      <c r="K2376" s="17" t="n">
        <v>1121</v>
      </c>
      <c r="L2376" s="17" t="n">
        <f aca="false">COUNT(E2376,I2376,K2376)</f>
        <v>1</v>
      </c>
      <c r="M2376" s="18" t="n">
        <f aca="false">(D2376&lt;&gt;"")*(D2376&lt;=($E$3*60+$F$3)/86400)+(H2376&lt;&gt;"")*(H2376&lt;=($I$3*60+$J$3)/86400)+(J2376&lt;&gt;"")*(J2376&lt;=($M$3*60+$N$3)/86400)</f>
        <v>0</v>
      </c>
      <c r="N2376" s="20"/>
      <c r="O2376" s="20"/>
      <c r="P2376" s="20"/>
      <c r="Q2376" s="19"/>
    </row>
    <row r="2377" customFormat="false" ht="15" hidden="false" customHeight="false" outlineLevel="0" collapsed="false">
      <c r="A2377" s="10" t="n">
        <v>2371</v>
      </c>
      <c r="B2377" s="12" t="s">
        <v>3653</v>
      </c>
      <c r="C2377" s="12" t="s">
        <v>2726</v>
      </c>
      <c r="D2377" s="13"/>
      <c r="E2377" s="14"/>
      <c r="F2377" s="15" t="str">
        <f aca="false">IF(D2377="","",ROUND((D2377-MIN($D$7:$D$9999))*86400,2))</f>
        <v/>
      </c>
      <c r="G2377" s="10" t="str">
        <f aca="false">IF(D2377="","",IF(D2377&lt;=($E$3*60+$F$3)/86400,"○",""))</f>
        <v/>
      </c>
      <c r="H2377" s="16" t="n">
        <v>0.00776111111111111</v>
      </c>
      <c r="I2377" s="17" t="n">
        <v>1122</v>
      </c>
      <c r="J2377" s="16"/>
      <c r="K2377" s="17"/>
      <c r="L2377" s="17" t="n">
        <f aca="false">COUNT(E2377,I2377,K2377)</f>
        <v>1</v>
      </c>
      <c r="M2377" s="18" t="n">
        <f aca="false">(D2377&lt;&gt;"")*(D2377&lt;=($E$3*60+$F$3)/86400)+(H2377&lt;&gt;"")*(H2377&lt;=($I$3*60+$J$3)/86400)+(J2377&lt;&gt;"")*(J2377&lt;=($M$3*60+$N$3)/86400)</f>
        <v>0</v>
      </c>
      <c r="N2377" s="20"/>
      <c r="O2377" s="20"/>
      <c r="P2377" s="20"/>
      <c r="Q2377" s="19"/>
    </row>
    <row r="2378" customFormat="false" ht="15" hidden="false" customHeight="false" outlineLevel="0" collapsed="false">
      <c r="A2378" s="10" t="n">
        <v>2372</v>
      </c>
      <c r="B2378" s="12" t="s">
        <v>3654</v>
      </c>
      <c r="C2378" s="12" t="s">
        <v>3655</v>
      </c>
      <c r="D2378" s="13"/>
      <c r="E2378" s="14"/>
      <c r="F2378" s="15" t="str">
        <f aca="false">IF(D2378="","",ROUND((D2378-MIN($D$7:$D$9999))*86400,2))</f>
        <v/>
      </c>
      <c r="G2378" s="10" t="str">
        <f aca="false">IF(D2378="","",IF(D2378&lt;=($E$3*60+$F$3)/86400,"○",""))</f>
        <v/>
      </c>
      <c r="H2378" s="16"/>
      <c r="I2378" s="17"/>
      <c r="J2378" s="16" t="n">
        <v>0.00292256944444444</v>
      </c>
      <c r="K2378" s="17" t="n">
        <v>1122</v>
      </c>
      <c r="L2378" s="17" t="n">
        <f aca="false">COUNT(E2378,I2378,K2378)</f>
        <v>1</v>
      </c>
      <c r="M2378" s="18" t="n">
        <f aca="false">(D2378&lt;&gt;"")*(D2378&lt;=($E$3*60+$F$3)/86400)+(H2378&lt;&gt;"")*(H2378&lt;=($I$3*60+$J$3)/86400)+(J2378&lt;&gt;"")*(J2378&lt;=($M$3*60+$N$3)/86400)</f>
        <v>0</v>
      </c>
      <c r="N2378" s="20"/>
      <c r="O2378" s="20"/>
      <c r="P2378" s="20"/>
      <c r="Q2378" s="19"/>
    </row>
    <row r="2379" customFormat="false" ht="15" hidden="false" customHeight="false" outlineLevel="0" collapsed="false">
      <c r="A2379" s="10" t="n">
        <v>2373</v>
      </c>
      <c r="B2379" s="12" t="s">
        <v>3656</v>
      </c>
      <c r="C2379" s="12" t="s">
        <v>3657</v>
      </c>
      <c r="D2379" s="13"/>
      <c r="E2379" s="14"/>
      <c r="F2379" s="15" t="str">
        <f aca="false">IF(D2379="","",ROUND((D2379-MIN($D$7:$D$9999))*86400,2))</f>
        <v/>
      </c>
      <c r="G2379" s="10" t="str">
        <f aca="false">IF(D2379="","",IF(D2379&lt;=($E$3*60+$F$3)/86400,"○",""))</f>
        <v/>
      </c>
      <c r="H2379" s="16" t="n">
        <v>0.00776539351851852</v>
      </c>
      <c r="I2379" s="17" t="n">
        <v>1123</v>
      </c>
      <c r="J2379" s="16"/>
      <c r="K2379" s="17"/>
      <c r="L2379" s="17" t="n">
        <f aca="false">COUNT(E2379,I2379,K2379)</f>
        <v>1</v>
      </c>
      <c r="M2379" s="18" t="n">
        <f aca="false">(D2379&lt;&gt;"")*(D2379&lt;=($E$3*60+$F$3)/86400)+(H2379&lt;&gt;"")*(H2379&lt;=($I$3*60+$J$3)/86400)+(J2379&lt;&gt;"")*(J2379&lt;=($M$3*60+$N$3)/86400)</f>
        <v>0</v>
      </c>
      <c r="N2379" s="20"/>
      <c r="O2379" s="20"/>
      <c r="P2379" s="20"/>
      <c r="Q2379" s="19"/>
    </row>
    <row r="2380" customFormat="false" ht="15" hidden="false" customHeight="false" outlineLevel="0" collapsed="false">
      <c r="A2380" s="10" t="n">
        <v>2374</v>
      </c>
      <c r="B2380" s="12" t="s">
        <v>3658</v>
      </c>
      <c r="C2380" s="12" t="s">
        <v>3659</v>
      </c>
      <c r="D2380" s="13"/>
      <c r="E2380" s="14"/>
      <c r="F2380" s="15" t="str">
        <f aca="false">IF(D2380="","",ROUND((D2380-MIN($D$7:$D$9999))*86400,2))</f>
        <v/>
      </c>
      <c r="G2380" s="10" t="str">
        <f aca="false">IF(D2380="","",IF(D2380&lt;=($E$3*60+$F$3)/86400,"○",""))</f>
        <v/>
      </c>
      <c r="H2380" s="16" t="n">
        <v>0.00776585648148148</v>
      </c>
      <c r="I2380" s="17" t="n">
        <v>1124</v>
      </c>
      <c r="J2380" s="16"/>
      <c r="K2380" s="17"/>
      <c r="L2380" s="17" t="n">
        <f aca="false">COUNT(E2380,I2380,K2380)</f>
        <v>1</v>
      </c>
      <c r="M2380" s="18" t="n">
        <f aca="false">(D2380&lt;&gt;"")*(D2380&lt;=($E$3*60+$F$3)/86400)+(H2380&lt;&gt;"")*(H2380&lt;=($I$3*60+$J$3)/86400)+(J2380&lt;&gt;"")*(J2380&lt;=($M$3*60+$N$3)/86400)</f>
        <v>0</v>
      </c>
      <c r="N2380" s="20"/>
      <c r="O2380" s="20"/>
      <c r="P2380" s="20"/>
      <c r="Q2380" s="19"/>
    </row>
    <row r="2381" customFormat="false" ht="15" hidden="false" customHeight="false" outlineLevel="0" collapsed="false">
      <c r="A2381" s="10" t="n">
        <v>2375</v>
      </c>
      <c r="B2381" s="12" t="s">
        <v>3660</v>
      </c>
      <c r="C2381" s="12" t="s">
        <v>3661</v>
      </c>
      <c r="D2381" s="13"/>
      <c r="E2381" s="14"/>
      <c r="F2381" s="15" t="str">
        <f aca="false">IF(D2381="","",ROUND((D2381-MIN($D$7:$D$9999))*86400,2))</f>
        <v/>
      </c>
      <c r="G2381" s="10" t="str">
        <f aca="false">IF(D2381="","",IF(D2381&lt;=($E$3*60+$F$3)/86400,"○",""))</f>
        <v/>
      </c>
      <c r="H2381" s="16" t="n">
        <v>0.00776747685185185</v>
      </c>
      <c r="I2381" s="17" t="n">
        <v>1125</v>
      </c>
      <c r="J2381" s="16"/>
      <c r="K2381" s="17"/>
      <c r="L2381" s="17" t="n">
        <f aca="false">COUNT(E2381,I2381,K2381)</f>
        <v>1</v>
      </c>
      <c r="M2381" s="18" t="n">
        <f aca="false">(D2381&lt;&gt;"")*(D2381&lt;=($E$3*60+$F$3)/86400)+(H2381&lt;&gt;"")*(H2381&lt;=($I$3*60+$J$3)/86400)+(J2381&lt;&gt;"")*(J2381&lt;=($M$3*60+$N$3)/86400)</f>
        <v>0</v>
      </c>
      <c r="N2381" s="20"/>
      <c r="O2381" s="20"/>
      <c r="P2381" s="20"/>
      <c r="Q2381" s="19"/>
    </row>
    <row r="2382" customFormat="false" ht="15" hidden="false" customHeight="false" outlineLevel="0" collapsed="false">
      <c r="A2382" s="10" t="n">
        <v>2376</v>
      </c>
      <c r="B2382" s="12" t="s">
        <v>3662</v>
      </c>
      <c r="C2382" s="12" t="s">
        <v>1692</v>
      </c>
      <c r="D2382" s="13"/>
      <c r="E2382" s="14"/>
      <c r="F2382" s="15" t="str">
        <f aca="false">IF(D2382="","",ROUND((D2382-MIN($D$7:$D$9999))*86400,2))</f>
        <v/>
      </c>
      <c r="G2382" s="10" t="str">
        <f aca="false">IF(D2382="","",IF(D2382&lt;=($E$3*60+$F$3)/86400,"○",""))</f>
        <v/>
      </c>
      <c r="H2382" s="16"/>
      <c r="I2382" s="17"/>
      <c r="J2382" s="16" t="n">
        <v>0.00292303240740741</v>
      </c>
      <c r="K2382" s="17" t="n">
        <v>1125</v>
      </c>
      <c r="L2382" s="17" t="n">
        <f aca="false">COUNT(E2382,I2382,K2382)</f>
        <v>1</v>
      </c>
      <c r="M2382" s="18" t="n">
        <f aca="false">(D2382&lt;&gt;"")*(D2382&lt;=($E$3*60+$F$3)/86400)+(H2382&lt;&gt;"")*(H2382&lt;=($I$3*60+$J$3)/86400)+(J2382&lt;&gt;"")*(J2382&lt;=($M$3*60+$N$3)/86400)</f>
        <v>0</v>
      </c>
      <c r="N2382" s="20"/>
      <c r="O2382" s="20"/>
      <c r="P2382" s="20"/>
      <c r="Q2382" s="19"/>
    </row>
    <row r="2383" customFormat="false" ht="15" hidden="false" customHeight="false" outlineLevel="0" collapsed="false">
      <c r="A2383" s="10" t="n">
        <v>2377</v>
      </c>
      <c r="B2383" s="12" t="s">
        <v>3663</v>
      </c>
      <c r="C2383" s="12" t="s">
        <v>3232</v>
      </c>
      <c r="D2383" s="13"/>
      <c r="E2383" s="14"/>
      <c r="F2383" s="15" t="str">
        <f aca="false">IF(D2383="","",ROUND((D2383-MIN($D$7:$D$9999))*86400,2))</f>
        <v/>
      </c>
      <c r="G2383" s="10" t="str">
        <f aca="false">IF(D2383="","",IF(D2383&lt;=($E$3*60+$F$3)/86400,"○",""))</f>
        <v/>
      </c>
      <c r="H2383" s="16" t="n">
        <v>0.00776770833333333</v>
      </c>
      <c r="I2383" s="17" t="n">
        <v>1126</v>
      </c>
      <c r="J2383" s="16"/>
      <c r="K2383" s="17"/>
      <c r="L2383" s="17" t="n">
        <f aca="false">COUNT(E2383,I2383,K2383)</f>
        <v>1</v>
      </c>
      <c r="M2383" s="18" t="n">
        <f aca="false">(D2383&lt;&gt;"")*(D2383&lt;=($E$3*60+$F$3)/86400)+(H2383&lt;&gt;"")*(H2383&lt;=($I$3*60+$J$3)/86400)+(J2383&lt;&gt;"")*(J2383&lt;=($M$3*60+$N$3)/86400)</f>
        <v>0</v>
      </c>
      <c r="N2383" s="20"/>
      <c r="O2383" s="20"/>
      <c r="P2383" s="20"/>
      <c r="Q2383" s="19"/>
    </row>
    <row r="2384" customFormat="false" ht="15" hidden="false" customHeight="false" outlineLevel="0" collapsed="false">
      <c r="A2384" s="10" t="n">
        <v>2378</v>
      </c>
      <c r="B2384" s="12" t="s">
        <v>3664</v>
      </c>
      <c r="C2384" s="12" t="s">
        <v>619</v>
      </c>
      <c r="D2384" s="13"/>
      <c r="E2384" s="14"/>
      <c r="F2384" s="15" t="str">
        <f aca="false">IF(D2384="","",ROUND((D2384-MIN($D$7:$D$9999))*86400,2))</f>
        <v/>
      </c>
      <c r="G2384" s="10" t="str">
        <f aca="false">IF(D2384="","",IF(D2384&lt;=($E$3*60+$F$3)/86400,"○",""))</f>
        <v/>
      </c>
      <c r="H2384" s="16"/>
      <c r="I2384" s="17"/>
      <c r="J2384" s="16" t="n">
        <v>0.00292314814814815</v>
      </c>
      <c r="K2384" s="17" t="n">
        <v>1127</v>
      </c>
      <c r="L2384" s="17" t="n">
        <f aca="false">COUNT(E2384,I2384,K2384)</f>
        <v>1</v>
      </c>
      <c r="M2384" s="18" t="n">
        <f aca="false">(D2384&lt;&gt;"")*(D2384&lt;=($E$3*60+$F$3)/86400)+(H2384&lt;&gt;"")*(H2384&lt;=($I$3*60+$J$3)/86400)+(J2384&lt;&gt;"")*(J2384&lt;=($M$3*60+$N$3)/86400)</f>
        <v>0</v>
      </c>
      <c r="N2384" s="20"/>
      <c r="O2384" s="20"/>
      <c r="P2384" s="20"/>
      <c r="Q2384" s="19"/>
    </row>
    <row r="2385" customFormat="false" ht="15" hidden="false" customHeight="false" outlineLevel="0" collapsed="false">
      <c r="A2385" s="10" t="n">
        <v>2379</v>
      </c>
      <c r="B2385" s="12" t="s">
        <v>3665</v>
      </c>
      <c r="C2385" s="12" t="s">
        <v>2923</v>
      </c>
      <c r="D2385" s="13"/>
      <c r="E2385" s="14"/>
      <c r="F2385" s="15" t="str">
        <f aca="false">IF(D2385="","",ROUND((D2385-MIN($D$7:$D$9999))*86400,2))</f>
        <v/>
      </c>
      <c r="G2385" s="10" t="str">
        <f aca="false">IF(D2385="","",IF(D2385&lt;=($E$3*60+$F$3)/86400,"○",""))</f>
        <v/>
      </c>
      <c r="H2385" s="16" t="n">
        <v>0.00777604166666667</v>
      </c>
      <c r="I2385" s="17" t="n">
        <v>1128</v>
      </c>
      <c r="J2385" s="16"/>
      <c r="K2385" s="17"/>
      <c r="L2385" s="17" t="n">
        <f aca="false">COUNT(E2385,I2385,K2385)</f>
        <v>1</v>
      </c>
      <c r="M2385" s="18" t="n">
        <f aca="false">(D2385&lt;&gt;"")*(D2385&lt;=($E$3*60+$F$3)/86400)+(H2385&lt;&gt;"")*(H2385&lt;=($I$3*60+$J$3)/86400)+(J2385&lt;&gt;"")*(J2385&lt;=($M$3*60+$N$3)/86400)</f>
        <v>0</v>
      </c>
      <c r="N2385" s="20"/>
      <c r="O2385" s="20"/>
      <c r="P2385" s="20"/>
      <c r="Q2385" s="19"/>
    </row>
    <row r="2386" customFormat="false" ht="15" hidden="false" customHeight="false" outlineLevel="0" collapsed="false">
      <c r="A2386" s="10" t="n">
        <v>2380</v>
      </c>
      <c r="B2386" s="12" t="s">
        <v>3666</v>
      </c>
      <c r="C2386" s="12" t="s">
        <v>1071</v>
      </c>
      <c r="D2386" s="13"/>
      <c r="E2386" s="14"/>
      <c r="F2386" s="15" t="str">
        <f aca="false">IF(D2386="","",ROUND((D2386-MIN($D$7:$D$9999))*86400,2))</f>
        <v/>
      </c>
      <c r="G2386" s="10" t="str">
        <f aca="false">IF(D2386="","",IF(D2386&lt;=($E$3*60+$F$3)/86400,"○",""))</f>
        <v/>
      </c>
      <c r="H2386" s="16"/>
      <c r="I2386" s="17"/>
      <c r="J2386" s="16" t="n">
        <v>0.00292326388888889</v>
      </c>
      <c r="K2386" s="17" t="n">
        <v>1128</v>
      </c>
      <c r="L2386" s="17" t="n">
        <f aca="false">COUNT(E2386,I2386,K2386)</f>
        <v>1</v>
      </c>
      <c r="M2386" s="18" t="n">
        <f aca="false">(D2386&lt;&gt;"")*(D2386&lt;=($E$3*60+$F$3)/86400)+(H2386&lt;&gt;"")*(H2386&lt;=($I$3*60+$J$3)/86400)+(J2386&lt;&gt;"")*(J2386&lt;=($M$3*60+$N$3)/86400)</f>
        <v>0</v>
      </c>
      <c r="N2386" s="20"/>
      <c r="O2386" s="20"/>
      <c r="P2386" s="20"/>
      <c r="Q2386" s="19"/>
    </row>
    <row r="2387" customFormat="false" ht="15" hidden="false" customHeight="false" outlineLevel="0" collapsed="false">
      <c r="A2387" s="10" t="n">
        <v>2381</v>
      </c>
      <c r="B2387" s="12" t="s">
        <v>3667</v>
      </c>
      <c r="C2387" s="12" t="s">
        <v>3668</v>
      </c>
      <c r="D2387" s="13"/>
      <c r="E2387" s="14"/>
      <c r="F2387" s="15" t="str">
        <f aca="false">IF(D2387="","",ROUND((D2387-MIN($D$7:$D$9999))*86400,2))</f>
        <v/>
      </c>
      <c r="G2387" s="10" t="str">
        <f aca="false">IF(D2387="","",IF(D2387&lt;=($E$3*60+$F$3)/86400,"○",""))</f>
        <v/>
      </c>
      <c r="H2387" s="16" t="n">
        <v>0.00777962962962963</v>
      </c>
      <c r="I2387" s="17" t="n">
        <v>1129</v>
      </c>
      <c r="J2387" s="16"/>
      <c r="K2387" s="17"/>
      <c r="L2387" s="17" t="n">
        <f aca="false">COUNT(E2387,I2387,K2387)</f>
        <v>1</v>
      </c>
      <c r="M2387" s="18" t="n">
        <f aca="false">(D2387&lt;&gt;"")*(D2387&lt;=($E$3*60+$F$3)/86400)+(H2387&lt;&gt;"")*(H2387&lt;=($I$3*60+$J$3)/86400)+(J2387&lt;&gt;"")*(J2387&lt;=($M$3*60+$N$3)/86400)</f>
        <v>0</v>
      </c>
      <c r="N2387" s="20"/>
      <c r="O2387" s="20"/>
      <c r="P2387" s="20"/>
      <c r="Q2387" s="19"/>
    </row>
    <row r="2388" customFormat="false" ht="15" hidden="false" customHeight="false" outlineLevel="0" collapsed="false">
      <c r="A2388" s="10" t="n">
        <v>2382</v>
      </c>
      <c r="B2388" s="12" t="s">
        <v>3669</v>
      </c>
      <c r="C2388" s="12" t="s">
        <v>3670</v>
      </c>
      <c r="D2388" s="13"/>
      <c r="E2388" s="14"/>
      <c r="F2388" s="15" t="str">
        <f aca="false">IF(D2388="","",ROUND((D2388-MIN($D$7:$D$9999))*86400,2))</f>
        <v/>
      </c>
      <c r="G2388" s="10" t="str">
        <f aca="false">IF(D2388="","",IF(D2388&lt;=($E$3*60+$F$3)/86400,"○",""))</f>
        <v/>
      </c>
      <c r="H2388" s="16" t="n">
        <v>0.00778981481481482</v>
      </c>
      <c r="I2388" s="17" t="n">
        <v>1130</v>
      </c>
      <c r="J2388" s="16"/>
      <c r="K2388" s="17"/>
      <c r="L2388" s="17" t="n">
        <f aca="false">COUNT(E2388,I2388,K2388)</f>
        <v>1</v>
      </c>
      <c r="M2388" s="18" t="n">
        <f aca="false">(D2388&lt;&gt;"")*(D2388&lt;=($E$3*60+$F$3)/86400)+(H2388&lt;&gt;"")*(H2388&lt;=($I$3*60+$J$3)/86400)+(J2388&lt;&gt;"")*(J2388&lt;=($M$3*60+$N$3)/86400)</f>
        <v>0</v>
      </c>
      <c r="N2388" s="20"/>
      <c r="O2388" s="20"/>
      <c r="P2388" s="20"/>
      <c r="Q2388" s="19"/>
    </row>
    <row r="2389" customFormat="false" ht="15" hidden="false" customHeight="false" outlineLevel="0" collapsed="false">
      <c r="A2389" s="10" t="n">
        <v>2383</v>
      </c>
      <c r="B2389" s="12" t="s">
        <v>3671</v>
      </c>
      <c r="C2389" s="12" t="s">
        <v>3672</v>
      </c>
      <c r="D2389" s="13"/>
      <c r="E2389" s="14"/>
      <c r="F2389" s="15" t="str">
        <f aca="false">IF(D2389="","",ROUND((D2389-MIN($D$7:$D$9999))*86400,2))</f>
        <v/>
      </c>
      <c r="G2389" s="10" t="str">
        <f aca="false">IF(D2389="","",IF(D2389&lt;=($E$3*60+$F$3)/86400,"○",""))</f>
        <v/>
      </c>
      <c r="H2389" s="16"/>
      <c r="I2389" s="17"/>
      <c r="J2389" s="16" t="n">
        <v>0.00292326388888889</v>
      </c>
      <c r="K2389" s="17" t="n">
        <v>1130</v>
      </c>
      <c r="L2389" s="17" t="n">
        <f aca="false">COUNT(E2389,I2389,K2389)</f>
        <v>1</v>
      </c>
      <c r="M2389" s="18" t="n">
        <f aca="false">(D2389&lt;&gt;"")*(D2389&lt;=($E$3*60+$F$3)/86400)+(H2389&lt;&gt;"")*(H2389&lt;=($I$3*60+$J$3)/86400)+(J2389&lt;&gt;"")*(J2389&lt;=($M$3*60+$N$3)/86400)</f>
        <v>0</v>
      </c>
      <c r="N2389" s="20"/>
      <c r="O2389" s="20"/>
      <c r="P2389" s="20"/>
      <c r="Q2389" s="19"/>
    </row>
    <row r="2390" customFormat="false" ht="15" hidden="false" customHeight="false" outlineLevel="0" collapsed="false">
      <c r="A2390" s="10" t="n">
        <v>2384</v>
      </c>
      <c r="B2390" s="12" t="s">
        <v>3673</v>
      </c>
      <c r="C2390" s="12" t="s">
        <v>3288</v>
      </c>
      <c r="D2390" s="13"/>
      <c r="E2390" s="14"/>
      <c r="F2390" s="15" t="str">
        <f aca="false">IF(D2390="","",ROUND((D2390-MIN($D$7:$D$9999))*86400,2))</f>
        <v/>
      </c>
      <c r="G2390" s="10" t="str">
        <f aca="false">IF(D2390="","",IF(D2390&lt;=($E$3*60+$F$3)/86400,"○",""))</f>
        <v/>
      </c>
      <c r="H2390" s="16" t="n">
        <v>0.00779340277777778</v>
      </c>
      <c r="I2390" s="17" t="n">
        <v>1131</v>
      </c>
      <c r="J2390" s="16"/>
      <c r="K2390" s="17"/>
      <c r="L2390" s="17" t="n">
        <f aca="false">COUNT(E2390,I2390,K2390)</f>
        <v>1</v>
      </c>
      <c r="M2390" s="18" t="n">
        <f aca="false">(D2390&lt;&gt;"")*(D2390&lt;=($E$3*60+$F$3)/86400)+(H2390&lt;&gt;"")*(H2390&lt;=($I$3*60+$J$3)/86400)+(J2390&lt;&gt;"")*(J2390&lt;=($M$3*60+$N$3)/86400)</f>
        <v>0</v>
      </c>
      <c r="N2390" s="20"/>
      <c r="O2390" s="20"/>
      <c r="P2390" s="20"/>
      <c r="Q2390" s="19"/>
    </row>
    <row r="2391" customFormat="false" ht="15" hidden="false" customHeight="false" outlineLevel="0" collapsed="false">
      <c r="A2391" s="10" t="n">
        <v>2385</v>
      </c>
      <c r="B2391" s="12" t="s">
        <v>3674</v>
      </c>
      <c r="C2391" s="12" t="s">
        <v>3675</v>
      </c>
      <c r="D2391" s="13"/>
      <c r="E2391" s="14"/>
      <c r="F2391" s="15" t="str">
        <f aca="false">IF(D2391="","",ROUND((D2391-MIN($D$7:$D$9999))*86400,2))</f>
        <v/>
      </c>
      <c r="G2391" s="10" t="str">
        <f aca="false">IF(D2391="","",IF(D2391&lt;=($E$3*60+$F$3)/86400,"○",""))</f>
        <v/>
      </c>
      <c r="H2391" s="16"/>
      <c r="I2391" s="17"/>
      <c r="J2391" s="16" t="n">
        <v>0.00292326388888889</v>
      </c>
      <c r="K2391" s="17" t="n">
        <v>1131</v>
      </c>
      <c r="L2391" s="17" t="n">
        <f aca="false">COUNT(E2391,I2391,K2391)</f>
        <v>1</v>
      </c>
      <c r="M2391" s="18" t="n">
        <f aca="false">(D2391&lt;&gt;"")*(D2391&lt;=($E$3*60+$F$3)/86400)+(H2391&lt;&gt;"")*(H2391&lt;=($I$3*60+$J$3)/86400)+(J2391&lt;&gt;"")*(J2391&lt;=($M$3*60+$N$3)/86400)</f>
        <v>0</v>
      </c>
      <c r="N2391" s="20" t="s">
        <v>3676</v>
      </c>
      <c r="O2391" s="20"/>
      <c r="P2391" s="20"/>
      <c r="Q2391" s="19"/>
    </row>
    <row r="2392" customFormat="false" ht="15" hidden="false" customHeight="false" outlineLevel="0" collapsed="false">
      <c r="A2392" s="10" t="n">
        <v>2386</v>
      </c>
      <c r="B2392" s="12" t="s">
        <v>3677</v>
      </c>
      <c r="C2392" s="12" t="s">
        <v>2587</v>
      </c>
      <c r="D2392" s="13"/>
      <c r="E2392" s="14"/>
      <c r="F2392" s="15" t="str">
        <f aca="false">IF(D2392="","",ROUND((D2392-MIN($D$7:$D$9999))*86400,2))</f>
        <v/>
      </c>
      <c r="G2392" s="10" t="str">
        <f aca="false">IF(D2392="","",IF(D2392&lt;=($E$3*60+$F$3)/86400,"○",""))</f>
        <v/>
      </c>
      <c r="H2392" s="16" t="n">
        <v>0.00779363425925926</v>
      </c>
      <c r="I2392" s="17" t="n">
        <v>1132</v>
      </c>
      <c r="J2392" s="16"/>
      <c r="K2392" s="17"/>
      <c r="L2392" s="17" t="n">
        <f aca="false">COUNT(E2392,I2392,K2392)</f>
        <v>1</v>
      </c>
      <c r="M2392" s="18" t="n">
        <f aca="false">(D2392&lt;&gt;"")*(D2392&lt;=($E$3*60+$F$3)/86400)+(H2392&lt;&gt;"")*(H2392&lt;=($I$3*60+$J$3)/86400)+(J2392&lt;&gt;"")*(J2392&lt;=($M$3*60+$N$3)/86400)</f>
        <v>0</v>
      </c>
      <c r="N2392" s="20"/>
      <c r="O2392" s="20"/>
      <c r="P2392" s="20"/>
      <c r="Q2392" s="19"/>
    </row>
    <row r="2393" customFormat="false" ht="15" hidden="false" customHeight="false" outlineLevel="0" collapsed="false">
      <c r="A2393" s="10" t="n">
        <v>2387</v>
      </c>
      <c r="B2393" s="12" t="s">
        <v>3678</v>
      </c>
      <c r="C2393" s="12" t="s">
        <v>795</v>
      </c>
      <c r="D2393" s="13"/>
      <c r="E2393" s="14"/>
      <c r="F2393" s="15" t="str">
        <f aca="false">IF(D2393="","",ROUND((D2393-MIN($D$7:$D$9999))*86400,2))</f>
        <v/>
      </c>
      <c r="G2393" s="10" t="str">
        <f aca="false">IF(D2393="","",IF(D2393&lt;=($E$3*60+$F$3)/86400,"○",""))</f>
        <v/>
      </c>
      <c r="H2393" s="16"/>
      <c r="I2393" s="17"/>
      <c r="J2393" s="16" t="n">
        <v>0.00292337962962963</v>
      </c>
      <c r="K2393" s="17" t="n">
        <v>1132</v>
      </c>
      <c r="L2393" s="17" t="n">
        <f aca="false">COUNT(E2393,I2393,K2393)</f>
        <v>1</v>
      </c>
      <c r="M2393" s="18" t="n">
        <f aca="false">(D2393&lt;&gt;"")*(D2393&lt;=($E$3*60+$F$3)/86400)+(H2393&lt;&gt;"")*(H2393&lt;=($I$3*60+$J$3)/86400)+(J2393&lt;&gt;"")*(J2393&lt;=($M$3*60+$N$3)/86400)</f>
        <v>0</v>
      </c>
      <c r="N2393" s="20"/>
      <c r="O2393" s="20"/>
      <c r="P2393" s="20"/>
      <c r="Q2393" s="19"/>
    </row>
    <row r="2394" customFormat="false" ht="15" hidden="false" customHeight="false" outlineLevel="0" collapsed="false">
      <c r="A2394" s="10" t="n">
        <v>2388</v>
      </c>
      <c r="B2394" s="12" t="s">
        <v>3679</v>
      </c>
      <c r="C2394" s="12" t="s">
        <v>3680</v>
      </c>
      <c r="D2394" s="13"/>
      <c r="E2394" s="14"/>
      <c r="F2394" s="15" t="str">
        <f aca="false">IF(D2394="","",ROUND((D2394-MIN($D$7:$D$9999))*86400,2))</f>
        <v/>
      </c>
      <c r="G2394" s="10" t="str">
        <f aca="false">IF(D2394="","",IF(D2394&lt;=($E$3*60+$F$3)/86400,"○",""))</f>
        <v/>
      </c>
      <c r="H2394" s="16" t="n">
        <v>0.00779756944444445</v>
      </c>
      <c r="I2394" s="17" t="n">
        <v>1133</v>
      </c>
      <c r="J2394" s="16"/>
      <c r="K2394" s="17"/>
      <c r="L2394" s="17" t="n">
        <f aca="false">COUNT(E2394,I2394,K2394)</f>
        <v>1</v>
      </c>
      <c r="M2394" s="18" t="n">
        <f aca="false">(D2394&lt;&gt;"")*(D2394&lt;=($E$3*60+$F$3)/86400)+(H2394&lt;&gt;"")*(H2394&lt;=($I$3*60+$J$3)/86400)+(J2394&lt;&gt;"")*(J2394&lt;=($M$3*60+$N$3)/86400)</f>
        <v>0</v>
      </c>
      <c r="N2394" s="20"/>
      <c r="O2394" s="20"/>
      <c r="P2394" s="20"/>
      <c r="Q2394" s="19"/>
    </row>
    <row r="2395" customFormat="false" ht="15" hidden="false" customHeight="false" outlineLevel="0" collapsed="false">
      <c r="A2395" s="10" t="n">
        <v>2389</v>
      </c>
      <c r="B2395" s="12" t="s">
        <v>3681</v>
      </c>
      <c r="C2395" s="12" t="s">
        <v>3682</v>
      </c>
      <c r="D2395" s="13"/>
      <c r="E2395" s="14"/>
      <c r="F2395" s="15" t="str">
        <f aca="false">IF(D2395="","",ROUND((D2395-MIN($D$7:$D$9999))*86400,2))</f>
        <v/>
      </c>
      <c r="G2395" s="10" t="str">
        <f aca="false">IF(D2395="","",IF(D2395&lt;=($E$3*60+$F$3)/86400,"○",""))</f>
        <v/>
      </c>
      <c r="H2395" s="16" t="n">
        <v>0.00779803240740741</v>
      </c>
      <c r="I2395" s="17" t="n">
        <v>1134</v>
      </c>
      <c r="J2395" s="16"/>
      <c r="K2395" s="17"/>
      <c r="L2395" s="17" t="n">
        <f aca="false">COUNT(E2395,I2395,K2395)</f>
        <v>1</v>
      </c>
      <c r="M2395" s="18" t="n">
        <f aca="false">(D2395&lt;&gt;"")*(D2395&lt;=($E$3*60+$F$3)/86400)+(H2395&lt;&gt;"")*(H2395&lt;=($I$3*60+$J$3)/86400)+(J2395&lt;&gt;"")*(J2395&lt;=($M$3*60+$N$3)/86400)</f>
        <v>0</v>
      </c>
      <c r="N2395" s="20"/>
      <c r="O2395" s="20"/>
      <c r="P2395" s="20"/>
      <c r="Q2395" s="19"/>
    </row>
    <row r="2396" customFormat="false" ht="15" hidden="false" customHeight="false" outlineLevel="0" collapsed="false">
      <c r="A2396" s="10" t="n">
        <v>2390</v>
      </c>
      <c r="B2396" s="12" t="s">
        <v>3683</v>
      </c>
      <c r="C2396" s="12" t="s">
        <v>1948</v>
      </c>
      <c r="D2396" s="13"/>
      <c r="E2396" s="14"/>
      <c r="F2396" s="15" t="str">
        <f aca="false">IF(D2396="","",ROUND((D2396-MIN($D$7:$D$9999))*86400,2))</f>
        <v/>
      </c>
      <c r="G2396" s="10" t="str">
        <f aca="false">IF(D2396="","",IF(D2396&lt;=($E$3*60+$F$3)/86400,"○",""))</f>
        <v/>
      </c>
      <c r="H2396" s="16" t="n">
        <v>0.00779976851851852</v>
      </c>
      <c r="I2396" s="17" t="n">
        <v>1135</v>
      </c>
      <c r="J2396" s="16"/>
      <c r="K2396" s="17"/>
      <c r="L2396" s="17" t="n">
        <f aca="false">COUNT(E2396,I2396,K2396)</f>
        <v>1</v>
      </c>
      <c r="M2396" s="18" t="n">
        <f aca="false">(D2396&lt;&gt;"")*(D2396&lt;=($E$3*60+$F$3)/86400)+(H2396&lt;&gt;"")*(H2396&lt;=($I$3*60+$J$3)/86400)+(J2396&lt;&gt;"")*(J2396&lt;=($M$3*60+$N$3)/86400)</f>
        <v>0</v>
      </c>
      <c r="N2396" s="20"/>
      <c r="O2396" s="20"/>
      <c r="P2396" s="20"/>
      <c r="Q2396" s="19"/>
    </row>
    <row r="2397" customFormat="false" ht="15" hidden="false" customHeight="false" outlineLevel="0" collapsed="false">
      <c r="A2397" s="10" t="n">
        <v>2391</v>
      </c>
      <c r="B2397" s="12" t="s">
        <v>3684</v>
      </c>
      <c r="C2397" s="12" t="s">
        <v>3685</v>
      </c>
      <c r="D2397" s="13"/>
      <c r="E2397" s="14"/>
      <c r="F2397" s="15" t="str">
        <f aca="false">IF(D2397="","",ROUND((D2397-MIN($D$7:$D$9999))*86400,2))</f>
        <v/>
      </c>
      <c r="G2397" s="10" t="str">
        <f aca="false">IF(D2397="","",IF(D2397&lt;=($E$3*60+$F$3)/86400,"○",""))</f>
        <v/>
      </c>
      <c r="H2397" s="16"/>
      <c r="I2397" s="17"/>
      <c r="J2397" s="16" t="n">
        <v>0.00292395833333333</v>
      </c>
      <c r="K2397" s="17" t="n">
        <v>1135</v>
      </c>
      <c r="L2397" s="17" t="n">
        <f aca="false">COUNT(E2397,I2397,K2397)</f>
        <v>1</v>
      </c>
      <c r="M2397" s="18" t="n">
        <f aca="false">(D2397&lt;&gt;"")*(D2397&lt;=($E$3*60+$F$3)/86400)+(H2397&lt;&gt;"")*(H2397&lt;=($I$3*60+$J$3)/86400)+(J2397&lt;&gt;"")*(J2397&lt;=($M$3*60+$N$3)/86400)</f>
        <v>0</v>
      </c>
      <c r="N2397" s="20"/>
      <c r="O2397" s="20"/>
      <c r="P2397" s="20"/>
      <c r="Q2397" s="19"/>
    </row>
    <row r="2398" customFormat="false" ht="15" hidden="false" customHeight="false" outlineLevel="0" collapsed="false">
      <c r="A2398" s="10" t="n">
        <v>2392</v>
      </c>
      <c r="B2398" s="12" t="s">
        <v>3686</v>
      </c>
      <c r="C2398" s="12" t="s">
        <v>3687</v>
      </c>
      <c r="D2398" s="13"/>
      <c r="E2398" s="14"/>
      <c r="F2398" s="15" t="str">
        <f aca="false">IF(D2398="","",ROUND((D2398-MIN($D$7:$D$9999))*86400,2))</f>
        <v/>
      </c>
      <c r="G2398" s="10" t="str">
        <f aca="false">IF(D2398="","",IF(D2398&lt;=($E$3*60+$F$3)/86400,"○",""))</f>
        <v/>
      </c>
      <c r="H2398" s="16" t="n">
        <v>0.00781087962962963</v>
      </c>
      <c r="I2398" s="17" t="n">
        <v>1137</v>
      </c>
      <c r="J2398" s="16"/>
      <c r="K2398" s="17"/>
      <c r="L2398" s="17" t="n">
        <f aca="false">COUNT(E2398,I2398,K2398)</f>
        <v>1</v>
      </c>
      <c r="M2398" s="18" t="n">
        <f aca="false">(D2398&lt;&gt;"")*(D2398&lt;=($E$3*60+$F$3)/86400)+(H2398&lt;&gt;"")*(H2398&lt;=($I$3*60+$J$3)/86400)+(J2398&lt;&gt;"")*(J2398&lt;=($M$3*60+$N$3)/86400)</f>
        <v>0</v>
      </c>
      <c r="N2398" s="20"/>
      <c r="O2398" s="20"/>
      <c r="P2398" s="20"/>
      <c r="Q2398" s="19"/>
    </row>
    <row r="2399" customFormat="false" ht="15" hidden="false" customHeight="false" outlineLevel="0" collapsed="false">
      <c r="A2399" s="10" t="n">
        <v>2393</v>
      </c>
      <c r="B2399" s="12" t="s">
        <v>3688</v>
      </c>
      <c r="C2399" s="12" t="s">
        <v>3689</v>
      </c>
      <c r="D2399" s="13"/>
      <c r="E2399" s="14"/>
      <c r="F2399" s="15" t="str">
        <f aca="false">IF(D2399="","",ROUND((D2399-MIN($D$7:$D$9999))*86400,2))</f>
        <v/>
      </c>
      <c r="G2399" s="10" t="str">
        <f aca="false">IF(D2399="","",IF(D2399&lt;=($E$3*60+$F$3)/86400,"○",""))</f>
        <v/>
      </c>
      <c r="H2399" s="16"/>
      <c r="I2399" s="17"/>
      <c r="J2399" s="16" t="n">
        <v>0.00292395833333333</v>
      </c>
      <c r="K2399" s="17" t="n">
        <v>1137</v>
      </c>
      <c r="L2399" s="17" t="n">
        <f aca="false">COUNT(E2399,I2399,K2399)</f>
        <v>1</v>
      </c>
      <c r="M2399" s="18" t="n">
        <f aca="false">(D2399&lt;&gt;"")*(D2399&lt;=($E$3*60+$F$3)/86400)+(H2399&lt;&gt;"")*(H2399&lt;=($I$3*60+$J$3)/86400)+(J2399&lt;&gt;"")*(J2399&lt;=($M$3*60+$N$3)/86400)</f>
        <v>0</v>
      </c>
      <c r="N2399" s="20"/>
      <c r="O2399" s="20"/>
      <c r="P2399" s="20"/>
      <c r="Q2399" s="19"/>
    </row>
    <row r="2400" customFormat="false" ht="15" hidden="false" customHeight="false" outlineLevel="0" collapsed="false">
      <c r="A2400" s="10" t="n">
        <v>2394</v>
      </c>
      <c r="B2400" s="12" t="s">
        <v>3690</v>
      </c>
      <c r="C2400" s="12" t="s">
        <v>3691</v>
      </c>
      <c r="D2400" s="13"/>
      <c r="E2400" s="14"/>
      <c r="F2400" s="15" t="str">
        <f aca="false">IF(D2400="","",ROUND((D2400-MIN($D$7:$D$9999))*86400,2))</f>
        <v/>
      </c>
      <c r="G2400" s="10" t="str">
        <f aca="false">IF(D2400="","",IF(D2400&lt;=($E$3*60+$F$3)/86400,"○",""))</f>
        <v/>
      </c>
      <c r="H2400" s="16" t="n">
        <v>0.00781099537037037</v>
      </c>
      <c r="I2400" s="17" t="n">
        <v>1138</v>
      </c>
      <c r="J2400" s="16"/>
      <c r="K2400" s="17"/>
      <c r="L2400" s="17" t="n">
        <f aca="false">COUNT(E2400,I2400,K2400)</f>
        <v>1</v>
      </c>
      <c r="M2400" s="18" t="n">
        <f aca="false">(D2400&lt;&gt;"")*(D2400&lt;=($E$3*60+$F$3)/86400)+(H2400&lt;&gt;"")*(H2400&lt;=($I$3*60+$J$3)/86400)+(J2400&lt;&gt;"")*(J2400&lt;=($M$3*60+$N$3)/86400)</f>
        <v>0</v>
      </c>
      <c r="N2400" s="20"/>
      <c r="O2400" s="20"/>
      <c r="P2400" s="20"/>
      <c r="Q2400" s="19"/>
    </row>
    <row r="2401" customFormat="false" ht="15" hidden="false" customHeight="false" outlineLevel="0" collapsed="false">
      <c r="A2401" s="10" t="n">
        <v>2395</v>
      </c>
      <c r="B2401" s="12" t="s">
        <v>3692</v>
      </c>
      <c r="C2401" s="12" t="s">
        <v>103</v>
      </c>
      <c r="D2401" s="13"/>
      <c r="E2401" s="14"/>
      <c r="F2401" s="15" t="str">
        <f aca="false">IF(D2401="","",ROUND((D2401-MIN($D$7:$D$9999))*86400,2))</f>
        <v/>
      </c>
      <c r="G2401" s="10" t="str">
        <f aca="false">IF(D2401="","",IF(D2401&lt;=($E$3*60+$F$3)/86400,"○",""))</f>
        <v/>
      </c>
      <c r="H2401" s="16" t="n">
        <v>0.00781585648148148</v>
      </c>
      <c r="I2401" s="17" t="n">
        <v>1139</v>
      </c>
      <c r="J2401" s="16"/>
      <c r="K2401" s="17"/>
      <c r="L2401" s="17" t="n">
        <f aca="false">COUNT(E2401,I2401,K2401)</f>
        <v>1</v>
      </c>
      <c r="M2401" s="18" t="n">
        <f aca="false">(D2401&lt;&gt;"")*(D2401&lt;=($E$3*60+$F$3)/86400)+(H2401&lt;&gt;"")*(H2401&lt;=($I$3*60+$J$3)/86400)+(J2401&lt;&gt;"")*(J2401&lt;=($M$3*60+$N$3)/86400)</f>
        <v>0</v>
      </c>
      <c r="N2401" s="20"/>
      <c r="O2401" s="20"/>
      <c r="P2401" s="20"/>
      <c r="Q2401" s="19"/>
    </row>
    <row r="2402" customFormat="false" ht="15" hidden="false" customHeight="false" outlineLevel="0" collapsed="false">
      <c r="A2402" s="10" t="n">
        <v>2396</v>
      </c>
      <c r="B2402" s="12" t="s">
        <v>3693</v>
      </c>
      <c r="C2402" s="12" t="s">
        <v>2798</v>
      </c>
      <c r="D2402" s="13"/>
      <c r="E2402" s="14"/>
      <c r="F2402" s="15" t="str">
        <f aca="false">IF(D2402="","",ROUND((D2402-MIN($D$7:$D$9999))*86400,2))</f>
        <v/>
      </c>
      <c r="G2402" s="10" t="str">
        <f aca="false">IF(D2402="","",IF(D2402&lt;=($E$3*60+$F$3)/86400,"○",""))</f>
        <v/>
      </c>
      <c r="H2402" s="16" t="n">
        <v>0.00781585648148148</v>
      </c>
      <c r="I2402" s="17" t="n">
        <v>1140</v>
      </c>
      <c r="J2402" s="16"/>
      <c r="K2402" s="17"/>
      <c r="L2402" s="17" t="n">
        <f aca="false">COUNT(E2402,I2402,K2402)</f>
        <v>1</v>
      </c>
      <c r="M2402" s="18" t="n">
        <f aca="false">(D2402&lt;&gt;"")*(D2402&lt;=($E$3*60+$F$3)/86400)+(H2402&lt;&gt;"")*(H2402&lt;=($I$3*60+$J$3)/86400)+(J2402&lt;&gt;"")*(J2402&lt;=($M$3*60+$N$3)/86400)</f>
        <v>0</v>
      </c>
      <c r="N2402" s="20"/>
      <c r="O2402" s="20"/>
      <c r="P2402" s="20"/>
      <c r="Q2402" s="19"/>
    </row>
    <row r="2403" customFormat="false" ht="15" hidden="false" customHeight="false" outlineLevel="0" collapsed="false">
      <c r="A2403" s="10" t="n">
        <v>2397</v>
      </c>
      <c r="B2403" s="12" t="s">
        <v>3694</v>
      </c>
      <c r="C2403" s="12" t="s">
        <v>3661</v>
      </c>
      <c r="D2403" s="13"/>
      <c r="E2403" s="14"/>
      <c r="F2403" s="15" t="str">
        <f aca="false">IF(D2403="","",ROUND((D2403-MIN($D$7:$D$9999))*86400,2))</f>
        <v/>
      </c>
      <c r="G2403" s="10" t="str">
        <f aca="false">IF(D2403="","",IF(D2403&lt;=($E$3*60+$F$3)/86400,"○",""))</f>
        <v/>
      </c>
      <c r="H2403" s="16" t="n">
        <v>0.00781666666666667</v>
      </c>
      <c r="I2403" s="17" t="n">
        <v>1141</v>
      </c>
      <c r="J2403" s="16"/>
      <c r="K2403" s="17"/>
      <c r="L2403" s="17" t="n">
        <f aca="false">COUNT(E2403,I2403,K2403)</f>
        <v>1</v>
      </c>
      <c r="M2403" s="18" t="n">
        <f aca="false">(D2403&lt;&gt;"")*(D2403&lt;=($E$3*60+$F$3)/86400)+(H2403&lt;&gt;"")*(H2403&lt;=($I$3*60+$J$3)/86400)+(J2403&lt;&gt;"")*(J2403&lt;=($M$3*60+$N$3)/86400)</f>
        <v>0</v>
      </c>
      <c r="N2403" s="20"/>
      <c r="O2403" s="20"/>
      <c r="P2403" s="20"/>
      <c r="Q2403" s="19"/>
    </row>
    <row r="2404" customFormat="false" ht="15" hidden="false" customHeight="false" outlineLevel="0" collapsed="false">
      <c r="A2404" s="10" t="n">
        <v>2398</v>
      </c>
      <c r="B2404" s="12" t="s">
        <v>3695</v>
      </c>
      <c r="C2404" s="12" t="s">
        <v>3696</v>
      </c>
      <c r="D2404" s="13"/>
      <c r="E2404" s="14"/>
      <c r="F2404" s="15" t="str">
        <f aca="false">IF(D2404="","",ROUND((D2404-MIN($D$7:$D$9999))*86400,2))</f>
        <v/>
      </c>
      <c r="G2404" s="10" t="str">
        <f aca="false">IF(D2404="","",IF(D2404&lt;=($E$3*60+$F$3)/86400,"○",""))</f>
        <v/>
      </c>
      <c r="H2404" s="16"/>
      <c r="I2404" s="17"/>
      <c r="J2404" s="16" t="n">
        <v>0.00292465277777778</v>
      </c>
      <c r="K2404" s="17" t="n">
        <v>1141</v>
      </c>
      <c r="L2404" s="17" t="n">
        <f aca="false">COUNT(E2404,I2404,K2404)</f>
        <v>1</v>
      </c>
      <c r="M2404" s="18" t="n">
        <f aca="false">(D2404&lt;&gt;"")*(D2404&lt;=($E$3*60+$F$3)/86400)+(H2404&lt;&gt;"")*(H2404&lt;=($I$3*60+$J$3)/86400)+(J2404&lt;&gt;"")*(J2404&lt;=($M$3*60+$N$3)/86400)</f>
        <v>0</v>
      </c>
      <c r="N2404" s="20"/>
      <c r="O2404" s="20"/>
      <c r="P2404" s="20"/>
      <c r="Q2404" s="19"/>
    </row>
    <row r="2405" customFormat="false" ht="15" hidden="false" customHeight="false" outlineLevel="0" collapsed="false">
      <c r="A2405" s="10" t="n">
        <v>2399</v>
      </c>
      <c r="B2405" s="12" t="s">
        <v>3697</v>
      </c>
      <c r="C2405" s="12" t="s">
        <v>2277</v>
      </c>
      <c r="D2405" s="13"/>
      <c r="E2405" s="14"/>
      <c r="F2405" s="15" t="str">
        <f aca="false">IF(D2405="","",ROUND((D2405-MIN($D$7:$D$9999))*86400,2))</f>
        <v/>
      </c>
      <c r="G2405" s="10" t="str">
        <f aca="false">IF(D2405="","",IF(D2405&lt;=($E$3*60+$F$3)/86400,"○",""))</f>
        <v/>
      </c>
      <c r="H2405" s="16" t="n">
        <v>0.00781979166666667</v>
      </c>
      <c r="I2405" s="17" t="n">
        <v>1142</v>
      </c>
      <c r="J2405" s="16"/>
      <c r="K2405" s="17"/>
      <c r="L2405" s="17" t="n">
        <f aca="false">COUNT(E2405,I2405,K2405)</f>
        <v>1</v>
      </c>
      <c r="M2405" s="18" t="n">
        <f aca="false">(D2405&lt;&gt;"")*(D2405&lt;=($E$3*60+$F$3)/86400)+(H2405&lt;&gt;"")*(H2405&lt;=($I$3*60+$J$3)/86400)+(J2405&lt;&gt;"")*(J2405&lt;=($M$3*60+$N$3)/86400)</f>
        <v>0</v>
      </c>
      <c r="N2405" s="20"/>
      <c r="O2405" s="20"/>
      <c r="P2405" s="20"/>
      <c r="Q2405" s="19"/>
    </row>
    <row r="2406" customFormat="false" ht="15" hidden="false" customHeight="false" outlineLevel="0" collapsed="false">
      <c r="A2406" s="10" t="n">
        <v>2400</v>
      </c>
      <c r="B2406" s="12" t="s">
        <v>3698</v>
      </c>
      <c r="C2406" s="12" t="s">
        <v>3699</v>
      </c>
      <c r="D2406" s="13"/>
      <c r="E2406" s="14"/>
      <c r="F2406" s="15" t="str">
        <f aca="false">IF(D2406="","",ROUND((D2406-MIN($D$7:$D$9999))*86400,2))</f>
        <v/>
      </c>
      <c r="G2406" s="10" t="str">
        <f aca="false">IF(D2406="","",IF(D2406&lt;=($E$3*60+$F$3)/86400,"○",""))</f>
        <v/>
      </c>
      <c r="H2406" s="16" t="n">
        <v>0.00782314814814815</v>
      </c>
      <c r="I2406" s="17" t="n">
        <v>1143</v>
      </c>
      <c r="J2406" s="16"/>
      <c r="K2406" s="17"/>
      <c r="L2406" s="17" t="n">
        <f aca="false">COUNT(E2406,I2406,K2406)</f>
        <v>1</v>
      </c>
      <c r="M2406" s="18" t="n">
        <f aca="false">(D2406&lt;&gt;"")*(D2406&lt;=($E$3*60+$F$3)/86400)+(H2406&lt;&gt;"")*(H2406&lt;=($I$3*60+$J$3)/86400)+(J2406&lt;&gt;"")*(J2406&lt;=($M$3*60+$N$3)/86400)</f>
        <v>0</v>
      </c>
      <c r="N2406" s="20"/>
      <c r="O2406" s="20"/>
      <c r="P2406" s="20"/>
      <c r="Q2406" s="19"/>
    </row>
    <row r="2407" customFormat="false" ht="15" hidden="false" customHeight="false" outlineLevel="0" collapsed="false">
      <c r="A2407" s="10" t="n">
        <v>2401</v>
      </c>
      <c r="B2407" s="12" t="s">
        <v>3700</v>
      </c>
      <c r="C2407" s="12" t="s">
        <v>2992</v>
      </c>
      <c r="D2407" s="13"/>
      <c r="E2407" s="14"/>
      <c r="F2407" s="15" t="str">
        <f aca="false">IF(D2407="","",ROUND((D2407-MIN($D$7:$D$9999))*86400,2))</f>
        <v/>
      </c>
      <c r="G2407" s="10" t="str">
        <f aca="false">IF(D2407="","",IF(D2407&lt;=($E$3*60+$F$3)/86400,"○",""))</f>
        <v/>
      </c>
      <c r="H2407" s="16" t="n">
        <v>0.00782361111111111</v>
      </c>
      <c r="I2407" s="17" t="n">
        <v>1144</v>
      </c>
      <c r="J2407" s="16"/>
      <c r="K2407" s="17"/>
      <c r="L2407" s="17" t="n">
        <f aca="false">COUNT(E2407,I2407,K2407)</f>
        <v>1</v>
      </c>
      <c r="M2407" s="18" t="n">
        <f aca="false">(D2407&lt;&gt;"")*(D2407&lt;=($E$3*60+$F$3)/86400)+(H2407&lt;&gt;"")*(H2407&lt;=($I$3*60+$J$3)/86400)+(J2407&lt;&gt;"")*(J2407&lt;=($M$3*60+$N$3)/86400)</f>
        <v>0</v>
      </c>
      <c r="N2407" s="20"/>
      <c r="O2407" s="20"/>
      <c r="P2407" s="20"/>
      <c r="Q2407" s="19"/>
    </row>
    <row r="2408" customFormat="false" ht="15" hidden="false" customHeight="false" outlineLevel="0" collapsed="false">
      <c r="A2408" s="10" t="n">
        <v>2402</v>
      </c>
      <c r="B2408" s="12" t="s">
        <v>3701</v>
      </c>
      <c r="C2408" s="12" t="s">
        <v>3702</v>
      </c>
      <c r="D2408" s="13"/>
      <c r="E2408" s="14"/>
      <c r="F2408" s="15" t="str">
        <f aca="false">IF(D2408="","",ROUND((D2408-MIN($D$7:$D$9999))*86400,2))</f>
        <v/>
      </c>
      <c r="G2408" s="10" t="str">
        <f aca="false">IF(D2408="","",IF(D2408&lt;=($E$3*60+$F$3)/86400,"○",""))</f>
        <v/>
      </c>
      <c r="H2408" s="16" t="n">
        <v>0.00782465277777778</v>
      </c>
      <c r="I2408" s="17" t="n">
        <v>1145</v>
      </c>
      <c r="J2408" s="16"/>
      <c r="K2408" s="17"/>
      <c r="L2408" s="17" t="n">
        <f aca="false">COUNT(E2408,I2408,K2408)</f>
        <v>1</v>
      </c>
      <c r="M2408" s="18" t="n">
        <f aca="false">(D2408&lt;&gt;"")*(D2408&lt;=($E$3*60+$F$3)/86400)+(H2408&lt;&gt;"")*(H2408&lt;=($I$3*60+$J$3)/86400)+(J2408&lt;&gt;"")*(J2408&lt;=($M$3*60+$N$3)/86400)</f>
        <v>0</v>
      </c>
      <c r="N2408" s="20"/>
      <c r="O2408" s="20"/>
      <c r="P2408" s="20"/>
      <c r="Q2408" s="19"/>
    </row>
    <row r="2409" customFormat="false" ht="15" hidden="false" customHeight="false" outlineLevel="0" collapsed="false">
      <c r="A2409" s="10" t="n">
        <v>2403</v>
      </c>
      <c r="B2409" s="12" t="s">
        <v>3703</v>
      </c>
      <c r="C2409" s="12" t="s">
        <v>3704</v>
      </c>
      <c r="D2409" s="13"/>
      <c r="E2409" s="14"/>
      <c r="F2409" s="15" t="str">
        <f aca="false">IF(D2409="","",ROUND((D2409-MIN($D$7:$D$9999))*86400,2))</f>
        <v/>
      </c>
      <c r="G2409" s="10" t="str">
        <f aca="false">IF(D2409="","",IF(D2409&lt;=($E$3*60+$F$3)/86400,"○",""))</f>
        <v/>
      </c>
      <c r="H2409" s="16" t="n">
        <v>0.00782708333333333</v>
      </c>
      <c r="I2409" s="17" t="n">
        <v>1146</v>
      </c>
      <c r="J2409" s="16"/>
      <c r="K2409" s="17"/>
      <c r="L2409" s="17" t="n">
        <f aca="false">COUNT(E2409,I2409,K2409)</f>
        <v>1</v>
      </c>
      <c r="M2409" s="18" t="n">
        <f aca="false">(D2409&lt;&gt;"")*(D2409&lt;=($E$3*60+$F$3)/86400)+(H2409&lt;&gt;"")*(H2409&lt;=($I$3*60+$J$3)/86400)+(J2409&lt;&gt;"")*(J2409&lt;=($M$3*60+$N$3)/86400)</f>
        <v>0</v>
      </c>
      <c r="N2409" s="20"/>
      <c r="O2409" s="20"/>
      <c r="P2409" s="20"/>
      <c r="Q2409" s="19"/>
    </row>
    <row r="2410" customFormat="false" ht="15" hidden="false" customHeight="false" outlineLevel="0" collapsed="false">
      <c r="A2410" s="10" t="n">
        <v>2404</v>
      </c>
      <c r="B2410" s="12" t="s">
        <v>3705</v>
      </c>
      <c r="C2410" s="12" t="s">
        <v>3706</v>
      </c>
      <c r="D2410" s="13"/>
      <c r="E2410" s="14"/>
      <c r="F2410" s="15" t="str">
        <f aca="false">IF(D2410="","",ROUND((D2410-MIN($D$7:$D$9999))*86400,2))</f>
        <v/>
      </c>
      <c r="G2410" s="10" t="str">
        <f aca="false">IF(D2410="","",IF(D2410&lt;=($E$3*60+$F$3)/86400,"○",""))</f>
        <v/>
      </c>
      <c r="H2410" s="16" t="n">
        <v>0.00783923611111111</v>
      </c>
      <c r="I2410" s="17" t="n">
        <v>1147</v>
      </c>
      <c r="J2410" s="16"/>
      <c r="K2410" s="17"/>
      <c r="L2410" s="17" t="n">
        <f aca="false">COUNT(E2410,I2410,K2410)</f>
        <v>1</v>
      </c>
      <c r="M2410" s="18" t="n">
        <f aca="false">(D2410&lt;&gt;"")*(D2410&lt;=($E$3*60+$F$3)/86400)+(H2410&lt;&gt;"")*(H2410&lt;=($I$3*60+$J$3)/86400)+(J2410&lt;&gt;"")*(J2410&lt;=($M$3*60+$N$3)/86400)</f>
        <v>0</v>
      </c>
      <c r="N2410" s="20"/>
      <c r="O2410" s="20"/>
      <c r="P2410" s="20"/>
      <c r="Q2410" s="19"/>
    </row>
    <row r="2411" customFormat="false" ht="15" hidden="false" customHeight="false" outlineLevel="0" collapsed="false">
      <c r="A2411" s="10" t="n">
        <v>2405</v>
      </c>
      <c r="B2411" s="12" t="s">
        <v>3707</v>
      </c>
      <c r="C2411" s="12" t="s">
        <v>3708</v>
      </c>
      <c r="D2411" s="13"/>
      <c r="E2411" s="14"/>
      <c r="F2411" s="15" t="str">
        <f aca="false">IF(D2411="","",ROUND((D2411-MIN($D$7:$D$9999))*86400,2))</f>
        <v/>
      </c>
      <c r="G2411" s="10" t="str">
        <f aca="false">IF(D2411="","",IF(D2411&lt;=($E$3*60+$F$3)/86400,"○",""))</f>
        <v/>
      </c>
      <c r="H2411" s="16" t="n">
        <v>0.00784537037037037</v>
      </c>
      <c r="I2411" s="17" t="n">
        <v>1148</v>
      </c>
      <c r="J2411" s="16"/>
      <c r="K2411" s="17"/>
      <c r="L2411" s="17" t="n">
        <f aca="false">COUNT(E2411,I2411,K2411)</f>
        <v>1</v>
      </c>
      <c r="M2411" s="18" t="n">
        <f aca="false">(D2411&lt;&gt;"")*(D2411&lt;=($E$3*60+$F$3)/86400)+(H2411&lt;&gt;"")*(H2411&lt;=($I$3*60+$J$3)/86400)+(J2411&lt;&gt;"")*(J2411&lt;=($M$3*60+$N$3)/86400)</f>
        <v>0</v>
      </c>
      <c r="N2411" s="20"/>
      <c r="O2411" s="20"/>
      <c r="P2411" s="20"/>
      <c r="Q2411" s="19"/>
    </row>
    <row r="2412" customFormat="false" ht="15" hidden="false" customHeight="false" outlineLevel="0" collapsed="false">
      <c r="A2412" s="10" t="n">
        <v>2406</v>
      </c>
      <c r="B2412" s="12" t="s">
        <v>3709</v>
      </c>
      <c r="C2412" s="12" t="s">
        <v>1096</v>
      </c>
      <c r="D2412" s="13"/>
      <c r="E2412" s="14"/>
      <c r="F2412" s="15" t="str">
        <f aca="false">IF(D2412="","",ROUND((D2412-MIN($D$7:$D$9999))*86400,2))</f>
        <v/>
      </c>
      <c r="G2412" s="10" t="str">
        <f aca="false">IF(D2412="","",IF(D2412&lt;=($E$3*60+$F$3)/86400,"○",""))</f>
        <v/>
      </c>
      <c r="H2412" s="16"/>
      <c r="I2412" s="17"/>
      <c r="J2412" s="16" t="n">
        <v>0.00292488425925926</v>
      </c>
      <c r="K2412" s="17" t="n">
        <v>1148</v>
      </c>
      <c r="L2412" s="17" t="n">
        <f aca="false">COUNT(E2412,I2412,K2412)</f>
        <v>1</v>
      </c>
      <c r="M2412" s="18" t="n">
        <f aca="false">(D2412&lt;&gt;"")*(D2412&lt;=($E$3*60+$F$3)/86400)+(H2412&lt;&gt;"")*(H2412&lt;=($I$3*60+$J$3)/86400)+(J2412&lt;&gt;"")*(J2412&lt;=($M$3*60+$N$3)/86400)</f>
        <v>0</v>
      </c>
      <c r="N2412" s="20"/>
      <c r="O2412" s="20"/>
      <c r="P2412" s="20"/>
      <c r="Q2412" s="19"/>
    </row>
    <row r="2413" customFormat="false" ht="15" hidden="false" customHeight="false" outlineLevel="0" collapsed="false">
      <c r="A2413" s="10" t="n">
        <v>2407</v>
      </c>
      <c r="B2413" s="12" t="s">
        <v>3710</v>
      </c>
      <c r="C2413" s="12" t="s">
        <v>2254</v>
      </c>
      <c r="D2413" s="13"/>
      <c r="E2413" s="14"/>
      <c r="F2413" s="15" t="str">
        <f aca="false">IF(D2413="","",ROUND((D2413-MIN($D$7:$D$9999))*86400,2))</f>
        <v/>
      </c>
      <c r="G2413" s="10" t="str">
        <f aca="false">IF(D2413="","",IF(D2413&lt;=($E$3*60+$F$3)/86400,"○",""))</f>
        <v/>
      </c>
      <c r="H2413" s="16" t="n">
        <v>0.00784780092592593</v>
      </c>
      <c r="I2413" s="17" t="n">
        <v>1149</v>
      </c>
      <c r="J2413" s="16"/>
      <c r="K2413" s="17"/>
      <c r="L2413" s="17" t="n">
        <f aca="false">COUNT(E2413,I2413,K2413)</f>
        <v>1</v>
      </c>
      <c r="M2413" s="18" t="n">
        <f aca="false">(D2413&lt;&gt;"")*(D2413&lt;=($E$3*60+$F$3)/86400)+(H2413&lt;&gt;"")*(H2413&lt;=($I$3*60+$J$3)/86400)+(J2413&lt;&gt;"")*(J2413&lt;=($M$3*60+$N$3)/86400)</f>
        <v>0</v>
      </c>
      <c r="N2413" s="20" t="s">
        <v>3711</v>
      </c>
      <c r="O2413" s="20"/>
      <c r="P2413" s="20"/>
      <c r="Q2413" s="19"/>
    </row>
    <row r="2414" customFormat="false" ht="15" hidden="false" customHeight="false" outlineLevel="0" collapsed="false">
      <c r="A2414" s="10" t="n">
        <v>2408</v>
      </c>
      <c r="B2414" s="12" t="s">
        <v>3712</v>
      </c>
      <c r="C2414" s="12" t="s">
        <v>1346</v>
      </c>
      <c r="D2414" s="13"/>
      <c r="E2414" s="14"/>
      <c r="F2414" s="15" t="str">
        <f aca="false">IF(D2414="","",ROUND((D2414-MIN($D$7:$D$9999))*86400,2))</f>
        <v/>
      </c>
      <c r="G2414" s="10" t="str">
        <f aca="false">IF(D2414="","",IF(D2414&lt;=($E$3*60+$F$3)/86400,"○",""))</f>
        <v/>
      </c>
      <c r="H2414" s="16" t="n">
        <v>0.00786180555555556</v>
      </c>
      <c r="I2414" s="17" t="n">
        <v>1150</v>
      </c>
      <c r="J2414" s="16"/>
      <c r="K2414" s="17"/>
      <c r="L2414" s="17" t="n">
        <f aca="false">COUNT(E2414,I2414,K2414)</f>
        <v>1</v>
      </c>
      <c r="M2414" s="18" t="n">
        <f aca="false">(D2414&lt;&gt;"")*(D2414&lt;=($E$3*60+$F$3)/86400)+(H2414&lt;&gt;"")*(H2414&lt;=($I$3*60+$J$3)/86400)+(J2414&lt;&gt;"")*(J2414&lt;=($M$3*60+$N$3)/86400)</f>
        <v>0</v>
      </c>
      <c r="N2414" s="20"/>
      <c r="O2414" s="20"/>
      <c r="P2414" s="20"/>
      <c r="Q2414" s="19"/>
    </row>
    <row r="2415" customFormat="false" ht="15" hidden="false" customHeight="false" outlineLevel="0" collapsed="false">
      <c r="A2415" s="10" t="n">
        <v>2409</v>
      </c>
      <c r="B2415" s="12" t="s">
        <v>3713</v>
      </c>
      <c r="C2415" s="12" t="s">
        <v>3714</v>
      </c>
      <c r="D2415" s="13"/>
      <c r="E2415" s="14"/>
      <c r="F2415" s="15" t="str">
        <f aca="false">IF(D2415="","",ROUND((D2415-MIN($D$7:$D$9999))*86400,2))</f>
        <v/>
      </c>
      <c r="G2415" s="10" t="str">
        <f aca="false">IF(D2415="","",IF(D2415&lt;=($E$3*60+$F$3)/86400,"○",""))</f>
        <v/>
      </c>
      <c r="H2415" s="16"/>
      <c r="I2415" s="17"/>
      <c r="J2415" s="16" t="n">
        <v>0.002925</v>
      </c>
      <c r="K2415" s="17" t="n">
        <v>1150</v>
      </c>
      <c r="L2415" s="17" t="n">
        <f aca="false">COUNT(E2415,I2415,K2415)</f>
        <v>1</v>
      </c>
      <c r="M2415" s="18" t="n">
        <f aca="false">(D2415&lt;&gt;"")*(D2415&lt;=($E$3*60+$F$3)/86400)+(H2415&lt;&gt;"")*(H2415&lt;=($I$3*60+$J$3)/86400)+(J2415&lt;&gt;"")*(J2415&lt;=($M$3*60+$N$3)/86400)</f>
        <v>0</v>
      </c>
      <c r="N2415" s="20"/>
      <c r="O2415" s="20"/>
      <c r="P2415" s="20"/>
      <c r="Q2415" s="19"/>
    </row>
    <row r="2416" customFormat="false" ht="15" hidden="false" customHeight="false" outlineLevel="0" collapsed="false">
      <c r="A2416" s="10" t="n">
        <v>2410</v>
      </c>
      <c r="B2416" s="12" t="s">
        <v>3715</v>
      </c>
      <c r="C2416" s="12" t="s">
        <v>779</v>
      </c>
      <c r="D2416" s="13"/>
      <c r="E2416" s="14"/>
      <c r="F2416" s="15" t="str">
        <f aca="false">IF(D2416="","",ROUND((D2416-MIN($D$7:$D$9999))*86400,2))</f>
        <v/>
      </c>
      <c r="G2416" s="10" t="str">
        <f aca="false">IF(D2416="","",IF(D2416&lt;=($E$3*60+$F$3)/86400,"○",""))</f>
        <v/>
      </c>
      <c r="H2416" s="16" t="n">
        <v>0.00786412037037037</v>
      </c>
      <c r="I2416" s="17" t="n">
        <v>1151</v>
      </c>
      <c r="J2416" s="16"/>
      <c r="K2416" s="17"/>
      <c r="L2416" s="17" t="n">
        <f aca="false">COUNT(E2416,I2416,K2416)</f>
        <v>1</v>
      </c>
      <c r="M2416" s="18" t="n">
        <f aca="false">(D2416&lt;&gt;"")*(D2416&lt;=($E$3*60+$F$3)/86400)+(H2416&lt;&gt;"")*(H2416&lt;=($I$3*60+$J$3)/86400)+(J2416&lt;&gt;"")*(J2416&lt;=($M$3*60+$N$3)/86400)</f>
        <v>0</v>
      </c>
      <c r="N2416" s="20"/>
      <c r="O2416" s="20"/>
      <c r="P2416" s="20"/>
      <c r="Q2416" s="19"/>
    </row>
    <row r="2417" customFormat="false" ht="15" hidden="false" customHeight="false" outlineLevel="0" collapsed="false">
      <c r="A2417" s="10" t="n">
        <v>2411</v>
      </c>
      <c r="B2417" s="12" t="s">
        <v>3716</v>
      </c>
      <c r="C2417" s="12" t="s">
        <v>1415</v>
      </c>
      <c r="D2417" s="13"/>
      <c r="E2417" s="14"/>
      <c r="F2417" s="15" t="str">
        <f aca="false">IF(D2417="","",ROUND((D2417-MIN($D$7:$D$9999))*86400,2))</f>
        <v/>
      </c>
      <c r="G2417" s="10" t="str">
        <f aca="false">IF(D2417="","",IF(D2417&lt;=($E$3*60+$F$3)/86400,"○",""))</f>
        <v/>
      </c>
      <c r="H2417" s="16"/>
      <c r="I2417" s="17"/>
      <c r="J2417" s="16" t="n">
        <v>0.00292534722222222</v>
      </c>
      <c r="K2417" s="17" t="n">
        <v>1151</v>
      </c>
      <c r="L2417" s="17" t="n">
        <f aca="false">COUNT(E2417,I2417,K2417)</f>
        <v>1</v>
      </c>
      <c r="M2417" s="18" t="n">
        <f aca="false">(D2417&lt;&gt;"")*(D2417&lt;=($E$3*60+$F$3)/86400)+(H2417&lt;&gt;"")*(H2417&lt;=($I$3*60+$J$3)/86400)+(J2417&lt;&gt;"")*(J2417&lt;=($M$3*60+$N$3)/86400)</f>
        <v>0</v>
      </c>
      <c r="N2417" s="20"/>
      <c r="O2417" s="20"/>
      <c r="P2417" s="20"/>
      <c r="Q2417" s="19"/>
    </row>
    <row r="2418" customFormat="false" ht="15" hidden="false" customHeight="false" outlineLevel="0" collapsed="false">
      <c r="A2418" s="10" t="n">
        <v>2412</v>
      </c>
      <c r="B2418" s="12" t="s">
        <v>3717</v>
      </c>
      <c r="C2418" s="12" t="s">
        <v>486</v>
      </c>
      <c r="D2418" s="13"/>
      <c r="E2418" s="14"/>
      <c r="F2418" s="15" t="str">
        <f aca="false">IF(D2418="","",ROUND((D2418-MIN($D$7:$D$9999))*86400,2))</f>
        <v/>
      </c>
      <c r="G2418" s="10" t="str">
        <f aca="false">IF(D2418="","",IF(D2418&lt;=($E$3*60+$F$3)/86400,"○",""))</f>
        <v/>
      </c>
      <c r="H2418" s="16" t="n">
        <v>0.00786550925925926</v>
      </c>
      <c r="I2418" s="17" t="n">
        <v>1152</v>
      </c>
      <c r="J2418" s="16"/>
      <c r="K2418" s="17"/>
      <c r="L2418" s="17" t="n">
        <f aca="false">COUNT(E2418,I2418,K2418)</f>
        <v>1</v>
      </c>
      <c r="M2418" s="18" t="n">
        <f aca="false">(D2418&lt;&gt;"")*(D2418&lt;=($E$3*60+$F$3)/86400)+(H2418&lt;&gt;"")*(H2418&lt;=($I$3*60+$J$3)/86400)+(J2418&lt;&gt;"")*(J2418&lt;=($M$3*60+$N$3)/86400)</f>
        <v>0</v>
      </c>
      <c r="N2418" s="20"/>
      <c r="O2418" s="20"/>
      <c r="P2418" s="20"/>
      <c r="Q2418" s="19"/>
    </row>
    <row r="2419" customFormat="false" ht="15" hidden="false" customHeight="false" outlineLevel="0" collapsed="false">
      <c r="A2419" s="10" t="n">
        <v>2413</v>
      </c>
      <c r="B2419" s="12" t="s">
        <v>3718</v>
      </c>
      <c r="C2419" s="12" t="s">
        <v>3719</v>
      </c>
      <c r="D2419" s="13"/>
      <c r="E2419" s="14"/>
      <c r="F2419" s="15" t="str">
        <f aca="false">IF(D2419="","",ROUND((D2419-MIN($D$7:$D$9999))*86400,2))</f>
        <v/>
      </c>
      <c r="G2419" s="10" t="str">
        <f aca="false">IF(D2419="","",IF(D2419&lt;=($E$3*60+$F$3)/86400,"○",""))</f>
        <v/>
      </c>
      <c r="H2419" s="16" t="n">
        <v>0.00787210648148148</v>
      </c>
      <c r="I2419" s="17" t="n">
        <v>1153</v>
      </c>
      <c r="J2419" s="16"/>
      <c r="K2419" s="17"/>
      <c r="L2419" s="17" t="n">
        <f aca="false">COUNT(E2419,I2419,K2419)</f>
        <v>1</v>
      </c>
      <c r="M2419" s="18" t="n">
        <f aca="false">(D2419&lt;&gt;"")*(D2419&lt;=($E$3*60+$F$3)/86400)+(H2419&lt;&gt;"")*(H2419&lt;=($I$3*60+$J$3)/86400)+(J2419&lt;&gt;"")*(J2419&lt;=($M$3*60+$N$3)/86400)</f>
        <v>0</v>
      </c>
      <c r="N2419" s="20"/>
      <c r="O2419" s="20"/>
      <c r="P2419" s="20"/>
      <c r="Q2419" s="19"/>
    </row>
    <row r="2420" customFormat="false" ht="15" hidden="false" customHeight="false" outlineLevel="0" collapsed="false">
      <c r="A2420" s="10" t="n">
        <v>2414</v>
      </c>
      <c r="B2420" s="12" t="s">
        <v>3720</v>
      </c>
      <c r="C2420" s="12" t="s">
        <v>3721</v>
      </c>
      <c r="D2420" s="13"/>
      <c r="E2420" s="14"/>
      <c r="F2420" s="15" t="str">
        <f aca="false">IF(D2420="","",ROUND((D2420-MIN($D$7:$D$9999))*86400,2))</f>
        <v/>
      </c>
      <c r="G2420" s="10" t="str">
        <f aca="false">IF(D2420="","",IF(D2420&lt;=($E$3*60+$F$3)/86400,"○",""))</f>
        <v/>
      </c>
      <c r="H2420" s="16" t="n">
        <v>0.00787372685185185</v>
      </c>
      <c r="I2420" s="17" t="n">
        <v>1154</v>
      </c>
      <c r="J2420" s="16"/>
      <c r="K2420" s="17"/>
      <c r="L2420" s="17" t="n">
        <f aca="false">COUNT(E2420,I2420,K2420)</f>
        <v>1</v>
      </c>
      <c r="M2420" s="18" t="n">
        <f aca="false">(D2420&lt;&gt;"")*(D2420&lt;=($E$3*60+$F$3)/86400)+(H2420&lt;&gt;"")*(H2420&lt;=($I$3*60+$J$3)/86400)+(J2420&lt;&gt;"")*(J2420&lt;=($M$3*60+$N$3)/86400)</f>
        <v>0</v>
      </c>
      <c r="N2420" s="20"/>
      <c r="O2420" s="20"/>
      <c r="P2420" s="20"/>
      <c r="Q2420" s="19"/>
    </row>
    <row r="2421" customFormat="false" ht="15" hidden="false" customHeight="false" outlineLevel="0" collapsed="false">
      <c r="A2421" s="10" t="n">
        <v>2415</v>
      </c>
      <c r="B2421" s="12" t="s">
        <v>3722</v>
      </c>
      <c r="C2421" s="12" t="s">
        <v>2096</v>
      </c>
      <c r="D2421" s="13"/>
      <c r="E2421" s="14"/>
      <c r="F2421" s="15" t="str">
        <f aca="false">IF(D2421="","",ROUND((D2421-MIN($D$7:$D$9999))*86400,2))</f>
        <v/>
      </c>
      <c r="G2421" s="10" t="str">
        <f aca="false">IF(D2421="","",IF(D2421&lt;=($E$3*60+$F$3)/86400,"○",""))</f>
        <v/>
      </c>
      <c r="H2421" s="16"/>
      <c r="I2421" s="17"/>
      <c r="J2421" s="16" t="n">
        <v>0.00292546296296296</v>
      </c>
      <c r="K2421" s="17" t="n">
        <v>1154</v>
      </c>
      <c r="L2421" s="17" t="n">
        <f aca="false">COUNT(E2421,I2421,K2421)</f>
        <v>1</v>
      </c>
      <c r="M2421" s="18" t="n">
        <f aca="false">(D2421&lt;&gt;"")*(D2421&lt;=($E$3*60+$F$3)/86400)+(H2421&lt;&gt;"")*(H2421&lt;=($I$3*60+$J$3)/86400)+(J2421&lt;&gt;"")*(J2421&lt;=($M$3*60+$N$3)/86400)</f>
        <v>0</v>
      </c>
      <c r="N2421" s="20"/>
      <c r="O2421" s="20"/>
      <c r="P2421" s="20"/>
      <c r="Q2421" s="19"/>
    </row>
    <row r="2422" customFormat="false" ht="15" hidden="false" customHeight="false" outlineLevel="0" collapsed="false">
      <c r="A2422" s="10" t="n">
        <v>2416</v>
      </c>
      <c r="B2422" s="12" t="s">
        <v>3723</v>
      </c>
      <c r="C2422" s="12" t="s">
        <v>3708</v>
      </c>
      <c r="D2422" s="13"/>
      <c r="E2422" s="14"/>
      <c r="F2422" s="15" t="str">
        <f aca="false">IF(D2422="","",ROUND((D2422-MIN($D$7:$D$9999))*86400,2))</f>
        <v/>
      </c>
      <c r="G2422" s="10" t="str">
        <f aca="false">IF(D2422="","",IF(D2422&lt;=($E$3*60+$F$3)/86400,"○",""))</f>
        <v/>
      </c>
      <c r="H2422" s="16" t="n">
        <v>0.00787581018518519</v>
      </c>
      <c r="I2422" s="17" t="n">
        <v>1155</v>
      </c>
      <c r="J2422" s="16"/>
      <c r="K2422" s="17"/>
      <c r="L2422" s="17" t="n">
        <f aca="false">COUNT(E2422,I2422,K2422)</f>
        <v>1</v>
      </c>
      <c r="M2422" s="18" t="n">
        <f aca="false">(D2422&lt;&gt;"")*(D2422&lt;=($E$3*60+$F$3)/86400)+(H2422&lt;&gt;"")*(H2422&lt;=($I$3*60+$J$3)/86400)+(J2422&lt;&gt;"")*(J2422&lt;=($M$3*60+$N$3)/86400)</f>
        <v>0</v>
      </c>
      <c r="N2422" s="20"/>
      <c r="O2422" s="20"/>
      <c r="P2422" s="20"/>
      <c r="Q2422" s="19"/>
    </row>
    <row r="2423" customFormat="false" ht="15" hidden="false" customHeight="false" outlineLevel="0" collapsed="false">
      <c r="A2423" s="10" t="n">
        <v>2417</v>
      </c>
      <c r="B2423" s="12" t="s">
        <v>3724</v>
      </c>
      <c r="C2423" s="12" t="s">
        <v>3725</v>
      </c>
      <c r="D2423" s="13"/>
      <c r="E2423" s="14"/>
      <c r="F2423" s="15" t="str">
        <f aca="false">IF(D2423="","",ROUND((D2423-MIN($D$7:$D$9999))*86400,2))</f>
        <v/>
      </c>
      <c r="G2423" s="10" t="str">
        <f aca="false">IF(D2423="","",IF(D2423&lt;=($E$3*60+$F$3)/86400,"○",""))</f>
        <v/>
      </c>
      <c r="H2423" s="16" t="n">
        <v>0.00787800925925926</v>
      </c>
      <c r="I2423" s="17" t="n">
        <v>1156</v>
      </c>
      <c r="J2423" s="16"/>
      <c r="K2423" s="17"/>
      <c r="L2423" s="17" t="n">
        <f aca="false">COUNT(E2423,I2423,K2423)</f>
        <v>1</v>
      </c>
      <c r="M2423" s="18" t="n">
        <f aca="false">(D2423&lt;&gt;"")*(D2423&lt;=($E$3*60+$F$3)/86400)+(H2423&lt;&gt;"")*(H2423&lt;=($I$3*60+$J$3)/86400)+(J2423&lt;&gt;"")*(J2423&lt;=($M$3*60+$N$3)/86400)</f>
        <v>0</v>
      </c>
      <c r="N2423" s="20"/>
      <c r="O2423" s="20"/>
      <c r="P2423" s="20"/>
      <c r="Q2423" s="19"/>
    </row>
    <row r="2424" customFormat="false" ht="15" hidden="false" customHeight="false" outlineLevel="0" collapsed="false">
      <c r="A2424" s="10" t="n">
        <v>2418</v>
      </c>
      <c r="B2424" s="12" t="s">
        <v>3726</v>
      </c>
      <c r="C2424" s="12" t="s">
        <v>809</v>
      </c>
      <c r="D2424" s="13"/>
      <c r="E2424" s="14"/>
      <c r="F2424" s="15" t="str">
        <f aca="false">IF(D2424="","",ROUND((D2424-MIN($D$7:$D$9999))*86400,2))</f>
        <v/>
      </c>
      <c r="G2424" s="10" t="str">
        <f aca="false">IF(D2424="","",IF(D2424&lt;=($E$3*60+$F$3)/86400,"○",""))</f>
        <v/>
      </c>
      <c r="H2424" s="16" t="n">
        <v>0.0078787037037037</v>
      </c>
      <c r="I2424" s="17" t="n">
        <v>1157</v>
      </c>
      <c r="J2424" s="16"/>
      <c r="K2424" s="17"/>
      <c r="L2424" s="17" t="n">
        <f aca="false">COUNT(E2424,I2424,K2424)</f>
        <v>1</v>
      </c>
      <c r="M2424" s="18" t="n">
        <f aca="false">(D2424&lt;&gt;"")*(D2424&lt;=($E$3*60+$F$3)/86400)+(H2424&lt;&gt;"")*(H2424&lt;=($I$3*60+$J$3)/86400)+(J2424&lt;&gt;"")*(J2424&lt;=($M$3*60+$N$3)/86400)</f>
        <v>0</v>
      </c>
      <c r="N2424" s="20"/>
      <c r="O2424" s="20"/>
      <c r="P2424" s="20"/>
      <c r="Q2424" s="19"/>
    </row>
    <row r="2425" customFormat="false" ht="15" hidden="false" customHeight="false" outlineLevel="0" collapsed="false">
      <c r="A2425" s="10" t="n">
        <v>2419</v>
      </c>
      <c r="B2425" s="12" t="s">
        <v>3727</v>
      </c>
      <c r="C2425" s="12" t="s">
        <v>3728</v>
      </c>
      <c r="D2425" s="13"/>
      <c r="E2425" s="14"/>
      <c r="F2425" s="15" t="str">
        <f aca="false">IF(D2425="","",ROUND((D2425-MIN($D$7:$D$9999))*86400,2))</f>
        <v/>
      </c>
      <c r="G2425" s="10" t="str">
        <f aca="false">IF(D2425="","",IF(D2425&lt;=($E$3*60+$F$3)/86400,"○",""))</f>
        <v/>
      </c>
      <c r="H2425" s="16"/>
      <c r="I2425" s="17"/>
      <c r="J2425" s="16" t="n">
        <v>0.00292592592592593</v>
      </c>
      <c r="K2425" s="17" t="n">
        <v>1157</v>
      </c>
      <c r="L2425" s="17" t="n">
        <f aca="false">COUNT(E2425,I2425,K2425)</f>
        <v>1</v>
      </c>
      <c r="M2425" s="18" t="n">
        <f aca="false">(D2425&lt;&gt;"")*(D2425&lt;=($E$3*60+$F$3)/86400)+(H2425&lt;&gt;"")*(H2425&lt;=($I$3*60+$J$3)/86400)+(J2425&lt;&gt;"")*(J2425&lt;=($M$3*60+$N$3)/86400)</f>
        <v>0</v>
      </c>
      <c r="N2425" s="20"/>
      <c r="O2425" s="20"/>
      <c r="P2425" s="20"/>
      <c r="Q2425" s="19"/>
    </row>
    <row r="2426" customFormat="false" ht="15" hidden="false" customHeight="false" outlineLevel="0" collapsed="false">
      <c r="A2426" s="10" t="n">
        <v>2420</v>
      </c>
      <c r="B2426" s="12" t="s">
        <v>3729</v>
      </c>
      <c r="C2426" s="12" t="s">
        <v>3730</v>
      </c>
      <c r="D2426" s="13"/>
      <c r="E2426" s="14"/>
      <c r="F2426" s="15" t="str">
        <f aca="false">IF(D2426="","",ROUND((D2426-MIN($D$7:$D$9999))*86400,2))</f>
        <v/>
      </c>
      <c r="G2426" s="10" t="str">
        <f aca="false">IF(D2426="","",IF(D2426&lt;=($E$3*60+$F$3)/86400,"○",""))</f>
        <v/>
      </c>
      <c r="H2426" s="16" t="n">
        <v>0.00788101851851852</v>
      </c>
      <c r="I2426" s="17" t="n">
        <v>1158</v>
      </c>
      <c r="J2426" s="16"/>
      <c r="K2426" s="17"/>
      <c r="L2426" s="17" t="n">
        <f aca="false">COUNT(E2426,I2426,K2426)</f>
        <v>1</v>
      </c>
      <c r="M2426" s="18" t="n">
        <f aca="false">(D2426&lt;&gt;"")*(D2426&lt;=($E$3*60+$F$3)/86400)+(H2426&lt;&gt;"")*(H2426&lt;=($I$3*60+$J$3)/86400)+(J2426&lt;&gt;"")*(J2426&lt;=($M$3*60+$N$3)/86400)</f>
        <v>0</v>
      </c>
      <c r="N2426" s="20"/>
      <c r="O2426" s="20"/>
      <c r="P2426" s="20"/>
      <c r="Q2426" s="19"/>
    </row>
    <row r="2427" customFormat="false" ht="15" hidden="false" customHeight="false" outlineLevel="0" collapsed="false">
      <c r="A2427" s="10" t="n">
        <v>2421</v>
      </c>
      <c r="B2427" s="12" t="s">
        <v>3731</v>
      </c>
      <c r="C2427" s="12" t="s">
        <v>488</v>
      </c>
      <c r="D2427" s="13"/>
      <c r="E2427" s="14"/>
      <c r="F2427" s="15" t="str">
        <f aca="false">IF(D2427="","",ROUND((D2427-MIN($D$7:$D$9999))*86400,2))</f>
        <v/>
      </c>
      <c r="G2427" s="10" t="str">
        <f aca="false">IF(D2427="","",IF(D2427&lt;=($E$3*60+$F$3)/86400,"○",""))</f>
        <v/>
      </c>
      <c r="H2427" s="16" t="n">
        <v>0.00788472222222222</v>
      </c>
      <c r="I2427" s="17" t="n">
        <v>1159</v>
      </c>
      <c r="J2427" s="16"/>
      <c r="K2427" s="17"/>
      <c r="L2427" s="17" t="n">
        <f aca="false">COUNT(E2427,I2427,K2427)</f>
        <v>1</v>
      </c>
      <c r="M2427" s="18" t="n">
        <f aca="false">(D2427&lt;&gt;"")*(D2427&lt;=($E$3*60+$F$3)/86400)+(H2427&lt;&gt;"")*(H2427&lt;=($I$3*60+$J$3)/86400)+(J2427&lt;&gt;"")*(J2427&lt;=($M$3*60+$N$3)/86400)</f>
        <v>0</v>
      </c>
      <c r="N2427" s="20"/>
      <c r="O2427" s="20"/>
      <c r="P2427" s="20"/>
      <c r="Q2427" s="19"/>
    </row>
    <row r="2428" customFormat="false" ht="15" hidden="false" customHeight="false" outlineLevel="0" collapsed="false">
      <c r="A2428" s="10" t="n">
        <v>2422</v>
      </c>
      <c r="B2428" s="12" t="s">
        <v>3732</v>
      </c>
      <c r="C2428" s="12" t="s">
        <v>3733</v>
      </c>
      <c r="D2428" s="13"/>
      <c r="E2428" s="14"/>
      <c r="F2428" s="15" t="str">
        <f aca="false">IF(D2428="","",ROUND((D2428-MIN($D$7:$D$9999))*86400,2))</f>
        <v/>
      </c>
      <c r="G2428" s="10" t="str">
        <f aca="false">IF(D2428="","",IF(D2428&lt;=($E$3*60+$F$3)/86400,"○",""))</f>
        <v/>
      </c>
      <c r="H2428" s="16"/>
      <c r="I2428" s="17"/>
      <c r="J2428" s="16" t="n">
        <v>0.00292615740740741</v>
      </c>
      <c r="K2428" s="17" t="n">
        <v>1159</v>
      </c>
      <c r="L2428" s="17" t="n">
        <f aca="false">COUNT(E2428,I2428,K2428)</f>
        <v>1</v>
      </c>
      <c r="M2428" s="18" t="n">
        <f aca="false">(D2428&lt;&gt;"")*(D2428&lt;=($E$3*60+$F$3)/86400)+(H2428&lt;&gt;"")*(H2428&lt;=($I$3*60+$J$3)/86400)+(J2428&lt;&gt;"")*(J2428&lt;=($M$3*60+$N$3)/86400)</f>
        <v>0</v>
      </c>
      <c r="N2428" s="20"/>
      <c r="O2428" s="20"/>
      <c r="P2428" s="20"/>
      <c r="Q2428" s="19"/>
    </row>
    <row r="2429" customFormat="false" ht="15" hidden="false" customHeight="false" outlineLevel="0" collapsed="false">
      <c r="A2429" s="10" t="n">
        <v>2423</v>
      </c>
      <c r="B2429" s="12" t="s">
        <v>3734</v>
      </c>
      <c r="C2429" s="12" t="s">
        <v>1538</v>
      </c>
      <c r="D2429" s="13"/>
      <c r="E2429" s="14"/>
      <c r="F2429" s="15" t="str">
        <f aca="false">IF(D2429="","",ROUND((D2429-MIN($D$7:$D$9999))*86400,2))</f>
        <v/>
      </c>
      <c r="G2429" s="10" t="str">
        <f aca="false">IF(D2429="","",IF(D2429&lt;=($E$3*60+$F$3)/86400,"○",""))</f>
        <v/>
      </c>
      <c r="H2429" s="16" t="n">
        <v>0.00788622685185185</v>
      </c>
      <c r="I2429" s="17" t="n">
        <v>1160</v>
      </c>
      <c r="J2429" s="16"/>
      <c r="K2429" s="17"/>
      <c r="L2429" s="17" t="n">
        <f aca="false">COUNT(E2429,I2429,K2429)</f>
        <v>1</v>
      </c>
      <c r="M2429" s="18" t="n">
        <f aca="false">(D2429&lt;&gt;"")*(D2429&lt;=($E$3*60+$F$3)/86400)+(H2429&lt;&gt;"")*(H2429&lt;=($I$3*60+$J$3)/86400)+(J2429&lt;&gt;"")*(J2429&lt;=($M$3*60+$N$3)/86400)</f>
        <v>0</v>
      </c>
      <c r="N2429" s="20"/>
      <c r="O2429" s="20"/>
      <c r="P2429" s="20"/>
      <c r="Q2429" s="19"/>
    </row>
    <row r="2430" customFormat="false" ht="15" hidden="false" customHeight="false" outlineLevel="0" collapsed="false">
      <c r="A2430" s="10" t="n">
        <v>2424</v>
      </c>
      <c r="B2430" s="12" t="s">
        <v>3735</v>
      </c>
      <c r="C2430" s="12" t="s">
        <v>2027</v>
      </c>
      <c r="D2430" s="13"/>
      <c r="E2430" s="14"/>
      <c r="F2430" s="15" t="str">
        <f aca="false">IF(D2430="","",ROUND((D2430-MIN($D$7:$D$9999))*86400,2))</f>
        <v/>
      </c>
      <c r="G2430" s="10" t="str">
        <f aca="false">IF(D2430="","",IF(D2430&lt;=($E$3*60+$F$3)/86400,"○",""))</f>
        <v/>
      </c>
      <c r="H2430" s="16"/>
      <c r="I2430" s="17"/>
      <c r="J2430" s="16" t="n">
        <v>0.00292627314814815</v>
      </c>
      <c r="K2430" s="17" t="n">
        <v>1160</v>
      </c>
      <c r="L2430" s="17" t="n">
        <f aca="false">COUNT(E2430,I2430,K2430)</f>
        <v>1</v>
      </c>
      <c r="M2430" s="18" t="n">
        <f aca="false">(D2430&lt;&gt;"")*(D2430&lt;=($E$3*60+$F$3)/86400)+(H2430&lt;&gt;"")*(H2430&lt;=($I$3*60+$J$3)/86400)+(J2430&lt;&gt;"")*(J2430&lt;=($M$3*60+$N$3)/86400)</f>
        <v>0</v>
      </c>
      <c r="N2430" s="20"/>
      <c r="O2430" s="20" t="s">
        <v>3736</v>
      </c>
      <c r="P2430" s="20"/>
      <c r="Q2430" s="19"/>
    </row>
    <row r="2431" customFormat="false" ht="15" hidden="false" customHeight="false" outlineLevel="0" collapsed="false">
      <c r="A2431" s="10" t="n">
        <v>2425</v>
      </c>
      <c r="B2431" s="12" t="s">
        <v>3737</v>
      </c>
      <c r="C2431" s="12" t="s">
        <v>2149</v>
      </c>
      <c r="D2431" s="13"/>
      <c r="E2431" s="14"/>
      <c r="F2431" s="15" t="str">
        <f aca="false">IF(D2431="","",ROUND((D2431-MIN($D$7:$D$9999))*86400,2))</f>
        <v/>
      </c>
      <c r="G2431" s="10" t="str">
        <f aca="false">IF(D2431="","",IF(D2431&lt;=($E$3*60+$F$3)/86400,"○",""))</f>
        <v/>
      </c>
      <c r="H2431" s="16" t="n">
        <v>0.00788865740740741</v>
      </c>
      <c r="I2431" s="17" t="n">
        <v>1161</v>
      </c>
      <c r="J2431" s="16"/>
      <c r="K2431" s="17"/>
      <c r="L2431" s="17" t="n">
        <f aca="false">COUNT(E2431,I2431,K2431)</f>
        <v>1</v>
      </c>
      <c r="M2431" s="18" t="n">
        <f aca="false">(D2431&lt;&gt;"")*(D2431&lt;=($E$3*60+$F$3)/86400)+(H2431&lt;&gt;"")*(H2431&lt;=($I$3*60+$J$3)/86400)+(J2431&lt;&gt;"")*(J2431&lt;=($M$3*60+$N$3)/86400)</f>
        <v>0</v>
      </c>
      <c r="N2431" s="20"/>
      <c r="O2431" s="20"/>
      <c r="P2431" s="20"/>
      <c r="Q2431" s="19"/>
    </row>
    <row r="2432" customFormat="false" ht="15" hidden="false" customHeight="false" outlineLevel="0" collapsed="false">
      <c r="A2432" s="10" t="n">
        <v>2426</v>
      </c>
      <c r="B2432" s="12" t="s">
        <v>3738</v>
      </c>
      <c r="C2432" s="12" t="s">
        <v>3739</v>
      </c>
      <c r="D2432" s="13"/>
      <c r="E2432" s="14"/>
      <c r="F2432" s="15" t="str">
        <f aca="false">IF(D2432="","",ROUND((D2432-MIN($D$7:$D$9999))*86400,2))</f>
        <v/>
      </c>
      <c r="G2432" s="10" t="str">
        <f aca="false">IF(D2432="","",IF(D2432&lt;=($E$3*60+$F$3)/86400,"○",""))</f>
        <v/>
      </c>
      <c r="H2432" s="16"/>
      <c r="I2432" s="17"/>
      <c r="J2432" s="16" t="n">
        <v>0.00292627314814815</v>
      </c>
      <c r="K2432" s="17" t="n">
        <v>1161</v>
      </c>
      <c r="L2432" s="17" t="n">
        <f aca="false">COUNT(E2432,I2432,K2432)</f>
        <v>1</v>
      </c>
      <c r="M2432" s="18" t="n">
        <f aca="false">(D2432&lt;&gt;"")*(D2432&lt;=($E$3*60+$F$3)/86400)+(H2432&lt;&gt;"")*(H2432&lt;=($I$3*60+$J$3)/86400)+(J2432&lt;&gt;"")*(J2432&lt;=($M$3*60+$N$3)/86400)</f>
        <v>0</v>
      </c>
      <c r="N2432" s="20"/>
      <c r="O2432" s="20"/>
      <c r="P2432" s="20"/>
      <c r="Q2432" s="19"/>
    </row>
    <row r="2433" customFormat="false" ht="15" hidden="false" customHeight="false" outlineLevel="0" collapsed="false">
      <c r="A2433" s="10" t="n">
        <v>2427</v>
      </c>
      <c r="B2433" s="12" t="s">
        <v>3740</v>
      </c>
      <c r="C2433" s="12" t="s">
        <v>3672</v>
      </c>
      <c r="D2433" s="13"/>
      <c r="E2433" s="14"/>
      <c r="F2433" s="15" t="str">
        <f aca="false">IF(D2433="","",ROUND((D2433-MIN($D$7:$D$9999))*86400,2))</f>
        <v/>
      </c>
      <c r="G2433" s="10" t="str">
        <f aca="false">IF(D2433="","",IF(D2433&lt;=($E$3*60+$F$3)/86400,"○",""))</f>
        <v/>
      </c>
      <c r="H2433" s="16" t="n">
        <v>0.00789837962962963</v>
      </c>
      <c r="I2433" s="17" t="n">
        <v>1163</v>
      </c>
      <c r="J2433" s="16"/>
      <c r="K2433" s="17"/>
      <c r="L2433" s="17" t="n">
        <f aca="false">COUNT(E2433,I2433,K2433)</f>
        <v>1</v>
      </c>
      <c r="M2433" s="18" t="n">
        <f aca="false">(D2433&lt;&gt;"")*(D2433&lt;=($E$3*60+$F$3)/86400)+(H2433&lt;&gt;"")*(H2433&lt;=($I$3*60+$J$3)/86400)+(J2433&lt;&gt;"")*(J2433&lt;=($M$3*60+$N$3)/86400)</f>
        <v>0</v>
      </c>
      <c r="N2433" s="20"/>
      <c r="O2433" s="20"/>
      <c r="P2433" s="20"/>
      <c r="Q2433" s="19"/>
    </row>
    <row r="2434" customFormat="false" ht="15" hidden="false" customHeight="false" outlineLevel="0" collapsed="false">
      <c r="A2434" s="10" t="n">
        <v>2428</v>
      </c>
      <c r="B2434" s="12" t="s">
        <v>3741</v>
      </c>
      <c r="C2434" s="12" t="s">
        <v>3742</v>
      </c>
      <c r="D2434" s="13"/>
      <c r="E2434" s="14"/>
      <c r="F2434" s="15" t="str">
        <f aca="false">IF(D2434="","",ROUND((D2434-MIN($D$7:$D$9999))*86400,2))</f>
        <v/>
      </c>
      <c r="G2434" s="10" t="str">
        <f aca="false">IF(D2434="","",IF(D2434&lt;=($E$3*60+$F$3)/86400,"○",""))</f>
        <v/>
      </c>
      <c r="H2434" s="16"/>
      <c r="I2434" s="17"/>
      <c r="J2434" s="16" t="n">
        <v>0.00292673611111111</v>
      </c>
      <c r="K2434" s="17" t="n">
        <v>1163</v>
      </c>
      <c r="L2434" s="17" t="n">
        <f aca="false">COUNT(E2434,I2434,K2434)</f>
        <v>1</v>
      </c>
      <c r="M2434" s="18" t="n">
        <f aca="false">(D2434&lt;&gt;"")*(D2434&lt;=($E$3*60+$F$3)/86400)+(H2434&lt;&gt;"")*(H2434&lt;=($I$3*60+$J$3)/86400)+(J2434&lt;&gt;"")*(J2434&lt;=($M$3*60+$N$3)/86400)</f>
        <v>0</v>
      </c>
      <c r="N2434" s="20"/>
      <c r="O2434" s="20"/>
      <c r="P2434" s="20"/>
      <c r="Q2434" s="19"/>
    </row>
    <row r="2435" customFormat="false" ht="15" hidden="false" customHeight="false" outlineLevel="0" collapsed="false">
      <c r="A2435" s="10" t="n">
        <v>2429</v>
      </c>
      <c r="B2435" s="12" t="s">
        <v>3743</v>
      </c>
      <c r="C2435" s="12" t="s">
        <v>1269</v>
      </c>
      <c r="D2435" s="13"/>
      <c r="E2435" s="14"/>
      <c r="F2435" s="15" t="str">
        <f aca="false">IF(D2435="","",ROUND((D2435-MIN($D$7:$D$9999))*86400,2))</f>
        <v/>
      </c>
      <c r="G2435" s="10" t="str">
        <f aca="false">IF(D2435="","",IF(D2435&lt;=($E$3*60+$F$3)/86400,"○",""))</f>
        <v/>
      </c>
      <c r="H2435" s="16" t="n">
        <v>0.00790162037037037</v>
      </c>
      <c r="I2435" s="17" t="n">
        <v>1164</v>
      </c>
      <c r="J2435" s="16"/>
      <c r="K2435" s="17"/>
      <c r="L2435" s="17" t="n">
        <f aca="false">COUNT(E2435,I2435,K2435)</f>
        <v>1</v>
      </c>
      <c r="M2435" s="18" t="n">
        <f aca="false">(D2435&lt;&gt;"")*(D2435&lt;=($E$3*60+$F$3)/86400)+(H2435&lt;&gt;"")*(H2435&lt;=($I$3*60+$J$3)/86400)+(J2435&lt;&gt;"")*(J2435&lt;=($M$3*60+$N$3)/86400)</f>
        <v>0</v>
      </c>
      <c r="N2435" s="20"/>
      <c r="O2435" s="20"/>
      <c r="P2435" s="20"/>
      <c r="Q2435" s="19"/>
    </row>
    <row r="2436" customFormat="false" ht="15" hidden="false" customHeight="false" outlineLevel="0" collapsed="false">
      <c r="A2436" s="10" t="n">
        <v>2430</v>
      </c>
      <c r="B2436" s="12" t="s">
        <v>3744</v>
      </c>
      <c r="C2436" s="12" t="s">
        <v>779</v>
      </c>
      <c r="D2436" s="13"/>
      <c r="E2436" s="14"/>
      <c r="F2436" s="15" t="str">
        <f aca="false">IF(D2436="","",ROUND((D2436-MIN($D$7:$D$9999))*86400,2))</f>
        <v/>
      </c>
      <c r="G2436" s="10" t="str">
        <f aca="false">IF(D2436="","",IF(D2436&lt;=($E$3*60+$F$3)/86400,"○",""))</f>
        <v/>
      </c>
      <c r="H2436" s="16"/>
      <c r="I2436" s="17"/>
      <c r="J2436" s="16" t="n">
        <v>0.00292731481481482</v>
      </c>
      <c r="K2436" s="17" t="n">
        <v>1164</v>
      </c>
      <c r="L2436" s="17" t="n">
        <f aca="false">COUNT(E2436,I2436,K2436)</f>
        <v>1</v>
      </c>
      <c r="M2436" s="18" t="n">
        <f aca="false">(D2436&lt;&gt;"")*(D2436&lt;=($E$3*60+$F$3)/86400)+(H2436&lt;&gt;"")*(H2436&lt;=($I$3*60+$J$3)/86400)+(J2436&lt;&gt;"")*(J2436&lt;=($M$3*60+$N$3)/86400)</f>
        <v>0</v>
      </c>
      <c r="N2436" s="20"/>
      <c r="O2436" s="20"/>
      <c r="P2436" s="20"/>
      <c r="Q2436" s="19"/>
    </row>
    <row r="2437" customFormat="false" ht="15" hidden="false" customHeight="false" outlineLevel="0" collapsed="false">
      <c r="A2437" s="10" t="n">
        <v>2431</v>
      </c>
      <c r="B2437" s="12" t="s">
        <v>3745</v>
      </c>
      <c r="C2437" s="12" t="s">
        <v>1929</v>
      </c>
      <c r="D2437" s="13"/>
      <c r="E2437" s="14"/>
      <c r="F2437" s="15" t="str">
        <f aca="false">IF(D2437="","",ROUND((D2437-MIN($D$7:$D$9999))*86400,2))</f>
        <v/>
      </c>
      <c r="G2437" s="10" t="str">
        <f aca="false">IF(D2437="","",IF(D2437&lt;=($E$3*60+$F$3)/86400,"○",""))</f>
        <v/>
      </c>
      <c r="H2437" s="16" t="n">
        <v>0.007903125</v>
      </c>
      <c r="I2437" s="17" t="n">
        <v>1165</v>
      </c>
      <c r="J2437" s="16"/>
      <c r="K2437" s="17"/>
      <c r="L2437" s="17" t="n">
        <f aca="false">COUNT(E2437,I2437,K2437)</f>
        <v>1</v>
      </c>
      <c r="M2437" s="18" t="n">
        <f aca="false">(D2437&lt;&gt;"")*(D2437&lt;=($E$3*60+$F$3)/86400)+(H2437&lt;&gt;"")*(H2437&lt;=($I$3*60+$J$3)/86400)+(J2437&lt;&gt;"")*(J2437&lt;=($M$3*60+$N$3)/86400)</f>
        <v>0</v>
      </c>
      <c r="N2437" s="20"/>
      <c r="O2437" s="20"/>
      <c r="P2437" s="20"/>
      <c r="Q2437" s="19"/>
    </row>
    <row r="2438" customFormat="false" ht="15" hidden="false" customHeight="false" outlineLevel="0" collapsed="false">
      <c r="A2438" s="10" t="n">
        <v>2432</v>
      </c>
      <c r="B2438" s="12" t="s">
        <v>3746</v>
      </c>
      <c r="C2438" s="12" t="s">
        <v>3747</v>
      </c>
      <c r="D2438" s="13"/>
      <c r="E2438" s="14"/>
      <c r="F2438" s="15" t="str">
        <f aca="false">IF(D2438="","",ROUND((D2438-MIN($D$7:$D$9999))*86400,2))</f>
        <v/>
      </c>
      <c r="G2438" s="10" t="str">
        <f aca="false">IF(D2438="","",IF(D2438&lt;=($E$3*60+$F$3)/86400,"○",""))</f>
        <v/>
      </c>
      <c r="H2438" s="16"/>
      <c r="I2438" s="17"/>
      <c r="J2438" s="16" t="n">
        <v>0.00292731481481482</v>
      </c>
      <c r="K2438" s="17" t="n">
        <v>1165</v>
      </c>
      <c r="L2438" s="17" t="n">
        <f aca="false">COUNT(E2438,I2438,K2438)</f>
        <v>1</v>
      </c>
      <c r="M2438" s="18" t="n">
        <f aca="false">(D2438&lt;&gt;"")*(D2438&lt;=($E$3*60+$F$3)/86400)+(H2438&lt;&gt;"")*(H2438&lt;=($I$3*60+$J$3)/86400)+(J2438&lt;&gt;"")*(J2438&lt;=($M$3*60+$N$3)/86400)</f>
        <v>0</v>
      </c>
      <c r="N2438" s="20"/>
      <c r="O2438" s="20"/>
      <c r="P2438" s="20"/>
      <c r="Q2438" s="19"/>
    </row>
    <row r="2439" customFormat="false" ht="15" hidden="false" customHeight="false" outlineLevel="0" collapsed="false">
      <c r="A2439" s="10" t="n">
        <v>2433</v>
      </c>
      <c r="B2439" s="12" t="s">
        <v>3748</v>
      </c>
      <c r="C2439" s="12" t="s">
        <v>1212</v>
      </c>
      <c r="D2439" s="13"/>
      <c r="E2439" s="14"/>
      <c r="F2439" s="15" t="str">
        <f aca="false">IF(D2439="","",ROUND((D2439-MIN($D$7:$D$9999))*86400,2))</f>
        <v/>
      </c>
      <c r="G2439" s="10" t="str">
        <f aca="false">IF(D2439="","",IF(D2439&lt;=($E$3*60+$F$3)/86400,"○",""))</f>
        <v/>
      </c>
      <c r="H2439" s="16" t="n">
        <v>0.00790949074074074</v>
      </c>
      <c r="I2439" s="17" t="n">
        <v>1166</v>
      </c>
      <c r="J2439" s="16"/>
      <c r="K2439" s="17"/>
      <c r="L2439" s="17" t="n">
        <f aca="false">COUNT(E2439,I2439,K2439)</f>
        <v>1</v>
      </c>
      <c r="M2439" s="18" t="n">
        <f aca="false">(D2439&lt;&gt;"")*(D2439&lt;=($E$3*60+$F$3)/86400)+(H2439&lt;&gt;"")*(H2439&lt;=($I$3*60+$J$3)/86400)+(J2439&lt;&gt;"")*(J2439&lt;=($M$3*60+$N$3)/86400)</f>
        <v>0</v>
      </c>
      <c r="N2439" s="20"/>
      <c r="O2439" s="20"/>
      <c r="P2439" s="20"/>
      <c r="Q2439" s="19"/>
    </row>
    <row r="2440" customFormat="false" ht="15" hidden="false" customHeight="false" outlineLevel="0" collapsed="false">
      <c r="A2440" s="10" t="n">
        <v>2434</v>
      </c>
      <c r="B2440" s="12" t="s">
        <v>3749</v>
      </c>
      <c r="C2440" s="12" t="s">
        <v>3750</v>
      </c>
      <c r="D2440" s="13"/>
      <c r="E2440" s="14"/>
      <c r="F2440" s="15" t="str">
        <f aca="false">IF(D2440="","",ROUND((D2440-MIN($D$7:$D$9999))*86400,2))</f>
        <v/>
      </c>
      <c r="G2440" s="10" t="str">
        <f aca="false">IF(D2440="","",IF(D2440&lt;=($E$3*60+$F$3)/86400,"○",""))</f>
        <v/>
      </c>
      <c r="H2440" s="16" t="n">
        <v>0.00791446759259259</v>
      </c>
      <c r="I2440" s="17" t="n">
        <v>1167</v>
      </c>
      <c r="J2440" s="16"/>
      <c r="K2440" s="17"/>
      <c r="L2440" s="17" t="n">
        <f aca="false">COUNT(E2440,I2440,K2440)</f>
        <v>1</v>
      </c>
      <c r="M2440" s="18" t="n">
        <f aca="false">(D2440&lt;&gt;"")*(D2440&lt;=($E$3*60+$F$3)/86400)+(H2440&lt;&gt;"")*(H2440&lt;=($I$3*60+$J$3)/86400)+(J2440&lt;&gt;"")*(J2440&lt;=($M$3*60+$N$3)/86400)</f>
        <v>0</v>
      </c>
      <c r="N2440" s="20"/>
      <c r="O2440" s="20"/>
      <c r="P2440" s="20"/>
      <c r="Q2440" s="19"/>
    </row>
    <row r="2441" customFormat="false" ht="15" hidden="false" customHeight="false" outlineLevel="0" collapsed="false">
      <c r="A2441" s="10" t="n">
        <v>2435</v>
      </c>
      <c r="B2441" s="12" t="s">
        <v>3751</v>
      </c>
      <c r="C2441" s="12" t="s">
        <v>3752</v>
      </c>
      <c r="D2441" s="13"/>
      <c r="E2441" s="14"/>
      <c r="F2441" s="15" t="str">
        <f aca="false">IF(D2441="","",ROUND((D2441-MIN($D$7:$D$9999))*86400,2))</f>
        <v/>
      </c>
      <c r="G2441" s="10" t="str">
        <f aca="false">IF(D2441="","",IF(D2441&lt;=($E$3*60+$F$3)/86400,"○",""))</f>
        <v/>
      </c>
      <c r="H2441" s="16"/>
      <c r="I2441" s="17"/>
      <c r="J2441" s="16" t="n">
        <v>0.00292766203703704</v>
      </c>
      <c r="K2441" s="17" t="n">
        <v>1167</v>
      </c>
      <c r="L2441" s="17" t="n">
        <f aca="false">COUNT(E2441,I2441,K2441)</f>
        <v>1</v>
      </c>
      <c r="M2441" s="18" t="n">
        <f aca="false">(D2441&lt;&gt;"")*(D2441&lt;=($E$3*60+$F$3)/86400)+(H2441&lt;&gt;"")*(H2441&lt;=($I$3*60+$J$3)/86400)+(J2441&lt;&gt;"")*(J2441&lt;=($M$3*60+$N$3)/86400)</f>
        <v>0</v>
      </c>
      <c r="N2441" s="20"/>
      <c r="O2441" s="20"/>
      <c r="P2441" s="20"/>
      <c r="Q2441" s="19"/>
    </row>
    <row r="2442" customFormat="false" ht="15" hidden="false" customHeight="false" outlineLevel="0" collapsed="false">
      <c r="A2442" s="10" t="n">
        <v>2436</v>
      </c>
      <c r="B2442" s="12" t="s">
        <v>3753</v>
      </c>
      <c r="C2442" s="12" t="s">
        <v>3754</v>
      </c>
      <c r="D2442" s="13"/>
      <c r="E2442" s="14"/>
      <c r="F2442" s="15" t="str">
        <f aca="false">IF(D2442="","",ROUND((D2442-MIN($D$7:$D$9999))*86400,2))</f>
        <v/>
      </c>
      <c r="G2442" s="10" t="str">
        <f aca="false">IF(D2442="","",IF(D2442&lt;=($E$3*60+$F$3)/86400,"○",""))</f>
        <v/>
      </c>
      <c r="H2442" s="16" t="n">
        <v>0.0079193287037037</v>
      </c>
      <c r="I2442" s="17" t="n">
        <v>1168</v>
      </c>
      <c r="J2442" s="16"/>
      <c r="K2442" s="17"/>
      <c r="L2442" s="17" t="n">
        <f aca="false">COUNT(E2442,I2442,K2442)</f>
        <v>1</v>
      </c>
      <c r="M2442" s="18" t="n">
        <f aca="false">(D2442&lt;&gt;"")*(D2442&lt;=($E$3*60+$F$3)/86400)+(H2442&lt;&gt;"")*(H2442&lt;=($I$3*60+$J$3)/86400)+(J2442&lt;&gt;"")*(J2442&lt;=($M$3*60+$N$3)/86400)</f>
        <v>0</v>
      </c>
      <c r="N2442" s="20"/>
      <c r="O2442" s="20"/>
      <c r="P2442" s="20"/>
      <c r="Q2442" s="19"/>
    </row>
    <row r="2443" customFormat="false" ht="15" hidden="false" customHeight="false" outlineLevel="0" collapsed="false">
      <c r="A2443" s="10" t="n">
        <v>2437</v>
      </c>
      <c r="B2443" s="12" t="s">
        <v>3755</v>
      </c>
      <c r="C2443" s="12" t="s">
        <v>3756</v>
      </c>
      <c r="D2443" s="13"/>
      <c r="E2443" s="14"/>
      <c r="F2443" s="15" t="str">
        <f aca="false">IF(D2443="","",ROUND((D2443-MIN($D$7:$D$9999))*86400,2))</f>
        <v/>
      </c>
      <c r="G2443" s="10" t="str">
        <f aca="false">IF(D2443="","",IF(D2443&lt;=($E$3*60+$F$3)/86400,"○",""))</f>
        <v/>
      </c>
      <c r="H2443" s="16" t="n">
        <v>0.00792094907407407</v>
      </c>
      <c r="I2443" s="17" t="n">
        <v>1169</v>
      </c>
      <c r="J2443" s="16"/>
      <c r="K2443" s="17"/>
      <c r="L2443" s="17" t="n">
        <f aca="false">COUNT(E2443,I2443,K2443)</f>
        <v>1</v>
      </c>
      <c r="M2443" s="18" t="n">
        <f aca="false">(D2443&lt;&gt;"")*(D2443&lt;=($E$3*60+$F$3)/86400)+(H2443&lt;&gt;"")*(H2443&lt;=($I$3*60+$J$3)/86400)+(J2443&lt;&gt;"")*(J2443&lt;=($M$3*60+$N$3)/86400)</f>
        <v>0</v>
      </c>
      <c r="N2443" s="20"/>
      <c r="O2443" s="20"/>
      <c r="P2443" s="20"/>
      <c r="Q2443" s="19"/>
    </row>
    <row r="2444" customFormat="false" ht="15" hidden="false" customHeight="false" outlineLevel="0" collapsed="false">
      <c r="A2444" s="10" t="n">
        <v>2438</v>
      </c>
      <c r="B2444" s="12" t="s">
        <v>3757</v>
      </c>
      <c r="C2444" s="12" t="s">
        <v>2959</v>
      </c>
      <c r="D2444" s="13"/>
      <c r="E2444" s="14"/>
      <c r="F2444" s="15" t="str">
        <f aca="false">IF(D2444="","",ROUND((D2444-MIN($D$7:$D$9999))*86400,2))</f>
        <v/>
      </c>
      <c r="G2444" s="10" t="str">
        <f aca="false">IF(D2444="","",IF(D2444&lt;=($E$3*60+$F$3)/86400,"○",""))</f>
        <v/>
      </c>
      <c r="H2444" s="16"/>
      <c r="I2444" s="17"/>
      <c r="J2444" s="16" t="n">
        <v>0.00292835648148148</v>
      </c>
      <c r="K2444" s="17" t="n">
        <v>1169</v>
      </c>
      <c r="L2444" s="17" t="n">
        <f aca="false">COUNT(E2444,I2444,K2444)</f>
        <v>1</v>
      </c>
      <c r="M2444" s="18" t="n">
        <f aca="false">(D2444&lt;&gt;"")*(D2444&lt;=($E$3*60+$F$3)/86400)+(H2444&lt;&gt;"")*(H2444&lt;=($I$3*60+$J$3)/86400)+(J2444&lt;&gt;"")*(J2444&lt;=($M$3*60+$N$3)/86400)</f>
        <v>0</v>
      </c>
      <c r="N2444" s="20"/>
      <c r="O2444" s="20"/>
      <c r="P2444" s="20"/>
      <c r="Q2444" s="19"/>
    </row>
    <row r="2445" customFormat="false" ht="15" hidden="false" customHeight="false" outlineLevel="0" collapsed="false">
      <c r="A2445" s="10" t="n">
        <v>2439</v>
      </c>
      <c r="B2445" s="12" t="s">
        <v>3758</v>
      </c>
      <c r="C2445" s="12" t="s">
        <v>2524</v>
      </c>
      <c r="D2445" s="13"/>
      <c r="E2445" s="14"/>
      <c r="F2445" s="15" t="str">
        <f aca="false">IF(D2445="","",ROUND((D2445-MIN($D$7:$D$9999))*86400,2))</f>
        <v/>
      </c>
      <c r="G2445" s="10" t="str">
        <f aca="false">IF(D2445="","",IF(D2445&lt;=($E$3*60+$F$3)/86400,"○",""))</f>
        <v/>
      </c>
      <c r="H2445" s="16" t="n">
        <v>0.00792314814814815</v>
      </c>
      <c r="I2445" s="17" t="n">
        <v>1170</v>
      </c>
      <c r="J2445" s="16"/>
      <c r="K2445" s="17"/>
      <c r="L2445" s="17" t="n">
        <f aca="false">COUNT(E2445,I2445,K2445)</f>
        <v>1</v>
      </c>
      <c r="M2445" s="18" t="n">
        <f aca="false">(D2445&lt;&gt;"")*(D2445&lt;=($E$3*60+$F$3)/86400)+(H2445&lt;&gt;"")*(H2445&lt;=($I$3*60+$J$3)/86400)+(J2445&lt;&gt;"")*(J2445&lt;=($M$3*60+$N$3)/86400)</f>
        <v>0</v>
      </c>
      <c r="N2445" s="20"/>
      <c r="O2445" s="20"/>
      <c r="P2445" s="20"/>
      <c r="Q2445" s="19"/>
    </row>
    <row r="2446" customFormat="false" ht="15" hidden="false" customHeight="false" outlineLevel="0" collapsed="false">
      <c r="A2446" s="10" t="n">
        <v>2440</v>
      </c>
      <c r="B2446" s="12" t="s">
        <v>3759</v>
      </c>
      <c r="C2446" s="12" t="s">
        <v>3760</v>
      </c>
      <c r="D2446" s="13"/>
      <c r="E2446" s="14"/>
      <c r="F2446" s="15" t="str">
        <f aca="false">IF(D2446="","",ROUND((D2446-MIN($D$7:$D$9999))*86400,2))</f>
        <v/>
      </c>
      <c r="G2446" s="10" t="str">
        <f aca="false">IF(D2446="","",IF(D2446&lt;=($E$3*60+$F$3)/86400,"○",""))</f>
        <v/>
      </c>
      <c r="H2446" s="16" t="n">
        <v>0.00792511574074074</v>
      </c>
      <c r="I2446" s="17" t="n">
        <v>1171</v>
      </c>
      <c r="J2446" s="16"/>
      <c r="K2446" s="17"/>
      <c r="L2446" s="17" t="n">
        <f aca="false">COUNT(E2446,I2446,K2446)</f>
        <v>1</v>
      </c>
      <c r="M2446" s="18" t="n">
        <f aca="false">(D2446&lt;&gt;"")*(D2446&lt;=($E$3*60+$F$3)/86400)+(H2446&lt;&gt;"")*(H2446&lt;=($I$3*60+$J$3)/86400)+(J2446&lt;&gt;"")*(J2446&lt;=($M$3*60+$N$3)/86400)</f>
        <v>0</v>
      </c>
      <c r="N2446" s="20"/>
      <c r="O2446" s="20"/>
      <c r="P2446" s="20"/>
      <c r="Q2446" s="19"/>
    </row>
    <row r="2447" customFormat="false" ht="15" hidden="false" customHeight="false" outlineLevel="0" collapsed="false">
      <c r="A2447" s="10" t="n">
        <v>2441</v>
      </c>
      <c r="B2447" s="12" t="s">
        <v>3761</v>
      </c>
      <c r="C2447" s="12" t="s">
        <v>103</v>
      </c>
      <c r="D2447" s="13"/>
      <c r="E2447" s="14"/>
      <c r="F2447" s="15" t="str">
        <f aca="false">IF(D2447="","",ROUND((D2447-MIN($D$7:$D$9999))*86400,2))</f>
        <v/>
      </c>
      <c r="G2447" s="10" t="str">
        <f aca="false">IF(D2447="","",IF(D2447&lt;=($E$3*60+$F$3)/86400,"○",""))</f>
        <v/>
      </c>
      <c r="H2447" s="16" t="n">
        <v>0.00793101851851852</v>
      </c>
      <c r="I2447" s="17" t="n">
        <v>1172</v>
      </c>
      <c r="J2447" s="16"/>
      <c r="K2447" s="17"/>
      <c r="L2447" s="17" t="n">
        <f aca="false">COUNT(E2447,I2447,K2447)</f>
        <v>1</v>
      </c>
      <c r="M2447" s="18" t="n">
        <f aca="false">(D2447&lt;&gt;"")*(D2447&lt;=($E$3*60+$F$3)/86400)+(H2447&lt;&gt;"")*(H2447&lt;=($I$3*60+$J$3)/86400)+(J2447&lt;&gt;"")*(J2447&lt;=($M$3*60+$N$3)/86400)</f>
        <v>0</v>
      </c>
      <c r="N2447" s="20"/>
      <c r="O2447" s="20"/>
      <c r="P2447" s="20"/>
      <c r="Q2447" s="19"/>
    </row>
    <row r="2448" customFormat="false" ht="15" hidden="false" customHeight="false" outlineLevel="0" collapsed="false">
      <c r="A2448" s="10" t="n">
        <v>2442</v>
      </c>
      <c r="B2448" s="12" t="s">
        <v>3762</v>
      </c>
      <c r="C2448" s="12" t="s">
        <v>953</v>
      </c>
      <c r="D2448" s="13"/>
      <c r="E2448" s="14"/>
      <c r="F2448" s="15" t="str">
        <f aca="false">IF(D2448="","",ROUND((D2448-MIN($D$7:$D$9999))*86400,2))</f>
        <v/>
      </c>
      <c r="G2448" s="10" t="str">
        <f aca="false">IF(D2448="","",IF(D2448&lt;=($E$3*60+$F$3)/86400,"○",""))</f>
        <v/>
      </c>
      <c r="H2448" s="16"/>
      <c r="I2448" s="17"/>
      <c r="J2448" s="16" t="n">
        <v>0.00292951388888889</v>
      </c>
      <c r="K2448" s="17" t="n">
        <v>1172</v>
      </c>
      <c r="L2448" s="17" t="n">
        <f aca="false">COUNT(E2448,I2448,K2448)</f>
        <v>1</v>
      </c>
      <c r="M2448" s="18" t="n">
        <f aca="false">(D2448&lt;&gt;"")*(D2448&lt;=($E$3*60+$F$3)/86400)+(H2448&lt;&gt;"")*(H2448&lt;=($I$3*60+$J$3)/86400)+(J2448&lt;&gt;"")*(J2448&lt;=($M$3*60+$N$3)/86400)</f>
        <v>0</v>
      </c>
      <c r="N2448" s="20"/>
      <c r="O2448" s="20"/>
      <c r="P2448" s="20"/>
      <c r="Q2448" s="19"/>
    </row>
    <row r="2449" customFormat="false" ht="15" hidden="false" customHeight="false" outlineLevel="0" collapsed="false">
      <c r="A2449" s="10" t="n">
        <v>2443</v>
      </c>
      <c r="B2449" s="12" t="s">
        <v>3763</v>
      </c>
      <c r="C2449" s="12" t="s">
        <v>1218</v>
      </c>
      <c r="D2449" s="13"/>
      <c r="E2449" s="14"/>
      <c r="F2449" s="15" t="str">
        <f aca="false">IF(D2449="","",ROUND((D2449-MIN($D$7:$D$9999))*86400,2))</f>
        <v/>
      </c>
      <c r="G2449" s="10" t="str">
        <f aca="false">IF(D2449="","",IF(D2449&lt;=($E$3*60+$F$3)/86400,"○",""))</f>
        <v/>
      </c>
      <c r="H2449" s="16" t="n">
        <v>0.00793321759259259</v>
      </c>
      <c r="I2449" s="17" t="n">
        <v>1173</v>
      </c>
      <c r="J2449" s="16"/>
      <c r="K2449" s="17"/>
      <c r="L2449" s="17" t="n">
        <f aca="false">COUNT(E2449,I2449,K2449)</f>
        <v>1</v>
      </c>
      <c r="M2449" s="18" t="n">
        <f aca="false">(D2449&lt;&gt;"")*(D2449&lt;=($E$3*60+$F$3)/86400)+(H2449&lt;&gt;"")*(H2449&lt;=($I$3*60+$J$3)/86400)+(J2449&lt;&gt;"")*(J2449&lt;=($M$3*60+$N$3)/86400)</f>
        <v>0</v>
      </c>
      <c r="N2449" s="20"/>
      <c r="O2449" s="20"/>
      <c r="P2449" s="20"/>
      <c r="Q2449" s="19"/>
    </row>
    <row r="2450" customFormat="false" ht="15" hidden="false" customHeight="false" outlineLevel="0" collapsed="false">
      <c r="A2450" s="10" t="n">
        <v>2444</v>
      </c>
      <c r="B2450" s="12" t="s">
        <v>3764</v>
      </c>
      <c r="C2450" s="12" t="s">
        <v>3765</v>
      </c>
      <c r="D2450" s="13"/>
      <c r="E2450" s="14"/>
      <c r="F2450" s="15" t="str">
        <f aca="false">IF(D2450="","",ROUND((D2450-MIN($D$7:$D$9999))*86400,2))</f>
        <v/>
      </c>
      <c r="G2450" s="10" t="str">
        <f aca="false">IF(D2450="","",IF(D2450&lt;=($E$3*60+$F$3)/86400,"○",""))</f>
        <v/>
      </c>
      <c r="H2450" s="16" t="n">
        <v>0.00793981481481481</v>
      </c>
      <c r="I2450" s="17" t="n">
        <v>1175</v>
      </c>
      <c r="J2450" s="16"/>
      <c r="K2450" s="17"/>
      <c r="L2450" s="17" t="n">
        <f aca="false">COUNT(E2450,I2450,K2450)</f>
        <v>1</v>
      </c>
      <c r="M2450" s="18" t="n">
        <f aca="false">(D2450&lt;&gt;"")*(D2450&lt;=($E$3*60+$F$3)/86400)+(H2450&lt;&gt;"")*(H2450&lt;=($I$3*60+$J$3)/86400)+(J2450&lt;&gt;"")*(J2450&lt;=($M$3*60+$N$3)/86400)</f>
        <v>0</v>
      </c>
      <c r="N2450" s="20"/>
      <c r="O2450" s="20"/>
      <c r="P2450" s="20"/>
      <c r="Q2450" s="19"/>
    </row>
    <row r="2451" customFormat="false" ht="15" hidden="false" customHeight="false" outlineLevel="0" collapsed="false">
      <c r="A2451" s="10" t="n">
        <v>2445</v>
      </c>
      <c r="B2451" s="12" t="s">
        <v>3766</v>
      </c>
      <c r="C2451" s="12" t="s">
        <v>1682</v>
      </c>
      <c r="D2451" s="13"/>
      <c r="E2451" s="14"/>
      <c r="F2451" s="15" t="str">
        <f aca="false">IF(D2451="","",ROUND((D2451-MIN($D$7:$D$9999))*86400,2))</f>
        <v/>
      </c>
      <c r="G2451" s="10" t="str">
        <f aca="false">IF(D2451="","",IF(D2451&lt;=($E$3*60+$F$3)/86400,"○",""))</f>
        <v/>
      </c>
      <c r="H2451" s="16"/>
      <c r="I2451" s="17"/>
      <c r="J2451" s="16" t="n">
        <v>0.00293090277777778</v>
      </c>
      <c r="K2451" s="17" t="n">
        <v>1175</v>
      </c>
      <c r="L2451" s="17" t="n">
        <f aca="false">COUNT(E2451,I2451,K2451)</f>
        <v>1</v>
      </c>
      <c r="M2451" s="18" t="n">
        <f aca="false">(D2451&lt;&gt;"")*(D2451&lt;=($E$3*60+$F$3)/86400)+(H2451&lt;&gt;"")*(H2451&lt;=($I$3*60+$J$3)/86400)+(J2451&lt;&gt;"")*(J2451&lt;=($M$3*60+$N$3)/86400)</f>
        <v>0</v>
      </c>
      <c r="N2451" s="20"/>
      <c r="O2451" s="20"/>
      <c r="P2451" s="20"/>
      <c r="Q2451" s="19"/>
    </row>
    <row r="2452" customFormat="false" ht="15" hidden="false" customHeight="false" outlineLevel="0" collapsed="false">
      <c r="A2452" s="10" t="n">
        <v>2446</v>
      </c>
      <c r="B2452" s="12" t="s">
        <v>3767</v>
      </c>
      <c r="C2452" s="12" t="s">
        <v>1334</v>
      </c>
      <c r="D2452" s="13"/>
      <c r="E2452" s="14"/>
      <c r="F2452" s="15" t="str">
        <f aca="false">IF(D2452="","",ROUND((D2452-MIN($D$7:$D$9999))*86400,2))</f>
        <v/>
      </c>
      <c r="G2452" s="10" t="str">
        <f aca="false">IF(D2452="","",IF(D2452&lt;=($E$3*60+$F$3)/86400,"○",""))</f>
        <v/>
      </c>
      <c r="H2452" s="16" t="n">
        <v>0.00794212962962963</v>
      </c>
      <c r="I2452" s="17" t="n">
        <v>1176</v>
      </c>
      <c r="J2452" s="16"/>
      <c r="K2452" s="17"/>
      <c r="L2452" s="17" t="n">
        <f aca="false">COUNT(E2452,I2452,K2452)</f>
        <v>1</v>
      </c>
      <c r="M2452" s="18" t="n">
        <f aca="false">(D2452&lt;&gt;"")*(D2452&lt;=($E$3*60+$F$3)/86400)+(H2452&lt;&gt;"")*(H2452&lt;=($I$3*60+$J$3)/86400)+(J2452&lt;&gt;"")*(J2452&lt;=($M$3*60+$N$3)/86400)</f>
        <v>0</v>
      </c>
      <c r="N2452" s="20"/>
      <c r="O2452" s="20"/>
      <c r="P2452" s="20"/>
      <c r="Q2452" s="19"/>
    </row>
    <row r="2453" customFormat="false" ht="15" hidden="false" customHeight="false" outlineLevel="0" collapsed="false">
      <c r="A2453" s="10" t="n">
        <v>2447</v>
      </c>
      <c r="B2453" s="12" t="s">
        <v>3768</v>
      </c>
      <c r="C2453" s="12" t="s">
        <v>1199</v>
      </c>
      <c r="D2453" s="13"/>
      <c r="E2453" s="14"/>
      <c r="F2453" s="15" t="str">
        <f aca="false">IF(D2453="","",ROUND((D2453-MIN($D$7:$D$9999))*86400,2))</f>
        <v/>
      </c>
      <c r="G2453" s="10" t="str">
        <f aca="false">IF(D2453="","",IF(D2453&lt;=($E$3*60+$F$3)/86400,"○",""))</f>
        <v/>
      </c>
      <c r="H2453" s="16"/>
      <c r="I2453" s="17"/>
      <c r="J2453" s="16" t="n">
        <v>0.00293148148148148</v>
      </c>
      <c r="K2453" s="17" t="n">
        <v>1176</v>
      </c>
      <c r="L2453" s="17" t="n">
        <f aca="false">COUNT(E2453,I2453,K2453)</f>
        <v>1</v>
      </c>
      <c r="M2453" s="18" t="n">
        <f aca="false">(D2453&lt;&gt;"")*(D2453&lt;=($E$3*60+$F$3)/86400)+(H2453&lt;&gt;"")*(H2453&lt;=($I$3*60+$J$3)/86400)+(J2453&lt;&gt;"")*(J2453&lt;=($M$3*60+$N$3)/86400)</f>
        <v>0</v>
      </c>
      <c r="N2453" s="20"/>
      <c r="O2453" s="20"/>
      <c r="P2453" s="20"/>
      <c r="Q2453" s="19"/>
    </row>
    <row r="2454" customFormat="false" ht="15" hidden="false" customHeight="false" outlineLevel="0" collapsed="false">
      <c r="A2454" s="10" t="n">
        <v>2448</v>
      </c>
      <c r="B2454" s="12" t="s">
        <v>3769</v>
      </c>
      <c r="C2454" s="12" t="s">
        <v>2909</v>
      </c>
      <c r="D2454" s="13"/>
      <c r="E2454" s="14"/>
      <c r="F2454" s="15" t="str">
        <f aca="false">IF(D2454="","",ROUND((D2454-MIN($D$7:$D$9999))*86400,2))</f>
        <v/>
      </c>
      <c r="G2454" s="10" t="str">
        <f aca="false">IF(D2454="","",IF(D2454&lt;=($E$3*60+$F$3)/86400,"○",""))</f>
        <v/>
      </c>
      <c r="H2454" s="16" t="n">
        <v>0.00794224537037037</v>
      </c>
      <c r="I2454" s="17" t="n">
        <v>1177</v>
      </c>
      <c r="J2454" s="16"/>
      <c r="K2454" s="17"/>
      <c r="L2454" s="17" t="n">
        <f aca="false">COUNT(E2454,I2454,K2454)</f>
        <v>1</v>
      </c>
      <c r="M2454" s="18" t="n">
        <f aca="false">(D2454&lt;&gt;"")*(D2454&lt;=($E$3*60+$F$3)/86400)+(H2454&lt;&gt;"")*(H2454&lt;=($I$3*60+$J$3)/86400)+(J2454&lt;&gt;"")*(J2454&lt;=($M$3*60+$N$3)/86400)</f>
        <v>0</v>
      </c>
      <c r="N2454" s="20"/>
      <c r="O2454" s="20"/>
      <c r="P2454" s="20"/>
      <c r="Q2454" s="19"/>
    </row>
    <row r="2455" customFormat="false" ht="15" hidden="false" customHeight="false" outlineLevel="0" collapsed="false">
      <c r="A2455" s="10" t="n">
        <v>2449</v>
      </c>
      <c r="B2455" s="12" t="s">
        <v>3770</v>
      </c>
      <c r="C2455" s="12" t="s">
        <v>1861</v>
      </c>
      <c r="D2455" s="13"/>
      <c r="E2455" s="14"/>
      <c r="F2455" s="15" t="str">
        <f aca="false">IF(D2455="","",ROUND((D2455-MIN($D$7:$D$9999))*86400,2))</f>
        <v/>
      </c>
      <c r="G2455" s="10" t="str">
        <f aca="false">IF(D2455="","",IF(D2455&lt;=($E$3*60+$F$3)/86400,"○",""))</f>
        <v/>
      </c>
      <c r="H2455" s="16" t="n">
        <v>0.0079599537037037</v>
      </c>
      <c r="I2455" s="17" t="n">
        <v>1179</v>
      </c>
      <c r="J2455" s="16"/>
      <c r="K2455" s="17"/>
      <c r="L2455" s="17" t="n">
        <f aca="false">COUNT(E2455,I2455,K2455)</f>
        <v>1</v>
      </c>
      <c r="M2455" s="18" t="n">
        <f aca="false">(D2455&lt;&gt;"")*(D2455&lt;=($E$3*60+$F$3)/86400)+(H2455&lt;&gt;"")*(H2455&lt;=($I$3*60+$J$3)/86400)+(J2455&lt;&gt;"")*(J2455&lt;=($M$3*60+$N$3)/86400)</f>
        <v>0</v>
      </c>
      <c r="N2455" s="20"/>
      <c r="O2455" s="20"/>
      <c r="P2455" s="20"/>
      <c r="Q2455" s="19"/>
    </row>
    <row r="2456" customFormat="false" ht="15" hidden="false" customHeight="false" outlineLevel="0" collapsed="false">
      <c r="A2456" s="10" t="n">
        <v>2450</v>
      </c>
      <c r="B2456" s="12" t="s">
        <v>3771</v>
      </c>
      <c r="C2456" s="12" t="s">
        <v>2176</v>
      </c>
      <c r="D2456" s="13"/>
      <c r="E2456" s="14"/>
      <c r="F2456" s="15" t="str">
        <f aca="false">IF(D2456="","",ROUND((D2456-MIN($D$7:$D$9999))*86400,2))</f>
        <v/>
      </c>
      <c r="G2456" s="10" t="str">
        <f aca="false">IF(D2456="","",IF(D2456&lt;=($E$3*60+$F$3)/86400,"○",""))</f>
        <v/>
      </c>
      <c r="H2456" s="16"/>
      <c r="I2456" s="17"/>
      <c r="J2456" s="16" t="n">
        <v>0.00293206018518519</v>
      </c>
      <c r="K2456" s="17" t="n">
        <v>1179</v>
      </c>
      <c r="L2456" s="17" t="n">
        <f aca="false">COUNT(E2456,I2456,K2456)</f>
        <v>1</v>
      </c>
      <c r="M2456" s="18" t="n">
        <f aca="false">(D2456&lt;&gt;"")*(D2456&lt;=($E$3*60+$F$3)/86400)+(H2456&lt;&gt;"")*(H2456&lt;=($I$3*60+$J$3)/86400)+(J2456&lt;&gt;"")*(J2456&lt;=($M$3*60+$N$3)/86400)</f>
        <v>0</v>
      </c>
      <c r="N2456" s="20"/>
      <c r="O2456" s="20"/>
      <c r="P2456" s="20"/>
      <c r="Q2456" s="19"/>
    </row>
    <row r="2457" customFormat="false" ht="15" hidden="false" customHeight="false" outlineLevel="0" collapsed="false">
      <c r="A2457" s="10" t="n">
        <v>2451</v>
      </c>
      <c r="B2457" s="12" t="s">
        <v>3772</v>
      </c>
      <c r="C2457" s="12" t="s">
        <v>3773</v>
      </c>
      <c r="D2457" s="13"/>
      <c r="E2457" s="14"/>
      <c r="F2457" s="15" t="str">
        <f aca="false">IF(D2457="","",ROUND((D2457-MIN($D$7:$D$9999))*86400,2))</f>
        <v/>
      </c>
      <c r="G2457" s="10" t="str">
        <f aca="false">IF(D2457="","",IF(D2457&lt;=($E$3*60+$F$3)/86400,"○",""))</f>
        <v/>
      </c>
      <c r="H2457" s="16" t="n">
        <v>0.00796296296296296</v>
      </c>
      <c r="I2457" s="17" t="n">
        <v>1180</v>
      </c>
      <c r="J2457" s="16"/>
      <c r="K2457" s="17"/>
      <c r="L2457" s="17" t="n">
        <f aca="false">COUNT(E2457,I2457,K2457)</f>
        <v>1</v>
      </c>
      <c r="M2457" s="18" t="n">
        <f aca="false">(D2457&lt;&gt;"")*(D2457&lt;=($E$3*60+$F$3)/86400)+(H2457&lt;&gt;"")*(H2457&lt;=($I$3*60+$J$3)/86400)+(J2457&lt;&gt;"")*(J2457&lt;=($M$3*60+$N$3)/86400)</f>
        <v>0</v>
      </c>
      <c r="N2457" s="20"/>
      <c r="O2457" s="20"/>
      <c r="P2457" s="20"/>
      <c r="Q2457" s="19"/>
    </row>
    <row r="2458" customFormat="false" ht="15" hidden="false" customHeight="false" outlineLevel="0" collapsed="false">
      <c r="A2458" s="10" t="n">
        <v>2452</v>
      </c>
      <c r="B2458" s="12" t="s">
        <v>3774</v>
      </c>
      <c r="C2458" s="12" t="s">
        <v>3775</v>
      </c>
      <c r="D2458" s="13"/>
      <c r="E2458" s="14"/>
      <c r="F2458" s="15" t="str">
        <f aca="false">IF(D2458="","",ROUND((D2458-MIN($D$7:$D$9999))*86400,2))</f>
        <v/>
      </c>
      <c r="G2458" s="10" t="str">
        <f aca="false">IF(D2458="","",IF(D2458&lt;=($E$3*60+$F$3)/86400,"○",""))</f>
        <v/>
      </c>
      <c r="H2458" s="16" t="n">
        <v>0.00797002314814815</v>
      </c>
      <c r="I2458" s="17" t="n">
        <v>1181</v>
      </c>
      <c r="J2458" s="16"/>
      <c r="K2458" s="17"/>
      <c r="L2458" s="17" t="n">
        <f aca="false">COUNT(E2458,I2458,K2458)</f>
        <v>1</v>
      </c>
      <c r="M2458" s="18" t="n">
        <f aca="false">(D2458&lt;&gt;"")*(D2458&lt;=($E$3*60+$F$3)/86400)+(H2458&lt;&gt;"")*(H2458&lt;=($I$3*60+$J$3)/86400)+(J2458&lt;&gt;"")*(J2458&lt;=($M$3*60+$N$3)/86400)</f>
        <v>0</v>
      </c>
      <c r="N2458" s="20"/>
      <c r="O2458" s="20"/>
      <c r="P2458" s="20"/>
      <c r="Q2458" s="19"/>
    </row>
    <row r="2459" customFormat="false" ht="15" hidden="false" customHeight="false" outlineLevel="0" collapsed="false">
      <c r="A2459" s="10" t="n">
        <v>2453</v>
      </c>
      <c r="B2459" s="12" t="s">
        <v>3776</v>
      </c>
      <c r="C2459" s="12" t="s">
        <v>3777</v>
      </c>
      <c r="D2459" s="13"/>
      <c r="E2459" s="14"/>
      <c r="F2459" s="15" t="str">
        <f aca="false">IF(D2459="","",ROUND((D2459-MIN($D$7:$D$9999))*86400,2))</f>
        <v/>
      </c>
      <c r="G2459" s="10" t="str">
        <f aca="false">IF(D2459="","",IF(D2459&lt;=($E$3*60+$F$3)/86400,"○",""))</f>
        <v/>
      </c>
      <c r="H2459" s="16" t="n">
        <v>0.00797002314814815</v>
      </c>
      <c r="I2459" s="17" t="n">
        <v>1182</v>
      </c>
      <c r="J2459" s="16"/>
      <c r="K2459" s="17"/>
      <c r="L2459" s="17" t="n">
        <f aca="false">COUNT(E2459,I2459,K2459)</f>
        <v>1</v>
      </c>
      <c r="M2459" s="18" t="n">
        <f aca="false">(D2459&lt;&gt;"")*(D2459&lt;=($E$3*60+$F$3)/86400)+(H2459&lt;&gt;"")*(H2459&lt;=($I$3*60+$J$3)/86400)+(J2459&lt;&gt;"")*(J2459&lt;=($M$3*60+$N$3)/86400)</f>
        <v>0</v>
      </c>
      <c r="N2459" s="20"/>
      <c r="O2459" s="20"/>
      <c r="P2459" s="20"/>
      <c r="Q2459" s="19"/>
    </row>
    <row r="2460" customFormat="false" ht="15" hidden="false" customHeight="false" outlineLevel="0" collapsed="false">
      <c r="A2460" s="10" t="n">
        <v>2454</v>
      </c>
      <c r="B2460" s="12" t="s">
        <v>3778</v>
      </c>
      <c r="C2460" s="12" t="s">
        <v>3779</v>
      </c>
      <c r="D2460" s="13"/>
      <c r="E2460" s="14"/>
      <c r="F2460" s="15" t="str">
        <f aca="false">IF(D2460="","",ROUND((D2460-MIN($D$7:$D$9999))*86400,2))</f>
        <v/>
      </c>
      <c r="G2460" s="10" t="str">
        <f aca="false">IF(D2460="","",IF(D2460&lt;=($E$3*60+$F$3)/86400,"○",""))</f>
        <v/>
      </c>
      <c r="H2460" s="16" t="n">
        <v>0.0079755787037037</v>
      </c>
      <c r="I2460" s="17" t="n">
        <v>1183</v>
      </c>
      <c r="J2460" s="16"/>
      <c r="K2460" s="17"/>
      <c r="L2460" s="17" t="n">
        <f aca="false">COUNT(E2460,I2460,K2460)</f>
        <v>1</v>
      </c>
      <c r="M2460" s="18" t="n">
        <f aca="false">(D2460&lt;&gt;"")*(D2460&lt;=($E$3*60+$F$3)/86400)+(H2460&lt;&gt;"")*(H2460&lt;=($I$3*60+$J$3)/86400)+(J2460&lt;&gt;"")*(J2460&lt;=($M$3*60+$N$3)/86400)</f>
        <v>0</v>
      </c>
      <c r="N2460" s="20"/>
      <c r="O2460" s="20"/>
      <c r="P2460" s="20"/>
      <c r="Q2460" s="19"/>
    </row>
    <row r="2461" customFormat="false" ht="15" hidden="false" customHeight="false" outlineLevel="0" collapsed="false">
      <c r="A2461" s="10" t="n">
        <v>2455</v>
      </c>
      <c r="B2461" s="12" t="s">
        <v>3780</v>
      </c>
      <c r="C2461" s="12" t="s">
        <v>377</v>
      </c>
      <c r="D2461" s="13"/>
      <c r="E2461" s="14"/>
      <c r="F2461" s="15" t="str">
        <f aca="false">IF(D2461="","",ROUND((D2461-MIN($D$7:$D$9999))*86400,2))</f>
        <v/>
      </c>
      <c r="G2461" s="10" t="str">
        <f aca="false">IF(D2461="","",IF(D2461&lt;=($E$3*60+$F$3)/86400,"○",""))</f>
        <v/>
      </c>
      <c r="H2461" s="16" t="n">
        <v>0.00797835648148148</v>
      </c>
      <c r="I2461" s="17" t="n">
        <v>1184</v>
      </c>
      <c r="J2461" s="16"/>
      <c r="K2461" s="17"/>
      <c r="L2461" s="17" t="n">
        <f aca="false">COUNT(E2461,I2461,K2461)</f>
        <v>1</v>
      </c>
      <c r="M2461" s="18" t="n">
        <f aca="false">(D2461&lt;&gt;"")*(D2461&lt;=($E$3*60+$F$3)/86400)+(H2461&lt;&gt;"")*(H2461&lt;=($I$3*60+$J$3)/86400)+(J2461&lt;&gt;"")*(J2461&lt;=($M$3*60+$N$3)/86400)</f>
        <v>0</v>
      </c>
      <c r="N2461" s="20"/>
      <c r="O2461" s="20"/>
      <c r="P2461" s="20"/>
      <c r="Q2461" s="19"/>
    </row>
    <row r="2462" customFormat="false" ht="15" hidden="false" customHeight="false" outlineLevel="0" collapsed="false">
      <c r="A2462" s="10" t="n">
        <v>2456</v>
      </c>
      <c r="B2462" s="12" t="s">
        <v>3781</v>
      </c>
      <c r="C2462" s="12" t="s">
        <v>961</v>
      </c>
      <c r="D2462" s="13"/>
      <c r="E2462" s="14"/>
      <c r="F2462" s="15" t="str">
        <f aca="false">IF(D2462="","",ROUND((D2462-MIN($D$7:$D$9999))*86400,2))</f>
        <v/>
      </c>
      <c r="G2462" s="10" t="str">
        <f aca="false">IF(D2462="","",IF(D2462&lt;=($E$3*60+$F$3)/86400,"○",""))</f>
        <v/>
      </c>
      <c r="H2462" s="16"/>
      <c r="I2462" s="17"/>
      <c r="J2462" s="16" t="n">
        <v>0.00293472222222222</v>
      </c>
      <c r="K2462" s="17" t="n">
        <v>1184</v>
      </c>
      <c r="L2462" s="17" t="n">
        <f aca="false">COUNT(E2462,I2462,K2462)</f>
        <v>1</v>
      </c>
      <c r="M2462" s="18" t="n">
        <f aca="false">(D2462&lt;&gt;"")*(D2462&lt;=($E$3*60+$F$3)/86400)+(H2462&lt;&gt;"")*(H2462&lt;=($I$3*60+$J$3)/86400)+(J2462&lt;&gt;"")*(J2462&lt;=($M$3*60+$N$3)/86400)</f>
        <v>0</v>
      </c>
      <c r="N2462" s="20"/>
      <c r="O2462" s="20"/>
      <c r="P2462" s="20"/>
      <c r="Q2462" s="19"/>
    </row>
    <row r="2463" customFormat="false" ht="15" hidden="false" customHeight="false" outlineLevel="0" collapsed="false">
      <c r="A2463" s="10" t="n">
        <v>2457</v>
      </c>
      <c r="B2463" s="12" t="s">
        <v>3782</v>
      </c>
      <c r="C2463" s="12" t="s">
        <v>2485</v>
      </c>
      <c r="D2463" s="13"/>
      <c r="E2463" s="14"/>
      <c r="F2463" s="15" t="str">
        <f aca="false">IF(D2463="","",ROUND((D2463-MIN($D$7:$D$9999))*86400,2))</f>
        <v/>
      </c>
      <c r="G2463" s="10" t="str">
        <f aca="false">IF(D2463="","",IF(D2463&lt;=($E$3*60+$F$3)/86400,"○",""))</f>
        <v/>
      </c>
      <c r="H2463" s="16" t="n">
        <v>0.00798865740740741</v>
      </c>
      <c r="I2463" s="17" t="n">
        <v>1185</v>
      </c>
      <c r="J2463" s="16"/>
      <c r="K2463" s="17"/>
      <c r="L2463" s="17" t="n">
        <f aca="false">COUNT(E2463,I2463,K2463)</f>
        <v>1</v>
      </c>
      <c r="M2463" s="18" t="n">
        <f aca="false">(D2463&lt;&gt;"")*(D2463&lt;=($E$3*60+$F$3)/86400)+(H2463&lt;&gt;"")*(H2463&lt;=($I$3*60+$J$3)/86400)+(J2463&lt;&gt;"")*(J2463&lt;=($M$3*60+$N$3)/86400)</f>
        <v>0</v>
      </c>
      <c r="N2463" s="20"/>
      <c r="O2463" s="20"/>
      <c r="P2463" s="20"/>
      <c r="Q2463" s="19"/>
    </row>
    <row r="2464" customFormat="false" ht="15" hidden="false" customHeight="false" outlineLevel="0" collapsed="false">
      <c r="A2464" s="10" t="n">
        <v>2458</v>
      </c>
      <c r="B2464" s="12" t="s">
        <v>3783</v>
      </c>
      <c r="C2464" s="12" t="s">
        <v>551</v>
      </c>
      <c r="D2464" s="13"/>
      <c r="E2464" s="14"/>
      <c r="F2464" s="15" t="str">
        <f aca="false">IF(D2464="","",ROUND((D2464-MIN($D$7:$D$9999))*86400,2))</f>
        <v/>
      </c>
      <c r="G2464" s="10" t="str">
        <f aca="false">IF(D2464="","",IF(D2464&lt;=($E$3*60+$F$3)/86400,"○",""))</f>
        <v/>
      </c>
      <c r="H2464" s="16" t="n">
        <v>0.00799097222222222</v>
      </c>
      <c r="I2464" s="17" t="n">
        <v>1186</v>
      </c>
      <c r="J2464" s="16"/>
      <c r="K2464" s="17"/>
      <c r="L2464" s="17" t="n">
        <f aca="false">COUNT(E2464,I2464,K2464)</f>
        <v>1</v>
      </c>
      <c r="M2464" s="18" t="n">
        <f aca="false">(D2464&lt;&gt;"")*(D2464&lt;=($E$3*60+$F$3)/86400)+(H2464&lt;&gt;"")*(H2464&lt;=($I$3*60+$J$3)/86400)+(J2464&lt;&gt;"")*(J2464&lt;=($M$3*60+$N$3)/86400)</f>
        <v>0</v>
      </c>
      <c r="N2464" s="20"/>
      <c r="O2464" s="20"/>
      <c r="P2464" s="20"/>
      <c r="Q2464" s="19"/>
    </row>
    <row r="2465" customFormat="false" ht="15" hidden="false" customHeight="false" outlineLevel="0" collapsed="false">
      <c r="A2465" s="10" t="n">
        <v>2459</v>
      </c>
      <c r="B2465" s="12" t="s">
        <v>3784</v>
      </c>
      <c r="C2465" s="12" t="s">
        <v>569</v>
      </c>
      <c r="D2465" s="13"/>
      <c r="E2465" s="14"/>
      <c r="F2465" s="15" t="str">
        <f aca="false">IF(D2465="","",ROUND((D2465-MIN($D$7:$D$9999))*86400,2))</f>
        <v/>
      </c>
      <c r="G2465" s="10" t="str">
        <f aca="false">IF(D2465="","",IF(D2465&lt;=($E$3*60+$F$3)/86400,"○",""))</f>
        <v/>
      </c>
      <c r="H2465" s="16"/>
      <c r="I2465" s="17"/>
      <c r="J2465" s="16" t="n">
        <v>0.00293483796296296</v>
      </c>
      <c r="K2465" s="17" t="n">
        <v>1186</v>
      </c>
      <c r="L2465" s="17" t="n">
        <f aca="false">COUNT(E2465,I2465,K2465)</f>
        <v>1</v>
      </c>
      <c r="M2465" s="18" t="n">
        <f aca="false">(D2465&lt;&gt;"")*(D2465&lt;=($E$3*60+$F$3)/86400)+(H2465&lt;&gt;"")*(H2465&lt;=($I$3*60+$J$3)/86400)+(J2465&lt;&gt;"")*(J2465&lt;=($M$3*60+$N$3)/86400)</f>
        <v>0</v>
      </c>
      <c r="N2465" s="20"/>
      <c r="O2465" s="20"/>
      <c r="P2465" s="20"/>
      <c r="Q2465" s="19"/>
    </row>
    <row r="2466" customFormat="false" ht="15" hidden="false" customHeight="false" outlineLevel="0" collapsed="false">
      <c r="A2466" s="10" t="n">
        <v>2460</v>
      </c>
      <c r="B2466" s="12" t="s">
        <v>3785</v>
      </c>
      <c r="C2466" s="12" t="s">
        <v>3786</v>
      </c>
      <c r="D2466" s="13"/>
      <c r="E2466" s="14"/>
      <c r="F2466" s="15" t="str">
        <f aca="false">IF(D2466="","",ROUND((D2466-MIN($D$7:$D$9999))*86400,2))</f>
        <v/>
      </c>
      <c r="G2466" s="10" t="str">
        <f aca="false">IF(D2466="","",IF(D2466&lt;=($E$3*60+$F$3)/86400,"○",""))</f>
        <v/>
      </c>
      <c r="H2466" s="16" t="n">
        <v>0.00799293981481482</v>
      </c>
      <c r="I2466" s="17" t="n">
        <v>1187</v>
      </c>
      <c r="J2466" s="16"/>
      <c r="K2466" s="17"/>
      <c r="L2466" s="17" t="n">
        <f aca="false">COUNT(E2466,I2466,K2466)</f>
        <v>1</v>
      </c>
      <c r="M2466" s="18" t="n">
        <f aca="false">(D2466&lt;&gt;"")*(D2466&lt;=($E$3*60+$F$3)/86400)+(H2466&lt;&gt;"")*(H2466&lt;=($I$3*60+$J$3)/86400)+(J2466&lt;&gt;"")*(J2466&lt;=($M$3*60+$N$3)/86400)</f>
        <v>0</v>
      </c>
      <c r="N2466" s="20"/>
      <c r="O2466" s="20"/>
      <c r="P2466" s="20"/>
      <c r="Q2466" s="19"/>
    </row>
    <row r="2467" customFormat="false" ht="15" hidden="false" customHeight="false" outlineLevel="0" collapsed="false">
      <c r="A2467" s="10" t="n">
        <v>2461</v>
      </c>
      <c r="B2467" s="12" t="s">
        <v>3787</v>
      </c>
      <c r="C2467" s="12" t="s">
        <v>3788</v>
      </c>
      <c r="D2467" s="13"/>
      <c r="E2467" s="14"/>
      <c r="F2467" s="15" t="str">
        <f aca="false">IF(D2467="","",ROUND((D2467-MIN($D$7:$D$9999))*86400,2))</f>
        <v/>
      </c>
      <c r="G2467" s="10" t="str">
        <f aca="false">IF(D2467="","",IF(D2467&lt;=($E$3*60+$F$3)/86400,"○",""))</f>
        <v/>
      </c>
      <c r="H2467" s="16"/>
      <c r="I2467" s="17"/>
      <c r="J2467" s="16" t="n">
        <v>0.0029349537037037</v>
      </c>
      <c r="K2467" s="17" t="n">
        <v>1187</v>
      </c>
      <c r="L2467" s="17" t="n">
        <f aca="false">COUNT(E2467,I2467,K2467)</f>
        <v>1</v>
      </c>
      <c r="M2467" s="18" t="n">
        <f aca="false">(D2467&lt;&gt;"")*(D2467&lt;=($E$3*60+$F$3)/86400)+(H2467&lt;&gt;"")*(H2467&lt;=($I$3*60+$J$3)/86400)+(J2467&lt;&gt;"")*(J2467&lt;=($M$3*60+$N$3)/86400)</f>
        <v>0</v>
      </c>
      <c r="N2467" s="20"/>
      <c r="O2467" s="20"/>
      <c r="P2467" s="20"/>
      <c r="Q2467" s="19"/>
    </row>
    <row r="2468" customFormat="false" ht="15" hidden="false" customHeight="false" outlineLevel="0" collapsed="false">
      <c r="A2468" s="10" t="n">
        <v>2462</v>
      </c>
      <c r="B2468" s="12" t="s">
        <v>3789</v>
      </c>
      <c r="C2468" s="12" t="s">
        <v>3790</v>
      </c>
      <c r="D2468" s="13"/>
      <c r="E2468" s="14"/>
      <c r="F2468" s="15" t="str">
        <f aca="false">IF(D2468="","",ROUND((D2468-MIN($D$7:$D$9999))*86400,2))</f>
        <v/>
      </c>
      <c r="G2468" s="10" t="str">
        <f aca="false">IF(D2468="","",IF(D2468&lt;=($E$3*60+$F$3)/86400,"○",""))</f>
        <v/>
      </c>
      <c r="H2468" s="16" t="n">
        <v>0.00799710648148148</v>
      </c>
      <c r="I2468" s="17" t="n">
        <v>1188</v>
      </c>
      <c r="J2468" s="16"/>
      <c r="K2468" s="17"/>
      <c r="L2468" s="17" t="n">
        <f aca="false">COUNT(E2468,I2468,K2468)</f>
        <v>1</v>
      </c>
      <c r="M2468" s="18" t="n">
        <f aca="false">(D2468&lt;&gt;"")*(D2468&lt;=($E$3*60+$F$3)/86400)+(H2468&lt;&gt;"")*(H2468&lt;=($I$3*60+$J$3)/86400)+(J2468&lt;&gt;"")*(J2468&lt;=($M$3*60+$N$3)/86400)</f>
        <v>0</v>
      </c>
      <c r="N2468" s="20"/>
      <c r="O2468" s="20"/>
      <c r="P2468" s="20"/>
      <c r="Q2468" s="19"/>
    </row>
    <row r="2469" customFormat="false" ht="15" hidden="false" customHeight="false" outlineLevel="0" collapsed="false">
      <c r="A2469" s="10" t="n">
        <v>2463</v>
      </c>
      <c r="B2469" s="12" t="s">
        <v>3791</v>
      </c>
      <c r="C2469" s="12" t="s">
        <v>3792</v>
      </c>
      <c r="D2469" s="13"/>
      <c r="E2469" s="14"/>
      <c r="F2469" s="15" t="str">
        <f aca="false">IF(D2469="","",ROUND((D2469-MIN($D$7:$D$9999))*86400,2))</f>
        <v/>
      </c>
      <c r="G2469" s="10" t="str">
        <f aca="false">IF(D2469="","",IF(D2469&lt;=($E$3*60+$F$3)/86400,"○",""))</f>
        <v/>
      </c>
      <c r="H2469" s="16"/>
      <c r="I2469" s="17"/>
      <c r="J2469" s="16" t="n">
        <v>0.00293564814814815</v>
      </c>
      <c r="K2469" s="17" t="n">
        <v>1188</v>
      </c>
      <c r="L2469" s="17" t="n">
        <f aca="false">COUNT(E2469,I2469,K2469)</f>
        <v>1</v>
      </c>
      <c r="M2469" s="18" t="n">
        <f aca="false">(D2469&lt;&gt;"")*(D2469&lt;=($E$3*60+$F$3)/86400)+(H2469&lt;&gt;"")*(H2469&lt;=($I$3*60+$J$3)/86400)+(J2469&lt;&gt;"")*(J2469&lt;=($M$3*60+$N$3)/86400)</f>
        <v>0</v>
      </c>
      <c r="N2469" s="20"/>
      <c r="O2469" s="20"/>
      <c r="P2469" s="20"/>
      <c r="Q2469" s="19"/>
    </row>
    <row r="2470" customFormat="false" ht="15" hidden="false" customHeight="false" outlineLevel="0" collapsed="false">
      <c r="A2470" s="10" t="n">
        <v>2464</v>
      </c>
      <c r="B2470" s="12" t="s">
        <v>3793</v>
      </c>
      <c r="C2470" s="12" t="s">
        <v>2434</v>
      </c>
      <c r="D2470" s="13"/>
      <c r="E2470" s="14"/>
      <c r="F2470" s="15" t="str">
        <f aca="false">IF(D2470="","",ROUND((D2470-MIN($D$7:$D$9999))*86400,2))</f>
        <v/>
      </c>
      <c r="G2470" s="10" t="str">
        <f aca="false">IF(D2470="","",IF(D2470&lt;=($E$3*60+$F$3)/86400,"○",""))</f>
        <v/>
      </c>
      <c r="H2470" s="16" t="n">
        <v>0.00800046296296296</v>
      </c>
      <c r="I2470" s="17" t="n">
        <v>1189</v>
      </c>
      <c r="J2470" s="16"/>
      <c r="K2470" s="17"/>
      <c r="L2470" s="17" t="n">
        <f aca="false">COUNT(E2470,I2470,K2470)</f>
        <v>1</v>
      </c>
      <c r="M2470" s="18" t="n">
        <f aca="false">(D2470&lt;&gt;"")*(D2470&lt;=($E$3*60+$F$3)/86400)+(H2470&lt;&gt;"")*(H2470&lt;=($I$3*60+$J$3)/86400)+(J2470&lt;&gt;"")*(J2470&lt;=($M$3*60+$N$3)/86400)</f>
        <v>0</v>
      </c>
      <c r="N2470" s="20"/>
      <c r="O2470" s="20"/>
      <c r="P2470" s="20"/>
      <c r="Q2470" s="19"/>
    </row>
    <row r="2471" customFormat="false" ht="15" hidden="false" customHeight="false" outlineLevel="0" collapsed="false">
      <c r="A2471" s="10" t="n">
        <v>2465</v>
      </c>
      <c r="B2471" s="12" t="s">
        <v>3794</v>
      </c>
      <c r="C2471" s="12" t="s">
        <v>2916</v>
      </c>
      <c r="D2471" s="13"/>
      <c r="E2471" s="14"/>
      <c r="F2471" s="15" t="str">
        <f aca="false">IF(D2471="","",ROUND((D2471-MIN($D$7:$D$9999))*86400,2))</f>
        <v/>
      </c>
      <c r="G2471" s="10" t="str">
        <f aca="false">IF(D2471="","",IF(D2471&lt;=($E$3*60+$F$3)/86400,"○",""))</f>
        <v/>
      </c>
      <c r="H2471" s="16"/>
      <c r="I2471" s="17"/>
      <c r="J2471" s="16" t="n">
        <v>0.00293611111111111</v>
      </c>
      <c r="K2471" s="17" t="n">
        <v>1189</v>
      </c>
      <c r="L2471" s="17" t="n">
        <f aca="false">COUNT(E2471,I2471,K2471)</f>
        <v>1</v>
      </c>
      <c r="M2471" s="18" t="n">
        <f aca="false">(D2471&lt;&gt;"")*(D2471&lt;=($E$3*60+$F$3)/86400)+(H2471&lt;&gt;"")*(H2471&lt;=($I$3*60+$J$3)/86400)+(J2471&lt;&gt;"")*(J2471&lt;=($M$3*60+$N$3)/86400)</f>
        <v>0</v>
      </c>
      <c r="N2471" s="20"/>
      <c r="O2471" s="20"/>
      <c r="P2471" s="20"/>
      <c r="Q2471" s="19"/>
    </row>
    <row r="2472" customFormat="false" ht="15" hidden="false" customHeight="false" outlineLevel="0" collapsed="false">
      <c r="A2472" s="10" t="n">
        <v>2466</v>
      </c>
      <c r="B2472" s="12" t="s">
        <v>3795</v>
      </c>
      <c r="C2472" s="12" t="s">
        <v>2852</v>
      </c>
      <c r="D2472" s="13"/>
      <c r="E2472" s="14"/>
      <c r="F2472" s="15" t="str">
        <f aca="false">IF(D2472="","",ROUND((D2472-MIN($D$7:$D$9999))*86400,2))</f>
        <v/>
      </c>
      <c r="G2472" s="10" t="str">
        <f aca="false">IF(D2472="","",IF(D2472&lt;=($E$3*60+$F$3)/86400,"○",""))</f>
        <v/>
      </c>
      <c r="H2472" s="16" t="n">
        <v>0.00800439814814815</v>
      </c>
      <c r="I2472" s="17" t="n">
        <v>1190</v>
      </c>
      <c r="J2472" s="16"/>
      <c r="K2472" s="17"/>
      <c r="L2472" s="17" t="n">
        <f aca="false">COUNT(E2472,I2472,K2472)</f>
        <v>1</v>
      </c>
      <c r="M2472" s="18" t="n">
        <f aca="false">(D2472&lt;&gt;"")*(D2472&lt;=($E$3*60+$F$3)/86400)+(H2472&lt;&gt;"")*(H2472&lt;=($I$3*60+$J$3)/86400)+(J2472&lt;&gt;"")*(J2472&lt;=($M$3*60+$N$3)/86400)</f>
        <v>0</v>
      </c>
      <c r="N2472" s="20"/>
      <c r="O2472" s="20"/>
      <c r="P2472" s="20"/>
      <c r="Q2472" s="19"/>
    </row>
    <row r="2473" customFormat="false" ht="15" hidden="false" customHeight="false" outlineLevel="0" collapsed="false">
      <c r="A2473" s="10" t="n">
        <v>2467</v>
      </c>
      <c r="B2473" s="12" t="s">
        <v>3796</v>
      </c>
      <c r="C2473" s="12" t="s">
        <v>3797</v>
      </c>
      <c r="D2473" s="13"/>
      <c r="E2473" s="14"/>
      <c r="F2473" s="15" t="str">
        <f aca="false">IF(D2473="","",ROUND((D2473-MIN($D$7:$D$9999))*86400,2))</f>
        <v/>
      </c>
      <c r="G2473" s="10" t="str">
        <f aca="false">IF(D2473="","",IF(D2473&lt;=($E$3*60+$F$3)/86400,"○",""))</f>
        <v/>
      </c>
      <c r="H2473" s="16"/>
      <c r="I2473" s="17"/>
      <c r="J2473" s="16" t="n">
        <v>0.00293634259259259</v>
      </c>
      <c r="K2473" s="17" t="n">
        <v>1190</v>
      </c>
      <c r="L2473" s="17" t="n">
        <f aca="false">COUNT(E2473,I2473,K2473)</f>
        <v>1</v>
      </c>
      <c r="M2473" s="18" t="n">
        <f aca="false">(D2473&lt;&gt;"")*(D2473&lt;=($E$3*60+$F$3)/86400)+(H2473&lt;&gt;"")*(H2473&lt;=($I$3*60+$J$3)/86400)+(J2473&lt;&gt;"")*(J2473&lt;=($M$3*60+$N$3)/86400)</f>
        <v>0</v>
      </c>
      <c r="N2473" s="20"/>
      <c r="O2473" s="20"/>
      <c r="P2473" s="20"/>
      <c r="Q2473" s="19"/>
    </row>
    <row r="2474" customFormat="false" ht="15" hidden="false" customHeight="false" outlineLevel="0" collapsed="false">
      <c r="A2474" s="10" t="n">
        <v>2468</v>
      </c>
      <c r="B2474" s="12" t="s">
        <v>3798</v>
      </c>
      <c r="C2474" s="12" t="s">
        <v>2467</v>
      </c>
      <c r="D2474" s="13"/>
      <c r="E2474" s="14"/>
      <c r="F2474" s="15" t="str">
        <f aca="false">IF(D2474="","",ROUND((D2474-MIN($D$7:$D$9999))*86400,2))</f>
        <v/>
      </c>
      <c r="G2474" s="10" t="str">
        <f aca="false">IF(D2474="","",IF(D2474&lt;=($E$3*60+$F$3)/86400,"○",""))</f>
        <v/>
      </c>
      <c r="H2474" s="16" t="n">
        <v>0.0080068287037037</v>
      </c>
      <c r="I2474" s="17" t="n">
        <v>1191</v>
      </c>
      <c r="J2474" s="16"/>
      <c r="K2474" s="17"/>
      <c r="L2474" s="17" t="n">
        <f aca="false">COUNT(E2474,I2474,K2474)</f>
        <v>1</v>
      </c>
      <c r="M2474" s="18" t="n">
        <f aca="false">(D2474&lt;&gt;"")*(D2474&lt;=($E$3*60+$F$3)/86400)+(H2474&lt;&gt;"")*(H2474&lt;=($I$3*60+$J$3)/86400)+(J2474&lt;&gt;"")*(J2474&lt;=($M$3*60+$N$3)/86400)</f>
        <v>0</v>
      </c>
      <c r="N2474" s="20"/>
      <c r="O2474" s="20"/>
      <c r="P2474" s="20"/>
      <c r="Q2474" s="19"/>
    </row>
    <row r="2475" customFormat="false" ht="15" hidden="false" customHeight="false" outlineLevel="0" collapsed="false">
      <c r="A2475" s="10" t="n">
        <v>2469</v>
      </c>
      <c r="B2475" s="12" t="s">
        <v>3799</v>
      </c>
      <c r="C2475" s="12" t="s">
        <v>873</v>
      </c>
      <c r="D2475" s="13"/>
      <c r="E2475" s="14"/>
      <c r="F2475" s="15" t="str">
        <f aca="false">IF(D2475="","",ROUND((D2475-MIN($D$7:$D$9999))*86400,2))</f>
        <v/>
      </c>
      <c r="G2475" s="10" t="str">
        <f aca="false">IF(D2475="","",IF(D2475&lt;=($E$3*60+$F$3)/86400,"○",""))</f>
        <v/>
      </c>
      <c r="H2475" s="16"/>
      <c r="I2475" s="17"/>
      <c r="J2475" s="16" t="n">
        <v>0.00293680555555556</v>
      </c>
      <c r="K2475" s="17" t="n">
        <v>1191</v>
      </c>
      <c r="L2475" s="17" t="n">
        <f aca="false">COUNT(E2475,I2475,K2475)</f>
        <v>1</v>
      </c>
      <c r="M2475" s="18" t="n">
        <f aca="false">(D2475&lt;&gt;"")*(D2475&lt;=($E$3*60+$F$3)/86400)+(H2475&lt;&gt;"")*(H2475&lt;=($I$3*60+$J$3)/86400)+(J2475&lt;&gt;"")*(J2475&lt;=($M$3*60+$N$3)/86400)</f>
        <v>0</v>
      </c>
      <c r="N2475" s="20"/>
      <c r="O2475" s="20"/>
      <c r="P2475" s="20"/>
      <c r="Q2475" s="19"/>
    </row>
    <row r="2476" customFormat="false" ht="15" hidden="false" customHeight="false" outlineLevel="0" collapsed="false">
      <c r="A2476" s="10" t="n">
        <v>2470</v>
      </c>
      <c r="B2476" s="12" t="s">
        <v>3800</v>
      </c>
      <c r="C2476" s="12" t="s">
        <v>3801</v>
      </c>
      <c r="D2476" s="13"/>
      <c r="E2476" s="14"/>
      <c r="F2476" s="15" t="str">
        <f aca="false">IF(D2476="","",ROUND((D2476-MIN($D$7:$D$9999))*86400,2))</f>
        <v/>
      </c>
      <c r="G2476" s="10" t="str">
        <f aca="false">IF(D2476="","",IF(D2476&lt;=($E$3*60+$F$3)/86400,"○",""))</f>
        <v/>
      </c>
      <c r="H2476" s="16" t="n">
        <v>0.00801030092592593</v>
      </c>
      <c r="I2476" s="17" t="n">
        <v>1192</v>
      </c>
      <c r="J2476" s="16"/>
      <c r="K2476" s="17"/>
      <c r="L2476" s="17" t="n">
        <f aca="false">COUNT(E2476,I2476,K2476)</f>
        <v>1</v>
      </c>
      <c r="M2476" s="18" t="n">
        <f aca="false">(D2476&lt;&gt;"")*(D2476&lt;=($E$3*60+$F$3)/86400)+(H2476&lt;&gt;"")*(H2476&lt;=($I$3*60+$J$3)/86400)+(J2476&lt;&gt;"")*(J2476&lt;=($M$3*60+$N$3)/86400)</f>
        <v>0</v>
      </c>
      <c r="N2476" s="20"/>
      <c r="O2476" s="20"/>
      <c r="P2476" s="20"/>
      <c r="Q2476" s="19"/>
    </row>
    <row r="2477" customFormat="false" ht="15" hidden="false" customHeight="false" outlineLevel="0" collapsed="false">
      <c r="A2477" s="10" t="n">
        <v>2471</v>
      </c>
      <c r="B2477" s="12" t="s">
        <v>3802</v>
      </c>
      <c r="C2477" s="12" t="s">
        <v>127</v>
      </c>
      <c r="D2477" s="13"/>
      <c r="E2477" s="14"/>
      <c r="F2477" s="15" t="str">
        <f aca="false">IF(D2477="","",ROUND((D2477-MIN($D$7:$D$9999))*86400,2))</f>
        <v/>
      </c>
      <c r="G2477" s="10" t="str">
        <f aca="false">IF(D2477="","",IF(D2477&lt;=($E$3*60+$F$3)/86400,"○",""))</f>
        <v/>
      </c>
      <c r="H2477" s="16"/>
      <c r="I2477" s="17"/>
      <c r="J2477" s="16" t="n">
        <v>0.00293680555555556</v>
      </c>
      <c r="K2477" s="17" t="n">
        <v>1192</v>
      </c>
      <c r="L2477" s="17" t="n">
        <f aca="false">COUNT(E2477,I2477,K2477)</f>
        <v>1</v>
      </c>
      <c r="M2477" s="18" t="n">
        <f aca="false">(D2477&lt;&gt;"")*(D2477&lt;=($E$3*60+$F$3)/86400)+(H2477&lt;&gt;"")*(H2477&lt;=($I$3*60+$J$3)/86400)+(J2477&lt;&gt;"")*(J2477&lt;=($M$3*60+$N$3)/86400)</f>
        <v>0</v>
      </c>
      <c r="N2477" s="20"/>
      <c r="O2477" s="20"/>
      <c r="P2477" s="20"/>
      <c r="Q2477" s="19"/>
    </row>
    <row r="2478" customFormat="false" ht="15" hidden="false" customHeight="false" outlineLevel="0" collapsed="false">
      <c r="A2478" s="10" t="n">
        <v>2472</v>
      </c>
      <c r="B2478" s="12" t="s">
        <v>3803</v>
      </c>
      <c r="C2478" s="12" t="s">
        <v>3804</v>
      </c>
      <c r="D2478" s="13"/>
      <c r="E2478" s="14"/>
      <c r="F2478" s="15" t="str">
        <f aca="false">IF(D2478="","",ROUND((D2478-MIN($D$7:$D$9999))*86400,2))</f>
        <v/>
      </c>
      <c r="G2478" s="10" t="str">
        <f aca="false">IF(D2478="","",IF(D2478&lt;=($E$3*60+$F$3)/86400,"○",""))</f>
        <v/>
      </c>
      <c r="H2478" s="16" t="n">
        <v>0.00801215277777778</v>
      </c>
      <c r="I2478" s="17" t="n">
        <v>1193</v>
      </c>
      <c r="J2478" s="16"/>
      <c r="K2478" s="17"/>
      <c r="L2478" s="17" t="n">
        <f aca="false">COUNT(E2478,I2478,K2478)</f>
        <v>1</v>
      </c>
      <c r="M2478" s="18" t="n">
        <f aca="false">(D2478&lt;&gt;"")*(D2478&lt;=($E$3*60+$F$3)/86400)+(H2478&lt;&gt;"")*(H2478&lt;=($I$3*60+$J$3)/86400)+(J2478&lt;&gt;"")*(J2478&lt;=($M$3*60+$N$3)/86400)</f>
        <v>0</v>
      </c>
      <c r="N2478" s="20"/>
      <c r="O2478" s="20"/>
      <c r="P2478" s="20"/>
      <c r="Q2478" s="19"/>
    </row>
    <row r="2479" customFormat="false" ht="15" hidden="false" customHeight="false" outlineLevel="0" collapsed="false">
      <c r="A2479" s="10" t="n">
        <v>2473</v>
      </c>
      <c r="B2479" s="12" t="s">
        <v>3805</v>
      </c>
      <c r="C2479" s="12" t="s">
        <v>240</v>
      </c>
      <c r="D2479" s="13"/>
      <c r="E2479" s="14"/>
      <c r="F2479" s="15" t="str">
        <f aca="false">IF(D2479="","",ROUND((D2479-MIN($D$7:$D$9999))*86400,2))</f>
        <v/>
      </c>
      <c r="G2479" s="10" t="str">
        <f aca="false">IF(D2479="","",IF(D2479&lt;=($E$3*60+$F$3)/86400,"○",""))</f>
        <v/>
      </c>
      <c r="H2479" s="16"/>
      <c r="I2479" s="17"/>
      <c r="J2479" s="16" t="n">
        <v>0.00293680555555556</v>
      </c>
      <c r="K2479" s="17" t="n">
        <v>1193</v>
      </c>
      <c r="L2479" s="17" t="n">
        <f aca="false">COUNT(E2479,I2479,K2479)</f>
        <v>1</v>
      </c>
      <c r="M2479" s="18" t="n">
        <f aca="false">(D2479&lt;&gt;"")*(D2479&lt;=($E$3*60+$F$3)/86400)+(H2479&lt;&gt;"")*(H2479&lt;=($I$3*60+$J$3)/86400)+(J2479&lt;&gt;"")*(J2479&lt;=($M$3*60+$N$3)/86400)</f>
        <v>0</v>
      </c>
      <c r="N2479" s="20"/>
      <c r="O2479" s="20"/>
      <c r="P2479" s="20"/>
      <c r="Q2479" s="19"/>
    </row>
    <row r="2480" customFormat="false" ht="15" hidden="false" customHeight="false" outlineLevel="0" collapsed="false">
      <c r="A2480" s="10" t="n">
        <v>2474</v>
      </c>
      <c r="B2480" s="12" t="s">
        <v>3806</v>
      </c>
      <c r="C2480" s="12" t="s">
        <v>2431</v>
      </c>
      <c r="D2480" s="13"/>
      <c r="E2480" s="14"/>
      <c r="F2480" s="15" t="str">
        <f aca="false">IF(D2480="","",ROUND((D2480-MIN($D$7:$D$9999))*86400,2))</f>
        <v/>
      </c>
      <c r="G2480" s="10" t="str">
        <f aca="false">IF(D2480="","",IF(D2480&lt;=($E$3*60+$F$3)/86400,"○",""))</f>
        <v/>
      </c>
      <c r="H2480" s="16" t="n">
        <v>0.00801863425925926</v>
      </c>
      <c r="I2480" s="17" t="n">
        <v>1194</v>
      </c>
      <c r="J2480" s="16"/>
      <c r="K2480" s="17"/>
      <c r="L2480" s="17" t="n">
        <f aca="false">COUNT(E2480,I2480,K2480)</f>
        <v>1</v>
      </c>
      <c r="M2480" s="18" t="n">
        <f aca="false">(D2480&lt;&gt;"")*(D2480&lt;=($E$3*60+$F$3)/86400)+(H2480&lt;&gt;"")*(H2480&lt;=($I$3*60+$J$3)/86400)+(J2480&lt;&gt;"")*(J2480&lt;=($M$3*60+$N$3)/86400)</f>
        <v>0</v>
      </c>
      <c r="N2480" s="20"/>
      <c r="O2480" s="20"/>
      <c r="P2480" s="20"/>
      <c r="Q2480" s="19"/>
    </row>
    <row r="2481" customFormat="false" ht="15" hidden="false" customHeight="false" outlineLevel="0" collapsed="false">
      <c r="A2481" s="10" t="n">
        <v>2475</v>
      </c>
      <c r="B2481" s="12" t="s">
        <v>3807</v>
      </c>
      <c r="C2481" s="12" t="s">
        <v>3808</v>
      </c>
      <c r="D2481" s="13"/>
      <c r="E2481" s="14"/>
      <c r="F2481" s="15" t="str">
        <f aca="false">IF(D2481="","",ROUND((D2481-MIN($D$7:$D$9999))*86400,2))</f>
        <v/>
      </c>
      <c r="G2481" s="10" t="str">
        <f aca="false">IF(D2481="","",IF(D2481&lt;=($E$3*60+$F$3)/86400,"○",""))</f>
        <v/>
      </c>
      <c r="H2481" s="16"/>
      <c r="I2481" s="17"/>
      <c r="J2481" s="16" t="n">
        <v>0.00293715277777778</v>
      </c>
      <c r="K2481" s="17" t="n">
        <v>1194</v>
      </c>
      <c r="L2481" s="17" t="n">
        <f aca="false">COUNT(E2481,I2481,K2481)</f>
        <v>1</v>
      </c>
      <c r="M2481" s="18" t="n">
        <f aca="false">(D2481&lt;&gt;"")*(D2481&lt;=($E$3*60+$F$3)/86400)+(H2481&lt;&gt;"")*(H2481&lt;=($I$3*60+$J$3)/86400)+(J2481&lt;&gt;"")*(J2481&lt;=($M$3*60+$N$3)/86400)</f>
        <v>0</v>
      </c>
      <c r="N2481" s="20"/>
      <c r="O2481" s="20"/>
      <c r="P2481" s="20"/>
      <c r="Q2481" s="19"/>
    </row>
    <row r="2482" customFormat="false" ht="15" hidden="false" customHeight="false" outlineLevel="0" collapsed="false">
      <c r="A2482" s="10" t="n">
        <v>2476</v>
      </c>
      <c r="B2482" s="12" t="s">
        <v>3809</v>
      </c>
      <c r="C2482" s="12" t="s">
        <v>3810</v>
      </c>
      <c r="D2482" s="13"/>
      <c r="E2482" s="14"/>
      <c r="F2482" s="15" t="str">
        <f aca="false">IF(D2482="","",ROUND((D2482-MIN($D$7:$D$9999))*86400,2))</f>
        <v/>
      </c>
      <c r="G2482" s="10" t="str">
        <f aca="false">IF(D2482="","",IF(D2482&lt;=($E$3*60+$F$3)/86400,"○",""))</f>
        <v/>
      </c>
      <c r="H2482" s="16" t="n">
        <v>0.00802847222222222</v>
      </c>
      <c r="I2482" s="17" t="n">
        <v>1196</v>
      </c>
      <c r="J2482" s="16"/>
      <c r="K2482" s="17"/>
      <c r="L2482" s="17" t="n">
        <f aca="false">COUNT(E2482,I2482,K2482)</f>
        <v>1</v>
      </c>
      <c r="M2482" s="18" t="n">
        <f aca="false">(D2482&lt;&gt;"")*(D2482&lt;=($E$3*60+$F$3)/86400)+(H2482&lt;&gt;"")*(H2482&lt;=($I$3*60+$J$3)/86400)+(J2482&lt;&gt;"")*(J2482&lt;=($M$3*60+$N$3)/86400)</f>
        <v>0</v>
      </c>
      <c r="N2482" s="20"/>
      <c r="O2482" s="20"/>
      <c r="P2482" s="20"/>
      <c r="Q2482" s="19"/>
    </row>
    <row r="2483" customFormat="false" ht="15" hidden="false" customHeight="false" outlineLevel="0" collapsed="false">
      <c r="A2483" s="10" t="n">
        <v>2477</v>
      </c>
      <c r="B2483" s="12" t="s">
        <v>3811</v>
      </c>
      <c r="C2483" s="12" t="s">
        <v>3812</v>
      </c>
      <c r="D2483" s="13"/>
      <c r="E2483" s="14"/>
      <c r="F2483" s="15" t="str">
        <f aca="false">IF(D2483="","",ROUND((D2483-MIN($D$7:$D$9999))*86400,2))</f>
        <v/>
      </c>
      <c r="G2483" s="10" t="str">
        <f aca="false">IF(D2483="","",IF(D2483&lt;=($E$3*60+$F$3)/86400,"○",""))</f>
        <v/>
      </c>
      <c r="H2483" s="16"/>
      <c r="I2483" s="17"/>
      <c r="J2483" s="16" t="n">
        <v>0.0029375</v>
      </c>
      <c r="K2483" s="17" t="n">
        <v>1196</v>
      </c>
      <c r="L2483" s="17" t="n">
        <f aca="false">COUNT(E2483,I2483,K2483)</f>
        <v>1</v>
      </c>
      <c r="M2483" s="18" t="n">
        <f aca="false">(D2483&lt;&gt;"")*(D2483&lt;=($E$3*60+$F$3)/86400)+(H2483&lt;&gt;"")*(H2483&lt;=($I$3*60+$J$3)/86400)+(J2483&lt;&gt;"")*(J2483&lt;=($M$3*60+$N$3)/86400)</f>
        <v>0</v>
      </c>
      <c r="N2483" s="20"/>
      <c r="O2483" s="20"/>
      <c r="P2483" s="20"/>
      <c r="Q2483" s="19"/>
    </row>
    <row r="2484" customFormat="false" ht="15" hidden="false" customHeight="false" outlineLevel="0" collapsed="false">
      <c r="A2484" s="10" t="n">
        <v>2478</v>
      </c>
      <c r="B2484" s="12" t="s">
        <v>3813</v>
      </c>
      <c r="C2484" s="12" t="s">
        <v>2607</v>
      </c>
      <c r="D2484" s="13"/>
      <c r="E2484" s="14"/>
      <c r="F2484" s="15" t="str">
        <f aca="false">IF(D2484="","",ROUND((D2484-MIN($D$7:$D$9999))*86400,2))</f>
        <v/>
      </c>
      <c r="G2484" s="10" t="str">
        <f aca="false">IF(D2484="","",IF(D2484&lt;=($E$3*60+$F$3)/86400,"○",""))</f>
        <v/>
      </c>
      <c r="H2484" s="16" t="n">
        <v>0.00802893518518519</v>
      </c>
      <c r="I2484" s="17" t="n">
        <v>1197</v>
      </c>
      <c r="J2484" s="16"/>
      <c r="K2484" s="17"/>
      <c r="L2484" s="17" t="n">
        <f aca="false">COUNT(E2484,I2484,K2484)</f>
        <v>1</v>
      </c>
      <c r="M2484" s="18" t="n">
        <f aca="false">(D2484&lt;&gt;"")*(D2484&lt;=($E$3*60+$F$3)/86400)+(H2484&lt;&gt;"")*(H2484&lt;=($I$3*60+$J$3)/86400)+(J2484&lt;&gt;"")*(J2484&lt;=($M$3*60+$N$3)/86400)</f>
        <v>0</v>
      </c>
      <c r="N2484" s="20"/>
      <c r="O2484" s="20"/>
      <c r="P2484" s="20"/>
      <c r="Q2484" s="19"/>
    </row>
    <row r="2485" customFormat="false" ht="15" hidden="false" customHeight="false" outlineLevel="0" collapsed="false">
      <c r="A2485" s="10" t="n">
        <v>2479</v>
      </c>
      <c r="B2485" s="12" t="s">
        <v>3814</v>
      </c>
      <c r="C2485" s="12" t="s">
        <v>1602</v>
      </c>
      <c r="D2485" s="13"/>
      <c r="E2485" s="14"/>
      <c r="F2485" s="15" t="str">
        <f aca="false">IF(D2485="","",ROUND((D2485-MIN($D$7:$D$9999))*86400,2))</f>
        <v/>
      </c>
      <c r="G2485" s="10" t="str">
        <f aca="false">IF(D2485="","",IF(D2485&lt;=($E$3*60+$F$3)/86400,"○",""))</f>
        <v/>
      </c>
      <c r="H2485" s="16" t="n">
        <v>0.00803425925925926</v>
      </c>
      <c r="I2485" s="17" t="n">
        <v>1198</v>
      </c>
      <c r="J2485" s="16"/>
      <c r="K2485" s="17"/>
      <c r="L2485" s="17" t="n">
        <f aca="false">COUNT(E2485,I2485,K2485)</f>
        <v>1</v>
      </c>
      <c r="M2485" s="18" t="n">
        <f aca="false">(D2485&lt;&gt;"")*(D2485&lt;=($E$3*60+$F$3)/86400)+(H2485&lt;&gt;"")*(H2485&lt;=($I$3*60+$J$3)/86400)+(J2485&lt;&gt;"")*(J2485&lt;=($M$3*60+$N$3)/86400)</f>
        <v>0</v>
      </c>
      <c r="N2485" s="20"/>
      <c r="O2485" s="20"/>
      <c r="P2485" s="20"/>
      <c r="Q2485" s="19"/>
    </row>
    <row r="2486" customFormat="false" ht="15" hidden="false" customHeight="false" outlineLevel="0" collapsed="false">
      <c r="A2486" s="10" t="n">
        <v>2480</v>
      </c>
      <c r="B2486" s="12" t="s">
        <v>1814</v>
      </c>
      <c r="C2486" s="12" t="s">
        <v>2268</v>
      </c>
      <c r="D2486" s="13"/>
      <c r="E2486" s="14"/>
      <c r="F2486" s="15" t="str">
        <f aca="false">IF(D2486="","",ROUND((D2486-MIN($D$7:$D$9999))*86400,2))</f>
        <v/>
      </c>
      <c r="G2486" s="10" t="str">
        <f aca="false">IF(D2486="","",IF(D2486&lt;=($E$3*60+$F$3)/86400,"○",""))</f>
        <v/>
      </c>
      <c r="H2486" s="16"/>
      <c r="I2486" s="17"/>
      <c r="J2486" s="16" t="n">
        <v>0.00293923611111111</v>
      </c>
      <c r="K2486" s="17" t="n">
        <v>1198</v>
      </c>
      <c r="L2486" s="17" t="n">
        <f aca="false">COUNT(E2486,I2486,K2486)</f>
        <v>1</v>
      </c>
      <c r="M2486" s="18" t="n">
        <f aca="false">(D2486&lt;&gt;"")*(D2486&lt;=($E$3*60+$F$3)/86400)+(H2486&lt;&gt;"")*(H2486&lt;=($I$3*60+$J$3)/86400)+(J2486&lt;&gt;"")*(J2486&lt;=($M$3*60+$N$3)/86400)</f>
        <v>0</v>
      </c>
      <c r="N2486" s="20"/>
      <c r="O2486" s="20"/>
      <c r="P2486" s="12" t="s">
        <v>3815</v>
      </c>
      <c r="Q2486" s="19"/>
    </row>
    <row r="2487" customFormat="false" ht="15" hidden="false" customHeight="false" outlineLevel="0" collapsed="false">
      <c r="A2487" s="10" t="n">
        <v>2481</v>
      </c>
      <c r="B2487" s="12" t="s">
        <v>3816</v>
      </c>
      <c r="C2487" s="12" t="s">
        <v>2909</v>
      </c>
      <c r="D2487" s="13"/>
      <c r="E2487" s="14"/>
      <c r="F2487" s="15" t="str">
        <f aca="false">IF(D2487="","",ROUND((D2487-MIN($D$7:$D$9999))*86400,2))</f>
        <v/>
      </c>
      <c r="G2487" s="10" t="str">
        <f aca="false">IF(D2487="","",IF(D2487&lt;=($E$3*60+$F$3)/86400,"○",""))</f>
        <v/>
      </c>
      <c r="H2487" s="16" t="n">
        <v>0.00805300925925926</v>
      </c>
      <c r="I2487" s="17" t="n">
        <v>1200</v>
      </c>
      <c r="J2487" s="16"/>
      <c r="K2487" s="17"/>
      <c r="L2487" s="17" t="n">
        <f aca="false">COUNT(E2487,I2487,K2487)</f>
        <v>1</v>
      </c>
      <c r="M2487" s="18" t="n">
        <f aca="false">(D2487&lt;&gt;"")*(D2487&lt;=($E$3*60+$F$3)/86400)+(H2487&lt;&gt;"")*(H2487&lt;=($I$3*60+$J$3)/86400)+(J2487&lt;&gt;"")*(J2487&lt;=($M$3*60+$N$3)/86400)</f>
        <v>0</v>
      </c>
      <c r="N2487" s="20"/>
      <c r="O2487" s="20"/>
      <c r="P2487" s="20"/>
      <c r="Q2487" s="19"/>
    </row>
    <row r="2488" customFormat="false" ht="15" hidden="false" customHeight="false" outlineLevel="0" collapsed="false">
      <c r="A2488" s="10" t="n">
        <v>2482</v>
      </c>
      <c r="B2488" s="12" t="s">
        <v>3817</v>
      </c>
      <c r="C2488" s="12" t="s">
        <v>2541</v>
      </c>
      <c r="D2488" s="13"/>
      <c r="E2488" s="14"/>
      <c r="F2488" s="15" t="str">
        <f aca="false">IF(D2488="","",ROUND((D2488-MIN($D$7:$D$9999))*86400,2))</f>
        <v/>
      </c>
      <c r="G2488" s="10" t="str">
        <f aca="false">IF(D2488="","",IF(D2488&lt;=($E$3*60+$F$3)/86400,"○",""))</f>
        <v/>
      </c>
      <c r="H2488" s="16" t="n">
        <v>0.008059375</v>
      </c>
      <c r="I2488" s="17" t="n">
        <v>1201</v>
      </c>
      <c r="J2488" s="16"/>
      <c r="K2488" s="17"/>
      <c r="L2488" s="17" t="n">
        <f aca="false">COUNT(E2488,I2488,K2488)</f>
        <v>1</v>
      </c>
      <c r="M2488" s="18" t="n">
        <f aca="false">(D2488&lt;&gt;"")*(D2488&lt;=($E$3*60+$F$3)/86400)+(H2488&lt;&gt;"")*(H2488&lt;=($I$3*60+$J$3)/86400)+(J2488&lt;&gt;"")*(J2488&lt;=($M$3*60+$N$3)/86400)</f>
        <v>0</v>
      </c>
      <c r="N2488" s="20"/>
      <c r="O2488" s="20"/>
      <c r="P2488" s="20"/>
      <c r="Q2488" s="19"/>
    </row>
    <row r="2489" customFormat="false" ht="15" hidden="false" customHeight="false" outlineLevel="0" collapsed="false">
      <c r="A2489" s="10" t="n">
        <v>2483</v>
      </c>
      <c r="B2489" s="12" t="s">
        <v>3818</v>
      </c>
      <c r="C2489" s="12" t="s">
        <v>2688</v>
      </c>
      <c r="D2489" s="13"/>
      <c r="E2489" s="14"/>
      <c r="F2489" s="15" t="str">
        <f aca="false">IF(D2489="","",ROUND((D2489-MIN($D$7:$D$9999))*86400,2))</f>
        <v/>
      </c>
      <c r="G2489" s="10" t="str">
        <f aca="false">IF(D2489="","",IF(D2489&lt;=($E$3*60+$F$3)/86400,"○",""))</f>
        <v/>
      </c>
      <c r="H2489" s="16" t="n">
        <v>0.00806342592592593</v>
      </c>
      <c r="I2489" s="17" t="n">
        <v>1202</v>
      </c>
      <c r="J2489" s="16"/>
      <c r="K2489" s="17"/>
      <c r="L2489" s="17" t="n">
        <f aca="false">COUNT(E2489,I2489,K2489)</f>
        <v>1</v>
      </c>
      <c r="M2489" s="18" t="n">
        <f aca="false">(D2489&lt;&gt;"")*(D2489&lt;=($E$3*60+$F$3)/86400)+(H2489&lt;&gt;"")*(H2489&lt;=($I$3*60+$J$3)/86400)+(J2489&lt;&gt;"")*(J2489&lt;=($M$3*60+$N$3)/86400)</f>
        <v>0</v>
      </c>
      <c r="N2489" s="20"/>
      <c r="O2489" s="20"/>
      <c r="P2489" s="20"/>
      <c r="Q2489" s="19"/>
    </row>
    <row r="2490" customFormat="false" ht="15" hidden="false" customHeight="false" outlineLevel="0" collapsed="false">
      <c r="A2490" s="10" t="n">
        <v>2484</v>
      </c>
      <c r="B2490" s="12" t="s">
        <v>3819</v>
      </c>
      <c r="C2490" s="12" t="s">
        <v>444</v>
      </c>
      <c r="D2490" s="13"/>
      <c r="E2490" s="14"/>
      <c r="F2490" s="15" t="str">
        <f aca="false">IF(D2490="","",ROUND((D2490-MIN($D$7:$D$9999))*86400,2))</f>
        <v/>
      </c>
      <c r="G2490" s="10" t="str">
        <f aca="false">IF(D2490="","",IF(D2490&lt;=($E$3*60+$F$3)/86400,"○",""))</f>
        <v/>
      </c>
      <c r="H2490" s="16"/>
      <c r="I2490" s="17"/>
      <c r="J2490" s="16" t="n">
        <v>0.00294097222222222</v>
      </c>
      <c r="K2490" s="17" t="n">
        <v>1202</v>
      </c>
      <c r="L2490" s="17" t="n">
        <f aca="false">COUNT(E2490,I2490,K2490)</f>
        <v>1</v>
      </c>
      <c r="M2490" s="18" t="n">
        <f aca="false">(D2490&lt;&gt;"")*(D2490&lt;=($E$3*60+$F$3)/86400)+(H2490&lt;&gt;"")*(H2490&lt;=($I$3*60+$J$3)/86400)+(J2490&lt;&gt;"")*(J2490&lt;=($M$3*60+$N$3)/86400)</f>
        <v>0</v>
      </c>
      <c r="N2490" s="20"/>
      <c r="O2490" s="20"/>
      <c r="P2490" s="20"/>
      <c r="Q2490" s="19"/>
    </row>
    <row r="2491" customFormat="false" ht="15" hidden="false" customHeight="false" outlineLevel="0" collapsed="false">
      <c r="A2491" s="10" t="n">
        <v>2485</v>
      </c>
      <c r="B2491" s="12" t="s">
        <v>3820</v>
      </c>
      <c r="C2491" s="12" t="s">
        <v>2782</v>
      </c>
      <c r="D2491" s="13"/>
      <c r="E2491" s="14"/>
      <c r="F2491" s="15" t="str">
        <f aca="false">IF(D2491="","",ROUND((D2491-MIN($D$7:$D$9999))*86400,2))</f>
        <v/>
      </c>
      <c r="G2491" s="10" t="str">
        <f aca="false">IF(D2491="","",IF(D2491&lt;=($E$3*60+$F$3)/86400,"○",""))</f>
        <v/>
      </c>
      <c r="H2491" s="16" t="n">
        <v>0.00806574074074074</v>
      </c>
      <c r="I2491" s="17" t="n">
        <v>1203</v>
      </c>
      <c r="J2491" s="16"/>
      <c r="K2491" s="17"/>
      <c r="L2491" s="17" t="n">
        <f aca="false">COUNT(E2491,I2491,K2491)</f>
        <v>1</v>
      </c>
      <c r="M2491" s="18" t="n">
        <f aca="false">(D2491&lt;&gt;"")*(D2491&lt;=($E$3*60+$F$3)/86400)+(H2491&lt;&gt;"")*(H2491&lt;=($I$3*60+$J$3)/86400)+(J2491&lt;&gt;"")*(J2491&lt;=($M$3*60+$N$3)/86400)</f>
        <v>0</v>
      </c>
      <c r="N2491" s="20"/>
      <c r="O2491" s="20"/>
      <c r="P2491" s="20"/>
      <c r="Q2491" s="19"/>
    </row>
    <row r="2492" customFormat="false" ht="15" hidden="false" customHeight="false" outlineLevel="0" collapsed="false">
      <c r="A2492" s="10" t="n">
        <v>2486</v>
      </c>
      <c r="B2492" s="12" t="s">
        <v>3821</v>
      </c>
      <c r="C2492" s="12" t="s">
        <v>3822</v>
      </c>
      <c r="D2492" s="13"/>
      <c r="E2492" s="14"/>
      <c r="F2492" s="15" t="str">
        <f aca="false">IF(D2492="","",ROUND((D2492-MIN($D$7:$D$9999))*86400,2))</f>
        <v/>
      </c>
      <c r="G2492" s="10" t="str">
        <f aca="false">IF(D2492="","",IF(D2492&lt;=($E$3*60+$F$3)/86400,"○",""))</f>
        <v/>
      </c>
      <c r="H2492" s="16" t="n">
        <v>0.00806655092592593</v>
      </c>
      <c r="I2492" s="17" t="n">
        <v>1204</v>
      </c>
      <c r="J2492" s="16"/>
      <c r="K2492" s="17"/>
      <c r="L2492" s="17" t="n">
        <f aca="false">COUNT(E2492,I2492,K2492)</f>
        <v>1</v>
      </c>
      <c r="M2492" s="18" t="n">
        <f aca="false">(D2492&lt;&gt;"")*(D2492&lt;=($E$3*60+$F$3)/86400)+(H2492&lt;&gt;"")*(H2492&lt;=($I$3*60+$J$3)/86400)+(J2492&lt;&gt;"")*(J2492&lt;=($M$3*60+$N$3)/86400)</f>
        <v>0</v>
      </c>
      <c r="N2492" s="20"/>
      <c r="O2492" s="20"/>
      <c r="P2492" s="20"/>
      <c r="Q2492" s="19"/>
    </row>
    <row r="2493" customFormat="false" ht="15" hidden="false" customHeight="false" outlineLevel="0" collapsed="false">
      <c r="A2493" s="10" t="n">
        <v>2487</v>
      </c>
      <c r="B2493" s="12" t="s">
        <v>3823</v>
      </c>
      <c r="C2493" s="12" t="s">
        <v>3824</v>
      </c>
      <c r="D2493" s="13"/>
      <c r="E2493" s="14"/>
      <c r="F2493" s="15" t="str">
        <f aca="false">IF(D2493="","",ROUND((D2493-MIN($D$7:$D$9999))*86400,2))</f>
        <v/>
      </c>
      <c r="G2493" s="10" t="str">
        <f aca="false">IF(D2493="","",IF(D2493&lt;=($E$3*60+$F$3)/86400,"○",""))</f>
        <v/>
      </c>
      <c r="H2493" s="16" t="n">
        <v>0.00806747685185185</v>
      </c>
      <c r="I2493" s="17" t="n">
        <v>1205</v>
      </c>
      <c r="J2493" s="16"/>
      <c r="K2493" s="17"/>
      <c r="L2493" s="17" t="n">
        <f aca="false">COUNT(E2493,I2493,K2493)</f>
        <v>1</v>
      </c>
      <c r="M2493" s="18" t="n">
        <f aca="false">(D2493&lt;&gt;"")*(D2493&lt;=($E$3*60+$F$3)/86400)+(H2493&lt;&gt;"")*(H2493&lt;=($I$3*60+$J$3)/86400)+(J2493&lt;&gt;"")*(J2493&lt;=($M$3*60+$N$3)/86400)</f>
        <v>0</v>
      </c>
      <c r="N2493" s="20"/>
      <c r="O2493" s="20"/>
      <c r="P2493" s="20"/>
      <c r="Q2493" s="19"/>
    </row>
    <row r="2494" customFormat="false" ht="15" hidden="false" customHeight="false" outlineLevel="0" collapsed="false">
      <c r="A2494" s="10" t="n">
        <v>2488</v>
      </c>
      <c r="B2494" s="12" t="s">
        <v>3825</v>
      </c>
      <c r="C2494" s="12" t="s">
        <v>3826</v>
      </c>
      <c r="D2494" s="13"/>
      <c r="E2494" s="14"/>
      <c r="F2494" s="15" t="str">
        <f aca="false">IF(D2494="","",ROUND((D2494-MIN($D$7:$D$9999))*86400,2))</f>
        <v/>
      </c>
      <c r="G2494" s="10" t="str">
        <f aca="false">IF(D2494="","",IF(D2494&lt;=($E$3*60+$F$3)/86400,"○",""))</f>
        <v/>
      </c>
      <c r="H2494" s="16"/>
      <c r="I2494" s="17"/>
      <c r="J2494" s="16" t="n">
        <v>0.00294155092592593</v>
      </c>
      <c r="K2494" s="17" t="n">
        <v>1205</v>
      </c>
      <c r="L2494" s="17" t="n">
        <f aca="false">COUNT(E2494,I2494,K2494)</f>
        <v>1</v>
      </c>
      <c r="M2494" s="18" t="n">
        <f aca="false">(D2494&lt;&gt;"")*(D2494&lt;=($E$3*60+$F$3)/86400)+(H2494&lt;&gt;"")*(H2494&lt;=($I$3*60+$J$3)/86400)+(J2494&lt;&gt;"")*(J2494&lt;=($M$3*60+$N$3)/86400)</f>
        <v>0</v>
      </c>
      <c r="N2494" s="20"/>
      <c r="O2494" s="20"/>
      <c r="P2494" s="20"/>
      <c r="Q2494" s="19"/>
    </row>
    <row r="2495" customFormat="false" ht="15" hidden="false" customHeight="false" outlineLevel="0" collapsed="false">
      <c r="A2495" s="10" t="n">
        <v>2489</v>
      </c>
      <c r="B2495" s="12" t="s">
        <v>3827</v>
      </c>
      <c r="C2495" s="12" t="s">
        <v>3564</v>
      </c>
      <c r="D2495" s="13"/>
      <c r="E2495" s="14"/>
      <c r="F2495" s="15" t="str">
        <f aca="false">IF(D2495="","",ROUND((D2495-MIN($D$7:$D$9999))*86400,2))</f>
        <v/>
      </c>
      <c r="G2495" s="10" t="str">
        <f aca="false">IF(D2495="","",IF(D2495&lt;=($E$3*60+$F$3)/86400,"○",""))</f>
        <v/>
      </c>
      <c r="H2495" s="16" t="n">
        <v>0.00806979166666667</v>
      </c>
      <c r="I2495" s="17" t="n">
        <v>1206</v>
      </c>
      <c r="J2495" s="16"/>
      <c r="K2495" s="17"/>
      <c r="L2495" s="17" t="n">
        <f aca="false">COUNT(E2495,I2495,K2495)</f>
        <v>1</v>
      </c>
      <c r="M2495" s="18" t="n">
        <f aca="false">(D2495&lt;&gt;"")*(D2495&lt;=($E$3*60+$F$3)/86400)+(H2495&lt;&gt;"")*(H2495&lt;=($I$3*60+$J$3)/86400)+(J2495&lt;&gt;"")*(J2495&lt;=($M$3*60+$N$3)/86400)</f>
        <v>0</v>
      </c>
      <c r="N2495" s="20"/>
      <c r="O2495" s="20"/>
      <c r="P2495" s="20"/>
      <c r="Q2495" s="19"/>
    </row>
    <row r="2496" customFormat="false" ht="15" hidden="false" customHeight="false" outlineLevel="0" collapsed="false">
      <c r="A2496" s="10" t="n">
        <v>2490</v>
      </c>
      <c r="B2496" s="12" t="s">
        <v>3828</v>
      </c>
      <c r="C2496" s="12" t="s">
        <v>3829</v>
      </c>
      <c r="D2496" s="13"/>
      <c r="E2496" s="14"/>
      <c r="F2496" s="15" t="str">
        <f aca="false">IF(D2496="","",ROUND((D2496-MIN($D$7:$D$9999))*86400,2))</f>
        <v/>
      </c>
      <c r="G2496" s="10" t="str">
        <f aca="false">IF(D2496="","",IF(D2496&lt;=($E$3*60+$F$3)/86400,"○",""))</f>
        <v/>
      </c>
      <c r="H2496" s="16" t="n">
        <v>0.00807349537037037</v>
      </c>
      <c r="I2496" s="17" t="n">
        <v>1207</v>
      </c>
      <c r="J2496" s="16"/>
      <c r="K2496" s="17"/>
      <c r="L2496" s="17" t="n">
        <f aca="false">COUNT(E2496,I2496,K2496)</f>
        <v>1</v>
      </c>
      <c r="M2496" s="18" t="n">
        <f aca="false">(D2496&lt;&gt;"")*(D2496&lt;=($E$3*60+$F$3)/86400)+(H2496&lt;&gt;"")*(H2496&lt;=($I$3*60+$J$3)/86400)+(J2496&lt;&gt;"")*(J2496&lt;=($M$3*60+$N$3)/86400)</f>
        <v>0</v>
      </c>
      <c r="N2496" s="20"/>
      <c r="O2496" s="20"/>
      <c r="P2496" s="20"/>
      <c r="Q2496" s="19"/>
    </row>
    <row r="2497" customFormat="false" ht="15" hidden="false" customHeight="false" outlineLevel="0" collapsed="false">
      <c r="A2497" s="10" t="n">
        <v>2491</v>
      </c>
      <c r="B2497" s="12" t="s">
        <v>3830</v>
      </c>
      <c r="C2497" s="12" t="s">
        <v>3831</v>
      </c>
      <c r="D2497" s="13"/>
      <c r="E2497" s="14"/>
      <c r="F2497" s="15" t="str">
        <f aca="false">IF(D2497="","",ROUND((D2497-MIN($D$7:$D$9999))*86400,2))</f>
        <v/>
      </c>
      <c r="G2497" s="10" t="str">
        <f aca="false">IF(D2497="","",IF(D2497&lt;=($E$3*60+$F$3)/86400,"○",""))</f>
        <v/>
      </c>
      <c r="H2497" s="16" t="n">
        <v>0.00807662037037037</v>
      </c>
      <c r="I2497" s="17" t="n">
        <v>1208</v>
      </c>
      <c r="J2497" s="16"/>
      <c r="K2497" s="17"/>
      <c r="L2497" s="17" t="n">
        <f aca="false">COUNT(E2497,I2497,K2497)</f>
        <v>1</v>
      </c>
      <c r="M2497" s="18" t="n">
        <f aca="false">(D2497&lt;&gt;"")*(D2497&lt;=($E$3*60+$F$3)/86400)+(H2497&lt;&gt;"")*(H2497&lt;=($I$3*60+$J$3)/86400)+(J2497&lt;&gt;"")*(J2497&lt;=($M$3*60+$N$3)/86400)</f>
        <v>0</v>
      </c>
      <c r="N2497" s="20"/>
      <c r="O2497" s="20"/>
      <c r="P2497" s="20"/>
      <c r="Q2497" s="19"/>
    </row>
    <row r="2498" customFormat="false" ht="15" hidden="false" customHeight="false" outlineLevel="0" collapsed="false">
      <c r="A2498" s="10" t="n">
        <v>2492</v>
      </c>
      <c r="B2498" s="12" t="s">
        <v>3832</v>
      </c>
      <c r="C2498" s="12" t="s">
        <v>2741</v>
      </c>
      <c r="D2498" s="13"/>
      <c r="E2498" s="14"/>
      <c r="F2498" s="15" t="str">
        <f aca="false">IF(D2498="","",ROUND((D2498-MIN($D$7:$D$9999))*86400,2))</f>
        <v/>
      </c>
      <c r="G2498" s="10" t="str">
        <f aca="false">IF(D2498="","",IF(D2498&lt;=($E$3*60+$F$3)/86400,"○",""))</f>
        <v/>
      </c>
      <c r="H2498" s="16"/>
      <c r="I2498" s="17"/>
      <c r="J2498" s="16" t="n">
        <v>0.00294189814814815</v>
      </c>
      <c r="K2498" s="17" t="n">
        <v>1208</v>
      </c>
      <c r="L2498" s="17" t="n">
        <f aca="false">COUNT(E2498,I2498,K2498)</f>
        <v>1</v>
      </c>
      <c r="M2498" s="18" t="n">
        <f aca="false">(D2498&lt;&gt;"")*(D2498&lt;=($E$3*60+$F$3)/86400)+(H2498&lt;&gt;"")*(H2498&lt;=($I$3*60+$J$3)/86400)+(J2498&lt;&gt;"")*(J2498&lt;=($M$3*60+$N$3)/86400)</f>
        <v>0</v>
      </c>
      <c r="N2498" s="20"/>
      <c r="O2498" s="20"/>
      <c r="P2498" s="20"/>
      <c r="Q2498" s="19"/>
    </row>
    <row r="2499" customFormat="false" ht="15" hidden="false" customHeight="false" outlineLevel="0" collapsed="false">
      <c r="A2499" s="10" t="n">
        <v>2493</v>
      </c>
      <c r="B2499" s="12" t="s">
        <v>3833</v>
      </c>
      <c r="C2499" s="12" t="s">
        <v>824</v>
      </c>
      <c r="D2499" s="13"/>
      <c r="E2499" s="14"/>
      <c r="F2499" s="15" t="str">
        <f aca="false">IF(D2499="","",ROUND((D2499-MIN($D$7:$D$9999))*86400,2))</f>
        <v/>
      </c>
      <c r="G2499" s="10" t="str">
        <f aca="false">IF(D2499="","",IF(D2499&lt;=($E$3*60+$F$3)/86400,"○",""))</f>
        <v/>
      </c>
      <c r="H2499" s="16" t="n">
        <v>0.00808657407407407</v>
      </c>
      <c r="I2499" s="17" t="n">
        <v>1209</v>
      </c>
      <c r="J2499" s="16"/>
      <c r="K2499" s="17"/>
      <c r="L2499" s="17" t="n">
        <f aca="false">COUNT(E2499,I2499,K2499)</f>
        <v>1</v>
      </c>
      <c r="M2499" s="18" t="n">
        <f aca="false">(D2499&lt;&gt;"")*(D2499&lt;=($E$3*60+$F$3)/86400)+(H2499&lt;&gt;"")*(H2499&lt;=($I$3*60+$J$3)/86400)+(J2499&lt;&gt;"")*(J2499&lt;=($M$3*60+$N$3)/86400)</f>
        <v>0</v>
      </c>
      <c r="N2499" s="20"/>
      <c r="O2499" s="20"/>
      <c r="P2499" s="20"/>
      <c r="Q2499" s="19"/>
    </row>
    <row r="2500" customFormat="false" ht="15" hidden="false" customHeight="false" outlineLevel="0" collapsed="false">
      <c r="A2500" s="10" t="n">
        <v>2494</v>
      </c>
      <c r="B2500" s="12" t="s">
        <v>3834</v>
      </c>
      <c r="C2500" s="12" t="s">
        <v>3668</v>
      </c>
      <c r="D2500" s="13"/>
      <c r="E2500" s="14"/>
      <c r="F2500" s="15" t="str">
        <f aca="false">IF(D2500="","",ROUND((D2500-MIN($D$7:$D$9999))*86400,2))</f>
        <v/>
      </c>
      <c r="G2500" s="10" t="str">
        <f aca="false">IF(D2500="","",IF(D2500&lt;=($E$3*60+$F$3)/86400,"○",""))</f>
        <v/>
      </c>
      <c r="H2500" s="16"/>
      <c r="I2500" s="17"/>
      <c r="J2500" s="16" t="n">
        <v>0.00294247685185185</v>
      </c>
      <c r="K2500" s="17" t="n">
        <v>1209</v>
      </c>
      <c r="L2500" s="17" t="n">
        <f aca="false">COUNT(E2500,I2500,K2500)</f>
        <v>1</v>
      </c>
      <c r="M2500" s="18" t="n">
        <f aca="false">(D2500&lt;&gt;"")*(D2500&lt;=($E$3*60+$F$3)/86400)+(H2500&lt;&gt;"")*(H2500&lt;=($I$3*60+$J$3)/86400)+(J2500&lt;&gt;"")*(J2500&lt;=($M$3*60+$N$3)/86400)</f>
        <v>0</v>
      </c>
      <c r="N2500" s="20"/>
      <c r="O2500" s="20"/>
      <c r="P2500" s="20"/>
      <c r="Q2500" s="19"/>
    </row>
    <row r="2501" customFormat="false" ht="15" hidden="false" customHeight="false" outlineLevel="0" collapsed="false">
      <c r="A2501" s="10" t="n">
        <v>2495</v>
      </c>
      <c r="B2501" s="12" t="s">
        <v>3835</v>
      </c>
      <c r="C2501" s="12" t="s">
        <v>2431</v>
      </c>
      <c r="D2501" s="13"/>
      <c r="E2501" s="14"/>
      <c r="F2501" s="15" t="str">
        <f aca="false">IF(D2501="","",ROUND((D2501-MIN($D$7:$D$9999))*86400,2))</f>
        <v/>
      </c>
      <c r="G2501" s="10" t="str">
        <f aca="false">IF(D2501="","",IF(D2501&lt;=($E$3*60+$F$3)/86400,"○",""))</f>
        <v/>
      </c>
      <c r="H2501" s="16" t="n">
        <v>0.00809756944444444</v>
      </c>
      <c r="I2501" s="17" t="n">
        <v>1210</v>
      </c>
      <c r="J2501" s="16"/>
      <c r="K2501" s="17"/>
      <c r="L2501" s="17" t="n">
        <f aca="false">COUNT(E2501,I2501,K2501)</f>
        <v>1</v>
      </c>
      <c r="M2501" s="18" t="n">
        <f aca="false">(D2501&lt;&gt;"")*(D2501&lt;=($E$3*60+$F$3)/86400)+(H2501&lt;&gt;"")*(H2501&lt;=($I$3*60+$J$3)/86400)+(J2501&lt;&gt;"")*(J2501&lt;=($M$3*60+$N$3)/86400)</f>
        <v>0</v>
      </c>
      <c r="N2501" s="20"/>
      <c r="O2501" s="20"/>
      <c r="P2501" s="20"/>
      <c r="Q2501" s="19"/>
    </row>
    <row r="2502" customFormat="false" ht="15" hidden="false" customHeight="false" outlineLevel="0" collapsed="false">
      <c r="A2502" s="10" t="n">
        <v>2496</v>
      </c>
      <c r="B2502" s="12" t="s">
        <v>3836</v>
      </c>
      <c r="C2502" s="12" t="s">
        <v>3837</v>
      </c>
      <c r="D2502" s="13"/>
      <c r="E2502" s="14"/>
      <c r="F2502" s="15" t="str">
        <f aca="false">IF(D2502="","",ROUND((D2502-MIN($D$7:$D$9999))*86400,2))</f>
        <v/>
      </c>
      <c r="G2502" s="10" t="str">
        <f aca="false">IF(D2502="","",IF(D2502&lt;=($E$3*60+$F$3)/86400,"○",""))</f>
        <v/>
      </c>
      <c r="H2502" s="16" t="n">
        <v>0.00809965277777778</v>
      </c>
      <c r="I2502" s="17" t="n">
        <v>1211</v>
      </c>
      <c r="J2502" s="16"/>
      <c r="K2502" s="17"/>
      <c r="L2502" s="17" t="n">
        <f aca="false">COUNT(E2502,I2502,K2502)</f>
        <v>1</v>
      </c>
      <c r="M2502" s="18" t="n">
        <f aca="false">(D2502&lt;&gt;"")*(D2502&lt;=($E$3*60+$F$3)/86400)+(H2502&lt;&gt;"")*(H2502&lt;=($I$3*60+$J$3)/86400)+(J2502&lt;&gt;"")*(J2502&lt;=($M$3*60+$N$3)/86400)</f>
        <v>0</v>
      </c>
      <c r="N2502" s="20"/>
      <c r="O2502" s="20"/>
      <c r="P2502" s="20"/>
      <c r="Q2502" s="19"/>
    </row>
    <row r="2503" customFormat="false" ht="15" hidden="false" customHeight="false" outlineLevel="0" collapsed="false">
      <c r="A2503" s="10" t="n">
        <v>2497</v>
      </c>
      <c r="B2503" s="12" t="s">
        <v>3838</v>
      </c>
      <c r="C2503" s="12" t="s">
        <v>3437</v>
      </c>
      <c r="D2503" s="13"/>
      <c r="E2503" s="14"/>
      <c r="F2503" s="15" t="str">
        <f aca="false">IF(D2503="","",ROUND((D2503-MIN($D$7:$D$9999))*86400,2))</f>
        <v/>
      </c>
      <c r="G2503" s="10" t="str">
        <f aca="false">IF(D2503="","",IF(D2503&lt;=($E$3*60+$F$3)/86400,"○",""))</f>
        <v/>
      </c>
      <c r="H2503" s="16"/>
      <c r="I2503" s="17"/>
      <c r="J2503" s="16" t="n">
        <v>0.00294293981481482</v>
      </c>
      <c r="K2503" s="17" t="n">
        <v>1211</v>
      </c>
      <c r="L2503" s="17" t="n">
        <f aca="false">COUNT(E2503,I2503,K2503)</f>
        <v>1</v>
      </c>
      <c r="M2503" s="18" t="n">
        <f aca="false">(D2503&lt;&gt;"")*(D2503&lt;=($E$3*60+$F$3)/86400)+(H2503&lt;&gt;"")*(H2503&lt;=($I$3*60+$J$3)/86400)+(J2503&lt;&gt;"")*(J2503&lt;=($M$3*60+$N$3)/86400)</f>
        <v>0</v>
      </c>
      <c r="N2503" s="20"/>
      <c r="O2503" s="20"/>
      <c r="P2503" s="20"/>
      <c r="Q2503" s="19"/>
    </row>
    <row r="2504" customFormat="false" ht="15" hidden="false" customHeight="false" outlineLevel="0" collapsed="false">
      <c r="A2504" s="10" t="n">
        <v>2498</v>
      </c>
      <c r="B2504" s="12" t="s">
        <v>3839</v>
      </c>
      <c r="C2504" s="12" t="s">
        <v>1628</v>
      </c>
      <c r="D2504" s="13"/>
      <c r="E2504" s="14"/>
      <c r="F2504" s="15" t="str">
        <f aca="false">IF(D2504="","",ROUND((D2504-MIN($D$7:$D$9999))*86400,2))</f>
        <v/>
      </c>
      <c r="G2504" s="10" t="str">
        <f aca="false">IF(D2504="","",IF(D2504&lt;=($E$3*60+$F$3)/86400,"○",""))</f>
        <v/>
      </c>
      <c r="H2504" s="16" t="n">
        <v>0.00810752314814815</v>
      </c>
      <c r="I2504" s="17" t="n">
        <v>1212</v>
      </c>
      <c r="J2504" s="16"/>
      <c r="K2504" s="17"/>
      <c r="L2504" s="17" t="n">
        <f aca="false">COUNT(E2504,I2504,K2504)</f>
        <v>1</v>
      </c>
      <c r="M2504" s="18" t="n">
        <f aca="false">(D2504&lt;&gt;"")*(D2504&lt;=($E$3*60+$F$3)/86400)+(H2504&lt;&gt;"")*(H2504&lt;=($I$3*60+$J$3)/86400)+(J2504&lt;&gt;"")*(J2504&lt;=($M$3*60+$N$3)/86400)</f>
        <v>0</v>
      </c>
      <c r="N2504" s="20"/>
      <c r="O2504" s="20"/>
      <c r="P2504" s="20"/>
      <c r="Q2504" s="19"/>
    </row>
    <row r="2505" customFormat="false" ht="15" hidden="false" customHeight="false" outlineLevel="0" collapsed="false">
      <c r="A2505" s="10" t="n">
        <v>2499</v>
      </c>
      <c r="B2505" s="12" t="s">
        <v>3840</v>
      </c>
      <c r="C2505" s="12" t="s">
        <v>135</v>
      </c>
      <c r="D2505" s="13"/>
      <c r="E2505" s="14"/>
      <c r="F2505" s="15" t="str">
        <f aca="false">IF(D2505="","",ROUND((D2505-MIN($D$7:$D$9999))*86400,2))</f>
        <v/>
      </c>
      <c r="G2505" s="10" t="str">
        <f aca="false">IF(D2505="","",IF(D2505&lt;=($E$3*60+$F$3)/86400,"○",""))</f>
        <v/>
      </c>
      <c r="H2505" s="16"/>
      <c r="I2505" s="17"/>
      <c r="J2505" s="16" t="n">
        <v>0.0029431712962963</v>
      </c>
      <c r="K2505" s="17" t="n">
        <v>1212</v>
      </c>
      <c r="L2505" s="17" t="n">
        <f aca="false">COUNT(E2505,I2505,K2505)</f>
        <v>1</v>
      </c>
      <c r="M2505" s="18" t="n">
        <f aca="false">(D2505&lt;&gt;"")*(D2505&lt;=($E$3*60+$F$3)/86400)+(H2505&lt;&gt;"")*(H2505&lt;=($I$3*60+$J$3)/86400)+(J2505&lt;&gt;"")*(J2505&lt;=($M$3*60+$N$3)/86400)</f>
        <v>0</v>
      </c>
      <c r="N2505" s="20"/>
      <c r="O2505" s="20"/>
      <c r="P2505" s="20"/>
      <c r="Q2505" s="19"/>
    </row>
    <row r="2506" customFormat="false" ht="15" hidden="false" customHeight="false" outlineLevel="0" collapsed="false">
      <c r="A2506" s="10" t="n">
        <v>2500</v>
      </c>
      <c r="B2506" s="12" t="s">
        <v>3841</v>
      </c>
      <c r="C2506" s="12" t="s">
        <v>1096</v>
      </c>
      <c r="D2506" s="13"/>
      <c r="E2506" s="14"/>
      <c r="F2506" s="15" t="str">
        <f aca="false">IF(D2506="","",ROUND((D2506-MIN($D$7:$D$9999))*86400,2))</f>
        <v/>
      </c>
      <c r="G2506" s="10" t="str">
        <f aca="false">IF(D2506="","",IF(D2506&lt;=($E$3*60+$F$3)/86400,"○",""))</f>
        <v/>
      </c>
      <c r="H2506" s="16" t="n">
        <v>0.00812233796296296</v>
      </c>
      <c r="I2506" s="17" t="n">
        <v>1213</v>
      </c>
      <c r="J2506" s="16"/>
      <c r="K2506" s="17"/>
      <c r="L2506" s="17" t="n">
        <f aca="false">COUNT(E2506,I2506,K2506)</f>
        <v>1</v>
      </c>
      <c r="M2506" s="18" t="n">
        <f aca="false">(D2506&lt;&gt;"")*(D2506&lt;=($E$3*60+$F$3)/86400)+(H2506&lt;&gt;"")*(H2506&lt;=($I$3*60+$J$3)/86400)+(J2506&lt;&gt;"")*(J2506&lt;=($M$3*60+$N$3)/86400)</f>
        <v>0</v>
      </c>
      <c r="N2506" s="20"/>
      <c r="O2506" s="20"/>
      <c r="P2506" s="20"/>
      <c r="Q2506" s="19"/>
    </row>
    <row r="2507" customFormat="false" ht="15" hidden="false" customHeight="false" outlineLevel="0" collapsed="false">
      <c r="A2507" s="10" t="n">
        <v>2501</v>
      </c>
      <c r="B2507" s="12" t="s">
        <v>3842</v>
      </c>
      <c r="C2507" s="12" t="s">
        <v>2921</v>
      </c>
      <c r="D2507" s="13"/>
      <c r="E2507" s="14"/>
      <c r="F2507" s="15" t="str">
        <f aca="false">IF(D2507="","",ROUND((D2507-MIN($D$7:$D$9999))*86400,2))</f>
        <v/>
      </c>
      <c r="G2507" s="10" t="str">
        <f aca="false">IF(D2507="","",IF(D2507&lt;=($E$3*60+$F$3)/86400,"○",""))</f>
        <v/>
      </c>
      <c r="H2507" s="16" t="n">
        <v>0.00812962962962963</v>
      </c>
      <c r="I2507" s="17" t="n">
        <v>1214</v>
      </c>
      <c r="J2507" s="16"/>
      <c r="K2507" s="17"/>
      <c r="L2507" s="17" t="n">
        <f aca="false">COUNT(E2507,I2507,K2507)</f>
        <v>1</v>
      </c>
      <c r="M2507" s="18" t="n">
        <f aca="false">(D2507&lt;&gt;"")*(D2507&lt;=($E$3*60+$F$3)/86400)+(H2507&lt;&gt;"")*(H2507&lt;=($I$3*60+$J$3)/86400)+(J2507&lt;&gt;"")*(J2507&lt;=($M$3*60+$N$3)/86400)</f>
        <v>0</v>
      </c>
      <c r="N2507" s="20"/>
      <c r="O2507" s="20"/>
      <c r="P2507" s="20"/>
      <c r="Q2507" s="19"/>
    </row>
    <row r="2508" customFormat="false" ht="15" hidden="false" customHeight="false" outlineLevel="0" collapsed="false">
      <c r="A2508" s="10" t="n">
        <v>2502</v>
      </c>
      <c r="B2508" s="12" t="s">
        <v>3843</v>
      </c>
      <c r="C2508" s="12" t="s">
        <v>3844</v>
      </c>
      <c r="D2508" s="13"/>
      <c r="E2508" s="14"/>
      <c r="F2508" s="15" t="str">
        <f aca="false">IF(D2508="","",ROUND((D2508-MIN($D$7:$D$9999))*86400,2))</f>
        <v/>
      </c>
      <c r="G2508" s="10" t="str">
        <f aca="false">IF(D2508="","",IF(D2508&lt;=($E$3*60+$F$3)/86400,"○",""))</f>
        <v/>
      </c>
      <c r="H2508" s="16" t="n">
        <v>0.00813506944444445</v>
      </c>
      <c r="I2508" s="17" t="n">
        <v>1215</v>
      </c>
      <c r="J2508" s="16"/>
      <c r="K2508" s="17"/>
      <c r="L2508" s="17" t="n">
        <f aca="false">COUNT(E2508,I2508,K2508)</f>
        <v>1</v>
      </c>
      <c r="M2508" s="18" t="n">
        <f aca="false">(D2508&lt;&gt;"")*(D2508&lt;=($E$3*60+$F$3)/86400)+(H2508&lt;&gt;"")*(H2508&lt;=($I$3*60+$J$3)/86400)+(J2508&lt;&gt;"")*(J2508&lt;=($M$3*60+$N$3)/86400)</f>
        <v>0</v>
      </c>
      <c r="N2508" s="20"/>
      <c r="O2508" s="20"/>
      <c r="P2508" s="20"/>
      <c r="Q2508" s="19"/>
    </row>
    <row r="2509" customFormat="false" ht="15" hidden="false" customHeight="false" outlineLevel="0" collapsed="false">
      <c r="A2509" s="10" t="n">
        <v>2503</v>
      </c>
      <c r="B2509" s="12" t="s">
        <v>3845</v>
      </c>
      <c r="C2509" s="12" t="s">
        <v>2892</v>
      </c>
      <c r="D2509" s="13"/>
      <c r="E2509" s="14"/>
      <c r="F2509" s="15" t="str">
        <f aca="false">IF(D2509="","",ROUND((D2509-MIN($D$7:$D$9999))*86400,2))</f>
        <v/>
      </c>
      <c r="G2509" s="10" t="str">
        <f aca="false">IF(D2509="","",IF(D2509&lt;=($E$3*60+$F$3)/86400,"○",""))</f>
        <v/>
      </c>
      <c r="H2509" s="16"/>
      <c r="I2509" s="17"/>
      <c r="J2509" s="16" t="n">
        <v>0.00294375</v>
      </c>
      <c r="K2509" s="17" t="n">
        <v>1215</v>
      </c>
      <c r="L2509" s="17" t="n">
        <f aca="false">COUNT(E2509,I2509,K2509)</f>
        <v>1</v>
      </c>
      <c r="M2509" s="18" t="n">
        <f aca="false">(D2509&lt;&gt;"")*(D2509&lt;=($E$3*60+$F$3)/86400)+(H2509&lt;&gt;"")*(H2509&lt;=($I$3*60+$J$3)/86400)+(J2509&lt;&gt;"")*(J2509&lt;=($M$3*60+$N$3)/86400)</f>
        <v>0</v>
      </c>
      <c r="N2509" s="20"/>
      <c r="O2509" s="20"/>
      <c r="P2509" s="20"/>
      <c r="Q2509" s="19"/>
    </row>
    <row r="2510" customFormat="false" ht="15" hidden="false" customHeight="false" outlineLevel="0" collapsed="false">
      <c r="A2510" s="10" t="n">
        <v>2504</v>
      </c>
      <c r="B2510" s="12" t="s">
        <v>3846</v>
      </c>
      <c r="C2510" s="12" t="s">
        <v>2619</v>
      </c>
      <c r="D2510" s="13"/>
      <c r="E2510" s="14"/>
      <c r="F2510" s="15" t="str">
        <f aca="false">IF(D2510="","",ROUND((D2510-MIN($D$7:$D$9999))*86400,2))</f>
        <v/>
      </c>
      <c r="G2510" s="10" t="str">
        <f aca="false">IF(D2510="","",IF(D2510&lt;=($E$3*60+$F$3)/86400,"○",""))</f>
        <v/>
      </c>
      <c r="H2510" s="16" t="n">
        <v>0.00813831018518518</v>
      </c>
      <c r="I2510" s="17" t="n">
        <v>1216</v>
      </c>
      <c r="J2510" s="16"/>
      <c r="K2510" s="17"/>
      <c r="L2510" s="17" t="n">
        <f aca="false">COUNT(E2510,I2510,K2510)</f>
        <v>1</v>
      </c>
      <c r="M2510" s="18" t="n">
        <f aca="false">(D2510&lt;&gt;"")*(D2510&lt;=($E$3*60+$F$3)/86400)+(H2510&lt;&gt;"")*(H2510&lt;=($I$3*60+$J$3)/86400)+(J2510&lt;&gt;"")*(J2510&lt;=($M$3*60+$N$3)/86400)</f>
        <v>0</v>
      </c>
      <c r="N2510" s="20"/>
      <c r="O2510" s="20"/>
      <c r="P2510" s="20"/>
      <c r="Q2510" s="19"/>
    </row>
    <row r="2511" customFormat="false" ht="15" hidden="false" customHeight="false" outlineLevel="0" collapsed="false">
      <c r="A2511" s="10" t="n">
        <v>2505</v>
      </c>
      <c r="B2511" s="12" t="s">
        <v>3847</v>
      </c>
      <c r="C2511" s="12" t="s">
        <v>1385</v>
      </c>
      <c r="D2511" s="13"/>
      <c r="E2511" s="14"/>
      <c r="F2511" s="15" t="str">
        <f aca="false">IF(D2511="","",ROUND((D2511-MIN($D$7:$D$9999))*86400,2))</f>
        <v/>
      </c>
      <c r="G2511" s="10" t="str">
        <f aca="false">IF(D2511="","",IF(D2511&lt;=($E$3*60+$F$3)/86400,"○",""))</f>
        <v/>
      </c>
      <c r="H2511" s="16" t="n">
        <v>0.00813854166666667</v>
      </c>
      <c r="I2511" s="17" t="n">
        <v>1217</v>
      </c>
      <c r="J2511" s="16"/>
      <c r="K2511" s="17"/>
      <c r="L2511" s="17" t="n">
        <f aca="false">COUNT(E2511,I2511,K2511)</f>
        <v>1</v>
      </c>
      <c r="M2511" s="18" t="n">
        <f aca="false">(D2511&lt;&gt;"")*(D2511&lt;=($E$3*60+$F$3)/86400)+(H2511&lt;&gt;"")*(H2511&lt;=($I$3*60+$J$3)/86400)+(J2511&lt;&gt;"")*(J2511&lt;=($M$3*60+$N$3)/86400)</f>
        <v>0</v>
      </c>
      <c r="N2511" s="20"/>
      <c r="O2511" s="20"/>
      <c r="P2511" s="20"/>
      <c r="Q2511" s="19"/>
    </row>
    <row r="2512" customFormat="false" ht="15" hidden="false" customHeight="false" outlineLevel="0" collapsed="false">
      <c r="A2512" s="10" t="n">
        <v>2506</v>
      </c>
      <c r="B2512" s="12" t="s">
        <v>3848</v>
      </c>
      <c r="C2512" s="12" t="s">
        <v>1705</v>
      </c>
      <c r="D2512" s="13"/>
      <c r="E2512" s="14"/>
      <c r="F2512" s="15" t="str">
        <f aca="false">IF(D2512="","",ROUND((D2512-MIN($D$7:$D$9999))*86400,2))</f>
        <v/>
      </c>
      <c r="G2512" s="10" t="str">
        <f aca="false">IF(D2512="","",IF(D2512&lt;=($E$3*60+$F$3)/86400,"○",""))</f>
        <v/>
      </c>
      <c r="H2512" s="16"/>
      <c r="I2512" s="17"/>
      <c r="J2512" s="16" t="n">
        <v>0.00294502314814815</v>
      </c>
      <c r="K2512" s="17" t="n">
        <v>1217</v>
      </c>
      <c r="L2512" s="17" t="n">
        <f aca="false">COUNT(E2512,I2512,K2512)</f>
        <v>1</v>
      </c>
      <c r="M2512" s="18" t="n">
        <f aca="false">(D2512&lt;&gt;"")*(D2512&lt;=($E$3*60+$F$3)/86400)+(H2512&lt;&gt;"")*(H2512&lt;=($I$3*60+$J$3)/86400)+(J2512&lt;&gt;"")*(J2512&lt;=($M$3*60+$N$3)/86400)</f>
        <v>0</v>
      </c>
      <c r="N2512" s="20"/>
      <c r="O2512" s="20"/>
      <c r="P2512" s="20"/>
      <c r="Q2512" s="19"/>
    </row>
    <row r="2513" customFormat="false" ht="15" hidden="false" customHeight="false" outlineLevel="0" collapsed="false">
      <c r="A2513" s="10" t="n">
        <v>2507</v>
      </c>
      <c r="B2513" s="12" t="s">
        <v>3849</v>
      </c>
      <c r="C2513" s="12" t="s">
        <v>3018</v>
      </c>
      <c r="D2513" s="13"/>
      <c r="E2513" s="14"/>
      <c r="F2513" s="15" t="str">
        <f aca="false">IF(D2513="","",ROUND((D2513-MIN($D$7:$D$9999))*86400,2))</f>
        <v/>
      </c>
      <c r="G2513" s="10" t="str">
        <f aca="false">IF(D2513="","",IF(D2513&lt;=($E$3*60+$F$3)/86400,"○",""))</f>
        <v/>
      </c>
      <c r="H2513" s="16" t="n">
        <v>0.00814953703703704</v>
      </c>
      <c r="I2513" s="17" t="n">
        <v>1218</v>
      </c>
      <c r="J2513" s="16"/>
      <c r="K2513" s="17"/>
      <c r="L2513" s="17" t="n">
        <f aca="false">COUNT(E2513,I2513,K2513)</f>
        <v>1</v>
      </c>
      <c r="M2513" s="18" t="n">
        <f aca="false">(D2513&lt;&gt;"")*(D2513&lt;=($E$3*60+$F$3)/86400)+(H2513&lt;&gt;"")*(H2513&lt;=($I$3*60+$J$3)/86400)+(J2513&lt;&gt;"")*(J2513&lt;=($M$3*60+$N$3)/86400)</f>
        <v>0</v>
      </c>
      <c r="N2513" s="20"/>
      <c r="O2513" s="20"/>
      <c r="P2513" s="20"/>
      <c r="Q2513" s="19"/>
    </row>
    <row r="2514" customFormat="false" ht="15" hidden="false" customHeight="false" outlineLevel="0" collapsed="false">
      <c r="A2514" s="10" t="n">
        <v>2508</v>
      </c>
      <c r="B2514" s="12" t="s">
        <v>3850</v>
      </c>
      <c r="C2514" s="12" t="s">
        <v>2494</v>
      </c>
      <c r="D2514" s="13"/>
      <c r="E2514" s="14"/>
      <c r="F2514" s="15" t="str">
        <f aca="false">IF(D2514="","",ROUND((D2514-MIN($D$7:$D$9999))*86400,2))</f>
        <v/>
      </c>
      <c r="G2514" s="10" t="str">
        <f aca="false">IF(D2514="","",IF(D2514&lt;=($E$3*60+$F$3)/86400,"○",""))</f>
        <v/>
      </c>
      <c r="H2514" s="16" t="n">
        <v>0.00815462962962963</v>
      </c>
      <c r="I2514" s="17" t="n">
        <v>1220</v>
      </c>
      <c r="J2514" s="16"/>
      <c r="K2514" s="17"/>
      <c r="L2514" s="17" t="n">
        <f aca="false">COUNT(E2514,I2514,K2514)</f>
        <v>1</v>
      </c>
      <c r="M2514" s="18" t="n">
        <f aca="false">(D2514&lt;&gt;"")*(D2514&lt;=($E$3*60+$F$3)/86400)+(H2514&lt;&gt;"")*(H2514&lt;=($I$3*60+$J$3)/86400)+(J2514&lt;&gt;"")*(J2514&lt;=($M$3*60+$N$3)/86400)</f>
        <v>0</v>
      </c>
      <c r="N2514" s="20"/>
      <c r="O2514" s="20"/>
      <c r="P2514" s="20"/>
      <c r="Q2514" s="19"/>
    </row>
    <row r="2515" customFormat="false" ht="15" hidden="false" customHeight="false" outlineLevel="0" collapsed="false">
      <c r="A2515" s="10" t="n">
        <v>2509</v>
      </c>
      <c r="B2515" s="12" t="s">
        <v>3851</v>
      </c>
      <c r="C2515" s="12" t="s">
        <v>3852</v>
      </c>
      <c r="D2515" s="13"/>
      <c r="E2515" s="14"/>
      <c r="F2515" s="15" t="str">
        <f aca="false">IF(D2515="","",ROUND((D2515-MIN($D$7:$D$9999))*86400,2))</f>
        <v/>
      </c>
      <c r="G2515" s="10" t="str">
        <f aca="false">IF(D2515="","",IF(D2515&lt;=($E$3*60+$F$3)/86400,"○",""))</f>
        <v/>
      </c>
      <c r="H2515" s="16"/>
      <c r="I2515" s="17"/>
      <c r="J2515" s="16" t="n">
        <v>0.0029462962962963</v>
      </c>
      <c r="K2515" s="17" t="n">
        <v>1220</v>
      </c>
      <c r="L2515" s="17" t="n">
        <f aca="false">COUNT(E2515,I2515,K2515)</f>
        <v>1</v>
      </c>
      <c r="M2515" s="18" t="n">
        <f aca="false">(D2515&lt;&gt;"")*(D2515&lt;=($E$3*60+$F$3)/86400)+(H2515&lt;&gt;"")*(H2515&lt;=($I$3*60+$J$3)/86400)+(J2515&lt;&gt;"")*(J2515&lt;=($M$3*60+$N$3)/86400)</f>
        <v>0</v>
      </c>
      <c r="N2515" s="20"/>
      <c r="O2515" s="20"/>
      <c r="P2515" s="20"/>
      <c r="Q2515" s="19"/>
    </row>
    <row r="2516" customFormat="false" ht="15" hidden="false" customHeight="false" outlineLevel="0" collapsed="false">
      <c r="A2516" s="10" t="n">
        <v>2510</v>
      </c>
      <c r="B2516" s="12" t="s">
        <v>3853</v>
      </c>
      <c r="C2516" s="12" t="s">
        <v>1339</v>
      </c>
      <c r="D2516" s="13"/>
      <c r="E2516" s="14"/>
      <c r="F2516" s="15" t="str">
        <f aca="false">IF(D2516="","",ROUND((D2516-MIN($D$7:$D$9999))*86400,2))</f>
        <v/>
      </c>
      <c r="G2516" s="10" t="str">
        <f aca="false">IF(D2516="","",IF(D2516&lt;=($E$3*60+$F$3)/86400,"○",""))</f>
        <v/>
      </c>
      <c r="H2516" s="16" t="n">
        <v>0.00815543981481482</v>
      </c>
      <c r="I2516" s="17" t="n">
        <v>1221</v>
      </c>
      <c r="J2516" s="16"/>
      <c r="K2516" s="17"/>
      <c r="L2516" s="17" t="n">
        <f aca="false">COUNT(E2516,I2516,K2516)</f>
        <v>1</v>
      </c>
      <c r="M2516" s="18" t="n">
        <f aca="false">(D2516&lt;&gt;"")*(D2516&lt;=($E$3*60+$F$3)/86400)+(H2516&lt;&gt;"")*(H2516&lt;=($I$3*60+$J$3)/86400)+(J2516&lt;&gt;"")*(J2516&lt;=($M$3*60+$N$3)/86400)</f>
        <v>0</v>
      </c>
      <c r="N2516" s="20"/>
      <c r="O2516" s="20"/>
      <c r="P2516" s="20"/>
      <c r="Q2516" s="19"/>
    </row>
    <row r="2517" customFormat="false" ht="15" hidden="false" customHeight="false" outlineLevel="0" collapsed="false">
      <c r="A2517" s="10" t="n">
        <v>2511</v>
      </c>
      <c r="B2517" s="12" t="s">
        <v>3854</v>
      </c>
      <c r="C2517" s="12" t="s">
        <v>795</v>
      </c>
      <c r="D2517" s="13"/>
      <c r="E2517" s="14"/>
      <c r="F2517" s="15" t="str">
        <f aca="false">IF(D2517="","",ROUND((D2517-MIN($D$7:$D$9999))*86400,2))</f>
        <v/>
      </c>
      <c r="G2517" s="10" t="str">
        <f aca="false">IF(D2517="","",IF(D2517&lt;=($E$3*60+$F$3)/86400,"○",""))</f>
        <v/>
      </c>
      <c r="H2517" s="16"/>
      <c r="I2517" s="17"/>
      <c r="J2517" s="16" t="n">
        <v>0.002946875</v>
      </c>
      <c r="K2517" s="17" t="n">
        <v>1221</v>
      </c>
      <c r="L2517" s="17" t="n">
        <f aca="false">COUNT(E2517,I2517,K2517)</f>
        <v>1</v>
      </c>
      <c r="M2517" s="18" t="n">
        <f aca="false">(D2517&lt;&gt;"")*(D2517&lt;=($E$3*60+$F$3)/86400)+(H2517&lt;&gt;"")*(H2517&lt;=($I$3*60+$J$3)/86400)+(J2517&lt;&gt;"")*(J2517&lt;=($M$3*60+$N$3)/86400)</f>
        <v>0</v>
      </c>
      <c r="N2517" s="20"/>
      <c r="O2517" s="20"/>
      <c r="P2517" s="20"/>
      <c r="Q2517" s="19"/>
    </row>
    <row r="2518" customFormat="false" ht="15" hidden="false" customHeight="false" outlineLevel="0" collapsed="false">
      <c r="A2518" s="10" t="n">
        <v>2512</v>
      </c>
      <c r="B2518" s="12" t="s">
        <v>3855</v>
      </c>
      <c r="C2518" s="12" t="s">
        <v>3856</v>
      </c>
      <c r="D2518" s="13"/>
      <c r="E2518" s="14"/>
      <c r="F2518" s="15" t="str">
        <f aca="false">IF(D2518="","",ROUND((D2518-MIN($D$7:$D$9999))*86400,2))</f>
        <v/>
      </c>
      <c r="G2518" s="10" t="str">
        <f aca="false">IF(D2518="","",IF(D2518&lt;=($E$3*60+$F$3)/86400,"○",""))</f>
        <v/>
      </c>
      <c r="H2518" s="16" t="n">
        <v>0.00815555555555556</v>
      </c>
      <c r="I2518" s="17" t="n">
        <v>1222</v>
      </c>
      <c r="J2518" s="16"/>
      <c r="K2518" s="17"/>
      <c r="L2518" s="17" t="n">
        <f aca="false">COUNT(E2518,I2518,K2518)</f>
        <v>1</v>
      </c>
      <c r="M2518" s="18" t="n">
        <f aca="false">(D2518&lt;&gt;"")*(D2518&lt;=($E$3*60+$F$3)/86400)+(H2518&lt;&gt;"")*(H2518&lt;=($I$3*60+$J$3)/86400)+(J2518&lt;&gt;"")*(J2518&lt;=($M$3*60+$N$3)/86400)</f>
        <v>0</v>
      </c>
      <c r="N2518" s="20"/>
      <c r="O2518" s="20"/>
      <c r="P2518" s="20"/>
      <c r="Q2518" s="19"/>
    </row>
    <row r="2519" customFormat="false" ht="15" hidden="false" customHeight="false" outlineLevel="0" collapsed="false">
      <c r="A2519" s="10" t="n">
        <v>2513</v>
      </c>
      <c r="B2519" s="12" t="s">
        <v>3857</v>
      </c>
      <c r="C2519" s="12" t="s">
        <v>3708</v>
      </c>
      <c r="D2519" s="13"/>
      <c r="E2519" s="14"/>
      <c r="F2519" s="15" t="str">
        <f aca="false">IF(D2519="","",ROUND((D2519-MIN($D$7:$D$9999))*86400,2))</f>
        <v/>
      </c>
      <c r="G2519" s="10" t="str">
        <f aca="false">IF(D2519="","",IF(D2519&lt;=($E$3*60+$F$3)/86400,"○",""))</f>
        <v/>
      </c>
      <c r="H2519" s="16"/>
      <c r="I2519" s="17"/>
      <c r="J2519" s="16" t="n">
        <v>0.00294699074074074</v>
      </c>
      <c r="K2519" s="17" t="n">
        <v>1222</v>
      </c>
      <c r="L2519" s="17" t="n">
        <f aca="false">COUNT(E2519,I2519,K2519)</f>
        <v>1</v>
      </c>
      <c r="M2519" s="18" t="n">
        <f aca="false">(D2519&lt;&gt;"")*(D2519&lt;=($E$3*60+$F$3)/86400)+(H2519&lt;&gt;"")*(H2519&lt;=($I$3*60+$J$3)/86400)+(J2519&lt;&gt;"")*(J2519&lt;=($M$3*60+$N$3)/86400)</f>
        <v>0</v>
      </c>
      <c r="N2519" s="20"/>
      <c r="O2519" s="20"/>
      <c r="P2519" s="20"/>
      <c r="Q2519" s="19"/>
    </row>
    <row r="2520" customFormat="false" ht="15" hidden="false" customHeight="false" outlineLevel="0" collapsed="false">
      <c r="A2520" s="10" t="n">
        <v>2514</v>
      </c>
      <c r="B2520" s="12" t="s">
        <v>3858</v>
      </c>
      <c r="C2520" s="12" t="s">
        <v>1259</v>
      </c>
      <c r="D2520" s="13"/>
      <c r="E2520" s="14"/>
      <c r="F2520" s="15" t="str">
        <f aca="false">IF(D2520="","",ROUND((D2520-MIN($D$7:$D$9999))*86400,2))</f>
        <v/>
      </c>
      <c r="G2520" s="10" t="str">
        <f aca="false">IF(D2520="","",IF(D2520&lt;=($E$3*60+$F$3)/86400,"○",""))</f>
        <v/>
      </c>
      <c r="H2520" s="16" t="n">
        <v>0.0081625</v>
      </c>
      <c r="I2520" s="17" t="n">
        <v>1224</v>
      </c>
      <c r="J2520" s="16"/>
      <c r="K2520" s="17"/>
      <c r="L2520" s="17" t="n">
        <f aca="false">COUNT(E2520,I2520,K2520)</f>
        <v>1</v>
      </c>
      <c r="M2520" s="18" t="n">
        <f aca="false">(D2520&lt;&gt;"")*(D2520&lt;=($E$3*60+$F$3)/86400)+(H2520&lt;&gt;"")*(H2520&lt;=($I$3*60+$J$3)/86400)+(J2520&lt;&gt;"")*(J2520&lt;=($M$3*60+$N$3)/86400)</f>
        <v>0</v>
      </c>
      <c r="N2520" s="20"/>
      <c r="O2520" s="20"/>
      <c r="P2520" s="20"/>
      <c r="Q2520" s="19"/>
    </row>
    <row r="2521" customFormat="false" ht="15" hidden="false" customHeight="false" outlineLevel="0" collapsed="false">
      <c r="A2521" s="10" t="n">
        <v>2515</v>
      </c>
      <c r="B2521" s="12" t="s">
        <v>3859</v>
      </c>
      <c r="C2521" s="12" t="s">
        <v>1491</v>
      </c>
      <c r="D2521" s="13"/>
      <c r="E2521" s="14"/>
      <c r="F2521" s="15" t="str">
        <f aca="false">IF(D2521="","",ROUND((D2521-MIN($D$7:$D$9999))*86400,2))</f>
        <v/>
      </c>
      <c r="G2521" s="10" t="str">
        <f aca="false">IF(D2521="","",IF(D2521&lt;=($E$3*60+$F$3)/86400,"○",""))</f>
        <v/>
      </c>
      <c r="H2521" s="16" t="n">
        <v>0.00816331018518519</v>
      </c>
      <c r="I2521" s="17" t="n">
        <v>1225</v>
      </c>
      <c r="J2521" s="16"/>
      <c r="K2521" s="17"/>
      <c r="L2521" s="17" t="n">
        <f aca="false">COUNT(E2521,I2521,K2521)</f>
        <v>1</v>
      </c>
      <c r="M2521" s="18" t="n">
        <f aca="false">(D2521&lt;&gt;"")*(D2521&lt;=($E$3*60+$F$3)/86400)+(H2521&lt;&gt;"")*(H2521&lt;=($I$3*60+$J$3)/86400)+(J2521&lt;&gt;"")*(J2521&lt;=($M$3*60+$N$3)/86400)</f>
        <v>0</v>
      </c>
      <c r="N2521" s="20"/>
      <c r="O2521" s="20"/>
      <c r="P2521" s="20"/>
      <c r="Q2521" s="19"/>
    </row>
    <row r="2522" customFormat="false" ht="15" hidden="false" customHeight="false" outlineLevel="0" collapsed="false">
      <c r="A2522" s="10" t="n">
        <v>2516</v>
      </c>
      <c r="B2522" s="12" t="s">
        <v>3860</v>
      </c>
      <c r="C2522" s="12" t="s">
        <v>2785</v>
      </c>
      <c r="D2522" s="13"/>
      <c r="E2522" s="14"/>
      <c r="F2522" s="15" t="str">
        <f aca="false">IF(D2522="","",ROUND((D2522-MIN($D$7:$D$9999))*86400,2))</f>
        <v/>
      </c>
      <c r="G2522" s="10" t="str">
        <f aca="false">IF(D2522="","",IF(D2522&lt;=($E$3*60+$F$3)/86400,"○",""))</f>
        <v/>
      </c>
      <c r="H2522" s="16" t="n">
        <v>0.00816354166666667</v>
      </c>
      <c r="I2522" s="17" t="n">
        <v>1226</v>
      </c>
      <c r="J2522" s="16"/>
      <c r="K2522" s="17"/>
      <c r="L2522" s="17" t="n">
        <f aca="false">COUNT(E2522,I2522,K2522)</f>
        <v>1</v>
      </c>
      <c r="M2522" s="18" t="n">
        <f aca="false">(D2522&lt;&gt;"")*(D2522&lt;=($E$3*60+$F$3)/86400)+(H2522&lt;&gt;"")*(H2522&lt;=($I$3*60+$J$3)/86400)+(J2522&lt;&gt;"")*(J2522&lt;=($M$3*60+$N$3)/86400)</f>
        <v>0</v>
      </c>
      <c r="N2522" s="20"/>
      <c r="O2522" s="20"/>
      <c r="P2522" s="20"/>
      <c r="Q2522" s="19"/>
    </row>
    <row r="2523" customFormat="false" ht="15" hidden="false" customHeight="false" outlineLevel="0" collapsed="false">
      <c r="A2523" s="10" t="n">
        <v>2517</v>
      </c>
      <c r="B2523" s="12" t="s">
        <v>3861</v>
      </c>
      <c r="C2523" s="12" t="s">
        <v>589</v>
      </c>
      <c r="D2523" s="13"/>
      <c r="E2523" s="14"/>
      <c r="F2523" s="15" t="str">
        <f aca="false">IF(D2523="","",ROUND((D2523-MIN($D$7:$D$9999))*86400,2))</f>
        <v/>
      </c>
      <c r="G2523" s="10" t="str">
        <f aca="false">IF(D2523="","",IF(D2523&lt;=($E$3*60+$F$3)/86400,"○",""))</f>
        <v/>
      </c>
      <c r="H2523" s="16"/>
      <c r="I2523" s="17"/>
      <c r="J2523" s="16" t="n">
        <v>0.00294780092592593</v>
      </c>
      <c r="K2523" s="17" t="n">
        <v>1226</v>
      </c>
      <c r="L2523" s="17" t="n">
        <f aca="false">COUNT(E2523,I2523,K2523)</f>
        <v>1</v>
      </c>
      <c r="M2523" s="18" t="n">
        <f aca="false">(D2523&lt;&gt;"")*(D2523&lt;=($E$3*60+$F$3)/86400)+(H2523&lt;&gt;"")*(H2523&lt;=($I$3*60+$J$3)/86400)+(J2523&lt;&gt;"")*(J2523&lt;=($M$3*60+$N$3)/86400)</f>
        <v>0</v>
      </c>
      <c r="N2523" s="20"/>
      <c r="O2523" s="20"/>
      <c r="P2523" s="20"/>
      <c r="Q2523" s="19"/>
    </row>
    <row r="2524" customFormat="false" ht="15" hidden="false" customHeight="false" outlineLevel="0" collapsed="false">
      <c r="A2524" s="10" t="n">
        <v>2518</v>
      </c>
      <c r="B2524" s="12" t="s">
        <v>3862</v>
      </c>
      <c r="C2524" s="12" t="s">
        <v>2112</v>
      </c>
      <c r="D2524" s="13"/>
      <c r="E2524" s="14"/>
      <c r="F2524" s="15" t="str">
        <f aca="false">IF(D2524="","",ROUND((D2524-MIN($D$7:$D$9999))*86400,2))</f>
        <v/>
      </c>
      <c r="G2524" s="10" t="str">
        <f aca="false">IF(D2524="","",IF(D2524&lt;=($E$3*60+$F$3)/86400,"○",""))</f>
        <v/>
      </c>
      <c r="H2524" s="16" t="n">
        <v>0.00816655092592593</v>
      </c>
      <c r="I2524" s="17" t="n">
        <v>1227</v>
      </c>
      <c r="J2524" s="16"/>
      <c r="K2524" s="17"/>
      <c r="L2524" s="17" t="n">
        <f aca="false">COUNT(E2524,I2524,K2524)</f>
        <v>1</v>
      </c>
      <c r="M2524" s="18" t="n">
        <f aca="false">(D2524&lt;&gt;"")*(D2524&lt;=($E$3*60+$F$3)/86400)+(H2524&lt;&gt;"")*(H2524&lt;=($I$3*60+$J$3)/86400)+(J2524&lt;&gt;"")*(J2524&lt;=($M$3*60+$N$3)/86400)</f>
        <v>0</v>
      </c>
      <c r="N2524" s="20"/>
      <c r="O2524" s="20"/>
      <c r="P2524" s="20"/>
      <c r="Q2524" s="19"/>
    </row>
    <row r="2525" customFormat="false" ht="15" hidden="false" customHeight="false" outlineLevel="0" collapsed="false">
      <c r="A2525" s="10" t="n">
        <v>2519</v>
      </c>
      <c r="B2525" s="12" t="s">
        <v>3863</v>
      </c>
      <c r="C2525" s="12" t="s">
        <v>3864</v>
      </c>
      <c r="D2525" s="13"/>
      <c r="E2525" s="14"/>
      <c r="F2525" s="15" t="str">
        <f aca="false">IF(D2525="","",ROUND((D2525-MIN($D$7:$D$9999))*86400,2))</f>
        <v/>
      </c>
      <c r="G2525" s="10" t="str">
        <f aca="false">IF(D2525="","",IF(D2525&lt;=($E$3*60+$F$3)/86400,"○",""))</f>
        <v/>
      </c>
      <c r="H2525" s="16"/>
      <c r="I2525" s="17"/>
      <c r="J2525" s="16" t="n">
        <v>0.00294791666666667</v>
      </c>
      <c r="K2525" s="17" t="n">
        <v>1227</v>
      </c>
      <c r="L2525" s="17" t="n">
        <f aca="false">COUNT(E2525,I2525,K2525)</f>
        <v>1</v>
      </c>
      <c r="M2525" s="18" t="n">
        <f aca="false">(D2525&lt;&gt;"")*(D2525&lt;=($E$3*60+$F$3)/86400)+(H2525&lt;&gt;"")*(H2525&lt;=($I$3*60+$J$3)/86400)+(J2525&lt;&gt;"")*(J2525&lt;=($M$3*60+$N$3)/86400)</f>
        <v>0</v>
      </c>
      <c r="N2525" s="20"/>
      <c r="O2525" s="20"/>
      <c r="P2525" s="20"/>
      <c r="Q2525" s="19"/>
    </row>
    <row r="2526" customFormat="false" ht="15" hidden="false" customHeight="false" outlineLevel="0" collapsed="false">
      <c r="A2526" s="10" t="n">
        <v>2520</v>
      </c>
      <c r="B2526" s="12" t="s">
        <v>3865</v>
      </c>
      <c r="C2526" s="12" t="s">
        <v>3087</v>
      </c>
      <c r="D2526" s="13"/>
      <c r="E2526" s="14"/>
      <c r="F2526" s="15" t="str">
        <f aca="false">IF(D2526="","",ROUND((D2526-MIN($D$7:$D$9999))*86400,2))</f>
        <v/>
      </c>
      <c r="G2526" s="10" t="str">
        <f aca="false">IF(D2526="","",IF(D2526&lt;=($E$3*60+$F$3)/86400,"○",""))</f>
        <v/>
      </c>
      <c r="H2526" s="16" t="n">
        <v>0.00817581018518519</v>
      </c>
      <c r="I2526" s="17" t="n">
        <v>1228</v>
      </c>
      <c r="J2526" s="16"/>
      <c r="K2526" s="17"/>
      <c r="L2526" s="17" t="n">
        <f aca="false">COUNT(E2526,I2526,K2526)</f>
        <v>1</v>
      </c>
      <c r="M2526" s="18" t="n">
        <f aca="false">(D2526&lt;&gt;"")*(D2526&lt;=($E$3*60+$F$3)/86400)+(H2526&lt;&gt;"")*(H2526&lt;=($I$3*60+$J$3)/86400)+(J2526&lt;&gt;"")*(J2526&lt;=($M$3*60+$N$3)/86400)</f>
        <v>0</v>
      </c>
      <c r="N2526" s="20"/>
      <c r="O2526" s="20"/>
      <c r="P2526" s="20"/>
      <c r="Q2526" s="19"/>
    </row>
    <row r="2527" customFormat="false" ht="15" hidden="false" customHeight="false" outlineLevel="0" collapsed="false">
      <c r="A2527" s="10" t="n">
        <v>2521</v>
      </c>
      <c r="B2527" s="12" t="s">
        <v>3866</v>
      </c>
      <c r="C2527" s="12" t="s">
        <v>3867</v>
      </c>
      <c r="D2527" s="13"/>
      <c r="E2527" s="14"/>
      <c r="F2527" s="15" t="str">
        <f aca="false">IF(D2527="","",ROUND((D2527-MIN($D$7:$D$9999))*86400,2))</f>
        <v/>
      </c>
      <c r="G2527" s="10" t="str">
        <f aca="false">IF(D2527="","",IF(D2527&lt;=($E$3*60+$F$3)/86400,"○",""))</f>
        <v/>
      </c>
      <c r="H2527" s="16" t="n">
        <v>0.00817731481481481</v>
      </c>
      <c r="I2527" s="17" t="n">
        <v>1229</v>
      </c>
      <c r="J2527" s="16"/>
      <c r="K2527" s="17"/>
      <c r="L2527" s="17" t="n">
        <f aca="false">COUNT(E2527,I2527,K2527)</f>
        <v>1</v>
      </c>
      <c r="M2527" s="18" t="n">
        <f aca="false">(D2527&lt;&gt;"")*(D2527&lt;=($E$3*60+$F$3)/86400)+(H2527&lt;&gt;"")*(H2527&lt;=($I$3*60+$J$3)/86400)+(J2527&lt;&gt;"")*(J2527&lt;=($M$3*60+$N$3)/86400)</f>
        <v>0</v>
      </c>
      <c r="N2527" s="20"/>
      <c r="O2527" s="20"/>
      <c r="P2527" s="20"/>
      <c r="Q2527" s="19"/>
    </row>
    <row r="2528" customFormat="false" ht="15" hidden="false" customHeight="false" outlineLevel="0" collapsed="false">
      <c r="A2528" s="10" t="n">
        <v>2522</v>
      </c>
      <c r="B2528" s="12" t="s">
        <v>3868</v>
      </c>
      <c r="C2528" s="12" t="s">
        <v>3869</v>
      </c>
      <c r="D2528" s="13"/>
      <c r="E2528" s="14"/>
      <c r="F2528" s="15" t="str">
        <f aca="false">IF(D2528="","",ROUND((D2528-MIN($D$7:$D$9999))*86400,2))</f>
        <v/>
      </c>
      <c r="G2528" s="10" t="str">
        <f aca="false">IF(D2528="","",IF(D2528&lt;=($E$3*60+$F$3)/86400,"○",""))</f>
        <v/>
      </c>
      <c r="H2528" s="16"/>
      <c r="I2528" s="17"/>
      <c r="J2528" s="16" t="n">
        <v>0.00294826388888889</v>
      </c>
      <c r="K2528" s="17" t="n">
        <v>1229</v>
      </c>
      <c r="L2528" s="17" t="n">
        <f aca="false">COUNT(E2528,I2528,K2528)</f>
        <v>1</v>
      </c>
      <c r="M2528" s="18" t="n">
        <f aca="false">(D2528&lt;&gt;"")*(D2528&lt;=($E$3*60+$F$3)/86400)+(H2528&lt;&gt;"")*(H2528&lt;=($I$3*60+$J$3)/86400)+(J2528&lt;&gt;"")*(J2528&lt;=($M$3*60+$N$3)/86400)</f>
        <v>0</v>
      </c>
      <c r="N2528" s="20"/>
      <c r="O2528" s="20"/>
      <c r="P2528" s="20"/>
      <c r="Q2528" s="19"/>
    </row>
    <row r="2529" customFormat="false" ht="15" hidden="false" customHeight="false" outlineLevel="0" collapsed="false">
      <c r="A2529" s="10" t="n">
        <v>2523</v>
      </c>
      <c r="B2529" s="12" t="s">
        <v>3870</v>
      </c>
      <c r="C2529" s="12" t="s">
        <v>2826</v>
      </c>
      <c r="D2529" s="13"/>
      <c r="E2529" s="14"/>
      <c r="F2529" s="15" t="str">
        <f aca="false">IF(D2529="","",ROUND((D2529-MIN($D$7:$D$9999))*86400,2))</f>
        <v/>
      </c>
      <c r="G2529" s="10" t="str">
        <f aca="false">IF(D2529="","",IF(D2529&lt;=($E$3*60+$F$3)/86400,"○",""))</f>
        <v/>
      </c>
      <c r="H2529" s="16" t="n">
        <v>0.00817974537037037</v>
      </c>
      <c r="I2529" s="17" t="n">
        <v>1230</v>
      </c>
      <c r="J2529" s="16"/>
      <c r="K2529" s="17"/>
      <c r="L2529" s="17" t="n">
        <f aca="false">COUNT(E2529,I2529,K2529)</f>
        <v>1</v>
      </c>
      <c r="M2529" s="18" t="n">
        <f aca="false">(D2529&lt;&gt;"")*(D2529&lt;=($E$3*60+$F$3)/86400)+(H2529&lt;&gt;"")*(H2529&lt;=($I$3*60+$J$3)/86400)+(J2529&lt;&gt;"")*(J2529&lt;=($M$3*60+$N$3)/86400)</f>
        <v>0</v>
      </c>
      <c r="N2529" s="20"/>
      <c r="O2529" s="20"/>
      <c r="P2529" s="20"/>
      <c r="Q2529" s="19"/>
    </row>
    <row r="2530" customFormat="false" ht="15" hidden="false" customHeight="false" outlineLevel="0" collapsed="false">
      <c r="A2530" s="10" t="n">
        <v>2524</v>
      </c>
      <c r="B2530" s="12" t="s">
        <v>3871</v>
      </c>
      <c r="C2530" s="12" t="s">
        <v>2226</v>
      </c>
      <c r="D2530" s="13"/>
      <c r="E2530" s="14"/>
      <c r="F2530" s="15" t="str">
        <f aca="false">IF(D2530="","",ROUND((D2530-MIN($D$7:$D$9999))*86400,2))</f>
        <v/>
      </c>
      <c r="G2530" s="10" t="str">
        <f aca="false">IF(D2530="","",IF(D2530&lt;=($E$3*60+$F$3)/86400,"○",""))</f>
        <v/>
      </c>
      <c r="H2530" s="16"/>
      <c r="I2530" s="17"/>
      <c r="J2530" s="16" t="n">
        <v>0.00294849537037037</v>
      </c>
      <c r="K2530" s="17" t="n">
        <v>1230</v>
      </c>
      <c r="L2530" s="17" t="n">
        <f aca="false">COUNT(E2530,I2530,K2530)</f>
        <v>1</v>
      </c>
      <c r="M2530" s="18" t="n">
        <f aca="false">(D2530&lt;&gt;"")*(D2530&lt;=($E$3*60+$F$3)/86400)+(H2530&lt;&gt;"")*(H2530&lt;=($I$3*60+$J$3)/86400)+(J2530&lt;&gt;"")*(J2530&lt;=($M$3*60+$N$3)/86400)</f>
        <v>0</v>
      </c>
      <c r="N2530" s="20"/>
      <c r="O2530" s="20"/>
      <c r="P2530" s="20"/>
      <c r="Q2530" s="19"/>
    </row>
    <row r="2531" customFormat="false" ht="15" hidden="false" customHeight="false" outlineLevel="0" collapsed="false">
      <c r="A2531" s="10" t="n">
        <v>2525</v>
      </c>
      <c r="B2531" s="12" t="s">
        <v>3872</v>
      </c>
      <c r="C2531" s="12" t="s">
        <v>3873</v>
      </c>
      <c r="D2531" s="13"/>
      <c r="E2531" s="14"/>
      <c r="F2531" s="15" t="str">
        <f aca="false">IF(D2531="","",ROUND((D2531-MIN($D$7:$D$9999))*86400,2))</f>
        <v/>
      </c>
      <c r="G2531" s="10" t="str">
        <f aca="false">IF(D2531="","",IF(D2531&lt;=($E$3*60+$F$3)/86400,"○",""))</f>
        <v/>
      </c>
      <c r="H2531" s="16" t="n">
        <v>0.00819131944444445</v>
      </c>
      <c r="I2531" s="17" t="n">
        <v>1231</v>
      </c>
      <c r="J2531" s="16"/>
      <c r="K2531" s="17"/>
      <c r="L2531" s="17" t="n">
        <f aca="false">COUNT(E2531,I2531,K2531)</f>
        <v>1</v>
      </c>
      <c r="M2531" s="18" t="n">
        <f aca="false">(D2531&lt;&gt;"")*(D2531&lt;=($E$3*60+$F$3)/86400)+(H2531&lt;&gt;"")*(H2531&lt;=($I$3*60+$J$3)/86400)+(J2531&lt;&gt;"")*(J2531&lt;=($M$3*60+$N$3)/86400)</f>
        <v>0</v>
      </c>
      <c r="N2531" s="20"/>
      <c r="O2531" s="20"/>
      <c r="P2531" s="20"/>
      <c r="Q2531" s="19"/>
    </row>
    <row r="2532" customFormat="false" ht="15" hidden="false" customHeight="false" outlineLevel="0" collapsed="false">
      <c r="A2532" s="10" t="n">
        <v>2526</v>
      </c>
      <c r="B2532" s="12" t="s">
        <v>3874</v>
      </c>
      <c r="C2532" s="12" t="s">
        <v>25</v>
      </c>
      <c r="D2532" s="13"/>
      <c r="E2532" s="14"/>
      <c r="F2532" s="15" t="str">
        <f aca="false">IF(D2532="","",ROUND((D2532-MIN($D$7:$D$9999))*86400,2))</f>
        <v/>
      </c>
      <c r="G2532" s="10" t="str">
        <f aca="false">IF(D2532="","",IF(D2532&lt;=($E$3*60+$F$3)/86400,"○",""))</f>
        <v/>
      </c>
      <c r="H2532" s="16"/>
      <c r="I2532" s="17"/>
      <c r="J2532" s="16" t="n">
        <v>0.00294872685185185</v>
      </c>
      <c r="K2532" s="17" t="n">
        <v>1231</v>
      </c>
      <c r="L2532" s="17" t="n">
        <f aca="false">COUNT(E2532,I2532,K2532)</f>
        <v>1</v>
      </c>
      <c r="M2532" s="18" t="n">
        <f aca="false">(D2532&lt;&gt;"")*(D2532&lt;=($E$3*60+$F$3)/86400)+(H2532&lt;&gt;"")*(H2532&lt;=($I$3*60+$J$3)/86400)+(J2532&lt;&gt;"")*(J2532&lt;=($M$3*60+$N$3)/86400)</f>
        <v>0</v>
      </c>
      <c r="N2532" s="20"/>
      <c r="O2532" s="20"/>
      <c r="P2532" s="20"/>
      <c r="Q2532" s="19"/>
    </row>
    <row r="2533" customFormat="false" ht="15" hidden="false" customHeight="false" outlineLevel="0" collapsed="false">
      <c r="A2533" s="10" t="n">
        <v>2527</v>
      </c>
      <c r="B2533" s="12" t="s">
        <v>3875</v>
      </c>
      <c r="C2533" s="12" t="s">
        <v>3876</v>
      </c>
      <c r="D2533" s="13"/>
      <c r="E2533" s="14"/>
      <c r="F2533" s="15" t="str">
        <f aca="false">IF(D2533="","",ROUND((D2533-MIN($D$7:$D$9999))*86400,2))</f>
        <v/>
      </c>
      <c r="G2533" s="10" t="str">
        <f aca="false">IF(D2533="","",IF(D2533&lt;=($E$3*60+$F$3)/86400,"○",""))</f>
        <v/>
      </c>
      <c r="H2533" s="16" t="n">
        <v>0.00819965277777778</v>
      </c>
      <c r="I2533" s="17" t="n">
        <v>1232</v>
      </c>
      <c r="J2533" s="16"/>
      <c r="K2533" s="17"/>
      <c r="L2533" s="17" t="n">
        <f aca="false">COUNT(E2533,I2533,K2533)</f>
        <v>1</v>
      </c>
      <c r="M2533" s="18" t="n">
        <f aca="false">(D2533&lt;&gt;"")*(D2533&lt;=($E$3*60+$F$3)/86400)+(H2533&lt;&gt;"")*(H2533&lt;=($I$3*60+$J$3)/86400)+(J2533&lt;&gt;"")*(J2533&lt;=($M$3*60+$N$3)/86400)</f>
        <v>0</v>
      </c>
      <c r="N2533" s="20"/>
      <c r="O2533" s="20"/>
      <c r="P2533" s="20"/>
      <c r="Q2533" s="19"/>
    </row>
    <row r="2534" customFormat="false" ht="15" hidden="false" customHeight="false" outlineLevel="0" collapsed="false">
      <c r="A2534" s="10" t="n">
        <v>2528</v>
      </c>
      <c r="B2534" s="12" t="s">
        <v>3877</v>
      </c>
      <c r="C2534" s="12" t="s">
        <v>3831</v>
      </c>
      <c r="D2534" s="13"/>
      <c r="E2534" s="14"/>
      <c r="F2534" s="15" t="str">
        <f aca="false">IF(D2534="","",ROUND((D2534-MIN($D$7:$D$9999))*86400,2))</f>
        <v/>
      </c>
      <c r="G2534" s="10" t="str">
        <f aca="false">IF(D2534="","",IF(D2534&lt;=($E$3*60+$F$3)/86400,"○",""))</f>
        <v/>
      </c>
      <c r="H2534" s="16"/>
      <c r="I2534" s="17"/>
      <c r="J2534" s="16" t="n">
        <v>0.00294907407407407</v>
      </c>
      <c r="K2534" s="17" t="n">
        <v>1232</v>
      </c>
      <c r="L2534" s="17" t="n">
        <f aca="false">COUNT(E2534,I2534,K2534)</f>
        <v>1</v>
      </c>
      <c r="M2534" s="18" t="n">
        <f aca="false">(D2534&lt;&gt;"")*(D2534&lt;=($E$3*60+$F$3)/86400)+(H2534&lt;&gt;"")*(H2534&lt;=($I$3*60+$J$3)/86400)+(J2534&lt;&gt;"")*(J2534&lt;=($M$3*60+$N$3)/86400)</f>
        <v>0</v>
      </c>
      <c r="N2534" s="20"/>
      <c r="O2534" s="20"/>
      <c r="P2534" s="20"/>
      <c r="Q2534" s="19"/>
    </row>
    <row r="2535" customFormat="false" ht="15" hidden="false" customHeight="false" outlineLevel="0" collapsed="false">
      <c r="A2535" s="10" t="n">
        <v>2529</v>
      </c>
      <c r="B2535" s="12" t="s">
        <v>3878</v>
      </c>
      <c r="C2535" s="12" t="s">
        <v>2762</v>
      </c>
      <c r="D2535" s="13"/>
      <c r="E2535" s="14"/>
      <c r="F2535" s="15" t="str">
        <f aca="false">IF(D2535="","",ROUND((D2535-MIN($D$7:$D$9999))*86400,2))</f>
        <v/>
      </c>
      <c r="G2535" s="10" t="str">
        <f aca="false">IF(D2535="","",IF(D2535&lt;=($E$3*60+$F$3)/86400,"○",""))</f>
        <v/>
      </c>
      <c r="H2535" s="16" t="n">
        <v>0.00820150462962963</v>
      </c>
      <c r="I2535" s="17" t="n">
        <v>1233</v>
      </c>
      <c r="J2535" s="16"/>
      <c r="K2535" s="17"/>
      <c r="L2535" s="17" t="n">
        <f aca="false">COUNT(E2535,I2535,K2535)</f>
        <v>1</v>
      </c>
      <c r="M2535" s="18" t="n">
        <f aca="false">(D2535&lt;&gt;"")*(D2535&lt;=($E$3*60+$F$3)/86400)+(H2535&lt;&gt;"")*(H2535&lt;=($I$3*60+$J$3)/86400)+(J2535&lt;&gt;"")*(J2535&lt;=($M$3*60+$N$3)/86400)</f>
        <v>0</v>
      </c>
      <c r="N2535" s="20"/>
      <c r="O2535" s="20"/>
      <c r="P2535" s="20"/>
      <c r="Q2535" s="19"/>
    </row>
    <row r="2536" customFormat="false" ht="15" hidden="false" customHeight="false" outlineLevel="0" collapsed="false">
      <c r="A2536" s="10" t="n">
        <v>2530</v>
      </c>
      <c r="B2536" s="12" t="s">
        <v>3879</v>
      </c>
      <c r="C2536" s="12" t="s">
        <v>1688</v>
      </c>
      <c r="D2536" s="13"/>
      <c r="E2536" s="14"/>
      <c r="F2536" s="15" t="str">
        <f aca="false">IF(D2536="","",ROUND((D2536-MIN($D$7:$D$9999))*86400,2))</f>
        <v/>
      </c>
      <c r="G2536" s="10" t="str">
        <f aca="false">IF(D2536="","",IF(D2536&lt;=($E$3*60+$F$3)/86400,"○",""))</f>
        <v/>
      </c>
      <c r="H2536" s="16"/>
      <c r="I2536" s="17"/>
      <c r="J2536" s="16" t="n">
        <v>0.00294907407407407</v>
      </c>
      <c r="K2536" s="17" t="n">
        <v>1233</v>
      </c>
      <c r="L2536" s="17" t="n">
        <f aca="false">COUNT(E2536,I2536,K2536)</f>
        <v>1</v>
      </c>
      <c r="M2536" s="18" t="n">
        <f aca="false">(D2536&lt;&gt;"")*(D2536&lt;=($E$3*60+$F$3)/86400)+(H2536&lt;&gt;"")*(H2536&lt;=($I$3*60+$J$3)/86400)+(J2536&lt;&gt;"")*(J2536&lt;=($M$3*60+$N$3)/86400)</f>
        <v>0</v>
      </c>
      <c r="N2536" s="20" t="s">
        <v>3880</v>
      </c>
      <c r="O2536" s="20"/>
      <c r="P2536" s="20"/>
      <c r="Q2536" s="19"/>
    </row>
    <row r="2537" customFormat="false" ht="15" hidden="false" customHeight="false" outlineLevel="0" collapsed="false">
      <c r="A2537" s="10" t="n">
        <v>2531</v>
      </c>
      <c r="B2537" s="12" t="s">
        <v>3881</v>
      </c>
      <c r="C2537" s="12" t="s">
        <v>3882</v>
      </c>
      <c r="D2537" s="13"/>
      <c r="E2537" s="14"/>
      <c r="F2537" s="15" t="str">
        <f aca="false">IF(D2537="","",ROUND((D2537-MIN($D$7:$D$9999))*86400,2))</f>
        <v/>
      </c>
      <c r="G2537" s="10" t="str">
        <f aca="false">IF(D2537="","",IF(D2537&lt;=($E$3*60+$F$3)/86400,"○",""))</f>
        <v/>
      </c>
      <c r="H2537" s="16" t="n">
        <v>0.00820150462962963</v>
      </c>
      <c r="I2537" s="17" t="n">
        <v>1234</v>
      </c>
      <c r="J2537" s="16"/>
      <c r="K2537" s="17"/>
      <c r="L2537" s="17" t="n">
        <f aca="false">COUNT(E2537,I2537,K2537)</f>
        <v>1</v>
      </c>
      <c r="M2537" s="18" t="n">
        <f aca="false">(D2537&lt;&gt;"")*(D2537&lt;=($E$3*60+$F$3)/86400)+(H2537&lt;&gt;"")*(H2537&lt;=($I$3*60+$J$3)/86400)+(J2537&lt;&gt;"")*(J2537&lt;=($M$3*60+$N$3)/86400)</f>
        <v>0</v>
      </c>
      <c r="N2537" s="20"/>
      <c r="O2537" s="20"/>
      <c r="P2537" s="20"/>
      <c r="Q2537" s="19"/>
    </row>
    <row r="2538" customFormat="false" ht="15" hidden="false" customHeight="false" outlineLevel="0" collapsed="false">
      <c r="A2538" s="10" t="n">
        <v>2532</v>
      </c>
      <c r="B2538" s="12" t="s">
        <v>3883</v>
      </c>
      <c r="C2538" s="12" t="s">
        <v>1469</v>
      </c>
      <c r="D2538" s="13"/>
      <c r="E2538" s="14"/>
      <c r="F2538" s="15" t="str">
        <f aca="false">IF(D2538="","",ROUND((D2538-MIN($D$7:$D$9999))*86400,2))</f>
        <v/>
      </c>
      <c r="G2538" s="10" t="str">
        <f aca="false">IF(D2538="","",IF(D2538&lt;=($E$3*60+$F$3)/86400,"○",""))</f>
        <v/>
      </c>
      <c r="H2538" s="16" t="n">
        <v>0.00820231481481482</v>
      </c>
      <c r="I2538" s="17" t="n">
        <v>1235</v>
      </c>
      <c r="J2538" s="16"/>
      <c r="K2538" s="17"/>
      <c r="L2538" s="17" t="n">
        <f aca="false">COUNT(E2538,I2538,K2538)</f>
        <v>1</v>
      </c>
      <c r="M2538" s="18" t="n">
        <f aca="false">(D2538&lt;&gt;"")*(D2538&lt;=($E$3*60+$F$3)/86400)+(H2538&lt;&gt;"")*(H2538&lt;=($I$3*60+$J$3)/86400)+(J2538&lt;&gt;"")*(J2538&lt;=($M$3*60+$N$3)/86400)</f>
        <v>0</v>
      </c>
      <c r="N2538" s="20"/>
      <c r="O2538" s="20"/>
      <c r="P2538" s="20"/>
      <c r="Q2538" s="19"/>
    </row>
    <row r="2539" customFormat="false" ht="15" hidden="false" customHeight="false" outlineLevel="0" collapsed="false">
      <c r="A2539" s="10" t="n">
        <v>2533</v>
      </c>
      <c r="B2539" s="12" t="s">
        <v>3884</v>
      </c>
      <c r="C2539" s="12" t="s">
        <v>3885</v>
      </c>
      <c r="D2539" s="13"/>
      <c r="E2539" s="14"/>
      <c r="F2539" s="15" t="str">
        <f aca="false">IF(D2539="","",ROUND((D2539-MIN($D$7:$D$9999))*86400,2))</f>
        <v/>
      </c>
      <c r="G2539" s="10" t="str">
        <f aca="false">IF(D2539="","",IF(D2539&lt;=($E$3*60+$F$3)/86400,"○",""))</f>
        <v/>
      </c>
      <c r="H2539" s="16"/>
      <c r="I2539" s="17"/>
      <c r="J2539" s="16" t="n">
        <v>0.00294930555555556</v>
      </c>
      <c r="K2539" s="17" t="n">
        <v>1235</v>
      </c>
      <c r="L2539" s="17" t="n">
        <f aca="false">COUNT(E2539,I2539,K2539)</f>
        <v>1</v>
      </c>
      <c r="M2539" s="18" t="n">
        <f aca="false">(D2539&lt;&gt;"")*(D2539&lt;=($E$3*60+$F$3)/86400)+(H2539&lt;&gt;"")*(H2539&lt;=($I$3*60+$J$3)/86400)+(J2539&lt;&gt;"")*(J2539&lt;=($M$3*60+$N$3)/86400)</f>
        <v>0</v>
      </c>
      <c r="N2539" s="20"/>
      <c r="O2539" s="20"/>
      <c r="P2539" s="20"/>
      <c r="Q2539" s="19"/>
    </row>
    <row r="2540" customFormat="false" ht="15" hidden="false" customHeight="false" outlineLevel="0" collapsed="false">
      <c r="A2540" s="10" t="n">
        <v>2534</v>
      </c>
      <c r="B2540" s="12" t="s">
        <v>3886</v>
      </c>
      <c r="C2540" s="12" t="s">
        <v>3887</v>
      </c>
      <c r="D2540" s="13"/>
      <c r="E2540" s="14"/>
      <c r="F2540" s="15" t="str">
        <f aca="false">IF(D2540="","",ROUND((D2540-MIN($D$7:$D$9999))*86400,2))</f>
        <v/>
      </c>
      <c r="G2540" s="10" t="str">
        <f aca="false">IF(D2540="","",IF(D2540&lt;=($E$3*60+$F$3)/86400,"○",""))</f>
        <v/>
      </c>
      <c r="H2540" s="16" t="n">
        <v>0.00820717592592593</v>
      </c>
      <c r="I2540" s="17" t="n">
        <v>1236</v>
      </c>
      <c r="J2540" s="16"/>
      <c r="K2540" s="17"/>
      <c r="L2540" s="17" t="n">
        <f aca="false">COUNT(E2540,I2540,K2540)</f>
        <v>1</v>
      </c>
      <c r="M2540" s="18" t="n">
        <f aca="false">(D2540&lt;&gt;"")*(D2540&lt;=($E$3*60+$F$3)/86400)+(H2540&lt;&gt;"")*(H2540&lt;=($I$3*60+$J$3)/86400)+(J2540&lt;&gt;"")*(J2540&lt;=($M$3*60+$N$3)/86400)</f>
        <v>0</v>
      </c>
      <c r="N2540" s="20"/>
      <c r="O2540" s="20"/>
      <c r="P2540" s="20"/>
      <c r="Q2540" s="19"/>
    </row>
    <row r="2541" customFormat="false" ht="15" hidden="false" customHeight="false" outlineLevel="0" collapsed="false">
      <c r="A2541" s="10" t="n">
        <v>2535</v>
      </c>
      <c r="B2541" s="12" t="s">
        <v>3888</v>
      </c>
      <c r="C2541" s="12" t="s">
        <v>3889</v>
      </c>
      <c r="D2541" s="13"/>
      <c r="E2541" s="14"/>
      <c r="F2541" s="15" t="str">
        <f aca="false">IF(D2541="","",ROUND((D2541-MIN($D$7:$D$9999))*86400,2))</f>
        <v/>
      </c>
      <c r="G2541" s="10" t="str">
        <f aca="false">IF(D2541="","",IF(D2541&lt;=($E$3*60+$F$3)/86400,"○",""))</f>
        <v/>
      </c>
      <c r="H2541" s="16"/>
      <c r="I2541" s="17"/>
      <c r="J2541" s="16" t="n">
        <v>0.00294988425925926</v>
      </c>
      <c r="K2541" s="17" t="n">
        <v>1236</v>
      </c>
      <c r="L2541" s="17" t="n">
        <f aca="false">COUNT(E2541,I2541,K2541)</f>
        <v>1</v>
      </c>
      <c r="M2541" s="18" t="n">
        <f aca="false">(D2541&lt;&gt;"")*(D2541&lt;=($E$3*60+$F$3)/86400)+(H2541&lt;&gt;"")*(H2541&lt;=($I$3*60+$J$3)/86400)+(J2541&lt;&gt;"")*(J2541&lt;=($M$3*60+$N$3)/86400)</f>
        <v>0</v>
      </c>
      <c r="N2541" s="20"/>
      <c r="O2541" s="20"/>
      <c r="P2541" s="20"/>
      <c r="Q2541" s="19"/>
    </row>
    <row r="2542" customFormat="false" ht="15" hidden="false" customHeight="false" outlineLevel="0" collapsed="false">
      <c r="A2542" s="10" t="n">
        <v>2536</v>
      </c>
      <c r="B2542" s="12" t="s">
        <v>3890</v>
      </c>
      <c r="C2542" s="12" t="s">
        <v>2594</v>
      </c>
      <c r="D2542" s="13"/>
      <c r="E2542" s="14"/>
      <c r="F2542" s="15" t="str">
        <f aca="false">IF(D2542="","",ROUND((D2542-MIN($D$7:$D$9999))*86400,2))</f>
        <v/>
      </c>
      <c r="G2542" s="10" t="str">
        <f aca="false">IF(D2542="","",IF(D2542&lt;=($E$3*60+$F$3)/86400,"○",""))</f>
        <v/>
      </c>
      <c r="H2542" s="16" t="n">
        <v>0.00821180555555556</v>
      </c>
      <c r="I2542" s="17" t="n">
        <v>1237</v>
      </c>
      <c r="J2542" s="16"/>
      <c r="K2542" s="17"/>
      <c r="L2542" s="17" t="n">
        <f aca="false">COUNT(E2542,I2542,K2542)</f>
        <v>1</v>
      </c>
      <c r="M2542" s="18" t="n">
        <f aca="false">(D2542&lt;&gt;"")*(D2542&lt;=($E$3*60+$F$3)/86400)+(H2542&lt;&gt;"")*(H2542&lt;=($I$3*60+$J$3)/86400)+(J2542&lt;&gt;"")*(J2542&lt;=($M$3*60+$N$3)/86400)</f>
        <v>0</v>
      </c>
      <c r="N2542" s="20"/>
      <c r="O2542" s="20"/>
      <c r="P2542" s="20"/>
      <c r="Q2542" s="19"/>
    </row>
    <row r="2543" customFormat="false" ht="15" hidden="false" customHeight="false" outlineLevel="0" collapsed="false">
      <c r="A2543" s="10" t="n">
        <v>2537</v>
      </c>
      <c r="B2543" s="12" t="s">
        <v>3891</v>
      </c>
      <c r="C2543" s="12" t="s">
        <v>3892</v>
      </c>
      <c r="D2543" s="13"/>
      <c r="E2543" s="14"/>
      <c r="F2543" s="15" t="str">
        <f aca="false">IF(D2543="","",ROUND((D2543-MIN($D$7:$D$9999))*86400,2))</f>
        <v/>
      </c>
      <c r="G2543" s="10" t="str">
        <f aca="false">IF(D2543="","",IF(D2543&lt;=($E$3*60+$F$3)/86400,"○",""))</f>
        <v/>
      </c>
      <c r="H2543" s="16" t="n">
        <v>0.0082125</v>
      </c>
      <c r="I2543" s="17" t="n">
        <v>1238</v>
      </c>
      <c r="J2543" s="16"/>
      <c r="K2543" s="17"/>
      <c r="L2543" s="17" t="n">
        <f aca="false">COUNT(E2543,I2543,K2543)</f>
        <v>1</v>
      </c>
      <c r="M2543" s="18" t="n">
        <f aca="false">(D2543&lt;&gt;"")*(D2543&lt;=($E$3*60+$F$3)/86400)+(H2543&lt;&gt;"")*(H2543&lt;=($I$3*60+$J$3)/86400)+(J2543&lt;&gt;"")*(J2543&lt;=($M$3*60+$N$3)/86400)</f>
        <v>0</v>
      </c>
      <c r="N2543" s="20"/>
      <c r="O2543" s="20"/>
      <c r="P2543" s="20"/>
      <c r="Q2543" s="19"/>
    </row>
    <row r="2544" customFormat="false" ht="15" hidden="false" customHeight="false" outlineLevel="0" collapsed="false">
      <c r="A2544" s="10" t="n">
        <v>2538</v>
      </c>
      <c r="B2544" s="12" t="s">
        <v>3893</v>
      </c>
      <c r="C2544" s="12" t="s">
        <v>3831</v>
      </c>
      <c r="D2544" s="13"/>
      <c r="E2544" s="14"/>
      <c r="F2544" s="15" t="str">
        <f aca="false">IF(D2544="","",ROUND((D2544-MIN($D$7:$D$9999))*86400,2))</f>
        <v/>
      </c>
      <c r="G2544" s="10" t="str">
        <f aca="false">IF(D2544="","",IF(D2544&lt;=($E$3*60+$F$3)/86400,"○",""))</f>
        <v/>
      </c>
      <c r="H2544" s="16"/>
      <c r="I2544" s="17"/>
      <c r="J2544" s="16" t="n">
        <v>0.00295011574074074</v>
      </c>
      <c r="K2544" s="17" t="n">
        <v>1238</v>
      </c>
      <c r="L2544" s="17" t="n">
        <f aca="false">COUNT(E2544,I2544,K2544)</f>
        <v>1</v>
      </c>
      <c r="M2544" s="18" t="n">
        <f aca="false">(D2544&lt;&gt;"")*(D2544&lt;=($E$3*60+$F$3)/86400)+(H2544&lt;&gt;"")*(H2544&lt;=($I$3*60+$J$3)/86400)+(J2544&lt;&gt;"")*(J2544&lt;=($M$3*60+$N$3)/86400)</f>
        <v>0</v>
      </c>
      <c r="N2544" s="20"/>
      <c r="O2544" s="20"/>
      <c r="P2544" s="20"/>
      <c r="Q2544" s="19"/>
    </row>
    <row r="2545" customFormat="false" ht="15" hidden="false" customHeight="false" outlineLevel="0" collapsed="false">
      <c r="A2545" s="10" t="n">
        <v>2539</v>
      </c>
      <c r="B2545" s="12" t="s">
        <v>3894</v>
      </c>
      <c r="C2545" s="12" t="s">
        <v>3895</v>
      </c>
      <c r="D2545" s="13"/>
      <c r="E2545" s="14"/>
      <c r="F2545" s="15" t="str">
        <f aca="false">IF(D2545="","",ROUND((D2545-MIN($D$7:$D$9999))*86400,2))</f>
        <v/>
      </c>
      <c r="G2545" s="10" t="str">
        <f aca="false">IF(D2545="","",IF(D2545&lt;=($E$3*60+$F$3)/86400,"○",""))</f>
        <v/>
      </c>
      <c r="H2545" s="16" t="n">
        <v>0.00821261574074074</v>
      </c>
      <c r="I2545" s="17" t="n">
        <v>1239</v>
      </c>
      <c r="J2545" s="16"/>
      <c r="K2545" s="17"/>
      <c r="L2545" s="17" t="n">
        <f aca="false">COUNT(E2545,I2545,K2545)</f>
        <v>1</v>
      </c>
      <c r="M2545" s="18" t="n">
        <f aca="false">(D2545&lt;&gt;"")*(D2545&lt;=($E$3*60+$F$3)/86400)+(H2545&lt;&gt;"")*(H2545&lt;=($I$3*60+$J$3)/86400)+(J2545&lt;&gt;"")*(J2545&lt;=($M$3*60+$N$3)/86400)</f>
        <v>0</v>
      </c>
      <c r="N2545" s="20"/>
      <c r="O2545" s="20"/>
      <c r="P2545" s="20"/>
      <c r="Q2545" s="19"/>
    </row>
    <row r="2546" customFormat="false" ht="15" hidden="false" customHeight="false" outlineLevel="0" collapsed="false">
      <c r="A2546" s="10" t="n">
        <v>2540</v>
      </c>
      <c r="B2546" s="12" t="s">
        <v>3896</v>
      </c>
      <c r="C2546" s="12" t="s">
        <v>3897</v>
      </c>
      <c r="D2546" s="13"/>
      <c r="E2546" s="14"/>
      <c r="F2546" s="15" t="str">
        <f aca="false">IF(D2546="","",ROUND((D2546-MIN($D$7:$D$9999))*86400,2))</f>
        <v/>
      </c>
      <c r="G2546" s="10" t="str">
        <f aca="false">IF(D2546="","",IF(D2546&lt;=($E$3*60+$F$3)/86400,"○",""))</f>
        <v/>
      </c>
      <c r="H2546" s="16" t="n">
        <v>0.00821331018518519</v>
      </c>
      <c r="I2546" s="17" t="n">
        <v>1240</v>
      </c>
      <c r="J2546" s="16"/>
      <c r="K2546" s="17"/>
      <c r="L2546" s="17" t="n">
        <f aca="false">COUNT(E2546,I2546,K2546)</f>
        <v>1</v>
      </c>
      <c r="M2546" s="18" t="n">
        <f aca="false">(D2546&lt;&gt;"")*(D2546&lt;=($E$3*60+$F$3)/86400)+(H2546&lt;&gt;"")*(H2546&lt;=($I$3*60+$J$3)/86400)+(J2546&lt;&gt;"")*(J2546&lt;=($M$3*60+$N$3)/86400)</f>
        <v>0</v>
      </c>
      <c r="N2546" s="20"/>
      <c r="O2546" s="20"/>
      <c r="P2546" s="20"/>
      <c r="Q2546" s="19"/>
    </row>
    <row r="2547" customFormat="false" ht="15" hidden="false" customHeight="false" outlineLevel="0" collapsed="false">
      <c r="A2547" s="10" t="n">
        <v>2541</v>
      </c>
      <c r="B2547" s="12" t="s">
        <v>3898</v>
      </c>
      <c r="C2547" s="12" t="s">
        <v>193</v>
      </c>
      <c r="D2547" s="13"/>
      <c r="E2547" s="14"/>
      <c r="F2547" s="15" t="str">
        <f aca="false">IF(D2547="","",ROUND((D2547-MIN($D$7:$D$9999))*86400,2))</f>
        <v/>
      </c>
      <c r="G2547" s="10" t="str">
        <f aca="false">IF(D2547="","",IF(D2547&lt;=($E$3*60+$F$3)/86400,"○",""))</f>
        <v/>
      </c>
      <c r="H2547" s="16"/>
      <c r="I2547" s="17"/>
      <c r="J2547" s="16" t="n">
        <v>0.00295023148148148</v>
      </c>
      <c r="K2547" s="17" t="n">
        <v>1240</v>
      </c>
      <c r="L2547" s="17" t="n">
        <f aca="false">COUNT(E2547,I2547,K2547)</f>
        <v>1</v>
      </c>
      <c r="M2547" s="18" t="n">
        <f aca="false">(D2547&lt;&gt;"")*(D2547&lt;=($E$3*60+$F$3)/86400)+(H2547&lt;&gt;"")*(H2547&lt;=($I$3*60+$J$3)/86400)+(J2547&lt;&gt;"")*(J2547&lt;=($M$3*60+$N$3)/86400)</f>
        <v>0</v>
      </c>
      <c r="N2547" s="20"/>
      <c r="O2547" s="20"/>
      <c r="P2547" s="20"/>
      <c r="Q2547" s="19"/>
    </row>
    <row r="2548" customFormat="false" ht="15" hidden="false" customHeight="false" outlineLevel="0" collapsed="false">
      <c r="A2548" s="10" t="n">
        <v>2542</v>
      </c>
      <c r="B2548" s="12" t="s">
        <v>3899</v>
      </c>
      <c r="C2548" s="12" t="s">
        <v>3900</v>
      </c>
      <c r="D2548" s="13"/>
      <c r="E2548" s="14"/>
      <c r="F2548" s="15" t="str">
        <f aca="false">IF(D2548="","",ROUND((D2548-MIN($D$7:$D$9999))*86400,2))</f>
        <v/>
      </c>
      <c r="G2548" s="10" t="str">
        <f aca="false">IF(D2548="","",IF(D2548&lt;=($E$3*60+$F$3)/86400,"○",""))</f>
        <v/>
      </c>
      <c r="H2548" s="16" t="n">
        <v>0.00821377314814815</v>
      </c>
      <c r="I2548" s="17" t="n">
        <v>1241</v>
      </c>
      <c r="J2548" s="16"/>
      <c r="K2548" s="17"/>
      <c r="L2548" s="17" t="n">
        <f aca="false">COUNT(E2548,I2548,K2548)</f>
        <v>1</v>
      </c>
      <c r="M2548" s="18" t="n">
        <f aca="false">(D2548&lt;&gt;"")*(D2548&lt;=($E$3*60+$F$3)/86400)+(H2548&lt;&gt;"")*(H2548&lt;=($I$3*60+$J$3)/86400)+(J2548&lt;&gt;"")*(J2548&lt;=($M$3*60+$N$3)/86400)</f>
        <v>0</v>
      </c>
      <c r="N2548" s="20"/>
      <c r="O2548" s="20"/>
      <c r="P2548" s="20"/>
      <c r="Q2548" s="19"/>
    </row>
    <row r="2549" customFormat="false" ht="15" hidden="false" customHeight="false" outlineLevel="0" collapsed="false">
      <c r="A2549" s="10" t="n">
        <v>2543</v>
      </c>
      <c r="B2549" s="12" t="s">
        <v>3901</v>
      </c>
      <c r="C2549" s="12" t="s">
        <v>83</v>
      </c>
      <c r="D2549" s="13"/>
      <c r="E2549" s="14"/>
      <c r="F2549" s="15" t="str">
        <f aca="false">IF(D2549="","",ROUND((D2549-MIN($D$7:$D$9999))*86400,2))</f>
        <v/>
      </c>
      <c r="G2549" s="10" t="str">
        <f aca="false">IF(D2549="","",IF(D2549&lt;=($E$3*60+$F$3)/86400,"○",""))</f>
        <v/>
      </c>
      <c r="H2549" s="16"/>
      <c r="I2549" s="17"/>
      <c r="J2549" s="16" t="n">
        <v>0.00295034722222222</v>
      </c>
      <c r="K2549" s="17" t="n">
        <v>1241</v>
      </c>
      <c r="L2549" s="17" t="n">
        <f aca="false">COUNT(E2549,I2549,K2549)</f>
        <v>1</v>
      </c>
      <c r="M2549" s="18" t="n">
        <f aca="false">(D2549&lt;&gt;"")*(D2549&lt;=($E$3*60+$F$3)/86400)+(H2549&lt;&gt;"")*(H2549&lt;=($I$3*60+$J$3)/86400)+(J2549&lt;&gt;"")*(J2549&lt;=($M$3*60+$N$3)/86400)</f>
        <v>0</v>
      </c>
      <c r="N2549" s="20"/>
      <c r="O2549" s="20"/>
      <c r="P2549" s="20"/>
      <c r="Q2549" s="19"/>
    </row>
    <row r="2550" customFormat="false" ht="15" hidden="false" customHeight="false" outlineLevel="0" collapsed="false">
      <c r="A2550" s="10" t="n">
        <v>2544</v>
      </c>
      <c r="B2550" s="12" t="s">
        <v>3902</v>
      </c>
      <c r="C2550" s="12" t="s">
        <v>2524</v>
      </c>
      <c r="D2550" s="13"/>
      <c r="E2550" s="14"/>
      <c r="F2550" s="15" t="str">
        <f aca="false">IF(D2550="","",ROUND((D2550-MIN($D$7:$D$9999))*86400,2))</f>
        <v/>
      </c>
      <c r="G2550" s="10" t="str">
        <f aca="false">IF(D2550="","",IF(D2550&lt;=($E$3*60+$F$3)/86400,"○",""))</f>
        <v/>
      </c>
      <c r="H2550" s="16" t="n">
        <v>0.00822893518518519</v>
      </c>
      <c r="I2550" s="17" t="n">
        <v>1242</v>
      </c>
      <c r="J2550" s="16"/>
      <c r="K2550" s="17"/>
      <c r="L2550" s="17" t="n">
        <f aca="false">COUNT(E2550,I2550,K2550)</f>
        <v>1</v>
      </c>
      <c r="M2550" s="18" t="n">
        <f aca="false">(D2550&lt;&gt;"")*(D2550&lt;=($E$3*60+$F$3)/86400)+(H2550&lt;&gt;"")*(H2550&lt;=($I$3*60+$J$3)/86400)+(J2550&lt;&gt;"")*(J2550&lt;=($M$3*60+$N$3)/86400)</f>
        <v>0</v>
      </c>
      <c r="N2550" s="20"/>
      <c r="O2550" s="20"/>
      <c r="P2550" s="20"/>
      <c r="Q2550" s="19"/>
    </row>
    <row r="2551" customFormat="false" ht="15" hidden="false" customHeight="false" outlineLevel="0" collapsed="false">
      <c r="A2551" s="10" t="n">
        <v>2545</v>
      </c>
      <c r="B2551" s="12" t="s">
        <v>3903</v>
      </c>
      <c r="C2551" s="12" t="s">
        <v>3904</v>
      </c>
      <c r="D2551" s="13"/>
      <c r="E2551" s="14"/>
      <c r="F2551" s="15" t="str">
        <f aca="false">IF(D2551="","",ROUND((D2551-MIN($D$7:$D$9999))*86400,2))</f>
        <v/>
      </c>
      <c r="G2551" s="10" t="str">
        <f aca="false">IF(D2551="","",IF(D2551&lt;=($E$3*60+$F$3)/86400,"○",""))</f>
        <v/>
      </c>
      <c r="H2551" s="16"/>
      <c r="I2551" s="17"/>
      <c r="J2551" s="16" t="n">
        <v>0.0029505787037037</v>
      </c>
      <c r="K2551" s="17" t="n">
        <v>1242</v>
      </c>
      <c r="L2551" s="17" t="n">
        <f aca="false">COUNT(E2551,I2551,K2551)</f>
        <v>1</v>
      </c>
      <c r="M2551" s="18" t="n">
        <f aca="false">(D2551&lt;&gt;"")*(D2551&lt;=($E$3*60+$F$3)/86400)+(H2551&lt;&gt;"")*(H2551&lt;=($I$3*60+$J$3)/86400)+(J2551&lt;&gt;"")*(J2551&lt;=($M$3*60+$N$3)/86400)</f>
        <v>0</v>
      </c>
      <c r="N2551" s="20"/>
      <c r="O2551" s="20"/>
      <c r="P2551" s="20"/>
      <c r="Q2551" s="19"/>
    </row>
    <row r="2552" customFormat="false" ht="15" hidden="false" customHeight="false" outlineLevel="0" collapsed="false">
      <c r="A2552" s="10" t="n">
        <v>2546</v>
      </c>
      <c r="B2552" s="12" t="s">
        <v>3905</v>
      </c>
      <c r="C2552" s="12" t="s">
        <v>3756</v>
      </c>
      <c r="D2552" s="13"/>
      <c r="E2552" s="14"/>
      <c r="F2552" s="15" t="str">
        <f aca="false">IF(D2552="","",ROUND((D2552-MIN($D$7:$D$9999))*86400,2))</f>
        <v/>
      </c>
      <c r="G2552" s="10" t="str">
        <f aca="false">IF(D2552="","",IF(D2552&lt;=($E$3*60+$F$3)/86400,"○",""))</f>
        <v/>
      </c>
      <c r="H2552" s="16" t="n">
        <v>0.00823472222222222</v>
      </c>
      <c r="I2552" s="17" t="n">
        <v>1243</v>
      </c>
      <c r="J2552" s="16"/>
      <c r="K2552" s="17"/>
      <c r="L2552" s="17" t="n">
        <f aca="false">COUNT(E2552,I2552,K2552)</f>
        <v>1</v>
      </c>
      <c r="M2552" s="18" t="n">
        <f aca="false">(D2552&lt;&gt;"")*(D2552&lt;=($E$3*60+$F$3)/86400)+(H2552&lt;&gt;"")*(H2552&lt;=($I$3*60+$J$3)/86400)+(J2552&lt;&gt;"")*(J2552&lt;=($M$3*60+$N$3)/86400)</f>
        <v>0</v>
      </c>
      <c r="N2552" s="20"/>
      <c r="O2552" s="20"/>
      <c r="P2552" s="20"/>
      <c r="Q2552" s="19"/>
    </row>
    <row r="2553" customFormat="false" ht="15" hidden="false" customHeight="false" outlineLevel="0" collapsed="false">
      <c r="A2553" s="10" t="n">
        <v>2547</v>
      </c>
      <c r="B2553" s="12" t="s">
        <v>3906</v>
      </c>
      <c r="C2553" s="12" t="s">
        <v>1151</v>
      </c>
      <c r="D2553" s="13"/>
      <c r="E2553" s="14"/>
      <c r="F2553" s="15" t="str">
        <f aca="false">IF(D2553="","",ROUND((D2553-MIN($D$7:$D$9999))*86400,2))</f>
        <v/>
      </c>
      <c r="G2553" s="10" t="str">
        <f aca="false">IF(D2553="","",IF(D2553&lt;=($E$3*60+$F$3)/86400,"○",""))</f>
        <v/>
      </c>
      <c r="H2553" s="16" t="n">
        <v>0.00826087962962963</v>
      </c>
      <c r="I2553" s="17" t="n">
        <v>1245</v>
      </c>
      <c r="J2553" s="16"/>
      <c r="K2553" s="17"/>
      <c r="L2553" s="17" t="n">
        <f aca="false">COUNT(E2553,I2553,K2553)</f>
        <v>1</v>
      </c>
      <c r="M2553" s="18" t="n">
        <f aca="false">(D2553&lt;&gt;"")*(D2553&lt;=($E$3*60+$F$3)/86400)+(H2553&lt;&gt;"")*(H2553&lt;=($I$3*60+$J$3)/86400)+(J2553&lt;&gt;"")*(J2553&lt;=($M$3*60+$N$3)/86400)</f>
        <v>0</v>
      </c>
      <c r="N2553" s="20"/>
      <c r="O2553" s="20"/>
      <c r="P2553" s="20"/>
      <c r="Q2553" s="19"/>
    </row>
    <row r="2554" customFormat="false" ht="15" hidden="false" customHeight="false" outlineLevel="0" collapsed="false">
      <c r="A2554" s="10" t="n">
        <v>2548</v>
      </c>
      <c r="B2554" s="12" t="s">
        <v>3907</v>
      </c>
      <c r="C2554" s="12" t="s">
        <v>3908</v>
      </c>
      <c r="D2554" s="13"/>
      <c r="E2554" s="14"/>
      <c r="F2554" s="15" t="str">
        <f aca="false">IF(D2554="","",ROUND((D2554-MIN($D$7:$D$9999))*86400,2))</f>
        <v/>
      </c>
      <c r="G2554" s="10" t="str">
        <f aca="false">IF(D2554="","",IF(D2554&lt;=($E$3*60+$F$3)/86400,"○",""))</f>
        <v/>
      </c>
      <c r="H2554" s="16"/>
      <c r="I2554" s="17"/>
      <c r="J2554" s="16" t="n">
        <v>0.00295185185185185</v>
      </c>
      <c r="K2554" s="17" t="n">
        <v>1245</v>
      </c>
      <c r="L2554" s="17" t="n">
        <f aca="false">COUNT(E2554,I2554,K2554)</f>
        <v>1</v>
      </c>
      <c r="M2554" s="18" t="n">
        <f aca="false">(D2554&lt;&gt;"")*(D2554&lt;=($E$3*60+$F$3)/86400)+(H2554&lt;&gt;"")*(H2554&lt;=($I$3*60+$J$3)/86400)+(J2554&lt;&gt;"")*(J2554&lt;=($M$3*60+$N$3)/86400)</f>
        <v>0</v>
      </c>
      <c r="N2554" s="20"/>
      <c r="O2554" s="20"/>
      <c r="P2554" s="20"/>
      <c r="Q2554" s="19"/>
    </row>
    <row r="2555" customFormat="false" ht="15" hidden="false" customHeight="false" outlineLevel="0" collapsed="false">
      <c r="A2555" s="10" t="n">
        <v>2549</v>
      </c>
      <c r="B2555" s="12" t="s">
        <v>3909</v>
      </c>
      <c r="C2555" s="12" t="s">
        <v>1151</v>
      </c>
      <c r="D2555" s="13"/>
      <c r="E2555" s="14"/>
      <c r="F2555" s="15" t="str">
        <f aca="false">IF(D2555="","",ROUND((D2555-MIN($D$7:$D$9999))*86400,2))</f>
        <v/>
      </c>
      <c r="G2555" s="10" t="str">
        <f aca="false">IF(D2555="","",IF(D2555&lt;=($E$3*60+$F$3)/86400,"○",""))</f>
        <v/>
      </c>
      <c r="H2555" s="16" t="n">
        <v>0.00826087962962963</v>
      </c>
      <c r="I2555" s="17" t="n">
        <v>1246</v>
      </c>
      <c r="J2555" s="16"/>
      <c r="K2555" s="17"/>
      <c r="L2555" s="17" t="n">
        <f aca="false">COUNT(E2555,I2555,K2555)</f>
        <v>1</v>
      </c>
      <c r="M2555" s="18" t="n">
        <f aca="false">(D2555&lt;&gt;"")*(D2555&lt;=($E$3*60+$F$3)/86400)+(H2555&lt;&gt;"")*(H2555&lt;=($I$3*60+$J$3)/86400)+(J2555&lt;&gt;"")*(J2555&lt;=($M$3*60+$N$3)/86400)</f>
        <v>0</v>
      </c>
      <c r="N2555" s="20"/>
      <c r="O2555" s="20"/>
      <c r="P2555" s="20"/>
      <c r="Q2555" s="19"/>
    </row>
    <row r="2556" customFormat="false" ht="15" hidden="false" customHeight="false" outlineLevel="0" collapsed="false">
      <c r="A2556" s="10" t="n">
        <v>2550</v>
      </c>
      <c r="B2556" s="12" t="s">
        <v>3910</v>
      </c>
      <c r="C2556" s="12" t="s">
        <v>219</v>
      </c>
      <c r="D2556" s="13"/>
      <c r="E2556" s="14"/>
      <c r="F2556" s="15" t="str">
        <f aca="false">IF(D2556="","",ROUND((D2556-MIN($D$7:$D$9999))*86400,2))</f>
        <v/>
      </c>
      <c r="G2556" s="10" t="str">
        <f aca="false">IF(D2556="","",IF(D2556&lt;=($E$3*60+$F$3)/86400,"○",""))</f>
        <v/>
      </c>
      <c r="H2556" s="16"/>
      <c r="I2556" s="17"/>
      <c r="J2556" s="16" t="n">
        <v>0.00295208333333333</v>
      </c>
      <c r="K2556" s="17" t="n">
        <v>1246</v>
      </c>
      <c r="L2556" s="17" t="n">
        <f aca="false">COUNT(E2556,I2556,K2556)</f>
        <v>1</v>
      </c>
      <c r="M2556" s="18" t="n">
        <f aca="false">(D2556&lt;&gt;"")*(D2556&lt;=($E$3*60+$F$3)/86400)+(H2556&lt;&gt;"")*(H2556&lt;=($I$3*60+$J$3)/86400)+(J2556&lt;&gt;"")*(J2556&lt;=($M$3*60+$N$3)/86400)</f>
        <v>0</v>
      </c>
      <c r="N2556" s="20"/>
      <c r="O2556" s="20"/>
      <c r="P2556" s="20"/>
      <c r="Q2556" s="19"/>
    </row>
    <row r="2557" customFormat="false" ht="15" hidden="false" customHeight="false" outlineLevel="0" collapsed="false">
      <c r="A2557" s="10" t="n">
        <v>2551</v>
      </c>
      <c r="B2557" s="12" t="s">
        <v>3911</v>
      </c>
      <c r="C2557" s="12" t="s">
        <v>3912</v>
      </c>
      <c r="D2557" s="13"/>
      <c r="E2557" s="14"/>
      <c r="F2557" s="15" t="str">
        <f aca="false">IF(D2557="","",ROUND((D2557-MIN($D$7:$D$9999))*86400,2))</f>
        <v/>
      </c>
      <c r="G2557" s="10" t="str">
        <f aca="false">IF(D2557="","",IF(D2557&lt;=($E$3*60+$F$3)/86400,"○",""))</f>
        <v/>
      </c>
      <c r="H2557" s="16" t="n">
        <v>0.00826678240740741</v>
      </c>
      <c r="I2557" s="17" t="n">
        <v>1247</v>
      </c>
      <c r="J2557" s="16"/>
      <c r="K2557" s="17"/>
      <c r="L2557" s="17" t="n">
        <f aca="false">COUNT(E2557,I2557,K2557)</f>
        <v>1</v>
      </c>
      <c r="M2557" s="18" t="n">
        <f aca="false">(D2557&lt;&gt;"")*(D2557&lt;=($E$3*60+$F$3)/86400)+(H2557&lt;&gt;"")*(H2557&lt;=($I$3*60+$J$3)/86400)+(J2557&lt;&gt;"")*(J2557&lt;=($M$3*60+$N$3)/86400)</f>
        <v>0</v>
      </c>
      <c r="N2557" s="20"/>
      <c r="O2557" s="20"/>
      <c r="P2557" s="20"/>
      <c r="Q2557" s="19"/>
    </row>
    <row r="2558" customFormat="false" ht="15" hidden="false" customHeight="false" outlineLevel="0" collapsed="false">
      <c r="A2558" s="10" t="n">
        <v>2552</v>
      </c>
      <c r="B2558" s="12" t="s">
        <v>3913</v>
      </c>
      <c r="C2558" s="12" t="s">
        <v>143</v>
      </c>
      <c r="D2558" s="13"/>
      <c r="E2558" s="14"/>
      <c r="F2558" s="15" t="str">
        <f aca="false">IF(D2558="","",ROUND((D2558-MIN($D$7:$D$9999))*86400,2))</f>
        <v/>
      </c>
      <c r="G2558" s="10" t="str">
        <f aca="false">IF(D2558="","",IF(D2558&lt;=($E$3*60+$F$3)/86400,"○",""))</f>
        <v/>
      </c>
      <c r="H2558" s="16"/>
      <c r="I2558" s="17"/>
      <c r="J2558" s="16" t="n">
        <v>0.00295231481481482</v>
      </c>
      <c r="K2558" s="17" t="n">
        <v>1247</v>
      </c>
      <c r="L2558" s="17" t="n">
        <f aca="false">COUNT(E2558,I2558,K2558)</f>
        <v>1</v>
      </c>
      <c r="M2558" s="18" t="n">
        <f aca="false">(D2558&lt;&gt;"")*(D2558&lt;=($E$3*60+$F$3)/86400)+(H2558&lt;&gt;"")*(H2558&lt;=($I$3*60+$J$3)/86400)+(J2558&lt;&gt;"")*(J2558&lt;=($M$3*60+$N$3)/86400)</f>
        <v>0</v>
      </c>
      <c r="N2558" s="20"/>
      <c r="O2558" s="20"/>
      <c r="P2558" s="20"/>
      <c r="Q2558" s="19"/>
    </row>
    <row r="2559" customFormat="false" ht="15" hidden="false" customHeight="false" outlineLevel="0" collapsed="false">
      <c r="A2559" s="10" t="n">
        <v>2553</v>
      </c>
      <c r="B2559" s="12" t="s">
        <v>3914</v>
      </c>
      <c r="C2559" s="12" t="s">
        <v>2945</v>
      </c>
      <c r="D2559" s="13"/>
      <c r="E2559" s="14"/>
      <c r="F2559" s="15" t="str">
        <f aca="false">IF(D2559="","",ROUND((D2559-MIN($D$7:$D$9999))*86400,2))</f>
        <v/>
      </c>
      <c r="G2559" s="10" t="str">
        <f aca="false">IF(D2559="","",IF(D2559&lt;=($E$3*60+$F$3)/86400,"○",""))</f>
        <v/>
      </c>
      <c r="H2559" s="16" t="n">
        <v>0.00828194444444444</v>
      </c>
      <c r="I2559" s="17" t="n">
        <v>1248</v>
      </c>
      <c r="J2559" s="16"/>
      <c r="K2559" s="17"/>
      <c r="L2559" s="17" t="n">
        <f aca="false">COUNT(E2559,I2559,K2559)</f>
        <v>1</v>
      </c>
      <c r="M2559" s="18" t="n">
        <f aca="false">(D2559&lt;&gt;"")*(D2559&lt;=($E$3*60+$F$3)/86400)+(H2559&lt;&gt;"")*(H2559&lt;=($I$3*60+$J$3)/86400)+(J2559&lt;&gt;"")*(J2559&lt;=($M$3*60+$N$3)/86400)</f>
        <v>0</v>
      </c>
      <c r="N2559" s="20"/>
      <c r="O2559" s="20"/>
      <c r="P2559" s="20"/>
      <c r="Q2559" s="19"/>
    </row>
    <row r="2560" customFormat="false" ht="15" hidden="false" customHeight="false" outlineLevel="0" collapsed="false">
      <c r="A2560" s="10" t="n">
        <v>2554</v>
      </c>
      <c r="B2560" s="12" t="s">
        <v>3915</v>
      </c>
      <c r="C2560" s="12" t="s">
        <v>3018</v>
      </c>
      <c r="D2560" s="13"/>
      <c r="E2560" s="14"/>
      <c r="F2560" s="15" t="str">
        <f aca="false">IF(D2560="","",ROUND((D2560-MIN($D$7:$D$9999))*86400,2))</f>
        <v/>
      </c>
      <c r="G2560" s="10" t="str">
        <f aca="false">IF(D2560="","",IF(D2560&lt;=($E$3*60+$F$3)/86400,"○",""))</f>
        <v/>
      </c>
      <c r="H2560" s="16" t="n">
        <v>0.00828912037037037</v>
      </c>
      <c r="I2560" s="17" t="n">
        <v>1249</v>
      </c>
      <c r="J2560" s="16"/>
      <c r="K2560" s="17"/>
      <c r="L2560" s="17" t="n">
        <f aca="false">COUNT(E2560,I2560,K2560)</f>
        <v>1</v>
      </c>
      <c r="M2560" s="18" t="n">
        <f aca="false">(D2560&lt;&gt;"")*(D2560&lt;=($E$3*60+$F$3)/86400)+(H2560&lt;&gt;"")*(H2560&lt;=($I$3*60+$J$3)/86400)+(J2560&lt;&gt;"")*(J2560&lt;=($M$3*60+$N$3)/86400)</f>
        <v>0</v>
      </c>
      <c r="N2560" s="20"/>
      <c r="O2560" s="20"/>
      <c r="P2560" s="20"/>
      <c r="Q2560" s="19"/>
    </row>
    <row r="2561" customFormat="false" ht="15" hidden="false" customHeight="false" outlineLevel="0" collapsed="false">
      <c r="A2561" s="10" t="n">
        <v>2555</v>
      </c>
      <c r="B2561" s="12" t="s">
        <v>3916</v>
      </c>
      <c r="C2561" s="12" t="s">
        <v>301</v>
      </c>
      <c r="D2561" s="13"/>
      <c r="E2561" s="14"/>
      <c r="F2561" s="15" t="str">
        <f aca="false">IF(D2561="","",ROUND((D2561-MIN($D$7:$D$9999))*86400,2))</f>
        <v/>
      </c>
      <c r="G2561" s="10" t="str">
        <f aca="false">IF(D2561="","",IF(D2561&lt;=($E$3*60+$F$3)/86400,"○",""))</f>
        <v/>
      </c>
      <c r="H2561" s="16"/>
      <c r="I2561" s="17"/>
      <c r="J2561" s="16" t="n">
        <v>0.00295347222222222</v>
      </c>
      <c r="K2561" s="17" t="n">
        <v>1249</v>
      </c>
      <c r="L2561" s="17" t="n">
        <f aca="false">COUNT(E2561,I2561,K2561)</f>
        <v>1</v>
      </c>
      <c r="M2561" s="18" t="n">
        <f aca="false">(D2561&lt;&gt;"")*(D2561&lt;=($E$3*60+$F$3)/86400)+(H2561&lt;&gt;"")*(H2561&lt;=($I$3*60+$J$3)/86400)+(J2561&lt;&gt;"")*(J2561&lt;=($M$3*60+$N$3)/86400)</f>
        <v>0</v>
      </c>
      <c r="N2561" s="20"/>
      <c r="O2561" s="20"/>
      <c r="P2561" s="20"/>
      <c r="Q2561" s="19"/>
    </row>
    <row r="2562" customFormat="false" ht="15" hidden="false" customHeight="false" outlineLevel="0" collapsed="false">
      <c r="A2562" s="10" t="n">
        <v>2556</v>
      </c>
      <c r="B2562" s="12" t="s">
        <v>3917</v>
      </c>
      <c r="C2562" s="12" t="s">
        <v>3918</v>
      </c>
      <c r="D2562" s="13"/>
      <c r="E2562" s="14"/>
      <c r="F2562" s="15" t="str">
        <f aca="false">IF(D2562="","",ROUND((D2562-MIN($D$7:$D$9999))*86400,2))</f>
        <v/>
      </c>
      <c r="G2562" s="10" t="str">
        <f aca="false">IF(D2562="","",IF(D2562&lt;=($E$3*60+$F$3)/86400,"○",""))</f>
        <v/>
      </c>
      <c r="H2562" s="16" t="n">
        <v>0.00829201388888889</v>
      </c>
      <c r="I2562" s="17" t="n">
        <v>1250</v>
      </c>
      <c r="J2562" s="16"/>
      <c r="K2562" s="17"/>
      <c r="L2562" s="17" t="n">
        <f aca="false">COUNT(E2562,I2562,K2562)</f>
        <v>1</v>
      </c>
      <c r="M2562" s="18" t="n">
        <f aca="false">(D2562&lt;&gt;"")*(D2562&lt;=($E$3*60+$F$3)/86400)+(H2562&lt;&gt;"")*(H2562&lt;=($I$3*60+$J$3)/86400)+(J2562&lt;&gt;"")*(J2562&lt;=($M$3*60+$N$3)/86400)</f>
        <v>0</v>
      </c>
      <c r="N2562" s="20"/>
      <c r="O2562" s="20"/>
      <c r="P2562" s="20"/>
      <c r="Q2562" s="19"/>
    </row>
    <row r="2563" customFormat="false" ht="15" hidden="false" customHeight="false" outlineLevel="0" collapsed="false">
      <c r="A2563" s="10" t="n">
        <v>2557</v>
      </c>
      <c r="B2563" s="12" t="s">
        <v>3919</v>
      </c>
      <c r="C2563" s="12" t="s">
        <v>1705</v>
      </c>
      <c r="D2563" s="13"/>
      <c r="E2563" s="14"/>
      <c r="F2563" s="15" t="str">
        <f aca="false">IF(D2563="","",ROUND((D2563-MIN($D$7:$D$9999))*86400,2))</f>
        <v/>
      </c>
      <c r="G2563" s="10" t="str">
        <f aca="false">IF(D2563="","",IF(D2563&lt;=($E$3*60+$F$3)/86400,"○",""))</f>
        <v/>
      </c>
      <c r="H2563" s="16"/>
      <c r="I2563" s="17"/>
      <c r="J2563" s="16" t="n">
        <v>0.0029537037037037</v>
      </c>
      <c r="K2563" s="17" t="n">
        <v>1250</v>
      </c>
      <c r="L2563" s="17" t="n">
        <f aca="false">COUNT(E2563,I2563,K2563)</f>
        <v>1</v>
      </c>
      <c r="M2563" s="18" t="n">
        <f aca="false">(D2563&lt;&gt;"")*(D2563&lt;=($E$3*60+$F$3)/86400)+(H2563&lt;&gt;"")*(H2563&lt;=($I$3*60+$J$3)/86400)+(J2563&lt;&gt;"")*(J2563&lt;=($M$3*60+$N$3)/86400)</f>
        <v>0</v>
      </c>
      <c r="N2563" s="20"/>
      <c r="O2563" s="20"/>
      <c r="P2563" s="20"/>
      <c r="Q2563" s="19"/>
    </row>
    <row r="2564" customFormat="false" ht="15" hidden="false" customHeight="false" outlineLevel="0" collapsed="false">
      <c r="A2564" s="10" t="n">
        <v>2558</v>
      </c>
      <c r="B2564" s="12" t="s">
        <v>3920</v>
      </c>
      <c r="C2564" s="12" t="s">
        <v>3921</v>
      </c>
      <c r="D2564" s="13"/>
      <c r="E2564" s="14"/>
      <c r="F2564" s="15" t="str">
        <f aca="false">IF(D2564="","",ROUND((D2564-MIN($D$7:$D$9999))*86400,2))</f>
        <v/>
      </c>
      <c r="G2564" s="10" t="str">
        <f aca="false">IF(D2564="","",IF(D2564&lt;=($E$3*60+$F$3)/86400,"○",""))</f>
        <v/>
      </c>
      <c r="H2564" s="16" t="n">
        <v>0.00829212962962963</v>
      </c>
      <c r="I2564" s="17" t="n">
        <v>1251</v>
      </c>
      <c r="J2564" s="16"/>
      <c r="K2564" s="17"/>
      <c r="L2564" s="17" t="n">
        <f aca="false">COUNT(E2564,I2564,K2564)</f>
        <v>1</v>
      </c>
      <c r="M2564" s="18" t="n">
        <f aca="false">(D2564&lt;&gt;"")*(D2564&lt;=($E$3*60+$F$3)/86400)+(H2564&lt;&gt;"")*(H2564&lt;=($I$3*60+$J$3)/86400)+(J2564&lt;&gt;"")*(J2564&lt;=($M$3*60+$N$3)/86400)</f>
        <v>0</v>
      </c>
      <c r="N2564" s="20"/>
      <c r="O2564" s="20"/>
      <c r="P2564" s="20"/>
      <c r="Q2564" s="19"/>
    </row>
    <row r="2565" customFormat="false" ht="15" hidden="false" customHeight="false" outlineLevel="0" collapsed="false">
      <c r="A2565" s="10" t="n">
        <v>2559</v>
      </c>
      <c r="B2565" s="12" t="s">
        <v>3922</v>
      </c>
      <c r="C2565" s="12" t="s">
        <v>3923</v>
      </c>
      <c r="D2565" s="13"/>
      <c r="E2565" s="14"/>
      <c r="F2565" s="15" t="str">
        <f aca="false">IF(D2565="","",ROUND((D2565-MIN($D$7:$D$9999))*86400,2))</f>
        <v/>
      </c>
      <c r="G2565" s="10" t="str">
        <f aca="false">IF(D2565="","",IF(D2565&lt;=($E$3*60+$F$3)/86400,"○",""))</f>
        <v/>
      </c>
      <c r="H2565" s="16" t="n">
        <v>0.00829351851851852</v>
      </c>
      <c r="I2565" s="17" t="n">
        <v>1252</v>
      </c>
      <c r="J2565" s="16"/>
      <c r="K2565" s="17"/>
      <c r="L2565" s="17" t="n">
        <f aca="false">COUNT(E2565,I2565,K2565)</f>
        <v>1</v>
      </c>
      <c r="M2565" s="18" t="n">
        <f aca="false">(D2565&lt;&gt;"")*(D2565&lt;=($E$3*60+$F$3)/86400)+(H2565&lt;&gt;"")*(H2565&lt;=($I$3*60+$J$3)/86400)+(J2565&lt;&gt;"")*(J2565&lt;=($M$3*60+$N$3)/86400)</f>
        <v>0</v>
      </c>
      <c r="N2565" s="20"/>
      <c r="O2565" s="20"/>
      <c r="P2565" s="20"/>
      <c r="Q2565" s="19"/>
    </row>
    <row r="2566" customFormat="false" ht="15" hidden="false" customHeight="false" outlineLevel="0" collapsed="false">
      <c r="A2566" s="10" t="n">
        <v>2560</v>
      </c>
      <c r="B2566" s="12" t="s">
        <v>3924</v>
      </c>
      <c r="C2566" s="12" t="s">
        <v>236</v>
      </c>
      <c r="D2566" s="13"/>
      <c r="E2566" s="14"/>
      <c r="F2566" s="15" t="str">
        <f aca="false">IF(D2566="","",ROUND((D2566-MIN($D$7:$D$9999))*86400,2))</f>
        <v/>
      </c>
      <c r="G2566" s="10" t="str">
        <f aca="false">IF(D2566="","",IF(D2566&lt;=($E$3*60+$F$3)/86400,"○",""))</f>
        <v/>
      </c>
      <c r="H2566" s="16" t="n">
        <v>0.00829710648148148</v>
      </c>
      <c r="I2566" s="17" t="n">
        <v>1253</v>
      </c>
      <c r="J2566" s="16"/>
      <c r="K2566" s="17"/>
      <c r="L2566" s="17" t="n">
        <f aca="false">COUNT(E2566,I2566,K2566)</f>
        <v>1</v>
      </c>
      <c r="M2566" s="18" t="n">
        <f aca="false">(D2566&lt;&gt;"")*(D2566&lt;=($E$3*60+$F$3)/86400)+(H2566&lt;&gt;"")*(H2566&lt;=($I$3*60+$J$3)/86400)+(J2566&lt;&gt;"")*(J2566&lt;=($M$3*60+$N$3)/86400)</f>
        <v>0</v>
      </c>
      <c r="N2566" s="20"/>
      <c r="O2566" s="20"/>
      <c r="P2566" s="20"/>
      <c r="Q2566" s="19"/>
    </row>
    <row r="2567" customFormat="false" ht="15" hidden="false" customHeight="false" outlineLevel="0" collapsed="false">
      <c r="A2567" s="10" t="n">
        <v>2561</v>
      </c>
      <c r="B2567" s="12" t="s">
        <v>3925</v>
      </c>
      <c r="C2567" s="12" t="s">
        <v>3926</v>
      </c>
      <c r="D2567" s="13"/>
      <c r="E2567" s="14"/>
      <c r="F2567" s="15" t="str">
        <f aca="false">IF(D2567="","",ROUND((D2567-MIN($D$7:$D$9999))*86400,2))</f>
        <v/>
      </c>
      <c r="G2567" s="10" t="str">
        <f aca="false">IF(D2567="","",IF(D2567&lt;=($E$3*60+$F$3)/86400,"○",""))</f>
        <v/>
      </c>
      <c r="H2567" s="16"/>
      <c r="I2567" s="17"/>
      <c r="J2567" s="16" t="n">
        <v>0.00295532407407407</v>
      </c>
      <c r="K2567" s="17" t="n">
        <v>1253</v>
      </c>
      <c r="L2567" s="17" t="n">
        <f aca="false">COUNT(E2567,I2567,K2567)</f>
        <v>1</v>
      </c>
      <c r="M2567" s="18" t="n">
        <f aca="false">(D2567&lt;&gt;"")*(D2567&lt;=($E$3*60+$F$3)/86400)+(H2567&lt;&gt;"")*(H2567&lt;=($I$3*60+$J$3)/86400)+(J2567&lt;&gt;"")*(J2567&lt;=($M$3*60+$N$3)/86400)</f>
        <v>0</v>
      </c>
      <c r="N2567" s="20"/>
      <c r="O2567" s="20"/>
      <c r="P2567" s="20"/>
      <c r="Q2567" s="19"/>
    </row>
    <row r="2568" customFormat="false" ht="15" hidden="false" customHeight="false" outlineLevel="0" collapsed="false">
      <c r="A2568" s="10" t="n">
        <v>2562</v>
      </c>
      <c r="B2568" s="12" t="s">
        <v>3927</v>
      </c>
      <c r="C2568" s="12" t="s">
        <v>2704</v>
      </c>
      <c r="D2568" s="13"/>
      <c r="E2568" s="14"/>
      <c r="F2568" s="15" t="str">
        <f aca="false">IF(D2568="","",ROUND((D2568-MIN($D$7:$D$9999))*86400,2))</f>
        <v/>
      </c>
      <c r="G2568" s="10" t="str">
        <f aca="false">IF(D2568="","",IF(D2568&lt;=($E$3*60+$F$3)/86400,"○",""))</f>
        <v/>
      </c>
      <c r="H2568" s="16" t="n">
        <v>0.00830578703703704</v>
      </c>
      <c r="I2568" s="17" t="n">
        <v>1254</v>
      </c>
      <c r="J2568" s="16"/>
      <c r="K2568" s="17"/>
      <c r="L2568" s="17" t="n">
        <f aca="false">COUNT(E2568,I2568,K2568)</f>
        <v>1</v>
      </c>
      <c r="M2568" s="18" t="n">
        <f aca="false">(D2568&lt;&gt;"")*(D2568&lt;=($E$3*60+$F$3)/86400)+(H2568&lt;&gt;"")*(H2568&lt;=($I$3*60+$J$3)/86400)+(J2568&lt;&gt;"")*(J2568&lt;=($M$3*60+$N$3)/86400)</f>
        <v>0</v>
      </c>
      <c r="N2568" s="20"/>
      <c r="O2568" s="20"/>
      <c r="P2568" s="20"/>
      <c r="Q2568" s="19"/>
    </row>
    <row r="2569" customFormat="false" ht="15" hidden="false" customHeight="false" outlineLevel="0" collapsed="false">
      <c r="A2569" s="10" t="n">
        <v>2563</v>
      </c>
      <c r="B2569" s="12" t="s">
        <v>3928</v>
      </c>
      <c r="C2569" s="12" t="s">
        <v>3929</v>
      </c>
      <c r="D2569" s="13"/>
      <c r="E2569" s="14"/>
      <c r="F2569" s="15" t="str">
        <f aca="false">IF(D2569="","",ROUND((D2569-MIN($D$7:$D$9999))*86400,2))</f>
        <v/>
      </c>
      <c r="G2569" s="10" t="str">
        <f aca="false">IF(D2569="","",IF(D2569&lt;=($E$3*60+$F$3)/86400,"○",""))</f>
        <v/>
      </c>
      <c r="H2569" s="16" t="n">
        <v>0.00830706018518519</v>
      </c>
      <c r="I2569" s="17" t="n">
        <v>1255</v>
      </c>
      <c r="J2569" s="16"/>
      <c r="K2569" s="17"/>
      <c r="L2569" s="17" t="n">
        <f aca="false">COUNT(E2569,I2569,K2569)</f>
        <v>1</v>
      </c>
      <c r="M2569" s="18" t="n">
        <f aca="false">(D2569&lt;&gt;"")*(D2569&lt;=($E$3*60+$F$3)/86400)+(H2569&lt;&gt;"")*(H2569&lt;=($I$3*60+$J$3)/86400)+(J2569&lt;&gt;"")*(J2569&lt;=($M$3*60+$N$3)/86400)</f>
        <v>0</v>
      </c>
      <c r="N2569" s="20"/>
      <c r="O2569" s="20"/>
      <c r="P2569" s="20"/>
      <c r="Q2569" s="19"/>
    </row>
    <row r="2570" customFormat="false" ht="15" hidden="false" customHeight="false" outlineLevel="0" collapsed="false">
      <c r="A2570" s="10" t="n">
        <v>2564</v>
      </c>
      <c r="B2570" s="12" t="s">
        <v>3930</v>
      </c>
      <c r="C2570" s="12" t="s">
        <v>824</v>
      </c>
      <c r="D2570" s="13"/>
      <c r="E2570" s="14"/>
      <c r="F2570" s="15" t="str">
        <f aca="false">IF(D2570="","",ROUND((D2570-MIN($D$7:$D$9999))*86400,2))</f>
        <v/>
      </c>
      <c r="G2570" s="10" t="str">
        <f aca="false">IF(D2570="","",IF(D2570&lt;=($E$3*60+$F$3)/86400,"○",""))</f>
        <v/>
      </c>
      <c r="H2570" s="16"/>
      <c r="I2570" s="17"/>
      <c r="J2570" s="16" t="n">
        <v>0.00295555555555556</v>
      </c>
      <c r="K2570" s="17" t="n">
        <v>1255</v>
      </c>
      <c r="L2570" s="17" t="n">
        <f aca="false">COUNT(E2570,I2570,K2570)</f>
        <v>1</v>
      </c>
      <c r="M2570" s="18" t="n">
        <f aca="false">(D2570&lt;&gt;"")*(D2570&lt;=($E$3*60+$F$3)/86400)+(H2570&lt;&gt;"")*(H2570&lt;=($I$3*60+$J$3)/86400)+(J2570&lt;&gt;"")*(J2570&lt;=($M$3*60+$N$3)/86400)</f>
        <v>0</v>
      </c>
      <c r="N2570" s="20"/>
      <c r="O2570" s="20"/>
      <c r="P2570" s="20"/>
      <c r="Q2570" s="19"/>
    </row>
    <row r="2571" customFormat="false" ht="15" hidden="false" customHeight="false" outlineLevel="0" collapsed="false">
      <c r="A2571" s="10" t="n">
        <v>2565</v>
      </c>
      <c r="B2571" s="12" t="s">
        <v>3931</v>
      </c>
      <c r="C2571" s="12" t="s">
        <v>161</v>
      </c>
      <c r="D2571" s="13"/>
      <c r="E2571" s="14"/>
      <c r="F2571" s="15" t="str">
        <f aca="false">IF(D2571="","",ROUND((D2571-MIN($D$7:$D$9999))*86400,2))</f>
        <v/>
      </c>
      <c r="G2571" s="10" t="str">
        <f aca="false">IF(D2571="","",IF(D2571&lt;=($E$3*60+$F$3)/86400,"○",""))</f>
        <v/>
      </c>
      <c r="H2571" s="16" t="n">
        <v>0.00830821759259259</v>
      </c>
      <c r="I2571" s="17" t="n">
        <v>1256</v>
      </c>
      <c r="J2571" s="16"/>
      <c r="K2571" s="17"/>
      <c r="L2571" s="17" t="n">
        <f aca="false">COUNT(E2571,I2571,K2571)</f>
        <v>1</v>
      </c>
      <c r="M2571" s="18" t="n">
        <f aca="false">(D2571&lt;&gt;"")*(D2571&lt;=($E$3*60+$F$3)/86400)+(H2571&lt;&gt;"")*(H2571&lt;=($I$3*60+$J$3)/86400)+(J2571&lt;&gt;"")*(J2571&lt;=($M$3*60+$N$3)/86400)</f>
        <v>0</v>
      </c>
      <c r="N2571" s="20"/>
      <c r="O2571" s="20"/>
      <c r="P2571" s="20"/>
      <c r="Q2571" s="19"/>
    </row>
    <row r="2572" customFormat="false" ht="15" hidden="false" customHeight="false" outlineLevel="0" collapsed="false">
      <c r="A2572" s="10" t="n">
        <v>2566</v>
      </c>
      <c r="B2572" s="12" t="s">
        <v>3932</v>
      </c>
      <c r="C2572" s="12" t="s">
        <v>2787</v>
      </c>
      <c r="D2572" s="13"/>
      <c r="E2572" s="14"/>
      <c r="F2572" s="15" t="str">
        <f aca="false">IF(D2572="","",ROUND((D2572-MIN($D$7:$D$9999))*86400,2))</f>
        <v/>
      </c>
      <c r="G2572" s="10" t="str">
        <f aca="false">IF(D2572="","",IF(D2572&lt;=($E$3*60+$F$3)/86400,"○",""))</f>
        <v/>
      </c>
      <c r="H2572" s="16"/>
      <c r="I2572" s="17"/>
      <c r="J2572" s="16" t="n">
        <v>0.0029556712962963</v>
      </c>
      <c r="K2572" s="17" t="n">
        <v>1256</v>
      </c>
      <c r="L2572" s="17" t="n">
        <f aca="false">COUNT(E2572,I2572,K2572)</f>
        <v>1</v>
      </c>
      <c r="M2572" s="18" t="n">
        <f aca="false">(D2572&lt;&gt;"")*(D2572&lt;=($E$3*60+$F$3)/86400)+(H2572&lt;&gt;"")*(H2572&lt;=($I$3*60+$J$3)/86400)+(J2572&lt;&gt;"")*(J2572&lt;=($M$3*60+$N$3)/86400)</f>
        <v>0</v>
      </c>
      <c r="N2572" s="20"/>
      <c r="O2572" s="20"/>
      <c r="P2572" s="20"/>
      <c r="Q2572" s="19"/>
    </row>
    <row r="2573" customFormat="false" ht="15" hidden="false" customHeight="false" outlineLevel="0" collapsed="false">
      <c r="A2573" s="10" t="n">
        <v>2567</v>
      </c>
      <c r="B2573" s="12" t="s">
        <v>3933</v>
      </c>
      <c r="C2573" s="12" t="s">
        <v>1127</v>
      </c>
      <c r="D2573" s="13"/>
      <c r="E2573" s="14"/>
      <c r="F2573" s="15" t="str">
        <f aca="false">IF(D2573="","",ROUND((D2573-MIN($D$7:$D$9999))*86400,2))</f>
        <v/>
      </c>
      <c r="G2573" s="10" t="str">
        <f aca="false">IF(D2573="","",IF(D2573&lt;=($E$3*60+$F$3)/86400,"○",""))</f>
        <v/>
      </c>
      <c r="H2573" s="16" t="n">
        <v>0.00832083333333333</v>
      </c>
      <c r="I2573" s="17" t="n">
        <v>1257</v>
      </c>
      <c r="J2573" s="16"/>
      <c r="K2573" s="17"/>
      <c r="L2573" s="17" t="n">
        <f aca="false">COUNT(E2573,I2573,K2573)</f>
        <v>1</v>
      </c>
      <c r="M2573" s="18" t="n">
        <f aca="false">(D2573&lt;&gt;"")*(D2573&lt;=($E$3*60+$F$3)/86400)+(H2573&lt;&gt;"")*(H2573&lt;=($I$3*60+$J$3)/86400)+(J2573&lt;&gt;"")*(J2573&lt;=($M$3*60+$N$3)/86400)</f>
        <v>0</v>
      </c>
      <c r="N2573" s="20"/>
      <c r="O2573" s="20"/>
      <c r="P2573" s="20"/>
      <c r="Q2573" s="19"/>
    </row>
    <row r="2574" customFormat="false" ht="15" hidden="false" customHeight="false" outlineLevel="0" collapsed="false">
      <c r="A2574" s="10" t="n">
        <v>2568</v>
      </c>
      <c r="B2574" s="12" t="s">
        <v>3934</v>
      </c>
      <c r="C2574" s="12" t="s">
        <v>3935</v>
      </c>
      <c r="D2574" s="13"/>
      <c r="E2574" s="14"/>
      <c r="F2574" s="15" t="str">
        <f aca="false">IF(D2574="","",ROUND((D2574-MIN($D$7:$D$9999))*86400,2))</f>
        <v/>
      </c>
      <c r="G2574" s="10" t="str">
        <f aca="false">IF(D2574="","",IF(D2574&lt;=($E$3*60+$F$3)/86400,"○",""))</f>
        <v/>
      </c>
      <c r="H2574" s="16" t="n">
        <v>0.00832164351851852</v>
      </c>
      <c r="I2574" s="17" t="n">
        <v>1258</v>
      </c>
      <c r="J2574" s="16"/>
      <c r="K2574" s="17"/>
      <c r="L2574" s="17" t="n">
        <f aca="false">COUNT(E2574,I2574,K2574)</f>
        <v>1</v>
      </c>
      <c r="M2574" s="18" t="n">
        <f aca="false">(D2574&lt;&gt;"")*(D2574&lt;=($E$3*60+$F$3)/86400)+(H2574&lt;&gt;"")*(H2574&lt;=($I$3*60+$J$3)/86400)+(J2574&lt;&gt;"")*(J2574&lt;=($M$3*60+$N$3)/86400)</f>
        <v>0</v>
      </c>
      <c r="N2574" s="20"/>
      <c r="O2574" s="20"/>
      <c r="P2574" s="20"/>
      <c r="Q2574" s="19"/>
    </row>
    <row r="2575" customFormat="false" ht="15" hidden="false" customHeight="false" outlineLevel="0" collapsed="false">
      <c r="A2575" s="10" t="n">
        <v>2569</v>
      </c>
      <c r="B2575" s="12" t="s">
        <v>3936</v>
      </c>
      <c r="C2575" s="12" t="s">
        <v>3882</v>
      </c>
      <c r="D2575" s="13"/>
      <c r="E2575" s="14"/>
      <c r="F2575" s="15" t="str">
        <f aca="false">IF(D2575="","",ROUND((D2575-MIN($D$7:$D$9999))*86400,2))</f>
        <v/>
      </c>
      <c r="G2575" s="10" t="str">
        <f aca="false">IF(D2575="","",IF(D2575&lt;=($E$3*60+$F$3)/86400,"○",""))</f>
        <v/>
      </c>
      <c r="H2575" s="16" t="n">
        <v>0.00832314814814815</v>
      </c>
      <c r="I2575" s="17" t="n">
        <v>1259</v>
      </c>
      <c r="J2575" s="16"/>
      <c r="K2575" s="17"/>
      <c r="L2575" s="17" t="n">
        <f aca="false">COUNT(E2575,I2575,K2575)</f>
        <v>1</v>
      </c>
      <c r="M2575" s="18" t="n">
        <f aca="false">(D2575&lt;&gt;"")*(D2575&lt;=($E$3*60+$F$3)/86400)+(H2575&lt;&gt;"")*(H2575&lt;=($I$3*60+$J$3)/86400)+(J2575&lt;&gt;"")*(J2575&lt;=($M$3*60+$N$3)/86400)</f>
        <v>0</v>
      </c>
      <c r="N2575" s="20"/>
      <c r="O2575" s="20"/>
      <c r="P2575" s="20"/>
      <c r="Q2575" s="19"/>
    </row>
    <row r="2576" customFormat="false" ht="15" hidden="false" customHeight="false" outlineLevel="0" collapsed="false">
      <c r="A2576" s="10" t="n">
        <v>2570</v>
      </c>
      <c r="B2576" s="12" t="s">
        <v>3937</v>
      </c>
      <c r="C2576" s="12" t="s">
        <v>1540</v>
      </c>
      <c r="D2576" s="13"/>
      <c r="E2576" s="14"/>
      <c r="F2576" s="15" t="str">
        <f aca="false">IF(D2576="","",ROUND((D2576-MIN($D$7:$D$9999))*86400,2))</f>
        <v/>
      </c>
      <c r="G2576" s="10" t="str">
        <f aca="false">IF(D2576="","",IF(D2576&lt;=($E$3*60+$F$3)/86400,"○",""))</f>
        <v/>
      </c>
      <c r="H2576" s="16" t="n">
        <v>0.00833148148148148</v>
      </c>
      <c r="I2576" s="17" t="n">
        <v>1260</v>
      </c>
      <c r="J2576" s="16"/>
      <c r="K2576" s="17"/>
      <c r="L2576" s="17" t="n">
        <f aca="false">COUNT(E2576,I2576,K2576)</f>
        <v>1</v>
      </c>
      <c r="M2576" s="18" t="n">
        <f aca="false">(D2576&lt;&gt;"")*(D2576&lt;=($E$3*60+$F$3)/86400)+(H2576&lt;&gt;"")*(H2576&lt;=($I$3*60+$J$3)/86400)+(J2576&lt;&gt;"")*(J2576&lt;=($M$3*60+$N$3)/86400)</f>
        <v>0</v>
      </c>
      <c r="N2576" s="20"/>
      <c r="O2576" s="20"/>
      <c r="P2576" s="20"/>
      <c r="Q2576" s="19"/>
    </row>
    <row r="2577" customFormat="false" ht="15" hidden="false" customHeight="false" outlineLevel="0" collapsed="false">
      <c r="A2577" s="10" t="n">
        <v>2571</v>
      </c>
      <c r="B2577" s="12" t="s">
        <v>3938</v>
      </c>
      <c r="C2577" s="12" t="s">
        <v>1420</v>
      </c>
      <c r="D2577" s="13"/>
      <c r="E2577" s="14"/>
      <c r="F2577" s="15" t="str">
        <f aca="false">IF(D2577="","",ROUND((D2577-MIN($D$7:$D$9999))*86400,2))</f>
        <v/>
      </c>
      <c r="G2577" s="10" t="str">
        <f aca="false">IF(D2577="","",IF(D2577&lt;=($E$3*60+$F$3)/86400,"○",""))</f>
        <v/>
      </c>
      <c r="H2577" s="16"/>
      <c r="I2577" s="17"/>
      <c r="J2577" s="16" t="n">
        <v>0.00295706018518519</v>
      </c>
      <c r="K2577" s="17" t="n">
        <v>1260</v>
      </c>
      <c r="L2577" s="17" t="n">
        <f aca="false">COUNT(E2577,I2577,K2577)</f>
        <v>1</v>
      </c>
      <c r="M2577" s="18" t="n">
        <f aca="false">(D2577&lt;&gt;"")*(D2577&lt;=($E$3*60+$F$3)/86400)+(H2577&lt;&gt;"")*(H2577&lt;=($I$3*60+$J$3)/86400)+(J2577&lt;&gt;"")*(J2577&lt;=($M$3*60+$N$3)/86400)</f>
        <v>0</v>
      </c>
      <c r="N2577" s="20"/>
      <c r="O2577" s="20"/>
      <c r="P2577" s="20"/>
      <c r="Q2577" s="19"/>
    </row>
    <row r="2578" customFormat="false" ht="15" hidden="false" customHeight="false" outlineLevel="0" collapsed="false">
      <c r="A2578" s="10" t="n">
        <v>2572</v>
      </c>
      <c r="B2578" s="12" t="s">
        <v>3939</v>
      </c>
      <c r="C2578" s="12" t="s">
        <v>1494</v>
      </c>
      <c r="D2578" s="13"/>
      <c r="E2578" s="14"/>
      <c r="F2578" s="15" t="str">
        <f aca="false">IF(D2578="","",ROUND((D2578-MIN($D$7:$D$9999))*86400,2))</f>
        <v/>
      </c>
      <c r="G2578" s="10" t="str">
        <f aca="false">IF(D2578="","",IF(D2578&lt;=($E$3*60+$F$3)/86400,"○",""))</f>
        <v/>
      </c>
      <c r="H2578" s="16" t="n">
        <v>0.00833194444444444</v>
      </c>
      <c r="I2578" s="17" t="n">
        <v>1261</v>
      </c>
      <c r="J2578" s="16"/>
      <c r="K2578" s="17"/>
      <c r="L2578" s="17" t="n">
        <f aca="false">COUNT(E2578,I2578,K2578)</f>
        <v>1</v>
      </c>
      <c r="M2578" s="18" t="n">
        <f aca="false">(D2578&lt;&gt;"")*(D2578&lt;=($E$3*60+$F$3)/86400)+(H2578&lt;&gt;"")*(H2578&lt;=($I$3*60+$J$3)/86400)+(J2578&lt;&gt;"")*(J2578&lt;=($M$3*60+$N$3)/86400)</f>
        <v>0</v>
      </c>
      <c r="N2578" s="20"/>
      <c r="O2578" s="20"/>
      <c r="P2578" s="20"/>
      <c r="Q2578" s="19"/>
    </row>
    <row r="2579" customFormat="false" ht="15" hidden="false" customHeight="false" outlineLevel="0" collapsed="false">
      <c r="A2579" s="10" t="n">
        <v>2573</v>
      </c>
      <c r="B2579" s="12" t="s">
        <v>3940</v>
      </c>
      <c r="C2579" s="12" t="s">
        <v>537</v>
      </c>
      <c r="D2579" s="13"/>
      <c r="E2579" s="14"/>
      <c r="F2579" s="15" t="str">
        <f aca="false">IF(D2579="","",ROUND((D2579-MIN($D$7:$D$9999))*86400,2))</f>
        <v/>
      </c>
      <c r="G2579" s="10" t="str">
        <f aca="false">IF(D2579="","",IF(D2579&lt;=($E$3*60+$F$3)/86400,"○",""))</f>
        <v/>
      </c>
      <c r="H2579" s="16"/>
      <c r="I2579" s="17"/>
      <c r="J2579" s="16" t="n">
        <v>0.00295787037037037</v>
      </c>
      <c r="K2579" s="17" t="n">
        <v>1261</v>
      </c>
      <c r="L2579" s="17" t="n">
        <f aca="false">COUNT(E2579,I2579,K2579)</f>
        <v>1</v>
      </c>
      <c r="M2579" s="18" t="n">
        <f aca="false">(D2579&lt;&gt;"")*(D2579&lt;=($E$3*60+$F$3)/86400)+(H2579&lt;&gt;"")*(H2579&lt;=($I$3*60+$J$3)/86400)+(J2579&lt;&gt;"")*(J2579&lt;=($M$3*60+$N$3)/86400)</f>
        <v>0</v>
      </c>
      <c r="N2579" s="20"/>
      <c r="O2579" s="20"/>
      <c r="P2579" s="20"/>
      <c r="Q2579" s="19"/>
    </row>
    <row r="2580" customFormat="false" ht="15" hidden="false" customHeight="false" outlineLevel="0" collapsed="false">
      <c r="A2580" s="10" t="n">
        <v>2574</v>
      </c>
      <c r="B2580" s="12" t="s">
        <v>3941</v>
      </c>
      <c r="C2580" s="12" t="s">
        <v>3942</v>
      </c>
      <c r="D2580" s="13"/>
      <c r="E2580" s="14"/>
      <c r="F2580" s="15" t="str">
        <f aca="false">IF(D2580="","",ROUND((D2580-MIN($D$7:$D$9999))*86400,2))</f>
        <v/>
      </c>
      <c r="G2580" s="10" t="str">
        <f aca="false">IF(D2580="","",IF(D2580&lt;=($E$3*60+$F$3)/86400,"○",""))</f>
        <v/>
      </c>
      <c r="H2580" s="16" t="n">
        <v>0.00833576388888889</v>
      </c>
      <c r="I2580" s="17" t="n">
        <v>1262</v>
      </c>
      <c r="J2580" s="16"/>
      <c r="K2580" s="17"/>
      <c r="L2580" s="17" t="n">
        <f aca="false">COUNT(E2580,I2580,K2580)</f>
        <v>1</v>
      </c>
      <c r="M2580" s="18" t="n">
        <f aca="false">(D2580&lt;&gt;"")*(D2580&lt;=($E$3*60+$F$3)/86400)+(H2580&lt;&gt;"")*(H2580&lt;=($I$3*60+$J$3)/86400)+(J2580&lt;&gt;"")*(J2580&lt;=($M$3*60+$N$3)/86400)</f>
        <v>0</v>
      </c>
      <c r="N2580" s="20"/>
      <c r="O2580" s="20"/>
      <c r="P2580" s="20"/>
      <c r="Q2580" s="19"/>
    </row>
    <row r="2581" customFormat="false" ht="15" hidden="false" customHeight="false" outlineLevel="0" collapsed="false">
      <c r="A2581" s="10" t="n">
        <v>2575</v>
      </c>
      <c r="B2581" s="12" t="s">
        <v>3943</v>
      </c>
      <c r="C2581" s="12" t="s">
        <v>3944</v>
      </c>
      <c r="D2581" s="13"/>
      <c r="E2581" s="14"/>
      <c r="F2581" s="15" t="str">
        <f aca="false">IF(D2581="","",ROUND((D2581-MIN($D$7:$D$9999))*86400,2))</f>
        <v/>
      </c>
      <c r="G2581" s="10" t="str">
        <f aca="false">IF(D2581="","",IF(D2581&lt;=($E$3*60+$F$3)/86400,"○",""))</f>
        <v/>
      </c>
      <c r="H2581" s="16" t="n">
        <v>0.00833946759259259</v>
      </c>
      <c r="I2581" s="17" t="n">
        <v>1263</v>
      </c>
      <c r="J2581" s="16"/>
      <c r="K2581" s="17"/>
      <c r="L2581" s="17" t="n">
        <f aca="false">COUNT(E2581,I2581,K2581)</f>
        <v>1</v>
      </c>
      <c r="M2581" s="18" t="n">
        <f aca="false">(D2581&lt;&gt;"")*(D2581&lt;=($E$3*60+$F$3)/86400)+(H2581&lt;&gt;"")*(H2581&lt;=($I$3*60+$J$3)/86400)+(J2581&lt;&gt;"")*(J2581&lt;=($M$3*60+$N$3)/86400)</f>
        <v>0</v>
      </c>
      <c r="N2581" s="20"/>
      <c r="O2581" s="20"/>
      <c r="P2581" s="20"/>
      <c r="Q2581" s="19"/>
    </row>
    <row r="2582" customFormat="false" ht="15" hidden="false" customHeight="false" outlineLevel="0" collapsed="false">
      <c r="A2582" s="10" t="n">
        <v>2576</v>
      </c>
      <c r="B2582" s="12" t="s">
        <v>3945</v>
      </c>
      <c r="C2582" s="12" t="s">
        <v>1127</v>
      </c>
      <c r="D2582" s="13"/>
      <c r="E2582" s="14"/>
      <c r="F2582" s="15" t="str">
        <f aca="false">IF(D2582="","",ROUND((D2582-MIN($D$7:$D$9999))*86400,2))</f>
        <v/>
      </c>
      <c r="G2582" s="10" t="str">
        <f aca="false">IF(D2582="","",IF(D2582&lt;=($E$3*60+$F$3)/86400,"○",""))</f>
        <v/>
      </c>
      <c r="H2582" s="16" t="n">
        <v>0.0083431712962963</v>
      </c>
      <c r="I2582" s="17" t="n">
        <v>1264</v>
      </c>
      <c r="J2582" s="16"/>
      <c r="K2582" s="17"/>
      <c r="L2582" s="17" t="n">
        <f aca="false">COUNT(E2582,I2582,K2582)</f>
        <v>1</v>
      </c>
      <c r="M2582" s="18" t="n">
        <f aca="false">(D2582&lt;&gt;"")*(D2582&lt;=($E$3*60+$F$3)/86400)+(H2582&lt;&gt;"")*(H2582&lt;=($I$3*60+$J$3)/86400)+(J2582&lt;&gt;"")*(J2582&lt;=($M$3*60+$N$3)/86400)</f>
        <v>0</v>
      </c>
      <c r="N2582" s="20"/>
      <c r="O2582" s="20"/>
      <c r="P2582" s="20"/>
      <c r="Q2582" s="19"/>
    </row>
    <row r="2583" customFormat="false" ht="15" hidden="false" customHeight="false" outlineLevel="0" collapsed="false">
      <c r="A2583" s="10" t="n">
        <v>2577</v>
      </c>
      <c r="B2583" s="12" t="s">
        <v>3946</v>
      </c>
      <c r="C2583" s="12" t="s">
        <v>3895</v>
      </c>
      <c r="D2583" s="13"/>
      <c r="E2583" s="14"/>
      <c r="F2583" s="15" t="str">
        <f aca="false">IF(D2583="","",ROUND((D2583-MIN($D$7:$D$9999))*86400,2))</f>
        <v/>
      </c>
      <c r="G2583" s="10" t="str">
        <f aca="false">IF(D2583="","",IF(D2583&lt;=($E$3*60+$F$3)/86400,"○",""))</f>
        <v/>
      </c>
      <c r="H2583" s="16" t="n">
        <v>0.0083494212962963</v>
      </c>
      <c r="I2583" s="17" t="n">
        <v>1265</v>
      </c>
      <c r="J2583" s="16"/>
      <c r="K2583" s="17"/>
      <c r="L2583" s="17" t="n">
        <f aca="false">COUNT(E2583,I2583,K2583)</f>
        <v>1</v>
      </c>
      <c r="M2583" s="18" t="n">
        <f aca="false">(D2583&lt;&gt;"")*(D2583&lt;=($E$3*60+$F$3)/86400)+(H2583&lt;&gt;"")*(H2583&lt;=($I$3*60+$J$3)/86400)+(J2583&lt;&gt;"")*(J2583&lt;=($M$3*60+$N$3)/86400)</f>
        <v>0</v>
      </c>
      <c r="N2583" s="20"/>
      <c r="O2583" s="20"/>
      <c r="P2583" s="20"/>
      <c r="Q2583" s="19"/>
    </row>
    <row r="2584" customFormat="false" ht="15" hidden="false" customHeight="false" outlineLevel="0" collapsed="false">
      <c r="A2584" s="10" t="n">
        <v>2578</v>
      </c>
      <c r="B2584" s="12" t="s">
        <v>3947</v>
      </c>
      <c r="C2584" s="12" t="s">
        <v>83</v>
      </c>
      <c r="D2584" s="13"/>
      <c r="E2584" s="14"/>
      <c r="F2584" s="15" t="str">
        <f aca="false">IF(D2584="","",ROUND((D2584-MIN($D$7:$D$9999))*86400,2))</f>
        <v/>
      </c>
      <c r="G2584" s="10" t="str">
        <f aca="false">IF(D2584="","",IF(D2584&lt;=($E$3*60+$F$3)/86400,"○",""))</f>
        <v/>
      </c>
      <c r="H2584" s="16"/>
      <c r="I2584" s="17"/>
      <c r="J2584" s="16" t="n">
        <v>0.00295914351851852</v>
      </c>
      <c r="K2584" s="17" t="n">
        <v>1265</v>
      </c>
      <c r="L2584" s="17" t="n">
        <f aca="false">COUNT(E2584,I2584,K2584)</f>
        <v>1</v>
      </c>
      <c r="M2584" s="18" t="n">
        <f aca="false">(D2584&lt;&gt;"")*(D2584&lt;=($E$3*60+$F$3)/86400)+(H2584&lt;&gt;"")*(H2584&lt;=($I$3*60+$J$3)/86400)+(J2584&lt;&gt;"")*(J2584&lt;=($M$3*60+$N$3)/86400)</f>
        <v>0</v>
      </c>
      <c r="N2584" s="20"/>
      <c r="O2584" s="20"/>
      <c r="P2584" s="20"/>
      <c r="Q2584" s="19"/>
    </row>
    <row r="2585" customFormat="false" ht="15" hidden="false" customHeight="false" outlineLevel="0" collapsed="false">
      <c r="A2585" s="10" t="n">
        <v>2579</v>
      </c>
      <c r="B2585" s="12" t="s">
        <v>3948</v>
      </c>
      <c r="C2585" s="12" t="s">
        <v>3949</v>
      </c>
      <c r="D2585" s="13"/>
      <c r="E2585" s="14"/>
      <c r="F2585" s="15" t="str">
        <f aca="false">IF(D2585="","",ROUND((D2585-MIN($D$7:$D$9999))*86400,2))</f>
        <v/>
      </c>
      <c r="G2585" s="10" t="str">
        <f aca="false">IF(D2585="","",IF(D2585&lt;=($E$3*60+$F$3)/86400,"○",""))</f>
        <v/>
      </c>
      <c r="H2585" s="16" t="n">
        <v>0.00835069444444445</v>
      </c>
      <c r="I2585" s="17" t="n">
        <v>1266</v>
      </c>
      <c r="J2585" s="16"/>
      <c r="K2585" s="17"/>
      <c r="L2585" s="17" t="n">
        <f aca="false">COUNT(E2585,I2585,K2585)</f>
        <v>1</v>
      </c>
      <c r="M2585" s="18" t="n">
        <f aca="false">(D2585&lt;&gt;"")*(D2585&lt;=($E$3*60+$F$3)/86400)+(H2585&lt;&gt;"")*(H2585&lt;=($I$3*60+$J$3)/86400)+(J2585&lt;&gt;"")*(J2585&lt;=($M$3*60+$N$3)/86400)</f>
        <v>0</v>
      </c>
      <c r="N2585" s="20"/>
      <c r="O2585" s="20"/>
      <c r="P2585" s="20"/>
      <c r="Q2585" s="19"/>
    </row>
    <row r="2586" customFormat="false" ht="15" hidden="false" customHeight="false" outlineLevel="0" collapsed="false">
      <c r="A2586" s="10" t="n">
        <v>2580</v>
      </c>
      <c r="B2586" s="12" t="s">
        <v>3950</v>
      </c>
      <c r="C2586" s="12" t="s">
        <v>3951</v>
      </c>
      <c r="D2586" s="13"/>
      <c r="E2586" s="14"/>
      <c r="F2586" s="15" t="str">
        <f aca="false">IF(D2586="","",ROUND((D2586-MIN($D$7:$D$9999))*86400,2))</f>
        <v/>
      </c>
      <c r="G2586" s="10" t="str">
        <f aca="false">IF(D2586="","",IF(D2586&lt;=($E$3*60+$F$3)/86400,"○",""))</f>
        <v/>
      </c>
      <c r="H2586" s="16" t="n">
        <v>0.00835092592592593</v>
      </c>
      <c r="I2586" s="17" t="n">
        <v>1267</v>
      </c>
      <c r="J2586" s="16"/>
      <c r="K2586" s="17"/>
      <c r="L2586" s="17" t="n">
        <f aca="false">COUNT(E2586,I2586,K2586)</f>
        <v>1</v>
      </c>
      <c r="M2586" s="18" t="n">
        <f aca="false">(D2586&lt;&gt;"")*(D2586&lt;=($E$3*60+$F$3)/86400)+(H2586&lt;&gt;"")*(H2586&lt;=($I$3*60+$J$3)/86400)+(J2586&lt;&gt;"")*(J2586&lt;=($M$3*60+$N$3)/86400)</f>
        <v>0</v>
      </c>
      <c r="N2586" s="20"/>
      <c r="O2586" s="20"/>
      <c r="P2586" s="20"/>
      <c r="Q2586" s="19"/>
    </row>
    <row r="2587" customFormat="false" ht="15" hidden="false" customHeight="false" outlineLevel="0" collapsed="false">
      <c r="A2587" s="10" t="n">
        <v>2581</v>
      </c>
      <c r="B2587" s="12" t="s">
        <v>3952</v>
      </c>
      <c r="C2587" s="12" t="s">
        <v>2631</v>
      </c>
      <c r="D2587" s="13"/>
      <c r="E2587" s="14"/>
      <c r="F2587" s="15" t="str">
        <f aca="false">IF(D2587="","",ROUND((D2587-MIN($D$7:$D$9999))*86400,2))</f>
        <v/>
      </c>
      <c r="G2587" s="10" t="str">
        <f aca="false">IF(D2587="","",IF(D2587&lt;=($E$3*60+$F$3)/86400,"○",""))</f>
        <v/>
      </c>
      <c r="H2587" s="16"/>
      <c r="I2587" s="17"/>
      <c r="J2587" s="16" t="n">
        <v>0.002959375</v>
      </c>
      <c r="K2587" s="17" t="n">
        <v>1267</v>
      </c>
      <c r="L2587" s="17" t="n">
        <f aca="false">COUNT(E2587,I2587,K2587)</f>
        <v>1</v>
      </c>
      <c r="M2587" s="18" t="n">
        <f aca="false">(D2587&lt;&gt;"")*(D2587&lt;=($E$3*60+$F$3)/86400)+(H2587&lt;&gt;"")*(H2587&lt;=($I$3*60+$J$3)/86400)+(J2587&lt;&gt;"")*(J2587&lt;=($M$3*60+$N$3)/86400)</f>
        <v>0</v>
      </c>
      <c r="N2587" s="20"/>
      <c r="O2587" s="20"/>
      <c r="P2587" s="20"/>
      <c r="Q2587" s="19"/>
    </row>
    <row r="2588" customFormat="false" ht="15" hidden="false" customHeight="false" outlineLevel="0" collapsed="false">
      <c r="A2588" s="10" t="n">
        <v>2582</v>
      </c>
      <c r="B2588" s="12" t="s">
        <v>3953</v>
      </c>
      <c r="C2588" s="12" t="s">
        <v>3754</v>
      </c>
      <c r="D2588" s="13"/>
      <c r="E2588" s="14"/>
      <c r="F2588" s="15" t="str">
        <f aca="false">IF(D2588="","",ROUND((D2588-MIN($D$7:$D$9999))*86400,2))</f>
        <v/>
      </c>
      <c r="G2588" s="10" t="str">
        <f aca="false">IF(D2588="","",IF(D2588&lt;=($E$3*60+$F$3)/86400,"○",""))</f>
        <v/>
      </c>
      <c r="H2588" s="16" t="n">
        <v>0.00835196759259259</v>
      </c>
      <c r="I2588" s="17" t="n">
        <v>1268</v>
      </c>
      <c r="J2588" s="16"/>
      <c r="K2588" s="17"/>
      <c r="L2588" s="17" t="n">
        <f aca="false">COUNT(E2588,I2588,K2588)</f>
        <v>1</v>
      </c>
      <c r="M2588" s="18" t="n">
        <f aca="false">(D2588&lt;&gt;"")*(D2588&lt;=($E$3*60+$F$3)/86400)+(H2588&lt;&gt;"")*(H2588&lt;=($I$3*60+$J$3)/86400)+(J2588&lt;&gt;"")*(J2588&lt;=($M$3*60+$N$3)/86400)</f>
        <v>0</v>
      </c>
      <c r="N2588" s="20"/>
      <c r="O2588" s="20"/>
      <c r="P2588" s="20"/>
      <c r="Q2588" s="19"/>
    </row>
    <row r="2589" customFormat="false" ht="15" hidden="false" customHeight="false" outlineLevel="0" collapsed="false">
      <c r="A2589" s="10" t="n">
        <v>2583</v>
      </c>
      <c r="B2589" s="12" t="s">
        <v>3954</v>
      </c>
      <c r="C2589" s="12" t="s">
        <v>3955</v>
      </c>
      <c r="D2589" s="13"/>
      <c r="E2589" s="14"/>
      <c r="F2589" s="15" t="str">
        <f aca="false">IF(D2589="","",ROUND((D2589-MIN($D$7:$D$9999))*86400,2))</f>
        <v/>
      </c>
      <c r="G2589" s="10" t="str">
        <f aca="false">IF(D2589="","",IF(D2589&lt;=($E$3*60+$F$3)/86400,"○",""))</f>
        <v/>
      </c>
      <c r="H2589" s="16"/>
      <c r="I2589" s="17"/>
      <c r="J2589" s="16" t="n">
        <v>0.00295949074074074</v>
      </c>
      <c r="K2589" s="17" t="n">
        <v>1268</v>
      </c>
      <c r="L2589" s="17" t="n">
        <f aca="false">COUNT(E2589,I2589,K2589)</f>
        <v>1</v>
      </c>
      <c r="M2589" s="18" t="n">
        <f aca="false">(D2589&lt;&gt;"")*(D2589&lt;=($E$3*60+$F$3)/86400)+(H2589&lt;&gt;"")*(H2589&lt;=($I$3*60+$J$3)/86400)+(J2589&lt;&gt;"")*(J2589&lt;=($M$3*60+$N$3)/86400)</f>
        <v>0</v>
      </c>
      <c r="N2589" s="20"/>
      <c r="O2589" s="20"/>
      <c r="P2589" s="20"/>
      <c r="Q2589" s="19"/>
    </row>
    <row r="2590" customFormat="false" ht="15" hidden="false" customHeight="false" outlineLevel="0" collapsed="false">
      <c r="A2590" s="10" t="n">
        <v>2584</v>
      </c>
      <c r="B2590" s="12" t="s">
        <v>3956</v>
      </c>
      <c r="C2590" s="12" t="s">
        <v>2114</v>
      </c>
      <c r="D2590" s="13"/>
      <c r="E2590" s="14"/>
      <c r="F2590" s="15" t="str">
        <f aca="false">IF(D2590="","",ROUND((D2590-MIN($D$7:$D$9999))*86400,2))</f>
        <v/>
      </c>
      <c r="G2590" s="10" t="str">
        <f aca="false">IF(D2590="","",IF(D2590&lt;=($E$3*60+$F$3)/86400,"○",""))</f>
        <v/>
      </c>
      <c r="H2590" s="16" t="n">
        <v>0.00835763888888889</v>
      </c>
      <c r="I2590" s="17" t="n">
        <v>1269</v>
      </c>
      <c r="J2590" s="16"/>
      <c r="K2590" s="17"/>
      <c r="L2590" s="17" t="n">
        <f aca="false">COUNT(E2590,I2590,K2590)</f>
        <v>1</v>
      </c>
      <c r="M2590" s="18" t="n">
        <f aca="false">(D2590&lt;&gt;"")*(D2590&lt;=($E$3*60+$F$3)/86400)+(H2590&lt;&gt;"")*(H2590&lt;=($I$3*60+$J$3)/86400)+(J2590&lt;&gt;"")*(J2590&lt;=($M$3*60+$N$3)/86400)</f>
        <v>0</v>
      </c>
      <c r="N2590" s="20"/>
      <c r="O2590" s="20"/>
      <c r="P2590" s="20"/>
      <c r="Q2590" s="19"/>
    </row>
    <row r="2591" customFormat="false" ht="15" hidden="false" customHeight="false" outlineLevel="0" collapsed="false">
      <c r="A2591" s="10" t="n">
        <v>2585</v>
      </c>
      <c r="B2591" s="12" t="s">
        <v>3957</v>
      </c>
      <c r="C2591" s="12" t="s">
        <v>2826</v>
      </c>
      <c r="D2591" s="13"/>
      <c r="E2591" s="14"/>
      <c r="F2591" s="15" t="str">
        <f aca="false">IF(D2591="","",ROUND((D2591-MIN($D$7:$D$9999))*86400,2))</f>
        <v/>
      </c>
      <c r="G2591" s="10" t="str">
        <f aca="false">IF(D2591="","",IF(D2591&lt;=($E$3*60+$F$3)/86400,"○",""))</f>
        <v/>
      </c>
      <c r="H2591" s="16"/>
      <c r="I2591" s="17"/>
      <c r="J2591" s="16" t="n">
        <v>0.00295972222222222</v>
      </c>
      <c r="K2591" s="17" t="n">
        <v>1269</v>
      </c>
      <c r="L2591" s="17" t="n">
        <f aca="false">COUNT(E2591,I2591,K2591)</f>
        <v>1</v>
      </c>
      <c r="M2591" s="18" t="n">
        <f aca="false">(D2591&lt;&gt;"")*(D2591&lt;=($E$3*60+$F$3)/86400)+(H2591&lt;&gt;"")*(H2591&lt;=($I$3*60+$J$3)/86400)+(J2591&lt;&gt;"")*(J2591&lt;=($M$3*60+$N$3)/86400)</f>
        <v>0</v>
      </c>
      <c r="N2591" s="20"/>
      <c r="O2591" s="20"/>
      <c r="P2591" s="20"/>
      <c r="Q2591" s="19"/>
    </row>
    <row r="2592" customFormat="false" ht="15" hidden="false" customHeight="false" outlineLevel="0" collapsed="false">
      <c r="A2592" s="10" t="n">
        <v>2586</v>
      </c>
      <c r="B2592" s="12" t="s">
        <v>3958</v>
      </c>
      <c r="C2592" s="12" t="s">
        <v>873</v>
      </c>
      <c r="D2592" s="13"/>
      <c r="E2592" s="14"/>
      <c r="F2592" s="15" t="str">
        <f aca="false">IF(D2592="","",ROUND((D2592-MIN($D$7:$D$9999))*86400,2))</f>
        <v/>
      </c>
      <c r="G2592" s="10" t="str">
        <f aca="false">IF(D2592="","",IF(D2592&lt;=($E$3*60+$F$3)/86400,"○",""))</f>
        <v/>
      </c>
      <c r="H2592" s="16" t="n">
        <v>0.00836458333333333</v>
      </c>
      <c r="I2592" s="17" t="n">
        <v>1270</v>
      </c>
      <c r="J2592" s="16"/>
      <c r="K2592" s="17"/>
      <c r="L2592" s="17" t="n">
        <f aca="false">COUNT(E2592,I2592,K2592)</f>
        <v>1</v>
      </c>
      <c r="M2592" s="18" t="n">
        <f aca="false">(D2592&lt;&gt;"")*(D2592&lt;=($E$3*60+$F$3)/86400)+(H2592&lt;&gt;"")*(H2592&lt;=($I$3*60+$J$3)/86400)+(J2592&lt;&gt;"")*(J2592&lt;=($M$3*60+$N$3)/86400)</f>
        <v>0</v>
      </c>
      <c r="N2592" s="20"/>
      <c r="O2592" s="20"/>
      <c r="P2592" s="20"/>
      <c r="Q2592" s="19"/>
    </row>
    <row r="2593" customFormat="false" ht="15" hidden="false" customHeight="false" outlineLevel="0" collapsed="false">
      <c r="A2593" s="10" t="n">
        <v>2587</v>
      </c>
      <c r="B2593" s="12" t="s">
        <v>3959</v>
      </c>
      <c r="C2593" s="12" t="s">
        <v>3034</v>
      </c>
      <c r="D2593" s="13"/>
      <c r="E2593" s="14"/>
      <c r="F2593" s="15" t="str">
        <f aca="false">IF(D2593="","",ROUND((D2593-MIN($D$7:$D$9999))*86400,2))</f>
        <v/>
      </c>
      <c r="G2593" s="10" t="str">
        <f aca="false">IF(D2593="","",IF(D2593&lt;=($E$3*60+$F$3)/86400,"○",""))</f>
        <v/>
      </c>
      <c r="H2593" s="16" t="n">
        <v>0.00836678240740741</v>
      </c>
      <c r="I2593" s="17" t="n">
        <v>1271</v>
      </c>
      <c r="J2593" s="16"/>
      <c r="K2593" s="17"/>
      <c r="L2593" s="17" t="n">
        <f aca="false">COUNT(E2593,I2593,K2593)</f>
        <v>1</v>
      </c>
      <c r="M2593" s="18" t="n">
        <f aca="false">(D2593&lt;&gt;"")*(D2593&lt;=($E$3*60+$F$3)/86400)+(H2593&lt;&gt;"")*(H2593&lt;=($I$3*60+$J$3)/86400)+(J2593&lt;&gt;"")*(J2593&lt;=($M$3*60+$N$3)/86400)</f>
        <v>0</v>
      </c>
      <c r="N2593" s="20"/>
      <c r="O2593" s="20"/>
      <c r="P2593" s="20"/>
      <c r="Q2593" s="19"/>
    </row>
    <row r="2594" customFormat="false" ht="15" hidden="false" customHeight="false" outlineLevel="0" collapsed="false">
      <c r="A2594" s="10" t="n">
        <v>2588</v>
      </c>
      <c r="B2594" s="12" t="s">
        <v>3960</v>
      </c>
      <c r="C2594" s="12" t="s">
        <v>3961</v>
      </c>
      <c r="D2594" s="13"/>
      <c r="E2594" s="14"/>
      <c r="F2594" s="15" t="str">
        <f aca="false">IF(D2594="","",ROUND((D2594-MIN($D$7:$D$9999))*86400,2))</f>
        <v/>
      </c>
      <c r="G2594" s="10" t="str">
        <f aca="false">IF(D2594="","",IF(D2594&lt;=($E$3*60+$F$3)/86400,"○",""))</f>
        <v/>
      </c>
      <c r="H2594" s="16" t="n">
        <v>0.00837384259259259</v>
      </c>
      <c r="I2594" s="17" t="n">
        <v>1272</v>
      </c>
      <c r="J2594" s="16"/>
      <c r="K2594" s="17"/>
      <c r="L2594" s="17" t="n">
        <f aca="false">COUNT(E2594,I2594,K2594)</f>
        <v>1</v>
      </c>
      <c r="M2594" s="18" t="n">
        <f aca="false">(D2594&lt;&gt;"")*(D2594&lt;=($E$3*60+$F$3)/86400)+(H2594&lt;&gt;"")*(H2594&lt;=($I$3*60+$J$3)/86400)+(J2594&lt;&gt;"")*(J2594&lt;=($M$3*60+$N$3)/86400)</f>
        <v>0</v>
      </c>
      <c r="N2594" s="20"/>
      <c r="O2594" s="20"/>
      <c r="P2594" s="20"/>
      <c r="Q2594" s="19"/>
    </row>
    <row r="2595" customFormat="false" ht="15" hidden="false" customHeight="false" outlineLevel="0" collapsed="false">
      <c r="A2595" s="10" t="n">
        <v>2589</v>
      </c>
      <c r="B2595" s="12" t="s">
        <v>3962</v>
      </c>
      <c r="C2595" s="12" t="s">
        <v>2741</v>
      </c>
      <c r="D2595" s="13"/>
      <c r="E2595" s="14"/>
      <c r="F2595" s="15" t="str">
        <f aca="false">IF(D2595="","",ROUND((D2595-MIN($D$7:$D$9999))*86400,2))</f>
        <v/>
      </c>
      <c r="G2595" s="10" t="str">
        <f aca="false">IF(D2595="","",IF(D2595&lt;=($E$3*60+$F$3)/86400,"○",""))</f>
        <v/>
      </c>
      <c r="H2595" s="16"/>
      <c r="I2595" s="17"/>
      <c r="J2595" s="16" t="n">
        <v>0.00296006944444444</v>
      </c>
      <c r="K2595" s="17" t="n">
        <v>1272</v>
      </c>
      <c r="L2595" s="17" t="n">
        <f aca="false">COUNT(E2595,I2595,K2595)</f>
        <v>1</v>
      </c>
      <c r="M2595" s="18" t="n">
        <f aca="false">(D2595&lt;&gt;"")*(D2595&lt;=($E$3*60+$F$3)/86400)+(H2595&lt;&gt;"")*(H2595&lt;=($I$3*60+$J$3)/86400)+(J2595&lt;&gt;"")*(J2595&lt;=($M$3*60+$N$3)/86400)</f>
        <v>0</v>
      </c>
      <c r="N2595" s="20"/>
      <c r="O2595" s="20"/>
      <c r="P2595" s="20"/>
      <c r="Q2595" s="19"/>
    </row>
    <row r="2596" customFormat="false" ht="15" hidden="false" customHeight="false" outlineLevel="0" collapsed="false">
      <c r="A2596" s="10" t="n">
        <v>2590</v>
      </c>
      <c r="B2596" s="12" t="s">
        <v>3963</v>
      </c>
      <c r="C2596" s="12" t="s">
        <v>3603</v>
      </c>
      <c r="D2596" s="13"/>
      <c r="E2596" s="14"/>
      <c r="F2596" s="15" t="str">
        <f aca="false">IF(D2596="","",ROUND((D2596-MIN($D$7:$D$9999))*86400,2))</f>
        <v/>
      </c>
      <c r="G2596" s="10" t="str">
        <f aca="false">IF(D2596="","",IF(D2596&lt;=($E$3*60+$F$3)/86400,"○",""))</f>
        <v/>
      </c>
      <c r="H2596" s="16" t="n">
        <v>0.00837731481481482</v>
      </c>
      <c r="I2596" s="17" t="n">
        <v>1273</v>
      </c>
      <c r="J2596" s="16"/>
      <c r="K2596" s="17"/>
      <c r="L2596" s="17" t="n">
        <f aca="false">COUNT(E2596,I2596,K2596)</f>
        <v>1</v>
      </c>
      <c r="M2596" s="18" t="n">
        <f aca="false">(D2596&lt;&gt;"")*(D2596&lt;=($E$3*60+$F$3)/86400)+(H2596&lt;&gt;"")*(H2596&lt;=($I$3*60+$J$3)/86400)+(J2596&lt;&gt;"")*(J2596&lt;=($M$3*60+$N$3)/86400)</f>
        <v>0</v>
      </c>
      <c r="N2596" s="20"/>
      <c r="O2596" s="20"/>
      <c r="P2596" s="20"/>
      <c r="Q2596" s="19"/>
    </row>
    <row r="2597" customFormat="false" ht="15" hidden="false" customHeight="false" outlineLevel="0" collapsed="false">
      <c r="A2597" s="10" t="n">
        <v>2591</v>
      </c>
      <c r="B2597" s="12" t="s">
        <v>3964</v>
      </c>
      <c r="C2597" s="12" t="s">
        <v>3965</v>
      </c>
      <c r="D2597" s="13"/>
      <c r="E2597" s="14"/>
      <c r="F2597" s="15" t="str">
        <f aca="false">IF(D2597="","",ROUND((D2597-MIN($D$7:$D$9999))*86400,2))</f>
        <v/>
      </c>
      <c r="G2597" s="10" t="str">
        <f aca="false">IF(D2597="","",IF(D2597&lt;=($E$3*60+$F$3)/86400,"○",""))</f>
        <v/>
      </c>
      <c r="H2597" s="16" t="n">
        <v>0.00838032407407407</v>
      </c>
      <c r="I2597" s="17" t="n">
        <v>1274</v>
      </c>
      <c r="J2597" s="16"/>
      <c r="K2597" s="17"/>
      <c r="L2597" s="17" t="n">
        <f aca="false">COUNT(E2597,I2597,K2597)</f>
        <v>1</v>
      </c>
      <c r="M2597" s="18" t="n">
        <f aca="false">(D2597&lt;&gt;"")*(D2597&lt;=($E$3*60+$F$3)/86400)+(H2597&lt;&gt;"")*(H2597&lt;=($I$3*60+$J$3)/86400)+(J2597&lt;&gt;"")*(J2597&lt;=($M$3*60+$N$3)/86400)</f>
        <v>0</v>
      </c>
      <c r="N2597" s="20"/>
      <c r="O2597" s="20"/>
      <c r="P2597" s="20"/>
      <c r="Q2597" s="19"/>
    </row>
    <row r="2598" customFormat="false" ht="15" hidden="false" customHeight="false" outlineLevel="0" collapsed="false">
      <c r="A2598" s="10" t="n">
        <v>2592</v>
      </c>
      <c r="B2598" s="12" t="s">
        <v>3966</v>
      </c>
      <c r="C2598" s="12" t="s">
        <v>3967</v>
      </c>
      <c r="D2598" s="13"/>
      <c r="E2598" s="14"/>
      <c r="F2598" s="15" t="str">
        <f aca="false">IF(D2598="","",ROUND((D2598-MIN($D$7:$D$9999))*86400,2))</f>
        <v/>
      </c>
      <c r="G2598" s="10" t="str">
        <f aca="false">IF(D2598="","",IF(D2598&lt;=($E$3*60+$F$3)/86400,"○",""))</f>
        <v/>
      </c>
      <c r="H2598" s="16" t="n">
        <v>0.00838055555555556</v>
      </c>
      <c r="I2598" s="17" t="n">
        <v>1275</v>
      </c>
      <c r="J2598" s="16"/>
      <c r="K2598" s="17"/>
      <c r="L2598" s="17" t="n">
        <f aca="false">COUNT(E2598,I2598,K2598)</f>
        <v>1</v>
      </c>
      <c r="M2598" s="18" t="n">
        <f aca="false">(D2598&lt;&gt;"")*(D2598&lt;=($E$3*60+$F$3)/86400)+(H2598&lt;&gt;"")*(H2598&lt;=($I$3*60+$J$3)/86400)+(J2598&lt;&gt;"")*(J2598&lt;=($M$3*60+$N$3)/86400)</f>
        <v>0</v>
      </c>
      <c r="N2598" s="20"/>
      <c r="O2598" s="20"/>
      <c r="P2598" s="20"/>
      <c r="Q2598" s="19"/>
    </row>
    <row r="2599" customFormat="false" ht="15" hidden="false" customHeight="false" outlineLevel="0" collapsed="false">
      <c r="A2599" s="10" t="n">
        <v>2593</v>
      </c>
      <c r="B2599" s="12" t="s">
        <v>3968</v>
      </c>
      <c r="C2599" s="12" t="s">
        <v>3210</v>
      </c>
      <c r="D2599" s="13"/>
      <c r="E2599" s="14"/>
      <c r="F2599" s="15" t="str">
        <f aca="false">IF(D2599="","",ROUND((D2599-MIN($D$7:$D$9999))*86400,2))</f>
        <v/>
      </c>
      <c r="G2599" s="10" t="str">
        <f aca="false">IF(D2599="","",IF(D2599&lt;=($E$3*60+$F$3)/86400,"○",""))</f>
        <v/>
      </c>
      <c r="H2599" s="16"/>
      <c r="I2599" s="17"/>
      <c r="J2599" s="16" t="n">
        <v>0.00296053240740741</v>
      </c>
      <c r="K2599" s="17" t="n">
        <v>1275</v>
      </c>
      <c r="L2599" s="17" t="n">
        <f aca="false">COUNT(E2599,I2599,K2599)</f>
        <v>1</v>
      </c>
      <c r="M2599" s="18" t="n">
        <f aca="false">(D2599&lt;&gt;"")*(D2599&lt;=($E$3*60+$F$3)/86400)+(H2599&lt;&gt;"")*(H2599&lt;=($I$3*60+$J$3)/86400)+(J2599&lt;&gt;"")*(J2599&lt;=($M$3*60+$N$3)/86400)</f>
        <v>0</v>
      </c>
      <c r="N2599" s="20"/>
      <c r="O2599" s="20"/>
      <c r="P2599" s="20"/>
      <c r="Q2599" s="19"/>
    </row>
    <row r="2600" customFormat="false" ht="15" hidden="false" customHeight="false" outlineLevel="0" collapsed="false">
      <c r="A2600" s="10" t="n">
        <v>2594</v>
      </c>
      <c r="B2600" s="12" t="s">
        <v>3969</v>
      </c>
      <c r="C2600" s="12" t="s">
        <v>1096</v>
      </c>
      <c r="D2600" s="13"/>
      <c r="E2600" s="14"/>
      <c r="F2600" s="15" t="str">
        <f aca="false">IF(D2600="","",ROUND((D2600-MIN($D$7:$D$9999))*86400,2))</f>
        <v/>
      </c>
      <c r="G2600" s="10" t="str">
        <f aca="false">IF(D2600="","",IF(D2600&lt;=($E$3*60+$F$3)/86400,"○",""))</f>
        <v/>
      </c>
      <c r="H2600" s="16" t="n">
        <v>0.00838773148148148</v>
      </c>
      <c r="I2600" s="17" t="n">
        <v>1276</v>
      </c>
      <c r="J2600" s="16"/>
      <c r="K2600" s="17"/>
      <c r="L2600" s="17" t="n">
        <f aca="false">COUNT(E2600,I2600,K2600)</f>
        <v>1</v>
      </c>
      <c r="M2600" s="18" t="n">
        <f aca="false">(D2600&lt;&gt;"")*(D2600&lt;=($E$3*60+$F$3)/86400)+(H2600&lt;&gt;"")*(H2600&lt;=($I$3*60+$J$3)/86400)+(J2600&lt;&gt;"")*(J2600&lt;=($M$3*60+$N$3)/86400)</f>
        <v>0</v>
      </c>
      <c r="N2600" s="20"/>
      <c r="O2600" s="20"/>
      <c r="P2600" s="20"/>
      <c r="Q2600" s="19"/>
    </row>
    <row r="2601" customFormat="false" ht="15" hidden="false" customHeight="false" outlineLevel="0" collapsed="false">
      <c r="A2601" s="10" t="n">
        <v>2595</v>
      </c>
      <c r="B2601" s="12" t="s">
        <v>3970</v>
      </c>
      <c r="C2601" s="12" t="s">
        <v>159</v>
      </c>
      <c r="D2601" s="13"/>
      <c r="E2601" s="14"/>
      <c r="F2601" s="15" t="str">
        <f aca="false">IF(D2601="","",ROUND((D2601-MIN($D$7:$D$9999))*86400,2))</f>
        <v/>
      </c>
      <c r="G2601" s="10" t="str">
        <f aca="false">IF(D2601="","",IF(D2601&lt;=($E$3*60+$F$3)/86400,"○",""))</f>
        <v/>
      </c>
      <c r="H2601" s="16"/>
      <c r="I2601" s="17"/>
      <c r="J2601" s="16" t="n">
        <v>0.00296122685185185</v>
      </c>
      <c r="K2601" s="17" t="n">
        <v>1276</v>
      </c>
      <c r="L2601" s="17" t="n">
        <f aca="false">COUNT(E2601,I2601,K2601)</f>
        <v>1</v>
      </c>
      <c r="M2601" s="18" t="n">
        <f aca="false">(D2601&lt;&gt;"")*(D2601&lt;=($E$3*60+$F$3)/86400)+(H2601&lt;&gt;"")*(H2601&lt;=($I$3*60+$J$3)/86400)+(J2601&lt;&gt;"")*(J2601&lt;=($M$3*60+$N$3)/86400)</f>
        <v>0</v>
      </c>
      <c r="N2601" s="20"/>
      <c r="O2601" s="20"/>
      <c r="P2601" s="20"/>
      <c r="Q2601" s="19"/>
    </row>
    <row r="2602" customFormat="false" ht="15" hidden="false" customHeight="false" outlineLevel="0" collapsed="false">
      <c r="A2602" s="10" t="n">
        <v>2596</v>
      </c>
      <c r="B2602" s="12" t="s">
        <v>3971</v>
      </c>
      <c r="C2602" s="12" t="s">
        <v>3972</v>
      </c>
      <c r="D2602" s="13"/>
      <c r="E2602" s="14"/>
      <c r="F2602" s="15" t="str">
        <f aca="false">IF(D2602="","",ROUND((D2602-MIN($D$7:$D$9999))*86400,2))</f>
        <v/>
      </c>
      <c r="G2602" s="10" t="str">
        <f aca="false">IF(D2602="","",IF(D2602&lt;=($E$3*60+$F$3)/86400,"○",""))</f>
        <v/>
      </c>
      <c r="H2602" s="16" t="n">
        <v>0.00838796296296296</v>
      </c>
      <c r="I2602" s="17" t="n">
        <v>1277</v>
      </c>
      <c r="J2602" s="16"/>
      <c r="K2602" s="17"/>
      <c r="L2602" s="17" t="n">
        <f aca="false">COUNT(E2602,I2602,K2602)</f>
        <v>1</v>
      </c>
      <c r="M2602" s="18" t="n">
        <f aca="false">(D2602&lt;&gt;"")*(D2602&lt;=($E$3*60+$F$3)/86400)+(H2602&lt;&gt;"")*(H2602&lt;=($I$3*60+$J$3)/86400)+(J2602&lt;&gt;"")*(J2602&lt;=($M$3*60+$N$3)/86400)</f>
        <v>0</v>
      </c>
      <c r="N2602" s="20"/>
      <c r="O2602" s="20"/>
      <c r="P2602" s="20"/>
      <c r="Q2602" s="19"/>
    </row>
    <row r="2603" customFormat="false" ht="15" hidden="false" customHeight="false" outlineLevel="0" collapsed="false">
      <c r="A2603" s="10" t="n">
        <v>2597</v>
      </c>
      <c r="B2603" s="12" t="s">
        <v>3973</v>
      </c>
      <c r="C2603" s="12" t="s">
        <v>3389</v>
      </c>
      <c r="D2603" s="13"/>
      <c r="E2603" s="14"/>
      <c r="F2603" s="15" t="str">
        <f aca="false">IF(D2603="","",ROUND((D2603-MIN($D$7:$D$9999))*86400,2))</f>
        <v/>
      </c>
      <c r="G2603" s="10" t="str">
        <f aca="false">IF(D2603="","",IF(D2603&lt;=($E$3*60+$F$3)/86400,"○",""))</f>
        <v/>
      </c>
      <c r="H2603" s="16" t="n">
        <v>0.00839259259259259</v>
      </c>
      <c r="I2603" s="17" t="n">
        <v>1278</v>
      </c>
      <c r="J2603" s="16"/>
      <c r="K2603" s="17"/>
      <c r="L2603" s="17" t="n">
        <f aca="false">COUNT(E2603,I2603,K2603)</f>
        <v>1</v>
      </c>
      <c r="M2603" s="18" t="n">
        <f aca="false">(D2603&lt;&gt;"")*(D2603&lt;=($E$3*60+$F$3)/86400)+(H2603&lt;&gt;"")*(H2603&lt;=($I$3*60+$J$3)/86400)+(J2603&lt;&gt;"")*(J2603&lt;=($M$3*60+$N$3)/86400)</f>
        <v>0</v>
      </c>
      <c r="N2603" s="20"/>
      <c r="O2603" s="20"/>
      <c r="P2603" s="20"/>
      <c r="Q2603" s="19"/>
    </row>
    <row r="2604" customFormat="false" ht="15" hidden="false" customHeight="false" outlineLevel="0" collapsed="false">
      <c r="A2604" s="10" t="n">
        <v>2598</v>
      </c>
      <c r="B2604" s="12" t="s">
        <v>3974</v>
      </c>
      <c r="C2604" s="12" t="s">
        <v>3975</v>
      </c>
      <c r="D2604" s="13"/>
      <c r="E2604" s="14"/>
      <c r="F2604" s="15" t="str">
        <f aca="false">IF(D2604="","",ROUND((D2604-MIN($D$7:$D$9999))*86400,2))</f>
        <v/>
      </c>
      <c r="G2604" s="10" t="str">
        <f aca="false">IF(D2604="","",IF(D2604&lt;=($E$3*60+$F$3)/86400,"○",""))</f>
        <v/>
      </c>
      <c r="H2604" s="16" t="n">
        <v>0.00840277777777778</v>
      </c>
      <c r="I2604" s="17" t="n">
        <v>1279</v>
      </c>
      <c r="J2604" s="16"/>
      <c r="K2604" s="17"/>
      <c r="L2604" s="17" t="n">
        <f aca="false">COUNT(E2604,I2604,K2604)</f>
        <v>1</v>
      </c>
      <c r="M2604" s="18" t="n">
        <f aca="false">(D2604&lt;&gt;"")*(D2604&lt;=($E$3*60+$F$3)/86400)+(H2604&lt;&gt;"")*(H2604&lt;=($I$3*60+$J$3)/86400)+(J2604&lt;&gt;"")*(J2604&lt;=($M$3*60+$N$3)/86400)</f>
        <v>0</v>
      </c>
      <c r="N2604" s="20"/>
      <c r="O2604" s="20"/>
      <c r="P2604" s="20"/>
      <c r="Q2604" s="19"/>
    </row>
    <row r="2605" customFormat="false" ht="15" hidden="false" customHeight="false" outlineLevel="0" collapsed="false">
      <c r="A2605" s="10" t="n">
        <v>2599</v>
      </c>
      <c r="B2605" s="12" t="s">
        <v>3976</v>
      </c>
      <c r="C2605" s="12" t="s">
        <v>947</v>
      </c>
      <c r="D2605" s="13"/>
      <c r="E2605" s="14"/>
      <c r="F2605" s="15" t="str">
        <f aca="false">IF(D2605="","",ROUND((D2605-MIN($D$7:$D$9999))*86400,2))</f>
        <v/>
      </c>
      <c r="G2605" s="10" t="str">
        <f aca="false">IF(D2605="","",IF(D2605&lt;=($E$3*60+$F$3)/86400,"○",""))</f>
        <v/>
      </c>
      <c r="H2605" s="16"/>
      <c r="I2605" s="17"/>
      <c r="J2605" s="16" t="n">
        <v>0.00296238425925926</v>
      </c>
      <c r="K2605" s="17" t="n">
        <v>1279</v>
      </c>
      <c r="L2605" s="17" t="n">
        <f aca="false">COUNT(E2605,I2605,K2605)</f>
        <v>1</v>
      </c>
      <c r="M2605" s="18" t="n">
        <f aca="false">(D2605&lt;&gt;"")*(D2605&lt;=($E$3*60+$F$3)/86400)+(H2605&lt;&gt;"")*(H2605&lt;=($I$3*60+$J$3)/86400)+(J2605&lt;&gt;"")*(J2605&lt;=($M$3*60+$N$3)/86400)</f>
        <v>0</v>
      </c>
      <c r="N2605" s="20"/>
      <c r="O2605" s="20"/>
      <c r="P2605" s="20"/>
      <c r="Q2605" s="19"/>
    </row>
    <row r="2606" customFormat="false" ht="15" hidden="false" customHeight="false" outlineLevel="0" collapsed="false">
      <c r="A2606" s="10" t="n">
        <v>2600</v>
      </c>
      <c r="B2606" s="12" t="s">
        <v>3977</v>
      </c>
      <c r="C2606" s="12" t="s">
        <v>3978</v>
      </c>
      <c r="D2606" s="13"/>
      <c r="E2606" s="14"/>
      <c r="F2606" s="15" t="str">
        <f aca="false">IF(D2606="","",ROUND((D2606-MIN($D$7:$D$9999))*86400,2))</f>
        <v/>
      </c>
      <c r="G2606" s="10" t="str">
        <f aca="false">IF(D2606="","",IF(D2606&lt;=($E$3*60+$F$3)/86400,"○",""))</f>
        <v/>
      </c>
      <c r="H2606" s="16" t="n">
        <v>0.00840300925925926</v>
      </c>
      <c r="I2606" s="17" t="n">
        <v>1280</v>
      </c>
      <c r="J2606" s="16"/>
      <c r="K2606" s="17"/>
      <c r="L2606" s="17" t="n">
        <f aca="false">COUNT(E2606,I2606,K2606)</f>
        <v>1</v>
      </c>
      <c r="M2606" s="18" t="n">
        <f aca="false">(D2606&lt;&gt;"")*(D2606&lt;=($E$3*60+$F$3)/86400)+(H2606&lt;&gt;"")*(H2606&lt;=($I$3*60+$J$3)/86400)+(J2606&lt;&gt;"")*(J2606&lt;=($M$3*60+$N$3)/86400)</f>
        <v>0</v>
      </c>
      <c r="N2606" s="20"/>
      <c r="O2606" s="20"/>
      <c r="P2606" s="20"/>
      <c r="Q2606" s="19"/>
    </row>
    <row r="2607" customFormat="false" ht="15" hidden="false" customHeight="false" outlineLevel="0" collapsed="false">
      <c r="A2607" s="10" t="n">
        <v>2601</v>
      </c>
      <c r="B2607" s="12" t="s">
        <v>3979</v>
      </c>
      <c r="C2607" s="12" t="s">
        <v>3980</v>
      </c>
      <c r="D2607" s="13"/>
      <c r="E2607" s="14"/>
      <c r="F2607" s="15" t="str">
        <f aca="false">IF(D2607="","",ROUND((D2607-MIN($D$7:$D$9999))*86400,2))</f>
        <v/>
      </c>
      <c r="G2607" s="10" t="str">
        <f aca="false">IF(D2607="","",IF(D2607&lt;=($E$3*60+$F$3)/86400,"○",""))</f>
        <v/>
      </c>
      <c r="H2607" s="16" t="n">
        <v>0.00840636574074074</v>
      </c>
      <c r="I2607" s="17" t="n">
        <v>1281</v>
      </c>
      <c r="J2607" s="16"/>
      <c r="K2607" s="17"/>
      <c r="L2607" s="17" t="n">
        <f aca="false">COUNT(E2607,I2607,K2607)</f>
        <v>1</v>
      </c>
      <c r="M2607" s="18" t="n">
        <f aca="false">(D2607&lt;&gt;"")*(D2607&lt;=($E$3*60+$F$3)/86400)+(H2607&lt;&gt;"")*(H2607&lt;=($I$3*60+$J$3)/86400)+(J2607&lt;&gt;"")*(J2607&lt;=($M$3*60+$N$3)/86400)</f>
        <v>0</v>
      </c>
      <c r="N2607" s="20"/>
      <c r="O2607" s="20"/>
      <c r="P2607" s="20"/>
      <c r="Q2607" s="19"/>
    </row>
    <row r="2608" customFormat="false" ht="15" hidden="false" customHeight="false" outlineLevel="0" collapsed="false">
      <c r="A2608" s="10" t="n">
        <v>2602</v>
      </c>
      <c r="B2608" s="12" t="s">
        <v>3981</v>
      </c>
      <c r="C2608" s="12" t="s">
        <v>711</v>
      </c>
      <c r="D2608" s="13"/>
      <c r="E2608" s="14"/>
      <c r="F2608" s="15" t="str">
        <f aca="false">IF(D2608="","",ROUND((D2608-MIN($D$7:$D$9999))*86400,2))</f>
        <v/>
      </c>
      <c r="G2608" s="10" t="str">
        <f aca="false">IF(D2608="","",IF(D2608&lt;=($E$3*60+$F$3)/86400,"○",""))</f>
        <v/>
      </c>
      <c r="H2608" s="16"/>
      <c r="I2608" s="17"/>
      <c r="J2608" s="16" t="n">
        <v>0.0029625</v>
      </c>
      <c r="K2608" s="17" t="n">
        <v>1281</v>
      </c>
      <c r="L2608" s="17" t="n">
        <f aca="false">COUNT(E2608,I2608,K2608)</f>
        <v>1</v>
      </c>
      <c r="M2608" s="18" t="n">
        <f aca="false">(D2608&lt;&gt;"")*(D2608&lt;=($E$3*60+$F$3)/86400)+(H2608&lt;&gt;"")*(H2608&lt;=($I$3*60+$J$3)/86400)+(J2608&lt;&gt;"")*(J2608&lt;=($M$3*60+$N$3)/86400)</f>
        <v>0</v>
      </c>
      <c r="N2608" s="20"/>
      <c r="O2608" s="20"/>
      <c r="P2608" s="20"/>
      <c r="Q2608" s="19"/>
    </row>
    <row r="2609" customFormat="false" ht="15" hidden="false" customHeight="false" outlineLevel="0" collapsed="false">
      <c r="A2609" s="10" t="n">
        <v>2603</v>
      </c>
      <c r="B2609" s="12" t="s">
        <v>3982</v>
      </c>
      <c r="C2609" s="12" t="s">
        <v>1227</v>
      </c>
      <c r="D2609" s="13"/>
      <c r="E2609" s="14"/>
      <c r="F2609" s="15" t="str">
        <f aca="false">IF(D2609="","",ROUND((D2609-MIN($D$7:$D$9999))*86400,2))</f>
        <v/>
      </c>
      <c r="G2609" s="10" t="str">
        <f aca="false">IF(D2609="","",IF(D2609&lt;=($E$3*60+$F$3)/86400,"○",""))</f>
        <v/>
      </c>
      <c r="H2609" s="16" t="n">
        <v>0.00840972222222222</v>
      </c>
      <c r="I2609" s="17" t="n">
        <v>1283</v>
      </c>
      <c r="J2609" s="16"/>
      <c r="K2609" s="17"/>
      <c r="L2609" s="17" t="n">
        <f aca="false">COUNT(E2609,I2609,K2609)</f>
        <v>1</v>
      </c>
      <c r="M2609" s="18" t="n">
        <f aca="false">(D2609&lt;&gt;"")*(D2609&lt;=($E$3*60+$F$3)/86400)+(H2609&lt;&gt;"")*(H2609&lt;=($I$3*60+$J$3)/86400)+(J2609&lt;&gt;"")*(J2609&lt;=($M$3*60+$N$3)/86400)</f>
        <v>0</v>
      </c>
      <c r="N2609" s="20"/>
      <c r="O2609" s="20"/>
      <c r="P2609" s="20"/>
      <c r="Q2609" s="19"/>
    </row>
    <row r="2610" customFormat="false" ht="15" hidden="false" customHeight="false" outlineLevel="0" collapsed="false">
      <c r="A2610" s="10" t="n">
        <v>2604</v>
      </c>
      <c r="B2610" s="12" t="s">
        <v>3983</v>
      </c>
      <c r="C2610" s="12" t="s">
        <v>1570</v>
      </c>
      <c r="D2610" s="13"/>
      <c r="E2610" s="14"/>
      <c r="F2610" s="15" t="str">
        <f aca="false">IF(D2610="","",ROUND((D2610-MIN($D$7:$D$9999))*86400,2))</f>
        <v/>
      </c>
      <c r="G2610" s="10" t="str">
        <f aca="false">IF(D2610="","",IF(D2610&lt;=($E$3*60+$F$3)/86400,"○",""))</f>
        <v/>
      </c>
      <c r="H2610" s="16" t="n">
        <v>0.00841435185185185</v>
      </c>
      <c r="I2610" s="17" t="n">
        <v>1284</v>
      </c>
      <c r="J2610" s="16"/>
      <c r="K2610" s="17"/>
      <c r="L2610" s="17" t="n">
        <f aca="false">COUNT(E2610,I2610,K2610)</f>
        <v>1</v>
      </c>
      <c r="M2610" s="18" t="n">
        <f aca="false">(D2610&lt;&gt;"")*(D2610&lt;=($E$3*60+$F$3)/86400)+(H2610&lt;&gt;"")*(H2610&lt;=($I$3*60+$J$3)/86400)+(J2610&lt;&gt;"")*(J2610&lt;=($M$3*60+$N$3)/86400)</f>
        <v>0</v>
      </c>
      <c r="N2610" s="20"/>
      <c r="O2610" s="20"/>
      <c r="P2610" s="20"/>
      <c r="Q2610" s="19"/>
    </row>
    <row r="2611" customFormat="false" ht="15" hidden="false" customHeight="false" outlineLevel="0" collapsed="false">
      <c r="A2611" s="10" t="n">
        <v>2605</v>
      </c>
      <c r="B2611" s="12" t="s">
        <v>3984</v>
      </c>
      <c r="C2611" s="12" t="s">
        <v>3810</v>
      </c>
      <c r="D2611" s="13"/>
      <c r="E2611" s="14"/>
      <c r="F2611" s="15" t="str">
        <f aca="false">IF(D2611="","",ROUND((D2611-MIN($D$7:$D$9999))*86400,2))</f>
        <v/>
      </c>
      <c r="G2611" s="10" t="str">
        <f aca="false">IF(D2611="","",IF(D2611&lt;=($E$3*60+$F$3)/86400,"○",""))</f>
        <v/>
      </c>
      <c r="H2611" s="16" t="n">
        <v>0.00842025462962963</v>
      </c>
      <c r="I2611" s="17" t="n">
        <v>1285</v>
      </c>
      <c r="J2611" s="16"/>
      <c r="K2611" s="17"/>
      <c r="L2611" s="17" t="n">
        <f aca="false">COUNT(E2611,I2611,K2611)</f>
        <v>1</v>
      </c>
      <c r="M2611" s="18" t="n">
        <f aca="false">(D2611&lt;&gt;"")*(D2611&lt;=($E$3*60+$F$3)/86400)+(H2611&lt;&gt;"")*(H2611&lt;=($I$3*60+$J$3)/86400)+(J2611&lt;&gt;"")*(J2611&lt;=($M$3*60+$N$3)/86400)</f>
        <v>0</v>
      </c>
      <c r="N2611" s="20"/>
      <c r="O2611" s="20"/>
      <c r="P2611" s="20"/>
      <c r="Q2611" s="19"/>
    </row>
    <row r="2612" customFormat="false" ht="15" hidden="false" customHeight="false" outlineLevel="0" collapsed="false">
      <c r="A2612" s="10" t="n">
        <v>2606</v>
      </c>
      <c r="B2612" s="12" t="s">
        <v>3985</v>
      </c>
      <c r="C2612" s="12" t="s">
        <v>2064</v>
      </c>
      <c r="D2612" s="13"/>
      <c r="E2612" s="14"/>
      <c r="F2612" s="15" t="str">
        <f aca="false">IF(D2612="","",ROUND((D2612-MIN($D$7:$D$9999))*86400,2))</f>
        <v/>
      </c>
      <c r="G2612" s="10" t="str">
        <f aca="false">IF(D2612="","",IF(D2612&lt;=($E$3*60+$F$3)/86400,"○",""))</f>
        <v/>
      </c>
      <c r="H2612" s="16"/>
      <c r="I2612" s="17"/>
      <c r="J2612" s="16" t="n">
        <v>0.00296342592592593</v>
      </c>
      <c r="K2612" s="17" t="n">
        <v>1285</v>
      </c>
      <c r="L2612" s="17" t="n">
        <f aca="false">COUNT(E2612,I2612,K2612)</f>
        <v>1</v>
      </c>
      <c r="M2612" s="18" t="n">
        <f aca="false">(D2612&lt;&gt;"")*(D2612&lt;=($E$3*60+$F$3)/86400)+(H2612&lt;&gt;"")*(H2612&lt;=($I$3*60+$J$3)/86400)+(J2612&lt;&gt;"")*(J2612&lt;=($M$3*60+$N$3)/86400)</f>
        <v>0</v>
      </c>
      <c r="N2612" s="20"/>
      <c r="O2612" s="20"/>
      <c r="P2612" s="20"/>
      <c r="Q2612" s="19"/>
    </row>
    <row r="2613" customFormat="false" ht="15" hidden="false" customHeight="false" outlineLevel="0" collapsed="false">
      <c r="A2613" s="10" t="n">
        <v>2607</v>
      </c>
      <c r="B2613" s="12" t="s">
        <v>3986</v>
      </c>
      <c r="C2613" s="12" t="s">
        <v>3987</v>
      </c>
      <c r="D2613" s="13"/>
      <c r="E2613" s="14"/>
      <c r="F2613" s="15" t="str">
        <f aca="false">IF(D2613="","",ROUND((D2613-MIN($D$7:$D$9999))*86400,2))</f>
        <v/>
      </c>
      <c r="G2613" s="10" t="str">
        <f aca="false">IF(D2613="","",IF(D2613&lt;=($E$3*60+$F$3)/86400,"○",""))</f>
        <v/>
      </c>
      <c r="H2613" s="16" t="n">
        <v>0.00843078703703704</v>
      </c>
      <c r="I2613" s="17" t="n">
        <v>1286</v>
      </c>
      <c r="J2613" s="16"/>
      <c r="K2613" s="17"/>
      <c r="L2613" s="17" t="n">
        <f aca="false">COUNT(E2613,I2613,K2613)</f>
        <v>1</v>
      </c>
      <c r="M2613" s="18" t="n">
        <f aca="false">(D2613&lt;&gt;"")*(D2613&lt;=($E$3*60+$F$3)/86400)+(H2613&lt;&gt;"")*(H2613&lt;=($I$3*60+$J$3)/86400)+(J2613&lt;&gt;"")*(J2613&lt;=($M$3*60+$N$3)/86400)</f>
        <v>0</v>
      </c>
      <c r="N2613" s="20"/>
      <c r="O2613" s="20"/>
      <c r="P2613" s="20"/>
      <c r="Q2613" s="19"/>
    </row>
    <row r="2614" customFormat="false" ht="15" hidden="false" customHeight="false" outlineLevel="0" collapsed="false">
      <c r="A2614" s="10" t="n">
        <v>2608</v>
      </c>
      <c r="B2614" s="12" t="s">
        <v>3988</v>
      </c>
      <c r="C2614" s="12" t="s">
        <v>2391</v>
      </c>
      <c r="D2614" s="13"/>
      <c r="E2614" s="14"/>
      <c r="F2614" s="15" t="str">
        <f aca="false">IF(D2614="","",ROUND((D2614-MIN($D$7:$D$9999))*86400,2))</f>
        <v/>
      </c>
      <c r="G2614" s="10" t="str">
        <f aca="false">IF(D2614="","",IF(D2614&lt;=($E$3*60+$F$3)/86400,"○",""))</f>
        <v/>
      </c>
      <c r="H2614" s="16" t="n">
        <v>0.00843171296296296</v>
      </c>
      <c r="I2614" s="17" t="n">
        <v>1287</v>
      </c>
      <c r="J2614" s="16"/>
      <c r="K2614" s="17"/>
      <c r="L2614" s="17" t="n">
        <f aca="false">COUNT(E2614,I2614,K2614)</f>
        <v>1</v>
      </c>
      <c r="M2614" s="18" t="n">
        <f aca="false">(D2614&lt;&gt;"")*(D2614&lt;=($E$3*60+$F$3)/86400)+(H2614&lt;&gt;"")*(H2614&lt;=($I$3*60+$J$3)/86400)+(J2614&lt;&gt;"")*(J2614&lt;=($M$3*60+$N$3)/86400)</f>
        <v>0</v>
      </c>
      <c r="N2614" s="20"/>
      <c r="O2614" s="20"/>
      <c r="P2614" s="20"/>
      <c r="Q2614" s="19"/>
    </row>
    <row r="2615" customFormat="false" ht="15" hidden="false" customHeight="false" outlineLevel="0" collapsed="false">
      <c r="A2615" s="10" t="n">
        <v>2609</v>
      </c>
      <c r="B2615" s="12" t="s">
        <v>3989</v>
      </c>
      <c r="C2615" s="12" t="s">
        <v>864</v>
      </c>
      <c r="D2615" s="13"/>
      <c r="E2615" s="14"/>
      <c r="F2615" s="15" t="str">
        <f aca="false">IF(D2615="","",ROUND((D2615-MIN($D$7:$D$9999))*86400,2))</f>
        <v/>
      </c>
      <c r="G2615" s="10" t="str">
        <f aca="false">IF(D2615="","",IF(D2615&lt;=($E$3*60+$F$3)/86400,"○",""))</f>
        <v/>
      </c>
      <c r="H2615" s="16"/>
      <c r="I2615" s="17"/>
      <c r="J2615" s="16" t="n">
        <v>0.00296388888888889</v>
      </c>
      <c r="K2615" s="17" t="n">
        <v>1287</v>
      </c>
      <c r="L2615" s="17" t="n">
        <f aca="false">COUNT(E2615,I2615,K2615)</f>
        <v>1</v>
      </c>
      <c r="M2615" s="18" t="n">
        <f aca="false">(D2615&lt;&gt;"")*(D2615&lt;=($E$3*60+$F$3)/86400)+(H2615&lt;&gt;"")*(H2615&lt;=($I$3*60+$J$3)/86400)+(J2615&lt;&gt;"")*(J2615&lt;=($M$3*60+$N$3)/86400)</f>
        <v>0</v>
      </c>
      <c r="N2615" s="20"/>
      <c r="O2615" s="20" t="s">
        <v>3990</v>
      </c>
      <c r="P2615" s="20"/>
      <c r="Q2615" s="19"/>
    </row>
    <row r="2616" customFormat="false" ht="15" hidden="false" customHeight="false" outlineLevel="0" collapsed="false">
      <c r="A2616" s="10" t="n">
        <v>2610</v>
      </c>
      <c r="B2616" s="12" t="s">
        <v>3991</v>
      </c>
      <c r="C2616" s="12" t="s">
        <v>3992</v>
      </c>
      <c r="D2616" s="13"/>
      <c r="E2616" s="14"/>
      <c r="F2616" s="15" t="str">
        <f aca="false">IF(D2616="","",ROUND((D2616-MIN($D$7:$D$9999))*86400,2))</f>
        <v/>
      </c>
      <c r="G2616" s="10" t="str">
        <f aca="false">IF(D2616="","",IF(D2616&lt;=($E$3*60+$F$3)/86400,"○",""))</f>
        <v/>
      </c>
      <c r="H2616" s="16" t="n">
        <v>0.00843275462962963</v>
      </c>
      <c r="I2616" s="17" t="n">
        <v>1288</v>
      </c>
      <c r="J2616" s="16"/>
      <c r="K2616" s="17"/>
      <c r="L2616" s="17" t="n">
        <f aca="false">COUNT(E2616,I2616,K2616)</f>
        <v>1</v>
      </c>
      <c r="M2616" s="18" t="n">
        <f aca="false">(D2616&lt;&gt;"")*(D2616&lt;=($E$3*60+$F$3)/86400)+(H2616&lt;&gt;"")*(H2616&lt;=($I$3*60+$J$3)/86400)+(J2616&lt;&gt;"")*(J2616&lt;=($M$3*60+$N$3)/86400)</f>
        <v>0</v>
      </c>
      <c r="N2616" s="20"/>
      <c r="O2616" s="20"/>
      <c r="P2616" s="20"/>
      <c r="Q2616" s="19"/>
    </row>
    <row r="2617" customFormat="false" ht="15" hidden="false" customHeight="false" outlineLevel="0" collapsed="false">
      <c r="A2617" s="10" t="n">
        <v>2611</v>
      </c>
      <c r="B2617" s="12" t="s">
        <v>3993</v>
      </c>
      <c r="C2617" s="12" t="s">
        <v>2704</v>
      </c>
      <c r="D2617" s="13"/>
      <c r="E2617" s="14"/>
      <c r="F2617" s="15" t="str">
        <f aca="false">IF(D2617="","",ROUND((D2617-MIN($D$7:$D$9999))*86400,2))</f>
        <v/>
      </c>
      <c r="G2617" s="10" t="str">
        <f aca="false">IF(D2617="","",IF(D2617&lt;=($E$3*60+$F$3)/86400,"○",""))</f>
        <v/>
      </c>
      <c r="H2617" s="16"/>
      <c r="I2617" s="17"/>
      <c r="J2617" s="16" t="n">
        <v>0.00296435185185185</v>
      </c>
      <c r="K2617" s="17" t="n">
        <v>1288</v>
      </c>
      <c r="L2617" s="17" t="n">
        <f aca="false">COUNT(E2617,I2617,K2617)</f>
        <v>1</v>
      </c>
      <c r="M2617" s="18" t="n">
        <f aca="false">(D2617&lt;&gt;"")*(D2617&lt;=($E$3*60+$F$3)/86400)+(H2617&lt;&gt;"")*(H2617&lt;=($I$3*60+$J$3)/86400)+(J2617&lt;&gt;"")*(J2617&lt;=($M$3*60+$N$3)/86400)</f>
        <v>0</v>
      </c>
      <c r="N2617" s="20"/>
      <c r="O2617" s="20"/>
      <c r="P2617" s="20"/>
      <c r="Q2617" s="19"/>
    </row>
    <row r="2618" customFormat="false" ht="15" hidden="false" customHeight="false" outlineLevel="0" collapsed="false">
      <c r="A2618" s="10" t="n">
        <v>2612</v>
      </c>
      <c r="B2618" s="12" t="s">
        <v>3994</v>
      </c>
      <c r="C2618" s="12" t="s">
        <v>3006</v>
      </c>
      <c r="D2618" s="13"/>
      <c r="E2618" s="14"/>
      <c r="F2618" s="15" t="str">
        <f aca="false">IF(D2618="","",ROUND((D2618-MIN($D$7:$D$9999))*86400,2))</f>
        <v/>
      </c>
      <c r="G2618" s="10" t="str">
        <f aca="false">IF(D2618="","",IF(D2618&lt;=($E$3*60+$F$3)/86400,"○",""))</f>
        <v/>
      </c>
      <c r="H2618" s="16" t="n">
        <v>0.00843541666666667</v>
      </c>
      <c r="I2618" s="17" t="n">
        <v>1289</v>
      </c>
      <c r="J2618" s="16"/>
      <c r="K2618" s="17"/>
      <c r="L2618" s="17" t="n">
        <f aca="false">COUNT(E2618,I2618,K2618)</f>
        <v>1</v>
      </c>
      <c r="M2618" s="18" t="n">
        <f aca="false">(D2618&lt;&gt;"")*(D2618&lt;=($E$3*60+$F$3)/86400)+(H2618&lt;&gt;"")*(H2618&lt;=($I$3*60+$J$3)/86400)+(J2618&lt;&gt;"")*(J2618&lt;=($M$3*60+$N$3)/86400)</f>
        <v>0</v>
      </c>
      <c r="N2618" s="20"/>
      <c r="O2618" s="20"/>
      <c r="P2618" s="20"/>
      <c r="Q2618" s="19"/>
    </row>
    <row r="2619" customFormat="false" ht="15" hidden="false" customHeight="false" outlineLevel="0" collapsed="false">
      <c r="A2619" s="10" t="n">
        <v>2613</v>
      </c>
      <c r="B2619" s="12" t="s">
        <v>3995</v>
      </c>
      <c r="C2619" s="12" t="s">
        <v>2226</v>
      </c>
      <c r="D2619" s="13"/>
      <c r="E2619" s="14"/>
      <c r="F2619" s="15" t="str">
        <f aca="false">IF(D2619="","",ROUND((D2619-MIN($D$7:$D$9999))*86400,2))</f>
        <v/>
      </c>
      <c r="G2619" s="10" t="str">
        <f aca="false">IF(D2619="","",IF(D2619&lt;=($E$3*60+$F$3)/86400,"○",""))</f>
        <v/>
      </c>
      <c r="H2619" s="16" t="n">
        <v>0.00844826388888889</v>
      </c>
      <c r="I2619" s="17" t="n">
        <v>1290</v>
      </c>
      <c r="J2619" s="16"/>
      <c r="K2619" s="17"/>
      <c r="L2619" s="17" t="n">
        <f aca="false">COUNT(E2619,I2619,K2619)</f>
        <v>1</v>
      </c>
      <c r="M2619" s="18" t="n">
        <f aca="false">(D2619&lt;&gt;"")*(D2619&lt;=($E$3*60+$F$3)/86400)+(H2619&lt;&gt;"")*(H2619&lt;=($I$3*60+$J$3)/86400)+(J2619&lt;&gt;"")*(J2619&lt;=($M$3*60+$N$3)/86400)</f>
        <v>0</v>
      </c>
      <c r="N2619" s="20"/>
      <c r="O2619" s="20"/>
      <c r="P2619" s="20"/>
      <c r="Q2619" s="19"/>
    </row>
    <row r="2620" customFormat="false" ht="15" hidden="false" customHeight="false" outlineLevel="0" collapsed="false">
      <c r="A2620" s="10" t="n">
        <v>2614</v>
      </c>
      <c r="B2620" s="12" t="s">
        <v>3996</v>
      </c>
      <c r="C2620" s="12" t="s">
        <v>3997</v>
      </c>
      <c r="D2620" s="13"/>
      <c r="E2620" s="14"/>
      <c r="F2620" s="15" t="str">
        <f aca="false">IF(D2620="","",ROUND((D2620-MIN($D$7:$D$9999))*86400,2))</f>
        <v/>
      </c>
      <c r="G2620" s="10" t="str">
        <f aca="false">IF(D2620="","",IF(D2620&lt;=($E$3*60+$F$3)/86400,"○",""))</f>
        <v/>
      </c>
      <c r="H2620" s="16" t="n">
        <v>0.00844872685185185</v>
      </c>
      <c r="I2620" s="17" t="n">
        <v>1291</v>
      </c>
      <c r="J2620" s="16"/>
      <c r="K2620" s="17"/>
      <c r="L2620" s="17" t="n">
        <f aca="false">COUNT(E2620,I2620,K2620)</f>
        <v>1</v>
      </c>
      <c r="M2620" s="18" t="n">
        <f aca="false">(D2620&lt;&gt;"")*(D2620&lt;=($E$3*60+$F$3)/86400)+(H2620&lt;&gt;"")*(H2620&lt;=($I$3*60+$J$3)/86400)+(J2620&lt;&gt;"")*(J2620&lt;=($M$3*60+$N$3)/86400)</f>
        <v>0</v>
      </c>
      <c r="N2620" s="20"/>
      <c r="O2620" s="20"/>
      <c r="P2620" s="20"/>
      <c r="Q2620" s="19"/>
    </row>
    <row r="2621" customFormat="false" ht="15" hidden="false" customHeight="false" outlineLevel="0" collapsed="false">
      <c r="A2621" s="10" t="n">
        <v>2615</v>
      </c>
      <c r="B2621" s="12" t="s">
        <v>3998</v>
      </c>
      <c r="C2621" s="12" t="s">
        <v>155</v>
      </c>
      <c r="D2621" s="13"/>
      <c r="E2621" s="14"/>
      <c r="F2621" s="15" t="str">
        <f aca="false">IF(D2621="","",ROUND((D2621-MIN($D$7:$D$9999))*86400,2))</f>
        <v/>
      </c>
      <c r="G2621" s="10" t="str">
        <f aca="false">IF(D2621="","",IF(D2621&lt;=($E$3*60+$F$3)/86400,"○",""))</f>
        <v/>
      </c>
      <c r="H2621" s="16"/>
      <c r="I2621" s="17"/>
      <c r="J2621" s="16" t="n">
        <v>0.00296527777777778</v>
      </c>
      <c r="K2621" s="17" t="n">
        <v>1291</v>
      </c>
      <c r="L2621" s="17" t="n">
        <f aca="false">COUNT(E2621,I2621,K2621)</f>
        <v>1</v>
      </c>
      <c r="M2621" s="18" t="n">
        <f aca="false">(D2621&lt;&gt;"")*(D2621&lt;=($E$3*60+$F$3)/86400)+(H2621&lt;&gt;"")*(H2621&lt;=($I$3*60+$J$3)/86400)+(J2621&lt;&gt;"")*(J2621&lt;=($M$3*60+$N$3)/86400)</f>
        <v>0</v>
      </c>
      <c r="N2621" s="20"/>
      <c r="O2621" s="20"/>
      <c r="P2621" s="20"/>
      <c r="Q2621" s="19"/>
    </row>
    <row r="2622" customFormat="false" ht="15" hidden="false" customHeight="false" outlineLevel="0" collapsed="false">
      <c r="A2622" s="10" t="n">
        <v>2616</v>
      </c>
      <c r="B2622" s="12" t="s">
        <v>3999</v>
      </c>
      <c r="C2622" s="12" t="s">
        <v>4000</v>
      </c>
      <c r="D2622" s="13"/>
      <c r="E2622" s="14"/>
      <c r="F2622" s="15" t="str">
        <f aca="false">IF(D2622="","",ROUND((D2622-MIN($D$7:$D$9999))*86400,2))</f>
        <v/>
      </c>
      <c r="G2622" s="10" t="str">
        <f aca="false">IF(D2622="","",IF(D2622&lt;=($E$3*60+$F$3)/86400,"○",""))</f>
        <v/>
      </c>
      <c r="H2622" s="16" t="n">
        <v>0.00845428240740741</v>
      </c>
      <c r="I2622" s="17" t="n">
        <v>1292</v>
      </c>
      <c r="J2622" s="16"/>
      <c r="K2622" s="17"/>
      <c r="L2622" s="17" t="n">
        <f aca="false">COUNT(E2622,I2622,K2622)</f>
        <v>1</v>
      </c>
      <c r="M2622" s="18" t="n">
        <f aca="false">(D2622&lt;&gt;"")*(D2622&lt;=($E$3*60+$F$3)/86400)+(H2622&lt;&gt;"")*(H2622&lt;=($I$3*60+$J$3)/86400)+(J2622&lt;&gt;"")*(J2622&lt;=($M$3*60+$N$3)/86400)</f>
        <v>0</v>
      </c>
      <c r="N2622" s="20"/>
      <c r="O2622" s="20"/>
      <c r="P2622" s="20"/>
      <c r="Q2622" s="19"/>
    </row>
    <row r="2623" customFormat="false" ht="15" hidden="false" customHeight="false" outlineLevel="0" collapsed="false">
      <c r="A2623" s="10" t="n">
        <v>2617</v>
      </c>
      <c r="B2623" s="12" t="s">
        <v>4001</v>
      </c>
      <c r="C2623" s="12" t="s">
        <v>3452</v>
      </c>
      <c r="D2623" s="13"/>
      <c r="E2623" s="14"/>
      <c r="F2623" s="15" t="str">
        <f aca="false">IF(D2623="","",ROUND((D2623-MIN($D$7:$D$9999))*86400,2))</f>
        <v/>
      </c>
      <c r="G2623" s="10" t="str">
        <f aca="false">IF(D2623="","",IF(D2623&lt;=($E$3*60+$F$3)/86400,"○",""))</f>
        <v/>
      </c>
      <c r="H2623" s="16"/>
      <c r="I2623" s="17"/>
      <c r="J2623" s="16" t="n">
        <v>0.00296550925925926</v>
      </c>
      <c r="K2623" s="17" t="n">
        <v>1292</v>
      </c>
      <c r="L2623" s="17" t="n">
        <f aca="false">COUNT(E2623,I2623,K2623)</f>
        <v>1</v>
      </c>
      <c r="M2623" s="18" t="n">
        <f aca="false">(D2623&lt;&gt;"")*(D2623&lt;=($E$3*60+$F$3)/86400)+(H2623&lt;&gt;"")*(H2623&lt;=($I$3*60+$J$3)/86400)+(J2623&lt;&gt;"")*(J2623&lt;=($M$3*60+$N$3)/86400)</f>
        <v>0</v>
      </c>
      <c r="N2623" s="20"/>
      <c r="O2623" s="20"/>
      <c r="P2623" s="20"/>
      <c r="Q2623" s="19"/>
    </row>
    <row r="2624" customFormat="false" ht="15" hidden="false" customHeight="false" outlineLevel="0" collapsed="false">
      <c r="A2624" s="10" t="n">
        <v>2618</v>
      </c>
      <c r="B2624" s="12" t="s">
        <v>4002</v>
      </c>
      <c r="C2624" s="12" t="s">
        <v>2060</v>
      </c>
      <c r="D2624" s="13"/>
      <c r="E2624" s="14"/>
      <c r="F2624" s="15" t="str">
        <f aca="false">IF(D2624="","",ROUND((D2624-MIN($D$7:$D$9999))*86400,2))</f>
        <v/>
      </c>
      <c r="G2624" s="10" t="str">
        <f aca="false">IF(D2624="","",IF(D2624&lt;=($E$3*60+$F$3)/86400,"○",""))</f>
        <v/>
      </c>
      <c r="H2624" s="16" t="n">
        <v>0.00846331018518519</v>
      </c>
      <c r="I2624" s="17" t="n">
        <v>1293</v>
      </c>
      <c r="J2624" s="16"/>
      <c r="K2624" s="17"/>
      <c r="L2624" s="17" t="n">
        <f aca="false">COUNT(E2624,I2624,K2624)</f>
        <v>1</v>
      </c>
      <c r="M2624" s="18" t="n">
        <f aca="false">(D2624&lt;&gt;"")*(D2624&lt;=($E$3*60+$F$3)/86400)+(H2624&lt;&gt;"")*(H2624&lt;=($I$3*60+$J$3)/86400)+(J2624&lt;&gt;"")*(J2624&lt;=($M$3*60+$N$3)/86400)</f>
        <v>0</v>
      </c>
      <c r="N2624" s="20"/>
      <c r="O2624" s="20"/>
      <c r="P2624" s="20"/>
      <c r="Q2624" s="19"/>
    </row>
    <row r="2625" customFormat="false" ht="15" hidden="false" customHeight="false" outlineLevel="0" collapsed="false">
      <c r="A2625" s="10" t="n">
        <v>2619</v>
      </c>
      <c r="B2625" s="12" t="s">
        <v>4003</v>
      </c>
      <c r="C2625" s="12" t="s">
        <v>65</v>
      </c>
      <c r="D2625" s="13"/>
      <c r="E2625" s="14"/>
      <c r="F2625" s="15" t="str">
        <f aca="false">IF(D2625="","",ROUND((D2625-MIN($D$7:$D$9999))*86400,2))</f>
        <v/>
      </c>
      <c r="G2625" s="10" t="str">
        <f aca="false">IF(D2625="","",IF(D2625&lt;=($E$3*60+$F$3)/86400,"○",""))</f>
        <v/>
      </c>
      <c r="H2625" s="16"/>
      <c r="I2625" s="17"/>
      <c r="J2625" s="16" t="n">
        <v>0.00296550925925926</v>
      </c>
      <c r="K2625" s="17" t="n">
        <v>1293</v>
      </c>
      <c r="L2625" s="17" t="n">
        <f aca="false">COUNT(E2625,I2625,K2625)</f>
        <v>1</v>
      </c>
      <c r="M2625" s="18" t="n">
        <f aca="false">(D2625&lt;&gt;"")*(D2625&lt;=($E$3*60+$F$3)/86400)+(H2625&lt;&gt;"")*(H2625&lt;=($I$3*60+$J$3)/86400)+(J2625&lt;&gt;"")*(J2625&lt;=($M$3*60+$N$3)/86400)</f>
        <v>0</v>
      </c>
      <c r="N2625" s="20"/>
      <c r="O2625" s="20"/>
      <c r="P2625" s="20"/>
      <c r="Q2625" s="19"/>
    </row>
    <row r="2626" customFormat="false" ht="15" hidden="false" customHeight="false" outlineLevel="0" collapsed="false">
      <c r="A2626" s="10" t="n">
        <v>2620</v>
      </c>
      <c r="B2626" s="12" t="s">
        <v>4004</v>
      </c>
      <c r="C2626" s="12" t="s">
        <v>2112</v>
      </c>
      <c r="D2626" s="13"/>
      <c r="E2626" s="14"/>
      <c r="F2626" s="15" t="str">
        <f aca="false">IF(D2626="","",ROUND((D2626-MIN($D$7:$D$9999))*86400,2))</f>
        <v/>
      </c>
      <c r="G2626" s="10" t="str">
        <f aca="false">IF(D2626="","",IF(D2626&lt;=($E$3*60+$F$3)/86400,"○",""))</f>
        <v/>
      </c>
      <c r="H2626" s="16" t="n">
        <v>0.00846493055555556</v>
      </c>
      <c r="I2626" s="17" t="n">
        <v>1294</v>
      </c>
      <c r="J2626" s="16"/>
      <c r="K2626" s="17"/>
      <c r="L2626" s="17" t="n">
        <f aca="false">COUNT(E2626,I2626,K2626)</f>
        <v>1</v>
      </c>
      <c r="M2626" s="18" t="n">
        <f aca="false">(D2626&lt;&gt;"")*(D2626&lt;=($E$3*60+$F$3)/86400)+(H2626&lt;&gt;"")*(H2626&lt;=($I$3*60+$J$3)/86400)+(J2626&lt;&gt;"")*(J2626&lt;=($M$3*60+$N$3)/86400)</f>
        <v>0</v>
      </c>
      <c r="N2626" s="20"/>
      <c r="O2626" s="20"/>
      <c r="P2626" s="20"/>
      <c r="Q2626" s="19"/>
    </row>
    <row r="2627" customFormat="false" ht="15" hidden="false" customHeight="false" outlineLevel="0" collapsed="false">
      <c r="A2627" s="10" t="n">
        <v>2621</v>
      </c>
      <c r="B2627" s="12" t="s">
        <v>4005</v>
      </c>
      <c r="C2627" s="12" t="s">
        <v>1259</v>
      </c>
      <c r="D2627" s="13"/>
      <c r="E2627" s="14"/>
      <c r="F2627" s="15" t="str">
        <f aca="false">IF(D2627="","",ROUND((D2627-MIN($D$7:$D$9999))*86400,2))</f>
        <v/>
      </c>
      <c r="G2627" s="10" t="str">
        <f aca="false">IF(D2627="","",IF(D2627&lt;=($E$3*60+$F$3)/86400,"○",""))</f>
        <v/>
      </c>
      <c r="H2627" s="16" t="n">
        <v>0.00847916666666667</v>
      </c>
      <c r="I2627" s="17" t="n">
        <v>1295</v>
      </c>
      <c r="J2627" s="16"/>
      <c r="K2627" s="17"/>
      <c r="L2627" s="17" t="n">
        <f aca="false">COUNT(E2627,I2627,K2627)</f>
        <v>1</v>
      </c>
      <c r="M2627" s="18" t="n">
        <f aca="false">(D2627&lt;&gt;"")*(D2627&lt;=($E$3*60+$F$3)/86400)+(H2627&lt;&gt;"")*(H2627&lt;=($I$3*60+$J$3)/86400)+(J2627&lt;&gt;"")*(J2627&lt;=($M$3*60+$N$3)/86400)</f>
        <v>0</v>
      </c>
      <c r="N2627" s="20"/>
      <c r="O2627" s="20"/>
      <c r="P2627" s="20"/>
      <c r="Q2627" s="19"/>
    </row>
    <row r="2628" customFormat="false" ht="15" hidden="false" customHeight="false" outlineLevel="0" collapsed="false">
      <c r="A2628" s="10" t="n">
        <v>2622</v>
      </c>
      <c r="B2628" s="12" t="s">
        <v>4006</v>
      </c>
      <c r="C2628" s="12" t="s">
        <v>3028</v>
      </c>
      <c r="D2628" s="13"/>
      <c r="E2628" s="14"/>
      <c r="F2628" s="15" t="str">
        <f aca="false">IF(D2628="","",ROUND((D2628-MIN($D$7:$D$9999))*86400,2))</f>
        <v/>
      </c>
      <c r="G2628" s="10" t="str">
        <f aca="false">IF(D2628="","",IF(D2628&lt;=($E$3*60+$F$3)/86400,"○",""))</f>
        <v/>
      </c>
      <c r="H2628" s="16" t="n">
        <v>0.0084880787037037</v>
      </c>
      <c r="I2628" s="17" t="n">
        <v>1296</v>
      </c>
      <c r="J2628" s="16"/>
      <c r="K2628" s="17"/>
      <c r="L2628" s="17" t="n">
        <f aca="false">COUNT(E2628,I2628,K2628)</f>
        <v>1</v>
      </c>
      <c r="M2628" s="18" t="n">
        <f aca="false">(D2628&lt;&gt;"")*(D2628&lt;=($E$3*60+$F$3)/86400)+(H2628&lt;&gt;"")*(H2628&lt;=($I$3*60+$J$3)/86400)+(J2628&lt;&gt;"")*(J2628&lt;=($M$3*60+$N$3)/86400)</f>
        <v>0</v>
      </c>
      <c r="N2628" s="20"/>
      <c r="O2628" s="20"/>
      <c r="P2628" s="20"/>
      <c r="Q2628" s="19"/>
    </row>
    <row r="2629" customFormat="false" ht="15" hidden="false" customHeight="false" outlineLevel="0" collapsed="false">
      <c r="A2629" s="10" t="n">
        <v>2623</v>
      </c>
      <c r="B2629" s="12" t="s">
        <v>4007</v>
      </c>
      <c r="C2629" s="12" t="s">
        <v>3980</v>
      </c>
      <c r="D2629" s="13"/>
      <c r="E2629" s="14"/>
      <c r="F2629" s="15" t="str">
        <f aca="false">IF(D2629="","",ROUND((D2629-MIN($D$7:$D$9999))*86400,2))</f>
        <v/>
      </c>
      <c r="G2629" s="10" t="str">
        <f aca="false">IF(D2629="","",IF(D2629&lt;=($E$3*60+$F$3)/86400,"○",""))</f>
        <v/>
      </c>
      <c r="H2629" s="16" t="n">
        <v>0.0084880787037037</v>
      </c>
      <c r="I2629" s="17" t="n">
        <v>1297</v>
      </c>
      <c r="J2629" s="16"/>
      <c r="K2629" s="17"/>
      <c r="L2629" s="17" t="n">
        <f aca="false">COUNT(E2629,I2629,K2629)</f>
        <v>1</v>
      </c>
      <c r="M2629" s="18" t="n">
        <f aca="false">(D2629&lt;&gt;"")*(D2629&lt;=($E$3*60+$F$3)/86400)+(H2629&lt;&gt;"")*(H2629&lt;=($I$3*60+$J$3)/86400)+(J2629&lt;&gt;"")*(J2629&lt;=($M$3*60+$N$3)/86400)</f>
        <v>0</v>
      </c>
      <c r="N2629" s="20"/>
      <c r="O2629" s="20"/>
      <c r="P2629" s="20"/>
      <c r="Q2629" s="19"/>
    </row>
    <row r="2630" customFormat="false" ht="15" hidden="false" customHeight="false" outlineLevel="0" collapsed="false">
      <c r="A2630" s="10" t="n">
        <v>2624</v>
      </c>
      <c r="B2630" s="12" t="s">
        <v>4008</v>
      </c>
      <c r="C2630" s="12" t="s">
        <v>4009</v>
      </c>
      <c r="D2630" s="13"/>
      <c r="E2630" s="14"/>
      <c r="F2630" s="15" t="str">
        <f aca="false">IF(D2630="","",ROUND((D2630-MIN($D$7:$D$9999))*86400,2))</f>
        <v/>
      </c>
      <c r="G2630" s="10" t="str">
        <f aca="false">IF(D2630="","",IF(D2630&lt;=($E$3*60+$F$3)/86400,"○",""))</f>
        <v/>
      </c>
      <c r="H2630" s="16" t="n">
        <v>0.0084931712962963</v>
      </c>
      <c r="I2630" s="17" t="n">
        <v>1298</v>
      </c>
      <c r="J2630" s="16"/>
      <c r="K2630" s="17"/>
      <c r="L2630" s="17" t="n">
        <f aca="false">COUNT(E2630,I2630,K2630)</f>
        <v>1</v>
      </c>
      <c r="M2630" s="18" t="n">
        <f aca="false">(D2630&lt;&gt;"")*(D2630&lt;=($E$3*60+$F$3)/86400)+(H2630&lt;&gt;"")*(H2630&lt;=($I$3*60+$J$3)/86400)+(J2630&lt;&gt;"")*(J2630&lt;=($M$3*60+$N$3)/86400)</f>
        <v>0</v>
      </c>
      <c r="N2630" s="20"/>
      <c r="O2630" s="20"/>
      <c r="P2630" s="20"/>
      <c r="Q2630" s="19"/>
    </row>
    <row r="2631" customFormat="false" ht="15" hidden="false" customHeight="false" outlineLevel="0" collapsed="false">
      <c r="A2631" s="10" t="n">
        <v>2625</v>
      </c>
      <c r="B2631" s="12" t="s">
        <v>4010</v>
      </c>
      <c r="C2631" s="12" t="s">
        <v>824</v>
      </c>
      <c r="D2631" s="13"/>
      <c r="E2631" s="14"/>
      <c r="F2631" s="15" t="str">
        <f aca="false">IF(D2631="","",ROUND((D2631-MIN($D$7:$D$9999))*86400,2))</f>
        <v/>
      </c>
      <c r="G2631" s="10" t="str">
        <f aca="false">IF(D2631="","",IF(D2631&lt;=($E$3*60+$F$3)/86400,"○",""))</f>
        <v/>
      </c>
      <c r="H2631" s="16" t="n">
        <v>0.00849803240740741</v>
      </c>
      <c r="I2631" s="17" t="n">
        <v>1299</v>
      </c>
      <c r="J2631" s="16"/>
      <c r="K2631" s="17"/>
      <c r="L2631" s="17" t="n">
        <f aca="false">COUNT(E2631,I2631,K2631)</f>
        <v>1</v>
      </c>
      <c r="M2631" s="18" t="n">
        <f aca="false">(D2631&lt;&gt;"")*(D2631&lt;=($E$3*60+$F$3)/86400)+(H2631&lt;&gt;"")*(H2631&lt;=($I$3*60+$J$3)/86400)+(J2631&lt;&gt;"")*(J2631&lt;=($M$3*60+$N$3)/86400)</f>
        <v>0</v>
      </c>
      <c r="N2631" s="20"/>
      <c r="O2631" s="20"/>
      <c r="P2631" s="20"/>
      <c r="Q2631" s="19"/>
    </row>
    <row r="2632" customFormat="false" ht="15" hidden="false" customHeight="false" outlineLevel="0" collapsed="false">
      <c r="A2632" s="10" t="n">
        <v>2626</v>
      </c>
      <c r="B2632" s="12" t="s">
        <v>4011</v>
      </c>
      <c r="C2632" s="12" t="s">
        <v>214</v>
      </c>
      <c r="D2632" s="13"/>
      <c r="E2632" s="14"/>
      <c r="F2632" s="15" t="str">
        <f aca="false">IF(D2632="","",ROUND((D2632-MIN($D$7:$D$9999))*86400,2))</f>
        <v/>
      </c>
      <c r="G2632" s="10" t="str">
        <f aca="false">IF(D2632="","",IF(D2632&lt;=($E$3*60+$F$3)/86400,"○",""))</f>
        <v/>
      </c>
      <c r="H2632" s="16"/>
      <c r="I2632" s="17"/>
      <c r="J2632" s="16" t="n">
        <v>0.00296701388888889</v>
      </c>
      <c r="K2632" s="17" t="n">
        <v>1299</v>
      </c>
      <c r="L2632" s="17" t="n">
        <f aca="false">COUNT(E2632,I2632,K2632)</f>
        <v>1</v>
      </c>
      <c r="M2632" s="18" t="n">
        <f aca="false">(D2632&lt;&gt;"")*(D2632&lt;=($E$3*60+$F$3)/86400)+(H2632&lt;&gt;"")*(H2632&lt;=($I$3*60+$J$3)/86400)+(J2632&lt;&gt;"")*(J2632&lt;=($M$3*60+$N$3)/86400)</f>
        <v>0</v>
      </c>
      <c r="N2632" s="20"/>
      <c r="O2632" s="20"/>
      <c r="P2632" s="20"/>
      <c r="Q2632" s="19"/>
    </row>
    <row r="2633" customFormat="false" ht="15" hidden="false" customHeight="false" outlineLevel="0" collapsed="false">
      <c r="A2633" s="10" t="n">
        <v>2627</v>
      </c>
      <c r="B2633" s="12" t="s">
        <v>4012</v>
      </c>
      <c r="C2633" s="12" t="s">
        <v>4013</v>
      </c>
      <c r="D2633" s="13"/>
      <c r="E2633" s="14"/>
      <c r="F2633" s="15" t="str">
        <f aca="false">IF(D2633="","",ROUND((D2633-MIN($D$7:$D$9999))*86400,2))</f>
        <v/>
      </c>
      <c r="G2633" s="10" t="str">
        <f aca="false">IF(D2633="","",IF(D2633&lt;=($E$3*60+$F$3)/86400,"○",""))</f>
        <v/>
      </c>
      <c r="H2633" s="16" t="n">
        <v>0.00849953703703704</v>
      </c>
      <c r="I2633" s="17" t="n">
        <v>1300</v>
      </c>
      <c r="J2633" s="16"/>
      <c r="K2633" s="17"/>
      <c r="L2633" s="17" t="n">
        <f aca="false">COUNT(E2633,I2633,K2633)</f>
        <v>1</v>
      </c>
      <c r="M2633" s="18" t="n">
        <f aca="false">(D2633&lt;&gt;"")*(D2633&lt;=($E$3*60+$F$3)/86400)+(H2633&lt;&gt;"")*(H2633&lt;=($I$3*60+$J$3)/86400)+(J2633&lt;&gt;"")*(J2633&lt;=($M$3*60+$N$3)/86400)</f>
        <v>0</v>
      </c>
      <c r="N2633" s="20"/>
      <c r="O2633" s="20"/>
      <c r="P2633" s="20"/>
      <c r="Q2633" s="19"/>
    </row>
    <row r="2634" customFormat="false" ht="15" hidden="false" customHeight="false" outlineLevel="0" collapsed="false">
      <c r="A2634" s="10" t="n">
        <v>2628</v>
      </c>
      <c r="B2634" s="12" t="s">
        <v>4014</v>
      </c>
      <c r="C2634" s="12" t="s">
        <v>4015</v>
      </c>
      <c r="D2634" s="13"/>
      <c r="E2634" s="14"/>
      <c r="F2634" s="15" t="str">
        <f aca="false">IF(D2634="","",ROUND((D2634-MIN($D$7:$D$9999))*86400,2))</f>
        <v/>
      </c>
      <c r="G2634" s="10" t="str">
        <f aca="false">IF(D2634="","",IF(D2634&lt;=($E$3*60+$F$3)/86400,"○",""))</f>
        <v/>
      </c>
      <c r="H2634" s="16" t="n">
        <v>0.00851365740740741</v>
      </c>
      <c r="I2634" s="17" t="n">
        <v>1301</v>
      </c>
      <c r="J2634" s="16"/>
      <c r="K2634" s="17"/>
      <c r="L2634" s="17" t="n">
        <f aca="false">COUNT(E2634,I2634,K2634)</f>
        <v>1</v>
      </c>
      <c r="M2634" s="18" t="n">
        <f aca="false">(D2634&lt;&gt;"")*(D2634&lt;=($E$3*60+$F$3)/86400)+(H2634&lt;&gt;"")*(H2634&lt;=($I$3*60+$J$3)/86400)+(J2634&lt;&gt;"")*(J2634&lt;=($M$3*60+$N$3)/86400)</f>
        <v>0</v>
      </c>
      <c r="N2634" s="20"/>
      <c r="O2634" s="20"/>
      <c r="P2634" s="20"/>
      <c r="Q2634" s="19"/>
    </row>
    <row r="2635" customFormat="false" ht="15" hidden="false" customHeight="false" outlineLevel="0" collapsed="false">
      <c r="A2635" s="10" t="n">
        <v>2629</v>
      </c>
      <c r="B2635" s="12" t="s">
        <v>4016</v>
      </c>
      <c r="C2635" s="12" t="s">
        <v>2270</v>
      </c>
      <c r="D2635" s="13"/>
      <c r="E2635" s="14"/>
      <c r="F2635" s="15" t="str">
        <f aca="false">IF(D2635="","",ROUND((D2635-MIN($D$7:$D$9999))*86400,2))</f>
        <v/>
      </c>
      <c r="G2635" s="10" t="str">
        <f aca="false">IF(D2635="","",IF(D2635&lt;=($E$3*60+$F$3)/86400,"○",""))</f>
        <v/>
      </c>
      <c r="H2635" s="16"/>
      <c r="I2635" s="17"/>
      <c r="J2635" s="16" t="n">
        <v>0.00296759259259259</v>
      </c>
      <c r="K2635" s="17" t="n">
        <v>1301</v>
      </c>
      <c r="L2635" s="17" t="n">
        <f aca="false">COUNT(E2635,I2635,K2635)</f>
        <v>1</v>
      </c>
      <c r="M2635" s="18" t="n">
        <f aca="false">(D2635&lt;&gt;"")*(D2635&lt;=($E$3*60+$F$3)/86400)+(H2635&lt;&gt;"")*(H2635&lt;=($I$3*60+$J$3)/86400)+(J2635&lt;&gt;"")*(J2635&lt;=($M$3*60+$N$3)/86400)</f>
        <v>0</v>
      </c>
      <c r="N2635" s="20"/>
      <c r="O2635" s="20"/>
      <c r="P2635" s="20"/>
      <c r="Q2635" s="19"/>
    </row>
    <row r="2636" customFormat="false" ht="15" hidden="false" customHeight="false" outlineLevel="0" collapsed="false">
      <c r="A2636" s="10" t="n">
        <v>2630</v>
      </c>
      <c r="B2636" s="12" t="s">
        <v>4017</v>
      </c>
      <c r="C2636" s="12" t="s">
        <v>4018</v>
      </c>
      <c r="D2636" s="13"/>
      <c r="E2636" s="14"/>
      <c r="F2636" s="15" t="str">
        <f aca="false">IF(D2636="","",ROUND((D2636-MIN($D$7:$D$9999))*86400,2))</f>
        <v/>
      </c>
      <c r="G2636" s="10" t="str">
        <f aca="false">IF(D2636="","",IF(D2636&lt;=($E$3*60+$F$3)/86400,"○",""))</f>
        <v/>
      </c>
      <c r="H2636" s="16" t="n">
        <v>0.00853715277777778</v>
      </c>
      <c r="I2636" s="17" t="n">
        <v>1302</v>
      </c>
      <c r="J2636" s="16"/>
      <c r="K2636" s="17"/>
      <c r="L2636" s="17" t="n">
        <f aca="false">COUNT(E2636,I2636,K2636)</f>
        <v>1</v>
      </c>
      <c r="M2636" s="18" t="n">
        <f aca="false">(D2636&lt;&gt;"")*(D2636&lt;=($E$3*60+$F$3)/86400)+(H2636&lt;&gt;"")*(H2636&lt;=($I$3*60+$J$3)/86400)+(J2636&lt;&gt;"")*(J2636&lt;=($M$3*60+$N$3)/86400)</f>
        <v>0</v>
      </c>
      <c r="N2636" s="20"/>
      <c r="O2636" s="20"/>
      <c r="P2636" s="20"/>
      <c r="Q2636" s="19"/>
    </row>
    <row r="2637" customFormat="false" ht="15" hidden="false" customHeight="false" outlineLevel="0" collapsed="false">
      <c r="A2637" s="10" t="n">
        <v>2631</v>
      </c>
      <c r="B2637" s="12" t="s">
        <v>4019</v>
      </c>
      <c r="C2637" s="12" t="s">
        <v>2372</v>
      </c>
      <c r="D2637" s="13"/>
      <c r="E2637" s="14"/>
      <c r="F2637" s="15" t="str">
        <f aca="false">IF(D2637="","",ROUND((D2637-MIN($D$7:$D$9999))*86400,2))</f>
        <v/>
      </c>
      <c r="G2637" s="10" t="str">
        <f aca="false">IF(D2637="","",IF(D2637&lt;=($E$3*60+$F$3)/86400,"○",""))</f>
        <v/>
      </c>
      <c r="H2637" s="16"/>
      <c r="I2637" s="17"/>
      <c r="J2637" s="16" t="n">
        <v>0.00296782407407407</v>
      </c>
      <c r="K2637" s="17" t="n">
        <v>1302</v>
      </c>
      <c r="L2637" s="17" t="n">
        <f aca="false">COUNT(E2637,I2637,K2637)</f>
        <v>1</v>
      </c>
      <c r="M2637" s="18" t="n">
        <f aca="false">(D2637&lt;&gt;"")*(D2637&lt;=($E$3*60+$F$3)/86400)+(H2637&lt;&gt;"")*(H2637&lt;=($I$3*60+$J$3)/86400)+(J2637&lt;&gt;"")*(J2637&lt;=($M$3*60+$N$3)/86400)</f>
        <v>0</v>
      </c>
      <c r="N2637" s="20"/>
      <c r="O2637" s="20"/>
      <c r="P2637" s="20"/>
      <c r="Q2637" s="19"/>
    </row>
    <row r="2638" customFormat="false" ht="15" hidden="false" customHeight="false" outlineLevel="0" collapsed="false">
      <c r="A2638" s="10" t="n">
        <v>2632</v>
      </c>
      <c r="B2638" s="12" t="s">
        <v>4020</v>
      </c>
      <c r="C2638" s="12" t="s">
        <v>4021</v>
      </c>
      <c r="D2638" s="13"/>
      <c r="E2638" s="14"/>
      <c r="F2638" s="15" t="str">
        <f aca="false">IF(D2638="","",ROUND((D2638-MIN($D$7:$D$9999))*86400,2))</f>
        <v/>
      </c>
      <c r="G2638" s="10" t="str">
        <f aca="false">IF(D2638="","",IF(D2638&lt;=($E$3*60+$F$3)/86400,"○",""))</f>
        <v/>
      </c>
      <c r="H2638" s="16" t="n">
        <v>0.0085380787037037</v>
      </c>
      <c r="I2638" s="17" t="n">
        <v>1303</v>
      </c>
      <c r="J2638" s="16"/>
      <c r="K2638" s="17"/>
      <c r="L2638" s="17" t="n">
        <f aca="false">COUNT(E2638,I2638,K2638)</f>
        <v>1</v>
      </c>
      <c r="M2638" s="18" t="n">
        <f aca="false">(D2638&lt;&gt;"")*(D2638&lt;=($E$3*60+$F$3)/86400)+(H2638&lt;&gt;"")*(H2638&lt;=($I$3*60+$J$3)/86400)+(J2638&lt;&gt;"")*(J2638&lt;=($M$3*60+$N$3)/86400)</f>
        <v>0</v>
      </c>
      <c r="N2638" s="20"/>
      <c r="O2638" s="20"/>
      <c r="P2638" s="20"/>
      <c r="Q2638" s="19"/>
    </row>
    <row r="2639" customFormat="false" ht="15" hidden="false" customHeight="false" outlineLevel="0" collapsed="false">
      <c r="A2639" s="10" t="n">
        <v>2633</v>
      </c>
      <c r="B2639" s="12" t="s">
        <v>4022</v>
      </c>
      <c r="C2639" s="12" t="s">
        <v>4023</v>
      </c>
      <c r="D2639" s="13"/>
      <c r="E2639" s="14"/>
      <c r="F2639" s="15" t="str">
        <f aca="false">IF(D2639="","",ROUND((D2639-MIN($D$7:$D$9999))*86400,2))</f>
        <v/>
      </c>
      <c r="G2639" s="10" t="str">
        <f aca="false">IF(D2639="","",IF(D2639&lt;=($E$3*60+$F$3)/86400,"○",""))</f>
        <v/>
      </c>
      <c r="H2639" s="16"/>
      <c r="I2639" s="17"/>
      <c r="J2639" s="16" t="n">
        <v>0.00296863425925926</v>
      </c>
      <c r="K2639" s="17" t="n">
        <v>1303</v>
      </c>
      <c r="L2639" s="17" t="n">
        <f aca="false">COUNT(E2639,I2639,K2639)</f>
        <v>1</v>
      </c>
      <c r="M2639" s="18" t="n">
        <f aca="false">(D2639&lt;&gt;"")*(D2639&lt;=($E$3*60+$F$3)/86400)+(H2639&lt;&gt;"")*(H2639&lt;=($I$3*60+$J$3)/86400)+(J2639&lt;&gt;"")*(J2639&lt;=($M$3*60+$N$3)/86400)</f>
        <v>0</v>
      </c>
      <c r="N2639" s="20"/>
      <c r="O2639" s="20"/>
      <c r="P2639" s="20"/>
      <c r="Q2639" s="19"/>
    </row>
    <row r="2640" customFormat="false" ht="15" hidden="false" customHeight="false" outlineLevel="0" collapsed="false">
      <c r="A2640" s="10" t="n">
        <v>2634</v>
      </c>
      <c r="B2640" s="12" t="s">
        <v>4024</v>
      </c>
      <c r="C2640" s="12" t="s">
        <v>4025</v>
      </c>
      <c r="D2640" s="13"/>
      <c r="E2640" s="14"/>
      <c r="F2640" s="15" t="str">
        <f aca="false">IF(D2640="","",ROUND((D2640-MIN($D$7:$D$9999))*86400,2))</f>
        <v/>
      </c>
      <c r="G2640" s="10" t="str">
        <f aca="false">IF(D2640="","",IF(D2640&lt;=($E$3*60+$F$3)/86400,"○",""))</f>
        <v/>
      </c>
      <c r="H2640" s="16" t="n">
        <v>0.00854097222222222</v>
      </c>
      <c r="I2640" s="17" t="n">
        <v>1304</v>
      </c>
      <c r="J2640" s="16"/>
      <c r="K2640" s="17"/>
      <c r="L2640" s="17" t="n">
        <f aca="false">COUNT(E2640,I2640,K2640)</f>
        <v>1</v>
      </c>
      <c r="M2640" s="18" t="n">
        <f aca="false">(D2640&lt;&gt;"")*(D2640&lt;=($E$3*60+$F$3)/86400)+(H2640&lt;&gt;"")*(H2640&lt;=($I$3*60+$J$3)/86400)+(J2640&lt;&gt;"")*(J2640&lt;=($M$3*60+$N$3)/86400)</f>
        <v>0</v>
      </c>
      <c r="N2640" s="20"/>
      <c r="O2640" s="20"/>
      <c r="P2640" s="20"/>
      <c r="Q2640" s="19"/>
    </row>
    <row r="2641" customFormat="false" ht="15" hidden="false" customHeight="false" outlineLevel="0" collapsed="false">
      <c r="A2641" s="10" t="n">
        <v>2635</v>
      </c>
      <c r="B2641" s="12" t="s">
        <v>4026</v>
      </c>
      <c r="C2641" s="12" t="s">
        <v>4027</v>
      </c>
      <c r="D2641" s="13"/>
      <c r="E2641" s="14"/>
      <c r="F2641" s="15" t="str">
        <f aca="false">IF(D2641="","",ROUND((D2641-MIN($D$7:$D$9999))*86400,2))</f>
        <v/>
      </c>
      <c r="G2641" s="10" t="str">
        <f aca="false">IF(D2641="","",IF(D2641&lt;=($E$3*60+$F$3)/86400,"○",""))</f>
        <v/>
      </c>
      <c r="H2641" s="16"/>
      <c r="I2641" s="17"/>
      <c r="J2641" s="16" t="n">
        <v>0.00296875</v>
      </c>
      <c r="K2641" s="17" t="n">
        <v>1304</v>
      </c>
      <c r="L2641" s="17" t="n">
        <f aca="false">COUNT(E2641,I2641,K2641)</f>
        <v>1</v>
      </c>
      <c r="M2641" s="18" t="n">
        <f aca="false">(D2641&lt;&gt;"")*(D2641&lt;=($E$3*60+$F$3)/86400)+(H2641&lt;&gt;"")*(H2641&lt;=($I$3*60+$J$3)/86400)+(J2641&lt;&gt;"")*(J2641&lt;=($M$3*60+$N$3)/86400)</f>
        <v>0</v>
      </c>
      <c r="N2641" s="20"/>
      <c r="O2641" s="20"/>
      <c r="P2641" s="20"/>
      <c r="Q2641" s="19"/>
    </row>
    <row r="2642" customFormat="false" ht="15" hidden="false" customHeight="false" outlineLevel="0" collapsed="false">
      <c r="A2642" s="10" t="n">
        <v>2636</v>
      </c>
      <c r="B2642" s="12" t="s">
        <v>4028</v>
      </c>
      <c r="C2642" s="12" t="s">
        <v>4029</v>
      </c>
      <c r="D2642" s="13"/>
      <c r="E2642" s="14"/>
      <c r="F2642" s="15" t="str">
        <f aca="false">IF(D2642="","",ROUND((D2642-MIN($D$7:$D$9999))*86400,2))</f>
        <v/>
      </c>
      <c r="G2642" s="10" t="str">
        <f aca="false">IF(D2642="","",IF(D2642&lt;=($E$3*60+$F$3)/86400,"○",""))</f>
        <v/>
      </c>
      <c r="H2642" s="16" t="n">
        <v>0.00855069444444444</v>
      </c>
      <c r="I2642" s="17" t="n">
        <v>1305</v>
      </c>
      <c r="J2642" s="16"/>
      <c r="K2642" s="17"/>
      <c r="L2642" s="17" t="n">
        <f aca="false">COUNT(E2642,I2642,K2642)</f>
        <v>1</v>
      </c>
      <c r="M2642" s="18" t="n">
        <f aca="false">(D2642&lt;&gt;"")*(D2642&lt;=($E$3*60+$F$3)/86400)+(H2642&lt;&gt;"")*(H2642&lt;=($I$3*60+$J$3)/86400)+(J2642&lt;&gt;"")*(J2642&lt;=($M$3*60+$N$3)/86400)</f>
        <v>0</v>
      </c>
      <c r="N2642" s="20"/>
      <c r="O2642" s="20"/>
      <c r="P2642" s="20"/>
      <c r="Q2642" s="19"/>
    </row>
    <row r="2643" customFormat="false" ht="15" hidden="false" customHeight="false" outlineLevel="0" collapsed="false">
      <c r="A2643" s="10" t="n">
        <v>2637</v>
      </c>
      <c r="B2643" s="12" t="s">
        <v>4030</v>
      </c>
      <c r="C2643" s="12" t="s">
        <v>4018</v>
      </c>
      <c r="D2643" s="13"/>
      <c r="E2643" s="14"/>
      <c r="F2643" s="15" t="str">
        <f aca="false">IF(D2643="","",ROUND((D2643-MIN($D$7:$D$9999))*86400,2))</f>
        <v/>
      </c>
      <c r="G2643" s="10" t="str">
        <f aca="false">IF(D2643="","",IF(D2643&lt;=($E$3*60+$F$3)/86400,"○",""))</f>
        <v/>
      </c>
      <c r="H2643" s="16" t="n">
        <v>0.00856365740740741</v>
      </c>
      <c r="I2643" s="17" t="n">
        <v>1306</v>
      </c>
      <c r="J2643" s="16"/>
      <c r="K2643" s="17"/>
      <c r="L2643" s="17" t="n">
        <f aca="false">COUNT(E2643,I2643,K2643)</f>
        <v>1</v>
      </c>
      <c r="M2643" s="18" t="n">
        <f aca="false">(D2643&lt;&gt;"")*(D2643&lt;=($E$3*60+$F$3)/86400)+(H2643&lt;&gt;"")*(H2643&lt;=($I$3*60+$J$3)/86400)+(J2643&lt;&gt;"")*(J2643&lt;=($M$3*60+$N$3)/86400)</f>
        <v>0</v>
      </c>
      <c r="N2643" s="20"/>
      <c r="O2643" s="20"/>
      <c r="P2643" s="20"/>
      <c r="Q2643" s="19"/>
    </row>
    <row r="2644" customFormat="false" ht="15" hidden="false" customHeight="false" outlineLevel="0" collapsed="false">
      <c r="A2644" s="10" t="n">
        <v>2638</v>
      </c>
      <c r="B2644" s="12" t="s">
        <v>4031</v>
      </c>
      <c r="C2644" s="12" t="s">
        <v>4032</v>
      </c>
      <c r="D2644" s="13"/>
      <c r="E2644" s="14"/>
      <c r="F2644" s="15" t="str">
        <f aca="false">IF(D2644="","",ROUND((D2644-MIN($D$7:$D$9999))*86400,2))</f>
        <v/>
      </c>
      <c r="G2644" s="10" t="str">
        <f aca="false">IF(D2644="","",IF(D2644&lt;=($E$3*60+$F$3)/86400,"○",""))</f>
        <v/>
      </c>
      <c r="H2644" s="16"/>
      <c r="I2644" s="17"/>
      <c r="J2644" s="16" t="n">
        <v>0.00296921296296296</v>
      </c>
      <c r="K2644" s="17" t="n">
        <v>1306</v>
      </c>
      <c r="L2644" s="17" t="n">
        <f aca="false">COUNT(E2644,I2644,K2644)</f>
        <v>1</v>
      </c>
      <c r="M2644" s="18" t="n">
        <f aca="false">(D2644&lt;&gt;"")*(D2644&lt;=($E$3*60+$F$3)/86400)+(H2644&lt;&gt;"")*(H2644&lt;=($I$3*60+$J$3)/86400)+(J2644&lt;&gt;"")*(J2644&lt;=($M$3*60+$N$3)/86400)</f>
        <v>0</v>
      </c>
      <c r="N2644" s="20"/>
      <c r="O2644" s="20"/>
      <c r="P2644" s="20"/>
      <c r="Q2644" s="19"/>
    </row>
    <row r="2645" customFormat="false" ht="15" hidden="false" customHeight="false" outlineLevel="0" collapsed="false">
      <c r="A2645" s="10" t="n">
        <v>2639</v>
      </c>
      <c r="B2645" s="12" t="s">
        <v>4033</v>
      </c>
      <c r="C2645" s="12" t="s">
        <v>4034</v>
      </c>
      <c r="D2645" s="13"/>
      <c r="E2645" s="14"/>
      <c r="F2645" s="15" t="str">
        <f aca="false">IF(D2645="","",ROUND((D2645-MIN($D$7:$D$9999))*86400,2))</f>
        <v/>
      </c>
      <c r="G2645" s="10" t="str">
        <f aca="false">IF(D2645="","",IF(D2645&lt;=($E$3*60+$F$3)/86400,"○",""))</f>
        <v/>
      </c>
      <c r="H2645" s="16" t="n">
        <v>0.00856388888888889</v>
      </c>
      <c r="I2645" s="17" t="n">
        <v>1307</v>
      </c>
      <c r="J2645" s="16"/>
      <c r="K2645" s="17"/>
      <c r="L2645" s="17" t="n">
        <f aca="false">COUNT(E2645,I2645,K2645)</f>
        <v>1</v>
      </c>
      <c r="M2645" s="18" t="n">
        <f aca="false">(D2645&lt;&gt;"")*(D2645&lt;=($E$3*60+$F$3)/86400)+(H2645&lt;&gt;"")*(H2645&lt;=($I$3*60+$J$3)/86400)+(J2645&lt;&gt;"")*(J2645&lt;=($M$3*60+$N$3)/86400)</f>
        <v>0</v>
      </c>
      <c r="N2645" s="20"/>
      <c r="O2645" s="20"/>
      <c r="P2645" s="20"/>
      <c r="Q2645" s="19"/>
    </row>
    <row r="2646" customFormat="false" ht="15" hidden="false" customHeight="false" outlineLevel="0" collapsed="false">
      <c r="A2646" s="10" t="n">
        <v>2640</v>
      </c>
      <c r="B2646" s="12" t="s">
        <v>4035</v>
      </c>
      <c r="C2646" s="12" t="s">
        <v>4036</v>
      </c>
      <c r="D2646" s="13"/>
      <c r="E2646" s="14"/>
      <c r="F2646" s="15" t="str">
        <f aca="false">IF(D2646="","",ROUND((D2646-MIN($D$7:$D$9999))*86400,2))</f>
        <v/>
      </c>
      <c r="G2646" s="10" t="str">
        <f aca="false">IF(D2646="","",IF(D2646&lt;=($E$3*60+$F$3)/86400,"○",""))</f>
        <v/>
      </c>
      <c r="H2646" s="16" t="n">
        <v>0.00856435185185185</v>
      </c>
      <c r="I2646" s="17" t="n">
        <v>1308</v>
      </c>
      <c r="J2646" s="16"/>
      <c r="K2646" s="17"/>
      <c r="L2646" s="17" t="n">
        <f aca="false">COUNT(E2646,I2646,K2646)</f>
        <v>1</v>
      </c>
      <c r="M2646" s="18" t="n">
        <f aca="false">(D2646&lt;&gt;"")*(D2646&lt;=($E$3*60+$F$3)/86400)+(H2646&lt;&gt;"")*(H2646&lt;=($I$3*60+$J$3)/86400)+(J2646&lt;&gt;"")*(J2646&lt;=($M$3*60+$N$3)/86400)</f>
        <v>0</v>
      </c>
      <c r="N2646" s="20"/>
      <c r="O2646" s="20"/>
      <c r="P2646" s="20"/>
      <c r="Q2646" s="19"/>
    </row>
    <row r="2647" customFormat="false" ht="15" hidden="false" customHeight="false" outlineLevel="0" collapsed="false">
      <c r="A2647" s="10" t="n">
        <v>2641</v>
      </c>
      <c r="B2647" s="12" t="s">
        <v>4037</v>
      </c>
      <c r="C2647" s="12" t="s">
        <v>2923</v>
      </c>
      <c r="D2647" s="13"/>
      <c r="E2647" s="14"/>
      <c r="F2647" s="15" t="str">
        <f aca="false">IF(D2647="","",ROUND((D2647-MIN($D$7:$D$9999))*86400,2))</f>
        <v/>
      </c>
      <c r="G2647" s="10" t="str">
        <f aca="false">IF(D2647="","",IF(D2647&lt;=($E$3*60+$F$3)/86400,"○",""))</f>
        <v/>
      </c>
      <c r="H2647" s="16"/>
      <c r="I2647" s="17"/>
      <c r="J2647" s="16" t="n">
        <v>0.00296944444444444</v>
      </c>
      <c r="K2647" s="17" t="n">
        <v>1308</v>
      </c>
      <c r="L2647" s="17" t="n">
        <f aca="false">COUNT(E2647,I2647,K2647)</f>
        <v>1</v>
      </c>
      <c r="M2647" s="18" t="n">
        <f aca="false">(D2647&lt;&gt;"")*(D2647&lt;=($E$3*60+$F$3)/86400)+(H2647&lt;&gt;"")*(H2647&lt;=($I$3*60+$J$3)/86400)+(J2647&lt;&gt;"")*(J2647&lt;=($M$3*60+$N$3)/86400)</f>
        <v>0</v>
      </c>
      <c r="N2647" s="20"/>
      <c r="O2647" s="20"/>
      <c r="P2647" s="20"/>
      <c r="Q2647" s="19"/>
    </row>
    <row r="2648" customFormat="false" ht="15" hidden="false" customHeight="false" outlineLevel="0" collapsed="false">
      <c r="A2648" s="10" t="n">
        <v>2642</v>
      </c>
      <c r="B2648" s="12" t="s">
        <v>4038</v>
      </c>
      <c r="C2648" s="12" t="s">
        <v>4039</v>
      </c>
      <c r="D2648" s="13"/>
      <c r="E2648" s="14"/>
      <c r="F2648" s="15" t="str">
        <f aca="false">IF(D2648="","",ROUND((D2648-MIN($D$7:$D$9999))*86400,2))</f>
        <v/>
      </c>
      <c r="G2648" s="10" t="str">
        <f aca="false">IF(D2648="","",IF(D2648&lt;=($E$3*60+$F$3)/86400,"○",""))</f>
        <v/>
      </c>
      <c r="H2648" s="16" t="n">
        <v>0.0085693287037037</v>
      </c>
      <c r="I2648" s="17" t="n">
        <v>1309</v>
      </c>
      <c r="J2648" s="16"/>
      <c r="K2648" s="17"/>
      <c r="L2648" s="17" t="n">
        <f aca="false">COUNT(E2648,I2648,K2648)</f>
        <v>1</v>
      </c>
      <c r="M2648" s="18" t="n">
        <f aca="false">(D2648&lt;&gt;"")*(D2648&lt;=($E$3*60+$F$3)/86400)+(H2648&lt;&gt;"")*(H2648&lt;=($I$3*60+$J$3)/86400)+(J2648&lt;&gt;"")*(J2648&lt;=($M$3*60+$N$3)/86400)</f>
        <v>0</v>
      </c>
      <c r="N2648" s="20"/>
      <c r="O2648" s="20"/>
      <c r="P2648" s="20"/>
      <c r="Q2648" s="19"/>
    </row>
    <row r="2649" customFormat="false" ht="15" hidden="false" customHeight="false" outlineLevel="0" collapsed="false">
      <c r="A2649" s="10" t="n">
        <v>2643</v>
      </c>
      <c r="B2649" s="12" t="s">
        <v>4040</v>
      </c>
      <c r="C2649" s="12" t="s">
        <v>4041</v>
      </c>
      <c r="D2649" s="13"/>
      <c r="E2649" s="14"/>
      <c r="F2649" s="15" t="str">
        <f aca="false">IF(D2649="","",ROUND((D2649-MIN($D$7:$D$9999))*86400,2))</f>
        <v/>
      </c>
      <c r="G2649" s="10" t="str">
        <f aca="false">IF(D2649="","",IF(D2649&lt;=($E$3*60+$F$3)/86400,"○",""))</f>
        <v/>
      </c>
      <c r="H2649" s="16"/>
      <c r="I2649" s="17"/>
      <c r="J2649" s="16" t="n">
        <v>0.00296956018518519</v>
      </c>
      <c r="K2649" s="17" t="n">
        <v>1309</v>
      </c>
      <c r="L2649" s="17" t="n">
        <f aca="false">COUNT(E2649,I2649,K2649)</f>
        <v>1</v>
      </c>
      <c r="M2649" s="18" t="n">
        <f aca="false">(D2649&lt;&gt;"")*(D2649&lt;=($E$3*60+$F$3)/86400)+(H2649&lt;&gt;"")*(H2649&lt;=($I$3*60+$J$3)/86400)+(J2649&lt;&gt;"")*(J2649&lt;=($M$3*60+$N$3)/86400)</f>
        <v>0</v>
      </c>
      <c r="N2649" s="20"/>
      <c r="O2649" s="20"/>
      <c r="P2649" s="20"/>
      <c r="Q2649" s="19"/>
    </row>
    <row r="2650" customFormat="false" ht="15" hidden="false" customHeight="false" outlineLevel="0" collapsed="false">
      <c r="A2650" s="10" t="n">
        <v>2644</v>
      </c>
      <c r="B2650" s="12" t="s">
        <v>4042</v>
      </c>
      <c r="C2650" s="12" t="s">
        <v>4043</v>
      </c>
      <c r="D2650" s="13"/>
      <c r="E2650" s="14"/>
      <c r="F2650" s="15" t="str">
        <f aca="false">IF(D2650="","",ROUND((D2650-MIN($D$7:$D$9999))*86400,2))</f>
        <v/>
      </c>
      <c r="G2650" s="10" t="str">
        <f aca="false">IF(D2650="","",IF(D2650&lt;=($E$3*60+$F$3)/86400,"○",""))</f>
        <v/>
      </c>
      <c r="H2650" s="16" t="n">
        <v>0.00857025462962963</v>
      </c>
      <c r="I2650" s="17" t="n">
        <v>1310</v>
      </c>
      <c r="J2650" s="16"/>
      <c r="K2650" s="17"/>
      <c r="L2650" s="17" t="n">
        <f aca="false">COUNT(E2650,I2650,K2650)</f>
        <v>1</v>
      </c>
      <c r="M2650" s="18" t="n">
        <f aca="false">(D2650&lt;&gt;"")*(D2650&lt;=($E$3*60+$F$3)/86400)+(H2650&lt;&gt;"")*(H2650&lt;=($I$3*60+$J$3)/86400)+(J2650&lt;&gt;"")*(J2650&lt;=($M$3*60+$N$3)/86400)</f>
        <v>0</v>
      </c>
      <c r="N2650" s="20"/>
      <c r="O2650" s="20"/>
      <c r="P2650" s="20"/>
      <c r="Q2650" s="19"/>
    </row>
    <row r="2651" customFormat="false" ht="15" hidden="false" customHeight="false" outlineLevel="0" collapsed="false">
      <c r="A2651" s="10" t="n">
        <v>2645</v>
      </c>
      <c r="B2651" s="12" t="s">
        <v>4044</v>
      </c>
      <c r="C2651" s="12" t="s">
        <v>4045</v>
      </c>
      <c r="D2651" s="13"/>
      <c r="E2651" s="14"/>
      <c r="F2651" s="15" t="str">
        <f aca="false">IF(D2651="","",ROUND((D2651-MIN($D$7:$D$9999))*86400,2))</f>
        <v/>
      </c>
      <c r="G2651" s="10" t="str">
        <f aca="false">IF(D2651="","",IF(D2651&lt;=($E$3*60+$F$3)/86400,"○",""))</f>
        <v/>
      </c>
      <c r="H2651" s="16" t="n">
        <v>0.00857673611111111</v>
      </c>
      <c r="I2651" s="17" t="n">
        <v>1311</v>
      </c>
      <c r="J2651" s="16"/>
      <c r="K2651" s="17"/>
      <c r="L2651" s="17" t="n">
        <f aca="false">COUNT(E2651,I2651,K2651)</f>
        <v>1</v>
      </c>
      <c r="M2651" s="18" t="n">
        <f aca="false">(D2651&lt;&gt;"")*(D2651&lt;=($E$3*60+$F$3)/86400)+(H2651&lt;&gt;"")*(H2651&lt;=($I$3*60+$J$3)/86400)+(J2651&lt;&gt;"")*(J2651&lt;=($M$3*60+$N$3)/86400)</f>
        <v>0</v>
      </c>
      <c r="N2651" s="20"/>
      <c r="O2651" s="20"/>
      <c r="P2651" s="20"/>
      <c r="Q2651" s="19"/>
    </row>
    <row r="2652" customFormat="false" ht="15" hidden="false" customHeight="false" outlineLevel="0" collapsed="false">
      <c r="A2652" s="10" t="n">
        <v>2646</v>
      </c>
      <c r="B2652" s="12" t="s">
        <v>4046</v>
      </c>
      <c r="C2652" s="12" t="s">
        <v>2259</v>
      </c>
      <c r="D2652" s="13"/>
      <c r="E2652" s="14"/>
      <c r="F2652" s="15" t="str">
        <f aca="false">IF(D2652="","",ROUND((D2652-MIN($D$7:$D$9999))*86400,2))</f>
        <v/>
      </c>
      <c r="G2652" s="10" t="str">
        <f aca="false">IF(D2652="","",IF(D2652&lt;=($E$3*60+$F$3)/86400,"○",""))</f>
        <v/>
      </c>
      <c r="H2652" s="16" t="n">
        <v>0.00857997685185185</v>
      </c>
      <c r="I2652" s="17" t="n">
        <v>1312</v>
      </c>
      <c r="J2652" s="16"/>
      <c r="K2652" s="17"/>
      <c r="L2652" s="17" t="n">
        <f aca="false">COUNT(E2652,I2652,K2652)</f>
        <v>1</v>
      </c>
      <c r="M2652" s="18" t="n">
        <f aca="false">(D2652&lt;&gt;"")*(D2652&lt;=($E$3*60+$F$3)/86400)+(H2652&lt;&gt;"")*(H2652&lt;=($I$3*60+$J$3)/86400)+(J2652&lt;&gt;"")*(J2652&lt;=($M$3*60+$N$3)/86400)</f>
        <v>0</v>
      </c>
      <c r="N2652" s="20"/>
      <c r="O2652" s="20"/>
      <c r="P2652" s="20"/>
      <c r="Q2652" s="19"/>
    </row>
    <row r="2653" customFormat="false" ht="15" hidden="false" customHeight="false" outlineLevel="0" collapsed="false">
      <c r="A2653" s="10" t="n">
        <v>2647</v>
      </c>
      <c r="B2653" s="12" t="s">
        <v>4047</v>
      </c>
      <c r="C2653" s="12" t="s">
        <v>4048</v>
      </c>
      <c r="D2653" s="13"/>
      <c r="E2653" s="14"/>
      <c r="F2653" s="15" t="str">
        <f aca="false">IF(D2653="","",ROUND((D2653-MIN($D$7:$D$9999))*86400,2))</f>
        <v/>
      </c>
      <c r="G2653" s="10" t="str">
        <f aca="false">IF(D2653="","",IF(D2653&lt;=($E$3*60+$F$3)/86400,"○",""))</f>
        <v/>
      </c>
      <c r="H2653" s="16"/>
      <c r="I2653" s="17"/>
      <c r="J2653" s="16" t="n">
        <v>0.00297060185185185</v>
      </c>
      <c r="K2653" s="17" t="n">
        <v>1312</v>
      </c>
      <c r="L2653" s="17" t="n">
        <f aca="false">COUNT(E2653,I2653,K2653)</f>
        <v>1</v>
      </c>
      <c r="M2653" s="18" t="n">
        <f aca="false">(D2653&lt;&gt;"")*(D2653&lt;=($E$3*60+$F$3)/86400)+(H2653&lt;&gt;"")*(H2653&lt;=($I$3*60+$J$3)/86400)+(J2653&lt;&gt;"")*(J2653&lt;=($M$3*60+$N$3)/86400)</f>
        <v>0</v>
      </c>
      <c r="N2653" s="20"/>
      <c r="O2653" s="20"/>
      <c r="P2653" s="20"/>
      <c r="Q2653" s="19"/>
    </row>
    <row r="2654" customFormat="false" ht="15" hidden="false" customHeight="false" outlineLevel="0" collapsed="false">
      <c r="A2654" s="10" t="n">
        <v>2648</v>
      </c>
      <c r="B2654" s="12" t="s">
        <v>4049</v>
      </c>
      <c r="C2654" s="12" t="s">
        <v>3220</v>
      </c>
      <c r="D2654" s="13"/>
      <c r="E2654" s="14"/>
      <c r="F2654" s="15" t="str">
        <f aca="false">IF(D2654="","",ROUND((D2654-MIN($D$7:$D$9999))*86400,2))</f>
        <v/>
      </c>
      <c r="G2654" s="10" t="str">
        <f aca="false">IF(D2654="","",IF(D2654&lt;=($E$3*60+$F$3)/86400,"○",""))</f>
        <v/>
      </c>
      <c r="H2654" s="16" t="n">
        <v>0.00858298611111111</v>
      </c>
      <c r="I2654" s="17" t="n">
        <v>1313</v>
      </c>
      <c r="J2654" s="16"/>
      <c r="K2654" s="17"/>
      <c r="L2654" s="17" t="n">
        <f aca="false">COUNT(E2654,I2654,K2654)</f>
        <v>1</v>
      </c>
      <c r="M2654" s="18" t="n">
        <f aca="false">(D2654&lt;&gt;"")*(D2654&lt;=($E$3*60+$F$3)/86400)+(H2654&lt;&gt;"")*(H2654&lt;=($I$3*60+$J$3)/86400)+(J2654&lt;&gt;"")*(J2654&lt;=($M$3*60+$N$3)/86400)</f>
        <v>0</v>
      </c>
      <c r="N2654" s="20"/>
      <c r="O2654" s="20"/>
      <c r="P2654" s="20"/>
      <c r="Q2654" s="19"/>
    </row>
    <row r="2655" customFormat="false" ht="15" hidden="false" customHeight="false" outlineLevel="0" collapsed="false">
      <c r="A2655" s="10" t="n">
        <v>2649</v>
      </c>
      <c r="B2655" s="12" t="s">
        <v>4050</v>
      </c>
      <c r="C2655" s="12" t="s">
        <v>4051</v>
      </c>
      <c r="D2655" s="13"/>
      <c r="E2655" s="14"/>
      <c r="F2655" s="15" t="str">
        <f aca="false">IF(D2655="","",ROUND((D2655-MIN($D$7:$D$9999))*86400,2))</f>
        <v/>
      </c>
      <c r="G2655" s="10" t="str">
        <f aca="false">IF(D2655="","",IF(D2655&lt;=($E$3*60+$F$3)/86400,"○",""))</f>
        <v/>
      </c>
      <c r="H2655" s="16" t="n">
        <v>0.00860219907407408</v>
      </c>
      <c r="I2655" s="17" t="n">
        <v>1314</v>
      </c>
      <c r="J2655" s="16"/>
      <c r="K2655" s="17"/>
      <c r="L2655" s="17" t="n">
        <f aca="false">COUNT(E2655,I2655,K2655)</f>
        <v>1</v>
      </c>
      <c r="M2655" s="18" t="n">
        <f aca="false">(D2655&lt;&gt;"")*(D2655&lt;=($E$3*60+$F$3)/86400)+(H2655&lt;&gt;"")*(H2655&lt;=($I$3*60+$J$3)/86400)+(J2655&lt;&gt;"")*(J2655&lt;=($M$3*60+$N$3)/86400)</f>
        <v>0</v>
      </c>
      <c r="N2655" s="20"/>
      <c r="O2655" s="20"/>
      <c r="P2655" s="20"/>
      <c r="Q2655" s="19"/>
    </row>
    <row r="2656" customFormat="false" ht="15" hidden="false" customHeight="false" outlineLevel="0" collapsed="false">
      <c r="A2656" s="10" t="n">
        <v>2650</v>
      </c>
      <c r="B2656" s="12" t="s">
        <v>4052</v>
      </c>
      <c r="C2656" s="12" t="s">
        <v>4053</v>
      </c>
      <c r="D2656" s="13"/>
      <c r="E2656" s="14"/>
      <c r="F2656" s="15" t="str">
        <f aca="false">IF(D2656="","",ROUND((D2656-MIN($D$7:$D$9999))*86400,2))</f>
        <v/>
      </c>
      <c r="G2656" s="10" t="str">
        <f aca="false">IF(D2656="","",IF(D2656&lt;=($E$3*60+$F$3)/86400,"○",""))</f>
        <v/>
      </c>
      <c r="H2656" s="16"/>
      <c r="I2656" s="17"/>
      <c r="J2656" s="16" t="n">
        <v>0.00297152777777778</v>
      </c>
      <c r="K2656" s="17" t="n">
        <v>1314</v>
      </c>
      <c r="L2656" s="17" t="n">
        <f aca="false">COUNT(E2656,I2656,K2656)</f>
        <v>1</v>
      </c>
      <c r="M2656" s="18" t="n">
        <f aca="false">(D2656&lt;&gt;"")*(D2656&lt;=($E$3*60+$F$3)/86400)+(H2656&lt;&gt;"")*(H2656&lt;=($I$3*60+$J$3)/86400)+(J2656&lt;&gt;"")*(J2656&lt;=($M$3*60+$N$3)/86400)</f>
        <v>0</v>
      </c>
      <c r="N2656" s="20"/>
      <c r="O2656" s="20"/>
      <c r="P2656" s="20"/>
      <c r="Q2656" s="19"/>
    </row>
    <row r="2657" customFormat="false" ht="15" hidden="false" customHeight="false" outlineLevel="0" collapsed="false">
      <c r="A2657" s="10" t="n">
        <v>2651</v>
      </c>
      <c r="B2657" s="12" t="s">
        <v>4054</v>
      </c>
      <c r="C2657" s="12" t="s">
        <v>2196</v>
      </c>
      <c r="D2657" s="13"/>
      <c r="E2657" s="14"/>
      <c r="F2657" s="15" t="str">
        <f aca="false">IF(D2657="","",ROUND((D2657-MIN($D$7:$D$9999))*86400,2))</f>
        <v/>
      </c>
      <c r="G2657" s="10" t="str">
        <f aca="false">IF(D2657="","",IF(D2657&lt;=($E$3*60+$F$3)/86400,"○",""))</f>
        <v/>
      </c>
      <c r="H2657" s="16" t="n">
        <v>0.008609375</v>
      </c>
      <c r="I2657" s="17" t="n">
        <v>1315</v>
      </c>
      <c r="J2657" s="16"/>
      <c r="K2657" s="17"/>
      <c r="L2657" s="17" t="n">
        <f aca="false">COUNT(E2657,I2657,K2657)</f>
        <v>1</v>
      </c>
      <c r="M2657" s="18" t="n">
        <f aca="false">(D2657&lt;&gt;"")*(D2657&lt;=($E$3*60+$F$3)/86400)+(H2657&lt;&gt;"")*(H2657&lt;=($I$3*60+$J$3)/86400)+(J2657&lt;&gt;"")*(J2657&lt;=($M$3*60+$N$3)/86400)</f>
        <v>0</v>
      </c>
      <c r="N2657" s="20"/>
      <c r="O2657" s="20"/>
      <c r="P2657" s="20"/>
      <c r="Q2657" s="19"/>
    </row>
    <row r="2658" customFormat="false" ht="15" hidden="false" customHeight="false" outlineLevel="0" collapsed="false">
      <c r="A2658" s="10" t="n">
        <v>2652</v>
      </c>
      <c r="B2658" s="12" t="s">
        <v>4055</v>
      </c>
      <c r="C2658" s="12" t="s">
        <v>1599</v>
      </c>
      <c r="D2658" s="13"/>
      <c r="E2658" s="14"/>
      <c r="F2658" s="15" t="str">
        <f aca="false">IF(D2658="","",ROUND((D2658-MIN($D$7:$D$9999))*86400,2))</f>
        <v/>
      </c>
      <c r="G2658" s="10" t="str">
        <f aca="false">IF(D2658="","",IF(D2658&lt;=($E$3*60+$F$3)/86400,"○",""))</f>
        <v/>
      </c>
      <c r="H2658" s="16" t="n">
        <v>0.00861840277777778</v>
      </c>
      <c r="I2658" s="17" t="n">
        <v>1316</v>
      </c>
      <c r="J2658" s="16"/>
      <c r="K2658" s="17"/>
      <c r="L2658" s="17" t="n">
        <f aca="false">COUNT(E2658,I2658,K2658)</f>
        <v>1</v>
      </c>
      <c r="M2658" s="18" t="n">
        <f aca="false">(D2658&lt;&gt;"")*(D2658&lt;=($E$3*60+$F$3)/86400)+(H2658&lt;&gt;"")*(H2658&lt;=($I$3*60+$J$3)/86400)+(J2658&lt;&gt;"")*(J2658&lt;=($M$3*60+$N$3)/86400)</f>
        <v>0</v>
      </c>
      <c r="N2658" s="20"/>
      <c r="O2658" s="20"/>
      <c r="P2658" s="20"/>
      <c r="Q2658" s="19"/>
    </row>
    <row r="2659" customFormat="false" ht="15" hidden="false" customHeight="false" outlineLevel="0" collapsed="false">
      <c r="A2659" s="10" t="n">
        <v>2653</v>
      </c>
      <c r="B2659" s="12" t="s">
        <v>4056</v>
      </c>
      <c r="C2659" s="12" t="s">
        <v>3172</v>
      </c>
      <c r="D2659" s="13"/>
      <c r="E2659" s="14"/>
      <c r="F2659" s="15" t="str">
        <f aca="false">IF(D2659="","",ROUND((D2659-MIN($D$7:$D$9999))*86400,2))</f>
        <v/>
      </c>
      <c r="G2659" s="10" t="str">
        <f aca="false">IF(D2659="","",IF(D2659&lt;=($E$3*60+$F$3)/86400,"○",""))</f>
        <v/>
      </c>
      <c r="H2659" s="16" t="n">
        <v>0.0086212962962963</v>
      </c>
      <c r="I2659" s="17" t="n">
        <v>1317</v>
      </c>
      <c r="J2659" s="16"/>
      <c r="K2659" s="17"/>
      <c r="L2659" s="17" t="n">
        <f aca="false">COUNT(E2659,I2659,K2659)</f>
        <v>1</v>
      </c>
      <c r="M2659" s="18" t="n">
        <f aca="false">(D2659&lt;&gt;"")*(D2659&lt;=($E$3*60+$F$3)/86400)+(H2659&lt;&gt;"")*(H2659&lt;=($I$3*60+$J$3)/86400)+(J2659&lt;&gt;"")*(J2659&lt;=($M$3*60+$N$3)/86400)</f>
        <v>0</v>
      </c>
      <c r="N2659" s="20"/>
      <c r="O2659" s="20"/>
      <c r="P2659" s="20"/>
      <c r="Q2659" s="19"/>
    </row>
    <row r="2660" customFormat="false" ht="15" hidden="false" customHeight="false" outlineLevel="0" collapsed="false">
      <c r="A2660" s="10" t="n">
        <v>2654</v>
      </c>
      <c r="B2660" s="12" t="s">
        <v>4057</v>
      </c>
      <c r="C2660" s="12" t="s">
        <v>2310</v>
      </c>
      <c r="D2660" s="13"/>
      <c r="E2660" s="14"/>
      <c r="F2660" s="15" t="str">
        <f aca="false">IF(D2660="","",ROUND((D2660-MIN($D$7:$D$9999))*86400,2))</f>
        <v/>
      </c>
      <c r="G2660" s="10" t="str">
        <f aca="false">IF(D2660="","",IF(D2660&lt;=($E$3*60+$F$3)/86400,"○",""))</f>
        <v/>
      </c>
      <c r="H2660" s="16"/>
      <c r="I2660" s="17"/>
      <c r="J2660" s="16" t="n">
        <v>0.00297175925925926</v>
      </c>
      <c r="K2660" s="17" t="n">
        <v>1317</v>
      </c>
      <c r="L2660" s="17" t="n">
        <f aca="false">COUNT(E2660,I2660,K2660)</f>
        <v>1</v>
      </c>
      <c r="M2660" s="18" t="n">
        <f aca="false">(D2660&lt;&gt;"")*(D2660&lt;=($E$3*60+$F$3)/86400)+(H2660&lt;&gt;"")*(H2660&lt;=($I$3*60+$J$3)/86400)+(J2660&lt;&gt;"")*(J2660&lt;=($M$3*60+$N$3)/86400)</f>
        <v>0</v>
      </c>
      <c r="N2660" s="20"/>
      <c r="O2660" s="20"/>
      <c r="P2660" s="20"/>
      <c r="Q2660" s="19"/>
    </row>
    <row r="2661" customFormat="false" ht="15" hidden="false" customHeight="false" outlineLevel="0" collapsed="false">
      <c r="A2661" s="10" t="n">
        <v>2655</v>
      </c>
      <c r="B2661" s="12" t="s">
        <v>4058</v>
      </c>
      <c r="C2661" s="12" t="s">
        <v>3455</v>
      </c>
      <c r="D2661" s="13"/>
      <c r="E2661" s="14"/>
      <c r="F2661" s="15" t="str">
        <f aca="false">IF(D2661="","",ROUND((D2661-MIN($D$7:$D$9999))*86400,2))</f>
        <v/>
      </c>
      <c r="G2661" s="10" t="str">
        <f aca="false">IF(D2661="","",IF(D2661&lt;=($E$3*60+$F$3)/86400,"○",""))</f>
        <v/>
      </c>
      <c r="H2661" s="16" t="n">
        <v>0.0086337962962963</v>
      </c>
      <c r="I2661" s="17" t="n">
        <v>1318</v>
      </c>
      <c r="J2661" s="16"/>
      <c r="K2661" s="17"/>
      <c r="L2661" s="17" t="n">
        <f aca="false">COUNT(E2661,I2661,K2661)</f>
        <v>1</v>
      </c>
      <c r="M2661" s="18" t="n">
        <f aca="false">(D2661&lt;&gt;"")*(D2661&lt;=($E$3*60+$F$3)/86400)+(H2661&lt;&gt;"")*(H2661&lt;=($I$3*60+$J$3)/86400)+(J2661&lt;&gt;"")*(J2661&lt;=($M$3*60+$N$3)/86400)</f>
        <v>0</v>
      </c>
      <c r="N2661" s="20"/>
      <c r="O2661" s="20"/>
      <c r="P2661" s="20"/>
      <c r="Q2661" s="19"/>
    </row>
    <row r="2662" customFormat="false" ht="15" hidden="false" customHeight="false" outlineLevel="0" collapsed="false">
      <c r="A2662" s="10" t="n">
        <v>2656</v>
      </c>
      <c r="B2662" s="12" t="s">
        <v>4059</v>
      </c>
      <c r="C2662" s="12" t="s">
        <v>297</v>
      </c>
      <c r="D2662" s="13"/>
      <c r="E2662" s="14"/>
      <c r="F2662" s="15" t="str">
        <f aca="false">IF(D2662="","",ROUND((D2662-MIN($D$7:$D$9999))*86400,2))</f>
        <v/>
      </c>
      <c r="G2662" s="10" t="str">
        <f aca="false">IF(D2662="","",IF(D2662&lt;=($E$3*60+$F$3)/86400,"○",""))</f>
        <v/>
      </c>
      <c r="H2662" s="16"/>
      <c r="I2662" s="17"/>
      <c r="J2662" s="16" t="n">
        <v>0.00297222222222222</v>
      </c>
      <c r="K2662" s="17" t="n">
        <v>1318</v>
      </c>
      <c r="L2662" s="17" t="n">
        <f aca="false">COUNT(E2662,I2662,K2662)</f>
        <v>1</v>
      </c>
      <c r="M2662" s="18" t="n">
        <f aca="false">(D2662&lt;&gt;"")*(D2662&lt;=($E$3*60+$F$3)/86400)+(H2662&lt;&gt;"")*(H2662&lt;=($I$3*60+$J$3)/86400)+(J2662&lt;&gt;"")*(J2662&lt;=($M$3*60+$N$3)/86400)</f>
        <v>0</v>
      </c>
      <c r="N2662" s="20"/>
      <c r="O2662" s="20"/>
      <c r="P2662" s="20"/>
      <c r="Q2662" s="19"/>
    </row>
    <row r="2663" customFormat="false" ht="15" hidden="false" customHeight="false" outlineLevel="0" collapsed="false">
      <c r="A2663" s="10" t="n">
        <v>2657</v>
      </c>
      <c r="B2663" s="12" t="s">
        <v>4060</v>
      </c>
      <c r="C2663" s="12" t="s">
        <v>4061</v>
      </c>
      <c r="D2663" s="13"/>
      <c r="E2663" s="14"/>
      <c r="F2663" s="15" t="str">
        <f aca="false">IF(D2663="","",ROUND((D2663-MIN($D$7:$D$9999))*86400,2))</f>
        <v/>
      </c>
      <c r="G2663" s="10" t="str">
        <f aca="false">IF(D2663="","",IF(D2663&lt;=($E$3*60+$F$3)/86400,"○",""))</f>
        <v/>
      </c>
      <c r="H2663" s="16" t="n">
        <v>0.00863530092592593</v>
      </c>
      <c r="I2663" s="17" t="n">
        <v>1319</v>
      </c>
      <c r="J2663" s="16"/>
      <c r="K2663" s="17"/>
      <c r="L2663" s="17" t="n">
        <f aca="false">COUNT(E2663,I2663,K2663)</f>
        <v>1</v>
      </c>
      <c r="M2663" s="18" t="n">
        <f aca="false">(D2663&lt;&gt;"")*(D2663&lt;=($E$3*60+$F$3)/86400)+(H2663&lt;&gt;"")*(H2663&lt;=($I$3*60+$J$3)/86400)+(J2663&lt;&gt;"")*(J2663&lt;=($M$3*60+$N$3)/86400)</f>
        <v>0</v>
      </c>
      <c r="N2663" s="20"/>
      <c r="O2663" s="20"/>
      <c r="P2663" s="20"/>
      <c r="Q2663" s="19"/>
    </row>
    <row r="2664" customFormat="false" ht="15" hidden="false" customHeight="false" outlineLevel="0" collapsed="false">
      <c r="A2664" s="10" t="n">
        <v>2658</v>
      </c>
      <c r="B2664" s="12" t="s">
        <v>4062</v>
      </c>
      <c r="C2664" s="12" t="s">
        <v>4063</v>
      </c>
      <c r="D2664" s="13"/>
      <c r="E2664" s="14"/>
      <c r="F2664" s="15" t="str">
        <f aca="false">IF(D2664="","",ROUND((D2664-MIN($D$7:$D$9999))*86400,2))</f>
        <v/>
      </c>
      <c r="G2664" s="10" t="str">
        <f aca="false">IF(D2664="","",IF(D2664&lt;=($E$3*60+$F$3)/86400,"○",""))</f>
        <v/>
      </c>
      <c r="H2664" s="16" t="n">
        <v>0.00863703703703704</v>
      </c>
      <c r="I2664" s="17" t="n">
        <v>1320</v>
      </c>
      <c r="J2664" s="16"/>
      <c r="K2664" s="17"/>
      <c r="L2664" s="17" t="n">
        <f aca="false">COUNT(E2664,I2664,K2664)</f>
        <v>1</v>
      </c>
      <c r="M2664" s="18" t="n">
        <f aca="false">(D2664&lt;&gt;"")*(D2664&lt;=($E$3*60+$F$3)/86400)+(H2664&lt;&gt;"")*(H2664&lt;=($I$3*60+$J$3)/86400)+(J2664&lt;&gt;"")*(J2664&lt;=($M$3*60+$N$3)/86400)</f>
        <v>0</v>
      </c>
      <c r="N2664" s="20"/>
      <c r="O2664" s="20"/>
      <c r="P2664" s="20"/>
      <c r="Q2664" s="19"/>
    </row>
    <row r="2665" customFormat="false" ht="15" hidden="false" customHeight="false" outlineLevel="0" collapsed="false">
      <c r="A2665" s="10" t="n">
        <v>2659</v>
      </c>
      <c r="B2665" s="12" t="s">
        <v>4064</v>
      </c>
      <c r="C2665" s="12" t="s">
        <v>2073</v>
      </c>
      <c r="D2665" s="13"/>
      <c r="E2665" s="14"/>
      <c r="F2665" s="15" t="str">
        <f aca="false">IF(D2665="","",ROUND((D2665-MIN($D$7:$D$9999))*86400,2))</f>
        <v/>
      </c>
      <c r="G2665" s="10" t="str">
        <f aca="false">IF(D2665="","",IF(D2665&lt;=($E$3*60+$F$3)/86400,"○",""))</f>
        <v/>
      </c>
      <c r="H2665" s="16" t="n">
        <v>0.0086375</v>
      </c>
      <c r="I2665" s="17" t="n">
        <v>1321</v>
      </c>
      <c r="J2665" s="16"/>
      <c r="K2665" s="17"/>
      <c r="L2665" s="17" t="n">
        <f aca="false">COUNT(E2665,I2665,K2665)</f>
        <v>1</v>
      </c>
      <c r="M2665" s="18" t="n">
        <f aca="false">(D2665&lt;&gt;"")*(D2665&lt;=($E$3*60+$F$3)/86400)+(H2665&lt;&gt;"")*(H2665&lt;=($I$3*60+$J$3)/86400)+(J2665&lt;&gt;"")*(J2665&lt;=($M$3*60+$N$3)/86400)</f>
        <v>0</v>
      </c>
      <c r="N2665" s="20"/>
      <c r="O2665" s="20"/>
      <c r="P2665" s="20"/>
      <c r="Q2665" s="19"/>
    </row>
    <row r="2666" customFormat="false" ht="15" hidden="false" customHeight="false" outlineLevel="0" collapsed="false">
      <c r="A2666" s="10" t="n">
        <v>2660</v>
      </c>
      <c r="B2666" s="12" t="s">
        <v>4065</v>
      </c>
      <c r="C2666" s="12" t="s">
        <v>4066</v>
      </c>
      <c r="D2666" s="13"/>
      <c r="E2666" s="14"/>
      <c r="F2666" s="15" t="str">
        <f aca="false">IF(D2666="","",ROUND((D2666-MIN($D$7:$D$9999))*86400,2))</f>
        <v/>
      </c>
      <c r="G2666" s="10" t="str">
        <f aca="false">IF(D2666="","",IF(D2666&lt;=($E$3*60+$F$3)/86400,"○",""))</f>
        <v/>
      </c>
      <c r="H2666" s="16"/>
      <c r="I2666" s="17"/>
      <c r="J2666" s="16" t="n">
        <v>0.00297337962962963</v>
      </c>
      <c r="K2666" s="17" t="n">
        <v>1321</v>
      </c>
      <c r="L2666" s="17" t="n">
        <f aca="false">COUNT(E2666,I2666,K2666)</f>
        <v>1</v>
      </c>
      <c r="M2666" s="18" t="n">
        <f aca="false">(D2666&lt;&gt;"")*(D2666&lt;=($E$3*60+$F$3)/86400)+(H2666&lt;&gt;"")*(H2666&lt;=($I$3*60+$J$3)/86400)+(J2666&lt;&gt;"")*(J2666&lt;=($M$3*60+$N$3)/86400)</f>
        <v>0</v>
      </c>
      <c r="N2666" s="20"/>
      <c r="O2666" s="20"/>
      <c r="P2666" s="20"/>
      <c r="Q2666" s="19"/>
    </row>
    <row r="2667" customFormat="false" ht="15" hidden="false" customHeight="false" outlineLevel="0" collapsed="false">
      <c r="A2667" s="10" t="n">
        <v>2661</v>
      </c>
      <c r="B2667" s="12" t="s">
        <v>4067</v>
      </c>
      <c r="C2667" s="12" t="s">
        <v>4048</v>
      </c>
      <c r="D2667" s="13"/>
      <c r="E2667" s="14"/>
      <c r="F2667" s="15" t="str">
        <f aca="false">IF(D2667="","",ROUND((D2667-MIN($D$7:$D$9999))*86400,2))</f>
        <v/>
      </c>
      <c r="G2667" s="10" t="str">
        <f aca="false">IF(D2667="","",IF(D2667&lt;=($E$3*60+$F$3)/86400,"○",""))</f>
        <v/>
      </c>
      <c r="H2667" s="16" t="n">
        <v>0.00864537037037037</v>
      </c>
      <c r="I2667" s="17" t="n">
        <v>1322</v>
      </c>
      <c r="J2667" s="16"/>
      <c r="K2667" s="17"/>
      <c r="L2667" s="17" t="n">
        <f aca="false">COUNT(E2667,I2667,K2667)</f>
        <v>1</v>
      </c>
      <c r="M2667" s="18" t="n">
        <f aca="false">(D2667&lt;&gt;"")*(D2667&lt;=($E$3*60+$F$3)/86400)+(H2667&lt;&gt;"")*(H2667&lt;=($I$3*60+$J$3)/86400)+(J2667&lt;&gt;"")*(J2667&lt;=($M$3*60+$N$3)/86400)</f>
        <v>0</v>
      </c>
      <c r="N2667" s="20"/>
      <c r="O2667" s="20"/>
      <c r="P2667" s="20"/>
      <c r="Q2667" s="19"/>
    </row>
    <row r="2668" customFormat="false" ht="15" hidden="false" customHeight="false" outlineLevel="0" collapsed="false">
      <c r="A2668" s="10" t="n">
        <v>2662</v>
      </c>
      <c r="B2668" s="12" t="s">
        <v>4068</v>
      </c>
      <c r="C2668" s="12" t="s">
        <v>2300</v>
      </c>
      <c r="D2668" s="13"/>
      <c r="E2668" s="14"/>
      <c r="F2668" s="15" t="str">
        <f aca="false">IF(D2668="","",ROUND((D2668-MIN($D$7:$D$9999))*86400,2))</f>
        <v/>
      </c>
      <c r="G2668" s="10" t="str">
        <f aca="false">IF(D2668="","",IF(D2668&lt;=($E$3*60+$F$3)/86400,"○",""))</f>
        <v/>
      </c>
      <c r="H2668" s="16"/>
      <c r="I2668" s="17"/>
      <c r="J2668" s="16" t="n">
        <v>0.00297372685185185</v>
      </c>
      <c r="K2668" s="17" t="n">
        <v>1322</v>
      </c>
      <c r="L2668" s="17" t="n">
        <f aca="false">COUNT(E2668,I2668,K2668)</f>
        <v>1</v>
      </c>
      <c r="M2668" s="18" t="n">
        <f aca="false">(D2668&lt;&gt;"")*(D2668&lt;=($E$3*60+$F$3)/86400)+(H2668&lt;&gt;"")*(H2668&lt;=($I$3*60+$J$3)/86400)+(J2668&lt;&gt;"")*(J2668&lt;=($M$3*60+$N$3)/86400)</f>
        <v>0</v>
      </c>
      <c r="N2668" s="20"/>
      <c r="O2668" s="20"/>
      <c r="P2668" s="20"/>
      <c r="Q2668" s="19"/>
    </row>
    <row r="2669" customFormat="false" ht="15" hidden="false" customHeight="false" outlineLevel="0" collapsed="false">
      <c r="A2669" s="10" t="n">
        <v>2663</v>
      </c>
      <c r="B2669" s="12" t="s">
        <v>4069</v>
      </c>
      <c r="C2669" s="12" t="s">
        <v>1274</v>
      </c>
      <c r="D2669" s="13"/>
      <c r="E2669" s="14"/>
      <c r="F2669" s="15" t="str">
        <f aca="false">IF(D2669="","",ROUND((D2669-MIN($D$7:$D$9999))*86400,2))</f>
        <v/>
      </c>
      <c r="G2669" s="10" t="str">
        <f aca="false">IF(D2669="","",IF(D2669&lt;=($E$3*60+$F$3)/86400,"○",""))</f>
        <v/>
      </c>
      <c r="H2669" s="16" t="n">
        <v>0.00864606481481482</v>
      </c>
      <c r="I2669" s="17" t="n">
        <v>1323</v>
      </c>
      <c r="J2669" s="16"/>
      <c r="K2669" s="17"/>
      <c r="L2669" s="17" t="n">
        <f aca="false">COUNT(E2669,I2669,K2669)</f>
        <v>1</v>
      </c>
      <c r="M2669" s="18" t="n">
        <f aca="false">(D2669&lt;&gt;"")*(D2669&lt;=($E$3*60+$F$3)/86400)+(H2669&lt;&gt;"")*(H2669&lt;=($I$3*60+$J$3)/86400)+(J2669&lt;&gt;"")*(J2669&lt;=($M$3*60+$N$3)/86400)</f>
        <v>0</v>
      </c>
      <c r="N2669" s="20"/>
      <c r="O2669" s="20"/>
      <c r="P2669" s="20"/>
      <c r="Q2669" s="19"/>
    </row>
    <row r="2670" customFormat="false" ht="15" hidden="false" customHeight="false" outlineLevel="0" collapsed="false">
      <c r="A2670" s="10" t="n">
        <v>2664</v>
      </c>
      <c r="B2670" s="12" t="s">
        <v>4070</v>
      </c>
      <c r="C2670" s="12" t="s">
        <v>4071</v>
      </c>
      <c r="D2670" s="13"/>
      <c r="E2670" s="14"/>
      <c r="F2670" s="15" t="str">
        <f aca="false">IF(D2670="","",ROUND((D2670-MIN($D$7:$D$9999))*86400,2))</f>
        <v/>
      </c>
      <c r="G2670" s="10" t="str">
        <f aca="false">IF(D2670="","",IF(D2670&lt;=($E$3*60+$F$3)/86400,"○",""))</f>
        <v/>
      </c>
      <c r="H2670" s="16" t="n">
        <v>0.00865104166666667</v>
      </c>
      <c r="I2670" s="17" t="n">
        <v>1324</v>
      </c>
      <c r="J2670" s="16"/>
      <c r="K2670" s="17"/>
      <c r="L2670" s="17" t="n">
        <f aca="false">COUNT(E2670,I2670,K2670)</f>
        <v>1</v>
      </c>
      <c r="M2670" s="18" t="n">
        <f aca="false">(D2670&lt;&gt;"")*(D2670&lt;=($E$3*60+$F$3)/86400)+(H2670&lt;&gt;"")*(H2670&lt;=($I$3*60+$J$3)/86400)+(J2670&lt;&gt;"")*(J2670&lt;=($M$3*60+$N$3)/86400)</f>
        <v>0</v>
      </c>
      <c r="N2670" s="20"/>
      <c r="O2670" s="20"/>
      <c r="P2670" s="20"/>
      <c r="Q2670" s="19"/>
    </row>
    <row r="2671" customFormat="false" ht="15" hidden="false" customHeight="false" outlineLevel="0" collapsed="false">
      <c r="A2671" s="10" t="n">
        <v>2665</v>
      </c>
      <c r="B2671" s="12" t="s">
        <v>4072</v>
      </c>
      <c r="C2671" s="12" t="s">
        <v>3172</v>
      </c>
      <c r="D2671" s="13"/>
      <c r="E2671" s="14"/>
      <c r="F2671" s="15" t="str">
        <f aca="false">IF(D2671="","",ROUND((D2671-MIN($D$7:$D$9999))*86400,2))</f>
        <v/>
      </c>
      <c r="G2671" s="10" t="str">
        <f aca="false">IF(D2671="","",IF(D2671&lt;=($E$3*60+$F$3)/86400,"○",""))</f>
        <v/>
      </c>
      <c r="H2671" s="16" t="n">
        <v>0.00865150462962963</v>
      </c>
      <c r="I2671" s="17" t="n">
        <v>1325</v>
      </c>
      <c r="J2671" s="16"/>
      <c r="K2671" s="17"/>
      <c r="L2671" s="17" t="n">
        <f aca="false">COUNT(E2671,I2671,K2671)</f>
        <v>1</v>
      </c>
      <c r="M2671" s="18" t="n">
        <f aca="false">(D2671&lt;&gt;"")*(D2671&lt;=($E$3*60+$F$3)/86400)+(H2671&lt;&gt;"")*(H2671&lt;=($I$3*60+$J$3)/86400)+(J2671&lt;&gt;"")*(J2671&lt;=($M$3*60+$N$3)/86400)</f>
        <v>0</v>
      </c>
      <c r="N2671" s="20"/>
      <c r="O2671" s="20"/>
      <c r="P2671" s="20"/>
      <c r="Q2671" s="19"/>
    </row>
    <row r="2672" customFormat="false" ht="15" hidden="false" customHeight="false" outlineLevel="0" collapsed="false">
      <c r="A2672" s="10" t="n">
        <v>2666</v>
      </c>
      <c r="B2672" s="12" t="s">
        <v>4073</v>
      </c>
      <c r="C2672" s="12" t="s">
        <v>3277</v>
      </c>
      <c r="D2672" s="13"/>
      <c r="E2672" s="14"/>
      <c r="F2672" s="15" t="str">
        <f aca="false">IF(D2672="","",ROUND((D2672-MIN($D$7:$D$9999))*86400,2))</f>
        <v/>
      </c>
      <c r="G2672" s="10" t="str">
        <f aca="false">IF(D2672="","",IF(D2672&lt;=($E$3*60+$F$3)/86400,"○",""))</f>
        <v/>
      </c>
      <c r="H2672" s="16"/>
      <c r="I2672" s="17"/>
      <c r="J2672" s="16" t="n">
        <v>0.00297465277777778</v>
      </c>
      <c r="K2672" s="17" t="n">
        <v>1325</v>
      </c>
      <c r="L2672" s="17" t="n">
        <f aca="false">COUNT(E2672,I2672,K2672)</f>
        <v>1</v>
      </c>
      <c r="M2672" s="18" t="n">
        <f aca="false">(D2672&lt;&gt;"")*(D2672&lt;=($E$3*60+$F$3)/86400)+(H2672&lt;&gt;"")*(H2672&lt;=($I$3*60+$J$3)/86400)+(J2672&lt;&gt;"")*(J2672&lt;=($M$3*60+$N$3)/86400)</f>
        <v>0</v>
      </c>
      <c r="N2672" s="20"/>
      <c r="O2672" s="20"/>
      <c r="P2672" s="20"/>
      <c r="Q2672" s="19"/>
    </row>
    <row r="2673" customFormat="false" ht="15" hidden="false" customHeight="false" outlineLevel="0" collapsed="false">
      <c r="A2673" s="10" t="n">
        <v>2667</v>
      </c>
      <c r="B2673" s="12" t="s">
        <v>4074</v>
      </c>
      <c r="C2673" s="12" t="s">
        <v>4075</v>
      </c>
      <c r="D2673" s="13"/>
      <c r="E2673" s="14"/>
      <c r="F2673" s="15" t="str">
        <f aca="false">IF(D2673="","",ROUND((D2673-MIN($D$7:$D$9999))*86400,2))</f>
        <v/>
      </c>
      <c r="G2673" s="10" t="str">
        <f aca="false">IF(D2673="","",IF(D2673&lt;=($E$3*60+$F$3)/86400,"○",""))</f>
        <v/>
      </c>
      <c r="H2673" s="16" t="n">
        <v>0.00866712962962963</v>
      </c>
      <c r="I2673" s="17" t="n">
        <v>1326</v>
      </c>
      <c r="J2673" s="16"/>
      <c r="K2673" s="17"/>
      <c r="L2673" s="17" t="n">
        <f aca="false">COUNT(E2673,I2673,K2673)</f>
        <v>1</v>
      </c>
      <c r="M2673" s="18" t="n">
        <f aca="false">(D2673&lt;&gt;"")*(D2673&lt;=($E$3*60+$F$3)/86400)+(H2673&lt;&gt;"")*(H2673&lt;=($I$3*60+$J$3)/86400)+(J2673&lt;&gt;"")*(J2673&lt;=($M$3*60+$N$3)/86400)</f>
        <v>0</v>
      </c>
      <c r="N2673" s="20"/>
      <c r="O2673" s="20"/>
      <c r="P2673" s="20"/>
      <c r="Q2673" s="19"/>
    </row>
    <row r="2674" customFormat="false" ht="15" hidden="false" customHeight="false" outlineLevel="0" collapsed="false">
      <c r="A2674" s="10" t="n">
        <v>2668</v>
      </c>
      <c r="B2674" s="12" t="s">
        <v>4076</v>
      </c>
      <c r="C2674" s="12" t="s">
        <v>1227</v>
      </c>
      <c r="D2674" s="13"/>
      <c r="E2674" s="14"/>
      <c r="F2674" s="15" t="str">
        <f aca="false">IF(D2674="","",ROUND((D2674-MIN($D$7:$D$9999))*86400,2))</f>
        <v/>
      </c>
      <c r="G2674" s="10" t="str">
        <f aca="false">IF(D2674="","",IF(D2674&lt;=($E$3*60+$F$3)/86400,"○",""))</f>
        <v/>
      </c>
      <c r="H2674" s="16" t="n">
        <v>0.00869976851851852</v>
      </c>
      <c r="I2674" s="17" t="n">
        <v>1327</v>
      </c>
      <c r="J2674" s="16"/>
      <c r="K2674" s="17"/>
      <c r="L2674" s="17" t="n">
        <f aca="false">COUNT(E2674,I2674,K2674)</f>
        <v>1</v>
      </c>
      <c r="M2674" s="18" t="n">
        <f aca="false">(D2674&lt;&gt;"")*(D2674&lt;=($E$3*60+$F$3)/86400)+(H2674&lt;&gt;"")*(H2674&lt;=($I$3*60+$J$3)/86400)+(J2674&lt;&gt;"")*(J2674&lt;=($M$3*60+$N$3)/86400)</f>
        <v>0</v>
      </c>
      <c r="N2674" s="20"/>
      <c r="O2674" s="20"/>
      <c r="P2674" s="20"/>
      <c r="Q2674" s="19"/>
    </row>
    <row r="2675" customFormat="false" ht="15" hidden="false" customHeight="false" outlineLevel="0" collapsed="false">
      <c r="A2675" s="10" t="n">
        <v>2669</v>
      </c>
      <c r="B2675" s="12" t="s">
        <v>4077</v>
      </c>
      <c r="C2675" s="12" t="s">
        <v>219</v>
      </c>
      <c r="D2675" s="13"/>
      <c r="E2675" s="14"/>
      <c r="F2675" s="15" t="str">
        <f aca="false">IF(D2675="","",ROUND((D2675-MIN($D$7:$D$9999))*86400,2))</f>
        <v/>
      </c>
      <c r="G2675" s="10" t="str">
        <f aca="false">IF(D2675="","",IF(D2675&lt;=($E$3*60+$F$3)/86400,"○",""))</f>
        <v/>
      </c>
      <c r="H2675" s="16"/>
      <c r="I2675" s="17"/>
      <c r="J2675" s="16" t="n">
        <v>0.00297523148148148</v>
      </c>
      <c r="K2675" s="17" t="n">
        <v>1327</v>
      </c>
      <c r="L2675" s="17" t="n">
        <f aca="false">COUNT(E2675,I2675,K2675)</f>
        <v>1</v>
      </c>
      <c r="M2675" s="18" t="n">
        <f aca="false">(D2675&lt;&gt;"")*(D2675&lt;=($E$3*60+$F$3)/86400)+(H2675&lt;&gt;"")*(H2675&lt;=($I$3*60+$J$3)/86400)+(J2675&lt;&gt;"")*(J2675&lt;=($M$3*60+$N$3)/86400)</f>
        <v>0</v>
      </c>
      <c r="N2675" s="20"/>
      <c r="O2675" s="20"/>
      <c r="P2675" s="20"/>
      <c r="Q2675" s="19"/>
    </row>
    <row r="2676" customFormat="false" ht="15" hidden="false" customHeight="false" outlineLevel="0" collapsed="false">
      <c r="A2676" s="10" t="n">
        <v>2670</v>
      </c>
      <c r="B2676" s="12" t="s">
        <v>4078</v>
      </c>
      <c r="C2676" s="12" t="s">
        <v>4079</v>
      </c>
      <c r="D2676" s="13"/>
      <c r="E2676" s="14"/>
      <c r="F2676" s="15" t="str">
        <f aca="false">IF(D2676="","",ROUND((D2676-MIN($D$7:$D$9999))*86400,2))</f>
        <v/>
      </c>
      <c r="G2676" s="10" t="str">
        <f aca="false">IF(D2676="","",IF(D2676&lt;=($E$3*60+$F$3)/86400,"○",""))</f>
        <v/>
      </c>
      <c r="H2676" s="16" t="n">
        <v>0.00870243055555556</v>
      </c>
      <c r="I2676" s="17" t="n">
        <v>1328</v>
      </c>
      <c r="J2676" s="16"/>
      <c r="K2676" s="17"/>
      <c r="L2676" s="17" t="n">
        <f aca="false">COUNT(E2676,I2676,K2676)</f>
        <v>1</v>
      </c>
      <c r="M2676" s="18" t="n">
        <f aca="false">(D2676&lt;&gt;"")*(D2676&lt;=($E$3*60+$F$3)/86400)+(H2676&lt;&gt;"")*(H2676&lt;=($I$3*60+$J$3)/86400)+(J2676&lt;&gt;"")*(J2676&lt;=($M$3*60+$N$3)/86400)</f>
        <v>0</v>
      </c>
      <c r="N2676" s="20"/>
      <c r="O2676" s="20"/>
      <c r="P2676" s="20"/>
      <c r="Q2676" s="19"/>
    </row>
    <row r="2677" customFormat="false" ht="15" hidden="false" customHeight="false" outlineLevel="0" collapsed="false">
      <c r="A2677" s="10" t="n">
        <v>2671</v>
      </c>
      <c r="B2677" s="12" t="s">
        <v>4080</v>
      </c>
      <c r="C2677" s="12" t="s">
        <v>4081</v>
      </c>
      <c r="D2677" s="13"/>
      <c r="E2677" s="14"/>
      <c r="F2677" s="15" t="str">
        <f aca="false">IF(D2677="","",ROUND((D2677-MIN($D$7:$D$9999))*86400,2))</f>
        <v/>
      </c>
      <c r="G2677" s="10" t="str">
        <f aca="false">IF(D2677="","",IF(D2677&lt;=($E$3*60+$F$3)/86400,"○",""))</f>
        <v/>
      </c>
      <c r="H2677" s="16" t="n">
        <v>0.0087025462962963</v>
      </c>
      <c r="I2677" s="17" t="n">
        <v>1329</v>
      </c>
      <c r="J2677" s="16"/>
      <c r="K2677" s="17"/>
      <c r="L2677" s="17" t="n">
        <f aca="false">COUNT(E2677,I2677,K2677)</f>
        <v>1</v>
      </c>
      <c r="M2677" s="18" t="n">
        <f aca="false">(D2677&lt;&gt;"")*(D2677&lt;=($E$3*60+$F$3)/86400)+(H2677&lt;&gt;"")*(H2677&lt;=($I$3*60+$J$3)/86400)+(J2677&lt;&gt;"")*(J2677&lt;=($M$3*60+$N$3)/86400)</f>
        <v>0</v>
      </c>
      <c r="N2677" s="20"/>
      <c r="O2677" s="20"/>
      <c r="P2677" s="20"/>
      <c r="Q2677" s="19"/>
    </row>
    <row r="2678" customFormat="false" ht="15" hidden="false" customHeight="false" outlineLevel="0" collapsed="false">
      <c r="A2678" s="10" t="n">
        <v>2672</v>
      </c>
      <c r="B2678" s="12" t="s">
        <v>4082</v>
      </c>
      <c r="C2678" s="12" t="s">
        <v>4083</v>
      </c>
      <c r="D2678" s="13"/>
      <c r="E2678" s="14"/>
      <c r="F2678" s="15" t="str">
        <f aca="false">IF(D2678="","",ROUND((D2678-MIN($D$7:$D$9999))*86400,2))</f>
        <v/>
      </c>
      <c r="G2678" s="10" t="str">
        <f aca="false">IF(D2678="","",IF(D2678&lt;=($E$3*60+$F$3)/86400,"○",""))</f>
        <v/>
      </c>
      <c r="H2678" s="16" t="n">
        <v>0.00871111111111111</v>
      </c>
      <c r="I2678" s="17" t="n">
        <v>1330</v>
      </c>
      <c r="J2678" s="16"/>
      <c r="K2678" s="17"/>
      <c r="L2678" s="17" t="n">
        <f aca="false">COUNT(E2678,I2678,K2678)</f>
        <v>1</v>
      </c>
      <c r="M2678" s="18" t="n">
        <f aca="false">(D2678&lt;&gt;"")*(D2678&lt;=($E$3*60+$F$3)/86400)+(H2678&lt;&gt;"")*(H2678&lt;=($I$3*60+$J$3)/86400)+(J2678&lt;&gt;"")*(J2678&lt;=($M$3*60+$N$3)/86400)</f>
        <v>0</v>
      </c>
      <c r="N2678" s="20"/>
      <c r="O2678" s="20"/>
      <c r="P2678" s="20"/>
      <c r="Q2678" s="19"/>
    </row>
    <row r="2679" customFormat="false" ht="15" hidden="false" customHeight="false" outlineLevel="0" collapsed="false">
      <c r="A2679" s="10" t="n">
        <v>2673</v>
      </c>
      <c r="B2679" s="12" t="s">
        <v>4084</v>
      </c>
      <c r="C2679" s="12" t="s">
        <v>2277</v>
      </c>
      <c r="D2679" s="13"/>
      <c r="E2679" s="14"/>
      <c r="F2679" s="15" t="str">
        <f aca="false">IF(D2679="","",ROUND((D2679-MIN($D$7:$D$9999))*86400,2))</f>
        <v/>
      </c>
      <c r="G2679" s="10" t="str">
        <f aca="false">IF(D2679="","",IF(D2679&lt;=($E$3*60+$F$3)/86400,"○",""))</f>
        <v/>
      </c>
      <c r="H2679" s="16" t="n">
        <v>0.00872453703703704</v>
      </c>
      <c r="I2679" s="17" t="n">
        <v>1331</v>
      </c>
      <c r="J2679" s="16"/>
      <c r="K2679" s="17"/>
      <c r="L2679" s="17" t="n">
        <f aca="false">COUNT(E2679,I2679,K2679)</f>
        <v>1</v>
      </c>
      <c r="M2679" s="18" t="n">
        <f aca="false">(D2679&lt;&gt;"")*(D2679&lt;=($E$3*60+$F$3)/86400)+(H2679&lt;&gt;"")*(H2679&lt;=($I$3*60+$J$3)/86400)+(J2679&lt;&gt;"")*(J2679&lt;=($M$3*60+$N$3)/86400)</f>
        <v>0</v>
      </c>
      <c r="N2679" s="20"/>
      <c r="O2679" s="20"/>
      <c r="P2679" s="20"/>
      <c r="Q2679" s="19"/>
    </row>
    <row r="2680" customFormat="false" ht="15" hidden="false" customHeight="false" outlineLevel="0" collapsed="false">
      <c r="A2680" s="10" t="n">
        <v>2674</v>
      </c>
      <c r="B2680" s="12" t="s">
        <v>4085</v>
      </c>
      <c r="C2680" s="12" t="s">
        <v>1538</v>
      </c>
      <c r="D2680" s="13"/>
      <c r="E2680" s="14"/>
      <c r="F2680" s="15" t="str">
        <f aca="false">IF(D2680="","",ROUND((D2680-MIN($D$7:$D$9999))*86400,2))</f>
        <v/>
      </c>
      <c r="G2680" s="10" t="str">
        <f aca="false">IF(D2680="","",IF(D2680&lt;=($E$3*60+$F$3)/86400,"○",""))</f>
        <v/>
      </c>
      <c r="H2680" s="16"/>
      <c r="I2680" s="17"/>
      <c r="J2680" s="16" t="n">
        <v>0.00297569444444445</v>
      </c>
      <c r="K2680" s="17" t="n">
        <v>1331</v>
      </c>
      <c r="L2680" s="17" t="n">
        <f aca="false">COUNT(E2680,I2680,K2680)</f>
        <v>1</v>
      </c>
      <c r="M2680" s="18" t="n">
        <f aca="false">(D2680&lt;&gt;"")*(D2680&lt;=($E$3*60+$F$3)/86400)+(H2680&lt;&gt;"")*(H2680&lt;=($I$3*60+$J$3)/86400)+(J2680&lt;&gt;"")*(J2680&lt;=($M$3*60+$N$3)/86400)</f>
        <v>0</v>
      </c>
      <c r="N2680" s="20"/>
      <c r="O2680" s="20"/>
      <c r="P2680" s="20"/>
      <c r="Q2680" s="19"/>
    </row>
    <row r="2681" customFormat="false" ht="15" hidden="false" customHeight="false" outlineLevel="0" collapsed="false">
      <c r="A2681" s="10" t="n">
        <v>2675</v>
      </c>
      <c r="B2681" s="12" t="s">
        <v>4086</v>
      </c>
      <c r="C2681" s="12" t="s">
        <v>4087</v>
      </c>
      <c r="D2681" s="13"/>
      <c r="E2681" s="14"/>
      <c r="F2681" s="15" t="str">
        <f aca="false">IF(D2681="","",ROUND((D2681-MIN($D$7:$D$9999))*86400,2))</f>
        <v/>
      </c>
      <c r="G2681" s="10" t="str">
        <f aca="false">IF(D2681="","",IF(D2681&lt;=($E$3*60+$F$3)/86400,"○",""))</f>
        <v/>
      </c>
      <c r="H2681" s="16" t="n">
        <v>0.00872650462962963</v>
      </c>
      <c r="I2681" s="17" t="n">
        <v>1332</v>
      </c>
      <c r="J2681" s="16"/>
      <c r="K2681" s="17"/>
      <c r="L2681" s="17" t="n">
        <f aca="false">COUNT(E2681,I2681,K2681)</f>
        <v>1</v>
      </c>
      <c r="M2681" s="18" t="n">
        <f aca="false">(D2681&lt;&gt;"")*(D2681&lt;=($E$3*60+$F$3)/86400)+(H2681&lt;&gt;"")*(H2681&lt;=($I$3*60+$J$3)/86400)+(J2681&lt;&gt;"")*(J2681&lt;=($M$3*60+$N$3)/86400)</f>
        <v>0</v>
      </c>
      <c r="N2681" s="20"/>
      <c r="O2681" s="20"/>
      <c r="P2681" s="20"/>
      <c r="Q2681" s="19"/>
    </row>
    <row r="2682" customFormat="false" ht="15" hidden="false" customHeight="false" outlineLevel="0" collapsed="false">
      <c r="A2682" s="10" t="n">
        <v>2676</v>
      </c>
      <c r="B2682" s="12" t="s">
        <v>4088</v>
      </c>
      <c r="C2682" s="12" t="s">
        <v>4089</v>
      </c>
      <c r="D2682" s="13"/>
      <c r="E2682" s="14"/>
      <c r="F2682" s="15" t="str">
        <f aca="false">IF(D2682="","",ROUND((D2682-MIN($D$7:$D$9999))*86400,2))</f>
        <v/>
      </c>
      <c r="G2682" s="10" t="str">
        <f aca="false">IF(D2682="","",IF(D2682&lt;=($E$3*60+$F$3)/86400,"○",""))</f>
        <v/>
      </c>
      <c r="H2682" s="16" t="n">
        <v>0.00873958333333333</v>
      </c>
      <c r="I2682" s="17" t="n">
        <v>1333</v>
      </c>
      <c r="J2682" s="16"/>
      <c r="K2682" s="17"/>
      <c r="L2682" s="17" t="n">
        <f aca="false">COUNT(E2682,I2682,K2682)</f>
        <v>1</v>
      </c>
      <c r="M2682" s="18" t="n">
        <f aca="false">(D2682&lt;&gt;"")*(D2682&lt;=($E$3*60+$F$3)/86400)+(H2682&lt;&gt;"")*(H2682&lt;=($I$3*60+$J$3)/86400)+(J2682&lt;&gt;"")*(J2682&lt;=($M$3*60+$N$3)/86400)</f>
        <v>0</v>
      </c>
      <c r="N2682" s="20"/>
      <c r="O2682" s="20"/>
      <c r="P2682" s="20"/>
      <c r="Q2682" s="19"/>
    </row>
    <row r="2683" customFormat="false" ht="15" hidden="false" customHeight="false" outlineLevel="0" collapsed="false">
      <c r="A2683" s="10" t="n">
        <v>2677</v>
      </c>
      <c r="B2683" s="12" t="s">
        <v>4090</v>
      </c>
      <c r="C2683" s="12" t="s">
        <v>3078</v>
      </c>
      <c r="D2683" s="13"/>
      <c r="E2683" s="14"/>
      <c r="F2683" s="15" t="str">
        <f aca="false">IF(D2683="","",ROUND((D2683-MIN($D$7:$D$9999))*86400,2))</f>
        <v/>
      </c>
      <c r="G2683" s="10" t="str">
        <f aca="false">IF(D2683="","",IF(D2683&lt;=($E$3*60+$F$3)/86400,"○",""))</f>
        <v/>
      </c>
      <c r="H2683" s="16" t="n">
        <v>0.0087556712962963</v>
      </c>
      <c r="I2683" s="17" t="n">
        <v>1334</v>
      </c>
      <c r="J2683" s="16"/>
      <c r="K2683" s="17"/>
      <c r="L2683" s="17" t="n">
        <f aca="false">COUNT(E2683,I2683,K2683)</f>
        <v>1</v>
      </c>
      <c r="M2683" s="18" t="n">
        <f aca="false">(D2683&lt;&gt;"")*(D2683&lt;=($E$3*60+$F$3)/86400)+(H2683&lt;&gt;"")*(H2683&lt;=($I$3*60+$J$3)/86400)+(J2683&lt;&gt;"")*(J2683&lt;=($M$3*60+$N$3)/86400)</f>
        <v>0</v>
      </c>
      <c r="N2683" s="20"/>
      <c r="O2683" s="20"/>
      <c r="P2683" s="20"/>
      <c r="Q2683" s="19"/>
    </row>
    <row r="2684" customFormat="false" ht="15" hidden="false" customHeight="false" outlineLevel="0" collapsed="false">
      <c r="A2684" s="10" t="n">
        <v>2678</v>
      </c>
      <c r="B2684" s="12" t="s">
        <v>4091</v>
      </c>
      <c r="C2684" s="12" t="s">
        <v>707</v>
      </c>
      <c r="D2684" s="13"/>
      <c r="E2684" s="14"/>
      <c r="F2684" s="15" t="str">
        <f aca="false">IF(D2684="","",ROUND((D2684-MIN($D$7:$D$9999))*86400,2))</f>
        <v/>
      </c>
      <c r="G2684" s="10" t="str">
        <f aca="false">IF(D2684="","",IF(D2684&lt;=($E$3*60+$F$3)/86400,"○",""))</f>
        <v/>
      </c>
      <c r="H2684" s="16"/>
      <c r="I2684" s="17"/>
      <c r="J2684" s="16" t="n">
        <v>0.00297604166666667</v>
      </c>
      <c r="K2684" s="17" t="n">
        <v>1334</v>
      </c>
      <c r="L2684" s="17" t="n">
        <f aca="false">COUNT(E2684,I2684,K2684)</f>
        <v>1</v>
      </c>
      <c r="M2684" s="18" t="n">
        <f aca="false">(D2684&lt;&gt;"")*(D2684&lt;=($E$3*60+$F$3)/86400)+(H2684&lt;&gt;"")*(H2684&lt;=($I$3*60+$J$3)/86400)+(J2684&lt;&gt;"")*(J2684&lt;=($M$3*60+$N$3)/86400)</f>
        <v>0</v>
      </c>
      <c r="N2684" s="20"/>
      <c r="O2684" s="20"/>
      <c r="P2684" s="20"/>
      <c r="Q2684" s="19"/>
    </row>
    <row r="2685" customFormat="false" ht="15" hidden="false" customHeight="false" outlineLevel="0" collapsed="false">
      <c r="A2685" s="10" t="n">
        <v>2679</v>
      </c>
      <c r="B2685" s="12" t="s">
        <v>4092</v>
      </c>
      <c r="C2685" s="12" t="s">
        <v>4093</v>
      </c>
      <c r="D2685" s="13"/>
      <c r="E2685" s="14"/>
      <c r="F2685" s="15" t="str">
        <f aca="false">IF(D2685="","",ROUND((D2685-MIN($D$7:$D$9999))*86400,2))</f>
        <v/>
      </c>
      <c r="G2685" s="10" t="str">
        <f aca="false">IF(D2685="","",IF(D2685&lt;=($E$3*60+$F$3)/86400,"○",""))</f>
        <v/>
      </c>
      <c r="H2685" s="16" t="n">
        <v>0.00876585648148148</v>
      </c>
      <c r="I2685" s="17" t="n">
        <v>1335</v>
      </c>
      <c r="J2685" s="16"/>
      <c r="K2685" s="17"/>
      <c r="L2685" s="17" t="n">
        <f aca="false">COUNT(E2685,I2685,K2685)</f>
        <v>1</v>
      </c>
      <c r="M2685" s="18" t="n">
        <f aca="false">(D2685&lt;&gt;"")*(D2685&lt;=($E$3*60+$F$3)/86400)+(H2685&lt;&gt;"")*(H2685&lt;=($I$3*60+$J$3)/86400)+(J2685&lt;&gt;"")*(J2685&lt;=($M$3*60+$N$3)/86400)</f>
        <v>0</v>
      </c>
      <c r="N2685" s="20"/>
      <c r="O2685" s="20"/>
      <c r="P2685" s="20"/>
      <c r="Q2685" s="19"/>
    </row>
    <row r="2686" customFormat="false" ht="15" hidden="false" customHeight="false" outlineLevel="0" collapsed="false">
      <c r="A2686" s="10" t="n">
        <v>2680</v>
      </c>
      <c r="B2686" s="12" t="s">
        <v>4094</v>
      </c>
      <c r="C2686" s="12" t="s">
        <v>4095</v>
      </c>
      <c r="D2686" s="13"/>
      <c r="E2686" s="14"/>
      <c r="F2686" s="15" t="str">
        <f aca="false">IF(D2686="","",ROUND((D2686-MIN($D$7:$D$9999))*86400,2))</f>
        <v/>
      </c>
      <c r="G2686" s="10" t="str">
        <f aca="false">IF(D2686="","",IF(D2686&lt;=($E$3*60+$F$3)/86400,"○",""))</f>
        <v/>
      </c>
      <c r="H2686" s="16" t="n">
        <v>0.00878009259259259</v>
      </c>
      <c r="I2686" s="17" t="n">
        <v>1336</v>
      </c>
      <c r="J2686" s="16"/>
      <c r="K2686" s="17"/>
      <c r="L2686" s="17" t="n">
        <f aca="false">COUNT(E2686,I2686,K2686)</f>
        <v>1</v>
      </c>
      <c r="M2686" s="18" t="n">
        <f aca="false">(D2686&lt;&gt;"")*(D2686&lt;=($E$3*60+$F$3)/86400)+(H2686&lt;&gt;"")*(H2686&lt;=($I$3*60+$J$3)/86400)+(J2686&lt;&gt;"")*(J2686&lt;=($M$3*60+$N$3)/86400)</f>
        <v>0</v>
      </c>
      <c r="N2686" s="20"/>
      <c r="O2686" s="20"/>
      <c r="P2686" s="20"/>
      <c r="Q2686" s="19"/>
    </row>
    <row r="2687" customFormat="false" ht="15" hidden="false" customHeight="false" outlineLevel="0" collapsed="false">
      <c r="A2687" s="10" t="n">
        <v>2681</v>
      </c>
      <c r="B2687" s="12" t="s">
        <v>4096</v>
      </c>
      <c r="C2687" s="12" t="s">
        <v>370</v>
      </c>
      <c r="D2687" s="13"/>
      <c r="E2687" s="14"/>
      <c r="F2687" s="15" t="str">
        <f aca="false">IF(D2687="","",ROUND((D2687-MIN($D$7:$D$9999))*86400,2))</f>
        <v/>
      </c>
      <c r="G2687" s="10" t="str">
        <f aca="false">IF(D2687="","",IF(D2687&lt;=($E$3*60+$F$3)/86400,"○",""))</f>
        <v/>
      </c>
      <c r="H2687" s="16"/>
      <c r="I2687" s="17"/>
      <c r="J2687" s="16" t="n">
        <v>0.00297627314814815</v>
      </c>
      <c r="K2687" s="17" t="n">
        <v>1336</v>
      </c>
      <c r="L2687" s="17" t="n">
        <f aca="false">COUNT(E2687,I2687,K2687)</f>
        <v>1</v>
      </c>
      <c r="M2687" s="18" t="n">
        <f aca="false">(D2687&lt;&gt;"")*(D2687&lt;=($E$3*60+$F$3)/86400)+(H2687&lt;&gt;"")*(H2687&lt;=($I$3*60+$J$3)/86400)+(J2687&lt;&gt;"")*(J2687&lt;=($M$3*60+$N$3)/86400)</f>
        <v>0</v>
      </c>
      <c r="N2687" s="20"/>
      <c r="O2687" s="20"/>
      <c r="P2687" s="20"/>
      <c r="Q2687" s="19"/>
    </row>
    <row r="2688" customFormat="false" ht="15" hidden="false" customHeight="false" outlineLevel="0" collapsed="false">
      <c r="A2688" s="10" t="n">
        <v>2682</v>
      </c>
      <c r="B2688" s="12" t="s">
        <v>4097</v>
      </c>
      <c r="C2688" s="12" t="s">
        <v>2564</v>
      </c>
      <c r="D2688" s="13"/>
      <c r="E2688" s="14"/>
      <c r="F2688" s="15" t="str">
        <f aca="false">IF(D2688="","",ROUND((D2688-MIN($D$7:$D$9999))*86400,2))</f>
        <v/>
      </c>
      <c r="G2688" s="10" t="str">
        <f aca="false">IF(D2688="","",IF(D2688&lt;=($E$3*60+$F$3)/86400,"○",""))</f>
        <v/>
      </c>
      <c r="H2688" s="16" t="n">
        <v>0.00878275462962963</v>
      </c>
      <c r="I2688" s="17" t="n">
        <v>1337</v>
      </c>
      <c r="J2688" s="16"/>
      <c r="K2688" s="17"/>
      <c r="L2688" s="17" t="n">
        <f aca="false">COUNT(E2688,I2688,K2688)</f>
        <v>1</v>
      </c>
      <c r="M2688" s="18" t="n">
        <f aca="false">(D2688&lt;&gt;"")*(D2688&lt;=($E$3*60+$F$3)/86400)+(H2688&lt;&gt;"")*(H2688&lt;=($I$3*60+$J$3)/86400)+(J2688&lt;&gt;"")*(J2688&lt;=($M$3*60+$N$3)/86400)</f>
        <v>0</v>
      </c>
      <c r="N2688" s="20"/>
      <c r="O2688" s="20"/>
      <c r="P2688" s="20"/>
      <c r="Q2688" s="19"/>
    </row>
    <row r="2689" customFormat="false" ht="15" hidden="false" customHeight="false" outlineLevel="0" collapsed="false">
      <c r="A2689" s="10" t="n">
        <v>2683</v>
      </c>
      <c r="B2689" s="12" t="s">
        <v>4098</v>
      </c>
      <c r="C2689" s="12" t="s">
        <v>4099</v>
      </c>
      <c r="D2689" s="13"/>
      <c r="E2689" s="14"/>
      <c r="F2689" s="15" t="str">
        <f aca="false">IF(D2689="","",ROUND((D2689-MIN($D$7:$D$9999))*86400,2))</f>
        <v/>
      </c>
      <c r="G2689" s="10" t="str">
        <f aca="false">IF(D2689="","",IF(D2689&lt;=($E$3*60+$F$3)/86400,"○",""))</f>
        <v/>
      </c>
      <c r="H2689" s="16" t="n">
        <v>0.00878865740740741</v>
      </c>
      <c r="I2689" s="17" t="n">
        <v>1338</v>
      </c>
      <c r="J2689" s="16"/>
      <c r="K2689" s="17"/>
      <c r="L2689" s="17" t="n">
        <f aca="false">COUNT(E2689,I2689,K2689)</f>
        <v>1</v>
      </c>
      <c r="M2689" s="18" t="n">
        <f aca="false">(D2689&lt;&gt;"")*(D2689&lt;=($E$3*60+$F$3)/86400)+(H2689&lt;&gt;"")*(H2689&lt;=($I$3*60+$J$3)/86400)+(J2689&lt;&gt;"")*(J2689&lt;=($M$3*60+$N$3)/86400)</f>
        <v>0</v>
      </c>
      <c r="N2689" s="20"/>
      <c r="O2689" s="20"/>
      <c r="P2689" s="20"/>
      <c r="Q2689" s="19"/>
    </row>
    <row r="2690" customFormat="false" ht="15" hidden="false" customHeight="false" outlineLevel="0" collapsed="false">
      <c r="A2690" s="10" t="n">
        <v>2684</v>
      </c>
      <c r="B2690" s="12" t="s">
        <v>4100</v>
      </c>
      <c r="C2690" s="12" t="s">
        <v>2222</v>
      </c>
      <c r="D2690" s="13"/>
      <c r="E2690" s="14"/>
      <c r="F2690" s="15" t="str">
        <f aca="false">IF(D2690="","",ROUND((D2690-MIN($D$7:$D$9999))*86400,2))</f>
        <v/>
      </c>
      <c r="G2690" s="10" t="str">
        <f aca="false">IF(D2690="","",IF(D2690&lt;=($E$3*60+$F$3)/86400,"○",""))</f>
        <v/>
      </c>
      <c r="H2690" s="16"/>
      <c r="I2690" s="17"/>
      <c r="J2690" s="16" t="n">
        <v>0.00297673611111111</v>
      </c>
      <c r="K2690" s="17" t="n">
        <v>1338</v>
      </c>
      <c r="L2690" s="17" t="n">
        <f aca="false">COUNT(E2690,I2690,K2690)</f>
        <v>1</v>
      </c>
      <c r="M2690" s="18" t="n">
        <f aca="false">(D2690&lt;&gt;"")*(D2690&lt;=($E$3*60+$F$3)/86400)+(H2690&lt;&gt;"")*(H2690&lt;=($I$3*60+$J$3)/86400)+(J2690&lt;&gt;"")*(J2690&lt;=($M$3*60+$N$3)/86400)</f>
        <v>0</v>
      </c>
      <c r="N2690" s="20"/>
      <c r="O2690" s="20"/>
      <c r="P2690" s="20"/>
      <c r="Q2690" s="19"/>
    </row>
    <row r="2691" customFormat="false" ht="15" hidden="false" customHeight="false" outlineLevel="0" collapsed="false">
      <c r="A2691" s="10" t="n">
        <v>2685</v>
      </c>
      <c r="B2691" s="12" t="s">
        <v>4101</v>
      </c>
      <c r="C2691" s="12" t="s">
        <v>3564</v>
      </c>
      <c r="D2691" s="13"/>
      <c r="E2691" s="14"/>
      <c r="F2691" s="15" t="str">
        <f aca="false">IF(D2691="","",ROUND((D2691-MIN($D$7:$D$9999))*86400,2))</f>
        <v/>
      </c>
      <c r="G2691" s="10" t="str">
        <f aca="false">IF(D2691="","",IF(D2691&lt;=($E$3*60+$F$3)/86400,"○",""))</f>
        <v/>
      </c>
      <c r="H2691" s="16" t="n">
        <v>0.00879212962962963</v>
      </c>
      <c r="I2691" s="17" t="n">
        <v>1339</v>
      </c>
      <c r="J2691" s="16"/>
      <c r="K2691" s="17"/>
      <c r="L2691" s="17" t="n">
        <f aca="false">COUNT(E2691,I2691,K2691)</f>
        <v>1</v>
      </c>
      <c r="M2691" s="18" t="n">
        <f aca="false">(D2691&lt;&gt;"")*(D2691&lt;=($E$3*60+$F$3)/86400)+(H2691&lt;&gt;"")*(H2691&lt;=($I$3*60+$J$3)/86400)+(J2691&lt;&gt;"")*(J2691&lt;=($M$3*60+$N$3)/86400)</f>
        <v>0</v>
      </c>
      <c r="N2691" s="20"/>
      <c r="O2691" s="20"/>
      <c r="P2691" s="20"/>
      <c r="Q2691" s="19"/>
    </row>
    <row r="2692" customFormat="false" ht="15" hidden="false" customHeight="false" outlineLevel="0" collapsed="false">
      <c r="A2692" s="10" t="n">
        <v>2686</v>
      </c>
      <c r="B2692" s="12" t="s">
        <v>4102</v>
      </c>
      <c r="C2692" s="12" t="s">
        <v>2192</v>
      </c>
      <c r="D2692" s="13"/>
      <c r="E2692" s="14"/>
      <c r="F2692" s="15" t="str">
        <f aca="false">IF(D2692="","",ROUND((D2692-MIN($D$7:$D$9999))*86400,2))</f>
        <v/>
      </c>
      <c r="G2692" s="10" t="str">
        <f aca="false">IF(D2692="","",IF(D2692&lt;=($E$3*60+$F$3)/86400,"○",""))</f>
        <v/>
      </c>
      <c r="H2692" s="16" t="n">
        <v>0.00881018518518519</v>
      </c>
      <c r="I2692" s="17" t="n">
        <v>1340</v>
      </c>
      <c r="J2692" s="16"/>
      <c r="K2692" s="17"/>
      <c r="L2692" s="17" t="n">
        <f aca="false">COUNT(E2692,I2692,K2692)</f>
        <v>1</v>
      </c>
      <c r="M2692" s="18" t="n">
        <f aca="false">(D2692&lt;&gt;"")*(D2692&lt;=($E$3*60+$F$3)/86400)+(H2692&lt;&gt;"")*(H2692&lt;=($I$3*60+$J$3)/86400)+(J2692&lt;&gt;"")*(J2692&lt;=($M$3*60+$N$3)/86400)</f>
        <v>0</v>
      </c>
      <c r="N2692" s="20"/>
      <c r="O2692" s="20"/>
      <c r="P2692" s="20"/>
      <c r="Q2692" s="19"/>
    </row>
    <row r="2693" customFormat="false" ht="15" hidden="false" customHeight="false" outlineLevel="0" collapsed="false">
      <c r="A2693" s="10" t="n">
        <v>2687</v>
      </c>
      <c r="B2693" s="12" t="s">
        <v>4103</v>
      </c>
      <c r="C2693" s="12" t="s">
        <v>3719</v>
      </c>
      <c r="D2693" s="13"/>
      <c r="E2693" s="14"/>
      <c r="F2693" s="15" t="str">
        <f aca="false">IF(D2693="","",ROUND((D2693-MIN($D$7:$D$9999))*86400,2))</f>
        <v/>
      </c>
      <c r="G2693" s="10" t="str">
        <f aca="false">IF(D2693="","",IF(D2693&lt;=($E$3*60+$F$3)/86400,"○",""))</f>
        <v/>
      </c>
      <c r="H2693" s="16" t="n">
        <v>0.00881296296296296</v>
      </c>
      <c r="I2693" s="17" t="n">
        <v>1341</v>
      </c>
      <c r="J2693" s="16"/>
      <c r="K2693" s="17"/>
      <c r="L2693" s="17" t="n">
        <f aca="false">COUNT(E2693,I2693,K2693)</f>
        <v>1</v>
      </c>
      <c r="M2693" s="18" t="n">
        <f aca="false">(D2693&lt;&gt;"")*(D2693&lt;=($E$3*60+$F$3)/86400)+(H2693&lt;&gt;"")*(H2693&lt;=($I$3*60+$J$3)/86400)+(J2693&lt;&gt;"")*(J2693&lt;=($M$3*60+$N$3)/86400)</f>
        <v>0</v>
      </c>
      <c r="N2693" s="20"/>
      <c r="O2693" s="20"/>
      <c r="P2693" s="20"/>
      <c r="Q2693" s="19"/>
    </row>
    <row r="2694" customFormat="false" ht="15" hidden="false" customHeight="false" outlineLevel="0" collapsed="false">
      <c r="A2694" s="10" t="n">
        <v>2688</v>
      </c>
      <c r="B2694" s="12" t="s">
        <v>4104</v>
      </c>
      <c r="C2694" s="12" t="s">
        <v>1009</v>
      </c>
      <c r="D2694" s="13"/>
      <c r="E2694" s="14"/>
      <c r="F2694" s="15" t="str">
        <f aca="false">IF(D2694="","",ROUND((D2694-MIN($D$7:$D$9999))*86400,2))</f>
        <v/>
      </c>
      <c r="G2694" s="10" t="str">
        <f aca="false">IF(D2694="","",IF(D2694&lt;=($E$3*60+$F$3)/86400,"○",""))</f>
        <v/>
      </c>
      <c r="H2694" s="16"/>
      <c r="I2694" s="17"/>
      <c r="J2694" s="16" t="n">
        <v>0.00297719907407407</v>
      </c>
      <c r="K2694" s="17" t="n">
        <v>1341</v>
      </c>
      <c r="L2694" s="17" t="n">
        <f aca="false">COUNT(E2694,I2694,K2694)</f>
        <v>1</v>
      </c>
      <c r="M2694" s="18" t="n">
        <f aca="false">(D2694&lt;&gt;"")*(D2694&lt;=($E$3*60+$F$3)/86400)+(H2694&lt;&gt;"")*(H2694&lt;=($I$3*60+$J$3)/86400)+(J2694&lt;&gt;"")*(J2694&lt;=($M$3*60+$N$3)/86400)</f>
        <v>0</v>
      </c>
      <c r="N2694" s="20"/>
      <c r="O2694" s="20"/>
      <c r="P2694" s="20"/>
      <c r="Q2694" s="19"/>
    </row>
    <row r="2695" customFormat="false" ht="15" hidden="false" customHeight="false" outlineLevel="0" collapsed="false">
      <c r="A2695" s="10" t="n">
        <v>2689</v>
      </c>
      <c r="B2695" s="12" t="s">
        <v>4105</v>
      </c>
      <c r="C2695" s="12" t="s">
        <v>1847</v>
      </c>
      <c r="D2695" s="13"/>
      <c r="E2695" s="14"/>
      <c r="F2695" s="15" t="str">
        <f aca="false">IF(D2695="","",ROUND((D2695-MIN($D$7:$D$9999))*86400,2))</f>
        <v/>
      </c>
      <c r="G2695" s="10" t="str">
        <f aca="false">IF(D2695="","",IF(D2695&lt;=($E$3*60+$F$3)/86400,"○",""))</f>
        <v/>
      </c>
      <c r="H2695" s="16" t="n">
        <v>0.00881550925925926</v>
      </c>
      <c r="I2695" s="17" t="n">
        <v>1342</v>
      </c>
      <c r="J2695" s="16"/>
      <c r="K2695" s="17"/>
      <c r="L2695" s="17" t="n">
        <f aca="false">COUNT(E2695,I2695,K2695)</f>
        <v>1</v>
      </c>
      <c r="M2695" s="18" t="n">
        <f aca="false">(D2695&lt;&gt;"")*(D2695&lt;=($E$3*60+$F$3)/86400)+(H2695&lt;&gt;"")*(H2695&lt;=($I$3*60+$J$3)/86400)+(J2695&lt;&gt;"")*(J2695&lt;=($M$3*60+$N$3)/86400)</f>
        <v>0</v>
      </c>
      <c r="N2695" s="20"/>
      <c r="O2695" s="20"/>
      <c r="P2695" s="20"/>
      <c r="Q2695" s="19"/>
    </row>
    <row r="2696" customFormat="false" ht="15" hidden="false" customHeight="false" outlineLevel="0" collapsed="false">
      <c r="A2696" s="10" t="n">
        <v>2690</v>
      </c>
      <c r="B2696" s="12" t="s">
        <v>4106</v>
      </c>
      <c r="C2696" s="12" t="s">
        <v>2312</v>
      </c>
      <c r="D2696" s="13"/>
      <c r="E2696" s="14"/>
      <c r="F2696" s="15" t="str">
        <f aca="false">IF(D2696="","",ROUND((D2696-MIN($D$7:$D$9999))*86400,2))</f>
        <v/>
      </c>
      <c r="G2696" s="10" t="str">
        <f aca="false">IF(D2696="","",IF(D2696&lt;=($E$3*60+$F$3)/86400,"○",""))</f>
        <v/>
      </c>
      <c r="H2696" s="16"/>
      <c r="I2696" s="17"/>
      <c r="J2696" s="16" t="n">
        <v>0.00297731481481482</v>
      </c>
      <c r="K2696" s="17" t="n">
        <v>1342</v>
      </c>
      <c r="L2696" s="17" t="n">
        <f aca="false">COUNT(E2696,I2696,K2696)</f>
        <v>1</v>
      </c>
      <c r="M2696" s="18" t="n">
        <f aca="false">(D2696&lt;&gt;"")*(D2696&lt;=($E$3*60+$F$3)/86400)+(H2696&lt;&gt;"")*(H2696&lt;=($I$3*60+$J$3)/86400)+(J2696&lt;&gt;"")*(J2696&lt;=($M$3*60+$N$3)/86400)</f>
        <v>0</v>
      </c>
      <c r="N2696" s="20"/>
      <c r="O2696" s="20"/>
      <c r="P2696" s="20"/>
      <c r="Q2696" s="19"/>
    </row>
    <row r="2697" customFormat="false" ht="15" hidden="false" customHeight="false" outlineLevel="0" collapsed="false">
      <c r="A2697" s="10" t="n">
        <v>2691</v>
      </c>
      <c r="B2697" s="12" t="s">
        <v>4107</v>
      </c>
      <c r="C2697" s="12" t="s">
        <v>2899</v>
      </c>
      <c r="D2697" s="13"/>
      <c r="E2697" s="14"/>
      <c r="F2697" s="15" t="str">
        <f aca="false">IF(D2697="","",ROUND((D2697-MIN($D$7:$D$9999))*86400,2))</f>
        <v/>
      </c>
      <c r="G2697" s="10" t="str">
        <f aca="false">IF(D2697="","",IF(D2697&lt;=($E$3*60+$F$3)/86400,"○",""))</f>
        <v/>
      </c>
      <c r="H2697" s="16" t="n">
        <v>0.00884328703703704</v>
      </c>
      <c r="I2697" s="17" t="n">
        <v>1343</v>
      </c>
      <c r="J2697" s="16"/>
      <c r="K2697" s="17"/>
      <c r="L2697" s="17" t="n">
        <f aca="false">COUNT(E2697,I2697,K2697)</f>
        <v>1</v>
      </c>
      <c r="M2697" s="18" t="n">
        <f aca="false">(D2697&lt;&gt;"")*(D2697&lt;=($E$3*60+$F$3)/86400)+(H2697&lt;&gt;"")*(H2697&lt;=($I$3*60+$J$3)/86400)+(J2697&lt;&gt;"")*(J2697&lt;=($M$3*60+$N$3)/86400)</f>
        <v>0</v>
      </c>
      <c r="N2697" s="20"/>
      <c r="O2697" s="20"/>
      <c r="P2697" s="20"/>
      <c r="Q2697" s="19"/>
    </row>
    <row r="2698" customFormat="false" ht="15" hidden="false" customHeight="false" outlineLevel="0" collapsed="false">
      <c r="A2698" s="10" t="n">
        <v>2692</v>
      </c>
      <c r="B2698" s="12" t="s">
        <v>4108</v>
      </c>
      <c r="C2698" s="12" t="s">
        <v>4109</v>
      </c>
      <c r="D2698" s="13"/>
      <c r="E2698" s="14"/>
      <c r="F2698" s="15" t="str">
        <f aca="false">IF(D2698="","",ROUND((D2698-MIN($D$7:$D$9999))*86400,2))</f>
        <v/>
      </c>
      <c r="G2698" s="10" t="str">
        <f aca="false">IF(D2698="","",IF(D2698&lt;=($E$3*60+$F$3)/86400,"○",""))</f>
        <v/>
      </c>
      <c r="H2698" s="16" t="n">
        <v>0.00884664351851852</v>
      </c>
      <c r="I2698" s="17" t="n">
        <v>1344</v>
      </c>
      <c r="J2698" s="16"/>
      <c r="K2698" s="17"/>
      <c r="L2698" s="17" t="n">
        <f aca="false">COUNT(E2698,I2698,K2698)</f>
        <v>1</v>
      </c>
      <c r="M2698" s="18" t="n">
        <f aca="false">(D2698&lt;&gt;"")*(D2698&lt;=($E$3*60+$F$3)/86400)+(H2698&lt;&gt;"")*(H2698&lt;=($I$3*60+$J$3)/86400)+(J2698&lt;&gt;"")*(J2698&lt;=($M$3*60+$N$3)/86400)</f>
        <v>0</v>
      </c>
      <c r="N2698" s="20"/>
      <c r="O2698" s="20"/>
      <c r="P2698" s="20"/>
      <c r="Q2698" s="19"/>
    </row>
    <row r="2699" customFormat="false" ht="15" hidden="false" customHeight="false" outlineLevel="0" collapsed="false">
      <c r="A2699" s="10" t="n">
        <v>2693</v>
      </c>
      <c r="B2699" s="12" t="s">
        <v>4110</v>
      </c>
      <c r="C2699" s="12" t="s">
        <v>2283</v>
      </c>
      <c r="D2699" s="13"/>
      <c r="E2699" s="14"/>
      <c r="F2699" s="15" t="str">
        <f aca="false">IF(D2699="","",ROUND((D2699-MIN($D$7:$D$9999))*86400,2))</f>
        <v/>
      </c>
      <c r="G2699" s="10" t="str">
        <f aca="false">IF(D2699="","",IF(D2699&lt;=($E$3*60+$F$3)/86400,"○",""))</f>
        <v/>
      </c>
      <c r="H2699" s="16" t="n">
        <v>0.0088494212962963</v>
      </c>
      <c r="I2699" s="17" t="n">
        <v>1345</v>
      </c>
      <c r="J2699" s="16"/>
      <c r="K2699" s="17"/>
      <c r="L2699" s="17" t="n">
        <f aca="false">COUNT(E2699,I2699,K2699)</f>
        <v>1</v>
      </c>
      <c r="M2699" s="18" t="n">
        <f aca="false">(D2699&lt;&gt;"")*(D2699&lt;=($E$3*60+$F$3)/86400)+(H2699&lt;&gt;"")*(H2699&lt;=($I$3*60+$J$3)/86400)+(J2699&lt;&gt;"")*(J2699&lt;=($M$3*60+$N$3)/86400)</f>
        <v>0</v>
      </c>
      <c r="N2699" s="20"/>
      <c r="O2699" s="20"/>
      <c r="P2699" s="20"/>
      <c r="Q2699" s="19"/>
    </row>
    <row r="2700" customFormat="false" ht="15" hidden="false" customHeight="false" outlineLevel="0" collapsed="false">
      <c r="A2700" s="10" t="n">
        <v>2694</v>
      </c>
      <c r="B2700" s="12" t="s">
        <v>4111</v>
      </c>
      <c r="C2700" s="12" t="s">
        <v>4112</v>
      </c>
      <c r="D2700" s="13"/>
      <c r="E2700" s="14"/>
      <c r="F2700" s="15" t="str">
        <f aca="false">IF(D2700="","",ROUND((D2700-MIN($D$7:$D$9999))*86400,2))</f>
        <v/>
      </c>
      <c r="G2700" s="10" t="str">
        <f aca="false">IF(D2700="","",IF(D2700&lt;=($E$3*60+$F$3)/86400,"○",""))</f>
        <v/>
      </c>
      <c r="H2700" s="16"/>
      <c r="I2700" s="17"/>
      <c r="J2700" s="16" t="n">
        <v>0.002978125</v>
      </c>
      <c r="K2700" s="17" t="n">
        <v>1345</v>
      </c>
      <c r="L2700" s="17" t="n">
        <f aca="false">COUNT(E2700,I2700,K2700)</f>
        <v>1</v>
      </c>
      <c r="M2700" s="18" t="n">
        <f aca="false">(D2700&lt;&gt;"")*(D2700&lt;=($E$3*60+$F$3)/86400)+(H2700&lt;&gt;"")*(H2700&lt;=($I$3*60+$J$3)/86400)+(J2700&lt;&gt;"")*(J2700&lt;=($M$3*60+$N$3)/86400)</f>
        <v>0</v>
      </c>
      <c r="N2700" s="20"/>
      <c r="O2700" s="20"/>
      <c r="P2700" s="20"/>
      <c r="Q2700" s="19"/>
    </row>
    <row r="2701" customFormat="false" ht="15" hidden="false" customHeight="false" outlineLevel="0" collapsed="false">
      <c r="A2701" s="10" t="n">
        <v>2695</v>
      </c>
      <c r="B2701" s="12" t="s">
        <v>4113</v>
      </c>
      <c r="C2701" s="12" t="s">
        <v>3882</v>
      </c>
      <c r="D2701" s="13"/>
      <c r="E2701" s="14"/>
      <c r="F2701" s="15" t="str">
        <f aca="false">IF(D2701="","",ROUND((D2701-MIN($D$7:$D$9999))*86400,2))</f>
        <v/>
      </c>
      <c r="G2701" s="10" t="str">
        <f aca="false">IF(D2701="","",IF(D2701&lt;=($E$3*60+$F$3)/86400,"○",""))</f>
        <v/>
      </c>
      <c r="H2701" s="16" t="n">
        <v>0.00888935185185185</v>
      </c>
      <c r="I2701" s="17" t="n">
        <v>1346</v>
      </c>
      <c r="J2701" s="16"/>
      <c r="K2701" s="17"/>
      <c r="L2701" s="17" t="n">
        <f aca="false">COUNT(E2701,I2701,K2701)</f>
        <v>1</v>
      </c>
      <c r="M2701" s="18" t="n">
        <f aca="false">(D2701&lt;&gt;"")*(D2701&lt;=($E$3*60+$F$3)/86400)+(H2701&lt;&gt;"")*(H2701&lt;=($I$3*60+$J$3)/86400)+(J2701&lt;&gt;"")*(J2701&lt;=($M$3*60+$N$3)/86400)</f>
        <v>0</v>
      </c>
      <c r="N2701" s="20"/>
      <c r="O2701" s="20"/>
      <c r="P2701" s="20"/>
      <c r="Q2701" s="19"/>
    </row>
    <row r="2702" customFormat="false" ht="15" hidden="false" customHeight="false" outlineLevel="0" collapsed="false">
      <c r="A2702" s="10" t="n">
        <v>2696</v>
      </c>
      <c r="B2702" s="12" t="s">
        <v>4114</v>
      </c>
      <c r="C2702" s="12" t="s">
        <v>3493</v>
      </c>
      <c r="D2702" s="13"/>
      <c r="E2702" s="14"/>
      <c r="F2702" s="15" t="str">
        <f aca="false">IF(D2702="","",ROUND((D2702-MIN($D$7:$D$9999))*86400,2))</f>
        <v/>
      </c>
      <c r="G2702" s="10" t="str">
        <f aca="false">IF(D2702="","",IF(D2702&lt;=($E$3*60+$F$3)/86400,"○",""))</f>
        <v/>
      </c>
      <c r="H2702" s="16" t="n">
        <v>0.00890381944444444</v>
      </c>
      <c r="I2702" s="17" t="n">
        <v>1347</v>
      </c>
      <c r="J2702" s="16"/>
      <c r="K2702" s="17"/>
      <c r="L2702" s="17" t="n">
        <f aca="false">COUNT(E2702,I2702,K2702)</f>
        <v>1</v>
      </c>
      <c r="M2702" s="18" t="n">
        <f aca="false">(D2702&lt;&gt;"")*(D2702&lt;=($E$3*60+$F$3)/86400)+(H2702&lt;&gt;"")*(H2702&lt;=($I$3*60+$J$3)/86400)+(J2702&lt;&gt;"")*(J2702&lt;=($M$3*60+$N$3)/86400)</f>
        <v>0</v>
      </c>
      <c r="N2702" s="20"/>
      <c r="O2702" s="20"/>
      <c r="P2702" s="20"/>
      <c r="Q2702" s="19"/>
    </row>
    <row r="2703" customFormat="false" ht="15" hidden="false" customHeight="false" outlineLevel="0" collapsed="false">
      <c r="A2703" s="10" t="n">
        <v>2697</v>
      </c>
      <c r="B2703" s="12" t="s">
        <v>4115</v>
      </c>
      <c r="C2703" s="12" t="s">
        <v>382</v>
      </c>
      <c r="D2703" s="13"/>
      <c r="E2703" s="14"/>
      <c r="F2703" s="15" t="str">
        <f aca="false">IF(D2703="","",ROUND((D2703-MIN($D$7:$D$9999))*86400,2))</f>
        <v/>
      </c>
      <c r="G2703" s="10" t="str">
        <f aca="false">IF(D2703="","",IF(D2703&lt;=($E$3*60+$F$3)/86400,"○",""))</f>
        <v/>
      </c>
      <c r="H2703" s="16"/>
      <c r="I2703" s="17"/>
      <c r="J2703" s="16" t="n">
        <v>0.00297847222222222</v>
      </c>
      <c r="K2703" s="17" t="n">
        <v>1347</v>
      </c>
      <c r="L2703" s="17" t="n">
        <f aca="false">COUNT(E2703,I2703,K2703)</f>
        <v>1</v>
      </c>
      <c r="M2703" s="18" t="n">
        <f aca="false">(D2703&lt;&gt;"")*(D2703&lt;=($E$3*60+$F$3)/86400)+(H2703&lt;&gt;"")*(H2703&lt;=($I$3*60+$J$3)/86400)+(J2703&lt;&gt;"")*(J2703&lt;=($M$3*60+$N$3)/86400)</f>
        <v>0</v>
      </c>
      <c r="N2703" s="20"/>
      <c r="O2703" s="20"/>
      <c r="P2703" s="20"/>
      <c r="Q2703" s="19"/>
    </row>
    <row r="2704" customFormat="false" ht="15" hidden="false" customHeight="false" outlineLevel="0" collapsed="false">
      <c r="A2704" s="10" t="n">
        <v>2698</v>
      </c>
      <c r="B2704" s="12" t="s">
        <v>4116</v>
      </c>
      <c r="C2704" s="12" t="s">
        <v>4117</v>
      </c>
      <c r="D2704" s="13"/>
      <c r="E2704" s="14"/>
      <c r="F2704" s="15" t="str">
        <f aca="false">IF(D2704="","",ROUND((D2704-MIN($D$7:$D$9999))*86400,2))</f>
        <v/>
      </c>
      <c r="G2704" s="10" t="str">
        <f aca="false">IF(D2704="","",IF(D2704&lt;=($E$3*60+$F$3)/86400,"○",""))</f>
        <v/>
      </c>
      <c r="H2704" s="16" t="n">
        <v>0.00891770833333333</v>
      </c>
      <c r="I2704" s="17" t="n">
        <v>1348</v>
      </c>
      <c r="J2704" s="16"/>
      <c r="K2704" s="17"/>
      <c r="L2704" s="17" t="n">
        <f aca="false">COUNT(E2704,I2704,K2704)</f>
        <v>1</v>
      </c>
      <c r="M2704" s="18" t="n">
        <f aca="false">(D2704&lt;&gt;"")*(D2704&lt;=($E$3*60+$F$3)/86400)+(H2704&lt;&gt;"")*(H2704&lt;=($I$3*60+$J$3)/86400)+(J2704&lt;&gt;"")*(J2704&lt;=($M$3*60+$N$3)/86400)</f>
        <v>0</v>
      </c>
      <c r="N2704" s="20"/>
      <c r="O2704" s="20"/>
      <c r="P2704" s="20"/>
      <c r="Q2704" s="19"/>
    </row>
    <row r="2705" customFormat="false" ht="15" hidden="false" customHeight="false" outlineLevel="0" collapsed="false">
      <c r="A2705" s="10" t="n">
        <v>2699</v>
      </c>
      <c r="B2705" s="12" t="s">
        <v>4118</v>
      </c>
      <c r="C2705" s="12" t="s">
        <v>1570</v>
      </c>
      <c r="D2705" s="13"/>
      <c r="E2705" s="14"/>
      <c r="F2705" s="15" t="str">
        <f aca="false">IF(D2705="","",ROUND((D2705-MIN($D$7:$D$9999))*86400,2))</f>
        <v/>
      </c>
      <c r="G2705" s="10" t="str">
        <f aca="false">IF(D2705="","",IF(D2705&lt;=($E$3*60+$F$3)/86400,"○",""))</f>
        <v/>
      </c>
      <c r="H2705" s="16"/>
      <c r="I2705" s="17"/>
      <c r="J2705" s="16" t="n">
        <v>0.00297893518518519</v>
      </c>
      <c r="K2705" s="17" t="n">
        <v>1348</v>
      </c>
      <c r="L2705" s="17" t="n">
        <f aca="false">COUNT(E2705,I2705,K2705)</f>
        <v>1</v>
      </c>
      <c r="M2705" s="18" t="n">
        <f aca="false">(D2705&lt;&gt;"")*(D2705&lt;=($E$3*60+$F$3)/86400)+(H2705&lt;&gt;"")*(H2705&lt;=($I$3*60+$J$3)/86400)+(J2705&lt;&gt;"")*(J2705&lt;=($M$3*60+$N$3)/86400)</f>
        <v>0</v>
      </c>
      <c r="N2705" s="20"/>
      <c r="O2705" s="20"/>
      <c r="P2705" s="20"/>
      <c r="Q2705" s="19"/>
    </row>
    <row r="2706" customFormat="false" ht="15" hidden="false" customHeight="false" outlineLevel="0" collapsed="false">
      <c r="A2706" s="10" t="n">
        <v>2700</v>
      </c>
      <c r="B2706" s="12" t="s">
        <v>4119</v>
      </c>
      <c r="C2706" s="12" t="s">
        <v>569</v>
      </c>
      <c r="D2706" s="13"/>
      <c r="E2706" s="14"/>
      <c r="F2706" s="15" t="str">
        <f aca="false">IF(D2706="","",ROUND((D2706-MIN($D$7:$D$9999))*86400,2))</f>
        <v/>
      </c>
      <c r="G2706" s="10" t="str">
        <f aca="false">IF(D2706="","",IF(D2706&lt;=($E$3*60+$F$3)/86400,"○",""))</f>
        <v/>
      </c>
      <c r="H2706" s="16" t="n">
        <v>0.008946875</v>
      </c>
      <c r="I2706" s="17" t="n">
        <v>1349</v>
      </c>
      <c r="J2706" s="16"/>
      <c r="K2706" s="17"/>
      <c r="L2706" s="17" t="n">
        <f aca="false">COUNT(E2706,I2706,K2706)</f>
        <v>1</v>
      </c>
      <c r="M2706" s="18" t="n">
        <f aca="false">(D2706&lt;&gt;"")*(D2706&lt;=($E$3*60+$F$3)/86400)+(H2706&lt;&gt;"")*(H2706&lt;=($I$3*60+$J$3)/86400)+(J2706&lt;&gt;"")*(J2706&lt;=($M$3*60+$N$3)/86400)</f>
        <v>0</v>
      </c>
      <c r="N2706" s="20"/>
      <c r="O2706" s="20"/>
      <c r="P2706" s="20"/>
      <c r="Q2706" s="19"/>
    </row>
    <row r="2707" customFormat="false" ht="15" hidden="false" customHeight="false" outlineLevel="0" collapsed="false">
      <c r="A2707" s="10" t="n">
        <v>2701</v>
      </c>
      <c r="B2707" s="12" t="s">
        <v>4120</v>
      </c>
      <c r="C2707" s="12" t="s">
        <v>4121</v>
      </c>
      <c r="D2707" s="13"/>
      <c r="E2707" s="14"/>
      <c r="F2707" s="15" t="str">
        <f aca="false">IF(D2707="","",ROUND((D2707-MIN($D$7:$D$9999))*86400,2))</f>
        <v/>
      </c>
      <c r="G2707" s="10" t="str">
        <f aca="false">IF(D2707="","",IF(D2707&lt;=($E$3*60+$F$3)/86400,"○",""))</f>
        <v/>
      </c>
      <c r="H2707" s="16" t="n">
        <v>0.00894965277777778</v>
      </c>
      <c r="I2707" s="17" t="n">
        <v>1350</v>
      </c>
      <c r="J2707" s="16"/>
      <c r="K2707" s="17"/>
      <c r="L2707" s="17" t="n">
        <f aca="false">COUNT(E2707,I2707,K2707)</f>
        <v>1</v>
      </c>
      <c r="M2707" s="18" t="n">
        <f aca="false">(D2707&lt;&gt;"")*(D2707&lt;=($E$3*60+$F$3)/86400)+(H2707&lt;&gt;"")*(H2707&lt;=($I$3*60+$J$3)/86400)+(J2707&lt;&gt;"")*(J2707&lt;=($M$3*60+$N$3)/86400)</f>
        <v>0</v>
      </c>
      <c r="N2707" s="20"/>
      <c r="O2707" s="20"/>
      <c r="P2707" s="20"/>
      <c r="Q2707" s="19"/>
    </row>
    <row r="2708" customFormat="false" ht="15" hidden="false" customHeight="false" outlineLevel="0" collapsed="false">
      <c r="A2708" s="10" t="n">
        <v>2702</v>
      </c>
      <c r="B2708" s="12" t="s">
        <v>4122</v>
      </c>
      <c r="C2708" s="12" t="s">
        <v>4123</v>
      </c>
      <c r="D2708" s="13"/>
      <c r="E2708" s="14"/>
      <c r="F2708" s="15" t="str">
        <f aca="false">IF(D2708="","",ROUND((D2708-MIN($D$7:$D$9999))*86400,2))</f>
        <v/>
      </c>
      <c r="G2708" s="10" t="str">
        <f aca="false">IF(D2708="","",IF(D2708&lt;=($E$3*60+$F$3)/86400,"○",""))</f>
        <v/>
      </c>
      <c r="H2708" s="16" t="n">
        <v>0.00895011574074074</v>
      </c>
      <c r="I2708" s="17" t="n">
        <v>1351</v>
      </c>
      <c r="J2708" s="16"/>
      <c r="K2708" s="17"/>
      <c r="L2708" s="17" t="n">
        <f aca="false">COUNT(E2708,I2708,K2708)</f>
        <v>1</v>
      </c>
      <c r="M2708" s="18" t="n">
        <f aca="false">(D2708&lt;&gt;"")*(D2708&lt;=($E$3*60+$F$3)/86400)+(H2708&lt;&gt;"")*(H2708&lt;=($I$3*60+$J$3)/86400)+(J2708&lt;&gt;"")*(J2708&lt;=($M$3*60+$N$3)/86400)</f>
        <v>0</v>
      </c>
      <c r="N2708" s="20"/>
      <c r="O2708" s="20"/>
      <c r="P2708" s="20"/>
      <c r="Q2708" s="19"/>
    </row>
    <row r="2709" customFormat="false" ht="15" hidden="false" customHeight="false" outlineLevel="0" collapsed="false">
      <c r="A2709" s="10" t="n">
        <v>2703</v>
      </c>
      <c r="B2709" s="12" t="s">
        <v>4124</v>
      </c>
      <c r="C2709" s="12" t="s">
        <v>4125</v>
      </c>
      <c r="D2709" s="13"/>
      <c r="E2709" s="14"/>
      <c r="F2709" s="15" t="str">
        <f aca="false">IF(D2709="","",ROUND((D2709-MIN($D$7:$D$9999))*86400,2))</f>
        <v/>
      </c>
      <c r="G2709" s="10" t="str">
        <f aca="false">IF(D2709="","",IF(D2709&lt;=($E$3*60+$F$3)/86400,"○",""))</f>
        <v/>
      </c>
      <c r="H2709" s="16" t="n">
        <v>0.00897789351851852</v>
      </c>
      <c r="I2709" s="17" t="n">
        <v>1352</v>
      </c>
      <c r="J2709" s="16"/>
      <c r="K2709" s="17"/>
      <c r="L2709" s="17" t="n">
        <f aca="false">COUNT(E2709,I2709,K2709)</f>
        <v>1</v>
      </c>
      <c r="M2709" s="18" t="n">
        <f aca="false">(D2709&lt;&gt;"")*(D2709&lt;=($E$3*60+$F$3)/86400)+(H2709&lt;&gt;"")*(H2709&lt;=($I$3*60+$J$3)/86400)+(J2709&lt;&gt;"")*(J2709&lt;=($M$3*60+$N$3)/86400)</f>
        <v>0</v>
      </c>
      <c r="N2709" s="20"/>
      <c r="O2709" s="20"/>
      <c r="P2709" s="20"/>
      <c r="Q2709" s="19"/>
    </row>
    <row r="2710" customFormat="false" ht="15" hidden="false" customHeight="false" outlineLevel="0" collapsed="false">
      <c r="A2710" s="10" t="n">
        <v>2704</v>
      </c>
      <c r="B2710" s="12" t="s">
        <v>4126</v>
      </c>
      <c r="C2710" s="12" t="s">
        <v>2073</v>
      </c>
      <c r="D2710" s="13"/>
      <c r="E2710" s="14"/>
      <c r="F2710" s="15" t="str">
        <f aca="false">IF(D2710="","",ROUND((D2710-MIN($D$7:$D$9999))*86400,2))</f>
        <v/>
      </c>
      <c r="G2710" s="10" t="str">
        <f aca="false">IF(D2710="","",IF(D2710&lt;=($E$3*60+$F$3)/86400,"○",""))</f>
        <v/>
      </c>
      <c r="H2710" s="16"/>
      <c r="I2710" s="17"/>
      <c r="J2710" s="16" t="n">
        <v>0.00297997685185185</v>
      </c>
      <c r="K2710" s="17" t="n">
        <v>1352</v>
      </c>
      <c r="L2710" s="17" t="n">
        <f aca="false">COUNT(E2710,I2710,K2710)</f>
        <v>1</v>
      </c>
      <c r="M2710" s="18" t="n">
        <f aca="false">(D2710&lt;&gt;"")*(D2710&lt;=($E$3*60+$F$3)/86400)+(H2710&lt;&gt;"")*(H2710&lt;=($I$3*60+$J$3)/86400)+(J2710&lt;&gt;"")*(J2710&lt;=($M$3*60+$N$3)/86400)</f>
        <v>0</v>
      </c>
      <c r="N2710" s="20"/>
      <c r="O2710" s="20"/>
      <c r="P2710" s="20"/>
      <c r="Q2710" s="19"/>
    </row>
    <row r="2711" customFormat="false" ht="15" hidden="false" customHeight="false" outlineLevel="0" collapsed="false">
      <c r="A2711" s="10" t="n">
        <v>2705</v>
      </c>
      <c r="B2711" s="12" t="s">
        <v>4127</v>
      </c>
      <c r="C2711" s="12" t="s">
        <v>4048</v>
      </c>
      <c r="D2711" s="13"/>
      <c r="E2711" s="14"/>
      <c r="F2711" s="15" t="str">
        <f aca="false">IF(D2711="","",ROUND((D2711-MIN($D$7:$D$9999))*86400,2))</f>
        <v/>
      </c>
      <c r="G2711" s="10" t="str">
        <f aca="false">IF(D2711="","",IF(D2711&lt;=($E$3*60+$F$3)/86400,"○",""))</f>
        <v/>
      </c>
      <c r="H2711" s="16" t="n">
        <v>0.009009375</v>
      </c>
      <c r="I2711" s="17" t="n">
        <v>1353</v>
      </c>
      <c r="J2711" s="16"/>
      <c r="K2711" s="17"/>
      <c r="L2711" s="17" t="n">
        <f aca="false">COUNT(E2711,I2711,K2711)</f>
        <v>1</v>
      </c>
      <c r="M2711" s="18" t="n">
        <f aca="false">(D2711&lt;&gt;"")*(D2711&lt;=($E$3*60+$F$3)/86400)+(H2711&lt;&gt;"")*(H2711&lt;=($I$3*60+$J$3)/86400)+(J2711&lt;&gt;"")*(J2711&lt;=($M$3*60+$N$3)/86400)</f>
        <v>0</v>
      </c>
      <c r="N2711" s="20"/>
      <c r="O2711" s="20"/>
      <c r="P2711" s="20"/>
      <c r="Q2711" s="19"/>
    </row>
    <row r="2712" customFormat="false" ht="15" hidden="false" customHeight="false" outlineLevel="0" collapsed="false">
      <c r="A2712" s="10" t="n">
        <v>2706</v>
      </c>
      <c r="B2712" s="12" t="s">
        <v>4128</v>
      </c>
      <c r="C2712" s="12" t="s">
        <v>3467</v>
      </c>
      <c r="D2712" s="13"/>
      <c r="E2712" s="14"/>
      <c r="F2712" s="15" t="str">
        <f aca="false">IF(D2712="","",ROUND((D2712-MIN($D$7:$D$9999))*86400,2))</f>
        <v/>
      </c>
      <c r="G2712" s="10" t="str">
        <f aca="false">IF(D2712="","",IF(D2712&lt;=($E$3*60+$F$3)/86400,"○",""))</f>
        <v/>
      </c>
      <c r="H2712" s="16"/>
      <c r="I2712" s="17"/>
      <c r="J2712" s="16" t="n">
        <v>0.00297997685185185</v>
      </c>
      <c r="K2712" s="17" t="n">
        <v>1353</v>
      </c>
      <c r="L2712" s="17" t="n">
        <f aca="false">COUNT(E2712,I2712,K2712)</f>
        <v>1</v>
      </c>
      <c r="M2712" s="18" t="n">
        <f aca="false">(D2712&lt;&gt;"")*(D2712&lt;=($E$3*60+$F$3)/86400)+(H2712&lt;&gt;"")*(H2712&lt;=($I$3*60+$J$3)/86400)+(J2712&lt;&gt;"")*(J2712&lt;=($M$3*60+$N$3)/86400)</f>
        <v>0</v>
      </c>
      <c r="N2712" s="20"/>
      <c r="O2712" s="20"/>
      <c r="P2712" s="20"/>
      <c r="Q2712" s="19"/>
    </row>
    <row r="2713" customFormat="false" ht="15" hidden="false" customHeight="false" outlineLevel="0" collapsed="false">
      <c r="A2713" s="10" t="n">
        <v>2707</v>
      </c>
      <c r="B2713" s="12" t="s">
        <v>4129</v>
      </c>
      <c r="C2713" s="12" t="s">
        <v>2711</v>
      </c>
      <c r="D2713" s="13"/>
      <c r="E2713" s="14"/>
      <c r="F2713" s="15" t="str">
        <f aca="false">IF(D2713="","",ROUND((D2713-MIN($D$7:$D$9999))*86400,2))</f>
        <v/>
      </c>
      <c r="G2713" s="10" t="str">
        <f aca="false">IF(D2713="","",IF(D2713&lt;=($E$3*60+$F$3)/86400,"○",""))</f>
        <v/>
      </c>
      <c r="H2713" s="16" t="n">
        <v>0.00901157407407408</v>
      </c>
      <c r="I2713" s="17" t="n">
        <v>1354</v>
      </c>
      <c r="J2713" s="16"/>
      <c r="K2713" s="17"/>
      <c r="L2713" s="17" t="n">
        <f aca="false">COUNT(E2713,I2713,K2713)</f>
        <v>1</v>
      </c>
      <c r="M2713" s="18" t="n">
        <f aca="false">(D2713&lt;&gt;"")*(D2713&lt;=($E$3*60+$F$3)/86400)+(H2713&lt;&gt;"")*(H2713&lt;=($I$3*60+$J$3)/86400)+(J2713&lt;&gt;"")*(J2713&lt;=($M$3*60+$N$3)/86400)</f>
        <v>0</v>
      </c>
      <c r="N2713" s="20"/>
      <c r="O2713" s="20"/>
      <c r="P2713" s="20"/>
      <c r="Q2713" s="19"/>
    </row>
    <row r="2714" customFormat="false" ht="15" hidden="false" customHeight="false" outlineLevel="0" collapsed="false">
      <c r="A2714" s="10" t="n">
        <v>2708</v>
      </c>
      <c r="B2714" s="12" t="s">
        <v>4130</v>
      </c>
      <c r="C2714" s="12" t="s">
        <v>4131</v>
      </c>
      <c r="D2714" s="13"/>
      <c r="E2714" s="14"/>
      <c r="F2714" s="15" t="str">
        <f aca="false">IF(D2714="","",ROUND((D2714-MIN($D$7:$D$9999))*86400,2))</f>
        <v/>
      </c>
      <c r="G2714" s="10" t="str">
        <f aca="false">IF(D2714="","",IF(D2714&lt;=($E$3*60+$F$3)/86400,"○",""))</f>
        <v/>
      </c>
      <c r="H2714" s="16"/>
      <c r="I2714" s="17"/>
      <c r="J2714" s="16" t="n">
        <v>0.00297997685185185</v>
      </c>
      <c r="K2714" s="17" t="n">
        <v>1354</v>
      </c>
      <c r="L2714" s="17" t="n">
        <f aca="false">COUNT(E2714,I2714,K2714)</f>
        <v>1</v>
      </c>
      <c r="M2714" s="18" t="n">
        <f aca="false">(D2714&lt;&gt;"")*(D2714&lt;=($E$3*60+$F$3)/86400)+(H2714&lt;&gt;"")*(H2714&lt;=($I$3*60+$J$3)/86400)+(J2714&lt;&gt;"")*(J2714&lt;=($M$3*60+$N$3)/86400)</f>
        <v>0</v>
      </c>
      <c r="N2714" s="20"/>
      <c r="O2714" s="20"/>
      <c r="P2714" s="20"/>
      <c r="Q2714" s="19"/>
    </row>
    <row r="2715" customFormat="false" ht="15" hidden="false" customHeight="false" outlineLevel="0" collapsed="false">
      <c r="A2715" s="10" t="n">
        <v>2709</v>
      </c>
      <c r="B2715" s="12" t="s">
        <v>4132</v>
      </c>
      <c r="C2715" s="12" t="s">
        <v>478</v>
      </c>
      <c r="D2715" s="13"/>
      <c r="E2715" s="14"/>
      <c r="F2715" s="15" t="str">
        <f aca="false">IF(D2715="","",ROUND((D2715-MIN($D$7:$D$9999))*86400,2))</f>
        <v/>
      </c>
      <c r="G2715" s="10" t="str">
        <f aca="false">IF(D2715="","",IF(D2715&lt;=($E$3*60+$F$3)/86400,"○",""))</f>
        <v/>
      </c>
      <c r="H2715" s="16" t="n">
        <v>0.00901863425925926</v>
      </c>
      <c r="I2715" s="17" t="n">
        <v>1355</v>
      </c>
      <c r="J2715" s="16"/>
      <c r="K2715" s="17"/>
      <c r="L2715" s="17" t="n">
        <f aca="false">COUNT(E2715,I2715,K2715)</f>
        <v>1</v>
      </c>
      <c r="M2715" s="18" t="n">
        <f aca="false">(D2715&lt;&gt;"")*(D2715&lt;=($E$3*60+$F$3)/86400)+(H2715&lt;&gt;"")*(H2715&lt;=($I$3*60+$J$3)/86400)+(J2715&lt;&gt;"")*(J2715&lt;=($M$3*60+$N$3)/86400)</f>
        <v>0</v>
      </c>
      <c r="N2715" s="20"/>
      <c r="O2715" s="20"/>
      <c r="P2715" s="20"/>
      <c r="Q2715" s="19"/>
    </row>
    <row r="2716" customFormat="false" ht="15" hidden="false" customHeight="false" outlineLevel="0" collapsed="false">
      <c r="A2716" s="10" t="n">
        <v>2710</v>
      </c>
      <c r="B2716" s="12" t="s">
        <v>4133</v>
      </c>
      <c r="C2716" s="12" t="s">
        <v>595</v>
      </c>
      <c r="D2716" s="13"/>
      <c r="E2716" s="14"/>
      <c r="F2716" s="15" t="str">
        <f aca="false">IF(D2716="","",ROUND((D2716-MIN($D$7:$D$9999))*86400,2))</f>
        <v/>
      </c>
      <c r="G2716" s="10" t="str">
        <f aca="false">IF(D2716="","",IF(D2716&lt;=($E$3*60+$F$3)/86400,"○",""))</f>
        <v/>
      </c>
      <c r="H2716" s="16" t="n">
        <v>0.00903194444444445</v>
      </c>
      <c r="I2716" s="17" t="n">
        <v>1356</v>
      </c>
      <c r="J2716" s="16"/>
      <c r="K2716" s="17"/>
      <c r="L2716" s="17" t="n">
        <f aca="false">COUNT(E2716,I2716,K2716)</f>
        <v>1</v>
      </c>
      <c r="M2716" s="18" t="n">
        <f aca="false">(D2716&lt;&gt;"")*(D2716&lt;=($E$3*60+$F$3)/86400)+(H2716&lt;&gt;"")*(H2716&lt;=($I$3*60+$J$3)/86400)+(J2716&lt;&gt;"")*(J2716&lt;=($M$3*60+$N$3)/86400)</f>
        <v>0</v>
      </c>
      <c r="N2716" s="20"/>
      <c r="O2716" s="20"/>
      <c r="P2716" s="20"/>
      <c r="Q2716" s="19"/>
    </row>
    <row r="2717" customFormat="false" ht="15" hidden="false" customHeight="false" outlineLevel="0" collapsed="false">
      <c r="A2717" s="10" t="n">
        <v>2711</v>
      </c>
      <c r="B2717" s="12" t="s">
        <v>4134</v>
      </c>
      <c r="C2717" s="12" t="s">
        <v>1682</v>
      </c>
      <c r="D2717" s="13"/>
      <c r="E2717" s="14"/>
      <c r="F2717" s="15" t="str">
        <f aca="false">IF(D2717="","",ROUND((D2717-MIN($D$7:$D$9999))*86400,2))</f>
        <v/>
      </c>
      <c r="G2717" s="10" t="str">
        <f aca="false">IF(D2717="","",IF(D2717&lt;=($E$3*60+$F$3)/86400,"○",""))</f>
        <v/>
      </c>
      <c r="H2717" s="16" t="n">
        <v>0.00903425925925926</v>
      </c>
      <c r="I2717" s="17" t="n">
        <v>1357</v>
      </c>
      <c r="J2717" s="16"/>
      <c r="K2717" s="17"/>
      <c r="L2717" s="17" t="n">
        <f aca="false">COUNT(E2717,I2717,K2717)</f>
        <v>1</v>
      </c>
      <c r="M2717" s="18" t="n">
        <f aca="false">(D2717&lt;&gt;"")*(D2717&lt;=($E$3*60+$F$3)/86400)+(H2717&lt;&gt;"")*(H2717&lt;=($I$3*60+$J$3)/86400)+(J2717&lt;&gt;"")*(J2717&lt;=($M$3*60+$N$3)/86400)</f>
        <v>0</v>
      </c>
      <c r="N2717" s="20"/>
      <c r="O2717" s="20"/>
      <c r="P2717" s="20"/>
      <c r="Q2717" s="19"/>
    </row>
    <row r="2718" customFormat="false" ht="15" hidden="false" customHeight="false" outlineLevel="0" collapsed="false">
      <c r="A2718" s="10" t="n">
        <v>2712</v>
      </c>
      <c r="B2718" s="12" t="s">
        <v>4135</v>
      </c>
      <c r="C2718" s="12" t="s">
        <v>1465</v>
      </c>
      <c r="D2718" s="13"/>
      <c r="E2718" s="14"/>
      <c r="F2718" s="15" t="str">
        <f aca="false">IF(D2718="","",ROUND((D2718-MIN($D$7:$D$9999))*86400,2))</f>
        <v/>
      </c>
      <c r="G2718" s="10" t="str">
        <f aca="false">IF(D2718="","",IF(D2718&lt;=($E$3*60+$F$3)/86400,"○",""))</f>
        <v/>
      </c>
      <c r="H2718" s="16"/>
      <c r="I2718" s="17"/>
      <c r="J2718" s="16" t="n">
        <v>0.00298101851851852</v>
      </c>
      <c r="K2718" s="17" t="n">
        <v>1357</v>
      </c>
      <c r="L2718" s="17" t="n">
        <f aca="false">COUNT(E2718,I2718,K2718)</f>
        <v>1</v>
      </c>
      <c r="M2718" s="18" t="n">
        <f aca="false">(D2718&lt;&gt;"")*(D2718&lt;=($E$3*60+$F$3)/86400)+(H2718&lt;&gt;"")*(H2718&lt;=($I$3*60+$J$3)/86400)+(J2718&lt;&gt;"")*(J2718&lt;=($M$3*60+$N$3)/86400)</f>
        <v>0</v>
      </c>
      <c r="N2718" s="20"/>
      <c r="O2718" s="20"/>
      <c r="P2718" s="20"/>
      <c r="Q2718" s="19"/>
    </row>
    <row r="2719" customFormat="false" ht="15" hidden="false" customHeight="false" outlineLevel="0" collapsed="false">
      <c r="A2719" s="10" t="n">
        <v>2713</v>
      </c>
      <c r="B2719" s="12" t="s">
        <v>4136</v>
      </c>
      <c r="C2719" s="12" t="s">
        <v>4137</v>
      </c>
      <c r="D2719" s="13"/>
      <c r="E2719" s="14"/>
      <c r="F2719" s="15" t="str">
        <f aca="false">IF(D2719="","",ROUND((D2719-MIN($D$7:$D$9999))*86400,2))</f>
        <v/>
      </c>
      <c r="G2719" s="10" t="str">
        <f aca="false">IF(D2719="","",IF(D2719&lt;=($E$3*60+$F$3)/86400,"○",""))</f>
        <v/>
      </c>
      <c r="H2719" s="16" t="n">
        <v>0.00903993055555556</v>
      </c>
      <c r="I2719" s="17" t="n">
        <v>1358</v>
      </c>
      <c r="J2719" s="16"/>
      <c r="K2719" s="17"/>
      <c r="L2719" s="17" t="n">
        <f aca="false">COUNT(E2719,I2719,K2719)</f>
        <v>1</v>
      </c>
      <c r="M2719" s="18" t="n">
        <f aca="false">(D2719&lt;&gt;"")*(D2719&lt;=($E$3*60+$F$3)/86400)+(H2719&lt;&gt;"")*(H2719&lt;=($I$3*60+$J$3)/86400)+(J2719&lt;&gt;"")*(J2719&lt;=($M$3*60+$N$3)/86400)</f>
        <v>0</v>
      </c>
      <c r="N2719" s="20"/>
      <c r="O2719" s="20"/>
      <c r="P2719" s="20"/>
      <c r="Q2719" s="19"/>
    </row>
    <row r="2720" customFormat="false" ht="15" hidden="false" customHeight="false" outlineLevel="0" collapsed="false">
      <c r="A2720" s="10" t="n">
        <v>2714</v>
      </c>
      <c r="B2720" s="12" t="s">
        <v>4138</v>
      </c>
      <c r="C2720" s="12" t="s">
        <v>4139</v>
      </c>
      <c r="D2720" s="13"/>
      <c r="E2720" s="14"/>
      <c r="F2720" s="15" t="str">
        <f aca="false">IF(D2720="","",ROUND((D2720-MIN($D$7:$D$9999))*86400,2))</f>
        <v/>
      </c>
      <c r="G2720" s="10" t="str">
        <f aca="false">IF(D2720="","",IF(D2720&lt;=($E$3*60+$F$3)/86400,"○",""))</f>
        <v/>
      </c>
      <c r="H2720" s="16" t="n">
        <v>0.00908773148148148</v>
      </c>
      <c r="I2720" s="17" t="n">
        <v>1359</v>
      </c>
      <c r="J2720" s="16"/>
      <c r="K2720" s="17"/>
      <c r="L2720" s="17" t="n">
        <f aca="false">COUNT(E2720,I2720,K2720)</f>
        <v>1</v>
      </c>
      <c r="M2720" s="18" t="n">
        <f aca="false">(D2720&lt;&gt;"")*(D2720&lt;=($E$3*60+$F$3)/86400)+(H2720&lt;&gt;"")*(H2720&lt;=($I$3*60+$J$3)/86400)+(J2720&lt;&gt;"")*(J2720&lt;=($M$3*60+$N$3)/86400)</f>
        <v>0</v>
      </c>
      <c r="N2720" s="20"/>
      <c r="O2720" s="20"/>
      <c r="P2720" s="20"/>
      <c r="Q2720" s="19"/>
    </row>
    <row r="2721" customFormat="false" ht="15" hidden="false" customHeight="false" outlineLevel="0" collapsed="false">
      <c r="A2721" s="10" t="n">
        <v>2715</v>
      </c>
      <c r="B2721" s="12" t="s">
        <v>4140</v>
      </c>
      <c r="C2721" s="12" t="s">
        <v>2337</v>
      </c>
      <c r="D2721" s="13"/>
      <c r="E2721" s="14"/>
      <c r="F2721" s="15" t="str">
        <f aca="false">IF(D2721="","",ROUND((D2721-MIN($D$7:$D$9999))*86400,2))</f>
        <v/>
      </c>
      <c r="G2721" s="10" t="str">
        <f aca="false">IF(D2721="","",IF(D2721&lt;=($E$3*60+$F$3)/86400,"○",""))</f>
        <v/>
      </c>
      <c r="H2721" s="16" t="n">
        <v>0.00909224537037037</v>
      </c>
      <c r="I2721" s="17" t="n">
        <v>1360</v>
      </c>
      <c r="J2721" s="16"/>
      <c r="K2721" s="17"/>
      <c r="L2721" s="17" t="n">
        <f aca="false">COUNT(E2721,I2721,K2721)</f>
        <v>1</v>
      </c>
      <c r="M2721" s="18" t="n">
        <f aca="false">(D2721&lt;&gt;"")*(D2721&lt;=($E$3*60+$F$3)/86400)+(H2721&lt;&gt;"")*(H2721&lt;=($I$3*60+$J$3)/86400)+(J2721&lt;&gt;"")*(J2721&lt;=($M$3*60+$N$3)/86400)</f>
        <v>0</v>
      </c>
      <c r="N2721" s="20"/>
      <c r="O2721" s="20"/>
      <c r="P2721" s="20"/>
      <c r="Q2721" s="19"/>
    </row>
    <row r="2722" customFormat="false" ht="15" hidden="false" customHeight="false" outlineLevel="0" collapsed="false">
      <c r="A2722" s="10" t="n">
        <v>2716</v>
      </c>
      <c r="B2722" s="12" t="s">
        <v>4141</v>
      </c>
      <c r="C2722" s="12" t="s">
        <v>4087</v>
      </c>
      <c r="D2722" s="13"/>
      <c r="E2722" s="14"/>
      <c r="F2722" s="15" t="str">
        <f aca="false">IF(D2722="","",ROUND((D2722-MIN($D$7:$D$9999))*86400,2))</f>
        <v/>
      </c>
      <c r="G2722" s="10" t="str">
        <f aca="false">IF(D2722="","",IF(D2722&lt;=($E$3*60+$F$3)/86400,"○",""))</f>
        <v/>
      </c>
      <c r="H2722" s="16" t="n">
        <v>0.00909351851851852</v>
      </c>
      <c r="I2722" s="17" t="n">
        <v>1361</v>
      </c>
      <c r="J2722" s="16"/>
      <c r="K2722" s="17"/>
      <c r="L2722" s="17" t="n">
        <f aca="false">COUNT(E2722,I2722,K2722)</f>
        <v>1</v>
      </c>
      <c r="M2722" s="18" t="n">
        <f aca="false">(D2722&lt;&gt;"")*(D2722&lt;=($E$3*60+$F$3)/86400)+(H2722&lt;&gt;"")*(H2722&lt;=($I$3*60+$J$3)/86400)+(J2722&lt;&gt;"")*(J2722&lt;=($M$3*60+$N$3)/86400)</f>
        <v>0</v>
      </c>
      <c r="N2722" s="20"/>
      <c r="O2722" s="20"/>
      <c r="P2722" s="20"/>
      <c r="Q2722" s="19"/>
    </row>
    <row r="2723" customFormat="false" ht="15" hidden="false" customHeight="false" outlineLevel="0" collapsed="false">
      <c r="A2723" s="10" t="n">
        <v>2717</v>
      </c>
      <c r="B2723" s="12" t="s">
        <v>4142</v>
      </c>
      <c r="C2723" s="12" t="s">
        <v>4143</v>
      </c>
      <c r="D2723" s="13"/>
      <c r="E2723" s="14"/>
      <c r="F2723" s="15" t="str">
        <f aca="false">IF(D2723="","",ROUND((D2723-MIN($D$7:$D$9999))*86400,2))</f>
        <v/>
      </c>
      <c r="G2723" s="10" t="str">
        <f aca="false">IF(D2723="","",IF(D2723&lt;=($E$3*60+$F$3)/86400,"○",""))</f>
        <v/>
      </c>
      <c r="H2723" s="16" t="n">
        <v>0.00909513888888889</v>
      </c>
      <c r="I2723" s="17" t="n">
        <v>1362</v>
      </c>
      <c r="J2723" s="16"/>
      <c r="K2723" s="17"/>
      <c r="L2723" s="17" t="n">
        <f aca="false">COUNT(E2723,I2723,K2723)</f>
        <v>1</v>
      </c>
      <c r="M2723" s="18" t="n">
        <f aca="false">(D2723&lt;&gt;"")*(D2723&lt;=($E$3*60+$F$3)/86400)+(H2723&lt;&gt;"")*(H2723&lt;=($I$3*60+$J$3)/86400)+(J2723&lt;&gt;"")*(J2723&lt;=($M$3*60+$N$3)/86400)</f>
        <v>0</v>
      </c>
      <c r="N2723" s="20"/>
      <c r="O2723" s="20"/>
      <c r="P2723" s="20"/>
      <c r="Q2723" s="19"/>
    </row>
    <row r="2724" customFormat="false" ht="15" hidden="false" customHeight="false" outlineLevel="0" collapsed="false">
      <c r="A2724" s="10" t="n">
        <v>2718</v>
      </c>
      <c r="B2724" s="12" t="s">
        <v>4144</v>
      </c>
      <c r="C2724" s="12" t="s">
        <v>749</v>
      </c>
      <c r="D2724" s="13"/>
      <c r="E2724" s="14"/>
      <c r="F2724" s="15" t="str">
        <f aca="false">IF(D2724="","",ROUND((D2724-MIN($D$7:$D$9999))*86400,2))</f>
        <v/>
      </c>
      <c r="G2724" s="10" t="str">
        <f aca="false">IF(D2724="","",IF(D2724&lt;=($E$3*60+$F$3)/86400,"○",""))</f>
        <v/>
      </c>
      <c r="H2724" s="16" t="n">
        <v>0.00914594907407407</v>
      </c>
      <c r="I2724" s="17" t="n">
        <v>1363</v>
      </c>
      <c r="J2724" s="16"/>
      <c r="K2724" s="17"/>
      <c r="L2724" s="17" t="n">
        <f aca="false">COUNT(E2724,I2724,K2724)</f>
        <v>1</v>
      </c>
      <c r="M2724" s="18" t="n">
        <f aca="false">(D2724&lt;&gt;"")*(D2724&lt;=($E$3*60+$F$3)/86400)+(H2724&lt;&gt;"")*(H2724&lt;=($I$3*60+$J$3)/86400)+(J2724&lt;&gt;"")*(J2724&lt;=($M$3*60+$N$3)/86400)</f>
        <v>0</v>
      </c>
      <c r="N2724" s="20"/>
      <c r="O2724" s="20"/>
      <c r="P2724" s="20"/>
      <c r="Q2724" s="19"/>
    </row>
    <row r="2725" customFormat="false" ht="15" hidden="false" customHeight="false" outlineLevel="0" collapsed="false">
      <c r="A2725" s="10" t="n">
        <v>2719</v>
      </c>
      <c r="B2725" s="12" t="s">
        <v>4145</v>
      </c>
      <c r="C2725" s="12" t="s">
        <v>1491</v>
      </c>
      <c r="D2725" s="13"/>
      <c r="E2725" s="14"/>
      <c r="F2725" s="15" t="str">
        <f aca="false">IF(D2725="","",ROUND((D2725-MIN($D$7:$D$9999))*86400,2))</f>
        <v/>
      </c>
      <c r="G2725" s="10" t="str">
        <f aca="false">IF(D2725="","",IF(D2725&lt;=($E$3*60+$F$3)/86400,"○",""))</f>
        <v/>
      </c>
      <c r="H2725" s="16" t="n">
        <v>0.00915092592592593</v>
      </c>
      <c r="I2725" s="17" t="n">
        <v>1364</v>
      </c>
      <c r="J2725" s="16"/>
      <c r="K2725" s="17"/>
      <c r="L2725" s="17" t="n">
        <f aca="false">COUNT(E2725,I2725,K2725)</f>
        <v>1</v>
      </c>
      <c r="M2725" s="18" t="n">
        <f aca="false">(D2725&lt;&gt;"")*(D2725&lt;=($E$3*60+$F$3)/86400)+(H2725&lt;&gt;"")*(H2725&lt;=($I$3*60+$J$3)/86400)+(J2725&lt;&gt;"")*(J2725&lt;=($M$3*60+$N$3)/86400)</f>
        <v>0</v>
      </c>
      <c r="N2725" s="20"/>
      <c r="O2725" s="20"/>
      <c r="P2725" s="20"/>
      <c r="Q2725" s="19"/>
    </row>
    <row r="2726" customFormat="false" ht="15" hidden="false" customHeight="false" outlineLevel="0" collapsed="false">
      <c r="A2726" s="10" t="n">
        <v>2720</v>
      </c>
      <c r="B2726" s="12" t="s">
        <v>4146</v>
      </c>
      <c r="C2726" s="12" t="s">
        <v>4048</v>
      </c>
      <c r="D2726" s="13"/>
      <c r="E2726" s="14"/>
      <c r="F2726" s="15" t="str">
        <f aca="false">IF(D2726="","",ROUND((D2726-MIN($D$7:$D$9999))*86400,2))</f>
        <v/>
      </c>
      <c r="G2726" s="10" t="str">
        <f aca="false">IF(D2726="","",IF(D2726&lt;=($E$3*60+$F$3)/86400,"○",""))</f>
        <v/>
      </c>
      <c r="H2726" s="16" t="n">
        <v>0.00917615740740741</v>
      </c>
      <c r="I2726" s="17" t="n">
        <v>1365</v>
      </c>
      <c r="J2726" s="16"/>
      <c r="K2726" s="17"/>
      <c r="L2726" s="17" t="n">
        <f aca="false">COUNT(E2726,I2726,K2726)</f>
        <v>1</v>
      </c>
      <c r="M2726" s="18" t="n">
        <f aca="false">(D2726&lt;&gt;"")*(D2726&lt;=($E$3*60+$F$3)/86400)+(H2726&lt;&gt;"")*(H2726&lt;=($I$3*60+$J$3)/86400)+(J2726&lt;&gt;"")*(J2726&lt;=($M$3*60+$N$3)/86400)</f>
        <v>0</v>
      </c>
      <c r="N2726" s="20"/>
      <c r="O2726" s="20"/>
      <c r="P2726" s="20"/>
      <c r="Q2726" s="19"/>
    </row>
    <row r="2727" customFormat="false" ht="15" hidden="false" customHeight="false" outlineLevel="0" collapsed="false">
      <c r="A2727" s="10" t="n">
        <v>2721</v>
      </c>
      <c r="B2727" s="12" t="s">
        <v>4147</v>
      </c>
      <c r="C2727" s="12" t="s">
        <v>4139</v>
      </c>
      <c r="D2727" s="13"/>
      <c r="E2727" s="14"/>
      <c r="F2727" s="15" t="str">
        <f aca="false">IF(D2727="","",ROUND((D2727-MIN($D$7:$D$9999))*86400,2))</f>
        <v/>
      </c>
      <c r="G2727" s="10" t="str">
        <f aca="false">IF(D2727="","",IF(D2727&lt;=($E$3*60+$F$3)/86400,"○",""))</f>
        <v/>
      </c>
      <c r="H2727" s="16" t="n">
        <v>0.00924594907407408</v>
      </c>
      <c r="I2727" s="17" t="n">
        <v>1366</v>
      </c>
      <c r="J2727" s="16"/>
      <c r="K2727" s="17"/>
      <c r="L2727" s="17" t="n">
        <f aca="false">COUNT(E2727,I2727,K2727)</f>
        <v>1</v>
      </c>
      <c r="M2727" s="18" t="n">
        <f aca="false">(D2727&lt;&gt;"")*(D2727&lt;=($E$3*60+$F$3)/86400)+(H2727&lt;&gt;"")*(H2727&lt;=($I$3*60+$J$3)/86400)+(J2727&lt;&gt;"")*(J2727&lt;=($M$3*60+$N$3)/86400)</f>
        <v>0</v>
      </c>
      <c r="N2727" s="20"/>
      <c r="O2727" s="20"/>
      <c r="P2727" s="20"/>
      <c r="Q2727" s="19"/>
    </row>
    <row r="2728" customFormat="false" ht="15" hidden="false" customHeight="false" outlineLevel="0" collapsed="false">
      <c r="A2728" s="10" t="n">
        <v>2722</v>
      </c>
      <c r="B2728" s="12" t="s">
        <v>4148</v>
      </c>
      <c r="C2728" s="12" t="s">
        <v>4149</v>
      </c>
      <c r="D2728" s="13"/>
      <c r="E2728" s="14"/>
      <c r="F2728" s="15" t="str">
        <f aca="false">IF(D2728="","",ROUND((D2728-MIN($D$7:$D$9999))*86400,2))</f>
        <v/>
      </c>
      <c r="G2728" s="10" t="str">
        <f aca="false">IF(D2728="","",IF(D2728&lt;=($E$3*60+$F$3)/86400,"○",""))</f>
        <v/>
      </c>
      <c r="H2728" s="16" t="n">
        <v>0.00924618055555556</v>
      </c>
      <c r="I2728" s="17" t="n">
        <v>1367</v>
      </c>
      <c r="J2728" s="16"/>
      <c r="K2728" s="17"/>
      <c r="L2728" s="17" t="n">
        <f aca="false">COUNT(E2728,I2728,K2728)</f>
        <v>1</v>
      </c>
      <c r="M2728" s="18" t="n">
        <f aca="false">(D2728&lt;&gt;"")*(D2728&lt;=($E$3*60+$F$3)/86400)+(H2728&lt;&gt;"")*(H2728&lt;=($I$3*60+$J$3)/86400)+(J2728&lt;&gt;"")*(J2728&lt;=($M$3*60+$N$3)/86400)</f>
        <v>0</v>
      </c>
      <c r="N2728" s="20"/>
      <c r="O2728" s="20"/>
      <c r="P2728" s="20"/>
      <c r="Q2728" s="19"/>
    </row>
    <row r="2729" customFormat="false" ht="15" hidden="false" customHeight="false" outlineLevel="0" collapsed="false">
      <c r="A2729" s="10" t="n">
        <v>2723</v>
      </c>
      <c r="B2729" s="12" t="s">
        <v>4150</v>
      </c>
      <c r="C2729" s="12" t="s">
        <v>3760</v>
      </c>
      <c r="D2729" s="13"/>
      <c r="E2729" s="14"/>
      <c r="F2729" s="15" t="str">
        <f aca="false">IF(D2729="","",ROUND((D2729-MIN($D$7:$D$9999))*86400,2))</f>
        <v/>
      </c>
      <c r="G2729" s="10" t="str">
        <f aca="false">IF(D2729="","",IF(D2729&lt;=($E$3*60+$F$3)/86400,"○",""))</f>
        <v/>
      </c>
      <c r="H2729" s="16" t="n">
        <v>0.00928900462962963</v>
      </c>
      <c r="I2729" s="17" t="n">
        <v>1368</v>
      </c>
      <c r="J2729" s="16"/>
      <c r="K2729" s="17"/>
      <c r="L2729" s="17" t="n">
        <f aca="false">COUNT(E2729,I2729,K2729)</f>
        <v>1</v>
      </c>
      <c r="M2729" s="18" t="n">
        <f aca="false">(D2729&lt;&gt;"")*(D2729&lt;=($E$3*60+$F$3)/86400)+(H2729&lt;&gt;"")*(H2729&lt;=($I$3*60+$J$3)/86400)+(J2729&lt;&gt;"")*(J2729&lt;=($M$3*60+$N$3)/86400)</f>
        <v>0</v>
      </c>
      <c r="N2729" s="20"/>
      <c r="O2729" s="20"/>
      <c r="P2729" s="20"/>
      <c r="Q2729" s="19"/>
    </row>
    <row r="2730" customFormat="false" ht="15" hidden="false" customHeight="false" outlineLevel="0" collapsed="false">
      <c r="A2730" s="10" t="n">
        <v>2724</v>
      </c>
      <c r="B2730" s="12" t="s">
        <v>4151</v>
      </c>
      <c r="C2730" s="12" t="s">
        <v>4152</v>
      </c>
      <c r="D2730" s="13"/>
      <c r="E2730" s="14"/>
      <c r="F2730" s="15" t="str">
        <f aca="false">IF(D2730="","",ROUND((D2730-MIN($D$7:$D$9999))*86400,2))</f>
        <v/>
      </c>
      <c r="G2730" s="10" t="str">
        <f aca="false">IF(D2730="","",IF(D2730&lt;=($E$3*60+$F$3)/86400,"○",""))</f>
        <v/>
      </c>
      <c r="H2730" s="16" t="n">
        <v>0.00930740740740741</v>
      </c>
      <c r="I2730" s="17" t="n">
        <v>1369</v>
      </c>
      <c r="J2730" s="16"/>
      <c r="K2730" s="17"/>
      <c r="L2730" s="17" t="n">
        <f aca="false">COUNT(E2730,I2730,K2730)</f>
        <v>1</v>
      </c>
      <c r="M2730" s="18" t="n">
        <f aca="false">(D2730&lt;&gt;"")*(D2730&lt;=($E$3*60+$F$3)/86400)+(H2730&lt;&gt;"")*(H2730&lt;=($I$3*60+$J$3)/86400)+(J2730&lt;&gt;"")*(J2730&lt;=($M$3*60+$N$3)/86400)</f>
        <v>0</v>
      </c>
      <c r="N2730" s="20"/>
      <c r="O2730" s="20"/>
      <c r="P2730" s="20"/>
      <c r="Q2730" s="19"/>
    </row>
    <row r="2731" customFormat="false" ht="15" hidden="false" customHeight="false" outlineLevel="0" collapsed="false">
      <c r="A2731" s="10" t="n">
        <v>2725</v>
      </c>
      <c r="B2731" s="12" t="s">
        <v>4153</v>
      </c>
      <c r="C2731" s="12" t="s">
        <v>2982</v>
      </c>
      <c r="D2731" s="13"/>
      <c r="E2731" s="14"/>
      <c r="F2731" s="15" t="str">
        <f aca="false">IF(D2731="","",ROUND((D2731-MIN($D$7:$D$9999))*86400,2))</f>
        <v/>
      </c>
      <c r="G2731" s="10" t="str">
        <f aca="false">IF(D2731="","",IF(D2731&lt;=($E$3*60+$F$3)/86400,"○",""))</f>
        <v/>
      </c>
      <c r="H2731" s="16" t="n">
        <v>0.00931400462962963</v>
      </c>
      <c r="I2731" s="17" t="n">
        <v>1370</v>
      </c>
      <c r="J2731" s="16"/>
      <c r="K2731" s="17"/>
      <c r="L2731" s="17" t="n">
        <f aca="false">COUNT(E2731,I2731,K2731)</f>
        <v>1</v>
      </c>
      <c r="M2731" s="18" t="n">
        <f aca="false">(D2731&lt;&gt;"")*(D2731&lt;=($E$3*60+$F$3)/86400)+(H2731&lt;&gt;"")*(H2731&lt;=($I$3*60+$J$3)/86400)+(J2731&lt;&gt;"")*(J2731&lt;=($M$3*60+$N$3)/86400)</f>
        <v>0</v>
      </c>
      <c r="N2731" s="20"/>
      <c r="O2731" s="20"/>
      <c r="P2731" s="20"/>
      <c r="Q2731" s="19"/>
    </row>
    <row r="2732" customFormat="false" ht="15" hidden="false" customHeight="false" outlineLevel="0" collapsed="false">
      <c r="A2732" s="10" t="n">
        <v>2726</v>
      </c>
      <c r="B2732" s="12" t="s">
        <v>4154</v>
      </c>
      <c r="C2732" s="12" t="s">
        <v>4155</v>
      </c>
      <c r="D2732" s="13"/>
      <c r="E2732" s="14"/>
      <c r="F2732" s="15" t="str">
        <f aca="false">IF(D2732="","",ROUND((D2732-MIN($D$7:$D$9999))*86400,2))</f>
        <v/>
      </c>
      <c r="G2732" s="10" t="str">
        <f aca="false">IF(D2732="","",IF(D2732&lt;=($E$3*60+$F$3)/86400,"○",""))</f>
        <v/>
      </c>
      <c r="H2732" s="16" t="n">
        <v>0.009334375</v>
      </c>
      <c r="I2732" s="17" t="n">
        <v>1371</v>
      </c>
      <c r="J2732" s="16"/>
      <c r="K2732" s="17"/>
      <c r="L2732" s="17" t="n">
        <f aca="false">COUNT(E2732,I2732,K2732)</f>
        <v>1</v>
      </c>
      <c r="M2732" s="18" t="n">
        <f aca="false">(D2732&lt;&gt;"")*(D2732&lt;=($E$3*60+$F$3)/86400)+(H2732&lt;&gt;"")*(H2732&lt;=($I$3*60+$J$3)/86400)+(J2732&lt;&gt;"")*(J2732&lt;=($M$3*60+$N$3)/86400)</f>
        <v>0</v>
      </c>
      <c r="N2732" s="20"/>
      <c r="O2732" s="20"/>
      <c r="P2732" s="20"/>
      <c r="Q2732" s="19"/>
    </row>
    <row r="2733" customFormat="false" ht="15" hidden="false" customHeight="false" outlineLevel="0" collapsed="false">
      <c r="A2733" s="10" t="n">
        <v>2727</v>
      </c>
      <c r="B2733" s="12" t="s">
        <v>4156</v>
      </c>
      <c r="C2733" s="12" t="s">
        <v>4157</v>
      </c>
      <c r="D2733" s="13"/>
      <c r="E2733" s="14"/>
      <c r="F2733" s="15" t="str">
        <f aca="false">IF(D2733="","",ROUND((D2733-MIN($D$7:$D$9999))*86400,2))</f>
        <v/>
      </c>
      <c r="G2733" s="10" t="str">
        <f aca="false">IF(D2733="","",IF(D2733&lt;=($E$3*60+$F$3)/86400,"○",""))</f>
        <v/>
      </c>
      <c r="H2733" s="16" t="n">
        <v>0.00941574074074074</v>
      </c>
      <c r="I2733" s="17" t="n">
        <v>1372</v>
      </c>
      <c r="J2733" s="16"/>
      <c r="K2733" s="17"/>
      <c r="L2733" s="17" t="n">
        <f aca="false">COUNT(E2733,I2733,K2733)</f>
        <v>1</v>
      </c>
      <c r="M2733" s="18" t="n">
        <f aca="false">(D2733&lt;&gt;"")*(D2733&lt;=($E$3*60+$F$3)/86400)+(H2733&lt;&gt;"")*(H2733&lt;=($I$3*60+$J$3)/86400)+(J2733&lt;&gt;"")*(J2733&lt;=($M$3*60+$N$3)/86400)</f>
        <v>0</v>
      </c>
      <c r="N2733" s="20"/>
      <c r="O2733" s="20"/>
      <c r="P2733" s="20"/>
      <c r="Q2733" s="19"/>
    </row>
    <row r="2734" customFormat="false" ht="15" hidden="false" customHeight="false" outlineLevel="0" collapsed="false">
      <c r="A2734" s="10" t="n">
        <v>2728</v>
      </c>
      <c r="B2734" s="12" t="s">
        <v>4158</v>
      </c>
      <c r="C2734" s="12" t="s">
        <v>4159</v>
      </c>
      <c r="D2734" s="13"/>
      <c r="E2734" s="14"/>
      <c r="F2734" s="15" t="str">
        <f aca="false">IF(D2734="","",ROUND((D2734-MIN($D$7:$D$9999))*86400,2))</f>
        <v/>
      </c>
      <c r="G2734" s="10" t="str">
        <f aca="false">IF(D2734="","",IF(D2734&lt;=($E$3*60+$F$3)/86400,"○",""))</f>
        <v/>
      </c>
      <c r="H2734" s="16" t="n">
        <v>0.00948449074074074</v>
      </c>
      <c r="I2734" s="17" t="n">
        <v>1373</v>
      </c>
      <c r="J2734" s="16"/>
      <c r="K2734" s="17"/>
      <c r="L2734" s="17" t="n">
        <f aca="false">COUNT(E2734,I2734,K2734)</f>
        <v>1</v>
      </c>
      <c r="M2734" s="18" t="n">
        <f aca="false">(D2734&lt;&gt;"")*(D2734&lt;=($E$3*60+$F$3)/86400)+(H2734&lt;&gt;"")*(H2734&lt;=($I$3*60+$J$3)/86400)+(J2734&lt;&gt;"")*(J2734&lt;=($M$3*60+$N$3)/86400)</f>
        <v>0</v>
      </c>
      <c r="N2734" s="20"/>
      <c r="O2734" s="20"/>
      <c r="P2734" s="20"/>
      <c r="Q2734" s="19"/>
    </row>
    <row r="2735" customFormat="false" ht="15" hidden="false" customHeight="false" outlineLevel="0" collapsed="false">
      <c r="A2735" s="10" t="n">
        <v>2729</v>
      </c>
      <c r="B2735" s="12" t="s">
        <v>4160</v>
      </c>
      <c r="C2735" s="12" t="s">
        <v>3765</v>
      </c>
      <c r="D2735" s="13"/>
      <c r="E2735" s="14"/>
      <c r="F2735" s="15" t="str">
        <f aca="false">IF(D2735="","",ROUND((D2735-MIN($D$7:$D$9999))*86400,2))</f>
        <v/>
      </c>
      <c r="G2735" s="10" t="str">
        <f aca="false">IF(D2735="","",IF(D2735&lt;=($E$3*60+$F$3)/86400,"○",""))</f>
        <v/>
      </c>
      <c r="H2735" s="16" t="n">
        <v>0.0099724537037037</v>
      </c>
      <c r="I2735" s="17" t="n">
        <v>1374</v>
      </c>
      <c r="J2735" s="16"/>
      <c r="K2735" s="17"/>
      <c r="L2735" s="17" t="n">
        <f aca="false">COUNT(E2735,I2735,K2735)</f>
        <v>1</v>
      </c>
      <c r="M2735" s="18" t="n">
        <f aca="false">(D2735&lt;&gt;"")*(D2735&lt;=($E$3*60+$F$3)/86400)+(H2735&lt;&gt;"")*(H2735&lt;=($I$3*60+$J$3)/86400)+(J2735&lt;&gt;"")*(J2735&lt;=($M$3*60+$N$3)/86400)</f>
        <v>0</v>
      </c>
      <c r="N2735" s="20"/>
      <c r="O2735" s="20"/>
      <c r="P2735" s="20"/>
      <c r="Q2735" s="19"/>
    </row>
    <row r="2736" customFormat="false" ht="15" hidden="false" customHeight="false" outlineLevel="0" collapsed="false">
      <c r="A2736" s="10" t="n">
        <v>2730</v>
      </c>
      <c r="B2736" s="12" t="s">
        <v>4161</v>
      </c>
      <c r="C2736" s="12" t="s">
        <v>4162</v>
      </c>
      <c r="D2736" s="13"/>
      <c r="E2736" s="14"/>
      <c r="F2736" s="15" t="str">
        <f aca="false">IF(D2736="","",ROUND((D2736-MIN($D$7:$D$9999))*86400,2))</f>
        <v/>
      </c>
      <c r="G2736" s="10" t="str">
        <f aca="false">IF(D2736="","",IF(D2736&lt;=($E$3*60+$F$3)/86400,"○",""))</f>
        <v/>
      </c>
      <c r="H2736" s="16" t="n">
        <v>0.0103003472222222</v>
      </c>
      <c r="I2736" s="17" t="n">
        <v>1375</v>
      </c>
      <c r="J2736" s="16"/>
      <c r="K2736" s="17"/>
      <c r="L2736" s="17" t="n">
        <f aca="false">COUNT(E2736,I2736,K2736)</f>
        <v>1</v>
      </c>
      <c r="M2736" s="18" t="n">
        <f aca="false">(D2736&lt;&gt;"")*(D2736&lt;=($E$3*60+$F$3)/86400)+(H2736&lt;&gt;"")*(H2736&lt;=($I$3*60+$J$3)/86400)+(J2736&lt;&gt;"")*(J2736&lt;=($M$3*60+$N$3)/86400)</f>
        <v>0</v>
      </c>
      <c r="N2736" s="20"/>
      <c r="O2736" s="20"/>
      <c r="P2736" s="20"/>
      <c r="Q2736" s="19"/>
    </row>
    <row r="2737" customFormat="false" ht="15" hidden="false" customHeight="false" outlineLevel="0" collapsed="false">
      <c r="A2737" s="10" t="n">
        <v>2731</v>
      </c>
      <c r="B2737" s="12" t="s">
        <v>4163</v>
      </c>
      <c r="C2737" s="12" t="s">
        <v>4164</v>
      </c>
      <c r="D2737" s="13"/>
      <c r="E2737" s="14"/>
      <c r="F2737" s="15" t="str">
        <f aca="false">IF(D2737="","",ROUND((D2737-MIN($D$7:$D$9999))*86400,2))</f>
        <v/>
      </c>
      <c r="G2737" s="10" t="str">
        <f aca="false">IF(D2737="","",IF(D2737&lt;=($E$3*60+$F$3)/86400,"○",""))</f>
        <v/>
      </c>
      <c r="H2737" s="16" t="n">
        <v>0.0104084490740741</v>
      </c>
      <c r="I2737" s="17" t="n">
        <v>1376</v>
      </c>
      <c r="J2737" s="16"/>
      <c r="K2737" s="17"/>
      <c r="L2737" s="17" t="n">
        <f aca="false">COUNT(E2737,I2737,K2737)</f>
        <v>1</v>
      </c>
      <c r="M2737" s="18" t="n">
        <f aca="false">(D2737&lt;&gt;"")*(D2737&lt;=($E$3*60+$F$3)/86400)+(H2737&lt;&gt;"")*(H2737&lt;=($I$3*60+$J$3)/86400)+(J2737&lt;&gt;"")*(J2737&lt;=($M$3*60+$N$3)/86400)</f>
        <v>0</v>
      </c>
      <c r="N2737" s="20"/>
      <c r="O2737" s="20"/>
      <c r="P2737" s="20"/>
      <c r="Q2737" s="19"/>
    </row>
    <row r="2738" customFormat="false" ht="15" hidden="false" customHeight="false" outlineLevel="0" collapsed="false">
      <c r="A2738" s="10" t="n">
        <v>2732</v>
      </c>
      <c r="B2738" s="12" t="s">
        <v>4165</v>
      </c>
      <c r="C2738" s="12" t="s">
        <v>2899</v>
      </c>
      <c r="D2738" s="13"/>
      <c r="E2738" s="14"/>
      <c r="F2738" s="15" t="str">
        <f aca="false">IF(D2738="","",ROUND((D2738-MIN($D$7:$D$9999))*86400,2))</f>
        <v/>
      </c>
      <c r="G2738" s="10" t="str">
        <f aca="false">IF(D2738="","",IF(D2738&lt;=($E$3*60+$F$3)/86400,"○",""))</f>
        <v/>
      </c>
      <c r="H2738" s="16" t="n">
        <v>0.0107068287037037</v>
      </c>
      <c r="I2738" s="17" t="n">
        <v>1377</v>
      </c>
      <c r="J2738" s="16"/>
      <c r="K2738" s="17"/>
      <c r="L2738" s="17" t="n">
        <f aca="false">COUNT(E2738,I2738,K2738)</f>
        <v>1</v>
      </c>
      <c r="M2738" s="18" t="n">
        <f aca="false">(D2738&lt;&gt;"")*(D2738&lt;=($E$3*60+$F$3)/86400)+(H2738&lt;&gt;"")*(H2738&lt;=($I$3*60+$J$3)/86400)+(J2738&lt;&gt;"")*(J2738&lt;=($M$3*60+$N$3)/86400)</f>
        <v>0</v>
      </c>
      <c r="N2738" s="20"/>
      <c r="O2738" s="20"/>
      <c r="P2738" s="20"/>
      <c r="Q2738" s="19"/>
    </row>
  </sheetData>
  <autoFilter ref="A6:Q2738"/>
  <conditionalFormatting sqref="E7:E2738 I7:I2738 K7:K2738">
    <cfRule type="cellIs" priority="2" operator="lessThanOrEqual" aboveAverage="0" equalAverage="0" bottom="0" percent="0" rank="0" text="" dxfId="9">
      <formula>10</formula>
    </cfRule>
    <cfRule type="cellIs" priority="3" operator="lessThanOrEqual" aboveAverage="0" equalAverage="0" bottom="0" percent="0" rank="0" text="" dxfId="10">
      <formula>50</formula>
    </cfRule>
    <cfRule type="cellIs" priority="4" operator="lessThanOrEqual" aboveAverage="0" equalAverage="0" bottom="0" percent="0" rank="0" text="" dxfId="11">
      <formula>100</formula>
    </cfRule>
  </conditionalFormatting>
  <conditionalFormatting sqref="G7:G2738">
    <cfRule type="cellIs" priority="5" operator="equal" aboveAverage="0" equalAverage="0" bottom="0" percent="0" rank="0" text="" dxfId="12">
      <formula>"○"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29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4" min="4" style="0" width="10"/>
    <col collapsed="false" customWidth="true" hidden="false" outlineLevel="0" max="5" min="5" style="0" width="9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8"/>
    <col collapsed="false" customWidth="true" hidden="false" outlineLevel="0" max="9" min="9" style="0" width="10"/>
    <col collapsed="false" customWidth="true" hidden="false" outlineLevel="0" max="10" min="10" style="0" width="8"/>
  </cols>
  <sheetData>
    <row r="1" customFormat="false" ht="19.4" hidden="false" customHeight="false" outlineLevel="0" collapsed="false">
      <c r="A1" s="1" t="s">
        <v>4166</v>
      </c>
    </row>
    <row r="2" customFormat="false" ht="15" hidden="false" customHeight="false" outlineLevel="0" collapsed="false">
      <c r="A2" s="2" t="s">
        <v>4167</v>
      </c>
    </row>
    <row r="4" customFormat="false" ht="33.75" hidden="false" customHeight="true" outlineLevel="0" collapsed="false">
      <c r="A4" s="8" t="s">
        <v>4168</v>
      </c>
      <c r="B4" s="8" t="s">
        <v>8</v>
      </c>
      <c r="C4" s="8" t="s">
        <v>9</v>
      </c>
      <c r="D4" s="8" t="s">
        <v>4169</v>
      </c>
      <c r="E4" s="8" t="s">
        <v>4170</v>
      </c>
      <c r="F4" s="7" t="s">
        <v>7</v>
      </c>
      <c r="G4" s="7" t="s">
        <v>14</v>
      </c>
      <c r="H4" s="7" t="s">
        <v>15</v>
      </c>
      <c r="I4" s="7" t="s">
        <v>16</v>
      </c>
      <c r="J4" s="7" t="s">
        <v>17</v>
      </c>
    </row>
    <row r="5" customFormat="false" ht="15" hidden="false" customHeight="false" outlineLevel="0" collapsed="false">
      <c r="A5" s="17" t="n">
        <v>1</v>
      </c>
      <c r="B5" s="12" t="s">
        <v>24</v>
      </c>
      <c r="C5" s="12" t="s">
        <v>25</v>
      </c>
      <c r="D5" s="16" t="n">
        <v>0.00914050925925926</v>
      </c>
      <c r="E5" s="15" t="n">
        <f aca="false">ROUND((D5-$D$5)*86400,2)</f>
        <v>0</v>
      </c>
      <c r="F5" s="17" t="n">
        <v>1</v>
      </c>
      <c r="G5" s="16" t="str">
        <f aca="false">IF(INDEX(選手一覧!$H$7:$H$2738,$F5)="","",INDEX(選手一覧!$H$7:$H$2738,$F5))</f>
        <v/>
      </c>
      <c r="H5" s="17" t="str">
        <f aca="false">IF(INDEX(選手一覧!$I$7:$I$2738,$F5)="","",INDEX(選手一覧!$I$7:$I$2738,$F5))</f>
        <v/>
      </c>
      <c r="I5" s="16" t="n">
        <f aca="false">IF(INDEX(選手一覧!$J$7:$J$2738,$F5)="","",INDEX(選手一覧!$J$7:$J$2738,$F5))</f>
        <v>0.00264097222222222</v>
      </c>
      <c r="J5" s="17" t="n">
        <f aca="false">IF(INDEX(選手一覧!$K$7:$K$2738,$F5)="","",INDEX(選手一覧!$K$7:$K$2738,$F5))</f>
        <v>3</v>
      </c>
    </row>
    <row r="6" customFormat="false" ht="15" hidden="false" customHeight="false" outlineLevel="0" collapsed="false">
      <c r="A6" s="17" t="n">
        <v>2</v>
      </c>
      <c r="B6" s="12" t="s">
        <v>26</v>
      </c>
      <c r="C6" s="12" t="s">
        <v>27</v>
      </c>
      <c r="D6" s="16" t="n">
        <v>0.00964340277777778</v>
      </c>
      <c r="E6" s="15" t="n">
        <f aca="false">ROUND((D6-$D$5)*86400,2)</f>
        <v>43.45</v>
      </c>
      <c r="F6" s="17" t="n">
        <v>2</v>
      </c>
      <c r="G6" s="16" t="n">
        <f aca="false">IF(INDEX(選手一覧!$H$7:$H$2738,$F6)="","",INDEX(選手一覧!$H$7:$H$2738,$F6))</f>
        <v>0.00642048611111111</v>
      </c>
      <c r="H6" s="17" t="n">
        <f aca="false">IF(INDEX(選手一覧!$I$7:$I$2738,$F6)="","",INDEX(選手一覧!$I$7:$I$2738,$F6))</f>
        <v>19</v>
      </c>
      <c r="I6" s="16" t="n">
        <f aca="false">IF(INDEX(選手一覧!$J$7:$J$2738,$F6)="","",INDEX(選手一覧!$J$7:$J$2738,$F6))</f>
        <v>0.00260451388888889</v>
      </c>
      <c r="J6" s="17" t="n">
        <f aca="false">IF(INDEX(選手一覧!$K$7:$K$2738,$F6)="","",INDEX(選手一覧!$K$7:$K$2738,$F6))</f>
        <v>1</v>
      </c>
    </row>
    <row r="7" customFormat="false" ht="15" hidden="false" customHeight="false" outlineLevel="0" collapsed="false">
      <c r="A7" s="17" t="n">
        <v>3</v>
      </c>
      <c r="B7" s="12" t="s">
        <v>29</v>
      </c>
      <c r="C7" s="12" t="s">
        <v>27</v>
      </c>
      <c r="D7" s="16" t="n">
        <v>0.00968773148148148</v>
      </c>
      <c r="E7" s="15" t="n">
        <f aca="false">ROUND((D7-$D$5)*86400,2)</f>
        <v>47.28</v>
      </c>
      <c r="F7" s="17" t="n">
        <v>3</v>
      </c>
      <c r="G7" s="16" t="str">
        <f aca="false">IF(INDEX(選手一覧!$H$7:$H$2738,$F7)="","",INDEX(選手一覧!$H$7:$H$2738,$F7))</f>
        <v/>
      </c>
      <c r="H7" s="17" t="str">
        <f aca="false">IF(INDEX(選手一覧!$I$7:$I$2738,$F7)="","",INDEX(選手一覧!$I$7:$I$2738,$F7))</f>
        <v/>
      </c>
      <c r="I7" s="16" t="n">
        <f aca="false">IF(INDEX(選手一覧!$J$7:$J$2738,$F7)="","",INDEX(選手一覧!$J$7:$J$2738,$F7))</f>
        <v>0.00262800925925926</v>
      </c>
      <c r="J7" s="17" t="n">
        <f aca="false">IF(INDEX(選手一覧!$K$7:$K$2738,$F7)="","",INDEX(選手一覧!$K$7:$K$2738,$F7))</f>
        <v>2</v>
      </c>
    </row>
    <row r="8" customFormat="false" ht="15" hidden="false" customHeight="false" outlineLevel="0" collapsed="false">
      <c r="A8" s="17" t="n">
        <v>4</v>
      </c>
      <c r="B8" s="12" t="s">
        <v>31</v>
      </c>
      <c r="C8" s="12" t="s">
        <v>32</v>
      </c>
      <c r="D8" s="16" t="n">
        <v>0.00971435185185185</v>
      </c>
      <c r="E8" s="15" t="n">
        <f aca="false">ROUND((D8-$D$5)*86400,2)</f>
        <v>49.58</v>
      </c>
      <c r="F8" s="17" t="n">
        <v>4</v>
      </c>
      <c r="G8" s="16" t="str">
        <f aca="false">IF(INDEX(選手一覧!$H$7:$H$2738,$F8)="","",INDEX(選手一覧!$H$7:$H$2738,$F8))</f>
        <v/>
      </c>
      <c r="H8" s="17" t="str">
        <f aca="false">IF(INDEX(選手一覧!$I$7:$I$2738,$F8)="","",INDEX(選手一覧!$I$7:$I$2738,$F8))</f>
        <v/>
      </c>
      <c r="I8" s="16" t="n">
        <f aca="false">IF(INDEX(選手一覧!$J$7:$J$2738,$F8)="","",INDEX(選手一覧!$J$7:$J$2738,$F8))</f>
        <v>0.002721875</v>
      </c>
      <c r="J8" s="17" t="n">
        <f aca="false">IF(INDEX(選手一覧!$K$7:$K$2738,$F8)="","",INDEX(選手一覧!$K$7:$K$2738,$F8))</f>
        <v>51</v>
      </c>
    </row>
    <row r="9" customFormat="false" ht="15" hidden="false" customHeight="false" outlineLevel="0" collapsed="false">
      <c r="A9" s="17" t="n">
        <v>5</v>
      </c>
      <c r="B9" s="12" t="s">
        <v>33</v>
      </c>
      <c r="C9" s="12" t="s">
        <v>34</v>
      </c>
      <c r="D9" s="16" t="n">
        <v>0.00974224537037037</v>
      </c>
      <c r="E9" s="15" t="n">
        <f aca="false">ROUND((D9-$D$5)*86400,2)</f>
        <v>51.99</v>
      </c>
      <c r="F9" s="17" t="n">
        <v>5</v>
      </c>
      <c r="G9" s="16" t="str">
        <f aca="false">IF(INDEX(選手一覧!$H$7:$H$2738,$F9)="","",INDEX(選手一覧!$H$7:$H$2738,$F9))</f>
        <v/>
      </c>
      <c r="H9" s="17" t="str">
        <f aca="false">IF(INDEX(選手一覧!$I$7:$I$2738,$F9)="","",INDEX(選手一覧!$I$7:$I$2738,$F9))</f>
        <v/>
      </c>
      <c r="I9" s="16" t="n">
        <f aca="false">IF(INDEX(選手一覧!$J$7:$J$2738,$F9)="","",INDEX(選手一覧!$J$7:$J$2738,$F9))</f>
        <v>0.00267881944444444</v>
      </c>
      <c r="J9" s="17" t="n">
        <f aca="false">IF(INDEX(選手一覧!$K$7:$K$2738,$F9)="","",INDEX(選手一覧!$K$7:$K$2738,$F9))</f>
        <v>13</v>
      </c>
    </row>
    <row r="10" customFormat="false" ht="15" hidden="false" customHeight="false" outlineLevel="0" collapsed="false">
      <c r="A10" s="17" t="n">
        <v>6</v>
      </c>
      <c r="B10" s="12" t="s">
        <v>36</v>
      </c>
      <c r="C10" s="12" t="s">
        <v>37</v>
      </c>
      <c r="D10" s="16" t="n">
        <v>0.00975914351851852</v>
      </c>
      <c r="E10" s="15" t="n">
        <f aca="false">ROUND((D10-$D$5)*86400,2)</f>
        <v>53.45</v>
      </c>
      <c r="F10" s="17" t="n">
        <v>6</v>
      </c>
      <c r="G10" s="16" t="n">
        <f aca="false">IF(INDEX(選手一覧!$H$7:$H$2738,$F10)="","",INDEX(選手一覧!$H$7:$H$2738,$F10))</f>
        <v>0.00626909722222222</v>
      </c>
      <c r="H10" s="17" t="n">
        <f aca="false">IF(INDEX(選手一覧!$I$7:$I$2738,$F10)="","",INDEX(選手一覧!$I$7:$I$2738,$F10))</f>
        <v>2</v>
      </c>
      <c r="I10" s="16" t="n">
        <f aca="false">IF(INDEX(選手一覧!$J$7:$J$2738,$F10)="","",INDEX(選手一覧!$J$7:$J$2738,$F10))</f>
        <v>0.00278136574074074</v>
      </c>
      <c r="J10" s="17" t="n">
        <f aca="false">IF(INDEX(選手一覧!$K$7:$K$2738,$F10)="","",INDEX(選手一覧!$K$7:$K$2738,$F10))</f>
        <v>209</v>
      </c>
    </row>
    <row r="11" customFormat="false" ht="15" hidden="false" customHeight="false" outlineLevel="0" collapsed="false">
      <c r="A11" s="17" t="n">
        <v>7</v>
      </c>
      <c r="B11" s="12" t="s">
        <v>39</v>
      </c>
      <c r="C11" s="12" t="s">
        <v>40</v>
      </c>
      <c r="D11" s="16" t="n">
        <v>0.00977974537037037</v>
      </c>
      <c r="E11" s="15" t="n">
        <f aca="false">ROUND((D11-$D$5)*86400,2)</f>
        <v>55.23</v>
      </c>
      <c r="F11" s="17" t="n">
        <v>7</v>
      </c>
      <c r="G11" s="16" t="str">
        <f aca="false">IF(INDEX(選手一覧!$H$7:$H$2738,$F11)="","",INDEX(選手一覧!$H$7:$H$2738,$F11))</f>
        <v/>
      </c>
      <c r="H11" s="17" t="str">
        <f aca="false">IF(INDEX(選手一覧!$I$7:$I$2738,$F11)="","",INDEX(選手一覧!$I$7:$I$2738,$F11))</f>
        <v/>
      </c>
      <c r="I11" s="16" t="str">
        <f aca="false">IF(INDEX(選手一覧!$J$7:$J$2738,$F11)="","",INDEX(選手一覧!$J$7:$J$2738,$F11))</f>
        <v/>
      </c>
      <c r="J11" s="17" t="str">
        <f aca="false">IF(INDEX(選手一覧!$K$7:$K$2738,$F11)="","",INDEX(選手一覧!$K$7:$K$2738,$F11))</f>
        <v/>
      </c>
    </row>
    <row r="12" customFormat="false" ht="15" hidden="false" customHeight="false" outlineLevel="0" collapsed="false">
      <c r="A12" s="17" t="n">
        <v>8</v>
      </c>
      <c r="B12" s="12" t="s">
        <v>42</v>
      </c>
      <c r="C12" s="12" t="s">
        <v>43</v>
      </c>
      <c r="D12" s="16" t="n">
        <v>0.00981168981481482</v>
      </c>
      <c r="E12" s="15" t="n">
        <f aca="false">ROUND((D12-$D$5)*86400,2)</f>
        <v>57.99</v>
      </c>
      <c r="F12" s="17" t="n">
        <v>8</v>
      </c>
      <c r="G12" s="16" t="str">
        <f aca="false">IF(INDEX(選手一覧!$H$7:$H$2738,$F12)="","",INDEX(選手一覧!$H$7:$H$2738,$F12))</f>
        <v/>
      </c>
      <c r="H12" s="17" t="str">
        <f aca="false">IF(INDEX(選手一覧!$I$7:$I$2738,$F12)="","",INDEX(選手一覧!$I$7:$I$2738,$F12))</f>
        <v/>
      </c>
      <c r="I12" s="16" t="n">
        <f aca="false">IF(INDEX(選手一覧!$J$7:$J$2738,$F12)="","",INDEX(選手一覧!$J$7:$J$2738,$F12))</f>
        <v>0.00269803240740741</v>
      </c>
      <c r="J12" s="17" t="n">
        <f aca="false">IF(INDEX(選手一覧!$K$7:$K$2738,$F12)="","",INDEX(選手一覧!$K$7:$K$2738,$F12))</f>
        <v>24</v>
      </c>
    </row>
    <row r="13" customFormat="false" ht="15" hidden="false" customHeight="false" outlineLevel="0" collapsed="false">
      <c r="A13" s="17" t="n">
        <v>9</v>
      </c>
      <c r="B13" s="12" t="s">
        <v>46</v>
      </c>
      <c r="C13" s="12" t="s">
        <v>32</v>
      </c>
      <c r="D13" s="16" t="n">
        <v>0.00981481481481481</v>
      </c>
      <c r="E13" s="15" t="n">
        <f aca="false">ROUND((D13-$D$5)*86400,2)</f>
        <v>58.26</v>
      </c>
      <c r="F13" s="17" t="n">
        <v>9</v>
      </c>
      <c r="G13" s="16" t="str">
        <f aca="false">IF(INDEX(選手一覧!$H$7:$H$2738,$F13)="","",INDEX(選手一覧!$H$7:$H$2738,$F13))</f>
        <v/>
      </c>
      <c r="H13" s="17" t="str">
        <f aca="false">IF(INDEX(選手一覧!$I$7:$I$2738,$F13)="","",INDEX(選手一覧!$I$7:$I$2738,$F13))</f>
        <v/>
      </c>
      <c r="I13" s="16" t="n">
        <f aca="false">IF(INDEX(選手一覧!$J$7:$J$2738,$F13)="","",INDEX(選手一覧!$J$7:$J$2738,$F13))</f>
        <v>0.00277962962962963</v>
      </c>
      <c r="J13" s="17" t="n">
        <f aca="false">IF(INDEX(選手一覧!$K$7:$K$2738,$F13)="","",INDEX(選手一覧!$K$7:$K$2738,$F13))</f>
        <v>200</v>
      </c>
    </row>
    <row r="14" customFormat="false" ht="15" hidden="false" customHeight="false" outlineLevel="0" collapsed="false">
      <c r="A14" s="17" t="n">
        <v>10</v>
      </c>
      <c r="B14" s="12" t="s">
        <v>47</v>
      </c>
      <c r="C14" s="12" t="s">
        <v>37</v>
      </c>
      <c r="D14" s="16" t="n">
        <v>0.00986527777777778</v>
      </c>
      <c r="E14" s="15" t="n">
        <f aca="false">ROUND((D14-$D$5)*86400,2)</f>
        <v>62.62</v>
      </c>
      <c r="F14" s="17" t="n">
        <v>10</v>
      </c>
      <c r="G14" s="16" t="str">
        <f aca="false">IF(INDEX(選手一覧!$H$7:$H$2738,$F14)="","",INDEX(選手一覧!$H$7:$H$2738,$F14))</f>
        <v/>
      </c>
      <c r="H14" s="17" t="str">
        <f aca="false">IF(INDEX(選手一覧!$I$7:$I$2738,$F14)="","",INDEX(選手一覧!$I$7:$I$2738,$F14))</f>
        <v/>
      </c>
      <c r="I14" s="16" t="n">
        <f aca="false">IF(INDEX(選手一覧!$J$7:$J$2738,$F14)="","",INDEX(選手一覧!$J$7:$J$2738,$F14))</f>
        <v>0.00282071759259259</v>
      </c>
      <c r="J14" s="17" t="n">
        <f aca="false">IF(INDEX(選手一覧!$K$7:$K$2738,$F14)="","",INDEX(選手一覧!$K$7:$K$2738,$F14))</f>
        <v>367</v>
      </c>
    </row>
    <row r="15" customFormat="false" ht="15" hidden="false" customHeight="false" outlineLevel="0" collapsed="false">
      <c r="A15" s="17" t="n">
        <v>11</v>
      </c>
      <c r="B15" s="12" t="s">
        <v>48</v>
      </c>
      <c r="C15" s="12" t="s">
        <v>37</v>
      </c>
      <c r="D15" s="16" t="n">
        <v>0.00987071759259259</v>
      </c>
      <c r="E15" s="15" t="n">
        <f aca="false">ROUND((D15-$D$5)*86400,2)</f>
        <v>63.09</v>
      </c>
      <c r="F15" s="17" t="n">
        <v>11</v>
      </c>
      <c r="G15" s="16" t="str">
        <f aca="false">IF(INDEX(選手一覧!$H$7:$H$2738,$F15)="","",INDEX(選手一覧!$H$7:$H$2738,$F15))</f>
        <v/>
      </c>
      <c r="H15" s="17" t="str">
        <f aca="false">IF(INDEX(選手一覧!$I$7:$I$2738,$F15)="","",INDEX(選手一覧!$I$7:$I$2738,$F15))</f>
        <v/>
      </c>
      <c r="I15" s="16" t="n">
        <f aca="false">IF(INDEX(選手一覧!$J$7:$J$2738,$F15)="","",INDEX(選手一覧!$J$7:$J$2738,$F15))</f>
        <v>0.00275902777777778</v>
      </c>
      <c r="J15" s="17" t="n">
        <f aca="false">IF(INDEX(選手一覧!$K$7:$K$2738,$F15)="","",INDEX(選手一覧!$K$7:$K$2738,$F15))</f>
        <v>132</v>
      </c>
    </row>
    <row r="16" customFormat="false" ht="15" hidden="false" customHeight="false" outlineLevel="0" collapsed="false">
      <c r="A16" s="17" t="n">
        <v>12</v>
      </c>
      <c r="B16" s="12" t="s">
        <v>50</v>
      </c>
      <c r="C16" s="12" t="s">
        <v>51</v>
      </c>
      <c r="D16" s="16" t="n">
        <v>0.00987303240740741</v>
      </c>
      <c r="E16" s="15" t="n">
        <f aca="false">ROUND((D16-$D$5)*86400,2)</f>
        <v>63.29</v>
      </c>
      <c r="F16" s="17" t="n">
        <v>12</v>
      </c>
      <c r="G16" s="16" t="str">
        <f aca="false">IF(INDEX(選手一覧!$H$7:$H$2738,$F16)="","",INDEX(選手一覧!$H$7:$H$2738,$F16))</f>
        <v/>
      </c>
      <c r="H16" s="17" t="str">
        <f aca="false">IF(INDEX(選手一覧!$I$7:$I$2738,$F16)="","",INDEX(選手一覧!$I$7:$I$2738,$F16))</f>
        <v/>
      </c>
      <c r="I16" s="16" t="n">
        <f aca="false">IF(INDEX(選手一覧!$J$7:$J$2738,$F16)="","",INDEX(選手一覧!$J$7:$J$2738,$F16))</f>
        <v>0.00267592592592593</v>
      </c>
      <c r="J16" s="17" t="n">
        <f aca="false">IF(INDEX(選手一覧!$K$7:$K$2738,$F16)="","",INDEX(選手一覧!$K$7:$K$2738,$F16))</f>
        <v>8</v>
      </c>
    </row>
    <row r="17" customFormat="false" ht="15" hidden="false" customHeight="false" outlineLevel="0" collapsed="false">
      <c r="A17" s="17" t="n">
        <v>13</v>
      </c>
      <c r="B17" s="12" t="s">
        <v>4171</v>
      </c>
      <c r="C17" s="12" t="s">
        <v>43</v>
      </c>
      <c r="D17" s="16" t="n">
        <v>0.00987326388888889</v>
      </c>
      <c r="E17" s="15" t="n">
        <f aca="false">ROUND((D17-$D$5)*86400,2)</f>
        <v>63.31</v>
      </c>
      <c r="F17" s="17" t="n">
        <v>8</v>
      </c>
      <c r="G17" s="16" t="str">
        <f aca="false">IF(INDEX(選手一覧!$H$7:$H$2738,$F17)="","",INDEX(選手一覧!$H$7:$H$2738,$F17))</f>
        <v/>
      </c>
      <c r="H17" s="17" t="str">
        <f aca="false">IF(INDEX(選手一覧!$I$7:$I$2738,$F17)="","",INDEX(選手一覧!$I$7:$I$2738,$F17))</f>
        <v/>
      </c>
      <c r="I17" s="16" t="n">
        <f aca="false">IF(INDEX(選手一覧!$J$7:$J$2738,$F17)="","",INDEX(選手一覧!$J$7:$J$2738,$F17))</f>
        <v>0.00269803240740741</v>
      </c>
      <c r="J17" s="17" t="n">
        <f aca="false">IF(INDEX(選手一覧!$K$7:$K$2738,$F17)="","",INDEX(選手一覧!$K$7:$K$2738,$F17))</f>
        <v>24</v>
      </c>
    </row>
    <row r="18" customFormat="false" ht="15" hidden="false" customHeight="false" outlineLevel="0" collapsed="false">
      <c r="A18" s="17" t="n">
        <v>14</v>
      </c>
      <c r="B18" s="12" t="s">
        <v>53</v>
      </c>
      <c r="C18" s="12" t="s">
        <v>54</v>
      </c>
      <c r="D18" s="16" t="n">
        <v>0.00990069444444445</v>
      </c>
      <c r="E18" s="15" t="n">
        <f aca="false">ROUND((D18-$D$5)*86400,2)</f>
        <v>65.68</v>
      </c>
      <c r="F18" s="17" t="n">
        <v>13</v>
      </c>
      <c r="G18" s="16" t="str">
        <f aca="false">IF(INDEX(選手一覧!$H$7:$H$2738,$F18)="","",INDEX(選手一覧!$H$7:$H$2738,$F18))</f>
        <v/>
      </c>
      <c r="H18" s="17" t="str">
        <f aca="false">IF(INDEX(選手一覧!$I$7:$I$2738,$F18)="","",INDEX(選手一覧!$I$7:$I$2738,$F18))</f>
        <v/>
      </c>
      <c r="I18" s="16" t="n">
        <f aca="false">IF(INDEX(選手一覧!$J$7:$J$2738,$F18)="","",INDEX(選手一覧!$J$7:$J$2738,$F18))</f>
        <v>0.00268946759259259</v>
      </c>
      <c r="J18" s="17" t="n">
        <f aca="false">IF(INDEX(選手一覧!$K$7:$K$2738,$F18)="","",INDEX(選手一覧!$K$7:$K$2738,$F18))</f>
        <v>18</v>
      </c>
    </row>
    <row r="19" customFormat="false" ht="15" hidden="false" customHeight="false" outlineLevel="0" collapsed="false">
      <c r="A19" s="17" t="n">
        <v>15</v>
      </c>
      <c r="B19" s="12" t="s">
        <v>56</v>
      </c>
      <c r="C19" s="12" t="s">
        <v>51</v>
      </c>
      <c r="D19" s="16" t="n">
        <v>0.00990787037037037</v>
      </c>
      <c r="E19" s="15" t="n">
        <f aca="false">ROUND((D19-$D$5)*86400,2)</f>
        <v>66.3</v>
      </c>
      <c r="F19" s="17" t="n">
        <v>14</v>
      </c>
      <c r="G19" s="16" t="str">
        <f aca="false">IF(INDEX(選手一覧!$H$7:$H$2738,$F19)="","",INDEX(選手一覧!$H$7:$H$2738,$F19))</f>
        <v/>
      </c>
      <c r="H19" s="17" t="str">
        <f aca="false">IF(INDEX(選手一覧!$I$7:$I$2738,$F19)="","",INDEX(選手一覧!$I$7:$I$2738,$F19))</f>
        <v/>
      </c>
      <c r="I19" s="16" t="n">
        <f aca="false">IF(INDEX(選手一覧!$J$7:$J$2738,$F19)="","",INDEX(選手一覧!$J$7:$J$2738,$F19))</f>
        <v>0.00283935185185185</v>
      </c>
      <c r="J19" s="17" t="n">
        <f aca="false">IF(INDEX(選手一覧!$K$7:$K$2738,$F19)="","",INDEX(選手一覧!$K$7:$K$2738,$F19))</f>
        <v>491</v>
      </c>
    </row>
    <row r="20" customFormat="false" ht="15" hidden="false" customHeight="false" outlineLevel="0" collapsed="false">
      <c r="A20" s="17" t="n">
        <v>16</v>
      </c>
      <c r="B20" s="12" t="s">
        <v>58</v>
      </c>
      <c r="C20" s="12" t="s">
        <v>59</v>
      </c>
      <c r="D20" s="16" t="n">
        <v>0.00992893518518519</v>
      </c>
      <c r="E20" s="15" t="n">
        <f aca="false">ROUND((D20-$D$5)*86400,2)</f>
        <v>68.12</v>
      </c>
      <c r="F20" s="17" t="n">
        <v>15</v>
      </c>
      <c r="G20" s="16" t="str">
        <f aca="false">IF(INDEX(選手一覧!$H$7:$H$2738,$F20)="","",INDEX(選手一覧!$H$7:$H$2738,$F20))</f>
        <v/>
      </c>
      <c r="H20" s="17" t="str">
        <f aca="false">IF(INDEX(選手一覧!$I$7:$I$2738,$F20)="","",INDEX(選手一覧!$I$7:$I$2738,$F20))</f>
        <v/>
      </c>
      <c r="I20" s="16" t="n">
        <f aca="false">IF(INDEX(選手一覧!$J$7:$J$2738,$F20)="","",INDEX(選手一覧!$J$7:$J$2738,$F20))</f>
        <v>0.00270949074074074</v>
      </c>
      <c r="J20" s="17" t="n">
        <f aca="false">IF(INDEX(選手一覧!$K$7:$K$2738,$F20)="","",INDEX(選手一覧!$K$7:$K$2738,$F20))</f>
        <v>34</v>
      </c>
    </row>
    <row r="21" customFormat="false" ht="15" hidden="false" customHeight="false" outlineLevel="0" collapsed="false">
      <c r="A21" s="17" t="n">
        <v>17</v>
      </c>
      <c r="B21" s="12" t="s">
        <v>60</v>
      </c>
      <c r="C21" s="12" t="s">
        <v>61</v>
      </c>
      <c r="D21" s="16" t="n">
        <v>0.00994131944444444</v>
      </c>
      <c r="E21" s="15" t="n">
        <f aca="false">ROUND((D21-$D$5)*86400,2)</f>
        <v>69.19</v>
      </c>
      <c r="F21" s="17" t="n">
        <v>16</v>
      </c>
      <c r="G21" s="16" t="str">
        <f aca="false">IF(INDEX(選手一覧!$H$7:$H$2738,$F21)="","",INDEX(選手一覧!$H$7:$H$2738,$F21))</f>
        <v/>
      </c>
      <c r="H21" s="17" t="str">
        <f aca="false">IF(INDEX(選手一覧!$I$7:$I$2738,$F21)="","",INDEX(選手一覧!$I$7:$I$2738,$F21))</f>
        <v/>
      </c>
      <c r="I21" s="16" t="n">
        <f aca="false">IF(INDEX(選手一覧!$J$7:$J$2738,$F21)="","",INDEX(選手一覧!$J$7:$J$2738,$F21))</f>
        <v>0.0028630787037037</v>
      </c>
      <c r="J21" s="17" t="n">
        <f aca="false">IF(INDEX(選手一覧!$K$7:$K$2738,$F21)="","",INDEX(選手一覧!$K$7:$K$2738,$F21))</f>
        <v>656</v>
      </c>
    </row>
    <row r="22" customFormat="false" ht="15" hidden="false" customHeight="false" outlineLevel="0" collapsed="false">
      <c r="A22" s="17" t="n">
        <v>18</v>
      </c>
      <c r="B22" s="12" t="s">
        <v>62</v>
      </c>
      <c r="C22" s="12" t="s">
        <v>63</v>
      </c>
      <c r="D22" s="16" t="n">
        <v>0.0099462962962963</v>
      </c>
      <c r="E22" s="15" t="n">
        <f aca="false">ROUND((D22-$D$5)*86400,2)</f>
        <v>69.62</v>
      </c>
      <c r="F22" s="17" t="n">
        <v>17</v>
      </c>
      <c r="G22" s="16" t="str">
        <f aca="false">IF(INDEX(選手一覧!$H$7:$H$2738,$F22)="","",INDEX(選手一覧!$H$7:$H$2738,$F22))</f>
        <v/>
      </c>
      <c r="H22" s="17" t="str">
        <f aca="false">IF(INDEX(選手一覧!$I$7:$I$2738,$F22)="","",INDEX(選手一覧!$I$7:$I$2738,$F22))</f>
        <v/>
      </c>
      <c r="I22" s="16" t="n">
        <f aca="false">IF(INDEX(選手一覧!$J$7:$J$2738,$F22)="","",INDEX(選手一覧!$J$7:$J$2738,$F22))</f>
        <v>0.00272430555555556</v>
      </c>
      <c r="J22" s="17" t="n">
        <f aca="false">IF(INDEX(選手一覧!$K$7:$K$2738,$F22)="","",INDEX(選手一覧!$K$7:$K$2738,$F22))</f>
        <v>55</v>
      </c>
    </row>
    <row r="23" customFormat="false" ht="15" hidden="false" customHeight="false" outlineLevel="0" collapsed="false">
      <c r="A23" s="17" t="n">
        <v>19</v>
      </c>
      <c r="B23" s="12" t="s">
        <v>64</v>
      </c>
      <c r="C23" s="12" t="s">
        <v>65</v>
      </c>
      <c r="D23" s="16" t="n">
        <v>0.00997210648148148</v>
      </c>
      <c r="E23" s="15" t="n">
        <f aca="false">ROUND((D23-$D$5)*86400,2)</f>
        <v>71.85</v>
      </c>
      <c r="F23" s="17" t="n">
        <v>18</v>
      </c>
      <c r="G23" s="16" t="str">
        <f aca="false">IF(INDEX(選手一覧!$H$7:$H$2738,$F23)="","",INDEX(選手一覧!$H$7:$H$2738,$F23))</f>
        <v/>
      </c>
      <c r="H23" s="17" t="str">
        <f aca="false">IF(INDEX(選手一覧!$I$7:$I$2738,$F23)="","",INDEX(選手一覧!$I$7:$I$2738,$F23))</f>
        <v/>
      </c>
      <c r="I23" s="16" t="n">
        <f aca="false">IF(INDEX(選手一覧!$J$7:$J$2738,$F23)="","",INDEX(選手一覧!$J$7:$J$2738,$F23))</f>
        <v>0.00273252314814815</v>
      </c>
      <c r="J23" s="17" t="n">
        <f aca="false">IF(INDEX(選手一覧!$K$7:$K$2738,$F23)="","",INDEX(選手一覧!$K$7:$K$2738,$F23))</f>
        <v>70</v>
      </c>
    </row>
    <row r="24" customFormat="false" ht="15" hidden="false" customHeight="false" outlineLevel="0" collapsed="false">
      <c r="A24" s="17" t="n">
        <v>20</v>
      </c>
      <c r="B24" s="12" t="s">
        <v>66</v>
      </c>
      <c r="C24" s="12" t="s">
        <v>67</v>
      </c>
      <c r="D24" s="16" t="n">
        <v>0.00997581018518519</v>
      </c>
      <c r="E24" s="15" t="n">
        <f aca="false">ROUND((D24-$D$5)*86400,2)</f>
        <v>72.17</v>
      </c>
      <c r="F24" s="17" t="n">
        <v>19</v>
      </c>
      <c r="G24" s="16" t="str">
        <f aca="false">IF(INDEX(選手一覧!$H$7:$H$2738,$F24)="","",INDEX(選手一覧!$H$7:$H$2738,$F24))</f>
        <v/>
      </c>
      <c r="H24" s="17" t="str">
        <f aca="false">IF(INDEX(選手一覧!$I$7:$I$2738,$F24)="","",INDEX(選手一覧!$I$7:$I$2738,$F24))</f>
        <v/>
      </c>
      <c r="I24" s="16" t="n">
        <f aca="false">IF(INDEX(選手一覧!$J$7:$J$2738,$F24)="","",INDEX(選手一覧!$J$7:$J$2738,$F24))</f>
        <v>0.00273564814814815</v>
      </c>
      <c r="J24" s="17" t="n">
        <f aca="false">IF(INDEX(選手一覧!$K$7:$K$2738,$F24)="","",INDEX(選手一覧!$K$7:$K$2738,$F24))</f>
        <v>74</v>
      </c>
    </row>
    <row r="25" customFormat="false" ht="15" hidden="false" customHeight="false" outlineLevel="0" collapsed="false">
      <c r="A25" s="17" t="n">
        <v>21</v>
      </c>
      <c r="B25" s="12" t="s">
        <v>68</v>
      </c>
      <c r="C25" s="12" t="s">
        <v>69</v>
      </c>
      <c r="D25" s="16" t="n">
        <v>0.00997708333333333</v>
      </c>
      <c r="E25" s="15" t="n">
        <f aca="false">ROUND((D25-$D$5)*86400,2)</f>
        <v>72.28</v>
      </c>
      <c r="F25" s="17" t="n">
        <v>20</v>
      </c>
      <c r="G25" s="16" t="str">
        <f aca="false">IF(INDEX(選手一覧!$H$7:$H$2738,$F25)="","",INDEX(選手一覧!$H$7:$H$2738,$F25))</f>
        <v/>
      </c>
      <c r="H25" s="17" t="str">
        <f aca="false">IF(INDEX(選手一覧!$I$7:$I$2738,$F25)="","",INDEX(選手一覧!$I$7:$I$2738,$F25))</f>
        <v/>
      </c>
      <c r="I25" s="16" t="n">
        <f aca="false">IF(INDEX(選手一覧!$J$7:$J$2738,$F25)="","",INDEX(選手一覧!$J$7:$J$2738,$F25))</f>
        <v>0.0027244212962963</v>
      </c>
      <c r="J25" s="17" t="n">
        <f aca="false">IF(INDEX(選手一覧!$K$7:$K$2738,$F25)="","",INDEX(選手一覧!$K$7:$K$2738,$F25))</f>
        <v>56</v>
      </c>
    </row>
    <row r="26" customFormat="false" ht="15" hidden="false" customHeight="false" outlineLevel="0" collapsed="false">
      <c r="A26" s="17" t="n">
        <v>22</v>
      </c>
      <c r="B26" s="12" t="s">
        <v>70</v>
      </c>
      <c r="C26" s="12" t="s">
        <v>71</v>
      </c>
      <c r="D26" s="16" t="n">
        <v>0.0100024305555556</v>
      </c>
      <c r="E26" s="15" t="n">
        <f aca="false">ROUND((D26-$D$5)*86400,2)</f>
        <v>74.47</v>
      </c>
      <c r="F26" s="17" t="n">
        <v>21</v>
      </c>
      <c r="G26" s="16" t="str">
        <f aca="false">IF(INDEX(選手一覧!$H$7:$H$2738,$F26)="","",INDEX(選手一覧!$H$7:$H$2738,$F26))</f>
        <v/>
      </c>
      <c r="H26" s="17" t="str">
        <f aca="false">IF(INDEX(選手一覧!$I$7:$I$2738,$F26)="","",INDEX(選手一覧!$I$7:$I$2738,$F26))</f>
        <v/>
      </c>
      <c r="I26" s="16" t="n">
        <f aca="false">IF(INDEX(選手一覧!$J$7:$J$2738,$F26)="","",INDEX(選手一覧!$J$7:$J$2738,$F26))</f>
        <v>0.00293900462962963</v>
      </c>
      <c r="J26" s="17" t="n">
        <f aca="false">IF(INDEX(選手一覧!$K$7:$K$2738,$F26)="","",INDEX(選手一覧!$K$7:$K$2738,$F26))</f>
        <v>1197</v>
      </c>
    </row>
    <row r="27" customFormat="false" ht="15" hidden="false" customHeight="false" outlineLevel="0" collapsed="false">
      <c r="A27" s="17" t="n">
        <v>23</v>
      </c>
      <c r="B27" s="12" t="s">
        <v>72</v>
      </c>
      <c r="C27" s="12" t="s">
        <v>73</v>
      </c>
      <c r="D27" s="16" t="n">
        <v>0.0100109953703704</v>
      </c>
      <c r="E27" s="15" t="n">
        <f aca="false">ROUND((D27-$D$5)*86400,2)</f>
        <v>75.21</v>
      </c>
      <c r="F27" s="17" t="n">
        <v>22</v>
      </c>
      <c r="G27" s="16" t="str">
        <f aca="false">IF(INDEX(選手一覧!$H$7:$H$2738,$F27)="","",INDEX(選手一覧!$H$7:$H$2738,$F27))</f>
        <v/>
      </c>
      <c r="H27" s="17" t="str">
        <f aca="false">IF(INDEX(選手一覧!$I$7:$I$2738,$F27)="","",INDEX(選手一覧!$I$7:$I$2738,$F27))</f>
        <v/>
      </c>
      <c r="I27" s="16" t="str">
        <f aca="false">IF(INDEX(選手一覧!$J$7:$J$2738,$F27)="","",INDEX(選手一覧!$J$7:$J$2738,$F27))</f>
        <v/>
      </c>
      <c r="J27" s="17" t="str">
        <f aca="false">IF(INDEX(選手一覧!$K$7:$K$2738,$F27)="","",INDEX(選手一覧!$K$7:$K$2738,$F27))</f>
        <v/>
      </c>
    </row>
    <row r="28" customFormat="false" ht="15" hidden="false" customHeight="false" outlineLevel="0" collapsed="false">
      <c r="A28" s="17" t="n">
        <v>24</v>
      </c>
      <c r="B28" s="12" t="s">
        <v>74</v>
      </c>
      <c r="C28" s="12" t="s">
        <v>37</v>
      </c>
      <c r="D28" s="16" t="n">
        <v>0.0100170138888889</v>
      </c>
      <c r="E28" s="15" t="n">
        <f aca="false">ROUND((D28-$D$5)*86400,2)</f>
        <v>75.73</v>
      </c>
      <c r="F28" s="17" t="n">
        <v>23</v>
      </c>
      <c r="G28" s="16" t="n">
        <f aca="false">IF(INDEX(選手一覧!$H$7:$H$2738,$F28)="","",INDEX(選手一覧!$H$7:$H$2738,$F28))</f>
        <v>0.00636747685185185</v>
      </c>
      <c r="H28" s="17" t="n">
        <f aca="false">IF(INDEX(選手一覧!$I$7:$I$2738,$F28)="","",INDEX(選手一覧!$I$7:$I$2738,$F28))</f>
        <v>11</v>
      </c>
      <c r="I28" s="16" t="n">
        <f aca="false">IF(INDEX(選手一覧!$J$7:$J$2738,$F28)="","",INDEX(選手一覧!$J$7:$J$2738,$F28))</f>
        <v>0.00280856481481482</v>
      </c>
      <c r="J28" s="17" t="n">
        <f aca="false">IF(INDEX(選手一覧!$K$7:$K$2738,$F28)="","",INDEX(選手一覧!$K$7:$K$2738,$F28))</f>
        <v>320</v>
      </c>
    </row>
    <row r="29" customFormat="false" ht="15" hidden="false" customHeight="false" outlineLevel="0" collapsed="false">
      <c r="A29" s="17" t="n">
        <v>25</v>
      </c>
      <c r="B29" s="12" t="s">
        <v>76</v>
      </c>
      <c r="C29" s="12" t="s">
        <v>77</v>
      </c>
      <c r="D29" s="16" t="n">
        <v>0.0100194444444444</v>
      </c>
      <c r="E29" s="15" t="n">
        <f aca="false">ROUND((D29-$D$5)*86400,2)</f>
        <v>75.94</v>
      </c>
      <c r="F29" s="17" t="n">
        <v>24</v>
      </c>
      <c r="G29" s="16" t="str">
        <f aca="false">IF(INDEX(選手一覧!$H$7:$H$2738,$F29)="","",INDEX(選手一覧!$H$7:$H$2738,$F29))</f>
        <v/>
      </c>
      <c r="H29" s="17" t="str">
        <f aca="false">IF(INDEX(選手一覧!$I$7:$I$2738,$F29)="","",INDEX(選手一覧!$I$7:$I$2738,$F29))</f>
        <v/>
      </c>
      <c r="I29" s="16" t="n">
        <f aca="false">IF(INDEX(選手一覧!$J$7:$J$2738,$F29)="","",INDEX(選手一覧!$J$7:$J$2738,$F29))</f>
        <v>0.00267650462962963</v>
      </c>
      <c r="J29" s="17" t="n">
        <f aca="false">IF(INDEX(選手一覧!$K$7:$K$2738,$F29)="","",INDEX(選手一覧!$K$7:$K$2738,$F29))</f>
        <v>9</v>
      </c>
    </row>
    <row r="30" customFormat="false" ht="15" hidden="false" customHeight="false" outlineLevel="0" collapsed="false">
      <c r="A30" s="17" t="n">
        <v>26</v>
      </c>
      <c r="B30" s="12" t="s">
        <v>79</v>
      </c>
      <c r="C30" s="12" t="s">
        <v>80</v>
      </c>
      <c r="D30" s="16" t="n">
        <v>0.010022337962963</v>
      </c>
      <c r="E30" s="15" t="n">
        <f aca="false">ROUND((D30-$D$5)*86400,2)</f>
        <v>76.19</v>
      </c>
      <c r="F30" s="17" t="n">
        <v>25</v>
      </c>
      <c r="G30" s="16" t="str">
        <f aca="false">IF(INDEX(選手一覧!$H$7:$H$2738,$F30)="","",INDEX(選手一覧!$H$7:$H$2738,$F30))</f>
        <v/>
      </c>
      <c r="H30" s="17" t="str">
        <f aca="false">IF(INDEX(選手一覧!$I$7:$I$2738,$F30)="","",INDEX(選手一覧!$I$7:$I$2738,$F30))</f>
        <v/>
      </c>
      <c r="I30" s="16" t="n">
        <f aca="false">IF(INDEX(選手一覧!$J$7:$J$2738,$F30)="","",INDEX(選手一覧!$J$7:$J$2738,$F30))</f>
        <v>0.00267071759259259</v>
      </c>
      <c r="J30" s="17" t="n">
        <f aca="false">IF(INDEX(選手一覧!$K$7:$K$2738,$F30)="","",INDEX(選手一覧!$K$7:$K$2738,$F30))</f>
        <v>7</v>
      </c>
    </row>
    <row r="31" customFormat="false" ht="15" hidden="false" customHeight="false" outlineLevel="0" collapsed="false">
      <c r="A31" s="17" t="n">
        <v>27</v>
      </c>
      <c r="B31" s="12" t="s">
        <v>81</v>
      </c>
      <c r="C31" s="12" t="s">
        <v>63</v>
      </c>
      <c r="D31" s="16" t="n">
        <v>0.0100325231481482</v>
      </c>
      <c r="E31" s="15" t="n">
        <f aca="false">ROUND((D31-$D$5)*86400,2)</f>
        <v>77.07</v>
      </c>
      <c r="F31" s="17" t="n">
        <v>26</v>
      </c>
      <c r="G31" s="16" t="str">
        <f aca="false">IF(INDEX(選手一覧!$H$7:$H$2738,$F31)="","",INDEX(選手一覧!$H$7:$H$2738,$F31))</f>
        <v/>
      </c>
      <c r="H31" s="17" t="str">
        <f aca="false">IF(INDEX(選手一覧!$I$7:$I$2738,$F31)="","",INDEX(選手一覧!$I$7:$I$2738,$F31))</f>
        <v/>
      </c>
      <c r="I31" s="16" t="str">
        <f aca="false">IF(INDEX(選手一覧!$J$7:$J$2738,$F31)="","",INDEX(選手一覧!$J$7:$J$2738,$F31))</f>
        <v/>
      </c>
      <c r="J31" s="17" t="str">
        <f aca="false">IF(INDEX(選手一覧!$K$7:$K$2738,$F31)="","",INDEX(選手一覧!$K$7:$K$2738,$F31))</f>
        <v/>
      </c>
    </row>
    <row r="32" customFormat="false" ht="15" hidden="false" customHeight="false" outlineLevel="0" collapsed="false">
      <c r="A32" s="17" t="n">
        <v>28</v>
      </c>
      <c r="B32" s="12" t="s">
        <v>82</v>
      </c>
      <c r="C32" s="12" t="s">
        <v>83</v>
      </c>
      <c r="D32" s="16" t="n">
        <v>0.0100331018518519</v>
      </c>
      <c r="E32" s="15" t="n">
        <f aca="false">ROUND((D32-$D$5)*86400,2)</f>
        <v>77.12</v>
      </c>
      <c r="F32" s="17" t="n">
        <v>27</v>
      </c>
      <c r="G32" s="16" t="str">
        <f aca="false">IF(INDEX(選手一覧!$H$7:$H$2738,$F32)="","",INDEX(選手一覧!$H$7:$H$2738,$F32))</f>
        <v/>
      </c>
      <c r="H32" s="17" t="str">
        <f aca="false">IF(INDEX(選手一覧!$I$7:$I$2738,$F32)="","",INDEX(選手一覧!$I$7:$I$2738,$F32))</f>
        <v/>
      </c>
      <c r="I32" s="16" t="n">
        <f aca="false">IF(INDEX(選手一覧!$J$7:$J$2738,$F32)="","",INDEX(選手一覧!$J$7:$J$2738,$F32))</f>
        <v>0.00271909722222222</v>
      </c>
      <c r="J32" s="17" t="n">
        <f aca="false">IF(INDEX(選手一覧!$K$7:$K$2738,$F32)="","",INDEX(選手一覧!$K$7:$K$2738,$F32))</f>
        <v>48</v>
      </c>
    </row>
    <row r="33" customFormat="false" ht="15" hidden="false" customHeight="false" outlineLevel="0" collapsed="false">
      <c r="A33" s="17" t="n">
        <v>29</v>
      </c>
      <c r="B33" s="12" t="s">
        <v>84</v>
      </c>
      <c r="C33" s="12" t="s">
        <v>77</v>
      </c>
      <c r="D33" s="16" t="n">
        <v>0.0100400462962963</v>
      </c>
      <c r="E33" s="15" t="n">
        <f aca="false">ROUND((D33-$D$5)*86400,2)</f>
        <v>77.72</v>
      </c>
      <c r="F33" s="17" t="n">
        <v>28</v>
      </c>
      <c r="G33" s="16" t="n">
        <f aca="false">IF(INDEX(選手一覧!$H$7:$H$2738,$F33)="","",INDEX(選手一覧!$H$7:$H$2738,$F33))</f>
        <v>0.00702037037037037</v>
      </c>
      <c r="H33" s="17" t="n">
        <f aca="false">IF(INDEX(選手一覧!$I$7:$I$2738,$F33)="","",INDEX(選手一覧!$I$7:$I$2738,$F33))</f>
        <v>355</v>
      </c>
      <c r="I33" s="16" t="n">
        <f aca="false">IF(INDEX(選手一覧!$J$7:$J$2738,$F33)="","",INDEX(選手一覧!$J$7:$J$2738,$F33))</f>
        <v>0.00270590277777778</v>
      </c>
      <c r="J33" s="17" t="n">
        <f aca="false">IF(INDEX(選手一覧!$K$7:$K$2738,$F33)="","",INDEX(選手一覧!$K$7:$K$2738,$F33))</f>
        <v>29</v>
      </c>
    </row>
    <row r="34" customFormat="false" ht="15" hidden="false" customHeight="false" outlineLevel="0" collapsed="false">
      <c r="A34" s="17" t="n">
        <v>30</v>
      </c>
      <c r="B34" s="12" t="s">
        <v>86</v>
      </c>
      <c r="C34" s="12" t="s">
        <v>87</v>
      </c>
      <c r="D34" s="16" t="n">
        <v>0.010040162037037</v>
      </c>
      <c r="E34" s="15" t="n">
        <f aca="false">ROUND((D34-$D$5)*86400,2)</f>
        <v>77.73</v>
      </c>
      <c r="F34" s="17" t="n">
        <v>29</v>
      </c>
      <c r="G34" s="16" t="str">
        <f aca="false">IF(INDEX(選手一覧!$H$7:$H$2738,$F34)="","",INDEX(選手一覧!$H$7:$H$2738,$F34))</f>
        <v/>
      </c>
      <c r="H34" s="17" t="str">
        <f aca="false">IF(INDEX(選手一覧!$I$7:$I$2738,$F34)="","",INDEX(選手一覧!$I$7:$I$2738,$F34))</f>
        <v/>
      </c>
      <c r="I34" s="16" t="n">
        <f aca="false">IF(INDEX(選手一覧!$J$7:$J$2738,$F34)="","",INDEX(選手一覧!$J$7:$J$2738,$F34))</f>
        <v>0.00284363425925926</v>
      </c>
      <c r="J34" s="17" t="n">
        <f aca="false">IF(INDEX(選手一覧!$K$7:$K$2738,$F34)="","",INDEX(選手一覧!$K$7:$K$2738,$F34))</f>
        <v>520</v>
      </c>
    </row>
    <row r="35" customFormat="false" ht="15" hidden="false" customHeight="false" outlineLevel="0" collapsed="false">
      <c r="A35" s="17" t="n">
        <v>31</v>
      </c>
      <c r="B35" s="12" t="s">
        <v>88</v>
      </c>
      <c r="C35" s="12" t="s">
        <v>61</v>
      </c>
      <c r="D35" s="16" t="n">
        <v>0.0100422453703704</v>
      </c>
      <c r="E35" s="15" t="n">
        <f aca="false">ROUND((D35-$D$5)*86400,2)</f>
        <v>77.91</v>
      </c>
      <c r="F35" s="17" t="n">
        <v>30</v>
      </c>
      <c r="G35" s="16" t="str">
        <f aca="false">IF(INDEX(選手一覧!$H$7:$H$2738,$F35)="","",INDEX(選手一覧!$H$7:$H$2738,$F35))</f>
        <v/>
      </c>
      <c r="H35" s="17" t="str">
        <f aca="false">IF(INDEX(選手一覧!$I$7:$I$2738,$F35)="","",INDEX(選手一覧!$I$7:$I$2738,$F35))</f>
        <v/>
      </c>
      <c r="I35" s="16" t="str">
        <f aca="false">IF(INDEX(選手一覧!$J$7:$J$2738,$F35)="","",INDEX(選手一覧!$J$7:$J$2738,$F35))</f>
        <v/>
      </c>
      <c r="J35" s="17" t="str">
        <f aca="false">IF(INDEX(選手一覧!$K$7:$K$2738,$F35)="","",INDEX(選手一覧!$K$7:$K$2738,$F35))</f>
        <v/>
      </c>
    </row>
    <row r="36" customFormat="false" ht="15" hidden="false" customHeight="false" outlineLevel="0" collapsed="false">
      <c r="A36" s="17" t="n">
        <v>32</v>
      </c>
      <c r="B36" s="12" t="s">
        <v>89</v>
      </c>
      <c r="C36" s="12" t="s">
        <v>90</v>
      </c>
      <c r="D36" s="16" t="n">
        <v>0.0100430555555556</v>
      </c>
      <c r="E36" s="15" t="n">
        <f aca="false">ROUND((D36-$D$5)*86400,2)</f>
        <v>77.98</v>
      </c>
      <c r="F36" s="17" t="n">
        <v>31</v>
      </c>
      <c r="G36" s="16" t="str">
        <f aca="false">IF(INDEX(選手一覧!$H$7:$H$2738,$F36)="","",INDEX(選手一覧!$H$7:$H$2738,$F36))</f>
        <v/>
      </c>
      <c r="H36" s="17" t="str">
        <f aca="false">IF(INDEX(選手一覧!$I$7:$I$2738,$F36)="","",INDEX(選手一覧!$I$7:$I$2738,$F36))</f>
        <v/>
      </c>
      <c r="I36" s="16" t="n">
        <f aca="false">IF(INDEX(選手一覧!$J$7:$J$2738,$F36)="","",INDEX(選手一覧!$J$7:$J$2738,$F36))</f>
        <v>0.00272511574074074</v>
      </c>
      <c r="J36" s="17" t="n">
        <f aca="false">IF(INDEX(選手一覧!$K$7:$K$2738,$F36)="","",INDEX(選手一覧!$K$7:$K$2738,$F36))</f>
        <v>58</v>
      </c>
    </row>
    <row r="37" customFormat="false" ht="15" hidden="false" customHeight="false" outlineLevel="0" collapsed="false">
      <c r="A37" s="17" t="n">
        <v>33</v>
      </c>
      <c r="B37" s="12" t="s">
        <v>91</v>
      </c>
      <c r="C37" s="12" t="s">
        <v>37</v>
      </c>
      <c r="D37" s="16" t="n">
        <v>0.0100454861111111</v>
      </c>
      <c r="E37" s="15" t="n">
        <f aca="false">ROUND((D37-$D$5)*86400,2)</f>
        <v>78.19</v>
      </c>
      <c r="F37" s="17" t="n">
        <v>32</v>
      </c>
      <c r="G37" s="16" t="str">
        <f aca="false">IF(INDEX(選手一覧!$H$7:$H$2738,$F37)="","",INDEX(選手一覧!$H$7:$H$2738,$F37))</f>
        <v/>
      </c>
      <c r="H37" s="17" t="str">
        <f aca="false">IF(INDEX(選手一覧!$I$7:$I$2738,$F37)="","",INDEX(選手一覧!$I$7:$I$2738,$F37))</f>
        <v/>
      </c>
      <c r="I37" s="16" t="n">
        <f aca="false">IF(INDEX(選手一覧!$J$7:$J$2738,$F37)="","",INDEX(選手一覧!$J$7:$J$2738,$F37))</f>
        <v>0.00273946759259259</v>
      </c>
      <c r="J37" s="17" t="n">
        <f aca="false">IF(INDEX(選手一覧!$K$7:$K$2738,$F37)="","",INDEX(選手一覧!$K$7:$K$2738,$F37))</f>
        <v>84</v>
      </c>
    </row>
    <row r="38" customFormat="false" ht="15" hidden="false" customHeight="false" outlineLevel="0" collapsed="false">
      <c r="A38" s="17" t="n">
        <v>34</v>
      </c>
      <c r="B38" s="12" t="s">
        <v>93</v>
      </c>
      <c r="C38" s="12" t="s">
        <v>94</v>
      </c>
      <c r="D38" s="16" t="n">
        <v>0.0100482638888889</v>
      </c>
      <c r="E38" s="15" t="n">
        <f aca="false">ROUND((D38-$D$5)*86400,2)</f>
        <v>78.43</v>
      </c>
      <c r="F38" s="17" t="n">
        <v>33</v>
      </c>
      <c r="G38" s="16" t="str">
        <f aca="false">IF(INDEX(選手一覧!$H$7:$H$2738,$F38)="","",INDEX(選手一覧!$H$7:$H$2738,$F38))</f>
        <v/>
      </c>
      <c r="H38" s="17" t="str">
        <f aca="false">IF(INDEX(選手一覧!$I$7:$I$2738,$F38)="","",INDEX(選手一覧!$I$7:$I$2738,$F38))</f>
        <v/>
      </c>
      <c r="I38" s="16" t="str">
        <f aca="false">IF(INDEX(選手一覧!$J$7:$J$2738,$F38)="","",INDEX(選手一覧!$J$7:$J$2738,$F38))</f>
        <v/>
      </c>
      <c r="J38" s="17" t="str">
        <f aca="false">IF(INDEX(選手一覧!$K$7:$K$2738,$F38)="","",INDEX(選手一覧!$K$7:$K$2738,$F38))</f>
        <v/>
      </c>
    </row>
    <row r="39" customFormat="false" ht="15" hidden="false" customHeight="false" outlineLevel="0" collapsed="false">
      <c r="A39" s="17" t="n">
        <v>35</v>
      </c>
      <c r="B39" s="12" t="s">
        <v>95</v>
      </c>
      <c r="C39" s="12" t="s">
        <v>96</v>
      </c>
      <c r="D39" s="16" t="n">
        <v>0.0100494212962963</v>
      </c>
      <c r="E39" s="15" t="n">
        <f aca="false">ROUND((D39-$D$5)*86400,2)</f>
        <v>78.53</v>
      </c>
      <c r="F39" s="17" t="n">
        <v>34</v>
      </c>
      <c r="G39" s="16" t="str">
        <f aca="false">IF(INDEX(選手一覧!$H$7:$H$2738,$F39)="","",INDEX(選手一覧!$H$7:$H$2738,$F39))</f>
        <v/>
      </c>
      <c r="H39" s="17" t="str">
        <f aca="false">IF(INDEX(選手一覧!$I$7:$I$2738,$F39)="","",INDEX(選手一覧!$I$7:$I$2738,$F39))</f>
        <v/>
      </c>
      <c r="I39" s="16" t="n">
        <f aca="false">IF(INDEX(選手一覧!$J$7:$J$2738,$F39)="","",INDEX(選手一覧!$J$7:$J$2738,$F39))</f>
        <v>0.00274490740740741</v>
      </c>
      <c r="J39" s="17" t="n">
        <f aca="false">IF(INDEX(選手一覧!$K$7:$K$2738,$F39)="","",INDEX(選手一覧!$K$7:$K$2738,$F39))</f>
        <v>90</v>
      </c>
    </row>
    <row r="40" customFormat="false" ht="15" hidden="false" customHeight="false" outlineLevel="0" collapsed="false">
      <c r="A40" s="17" t="n">
        <v>36</v>
      </c>
      <c r="B40" s="12" t="s">
        <v>98</v>
      </c>
      <c r="C40" s="12" t="s">
        <v>99</v>
      </c>
      <c r="D40" s="16" t="n">
        <v>0.0100496527777778</v>
      </c>
      <c r="E40" s="15" t="n">
        <f aca="false">ROUND((D40-$D$5)*86400,2)</f>
        <v>78.55</v>
      </c>
      <c r="F40" s="17" t="n">
        <v>35</v>
      </c>
      <c r="G40" s="16" t="str">
        <f aca="false">IF(INDEX(選手一覧!$H$7:$H$2738,$F40)="","",INDEX(選手一覧!$H$7:$H$2738,$F40))</f>
        <v/>
      </c>
      <c r="H40" s="17" t="str">
        <f aca="false">IF(INDEX(選手一覧!$I$7:$I$2738,$F40)="","",INDEX(選手一覧!$I$7:$I$2738,$F40))</f>
        <v/>
      </c>
      <c r="I40" s="16" t="n">
        <f aca="false">IF(INDEX(選手一覧!$J$7:$J$2738,$F40)="","",INDEX(選手一覧!$J$7:$J$2738,$F40))</f>
        <v>0.00277361111111111</v>
      </c>
      <c r="J40" s="17" t="n">
        <f aca="false">IF(INDEX(選手一覧!$K$7:$K$2738,$F40)="","",INDEX(選手一覧!$K$7:$K$2738,$F40))</f>
        <v>171</v>
      </c>
    </row>
    <row r="41" customFormat="false" ht="15" hidden="false" customHeight="false" outlineLevel="0" collapsed="false">
      <c r="A41" s="17" t="n">
        <v>37</v>
      </c>
      <c r="B41" s="12" t="s">
        <v>100</v>
      </c>
      <c r="C41" s="12" t="s">
        <v>101</v>
      </c>
      <c r="D41" s="16" t="n">
        <v>0.0100549768518519</v>
      </c>
      <c r="E41" s="15" t="n">
        <f aca="false">ROUND((D41-$D$5)*86400,2)</f>
        <v>79.01</v>
      </c>
      <c r="F41" s="17" t="n">
        <v>36</v>
      </c>
      <c r="G41" s="16" t="str">
        <f aca="false">IF(INDEX(選手一覧!$H$7:$H$2738,$F41)="","",INDEX(選手一覧!$H$7:$H$2738,$F41))</f>
        <v/>
      </c>
      <c r="H41" s="17" t="str">
        <f aca="false">IF(INDEX(選手一覧!$I$7:$I$2738,$F41)="","",INDEX(選手一覧!$I$7:$I$2738,$F41))</f>
        <v/>
      </c>
      <c r="I41" s="16" t="n">
        <f aca="false">IF(INDEX(選手一覧!$J$7:$J$2738,$F41)="","",INDEX(選手一覧!$J$7:$J$2738,$F41))</f>
        <v>0.00277592592592593</v>
      </c>
      <c r="J41" s="17" t="n">
        <f aca="false">IF(INDEX(選手一覧!$K$7:$K$2738,$F41)="","",INDEX(選手一覧!$K$7:$K$2738,$F41))</f>
        <v>182</v>
      </c>
    </row>
    <row r="42" customFormat="false" ht="15" hidden="false" customHeight="false" outlineLevel="0" collapsed="false">
      <c r="A42" s="17" t="n">
        <v>38</v>
      </c>
      <c r="B42" s="12" t="s">
        <v>102</v>
      </c>
      <c r="C42" s="12" t="s">
        <v>103</v>
      </c>
      <c r="D42" s="16" t="n">
        <v>0.0100549768518519</v>
      </c>
      <c r="E42" s="15" t="n">
        <f aca="false">ROUND((D42-$D$5)*86400,2)</f>
        <v>79.01</v>
      </c>
      <c r="F42" s="17" t="n">
        <v>37</v>
      </c>
      <c r="G42" s="16" t="str">
        <f aca="false">IF(INDEX(選手一覧!$H$7:$H$2738,$F42)="","",INDEX(選手一覧!$H$7:$H$2738,$F42))</f>
        <v/>
      </c>
      <c r="H42" s="17" t="str">
        <f aca="false">IF(INDEX(選手一覧!$I$7:$I$2738,$F42)="","",INDEX(選手一覧!$I$7:$I$2738,$F42))</f>
        <v/>
      </c>
      <c r="I42" s="16" t="n">
        <f aca="false">IF(INDEX(選手一覧!$J$7:$J$2738,$F42)="","",INDEX(選手一覧!$J$7:$J$2738,$F42))</f>
        <v>0.00271759259259259</v>
      </c>
      <c r="J42" s="17" t="n">
        <f aca="false">IF(INDEX(選手一覧!$K$7:$K$2738,$F42)="","",INDEX(選手一覧!$K$7:$K$2738,$F42))</f>
        <v>46</v>
      </c>
    </row>
    <row r="43" customFormat="false" ht="15" hidden="false" customHeight="false" outlineLevel="0" collapsed="false">
      <c r="A43" s="17" t="n">
        <v>39</v>
      </c>
      <c r="B43" s="12" t="s">
        <v>104</v>
      </c>
      <c r="C43" s="12" t="s">
        <v>25</v>
      </c>
      <c r="D43" s="16" t="n">
        <v>0.010055787037037</v>
      </c>
      <c r="E43" s="15" t="n">
        <f aca="false">ROUND((D43-$D$5)*86400,2)</f>
        <v>79.08</v>
      </c>
      <c r="F43" s="17" t="n">
        <v>38</v>
      </c>
      <c r="G43" s="16" t="str">
        <f aca="false">IF(INDEX(選手一覧!$H$7:$H$2738,$F43)="","",INDEX(選手一覧!$H$7:$H$2738,$F43))</f>
        <v/>
      </c>
      <c r="H43" s="17" t="str">
        <f aca="false">IF(INDEX(選手一覧!$I$7:$I$2738,$F43)="","",INDEX(選手一覧!$I$7:$I$2738,$F43))</f>
        <v/>
      </c>
      <c r="I43" s="16" t="n">
        <f aca="false">IF(INDEX(選手一覧!$J$7:$J$2738,$F43)="","",INDEX(選手一覧!$J$7:$J$2738,$F43))</f>
        <v>0.00295462962962963</v>
      </c>
      <c r="J43" s="17" t="n">
        <f aca="false">IF(INDEX(選手一覧!$K$7:$K$2738,$F43)="","",INDEX(選手一覧!$K$7:$K$2738,$F43))</f>
        <v>1252</v>
      </c>
    </row>
    <row r="44" customFormat="false" ht="15" hidden="false" customHeight="false" outlineLevel="0" collapsed="false">
      <c r="A44" s="17" t="n">
        <v>40</v>
      </c>
      <c r="B44" s="12" t="s">
        <v>105</v>
      </c>
      <c r="C44" s="12" t="s">
        <v>63</v>
      </c>
      <c r="D44" s="16" t="n">
        <v>0.0100653935185185</v>
      </c>
      <c r="E44" s="15" t="n">
        <f aca="false">ROUND((D44-$D$5)*86400,2)</f>
        <v>79.91</v>
      </c>
      <c r="F44" s="17" t="n">
        <v>39</v>
      </c>
      <c r="G44" s="16" t="str">
        <f aca="false">IF(INDEX(選手一覧!$H$7:$H$2738,$F44)="","",INDEX(選手一覧!$H$7:$H$2738,$F44))</f>
        <v/>
      </c>
      <c r="H44" s="17" t="str">
        <f aca="false">IF(INDEX(選手一覧!$I$7:$I$2738,$F44)="","",INDEX(選手一覧!$I$7:$I$2738,$F44))</f>
        <v/>
      </c>
      <c r="I44" s="16" t="str">
        <f aca="false">IF(INDEX(選手一覧!$J$7:$J$2738,$F44)="","",INDEX(選手一覧!$J$7:$J$2738,$F44))</f>
        <v/>
      </c>
      <c r="J44" s="17" t="str">
        <f aca="false">IF(INDEX(選手一覧!$K$7:$K$2738,$F44)="","",INDEX(選手一覧!$K$7:$K$2738,$F44))</f>
        <v/>
      </c>
    </row>
    <row r="45" customFormat="false" ht="15" hidden="false" customHeight="false" outlineLevel="0" collapsed="false">
      <c r="A45" s="17" t="n">
        <v>41</v>
      </c>
      <c r="B45" s="12" t="s">
        <v>106</v>
      </c>
      <c r="C45" s="12" t="s">
        <v>107</v>
      </c>
      <c r="D45" s="16" t="n">
        <v>0.0100755787037037</v>
      </c>
      <c r="E45" s="15" t="n">
        <f aca="false">ROUND((D45-$D$5)*86400,2)</f>
        <v>80.79</v>
      </c>
      <c r="F45" s="17" t="n">
        <v>40</v>
      </c>
      <c r="G45" s="16" t="str">
        <f aca="false">IF(INDEX(選手一覧!$H$7:$H$2738,$F45)="","",INDEX(選手一覧!$H$7:$H$2738,$F45))</f>
        <v/>
      </c>
      <c r="H45" s="17" t="str">
        <f aca="false">IF(INDEX(選手一覧!$I$7:$I$2738,$F45)="","",INDEX(選手一覧!$I$7:$I$2738,$F45))</f>
        <v/>
      </c>
      <c r="I45" s="16" t="n">
        <f aca="false">IF(INDEX(選手一覧!$J$7:$J$2738,$F45)="","",INDEX(選手一覧!$J$7:$J$2738,$F45))</f>
        <v>0.00276655092592593</v>
      </c>
      <c r="J45" s="17" t="n">
        <f aca="false">IF(INDEX(選手一覧!$K$7:$K$2738,$F45)="","",INDEX(選手一覧!$K$7:$K$2738,$F45))</f>
        <v>153</v>
      </c>
    </row>
    <row r="46" customFormat="false" ht="15" hidden="false" customHeight="false" outlineLevel="0" collapsed="false">
      <c r="A46" s="17" t="n">
        <v>42</v>
      </c>
      <c r="B46" s="12" t="s">
        <v>109</v>
      </c>
      <c r="C46" s="12" t="s">
        <v>37</v>
      </c>
      <c r="D46" s="16" t="n">
        <v>0.0100759259259259</v>
      </c>
      <c r="E46" s="15" t="n">
        <f aca="false">ROUND((D46-$D$5)*86400,2)</f>
        <v>80.82</v>
      </c>
      <c r="F46" s="17" t="n">
        <v>41</v>
      </c>
      <c r="G46" s="16" t="str">
        <f aca="false">IF(INDEX(選手一覧!$H$7:$H$2738,$F46)="","",INDEX(選手一覧!$H$7:$H$2738,$F46))</f>
        <v/>
      </c>
      <c r="H46" s="17" t="str">
        <f aca="false">IF(INDEX(選手一覧!$I$7:$I$2738,$F46)="","",INDEX(選手一覧!$I$7:$I$2738,$F46))</f>
        <v/>
      </c>
      <c r="I46" s="16" t="n">
        <f aca="false">IF(INDEX(選手一覧!$J$7:$J$2738,$F46)="","",INDEX(選手一覧!$J$7:$J$2738,$F46))</f>
        <v>0.00279201388888889</v>
      </c>
      <c r="J46" s="17" t="n">
        <f aca="false">IF(INDEX(選手一覧!$K$7:$K$2738,$F46)="","",INDEX(選手一覧!$K$7:$K$2738,$F46))</f>
        <v>249</v>
      </c>
    </row>
    <row r="47" customFormat="false" ht="15" hidden="false" customHeight="false" outlineLevel="0" collapsed="false">
      <c r="A47" s="17" t="n">
        <v>43</v>
      </c>
      <c r="B47" s="12" t="s">
        <v>111</v>
      </c>
      <c r="C47" s="12" t="s">
        <v>25</v>
      </c>
      <c r="D47" s="16" t="n">
        <v>0.0100761574074074</v>
      </c>
      <c r="E47" s="15" t="n">
        <f aca="false">ROUND((D47-$D$5)*86400,2)</f>
        <v>80.84</v>
      </c>
      <c r="F47" s="17" t="n">
        <v>42</v>
      </c>
      <c r="G47" s="16" t="str">
        <f aca="false">IF(INDEX(選手一覧!$H$7:$H$2738,$F47)="","",INDEX(選手一覧!$H$7:$H$2738,$F47))</f>
        <v/>
      </c>
      <c r="H47" s="17" t="str">
        <f aca="false">IF(INDEX(選手一覧!$I$7:$I$2738,$F47)="","",INDEX(選手一覧!$I$7:$I$2738,$F47))</f>
        <v/>
      </c>
      <c r="I47" s="16" t="n">
        <f aca="false">IF(INDEX(選手一覧!$J$7:$J$2738,$F47)="","",INDEX(選手一覧!$J$7:$J$2738,$F47))</f>
        <v>0.00275925925925926</v>
      </c>
      <c r="J47" s="17" t="n">
        <f aca="false">IF(INDEX(選手一覧!$K$7:$K$2738,$F47)="","",INDEX(選手一覧!$K$7:$K$2738,$F47))</f>
        <v>133</v>
      </c>
    </row>
    <row r="48" customFormat="false" ht="15" hidden="false" customHeight="false" outlineLevel="0" collapsed="false">
      <c r="A48" s="17" t="n">
        <v>44</v>
      </c>
      <c r="B48" s="12" t="s">
        <v>112</v>
      </c>
      <c r="C48" s="12" t="s">
        <v>96</v>
      </c>
      <c r="D48" s="16" t="n">
        <v>0.010080787037037</v>
      </c>
      <c r="E48" s="15" t="n">
        <f aca="false">ROUND((D48-$D$5)*86400,2)</f>
        <v>81.24</v>
      </c>
      <c r="F48" s="17" t="n">
        <v>43</v>
      </c>
      <c r="G48" s="16" t="str">
        <f aca="false">IF(INDEX(選手一覧!$H$7:$H$2738,$F48)="","",INDEX(選手一覧!$H$7:$H$2738,$F48))</f>
        <v/>
      </c>
      <c r="H48" s="17" t="str">
        <f aca="false">IF(INDEX(選手一覧!$I$7:$I$2738,$F48)="","",INDEX(選手一覧!$I$7:$I$2738,$F48))</f>
        <v/>
      </c>
      <c r="I48" s="16" t="n">
        <f aca="false">IF(INDEX(選手一覧!$J$7:$J$2738,$F48)="","",INDEX(選手一覧!$J$7:$J$2738,$F48))</f>
        <v>0.00285601851851852</v>
      </c>
      <c r="J48" s="17" t="n">
        <f aca="false">IF(INDEX(選手一覧!$K$7:$K$2738,$F48)="","",INDEX(選手一覧!$K$7:$K$2738,$F48))</f>
        <v>608</v>
      </c>
    </row>
    <row r="49" customFormat="false" ht="15" hidden="false" customHeight="false" outlineLevel="0" collapsed="false">
      <c r="A49" s="17" t="n">
        <v>45</v>
      </c>
      <c r="B49" s="12" t="s">
        <v>114</v>
      </c>
      <c r="C49" s="12" t="s">
        <v>115</v>
      </c>
      <c r="D49" s="16" t="n">
        <v>0.0100890046296296</v>
      </c>
      <c r="E49" s="15" t="n">
        <f aca="false">ROUND((D49-$D$5)*86400,2)</f>
        <v>81.95</v>
      </c>
      <c r="F49" s="17" t="n">
        <v>44</v>
      </c>
      <c r="G49" s="16" t="str">
        <f aca="false">IF(INDEX(選手一覧!$H$7:$H$2738,$F49)="","",INDEX(選手一覧!$H$7:$H$2738,$F49))</f>
        <v/>
      </c>
      <c r="H49" s="17" t="str">
        <f aca="false">IF(INDEX(選手一覧!$I$7:$I$2738,$F49)="","",INDEX(選手一覧!$I$7:$I$2738,$F49))</f>
        <v/>
      </c>
      <c r="I49" s="16" t="n">
        <f aca="false">IF(INDEX(選手一覧!$J$7:$J$2738,$F49)="","",INDEX(選手一覧!$J$7:$J$2738,$F49))</f>
        <v>0.00272962962962963</v>
      </c>
      <c r="J49" s="17" t="n">
        <f aca="false">IF(INDEX(選手一覧!$K$7:$K$2738,$F49)="","",INDEX(選手一覧!$K$7:$K$2738,$F49))</f>
        <v>65</v>
      </c>
    </row>
    <row r="50" customFormat="false" ht="15" hidden="false" customHeight="false" outlineLevel="0" collapsed="false">
      <c r="A50" s="17" t="n">
        <v>46</v>
      </c>
      <c r="B50" s="12" t="s">
        <v>116</v>
      </c>
      <c r="C50" s="12" t="s">
        <v>51</v>
      </c>
      <c r="D50" s="16" t="n">
        <v>0.0100895833333333</v>
      </c>
      <c r="E50" s="15" t="n">
        <f aca="false">ROUND((D50-$D$5)*86400,2)</f>
        <v>82</v>
      </c>
      <c r="F50" s="17" t="n">
        <v>45</v>
      </c>
      <c r="G50" s="16" t="str">
        <f aca="false">IF(INDEX(選手一覧!$H$7:$H$2738,$F50)="","",INDEX(選手一覧!$H$7:$H$2738,$F50))</f>
        <v/>
      </c>
      <c r="H50" s="17" t="str">
        <f aca="false">IF(INDEX(選手一覧!$I$7:$I$2738,$F50)="","",INDEX(選手一覧!$I$7:$I$2738,$F50))</f>
        <v/>
      </c>
      <c r="I50" s="16" t="n">
        <f aca="false">IF(INDEX(選手一覧!$J$7:$J$2738,$F50)="","",INDEX(選手一覧!$J$7:$J$2738,$F50))</f>
        <v>0.00271238425925926</v>
      </c>
      <c r="J50" s="17" t="n">
        <f aca="false">IF(INDEX(選手一覧!$K$7:$K$2738,$F50)="","",INDEX(選手一覧!$K$7:$K$2738,$F50))</f>
        <v>38</v>
      </c>
    </row>
    <row r="51" customFormat="false" ht="15" hidden="false" customHeight="false" outlineLevel="0" collapsed="false">
      <c r="A51" s="17" t="n">
        <v>47</v>
      </c>
      <c r="B51" s="12" t="s">
        <v>118</v>
      </c>
      <c r="C51" s="12" t="s">
        <v>32</v>
      </c>
      <c r="D51" s="16" t="n">
        <v>0.0100917824074074</v>
      </c>
      <c r="E51" s="15" t="n">
        <f aca="false">ROUND((D51-$D$5)*86400,2)</f>
        <v>82.19</v>
      </c>
      <c r="F51" s="17" t="n">
        <v>46</v>
      </c>
      <c r="G51" s="16" t="str">
        <f aca="false">IF(INDEX(選手一覧!$H$7:$H$2738,$F51)="","",INDEX(選手一覧!$H$7:$H$2738,$F51))</f>
        <v/>
      </c>
      <c r="H51" s="17" t="str">
        <f aca="false">IF(INDEX(選手一覧!$I$7:$I$2738,$F51)="","",INDEX(選手一覧!$I$7:$I$2738,$F51))</f>
        <v/>
      </c>
      <c r="I51" s="16" t="n">
        <f aca="false">IF(INDEX(選手一覧!$J$7:$J$2738,$F51)="","",INDEX(選手一覧!$J$7:$J$2738,$F51))</f>
        <v>0.00271898148148148</v>
      </c>
      <c r="J51" s="17" t="n">
        <f aca="false">IF(INDEX(選手一覧!$K$7:$K$2738,$F51)="","",INDEX(選手一覧!$K$7:$K$2738,$F51))</f>
        <v>47</v>
      </c>
    </row>
    <row r="52" customFormat="false" ht="15" hidden="false" customHeight="false" outlineLevel="0" collapsed="false">
      <c r="A52" s="17" t="n">
        <v>48</v>
      </c>
      <c r="B52" s="12" t="s">
        <v>119</v>
      </c>
      <c r="C52" s="12" t="s">
        <v>120</v>
      </c>
      <c r="D52" s="16" t="n">
        <v>0.0100947916666667</v>
      </c>
      <c r="E52" s="15" t="n">
        <f aca="false">ROUND((D52-$D$5)*86400,2)</f>
        <v>82.45</v>
      </c>
      <c r="F52" s="17" t="n">
        <v>47</v>
      </c>
      <c r="G52" s="16" t="str">
        <f aca="false">IF(INDEX(選手一覧!$H$7:$H$2738,$F52)="","",INDEX(選手一覧!$H$7:$H$2738,$F52))</f>
        <v/>
      </c>
      <c r="H52" s="17" t="str">
        <f aca="false">IF(INDEX(選手一覧!$I$7:$I$2738,$F52)="","",INDEX(選手一覧!$I$7:$I$2738,$F52))</f>
        <v/>
      </c>
      <c r="I52" s="16" t="n">
        <f aca="false">IF(INDEX(選手一覧!$J$7:$J$2738,$F52)="","",INDEX(選手一覧!$J$7:$J$2738,$F52))</f>
        <v>0.00276203703703704</v>
      </c>
      <c r="J52" s="17" t="n">
        <f aca="false">IF(INDEX(選手一覧!$K$7:$K$2738,$F52)="","",INDEX(選手一覧!$K$7:$K$2738,$F52))</f>
        <v>139</v>
      </c>
    </row>
    <row r="53" customFormat="false" ht="15" hidden="false" customHeight="false" outlineLevel="0" collapsed="false">
      <c r="A53" s="17" t="n">
        <v>49</v>
      </c>
      <c r="B53" s="12" t="s">
        <v>122</v>
      </c>
      <c r="C53" s="12" t="s">
        <v>123</v>
      </c>
      <c r="D53" s="16" t="n">
        <v>0.0100954861111111</v>
      </c>
      <c r="E53" s="15" t="n">
        <f aca="false">ROUND((D53-$D$5)*86400,2)</f>
        <v>82.51</v>
      </c>
      <c r="F53" s="17" t="n">
        <v>48</v>
      </c>
      <c r="G53" s="16" t="str">
        <f aca="false">IF(INDEX(選手一覧!$H$7:$H$2738,$F53)="","",INDEX(選手一覧!$H$7:$H$2738,$F53))</f>
        <v/>
      </c>
      <c r="H53" s="17" t="str">
        <f aca="false">IF(INDEX(選手一覧!$I$7:$I$2738,$F53)="","",INDEX(選手一覧!$I$7:$I$2738,$F53))</f>
        <v/>
      </c>
      <c r="I53" s="16" t="n">
        <f aca="false">IF(INDEX(選手一覧!$J$7:$J$2738,$F53)="","",INDEX(選手一覧!$J$7:$J$2738,$F53))</f>
        <v>0.00272893518518519</v>
      </c>
      <c r="J53" s="17" t="n">
        <f aca="false">IF(INDEX(選手一覧!$K$7:$K$2738,$F53)="","",INDEX(選手一覧!$K$7:$K$2738,$F53))</f>
        <v>62</v>
      </c>
    </row>
    <row r="54" customFormat="false" ht="15" hidden="false" customHeight="false" outlineLevel="0" collapsed="false">
      <c r="A54" s="17" t="n">
        <v>50</v>
      </c>
      <c r="B54" s="12" t="s">
        <v>124</v>
      </c>
      <c r="C54" s="12" t="s">
        <v>125</v>
      </c>
      <c r="D54" s="16" t="n">
        <v>0.0100962962962963</v>
      </c>
      <c r="E54" s="15" t="n">
        <f aca="false">ROUND((D54-$D$5)*86400,2)</f>
        <v>82.58</v>
      </c>
      <c r="F54" s="17" t="n">
        <v>49</v>
      </c>
      <c r="G54" s="16" t="str">
        <f aca="false">IF(INDEX(選手一覧!$H$7:$H$2738,$F54)="","",INDEX(選手一覧!$H$7:$H$2738,$F54))</f>
        <v/>
      </c>
      <c r="H54" s="17" t="str">
        <f aca="false">IF(INDEX(選手一覧!$I$7:$I$2738,$F54)="","",INDEX(選手一覧!$I$7:$I$2738,$F54))</f>
        <v/>
      </c>
      <c r="I54" s="16" t="n">
        <f aca="false">IF(INDEX(選手一覧!$J$7:$J$2738,$F54)="","",INDEX(選手一覧!$J$7:$J$2738,$F54))</f>
        <v>0.0026931712962963</v>
      </c>
      <c r="J54" s="17" t="n">
        <f aca="false">IF(INDEX(選手一覧!$K$7:$K$2738,$F54)="","",INDEX(選手一覧!$K$7:$K$2738,$F54))</f>
        <v>22</v>
      </c>
    </row>
    <row r="55" customFormat="false" ht="15" hidden="false" customHeight="false" outlineLevel="0" collapsed="false">
      <c r="A55" s="17" t="n">
        <v>51</v>
      </c>
      <c r="B55" s="12" t="s">
        <v>126</v>
      </c>
      <c r="C55" s="12" t="s">
        <v>127</v>
      </c>
      <c r="D55" s="16" t="n">
        <v>0.0100986111111111</v>
      </c>
      <c r="E55" s="15" t="n">
        <f aca="false">ROUND((D55-$D$5)*86400,2)</f>
        <v>82.78</v>
      </c>
      <c r="F55" s="17" t="n">
        <v>50</v>
      </c>
      <c r="G55" s="16" t="str">
        <f aca="false">IF(INDEX(選手一覧!$H$7:$H$2738,$F55)="","",INDEX(選手一覧!$H$7:$H$2738,$F55))</f>
        <v/>
      </c>
      <c r="H55" s="17" t="str">
        <f aca="false">IF(INDEX(選手一覧!$I$7:$I$2738,$F55)="","",INDEX(選手一覧!$I$7:$I$2738,$F55))</f>
        <v/>
      </c>
      <c r="I55" s="16" t="str">
        <f aca="false">IF(INDEX(選手一覧!$J$7:$J$2738,$F55)="","",INDEX(選手一覧!$J$7:$J$2738,$F55))</f>
        <v/>
      </c>
      <c r="J55" s="17" t="str">
        <f aca="false">IF(INDEX(選手一覧!$K$7:$K$2738,$F55)="","",INDEX(選手一覧!$K$7:$K$2738,$F55))</f>
        <v/>
      </c>
    </row>
    <row r="56" customFormat="false" ht="15" hidden="false" customHeight="false" outlineLevel="0" collapsed="false">
      <c r="A56" s="17" t="n">
        <v>52</v>
      </c>
      <c r="B56" s="12" t="s">
        <v>128</v>
      </c>
      <c r="C56" s="12" t="s">
        <v>129</v>
      </c>
      <c r="D56" s="16" t="n">
        <v>0.0101003472222222</v>
      </c>
      <c r="E56" s="15" t="n">
        <f aca="false">ROUND((D56-$D$5)*86400,2)</f>
        <v>82.93</v>
      </c>
      <c r="F56" s="17" t="n">
        <v>51</v>
      </c>
      <c r="G56" s="16" t="str">
        <f aca="false">IF(INDEX(選手一覧!$H$7:$H$2738,$F56)="","",INDEX(選手一覧!$H$7:$H$2738,$F56))</f>
        <v/>
      </c>
      <c r="H56" s="17" t="str">
        <f aca="false">IF(INDEX(選手一覧!$I$7:$I$2738,$F56)="","",INDEX(選手一覧!$I$7:$I$2738,$F56))</f>
        <v/>
      </c>
      <c r="I56" s="16" t="n">
        <f aca="false">IF(INDEX(選手一覧!$J$7:$J$2738,$F56)="","",INDEX(選手一覧!$J$7:$J$2738,$F56))</f>
        <v>0.00271296296296296</v>
      </c>
      <c r="J56" s="17" t="n">
        <f aca="false">IF(INDEX(選手一覧!$K$7:$K$2738,$F56)="","",INDEX(選手一覧!$K$7:$K$2738,$F56))</f>
        <v>39</v>
      </c>
    </row>
    <row r="57" customFormat="false" ht="15" hidden="false" customHeight="false" outlineLevel="0" collapsed="false">
      <c r="A57" s="17" t="n">
        <v>53</v>
      </c>
      <c r="B57" s="12" t="s">
        <v>131</v>
      </c>
      <c r="C57" s="12" t="s">
        <v>67</v>
      </c>
      <c r="D57" s="16" t="n">
        <v>0.0101015046296296</v>
      </c>
      <c r="E57" s="15" t="n">
        <f aca="false">ROUND((D57-$D$5)*86400,2)</f>
        <v>83.03</v>
      </c>
      <c r="F57" s="17" t="n">
        <v>52</v>
      </c>
      <c r="G57" s="16" t="str">
        <f aca="false">IF(INDEX(選手一覧!$H$7:$H$2738,$F57)="","",INDEX(選手一覧!$H$7:$H$2738,$F57))</f>
        <v/>
      </c>
      <c r="H57" s="17" t="str">
        <f aca="false">IF(INDEX(選手一覧!$I$7:$I$2738,$F57)="","",INDEX(選手一覧!$I$7:$I$2738,$F57))</f>
        <v/>
      </c>
      <c r="I57" s="16" t="n">
        <f aca="false">IF(INDEX(選手一覧!$J$7:$J$2738,$F57)="","",INDEX(選手一覧!$J$7:$J$2738,$F57))</f>
        <v>0.00281412037037037</v>
      </c>
      <c r="J57" s="17" t="n">
        <f aca="false">IF(INDEX(選手一覧!$K$7:$K$2738,$F57)="","",INDEX(選手一覧!$K$7:$K$2738,$F57))</f>
        <v>340</v>
      </c>
    </row>
    <row r="58" customFormat="false" ht="15" hidden="false" customHeight="false" outlineLevel="0" collapsed="false">
      <c r="A58" s="17" t="n">
        <v>54</v>
      </c>
      <c r="B58" s="12" t="s">
        <v>132</v>
      </c>
      <c r="C58" s="12" t="s">
        <v>127</v>
      </c>
      <c r="D58" s="16" t="n">
        <v>0.0101061342592593</v>
      </c>
      <c r="E58" s="15" t="n">
        <f aca="false">ROUND((D58-$D$5)*86400,2)</f>
        <v>83.43</v>
      </c>
      <c r="F58" s="17" t="n">
        <v>53</v>
      </c>
      <c r="G58" s="16" t="str">
        <f aca="false">IF(INDEX(選手一覧!$H$7:$H$2738,$F58)="","",INDEX(選手一覧!$H$7:$H$2738,$F58))</f>
        <v/>
      </c>
      <c r="H58" s="17" t="str">
        <f aca="false">IF(INDEX(選手一覧!$I$7:$I$2738,$F58)="","",INDEX(選手一覧!$I$7:$I$2738,$F58))</f>
        <v/>
      </c>
      <c r="I58" s="16" t="n">
        <f aca="false">IF(INDEX(選手一覧!$J$7:$J$2738,$F58)="","",INDEX(選手一覧!$J$7:$J$2738,$F58))</f>
        <v>0.00276990740740741</v>
      </c>
      <c r="J58" s="17" t="n">
        <f aca="false">IF(INDEX(選手一覧!$K$7:$K$2738,$F58)="","",INDEX(選手一覧!$K$7:$K$2738,$F58))</f>
        <v>161</v>
      </c>
    </row>
    <row r="59" customFormat="false" ht="15" hidden="false" customHeight="false" outlineLevel="0" collapsed="false">
      <c r="A59" s="17" t="n">
        <v>55</v>
      </c>
      <c r="B59" s="12" t="s">
        <v>134</v>
      </c>
      <c r="C59" s="12" t="s">
        <v>135</v>
      </c>
      <c r="D59" s="16" t="n">
        <v>0.01010625</v>
      </c>
      <c r="E59" s="15" t="n">
        <f aca="false">ROUND((D59-$D$5)*86400,2)</f>
        <v>83.44</v>
      </c>
      <c r="F59" s="17" t="n">
        <v>54</v>
      </c>
      <c r="G59" s="16" t="str">
        <f aca="false">IF(INDEX(選手一覧!$H$7:$H$2738,$F59)="","",INDEX(選手一覧!$H$7:$H$2738,$F59))</f>
        <v/>
      </c>
      <c r="H59" s="17" t="str">
        <f aca="false">IF(INDEX(選手一覧!$I$7:$I$2738,$F59)="","",INDEX(選手一覧!$I$7:$I$2738,$F59))</f>
        <v/>
      </c>
      <c r="I59" s="16" t="n">
        <f aca="false">IF(INDEX(選手一覧!$J$7:$J$2738,$F59)="","",INDEX(選手一覧!$J$7:$J$2738,$F59))</f>
        <v>0.00283935185185185</v>
      </c>
      <c r="J59" s="17" t="n">
        <f aca="false">IF(INDEX(選手一覧!$K$7:$K$2738,$F59)="","",INDEX(選手一覧!$K$7:$K$2738,$F59))</f>
        <v>492</v>
      </c>
    </row>
    <row r="60" customFormat="false" ht="15" hidden="false" customHeight="false" outlineLevel="0" collapsed="false">
      <c r="A60" s="17" t="n">
        <v>56</v>
      </c>
      <c r="B60" s="12" t="s">
        <v>136</v>
      </c>
      <c r="C60" s="12" t="s">
        <v>137</v>
      </c>
      <c r="D60" s="16" t="n">
        <v>0.0101087962962963</v>
      </c>
      <c r="E60" s="15" t="n">
        <f aca="false">ROUND((D60-$D$5)*86400,2)</f>
        <v>83.66</v>
      </c>
      <c r="F60" s="17" t="n">
        <v>55</v>
      </c>
      <c r="G60" s="16" t="str">
        <f aca="false">IF(INDEX(選手一覧!$H$7:$H$2738,$F60)="","",INDEX(選手一覧!$H$7:$H$2738,$F60))</f>
        <v/>
      </c>
      <c r="H60" s="17" t="str">
        <f aca="false">IF(INDEX(選手一覧!$I$7:$I$2738,$F60)="","",INDEX(選手一覧!$I$7:$I$2738,$F60))</f>
        <v/>
      </c>
      <c r="I60" s="16" t="str">
        <f aca="false">IF(INDEX(選手一覧!$J$7:$J$2738,$F60)="","",INDEX(選手一覧!$J$7:$J$2738,$F60))</f>
        <v/>
      </c>
      <c r="J60" s="17" t="str">
        <f aca="false">IF(INDEX(選手一覧!$K$7:$K$2738,$F60)="","",INDEX(選手一覧!$K$7:$K$2738,$F60))</f>
        <v/>
      </c>
    </row>
    <row r="61" customFormat="false" ht="15" hidden="false" customHeight="false" outlineLevel="0" collapsed="false">
      <c r="A61" s="17" t="n">
        <v>57</v>
      </c>
      <c r="B61" s="12" t="s">
        <v>138</v>
      </c>
      <c r="C61" s="12" t="s">
        <v>71</v>
      </c>
      <c r="D61" s="16" t="n">
        <v>0.0101109953703704</v>
      </c>
      <c r="E61" s="15" t="n">
        <f aca="false">ROUND((D61-$D$5)*86400,2)</f>
        <v>83.85</v>
      </c>
      <c r="F61" s="17" t="n">
        <v>56</v>
      </c>
      <c r="G61" s="16" t="str">
        <f aca="false">IF(INDEX(選手一覧!$H$7:$H$2738,$F61)="","",INDEX(選手一覧!$H$7:$H$2738,$F61))</f>
        <v/>
      </c>
      <c r="H61" s="17" t="str">
        <f aca="false">IF(INDEX(選手一覧!$I$7:$I$2738,$F61)="","",INDEX(選手一覧!$I$7:$I$2738,$F61))</f>
        <v/>
      </c>
      <c r="I61" s="16" t="str">
        <f aca="false">IF(INDEX(選手一覧!$J$7:$J$2738,$F61)="","",INDEX(選手一覧!$J$7:$J$2738,$F61))</f>
        <v/>
      </c>
      <c r="J61" s="17" t="str">
        <f aca="false">IF(INDEX(選手一覧!$K$7:$K$2738,$F61)="","",INDEX(選手一覧!$K$7:$K$2738,$F61))</f>
        <v/>
      </c>
    </row>
    <row r="62" customFormat="false" ht="15" hidden="false" customHeight="false" outlineLevel="0" collapsed="false">
      <c r="A62" s="17" t="n">
        <v>58</v>
      </c>
      <c r="B62" s="12" t="s">
        <v>139</v>
      </c>
      <c r="C62" s="12" t="s">
        <v>129</v>
      </c>
      <c r="D62" s="16" t="n">
        <v>0.0101146990740741</v>
      </c>
      <c r="E62" s="15" t="n">
        <f aca="false">ROUND((D62-$D$5)*86400,2)</f>
        <v>84.17</v>
      </c>
      <c r="F62" s="17" t="n">
        <v>57</v>
      </c>
      <c r="G62" s="16" t="str">
        <f aca="false">IF(INDEX(選手一覧!$H$7:$H$2738,$F62)="","",INDEX(選手一覧!$H$7:$H$2738,$F62))</f>
        <v/>
      </c>
      <c r="H62" s="17" t="str">
        <f aca="false">IF(INDEX(選手一覧!$I$7:$I$2738,$F62)="","",INDEX(選手一覧!$I$7:$I$2738,$F62))</f>
        <v/>
      </c>
      <c r="I62" s="16" t="n">
        <f aca="false">IF(INDEX(選手一覧!$J$7:$J$2738,$F62)="","",INDEX(選手一覧!$J$7:$J$2738,$F62))</f>
        <v>0.00268472222222222</v>
      </c>
      <c r="J62" s="17" t="n">
        <f aca="false">IF(INDEX(選手一覧!$K$7:$K$2738,$F62)="","",INDEX(選手一覧!$K$7:$K$2738,$F62))</f>
        <v>16</v>
      </c>
    </row>
    <row r="63" customFormat="false" ht="15" hidden="false" customHeight="false" outlineLevel="0" collapsed="false">
      <c r="A63" s="17" t="n">
        <v>59</v>
      </c>
      <c r="B63" s="12" t="s">
        <v>140</v>
      </c>
      <c r="C63" s="12" t="s">
        <v>141</v>
      </c>
      <c r="D63" s="16" t="n">
        <v>0.010127662037037</v>
      </c>
      <c r="E63" s="15" t="n">
        <f aca="false">ROUND((D63-$D$5)*86400,2)</f>
        <v>85.29</v>
      </c>
      <c r="F63" s="17" t="n">
        <v>58</v>
      </c>
      <c r="G63" s="16" t="str">
        <f aca="false">IF(INDEX(選手一覧!$H$7:$H$2738,$F63)="","",INDEX(選手一覧!$H$7:$H$2738,$F63))</f>
        <v/>
      </c>
      <c r="H63" s="17" t="str">
        <f aca="false">IF(INDEX(選手一覧!$I$7:$I$2738,$F63)="","",INDEX(選手一覧!$I$7:$I$2738,$F63))</f>
        <v/>
      </c>
      <c r="I63" s="16" t="n">
        <f aca="false">IF(INDEX(選手一覧!$J$7:$J$2738,$F63)="","",INDEX(選手一覧!$J$7:$J$2738,$F63))</f>
        <v>0.00271319444444444</v>
      </c>
      <c r="J63" s="17" t="n">
        <f aca="false">IF(INDEX(選手一覧!$K$7:$K$2738,$F63)="","",INDEX(選手一覧!$K$7:$K$2738,$F63))</f>
        <v>41</v>
      </c>
    </row>
    <row r="64" customFormat="false" ht="15" hidden="false" customHeight="false" outlineLevel="0" collapsed="false">
      <c r="A64" s="17" t="n">
        <v>60</v>
      </c>
      <c r="B64" s="12" t="s">
        <v>142</v>
      </c>
      <c r="C64" s="12" t="s">
        <v>143</v>
      </c>
      <c r="D64" s="16" t="n">
        <v>0.0101305555555556</v>
      </c>
      <c r="E64" s="15" t="n">
        <f aca="false">ROUND((D64-$D$5)*86400,2)</f>
        <v>85.54</v>
      </c>
      <c r="F64" s="17" t="n">
        <v>59</v>
      </c>
      <c r="G64" s="16" t="str">
        <f aca="false">IF(INDEX(選手一覧!$H$7:$H$2738,$F64)="","",INDEX(選手一覧!$H$7:$H$2738,$F64))</f>
        <v/>
      </c>
      <c r="H64" s="17" t="str">
        <f aca="false">IF(INDEX(選手一覧!$I$7:$I$2738,$F64)="","",INDEX(選手一覧!$I$7:$I$2738,$F64))</f>
        <v/>
      </c>
      <c r="I64" s="16" t="n">
        <f aca="false">IF(INDEX(選手一覧!$J$7:$J$2738,$F64)="","",INDEX(選手一覧!$J$7:$J$2738,$F64))</f>
        <v>0.00274467592592593</v>
      </c>
      <c r="J64" s="17" t="n">
        <f aca="false">IF(INDEX(選手一覧!$K$7:$K$2738,$F64)="","",INDEX(選手一覧!$K$7:$K$2738,$F64))</f>
        <v>88</v>
      </c>
    </row>
    <row r="65" customFormat="false" ht="15" hidden="false" customHeight="false" outlineLevel="0" collapsed="false">
      <c r="A65" s="17" t="n">
        <v>61</v>
      </c>
      <c r="B65" s="12" t="s">
        <v>144</v>
      </c>
      <c r="C65" s="12" t="s">
        <v>145</v>
      </c>
      <c r="D65" s="16" t="n">
        <v>0.0101342592592593</v>
      </c>
      <c r="E65" s="15" t="n">
        <f aca="false">ROUND((D65-$D$5)*86400,2)</f>
        <v>85.86</v>
      </c>
      <c r="F65" s="17" t="n">
        <v>60</v>
      </c>
      <c r="G65" s="16" t="str">
        <f aca="false">IF(INDEX(選手一覧!$H$7:$H$2738,$F65)="","",INDEX(選手一覧!$H$7:$H$2738,$F65))</f>
        <v/>
      </c>
      <c r="H65" s="17" t="str">
        <f aca="false">IF(INDEX(選手一覧!$I$7:$I$2738,$F65)="","",INDEX(選手一覧!$I$7:$I$2738,$F65))</f>
        <v/>
      </c>
      <c r="I65" s="16" t="str">
        <f aca="false">IF(INDEX(選手一覧!$J$7:$J$2738,$F65)="","",INDEX(選手一覧!$J$7:$J$2738,$F65))</f>
        <v/>
      </c>
      <c r="J65" s="17" t="str">
        <f aca="false">IF(INDEX(選手一覧!$K$7:$K$2738,$F65)="","",INDEX(選手一覧!$K$7:$K$2738,$F65))</f>
        <v/>
      </c>
    </row>
    <row r="66" customFormat="false" ht="15" hidden="false" customHeight="false" outlineLevel="0" collapsed="false">
      <c r="A66" s="17" t="n">
        <v>62</v>
      </c>
      <c r="B66" s="12" t="s">
        <v>146</v>
      </c>
      <c r="C66" s="12" t="s">
        <v>115</v>
      </c>
      <c r="D66" s="16" t="n">
        <v>0.0101347222222222</v>
      </c>
      <c r="E66" s="15" t="n">
        <f aca="false">ROUND((D66-$D$5)*86400,2)</f>
        <v>85.9</v>
      </c>
      <c r="F66" s="17" t="n">
        <v>61</v>
      </c>
      <c r="G66" s="16" t="str">
        <f aca="false">IF(INDEX(選手一覧!$H$7:$H$2738,$F66)="","",INDEX(選手一覧!$H$7:$H$2738,$F66))</f>
        <v/>
      </c>
      <c r="H66" s="17" t="str">
        <f aca="false">IF(INDEX(選手一覧!$I$7:$I$2738,$F66)="","",INDEX(選手一覧!$I$7:$I$2738,$F66))</f>
        <v/>
      </c>
      <c r="I66" s="16" t="n">
        <f aca="false">IF(INDEX(選手一覧!$J$7:$J$2738,$F66)="","",INDEX(選手一覧!$J$7:$J$2738,$F66))</f>
        <v>0.00273715277777778</v>
      </c>
      <c r="J66" s="17" t="n">
        <f aca="false">IF(INDEX(選手一覧!$K$7:$K$2738,$F66)="","",INDEX(選手一覧!$K$7:$K$2738,$F66))</f>
        <v>80</v>
      </c>
    </row>
    <row r="67" customFormat="false" ht="15" hidden="false" customHeight="false" outlineLevel="0" collapsed="false">
      <c r="A67" s="17" t="n">
        <v>63</v>
      </c>
      <c r="B67" s="12" t="s">
        <v>147</v>
      </c>
      <c r="C67" s="12" t="s">
        <v>96</v>
      </c>
      <c r="D67" s="16" t="n">
        <v>0.0101351851851852</v>
      </c>
      <c r="E67" s="15" t="n">
        <f aca="false">ROUND((D67-$D$5)*86400,2)</f>
        <v>85.94</v>
      </c>
      <c r="F67" s="17" t="n">
        <v>62</v>
      </c>
      <c r="G67" s="16" t="str">
        <f aca="false">IF(INDEX(選手一覧!$H$7:$H$2738,$F67)="","",INDEX(選手一覧!$H$7:$H$2738,$F67))</f>
        <v/>
      </c>
      <c r="H67" s="17" t="str">
        <f aca="false">IF(INDEX(選手一覧!$I$7:$I$2738,$F67)="","",INDEX(選手一覧!$I$7:$I$2738,$F67))</f>
        <v/>
      </c>
      <c r="I67" s="16" t="n">
        <f aca="false">IF(INDEX(選手一覧!$J$7:$J$2738,$F67)="","",INDEX(選手一覧!$J$7:$J$2738,$F67))</f>
        <v>0.0028431712962963</v>
      </c>
      <c r="J67" s="17" t="n">
        <f aca="false">IF(INDEX(選手一覧!$K$7:$K$2738,$F67)="","",INDEX(選手一覧!$K$7:$K$2738,$F67))</f>
        <v>517</v>
      </c>
    </row>
    <row r="68" customFormat="false" ht="15" hidden="false" customHeight="false" outlineLevel="0" collapsed="false">
      <c r="A68" s="17" t="n">
        <v>64</v>
      </c>
      <c r="B68" s="12" t="s">
        <v>149</v>
      </c>
      <c r="C68" s="12" t="s">
        <v>150</v>
      </c>
      <c r="D68" s="16" t="n">
        <v>0.0101362268518519</v>
      </c>
      <c r="E68" s="15" t="n">
        <f aca="false">ROUND((D68-$D$5)*86400,2)</f>
        <v>86.03</v>
      </c>
      <c r="F68" s="17" t="n">
        <v>63</v>
      </c>
      <c r="G68" s="16" t="n">
        <f aca="false">IF(INDEX(選手一覧!$H$7:$H$2738,$F68)="","",INDEX(選手一覧!$H$7:$H$2738,$F68))</f>
        <v>0.00668483796296296</v>
      </c>
      <c r="H68" s="17" t="n">
        <f aca="false">IF(INDEX(選手一覧!$I$7:$I$2738,$F68)="","",INDEX(選手一覧!$I$7:$I$2738,$F68))</f>
        <v>102</v>
      </c>
      <c r="I68" s="16" t="n">
        <f aca="false">IF(INDEX(選手一覧!$J$7:$J$2738,$F68)="","",INDEX(選手一覧!$J$7:$J$2738,$F68))</f>
        <v>0.0028724537037037</v>
      </c>
      <c r="J68" s="17" t="n">
        <f aca="false">IF(INDEX(選手一覧!$K$7:$K$2738,$F68)="","",INDEX(選手一覧!$K$7:$K$2738,$F68))</f>
        <v>718</v>
      </c>
    </row>
    <row r="69" customFormat="false" ht="15" hidden="false" customHeight="false" outlineLevel="0" collapsed="false">
      <c r="A69" s="17" t="n">
        <v>65</v>
      </c>
      <c r="B69" s="12" t="s">
        <v>151</v>
      </c>
      <c r="C69" s="12" t="s">
        <v>152</v>
      </c>
      <c r="D69" s="16" t="n">
        <v>0.0101371527777778</v>
      </c>
      <c r="E69" s="15" t="n">
        <f aca="false">ROUND((D69-$D$5)*86400,2)</f>
        <v>86.11</v>
      </c>
      <c r="F69" s="17" t="n">
        <v>64</v>
      </c>
      <c r="G69" s="16" t="str">
        <f aca="false">IF(INDEX(選手一覧!$H$7:$H$2738,$F69)="","",INDEX(選手一覧!$H$7:$H$2738,$F69))</f>
        <v/>
      </c>
      <c r="H69" s="17" t="str">
        <f aca="false">IF(INDEX(選手一覧!$I$7:$I$2738,$F69)="","",INDEX(選手一覧!$I$7:$I$2738,$F69))</f>
        <v/>
      </c>
      <c r="I69" s="16" t="n">
        <f aca="false">IF(INDEX(選手一覧!$J$7:$J$2738,$F69)="","",INDEX(選手一覧!$J$7:$J$2738,$F69))</f>
        <v>0.00269143518518519</v>
      </c>
      <c r="J69" s="17" t="n">
        <f aca="false">IF(INDEX(選手一覧!$K$7:$K$2738,$F69)="","",INDEX(選手一覧!$K$7:$K$2738,$F69))</f>
        <v>19</v>
      </c>
    </row>
    <row r="70" customFormat="false" ht="15" hidden="false" customHeight="false" outlineLevel="0" collapsed="false">
      <c r="A70" s="17" t="n">
        <v>66</v>
      </c>
      <c r="B70" s="12" t="s">
        <v>154</v>
      </c>
      <c r="C70" s="12" t="s">
        <v>155</v>
      </c>
      <c r="D70" s="16" t="n">
        <v>0.0101373842592593</v>
      </c>
      <c r="E70" s="15" t="n">
        <f aca="false">ROUND((D70-$D$5)*86400,2)</f>
        <v>86.13</v>
      </c>
      <c r="F70" s="17" t="n">
        <v>65</v>
      </c>
      <c r="G70" s="16" t="str">
        <f aca="false">IF(INDEX(選手一覧!$H$7:$H$2738,$F70)="","",INDEX(選手一覧!$H$7:$H$2738,$F70))</f>
        <v/>
      </c>
      <c r="H70" s="17" t="str">
        <f aca="false">IF(INDEX(選手一覧!$I$7:$I$2738,$F70)="","",INDEX(選手一覧!$I$7:$I$2738,$F70))</f>
        <v/>
      </c>
      <c r="I70" s="16" t="n">
        <f aca="false">IF(INDEX(選手一覧!$J$7:$J$2738,$F70)="","",INDEX(選手一覧!$J$7:$J$2738,$F70))</f>
        <v>0.00271736111111111</v>
      </c>
      <c r="J70" s="17" t="n">
        <f aca="false">IF(INDEX(選手一覧!$K$7:$K$2738,$F70)="","",INDEX(選手一覧!$K$7:$K$2738,$F70))</f>
        <v>45</v>
      </c>
    </row>
    <row r="71" customFormat="false" ht="15" hidden="false" customHeight="false" outlineLevel="0" collapsed="false">
      <c r="A71" s="17" t="n">
        <v>67</v>
      </c>
      <c r="B71" s="12" t="s">
        <v>156</v>
      </c>
      <c r="C71" s="12" t="s">
        <v>157</v>
      </c>
      <c r="D71" s="16" t="n">
        <v>0.0101377314814815</v>
      </c>
      <c r="E71" s="15" t="n">
        <f aca="false">ROUND((D71-$D$5)*86400,2)</f>
        <v>86.16</v>
      </c>
      <c r="F71" s="17" t="n">
        <v>66</v>
      </c>
      <c r="G71" s="16" t="n">
        <f aca="false">IF(INDEX(選手一覧!$H$7:$H$2738,$F71)="","",INDEX(選手一覧!$H$7:$H$2738,$F71))</f>
        <v>0.00634039351851852</v>
      </c>
      <c r="H71" s="17" t="n">
        <f aca="false">IF(INDEX(選手一覧!$I$7:$I$2738,$F71)="","",INDEX(選手一覧!$I$7:$I$2738,$F71))</f>
        <v>7</v>
      </c>
      <c r="I71" s="16" t="n">
        <f aca="false">IF(INDEX(選手一覧!$J$7:$J$2738,$F71)="","",INDEX(選手一覧!$J$7:$J$2738,$F71))</f>
        <v>0.0028818287037037</v>
      </c>
      <c r="J71" s="17" t="n">
        <f aca="false">IF(INDEX(選手一覧!$K$7:$K$2738,$F71)="","",INDEX(選手一覧!$K$7:$K$2738,$F71))</f>
        <v>787</v>
      </c>
    </row>
    <row r="72" customFormat="false" ht="15" hidden="false" customHeight="false" outlineLevel="0" collapsed="false">
      <c r="A72" s="17" t="n">
        <v>68</v>
      </c>
      <c r="B72" s="12" t="s">
        <v>158</v>
      </c>
      <c r="C72" s="12" t="s">
        <v>159</v>
      </c>
      <c r="D72" s="16" t="n">
        <v>0.0101380787037037</v>
      </c>
      <c r="E72" s="15" t="n">
        <f aca="false">ROUND((D72-$D$5)*86400,2)</f>
        <v>86.19</v>
      </c>
      <c r="F72" s="17" t="n">
        <v>67</v>
      </c>
      <c r="G72" s="16" t="str">
        <f aca="false">IF(INDEX(選手一覧!$H$7:$H$2738,$F72)="","",INDEX(選手一覧!$H$7:$H$2738,$F72))</f>
        <v/>
      </c>
      <c r="H72" s="17" t="str">
        <f aca="false">IF(INDEX(選手一覧!$I$7:$I$2738,$F72)="","",INDEX(選手一覧!$I$7:$I$2738,$F72))</f>
        <v/>
      </c>
      <c r="I72" s="16" t="n">
        <f aca="false">IF(INDEX(選手一覧!$J$7:$J$2738,$F72)="","",INDEX(選手一覧!$J$7:$J$2738,$F72))</f>
        <v>0.0027568287037037</v>
      </c>
      <c r="J72" s="17" t="n">
        <f aca="false">IF(INDEX(選手一覧!$K$7:$K$2738,$F72)="","",INDEX(選手一覧!$K$7:$K$2738,$F72))</f>
        <v>127</v>
      </c>
    </row>
    <row r="73" customFormat="false" ht="15" hidden="false" customHeight="false" outlineLevel="0" collapsed="false">
      <c r="A73" s="17" t="n">
        <v>69</v>
      </c>
      <c r="B73" s="12" t="s">
        <v>160</v>
      </c>
      <c r="C73" s="12" t="s">
        <v>161</v>
      </c>
      <c r="D73" s="16" t="n">
        <v>0.0101414351851852</v>
      </c>
      <c r="E73" s="15" t="n">
        <f aca="false">ROUND((D73-$D$5)*86400,2)</f>
        <v>86.48</v>
      </c>
      <c r="F73" s="17" t="n">
        <v>68</v>
      </c>
      <c r="G73" s="16" t="str">
        <f aca="false">IF(INDEX(選手一覧!$H$7:$H$2738,$F73)="","",INDEX(選手一覧!$H$7:$H$2738,$F73))</f>
        <v/>
      </c>
      <c r="H73" s="17" t="str">
        <f aca="false">IF(INDEX(選手一覧!$I$7:$I$2738,$F73)="","",INDEX(選手一覧!$I$7:$I$2738,$F73))</f>
        <v/>
      </c>
      <c r="I73" s="16" t="n">
        <f aca="false">IF(INDEX(選手一覧!$J$7:$J$2738,$F73)="","",INDEX(選手一覧!$J$7:$J$2738,$F73))</f>
        <v>0.00285590277777778</v>
      </c>
      <c r="J73" s="17" t="n">
        <f aca="false">IF(INDEX(選手一覧!$K$7:$K$2738,$F73)="","",INDEX(選手一覧!$K$7:$K$2738,$F73))</f>
        <v>607</v>
      </c>
    </row>
    <row r="74" customFormat="false" ht="15" hidden="false" customHeight="false" outlineLevel="0" collapsed="false">
      <c r="A74" s="17" t="n">
        <v>70</v>
      </c>
      <c r="B74" s="12" t="s">
        <v>163</v>
      </c>
      <c r="C74" s="12" t="s">
        <v>63</v>
      </c>
      <c r="D74" s="16" t="n">
        <v>0.0101446759259259</v>
      </c>
      <c r="E74" s="15" t="n">
        <f aca="false">ROUND((D74-$D$5)*86400,2)</f>
        <v>86.76</v>
      </c>
      <c r="F74" s="17" t="n">
        <v>69</v>
      </c>
      <c r="G74" s="16" t="str">
        <f aca="false">IF(INDEX(選手一覧!$H$7:$H$2738,$F74)="","",INDEX(選手一覧!$H$7:$H$2738,$F74))</f>
        <v/>
      </c>
      <c r="H74" s="17" t="str">
        <f aca="false">IF(INDEX(選手一覧!$I$7:$I$2738,$F74)="","",INDEX(選手一覧!$I$7:$I$2738,$F74))</f>
        <v/>
      </c>
      <c r="I74" s="16" t="str">
        <f aca="false">IF(INDEX(選手一覧!$J$7:$J$2738,$F74)="","",INDEX(選手一覧!$J$7:$J$2738,$F74))</f>
        <v/>
      </c>
      <c r="J74" s="17" t="str">
        <f aca="false">IF(INDEX(選手一覧!$K$7:$K$2738,$F74)="","",INDEX(選手一覧!$K$7:$K$2738,$F74))</f>
        <v/>
      </c>
    </row>
    <row r="75" customFormat="false" ht="15" hidden="false" customHeight="false" outlineLevel="0" collapsed="false">
      <c r="A75" s="17" t="n">
        <v>71</v>
      </c>
      <c r="B75" s="12" t="s">
        <v>164</v>
      </c>
      <c r="C75" s="12" t="s">
        <v>165</v>
      </c>
      <c r="D75" s="16" t="n">
        <v>0.0101478009259259</v>
      </c>
      <c r="E75" s="15" t="n">
        <f aca="false">ROUND((D75-$D$5)*86400,2)</f>
        <v>87.03</v>
      </c>
      <c r="F75" s="17" t="n">
        <v>70</v>
      </c>
      <c r="G75" s="16" t="n">
        <f aca="false">IF(INDEX(選手一覧!$H$7:$H$2738,$F75)="","",INDEX(選手一覧!$H$7:$H$2738,$F75))</f>
        <v>0.00698865740740741</v>
      </c>
      <c r="H75" s="17" t="n">
        <f aca="false">IF(INDEX(選手一覧!$I$7:$I$2738,$F75)="","",INDEX(選手一覧!$I$7:$I$2738,$F75))</f>
        <v>323</v>
      </c>
      <c r="I75" s="16" t="n">
        <f aca="false">IF(INDEX(選手一覧!$J$7:$J$2738,$F75)="","",INDEX(選手一覧!$J$7:$J$2738,$F75))</f>
        <v>0.00275729166666667</v>
      </c>
      <c r="J75" s="17" t="n">
        <f aca="false">IF(INDEX(選手一覧!$K$7:$K$2738,$F75)="","",INDEX(選手一覧!$K$7:$K$2738,$F75))</f>
        <v>128</v>
      </c>
    </row>
    <row r="76" customFormat="false" ht="15" hidden="false" customHeight="false" outlineLevel="0" collapsed="false">
      <c r="A76" s="17" t="n">
        <v>72</v>
      </c>
      <c r="B76" s="12" t="s">
        <v>166</v>
      </c>
      <c r="C76" s="12" t="s">
        <v>167</v>
      </c>
      <c r="D76" s="16" t="n">
        <v>0.0101538194444444</v>
      </c>
      <c r="E76" s="15" t="n">
        <f aca="false">ROUND((D76-$D$5)*86400,2)</f>
        <v>87.55</v>
      </c>
      <c r="F76" s="17" t="n">
        <v>71</v>
      </c>
      <c r="G76" s="16" t="str">
        <f aca="false">IF(INDEX(選手一覧!$H$7:$H$2738,$F76)="","",INDEX(選手一覧!$H$7:$H$2738,$F76))</f>
        <v/>
      </c>
      <c r="H76" s="17" t="str">
        <f aca="false">IF(INDEX(選手一覧!$I$7:$I$2738,$F76)="","",INDEX(選手一覧!$I$7:$I$2738,$F76))</f>
        <v/>
      </c>
      <c r="I76" s="16" t="n">
        <f aca="false">IF(INDEX(選手一覧!$J$7:$J$2738,$F76)="","",INDEX(選手一覧!$J$7:$J$2738,$F76))</f>
        <v>0.00274097222222222</v>
      </c>
      <c r="J76" s="17" t="n">
        <f aca="false">IF(INDEX(選手一覧!$K$7:$K$2738,$F76)="","",INDEX(選手一覧!$K$7:$K$2738,$F76))</f>
        <v>86</v>
      </c>
    </row>
    <row r="77" customFormat="false" ht="15" hidden="false" customHeight="false" outlineLevel="0" collapsed="false">
      <c r="A77" s="17" t="n">
        <v>73</v>
      </c>
      <c r="B77" s="12" t="s">
        <v>169</v>
      </c>
      <c r="C77" s="12" t="s">
        <v>152</v>
      </c>
      <c r="D77" s="16" t="n">
        <v>0.0101539351851852</v>
      </c>
      <c r="E77" s="15" t="n">
        <f aca="false">ROUND((D77-$D$5)*86400,2)</f>
        <v>87.56</v>
      </c>
      <c r="F77" s="17" t="n">
        <v>72</v>
      </c>
      <c r="G77" s="16" t="str">
        <f aca="false">IF(INDEX(選手一覧!$H$7:$H$2738,$F77)="","",INDEX(選手一覧!$H$7:$H$2738,$F77))</f>
        <v/>
      </c>
      <c r="H77" s="17" t="str">
        <f aca="false">IF(INDEX(選手一覧!$I$7:$I$2738,$F77)="","",INDEX(選手一覧!$I$7:$I$2738,$F77))</f>
        <v/>
      </c>
      <c r="I77" s="16" t="str">
        <f aca="false">IF(INDEX(選手一覧!$J$7:$J$2738,$F77)="","",INDEX(選手一覧!$J$7:$J$2738,$F77))</f>
        <v/>
      </c>
      <c r="J77" s="17" t="str">
        <f aca="false">IF(INDEX(選手一覧!$K$7:$K$2738,$F77)="","",INDEX(選手一覧!$K$7:$K$2738,$F77))</f>
        <v/>
      </c>
    </row>
    <row r="78" customFormat="false" ht="15" hidden="false" customHeight="false" outlineLevel="0" collapsed="false">
      <c r="A78" s="17" t="n">
        <v>74</v>
      </c>
      <c r="B78" s="12" t="s">
        <v>171</v>
      </c>
      <c r="C78" s="12" t="s">
        <v>152</v>
      </c>
      <c r="D78" s="16" t="n">
        <v>0.0101585648148148</v>
      </c>
      <c r="E78" s="15" t="n">
        <f aca="false">ROUND((D78-$D$5)*86400,2)</f>
        <v>87.96</v>
      </c>
      <c r="F78" s="17" t="n">
        <v>73</v>
      </c>
      <c r="G78" s="16" t="n">
        <f aca="false">IF(INDEX(選手一覧!$H$7:$H$2738,$F78)="","",INDEX(選手一覧!$H$7:$H$2738,$F78))</f>
        <v>0.00647060185185185</v>
      </c>
      <c r="H78" s="17" t="n">
        <f aca="false">IF(INDEX(選手一覧!$I$7:$I$2738,$F78)="","",INDEX(選手一覧!$I$7:$I$2738,$F78))</f>
        <v>29</v>
      </c>
      <c r="I78" s="16" t="str">
        <f aca="false">IF(INDEX(選手一覧!$J$7:$J$2738,$F78)="","",INDEX(選手一覧!$J$7:$J$2738,$F78))</f>
        <v/>
      </c>
      <c r="J78" s="17" t="str">
        <f aca="false">IF(INDEX(選手一覧!$K$7:$K$2738,$F78)="","",INDEX(選手一覧!$K$7:$K$2738,$F78))</f>
        <v/>
      </c>
    </row>
    <row r="79" customFormat="false" ht="15" hidden="false" customHeight="false" outlineLevel="0" collapsed="false">
      <c r="A79" s="17" t="n">
        <v>75</v>
      </c>
      <c r="B79" s="12" t="s">
        <v>173</v>
      </c>
      <c r="C79" s="12" t="s">
        <v>150</v>
      </c>
      <c r="D79" s="16" t="n">
        <v>0.010158912037037</v>
      </c>
      <c r="E79" s="15" t="n">
        <f aca="false">ROUND((D79-$D$5)*86400,2)</f>
        <v>87.99</v>
      </c>
      <c r="F79" s="17" t="n">
        <v>74</v>
      </c>
      <c r="G79" s="16" t="str">
        <f aca="false">IF(INDEX(選手一覧!$H$7:$H$2738,$F79)="","",INDEX(選手一覧!$H$7:$H$2738,$F79))</f>
        <v/>
      </c>
      <c r="H79" s="17" t="str">
        <f aca="false">IF(INDEX(選手一覧!$I$7:$I$2738,$F79)="","",INDEX(選手一覧!$I$7:$I$2738,$F79))</f>
        <v/>
      </c>
      <c r="I79" s="16" t="n">
        <f aca="false">IF(INDEX(選手一覧!$J$7:$J$2738,$F79)="","",INDEX(選手一覧!$J$7:$J$2738,$F79))</f>
        <v>0.00270787037037037</v>
      </c>
      <c r="J79" s="17" t="n">
        <f aca="false">IF(INDEX(選手一覧!$K$7:$K$2738,$F79)="","",INDEX(選手一覧!$K$7:$K$2738,$F79))</f>
        <v>32</v>
      </c>
    </row>
    <row r="80" customFormat="false" ht="15" hidden="false" customHeight="false" outlineLevel="0" collapsed="false">
      <c r="A80" s="17" t="n">
        <v>76</v>
      </c>
      <c r="B80" s="12" t="s">
        <v>174</v>
      </c>
      <c r="C80" s="12" t="s">
        <v>165</v>
      </c>
      <c r="D80" s="16" t="n">
        <v>0.010159837962963</v>
      </c>
      <c r="E80" s="15" t="n">
        <f aca="false">ROUND((D80-$D$5)*86400,2)</f>
        <v>88.07</v>
      </c>
      <c r="F80" s="17" t="n">
        <v>75</v>
      </c>
      <c r="G80" s="16" t="str">
        <f aca="false">IF(INDEX(選手一覧!$H$7:$H$2738,$F80)="","",INDEX(選手一覧!$H$7:$H$2738,$F80))</f>
        <v/>
      </c>
      <c r="H80" s="17" t="str">
        <f aca="false">IF(INDEX(選手一覧!$I$7:$I$2738,$F80)="","",INDEX(選手一覧!$I$7:$I$2738,$F80))</f>
        <v/>
      </c>
      <c r="I80" s="16" t="n">
        <f aca="false">IF(INDEX(選手一覧!$J$7:$J$2738,$F80)="","",INDEX(選手一覧!$J$7:$J$2738,$F80))</f>
        <v>0.00273576388888889</v>
      </c>
      <c r="J80" s="17" t="n">
        <f aca="false">IF(INDEX(選手一覧!$K$7:$K$2738,$F80)="","",INDEX(選手一覧!$K$7:$K$2738,$F80))</f>
        <v>75</v>
      </c>
    </row>
    <row r="81" customFormat="false" ht="15" hidden="false" customHeight="false" outlineLevel="0" collapsed="false">
      <c r="A81" s="17" t="n">
        <v>77</v>
      </c>
      <c r="B81" s="12" t="s">
        <v>175</v>
      </c>
      <c r="C81" s="12" t="s">
        <v>25</v>
      </c>
      <c r="D81" s="16" t="n">
        <v>0.0101636574074074</v>
      </c>
      <c r="E81" s="15" t="n">
        <f aca="false">ROUND((D81-$D$5)*86400,2)</f>
        <v>88.4</v>
      </c>
      <c r="F81" s="17" t="n">
        <v>76</v>
      </c>
      <c r="G81" s="16" t="n">
        <f aca="false">IF(INDEX(選手一覧!$H$7:$H$2738,$F81)="","",INDEX(選手一覧!$H$7:$H$2738,$F81))</f>
        <v>0.00668576388888889</v>
      </c>
      <c r="H81" s="17" t="n">
        <f aca="false">IF(INDEX(選手一覧!$I$7:$I$2738,$F81)="","",INDEX(選手一覧!$I$7:$I$2738,$F81))</f>
        <v>103</v>
      </c>
      <c r="I81" s="16" t="n">
        <f aca="false">IF(INDEX(選手一覧!$J$7:$J$2738,$F81)="","",INDEX(選手一覧!$J$7:$J$2738,$F81))</f>
        <v>0.00296979166666667</v>
      </c>
      <c r="J81" s="17" t="n">
        <f aca="false">IF(INDEX(選手一覧!$K$7:$K$2738,$F81)="","",INDEX(選手一覧!$K$7:$K$2738,$F81))</f>
        <v>1310</v>
      </c>
    </row>
    <row r="82" customFormat="false" ht="15" hidden="false" customHeight="false" outlineLevel="0" collapsed="false">
      <c r="A82" s="17" t="n">
        <v>78</v>
      </c>
      <c r="B82" s="12" t="s">
        <v>176</v>
      </c>
      <c r="C82" s="12" t="s">
        <v>37</v>
      </c>
      <c r="D82" s="16" t="n">
        <v>0.0101642361111111</v>
      </c>
      <c r="E82" s="15" t="n">
        <f aca="false">ROUND((D82-$D$5)*86400,2)</f>
        <v>88.45</v>
      </c>
      <c r="F82" s="17" t="n">
        <v>77</v>
      </c>
      <c r="G82" s="16" t="n">
        <f aca="false">IF(INDEX(選手一覧!$H$7:$H$2738,$F82)="","",INDEX(選手一覧!$H$7:$H$2738,$F82))</f>
        <v>0.00702662037037037</v>
      </c>
      <c r="H82" s="17" t="n">
        <f aca="false">IF(INDEX(選手一覧!$I$7:$I$2738,$F82)="","",INDEX(選手一覧!$I$7:$I$2738,$F82))</f>
        <v>360</v>
      </c>
      <c r="I82" s="16" t="n">
        <f aca="false">IF(INDEX(選手一覧!$J$7:$J$2738,$F82)="","",INDEX(選手一覧!$J$7:$J$2738,$F82))</f>
        <v>0.00284363425925926</v>
      </c>
      <c r="J82" s="17" t="n">
        <f aca="false">IF(INDEX(選手一覧!$K$7:$K$2738,$F82)="","",INDEX(選手一覧!$K$7:$K$2738,$F82))</f>
        <v>522</v>
      </c>
    </row>
    <row r="83" customFormat="false" ht="15" hidden="false" customHeight="false" outlineLevel="0" collapsed="false">
      <c r="A83" s="17" t="n">
        <v>79</v>
      </c>
      <c r="B83" s="12" t="s">
        <v>178</v>
      </c>
      <c r="C83" s="12" t="s">
        <v>179</v>
      </c>
      <c r="D83" s="16" t="n">
        <v>0.0101675925925926</v>
      </c>
      <c r="E83" s="15" t="n">
        <f aca="false">ROUND((D83-$D$5)*86400,2)</f>
        <v>88.74</v>
      </c>
      <c r="F83" s="17" t="n">
        <v>78</v>
      </c>
      <c r="G83" s="16" t="str">
        <f aca="false">IF(INDEX(選手一覧!$H$7:$H$2738,$F83)="","",INDEX(選手一覧!$H$7:$H$2738,$F83))</f>
        <v/>
      </c>
      <c r="H83" s="17" t="str">
        <f aca="false">IF(INDEX(選手一覧!$I$7:$I$2738,$F83)="","",INDEX(選手一覧!$I$7:$I$2738,$F83))</f>
        <v/>
      </c>
      <c r="I83" s="16" t="n">
        <f aca="false">IF(INDEX(選手一覧!$J$7:$J$2738,$F83)="","",INDEX(選手一覧!$J$7:$J$2738,$F83))</f>
        <v>0.00288171296296296</v>
      </c>
      <c r="J83" s="17" t="n">
        <f aca="false">IF(INDEX(選手一覧!$K$7:$K$2738,$F83)="","",INDEX(選手一覧!$K$7:$K$2738,$F83))</f>
        <v>785</v>
      </c>
    </row>
    <row r="84" customFormat="false" ht="15" hidden="false" customHeight="false" outlineLevel="0" collapsed="false">
      <c r="A84" s="17" t="n">
        <v>80</v>
      </c>
      <c r="B84" s="12" t="s">
        <v>181</v>
      </c>
      <c r="C84" s="12" t="s">
        <v>27</v>
      </c>
      <c r="D84" s="16" t="n">
        <v>0.0101733796296296</v>
      </c>
      <c r="E84" s="15" t="n">
        <f aca="false">ROUND((D84-$D$5)*86400,2)</f>
        <v>89.24</v>
      </c>
      <c r="F84" s="17" t="n">
        <v>79</v>
      </c>
      <c r="G84" s="16" t="str">
        <f aca="false">IF(INDEX(選手一覧!$H$7:$H$2738,$F84)="","",INDEX(選手一覧!$H$7:$H$2738,$F84))</f>
        <v/>
      </c>
      <c r="H84" s="17" t="str">
        <f aca="false">IF(INDEX(選手一覧!$I$7:$I$2738,$F84)="","",INDEX(選手一覧!$I$7:$I$2738,$F84))</f>
        <v/>
      </c>
      <c r="I84" s="16" t="str">
        <f aca="false">IF(INDEX(選手一覧!$J$7:$J$2738,$F84)="","",INDEX(選手一覧!$J$7:$J$2738,$F84))</f>
        <v/>
      </c>
      <c r="J84" s="17" t="str">
        <f aca="false">IF(INDEX(選手一覧!$K$7:$K$2738,$F84)="","",INDEX(選手一覧!$K$7:$K$2738,$F84))</f>
        <v/>
      </c>
    </row>
    <row r="85" customFormat="false" ht="15" hidden="false" customHeight="false" outlineLevel="0" collapsed="false">
      <c r="A85" s="17" t="n">
        <v>81</v>
      </c>
      <c r="B85" s="12" t="s">
        <v>183</v>
      </c>
      <c r="C85" s="12" t="s">
        <v>129</v>
      </c>
      <c r="D85" s="16" t="n">
        <v>0.0101733796296296</v>
      </c>
      <c r="E85" s="15" t="n">
        <f aca="false">ROUND((D85-$D$5)*86400,2)</f>
        <v>89.24</v>
      </c>
      <c r="F85" s="17" t="n">
        <v>80</v>
      </c>
      <c r="G85" s="16" t="str">
        <f aca="false">IF(INDEX(選手一覧!$H$7:$H$2738,$F85)="","",INDEX(選手一覧!$H$7:$H$2738,$F85))</f>
        <v/>
      </c>
      <c r="H85" s="17" t="str">
        <f aca="false">IF(INDEX(選手一覧!$I$7:$I$2738,$F85)="","",INDEX(選手一覧!$I$7:$I$2738,$F85))</f>
        <v/>
      </c>
      <c r="I85" s="16" t="n">
        <f aca="false">IF(INDEX(選手一覧!$J$7:$J$2738,$F85)="","",INDEX(選手一覧!$J$7:$J$2738,$F85))</f>
        <v>0.00274398148148148</v>
      </c>
      <c r="J85" s="17" t="n">
        <f aca="false">IF(INDEX(選手一覧!$K$7:$K$2738,$F85)="","",INDEX(選手一覧!$K$7:$K$2738,$F85))</f>
        <v>87</v>
      </c>
    </row>
    <row r="86" customFormat="false" ht="15" hidden="false" customHeight="false" outlineLevel="0" collapsed="false">
      <c r="A86" s="17" t="n">
        <v>82</v>
      </c>
      <c r="B86" s="12" t="s">
        <v>185</v>
      </c>
      <c r="C86" s="12" t="s">
        <v>186</v>
      </c>
      <c r="D86" s="16" t="n">
        <v>0.0101737268518519</v>
      </c>
      <c r="E86" s="15" t="n">
        <f aca="false">ROUND((D86-$D$5)*86400,2)</f>
        <v>89.27</v>
      </c>
      <c r="F86" s="17" t="n">
        <v>81</v>
      </c>
      <c r="G86" s="16" t="str">
        <f aca="false">IF(INDEX(選手一覧!$H$7:$H$2738,$F86)="","",INDEX(選手一覧!$H$7:$H$2738,$F86))</f>
        <v/>
      </c>
      <c r="H86" s="17" t="str">
        <f aca="false">IF(INDEX(選手一覧!$I$7:$I$2738,$F86)="","",INDEX(選手一覧!$I$7:$I$2738,$F86))</f>
        <v/>
      </c>
      <c r="I86" s="16" t="n">
        <f aca="false">IF(INDEX(選手一覧!$J$7:$J$2738,$F86)="","",INDEX(選手一覧!$J$7:$J$2738,$F86))</f>
        <v>0.00268391203703704</v>
      </c>
      <c r="J86" s="17" t="n">
        <f aca="false">IF(INDEX(選手一覧!$K$7:$K$2738,$F86)="","",INDEX(選手一覧!$K$7:$K$2738,$F86))</f>
        <v>15</v>
      </c>
    </row>
    <row r="87" customFormat="false" ht="15" hidden="false" customHeight="false" outlineLevel="0" collapsed="false">
      <c r="A87" s="17" t="n">
        <v>83</v>
      </c>
      <c r="B87" s="12" t="s">
        <v>188</v>
      </c>
      <c r="C87" s="12" t="s">
        <v>150</v>
      </c>
      <c r="D87" s="16" t="n">
        <v>0.0101766203703704</v>
      </c>
      <c r="E87" s="15" t="n">
        <f aca="false">ROUND((D87-$D$5)*86400,2)</f>
        <v>89.52</v>
      </c>
      <c r="F87" s="17" t="n">
        <v>82</v>
      </c>
      <c r="G87" s="16" t="str">
        <f aca="false">IF(INDEX(選手一覧!$H$7:$H$2738,$F87)="","",INDEX(選手一覧!$H$7:$H$2738,$F87))</f>
        <v/>
      </c>
      <c r="H87" s="17" t="str">
        <f aca="false">IF(INDEX(選手一覧!$I$7:$I$2738,$F87)="","",INDEX(選手一覧!$I$7:$I$2738,$F87))</f>
        <v/>
      </c>
      <c r="I87" s="16" t="n">
        <f aca="false">IF(INDEX(選手一覧!$J$7:$J$2738,$F87)="","",INDEX(選手一覧!$J$7:$J$2738,$F87))</f>
        <v>0.00272847222222222</v>
      </c>
      <c r="J87" s="17" t="n">
        <f aca="false">IF(INDEX(選手一覧!$K$7:$K$2738,$F87)="","",INDEX(選手一覧!$K$7:$K$2738,$F87))</f>
        <v>60</v>
      </c>
    </row>
    <row r="88" customFormat="false" ht="15" hidden="false" customHeight="false" outlineLevel="0" collapsed="false">
      <c r="A88" s="17" t="n">
        <v>84</v>
      </c>
      <c r="B88" s="12" t="s">
        <v>189</v>
      </c>
      <c r="C88" s="12" t="s">
        <v>27</v>
      </c>
      <c r="D88" s="16" t="n">
        <v>0.0101787037037037</v>
      </c>
      <c r="E88" s="15" t="n">
        <f aca="false">ROUND((D88-$D$5)*86400,2)</f>
        <v>89.7</v>
      </c>
      <c r="F88" s="17" t="n">
        <v>83</v>
      </c>
      <c r="G88" s="16" t="n">
        <f aca="false">IF(INDEX(選手一覧!$H$7:$H$2738,$F88)="","",INDEX(選手一覧!$H$7:$H$2738,$F88))</f>
        <v>0.00635891203703704</v>
      </c>
      <c r="H88" s="17" t="n">
        <f aca="false">IF(INDEX(選手一覧!$I$7:$I$2738,$F88)="","",INDEX(選手一覧!$I$7:$I$2738,$F88))</f>
        <v>10</v>
      </c>
      <c r="I88" s="16" t="str">
        <f aca="false">IF(INDEX(選手一覧!$J$7:$J$2738,$F88)="","",INDEX(選手一覧!$J$7:$J$2738,$F88))</f>
        <v/>
      </c>
      <c r="J88" s="17" t="str">
        <f aca="false">IF(INDEX(選手一覧!$K$7:$K$2738,$F88)="","",INDEX(選手一覧!$K$7:$K$2738,$F88))</f>
        <v/>
      </c>
    </row>
    <row r="89" customFormat="false" ht="15" hidden="false" customHeight="false" outlineLevel="0" collapsed="false">
      <c r="A89" s="17" t="n">
        <v>85</v>
      </c>
      <c r="B89" s="12" t="s">
        <v>190</v>
      </c>
      <c r="C89" s="12" t="s">
        <v>34</v>
      </c>
      <c r="D89" s="16" t="n">
        <v>0.0101798611111111</v>
      </c>
      <c r="E89" s="15" t="n">
        <f aca="false">ROUND((D89-$D$5)*86400,2)</f>
        <v>89.8</v>
      </c>
      <c r="F89" s="17" t="n">
        <v>84</v>
      </c>
      <c r="G89" s="16" t="str">
        <f aca="false">IF(INDEX(選手一覧!$H$7:$H$2738,$F89)="","",INDEX(選手一覧!$H$7:$H$2738,$F89))</f>
        <v/>
      </c>
      <c r="H89" s="17" t="str">
        <f aca="false">IF(INDEX(選手一覧!$I$7:$I$2738,$F89)="","",INDEX(選手一覧!$I$7:$I$2738,$F89))</f>
        <v/>
      </c>
      <c r="I89" s="16" t="n">
        <f aca="false">IF(INDEX(選手一覧!$J$7:$J$2738,$F89)="","",INDEX(選手一覧!$J$7:$J$2738,$F89))</f>
        <v>0.002865625</v>
      </c>
      <c r="J89" s="17" t="n">
        <f aca="false">IF(INDEX(選手一覧!$K$7:$K$2738,$F89)="","",INDEX(選手一覧!$K$7:$K$2738,$F89))</f>
        <v>668</v>
      </c>
    </row>
    <row r="90" customFormat="false" ht="15" hidden="false" customHeight="false" outlineLevel="0" collapsed="false">
      <c r="A90" s="17" t="n">
        <v>86</v>
      </c>
      <c r="B90" s="12" t="s">
        <v>192</v>
      </c>
      <c r="C90" s="12" t="s">
        <v>193</v>
      </c>
      <c r="D90" s="16" t="n">
        <v>0.0101837962962963</v>
      </c>
      <c r="E90" s="15" t="n">
        <f aca="false">ROUND((D90-$D$5)*86400,2)</f>
        <v>90.14</v>
      </c>
      <c r="F90" s="17" t="n">
        <v>85</v>
      </c>
      <c r="G90" s="16" t="str">
        <f aca="false">IF(INDEX(選手一覧!$H$7:$H$2738,$F90)="","",INDEX(選手一覧!$H$7:$H$2738,$F90))</f>
        <v/>
      </c>
      <c r="H90" s="17" t="str">
        <f aca="false">IF(INDEX(選手一覧!$I$7:$I$2738,$F90)="","",INDEX(選手一覧!$I$7:$I$2738,$F90))</f>
        <v/>
      </c>
      <c r="I90" s="16" t="n">
        <f aca="false">IF(INDEX(選手一覧!$J$7:$J$2738,$F90)="","",INDEX(選手一覧!$J$7:$J$2738,$F90))</f>
        <v>0.00292476851851852</v>
      </c>
      <c r="J90" s="17" t="n">
        <f aca="false">IF(INDEX(選手一覧!$K$7:$K$2738,$F90)="","",INDEX(選手一覧!$K$7:$K$2738,$F90))</f>
        <v>1142</v>
      </c>
    </row>
    <row r="91" customFormat="false" ht="15" hidden="false" customHeight="false" outlineLevel="0" collapsed="false">
      <c r="A91" s="17" t="n">
        <v>87</v>
      </c>
      <c r="B91" s="12" t="s">
        <v>194</v>
      </c>
      <c r="C91" s="12" t="s">
        <v>195</v>
      </c>
      <c r="D91" s="16" t="n">
        <v>0.0101858796296296</v>
      </c>
      <c r="E91" s="15" t="n">
        <f aca="false">ROUND((D91-$D$5)*86400,2)</f>
        <v>90.32</v>
      </c>
      <c r="F91" s="17" t="n">
        <v>86</v>
      </c>
      <c r="G91" s="16" t="str">
        <f aca="false">IF(INDEX(選手一覧!$H$7:$H$2738,$F91)="","",INDEX(選手一覧!$H$7:$H$2738,$F91))</f>
        <v/>
      </c>
      <c r="H91" s="17" t="str">
        <f aca="false">IF(INDEX(選手一覧!$I$7:$I$2738,$F91)="","",INDEX(選手一覧!$I$7:$I$2738,$F91))</f>
        <v/>
      </c>
      <c r="I91" s="16" t="n">
        <f aca="false">IF(INDEX(選手一覧!$J$7:$J$2738,$F91)="","",INDEX(選手一覧!$J$7:$J$2738,$F91))</f>
        <v>0.00276203703703704</v>
      </c>
      <c r="J91" s="17" t="n">
        <f aca="false">IF(INDEX(選手一覧!$K$7:$K$2738,$F91)="","",INDEX(選手一覧!$K$7:$K$2738,$F91))</f>
        <v>140</v>
      </c>
    </row>
    <row r="92" customFormat="false" ht="15" hidden="false" customHeight="false" outlineLevel="0" collapsed="false">
      <c r="A92" s="17" t="n">
        <v>88</v>
      </c>
      <c r="B92" s="12" t="s">
        <v>196</v>
      </c>
      <c r="C92" s="12" t="s">
        <v>67</v>
      </c>
      <c r="D92" s="16" t="n">
        <v>0.0101863425925926</v>
      </c>
      <c r="E92" s="15" t="n">
        <f aca="false">ROUND((D92-$D$5)*86400,2)</f>
        <v>90.36</v>
      </c>
      <c r="F92" s="17" t="n">
        <v>87</v>
      </c>
      <c r="G92" s="16" t="str">
        <f aca="false">IF(INDEX(選手一覧!$H$7:$H$2738,$F92)="","",INDEX(選手一覧!$H$7:$H$2738,$F92))</f>
        <v/>
      </c>
      <c r="H92" s="17" t="str">
        <f aca="false">IF(INDEX(選手一覧!$I$7:$I$2738,$F92)="","",INDEX(選手一覧!$I$7:$I$2738,$F92))</f>
        <v/>
      </c>
      <c r="I92" s="16" t="n">
        <f aca="false">IF(INDEX(選手一覧!$J$7:$J$2738,$F92)="","",INDEX(選手一覧!$J$7:$J$2738,$F92))</f>
        <v>0.00270231481481482</v>
      </c>
      <c r="J92" s="17" t="n">
        <f aca="false">IF(INDEX(選手一覧!$K$7:$K$2738,$F92)="","",INDEX(選手一覧!$K$7:$K$2738,$F92))</f>
        <v>27</v>
      </c>
    </row>
    <row r="93" customFormat="false" ht="15" hidden="false" customHeight="false" outlineLevel="0" collapsed="false">
      <c r="A93" s="17" t="n">
        <v>89</v>
      </c>
      <c r="B93" s="12" t="s">
        <v>198</v>
      </c>
      <c r="C93" s="12" t="s">
        <v>199</v>
      </c>
      <c r="D93" s="16" t="n">
        <v>0.0101872685185185</v>
      </c>
      <c r="E93" s="15" t="n">
        <f aca="false">ROUND((D93-$D$5)*86400,2)</f>
        <v>90.44</v>
      </c>
      <c r="F93" s="17" t="n">
        <v>88</v>
      </c>
      <c r="G93" s="16" t="str">
        <f aca="false">IF(INDEX(選手一覧!$H$7:$H$2738,$F93)="","",INDEX(選手一覧!$H$7:$H$2738,$F93))</f>
        <v/>
      </c>
      <c r="H93" s="17" t="str">
        <f aca="false">IF(INDEX(選手一覧!$I$7:$I$2738,$F93)="","",INDEX(選手一覧!$I$7:$I$2738,$F93))</f>
        <v/>
      </c>
      <c r="I93" s="16" t="n">
        <f aca="false">IF(INDEX(選手一覧!$J$7:$J$2738,$F93)="","",INDEX(選手一覧!$J$7:$J$2738,$F93))</f>
        <v>0.00286180555555556</v>
      </c>
      <c r="J93" s="17" t="n">
        <f aca="false">IF(INDEX(選手一覧!$K$7:$K$2738,$F93)="","",INDEX(選手一覧!$K$7:$K$2738,$F93))</f>
        <v>643</v>
      </c>
    </row>
    <row r="94" customFormat="false" ht="15" hidden="false" customHeight="false" outlineLevel="0" collapsed="false">
      <c r="A94" s="17" t="n">
        <v>90</v>
      </c>
      <c r="B94" s="12" t="s">
        <v>200</v>
      </c>
      <c r="C94" s="12" t="s">
        <v>155</v>
      </c>
      <c r="D94" s="16" t="n">
        <v>0.0101877314814815</v>
      </c>
      <c r="E94" s="15" t="n">
        <f aca="false">ROUND((D94-$D$5)*86400,2)</f>
        <v>90.48</v>
      </c>
      <c r="F94" s="17" t="n">
        <v>89</v>
      </c>
      <c r="G94" s="16" t="str">
        <f aca="false">IF(INDEX(選手一覧!$H$7:$H$2738,$F94)="","",INDEX(選手一覧!$H$7:$H$2738,$F94))</f>
        <v/>
      </c>
      <c r="H94" s="17" t="str">
        <f aca="false">IF(INDEX(選手一覧!$I$7:$I$2738,$F94)="","",INDEX(選手一覧!$I$7:$I$2738,$F94))</f>
        <v/>
      </c>
      <c r="I94" s="16" t="n">
        <f aca="false">IF(INDEX(選手一覧!$J$7:$J$2738,$F94)="","",INDEX(選手一覧!$J$7:$J$2738,$F94))</f>
        <v>0.00289039351851852</v>
      </c>
      <c r="J94" s="17" t="n">
        <f aca="false">IF(INDEX(選手一覧!$K$7:$K$2738,$F94)="","",INDEX(選手一覧!$K$7:$K$2738,$F94))</f>
        <v>871</v>
      </c>
    </row>
    <row r="95" customFormat="false" ht="15" hidden="false" customHeight="false" outlineLevel="0" collapsed="false">
      <c r="A95" s="17" t="n">
        <v>91</v>
      </c>
      <c r="B95" s="12" t="s">
        <v>201</v>
      </c>
      <c r="C95" s="12" t="s">
        <v>199</v>
      </c>
      <c r="D95" s="16" t="n">
        <v>0.0101881944444444</v>
      </c>
      <c r="E95" s="15" t="n">
        <f aca="false">ROUND((D95-$D$5)*86400,2)</f>
        <v>90.52</v>
      </c>
      <c r="F95" s="17" t="n">
        <v>90</v>
      </c>
      <c r="G95" s="16" t="n">
        <f aca="false">IF(INDEX(選手一覧!$H$7:$H$2738,$F95)="","",INDEX(選手一覧!$H$7:$H$2738,$F95))</f>
        <v>0.00665277777777778</v>
      </c>
      <c r="H95" s="17" t="n">
        <f aca="false">IF(INDEX(選手一覧!$I$7:$I$2738,$F95)="","",INDEX(選手一覧!$I$7:$I$2738,$F95))</f>
        <v>84</v>
      </c>
      <c r="I95" s="16" t="n">
        <f aca="false">IF(INDEX(選手一覧!$J$7:$J$2738,$F95)="","",INDEX(選手一覧!$J$7:$J$2738,$F95))</f>
        <v>0.00280810185185185</v>
      </c>
      <c r="J95" s="17" t="n">
        <f aca="false">IF(INDEX(選手一覧!$K$7:$K$2738,$F95)="","",INDEX(選手一覧!$K$7:$K$2738,$F95))</f>
        <v>317</v>
      </c>
    </row>
    <row r="96" customFormat="false" ht="15" hidden="false" customHeight="false" outlineLevel="0" collapsed="false">
      <c r="A96" s="17" t="n">
        <v>92</v>
      </c>
      <c r="B96" s="12" t="s">
        <v>202</v>
      </c>
      <c r="C96" s="12" t="s">
        <v>199</v>
      </c>
      <c r="D96" s="16" t="n">
        <v>0.0101917824074074</v>
      </c>
      <c r="E96" s="15" t="n">
        <f aca="false">ROUND((D96-$D$5)*86400,2)</f>
        <v>90.83</v>
      </c>
      <c r="F96" s="17" t="n">
        <v>91</v>
      </c>
      <c r="G96" s="16" t="str">
        <f aca="false">IF(INDEX(選手一覧!$H$7:$H$2738,$F96)="","",INDEX(選手一覧!$H$7:$H$2738,$F96))</f>
        <v/>
      </c>
      <c r="H96" s="17" t="str">
        <f aca="false">IF(INDEX(選手一覧!$I$7:$I$2738,$F96)="","",INDEX(選手一覧!$I$7:$I$2738,$F96))</f>
        <v/>
      </c>
      <c r="I96" s="16" t="n">
        <f aca="false">IF(INDEX(選手一覧!$J$7:$J$2738,$F96)="","",INDEX(選手一覧!$J$7:$J$2738,$F96))</f>
        <v>0.0028181712962963</v>
      </c>
      <c r="J96" s="17" t="n">
        <f aca="false">IF(INDEX(選手一覧!$K$7:$K$2738,$F96)="","",INDEX(選手一覧!$K$7:$K$2738,$F96))</f>
        <v>355</v>
      </c>
    </row>
    <row r="97" customFormat="false" ht="15" hidden="false" customHeight="false" outlineLevel="0" collapsed="false">
      <c r="A97" s="17" t="n">
        <v>93</v>
      </c>
      <c r="B97" s="12" t="s">
        <v>203</v>
      </c>
      <c r="C97" s="12" t="s">
        <v>204</v>
      </c>
      <c r="D97" s="16" t="n">
        <v>0.0101918981481482</v>
      </c>
      <c r="E97" s="15" t="n">
        <f aca="false">ROUND((D97-$D$5)*86400,2)</f>
        <v>90.84</v>
      </c>
      <c r="F97" s="17" t="n">
        <v>92</v>
      </c>
      <c r="G97" s="16" t="str">
        <f aca="false">IF(INDEX(選手一覧!$H$7:$H$2738,$F97)="","",INDEX(選手一覧!$H$7:$H$2738,$F97))</f>
        <v/>
      </c>
      <c r="H97" s="17" t="str">
        <f aca="false">IF(INDEX(選手一覧!$I$7:$I$2738,$F97)="","",INDEX(選手一覧!$I$7:$I$2738,$F97))</f>
        <v/>
      </c>
      <c r="I97" s="16" t="n">
        <f aca="false">IF(INDEX(選手一覧!$J$7:$J$2738,$F97)="","",INDEX(選手一覧!$J$7:$J$2738,$F97))</f>
        <v>0.00282222222222222</v>
      </c>
      <c r="J97" s="17" t="n">
        <f aca="false">IF(INDEX(選手一覧!$K$7:$K$2738,$F97)="","",INDEX(選手一覧!$K$7:$K$2738,$F97))</f>
        <v>375</v>
      </c>
    </row>
    <row r="98" customFormat="false" ht="15" hidden="false" customHeight="false" outlineLevel="0" collapsed="false">
      <c r="A98" s="17" t="n">
        <v>94</v>
      </c>
      <c r="B98" s="12" t="s">
        <v>206</v>
      </c>
      <c r="C98" s="12" t="s">
        <v>207</v>
      </c>
      <c r="D98" s="16" t="n">
        <v>0.0101935185185185</v>
      </c>
      <c r="E98" s="15" t="n">
        <f aca="false">ROUND((D98-$D$5)*86400,2)</f>
        <v>90.98</v>
      </c>
      <c r="F98" s="17" t="n">
        <v>93</v>
      </c>
      <c r="G98" s="16" t="str">
        <f aca="false">IF(INDEX(選手一覧!$H$7:$H$2738,$F98)="","",INDEX(選手一覧!$H$7:$H$2738,$F98))</f>
        <v/>
      </c>
      <c r="H98" s="17" t="str">
        <f aca="false">IF(INDEX(選手一覧!$I$7:$I$2738,$F98)="","",INDEX(選手一覧!$I$7:$I$2738,$F98))</f>
        <v/>
      </c>
      <c r="I98" s="16" t="n">
        <f aca="false">IF(INDEX(選手一覧!$J$7:$J$2738,$F98)="","",INDEX(選手一覧!$J$7:$J$2738,$F98))</f>
        <v>0.00275324074074074</v>
      </c>
      <c r="J98" s="17" t="n">
        <f aca="false">IF(INDEX(選手一覧!$K$7:$K$2738,$F98)="","",INDEX(選手一覧!$K$7:$K$2738,$F98))</f>
        <v>111</v>
      </c>
    </row>
    <row r="99" customFormat="false" ht="15" hidden="false" customHeight="false" outlineLevel="0" collapsed="false">
      <c r="A99" s="17" t="n">
        <v>95</v>
      </c>
      <c r="B99" s="12" t="s">
        <v>208</v>
      </c>
      <c r="C99" s="12" t="s">
        <v>209</v>
      </c>
      <c r="D99" s="16" t="n">
        <v>0.0101960648148148</v>
      </c>
      <c r="E99" s="15" t="n">
        <f aca="false">ROUND((D99-$D$5)*86400,2)</f>
        <v>91.2</v>
      </c>
      <c r="F99" s="17" t="n">
        <v>94</v>
      </c>
      <c r="G99" s="16" t="str">
        <f aca="false">IF(INDEX(選手一覧!$H$7:$H$2738,$F99)="","",INDEX(選手一覧!$H$7:$H$2738,$F99))</f>
        <v/>
      </c>
      <c r="H99" s="17" t="str">
        <f aca="false">IF(INDEX(選手一覧!$I$7:$I$2738,$F99)="","",INDEX(選手一覧!$I$7:$I$2738,$F99))</f>
        <v/>
      </c>
      <c r="I99" s="16" t="n">
        <f aca="false">IF(INDEX(選手一覧!$J$7:$J$2738,$F99)="","",INDEX(選手一覧!$J$7:$J$2738,$F99))</f>
        <v>0.00269340277777778</v>
      </c>
      <c r="J99" s="17" t="n">
        <f aca="false">IF(INDEX(選手一覧!$K$7:$K$2738,$F99)="","",INDEX(選手一覧!$K$7:$K$2738,$F99))</f>
        <v>23</v>
      </c>
    </row>
    <row r="100" customFormat="false" ht="15" hidden="false" customHeight="false" outlineLevel="0" collapsed="false">
      <c r="A100" s="17" t="n">
        <v>96</v>
      </c>
      <c r="B100" s="12" t="s">
        <v>210</v>
      </c>
      <c r="C100" s="12" t="s">
        <v>87</v>
      </c>
      <c r="D100" s="16" t="n">
        <v>0.0101975694444444</v>
      </c>
      <c r="E100" s="15" t="n">
        <f aca="false">ROUND((D100-$D$5)*86400,2)</f>
        <v>91.33</v>
      </c>
      <c r="F100" s="17" t="n">
        <v>95</v>
      </c>
      <c r="G100" s="16" t="str">
        <f aca="false">IF(INDEX(選手一覧!$H$7:$H$2738,$F100)="","",INDEX(選手一覧!$H$7:$H$2738,$F100))</f>
        <v/>
      </c>
      <c r="H100" s="17" t="str">
        <f aca="false">IF(INDEX(選手一覧!$I$7:$I$2738,$F100)="","",INDEX(選手一覧!$I$7:$I$2738,$F100))</f>
        <v/>
      </c>
      <c r="I100" s="16" t="n">
        <f aca="false">IF(INDEX(選手一覧!$J$7:$J$2738,$F100)="","",INDEX(選手一覧!$J$7:$J$2738,$F100))</f>
        <v>0.00275451388888889</v>
      </c>
      <c r="J100" s="17" t="n">
        <f aca="false">IF(INDEX(選手一覧!$K$7:$K$2738,$F100)="","",INDEX(選手一覧!$K$7:$K$2738,$F100))</f>
        <v>119</v>
      </c>
    </row>
    <row r="101" customFormat="false" ht="15" hidden="false" customHeight="false" outlineLevel="0" collapsed="false">
      <c r="A101" s="17" t="n">
        <v>97</v>
      </c>
      <c r="B101" s="12" t="s">
        <v>211</v>
      </c>
      <c r="C101" s="12" t="s">
        <v>212</v>
      </c>
      <c r="D101" s="16" t="n">
        <v>0.0102012731481482</v>
      </c>
      <c r="E101" s="15" t="n">
        <f aca="false">ROUND((D101-$D$5)*86400,2)</f>
        <v>91.65</v>
      </c>
      <c r="F101" s="17" t="n">
        <v>96</v>
      </c>
      <c r="G101" s="16" t="n">
        <f aca="false">IF(INDEX(選手一覧!$H$7:$H$2738,$F101)="","",INDEX(選手一覧!$H$7:$H$2738,$F101))</f>
        <v>0.00648483796296296</v>
      </c>
      <c r="H101" s="17" t="n">
        <f aca="false">IF(INDEX(選手一覧!$I$7:$I$2738,$F101)="","",INDEX(選手一覧!$I$7:$I$2738,$F101))</f>
        <v>31</v>
      </c>
      <c r="I101" s="16" t="n">
        <f aca="false">IF(INDEX(選手一覧!$J$7:$J$2738,$F101)="","",INDEX(選手一覧!$J$7:$J$2738,$F101))</f>
        <v>0.00275451388888889</v>
      </c>
      <c r="J101" s="17" t="n">
        <f aca="false">IF(INDEX(選手一覧!$K$7:$K$2738,$F101)="","",INDEX(選手一覧!$K$7:$K$2738,$F101))</f>
        <v>120</v>
      </c>
    </row>
    <row r="102" customFormat="false" ht="15" hidden="false" customHeight="false" outlineLevel="0" collapsed="false">
      <c r="A102" s="17" t="n">
        <v>98</v>
      </c>
      <c r="B102" s="12" t="s">
        <v>213</v>
      </c>
      <c r="C102" s="12" t="s">
        <v>214</v>
      </c>
      <c r="D102" s="16" t="n">
        <v>0.0102041666666667</v>
      </c>
      <c r="E102" s="15" t="n">
        <f aca="false">ROUND((D102-$D$5)*86400,2)</f>
        <v>91.9</v>
      </c>
      <c r="F102" s="17" t="n">
        <v>97</v>
      </c>
      <c r="G102" s="16" t="str">
        <f aca="false">IF(INDEX(選手一覧!$H$7:$H$2738,$F102)="","",INDEX(選手一覧!$H$7:$H$2738,$F102))</f>
        <v/>
      </c>
      <c r="H102" s="17" t="str">
        <f aca="false">IF(INDEX(選手一覧!$I$7:$I$2738,$F102)="","",INDEX(選手一覧!$I$7:$I$2738,$F102))</f>
        <v/>
      </c>
      <c r="I102" s="16" t="n">
        <f aca="false">IF(INDEX(選手一覧!$J$7:$J$2738,$F102)="","",INDEX(選手一覧!$J$7:$J$2738,$F102))</f>
        <v>0.00267743055555556</v>
      </c>
      <c r="J102" s="17" t="n">
        <f aca="false">IF(INDEX(選手一覧!$K$7:$K$2738,$F102)="","",INDEX(選手一覧!$K$7:$K$2738,$F102))</f>
        <v>11</v>
      </c>
    </row>
    <row r="103" customFormat="false" ht="15" hidden="false" customHeight="false" outlineLevel="0" collapsed="false">
      <c r="A103" s="17" t="n">
        <v>99</v>
      </c>
      <c r="B103" s="12" t="s">
        <v>216</v>
      </c>
      <c r="C103" s="12" t="s">
        <v>217</v>
      </c>
      <c r="D103" s="16" t="n">
        <v>0.0102086805555556</v>
      </c>
      <c r="E103" s="15" t="n">
        <f aca="false">ROUND((D103-$D$5)*86400,2)</f>
        <v>92.29</v>
      </c>
      <c r="F103" s="17" t="n">
        <v>98</v>
      </c>
      <c r="G103" s="16" t="str">
        <f aca="false">IF(INDEX(選手一覧!$H$7:$H$2738,$F103)="","",INDEX(選手一覧!$H$7:$H$2738,$F103))</f>
        <v/>
      </c>
      <c r="H103" s="17" t="str">
        <f aca="false">IF(INDEX(選手一覧!$I$7:$I$2738,$F103)="","",INDEX(選手一覧!$I$7:$I$2738,$F103))</f>
        <v/>
      </c>
      <c r="I103" s="16" t="str">
        <f aca="false">IF(INDEX(選手一覧!$J$7:$J$2738,$F103)="","",INDEX(選手一覧!$J$7:$J$2738,$F103))</f>
        <v/>
      </c>
      <c r="J103" s="17" t="str">
        <f aca="false">IF(INDEX(選手一覧!$K$7:$K$2738,$F103)="","",INDEX(選手一覧!$K$7:$K$2738,$F103))</f>
        <v/>
      </c>
    </row>
    <row r="104" customFormat="false" ht="15" hidden="false" customHeight="false" outlineLevel="0" collapsed="false">
      <c r="A104" s="17" t="n">
        <v>100</v>
      </c>
      <c r="B104" s="12" t="s">
        <v>218</v>
      </c>
      <c r="C104" s="12" t="s">
        <v>219</v>
      </c>
      <c r="D104" s="16" t="n">
        <v>0.0102087962962963</v>
      </c>
      <c r="E104" s="15" t="n">
        <f aca="false">ROUND((D104-$D$5)*86400,2)</f>
        <v>92.3</v>
      </c>
      <c r="F104" s="17" t="n">
        <v>99</v>
      </c>
      <c r="G104" s="16" t="str">
        <f aca="false">IF(INDEX(選手一覧!$H$7:$H$2738,$F104)="","",INDEX(選手一覧!$H$7:$H$2738,$F104))</f>
        <v/>
      </c>
      <c r="H104" s="17" t="str">
        <f aca="false">IF(INDEX(選手一覧!$I$7:$I$2738,$F104)="","",INDEX(選手一覧!$I$7:$I$2738,$F104))</f>
        <v/>
      </c>
      <c r="I104" s="16" t="str">
        <f aca="false">IF(INDEX(選手一覧!$J$7:$J$2738,$F104)="","",INDEX(選手一覧!$J$7:$J$2738,$F104))</f>
        <v/>
      </c>
      <c r="J104" s="17" t="str">
        <f aca="false">IF(INDEX(選手一覧!$K$7:$K$2738,$F104)="","",INDEX(選手一覧!$K$7:$K$2738,$F104))</f>
        <v/>
      </c>
    </row>
    <row r="105" customFormat="false" ht="15" hidden="false" customHeight="false" outlineLevel="0" collapsed="false">
      <c r="A105" s="17" t="n">
        <v>101</v>
      </c>
      <c r="B105" s="12" t="s">
        <v>220</v>
      </c>
      <c r="C105" s="12" t="s">
        <v>71</v>
      </c>
      <c r="D105" s="16" t="n">
        <v>0.0102111111111111</v>
      </c>
      <c r="E105" s="15" t="n">
        <f aca="false">ROUND((D105-$D$5)*86400,2)</f>
        <v>92.5</v>
      </c>
      <c r="F105" s="17" t="n">
        <v>100</v>
      </c>
      <c r="G105" s="16" t="str">
        <f aca="false">IF(INDEX(選手一覧!$H$7:$H$2738,$F105)="","",INDEX(選手一覧!$H$7:$H$2738,$F105))</f>
        <v/>
      </c>
      <c r="H105" s="17" t="str">
        <f aca="false">IF(INDEX(選手一覧!$I$7:$I$2738,$F105)="","",INDEX(選手一覧!$I$7:$I$2738,$F105))</f>
        <v/>
      </c>
      <c r="I105" s="16" t="n">
        <f aca="false">IF(INDEX(選手一覧!$J$7:$J$2738,$F105)="","",INDEX(選手一覧!$J$7:$J$2738,$F105))</f>
        <v>0.00277835648148148</v>
      </c>
      <c r="J105" s="17" t="n">
        <f aca="false">IF(INDEX(選手一覧!$K$7:$K$2738,$F105)="","",INDEX(選手一覧!$K$7:$K$2738,$F105))</f>
        <v>194</v>
      </c>
    </row>
    <row r="106" customFormat="false" ht="15" hidden="false" customHeight="false" outlineLevel="0" collapsed="false">
      <c r="A106" s="17" t="n">
        <v>102</v>
      </c>
      <c r="B106" s="12" t="s">
        <v>221</v>
      </c>
      <c r="C106" s="12" t="s">
        <v>161</v>
      </c>
      <c r="D106" s="16" t="n">
        <v>0.0102140046296296</v>
      </c>
      <c r="E106" s="15" t="n">
        <f aca="false">ROUND((D106-$D$5)*86400,2)</f>
        <v>92.75</v>
      </c>
      <c r="F106" s="17" t="n">
        <v>101</v>
      </c>
      <c r="G106" s="16" t="n">
        <f aca="false">IF(INDEX(選手一覧!$H$7:$H$2738,$F106)="","",INDEX(選手一覧!$H$7:$H$2738,$F106))</f>
        <v>0.00633553240740741</v>
      </c>
      <c r="H106" s="17" t="n">
        <f aca="false">IF(INDEX(選手一覧!$I$7:$I$2738,$F106)="","",INDEX(選手一覧!$I$7:$I$2738,$F106))</f>
        <v>6</v>
      </c>
      <c r="I106" s="16" t="n">
        <f aca="false">IF(INDEX(選手一覧!$J$7:$J$2738,$F106)="","",INDEX(選手一覧!$J$7:$J$2738,$F106))</f>
        <v>0.00285925925925926</v>
      </c>
      <c r="J106" s="17" t="n">
        <f aca="false">IF(INDEX(選手一覧!$K$7:$K$2738,$F106)="","",INDEX(選手一覧!$K$7:$K$2738,$F106))</f>
        <v>630</v>
      </c>
    </row>
    <row r="107" customFormat="false" ht="15" hidden="false" customHeight="false" outlineLevel="0" collapsed="false">
      <c r="A107" s="17" t="n">
        <v>103</v>
      </c>
      <c r="B107" s="12" t="s">
        <v>223</v>
      </c>
      <c r="C107" s="12" t="s">
        <v>141</v>
      </c>
      <c r="D107" s="16" t="n">
        <v>0.0102142361111111</v>
      </c>
      <c r="E107" s="15" t="n">
        <f aca="false">ROUND((D107-$D$5)*86400,2)</f>
        <v>92.77</v>
      </c>
      <c r="F107" s="17" t="n">
        <v>102</v>
      </c>
      <c r="G107" s="16" t="str">
        <f aca="false">IF(INDEX(選手一覧!$H$7:$H$2738,$F107)="","",INDEX(選手一覧!$H$7:$H$2738,$F107))</f>
        <v/>
      </c>
      <c r="H107" s="17" t="str">
        <f aca="false">IF(INDEX(選手一覧!$I$7:$I$2738,$F107)="","",INDEX(選手一覧!$I$7:$I$2738,$F107))</f>
        <v/>
      </c>
      <c r="I107" s="16" t="n">
        <f aca="false">IF(INDEX(選手一覧!$J$7:$J$2738,$F107)="","",INDEX(選手一覧!$J$7:$J$2738,$F107))</f>
        <v>0.00272511574074074</v>
      </c>
      <c r="J107" s="17" t="n">
        <f aca="false">IF(INDEX(選手一覧!$K$7:$K$2738,$F107)="","",INDEX(選手一覧!$K$7:$K$2738,$F107))</f>
        <v>57</v>
      </c>
    </row>
    <row r="108" customFormat="false" ht="15" hidden="false" customHeight="false" outlineLevel="0" collapsed="false">
      <c r="A108" s="17" t="n">
        <v>104</v>
      </c>
      <c r="B108" s="12" t="s">
        <v>224</v>
      </c>
      <c r="C108" s="12" t="s">
        <v>61</v>
      </c>
      <c r="D108" s="16" t="n">
        <v>0.0102148148148148</v>
      </c>
      <c r="E108" s="15" t="n">
        <f aca="false">ROUND((D108-$D$5)*86400,2)</f>
        <v>92.82</v>
      </c>
      <c r="F108" s="17" t="n">
        <v>103</v>
      </c>
      <c r="G108" s="16" t="n">
        <f aca="false">IF(INDEX(選手一覧!$H$7:$H$2738,$F108)="","",INDEX(選手一覧!$H$7:$H$2738,$F108))</f>
        <v>0.00623865740740741</v>
      </c>
      <c r="H108" s="17" t="n">
        <f aca="false">IF(INDEX(選手一覧!$I$7:$I$2738,$F108)="","",INDEX(選手一覧!$I$7:$I$2738,$F108))</f>
        <v>1</v>
      </c>
      <c r="I108" s="16" t="n">
        <f aca="false">IF(INDEX(選手一覧!$J$7:$J$2738,$F108)="","",INDEX(選手一覧!$J$7:$J$2738,$F108))</f>
        <v>0.00286273148148148</v>
      </c>
      <c r="J108" s="17" t="n">
        <f aca="false">IF(INDEX(選手一覧!$K$7:$K$2738,$F108)="","",INDEX(選手一覧!$K$7:$K$2738,$F108))</f>
        <v>654</v>
      </c>
    </row>
    <row r="109" customFormat="false" ht="15" hidden="false" customHeight="false" outlineLevel="0" collapsed="false">
      <c r="A109" s="17" t="n">
        <v>105</v>
      </c>
      <c r="B109" s="12" t="s">
        <v>225</v>
      </c>
      <c r="C109" s="12" t="s">
        <v>61</v>
      </c>
      <c r="D109" s="16" t="n">
        <v>0.010215625</v>
      </c>
      <c r="E109" s="15" t="n">
        <f aca="false">ROUND((D109-$D$5)*86400,2)</f>
        <v>92.89</v>
      </c>
      <c r="F109" s="17" t="n">
        <v>104</v>
      </c>
      <c r="G109" s="16" t="str">
        <f aca="false">IF(INDEX(選手一覧!$H$7:$H$2738,$F109)="","",INDEX(選手一覧!$H$7:$H$2738,$F109))</f>
        <v/>
      </c>
      <c r="H109" s="17" t="str">
        <f aca="false">IF(INDEX(選手一覧!$I$7:$I$2738,$F109)="","",INDEX(選手一覧!$I$7:$I$2738,$F109))</f>
        <v/>
      </c>
      <c r="I109" s="16" t="n">
        <f aca="false">IF(INDEX(選手一覧!$J$7:$J$2738,$F109)="","",INDEX(選手一覧!$J$7:$J$2738,$F109))</f>
        <v>0.00285358796296296</v>
      </c>
      <c r="J109" s="17" t="n">
        <f aca="false">IF(INDEX(選手一覧!$K$7:$K$2738,$F109)="","",INDEX(選手一覧!$K$7:$K$2738,$F109))</f>
        <v>590</v>
      </c>
    </row>
    <row r="110" customFormat="false" ht="15" hidden="false" customHeight="false" outlineLevel="0" collapsed="false">
      <c r="A110" s="17" t="n">
        <v>106</v>
      </c>
      <c r="B110" s="12" t="s">
        <v>226</v>
      </c>
      <c r="C110" s="12" t="s">
        <v>199</v>
      </c>
      <c r="D110" s="16" t="n">
        <v>0.0102157407407407</v>
      </c>
      <c r="E110" s="15" t="n">
        <f aca="false">ROUND((D110-$D$5)*86400,2)</f>
        <v>92.9</v>
      </c>
      <c r="F110" s="17" t="n">
        <v>105</v>
      </c>
      <c r="G110" s="16" t="n">
        <f aca="false">IF(INDEX(選手一覧!$H$7:$H$2738,$F110)="","",INDEX(選手一覧!$H$7:$H$2738,$F110))</f>
        <v>0.00668009259259259</v>
      </c>
      <c r="H110" s="17" t="n">
        <f aca="false">IF(INDEX(選手一覧!$I$7:$I$2738,$F110)="","",INDEX(選手一覧!$I$7:$I$2738,$F110))</f>
        <v>98</v>
      </c>
      <c r="I110" s="16" t="str">
        <f aca="false">IF(INDEX(選手一覧!$J$7:$J$2738,$F110)="","",INDEX(選手一覧!$J$7:$J$2738,$F110))</f>
        <v/>
      </c>
      <c r="J110" s="17" t="str">
        <f aca="false">IF(INDEX(選手一覧!$K$7:$K$2738,$F110)="","",INDEX(選手一覧!$K$7:$K$2738,$F110))</f>
        <v/>
      </c>
    </row>
    <row r="111" customFormat="false" ht="15" hidden="false" customHeight="false" outlineLevel="0" collapsed="false">
      <c r="A111" s="17" t="n">
        <v>107</v>
      </c>
      <c r="B111" s="12" t="s">
        <v>227</v>
      </c>
      <c r="C111" s="12" t="s">
        <v>228</v>
      </c>
      <c r="D111" s="16" t="n">
        <v>0.0102170138888889</v>
      </c>
      <c r="E111" s="15" t="n">
        <f aca="false">ROUND((D111-$D$5)*86400,2)</f>
        <v>93.01</v>
      </c>
      <c r="F111" s="17" t="n">
        <v>106</v>
      </c>
      <c r="G111" s="16" t="str">
        <f aca="false">IF(INDEX(選手一覧!$H$7:$H$2738,$F111)="","",INDEX(選手一覧!$H$7:$H$2738,$F111))</f>
        <v/>
      </c>
      <c r="H111" s="17" t="str">
        <f aca="false">IF(INDEX(選手一覧!$I$7:$I$2738,$F111)="","",INDEX(選手一覧!$I$7:$I$2738,$F111))</f>
        <v/>
      </c>
      <c r="I111" s="16" t="n">
        <f aca="false">IF(INDEX(選手一覧!$J$7:$J$2738,$F111)="","",INDEX(選手一覧!$J$7:$J$2738,$F111))</f>
        <v>0.00274849537037037</v>
      </c>
      <c r="J111" s="17" t="n">
        <f aca="false">IF(INDEX(選手一覧!$K$7:$K$2738,$F111)="","",INDEX(選手一覧!$K$7:$K$2738,$F111))</f>
        <v>97</v>
      </c>
    </row>
    <row r="112" customFormat="false" ht="15" hidden="false" customHeight="false" outlineLevel="0" collapsed="false">
      <c r="A112" s="17" t="n">
        <v>108</v>
      </c>
      <c r="B112" s="12" t="s">
        <v>230</v>
      </c>
      <c r="C112" s="12" t="s">
        <v>167</v>
      </c>
      <c r="D112" s="16" t="n">
        <v>0.0102188657407407</v>
      </c>
      <c r="E112" s="15" t="n">
        <f aca="false">ROUND((D112-$D$5)*86400,2)</f>
        <v>93.17</v>
      </c>
      <c r="F112" s="17" t="n">
        <v>107</v>
      </c>
      <c r="G112" s="16" t="str">
        <f aca="false">IF(INDEX(選手一覧!$H$7:$H$2738,$F112)="","",INDEX(選手一覧!$H$7:$H$2738,$F112))</f>
        <v/>
      </c>
      <c r="H112" s="17" t="str">
        <f aca="false">IF(INDEX(選手一覧!$I$7:$I$2738,$F112)="","",INDEX(選手一覧!$I$7:$I$2738,$F112))</f>
        <v/>
      </c>
      <c r="I112" s="16" t="n">
        <f aca="false">IF(INDEX(選手一覧!$J$7:$J$2738,$F112)="","",INDEX(選手一覧!$J$7:$J$2738,$F112))</f>
        <v>0.00279363425925926</v>
      </c>
      <c r="J112" s="17" t="n">
        <f aca="false">IF(INDEX(選手一覧!$K$7:$K$2738,$F112)="","",INDEX(選手一覧!$K$7:$K$2738,$F112))</f>
        <v>252</v>
      </c>
    </row>
    <row r="113" customFormat="false" ht="15" hidden="false" customHeight="false" outlineLevel="0" collapsed="false">
      <c r="A113" s="17" t="n">
        <v>109</v>
      </c>
      <c r="B113" s="12" t="s">
        <v>231</v>
      </c>
      <c r="C113" s="12" t="s">
        <v>32</v>
      </c>
      <c r="D113" s="16" t="n">
        <v>0.0102216435185185</v>
      </c>
      <c r="E113" s="15" t="n">
        <f aca="false">ROUND((D113-$D$5)*86400,2)</f>
        <v>93.41</v>
      </c>
      <c r="F113" s="17" t="n">
        <v>108</v>
      </c>
      <c r="G113" s="16" t="str">
        <f aca="false">IF(INDEX(選手一覧!$H$7:$H$2738,$F113)="","",INDEX(選手一覧!$H$7:$H$2738,$F113))</f>
        <v/>
      </c>
      <c r="H113" s="17" t="str">
        <f aca="false">IF(INDEX(選手一覧!$I$7:$I$2738,$F113)="","",INDEX(選手一覧!$I$7:$I$2738,$F113))</f>
        <v/>
      </c>
      <c r="I113" s="16" t="n">
        <f aca="false">IF(INDEX(選手一覧!$J$7:$J$2738,$F113)="","",INDEX(選手一覧!$J$7:$J$2738,$F113))</f>
        <v>0.00285625</v>
      </c>
      <c r="J113" s="17" t="n">
        <f aca="false">IF(INDEX(選手一覧!$K$7:$K$2738,$F113)="","",INDEX(選手一覧!$K$7:$K$2738,$F113))</f>
        <v>610</v>
      </c>
    </row>
    <row r="114" customFormat="false" ht="15" hidden="false" customHeight="false" outlineLevel="0" collapsed="false">
      <c r="A114" s="17" t="n">
        <v>110</v>
      </c>
      <c r="B114" s="12" t="s">
        <v>232</v>
      </c>
      <c r="C114" s="12" t="s">
        <v>155</v>
      </c>
      <c r="D114" s="16" t="n">
        <v>0.0102280092592593</v>
      </c>
      <c r="E114" s="15" t="n">
        <f aca="false">ROUND((D114-$D$5)*86400,2)</f>
        <v>93.96</v>
      </c>
      <c r="F114" s="17" t="n">
        <v>109</v>
      </c>
      <c r="G114" s="16" t="str">
        <f aca="false">IF(INDEX(選手一覧!$H$7:$H$2738,$F114)="","",INDEX(選手一覧!$H$7:$H$2738,$F114))</f>
        <v/>
      </c>
      <c r="H114" s="17" t="str">
        <f aca="false">IF(INDEX(選手一覧!$I$7:$I$2738,$F114)="","",INDEX(選手一覧!$I$7:$I$2738,$F114))</f>
        <v/>
      </c>
      <c r="I114" s="16" t="n">
        <f aca="false">IF(INDEX(選手一覧!$J$7:$J$2738,$F114)="","",INDEX(選手一覧!$J$7:$J$2738,$F114))</f>
        <v>0.00285231481481482</v>
      </c>
      <c r="J114" s="17" t="n">
        <f aca="false">IF(INDEX(選手一覧!$K$7:$K$2738,$F114)="","",INDEX(選手一覧!$K$7:$K$2738,$F114))</f>
        <v>581</v>
      </c>
    </row>
    <row r="115" customFormat="false" ht="15" hidden="false" customHeight="false" outlineLevel="0" collapsed="false">
      <c r="A115" s="17" t="n">
        <v>111</v>
      </c>
      <c r="B115" s="12" t="s">
        <v>233</v>
      </c>
      <c r="C115" s="12" t="s">
        <v>123</v>
      </c>
      <c r="D115" s="16" t="n">
        <v>0.0102291666666667</v>
      </c>
      <c r="E115" s="15" t="n">
        <f aca="false">ROUND((D115-$D$5)*86400,2)</f>
        <v>94.06</v>
      </c>
      <c r="F115" s="17" t="n">
        <v>110</v>
      </c>
      <c r="G115" s="16" t="str">
        <f aca="false">IF(INDEX(選手一覧!$H$7:$H$2738,$F115)="","",INDEX(選手一覧!$H$7:$H$2738,$F115))</f>
        <v/>
      </c>
      <c r="H115" s="17" t="str">
        <f aca="false">IF(INDEX(選手一覧!$I$7:$I$2738,$F115)="","",INDEX(選手一覧!$I$7:$I$2738,$F115))</f>
        <v/>
      </c>
      <c r="I115" s="16" t="n">
        <f aca="false">IF(INDEX(選手一覧!$J$7:$J$2738,$F115)="","",INDEX(選手一覧!$J$7:$J$2738,$F115))</f>
        <v>0.00281643518518519</v>
      </c>
      <c r="J115" s="17" t="n">
        <f aca="false">IF(INDEX(選手一覧!$K$7:$K$2738,$F115)="","",INDEX(選手一覧!$K$7:$K$2738,$F115))</f>
        <v>346</v>
      </c>
    </row>
    <row r="116" customFormat="false" ht="15" hidden="false" customHeight="false" outlineLevel="0" collapsed="false">
      <c r="A116" s="17" t="n">
        <v>112</v>
      </c>
      <c r="B116" s="12" t="s">
        <v>235</v>
      </c>
      <c r="C116" s="12" t="s">
        <v>236</v>
      </c>
      <c r="D116" s="16" t="n">
        <v>0.0102315972222222</v>
      </c>
      <c r="E116" s="15" t="n">
        <f aca="false">ROUND((D116-$D$5)*86400,2)</f>
        <v>94.27</v>
      </c>
      <c r="F116" s="17" t="n">
        <v>111</v>
      </c>
      <c r="G116" s="16" t="str">
        <f aca="false">IF(INDEX(選手一覧!$H$7:$H$2738,$F116)="","",INDEX(選手一覧!$H$7:$H$2738,$F116))</f>
        <v/>
      </c>
      <c r="H116" s="17" t="str">
        <f aca="false">IF(INDEX(選手一覧!$I$7:$I$2738,$F116)="","",INDEX(選手一覧!$I$7:$I$2738,$F116))</f>
        <v/>
      </c>
      <c r="I116" s="16" t="n">
        <f aca="false">IF(INDEX(選手一覧!$J$7:$J$2738,$F116)="","",INDEX(選手一覧!$J$7:$J$2738,$F116))</f>
        <v>0.00273877314814815</v>
      </c>
      <c r="J116" s="17" t="n">
        <f aca="false">IF(INDEX(選手一覧!$K$7:$K$2738,$F116)="","",INDEX(選手一覧!$K$7:$K$2738,$F116))</f>
        <v>83</v>
      </c>
    </row>
    <row r="117" customFormat="false" ht="15" hidden="false" customHeight="false" outlineLevel="0" collapsed="false">
      <c r="A117" s="17" t="n">
        <v>113</v>
      </c>
      <c r="B117" s="12" t="s">
        <v>237</v>
      </c>
      <c r="C117" s="12" t="s">
        <v>37</v>
      </c>
      <c r="D117" s="16" t="n">
        <v>0.010234837962963</v>
      </c>
      <c r="E117" s="15" t="n">
        <f aca="false">ROUND((D117-$D$5)*86400,2)</f>
        <v>94.55</v>
      </c>
      <c r="F117" s="17" t="n">
        <v>112</v>
      </c>
      <c r="G117" s="16" t="str">
        <f aca="false">IF(INDEX(選手一覧!$H$7:$H$2738,$F117)="","",INDEX(選手一覧!$H$7:$H$2738,$F117))</f>
        <v/>
      </c>
      <c r="H117" s="17" t="str">
        <f aca="false">IF(INDEX(選手一覧!$I$7:$I$2738,$F117)="","",INDEX(選手一覧!$I$7:$I$2738,$F117))</f>
        <v/>
      </c>
      <c r="I117" s="16" t="str">
        <f aca="false">IF(INDEX(選手一覧!$J$7:$J$2738,$F117)="","",INDEX(選手一覧!$J$7:$J$2738,$F117))</f>
        <v/>
      </c>
      <c r="J117" s="17" t="str">
        <f aca="false">IF(INDEX(選手一覧!$K$7:$K$2738,$F117)="","",INDEX(選手一覧!$K$7:$K$2738,$F117))</f>
        <v/>
      </c>
    </row>
    <row r="118" customFormat="false" ht="15" hidden="false" customHeight="false" outlineLevel="0" collapsed="false">
      <c r="A118" s="17" t="n">
        <v>114</v>
      </c>
      <c r="B118" s="12" t="s">
        <v>238</v>
      </c>
      <c r="C118" s="12" t="s">
        <v>155</v>
      </c>
      <c r="D118" s="16" t="n">
        <v>0.0102357638888889</v>
      </c>
      <c r="E118" s="15" t="n">
        <f aca="false">ROUND((D118-$D$5)*86400,2)</f>
        <v>94.63</v>
      </c>
      <c r="F118" s="17" t="n">
        <v>113</v>
      </c>
      <c r="G118" s="16" t="n">
        <f aca="false">IF(INDEX(選手一覧!$H$7:$H$2738,$F118)="","",INDEX(選手一覧!$H$7:$H$2738,$F118))</f>
        <v>0.00656354166666667</v>
      </c>
      <c r="H118" s="17" t="n">
        <f aca="false">IF(INDEX(選手一覧!$I$7:$I$2738,$F118)="","",INDEX(選手一覧!$I$7:$I$2738,$F118))</f>
        <v>50</v>
      </c>
      <c r="I118" s="16" t="n">
        <f aca="false">IF(INDEX(選手一覧!$J$7:$J$2738,$F118)="","",INDEX(選手一覧!$J$7:$J$2738,$F118))</f>
        <v>0.00269826388888889</v>
      </c>
      <c r="J118" s="17" t="n">
        <f aca="false">IF(INDEX(選手一覧!$K$7:$K$2738,$F118)="","",INDEX(選手一覧!$K$7:$K$2738,$F118))</f>
        <v>25</v>
      </c>
    </row>
    <row r="119" customFormat="false" ht="15" hidden="false" customHeight="false" outlineLevel="0" collapsed="false">
      <c r="A119" s="17" t="n">
        <v>115</v>
      </c>
      <c r="B119" s="12" t="s">
        <v>239</v>
      </c>
      <c r="C119" s="12" t="s">
        <v>240</v>
      </c>
      <c r="D119" s="16" t="n">
        <v>0.0102358796296296</v>
      </c>
      <c r="E119" s="15" t="n">
        <f aca="false">ROUND((D119-$D$5)*86400,2)</f>
        <v>94.64</v>
      </c>
      <c r="F119" s="17" t="n">
        <v>114</v>
      </c>
      <c r="G119" s="16" t="str">
        <f aca="false">IF(INDEX(選手一覧!$H$7:$H$2738,$F119)="","",INDEX(選手一覧!$H$7:$H$2738,$F119))</f>
        <v/>
      </c>
      <c r="H119" s="17" t="str">
        <f aca="false">IF(INDEX(選手一覧!$I$7:$I$2738,$F119)="","",INDEX(選手一覧!$I$7:$I$2738,$F119))</f>
        <v/>
      </c>
      <c r="I119" s="16" t="n">
        <f aca="false">IF(INDEX(選手一覧!$J$7:$J$2738,$F119)="","",INDEX(選手一覧!$J$7:$J$2738,$F119))</f>
        <v>0.0029318287037037</v>
      </c>
      <c r="J119" s="17" t="n">
        <f aca="false">IF(INDEX(選手一覧!$K$7:$K$2738,$F119)="","",INDEX(選手一覧!$K$7:$K$2738,$F119))</f>
        <v>1177</v>
      </c>
    </row>
    <row r="120" customFormat="false" ht="15" hidden="false" customHeight="false" outlineLevel="0" collapsed="false">
      <c r="A120" s="17" t="n">
        <v>116</v>
      </c>
      <c r="B120" s="12" t="s">
        <v>242</v>
      </c>
      <c r="C120" s="12" t="s">
        <v>243</v>
      </c>
      <c r="D120" s="16" t="n">
        <v>0.0102368055555556</v>
      </c>
      <c r="E120" s="15" t="n">
        <f aca="false">ROUND((D120-$D$5)*86400,2)</f>
        <v>94.72</v>
      </c>
      <c r="F120" s="17" t="n">
        <v>115</v>
      </c>
      <c r="G120" s="16" t="str">
        <f aca="false">IF(INDEX(選手一覧!$H$7:$H$2738,$F120)="","",INDEX(選手一覧!$H$7:$H$2738,$F120))</f>
        <v/>
      </c>
      <c r="H120" s="17" t="str">
        <f aca="false">IF(INDEX(選手一覧!$I$7:$I$2738,$F120)="","",INDEX(選手一覧!$I$7:$I$2738,$F120))</f>
        <v/>
      </c>
      <c r="I120" s="16" t="str">
        <f aca="false">IF(INDEX(選手一覧!$J$7:$J$2738,$F120)="","",INDEX(選手一覧!$J$7:$J$2738,$F120))</f>
        <v/>
      </c>
      <c r="J120" s="17" t="str">
        <f aca="false">IF(INDEX(選手一覧!$K$7:$K$2738,$F120)="","",INDEX(選手一覧!$K$7:$K$2738,$F120))</f>
        <v/>
      </c>
    </row>
    <row r="121" customFormat="false" ht="15" hidden="false" customHeight="false" outlineLevel="0" collapsed="false">
      <c r="A121" s="17" t="n">
        <v>117</v>
      </c>
      <c r="B121" s="12" t="s">
        <v>244</v>
      </c>
      <c r="C121" s="12" t="s">
        <v>245</v>
      </c>
      <c r="D121" s="16" t="n">
        <v>0.0102376157407407</v>
      </c>
      <c r="E121" s="15" t="n">
        <f aca="false">ROUND((D121-$D$5)*86400,2)</f>
        <v>94.79</v>
      </c>
      <c r="F121" s="17" t="n">
        <v>116</v>
      </c>
      <c r="G121" s="16" t="str">
        <f aca="false">IF(INDEX(選手一覧!$H$7:$H$2738,$F121)="","",INDEX(選手一覧!$H$7:$H$2738,$F121))</f>
        <v/>
      </c>
      <c r="H121" s="17" t="str">
        <f aca="false">IF(INDEX(選手一覧!$I$7:$I$2738,$F121)="","",INDEX(選手一覧!$I$7:$I$2738,$F121))</f>
        <v/>
      </c>
      <c r="I121" s="16" t="n">
        <f aca="false">IF(INDEX(選手一覧!$J$7:$J$2738,$F121)="","",INDEX(選手一覧!$J$7:$J$2738,$F121))</f>
        <v>0.00285590277777778</v>
      </c>
      <c r="J121" s="17" t="n">
        <f aca="false">IF(INDEX(選手一覧!$K$7:$K$2738,$F121)="","",INDEX(選手一覧!$K$7:$K$2738,$F121))</f>
        <v>605</v>
      </c>
    </row>
    <row r="122" customFormat="false" ht="15" hidden="false" customHeight="false" outlineLevel="0" collapsed="false">
      <c r="A122" s="17" t="n">
        <v>118</v>
      </c>
      <c r="B122" s="12" t="s">
        <v>247</v>
      </c>
      <c r="C122" s="12" t="s">
        <v>248</v>
      </c>
      <c r="D122" s="16" t="n">
        <v>0.0102384259259259</v>
      </c>
      <c r="E122" s="15" t="n">
        <f aca="false">ROUND((D122-$D$5)*86400,2)</f>
        <v>94.86</v>
      </c>
      <c r="F122" s="17" t="n">
        <v>117</v>
      </c>
      <c r="G122" s="16" t="str">
        <f aca="false">IF(INDEX(選手一覧!$H$7:$H$2738,$F122)="","",INDEX(選手一覧!$H$7:$H$2738,$F122))</f>
        <v/>
      </c>
      <c r="H122" s="17" t="str">
        <f aca="false">IF(INDEX(選手一覧!$I$7:$I$2738,$F122)="","",INDEX(選手一覧!$I$7:$I$2738,$F122))</f>
        <v/>
      </c>
      <c r="I122" s="16" t="n">
        <f aca="false">IF(INDEX(選手一覧!$J$7:$J$2738,$F122)="","",INDEX(選手一覧!$J$7:$J$2738,$F122))</f>
        <v>0.00276053240740741</v>
      </c>
      <c r="J122" s="17" t="n">
        <f aca="false">IF(INDEX(選手一覧!$K$7:$K$2738,$F122)="","",INDEX(選手一覧!$K$7:$K$2738,$F122))</f>
        <v>137</v>
      </c>
    </row>
    <row r="123" customFormat="false" ht="15" hidden="false" customHeight="false" outlineLevel="0" collapsed="false">
      <c r="A123" s="17" t="n">
        <v>119</v>
      </c>
      <c r="B123" s="12" t="s">
        <v>249</v>
      </c>
      <c r="C123" s="12" t="s">
        <v>250</v>
      </c>
      <c r="D123" s="16" t="n">
        <v>0.0102386574074074</v>
      </c>
      <c r="E123" s="15" t="n">
        <f aca="false">ROUND((D123-$D$5)*86400,2)</f>
        <v>94.88</v>
      </c>
      <c r="F123" s="17" t="n">
        <v>118</v>
      </c>
      <c r="G123" s="16" t="str">
        <f aca="false">IF(INDEX(選手一覧!$H$7:$H$2738,$F123)="","",INDEX(選手一覧!$H$7:$H$2738,$F123))</f>
        <v/>
      </c>
      <c r="H123" s="17" t="str">
        <f aca="false">IF(INDEX(選手一覧!$I$7:$I$2738,$F123)="","",INDEX(選手一覧!$I$7:$I$2738,$F123))</f>
        <v/>
      </c>
      <c r="I123" s="16" t="n">
        <f aca="false">IF(INDEX(選手一覧!$J$7:$J$2738,$F123)="","",INDEX(選手一覧!$J$7:$J$2738,$F123))</f>
        <v>0.00282083333333333</v>
      </c>
      <c r="J123" s="17" t="n">
        <f aca="false">IF(INDEX(選手一覧!$K$7:$K$2738,$F123)="","",INDEX(選手一覧!$K$7:$K$2738,$F123))</f>
        <v>368</v>
      </c>
    </row>
    <row r="124" customFormat="false" ht="15" hidden="false" customHeight="false" outlineLevel="0" collapsed="false">
      <c r="A124" s="17" t="n">
        <v>120</v>
      </c>
      <c r="B124" s="12" t="s">
        <v>252</v>
      </c>
      <c r="C124" s="12" t="s">
        <v>253</v>
      </c>
      <c r="D124" s="16" t="n">
        <v>0.0102403935185185</v>
      </c>
      <c r="E124" s="15" t="n">
        <f aca="false">ROUND((D124-$D$5)*86400,2)</f>
        <v>95.03</v>
      </c>
      <c r="F124" s="17" t="n">
        <v>119</v>
      </c>
      <c r="G124" s="16" t="str">
        <f aca="false">IF(INDEX(選手一覧!$H$7:$H$2738,$F124)="","",INDEX(選手一覧!$H$7:$H$2738,$F124))</f>
        <v/>
      </c>
      <c r="H124" s="17" t="str">
        <f aca="false">IF(INDEX(選手一覧!$I$7:$I$2738,$F124)="","",INDEX(選手一覧!$I$7:$I$2738,$F124))</f>
        <v/>
      </c>
      <c r="I124" s="16" t="n">
        <f aca="false">IF(INDEX(選手一覧!$J$7:$J$2738,$F124)="","",INDEX(選手一覧!$J$7:$J$2738,$F124))</f>
        <v>0.00279675925925926</v>
      </c>
      <c r="J124" s="17" t="n">
        <f aca="false">IF(INDEX(選手一覧!$K$7:$K$2738,$F124)="","",INDEX(選手一覧!$K$7:$K$2738,$F124))</f>
        <v>268</v>
      </c>
    </row>
    <row r="125" customFormat="false" ht="15" hidden="false" customHeight="false" outlineLevel="0" collapsed="false">
      <c r="A125" s="17" t="n">
        <v>121</v>
      </c>
      <c r="B125" s="12" t="s">
        <v>255</v>
      </c>
      <c r="C125" s="12" t="s">
        <v>256</v>
      </c>
      <c r="D125" s="16" t="n">
        <v>0.0102405092592593</v>
      </c>
      <c r="E125" s="15" t="n">
        <f aca="false">ROUND((D125-$D$5)*86400,2)</f>
        <v>95.04</v>
      </c>
      <c r="F125" s="17" t="n">
        <v>120</v>
      </c>
      <c r="G125" s="16" t="str">
        <f aca="false">IF(INDEX(選手一覧!$H$7:$H$2738,$F125)="","",INDEX(選手一覧!$H$7:$H$2738,$F125))</f>
        <v/>
      </c>
      <c r="H125" s="17" t="str">
        <f aca="false">IF(INDEX(選手一覧!$I$7:$I$2738,$F125)="","",INDEX(選手一覧!$I$7:$I$2738,$F125))</f>
        <v/>
      </c>
      <c r="I125" s="16" t="n">
        <f aca="false">IF(INDEX(選手一覧!$J$7:$J$2738,$F125)="","",INDEX(選手一覧!$J$7:$J$2738,$F125))</f>
        <v>0.00284490740740741</v>
      </c>
      <c r="J125" s="17" t="n">
        <f aca="false">IF(INDEX(選手一覧!$K$7:$K$2738,$F125)="","",INDEX(選手一覧!$K$7:$K$2738,$F125))</f>
        <v>535</v>
      </c>
    </row>
    <row r="126" customFormat="false" ht="15" hidden="false" customHeight="false" outlineLevel="0" collapsed="false">
      <c r="A126" s="17" t="n">
        <v>122</v>
      </c>
      <c r="B126" s="12" t="s">
        <v>257</v>
      </c>
      <c r="C126" s="12" t="s">
        <v>37</v>
      </c>
      <c r="D126" s="16" t="n">
        <v>0.0102427083333333</v>
      </c>
      <c r="E126" s="15" t="n">
        <f aca="false">ROUND((D126-$D$5)*86400,2)</f>
        <v>95.23</v>
      </c>
      <c r="F126" s="17" t="n">
        <v>121</v>
      </c>
      <c r="G126" s="16" t="str">
        <f aca="false">IF(INDEX(選手一覧!$H$7:$H$2738,$F126)="","",INDEX(選手一覧!$H$7:$H$2738,$F126))</f>
        <v/>
      </c>
      <c r="H126" s="17" t="str">
        <f aca="false">IF(INDEX(選手一覧!$I$7:$I$2738,$F126)="","",INDEX(選手一覧!$I$7:$I$2738,$F126))</f>
        <v/>
      </c>
      <c r="I126" s="16" t="n">
        <f aca="false">IF(INDEX(選手一覧!$J$7:$J$2738,$F126)="","",INDEX(選手一覧!$J$7:$J$2738,$F126))</f>
        <v>0.00289537037037037</v>
      </c>
      <c r="J126" s="17" t="n">
        <f aca="false">IF(INDEX(選手一覧!$K$7:$K$2738,$F126)="","",INDEX(選手一覧!$K$7:$K$2738,$F126))</f>
        <v>913</v>
      </c>
    </row>
    <row r="127" customFormat="false" ht="15" hidden="false" customHeight="false" outlineLevel="0" collapsed="false">
      <c r="A127" s="17" t="n">
        <v>123</v>
      </c>
      <c r="B127" s="12" t="s">
        <v>258</v>
      </c>
      <c r="C127" s="12" t="s">
        <v>259</v>
      </c>
      <c r="D127" s="16" t="n">
        <v>0.0102435185185185</v>
      </c>
      <c r="E127" s="15" t="n">
        <f aca="false">ROUND((D127-$D$5)*86400,2)</f>
        <v>95.3</v>
      </c>
      <c r="F127" s="17" t="n">
        <v>122</v>
      </c>
      <c r="G127" s="16" t="str">
        <f aca="false">IF(INDEX(選手一覧!$H$7:$H$2738,$F127)="","",INDEX(選手一覧!$H$7:$H$2738,$F127))</f>
        <v/>
      </c>
      <c r="H127" s="17" t="str">
        <f aca="false">IF(INDEX(選手一覧!$I$7:$I$2738,$F127)="","",INDEX(選手一覧!$I$7:$I$2738,$F127))</f>
        <v/>
      </c>
      <c r="I127" s="16" t="n">
        <f aca="false">IF(INDEX(選手一覧!$J$7:$J$2738,$F127)="","",INDEX(選手一覧!$J$7:$J$2738,$F127))</f>
        <v>0.00274872685185185</v>
      </c>
      <c r="J127" s="17" t="n">
        <f aca="false">IF(INDEX(選手一覧!$K$7:$K$2738,$F127)="","",INDEX(選手一覧!$K$7:$K$2738,$F127))</f>
        <v>99</v>
      </c>
    </row>
    <row r="128" customFormat="false" ht="15" hidden="false" customHeight="false" outlineLevel="0" collapsed="false">
      <c r="A128" s="17" t="n">
        <v>124</v>
      </c>
      <c r="B128" s="12" t="s">
        <v>261</v>
      </c>
      <c r="C128" s="12" t="s">
        <v>262</v>
      </c>
      <c r="D128" s="16" t="n">
        <v>0.0102439814814815</v>
      </c>
      <c r="E128" s="15" t="n">
        <f aca="false">ROUND((D128-$D$5)*86400,2)</f>
        <v>95.34</v>
      </c>
      <c r="F128" s="17" t="n">
        <v>123</v>
      </c>
      <c r="G128" s="16" t="str">
        <f aca="false">IF(INDEX(選手一覧!$H$7:$H$2738,$F128)="","",INDEX(選手一覧!$H$7:$H$2738,$F128))</f>
        <v/>
      </c>
      <c r="H128" s="17" t="str">
        <f aca="false">IF(INDEX(選手一覧!$I$7:$I$2738,$F128)="","",INDEX(選手一覧!$I$7:$I$2738,$F128))</f>
        <v/>
      </c>
      <c r="I128" s="16" t="n">
        <f aca="false">IF(INDEX(選手一覧!$J$7:$J$2738,$F128)="","",INDEX(選手一覧!$J$7:$J$2738,$F128))</f>
        <v>0.00282534722222222</v>
      </c>
      <c r="J128" s="17" t="n">
        <f aca="false">IF(INDEX(選手一覧!$K$7:$K$2738,$F128)="","",INDEX(選手一覧!$K$7:$K$2738,$F128))</f>
        <v>395</v>
      </c>
    </row>
    <row r="129" customFormat="false" ht="15" hidden="false" customHeight="false" outlineLevel="0" collapsed="false">
      <c r="A129" s="17" t="n">
        <v>125</v>
      </c>
      <c r="B129" s="12" t="s">
        <v>263</v>
      </c>
      <c r="C129" s="12" t="s">
        <v>51</v>
      </c>
      <c r="D129" s="16" t="n">
        <v>0.0102445601851852</v>
      </c>
      <c r="E129" s="15" t="n">
        <f aca="false">ROUND((D129-$D$5)*86400,2)</f>
        <v>95.39</v>
      </c>
      <c r="F129" s="17" t="n">
        <v>124</v>
      </c>
      <c r="G129" s="16" t="str">
        <f aca="false">IF(INDEX(選手一覧!$H$7:$H$2738,$F129)="","",INDEX(選手一覧!$H$7:$H$2738,$F129))</f>
        <v/>
      </c>
      <c r="H129" s="17" t="str">
        <f aca="false">IF(INDEX(選手一覧!$I$7:$I$2738,$F129)="","",INDEX(選手一覧!$I$7:$I$2738,$F129))</f>
        <v/>
      </c>
      <c r="I129" s="16" t="n">
        <f aca="false">IF(INDEX(選手一覧!$J$7:$J$2738,$F129)="","",INDEX(選手一覧!$J$7:$J$2738,$F129))</f>
        <v>0.00285393518518519</v>
      </c>
      <c r="J129" s="17" t="n">
        <f aca="false">IF(INDEX(選手一覧!$K$7:$K$2738,$F129)="","",INDEX(選手一覧!$K$7:$K$2738,$F129))</f>
        <v>593</v>
      </c>
    </row>
    <row r="130" customFormat="false" ht="15" hidden="false" customHeight="false" outlineLevel="0" collapsed="false">
      <c r="A130" s="17" t="n">
        <v>126</v>
      </c>
      <c r="B130" s="12" t="s">
        <v>265</v>
      </c>
      <c r="C130" s="12" t="s">
        <v>266</v>
      </c>
      <c r="D130" s="16" t="n">
        <v>0.0102458333333333</v>
      </c>
      <c r="E130" s="15" t="n">
        <f aca="false">ROUND((D130-$D$5)*86400,2)</f>
        <v>95.5</v>
      </c>
      <c r="F130" s="17" t="n">
        <v>125</v>
      </c>
      <c r="G130" s="16" t="n">
        <f aca="false">IF(INDEX(選手一覧!$H$7:$H$2738,$F130)="","",INDEX(選手一覧!$H$7:$H$2738,$F130))</f>
        <v>0.00804594907407407</v>
      </c>
      <c r="H130" s="17" t="n">
        <f aca="false">IF(INDEX(選手一覧!$I$7:$I$2738,$F130)="","",INDEX(選手一覧!$I$7:$I$2738,$F130))</f>
        <v>1199</v>
      </c>
      <c r="I130" s="16" t="n">
        <f aca="false">IF(INDEX(選手一覧!$J$7:$J$2738,$F130)="","",INDEX(選手一覧!$J$7:$J$2738,$F130))</f>
        <v>0.00271724537037037</v>
      </c>
      <c r="J130" s="17" t="n">
        <f aca="false">IF(INDEX(選手一覧!$K$7:$K$2738,$F130)="","",INDEX(選手一覧!$K$7:$K$2738,$F130))</f>
        <v>44</v>
      </c>
    </row>
    <row r="131" customFormat="false" ht="15" hidden="false" customHeight="false" outlineLevel="0" collapsed="false">
      <c r="A131" s="17" t="n">
        <v>127</v>
      </c>
      <c r="B131" s="12" t="s">
        <v>268</v>
      </c>
      <c r="C131" s="12" t="s">
        <v>269</v>
      </c>
      <c r="D131" s="16" t="n">
        <v>0.0102467592592593</v>
      </c>
      <c r="E131" s="15" t="n">
        <f aca="false">ROUND((D131-$D$5)*86400,2)</f>
        <v>95.58</v>
      </c>
      <c r="F131" s="17" t="n">
        <v>126</v>
      </c>
      <c r="G131" s="16" t="str">
        <f aca="false">IF(INDEX(選手一覧!$H$7:$H$2738,$F131)="","",INDEX(選手一覧!$H$7:$H$2738,$F131))</f>
        <v/>
      </c>
      <c r="H131" s="17" t="str">
        <f aca="false">IF(INDEX(選手一覧!$I$7:$I$2738,$F131)="","",INDEX(選手一覧!$I$7:$I$2738,$F131))</f>
        <v/>
      </c>
      <c r="I131" s="16" t="n">
        <f aca="false">IF(INDEX(選手一覧!$J$7:$J$2738,$F131)="","",INDEX(選手一覧!$J$7:$J$2738,$F131))</f>
        <v>0.00287627314814815</v>
      </c>
      <c r="J131" s="17" t="n">
        <f aca="false">IF(INDEX(選手一覧!$K$7:$K$2738,$F131)="","",INDEX(選手一覧!$K$7:$K$2738,$F131))</f>
        <v>741</v>
      </c>
    </row>
    <row r="132" customFormat="false" ht="15" hidden="false" customHeight="false" outlineLevel="0" collapsed="false">
      <c r="A132" s="17" t="n">
        <v>128</v>
      </c>
      <c r="B132" s="12" t="s">
        <v>270</v>
      </c>
      <c r="C132" s="12" t="s">
        <v>167</v>
      </c>
      <c r="D132" s="16" t="n">
        <v>0.0102480324074074</v>
      </c>
      <c r="E132" s="15" t="n">
        <f aca="false">ROUND((D132-$D$5)*86400,2)</f>
        <v>95.69</v>
      </c>
      <c r="F132" s="17" t="n">
        <v>127</v>
      </c>
      <c r="G132" s="16" t="str">
        <f aca="false">IF(INDEX(選手一覧!$H$7:$H$2738,$F132)="","",INDEX(選手一覧!$H$7:$H$2738,$F132))</f>
        <v/>
      </c>
      <c r="H132" s="17" t="str">
        <f aca="false">IF(INDEX(選手一覧!$I$7:$I$2738,$F132)="","",INDEX(選手一覧!$I$7:$I$2738,$F132))</f>
        <v/>
      </c>
      <c r="I132" s="16" t="n">
        <f aca="false">IF(INDEX(選手一覧!$J$7:$J$2738,$F132)="","",INDEX(選手一覧!$J$7:$J$2738,$F132))</f>
        <v>0.00277349537037037</v>
      </c>
      <c r="J132" s="17" t="n">
        <f aca="false">IF(INDEX(選手一覧!$K$7:$K$2738,$F132)="","",INDEX(選手一覧!$K$7:$K$2738,$F132))</f>
        <v>170</v>
      </c>
    </row>
    <row r="133" customFormat="false" ht="15" hidden="false" customHeight="false" outlineLevel="0" collapsed="false">
      <c r="A133" s="17" t="n">
        <v>129</v>
      </c>
      <c r="B133" s="12" t="s">
        <v>272</v>
      </c>
      <c r="C133" s="12" t="s">
        <v>273</v>
      </c>
      <c r="D133" s="16" t="n">
        <v>0.0102574074074074</v>
      </c>
      <c r="E133" s="15" t="n">
        <f aca="false">ROUND((D133-$D$5)*86400,2)</f>
        <v>96.5</v>
      </c>
      <c r="F133" s="17" t="n">
        <v>128</v>
      </c>
      <c r="G133" s="16" t="str">
        <f aca="false">IF(INDEX(選手一覧!$H$7:$H$2738,$F133)="","",INDEX(選手一覧!$H$7:$H$2738,$F133))</f>
        <v/>
      </c>
      <c r="H133" s="17" t="str">
        <f aca="false">IF(INDEX(選手一覧!$I$7:$I$2738,$F133)="","",INDEX(選手一覧!$I$7:$I$2738,$F133))</f>
        <v/>
      </c>
      <c r="I133" s="16" t="n">
        <f aca="false">IF(INDEX(選手一覧!$J$7:$J$2738,$F133)="","",INDEX(選手一覧!$J$7:$J$2738,$F133))</f>
        <v>0.00276655092592593</v>
      </c>
      <c r="J133" s="17" t="n">
        <f aca="false">IF(INDEX(選手一覧!$K$7:$K$2738,$F133)="","",INDEX(選手一覧!$K$7:$K$2738,$F133))</f>
        <v>152</v>
      </c>
    </row>
    <row r="134" customFormat="false" ht="15" hidden="false" customHeight="false" outlineLevel="0" collapsed="false">
      <c r="A134" s="17" t="n">
        <v>130</v>
      </c>
      <c r="B134" s="12" t="s">
        <v>274</v>
      </c>
      <c r="C134" s="12" t="s">
        <v>275</v>
      </c>
      <c r="D134" s="16" t="n">
        <v>0.0102626157407407</v>
      </c>
      <c r="E134" s="15" t="n">
        <f aca="false">ROUND((D134-$D$5)*86400,2)</f>
        <v>96.95</v>
      </c>
      <c r="F134" s="17" t="n">
        <v>129</v>
      </c>
      <c r="G134" s="16" t="str">
        <f aca="false">IF(INDEX(選手一覧!$H$7:$H$2738,$F134)="","",INDEX(選手一覧!$H$7:$H$2738,$F134))</f>
        <v/>
      </c>
      <c r="H134" s="17" t="str">
        <f aca="false">IF(INDEX(選手一覧!$I$7:$I$2738,$F134)="","",INDEX(選手一覧!$I$7:$I$2738,$F134))</f>
        <v/>
      </c>
      <c r="I134" s="16" t="n">
        <f aca="false">IF(INDEX(選手一覧!$J$7:$J$2738,$F134)="","",INDEX(選手一覧!$J$7:$J$2738,$F134))</f>
        <v>0.0027681712962963</v>
      </c>
      <c r="J134" s="17" t="n">
        <f aca="false">IF(INDEX(選手一覧!$K$7:$K$2738,$F134)="","",INDEX(選手一覧!$K$7:$K$2738,$F134))</f>
        <v>158</v>
      </c>
    </row>
    <row r="135" customFormat="false" ht="15" hidden="false" customHeight="false" outlineLevel="0" collapsed="false">
      <c r="A135" s="17" t="n">
        <v>131</v>
      </c>
      <c r="B135" s="12" t="s">
        <v>277</v>
      </c>
      <c r="C135" s="12" t="s">
        <v>94</v>
      </c>
      <c r="D135" s="16" t="n">
        <v>0.0102633101851852</v>
      </c>
      <c r="E135" s="15" t="n">
        <f aca="false">ROUND((D135-$D$5)*86400,2)</f>
        <v>97.01</v>
      </c>
      <c r="F135" s="17" t="n">
        <v>130</v>
      </c>
      <c r="G135" s="16" t="str">
        <f aca="false">IF(INDEX(選手一覧!$H$7:$H$2738,$F135)="","",INDEX(選手一覧!$H$7:$H$2738,$F135))</f>
        <v/>
      </c>
      <c r="H135" s="17" t="str">
        <f aca="false">IF(INDEX(選手一覧!$I$7:$I$2738,$F135)="","",INDEX(選手一覧!$I$7:$I$2738,$F135))</f>
        <v/>
      </c>
      <c r="I135" s="16" t="str">
        <f aca="false">IF(INDEX(選手一覧!$J$7:$J$2738,$F135)="","",INDEX(選手一覧!$J$7:$J$2738,$F135))</f>
        <v/>
      </c>
      <c r="J135" s="17" t="str">
        <f aca="false">IF(INDEX(選手一覧!$K$7:$K$2738,$F135)="","",INDEX(選手一覧!$K$7:$K$2738,$F135))</f>
        <v/>
      </c>
    </row>
    <row r="136" customFormat="false" ht="15" hidden="false" customHeight="false" outlineLevel="0" collapsed="false">
      <c r="A136" s="17" t="n">
        <v>132</v>
      </c>
      <c r="B136" s="12" t="s">
        <v>278</v>
      </c>
      <c r="C136" s="12" t="s">
        <v>228</v>
      </c>
      <c r="D136" s="16" t="n">
        <v>0.0102657407407407</v>
      </c>
      <c r="E136" s="15" t="n">
        <f aca="false">ROUND((D136-$D$5)*86400,2)</f>
        <v>97.22</v>
      </c>
      <c r="F136" s="17" t="n">
        <v>131</v>
      </c>
      <c r="G136" s="16" t="n">
        <f aca="false">IF(INDEX(選手一覧!$H$7:$H$2738,$F136)="","",INDEX(選手一覧!$H$7:$H$2738,$F136))</f>
        <v>0.00676458333333333</v>
      </c>
      <c r="H136" s="17" t="n">
        <f aca="false">IF(INDEX(選手一覧!$I$7:$I$2738,$F136)="","",INDEX(選手一覧!$I$7:$I$2738,$F136))</f>
        <v>141</v>
      </c>
      <c r="I136" s="16" t="n">
        <f aca="false">IF(INDEX(選手一覧!$J$7:$J$2738,$F136)="","",INDEX(選手一覧!$J$7:$J$2738,$F136))</f>
        <v>0.00273703703703704</v>
      </c>
      <c r="J136" s="17" t="n">
        <f aca="false">IF(INDEX(選手一覧!$K$7:$K$2738,$F136)="","",INDEX(選手一覧!$K$7:$K$2738,$F136))</f>
        <v>79</v>
      </c>
    </row>
    <row r="137" customFormat="false" ht="15" hidden="false" customHeight="false" outlineLevel="0" collapsed="false">
      <c r="A137" s="17" t="n">
        <v>133</v>
      </c>
      <c r="B137" s="12" t="s">
        <v>279</v>
      </c>
      <c r="C137" s="12" t="s">
        <v>199</v>
      </c>
      <c r="D137" s="16" t="n">
        <v>0.0102665509259259</v>
      </c>
      <c r="E137" s="15" t="n">
        <f aca="false">ROUND((D137-$D$5)*86400,2)</f>
        <v>97.29</v>
      </c>
      <c r="F137" s="17" t="n">
        <v>132</v>
      </c>
      <c r="G137" s="16" t="str">
        <f aca="false">IF(INDEX(選手一覧!$H$7:$H$2738,$F137)="","",INDEX(選手一覧!$H$7:$H$2738,$F137))</f>
        <v/>
      </c>
      <c r="H137" s="17" t="str">
        <f aca="false">IF(INDEX(選手一覧!$I$7:$I$2738,$F137)="","",INDEX(選手一覧!$I$7:$I$2738,$F137))</f>
        <v/>
      </c>
      <c r="I137" s="16" t="str">
        <f aca="false">IF(INDEX(選手一覧!$J$7:$J$2738,$F137)="","",INDEX(選手一覧!$J$7:$J$2738,$F137))</f>
        <v/>
      </c>
      <c r="J137" s="17" t="str">
        <f aca="false">IF(INDEX(選手一覧!$K$7:$K$2738,$F137)="","",INDEX(選手一覧!$K$7:$K$2738,$F137))</f>
        <v/>
      </c>
    </row>
    <row r="138" customFormat="false" ht="15" hidden="false" customHeight="false" outlineLevel="0" collapsed="false">
      <c r="A138" s="17" t="n">
        <v>134</v>
      </c>
      <c r="B138" s="12" t="s">
        <v>280</v>
      </c>
      <c r="C138" s="12" t="s">
        <v>281</v>
      </c>
      <c r="D138" s="16" t="n">
        <v>0.0102667824074074</v>
      </c>
      <c r="E138" s="15" t="n">
        <f aca="false">ROUND((D138-$D$5)*86400,2)</f>
        <v>97.31</v>
      </c>
      <c r="F138" s="17" t="n">
        <v>133</v>
      </c>
      <c r="G138" s="16" t="str">
        <f aca="false">IF(INDEX(選手一覧!$H$7:$H$2738,$F138)="","",INDEX(選手一覧!$H$7:$H$2738,$F138))</f>
        <v/>
      </c>
      <c r="H138" s="17" t="str">
        <f aca="false">IF(INDEX(選手一覧!$I$7:$I$2738,$F138)="","",INDEX(選手一覧!$I$7:$I$2738,$F138))</f>
        <v/>
      </c>
      <c r="I138" s="16" t="str">
        <f aca="false">IF(INDEX(選手一覧!$J$7:$J$2738,$F138)="","",INDEX(選手一覧!$J$7:$J$2738,$F138))</f>
        <v/>
      </c>
      <c r="J138" s="17" t="str">
        <f aca="false">IF(INDEX(選手一覧!$K$7:$K$2738,$F138)="","",INDEX(選手一覧!$K$7:$K$2738,$F138))</f>
        <v/>
      </c>
    </row>
    <row r="139" customFormat="false" ht="15" hidden="false" customHeight="false" outlineLevel="0" collapsed="false">
      <c r="A139" s="17" t="n">
        <v>135</v>
      </c>
      <c r="B139" s="12" t="s">
        <v>283</v>
      </c>
      <c r="C139" s="12" t="s">
        <v>135</v>
      </c>
      <c r="D139" s="16" t="n">
        <v>0.0102670138888889</v>
      </c>
      <c r="E139" s="15" t="n">
        <f aca="false">ROUND((D139-$D$5)*86400,2)</f>
        <v>97.33</v>
      </c>
      <c r="F139" s="17" t="n">
        <v>134</v>
      </c>
      <c r="G139" s="16" t="n">
        <f aca="false">IF(INDEX(選手一覧!$H$7:$H$2738,$F139)="","",INDEX(選手一覧!$H$7:$H$2738,$F139))</f>
        <v>0.00697407407407407</v>
      </c>
      <c r="H139" s="17" t="n">
        <f aca="false">IF(INDEX(選手一覧!$I$7:$I$2738,$F139)="","",INDEX(選手一覧!$I$7:$I$2738,$F139))</f>
        <v>308</v>
      </c>
      <c r="I139" s="16" t="n">
        <f aca="false">IF(INDEX(選手一覧!$J$7:$J$2738,$F139)="","",INDEX(選手一覧!$J$7:$J$2738,$F139))</f>
        <v>0.00291087962962963</v>
      </c>
      <c r="J139" s="17" t="n">
        <f aca="false">IF(INDEX(選手一覧!$K$7:$K$2738,$F139)="","",INDEX(選手一覧!$K$7:$K$2738,$F139))</f>
        <v>1028</v>
      </c>
    </row>
    <row r="140" customFormat="false" ht="15" hidden="false" customHeight="false" outlineLevel="0" collapsed="false">
      <c r="A140" s="17" t="n">
        <v>136</v>
      </c>
      <c r="B140" s="12" t="s">
        <v>284</v>
      </c>
      <c r="C140" s="12" t="s">
        <v>285</v>
      </c>
      <c r="D140" s="16" t="n">
        <v>0.0102678240740741</v>
      </c>
      <c r="E140" s="15" t="n">
        <f aca="false">ROUND((D140-$D$5)*86400,2)</f>
        <v>97.4</v>
      </c>
      <c r="F140" s="17" t="n">
        <v>135</v>
      </c>
      <c r="G140" s="16" t="str">
        <f aca="false">IF(INDEX(選手一覧!$H$7:$H$2738,$F140)="","",INDEX(選手一覧!$H$7:$H$2738,$F140))</f>
        <v/>
      </c>
      <c r="H140" s="17" t="str">
        <f aca="false">IF(INDEX(選手一覧!$I$7:$I$2738,$F140)="","",INDEX(選手一覧!$I$7:$I$2738,$F140))</f>
        <v/>
      </c>
      <c r="I140" s="16" t="str">
        <f aca="false">IF(INDEX(選手一覧!$J$7:$J$2738,$F140)="","",INDEX(選手一覧!$J$7:$J$2738,$F140))</f>
        <v/>
      </c>
      <c r="J140" s="17" t="str">
        <f aca="false">IF(INDEX(選手一覧!$K$7:$K$2738,$F140)="","",INDEX(選手一覧!$K$7:$K$2738,$F140))</f>
        <v/>
      </c>
    </row>
    <row r="141" customFormat="false" ht="15" hidden="false" customHeight="false" outlineLevel="0" collapsed="false">
      <c r="A141" s="17" t="n">
        <v>137</v>
      </c>
      <c r="B141" s="12" t="s">
        <v>287</v>
      </c>
      <c r="C141" s="12" t="s">
        <v>288</v>
      </c>
      <c r="D141" s="16" t="n">
        <v>0.01026875</v>
      </c>
      <c r="E141" s="15" t="n">
        <f aca="false">ROUND((D141-$D$5)*86400,2)</f>
        <v>97.48</v>
      </c>
      <c r="F141" s="17" t="n">
        <v>136</v>
      </c>
      <c r="G141" s="16" t="str">
        <f aca="false">IF(INDEX(選手一覧!$H$7:$H$2738,$F141)="","",INDEX(選手一覧!$H$7:$H$2738,$F141))</f>
        <v/>
      </c>
      <c r="H141" s="17" t="str">
        <f aca="false">IF(INDEX(選手一覧!$I$7:$I$2738,$F141)="","",INDEX(選手一覧!$I$7:$I$2738,$F141))</f>
        <v/>
      </c>
      <c r="I141" s="16" t="n">
        <f aca="false">IF(INDEX(選手一覧!$J$7:$J$2738,$F141)="","",INDEX(選手一覧!$J$7:$J$2738,$F141))</f>
        <v>0.00279618055555556</v>
      </c>
      <c r="J141" s="17" t="n">
        <f aca="false">IF(INDEX(選手一覧!$K$7:$K$2738,$F141)="","",INDEX(選手一覧!$K$7:$K$2738,$F141))</f>
        <v>266</v>
      </c>
    </row>
    <row r="142" customFormat="false" ht="15" hidden="false" customHeight="false" outlineLevel="0" collapsed="false">
      <c r="A142" s="17" t="n">
        <v>138</v>
      </c>
      <c r="B142" s="12" t="s">
        <v>289</v>
      </c>
      <c r="C142" s="12" t="s">
        <v>290</v>
      </c>
      <c r="D142" s="16" t="n">
        <v>0.010269212962963</v>
      </c>
      <c r="E142" s="15" t="n">
        <f aca="false">ROUND((D142-$D$5)*86400,2)</f>
        <v>97.52</v>
      </c>
      <c r="F142" s="17" t="n">
        <v>137</v>
      </c>
      <c r="G142" s="16" t="str">
        <f aca="false">IF(INDEX(選手一覧!$H$7:$H$2738,$F142)="","",INDEX(選手一覧!$H$7:$H$2738,$F142))</f>
        <v/>
      </c>
      <c r="H142" s="17" t="str">
        <f aca="false">IF(INDEX(選手一覧!$I$7:$I$2738,$F142)="","",INDEX(選手一覧!$I$7:$I$2738,$F142))</f>
        <v/>
      </c>
      <c r="I142" s="16" t="n">
        <f aca="false">IF(INDEX(選手一覧!$J$7:$J$2738,$F142)="","",INDEX(選手一覧!$J$7:$J$2738,$F142))</f>
        <v>0.0027837962962963</v>
      </c>
      <c r="J142" s="17" t="n">
        <f aca="false">IF(INDEX(選手一覧!$K$7:$K$2738,$F142)="","",INDEX(選手一覧!$K$7:$K$2738,$F142))</f>
        <v>215</v>
      </c>
    </row>
    <row r="143" customFormat="false" ht="15" hidden="false" customHeight="false" outlineLevel="0" collapsed="false">
      <c r="A143" s="17" t="n">
        <v>139</v>
      </c>
      <c r="B143" s="12" t="s">
        <v>291</v>
      </c>
      <c r="C143" s="12" t="s">
        <v>27</v>
      </c>
      <c r="D143" s="16" t="n">
        <v>0.0102702546296296</v>
      </c>
      <c r="E143" s="15" t="n">
        <f aca="false">ROUND((D143-$D$5)*86400,2)</f>
        <v>97.61</v>
      </c>
      <c r="F143" s="17" t="n">
        <v>138</v>
      </c>
      <c r="G143" s="16" t="str">
        <f aca="false">IF(INDEX(選手一覧!$H$7:$H$2738,$F143)="","",INDEX(選手一覧!$H$7:$H$2738,$F143))</f>
        <v/>
      </c>
      <c r="H143" s="17" t="str">
        <f aca="false">IF(INDEX(選手一覧!$I$7:$I$2738,$F143)="","",INDEX(選手一覧!$I$7:$I$2738,$F143))</f>
        <v/>
      </c>
      <c r="I143" s="16" t="n">
        <f aca="false">IF(INDEX(選手一覧!$J$7:$J$2738,$F143)="","",INDEX(選手一覧!$J$7:$J$2738,$F143))</f>
        <v>0.00287025462962963</v>
      </c>
      <c r="J143" s="17" t="n">
        <f aca="false">IF(INDEX(選手一覧!$K$7:$K$2738,$F143)="","",INDEX(選手一覧!$K$7:$K$2738,$F143))</f>
        <v>697</v>
      </c>
    </row>
    <row r="144" customFormat="false" ht="15" hidden="false" customHeight="false" outlineLevel="0" collapsed="false">
      <c r="A144" s="17" t="n">
        <v>140</v>
      </c>
      <c r="B144" s="12" t="s">
        <v>292</v>
      </c>
      <c r="C144" s="12" t="s">
        <v>228</v>
      </c>
      <c r="D144" s="16" t="n">
        <v>0.0102734953703704</v>
      </c>
      <c r="E144" s="15" t="n">
        <f aca="false">ROUND((D144-$D$5)*86400,2)</f>
        <v>97.89</v>
      </c>
      <c r="F144" s="17" t="n">
        <v>139</v>
      </c>
      <c r="G144" s="16" t="str">
        <f aca="false">IF(INDEX(選手一覧!$H$7:$H$2738,$F144)="","",INDEX(選手一覧!$H$7:$H$2738,$F144))</f>
        <v/>
      </c>
      <c r="H144" s="17" t="str">
        <f aca="false">IF(INDEX(選手一覧!$I$7:$I$2738,$F144)="","",INDEX(選手一覧!$I$7:$I$2738,$F144))</f>
        <v/>
      </c>
      <c r="I144" s="16" t="n">
        <f aca="false">IF(INDEX(選手一覧!$J$7:$J$2738,$F144)="","",INDEX(選手一覧!$J$7:$J$2738,$F144))</f>
        <v>0.00287731481481482</v>
      </c>
      <c r="J144" s="17" t="n">
        <f aca="false">IF(INDEX(選手一覧!$K$7:$K$2738,$F144)="","",INDEX(選手一覧!$K$7:$K$2738,$F144))</f>
        <v>749</v>
      </c>
    </row>
    <row r="145" customFormat="false" ht="15" hidden="false" customHeight="false" outlineLevel="0" collapsed="false">
      <c r="A145" s="17" t="n">
        <v>141</v>
      </c>
      <c r="B145" s="12" t="s">
        <v>294</v>
      </c>
      <c r="C145" s="12" t="s">
        <v>40</v>
      </c>
      <c r="D145" s="16" t="n">
        <v>0.010275462962963</v>
      </c>
      <c r="E145" s="15" t="n">
        <f aca="false">ROUND((D145-$D$5)*86400,2)</f>
        <v>98.06</v>
      </c>
      <c r="F145" s="17" t="n">
        <v>140</v>
      </c>
      <c r="G145" s="16" t="str">
        <f aca="false">IF(INDEX(選手一覧!$H$7:$H$2738,$F145)="","",INDEX(選手一覧!$H$7:$H$2738,$F145))</f>
        <v/>
      </c>
      <c r="H145" s="17" t="str">
        <f aca="false">IF(INDEX(選手一覧!$I$7:$I$2738,$F145)="","",INDEX(選手一覧!$I$7:$I$2738,$F145))</f>
        <v/>
      </c>
      <c r="I145" s="16" t="n">
        <f aca="false">IF(INDEX(選手一覧!$J$7:$J$2738,$F145)="","",INDEX(選手一覧!$J$7:$J$2738,$F145))</f>
        <v>0.00270763888888889</v>
      </c>
      <c r="J145" s="17" t="n">
        <f aca="false">IF(INDEX(選手一覧!$K$7:$K$2738,$F145)="","",INDEX(選手一覧!$K$7:$K$2738,$F145))</f>
        <v>31</v>
      </c>
    </row>
    <row r="146" customFormat="false" ht="15" hidden="false" customHeight="false" outlineLevel="0" collapsed="false">
      <c r="A146" s="17" t="n">
        <v>142</v>
      </c>
      <c r="B146" s="12" t="s">
        <v>296</v>
      </c>
      <c r="C146" s="12" t="s">
        <v>297</v>
      </c>
      <c r="D146" s="16" t="n">
        <v>0.0102767361111111</v>
      </c>
      <c r="E146" s="15" t="n">
        <f aca="false">ROUND((D146-$D$5)*86400,2)</f>
        <v>98.17</v>
      </c>
      <c r="F146" s="17" t="n">
        <v>141</v>
      </c>
      <c r="G146" s="16" t="str">
        <f aca="false">IF(INDEX(選手一覧!$H$7:$H$2738,$F146)="","",INDEX(選手一覧!$H$7:$H$2738,$F146))</f>
        <v/>
      </c>
      <c r="H146" s="17" t="str">
        <f aca="false">IF(INDEX(選手一覧!$I$7:$I$2738,$F146)="","",INDEX(選手一覧!$I$7:$I$2738,$F146))</f>
        <v/>
      </c>
      <c r="I146" s="16" t="n">
        <f aca="false">IF(INDEX(選手一覧!$J$7:$J$2738,$F146)="","",INDEX(選手一覧!$J$7:$J$2738,$F146))</f>
        <v>0.00282476851851852</v>
      </c>
      <c r="J146" s="17" t="n">
        <f aca="false">IF(INDEX(選手一覧!$K$7:$K$2738,$F146)="","",INDEX(選手一覧!$K$7:$K$2738,$F146))</f>
        <v>391</v>
      </c>
    </row>
    <row r="147" customFormat="false" ht="15" hidden="false" customHeight="false" outlineLevel="0" collapsed="false">
      <c r="A147" s="17" t="n">
        <v>143</v>
      </c>
      <c r="B147" s="12" t="s">
        <v>299</v>
      </c>
      <c r="C147" s="12" t="s">
        <v>54</v>
      </c>
      <c r="D147" s="16" t="n">
        <v>0.0102770833333333</v>
      </c>
      <c r="E147" s="15" t="n">
        <f aca="false">ROUND((D147-$D$5)*86400,2)</f>
        <v>98.2</v>
      </c>
      <c r="F147" s="17" t="n">
        <v>142</v>
      </c>
      <c r="G147" s="16" t="str">
        <f aca="false">IF(INDEX(選手一覧!$H$7:$H$2738,$F147)="","",INDEX(選手一覧!$H$7:$H$2738,$F147))</f>
        <v/>
      </c>
      <c r="H147" s="17" t="str">
        <f aca="false">IF(INDEX(選手一覧!$I$7:$I$2738,$F147)="","",INDEX(選手一覧!$I$7:$I$2738,$F147))</f>
        <v/>
      </c>
      <c r="I147" s="16" t="n">
        <f aca="false">IF(INDEX(選手一覧!$J$7:$J$2738,$F147)="","",INDEX(選手一覧!$J$7:$J$2738,$F147))</f>
        <v>0.00292951388888889</v>
      </c>
      <c r="J147" s="17" t="n">
        <f aca="false">IF(INDEX(選手一覧!$K$7:$K$2738,$F147)="","",INDEX(選手一覧!$K$7:$K$2738,$F147))</f>
        <v>1173</v>
      </c>
    </row>
    <row r="148" customFormat="false" ht="15" hidden="false" customHeight="false" outlineLevel="0" collapsed="false">
      <c r="A148" s="17" t="n">
        <v>144</v>
      </c>
      <c r="B148" s="12" t="s">
        <v>300</v>
      </c>
      <c r="C148" s="12" t="s">
        <v>301</v>
      </c>
      <c r="D148" s="16" t="n">
        <v>0.010277662037037</v>
      </c>
      <c r="E148" s="15" t="n">
        <f aca="false">ROUND((D148-$D$5)*86400,2)</f>
        <v>98.25</v>
      </c>
      <c r="F148" s="17" t="n">
        <v>143</v>
      </c>
      <c r="G148" s="16" t="str">
        <f aca="false">IF(INDEX(選手一覧!$H$7:$H$2738,$F148)="","",INDEX(選手一覧!$H$7:$H$2738,$F148))</f>
        <v/>
      </c>
      <c r="H148" s="17" t="str">
        <f aca="false">IF(INDEX(選手一覧!$I$7:$I$2738,$F148)="","",INDEX(選手一覧!$I$7:$I$2738,$F148))</f>
        <v/>
      </c>
      <c r="I148" s="16" t="n">
        <f aca="false">IF(INDEX(選手一覧!$J$7:$J$2738,$F148)="","",INDEX(選手一覧!$J$7:$J$2738,$F148))</f>
        <v>0.00274710648148148</v>
      </c>
      <c r="J148" s="17" t="n">
        <f aca="false">IF(INDEX(選手一覧!$K$7:$K$2738,$F148)="","",INDEX(選手一覧!$K$7:$K$2738,$F148))</f>
        <v>94</v>
      </c>
    </row>
    <row r="149" customFormat="false" ht="15" hidden="false" customHeight="false" outlineLevel="0" collapsed="false">
      <c r="A149" s="17" t="n">
        <v>145</v>
      </c>
      <c r="B149" s="12" t="s">
        <v>302</v>
      </c>
      <c r="C149" s="12" t="s">
        <v>303</v>
      </c>
      <c r="D149" s="16" t="n">
        <v>0.0102777777777778</v>
      </c>
      <c r="E149" s="15" t="n">
        <f aca="false">ROUND((D149-$D$5)*86400,2)</f>
        <v>98.26</v>
      </c>
      <c r="F149" s="17" t="n">
        <v>144</v>
      </c>
      <c r="G149" s="16" t="str">
        <f aca="false">IF(INDEX(選手一覧!$H$7:$H$2738,$F149)="","",INDEX(選手一覧!$H$7:$H$2738,$F149))</f>
        <v/>
      </c>
      <c r="H149" s="17" t="str">
        <f aca="false">IF(INDEX(選手一覧!$I$7:$I$2738,$F149)="","",INDEX(選手一覧!$I$7:$I$2738,$F149))</f>
        <v/>
      </c>
      <c r="I149" s="16" t="n">
        <f aca="false">IF(INDEX(選手一覧!$J$7:$J$2738,$F149)="","",INDEX(選手一覧!$J$7:$J$2738,$F149))</f>
        <v>0.00275451388888889</v>
      </c>
      <c r="J149" s="17" t="n">
        <f aca="false">IF(INDEX(選手一覧!$K$7:$K$2738,$F149)="","",INDEX(選手一覧!$K$7:$K$2738,$F149))</f>
        <v>118</v>
      </c>
    </row>
    <row r="150" customFormat="false" ht="15" hidden="false" customHeight="false" outlineLevel="0" collapsed="false">
      <c r="A150" s="17" t="n">
        <v>146</v>
      </c>
      <c r="B150" s="12" t="s">
        <v>304</v>
      </c>
      <c r="C150" s="12" t="s">
        <v>219</v>
      </c>
      <c r="D150" s="16" t="n">
        <v>0.0102784722222222</v>
      </c>
      <c r="E150" s="15" t="n">
        <f aca="false">ROUND((D150-$D$5)*86400,2)</f>
        <v>98.32</v>
      </c>
      <c r="F150" s="17" t="n">
        <v>145</v>
      </c>
      <c r="G150" s="16" t="n">
        <f aca="false">IF(INDEX(選手一覧!$H$7:$H$2738,$F150)="","",INDEX(選手一覧!$H$7:$H$2738,$F150))</f>
        <v>0.00627025462962963</v>
      </c>
      <c r="H150" s="17" t="n">
        <f aca="false">IF(INDEX(選手一覧!$I$7:$I$2738,$F150)="","",INDEX(選手一覧!$I$7:$I$2738,$F150))</f>
        <v>3</v>
      </c>
      <c r="I150" s="16" t="n">
        <f aca="false">IF(INDEX(選手一覧!$J$7:$J$2738,$F150)="","",INDEX(選手一覧!$J$7:$J$2738,$F150))</f>
        <v>0.0029193287037037</v>
      </c>
      <c r="J150" s="17" t="n">
        <f aca="false">IF(INDEX(選手一覧!$K$7:$K$2738,$F150)="","",INDEX(選手一覧!$K$7:$K$2738,$F150))</f>
        <v>1088</v>
      </c>
    </row>
    <row r="151" customFormat="false" ht="15" hidden="false" customHeight="false" outlineLevel="0" collapsed="false">
      <c r="A151" s="17" t="n">
        <v>147</v>
      </c>
      <c r="B151" s="12" t="s">
        <v>305</v>
      </c>
      <c r="C151" s="12" t="s">
        <v>51</v>
      </c>
      <c r="D151" s="16" t="n">
        <v>0.0102784722222222</v>
      </c>
      <c r="E151" s="15" t="n">
        <f aca="false">ROUND((D151-$D$5)*86400,2)</f>
        <v>98.32</v>
      </c>
      <c r="F151" s="17" t="n">
        <v>146</v>
      </c>
      <c r="G151" s="16" t="n">
        <f aca="false">IF(INDEX(選手一覧!$H$7:$H$2738,$F151)="","",INDEX(選手一覧!$H$7:$H$2738,$F151))</f>
        <v>0.00638402777777778</v>
      </c>
      <c r="H151" s="17" t="n">
        <f aca="false">IF(INDEX(選手一覧!$I$7:$I$2738,$F151)="","",INDEX(選手一覧!$I$7:$I$2738,$F151))</f>
        <v>12</v>
      </c>
      <c r="I151" s="16" t="n">
        <f aca="false">IF(INDEX(選手一覧!$J$7:$J$2738,$F151)="","",INDEX(選手一覧!$J$7:$J$2738,$F151))</f>
        <v>0.0027630787037037</v>
      </c>
      <c r="J151" s="17" t="n">
        <f aca="false">IF(INDEX(選手一覧!$K$7:$K$2738,$F151)="","",INDEX(選手一覧!$K$7:$K$2738,$F151))</f>
        <v>142</v>
      </c>
    </row>
    <row r="152" customFormat="false" ht="15" hidden="false" customHeight="false" outlineLevel="0" collapsed="false">
      <c r="A152" s="17" t="n">
        <v>148</v>
      </c>
      <c r="B152" s="12" t="s">
        <v>307</v>
      </c>
      <c r="C152" s="12" t="s">
        <v>245</v>
      </c>
      <c r="D152" s="16" t="n">
        <v>0.0102799768518519</v>
      </c>
      <c r="E152" s="15" t="n">
        <f aca="false">ROUND((D152-$D$5)*86400,2)</f>
        <v>98.45</v>
      </c>
      <c r="F152" s="17" t="n">
        <v>147</v>
      </c>
      <c r="G152" s="16" t="str">
        <f aca="false">IF(INDEX(選手一覧!$H$7:$H$2738,$F152)="","",INDEX(選手一覧!$H$7:$H$2738,$F152))</f>
        <v/>
      </c>
      <c r="H152" s="17" t="str">
        <f aca="false">IF(INDEX(選手一覧!$I$7:$I$2738,$F152)="","",INDEX(選手一覧!$I$7:$I$2738,$F152))</f>
        <v/>
      </c>
      <c r="I152" s="16" t="n">
        <f aca="false">IF(INDEX(選手一覧!$J$7:$J$2738,$F152)="","",INDEX(選手一覧!$J$7:$J$2738,$F152))</f>
        <v>0.00274988425925926</v>
      </c>
      <c r="J152" s="17" t="n">
        <f aca="false">IF(INDEX(選手一覧!$K$7:$K$2738,$F152)="","",INDEX(選手一覧!$K$7:$K$2738,$F152))</f>
        <v>104</v>
      </c>
    </row>
    <row r="153" customFormat="false" ht="15" hidden="false" customHeight="false" outlineLevel="0" collapsed="false">
      <c r="A153" s="17" t="n">
        <v>149</v>
      </c>
      <c r="B153" s="12" t="s">
        <v>309</v>
      </c>
      <c r="C153" s="12" t="s">
        <v>207</v>
      </c>
      <c r="D153" s="16" t="n">
        <v>0.0102820601851852</v>
      </c>
      <c r="E153" s="15" t="n">
        <f aca="false">ROUND((D153-$D$5)*86400,2)</f>
        <v>98.63</v>
      </c>
      <c r="F153" s="17" t="n">
        <v>148</v>
      </c>
      <c r="G153" s="16" t="n">
        <f aca="false">IF(INDEX(選手一覧!$H$7:$H$2738,$F153)="","",INDEX(選手一覧!$H$7:$H$2738,$F153))</f>
        <v>0.00693680555555556</v>
      </c>
      <c r="H153" s="17" t="n">
        <f aca="false">IF(INDEX(選手一覧!$I$7:$I$2738,$F153)="","",INDEX(選手一覧!$I$7:$I$2738,$F153))</f>
        <v>280</v>
      </c>
      <c r="I153" s="16" t="n">
        <f aca="false">IF(INDEX(選手一覧!$J$7:$J$2738,$F153)="","",INDEX(選手一覧!$J$7:$J$2738,$F153))</f>
        <v>0.00288113425925926</v>
      </c>
      <c r="J153" s="17" t="n">
        <f aca="false">IF(INDEX(選手一覧!$K$7:$K$2738,$F153)="","",INDEX(選手一覧!$K$7:$K$2738,$F153))</f>
        <v>778</v>
      </c>
    </row>
    <row r="154" customFormat="false" ht="15" hidden="false" customHeight="false" outlineLevel="0" collapsed="false">
      <c r="A154" s="17" t="n">
        <v>150</v>
      </c>
      <c r="B154" s="12" t="s">
        <v>310</v>
      </c>
      <c r="C154" s="12" t="s">
        <v>311</v>
      </c>
      <c r="D154" s="16" t="n">
        <v>0.0102821759259259</v>
      </c>
      <c r="E154" s="15" t="n">
        <f aca="false">ROUND((D154-$D$5)*86400,2)</f>
        <v>98.64</v>
      </c>
      <c r="F154" s="17" t="n">
        <v>149</v>
      </c>
      <c r="G154" s="16" t="str">
        <f aca="false">IF(INDEX(選手一覧!$H$7:$H$2738,$F154)="","",INDEX(選手一覧!$H$7:$H$2738,$F154))</f>
        <v/>
      </c>
      <c r="H154" s="17" t="str">
        <f aca="false">IF(INDEX(選手一覧!$I$7:$I$2738,$F154)="","",INDEX(選手一覧!$I$7:$I$2738,$F154))</f>
        <v/>
      </c>
      <c r="I154" s="16" t="n">
        <f aca="false">IF(INDEX(選手一覧!$J$7:$J$2738,$F154)="","",INDEX(選手一覧!$J$7:$J$2738,$F154))</f>
        <v>0.00280266203703704</v>
      </c>
      <c r="J154" s="17" t="n">
        <f aca="false">IF(INDEX(選手一覧!$K$7:$K$2738,$F154)="","",INDEX(選手一覧!$K$7:$K$2738,$F154))</f>
        <v>294</v>
      </c>
    </row>
    <row r="155" customFormat="false" ht="15" hidden="false" customHeight="false" outlineLevel="0" collapsed="false">
      <c r="A155" s="17" t="n">
        <v>151</v>
      </c>
      <c r="B155" s="12" t="s">
        <v>312</v>
      </c>
      <c r="C155" s="12" t="s">
        <v>313</v>
      </c>
      <c r="D155" s="16" t="n">
        <v>0.0102822916666667</v>
      </c>
      <c r="E155" s="15" t="n">
        <f aca="false">ROUND((D155-$D$5)*86400,2)</f>
        <v>98.65</v>
      </c>
      <c r="F155" s="17" t="n">
        <v>150</v>
      </c>
      <c r="G155" s="16" t="str">
        <f aca="false">IF(INDEX(選手一覧!$H$7:$H$2738,$F155)="","",INDEX(選手一覧!$H$7:$H$2738,$F155))</f>
        <v/>
      </c>
      <c r="H155" s="17" t="str">
        <f aca="false">IF(INDEX(選手一覧!$I$7:$I$2738,$F155)="","",INDEX(選手一覧!$I$7:$I$2738,$F155))</f>
        <v/>
      </c>
      <c r="I155" s="16" t="n">
        <f aca="false">IF(INDEX(選手一覧!$J$7:$J$2738,$F155)="","",INDEX(選手一覧!$J$7:$J$2738,$F155))</f>
        <v>0.00278773148148148</v>
      </c>
      <c r="J155" s="17" t="n">
        <f aca="false">IF(INDEX(選手一覧!$K$7:$K$2738,$F155)="","",INDEX(選手一覧!$K$7:$K$2738,$F155))</f>
        <v>233</v>
      </c>
    </row>
    <row r="156" customFormat="false" ht="15" hidden="false" customHeight="false" outlineLevel="0" collapsed="false">
      <c r="A156" s="17" t="n">
        <v>152</v>
      </c>
      <c r="B156" s="12" t="s">
        <v>315</v>
      </c>
      <c r="C156" s="12" t="s">
        <v>316</v>
      </c>
      <c r="D156" s="16" t="n">
        <v>0.0102828703703704</v>
      </c>
      <c r="E156" s="15" t="n">
        <f aca="false">ROUND((D156-$D$5)*86400,2)</f>
        <v>98.7</v>
      </c>
      <c r="F156" s="17" t="n">
        <v>151</v>
      </c>
      <c r="G156" s="16" t="n">
        <f aca="false">IF(INDEX(選手一覧!$H$7:$H$2738,$F156)="","",INDEX(選手一覧!$H$7:$H$2738,$F156))</f>
        <v>0.00644189814814815</v>
      </c>
      <c r="H156" s="17" t="n">
        <f aca="false">IF(INDEX(選手一覧!$I$7:$I$2738,$F156)="","",INDEX(選手一覧!$I$7:$I$2738,$F156))</f>
        <v>22</v>
      </c>
      <c r="I156" s="16" t="n">
        <f aca="false">IF(INDEX(選手一覧!$J$7:$J$2738,$F156)="","",INDEX(選手一覧!$J$7:$J$2738,$F156))</f>
        <v>0.00278020833333333</v>
      </c>
      <c r="J156" s="17" t="n">
        <f aca="false">IF(INDEX(選手一覧!$K$7:$K$2738,$F156)="","",INDEX(選手一覧!$K$7:$K$2738,$F156))</f>
        <v>201</v>
      </c>
    </row>
    <row r="157" customFormat="false" ht="15" hidden="false" customHeight="false" outlineLevel="0" collapsed="false">
      <c r="A157" s="17" t="n">
        <v>153</v>
      </c>
      <c r="B157" s="12" t="s">
        <v>317</v>
      </c>
      <c r="C157" s="12" t="s">
        <v>318</v>
      </c>
      <c r="D157" s="16" t="n">
        <v>0.010284837962963</v>
      </c>
      <c r="E157" s="15" t="n">
        <f aca="false">ROUND((D157-$D$5)*86400,2)</f>
        <v>98.87</v>
      </c>
      <c r="F157" s="17" t="n">
        <v>152</v>
      </c>
      <c r="G157" s="16" t="str">
        <f aca="false">IF(INDEX(選手一覧!$H$7:$H$2738,$F157)="","",INDEX(選手一覧!$H$7:$H$2738,$F157))</f>
        <v/>
      </c>
      <c r="H157" s="17" t="str">
        <f aca="false">IF(INDEX(選手一覧!$I$7:$I$2738,$F157)="","",INDEX(選手一覧!$I$7:$I$2738,$F157))</f>
        <v/>
      </c>
      <c r="I157" s="16" t="n">
        <f aca="false">IF(INDEX(選手一覧!$J$7:$J$2738,$F157)="","",INDEX(選手一覧!$J$7:$J$2738,$F157))</f>
        <v>0.00269259259259259</v>
      </c>
      <c r="J157" s="17" t="n">
        <f aca="false">IF(INDEX(選手一覧!$K$7:$K$2738,$F157)="","",INDEX(選手一覧!$K$7:$K$2738,$F157))</f>
        <v>21</v>
      </c>
    </row>
    <row r="158" customFormat="false" ht="15" hidden="false" customHeight="false" outlineLevel="0" collapsed="false">
      <c r="A158" s="17" t="n">
        <v>154</v>
      </c>
      <c r="B158" s="12" t="s">
        <v>319</v>
      </c>
      <c r="C158" s="12" t="s">
        <v>320</v>
      </c>
      <c r="D158" s="16" t="n">
        <v>0.0102885416666667</v>
      </c>
      <c r="E158" s="15" t="n">
        <f aca="false">ROUND((D158-$D$5)*86400,2)</f>
        <v>99.19</v>
      </c>
      <c r="F158" s="17" t="n">
        <v>153</v>
      </c>
      <c r="G158" s="16" t="str">
        <f aca="false">IF(INDEX(選手一覧!$H$7:$H$2738,$F158)="","",INDEX(選手一覧!$H$7:$H$2738,$F158))</f>
        <v/>
      </c>
      <c r="H158" s="17" t="str">
        <f aca="false">IF(INDEX(選手一覧!$I$7:$I$2738,$F158)="","",INDEX(選手一覧!$I$7:$I$2738,$F158))</f>
        <v/>
      </c>
      <c r="I158" s="16" t="n">
        <f aca="false">IF(INDEX(選手一覧!$J$7:$J$2738,$F158)="","",INDEX(選手一覧!$J$7:$J$2738,$F158))</f>
        <v>0.00280694444444444</v>
      </c>
      <c r="J158" s="17" t="n">
        <f aca="false">IF(INDEX(選手一覧!$K$7:$K$2738,$F158)="","",INDEX(選手一覧!$K$7:$K$2738,$F158))</f>
        <v>313</v>
      </c>
    </row>
    <row r="159" customFormat="false" ht="15" hidden="false" customHeight="false" outlineLevel="0" collapsed="false">
      <c r="A159" s="17" t="n">
        <v>155</v>
      </c>
      <c r="B159" s="12" t="s">
        <v>322</v>
      </c>
      <c r="C159" s="12" t="s">
        <v>323</v>
      </c>
      <c r="D159" s="16" t="n">
        <v>0.0102916666666667</v>
      </c>
      <c r="E159" s="15" t="n">
        <f aca="false">ROUND((D159-$D$5)*86400,2)</f>
        <v>99.46</v>
      </c>
      <c r="F159" s="17" t="n">
        <v>154</v>
      </c>
      <c r="G159" s="16" t="n">
        <f aca="false">IF(INDEX(選手一覧!$H$7:$H$2738,$F159)="","",INDEX(選手一覧!$H$7:$H$2738,$F159))</f>
        <v>0.00632650462962963</v>
      </c>
      <c r="H159" s="17" t="n">
        <f aca="false">IF(INDEX(選手一覧!$I$7:$I$2738,$F159)="","",INDEX(選手一覧!$I$7:$I$2738,$F159))</f>
        <v>5</v>
      </c>
      <c r="I159" s="16" t="n">
        <f aca="false">IF(INDEX(選手一覧!$J$7:$J$2738,$F159)="","",INDEX(選手一覧!$J$7:$J$2738,$F159))</f>
        <v>0.00284988425925926</v>
      </c>
      <c r="J159" s="17" t="n">
        <f aca="false">IF(INDEX(選手一覧!$K$7:$K$2738,$F159)="","",INDEX(選手一覧!$K$7:$K$2738,$F159))</f>
        <v>569</v>
      </c>
    </row>
    <row r="160" customFormat="false" ht="15" hidden="false" customHeight="false" outlineLevel="0" collapsed="false">
      <c r="A160" s="17" t="n">
        <v>156</v>
      </c>
      <c r="B160" s="12" t="s">
        <v>324</v>
      </c>
      <c r="C160" s="12" t="s">
        <v>320</v>
      </c>
      <c r="D160" s="16" t="n">
        <v>0.0102929398148148</v>
      </c>
      <c r="E160" s="15" t="n">
        <f aca="false">ROUND((D160-$D$5)*86400,2)</f>
        <v>99.57</v>
      </c>
      <c r="F160" s="17" t="n">
        <v>155</v>
      </c>
      <c r="G160" s="16" t="n">
        <f aca="false">IF(INDEX(選手一覧!$H$7:$H$2738,$F160)="","",INDEX(選手一覧!$H$7:$H$2738,$F160))</f>
        <v>0.00667303240740741</v>
      </c>
      <c r="H160" s="17" t="n">
        <f aca="false">IF(INDEX(選手一覧!$I$7:$I$2738,$F160)="","",INDEX(選手一覧!$I$7:$I$2738,$F160))</f>
        <v>92</v>
      </c>
      <c r="I160" s="16" t="n">
        <f aca="false">IF(INDEX(選手一覧!$J$7:$J$2738,$F160)="","",INDEX(選手一覧!$J$7:$J$2738,$F160))</f>
        <v>0.00289953703703704</v>
      </c>
      <c r="J160" s="17" t="n">
        <f aca="false">IF(INDEX(選手一覧!$K$7:$K$2738,$F160)="","",INDEX(選手一覧!$K$7:$K$2738,$F160))</f>
        <v>941</v>
      </c>
    </row>
    <row r="161" customFormat="false" ht="15" hidden="false" customHeight="false" outlineLevel="0" collapsed="false">
      <c r="A161" s="17" t="n">
        <v>157</v>
      </c>
      <c r="B161" s="12" t="s">
        <v>326</v>
      </c>
      <c r="C161" s="12" t="s">
        <v>313</v>
      </c>
      <c r="D161" s="16" t="n">
        <v>0.0102939814814815</v>
      </c>
      <c r="E161" s="15" t="n">
        <f aca="false">ROUND((D161-$D$5)*86400,2)</f>
        <v>99.66</v>
      </c>
      <c r="F161" s="17" t="n">
        <v>156</v>
      </c>
      <c r="G161" s="16" t="str">
        <f aca="false">IF(INDEX(選手一覧!$H$7:$H$2738,$F161)="","",INDEX(選手一覧!$H$7:$H$2738,$F161))</f>
        <v/>
      </c>
      <c r="H161" s="17" t="str">
        <f aca="false">IF(INDEX(選手一覧!$I$7:$I$2738,$F161)="","",INDEX(選手一覧!$I$7:$I$2738,$F161))</f>
        <v/>
      </c>
      <c r="I161" s="16" t="n">
        <f aca="false">IF(INDEX(選手一覧!$J$7:$J$2738,$F161)="","",INDEX(選手一覧!$J$7:$J$2738,$F161))</f>
        <v>0.00268113425925926</v>
      </c>
      <c r="J161" s="17" t="n">
        <f aca="false">IF(INDEX(選手一覧!$K$7:$K$2738,$F161)="","",INDEX(選手一覧!$K$7:$K$2738,$F161))</f>
        <v>14</v>
      </c>
    </row>
    <row r="162" customFormat="false" ht="15" hidden="false" customHeight="false" outlineLevel="0" collapsed="false">
      <c r="A162" s="17" t="n">
        <v>158</v>
      </c>
      <c r="B162" s="12" t="s">
        <v>328</v>
      </c>
      <c r="C162" s="12" t="s">
        <v>150</v>
      </c>
      <c r="D162" s="16" t="n">
        <v>0.0102986111111111</v>
      </c>
      <c r="E162" s="15" t="n">
        <f aca="false">ROUND((D162-$D$5)*86400,2)</f>
        <v>100.06</v>
      </c>
      <c r="F162" s="17" t="n">
        <v>157</v>
      </c>
      <c r="G162" s="16" t="str">
        <f aca="false">IF(INDEX(選手一覧!$H$7:$H$2738,$F162)="","",INDEX(選手一覧!$H$7:$H$2738,$F162))</f>
        <v/>
      </c>
      <c r="H162" s="17" t="str">
        <f aca="false">IF(INDEX(選手一覧!$I$7:$I$2738,$F162)="","",INDEX(選手一覧!$I$7:$I$2738,$F162))</f>
        <v/>
      </c>
      <c r="I162" s="16" t="n">
        <f aca="false">IF(INDEX(選手一覧!$J$7:$J$2738,$F162)="","",INDEX(選手一覧!$J$7:$J$2738,$F162))</f>
        <v>0.00277789351851852</v>
      </c>
      <c r="J162" s="17" t="n">
        <f aca="false">IF(INDEX(選手一覧!$K$7:$K$2738,$F162)="","",INDEX(選手一覧!$K$7:$K$2738,$F162))</f>
        <v>190</v>
      </c>
    </row>
    <row r="163" customFormat="false" ht="15" hidden="false" customHeight="false" outlineLevel="0" collapsed="false">
      <c r="A163" s="17" t="n">
        <v>159</v>
      </c>
      <c r="B163" s="12" t="s">
        <v>329</v>
      </c>
      <c r="C163" s="12" t="s">
        <v>150</v>
      </c>
      <c r="D163" s="16" t="n">
        <v>0.0102987268518519</v>
      </c>
      <c r="E163" s="15" t="n">
        <f aca="false">ROUND((D163-$D$5)*86400,2)</f>
        <v>100.07</v>
      </c>
      <c r="F163" s="17" t="n">
        <v>158</v>
      </c>
      <c r="G163" s="16" t="str">
        <f aca="false">IF(INDEX(選手一覧!$H$7:$H$2738,$F163)="","",INDEX(選手一覧!$H$7:$H$2738,$F163))</f>
        <v/>
      </c>
      <c r="H163" s="17" t="str">
        <f aca="false">IF(INDEX(選手一覧!$I$7:$I$2738,$F163)="","",INDEX(選手一覧!$I$7:$I$2738,$F163))</f>
        <v/>
      </c>
      <c r="I163" s="16" t="n">
        <f aca="false">IF(INDEX(選手一覧!$J$7:$J$2738,$F163)="","",INDEX(選手一覧!$J$7:$J$2738,$F163))</f>
        <v>0.00275208333333333</v>
      </c>
      <c r="J163" s="17" t="n">
        <f aca="false">IF(INDEX(選手一覧!$K$7:$K$2738,$F163)="","",INDEX(選手一覧!$K$7:$K$2738,$F163))</f>
        <v>108</v>
      </c>
    </row>
    <row r="164" customFormat="false" ht="15" hidden="false" customHeight="false" outlineLevel="0" collapsed="false">
      <c r="A164" s="17" t="n">
        <v>160</v>
      </c>
      <c r="B164" s="12" t="s">
        <v>330</v>
      </c>
      <c r="C164" s="12" t="s">
        <v>245</v>
      </c>
      <c r="D164" s="16" t="n">
        <v>0.0103002314814815</v>
      </c>
      <c r="E164" s="15" t="n">
        <f aca="false">ROUND((D164-$D$5)*86400,2)</f>
        <v>100.2</v>
      </c>
      <c r="F164" s="17" t="n">
        <v>159</v>
      </c>
      <c r="G164" s="16" t="n">
        <f aca="false">IF(INDEX(選手一覧!$H$7:$H$2738,$F164)="","",INDEX(選手一覧!$H$7:$H$2738,$F164))</f>
        <v>0.00701736111111111</v>
      </c>
      <c r="H164" s="17" t="n">
        <f aca="false">IF(INDEX(選手一覧!$I$7:$I$2738,$F164)="","",INDEX(選手一覧!$I$7:$I$2738,$F164))</f>
        <v>354</v>
      </c>
      <c r="I164" s="16" t="n">
        <f aca="false">IF(INDEX(選手一覧!$J$7:$J$2738,$F164)="","",INDEX(選手一覧!$J$7:$J$2738,$F164))</f>
        <v>0.0028443287037037</v>
      </c>
      <c r="J164" s="17" t="n">
        <f aca="false">IF(INDEX(選手一覧!$K$7:$K$2738,$F164)="","",INDEX(選手一覧!$K$7:$K$2738,$F164))</f>
        <v>529</v>
      </c>
    </row>
    <row r="165" customFormat="false" ht="15" hidden="false" customHeight="false" outlineLevel="0" collapsed="false">
      <c r="A165" s="17" t="n">
        <v>161</v>
      </c>
      <c r="B165" s="12" t="s">
        <v>332</v>
      </c>
      <c r="C165" s="12" t="s">
        <v>333</v>
      </c>
      <c r="D165" s="16" t="n">
        <v>0.0103003472222222</v>
      </c>
      <c r="E165" s="15" t="n">
        <f aca="false">ROUND((D165-$D$5)*86400,2)</f>
        <v>100.21</v>
      </c>
      <c r="F165" s="17" t="n">
        <v>160</v>
      </c>
      <c r="G165" s="16" t="n">
        <f aca="false">IF(INDEX(選手一覧!$H$7:$H$2738,$F165)="","",INDEX(選手一覧!$H$7:$H$2738,$F165))</f>
        <v>0.0070880787037037</v>
      </c>
      <c r="H165" s="17" t="n">
        <f aca="false">IF(INDEX(選手一覧!$I$7:$I$2738,$F165)="","",INDEX(選手一覧!$I$7:$I$2738,$F165))</f>
        <v>437</v>
      </c>
      <c r="I165" s="16" t="n">
        <f aca="false">IF(INDEX(選手一覧!$J$7:$J$2738,$F165)="","",INDEX(選手一覧!$J$7:$J$2738,$F165))</f>
        <v>0.00275381944444445</v>
      </c>
      <c r="J165" s="17" t="n">
        <f aca="false">IF(INDEX(選手一覧!$K$7:$K$2738,$F165)="","",INDEX(選手一覧!$K$7:$K$2738,$F165))</f>
        <v>113</v>
      </c>
    </row>
    <row r="166" customFormat="false" ht="15" hidden="false" customHeight="false" outlineLevel="0" collapsed="false">
      <c r="A166" s="17" t="n">
        <v>162</v>
      </c>
      <c r="B166" s="12" t="s">
        <v>335</v>
      </c>
      <c r="C166" s="12" t="s">
        <v>77</v>
      </c>
      <c r="D166" s="16" t="n">
        <v>0.0103006944444444</v>
      </c>
      <c r="E166" s="15" t="n">
        <f aca="false">ROUND((D166-$D$5)*86400,2)</f>
        <v>100.24</v>
      </c>
      <c r="F166" s="17" t="n">
        <v>161</v>
      </c>
      <c r="G166" s="16" t="str">
        <f aca="false">IF(INDEX(選手一覧!$H$7:$H$2738,$F166)="","",INDEX(選手一覧!$H$7:$H$2738,$F166))</f>
        <v/>
      </c>
      <c r="H166" s="17" t="str">
        <f aca="false">IF(INDEX(選手一覧!$I$7:$I$2738,$F166)="","",INDEX(選手一覧!$I$7:$I$2738,$F166))</f>
        <v/>
      </c>
      <c r="I166" s="16" t="n">
        <f aca="false">IF(INDEX(選手一覧!$J$7:$J$2738,$F166)="","",INDEX(選手一覧!$J$7:$J$2738,$F166))</f>
        <v>0.00268900462962963</v>
      </c>
      <c r="J166" s="17" t="n">
        <f aca="false">IF(INDEX(選手一覧!$K$7:$K$2738,$F166)="","",INDEX(選手一覧!$K$7:$K$2738,$F166))</f>
        <v>17</v>
      </c>
    </row>
    <row r="167" customFormat="false" ht="15" hidden="false" customHeight="false" outlineLevel="0" collapsed="false">
      <c r="A167" s="17" t="n">
        <v>163</v>
      </c>
      <c r="B167" s="12" t="s">
        <v>337</v>
      </c>
      <c r="C167" s="12" t="s">
        <v>167</v>
      </c>
      <c r="D167" s="16" t="n">
        <v>0.0103019675925926</v>
      </c>
      <c r="E167" s="15" t="n">
        <f aca="false">ROUND((D167-$D$5)*86400,2)</f>
        <v>100.35</v>
      </c>
      <c r="F167" s="17" t="n">
        <v>162</v>
      </c>
      <c r="G167" s="16" t="n">
        <f aca="false">IF(INDEX(選手一覧!$H$7:$H$2738,$F167)="","",INDEX(選手一覧!$H$7:$H$2738,$F167))</f>
        <v>0.00693576388888889</v>
      </c>
      <c r="H167" s="17" t="n">
        <f aca="false">IF(INDEX(選手一覧!$I$7:$I$2738,$F167)="","",INDEX(選手一覧!$I$7:$I$2738,$F167))</f>
        <v>278</v>
      </c>
      <c r="I167" s="16" t="n">
        <f aca="false">IF(INDEX(選手一覧!$J$7:$J$2738,$F167)="","",INDEX(選手一覧!$J$7:$J$2738,$F167))</f>
        <v>0.00278275462962963</v>
      </c>
      <c r="J167" s="17" t="n">
        <f aca="false">IF(INDEX(選手一覧!$K$7:$K$2738,$F167)="","",INDEX(選手一覧!$K$7:$K$2738,$F167))</f>
        <v>212</v>
      </c>
    </row>
    <row r="168" customFormat="false" ht="15" hidden="false" customHeight="false" outlineLevel="0" collapsed="false">
      <c r="A168" s="17" t="n">
        <v>164</v>
      </c>
      <c r="B168" s="12" t="s">
        <v>339</v>
      </c>
      <c r="C168" s="12" t="s">
        <v>340</v>
      </c>
      <c r="D168" s="16" t="n">
        <v>0.0103054398148148</v>
      </c>
      <c r="E168" s="15" t="n">
        <f aca="false">ROUND((D168-$D$5)*86400,2)</f>
        <v>100.65</v>
      </c>
      <c r="F168" s="17" t="n">
        <v>163</v>
      </c>
      <c r="G168" s="16" t="str">
        <f aca="false">IF(INDEX(選手一覧!$H$7:$H$2738,$F168)="","",INDEX(選手一覧!$H$7:$H$2738,$F168))</f>
        <v/>
      </c>
      <c r="H168" s="17" t="str">
        <f aca="false">IF(INDEX(選手一覧!$I$7:$I$2738,$F168)="","",INDEX(選手一覧!$I$7:$I$2738,$F168))</f>
        <v/>
      </c>
      <c r="I168" s="16" t="n">
        <f aca="false">IF(INDEX(選手一覧!$J$7:$J$2738,$F168)="","",INDEX(選手一覧!$J$7:$J$2738,$F168))</f>
        <v>0.00280335648148148</v>
      </c>
      <c r="J168" s="17" t="n">
        <f aca="false">IF(INDEX(選手一覧!$K$7:$K$2738,$F168)="","",INDEX(選手一覧!$K$7:$K$2738,$F168))</f>
        <v>297</v>
      </c>
    </row>
    <row r="169" customFormat="false" ht="15" hidden="false" customHeight="false" outlineLevel="0" collapsed="false">
      <c r="A169" s="17" t="n">
        <v>165</v>
      </c>
      <c r="B169" s="12" t="s">
        <v>341</v>
      </c>
      <c r="C169" s="12" t="s">
        <v>145</v>
      </c>
      <c r="D169" s="16" t="n">
        <v>0.0103106481481482</v>
      </c>
      <c r="E169" s="15" t="n">
        <f aca="false">ROUND((D169-$D$5)*86400,2)</f>
        <v>101.1</v>
      </c>
      <c r="F169" s="17" t="n">
        <v>164</v>
      </c>
      <c r="G169" s="16" t="str">
        <f aca="false">IF(INDEX(選手一覧!$H$7:$H$2738,$F169)="","",INDEX(選手一覧!$H$7:$H$2738,$F169))</f>
        <v/>
      </c>
      <c r="H169" s="17" t="str">
        <f aca="false">IF(INDEX(選手一覧!$I$7:$I$2738,$F169)="","",INDEX(選手一覧!$I$7:$I$2738,$F169))</f>
        <v/>
      </c>
      <c r="I169" s="16" t="str">
        <f aca="false">IF(INDEX(選手一覧!$J$7:$J$2738,$F169)="","",INDEX(選手一覧!$J$7:$J$2738,$F169))</f>
        <v/>
      </c>
      <c r="J169" s="17" t="str">
        <f aca="false">IF(INDEX(選手一覧!$K$7:$K$2738,$F169)="","",INDEX(選手一覧!$K$7:$K$2738,$F169))</f>
        <v/>
      </c>
    </row>
    <row r="170" customFormat="false" ht="15" hidden="false" customHeight="false" outlineLevel="0" collapsed="false">
      <c r="A170" s="17" t="n">
        <v>166</v>
      </c>
      <c r="B170" s="12" t="s">
        <v>342</v>
      </c>
      <c r="C170" s="12" t="s">
        <v>83</v>
      </c>
      <c r="D170" s="16" t="n">
        <v>0.0103112268518519</v>
      </c>
      <c r="E170" s="15" t="n">
        <f aca="false">ROUND((D170-$D$5)*86400,2)</f>
        <v>101.15</v>
      </c>
      <c r="F170" s="17" t="n">
        <v>165</v>
      </c>
      <c r="G170" s="16" t="str">
        <f aca="false">IF(INDEX(選手一覧!$H$7:$H$2738,$F170)="","",INDEX(選手一覧!$H$7:$H$2738,$F170))</f>
        <v/>
      </c>
      <c r="H170" s="17" t="str">
        <f aca="false">IF(INDEX(選手一覧!$I$7:$I$2738,$F170)="","",INDEX(選手一覧!$I$7:$I$2738,$F170))</f>
        <v/>
      </c>
      <c r="I170" s="16" t="n">
        <f aca="false">IF(INDEX(選手一覧!$J$7:$J$2738,$F170)="","",INDEX(選手一覧!$J$7:$J$2738,$F170))</f>
        <v>0.00283043981481482</v>
      </c>
      <c r="J170" s="17" t="n">
        <f aca="false">IF(INDEX(選手一覧!$K$7:$K$2738,$F170)="","",INDEX(選手一覧!$K$7:$K$2738,$F170))</f>
        <v>429</v>
      </c>
    </row>
    <row r="171" customFormat="false" ht="15" hidden="false" customHeight="false" outlineLevel="0" collapsed="false">
      <c r="A171" s="17" t="n">
        <v>167</v>
      </c>
      <c r="B171" s="12" t="s">
        <v>344</v>
      </c>
      <c r="C171" s="12" t="s">
        <v>214</v>
      </c>
      <c r="D171" s="16" t="n">
        <v>0.0103144675925926</v>
      </c>
      <c r="E171" s="15" t="n">
        <f aca="false">ROUND((D171-$D$5)*86400,2)</f>
        <v>101.43</v>
      </c>
      <c r="F171" s="17" t="n">
        <v>166</v>
      </c>
      <c r="G171" s="16" t="n">
        <f aca="false">IF(INDEX(選手一覧!$H$7:$H$2738,$F171)="","",INDEX(選手一覧!$H$7:$H$2738,$F171))</f>
        <v>0.00674305555555556</v>
      </c>
      <c r="H171" s="17" t="n">
        <f aca="false">IF(INDEX(選手一覧!$I$7:$I$2738,$F171)="","",INDEX(選手一覧!$I$7:$I$2738,$F171))</f>
        <v>123</v>
      </c>
      <c r="I171" s="16" t="n">
        <f aca="false">IF(INDEX(選手一覧!$J$7:$J$2738,$F171)="","",INDEX(選手一覧!$J$7:$J$2738,$F171))</f>
        <v>0.00277951388888889</v>
      </c>
      <c r="J171" s="17" t="n">
        <f aca="false">IF(INDEX(選手一覧!$K$7:$K$2738,$F171)="","",INDEX(選手一覧!$K$7:$K$2738,$F171))</f>
        <v>199</v>
      </c>
    </row>
    <row r="172" customFormat="false" ht="15" hidden="false" customHeight="false" outlineLevel="0" collapsed="false">
      <c r="A172" s="17" t="n">
        <v>168</v>
      </c>
      <c r="B172" s="12" t="s">
        <v>346</v>
      </c>
      <c r="C172" s="12" t="s">
        <v>167</v>
      </c>
      <c r="D172" s="16" t="n">
        <v>0.010315625</v>
      </c>
      <c r="E172" s="15" t="n">
        <f aca="false">ROUND((D172-$D$5)*86400,2)</f>
        <v>101.53</v>
      </c>
      <c r="F172" s="17" t="n">
        <v>167</v>
      </c>
      <c r="G172" s="16" t="str">
        <f aca="false">IF(INDEX(選手一覧!$H$7:$H$2738,$F172)="","",INDEX(選手一覧!$H$7:$H$2738,$F172))</f>
        <v/>
      </c>
      <c r="H172" s="17" t="str">
        <f aca="false">IF(INDEX(選手一覧!$I$7:$I$2738,$F172)="","",INDEX(選手一覧!$I$7:$I$2738,$F172))</f>
        <v/>
      </c>
      <c r="I172" s="16" t="str">
        <f aca="false">IF(INDEX(選手一覧!$J$7:$J$2738,$F172)="","",INDEX(選手一覧!$J$7:$J$2738,$F172))</f>
        <v/>
      </c>
      <c r="J172" s="17" t="str">
        <f aca="false">IF(INDEX(選手一覧!$K$7:$K$2738,$F172)="","",INDEX(選手一覧!$K$7:$K$2738,$F172))</f>
        <v/>
      </c>
    </row>
    <row r="173" customFormat="false" ht="15" hidden="false" customHeight="false" outlineLevel="0" collapsed="false">
      <c r="A173" s="17" t="n">
        <v>169</v>
      </c>
      <c r="B173" s="12" t="s">
        <v>347</v>
      </c>
      <c r="C173" s="12" t="s">
        <v>348</v>
      </c>
      <c r="D173" s="16" t="n">
        <v>0.0103164351851852</v>
      </c>
      <c r="E173" s="15" t="n">
        <f aca="false">ROUND((D173-$D$5)*86400,2)</f>
        <v>101.6</v>
      </c>
      <c r="F173" s="17" t="n">
        <v>168</v>
      </c>
      <c r="G173" s="16" t="str">
        <f aca="false">IF(INDEX(選手一覧!$H$7:$H$2738,$F173)="","",INDEX(選手一覧!$H$7:$H$2738,$F173))</f>
        <v/>
      </c>
      <c r="H173" s="17" t="str">
        <f aca="false">IF(INDEX(選手一覧!$I$7:$I$2738,$F173)="","",INDEX(選手一覧!$I$7:$I$2738,$F173))</f>
        <v/>
      </c>
      <c r="I173" s="16" t="n">
        <f aca="false">IF(INDEX(選手一覧!$J$7:$J$2738,$F173)="","",INDEX(選手一覧!$J$7:$J$2738,$F173))</f>
        <v>0.00283576388888889</v>
      </c>
      <c r="J173" s="17" t="n">
        <f aca="false">IF(INDEX(選手一覧!$K$7:$K$2738,$F173)="","",INDEX(選手一覧!$K$7:$K$2738,$F173))</f>
        <v>468</v>
      </c>
    </row>
    <row r="174" customFormat="false" ht="15" hidden="false" customHeight="false" outlineLevel="0" collapsed="false">
      <c r="A174" s="17" t="n">
        <v>170</v>
      </c>
      <c r="B174" s="12" t="s">
        <v>350</v>
      </c>
      <c r="C174" s="12" t="s">
        <v>351</v>
      </c>
      <c r="D174" s="16" t="n">
        <v>0.0103172453703704</v>
      </c>
      <c r="E174" s="15" t="n">
        <f aca="false">ROUND((D174-$D$5)*86400,2)</f>
        <v>101.67</v>
      </c>
      <c r="F174" s="17" t="n">
        <v>169</v>
      </c>
      <c r="G174" s="16" t="n">
        <f aca="false">IF(INDEX(選手一覧!$H$7:$H$2738,$F174)="","",INDEX(選手一覧!$H$7:$H$2738,$F174))</f>
        <v>0.00654826388888889</v>
      </c>
      <c r="H174" s="17" t="n">
        <f aca="false">IF(INDEX(選手一覧!$I$7:$I$2738,$F174)="","",INDEX(選手一覧!$I$7:$I$2738,$F174))</f>
        <v>45</v>
      </c>
      <c r="I174" s="16" t="n">
        <f aca="false">IF(INDEX(選手一覧!$J$7:$J$2738,$F174)="","",INDEX(選手一覧!$J$7:$J$2738,$F174))</f>
        <v>0.00278391203703704</v>
      </c>
      <c r="J174" s="17" t="n">
        <f aca="false">IF(INDEX(選手一覧!$K$7:$K$2738,$F174)="","",INDEX(選手一覧!$K$7:$K$2738,$F174))</f>
        <v>216</v>
      </c>
    </row>
    <row r="175" customFormat="false" ht="15" hidden="false" customHeight="false" outlineLevel="0" collapsed="false">
      <c r="A175" s="17" t="n">
        <v>171</v>
      </c>
      <c r="B175" s="12" t="s">
        <v>353</v>
      </c>
      <c r="C175" s="12" t="s">
        <v>27</v>
      </c>
      <c r="D175" s="16" t="n">
        <v>0.0103173611111111</v>
      </c>
      <c r="E175" s="15" t="n">
        <f aca="false">ROUND((D175-$D$5)*86400,2)</f>
        <v>101.68</v>
      </c>
      <c r="F175" s="17" t="n">
        <v>170</v>
      </c>
      <c r="G175" s="16" t="str">
        <f aca="false">IF(INDEX(選手一覧!$H$7:$H$2738,$F175)="","",INDEX(選手一覧!$H$7:$H$2738,$F175))</f>
        <v/>
      </c>
      <c r="H175" s="17" t="str">
        <f aca="false">IF(INDEX(選手一覧!$I$7:$I$2738,$F175)="","",INDEX(選手一覧!$I$7:$I$2738,$F175))</f>
        <v/>
      </c>
      <c r="I175" s="16" t="n">
        <f aca="false">IF(INDEX(選手一覧!$J$7:$J$2738,$F175)="","",INDEX(選手一覧!$J$7:$J$2738,$F175))</f>
        <v>0.0028712962962963</v>
      </c>
      <c r="J175" s="17" t="n">
        <f aca="false">IF(INDEX(選手一覧!$K$7:$K$2738,$F175)="","",INDEX(選手一覧!$K$7:$K$2738,$F175))</f>
        <v>709</v>
      </c>
    </row>
    <row r="176" customFormat="false" ht="15" hidden="false" customHeight="false" outlineLevel="0" collapsed="false">
      <c r="A176" s="17" t="n">
        <v>172</v>
      </c>
      <c r="B176" s="12" t="s">
        <v>354</v>
      </c>
      <c r="C176" s="12" t="s">
        <v>303</v>
      </c>
      <c r="D176" s="16" t="n">
        <v>0.0103181712962963</v>
      </c>
      <c r="E176" s="15" t="n">
        <f aca="false">ROUND((D176-$D$5)*86400,2)</f>
        <v>101.75</v>
      </c>
      <c r="F176" s="17" t="n">
        <v>171</v>
      </c>
      <c r="G176" s="16" t="n">
        <f aca="false">IF(INDEX(選手一覧!$H$7:$H$2738,$F176)="","",INDEX(選手一覧!$H$7:$H$2738,$F176))</f>
        <v>0.006540625</v>
      </c>
      <c r="H176" s="17" t="n">
        <f aca="false">IF(INDEX(選手一覧!$I$7:$I$2738,$F176)="","",INDEX(選手一覧!$I$7:$I$2738,$F176))</f>
        <v>43</v>
      </c>
      <c r="I176" s="16" t="n">
        <f aca="false">IF(INDEX(選手一覧!$J$7:$J$2738,$F176)="","",INDEX(選手一覧!$J$7:$J$2738,$F176))</f>
        <v>0.00277326388888889</v>
      </c>
      <c r="J176" s="17" t="n">
        <f aca="false">IF(INDEX(選手一覧!$K$7:$K$2738,$F176)="","",INDEX(選手一覧!$K$7:$K$2738,$F176))</f>
        <v>168</v>
      </c>
    </row>
    <row r="177" customFormat="false" ht="15" hidden="false" customHeight="false" outlineLevel="0" collapsed="false">
      <c r="A177" s="17" t="n">
        <v>173</v>
      </c>
      <c r="B177" s="12" t="s">
        <v>355</v>
      </c>
      <c r="C177" s="12" t="s">
        <v>186</v>
      </c>
      <c r="D177" s="16" t="n">
        <v>0.01031875</v>
      </c>
      <c r="E177" s="15" t="n">
        <f aca="false">ROUND((D177-$D$5)*86400,2)</f>
        <v>101.8</v>
      </c>
      <c r="F177" s="17" t="n">
        <v>172</v>
      </c>
      <c r="G177" s="16" t="str">
        <f aca="false">IF(INDEX(選手一覧!$H$7:$H$2738,$F177)="","",INDEX(選手一覧!$H$7:$H$2738,$F177))</f>
        <v/>
      </c>
      <c r="H177" s="17" t="str">
        <f aca="false">IF(INDEX(選手一覧!$I$7:$I$2738,$F177)="","",INDEX(選手一覧!$I$7:$I$2738,$F177))</f>
        <v/>
      </c>
      <c r="I177" s="16" t="n">
        <f aca="false">IF(INDEX(選手一覧!$J$7:$J$2738,$F177)="","",INDEX(選手一覧!$J$7:$J$2738,$F177))</f>
        <v>0.00285532407407407</v>
      </c>
      <c r="J177" s="17" t="n">
        <f aca="false">IF(INDEX(選手一覧!$K$7:$K$2738,$F177)="","",INDEX(選手一覧!$K$7:$K$2738,$F177))</f>
        <v>598</v>
      </c>
    </row>
    <row r="178" customFormat="false" ht="15" hidden="false" customHeight="false" outlineLevel="0" collapsed="false">
      <c r="A178" s="17" t="n">
        <v>174</v>
      </c>
      <c r="B178" s="12" t="s">
        <v>356</v>
      </c>
      <c r="C178" s="12" t="s">
        <v>179</v>
      </c>
      <c r="D178" s="16" t="n">
        <v>0.0103224537037037</v>
      </c>
      <c r="E178" s="15" t="n">
        <f aca="false">ROUND((D178-$D$5)*86400,2)</f>
        <v>102.12</v>
      </c>
      <c r="F178" s="17" t="n">
        <v>173</v>
      </c>
      <c r="G178" s="16" t="str">
        <f aca="false">IF(INDEX(選手一覧!$H$7:$H$2738,$F178)="","",INDEX(選手一覧!$H$7:$H$2738,$F178))</f>
        <v/>
      </c>
      <c r="H178" s="17" t="str">
        <f aca="false">IF(INDEX(選手一覧!$I$7:$I$2738,$F178)="","",INDEX(選手一覧!$I$7:$I$2738,$F178))</f>
        <v/>
      </c>
      <c r="I178" s="16" t="n">
        <f aca="false">IF(INDEX(選手一覧!$J$7:$J$2738,$F178)="","",INDEX(選手一覧!$J$7:$J$2738,$F178))</f>
        <v>0.00290902777777778</v>
      </c>
      <c r="J178" s="17" t="n">
        <f aca="false">IF(INDEX(選手一覧!$K$7:$K$2738,$F178)="","",INDEX(選手一覧!$K$7:$K$2738,$F178))</f>
        <v>1009</v>
      </c>
    </row>
    <row r="179" customFormat="false" ht="15" hidden="false" customHeight="false" outlineLevel="0" collapsed="false">
      <c r="A179" s="17" t="n">
        <v>175</v>
      </c>
      <c r="B179" s="12" t="s">
        <v>358</v>
      </c>
      <c r="C179" s="12" t="s">
        <v>323</v>
      </c>
      <c r="D179" s="16" t="n">
        <v>0.0103246527777778</v>
      </c>
      <c r="E179" s="15" t="n">
        <f aca="false">ROUND((D179-$D$5)*86400,2)</f>
        <v>102.31</v>
      </c>
      <c r="F179" s="17" t="n">
        <v>174</v>
      </c>
      <c r="G179" s="16" t="n">
        <f aca="false">IF(INDEX(選手一覧!$H$7:$H$2738,$F179)="","",INDEX(選手一覧!$H$7:$H$2738,$F179))</f>
        <v>0.00648136574074074</v>
      </c>
      <c r="H179" s="17" t="n">
        <f aca="false">IF(INDEX(選手一覧!$I$7:$I$2738,$F179)="","",INDEX(選手一覧!$I$7:$I$2738,$F179))</f>
        <v>30</v>
      </c>
      <c r="I179" s="16" t="n">
        <f aca="false">IF(INDEX(選手一覧!$J$7:$J$2738,$F179)="","",INDEX(選手一覧!$J$7:$J$2738,$F179))</f>
        <v>0.00279930555555556</v>
      </c>
      <c r="J179" s="17" t="n">
        <f aca="false">IF(INDEX(選手一覧!$K$7:$K$2738,$F179)="","",INDEX(選手一覧!$K$7:$K$2738,$F179))</f>
        <v>279</v>
      </c>
    </row>
    <row r="180" customFormat="false" ht="15" hidden="false" customHeight="false" outlineLevel="0" collapsed="false">
      <c r="A180" s="17" t="n">
        <v>176</v>
      </c>
      <c r="B180" s="12" t="s">
        <v>359</v>
      </c>
      <c r="C180" s="12" t="s">
        <v>360</v>
      </c>
      <c r="D180" s="16" t="n">
        <v>0.0103251157407407</v>
      </c>
      <c r="E180" s="15" t="n">
        <f aca="false">ROUND((D180-$D$5)*86400,2)</f>
        <v>102.35</v>
      </c>
      <c r="F180" s="17" t="n">
        <v>175</v>
      </c>
      <c r="G180" s="16" t="str">
        <f aca="false">IF(INDEX(選手一覧!$H$7:$H$2738,$F180)="","",INDEX(選手一覧!$H$7:$H$2738,$F180))</f>
        <v/>
      </c>
      <c r="H180" s="17" t="str">
        <f aca="false">IF(INDEX(選手一覧!$I$7:$I$2738,$F180)="","",INDEX(選手一覧!$I$7:$I$2738,$F180))</f>
        <v/>
      </c>
      <c r="I180" s="16" t="n">
        <f aca="false">IF(INDEX(選手一覧!$J$7:$J$2738,$F180)="","",INDEX(選手一覧!$J$7:$J$2738,$F180))</f>
        <v>0.00282268518518519</v>
      </c>
      <c r="J180" s="17" t="n">
        <f aca="false">IF(INDEX(選手一覧!$K$7:$K$2738,$F180)="","",INDEX(選手一覧!$K$7:$K$2738,$F180))</f>
        <v>379</v>
      </c>
    </row>
    <row r="181" customFormat="false" ht="15" hidden="false" customHeight="false" outlineLevel="0" collapsed="false">
      <c r="A181" s="17" t="n">
        <v>177</v>
      </c>
      <c r="B181" s="12" t="s">
        <v>362</v>
      </c>
      <c r="C181" s="12" t="s">
        <v>311</v>
      </c>
      <c r="D181" s="16" t="n">
        <v>0.0103259259259259</v>
      </c>
      <c r="E181" s="15" t="n">
        <f aca="false">ROUND((D181-$D$5)*86400,2)</f>
        <v>102.42</v>
      </c>
      <c r="F181" s="17" t="n">
        <v>176</v>
      </c>
      <c r="G181" s="16" t="str">
        <f aca="false">IF(INDEX(選手一覧!$H$7:$H$2738,$F181)="","",INDEX(選手一覧!$H$7:$H$2738,$F181))</f>
        <v/>
      </c>
      <c r="H181" s="17" t="str">
        <f aca="false">IF(INDEX(選手一覧!$I$7:$I$2738,$F181)="","",INDEX(選手一覧!$I$7:$I$2738,$F181))</f>
        <v/>
      </c>
      <c r="I181" s="16" t="n">
        <f aca="false">IF(INDEX(選手一覧!$J$7:$J$2738,$F181)="","",INDEX(選手一覧!$J$7:$J$2738,$F181))</f>
        <v>0.00296030092592593</v>
      </c>
      <c r="J181" s="17" t="n">
        <f aca="false">IF(INDEX(選手一覧!$K$7:$K$2738,$F181)="","",INDEX(選手一覧!$K$7:$K$2738,$F181))</f>
        <v>1273</v>
      </c>
    </row>
    <row r="182" customFormat="false" ht="15" hidden="false" customHeight="false" outlineLevel="0" collapsed="false">
      <c r="A182" s="17" t="n">
        <v>178</v>
      </c>
      <c r="B182" s="12" t="s">
        <v>363</v>
      </c>
      <c r="C182" s="12" t="s">
        <v>127</v>
      </c>
      <c r="D182" s="16" t="n">
        <v>0.0103260416666667</v>
      </c>
      <c r="E182" s="15" t="n">
        <f aca="false">ROUND((D182-$D$5)*86400,2)</f>
        <v>102.43</v>
      </c>
      <c r="F182" s="17" t="n">
        <v>177</v>
      </c>
      <c r="G182" s="16" t="str">
        <f aca="false">IF(INDEX(選手一覧!$H$7:$H$2738,$F182)="","",INDEX(選手一覧!$H$7:$H$2738,$F182))</f>
        <v/>
      </c>
      <c r="H182" s="17" t="str">
        <f aca="false">IF(INDEX(選手一覧!$I$7:$I$2738,$F182)="","",INDEX(選手一覧!$I$7:$I$2738,$F182))</f>
        <v/>
      </c>
      <c r="I182" s="16" t="n">
        <f aca="false">IF(INDEX(選手一覧!$J$7:$J$2738,$F182)="","",INDEX(選手一覧!$J$7:$J$2738,$F182))</f>
        <v>0.00282430555555556</v>
      </c>
      <c r="J182" s="17" t="n">
        <f aca="false">IF(INDEX(選手一覧!$K$7:$K$2738,$F182)="","",INDEX(選手一覧!$K$7:$K$2738,$F182))</f>
        <v>389</v>
      </c>
    </row>
    <row r="183" customFormat="false" ht="15" hidden="false" customHeight="false" outlineLevel="0" collapsed="false">
      <c r="A183" s="17" t="n">
        <v>179</v>
      </c>
      <c r="B183" s="12" t="s">
        <v>365</v>
      </c>
      <c r="C183" s="12" t="s">
        <v>54</v>
      </c>
      <c r="D183" s="16" t="n">
        <v>0.0103261574074074</v>
      </c>
      <c r="E183" s="15" t="n">
        <f aca="false">ROUND((D183-$D$5)*86400,2)</f>
        <v>102.44</v>
      </c>
      <c r="F183" s="17" t="n">
        <v>178</v>
      </c>
      <c r="G183" s="16" t="str">
        <f aca="false">IF(INDEX(選手一覧!$H$7:$H$2738,$F183)="","",INDEX(選手一覧!$H$7:$H$2738,$F183))</f>
        <v/>
      </c>
      <c r="H183" s="17" t="str">
        <f aca="false">IF(INDEX(選手一覧!$I$7:$I$2738,$F183)="","",INDEX(選手一覧!$I$7:$I$2738,$F183))</f>
        <v/>
      </c>
      <c r="I183" s="16" t="n">
        <f aca="false">IF(INDEX(選手一覧!$J$7:$J$2738,$F183)="","",INDEX(選手一覧!$J$7:$J$2738,$F183))</f>
        <v>0.00288576388888889</v>
      </c>
      <c r="J183" s="17" t="n">
        <f aca="false">IF(INDEX(選手一覧!$K$7:$K$2738,$F183)="","",INDEX(選手一覧!$K$7:$K$2738,$F183))</f>
        <v>822</v>
      </c>
    </row>
    <row r="184" customFormat="false" ht="15" hidden="false" customHeight="false" outlineLevel="0" collapsed="false">
      <c r="A184" s="17" t="n">
        <v>180</v>
      </c>
      <c r="B184" s="12" t="s">
        <v>366</v>
      </c>
      <c r="C184" s="12" t="s">
        <v>77</v>
      </c>
      <c r="D184" s="16" t="n">
        <v>0.0103270833333333</v>
      </c>
      <c r="E184" s="15" t="n">
        <f aca="false">ROUND((D184-$D$5)*86400,2)</f>
        <v>102.52</v>
      </c>
      <c r="F184" s="17" t="n">
        <v>179</v>
      </c>
      <c r="G184" s="16" t="n">
        <f aca="false">IF(INDEX(選手一覧!$H$7:$H$2738,$F184)="","",INDEX(選手一覧!$H$7:$H$2738,$F184))</f>
        <v>0.00692604166666667</v>
      </c>
      <c r="H184" s="17" t="n">
        <f aca="false">IF(INDEX(選手一覧!$I$7:$I$2738,$F184)="","",INDEX(選手一覧!$I$7:$I$2738,$F184))</f>
        <v>266</v>
      </c>
      <c r="I184" s="16" t="n">
        <f aca="false">IF(INDEX(選手一覧!$J$7:$J$2738,$F184)="","",INDEX(選手一覧!$J$7:$J$2738,$F184))</f>
        <v>0.00286608796296296</v>
      </c>
      <c r="J184" s="17" t="n">
        <f aca="false">IF(INDEX(選手一覧!$K$7:$K$2738,$F184)="","",INDEX(選手一覧!$K$7:$K$2738,$F184))</f>
        <v>670</v>
      </c>
    </row>
    <row r="185" customFormat="false" ht="15" hidden="false" customHeight="false" outlineLevel="0" collapsed="false">
      <c r="A185" s="17" t="n">
        <v>181</v>
      </c>
      <c r="B185" s="12" t="s">
        <v>368</v>
      </c>
      <c r="C185" s="12" t="s">
        <v>157</v>
      </c>
      <c r="D185" s="16" t="n">
        <v>0.0103275462962963</v>
      </c>
      <c r="E185" s="15" t="n">
        <f aca="false">ROUND((D185-$D$5)*86400,2)</f>
        <v>102.56</v>
      </c>
      <c r="F185" s="17" t="n">
        <v>180</v>
      </c>
      <c r="G185" s="16" t="str">
        <f aca="false">IF(INDEX(選手一覧!$H$7:$H$2738,$F185)="","",INDEX(選手一覧!$H$7:$H$2738,$F185))</f>
        <v/>
      </c>
      <c r="H185" s="17" t="str">
        <f aca="false">IF(INDEX(選手一覧!$I$7:$I$2738,$F185)="","",INDEX(選手一覧!$I$7:$I$2738,$F185))</f>
        <v/>
      </c>
      <c r="I185" s="16" t="str">
        <f aca="false">IF(INDEX(選手一覧!$J$7:$J$2738,$F185)="","",INDEX(選手一覧!$J$7:$J$2738,$F185))</f>
        <v/>
      </c>
      <c r="J185" s="17" t="str">
        <f aca="false">IF(INDEX(選手一覧!$K$7:$K$2738,$F185)="","",INDEX(選手一覧!$K$7:$K$2738,$F185))</f>
        <v/>
      </c>
    </row>
    <row r="186" customFormat="false" ht="15" hidden="false" customHeight="false" outlineLevel="0" collapsed="false">
      <c r="A186" s="17" t="n">
        <v>182</v>
      </c>
      <c r="B186" s="12" t="s">
        <v>369</v>
      </c>
      <c r="C186" s="12" t="s">
        <v>370</v>
      </c>
      <c r="D186" s="16" t="n">
        <v>0.0103303240740741</v>
      </c>
      <c r="E186" s="15" t="n">
        <f aca="false">ROUND((D186-$D$5)*86400,2)</f>
        <v>102.8</v>
      </c>
      <c r="F186" s="17" t="n">
        <v>181</v>
      </c>
      <c r="G186" s="16" t="n">
        <f aca="false">IF(INDEX(選手一覧!$H$7:$H$2738,$F186)="","",INDEX(選手一覧!$H$7:$H$2738,$F186))</f>
        <v>0.00704131944444445</v>
      </c>
      <c r="H186" s="17" t="n">
        <f aca="false">IF(INDEX(選手一覧!$I$7:$I$2738,$F186)="","",INDEX(選手一覧!$I$7:$I$2738,$F186))</f>
        <v>378</v>
      </c>
      <c r="I186" s="16" t="n">
        <f aca="false">IF(INDEX(選手一覧!$J$7:$J$2738,$F186)="","",INDEX(選手一覧!$J$7:$J$2738,$F186))</f>
        <v>0.00277731481481482</v>
      </c>
      <c r="J186" s="17" t="n">
        <f aca="false">IF(INDEX(選手一覧!$K$7:$K$2738,$F186)="","",INDEX(選手一覧!$K$7:$K$2738,$F186))</f>
        <v>187</v>
      </c>
    </row>
    <row r="187" customFormat="false" ht="15" hidden="false" customHeight="false" outlineLevel="0" collapsed="false">
      <c r="A187" s="17" t="n">
        <v>183</v>
      </c>
      <c r="B187" s="12" t="s">
        <v>371</v>
      </c>
      <c r="C187" s="12" t="s">
        <v>143</v>
      </c>
      <c r="D187" s="16" t="n">
        <v>0.0103304398148148</v>
      </c>
      <c r="E187" s="15" t="n">
        <f aca="false">ROUND((D187-$D$5)*86400,2)</f>
        <v>102.81</v>
      </c>
      <c r="F187" s="17" t="n">
        <v>182</v>
      </c>
      <c r="G187" s="16" t="str">
        <f aca="false">IF(INDEX(選手一覧!$H$7:$H$2738,$F187)="","",INDEX(選手一覧!$H$7:$H$2738,$F187))</f>
        <v/>
      </c>
      <c r="H187" s="17" t="str">
        <f aca="false">IF(INDEX(選手一覧!$I$7:$I$2738,$F187)="","",INDEX(選手一覧!$I$7:$I$2738,$F187))</f>
        <v/>
      </c>
      <c r="I187" s="16" t="n">
        <f aca="false">IF(INDEX(選手一覧!$J$7:$J$2738,$F187)="","",INDEX(選手一覧!$J$7:$J$2738,$F187))</f>
        <v>0.00295821759259259</v>
      </c>
      <c r="J187" s="17" t="n">
        <f aca="false">IF(INDEX(選手一覧!$K$7:$K$2738,$F187)="","",INDEX(選手一覧!$K$7:$K$2738,$F187))</f>
        <v>1262</v>
      </c>
    </row>
    <row r="188" customFormat="false" ht="15" hidden="false" customHeight="false" outlineLevel="0" collapsed="false">
      <c r="A188" s="17" t="n">
        <v>184</v>
      </c>
      <c r="B188" s="12" t="s">
        <v>372</v>
      </c>
      <c r="C188" s="12" t="s">
        <v>77</v>
      </c>
      <c r="D188" s="16" t="n">
        <v>0.0103328703703704</v>
      </c>
      <c r="E188" s="15" t="n">
        <f aca="false">ROUND((D188-$D$5)*86400,2)</f>
        <v>103.02</v>
      </c>
      <c r="F188" s="17" t="n">
        <v>183</v>
      </c>
      <c r="G188" s="16" t="str">
        <f aca="false">IF(INDEX(選手一覧!$H$7:$H$2738,$F188)="","",INDEX(選手一覧!$H$7:$H$2738,$F188))</f>
        <v/>
      </c>
      <c r="H188" s="17" t="str">
        <f aca="false">IF(INDEX(選手一覧!$I$7:$I$2738,$F188)="","",INDEX(選手一覧!$I$7:$I$2738,$F188))</f>
        <v/>
      </c>
      <c r="I188" s="16" t="n">
        <f aca="false">IF(INDEX(選手一覧!$J$7:$J$2738,$F188)="","",INDEX(選手一覧!$J$7:$J$2738,$F188))</f>
        <v>0.00282314814814815</v>
      </c>
      <c r="J188" s="17" t="n">
        <f aca="false">IF(INDEX(選手一覧!$K$7:$K$2738,$F188)="","",INDEX(選手一覧!$K$7:$K$2738,$F188))</f>
        <v>382</v>
      </c>
    </row>
    <row r="189" customFormat="false" ht="15" hidden="false" customHeight="false" outlineLevel="0" collapsed="false">
      <c r="A189" s="17" t="n">
        <v>185</v>
      </c>
      <c r="B189" s="12" t="s">
        <v>374</v>
      </c>
      <c r="C189" s="12" t="s">
        <v>375</v>
      </c>
      <c r="D189" s="16" t="n">
        <v>0.0103357638888889</v>
      </c>
      <c r="E189" s="15" t="n">
        <f aca="false">ROUND((D189-$D$5)*86400,2)</f>
        <v>103.27</v>
      </c>
      <c r="F189" s="17" t="n">
        <v>184</v>
      </c>
      <c r="G189" s="16" t="str">
        <f aca="false">IF(INDEX(選手一覧!$H$7:$H$2738,$F189)="","",INDEX(選手一覧!$H$7:$H$2738,$F189))</f>
        <v/>
      </c>
      <c r="H189" s="17" t="str">
        <f aca="false">IF(INDEX(選手一覧!$I$7:$I$2738,$F189)="","",INDEX(選手一覧!$I$7:$I$2738,$F189))</f>
        <v/>
      </c>
      <c r="I189" s="16" t="str">
        <f aca="false">IF(INDEX(選手一覧!$J$7:$J$2738,$F189)="","",INDEX(選手一覧!$J$7:$J$2738,$F189))</f>
        <v/>
      </c>
      <c r="J189" s="17" t="str">
        <f aca="false">IF(INDEX(選手一覧!$K$7:$K$2738,$F189)="","",INDEX(選手一覧!$K$7:$K$2738,$F189))</f>
        <v/>
      </c>
    </row>
    <row r="190" customFormat="false" ht="15" hidden="false" customHeight="false" outlineLevel="0" collapsed="false">
      <c r="A190" s="17" t="n">
        <v>186</v>
      </c>
      <c r="B190" s="12" t="s">
        <v>376</v>
      </c>
      <c r="C190" s="12" t="s">
        <v>377</v>
      </c>
      <c r="D190" s="16" t="n">
        <v>0.0103365740740741</v>
      </c>
      <c r="E190" s="15" t="n">
        <f aca="false">ROUND((D190-$D$5)*86400,2)</f>
        <v>103.34</v>
      </c>
      <c r="F190" s="17" t="n">
        <v>185</v>
      </c>
      <c r="G190" s="16" t="n">
        <f aca="false">IF(INDEX(選手一覧!$H$7:$H$2738,$F190)="","",INDEX(選手一覧!$H$7:$H$2738,$F190))</f>
        <v>0.00739351851851852</v>
      </c>
      <c r="H190" s="17" t="n">
        <f aca="false">IF(INDEX(選手一覧!$I$7:$I$2738,$F190)="","",INDEX(選手一覧!$I$7:$I$2738,$F190))</f>
        <v>765</v>
      </c>
      <c r="I190" s="16" t="n">
        <f aca="false">IF(INDEX(選手一覧!$J$7:$J$2738,$F190)="","",INDEX(選手一覧!$J$7:$J$2738,$F190))</f>
        <v>0.002790625</v>
      </c>
      <c r="J190" s="17" t="n">
        <f aca="false">IF(INDEX(選手一覧!$K$7:$K$2738,$F190)="","",INDEX(選手一覧!$K$7:$K$2738,$F190))</f>
        <v>243</v>
      </c>
    </row>
    <row r="191" customFormat="false" ht="15" hidden="false" customHeight="false" outlineLevel="0" collapsed="false">
      <c r="A191" s="17" t="n">
        <v>187</v>
      </c>
      <c r="B191" s="12" t="s">
        <v>379</v>
      </c>
      <c r="C191" s="12" t="s">
        <v>380</v>
      </c>
      <c r="D191" s="16" t="n">
        <v>0.0103375</v>
      </c>
      <c r="E191" s="15" t="n">
        <f aca="false">ROUND((D191-$D$5)*86400,2)</f>
        <v>103.42</v>
      </c>
      <c r="F191" s="17" t="n">
        <v>186</v>
      </c>
      <c r="G191" s="16" t="n">
        <f aca="false">IF(INDEX(選手一覧!$H$7:$H$2738,$F191)="","",INDEX(選手一覧!$H$7:$H$2738,$F191))</f>
        <v>0.00693090277777778</v>
      </c>
      <c r="H191" s="17" t="n">
        <f aca="false">IF(INDEX(選手一覧!$I$7:$I$2738,$F191)="","",INDEX(選手一覧!$I$7:$I$2738,$F191))</f>
        <v>274</v>
      </c>
      <c r="I191" s="16" t="n">
        <f aca="false">IF(INDEX(選手一覧!$J$7:$J$2738,$F191)="","",INDEX(選手一覧!$J$7:$J$2738,$F191))</f>
        <v>0.00290196759259259</v>
      </c>
      <c r="J191" s="17" t="n">
        <f aca="false">IF(INDEX(選手一覧!$K$7:$K$2738,$F191)="","",INDEX(選手一覧!$K$7:$K$2738,$F191))</f>
        <v>964</v>
      </c>
    </row>
    <row r="192" customFormat="false" ht="15" hidden="false" customHeight="false" outlineLevel="0" collapsed="false">
      <c r="A192" s="17" t="n">
        <v>188</v>
      </c>
      <c r="B192" s="12" t="s">
        <v>381</v>
      </c>
      <c r="C192" s="12" t="s">
        <v>382</v>
      </c>
      <c r="D192" s="16" t="n">
        <v>0.010337962962963</v>
      </c>
      <c r="E192" s="15" t="n">
        <f aca="false">ROUND((D192-$D$5)*86400,2)</f>
        <v>103.46</v>
      </c>
      <c r="F192" s="17" t="n">
        <v>187</v>
      </c>
      <c r="G192" s="16" t="str">
        <f aca="false">IF(INDEX(選手一覧!$H$7:$H$2738,$F192)="","",INDEX(選手一覧!$H$7:$H$2738,$F192))</f>
        <v/>
      </c>
      <c r="H192" s="17" t="str">
        <f aca="false">IF(INDEX(選手一覧!$I$7:$I$2738,$F192)="","",INDEX(選手一覧!$I$7:$I$2738,$F192))</f>
        <v/>
      </c>
      <c r="I192" s="16" t="str">
        <f aca="false">IF(INDEX(選手一覧!$J$7:$J$2738,$F192)="","",INDEX(選手一覧!$J$7:$J$2738,$F192))</f>
        <v/>
      </c>
      <c r="J192" s="17" t="str">
        <f aca="false">IF(INDEX(選手一覧!$K$7:$K$2738,$F192)="","",INDEX(選手一覧!$K$7:$K$2738,$F192))</f>
        <v/>
      </c>
    </row>
    <row r="193" customFormat="false" ht="15" hidden="false" customHeight="false" outlineLevel="0" collapsed="false">
      <c r="A193" s="17" t="n">
        <v>189</v>
      </c>
      <c r="B193" s="12" t="s">
        <v>383</v>
      </c>
      <c r="C193" s="12" t="s">
        <v>37</v>
      </c>
      <c r="D193" s="16" t="n">
        <v>0.0103387731481482</v>
      </c>
      <c r="E193" s="15" t="n">
        <f aca="false">ROUND((D193-$D$5)*86400,2)</f>
        <v>103.53</v>
      </c>
      <c r="F193" s="17" t="n">
        <v>188</v>
      </c>
      <c r="G193" s="16" t="str">
        <f aca="false">IF(INDEX(選手一覧!$H$7:$H$2738,$F193)="","",INDEX(選手一覧!$H$7:$H$2738,$F193))</f>
        <v/>
      </c>
      <c r="H193" s="17" t="str">
        <f aca="false">IF(INDEX(選手一覧!$I$7:$I$2738,$F193)="","",INDEX(選手一覧!$I$7:$I$2738,$F193))</f>
        <v/>
      </c>
      <c r="I193" s="16" t="n">
        <f aca="false">IF(INDEX(選手一覧!$J$7:$J$2738,$F193)="","",INDEX(選手一覧!$J$7:$J$2738,$F193))</f>
        <v>0.00288298611111111</v>
      </c>
      <c r="J193" s="17" t="n">
        <f aca="false">IF(INDEX(選手一覧!$K$7:$K$2738,$F193)="","",INDEX(選手一覧!$K$7:$K$2738,$F193))</f>
        <v>802</v>
      </c>
    </row>
    <row r="194" customFormat="false" ht="15" hidden="false" customHeight="false" outlineLevel="0" collapsed="false">
      <c r="A194" s="17" t="n">
        <v>190</v>
      </c>
      <c r="B194" s="12" t="s">
        <v>384</v>
      </c>
      <c r="C194" s="12" t="s">
        <v>99</v>
      </c>
      <c r="D194" s="16" t="n">
        <v>0.0103393518518519</v>
      </c>
      <c r="E194" s="15" t="n">
        <f aca="false">ROUND((D194-$D$5)*86400,2)</f>
        <v>103.58</v>
      </c>
      <c r="F194" s="17" t="n">
        <v>189</v>
      </c>
      <c r="G194" s="16" t="n">
        <f aca="false">IF(INDEX(選手一覧!$H$7:$H$2738,$F194)="","",INDEX(選手一覧!$H$7:$H$2738,$F194))</f>
        <v>0.00682673611111111</v>
      </c>
      <c r="H194" s="17" t="n">
        <f aca="false">IF(INDEX(選手一覧!$I$7:$I$2738,$F194)="","",INDEX(選手一覧!$I$7:$I$2738,$F194))</f>
        <v>190</v>
      </c>
      <c r="I194" s="16" t="n">
        <f aca="false">IF(INDEX(選手一覧!$J$7:$J$2738,$F194)="","",INDEX(選手一覧!$J$7:$J$2738,$F194))</f>
        <v>0.0028119212962963</v>
      </c>
      <c r="J194" s="17" t="n">
        <f aca="false">IF(INDEX(選手一覧!$K$7:$K$2738,$F194)="","",INDEX(選手一覧!$K$7:$K$2738,$F194))</f>
        <v>329</v>
      </c>
    </row>
    <row r="195" customFormat="false" ht="15" hidden="false" customHeight="false" outlineLevel="0" collapsed="false">
      <c r="A195" s="17" t="n">
        <v>191</v>
      </c>
      <c r="B195" s="12" t="s">
        <v>385</v>
      </c>
      <c r="C195" s="12" t="s">
        <v>375</v>
      </c>
      <c r="D195" s="16" t="n">
        <v>0.0103395833333333</v>
      </c>
      <c r="E195" s="15" t="n">
        <f aca="false">ROUND((D195-$D$5)*86400,2)</f>
        <v>103.6</v>
      </c>
      <c r="F195" s="17" t="n">
        <v>190</v>
      </c>
      <c r="G195" s="16" t="str">
        <f aca="false">IF(INDEX(選手一覧!$H$7:$H$2738,$F195)="","",INDEX(選手一覧!$H$7:$H$2738,$F195))</f>
        <v/>
      </c>
      <c r="H195" s="17" t="str">
        <f aca="false">IF(INDEX(選手一覧!$I$7:$I$2738,$F195)="","",INDEX(選手一覧!$I$7:$I$2738,$F195))</f>
        <v/>
      </c>
      <c r="I195" s="16" t="str">
        <f aca="false">IF(INDEX(選手一覧!$J$7:$J$2738,$F195)="","",INDEX(選手一覧!$J$7:$J$2738,$F195))</f>
        <v/>
      </c>
      <c r="J195" s="17" t="str">
        <f aca="false">IF(INDEX(選手一覧!$K$7:$K$2738,$F195)="","",INDEX(選手一覧!$K$7:$K$2738,$F195))</f>
        <v/>
      </c>
    </row>
    <row r="196" customFormat="false" ht="15" hidden="false" customHeight="false" outlineLevel="0" collapsed="false">
      <c r="A196" s="17" t="n">
        <v>192</v>
      </c>
      <c r="B196" s="12" t="s">
        <v>386</v>
      </c>
      <c r="C196" s="12" t="s">
        <v>157</v>
      </c>
      <c r="D196" s="16" t="n">
        <v>0.010340162037037</v>
      </c>
      <c r="E196" s="15" t="n">
        <f aca="false">ROUND((D196-$D$5)*86400,2)</f>
        <v>103.65</v>
      </c>
      <c r="F196" s="17" t="n">
        <v>191</v>
      </c>
      <c r="G196" s="16" t="str">
        <f aca="false">IF(INDEX(選手一覧!$H$7:$H$2738,$F196)="","",INDEX(選手一覧!$H$7:$H$2738,$F196))</f>
        <v/>
      </c>
      <c r="H196" s="17" t="str">
        <f aca="false">IF(INDEX(選手一覧!$I$7:$I$2738,$F196)="","",INDEX(選手一覧!$I$7:$I$2738,$F196))</f>
        <v/>
      </c>
      <c r="I196" s="16" t="n">
        <f aca="false">IF(INDEX(選手一覧!$J$7:$J$2738,$F196)="","",INDEX(選手一覧!$J$7:$J$2738,$F196))</f>
        <v>0.00288611111111111</v>
      </c>
      <c r="J196" s="17" t="n">
        <f aca="false">IF(INDEX(選手一覧!$K$7:$K$2738,$F196)="","",INDEX(選手一覧!$K$7:$K$2738,$F196))</f>
        <v>826</v>
      </c>
    </row>
    <row r="197" customFormat="false" ht="15" hidden="false" customHeight="false" outlineLevel="0" collapsed="false">
      <c r="A197" s="17" t="n">
        <v>193</v>
      </c>
      <c r="B197" s="12" t="s">
        <v>387</v>
      </c>
      <c r="C197" s="12" t="s">
        <v>351</v>
      </c>
      <c r="D197" s="16" t="n">
        <v>0.0103403935185185</v>
      </c>
      <c r="E197" s="15" t="n">
        <f aca="false">ROUND((D197-$D$5)*86400,2)</f>
        <v>103.67</v>
      </c>
      <c r="F197" s="17" t="n">
        <v>192</v>
      </c>
      <c r="G197" s="16" t="str">
        <f aca="false">IF(INDEX(選手一覧!$H$7:$H$2738,$F197)="","",INDEX(選手一覧!$H$7:$H$2738,$F197))</f>
        <v/>
      </c>
      <c r="H197" s="17" t="str">
        <f aca="false">IF(INDEX(選手一覧!$I$7:$I$2738,$F197)="","",INDEX(選手一覧!$I$7:$I$2738,$F197))</f>
        <v/>
      </c>
      <c r="I197" s="16" t="n">
        <f aca="false">IF(INDEX(選手一覧!$J$7:$J$2738,$F197)="","",INDEX(選手一覧!$J$7:$J$2738,$F197))</f>
        <v>0.00271400462962963</v>
      </c>
      <c r="J197" s="17" t="n">
        <f aca="false">IF(INDEX(選手一覧!$K$7:$K$2738,$F197)="","",INDEX(選手一覧!$K$7:$K$2738,$F197))</f>
        <v>42</v>
      </c>
    </row>
    <row r="198" customFormat="false" ht="15" hidden="false" customHeight="false" outlineLevel="0" collapsed="false">
      <c r="A198" s="17" t="n">
        <v>194</v>
      </c>
      <c r="B198" s="12" t="s">
        <v>388</v>
      </c>
      <c r="C198" s="12" t="s">
        <v>389</v>
      </c>
      <c r="D198" s="16" t="n">
        <v>0.010341087962963</v>
      </c>
      <c r="E198" s="15" t="n">
        <f aca="false">ROUND((D198-$D$5)*86400,2)</f>
        <v>103.73</v>
      </c>
      <c r="F198" s="17" t="n">
        <v>193</v>
      </c>
      <c r="G198" s="16" t="str">
        <f aca="false">IF(INDEX(選手一覧!$H$7:$H$2738,$F198)="","",INDEX(選手一覧!$H$7:$H$2738,$F198))</f>
        <v/>
      </c>
      <c r="H198" s="17" t="str">
        <f aca="false">IF(INDEX(選手一覧!$I$7:$I$2738,$F198)="","",INDEX(選手一覧!$I$7:$I$2738,$F198))</f>
        <v/>
      </c>
      <c r="I198" s="16" t="str">
        <f aca="false">IF(INDEX(選手一覧!$J$7:$J$2738,$F198)="","",INDEX(選手一覧!$J$7:$J$2738,$F198))</f>
        <v/>
      </c>
      <c r="J198" s="17" t="str">
        <f aca="false">IF(INDEX(選手一覧!$K$7:$K$2738,$F198)="","",INDEX(選手一覧!$K$7:$K$2738,$F198))</f>
        <v/>
      </c>
    </row>
    <row r="199" customFormat="false" ht="15" hidden="false" customHeight="false" outlineLevel="0" collapsed="false">
      <c r="A199" s="17" t="n">
        <v>195</v>
      </c>
      <c r="B199" s="12" t="s">
        <v>391</v>
      </c>
      <c r="C199" s="12" t="s">
        <v>245</v>
      </c>
      <c r="D199" s="16" t="n">
        <v>0.0103414351851852</v>
      </c>
      <c r="E199" s="15" t="n">
        <f aca="false">ROUND((D199-$D$5)*86400,2)</f>
        <v>103.76</v>
      </c>
      <c r="F199" s="17" t="n">
        <v>194</v>
      </c>
      <c r="G199" s="16" t="str">
        <f aca="false">IF(INDEX(選手一覧!$H$7:$H$2738,$F199)="","",INDEX(選手一覧!$H$7:$H$2738,$F199))</f>
        <v/>
      </c>
      <c r="H199" s="17" t="str">
        <f aca="false">IF(INDEX(選手一覧!$I$7:$I$2738,$F199)="","",INDEX(選手一覧!$I$7:$I$2738,$F199))</f>
        <v/>
      </c>
      <c r="I199" s="16" t="n">
        <f aca="false">IF(INDEX(選手一覧!$J$7:$J$2738,$F199)="","",INDEX(選手一覧!$J$7:$J$2738,$F199))</f>
        <v>0.00285347222222222</v>
      </c>
      <c r="J199" s="17" t="n">
        <f aca="false">IF(INDEX(選手一覧!$K$7:$K$2738,$F199)="","",INDEX(選手一覧!$K$7:$K$2738,$F199))</f>
        <v>588</v>
      </c>
    </row>
    <row r="200" customFormat="false" ht="15" hidden="false" customHeight="false" outlineLevel="0" collapsed="false">
      <c r="A200" s="17" t="n">
        <v>196</v>
      </c>
      <c r="B200" s="12" t="s">
        <v>393</v>
      </c>
      <c r="C200" s="12" t="s">
        <v>127</v>
      </c>
      <c r="D200" s="16" t="n">
        <v>0.0103417824074074</v>
      </c>
      <c r="E200" s="15" t="n">
        <f aca="false">ROUND((D200-$D$5)*86400,2)</f>
        <v>103.79</v>
      </c>
      <c r="F200" s="17" t="n">
        <v>195</v>
      </c>
      <c r="G200" s="16" t="str">
        <f aca="false">IF(INDEX(選手一覧!$H$7:$H$2738,$F200)="","",INDEX(選手一覧!$H$7:$H$2738,$F200))</f>
        <v/>
      </c>
      <c r="H200" s="17" t="str">
        <f aca="false">IF(INDEX(選手一覧!$I$7:$I$2738,$F200)="","",INDEX(選手一覧!$I$7:$I$2738,$F200))</f>
        <v/>
      </c>
      <c r="I200" s="16" t="n">
        <f aca="false">IF(INDEX(選手一覧!$J$7:$J$2738,$F200)="","",INDEX(選手一覧!$J$7:$J$2738,$F200))</f>
        <v>0.00290543981481482</v>
      </c>
      <c r="J200" s="17" t="n">
        <f aca="false">IF(INDEX(選手一覧!$K$7:$K$2738,$F200)="","",INDEX(選手一覧!$K$7:$K$2738,$F200))</f>
        <v>986</v>
      </c>
    </row>
    <row r="201" customFormat="false" ht="15" hidden="false" customHeight="false" outlineLevel="0" collapsed="false">
      <c r="A201" s="17" t="n">
        <v>197</v>
      </c>
      <c r="B201" s="12" t="s">
        <v>395</v>
      </c>
      <c r="C201" s="12" t="s">
        <v>380</v>
      </c>
      <c r="D201" s="16" t="n">
        <v>0.0103466435185185</v>
      </c>
      <c r="E201" s="15" t="n">
        <f aca="false">ROUND((D201-$D$5)*86400,2)</f>
        <v>104.21</v>
      </c>
      <c r="F201" s="17" t="n">
        <v>196</v>
      </c>
      <c r="G201" s="16" t="str">
        <f aca="false">IF(INDEX(選手一覧!$H$7:$H$2738,$F201)="","",INDEX(選手一覧!$H$7:$H$2738,$F201))</f>
        <v/>
      </c>
      <c r="H201" s="17" t="str">
        <f aca="false">IF(INDEX(選手一覧!$I$7:$I$2738,$F201)="","",INDEX(選手一覧!$I$7:$I$2738,$F201))</f>
        <v/>
      </c>
      <c r="I201" s="16" t="n">
        <f aca="false">IF(INDEX(選手一覧!$J$7:$J$2738,$F201)="","",INDEX(選手一覧!$J$7:$J$2738,$F201))</f>
        <v>0.00286898148148148</v>
      </c>
      <c r="J201" s="17" t="n">
        <f aca="false">IF(INDEX(選手一覧!$K$7:$K$2738,$F201)="","",INDEX(選手一覧!$K$7:$K$2738,$F201))</f>
        <v>687</v>
      </c>
    </row>
    <row r="202" customFormat="false" ht="15" hidden="false" customHeight="false" outlineLevel="0" collapsed="false">
      <c r="A202" s="17" t="n">
        <v>198</v>
      </c>
      <c r="B202" s="12" t="s">
        <v>396</v>
      </c>
      <c r="C202" s="12" t="s">
        <v>397</v>
      </c>
      <c r="D202" s="16" t="n">
        <v>0.0103467592592593</v>
      </c>
      <c r="E202" s="15" t="n">
        <f aca="false">ROUND((D202-$D$5)*86400,2)</f>
        <v>104.22</v>
      </c>
      <c r="F202" s="17" t="n">
        <v>197</v>
      </c>
      <c r="G202" s="16" t="str">
        <f aca="false">IF(INDEX(選手一覧!$H$7:$H$2738,$F202)="","",INDEX(選手一覧!$H$7:$H$2738,$F202))</f>
        <v/>
      </c>
      <c r="H202" s="17" t="str">
        <f aca="false">IF(INDEX(選手一覧!$I$7:$I$2738,$F202)="","",INDEX(選手一覧!$I$7:$I$2738,$F202))</f>
        <v/>
      </c>
      <c r="I202" s="16" t="n">
        <f aca="false">IF(INDEX(選手一覧!$J$7:$J$2738,$F202)="","",INDEX(選手一覧!$J$7:$J$2738,$F202))</f>
        <v>0.00278680555555556</v>
      </c>
      <c r="J202" s="17" t="n">
        <f aca="false">IF(INDEX(選手一覧!$K$7:$K$2738,$F202)="","",INDEX(選手一覧!$K$7:$K$2738,$F202))</f>
        <v>227</v>
      </c>
    </row>
    <row r="203" customFormat="false" ht="15" hidden="false" customHeight="false" outlineLevel="0" collapsed="false">
      <c r="A203" s="17" t="n">
        <v>199</v>
      </c>
      <c r="B203" s="12" t="s">
        <v>398</v>
      </c>
      <c r="C203" s="12" t="s">
        <v>256</v>
      </c>
      <c r="D203" s="16" t="n">
        <v>0.010347337962963</v>
      </c>
      <c r="E203" s="15" t="n">
        <f aca="false">ROUND((D203-$D$5)*86400,2)</f>
        <v>104.27</v>
      </c>
      <c r="F203" s="17" t="n">
        <v>198</v>
      </c>
      <c r="G203" s="16" t="str">
        <f aca="false">IF(INDEX(選手一覧!$H$7:$H$2738,$F203)="","",INDEX(選手一覧!$H$7:$H$2738,$F203))</f>
        <v/>
      </c>
      <c r="H203" s="17" t="str">
        <f aca="false">IF(INDEX(選手一覧!$I$7:$I$2738,$F203)="","",INDEX(選手一覧!$I$7:$I$2738,$F203))</f>
        <v/>
      </c>
      <c r="I203" s="16" t="n">
        <f aca="false">IF(INDEX(選手一覧!$J$7:$J$2738,$F203)="","",INDEX(選手一覧!$J$7:$J$2738,$F203))</f>
        <v>0.00289305555555556</v>
      </c>
      <c r="J203" s="17" t="n">
        <f aca="false">IF(INDEX(選手一覧!$K$7:$K$2738,$F203)="","",INDEX(選手一覧!$K$7:$K$2738,$F203))</f>
        <v>898</v>
      </c>
    </row>
    <row r="204" customFormat="false" ht="15" hidden="false" customHeight="false" outlineLevel="0" collapsed="false">
      <c r="A204" s="17" t="n">
        <v>200</v>
      </c>
      <c r="B204" s="12" t="s">
        <v>399</v>
      </c>
      <c r="C204" s="12" t="s">
        <v>214</v>
      </c>
      <c r="D204" s="16" t="n">
        <v>0.0103476851851852</v>
      </c>
      <c r="E204" s="15" t="n">
        <f aca="false">ROUND((D204-$D$5)*86400,2)</f>
        <v>104.3</v>
      </c>
      <c r="F204" s="17" t="n">
        <v>199</v>
      </c>
      <c r="G204" s="16" t="str">
        <f aca="false">IF(INDEX(選手一覧!$H$7:$H$2738,$F204)="","",INDEX(選手一覧!$H$7:$H$2738,$F204))</f>
        <v/>
      </c>
      <c r="H204" s="17" t="str">
        <f aca="false">IF(INDEX(選手一覧!$I$7:$I$2738,$F204)="","",INDEX(選手一覧!$I$7:$I$2738,$F204))</f>
        <v/>
      </c>
      <c r="I204" s="16" t="n">
        <f aca="false">IF(INDEX(選手一覧!$J$7:$J$2738,$F204)="","",INDEX(選手一覧!$J$7:$J$2738,$F204))</f>
        <v>0.00298055555555556</v>
      </c>
      <c r="J204" s="17" t="n">
        <f aca="false">IF(INDEX(選手一覧!$K$7:$K$2738,$F204)="","",INDEX(選手一覧!$K$7:$K$2738,$F204))</f>
        <v>1355</v>
      </c>
    </row>
    <row r="205" customFormat="false" ht="15" hidden="false" customHeight="false" outlineLevel="0" collapsed="false">
      <c r="A205" s="17" t="n">
        <v>201</v>
      </c>
      <c r="B205" s="12" t="s">
        <v>400</v>
      </c>
      <c r="C205" s="12" t="s">
        <v>401</v>
      </c>
      <c r="D205" s="16" t="n">
        <v>0.0103481481481482</v>
      </c>
      <c r="E205" s="15" t="n">
        <f aca="false">ROUND((D205-$D$5)*86400,2)</f>
        <v>104.34</v>
      </c>
      <c r="F205" s="17" t="n">
        <v>200</v>
      </c>
      <c r="G205" s="16" t="n">
        <f aca="false">IF(INDEX(選手一覧!$H$7:$H$2738,$F205)="","",INDEX(選手一覧!$H$7:$H$2738,$F205))</f>
        <v>0.00630729166666667</v>
      </c>
      <c r="H205" s="17" t="n">
        <f aca="false">IF(INDEX(選手一覧!$I$7:$I$2738,$F205)="","",INDEX(選手一覧!$I$7:$I$2738,$F205))</f>
        <v>4</v>
      </c>
      <c r="I205" s="16" t="n">
        <f aca="false">IF(INDEX(選手一覧!$J$7:$J$2738,$F205)="","",INDEX(選手一覧!$J$7:$J$2738,$F205))</f>
        <v>0.00273877314814815</v>
      </c>
      <c r="J205" s="17" t="n">
        <f aca="false">IF(INDEX(選手一覧!$K$7:$K$2738,$F205)="","",INDEX(選手一覧!$K$7:$K$2738,$F205))</f>
        <v>82</v>
      </c>
    </row>
    <row r="206" customFormat="false" ht="15" hidden="false" customHeight="false" outlineLevel="0" collapsed="false">
      <c r="A206" s="17" t="n">
        <v>202</v>
      </c>
      <c r="B206" s="12" t="s">
        <v>402</v>
      </c>
      <c r="C206" s="12" t="s">
        <v>32</v>
      </c>
      <c r="D206" s="16" t="n">
        <v>0.0103487268518519</v>
      </c>
      <c r="E206" s="15" t="n">
        <f aca="false">ROUND((D206-$D$5)*86400,2)</f>
        <v>104.39</v>
      </c>
      <c r="F206" s="17" t="n">
        <v>201</v>
      </c>
      <c r="G206" s="16" t="n">
        <f aca="false">IF(INDEX(選手一覧!$H$7:$H$2738,$F206)="","",INDEX(選手一覧!$H$7:$H$2738,$F206))</f>
        <v>0.00709699074074074</v>
      </c>
      <c r="H206" s="17" t="n">
        <f aca="false">IF(INDEX(選手一覧!$I$7:$I$2738,$F206)="","",INDEX(選手一覧!$I$7:$I$2738,$F206))</f>
        <v>444</v>
      </c>
      <c r="I206" s="16" t="n">
        <f aca="false">IF(INDEX(選手一覧!$J$7:$J$2738,$F206)="","",INDEX(選手一覧!$J$7:$J$2738,$F206))</f>
        <v>0.0028431712962963</v>
      </c>
      <c r="J206" s="17" t="n">
        <f aca="false">IF(INDEX(選手一覧!$K$7:$K$2738,$F206)="","",INDEX(選手一覧!$K$7:$K$2738,$F206))</f>
        <v>518</v>
      </c>
    </row>
    <row r="207" customFormat="false" ht="15" hidden="false" customHeight="false" outlineLevel="0" collapsed="false">
      <c r="A207" s="17" t="n">
        <v>203</v>
      </c>
      <c r="B207" s="12" t="s">
        <v>403</v>
      </c>
      <c r="C207" s="12" t="s">
        <v>290</v>
      </c>
      <c r="D207" s="16" t="n">
        <v>0.0103505787037037</v>
      </c>
      <c r="E207" s="15" t="n">
        <f aca="false">ROUND((D207-$D$5)*86400,2)</f>
        <v>104.55</v>
      </c>
      <c r="F207" s="17" t="n">
        <v>202</v>
      </c>
      <c r="G207" s="16" t="n">
        <f aca="false">IF(INDEX(選手一覧!$H$7:$H$2738,$F207)="","",INDEX(選手一覧!$H$7:$H$2738,$F207))</f>
        <v>0.00669953703703704</v>
      </c>
      <c r="H207" s="17" t="n">
        <f aca="false">IF(INDEX(選手一覧!$I$7:$I$2738,$F207)="","",INDEX(選手一覧!$I$7:$I$2738,$F207))</f>
        <v>107</v>
      </c>
      <c r="I207" s="16" t="n">
        <f aca="false">IF(INDEX(選手一覧!$J$7:$J$2738,$F207)="","",INDEX(選手一覧!$J$7:$J$2738,$F207))</f>
        <v>0.00276481481481482</v>
      </c>
      <c r="J207" s="17" t="n">
        <f aca="false">IF(INDEX(選手一覧!$K$7:$K$2738,$F207)="","",INDEX(選手一覧!$K$7:$K$2738,$F207))</f>
        <v>149</v>
      </c>
    </row>
    <row r="208" customFormat="false" ht="15" hidden="false" customHeight="false" outlineLevel="0" collapsed="false">
      <c r="A208" s="17" t="n">
        <v>204</v>
      </c>
      <c r="B208" s="12" t="s">
        <v>405</v>
      </c>
      <c r="C208" s="12" t="s">
        <v>406</v>
      </c>
      <c r="D208" s="16" t="n">
        <v>0.0103506944444444</v>
      </c>
      <c r="E208" s="15" t="n">
        <f aca="false">ROUND((D208-$D$5)*86400,2)</f>
        <v>104.56</v>
      </c>
      <c r="F208" s="17" t="n">
        <v>203</v>
      </c>
      <c r="G208" s="16" t="str">
        <f aca="false">IF(INDEX(選手一覧!$H$7:$H$2738,$F208)="","",INDEX(選手一覧!$H$7:$H$2738,$F208))</f>
        <v/>
      </c>
      <c r="H208" s="17" t="str">
        <f aca="false">IF(INDEX(選手一覧!$I$7:$I$2738,$F208)="","",INDEX(選手一覧!$I$7:$I$2738,$F208))</f>
        <v/>
      </c>
      <c r="I208" s="16" t="n">
        <f aca="false">IF(INDEX(選手一覧!$J$7:$J$2738,$F208)="","",INDEX(選手一覧!$J$7:$J$2738,$F208))</f>
        <v>0.0028349537037037</v>
      </c>
      <c r="J208" s="17" t="n">
        <f aca="false">IF(INDEX(選手一覧!$K$7:$K$2738,$F208)="","",INDEX(選手一覧!$K$7:$K$2738,$F208))</f>
        <v>461</v>
      </c>
    </row>
    <row r="209" customFormat="false" ht="15" hidden="false" customHeight="false" outlineLevel="0" collapsed="false">
      <c r="A209" s="17" t="n">
        <v>205</v>
      </c>
      <c r="B209" s="12" t="s">
        <v>408</v>
      </c>
      <c r="C209" s="12" t="s">
        <v>409</v>
      </c>
      <c r="D209" s="16" t="n">
        <v>0.0103510416666667</v>
      </c>
      <c r="E209" s="15" t="n">
        <f aca="false">ROUND((D209-$D$5)*86400,2)</f>
        <v>104.59</v>
      </c>
      <c r="F209" s="17" t="n">
        <v>204</v>
      </c>
      <c r="G209" s="16" t="str">
        <f aca="false">IF(INDEX(選手一覧!$H$7:$H$2738,$F209)="","",INDEX(選手一覧!$H$7:$H$2738,$F209))</f>
        <v/>
      </c>
      <c r="H209" s="17" t="str">
        <f aca="false">IF(INDEX(選手一覧!$I$7:$I$2738,$F209)="","",INDEX(選手一覧!$I$7:$I$2738,$F209))</f>
        <v/>
      </c>
      <c r="I209" s="16" t="n">
        <f aca="false">IF(INDEX(選手一覧!$J$7:$J$2738,$F209)="","",INDEX(選手一覧!$J$7:$J$2738,$F209))</f>
        <v>0.00279907407407407</v>
      </c>
      <c r="J209" s="17" t="n">
        <f aca="false">IF(INDEX(選手一覧!$K$7:$K$2738,$F209)="","",INDEX(選手一覧!$K$7:$K$2738,$F209))</f>
        <v>277</v>
      </c>
    </row>
    <row r="210" customFormat="false" ht="15" hidden="false" customHeight="false" outlineLevel="0" collapsed="false">
      <c r="A210" s="17" t="n">
        <v>206</v>
      </c>
      <c r="B210" s="12" t="s">
        <v>410</v>
      </c>
      <c r="C210" s="12" t="s">
        <v>228</v>
      </c>
      <c r="D210" s="16" t="n">
        <v>0.0103516203703704</v>
      </c>
      <c r="E210" s="15" t="n">
        <f aca="false">ROUND((D210-$D$5)*86400,2)</f>
        <v>104.64</v>
      </c>
      <c r="F210" s="17" t="n">
        <v>205</v>
      </c>
      <c r="G210" s="16" t="str">
        <f aca="false">IF(INDEX(選手一覧!$H$7:$H$2738,$F210)="","",INDEX(選手一覧!$H$7:$H$2738,$F210))</f>
        <v/>
      </c>
      <c r="H210" s="17" t="str">
        <f aca="false">IF(INDEX(選手一覧!$I$7:$I$2738,$F210)="","",INDEX(選手一覧!$I$7:$I$2738,$F210))</f>
        <v/>
      </c>
      <c r="I210" s="16" t="n">
        <f aca="false">IF(INDEX(選手一覧!$J$7:$J$2738,$F210)="","",INDEX(選手一覧!$J$7:$J$2738,$F210))</f>
        <v>0.00282152777777778</v>
      </c>
      <c r="J210" s="17" t="n">
        <f aca="false">IF(INDEX(選手一覧!$K$7:$K$2738,$F210)="","",INDEX(選手一覧!$K$7:$K$2738,$F210))</f>
        <v>372</v>
      </c>
    </row>
    <row r="211" customFormat="false" ht="15" hidden="false" customHeight="false" outlineLevel="0" collapsed="false">
      <c r="A211" s="17" t="n">
        <v>207</v>
      </c>
      <c r="B211" s="12" t="s">
        <v>412</v>
      </c>
      <c r="C211" s="12" t="s">
        <v>37</v>
      </c>
      <c r="D211" s="16" t="n">
        <v>0.0103527777777778</v>
      </c>
      <c r="E211" s="15" t="n">
        <f aca="false">ROUND((D211-$D$5)*86400,2)</f>
        <v>104.74</v>
      </c>
      <c r="F211" s="17" t="n">
        <v>206</v>
      </c>
      <c r="G211" s="16" t="str">
        <f aca="false">IF(INDEX(選手一覧!$H$7:$H$2738,$F211)="","",INDEX(選手一覧!$H$7:$H$2738,$F211))</f>
        <v/>
      </c>
      <c r="H211" s="17" t="str">
        <f aca="false">IF(INDEX(選手一覧!$I$7:$I$2738,$F211)="","",INDEX(選手一覧!$I$7:$I$2738,$F211))</f>
        <v/>
      </c>
      <c r="I211" s="16" t="n">
        <f aca="false">IF(INDEX(選手一覧!$J$7:$J$2738,$F211)="","",INDEX(選手一覧!$J$7:$J$2738,$F211))</f>
        <v>0.00286099537037037</v>
      </c>
      <c r="J211" s="17" t="n">
        <f aca="false">IF(INDEX(選手一覧!$K$7:$K$2738,$F211)="","",INDEX(選手一覧!$K$7:$K$2738,$F211))</f>
        <v>640</v>
      </c>
    </row>
    <row r="212" customFormat="false" ht="15" hidden="false" customHeight="false" outlineLevel="0" collapsed="false">
      <c r="A212" s="17" t="n">
        <v>208</v>
      </c>
      <c r="B212" s="12" t="s">
        <v>413</v>
      </c>
      <c r="C212" s="12" t="s">
        <v>152</v>
      </c>
      <c r="D212" s="16" t="n">
        <v>0.0103532407407407</v>
      </c>
      <c r="E212" s="15" t="n">
        <f aca="false">ROUND((D212-$D$5)*86400,2)</f>
        <v>104.78</v>
      </c>
      <c r="F212" s="17" t="n">
        <v>207</v>
      </c>
      <c r="G212" s="16" t="str">
        <f aca="false">IF(INDEX(選手一覧!$H$7:$H$2738,$F212)="","",INDEX(選手一覧!$H$7:$H$2738,$F212))</f>
        <v/>
      </c>
      <c r="H212" s="17" t="str">
        <f aca="false">IF(INDEX(選手一覧!$I$7:$I$2738,$F212)="","",INDEX(選手一覧!$I$7:$I$2738,$F212))</f>
        <v/>
      </c>
      <c r="I212" s="16" t="str">
        <f aca="false">IF(INDEX(選手一覧!$J$7:$J$2738,$F212)="","",INDEX(選手一覧!$J$7:$J$2738,$F212))</f>
        <v/>
      </c>
      <c r="J212" s="17" t="str">
        <f aca="false">IF(INDEX(選手一覧!$K$7:$K$2738,$F212)="","",INDEX(選手一覧!$K$7:$K$2738,$F212))</f>
        <v/>
      </c>
    </row>
    <row r="213" customFormat="false" ht="15" hidden="false" customHeight="false" outlineLevel="0" collapsed="false">
      <c r="A213" s="17" t="n">
        <v>209</v>
      </c>
      <c r="B213" s="12" t="s">
        <v>414</v>
      </c>
      <c r="C213" s="12" t="s">
        <v>415</v>
      </c>
      <c r="D213" s="16" t="n">
        <v>0.0103547453703704</v>
      </c>
      <c r="E213" s="15" t="n">
        <f aca="false">ROUND((D213-$D$5)*86400,2)</f>
        <v>104.91</v>
      </c>
      <c r="F213" s="17" t="n">
        <v>208</v>
      </c>
      <c r="G213" s="16" t="n">
        <f aca="false">IF(INDEX(選手一覧!$H$7:$H$2738,$F213)="","",INDEX(選手一覧!$H$7:$H$2738,$F213))</f>
        <v>0.0066412037037037</v>
      </c>
      <c r="H213" s="17" t="n">
        <f aca="false">IF(INDEX(選手一覧!$I$7:$I$2738,$F213)="","",INDEX(選手一覧!$I$7:$I$2738,$F213))</f>
        <v>79</v>
      </c>
      <c r="I213" s="16" t="n">
        <f aca="false">IF(INDEX(選手一覧!$J$7:$J$2738,$F213)="","",INDEX(選手一覧!$J$7:$J$2738,$F213))</f>
        <v>0.00275543981481482</v>
      </c>
      <c r="J213" s="17" t="n">
        <f aca="false">IF(INDEX(選手一覧!$K$7:$K$2738,$F213)="","",INDEX(選手一覧!$K$7:$K$2738,$F213))</f>
        <v>121</v>
      </c>
    </row>
    <row r="214" customFormat="false" ht="15" hidden="false" customHeight="false" outlineLevel="0" collapsed="false">
      <c r="A214" s="17" t="n">
        <v>210</v>
      </c>
      <c r="B214" s="12" t="s">
        <v>416</v>
      </c>
      <c r="C214" s="12" t="s">
        <v>417</v>
      </c>
      <c r="D214" s="16" t="n">
        <v>0.0103554398148148</v>
      </c>
      <c r="E214" s="15" t="n">
        <f aca="false">ROUND((D214-$D$5)*86400,2)</f>
        <v>104.97</v>
      </c>
      <c r="F214" s="17" t="n">
        <v>209</v>
      </c>
      <c r="G214" s="16" t="str">
        <f aca="false">IF(INDEX(選手一覧!$H$7:$H$2738,$F214)="","",INDEX(選手一覧!$H$7:$H$2738,$F214))</f>
        <v/>
      </c>
      <c r="H214" s="17" t="str">
        <f aca="false">IF(INDEX(選手一覧!$I$7:$I$2738,$F214)="","",INDEX(選手一覧!$I$7:$I$2738,$F214))</f>
        <v/>
      </c>
      <c r="I214" s="16" t="n">
        <f aca="false">IF(INDEX(選手一覧!$J$7:$J$2738,$F214)="","",INDEX(選手一覧!$J$7:$J$2738,$F214))</f>
        <v>0.00280162037037037</v>
      </c>
      <c r="J214" s="17" t="n">
        <f aca="false">IF(INDEX(選手一覧!$K$7:$K$2738,$F214)="","",INDEX(選手一覧!$K$7:$K$2738,$F214))</f>
        <v>289</v>
      </c>
    </row>
    <row r="215" customFormat="false" ht="15" hidden="false" customHeight="false" outlineLevel="0" collapsed="false">
      <c r="A215" s="17" t="n">
        <v>211</v>
      </c>
      <c r="B215" s="12" t="s">
        <v>418</v>
      </c>
      <c r="C215" s="12" t="s">
        <v>37</v>
      </c>
      <c r="D215" s="16" t="n">
        <v>0.0103571759259259</v>
      </c>
      <c r="E215" s="15" t="n">
        <f aca="false">ROUND((D215-$D$5)*86400,2)</f>
        <v>105.12</v>
      </c>
      <c r="F215" s="17" t="n">
        <v>210</v>
      </c>
      <c r="G215" s="16" t="str">
        <f aca="false">IF(INDEX(選手一覧!$H$7:$H$2738,$F215)="","",INDEX(選手一覧!$H$7:$H$2738,$F215))</f>
        <v/>
      </c>
      <c r="H215" s="17" t="str">
        <f aca="false">IF(INDEX(選手一覧!$I$7:$I$2738,$F215)="","",INDEX(選手一覧!$I$7:$I$2738,$F215))</f>
        <v/>
      </c>
      <c r="I215" s="16" t="n">
        <f aca="false">IF(INDEX(選手一覧!$J$7:$J$2738,$F215)="","",INDEX(選手一覧!$J$7:$J$2738,$F215))</f>
        <v>0.00285416666666667</v>
      </c>
      <c r="J215" s="17" t="n">
        <f aca="false">IF(INDEX(選手一覧!$K$7:$K$2738,$F215)="","",INDEX(選手一覧!$K$7:$K$2738,$F215))</f>
        <v>596</v>
      </c>
    </row>
    <row r="216" customFormat="false" ht="15" hidden="false" customHeight="false" outlineLevel="0" collapsed="false">
      <c r="A216" s="17" t="n">
        <v>212</v>
      </c>
      <c r="B216" s="12" t="s">
        <v>419</v>
      </c>
      <c r="C216" s="12" t="s">
        <v>143</v>
      </c>
      <c r="D216" s="16" t="n">
        <v>0.0103578703703704</v>
      </c>
      <c r="E216" s="15" t="n">
        <f aca="false">ROUND((D216-$D$5)*86400,2)</f>
        <v>105.18</v>
      </c>
      <c r="F216" s="17" t="n">
        <v>211</v>
      </c>
      <c r="G216" s="16" t="str">
        <f aca="false">IF(INDEX(選手一覧!$H$7:$H$2738,$F216)="","",INDEX(選手一覧!$H$7:$H$2738,$F216))</f>
        <v/>
      </c>
      <c r="H216" s="17" t="str">
        <f aca="false">IF(INDEX(選手一覧!$I$7:$I$2738,$F216)="","",INDEX(選手一覧!$I$7:$I$2738,$F216))</f>
        <v/>
      </c>
      <c r="I216" s="16" t="n">
        <f aca="false">IF(INDEX(選手一覧!$J$7:$J$2738,$F216)="","",INDEX(選手一覧!$J$7:$J$2738,$F216))</f>
        <v>0.00296122685185185</v>
      </c>
      <c r="J216" s="17" t="n">
        <f aca="false">IF(INDEX(選手一覧!$K$7:$K$2738,$F216)="","",INDEX(選手一覧!$K$7:$K$2738,$F216))</f>
        <v>1277</v>
      </c>
    </row>
    <row r="217" customFormat="false" ht="15" hidden="false" customHeight="false" outlineLevel="0" collapsed="false">
      <c r="A217" s="17" t="n">
        <v>213</v>
      </c>
      <c r="B217" s="12" t="s">
        <v>420</v>
      </c>
      <c r="C217" s="12" t="s">
        <v>157</v>
      </c>
      <c r="D217" s="16" t="n">
        <v>0.0103584490740741</v>
      </c>
      <c r="E217" s="15" t="n">
        <f aca="false">ROUND((D217-$D$5)*86400,2)</f>
        <v>105.23</v>
      </c>
      <c r="F217" s="17" t="n">
        <v>212</v>
      </c>
      <c r="G217" s="16" t="str">
        <f aca="false">IF(INDEX(選手一覧!$H$7:$H$2738,$F217)="","",INDEX(選手一覧!$H$7:$H$2738,$F217))</f>
        <v/>
      </c>
      <c r="H217" s="17" t="str">
        <f aca="false">IF(INDEX(選手一覧!$I$7:$I$2738,$F217)="","",INDEX(選手一覧!$I$7:$I$2738,$F217))</f>
        <v/>
      </c>
      <c r="I217" s="16" t="str">
        <f aca="false">IF(INDEX(選手一覧!$J$7:$J$2738,$F217)="","",INDEX(選手一覧!$J$7:$J$2738,$F217))</f>
        <v/>
      </c>
      <c r="J217" s="17" t="str">
        <f aca="false">IF(INDEX(選手一覧!$K$7:$K$2738,$F217)="","",INDEX(選手一覧!$K$7:$K$2738,$F217))</f>
        <v/>
      </c>
    </row>
    <row r="218" customFormat="false" ht="15" hidden="false" customHeight="false" outlineLevel="0" collapsed="false">
      <c r="A218" s="17" t="n">
        <v>214</v>
      </c>
      <c r="B218" s="12" t="s">
        <v>421</v>
      </c>
      <c r="C218" s="12" t="s">
        <v>167</v>
      </c>
      <c r="D218" s="16" t="n">
        <v>0.0103591435185185</v>
      </c>
      <c r="E218" s="15" t="n">
        <f aca="false">ROUND((D218-$D$5)*86400,2)</f>
        <v>105.29</v>
      </c>
      <c r="F218" s="17" t="n">
        <v>213</v>
      </c>
      <c r="G218" s="16" t="str">
        <f aca="false">IF(INDEX(選手一覧!$H$7:$H$2738,$F218)="","",INDEX(選手一覧!$H$7:$H$2738,$F218))</f>
        <v/>
      </c>
      <c r="H218" s="17" t="str">
        <f aca="false">IF(INDEX(選手一覧!$I$7:$I$2738,$F218)="","",INDEX(選手一覧!$I$7:$I$2738,$F218))</f>
        <v/>
      </c>
      <c r="I218" s="16" t="n">
        <f aca="false">IF(INDEX(選手一覧!$J$7:$J$2738,$F218)="","",INDEX(選手一覧!$J$7:$J$2738,$F218))</f>
        <v>0.00284479166666667</v>
      </c>
      <c r="J218" s="17" t="n">
        <f aca="false">IF(INDEX(選手一覧!$K$7:$K$2738,$F218)="","",INDEX(選手一覧!$K$7:$K$2738,$F218))</f>
        <v>533</v>
      </c>
    </row>
    <row r="219" customFormat="false" ht="15" hidden="false" customHeight="false" outlineLevel="0" collapsed="false">
      <c r="A219" s="17" t="n">
        <v>215</v>
      </c>
      <c r="B219" s="12" t="s">
        <v>423</v>
      </c>
      <c r="C219" s="12" t="s">
        <v>61</v>
      </c>
      <c r="D219" s="16" t="n">
        <v>0.010359375</v>
      </c>
      <c r="E219" s="15" t="n">
        <f aca="false">ROUND((D219-$D$5)*86400,2)</f>
        <v>105.31</v>
      </c>
      <c r="F219" s="17" t="n">
        <v>214</v>
      </c>
      <c r="G219" s="16" t="str">
        <f aca="false">IF(INDEX(選手一覧!$H$7:$H$2738,$F219)="","",INDEX(選手一覧!$H$7:$H$2738,$F219))</f>
        <v/>
      </c>
      <c r="H219" s="17" t="str">
        <f aca="false">IF(INDEX(選手一覧!$I$7:$I$2738,$F219)="","",INDEX(選手一覧!$I$7:$I$2738,$F219))</f>
        <v/>
      </c>
      <c r="I219" s="16" t="n">
        <f aca="false">IF(INDEX(選手一覧!$J$7:$J$2738,$F219)="","",INDEX(選手一覧!$J$7:$J$2738,$F219))</f>
        <v>0.00296354166666667</v>
      </c>
      <c r="J219" s="17" t="n">
        <f aca="false">IF(INDEX(選手一覧!$K$7:$K$2738,$F219)="","",INDEX(選手一覧!$K$7:$K$2738,$F219))</f>
        <v>1286</v>
      </c>
    </row>
    <row r="220" customFormat="false" ht="15" hidden="false" customHeight="false" outlineLevel="0" collapsed="false">
      <c r="A220" s="17" t="n">
        <v>216</v>
      </c>
      <c r="B220" s="12" t="s">
        <v>424</v>
      </c>
      <c r="C220" s="12" t="s">
        <v>63</v>
      </c>
      <c r="D220" s="16" t="n">
        <v>0.0103594907407407</v>
      </c>
      <c r="E220" s="15" t="n">
        <f aca="false">ROUND((D220-$D$5)*86400,2)</f>
        <v>105.32</v>
      </c>
      <c r="F220" s="17" t="n">
        <v>215</v>
      </c>
      <c r="G220" s="16" t="str">
        <f aca="false">IF(INDEX(選手一覧!$H$7:$H$2738,$F220)="","",INDEX(選手一覧!$H$7:$H$2738,$F220))</f>
        <v/>
      </c>
      <c r="H220" s="17" t="str">
        <f aca="false">IF(INDEX(選手一覧!$I$7:$I$2738,$F220)="","",INDEX(選手一覧!$I$7:$I$2738,$F220))</f>
        <v/>
      </c>
      <c r="I220" s="16" t="str">
        <f aca="false">IF(INDEX(選手一覧!$J$7:$J$2738,$F220)="","",INDEX(選手一覧!$J$7:$J$2738,$F220))</f>
        <v/>
      </c>
      <c r="J220" s="17" t="str">
        <f aca="false">IF(INDEX(選手一覧!$K$7:$K$2738,$F220)="","",INDEX(選手一覧!$K$7:$K$2738,$F220))</f>
        <v/>
      </c>
    </row>
    <row r="221" customFormat="false" ht="15" hidden="false" customHeight="false" outlineLevel="0" collapsed="false">
      <c r="A221" s="17" t="n">
        <v>217</v>
      </c>
      <c r="B221" s="12" t="s">
        <v>425</v>
      </c>
      <c r="C221" s="12" t="s">
        <v>157</v>
      </c>
      <c r="D221" s="16" t="n">
        <v>0.0103599537037037</v>
      </c>
      <c r="E221" s="15" t="n">
        <f aca="false">ROUND((D221-$D$5)*86400,2)</f>
        <v>105.36</v>
      </c>
      <c r="F221" s="17" t="n">
        <v>216</v>
      </c>
      <c r="G221" s="16" t="str">
        <f aca="false">IF(INDEX(選手一覧!$H$7:$H$2738,$F221)="","",INDEX(選手一覧!$H$7:$H$2738,$F221))</f>
        <v/>
      </c>
      <c r="H221" s="17" t="str">
        <f aca="false">IF(INDEX(選手一覧!$I$7:$I$2738,$F221)="","",INDEX(選手一覧!$I$7:$I$2738,$F221))</f>
        <v/>
      </c>
      <c r="I221" s="16" t="n">
        <f aca="false">IF(INDEX(選手一覧!$J$7:$J$2738,$F221)="","",INDEX(選手一覧!$J$7:$J$2738,$F221))</f>
        <v>0.00276469907407407</v>
      </c>
      <c r="J221" s="17" t="n">
        <f aca="false">IF(INDEX(選手一覧!$K$7:$K$2738,$F221)="","",INDEX(選手一覧!$K$7:$K$2738,$F221))</f>
        <v>147</v>
      </c>
    </row>
    <row r="222" customFormat="false" ht="15" hidden="false" customHeight="false" outlineLevel="0" collapsed="false">
      <c r="A222" s="17" t="n">
        <v>218</v>
      </c>
      <c r="B222" s="12" t="s">
        <v>426</v>
      </c>
      <c r="C222" s="12" t="s">
        <v>127</v>
      </c>
      <c r="D222" s="16" t="n">
        <v>0.0103613425925926</v>
      </c>
      <c r="E222" s="15" t="n">
        <f aca="false">ROUND((D222-$D$5)*86400,2)</f>
        <v>105.48</v>
      </c>
      <c r="F222" s="17" t="n">
        <v>217</v>
      </c>
      <c r="G222" s="16" t="str">
        <f aca="false">IF(INDEX(選手一覧!$H$7:$H$2738,$F222)="","",INDEX(選手一覧!$H$7:$H$2738,$F222))</f>
        <v/>
      </c>
      <c r="H222" s="17" t="str">
        <f aca="false">IF(INDEX(選手一覧!$I$7:$I$2738,$F222)="","",INDEX(選手一覧!$I$7:$I$2738,$F222))</f>
        <v/>
      </c>
      <c r="I222" s="16" t="str">
        <f aca="false">IF(INDEX(選手一覧!$J$7:$J$2738,$F222)="","",INDEX(選手一覧!$J$7:$J$2738,$F222))</f>
        <v/>
      </c>
      <c r="J222" s="17" t="str">
        <f aca="false">IF(INDEX(選手一覧!$K$7:$K$2738,$F222)="","",INDEX(選手一覧!$K$7:$K$2738,$F222))</f>
        <v/>
      </c>
    </row>
    <row r="223" customFormat="false" ht="15" hidden="false" customHeight="false" outlineLevel="0" collapsed="false">
      <c r="A223" s="17" t="n">
        <v>219</v>
      </c>
      <c r="B223" s="12" t="s">
        <v>427</v>
      </c>
      <c r="C223" s="12" t="s">
        <v>199</v>
      </c>
      <c r="D223" s="16" t="n">
        <v>0.0103614583333333</v>
      </c>
      <c r="E223" s="15" t="n">
        <f aca="false">ROUND((D223-$D$5)*86400,2)</f>
        <v>105.49</v>
      </c>
      <c r="F223" s="17" t="n">
        <v>218</v>
      </c>
      <c r="G223" s="16" t="str">
        <f aca="false">IF(INDEX(選手一覧!$H$7:$H$2738,$F223)="","",INDEX(選手一覧!$H$7:$H$2738,$F223))</f>
        <v/>
      </c>
      <c r="H223" s="17" t="str">
        <f aca="false">IF(INDEX(選手一覧!$I$7:$I$2738,$F223)="","",INDEX(選手一覧!$I$7:$I$2738,$F223))</f>
        <v/>
      </c>
      <c r="I223" s="16" t="n">
        <f aca="false">IF(INDEX(選手一覧!$J$7:$J$2738,$F223)="","",INDEX(選手一覧!$J$7:$J$2738,$F223))</f>
        <v>0.00281921296296296</v>
      </c>
      <c r="J223" s="17" t="n">
        <f aca="false">IF(INDEX(選手一覧!$K$7:$K$2738,$F223)="","",INDEX(選手一覧!$K$7:$K$2738,$F223))</f>
        <v>360</v>
      </c>
    </row>
    <row r="224" customFormat="false" ht="15" hidden="false" customHeight="false" outlineLevel="0" collapsed="false">
      <c r="A224" s="17" t="n">
        <v>220</v>
      </c>
      <c r="B224" s="12" t="s">
        <v>428</v>
      </c>
      <c r="C224" s="12" t="s">
        <v>288</v>
      </c>
      <c r="D224" s="16" t="n">
        <v>0.0103640046296296</v>
      </c>
      <c r="E224" s="15" t="n">
        <f aca="false">ROUND((D224-$D$5)*86400,2)</f>
        <v>105.71</v>
      </c>
      <c r="F224" s="17" t="n">
        <v>219</v>
      </c>
      <c r="G224" s="16" t="n">
        <f aca="false">IF(INDEX(選手一覧!$H$7:$H$2738,$F224)="","",INDEX(選手一覧!$H$7:$H$2738,$F224))</f>
        <v>0.00634456018518519</v>
      </c>
      <c r="H224" s="17" t="n">
        <f aca="false">IF(INDEX(選手一覧!$I$7:$I$2738,$F224)="","",INDEX(選手一覧!$I$7:$I$2738,$F224))</f>
        <v>8</v>
      </c>
      <c r="I224" s="16" t="str">
        <f aca="false">IF(INDEX(選手一覧!$J$7:$J$2738,$F224)="","",INDEX(選手一覧!$J$7:$J$2738,$F224))</f>
        <v/>
      </c>
      <c r="J224" s="17" t="str">
        <f aca="false">IF(INDEX(選手一覧!$K$7:$K$2738,$F224)="","",INDEX(選手一覧!$K$7:$K$2738,$F224))</f>
        <v/>
      </c>
    </row>
    <row r="225" customFormat="false" ht="15" hidden="false" customHeight="false" outlineLevel="0" collapsed="false">
      <c r="A225" s="17" t="n">
        <v>221</v>
      </c>
      <c r="B225" s="12" t="s">
        <v>429</v>
      </c>
      <c r="C225" s="12" t="s">
        <v>430</v>
      </c>
      <c r="D225" s="16" t="n">
        <v>0.0103642361111111</v>
      </c>
      <c r="E225" s="15" t="n">
        <f aca="false">ROUND((D225-$D$5)*86400,2)</f>
        <v>105.73</v>
      </c>
      <c r="F225" s="17" t="n">
        <v>220</v>
      </c>
      <c r="G225" s="16" t="str">
        <f aca="false">IF(INDEX(選手一覧!$H$7:$H$2738,$F225)="","",INDEX(選手一覧!$H$7:$H$2738,$F225))</f>
        <v/>
      </c>
      <c r="H225" s="17" t="str">
        <f aca="false">IF(INDEX(選手一覧!$I$7:$I$2738,$F225)="","",INDEX(選手一覧!$I$7:$I$2738,$F225))</f>
        <v/>
      </c>
      <c r="I225" s="16" t="n">
        <f aca="false">IF(INDEX(選手一覧!$J$7:$J$2738,$F225)="","",INDEX(選手一覧!$J$7:$J$2738,$F225))</f>
        <v>0.00280520833333333</v>
      </c>
      <c r="J225" s="17" t="n">
        <f aca="false">IF(INDEX(選手一覧!$K$7:$K$2738,$F225)="","",INDEX(選手一覧!$K$7:$K$2738,$F225))</f>
        <v>303</v>
      </c>
    </row>
    <row r="226" customFormat="false" ht="15" hidden="false" customHeight="false" outlineLevel="0" collapsed="false">
      <c r="A226" s="17" t="n">
        <v>222</v>
      </c>
      <c r="B226" s="12" t="s">
        <v>431</v>
      </c>
      <c r="C226" s="12" t="s">
        <v>186</v>
      </c>
      <c r="D226" s="16" t="n">
        <v>0.0103675925925926</v>
      </c>
      <c r="E226" s="15" t="n">
        <f aca="false">ROUND((D226-$D$5)*86400,2)</f>
        <v>106.02</v>
      </c>
      <c r="F226" s="17" t="n">
        <v>221</v>
      </c>
      <c r="G226" s="16" t="n">
        <f aca="false">IF(INDEX(選手一覧!$H$7:$H$2738,$F226)="","",INDEX(選手一覧!$H$7:$H$2738,$F226))</f>
        <v>0.0064625</v>
      </c>
      <c r="H226" s="17" t="n">
        <f aca="false">IF(INDEX(選手一覧!$I$7:$I$2738,$F226)="","",INDEX(選手一覧!$I$7:$I$2738,$F226))</f>
        <v>26</v>
      </c>
      <c r="I226" s="16" t="n">
        <f aca="false">IF(INDEX(選手一覧!$J$7:$J$2738,$F226)="","",INDEX(選手一覧!$J$7:$J$2738,$F226))</f>
        <v>0.00275833333333333</v>
      </c>
      <c r="J226" s="17" t="n">
        <f aca="false">IF(INDEX(選手一覧!$K$7:$K$2738,$F226)="","",INDEX(選手一覧!$K$7:$K$2738,$F226))</f>
        <v>130</v>
      </c>
    </row>
    <row r="227" customFormat="false" ht="15" hidden="false" customHeight="false" outlineLevel="0" collapsed="false">
      <c r="A227" s="17" t="n">
        <v>223</v>
      </c>
      <c r="B227" s="12" t="s">
        <v>433</v>
      </c>
      <c r="C227" s="12" t="s">
        <v>434</v>
      </c>
      <c r="D227" s="16" t="n">
        <v>0.0103679398148148</v>
      </c>
      <c r="E227" s="15" t="n">
        <f aca="false">ROUND((D227-$D$5)*86400,2)</f>
        <v>106.05</v>
      </c>
      <c r="F227" s="17" t="n">
        <v>222</v>
      </c>
      <c r="G227" s="16" t="str">
        <f aca="false">IF(INDEX(選手一覧!$H$7:$H$2738,$F227)="","",INDEX(選手一覧!$H$7:$H$2738,$F227))</f>
        <v/>
      </c>
      <c r="H227" s="17" t="str">
        <f aca="false">IF(INDEX(選手一覧!$I$7:$I$2738,$F227)="","",INDEX(選手一覧!$I$7:$I$2738,$F227))</f>
        <v/>
      </c>
      <c r="I227" s="16" t="n">
        <f aca="false">IF(INDEX(選手一覧!$J$7:$J$2738,$F227)="","",INDEX(選手一覧!$J$7:$J$2738,$F227))</f>
        <v>0.00287696759259259</v>
      </c>
      <c r="J227" s="17" t="n">
        <f aca="false">IF(INDEX(選手一覧!$K$7:$K$2738,$F227)="","",INDEX(選手一覧!$K$7:$K$2738,$F227))</f>
        <v>747</v>
      </c>
    </row>
    <row r="228" customFormat="false" ht="15" hidden="false" customHeight="false" outlineLevel="0" collapsed="false">
      <c r="A228" s="17" t="n">
        <v>224</v>
      </c>
      <c r="B228" s="12" t="s">
        <v>436</v>
      </c>
      <c r="C228" s="12" t="s">
        <v>115</v>
      </c>
      <c r="D228" s="16" t="n">
        <v>0.010369212962963</v>
      </c>
      <c r="E228" s="15" t="n">
        <f aca="false">ROUND((D228-$D$5)*86400,2)</f>
        <v>106.16</v>
      </c>
      <c r="F228" s="17" t="n">
        <v>223</v>
      </c>
      <c r="G228" s="16" t="str">
        <f aca="false">IF(INDEX(選手一覧!$H$7:$H$2738,$F228)="","",INDEX(選手一覧!$H$7:$H$2738,$F228))</f>
        <v/>
      </c>
      <c r="H228" s="17" t="str">
        <f aca="false">IF(INDEX(選手一覧!$I$7:$I$2738,$F228)="","",INDEX(選手一覧!$I$7:$I$2738,$F228))</f>
        <v/>
      </c>
      <c r="I228" s="16" t="n">
        <f aca="false">IF(INDEX(選手一覧!$J$7:$J$2738,$F228)="","",INDEX(選手一覧!$J$7:$J$2738,$F228))</f>
        <v>0.00282905092592593</v>
      </c>
      <c r="J228" s="17" t="n">
        <f aca="false">IF(INDEX(選手一覧!$K$7:$K$2738,$F228)="","",INDEX(選手一覧!$K$7:$K$2738,$F228))</f>
        <v>420</v>
      </c>
    </row>
    <row r="229" customFormat="false" ht="15" hidden="false" customHeight="false" outlineLevel="0" collapsed="false">
      <c r="A229" s="17" t="n">
        <v>225</v>
      </c>
      <c r="B229" s="12" t="s">
        <v>437</v>
      </c>
      <c r="C229" s="12" t="s">
        <v>438</v>
      </c>
      <c r="D229" s="16" t="n">
        <v>0.0103697916666667</v>
      </c>
      <c r="E229" s="15" t="n">
        <f aca="false">ROUND((D229-$D$5)*86400,2)</f>
        <v>106.21</v>
      </c>
      <c r="F229" s="17" t="n">
        <v>224</v>
      </c>
      <c r="G229" s="16" t="str">
        <f aca="false">IF(INDEX(選手一覧!$H$7:$H$2738,$F229)="","",INDEX(選手一覧!$H$7:$H$2738,$F229))</f>
        <v/>
      </c>
      <c r="H229" s="17" t="str">
        <f aca="false">IF(INDEX(選手一覧!$I$7:$I$2738,$F229)="","",INDEX(選手一覧!$I$7:$I$2738,$F229))</f>
        <v/>
      </c>
      <c r="I229" s="16" t="n">
        <f aca="false">IF(INDEX(選手一覧!$J$7:$J$2738,$F229)="","",INDEX(選手一覧!$J$7:$J$2738,$F229))</f>
        <v>0.00284270833333333</v>
      </c>
      <c r="J229" s="17" t="n">
        <f aca="false">IF(INDEX(選手一覧!$K$7:$K$2738,$F229)="","",INDEX(選手一覧!$K$7:$K$2738,$F229))</f>
        <v>515</v>
      </c>
    </row>
    <row r="230" customFormat="false" ht="15" hidden="false" customHeight="false" outlineLevel="0" collapsed="false">
      <c r="A230" s="17" t="n">
        <v>226</v>
      </c>
      <c r="B230" s="12" t="s">
        <v>439</v>
      </c>
      <c r="C230" s="12" t="s">
        <v>440</v>
      </c>
      <c r="D230" s="16" t="n">
        <v>0.0103711805555556</v>
      </c>
      <c r="E230" s="15" t="n">
        <f aca="false">ROUND((D230-$D$5)*86400,2)</f>
        <v>106.33</v>
      </c>
      <c r="F230" s="17" t="n">
        <v>225</v>
      </c>
      <c r="G230" s="16" t="str">
        <f aca="false">IF(INDEX(選手一覧!$H$7:$H$2738,$F230)="","",INDEX(選手一覧!$H$7:$H$2738,$F230))</f>
        <v/>
      </c>
      <c r="H230" s="17" t="str">
        <f aca="false">IF(INDEX(選手一覧!$I$7:$I$2738,$F230)="","",INDEX(選手一覧!$I$7:$I$2738,$F230))</f>
        <v/>
      </c>
      <c r="I230" s="16" t="n">
        <f aca="false">IF(INDEX(選手一覧!$J$7:$J$2738,$F230)="","",INDEX(選手一覧!$J$7:$J$2738,$F230))</f>
        <v>0.0026662037037037</v>
      </c>
      <c r="J230" s="17" t="n">
        <f aca="false">IF(INDEX(選手一覧!$K$7:$K$2738,$F230)="","",INDEX(選手一覧!$K$7:$K$2738,$F230))</f>
        <v>6</v>
      </c>
    </row>
    <row r="231" customFormat="false" ht="15" hidden="false" customHeight="false" outlineLevel="0" collapsed="false">
      <c r="A231" s="17" t="n">
        <v>227</v>
      </c>
      <c r="B231" s="12" t="s">
        <v>442</v>
      </c>
      <c r="C231" s="12" t="s">
        <v>193</v>
      </c>
      <c r="D231" s="16" t="n">
        <v>0.0103731481481482</v>
      </c>
      <c r="E231" s="15" t="n">
        <f aca="false">ROUND((D231-$D$5)*86400,2)</f>
        <v>106.5</v>
      </c>
      <c r="F231" s="17" t="n">
        <v>226</v>
      </c>
      <c r="G231" s="16" t="str">
        <f aca="false">IF(INDEX(選手一覧!$H$7:$H$2738,$F231)="","",INDEX(選手一覧!$H$7:$H$2738,$F231))</f>
        <v/>
      </c>
      <c r="H231" s="17" t="str">
        <f aca="false">IF(INDEX(選手一覧!$I$7:$I$2738,$F231)="","",INDEX(選手一覧!$I$7:$I$2738,$F231))</f>
        <v/>
      </c>
      <c r="I231" s="16" t="n">
        <f aca="false">IF(INDEX(選手一覧!$J$7:$J$2738,$F231)="","",INDEX(選手一覧!$J$7:$J$2738,$F231))</f>
        <v>0.00271180555555556</v>
      </c>
      <c r="J231" s="17" t="n">
        <f aca="false">IF(INDEX(選手一覧!$K$7:$K$2738,$F231)="","",INDEX(選手一覧!$K$7:$K$2738,$F231))</f>
        <v>37</v>
      </c>
    </row>
    <row r="232" customFormat="false" ht="15" hidden="false" customHeight="false" outlineLevel="0" collapsed="false">
      <c r="A232" s="17" t="n">
        <v>228</v>
      </c>
      <c r="B232" s="12" t="s">
        <v>443</v>
      </c>
      <c r="C232" s="12" t="s">
        <v>444</v>
      </c>
      <c r="D232" s="16" t="n">
        <v>0.0103738425925926</v>
      </c>
      <c r="E232" s="15" t="n">
        <f aca="false">ROUND((D232-$D$5)*86400,2)</f>
        <v>106.56</v>
      </c>
      <c r="F232" s="17" t="n">
        <v>227</v>
      </c>
      <c r="G232" s="16" t="str">
        <f aca="false">IF(INDEX(選手一覧!$H$7:$H$2738,$F232)="","",INDEX(選手一覧!$H$7:$H$2738,$F232))</f>
        <v/>
      </c>
      <c r="H232" s="17" t="str">
        <f aca="false">IF(INDEX(選手一覧!$I$7:$I$2738,$F232)="","",INDEX(選手一覧!$I$7:$I$2738,$F232))</f>
        <v/>
      </c>
      <c r="I232" s="16" t="n">
        <f aca="false">IF(INDEX(選手一覧!$J$7:$J$2738,$F232)="","",INDEX(選手一覧!$J$7:$J$2738,$F232))</f>
        <v>0.00296898148148148</v>
      </c>
      <c r="J232" s="17" t="n">
        <f aca="false">IF(INDEX(選手一覧!$K$7:$K$2738,$F232)="","",INDEX(選手一覧!$K$7:$K$2738,$F232))</f>
        <v>1305</v>
      </c>
    </row>
    <row r="233" customFormat="false" ht="15" hidden="false" customHeight="false" outlineLevel="0" collapsed="false">
      <c r="A233" s="17" t="n">
        <v>229</v>
      </c>
      <c r="B233" s="12" t="s">
        <v>446</v>
      </c>
      <c r="C233" s="12" t="s">
        <v>447</v>
      </c>
      <c r="D233" s="16" t="n">
        <v>0.0103741898148148</v>
      </c>
      <c r="E233" s="15" t="n">
        <f aca="false">ROUND((D233-$D$5)*86400,2)</f>
        <v>106.59</v>
      </c>
      <c r="F233" s="17" t="n">
        <v>228</v>
      </c>
      <c r="G233" s="16" t="n">
        <f aca="false">IF(INDEX(選手一覧!$H$7:$H$2738,$F233)="","",INDEX(選手一覧!$H$7:$H$2738,$F233))</f>
        <v>0.00650520833333333</v>
      </c>
      <c r="H233" s="17" t="n">
        <f aca="false">IF(INDEX(選手一覧!$I$7:$I$2738,$F233)="","",INDEX(選手一覧!$I$7:$I$2738,$F233))</f>
        <v>37</v>
      </c>
      <c r="I233" s="16" t="n">
        <f aca="false">IF(INDEX(選手一覧!$J$7:$J$2738,$F233)="","",INDEX(選手一覧!$J$7:$J$2738,$F233))</f>
        <v>0.00288148148148148</v>
      </c>
      <c r="J233" s="17" t="n">
        <f aca="false">IF(INDEX(選手一覧!$K$7:$K$2738,$F233)="","",INDEX(選手一覧!$K$7:$K$2738,$F233))</f>
        <v>784</v>
      </c>
    </row>
    <row r="234" customFormat="false" ht="15" hidden="false" customHeight="false" outlineLevel="0" collapsed="false">
      <c r="A234" s="17" t="n">
        <v>230</v>
      </c>
      <c r="B234" s="12" t="s">
        <v>448</v>
      </c>
      <c r="C234" s="12" t="s">
        <v>449</v>
      </c>
      <c r="D234" s="16" t="n">
        <v>0.0103746527777778</v>
      </c>
      <c r="E234" s="15" t="n">
        <f aca="false">ROUND((D234-$D$5)*86400,2)</f>
        <v>106.63</v>
      </c>
      <c r="F234" s="17" t="n">
        <v>229</v>
      </c>
      <c r="G234" s="16" t="str">
        <f aca="false">IF(INDEX(選手一覧!$H$7:$H$2738,$F234)="","",INDEX(選手一覧!$H$7:$H$2738,$F234))</f>
        <v/>
      </c>
      <c r="H234" s="17" t="str">
        <f aca="false">IF(INDEX(選手一覧!$I$7:$I$2738,$F234)="","",INDEX(選手一覧!$I$7:$I$2738,$F234))</f>
        <v/>
      </c>
      <c r="I234" s="16" t="n">
        <f aca="false">IF(INDEX(選手一覧!$J$7:$J$2738,$F234)="","",INDEX(選手一覧!$J$7:$J$2738,$F234))</f>
        <v>0.00280636574074074</v>
      </c>
      <c r="J234" s="17" t="n">
        <f aca="false">IF(INDEX(選手一覧!$K$7:$K$2738,$F234)="","",INDEX(選手一覧!$K$7:$K$2738,$F234))</f>
        <v>308</v>
      </c>
    </row>
    <row r="235" customFormat="false" ht="15" hidden="false" customHeight="false" outlineLevel="0" collapsed="false">
      <c r="A235" s="17" t="n">
        <v>231</v>
      </c>
      <c r="B235" s="12" t="s">
        <v>451</v>
      </c>
      <c r="C235" s="12" t="s">
        <v>167</v>
      </c>
      <c r="D235" s="16" t="n">
        <v>0.0103753472222222</v>
      </c>
      <c r="E235" s="15" t="n">
        <f aca="false">ROUND((D235-$D$5)*86400,2)</f>
        <v>106.69</v>
      </c>
      <c r="F235" s="17" t="n">
        <v>230</v>
      </c>
      <c r="G235" s="16" t="str">
        <f aca="false">IF(INDEX(選手一覧!$H$7:$H$2738,$F235)="","",INDEX(選手一覧!$H$7:$H$2738,$F235))</f>
        <v/>
      </c>
      <c r="H235" s="17" t="str">
        <f aca="false">IF(INDEX(選手一覧!$I$7:$I$2738,$F235)="","",INDEX(選手一覧!$I$7:$I$2738,$F235))</f>
        <v/>
      </c>
      <c r="I235" s="16" t="n">
        <f aca="false">IF(INDEX(選手一覧!$J$7:$J$2738,$F235)="","",INDEX(選手一覧!$J$7:$J$2738,$F235))</f>
        <v>0.0027912037037037</v>
      </c>
      <c r="J235" s="17" t="n">
        <f aca="false">IF(INDEX(選手一覧!$K$7:$K$2738,$F235)="","",INDEX(選手一覧!$K$7:$K$2738,$F235))</f>
        <v>246</v>
      </c>
    </row>
    <row r="236" customFormat="false" ht="15" hidden="false" customHeight="false" outlineLevel="0" collapsed="false">
      <c r="A236" s="17" t="n">
        <v>232</v>
      </c>
      <c r="B236" s="12" t="s">
        <v>453</v>
      </c>
      <c r="C236" s="12" t="s">
        <v>454</v>
      </c>
      <c r="D236" s="16" t="n">
        <v>0.0103755787037037</v>
      </c>
      <c r="E236" s="15" t="n">
        <f aca="false">ROUND((D236-$D$5)*86400,2)</f>
        <v>106.71</v>
      </c>
      <c r="F236" s="17" t="n">
        <v>231</v>
      </c>
      <c r="G236" s="16" t="str">
        <f aca="false">IF(INDEX(選手一覧!$H$7:$H$2738,$F236)="","",INDEX(選手一覧!$H$7:$H$2738,$F236))</f>
        <v/>
      </c>
      <c r="H236" s="17" t="str">
        <f aca="false">IF(INDEX(選手一覧!$I$7:$I$2738,$F236)="","",INDEX(選手一覧!$I$7:$I$2738,$F236))</f>
        <v/>
      </c>
      <c r="I236" s="16" t="n">
        <f aca="false">IF(INDEX(選手一覧!$J$7:$J$2738,$F236)="","",INDEX(選手一覧!$J$7:$J$2738,$F236))</f>
        <v>0.00278877314814815</v>
      </c>
      <c r="J236" s="17" t="n">
        <f aca="false">IF(INDEX(選手一覧!$K$7:$K$2738,$F236)="","",INDEX(選手一覧!$K$7:$K$2738,$F236))</f>
        <v>236</v>
      </c>
    </row>
    <row r="237" customFormat="false" ht="15" hidden="false" customHeight="false" outlineLevel="0" collapsed="false">
      <c r="A237" s="17" t="n">
        <v>233</v>
      </c>
      <c r="B237" s="12" t="s">
        <v>455</v>
      </c>
      <c r="C237" s="12" t="s">
        <v>155</v>
      </c>
      <c r="D237" s="16" t="n">
        <v>0.0103755787037037</v>
      </c>
      <c r="E237" s="15" t="n">
        <f aca="false">ROUND((D237-$D$5)*86400,2)</f>
        <v>106.71</v>
      </c>
      <c r="F237" s="17" t="n">
        <v>232</v>
      </c>
      <c r="G237" s="16" t="str">
        <f aca="false">IF(INDEX(選手一覧!$H$7:$H$2738,$F237)="","",INDEX(選手一覧!$H$7:$H$2738,$F237))</f>
        <v/>
      </c>
      <c r="H237" s="17" t="str">
        <f aca="false">IF(INDEX(選手一覧!$I$7:$I$2738,$F237)="","",INDEX(選手一覧!$I$7:$I$2738,$F237))</f>
        <v/>
      </c>
      <c r="I237" s="16" t="n">
        <f aca="false">IF(INDEX(選手一覧!$J$7:$J$2738,$F237)="","",INDEX(選手一覧!$J$7:$J$2738,$F237))</f>
        <v>0.00277407407407407</v>
      </c>
      <c r="J237" s="17" t="n">
        <f aca="false">IF(INDEX(選手一覧!$K$7:$K$2738,$F237)="","",INDEX(選手一覧!$K$7:$K$2738,$F237))</f>
        <v>172</v>
      </c>
    </row>
    <row r="238" customFormat="false" ht="15" hidden="false" customHeight="false" outlineLevel="0" collapsed="false">
      <c r="A238" s="17" t="n">
        <v>234</v>
      </c>
      <c r="B238" s="12" t="s">
        <v>456</v>
      </c>
      <c r="C238" s="12" t="s">
        <v>457</v>
      </c>
      <c r="D238" s="16" t="n">
        <v>0.0103759259259259</v>
      </c>
      <c r="E238" s="15" t="n">
        <f aca="false">ROUND((D238-$D$5)*86400,2)</f>
        <v>106.74</v>
      </c>
      <c r="F238" s="17" t="n">
        <v>233</v>
      </c>
      <c r="G238" s="16" t="str">
        <f aca="false">IF(INDEX(選手一覧!$H$7:$H$2738,$F238)="","",INDEX(選手一覧!$H$7:$H$2738,$F238))</f>
        <v/>
      </c>
      <c r="H238" s="17" t="str">
        <f aca="false">IF(INDEX(選手一覧!$I$7:$I$2738,$F238)="","",INDEX(選手一覧!$I$7:$I$2738,$F238))</f>
        <v/>
      </c>
      <c r="I238" s="16" t="n">
        <f aca="false">IF(INDEX(選手一覧!$J$7:$J$2738,$F238)="","",INDEX(選手一覧!$J$7:$J$2738,$F238))</f>
        <v>0.00285034722222222</v>
      </c>
      <c r="J238" s="17" t="n">
        <f aca="false">IF(INDEX(選手一覧!$K$7:$K$2738,$F238)="","",INDEX(選手一覧!$K$7:$K$2738,$F238))</f>
        <v>571</v>
      </c>
    </row>
    <row r="239" customFormat="false" ht="15" hidden="false" customHeight="false" outlineLevel="0" collapsed="false">
      <c r="A239" s="17" t="n">
        <v>235</v>
      </c>
      <c r="B239" s="12" t="s">
        <v>458</v>
      </c>
      <c r="C239" s="12" t="s">
        <v>25</v>
      </c>
      <c r="D239" s="16" t="n">
        <v>0.0103759259259259</v>
      </c>
      <c r="E239" s="15" t="n">
        <f aca="false">ROUND((D239-$D$5)*86400,2)</f>
        <v>106.74</v>
      </c>
      <c r="F239" s="17" t="n">
        <v>234</v>
      </c>
      <c r="G239" s="16" t="str">
        <f aca="false">IF(INDEX(選手一覧!$H$7:$H$2738,$F239)="","",INDEX(選手一覧!$H$7:$H$2738,$F239))</f>
        <v/>
      </c>
      <c r="H239" s="17" t="str">
        <f aca="false">IF(INDEX(選手一覧!$I$7:$I$2738,$F239)="","",INDEX(選手一覧!$I$7:$I$2738,$F239))</f>
        <v/>
      </c>
      <c r="I239" s="16" t="str">
        <f aca="false">IF(INDEX(選手一覧!$J$7:$J$2738,$F239)="","",INDEX(選手一覧!$J$7:$J$2738,$F239))</f>
        <v/>
      </c>
      <c r="J239" s="17" t="str">
        <f aca="false">IF(INDEX(選手一覧!$K$7:$K$2738,$F239)="","",INDEX(選手一覧!$K$7:$K$2738,$F239))</f>
        <v/>
      </c>
    </row>
    <row r="240" customFormat="false" ht="15" hidden="false" customHeight="false" outlineLevel="0" collapsed="false">
      <c r="A240" s="17" t="n">
        <v>236</v>
      </c>
      <c r="B240" s="12" t="s">
        <v>459</v>
      </c>
      <c r="C240" s="12" t="s">
        <v>460</v>
      </c>
      <c r="D240" s="16" t="n">
        <v>0.0103765046296296</v>
      </c>
      <c r="E240" s="15" t="n">
        <f aca="false">ROUND((D240-$D$5)*86400,2)</f>
        <v>106.79</v>
      </c>
      <c r="F240" s="17" t="n">
        <v>235</v>
      </c>
      <c r="G240" s="16" t="str">
        <f aca="false">IF(INDEX(選手一覧!$H$7:$H$2738,$F240)="","",INDEX(選手一覧!$H$7:$H$2738,$F240))</f>
        <v/>
      </c>
      <c r="H240" s="17" t="str">
        <f aca="false">IF(INDEX(選手一覧!$I$7:$I$2738,$F240)="","",INDEX(選手一覧!$I$7:$I$2738,$F240))</f>
        <v/>
      </c>
      <c r="I240" s="16" t="n">
        <f aca="false">IF(INDEX(選手一覧!$J$7:$J$2738,$F240)="","",INDEX(選手一覧!$J$7:$J$2738,$F240))</f>
        <v>0.00267881944444444</v>
      </c>
      <c r="J240" s="17" t="n">
        <f aca="false">IF(INDEX(選手一覧!$K$7:$K$2738,$F240)="","",INDEX(選手一覧!$K$7:$K$2738,$F240))</f>
        <v>12</v>
      </c>
    </row>
    <row r="241" customFormat="false" ht="15" hidden="false" customHeight="false" outlineLevel="0" collapsed="false">
      <c r="A241" s="17" t="n">
        <v>237</v>
      </c>
      <c r="B241" s="12" t="s">
        <v>462</v>
      </c>
      <c r="C241" s="12" t="s">
        <v>463</v>
      </c>
      <c r="D241" s="16" t="n">
        <v>0.0103766203703704</v>
      </c>
      <c r="E241" s="15" t="n">
        <f aca="false">ROUND((D241-$D$5)*86400,2)</f>
        <v>106.8</v>
      </c>
      <c r="F241" s="17" t="n">
        <v>236</v>
      </c>
      <c r="G241" s="16" t="str">
        <f aca="false">IF(INDEX(選手一覧!$H$7:$H$2738,$F241)="","",INDEX(選手一覧!$H$7:$H$2738,$F241))</f>
        <v/>
      </c>
      <c r="H241" s="17" t="str">
        <f aca="false">IF(INDEX(選手一覧!$I$7:$I$2738,$F241)="","",INDEX(選手一覧!$I$7:$I$2738,$F241))</f>
        <v/>
      </c>
      <c r="I241" s="16" t="n">
        <f aca="false">IF(INDEX(選手一覧!$J$7:$J$2738,$F241)="","",INDEX(選手一覧!$J$7:$J$2738,$F241))</f>
        <v>0.00276319444444444</v>
      </c>
      <c r="J241" s="17" t="n">
        <f aca="false">IF(INDEX(選手一覧!$K$7:$K$2738,$F241)="","",INDEX(選手一覧!$K$7:$K$2738,$F241))</f>
        <v>143</v>
      </c>
    </row>
    <row r="242" customFormat="false" ht="15" hidden="false" customHeight="false" outlineLevel="0" collapsed="false">
      <c r="A242" s="17" t="n">
        <v>238</v>
      </c>
      <c r="B242" s="12" t="s">
        <v>465</v>
      </c>
      <c r="C242" s="12" t="s">
        <v>127</v>
      </c>
      <c r="D242" s="16" t="n">
        <v>0.0103774305555556</v>
      </c>
      <c r="E242" s="15" t="n">
        <f aca="false">ROUND((D242-$D$5)*86400,2)</f>
        <v>106.87</v>
      </c>
      <c r="F242" s="17" t="n">
        <v>237</v>
      </c>
      <c r="G242" s="16" t="n">
        <f aca="false">IF(INDEX(選手一覧!$H$7:$H$2738,$F242)="","",INDEX(選手一覧!$H$7:$H$2738,$F242))</f>
        <v>0.006659375</v>
      </c>
      <c r="H242" s="17" t="n">
        <f aca="false">IF(INDEX(選手一覧!$I$7:$I$2738,$F242)="","",INDEX(選手一覧!$I$7:$I$2738,$F242))</f>
        <v>88</v>
      </c>
      <c r="I242" s="16" t="n">
        <f aca="false">IF(INDEX(選手一覧!$J$7:$J$2738,$F242)="","",INDEX(選手一覧!$J$7:$J$2738,$F242))</f>
        <v>0.00296747685185185</v>
      </c>
      <c r="J242" s="17" t="n">
        <f aca="false">IF(INDEX(選手一覧!$K$7:$K$2738,$F242)="","",INDEX(選手一覧!$K$7:$K$2738,$F242))</f>
        <v>1300</v>
      </c>
    </row>
    <row r="243" customFormat="false" ht="15" hidden="false" customHeight="false" outlineLevel="0" collapsed="false">
      <c r="A243" s="17" t="n">
        <v>239</v>
      </c>
      <c r="B243" s="12" t="s">
        <v>467</v>
      </c>
      <c r="C243" s="12" t="s">
        <v>150</v>
      </c>
      <c r="D243" s="16" t="n">
        <v>0.0103777777777778</v>
      </c>
      <c r="E243" s="15" t="n">
        <f aca="false">ROUND((D243-$D$5)*86400,2)</f>
        <v>106.9</v>
      </c>
      <c r="F243" s="17" t="n">
        <v>238</v>
      </c>
      <c r="G243" s="16" t="str">
        <f aca="false">IF(INDEX(選手一覧!$H$7:$H$2738,$F243)="","",INDEX(選手一覧!$H$7:$H$2738,$F243))</f>
        <v/>
      </c>
      <c r="H243" s="17" t="str">
        <f aca="false">IF(INDEX(選手一覧!$I$7:$I$2738,$F243)="","",INDEX(選手一覧!$I$7:$I$2738,$F243))</f>
        <v/>
      </c>
      <c r="I243" s="16" t="n">
        <f aca="false">IF(INDEX(選手一覧!$J$7:$J$2738,$F243)="","",INDEX(選手一覧!$J$7:$J$2738,$F243))</f>
        <v>0.00282164351851852</v>
      </c>
      <c r="J243" s="17" t="n">
        <f aca="false">IF(INDEX(選手一覧!$K$7:$K$2738,$F243)="","",INDEX(選手一覧!$K$7:$K$2738,$F243))</f>
        <v>373</v>
      </c>
    </row>
    <row r="244" customFormat="false" ht="15" hidden="false" customHeight="false" outlineLevel="0" collapsed="false">
      <c r="A244" s="17" t="n">
        <v>240</v>
      </c>
      <c r="B244" s="12" t="s">
        <v>468</v>
      </c>
      <c r="C244" s="12" t="s">
        <v>469</v>
      </c>
      <c r="D244" s="16" t="n">
        <v>0.0103777777777778</v>
      </c>
      <c r="E244" s="15" t="n">
        <f aca="false">ROUND((D244-$D$5)*86400,2)</f>
        <v>106.9</v>
      </c>
      <c r="F244" s="17" t="n">
        <v>239</v>
      </c>
      <c r="G244" s="16" t="str">
        <f aca="false">IF(INDEX(選手一覧!$H$7:$H$2738,$F244)="","",INDEX(選手一覧!$H$7:$H$2738,$F244))</f>
        <v/>
      </c>
      <c r="H244" s="17" t="str">
        <f aca="false">IF(INDEX(選手一覧!$I$7:$I$2738,$F244)="","",INDEX(選手一覧!$I$7:$I$2738,$F244))</f>
        <v/>
      </c>
      <c r="I244" s="16" t="n">
        <f aca="false">IF(INDEX(選手一覧!$J$7:$J$2738,$F244)="","",INDEX(選手一覧!$J$7:$J$2738,$F244))</f>
        <v>0.0028369212962963</v>
      </c>
      <c r="J244" s="17" t="n">
        <f aca="false">IF(INDEX(選手一覧!$K$7:$K$2738,$F244)="","",INDEX(選手一覧!$K$7:$K$2738,$F244))</f>
        <v>479</v>
      </c>
    </row>
    <row r="245" customFormat="false" ht="15" hidden="false" customHeight="false" outlineLevel="0" collapsed="false">
      <c r="A245" s="17" t="n">
        <v>241</v>
      </c>
      <c r="B245" s="12" t="s">
        <v>470</v>
      </c>
      <c r="C245" s="12" t="s">
        <v>143</v>
      </c>
      <c r="D245" s="16" t="n">
        <v>0.010378125</v>
      </c>
      <c r="E245" s="15" t="n">
        <f aca="false">ROUND((D245-$D$5)*86400,2)</f>
        <v>106.93</v>
      </c>
      <c r="F245" s="17" t="n">
        <v>240</v>
      </c>
      <c r="G245" s="16" t="str">
        <f aca="false">IF(INDEX(選手一覧!$H$7:$H$2738,$F245)="","",INDEX(選手一覧!$H$7:$H$2738,$F245))</f>
        <v/>
      </c>
      <c r="H245" s="17" t="str">
        <f aca="false">IF(INDEX(選手一覧!$I$7:$I$2738,$F245)="","",INDEX(選手一覧!$I$7:$I$2738,$F245))</f>
        <v/>
      </c>
      <c r="I245" s="16" t="str">
        <f aca="false">IF(INDEX(選手一覧!$J$7:$J$2738,$F245)="","",INDEX(選手一覧!$J$7:$J$2738,$F245))</f>
        <v/>
      </c>
      <c r="J245" s="17" t="str">
        <f aca="false">IF(INDEX(選手一覧!$K$7:$K$2738,$F245)="","",INDEX(選手一覧!$K$7:$K$2738,$F245))</f>
        <v/>
      </c>
    </row>
    <row r="246" customFormat="false" ht="15" hidden="false" customHeight="false" outlineLevel="0" collapsed="false">
      <c r="A246" s="17" t="n">
        <v>242</v>
      </c>
      <c r="B246" s="12" t="s">
        <v>471</v>
      </c>
      <c r="C246" s="12" t="s">
        <v>248</v>
      </c>
      <c r="D246" s="16" t="n">
        <v>0.0103782407407407</v>
      </c>
      <c r="E246" s="15" t="n">
        <f aca="false">ROUND((D246-$D$5)*86400,2)</f>
        <v>106.94</v>
      </c>
      <c r="F246" s="17" t="n">
        <v>241</v>
      </c>
      <c r="G246" s="16" t="str">
        <f aca="false">IF(INDEX(選手一覧!$H$7:$H$2738,$F246)="","",INDEX(選手一覧!$H$7:$H$2738,$F246))</f>
        <v/>
      </c>
      <c r="H246" s="17" t="str">
        <f aca="false">IF(INDEX(選手一覧!$I$7:$I$2738,$F246)="","",INDEX(選手一覧!$I$7:$I$2738,$F246))</f>
        <v/>
      </c>
      <c r="I246" s="16" t="n">
        <f aca="false">IF(INDEX(選手一覧!$J$7:$J$2738,$F246)="","",INDEX(選手一覧!$J$7:$J$2738,$F246))</f>
        <v>0.00277592592592593</v>
      </c>
      <c r="J246" s="17" t="n">
        <f aca="false">IF(INDEX(選手一覧!$K$7:$K$2738,$F246)="","",INDEX(選手一覧!$K$7:$K$2738,$F246))</f>
        <v>181</v>
      </c>
    </row>
    <row r="247" customFormat="false" ht="15" hidden="false" customHeight="false" outlineLevel="0" collapsed="false">
      <c r="A247" s="17" t="n">
        <v>243</v>
      </c>
      <c r="B247" s="12" t="s">
        <v>472</v>
      </c>
      <c r="C247" s="12" t="s">
        <v>152</v>
      </c>
      <c r="D247" s="16" t="n">
        <v>0.0103790509259259</v>
      </c>
      <c r="E247" s="15" t="n">
        <f aca="false">ROUND((D247-$D$5)*86400,2)</f>
        <v>107.01</v>
      </c>
      <c r="F247" s="17" t="n">
        <v>242</v>
      </c>
      <c r="G247" s="16" t="str">
        <f aca="false">IF(INDEX(選手一覧!$H$7:$H$2738,$F247)="","",INDEX(選手一覧!$H$7:$H$2738,$F247))</f>
        <v/>
      </c>
      <c r="H247" s="17" t="str">
        <f aca="false">IF(INDEX(選手一覧!$I$7:$I$2738,$F247)="","",INDEX(選手一覧!$I$7:$I$2738,$F247))</f>
        <v/>
      </c>
      <c r="I247" s="16" t="str">
        <f aca="false">IF(INDEX(選手一覧!$J$7:$J$2738,$F247)="","",INDEX(選手一覧!$J$7:$J$2738,$F247))</f>
        <v/>
      </c>
      <c r="J247" s="17" t="str">
        <f aca="false">IF(INDEX(選手一覧!$K$7:$K$2738,$F247)="","",INDEX(選手一覧!$K$7:$K$2738,$F247))</f>
        <v/>
      </c>
    </row>
    <row r="248" customFormat="false" ht="15" hidden="false" customHeight="false" outlineLevel="0" collapsed="false">
      <c r="A248" s="17" t="n">
        <v>244</v>
      </c>
      <c r="B248" s="12" t="s">
        <v>473</v>
      </c>
      <c r="C248" s="12" t="s">
        <v>27</v>
      </c>
      <c r="D248" s="16" t="n">
        <v>0.0103798611111111</v>
      </c>
      <c r="E248" s="15" t="n">
        <f aca="false">ROUND((D248-$D$5)*86400,2)</f>
        <v>107.08</v>
      </c>
      <c r="F248" s="17" t="n">
        <v>243</v>
      </c>
      <c r="G248" s="16" t="str">
        <f aca="false">IF(INDEX(選手一覧!$H$7:$H$2738,$F248)="","",INDEX(選手一覧!$H$7:$H$2738,$F248))</f>
        <v/>
      </c>
      <c r="H248" s="17" t="str">
        <f aca="false">IF(INDEX(選手一覧!$I$7:$I$2738,$F248)="","",INDEX(選手一覧!$I$7:$I$2738,$F248))</f>
        <v/>
      </c>
      <c r="I248" s="16" t="str">
        <f aca="false">IF(INDEX(選手一覧!$J$7:$J$2738,$F248)="","",INDEX(選手一覧!$J$7:$J$2738,$F248))</f>
        <v/>
      </c>
      <c r="J248" s="17" t="str">
        <f aca="false">IF(INDEX(選手一覧!$K$7:$K$2738,$F248)="","",INDEX(選手一覧!$K$7:$K$2738,$F248))</f>
        <v/>
      </c>
    </row>
    <row r="249" customFormat="false" ht="15" hidden="false" customHeight="false" outlineLevel="0" collapsed="false">
      <c r="A249" s="17" t="n">
        <v>245</v>
      </c>
      <c r="B249" s="12" t="s">
        <v>474</v>
      </c>
      <c r="C249" s="12" t="s">
        <v>434</v>
      </c>
      <c r="D249" s="16" t="n">
        <v>0.0103844907407407</v>
      </c>
      <c r="E249" s="15" t="n">
        <f aca="false">ROUND((D249-$D$5)*86400,2)</f>
        <v>107.48</v>
      </c>
      <c r="F249" s="17" t="n">
        <v>244</v>
      </c>
      <c r="G249" s="16" t="n">
        <f aca="false">IF(INDEX(選手一覧!$H$7:$H$2738,$F249)="","",INDEX(選手一覧!$H$7:$H$2738,$F249))</f>
        <v>0.0072037037037037</v>
      </c>
      <c r="H249" s="17" t="n">
        <f aca="false">IF(INDEX(選手一覧!$I$7:$I$2738,$F249)="","",INDEX(選手一覧!$I$7:$I$2738,$F249))</f>
        <v>541</v>
      </c>
      <c r="I249" s="16" t="n">
        <f aca="false">IF(INDEX(選手一覧!$J$7:$J$2738,$F249)="","",INDEX(選手一覧!$J$7:$J$2738,$F249))</f>
        <v>0.00296643518518519</v>
      </c>
      <c r="J249" s="17" t="n">
        <f aca="false">IF(INDEX(選手一覧!$K$7:$K$2738,$F249)="","",INDEX(選手一覧!$K$7:$K$2738,$F249))</f>
        <v>1297</v>
      </c>
    </row>
    <row r="250" customFormat="false" ht="15" hidden="false" customHeight="false" outlineLevel="0" collapsed="false">
      <c r="A250" s="17" t="n">
        <v>246</v>
      </c>
      <c r="B250" s="12" t="s">
        <v>476</v>
      </c>
      <c r="C250" s="12" t="s">
        <v>27</v>
      </c>
      <c r="D250" s="16" t="n">
        <v>0.0103846064814815</v>
      </c>
      <c r="E250" s="15" t="n">
        <f aca="false">ROUND((D250-$D$5)*86400,2)</f>
        <v>107.49</v>
      </c>
      <c r="F250" s="17" t="n">
        <v>245</v>
      </c>
      <c r="G250" s="16" t="str">
        <f aca="false">IF(INDEX(選手一覧!$H$7:$H$2738,$F250)="","",INDEX(選手一覧!$H$7:$H$2738,$F250))</f>
        <v/>
      </c>
      <c r="H250" s="17" t="str">
        <f aca="false">IF(INDEX(選手一覧!$I$7:$I$2738,$F250)="","",INDEX(選手一覧!$I$7:$I$2738,$F250))</f>
        <v/>
      </c>
      <c r="I250" s="16" t="str">
        <f aca="false">IF(INDEX(選手一覧!$J$7:$J$2738,$F250)="","",INDEX(選手一覧!$J$7:$J$2738,$F250))</f>
        <v/>
      </c>
      <c r="J250" s="17" t="str">
        <f aca="false">IF(INDEX(選手一覧!$K$7:$K$2738,$F250)="","",INDEX(選手一覧!$K$7:$K$2738,$F250))</f>
        <v/>
      </c>
    </row>
    <row r="251" customFormat="false" ht="15" hidden="false" customHeight="false" outlineLevel="0" collapsed="false">
      <c r="A251" s="17" t="n">
        <v>247</v>
      </c>
      <c r="B251" s="12" t="s">
        <v>477</v>
      </c>
      <c r="C251" s="12" t="s">
        <v>478</v>
      </c>
      <c r="D251" s="16" t="n">
        <v>0.0103861111111111</v>
      </c>
      <c r="E251" s="15" t="n">
        <f aca="false">ROUND((D251-$D$5)*86400,2)</f>
        <v>107.62</v>
      </c>
      <c r="F251" s="17" t="n">
        <v>246</v>
      </c>
      <c r="G251" s="16" t="str">
        <f aca="false">IF(INDEX(選手一覧!$H$7:$H$2738,$F251)="","",INDEX(選手一覧!$H$7:$H$2738,$F251))</f>
        <v/>
      </c>
      <c r="H251" s="17" t="str">
        <f aca="false">IF(INDEX(選手一覧!$I$7:$I$2738,$F251)="","",INDEX(選手一覧!$I$7:$I$2738,$F251))</f>
        <v/>
      </c>
      <c r="I251" s="16" t="n">
        <f aca="false">IF(INDEX(選手一覧!$J$7:$J$2738,$F251)="","",INDEX(選手一覧!$J$7:$J$2738,$F251))</f>
        <v>0.00282662037037037</v>
      </c>
      <c r="J251" s="17" t="n">
        <f aca="false">IF(INDEX(選手一覧!$K$7:$K$2738,$F251)="","",INDEX(選手一覧!$K$7:$K$2738,$F251))</f>
        <v>403</v>
      </c>
    </row>
    <row r="252" customFormat="false" ht="15" hidden="false" customHeight="false" outlineLevel="0" collapsed="false">
      <c r="A252" s="17" t="n">
        <v>248</v>
      </c>
      <c r="B252" s="12" t="s">
        <v>479</v>
      </c>
      <c r="C252" s="12" t="s">
        <v>161</v>
      </c>
      <c r="D252" s="16" t="n">
        <v>0.010387962962963</v>
      </c>
      <c r="E252" s="15" t="n">
        <f aca="false">ROUND((D252-$D$5)*86400,2)</f>
        <v>107.78</v>
      </c>
      <c r="F252" s="17" t="n">
        <v>247</v>
      </c>
      <c r="G252" s="16" t="n">
        <f aca="false">IF(INDEX(選手一覧!$H$7:$H$2738,$F252)="","",INDEX(選手一覧!$H$7:$H$2738,$F252))</f>
        <v>0.00696041666666667</v>
      </c>
      <c r="H252" s="17" t="n">
        <f aca="false">IF(INDEX(選手一覧!$I$7:$I$2738,$F252)="","",INDEX(選手一覧!$I$7:$I$2738,$F252))</f>
        <v>294</v>
      </c>
      <c r="I252" s="16" t="n">
        <f aca="false">IF(INDEX(選手一覧!$J$7:$J$2738,$F252)="","",INDEX(選手一覧!$J$7:$J$2738,$F252))</f>
        <v>0.00292326388888889</v>
      </c>
      <c r="J252" s="17" t="n">
        <f aca="false">IF(INDEX(選手一覧!$K$7:$K$2738,$F252)="","",INDEX(選手一覧!$K$7:$K$2738,$F252))</f>
        <v>1129</v>
      </c>
    </row>
    <row r="253" customFormat="false" ht="15" hidden="false" customHeight="false" outlineLevel="0" collapsed="false">
      <c r="A253" s="17" t="n">
        <v>249</v>
      </c>
      <c r="B253" s="12" t="s">
        <v>481</v>
      </c>
      <c r="C253" s="12" t="s">
        <v>127</v>
      </c>
      <c r="D253" s="16" t="n">
        <v>0.0103880787037037</v>
      </c>
      <c r="E253" s="15" t="n">
        <f aca="false">ROUND((D253-$D$5)*86400,2)</f>
        <v>107.79</v>
      </c>
      <c r="F253" s="17" t="n">
        <v>248</v>
      </c>
      <c r="G253" s="16" t="str">
        <f aca="false">IF(INDEX(選手一覧!$H$7:$H$2738,$F253)="","",INDEX(選手一覧!$H$7:$H$2738,$F253))</f>
        <v/>
      </c>
      <c r="H253" s="17" t="str">
        <f aca="false">IF(INDEX(選手一覧!$I$7:$I$2738,$F253)="","",INDEX(選手一覧!$I$7:$I$2738,$F253))</f>
        <v/>
      </c>
      <c r="I253" s="16" t="n">
        <f aca="false">IF(INDEX(選手一覧!$J$7:$J$2738,$F253)="","",INDEX(選手一覧!$J$7:$J$2738,$F253))</f>
        <v>0.00288842592592593</v>
      </c>
      <c r="J253" s="17" t="n">
        <f aca="false">IF(INDEX(選手一覧!$K$7:$K$2738,$F253)="","",INDEX(選手一覧!$K$7:$K$2738,$F253))</f>
        <v>852</v>
      </c>
    </row>
    <row r="254" customFormat="false" ht="15" hidden="false" customHeight="false" outlineLevel="0" collapsed="false">
      <c r="A254" s="17" t="n">
        <v>250</v>
      </c>
      <c r="B254" s="12" t="s">
        <v>483</v>
      </c>
      <c r="C254" s="12" t="s">
        <v>484</v>
      </c>
      <c r="D254" s="16" t="n">
        <v>0.0103887731481482</v>
      </c>
      <c r="E254" s="15" t="n">
        <f aca="false">ROUND((D254-$D$5)*86400,2)</f>
        <v>107.85</v>
      </c>
      <c r="F254" s="17" t="n">
        <v>249</v>
      </c>
      <c r="G254" s="16" t="str">
        <f aca="false">IF(INDEX(選手一覧!$H$7:$H$2738,$F254)="","",INDEX(選手一覧!$H$7:$H$2738,$F254))</f>
        <v/>
      </c>
      <c r="H254" s="17" t="str">
        <f aca="false">IF(INDEX(選手一覧!$I$7:$I$2738,$F254)="","",INDEX(選手一覧!$I$7:$I$2738,$F254))</f>
        <v/>
      </c>
      <c r="I254" s="16" t="n">
        <f aca="false">IF(INDEX(選手一覧!$J$7:$J$2738,$F254)="","",INDEX(選手一覧!$J$7:$J$2738,$F254))</f>
        <v>0.00282719907407407</v>
      </c>
      <c r="J254" s="17" t="n">
        <f aca="false">IF(INDEX(選手一覧!$K$7:$K$2738,$F254)="","",INDEX(選手一覧!$K$7:$K$2738,$F254))</f>
        <v>406</v>
      </c>
    </row>
    <row r="255" customFormat="false" ht="15" hidden="false" customHeight="false" outlineLevel="0" collapsed="false">
      <c r="A255" s="17" t="n">
        <v>251</v>
      </c>
      <c r="B255" s="12" t="s">
        <v>485</v>
      </c>
      <c r="C255" s="12" t="s">
        <v>486</v>
      </c>
      <c r="D255" s="16" t="n">
        <v>0.0103915509259259</v>
      </c>
      <c r="E255" s="15" t="n">
        <f aca="false">ROUND((D255-$D$5)*86400,2)</f>
        <v>108.09</v>
      </c>
      <c r="F255" s="17" t="n">
        <v>250</v>
      </c>
      <c r="G255" s="16" t="str">
        <f aca="false">IF(INDEX(選手一覧!$H$7:$H$2738,$F255)="","",INDEX(選手一覧!$H$7:$H$2738,$F255))</f>
        <v/>
      </c>
      <c r="H255" s="17" t="str">
        <f aca="false">IF(INDEX(選手一覧!$I$7:$I$2738,$F255)="","",INDEX(選手一覧!$I$7:$I$2738,$F255))</f>
        <v/>
      </c>
      <c r="I255" s="16" t="n">
        <f aca="false">IF(INDEX(選手一覧!$J$7:$J$2738,$F255)="","",INDEX(選手一覧!$J$7:$J$2738,$F255))</f>
        <v>0.00280694444444444</v>
      </c>
      <c r="J255" s="17" t="n">
        <f aca="false">IF(INDEX(選手一覧!$K$7:$K$2738,$F255)="","",INDEX(選手一覧!$K$7:$K$2738,$F255))</f>
        <v>314</v>
      </c>
    </row>
    <row r="256" customFormat="false" ht="15" hidden="false" customHeight="false" outlineLevel="0" collapsed="false">
      <c r="A256" s="17" t="n">
        <v>252</v>
      </c>
      <c r="B256" s="12" t="s">
        <v>487</v>
      </c>
      <c r="C256" s="12" t="s">
        <v>488</v>
      </c>
      <c r="D256" s="16" t="n">
        <v>0.0103917824074074</v>
      </c>
      <c r="E256" s="15" t="n">
        <f aca="false">ROUND((D256-$D$5)*86400,2)</f>
        <v>108.11</v>
      </c>
      <c r="F256" s="17" t="n">
        <v>251</v>
      </c>
      <c r="G256" s="16" t="n">
        <f aca="false">IF(INDEX(選手一覧!$H$7:$H$2738,$F256)="","",INDEX(選手一覧!$H$7:$H$2738,$F256))</f>
        <v>0.00646053240740741</v>
      </c>
      <c r="H256" s="17" t="n">
        <f aca="false">IF(INDEX(選手一覧!$I$7:$I$2738,$F256)="","",INDEX(選手一覧!$I$7:$I$2738,$F256))</f>
        <v>25</v>
      </c>
      <c r="I256" s="16" t="n">
        <f aca="false">IF(INDEX(選手一覧!$J$7:$J$2738,$F256)="","",INDEX(選手一覧!$J$7:$J$2738,$F256))</f>
        <v>0.00286458333333333</v>
      </c>
      <c r="J256" s="17" t="n">
        <f aca="false">IF(INDEX(選手一覧!$K$7:$K$2738,$F256)="","",INDEX(選手一覧!$K$7:$K$2738,$F256))</f>
        <v>663</v>
      </c>
    </row>
    <row r="257" customFormat="false" ht="15" hidden="false" customHeight="false" outlineLevel="0" collapsed="false">
      <c r="A257" s="17" t="n">
        <v>253</v>
      </c>
      <c r="B257" s="12" t="s">
        <v>489</v>
      </c>
      <c r="C257" s="12" t="s">
        <v>73</v>
      </c>
      <c r="D257" s="16" t="n">
        <v>0.0103930555555556</v>
      </c>
      <c r="E257" s="15" t="n">
        <f aca="false">ROUND((D257-$D$5)*86400,2)</f>
        <v>108.22</v>
      </c>
      <c r="F257" s="17" t="n">
        <v>252</v>
      </c>
      <c r="G257" s="16" t="str">
        <f aca="false">IF(INDEX(選手一覧!$H$7:$H$2738,$F257)="","",INDEX(選手一覧!$H$7:$H$2738,$F257))</f>
        <v/>
      </c>
      <c r="H257" s="17" t="str">
        <f aca="false">IF(INDEX(選手一覧!$I$7:$I$2738,$F257)="","",INDEX(選手一覧!$I$7:$I$2738,$F257))</f>
        <v/>
      </c>
      <c r="I257" s="16" t="str">
        <f aca="false">IF(INDEX(選手一覧!$J$7:$J$2738,$F257)="","",INDEX(選手一覧!$J$7:$J$2738,$F257))</f>
        <v/>
      </c>
      <c r="J257" s="17" t="str">
        <f aca="false">IF(INDEX(選手一覧!$K$7:$K$2738,$F257)="","",INDEX(選手一覧!$K$7:$K$2738,$F257))</f>
        <v/>
      </c>
    </row>
    <row r="258" customFormat="false" ht="15" hidden="false" customHeight="false" outlineLevel="0" collapsed="false">
      <c r="A258" s="17" t="n">
        <v>254</v>
      </c>
      <c r="B258" s="12" t="s">
        <v>490</v>
      </c>
      <c r="C258" s="12" t="s">
        <v>491</v>
      </c>
      <c r="D258" s="16" t="n">
        <v>0.0103950231481482</v>
      </c>
      <c r="E258" s="15" t="n">
        <f aca="false">ROUND((D258-$D$5)*86400,2)</f>
        <v>108.39</v>
      </c>
      <c r="F258" s="17" t="n">
        <v>253</v>
      </c>
      <c r="G258" s="16" t="str">
        <f aca="false">IF(INDEX(選手一覧!$H$7:$H$2738,$F258)="","",INDEX(選手一覧!$H$7:$H$2738,$F258))</f>
        <v/>
      </c>
      <c r="H258" s="17" t="str">
        <f aca="false">IF(INDEX(選手一覧!$I$7:$I$2738,$F258)="","",INDEX(選手一覧!$I$7:$I$2738,$F258))</f>
        <v/>
      </c>
      <c r="I258" s="16" t="str">
        <f aca="false">IF(INDEX(選手一覧!$J$7:$J$2738,$F258)="","",INDEX(選手一覧!$J$7:$J$2738,$F258))</f>
        <v/>
      </c>
      <c r="J258" s="17" t="str">
        <f aca="false">IF(INDEX(選手一覧!$K$7:$K$2738,$F258)="","",INDEX(選手一覧!$K$7:$K$2738,$F258))</f>
        <v/>
      </c>
    </row>
    <row r="259" customFormat="false" ht="15" hidden="false" customHeight="false" outlineLevel="0" collapsed="false">
      <c r="A259" s="17" t="n">
        <v>255</v>
      </c>
      <c r="B259" s="12" t="s">
        <v>492</v>
      </c>
      <c r="C259" s="12" t="s">
        <v>77</v>
      </c>
      <c r="D259" s="16" t="n">
        <v>0.0103954861111111</v>
      </c>
      <c r="E259" s="15" t="n">
        <f aca="false">ROUND((D259-$D$5)*86400,2)</f>
        <v>108.43</v>
      </c>
      <c r="F259" s="17" t="n">
        <v>254</v>
      </c>
      <c r="G259" s="16" t="str">
        <f aca="false">IF(INDEX(選手一覧!$H$7:$H$2738,$F259)="","",INDEX(選手一覧!$H$7:$H$2738,$F259))</f>
        <v/>
      </c>
      <c r="H259" s="17" t="str">
        <f aca="false">IF(INDEX(選手一覧!$I$7:$I$2738,$F259)="","",INDEX(選手一覧!$I$7:$I$2738,$F259))</f>
        <v/>
      </c>
      <c r="I259" s="16" t="n">
        <f aca="false">IF(INDEX(選手一覧!$J$7:$J$2738,$F259)="","",INDEX(選手一覧!$J$7:$J$2738,$F259))</f>
        <v>0.00294351851851852</v>
      </c>
      <c r="J259" s="17" t="n">
        <f aca="false">IF(INDEX(選手一覧!$K$7:$K$2738,$F259)="","",INDEX(選手一覧!$K$7:$K$2738,$F259))</f>
        <v>1214</v>
      </c>
    </row>
    <row r="260" customFormat="false" ht="15" hidden="false" customHeight="false" outlineLevel="0" collapsed="false">
      <c r="A260" s="17" t="n">
        <v>256</v>
      </c>
      <c r="B260" s="12" t="s">
        <v>493</v>
      </c>
      <c r="C260" s="12" t="s">
        <v>214</v>
      </c>
      <c r="D260" s="16" t="n">
        <v>0.010396412037037</v>
      </c>
      <c r="E260" s="15" t="n">
        <f aca="false">ROUND((D260-$D$5)*86400,2)</f>
        <v>108.51</v>
      </c>
      <c r="F260" s="17" t="n">
        <v>255</v>
      </c>
      <c r="G260" s="16" t="n">
        <f aca="false">IF(INDEX(選手一覧!$H$7:$H$2738,$F260)="","",INDEX(選手一覧!$H$7:$H$2738,$F260))</f>
        <v>0.00652337962962963</v>
      </c>
      <c r="H260" s="17" t="n">
        <f aca="false">IF(INDEX(選手一覧!$I$7:$I$2738,$F260)="","",INDEX(選手一覧!$I$7:$I$2738,$F260))</f>
        <v>39</v>
      </c>
      <c r="I260" s="16" t="n">
        <f aca="false">IF(INDEX(選手一覧!$J$7:$J$2738,$F260)="","",INDEX(選手一覧!$J$7:$J$2738,$F260))</f>
        <v>0.00278912037037037</v>
      </c>
      <c r="J260" s="17" t="n">
        <f aca="false">IF(INDEX(選手一覧!$K$7:$K$2738,$F260)="","",INDEX(選手一覧!$K$7:$K$2738,$F260))</f>
        <v>237</v>
      </c>
    </row>
    <row r="261" customFormat="false" ht="15" hidden="false" customHeight="false" outlineLevel="0" collapsed="false">
      <c r="A261" s="17" t="n">
        <v>257</v>
      </c>
      <c r="B261" s="12" t="s">
        <v>494</v>
      </c>
      <c r="C261" s="12" t="s">
        <v>61</v>
      </c>
      <c r="D261" s="16" t="n">
        <v>0.0103967592592593</v>
      </c>
      <c r="E261" s="15" t="n">
        <f aca="false">ROUND((D261-$D$5)*86400,2)</f>
        <v>108.54</v>
      </c>
      <c r="F261" s="17" t="n">
        <v>256</v>
      </c>
      <c r="G261" s="16" t="str">
        <f aca="false">IF(INDEX(選手一覧!$H$7:$H$2738,$F261)="","",INDEX(選手一覧!$H$7:$H$2738,$F261))</f>
        <v/>
      </c>
      <c r="H261" s="17" t="str">
        <f aca="false">IF(INDEX(選手一覧!$I$7:$I$2738,$F261)="","",INDEX(選手一覧!$I$7:$I$2738,$F261))</f>
        <v/>
      </c>
      <c r="I261" s="16" t="n">
        <f aca="false">IF(INDEX(選手一覧!$J$7:$J$2738,$F261)="","",INDEX(選手一覧!$J$7:$J$2738,$F261))</f>
        <v>0.00284085648148148</v>
      </c>
      <c r="J261" s="17" t="n">
        <f aca="false">IF(INDEX(選手一覧!$K$7:$K$2738,$F261)="","",INDEX(選手一覧!$K$7:$K$2738,$F261))</f>
        <v>503</v>
      </c>
    </row>
    <row r="262" customFormat="false" ht="15" hidden="false" customHeight="false" outlineLevel="0" collapsed="false">
      <c r="A262" s="17" t="n">
        <v>258</v>
      </c>
      <c r="B262" s="12" t="s">
        <v>495</v>
      </c>
      <c r="C262" s="12" t="s">
        <v>63</v>
      </c>
      <c r="D262" s="16" t="n">
        <v>0.010396875</v>
      </c>
      <c r="E262" s="15" t="n">
        <f aca="false">ROUND((D262-$D$5)*86400,2)</f>
        <v>108.55</v>
      </c>
      <c r="F262" s="17" t="n">
        <v>257</v>
      </c>
      <c r="G262" s="16" t="str">
        <f aca="false">IF(INDEX(選手一覧!$H$7:$H$2738,$F262)="","",INDEX(選手一覧!$H$7:$H$2738,$F262))</f>
        <v/>
      </c>
      <c r="H262" s="17" t="str">
        <f aca="false">IF(INDEX(選手一覧!$I$7:$I$2738,$F262)="","",INDEX(選手一覧!$I$7:$I$2738,$F262))</f>
        <v/>
      </c>
      <c r="I262" s="16" t="n">
        <f aca="false">IF(INDEX(選手一覧!$J$7:$J$2738,$F262)="","",INDEX(選手一覧!$J$7:$J$2738,$F262))</f>
        <v>0.00292951388888889</v>
      </c>
      <c r="J262" s="17" t="n">
        <f aca="false">IF(INDEX(選手一覧!$K$7:$K$2738,$F262)="","",INDEX(選手一覧!$K$7:$K$2738,$F262))</f>
        <v>1171</v>
      </c>
    </row>
    <row r="263" customFormat="false" ht="15" hidden="false" customHeight="false" outlineLevel="0" collapsed="false">
      <c r="A263" s="17" t="n">
        <v>259</v>
      </c>
      <c r="B263" s="12" t="s">
        <v>496</v>
      </c>
      <c r="C263" s="12" t="s">
        <v>370</v>
      </c>
      <c r="D263" s="16" t="n">
        <v>0.0103971064814815</v>
      </c>
      <c r="E263" s="15" t="n">
        <f aca="false">ROUND((D263-$D$5)*86400,2)</f>
        <v>108.57</v>
      </c>
      <c r="F263" s="17" t="n">
        <v>258</v>
      </c>
      <c r="G263" s="16" t="str">
        <f aca="false">IF(INDEX(選手一覧!$H$7:$H$2738,$F263)="","",INDEX(選手一覧!$H$7:$H$2738,$F263))</f>
        <v/>
      </c>
      <c r="H263" s="17" t="str">
        <f aca="false">IF(INDEX(選手一覧!$I$7:$I$2738,$F263)="","",INDEX(選手一覧!$I$7:$I$2738,$F263))</f>
        <v/>
      </c>
      <c r="I263" s="16" t="n">
        <f aca="false">IF(INDEX(選手一覧!$J$7:$J$2738,$F263)="","",INDEX(選手一覧!$J$7:$J$2738,$F263))</f>
        <v>0.00274768518518519</v>
      </c>
      <c r="J263" s="17" t="n">
        <f aca="false">IF(INDEX(選手一覧!$K$7:$K$2738,$F263)="","",INDEX(選手一覧!$K$7:$K$2738,$F263))</f>
        <v>95</v>
      </c>
    </row>
    <row r="264" customFormat="false" ht="15" hidden="false" customHeight="false" outlineLevel="0" collapsed="false">
      <c r="A264" s="17" t="n">
        <v>260</v>
      </c>
      <c r="B264" s="12" t="s">
        <v>497</v>
      </c>
      <c r="C264" s="12" t="s">
        <v>245</v>
      </c>
      <c r="D264" s="16" t="n">
        <v>0.0103972222222222</v>
      </c>
      <c r="E264" s="15" t="n">
        <f aca="false">ROUND((D264-$D$5)*86400,2)</f>
        <v>108.58</v>
      </c>
      <c r="F264" s="17" t="n">
        <v>259</v>
      </c>
      <c r="G264" s="16" t="str">
        <f aca="false">IF(INDEX(選手一覧!$H$7:$H$2738,$F264)="","",INDEX(選手一覧!$H$7:$H$2738,$F264))</f>
        <v/>
      </c>
      <c r="H264" s="17" t="str">
        <f aca="false">IF(INDEX(選手一覧!$I$7:$I$2738,$F264)="","",INDEX(選手一覧!$I$7:$I$2738,$F264))</f>
        <v/>
      </c>
      <c r="I264" s="16" t="n">
        <f aca="false">IF(INDEX(選手一覧!$J$7:$J$2738,$F264)="","",INDEX(選手一覧!$J$7:$J$2738,$F264))</f>
        <v>0.0028130787037037</v>
      </c>
      <c r="J264" s="17" t="n">
        <f aca="false">IF(INDEX(選手一覧!$K$7:$K$2738,$F264)="","",INDEX(選手一覧!$K$7:$K$2738,$F264))</f>
        <v>334</v>
      </c>
    </row>
    <row r="265" customFormat="false" ht="15" hidden="false" customHeight="false" outlineLevel="0" collapsed="false">
      <c r="A265" s="17" t="n">
        <v>261</v>
      </c>
      <c r="B265" s="12" t="s">
        <v>499</v>
      </c>
      <c r="C265" s="12" t="s">
        <v>240</v>
      </c>
      <c r="D265" s="16" t="n">
        <v>0.0103976851851852</v>
      </c>
      <c r="E265" s="15" t="n">
        <f aca="false">ROUND((D265-$D$5)*86400,2)</f>
        <v>108.62</v>
      </c>
      <c r="F265" s="17" t="n">
        <v>260</v>
      </c>
      <c r="G265" s="16" t="str">
        <f aca="false">IF(INDEX(選手一覧!$H$7:$H$2738,$F265)="","",INDEX(選手一覧!$H$7:$H$2738,$F265))</f>
        <v/>
      </c>
      <c r="H265" s="17" t="str">
        <f aca="false">IF(INDEX(選手一覧!$I$7:$I$2738,$F265)="","",INDEX(選手一覧!$I$7:$I$2738,$F265))</f>
        <v/>
      </c>
      <c r="I265" s="16" t="n">
        <f aca="false">IF(INDEX(選手一覧!$J$7:$J$2738,$F265)="","",INDEX(選手一覧!$J$7:$J$2738,$F265))</f>
        <v>0.00282592592592593</v>
      </c>
      <c r="J265" s="17" t="n">
        <f aca="false">IF(INDEX(選手一覧!$K$7:$K$2738,$F265)="","",INDEX(選手一覧!$K$7:$K$2738,$F265))</f>
        <v>398</v>
      </c>
    </row>
    <row r="266" customFormat="false" ht="15" hidden="false" customHeight="false" outlineLevel="0" collapsed="false">
      <c r="A266" s="17" t="n">
        <v>262</v>
      </c>
      <c r="B266" s="12" t="s">
        <v>501</v>
      </c>
      <c r="C266" s="12" t="s">
        <v>143</v>
      </c>
      <c r="D266" s="16" t="n">
        <v>0.0103980324074074</v>
      </c>
      <c r="E266" s="15" t="n">
        <f aca="false">ROUND((D266-$D$5)*86400,2)</f>
        <v>108.65</v>
      </c>
      <c r="F266" s="17" t="n">
        <v>261</v>
      </c>
      <c r="G266" s="16" t="str">
        <f aca="false">IF(INDEX(選手一覧!$H$7:$H$2738,$F266)="","",INDEX(選手一覧!$H$7:$H$2738,$F266))</f>
        <v/>
      </c>
      <c r="H266" s="17" t="str">
        <f aca="false">IF(INDEX(選手一覧!$I$7:$I$2738,$F266)="","",INDEX(選手一覧!$I$7:$I$2738,$F266))</f>
        <v/>
      </c>
      <c r="I266" s="16" t="n">
        <f aca="false">IF(INDEX(選手一覧!$J$7:$J$2738,$F266)="","",INDEX(選手一覧!$J$7:$J$2738,$F266))</f>
        <v>0.00291655092592593</v>
      </c>
      <c r="J266" s="17" t="n">
        <f aca="false">IF(INDEX(選手一覧!$K$7:$K$2738,$F266)="","",INDEX(選手一覧!$K$7:$K$2738,$F266))</f>
        <v>1063</v>
      </c>
    </row>
    <row r="267" customFormat="false" ht="15" hidden="false" customHeight="false" outlineLevel="0" collapsed="false">
      <c r="A267" s="17" t="n">
        <v>263</v>
      </c>
      <c r="B267" s="12" t="s">
        <v>502</v>
      </c>
      <c r="C267" s="12" t="s">
        <v>503</v>
      </c>
      <c r="D267" s="16" t="n">
        <v>0.0103997685185185</v>
      </c>
      <c r="E267" s="15" t="n">
        <f aca="false">ROUND((D267-$D$5)*86400,2)</f>
        <v>108.8</v>
      </c>
      <c r="F267" s="17" t="n">
        <v>262</v>
      </c>
      <c r="G267" s="16" t="str">
        <f aca="false">IF(INDEX(選手一覧!$H$7:$H$2738,$F267)="","",INDEX(選手一覧!$H$7:$H$2738,$F267))</f>
        <v/>
      </c>
      <c r="H267" s="17" t="str">
        <f aca="false">IF(INDEX(選手一覧!$I$7:$I$2738,$F267)="","",INDEX(選手一覧!$I$7:$I$2738,$F267))</f>
        <v/>
      </c>
      <c r="I267" s="16" t="str">
        <f aca="false">IF(INDEX(選手一覧!$J$7:$J$2738,$F267)="","",INDEX(選手一覧!$J$7:$J$2738,$F267))</f>
        <v/>
      </c>
      <c r="J267" s="17" t="str">
        <f aca="false">IF(INDEX(選手一覧!$K$7:$K$2738,$F267)="","",INDEX(選手一覧!$K$7:$K$2738,$F267))</f>
        <v/>
      </c>
    </row>
    <row r="268" customFormat="false" ht="15" hidden="false" customHeight="false" outlineLevel="0" collapsed="false">
      <c r="A268" s="17" t="n">
        <v>264</v>
      </c>
      <c r="B268" s="12" t="s">
        <v>504</v>
      </c>
      <c r="C268" s="12" t="s">
        <v>61</v>
      </c>
      <c r="D268" s="16" t="n">
        <v>0.0104</v>
      </c>
      <c r="E268" s="15" t="n">
        <f aca="false">ROUND((D268-$D$5)*86400,2)</f>
        <v>108.82</v>
      </c>
      <c r="F268" s="17" t="n">
        <v>263</v>
      </c>
      <c r="G268" s="16" t="str">
        <f aca="false">IF(INDEX(選手一覧!$H$7:$H$2738,$F268)="","",INDEX(選手一覧!$H$7:$H$2738,$F268))</f>
        <v/>
      </c>
      <c r="H268" s="17" t="str">
        <f aca="false">IF(INDEX(選手一覧!$I$7:$I$2738,$F268)="","",INDEX(選手一覧!$I$7:$I$2738,$F268))</f>
        <v/>
      </c>
      <c r="I268" s="16" t="n">
        <f aca="false">IF(INDEX(選手一覧!$J$7:$J$2738,$F268)="","",INDEX(選手一覧!$J$7:$J$2738,$F268))</f>
        <v>0.00277476851851852</v>
      </c>
      <c r="J268" s="17" t="n">
        <f aca="false">IF(INDEX(選手一覧!$K$7:$K$2738,$F268)="","",INDEX(選手一覧!$K$7:$K$2738,$F268))</f>
        <v>175</v>
      </c>
    </row>
    <row r="269" customFormat="false" ht="15" hidden="false" customHeight="false" outlineLevel="0" collapsed="false">
      <c r="A269" s="17" t="n">
        <v>265</v>
      </c>
      <c r="B269" s="12" t="s">
        <v>505</v>
      </c>
      <c r="C269" s="12" t="s">
        <v>243</v>
      </c>
      <c r="D269" s="16" t="n">
        <v>0.0104001157407407</v>
      </c>
      <c r="E269" s="15" t="n">
        <f aca="false">ROUND((D269-$D$5)*86400,2)</f>
        <v>108.83</v>
      </c>
      <c r="F269" s="17" t="n">
        <v>264</v>
      </c>
      <c r="G269" s="16" t="str">
        <f aca="false">IF(INDEX(選手一覧!$H$7:$H$2738,$F269)="","",INDEX(選手一覧!$H$7:$H$2738,$F269))</f>
        <v/>
      </c>
      <c r="H269" s="17" t="str">
        <f aca="false">IF(INDEX(選手一覧!$I$7:$I$2738,$F269)="","",INDEX(選手一覧!$I$7:$I$2738,$F269))</f>
        <v/>
      </c>
      <c r="I269" s="16" t="str">
        <f aca="false">IF(INDEX(選手一覧!$J$7:$J$2738,$F269)="","",INDEX(選手一覧!$J$7:$J$2738,$F269))</f>
        <v/>
      </c>
      <c r="J269" s="17" t="str">
        <f aca="false">IF(INDEX(選手一覧!$K$7:$K$2738,$F269)="","",INDEX(選手一覧!$K$7:$K$2738,$F269))</f>
        <v/>
      </c>
    </row>
    <row r="270" customFormat="false" ht="15" hidden="false" customHeight="false" outlineLevel="0" collapsed="false">
      <c r="A270" s="17" t="n">
        <v>266</v>
      </c>
      <c r="B270" s="12" t="s">
        <v>506</v>
      </c>
      <c r="C270" s="12" t="s">
        <v>507</v>
      </c>
      <c r="D270" s="16" t="n">
        <v>0.0104003472222222</v>
      </c>
      <c r="E270" s="15" t="n">
        <f aca="false">ROUND((D270-$D$5)*86400,2)</f>
        <v>108.85</v>
      </c>
      <c r="F270" s="17" t="n">
        <v>265</v>
      </c>
      <c r="G270" s="16" t="str">
        <f aca="false">IF(INDEX(選手一覧!$H$7:$H$2738,$F270)="","",INDEX(選手一覧!$H$7:$H$2738,$F270))</f>
        <v/>
      </c>
      <c r="H270" s="17" t="str">
        <f aca="false">IF(INDEX(選手一覧!$I$7:$I$2738,$F270)="","",INDEX(選手一覧!$I$7:$I$2738,$F270))</f>
        <v/>
      </c>
      <c r="I270" s="16" t="n">
        <f aca="false">IF(INDEX(選手一覧!$J$7:$J$2738,$F270)="","",INDEX(選手一覧!$J$7:$J$2738,$F270))</f>
        <v>0.00294560185185185</v>
      </c>
      <c r="J270" s="17" t="n">
        <f aca="false">IF(INDEX(選手一覧!$K$7:$K$2738,$F270)="","",INDEX(選手一覧!$K$7:$K$2738,$F270))</f>
        <v>1218</v>
      </c>
    </row>
    <row r="271" customFormat="false" ht="15" hidden="false" customHeight="false" outlineLevel="0" collapsed="false">
      <c r="A271" s="17" t="n">
        <v>267</v>
      </c>
      <c r="B271" s="12" t="s">
        <v>508</v>
      </c>
      <c r="C271" s="12" t="s">
        <v>245</v>
      </c>
      <c r="D271" s="16" t="n">
        <v>0.0104005787037037</v>
      </c>
      <c r="E271" s="15" t="n">
        <f aca="false">ROUND((D271-$D$5)*86400,2)</f>
        <v>108.87</v>
      </c>
      <c r="F271" s="17" t="n">
        <v>266</v>
      </c>
      <c r="G271" s="16" t="n">
        <f aca="false">IF(INDEX(選手一覧!$H$7:$H$2738,$F271)="","",INDEX(選手一覧!$H$7:$H$2738,$F271))</f>
        <v>0.00673564814814815</v>
      </c>
      <c r="H271" s="17" t="n">
        <f aca="false">IF(INDEX(選手一覧!$I$7:$I$2738,$F271)="","",INDEX(選手一覧!$I$7:$I$2738,$F271))</f>
        <v>122</v>
      </c>
      <c r="I271" s="16" t="n">
        <f aca="false">IF(INDEX(選手一覧!$J$7:$J$2738,$F271)="","",INDEX(選手一覧!$J$7:$J$2738,$F271))</f>
        <v>0.00283460648148148</v>
      </c>
      <c r="J271" s="17" t="n">
        <f aca="false">IF(INDEX(選手一覧!$K$7:$K$2738,$F271)="","",INDEX(選手一覧!$K$7:$K$2738,$F271))</f>
        <v>456</v>
      </c>
    </row>
    <row r="272" customFormat="false" ht="15" hidden="false" customHeight="false" outlineLevel="0" collapsed="false">
      <c r="A272" s="17" t="n">
        <v>268</v>
      </c>
      <c r="B272" s="12" t="s">
        <v>509</v>
      </c>
      <c r="C272" s="12" t="s">
        <v>27</v>
      </c>
      <c r="D272" s="16" t="n">
        <v>0.0104017361111111</v>
      </c>
      <c r="E272" s="15" t="n">
        <f aca="false">ROUND((D272-$D$5)*86400,2)</f>
        <v>108.97</v>
      </c>
      <c r="F272" s="17" t="n">
        <v>267</v>
      </c>
      <c r="G272" s="16" t="n">
        <f aca="false">IF(INDEX(選手一覧!$H$7:$H$2738,$F272)="","",INDEX(選手一覧!$H$7:$H$2738,$F272))</f>
        <v>0.00663773148148148</v>
      </c>
      <c r="H272" s="17" t="n">
        <f aca="false">IF(INDEX(選手一覧!$I$7:$I$2738,$F272)="","",INDEX(選手一覧!$I$7:$I$2738,$F272))</f>
        <v>77</v>
      </c>
      <c r="I272" s="16" t="str">
        <f aca="false">IF(INDEX(選手一覧!$J$7:$J$2738,$F272)="","",INDEX(選手一覧!$J$7:$J$2738,$F272))</f>
        <v/>
      </c>
      <c r="J272" s="17" t="str">
        <f aca="false">IF(INDEX(選手一覧!$K$7:$K$2738,$F272)="","",INDEX(選手一覧!$K$7:$K$2738,$F272))</f>
        <v/>
      </c>
    </row>
    <row r="273" customFormat="false" ht="15" hidden="false" customHeight="false" outlineLevel="0" collapsed="false">
      <c r="A273" s="17" t="n">
        <v>269</v>
      </c>
      <c r="B273" s="12" t="s">
        <v>511</v>
      </c>
      <c r="C273" s="12" t="s">
        <v>152</v>
      </c>
      <c r="D273" s="16" t="n">
        <v>0.0104037037037037</v>
      </c>
      <c r="E273" s="15" t="n">
        <f aca="false">ROUND((D273-$D$5)*86400,2)</f>
        <v>109.14</v>
      </c>
      <c r="F273" s="17" t="n">
        <v>268</v>
      </c>
      <c r="G273" s="16" t="str">
        <f aca="false">IF(INDEX(選手一覧!$H$7:$H$2738,$F273)="","",INDEX(選手一覧!$H$7:$H$2738,$F273))</f>
        <v/>
      </c>
      <c r="H273" s="17" t="str">
        <f aca="false">IF(INDEX(選手一覧!$I$7:$I$2738,$F273)="","",INDEX(選手一覧!$I$7:$I$2738,$F273))</f>
        <v/>
      </c>
      <c r="I273" s="16" t="n">
        <f aca="false">IF(INDEX(選手一覧!$J$7:$J$2738,$F273)="","",INDEX(選手一覧!$J$7:$J$2738,$F273))</f>
        <v>0.002796875</v>
      </c>
      <c r="J273" s="17" t="n">
        <f aca="false">IF(INDEX(選手一覧!$K$7:$K$2738,$F273)="","",INDEX(選手一覧!$K$7:$K$2738,$F273))</f>
        <v>269</v>
      </c>
    </row>
    <row r="274" customFormat="false" ht="15" hidden="false" customHeight="false" outlineLevel="0" collapsed="false">
      <c r="A274" s="17" t="n">
        <v>270</v>
      </c>
      <c r="B274" s="12" t="s">
        <v>513</v>
      </c>
      <c r="C274" s="12" t="s">
        <v>25</v>
      </c>
      <c r="D274" s="16" t="n">
        <v>0.01040625</v>
      </c>
      <c r="E274" s="15" t="n">
        <f aca="false">ROUND((D274-$D$5)*86400,2)</f>
        <v>109.36</v>
      </c>
      <c r="F274" s="17" t="n">
        <v>269</v>
      </c>
      <c r="G274" s="16" t="n">
        <f aca="false">IF(INDEX(選手一覧!$H$7:$H$2738,$F274)="","",INDEX(選手一覧!$H$7:$H$2738,$F274))</f>
        <v>0.00686087962962963</v>
      </c>
      <c r="H274" s="17" t="n">
        <f aca="false">IF(INDEX(選手一覧!$I$7:$I$2738,$F274)="","",INDEX(選手一覧!$I$7:$I$2738,$F274))</f>
        <v>211</v>
      </c>
      <c r="I274" s="16" t="n">
        <f aca="false">IF(INDEX(選手一覧!$J$7:$J$2738,$F274)="","",INDEX(選手一覧!$J$7:$J$2738,$F274))</f>
        <v>0.00291875</v>
      </c>
      <c r="J274" s="17" t="n">
        <f aca="false">IF(INDEX(選手一覧!$K$7:$K$2738,$F274)="","",INDEX(選手一覧!$K$7:$K$2738,$F274))</f>
        <v>1080</v>
      </c>
    </row>
    <row r="275" customFormat="false" ht="15" hidden="false" customHeight="false" outlineLevel="0" collapsed="false">
      <c r="A275" s="17" t="n">
        <v>271</v>
      </c>
      <c r="B275" s="12" t="s">
        <v>514</v>
      </c>
      <c r="C275" s="12" t="s">
        <v>515</v>
      </c>
      <c r="D275" s="16" t="n">
        <v>0.0104074074074074</v>
      </c>
      <c r="E275" s="15" t="n">
        <f aca="false">ROUND((D275-$D$5)*86400,2)</f>
        <v>109.46</v>
      </c>
      <c r="F275" s="17" t="n">
        <v>270</v>
      </c>
      <c r="G275" s="16" t="str">
        <f aca="false">IF(INDEX(選手一覧!$H$7:$H$2738,$F275)="","",INDEX(選手一覧!$H$7:$H$2738,$F275))</f>
        <v/>
      </c>
      <c r="H275" s="17" t="str">
        <f aca="false">IF(INDEX(選手一覧!$I$7:$I$2738,$F275)="","",INDEX(選手一覧!$I$7:$I$2738,$F275))</f>
        <v/>
      </c>
      <c r="I275" s="16" t="n">
        <f aca="false">IF(INDEX(選手一覧!$J$7:$J$2738,$F275)="","",INDEX(選手一覧!$J$7:$J$2738,$F275))</f>
        <v>0.00280208333333333</v>
      </c>
      <c r="J275" s="17" t="n">
        <f aca="false">IF(INDEX(選手一覧!$K$7:$K$2738,$F275)="","",INDEX(選手一覧!$K$7:$K$2738,$F275))</f>
        <v>290</v>
      </c>
    </row>
    <row r="276" customFormat="false" ht="15" hidden="false" customHeight="false" outlineLevel="0" collapsed="false">
      <c r="A276" s="17" t="n">
        <v>272</v>
      </c>
      <c r="B276" s="12" t="s">
        <v>516</v>
      </c>
      <c r="C276" s="12" t="s">
        <v>54</v>
      </c>
      <c r="D276" s="16" t="n">
        <v>0.0104083333333333</v>
      </c>
      <c r="E276" s="15" t="n">
        <f aca="false">ROUND((D276-$D$5)*86400,2)</f>
        <v>109.54</v>
      </c>
      <c r="F276" s="17" t="n">
        <v>271</v>
      </c>
      <c r="G276" s="16" t="str">
        <f aca="false">IF(INDEX(選手一覧!$H$7:$H$2738,$F276)="","",INDEX(選手一覧!$H$7:$H$2738,$F276))</f>
        <v/>
      </c>
      <c r="H276" s="17" t="str">
        <f aca="false">IF(INDEX(選手一覧!$I$7:$I$2738,$F276)="","",INDEX(選手一覧!$I$7:$I$2738,$F276))</f>
        <v/>
      </c>
      <c r="I276" s="16" t="n">
        <f aca="false">IF(INDEX(選手一覧!$J$7:$J$2738,$F276)="","",INDEX(選手一覧!$J$7:$J$2738,$F276))</f>
        <v>0.00276331018518519</v>
      </c>
      <c r="J276" s="17" t="n">
        <f aca="false">IF(INDEX(選手一覧!$K$7:$K$2738,$F276)="","",INDEX(選手一覧!$K$7:$K$2738,$F276))</f>
        <v>144</v>
      </c>
    </row>
    <row r="277" customFormat="false" ht="15" hidden="false" customHeight="false" outlineLevel="0" collapsed="false">
      <c r="A277" s="17" t="n">
        <v>273</v>
      </c>
      <c r="B277" s="12" t="s">
        <v>517</v>
      </c>
      <c r="C277" s="12" t="s">
        <v>316</v>
      </c>
      <c r="D277" s="16" t="n">
        <v>0.0104087962962963</v>
      </c>
      <c r="E277" s="15" t="n">
        <f aca="false">ROUND((D277-$D$5)*86400,2)</f>
        <v>109.58</v>
      </c>
      <c r="F277" s="17" t="n">
        <v>272</v>
      </c>
      <c r="G277" s="16" t="str">
        <f aca="false">IF(INDEX(選手一覧!$H$7:$H$2738,$F277)="","",INDEX(選手一覧!$H$7:$H$2738,$F277))</f>
        <v/>
      </c>
      <c r="H277" s="17" t="str">
        <f aca="false">IF(INDEX(選手一覧!$I$7:$I$2738,$F277)="","",INDEX(選手一覧!$I$7:$I$2738,$F277))</f>
        <v/>
      </c>
      <c r="I277" s="16" t="n">
        <f aca="false">IF(INDEX(選手一覧!$J$7:$J$2738,$F277)="","",INDEX(選手一覧!$J$7:$J$2738,$F277))</f>
        <v>0.00278125</v>
      </c>
      <c r="J277" s="17" t="n">
        <f aca="false">IF(INDEX(選手一覧!$K$7:$K$2738,$F277)="","",INDEX(選手一覧!$K$7:$K$2738,$F277))</f>
        <v>208</v>
      </c>
    </row>
    <row r="278" customFormat="false" ht="15" hidden="false" customHeight="false" outlineLevel="0" collapsed="false">
      <c r="A278" s="17" t="n">
        <v>274</v>
      </c>
      <c r="B278" s="12" t="s">
        <v>518</v>
      </c>
      <c r="C278" s="12" t="s">
        <v>43</v>
      </c>
      <c r="D278" s="16" t="n">
        <v>0.010409375</v>
      </c>
      <c r="E278" s="15" t="n">
        <f aca="false">ROUND((D278-$D$5)*86400,2)</f>
        <v>109.63</v>
      </c>
      <c r="F278" s="17" t="n">
        <v>273</v>
      </c>
      <c r="G278" s="16" t="str">
        <f aca="false">IF(INDEX(選手一覧!$H$7:$H$2738,$F278)="","",INDEX(選手一覧!$H$7:$H$2738,$F278))</f>
        <v/>
      </c>
      <c r="H278" s="17" t="str">
        <f aca="false">IF(INDEX(選手一覧!$I$7:$I$2738,$F278)="","",INDEX(選手一覧!$I$7:$I$2738,$F278))</f>
        <v/>
      </c>
      <c r="I278" s="16" t="n">
        <f aca="false">IF(INDEX(選手一覧!$J$7:$J$2738,$F278)="","",INDEX(選手一覧!$J$7:$J$2738,$F278))</f>
        <v>0.0028974537037037</v>
      </c>
      <c r="J278" s="17" t="n">
        <f aca="false">IF(INDEX(選手一覧!$K$7:$K$2738,$F278)="","",INDEX(選手一覧!$K$7:$K$2738,$F278))</f>
        <v>932</v>
      </c>
    </row>
    <row r="279" customFormat="false" ht="15" hidden="false" customHeight="false" outlineLevel="0" collapsed="false">
      <c r="A279" s="17" t="n">
        <v>275</v>
      </c>
      <c r="B279" s="12" t="s">
        <v>520</v>
      </c>
      <c r="C279" s="12" t="s">
        <v>94</v>
      </c>
      <c r="D279" s="16" t="n">
        <v>0.0104099537037037</v>
      </c>
      <c r="E279" s="15" t="n">
        <f aca="false">ROUND((D279-$D$5)*86400,2)</f>
        <v>109.68</v>
      </c>
      <c r="F279" s="17" t="n">
        <v>274</v>
      </c>
      <c r="G279" s="16" t="str">
        <f aca="false">IF(INDEX(選手一覧!$H$7:$H$2738,$F279)="","",INDEX(選手一覧!$H$7:$H$2738,$F279))</f>
        <v/>
      </c>
      <c r="H279" s="17" t="str">
        <f aca="false">IF(INDEX(選手一覧!$I$7:$I$2738,$F279)="","",INDEX(選手一覧!$I$7:$I$2738,$F279))</f>
        <v/>
      </c>
      <c r="I279" s="16" t="n">
        <f aca="false">IF(INDEX(選手一覧!$J$7:$J$2738,$F279)="","",INDEX(選手一覧!$J$7:$J$2738,$F279))</f>
        <v>0.00276446759259259</v>
      </c>
      <c r="J279" s="17" t="n">
        <f aca="false">IF(INDEX(選手一覧!$K$7:$K$2738,$F279)="","",INDEX(選手一覧!$K$7:$K$2738,$F279))</f>
        <v>146</v>
      </c>
    </row>
    <row r="280" customFormat="false" ht="15" hidden="false" customHeight="false" outlineLevel="0" collapsed="false">
      <c r="A280" s="17" t="n">
        <v>276</v>
      </c>
      <c r="B280" s="12" t="s">
        <v>521</v>
      </c>
      <c r="C280" s="12" t="s">
        <v>522</v>
      </c>
      <c r="D280" s="16" t="n">
        <v>0.0104104166666667</v>
      </c>
      <c r="E280" s="15" t="n">
        <f aca="false">ROUND((D280-$D$5)*86400,2)</f>
        <v>109.72</v>
      </c>
      <c r="F280" s="17" t="n">
        <v>275</v>
      </c>
      <c r="G280" s="16" t="str">
        <f aca="false">IF(INDEX(選手一覧!$H$7:$H$2738,$F280)="","",INDEX(選手一覧!$H$7:$H$2738,$F280))</f>
        <v/>
      </c>
      <c r="H280" s="17" t="str">
        <f aca="false">IF(INDEX(選手一覧!$I$7:$I$2738,$F280)="","",INDEX(選手一覧!$I$7:$I$2738,$F280))</f>
        <v/>
      </c>
      <c r="I280" s="16" t="n">
        <f aca="false">IF(INDEX(選手一覧!$J$7:$J$2738,$F280)="","",INDEX(選手一覧!$J$7:$J$2738,$F280))</f>
        <v>0.00286875</v>
      </c>
      <c r="J280" s="17" t="n">
        <f aca="false">IF(INDEX(選手一覧!$K$7:$K$2738,$F280)="","",INDEX(選手一覧!$K$7:$K$2738,$F280))</f>
        <v>685</v>
      </c>
    </row>
    <row r="281" customFormat="false" ht="15" hidden="false" customHeight="false" outlineLevel="0" collapsed="false">
      <c r="A281" s="17" t="n">
        <v>277</v>
      </c>
      <c r="B281" s="12" t="s">
        <v>523</v>
      </c>
      <c r="C281" s="12" t="s">
        <v>150</v>
      </c>
      <c r="D281" s="16" t="n">
        <v>0.0104115740740741</v>
      </c>
      <c r="E281" s="15" t="n">
        <f aca="false">ROUND((D281-$D$5)*86400,2)</f>
        <v>109.82</v>
      </c>
      <c r="F281" s="17" t="n">
        <v>276</v>
      </c>
      <c r="G281" s="16" t="str">
        <f aca="false">IF(INDEX(選手一覧!$H$7:$H$2738,$F281)="","",INDEX(選手一覧!$H$7:$H$2738,$F281))</f>
        <v/>
      </c>
      <c r="H281" s="17" t="str">
        <f aca="false">IF(INDEX(選手一覧!$I$7:$I$2738,$F281)="","",INDEX(選手一覧!$I$7:$I$2738,$F281))</f>
        <v/>
      </c>
      <c r="I281" s="16" t="str">
        <f aca="false">IF(INDEX(選手一覧!$J$7:$J$2738,$F281)="","",INDEX(選手一覧!$J$7:$J$2738,$F281))</f>
        <v/>
      </c>
      <c r="J281" s="17" t="str">
        <f aca="false">IF(INDEX(選手一覧!$K$7:$K$2738,$F281)="","",INDEX(選手一覧!$K$7:$K$2738,$F281))</f>
        <v/>
      </c>
    </row>
    <row r="282" customFormat="false" ht="15" hidden="false" customHeight="false" outlineLevel="0" collapsed="false">
      <c r="A282" s="17" t="n">
        <v>278</v>
      </c>
      <c r="B282" s="12" t="s">
        <v>524</v>
      </c>
      <c r="C282" s="12" t="s">
        <v>525</v>
      </c>
      <c r="D282" s="16" t="n">
        <v>0.0104116898148148</v>
      </c>
      <c r="E282" s="15" t="n">
        <f aca="false">ROUND((D282-$D$5)*86400,2)</f>
        <v>109.83</v>
      </c>
      <c r="F282" s="17" t="n">
        <v>277</v>
      </c>
      <c r="G282" s="16" t="str">
        <f aca="false">IF(INDEX(選手一覧!$H$7:$H$2738,$F282)="","",INDEX(選手一覧!$H$7:$H$2738,$F282))</f>
        <v/>
      </c>
      <c r="H282" s="17" t="str">
        <f aca="false">IF(INDEX(選手一覧!$I$7:$I$2738,$F282)="","",INDEX(選手一覧!$I$7:$I$2738,$F282))</f>
        <v/>
      </c>
      <c r="I282" s="16" t="n">
        <f aca="false">IF(INDEX(選手一覧!$J$7:$J$2738,$F282)="","",INDEX(選手一覧!$J$7:$J$2738,$F282))</f>
        <v>0.00276064814814815</v>
      </c>
      <c r="J282" s="17" t="n">
        <f aca="false">IF(INDEX(選手一覧!$K$7:$K$2738,$F282)="","",INDEX(選手一覧!$K$7:$K$2738,$F282))</f>
        <v>138</v>
      </c>
    </row>
    <row r="283" customFormat="false" ht="15" hidden="false" customHeight="false" outlineLevel="0" collapsed="false">
      <c r="A283" s="17" t="n">
        <v>279</v>
      </c>
      <c r="B283" s="12" t="s">
        <v>527</v>
      </c>
      <c r="C283" s="12" t="s">
        <v>348</v>
      </c>
      <c r="D283" s="16" t="n">
        <v>0.0104118055555556</v>
      </c>
      <c r="E283" s="15" t="n">
        <f aca="false">ROUND((D283-$D$5)*86400,2)</f>
        <v>109.84</v>
      </c>
      <c r="F283" s="17" t="n">
        <v>278</v>
      </c>
      <c r="G283" s="16" t="n">
        <f aca="false">IF(INDEX(選手一覧!$H$7:$H$2738,$F283)="","",INDEX(選手一覧!$H$7:$H$2738,$F283))</f>
        <v>0.00650740740740741</v>
      </c>
      <c r="H283" s="17" t="n">
        <f aca="false">IF(INDEX(選手一覧!$I$7:$I$2738,$F283)="","",INDEX(選手一覧!$I$7:$I$2738,$F283))</f>
        <v>38</v>
      </c>
      <c r="I283" s="16" t="n">
        <f aca="false">IF(INDEX(選手一覧!$J$7:$J$2738,$F283)="","",INDEX(選手一覧!$J$7:$J$2738,$F283))</f>
        <v>0.00278425925925926</v>
      </c>
      <c r="J283" s="17" t="n">
        <f aca="false">IF(INDEX(選手一覧!$K$7:$K$2738,$F283)="","",INDEX(選手一覧!$K$7:$K$2738,$F283))</f>
        <v>217</v>
      </c>
    </row>
    <row r="284" customFormat="false" ht="15" hidden="false" customHeight="false" outlineLevel="0" collapsed="false">
      <c r="A284" s="17" t="n">
        <v>280</v>
      </c>
      <c r="B284" s="12" t="s">
        <v>529</v>
      </c>
      <c r="C284" s="12" t="s">
        <v>530</v>
      </c>
      <c r="D284" s="16" t="n">
        <v>0.0104148148148148</v>
      </c>
      <c r="E284" s="15" t="n">
        <f aca="false">ROUND((D284-$D$5)*86400,2)</f>
        <v>110.1</v>
      </c>
      <c r="F284" s="17" t="n">
        <v>279</v>
      </c>
      <c r="G284" s="16" t="str">
        <f aca="false">IF(INDEX(選手一覧!$H$7:$H$2738,$F284)="","",INDEX(選手一覧!$H$7:$H$2738,$F284))</f>
        <v/>
      </c>
      <c r="H284" s="17" t="str">
        <f aca="false">IF(INDEX(選手一覧!$I$7:$I$2738,$F284)="","",INDEX(選手一覧!$I$7:$I$2738,$F284))</f>
        <v/>
      </c>
      <c r="I284" s="16" t="n">
        <f aca="false">IF(INDEX(選手一覧!$J$7:$J$2738,$F284)="","",INDEX(選手一覧!$J$7:$J$2738,$F284))</f>
        <v>0.00282395833333333</v>
      </c>
      <c r="J284" s="17" t="n">
        <f aca="false">IF(INDEX(選手一覧!$K$7:$K$2738,$F284)="","",INDEX(選手一覧!$K$7:$K$2738,$F284))</f>
        <v>387</v>
      </c>
    </row>
    <row r="285" customFormat="false" ht="15" hidden="false" customHeight="false" outlineLevel="0" collapsed="false">
      <c r="A285" s="17" t="n">
        <v>281</v>
      </c>
      <c r="B285" s="12" t="s">
        <v>531</v>
      </c>
      <c r="C285" s="12" t="s">
        <v>532</v>
      </c>
      <c r="D285" s="16" t="n">
        <v>0.0104148148148148</v>
      </c>
      <c r="E285" s="15" t="n">
        <f aca="false">ROUND((D285-$D$5)*86400,2)</f>
        <v>110.1</v>
      </c>
      <c r="F285" s="17" t="n">
        <v>280</v>
      </c>
      <c r="G285" s="16" t="n">
        <f aca="false">IF(INDEX(選手一覧!$H$7:$H$2738,$F285)="","",INDEX(選手一覧!$H$7:$H$2738,$F285))</f>
        <v>0.00688854166666667</v>
      </c>
      <c r="H285" s="17" t="n">
        <f aca="false">IF(INDEX(選手一覧!$I$7:$I$2738,$F285)="","",INDEX(選手一覧!$I$7:$I$2738,$F285))</f>
        <v>230</v>
      </c>
      <c r="I285" s="16" t="n">
        <f aca="false">IF(INDEX(選手一覧!$J$7:$J$2738,$F285)="","",INDEX(選手一覧!$J$7:$J$2738,$F285))</f>
        <v>0.00287662037037037</v>
      </c>
      <c r="J285" s="17" t="n">
        <f aca="false">IF(INDEX(選手一覧!$K$7:$K$2738,$F285)="","",INDEX(選手一覧!$K$7:$K$2738,$F285))</f>
        <v>743</v>
      </c>
    </row>
    <row r="286" customFormat="false" ht="15" hidden="false" customHeight="false" outlineLevel="0" collapsed="false">
      <c r="A286" s="17" t="n">
        <v>282</v>
      </c>
      <c r="B286" s="12" t="s">
        <v>533</v>
      </c>
      <c r="C286" s="12" t="s">
        <v>137</v>
      </c>
      <c r="D286" s="16" t="n">
        <v>0.010418287037037</v>
      </c>
      <c r="E286" s="15" t="n">
        <f aca="false">ROUND((D286-$D$5)*86400,2)</f>
        <v>110.4</v>
      </c>
      <c r="F286" s="17" t="n">
        <v>281</v>
      </c>
      <c r="G286" s="16" t="str">
        <f aca="false">IF(INDEX(選手一覧!$H$7:$H$2738,$F286)="","",INDEX(選手一覧!$H$7:$H$2738,$F286))</f>
        <v/>
      </c>
      <c r="H286" s="17" t="str">
        <f aca="false">IF(INDEX(選手一覧!$I$7:$I$2738,$F286)="","",INDEX(選手一覧!$I$7:$I$2738,$F286))</f>
        <v/>
      </c>
      <c r="I286" s="16" t="n">
        <f aca="false">IF(INDEX(選手一覧!$J$7:$J$2738,$F286)="","",INDEX(選手一覧!$J$7:$J$2738,$F286))</f>
        <v>0.0028650462962963</v>
      </c>
      <c r="J286" s="17" t="n">
        <f aca="false">IF(INDEX(選手一覧!$K$7:$K$2738,$F286)="","",INDEX(選手一覧!$K$7:$K$2738,$F286))</f>
        <v>666</v>
      </c>
    </row>
    <row r="287" customFormat="false" ht="15" hidden="false" customHeight="false" outlineLevel="0" collapsed="false">
      <c r="A287" s="17" t="n">
        <v>283</v>
      </c>
      <c r="B287" s="12" t="s">
        <v>534</v>
      </c>
      <c r="C287" s="12" t="s">
        <v>107</v>
      </c>
      <c r="D287" s="16" t="n">
        <v>0.0104184027777778</v>
      </c>
      <c r="E287" s="15" t="n">
        <f aca="false">ROUND((D287-$D$5)*86400,2)</f>
        <v>110.41</v>
      </c>
      <c r="F287" s="17" t="n">
        <v>282</v>
      </c>
      <c r="G287" s="16" t="n">
        <f aca="false">IF(INDEX(選手一覧!$H$7:$H$2738,$F287)="","",INDEX(選手一覧!$H$7:$H$2738,$F287))</f>
        <v>0.00663900462962963</v>
      </c>
      <c r="H287" s="17" t="n">
        <f aca="false">IF(INDEX(選手一覧!$I$7:$I$2738,$F287)="","",INDEX(選手一覧!$I$7:$I$2738,$F287))</f>
        <v>78</v>
      </c>
      <c r="I287" s="16" t="n">
        <f aca="false">IF(INDEX(選手一覧!$J$7:$J$2738,$F287)="","",INDEX(選手一覧!$J$7:$J$2738,$F287))</f>
        <v>0.00285671296296296</v>
      </c>
      <c r="J287" s="17" t="n">
        <f aca="false">IF(INDEX(選手一覧!$K$7:$K$2738,$F287)="","",INDEX(選手一覧!$K$7:$K$2738,$F287))</f>
        <v>612</v>
      </c>
    </row>
    <row r="288" customFormat="false" ht="15" hidden="false" customHeight="false" outlineLevel="0" collapsed="false">
      <c r="A288" s="17" t="n">
        <v>284</v>
      </c>
      <c r="B288" s="12" t="s">
        <v>536</v>
      </c>
      <c r="C288" s="12" t="s">
        <v>537</v>
      </c>
      <c r="D288" s="16" t="n">
        <v>0.0104189814814815</v>
      </c>
      <c r="E288" s="15" t="n">
        <f aca="false">ROUND((D288-$D$5)*86400,2)</f>
        <v>110.46</v>
      </c>
      <c r="F288" s="17" t="n">
        <v>283</v>
      </c>
      <c r="G288" s="16" t="str">
        <f aca="false">IF(INDEX(選手一覧!$H$7:$H$2738,$F288)="","",INDEX(選手一覧!$H$7:$H$2738,$F288))</f>
        <v/>
      </c>
      <c r="H288" s="17" t="str">
        <f aca="false">IF(INDEX(選手一覧!$I$7:$I$2738,$F288)="","",INDEX(選手一覧!$I$7:$I$2738,$F288))</f>
        <v/>
      </c>
      <c r="I288" s="16" t="n">
        <f aca="false">IF(INDEX(選手一覧!$J$7:$J$2738,$F288)="","",INDEX(選手一覧!$J$7:$J$2738,$F288))</f>
        <v>0.00278032407407407</v>
      </c>
      <c r="J288" s="17" t="n">
        <f aca="false">IF(INDEX(選手一覧!$K$7:$K$2738,$F288)="","",INDEX(選手一覧!$K$7:$K$2738,$F288))</f>
        <v>202</v>
      </c>
    </row>
    <row r="289" customFormat="false" ht="15" hidden="false" customHeight="false" outlineLevel="0" collapsed="false">
      <c r="A289" s="17" t="n">
        <v>285</v>
      </c>
      <c r="B289" s="12" t="s">
        <v>538</v>
      </c>
      <c r="C289" s="12" t="s">
        <v>32</v>
      </c>
      <c r="D289" s="16" t="n">
        <v>0.0104209490740741</v>
      </c>
      <c r="E289" s="15" t="n">
        <f aca="false">ROUND((D289-$D$5)*86400,2)</f>
        <v>110.63</v>
      </c>
      <c r="F289" s="17" t="n">
        <v>284</v>
      </c>
      <c r="G289" s="16" t="str">
        <f aca="false">IF(INDEX(選手一覧!$H$7:$H$2738,$F289)="","",INDEX(選手一覧!$H$7:$H$2738,$F289))</f>
        <v/>
      </c>
      <c r="H289" s="17" t="str">
        <f aca="false">IF(INDEX(選手一覧!$I$7:$I$2738,$F289)="","",INDEX(選手一覧!$I$7:$I$2738,$F289))</f>
        <v/>
      </c>
      <c r="I289" s="16" t="n">
        <f aca="false">IF(INDEX(選手一覧!$J$7:$J$2738,$F289)="","",INDEX(選手一覧!$J$7:$J$2738,$F289))</f>
        <v>0.00282280092592593</v>
      </c>
      <c r="J289" s="17" t="n">
        <f aca="false">IF(INDEX(選手一覧!$K$7:$K$2738,$F289)="","",INDEX(選手一覧!$K$7:$K$2738,$F289))</f>
        <v>381</v>
      </c>
    </row>
    <row r="290" customFormat="false" ht="15" hidden="false" customHeight="false" outlineLevel="0" collapsed="false">
      <c r="A290" s="17" t="n">
        <v>286</v>
      </c>
      <c r="B290" s="12" t="s">
        <v>539</v>
      </c>
      <c r="C290" s="12" t="s">
        <v>415</v>
      </c>
      <c r="D290" s="16" t="n">
        <v>0.0104215277777778</v>
      </c>
      <c r="E290" s="15" t="n">
        <f aca="false">ROUND((D290-$D$5)*86400,2)</f>
        <v>110.68</v>
      </c>
      <c r="F290" s="17" t="n">
        <v>285</v>
      </c>
      <c r="G290" s="16" t="str">
        <f aca="false">IF(INDEX(選手一覧!$H$7:$H$2738,$F290)="","",INDEX(選手一覧!$H$7:$H$2738,$F290))</f>
        <v/>
      </c>
      <c r="H290" s="17" t="str">
        <f aca="false">IF(INDEX(選手一覧!$I$7:$I$2738,$F290)="","",INDEX(選手一覧!$I$7:$I$2738,$F290))</f>
        <v/>
      </c>
      <c r="I290" s="16" t="n">
        <f aca="false">IF(INDEX(選手一覧!$J$7:$J$2738,$F290)="","",INDEX(選手一覧!$J$7:$J$2738,$F290))</f>
        <v>0.00270625</v>
      </c>
      <c r="J290" s="17" t="n">
        <f aca="false">IF(INDEX(選手一覧!$K$7:$K$2738,$F290)="","",INDEX(選手一覧!$K$7:$K$2738,$F290))</f>
        <v>30</v>
      </c>
    </row>
    <row r="291" customFormat="false" ht="15" hidden="false" customHeight="false" outlineLevel="0" collapsed="false">
      <c r="A291" s="17" t="n">
        <v>287</v>
      </c>
      <c r="B291" s="12" t="s">
        <v>540</v>
      </c>
      <c r="C291" s="12" t="s">
        <v>145</v>
      </c>
      <c r="D291" s="16" t="n">
        <v>0.0104221064814815</v>
      </c>
      <c r="E291" s="15" t="n">
        <f aca="false">ROUND((D291-$D$5)*86400,2)</f>
        <v>110.73</v>
      </c>
      <c r="F291" s="17" t="n">
        <v>286</v>
      </c>
      <c r="G291" s="16" t="str">
        <f aca="false">IF(INDEX(選手一覧!$H$7:$H$2738,$F291)="","",INDEX(選手一覧!$H$7:$H$2738,$F291))</f>
        <v/>
      </c>
      <c r="H291" s="17" t="str">
        <f aca="false">IF(INDEX(選手一覧!$I$7:$I$2738,$F291)="","",INDEX(選手一覧!$I$7:$I$2738,$F291))</f>
        <v/>
      </c>
      <c r="I291" s="16" t="n">
        <f aca="false">IF(INDEX(選手一覧!$J$7:$J$2738,$F291)="","",INDEX(選手一覧!$J$7:$J$2738,$F291))</f>
        <v>0.00280300925925926</v>
      </c>
      <c r="J291" s="17" t="n">
        <f aca="false">IF(INDEX(選手一覧!$K$7:$K$2738,$F291)="","",INDEX(選手一覧!$K$7:$K$2738,$F291))</f>
        <v>295</v>
      </c>
    </row>
    <row r="292" customFormat="false" ht="15" hidden="false" customHeight="false" outlineLevel="0" collapsed="false">
      <c r="A292" s="17" t="n">
        <v>288</v>
      </c>
      <c r="B292" s="12" t="s">
        <v>541</v>
      </c>
      <c r="C292" s="12" t="s">
        <v>63</v>
      </c>
      <c r="D292" s="16" t="n">
        <v>0.0104231481481482</v>
      </c>
      <c r="E292" s="15" t="n">
        <f aca="false">ROUND((D292-$D$5)*86400,2)</f>
        <v>110.82</v>
      </c>
      <c r="F292" s="17" t="n">
        <v>287</v>
      </c>
      <c r="G292" s="16" t="str">
        <f aca="false">IF(INDEX(選手一覧!$H$7:$H$2738,$F292)="","",INDEX(選手一覧!$H$7:$H$2738,$F292))</f>
        <v/>
      </c>
      <c r="H292" s="17" t="str">
        <f aca="false">IF(INDEX(選手一覧!$I$7:$I$2738,$F292)="","",INDEX(選手一覧!$I$7:$I$2738,$F292))</f>
        <v/>
      </c>
      <c r="I292" s="16" t="n">
        <f aca="false">IF(INDEX(選手一覧!$J$7:$J$2738,$F292)="","",INDEX(選手一覧!$J$7:$J$2738,$F292))</f>
        <v>0.00292418981481482</v>
      </c>
      <c r="J292" s="17" t="n">
        <f aca="false">IF(INDEX(選手一覧!$K$7:$K$2738,$F292)="","",INDEX(選手一覧!$K$7:$K$2738,$F292))</f>
        <v>1138</v>
      </c>
    </row>
    <row r="293" customFormat="false" ht="15" hidden="false" customHeight="false" outlineLevel="0" collapsed="false">
      <c r="A293" s="17" t="n">
        <v>289</v>
      </c>
      <c r="B293" s="12" t="s">
        <v>542</v>
      </c>
      <c r="C293" s="12" t="s">
        <v>69</v>
      </c>
      <c r="D293" s="16" t="n">
        <v>0.0104248842592593</v>
      </c>
      <c r="E293" s="15" t="n">
        <f aca="false">ROUND((D293-$D$5)*86400,2)</f>
        <v>110.97</v>
      </c>
      <c r="F293" s="17" t="n">
        <v>288</v>
      </c>
      <c r="G293" s="16" t="str">
        <f aca="false">IF(INDEX(選手一覧!$H$7:$H$2738,$F293)="","",INDEX(選手一覧!$H$7:$H$2738,$F293))</f>
        <v/>
      </c>
      <c r="H293" s="17" t="str">
        <f aca="false">IF(INDEX(選手一覧!$I$7:$I$2738,$F293)="","",INDEX(選手一覧!$I$7:$I$2738,$F293))</f>
        <v/>
      </c>
      <c r="I293" s="16" t="n">
        <f aca="false">IF(INDEX(選手一覧!$J$7:$J$2738,$F293)="","",INDEX(選手一覧!$J$7:$J$2738,$F293))</f>
        <v>0.0029224537037037</v>
      </c>
      <c r="J293" s="17" t="n">
        <f aca="false">IF(INDEX(選手一覧!$K$7:$K$2738,$F293)="","",INDEX(選手一覧!$K$7:$K$2738,$F293))</f>
        <v>1119</v>
      </c>
    </row>
    <row r="294" customFormat="false" ht="15" hidden="false" customHeight="false" outlineLevel="0" collapsed="false">
      <c r="A294" s="17" t="n">
        <v>290</v>
      </c>
      <c r="B294" s="12" t="s">
        <v>543</v>
      </c>
      <c r="C294" s="12" t="s">
        <v>544</v>
      </c>
      <c r="D294" s="16" t="n">
        <v>0.0104258101851852</v>
      </c>
      <c r="E294" s="15" t="n">
        <f aca="false">ROUND((D294-$D$5)*86400,2)</f>
        <v>111.05</v>
      </c>
      <c r="F294" s="17" t="n">
        <v>289</v>
      </c>
      <c r="G294" s="16" t="str">
        <f aca="false">IF(INDEX(選手一覧!$H$7:$H$2738,$F294)="","",INDEX(選手一覧!$H$7:$H$2738,$F294))</f>
        <v/>
      </c>
      <c r="H294" s="17" t="str">
        <f aca="false">IF(INDEX(選手一覧!$I$7:$I$2738,$F294)="","",INDEX(選手一覧!$I$7:$I$2738,$F294))</f>
        <v/>
      </c>
      <c r="I294" s="16" t="str">
        <f aca="false">IF(INDEX(選手一覧!$J$7:$J$2738,$F294)="","",INDEX(選手一覧!$J$7:$J$2738,$F294))</f>
        <v/>
      </c>
      <c r="J294" s="17" t="str">
        <f aca="false">IF(INDEX(選手一覧!$K$7:$K$2738,$F294)="","",INDEX(選手一覧!$K$7:$K$2738,$F294))</f>
        <v/>
      </c>
    </row>
    <row r="295" customFormat="false" ht="15" hidden="false" customHeight="false" outlineLevel="0" collapsed="false">
      <c r="A295" s="17" t="n">
        <v>291</v>
      </c>
      <c r="B295" s="12" t="s">
        <v>546</v>
      </c>
      <c r="C295" s="12" t="s">
        <v>145</v>
      </c>
      <c r="D295" s="16" t="n">
        <v>0.0104261574074074</v>
      </c>
      <c r="E295" s="15" t="n">
        <f aca="false">ROUND((D295-$D$5)*86400,2)</f>
        <v>111.08</v>
      </c>
      <c r="F295" s="17" t="n">
        <v>290</v>
      </c>
      <c r="G295" s="16" t="str">
        <f aca="false">IF(INDEX(選手一覧!$H$7:$H$2738,$F295)="","",INDEX(選手一覧!$H$7:$H$2738,$F295))</f>
        <v/>
      </c>
      <c r="H295" s="17" t="str">
        <f aca="false">IF(INDEX(選手一覧!$I$7:$I$2738,$F295)="","",INDEX(選手一覧!$I$7:$I$2738,$F295))</f>
        <v/>
      </c>
      <c r="I295" s="16" t="n">
        <f aca="false">IF(INDEX(選手一覧!$J$7:$J$2738,$F295)="","",INDEX(選手一覧!$J$7:$J$2738,$F295))</f>
        <v>0.00276944444444445</v>
      </c>
      <c r="J295" s="17" t="n">
        <f aca="false">IF(INDEX(選手一覧!$K$7:$K$2738,$F295)="","",INDEX(選手一覧!$K$7:$K$2738,$F295))</f>
        <v>159</v>
      </c>
    </row>
    <row r="296" customFormat="false" ht="15" hidden="false" customHeight="false" outlineLevel="0" collapsed="false">
      <c r="A296" s="17" t="n">
        <v>292</v>
      </c>
      <c r="B296" s="12" t="s">
        <v>547</v>
      </c>
      <c r="C296" s="12" t="s">
        <v>548</v>
      </c>
      <c r="D296" s="16" t="n">
        <v>0.0104265046296296</v>
      </c>
      <c r="E296" s="15" t="n">
        <f aca="false">ROUND((D296-$D$5)*86400,2)</f>
        <v>111.11</v>
      </c>
      <c r="F296" s="17" t="n">
        <v>291</v>
      </c>
      <c r="G296" s="16" t="str">
        <f aca="false">IF(INDEX(選手一覧!$H$7:$H$2738,$F296)="","",INDEX(選手一覧!$H$7:$H$2738,$F296))</f>
        <v/>
      </c>
      <c r="H296" s="17" t="str">
        <f aca="false">IF(INDEX(選手一覧!$I$7:$I$2738,$F296)="","",INDEX(選手一覧!$I$7:$I$2738,$F296))</f>
        <v/>
      </c>
      <c r="I296" s="16" t="n">
        <f aca="false">IF(INDEX(選手一覧!$J$7:$J$2738,$F296)="","",INDEX(選手一覧!$J$7:$J$2738,$F296))</f>
        <v>0.00276736111111111</v>
      </c>
      <c r="J296" s="17" t="n">
        <f aca="false">IF(INDEX(選手一覧!$K$7:$K$2738,$F296)="","",INDEX(選手一覧!$K$7:$K$2738,$F296))</f>
        <v>156</v>
      </c>
    </row>
    <row r="297" customFormat="false" ht="15" hidden="false" customHeight="false" outlineLevel="0" collapsed="false">
      <c r="A297" s="17" t="n">
        <v>293</v>
      </c>
      <c r="B297" s="12" t="s">
        <v>550</v>
      </c>
      <c r="C297" s="12" t="s">
        <v>551</v>
      </c>
      <c r="D297" s="16" t="n">
        <v>0.0104300925925926</v>
      </c>
      <c r="E297" s="15" t="n">
        <f aca="false">ROUND((D297-$D$5)*86400,2)</f>
        <v>111.42</v>
      </c>
      <c r="F297" s="17" t="n">
        <v>292</v>
      </c>
      <c r="G297" s="16" t="str">
        <f aca="false">IF(INDEX(選手一覧!$H$7:$H$2738,$F297)="","",INDEX(選手一覧!$H$7:$H$2738,$F297))</f>
        <v/>
      </c>
      <c r="H297" s="17" t="str">
        <f aca="false">IF(INDEX(選手一覧!$I$7:$I$2738,$F297)="","",INDEX(選手一覧!$I$7:$I$2738,$F297))</f>
        <v/>
      </c>
      <c r="I297" s="16" t="n">
        <f aca="false">IF(INDEX(選手一覧!$J$7:$J$2738,$F297)="","",INDEX(選手一覧!$J$7:$J$2738,$F297))</f>
        <v>0.00291111111111111</v>
      </c>
      <c r="J297" s="17" t="n">
        <f aca="false">IF(INDEX(選手一覧!$K$7:$K$2738,$F297)="","",INDEX(選手一覧!$K$7:$K$2738,$F297))</f>
        <v>1029</v>
      </c>
    </row>
    <row r="298" customFormat="false" ht="15" hidden="false" customHeight="false" outlineLevel="0" collapsed="false">
      <c r="A298" s="17" t="n">
        <v>294</v>
      </c>
      <c r="B298" s="12" t="s">
        <v>552</v>
      </c>
      <c r="C298" s="12" t="s">
        <v>99</v>
      </c>
      <c r="D298" s="16" t="n">
        <v>0.0104302083333333</v>
      </c>
      <c r="E298" s="15" t="n">
        <f aca="false">ROUND((D298-$D$5)*86400,2)</f>
        <v>111.43</v>
      </c>
      <c r="F298" s="17" t="n">
        <v>293</v>
      </c>
      <c r="G298" s="16" t="str">
        <f aca="false">IF(INDEX(選手一覧!$H$7:$H$2738,$F298)="","",INDEX(選手一覧!$H$7:$H$2738,$F298))</f>
        <v/>
      </c>
      <c r="H298" s="17" t="str">
        <f aca="false">IF(INDEX(選手一覧!$I$7:$I$2738,$F298)="","",INDEX(選手一覧!$I$7:$I$2738,$F298))</f>
        <v/>
      </c>
      <c r="I298" s="16" t="n">
        <f aca="false">IF(INDEX(選手一覧!$J$7:$J$2738,$F298)="","",INDEX(選手一覧!$J$7:$J$2738,$F298))</f>
        <v>0.00273530092592593</v>
      </c>
      <c r="J298" s="17" t="n">
        <f aca="false">IF(INDEX(選手一覧!$K$7:$K$2738,$F298)="","",INDEX(選手一覧!$K$7:$K$2738,$F298))</f>
        <v>73</v>
      </c>
    </row>
    <row r="299" customFormat="false" ht="15" hidden="false" customHeight="false" outlineLevel="0" collapsed="false">
      <c r="A299" s="17" t="n">
        <v>295</v>
      </c>
      <c r="B299" s="12" t="s">
        <v>553</v>
      </c>
      <c r="C299" s="12" t="s">
        <v>438</v>
      </c>
      <c r="D299" s="16" t="n">
        <v>0.0104319444444445</v>
      </c>
      <c r="E299" s="15" t="n">
        <f aca="false">ROUND((D299-$D$5)*86400,2)</f>
        <v>111.58</v>
      </c>
      <c r="F299" s="17" t="n">
        <v>294</v>
      </c>
      <c r="G299" s="16" t="n">
        <f aca="false">IF(INDEX(選手一覧!$H$7:$H$2738,$F299)="","",INDEX(選手一覧!$H$7:$H$2738,$F299))</f>
        <v>0.00650046296296296</v>
      </c>
      <c r="H299" s="17" t="n">
        <f aca="false">IF(INDEX(選手一覧!$I$7:$I$2738,$F299)="","",INDEX(選手一覧!$I$7:$I$2738,$F299))</f>
        <v>36</v>
      </c>
      <c r="I299" s="16" t="n">
        <f aca="false">IF(INDEX(選手一覧!$J$7:$J$2738,$F299)="","",INDEX(選手一覧!$J$7:$J$2738,$F299))</f>
        <v>0.00285821759259259</v>
      </c>
      <c r="J299" s="17" t="n">
        <f aca="false">IF(INDEX(選手一覧!$K$7:$K$2738,$F299)="","",INDEX(選手一覧!$K$7:$K$2738,$F299))</f>
        <v>623</v>
      </c>
    </row>
    <row r="300" customFormat="false" ht="15" hidden="false" customHeight="false" outlineLevel="0" collapsed="false">
      <c r="A300" s="17" t="n">
        <v>296</v>
      </c>
      <c r="B300" s="12" t="s">
        <v>554</v>
      </c>
      <c r="C300" s="12" t="s">
        <v>71</v>
      </c>
      <c r="D300" s="16" t="n">
        <v>0.0104322916666667</v>
      </c>
      <c r="E300" s="15" t="n">
        <f aca="false">ROUND((D300-$D$5)*86400,2)</f>
        <v>111.61</v>
      </c>
      <c r="F300" s="17" t="n">
        <v>295</v>
      </c>
      <c r="G300" s="16" t="str">
        <f aca="false">IF(INDEX(選手一覧!$H$7:$H$2738,$F300)="","",INDEX(選手一覧!$H$7:$H$2738,$F300))</f>
        <v/>
      </c>
      <c r="H300" s="17" t="str">
        <f aca="false">IF(INDEX(選手一覧!$I$7:$I$2738,$F300)="","",INDEX(選手一覧!$I$7:$I$2738,$F300))</f>
        <v/>
      </c>
      <c r="I300" s="16" t="n">
        <f aca="false">IF(INDEX(選手一覧!$J$7:$J$2738,$F300)="","",INDEX(選手一覧!$J$7:$J$2738,$F300))</f>
        <v>0.00278194444444445</v>
      </c>
      <c r="J300" s="17" t="n">
        <f aca="false">IF(INDEX(選手一覧!$K$7:$K$2738,$F300)="","",INDEX(選手一覧!$K$7:$K$2738,$F300))</f>
        <v>210</v>
      </c>
    </row>
    <row r="301" customFormat="false" ht="15" hidden="false" customHeight="false" outlineLevel="0" collapsed="false">
      <c r="A301" s="17" t="n">
        <v>297</v>
      </c>
      <c r="B301" s="12" t="s">
        <v>555</v>
      </c>
      <c r="C301" s="12" t="s">
        <v>556</v>
      </c>
      <c r="D301" s="16" t="n">
        <v>0.0104341435185185</v>
      </c>
      <c r="E301" s="15" t="n">
        <f aca="false">ROUND((D301-$D$5)*86400,2)</f>
        <v>111.77</v>
      </c>
      <c r="F301" s="17" t="n">
        <v>296</v>
      </c>
      <c r="G301" s="16" t="str">
        <f aca="false">IF(INDEX(選手一覧!$H$7:$H$2738,$F301)="","",INDEX(選手一覧!$H$7:$H$2738,$F301))</f>
        <v/>
      </c>
      <c r="H301" s="17" t="str">
        <f aca="false">IF(INDEX(選手一覧!$I$7:$I$2738,$F301)="","",INDEX(選手一覧!$I$7:$I$2738,$F301))</f>
        <v/>
      </c>
      <c r="I301" s="16" t="str">
        <f aca="false">IF(INDEX(選手一覧!$J$7:$J$2738,$F301)="","",INDEX(選手一覧!$J$7:$J$2738,$F301))</f>
        <v/>
      </c>
      <c r="J301" s="17" t="str">
        <f aca="false">IF(INDEX(選手一覧!$K$7:$K$2738,$F301)="","",INDEX(選手一覧!$K$7:$K$2738,$F301))</f>
        <v/>
      </c>
    </row>
    <row r="302" customFormat="false" ht="15" hidden="false" customHeight="false" outlineLevel="0" collapsed="false">
      <c r="A302" s="17" t="n">
        <v>298</v>
      </c>
      <c r="B302" s="12" t="s">
        <v>557</v>
      </c>
      <c r="C302" s="12" t="s">
        <v>397</v>
      </c>
      <c r="D302" s="16" t="n">
        <v>0.0104372685185185</v>
      </c>
      <c r="E302" s="15" t="n">
        <f aca="false">ROUND((D302-$D$5)*86400,2)</f>
        <v>112.04</v>
      </c>
      <c r="F302" s="17" t="n">
        <v>297</v>
      </c>
      <c r="G302" s="16" t="str">
        <f aca="false">IF(INDEX(選手一覧!$H$7:$H$2738,$F302)="","",INDEX(選手一覧!$H$7:$H$2738,$F302))</f>
        <v/>
      </c>
      <c r="H302" s="17" t="str">
        <f aca="false">IF(INDEX(選手一覧!$I$7:$I$2738,$F302)="","",INDEX(選手一覧!$I$7:$I$2738,$F302))</f>
        <v/>
      </c>
      <c r="I302" s="16" t="n">
        <f aca="false">IF(INDEX(選手一覧!$J$7:$J$2738,$F302)="","",INDEX(選手一覧!$J$7:$J$2738,$F302))</f>
        <v>0.00284768518518519</v>
      </c>
      <c r="J302" s="17" t="n">
        <f aca="false">IF(INDEX(選手一覧!$K$7:$K$2738,$F302)="","",INDEX(選手一覧!$K$7:$K$2738,$F302))</f>
        <v>555</v>
      </c>
    </row>
    <row r="303" customFormat="false" ht="15" hidden="false" customHeight="false" outlineLevel="0" collapsed="false">
      <c r="A303" s="17" t="n">
        <v>299</v>
      </c>
      <c r="B303" s="12" t="s">
        <v>558</v>
      </c>
      <c r="C303" s="12" t="s">
        <v>559</v>
      </c>
      <c r="D303" s="16" t="n">
        <v>0.010437962962963</v>
      </c>
      <c r="E303" s="15" t="n">
        <f aca="false">ROUND((D303-$D$5)*86400,2)</f>
        <v>112.1</v>
      </c>
      <c r="F303" s="17" t="n">
        <v>298</v>
      </c>
      <c r="G303" s="16" t="str">
        <f aca="false">IF(INDEX(選手一覧!$H$7:$H$2738,$F303)="","",INDEX(選手一覧!$H$7:$H$2738,$F303))</f>
        <v/>
      </c>
      <c r="H303" s="17" t="str">
        <f aca="false">IF(INDEX(選手一覧!$I$7:$I$2738,$F303)="","",INDEX(選手一覧!$I$7:$I$2738,$F303))</f>
        <v/>
      </c>
      <c r="I303" s="16" t="n">
        <f aca="false">IF(INDEX(選手一覧!$J$7:$J$2738,$F303)="","",INDEX(選手一覧!$J$7:$J$2738,$F303))</f>
        <v>0.0027755787037037</v>
      </c>
      <c r="J303" s="17" t="n">
        <f aca="false">IF(INDEX(選手一覧!$K$7:$K$2738,$F303)="","",INDEX(選手一覧!$K$7:$K$2738,$F303))</f>
        <v>176</v>
      </c>
    </row>
    <row r="304" customFormat="false" ht="15" hidden="false" customHeight="false" outlineLevel="0" collapsed="false">
      <c r="A304" s="17" t="n">
        <v>300</v>
      </c>
      <c r="B304" s="12" t="s">
        <v>560</v>
      </c>
      <c r="C304" s="12" t="s">
        <v>561</v>
      </c>
      <c r="D304" s="16" t="n">
        <v>0.0104451388888889</v>
      </c>
      <c r="E304" s="15" t="n">
        <f aca="false">ROUND((D304-$D$5)*86400,2)</f>
        <v>112.72</v>
      </c>
      <c r="F304" s="17" t="n">
        <v>299</v>
      </c>
      <c r="G304" s="16" t="str">
        <f aca="false">IF(INDEX(選手一覧!$H$7:$H$2738,$F304)="","",INDEX(選手一覧!$H$7:$H$2738,$F304))</f>
        <v/>
      </c>
      <c r="H304" s="17" t="str">
        <f aca="false">IF(INDEX(選手一覧!$I$7:$I$2738,$F304)="","",INDEX(選手一覧!$I$7:$I$2738,$F304))</f>
        <v/>
      </c>
      <c r="I304" s="16" t="n">
        <f aca="false">IF(INDEX(選手一覧!$J$7:$J$2738,$F304)="","",INDEX(選手一覧!$J$7:$J$2738,$F304))</f>
        <v>0.00283518518518519</v>
      </c>
      <c r="J304" s="17" t="n">
        <f aca="false">IF(INDEX(選手一覧!$K$7:$K$2738,$F304)="","",INDEX(選手一覧!$K$7:$K$2738,$F304))</f>
        <v>462</v>
      </c>
    </row>
    <row r="305" customFormat="false" ht="15" hidden="false" customHeight="false" outlineLevel="0" collapsed="false">
      <c r="A305" s="17" t="n">
        <v>301</v>
      </c>
      <c r="B305" s="12" t="s">
        <v>563</v>
      </c>
      <c r="C305" s="12" t="s">
        <v>125</v>
      </c>
      <c r="D305" s="16" t="n">
        <v>0.0104480324074074</v>
      </c>
      <c r="E305" s="15" t="n">
        <f aca="false">ROUND((D305-$D$5)*86400,2)</f>
        <v>112.97</v>
      </c>
      <c r="F305" s="17" t="n">
        <v>300</v>
      </c>
      <c r="G305" s="16" t="n">
        <f aca="false">IF(INDEX(選手一覧!$H$7:$H$2738,$F305)="","",INDEX(選手一覧!$H$7:$H$2738,$F305))</f>
        <v>0.00657083333333333</v>
      </c>
      <c r="H305" s="17" t="n">
        <f aca="false">IF(INDEX(選手一覧!$I$7:$I$2738,$F305)="","",INDEX(選手一覧!$I$7:$I$2738,$F305))</f>
        <v>59</v>
      </c>
      <c r="I305" s="16" t="n">
        <f aca="false">IF(INDEX(選手一覧!$J$7:$J$2738,$F305)="","",INDEX(選手一覧!$J$7:$J$2738,$F305))</f>
        <v>0.00284861111111111</v>
      </c>
      <c r="J305" s="17" t="n">
        <f aca="false">IF(INDEX(選手一覧!$K$7:$K$2738,$F305)="","",INDEX(選手一覧!$K$7:$K$2738,$F305))</f>
        <v>559</v>
      </c>
    </row>
    <row r="306" customFormat="false" ht="15" hidden="false" customHeight="false" outlineLevel="0" collapsed="false">
      <c r="A306" s="17" t="n">
        <v>302</v>
      </c>
      <c r="B306" s="12" t="s">
        <v>564</v>
      </c>
      <c r="C306" s="12" t="s">
        <v>565</v>
      </c>
      <c r="D306" s="16" t="n">
        <v>0.0104483796296296</v>
      </c>
      <c r="E306" s="15" t="n">
        <f aca="false">ROUND((D306-$D$5)*86400,2)</f>
        <v>113</v>
      </c>
      <c r="F306" s="17" t="n">
        <v>301</v>
      </c>
      <c r="G306" s="16" t="n">
        <f aca="false">IF(INDEX(選手一覧!$H$7:$H$2738,$F306)="","",INDEX(選手一覧!$H$7:$H$2738,$F306))</f>
        <v>0.00723009259259259</v>
      </c>
      <c r="H306" s="17" t="n">
        <f aca="false">IF(INDEX(選手一覧!$I$7:$I$2738,$F306)="","",INDEX(選手一覧!$I$7:$I$2738,$F306))</f>
        <v>574</v>
      </c>
      <c r="I306" s="16" t="n">
        <f aca="false">IF(INDEX(選手一覧!$J$7:$J$2738,$F306)="","",INDEX(選手一覧!$J$7:$J$2738,$F306))</f>
        <v>0.00286956018518519</v>
      </c>
      <c r="J306" s="17" t="n">
        <f aca="false">IF(INDEX(選手一覧!$K$7:$K$2738,$F306)="","",INDEX(選手一覧!$K$7:$K$2738,$F306))</f>
        <v>691</v>
      </c>
    </row>
    <row r="307" customFormat="false" ht="15" hidden="false" customHeight="false" outlineLevel="0" collapsed="false">
      <c r="A307" s="17" t="n">
        <v>303</v>
      </c>
      <c r="B307" s="12" t="s">
        <v>566</v>
      </c>
      <c r="C307" s="12" t="s">
        <v>285</v>
      </c>
      <c r="D307" s="16" t="n">
        <v>0.0104486111111111</v>
      </c>
      <c r="E307" s="15" t="n">
        <f aca="false">ROUND((D307-$D$5)*86400,2)</f>
        <v>113.02</v>
      </c>
      <c r="F307" s="17" t="n">
        <v>302</v>
      </c>
      <c r="G307" s="16" t="n">
        <f aca="false">IF(INDEX(選手一覧!$H$7:$H$2738,$F307)="","",INDEX(選手一覧!$H$7:$H$2738,$F307))</f>
        <v>0.00772731481481481</v>
      </c>
      <c r="H307" s="17" t="n">
        <f aca="false">IF(INDEX(選手一覧!$I$7:$I$2738,$F307)="","",INDEX(選手一覧!$I$7:$I$2738,$F307))</f>
        <v>1094</v>
      </c>
      <c r="I307" s="16" t="n">
        <f aca="false">IF(INDEX(選手一覧!$J$7:$J$2738,$F307)="","",INDEX(選手一覧!$J$7:$J$2738,$F307))</f>
        <v>0.00287083333333333</v>
      </c>
      <c r="J307" s="17" t="n">
        <f aca="false">IF(INDEX(選手一覧!$K$7:$K$2738,$F307)="","",INDEX(選手一覧!$K$7:$K$2738,$F307))</f>
        <v>703</v>
      </c>
    </row>
    <row r="308" customFormat="false" ht="15" hidden="false" customHeight="false" outlineLevel="0" collapsed="false">
      <c r="A308" s="17" t="n">
        <v>304</v>
      </c>
      <c r="B308" s="12" t="s">
        <v>568</v>
      </c>
      <c r="C308" s="12" t="s">
        <v>569</v>
      </c>
      <c r="D308" s="16" t="n">
        <v>0.0104509259259259</v>
      </c>
      <c r="E308" s="15" t="n">
        <f aca="false">ROUND((D308-$D$5)*86400,2)</f>
        <v>113.22</v>
      </c>
      <c r="F308" s="17" t="n">
        <v>303</v>
      </c>
      <c r="G308" s="16" t="str">
        <f aca="false">IF(INDEX(選手一覧!$H$7:$H$2738,$F308)="","",INDEX(選手一覧!$H$7:$H$2738,$F308))</f>
        <v/>
      </c>
      <c r="H308" s="17" t="str">
        <f aca="false">IF(INDEX(選手一覧!$I$7:$I$2738,$F308)="","",INDEX(選手一覧!$I$7:$I$2738,$F308))</f>
        <v/>
      </c>
      <c r="I308" s="16" t="n">
        <f aca="false">IF(INDEX(選手一覧!$J$7:$J$2738,$F308)="","",INDEX(選手一覧!$J$7:$J$2738,$F308))</f>
        <v>0.00272256944444444</v>
      </c>
      <c r="J308" s="17" t="n">
        <f aca="false">IF(INDEX(選手一覧!$K$7:$K$2738,$F308)="","",INDEX(選手一覧!$K$7:$K$2738,$F308))</f>
        <v>52</v>
      </c>
    </row>
    <row r="309" customFormat="false" ht="15" hidden="false" customHeight="false" outlineLevel="0" collapsed="false">
      <c r="A309" s="17" t="n">
        <v>305</v>
      </c>
      <c r="B309" s="12" t="s">
        <v>570</v>
      </c>
      <c r="C309" s="12" t="s">
        <v>141</v>
      </c>
      <c r="D309" s="16" t="n">
        <v>0.0104532407407407</v>
      </c>
      <c r="E309" s="15" t="n">
        <f aca="false">ROUND((D309-$D$5)*86400,2)</f>
        <v>113.42</v>
      </c>
      <c r="F309" s="17" t="n">
        <v>304</v>
      </c>
      <c r="G309" s="16" t="str">
        <f aca="false">IF(INDEX(選手一覧!$H$7:$H$2738,$F309)="","",INDEX(選手一覧!$H$7:$H$2738,$F309))</f>
        <v/>
      </c>
      <c r="H309" s="17" t="str">
        <f aca="false">IF(INDEX(選手一覧!$I$7:$I$2738,$F309)="","",INDEX(選手一覧!$I$7:$I$2738,$F309))</f>
        <v/>
      </c>
      <c r="I309" s="16" t="n">
        <f aca="false">IF(INDEX(選手一覧!$J$7:$J$2738,$F309)="","",INDEX(選手一覧!$J$7:$J$2738,$F309))</f>
        <v>0.00279988425925926</v>
      </c>
      <c r="J309" s="17" t="n">
        <f aca="false">IF(INDEX(選手一覧!$K$7:$K$2738,$F309)="","",INDEX(選手一覧!$K$7:$K$2738,$F309))</f>
        <v>284</v>
      </c>
    </row>
    <row r="310" customFormat="false" ht="15" hidden="false" customHeight="false" outlineLevel="0" collapsed="false">
      <c r="A310" s="17" t="n">
        <v>306</v>
      </c>
      <c r="B310" s="12" t="s">
        <v>572</v>
      </c>
      <c r="C310" s="12" t="s">
        <v>573</v>
      </c>
      <c r="D310" s="16" t="n">
        <v>0.0104540509259259</v>
      </c>
      <c r="E310" s="15" t="n">
        <f aca="false">ROUND((D310-$D$5)*86400,2)</f>
        <v>113.49</v>
      </c>
      <c r="F310" s="17" t="n">
        <v>305</v>
      </c>
      <c r="G310" s="16" t="str">
        <f aca="false">IF(INDEX(選手一覧!$H$7:$H$2738,$F310)="","",INDEX(選手一覧!$H$7:$H$2738,$F310))</f>
        <v/>
      </c>
      <c r="H310" s="17" t="str">
        <f aca="false">IF(INDEX(選手一覧!$I$7:$I$2738,$F310)="","",INDEX(選手一覧!$I$7:$I$2738,$F310))</f>
        <v/>
      </c>
      <c r="I310" s="16" t="n">
        <f aca="false">IF(INDEX(選手一覧!$J$7:$J$2738,$F310)="","",INDEX(選手一覧!$J$7:$J$2738,$F310))</f>
        <v>0.002840625</v>
      </c>
      <c r="J310" s="17" t="n">
        <f aca="false">IF(INDEX(選手一覧!$K$7:$K$2738,$F310)="","",INDEX(選手一覧!$K$7:$K$2738,$F310))</f>
        <v>501</v>
      </c>
    </row>
    <row r="311" customFormat="false" ht="15" hidden="false" customHeight="false" outlineLevel="0" collapsed="false">
      <c r="A311" s="17" t="n">
        <v>307</v>
      </c>
      <c r="B311" s="12" t="s">
        <v>574</v>
      </c>
      <c r="C311" s="12" t="s">
        <v>575</v>
      </c>
      <c r="D311" s="16" t="n">
        <v>0.0104564814814815</v>
      </c>
      <c r="E311" s="15" t="n">
        <f aca="false">ROUND((D311-$D$5)*86400,2)</f>
        <v>113.7</v>
      </c>
      <c r="F311" s="17" t="n">
        <v>306</v>
      </c>
      <c r="G311" s="16" t="str">
        <f aca="false">IF(INDEX(選手一覧!$H$7:$H$2738,$F311)="","",INDEX(選手一覧!$H$7:$H$2738,$F311))</f>
        <v/>
      </c>
      <c r="H311" s="17" t="str">
        <f aca="false">IF(INDEX(選手一覧!$I$7:$I$2738,$F311)="","",INDEX(選手一覧!$I$7:$I$2738,$F311))</f>
        <v/>
      </c>
      <c r="I311" s="16" t="n">
        <f aca="false">IF(INDEX(選手一覧!$J$7:$J$2738,$F311)="","",INDEX(選手一覧!$J$7:$J$2738,$F311))</f>
        <v>0.00282835648148148</v>
      </c>
      <c r="J311" s="17" t="n">
        <f aca="false">IF(INDEX(選手一覧!$K$7:$K$2738,$F311)="","",INDEX(選手一覧!$K$7:$K$2738,$F311))</f>
        <v>414</v>
      </c>
    </row>
    <row r="312" customFormat="false" ht="15" hidden="false" customHeight="false" outlineLevel="0" collapsed="false">
      <c r="A312" s="17" t="n">
        <v>308</v>
      </c>
      <c r="B312" s="12" t="s">
        <v>576</v>
      </c>
      <c r="C312" s="12" t="s">
        <v>577</v>
      </c>
      <c r="D312" s="16" t="n">
        <v>0.0104578703703704</v>
      </c>
      <c r="E312" s="15" t="n">
        <f aca="false">ROUND((D312-$D$5)*86400,2)</f>
        <v>113.82</v>
      </c>
      <c r="F312" s="17" t="n">
        <v>307</v>
      </c>
      <c r="G312" s="16" t="str">
        <f aca="false">IF(INDEX(選手一覧!$H$7:$H$2738,$F312)="","",INDEX(選手一覧!$H$7:$H$2738,$F312))</f>
        <v/>
      </c>
      <c r="H312" s="17" t="str">
        <f aca="false">IF(INDEX(選手一覧!$I$7:$I$2738,$F312)="","",INDEX(選手一覧!$I$7:$I$2738,$F312))</f>
        <v/>
      </c>
      <c r="I312" s="16" t="n">
        <f aca="false">IF(INDEX(選手一覧!$J$7:$J$2738,$F312)="","",INDEX(選手一覧!$J$7:$J$2738,$F312))</f>
        <v>0.00274791666666667</v>
      </c>
      <c r="J312" s="17" t="n">
        <f aca="false">IF(INDEX(選手一覧!$K$7:$K$2738,$F312)="","",INDEX(選手一覧!$K$7:$K$2738,$F312))</f>
        <v>96</v>
      </c>
    </row>
    <row r="313" customFormat="false" ht="15" hidden="false" customHeight="false" outlineLevel="0" collapsed="false">
      <c r="A313" s="17" t="n">
        <v>309</v>
      </c>
      <c r="B313" s="12" t="s">
        <v>578</v>
      </c>
      <c r="C313" s="12" t="s">
        <v>152</v>
      </c>
      <c r="D313" s="16" t="n">
        <v>0.0104579861111111</v>
      </c>
      <c r="E313" s="15" t="n">
        <f aca="false">ROUND((D313-$D$5)*86400,2)</f>
        <v>113.83</v>
      </c>
      <c r="F313" s="17" t="n">
        <v>308</v>
      </c>
      <c r="G313" s="16" t="str">
        <f aca="false">IF(INDEX(選手一覧!$H$7:$H$2738,$F313)="","",INDEX(選手一覧!$H$7:$H$2738,$F313))</f>
        <v/>
      </c>
      <c r="H313" s="17" t="str">
        <f aca="false">IF(INDEX(選手一覧!$I$7:$I$2738,$F313)="","",INDEX(選手一覧!$I$7:$I$2738,$F313))</f>
        <v/>
      </c>
      <c r="I313" s="16" t="str">
        <f aca="false">IF(INDEX(選手一覧!$J$7:$J$2738,$F313)="","",INDEX(選手一覧!$J$7:$J$2738,$F313))</f>
        <v/>
      </c>
      <c r="J313" s="17" t="str">
        <f aca="false">IF(INDEX(選手一覧!$K$7:$K$2738,$F313)="","",INDEX(選手一覧!$K$7:$K$2738,$F313))</f>
        <v/>
      </c>
    </row>
    <row r="314" customFormat="false" ht="15" hidden="false" customHeight="false" outlineLevel="0" collapsed="false">
      <c r="A314" s="17" t="n">
        <v>310</v>
      </c>
      <c r="B314" s="12" t="s">
        <v>579</v>
      </c>
      <c r="C314" s="12" t="s">
        <v>129</v>
      </c>
      <c r="D314" s="16" t="n">
        <v>0.010459375</v>
      </c>
      <c r="E314" s="15" t="n">
        <f aca="false">ROUND((D314-$D$5)*86400,2)</f>
        <v>113.95</v>
      </c>
      <c r="F314" s="17" t="n">
        <v>309</v>
      </c>
      <c r="G314" s="16" t="str">
        <f aca="false">IF(INDEX(選手一覧!$H$7:$H$2738,$F314)="","",INDEX(選手一覧!$H$7:$H$2738,$F314))</f>
        <v/>
      </c>
      <c r="H314" s="17" t="str">
        <f aca="false">IF(INDEX(選手一覧!$I$7:$I$2738,$F314)="","",INDEX(選手一覧!$I$7:$I$2738,$F314))</f>
        <v/>
      </c>
      <c r="I314" s="16" t="str">
        <f aca="false">IF(INDEX(選手一覧!$J$7:$J$2738,$F314)="","",INDEX(選手一覧!$J$7:$J$2738,$F314))</f>
        <v/>
      </c>
      <c r="J314" s="17" t="str">
        <f aca="false">IF(INDEX(選手一覧!$K$7:$K$2738,$F314)="","",INDEX(選手一覧!$K$7:$K$2738,$F314))</f>
        <v/>
      </c>
    </row>
    <row r="315" customFormat="false" ht="15" hidden="false" customHeight="false" outlineLevel="0" collapsed="false">
      <c r="A315" s="17" t="n">
        <v>311</v>
      </c>
      <c r="B315" s="12" t="s">
        <v>581</v>
      </c>
      <c r="C315" s="12" t="s">
        <v>71</v>
      </c>
      <c r="D315" s="16" t="n">
        <v>0.0104604166666667</v>
      </c>
      <c r="E315" s="15" t="n">
        <f aca="false">ROUND((D315-$D$5)*86400,2)</f>
        <v>114.04</v>
      </c>
      <c r="F315" s="17" t="n">
        <v>310</v>
      </c>
      <c r="G315" s="16" t="str">
        <f aca="false">IF(INDEX(選手一覧!$H$7:$H$2738,$F315)="","",INDEX(選手一覧!$H$7:$H$2738,$F315))</f>
        <v/>
      </c>
      <c r="H315" s="17" t="str">
        <f aca="false">IF(INDEX(選手一覧!$I$7:$I$2738,$F315)="","",INDEX(選手一覧!$I$7:$I$2738,$F315))</f>
        <v/>
      </c>
      <c r="I315" s="16" t="n">
        <f aca="false">IF(INDEX(選手一覧!$J$7:$J$2738,$F315)="","",INDEX(選手一覧!$J$7:$J$2738,$F315))</f>
        <v>0.00297962962962963</v>
      </c>
      <c r="J315" s="17" t="n">
        <f aca="false">IF(INDEX(選手一覧!$K$7:$K$2738,$F315)="","",INDEX(選手一覧!$K$7:$K$2738,$F315))</f>
        <v>1350</v>
      </c>
    </row>
    <row r="316" customFormat="false" ht="15" hidden="false" customHeight="false" outlineLevel="0" collapsed="false">
      <c r="A316" s="17" t="n">
        <v>312</v>
      </c>
      <c r="B316" s="12" t="s">
        <v>582</v>
      </c>
      <c r="C316" s="12" t="s">
        <v>77</v>
      </c>
      <c r="D316" s="16" t="n">
        <v>0.0104619212962963</v>
      </c>
      <c r="E316" s="15" t="n">
        <f aca="false">ROUND((D316-$D$5)*86400,2)</f>
        <v>114.17</v>
      </c>
      <c r="F316" s="17" t="n">
        <v>311</v>
      </c>
      <c r="G316" s="16" t="str">
        <f aca="false">IF(INDEX(選手一覧!$H$7:$H$2738,$F316)="","",INDEX(選手一覧!$H$7:$H$2738,$F316))</f>
        <v/>
      </c>
      <c r="H316" s="17" t="str">
        <f aca="false">IF(INDEX(選手一覧!$I$7:$I$2738,$F316)="","",INDEX(選手一覧!$I$7:$I$2738,$F316))</f>
        <v/>
      </c>
      <c r="I316" s="16" t="n">
        <f aca="false">IF(INDEX(選手一覧!$J$7:$J$2738,$F316)="","",INDEX(選手一覧!$J$7:$J$2738,$F316))</f>
        <v>0.00289143518518519</v>
      </c>
      <c r="J316" s="17" t="n">
        <f aca="false">IF(INDEX(選手一覧!$K$7:$K$2738,$F316)="","",INDEX(選手一覧!$K$7:$K$2738,$F316))</f>
        <v>881</v>
      </c>
    </row>
    <row r="317" customFormat="false" ht="15" hidden="false" customHeight="false" outlineLevel="0" collapsed="false">
      <c r="A317" s="17" t="n">
        <v>313</v>
      </c>
      <c r="B317" s="12" t="s">
        <v>583</v>
      </c>
      <c r="C317" s="12" t="s">
        <v>214</v>
      </c>
      <c r="D317" s="16" t="n">
        <v>0.010462962962963</v>
      </c>
      <c r="E317" s="15" t="n">
        <f aca="false">ROUND((D317-$D$5)*86400,2)</f>
        <v>114.26</v>
      </c>
      <c r="F317" s="17" t="n">
        <v>312</v>
      </c>
      <c r="G317" s="16" t="str">
        <f aca="false">IF(INDEX(選手一覧!$H$7:$H$2738,$F317)="","",INDEX(選手一覧!$H$7:$H$2738,$F317))</f>
        <v/>
      </c>
      <c r="H317" s="17" t="str">
        <f aca="false">IF(INDEX(選手一覧!$I$7:$I$2738,$F317)="","",INDEX(選手一覧!$I$7:$I$2738,$F317))</f>
        <v/>
      </c>
      <c r="I317" s="16" t="n">
        <f aca="false">IF(INDEX(選手一覧!$J$7:$J$2738,$F317)="","",INDEX(選手一覧!$J$7:$J$2738,$F317))</f>
        <v>0.00291898148148148</v>
      </c>
      <c r="J317" s="17" t="n">
        <f aca="false">IF(INDEX(選手一覧!$K$7:$K$2738,$F317)="","",INDEX(選手一覧!$K$7:$K$2738,$F317))</f>
        <v>1083</v>
      </c>
    </row>
    <row r="318" customFormat="false" ht="15" hidden="false" customHeight="false" outlineLevel="0" collapsed="false">
      <c r="A318" s="17" t="n">
        <v>314</v>
      </c>
      <c r="B318" s="12" t="s">
        <v>584</v>
      </c>
      <c r="C318" s="12" t="s">
        <v>585</v>
      </c>
      <c r="D318" s="16" t="n">
        <v>0.0104634259259259</v>
      </c>
      <c r="E318" s="15" t="n">
        <f aca="false">ROUND((D318-$D$5)*86400,2)</f>
        <v>114.3</v>
      </c>
      <c r="F318" s="17" t="n">
        <v>313</v>
      </c>
      <c r="G318" s="16" t="str">
        <f aca="false">IF(INDEX(選手一覧!$H$7:$H$2738,$F318)="","",INDEX(選手一覧!$H$7:$H$2738,$F318))</f>
        <v/>
      </c>
      <c r="H318" s="17" t="str">
        <f aca="false">IF(INDEX(選手一覧!$I$7:$I$2738,$F318)="","",INDEX(選手一覧!$I$7:$I$2738,$F318))</f>
        <v/>
      </c>
      <c r="I318" s="16" t="str">
        <f aca="false">IF(INDEX(選手一覧!$J$7:$J$2738,$F318)="","",INDEX(選手一覧!$J$7:$J$2738,$F318))</f>
        <v/>
      </c>
      <c r="J318" s="17" t="str">
        <f aca="false">IF(INDEX(選手一覧!$K$7:$K$2738,$F318)="","",INDEX(選手一覧!$K$7:$K$2738,$F318))</f>
        <v/>
      </c>
    </row>
    <row r="319" customFormat="false" ht="15" hidden="false" customHeight="false" outlineLevel="0" collapsed="false">
      <c r="A319" s="17" t="n">
        <v>315</v>
      </c>
      <c r="B319" s="12" t="s">
        <v>587</v>
      </c>
      <c r="C319" s="12" t="s">
        <v>141</v>
      </c>
      <c r="D319" s="16" t="n">
        <v>0.010465162037037</v>
      </c>
      <c r="E319" s="15" t="n">
        <f aca="false">ROUND((D319-$D$5)*86400,2)</f>
        <v>114.45</v>
      </c>
      <c r="F319" s="17" t="n">
        <v>314</v>
      </c>
      <c r="G319" s="16" t="n">
        <f aca="false">IF(INDEX(選手一覧!$H$7:$H$2738,$F319)="","",INDEX(選手一覧!$H$7:$H$2738,$F319))</f>
        <v>0.00664930555555556</v>
      </c>
      <c r="H319" s="17" t="n">
        <f aca="false">IF(INDEX(選手一覧!$I$7:$I$2738,$F319)="","",INDEX(選手一覧!$I$7:$I$2738,$F319))</f>
        <v>82</v>
      </c>
      <c r="I319" s="16" t="n">
        <f aca="false">IF(INDEX(選手一覧!$J$7:$J$2738,$F319)="","",INDEX(選手一覧!$J$7:$J$2738,$F319))</f>
        <v>0.00282824074074074</v>
      </c>
      <c r="J319" s="17" t="n">
        <f aca="false">IF(INDEX(選手一覧!$K$7:$K$2738,$F319)="","",INDEX(選手一覧!$K$7:$K$2738,$F319))</f>
        <v>413</v>
      </c>
    </row>
    <row r="320" customFormat="false" ht="15" hidden="false" customHeight="false" outlineLevel="0" collapsed="false">
      <c r="A320" s="17" t="n">
        <v>316</v>
      </c>
      <c r="B320" s="12" t="s">
        <v>588</v>
      </c>
      <c r="C320" s="12" t="s">
        <v>589</v>
      </c>
      <c r="D320" s="16" t="n">
        <v>0.0104655092592593</v>
      </c>
      <c r="E320" s="15" t="n">
        <f aca="false">ROUND((D320-$D$5)*86400,2)</f>
        <v>114.48</v>
      </c>
      <c r="F320" s="17" t="n">
        <v>315</v>
      </c>
      <c r="G320" s="16" t="n">
        <f aca="false">IF(INDEX(選手一覧!$H$7:$H$2738,$F320)="","",INDEX(選手一覧!$H$7:$H$2738,$F320))</f>
        <v>0.00672824074074074</v>
      </c>
      <c r="H320" s="17" t="n">
        <f aca="false">IF(INDEX(選手一覧!$I$7:$I$2738,$F320)="","",INDEX(選手一覧!$I$7:$I$2738,$F320))</f>
        <v>119</v>
      </c>
      <c r="I320" s="16" t="n">
        <f aca="false">IF(INDEX(選手一覧!$J$7:$J$2738,$F320)="","",INDEX(選手一覧!$J$7:$J$2738,$F320))</f>
        <v>0.00280833333333333</v>
      </c>
      <c r="J320" s="17" t="n">
        <f aca="false">IF(INDEX(選手一覧!$K$7:$K$2738,$F320)="","",INDEX(選手一覧!$K$7:$K$2738,$F320))</f>
        <v>318</v>
      </c>
    </row>
    <row r="321" customFormat="false" ht="15" hidden="false" customHeight="false" outlineLevel="0" collapsed="false">
      <c r="A321" s="17" t="n">
        <v>317</v>
      </c>
      <c r="B321" s="12" t="s">
        <v>590</v>
      </c>
      <c r="C321" s="12" t="s">
        <v>591</v>
      </c>
      <c r="D321" s="16" t="n">
        <v>0.0104688657407407</v>
      </c>
      <c r="E321" s="15" t="n">
        <f aca="false">ROUND((D321-$D$5)*86400,2)</f>
        <v>114.77</v>
      </c>
      <c r="F321" s="17" t="n">
        <v>316</v>
      </c>
      <c r="G321" s="16" t="str">
        <f aca="false">IF(INDEX(選手一覧!$H$7:$H$2738,$F321)="","",INDEX(選手一覧!$H$7:$H$2738,$F321))</f>
        <v/>
      </c>
      <c r="H321" s="17" t="str">
        <f aca="false">IF(INDEX(選手一覧!$I$7:$I$2738,$F321)="","",INDEX(選手一覧!$I$7:$I$2738,$F321))</f>
        <v/>
      </c>
      <c r="I321" s="16" t="n">
        <f aca="false">IF(INDEX(選手一覧!$J$7:$J$2738,$F321)="","",INDEX(選手一覧!$J$7:$J$2738,$F321))</f>
        <v>0.00282638888888889</v>
      </c>
      <c r="J321" s="17" t="n">
        <f aca="false">IF(INDEX(選手一覧!$K$7:$K$2738,$F321)="","",INDEX(選手一覧!$K$7:$K$2738,$F321))</f>
        <v>401</v>
      </c>
    </row>
    <row r="322" customFormat="false" ht="15" hidden="false" customHeight="false" outlineLevel="0" collapsed="false">
      <c r="A322" s="17" t="n">
        <v>318</v>
      </c>
      <c r="B322" s="12" t="s">
        <v>593</v>
      </c>
      <c r="C322" s="12" t="s">
        <v>532</v>
      </c>
      <c r="D322" s="16" t="n">
        <v>0.0104730324074074</v>
      </c>
      <c r="E322" s="15" t="n">
        <f aca="false">ROUND((D322-$D$5)*86400,2)</f>
        <v>115.13</v>
      </c>
      <c r="F322" s="17" t="n">
        <v>317</v>
      </c>
      <c r="G322" s="16" t="n">
        <f aca="false">IF(INDEX(選手一覧!$H$7:$H$2738,$F322)="","",INDEX(選手一覧!$H$7:$H$2738,$F322))</f>
        <v>0.00656898148148148</v>
      </c>
      <c r="H322" s="17" t="n">
        <f aca="false">IF(INDEX(選手一覧!$I$7:$I$2738,$F322)="","",INDEX(選手一覧!$I$7:$I$2738,$F322))</f>
        <v>57</v>
      </c>
      <c r="I322" s="16" t="n">
        <f aca="false">IF(INDEX(選手一覧!$J$7:$J$2738,$F322)="","",INDEX(選手一覧!$J$7:$J$2738,$F322))</f>
        <v>0.00279351851851852</v>
      </c>
      <c r="J322" s="17" t="n">
        <f aca="false">IF(INDEX(選手一覧!$K$7:$K$2738,$F322)="","",INDEX(選手一覧!$K$7:$K$2738,$F322))</f>
        <v>251</v>
      </c>
    </row>
    <row r="323" customFormat="false" ht="15" hidden="false" customHeight="false" outlineLevel="0" collapsed="false">
      <c r="A323" s="17" t="n">
        <v>319</v>
      </c>
      <c r="B323" s="12" t="s">
        <v>594</v>
      </c>
      <c r="C323" s="12" t="s">
        <v>595</v>
      </c>
      <c r="D323" s="16" t="n">
        <v>0.0104733796296296</v>
      </c>
      <c r="E323" s="15" t="n">
        <f aca="false">ROUND((D323-$D$5)*86400,2)</f>
        <v>115.16</v>
      </c>
      <c r="F323" s="17" t="n">
        <v>318</v>
      </c>
      <c r="G323" s="16" t="str">
        <f aca="false">IF(INDEX(選手一覧!$H$7:$H$2738,$F323)="","",INDEX(選手一覧!$H$7:$H$2738,$F323))</f>
        <v/>
      </c>
      <c r="H323" s="17" t="str">
        <f aca="false">IF(INDEX(選手一覧!$I$7:$I$2738,$F323)="","",INDEX(選手一覧!$I$7:$I$2738,$F323))</f>
        <v/>
      </c>
      <c r="I323" s="16" t="n">
        <f aca="false">IF(INDEX(選手一覧!$J$7:$J$2738,$F323)="","",INDEX(選手一覧!$J$7:$J$2738,$F323))</f>
        <v>0.00274976851851852</v>
      </c>
      <c r="J323" s="17" t="n">
        <f aca="false">IF(INDEX(選手一覧!$K$7:$K$2738,$F323)="","",INDEX(選手一覧!$K$7:$K$2738,$F323))</f>
        <v>103</v>
      </c>
    </row>
    <row r="324" customFormat="false" ht="15" hidden="false" customHeight="false" outlineLevel="0" collapsed="false">
      <c r="A324" s="17" t="n">
        <v>320</v>
      </c>
      <c r="B324" s="12" t="s">
        <v>597</v>
      </c>
      <c r="C324" s="12" t="s">
        <v>143</v>
      </c>
      <c r="D324" s="16" t="n">
        <v>0.0104740740740741</v>
      </c>
      <c r="E324" s="15" t="n">
        <f aca="false">ROUND((D324-$D$5)*86400,2)</f>
        <v>115.22</v>
      </c>
      <c r="F324" s="17" t="n">
        <v>319</v>
      </c>
      <c r="G324" s="16" t="str">
        <f aca="false">IF(INDEX(選手一覧!$H$7:$H$2738,$F324)="","",INDEX(選手一覧!$H$7:$H$2738,$F324))</f>
        <v/>
      </c>
      <c r="H324" s="17" t="str">
        <f aca="false">IF(INDEX(選手一覧!$I$7:$I$2738,$F324)="","",INDEX(選手一覧!$I$7:$I$2738,$F324))</f>
        <v/>
      </c>
      <c r="I324" s="16" t="n">
        <f aca="false">IF(INDEX(選手一覧!$J$7:$J$2738,$F324)="","",INDEX(選手一覧!$J$7:$J$2738,$F324))</f>
        <v>0.00270844907407407</v>
      </c>
      <c r="J324" s="17" t="n">
        <f aca="false">IF(INDEX(選手一覧!$K$7:$K$2738,$F324)="","",INDEX(選手一覧!$K$7:$K$2738,$F324))</f>
        <v>33</v>
      </c>
    </row>
    <row r="325" customFormat="false" ht="15" hidden="false" customHeight="false" outlineLevel="0" collapsed="false">
      <c r="A325" s="17" t="n">
        <v>321</v>
      </c>
      <c r="B325" s="12" t="s">
        <v>598</v>
      </c>
      <c r="C325" s="12" t="s">
        <v>599</v>
      </c>
      <c r="D325" s="16" t="n">
        <v>0.0104758101851852</v>
      </c>
      <c r="E325" s="15" t="n">
        <f aca="false">ROUND((D325-$D$5)*86400,2)</f>
        <v>115.37</v>
      </c>
      <c r="F325" s="17" t="n">
        <v>320</v>
      </c>
      <c r="G325" s="16" t="n">
        <f aca="false">IF(INDEX(選手一覧!$H$7:$H$2738,$F325)="","",INDEX(選手一覧!$H$7:$H$2738,$F325))</f>
        <v>0.0064306712962963</v>
      </c>
      <c r="H325" s="17" t="n">
        <f aca="false">IF(INDEX(選手一覧!$I$7:$I$2738,$F325)="","",INDEX(選手一覧!$I$7:$I$2738,$F325))</f>
        <v>21</v>
      </c>
      <c r="I325" s="16" t="n">
        <f aca="false">IF(INDEX(選手一覧!$J$7:$J$2738,$F325)="","",INDEX(選手一覧!$J$7:$J$2738,$F325))</f>
        <v>0.00282106481481482</v>
      </c>
      <c r="J325" s="17" t="n">
        <f aca="false">IF(INDEX(選手一覧!$K$7:$K$2738,$F325)="","",INDEX(選手一覧!$K$7:$K$2738,$F325))</f>
        <v>369</v>
      </c>
    </row>
    <row r="326" customFormat="false" ht="15" hidden="false" customHeight="false" outlineLevel="0" collapsed="false">
      <c r="A326" s="17" t="n">
        <v>322</v>
      </c>
      <c r="B326" s="12" t="s">
        <v>600</v>
      </c>
      <c r="C326" s="12" t="s">
        <v>601</v>
      </c>
      <c r="D326" s="16" t="n">
        <v>0.0104766203703704</v>
      </c>
      <c r="E326" s="15" t="n">
        <f aca="false">ROUND((D326-$D$5)*86400,2)</f>
        <v>115.44</v>
      </c>
      <c r="F326" s="17" t="n">
        <v>321</v>
      </c>
      <c r="G326" s="16" t="str">
        <f aca="false">IF(INDEX(選手一覧!$H$7:$H$2738,$F326)="","",INDEX(選手一覧!$H$7:$H$2738,$F326))</f>
        <v/>
      </c>
      <c r="H326" s="17" t="str">
        <f aca="false">IF(INDEX(選手一覧!$I$7:$I$2738,$F326)="","",INDEX(選手一覧!$I$7:$I$2738,$F326))</f>
        <v/>
      </c>
      <c r="I326" s="16" t="n">
        <f aca="false">IF(INDEX(選手一覧!$J$7:$J$2738,$F326)="","",INDEX(選手一覧!$J$7:$J$2738,$F326))</f>
        <v>0.00297835648148148</v>
      </c>
      <c r="J326" s="17" t="n">
        <f aca="false">IF(INDEX(選手一覧!$K$7:$K$2738,$F326)="","",INDEX(選手一覧!$K$7:$K$2738,$F326))</f>
        <v>1346</v>
      </c>
    </row>
    <row r="327" customFormat="false" ht="15" hidden="false" customHeight="false" outlineLevel="0" collapsed="false">
      <c r="A327" s="17" t="n">
        <v>323</v>
      </c>
      <c r="B327" s="12" t="s">
        <v>602</v>
      </c>
      <c r="C327" s="12" t="s">
        <v>430</v>
      </c>
      <c r="D327" s="16" t="n">
        <v>0.0104782407407407</v>
      </c>
      <c r="E327" s="15" t="n">
        <f aca="false">ROUND((D327-$D$5)*86400,2)</f>
        <v>115.58</v>
      </c>
      <c r="F327" s="17" t="n">
        <v>322</v>
      </c>
      <c r="G327" s="16" t="n">
        <f aca="false">IF(INDEX(選手一覧!$H$7:$H$2738,$F327)="","",INDEX(選手一覧!$H$7:$H$2738,$F327))</f>
        <v>0.00652893518518519</v>
      </c>
      <c r="H327" s="17" t="n">
        <f aca="false">IF(INDEX(選手一覧!$I$7:$I$2738,$F327)="","",INDEX(選手一覧!$I$7:$I$2738,$F327))</f>
        <v>40</v>
      </c>
      <c r="I327" s="16" t="str">
        <f aca="false">IF(INDEX(選手一覧!$J$7:$J$2738,$F327)="","",INDEX(選手一覧!$J$7:$J$2738,$F327))</f>
        <v/>
      </c>
      <c r="J327" s="17" t="str">
        <f aca="false">IF(INDEX(選手一覧!$K$7:$K$2738,$F327)="","",INDEX(選手一覧!$K$7:$K$2738,$F327))</f>
        <v/>
      </c>
    </row>
    <row r="328" customFormat="false" ht="15" hidden="false" customHeight="false" outlineLevel="0" collapsed="false">
      <c r="A328" s="17" t="n">
        <v>324</v>
      </c>
      <c r="B328" s="12" t="s">
        <v>603</v>
      </c>
      <c r="C328" s="12" t="s">
        <v>129</v>
      </c>
      <c r="D328" s="16" t="n">
        <v>0.0104804398148148</v>
      </c>
      <c r="E328" s="15" t="n">
        <f aca="false">ROUND((D328-$D$5)*86400,2)</f>
        <v>115.77</v>
      </c>
      <c r="F328" s="17" t="n">
        <v>323</v>
      </c>
      <c r="G328" s="16" t="str">
        <f aca="false">IF(INDEX(選手一覧!$H$7:$H$2738,$F328)="","",INDEX(選手一覧!$H$7:$H$2738,$F328))</f>
        <v/>
      </c>
      <c r="H328" s="17" t="str">
        <f aca="false">IF(INDEX(選手一覧!$I$7:$I$2738,$F328)="","",INDEX(選手一覧!$I$7:$I$2738,$F328))</f>
        <v/>
      </c>
      <c r="I328" s="16" t="n">
        <f aca="false">IF(INDEX(選手一覧!$J$7:$J$2738,$F328)="","",INDEX(選手一覧!$J$7:$J$2738,$F328))</f>
        <v>0.00280532407407407</v>
      </c>
      <c r="J328" s="17" t="n">
        <f aca="false">IF(INDEX(選手一覧!$K$7:$K$2738,$F328)="","",INDEX(選手一覧!$K$7:$K$2738,$F328))</f>
        <v>304</v>
      </c>
    </row>
    <row r="329" customFormat="false" ht="15" hidden="false" customHeight="false" outlineLevel="0" collapsed="false">
      <c r="A329" s="17" t="n">
        <v>325</v>
      </c>
      <c r="B329" s="12" t="s">
        <v>605</v>
      </c>
      <c r="C329" s="12" t="s">
        <v>61</v>
      </c>
      <c r="D329" s="16" t="n">
        <v>0.01048125</v>
      </c>
      <c r="E329" s="15" t="n">
        <f aca="false">ROUND((D329-$D$5)*86400,2)</f>
        <v>115.84</v>
      </c>
      <c r="F329" s="17" t="n">
        <v>324</v>
      </c>
      <c r="G329" s="16" t="str">
        <f aca="false">IF(INDEX(選手一覧!$H$7:$H$2738,$F329)="","",INDEX(選手一覧!$H$7:$H$2738,$F329))</f>
        <v/>
      </c>
      <c r="H329" s="17" t="str">
        <f aca="false">IF(INDEX(選手一覧!$I$7:$I$2738,$F329)="","",INDEX(選手一覧!$I$7:$I$2738,$F329))</f>
        <v/>
      </c>
      <c r="I329" s="16" t="n">
        <f aca="false">IF(INDEX(選手一覧!$J$7:$J$2738,$F329)="","",INDEX(選手一覧!$J$7:$J$2738,$F329))</f>
        <v>0.00284537037037037</v>
      </c>
      <c r="J329" s="17" t="n">
        <f aca="false">IF(INDEX(選手一覧!$K$7:$K$2738,$F329)="","",INDEX(選手一覧!$K$7:$K$2738,$F329))</f>
        <v>539</v>
      </c>
    </row>
    <row r="330" customFormat="false" ht="15" hidden="false" customHeight="false" outlineLevel="0" collapsed="false">
      <c r="A330" s="17" t="n">
        <v>326</v>
      </c>
      <c r="B330" s="12" t="s">
        <v>606</v>
      </c>
      <c r="C330" s="12" t="s">
        <v>157</v>
      </c>
      <c r="D330" s="16" t="n">
        <v>0.0104841435185185</v>
      </c>
      <c r="E330" s="15" t="n">
        <f aca="false">ROUND((D330-$D$5)*86400,2)</f>
        <v>116.09</v>
      </c>
      <c r="F330" s="17" t="n">
        <v>325</v>
      </c>
      <c r="G330" s="16" t="n">
        <f aca="false">IF(INDEX(選手一覧!$H$7:$H$2738,$F330)="","",INDEX(選手一覧!$H$7:$H$2738,$F330))</f>
        <v>0.00640497685185185</v>
      </c>
      <c r="H330" s="17" t="n">
        <f aca="false">IF(INDEX(選手一覧!$I$7:$I$2738,$F330)="","",INDEX(選手一覧!$I$7:$I$2738,$F330))</f>
        <v>15</v>
      </c>
      <c r="I330" s="16" t="str">
        <f aca="false">IF(INDEX(選手一覧!$J$7:$J$2738,$F330)="","",INDEX(選手一覧!$J$7:$J$2738,$F330))</f>
        <v/>
      </c>
      <c r="J330" s="17" t="str">
        <f aca="false">IF(INDEX(選手一覧!$K$7:$K$2738,$F330)="","",INDEX(選手一覧!$K$7:$K$2738,$F330))</f>
        <v/>
      </c>
    </row>
    <row r="331" customFormat="false" ht="15" hidden="false" customHeight="false" outlineLevel="0" collapsed="false">
      <c r="A331" s="17" t="n">
        <v>327</v>
      </c>
      <c r="B331" s="12" t="s">
        <v>607</v>
      </c>
      <c r="C331" s="12" t="s">
        <v>141</v>
      </c>
      <c r="D331" s="16" t="n">
        <v>0.0104842592592593</v>
      </c>
      <c r="E331" s="15" t="n">
        <f aca="false">ROUND((D331-$D$5)*86400,2)</f>
        <v>116.1</v>
      </c>
      <c r="F331" s="17" t="n">
        <v>326</v>
      </c>
      <c r="G331" s="16" t="str">
        <f aca="false">IF(INDEX(選手一覧!$H$7:$H$2738,$F331)="","",INDEX(選手一覧!$H$7:$H$2738,$F331))</f>
        <v/>
      </c>
      <c r="H331" s="17" t="str">
        <f aca="false">IF(INDEX(選手一覧!$I$7:$I$2738,$F331)="","",INDEX(選手一覧!$I$7:$I$2738,$F331))</f>
        <v/>
      </c>
      <c r="I331" s="16" t="n">
        <f aca="false">IF(INDEX(選手一覧!$J$7:$J$2738,$F331)="","",INDEX(選手一覧!$J$7:$J$2738,$F331))</f>
        <v>0.00279872685185185</v>
      </c>
      <c r="J331" s="17" t="n">
        <f aca="false">IF(INDEX(選手一覧!$K$7:$K$2738,$F331)="","",INDEX(選手一覧!$K$7:$K$2738,$F331))</f>
        <v>276</v>
      </c>
    </row>
    <row r="332" customFormat="false" ht="15" hidden="false" customHeight="false" outlineLevel="0" collapsed="false">
      <c r="A332" s="17" t="n">
        <v>328</v>
      </c>
      <c r="B332" s="12" t="s">
        <v>608</v>
      </c>
      <c r="C332" s="12" t="s">
        <v>609</v>
      </c>
      <c r="D332" s="16" t="n">
        <v>0.0104847222222222</v>
      </c>
      <c r="E332" s="15" t="n">
        <f aca="false">ROUND((D332-$D$5)*86400,2)</f>
        <v>116.14</v>
      </c>
      <c r="F332" s="17" t="n">
        <v>327</v>
      </c>
      <c r="G332" s="16" t="n">
        <f aca="false">IF(INDEX(選手一覧!$H$7:$H$2738,$F332)="","",INDEX(選手一覧!$H$7:$H$2738,$F332))</f>
        <v>0.00649502314814815</v>
      </c>
      <c r="H332" s="17" t="n">
        <f aca="false">IF(INDEX(選手一覧!$I$7:$I$2738,$F332)="","",INDEX(選手一覧!$I$7:$I$2738,$F332))</f>
        <v>34</v>
      </c>
      <c r="I332" s="16" t="n">
        <f aca="false">IF(INDEX(選手一覧!$J$7:$J$2738,$F332)="","",INDEX(選手一覧!$J$7:$J$2738,$F332))</f>
        <v>0.00281458333333333</v>
      </c>
      <c r="J332" s="17" t="n">
        <f aca="false">IF(INDEX(選手一覧!$K$7:$K$2738,$F332)="","",INDEX(選手一覧!$K$7:$K$2738,$F332))</f>
        <v>342</v>
      </c>
    </row>
    <row r="333" customFormat="false" ht="15" hidden="false" customHeight="false" outlineLevel="0" collapsed="false">
      <c r="A333" s="17" t="n">
        <v>329</v>
      </c>
      <c r="B333" s="12" t="s">
        <v>610</v>
      </c>
      <c r="C333" s="12" t="s">
        <v>143</v>
      </c>
      <c r="D333" s="16" t="n">
        <v>0.0104857638888889</v>
      </c>
      <c r="E333" s="15" t="n">
        <f aca="false">ROUND((D333-$D$5)*86400,2)</f>
        <v>116.23</v>
      </c>
      <c r="F333" s="17" t="n">
        <v>328</v>
      </c>
      <c r="G333" s="16" t="n">
        <f aca="false">IF(INDEX(選手一覧!$H$7:$H$2738,$F333)="","",INDEX(選手一覧!$H$7:$H$2738,$F333))</f>
        <v>0.00780393518518519</v>
      </c>
      <c r="H333" s="17" t="n">
        <f aca="false">IF(INDEX(選手一覧!$I$7:$I$2738,$F333)="","",INDEX(選手一覧!$I$7:$I$2738,$F333))</f>
        <v>1136</v>
      </c>
      <c r="I333" s="16" t="str">
        <f aca="false">IF(INDEX(選手一覧!$J$7:$J$2738,$F333)="","",INDEX(選手一覧!$J$7:$J$2738,$F333))</f>
        <v/>
      </c>
      <c r="J333" s="17" t="str">
        <f aca="false">IF(INDEX(選手一覧!$K$7:$K$2738,$F333)="","",INDEX(選手一覧!$K$7:$K$2738,$F333))</f>
        <v/>
      </c>
    </row>
    <row r="334" customFormat="false" ht="15" hidden="false" customHeight="false" outlineLevel="0" collapsed="false">
      <c r="A334" s="17" t="n">
        <v>330</v>
      </c>
      <c r="B334" s="12" t="s">
        <v>611</v>
      </c>
      <c r="C334" s="12" t="s">
        <v>127</v>
      </c>
      <c r="D334" s="16" t="n">
        <v>0.0104890046296296</v>
      </c>
      <c r="E334" s="15" t="n">
        <f aca="false">ROUND((D334-$D$5)*86400,2)</f>
        <v>116.51</v>
      </c>
      <c r="F334" s="17" t="n">
        <v>329</v>
      </c>
      <c r="G334" s="16" t="str">
        <f aca="false">IF(INDEX(選手一覧!$H$7:$H$2738,$F334)="","",INDEX(選手一覧!$H$7:$H$2738,$F334))</f>
        <v/>
      </c>
      <c r="H334" s="17" t="str">
        <f aca="false">IF(INDEX(選手一覧!$I$7:$I$2738,$F334)="","",INDEX(選手一覧!$I$7:$I$2738,$F334))</f>
        <v/>
      </c>
      <c r="I334" s="16" t="n">
        <f aca="false">IF(INDEX(選手一覧!$J$7:$J$2738,$F334)="","",INDEX(選手一覧!$J$7:$J$2738,$F334))</f>
        <v>0.00284398148148148</v>
      </c>
      <c r="J334" s="17" t="n">
        <f aca="false">IF(INDEX(選手一覧!$K$7:$K$2738,$F334)="","",INDEX(選手一覧!$K$7:$K$2738,$F334))</f>
        <v>526</v>
      </c>
    </row>
    <row r="335" customFormat="false" ht="15" hidden="false" customHeight="false" outlineLevel="0" collapsed="false">
      <c r="A335" s="17" t="n">
        <v>331</v>
      </c>
      <c r="B335" s="12" t="s">
        <v>612</v>
      </c>
      <c r="C335" s="12" t="s">
        <v>613</v>
      </c>
      <c r="D335" s="16" t="n">
        <v>0.0104891203703704</v>
      </c>
      <c r="E335" s="15" t="n">
        <f aca="false">ROUND((D335-$D$5)*86400,2)</f>
        <v>116.52</v>
      </c>
      <c r="F335" s="17" t="n">
        <v>330</v>
      </c>
      <c r="G335" s="16" t="str">
        <f aca="false">IF(INDEX(選手一覧!$H$7:$H$2738,$F335)="","",INDEX(選手一覧!$H$7:$H$2738,$F335))</f>
        <v/>
      </c>
      <c r="H335" s="17" t="str">
        <f aca="false">IF(INDEX(選手一覧!$I$7:$I$2738,$F335)="","",INDEX(選手一覧!$I$7:$I$2738,$F335))</f>
        <v/>
      </c>
      <c r="I335" s="16" t="n">
        <f aca="false">IF(INDEX(選手一覧!$J$7:$J$2738,$F335)="","",INDEX(選手一覧!$J$7:$J$2738,$F335))</f>
        <v>0.00279965277777778</v>
      </c>
      <c r="J335" s="17" t="n">
        <f aca="false">IF(INDEX(選手一覧!$K$7:$K$2738,$F335)="","",INDEX(選手一覧!$K$7:$K$2738,$F335))</f>
        <v>282</v>
      </c>
    </row>
    <row r="336" customFormat="false" ht="15" hidden="false" customHeight="false" outlineLevel="0" collapsed="false">
      <c r="A336" s="17" t="n">
        <v>332</v>
      </c>
      <c r="B336" s="12" t="s">
        <v>614</v>
      </c>
      <c r="C336" s="12" t="s">
        <v>615</v>
      </c>
      <c r="D336" s="16" t="n">
        <v>0.0104902777777778</v>
      </c>
      <c r="E336" s="15" t="n">
        <f aca="false">ROUND((D336-$D$5)*86400,2)</f>
        <v>116.62</v>
      </c>
      <c r="F336" s="17" t="n">
        <v>331</v>
      </c>
      <c r="G336" s="16" t="str">
        <f aca="false">IF(INDEX(選手一覧!$H$7:$H$2738,$F336)="","",INDEX(選手一覧!$H$7:$H$2738,$F336))</f>
        <v/>
      </c>
      <c r="H336" s="17" t="str">
        <f aca="false">IF(INDEX(選手一覧!$I$7:$I$2738,$F336)="","",INDEX(選手一覧!$I$7:$I$2738,$F336))</f>
        <v/>
      </c>
      <c r="I336" s="16" t="str">
        <f aca="false">IF(INDEX(選手一覧!$J$7:$J$2738,$F336)="","",INDEX(選手一覧!$J$7:$J$2738,$F336))</f>
        <v/>
      </c>
      <c r="J336" s="17" t="str">
        <f aca="false">IF(INDEX(選手一覧!$K$7:$K$2738,$F336)="","",INDEX(選手一覧!$K$7:$K$2738,$F336))</f>
        <v/>
      </c>
    </row>
    <row r="337" customFormat="false" ht="15" hidden="false" customHeight="false" outlineLevel="0" collapsed="false">
      <c r="A337" s="17" t="n">
        <v>333</v>
      </c>
      <c r="B337" s="12" t="s">
        <v>616</v>
      </c>
      <c r="C337" s="12" t="s">
        <v>565</v>
      </c>
      <c r="D337" s="16" t="n">
        <v>0.0104903935185185</v>
      </c>
      <c r="E337" s="15" t="n">
        <f aca="false">ROUND((D337-$D$5)*86400,2)</f>
        <v>116.63</v>
      </c>
      <c r="F337" s="17" t="n">
        <v>332</v>
      </c>
      <c r="G337" s="16" t="n">
        <f aca="false">IF(INDEX(選手一覧!$H$7:$H$2738,$F337)="","",INDEX(選手一覧!$H$7:$H$2738,$F337))</f>
        <v>0.00670543981481482</v>
      </c>
      <c r="H337" s="17" t="n">
        <f aca="false">IF(INDEX(選手一覧!$I$7:$I$2738,$F337)="","",INDEX(選手一覧!$I$7:$I$2738,$F337))</f>
        <v>111</v>
      </c>
      <c r="I337" s="16" t="n">
        <f aca="false">IF(INDEX(選手一覧!$J$7:$J$2738,$F337)="","",INDEX(選手一覧!$J$7:$J$2738,$F337))</f>
        <v>0.00282905092592593</v>
      </c>
      <c r="J337" s="17" t="n">
        <f aca="false">IF(INDEX(選手一覧!$K$7:$K$2738,$F337)="","",INDEX(選手一覧!$K$7:$K$2738,$F337))</f>
        <v>419</v>
      </c>
    </row>
    <row r="338" customFormat="false" ht="15" hidden="false" customHeight="false" outlineLevel="0" collapsed="false">
      <c r="A338" s="17" t="n">
        <v>334</v>
      </c>
      <c r="B338" s="12" t="s">
        <v>617</v>
      </c>
      <c r="C338" s="12" t="s">
        <v>599</v>
      </c>
      <c r="D338" s="16" t="n">
        <v>0.0104907407407407</v>
      </c>
      <c r="E338" s="15" t="n">
        <f aca="false">ROUND((D338-$D$5)*86400,2)</f>
        <v>116.66</v>
      </c>
      <c r="F338" s="17" t="n">
        <v>333</v>
      </c>
      <c r="G338" s="16" t="n">
        <f aca="false">IF(INDEX(選手一覧!$H$7:$H$2738,$F338)="","",INDEX(選手一覧!$H$7:$H$2738,$F338))</f>
        <v>0.00690219907407407</v>
      </c>
      <c r="H338" s="17" t="n">
        <f aca="false">IF(INDEX(選手一覧!$I$7:$I$2738,$F338)="","",INDEX(選手一覧!$I$7:$I$2738,$F338))</f>
        <v>245</v>
      </c>
      <c r="I338" s="16" t="n">
        <f aca="false">IF(INDEX(選手一覧!$J$7:$J$2738,$F338)="","",INDEX(選手一覧!$J$7:$J$2738,$F338))</f>
        <v>0.00289733796296296</v>
      </c>
      <c r="J338" s="17" t="n">
        <f aca="false">IF(INDEX(選手一覧!$K$7:$K$2738,$F338)="","",INDEX(選手一覧!$K$7:$K$2738,$F338))</f>
        <v>928</v>
      </c>
    </row>
    <row r="339" customFormat="false" ht="15" hidden="false" customHeight="false" outlineLevel="0" collapsed="false">
      <c r="A339" s="17" t="n">
        <v>335</v>
      </c>
      <c r="B339" s="12" t="s">
        <v>618</v>
      </c>
      <c r="C339" s="12" t="s">
        <v>619</v>
      </c>
      <c r="D339" s="16" t="n">
        <v>0.0104908564814815</v>
      </c>
      <c r="E339" s="15" t="n">
        <f aca="false">ROUND((D339-$D$5)*86400,2)</f>
        <v>116.67</v>
      </c>
      <c r="F339" s="17" t="n">
        <v>334</v>
      </c>
      <c r="G339" s="16" t="str">
        <f aca="false">IF(INDEX(選手一覧!$H$7:$H$2738,$F339)="","",INDEX(選手一覧!$H$7:$H$2738,$F339))</f>
        <v/>
      </c>
      <c r="H339" s="17" t="str">
        <f aca="false">IF(INDEX(選手一覧!$I$7:$I$2738,$F339)="","",INDEX(選手一覧!$I$7:$I$2738,$F339))</f>
        <v/>
      </c>
      <c r="I339" s="16" t="n">
        <f aca="false">IF(INDEX(選手一覧!$J$7:$J$2738,$F339)="","",INDEX(選手一覧!$J$7:$J$2738,$F339))</f>
        <v>0.00284085648148148</v>
      </c>
      <c r="J339" s="17" t="n">
        <f aca="false">IF(INDEX(選手一覧!$K$7:$K$2738,$F339)="","",INDEX(選手一覧!$K$7:$K$2738,$F339))</f>
        <v>505</v>
      </c>
    </row>
    <row r="340" customFormat="false" ht="15" hidden="false" customHeight="false" outlineLevel="0" collapsed="false">
      <c r="A340" s="17" t="n">
        <v>336</v>
      </c>
      <c r="B340" s="12" t="s">
        <v>621</v>
      </c>
      <c r="C340" s="12" t="s">
        <v>245</v>
      </c>
      <c r="D340" s="16" t="n">
        <v>0.0104916666666667</v>
      </c>
      <c r="E340" s="15" t="n">
        <f aca="false">ROUND((D340-$D$5)*86400,2)</f>
        <v>116.74</v>
      </c>
      <c r="F340" s="17" t="n">
        <v>335</v>
      </c>
      <c r="G340" s="16" t="str">
        <f aca="false">IF(INDEX(選手一覧!$H$7:$H$2738,$F340)="","",INDEX(選手一覧!$H$7:$H$2738,$F340))</f>
        <v/>
      </c>
      <c r="H340" s="17" t="str">
        <f aca="false">IF(INDEX(選手一覧!$I$7:$I$2738,$F340)="","",INDEX(選手一覧!$I$7:$I$2738,$F340))</f>
        <v/>
      </c>
      <c r="I340" s="16" t="n">
        <f aca="false">IF(INDEX(選手一覧!$J$7:$J$2738,$F340)="","",INDEX(選手一覧!$J$7:$J$2738,$F340))</f>
        <v>0.002778125</v>
      </c>
      <c r="J340" s="17" t="n">
        <f aca="false">IF(INDEX(選手一覧!$K$7:$K$2738,$F340)="","",INDEX(選手一覧!$K$7:$K$2738,$F340))</f>
        <v>191</v>
      </c>
    </row>
    <row r="341" customFormat="false" ht="15" hidden="false" customHeight="false" outlineLevel="0" collapsed="false">
      <c r="A341" s="17" t="n">
        <v>337</v>
      </c>
      <c r="B341" s="12" t="s">
        <v>622</v>
      </c>
      <c r="C341" s="12" t="s">
        <v>623</v>
      </c>
      <c r="D341" s="16" t="n">
        <v>0.0104947916666667</v>
      </c>
      <c r="E341" s="15" t="n">
        <f aca="false">ROUND((D341-$D$5)*86400,2)</f>
        <v>117.01</v>
      </c>
      <c r="F341" s="17" t="n">
        <v>336</v>
      </c>
      <c r="G341" s="16" t="str">
        <f aca="false">IF(INDEX(選手一覧!$H$7:$H$2738,$F341)="","",INDEX(選手一覧!$H$7:$H$2738,$F341))</f>
        <v/>
      </c>
      <c r="H341" s="17" t="str">
        <f aca="false">IF(INDEX(選手一覧!$I$7:$I$2738,$F341)="","",INDEX(選手一覧!$I$7:$I$2738,$F341))</f>
        <v/>
      </c>
      <c r="I341" s="16" t="n">
        <f aca="false">IF(INDEX(選手一覧!$J$7:$J$2738,$F341)="","",INDEX(選手一覧!$J$7:$J$2738,$F341))</f>
        <v>0.00279537037037037</v>
      </c>
      <c r="J341" s="17" t="n">
        <f aca="false">IF(INDEX(選手一覧!$K$7:$K$2738,$F341)="","",INDEX(選手一覧!$K$7:$K$2738,$F341))</f>
        <v>261</v>
      </c>
    </row>
    <row r="342" customFormat="false" ht="15" hidden="false" customHeight="false" outlineLevel="0" collapsed="false">
      <c r="A342" s="17" t="n">
        <v>338</v>
      </c>
      <c r="B342" s="12" t="s">
        <v>625</v>
      </c>
      <c r="C342" s="12" t="s">
        <v>214</v>
      </c>
      <c r="D342" s="16" t="n">
        <v>0.0104962962962963</v>
      </c>
      <c r="E342" s="15" t="n">
        <f aca="false">ROUND((D342-$D$5)*86400,2)</f>
        <v>117.14</v>
      </c>
      <c r="F342" s="17" t="n">
        <v>337</v>
      </c>
      <c r="G342" s="16" t="n">
        <f aca="false">IF(INDEX(選手一覧!$H$7:$H$2738,$F342)="","",INDEX(選手一覧!$H$7:$H$2738,$F342))</f>
        <v>0.00663680555555556</v>
      </c>
      <c r="H342" s="17" t="n">
        <f aca="false">IF(INDEX(選手一覧!$I$7:$I$2738,$F342)="","",INDEX(選手一覧!$I$7:$I$2738,$F342))</f>
        <v>76</v>
      </c>
      <c r="I342" s="16" t="n">
        <f aca="false">IF(INDEX(選手一覧!$J$7:$J$2738,$F342)="","",INDEX(選手一覧!$J$7:$J$2738,$F342))</f>
        <v>0.00287071759259259</v>
      </c>
      <c r="J342" s="17" t="n">
        <f aca="false">IF(INDEX(選手一覧!$K$7:$K$2738,$F342)="","",INDEX(選手一覧!$K$7:$K$2738,$F342))</f>
        <v>701</v>
      </c>
    </row>
    <row r="343" customFormat="false" ht="15" hidden="false" customHeight="false" outlineLevel="0" collapsed="false">
      <c r="A343" s="17" t="n">
        <v>339</v>
      </c>
      <c r="B343" s="12" t="s">
        <v>626</v>
      </c>
      <c r="C343" s="12" t="s">
        <v>561</v>
      </c>
      <c r="D343" s="16" t="n">
        <v>0.0104969907407407</v>
      </c>
      <c r="E343" s="15" t="n">
        <f aca="false">ROUND((D343-$D$5)*86400,2)</f>
        <v>117.2</v>
      </c>
      <c r="F343" s="17" t="n">
        <v>338</v>
      </c>
      <c r="G343" s="16" t="str">
        <f aca="false">IF(INDEX(選手一覧!$H$7:$H$2738,$F343)="","",INDEX(選手一覧!$H$7:$H$2738,$F343))</f>
        <v/>
      </c>
      <c r="H343" s="17" t="str">
        <f aca="false">IF(INDEX(選手一覧!$I$7:$I$2738,$F343)="","",INDEX(選手一覧!$I$7:$I$2738,$F343))</f>
        <v/>
      </c>
      <c r="I343" s="16" t="n">
        <f aca="false">IF(INDEX(選手一覧!$J$7:$J$2738,$F343)="","",INDEX(選手一覧!$J$7:$J$2738,$F343))</f>
        <v>0.00287488425925926</v>
      </c>
      <c r="J343" s="17" t="n">
        <f aca="false">IF(INDEX(選手一覧!$K$7:$K$2738,$F343)="","",INDEX(選手一覧!$K$7:$K$2738,$F343))</f>
        <v>734</v>
      </c>
    </row>
    <row r="344" customFormat="false" ht="15" hidden="false" customHeight="false" outlineLevel="0" collapsed="false">
      <c r="A344" s="17" t="n">
        <v>340</v>
      </c>
      <c r="B344" s="12" t="s">
        <v>628</v>
      </c>
      <c r="C344" s="12" t="s">
        <v>629</v>
      </c>
      <c r="D344" s="16" t="n">
        <v>0.010499537037037</v>
      </c>
      <c r="E344" s="15" t="n">
        <f aca="false">ROUND((D344-$D$5)*86400,2)</f>
        <v>117.42</v>
      </c>
      <c r="F344" s="17" t="n">
        <v>339</v>
      </c>
      <c r="G344" s="16" t="n">
        <f aca="false">IF(INDEX(選手一覧!$H$7:$H$2738,$F344)="","",INDEX(選手一覧!$H$7:$H$2738,$F344))</f>
        <v>0.00748032407407407</v>
      </c>
      <c r="H344" s="17" t="n">
        <f aca="false">IF(INDEX(選手一覧!$I$7:$I$2738,$F344)="","",INDEX(選手一覧!$I$7:$I$2738,$F344))</f>
        <v>869</v>
      </c>
      <c r="I344" s="16" t="n">
        <f aca="false">IF(INDEX(選手一覧!$J$7:$J$2738,$F344)="","",INDEX(選手一覧!$J$7:$J$2738,$F344))</f>
        <v>0.00282233796296296</v>
      </c>
      <c r="J344" s="17" t="n">
        <f aca="false">IF(INDEX(選手一覧!$K$7:$K$2738,$F344)="","",INDEX(選手一覧!$K$7:$K$2738,$F344))</f>
        <v>378</v>
      </c>
    </row>
    <row r="345" customFormat="false" ht="15" hidden="false" customHeight="false" outlineLevel="0" collapsed="false">
      <c r="A345" s="17" t="n">
        <v>341</v>
      </c>
      <c r="B345" s="12" t="s">
        <v>631</v>
      </c>
      <c r="C345" s="12" t="s">
        <v>632</v>
      </c>
      <c r="D345" s="16" t="n">
        <v>0.010500462962963</v>
      </c>
      <c r="E345" s="15" t="n">
        <f aca="false">ROUND((D345-$D$5)*86400,2)</f>
        <v>117.5</v>
      </c>
      <c r="F345" s="17" t="n">
        <v>340</v>
      </c>
      <c r="G345" s="16" t="n">
        <f aca="false">IF(INDEX(選手一覧!$H$7:$H$2738,$F345)="","",INDEX(選手一覧!$H$7:$H$2738,$F345))</f>
        <v>0.00697106481481481</v>
      </c>
      <c r="H345" s="17" t="n">
        <f aca="false">IF(INDEX(選手一覧!$I$7:$I$2738,$F345)="","",INDEX(選手一覧!$I$7:$I$2738,$F345))</f>
        <v>306</v>
      </c>
      <c r="I345" s="16" t="str">
        <f aca="false">IF(INDEX(選手一覧!$J$7:$J$2738,$F345)="","",INDEX(選手一覧!$J$7:$J$2738,$F345))</f>
        <v/>
      </c>
      <c r="J345" s="17" t="str">
        <f aca="false">IF(INDEX(選手一覧!$K$7:$K$2738,$F345)="","",INDEX(選手一覧!$K$7:$K$2738,$F345))</f>
        <v/>
      </c>
    </row>
    <row r="346" customFormat="false" ht="15" hidden="false" customHeight="false" outlineLevel="0" collapsed="false">
      <c r="A346" s="17" t="n">
        <v>342</v>
      </c>
      <c r="B346" s="12" t="s">
        <v>634</v>
      </c>
      <c r="C346" s="12" t="s">
        <v>248</v>
      </c>
      <c r="D346" s="16" t="n">
        <v>0.0105012731481482</v>
      </c>
      <c r="E346" s="15" t="n">
        <f aca="false">ROUND((D346-$D$5)*86400,2)</f>
        <v>117.57</v>
      </c>
      <c r="F346" s="17" t="n">
        <v>341</v>
      </c>
      <c r="G346" s="16" t="str">
        <f aca="false">IF(INDEX(選手一覧!$H$7:$H$2738,$F346)="","",INDEX(選手一覧!$H$7:$H$2738,$F346))</f>
        <v/>
      </c>
      <c r="H346" s="17" t="str">
        <f aca="false">IF(INDEX(選手一覧!$I$7:$I$2738,$F346)="","",INDEX(選手一覧!$I$7:$I$2738,$F346))</f>
        <v/>
      </c>
      <c r="I346" s="16" t="str">
        <f aca="false">IF(INDEX(選手一覧!$J$7:$J$2738,$F346)="","",INDEX(選手一覧!$J$7:$J$2738,$F346))</f>
        <v/>
      </c>
      <c r="J346" s="17" t="str">
        <f aca="false">IF(INDEX(選手一覧!$K$7:$K$2738,$F346)="","",INDEX(選手一覧!$K$7:$K$2738,$F346))</f>
        <v/>
      </c>
    </row>
    <row r="347" customFormat="false" ht="15" hidden="false" customHeight="false" outlineLevel="0" collapsed="false">
      <c r="A347" s="17" t="n">
        <v>343</v>
      </c>
      <c r="B347" s="12" t="s">
        <v>635</v>
      </c>
      <c r="C347" s="12" t="s">
        <v>135</v>
      </c>
      <c r="D347" s="16" t="n">
        <v>0.0105037037037037</v>
      </c>
      <c r="E347" s="15" t="n">
        <f aca="false">ROUND((D347-$D$5)*86400,2)</f>
        <v>117.78</v>
      </c>
      <c r="F347" s="17" t="n">
        <v>342</v>
      </c>
      <c r="G347" s="16" t="n">
        <f aca="false">IF(INDEX(選手一覧!$H$7:$H$2738,$F347)="","",INDEX(選手一覧!$H$7:$H$2738,$F347))</f>
        <v>0.00676122685185185</v>
      </c>
      <c r="H347" s="17" t="n">
        <f aca="false">IF(INDEX(選手一覧!$I$7:$I$2738,$F347)="","",INDEX(選手一覧!$I$7:$I$2738,$F347))</f>
        <v>137</v>
      </c>
      <c r="I347" s="16" t="n">
        <f aca="false">IF(INDEX(選手一覧!$J$7:$J$2738,$F347)="","",INDEX(選手一覧!$J$7:$J$2738,$F347))</f>
        <v>0.00281898148148148</v>
      </c>
      <c r="J347" s="17" t="n">
        <f aca="false">IF(INDEX(選手一覧!$K$7:$K$2738,$F347)="","",INDEX(選手一覧!$K$7:$K$2738,$F347))</f>
        <v>359</v>
      </c>
    </row>
    <row r="348" customFormat="false" ht="15" hidden="false" customHeight="false" outlineLevel="0" collapsed="false">
      <c r="A348" s="17" t="n">
        <v>344</v>
      </c>
      <c r="B348" s="12" t="s">
        <v>636</v>
      </c>
      <c r="C348" s="12" t="s">
        <v>37</v>
      </c>
      <c r="D348" s="16" t="n">
        <v>0.0105041666666667</v>
      </c>
      <c r="E348" s="15" t="n">
        <f aca="false">ROUND((D348-$D$5)*86400,2)</f>
        <v>117.82</v>
      </c>
      <c r="F348" s="17" t="n">
        <v>343</v>
      </c>
      <c r="G348" s="16" t="str">
        <f aca="false">IF(INDEX(選手一覧!$H$7:$H$2738,$F348)="","",INDEX(選手一覧!$H$7:$H$2738,$F348))</f>
        <v/>
      </c>
      <c r="H348" s="17" t="str">
        <f aca="false">IF(INDEX(選手一覧!$I$7:$I$2738,$F348)="","",INDEX(選手一覧!$I$7:$I$2738,$F348))</f>
        <v/>
      </c>
      <c r="I348" s="16" t="n">
        <f aca="false">IF(INDEX(選手一覧!$J$7:$J$2738,$F348)="","",INDEX(選手一覧!$J$7:$J$2738,$F348))</f>
        <v>0.00281712962962963</v>
      </c>
      <c r="J348" s="17" t="n">
        <f aca="false">IF(INDEX(選手一覧!$K$7:$K$2738,$F348)="","",INDEX(選手一覧!$K$7:$K$2738,$F348))</f>
        <v>351</v>
      </c>
    </row>
    <row r="349" customFormat="false" ht="15" hidden="false" customHeight="false" outlineLevel="0" collapsed="false">
      <c r="A349" s="17" t="n">
        <v>345</v>
      </c>
      <c r="B349" s="12" t="s">
        <v>637</v>
      </c>
      <c r="C349" s="12" t="s">
        <v>601</v>
      </c>
      <c r="D349" s="16" t="n">
        <v>0.0105046296296296</v>
      </c>
      <c r="E349" s="15" t="n">
        <f aca="false">ROUND((D349-$D$5)*86400,2)</f>
        <v>117.86</v>
      </c>
      <c r="F349" s="17" t="n">
        <v>344</v>
      </c>
      <c r="G349" s="16" t="str">
        <f aca="false">IF(INDEX(選手一覧!$H$7:$H$2738,$F349)="","",INDEX(選手一覧!$H$7:$H$2738,$F349))</f>
        <v/>
      </c>
      <c r="H349" s="17" t="str">
        <f aca="false">IF(INDEX(選手一覧!$I$7:$I$2738,$F349)="","",INDEX(選手一覧!$I$7:$I$2738,$F349))</f>
        <v/>
      </c>
      <c r="I349" s="16" t="n">
        <f aca="false">IF(INDEX(選手一覧!$J$7:$J$2738,$F349)="","",INDEX(選手一覧!$J$7:$J$2738,$F349))</f>
        <v>0.002940625</v>
      </c>
      <c r="J349" s="17" t="n">
        <f aca="false">IF(INDEX(選手一覧!$K$7:$K$2738,$F349)="","",INDEX(選手一覧!$K$7:$K$2738,$F349))</f>
        <v>1201</v>
      </c>
    </row>
    <row r="350" customFormat="false" ht="15" hidden="false" customHeight="false" outlineLevel="0" collapsed="false">
      <c r="A350" s="17" t="n">
        <v>346</v>
      </c>
      <c r="B350" s="12" t="s">
        <v>638</v>
      </c>
      <c r="C350" s="12" t="s">
        <v>96</v>
      </c>
      <c r="D350" s="16" t="n">
        <v>0.0105052083333333</v>
      </c>
      <c r="E350" s="15" t="n">
        <f aca="false">ROUND((D350-$D$5)*86400,2)</f>
        <v>117.91</v>
      </c>
      <c r="F350" s="17" t="n">
        <v>345</v>
      </c>
      <c r="G350" s="16" t="str">
        <f aca="false">IF(INDEX(選手一覧!$H$7:$H$2738,$F350)="","",INDEX(選手一覧!$H$7:$H$2738,$F350))</f>
        <v/>
      </c>
      <c r="H350" s="17" t="str">
        <f aca="false">IF(INDEX(選手一覧!$I$7:$I$2738,$F350)="","",INDEX(選手一覧!$I$7:$I$2738,$F350))</f>
        <v/>
      </c>
      <c r="I350" s="16" t="str">
        <f aca="false">IF(INDEX(選手一覧!$J$7:$J$2738,$F350)="","",INDEX(選手一覧!$J$7:$J$2738,$F350))</f>
        <v/>
      </c>
      <c r="J350" s="17" t="str">
        <f aca="false">IF(INDEX(選手一覧!$K$7:$K$2738,$F350)="","",INDEX(選手一覧!$K$7:$K$2738,$F350))</f>
        <v/>
      </c>
    </row>
    <row r="351" customFormat="false" ht="15" hidden="false" customHeight="false" outlineLevel="0" collapsed="false">
      <c r="A351" s="17" t="n">
        <v>347</v>
      </c>
      <c r="B351" s="12" t="s">
        <v>639</v>
      </c>
      <c r="C351" s="12" t="s">
        <v>281</v>
      </c>
      <c r="D351" s="16" t="n">
        <v>0.010505787037037</v>
      </c>
      <c r="E351" s="15" t="n">
        <f aca="false">ROUND((D351-$D$5)*86400,2)</f>
        <v>117.96</v>
      </c>
      <c r="F351" s="17" t="n">
        <v>346</v>
      </c>
      <c r="G351" s="16" t="str">
        <f aca="false">IF(INDEX(選手一覧!$H$7:$H$2738,$F351)="","",INDEX(選手一覧!$H$7:$H$2738,$F351))</f>
        <v/>
      </c>
      <c r="H351" s="17" t="str">
        <f aca="false">IF(INDEX(選手一覧!$I$7:$I$2738,$F351)="","",INDEX(選手一覧!$I$7:$I$2738,$F351))</f>
        <v/>
      </c>
      <c r="I351" s="16" t="str">
        <f aca="false">IF(INDEX(選手一覧!$J$7:$J$2738,$F351)="","",INDEX(選手一覧!$J$7:$J$2738,$F351))</f>
        <v/>
      </c>
      <c r="J351" s="17" t="str">
        <f aca="false">IF(INDEX(選手一覧!$K$7:$K$2738,$F351)="","",INDEX(選手一覧!$K$7:$K$2738,$F351))</f>
        <v/>
      </c>
    </row>
    <row r="352" customFormat="false" ht="15" hidden="false" customHeight="false" outlineLevel="0" collapsed="false">
      <c r="A352" s="17" t="n">
        <v>348</v>
      </c>
      <c r="B352" s="12" t="s">
        <v>640</v>
      </c>
      <c r="C352" s="12" t="s">
        <v>195</v>
      </c>
      <c r="D352" s="16" t="n">
        <v>0.0105081018518519</v>
      </c>
      <c r="E352" s="15" t="n">
        <f aca="false">ROUND((D352-$D$5)*86400,2)</f>
        <v>118.16</v>
      </c>
      <c r="F352" s="17" t="n">
        <v>347</v>
      </c>
      <c r="G352" s="16" t="str">
        <f aca="false">IF(INDEX(選手一覧!$H$7:$H$2738,$F352)="","",INDEX(選手一覧!$H$7:$H$2738,$F352))</f>
        <v/>
      </c>
      <c r="H352" s="17" t="str">
        <f aca="false">IF(INDEX(選手一覧!$I$7:$I$2738,$F352)="","",INDEX(選手一覧!$I$7:$I$2738,$F352))</f>
        <v/>
      </c>
      <c r="I352" s="16" t="n">
        <f aca="false">IF(INDEX(選手一覧!$J$7:$J$2738,$F352)="","",INDEX(選手一覧!$J$7:$J$2738,$F352))</f>
        <v>0.00279618055555556</v>
      </c>
      <c r="J352" s="17" t="n">
        <f aca="false">IF(INDEX(選手一覧!$K$7:$K$2738,$F352)="","",INDEX(選手一覧!$K$7:$K$2738,$F352))</f>
        <v>267</v>
      </c>
    </row>
    <row r="353" customFormat="false" ht="15" hidden="false" customHeight="false" outlineLevel="0" collapsed="false">
      <c r="A353" s="17" t="n">
        <v>349</v>
      </c>
      <c r="B353" s="12" t="s">
        <v>641</v>
      </c>
      <c r="C353" s="12" t="s">
        <v>575</v>
      </c>
      <c r="D353" s="16" t="n">
        <v>0.0105109953703704</v>
      </c>
      <c r="E353" s="15" t="n">
        <f aca="false">ROUND((D353-$D$5)*86400,2)</f>
        <v>118.41</v>
      </c>
      <c r="F353" s="17" t="n">
        <v>348</v>
      </c>
      <c r="G353" s="16" t="str">
        <f aca="false">IF(INDEX(選手一覧!$H$7:$H$2738,$F353)="","",INDEX(選手一覧!$H$7:$H$2738,$F353))</f>
        <v/>
      </c>
      <c r="H353" s="17" t="str">
        <f aca="false">IF(INDEX(選手一覧!$I$7:$I$2738,$F353)="","",INDEX(選手一覧!$I$7:$I$2738,$F353))</f>
        <v/>
      </c>
      <c r="I353" s="16" t="n">
        <f aca="false">IF(INDEX(選手一覧!$J$7:$J$2738,$F353)="","",INDEX(選手一覧!$J$7:$J$2738,$F353))</f>
        <v>0.00290497685185185</v>
      </c>
      <c r="J353" s="17" t="n">
        <f aca="false">IF(INDEX(選手一覧!$K$7:$K$2738,$F353)="","",INDEX(選手一覧!$K$7:$K$2738,$F353))</f>
        <v>983</v>
      </c>
    </row>
    <row r="354" customFormat="false" ht="15" hidden="false" customHeight="false" outlineLevel="0" collapsed="false">
      <c r="A354" s="17" t="n">
        <v>350</v>
      </c>
      <c r="B354" s="12" t="s">
        <v>642</v>
      </c>
      <c r="C354" s="12" t="s">
        <v>87</v>
      </c>
      <c r="D354" s="16" t="n">
        <v>0.0105109953703704</v>
      </c>
      <c r="E354" s="15" t="n">
        <f aca="false">ROUND((D354-$D$5)*86400,2)</f>
        <v>118.41</v>
      </c>
      <c r="F354" s="17" t="n">
        <v>349</v>
      </c>
      <c r="G354" s="16" t="n">
        <f aca="false">IF(INDEX(選手一覧!$H$7:$H$2738,$F354)="","",INDEX(選手一覧!$H$7:$H$2738,$F354))</f>
        <v>0.00703599537037037</v>
      </c>
      <c r="H354" s="17" t="n">
        <f aca="false">IF(INDEX(選手一覧!$I$7:$I$2738,$F354)="","",INDEX(選手一覧!$I$7:$I$2738,$F354))</f>
        <v>367</v>
      </c>
      <c r="I354" s="16" t="str">
        <f aca="false">IF(INDEX(選手一覧!$J$7:$J$2738,$F354)="","",INDEX(選手一覧!$J$7:$J$2738,$F354))</f>
        <v/>
      </c>
      <c r="J354" s="17" t="str">
        <f aca="false">IF(INDEX(選手一覧!$K$7:$K$2738,$F354)="","",INDEX(選手一覧!$K$7:$K$2738,$F354))</f>
        <v/>
      </c>
    </row>
    <row r="355" customFormat="false" ht="15" hidden="false" customHeight="false" outlineLevel="0" collapsed="false">
      <c r="A355" s="17" t="n">
        <v>351</v>
      </c>
      <c r="B355" s="12" t="s">
        <v>643</v>
      </c>
      <c r="C355" s="12" t="s">
        <v>77</v>
      </c>
      <c r="D355" s="16" t="n">
        <v>0.0105115740740741</v>
      </c>
      <c r="E355" s="15" t="n">
        <f aca="false">ROUND((D355-$D$5)*86400,2)</f>
        <v>118.46</v>
      </c>
      <c r="F355" s="17" t="n">
        <v>350</v>
      </c>
      <c r="G355" s="16" t="n">
        <f aca="false">IF(INDEX(選手一覧!$H$7:$H$2738,$F355)="","",INDEX(選手一覧!$H$7:$H$2738,$F355))</f>
        <v>0.006559375</v>
      </c>
      <c r="H355" s="17" t="n">
        <f aca="false">IF(INDEX(選手一覧!$I$7:$I$2738,$F355)="","",INDEX(選手一覧!$I$7:$I$2738,$F355))</f>
        <v>47</v>
      </c>
      <c r="I355" s="16" t="n">
        <f aca="false">IF(INDEX(選手一覧!$J$7:$J$2738,$F355)="","",INDEX(選手一覧!$J$7:$J$2738,$F355))</f>
        <v>0.00293391203703704</v>
      </c>
      <c r="J355" s="17" t="n">
        <f aca="false">IF(INDEX(選手一覧!$K$7:$K$2738,$F355)="","",INDEX(選手一覧!$K$7:$K$2738,$F355))</f>
        <v>1182</v>
      </c>
    </row>
    <row r="356" customFormat="false" ht="15" hidden="false" customHeight="false" outlineLevel="0" collapsed="false">
      <c r="A356" s="17" t="n">
        <v>352</v>
      </c>
      <c r="B356" s="12" t="s">
        <v>645</v>
      </c>
      <c r="C356" s="12" t="s">
        <v>245</v>
      </c>
      <c r="D356" s="16" t="n">
        <v>0.0105116898148148</v>
      </c>
      <c r="E356" s="15" t="n">
        <f aca="false">ROUND((D356-$D$5)*86400,2)</f>
        <v>118.47</v>
      </c>
      <c r="F356" s="17" t="n">
        <v>351</v>
      </c>
      <c r="G356" s="16" t="n">
        <f aca="false">IF(INDEX(選手一覧!$H$7:$H$2738,$F356)="","",INDEX(選手一覧!$H$7:$H$2738,$F356))</f>
        <v>0.00655925925925926</v>
      </c>
      <c r="H356" s="17" t="n">
        <f aca="false">IF(INDEX(選手一覧!$I$7:$I$2738,$F356)="","",INDEX(選手一覧!$I$7:$I$2738,$F356))</f>
        <v>46</v>
      </c>
      <c r="I356" s="16" t="n">
        <f aca="false">IF(INDEX(選手一覧!$J$7:$J$2738,$F356)="","",INDEX(選手一覧!$J$7:$J$2738,$F356))</f>
        <v>0.00283414351851852</v>
      </c>
      <c r="J356" s="17" t="n">
        <f aca="false">IF(INDEX(選手一覧!$K$7:$K$2738,$F356)="","",INDEX(選手一覧!$K$7:$K$2738,$F356))</f>
        <v>451</v>
      </c>
    </row>
    <row r="357" customFormat="false" ht="15" hidden="false" customHeight="false" outlineLevel="0" collapsed="false">
      <c r="A357" s="17" t="n">
        <v>353</v>
      </c>
      <c r="B357" s="12" t="s">
        <v>647</v>
      </c>
      <c r="C357" s="12" t="s">
        <v>648</v>
      </c>
      <c r="D357" s="16" t="n">
        <v>0.0105118055555556</v>
      </c>
      <c r="E357" s="15" t="n">
        <f aca="false">ROUND((D357-$D$5)*86400,2)</f>
        <v>118.48</v>
      </c>
      <c r="F357" s="17" t="n">
        <v>352</v>
      </c>
      <c r="G357" s="16" t="str">
        <f aca="false">IF(INDEX(選手一覧!$H$7:$H$2738,$F357)="","",INDEX(選手一覧!$H$7:$H$2738,$F357))</f>
        <v/>
      </c>
      <c r="H357" s="17" t="str">
        <f aca="false">IF(INDEX(選手一覧!$I$7:$I$2738,$F357)="","",INDEX(選手一覧!$I$7:$I$2738,$F357))</f>
        <v/>
      </c>
      <c r="I357" s="16" t="n">
        <f aca="false">IF(INDEX(選手一覧!$J$7:$J$2738,$F357)="","",INDEX(選手一覧!$J$7:$J$2738,$F357))</f>
        <v>0.00279097222222222</v>
      </c>
      <c r="J357" s="17" t="n">
        <f aca="false">IF(INDEX(選手一覧!$K$7:$K$2738,$F357)="","",INDEX(選手一覧!$K$7:$K$2738,$F357))</f>
        <v>244</v>
      </c>
    </row>
    <row r="358" customFormat="false" ht="15" hidden="false" customHeight="false" outlineLevel="0" collapsed="false">
      <c r="A358" s="17" t="n">
        <v>354</v>
      </c>
      <c r="B358" s="12" t="s">
        <v>650</v>
      </c>
      <c r="C358" s="12" t="s">
        <v>469</v>
      </c>
      <c r="D358" s="16" t="n">
        <v>0.0105118055555556</v>
      </c>
      <c r="E358" s="15" t="n">
        <f aca="false">ROUND((D358-$D$5)*86400,2)</f>
        <v>118.48</v>
      </c>
      <c r="F358" s="17" t="n">
        <v>353</v>
      </c>
      <c r="G358" s="16" t="str">
        <f aca="false">IF(INDEX(選手一覧!$H$7:$H$2738,$F358)="","",INDEX(選手一覧!$H$7:$H$2738,$F358))</f>
        <v/>
      </c>
      <c r="H358" s="17" t="str">
        <f aca="false">IF(INDEX(選手一覧!$I$7:$I$2738,$F358)="","",INDEX(選手一覧!$I$7:$I$2738,$F358))</f>
        <v/>
      </c>
      <c r="I358" s="16" t="n">
        <f aca="false">IF(INDEX(選手一覧!$J$7:$J$2738,$F358)="","",INDEX(選手一覧!$J$7:$J$2738,$F358))</f>
        <v>0.00277939814814815</v>
      </c>
      <c r="J358" s="17" t="n">
        <f aca="false">IF(INDEX(選手一覧!$K$7:$K$2738,$F358)="","",INDEX(選手一覧!$K$7:$K$2738,$F358))</f>
        <v>198</v>
      </c>
    </row>
    <row r="359" customFormat="false" ht="15" hidden="false" customHeight="false" outlineLevel="0" collapsed="false">
      <c r="A359" s="17" t="n">
        <v>355</v>
      </c>
      <c r="B359" s="12" t="s">
        <v>651</v>
      </c>
      <c r="C359" s="12" t="s">
        <v>103</v>
      </c>
      <c r="D359" s="16" t="n">
        <v>0.0105134259259259</v>
      </c>
      <c r="E359" s="15" t="n">
        <f aca="false">ROUND((D359-$D$5)*86400,2)</f>
        <v>118.62</v>
      </c>
      <c r="F359" s="17" t="n">
        <v>354</v>
      </c>
      <c r="G359" s="16" t="str">
        <f aca="false">IF(INDEX(選手一覧!$H$7:$H$2738,$F359)="","",INDEX(選手一覧!$H$7:$H$2738,$F359))</f>
        <v/>
      </c>
      <c r="H359" s="17" t="str">
        <f aca="false">IF(INDEX(選手一覧!$I$7:$I$2738,$F359)="","",INDEX(選手一覧!$I$7:$I$2738,$F359))</f>
        <v/>
      </c>
      <c r="I359" s="16" t="n">
        <f aca="false">IF(INDEX(選手一覧!$J$7:$J$2738,$F359)="","",INDEX(選手一覧!$J$7:$J$2738,$F359))</f>
        <v>0.00275243055555556</v>
      </c>
      <c r="J359" s="17" t="n">
        <f aca="false">IF(INDEX(選手一覧!$K$7:$K$2738,$F359)="","",INDEX(選手一覧!$K$7:$K$2738,$F359))</f>
        <v>109</v>
      </c>
    </row>
    <row r="360" customFormat="false" ht="15" hidden="false" customHeight="false" outlineLevel="0" collapsed="false">
      <c r="A360" s="17" t="n">
        <v>356</v>
      </c>
      <c r="B360" s="12" t="s">
        <v>653</v>
      </c>
      <c r="C360" s="12" t="s">
        <v>96</v>
      </c>
      <c r="D360" s="16" t="n">
        <v>0.0105146990740741</v>
      </c>
      <c r="E360" s="15" t="n">
        <f aca="false">ROUND((D360-$D$5)*86400,2)</f>
        <v>118.73</v>
      </c>
      <c r="F360" s="17" t="n">
        <v>355</v>
      </c>
      <c r="G360" s="16" t="str">
        <f aca="false">IF(INDEX(選手一覧!$H$7:$H$2738,$F360)="","",INDEX(選手一覧!$H$7:$H$2738,$F360))</f>
        <v/>
      </c>
      <c r="H360" s="17" t="str">
        <f aca="false">IF(INDEX(選手一覧!$I$7:$I$2738,$F360)="","",INDEX(選手一覧!$I$7:$I$2738,$F360))</f>
        <v/>
      </c>
      <c r="I360" s="16" t="str">
        <f aca="false">IF(INDEX(選手一覧!$J$7:$J$2738,$F360)="","",INDEX(選手一覧!$J$7:$J$2738,$F360))</f>
        <v/>
      </c>
      <c r="J360" s="17" t="str">
        <f aca="false">IF(INDEX(選手一覧!$K$7:$K$2738,$F360)="","",INDEX(選手一覧!$K$7:$K$2738,$F360))</f>
        <v/>
      </c>
    </row>
    <row r="361" customFormat="false" ht="15" hidden="false" customHeight="false" outlineLevel="0" collapsed="false">
      <c r="A361" s="17" t="n">
        <v>357</v>
      </c>
      <c r="B361" s="12" t="s">
        <v>655</v>
      </c>
      <c r="C361" s="12" t="s">
        <v>63</v>
      </c>
      <c r="D361" s="16" t="n">
        <v>0.010515162037037</v>
      </c>
      <c r="E361" s="15" t="n">
        <f aca="false">ROUND((D361-$D$5)*86400,2)</f>
        <v>118.77</v>
      </c>
      <c r="F361" s="17" t="n">
        <v>356</v>
      </c>
      <c r="G361" s="16" t="str">
        <f aca="false">IF(INDEX(選手一覧!$H$7:$H$2738,$F361)="","",INDEX(選手一覧!$H$7:$H$2738,$F361))</f>
        <v/>
      </c>
      <c r="H361" s="17" t="str">
        <f aca="false">IF(INDEX(選手一覧!$I$7:$I$2738,$F361)="","",INDEX(選手一覧!$I$7:$I$2738,$F361))</f>
        <v/>
      </c>
      <c r="I361" s="16" t="n">
        <f aca="false">IF(INDEX(選手一覧!$J$7:$J$2738,$F361)="","",INDEX(選手一覧!$J$7:$J$2738,$F361))</f>
        <v>0.00281331018518519</v>
      </c>
      <c r="J361" s="17" t="n">
        <f aca="false">IF(INDEX(選手一覧!$K$7:$K$2738,$F361)="","",INDEX(選手一覧!$K$7:$K$2738,$F361))</f>
        <v>336</v>
      </c>
    </row>
    <row r="362" customFormat="false" ht="15" hidden="false" customHeight="false" outlineLevel="0" collapsed="false">
      <c r="A362" s="17" t="n">
        <v>358</v>
      </c>
      <c r="B362" s="12" t="s">
        <v>656</v>
      </c>
      <c r="C362" s="12" t="s">
        <v>83</v>
      </c>
      <c r="D362" s="16" t="n">
        <v>0.0105153935185185</v>
      </c>
      <c r="E362" s="15" t="n">
        <f aca="false">ROUND((D362-$D$5)*86400,2)</f>
        <v>118.79</v>
      </c>
      <c r="F362" s="17" t="n">
        <v>357</v>
      </c>
      <c r="G362" s="16" t="str">
        <f aca="false">IF(INDEX(選手一覧!$H$7:$H$2738,$F362)="","",INDEX(選手一覧!$H$7:$H$2738,$F362))</f>
        <v/>
      </c>
      <c r="H362" s="17" t="str">
        <f aca="false">IF(INDEX(選手一覧!$I$7:$I$2738,$F362)="","",INDEX(選手一覧!$I$7:$I$2738,$F362))</f>
        <v/>
      </c>
      <c r="I362" s="16" t="n">
        <f aca="false">IF(INDEX(選手一覧!$J$7:$J$2738,$F362)="","",INDEX(選手一覧!$J$7:$J$2738,$F362))</f>
        <v>0.00281076388888889</v>
      </c>
      <c r="J362" s="17" t="n">
        <f aca="false">IF(INDEX(選手一覧!$K$7:$K$2738,$F362)="","",INDEX(選手一覧!$K$7:$K$2738,$F362))</f>
        <v>326</v>
      </c>
    </row>
    <row r="363" customFormat="false" ht="15" hidden="false" customHeight="false" outlineLevel="0" collapsed="false">
      <c r="A363" s="17" t="n">
        <v>359</v>
      </c>
      <c r="B363" s="12" t="s">
        <v>658</v>
      </c>
      <c r="C363" s="12" t="s">
        <v>94</v>
      </c>
      <c r="D363" s="16" t="n">
        <v>0.0105157407407407</v>
      </c>
      <c r="E363" s="15" t="n">
        <f aca="false">ROUND((D363-$D$5)*86400,2)</f>
        <v>118.82</v>
      </c>
      <c r="F363" s="17" t="n">
        <v>358</v>
      </c>
      <c r="G363" s="16" t="n">
        <f aca="false">IF(INDEX(選手一覧!$H$7:$H$2738,$F363)="","",INDEX(選手一覧!$H$7:$H$2738,$F363))</f>
        <v>0.00706319444444444</v>
      </c>
      <c r="H363" s="17" t="n">
        <f aca="false">IF(INDEX(選手一覧!$I$7:$I$2738,$F363)="","",INDEX(選手一覧!$I$7:$I$2738,$F363))</f>
        <v>404</v>
      </c>
      <c r="I363" s="16" t="str">
        <f aca="false">IF(INDEX(選手一覧!$J$7:$J$2738,$F363)="","",INDEX(選手一覧!$J$7:$J$2738,$F363))</f>
        <v/>
      </c>
      <c r="J363" s="17" t="str">
        <f aca="false">IF(INDEX(選手一覧!$K$7:$K$2738,$F363)="","",INDEX(選手一覧!$K$7:$K$2738,$F363))</f>
        <v/>
      </c>
    </row>
    <row r="364" customFormat="false" ht="15" hidden="false" customHeight="false" outlineLevel="0" collapsed="false">
      <c r="A364" s="17" t="n">
        <v>360</v>
      </c>
      <c r="B364" s="12" t="s">
        <v>659</v>
      </c>
      <c r="C364" s="12" t="s">
        <v>397</v>
      </c>
      <c r="D364" s="16" t="n">
        <v>0.0105166666666667</v>
      </c>
      <c r="E364" s="15" t="n">
        <f aca="false">ROUND((D364-$D$5)*86400,2)</f>
        <v>118.9</v>
      </c>
      <c r="F364" s="17" t="n">
        <v>359</v>
      </c>
      <c r="G364" s="16" t="n">
        <f aca="false">IF(INDEX(選手一覧!$H$7:$H$2738,$F364)="","",INDEX(選手一覧!$H$7:$H$2738,$F364))</f>
        <v>0.00671261574074074</v>
      </c>
      <c r="H364" s="17" t="n">
        <f aca="false">IF(INDEX(選手一覧!$I$7:$I$2738,$F364)="","",INDEX(選手一覧!$I$7:$I$2738,$F364))</f>
        <v>112</v>
      </c>
      <c r="I364" s="16" t="n">
        <f aca="false">IF(INDEX(選手一覧!$J$7:$J$2738,$F364)="","",INDEX(選手一覧!$J$7:$J$2738,$F364))</f>
        <v>0.00284456018518519</v>
      </c>
      <c r="J364" s="17" t="n">
        <f aca="false">IF(INDEX(選手一覧!$K$7:$K$2738,$F364)="","",INDEX(選手一覧!$K$7:$K$2738,$F364))</f>
        <v>531</v>
      </c>
    </row>
    <row r="365" customFormat="false" ht="15" hidden="false" customHeight="false" outlineLevel="0" collapsed="false">
      <c r="A365" s="17" t="n">
        <v>361</v>
      </c>
      <c r="B365" s="12" t="s">
        <v>660</v>
      </c>
      <c r="C365" s="12" t="s">
        <v>417</v>
      </c>
      <c r="D365" s="16" t="n">
        <v>0.0105166666666667</v>
      </c>
      <c r="E365" s="15" t="n">
        <f aca="false">ROUND((D365-$D$5)*86400,2)</f>
        <v>118.9</v>
      </c>
      <c r="F365" s="17" t="n">
        <v>360</v>
      </c>
      <c r="G365" s="16" t="str">
        <f aca="false">IF(INDEX(選手一覧!$H$7:$H$2738,$F365)="","",INDEX(選手一覧!$H$7:$H$2738,$F365))</f>
        <v/>
      </c>
      <c r="H365" s="17" t="str">
        <f aca="false">IF(INDEX(選手一覧!$I$7:$I$2738,$F365)="","",INDEX(選手一覧!$I$7:$I$2738,$F365))</f>
        <v/>
      </c>
      <c r="I365" s="16" t="n">
        <f aca="false">IF(INDEX(選手一覧!$J$7:$J$2738,$F365)="","",INDEX(選手一覧!$J$7:$J$2738,$F365))</f>
        <v>0.002803125</v>
      </c>
      <c r="J365" s="17" t="n">
        <f aca="false">IF(INDEX(選手一覧!$K$7:$K$2738,$F365)="","",INDEX(選手一覧!$K$7:$K$2738,$F365))</f>
        <v>296</v>
      </c>
    </row>
    <row r="366" customFormat="false" ht="15" hidden="false" customHeight="false" outlineLevel="0" collapsed="false">
      <c r="A366" s="17" t="n">
        <v>362</v>
      </c>
      <c r="B366" s="12" t="s">
        <v>661</v>
      </c>
      <c r="C366" s="12" t="s">
        <v>61</v>
      </c>
      <c r="D366" s="16" t="n">
        <v>0.0105172453703704</v>
      </c>
      <c r="E366" s="15" t="n">
        <f aca="false">ROUND((D366-$D$5)*86400,2)</f>
        <v>118.95</v>
      </c>
      <c r="F366" s="17" t="n">
        <v>361</v>
      </c>
      <c r="G366" s="16" t="str">
        <f aca="false">IF(INDEX(選手一覧!$H$7:$H$2738,$F366)="","",INDEX(選手一覧!$H$7:$H$2738,$F366))</f>
        <v/>
      </c>
      <c r="H366" s="17" t="str">
        <f aca="false">IF(INDEX(選手一覧!$I$7:$I$2738,$F366)="","",INDEX(選手一覧!$I$7:$I$2738,$F366))</f>
        <v/>
      </c>
      <c r="I366" s="16" t="n">
        <f aca="false">IF(INDEX(選手一覧!$J$7:$J$2738,$F366)="","",INDEX(選手一覧!$J$7:$J$2738,$F366))</f>
        <v>0.00276666666666667</v>
      </c>
      <c r="J366" s="17" t="n">
        <f aca="false">IF(INDEX(選手一覧!$K$7:$K$2738,$F366)="","",INDEX(選手一覧!$K$7:$K$2738,$F366))</f>
        <v>154</v>
      </c>
    </row>
    <row r="367" customFormat="false" ht="15" hidden="false" customHeight="false" outlineLevel="0" collapsed="false">
      <c r="A367" s="17" t="n">
        <v>363</v>
      </c>
      <c r="B367" s="12" t="s">
        <v>662</v>
      </c>
      <c r="C367" s="12" t="s">
        <v>65</v>
      </c>
      <c r="D367" s="16" t="n">
        <v>0.0105200231481482</v>
      </c>
      <c r="E367" s="15" t="n">
        <f aca="false">ROUND((D367-$D$5)*86400,2)</f>
        <v>119.19</v>
      </c>
      <c r="F367" s="17" t="n">
        <v>362</v>
      </c>
      <c r="G367" s="16" t="n">
        <f aca="false">IF(INDEX(選手一覧!$H$7:$H$2738,$F367)="","",INDEX(選手一覧!$H$7:$H$2738,$F367))</f>
        <v>0.00666423611111111</v>
      </c>
      <c r="H367" s="17" t="n">
        <f aca="false">IF(INDEX(選手一覧!$I$7:$I$2738,$F367)="","",INDEX(選手一覧!$I$7:$I$2738,$F367))</f>
        <v>89</v>
      </c>
      <c r="I367" s="16" t="n">
        <f aca="false">IF(INDEX(選手一覧!$J$7:$J$2738,$F367)="","",INDEX(選手一覧!$J$7:$J$2738,$F367))</f>
        <v>0.00283993055555556</v>
      </c>
      <c r="J367" s="17" t="n">
        <f aca="false">IF(INDEX(選手一覧!$K$7:$K$2738,$F367)="","",INDEX(選手一覧!$K$7:$K$2738,$F367))</f>
        <v>496</v>
      </c>
    </row>
    <row r="368" customFormat="false" ht="15" hidden="false" customHeight="false" outlineLevel="0" collapsed="false">
      <c r="A368" s="17" t="n">
        <v>364</v>
      </c>
      <c r="B368" s="12" t="s">
        <v>663</v>
      </c>
      <c r="C368" s="12" t="s">
        <v>145</v>
      </c>
      <c r="D368" s="16" t="n">
        <v>0.0105216435185185</v>
      </c>
      <c r="E368" s="15" t="n">
        <f aca="false">ROUND((D368-$D$5)*86400,2)</f>
        <v>119.33</v>
      </c>
      <c r="F368" s="17" t="n">
        <v>363</v>
      </c>
      <c r="G368" s="16" t="n">
        <f aca="false">IF(INDEX(選手一覧!$H$7:$H$2738,$F368)="","",INDEX(選手一覧!$H$7:$H$2738,$F368))</f>
        <v>0.00690613425925926</v>
      </c>
      <c r="H368" s="17" t="n">
        <f aca="false">IF(INDEX(選手一覧!$I$7:$I$2738,$F368)="","",INDEX(選手一覧!$I$7:$I$2738,$F368))</f>
        <v>247</v>
      </c>
      <c r="I368" s="16" t="n">
        <f aca="false">IF(INDEX(選手一覧!$J$7:$J$2738,$F368)="","",INDEX(選手一覧!$J$7:$J$2738,$F368))</f>
        <v>0.00287407407407407</v>
      </c>
      <c r="J368" s="17" t="n">
        <f aca="false">IF(INDEX(選手一覧!$K$7:$K$2738,$F368)="","",INDEX(選手一覧!$K$7:$K$2738,$F368))</f>
        <v>728</v>
      </c>
    </row>
    <row r="369" customFormat="false" ht="15" hidden="false" customHeight="false" outlineLevel="0" collapsed="false">
      <c r="A369" s="17" t="n">
        <v>365</v>
      </c>
      <c r="B369" s="12" t="s">
        <v>664</v>
      </c>
      <c r="C369" s="12" t="s">
        <v>157</v>
      </c>
      <c r="D369" s="16" t="n">
        <v>0.0105248842592593</v>
      </c>
      <c r="E369" s="15" t="n">
        <f aca="false">ROUND((D369-$D$5)*86400,2)</f>
        <v>119.61</v>
      </c>
      <c r="F369" s="17" t="n">
        <v>364</v>
      </c>
      <c r="G369" s="16" t="str">
        <f aca="false">IF(INDEX(選手一覧!$H$7:$H$2738,$F369)="","",INDEX(選手一覧!$H$7:$H$2738,$F369))</f>
        <v/>
      </c>
      <c r="H369" s="17" t="str">
        <f aca="false">IF(INDEX(選手一覧!$I$7:$I$2738,$F369)="","",INDEX(選手一覧!$I$7:$I$2738,$F369))</f>
        <v/>
      </c>
      <c r="I369" s="16" t="n">
        <f aca="false">IF(INDEX(選手一覧!$J$7:$J$2738,$F369)="","",INDEX(選手一覧!$J$7:$J$2738,$F369))</f>
        <v>0.00279178240740741</v>
      </c>
      <c r="J369" s="17" t="n">
        <f aca="false">IF(INDEX(選手一覧!$K$7:$K$2738,$F369)="","",INDEX(選手一覧!$K$7:$K$2738,$F369))</f>
        <v>247</v>
      </c>
    </row>
    <row r="370" customFormat="false" ht="15" hidden="false" customHeight="false" outlineLevel="0" collapsed="false">
      <c r="A370" s="17" t="n">
        <v>366</v>
      </c>
      <c r="B370" s="12" t="s">
        <v>665</v>
      </c>
      <c r="C370" s="12" t="s">
        <v>544</v>
      </c>
      <c r="D370" s="16" t="n">
        <v>0.0105252314814815</v>
      </c>
      <c r="E370" s="15" t="n">
        <f aca="false">ROUND((D370-$D$5)*86400,2)</f>
        <v>119.64</v>
      </c>
      <c r="F370" s="17" t="n">
        <v>365</v>
      </c>
      <c r="G370" s="16" t="n">
        <f aca="false">IF(INDEX(選手一覧!$H$7:$H$2738,$F370)="","",INDEX(選手一覧!$H$7:$H$2738,$F370))</f>
        <v>0.00732141203703704</v>
      </c>
      <c r="H370" s="17" t="n">
        <f aca="false">IF(INDEX(選手一覧!$I$7:$I$2738,$F370)="","",INDEX(選手一覧!$I$7:$I$2738,$F370))</f>
        <v>671</v>
      </c>
      <c r="I370" s="16" t="n">
        <f aca="false">IF(INDEX(選手一覧!$J$7:$J$2738,$F370)="","",INDEX(選手一覧!$J$7:$J$2738,$F370))</f>
        <v>0.00289467592592593</v>
      </c>
      <c r="J370" s="17" t="n">
        <f aca="false">IF(INDEX(選手一覧!$K$7:$K$2738,$F370)="","",INDEX(選手一覧!$K$7:$K$2738,$F370))</f>
        <v>910</v>
      </c>
    </row>
    <row r="371" customFormat="false" ht="15" hidden="false" customHeight="false" outlineLevel="0" collapsed="false">
      <c r="A371" s="17" t="n">
        <v>367</v>
      </c>
      <c r="B371" s="12" t="s">
        <v>667</v>
      </c>
      <c r="C371" s="12" t="s">
        <v>668</v>
      </c>
      <c r="D371" s="16" t="n">
        <v>0.010525462962963</v>
      </c>
      <c r="E371" s="15" t="n">
        <f aca="false">ROUND((D371-$D$5)*86400,2)</f>
        <v>119.66</v>
      </c>
      <c r="F371" s="17" t="n">
        <v>366</v>
      </c>
      <c r="G371" s="16" t="str">
        <f aca="false">IF(INDEX(選手一覧!$H$7:$H$2738,$F371)="","",INDEX(選手一覧!$H$7:$H$2738,$F371))</f>
        <v/>
      </c>
      <c r="H371" s="17" t="str">
        <f aca="false">IF(INDEX(選手一覧!$I$7:$I$2738,$F371)="","",INDEX(選手一覧!$I$7:$I$2738,$F371))</f>
        <v/>
      </c>
      <c r="I371" s="16" t="n">
        <f aca="false">IF(INDEX(選手一覧!$J$7:$J$2738,$F371)="","",INDEX(選手一覧!$J$7:$J$2738,$F371))</f>
        <v>0.00284733796296296</v>
      </c>
      <c r="J371" s="17" t="n">
        <f aca="false">IF(INDEX(選手一覧!$K$7:$K$2738,$F371)="","",INDEX(選手一覧!$K$7:$K$2738,$F371))</f>
        <v>554</v>
      </c>
    </row>
    <row r="372" customFormat="false" ht="15" hidden="false" customHeight="false" outlineLevel="0" collapsed="false">
      <c r="A372" s="17" t="n">
        <v>368</v>
      </c>
      <c r="B372" s="12" t="s">
        <v>669</v>
      </c>
      <c r="C372" s="12" t="s">
        <v>167</v>
      </c>
      <c r="D372" s="16" t="n">
        <v>0.0105259259259259</v>
      </c>
      <c r="E372" s="15" t="n">
        <f aca="false">ROUND((D372-$D$5)*86400,2)</f>
        <v>119.7</v>
      </c>
      <c r="F372" s="17" t="n">
        <v>367</v>
      </c>
      <c r="G372" s="16" t="str">
        <f aca="false">IF(INDEX(選手一覧!$H$7:$H$2738,$F372)="","",INDEX(選手一覧!$H$7:$H$2738,$F372))</f>
        <v/>
      </c>
      <c r="H372" s="17" t="str">
        <f aca="false">IF(INDEX(選手一覧!$I$7:$I$2738,$F372)="","",INDEX(選手一覧!$I$7:$I$2738,$F372))</f>
        <v/>
      </c>
      <c r="I372" s="16" t="n">
        <f aca="false">IF(INDEX(選手一覧!$J$7:$J$2738,$F372)="","",INDEX(選手一覧!$J$7:$J$2738,$F372))</f>
        <v>0.00289212962962963</v>
      </c>
      <c r="J372" s="17" t="n">
        <f aca="false">IF(INDEX(選手一覧!$K$7:$K$2738,$F372)="","",INDEX(選手一覧!$K$7:$K$2738,$F372))</f>
        <v>891</v>
      </c>
    </row>
    <row r="373" customFormat="false" ht="15" hidden="false" customHeight="false" outlineLevel="0" collapsed="false">
      <c r="A373" s="17" t="n">
        <v>369</v>
      </c>
      <c r="B373" s="12" t="s">
        <v>671</v>
      </c>
      <c r="C373" s="12" t="s">
        <v>61</v>
      </c>
      <c r="D373" s="16" t="n">
        <v>0.0105289351851852</v>
      </c>
      <c r="E373" s="15" t="n">
        <f aca="false">ROUND((D373-$D$5)*86400,2)</f>
        <v>119.96</v>
      </c>
      <c r="F373" s="17" t="n">
        <v>368</v>
      </c>
      <c r="G373" s="16" t="n">
        <f aca="false">IF(INDEX(選手一覧!$H$7:$H$2738,$F373)="","",INDEX(選手一覧!$H$7:$H$2738,$F373))</f>
        <v>0.00642326388888889</v>
      </c>
      <c r="H373" s="17" t="n">
        <f aca="false">IF(INDEX(選手一覧!$I$7:$I$2738,$F373)="","",INDEX(選手一覧!$I$7:$I$2738,$F373))</f>
        <v>20</v>
      </c>
      <c r="I373" s="16" t="str">
        <f aca="false">IF(INDEX(選手一覧!$J$7:$J$2738,$F373)="","",INDEX(選手一覧!$J$7:$J$2738,$F373))</f>
        <v/>
      </c>
      <c r="J373" s="17" t="str">
        <f aca="false">IF(INDEX(選手一覧!$K$7:$K$2738,$F373)="","",INDEX(選手一覧!$K$7:$K$2738,$F373))</f>
        <v/>
      </c>
    </row>
    <row r="374" customFormat="false" ht="15" hidden="false" customHeight="false" outlineLevel="0" collapsed="false">
      <c r="A374" s="17" t="n">
        <v>370</v>
      </c>
      <c r="B374" s="12" t="s">
        <v>672</v>
      </c>
      <c r="C374" s="12" t="s">
        <v>281</v>
      </c>
      <c r="D374" s="16" t="n">
        <v>0.0105296296296296</v>
      </c>
      <c r="E374" s="15" t="n">
        <f aca="false">ROUND((D374-$D$5)*86400,2)</f>
        <v>120.02</v>
      </c>
      <c r="F374" s="17" t="n">
        <v>369</v>
      </c>
      <c r="G374" s="16" t="n">
        <f aca="false">IF(INDEX(選手一覧!$H$7:$H$2738,$F374)="","",INDEX(選手一覧!$H$7:$H$2738,$F374))</f>
        <v>0.0068</v>
      </c>
      <c r="H374" s="17" t="n">
        <f aca="false">IF(INDEX(選手一覧!$I$7:$I$2738,$F374)="","",INDEX(選手一覧!$I$7:$I$2738,$F374))</f>
        <v>171</v>
      </c>
      <c r="I374" s="16" t="str">
        <f aca="false">IF(INDEX(選手一覧!$J$7:$J$2738,$F374)="","",INDEX(選手一覧!$J$7:$J$2738,$F374))</f>
        <v/>
      </c>
      <c r="J374" s="17" t="str">
        <f aca="false">IF(INDEX(選手一覧!$K$7:$K$2738,$F374)="","",INDEX(選手一覧!$K$7:$K$2738,$F374))</f>
        <v/>
      </c>
    </row>
    <row r="375" customFormat="false" ht="15" hidden="false" customHeight="false" outlineLevel="0" collapsed="false">
      <c r="A375" s="17" t="n">
        <v>371</v>
      </c>
      <c r="B375" s="12" t="s">
        <v>673</v>
      </c>
      <c r="C375" s="12" t="s">
        <v>674</v>
      </c>
      <c r="D375" s="16" t="n">
        <v>0.0105298611111111</v>
      </c>
      <c r="E375" s="15" t="n">
        <f aca="false">ROUND((D375-$D$5)*86400,2)</f>
        <v>120.04</v>
      </c>
      <c r="F375" s="17" t="n">
        <v>370</v>
      </c>
      <c r="G375" s="16" t="str">
        <f aca="false">IF(INDEX(選手一覧!$H$7:$H$2738,$F375)="","",INDEX(選手一覧!$H$7:$H$2738,$F375))</f>
        <v/>
      </c>
      <c r="H375" s="17" t="str">
        <f aca="false">IF(INDEX(選手一覧!$I$7:$I$2738,$F375)="","",INDEX(選手一覧!$I$7:$I$2738,$F375))</f>
        <v/>
      </c>
      <c r="I375" s="16" t="n">
        <f aca="false">IF(INDEX(選手一覧!$J$7:$J$2738,$F375)="","",INDEX(選手一覧!$J$7:$J$2738,$F375))</f>
        <v>0.00278726851851852</v>
      </c>
      <c r="J375" s="17" t="n">
        <f aca="false">IF(INDEX(選手一覧!$K$7:$K$2738,$F375)="","",INDEX(選手一覧!$K$7:$K$2738,$F375))</f>
        <v>231</v>
      </c>
    </row>
    <row r="376" customFormat="false" ht="15" hidden="false" customHeight="false" outlineLevel="0" collapsed="false">
      <c r="A376" s="17" t="n">
        <v>372</v>
      </c>
      <c r="B376" s="12" t="s">
        <v>676</v>
      </c>
      <c r="C376" s="12" t="s">
        <v>115</v>
      </c>
      <c r="D376" s="16" t="n">
        <v>0.0105300925925926</v>
      </c>
      <c r="E376" s="15" t="n">
        <f aca="false">ROUND((D376-$D$5)*86400,2)</f>
        <v>120.06</v>
      </c>
      <c r="F376" s="17" t="n">
        <v>371</v>
      </c>
      <c r="G376" s="16" t="n">
        <f aca="false">IF(INDEX(選手一覧!$H$7:$H$2738,$F376)="","",INDEX(選手一覧!$H$7:$H$2738,$F376))</f>
        <v>0.0068619212962963</v>
      </c>
      <c r="H376" s="17" t="n">
        <f aca="false">IF(INDEX(選手一覧!$I$7:$I$2738,$F376)="","",INDEX(選手一覧!$I$7:$I$2738,$F376))</f>
        <v>212</v>
      </c>
      <c r="I376" s="16" t="n">
        <f aca="false">IF(INDEX(選手一覧!$J$7:$J$2738,$F376)="","",INDEX(選手一覧!$J$7:$J$2738,$F376))</f>
        <v>0.00280393518518519</v>
      </c>
      <c r="J376" s="17" t="n">
        <f aca="false">IF(INDEX(選手一覧!$K$7:$K$2738,$F376)="","",INDEX(選手一覧!$K$7:$K$2738,$F376))</f>
        <v>299</v>
      </c>
    </row>
    <row r="377" customFormat="false" ht="15" hidden="false" customHeight="false" outlineLevel="0" collapsed="false">
      <c r="A377" s="17" t="n">
        <v>373</v>
      </c>
      <c r="B377" s="12" t="s">
        <v>677</v>
      </c>
      <c r="C377" s="12" t="s">
        <v>290</v>
      </c>
      <c r="D377" s="16" t="n">
        <v>0.0105304398148148</v>
      </c>
      <c r="E377" s="15" t="n">
        <f aca="false">ROUND((D377-$D$5)*86400,2)</f>
        <v>120.09</v>
      </c>
      <c r="F377" s="17" t="n">
        <v>372</v>
      </c>
      <c r="G377" s="16" t="str">
        <f aca="false">IF(INDEX(選手一覧!$H$7:$H$2738,$F377)="","",INDEX(選手一覧!$H$7:$H$2738,$F377))</f>
        <v/>
      </c>
      <c r="H377" s="17" t="str">
        <f aca="false">IF(INDEX(選手一覧!$I$7:$I$2738,$F377)="","",INDEX(選手一覧!$I$7:$I$2738,$F377))</f>
        <v/>
      </c>
      <c r="I377" s="16" t="n">
        <f aca="false">IF(INDEX(選手一覧!$J$7:$J$2738,$F377)="","",INDEX(選手一覧!$J$7:$J$2738,$F377))</f>
        <v>0.00277627314814815</v>
      </c>
      <c r="J377" s="17" t="n">
        <f aca="false">IF(INDEX(選手一覧!$K$7:$K$2738,$F377)="","",INDEX(選手一覧!$K$7:$K$2738,$F377))</f>
        <v>183</v>
      </c>
    </row>
    <row r="378" customFormat="false" ht="15" hidden="false" customHeight="false" outlineLevel="0" collapsed="false">
      <c r="A378" s="17" t="n">
        <v>374</v>
      </c>
      <c r="B378" s="12" t="s">
        <v>679</v>
      </c>
      <c r="C378" s="12" t="s">
        <v>595</v>
      </c>
      <c r="D378" s="16" t="n">
        <v>0.0105324074074074</v>
      </c>
      <c r="E378" s="15" t="n">
        <f aca="false">ROUND((D378-$D$5)*86400,2)</f>
        <v>120.26</v>
      </c>
      <c r="F378" s="17" t="n">
        <v>373</v>
      </c>
      <c r="G378" s="16" t="str">
        <f aca="false">IF(INDEX(選手一覧!$H$7:$H$2738,$F378)="","",INDEX(選手一覧!$H$7:$H$2738,$F378))</f>
        <v/>
      </c>
      <c r="H378" s="17" t="str">
        <f aca="false">IF(INDEX(選手一覧!$I$7:$I$2738,$F378)="","",INDEX(選手一覧!$I$7:$I$2738,$F378))</f>
        <v/>
      </c>
      <c r="I378" s="16" t="str">
        <f aca="false">IF(INDEX(選手一覧!$J$7:$J$2738,$F378)="","",INDEX(選手一覧!$J$7:$J$2738,$F378))</f>
        <v/>
      </c>
      <c r="J378" s="17" t="str">
        <f aca="false">IF(INDEX(選手一覧!$K$7:$K$2738,$F378)="","",INDEX(選手一覧!$K$7:$K$2738,$F378))</f>
        <v/>
      </c>
    </row>
    <row r="379" customFormat="false" ht="15" hidden="false" customHeight="false" outlineLevel="0" collapsed="false">
      <c r="A379" s="17" t="n">
        <v>375</v>
      </c>
      <c r="B379" s="12" t="s">
        <v>681</v>
      </c>
      <c r="C379" s="12" t="s">
        <v>167</v>
      </c>
      <c r="D379" s="16" t="n">
        <v>0.0105329861111111</v>
      </c>
      <c r="E379" s="15" t="n">
        <f aca="false">ROUND((D379-$D$5)*86400,2)</f>
        <v>120.31</v>
      </c>
      <c r="F379" s="17" t="n">
        <v>374</v>
      </c>
      <c r="G379" s="16" t="str">
        <f aca="false">IF(INDEX(選手一覧!$H$7:$H$2738,$F379)="","",INDEX(選手一覧!$H$7:$H$2738,$F379))</f>
        <v/>
      </c>
      <c r="H379" s="17" t="str">
        <f aca="false">IF(INDEX(選手一覧!$I$7:$I$2738,$F379)="","",INDEX(選手一覧!$I$7:$I$2738,$F379))</f>
        <v/>
      </c>
      <c r="I379" s="16" t="n">
        <f aca="false">IF(INDEX(選手一覧!$J$7:$J$2738,$F379)="","",INDEX(選手一覧!$J$7:$J$2738,$F379))</f>
        <v>0.00279965277777778</v>
      </c>
      <c r="J379" s="17" t="n">
        <f aca="false">IF(INDEX(選手一覧!$K$7:$K$2738,$F379)="","",INDEX(選手一覧!$K$7:$K$2738,$F379))</f>
        <v>281</v>
      </c>
    </row>
    <row r="380" customFormat="false" ht="15" hidden="false" customHeight="false" outlineLevel="0" collapsed="false">
      <c r="A380" s="17" t="n">
        <v>376</v>
      </c>
      <c r="B380" s="12" t="s">
        <v>682</v>
      </c>
      <c r="C380" s="12" t="s">
        <v>532</v>
      </c>
      <c r="D380" s="16" t="n">
        <v>0.0105346064814815</v>
      </c>
      <c r="E380" s="15" t="n">
        <f aca="false">ROUND((D380-$D$5)*86400,2)</f>
        <v>120.45</v>
      </c>
      <c r="F380" s="17" t="n">
        <v>375</v>
      </c>
      <c r="G380" s="16" t="n">
        <f aca="false">IF(INDEX(選手一覧!$H$7:$H$2738,$F380)="","",INDEX(選手一覧!$H$7:$H$2738,$F380))</f>
        <v>0.00715509259259259</v>
      </c>
      <c r="H380" s="17" t="n">
        <f aca="false">IF(INDEX(選手一覧!$I$7:$I$2738,$F380)="","",INDEX(選手一覧!$I$7:$I$2738,$F380))</f>
        <v>491</v>
      </c>
      <c r="I380" s="16" t="n">
        <f aca="false">IF(INDEX(選手一覧!$J$7:$J$2738,$F380)="","",INDEX(選手一覧!$J$7:$J$2738,$F380))</f>
        <v>0.00291921296296296</v>
      </c>
      <c r="J380" s="17" t="n">
        <f aca="false">IF(INDEX(選手一覧!$K$7:$K$2738,$F380)="","",INDEX(選手一覧!$K$7:$K$2738,$F380))</f>
        <v>1085</v>
      </c>
    </row>
    <row r="381" customFormat="false" ht="15" hidden="false" customHeight="false" outlineLevel="0" collapsed="false">
      <c r="A381" s="17" t="n">
        <v>377</v>
      </c>
      <c r="B381" s="12" t="s">
        <v>683</v>
      </c>
      <c r="C381" s="12" t="s">
        <v>107</v>
      </c>
      <c r="D381" s="16" t="n">
        <v>0.0105350694444444</v>
      </c>
      <c r="E381" s="15" t="n">
        <f aca="false">ROUND((D381-$D$5)*86400,2)</f>
        <v>120.49</v>
      </c>
      <c r="F381" s="17" t="n">
        <v>376</v>
      </c>
      <c r="G381" s="16" t="str">
        <f aca="false">IF(INDEX(選手一覧!$H$7:$H$2738,$F381)="","",INDEX(選手一覧!$H$7:$H$2738,$F381))</f>
        <v/>
      </c>
      <c r="H381" s="17" t="str">
        <f aca="false">IF(INDEX(選手一覧!$I$7:$I$2738,$F381)="","",INDEX(選手一覧!$I$7:$I$2738,$F381))</f>
        <v/>
      </c>
      <c r="I381" s="16" t="n">
        <f aca="false">IF(INDEX(選手一覧!$J$7:$J$2738,$F381)="","",INDEX(選手一覧!$J$7:$J$2738,$F381))</f>
        <v>0.00281574074074074</v>
      </c>
      <c r="J381" s="17" t="n">
        <f aca="false">IF(INDEX(選手一覧!$K$7:$K$2738,$F381)="","",INDEX(選手一覧!$K$7:$K$2738,$F381))</f>
        <v>344</v>
      </c>
    </row>
    <row r="382" customFormat="false" ht="15" hidden="false" customHeight="false" outlineLevel="0" collapsed="false">
      <c r="A382" s="17" t="n">
        <v>378</v>
      </c>
      <c r="B382" s="12" t="s">
        <v>685</v>
      </c>
      <c r="C382" s="12" t="s">
        <v>686</v>
      </c>
      <c r="D382" s="16" t="n">
        <v>0.0105351851851852</v>
      </c>
      <c r="E382" s="15" t="n">
        <f aca="false">ROUND((D382-$D$5)*86400,2)</f>
        <v>120.5</v>
      </c>
      <c r="F382" s="17" t="n">
        <v>377</v>
      </c>
      <c r="G382" s="16" t="str">
        <f aca="false">IF(INDEX(選手一覧!$H$7:$H$2738,$F382)="","",INDEX(選手一覧!$H$7:$H$2738,$F382))</f>
        <v/>
      </c>
      <c r="H382" s="17" t="str">
        <f aca="false">IF(INDEX(選手一覧!$I$7:$I$2738,$F382)="","",INDEX(選手一覧!$I$7:$I$2738,$F382))</f>
        <v/>
      </c>
      <c r="I382" s="16" t="n">
        <f aca="false">IF(INDEX(選手一覧!$J$7:$J$2738,$F382)="","",INDEX(選手一覧!$J$7:$J$2738,$F382))</f>
        <v>0.00287175925925926</v>
      </c>
      <c r="J382" s="17" t="n">
        <f aca="false">IF(INDEX(選手一覧!$K$7:$K$2738,$F382)="","",INDEX(選手一覧!$K$7:$K$2738,$F382))</f>
        <v>715</v>
      </c>
    </row>
    <row r="383" customFormat="false" ht="15" hidden="false" customHeight="false" outlineLevel="0" collapsed="false">
      <c r="A383" s="17" t="n">
        <v>379</v>
      </c>
      <c r="B383" s="12" t="s">
        <v>688</v>
      </c>
      <c r="C383" s="12" t="s">
        <v>155</v>
      </c>
      <c r="D383" s="16" t="n">
        <v>0.0105353009259259</v>
      </c>
      <c r="E383" s="15" t="n">
        <f aca="false">ROUND((D383-$D$5)*86400,2)</f>
        <v>120.51</v>
      </c>
      <c r="F383" s="17" t="n">
        <v>378</v>
      </c>
      <c r="G383" s="16" t="str">
        <f aca="false">IF(INDEX(選手一覧!$H$7:$H$2738,$F383)="","",INDEX(選手一覧!$H$7:$H$2738,$F383))</f>
        <v/>
      </c>
      <c r="H383" s="17" t="str">
        <f aca="false">IF(INDEX(選手一覧!$I$7:$I$2738,$F383)="","",INDEX(選手一覧!$I$7:$I$2738,$F383))</f>
        <v/>
      </c>
      <c r="I383" s="16" t="n">
        <f aca="false">IF(INDEX(選手一覧!$J$7:$J$2738,$F383)="","",INDEX(選手一覧!$J$7:$J$2738,$F383))</f>
        <v>0.00283449074074074</v>
      </c>
      <c r="J383" s="17" t="n">
        <f aca="false">IF(INDEX(選手一覧!$K$7:$K$2738,$F383)="","",INDEX(選手一覧!$K$7:$K$2738,$F383))</f>
        <v>453</v>
      </c>
    </row>
    <row r="384" customFormat="false" ht="15" hidden="false" customHeight="false" outlineLevel="0" collapsed="false">
      <c r="A384" s="17" t="n">
        <v>380</v>
      </c>
      <c r="B384" s="12" t="s">
        <v>689</v>
      </c>
      <c r="C384" s="12" t="s">
        <v>690</v>
      </c>
      <c r="D384" s="16" t="n">
        <v>0.0105354166666667</v>
      </c>
      <c r="E384" s="15" t="n">
        <f aca="false">ROUND((D384-$D$5)*86400,2)</f>
        <v>120.52</v>
      </c>
      <c r="F384" s="17" t="n">
        <v>379</v>
      </c>
      <c r="G384" s="16" t="str">
        <f aca="false">IF(INDEX(選手一覧!$H$7:$H$2738,$F384)="","",INDEX(選手一覧!$H$7:$H$2738,$F384))</f>
        <v/>
      </c>
      <c r="H384" s="17" t="str">
        <f aca="false">IF(INDEX(選手一覧!$I$7:$I$2738,$F384)="","",INDEX(選手一覧!$I$7:$I$2738,$F384))</f>
        <v/>
      </c>
      <c r="I384" s="16" t="n">
        <f aca="false">IF(INDEX(選手一覧!$J$7:$J$2738,$F384)="","",INDEX(選手一覧!$J$7:$J$2738,$F384))</f>
        <v>0.00278622685185185</v>
      </c>
      <c r="J384" s="17" t="n">
        <f aca="false">IF(INDEX(選手一覧!$K$7:$K$2738,$F384)="","",INDEX(選手一覧!$K$7:$K$2738,$F384))</f>
        <v>222</v>
      </c>
    </row>
    <row r="385" customFormat="false" ht="15" hidden="false" customHeight="false" outlineLevel="0" collapsed="false">
      <c r="A385" s="17" t="n">
        <v>381</v>
      </c>
      <c r="B385" s="12" t="s">
        <v>691</v>
      </c>
      <c r="C385" s="12" t="s">
        <v>692</v>
      </c>
      <c r="D385" s="16" t="n">
        <v>0.0105368055555556</v>
      </c>
      <c r="E385" s="15" t="n">
        <f aca="false">ROUND((D385-$D$5)*86400,2)</f>
        <v>120.64</v>
      </c>
      <c r="F385" s="17" t="n">
        <v>380</v>
      </c>
      <c r="G385" s="16" t="str">
        <f aca="false">IF(INDEX(選手一覧!$H$7:$H$2738,$F385)="","",INDEX(選手一覧!$H$7:$H$2738,$F385))</f>
        <v/>
      </c>
      <c r="H385" s="17" t="str">
        <f aca="false">IF(INDEX(選手一覧!$I$7:$I$2738,$F385)="","",INDEX(選手一覧!$I$7:$I$2738,$F385))</f>
        <v/>
      </c>
      <c r="I385" s="16" t="n">
        <f aca="false">IF(INDEX(選手一覧!$J$7:$J$2738,$F385)="","",INDEX(選手一覧!$J$7:$J$2738,$F385))</f>
        <v>0.00284155092592593</v>
      </c>
      <c r="J385" s="17" t="n">
        <f aca="false">IF(INDEX(選手一覧!$K$7:$K$2738,$F385)="","",INDEX(選手一覧!$K$7:$K$2738,$F385))</f>
        <v>511</v>
      </c>
    </row>
    <row r="386" customFormat="false" ht="15" hidden="false" customHeight="false" outlineLevel="0" collapsed="false">
      <c r="A386" s="17" t="n">
        <v>382</v>
      </c>
      <c r="B386" s="12" t="s">
        <v>693</v>
      </c>
      <c r="C386" s="12" t="s">
        <v>301</v>
      </c>
      <c r="D386" s="16" t="n">
        <v>0.0105369212962963</v>
      </c>
      <c r="E386" s="15" t="n">
        <f aca="false">ROUND((D386-$D$5)*86400,2)</f>
        <v>120.65</v>
      </c>
      <c r="F386" s="17" t="n">
        <v>381</v>
      </c>
      <c r="G386" s="16" t="str">
        <f aca="false">IF(INDEX(選手一覧!$H$7:$H$2738,$F386)="","",INDEX(選手一覧!$H$7:$H$2738,$F386))</f>
        <v/>
      </c>
      <c r="H386" s="17" t="str">
        <f aca="false">IF(INDEX(選手一覧!$I$7:$I$2738,$F386)="","",INDEX(選手一覧!$I$7:$I$2738,$F386))</f>
        <v/>
      </c>
      <c r="I386" s="16" t="n">
        <f aca="false">IF(INDEX(選手一覧!$J$7:$J$2738,$F386)="","",INDEX(選手一覧!$J$7:$J$2738,$F386))</f>
        <v>0.00279189814814815</v>
      </c>
      <c r="J386" s="17" t="n">
        <f aca="false">IF(INDEX(選手一覧!$K$7:$K$2738,$F386)="","",INDEX(選手一覧!$K$7:$K$2738,$F386))</f>
        <v>248</v>
      </c>
    </row>
    <row r="387" customFormat="false" ht="15" hidden="false" customHeight="false" outlineLevel="0" collapsed="false">
      <c r="A387" s="17" t="n">
        <v>383</v>
      </c>
      <c r="B387" s="12" t="s">
        <v>694</v>
      </c>
      <c r="C387" s="12" t="s">
        <v>695</v>
      </c>
      <c r="D387" s="16" t="n">
        <v>0.0105378472222222</v>
      </c>
      <c r="E387" s="15" t="n">
        <f aca="false">ROUND((D387-$D$5)*86400,2)</f>
        <v>120.73</v>
      </c>
      <c r="F387" s="17" t="n">
        <v>382</v>
      </c>
      <c r="G387" s="16" t="str">
        <f aca="false">IF(INDEX(選手一覧!$H$7:$H$2738,$F387)="","",INDEX(選手一覧!$H$7:$H$2738,$F387))</f>
        <v/>
      </c>
      <c r="H387" s="17" t="str">
        <f aca="false">IF(INDEX(選手一覧!$I$7:$I$2738,$F387)="","",INDEX(選手一覧!$I$7:$I$2738,$F387))</f>
        <v/>
      </c>
      <c r="I387" s="16" t="str">
        <f aca="false">IF(INDEX(選手一覧!$J$7:$J$2738,$F387)="","",INDEX(選手一覧!$J$7:$J$2738,$F387))</f>
        <v/>
      </c>
      <c r="J387" s="17" t="str">
        <f aca="false">IF(INDEX(選手一覧!$K$7:$K$2738,$F387)="","",INDEX(選手一覧!$K$7:$K$2738,$F387))</f>
        <v/>
      </c>
    </row>
    <row r="388" customFormat="false" ht="15" hidden="false" customHeight="false" outlineLevel="0" collapsed="false">
      <c r="A388" s="17" t="n">
        <v>384</v>
      </c>
      <c r="B388" s="12" t="s">
        <v>696</v>
      </c>
      <c r="C388" s="12" t="s">
        <v>207</v>
      </c>
      <c r="D388" s="16" t="n">
        <v>0.0105391203703704</v>
      </c>
      <c r="E388" s="15" t="n">
        <f aca="false">ROUND((D388-$D$5)*86400,2)</f>
        <v>120.84</v>
      </c>
      <c r="F388" s="17" t="n">
        <v>383</v>
      </c>
      <c r="G388" s="16" t="str">
        <f aca="false">IF(INDEX(選手一覧!$H$7:$H$2738,$F388)="","",INDEX(選手一覧!$H$7:$H$2738,$F388))</f>
        <v/>
      </c>
      <c r="H388" s="17" t="str">
        <f aca="false">IF(INDEX(選手一覧!$I$7:$I$2738,$F388)="","",INDEX(選手一覧!$I$7:$I$2738,$F388))</f>
        <v/>
      </c>
      <c r="I388" s="16" t="n">
        <f aca="false">IF(INDEX(選手一覧!$J$7:$J$2738,$F388)="","",INDEX(選手一覧!$J$7:$J$2738,$F388))</f>
        <v>0.00288923611111111</v>
      </c>
      <c r="J388" s="17" t="n">
        <f aca="false">IF(INDEX(選手一覧!$K$7:$K$2738,$F388)="","",INDEX(選手一覧!$K$7:$K$2738,$F388))</f>
        <v>858</v>
      </c>
    </row>
    <row r="389" customFormat="false" ht="15" hidden="false" customHeight="false" outlineLevel="0" collapsed="false">
      <c r="A389" s="17" t="n">
        <v>385</v>
      </c>
      <c r="B389" s="12" t="s">
        <v>697</v>
      </c>
      <c r="C389" s="12" t="s">
        <v>698</v>
      </c>
      <c r="D389" s="16" t="n">
        <v>0.0105398148148148</v>
      </c>
      <c r="E389" s="15" t="n">
        <f aca="false">ROUND((D389-$D$5)*86400,2)</f>
        <v>120.9</v>
      </c>
      <c r="F389" s="17" t="n">
        <v>384</v>
      </c>
      <c r="G389" s="16" t="n">
        <f aca="false">IF(INDEX(選手一覧!$H$7:$H$2738,$F389)="","",INDEX(選手一覧!$H$7:$H$2738,$F389))</f>
        <v>0.00639525462962963</v>
      </c>
      <c r="H389" s="17" t="n">
        <f aca="false">IF(INDEX(選手一覧!$I$7:$I$2738,$F389)="","",INDEX(選手一覧!$I$7:$I$2738,$F389))</f>
        <v>14</v>
      </c>
      <c r="I389" s="16" t="n">
        <f aca="false">IF(INDEX(選手一覧!$J$7:$J$2738,$F389)="","",INDEX(選手一覧!$J$7:$J$2738,$F389))</f>
        <v>0.00272905092592593</v>
      </c>
      <c r="J389" s="17" t="n">
        <f aca="false">IF(INDEX(選手一覧!$K$7:$K$2738,$F389)="","",INDEX(選手一覧!$K$7:$K$2738,$F389))</f>
        <v>63</v>
      </c>
    </row>
    <row r="390" customFormat="false" ht="15" hidden="false" customHeight="false" outlineLevel="0" collapsed="false">
      <c r="A390" s="17" t="n">
        <v>386</v>
      </c>
      <c r="B390" s="12" t="s">
        <v>700</v>
      </c>
      <c r="C390" s="12" t="s">
        <v>323</v>
      </c>
      <c r="D390" s="16" t="n">
        <v>0.010540162037037</v>
      </c>
      <c r="E390" s="15" t="n">
        <f aca="false">ROUND((D390-$D$5)*86400,2)</f>
        <v>120.93</v>
      </c>
      <c r="F390" s="17" t="n">
        <v>385</v>
      </c>
      <c r="G390" s="16" t="str">
        <f aca="false">IF(INDEX(選手一覧!$H$7:$H$2738,$F390)="","",INDEX(選手一覧!$H$7:$H$2738,$F390))</f>
        <v/>
      </c>
      <c r="H390" s="17" t="str">
        <f aca="false">IF(INDEX(選手一覧!$I$7:$I$2738,$F390)="","",INDEX(選手一覧!$I$7:$I$2738,$F390))</f>
        <v/>
      </c>
      <c r="I390" s="16" t="str">
        <f aca="false">IF(INDEX(選手一覧!$J$7:$J$2738,$F390)="","",INDEX(選手一覧!$J$7:$J$2738,$F390))</f>
        <v/>
      </c>
      <c r="J390" s="17" t="str">
        <f aca="false">IF(INDEX(選手一覧!$K$7:$K$2738,$F390)="","",INDEX(選手一覧!$K$7:$K$2738,$F390))</f>
        <v/>
      </c>
    </row>
    <row r="391" customFormat="false" ht="15" hidden="false" customHeight="false" outlineLevel="0" collapsed="false">
      <c r="A391" s="17" t="n">
        <v>387</v>
      </c>
      <c r="B391" s="12" t="s">
        <v>701</v>
      </c>
      <c r="C391" s="12" t="s">
        <v>137</v>
      </c>
      <c r="D391" s="16" t="n">
        <v>0.0105403935185185</v>
      </c>
      <c r="E391" s="15" t="n">
        <f aca="false">ROUND((D391-$D$5)*86400,2)</f>
        <v>120.95</v>
      </c>
      <c r="F391" s="17" t="n">
        <v>386</v>
      </c>
      <c r="G391" s="16" t="str">
        <f aca="false">IF(INDEX(選手一覧!$H$7:$H$2738,$F391)="","",INDEX(選手一覧!$H$7:$H$2738,$F391))</f>
        <v/>
      </c>
      <c r="H391" s="17" t="str">
        <f aca="false">IF(INDEX(選手一覧!$I$7:$I$2738,$F391)="","",INDEX(選手一覧!$I$7:$I$2738,$F391))</f>
        <v/>
      </c>
      <c r="I391" s="16" t="n">
        <f aca="false">IF(INDEX(選手一覧!$J$7:$J$2738,$F391)="","",INDEX(選手一覧!$J$7:$J$2738,$F391))</f>
        <v>0.00280694444444444</v>
      </c>
      <c r="J391" s="17" t="n">
        <f aca="false">IF(INDEX(選手一覧!$K$7:$K$2738,$F391)="","",INDEX(選手一覧!$K$7:$K$2738,$F391))</f>
        <v>312</v>
      </c>
    </row>
    <row r="392" customFormat="false" ht="15" hidden="false" customHeight="false" outlineLevel="0" collapsed="false">
      <c r="A392" s="17" t="n">
        <v>388</v>
      </c>
      <c r="B392" s="12" t="s">
        <v>702</v>
      </c>
      <c r="C392" s="12" t="s">
        <v>73</v>
      </c>
      <c r="D392" s="16" t="n">
        <v>0.0105407407407407</v>
      </c>
      <c r="E392" s="15" t="n">
        <f aca="false">ROUND((D392-$D$5)*86400,2)</f>
        <v>120.98</v>
      </c>
      <c r="F392" s="17" t="n">
        <v>387</v>
      </c>
      <c r="G392" s="16" t="str">
        <f aca="false">IF(INDEX(選手一覧!$H$7:$H$2738,$F392)="","",INDEX(選手一覧!$H$7:$H$2738,$F392))</f>
        <v/>
      </c>
      <c r="H392" s="17" t="str">
        <f aca="false">IF(INDEX(選手一覧!$I$7:$I$2738,$F392)="","",INDEX(選手一覧!$I$7:$I$2738,$F392))</f>
        <v/>
      </c>
      <c r="I392" s="16" t="str">
        <f aca="false">IF(INDEX(選手一覧!$J$7:$J$2738,$F392)="","",INDEX(選手一覧!$J$7:$J$2738,$F392))</f>
        <v/>
      </c>
      <c r="J392" s="17" t="str">
        <f aca="false">IF(INDEX(選手一覧!$K$7:$K$2738,$F392)="","",INDEX(選手一覧!$K$7:$K$2738,$F392))</f>
        <v/>
      </c>
    </row>
    <row r="393" customFormat="false" ht="15" hidden="false" customHeight="false" outlineLevel="0" collapsed="false">
      <c r="A393" s="17" t="n">
        <v>389</v>
      </c>
      <c r="B393" s="12" t="s">
        <v>703</v>
      </c>
      <c r="C393" s="12" t="s">
        <v>491</v>
      </c>
      <c r="D393" s="16" t="n">
        <v>0.0105414351851852</v>
      </c>
      <c r="E393" s="15" t="n">
        <f aca="false">ROUND((D393-$D$5)*86400,2)</f>
        <v>121.04</v>
      </c>
      <c r="F393" s="17" t="n">
        <v>388</v>
      </c>
      <c r="G393" s="16" t="str">
        <f aca="false">IF(INDEX(選手一覧!$H$7:$H$2738,$F393)="","",INDEX(選手一覧!$H$7:$H$2738,$F393))</f>
        <v/>
      </c>
      <c r="H393" s="17" t="str">
        <f aca="false">IF(INDEX(選手一覧!$I$7:$I$2738,$F393)="","",INDEX(選手一覧!$I$7:$I$2738,$F393))</f>
        <v/>
      </c>
      <c r="I393" s="16" t="n">
        <f aca="false">IF(INDEX(選手一覧!$J$7:$J$2738,$F393)="","",INDEX(選手一覧!$J$7:$J$2738,$F393))</f>
        <v>0.00274861111111111</v>
      </c>
      <c r="J393" s="17" t="n">
        <f aca="false">IF(INDEX(選手一覧!$K$7:$K$2738,$F393)="","",INDEX(選手一覧!$K$7:$K$2738,$F393))</f>
        <v>98</v>
      </c>
    </row>
    <row r="394" customFormat="false" ht="15" hidden="false" customHeight="false" outlineLevel="0" collapsed="false">
      <c r="A394" s="17" t="n">
        <v>390</v>
      </c>
      <c r="B394" s="12" t="s">
        <v>704</v>
      </c>
      <c r="C394" s="12" t="s">
        <v>440</v>
      </c>
      <c r="D394" s="16" t="n">
        <v>0.0105425925925926</v>
      </c>
      <c r="E394" s="15" t="n">
        <f aca="false">ROUND((D394-$D$5)*86400,2)</f>
        <v>121.14</v>
      </c>
      <c r="F394" s="17" t="n">
        <v>389</v>
      </c>
      <c r="G394" s="16" t="str">
        <f aca="false">IF(INDEX(選手一覧!$H$7:$H$2738,$F394)="","",INDEX(選手一覧!$H$7:$H$2738,$F394))</f>
        <v/>
      </c>
      <c r="H394" s="17" t="str">
        <f aca="false">IF(INDEX(選手一覧!$I$7:$I$2738,$F394)="","",INDEX(選手一覧!$I$7:$I$2738,$F394))</f>
        <v/>
      </c>
      <c r="I394" s="16" t="str">
        <f aca="false">IF(INDEX(選手一覧!$J$7:$J$2738,$F394)="","",INDEX(選手一覧!$J$7:$J$2738,$F394))</f>
        <v/>
      </c>
      <c r="J394" s="17" t="str">
        <f aca="false">IF(INDEX(選手一覧!$K$7:$K$2738,$F394)="","",INDEX(選手一覧!$K$7:$K$2738,$F394))</f>
        <v/>
      </c>
    </row>
    <row r="395" customFormat="false" ht="15" hidden="false" customHeight="false" outlineLevel="0" collapsed="false">
      <c r="A395" s="17" t="n">
        <v>391</v>
      </c>
      <c r="B395" s="12" t="s">
        <v>705</v>
      </c>
      <c r="C395" s="12" t="s">
        <v>157</v>
      </c>
      <c r="D395" s="16" t="n">
        <v>0.0105428240740741</v>
      </c>
      <c r="E395" s="15" t="n">
        <f aca="false">ROUND((D395-$D$5)*86400,2)</f>
        <v>121.16</v>
      </c>
      <c r="F395" s="17" t="n">
        <v>390</v>
      </c>
      <c r="G395" s="16" t="str">
        <f aca="false">IF(INDEX(選手一覧!$H$7:$H$2738,$F395)="","",INDEX(選手一覧!$H$7:$H$2738,$F395))</f>
        <v/>
      </c>
      <c r="H395" s="17" t="str">
        <f aca="false">IF(INDEX(選手一覧!$I$7:$I$2738,$F395)="","",INDEX(選手一覧!$I$7:$I$2738,$F395))</f>
        <v/>
      </c>
      <c r="I395" s="16" t="n">
        <f aca="false">IF(INDEX(選手一覧!$J$7:$J$2738,$F395)="","",INDEX(選手一覧!$J$7:$J$2738,$F395))</f>
        <v>0.0027537037037037</v>
      </c>
      <c r="J395" s="17" t="n">
        <f aca="false">IF(INDEX(選手一覧!$K$7:$K$2738,$F395)="","",INDEX(選手一覧!$K$7:$K$2738,$F395))</f>
        <v>112</v>
      </c>
    </row>
    <row r="396" customFormat="false" ht="15" hidden="false" customHeight="false" outlineLevel="0" collapsed="false">
      <c r="A396" s="17" t="n">
        <v>392</v>
      </c>
      <c r="B396" s="12" t="s">
        <v>706</v>
      </c>
      <c r="C396" s="12" t="s">
        <v>707</v>
      </c>
      <c r="D396" s="16" t="n">
        <v>0.010544212962963</v>
      </c>
      <c r="E396" s="15" t="n">
        <f aca="false">ROUND((D396-$D$5)*86400,2)</f>
        <v>121.28</v>
      </c>
      <c r="F396" s="17" t="n">
        <v>391</v>
      </c>
      <c r="G396" s="16" t="str">
        <f aca="false">IF(INDEX(選手一覧!$H$7:$H$2738,$F396)="","",INDEX(選手一覧!$H$7:$H$2738,$F396))</f>
        <v/>
      </c>
      <c r="H396" s="17" t="str">
        <f aca="false">IF(INDEX(選手一覧!$I$7:$I$2738,$F396)="","",INDEX(選手一覧!$I$7:$I$2738,$F396))</f>
        <v/>
      </c>
      <c r="I396" s="16" t="n">
        <f aca="false">IF(INDEX(選手一覧!$J$7:$J$2738,$F396)="","",INDEX(選手一覧!$J$7:$J$2738,$F396))</f>
        <v>0.00284861111111111</v>
      </c>
      <c r="J396" s="17" t="n">
        <f aca="false">IF(INDEX(選手一覧!$K$7:$K$2738,$F396)="","",INDEX(選手一覧!$K$7:$K$2738,$F396))</f>
        <v>560</v>
      </c>
    </row>
    <row r="397" customFormat="false" ht="15" hidden="false" customHeight="false" outlineLevel="0" collapsed="false">
      <c r="A397" s="17" t="n">
        <v>393</v>
      </c>
      <c r="B397" s="12" t="s">
        <v>708</v>
      </c>
      <c r="C397" s="12" t="s">
        <v>709</v>
      </c>
      <c r="D397" s="16" t="n">
        <v>0.0105469907407407</v>
      </c>
      <c r="E397" s="15" t="n">
        <f aca="false">ROUND((D397-$D$5)*86400,2)</f>
        <v>121.52</v>
      </c>
      <c r="F397" s="17" t="n">
        <v>392</v>
      </c>
      <c r="G397" s="16" t="str">
        <f aca="false">IF(INDEX(選手一覧!$H$7:$H$2738,$F397)="","",INDEX(選手一覧!$H$7:$H$2738,$F397))</f>
        <v/>
      </c>
      <c r="H397" s="17" t="str">
        <f aca="false">IF(INDEX(選手一覧!$I$7:$I$2738,$F397)="","",INDEX(選手一覧!$I$7:$I$2738,$F397))</f>
        <v/>
      </c>
      <c r="I397" s="16" t="str">
        <f aca="false">IF(INDEX(選手一覧!$J$7:$J$2738,$F397)="","",INDEX(選手一覧!$J$7:$J$2738,$F397))</f>
        <v/>
      </c>
      <c r="J397" s="17" t="str">
        <f aca="false">IF(INDEX(選手一覧!$K$7:$K$2738,$F397)="","",INDEX(選手一覧!$K$7:$K$2738,$F397))</f>
        <v/>
      </c>
    </row>
    <row r="398" customFormat="false" ht="15" hidden="false" customHeight="false" outlineLevel="0" collapsed="false">
      <c r="A398" s="17" t="n">
        <v>394</v>
      </c>
      <c r="B398" s="12" t="s">
        <v>710</v>
      </c>
      <c r="C398" s="12" t="s">
        <v>711</v>
      </c>
      <c r="D398" s="16" t="n">
        <v>0.0105475694444444</v>
      </c>
      <c r="E398" s="15" t="n">
        <f aca="false">ROUND((D398-$D$5)*86400,2)</f>
        <v>121.57</v>
      </c>
      <c r="F398" s="17" t="n">
        <v>393</v>
      </c>
      <c r="G398" s="16" t="str">
        <f aca="false">IF(INDEX(選手一覧!$H$7:$H$2738,$F398)="","",INDEX(選手一覧!$H$7:$H$2738,$F398))</f>
        <v/>
      </c>
      <c r="H398" s="17" t="str">
        <f aca="false">IF(INDEX(選手一覧!$I$7:$I$2738,$F398)="","",INDEX(選手一覧!$I$7:$I$2738,$F398))</f>
        <v/>
      </c>
      <c r="I398" s="16" t="n">
        <f aca="false">IF(INDEX(選手一覧!$J$7:$J$2738,$F398)="","",INDEX(選手一覧!$J$7:$J$2738,$F398))</f>
        <v>0.00288657407407407</v>
      </c>
      <c r="J398" s="17" t="n">
        <f aca="false">IF(INDEX(選手一覧!$K$7:$K$2738,$F398)="","",INDEX(選手一覧!$K$7:$K$2738,$F398))</f>
        <v>829</v>
      </c>
    </row>
    <row r="399" customFormat="false" ht="15" hidden="false" customHeight="false" outlineLevel="0" collapsed="false">
      <c r="A399" s="17" t="n">
        <v>395</v>
      </c>
      <c r="B399" s="12" t="s">
        <v>712</v>
      </c>
      <c r="C399" s="12" t="s">
        <v>544</v>
      </c>
      <c r="D399" s="16" t="n">
        <v>0.0105478009259259</v>
      </c>
      <c r="E399" s="15" t="n">
        <f aca="false">ROUND((D399-$D$5)*86400,2)</f>
        <v>121.59</v>
      </c>
      <c r="F399" s="17" t="n">
        <v>394</v>
      </c>
      <c r="G399" s="16" t="n">
        <f aca="false">IF(INDEX(選手一覧!$H$7:$H$2738,$F399)="","",INDEX(選手一覧!$H$7:$H$2738,$F399))</f>
        <v>0.00705462962962963</v>
      </c>
      <c r="H399" s="17" t="n">
        <f aca="false">IF(INDEX(選手一覧!$I$7:$I$2738,$F399)="","",INDEX(選手一覧!$I$7:$I$2738,$F399))</f>
        <v>394</v>
      </c>
      <c r="I399" s="16" t="n">
        <f aca="false">IF(INDEX(選手一覧!$J$7:$J$2738,$F399)="","",INDEX(選手一覧!$J$7:$J$2738,$F399))</f>
        <v>0.00281296296296296</v>
      </c>
      <c r="J399" s="17" t="n">
        <f aca="false">IF(INDEX(選手一覧!$K$7:$K$2738,$F399)="","",INDEX(選手一覧!$K$7:$K$2738,$F399))</f>
        <v>333</v>
      </c>
    </row>
    <row r="400" customFormat="false" ht="15" hidden="false" customHeight="false" outlineLevel="0" collapsed="false">
      <c r="A400" s="17" t="n">
        <v>396</v>
      </c>
      <c r="B400" s="12" t="s">
        <v>714</v>
      </c>
      <c r="C400" s="12" t="s">
        <v>389</v>
      </c>
      <c r="D400" s="16" t="n">
        <v>0.0105479166666667</v>
      </c>
      <c r="E400" s="15" t="n">
        <f aca="false">ROUND((D400-$D$5)*86400,2)</f>
        <v>121.6</v>
      </c>
      <c r="F400" s="17" t="n">
        <v>395</v>
      </c>
      <c r="G400" s="16" t="str">
        <f aca="false">IF(INDEX(選手一覧!$H$7:$H$2738,$F400)="","",INDEX(選手一覧!$H$7:$H$2738,$F400))</f>
        <v/>
      </c>
      <c r="H400" s="17" t="str">
        <f aca="false">IF(INDEX(選手一覧!$I$7:$I$2738,$F400)="","",INDEX(選手一覧!$I$7:$I$2738,$F400))</f>
        <v/>
      </c>
      <c r="I400" s="16" t="n">
        <f aca="false">IF(INDEX(選手一覧!$J$7:$J$2738,$F400)="","",INDEX(選手一覧!$J$7:$J$2738,$F400))</f>
        <v>0.0028087962962963</v>
      </c>
      <c r="J400" s="17" t="n">
        <f aca="false">IF(INDEX(選手一覧!$K$7:$K$2738,$F400)="","",INDEX(選手一覧!$K$7:$K$2738,$F400))</f>
        <v>321</v>
      </c>
    </row>
    <row r="401" customFormat="false" ht="15" hidden="false" customHeight="false" outlineLevel="0" collapsed="false">
      <c r="A401" s="17" t="n">
        <v>397</v>
      </c>
      <c r="B401" s="12" t="s">
        <v>716</v>
      </c>
      <c r="C401" s="12" t="s">
        <v>157</v>
      </c>
      <c r="D401" s="16" t="n">
        <v>0.0105482638888889</v>
      </c>
      <c r="E401" s="15" t="n">
        <f aca="false">ROUND((D401-$D$5)*86400,2)</f>
        <v>121.63</v>
      </c>
      <c r="F401" s="17" t="n">
        <v>396</v>
      </c>
      <c r="G401" s="16" t="n">
        <f aca="false">IF(INDEX(選手一覧!$H$7:$H$2738,$F401)="","",INDEX(選手一覧!$H$7:$H$2738,$F401))</f>
        <v>0.00688796296296296</v>
      </c>
      <c r="H401" s="17" t="n">
        <f aca="false">IF(INDEX(選手一覧!$I$7:$I$2738,$F401)="","",INDEX(選手一覧!$I$7:$I$2738,$F401))</f>
        <v>229</v>
      </c>
      <c r="I401" s="16" t="str">
        <f aca="false">IF(INDEX(選手一覧!$J$7:$J$2738,$F401)="","",INDEX(選手一覧!$J$7:$J$2738,$F401))</f>
        <v/>
      </c>
      <c r="J401" s="17" t="str">
        <f aca="false">IF(INDEX(選手一覧!$K$7:$K$2738,$F401)="","",INDEX(選手一覧!$K$7:$K$2738,$F401))</f>
        <v/>
      </c>
    </row>
    <row r="402" customFormat="false" ht="15" hidden="false" customHeight="false" outlineLevel="0" collapsed="false">
      <c r="A402" s="17" t="n">
        <v>398</v>
      </c>
      <c r="B402" s="12" t="s">
        <v>717</v>
      </c>
      <c r="C402" s="12" t="s">
        <v>323</v>
      </c>
      <c r="D402" s="16" t="n">
        <v>0.0105496527777778</v>
      </c>
      <c r="E402" s="15" t="n">
        <f aca="false">ROUND((D402-$D$5)*86400,2)</f>
        <v>121.75</v>
      </c>
      <c r="F402" s="17" t="n">
        <v>397</v>
      </c>
      <c r="G402" s="16" t="n">
        <f aca="false">IF(INDEX(選手一覧!$H$7:$H$2738,$F402)="","",INDEX(選手一覧!$H$7:$H$2738,$F402))</f>
        <v>0.00659895833333333</v>
      </c>
      <c r="H402" s="17" t="n">
        <f aca="false">IF(INDEX(選手一覧!$I$7:$I$2738,$F402)="","",INDEX(選手一覧!$I$7:$I$2738,$F402))</f>
        <v>68</v>
      </c>
      <c r="I402" s="16" t="n">
        <f aca="false">IF(INDEX(選手一覧!$J$7:$J$2738,$F402)="","",INDEX(選手一覧!$J$7:$J$2738,$F402))</f>
        <v>0.00293402777777778</v>
      </c>
      <c r="J402" s="17" t="n">
        <f aca="false">IF(INDEX(選手一覧!$K$7:$K$2738,$F402)="","",INDEX(選手一覧!$K$7:$K$2738,$F402))</f>
        <v>1183</v>
      </c>
    </row>
    <row r="403" customFormat="false" ht="15" hidden="false" customHeight="false" outlineLevel="0" collapsed="false">
      <c r="A403" s="17" t="n">
        <v>399</v>
      </c>
      <c r="B403" s="12" t="s">
        <v>718</v>
      </c>
      <c r="C403" s="12" t="s">
        <v>228</v>
      </c>
      <c r="D403" s="16" t="n">
        <v>0.0105503472222222</v>
      </c>
      <c r="E403" s="15" t="n">
        <f aca="false">ROUND((D403-$D$5)*86400,2)</f>
        <v>121.81</v>
      </c>
      <c r="F403" s="17" t="n">
        <v>398</v>
      </c>
      <c r="G403" s="16" t="n">
        <f aca="false">IF(INDEX(選手一覧!$H$7:$H$2738,$F403)="","",INDEX(選手一覧!$H$7:$H$2738,$F403))</f>
        <v>0.00646284722222222</v>
      </c>
      <c r="H403" s="17" t="n">
        <f aca="false">IF(INDEX(選手一覧!$I$7:$I$2738,$F403)="","",INDEX(選手一覧!$I$7:$I$2738,$F403))</f>
        <v>27</v>
      </c>
      <c r="I403" s="16" t="n">
        <f aca="false">IF(INDEX(選手一覧!$J$7:$J$2738,$F403)="","",INDEX(選手一覧!$J$7:$J$2738,$F403))</f>
        <v>0.00287256944444445</v>
      </c>
      <c r="J403" s="17" t="n">
        <f aca="false">IF(INDEX(選手一覧!$K$7:$K$2738,$F403)="","",INDEX(選手一覧!$K$7:$K$2738,$F403))</f>
        <v>719</v>
      </c>
    </row>
    <row r="404" customFormat="false" ht="15" hidden="false" customHeight="false" outlineLevel="0" collapsed="false">
      <c r="A404" s="17" t="n">
        <v>400</v>
      </c>
      <c r="B404" s="12" t="s">
        <v>720</v>
      </c>
      <c r="C404" s="12" t="s">
        <v>503</v>
      </c>
      <c r="D404" s="16" t="n">
        <v>0.0105509259259259</v>
      </c>
      <c r="E404" s="15" t="n">
        <f aca="false">ROUND((D404-$D$5)*86400,2)</f>
        <v>121.86</v>
      </c>
      <c r="F404" s="17" t="n">
        <v>399</v>
      </c>
      <c r="G404" s="16" t="n">
        <f aca="false">IF(INDEX(選手一覧!$H$7:$H$2738,$F404)="","",INDEX(選手一覧!$H$7:$H$2738,$F404))</f>
        <v>0.0071125</v>
      </c>
      <c r="H404" s="17" t="n">
        <f aca="false">IF(INDEX(選手一覧!$I$7:$I$2738,$F404)="","",INDEX(選手一覧!$I$7:$I$2738,$F404))</f>
        <v>457</v>
      </c>
      <c r="I404" s="16" t="str">
        <f aca="false">IF(INDEX(選手一覧!$J$7:$J$2738,$F404)="","",INDEX(選手一覧!$J$7:$J$2738,$F404))</f>
        <v/>
      </c>
      <c r="J404" s="17" t="str">
        <f aca="false">IF(INDEX(選手一覧!$K$7:$K$2738,$F404)="","",INDEX(選手一覧!$K$7:$K$2738,$F404))</f>
        <v/>
      </c>
    </row>
    <row r="405" customFormat="false" ht="15" hidden="false" customHeight="false" outlineLevel="0" collapsed="false">
      <c r="A405" s="17" t="n">
        <v>401</v>
      </c>
      <c r="B405" s="12" t="s">
        <v>721</v>
      </c>
      <c r="C405" s="12" t="s">
        <v>722</v>
      </c>
      <c r="D405" s="16" t="n">
        <v>0.0105509259259259</v>
      </c>
      <c r="E405" s="15" t="n">
        <f aca="false">ROUND((D405-$D$5)*86400,2)</f>
        <v>121.86</v>
      </c>
      <c r="F405" s="17" t="n">
        <v>400</v>
      </c>
      <c r="G405" s="16" t="str">
        <f aca="false">IF(INDEX(選手一覧!$H$7:$H$2738,$F405)="","",INDEX(選手一覧!$H$7:$H$2738,$F405))</f>
        <v/>
      </c>
      <c r="H405" s="17" t="str">
        <f aca="false">IF(INDEX(選手一覧!$I$7:$I$2738,$F405)="","",INDEX(選手一覧!$I$7:$I$2738,$F405))</f>
        <v/>
      </c>
      <c r="I405" s="16" t="str">
        <f aca="false">IF(INDEX(選手一覧!$J$7:$J$2738,$F405)="","",INDEX(選手一覧!$J$7:$J$2738,$F405))</f>
        <v/>
      </c>
      <c r="J405" s="17" t="str">
        <f aca="false">IF(INDEX(選手一覧!$K$7:$K$2738,$F405)="","",INDEX(選手一覧!$K$7:$K$2738,$F405))</f>
        <v/>
      </c>
    </row>
    <row r="406" customFormat="false" ht="15" hidden="false" customHeight="false" outlineLevel="0" collapsed="false">
      <c r="A406" s="17" t="n">
        <v>402</v>
      </c>
      <c r="B406" s="12" t="s">
        <v>723</v>
      </c>
      <c r="C406" s="12" t="s">
        <v>515</v>
      </c>
      <c r="D406" s="16" t="n">
        <v>0.0105515046296296</v>
      </c>
      <c r="E406" s="15" t="n">
        <f aca="false">ROUND((D406-$D$5)*86400,2)</f>
        <v>121.91</v>
      </c>
      <c r="F406" s="17" t="n">
        <v>401</v>
      </c>
      <c r="G406" s="16" t="str">
        <f aca="false">IF(INDEX(選手一覧!$H$7:$H$2738,$F406)="","",INDEX(選手一覧!$H$7:$H$2738,$F406))</f>
        <v/>
      </c>
      <c r="H406" s="17" t="str">
        <f aca="false">IF(INDEX(選手一覧!$I$7:$I$2738,$F406)="","",INDEX(選手一覧!$I$7:$I$2738,$F406))</f>
        <v/>
      </c>
      <c r="I406" s="16" t="n">
        <f aca="false">IF(INDEX(選手一覧!$J$7:$J$2738,$F406)="","",INDEX(選手一覧!$J$7:$J$2738,$F406))</f>
        <v>0.00283819444444444</v>
      </c>
      <c r="J406" s="17" t="n">
        <f aca="false">IF(INDEX(選手一覧!$K$7:$K$2738,$F406)="","",INDEX(選手一覧!$K$7:$K$2738,$F406))</f>
        <v>485</v>
      </c>
    </row>
    <row r="407" customFormat="false" ht="15" hidden="false" customHeight="false" outlineLevel="0" collapsed="false">
      <c r="A407" s="17" t="n">
        <v>403</v>
      </c>
      <c r="B407" s="12" t="s">
        <v>724</v>
      </c>
      <c r="C407" s="12" t="s">
        <v>503</v>
      </c>
      <c r="D407" s="16" t="n">
        <v>0.0105524305555556</v>
      </c>
      <c r="E407" s="15" t="n">
        <f aca="false">ROUND((D407-$D$5)*86400,2)</f>
        <v>121.99</v>
      </c>
      <c r="F407" s="17" t="n">
        <v>402</v>
      </c>
      <c r="G407" s="16" t="str">
        <f aca="false">IF(INDEX(選手一覧!$H$7:$H$2738,$F407)="","",INDEX(選手一覧!$H$7:$H$2738,$F407))</f>
        <v/>
      </c>
      <c r="H407" s="17" t="str">
        <f aca="false">IF(INDEX(選手一覧!$I$7:$I$2738,$F407)="","",INDEX(選手一覧!$I$7:$I$2738,$F407))</f>
        <v/>
      </c>
      <c r="I407" s="16" t="str">
        <f aca="false">IF(INDEX(選手一覧!$J$7:$J$2738,$F407)="","",INDEX(選手一覧!$J$7:$J$2738,$F407))</f>
        <v/>
      </c>
      <c r="J407" s="17" t="str">
        <f aca="false">IF(INDEX(選手一覧!$K$7:$K$2738,$F407)="","",INDEX(選手一覧!$K$7:$K$2738,$F407))</f>
        <v/>
      </c>
    </row>
    <row r="408" customFormat="false" ht="15" hidden="false" customHeight="false" outlineLevel="0" collapsed="false">
      <c r="A408" s="17" t="n">
        <v>404</v>
      </c>
      <c r="B408" s="12" t="s">
        <v>725</v>
      </c>
      <c r="C408" s="12" t="s">
        <v>40</v>
      </c>
      <c r="D408" s="16" t="n">
        <v>0.0105528935185185</v>
      </c>
      <c r="E408" s="15" t="n">
        <f aca="false">ROUND((D408-$D$5)*86400,2)</f>
        <v>122.03</v>
      </c>
      <c r="F408" s="17" t="n">
        <v>403</v>
      </c>
      <c r="G408" s="16" t="n">
        <f aca="false">IF(INDEX(選手一覧!$H$7:$H$2738,$F408)="","",INDEX(選手一覧!$H$7:$H$2738,$F408))</f>
        <v>0.00656655092592593</v>
      </c>
      <c r="H408" s="17" t="n">
        <f aca="false">IF(INDEX(選手一覧!$I$7:$I$2738,$F408)="","",INDEX(選手一覧!$I$7:$I$2738,$F408))</f>
        <v>55</v>
      </c>
      <c r="I408" s="16" t="n">
        <f aca="false">IF(INDEX(選手一覧!$J$7:$J$2738,$F408)="","",INDEX(選手一覧!$J$7:$J$2738,$F408))</f>
        <v>0.00294768518518519</v>
      </c>
      <c r="J408" s="17" t="n">
        <f aca="false">IF(INDEX(選手一覧!$K$7:$K$2738,$F408)="","",INDEX(選手一覧!$K$7:$K$2738,$F408))</f>
        <v>1225</v>
      </c>
    </row>
    <row r="409" customFormat="false" ht="15" hidden="false" customHeight="false" outlineLevel="0" collapsed="false">
      <c r="A409" s="17" t="n">
        <v>405</v>
      </c>
      <c r="B409" s="12" t="s">
        <v>727</v>
      </c>
      <c r="C409" s="12" t="s">
        <v>728</v>
      </c>
      <c r="D409" s="16" t="n">
        <v>0.0105543981481482</v>
      </c>
      <c r="E409" s="15" t="n">
        <f aca="false">ROUND((D409-$D$5)*86400,2)</f>
        <v>122.16</v>
      </c>
      <c r="F409" s="17" t="n">
        <v>404</v>
      </c>
      <c r="G409" s="16" t="str">
        <f aca="false">IF(INDEX(選手一覧!$H$7:$H$2738,$F409)="","",INDEX(選手一覧!$H$7:$H$2738,$F409))</f>
        <v/>
      </c>
      <c r="H409" s="17" t="str">
        <f aca="false">IF(INDEX(選手一覧!$I$7:$I$2738,$F409)="","",INDEX(選手一覧!$I$7:$I$2738,$F409))</f>
        <v/>
      </c>
      <c r="I409" s="16" t="n">
        <f aca="false">IF(INDEX(選手一覧!$J$7:$J$2738,$F409)="","",INDEX(選手一覧!$J$7:$J$2738,$F409))</f>
        <v>0.00285266203703704</v>
      </c>
      <c r="J409" s="17" t="n">
        <f aca="false">IF(INDEX(選手一覧!$K$7:$K$2738,$F409)="","",INDEX(選手一覧!$K$7:$K$2738,$F409))</f>
        <v>584</v>
      </c>
    </row>
    <row r="410" customFormat="false" ht="15" hidden="false" customHeight="false" outlineLevel="0" collapsed="false">
      <c r="A410" s="17" t="n">
        <v>406</v>
      </c>
      <c r="B410" s="12" t="s">
        <v>730</v>
      </c>
      <c r="C410" s="12" t="s">
        <v>32</v>
      </c>
      <c r="D410" s="16" t="n">
        <v>0.0105568287037037</v>
      </c>
      <c r="E410" s="15" t="n">
        <f aca="false">ROUND((D410-$D$5)*86400,2)</f>
        <v>122.37</v>
      </c>
      <c r="F410" s="17" t="n">
        <v>405</v>
      </c>
      <c r="G410" s="16" t="str">
        <f aca="false">IF(INDEX(選手一覧!$H$7:$H$2738,$F410)="","",INDEX(選手一覧!$H$7:$H$2738,$F410))</f>
        <v/>
      </c>
      <c r="H410" s="17" t="str">
        <f aca="false">IF(INDEX(選手一覧!$I$7:$I$2738,$F410)="","",INDEX(選手一覧!$I$7:$I$2738,$F410))</f>
        <v/>
      </c>
      <c r="I410" s="16" t="n">
        <f aca="false">IF(INDEX(選手一覧!$J$7:$J$2738,$F410)="","",INDEX(選手一覧!$J$7:$J$2738,$F410))</f>
        <v>0.00292060185185185</v>
      </c>
      <c r="J410" s="17" t="n">
        <f aca="false">IF(INDEX(選手一覧!$K$7:$K$2738,$F410)="","",INDEX(選手一覧!$K$7:$K$2738,$F410))</f>
        <v>1105</v>
      </c>
    </row>
    <row r="411" customFormat="false" ht="15" hidden="false" customHeight="false" outlineLevel="0" collapsed="false">
      <c r="A411" s="17" t="n">
        <v>407</v>
      </c>
      <c r="B411" s="12" t="s">
        <v>731</v>
      </c>
      <c r="C411" s="12" t="s">
        <v>4172</v>
      </c>
      <c r="D411" s="16" t="n">
        <v>0.0105568287037037</v>
      </c>
      <c r="E411" s="15" t="n">
        <f aca="false">ROUND((D411-$D$5)*86400,2)</f>
        <v>122.37</v>
      </c>
      <c r="F411" s="17" t="n">
        <v>406</v>
      </c>
      <c r="G411" s="16" t="str">
        <f aca="false">IF(INDEX(選手一覧!$H$7:$H$2738,$F411)="","",INDEX(選手一覧!$H$7:$H$2738,$F411))</f>
        <v/>
      </c>
      <c r="H411" s="17" t="str">
        <f aca="false">IF(INDEX(選手一覧!$I$7:$I$2738,$F411)="","",INDEX(選手一覧!$I$7:$I$2738,$F411))</f>
        <v/>
      </c>
      <c r="I411" s="16" t="n">
        <f aca="false">IF(INDEX(選手一覧!$J$7:$J$2738,$F411)="","",INDEX(選手一覧!$J$7:$J$2738,$F411))</f>
        <v>0.00277222222222222</v>
      </c>
      <c r="J411" s="17" t="n">
        <f aca="false">IF(INDEX(選手一覧!$K$7:$K$2738,$F411)="","",INDEX(選手一覧!$K$7:$K$2738,$F411))</f>
        <v>166</v>
      </c>
    </row>
    <row r="412" customFormat="false" ht="15" hidden="false" customHeight="false" outlineLevel="0" collapsed="false">
      <c r="A412" s="17" t="n">
        <v>408</v>
      </c>
      <c r="B412" s="12" t="s">
        <v>734</v>
      </c>
      <c r="C412" s="12" t="s">
        <v>123</v>
      </c>
      <c r="D412" s="16" t="n">
        <v>0.010559375</v>
      </c>
      <c r="E412" s="15" t="n">
        <f aca="false">ROUND((D412-$D$5)*86400,2)</f>
        <v>122.59</v>
      </c>
      <c r="F412" s="17" t="n">
        <v>407</v>
      </c>
      <c r="G412" s="16" t="n">
        <f aca="false">IF(INDEX(選手一覧!$H$7:$H$2738,$F412)="","",INDEX(選手一覧!$H$7:$H$2738,$F412))</f>
        <v>0.006721875</v>
      </c>
      <c r="H412" s="17" t="n">
        <f aca="false">IF(INDEX(選手一覧!$I$7:$I$2738,$F412)="","",INDEX(選手一覧!$I$7:$I$2738,$F412))</f>
        <v>115</v>
      </c>
      <c r="I412" s="16" t="n">
        <f aca="false">IF(INDEX(選手一覧!$J$7:$J$2738,$F412)="","",INDEX(選手一覧!$J$7:$J$2738,$F412))</f>
        <v>0.00281990740740741</v>
      </c>
      <c r="J412" s="17" t="n">
        <f aca="false">IF(INDEX(選手一覧!$K$7:$K$2738,$F412)="","",INDEX(選手一覧!$K$7:$K$2738,$F412))</f>
        <v>362</v>
      </c>
    </row>
    <row r="413" customFormat="false" ht="15" hidden="false" customHeight="false" outlineLevel="0" collapsed="false">
      <c r="A413" s="17" t="n">
        <v>409</v>
      </c>
      <c r="B413" s="12" t="s">
        <v>735</v>
      </c>
      <c r="C413" s="12" t="s">
        <v>157</v>
      </c>
      <c r="D413" s="16" t="n">
        <v>0.0105594907407407</v>
      </c>
      <c r="E413" s="15" t="n">
        <f aca="false">ROUND((D413-$D$5)*86400,2)</f>
        <v>122.6</v>
      </c>
      <c r="F413" s="17" t="n">
        <v>408</v>
      </c>
      <c r="G413" s="16" t="str">
        <f aca="false">IF(INDEX(選手一覧!$H$7:$H$2738,$F413)="","",INDEX(選手一覧!$H$7:$H$2738,$F413))</f>
        <v/>
      </c>
      <c r="H413" s="17" t="str">
        <f aca="false">IF(INDEX(選手一覧!$I$7:$I$2738,$F413)="","",INDEX(選手一覧!$I$7:$I$2738,$F413))</f>
        <v/>
      </c>
      <c r="I413" s="16" t="str">
        <f aca="false">IF(INDEX(選手一覧!$J$7:$J$2738,$F413)="","",INDEX(選手一覧!$J$7:$J$2738,$F413))</f>
        <v/>
      </c>
      <c r="J413" s="17" t="str">
        <f aca="false">IF(INDEX(選手一覧!$K$7:$K$2738,$F413)="","",INDEX(選手一覧!$K$7:$K$2738,$F413))</f>
        <v/>
      </c>
    </row>
    <row r="414" customFormat="false" ht="15" hidden="false" customHeight="false" outlineLevel="0" collapsed="false">
      <c r="A414" s="17" t="n">
        <v>410</v>
      </c>
      <c r="B414" s="12" t="s">
        <v>736</v>
      </c>
      <c r="C414" s="12" t="s">
        <v>737</v>
      </c>
      <c r="D414" s="16" t="n">
        <v>0.0105601851851852</v>
      </c>
      <c r="E414" s="15" t="n">
        <f aca="false">ROUND((D414-$D$5)*86400,2)</f>
        <v>122.66</v>
      </c>
      <c r="F414" s="17" t="n">
        <v>409</v>
      </c>
      <c r="G414" s="16" t="str">
        <f aca="false">IF(INDEX(選手一覧!$H$7:$H$2738,$F414)="","",INDEX(選手一覧!$H$7:$H$2738,$F414))</f>
        <v/>
      </c>
      <c r="H414" s="17" t="str">
        <f aca="false">IF(INDEX(選手一覧!$I$7:$I$2738,$F414)="","",INDEX(選手一覧!$I$7:$I$2738,$F414))</f>
        <v/>
      </c>
      <c r="I414" s="16" t="n">
        <f aca="false">IF(INDEX(選手一覧!$J$7:$J$2738,$F414)="","",INDEX(選手一覧!$J$7:$J$2738,$F414))</f>
        <v>0.00274479166666667</v>
      </c>
      <c r="J414" s="17" t="n">
        <f aca="false">IF(INDEX(選手一覧!$K$7:$K$2738,$F414)="","",INDEX(選手一覧!$K$7:$K$2738,$F414))</f>
        <v>89</v>
      </c>
    </row>
    <row r="415" customFormat="false" ht="15" hidden="false" customHeight="false" outlineLevel="0" collapsed="false">
      <c r="A415" s="17" t="n">
        <v>411</v>
      </c>
      <c r="B415" s="12" t="s">
        <v>739</v>
      </c>
      <c r="C415" s="12" t="s">
        <v>127</v>
      </c>
      <c r="D415" s="16" t="n">
        <v>0.0105601851851852</v>
      </c>
      <c r="E415" s="15" t="n">
        <f aca="false">ROUND((D415-$D$5)*86400,2)</f>
        <v>122.66</v>
      </c>
      <c r="F415" s="17" t="n">
        <v>410</v>
      </c>
      <c r="G415" s="16" t="n">
        <f aca="false">IF(INDEX(選手一覧!$H$7:$H$2738,$F415)="","",INDEX(選手一覧!$H$7:$H$2738,$F415))</f>
        <v>0.00656631944444445</v>
      </c>
      <c r="H415" s="17" t="n">
        <f aca="false">IF(INDEX(選手一覧!$I$7:$I$2738,$F415)="","",INDEX(選手一覧!$I$7:$I$2738,$F415))</f>
        <v>54</v>
      </c>
      <c r="I415" s="16" t="n">
        <f aca="false">IF(INDEX(選手一覧!$J$7:$J$2738,$F415)="","",INDEX(選手一覧!$J$7:$J$2738,$F415))</f>
        <v>0.00290775462962963</v>
      </c>
      <c r="J415" s="17" t="n">
        <f aca="false">IF(INDEX(選手一覧!$K$7:$K$2738,$F415)="","",INDEX(選手一覧!$K$7:$K$2738,$F415))</f>
        <v>999</v>
      </c>
    </row>
    <row r="416" customFormat="false" ht="15" hidden="false" customHeight="false" outlineLevel="0" collapsed="false">
      <c r="A416" s="17" t="n">
        <v>412</v>
      </c>
      <c r="B416" s="12" t="s">
        <v>741</v>
      </c>
      <c r="C416" s="12" t="s">
        <v>742</v>
      </c>
      <c r="D416" s="16" t="n">
        <v>0.0105601851851852</v>
      </c>
      <c r="E416" s="15" t="n">
        <f aca="false">ROUND((D416-$D$5)*86400,2)</f>
        <v>122.66</v>
      </c>
      <c r="F416" s="17" t="n">
        <v>411</v>
      </c>
      <c r="G416" s="16" t="str">
        <f aca="false">IF(INDEX(選手一覧!$H$7:$H$2738,$F416)="","",INDEX(選手一覧!$H$7:$H$2738,$F416))</f>
        <v/>
      </c>
      <c r="H416" s="17" t="str">
        <f aca="false">IF(INDEX(選手一覧!$I$7:$I$2738,$F416)="","",INDEX(選手一覧!$I$7:$I$2738,$F416))</f>
        <v/>
      </c>
      <c r="I416" s="16" t="n">
        <f aca="false">IF(INDEX(選手一覧!$J$7:$J$2738,$F416)="","",INDEX(選手一覧!$J$7:$J$2738,$F416))</f>
        <v>0.00284988425925926</v>
      </c>
      <c r="J416" s="17" t="n">
        <f aca="false">IF(INDEX(選手一覧!$K$7:$K$2738,$F416)="","",INDEX(選手一覧!$K$7:$K$2738,$F416))</f>
        <v>570</v>
      </c>
    </row>
    <row r="417" customFormat="false" ht="15" hidden="false" customHeight="false" outlineLevel="0" collapsed="false">
      <c r="A417" s="17" t="n">
        <v>413</v>
      </c>
      <c r="B417" s="12" t="s">
        <v>744</v>
      </c>
      <c r="C417" s="12" t="s">
        <v>248</v>
      </c>
      <c r="D417" s="16" t="n">
        <v>0.0105621527777778</v>
      </c>
      <c r="E417" s="15" t="n">
        <f aca="false">ROUND((D417-$D$5)*86400,2)</f>
        <v>122.83</v>
      </c>
      <c r="F417" s="17" t="n">
        <v>412</v>
      </c>
      <c r="G417" s="16" t="str">
        <f aca="false">IF(INDEX(選手一覧!$H$7:$H$2738,$F417)="","",INDEX(選手一覧!$H$7:$H$2738,$F417))</f>
        <v/>
      </c>
      <c r="H417" s="17" t="str">
        <f aca="false">IF(INDEX(選手一覧!$I$7:$I$2738,$F417)="","",INDEX(選手一覧!$I$7:$I$2738,$F417))</f>
        <v/>
      </c>
      <c r="I417" s="16" t="n">
        <f aca="false">IF(INDEX(選手一覧!$J$7:$J$2738,$F417)="","",INDEX(選手一覧!$J$7:$J$2738,$F417))</f>
        <v>0.00289606481481482</v>
      </c>
      <c r="J417" s="17" t="n">
        <f aca="false">IF(INDEX(選手一覧!$K$7:$K$2738,$F417)="","",INDEX(選手一覧!$K$7:$K$2738,$F417))</f>
        <v>922</v>
      </c>
    </row>
    <row r="418" customFormat="false" ht="15" hidden="false" customHeight="false" outlineLevel="0" collapsed="false">
      <c r="A418" s="17" t="n">
        <v>414</v>
      </c>
      <c r="B418" s="12" t="s">
        <v>745</v>
      </c>
      <c r="C418" s="12" t="s">
        <v>285</v>
      </c>
      <c r="D418" s="16" t="n">
        <v>0.010562962962963</v>
      </c>
      <c r="E418" s="15" t="n">
        <f aca="false">ROUND((D418-$D$5)*86400,2)</f>
        <v>122.9</v>
      </c>
      <c r="F418" s="17" t="n">
        <v>413</v>
      </c>
      <c r="G418" s="16" t="str">
        <f aca="false">IF(INDEX(選手一覧!$H$7:$H$2738,$F418)="","",INDEX(選手一覧!$H$7:$H$2738,$F418))</f>
        <v/>
      </c>
      <c r="H418" s="17" t="str">
        <f aca="false">IF(INDEX(選手一覧!$I$7:$I$2738,$F418)="","",INDEX(選手一覧!$I$7:$I$2738,$F418))</f>
        <v/>
      </c>
      <c r="I418" s="16" t="n">
        <f aca="false">IF(INDEX(選手一覧!$J$7:$J$2738,$F418)="","",INDEX(選手一覧!$J$7:$J$2738,$F418))</f>
        <v>0.00275613425925926</v>
      </c>
      <c r="J418" s="17" t="n">
        <f aca="false">IF(INDEX(選手一覧!$K$7:$K$2738,$F418)="","",INDEX(選手一覧!$K$7:$K$2738,$F418))</f>
        <v>124</v>
      </c>
    </row>
    <row r="419" customFormat="false" ht="15" hidden="false" customHeight="false" outlineLevel="0" collapsed="false">
      <c r="A419" s="17" t="n">
        <v>415</v>
      </c>
      <c r="B419" s="12" t="s">
        <v>747</v>
      </c>
      <c r="C419" s="12" t="s">
        <v>71</v>
      </c>
      <c r="D419" s="16" t="n">
        <v>0.0105637731481482</v>
      </c>
      <c r="E419" s="15" t="n">
        <f aca="false">ROUND((D419-$D$5)*86400,2)</f>
        <v>122.97</v>
      </c>
      <c r="F419" s="17" t="n">
        <v>414</v>
      </c>
      <c r="G419" s="16" t="n">
        <f aca="false">IF(INDEX(選手一覧!$H$7:$H$2738,$F419)="","",INDEX(選手一覧!$H$7:$H$2738,$F419))</f>
        <v>0.00657152777777778</v>
      </c>
      <c r="H419" s="17" t="n">
        <f aca="false">IF(INDEX(選手一覧!$I$7:$I$2738,$F419)="","",INDEX(選手一覧!$I$7:$I$2738,$F419))</f>
        <v>60</v>
      </c>
      <c r="I419" s="16" t="str">
        <f aca="false">IF(INDEX(選手一覧!$J$7:$J$2738,$F419)="","",INDEX(選手一覧!$J$7:$J$2738,$F419))</f>
        <v/>
      </c>
      <c r="J419" s="17" t="str">
        <f aca="false">IF(INDEX(選手一覧!$K$7:$K$2738,$F419)="","",INDEX(選手一覧!$K$7:$K$2738,$F419))</f>
        <v/>
      </c>
    </row>
    <row r="420" customFormat="false" ht="15" hidden="false" customHeight="false" outlineLevel="0" collapsed="false">
      <c r="A420" s="17" t="n">
        <v>416</v>
      </c>
      <c r="B420" s="12" t="s">
        <v>748</v>
      </c>
      <c r="C420" s="12" t="s">
        <v>749</v>
      </c>
      <c r="D420" s="16" t="n">
        <v>0.0105638888888889</v>
      </c>
      <c r="E420" s="15" t="n">
        <f aca="false">ROUND((D420-$D$5)*86400,2)</f>
        <v>122.98</v>
      </c>
      <c r="F420" s="17" t="n">
        <v>415</v>
      </c>
      <c r="G420" s="16" t="str">
        <f aca="false">IF(INDEX(選手一覧!$H$7:$H$2738,$F420)="","",INDEX(選手一覧!$H$7:$H$2738,$F420))</f>
        <v/>
      </c>
      <c r="H420" s="17" t="str">
        <f aca="false">IF(INDEX(選手一覧!$I$7:$I$2738,$F420)="","",INDEX(選手一覧!$I$7:$I$2738,$F420))</f>
        <v/>
      </c>
      <c r="I420" s="16" t="n">
        <f aca="false">IF(INDEX(選手一覧!$J$7:$J$2738,$F420)="","",INDEX(選手一覧!$J$7:$J$2738,$F420))</f>
        <v>0.00291550925925926</v>
      </c>
      <c r="J420" s="17" t="n">
        <f aca="false">IF(INDEX(選手一覧!$K$7:$K$2738,$F420)="","",INDEX(選手一覧!$K$7:$K$2738,$F420))</f>
        <v>1056</v>
      </c>
    </row>
    <row r="421" customFormat="false" ht="15" hidden="false" customHeight="false" outlineLevel="0" collapsed="false">
      <c r="A421" s="17" t="n">
        <v>417</v>
      </c>
      <c r="B421" s="12" t="s">
        <v>750</v>
      </c>
      <c r="C421" s="12" t="s">
        <v>155</v>
      </c>
      <c r="D421" s="16" t="n">
        <v>0.0105644675925926</v>
      </c>
      <c r="E421" s="15" t="n">
        <f aca="false">ROUND((D421-$D$5)*86400,2)</f>
        <v>123.03</v>
      </c>
      <c r="F421" s="17" t="n">
        <v>416</v>
      </c>
      <c r="G421" s="16" t="str">
        <f aca="false">IF(INDEX(選手一覧!$H$7:$H$2738,$F421)="","",INDEX(選手一覧!$H$7:$H$2738,$F421))</f>
        <v/>
      </c>
      <c r="H421" s="17" t="str">
        <f aca="false">IF(INDEX(選手一覧!$I$7:$I$2738,$F421)="","",INDEX(選手一覧!$I$7:$I$2738,$F421))</f>
        <v/>
      </c>
      <c r="I421" s="16" t="n">
        <f aca="false">IF(INDEX(選手一覧!$J$7:$J$2738,$F421)="","",INDEX(選手一覧!$J$7:$J$2738,$F421))</f>
        <v>0.00275775462962963</v>
      </c>
      <c r="J421" s="17" t="n">
        <f aca="false">IF(INDEX(選手一覧!$K$7:$K$2738,$F421)="","",INDEX(選手一覧!$K$7:$K$2738,$F421))</f>
        <v>129</v>
      </c>
    </row>
    <row r="422" customFormat="false" ht="15" hidden="false" customHeight="false" outlineLevel="0" collapsed="false">
      <c r="A422" s="17" t="n">
        <v>418</v>
      </c>
      <c r="B422" s="12" t="s">
        <v>751</v>
      </c>
      <c r="C422" s="12" t="s">
        <v>406</v>
      </c>
      <c r="D422" s="16" t="n">
        <v>0.0105646990740741</v>
      </c>
      <c r="E422" s="15" t="n">
        <f aca="false">ROUND((D422-$D$5)*86400,2)</f>
        <v>123.05</v>
      </c>
      <c r="F422" s="17" t="n">
        <v>417</v>
      </c>
      <c r="G422" s="16" t="n">
        <f aca="false">IF(INDEX(選手一覧!$H$7:$H$2738,$F422)="","",INDEX(選手一覧!$H$7:$H$2738,$F422))</f>
        <v>0.00742060185185185</v>
      </c>
      <c r="H422" s="17" t="n">
        <f aca="false">IF(INDEX(選手一覧!$I$7:$I$2738,$F422)="","",INDEX(選手一覧!$I$7:$I$2738,$F422))</f>
        <v>795</v>
      </c>
      <c r="I422" s="16" t="str">
        <f aca="false">IF(INDEX(選手一覧!$J$7:$J$2738,$F422)="","",INDEX(選手一覧!$J$7:$J$2738,$F422))</f>
        <v/>
      </c>
      <c r="J422" s="17" t="str">
        <f aca="false">IF(INDEX(選手一覧!$K$7:$K$2738,$F422)="","",INDEX(選手一覧!$K$7:$K$2738,$F422))</f>
        <v/>
      </c>
    </row>
    <row r="423" customFormat="false" ht="15" hidden="false" customHeight="false" outlineLevel="0" collapsed="false">
      <c r="A423" s="17" t="n">
        <v>419</v>
      </c>
      <c r="B423" s="12" t="s">
        <v>753</v>
      </c>
      <c r="C423" s="12" t="s">
        <v>591</v>
      </c>
      <c r="D423" s="16" t="n">
        <v>0.0105650462962963</v>
      </c>
      <c r="E423" s="15" t="n">
        <f aca="false">ROUND((D423-$D$5)*86400,2)</f>
        <v>123.08</v>
      </c>
      <c r="F423" s="17" t="n">
        <v>418</v>
      </c>
      <c r="G423" s="16" t="str">
        <f aca="false">IF(INDEX(選手一覧!$H$7:$H$2738,$F423)="","",INDEX(選手一覧!$H$7:$H$2738,$F423))</f>
        <v/>
      </c>
      <c r="H423" s="17" t="str">
        <f aca="false">IF(INDEX(選手一覧!$I$7:$I$2738,$F423)="","",INDEX(選手一覧!$I$7:$I$2738,$F423))</f>
        <v/>
      </c>
      <c r="I423" s="16" t="str">
        <f aca="false">IF(INDEX(選手一覧!$J$7:$J$2738,$F423)="","",INDEX(選手一覧!$J$7:$J$2738,$F423))</f>
        <v/>
      </c>
      <c r="J423" s="17" t="str">
        <f aca="false">IF(INDEX(選手一覧!$K$7:$K$2738,$F423)="","",INDEX(選手一覧!$K$7:$K$2738,$F423))</f>
        <v/>
      </c>
    </row>
    <row r="424" customFormat="false" ht="15" hidden="false" customHeight="false" outlineLevel="0" collapsed="false">
      <c r="A424" s="17" t="n">
        <v>420</v>
      </c>
      <c r="B424" s="12" t="s">
        <v>755</v>
      </c>
      <c r="C424" s="12" t="s">
        <v>157</v>
      </c>
      <c r="D424" s="16" t="n">
        <v>0.0105658564814815</v>
      </c>
      <c r="E424" s="15" t="n">
        <f aca="false">ROUND((D424-$D$5)*86400,2)</f>
        <v>123.15</v>
      </c>
      <c r="F424" s="17" t="n">
        <v>419</v>
      </c>
      <c r="G424" s="16" t="str">
        <f aca="false">IF(INDEX(選手一覧!$H$7:$H$2738,$F424)="","",INDEX(選手一覧!$H$7:$H$2738,$F424))</f>
        <v/>
      </c>
      <c r="H424" s="17" t="str">
        <f aca="false">IF(INDEX(選手一覧!$I$7:$I$2738,$F424)="","",INDEX(選手一覧!$I$7:$I$2738,$F424))</f>
        <v/>
      </c>
      <c r="I424" s="16" t="n">
        <f aca="false">IF(INDEX(選手一覧!$J$7:$J$2738,$F424)="","",INDEX(選手一覧!$J$7:$J$2738,$F424))</f>
        <v>0.00283171296296296</v>
      </c>
      <c r="J424" s="17" t="n">
        <f aca="false">IF(INDEX(選手一覧!$K$7:$K$2738,$F424)="","",INDEX(選手一覧!$K$7:$K$2738,$F424))</f>
        <v>436</v>
      </c>
    </row>
    <row r="425" customFormat="false" ht="15" hidden="false" customHeight="false" outlineLevel="0" collapsed="false">
      <c r="A425" s="17" t="n">
        <v>421</v>
      </c>
      <c r="B425" s="12" t="s">
        <v>756</v>
      </c>
      <c r="C425" s="12" t="s">
        <v>757</v>
      </c>
      <c r="D425" s="16" t="n">
        <v>0.0105694444444445</v>
      </c>
      <c r="E425" s="15" t="n">
        <f aca="false">ROUND((D425-$D$5)*86400,2)</f>
        <v>123.46</v>
      </c>
      <c r="F425" s="17" t="n">
        <v>420</v>
      </c>
      <c r="G425" s="16" t="str">
        <f aca="false">IF(INDEX(選手一覧!$H$7:$H$2738,$F425)="","",INDEX(選手一覧!$H$7:$H$2738,$F425))</f>
        <v/>
      </c>
      <c r="H425" s="17" t="str">
        <f aca="false">IF(INDEX(選手一覧!$I$7:$I$2738,$F425)="","",INDEX(選手一覧!$I$7:$I$2738,$F425))</f>
        <v/>
      </c>
      <c r="I425" s="16" t="n">
        <f aca="false">IF(INDEX(選手一覧!$J$7:$J$2738,$F425)="","",INDEX(選手一覧!$J$7:$J$2738,$F425))</f>
        <v>0.00289583333333333</v>
      </c>
      <c r="J425" s="17" t="n">
        <f aca="false">IF(INDEX(選手一覧!$K$7:$K$2738,$F425)="","",INDEX(選手一覧!$K$7:$K$2738,$F425))</f>
        <v>920</v>
      </c>
    </row>
    <row r="426" customFormat="false" ht="15" hidden="false" customHeight="false" outlineLevel="0" collapsed="false">
      <c r="A426" s="17" t="n">
        <v>422</v>
      </c>
      <c r="B426" s="12" t="s">
        <v>758</v>
      </c>
      <c r="C426" s="12" t="s">
        <v>96</v>
      </c>
      <c r="D426" s="16" t="n">
        <v>0.0105697916666667</v>
      </c>
      <c r="E426" s="15" t="n">
        <f aca="false">ROUND((D426-$D$5)*86400,2)</f>
        <v>123.49</v>
      </c>
      <c r="F426" s="17" t="n">
        <v>421</v>
      </c>
      <c r="G426" s="16" t="n">
        <f aca="false">IF(INDEX(選手一覧!$H$7:$H$2738,$F426)="","",INDEX(選手一覧!$H$7:$H$2738,$F426))</f>
        <v>0.00696284722222222</v>
      </c>
      <c r="H426" s="17" t="n">
        <f aca="false">IF(INDEX(選手一覧!$I$7:$I$2738,$F426)="","",INDEX(選手一覧!$I$7:$I$2738,$F426))</f>
        <v>296</v>
      </c>
      <c r="I426" s="16" t="str">
        <f aca="false">IF(INDEX(選手一覧!$J$7:$J$2738,$F426)="","",INDEX(選手一覧!$J$7:$J$2738,$F426))</f>
        <v/>
      </c>
      <c r="J426" s="17" t="str">
        <f aca="false">IF(INDEX(選手一覧!$K$7:$K$2738,$F426)="","",INDEX(選手一覧!$K$7:$K$2738,$F426))</f>
        <v/>
      </c>
    </row>
    <row r="427" customFormat="false" ht="15" hidden="false" customHeight="false" outlineLevel="0" collapsed="false">
      <c r="A427" s="17" t="n">
        <v>423</v>
      </c>
      <c r="B427" s="12" t="s">
        <v>759</v>
      </c>
      <c r="C427" s="12" t="s">
        <v>157</v>
      </c>
      <c r="D427" s="16" t="n">
        <v>0.0105699074074074</v>
      </c>
      <c r="E427" s="15" t="n">
        <f aca="false">ROUND((D427-$D$5)*86400,2)</f>
        <v>123.5</v>
      </c>
      <c r="F427" s="17" t="n">
        <v>422</v>
      </c>
      <c r="G427" s="16" t="str">
        <f aca="false">IF(INDEX(選手一覧!$H$7:$H$2738,$F427)="","",INDEX(選手一覧!$H$7:$H$2738,$F427))</f>
        <v/>
      </c>
      <c r="H427" s="17" t="str">
        <f aca="false">IF(INDEX(選手一覧!$I$7:$I$2738,$F427)="","",INDEX(選手一覧!$I$7:$I$2738,$F427))</f>
        <v/>
      </c>
      <c r="I427" s="16" t="str">
        <f aca="false">IF(INDEX(選手一覧!$J$7:$J$2738,$F427)="","",INDEX(選手一覧!$J$7:$J$2738,$F427))</f>
        <v/>
      </c>
      <c r="J427" s="17" t="str">
        <f aca="false">IF(INDEX(選手一覧!$K$7:$K$2738,$F427)="","",INDEX(選手一覧!$K$7:$K$2738,$F427))</f>
        <v/>
      </c>
    </row>
    <row r="428" customFormat="false" ht="15" hidden="false" customHeight="false" outlineLevel="0" collapsed="false">
      <c r="A428" s="17" t="n">
        <v>424</v>
      </c>
      <c r="B428" s="12" t="s">
        <v>760</v>
      </c>
      <c r="C428" s="12" t="s">
        <v>253</v>
      </c>
      <c r="D428" s="16" t="n">
        <v>0.0105699074074074</v>
      </c>
      <c r="E428" s="15" t="n">
        <f aca="false">ROUND((D428-$D$5)*86400,2)</f>
        <v>123.5</v>
      </c>
      <c r="F428" s="17" t="n">
        <v>423</v>
      </c>
      <c r="G428" s="16" t="n">
        <f aca="false">IF(INDEX(選手一覧!$H$7:$H$2738,$F428)="","",INDEX(選手一覧!$H$7:$H$2738,$F428))</f>
        <v>0.00740578703703704</v>
      </c>
      <c r="H428" s="17" t="n">
        <f aca="false">IF(INDEX(選手一覧!$I$7:$I$2738,$F428)="","",INDEX(選手一覧!$I$7:$I$2738,$F428))</f>
        <v>781</v>
      </c>
      <c r="I428" s="16" t="str">
        <f aca="false">IF(INDEX(選手一覧!$J$7:$J$2738,$F428)="","",INDEX(選手一覧!$J$7:$J$2738,$F428))</f>
        <v/>
      </c>
      <c r="J428" s="17" t="str">
        <f aca="false">IF(INDEX(選手一覧!$K$7:$K$2738,$F428)="","",INDEX(選手一覧!$K$7:$K$2738,$F428))</f>
        <v/>
      </c>
    </row>
    <row r="429" customFormat="false" ht="15" hidden="false" customHeight="false" outlineLevel="0" collapsed="false">
      <c r="A429" s="17" t="n">
        <v>425</v>
      </c>
      <c r="B429" s="12" t="s">
        <v>762</v>
      </c>
      <c r="C429" s="12" t="s">
        <v>40</v>
      </c>
      <c r="D429" s="16" t="n">
        <v>0.0105715277777778</v>
      </c>
      <c r="E429" s="15" t="n">
        <f aca="false">ROUND((D429-$D$5)*86400,2)</f>
        <v>123.64</v>
      </c>
      <c r="F429" s="17" t="n">
        <v>424</v>
      </c>
      <c r="G429" s="16" t="n">
        <f aca="false">IF(INDEX(選手一覧!$H$7:$H$2738,$F429)="","",INDEX(選手一覧!$H$7:$H$2738,$F429))</f>
        <v>0.00665925925925926</v>
      </c>
      <c r="H429" s="17" t="n">
        <f aca="false">IF(INDEX(選手一覧!$I$7:$I$2738,$F429)="","",INDEX(選手一覧!$I$7:$I$2738,$F429))</f>
        <v>87</v>
      </c>
      <c r="I429" s="16" t="str">
        <f aca="false">IF(INDEX(選手一覧!$J$7:$J$2738,$F429)="","",INDEX(選手一覧!$J$7:$J$2738,$F429))</f>
        <v/>
      </c>
      <c r="J429" s="17" t="str">
        <f aca="false">IF(INDEX(選手一覧!$K$7:$K$2738,$F429)="","",INDEX(選手一覧!$K$7:$K$2738,$F429))</f>
        <v/>
      </c>
    </row>
    <row r="430" customFormat="false" ht="15" hidden="false" customHeight="false" outlineLevel="0" collapsed="false">
      <c r="A430" s="17" t="n">
        <v>426</v>
      </c>
      <c r="B430" s="12" t="s">
        <v>764</v>
      </c>
      <c r="C430" s="12" t="s">
        <v>27</v>
      </c>
      <c r="D430" s="16" t="n">
        <v>0.010571875</v>
      </c>
      <c r="E430" s="15" t="n">
        <f aca="false">ROUND((D430-$D$5)*86400,2)</f>
        <v>123.67</v>
      </c>
      <c r="F430" s="17" t="n">
        <v>425</v>
      </c>
      <c r="G430" s="16" t="str">
        <f aca="false">IF(INDEX(選手一覧!$H$7:$H$2738,$F430)="","",INDEX(選手一覧!$H$7:$H$2738,$F430))</f>
        <v/>
      </c>
      <c r="H430" s="17" t="str">
        <f aca="false">IF(INDEX(選手一覧!$I$7:$I$2738,$F430)="","",INDEX(選手一覧!$I$7:$I$2738,$F430))</f>
        <v/>
      </c>
      <c r="I430" s="16" t="n">
        <f aca="false">IF(INDEX(選手一覧!$J$7:$J$2738,$F430)="","",INDEX(選手一覧!$J$7:$J$2738,$F430))</f>
        <v>0.00280208333333333</v>
      </c>
      <c r="J430" s="17" t="n">
        <f aca="false">IF(INDEX(選手一覧!$K$7:$K$2738,$F430)="","",INDEX(選手一覧!$K$7:$K$2738,$F430))</f>
        <v>291</v>
      </c>
    </row>
    <row r="431" customFormat="false" ht="15" hidden="false" customHeight="false" outlineLevel="0" collapsed="false">
      <c r="A431" s="17" t="n">
        <v>427</v>
      </c>
      <c r="B431" s="12" t="s">
        <v>765</v>
      </c>
      <c r="C431" s="12" t="s">
        <v>290</v>
      </c>
      <c r="D431" s="16" t="n">
        <v>0.0105721064814815</v>
      </c>
      <c r="E431" s="15" t="n">
        <f aca="false">ROUND((D431-$D$5)*86400,2)</f>
        <v>123.69</v>
      </c>
      <c r="F431" s="17" t="n">
        <v>426</v>
      </c>
      <c r="G431" s="16" t="str">
        <f aca="false">IF(INDEX(選手一覧!$H$7:$H$2738,$F431)="","",INDEX(選手一覧!$H$7:$H$2738,$F431))</f>
        <v/>
      </c>
      <c r="H431" s="17" t="str">
        <f aca="false">IF(INDEX(選手一覧!$I$7:$I$2738,$F431)="","",INDEX(選手一覧!$I$7:$I$2738,$F431))</f>
        <v/>
      </c>
      <c r="I431" s="16" t="n">
        <f aca="false">IF(INDEX(選手一覧!$J$7:$J$2738,$F431)="","",INDEX(選手一覧!$J$7:$J$2738,$F431))</f>
        <v>0.00289594907407407</v>
      </c>
      <c r="J431" s="17" t="n">
        <f aca="false">IF(INDEX(選手一覧!$K$7:$K$2738,$F431)="","",INDEX(選手一覧!$K$7:$K$2738,$F431))</f>
        <v>921</v>
      </c>
    </row>
    <row r="432" customFormat="false" ht="15" hidden="false" customHeight="false" outlineLevel="0" collapsed="false">
      <c r="A432" s="17" t="n">
        <v>428</v>
      </c>
      <c r="B432" s="12" t="s">
        <v>766</v>
      </c>
      <c r="C432" s="12" t="s">
        <v>767</v>
      </c>
      <c r="D432" s="16" t="n">
        <v>0.0105734953703704</v>
      </c>
      <c r="E432" s="15" t="n">
        <f aca="false">ROUND((D432-$D$5)*86400,2)</f>
        <v>123.81</v>
      </c>
      <c r="F432" s="17" t="n">
        <v>427</v>
      </c>
      <c r="G432" s="16" t="str">
        <f aca="false">IF(INDEX(選手一覧!$H$7:$H$2738,$F432)="","",INDEX(選手一覧!$H$7:$H$2738,$F432))</f>
        <v/>
      </c>
      <c r="H432" s="17" t="str">
        <f aca="false">IF(INDEX(選手一覧!$I$7:$I$2738,$F432)="","",INDEX(選手一覧!$I$7:$I$2738,$F432))</f>
        <v/>
      </c>
      <c r="I432" s="16" t="n">
        <f aca="false">IF(INDEX(選手一覧!$J$7:$J$2738,$F432)="","",INDEX(選手一覧!$J$7:$J$2738,$F432))</f>
        <v>0.00283784722222222</v>
      </c>
      <c r="J432" s="17" t="n">
        <f aca="false">IF(INDEX(選手一覧!$K$7:$K$2738,$F432)="","",INDEX(選手一覧!$K$7:$K$2738,$F432))</f>
        <v>482</v>
      </c>
    </row>
    <row r="433" customFormat="false" ht="15" hidden="false" customHeight="false" outlineLevel="0" collapsed="false">
      <c r="A433" s="17" t="n">
        <v>429</v>
      </c>
      <c r="B433" s="12" t="s">
        <v>769</v>
      </c>
      <c r="C433" s="12" t="s">
        <v>417</v>
      </c>
      <c r="D433" s="16" t="n">
        <v>0.0105737268518519</v>
      </c>
      <c r="E433" s="15" t="n">
        <f aca="false">ROUND((D433-$D$5)*86400,2)</f>
        <v>123.83</v>
      </c>
      <c r="F433" s="17" t="n">
        <v>428</v>
      </c>
      <c r="G433" s="16" t="str">
        <f aca="false">IF(INDEX(選手一覧!$H$7:$H$2738,$F433)="","",INDEX(選手一覧!$H$7:$H$2738,$F433))</f>
        <v/>
      </c>
      <c r="H433" s="17" t="str">
        <f aca="false">IF(INDEX(選手一覧!$I$7:$I$2738,$F433)="","",INDEX(選手一覧!$I$7:$I$2738,$F433))</f>
        <v/>
      </c>
      <c r="I433" s="16" t="str">
        <f aca="false">IF(INDEX(選手一覧!$J$7:$J$2738,$F433)="","",INDEX(選手一覧!$J$7:$J$2738,$F433))</f>
        <v/>
      </c>
      <c r="J433" s="17" t="str">
        <f aca="false">IF(INDEX(選手一覧!$K$7:$K$2738,$F433)="","",INDEX(選手一覧!$K$7:$K$2738,$F433))</f>
        <v/>
      </c>
    </row>
    <row r="434" customFormat="false" ht="15" hidden="false" customHeight="false" outlineLevel="0" collapsed="false">
      <c r="A434" s="17" t="n">
        <v>430</v>
      </c>
      <c r="B434" s="12" t="s">
        <v>770</v>
      </c>
      <c r="C434" s="12" t="s">
        <v>199</v>
      </c>
      <c r="D434" s="16" t="n">
        <v>0.0105752314814815</v>
      </c>
      <c r="E434" s="15" t="n">
        <f aca="false">ROUND((D434-$D$5)*86400,2)</f>
        <v>123.96</v>
      </c>
      <c r="F434" s="17" t="n">
        <v>429</v>
      </c>
      <c r="G434" s="16" t="str">
        <f aca="false">IF(INDEX(選手一覧!$H$7:$H$2738,$F434)="","",INDEX(選手一覧!$H$7:$H$2738,$F434))</f>
        <v/>
      </c>
      <c r="H434" s="17" t="str">
        <f aca="false">IF(INDEX(選手一覧!$I$7:$I$2738,$F434)="","",INDEX(選手一覧!$I$7:$I$2738,$F434))</f>
        <v/>
      </c>
      <c r="I434" s="16" t="str">
        <f aca="false">IF(INDEX(選手一覧!$J$7:$J$2738,$F434)="","",INDEX(選手一覧!$J$7:$J$2738,$F434))</f>
        <v/>
      </c>
      <c r="J434" s="17" t="str">
        <f aca="false">IF(INDEX(選手一覧!$K$7:$K$2738,$F434)="","",INDEX(選手一覧!$K$7:$K$2738,$F434))</f>
        <v/>
      </c>
    </row>
    <row r="435" customFormat="false" ht="15" hidden="false" customHeight="false" outlineLevel="0" collapsed="false">
      <c r="A435" s="17" t="n">
        <v>431</v>
      </c>
      <c r="B435" s="12" t="s">
        <v>771</v>
      </c>
      <c r="C435" s="12" t="s">
        <v>503</v>
      </c>
      <c r="D435" s="16" t="n">
        <v>0.0105753472222222</v>
      </c>
      <c r="E435" s="15" t="n">
        <f aca="false">ROUND((D435-$D$5)*86400,2)</f>
        <v>123.97</v>
      </c>
      <c r="F435" s="17" t="n">
        <v>430</v>
      </c>
      <c r="G435" s="16" t="str">
        <f aca="false">IF(INDEX(選手一覧!$H$7:$H$2738,$F435)="","",INDEX(選手一覧!$H$7:$H$2738,$F435))</f>
        <v/>
      </c>
      <c r="H435" s="17" t="str">
        <f aca="false">IF(INDEX(選手一覧!$I$7:$I$2738,$F435)="","",INDEX(選手一覧!$I$7:$I$2738,$F435))</f>
        <v/>
      </c>
      <c r="I435" s="16" t="n">
        <f aca="false">IF(INDEX(選手一覧!$J$7:$J$2738,$F435)="","",INDEX(選手一覧!$J$7:$J$2738,$F435))</f>
        <v>0.00275185185185185</v>
      </c>
      <c r="J435" s="17" t="n">
        <f aca="false">IF(INDEX(選手一覧!$K$7:$K$2738,$F435)="","",INDEX(選手一覧!$K$7:$K$2738,$F435))</f>
        <v>107</v>
      </c>
    </row>
    <row r="436" customFormat="false" ht="15" hidden="false" customHeight="false" outlineLevel="0" collapsed="false">
      <c r="A436" s="17" t="n">
        <v>432</v>
      </c>
      <c r="B436" s="12" t="s">
        <v>772</v>
      </c>
      <c r="C436" s="12" t="s">
        <v>351</v>
      </c>
      <c r="D436" s="16" t="n">
        <v>0.0105770833333333</v>
      </c>
      <c r="E436" s="15" t="n">
        <f aca="false">ROUND((D436-$D$5)*86400,2)</f>
        <v>124.12</v>
      </c>
      <c r="F436" s="17" t="n">
        <v>431</v>
      </c>
      <c r="G436" s="16" t="str">
        <f aca="false">IF(INDEX(選手一覧!$H$7:$H$2738,$F436)="","",INDEX(選手一覧!$H$7:$H$2738,$F436))</f>
        <v/>
      </c>
      <c r="H436" s="17" t="str">
        <f aca="false">IF(INDEX(選手一覧!$I$7:$I$2738,$F436)="","",INDEX(選手一覧!$I$7:$I$2738,$F436))</f>
        <v/>
      </c>
      <c r="I436" s="16" t="n">
        <f aca="false">IF(INDEX(選手一覧!$J$7:$J$2738,$F436)="","",INDEX(選手一覧!$J$7:$J$2738,$F436))</f>
        <v>0.00285173611111111</v>
      </c>
      <c r="J436" s="17" t="n">
        <f aca="false">IF(INDEX(選手一覧!$K$7:$K$2738,$F436)="","",INDEX(選手一覧!$K$7:$K$2738,$F436))</f>
        <v>579</v>
      </c>
    </row>
    <row r="437" customFormat="false" ht="15" hidden="false" customHeight="false" outlineLevel="0" collapsed="false">
      <c r="A437" s="17" t="n">
        <v>433</v>
      </c>
      <c r="B437" s="12" t="s">
        <v>774</v>
      </c>
      <c r="C437" s="12" t="s">
        <v>123</v>
      </c>
      <c r="D437" s="16" t="n">
        <v>0.0105804398148148</v>
      </c>
      <c r="E437" s="15" t="n">
        <f aca="false">ROUND((D437-$D$5)*86400,2)</f>
        <v>124.41</v>
      </c>
      <c r="F437" s="17" t="n">
        <v>432</v>
      </c>
      <c r="G437" s="16" t="n">
        <f aca="false">IF(INDEX(選手一覧!$H$7:$H$2738,$F437)="","",INDEX(選手一覧!$H$7:$H$2738,$F437))</f>
        <v>0.00656412037037037</v>
      </c>
      <c r="H437" s="17" t="n">
        <f aca="false">IF(INDEX(選手一覧!$I$7:$I$2738,$F437)="","",INDEX(選手一覧!$I$7:$I$2738,$F437))</f>
        <v>53</v>
      </c>
      <c r="I437" s="16" t="n">
        <f aca="false">IF(INDEX(選手一覧!$J$7:$J$2738,$F437)="","",INDEX(選手一覧!$J$7:$J$2738,$F437))</f>
        <v>0.00287986111111111</v>
      </c>
      <c r="J437" s="17" t="n">
        <f aca="false">IF(INDEX(選手一覧!$K$7:$K$2738,$F437)="","",INDEX(選手一覧!$K$7:$K$2738,$F437))</f>
        <v>769</v>
      </c>
    </row>
    <row r="438" customFormat="false" ht="15" hidden="false" customHeight="false" outlineLevel="0" collapsed="false">
      <c r="A438" s="17" t="n">
        <v>434</v>
      </c>
      <c r="B438" s="12" t="s">
        <v>776</v>
      </c>
      <c r="C438" s="12" t="s">
        <v>406</v>
      </c>
      <c r="D438" s="16" t="n">
        <v>0.010580787037037</v>
      </c>
      <c r="E438" s="15" t="n">
        <f aca="false">ROUND((D438-$D$5)*86400,2)</f>
        <v>124.44</v>
      </c>
      <c r="F438" s="17" t="n">
        <v>433</v>
      </c>
      <c r="G438" s="16" t="str">
        <f aca="false">IF(INDEX(選手一覧!$H$7:$H$2738,$F438)="","",INDEX(選手一覧!$H$7:$H$2738,$F438))</f>
        <v/>
      </c>
      <c r="H438" s="17" t="str">
        <f aca="false">IF(INDEX(選手一覧!$I$7:$I$2738,$F438)="","",INDEX(選手一覧!$I$7:$I$2738,$F438))</f>
        <v/>
      </c>
      <c r="I438" s="16" t="n">
        <f aca="false">IF(INDEX(選手一覧!$J$7:$J$2738,$F438)="","",INDEX(選手一覧!$J$7:$J$2738,$F438))</f>
        <v>0.00290289351851852</v>
      </c>
      <c r="J438" s="17" t="n">
        <f aca="false">IF(INDEX(選手一覧!$K$7:$K$2738,$F438)="","",INDEX(選手一覧!$K$7:$K$2738,$F438))</f>
        <v>970</v>
      </c>
    </row>
    <row r="439" customFormat="false" ht="15" hidden="false" customHeight="false" outlineLevel="0" collapsed="false">
      <c r="A439" s="17" t="n">
        <v>435</v>
      </c>
      <c r="B439" s="12" t="s">
        <v>778</v>
      </c>
      <c r="C439" s="12" t="s">
        <v>779</v>
      </c>
      <c r="D439" s="16" t="n">
        <v>0.0105814814814815</v>
      </c>
      <c r="E439" s="15" t="n">
        <f aca="false">ROUND((D439-$D$5)*86400,2)</f>
        <v>124.5</v>
      </c>
      <c r="F439" s="17" t="n">
        <v>434</v>
      </c>
      <c r="G439" s="16" t="str">
        <f aca="false">IF(INDEX(選手一覧!$H$7:$H$2738,$F439)="","",INDEX(選手一覧!$H$7:$H$2738,$F439))</f>
        <v/>
      </c>
      <c r="H439" s="17" t="str">
        <f aca="false">IF(INDEX(選手一覧!$I$7:$I$2738,$F439)="","",INDEX(選手一覧!$I$7:$I$2738,$F439))</f>
        <v/>
      </c>
      <c r="I439" s="16" t="n">
        <f aca="false">IF(INDEX(選手一覧!$J$7:$J$2738,$F439)="","",INDEX(選手一覧!$J$7:$J$2738,$F439))</f>
        <v>0.00287847222222222</v>
      </c>
      <c r="J439" s="17" t="n">
        <f aca="false">IF(INDEX(選手一覧!$K$7:$K$2738,$F439)="","",INDEX(選手一覧!$K$7:$K$2738,$F439))</f>
        <v>757</v>
      </c>
    </row>
    <row r="440" customFormat="false" ht="15" hidden="false" customHeight="false" outlineLevel="0" collapsed="false">
      <c r="A440" s="17" t="n">
        <v>436</v>
      </c>
      <c r="B440" s="12" t="s">
        <v>780</v>
      </c>
      <c r="C440" s="12" t="s">
        <v>457</v>
      </c>
      <c r="D440" s="16" t="n">
        <v>0.0105820601851852</v>
      </c>
      <c r="E440" s="15" t="n">
        <f aca="false">ROUND((D440-$D$5)*86400,2)</f>
        <v>124.55</v>
      </c>
      <c r="F440" s="17" t="n">
        <v>435</v>
      </c>
      <c r="G440" s="16" t="str">
        <f aca="false">IF(INDEX(選手一覧!$H$7:$H$2738,$F440)="","",INDEX(選手一覧!$H$7:$H$2738,$F440))</f>
        <v/>
      </c>
      <c r="H440" s="17" t="str">
        <f aca="false">IF(INDEX(選手一覧!$I$7:$I$2738,$F440)="","",INDEX(選手一覧!$I$7:$I$2738,$F440))</f>
        <v/>
      </c>
      <c r="I440" s="16" t="n">
        <f aca="false">IF(INDEX(選手一覧!$J$7:$J$2738,$F440)="","",INDEX(選手一覧!$J$7:$J$2738,$F440))</f>
        <v>0.00288854166666667</v>
      </c>
      <c r="J440" s="17" t="n">
        <f aca="false">IF(INDEX(選手一覧!$K$7:$K$2738,$F440)="","",INDEX(選手一覧!$K$7:$K$2738,$F440))</f>
        <v>853</v>
      </c>
    </row>
    <row r="441" customFormat="false" ht="15" hidden="false" customHeight="false" outlineLevel="0" collapsed="false">
      <c r="A441" s="17" t="n">
        <v>437</v>
      </c>
      <c r="B441" s="12" t="s">
        <v>781</v>
      </c>
      <c r="C441" s="12" t="s">
        <v>515</v>
      </c>
      <c r="D441" s="16" t="n">
        <v>0.0105821759259259</v>
      </c>
      <c r="E441" s="15" t="n">
        <f aca="false">ROUND((D441-$D$5)*86400,2)</f>
        <v>124.56</v>
      </c>
      <c r="F441" s="17" t="n">
        <v>436</v>
      </c>
      <c r="G441" s="16" t="n">
        <f aca="false">IF(INDEX(選手一覧!$H$7:$H$2738,$F441)="","",INDEX(選手一覧!$H$7:$H$2738,$F441))</f>
        <v>0.00698576388888889</v>
      </c>
      <c r="H441" s="17" t="n">
        <f aca="false">IF(INDEX(選手一覧!$I$7:$I$2738,$F441)="","",INDEX(選手一覧!$I$7:$I$2738,$F441))</f>
        <v>320</v>
      </c>
      <c r="I441" s="16" t="n">
        <f aca="false">IF(INDEX(選手一覧!$J$7:$J$2738,$F441)="","",INDEX(選手一覧!$J$7:$J$2738,$F441))</f>
        <v>0.00285243055555556</v>
      </c>
      <c r="J441" s="17" t="n">
        <f aca="false">IF(INDEX(選手一覧!$K$7:$K$2738,$F441)="","",INDEX(選手一覧!$K$7:$K$2738,$F441))</f>
        <v>582</v>
      </c>
    </row>
    <row r="442" customFormat="false" ht="15" hidden="false" customHeight="false" outlineLevel="0" collapsed="false">
      <c r="A442" s="17" t="n">
        <v>438</v>
      </c>
      <c r="B442" s="12" t="s">
        <v>782</v>
      </c>
      <c r="C442" s="12" t="s">
        <v>96</v>
      </c>
      <c r="D442" s="16" t="n">
        <v>0.0105828703703704</v>
      </c>
      <c r="E442" s="15" t="n">
        <f aca="false">ROUND((D442-$D$5)*86400,2)</f>
        <v>124.62</v>
      </c>
      <c r="F442" s="17" t="n">
        <v>437</v>
      </c>
      <c r="G442" s="16" t="str">
        <f aca="false">IF(INDEX(選手一覧!$H$7:$H$2738,$F442)="","",INDEX(選手一覧!$H$7:$H$2738,$F442))</f>
        <v/>
      </c>
      <c r="H442" s="17" t="str">
        <f aca="false">IF(INDEX(選手一覧!$I$7:$I$2738,$F442)="","",INDEX(選手一覧!$I$7:$I$2738,$F442))</f>
        <v/>
      </c>
      <c r="I442" s="16" t="n">
        <f aca="false">IF(INDEX(選手一覧!$J$7:$J$2738,$F442)="","",INDEX(選手一覧!$J$7:$J$2738,$F442))</f>
        <v>0.00292581018518519</v>
      </c>
      <c r="J442" s="17" t="n">
        <f aca="false">IF(INDEX(選手一覧!$K$7:$K$2738,$F442)="","",INDEX(選手一覧!$K$7:$K$2738,$F442))</f>
        <v>1156</v>
      </c>
    </row>
    <row r="443" customFormat="false" ht="15" hidden="false" customHeight="false" outlineLevel="0" collapsed="false">
      <c r="A443" s="17" t="n">
        <v>439</v>
      </c>
      <c r="B443" s="12" t="s">
        <v>783</v>
      </c>
      <c r="C443" s="12" t="s">
        <v>561</v>
      </c>
      <c r="D443" s="16" t="n">
        <v>0.0105828703703704</v>
      </c>
      <c r="E443" s="15" t="n">
        <f aca="false">ROUND((D443-$D$5)*86400,2)</f>
        <v>124.62</v>
      </c>
      <c r="F443" s="17" t="n">
        <v>438</v>
      </c>
      <c r="G443" s="16" t="str">
        <f aca="false">IF(INDEX(選手一覧!$H$7:$H$2738,$F443)="","",INDEX(選手一覧!$H$7:$H$2738,$F443))</f>
        <v/>
      </c>
      <c r="H443" s="17" t="str">
        <f aca="false">IF(INDEX(選手一覧!$I$7:$I$2738,$F443)="","",INDEX(選手一覧!$I$7:$I$2738,$F443))</f>
        <v/>
      </c>
      <c r="I443" s="16" t="n">
        <f aca="false">IF(INDEX(選手一覧!$J$7:$J$2738,$F443)="","",INDEX(選手一覧!$J$7:$J$2738,$F443))</f>
        <v>0.00279398148148148</v>
      </c>
      <c r="J443" s="17" t="n">
        <f aca="false">IF(INDEX(選手一覧!$K$7:$K$2738,$F443)="","",INDEX(選手一覧!$K$7:$K$2738,$F443))</f>
        <v>253</v>
      </c>
    </row>
    <row r="444" customFormat="false" ht="15" hidden="false" customHeight="false" outlineLevel="0" collapsed="false">
      <c r="A444" s="17" t="n">
        <v>440</v>
      </c>
      <c r="B444" s="12" t="s">
        <v>784</v>
      </c>
      <c r="C444" s="12" t="s">
        <v>785</v>
      </c>
      <c r="D444" s="16" t="n">
        <v>0.0105834490740741</v>
      </c>
      <c r="E444" s="15" t="n">
        <f aca="false">ROUND((D444-$D$5)*86400,2)</f>
        <v>124.67</v>
      </c>
      <c r="F444" s="17" t="n">
        <v>439</v>
      </c>
      <c r="G444" s="16" t="str">
        <f aca="false">IF(INDEX(選手一覧!$H$7:$H$2738,$F444)="","",INDEX(選手一覧!$H$7:$H$2738,$F444))</f>
        <v/>
      </c>
      <c r="H444" s="17" t="str">
        <f aca="false">IF(INDEX(選手一覧!$I$7:$I$2738,$F444)="","",INDEX(選手一覧!$I$7:$I$2738,$F444))</f>
        <v/>
      </c>
      <c r="I444" s="16" t="n">
        <f aca="false">IF(INDEX(選手一覧!$J$7:$J$2738,$F444)="","",INDEX(選手一覧!$J$7:$J$2738,$F444))</f>
        <v>0.0028287037037037</v>
      </c>
      <c r="J444" s="17" t="n">
        <f aca="false">IF(INDEX(選手一覧!$K$7:$K$2738,$F444)="","",INDEX(選手一覧!$K$7:$K$2738,$F444))</f>
        <v>416</v>
      </c>
    </row>
    <row r="445" customFormat="false" ht="15" hidden="false" customHeight="false" outlineLevel="0" collapsed="false">
      <c r="A445" s="17" t="n">
        <v>441</v>
      </c>
      <c r="B445" s="12" t="s">
        <v>787</v>
      </c>
      <c r="C445" s="12" t="s">
        <v>788</v>
      </c>
      <c r="D445" s="16" t="n">
        <v>0.0105841435185185</v>
      </c>
      <c r="E445" s="15" t="n">
        <f aca="false">ROUND((D445-$D$5)*86400,2)</f>
        <v>124.73</v>
      </c>
      <c r="F445" s="17" t="n">
        <v>440</v>
      </c>
      <c r="G445" s="16" t="str">
        <f aca="false">IF(INDEX(選手一覧!$H$7:$H$2738,$F445)="","",INDEX(選手一覧!$H$7:$H$2738,$F445))</f>
        <v/>
      </c>
      <c r="H445" s="17" t="str">
        <f aca="false">IF(INDEX(選手一覧!$I$7:$I$2738,$F445)="","",INDEX(選手一覧!$I$7:$I$2738,$F445))</f>
        <v/>
      </c>
      <c r="I445" s="16" t="n">
        <f aca="false">IF(INDEX(選手一覧!$J$7:$J$2738,$F445)="","",INDEX(選手一覧!$J$7:$J$2738,$F445))</f>
        <v>0.00286226851851852</v>
      </c>
      <c r="J445" s="17" t="n">
        <f aca="false">IF(INDEX(選手一覧!$K$7:$K$2738,$F445)="","",INDEX(選手一覧!$K$7:$K$2738,$F445))</f>
        <v>648</v>
      </c>
    </row>
    <row r="446" customFormat="false" ht="15" hidden="false" customHeight="false" outlineLevel="0" collapsed="false">
      <c r="A446" s="17" t="n">
        <v>442</v>
      </c>
      <c r="B446" s="12" t="s">
        <v>789</v>
      </c>
      <c r="C446" s="12" t="s">
        <v>790</v>
      </c>
      <c r="D446" s="16" t="n">
        <v>0.010584375</v>
      </c>
      <c r="E446" s="15" t="n">
        <f aca="false">ROUND((D446-$D$5)*86400,2)</f>
        <v>124.75</v>
      </c>
      <c r="F446" s="17" t="n">
        <v>441</v>
      </c>
      <c r="G446" s="16" t="str">
        <f aca="false">IF(INDEX(選手一覧!$H$7:$H$2738,$F446)="","",INDEX(選手一覧!$H$7:$H$2738,$F446))</f>
        <v/>
      </c>
      <c r="H446" s="17" t="str">
        <f aca="false">IF(INDEX(選手一覧!$I$7:$I$2738,$F446)="","",INDEX(選手一覧!$I$7:$I$2738,$F446))</f>
        <v/>
      </c>
      <c r="I446" s="16" t="str">
        <f aca="false">IF(INDEX(選手一覧!$J$7:$J$2738,$F446)="","",INDEX(選手一覧!$J$7:$J$2738,$F446))</f>
        <v/>
      </c>
      <c r="J446" s="17" t="str">
        <f aca="false">IF(INDEX(選手一覧!$K$7:$K$2738,$F446)="","",INDEX(選手一覧!$K$7:$K$2738,$F446))</f>
        <v/>
      </c>
    </row>
    <row r="447" customFormat="false" ht="15" hidden="false" customHeight="false" outlineLevel="0" collapsed="false">
      <c r="A447" s="17" t="n">
        <v>443</v>
      </c>
      <c r="B447" s="12" t="s">
        <v>791</v>
      </c>
      <c r="C447" s="12" t="s">
        <v>585</v>
      </c>
      <c r="D447" s="16" t="n">
        <v>0.0105847222222222</v>
      </c>
      <c r="E447" s="15" t="n">
        <f aca="false">ROUND((D447-$D$5)*86400,2)</f>
        <v>124.78</v>
      </c>
      <c r="F447" s="17" t="n">
        <v>442</v>
      </c>
      <c r="G447" s="16" t="n">
        <f aca="false">IF(INDEX(選手一覧!$H$7:$H$2738,$F447)="","",INDEX(選手一覧!$H$7:$H$2738,$F447))</f>
        <v>0.00725046296296296</v>
      </c>
      <c r="H447" s="17" t="n">
        <f aca="false">IF(INDEX(選手一覧!$I$7:$I$2738,$F447)="","",INDEX(選手一覧!$I$7:$I$2738,$F447))</f>
        <v>597</v>
      </c>
      <c r="I447" s="16" t="n">
        <f aca="false">IF(INDEX(選手一覧!$J$7:$J$2738,$F447)="","",INDEX(選手一覧!$J$7:$J$2738,$F447))</f>
        <v>0.00297615740740741</v>
      </c>
      <c r="J447" s="17" t="n">
        <f aca="false">IF(INDEX(選手一覧!$K$7:$K$2738,$F447)="","",INDEX(選手一覧!$K$7:$K$2738,$F447))</f>
        <v>1335</v>
      </c>
    </row>
    <row r="448" customFormat="false" ht="15" hidden="false" customHeight="false" outlineLevel="0" collapsed="false">
      <c r="A448" s="17" t="n">
        <v>444</v>
      </c>
      <c r="B448" s="12" t="s">
        <v>792</v>
      </c>
      <c r="C448" s="12" t="s">
        <v>589</v>
      </c>
      <c r="D448" s="16" t="n">
        <v>0.0105849537037037</v>
      </c>
      <c r="E448" s="15" t="n">
        <f aca="false">ROUND((D448-$D$5)*86400,2)</f>
        <v>124.8</v>
      </c>
      <c r="F448" s="17" t="n">
        <v>443</v>
      </c>
      <c r="G448" s="16" t="str">
        <f aca="false">IF(INDEX(選手一覧!$H$7:$H$2738,$F448)="","",INDEX(選手一覧!$H$7:$H$2738,$F448))</f>
        <v/>
      </c>
      <c r="H448" s="17" t="str">
        <f aca="false">IF(INDEX(選手一覧!$I$7:$I$2738,$F448)="","",INDEX(選手一覧!$I$7:$I$2738,$F448))</f>
        <v/>
      </c>
      <c r="I448" s="16" t="n">
        <f aca="false">IF(INDEX(選手一覧!$J$7:$J$2738,$F448)="","",INDEX(選手一覧!$J$7:$J$2738,$F448))</f>
        <v>0.00281782407407407</v>
      </c>
      <c r="J448" s="17" t="n">
        <f aca="false">IF(INDEX(選手一覧!$K$7:$K$2738,$F448)="","",INDEX(選手一覧!$K$7:$K$2738,$F448))</f>
        <v>354</v>
      </c>
    </row>
    <row r="449" customFormat="false" ht="15" hidden="false" customHeight="false" outlineLevel="0" collapsed="false">
      <c r="A449" s="17" t="n">
        <v>445</v>
      </c>
      <c r="B449" s="12" t="s">
        <v>793</v>
      </c>
      <c r="C449" s="12" t="s">
        <v>311</v>
      </c>
      <c r="D449" s="16" t="n">
        <v>0.0105850694444444</v>
      </c>
      <c r="E449" s="15" t="n">
        <f aca="false">ROUND((D449-$D$5)*86400,2)</f>
        <v>124.81</v>
      </c>
      <c r="F449" s="17" t="n">
        <v>444</v>
      </c>
      <c r="G449" s="16" t="str">
        <f aca="false">IF(INDEX(選手一覧!$H$7:$H$2738,$F449)="","",INDEX(選手一覧!$H$7:$H$2738,$F449))</f>
        <v/>
      </c>
      <c r="H449" s="17" t="str">
        <f aca="false">IF(INDEX(選手一覧!$I$7:$I$2738,$F449)="","",INDEX(選手一覧!$I$7:$I$2738,$F449))</f>
        <v/>
      </c>
      <c r="I449" s="16" t="str">
        <f aca="false">IF(INDEX(選手一覧!$J$7:$J$2738,$F449)="","",INDEX(選手一覧!$J$7:$J$2738,$F449))</f>
        <v/>
      </c>
      <c r="J449" s="17" t="str">
        <f aca="false">IF(INDEX(選手一覧!$K$7:$K$2738,$F449)="","",INDEX(選手一覧!$K$7:$K$2738,$F449))</f>
        <v/>
      </c>
    </row>
    <row r="450" customFormat="false" ht="15" hidden="false" customHeight="false" outlineLevel="0" collapsed="false">
      <c r="A450" s="17" t="n">
        <v>446</v>
      </c>
      <c r="B450" s="12" t="s">
        <v>794</v>
      </c>
      <c r="C450" s="12" t="s">
        <v>795</v>
      </c>
      <c r="D450" s="16" t="n">
        <v>0.0105856481481482</v>
      </c>
      <c r="E450" s="15" t="n">
        <f aca="false">ROUND((D450-$D$5)*86400,2)</f>
        <v>124.86</v>
      </c>
      <c r="F450" s="17" t="n">
        <v>445</v>
      </c>
      <c r="G450" s="16" t="str">
        <f aca="false">IF(INDEX(選手一覧!$H$7:$H$2738,$F450)="","",INDEX(選手一覧!$H$7:$H$2738,$F450))</f>
        <v/>
      </c>
      <c r="H450" s="17" t="str">
        <f aca="false">IF(INDEX(選手一覧!$I$7:$I$2738,$F450)="","",INDEX(選手一覧!$I$7:$I$2738,$F450))</f>
        <v/>
      </c>
      <c r="I450" s="16" t="str">
        <f aca="false">IF(INDEX(選手一覧!$J$7:$J$2738,$F450)="","",INDEX(選手一覧!$J$7:$J$2738,$F450))</f>
        <v/>
      </c>
      <c r="J450" s="17" t="str">
        <f aca="false">IF(INDEX(選手一覧!$K$7:$K$2738,$F450)="","",INDEX(選手一覧!$K$7:$K$2738,$F450))</f>
        <v/>
      </c>
    </row>
    <row r="451" customFormat="false" ht="15" hidden="false" customHeight="false" outlineLevel="0" collapsed="false">
      <c r="A451" s="17" t="n">
        <v>447</v>
      </c>
      <c r="B451" s="12" t="s">
        <v>796</v>
      </c>
      <c r="C451" s="12" t="s">
        <v>67</v>
      </c>
      <c r="D451" s="16" t="n">
        <v>0.0105856481481482</v>
      </c>
      <c r="E451" s="15" t="n">
        <f aca="false">ROUND((D451-$D$5)*86400,2)</f>
        <v>124.86</v>
      </c>
      <c r="F451" s="17" t="n">
        <v>446</v>
      </c>
      <c r="G451" s="16" t="n">
        <f aca="false">IF(INDEX(選手一覧!$H$7:$H$2738,$F451)="","",INDEX(選手一覧!$H$7:$H$2738,$F451))</f>
        <v>0.00672800925925926</v>
      </c>
      <c r="H451" s="17" t="n">
        <f aca="false">IF(INDEX(選手一覧!$I$7:$I$2738,$F451)="","",INDEX(選手一覧!$I$7:$I$2738,$F451))</f>
        <v>118</v>
      </c>
      <c r="I451" s="16" t="n">
        <f aca="false">IF(INDEX(選手一覧!$J$7:$J$2738,$F451)="","",INDEX(選手一覧!$J$7:$J$2738,$F451))</f>
        <v>0.00275428240740741</v>
      </c>
      <c r="J451" s="17" t="n">
        <f aca="false">IF(INDEX(選手一覧!$K$7:$K$2738,$F451)="","",INDEX(選手一覧!$K$7:$K$2738,$F451))</f>
        <v>115</v>
      </c>
    </row>
    <row r="452" customFormat="false" ht="15" hidden="false" customHeight="false" outlineLevel="0" collapsed="false">
      <c r="A452" s="17" t="n">
        <v>448</v>
      </c>
      <c r="B452" s="12" t="s">
        <v>797</v>
      </c>
      <c r="C452" s="12" t="s">
        <v>256</v>
      </c>
      <c r="D452" s="16" t="n">
        <v>0.0105861111111111</v>
      </c>
      <c r="E452" s="15" t="n">
        <f aca="false">ROUND((D452-$D$5)*86400,2)</f>
        <v>124.9</v>
      </c>
      <c r="F452" s="17" t="n">
        <v>447</v>
      </c>
      <c r="G452" s="16" t="str">
        <f aca="false">IF(INDEX(選手一覧!$H$7:$H$2738,$F452)="","",INDEX(選手一覧!$H$7:$H$2738,$F452))</f>
        <v/>
      </c>
      <c r="H452" s="17" t="str">
        <f aca="false">IF(INDEX(選手一覧!$I$7:$I$2738,$F452)="","",INDEX(選手一覧!$I$7:$I$2738,$F452))</f>
        <v/>
      </c>
      <c r="I452" s="16" t="n">
        <f aca="false">IF(INDEX(選手一覧!$J$7:$J$2738,$F452)="","",INDEX(選手一覧!$J$7:$J$2738,$F452))</f>
        <v>0.00292476851851852</v>
      </c>
      <c r="J452" s="17" t="n">
        <f aca="false">IF(INDEX(選手一覧!$K$7:$K$2738,$F452)="","",INDEX(選手一覧!$K$7:$K$2738,$F452))</f>
        <v>1143</v>
      </c>
    </row>
    <row r="453" customFormat="false" ht="15" hidden="false" customHeight="false" outlineLevel="0" collapsed="false">
      <c r="A453" s="17" t="n">
        <v>449</v>
      </c>
      <c r="B453" s="12" t="s">
        <v>798</v>
      </c>
      <c r="C453" s="12" t="s">
        <v>799</v>
      </c>
      <c r="D453" s="16" t="n">
        <v>0.0105868055555556</v>
      </c>
      <c r="E453" s="15" t="n">
        <f aca="false">ROUND((D453-$D$5)*86400,2)</f>
        <v>124.96</v>
      </c>
      <c r="F453" s="17" t="n">
        <v>448</v>
      </c>
      <c r="G453" s="16" t="str">
        <f aca="false">IF(INDEX(選手一覧!$H$7:$H$2738,$F453)="","",INDEX(選手一覧!$H$7:$H$2738,$F453))</f>
        <v/>
      </c>
      <c r="H453" s="17" t="str">
        <f aca="false">IF(INDEX(選手一覧!$I$7:$I$2738,$F453)="","",INDEX(選手一覧!$I$7:$I$2738,$F453))</f>
        <v/>
      </c>
      <c r="I453" s="16" t="str">
        <f aca="false">IF(INDEX(選手一覧!$J$7:$J$2738,$F453)="","",INDEX(選手一覧!$J$7:$J$2738,$F453))</f>
        <v/>
      </c>
      <c r="J453" s="17" t="str">
        <f aca="false">IF(INDEX(選手一覧!$K$7:$K$2738,$F453)="","",INDEX(選手一覧!$K$7:$K$2738,$F453))</f>
        <v/>
      </c>
    </row>
    <row r="454" customFormat="false" ht="15" hidden="false" customHeight="false" outlineLevel="0" collapsed="false">
      <c r="A454" s="17" t="n">
        <v>450</v>
      </c>
      <c r="B454" s="12" t="s">
        <v>800</v>
      </c>
      <c r="C454" s="12" t="s">
        <v>290</v>
      </c>
      <c r="D454" s="16" t="n">
        <v>0.0105872685185185</v>
      </c>
      <c r="E454" s="15" t="n">
        <f aca="false">ROUND((D454-$D$5)*86400,2)</f>
        <v>125</v>
      </c>
      <c r="F454" s="17" t="n">
        <v>449</v>
      </c>
      <c r="G454" s="16" t="str">
        <f aca="false">IF(INDEX(選手一覧!$H$7:$H$2738,$F454)="","",INDEX(選手一覧!$H$7:$H$2738,$F454))</f>
        <v/>
      </c>
      <c r="H454" s="17" t="str">
        <f aca="false">IF(INDEX(選手一覧!$I$7:$I$2738,$F454)="","",INDEX(選手一覧!$I$7:$I$2738,$F454))</f>
        <v/>
      </c>
      <c r="I454" s="16" t="n">
        <f aca="false">IF(INDEX(選手一覧!$J$7:$J$2738,$F454)="","",INDEX(選手一覧!$J$7:$J$2738,$F454))</f>
        <v>0.0028005787037037</v>
      </c>
      <c r="J454" s="17" t="n">
        <f aca="false">IF(INDEX(選手一覧!$K$7:$K$2738,$F454)="","",INDEX(選手一覧!$K$7:$K$2738,$F454))</f>
        <v>285</v>
      </c>
    </row>
    <row r="455" customFormat="false" ht="15" hidden="false" customHeight="false" outlineLevel="0" collapsed="false">
      <c r="A455" s="17" t="n">
        <v>451</v>
      </c>
      <c r="B455" s="12" t="s">
        <v>801</v>
      </c>
      <c r="C455" s="12" t="s">
        <v>802</v>
      </c>
      <c r="D455" s="16" t="n">
        <v>0.0105877314814815</v>
      </c>
      <c r="E455" s="15" t="n">
        <f aca="false">ROUND((D455-$D$5)*86400,2)</f>
        <v>125.04</v>
      </c>
      <c r="F455" s="17" t="n">
        <v>450</v>
      </c>
      <c r="G455" s="16" t="n">
        <f aca="false">IF(INDEX(選手一覧!$H$7:$H$2738,$F455)="","",INDEX(選手一覧!$H$7:$H$2738,$F455))</f>
        <v>0.00641585648148148</v>
      </c>
      <c r="H455" s="17" t="n">
        <f aca="false">IF(INDEX(選手一覧!$I$7:$I$2738,$F455)="","",INDEX(選手一覧!$I$7:$I$2738,$F455))</f>
        <v>18</v>
      </c>
      <c r="I455" s="16" t="n">
        <f aca="false">IF(INDEX(選手一覧!$J$7:$J$2738,$F455)="","",INDEX(選手一覧!$J$7:$J$2738,$F455))</f>
        <v>0.00284467592592593</v>
      </c>
      <c r="J455" s="17" t="n">
        <f aca="false">IF(INDEX(選手一覧!$K$7:$K$2738,$F455)="","",INDEX(選手一覧!$K$7:$K$2738,$F455))</f>
        <v>532</v>
      </c>
    </row>
    <row r="456" customFormat="false" ht="15" hidden="false" customHeight="false" outlineLevel="0" collapsed="false">
      <c r="A456" s="17" t="n">
        <v>452</v>
      </c>
      <c r="B456" s="12" t="s">
        <v>803</v>
      </c>
      <c r="C456" s="12" t="s">
        <v>71</v>
      </c>
      <c r="D456" s="16" t="n">
        <v>0.0105880787037037</v>
      </c>
      <c r="E456" s="15" t="n">
        <f aca="false">ROUND((D456-$D$5)*86400,2)</f>
        <v>125.07</v>
      </c>
      <c r="F456" s="17" t="n">
        <v>451</v>
      </c>
      <c r="G456" s="16" t="str">
        <f aca="false">IF(INDEX(選手一覧!$H$7:$H$2738,$F456)="","",INDEX(選手一覧!$H$7:$H$2738,$F456))</f>
        <v/>
      </c>
      <c r="H456" s="17" t="str">
        <f aca="false">IF(INDEX(選手一覧!$I$7:$I$2738,$F456)="","",INDEX(選手一覧!$I$7:$I$2738,$F456))</f>
        <v/>
      </c>
      <c r="I456" s="16" t="n">
        <f aca="false">IF(INDEX(選手一覧!$J$7:$J$2738,$F456)="","",INDEX(選手一覧!$J$7:$J$2738,$F456))</f>
        <v>0.00292222222222222</v>
      </c>
      <c r="J456" s="17" t="n">
        <f aca="false">IF(INDEX(選手一覧!$K$7:$K$2738,$F456)="","",INDEX(選手一覧!$K$7:$K$2738,$F456))</f>
        <v>1116</v>
      </c>
    </row>
    <row r="457" customFormat="false" ht="15" hidden="false" customHeight="false" outlineLevel="0" collapsed="false">
      <c r="A457" s="17" t="n">
        <v>453</v>
      </c>
      <c r="B457" s="12" t="s">
        <v>804</v>
      </c>
      <c r="C457" s="12" t="s">
        <v>430</v>
      </c>
      <c r="D457" s="16" t="n">
        <v>0.0105891203703704</v>
      </c>
      <c r="E457" s="15" t="n">
        <f aca="false">ROUND((D457-$D$5)*86400,2)</f>
        <v>125.16</v>
      </c>
      <c r="F457" s="17" t="n">
        <v>452</v>
      </c>
      <c r="G457" s="16" t="str">
        <f aca="false">IF(INDEX(選手一覧!$H$7:$H$2738,$F457)="","",INDEX(選手一覧!$H$7:$H$2738,$F457))</f>
        <v/>
      </c>
      <c r="H457" s="17" t="str">
        <f aca="false">IF(INDEX(選手一覧!$I$7:$I$2738,$F457)="","",INDEX(選手一覧!$I$7:$I$2738,$F457))</f>
        <v/>
      </c>
      <c r="I457" s="16" t="n">
        <f aca="false">IF(INDEX(選手一覧!$J$7:$J$2738,$F457)="","",INDEX(選手一覧!$J$7:$J$2738,$F457))</f>
        <v>0.00277696759259259</v>
      </c>
      <c r="J457" s="17" t="n">
        <f aca="false">IF(INDEX(選手一覧!$K$7:$K$2738,$F457)="","",INDEX(選手一覧!$K$7:$K$2738,$F457))</f>
        <v>186</v>
      </c>
    </row>
    <row r="458" customFormat="false" ht="15" hidden="false" customHeight="false" outlineLevel="0" collapsed="false">
      <c r="A458" s="17" t="n">
        <v>454</v>
      </c>
      <c r="B458" s="12" t="s">
        <v>805</v>
      </c>
      <c r="C458" s="12" t="s">
        <v>157</v>
      </c>
      <c r="D458" s="16" t="n">
        <v>0.0105902777777778</v>
      </c>
      <c r="E458" s="15" t="n">
        <f aca="false">ROUND((D458-$D$5)*86400,2)</f>
        <v>125.26</v>
      </c>
      <c r="F458" s="17" t="n">
        <v>453</v>
      </c>
      <c r="G458" s="16" t="str">
        <f aca="false">IF(INDEX(選手一覧!$H$7:$H$2738,$F458)="","",INDEX(選手一覧!$H$7:$H$2738,$F458))</f>
        <v/>
      </c>
      <c r="H458" s="17" t="str">
        <f aca="false">IF(INDEX(選手一覧!$I$7:$I$2738,$F458)="","",INDEX(選手一覧!$I$7:$I$2738,$F458))</f>
        <v/>
      </c>
      <c r="I458" s="16" t="str">
        <f aca="false">IF(INDEX(選手一覧!$J$7:$J$2738,$F458)="","",INDEX(選手一覧!$J$7:$J$2738,$F458))</f>
        <v/>
      </c>
      <c r="J458" s="17" t="str">
        <f aca="false">IF(INDEX(選手一覧!$K$7:$K$2738,$F458)="","",INDEX(選手一覧!$K$7:$K$2738,$F458))</f>
        <v/>
      </c>
    </row>
    <row r="459" customFormat="false" ht="15" hidden="false" customHeight="false" outlineLevel="0" collapsed="false">
      <c r="A459" s="17" t="n">
        <v>455</v>
      </c>
      <c r="B459" s="12" t="s">
        <v>806</v>
      </c>
      <c r="C459" s="12" t="s">
        <v>65</v>
      </c>
      <c r="D459" s="16" t="n">
        <v>0.010590625</v>
      </c>
      <c r="E459" s="15" t="n">
        <f aca="false">ROUND((D459-$D$5)*86400,2)</f>
        <v>125.29</v>
      </c>
      <c r="F459" s="17" t="n">
        <v>454</v>
      </c>
      <c r="G459" s="16" t="str">
        <f aca="false">IF(INDEX(選手一覧!$H$7:$H$2738,$F459)="","",INDEX(選手一覧!$H$7:$H$2738,$F459))</f>
        <v/>
      </c>
      <c r="H459" s="17" t="str">
        <f aca="false">IF(INDEX(選手一覧!$I$7:$I$2738,$F459)="","",INDEX(選手一覧!$I$7:$I$2738,$F459))</f>
        <v/>
      </c>
      <c r="I459" s="16" t="n">
        <f aca="false">IF(INDEX(選手一覧!$J$7:$J$2738,$F459)="","",INDEX(選手一覧!$J$7:$J$2738,$F459))</f>
        <v>0.00289444444444445</v>
      </c>
      <c r="J459" s="17" t="n">
        <f aca="false">IF(INDEX(選手一覧!$K$7:$K$2738,$F459)="","",INDEX(選手一覧!$K$7:$K$2738,$F459))</f>
        <v>906</v>
      </c>
    </row>
    <row r="460" customFormat="false" ht="15" hidden="false" customHeight="false" outlineLevel="0" collapsed="false">
      <c r="A460" s="17" t="n">
        <v>456</v>
      </c>
      <c r="B460" s="12" t="s">
        <v>807</v>
      </c>
      <c r="C460" s="12" t="s">
        <v>530</v>
      </c>
      <c r="D460" s="16" t="n">
        <v>0.0105909722222222</v>
      </c>
      <c r="E460" s="15" t="n">
        <f aca="false">ROUND((D460-$D$5)*86400,2)</f>
        <v>125.32</v>
      </c>
      <c r="F460" s="17" t="n">
        <v>455</v>
      </c>
      <c r="G460" s="16" t="str">
        <f aca="false">IF(INDEX(選手一覧!$H$7:$H$2738,$F460)="","",INDEX(選手一覧!$H$7:$H$2738,$F460))</f>
        <v/>
      </c>
      <c r="H460" s="17" t="str">
        <f aca="false">IF(INDEX(選手一覧!$I$7:$I$2738,$F460)="","",INDEX(選手一覧!$I$7:$I$2738,$F460))</f>
        <v/>
      </c>
      <c r="I460" s="16" t="n">
        <f aca="false">IF(INDEX(選手一覧!$J$7:$J$2738,$F460)="","",INDEX(選手一覧!$J$7:$J$2738,$F460))</f>
        <v>0.00286006944444445</v>
      </c>
      <c r="J460" s="17" t="n">
        <f aca="false">IF(INDEX(選手一覧!$K$7:$K$2738,$F460)="","",INDEX(選手一覧!$K$7:$K$2738,$F460))</f>
        <v>635</v>
      </c>
    </row>
    <row r="461" customFormat="false" ht="15" hidden="false" customHeight="false" outlineLevel="0" collapsed="false">
      <c r="A461" s="17" t="n">
        <v>457</v>
      </c>
      <c r="B461" s="12" t="s">
        <v>808</v>
      </c>
      <c r="C461" s="12" t="s">
        <v>809</v>
      </c>
      <c r="D461" s="16" t="n">
        <v>0.0105912037037037</v>
      </c>
      <c r="E461" s="15" t="n">
        <f aca="false">ROUND((D461-$D$5)*86400,2)</f>
        <v>125.34</v>
      </c>
      <c r="F461" s="17" t="n">
        <v>456</v>
      </c>
      <c r="G461" s="16" t="str">
        <f aca="false">IF(INDEX(選手一覧!$H$7:$H$2738,$F461)="","",INDEX(選手一覧!$H$7:$H$2738,$F461))</f>
        <v/>
      </c>
      <c r="H461" s="17" t="str">
        <f aca="false">IF(INDEX(選手一覧!$I$7:$I$2738,$F461)="","",INDEX(選手一覧!$I$7:$I$2738,$F461))</f>
        <v/>
      </c>
      <c r="I461" s="16" t="n">
        <f aca="false">IF(INDEX(選手一覧!$J$7:$J$2738,$F461)="","",INDEX(選手一覧!$J$7:$J$2738,$F461))</f>
        <v>0.00278680555555556</v>
      </c>
      <c r="J461" s="17" t="n">
        <f aca="false">IF(INDEX(選手一覧!$K$7:$K$2738,$F461)="","",INDEX(選手一覧!$K$7:$K$2738,$F461))</f>
        <v>230</v>
      </c>
    </row>
    <row r="462" customFormat="false" ht="15" hidden="false" customHeight="false" outlineLevel="0" collapsed="false">
      <c r="A462" s="17" t="n">
        <v>458</v>
      </c>
      <c r="B462" s="12" t="s">
        <v>810</v>
      </c>
      <c r="C462" s="12" t="s">
        <v>515</v>
      </c>
      <c r="D462" s="16" t="n">
        <v>0.0105918981481482</v>
      </c>
      <c r="E462" s="15" t="n">
        <f aca="false">ROUND((D462-$D$5)*86400,2)</f>
        <v>125.4</v>
      </c>
      <c r="F462" s="17" t="n">
        <v>457</v>
      </c>
      <c r="G462" s="16" t="str">
        <f aca="false">IF(INDEX(選手一覧!$H$7:$H$2738,$F462)="","",INDEX(選手一覧!$H$7:$H$2738,$F462))</f>
        <v/>
      </c>
      <c r="H462" s="17" t="str">
        <f aca="false">IF(INDEX(選手一覧!$I$7:$I$2738,$F462)="","",INDEX(選手一覧!$I$7:$I$2738,$F462))</f>
        <v/>
      </c>
      <c r="I462" s="16" t="n">
        <f aca="false">IF(INDEX(選手一覧!$J$7:$J$2738,$F462)="","",INDEX(選手一覧!$J$7:$J$2738,$F462))</f>
        <v>0.00273240740740741</v>
      </c>
      <c r="J462" s="17" t="n">
        <f aca="false">IF(INDEX(選手一覧!$K$7:$K$2738,$F462)="","",INDEX(選手一覧!$K$7:$K$2738,$F462))</f>
        <v>69</v>
      </c>
    </row>
    <row r="463" customFormat="false" ht="15" hidden="false" customHeight="false" outlineLevel="0" collapsed="false">
      <c r="A463" s="17" t="n">
        <v>459</v>
      </c>
      <c r="B463" s="12" t="s">
        <v>811</v>
      </c>
      <c r="C463" s="12" t="s">
        <v>27</v>
      </c>
      <c r="D463" s="16" t="n">
        <v>0.0105923611111111</v>
      </c>
      <c r="E463" s="15" t="n">
        <f aca="false">ROUND((D463-$D$5)*86400,2)</f>
        <v>125.44</v>
      </c>
      <c r="F463" s="17" t="n">
        <v>458</v>
      </c>
      <c r="G463" s="16" t="str">
        <f aca="false">IF(INDEX(選手一覧!$H$7:$H$2738,$F463)="","",INDEX(選手一覧!$H$7:$H$2738,$F463))</f>
        <v/>
      </c>
      <c r="H463" s="17" t="str">
        <f aca="false">IF(INDEX(選手一覧!$I$7:$I$2738,$F463)="","",INDEX(選手一覧!$I$7:$I$2738,$F463))</f>
        <v/>
      </c>
      <c r="I463" s="16" t="n">
        <f aca="false">IF(INDEX(選手一覧!$J$7:$J$2738,$F463)="","",INDEX(選手一覧!$J$7:$J$2738,$F463))</f>
        <v>0.00290636574074074</v>
      </c>
      <c r="J463" s="17" t="n">
        <f aca="false">IF(INDEX(選手一覧!$K$7:$K$2738,$F463)="","",INDEX(選手一覧!$K$7:$K$2738,$F463))</f>
        <v>992</v>
      </c>
    </row>
    <row r="464" customFormat="false" ht="15" hidden="false" customHeight="false" outlineLevel="0" collapsed="false">
      <c r="A464" s="17" t="n">
        <v>460</v>
      </c>
      <c r="B464" s="12" t="s">
        <v>812</v>
      </c>
      <c r="C464" s="12" t="s">
        <v>51</v>
      </c>
      <c r="D464" s="16" t="n">
        <v>0.0105972222222222</v>
      </c>
      <c r="E464" s="15" t="n">
        <f aca="false">ROUND((D464-$D$5)*86400,2)</f>
        <v>125.86</v>
      </c>
      <c r="F464" s="17" t="n">
        <v>459</v>
      </c>
      <c r="G464" s="16" t="str">
        <f aca="false">IF(INDEX(選手一覧!$H$7:$H$2738,$F464)="","",INDEX(選手一覧!$H$7:$H$2738,$F464))</f>
        <v/>
      </c>
      <c r="H464" s="17" t="str">
        <f aca="false">IF(INDEX(選手一覧!$I$7:$I$2738,$F464)="","",INDEX(選手一覧!$I$7:$I$2738,$F464))</f>
        <v/>
      </c>
      <c r="I464" s="16" t="n">
        <f aca="false">IF(INDEX(選手一覧!$J$7:$J$2738,$F464)="","",INDEX(選手一覧!$J$7:$J$2738,$F464))</f>
        <v>0.0028568287037037</v>
      </c>
      <c r="J464" s="17" t="n">
        <f aca="false">IF(INDEX(選手一覧!$K$7:$K$2738,$F464)="","",INDEX(選手一覧!$K$7:$K$2738,$F464))</f>
        <v>614</v>
      </c>
    </row>
    <row r="465" customFormat="false" ht="15" hidden="false" customHeight="false" outlineLevel="0" collapsed="false">
      <c r="A465" s="17" t="n">
        <v>461</v>
      </c>
      <c r="B465" s="12" t="s">
        <v>814</v>
      </c>
      <c r="C465" s="12" t="s">
        <v>591</v>
      </c>
      <c r="D465" s="16" t="n">
        <v>0.0105988425925926</v>
      </c>
      <c r="E465" s="15" t="n">
        <f aca="false">ROUND((D465-$D$5)*86400,2)</f>
        <v>126</v>
      </c>
      <c r="F465" s="17" t="n">
        <v>460</v>
      </c>
      <c r="G465" s="16" t="str">
        <f aca="false">IF(INDEX(選手一覧!$H$7:$H$2738,$F465)="","",INDEX(選手一覧!$H$7:$H$2738,$F465))</f>
        <v/>
      </c>
      <c r="H465" s="17" t="str">
        <f aca="false">IF(INDEX(選手一覧!$I$7:$I$2738,$F465)="","",INDEX(選手一覧!$I$7:$I$2738,$F465))</f>
        <v/>
      </c>
      <c r="I465" s="16" t="n">
        <f aca="false">IF(INDEX(選手一覧!$J$7:$J$2738,$F465)="","",INDEX(選手一覧!$J$7:$J$2738,$F465))</f>
        <v>0.00270983796296296</v>
      </c>
      <c r="J465" s="17" t="n">
        <f aca="false">IF(INDEX(選手一覧!$K$7:$K$2738,$F465)="","",INDEX(選手一覧!$K$7:$K$2738,$F465))</f>
        <v>35</v>
      </c>
    </row>
    <row r="466" customFormat="false" ht="15" hidden="false" customHeight="false" outlineLevel="0" collapsed="false">
      <c r="A466" s="17" t="n">
        <v>462</v>
      </c>
      <c r="B466" s="12" t="s">
        <v>816</v>
      </c>
      <c r="C466" s="12" t="s">
        <v>817</v>
      </c>
      <c r="D466" s="16" t="n">
        <v>0.0105994212962963</v>
      </c>
      <c r="E466" s="15" t="n">
        <f aca="false">ROUND((D466-$D$5)*86400,2)</f>
        <v>126.05</v>
      </c>
      <c r="F466" s="17" t="n">
        <v>461</v>
      </c>
      <c r="G466" s="16" t="str">
        <f aca="false">IF(INDEX(選手一覧!$H$7:$H$2738,$F466)="","",INDEX(選手一覧!$H$7:$H$2738,$F466))</f>
        <v/>
      </c>
      <c r="H466" s="17" t="str">
        <f aca="false">IF(INDEX(選手一覧!$I$7:$I$2738,$F466)="","",INDEX(選手一覧!$I$7:$I$2738,$F466))</f>
        <v/>
      </c>
      <c r="I466" s="16" t="n">
        <f aca="false">IF(INDEX(選手一覧!$J$7:$J$2738,$F466)="","",INDEX(選手一覧!$J$7:$J$2738,$F466))</f>
        <v>0.0027849537037037</v>
      </c>
      <c r="J466" s="17" t="n">
        <f aca="false">IF(INDEX(選手一覧!$K$7:$K$2738,$F466)="","",INDEX(選手一覧!$K$7:$K$2738,$F466))</f>
        <v>218</v>
      </c>
    </row>
    <row r="467" customFormat="false" ht="15" hidden="false" customHeight="false" outlineLevel="0" collapsed="false">
      <c r="A467" s="17" t="n">
        <v>463</v>
      </c>
      <c r="B467" s="12" t="s">
        <v>818</v>
      </c>
      <c r="C467" s="12" t="s">
        <v>819</v>
      </c>
      <c r="D467" s="16" t="n">
        <v>0.0105996527777778</v>
      </c>
      <c r="E467" s="15" t="n">
        <f aca="false">ROUND((D467-$D$5)*86400,2)</f>
        <v>126.07</v>
      </c>
      <c r="F467" s="17" t="n">
        <v>462</v>
      </c>
      <c r="G467" s="16" t="str">
        <f aca="false">IF(INDEX(選手一覧!$H$7:$H$2738,$F467)="","",INDEX(選手一覧!$H$7:$H$2738,$F467))</f>
        <v/>
      </c>
      <c r="H467" s="17" t="str">
        <f aca="false">IF(INDEX(選手一覧!$I$7:$I$2738,$F467)="","",INDEX(選手一覧!$I$7:$I$2738,$F467))</f>
        <v/>
      </c>
      <c r="I467" s="16" t="n">
        <f aca="false">IF(INDEX(選手一覧!$J$7:$J$2738,$F467)="","",INDEX(選手一覧!$J$7:$J$2738,$F467))</f>
        <v>0.0028119212962963</v>
      </c>
      <c r="J467" s="17" t="n">
        <f aca="false">IF(INDEX(選手一覧!$K$7:$K$2738,$F467)="","",INDEX(選手一覧!$K$7:$K$2738,$F467))</f>
        <v>330</v>
      </c>
    </row>
    <row r="468" customFormat="false" ht="15" hidden="false" customHeight="false" outlineLevel="0" collapsed="false">
      <c r="A468" s="17" t="n">
        <v>464</v>
      </c>
      <c r="B468" s="12" t="s">
        <v>820</v>
      </c>
      <c r="C468" s="12" t="s">
        <v>821</v>
      </c>
      <c r="D468" s="16" t="n">
        <v>0.010600462962963</v>
      </c>
      <c r="E468" s="15" t="n">
        <f aca="false">ROUND((D468-$D$5)*86400,2)</f>
        <v>126.14</v>
      </c>
      <c r="F468" s="17" t="n">
        <v>463</v>
      </c>
      <c r="G468" s="16" t="n">
        <f aca="false">IF(INDEX(選手一覧!$H$7:$H$2738,$F468)="","",INDEX(選手一覧!$H$7:$H$2738,$F468))</f>
        <v>0.00713217592592593</v>
      </c>
      <c r="H468" s="17" t="n">
        <f aca="false">IF(INDEX(選手一覧!$I$7:$I$2738,$F468)="","",INDEX(選手一覧!$I$7:$I$2738,$F468))</f>
        <v>475</v>
      </c>
      <c r="I468" s="16" t="n">
        <f aca="false">IF(INDEX(選手一覧!$J$7:$J$2738,$F468)="","",INDEX(選手一覧!$J$7:$J$2738,$F468))</f>
        <v>0.00287071759259259</v>
      </c>
      <c r="J468" s="17" t="n">
        <f aca="false">IF(INDEX(選手一覧!$K$7:$K$2738,$F468)="","",INDEX(選手一覧!$K$7:$K$2738,$F468))</f>
        <v>702</v>
      </c>
    </row>
    <row r="469" customFormat="false" ht="15" hidden="false" customHeight="false" outlineLevel="0" collapsed="false">
      <c r="A469" s="17" t="n">
        <v>465</v>
      </c>
      <c r="B469" s="12" t="s">
        <v>822</v>
      </c>
      <c r="C469" s="12" t="s">
        <v>790</v>
      </c>
      <c r="D469" s="16" t="n">
        <v>0.0106020833333333</v>
      </c>
      <c r="E469" s="15" t="n">
        <f aca="false">ROUND((D469-$D$5)*86400,2)</f>
        <v>126.28</v>
      </c>
      <c r="F469" s="17" t="n">
        <v>464</v>
      </c>
      <c r="G469" s="16" t="str">
        <f aca="false">IF(INDEX(選手一覧!$H$7:$H$2738,$F469)="","",INDEX(選手一覧!$H$7:$H$2738,$F469))</f>
        <v/>
      </c>
      <c r="H469" s="17" t="str">
        <f aca="false">IF(INDEX(選手一覧!$I$7:$I$2738,$F469)="","",INDEX(選手一覧!$I$7:$I$2738,$F469))</f>
        <v/>
      </c>
      <c r="I469" s="16" t="str">
        <f aca="false">IF(INDEX(選手一覧!$J$7:$J$2738,$F469)="","",INDEX(選手一覧!$J$7:$J$2738,$F469))</f>
        <v/>
      </c>
      <c r="J469" s="17" t="str">
        <f aca="false">IF(INDEX(選手一覧!$K$7:$K$2738,$F469)="","",INDEX(選手一覧!$K$7:$K$2738,$F469))</f>
        <v/>
      </c>
    </row>
    <row r="470" customFormat="false" ht="15" hidden="false" customHeight="false" outlineLevel="0" collapsed="false">
      <c r="A470" s="17" t="n">
        <v>466</v>
      </c>
      <c r="B470" s="12" t="s">
        <v>823</v>
      </c>
      <c r="C470" s="12" t="s">
        <v>824</v>
      </c>
      <c r="D470" s="16" t="n">
        <v>0.0106023148148148</v>
      </c>
      <c r="E470" s="15" t="n">
        <f aca="false">ROUND((D470-$D$5)*86400,2)</f>
        <v>126.3</v>
      </c>
      <c r="F470" s="17" t="n">
        <v>465</v>
      </c>
      <c r="G470" s="16" t="str">
        <f aca="false">IF(INDEX(選手一覧!$H$7:$H$2738,$F470)="","",INDEX(選手一覧!$H$7:$H$2738,$F470))</f>
        <v/>
      </c>
      <c r="H470" s="17" t="str">
        <f aca="false">IF(INDEX(選手一覧!$I$7:$I$2738,$F470)="","",INDEX(選手一覧!$I$7:$I$2738,$F470))</f>
        <v/>
      </c>
      <c r="I470" s="16" t="n">
        <f aca="false">IF(INDEX(選手一覧!$J$7:$J$2738,$F470)="","",INDEX(選手一覧!$J$7:$J$2738,$F470))</f>
        <v>0.00277002314814815</v>
      </c>
      <c r="J470" s="17" t="n">
        <f aca="false">IF(INDEX(選手一覧!$K$7:$K$2738,$F470)="","",INDEX(選手一覧!$K$7:$K$2738,$F470))</f>
        <v>164</v>
      </c>
    </row>
    <row r="471" customFormat="false" ht="15" hidden="false" customHeight="false" outlineLevel="0" collapsed="false">
      <c r="A471" s="17" t="n">
        <v>467</v>
      </c>
      <c r="B471" s="12" t="s">
        <v>825</v>
      </c>
      <c r="C471" s="12" t="s">
        <v>601</v>
      </c>
      <c r="D471" s="16" t="n">
        <v>0.0106041666666667</v>
      </c>
      <c r="E471" s="15" t="n">
        <f aca="false">ROUND((D471-$D$5)*86400,2)</f>
        <v>126.46</v>
      </c>
      <c r="F471" s="17" t="n">
        <v>466</v>
      </c>
      <c r="G471" s="16" t="str">
        <f aca="false">IF(INDEX(選手一覧!$H$7:$H$2738,$F471)="","",INDEX(選手一覧!$H$7:$H$2738,$F471))</f>
        <v/>
      </c>
      <c r="H471" s="17" t="str">
        <f aca="false">IF(INDEX(選手一覧!$I$7:$I$2738,$F471)="","",INDEX(選手一覧!$I$7:$I$2738,$F471))</f>
        <v/>
      </c>
      <c r="I471" s="16" t="n">
        <f aca="false">IF(INDEX(選手一覧!$J$7:$J$2738,$F471)="","",INDEX(選手一覧!$J$7:$J$2738,$F471))</f>
        <v>0.00283263888888889</v>
      </c>
      <c r="J471" s="17" t="n">
        <f aca="false">IF(INDEX(選手一覧!$K$7:$K$2738,$F471)="","",INDEX(選手一覧!$K$7:$K$2738,$F471))</f>
        <v>443</v>
      </c>
    </row>
    <row r="472" customFormat="false" ht="15" hidden="false" customHeight="false" outlineLevel="0" collapsed="false">
      <c r="A472" s="17" t="n">
        <v>468</v>
      </c>
      <c r="B472" s="12" t="s">
        <v>826</v>
      </c>
      <c r="C472" s="12" t="s">
        <v>186</v>
      </c>
      <c r="D472" s="16" t="n">
        <v>0.0106052083333333</v>
      </c>
      <c r="E472" s="15" t="n">
        <f aca="false">ROUND((D472-$D$5)*86400,2)</f>
        <v>126.55</v>
      </c>
      <c r="F472" s="17" t="n">
        <v>467</v>
      </c>
      <c r="G472" s="16" t="n">
        <f aca="false">IF(INDEX(選手一覧!$H$7:$H$2738,$F472)="","",INDEX(選手一覧!$H$7:$H$2738,$F472))</f>
        <v>0.00659479166666667</v>
      </c>
      <c r="H472" s="17" t="n">
        <f aca="false">IF(INDEX(選手一覧!$I$7:$I$2738,$F472)="","",INDEX(選手一覧!$I$7:$I$2738,$F472))</f>
        <v>67</v>
      </c>
      <c r="I472" s="16" t="n">
        <f aca="false">IF(INDEX(選手一覧!$J$7:$J$2738,$F472)="","",INDEX(選手一覧!$J$7:$J$2738,$F472))</f>
        <v>0.0027806712962963</v>
      </c>
      <c r="J472" s="17" t="n">
        <f aca="false">IF(INDEX(選手一覧!$K$7:$K$2738,$F472)="","",INDEX(選手一覧!$K$7:$K$2738,$F472))</f>
        <v>205</v>
      </c>
    </row>
    <row r="473" customFormat="false" ht="15" hidden="false" customHeight="false" outlineLevel="0" collapsed="false">
      <c r="A473" s="17" t="n">
        <v>469</v>
      </c>
      <c r="B473" s="12" t="s">
        <v>828</v>
      </c>
      <c r="C473" s="12" t="s">
        <v>438</v>
      </c>
      <c r="D473" s="16" t="n">
        <v>0.0106054398148148</v>
      </c>
      <c r="E473" s="15" t="n">
        <f aca="false">ROUND((D473-$D$5)*86400,2)</f>
        <v>126.57</v>
      </c>
      <c r="F473" s="17" t="n">
        <v>468</v>
      </c>
      <c r="G473" s="16" t="str">
        <f aca="false">IF(INDEX(選手一覧!$H$7:$H$2738,$F473)="","",INDEX(選手一覧!$H$7:$H$2738,$F473))</f>
        <v/>
      </c>
      <c r="H473" s="17" t="str">
        <f aca="false">IF(INDEX(選手一覧!$I$7:$I$2738,$F473)="","",INDEX(選手一覧!$I$7:$I$2738,$F473))</f>
        <v/>
      </c>
      <c r="I473" s="16" t="n">
        <f aca="false">IF(INDEX(選手一覧!$J$7:$J$2738,$F473)="","",INDEX(選手一覧!$J$7:$J$2738,$F473))</f>
        <v>0.00286805555555556</v>
      </c>
      <c r="J473" s="17" t="n">
        <f aca="false">IF(INDEX(選手一覧!$K$7:$K$2738,$F473)="","",INDEX(選手一覧!$K$7:$K$2738,$F473))</f>
        <v>680</v>
      </c>
    </row>
    <row r="474" customFormat="false" ht="15" hidden="false" customHeight="false" outlineLevel="0" collapsed="false">
      <c r="A474" s="17" t="n">
        <v>470</v>
      </c>
      <c r="B474" s="12" t="s">
        <v>829</v>
      </c>
      <c r="C474" s="12" t="s">
        <v>830</v>
      </c>
      <c r="D474" s="16" t="n">
        <v>0.01060625</v>
      </c>
      <c r="E474" s="15" t="n">
        <f aca="false">ROUND((D474-$D$5)*86400,2)</f>
        <v>126.64</v>
      </c>
      <c r="F474" s="17" t="n">
        <v>469</v>
      </c>
      <c r="G474" s="16" t="str">
        <f aca="false">IF(INDEX(選手一覧!$H$7:$H$2738,$F474)="","",INDEX(選手一覧!$H$7:$H$2738,$F474))</f>
        <v/>
      </c>
      <c r="H474" s="17" t="str">
        <f aca="false">IF(INDEX(選手一覧!$I$7:$I$2738,$F474)="","",INDEX(選手一覧!$I$7:$I$2738,$F474))</f>
        <v/>
      </c>
      <c r="I474" s="16" t="n">
        <f aca="false">IF(INDEX(選手一覧!$J$7:$J$2738,$F474)="","",INDEX(選手一覧!$J$7:$J$2738,$F474))</f>
        <v>0.00284606481481482</v>
      </c>
      <c r="J474" s="17" t="n">
        <f aca="false">IF(INDEX(選手一覧!$K$7:$K$2738,$F474)="","",INDEX(選手一覧!$K$7:$K$2738,$F474))</f>
        <v>543</v>
      </c>
    </row>
    <row r="475" customFormat="false" ht="15" hidden="false" customHeight="false" outlineLevel="0" collapsed="false">
      <c r="A475" s="17" t="n">
        <v>471</v>
      </c>
      <c r="B475" s="12" t="s">
        <v>831</v>
      </c>
      <c r="C475" s="12" t="s">
        <v>438</v>
      </c>
      <c r="D475" s="16" t="n">
        <v>0.0106065972222222</v>
      </c>
      <c r="E475" s="15" t="n">
        <f aca="false">ROUND((D475-$D$5)*86400,2)</f>
        <v>126.67</v>
      </c>
      <c r="F475" s="17" t="n">
        <v>470</v>
      </c>
      <c r="G475" s="16" t="str">
        <f aca="false">IF(INDEX(選手一覧!$H$7:$H$2738,$F475)="","",INDEX(選手一覧!$H$7:$H$2738,$F475))</f>
        <v/>
      </c>
      <c r="H475" s="17" t="str">
        <f aca="false">IF(INDEX(選手一覧!$I$7:$I$2738,$F475)="","",INDEX(選手一覧!$I$7:$I$2738,$F475))</f>
        <v/>
      </c>
      <c r="I475" s="16" t="n">
        <f aca="false">IF(INDEX(選手一覧!$J$7:$J$2738,$F475)="","",INDEX(選手一覧!$J$7:$J$2738,$F475))</f>
        <v>0.00285358796296296</v>
      </c>
      <c r="J475" s="17" t="n">
        <f aca="false">IF(INDEX(選手一覧!$K$7:$K$2738,$F475)="","",INDEX(選手一覧!$K$7:$K$2738,$F475))</f>
        <v>589</v>
      </c>
    </row>
    <row r="476" customFormat="false" ht="15" hidden="false" customHeight="false" outlineLevel="0" collapsed="false">
      <c r="A476" s="17" t="n">
        <v>472</v>
      </c>
      <c r="B476" s="12" t="s">
        <v>832</v>
      </c>
      <c r="C476" s="12" t="s">
        <v>290</v>
      </c>
      <c r="D476" s="16" t="n">
        <v>0.0106076388888889</v>
      </c>
      <c r="E476" s="15" t="n">
        <f aca="false">ROUND((D476-$D$5)*86400,2)</f>
        <v>126.76</v>
      </c>
      <c r="F476" s="17" t="n">
        <v>471</v>
      </c>
      <c r="G476" s="16" t="str">
        <f aca="false">IF(INDEX(選手一覧!$H$7:$H$2738,$F476)="","",INDEX(選手一覧!$H$7:$H$2738,$F476))</f>
        <v/>
      </c>
      <c r="H476" s="17" t="str">
        <f aca="false">IF(INDEX(選手一覧!$I$7:$I$2738,$F476)="","",INDEX(選手一覧!$I$7:$I$2738,$F476))</f>
        <v/>
      </c>
      <c r="I476" s="16" t="str">
        <f aca="false">IF(INDEX(選手一覧!$J$7:$J$2738,$F476)="","",INDEX(選手一覧!$J$7:$J$2738,$F476))</f>
        <v/>
      </c>
      <c r="J476" s="17" t="str">
        <f aca="false">IF(INDEX(選手一覧!$K$7:$K$2738,$F476)="","",INDEX(選手一覧!$K$7:$K$2738,$F476))</f>
        <v/>
      </c>
    </row>
    <row r="477" customFormat="false" ht="15" hidden="false" customHeight="false" outlineLevel="0" collapsed="false">
      <c r="A477" s="17" t="n">
        <v>473</v>
      </c>
      <c r="B477" s="12" t="s">
        <v>833</v>
      </c>
      <c r="C477" s="12" t="s">
        <v>290</v>
      </c>
      <c r="D477" s="16" t="n">
        <v>0.0106081018518519</v>
      </c>
      <c r="E477" s="15" t="n">
        <f aca="false">ROUND((D477-$D$5)*86400,2)</f>
        <v>126.8</v>
      </c>
      <c r="F477" s="17" t="n">
        <v>472</v>
      </c>
      <c r="G477" s="16" t="str">
        <f aca="false">IF(INDEX(選手一覧!$H$7:$H$2738,$F477)="","",INDEX(選手一覧!$H$7:$H$2738,$F477))</f>
        <v/>
      </c>
      <c r="H477" s="17" t="str">
        <f aca="false">IF(INDEX(選手一覧!$I$7:$I$2738,$F477)="","",INDEX(選手一覧!$I$7:$I$2738,$F477))</f>
        <v/>
      </c>
      <c r="I477" s="16" t="str">
        <f aca="false">IF(INDEX(選手一覧!$J$7:$J$2738,$F477)="","",INDEX(選手一覧!$J$7:$J$2738,$F477))</f>
        <v/>
      </c>
      <c r="J477" s="17" t="str">
        <f aca="false">IF(INDEX(選手一覧!$K$7:$K$2738,$F477)="","",INDEX(選手一覧!$K$7:$K$2738,$F477))</f>
        <v/>
      </c>
    </row>
    <row r="478" customFormat="false" ht="15" hidden="false" customHeight="false" outlineLevel="0" collapsed="false">
      <c r="A478" s="17" t="n">
        <v>474</v>
      </c>
      <c r="B478" s="12" t="s">
        <v>834</v>
      </c>
      <c r="C478" s="12" t="s">
        <v>67</v>
      </c>
      <c r="D478" s="16" t="n">
        <v>0.0106086805555556</v>
      </c>
      <c r="E478" s="15" t="n">
        <f aca="false">ROUND((D478-$D$5)*86400,2)</f>
        <v>126.85</v>
      </c>
      <c r="F478" s="17" t="n">
        <v>473</v>
      </c>
      <c r="G478" s="16" t="n">
        <f aca="false">IF(INDEX(選手一覧!$H$7:$H$2738,$F478)="","",INDEX(選手一覧!$H$7:$H$2738,$F478))</f>
        <v>0.00698622685185185</v>
      </c>
      <c r="H478" s="17" t="n">
        <f aca="false">IF(INDEX(選手一覧!$I$7:$I$2738,$F478)="","",INDEX(選手一覧!$I$7:$I$2738,$F478))</f>
        <v>321</v>
      </c>
      <c r="I478" s="16" t="n">
        <f aca="false">IF(INDEX(選手一覧!$J$7:$J$2738,$F478)="","",INDEX(選手一覧!$J$7:$J$2738,$F478))</f>
        <v>0.00279756944444445</v>
      </c>
      <c r="J478" s="17" t="n">
        <f aca="false">IF(INDEX(選手一覧!$K$7:$K$2738,$F478)="","",INDEX(選手一覧!$K$7:$K$2738,$F478))</f>
        <v>272</v>
      </c>
    </row>
    <row r="479" customFormat="false" ht="15" hidden="false" customHeight="false" outlineLevel="0" collapsed="false">
      <c r="A479" s="17" t="n">
        <v>475</v>
      </c>
      <c r="B479" s="12" t="s">
        <v>836</v>
      </c>
      <c r="C479" s="12" t="s">
        <v>281</v>
      </c>
      <c r="D479" s="16" t="n">
        <v>0.0106106481481482</v>
      </c>
      <c r="E479" s="15" t="n">
        <f aca="false">ROUND((D479-$D$5)*86400,2)</f>
        <v>127.02</v>
      </c>
      <c r="F479" s="17" t="n">
        <v>474</v>
      </c>
      <c r="G479" s="16" t="n">
        <f aca="false">IF(INDEX(選手一覧!$H$7:$H$2738,$F479)="","",INDEX(選手一覧!$H$7:$H$2738,$F479))</f>
        <v>0.0068724537037037</v>
      </c>
      <c r="H479" s="17" t="n">
        <f aca="false">IF(INDEX(選手一覧!$I$7:$I$2738,$F479)="","",INDEX(選手一覧!$I$7:$I$2738,$F479))</f>
        <v>219</v>
      </c>
      <c r="I479" s="16" t="str">
        <f aca="false">IF(INDEX(選手一覧!$J$7:$J$2738,$F479)="","",INDEX(選手一覧!$J$7:$J$2738,$F479))</f>
        <v/>
      </c>
      <c r="J479" s="17" t="str">
        <f aca="false">IF(INDEX(選手一覧!$K$7:$K$2738,$F479)="","",INDEX(選手一覧!$K$7:$K$2738,$F479))</f>
        <v/>
      </c>
    </row>
    <row r="480" customFormat="false" ht="15" hidden="false" customHeight="false" outlineLevel="0" collapsed="false">
      <c r="A480" s="17" t="n">
        <v>476</v>
      </c>
      <c r="B480" s="12" t="s">
        <v>837</v>
      </c>
      <c r="C480" s="12" t="s">
        <v>179</v>
      </c>
      <c r="D480" s="16" t="n">
        <v>0.0106106481481482</v>
      </c>
      <c r="E480" s="15" t="n">
        <f aca="false">ROUND((D480-$D$5)*86400,2)</f>
        <v>127.02</v>
      </c>
      <c r="F480" s="17" t="n">
        <v>475</v>
      </c>
      <c r="G480" s="16" t="str">
        <f aca="false">IF(INDEX(選手一覧!$H$7:$H$2738,$F480)="","",INDEX(選手一覧!$H$7:$H$2738,$F480))</f>
        <v/>
      </c>
      <c r="H480" s="17" t="str">
        <f aca="false">IF(INDEX(選手一覧!$I$7:$I$2738,$F480)="","",INDEX(選手一覧!$I$7:$I$2738,$F480))</f>
        <v/>
      </c>
      <c r="I480" s="16" t="n">
        <f aca="false">IF(INDEX(選手一覧!$J$7:$J$2738,$F480)="","",INDEX(選手一覧!$J$7:$J$2738,$F480))</f>
        <v>0.00281331018518519</v>
      </c>
      <c r="J480" s="17" t="n">
        <f aca="false">IF(INDEX(選手一覧!$K$7:$K$2738,$F480)="","",INDEX(選手一覧!$K$7:$K$2738,$F480))</f>
        <v>337</v>
      </c>
    </row>
    <row r="481" customFormat="false" ht="15" hidden="false" customHeight="false" outlineLevel="0" collapsed="false">
      <c r="A481" s="17" t="n">
        <v>477</v>
      </c>
      <c r="B481" s="12" t="s">
        <v>839</v>
      </c>
      <c r="C481" s="12" t="s">
        <v>54</v>
      </c>
      <c r="D481" s="16" t="n">
        <v>0.0106108796296296</v>
      </c>
      <c r="E481" s="15" t="n">
        <f aca="false">ROUND((D481-$D$5)*86400,2)</f>
        <v>127.04</v>
      </c>
      <c r="F481" s="17" t="n">
        <v>476</v>
      </c>
      <c r="G481" s="16" t="n">
        <f aca="false">IF(INDEX(選手一覧!$H$7:$H$2738,$F481)="","",INDEX(選手一覧!$H$7:$H$2738,$F481))</f>
        <v>0.00667673611111111</v>
      </c>
      <c r="H481" s="17" t="n">
        <f aca="false">IF(INDEX(選手一覧!$I$7:$I$2738,$F481)="","",INDEX(選手一覧!$I$7:$I$2738,$F481))</f>
        <v>96</v>
      </c>
      <c r="I481" s="16" t="n">
        <f aca="false">IF(INDEX(選手一覧!$J$7:$J$2738,$F481)="","",INDEX(選手一覧!$J$7:$J$2738,$F481))</f>
        <v>0.00289733796296296</v>
      </c>
      <c r="J481" s="17" t="n">
        <f aca="false">IF(INDEX(選手一覧!$K$7:$K$2738,$F481)="","",INDEX(選手一覧!$K$7:$K$2738,$F481))</f>
        <v>929</v>
      </c>
    </row>
    <row r="482" customFormat="false" ht="15" hidden="false" customHeight="false" outlineLevel="0" collapsed="false">
      <c r="A482" s="17" t="n">
        <v>478</v>
      </c>
      <c r="B482" s="12" t="s">
        <v>840</v>
      </c>
      <c r="C482" s="12" t="s">
        <v>728</v>
      </c>
      <c r="D482" s="16" t="n">
        <v>0.0106114583333333</v>
      </c>
      <c r="E482" s="15" t="n">
        <f aca="false">ROUND((D482-$D$5)*86400,2)</f>
        <v>127.09</v>
      </c>
      <c r="F482" s="17" t="n">
        <v>477</v>
      </c>
      <c r="G482" s="16" t="str">
        <f aca="false">IF(INDEX(選手一覧!$H$7:$H$2738,$F482)="","",INDEX(選手一覧!$H$7:$H$2738,$F482))</f>
        <v/>
      </c>
      <c r="H482" s="17" t="str">
        <f aca="false">IF(INDEX(選手一覧!$I$7:$I$2738,$F482)="","",INDEX(選手一覧!$I$7:$I$2738,$F482))</f>
        <v/>
      </c>
      <c r="I482" s="16" t="n">
        <f aca="false">IF(INDEX(選手一覧!$J$7:$J$2738,$F482)="","",INDEX(選手一覧!$J$7:$J$2738,$F482))</f>
        <v>0.00285543981481482</v>
      </c>
      <c r="J482" s="17" t="n">
        <f aca="false">IF(INDEX(選手一覧!$K$7:$K$2738,$F482)="","",INDEX(選手一覧!$K$7:$K$2738,$F482))</f>
        <v>599</v>
      </c>
    </row>
    <row r="483" customFormat="false" ht="15" hidden="false" customHeight="false" outlineLevel="0" collapsed="false">
      <c r="A483" s="17" t="n">
        <v>479</v>
      </c>
      <c r="B483" s="12" t="s">
        <v>842</v>
      </c>
      <c r="C483" s="12" t="s">
        <v>71</v>
      </c>
      <c r="D483" s="16" t="n">
        <v>0.0106119212962963</v>
      </c>
      <c r="E483" s="15" t="n">
        <f aca="false">ROUND((D483-$D$5)*86400,2)</f>
        <v>127.13</v>
      </c>
      <c r="F483" s="17" t="n">
        <v>478</v>
      </c>
      <c r="G483" s="16" t="n">
        <f aca="false">IF(INDEX(選手一覧!$H$7:$H$2738,$F483)="","",INDEX(選手一覧!$H$7:$H$2738,$F483))</f>
        <v>0.00689525462962963</v>
      </c>
      <c r="H483" s="17" t="n">
        <f aca="false">IF(INDEX(選手一覧!$I$7:$I$2738,$F483)="","",INDEX(選手一覧!$I$7:$I$2738,$F483))</f>
        <v>236</v>
      </c>
      <c r="I483" s="16" t="str">
        <f aca="false">IF(INDEX(選手一覧!$J$7:$J$2738,$F483)="","",INDEX(選手一覧!$J$7:$J$2738,$F483))</f>
        <v/>
      </c>
      <c r="J483" s="17" t="str">
        <f aca="false">IF(INDEX(選手一覧!$K$7:$K$2738,$F483)="","",INDEX(選手一覧!$K$7:$K$2738,$F483))</f>
        <v/>
      </c>
    </row>
    <row r="484" customFormat="false" ht="15" hidden="false" customHeight="false" outlineLevel="0" collapsed="false">
      <c r="A484" s="17" t="n">
        <v>480</v>
      </c>
      <c r="B484" s="12" t="s">
        <v>843</v>
      </c>
      <c r="C484" s="12" t="s">
        <v>127</v>
      </c>
      <c r="D484" s="16" t="n">
        <v>0.0106119212962963</v>
      </c>
      <c r="E484" s="15" t="n">
        <f aca="false">ROUND((D484-$D$5)*86400,2)</f>
        <v>127.13</v>
      </c>
      <c r="F484" s="17" t="n">
        <v>479</v>
      </c>
      <c r="G484" s="16" t="str">
        <f aca="false">IF(INDEX(選手一覧!$H$7:$H$2738,$F484)="","",INDEX(選手一覧!$H$7:$H$2738,$F484))</f>
        <v/>
      </c>
      <c r="H484" s="17" t="str">
        <f aca="false">IF(INDEX(選手一覧!$I$7:$I$2738,$F484)="","",INDEX(選手一覧!$I$7:$I$2738,$F484))</f>
        <v/>
      </c>
      <c r="I484" s="16" t="n">
        <f aca="false">IF(INDEX(選手一覧!$J$7:$J$2738,$F484)="","",INDEX(選手一覧!$J$7:$J$2738,$F484))</f>
        <v>0.00273506944444444</v>
      </c>
      <c r="J484" s="17" t="n">
        <f aca="false">IF(INDEX(選手一覧!$K$7:$K$2738,$F484)="","",INDEX(選手一覧!$K$7:$K$2738,$F484))</f>
        <v>72</v>
      </c>
    </row>
    <row r="485" customFormat="false" ht="15" hidden="false" customHeight="false" outlineLevel="0" collapsed="false">
      <c r="A485" s="17" t="n">
        <v>481</v>
      </c>
      <c r="B485" s="12" t="s">
        <v>845</v>
      </c>
      <c r="C485" s="12" t="s">
        <v>846</v>
      </c>
      <c r="D485" s="16" t="n">
        <v>0.0106123842592593</v>
      </c>
      <c r="E485" s="15" t="n">
        <f aca="false">ROUND((D485-$D$5)*86400,2)</f>
        <v>127.17</v>
      </c>
      <c r="F485" s="17" t="n">
        <v>480</v>
      </c>
      <c r="G485" s="16" t="str">
        <f aca="false">IF(INDEX(選手一覧!$H$7:$H$2738,$F485)="","",INDEX(選手一覧!$H$7:$H$2738,$F485))</f>
        <v/>
      </c>
      <c r="H485" s="17" t="str">
        <f aca="false">IF(INDEX(選手一覧!$I$7:$I$2738,$F485)="","",INDEX(選手一覧!$I$7:$I$2738,$F485))</f>
        <v/>
      </c>
      <c r="I485" s="16" t="n">
        <f aca="false">IF(INDEX(選手一覧!$J$7:$J$2738,$F485)="","",INDEX(選手一覧!$J$7:$J$2738,$F485))</f>
        <v>0.00296493055555556</v>
      </c>
      <c r="J485" s="17" t="n">
        <f aca="false">IF(INDEX(選手一覧!$K$7:$K$2738,$F485)="","",INDEX(選手一覧!$K$7:$K$2738,$F485))</f>
        <v>1289</v>
      </c>
    </row>
    <row r="486" customFormat="false" ht="15" hidden="false" customHeight="false" outlineLevel="0" collapsed="false">
      <c r="A486" s="17" t="n">
        <v>482</v>
      </c>
      <c r="B486" s="12" t="s">
        <v>847</v>
      </c>
      <c r="C486" s="12" t="s">
        <v>463</v>
      </c>
      <c r="D486" s="16" t="n">
        <v>0.0106128472222222</v>
      </c>
      <c r="E486" s="15" t="n">
        <f aca="false">ROUND((D486-$D$5)*86400,2)</f>
        <v>127.21</v>
      </c>
      <c r="F486" s="17" t="n">
        <v>481</v>
      </c>
      <c r="G486" s="16" t="n">
        <f aca="false">IF(INDEX(選手一覧!$H$7:$H$2738,$F486)="","",INDEX(選手一覧!$H$7:$H$2738,$F486))</f>
        <v>0.00723171296296296</v>
      </c>
      <c r="H486" s="17" t="n">
        <f aca="false">IF(INDEX(選手一覧!$I$7:$I$2738,$F486)="","",INDEX(選手一覧!$I$7:$I$2738,$F486))</f>
        <v>576</v>
      </c>
      <c r="I486" s="16" t="n">
        <f aca="false">IF(INDEX(選手一覧!$J$7:$J$2738,$F486)="","",INDEX(選手一覧!$J$7:$J$2738,$F486))</f>
        <v>0.00281458333333333</v>
      </c>
      <c r="J486" s="17" t="n">
        <f aca="false">IF(INDEX(選手一覧!$K$7:$K$2738,$F486)="","",INDEX(選手一覧!$K$7:$K$2738,$F486))</f>
        <v>341</v>
      </c>
    </row>
    <row r="487" customFormat="false" ht="15" hidden="false" customHeight="false" outlineLevel="0" collapsed="false">
      <c r="A487" s="17" t="n">
        <v>483</v>
      </c>
      <c r="B487" s="12" t="s">
        <v>849</v>
      </c>
      <c r="C487" s="12" t="s">
        <v>380</v>
      </c>
      <c r="D487" s="16" t="n">
        <v>0.0106130787037037</v>
      </c>
      <c r="E487" s="15" t="n">
        <f aca="false">ROUND((D487-$D$5)*86400,2)</f>
        <v>127.23</v>
      </c>
      <c r="F487" s="17" t="n">
        <v>482</v>
      </c>
      <c r="G487" s="16" t="str">
        <f aca="false">IF(INDEX(選手一覧!$H$7:$H$2738,$F487)="","",INDEX(選手一覧!$H$7:$H$2738,$F487))</f>
        <v/>
      </c>
      <c r="H487" s="17" t="str">
        <f aca="false">IF(INDEX(選手一覧!$I$7:$I$2738,$F487)="","",INDEX(選手一覧!$I$7:$I$2738,$F487))</f>
        <v/>
      </c>
      <c r="I487" s="16" t="n">
        <f aca="false">IF(INDEX(選手一覧!$J$7:$J$2738,$F487)="","",INDEX(選手一覧!$J$7:$J$2738,$F487))</f>
        <v>0.00282997685185185</v>
      </c>
      <c r="J487" s="17" t="n">
        <f aca="false">IF(INDEX(選手一覧!$K$7:$K$2738,$F487)="","",INDEX(選手一覧!$K$7:$K$2738,$F487))</f>
        <v>427</v>
      </c>
    </row>
    <row r="488" customFormat="false" ht="15" hidden="false" customHeight="false" outlineLevel="0" collapsed="false">
      <c r="A488" s="17" t="n">
        <v>484</v>
      </c>
      <c r="B488" s="12" t="s">
        <v>850</v>
      </c>
      <c r="C488" s="12" t="s">
        <v>380</v>
      </c>
      <c r="D488" s="16" t="n">
        <v>0.0106134259259259</v>
      </c>
      <c r="E488" s="15" t="n">
        <f aca="false">ROUND((D488-$D$5)*86400,2)</f>
        <v>127.26</v>
      </c>
      <c r="F488" s="17" t="n">
        <v>483</v>
      </c>
      <c r="G488" s="16" t="str">
        <f aca="false">IF(INDEX(選手一覧!$H$7:$H$2738,$F488)="","",INDEX(選手一覧!$H$7:$H$2738,$F488))</f>
        <v/>
      </c>
      <c r="H488" s="17" t="str">
        <f aca="false">IF(INDEX(選手一覧!$I$7:$I$2738,$F488)="","",INDEX(選手一覧!$I$7:$I$2738,$F488))</f>
        <v/>
      </c>
      <c r="I488" s="16" t="n">
        <f aca="false">IF(INDEX(選手一覧!$J$7:$J$2738,$F488)="","",INDEX(選手一覧!$J$7:$J$2738,$F488))</f>
        <v>0.00290416666666667</v>
      </c>
      <c r="J488" s="17" t="n">
        <f aca="false">IF(INDEX(選手一覧!$K$7:$K$2738,$F488)="","",INDEX(選手一覧!$K$7:$K$2738,$F488))</f>
        <v>980</v>
      </c>
    </row>
    <row r="489" customFormat="false" ht="15" hidden="false" customHeight="false" outlineLevel="0" collapsed="false">
      <c r="A489" s="17" t="n">
        <v>485</v>
      </c>
      <c r="B489" s="12" t="s">
        <v>851</v>
      </c>
      <c r="C489" s="12" t="s">
        <v>852</v>
      </c>
      <c r="D489" s="16" t="n">
        <v>0.0106138888888889</v>
      </c>
      <c r="E489" s="15" t="n">
        <f aca="false">ROUND((D489-$D$5)*86400,2)</f>
        <v>127.3</v>
      </c>
      <c r="F489" s="17" t="n">
        <v>484</v>
      </c>
      <c r="G489" s="16" t="str">
        <f aca="false">IF(INDEX(選手一覧!$H$7:$H$2738,$F489)="","",INDEX(選手一覧!$H$7:$H$2738,$F489))</f>
        <v/>
      </c>
      <c r="H489" s="17" t="str">
        <f aca="false">IF(INDEX(選手一覧!$I$7:$I$2738,$F489)="","",INDEX(選手一覧!$I$7:$I$2738,$F489))</f>
        <v/>
      </c>
      <c r="I489" s="16" t="n">
        <f aca="false">IF(INDEX(選手一覧!$J$7:$J$2738,$F489)="","",INDEX(選手一覧!$J$7:$J$2738,$F489))</f>
        <v>0.0028306712962963</v>
      </c>
      <c r="J489" s="17" t="n">
        <f aca="false">IF(INDEX(選手一覧!$K$7:$K$2738,$F489)="","",INDEX(選手一覧!$K$7:$K$2738,$F489))</f>
        <v>431</v>
      </c>
    </row>
    <row r="490" customFormat="false" ht="15" hidden="false" customHeight="false" outlineLevel="0" collapsed="false">
      <c r="A490" s="17" t="n">
        <v>486</v>
      </c>
      <c r="B490" s="12" t="s">
        <v>853</v>
      </c>
      <c r="C490" s="12" t="s">
        <v>103</v>
      </c>
      <c r="D490" s="16" t="n">
        <v>0.010615625</v>
      </c>
      <c r="E490" s="15" t="n">
        <f aca="false">ROUND((D490-$D$5)*86400,2)</f>
        <v>127.45</v>
      </c>
      <c r="F490" s="17" t="n">
        <v>485</v>
      </c>
      <c r="G490" s="16" t="str">
        <f aca="false">IF(INDEX(選手一覧!$H$7:$H$2738,$F490)="","",INDEX(選手一覧!$H$7:$H$2738,$F490))</f>
        <v/>
      </c>
      <c r="H490" s="17" t="str">
        <f aca="false">IF(INDEX(選手一覧!$I$7:$I$2738,$F490)="","",INDEX(選手一覧!$I$7:$I$2738,$F490))</f>
        <v/>
      </c>
      <c r="I490" s="16" t="n">
        <f aca="false">IF(INDEX(選手一覧!$J$7:$J$2738,$F490)="","",INDEX(選手一覧!$J$7:$J$2738,$F490))</f>
        <v>0.00279027777777778</v>
      </c>
      <c r="J490" s="17" t="n">
        <f aca="false">IF(INDEX(選手一覧!$K$7:$K$2738,$F490)="","",INDEX(選手一覧!$K$7:$K$2738,$F490))</f>
        <v>239</v>
      </c>
    </row>
    <row r="491" customFormat="false" ht="15" hidden="false" customHeight="false" outlineLevel="0" collapsed="false">
      <c r="A491" s="17" t="n">
        <v>487</v>
      </c>
      <c r="B491" s="12" t="s">
        <v>855</v>
      </c>
      <c r="C491" s="12" t="s">
        <v>711</v>
      </c>
      <c r="D491" s="16" t="n">
        <v>0.0106157407407407</v>
      </c>
      <c r="E491" s="15" t="n">
        <f aca="false">ROUND((D491-$D$5)*86400,2)</f>
        <v>127.46</v>
      </c>
      <c r="F491" s="17" t="n">
        <v>486</v>
      </c>
      <c r="G491" s="16" t="n">
        <f aca="false">IF(INDEX(選手一覧!$H$7:$H$2738,$F491)="","",INDEX(選手一覧!$H$7:$H$2738,$F491))</f>
        <v>0.00645543981481482</v>
      </c>
      <c r="H491" s="17" t="n">
        <f aca="false">IF(INDEX(選手一覧!$I$7:$I$2738,$F491)="","",INDEX(選手一覧!$I$7:$I$2738,$F491))</f>
        <v>23</v>
      </c>
      <c r="I491" s="16" t="n">
        <f aca="false">IF(INDEX(選手一覧!$J$7:$J$2738,$F491)="","",INDEX(選手一覧!$J$7:$J$2738,$F491))</f>
        <v>0.00290162037037037</v>
      </c>
      <c r="J491" s="17" t="n">
        <f aca="false">IF(INDEX(選手一覧!$K$7:$K$2738,$F491)="","",INDEX(選手一覧!$K$7:$K$2738,$F491))</f>
        <v>960</v>
      </c>
    </row>
    <row r="492" customFormat="false" ht="15" hidden="false" customHeight="false" outlineLevel="0" collapsed="false">
      <c r="A492" s="17" t="n">
        <v>488</v>
      </c>
      <c r="B492" s="12" t="s">
        <v>856</v>
      </c>
      <c r="C492" s="12" t="s">
        <v>565</v>
      </c>
      <c r="D492" s="16" t="n">
        <v>0.010616087962963</v>
      </c>
      <c r="E492" s="15" t="n">
        <f aca="false">ROUND((D492-$D$5)*86400,2)</f>
        <v>127.49</v>
      </c>
      <c r="F492" s="17" t="n">
        <v>487</v>
      </c>
      <c r="G492" s="16" t="str">
        <f aca="false">IF(INDEX(選手一覧!$H$7:$H$2738,$F492)="","",INDEX(選手一覧!$H$7:$H$2738,$F492))</f>
        <v/>
      </c>
      <c r="H492" s="17" t="str">
        <f aca="false">IF(INDEX(選手一覧!$I$7:$I$2738,$F492)="","",INDEX(選手一覧!$I$7:$I$2738,$F492))</f>
        <v/>
      </c>
      <c r="I492" s="16" t="n">
        <f aca="false">IF(INDEX(選手一覧!$J$7:$J$2738,$F492)="","",INDEX(選手一覧!$J$7:$J$2738,$F492))</f>
        <v>0.00282650462962963</v>
      </c>
      <c r="J492" s="17" t="n">
        <f aca="false">IF(INDEX(選手一覧!$K$7:$K$2738,$F492)="","",INDEX(選手一覧!$K$7:$K$2738,$F492))</f>
        <v>402</v>
      </c>
    </row>
    <row r="493" customFormat="false" ht="15" hidden="false" customHeight="false" outlineLevel="0" collapsed="false">
      <c r="A493" s="17" t="n">
        <v>489</v>
      </c>
      <c r="B493" s="12" t="s">
        <v>857</v>
      </c>
      <c r="C493" s="12" t="s">
        <v>858</v>
      </c>
      <c r="D493" s="16" t="n">
        <v>0.0106162037037037</v>
      </c>
      <c r="E493" s="15" t="n">
        <f aca="false">ROUND((D493-$D$5)*86400,2)</f>
        <v>127.5</v>
      </c>
      <c r="F493" s="17" t="n">
        <v>488</v>
      </c>
      <c r="G493" s="16" t="n">
        <f aca="false">IF(INDEX(選手一覧!$H$7:$H$2738,$F493)="","",INDEX(選手一覧!$H$7:$H$2738,$F493))</f>
        <v>0.00656377314814815</v>
      </c>
      <c r="H493" s="17" t="n">
        <f aca="false">IF(INDEX(選手一覧!$I$7:$I$2738,$F493)="","",INDEX(選手一覧!$I$7:$I$2738,$F493))</f>
        <v>51</v>
      </c>
      <c r="I493" s="16" t="n">
        <f aca="false">IF(INDEX(選手一覧!$J$7:$J$2738,$F493)="","",INDEX(選手一覧!$J$7:$J$2738,$F493))</f>
        <v>0.00284421296296296</v>
      </c>
      <c r="J493" s="17" t="n">
        <f aca="false">IF(INDEX(選手一覧!$K$7:$K$2738,$F493)="","",INDEX(選手一覧!$K$7:$K$2738,$F493))</f>
        <v>528</v>
      </c>
    </row>
    <row r="494" customFormat="false" ht="15" hidden="false" customHeight="false" outlineLevel="0" collapsed="false">
      <c r="A494" s="17" t="n">
        <v>490</v>
      </c>
      <c r="B494" s="12" t="s">
        <v>859</v>
      </c>
      <c r="C494" s="12" t="s">
        <v>860</v>
      </c>
      <c r="D494" s="16" t="n">
        <v>0.0106164351851852</v>
      </c>
      <c r="E494" s="15" t="n">
        <f aca="false">ROUND((D494-$D$5)*86400,2)</f>
        <v>127.52</v>
      </c>
      <c r="F494" s="17" t="n">
        <v>489</v>
      </c>
      <c r="G494" s="16" t="n">
        <f aca="false">IF(INDEX(選手一覧!$H$7:$H$2738,$F494)="","",INDEX(選手一覧!$H$7:$H$2738,$F494))</f>
        <v>0.00720949074074074</v>
      </c>
      <c r="H494" s="17" t="n">
        <f aca="false">IF(INDEX(選手一覧!$I$7:$I$2738,$F494)="","",INDEX(選手一覧!$I$7:$I$2738,$F494))</f>
        <v>546</v>
      </c>
      <c r="I494" s="16" t="n">
        <f aca="false">IF(INDEX(選手一覧!$J$7:$J$2738,$F494)="","",INDEX(選手一覧!$J$7:$J$2738,$F494))</f>
        <v>0.00291678240740741</v>
      </c>
      <c r="J494" s="17" t="n">
        <f aca="false">IF(INDEX(選手一覧!$K$7:$K$2738,$F494)="","",INDEX(選手一覧!$K$7:$K$2738,$F494))</f>
        <v>1064</v>
      </c>
    </row>
    <row r="495" customFormat="false" ht="15" hidden="false" customHeight="false" outlineLevel="0" collapsed="false">
      <c r="A495" s="17" t="n">
        <v>491</v>
      </c>
      <c r="B495" s="12" t="s">
        <v>861</v>
      </c>
      <c r="C495" s="12" t="s">
        <v>240</v>
      </c>
      <c r="D495" s="16" t="n">
        <v>0.0106170138888889</v>
      </c>
      <c r="E495" s="15" t="n">
        <f aca="false">ROUND((D495-$D$5)*86400,2)</f>
        <v>127.57</v>
      </c>
      <c r="F495" s="17" t="n">
        <v>490</v>
      </c>
      <c r="G495" s="16" t="str">
        <f aca="false">IF(INDEX(選手一覧!$H$7:$H$2738,$F495)="","",INDEX(選手一覧!$H$7:$H$2738,$F495))</f>
        <v/>
      </c>
      <c r="H495" s="17" t="str">
        <f aca="false">IF(INDEX(選手一覧!$I$7:$I$2738,$F495)="","",INDEX(選手一覧!$I$7:$I$2738,$F495))</f>
        <v/>
      </c>
      <c r="I495" s="16" t="n">
        <f aca="false">IF(INDEX(選手一覧!$J$7:$J$2738,$F495)="","",INDEX(選手一覧!$J$7:$J$2738,$F495))</f>
        <v>0.00273449074074074</v>
      </c>
      <c r="J495" s="17" t="n">
        <f aca="false">IF(INDEX(選手一覧!$K$7:$K$2738,$F495)="","",INDEX(選手一覧!$K$7:$K$2738,$F495))</f>
        <v>71</v>
      </c>
    </row>
    <row r="496" customFormat="false" ht="15" hidden="false" customHeight="false" outlineLevel="0" collapsed="false">
      <c r="A496" s="17" t="n">
        <v>492</v>
      </c>
      <c r="B496" s="12" t="s">
        <v>862</v>
      </c>
      <c r="C496" s="12" t="s">
        <v>96</v>
      </c>
      <c r="D496" s="16" t="n">
        <v>0.0106173611111111</v>
      </c>
      <c r="E496" s="15" t="n">
        <f aca="false">ROUND((D496-$D$5)*86400,2)</f>
        <v>127.6</v>
      </c>
      <c r="F496" s="17" t="n">
        <v>491</v>
      </c>
      <c r="G496" s="16" t="str">
        <f aca="false">IF(INDEX(選手一覧!$H$7:$H$2738,$F496)="","",INDEX(選手一覧!$H$7:$H$2738,$F496))</f>
        <v/>
      </c>
      <c r="H496" s="17" t="str">
        <f aca="false">IF(INDEX(選手一覧!$I$7:$I$2738,$F496)="","",INDEX(選手一覧!$I$7:$I$2738,$F496))</f>
        <v/>
      </c>
      <c r="I496" s="16" t="n">
        <f aca="false">IF(INDEX(選手一覧!$J$7:$J$2738,$F496)="","",INDEX(選手一覧!$J$7:$J$2738,$F496))</f>
        <v>0.00284305555555556</v>
      </c>
      <c r="J496" s="17" t="n">
        <f aca="false">IF(INDEX(選手一覧!$K$7:$K$2738,$F496)="","",INDEX(選手一覧!$K$7:$K$2738,$F496))</f>
        <v>516</v>
      </c>
    </row>
    <row r="497" customFormat="false" ht="15" hidden="false" customHeight="false" outlineLevel="0" collapsed="false">
      <c r="A497" s="17" t="n">
        <v>493</v>
      </c>
      <c r="B497" s="12" t="s">
        <v>863</v>
      </c>
      <c r="C497" s="12" t="s">
        <v>864</v>
      </c>
      <c r="D497" s="16" t="n">
        <v>0.0106174768518519</v>
      </c>
      <c r="E497" s="15" t="n">
        <f aca="false">ROUND((D497-$D$5)*86400,2)</f>
        <v>127.61</v>
      </c>
      <c r="F497" s="17" t="n">
        <v>492</v>
      </c>
      <c r="G497" s="16" t="str">
        <f aca="false">IF(INDEX(選手一覧!$H$7:$H$2738,$F497)="","",INDEX(選手一覧!$H$7:$H$2738,$F497))</f>
        <v/>
      </c>
      <c r="H497" s="17" t="str">
        <f aca="false">IF(INDEX(選手一覧!$I$7:$I$2738,$F497)="","",INDEX(選手一覧!$I$7:$I$2738,$F497))</f>
        <v/>
      </c>
      <c r="I497" s="16" t="str">
        <f aca="false">IF(INDEX(選手一覧!$J$7:$J$2738,$F497)="","",INDEX(選手一覧!$J$7:$J$2738,$F497))</f>
        <v/>
      </c>
      <c r="J497" s="17" t="str">
        <f aca="false">IF(INDEX(選手一覧!$K$7:$K$2738,$F497)="","",INDEX(選手一覧!$K$7:$K$2738,$F497))</f>
        <v/>
      </c>
    </row>
    <row r="498" customFormat="false" ht="15" hidden="false" customHeight="false" outlineLevel="0" collapsed="false">
      <c r="A498" s="17" t="n">
        <v>494</v>
      </c>
      <c r="B498" s="12" t="s">
        <v>866</v>
      </c>
      <c r="C498" s="12" t="s">
        <v>179</v>
      </c>
      <c r="D498" s="16" t="n">
        <v>0.0106181712962963</v>
      </c>
      <c r="E498" s="15" t="n">
        <f aca="false">ROUND((D498-$D$5)*86400,2)</f>
        <v>127.67</v>
      </c>
      <c r="F498" s="17" t="n">
        <v>493</v>
      </c>
      <c r="G498" s="16" t="str">
        <f aca="false">IF(INDEX(選手一覧!$H$7:$H$2738,$F498)="","",INDEX(選手一覧!$H$7:$H$2738,$F498))</f>
        <v/>
      </c>
      <c r="H498" s="17" t="str">
        <f aca="false">IF(INDEX(選手一覧!$I$7:$I$2738,$F498)="","",INDEX(選手一覧!$I$7:$I$2738,$F498))</f>
        <v/>
      </c>
      <c r="I498" s="16" t="n">
        <f aca="false">IF(INDEX(選手一覧!$J$7:$J$2738,$F498)="","",INDEX(選手一覧!$J$7:$J$2738,$F498))</f>
        <v>0.00287581018518519</v>
      </c>
      <c r="J498" s="17" t="n">
        <f aca="false">IF(INDEX(選手一覧!$K$7:$K$2738,$F498)="","",INDEX(選手一覧!$K$7:$K$2738,$F498))</f>
        <v>738</v>
      </c>
    </row>
    <row r="499" customFormat="false" ht="15" hidden="false" customHeight="false" outlineLevel="0" collapsed="false">
      <c r="A499" s="17" t="n">
        <v>495</v>
      </c>
      <c r="B499" s="12" t="s">
        <v>868</v>
      </c>
      <c r="C499" s="12" t="s">
        <v>869</v>
      </c>
      <c r="D499" s="16" t="n">
        <v>0.0106184027777778</v>
      </c>
      <c r="E499" s="15" t="n">
        <f aca="false">ROUND((D499-$D$5)*86400,2)</f>
        <v>127.69</v>
      </c>
      <c r="F499" s="17" t="n">
        <v>494</v>
      </c>
      <c r="G499" s="16" t="n">
        <f aca="false">IF(INDEX(選手一覧!$H$7:$H$2738,$F499)="","",INDEX(選手一覧!$H$7:$H$2738,$F499))</f>
        <v>0.00649166666666667</v>
      </c>
      <c r="H499" s="17" t="n">
        <f aca="false">IF(INDEX(選手一覧!$I$7:$I$2738,$F499)="","",INDEX(選手一覧!$I$7:$I$2738,$F499))</f>
        <v>33</v>
      </c>
      <c r="I499" s="16" t="n">
        <f aca="false">IF(INDEX(選手一覧!$J$7:$J$2738,$F499)="","",INDEX(選手一覧!$J$7:$J$2738,$F499))</f>
        <v>0.0028912037037037</v>
      </c>
      <c r="J499" s="17" t="n">
        <f aca="false">IF(INDEX(選手一覧!$K$7:$K$2738,$F499)="","",INDEX(選手一覧!$K$7:$K$2738,$F499))</f>
        <v>878</v>
      </c>
    </row>
    <row r="500" customFormat="false" ht="15" hidden="false" customHeight="false" outlineLevel="0" collapsed="false">
      <c r="A500" s="17" t="n">
        <v>496</v>
      </c>
      <c r="B500" s="12" t="s">
        <v>870</v>
      </c>
      <c r="C500" s="12" t="s">
        <v>297</v>
      </c>
      <c r="D500" s="16" t="n">
        <v>0.0106185185185185</v>
      </c>
      <c r="E500" s="15" t="n">
        <f aca="false">ROUND((D500-$D$5)*86400,2)</f>
        <v>127.7</v>
      </c>
      <c r="F500" s="17" t="n">
        <v>495</v>
      </c>
      <c r="G500" s="16" t="str">
        <f aca="false">IF(INDEX(選手一覧!$H$7:$H$2738,$F500)="","",INDEX(選手一覧!$H$7:$H$2738,$F500))</f>
        <v/>
      </c>
      <c r="H500" s="17" t="str">
        <f aca="false">IF(INDEX(選手一覧!$I$7:$I$2738,$F500)="","",INDEX(選手一覧!$I$7:$I$2738,$F500))</f>
        <v/>
      </c>
      <c r="I500" s="16" t="n">
        <f aca="false">IF(INDEX(選手一覧!$J$7:$J$2738,$F500)="","",INDEX(選手一覧!$J$7:$J$2738,$F500))</f>
        <v>0.00283831018518519</v>
      </c>
      <c r="J500" s="17" t="n">
        <f aca="false">IF(INDEX(選手一覧!$K$7:$K$2738,$F500)="","",INDEX(選手一覧!$K$7:$K$2738,$F500))</f>
        <v>486</v>
      </c>
    </row>
    <row r="501" customFormat="false" ht="15" hidden="false" customHeight="false" outlineLevel="0" collapsed="false">
      <c r="A501" s="17" t="n">
        <v>497</v>
      </c>
      <c r="B501" s="12" t="s">
        <v>872</v>
      </c>
      <c r="C501" s="12" t="s">
        <v>873</v>
      </c>
      <c r="D501" s="16" t="n">
        <v>0.0106197916666667</v>
      </c>
      <c r="E501" s="15" t="n">
        <f aca="false">ROUND((D501-$D$5)*86400,2)</f>
        <v>127.81</v>
      </c>
      <c r="F501" s="17" t="n">
        <v>496</v>
      </c>
      <c r="G501" s="16" t="str">
        <f aca="false">IF(INDEX(選手一覧!$H$7:$H$2738,$F501)="","",INDEX(選手一覧!$H$7:$H$2738,$F501))</f>
        <v/>
      </c>
      <c r="H501" s="17" t="str">
        <f aca="false">IF(INDEX(選手一覧!$I$7:$I$2738,$F501)="","",INDEX(選手一覧!$I$7:$I$2738,$F501))</f>
        <v/>
      </c>
      <c r="I501" s="16" t="str">
        <f aca="false">IF(INDEX(選手一覧!$J$7:$J$2738,$F501)="","",INDEX(選手一覧!$J$7:$J$2738,$F501))</f>
        <v/>
      </c>
      <c r="J501" s="17" t="str">
        <f aca="false">IF(INDEX(選手一覧!$K$7:$K$2738,$F501)="","",INDEX(選手一覧!$K$7:$K$2738,$F501))</f>
        <v/>
      </c>
    </row>
    <row r="502" customFormat="false" ht="15" hidden="false" customHeight="false" outlineLevel="0" collapsed="false">
      <c r="A502" s="17" t="n">
        <v>498</v>
      </c>
      <c r="B502" s="12" t="s">
        <v>874</v>
      </c>
      <c r="C502" s="12" t="s">
        <v>875</v>
      </c>
      <c r="D502" s="16" t="n">
        <v>0.0106210648148148</v>
      </c>
      <c r="E502" s="15" t="n">
        <f aca="false">ROUND((D502-$D$5)*86400,2)</f>
        <v>127.92</v>
      </c>
      <c r="F502" s="17" t="n">
        <v>497</v>
      </c>
      <c r="G502" s="16" t="str">
        <f aca="false">IF(INDEX(選手一覧!$H$7:$H$2738,$F502)="","",INDEX(選手一覧!$H$7:$H$2738,$F502))</f>
        <v/>
      </c>
      <c r="H502" s="17" t="str">
        <f aca="false">IF(INDEX(選手一覧!$I$7:$I$2738,$F502)="","",INDEX(選手一覧!$I$7:$I$2738,$F502))</f>
        <v/>
      </c>
      <c r="I502" s="16" t="n">
        <f aca="false">IF(INDEX(選手一覧!$J$7:$J$2738,$F502)="","",INDEX(選手一覧!$J$7:$J$2738,$F502))</f>
        <v>0.00283263888888889</v>
      </c>
      <c r="J502" s="17" t="n">
        <f aca="false">IF(INDEX(選手一覧!$K$7:$K$2738,$F502)="","",INDEX(選手一覧!$K$7:$K$2738,$F502))</f>
        <v>444</v>
      </c>
    </row>
    <row r="503" customFormat="false" ht="15" hidden="false" customHeight="false" outlineLevel="0" collapsed="false">
      <c r="A503" s="17" t="n">
        <v>499</v>
      </c>
      <c r="B503" s="12" t="s">
        <v>877</v>
      </c>
      <c r="C503" s="12" t="s">
        <v>491</v>
      </c>
      <c r="D503" s="16" t="n">
        <v>0.010621412037037</v>
      </c>
      <c r="E503" s="15" t="n">
        <f aca="false">ROUND((D503-$D$5)*86400,2)</f>
        <v>127.95</v>
      </c>
      <c r="F503" s="17" t="n">
        <v>498</v>
      </c>
      <c r="G503" s="16" t="str">
        <f aca="false">IF(INDEX(選手一覧!$H$7:$H$2738,$F503)="","",INDEX(選手一覧!$H$7:$H$2738,$F503))</f>
        <v/>
      </c>
      <c r="H503" s="17" t="str">
        <f aca="false">IF(INDEX(選手一覧!$I$7:$I$2738,$F503)="","",INDEX(選手一覧!$I$7:$I$2738,$F503))</f>
        <v/>
      </c>
      <c r="I503" s="16" t="str">
        <f aca="false">IF(INDEX(選手一覧!$J$7:$J$2738,$F503)="","",INDEX(選手一覧!$J$7:$J$2738,$F503))</f>
        <v/>
      </c>
      <c r="J503" s="17" t="str">
        <f aca="false">IF(INDEX(選手一覧!$K$7:$K$2738,$F503)="","",INDEX(選手一覧!$K$7:$K$2738,$F503))</f>
        <v/>
      </c>
    </row>
    <row r="504" customFormat="false" ht="15" hidden="false" customHeight="false" outlineLevel="0" collapsed="false">
      <c r="A504" s="17" t="n">
        <v>500</v>
      </c>
      <c r="B504" s="12" t="s">
        <v>878</v>
      </c>
      <c r="C504" s="12" t="s">
        <v>879</v>
      </c>
      <c r="D504" s="16" t="n">
        <v>0.0106226851851852</v>
      </c>
      <c r="E504" s="15" t="n">
        <f aca="false">ROUND((D504-$D$5)*86400,2)</f>
        <v>128.06</v>
      </c>
      <c r="F504" s="17" t="n">
        <v>499</v>
      </c>
      <c r="G504" s="16" t="str">
        <f aca="false">IF(INDEX(選手一覧!$H$7:$H$2738,$F504)="","",INDEX(選手一覧!$H$7:$H$2738,$F504))</f>
        <v/>
      </c>
      <c r="H504" s="17" t="str">
        <f aca="false">IF(INDEX(選手一覧!$I$7:$I$2738,$F504)="","",INDEX(選手一覧!$I$7:$I$2738,$F504))</f>
        <v/>
      </c>
      <c r="I504" s="16" t="str">
        <f aca="false">IF(INDEX(選手一覧!$J$7:$J$2738,$F504)="","",INDEX(選手一覧!$J$7:$J$2738,$F504))</f>
        <v/>
      </c>
      <c r="J504" s="17" t="str">
        <f aca="false">IF(INDEX(選手一覧!$K$7:$K$2738,$F504)="","",INDEX(選手一覧!$K$7:$K$2738,$F504))</f>
        <v/>
      </c>
    </row>
    <row r="505" customFormat="false" ht="15" hidden="false" customHeight="false" outlineLevel="0" collapsed="false">
      <c r="A505" s="17" t="n">
        <v>501</v>
      </c>
      <c r="B505" s="12" t="s">
        <v>880</v>
      </c>
      <c r="C505" s="12" t="s">
        <v>375</v>
      </c>
      <c r="D505" s="16" t="n">
        <v>0.0106230324074074</v>
      </c>
      <c r="E505" s="15" t="n">
        <f aca="false">ROUND((D505-$D$5)*86400,2)</f>
        <v>128.09</v>
      </c>
      <c r="F505" s="17" t="n">
        <v>500</v>
      </c>
      <c r="G505" s="16" t="str">
        <f aca="false">IF(INDEX(選手一覧!$H$7:$H$2738,$F505)="","",INDEX(選手一覧!$H$7:$H$2738,$F505))</f>
        <v/>
      </c>
      <c r="H505" s="17" t="str">
        <f aca="false">IF(INDEX(選手一覧!$I$7:$I$2738,$F505)="","",INDEX(選手一覧!$I$7:$I$2738,$F505))</f>
        <v/>
      </c>
      <c r="I505" s="16" t="n">
        <f aca="false">IF(INDEX(選手一覧!$J$7:$J$2738,$F505)="","",INDEX(選手一覧!$J$7:$J$2738,$F505))</f>
        <v>0.00297962962962963</v>
      </c>
      <c r="J505" s="17" t="n">
        <f aca="false">IF(INDEX(選手一覧!$K$7:$K$2738,$F505)="","",INDEX(選手一覧!$K$7:$K$2738,$F505))</f>
        <v>1351</v>
      </c>
    </row>
    <row r="506" customFormat="false" ht="15" hidden="false" customHeight="false" outlineLevel="0" collapsed="false">
      <c r="A506" s="17" t="n">
        <v>502</v>
      </c>
      <c r="B506" s="12" t="s">
        <v>881</v>
      </c>
      <c r="C506" s="12" t="s">
        <v>460</v>
      </c>
      <c r="D506" s="16" t="n">
        <v>0.0106239583333333</v>
      </c>
      <c r="E506" s="15" t="n">
        <f aca="false">ROUND((D506-$D$5)*86400,2)</f>
        <v>128.17</v>
      </c>
      <c r="F506" s="17" t="n">
        <v>501</v>
      </c>
      <c r="G506" s="16" t="n">
        <f aca="false">IF(INDEX(選手一覧!$H$7:$H$2738,$F506)="","",INDEX(選手一覧!$H$7:$H$2738,$F506))</f>
        <v>0.00656226851851852</v>
      </c>
      <c r="H506" s="17" t="n">
        <f aca="false">IF(INDEX(選手一覧!$I$7:$I$2738,$F506)="","",INDEX(選手一覧!$I$7:$I$2738,$F506))</f>
        <v>48</v>
      </c>
      <c r="I506" s="16" t="n">
        <f aca="false">IF(INDEX(選手一覧!$J$7:$J$2738,$F506)="","",INDEX(選手一覧!$J$7:$J$2738,$F506))</f>
        <v>0.00275960648148148</v>
      </c>
      <c r="J506" s="17" t="n">
        <f aca="false">IF(INDEX(選手一覧!$K$7:$K$2738,$F506)="","",INDEX(選手一覧!$K$7:$K$2738,$F506))</f>
        <v>135</v>
      </c>
    </row>
    <row r="507" customFormat="false" ht="15" hidden="false" customHeight="false" outlineLevel="0" collapsed="false">
      <c r="A507" s="17" t="n">
        <v>503</v>
      </c>
      <c r="B507" s="12" t="s">
        <v>882</v>
      </c>
      <c r="C507" s="12" t="s">
        <v>253</v>
      </c>
      <c r="D507" s="16" t="n">
        <v>0.0106248842592593</v>
      </c>
      <c r="E507" s="15" t="n">
        <f aca="false">ROUND((D507-$D$5)*86400,2)</f>
        <v>128.25</v>
      </c>
      <c r="F507" s="17" t="n">
        <v>502</v>
      </c>
      <c r="G507" s="16" t="str">
        <f aca="false">IF(INDEX(選手一覧!$H$7:$H$2738,$F507)="","",INDEX(選手一覧!$H$7:$H$2738,$F507))</f>
        <v/>
      </c>
      <c r="H507" s="17" t="str">
        <f aca="false">IF(INDEX(選手一覧!$I$7:$I$2738,$F507)="","",INDEX(選手一覧!$I$7:$I$2738,$F507))</f>
        <v/>
      </c>
      <c r="I507" s="16" t="n">
        <f aca="false">IF(INDEX(選手一覧!$J$7:$J$2738,$F507)="","",INDEX(選手一覧!$J$7:$J$2738,$F507))</f>
        <v>0.00290821759259259</v>
      </c>
      <c r="J507" s="17" t="n">
        <f aca="false">IF(INDEX(選手一覧!$K$7:$K$2738,$F507)="","",INDEX(選手一覧!$K$7:$K$2738,$F507))</f>
        <v>1003</v>
      </c>
    </row>
    <row r="508" customFormat="false" ht="15" hidden="false" customHeight="false" outlineLevel="0" collapsed="false">
      <c r="A508" s="17" t="n">
        <v>504</v>
      </c>
      <c r="B508" s="12" t="s">
        <v>884</v>
      </c>
      <c r="C508" s="12" t="s">
        <v>885</v>
      </c>
      <c r="D508" s="16" t="n">
        <v>0.0106296296296296</v>
      </c>
      <c r="E508" s="15" t="n">
        <f aca="false">ROUND((D508-$D$5)*86400,2)</f>
        <v>128.66</v>
      </c>
      <c r="F508" s="17" t="n">
        <v>503</v>
      </c>
      <c r="G508" s="16" t="str">
        <f aca="false">IF(INDEX(選手一覧!$H$7:$H$2738,$F508)="","",INDEX(選手一覧!$H$7:$H$2738,$F508))</f>
        <v/>
      </c>
      <c r="H508" s="17" t="str">
        <f aca="false">IF(INDEX(選手一覧!$I$7:$I$2738,$F508)="","",INDEX(選手一覧!$I$7:$I$2738,$F508))</f>
        <v/>
      </c>
      <c r="I508" s="16" t="n">
        <f aca="false">IF(INDEX(選手一覧!$J$7:$J$2738,$F508)="","",INDEX(選手一覧!$J$7:$J$2738,$F508))</f>
        <v>0.00276284722222222</v>
      </c>
      <c r="J508" s="17" t="n">
        <f aca="false">IF(INDEX(選手一覧!$K$7:$K$2738,$F508)="","",INDEX(選手一覧!$K$7:$K$2738,$F508))</f>
        <v>141</v>
      </c>
    </row>
    <row r="509" customFormat="false" ht="15" hidden="false" customHeight="false" outlineLevel="0" collapsed="false">
      <c r="A509" s="17" t="n">
        <v>505</v>
      </c>
      <c r="B509" s="12" t="s">
        <v>887</v>
      </c>
      <c r="C509" s="12" t="s">
        <v>888</v>
      </c>
      <c r="D509" s="16" t="n">
        <v>0.01063125</v>
      </c>
      <c r="E509" s="15" t="n">
        <f aca="false">ROUND((D509-$D$5)*86400,2)</f>
        <v>128.8</v>
      </c>
      <c r="F509" s="17" t="n">
        <v>504</v>
      </c>
      <c r="G509" s="16" t="n">
        <f aca="false">IF(INDEX(選手一覧!$H$7:$H$2738,$F509)="","",INDEX(選手一覧!$H$7:$H$2738,$F509))</f>
        <v>0.00687268518518519</v>
      </c>
      <c r="H509" s="17" t="n">
        <f aca="false">IF(INDEX(選手一覧!$I$7:$I$2738,$F509)="","",INDEX(選手一覧!$I$7:$I$2738,$F509))</f>
        <v>221</v>
      </c>
      <c r="I509" s="16" t="n">
        <f aca="false">IF(INDEX(選手一覧!$J$7:$J$2738,$F509)="","",INDEX(選手一覧!$J$7:$J$2738,$F509))</f>
        <v>0.00285983796296296</v>
      </c>
      <c r="J509" s="17" t="n">
        <f aca="false">IF(INDEX(選手一覧!$K$7:$K$2738,$F509)="","",INDEX(選手一覧!$K$7:$K$2738,$F509))</f>
        <v>633</v>
      </c>
    </row>
    <row r="510" customFormat="false" ht="15" hidden="false" customHeight="false" outlineLevel="0" collapsed="false">
      <c r="A510" s="17" t="n">
        <v>506</v>
      </c>
      <c r="B510" s="12" t="s">
        <v>889</v>
      </c>
      <c r="C510" s="12" t="s">
        <v>37</v>
      </c>
      <c r="D510" s="16" t="n">
        <v>0.0106325231481482</v>
      </c>
      <c r="E510" s="15" t="n">
        <f aca="false">ROUND((D510-$D$5)*86400,2)</f>
        <v>128.91</v>
      </c>
      <c r="F510" s="17" t="n">
        <v>505</v>
      </c>
      <c r="G510" s="16" t="str">
        <f aca="false">IF(INDEX(選手一覧!$H$7:$H$2738,$F510)="","",INDEX(選手一覧!$H$7:$H$2738,$F510))</f>
        <v/>
      </c>
      <c r="H510" s="17" t="str">
        <f aca="false">IF(INDEX(選手一覧!$I$7:$I$2738,$F510)="","",INDEX(選手一覧!$I$7:$I$2738,$F510))</f>
        <v/>
      </c>
      <c r="I510" s="16" t="n">
        <f aca="false">IF(INDEX(選手一覧!$J$7:$J$2738,$F510)="","",INDEX(選手一覧!$J$7:$J$2738,$F510))</f>
        <v>0.00281655092592593</v>
      </c>
      <c r="J510" s="17" t="n">
        <f aca="false">IF(INDEX(選手一覧!$K$7:$K$2738,$F510)="","",INDEX(選手一覧!$K$7:$K$2738,$F510))</f>
        <v>348</v>
      </c>
    </row>
    <row r="511" customFormat="false" ht="15" hidden="false" customHeight="false" outlineLevel="0" collapsed="false">
      <c r="A511" s="17" t="n">
        <v>507</v>
      </c>
      <c r="B511" s="12" t="s">
        <v>890</v>
      </c>
      <c r="C511" s="12" t="s">
        <v>742</v>
      </c>
      <c r="D511" s="16" t="n">
        <v>0.0106331018518519</v>
      </c>
      <c r="E511" s="15" t="n">
        <f aca="false">ROUND((D511-$D$5)*86400,2)</f>
        <v>128.96</v>
      </c>
      <c r="F511" s="17" t="n">
        <v>506</v>
      </c>
      <c r="G511" s="16" t="str">
        <f aca="false">IF(INDEX(選手一覧!$H$7:$H$2738,$F511)="","",INDEX(選手一覧!$H$7:$H$2738,$F511))</f>
        <v/>
      </c>
      <c r="H511" s="17" t="str">
        <f aca="false">IF(INDEX(選手一覧!$I$7:$I$2738,$F511)="","",INDEX(選手一覧!$I$7:$I$2738,$F511))</f>
        <v/>
      </c>
      <c r="I511" s="16" t="n">
        <f aca="false">IF(INDEX(選手一覧!$J$7:$J$2738,$F511)="","",INDEX(選手一覧!$J$7:$J$2738,$F511))</f>
        <v>0.00285717592592593</v>
      </c>
      <c r="J511" s="17" t="n">
        <f aca="false">IF(INDEX(選手一覧!$K$7:$K$2738,$F511)="","",INDEX(選手一覧!$K$7:$K$2738,$F511))</f>
        <v>616</v>
      </c>
    </row>
    <row r="512" customFormat="false" ht="15" hidden="false" customHeight="false" outlineLevel="0" collapsed="false">
      <c r="A512" s="17" t="n">
        <v>508</v>
      </c>
      <c r="B512" s="12" t="s">
        <v>892</v>
      </c>
      <c r="C512" s="12" t="s">
        <v>893</v>
      </c>
      <c r="D512" s="16" t="n">
        <v>0.0106396990740741</v>
      </c>
      <c r="E512" s="15" t="n">
        <f aca="false">ROUND((D512-$D$5)*86400,2)</f>
        <v>129.53</v>
      </c>
      <c r="F512" s="17" t="n">
        <v>507</v>
      </c>
      <c r="G512" s="16" t="str">
        <f aca="false">IF(INDEX(選手一覧!$H$7:$H$2738,$F512)="","",INDEX(選手一覧!$H$7:$H$2738,$F512))</f>
        <v/>
      </c>
      <c r="H512" s="17" t="str">
        <f aca="false">IF(INDEX(選手一覧!$I$7:$I$2738,$F512)="","",INDEX(選手一覧!$I$7:$I$2738,$F512))</f>
        <v/>
      </c>
      <c r="I512" s="16" t="n">
        <f aca="false">IF(INDEX(選手一覧!$J$7:$J$2738,$F512)="","",INDEX(選手一覧!$J$7:$J$2738,$F512))</f>
        <v>0.00288888888888889</v>
      </c>
      <c r="J512" s="17" t="n">
        <f aca="false">IF(INDEX(選手一覧!$K$7:$K$2738,$F512)="","",INDEX(選手一覧!$K$7:$K$2738,$F512))</f>
        <v>854</v>
      </c>
    </row>
    <row r="513" customFormat="false" ht="15" hidden="false" customHeight="false" outlineLevel="0" collapsed="false">
      <c r="A513" s="17" t="n">
        <v>509</v>
      </c>
      <c r="B513" s="12" t="s">
        <v>894</v>
      </c>
      <c r="C513" s="12" t="s">
        <v>623</v>
      </c>
      <c r="D513" s="16" t="n">
        <v>0.0106396990740741</v>
      </c>
      <c r="E513" s="15" t="n">
        <f aca="false">ROUND((D513-$D$5)*86400,2)</f>
        <v>129.53</v>
      </c>
      <c r="F513" s="17" t="n">
        <v>508</v>
      </c>
      <c r="G513" s="16" t="n">
        <f aca="false">IF(INDEX(選手一覧!$H$7:$H$2738,$F513)="","",INDEX(選手一覧!$H$7:$H$2738,$F513))</f>
        <v>0.00661840277777778</v>
      </c>
      <c r="H513" s="17" t="n">
        <f aca="false">IF(INDEX(選手一覧!$I$7:$I$2738,$F513)="","",INDEX(選手一覧!$I$7:$I$2738,$F513))</f>
        <v>71</v>
      </c>
      <c r="I513" s="16" t="n">
        <f aca="false">IF(INDEX(選手一覧!$J$7:$J$2738,$F513)="","",INDEX(選手一覧!$J$7:$J$2738,$F513))</f>
        <v>0.002884375</v>
      </c>
      <c r="J513" s="17" t="n">
        <f aca="false">IF(INDEX(選手一覧!$K$7:$K$2738,$F513)="","",INDEX(選手一覧!$K$7:$K$2738,$F513))</f>
        <v>811</v>
      </c>
    </row>
    <row r="514" customFormat="false" ht="15" hidden="false" customHeight="false" outlineLevel="0" collapsed="false">
      <c r="A514" s="17" t="n">
        <v>510</v>
      </c>
      <c r="B514" s="12" t="s">
        <v>896</v>
      </c>
      <c r="C514" s="12" t="s">
        <v>141</v>
      </c>
      <c r="D514" s="16" t="n">
        <v>0.0106398148148148</v>
      </c>
      <c r="E514" s="15" t="n">
        <f aca="false">ROUND((D514-$D$5)*86400,2)</f>
        <v>129.54</v>
      </c>
      <c r="F514" s="17" t="n">
        <v>509</v>
      </c>
      <c r="G514" s="16" t="n">
        <f aca="false">IF(INDEX(選手一覧!$H$7:$H$2738,$F514)="","",INDEX(選手一覧!$H$7:$H$2738,$F514))</f>
        <v>0.00703703703703704</v>
      </c>
      <c r="H514" s="17" t="n">
        <f aca="false">IF(INDEX(選手一覧!$I$7:$I$2738,$F514)="","",INDEX(選手一覧!$I$7:$I$2738,$F514))</f>
        <v>368</v>
      </c>
      <c r="I514" s="16" t="n">
        <f aca="false">IF(INDEX(選手一覧!$J$7:$J$2738,$F514)="","",INDEX(選手一覧!$J$7:$J$2738,$F514))</f>
        <v>0.00286574074074074</v>
      </c>
      <c r="J514" s="17" t="n">
        <f aca="false">IF(INDEX(選手一覧!$K$7:$K$2738,$F514)="","",INDEX(選手一覧!$K$7:$K$2738,$F514))</f>
        <v>669</v>
      </c>
    </row>
    <row r="515" customFormat="false" ht="15" hidden="false" customHeight="false" outlineLevel="0" collapsed="false">
      <c r="A515" s="17" t="n">
        <v>511</v>
      </c>
      <c r="B515" s="12" t="s">
        <v>897</v>
      </c>
      <c r="C515" s="12" t="s">
        <v>898</v>
      </c>
      <c r="D515" s="16" t="n">
        <v>0.0106412037037037</v>
      </c>
      <c r="E515" s="15" t="n">
        <f aca="false">ROUND((D515-$D$5)*86400,2)</f>
        <v>129.66</v>
      </c>
      <c r="F515" s="17" t="n">
        <v>510</v>
      </c>
      <c r="G515" s="16" t="n">
        <f aca="false">IF(INDEX(選手一覧!$H$7:$H$2738,$F515)="","",INDEX(選手一覧!$H$7:$H$2738,$F515))</f>
        <v>0.00674803240740741</v>
      </c>
      <c r="H515" s="17" t="n">
        <f aca="false">IF(INDEX(選手一覧!$I$7:$I$2738,$F515)="","",INDEX(選手一覧!$I$7:$I$2738,$F515))</f>
        <v>126</v>
      </c>
      <c r="I515" s="16" t="n">
        <f aca="false">IF(INDEX(選手一覧!$J$7:$J$2738,$F515)="","",INDEX(選手一覧!$J$7:$J$2738,$F515))</f>
        <v>0.00282048611111111</v>
      </c>
      <c r="J515" s="17" t="n">
        <f aca="false">IF(INDEX(選手一覧!$K$7:$K$2738,$F515)="","",INDEX(選手一覧!$K$7:$K$2738,$F515))</f>
        <v>364</v>
      </c>
    </row>
    <row r="516" customFormat="false" ht="15" hidden="false" customHeight="false" outlineLevel="0" collapsed="false">
      <c r="A516" s="17" t="n">
        <v>512</v>
      </c>
      <c r="B516" s="12" t="s">
        <v>900</v>
      </c>
      <c r="C516" s="12" t="s">
        <v>281</v>
      </c>
      <c r="D516" s="16" t="n">
        <v>0.0106413194444444</v>
      </c>
      <c r="E516" s="15" t="n">
        <f aca="false">ROUND((D516-$D$5)*86400,2)</f>
        <v>129.67</v>
      </c>
      <c r="F516" s="17" t="n">
        <v>511</v>
      </c>
      <c r="G516" s="16" t="str">
        <f aca="false">IF(INDEX(選手一覧!$H$7:$H$2738,$F516)="","",INDEX(選手一覧!$H$7:$H$2738,$F516))</f>
        <v/>
      </c>
      <c r="H516" s="17" t="str">
        <f aca="false">IF(INDEX(選手一覧!$I$7:$I$2738,$F516)="","",INDEX(選手一覧!$I$7:$I$2738,$F516))</f>
        <v/>
      </c>
      <c r="I516" s="16" t="str">
        <f aca="false">IF(INDEX(選手一覧!$J$7:$J$2738,$F516)="","",INDEX(選手一覧!$J$7:$J$2738,$F516))</f>
        <v/>
      </c>
      <c r="J516" s="17" t="str">
        <f aca="false">IF(INDEX(選手一覧!$K$7:$K$2738,$F516)="","",INDEX(選手一覧!$K$7:$K$2738,$F516))</f>
        <v/>
      </c>
    </row>
    <row r="517" customFormat="false" ht="15" hidden="false" customHeight="false" outlineLevel="0" collapsed="false">
      <c r="A517" s="17" t="n">
        <v>513</v>
      </c>
      <c r="B517" s="12" t="s">
        <v>901</v>
      </c>
      <c r="C517" s="12" t="s">
        <v>288</v>
      </c>
      <c r="D517" s="16" t="n">
        <v>0.0106417824074074</v>
      </c>
      <c r="E517" s="15" t="n">
        <f aca="false">ROUND((D517-$D$5)*86400,2)</f>
        <v>129.71</v>
      </c>
      <c r="F517" s="17" t="n">
        <v>512</v>
      </c>
      <c r="G517" s="16" t="str">
        <f aca="false">IF(INDEX(選手一覧!$H$7:$H$2738,$F517)="","",INDEX(選手一覧!$H$7:$H$2738,$F517))</f>
        <v/>
      </c>
      <c r="H517" s="17" t="str">
        <f aca="false">IF(INDEX(選手一覧!$I$7:$I$2738,$F517)="","",INDEX(選手一覧!$I$7:$I$2738,$F517))</f>
        <v/>
      </c>
      <c r="I517" s="16" t="str">
        <f aca="false">IF(INDEX(選手一覧!$J$7:$J$2738,$F517)="","",INDEX(選手一覧!$J$7:$J$2738,$F517))</f>
        <v/>
      </c>
      <c r="J517" s="17" t="str">
        <f aca="false">IF(INDEX(選手一覧!$K$7:$K$2738,$F517)="","",INDEX(選手一覧!$K$7:$K$2738,$F517))</f>
        <v/>
      </c>
    </row>
    <row r="518" customFormat="false" ht="15" hidden="false" customHeight="false" outlineLevel="0" collapsed="false">
      <c r="A518" s="17" t="n">
        <v>514</v>
      </c>
      <c r="B518" s="12" t="s">
        <v>902</v>
      </c>
      <c r="C518" s="12" t="s">
        <v>903</v>
      </c>
      <c r="D518" s="16" t="n">
        <v>0.0106417824074074</v>
      </c>
      <c r="E518" s="15" t="n">
        <f aca="false">ROUND((D518-$D$5)*86400,2)</f>
        <v>129.71</v>
      </c>
      <c r="F518" s="17" t="n">
        <v>513</v>
      </c>
      <c r="G518" s="16" t="n">
        <f aca="false">IF(INDEX(選手一覧!$H$7:$H$2738,$F518)="","",INDEX(選手一覧!$H$7:$H$2738,$F518))</f>
        <v>0.00679351851851852</v>
      </c>
      <c r="H518" s="17" t="n">
        <f aca="false">IF(INDEX(選手一覧!$I$7:$I$2738,$F518)="","",INDEX(選手一覧!$I$7:$I$2738,$F518))</f>
        <v>166</v>
      </c>
      <c r="I518" s="16" t="str">
        <f aca="false">IF(INDEX(選手一覧!$J$7:$J$2738,$F518)="","",INDEX(選手一覧!$J$7:$J$2738,$F518))</f>
        <v/>
      </c>
      <c r="J518" s="17" t="str">
        <f aca="false">IF(INDEX(選手一覧!$K$7:$K$2738,$F518)="","",INDEX(選手一覧!$K$7:$K$2738,$F518))</f>
        <v/>
      </c>
    </row>
    <row r="519" customFormat="false" ht="15" hidden="false" customHeight="false" outlineLevel="0" collapsed="false">
      <c r="A519" s="17" t="n">
        <v>515</v>
      </c>
      <c r="B519" s="12" t="s">
        <v>904</v>
      </c>
      <c r="C519" s="12" t="s">
        <v>351</v>
      </c>
      <c r="D519" s="16" t="n">
        <v>0.0106431712962963</v>
      </c>
      <c r="E519" s="15" t="n">
        <f aca="false">ROUND((D519-$D$5)*86400,2)</f>
        <v>129.83</v>
      </c>
      <c r="F519" s="17" t="n">
        <v>514</v>
      </c>
      <c r="G519" s="16" t="str">
        <f aca="false">IF(INDEX(選手一覧!$H$7:$H$2738,$F519)="","",INDEX(選手一覧!$H$7:$H$2738,$F519))</f>
        <v/>
      </c>
      <c r="H519" s="17" t="str">
        <f aca="false">IF(INDEX(選手一覧!$I$7:$I$2738,$F519)="","",INDEX(選手一覧!$I$7:$I$2738,$F519))</f>
        <v/>
      </c>
      <c r="I519" s="16" t="n">
        <f aca="false">IF(INDEX(選手一覧!$J$7:$J$2738,$F519)="","",INDEX(選手一覧!$J$7:$J$2738,$F519))</f>
        <v>0.0028369212962963</v>
      </c>
      <c r="J519" s="17" t="n">
        <f aca="false">IF(INDEX(選手一覧!$K$7:$K$2738,$F519)="","",INDEX(選手一覧!$K$7:$K$2738,$F519))</f>
        <v>478</v>
      </c>
    </row>
    <row r="520" customFormat="false" ht="15" hidden="false" customHeight="false" outlineLevel="0" collapsed="false">
      <c r="A520" s="17" t="n">
        <v>516</v>
      </c>
      <c r="B520" s="12" t="s">
        <v>905</v>
      </c>
      <c r="C520" s="12" t="s">
        <v>903</v>
      </c>
      <c r="D520" s="16" t="n">
        <v>0.0106438657407407</v>
      </c>
      <c r="E520" s="15" t="n">
        <f aca="false">ROUND((D520-$D$5)*86400,2)</f>
        <v>129.89</v>
      </c>
      <c r="F520" s="17" t="n">
        <v>515</v>
      </c>
      <c r="G520" s="16" t="str">
        <f aca="false">IF(INDEX(選手一覧!$H$7:$H$2738,$F520)="","",INDEX(選手一覧!$H$7:$H$2738,$F520))</f>
        <v/>
      </c>
      <c r="H520" s="17" t="str">
        <f aca="false">IF(INDEX(選手一覧!$I$7:$I$2738,$F520)="","",INDEX(選手一覧!$I$7:$I$2738,$F520))</f>
        <v/>
      </c>
      <c r="I520" s="16" t="n">
        <f aca="false">IF(INDEX(選手一覧!$J$7:$J$2738,$F520)="","",INDEX(選手一覧!$J$7:$J$2738,$F520))</f>
        <v>0.00283460648148148</v>
      </c>
      <c r="J520" s="17" t="n">
        <f aca="false">IF(INDEX(選手一覧!$K$7:$K$2738,$F520)="","",INDEX(選手一覧!$K$7:$K$2738,$F520))</f>
        <v>455</v>
      </c>
    </row>
    <row r="521" customFormat="false" ht="15" hidden="false" customHeight="false" outlineLevel="0" collapsed="false">
      <c r="A521" s="17" t="n">
        <v>517</v>
      </c>
      <c r="B521" s="12" t="s">
        <v>906</v>
      </c>
      <c r="C521" s="12" t="s">
        <v>907</v>
      </c>
      <c r="D521" s="16" t="n">
        <v>0.0106440972222222</v>
      </c>
      <c r="E521" s="15" t="n">
        <f aca="false">ROUND((D521-$D$5)*86400,2)</f>
        <v>129.91</v>
      </c>
      <c r="F521" s="17" t="n">
        <v>516</v>
      </c>
      <c r="G521" s="16" t="n">
        <f aca="false">IF(INDEX(選手一覧!$H$7:$H$2738,$F521)="","",INDEX(選手一覧!$H$7:$H$2738,$F521))</f>
        <v>0.00677175925925926</v>
      </c>
      <c r="H521" s="17" t="n">
        <f aca="false">IF(INDEX(選手一覧!$I$7:$I$2738,$F521)="","",INDEX(選手一覧!$I$7:$I$2738,$F521))</f>
        <v>149</v>
      </c>
      <c r="I521" s="16" t="str">
        <f aca="false">IF(INDEX(選手一覧!$J$7:$J$2738,$F521)="","",INDEX(選手一覧!$J$7:$J$2738,$F521))</f>
        <v/>
      </c>
      <c r="J521" s="17" t="str">
        <f aca="false">IF(INDEX(選手一覧!$K$7:$K$2738,$F521)="","",INDEX(選手一覧!$K$7:$K$2738,$F521))</f>
        <v/>
      </c>
    </row>
    <row r="522" customFormat="false" ht="15" hidden="false" customHeight="false" outlineLevel="0" collapsed="false">
      <c r="A522" s="17" t="n">
        <v>518</v>
      </c>
      <c r="B522" s="12" t="s">
        <v>909</v>
      </c>
      <c r="C522" s="12" t="s">
        <v>910</v>
      </c>
      <c r="D522" s="16" t="n">
        <v>0.0106444444444444</v>
      </c>
      <c r="E522" s="15" t="n">
        <f aca="false">ROUND((D522-$D$5)*86400,2)</f>
        <v>129.94</v>
      </c>
      <c r="F522" s="17" t="n">
        <v>517</v>
      </c>
      <c r="G522" s="16" t="n">
        <f aca="false">IF(INDEX(選手一覧!$H$7:$H$2738,$F522)="","",INDEX(選手一覧!$H$7:$H$2738,$F522))</f>
        <v>0.00697905092592593</v>
      </c>
      <c r="H522" s="17" t="n">
        <f aca="false">IF(INDEX(選手一覧!$I$7:$I$2738,$F522)="","",INDEX(選手一覧!$I$7:$I$2738,$F522))</f>
        <v>311</v>
      </c>
      <c r="I522" s="16" t="n">
        <f aca="false">IF(INDEX(選手一覧!$J$7:$J$2738,$F522)="","",INDEX(選手一覧!$J$7:$J$2738,$F522))</f>
        <v>0.00278333333333333</v>
      </c>
      <c r="J522" s="17" t="n">
        <f aca="false">IF(INDEX(選手一覧!$K$7:$K$2738,$F522)="","",INDEX(選手一覧!$K$7:$K$2738,$F522))</f>
        <v>213</v>
      </c>
    </row>
    <row r="523" customFormat="false" ht="15" hidden="false" customHeight="false" outlineLevel="0" collapsed="false">
      <c r="A523" s="17" t="n">
        <v>519</v>
      </c>
      <c r="B523" s="12" t="s">
        <v>911</v>
      </c>
      <c r="C523" s="12" t="s">
        <v>912</v>
      </c>
      <c r="D523" s="16" t="n">
        <v>0.010646875</v>
      </c>
      <c r="E523" s="15" t="n">
        <f aca="false">ROUND((D523-$D$5)*86400,2)</f>
        <v>130.15</v>
      </c>
      <c r="F523" s="17" t="n">
        <v>518</v>
      </c>
      <c r="G523" s="16" t="n">
        <f aca="false">IF(INDEX(選手一覧!$H$7:$H$2738,$F523)="","",INDEX(選手一覧!$H$7:$H$2738,$F523))</f>
        <v>0.00665532407407407</v>
      </c>
      <c r="H523" s="17" t="n">
        <f aca="false">IF(INDEX(選手一覧!$I$7:$I$2738,$F523)="","",INDEX(選手一覧!$I$7:$I$2738,$F523))</f>
        <v>85</v>
      </c>
      <c r="I523" s="16" t="n">
        <f aca="false">IF(INDEX(選手一覧!$J$7:$J$2738,$F523)="","",INDEX(選手一覧!$J$7:$J$2738,$F523))</f>
        <v>0.00282071759259259</v>
      </c>
      <c r="J523" s="17" t="n">
        <f aca="false">IF(INDEX(選手一覧!$K$7:$K$2738,$F523)="","",INDEX(選手一覧!$K$7:$K$2738,$F523))</f>
        <v>365</v>
      </c>
    </row>
    <row r="524" customFormat="false" ht="15" hidden="false" customHeight="false" outlineLevel="0" collapsed="false">
      <c r="A524" s="17" t="n">
        <v>520</v>
      </c>
      <c r="B524" s="12" t="s">
        <v>913</v>
      </c>
      <c r="C524" s="12" t="s">
        <v>623</v>
      </c>
      <c r="D524" s="16" t="n">
        <v>0.0106479166666667</v>
      </c>
      <c r="E524" s="15" t="n">
        <f aca="false">ROUND((D524-$D$5)*86400,2)</f>
        <v>130.24</v>
      </c>
      <c r="F524" s="17" t="n">
        <v>519</v>
      </c>
      <c r="G524" s="16" t="str">
        <f aca="false">IF(INDEX(選手一覧!$H$7:$H$2738,$F524)="","",INDEX(選手一覧!$H$7:$H$2738,$F524))</f>
        <v/>
      </c>
      <c r="H524" s="17" t="str">
        <f aca="false">IF(INDEX(選手一覧!$I$7:$I$2738,$F524)="","",INDEX(選手一覧!$I$7:$I$2738,$F524))</f>
        <v/>
      </c>
      <c r="I524" s="16" t="n">
        <f aca="false">IF(INDEX(選手一覧!$J$7:$J$2738,$F524)="","",INDEX(選手一覧!$J$7:$J$2738,$F524))</f>
        <v>0.00282881944444445</v>
      </c>
      <c r="J524" s="17" t="n">
        <f aca="false">IF(INDEX(選手一覧!$K$7:$K$2738,$F524)="","",INDEX(選手一覧!$K$7:$K$2738,$F524))</f>
        <v>418</v>
      </c>
    </row>
    <row r="525" customFormat="false" ht="15" hidden="false" customHeight="false" outlineLevel="0" collapsed="false">
      <c r="A525" s="17" t="n">
        <v>521</v>
      </c>
      <c r="B525" s="12" t="s">
        <v>914</v>
      </c>
      <c r="C525" s="12" t="s">
        <v>915</v>
      </c>
      <c r="D525" s="16" t="n">
        <v>0.0106481481481482</v>
      </c>
      <c r="E525" s="15" t="n">
        <f aca="false">ROUND((D525-$D$5)*86400,2)</f>
        <v>130.26</v>
      </c>
      <c r="F525" s="17" t="n">
        <v>520</v>
      </c>
      <c r="G525" s="16" t="str">
        <f aca="false">IF(INDEX(選手一覧!$H$7:$H$2738,$F525)="","",INDEX(選手一覧!$H$7:$H$2738,$F525))</f>
        <v/>
      </c>
      <c r="H525" s="17" t="str">
        <f aca="false">IF(INDEX(選手一覧!$I$7:$I$2738,$F525)="","",INDEX(選手一覧!$I$7:$I$2738,$F525))</f>
        <v/>
      </c>
      <c r="I525" s="16" t="n">
        <f aca="false">IF(INDEX(選手一覧!$J$7:$J$2738,$F525)="","",INDEX(選手一覧!$J$7:$J$2738,$F525))</f>
        <v>0.00289027777777778</v>
      </c>
      <c r="J525" s="17" t="n">
        <f aca="false">IF(INDEX(選手一覧!$K$7:$K$2738,$F525)="","",INDEX(選手一覧!$K$7:$K$2738,$F525))</f>
        <v>868</v>
      </c>
    </row>
    <row r="526" customFormat="false" ht="15" hidden="false" customHeight="false" outlineLevel="0" collapsed="false">
      <c r="A526" s="17" t="n">
        <v>522</v>
      </c>
      <c r="B526" s="12" t="s">
        <v>916</v>
      </c>
      <c r="C526" s="12" t="s">
        <v>917</v>
      </c>
      <c r="D526" s="16" t="n">
        <v>0.0106484953703704</v>
      </c>
      <c r="E526" s="15" t="n">
        <f aca="false">ROUND((D526-$D$5)*86400,2)</f>
        <v>130.29</v>
      </c>
      <c r="F526" s="17" t="n">
        <v>521</v>
      </c>
      <c r="G526" s="16" t="str">
        <f aca="false">IF(INDEX(選手一覧!$H$7:$H$2738,$F526)="","",INDEX(選手一覧!$H$7:$H$2738,$F526))</f>
        <v/>
      </c>
      <c r="H526" s="17" t="str">
        <f aca="false">IF(INDEX(選手一覧!$I$7:$I$2738,$F526)="","",INDEX(選手一覧!$I$7:$I$2738,$F526))</f>
        <v/>
      </c>
      <c r="I526" s="16" t="n">
        <f aca="false">IF(INDEX(選手一覧!$J$7:$J$2738,$F526)="","",INDEX(選手一覧!$J$7:$J$2738,$F526))</f>
        <v>0.00277569444444444</v>
      </c>
      <c r="J526" s="17" t="n">
        <f aca="false">IF(INDEX(選手一覧!$K$7:$K$2738,$F526)="","",INDEX(選手一覧!$K$7:$K$2738,$F526))</f>
        <v>177</v>
      </c>
    </row>
    <row r="527" customFormat="false" ht="15" hidden="false" customHeight="false" outlineLevel="0" collapsed="false">
      <c r="A527" s="17" t="n">
        <v>523</v>
      </c>
      <c r="B527" s="12" t="s">
        <v>918</v>
      </c>
      <c r="C527" s="12" t="s">
        <v>256</v>
      </c>
      <c r="D527" s="16" t="n">
        <v>0.0106486111111111</v>
      </c>
      <c r="E527" s="15" t="n">
        <f aca="false">ROUND((D527-$D$5)*86400,2)</f>
        <v>130.3</v>
      </c>
      <c r="F527" s="17" t="n">
        <v>522</v>
      </c>
      <c r="G527" s="16" t="str">
        <f aca="false">IF(INDEX(選手一覧!$H$7:$H$2738,$F527)="","",INDEX(選手一覧!$H$7:$H$2738,$F527))</f>
        <v/>
      </c>
      <c r="H527" s="17" t="str">
        <f aca="false">IF(INDEX(選手一覧!$I$7:$I$2738,$F527)="","",INDEX(選手一覧!$I$7:$I$2738,$F527))</f>
        <v/>
      </c>
      <c r="I527" s="16" t="n">
        <f aca="false">IF(INDEX(選手一覧!$J$7:$J$2738,$F527)="","",INDEX(選手一覧!$J$7:$J$2738,$F527))</f>
        <v>0.00290081018518519</v>
      </c>
      <c r="J527" s="17" t="n">
        <f aca="false">IF(INDEX(選手一覧!$K$7:$K$2738,$F527)="","",INDEX(選手一覧!$K$7:$K$2738,$F527))</f>
        <v>954</v>
      </c>
    </row>
    <row r="528" customFormat="false" ht="15" hidden="false" customHeight="false" outlineLevel="0" collapsed="false">
      <c r="A528" s="17" t="n">
        <v>524</v>
      </c>
      <c r="B528" s="12" t="s">
        <v>919</v>
      </c>
      <c r="C528" s="12" t="s">
        <v>316</v>
      </c>
      <c r="D528" s="16" t="n">
        <v>0.0106496527777778</v>
      </c>
      <c r="E528" s="15" t="n">
        <f aca="false">ROUND((D528-$D$5)*86400,2)</f>
        <v>130.39</v>
      </c>
      <c r="F528" s="17" t="n">
        <v>523</v>
      </c>
      <c r="G528" s="16" t="str">
        <f aca="false">IF(INDEX(選手一覧!$H$7:$H$2738,$F528)="","",INDEX(選手一覧!$H$7:$H$2738,$F528))</f>
        <v/>
      </c>
      <c r="H528" s="17" t="str">
        <f aca="false">IF(INDEX(選手一覧!$I$7:$I$2738,$F528)="","",INDEX(選手一覧!$I$7:$I$2738,$F528))</f>
        <v/>
      </c>
      <c r="I528" s="16" t="str">
        <f aca="false">IF(INDEX(選手一覧!$J$7:$J$2738,$F528)="","",INDEX(選手一覧!$J$7:$J$2738,$F528))</f>
        <v/>
      </c>
      <c r="J528" s="17" t="str">
        <f aca="false">IF(INDEX(選手一覧!$K$7:$K$2738,$F528)="","",INDEX(選手一覧!$K$7:$K$2738,$F528))</f>
        <v/>
      </c>
    </row>
    <row r="529" customFormat="false" ht="15" hidden="false" customHeight="false" outlineLevel="0" collapsed="false">
      <c r="A529" s="17" t="n">
        <v>525</v>
      </c>
      <c r="B529" s="12" t="s">
        <v>920</v>
      </c>
      <c r="C529" s="12" t="s">
        <v>561</v>
      </c>
      <c r="D529" s="16" t="n">
        <v>0.0106498842592593</v>
      </c>
      <c r="E529" s="15" t="n">
        <f aca="false">ROUND((D529-$D$5)*86400,2)</f>
        <v>130.41</v>
      </c>
      <c r="F529" s="17" t="n">
        <v>524</v>
      </c>
      <c r="G529" s="16" t="n">
        <f aca="false">IF(INDEX(選手一覧!$H$7:$H$2738,$F529)="","",INDEX(選手一覧!$H$7:$H$2738,$F529))</f>
        <v>0.006834375</v>
      </c>
      <c r="H529" s="17" t="n">
        <f aca="false">IF(INDEX(選手一覧!$I$7:$I$2738,$F529)="","",INDEX(選手一覧!$I$7:$I$2738,$F529))</f>
        <v>196</v>
      </c>
      <c r="I529" s="16" t="n">
        <f aca="false">IF(INDEX(選手一覧!$J$7:$J$2738,$F529)="","",INDEX(選手一覧!$J$7:$J$2738,$F529))</f>
        <v>0.00289097222222222</v>
      </c>
      <c r="J529" s="17" t="n">
        <f aca="false">IF(INDEX(選手一覧!$K$7:$K$2738,$F529)="","",INDEX(選手一覧!$K$7:$K$2738,$F529))</f>
        <v>875</v>
      </c>
    </row>
    <row r="530" customFormat="false" ht="15" hidden="false" customHeight="false" outlineLevel="0" collapsed="false">
      <c r="A530" s="17" t="n">
        <v>526</v>
      </c>
      <c r="B530" s="12" t="s">
        <v>922</v>
      </c>
      <c r="C530" s="12" t="s">
        <v>397</v>
      </c>
      <c r="D530" s="16" t="n">
        <v>0.0106502314814815</v>
      </c>
      <c r="E530" s="15" t="n">
        <f aca="false">ROUND((D530-$D$5)*86400,2)</f>
        <v>130.44</v>
      </c>
      <c r="F530" s="17" t="n">
        <v>525</v>
      </c>
      <c r="G530" s="16" t="str">
        <f aca="false">IF(INDEX(選手一覧!$H$7:$H$2738,$F530)="","",INDEX(選手一覧!$H$7:$H$2738,$F530))</f>
        <v/>
      </c>
      <c r="H530" s="17" t="str">
        <f aca="false">IF(INDEX(選手一覧!$I$7:$I$2738,$F530)="","",INDEX(選手一覧!$I$7:$I$2738,$F530))</f>
        <v/>
      </c>
      <c r="I530" s="16" t="n">
        <f aca="false">IF(INDEX(選手一覧!$J$7:$J$2738,$F530)="","",INDEX(選手一覧!$J$7:$J$2738,$F530))</f>
        <v>0.00286354166666667</v>
      </c>
      <c r="J530" s="17" t="n">
        <f aca="false">IF(INDEX(選手一覧!$K$7:$K$2738,$F530)="","",INDEX(選手一覧!$K$7:$K$2738,$F530))</f>
        <v>658</v>
      </c>
    </row>
    <row r="531" customFormat="false" ht="15" hidden="false" customHeight="false" outlineLevel="0" collapsed="false">
      <c r="A531" s="17" t="n">
        <v>527</v>
      </c>
      <c r="B531" s="12" t="s">
        <v>923</v>
      </c>
      <c r="C531" s="12" t="s">
        <v>186</v>
      </c>
      <c r="D531" s="16" t="n">
        <v>0.0106516203703704</v>
      </c>
      <c r="E531" s="15" t="n">
        <f aca="false">ROUND((D531-$D$5)*86400,2)</f>
        <v>130.56</v>
      </c>
      <c r="F531" s="17" t="n">
        <v>526</v>
      </c>
      <c r="G531" s="16" t="str">
        <f aca="false">IF(INDEX(選手一覧!$H$7:$H$2738,$F531)="","",INDEX(選手一覧!$H$7:$H$2738,$F531))</f>
        <v/>
      </c>
      <c r="H531" s="17" t="str">
        <f aca="false">IF(INDEX(選手一覧!$I$7:$I$2738,$F531)="","",INDEX(選手一覧!$I$7:$I$2738,$F531))</f>
        <v/>
      </c>
      <c r="I531" s="16" t="n">
        <f aca="false">IF(INDEX(選手一覧!$J$7:$J$2738,$F531)="","",INDEX(選手一覧!$J$7:$J$2738,$F531))</f>
        <v>0.00281875</v>
      </c>
      <c r="J531" s="17" t="n">
        <f aca="false">IF(INDEX(選手一覧!$K$7:$K$2738,$F531)="","",INDEX(選手一覧!$K$7:$K$2738,$F531))</f>
        <v>357</v>
      </c>
    </row>
    <row r="532" customFormat="false" ht="15" hidden="false" customHeight="false" outlineLevel="0" collapsed="false">
      <c r="A532" s="17" t="n">
        <v>528</v>
      </c>
      <c r="B532" s="12" t="s">
        <v>925</v>
      </c>
      <c r="C532" s="12" t="s">
        <v>32</v>
      </c>
      <c r="D532" s="16" t="n">
        <v>0.0106527777777778</v>
      </c>
      <c r="E532" s="15" t="n">
        <f aca="false">ROUND((D532-$D$5)*86400,2)</f>
        <v>130.66</v>
      </c>
      <c r="F532" s="17" t="n">
        <v>527</v>
      </c>
      <c r="G532" s="16" t="str">
        <f aca="false">IF(INDEX(選手一覧!$H$7:$H$2738,$F532)="","",INDEX(選手一覧!$H$7:$H$2738,$F532))</f>
        <v/>
      </c>
      <c r="H532" s="17" t="str">
        <f aca="false">IF(INDEX(選手一覧!$I$7:$I$2738,$F532)="","",INDEX(選手一覧!$I$7:$I$2738,$F532))</f>
        <v/>
      </c>
      <c r="I532" s="16" t="n">
        <f aca="false">IF(INDEX(選手一覧!$J$7:$J$2738,$F532)="","",INDEX(選手一覧!$J$7:$J$2738,$F532))</f>
        <v>0.00284259259259259</v>
      </c>
      <c r="J532" s="17" t="n">
        <f aca="false">IF(INDEX(選手一覧!$K$7:$K$2738,$F532)="","",INDEX(選手一覧!$K$7:$K$2738,$F532))</f>
        <v>513</v>
      </c>
    </row>
    <row r="533" customFormat="false" ht="15" hidden="false" customHeight="false" outlineLevel="0" collapsed="false">
      <c r="A533" s="17" t="n">
        <v>529</v>
      </c>
      <c r="B533" s="12" t="s">
        <v>926</v>
      </c>
      <c r="C533" s="12" t="s">
        <v>728</v>
      </c>
      <c r="D533" s="16" t="n">
        <v>0.0106528935185185</v>
      </c>
      <c r="E533" s="15" t="n">
        <f aca="false">ROUND((D533-$D$5)*86400,2)</f>
        <v>130.67</v>
      </c>
      <c r="F533" s="17" t="n">
        <v>528</v>
      </c>
      <c r="G533" s="16" t="str">
        <f aca="false">IF(INDEX(選手一覧!$H$7:$H$2738,$F533)="","",INDEX(選手一覧!$H$7:$H$2738,$F533))</f>
        <v/>
      </c>
      <c r="H533" s="17" t="str">
        <f aca="false">IF(INDEX(選手一覧!$I$7:$I$2738,$F533)="","",INDEX(選手一覧!$I$7:$I$2738,$F533))</f>
        <v/>
      </c>
      <c r="I533" s="16" t="n">
        <f aca="false">IF(INDEX(選手一覧!$J$7:$J$2738,$F533)="","",INDEX(選手一覧!$J$7:$J$2738,$F533))</f>
        <v>0.00286041666666667</v>
      </c>
      <c r="J533" s="17" t="n">
        <f aca="false">IF(INDEX(選手一覧!$K$7:$K$2738,$F533)="","",INDEX(選手一覧!$K$7:$K$2738,$F533))</f>
        <v>637</v>
      </c>
    </row>
    <row r="534" customFormat="false" ht="15" hidden="false" customHeight="false" outlineLevel="0" collapsed="false">
      <c r="A534" s="17" t="n">
        <v>530</v>
      </c>
      <c r="B534" s="12" t="s">
        <v>927</v>
      </c>
      <c r="C534" s="12" t="s">
        <v>61</v>
      </c>
      <c r="D534" s="16" t="n">
        <v>0.010653125</v>
      </c>
      <c r="E534" s="15" t="n">
        <f aca="false">ROUND((D534-$D$5)*86400,2)</f>
        <v>130.69</v>
      </c>
      <c r="F534" s="17" t="n">
        <v>529</v>
      </c>
      <c r="G534" s="16" t="str">
        <f aca="false">IF(INDEX(選手一覧!$H$7:$H$2738,$F534)="","",INDEX(選手一覧!$H$7:$H$2738,$F534))</f>
        <v/>
      </c>
      <c r="H534" s="17" t="str">
        <f aca="false">IF(INDEX(選手一覧!$I$7:$I$2738,$F534)="","",INDEX(選手一覧!$I$7:$I$2738,$F534))</f>
        <v/>
      </c>
      <c r="I534" s="16" t="n">
        <f aca="false">IF(INDEX(選手一覧!$J$7:$J$2738,$F534)="","",INDEX(選手一覧!$J$7:$J$2738,$F534))</f>
        <v>0.00289328703703704</v>
      </c>
      <c r="J534" s="17" t="n">
        <f aca="false">IF(INDEX(選手一覧!$K$7:$K$2738,$F534)="","",INDEX(選手一覧!$K$7:$K$2738,$F534))</f>
        <v>899</v>
      </c>
    </row>
    <row r="535" customFormat="false" ht="15" hidden="false" customHeight="false" outlineLevel="0" collapsed="false">
      <c r="A535" s="17" t="n">
        <v>531</v>
      </c>
      <c r="B535" s="12" t="s">
        <v>928</v>
      </c>
      <c r="C535" s="12" t="s">
        <v>929</v>
      </c>
      <c r="D535" s="16" t="n">
        <v>0.0106542824074074</v>
      </c>
      <c r="E535" s="15" t="n">
        <f aca="false">ROUND((D535-$D$5)*86400,2)</f>
        <v>130.79</v>
      </c>
      <c r="F535" s="17" t="n">
        <v>530</v>
      </c>
      <c r="G535" s="16" t="n">
        <f aca="false">IF(INDEX(選手一覧!$H$7:$H$2738,$F535)="","",INDEX(選手一覧!$H$7:$H$2738,$F535))</f>
        <v>0.00679710648148148</v>
      </c>
      <c r="H535" s="17" t="n">
        <f aca="false">IF(INDEX(選手一覧!$I$7:$I$2738,$F535)="","",INDEX(選手一覧!$I$7:$I$2738,$F535))</f>
        <v>168</v>
      </c>
      <c r="I535" s="16" t="n">
        <f aca="false">IF(INDEX(選手一覧!$J$7:$J$2738,$F535)="","",INDEX(選手一覧!$J$7:$J$2738,$F535))</f>
        <v>0.0028880787037037</v>
      </c>
      <c r="J535" s="17" t="n">
        <f aca="false">IF(INDEX(選手一覧!$K$7:$K$2738,$F535)="","",INDEX(選手一覧!$K$7:$K$2738,$F535))</f>
        <v>848</v>
      </c>
    </row>
    <row r="536" customFormat="false" ht="15" hidden="false" customHeight="false" outlineLevel="0" collapsed="false">
      <c r="A536" s="17" t="n">
        <v>532</v>
      </c>
      <c r="B536" s="12" t="s">
        <v>930</v>
      </c>
      <c r="C536" s="12" t="s">
        <v>259</v>
      </c>
      <c r="D536" s="16" t="n">
        <v>0.0106579861111111</v>
      </c>
      <c r="E536" s="15" t="n">
        <f aca="false">ROUND((D536-$D$5)*86400,2)</f>
        <v>131.11</v>
      </c>
      <c r="F536" s="17" t="n">
        <v>531</v>
      </c>
      <c r="G536" s="16" t="str">
        <f aca="false">IF(INDEX(選手一覧!$H$7:$H$2738,$F536)="","",INDEX(選手一覧!$H$7:$H$2738,$F536))</f>
        <v/>
      </c>
      <c r="H536" s="17" t="str">
        <f aca="false">IF(INDEX(選手一覧!$I$7:$I$2738,$F536)="","",INDEX(選手一覧!$I$7:$I$2738,$F536))</f>
        <v/>
      </c>
      <c r="I536" s="16" t="n">
        <f aca="false">IF(INDEX(選手一覧!$J$7:$J$2738,$F536)="","",INDEX(選手一覧!$J$7:$J$2738,$F536))</f>
        <v>0.00285520833333333</v>
      </c>
      <c r="J536" s="17" t="n">
        <f aca="false">IF(INDEX(選手一覧!$K$7:$K$2738,$F536)="","",INDEX(選手一覧!$K$7:$K$2738,$F536))</f>
        <v>597</v>
      </c>
    </row>
    <row r="537" customFormat="false" ht="15" hidden="false" customHeight="false" outlineLevel="0" collapsed="false">
      <c r="A537" s="17" t="n">
        <v>533</v>
      </c>
      <c r="B537" s="12" t="s">
        <v>932</v>
      </c>
      <c r="C537" s="12" t="s">
        <v>4173</v>
      </c>
      <c r="D537" s="16" t="n">
        <v>0.0106582175925926</v>
      </c>
      <c r="E537" s="15" t="n">
        <f aca="false">ROUND((D537-$D$5)*86400,2)</f>
        <v>131.13</v>
      </c>
      <c r="F537" s="17" t="n">
        <v>532</v>
      </c>
      <c r="G537" s="16" t="str">
        <f aca="false">IF(INDEX(選手一覧!$H$7:$H$2738,$F537)="","",INDEX(選手一覧!$H$7:$H$2738,$F537))</f>
        <v/>
      </c>
      <c r="H537" s="17" t="str">
        <f aca="false">IF(INDEX(選手一覧!$I$7:$I$2738,$F537)="","",INDEX(選手一覧!$I$7:$I$2738,$F537))</f>
        <v/>
      </c>
      <c r="I537" s="16" t="n">
        <f aca="false">IF(INDEX(選手一覧!$J$7:$J$2738,$F537)="","",INDEX(選手一覧!$J$7:$J$2738,$F537))</f>
        <v>0.00288715277777778</v>
      </c>
      <c r="J537" s="17" t="n">
        <f aca="false">IF(INDEX(選手一覧!$K$7:$K$2738,$F537)="","",INDEX(選手一覧!$K$7:$K$2738,$F537))</f>
        <v>837</v>
      </c>
    </row>
    <row r="538" customFormat="false" ht="15" hidden="false" customHeight="false" outlineLevel="0" collapsed="false">
      <c r="A538" s="17" t="n">
        <v>534</v>
      </c>
      <c r="B538" s="12" t="s">
        <v>935</v>
      </c>
      <c r="C538" s="12" t="s">
        <v>936</v>
      </c>
      <c r="D538" s="16" t="n">
        <v>0.0106591435185185</v>
      </c>
      <c r="E538" s="15" t="n">
        <f aca="false">ROUND((D538-$D$5)*86400,2)</f>
        <v>131.21</v>
      </c>
      <c r="F538" s="17" t="n">
        <v>533</v>
      </c>
      <c r="G538" s="16" t="n">
        <f aca="false">IF(INDEX(選手一覧!$H$7:$H$2738,$F538)="","",INDEX(選手一覧!$H$7:$H$2738,$F538))</f>
        <v>0.00670185185185185</v>
      </c>
      <c r="H538" s="17" t="n">
        <f aca="false">IF(INDEX(選手一覧!$I$7:$I$2738,$F538)="","",INDEX(選手一覧!$I$7:$I$2738,$F538))</f>
        <v>109</v>
      </c>
      <c r="I538" s="16" t="n">
        <f aca="false">IF(INDEX(選手一覧!$J$7:$J$2738,$F538)="","",INDEX(選手一覧!$J$7:$J$2738,$F538))</f>
        <v>0.00288518518518519</v>
      </c>
      <c r="J538" s="17" t="n">
        <f aca="false">IF(INDEX(選手一覧!$K$7:$K$2738,$F538)="","",INDEX(選手一覧!$K$7:$K$2738,$F538))</f>
        <v>820</v>
      </c>
    </row>
    <row r="539" customFormat="false" ht="15" hidden="false" customHeight="false" outlineLevel="0" collapsed="false">
      <c r="A539" s="17" t="n">
        <v>535</v>
      </c>
      <c r="B539" s="12" t="s">
        <v>937</v>
      </c>
      <c r="C539" s="12" t="s">
        <v>115</v>
      </c>
      <c r="D539" s="16" t="n">
        <v>0.0106601851851852</v>
      </c>
      <c r="E539" s="15" t="n">
        <f aca="false">ROUND((D539-$D$5)*86400,2)</f>
        <v>131.3</v>
      </c>
      <c r="F539" s="17" t="n">
        <v>534</v>
      </c>
      <c r="G539" s="16" t="str">
        <f aca="false">IF(INDEX(選手一覧!$H$7:$H$2738,$F539)="","",INDEX(選手一覧!$H$7:$H$2738,$F539))</f>
        <v/>
      </c>
      <c r="H539" s="17" t="str">
        <f aca="false">IF(INDEX(選手一覧!$I$7:$I$2738,$F539)="","",INDEX(選手一覧!$I$7:$I$2738,$F539))</f>
        <v/>
      </c>
      <c r="I539" s="16" t="n">
        <f aca="false">IF(INDEX(選手一覧!$J$7:$J$2738,$F539)="","",INDEX(選手一覧!$J$7:$J$2738,$F539))</f>
        <v>0.00286793981481482</v>
      </c>
      <c r="J539" s="17" t="n">
        <f aca="false">IF(INDEX(選手一覧!$K$7:$K$2738,$F539)="","",INDEX(選手一覧!$K$7:$K$2738,$F539))</f>
        <v>679</v>
      </c>
    </row>
    <row r="540" customFormat="false" ht="15" hidden="false" customHeight="false" outlineLevel="0" collapsed="false">
      <c r="A540" s="17" t="n">
        <v>536</v>
      </c>
      <c r="B540" s="12" t="s">
        <v>938</v>
      </c>
      <c r="C540" s="12" t="s">
        <v>939</v>
      </c>
      <c r="D540" s="16" t="n">
        <v>0.0106615740740741</v>
      </c>
      <c r="E540" s="15" t="n">
        <f aca="false">ROUND((D540-$D$5)*86400,2)</f>
        <v>131.42</v>
      </c>
      <c r="F540" s="17" t="n">
        <v>535</v>
      </c>
      <c r="G540" s="16" t="str">
        <f aca="false">IF(INDEX(選手一覧!$H$7:$H$2738,$F540)="","",INDEX(選手一覧!$H$7:$H$2738,$F540))</f>
        <v/>
      </c>
      <c r="H540" s="17" t="str">
        <f aca="false">IF(INDEX(選手一覧!$I$7:$I$2738,$F540)="","",INDEX(選手一覧!$I$7:$I$2738,$F540))</f>
        <v/>
      </c>
      <c r="I540" s="16" t="n">
        <f aca="false">IF(INDEX(選手一覧!$J$7:$J$2738,$F540)="","",INDEX(選手一覧!$J$7:$J$2738,$F540))</f>
        <v>0.00294699074074074</v>
      </c>
      <c r="J540" s="17" t="n">
        <f aca="false">IF(INDEX(選手一覧!$K$7:$K$2738,$F540)="","",INDEX(選手一覧!$K$7:$K$2738,$F540))</f>
        <v>1223</v>
      </c>
    </row>
    <row r="541" customFormat="false" ht="15" hidden="false" customHeight="false" outlineLevel="0" collapsed="false">
      <c r="A541" s="17" t="n">
        <v>537</v>
      </c>
      <c r="B541" s="12" t="s">
        <v>941</v>
      </c>
      <c r="C541" s="12" t="s">
        <v>316</v>
      </c>
      <c r="D541" s="16" t="n">
        <v>0.0106621527777778</v>
      </c>
      <c r="E541" s="15" t="n">
        <f aca="false">ROUND((D541-$D$5)*86400,2)</f>
        <v>131.47</v>
      </c>
      <c r="F541" s="17" t="n">
        <v>536</v>
      </c>
      <c r="G541" s="16" t="n">
        <f aca="false">IF(INDEX(選手一覧!$H$7:$H$2738,$F541)="","",INDEX(選手一覧!$H$7:$H$2738,$F541))</f>
        <v>0.00659155092592593</v>
      </c>
      <c r="H541" s="17" t="n">
        <f aca="false">IF(INDEX(選手一覧!$I$7:$I$2738,$F541)="","",INDEX(選手一覧!$I$7:$I$2738,$F541))</f>
        <v>66</v>
      </c>
      <c r="I541" s="16" t="str">
        <f aca="false">IF(INDEX(選手一覧!$J$7:$J$2738,$F541)="","",INDEX(選手一覧!$J$7:$J$2738,$F541))</f>
        <v/>
      </c>
      <c r="J541" s="17" t="str">
        <f aca="false">IF(INDEX(選手一覧!$K$7:$K$2738,$F541)="","",INDEX(選手一覧!$K$7:$K$2738,$F541))</f>
        <v/>
      </c>
    </row>
    <row r="542" customFormat="false" ht="15" hidden="false" customHeight="false" outlineLevel="0" collapsed="false">
      <c r="A542" s="17" t="n">
        <v>538</v>
      </c>
      <c r="B542" s="12" t="s">
        <v>942</v>
      </c>
      <c r="C542" s="12" t="s">
        <v>320</v>
      </c>
      <c r="D542" s="16" t="n">
        <v>0.0106627314814815</v>
      </c>
      <c r="E542" s="15" t="n">
        <f aca="false">ROUND((D542-$D$5)*86400,2)</f>
        <v>131.52</v>
      </c>
      <c r="F542" s="17" t="n">
        <v>537</v>
      </c>
      <c r="G542" s="16" t="str">
        <f aca="false">IF(INDEX(選手一覧!$H$7:$H$2738,$F542)="","",INDEX(選手一覧!$H$7:$H$2738,$F542))</f>
        <v/>
      </c>
      <c r="H542" s="17" t="str">
        <f aca="false">IF(INDEX(選手一覧!$I$7:$I$2738,$F542)="","",INDEX(選手一覧!$I$7:$I$2738,$F542))</f>
        <v/>
      </c>
      <c r="I542" s="16" t="str">
        <f aca="false">IF(INDEX(選手一覧!$J$7:$J$2738,$F542)="","",INDEX(選手一覧!$J$7:$J$2738,$F542))</f>
        <v/>
      </c>
      <c r="J542" s="17" t="str">
        <f aca="false">IF(INDEX(選手一覧!$K$7:$K$2738,$F542)="","",INDEX(選手一覧!$K$7:$K$2738,$F542))</f>
        <v/>
      </c>
    </row>
    <row r="543" customFormat="false" ht="15" hidden="false" customHeight="false" outlineLevel="0" collapsed="false">
      <c r="A543" s="17" t="n">
        <v>539</v>
      </c>
      <c r="B543" s="12" t="s">
        <v>944</v>
      </c>
      <c r="C543" s="12" t="s">
        <v>248</v>
      </c>
      <c r="D543" s="16" t="n">
        <v>0.010665162037037</v>
      </c>
      <c r="E543" s="15" t="n">
        <f aca="false">ROUND((D543-$D$5)*86400,2)</f>
        <v>131.73</v>
      </c>
      <c r="F543" s="17" t="n">
        <v>538</v>
      </c>
      <c r="G543" s="16" t="str">
        <f aca="false">IF(INDEX(選手一覧!$H$7:$H$2738,$F543)="","",INDEX(選手一覧!$H$7:$H$2738,$F543))</f>
        <v/>
      </c>
      <c r="H543" s="17" t="str">
        <f aca="false">IF(INDEX(選手一覧!$I$7:$I$2738,$F543)="","",INDEX(選手一覧!$I$7:$I$2738,$F543))</f>
        <v/>
      </c>
      <c r="I543" s="16" t="n">
        <f aca="false">IF(INDEX(選手一覧!$J$7:$J$2738,$F543)="","",INDEX(選手一覧!$J$7:$J$2738,$F543))</f>
        <v>0.00277835648148148</v>
      </c>
      <c r="J543" s="17" t="n">
        <f aca="false">IF(INDEX(選手一覧!$K$7:$K$2738,$F543)="","",INDEX(選手一覧!$K$7:$K$2738,$F543))</f>
        <v>193</v>
      </c>
    </row>
    <row r="544" customFormat="false" ht="15" hidden="false" customHeight="false" outlineLevel="0" collapsed="false">
      <c r="A544" s="17" t="n">
        <v>540</v>
      </c>
      <c r="B544" s="12" t="s">
        <v>945</v>
      </c>
      <c r="C544" s="12" t="s">
        <v>152</v>
      </c>
      <c r="D544" s="16" t="n">
        <v>0.0106653935185185</v>
      </c>
      <c r="E544" s="15" t="n">
        <f aca="false">ROUND((D544-$D$5)*86400,2)</f>
        <v>131.75</v>
      </c>
      <c r="F544" s="17" t="n">
        <v>539</v>
      </c>
      <c r="G544" s="16" t="n">
        <f aca="false">IF(INDEX(選手一覧!$H$7:$H$2738,$F544)="","",INDEX(選手一覧!$H$7:$H$2738,$F544))</f>
        <v>0.00706574074074074</v>
      </c>
      <c r="H544" s="17" t="n">
        <f aca="false">IF(INDEX(選手一覧!$I$7:$I$2738,$F544)="","",INDEX(選手一覧!$I$7:$I$2738,$F544))</f>
        <v>410</v>
      </c>
      <c r="I544" s="16" t="str">
        <f aca="false">IF(INDEX(選手一覧!$J$7:$J$2738,$F544)="","",INDEX(選手一覧!$J$7:$J$2738,$F544))</f>
        <v/>
      </c>
      <c r="J544" s="17" t="str">
        <f aca="false">IF(INDEX(選手一覧!$K$7:$K$2738,$F544)="","",INDEX(選手一覧!$K$7:$K$2738,$F544))</f>
        <v/>
      </c>
    </row>
    <row r="545" customFormat="false" ht="15" hidden="false" customHeight="false" outlineLevel="0" collapsed="false">
      <c r="A545" s="17" t="n">
        <v>541</v>
      </c>
      <c r="B545" s="12" t="s">
        <v>946</v>
      </c>
      <c r="C545" s="12" t="s">
        <v>947</v>
      </c>
      <c r="D545" s="16" t="n">
        <v>0.010666087962963</v>
      </c>
      <c r="E545" s="15" t="n">
        <f aca="false">ROUND((D545-$D$5)*86400,2)</f>
        <v>131.81</v>
      </c>
      <c r="F545" s="17" t="n">
        <v>540</v>
      </c>
      <c r="G545" s="16" t="str">
        <f aca="false">IF(INDEX(選手一覧!$H$7:$H$2738,$F545)="","",INDEX(選手一覧!$H$7:$H$2738,$F545))</f>
        <v/>
      </c>
      <c r="H545" s="17" t="str">
        <f aca="false">IF(INDEX(選手一覧!$I$7:$I$2738,$F545)="","",INDEX(選手一覧!$I$7:$I$2738,$F545))</f>
        <v/>
      </c>
      <c r="I545" s="16" t="str">
        <f aca="false">IF(INDEX(選手一覧!$J$7:$J$2738,$F545)="","",INDEX(選手一覧!$J$7:$J$2738,$F545))</f>
        <v/>
      </c>
      <c r="J545" s="17" t="str">
        <f aca="false">IF(INDEX(選手一覧!$K$7:$K$2738,$F545)="","",INDEX(選手一覧!$K$7:$K$2738,$F545))</f>
        <v/>
      </c>
    </row>
    <row r="546" customFormat="false" ht="15" hidden="false" customHeight="false" outlineLevel="0" collapsed="false">
      <c r="A546" s="17" t="n">
        <v>542</v>
      </c>
      <c r="B546" s="12" t="s">
        <v>948</v>
      </c>
      <c r="C546" s="12" t="s">
        <v>949</v>
      </c>
      <c r="D546" s="16" t="n">
        <v>0.0106663194444445</v>
      </c>
      <c r="E546" s="15" t="n">
        <f aca="false">ROUND((D546-$D$5)*86400,2)</f>
        <v>131.83</v>
      </c>
      <c r="F546" s="17" t="n">
        <v>541</v>
      </c>
      <c r="G546" s="16" t="str">
        <f aca="false">IF(INDEX(選手一覧!$H$7:$H$2738,$F546)="","",INDEX(選手一覧!$H$7:$H$2738,$F546))</f>
        <v/>
      </c>
      <c r="H546" s="17" t="str">
        <f aca="false">IF(INDEX(選手一覧!$I$7:$I$2738,$F546)="","",INDEX(選手一覧!$I$7:$I$2738,$F546))</f>
        <v/>
      </c>
      <c r="I546" s="16" t="n">
        <f aca="false">IF(INDEX(選手一覧!$J$7:$J$2738,$F546)="","",INDEX(選手一覧!$J$7:$J$2738,$F546))</f>
        <v>0.00288101851851852</v>
      </c>
      <c r="J546" s="17" t="n">
        <f aca="false">IF(INDEX(選手一覧!$K$7:$K$2738,$F546)="","",INDEX(選手一覧!$K$7:$K$2738,$F546))</f>
        <v>777</v>
      </c>
    </row>
    <row r="547" customFormat="false" ht="15" hidden="false" customHeight="false" outlineLevel="0" collapsed="false">
      <c r="A547" s="17" t="n">
        <v>543</v>
      </c>
      <c r="B547" s="12" t="s">
        <v>950</v>
      </c>
      <c r="C547" s="12" t="s">
        <v>951</v>
      </c>
      <c r="D547" s="16" t="n">
        <v>0.0106671296296296</v>
      </c>
      <c r="E547" s="15" t="n">
        <f aca="false">ROUND((D547-$D$5)*86400,2)</f>
        <v>131.9</v>
      </c>
      <c r="F547" s="17" t="n">
        <v>542</v>
      </c>
      <c r="G547" s="16" t="n">
        <f aca="false">IF(INDEX(選手一覧!$H$7:$H$2738,$F547)="","",INDEX(選手一覧!$H$7:$H$2738,$F547))</f>
        <v>0.00666493055555556</v>
      </c>
      <c r="H547" s="17" t="n">
        <f aca="false">IF(INDEX(選手一覧!$I$7:$I$2738,$F547)="","",INDEX(選手一覧!$I$7:$I$2738,$F547))</f>
        <v>90</v>
      </c>
      <c r="I547" s="16" t="str">
        <f aca="false">IF(INDEX(選手一覧!$J$7:$J$2738,$F547)="","",INDEX(選手一覧!$J$7:$J$2738,$F547))</f>
        <v/>
      </c>
      <c r="J547" s="17" t="str">
        <f aca="false">IF(INDEX(選手一覧!$K$7:$K$2738,$F547)="","",INDEX(選手一覧!$K$7:$K$2738,$F547))</f>
        <v/>
      </c>
    </row>
    <row r="548" customFormat="false" ht="15" hidden="false" customHeight="false" outlineLevel="0" collapsed="false">
      <c r="A548" s="17" t="n">
        <v>544</v>
      </c>
      <c r="B548" s="12" t="s">
        <v>952</v>
      </c>
      <c r="C548" s="12" t="s">
        <v>953</v>
      </c>
      <c r="D548" s="16" t="n">
        <v>0.0106686342592593</v>
      </c>
      <c r="E548" s="15" t="n">
        <f aca="false">ROUND((D548-$D$5)*86400,2)</f>
        <v>132.03</v>
      </c>
      <c r="F548" s="17" t="n">
        <v>543</v>
      </c>
      <c r="G548" s="16" t="n">
        <f aca="false">IF(INDEX(選手一覧!$H$7:$H$2738,$F548)="","",INDEX(選手一覧!$H$7:$H$2738,$F548))</f>
        <v>0.00648645833333333</v>
      </c>
      <c r="H548" s="17" t="n">
        <f aca="false">IF(INDEX(選手一覧!$I$7:$I$2738,$F548)="","",INDEX(選手一覧!$I$7:$I$2738,$F548))</f>
        <v>32</v>
      </c>
      <c r="I548" s="16" t="n">
        <f aca="false">IF(INDEX(選手一覧!$J$7:$J$2738,$F548)="","",INDEX(選手一覧!$J$7:$J$2738,$F548))</f>
        <v>0.00273206018518519</v>
      </c>
      <c r="J548" s="17" t="n">
        <f aca="false">IF(INDEX(選手一覧!$K$7:$K$2738,$F548)="","",INDEX(選手一覧!$K$7:$K$2738,$F548))</f>
        <v>68</v>
      </c>
    </row>
    <row r="549" customFormat="false" ht="15" hidden="false" customHeight="false" outlineLevel="0" collapsed="false">
      <c r="A549" s="17" t="n">
        <v>545</v>
      </c>
      <c r="B549" s="12" t="s">
        <v>954</v>
      </c>
      <c r="C549" s="12" t="s">
        <v>537</v>
      </c>
      <c r="D549" s="16" t="n">
        <v>0.0106689814814815</v>
      </c>
      <c r="E549" s="15" t="n">
        <f aca="false">ROUND((D549-$D$5)*86400,2)</f>
        <v>132.06</v>
      </c>
      <c r="F549" s="17" t="n">
        <v>544</v>
      </c>
      <c r="G549" s="16" t="n">
        <f aca="false">IF(INDEX(選手一覧!$H$7:$H$2738,$F549)="","",INDEX(選手一覧!$H$7:$H$2738,$F549))</f>
        <v>0.0068630787037037</v>
      </c>
      <c r="H549" s="17" t="n">
        <f aca="false">IF(INDEX(選手一覧!$I$7:$I$2738,$F549)="","",INDEX(選手一覧!$I$7:$I$2738,$F549))</f>
        <v>214</v>
      </c>
      <c r="I549" s="16" t="n">
        <f aca="false">IF(INDEX(選手一覧!$J$7:$J$2738,$F549)="","",INDEX(選手一覧!$J$7:$J$2738,$F549))</f>
        <v>0.0028525462962963</v>
      </c>
      <c r="J549" s="17" t="n">
        <f aca="false">IF(INDEX(選手一覧!$K$7:$K$2738,$F549)="","",INDEX(選手一覧!$K$7:$K$2738,$F549))</f>
        <v>583</v>
      </c>
    </row>
    <row r="550" customFormat="false" ht="15" hidden="false" customHeight="false" outlineLevel="0" collapsed="false">
      <c r="A550" s="17" t="n">
        <v>546</v>
      </c>
      <c r="B550" s="12" t="s">
        <v>955</v>
      </c>
      <c r="C550" s="12" t="s">
        <v>186</v>
      </c>
      <c r="D550" s="16" t="n">
        <v>0.0106693287037037</v>
      </c>
      <c r="E550" s="15" t="n">
        <f aca="false">ROUND((D550-$D$5)*86400,2)</f>
        <v>132.09</v>
      </c>
      <c r="F550" s="17" t="n">
        <v>545</v>
      </c>
      <c r="G550" s="16" t="str">
        <f aca="false">IF(INDEX(選手一覧!$H$7:$H$2738,$F550)="","",INDEX(選手一覧!$H$7:$H$2738,$F550))</f>
        <v/>
      </c>
      <c r="H550" s="17" t="str">
        <f aca="false">IF(INDEX(選手一覧!$I$7:$I$2738,$F550)="","",INDEX(選手一覧!$I$7:$I$2738,$F550))</f>
        <v/>
      </c>
      <c r="I550" s="16" t="str">
        <f aca="false">IF(INDEX(選手一覧!$J$7:$J$2738,$F550)="","",INDEX(選手一覧!$J$7:$J$2738,$F550))</f>
        <v/>
      </c>
      <c r="J550" s="17" t="str">
        <f aca="false">IF(INDEX(選手一覧!$K$7:$K$2738,$F550)="","",INDEX(選手一覧!$K$7:$K$2738,$F550))</f>
        <v/>
      </c>
    </row>
    <row r="551" customFormat="false" ht="15" hidden="false" customHeight="false" outlineLevel="0" collapsed="false">
      <c r="A551" s="17" t="n">
        <v>547</v>
      </c>
      <c r="B551" s="12" t="s">
        <v>956</v>
      </c>
      <c r="C551" s="12" t="s">
        <v>73</v>
      </c>
      <c r="D551" s="16" t="n">
        <v>0.0106693287037037</v>
      </c>
      <c r="E551" s="15" t="n">
        <f aca="false">ROUND((D551-$D$5)*86400,2)</f>
        <v>132.09</v>
      </c>
      <c r="F551" s="17" t="n">
        <v>546</v>
      </c>
      <c r="G551" s="16" t="str">
        <f aca="false">IF(INDEX(選手一覧!$H$7:$H$2738,$F551)="","",INDEX(選手一覧!$H$7:$H$2738,$F551))</f>
        <v/>
      </c>
      <c r="H551" s="17" t="str">
        <f aca="false">IF(INDEX(選手一覧!$I$7:$I$2738,$F551)="","",INDEX(選手一覧!$I$7:$I$2738,$F551))</f>
        <v/>
      </c>
      <c r="I551" s="16" t="str">
        <f aca="false">IF(INDEX(選手一覧!$J$7:$J$2738,$F551)="","",INDEX(選手一覧!$J$7:$J$2738,$F551))</f>
        <v/>
      </c>
      <c r="J551" s="17" t="str">
        <f aca="false">IF(INDEX(選手一覧!$K$7:$K$2738,$F551)="","",INDEX(選手一覧!$K$7:$K$2738,$F551))</f>
        <v/>
      </c>
    </row>
    <row r="552" customFormat="false" ht="15" hidden="false" customHeight="false" outlineLevel="0" collapsed="false">
      <c r="A552" s="17" t="n">
        <v>548</v>
      </c>
      <c r="B552" s="12" t="s">
        <v>957</v>
      </c>
      <c r="C552" s="12" t="s">
        <v>288</v>
      </c>
      <c r="D552" s="16" t="n">
        <v>0.0106701388888889</v>
      </c>
      <c r="E552" s="15" t="n">
        <f aca="false">ROUND((D552-$D$5)*86400,2)</f>
        <v>132.16</v>
      </c>
      <c r="F552" s="17" t="n">
        <v>547</v>
      </c>
      <c r="G552" s="16" t="str">
        <f aca="false">IF(INDEX(選手一覧!$H$7:$H$2738,$F552)="","",INDEX(選手一覧!$H$7:$H$2738,$F552))</f>
        <v/>
      </c>
      <c r="H552" s="17" t="str">
        <f aca="false">IF(INDEX(選手一覧!$I$7:$I$2738,$F552)="","",INDEX(選手一覧!$I$7:$I$2738,$F552))</f>
        <v/>
      </c>
      <c r="I552" s="16" t="n">
        <f aca="false">IF(INDEX(選手一覧!$J$7:$J$2738,$F552)="","",INDEX(選手一覧!$J$7:$J$2738,$F552))</f>
        <v>0.0027130787037037</v>
      </c>
      <c r="J552" s="17" t="n">
        <f aca="false">IF(INDEX(選手一覧!$K$7:$K$2738,$F552)="","",INDEX(選手一覧!$K$7:$K$2738,$F552))</f>
        <v>40</v>
      </c>
    </row>
    <row r="553" customFormat="false" ht="15" hidden="false" customHeight="false" outlineLevel="0" collapsed="false">
      <c r="A553" s="17" t="n">
        <v>549</v>
      </c>
      <c r="B553" s="12" t="s">
        <v>958</v>
      </c>
      <c r="C553" s="12" t="s">
        <v>63</v>
      </c>
      <c r="D553" s="16" t="n">
        <v>0.0106704861111111</v>
      </c>
      <c r="E553" s="15" t="n">
        <f aca="false">ROUND((D553-$D$5)*86400,2)</f>
        <v>132.19</v>
      </c>
      <c r="F553" s="17" t="n">
        <v>548</v>
      </c>
      <c r="G553" s="16" t="n">
        <f aca="false">IF(INDEX(選手一覧!$H$7:$H$2738,$F553)="","",INDEX(選手一覧!$H$7:$H$2738,$F553))</f>
        <v>0.00736342592592593</v>
      </c>
      <c r="H553" s="17" t="n">
        <f aca="false">IF(INDEX(選手一覧!$I$7:$I$2738,$F553)="","",INDEX(選手一覧!$I$7:$I$2738,$F553))</f>
        <v>725</v>
      </c>
      <c r="I553" s="16" t="n">
        <f aca="false">IF(INDEX(選手一覧!$J$7:$J$2738,$F553)="","",INDEX(選手一覧!$J$7:$J$2738,$F553))</f>
        <v>0.00291284722222222</v>
      </c>
      <c r="J553" s="17" t="n">
        <f aca="false">IF(INDEX(選手一覧!$K$7:$K$2738,$F553)="","",INDEX(選手一覧!$K$7:$K$2738,$F553))</f>
        <v>1042</v>
      </c>
    </row>
    <row r="554" customFormat="false" ht="15" hidden="false" customHeight="false" outlineLevel="0" collapsed="false">
      <c r="A554" s="17" t="n">
        <v>550</v>
      </c>
      <c r="B554" s="12" t="s">
        <v>959</v>
      </c>
      <c r="C554" s="12" t="s">
        <v>316</v>
      </c>
      <c r="D554" s="16" t="n">
        <v>0.010671412037037</v>
      </c>
      <c r="E554" s="15" t="n">
        <f aca="false">ROUND((D554-$D$5)*86400,2)</f>
        <v>132.27</v>
      </c>
      <c r="F554" s="17" t="n">
        <v>549</v>
      </c>
      <c r="G554" s="16" t="str">
        <f aca="false">IF(INDEX(選手一覧!$H$7:$H$2738,$F554)="","",INDEX(選手一覧!$H$7:$H$2738,$F554))</f>
        <v/>
      </c>
      <c r="H554" s="17" t="str">
        <f aca="false">IF(INDEX(選手一覧!$I$7:$I$2738,$F554)="","",INDEX(選手一覧!$I$7:$I$2738,$F554))</f>
        <v/>
      </c>
      <c r="I554" s="16" t="n">
        <f aca="false">IF(INDEX(選手一覧!$J$7:$J$2738,$F554)="","",INDEX(選手一覧!$J$7:$J$2738,$F554))</f>
        <v>0.00272175925925926</v>
      </c>
      <c r="J554" s="17" t="n">
        <f aca="false">IF(INDEX(選手一覧!$K$7:$K$2738,$F554)="","",INDEX(選手一覧!$K$7:$K$2738,$F554))</f>
        <v>50</v>
      </c>
    </row>
    <row r="555" customFormat="false" ht="15" hidden="false" customHeight="false" outlineLevel="0" collapsed="false">
      <c r="A555" s="17" t="n">
        <v>551</v>
      </c>
      <c r="B555" s="12" t="s">
        <v>960</v>
      </c>
      <c r="C555" s="12" t="s">
        <v>961</v>
      </c>
      <c r="D555" s="16" t="n">
        <v>0.010672337962963</v>
      </c>
      <c r="E555" s="15" t="n">
        <f aca="false">ROUND((D555-$D$5)*86400,2)</f>
        <v>132.35</v>
      </c>
      <c r="F555" s="17" t="n">
        <v>550</v>
      </c>
      <c r="G555" s="16" t="str">
        <f aca="false">IF(INDEX(選手一覧!$H$7:$H$2738,$F555)="","",INDEX(選手一覧!$H$7:$H$2738,$F555))</f>
        <v/>
      </c>
      <c r="H555" s="17" t="str">
        <f aca="false">IF(INDEX(選手一覧!$I$7:$I$2738,$F555)="","",INDEX(選手一覧!$I$7:$I$2738,$F555))</f>
        <v/>
      </c>
      <c r="I555" s="16" t="n">
        <f aca="false">IF(INDEX(選手一覧!$J$7:$J$2738,$F555)="","",INDEX(選手一覧!$J$7:$J$2738,$F555))</f>
        <v>0.00280625</v>
      </c>
      <c r="J555" s="17" t="n">
        <f aca="false">IF(INDEX(選手一覧!$K$7:$K$2738,$F555)="","",INDEX(選手一覧!$K$7:$K$2738,$F555))</f>
        <v>307</v>
      </c>
    </row>
    <row r="556" customFormat="false" ht="15" hidden="false" customHeight="false" outlineLevel="0" collapsed="false">
      <c r="A556" s="17" t="n">
        <v>552</v>
      </c>
      <c r="B556" s="12" t="s">
        <v>962</v>
      </c>
      <c r="C556" s="12" t="s">
        <v>96</v>
      </c>
      <c r="D556" s="16" t="n">
        <v>0.0106728009259259</v>
      </c>
      <c r="E556" s="15" t="n">
        <f aca="false">ROUND((D556-$D$5)*86400,2)</f>
        <v>132.39</v>
      </c>
      <c r="F556" s="17" t="n">
        <v>551</v>
      </c>
      <c r="G556" s="16" t="n">
        <f aca="false">IF(INDEX(選手一覧!$H$7:$H$2738,$F556)="","",INDEX(選手一覧!$H$7:$H$2738,$F556))</f>
        <v>0.00665798611111111</v>
      </c>
      <c r="H556" s="17" t="n">
        <f aca="false">IF(INDEX(選手一覧!$I$7:$I$2738,$F556)="","",INDEX(選手一覧!$I$7:$I$2738,$F556))</f>
        <v>86</v>
      </c>
      <c r="I556" s="16" t="n">
        <f aca="false">IF(INDEX(選手一覧!$J$7:$J$2738,$F556)="","",INDEX(選手一覧!$J$7:$J$2738,$F556))</f>
        <v>0.00286006944444445</v>
      </c>
      <c r="J556" s="17" t="n">
        <f aca="false">IF(INDEX(選手一覧!$K$7:$K$2738,$F556)="","",INDEX(選手一覧!$K$7:$K$2738,$F556))</f>
        <v>636</v>
      </c>
    </row>
    <row r="557" customFormat="false" ht="15" hidden="false" customHeight="false" outlineLevel="0" collapsed="false">
      <c r="A557" s="17" t="n">
        <v>553</v>
      </c>
      <c r="B557" s="12" t="s">
        <v>964</v>
      </c>
      <c r="C557" s="12" t="s">
        <v>965</v>
      </c>
      <c r="D557" s="16" t="n">
        <v>0.0106737268518519</v>
      </c>
      <c r="E557" s="15" t="n">
        <f aca="false">ROUND((D557-$D$5)*86400,2)</f>
        <v>132.47</v>
      </c>
      <c r="F557" s="17" t="n">
        <v>552</v>
      </c>
      <c r="G557" s="16" t="n">
        <f aca="false">IF(INDEX(選手一覧!$H$7:$H$2738,$F557)="","",INDEX(選手一覧!$H$7:$H$2738,$F557))</f>
        <v>0.00646342592592593</v>
      </c>
      <c r="H557" s="17" t="n">
        <f aca="false">IF(INDEX(選手一覧!$I$7:$I$2738,$F557)="","",INDEX(選手一覧!$I$7:$I$2738,$F557))</f>
        <v>28</v>
      </c>
      <c r="I557" s="16" t="n">
        <f aca="false">IF(INDEX(選手一覧!$J$7:$J$2738,$F557)="","",INDEX(選手一覧!$J$7:$J$2738,$F557))</f>
        <v>0.00288541666666667</v>
      </c>
      <c r="J557" s="17" t="n">
        <f aca="false">IF(INDEX(選手一覧!$K$7:$K$2738,$F557)="","",INDEX(選手一覧!$K$7:$K$2738,$F557))</f>
        <v>821</v>
      </c>
    </row>
    <row r="558" customFormat="false" ht="15" hidden="false" customHeight="false" outlineLevel="0" collapsed="false">
      <c r="A558" s="17" t="n">
        <v>554</v>
      </c>
      <c r="B558" s="12" t="s">
        <v>966</v>
      </c>
      <c r="C558" s="12" t="s">
        <v>515</v>
      </c>
      <c r="D558" s="16" t="n">
        <v>0.0106741898148148</v>
      </c>
      <c r="E558" s="15" t="n">
        <f aca="false">ROUND((D558-$D$5)*86400,2)</f>
        <v>132.51</v>
      </c>
      <c r="F558" s="17" t="n">
        <v>553</v>
      </c>
      <c r="G558" s="16" t="str">
        <f aca="false">IF(INDEX(選手一覧!$H$7:$H$2738,$F558)="","",INDEX(選手一覧!$H$7:$H$2738,$F558))</f>
        <v/>
      </c>
      <c r="H558" s="17" t="str">
        <f aca="false">IF(INDEX(選手一覧!$I$7:$I$2738,$F558)="","",INDEX(選手一覧!$I$7:$I$2738,$F558))</f>
        <v/>
      </c>
      <c r="I558" s="16" t="n">
        <f aca="false">IF(INDEX(選手一覧!$J$7:$J$2738,$F558)="","",INDEX(選手一覧!$J$7:$J$2738,$F558))</f>
        <v>0.0028462962962963</v>
      </c>
      <c r="J558" s="17" t="n">
        <f aca="false">IF(INDEX(選手一覧!$K$7:$K$2738,$F558)="","",INDEX(選手一覧!$K$7:$K$2738,$F558))</f>
        <v>546</v>
      </c>
    </row>
    <row r="559" customFormat="false" ht="15" hidden="false" customHeight="false" outlineLevel="0" collapsed="false">
      <c r="A559" s="17" t="n">
        <v>555</v>
      </c>
      <c r="B559" s="12" t="s">
        <v>967</v>
      </c>
      <c r="C559" s="12" t="s">
        <v>968</v>
      </c>
      <c r="D559" s="16" t="n">
        <v>0.0106767361111111</v>
      </c>
      <c r="E559" s="15" t="n">
        <f aca="false">ROUND((D559-$D$5)*86400,2)</f>
        <v>132.73</v>
      </c>
      <c r="F559" s="17" t="n">
        <v>554</v>
      </c>
      <c r="G559" s="16" t="str">
        <f aca="false">IF(INDEX(選手一覧!$H$7:$H$2738,$F559)="","",INDEX(選手一覧!$H$7:$H$2738,$F559))</f>
        <v/>
      </c>
      <c r="H559" s="17" t="str">
        <f aca="false">IF(INDEX(選手一覧!$I$7:$I$2738,$F559)="","",INDEX(選手一覧!$I$7:$I$2738,$F559))</f>
        <v/>
      </c>
      <c r="I559" s="16" t="n">
        <f aca="false">IF(INDEX(選手一覧!$J$7:$J$2738,$F559)="","",INDEX(選手一覧!$J$7:$J$2738,$F559))</f>
        <v>0.00280497685185185</v>
      </c>
      <c r="J559" s="17" t="n">
        <f aca="false">IF(INDEX(選手一覧!$K$7:$K$2738,$F559)="","",INDEX(選手一覧!$K$7:$K$2738,$F559))</f>
        <v>302</v>
      </c>
    </row>
    <row r="560" customFormat="false" ht="15" hidden="false" customHeight="false" outlineLevel="0" collapsed="false">
      <c r="A560" s="17" t="n">
        <v>556</v>
      </c>
      <c r="B560" s="12" t="s">
        <v>969</v>
      </c>
      <c r="C560" s="12" t="s">
        <v>65</v>
      </c>
      <c r="D560" s="16" t="n">
        <v>0.0106774305555556</v>
      </c>
      <c r="E560" s="15" t="n">
        <f aca="false">ROUND((D560-$D$5)*86400,2)</f>
        <v>132.79</v>
      </c>
      <c r="F560" s="17" t="n">
        <v>555</v>
      </c>
      <c r="G560" s="16" t="str">
        <f aca="false">IF(INDEX(選手一覧!$H$7:$H$2738,$F560)="","",INDEX(選手一覧!$H$7:$H$2738,$F560))</f>
        <v/>
      </c>
      <c r="H560" s="17" t="str">
        <f aca="false">IF(INDEX(選手一覧!$I$7:$I$2738,$F560)="","",INDEX(選手一覧!$I$7:$I$2738,$F560))</f>
        <v/>
      </c>
      <c r="I560" s="16" t="str">
        <f aca="false">IF(INDEX(選手一覧!$J$7:$J$2738,$F560)="","",INDEX(選手一覧!$J$7:$J$2738,$F560))</f>
        <v/>
      </c>
      <c r="J560" s="17" t="str">
        <f aca="false">IF(INDEX(選手一覧!$K$7:$K$2738,$F560)="","",INDEX(選手一覧!$K$7:$K$2738,$F560))</f>
        <v/>
      </c>
    </row>
    <row r="561" customFormat="false" ht="15" hidden="false" customHeight="false" outlineLevel="0" collapsed="false">
      <c r="A561" s="17" t="n">
        <v>557</v>
      </c>
      <c r="B561" s="12" t="s">
        <v>970</v>
      </c>
      <c r="C561" s="12" t="s">
        <v>51</v>
      </c>
      <c r="D561" s="16" t="n">
        <v>0.0106783564814815</v>
      </c>
      <c r="E561" s="15" t="n">
        <f aca="false">ROUND((D561-$D$5)*86400,2)</f>
        <v>132.87</v>
      </c>
      <c r="F561" s="17" t="n">
        <v>556</v>
      </c>
      <c r="G561" s="16" t="str">
        <f aca="false">IF(INDEX(選手一覧!$H$7:$H$2738,$F561)="","",INDEX(選手一覧!$H$7:$H$2738,$F561))</f>
        <v/>
      </c>
      <c r="H561" s="17" t="str">
        <f aca="false">IF(INDEX(選手一覧!$I$7:$I$2738,$F561)="","",INDEX(選手一覧!$I$7:$I$2738,$F561))</f>
        <v/>
      </c>
      <c r="I561" s="16" t="str">
        <f aca="false">IF(INDEX(選手一覧!$J$7:$J$2738,$F561)="","",INDEX(選手一覧!$J$7:$J$2738,$F561))</f>
        <v/>
      </c>
      <c r="J561" s="17" t="str">
        <f aca="false">IF(INDEX(選手一覧!$K$7:$K$2738,$F561)="","",INDEX(選手一覧!$K$7:$K$2738,$F561))</f>
        <v/>
      </c>
    </row>
    <row r="562" customFormat="false" ht="15" hidden="false" customHeight="false" outlineLevel="0" collapsed="false">
      <c r="A562" s="17" t="n">
        <v>558</v>
      </c>
      <c r="B562" s="12" t="s">
        <v>972</v>
      </c>
      <c r="C562" s="12" t="s">
        <v>585</v>
      </c>
      <c r="D562" s="16" t="n">
        <v>0.0106811342592593</v>
      </c>
      <c r="E562" s="15" t="n">
        <f aca="false">ROUND((D562-$D$5)*86400,2)</f>
        <v>133.11</v>
      </c>
      <c r="F562" s="17" t="n">
        <v>557</v>
      </c>
      <c r="G562" s="16" t="str">
        <f aca="false">IF(INDEX(選手一覧!$H$7:$H$2738,$F562)="","",INDEX(選手一覧!$H$7:$H$2738,$F562))</f>
        <v/>
      </c>
      <c r="H562" s="17" t="str">
        <f aca="false">IF(INDEX(選手一覧!$I$7:$I$2738,$F562)="","",INDEX(選手一覧!$I$7:$I$2738,$F562))</f>
        <v/>
      </c>
      <c r="I562" s="16" t="str">
        <f aca="false">IF(INDEX(選手一覧!$J$7:$J$2738,$F562)="","",INDEX(選手一覧!$J$7:$J$2738,$F562))</f>
        <v/>
      </c>
      <c r="J562" s="17" t="str">
        <f aca="false">IF(INDEX(選手一覧!$K$7:$K$2738,$F562)="","",INDEX(選手一覧!$K$7:$K$2738,$F562))</f>
        <v/>
      </c>
    </row>
    <row r="563" customFormat="false" ht="15" hidden="false" customHeight="false" outlineLevel="0" collapsed="false">
      <c r="A563" s="17" t="n">
        <v>559</v>
      </c>
      <c r="B563" s="12" t="s">
        <v>973</v>
      </c>
      <c r="C563" s="12" t="s">
        <v>447</v>
      </c>
      <c r="D563" s="16" t="n">
        <v>0.0106834490740741</v>
      </c>
      <c r="E563" s="15" t="n">
        <f aca="false">ROUND((D563-$D$5)*86400,2)</f>
        <v>133.31</v>
      </c>
      <c r="F563" s="17" t="n">
        <v>558</v>
      </c>
      <c r="G563" s="16" t="str">
        <f aca="false">IF(INDEX(選手一覧!$H$7:$H$2738,$F563)="","",INDEX(選手一覧!$H$7:$H$2738,$F563))</f>
        <v/>
      </c>
      <c r="H563" s="17" t="str">
        <f aca="false">IF(INDEX(選手一覧!$I$7:$I$2738,$F563)="","",INDEX(選手一覧!$I$7:$I$2738,$F563))</f>
        <v/>
      </c>
      <c r="I563" s="16" t="n">
        <f aca="false">IF(INDEX(選手一覧!$J$7:$J$2738,$F563)="","",INDEX(選手一覧!$J$7:$J$2738,$F563))</f>
        <v>0.00283483796296296</v>
      </c>
      <c r="J563" s="17" t="n">
        <f aca="false">IF(INDEX(選手一覧!$K$7:$K$2738,$F563)="","",INDEX(選手一覧!$K$7:$K$2738,$F563))</f>
        <v>459</v>
      </c>
    </row>
    <row r="564" customFormat="false" ht="15" hidden="false" customHeight="false" outlineLevel="0" collapsed="false">
      <c r="A564" s="17" t="n">
        <v>560</v>
      </c>
      <c r="B564" s="12" t="s">
        <v>975</v>
      </c>
      <c r="C564" s="12" t="s">
        <v>34</v>
      </c>
      <c r="D564" s="16" t="n">
        <v>0.0106862268518519</v>
      </c>
      <c r="E564" s="15" t="n">
        <f aca="false">ROUND((D564-$D$5)*86400,2)</f>
        <v>133.55</v>
      </c>
      <c r="F564" s="17" t="n">
        <v>559</v>
      </c>
      <c r="G564" s="16" t="str">
        <f aca="false">IF(INDEX(選手一覧!$H$7:$H$2738,$F564)="","",INDEX(選手一覧!$H$7:$H$2738,$F564))</f>
        <v/>
      </c>
      <c r="H564" s="17" t="str">
        <f aca="false">IF(INDEX(選手一覧!$I$7:$I$2738,$F564)="","",INDEX(選手一覧!$I$7:$I$2738,$F564))</f>
        <v/>
      </c>
      <c r="I564" s="16" t="n">
        <f aca="false">IF(INDEX(選手一覧!$J$7:$J$2738,$F564)="","",INDEX(選手一覧!$J$7:$J$2738,$F564))</f>
        <v>0.00280636574074074</v>
      </c>
      <c r="J564" s="17" t="n">
        <f aca="false">IF(INDEX(選手一覧!$K$7:$K$2738,$F564)="","",INDEX(選手一覧!$K$7:$K$2738,$F564))</f>
        <v>309</v>
      </c>
    </row>
    <row r="565" customFormat="false" ht="15" hidden="false" customHeight="false" outlineLevel="0" collapsed="false">
      <c r="A565" s="17" t="n">
        <v>561</v>
      </c>
      <c r="B565" s="12" t="s">
        <v>976</v>
      </c>
      <c r="C565" s="12" t="s">
        <v>250</v>
      </c>
      <c r="D565" s="16" t="n">
        <v>0.0106862268518519</v>
      </c>
      <c r="E565" s="15" t="n">
        <f aca="false">ROUND((D565-$D$5)*86400,2)</f>
        <v>133.55</v>
      </c>
      <c r="F565" s="17" t="n">
        <v>560</v>
      </c>
      <c r="G565" s="16" t="str">
        <f aca="false">IF(INDEX(選手一覧!$H$7:$H$2738,$F565)="","",INDEX(選手一覧!$H$7:$H$2738,$F565))</f>
        <v/>
      </c>
      <c r="H565" s="17" t="str">
        <f aca="false">IF(INDEX(選手一覧!$I$7:$I$2738,$F565)="","",INDEX(選手一覧!$I$7:$I$2738,$F565))</f>
        <v/>
      </c>
      <c r="I565" s="16" t="str">
        <f aca="false">IF(INDEX(選手一覧!$J$7:$J$2738,$F565)="","",INDEX(選手一覧!$J$7:$J$2738,$F565))</f>
        <v/>
      </c>
      <c r="J565" s="17" t="str">
        <f aca="false">IF(INDEX(選手一覧!$K$7:$K$2738,$F565)="","",INDEX(選手一覧!$K$7:$K$2738,$F565))</f>
        <v/>
      </c>
    </row>
    <row r="566" customFormat="false" ht="15" hidden="false" customHeight="false" outlineLevel="0" collapsed="false">
      <c r="A566" s="17" t="n">
        <v>562</v>
      </c>
      <c r="B566" s="12" t="s">
        <v>977</v>
      </c>
      <c r="C566" s="12" t="s">
        <v>978</v>
      </c>
      <c r="D566" s="16" t="n">
        <v>0.0106869212962963</v>
      </c>
      <c r="E566" s="15" t="n">
        <f aca="false">ROUND((D566-$D$5)*86400,2)</f>
        <v>133.61</v>
      </c>
      <c r="F566" s="17" t="n">
        <v>561</v>
      </c>
      <c r="G566" s="16" t="str">
        <f aca="false">IF(INDEX(選手一覧!$H$7:$H$2738,$F566)="","",INDEX(選手一覧!$H$7:$H$2738,$F566))</f>
        <v/>
      </c>
      <c r="H566" s="17" t="str">
        <f aca="false">IF(INDEX(選手一覧!$I$7:$I$2738,$F566)="","",INDEX(選手一覧!$I$7:$I$2738,$F566))</f>
        <v/>
      </c>
      <c r="I566" s="16" t="n">
        <f aca="false">IF(INDEX(選手一覧!$J$7:$J$2738,$F566)="","",INDEX(選手一覧!$J$7:$J$2738,$F566))</f>
        <v>0.00291319444444444</v>
      </c>
      <c r="J566" s="17" t="n">
        <f aca="false">IF(INDEX(選手一覧!$K$7:$K$2738,$F566)="","",INDEX(選手一覧!$K$7:$K$2738,$F566))</f>
        <v>1043</v>
      </c>
    </row>
    <row r="567" customFormat="false" ht="15" hidden="false" customHeight="false" outlineLevel="0" collapsed="false">
      <c r="A567" s="17" t="n">
        <v>563</v>
      </c>
      <c r="B567" s="12" t="s">
        <v>979</v>
      </c>
      <c r="C567" s="12" t="s">
        <v>980</v>
      </c>
      <c r="D567" s="16" t="n">
        <v>0.0106871527777778</v>
      </c>
      <c r="E567" s="15" t="n">
        <f aca="false">ROUND((D567-$D$5)*86400,2)</f>
        <v>133.63</v>
      </c>
      <c r="F567" s="17" t="n">
        <v>562</v>
      </c>
      <c r="G567" s="16" t="str">
        <f aca="false">IF(INDEX(選手一覧!$H$7:$H$2738,$F567)="","",INDEX(選手一覧!$H$7:$H$2738,$F567))</f>
        <v/>
      </c>
      <c r="H567" s="17" t="str">
        <f aca="false">IF(INDEX(選手一覧!$I$7:$I$2738,$F567)="","",INDEX(選手一覧!$I$7:$I$2738,$F567))</f>
        <v/>
      </c>
      <c r="I567" s="16" t="str">
        <f aca="false">IF(INDEX(選手一覧!$J$7:$J$2738,$F567)="","",INDEX(選手一覧!$J$7:$J$2738,$F567))</f>
        <v/>
      </c>
      <c r="J567" s="17" t="str">
        <f aca="false">IF(INDEX(選手一覧!$K$7:$K$2738,$F567)="","",INDEX(選手一覧!$K$7:$K$2738,$F567))</f>
        <v/>
      </c>
    </row>
    <row r="568" customFormat="false" ht="15" hidden="false" customHeight="false" outlineLevel="0" collapsed="false">
      <c r="A568" s="17" t="n">
        <v>564</v>
      </c>
      <c r="B568" s="12" t="s">
        <v>981</v>
      </c>
      <c r="C568" s="12" t="s">
        <v>982</v>
      </c>
      <c r="D568" s="16" t="n">
        <v>0.0106871527777778</v>
      </c>
      <c r="E568" s="15" t="n">
        <f aca="false">ROUND((D568-$D$5)*86400,2)</f>
        <v>133.63</v>
      </c>
      <c r="F568" s="17" t="n">
        <v>563</v>
      </c>
      <c r="G568" s="16" t="n">
        <f aca="false">IF(INDEX(選手一覧!$H$7:$H$2738,$F568)="","",INDEX(選手一覧!$H$7:$H$2738,$F568))</f>
        <v>0.00728587962962963</v>
      </c>
      <c r="H568" s="17" t="n">
        <f aca="false">IF(INDEX(選手一覧!$I$7:$I$2738,$F568)="","",INDEX(選手一覧!$I$7:$I$2738,$F568))</f>
        <v>628</v>
      </c>
      <c r="I568" s="16" t="n">
        <f aca="false">IF(INDEX(選手一覧!$J$7:$J$2738,$F568)="","",INDEX(選手一覧!$J$7:$J$2738,$F568))</f>
        <v>0.00288969907407407</v>
      </c>
      <c r="J568" s="17" t="n">
        <f aca="false">IF(INDEX(選手一覧!$K$7:$K$2738,$F568)="","",INDEX(選手一覧!$K$7:$K$2738,$F568))</f>
        <v>862</v>
      </c>
    </row>
    <row r="569" customFormat="false" ht="15" hidden="false" customHeight="false" outlineLevel="0" collapsed="false">
      <c r="A569" s="17" t="n">
        <v>565</v>
      </c>
      <c r="B569" s="12" t="s">
        <v>983</v>
      </c>
      <c r="C569" s="12" t="s">
        <v>301</v>
      </c>
      <c r="D569" s="16" t="n">
        <v>0.0106880787037037</v>
      </c>
      <c r="E569" s="15" t="n">
        <f aca="false">ROUND((D569-$D$5)*86400,2)</f>
        <v>133.71</v>
      </c>
      <c r="F569" s="17" t="n">
        <v>564</v>
      </c>
      <c r="G569" s="16" t="n">
        <f aca="false">IF(INDEX(選手一覧!$H$7:$H$2738,$F569)="","",INDEX(選手一覧!$H$7:$H$2738,$F569))</f>
        <v>0.00703842592592593</v>
      </c>
      <c r="H569" s="17" t="n">
        <f aca="false">IF(INDEX(選手一覧!$I$7:$I$2738,$F569)="","",INDEX(選手一覧!$I$7:$I$2738,$F569))</f>
        <v>371</v>
      </c>
      <c r="I569" s="16" t="n">
        <f aca="false">IF(INDEX(選手一覧!$J$7:$J$2738,$F569)="","",INDEX(選手一覧!$J$7:$J$2738,$F569))</f>
        <v>0.00291388888888889</v>
      </c>
      <c r="J569" s="17" t="n">
        <f aca="false">IF(INDEX(選手一覧!$K$7:$K$2738,$F569)="","",INDEX(選手一覧!$K$7:$K$2738,$F569))</f>
        <v>1050</v>
      </c>
    </row>
    <row r="570" customFormat="false" ht="15" hidden="false" customHeight="false" outlineLevel="0" collapsed="false">
      <c r="A570" s="17" t="n">
        <v>566</v>
      </c>
      <c r="B570" s="12" t="s">
        <v>984</v>
      </c>
      <c r="C570" s="12" t="s">
        <v>179</v>
      </c>
      <c r="D570" s="16" t="n">
        <v>0.0106886574074074</v>
      </c>
      <c r="E570" s="15" t="n">
        <f aca="false">ROUND((D570-$D$5)*86400,2)</f>
        <v>133.76</v>
      </c>
      <c r="F570" s="17" t="n">
        <v>565</v>
      </c>
      <c r="G570" s="16" t="n">
        <f aca="false">IF(INDEX(選手一覧!$H$7:$H$2738,$F570)="","",INDEX(選手一覧!$H$7:$H$2738,$F570))</f>
        <v>0.00705543981481482</v>
      </c>
      <c r="H570" s="17" t="n">
        <f aca="false">IF(INDEX(選手一覧!$I$7:$I$2738,$F570)="","",INDEX(選手一覧!$I$7:$I$2738,$F570))</f>
        <v>396</v>
      </c>
      <c r="I570" s="16" t="str">
        <f aca="false">IF(INDEX(選手一覧!$J$7:$J$2738,$F570)="","",INDEX(選手一覧!$J$7:$J$2738,$F570))</f>
        <v/>
      </c>
      <c r="J570" s="17" t="str">
        <f aca="false">IF(INDEX(選手一覧!$K$7:$K$2738,$F570)="","",INDEX(選手一覧!$K$7:$K$2738,$F570))</f>
        <v/>
      </c>
    </row>
    <row r="571" customFormat="false" ht="15" hidden="false" customHeight="false" outlineLevel="0" collapsed="false">
      <c r="A571" s="17" t="n">
        <v>567</v>
      </c>
      <c r="B571" s="12" t="s">
        <v>986</v>
      </c>
      <c r="C571" s="12" t="s">
        <v>615</v>
      </c>
      <c r="D571" s="16" t="n">
        <v>0.0106908564814815</v>
      </c>
      <c r="E571" s="15" t="n">
        <f aca="false">ROUND((D571-$D$5)*86400,2)</f>
        <v>133.95</v>
      </c>
      <c r="F571" s="17" t="n">
        <v>566</v>
      </c>
      <c r="G571" s="16" t="str">
        <f aca="false">IF(INDEX(選手一覧!$H$7:$H$2738,$F571)="","",INDEX(選手一覧!$H$7:$H$2738,$F571))</f>
        <v/>
      </c>
      <c r="H571" s="17" t="str">
        <f aca="false">IF(INDEX(選手一覧!$I$7:$I$2738,$F571)="","",INDEX(選手一覧!$I$7:$I$2738,$F571))</f>
        <v/>
      </c>
      <c r="I571" s="16" t="str">
        <f aca="false">IF(INDEX(選手一覧!$J$7:$J$2738,$F571)="","",INDEX(選手一覧!$J$7:$J$2738,$F571))</f>
        <v/>
      </c>
      <c r="J571" s="17" t="str">
        <f aca="false">IF(INDEX(選手一覧!$K$7:$K$2738,$F571)="","",INDEX(選手一覧!$K$7:$K$2738,$F571))</f>
        <v/>
      </c>
    </row>
    <row r="572" customFormat="false" ht="15" hidden="false" customHeight="false" outlineLevel="0" collapsed="false">
      <c r="A572" s="17" t="n">
        <v>568</v>
      </c>
      <c r="B572" s="12" t="s">
        <v>987</v>
      </c>
      <c r="C572" s="12" t="s">
        <v>732</v>
      </c>
      <c r="D572" s="16" t="n">
        <v>0.01069375</v>
      </c>
      <c r="E572" s="15" t="n">
        <f aca="false">ROUND((D572-$D$5)*86400,2)</f>
        <v>134.2</v>
      </c>
      <c r="F572" s="17" t="n">
        <v>567</v>
      </c>
      <c r="G572" s="16" t="str">
        <f aca="false">IF(INDEX(選手一覧!$H$7:$H$2738,$F572)="","",INDEX(選手一覧!$H$7:$H$2738,$F572))</f>
        <v/>
      </c>
      <c r="H572" s="17" t="str">
        <f aca="false">IF(INDEX(選手一覧!$I$7:$I$2738,$F572)="","",INDEX(選手一覧!$I$7:$I$2738,$F572))</f>
        <v/>
      </c>
      <c r="I572" s="16" t="n">
        <f aca="false">IF(INDEX(選手一覧!$J$7:$J$2738,$F572)="","",INDEX(選手一覧!$J$7:$J$2738,$F572))</f>
        <v>0.00289143518518519</v>
      </c>
      <c r="J572" s="17" t="n">
        <f aca="false">IF(INDEX(選手一覧!$K$7:$K$2738,$F572)="","",INDEX(選手一覧!$K$7:$K$2738,$F572))</f>
        <v>883</v>
      </c>
    </row>
    <row r="573" customFormat="false" ht="15" hidden="false" customHeight="false" outlineLevel="0" collapsed="false">
      <c r="A573" s="17" t="n">
        <v>569</v>
      </c>
      <c r="B573" s="12" t="s">
        <v>988</v>
      </c>
      <c r="C573" s="12" t="s">
        <v>989</v>
      </c>
      <c r="D573" s="16" t="n">
        <v>0.0106940972222222</v>
      </c>
      <c r="E573" s="15" t="n">
        <f aca="false">ROUND((D573-$D$5)*86400,2)</f>
        <v>134.23</v>
      </c>
      <c r="F573" s="17" t="n">
        <v>568</v>
      </c>
      <c r="G573" s="16" t="str">
        <f aca="false">IF(INDEX(選手一覧!$H$7:$H$2738,$F573)="","",INDEX(選手一覧!$H$7:$H$2738,$F573))</f>
        <v/>
      </c>
      <c r="H573" s="17" t="str">
        <f aca="false">IF(INDEX(選手一覧!$I$7:$I$2738,$F573)="","",INDEX(選手一覧!$I$7:$I$2738,$F573))</f>
        <v/>
      </c>
      <c r="I573" s="16" t="str">
        <f aca="false">IF(INDEX(選手一覧!$J$7:$J$2738,$F573)="","",INDEX(選手一覧!$J$7:$J$2738,$F573))</f>
        <v/>
      </c>
      <c r="J573" s="17" t="str">
        <f aca="false">IF(INDEX(選手一覧!$K$7:$K$2738,$F573)="","",INDEX(選手一覧!$K$7:$K$2738,$F573))</f>
        <v/>
      </c>
    </row>
    <row r="574" customFormat="false" ht="15" hidden="false" customHeight="false" outlineLevel="0" collapsed="false">
      <c r="A574" s="17" t="n">
        <v>570</v>
      </c>
      <c r="B574" s="12" t="s">
        <v>990</v>
      </c>
      <c r="C574" s="12" t="s">
        <v>585</v>
      </c>
      <c r="D574" s="16" t="n">
        <v>0.0106944444444444</v>
      </c>
      <c r="E574" s="15" t="n">
        <f aca="false">ROUND((D574-$D$5)*86400,2)</f>
        <v>134.26</v>
      </c>
      <c r="F574" s="17" t="n">
        <v>569</v>
      </c>
      <c r="G574" s="16" t="str">
        <f aca="false">IF(INDEX(選手一覧!$H$7:$H$2738,$F574)="","",INDEX(選手一覧!$H$7:$H$2738,$F574))</f>
        <v/>
      </c>
      <c r="H574" s="17" t="str">
        <f aca="false">IF(INDEX(選手一覧!$I$7:$I$2738,$F574)="","",INDEX(選手一覧!$I$7:$I$2738,$F574))</f>
        <v/>
      </c>
      <c r="I574" s="16" t="n">
        <f aca="false">IF(INDEX(選手一覧!$J$7:$J$2738,$F574)="","",INDEX(選手一覧!$J$7:$J$2738,$F574))</f>
        <v>0.00281087962962963</v>
      </c>
      <c r="J574" s="17" t="n">
        <f aca="false">IF(INDEX(選手一覧!$K$7:$K$2738,$F574)="","",INDEX(選手一覧!$K$7:$K$2738,$F574))</f>
        <v>327</v>
      </c>
    </row>
    <row r="575" customFormat="false" ht="15" hidden="false" customHeight="false" outlineLevel="0" collapsed="false">
      <c r="A575" s="17" t="n">
        <v>571</v>
      </c>
      <c r="B575" s="12" t="s">
        <v>991</v>
      </c>
      <c r="C575" s="12" t="s">
        <v>601</v>
      </c>
      <c r="D575" s="16" t="n">
        <v>0.0106947916666667</v>
      </c>
      <c r="E575" s="15" t="n">
        <f aca="false">ROUND((D575-$D$5)*86400,2)</f>
        <v>134.29</v>
      </c>
      <c r="F575" s="17" t="n">
        <v>570</v>
      </c>
      <c r="G575" s="16" t="str">
        <f aca="false">IF(INDEX(選手一覧!$H$7:$H$2738,$F575)="","",INDEX(選手一覧!$H$7:$H$2738,$F575))</f>
        <v/>
      </c>
      <c r="H575" s="17" t="str">
        <f aca="false">IF(INDEX(選手一覧!$I$7:$I$2738,$F575)="","",INDEX(選手一覧!$I$7:$I$2738,$F575))</f>
        <v/>
      </c>
      <c r="I575" s="16" t="str">
        <f aca="false">IF(INDEX(選手一覧!$J$7:$J$2738,$F575)="","",INDEX(選手一覧!$J$7:$J$2738,$F575))</f>
        <v/>
      </c>
      <c r="J575" s="17" t="str">
        <f aca="false">IF(INDEX(選手一覧!$K$7:$K$2738,$F575)="","",INDEX(選手一覧!$K$7:$K$2738,$F575))</f>
        <v/>
      </c>
    </row>
    <row r="576" customFormat="false" ht="15" hidden="false" customHeight="false" outlineLevel="0" collapsed="false">
      <c r="A576" s="17" t="n">
        <v>572</v>
      </c>
      <c r="B576" s="12" t="s">
        <v>992</v>
      </c>
      <c r="C576" s="12" t="s">
        <v>316</v>
      </c>
      <c r="D576" s="16" t="n">
        <v>0.0106954861111111</v>
      </c>
      <c r="E576" s="15" t="n">
        <f aca="false">ROUND((D576-$D$5)*86400,2)</f>
        <v>134.35</v>
      </c>
      <c r="F576" s="17" t="n">
        <v>571</v>
      </c>
      <c r="G576" s="16" t="n">
        <f aca="false">IF(INDEX(選手一覧!$H$7:$H$2738,$F576)="","",INDEX(選手一覧!$H$7:$H$2738,$F576))</f>
        <v>0.00684027777777778</v>
      </c>
      <c r="H576" s="17" t="n">
        <f aca="false">IF(INDEX(選手一覧!$I$7:$I$2738,$F576)="","",INDEX(選手一覧!$I$7:$I$2738,$F576))</f>
        <v>197</v>
      </c>
      <c r="I576" s="16" t="str">
        <f aca="false">IF(INDEX(選手一覧!$J$7:$J$2738,$F576)="","",INDEX(選手一覧!$J$7:$J$2738,$F576))</f>
        <v/>
      </c>
      <c r="J576" s="17" t="str">
        <f aca="false">IF(INDEX(選手一覧!$K$7:$K$2738,$F576)="","",INDEX(選手一覧!$K$7:$K$2738,$F576))</f>
        <v/>
      </c>
    </row>
    <row r="577" customFormat="false" ht="15" hidden="false" customHeight="false" outlineLevel="0" collapsed="false">
      <c r="A577" s="17" t="n">
        <v>573</v>
      </c>
      <c r="B577" s="12" t="s">
        <v>993</v>
      </c>
      <c r="C577" s="12" t="s">
        <v>290</v>
      </c>
      <c r="D577" s="16" t="n">
        <v>0.0106957175925926</v>
      </c>
      <c r="E577" s="15" t="n">
        <f aca="false">ROUND((D577-$D$5)*86400,2)</f>
        <v>134.37</v>
      </c>
      <c r="F577" s="17" t="n">
        <v>572</v>
      </c>
      <c r="G577" s="16" t="n">
        <f aca="false">IF(INDEX(選手一覧!$H$7:$H$2738,$F577)="","",INDEX(選手一覧!$H$7:$H$2738,$F577))</f>
        <v>0.0064099537037037</v>
      </c>
      <c r="H577" s="17" t="n">
        <f aca="false">IF(INDEX(選手一覧!$I$7:$I$2738,$F577)="","",INDEX(選手一覧!$I$7:$I$2738,$F577))</f>
        <v>16</v>
      </c>
      <c r="I577" s="16" t="n">
        <f aca="false">IF(INDEX(選手一覧!$J$7:$J$2738,$F577)="","",INDEX(選手一覧!$J$7:$J$2738,$F577))</f>
        <v>0.00277777777777778</v>
      </c>
      <c r="J577" s="17" t="n">
        <f aca="false">IF(INDEX(選手一覧!$K$7:$K$2738,$F577)="","",INDEX(選手一覧!$K$7:$K$2738,$F577))</f>
        <v>189</v>
      </c>
    </row>
    <row r="578" customFormat="false" ht="15" hidden="false" customHeight="false" outlineLevel="0" collapsed="false">
      <c r="A578" s="17" t="n">
        <v>574</v>
      </c>
      <c r="B578" s="12" t="s">
        <v>995</v>
      </c>
      <c r="C578" s="12" t="s">
        <v>996</v>
      </c>
      <c r="D578" s="16" t="n">
        <v>0.0106959490740741</v>
      </c>
      <c r="E578" s="15" t="n">
        <f aca="false">ROUND((D578-$D$5)*86400,2)</f>
        <v>134.39</v>
      </c>
      <c r="F578" s="17" t="n">
        <v>573</v>
      </c>
      <c r="G578" s="16" t="n">
        <f aca="false">IF(INDEX(選手一覧!$H$7:$H$2738,$F578)="","",INDEX(選手一覧!$H$7:$H$2738,$F578))</f>
        <v>0.00675868055555556</v>
      </c>
      <c r="H578" s="17" t="n">
        <f aca="false">IF(INDEX(選手一覧!$I$7:$I$2738,$F578)="","",INDEX(選手一覧!$I$7:$I$2738,$F578))</f>
        <v>134</v>
      </c>
      <c r="I578" s="16" t="n">
        <f aca="false">IF(INDEX(選手一覧!$J$7:$J$2738,$F578)="","",INDEX(選手一覧!$J$7:$J$2738,$F578))</f>
        <v>0.00285069444444445</v>
      </c>
      <c r="J578" s="17" t="n">
        <f aca="false">IF(INDEX(選手一覧!$K$7:$K$2738,$F578)="","",INDEX(選手一覧!$K$7:$K$2738,$F578))</f>
        <v>574</v>
      </c>
    </row>
    <row r="579" customFormat="false" ht="15" hidden="false" customHeight="false" outlineLevel="0" collapsed="false">
      <c r="A579" s="17" t="n">
        <v>575</v>
      </c>
      <c r="B579" s="12" t="s">
        <v>997</v>
      </c>
      <c r="C579" s="12" t="s">
        <v>157</v>
      </c>
      <c r="D579" s="16" t="n">
        <v>0.0106959490740741</v>
      </c>
      <c r="E579" s="15" t="n">
        <f aca="false">ROUND((D579-$D$5)*86400,2)</f>
        <v>134.39</v>
      </c>
      <c r="F579" s="17" t="n">
        <v>574</v>
      </c>
      <c r="G579" s="16" t="n">
        <f aca="false">IF(INDEX(選手一覧!$H$7:$H$2738,$F579)="","",INDEX(選手一覧!$H$7:$H$2738,$F579))</f>
        <v>0.00690034722222222</v>
      </c>
      <c r="H579" s="17" t="n">
        <f aca="false">IF(INDEX(選手一覧!$I$7:$I$2738,$F579)="","",INDEX(選手一覧!$I$7:$I$2738,$F579))</f>
        <v>241</v>
      </c>
      <c r="I579" s="16" t="str">
        <f aca="false">IF(INDEX(選手一覧!$J$7:$J$2738,$F579)="","",INDEX(選手一覧!$J$7:$J$2738,$F579))</f>
        <v/>
      </c>
      <c r="J579" s="17" t="str">
        <f aca="false">IF(INDEX(選手一覧!$K$7:$K$2738,$F579)="","",INDEX(選手一覧!$K$7:$K$2738,$F579))</f>
        <v/>
      </c>
    </row>
    <row r="580" customFormat="false" ht="15" hidden="false" customHeight="false" outlineLevel="0" collapsed="false">
      <c r="A580" s="17" t="n">
        <v>576</v>
      </c>
      <c r="B580" s="12" t="s">
        <v>998</v>
      </c>
      <c r="C580" s="12" t="s">
        <v>648</v>
      </c>
      <c r="D580" s="16" t="n">
        <v>0.0106959490740741</v>
      </c>
      <c r="E580" s="15" t="n">
        <f aca="false">ROUND((D580-$D$5)*86400,2)</f>
        <v>134.39</v>
      </c>
      <c r="F580" s="17" t="n">
        <v>575</v>
      </c>
      <c r="G580" s="16" t="str">
        <f aca="false">IF(INDEX(選手一覧!$H$7:$H$2738,$F580)="","",INDEX(選手一覧!$H$7:$H$2738,$F580))</f>
        <v/>
      </c>
      <c r="H580" s="17" t="str">
        <f aca="false">IF(INDEX(選手一覧!$I$7:$I$2738,$F580)="","",INDEX(選手一覧!$I$7:$I$2738,$F580))</f>
        <v/>
      </c>
      <c r="I580" s="16" t="str">
        <f aca="false">IF(INDEX(選手一覧!$J$7:$J$2738,$F580)="","",INDEX(選手一覧!$J$7:$J$2738,$F580))</f>
        <v/>
      </c>
      <c r="J580" s="17" t="str">
        <f aca="false">IF(INDEX(選手一覧!$K$7:$K$2738,$F580)="","",INDEX(選手一覧!$K$7:$K$2738,$F580))</f>
        <v/>
      </c>
    </row>
    <row r="581" customFormat="false" ht="15" hidden="false" customHeight="false" outlineLevel="0" collapsed="false">
      <c r="A581" s="17" t="n">
        <v>577</v>
      </c>
      <c r="B581" s="12" t="s">
        <v>999</v>
      </c>
      <c r="C581" s="12" t="s">
        <v>515</v>
      </c>
      <c r="D581" s="16" t="n">
        <v>0.0106961805555556</v>
      </c>
      <c r="E581" s="15" t="n">
        <f aca="false">ROUND((D581-$D$5)*86400,2)</f>
        <v>134.41</v>
      </c>
      <c r="F581" s="17" t="n">
        <v>576</v>
      </c>
      <c r="G581" s="16" t="str">
        <f aca="false">IF(INDEX(選手一覧!$H$7:$H$2738,$F581)="","",INDEX(選手一覧!$H$7:$H$2738,$F581))</f>
        <v/>
      </c>
      <c r="H581" s="17" t="str">
        <f aca="false">IF(INDEX(選手一覧!$I$7:$I$2738,$F581)="","",INDEX(選手一覧!$I$7:$I$2738,$F581))</f>
        <v/>
      </c>
      <c r="I581" s="16" t="n">
        <f aca="false">IF(INDEX(選手一覧!$J$7:$J$2738,$F581)="","",INDEX(選手一覧!$J$7:$J$2738,$F581))</f>
        <v>0.00287222222222222</v>
      </c>
      <c r="J581" s="17" t="n">
        <f aca="false">IF(INDEX(選手一覧!$K$7:$K$2738,$F581)="","",INDEX(選手一覧!$K$7:$K$2738,$F581))</f>
        <v>717</v>
      </c>
    </row>
    <row r="582" customFormat="false" ht="15" hidden="false" customHeight="false" outlineLevel="0" collapsed="false">
      <c r="A582" s="17" t="n">
        <v>578</v>
      </c>
      <c r="B582" s="12" t="s">
        <v>1000</v>
      </c>
      <c r="C582" s="12" t="s">
        <v>561</v>
      </c>
      <c r="D582" s="16" t="n">
        <v>0.0106987268518519</v>
      </c>
      <c r="E582" s="15" t="n">
        <f aca="false">ROUND((D582-$D$5)*86400,2)</f>
        <v>134.63</v>
      </c>
      <c r="F582" s="17" t="n">
        <v>577</v>
      </c>
      <c r="G582" s="16" t="str">
        <f aca="false">IF(INDEX(選手一覧!$H$7:$H$2738,$F582)="","",INDEX(選手一覧!$H$7:$H$2738,$F582))</f>
        <v/>
      </c>
      <c r="H582" s="17" t="str">
        <f aca="false">IF(INDEX(選手一覧!$I$7:$I$2738,$F582)="","",INDEX(選手一覧!$I$7:$I$2738,$F582))</f>
        <v/>
      </c>
      <c r="I582" s="16" t="n">
        <f aca="false">IF(INDEX(選手一覧!$J$7:$J$2738,$F582)="","",INDEX(選手一覧!$J$7:$J$2738,$F582))</f>
        <v>0.00272337962962963</v>
      </c>
      <c r="J582" s="17" t="n">
        <f aca="false">IF(INDEX(選手一覧!$K$7:$K$2738,$F582)="","",INDEX(選手一覧!$K$7:$K$2738,$F582))</f>
        <v>54</v>
      </c>
    </row>
    <row r="583" customFormat="false" ht="15" hidden="false" customHeight="false" outlineLevel="0" collapsed="false">
      <c r="A583" s="17" t="n">
        <v>579</v>
      </c>
      <c r="B583" s="12" t="s">
        <v>1002</v>
      </c>
      <c r="C583" s="12" t="s">
        <v>290</v>
      </c>
      <c r="D583" s="16" t="n">
        <v>0.0106987268518519</v>
      </c>
      <c r="E583" s="15" t="n">
        <f aca="false">ROUND((D583-$D$5)*86400,2)</f>
        <v>134.63</v>
      </c>
      <c r="F583" s="17" t="n">
        <v>578</v>
      </c>
      <c r="G583" s="16" t="n">
        <f aca="false">IF(INDEX(選手一覧!$H$7:$H$2738,$F583)="","",INDEX(選手一覧!$H$7:$H$2738,$F583))</f>
        <v>0.00680717592592593</v>
      </c>
      <c r="H583" s="17" t="n">
        <f aca="false">IF(INDEX(選手一覧!$I$7:$I$2738,$F583)="","",INDEX(選手一覧!$I$7:$I$2738,$F583))</f>
        <v>178</v>
      </c>
      <c r="I583" s="16" t="n">
        <f aca="false">IF(INDEX(選手一覧!$J$7:$J$2738,$F583)="","",INDEX(選手一覧!$J$7:$J$2738,$F583))</f>
        <v>0.00288356481481481</v>
      </c>
      <c r="J583" s="17" t="n">
        <f aca="false">IF(INDEX(選手一覧!$K$7:$K$2738,$F583)="","",INDEX(選手一覧!$K$7:$K$2738,$F583))</f>
        <v>803</v>
      </c>
    </row>
    <row r="584" customFormat="false" ht="15" hidden="false" customHeight="false" outlineLevel="0" collapsed="false">
      <c r="A584" s="17" t="n">
        <v>580</v>
      </c>
      <c r="B584" s="12" t="s">
        <v>1004</v>
      </c>
      <c r="C584" s="12" t="s">
        <v>599</v>
      </c>
      <c r="D584" s="16" t="n">
        <v>0.0106989583333333</v>
      </c>
      <c r="E584" s="15" t="n">
        <f aca="false">ROUND((D584-$D$5)*86400,2)</f>
        <v>134.65</v>
      </c>
      <c r="F584" s="17" t="n">
        <v>579</v>
      </c>
      <c r="G584" s="16" t="str">
        <f aca="false">IF(INDEX(選手一覧!$H$7:$H$2738,$F584)="","",INDEX(選手一覧!$H$7:$H$2738,$F584))</f>
        <v/>
      </c>
      <c r="H584" s="17" t="str">
        <f aca="false">IF(INDEX(選手一覧!$I$7:$I$2738,$F584)="","",INDEX(選手一覧!$I$7:$I$2738,$F584))</f>
        <v/>
      </c>
      <c r="I584" s="16" t="str">
        <f aca="false">IF(INDEX(選手一覧!$J$7:$J$2738,$F584)="","",INDEX(選手一覧!$J$7:$J$2738,$F584))</f>
        <v/>
      </c>
      <c r="J584" s="17" t="str">
        <f aca="false">IF(INDEX(選手一覧!$K$7:$K$2738,$F584)="","",INDEX(選手一覧!$K$7:$K$2738,$F584))</f>
        <v/>
      </c>
    </row>
    <row r="585" customFormat="false" ht="15" hidden="false" customHeight="false" outlineLevel="0" collapsed="false">
      <c r="A585" s="17" t="n">
        <v>581</v>
      </c>
      <c r="B585" s="12" t="s">
        <v>1005</v>
      </c>
      <c r="C585" s="12" t="s">
        <v>1006</v>
      </c>
      <c r="D585" s="16" t="n">
        <v>0.0106994212962963</v>
      </c>
      <c r="E585" s="15" t="n">
        <f aca="false">ROUND((D585-$D$5)*86400,2)</f>
        <v>134.69</v>
      </c>
      <c r="F585" s="17" t="n">
        <v>580</v>
      </c>
      <c r="G585" s="16" t="str">
        <f aca="false">IF(INDEX(選手一覧!$H$7:$H$2738,$F585)="","",INDEX(選手一覧!$H$7:$H$2738,$F585))</f>
        <v/>
      </c>
      <c r="H585" s="17" t="str">
        <f aca="false">IF(INDEX(選手一覧!$I$7:$I$2738,$F585)="","",INDEX(選手一覧!$I$7:$I$2738,$F585))</f>
        <v/>
      </c>
      <c r="I585" s="16" t="n">
        <f aca="false">IF(INDEX(選手一覧!$J$7:$J$2738,$F585)="","",INDEX(選手一覧!$J$7:$J$2738,$F585))</f>
        <v>0.00272546296296296</v>
      </c>
      <c r="J585" s="17" t="n">
        <f aca="false">IF(INDEX(選手一覧!$K$7:$K$2738,$F585)="","",INDEX(選手一覧!$K$7:$K$2738,$F585))</f>
        <v>59</v>
      </c>
    </row>
    <row r="586" customFormat="false" ht="15" hidden="false" customHeight="false" outlineLevel="0" collapsed="false">
      <c r="A586" s="17" t="n">
        <v>582</v>
      </c>
      <c r="B586" s="12" t="s">
        <v>1008</v>
      </c>
      <c r="C586" s="12" t="s">
        <v>1009</v>
      </c>
      <c r="D586" s="16" t="n">
        <v>0.010699537037037</v>
      </c>
      <c r="E586" s="15" t="n">
        <f aca="false">ROUND((D586-$D$5)*86400,2)</f>
        <v>134.7</v>
      </c>
      <c r="F586" s="17" t="n">
        <v>581</v>
      </c>
      <c r="G586" s="16" t="str">
        <f aca="false">IF(INDEX(選手一覧!$H$7:$H$2738,$F586)="","",INDEX(選手一覧!$H$7:$H$2738,$F586))</f>
        <v/>
      </c>
      <c r="H586" s="17" t="str">
        <f aca="false">IF(INDEX(選手一覧!$I$7:$I$2738,$F586)="","",INDEX(選手一覧!$I$7:$I$2738,$F586))</f>
        <v/>
      </c>
      <c r="I586" s="16" t="str">
        <f aca="false">IF(INDEX(選手一覧!$J$7:$J$2738,$F586)="","",INDEX(選手一覧!$J$7:$J$2738,$F586))</f>
        <v/>
      </c>
      <c r="J586" s="17" t="str">
        <f aca="false">IF(INDEX(選手一覧!$K$7:$K$2738,$F586)="","",INDEX(選手一覧!$K$7:$K$2738,$F586))</f>
        <v/>
      </c>
    </row>
    <row r="587" customFormat="false" ht="15" hidden="false" customHeight="false" outlineLevel="0" collapsed="false">
      <c r="A587" s="17" t="n">
        <v>583</v>
      </c>
      <c r="B587" s="12" t="s">
        <v>1010</v>
      </c>
      <c r="C587" s="12" t="s">
        <v>503</v>
      </c>
      <c r="D587" s="16" t="n">
        <v>0.0107001157407407</v>
      </c>
      <c r="E587" s="15" t="n">
        <f aca="false">ROUND((D587-$D$5)*86400,2)</f>
        <v>134.75</v>
      </c>
      <c r="F587" s="17" t="n">
        <v>582</v>
      </c>
      <c r="G587" s="16" t="str">
        <f aca="false">IF(INDEX(選手一覧!$H$7:$H$2738,$F587)="","",INDEX(選手一覧!$H$7:$H$2738,$F587))</f>
        <v/>
      </c>
      <c r="H587" s="17" t="str">
        <f aca="false">IF(INDEX(選手一覧!$I$7:$I$2738,$F587)="","",INDEX(選手一覧!$I$7:$I$2738,$F587))</f>
        <v/>
      </c>
      <c r="I587" s="16" t="str">
        <f aca="false">IF(INDEX(選手一覧!$J$7:$J$2738,$F587)="","",INDEX(選手一覧!$J$7:$J$2738,$F587))</f>
        <v/>
      </c>
      <c r="J587" s="17" t="str">
        <f aca="false">IF(INDEX(選手一覧!$K$7:$K$2738,$F587)="","",INDEX(選手一覧!$K$7:$K$2738,$F587))</f>
        <v/>
      </c>
    </row>
    <row r="588" customFormat="false" ht="15" hidden="false" customHeight="false" outlineLevel="0" collapsed="false">
      <c r="A588" s="17" t="n">
        <v>584</v>
      </c>
      <c r="B588" s="12" t="s">
        <v>1011</v>
      </c>
      <c r="C588" s="12" t="s">
        <v>32</v>
      </c>
      <c r="D588" s="16" t="n">
        <v>0.0107001157407407</v>
      </c>
      <c r="E588" s="15" t="n">
        <f aca="false">ROUND((D588-$D$5)*86400,2)</f>
        <v>134.75</v>
      </c>
      <c r="F588" s="17" t="n">
        <v>583</v>
      </c>
      <c r="G588" s="16" t="str">
        <f aca="false">IF(INDEX(選手一覧!$H$7:$H$2738,$F588)="","",INDEX(選手一覧!$H$7:$H$2738,$F588))</f>
        <v/>
      </c>
      <c r="H588" s="17" t="str">
        <f aca="false">IF(INDEX(選手一覧!$I$7:$I$2738,$F588)="","",INDEX(選手一覧!$I$7:$I$2738,$F588))</f>
        <v/>
      </c>
      <c r="I588" s="16" t="n">
        <f aca="false">IF(INDEX(選手一覧!$J$7:$J$2738,$F588)="","",INDEX(選手一覧!$J$7:$J$2738,$F588))</f>
        <v>0.00289814814814815</v>
      </c>
      <c r="J588" s="17" t="n">
        <f aca="false">IF(INDEX(選手一覧!$K$7:$K$2738,$F588)="","",INDEX(選手一覧!$K$7:$K$2738,$F588))</f>
        <v>934</v>
      </c>
    </row>
    <row r="589" customFormat="false" ht="15" hidden="false" customHeight="false" outlineLevel="0" collapsed="false">
      <c r="A589" s="17" t="n">
        <v>585</v>
      </c>
      <c r="B589" s="12" t="s">
        <v>1012</v>
      </c>
      <c r="C589" s="12" t="s">
        <v>333</v>
      </c>
      <c r="D589" s="16" t="n">
        <v>0.0107009259259259</v>
      </c>
      <c r="E589" s="15" t="n">
        <f aca="false">ROUND((D589-$D$5)*86400,2)</f>
        <v>134.82</v>
      </c>
      <c r="F589" s="17" t="n">
        <v>584</v>
      </c>
      <c r="G589" s="16" t="str">
        <f aca="false">IF(INDEX(選手一覧!$H$7:$H$2738,$F589)="","",INDEX(選手一覧!$H$7:$H$2738,$F589))</f>
        <v/>
      </c>
      <c r="H589" s="17" t="str">
        <f aca="false">IF(INDEX(選手一覧!$I$7:$I$2738,$F589)="","",INDEX(選手一覧!$I$7:$I$2738,$F589))</f>
        <v/>
      </c>
      <c r="I589" s="16" t="n">
        <f aca="false">IF(INDEX(選手一覧!$J$7:$J$2738,$F589)="","",INDEX(選手一覧!$J$7:$J$2738,$F589))</f>
        <v>0.00283611111111111</v>
      </c>
      <c r="J589" s="17" t="n">
        <f aca="false">IF(INDEX(選手一覧!$K$7:$K$2738,$F589)="","",INDEX(選手一覧!$K$7:$K$2738,$F589))</f>
        <v>471</v>
      </c>
    </row>
    <row r="590" customFormat="false" ht="15" hidden="false" customHeight="false" outlineLevel="0" collapsed="false">
      <c r="A590" s="17" t="n">
        <v>586</v>
      </c>
      <c r="B590" s="12" t="s">
        <v>1014</v>
      </c>
      <c r="C590" s="12" t="s">
        <v>150</v>
      </c>
      <c r="D590" s="16" t="n">
        <v>0.0107012731481482</v>
      </c>
      <c r="E590" s="15" t="n">
        <f aca="false">ROUND((D590-$D$5)*86400,2)</f>
        <v>134.85</v>
      </c>
      <c r="F590" s="17" t="n">
        <v>585</v>
      </c>
      <c r="G590" s="16" t="str">
        <f aca="false">IF(INDEX(選手一覧!$H$7:$H$2738,$F590)="","",INDEX(選手一覧!$H$7:$H$2738,$F590))</f>
        <v/>
      </c>
      <c r="H590" s="17" t="str">
        <f aca="false">IF(INDEX(選手一覧!$I$7:$I$2738,$F590)="","",INDEX(選手一覧!$I$7:$I$2738,$F590))</f>
        <v/>
      </c>
      <c r="I590" s="16" t="str">
        <f aca="false">IF(INDEX(選手一覧!$J$7:$J$2738,$F590)="","",INDEX(選手一覧!$J$7:$J$2738,$F590))</f>
        <v/>
      </c>
      <c r="J590" s="17" t="str">
        <f aca="false">IF(INDEX(選手一覧!$K$7:$K$2738,$F590)="","",INDEX(選手一覧!$K$7:$K$2738,$F590))</f>
        <v/>
      </c>
    </row>
    <row r="591" customFormat="false" ht="15" hidden="false" customHeight="false" outlineLevel="0" collapsed="false">
      <c r="A591" s="17" t="n">
        <v>587</v>
      </c>
      <c r="B591" s="12" t="s">
        <v>1015</v>
      </c>
      <c r="C591" s="12" t="s">
        <v>129</v>
      </c>
      <c r="D591" s="16" t="n">
        <v>0.0107016203703704</v>
      </c>
      <c r="E591" s="15" t="n">
        <f aca="false">ROUND((D591-$D$5)*86400,2)</f>
        <v>134.88</v>
      </c>
      <c r="F591" s="17" t="n">
        <v>586</v>
      </c>
      <c r="G591" s="16" t="n">
        <f aca="false">IF(INDEX(選手一覧!$H$7:$H$2738,$F591)="","",INDEX(選手一覧!$H$7:$H$2738,$F591))</f>
        <v>0.00677569444444444</v>
      </c>
      <c r="H591" s="17" t="n">
        <f aca="false">IF(INDEX(選手一覧!$I$7:$I$2738,$F591)="","",INDEX(選手一覧!$I$7:$I$2738,$F591))</f>
        <v>152</v>
      </c>
      <c r="I591" s="16" t="n">
        <f aca="false">IF(INDEX(選手一覧!$J$7:$J$2738,$F591)="","",INDEX(選手一覧!$J$7:$J$2738,$F591))</f>
        <v>0.00289988425925926</v>
      </c>
      <c r="J591" s="17" t="n">
        <f aca="false">IF(INDEX(選手一覧!$K$7:$K$2738,$F591)="","",INDEX(選手一覧!$K$7:$K$2738,$F591))</f>
        <v>946</v>
      </c>
    </row>
    <row r="592" customFormat="false" ht="15" hidden="false" customHeight="false" outlineLevel="0" collapsed="false">
      <c r="A592" s="17" t="n">
        <v>588</v>
      </c>
      <c r="B592" s="12" t="s">
        <v>1017</v>
      </c>
      <c r="C592" s="12" t="s">
        <v>290</v>
      </c>
      <c r="D592" s="16" t="n">
        <v>0.0107028935185185</v>
      </c>
      <c r="E592" s="15" t="n">
        <f aca="false">ROUND((D592-$D$5)*86400,2)</f>
        <v>134.99</v>
      </c>
      <c r="F592" s="17" t="n">
        <v>587</v>
      </c>
      <c r="G592" s="16" t="str">
        <f aca="false">IF(INDEX(選手一覧!$H$7:$H$2738,$F592)="","",INDEX(選手一覧!$H$7:$H$2738,$F592))</f>
        <v/>
      </c>
      <c r="H592" s="17" t="str">
        <f aca="false">IF(INDEX(選手一覧!$I$7:$I$2738,$F592)="","",INDEX(選手一覧!$I$7:$I$2738,$F592))</f>
        <v/>
      </c>
      <c r="I592" s="16" t="str">
        <f aca="false">IF(INDEX(選手一覧!$J$7:$J$2738,$F592)="","",INDEX(選手一覧!$J$7:$J$2738,$F592))</f>
        <v/>
      </c>
      <c r="J592" s="17" t="str">
        <f aca="false">IF(INDEX(選手一覧!$K$7:$K$2738,$F592)="","",INDEX(選手一覧!$K$7:$K$2738,$F592))</f>
        <v/>
      </c>
    </row>
    <row r="593" customFormat="false" ht="15" hidden="false" customHeight="false" outlineLevel="0" collapsed="false">
      <c r="A593" s="17" t="n">
        <v>589</v>
      </c>
      <c r="B593" s="12" t="s">
        <v>1018</v>
      </c>
      <c r="C593" s="12" t="s">
        <v>406</v>
      </c>
      <c r="D593" s="16" t="n">
        <v>0.010703587962963</v>
      </c>
      <c r="E593" s="15" t="n">
        <f aca="false">ROUND((D593-$D$5)*86400,2)</f>
        <v>135.05</v>
      </c>
      <c r="F593" s="17" t="n">
        <v>588</v>
      </c>
      <c r="G593" s="16" t="n">
        <f aca="false">IF(INDEX(選手一覧!$H$7:$H$2738,$F593)="","",INDEX(選手一覧!$H$7:$H$2738,$F593))</f>
        <v>0.00671666666666667</v>
      </c>
      <c r="H593" s="17" t="n">
        <f aca="false">IF(INDEX(選手一覧!$I$7:$I$2738,$F593)="","",INDEX(選手一覧!$I$7:$I$2738,$F593))</f>
        <v>113</v>
      </c>
      <c r="I593" s="16" t="str">
        <f aca="false">IF(INDEX(選手一覧!$J$7:$J$2738,$F593)="","",INDEX(選手一覧!$J$7:$J$2738,$F593))</f>
        <v/>
      </c>
      <c r="J593" s="17" t="str">
        <f aca="false">IF(INDEX(選手一覧!$K$7:$K$2738,$F593)="","",INDEX(選手一覧!$K$7:$K$2738,$F593))</f>
        <v/>
      </c>
    </row>
    <row r="594" customFormat="false" ht="15" hidden="false" customHeight="false" outlineLevel="0" collapsed="false">
      <c r="A594" s="17" t="n">
        <v>590</v>
      </c>
      <c r="B594" s="12" t="s">
        <v>1019</v>
      </c>
      <c r="C594" s="12" t="s">
        <v>875</v>
      </c>
      <c r="D594" s="16" t="n">
        <v>0.01070625</v>
      </c>
      <c r="E594" s="15" t="n">
        <f aca="false">ROUND((D594-$D$5)*86400,2)</f>
        <v>135.28</v>
      </c>
      <c r="F594" s="17" t="n">
        <v>589</v>
      </c>
      <c r="G594" s="16" t="str">
        <f aca="false">IF(INDEX(選手一覧!$H$7:$H$2738,$F594)="","",INDEX(選手一覧!$H$7:$H$2738,$F594))</f>
        <v/>
      </c>
      <c r="H594" s="17" t="str">
        <f aca="false">IF(INDEX(選手一覧!$I$7:$I$2738,$F594)="","",INDEX(選手一覧!$I$7:$I$2738,$F594))</f>
        <v/>
      </c>
      <c r="I594" s="16" t="n">
        <f aca="false">IF(INDEX(選手一覧!$J$7:$J$2738,$F594)="","",INDEX(選手一覧!$J$7:$J$2738,$F594))</f>
        <v>0.00276585648148148</v>
      </c>
      <c r="J594" s="17" t="n">
        <f aca="false">IF(INDEX(選手一覧!$K$7:$K$2738,$F594)="","",INDEX(選手一覧!$K$7:$K$2738,$F594))</f>
        <v>151</v>
      </c>
    </row>
    <row r="595" customFormat="false" ht="15" hidden="false" customHeight="false" outlineLevel="0" collapsed="false">
      <c r="A595" s="17" t="n">
        <v>591</v>
      </c>
      <c r="B595" s="12" t="s">
        <v>1021</v>
      </c>
      <c r="C595" s="12" t="s">
        <v>99</v>
      </c>
      <c r="D595" s="16" t="n">
        <v>0.01070625</v>
      </c>
      <c r="E595" s="15" t="n">
        <f aca="false">ROUND((D595-$D$5)*86400,2)</f>
        <v>135.28</v>
      </c>
      <c r="F595" s="17" t="n">
        <v>590</v>
      </c>
      <c r="G595" s="16" t="str">
        <f aca="false">IF(INDEX(選手一覧!$H$7:$H$2738,$F595)="","",INDEX(選手一覧!$H$7:$H$2738,$F595))</f>
        <v/>
      </c>
      <c r="H595" s="17" t="str">
        <f aca="false">IF(INDEX(選手一覧!$I$7:$I$2738,$F595)="","",INDEX(選手一覧!$I$7:$I$2738,$F595))</f>
        <v/>
      </c>
      <c r="I595" s="16" t="str">
        <f aca="false">IF(INDEX(選手一覧!$J$7:$J$2738,$F595)="","",INDEX(選手一覧!$J$7:$J$2738,$F595))</f>
        <v/>
      </c>
      <c r="J595" s="17" t="str">
        <f aca="false">IF(INDEX(選手一覧!$K$7:$K$2738,$F595)="","",INDEX(選手一覧!$K$7:$K$2738,$F595))</f>
        <v/>
      </c>
    </row>
    <row r="596" customFormat="false" ht="15" hidden="false" customHeight="false" outlineLevel="0" collapsed="false">
      <c r="A596" s="17" t="n">
        <v>592</v>
      </c>
      <c r="B596" s="12" t="s">
        <v>1022</v>
      </c>
      <c r="C596" s="12" t="s">
        <v>137</v>
      </c>
      <c r="D596" s="16" t="n">
        <v>0.0107072916666667</v>
      </c>
      <c r="E596" s="15" t="n">
        <f aca="false">ROUND((D596-$D$5)*86400,2)</f>
        <v>135.37</v>
      </c>
      <c r="F596" s="17" t="n">
        <v>591</v>
      </c>
      <c r="G596" s="16" t="n">
        <f aca="false">IF(INDEX(選手一覧!$H$7:$H$2738,$F596)="","",INDEX(選手一覧!$H$7:$H$2738,$F596))</f>
        <v>0.0071912037037037</v>
      </c>
      <c r="H596" s="17" t="n">
        <f aca="false">IF(INDEX(選手一覧!$I$7:$I$2738,$F596)="","",INDEX(選手一覧!$I$7:$I$2738,$F596))</f>
        <v>529</v>
      </c>
      <c r="I596" s="16" t="n">
        <f aca="false">IF(INDEX(選手一覧!$J$7:$J$2738,$F596)="","",INDEX(選手一覧!$J$7:$J$2738,$F596))</f>
        <v>0.00282974537037037</v>
      </c>
      <c r="J596" s="17" t="n">
        <f aca="false">IF(INDEX(選手一覧!$K$7:$K$2738,$F596)="","",INDEX(選手一覧!$K$7:$K$2738,$F596))</f>
        <v>426</v>
      </c>
    </row>
    <row r="597" customFormat="false" ht="15" hidden="false" customHeight="false" outlineLevel="0" collapsed="false">
      <c r="A597" s="17" t="n">
        <v>593</v>
      </c>
      <c r="B597" s="12" t="s">
        <v>1023</v>
      </c>
      <c r="C597" s="12" t="s">
        <v>63</v>
      </c>
      <c r="D597" s="16" t="n">
        <v>0.0107074074074074</v>
      </c>
      <c r="E597" s="15" t="n">
        <f aca="false">ROUND((D597-$D$5)*86400,2)</f>
        <v>135.38</v>
      </c>
      <c r="F597" s="17" t="n">
        <v>592</v>
      </c>
      <c r="G597" s="16" t="n">
        <f aca="false">IF(INDEX(選手一覧!$H$7:$H$2738,$F597)="","",INDEX(選手一覧!$H$7:$H$2738,$F597))</f>
        <v>0.00683229166666667</v>
      </c>
      <c r="H597" s="17" t="n">
        <f aca="false">IF(INDEX(選手一覧!$I$7:$I$2738,$F597)="","",INDEX(選手一覧!$I$7:$I$2738,$F597))</f>
        <v>194</v>
      </c>
      <c r="I597" s="16" t="str">
        <f aca="false">IF(INDEX(選手一覧!$J$7:$J$2738,$F597)="","",INDEX(選手一覧!$J$7:$J$2738,$F597))</f>
        <v/>
      </c>
      <c r="J597" s="17" t="str">
        <f aca="false">IF(INDEX(選手一覧!$K$7:$K$2738,$F597)="","",INDEX(選手一覧!$K$7:$K$2738,$F597))</f>
        <v/>
      </c>
    </row>
    <row r="598" customFormat="false" ht="15" hidden="false" customHeight="false" outlineLevel="0" collapsed="false">
      <c r="A598" s="17" t="n">
        <v>594</v>
      </c>
      <c r="B598" s="12" t="s">
        <v>1024</v>
      </c>
      <c r="C598" s="12" t="s">
        <v>240</v>
      </c>
      <c r="D598" s="16" t="n">
        <v>0.0107076388888889</v>
      </c>
      <c r="E598" s="15" t="n">
        <f aca="false">ROUND((D598-$D$5)*86400,2)</f>
        <v>135.4</v>
      </c>
      <c r="F598" s="17" t="n">
        <v>593</v>
      </c>
      <c r="G598" s="16" t="n">
        <f aca="false">IF(INDEX(選手一覧!$H$7:$H$2738,$F598)="","",INDEX(選手一覧!$H$7:$H$2738,$F598))</f>
        <v>0.00700706018518519</v>
      </c>
      <c r="H598" s="17" t="n">
        <f aca="false">IF(INDEX(選手一覧!$I$7:$I$2738,$F598)="","",INDEX(選手一覧!$I$7:$I$2738,$F598))</f>
        <v>345</v>
      </c>
      <c r="I598" s="16" t="n">
        <f aca="false">IF(INDEX(選手一覧!$J$7:$J$2738,$F598)="","",INDEX(選手一覧!$J$7:$J$2738,$F598))</f>
        <v>0.00293472222222222</v>
      </c>
      <c r="J598" s="17" t="n">
        <f aca="false">IF(INDEX(選手一覧!$K$7:$K$2738,$F598)="","",INDEX(選手一覧!$K$7:$K$2738,$F598))</f>
        <v>1185</v>
      </c>
    </row>
    <row r="599" customFormat="false" ht="15" hidden="false" customHeight="false" outlineLevel="0" collapsed="false">
      <c r="A599" s="17" t="n">
        <v>595</v>
      </c>
      <c r="B599" s="12" t="s">
        <v>1025</v>
      </c>
      <c r="C599" s="12" t="s">
        <v>623</v>
      </c>
      <c r="D599" s="16" t="n">
        <v>0.0107081018518519</v>
      </c>
      <c r="E599" s="15" t="n">
        <f aca="false">ROUND((D599-$D$5)*86400,2)</f>
        <v>135.44</v>
      </c>
      <c r="F599" s="17" t="n">
        <v>594</v>
      </c>
      <c r="G599" s="16" t="str">
        <f aca="false">IF(INDEX(選手一覧!$H$7:$H$2738,$F599)="","",INDEX(選手一覧!$H$7:$H$2738,$F599))</f>
        <v/>
      </c>
      <c r="H599" s="17" t="str">
        <f aca="false">IF(INDEX(選手一覧!$I$7:$I$2738,$F599)="","",INDEX(選手一覧!$I$7:$I$2738,$F599))</f>
        <v/>
      </c>
      <c r="I599" s="16" t="n">
        <f aca="false">IF(INDEX(選手一覧!$J$7:$J$2738,$F599)="","",INDEX(選手一覧!$J$7:$J$2738,$F599))</f>
        <v>0.00285115740740741</v>
      </c>
      <c r="J599" s="17" t="n">
        <f aca="false">IF(INDEX(選手一覧!$K$7:$K$2738,$F599)="","",INDEX(選手一覧!$K$7:$K$2738,$F599))</f>
        <v>576</v>
      </c>
    </row>
    <row r="600" customFormat="false" ht="15" hidden="false" customHeight="false" outlineLevel="0" collapsed="false">
      <c r="A600" s="17" t="n">
        <v>596</v>
      </c>
      <c r="B600" s="12" t="s">
        <v>1027</v>
      </c>
      <c r="C600" s="12" t="s">
        <v>1028</v>
      </c>
      <c r="D600" s="16" t="n">
        <v>0.0107082175925926</v>
      </c>
      <c r="E600" s="15" t="n">
        <f aca="false">ROUND((D600-$D$5)*86400,2)</f>
        <v>135.45</v>
      </c>
      <c r="F600" s="17" t="n">
        <v>595</v>
      </c>
      <c r="G600" s="16" t="str">
        <f aca="false">IF(INDEX(選手一覧!$H$7:$H$2738,$F600)="","",INDEX(選手一覧!$H$7:$H$2738,$F600))</f>
        <v/>
      </c>
      <c r="H600" s="17" t="str">
        <f aca="false">IF(INDEX(選手一覧!$I$7:$I$2738,$F600)="","",INDEX(選手一覧!$I$7:$I$2738,$F600))</f>
        <v/>
      </c>
      <c r="I600" s="16" t="str">
        <f aca="false">IF(INDEX(選手一覧!$J$7:$J$2738,$F600)="","",INDEX(選手一覧!$J$7:$J$2738,$F600))</f>
        <v/>
      </c>
      <c r="J600" s="17" t="str">
        <f aca="false">IF(INDEX(選手一覧!$K$7:$K$2738,$F600)="","",INDEX(選手一覧!$K$7:$K$2738,$F600))</f>
        <v/>
      </c>
    </row>
    <row r="601" customFormat="false" ht="15" hidden="false" customHeight="false" outlineLevel="0" collapsed="false">
      <c r="A601" s="17" t="n">
        <v>597</v>
      </c>
      <c r="B601" s="12" t="s">
        <v>1029</v>
      </c>
      <c r="C601" s="12" t="s">
        <v>348</v>
      </c>
      <c r="D601" s="16" t="n">
        <v>0.0107082175925926</v>
      </c>
      <c r="E601" s="15" t="n">
        <f aca="false">ROUND((D601-$D$5)*86400,2)</f>
        <v>135.45</v>
      </c>
      <c r="F601" s="17" t="n">
        <v>596</v>
      </c>
      <c r="G601" s="16" t="str">
        <f aca="false">IF(INDEX(選手一覧!$H$7:$H$2738,$F601)="","",INDEX(選手一覧!$H$7:$H$2738,$F601))</f>
        <v/>
      </c>
      <c r="H601" s="17" t="str">
        <f aca="false">IF(INDEX(選手一覧!$I$7:$I$2738,$F601)="","",INDEX(選手一覧!$I$7:$I$2738,$F601))</f>
        <v/>
      </c>
      <c r="I601" s="16" t="n">
        <f aca="false">IF(INDEX(選手一覧!$J$7:$J$2738,$F601)="","",INDEX(選手一覧!$J$7:$J$2738,$F601))</f>
        <v>0.00273611111111111</v>
      </c>
      <c r="J601" s="17" t="n">
        <f aca="false">IF(INDEX(選手一覧!$K$7:$K$2738,$F601)="","",INDEX(選手一覧!$K$7:$K$2738,$F601))</f>
        <v>77</v>
      </c>
    </row>
    <row r="602" customFormat="false" ht="15" hidden="false" customHeight="false" outlineLevel="0" collapsed="false">
      <c r="A602" s="17" t="n">
        <v>598</v>
      </c>
      <c r="B602" s="12" t="s">
        <v>1031</v>
      </c>
      <c r="C602" s="12" t="s">
        <v>648</v>
      </c>
      <c r="D602" s="16" t="n">
        <v>0.010708912037037</v>
      </c>
      <c r="E602" s="15" t="n">
        <f aca="false">ROUND((D602-$D$5)*86400,2)</f>
        <v>135.51</v>
      </c>
      <c r="F602" s="17" t="n">
        <v>597</v>
      </c>
      <c r="G602" s="16" t="str">
        <f aca="false">IF(INDEX(選手一覧!$H$7:$H$2738,$F602)="","",INDEX(選手一覧!$H$7:$H$2738,$F602))</f>
        <v/>
      </c>
      <c r="H602" s="17" t="str">
        <f aca="false">IF(INDEX(選手一覧!$I$7:$I$2738,$F602)="","",INDEX(選手一覧!$I$7:$I$2738,$F602))</f>
        <v/>
      </c>
      <c r="I602" s="16" t="n">
        <f aca="false">IF(INDEX(選手一覧!$J$7:$J$2738,$F602)="","",INDEX(選手一覧!$J$7:$J$2738,$F602))</f>
        <v>0.00287673611111111</v>
      </c>
      <c r="J602" s="17" t="n">
        <f aca="false">IF(INDEX(選手一覧!$K$7:$K$2738,$F602)="","",INDEX(選手一覧!$K$7:$K$2738,$F602))</f>
        <v>745</v>
      </c>
    </row>
    <row r="603" customFormat="false" ht="15" hidden="false" customHeight="false" outlineLevel="0" collapsed="false">
      <c r="A603" s="17" t="n">
        <v>599</v>
      </c>
      <c r="B603" s="12" t="s">
        <v>1032</v>
      </c>
      <c r="C603" s="12" t="s">
        <v>80</v>
      </c>
      <c r="D603" s="16" t="n">
        <v>0.0107099537037037</v>
      </c>
      <c r="E603" s="15" t="n">
        <f aca="false">ROUND((D603-$D$5)*86400,2)</f>
        <v>135.6</v>
      </c>
      <c r="F603" s="17" t="n">
        <v>598</v>
      </c>
      <c r="G603" s="16" t="str">
        <f aca="false">IF(INDEX(選手一覧!$H$7:$H$2738,$F603)="","",INDEX(選手一覧!$H$7:$H$2738,$F603))</f>
        <v/>
      </c>
      <c r="H603" s="17" t="str">
        <f aca="false">IF(INDEX(選手一覧!$I$7:$I$2738,$F603)="","",INDEX(選手一覧!$I$7:$I$2738,$F603))</f>
        <v/>
      </c>
      <c r="I603" s="16" t="n">
        <f aca="false">IF(INDEX(選手一覧!$J$7:$J$2738,$F603)="","",INDEX(選手一覧!$J$7:$J$2738,$F603))</f>
        <v>0.00274537037037037</v>
      </c>
      <c r="J603" s="17" t="n">
        <f aca="false">IF(INDEX(選手一覧!$K$7:$K$2738,$F603)="","",INDEX(選手一覧!$K$7:$K$2738,$F603))</f>
        <v>91</v>
      </c>
    </row>
    <row r="604" customFormat="false" ht="15" hidden="false" customHeight="false" outlineLevel="0" collapsed="false">
      <c r="A604" s="17" t="n">
        <v>600</v>
      </c>
      <c r="B604" s="12" t="s">
        <v>1033</v>
      </c>
      <c r="C604" s="12" t="s">
        <v>199</v>
      </c>
      <c r="D604" s="16" t="n">
        <v>0.0107121527777778</v>
      </c>
      <c r="E604" s="15" t="n">
        <f aca="false">ROUND((D604-$D$5)*86400,2)</f>
        <v>135.79</v>
      </c>
      <c r="F604" s="17" t="n">
        <v>599</v>
      </c>
      <c r="G604" s="16" t="str">
        <f aca="false">IF(INDEX(選手一覧!$H$7:$H$2738,$F604)="","",INDEX(選手一覧!$H$7:$H$2738,$F604))</f>
        <v/>
      </c>
      <c r="H604" s="17" t="str">
        <f aca="false">IF(INDEX(選手一覧!$I$7:$I$2738,$F604)="","",INDEX(選手一覧!$I$7:$I$2738,$F604))</f>
        <v/>
      </c>
      <c r="I604" s="16" t="n">
        <f aca="false">IF(INDEX(選手一覧!$J$7:$J$2738,$F604)="","",INDEX(選手一覧!$J$7:$J$2738,$F604))</f>
        <v>0.00283576388888889</v>
      </c>
      <c r="J604" s="17" t="n">
        <f aca="false">IF(INDEX(選手一覧!$K$7:$K$2738,$F604)="","",INDEX(選手一覧!$K$7:$K$2738,$F604))</f>
        <v>469</v>
      </c>
    </row>
    <row r="605" customFormat="false" ht="15" hidden="false" customHeight="false" outlineLevel="0" collapsed="false">
      <c r="A605" s="17" t="n">
        <v>601</v>
      </c>
      <c r="B605" s="12" t="s">
        <v>1034</v>
      </c>
      <c r="C605" s="12" t="s">
        <v>1035</v>
      </c>
      <c r="D605" s="16" t="n">
        <v>0.0107128472222222</v>
      </c>
      <c r="E605" s="15" t="n">
        <f aca="false">ROUND((D605-$D$5)*86400,2)</f>
        <v>135.85</v>
      </c>
      <c r="F605" s="17" t="n">
        <v>600</v>
      </c>
      <c r="G605" s="16" t="str">
        <f aca="false">IF(INDEX(選手一覧!$H$7:$H$2738,$F605)="","",INDEX(選手一覧!$H$7:$H$2738,$F605))</f>
        <v/>
      </c>
      <c r="H605" s="17" t="str">
        <f aca="false">IF(INDEX(選手一覧!$I$7:$I$2738,$F605)="","",INDEX(選手一覧!$I$7:$I$2738,$F605))</f>
        <v/>
      </c>
      <c r="I605" s="16" t="n">
        <f aca="false">IF(INDEX(選手一覧!$J$7:$J$2738,$F605)="","",INDEX(選手一覧!$J$7:$J$2738,$F605))</f>
        <v>0.00289988425925926</v>
      </c>
      <c r="J605" s="17" t="n">
        <f aca="false">IF(INDEX(選手一覧!$K$7:$K$2738,$F605)="","",INDEX(選手一覧!$K$7:$K$2738,$F605))</f>
        <v>944</v>
      </c>
    </row>
    <row r="606" customFormat="false" ht="15" hidden="false" customHeight="false" outlineLevel="0" collapsed="false">
      <c r="A606" s="17" t="n">
        <v>602</v>
      </c>
      <c r="B606" s="12" t="s">
        <v>1036</v>
      </c>
      <c r="C606" s="12" t="s">
        <v>415</v>
      </c>
      <c r="D606" s="16" t="n">
        <v>0.0107133101851852</v>
      </c>
      <c r="E606" s="15" t="n">
        <f aca="false">ROUND((D606-$D$5)*86400,2)</f>
        <v>135.89</v>
      </c>
      <c r="F606" s="17" t="n">
        <v>601</v>
      </c>
      <c r="G606" s="16" t="str">
        <f aca="false">IF(INDEX(選手一覧!$H$7:$H$2738,$F606)="","",INDEX(選手一覧!$H$7:$H$2738,$F606))</f>
        <v/>
      </c>
      <c r="H606" s="17" t="str">
        <f aca="false">IF(INDEX(選手一覧!$I$7:$I$2738,$F606)="","",INDEX(選手一覧!$I$7:$I$2738,$F606))</f>
        <v/>
      </c>
      <c r="I606" s="16" t="str">
        <f aca="false">IF(INDEX(選手一覧!$J$7:$J$2738,$F606)="","",INDEX(選手一覧!$J$7:$J$2738,$F606))</f>
        <v/>
      </c>
      <c r="J606" s="17" t="str">
        <f aca="false">IF(INDEX(選手一覧!$K$7:$K$2738,$F606)="","",INDEX(選手一覧!$K$7:$K$2738,$F606))</f>
        <v/>
      </c>
    </row>
    <row r="607" customFormat="false" ht="15" hidden="false" customHeight="false" outlineLevel="0" collapsed="false">
      <c r="A607" s="17" t="n">
        <v>603</v>
      </c>
      <c r="B607" s="12" t="s">
        <v>1037</v>
      </c>
      <c r="C607" s="12" t="s">
        <v>290</v>
      </c>
      <c r="D607" s="16" t="n">
        <v>0.0107142361111111</v>
      </c>
      <c r="E607" s="15" t="n">
        <f aca="false">ROUND((D607-$D$5)*86400,2)</f>
        <v>135.97</v>
      </c>
      <c r="F607" s="17" t="n">
        <v>602</v>
      </c>
      <c r="G607" s="16" t="n">
        <f aca="false">IF(INDEX(選手一覧!$H$7:$H$2738,$F607)="","",INDEX(選手一覧!$H$7:$H$2738,$F607))</f>
        <v>0.00700081018518519</v>
      </c>
      <c r="H607" s="17" t="n">
        <f aca="false">IF(INDEX(選手一覧!$I$7:$I$2738,$F607)="","",INDEX(選手一覧!$I$7:$I$2738,$F607))</f>
        <v>338</v>
      </c>
      <c r="I607" s="16" t="n">
        <f aca="false">IF(INDEX(選手一覧!$J$7:$J$2738,$F607)="","",INDEX(選手一覧!$J$7:$J$2738,$F607))</f>
        <v>0.00286875</v>
      </c>
      <c r="J607" s="17" t="n">
        <f aca="false">IF(INDEX(選手一覧!$K$7:$K$2738,$F607)="","",INDEX(選手一覧!$K$7:$K$2738,$F607))</f>
        <v>686</v>
      </c>
    </row>
    <row r="608" customFormat="false" ht="15" hidden="false" customHeight="false" outlineLevel="0" collapsed="false">
      <c r="A608" s="17" t="n">
        <v>604</v>
      </c>
      <c r="B608" s="12" t="s">
        <v>1038</v>
      </c>
      <c r="C608" s="12" t="s">
        <v>65</v>
      </c>
      <c r="D608" s="16" t="n">
        <v>0.0107144675925926</v>
      </c>
      <c r="E608" s="15" t="n">
        <f aca="false">ROUND((D608-$D$5)*86400,2)</f>
        <v>135.99</v>
      </c>
      <c r="F608" s="17" t="n">
        <v>603</v>
      </c>
      <c r="G608" s="16" t="str">
        <f aca="false">IF(INDEX(選手一覧!$H$7:$H$2738,$F608)="","",INDEX(選手一覧!$H$7:$H$2738,$F608))</f>
        <v/>
      </c>
      <c r="H608" s="17" t="str">
        <f aca="false">IF(INDEX(選手一覧!$I$7:$I$2738,$F608)="","",INDEX(選手一覧!$I$7:$I$2738,$F608))</f>
        <v/>
      </c>
      <c r="I608" s="16" t="n">
        <f aca="false">IF(INDEX(選手一覧!$J$7:$J$2738,$F608)="","",INDEX(選手一覧!$J$7:$J$2738,$F608))</f>
        <v>0.00280671296296296</v>
      </c>
      <c r="J608" s="17" t="n">
        <f aca="false">IF(INDEX(選手一覧!$K$7:$K$2738,$F608)="","",INDEX(選手一覧!$K$7:$K$2738,$F608))</f>
        <v>310</v>
      </c>
    </row>
    <row r="609" customFormat="false" ht="15" hidden="false" customHeight="false" outlineLevel="0" collapsed="false">
      <c r="A609" s="17" t="n">
        <v>605</v>
      </c>
      <c r="B609" s="12" t="s">
        <v>1039</v>
      </c>
      <c r="C609" s="12" t="s">
        <v>401</v>
      </c>
      <c r="D609" s="16" t="n">
        <v>0.0107153935185185</v>
      </c>
      <c r="E609" s="15" t="n">
        <f aca="false">ROUND((D609-$D$5)*86400,2)</f>
        <v>136.07</v>
      </c>
      <c r="F609" s="17" t="n">
        <v>604</v>
      </c>
      <c r="G609" s="16" t="str">
        <f aca="false">IF(INDEX(選手一覧!$H$7:$H$2738,$F609)="","",INDEX(選手一覧!$H$7:$H$2738,$F609))</f>
        <v/>
      </c>
      <c r="H609" s="17" t="str">
        <f aca="false">IF(INDEX(選手一覧!$I$7:$I$2738,$F609)="","",INDEX(選手一覧!$I$7:$I$2738,$F609))</f>
        <v/>
      </c>
      <c r="I609" s="16" t="n">
        <f aca="false">IF(INDEX(選手一覧!$J$7:$J$2738,$F609)="","",INDEX(選手一覧!$J$7:$J$2738,$F609))</f>
        <v>0.00294710648148148</v>
      </c>
      <c r="J609" s="17" t="n">
        <f aca="false">IF(INDEX(選手一覧!$K$7:$K$2738,$F609)="","",INDEX(選手一覧!$K$7:$K$2738,$F609))</f>
        <v>1224</v>
      </c>
    </row>
    <row r="610" customFormat="false" ht="15" hidden="false" customHeight="false" outlineLevel="0" collapsed="false">
      <c r="A610" s="17" t="n">
        <v>606</v>
      </c>
      <c r="B610" s="12" t="s">
        <v>1040</v>
      </c>
      <c r="C610" s="12" t="s">
        <v>632</v>
      </c>
      <c r="D610" s="16" t="n">
        <v>0.0107155092592593</v>
      </c>
      <c r="E610" s="15" t="n">
        <f aca="false">ROUND((D610-$D$5)*86400,2)</f>
        <v>136.08</v>
      </c>
      <c r="F610" s="17" t="n">
        <v>605</v>
      </c>
      <c r="G610" s="16" t="str">
        <f aca="false">IF(INDEX(選手一覧!$H$7:$H$2738,$F610)="","",INDEX(選手一覧!$H$7:$H$2738,$F610))</f>
        <v/>
      </c>
      <c r="H610" s="17" t="str">
        <f aca="false">IF(INDEX(選手一覧!$I$7:$I$2738,$F610)="","",INDEX(選手一覧!$I$7:$I$2738,$F610))</f>
        <v/>
      </c>
      <c r="I610" s="16" t="str">
        <f aca="false">IF(INDEX(選手一覧!$J$7:$J$2738,$F610)="","",INDEX(選手一覧!$J$7:$J$2738,$F610))</f>
        <v/>
      </c>
      <c r="J610" s="17" t="str">
        <f aca="false">IF(INDEX(選手一覧!$K$7:$K$2738,$F610)="","",INDEX(選手一覧!$K$7:$K$2738,$F610))</f>
        <v/>
      </c>
    </row>
    <row r="611" customFormat="false" ht="15" hidden="false" customHeight="false" outlineLevel="0" collapsed="false">
      <c r="A611" s="17" t="n">
        <v>607</v>
      </c>
      <c r="B611" s="12" t="s">
        <v>1041</v>
      </c>
      <c r="C611" s="12" t="s">
        <v>125</v>
      </c>
      <c r="D611" s="16" t="n">
        <v>0.0107158564814815</v>
      </c>
      <c r="E611" s="15" t="n">
        <f aca="false">ROUND((D611-$D$5)*86400,2)</f>
        <v>136.11</v>
      </c>
      <c r="F611" s="17" t="n">
        <v>606</v>
      </c>
      <c r="G611" s="16" t="str">
        <f aca="false">IF(INDEX(選手一覧!$H$7:$H$2738,$F611)="","",INDEX(選手一覧!$H$7:$H$2738,$F611))</f>
        <v/>
      </c>
      <c r="H611" s="17" t="str">
        <f aca="false">IF(INDEX(選手一覧!$I$7:$I$2738,$F611)="","",INDEX(選手一覧!$I$7:$I$2738,$F611))</f>
        <v/>
      </c>
      <c r="I611" s="16" t="n">
        <f aca="false">IF(INDEX(選手一覧!$J$7:$J$2738,$F611)="","",INDEX(選手一覧!$J$7:$J$2738,$F611))</f>
        <v>0.0027556712962963</v>
      </c>
      <c r="J611" s="17" t="n">
        <f aca="false">IF(INDEX(選手一覧!$K$7:$K$2738,$F611)="","",INDEX(選手一覧!$K$7:$K$2738,$F611))</f>
        <v>122</v>
      </c>
    </row>
    <row r="612" customFormat="false" ht="15" hidden="false" customHeight="false" outlineLevel="0" collapsed="false">
      <c r="A612" s="17" t="n">
        <v>608</v>
      </c>
      <c r="B612" s="12" t="s">
        <v>1042</v>
      </c>
      <c r="C612" s="12" t="s">
        <v>193</v>
      </c>
      <c r="D612" s="16" t="n">
        <v>0.010716087962963</v>
      </c>
      <c r="E612" s="15" t="n">
        <f aca="false">ROUND((D612-$D$5)*86400,2)</f>
        <v>136.13</v>
      </c>
      <c r="F612" s="17" t="n">
        <v>607</v>
      </c>
      <c r="G612" s="16" t="n">
        <f aca="false">IF(INDEX(選手一覧!$H$7:$H$2738,$F612)="","",INDEX(選手一覧!$H$7:$H$2738,$F612))</f>
        <v>0.00634525462962963</v>
      </c>
      <c r="H612" s="17" t="n">
        <f aca="false">IF(INDEX(選手一覧!$I$7:$I$2738,$F612)="","",INDEX(選手一覧!$I$7:$I$2738,$F612))</f>
        <v>9</v>
      </c>
      <c r="I612" s="16" t="n">
        <f aca="false">IF(INDEX(選手一覧!$J$7:$J$2738,$F612)="","",INDEX(選手一覧!$J$7:$J$2738,$F612))</f>
        <v>0.00277592592592593</v>
      </c>
      <c r="J612" s="17" t="n">
        <f aca="false">IF(INDEX(選手一覧!$K$7:$K$2738,$F612)="","",INDEX(選手一覧!$K$7:$K$2738,$F612))</f>
        <v>180</v>
      </c>
    </row>
    <row r="613" customFormat="false" ht="15" hidden="false" customHeight="false" outlineLevel="0" collapsed="false">
      <c r="A613" s="17" t="n">
        <v>609</v>
      </c>
      <c r="B613" s="12" t="s">
        <v>1043</v>
      </c>
      <c r="C613" s="12" t="s">
        <v>601</v>
      </c>
      <c r="D613" s="16" t="n">
        <v>0.0107168981481482</v>
      </c>
      <c r="E613" s="15" t="n">
        <f aca="false">ROUND((D613-$D$5)*86400,2)</f>
        <v>136.2</v>
      </c>
      <c r="F613" s="17" t="n">
        <v>608</v>
      </c>
      <c r="G613" s="16" t="str">
        <f aca="false">IF(INDEX(選手一覧!$H$7:$H$2738,$F613)="","",INDEX(選手一覧!$H$7:$H$2738,$F613))</f>
        <v/>
      </c>
      <c r="H613" s="17" t="str">
        <f aca="false">IF(INDEX(選手一覧!$I$7:$I$2738,$F613)="","",INDEX(選手一覧!$I$7:$I$2738,$F613))</f>
        <v/>
      </c>
      <c r="I613" s="16" t="str">
        <f aca="false">IF(INDEX(選手一覧!$J$7:$J$2738,$F613)="","",INDEX(選手一覧!$J$7:$J$2738,$F613))</f>
        <v/>
      </c>
      <c r="J613" s="17" t="str">
        <f aca="false">IF(INDEX(選手一覧!$K$7:$K$2738,$F613)="","",INDEX(選手一覧!$K$7:$K$2738,$F613))</f>
        <v/>
      </c>
    </row>
    <row r="614" customFormat="false" ht="15" hidden="false" customHeight="false" outlineLevel="0" collapsed="false">
      <c r="A614" s="17" t="n">
        <v>610</v>
      </c>
      <c r="B614" s="12" t="s">
        <v>1044</v>
      </c>
      <c r="C614" s="12" t="s">
        <v>674</v>
      </c>
      <c r="D614" s="16" t="n">
        <v>0.0107172453703704</v>
      </c>
      <c r="E614" s="15" t="n">
        <f aca="false">ROUND((D614-$D$5)*86400,2)</f>
        <v>136.23</v>
      </c>
      <c r="F614" s="17" t="n">
        <v>609</v>
      </c>
      <c r="G614" s="16" t="n">
        <f aca="false">IF(INDEX(選手一覧!$H$7:$H$2738,$F614)="","",INDEX(選手一覧!$H$7:$H$2738,$F614))</f>
        <v>0.00698078703703704</v>
      </c>
      <c r="H614" s="17" t="n">
        <f aca="false">IF(INDEX(選手一覧!$I$7:$I$2738,$F614)="","",INDEX(選手一覧!$I$7:$I$2738,$F614))</f>
        <v>314</v>
      </c>
      <c r="I614" s="16" t="str">
        <f aca="false">IF(INDEX(選手一覧!$J$7:$J$2738,$F614)="","",INDEX(選手一覧!$J$7:$J$2738,$F614))</f>
        <v/>
      </c>
      <c r="J614" s="17" t="str">
        <f aca="false">IF(INDEX(選手一覧!$K$7:$K$2738,$F614)="","",INDEX(選手一覧!$K$7:$K$2738,$F614))</f>
        <v/>
      </c>
    </row>
    <row r="615" customFormat="false" ht="15" hidden="false" customHeight="false" outlineLevel="0" collapsed="false">
      <c r="A615" s="17" t="n">
        <v>611</v>
      </c>
      <c r="B615" s="12" t="s">
        <v>1045</v>
      </c>
      <c r="C615" s="12" t="s">
        <v>415</v>
      </c>
      <c r="D615" s="16" t="n">
        <v>0.0107178240740741</v>
      </c>
      <c r="E615" s="15" t="n">
        <f aca="false">ROUND((D615-$D$5)*86400,2)</f>
        <v>136.28</v>
      </c>
      <c r="F615" s="17" t="n">
        <v>610</v>
      </c>
      <c r="G615" s="16" t="str">
        <f aca="false">IF(INDEX(選手一覧!$H$7:$H$2738,$F615)="","",INDEX(選手一覧!$H$7:$H$2738,$F615))</f>
        <v/>
      </c>
      <c r="H615" s="17" t="str">
        <f aca="false">IF(INDEX(選手一覧!$I$7:$I$2738,$F615)="","",INDEX(選手一覧!$I$7:$I$2738,$F615))</f>
        <v/>
      </c>
      <c r="I615" s="16" t="str">
        <f aca="false">IF(INDEX(選手一覧!$J$7:$J$2738,$F615)="","",INDEX(選手一覧!$J$7:$J$2738,$F615))</f>
        <v/>
      </c>
      <c r="J615" s="17" t="str">
        <f aca="false">IF(INDEX(選手一覧!$K$7:$K$2738,$F615)="","",INDEX(選手一覧!$K$7:$K$2738,$F615))</f>
        <v/>
      </c>
    </row>
    <row r="616" customFormat="false" ht="15" hidden="false" customHeight="false" outlineLevel="0" collapsed="false">
      <c r="A616" s="17" t="n">
        <v>612</v>
      </c>
      <c r="B616" s="12" t="s">
        <v>1046</v>
      </c>
      <c r="C616" s="12" t="s">
        <v>1047</v>
      </c>
      <c r="D616" s="16" t="n">
        <v>0.010719212962963</v>
      </c>
      <c r="E616" s="15" t="n">
        <f aca="false">ROUND((D616-$D$5)*86400,2)</f>
        <v>136.4</v>
      </c>
      <c r="F616" s="17" t="n">
        <v>611</v>
      </c>
      <c r="G616" s="16" t="str">
        <f aca="false">IF(INDEX(選手一覧!$H$7:$H$2738,$F616)="","",INDEX(選手一覧!$H$7:$H$2738,$F616))</f>
        <v/>
      </c>
      <c r="H616" s="17" t="str">
        <f aca="false">IF(INDEX(選手一覧!$I$7:$I$2738,$F616)="","",INDEX(選手一覧!$I$7:$I$2738,$F616))</f>
        <v/>
      </c>
      <c r="I616" s="16" t="n">
        <f aca="false">IF(INDEX(選手一覧!$J$7:$J$2738,$F616)="","",INDEX(選手一覧!$J$7:$J$2738,$F616))</f>
        <v>0.00290347222222222</v>
      </c>
      <c r="J616" s="17" t="n">
        <f aca="false">IF(INDEX(選手一覧!$K$7:$K$2738,$F616)="","",INDEX(選手一覧!$K$7:$K$2738,$F616))</f>
        <v>975</v>
      </c>
    </row>
    <row r="617" customFormat="false" ht="15" hidden="false" customHeight="false" outlineLevel="0" collapsed="false">
      <c r="A617" s="17" t="n">
        <v>613</v>
      </c>
      <c r="B617" s="12" t="s">
        <v>1048</v>
      </c>
      <c r="C617" s="12" t="s">
        <v>1049</v>
      </c>
      <c r="D617" s="16" t="n">
        <v>0.0107209490740741</v>
      </c>
      <c r="E617" s="15" t="n">
        <f aca="false">ROUND((D617-$D$5)*86400,2)</f>
        <v>136.55</v>
      </c>
      <c r="F617" s="17" t="n">
        <v>612</v>
      </c>
      <c r="G617" s="16" t="str">
        <f aca="false">IF(INDEX(選手一覧!$H$7:$H$2738,$F617)="","",INDEX(選手一覧!$H$7:$H$2738,$F617))</f>
        <v/>
      </c>
      <c r="H617" s="17" t="str">
        <f aca="false">IF(INDEX(選手一覧!$I$7:$I$2738,$F617)="","",INDEX(選手一覧!$I$7:$I$2738,$F617))</f>
        <v/>
      </c>
      <c r="I617" s="16" t="n">
        <f aca="false">IF(INDEX(選手一覧!$J$7:$J$2738,$F617)="","",INDEX(選手一覧!$J$7:$J$2738,$F617))</f>
        <v>0.0027568287037037</v>
      </c>
      <c r="J617" s="17" t="n">
        <f aca="false">IF(INDEX(選手一覧!$K$7:$K$2738,$F617)="","",INDEX(選手一覧!$K$7:$K$2738,$F617))</f>
        <v>126</v>
      </c>
    </row>
    <row r="618" customFormat="false" ht="15" hidden="false" customHeight="false" outlineLevel="0" collapsed="false">
      <c r="A618" s="17" t="n">
        <v>614</v>
      </c>
      <c r="B618" s="12" t="s">
        <v>1051</v>
      </c>
      <c r="C618" s="12" t="s">
        <v>968</v>
      </c>
      <c r="D618" s="16" t="n">
        <v>0.0107211805555556</v>
      </c>
      <c r="E618" s="15" t="n">
        <f aca="false">ROUND((D618-$D$5)*86400,2)</f>
        <v>136.57</v>
      </c>
      <c r="F618" s="17" t="n">
        <v>613</v>
      </c>
      <c r="G618" s="16" t="str">
        <f aca="false">IF(INDEX(選手一覧!$H$7:$H$2738,$F618)="","",INDEX(選手一覧!$H$7:$H$2738,$F618))</f>
        <v/>
      </c>
      <c r="H618" s="17" t="str">
        <f aca="false">IF(INDEX(選手一覧!$I$7:$I$2738,$F618)="","",INDEX(選手一覧!$I$7:$I$2738,$F618))</f>
        <v/>
      </c>
      <c r="I618" s="16" t="str">
        <f aca="false">IF(INDEX(選手一覧!$J$7:$J$2738,$F618)="","",INDEX(選手一覧!$J$7:$J$2738,$F618))</f>
        <v/>
      </c>
      <c r="J618" s="17" t="str">
        <f aca="false">IF(INDEX(選手一覧!$K$7:$K$2738,$F618)="","",INDEX(選手一覧!$K$7:$K$2738,$F618))</f>
        <v/>
      </c>
    </row>
    <row r="619" customFormat="false" ht="15" hidden="false" customHeight="false" outlineLevel="0" collapsed="false">
      <c r="A619" s="17" t="n">
        <v>615</v>
      </c>
      <c r="B619" s="12" t="s">
        <v>1052</v>
      </c>
      <c r="C619" s="12" t="s">
        <v>43</v>
      </c>
      <c r="D619" s="16" t="n">
        <v>0.0107228009259259</v>
      </c>
      <c r="E619" s="15" t="n">
        <f aca="false">ROUND((D619-$D$5)*86400,2)</f>
        <v>136.71</v>
      </c>
      <c r="F619" s="17" t="n">
        <v>614</v>
      </c>
      <c r="G619" s="16" t="n">
        <f aca="false">IF(INDEX(選手一覧!$H$7:$H$2738,$F619)="","",INDEX(選手一覧!$H$7:$H$2738,$F619))</f>
        <v>0.00667372685185185</v>
      </c>
      <c r="H619" s="17" t="n">
        <f aca="false">IF(INDEX(選手一覧!$I$7:$I$2738,$F619)="","",INDEX(選手一覧!$I$7:$I$2738,$F619))</f>
        <v>93</v>
      </c>
      <c r="I619" s="16" t="n">
        <f aca="false">IF(INDEX(選手一覧!$J$7:$J$2738,$F619)="","",INDEX(選手一覧!$J$7:$J$2738,$F619))</f>
        <v>0.00285810185185185</v>
      </c>
      <c r="J619" s="17" t="n">
        <f aca="false">IF(INDEX(選手一覧!$K$7:$K$2738,$F619)="","",INDEX(選手一覧!$K$7:$K$2738,$F619))</f>
        <v>622</v>
      </c>
    </row>
    <row r="620" customFormat="false" ht="15" hidden="false" customHeight="false" outlineLevel="0" collapsed="false">
      <c r="A620" s="17" t="n">
        <v>616</v>
      </c>
      <c r="B620" s="12" t="s">
        <v>1054</v>
      </c>
      <c r="C620" s="12" t="s">
        <v>532</v>
      </c>
      <c r="D620" s="16" t="n">
        <v>0.0107228009259259</v>
      </c>
      <c r="E620" s="15" t="n">
        <f aca="false">ROUND((D620-$D$5)*86400,2)</f>
        <v>136.71</v>
      </c>
      <c r="F620" s="17" t="n">
        <v>615</v>
      </c>
      <c r="G620" s="16" t="n">
        <f aca="false">IF(INDEX(選手一覧!$H$7:$H$2738,$F620)="","",INDEX(選手一覧!$H$7:$H$2738,$F620))</f>
        <v>0.00680914351851852</v>
      </c>
      <c r="H620" s="17" t="n">
        <f aca="false">IF(INDEX(選手一覧!$I$7:$I$2738,$F620)="","",INDEX(選手一覧!$I$7:$I$2738,$F620))</f>
        <v>179</v>
      </c>
      <c r="I620" s="16" t="n">
        <f aca="false">IF(INDEX(選手一覧!$J$7:$J$2738,$F620)="","",INDEX(選手一覧!$J$7:$J$2738,$F620))</f>
        <v>0.00292210648148148</v>
      </c>
      <c r="J620" s="17" t="n">
        <f aca="false">IF(INDEX(選手一覧!$K$7:$K$2738,$F620)="","",INDEX(選手一覧!$K$7:$K$2738,$F620))</f>
        <v>1115</v>
      </c>
    </row>
    <row r="621" customFormat="false" ht="15" hidden="false" customHeight="false" outlineLevel="0" collapsed="false">
      <c r="A621" s="17" t="n">
        <v>617</v>
      </c>
      <c r="B621" s="12" t="s">
        <v>1055</v>
      </c>
      <c r="C621" s="12" t="s">
        <v>595</v>
      </c>
      <c r="D621" s="16" t="n">
        <v>0.0107229166666667</v>
      </c>
      <c r="E621" s="15" t="n">
        <f aca="false">ROUND((D621-$D$5)*86400,2)</f>
        <v>136.72</v>
      </c>
      <c r="F621" s="17" t="n">
        <v>616</v>
      </c>
      <c r="G621" s="16" t="n">
        <f aca="false">IF(INDEX(選手一覧!$H$7:$H$2738,$F621)="","",INDEX(選手一覧!$H$7:$H$2738,$F621))</f>
        <v>0.00666805555555556</v>
      </c>
      <c r="H621" s="17" t="n">
        <f aca="false">IF(INDEX(選手一覧!$I$7:$I$2738,$F621)="","",INDEX(選手一覧!$I$7:$I$2738,$F621))</f>
        <v>91</v>
      </c>
      <c r="I621" s="16" t="n">
        <f aca="false">IF(INDEX(選手一覧!$J$7:$J$2738,$F621)="","",INDEX(選手一覧!$J$7:$J$2738,$F621))</f>
        <v>0.00291608796296296</v>
      </c>
      <c r="J621" s="17" t="n">
        <f aca="false">IF(INDEX(選手一覧!$K$7:$K$2738,$F621)="","",INDEX(選手一覧!$K$7:$K$2738,$F621))</f>
        <v>1059</v>
      </c>
    </row>
    <row r="622" customFormat="false" ht="15" hidden="false" customHeight="false" outlineLevel="0" collapsed="false">
      <c r="A622" s="17" t="n">
        <v>618</v>
      </c>
      <c r="B622" s="12" t="s">
        <v>1056</v>
      </c>
      <c r="C622" s="12" t="s">
        <v>648</v>
      </c>
      <c r="D622" s="16" t="n">
        <v>0.0107231481481482</v>
      </c>
      <c r="E622" s="15" t="n">
        <f aca="false">ROUND((D622-$D$5)*86400,2)</f>
        <v>136.74</v>
      </c>
      <c r="F622" s="17" t="n">
        <v>617</v>
      </c>
      <c r="G622" s="16" t="n">
        <f aca="false">IF(INDEX(選手一覧!$H$7:$H$2738,$F622)="","",INDEX(選手一覧!$H$7:$H$2738,$F622))</f>
        <v>0.00752777777777778</v>
      </c>
      <c r="H622" s="17" t="n">
        <f aca="false">IF(INDEX(選手一覧!$I$7:$I$2738,$F622)="","",INDEX(選手一覧!$I$7:$I$2738,$F622))</f>
        <v>928</v>
      </c>
      <c r="I622" s="16" t="n">
        <f aca="false">IF(INDEX(選手一覧!$J$7:$J$2738,$F622)="","",INDEX(選手一覧!$J$7:$J$2738,$F622))</f>
        <v>0.0029162037037037</v>
      </c>
      <c r="J622" s="17" t="n">
        <f aca="false">IF(INDEX(選手一覧!$K$7:$K$2738,$F622)="","",INDEX(選手一覧!$K$7:$K$2738,$F622))</f>
        <v>1060</v>
      </c>
    </row>
    <row r="623" customFormat="false" ht="15" hidden="false" customHeight="false" outlineLevel="0" collapsed="false">
      <c r="A623" s="17" t="n">
        <v>619</v>
      </c>
      <c r="B623" s="12" t="s">
        <v>1057</v>
      </c>
      <c r="C623" s="12" t="s">
        <v>440</v>
      </c>
      <c r="D623" s="16" t="n">
        <v>0.0107232638888889</v>
      </c>
      <c r="E623" s="15" t="n">
        <f aca="false">ROUND((D623-$D$5)*86400,2)</f>
        <v>136.75</v>
      </c>
      <c r="F623" s="17" t="n">
        <v>618</v>
      </c>
      <c r="G623" s="16" t="n">
        <f aca="false">IF(INDEX(選手一覧!$H$7:$H$2738,$F623)="","",INDEX(選手一覧!$H$7:$H$2738,$F623))</f>
        <v>0.00677303240740741</v>
      </c>
      <c r="H623" s="17" t="n">
        <f aca="false">IF(INDEX(選手一覧!$I$7:$I$2738,$F623)="","",INDEX(選手一覧!$I$7:$I$2738,$F623))</f>
        <v>150</v>
      </c>
      <c r="I623" s="16" t="n">
        <f aca="false">IF(INDEX(選手一覧!$J$7:$J$2738,$F623)="","",INDEX(選手一覧!$J$7:$J$2738,$F623))</f>
        <v>0.00282118055555556</v>
      </c>
      <c r="J623" s="17" t="n">
        <f aca="false">IF(INDEX(選手一覧!$K$7:$K$2738,$F623)="","",INDEX(選手一覧!$K$7:$K$2738,$F623))</f>
        <v>370</v>
      </c>
    </row>
    <row r="624" customFormat="false" ht="15" hidden="false" customHeight="false" outlineLevel="0" collapsed="false">
      <c r="A624" s="17" t="n">
        <v>620</v>
      </c>
      <c r="B624" s="12" t="s">
        <v>1059</v>
      </c>
      <c r="C624" s="12" t="s">
        <v>99</v>
      </c>
      <c r="D624" s="16" t="n">
        <v>0.0107236111111111</v>
      </c>
      <c r="E624" s="15" t="n">
        <f aca="false">ROUND((D624-$D$5)*86400,2)</f>
        <v>136.78</v>
      </c>
      <c r="F624" s="17" t="n">
        <v>619</v>
      </c>
      <c r="G624" s="16" t="n">
        <f aca="false">IF(INDEX(選手一覧!$H$7:$H$2738,$F624)="","",INDEX(選手一覧!$H$7:$H$2738,$F624))</f>
        <v>0.00674884259259259</v>
      </c>
      <c r="H624" s="17" t="n">
        <f aca="false">IF(INDEX(選手一覧!$I$7:$I$2738,$F624)="","",INDEX(選手一覧!$I$7:$I$2738,$F624))</f>
        <v>127</v>
      </c>
      <c r="I624" s="16" t="n">
        <f aca="false">IF(INDEX(選手一覧!$J$7:$J$2738,$F624)="","",INDEX(選手一覧!$J$7:$J$2738,$F624))</f>
        <v>0.00295983796296296</v>
      </c>
      <c r="J624" s="17" t="n">
        <f aca="false">IF(INDEX(選手一覧!$K$7:$K$2738,$F624)="","",INDEX(選手一覧!$K$7:$K$2738,$F624))</f>
        <v>1271</v>
      </c>
    </row>
    <row r="625" customFormat="false" ht="15" hidden="false" customHeight="false" outlineLevel="0" collapsed="false">
      <c r="A625" s="17" t="n">
        <v>621</v>
      </c>
      <c r="B625" s="12" t="s">
        <v>1060</v>
      </c>
      <c r="C625" s="12" t="s">
        <v>27</v>
      </c>
      <c r="D625" s="16" t="n">
        <v>0.0107247685185185</v>
      </c>
      <c r="E625" s="15" t="n">
        <f aca="false">ROUND((D625-$D$5)*86400,2)</f>
        <v>136.88</v>
      </c>
      <c r="F625" s="17" t="n">
        <v>620</v>
      </c>
      <c r="G625" s="16" t="n">
        <f aca="false">IF(INDEX(選手一覧!$H$7:$H$2738,$F625)="","",INDEX(選手一覧!$H$7:$H$2738,$F625))</f>
        <v>0.00673368055555556</v>
      </c>
      <c r="H625" s="17" t="n">
        <f aca="false">IF(INDEX(選手一覧!$I$7:$I$2738,$F625)="","",INDEX(選手一覧!$I$7:$I$2738,$F625))</f>
        <v>121</v>
      </c>
      <c r="I625" s="16" t="str">
        <f aca="false">IF(INDEX(選手一覧!$J$7:$J$2738,$F625)="","",INDEX(選手一覧!$J$7:$J$2738,$F625))</f>
        <v/>
      </c>
      <c r="J625" s="17" t="str">
        <f aca="false">IF(INDEX(選手一覧!$K$7:$K$2738,$F625)="","",INDEX(選手一覧!$K$7:$K$2738,$F625))</f>
        <v/>
      </c>
    </row>
    <row r="626" customFormat="false" ht="15" hidden="false" customHeight="false" outlineLevel="0" collapsed="false">
      <c r="A626" s="17" t="n">
        <v>622</v>
      </c>
      <c r="B626" s="12" t="s">
        <v>1061</v>
      </c>
      <c r="C626" s="12" t="s">
        <v>243</v>
      </c>
      <c r="D626" s="16" t="n">
        <v>0.0107248842592593</v>
      </c>
      <c r="E626" s="15" t="n">
        <f aca="false">ROUND((D626-$D$5)*86400,2)</f>
        <v>136.89</v>
      </c>
      <c r="F626" s="17" t="n">
        <v>621</v>
      </c>
      <c r="G626" s="16" t="str">
        <f aca="false">IF(INDEX(選手一覧!$H$7:$H$2738,$F626)="","",INDEX(選手一覧!$H$7:$H$2738,$F626))</f>
        <v/>
      </c>
      <c r="H626" s="17" t="str">
        <f aca="false">IF(INDEX(選手一覧!$I$7:$I$2738,$F626)="","",INDEX(選手一覧!$I$7:$I$2738,$F626))</f>
        <v/>
      </c>
      <c r="I626" s="16" t="n">
        <f aca="false">IF(INDEX(選手一覧!$J$7:$J$2738,$F626)="","",INDEX(選手一覧!$J$7:$J$2738,$F626))</f>
        <v>0.00297673611111111</v>
      </c>
      <c r="J626" s="17" t="n">
        <f aca="false">IF(INDEX(選手一覧!$K$7:$K$2738,$F626)="","",INDEX(選手一覧!$K$7:$K$2738,$F626))</f>
        <v>1339</v>
      </c>
    </row>
    <row r="627" customFormat="false" ht="15" hidden="false" customHeight="false" outlineLevel="0" collapsed="false">
      <c r="A627" s="17" t="n">
        <v>623</v>
      </c>
      <c r="B627" s="12" t="s">
        <v>1062</v>
      </c>
      <c r="C627" s="12" t="s">
        <v>1063</v>
      </c>
      <c r="D627" s="16" t="n">
        <v>0.0107252314814815</v>
      </c>
      <c r="E627" s="15" t="n">
        <f aca="false">ROUND((D627-$D$5)*86400,2)</f>
        <v>136.92</v>
      </c>
      <c r="F627" s="17" t="n">
        <v>622</v>
      </c>
      <c r="G627" s="16" t="str">
        <f aca="false">IF(INDEX(選手一覧!$H$7:$H$2738,$F627)="","",INDEX(選手一覧!$H$7:$H$2738,$F627))</f>
        <v/>
      </c>
      <c r="H627" s="17" t="str">
        <f aca="false">IF(INDEX(選手一覧!$I$7:$I$2738,$F627)="","",INDEX(選手一覧!$I$7:$I$2738,$F627))</f>
        <v/>
      </c>
      <c r="I627" s="16" t="str">
        <f aca="false">IF(INDEX(選手一覧!$J$7:$J$2738,$F627)="","",INDEX(選手一覧!$J$7:$J$2738,$F627))</f>
        <v/>
      </c>
      <c r="J627" s="17" t="str">
        <f aca="false">IF(INDEX(選手一覧!$K$7:$K$2738,$F627)="","",INDEX(選手一覧!$K$7:$K$2738,$F627))</f>
        <v/>
      </c>
    </row>
    <row r="628" customFormat="false" ht="15" hidden="false" customHeight="false" outlineLevel="0" collapsed="false">
      <c r="A628" s="17" t="n">
        <v>624</v>
      </c>
      <c r="B628" s="12" t="s">
        <v>1064</v>
      </c>
      <c r="C628" s="12" t="s">
        <v>159</v>
      </c>
      <c r="D628" s="16" t="n">
        <v>0.0107270833333333</v>
      </c>
      <c r="E628" s="15" t="n">
        <f aca="false">ROUND((D628-$D$5)*86400,2)</f>
        <v>137.08</v>
      </c>
      <c r="F628" s="17" t="n">
        <v>623</v>
      </c>
      <c r="G628" s="16" t="str">
        <f aca="false">IF(INDEX(選手一覧!$H$7:$H$2738,$F628)="","",INDEX(選手一覧!$H$7:$H$2738,$F628))</f>
        <v/>
      </c>
      <c r="H628" s="17" t="str">
        <f aca="false">IF(INDEX(選手一覧!$I$7:$I$2738,$F628)="","",INDEX(選手一覧!$I$7:$I$2738,$F628))</f>
        <v/>
      </c>
      <c r="I628" s="16" t="n">
        <f aca="false">IF(INDEX(選手一覧!$J$7:$J$2738,$F628)="","",INDEX(選手一覧!$J$7:$J$2738,$F628))</f>
        <v>0.00292291666666667</v>
      </c>
      <c r="J628" s="17" t="n">
        <f aca="false">IF(INDEX(選手一覧!$K$7:$K$2738,$F628)="","",INDEX(選手一覧!$K$7:$K$2738,$F628))</f>
        <v>1124</v>
      </c>
    </row>
    <row r="629" customFormat="false" ht="15" hidden="false" customHeight="false" outlineLevel="0" collapsed="false">
      <c r="A629" s="17" t="n">
        <v>625</v>
      </c>
      <c r="B629" s="12" t="s">
        <v>1065</v>
      </c>
      <c r="C629" s="12" t="s">
        <v>515</v>
      </c>
      <c r="D629" s="16" t="n">
        <v>0.0107273148148148</v>
      </c>
      <c r="E629" s="15" t="n">
        <f aca="false">ROUND((D629-$D$5)*86400,2)</f>
        <v>137.1</v>
      </c>
      <c r="F629" s="17" t="n">
        <v>624</v>
      </c>
      <c r="G629" s="16" t="str">
        <f aca="false">IF(INDEX(選手一覧!$H$7:$H$2738,$F629)="","",INDEX(選手一覧!$H$7:$H$2738,$F629))</f>
        <v/>
      </c>
      <c r="H629" s="17" t="str">
        <f aca="false">IF(INDEX(選手一覧!$I$7:$I$2738,$F629)="","",INDEX(選手一覧!$I$7:$I$2738,$F629))</f>
        <v/>
      </c>
      <c r="I629" s="16" t="n">
        <f aca="false">IF(INDEX(選手一覧!$J$7:$J$2738,$F629)="","",INDEX(選手一覧!$J$7:$J$2738,$F629))</f>
        <v>0.00279710648148148</v>
      </c>
      <c r="J629" s="17" t="n">
        <f aca="false">IF(INDEX(選手一覧!$K$7:$K$2738,$F629)="","",INDEX(選手一覧!$K$7:$K$2738,$F629))</f>
        <v>270</v>
      </c>
    </row>
    <row r="630" customFormat="false" ht="15" hidden="false" customHeight="false" outlineLevel="0" collapsed="false">
      <c r="A630" s="17" t="n">
        <v>626</v>
      </c>
      <c r="B630" s="12" t="s">
        <v>1066</v>
      </c>
      <c r="C630" s="12" t="s">
        <v>382</v>
      </c>
      <c r="D630" s="16" t="n">
        <v>0.0107274305555556</v>
      </c>
      <c r="E630" s="15" t="n">
        <f aca="false">ROUND((D630-$D$5)*86400,2)</f>
        <v>137.11</v>
      </c>
      <c r="F630" s="17" t="n">
        <v>625</v>
      </c>
      <c r="G630" s="16" t="n">
        <f aca="false">IF(INDEX(選手一覧!$H$7:$H$2738,$F630)="","",INDEX(選手一覧!$H$7:$H$2738,$F630))</f>
        <v>0.00674560185185185</v>
      </c>
      <c r="H630" s="17" t="n">
        <f aca="false">IF(INDEX(選手一覧!$I$7:$I$2738,$F630)="","",INDEX(選手一覧!$I$7:$I$2738,$F630))</f>
        <v>124</v>
      </c>
      <c r="I630" s="16" t="str">
        <f aca="false">IF(INDEX(選手一覧!$J$7:$J$2738,$F630)="","",INDEX(選手一覧!$J$7:$J$2738,$F630))</f>
        <v/>
      </c>
      <c r="J630" s="17" t="str">
        <f aca="false">IF(INDEX(選手一覧!$K$7:$K$2738,$F630)="","",INDEX(選手一覧!$K$7:$K$2738,$F630))</f>
        <v/>
      </c>
    </row>
    <row r="631" customFormat="false" ht="15" hidden="false" customHeight="false" outlineLevel="0" collapsed="false">
      <c r="A631" s="17" t="n">
        <v>627</v>
      </c>
      <c r="B631" s="12" t="s">
        <v>1068</v>
      </c>
      <c r="C631" s="12" t="s">
        <v>1069</v>
      </c>
      <c r="D631" s="16" t="n">
        <v>0.0107275462962963</v>
      </c>
      <c r="E631" s="15" t="n">
        <f aca="false">ROUND((D631-$D$5)*86400,2)</f>
        <v>137.12</v>
      </c>
      <c r="F631" s="17" t="n">
        <v>626</v>
      </c>
      <c r="G631" s="16" t="str">
        <f aca="false">IF(INDEX(選手一覧!$H$7:$H$2738,$F631)="","",INDEX(選手一覧!$H$7:$H$2738,$F631))</f>
        <v/>
      </c>
      <c r="H631" s="17" t="str">
        <f aca="false">IF(INDEX(選手一覧!$I$7:$I$2738,$F631)="","",INDEX(選手一覧!$I$7:$I$2738,$F631))</f>
        <v/>
      </c>
      <c r="I631" s="16" t="n">
        <f aca="false">IF(INDEX(選手一覧!$J$7:$J$2738,$F631)="","",INDEX(選手一覧!$J$7:$J$2738,$F631))</f>
        <v>0.00284606481481482</v>
      </c>
      <c r="J631" s="17" t="n">
        <f aca="false">IF(INDEX(選手一覧!$K$7:$K$2738,$F631)="","",INDEX(選手一覧!$K$7:$K$2738,$F631))</f>
        <v>542</v>
      </c>
    </row>
    <row r="632" customFormat="false" ht="15" hidden="false" customHeight="false" outlineLevel="0" collapsed="false">
      <c r="A632" s="17" t="n">
        <v>628</v>
      </c>
      <c r="B632" s="12" t="s">
        <v>1070</v>
      </c>
      <c r="C632" s="12" t="s">
        <v>1071</v>
      </c>
      <c r="D632" s="16" t="n">
        <v>0.0107280092592593</v>
      </c>
      <c r="E632" s="15" t="n">
        <f aca="false">ROUND((D632-$D$5)*86400,2)</f>
        <v>137.16</v>
      </c>
      <c r="F632" s="17" t="n">
        <v>627</v>
      </c>
      <c r="G632" s="16" t="str">
        <f aca="false">IF(INDEX(選手一覧!$H$7:$H$2738,$F632)="","",INDEX(選手一覧!$H$7:$H$2738,$F632))</f>
        <v/>
      </c>
      <c r="H632" s="17" t="str">
        <f aca="false">IF(INDEX(選手一覧!$I$7:$I$2738,$F632)="","",INDEX(選手一覧!$I$7:$I$2738,$F632))</f>
        <v/>
      </c>
      <c r="I632" s="16" t="n">
        <f aca="false">IF(INDEX(選手一覧!$J$7:$J$2738,$F632)="","",INDEX(選手一覧!$J$7:$J$2738,$F632))</f>
        <v>0.00283472222222222</v>
      </c>
      <c r="J632" s="17" t="n">
        <f aca="false">IF(INDEX(選手一覧!$K$7:$K$2738,$F632)="","",INDEX(選手一覧!$K$7:$K$2738,$F632))</f>
        <v>458</v>
      </c>
    </row>
    <row r="633" customFormat="false" ht="15" hidden="false" customHeight="false" outlineLevel="0" collapsed="false">
      <c r="A633" s="17" t="n">
        <v>629</v>
      </c>
      <c r="B633" s="12" t="s">
        <v>1072</v>
      </c>
      <c r="C633" s="12" t="s">
        <v>303</v>
      </c>
      <c r="D633" s="16" t="n">
        <v>0.0107282407407407</v>
      </c>
      <c r="E633" s="15" t="n">
        <f aca="false">ROUND((D633-$D$5)*86400,2)</f>
        <v>137.18</v>
      </c>
      <c r="F633" s="17" t="n">
        <v>628</v>
      </c>
      <c r="G633" s="16" t="str">
        <f aca="false">IF(INDEX(選手一覧!$H$7:$H$2738,$F633)="","",INDEX(選手一覧!$H$7:$H$2738,$F633))</f>
        <v/>
      </c>
      <c r="H633" s="17" t="str">
        <f aca="false">IF(INDEX(選手一覧!$I$7:$I$2738,$F633)="","",INDEX(選手一覧!$I$7:$I$2738,$F633))</f>
        <v/>
      </c>
      <c r="I633" s="16" t="str">
        <f aca="false">IF(INDEX(選手一覧!$J$7:$J$2738,$F633)="","",INDEX(選手一覧!$J$7:$J$2738,$F633))</f>
        <v/>
      </c>
      <c r="J633" s="17" t="str">
        <f aca="false">IF(INDEX(選手一覧!$K$7:$K$2738,$F633)="","",INDEX(選手一覧!$K$7:$K$2738,$F633))</f>
        <v/>
      </c>
    </row>
    <row r="634" customFormat="false" ht="15" hidden="false" customHeight="false" outlineLevel="0" collapsed="false">
      <c r="A634" s="17" t="n">
        <v>630</v>
      </c>
      <c r="B634" s="12" t="s">
        <v>1073</v>
      </c>
      <c r="C634" s="12" t="s">
        <v>243</v>
      </c>
      <c r="D634" s="16" t="n">
        <v>0.0107283564814815</v>
      </c>
      <c r="E634" s="15" t="n">
        <f aca="false">ROUND((D634-$D$5)*86400,2)</f>
        <v>137.19</v>
      </c>
      <c r="F634" s="17" t="n">
        <v>629</v>
      </c>
      <c r="G634" s="16" t="n">
        <f aca="false">IF(INDEX(選手一覧!$H$7:$H$2738,$F634)="","",INDEX(選手一覧!$H$7:$H$2738,$F634))</f>
        <v>0.00653715277777778</v>
      </c>
      <c r="H634" s="17" t="n">
        <f aca="false">IF(INDEX(選手一覧!$I$7:$I$2738,$F634)="","",INDEX(選手一覧!$I$7:$I$2738,$F634))</f>
        <v>42</v>
      </c>
      <c r="I634" s="16" t="str">
        <f aca="false">IF(INDEX(選手一覧!$J$7:$J$2738,$F634)="","",INDEX(選手一覧!$J$7:$J$2738,$F634))</f>
        <v/>
      </c>
      <c r="J634" s="17" t="str">
        <f aca="false">IF(INDEX(選手一覧!$K$7:$K$2738,$F634)="","",INDEX(選手一覧!$K$7:$K$2738,$F634))</f>
        <v/>
      </c>
    </row>
    <row r="635" customFormat="false" ht="15" hidden="false" customHeight="false" outlineLevel="0" collapsed="false">
      <c r="A635" s="17" t="n">
        <v>631</v>
      </c>
      <c r="B635" s="12" t="s">
        <v>1074</v>
      </c>
      <c r="C635" s="12" t="s">
        <v>939</v>
      </c>
      <c r="D635" s="16" t="n">
        <v>0.0107291666666667</v>
      </c>
      <c r="E635" s="15" t="n">
        <f aca="false">ROUND((D635-$D$5)*86400,2)</f>
        <v>137.26</v>
      </c>
      <c r="F635" s="17" t="n">
        <v>630</v>
      </c>
      <c r="G635" s="16" t="str">
        <f aca="false">IF(INDEX(選手一覧!$H$7:$H$2738,$F635)="","",INDEX(選手一覧!$H$7:$H$2738,$F635))</f>
        <v/>
      </c>
      <c r="H635" s="17" t="str">
        <f aca="false">IF(INDEX(選手一覧!$I$7:$I$2738,$F635)="","",INDEX(選手一覧!$I$7:$I$2738,$F635))</f>
        <v/>
      </c>
      <c r="I635" s="16" t="n">
        <f aca="false">IF(INDEX(選手一覧!$J$7:$J$2738,$F635)="","",INDEX(選手一覧!$J$7:$J$2738,$F635))</f>
        <v>0.0029412037037037</v>
      </c>
      <c r="J635" s="17" t="n">
        <f aca="false">IF(INDEX(選手一覧!$K$7:$K$2738,$F635)="","",INDEX(選手一覧!$K$7:$K$2738,$F635))</f>
        <v>1203</v>
      </c>
    </row>
    <row r="636" customFormat="false" ht="15" hidden="false" customHeight="false" outlineLevel="0" collapsed="false">
      <c r="A636" s="17" t="n">
        <v>632</v>
      </c>
      <c r="B636" s="12" t="s">
        <v>1076</v>
      </c>
      <c r="C636" s="12" t="s">
        <v>115</v>
      </c>
      <c r="D636" s="16" t="n">
        <v>0.0107303240740741</v>
      </c>
      <c r="E636" s="15" t="n">
        <f aca="false">ROUND((D636-$D$5)*86400,2)</f>
        <v>137.36</v>
      </c>
      <c r="F636" s="17" t="n">
        <v>631</v>
      </c>
      <c r="G636" s="16" t="str">
        <f aca="false">IF(INDEX(選手一覧!$H$7:$H$2738,$F636)="","",INDEX(選手一覧!$H$7:$H$2738,$F636))</f>
        <v/>
      </c>
      <c r="H636" s="17" t="str">
        <f aca="false">IF(INDEX(選手一覧!$I$7:$I$2738,$F636)="","",INDEX(選手一覧!$I$7:$I$2738,$F636))</f>
        <v/>
      </c>
      <c r="I636" s="16" t="n">
        <f aca="false">IF(INDEX(選手一覧!$J$7:$J$2738,$F636)="","",INDEX(選手一覧!$J$7:$J$2738,$F636))</f>
        <v>0.00280740740740741</v>
      </c>
      <c r="J636" s="17" t="n">
        <f aca="false">IF(INDEX(選手一覧!$K$7:$K$2738,$F636)="","",INDEX(選手一覧!$K$7:$K$2738,$F636))</f>
        <v>316</v>
      </c>
    </row>
    <row r="637" customFormat="false" ht="15" hidden="false" customHeight="false" outlineLevel="0" collapsed="false">
      <c r="A637" s="17" t="n">
        <v>633</v>
      </c>
      <c r="B637" s="12" t="s">
        <v>1077</v>
      </c>
      <c r="C637" s="12" t="s">
        <v>595</v>
      </c>
      <c r="D637" s="16" t="n">
        <v>0.0107309027777778</v>
      </c>
      <c r="E637" s="15" t="n">
        <f aca="false">ROUND((D637-$D$5)*86400,2)</f>
        <v>137.41</v>
      </c>
      <c r="F637" s="17" t="n">
        <v>632</v>
      </c>
      <c r="G637" s="16" t="str">
        <f aca="false">IF(INDEX(選手一覧!$H$7:$H$2738,$F637)="","",INDEX(選手一覧!$H$7:$H$2738,$F637))</f>
        <v/>
      </c>
      <c r="H637" s="17" t="str">
        <f aca="false">IF(INDEX(選手一覧!$I$7:$I$2738,$F637)="","",INDEX(選手一覧!$I$7:$I$2738,$F637))</f>
        <v/>
      </c>
      <c r="I637" s="16" t="n">
        <f aca="false">IF(INDEX(選手一覧!$J$7:$J$2738,$F637)="","",INDEX(選手一覧!$J$7:$J$2738,$F637))</f>
        <v>0.00267708333333333</v>
      </c>
      <c r="J637" s="17" t="n">
        <f aca="false">IF(INDEX(選手一覧!$K$7:$K$2738,$F637)="","",INDEX(選手一覧!$K$7:$K$2738,$F637))</f>
        <v>10</v>
      </c>
    </row>
    <row r="638" customFormat="false" ht="15" hidden="false" customHeight="false" outlineLevel="0" collapsed="false">
      <c r="A638" s="17" t="n">
        <v>634</v>
      </c>
      <c r="B638" s="12" t="s">
        <v>1078</v>
      </c>
      <c r="C638" s="12" t="s">
        <v>281</v>
      </c>
      <c r="D638" s="16" t="n">
        <v>0.0107315972222222</v>
      </c>
      <c r="E638" s="15" t="n">
        <f aca="false">ROUND((D638-$D$5)*86400,2)</f>
        <v>137.47</v>
      </c>
      <c r="F638" s="17" t="n">
        <v>633</v>
      </c>
      <c r="G638" s="16" t="str">
        <f aca="false">IF(INDEX(選手一覧!$H$7:$H$2738,$F638)="","",INDEX(選手一覧!$H$7:$H$2738,$F638))</f>
        <v/>
      </c>
      <c r="H638" s="17" t="str">
        <f aca="false">IF(INDEX(選手一覧!$I$7:$I$2738,$F638)="","",INDEX(選手一覧!$I$7:$I$2738,$F638))</f>
        <v/>
      </c>
      <c r="I638" s="16" t="n">
        <f aca="false">IF(INDEX(選手一覧!$J$7:$J$2738,$F638)="","",INDEX(選手一覧!$J$7:$J$2738,$F638))</f>
        <v>0.00282118055555556</v>
      </c>
      <c r="J638" s="17" t="n">
        <f aca="false">IF(INDEX(選手一覧!$K$7:$K$2738,$F638)="","",INDEX(選手一覧!$K$7:$K$2738,$F638))</f>
        <v>371</v>
      </c>
    </row>
    <row r="639" customFormat="false" ht="15" hidden="false" customHeight="false" outlineLevel="0" collapsed="false">
      <c r="A639" s="17" t="n">
        <v>635</v>
      </c>
      <c r="B639" s="12" t="s">
        <v>1079</v>
      </c>
      <c r="C639" s="12" t="s">
        <v>99</v>
      </c>
      <c r="D639" s="16" t="n">
        <v>0.010731712962963</v>
      </c>
      <c r="E639" s="15" t="n">
        <f aca="false">ROUND((D639-$D$5)*86400,2)</f>
        <v>137.48</v>
      </c>
      <c r="F639" s="17" t="n">
        <v>634</v>
      </c>
      <c r="G639" s="16" t="n">
        <f aca="false">IF(INDEX(選手一覧!$H$7:$H$2738,$F639)="","",INDEX(選手一覧!$H$7:$H$2738,$F639))</f>
        <v>0.00675474537037037</v>
      </c>
      <c r="H639" s="17" t="n">
        <f aca="false">IF(INDEX(選手一覧!$I$7:$I$2738,$F639)="","",INDEX(選手一覧!$I$7:$I$2738,$F639))</f>
        <v>132</v>
      </c>
      <c r="I639" s="16" t="n">
        <f aca="false">IF(INDEX(選手一覧!$J$7:$J$2738,$F639)="","",INDEX(選手一覧!$J$7:$J$2738,$F639))</f>
        <v>0.00289351851851852</v>
      </c>
      <c r="J639" s="17" t="n">
        <f aca="false">IF(INDEX(選手一覧!$K$7:$K$2738,$F639)="","",INDEX(選手一覧!$K$7:$K$2738,$F639))</f>
        <v>901</v>
      </c>
    </row>
    <row r="640" customFormat="false" ht="15" hidden="false" customHeight="false" outlineLevel="0" collapsed="false">
      <c r="A640" s="17" t="n">
        <v>636</v>
      </c>
      <c r="B640" s="12" t="s">
        <v>1080</v>
      </c>
      <c r="C640" s="12" t="s">
        <v>77</v>
      </c>
      <c r="D640" s="16" t="n">
        <v>0.0107318287037037</v>
      </c>
      <c r="E640" s="15" t="n">
        <f aca="false">ROUND((D640-$D$5)*86400,2)</f>
        <v>137.49</v>
      </c>
      <c r="F640" s="17" t="n">
        <v>635</v>
      </c>
      <c r="G640" s="16" t="n">
        <f aca="false">IF(INDEX(選手一覧!$H$7:$H$2738,$F640)="","",INDEX(選手一覧!$H$7:$H$2738,$F640))</f>
        <v>0.00653611111111111</v>
      </c>
      <c r="H640" s="17" t="n">
        <f aca="false">IF(INDEX(選手一覧!$I$7:$I$2738,$F640)="","",INDEX(選手一覧!$I$7:$I$2738,$F640))</f>
        <v>41</v>
      </c>
      <c r="I640" s="16" t="n">
        <f aca="false">IF(INDEX(選手一覧!$J$7:$J$2738,$F640)="","",INDEX(選手一覧!$J$7:$J$2738,$F640))</f>
        <v>0.00287986111111111</v>
      </c>
      <c r="J640" s="17" t="n">
        <f aca="false">IF(INDEX(選手一覧!$K$7:$K$2738,$F640)="","",INDEX(選手一覧!$K$7:$K$2738,$F640))</f>
        <v>770</v>
      </c>
    </row>
    <row r="641" customFormat="false" ht="15" hidden="false" customHeight="false" outlineLevel="0" collapsed="false">
      <c r="A641" s="17" t="n">
        <v>637</v>
      </c>
      <c r="B641" s="12" t="s">
        <v>1081</v>
      </c>
      <c r="C641" s="12" t="s">
        <v>61</v>
      </c>
      <c r="D641" s="16" t="n">
        <v>0.0107318287037037</v>
      </c>
      <c r="E641" s="15" t="n">
        <f aca="false">ROUND((D641-$D$5)*86400,2)</f>
        <v>137.49</v>
      </c>
      <c r="F641" s="17" t="n">
        <v>636</v>
      </c>
      <c r="G641" s="16" t="n">
        <f aca="false">IF(INDEX(選手一覧!$H$7:$H$2738,$F641)="","",INDEX(選手一覧!$H$7:$H$2738,$F641))</f>
        <v>0.00700451388888889</v>
      </c>
      <c r="H641" s="17" t="n">
        <f aca="false">IF(INDEX(選手一覧!$I$7:$I$2738,$F641)="","",INDEX(選手一覧!$I$7:$I$2738,$F641))</f>
        <v>341</v>
      </c>
      <c r="I641" s="16" t="n">
        <f aca="false">IF(INDEX(選手一覧!$J$7:$J$2738,$F641)="","",INDEX(選手一覧!$J$7:$J$2738,$F641))</f>
        <v>0.00283530092592593</v>
      </c>
      <c r="J641" s="17" t="n">
        <f aca="false">IF(INDEX(選手一覧!$K$7:$K$2738,$F641)="","",INDEX(選手一覧!$K$7:$K$2738,$F641))</f>
        <v>464</v>
      </c>
    </row>
    <row r="642" customFormat="false" ht="15" hidden="false" customHeight="false" outlineLevel="0" collapsed="false">
      <c r="A642" s="17" t="n">
        <v>638</v>
      </c>
      <c r="B642" s="12" t="s">
        <v>1082</v>
      </c>
      <c r="C642" s="12" t="s">
        <v>1083</v>
      </c>
      <c r="D642" s="16" t="n">
        <v>0.0107325231481482</v>
      </c>
      <c r="E642" s="15" t="n">
        <f aca="false">ROUND((D642-$D$5)*86400,2)</f>
        <v>137.55</v>
      </c>
      <c r="F642" s="17" t="n">
        <v>637</v>
      </c>
      <c r="G642" s="16" t="str">
        <f aca="false">IF(INDEX(選手一覧!$H$7:$H$2738,$F642)="","",INDEX(選手一覧!$H$7:$H$2738,$F642))</f>
        <v/>
      </c>
      <c r="H642" s="17" t="str">
        <f aca="false">IF(INDEX(選手一覧!$I$7:$I$2738,$F642)="","",INDEX(選手一覧!$I$7:$I$2738,$F642))</f>
        <v/>
      </c>
      <c r="I642" s="16" t="str">
        <f aca="false">IF(INDEX(選手一覧!$J$7:$J$2738,$F642)="","",INDEX(選手一覧!$J$7:$J$2738,$F642))</f>
        <v/>
      </c>
      <c r="J642" s="17" t="str">
        <f aca="false">IF(INDEX(選手一覧!$K$7:$K$2738,$F642)="","",INDEX(選手一覧!$K$7:$K$2738,$F642))</f>
        <v/>
      </c>
    </row>
    <row r="643" customFormat="false" ht="15" hidden="false" customHeight="false" outlineLevel="0" collapsed="false">
      <c r="A643" s="17" t="n">
        <v>639</v>
      </c>
      <c r="B643" s="12" t="s">
        <v>1084</v>
      </c>
      <c r="C643" s="12" t="s">
        <v>503</v>
      </c>
      <c r="D643" s="16" t="n">
        <v>0.0107329861111111</v>
      </c>
      <c r="E643" s="15" t="n">
        <f aca="false">ROUND((D643-$D$5)*86400,2)</f>
        <v>137.59</v>
      </c>
      <c r="F643" s="17" t="n">
        <v>638</v>
      </c>
      <c r="G643" s="16" t="str">
        <f aca="false">IF(INDEX(選手一覧!$H$7:$H$2738,$F643)="","",INDEX(選手一覧!$H$7:$H$2738,$F643))</f>
        <v/>
      </c>
      <c r="H643" s="17" t="str">
        <f aca="false">IF(INDEX(選手一覧!$I$7:$I$2738,$F643)="","",INDEX(選手一覧!$I$7:$I$2738,$F643))</f>
        <v/>
      </c>
      <c r="I643" s="16" t="n">
        <f aca="false">IF(INDEX(選手一覧!$J$7:$J$2738,$F643)="","",INDEX(選手一覧!$J$7:$J$2738,$F643))</f>
        <v>0.00281319444444445</v>
      </c>
      <c r="J643" s="17" t="n">
        <f aca="false">IF(INDEX(選手一覧!$K$7:$K$2738,$F643)="","",INDEX(選手一覧!$K$7:$K$2738,$F643))</f>
        <v>335</v>
      </c>
    </row>
    <row r="644" customFormat="false" ht="15" hidden="false" customHeight="false" outlineLevel="0" collapsed="false">
      <c r="A644" s="17" t="n">
        <v>640</v>
      </c>
      <c r="B644" s="12" t="s">
        <v>1085</v>
      </c>
      <c r="C644" s="12" t="s">
        <v>320</v>
      </c>
      <c r="D644" s="16" t="n">
        <v>0.0107333333333333</v>
      </c>
      <c r="E644" s="15" t="n">
        <f aca="false">ROUND((D644-$D$5)*86400,2)</f>
        <v>137.62</v>
      </c>
      <c r="F644" s="17" t="n">
        <v>639</v>
      </c>
      <c r="G644" s="16" t="n">
        <f aca="false">IF(INDEX(選手一覧!$H$7:$H$2738,$F644)="","",INDEX(選手一覧!$H$7:$H$2738,$F644))</f>
        <v>0.00676458333333333</v>
      </c>
      <c r="H644" s="17" t="n">
        <f aca="false">IF(INDEX(選手一覧!$I$7:$I$2738,$F644)="","",INDEX(選手一覧!$I$7:$I$2738,$F644))</f>
        <v>142</v>
      </c>
      <c r="I644" s="16" t="str">
        <f aca="false">IF(INDEX(選手一覧!$J$7:$J$2738,$F644)="","",INDEX(選手一覧!$J$7:$J$2738,$F644))</f>
        <v/>
      </c>
      <c r="J644" s="17" t="str">
        <f aca="false">IF(INDEX(選手一覧!$K$7:$K$2738,$F644)="","",INDEX(選手一覧!$K$7:$K$2738,$F644))</f>
        <v/>
      </c>
    </row>
    <row r="645" customFormat="false" ht="15" hidden="false" customHeight="false" outlineLevel="0" collapsed="false">
      <c r="A645" s="17" t="n">
        <v>641</v>
      </c>
      <c r="B645" s="12" t="s">
        <v>1087</v>
      </c>
      <c r="C645" s="12" t="s">
        <v>63</v>
      </c>
      <c r="D645" s="16" t="n">
        <v>0.0107349537037037</v>
      </c>
      <c r="E645" s="15" t="n">
        <f aca="false">ROUND((D645-$D$5)*86400,2)</f>
        <v>137.76</v>
      </c>
      <c r="F645" s="17" t="n">
        <v>640</v>
      </c>
      <c r="G645" s="16" t="str">
        <f aca="false">IF(INDEX(選手一覧!$H$7:$H$2738,$F645)="","",INDEX(選手一覧!$H$7:$H$2738,$F645))</f>
        <v/>
      </c>
      <c r="H645" s="17" t="str">
        <f aca="false">IF(INDEX(選手一覧!$I$7:$I$2738,$F645)="","",INDEX(選手一覧!$I$7:$I$2738,$F645))</f>
        <v/>
      </c>
      <c r="I645" s="16" t="n">
        <f aca="false">IF(INDEX(選手一覧!$J$7:$J$2738,$F645)="","",INDEX(選手一覧!$J$7:$J$2738,$F645))</f>
        <v>0.00281354166666667</v>
      </c>
      <c r="J645" s="17" t="n">
        <f aca="false">IF(INDEX(選手一覧!$K$7:$K$2738,$F645)="","",INDEX(選手一覧!$K$7:$K$2738,$F645))</f>
        <v>338</v>
      </c>
    </row>
    <row r="646" customFormat="false" ht="15" hidden="false" customHeight="false" outlineLevel="0" collapsed="false">
      <c r="A646" s="17" t="n">
        <v>642</v>
      </c>
      <c r="B646" s="12" t="s">
        <v>1088</v>
      </c>
      <c r="C646" s="12" t="s">
        <v>599</v>
      </c>
      <c r="D646" s="16" t="n">
        <v>0.0107350694444444</v>
      </c>
      <c r="E646" s="15" t="n">
        <f aca="false">ROUND((D646-$D$5)*86400,2)</f>
        <v>137.77</v>
      </c>
      <c r="F646" s="17" t="n">
        <v>641</v>
      </c>
      <c r="G646" s="16" t="str">
        <f aca="false">IF(INDEX(選手一覧!$H$7:$H$2738,$F646)="","",INDEX(選手一覧!$H$7:$H$2738,$F646))</f>
        <v/>
      </c>
      <c r="H646" s="17" t="str">
        <f aca="false">IF(INDEX(選手一覧!$I$7:$I$2738,$F646)="","",INDEX(選手一覧!$I$7:$I$2738,$F646))</f>
        <v/>
      </c>
      <c r="I646" s="16" t="n">
        <f aca="false">IF(INDEX(選手一覧!$J$7:$J$2738,$F646)="","",INDEX(選手一覧!$J$7:$J$2738,$F646))</f>
        <v>0.00281284722222222</v>
      </c>
      <c r="J646" s="17" t="n">
        <f aca="false">IF(INDEX(選手一覧!$K$7:$K$2738,$F646)="","",INDEX(選手一覧!$K$7:$K$2738,$F646))</f>
        <v>332</v>
      </c>
    </row>
    <row r="647" customFormat="false" ht="15" hidden="false" customHeight="false" outlineLevel="0" collapsed="false">
      <c r="A647" s="17" t="n">
        <v>643</v>
      </c>
      <c r="B647" s="12" t="s">
        <v>1089</v>
      </c>
      <c r="C647" s="12" t="s">
        <v>40</v>
      </c>
      <c r="D647" s="16" t="n">
        <v>0.0107357638888889</v>
      </c>
      <c r="E647" s="15" t="n">
        <f aca="false">ROUND((D647-$D$5)*86400,2)</f>
        <v>137.83</v>
      </c>
      <c r="F647" s="17" t="n">
        <v>642</v>
      </c>
      <c r="G647" s="16" t="str">
        <f aca="false">IF(INDEX(選手一覧!$H$7:$H$2738,$F647)="","",INDEX(選手一覧!$H$7:$H$2738,$F647))</f>
        <v/>
      </c>
      <c r="H647" s="17" t="str">
        <f aca="false">IF(INDEX(選手一覧!$I$7:$I$2738,$F647)="","",INDEX(選手一覧!$I$7:$I$2738,$F647))</f>
        <v/>
      </c>
      <c r="I647" s="16" t="n">
        <f aca="false">IF(INDEX(選手一覧!$J$7:$J$2738,$F647)="","",INDEX(選手一覧!$J$7:$J$2738,$F647))</f>
        <v>0.00276481481481482</v>
      </c>
      <c r="J647" s="17" t="n">
        <f aca="false">IF(INDEX(選手一覧!$K$7:$K$2738,$F647)="","",INDEX(選手一覧!$K$7:$K$2738,$F647))</f>
        <v>148</v>
      </c>
    </row>
    <row r="648" customFormat="false" ht="15" hidden="false" customHeight="false" outlineLevel="0" collapsed="false">
      <c r="A648" s="17" t="n">
        <v>644</v>
      </c>
      <c r="B648" s="12" t="s">
        <v>1090</v>
      </c>
      <c r="C648" s="12" t="s">
        <v>120</v>
      </c>
      <c r="D648" s="16" t="n">
        <v>0.0107358796296296</v>
      </c>
      <c r="E648" s="15" t="n">
        <f aca="false">ROUND((D648-$D$5)*86400,2)</f>
        <v>137.84</v>
      </c>
      <c r="F648" s="17" t="n">
        <v>643</v>
      </c>
      <c r="G648" s="16" t="str">
        <f aca="false">IF(INDEX(選手一覧!$H$7:$H$2738,$F648)="","",INDEX(選手一覧!$H$7:$H$2738,$F648))</f>
        <v/>
      </c>
      <c r="H648" s="17" t="str">
        <f aca="false">IF(INDEX(選手一覧!$I$7:$I$2738,$F648)="","",INDEX(選手一覧!$I$7:$I$2738,$F648))</f>
        <v/>
      </c>
      <c r="I648" s="16" t="n">
        <f aca="false">IF(INDEX(選手一覧!$J$7:$J$2738,$F648)="","",INDEX(選手一覧!$J$7:$J$2738,$F648))</f>
        <v>0.00289490740740741</v>
      </c>
      <c r="J648" s="17" t="n">
        <f aca="false">IF(INDEX(選手一覧!$K$7:$K$2738,$F648)="","",INDEX(選手一覧!$K$7:$K$2738,$F648))</f>
        <v>912</v>
      </c>
    </row>
    <row r="649" customFormat="false" ht="15" hidden="false" customHeight="false" outlineLevel="0" collapsed="false">
      <c r="A649" s="17" t="n">
        <v>645</v>
      </c>
      <c r="B649" s="12" t="s">
        <v>1091</v>
      </c>
      <c r="C649" s="12" t="s">
        <v>1092</v>
      </c>
      <c r="D649" s="16" t="n">
        <v>0.0107362268518519</v>
      </c>
      <c r="E649" s="15" t="n">
        <f aca="false">ROUND((D649-$D$5)*86400,2)</f>
        <v>137.87</v>
      </c>
      <c r="F649" s="17" t="n">
        <v>644</v>
      </c>
      <c r="G649" s="16" t="str">
        <f aca="false">IF(INDEX(選手一覧!$H$7:$H$2738,$F649)="","",INDEX(選手一覧!$H$7:$H$2738,$F649))</f>
        <v/>
      </c>
      <c r="H649" s="17" t="str">
        <f aca="false">IF(INDEX(選手一覧!$I$7:$I$2738,$F649)="","",INDEX(選手一覧!$I$7:$I$2738,$F649))</f>
        <v/>
      </c>
      <c r="I649" s="16" t="n">
        <f aca="false">IF(INDEX(選手一覧!$J$7:$J$2738,$F649)="","",INDEX(選手一覧!$J$7:$J$2738,$F649))</f>
        <v>0.00291956018518519</v>
      </c>
      <c r="J649" s="17" t="n">
        <f aca="false">IF(INDEX(選手一覧!$K$7:$K$2738,$F649)="","",INDEX(選手一覧!$K$7:$K$2738,$F649))</f>
        <v>1091</v>
      </c>
    </row>
    <row r="650" customFormat="false" ht="15" hidden="false" customHeight="false" outlineLevel="0" collapsed="false">
      <c r="A650" s="17" t="n">
        <v>646</v>
      </c>
      <c r="B650" s="12" t="s">
        <v>1093</v>
      </c>
      <c r="C650" s="12" t="s">
        <v>1094</v>
      </c>
      <c r="D650" s="16" t="n">
        <v>0.0107369212962963</v>
      </c>
      <c r="E650" s="15" t="n">
        <f aca="false">ROUND((D650-$D$5)*86400,2)</f>
        <v>137.93</v>
      </c>
      <c r="F650" s="17" t="n">
        <v>645</v>
      </c>
      <c r="G650" s="16" t="str">
        <f aca="false">IF(INDEX(選手一覧!$H$7:$H$2738,$F650)="","",INDEX(選手一覧!$H$7:$H$2738,$F650))</f>
        <v/>
      </c>
      <c r="H650" s="17" t="str">
        <f aca="false">IF(INDEX(選手一覧!$I$7:$I$2738,$F650)="","",INDEX(選手一覧!$I$7:$I$2738,$F650))</f>
        <v/>
      </c>
      <c r="I650" s="16" t="str">
        <f aca="false">IF(INDEX(選手一覧!$J$7:$J$2738,$F650)="","",INDEX(選手一覧!$J$7:$J$2738,$F650))</f>
        <v/>
      </c>
      <c r="J650" s="17" t="str">
        <f aca="false">IF(INDEX(選手一覧!$K$7:$K$2738,$F650)="","",INDEX(選手一覧!$K$7:$K$2738,$F650))</f>
        <v/>
      </c>
    </row>
    <row r="651" customFormat="false" ht="15" hidden="false" customHeight="false" outlineLevel="0" collapsed="false">
      <c r="A651" s="17" t="n">
        <v>647</v>
      </c>
      <c r="B651" s="12" t="s">
        <v>1095</v>
      </c>
      <c r="C651" s="12" t="s">
        <v>1096</v>
      </c>
      <c r="D651" s="16" t="n">
        <v>0.0107369212962963</v>
      </c>
      <c r="E651" s="15" t="n">
        <f aca="false">ROUND((D651-$D$5)*86400,2)</f>
        <v>137.93</v>
      </c>
      <c r="F651" s="17" t="n">
        <v>646</v>
      </c>
      <c r="G651" s="16" t="str">
        <f aca="false">IF(INDEX(選手一覧!$H$7:$H$2738,$F651)="","",INDEX(選手一覧!$H$7:$H$2738,$F651))</f>
        <v/>
      </c>
      <c r="H651" s="17" t="str">
        <f aca="false">IF(INDEX(選手一覧!$I$7:$I$2738,$F651)="","",INDEX(選手一覧!$I$7:$I$2738,$F651))</f>
        <v/>
      </c>
      <c r="I651" s="16" t="n">
        <f aca="false">IF(INDEX(選手一覧!$J$7:$J$2738,$F651)="","",INDEX(選手一覧!$J$7:$J$2738,$F651))</f>
        <v>0.00284386574074074</v>
      </c>
      <c r="J651" s="17" t="n">
        <f aca="false">IF(INDEX(選手一覧!$K$7:$K$2738,$F651)="","",INDEX(選手一覧!$K$7:$K$2738,$F651))</f>
        <v>524</v>
      </c>
    </row>
    <row r="652" customFormat="false" ht="15" hidden="false" customHeight="false" outlineLevel="0" collapsed="false">
      <c r="A652" s="17" t="n">
        <v>648</v>
      </c>
      <c r="B652" s="12" t="s">
        <v>1097</v>
      </c>
      <c r="C652" s="12" t="s">
        <v>648</v>
      </c>
      <c r="D652" s="16" t="n">
        <v>0.0107372685185185</v>
      </c>
      <c r="E652" s="15" t="n">
        <f aca="false">ROUND((D652-$D$5)*86400,2)</f>
        <v>137.96</v>
      </c>
      <c r="F652" s="17" t="n">
        <v>647</v>
      </c>
      <c r="G652" s="16" t="str">
        <f aca="false">IF(INDEX(選手一覧!$H$7:$H$2738,$F652)="","",INDEX(選手一覧!$H$7:$H$2738,$F652))</f>
        <v/>
      </c>
      <c r="H652" s="17" t="str">
        <f aca="false">IF(INDEX(選手一覧!$I$7:$I$2738,$F652)="","",INDEX(選手一覧!$I$7:$I$2738,$F652))</f>
        <v/>
      </c>
      <c r="I652" s="16" t="n">
        <f aca="false">IF(INDEX(選手一覧!$J$7:$J$2738,$F652)="","",INDEX(選手一覧!$J$7:$J$2738,$F652))</f>
        <v>0.002771875</v>
      </c>
      <c r="J652" s="17" t="n">
        <f aca="false">IF(INDEX(選手一覧!$K$7:$K$2738,$F652)="","",INDEX(選手一覧!$K$7:$K$2738,$F652))</f>
        <v>165</v>
      </c>
    </row>
    <row r="653" customFormat="false" ht="15" hidden="false" customHeight="false" outlineLevel="0" collapsed="false">
      <c r="A653" s="17" t="n">
        <v>649</v>
      </c>
      <c r="B653" s="12" t="s">
        <v>1098</v>
      </c>
      <c r="C653" s="12" t="s">
        <v>115</v>
      </c>
      <c r="D653" s="16" t="n">
        <v>0.0107376157407407</v>
      </c>
      <c r="E653" s="15" t="n">
        <f aca="false">ROUND((D653-$D$5)*86400,2)</f>
        <v>137.99</v>
      </c>
      <c r="F653" s="17" t="n">
        <v>648</v>
      </c>
      <c r="G653" s="16" t="n">
        <f aca="false">IF(INDEX(選手一覧!$H$7:$H$2738,$F653)="","",INDEX(選手一覧!$H$7:$H$2738,$F653))</f>
        <v>0.00668634259259259</v>
      </c>
      <c r="H653" s="17" t="n">
        <f aca="false">IF(INDEX(選手一覧!$I$7:$I$2738,$F653)="","",INDEX(選手一覧!$I$7:$I$2738,$F653))</f>
        <v>104</v>
      </c>
      <c r="I653" s="16" t="str">
        <f aca="false">IF(INDEX(選手一覧!$J$7:$J$2738,$F653)="","",INDEX(選手一覧!$J$7:$J$2738,$F653))</f>
        <v/>
      </c>
      <c r="J653" s="17" t="str">
        <f aca="false">IF(INDEX(選手一覧!$K$7:$K$2738,$F653)="","",INDEX(選手一覧!$K$7:$K$2738,$F653))</f>
        <v/>
      </c>
    </row>
    <row r="654" customFormat="false" ht="15" hidden="false" customHeight="false" outlineLevel="0" collapsed="false">
      <c r="A654" s="17" t="n">
        <v>650</v>
      </c>
      <c r="B654" s="12" t="s">
        <v>1099</v>
      </c>
      <c r="C654" s="12" t="s">
        <v>585</v>
      </c>
      <c r="D654" s="16" t="n">
        <v>0.0107380787037037</v>
      </c>
      <c r="E654" s="15" t="n">
        <f aca="false">ROUND((D654-$D$5)*86400,2)</f>
        <v>138.03</v>
      </c>
      <c r="F654" s="17" t="n">
        <v>649</v>
      </c>
      <c r="G654" s="16" t="n">
        <f aca="false">IF(INDEX(選手一覧!$H$7:$H$2738,$F654)="","",INDEX(選手一覧!$H$7:$H$2738,$F654))</f>
        <v>0.00681689814814815</v>
      </c>
      <c r="H654" s="17" t="n">
        <f aca="false">IF(INDEX(選手一覧!$I$7:$I$2738,$F654)="","",INDEX(選手一覧!$I$7:$I$2738,$F654))</f>
        <v>183</v>
      </c>
      <c r="I654" s="16" t="n">
        <f aca="false">IF(INDEX(選手一覧!$J$7:$J$2738,$F654)="","",INDEX(選手一覧!$J$7:$J$2738,$F654))</f>
        <v>0.00282615740740741</v>
      </c>
      <c r="J654" s="17" t="n">
        <f aca="false">IF(INDEX(選手一覧!$K$7:$K$2738,$F654)="","",INDEX(選手一覧!$K$7:$K$2738,$F654))</f>
        <v>399</v>
      </c>
    </row>
    <row r="655" customFormat="false" ht="15" hidden="false" customHeight="false" outlineLevel="0" collapsed="false">
      <c r="A655" s="17" t="n">
        <v>651</v>
      </c>
      <c r="B655" s="12" t="s">
        <v>1100</v>
      </c>
      <c r="C655" s="12" t="s">
        <v>380</v>
      </c>
      <c r="D655" s="16" t="n">
        <v>0.0107394675925926</v>
      </c>
      <c r="E655" s="15" t="n">
        <f aca="false">ROUND((D655-$D$5)*86400,2)</f>
        <v>138.15</v>
      </c>
      <c r="F655" s="17" t="n">
        <v>650</v>
      </c>
      <c r="G655" s="16" t="n">
        <f aca="false">IF(INDEX(選手一覧!$H$7:$H$2738,$F655)="","",INDEX(選手一覧!$H$7:$H$2738,$F655))</f>
        <v>0.00688576388888889</v>
      </c>
      <c r="H655" s="17" t="n">
        <f aca="false">IF(INDEX(選手一覧!$I$7:$I$2738,$F655)="","",INDEX(選手一覧!$I$7:$I$2738,$F655))</f>
        <v>226</v>
      </c>
      <c r="I655" s="16" t="n">
        <f aca="false">IF(INDEX(選手一覧!$J$7:$J$2738,$F655)="","",INDEX(選手一覧!$J$7:$J$2738,$F655))</f>
        <v>0.00286828703703704</v>
      </c>
      <c r="J655" s="17" t="n">
        <f aca="false">IF(INDEX(選手一覧!$K$7:$K$2738,$F655)="","",INDEX(選手一覧!$K$7:$K$2738,$F655))</f>
        <v>684</v>
      </c>
    </row>
    <row r="656" customFormat="false" ht="15" hidden="false" customHeight="false" outlineLevel="0" collapsed="false">
      <c r="A656" s="17" t="n">
        <v>652</v>
      </c>
      <c r="B656" s="12" t="s">
        <v>1101</v>
      </c>
      <c r="C656" s="12" t="s">
        <v>695</v>
      </c>
      <c r="D656" s="16" t="n">
        <v>0.0107398148148148</v>
      </c>
      <c r="E656" s="15" t="n">
        <f aca="false">ROUND((D656-$D$5)*86400,2)</f>
        <v>138.18</v>
      </c>
      <c r="F656" s="17" t="n">
        <v>651</v>
      </c>
      <c r="G656" s="16" t="n">
        <f aca="false">IF(INDEX(選手一覧!$H$7:$H$2738,$F656)="","",INDEX(選手一覧!$H$7:$H$2738,$F656))</f>
        <v>0.00695972222222222</v>
      </c>
      <c r="H656" s="17" t="n">
        <f aca="false">IF(INDEX(選手一覧!$I$7:$I$2738,$F656)="","",INDEX(選手一覧!$I$7:$I$2738,$F656))</f>
        <v>293</v>
      </c>
      <c r="I656" s="16" t="n">
        <f aca="false">IF(INDEX(選手一覧!$J$7:$J$2738,$F656)="","",INDEX(選手一覧!$J$7:$J$2738,$F656))</f>
        <v>0.00288784722222222</v>
      </c>
      <c r="J656" s="17" t="n">
        <f aca="false">IF(INDEX(選手一覧!$K$7:$K$2738,$F656)="","",INDEX(選手一覧!$K$7:$K$2738,$F656))</f>
        <v>845</v>
      </c>
    </row>
    <row r="657" customFormat="false" ht="15" hidden="false" customHeight="false" outlineLevel="0" collapsed="false">
      <c r="A657" s="17" t="n">
        <v>653</v>
      </c>
      <c r="B657" s="12" t="s">
        <v>1102</v>
      </c>
      <c r="C657" s="12" t="s">
        <v>303</v>
      </c>
      <c r="D657" s="16" t="n">
        <v>0.010740625</v>
      </c>
      <c r="E657" s="15" t="n">
        <f aca="false">ROUND((D657-$D$5)*86400,2)</f>
        <v>138.25</v>
      </c>
      <c r="F657" s="17" t="n">
        <v>652</v>
      </c>
      <c r="G657" s="16" t="str">
        <f aca="false">IF(INDEX(選手一覧!$H$7:$H$2738,$F657)="","",INDEX(選手一覧!$H$7:$H$2738,$F657))</f>
        <v/>
      </c>
      <c r="H657" s="17" t="str">
        <f aca="false">IF(INDEX(選手一覧!$I$7:$I$2738,$F657)="","",INDEX(選手一覧!$I$7:$I$2738,$F657))</f>
        <v/>
      </c>
      <c r="I657" s="16" t="n">
        <f aca="false">IF(INDEX(選手一覧!$J$7:$J$2738,$F657)="","",INDEX(選手一覧!$J$7:$J$2738,$F657))</f>
        <v>0.00290787037037037</v>
      </c>
      <c r="J657" s="17" t="n">
        <f aca="false">IF(INDEX(選手一覧!$K$7:$K$2738,$F657)="","",INDEX(選手一覧!$K$7:$K$2738,$F657))</f>
        <v>1000</v>
      </c>
    </row>
    <row r="658" customFormat="false" ht="15" hidden="false" customHeight="false" outlineLevel="0" collapsed="false">
      <c r="A658" s="17" t="n">
        <v>654</v>
      </c>
      <c r="B658" s="12" t="s">
        <v>1103</v>
      </c>
      <c r="C658" s="12" t="s">
        <v>1104</v>
      </c>
      <c r="D658" s="16" t="n">
        <v>0.010740625</v>
      </c>
      <c r="E658" s="15" t="n">
        <f aca="false">ROUND((D658-$D$5)*86400,2)</f>
        <v>138.25</v>
      </c>
      <c r="F658" s="17" t="n">
        <v>653</v>
      </c>
      <c r="G658" s="16" t="str">
        <f aca="false">IF(INDEX(選手一覧!$H$7:$H$2738,$F658)="","",INDEX(選手一覧!$H$7:$H$2738,$F658))</f>
        <v/>
      </c>
      <c r="H658" s="17" t="str">
        <f aca="false">IF(INDEX(選手一覧!$I$7:$I$2738,$F658)="","",INDEX(選手一覧!$I$7:$I$2738,$F658))</f>
        <v/>
      </c>
      <c r="I658" s="16" t="n">
        <f aca="false">IF(INDEX(選手一覧!$J$7:$J$2738,$F658)="","",INDEX(選手一覧!$J$7:$J$2738,$F658))</f>
        <v>0.00286643518518519</v>
      </c>
      <c r="J658" s="17" t="n">
        <f aca="false">IF(INDEX(選手一覧!$K$7:$K$2738,$F658)="","",INDEX(選手一覧!$K$7:$K$2738,$F658))</f>
        <v>673</v>
      </c>
    </row>
    <row r="659" customFormat="false" ht="15" hidden="false" customHeight="false" outlineLevel="0" collapsed="false">
      <c r="A659" s="17" t="n">
        <v>655</v>
      </c>
      <c r="B659" s="12" t="s">
        <v>1105</v>
      </c>
      <c r="C659" s="12" t="s">
        <v>1106</v>
      </c>
      <c r="D659" s="16" t="n">
        <v>0.0107415509259259</v>
      </c>
      <c r="E659" s="15" t="n">
        <f aca="false">ROUND((D659-$D$5)*86400,2)</f>
        <v>138.33</v>
      </c>
      <c r="F659" s="17" t="n">
        <v>654</v>
      </c>
      <c r="G659" s="16" t="str">
        <f aca="false">IF(INDEX(選手一覧!$H$7:$H$2738,$F659)="","",INDEX(選手一覧!$H$7:$H$2738,$F659))</f>
        <v/>
      </c>
      <c r="H659" s="17" t="str">
        <f aca="false">IF(INDEX(選手一覧!$I$7:$I$2738,$F659)="","",INDEX(選手一覧!$I$7:$I$2738,$F659))</f>
        <v/>
      </c>
      <c r="I659" s="16" t="n">
        <f aca="false">IF(INDEX(選手一覧!$J$7:$J$2738,$F659)="","",INDEX(選手一覧!$J$7:$J$2738,$F659))</f>
        <v>0.00279560185185185</v>
      </c>
      <c r="J659" s="17" t="n">
        <f aca="false">IF(INDEX(選手一覧!$K$7:$K$2738,$F659)="","",INDEX(選手一覧!$K$7:$K$2738,$F659))</f>
        <v>263</v>
      </c>
    </row>
    <row r="660" customFormat="false" ht="15" hidden="false" customHeight="false" outlineLevel="0" collapsed="false">
      <c r="A660" s="17" t="n">
        <v>656</v>
      </c>
      <c r="B660" s="12" t="s">
        <v>1107</v>
      </c>
      <c r="C660" s="12" t="s">
        <v>63</v>
      </c>
      <c r="D660" s="16" t="n">
        <v>0.0107417824074074</v>
      </c>
      <c r="E660" s="15" t="n">
        <f aca="false">ROUND((D660-$D$5)*86400,2)</f>
        <v>138.35</v>
      </c>
      <c r="F660" s="17" t="n">
        <v>655</v>
      </c>
      <c r="G660" s="16" t="str">
        <f aca="false">IF(INDEX(選手一覧!$H$7:$H$2738,$F660)="","",INDEX(選手一覧!$H$7:$H$2738,$F660))</f>
        <v/>
      </c>
      <c r="H660" s="17" t="str">
        <f aca="false">IF(INDEX(選手一覧!$I$7:$I$2738,$F660)="","",INDEX(選手一覧!$I$7:$I$2738,$F660))</f>
        <v/>
      </c>
      <c r="I660" s="16" t="str">
        <f aca="false">IF(INDEX(選手一覧!$J$7:$J$2738,$F660)="","",INDEX(選手一覧!$J$7:$J$2738,$F660))</f>
        <v/>
      </c>
      <c r="J660" s="17" t="str">
        <f aca="false">IF(INDEX(選手一覧!$K$7:$K$2738,$F660)="","",INDEX(選手一覧!$K$7:$K$2738,$F660))</f>
        <v/>
      </c>
    </row>
    <row r="661" customFormat="false" ht="15" hidden="false" customHeight="false" outlineLevel="0" collapsed="false">
      <c r="A661" s="17" t="n">
        <v>657</v>
      </c>
      <c r="B661" s="12" t="s">
        <v>1108</v>
      </c>
      <c r="C661" s="12" t="s">
        <v>351</v>
      </c>
      <c r="D661" s="16" t="n">
        <v>0.0107427083333333</v>
      </c>
      <c r="E661" s="15" t="n">
        <f aca="false">ROUND((D661-$D$5)*86400,2)</f>
        <v>138.43</v>
      </c>
      <c r="F661" s="17" t="n">
        <v>656</v>
      </c>
      <c r="G661" s="16" t="n">
        <f aca="false">IF(INDEX(選手一覧!$H$7:$H$2738,$F661)="","",INDEX(選手一覧!$H$7:$H$2738,$F661))</f>
        <v>0.00656342592592593</v>
      </c>
      <c r="H661" s="17" t="n">
        <f aca="false">IF(INDEX(選手一覧!$I$7:$I$2738,$F661)="","",INDEX(選手一覧!$I$7:$I$2738,$F661))</f>
        <v>49</v>
      </c>
      <c r="I661" s="16" t="n">
        <f aca="false">IF(INDEX(選手一覧!$J$7:$J$2738,$F661)="","",INDEX(選手一覧!$J$7:$J$2738,$F661))</f>
        <v>0.00286423611111111</v>
      </c>
      <c r="J661" s="17" t="n">
        <f aca="false">IF(INDEX(選手一覧!$K$7:$K$2738,$F661)="","",INDEX(選手一覧!$K$7:$K$2738,$F661))</f>
        <v>661</v>
      </c>
    </row>
    <row r="662" customFormat="false" ht="15" hidden="false" customHeight="false" outlineLevel="0" collapsed="false">
      <c r="A662" s="17" t="n">
        <v>658</v>
      </c>
      <c r="B662" s="12" t="s">
        <v>1110</v>
      </c>
      <c r="C662" s="12" t="s">
        <v>1111</v>
      </c>
      <c r="D662" s="16" t="n">
        <v>0.0107445601851852</v>
      </c>
      <c r="E662" s="15" t="n">
        <f aca="false">ROUND((D662-$D$5)*86400,2)</f>
        <v>138.59</v>
      </c>
      <c r="F662" s="17" t="n">
        <v>657</v>
      </c>
      <c r="G662" s="16" t="str">
        <f aca="false">IF(INDEX(選手一覧!$H$7:$H$2738,$F662)="","",INDEX(選手一覧!$H$7:$H$2738,$F662))</f>
        <v/>
      </c>
      <c r="H662" s="17" t="str">
        <f aca="false">IF(INDEX(選手一覧!$I$7:$I$2738,$F662)="","",INDEX(選手一覧!$I$7:$I$2738,$F662))</f>
        <v/>
      </c>
      <c r="I662" s="16" t="n">
        <f aca="false">IF(INDEX(選手一覧!$J$7:$J$2738,$F662)="","",INDEX(選手一覧!$J$7:$J$2738,$F662))</f>
        <v>0.00292465277777778</v>
      </c>
      <c r="J662" s="17" t="n">
        <f aca="false">IF(INDEX(選手一覧!$K$7:$K$2738,$F662)="","",INDEX(選手一覧!$K$7:$K$2738,$F662))</f>
        <v>1140</v>
      </c>
    </row>
    <row r="663" customFormat="false" ht="15" hidden="false" customHeight="false" outlineLevel="0" collapsed="false">
      <c r="A663" s="17" t="n">
        <v>659</v>
      </c>
      <c r="B663" s="12" t="s">
        <v>1112</v>
      </c>
      <c r="C663" s="12" t="s">
        <v>129</v>
      </c>
      <c r="D663" s="16" t="n">
        <v>0.0107447916666667</v>
      </c>
      <c r="E663" s="15" t="n">
        <f aca="false">ROUND((D663-$D$5)*86400,2)</f>
        <v>138.61</v>
      </c>
      <c r="F663" s="17" t="n">
        <v>658</v>
      </c>
      <c r="G663" s="16" t="str">
        <f aca="false">IF(INDEX(選手一覧!$H$7:$H$2738,$F663)="","",INDEX(選手一覧!$H$7:$H$2738,$F663))</f>
        <v/>
      </c>
      <c r="H663" s="17" t="str">
        <f aca="false">IF(INDEX(選手一覧!$I$7:$I$2738,$F663)="","",INDEX(選手一覧!$I$7:$I$2738,$F663))</f>
        <v/>
      </c>
      <c r="I663" s="16" t="str">
        <f aca="false">IF(INDEX(選手一覧!$J$7:$J$2738,$F663)="","",INDEX(選手一覧!$J$7:$J$2738,$F663))</f>
        <v/>
      </c>
      <c r="J663" s="17" t="str">
        <f aca="false">IF(INDEX(選手一覧!$K$7:$K$2738,$F663)="","",INDEX(選手一覧!$K$7:$K$2738,$F663))</f>
        <v/>
      </c>
    </row>
    <row r="664" customFormat="false" ht="15" hidden="false" customHeight="false" outlineLevel="0" collapsed="false">
      <c r="A664" s="17" t="n">
        <v>660</v>
      </c>
      <c r="B664" s="12" t="s">
        <v>1113</v>
      </c>
      <c r="C664" s="12" t="s">
        <v>25</v>
      </c>
      <c r="D664" s="16" t="n">
        <v>0.0107447916666667</v>
      </c>
      <c r="E664" s="15" t="n">
        <f aca="false">ROUND((D664-$D$5)*86400,2)</f>
        <v>138.61</v>
      </c>
      <c r="F664" s="17" t="n">
        <v>659</v>
      </c>
      <c r="G664" s="16" t="n">
        <f aca="false">IF(INDEX(選手一覧!$H$7:$H$2738,$F664)="","",INDEX(選手一覧!$H$7:$H$2738,$F664))</f>
        <v>0.00730231481481481</v>
      </c>
      <c r="H664" s="17" t="n">
        <f aca="false">IF(INDEX(選手一覧!$I$7:$I$2738,$F664)="","",INDEX(選手一覧!$I$7:$I$2738,$F664))</f>
        <v>650</v>
      </c>
      <c r="I664" s="16" t="str">
        <f aca="false">IF(INDEX(選手一覧!$J$7:$J$2738,$F664)="","",INDEX(選手一覧!$J$7:$J$2738,$F664))</f>
        <v/>
      </c>
      <c r="J664" s="17" t="str">
        <f aca="false">IF(INDEX(選手一覧!$K$7:$K$2738,$F664)="","",INDEX(選手一覧!$K$7:$K$2738,$F664))</f>
        <v/>
      </c>
    </row>
    <row r="665" customFormat="false" ht="15" hidden="false" customHeight="false" outlineLevel="0" collapsed="false">
      <c r="A665" s="17" t="n">
        <v>661</v>
      </c>
      <c r="B665" s="12" t="s">
        <v>1114</v>
      </c>
      <c r="C665" s="12" t="s">
        <v>1049</v>
      </c>
      <c r="D665" s="16" t="n">
        <v>0.0107453703703704</v>
      </c>
      <c r="E665" s="15" t="n">
        <f aca="false">ROUND((D665-$D$5)*86400,2)</f>
        <v>138.66</v>
      </c>
      <c r="F665" s="17" t="n">
        <v>660</v>
      </c>
      <c r="G665" s="16" t="str">
        <f aca="false">IF(INDEX(選手一覧!$H$7:$H$2738,$F665)="","",INDEX(選手一覧!$H$7:$H$2738,$F665))</f>
        <v/>
      </c>
      <c r="H665" s="17" t="str">
        <f aca="false">IF(INDEX(選手一覧!$I$7:$I$2738,$F665)="","",INDEX(選手一覧!$I$7:$I$2738,$F665))</f>
        <v/>
      </c>
      <c r="I665" s="16" t="str">
        <f aca="false">IF(INDEX(選手一覧!$J$7:$J$2738,$F665)="","",INDEX(選手一覧!$J$7:$J$2738,$F665))</f>
        <v/>
      </c>
      <c r="J665" s="17" t="str">
        <f aca="false">IF(INDEX(選手一覧!$K$7:$K$2738,$F665)="","",INDEX(選手一覧!$K$7:$K$2738,$F665))</f>
        <v/>
      </c>
    </row>
    <row r="666" customFormat="false" ht="15" hidden="false" customHeight="false" outlineLevel="0" collapsed="false">
      <c r="A666" s="17" t="n">
        <v>662</v>
      </c>
      <c r="B666" s="12" t="s">
        <v>1115</v>
      </c>
      <c r="C666" s="12" t="s">
        <v>71</v>
      </c>
      <c r="D666" s="16" t="n">
        <v>0.0107457175925926</v>
      </c>
      <c r="E666" s="15" t="n">
        <f aca="false">ROUND((D666-$D$5)*86400,2)</f>
        <v>138.69</v>
      </c>
      <c r="F666" s="17" t="n">
        <v>661</v>
      </c>
      <c r="G666" s="16" t="n">
        <f aca="false">IF(INDEX(選手一覧!$H$7:$H$2738,$F666)="","",INDEX(選手一覧!$H$7:$H$2738,$F666))</f>
        <v>0.0066755787037037</v>
      </c>
      <c r="H666" s="17" t="n">
        <f aca="false">IF(INDEX(選手一覧!$I$7:$I$2738,$F666)="","",INDEX(選手一覧!$I$7:$I$2738,$F666))</f>
        <v>94</v>
      </c>
      <c r="I666" s="16" t="str">
        <f aca="false">IF(INDEX(選手一覧!$J$7:$J$2738,$F666)="","",INDEX(選手一覧!$J$7:$J$2738,$F666))</f>
        <v/>
      </c>
      <c r="J666" s="17" t="str">
        <f aca="false">IF(INDEX(選手一覧!$K$7:$K$2738,$F666)="","",INDEX(選手一覧!$K$7:$K$2738,$F666))</f>
        <v/>
      </c>
    </row>
    <row r="667" customFormat="false" ht="15" hidden="false" customHeight="false" outlineLevel="0" collapsed="false">
      <c r="A667" s="17" t="n">
        <v>663</v>
      </c>
      <c r="B667" s="12" t="s">
        <v>1116</v>
      </c>
      <c r="C667" s="12" t="s">
        <v>1117</v>
      </c>
      <c r="D667" s="16" t="n">
        <v>0.010746412037037</v>
      </c>
      <c r="E667" s="15" t="n">
        <f aca="false">ROUND((D667-$D$5)*86400,2)</f>
        <v>138.75</v>
      </c>
      <c r="F667" s="17" t="n">
        <v>662</v>
      </c>
      <c r="G667" s="16" t="str">
        <f aca="false">IF(INDEX(選手一覧!$H$7:$H$2738,$F667)="","",INDEX(選手一覧!$H$7:$H$2738,$F667))</f>
        <v/>
      </c>
      <c r="H667" s="17" t="str">
        <f aca="false">IF(INDEX(選手一覧!$I$7:$I$2738,$F667)="","",INDEX(選手一覧!$I$7:$I$2738,$F667))</f>
        <v/>
      </c>
      <c r="I667" s="16" t="str">
        <f aca="false">IF(INDEX(選手一覧!$J$7:$J$2738,$F667)="","",INDEX(選手一覧!$J$7:$J$2738,$F667))</f>
        <v/>
      </c>
      <c r="J667" s="17" t="str">
        <f aca="false">IF(INDEX(選手一覧!$K$7:$K$2738,$F667)="","",INDEX(選手一覧!$K$7:$K$2738,$F667))</f>
        <v/>
      </c>
    </row>
    <row r="668" customFormat="false" ht="15" hidden="false" customHeight="false" outlineLevel="0" collapsed="false">
      <c r="A668" s="17" t="n">
        <v>664</v>
      </c>
      <c r="B668" s="12" t="s">
        <v>1118</v>
      </c>
      <c r="C668" s="12" t="s">
        <v>737</v>
      </c>
      <c r="D668" s="16" t="n">
        <v>0.0107466435185185</v>
      </c>
      <c r="E668" s="15" t="n">
        <f aca="false">ROUND((D668-$D$5)*86400,2)</f>
        <v>138.77</v>
      </c>
      <c r="F668" s="17" t="n">
        <v>663</v>
      </c>
      <c r="G668" s="16" t="str">
        <f aca="false">IF(INDEX(選手一覧!$H$7:$H$2738,$F668)="","",INDEX(選手一覧!$H$7:$H$2738,$F668))</f>
        <v/>
      </c>
      <c r="H668" s="17" t="str">
        <f aca="false">IF(INDEX(選手一覧!$I$7:$I$2738,$F668)="","",INDEX(選手一覧!$I$7:$I$2738,$F668))</f>
        <v/>
      </c>
      <c r="I668" s="16" t="n">
        <f aca="false">IF(INDEX(選手一覧!$J$7:$J$2738,$F668)="","",INDEX(選手一覧!$J$7:$J$2738,$F668))</f>
        <v>0.00274930555555556</v>
      </c>
      <c r="J668" s="17" t="n">
        <f aca="false">IF(INDEX(選手一覧!$K$7:$K$2738,$F668)="","",INDEX(選手一覧!$K$7:$K$2738,$F668))</f>
        <v>102</v>
      </c>
    </row>
    <row r="669" customFormat="false" ht="15" hidden="false" customHeight="false" outlineLevel="0" collapsed="false">
      <c r="A669" s="17" t="n">
        <v>665</v>
      </c>
      <c r="B669" s="12" t="s">
        <v>1120</v>
      </c>
      <c r="C669" s="12" t="s">
        <v>1121</v>
      </c>
      <c r="D669" s="16" t="n">
        <v>0.0107475694444445</v>
      </c>
      <c r="E669" s="15" t="n">
        <f aca="false">ROUND((D669-$D$5)*86400,2)</f>
        <v>138.85</v>
      </c>
      <c r="F669" s="17" t="n">
        <v>664</v>
      </c>
      <c r="G669" s="16" t="str">
        <f aca="false">IF(INDEX(選手一覧!$H$7:$H$2738,$F669)="","",INDEX(選手一覧!$H$7:$H$2738,$F669))</f>
        <v/>
      </c>
      <c r="H669" s="17" t="str">
        <f aca="false">IF(INDEX(選手一覧!$I$7:$I$2738,$F669)="","",INDEX(選手一覧!$I$7:$I$2738,$F669))</f>
        <v/>
      </c>
      <c r="I669" s="16" t="n">
        <f aca="false">IF(INDEX(選手一覧!$J$7:$J$2738,$F669)="","",INDEX(選手一覧!$J$7:$J$2738,$F669))</f>
        <v>0.00275949074074074</v>
      </c>
      <c r="J669" s="17" t="n">
        <f aca="false">IF(INDEX(選手一覧!$K$7:$K$2738,$F669)="","",INDEX(選手一覧!$K$7:$K$2738,$F669))</f>
        <v>134</v>
      </c>
    </row>
    <row r="670" customFormat="false" ht="15" hidden="false" customHeight="false" outlineLevel="0" collapsed="false">
      <c r="A670" s="17" t="n">
        <v>666</v>
      </c>
      <c r="B670" s="12" t="s">
        <v>1122</v>
      </c>
      <c r="C670" s="12" t="s">
        <v>1123</v>
      </c>
      <c r="D670" s="16" t="n">
        <v>0.0107493055555556</v>
      </c>
      <c r="E670" s="15" t="n">
        <f aca="false">ROUND((D670-$D$5)*86400,2)</f>
        <v>139</v>
      </c>
      <c r="F670" s="17" t="n">
        <v>665</v>
      </c>
      <c r="G670" s="16" t="n">
        <f aca="false">IF(INDEX(選手一覧!$H$7:$H$2738,$F670)="","",INDEX(選手一覧!$H$7:$H$2738,$F670))</f>
        <v>0.00656388888888889</v>
      </c>
      <c r="H670" s="17" t="n">
        <f aca="false">IF(INDEX(選手一覧!$I$7:$I$2738,$F670)="","",INDEX(選手一覧!$I$7:$I$2738,$F670))</f>
        <v>52</v>
      </c>
      <c r="I670" s="16" t="str">
        <f aca="false">IF(INDEX(選手一覧!$J$7:$J$2738,$F670)="","",INDEX(選手一覧!$J$7:$J$2738,$F670))</f>
        <v/>
      </c>
      <c r="J670" s="17" t="str">
        <f aca="false">IF(INDEX(選手一覧!$K$7:$K$2738,$F670)="","",INDEX(選手一覧!$K$7:$K$2738,$F670))</f>
        <v/>
      </c>
    </row>
    <row r="671" customFormat="false" ht="15" hidden="false" customHeight="false" outlineLevel="0" collapsed="false">
      <c r="A671" s="17" t="n">
        <v>667</v>
      </c>
      <c r="B671" s="12" t="s">
        <v>1124</v>
      </c>
      <c r="C671" s="12" t="s">
        <v>1125</v>
      </c>
      <c r="D671" s="16" t="n">
        <v>0.0107502314814815</v>
      </c>
      <c r="E671" s="15" t="n">
        <f aca="false">ROUND((D671-$D$5)*86400,2)</f>
        <v>139.08</v>
      </c>
      <c r="F671" s="17" t="n">
        <v>666</v>
      </c>
      <c r="G671" s="16" t="str">
        <f aca="false">IF(INDEX(選手一覧!$H$7:$H$2738,$F671)="","",INDEX(選手一覧!$H$7:$H$2738,$F671))</f>
        <v/>
      </c>
      <c r="H671" s="17" t="str">
        <f aca="false">IF(INDEX(選手一覧!$I$7:$I$2738,$F671)="","",INDEX(選手一覧!$I$7:$I$2738,$F671))</f>
        <v/>
      </c>
      <c r="I671" s="16" t="n">
        <f aca="false">IF(INDEX(選手一覧!$J$7:$J$2738,$F671)="","",INDEX(選手一覧!$J$7:$J$2738,$F671))</f>
        <v>0.00277743055555556</v>
      </c>
      <c r="J671" s="17" t="n">
        <f aca="false">IF(INDEX(選手一覧!$K$7:$K$2738,$F671)="","",INDEX(選手一覧!$K$7:$K$2738,$F671))</f>
        <v>188</v>
      </c>
    </row>
    <row r="672" customFormat="false" ht="15" hidden="false" customHeight="false" outlineLevel="0" collapsed="false">
      <c r="A672" s="17" t="n">
        <v>668</v>
      </c>
      <c r="B672" s="12" t="s">
        <v>1126</v>
      </c>
      <c r="C672" s="12" t="s">
        <v>1127</v>
      </c>
      <c r="D672" s="16" t="n">
        <v>0.0107510416666667</v>
      </c>
      <c r="E672" s="15" t="n">
        <f aca="false">ROUND((D672-$D$5)*86400,2)</f>
        <v>139.15</v>
      </c>
      <c r="F672" s="17" t="n">
        <v>667</v>
      </c>
      <c r="G672" s="16" t="n">
        <f aca="false">IF(INDEX(選手一覧!$H$7:$H$2738,$F672)="","",INDEX(選手一覧!$H$7:$H$2738,$F672))</f>
        <v>0.00711990740740741</v>
      </c>
      <c r="H672" s="17" t="n">
        <f aca="false">IF(INDEX(選手一覧!$I$7:$I$2738,$F672)="","",INDEX(選手一覧!$I$7:$I$2738,$F672))</f>
        <v>465</v>
      </c>
      <c r="I672" s="16" t="n">
        <f aca="false">IF(INDEX(選手一覧!$J$7:$J$2738,$F672)="","",INDEX(選手一覧!$J$7:$J$2738,$F672))</f>
        <v>0.00285555555555556</v>
      </c>
      <c r="J672" s="17" t="n">
        <f aca="false">IF(INDEX(選手一覧!$K$7:$K$2738,$F672)="","",INDEX(選手一覧!$K$7:$K$2738,$F672))</f>
        <v>600</v>
      </c>
    </row>
    <row r="673" customFormat="false" ht="15" hidden="false" customHeight="false" outlineLevel="0" collapsed="false">
      <c r="A673" s="17" t="n">
        <v>669</v>
      </c>
      <c r="B673" s="12" t="s">
        <v>1128</v>
      </c>
      <c r="C673" s="12" t="s">
        <v>25</v>
      </c>
      <c r="D673" s="16" t="n">
        <v>0.0107510416666667</v>
      </c>
      <c r="E673" s="15" t="n">
        <f aca="false">ROUND((D673-$D$5)*86400,2)</f>
        <v>139.15</v>
      </c>
      <c r="F673" s="17" t="n">
        <v>668</v>
      </c>
      <c r="G673" s="16" t="str">
        <f aca="false">IF(INDEX(選手一覧!$H$7:$H$2738,$F673)="","",INDEX(選手一覧!$H$7:$H$2738,$F673))</f>
        <v/>
      </c>
      <c r="H673" s="17" t="str">
        <f aca="false">IF(INDEX(選手一覧!$I$7:$I$2738,$F673)="","",INDEX(選手一覧!$I$7:$I$2738,$F673))</f>
        <v/>
      </c>
      <c r="I673" s="16" t="n">
        <f aca="false">IF(INDEX(選手一覧!$J$7:$J$2738,$F673)="","",INDEX(選手一覧!$J$7:$J$2738,$F673))</f>
        <v>0.00297569444444445</v>
      </c>
      <c r="J673" s="17" t="n">
        <f aca="false">IF(INDEX(選手一覧!$K$7:$K$2738,$F673)="","",INDEX(選手一覧!$K$7:$K$2738,$F673))</f>
        <v>1330</v>
      </c>
    </row>
    <row r="674" customFormat="false" ht="15" hidden="false" customHeight="false" outlineLevel="0" collapsed="false">
      <c r="A674" s="17" t="n">
        <v>670</v>
      </c>
      <c r="B674" s="12" t="s">
        <v>1129</v>
      </c>
      <c r="C674" s="12" t="s">
        <v>936</v>
      </c>
      <c r="D674" s="16" t="n">
        <v>0.0107515046296296</v>
      </c>
      <c r="E674" s="15" t="n">
        <f aca="false">ROUND((D674-$D$5)*86400,2)</f>
        <v>139.19</v>
      </c>
      <c r="F674" s="17" t="n">
        <v>669</v>
      </c>
      <c r="G674" s="16" t="str">
        <f aca="false">IF(INDEX(選手一覧!$H$7:$H$2738,$F674)="","",INDEX(選手一覧!$H$7:$H$2738,$F674))</f>
        <v/>
      </c>
      <c r="H674" s="17" t="str">
        <f aca="false">IF(INDEX(選手一覧!$I$7:$I$2738,$F674)="","",INDEX(選手一覧!$I$7:$I$2738,$F674))</f>
        <v/>
      </c>
      <c r="I674" s="16" t="n">
        <f aca="false">IF(INDEX(選手一覧!$J$7:$J$2738,$F674)="","",INDEX(選手一覧!$J$7:$J$2738,$F674))</f>
        <v>0.00275115740740741</v>
      </c>
      <c r="J674" s="17" t="n">
        <f aca="false">IF(INDEX(選手一覧!$K$7:$K$2738,$F674)="","",INDEX(選手一覧!$K$7:$K$2738,$F674))</f>
        <v>106</v>
      </c>
    </row>
    <row r="675" customFormat="false" ht="15" hidden="false" customHeight="false" outlineLevel="0" collapsed="false">
      <c r="A675" s="17" t="n">
        <v>671</v>
      </c>
      <c r="B675" s="12" t="s">
        <v>1130</v>
      </c>
      <c r="C675" s="12" t="s">
        <v>1131</v>
      </c>
      <c r="D675" s="16" t="n">
        <v>0.010752662037037</v>
      </c>
      <c r="E675" s="15" t="n">
        <f aca="false">ROUND((D675-$D$5)*86400,2)</f>
        <v>139.29</v>
      </c>
      <c r="F675" s="17" t="n">
        <v>670</v>
      </c>
      <c r="G675" s="16" t="str">
        <f aca="false">IF(INDEX(選手一覧!$H$7:$H$2738,$F675)="","",INDEX(選手一覧!$H$7:$H$2738,$F675))</f>
        <v/>
      </c>
      <c r="H675" s="17" t="str">
        <f aca="false">IF(INDEX(選手一覧!$I$7:$I$2738,$F675)="","",INDEX(選手一覧!$I$7:$I$2738,$F675))</f>
        <v/>
      </c>
      <c r="I675" s="16" t="n">
        <f aca="false">IF(INDEX(選手一覧!$J$7:$J$2738,$F675)="","",INDEX(選手一覧!$J$7:$J$2738,$F675))</f>
        <v>0.00284027777777778</v>
      </c>
      <c r="J675" s="17" t="n">
        <f aca="false">IF(INDEX(選手一覧!$K$7:$K$2738,$F675)="","",INDEX(選手一覧!$K$7:$K$2738,$F675))</f>
        <v>499</v>
      </c>
    </row>
    <row r="676" customFormat="false" ht="15" hidden="false" customHeight="false" outlineLevel="0" collapsed="false">
      <c r="A676" s="17" t="n">
        <v>672</v>
      </c>
      <c r="B676" s="12" t="s">
        <v>1133</v>
      </c>
      <c r="C676" s="12" t="s">
        <v>351</v>
      </c>
      <c r="D676" s="16" t="n">
        <v>0.010753125</v>
      </c>
      <c r="E676" s="15" t="n">
        <f aca="false">ROUND((D676-$D$5)*86400,2)</f>
        <v>139.33</v>
      </c>
      <c r="F676" s="17" t="n">
        <v>671</v>
      </c>
      <c r="G676" s="16" t="n">
        <f aca="false">IF(INDEX(選手一覧!$H$7:$H$2738,$F676)="","",INDEX(選手一覧!$H$7:$H$2738,$F676))</f>
        <v>0.00746712962962963</v>
      </c>
      <c r="H676" s="17" t="n">
        <f aca="false">IF(INDEX(選手一覧!$I$7:$I$2738,$F676)="","",INDEX(選手一覧!$I$7:$I$2738,$F676))</f>
        <v>857</v>
      </c>
      <c r="I676" s="16" t="n">
        <f aca="false">IF(INDEX(選手一覧!$J$7:$J$2738,$F676)="","",INDEX(選手一覧!$J$7:$J$2738,$F676))</f>
        <v>0.00291041666666667</v>
      </c>
      <c r="J676" s="17" t="n">
        <f aca="false">IF(INDEX(選手一覧!$K$7:$K$2738,$F676)="","",INDEX(選手一覧!$K$7:$K$2738,$F676))</f>
        <v>1024</v>
      </c>
    </row>
    <row r="677" customFormat="false" ht="15" hidden="false" customHeight="false" outlineLevel="0" collapsed="false">
      <c r="A677" s="17" t="n">
        <v>673</v>
      </c>
      <c r="B677" s="12" t="s">
        <v>1135</v>
      </c>
      <c r="C677" s="12" t="s">
        <v>525</v>
      </c>
      <c r="D677" s="16" t="n">
        <v>0.0107538194444444</v>
      </c>
      <c r="E677" s="15" t="n">
        <f aca="false">ROUND((D677-$D$5)*86400,2)</f>
        <v>139.39</v>
      </c>
      <c r="F677" s="17" t="n">
        <v>672</v>
      </c>
      <c r="G677" s="16" t="n">
        <f aca="false">IF(INDEX(選手一覧!$H$7:$H$2738,$F677)="","",INDEX(選手一覧!$H$7:$H$2738,$F677))</f>
        <v>0.007290625</v>
      </c>
      <c r="H677" s="17" t="n">
        <f aca="false">IF(INDEX(選手一覧!$I$7:$I$2738,$F677)="","",INDEX(選手一覧!$I$7:$I$2738,$F677))</f>
        <v>630</v>
      </c>
      <c r="I677" s="16" t="str">
        <f aca="false">IF(INDEX(選手一覧!$J$7:$J$2738,$F677)="","",INDEX(選手一覧!$J$7:$J$2738,$F677))</f>
        <v/>
      </c>
      <c r="J677" s="17" t="str">
        <f aca="false">IF(INDEX(選手一覧!$K$7:$K$2738,$F677)="","",INDEX(選手一覧!$K$7:$K$2738,$F677))</f>
        <v/>
      </c>
    </row>
    <row r="678" customFormat="false" ht="15" hidden="false" customHeight="false" outlineLevel="0" collapsed="false">
      <c r="A678" s="17" t="n">
        <v>674</v>
      </c>
      <c r="B678" s="12" t="s">
        <v>1137</v>
      </c>
      <c r="C678" s="12" t="s">
        <v>1138</v>
      </c>
      <c r="D678" s="16" t="n">
        <v>0.0107541666666667</v>
      </c>
      <c r="E678" s="15" t="n">
        <f aca="false">ROUND((D678-$D$5)*86400,2)</f>
        <v>139.42</v>
      </c>
      <c r="F678" s="17" t="n">
        <v>673</v>
      </c>
      <c r="G678" s="16" t="str">
        <f aca="false">IF(INDEX(選手一覧!$H$7:$H$2738,$F678)="","",INDEX(選手一覧!$H$7:$H$2738,$F678))</f>
        <v/>
      </c>
      <c r="H678" s="17" t="str">
        <f aca="false">IF(INDEX(選手一覧!$I$7:$I$2738,$F678)="","",INDEX(選手一覧!$I$7:$I$2738,$F678))</f>
        <v/>
      </c>
      <c r="I678" s="16" t="str">
        <f aca="false">IF(INDEX(選手一覧!$J$7:$J$2738,$F678)="","",INDEX(選手一覧!$J$7:$J$2738,$F678))</f>
        <v/>
      </c>
      <c r="J678" s="17" t="str">
        <f aca="false">IF(INDEX(選手一覧!$K$7:$K$2738,$F678)="","",INDEX(選手一覧!$K$7:$K$2738,$F678))</f>
        <v/>
      </c>
    </row>
    <row r="679" customFormat="false" ht="15" hidden="false" customHeight="false" outlineLevel="0" collapsed="false">
      <c r="A679" s="17" t="n">
        <v>675</v>
      </c>
      <c r="B679" s="12" t="s">
        <v>1139</v>
      </c>
      <c r="C679" s="12" t="s">
        <v>544</v>
      </c>
      <c r="D679" s="16" t="n">
        <v>0.0107555555555556</v>
      </c>
      <c r="E679" s="15" t="n">
        <f aca="false">ROUND((D679-$D$5)*86400,2)</f>
        <v>139.54</v>
      </c>
      <c r="F679" s="17" t="n">
        <v>674</v>
      </c>
      <c r="G679" s="16" t="str">
        <f aca="false">IF(INDEX(選手一覧!$H$7:$H$2738,$F679)="","",INDEX(選手一覧!$H$7:$H$2738,$F679))</f>
        <v/>
      </c>
      <c r="H679" s="17" t="str">
        <f aca="false">IF(INDEX(選手一覧!$I$7:$I$2738,$F679)="","",INDEX(選手一覧!$I$7:$I$2738,$F679))</f>
        <v/>
      </c>
      <c r="I679" s="16" t="str">
        <f aca="false">IF(INDEX(選手一覧!$J$7:$J$2738,$F679)="","",INDEX(選手一覧!$J$7:$J$2738,$F679))</f>
        <v/>
      </c>
      <c r="J679" s="17" t="str">
        <f aca="false">IF(INDEX(選手一覧!$K$7:$K$2738,$F679)="","",INDEX(選手一覧!$K$7:$K$2738,$F679))</f>
        <v/>
      </c>
    </row>
    <row r="680" customFormat="false" ht="15" hidden="false" customHeight="false" outlineLevel="0" collapsed="false">
      <c r="A680" s="17" t="n">
        <v>676</v>
      </c>
      <c r="B680" s="12" t="s">
        <v>1140</v>
      </c>
      <c r="C680" s="12" t="s">
        <v>1141</v>
      </c>
      <c r="D680" s="16" t="n">
        <v>0.0107561342592593</v>
      </c>
      <c r="E680" s="15" t="n">
        <f aca="false">ROUND((D680-$D$5)*86400,2)</f>
        <v>139.59</v>
      </c>
      <c r="F680" s="17" t="n">
        <v>675</v>
      </c>
      <c r="G680" s="16" t="str">
        <f aca="false">IF(INDEX(選手一覧!$H$7:$H$2738,$F680)="","",INDEX(選手一覧!$H$7:$H$2738,$F680))</f>
        <v/>
      </c>
      <c r="H680" s="17" t="str">
        <f aca="false">IF(INDEX(選手一覧!$I$7:$I$2738,$F680)="","",INDEX(選手一覧!$I$7:$I$2738,$F680))</f>
        <v/>
      </c>
      <c r="I680" s="16" t="n">
        <f aca="false">IF(INDEX(選手一覧!$J$7:$J$2738,$F680)="","",INDEX(選手一覧!$J$7:$J$2738,$F680))</f>
        <v>0.00289131944444445</v>
      </c>
      <c r="J680" s="17" t="n">
        <f aca="false">IF(INDEX(選手一覧!$K$7:$K$2738,$F680)="","",INDEX(選手一覧!$K$7:$K$2738,$F680))</f>
        <v>879</v>
      </c>
    </row>
    <row r="681" customFormat="false" ht="15" hidden="false" customHeight="false" outlineLevel="0" collapsed="false">
      <c r="A681" s="17" t="n">
        <v>677</v>
      </c>
      <c r="B681" s="12" t="s">
        <v>1142</v>
      </c>
      <c r="C681" s="12" t="s">
        <v>137</v>
      </c>
      <c r="D681" s="16" t="n">
        <v>0.01075625</v>
      </c>
      <c r="E681" s="15" t="n">
        <f aca="false">ROUND((D681-$D$5)*86400,2)</f>
        <v>139.6</v>
      </c>
      <c r="F681" s="17" t="n">
        <v>676</v>
      </c>
      <c r="G681" s="16" t="n">
        <f aca="false">IF(INDEX(選手一覧!$H$7:$H$2738,$F681)="","",INDEX(選手一覧!$H$7:$H$2738,$F681))</f>
        <v>0.00663287037037037</v>
      </c>
      <c r="H681" s="17" t="n">
        <f aca="false">IF(INDEX(選手一覧!$I$7:$I$2738,$F681)="","",INDEX(選手一覧!$I$7:$I$2738,$F681))</f>
        <v>74</v>
      </c>
      <c r="I681" s="16" t="str">
        <f aca="false">IF(INDEX(選手一覧!$J$7:$J$2738,$F681)="","",INDEX(選手一覧!$J$7:$J$2738,$F681))</f>
        <v/>
      </c>
      <c r="J681" s="17" t="str">
        <f aca="false">IF(INDEX(選手一覧!$K$7:$K$2738,$F681)="","",INDEX(選手一覧!$K$7:$K$2738,$F681))</f>
        <v/>
      </c>
    </row>
    <row r="682" customFormat="false" ht="15" hidden="false" customHeight="false" outlineLevel="0" collapsed="false">
      <c r="A682" s="17" t="n">
        <v>678</v>
      </c>
      <c r="B682" s="12" t="s">
        <v>1143</v>
      </c>
      <c r="C682" s="12" t="s">
        <v>1144</v>
      </c>
      <c r="D682" s="16" t="n">
        <v>0.0107594907407407</v>
      </c>
      <c r="E682" s="15" t="n">
        <f aca="false">ROUND((D682-$D$5)*86400,2)</f>
        <v>139.88</v>
      </c>
      <c r="F682" s="17" t="n">
        <v>677</v>
      </c>
      <c r="G682" s="16" t="str">
        <f aca="false">IF(INDEX(選手一覧!$H$7:$H$2738,$F682)="","",INDEX(選手一覧!$H$7:$H$2738,$F682))</f>
        <v/>
      </c>
      <c r="H682" s="17" t="str">
        <f aca="false">IF(INDEX(選手一覧!$I$7:$I$2738,$F682)="","",INDEX(選手一覧!$I$7:$I$2738,$F682))</f>
        <v/>
      </c>
      <c r="I682" s="16" t="n">
        <f aca="false">IF(INDEX(選手一覧!$J$7:$J$2738,$F682)="","",INDEX(選手一覧!$J$7:$J$2738,$F682))</f>
        <v>0.00284837962962963</v>
      </c>
      <c r="J682" s="17" t="n">
        <f aca="false">IF(INDEX(選手一覧!$K$7:$K$2738,$F682)="","",INDEX(選手一覧!$K$7:$K$2738,$F682))</f>
        <v>557</v>
      </c>
    </row>
    <row r="683" customFormat="false" ht="15" hidden="false" customHeight="false" outlineLevel="0" collapsed="false">
      <c r="A683" s="17" t="n">
        <v>679</v>
      </c>
      <c r="B683" s="12" t="s">
        <v>1145</v>
      </c>
      <c r="C683" s="12" t="s">
        <v>1146</v>
      </c>
      <c r="D683" s="16" t="n">
        <v>0.0107601851851852</v>
      </c>
      <c r="E683" s="15" t="n">
        <f aca="false">ROUND((D683-$D$5)*86400,2)</f>
        <v>139.94</v>
      </c>
      <c r="F683" s="17" t="n">
        <v>678</v>
      </c>
      <c r="G683" s="16" t="n">
        <f aca="false">IF(INDEX(選手一覧!$H$7:$H$2738,$F683)="","",INDEX(選手一覧!$H$7:$H$2738,$F683))</f>
        <v>0.00667858796296296</v>
      </c>
      <c r="H683" s="17" t="n">
        <f aca="false">IF(INDEX(選手一覧!$I$7:$I$2738,$F683)="","",INDEX(選手一覧!$I$7:$I$2738,$F683))</f>
        <v>97</v>
      </c>
      <c r="I683" s="16" t="n">
        <f aca="false">IF(INDEX(選手一覧!$J$7:$J$2738,$F683)="","",INDEX(選手一覧!$J$7:$J$2738,$F683))</f>
        <v>0.00279768518518519</v>
      </c>
      <c r="J683" s="17" t="n">
        <f aca="false">IF(INDEX(選手一覧!$K$7:$K$2738,$F683)="","",INDEX(選手一覧!$K$7:$K$2738,$F683))</f>
        <v>273</v>
      </c>
    </row>
    <row r="684" customFormat="false" ht="15" hidden="false" customHeight="false" outlineLevel="0" collapsed="false">
      <c r="A684" s="17" t="n">
        <v>680</v>
      </c>
      <c r="B684" s="12" t="s">
        <v>1147</v>
      </c>
      <c r="C684" s="12" t="s">
        <v>1148</v>
      </c>
      <c r="D684" s="16" t="n">
        <v>0.0107605324074074</v>
      </c>
      <c r="E684" s="15" t="n">
        <f aca="false">ROUND((D684-$D$5)*86400,2)</f>
        <v>139.97</v>
      </c>
      <c r="F684" s="17" t="n">
        <v>679</v>
      </c>
      <c r="G684" s="16" t="str">
        <f aca="false">IF(INDEX(選手一覧!$H$7:$H$2738,$F684)="","",INDEX(選手一覧!$H$7:$H$2738,$F684))</f>
        <v/>
      </c>
      <c r="H684" s="17" t="str">
        <f aca="false">IF(INDEX(選手一覧!$I$7:$I$2738,$F684)="","",INDEX(選手一覧!$I$7:$I$2738,$F684))</f>
        <v/>
      </c>
      <c r="I684" s="16" t="str">
        <f aca="false">IF(INDEX(選手一覧!$J$7:$J$2738,$F684)="","",INDEX(選手一覧!$J$7:$J$2738,$F684))</f>
        <v/>
      </c>
      <c r="J684" s="17" t="str">
        <f aca="false">IF(INDEX(選手一覧!$K$7:$K$2738,$F684)="","",INDEX(選手一覧!$K$7:$K$2738,$F684))</f>
        <v/>
      </c>
    </row>
    <row r="685" customFormat="false" ht="15" hidden="false" customHeight="false" outlineLevel="0" collapsed="false">
      <c r="A685" s="17" t="n">
        <v>681</v>
      </c>
      <c r="B685" s="12" t="s">
        <v>1149</v>
      </c>
      <c r="C685" s="12" t="s">
        <v>1047</v>
      </c>
      <c r="D685" s="16" t="n">
        <v>0.0107609953703704</v>
      </c>
      <c r="E685" s="15" t="n">
        <f aca="false">ROUND((D685-$D$5)*86400,2)</f>
        <v>140.01</v>
      </c>
      <c r="F685" s="17" t="n">
        <v>680</v>
      </c>
      <c r="G685" s="16" t="str">
        <f aca="false">IF(INDEX(選手一覧!$H$7:$H$2738,$F685)="","",INDEX(選手一覧!$H$7:$H$2738,$F685))</f>
        <v/>
      </c>
      <c r="H685" s="17" t="str">
        <f aca="false">IF(INDEX(選手一覧!$I$7:$I$2738,$F685)="","",INDEX(選手一覧!$I$7:$I$2738,$F685))</f>
        <v/>
      </c>
      <c r="I685" s="16" t="n">
        <f aca="false">IF(INDEX(選手一覧!$J$7:$J$2738,$F685)="","",INDEX(選手一覧!$J$7:$J$2738,$F685))</f>
        <v>0.00288842592592593</v>
      </c>
      <c r="J685" s="17" t="n">
        <f aca="false">IF(INDEX(選手一覧!$K$7:$K$2738,$F685)="","",INDEX(選手一覧!$K$7:$K$2738,$F685))</f>
        <v>851</v>
      </c>
    </row>
    <row r="686" customFormat="false" ht="15" hidden="false" customHeight="false" outlineLevel="0" collapsed="false">
      <c r="A686" s="17" t="n">
        <v>682</v>
      </c>
      <c r="B686" s="12" t="s">
        <v>1150</v>
      </c>
      <c r="C686" s="12" t="s">
        <v>1151</v>
      </c>
      <c r="D686" s="16" t="n">
        <v>0.0107611111111111</v>
      </c>
      <c r="E686" s="15" t="n">
        <f aca="false">ROUND((D686-$D$5)*86400,2)</f>
        <v>140.02</v>
      </c>
      <c r="F686" s="17" t="n">
        <v>681</v>
      </c>
      <c r="G686" s="16" t="str">
        <f aca="false">IF(INDEX(選手一覧!$H$7:$H$2738,$F686)="","",INDEX(選手一覧!$H$7:$H$2738,$F686))</f>
        <v/>
      </c>
      <c r="H686" s="17" t="str">
        <f aca="false">IF(INDEX(選手一覧!$I$7:$I$2738,$F686)="","",INDEX(選手一覧!$I$7:$I$2738,$F686))</f>
        <v/>
      </c>
      <c r="I686" s="16" t="n">
        <f aca="false">IF(INDEX(選手一覧!$J$7:$J$2738,$F686)="","",INDEX(選手一覧!$J$7:$J$2738,$F686))</f>
        <v>0.00288472222222222</v>
      </c>
      <c r="J686" s="17" t="n">
        <f aca="false">IF(INDEX(選手一覧!$K$7:$K$2738,$F686)="","",INDEX(選手一覧!$K$7:$K$2738,$F686))</f>
        <v>814</v>
      </c>
    </row>
    <row r="687" customFormat="false" ht="15" hidden="false" customHeight="false" outlineLevel="0" collapsed="false">
      <c r="A687" s="17" t="n">
        <v>683</v>
      </c>
      <c r="B687" s="12" t="s">
        <v>1152</v>
      </c>
      <c r="C687" s="12" t="s">
        <v>824</v>
      </c>
      <c r="D687" s="16" t="n">
        <v>0.0107611111111111</v>
      </c>
      <c r="E687" s="15" t="n">
        <f aca="false">ROUND((D687-$D$5)*86400,2)</f>
        <v>140.02</v>
      </c>
      <c r="F687" s="17" t="n">
        <v>682</v>
      </c>
      <c r="G687" s="16" t="n">
        <f aca="false">IF(INDEX(選手一覧!$H$7:$H$2738,$F687)="","",INDEX(選手一覧!$H$7:$H$2738,$F687))</f>
        <v>0.00724259259259259</v>
      </c>
      <c r="H687" s="17" t="n">
        <f aca="false">IF(INDEX(選手一覧!$I$7:$I$2738,$F687)="","",INDEX(選手一覧!$I$7:$I$2738,$F687))</f>
        <v>588</v>
      </c>
      <c r="I687" s="16" t="n">
        <f aca="false">IF(INDEX(選手一覧!$J$7:$J$2738,$F687)="","",INDEX(選手一覧!$J$7:$J$2738,$F687))</f>
        <v>0.00284027777777778</v>
      </c>
      <c r="J687" s="17" t="n">
        <f aca="false">IF(INDEX(選手一覧!$K$7:$K$2738,$F687)="","",INDEX(選手一覧!$K$7:$K$2738,$F687))</f>
        <v>498</v>
      </c>
    </row>
    <row r="688" customFormat="false" ht="15" hidden="false" customHeight="false" outlineLevel="0" collapsed="false">
      <c r="A688" s="17" t="n">
        <v>684</v>
      </c>
      <c r="B688" s="12" t="s">
        <v>1153</v>
      </c>
      <c r="C688" s="12" t="s">
        <v>1154</v>
      </c>
      <c r="D688" s="16" t="n">
        <v>0.0107622685185185</v>
      </c>
      <c r="E688" s="15" t="n">
        <f aca="false">ROUND((D688-$D$5)*86400,2)</f>
        <v>140.12</v>
      </c>
      <c r="F688" s="17" t="n">
        <v>683</v>
      </c>
      <c r="G688" s="16" t="n">
        <f aca="false">IF(INDEX(選手一覧!$H$7:$H$2738,$F688)="","",INDEX(選手一覧!$H$7:$H$2738,$F688))</f>
        <v>0.00711643518518519</v>
      </c>
      <c r="H688" s="17" t="n">
        <f aca="false">IF(INDEX(選手一覧!$I$7:$I$2738,$F688)="","",INDEX(選手一覧!$I$7:$I$2738,$F688))</f>
        <v>460</v>
      </c>
      <c r="I688" s="16" t="n">
        <f aca="false">IF(INDEX(選手一覧!$J$7:$J$2738,$F688)="","",INDEX(選手一覧!$J$7:$J$2738,$F688))</f>
        <v>0.00296215277777778</v>
      </c>
      <c r="J688" s="17" t="n">
        <f aca="false">IF(INDEX(選手一覧!$K$7:$K$2738,$F688)="","",INDEX(選手一覧!$K$7:$K$2738,$F688))</f>
        <v>1278</v>
      </c>
    </row>
    <row r="689" customFormat="false" ht="15" hidden="false" customHeight="false" outlineLevel="0" collapsed="false">
      <c r="A689" s="17" t="n">
        <v>685</v>
      </c>
      <c r="B689" s="12" t="s">
        <v>1155</v>
      </c>
      <c r="C689" s="12" t="s">
        <v>40</v>
      </c>
      <c r="D689" s="16" t="n">
        <v>0.0107623842592593</v>
      </c>
      <c r="E689" s="15" t="n">
        <f aca="false">ROUND((D689-$D$5)*86400,2)</f>
        <v>140.13</v>
      </c>
      <c r="F689" s="17" t="n">
        <v>684</v>
      </c>
      <c r="G689" s="16" t="str">
        <f aca="false">IF(INDEX(選手一覧!$H$7:$H$2738,$F689)="","",INDEX(選手一覧!$H$7:$H$2738,$F689))</f>
        <v/>
      </c>
      <c r="H689" s="17" t="str">
        <f aca="false">IF(INDEX(選手一覧!$I$7:$I$2738,$F689)="","",INDEX(選手一覧!$I$7:$I$2738,$F689))</f>
        <v/>
      </c>
      <c r="I689" s="16" t="n">
        <f aca="false">IF(INDEX(選手一覧!$J$7:$J$2738,$F689)="","",INDEX(選手一覧!$J$7:$J$2738,$F689))</f>
        <v>0.00273078703703704</v>
      </c>
      <c r="J689" s="17" t="n">
        <f aca="false">IF(INDEX(選手一覧!$K$7:$K$2738,$F689)="","",INDEX(選手一覧!$K$7:$K$2738,$F689))</f>
        <v>66</v>
      </c>
    </row>
    <row r="690" customFormat="false" ht="15" hidden="false" customHeight="false" outlineLevel="0" collapsed="false">
      <c r="A690" s="17" t="n">
        <v>686</v>
      </c>
      <c r="B690" s="12" t="s">
        <v>1157</v>
      </c>
      <c r="C690" s="12" t="s">
        <v>595</v>
      </c>
      <c r="D690" s="16" t="n">
        <v>0.0107627314814815</v>
      </c>
      <c r="E690" s="15" t="n">
        <f aca="false">ROUND((D690-$D$5)*86400,2)</f>
        <v>140.16</v>
      </c>
      <c r="F690" s="17" t="n">
        <v>685</v>
      </c>
      <c r="G690" s="16" t="str">
        <f aca="false">IF(INDEX(選手一覧!$H$7:$H$2738,$F690)="","",INDEX(選手一覧!$H$7:$H$2738,$F690))</f>
        <v/>
      </c>
      <c r="H690" s="17" t="str">
        <f aca="false">IF(INDEX(選手一覧!$I$7:$I$2738,$F690)="","",INDEX(選手一覧!$I$7:$I$2738,$F690))</f>
        <v/>
      </c>
      <c r="I690" s="16" t="n">
        <f aca="false">IF(INDEX(選手一覧!$J$7:$J$2738,$F690)="","",INDEX(選手一覧!$J$7:$J$2738,$F690))</f>
        <v>0.00278125</v>
      </c>
      <c r="J690" s="17" t="n">
        <f aca="false">IF(INDEX(選手一覧!$K$7:$K$2738,$F690)="","",INDEX(選手一覧!$K$7:$K$2738,$F690))</f>
        <v>207</v>
      </c>
    </row>
    <row r="691" customFormat="false" ht="15" hidden="false" customHeight="false" outlineLevel="0" collapsed="false">
      <c r="A691" s="17" t="n">
        <v>687</v>
      </c>
      <c r="B691" s="12" t="s">
        <v>1159</v>
      </c>
      <c r="C691" s="12" t="s">
        <v>1160</v>
      </c>
      <c r="D691" s="16" t="n">
        <v>0.0107634259259259</v>
      </c>
      <c r="E691" s="15" t="n">
        <f aca="false">ROUND((D691-$D$5)*86400,2)</f>
        <v>140.22</v>
      </c>
      <c r="F691" s="17" t="n">
        <v>686</v>
      </c>
      <c r="G691" s="16" t="str">
        <f aca="false">IF(INDEX(選手一覧!$H$7:$H$2738,$F691)="","",INDEX(選手一覧!$H$7:$H$2738,$F691))</f>
        <v/>
      </c>
      <c r="H691" s="17" t="str">
        <f aca="false">IF(INDEX(選手一覧!$I$7:$I$2738,$F691)="","",INDEX(選手一覧!$I$7:$I$2738,$F691))</f>
        <v/>
      </c>
      <c r="I691" s="16" t="n">
        <f aca="false">IF(INDEX(選手一覧!$J$7:$J$2738,$F691)="","",INDEX(選手一覧!$J$7:$J$2738,$F691))</f>
        <v>0.00283310185185185</v>
      </c>
      <c r="J691" s="17" t="n">
        <f aca="false">IF(INDEX(選手一覧!$K$7:$K$2738,$F691)="","",INDEX(選手一覧!$K$7:$K$2738,$F691))</f>
        <v>446</v>
      </c>
    </row>
    <row r="692" customFormat="false" ht="15" hidden="false" customHeight="false" outlineLevel="0" collapsed="false">
      <c r="A692" s="17" t="n">
        <v>688</v>
      </c>
      <c r="B692" s="12" t="s">
        <v>1161</v>
      </c>
      <c r="C692" s="12" t="s">
        <v>207</v>
      </c>
      <c r="D692" s="16" t="n">
        <v>0.0107644675925926</v>
      </c>
      <c r="E692" s="15" t="n">
        <f aca="false">ROUND((D692-$D$5)*86400,2)</f>
        <v>140.31</v>
      </c>
      <c r="F692" s="17" t="n">
        <v>687</v>
      </c>
      <c r="G692" s="16" t="str">
        <f aca="false">IF(INDEX(選手一覧!$H$7:$H$2738,$F692)="","",INDEX(選手一覧!$H$7:$H$2738,$F692))</f>
        <v/>
      </c>
      <c r="H692" s="17" t="str">
        <f aca="false">IF(INDEX(選手一覧!$I$7:$I$2738,$F692)="","",INDEX(選手一覧!$I$7:$I$2738,$F692))</f>
        <v/>
      </c>
      <c r="I692" s="16" t="str">
        <f aca="false">IF(INDEX(選手一覧!$J$7:$J$2738,$F692)="","",INDEX(選手一覧!$J$7:$J$2738,$F692))</f>
        <v/>
      </c>
      <c r="J692" s="17" t="str">
        <f aca="false">IF(INDEX(選手一覧!$K$7:$K$2738,$F692)="","",INDEX(選手一覧!$K$7:$K$2738,$F692))</f>
        <v/>
      </c>
    </row>
    <row r="693" customFormat="false" ht="15" hidden="false" customHeight="false" outlineLevel="0" collapsed="false">
      <c r="A693" s="17" t="n">
        <v>689</v>
      </c>
      <c r="B693" s="12" t="s">
        <v>1162</v>
      </c>
      <c r="C693" s="12" t="s">
        <v>51</v>
      </c>
      <c r="D693" s="16" t="n">
        <v>0.0107644675925926</v>
      </c>
      <c r="E693" s="15" t="n">
        <f aca="false">ROUND((D693-$D$5)*86400,2)</f>
        <v>140.31</v>
      </c>
      <c r="F693" s="17" t="n">
        <v>688</v>
      </c>
      <c r="G693" s="16" t="str">
        <f aca="false">IF(INDEX(選手一覧!$H$7:$H$2738,$F693)="","",INDEX(選手一覧!$H$7:$H$2738,$F693))</f>
        <v/>
      </c>
      <c r="H693" s="17" t="str">
        <f aca="false">IF(INDEX(選手一覧!$I$7:$I$2738,$F693)="","",INDEX(選手一覧!$I$7:$I$2738,$F693))</f>
        <v/>
      </c>
      <c r="I693" s="16" t="n">
        <f aca="false">IF(INDEX(選手一覧!$J$7:$J$2738,$F693)="","",INDEX(選手一覧!$J$7:$J$2738,$F693))</f>
        <v>0.00291087962962963</v>
      </c>
      <c r="J693" s="17" t="n">
        <f aca="false">IF(INDEX(選手一覧!$K$7:$K$2738,$F693)="","",INDEX(選手一覧!$K$7:$K$2738,$F693))</f>
        <v>1027</v>
      </c>
    </row>
    <row r="694" customFormat="false" ht="15" hidden="false" customHeight="false" outlineLevel="0" collapsed="false">
      <c r="A694" s="17" t="n">
        <v>690</v>
      </c>
      <c r="B694" s="12" t="s">
        <v>1163</v>
      </c>
      <c r="C694" s="12" t="s">
        <v>259</v>
      </c>
      <c r="D694" s="16" t="n">
        <v>0.0107650462962963</v>
      </c>
      <c r="E694" s="15" t="n">
        <f aca="false">ROUND((D694-$D$5)*86400,2)</f>
        <v>140.36</v>
      </c>
      <c r="F694" s="17" t="n">
        <v>689</v>
      </c>
      <c r="G694" s="16" t="str">
        <f aca="false">IF(INDEX(選手一覧!$H$7:$H$2738,$F694)="","",INDEX(選手一覧!$H$7:$H$2738,$F694))</f>
        <v/>
      </c>
      <c r="H694" s="17" t="str">
        <f aca="false">IF(INDEX(選手一覧!$I$7:$I$2738,$F694)="","",INDEX(選手一覧!$I$7:$I$2738,$F694))</f>
        <v/>
      </c>
      <c r="I694" s="16" t="str">
        <f aca="false">IF(INDEX(選手一覧!$J$7:$J$2738,$F694)="","",INDEX(選手一覧!$J$7:$J$2738,$F694))</f>
        <v/>
      </c>
      <c r="J694" s="17" t="str">
        <f aca="false">IF(INDEX(選手一覧!$K$7:$K$2738,$F694)="","",INDEX(選手一覧!$K$7:$K$2738,$F694))</f>
        <v/>
      </c>
    </row>
    <row r="695" customFormat="false" ht="15" hidden="false" customHeight="false" outlineLevel="0" collapsed="false">
      <c r="A695" s="17" t="n">
        <v>691</v>
      </c>
      <c r="B695" s="12" t="s">
        <v>1165</v>
      </c>
      <c r="C695" s="12" t="s">
        <v>1166</v>
      </c>
      <c r="D695" s="16" t="n">
        <v>0.010765162037037</v>
      </c>
      <c r="E695" s="15" t="n">
        <f aca="false">ROUND((D695-$D$5)*86400,2)</f>
        <v>140.37</v>
      </c>
      <c r="F695" s="17" t="n">
        <v>690</v>
      </c>
      <c r="G695" s="16" t="str">
        <f aca="false">IF(INDEX(選手一覧!$H$7:$H$2738,$F695)="","",INDEX(選手一覧!$H$7:$H$2738,$F695))</f>
        <v/>
      </c>
      <c r="H695" s="17" t="str">
        <f aca="false">IF(INDEX(選手一覧!$I$7:$I$2738,$F695)="","",INDEX(選手一覧!$I$7:$I$2738,$F695))</f>
        <v/>
      </c>
      <c r="I695" s="16" t="n">
        <f aca="false">IF(INDEX(選手一覧!$J$7:$J$2738,$F695)="","",INDEX(選手一覧!$J$7:$J$2738,$F695))</f>
        <v>0.00282233796296296</v>
      </c>
      <c r="J695" s="17" t="n">
        <f aca="false">IF(INDEX(選手一覧!$K$7:$K$2738,$F695)="","",INDEX(選手一覧!$K$7:$K$2738,$F695))</f>
        <v>376</v>
      </c>
    </row>
    <row r="696" customFormat="false" ht="15" hidden="false" customHeight="false" outlineLevel="0" collapsed="false">
      <c r="A696" s="17" t="n">
        <v>692</v>
      </c>
      <c r="B696" s="12" t="s">
        <v>1168</v>
      </c>
      <c r="C696" s="12" t="s">
        <v>155</v>
      </c>
      <c r="D696" s="16" t="n">
        <v>0.0107659722222222</v>
      </c>
      <c r="E696" s="15" t="n">
        <f aca="false">ROUND((D696-$D$5)*86400,2)</f>
        <v>140.44</v>
      </c>
      <c r="F696" s="17" t="n">
        <v>691</v>
      </c>
      <c r="G696" s="16" t="n">
        <f aca="false">IF(INDEX(選手一覧!$H$7:$H$2738,$F696)="","",INDEX(選手一覧!$H$7:$H$2738,$F696))</f>
        <v>0.00668391203703704</v>
      </c>
      <c r="H696" s="17" t="n">
        <f aca="false">IF(INDEX(選手一覧!$I$7:$I$2738,$F696)="","",INDEX(選手一覧!$I$7:$I$2738,$F696))</f>
        <v>101</v>
      </c>
      <c r="I696" s="16" t="n">
        <f aca="false">IF(INDEX(選手一覧!$J$7:$J$2738,$F696)="","",INDEX(選手一覧!$J$7:$J$2738,$F696))</f>
        <v>0.00280405092592593</v>
      </c>
      <c r="J696" s="17" t="n">
        <f aca="false">IF(INDEX(選手一覧!$K$7:$K$2738,$F696)="","",INDEX(選手一覧!$K$7:$K$2738,$F696))</f>
        <v>300</v>
      </c>
    </row>
    <row r="697" customFormat="false" ht="15" hidden="false" customHeight="false" outlineLevel="0" collapsed="false">
      <c r="A697" s="17" t="n">
        <v>693</v>
      </c>
      <c r="B697" s="12" t="s">
        <v>1169</v>
      </c>
      <c r="C697" s="12" t="s">
        <v>73</v>
      </c>
      <c r="D697" s="16" t="n">
        <v>0.010766087962963</v>
      </c>
      <c r="E697" s="15" t="n">
        <f aca="false">ROUND((D697-$D$5)*86400,2)</f>
        <v>140.45</v>
      </c>
      <c r="F697" s="17" t="n">
        <v>692</v>
      </c>
      <c r="G697" s="16" t="str">
        <f aca="false">IF(INDEX(選手一覧!$H$7:$H$2738,$F697)="","",INDEX(選手一覧!$H$7:$H$2738,$F697))</f>
        <v/>
      </c>
      <c r="H697" s="17" t="str">
        <f aca="false">IF(INDEX(選手一覧!$I$7:$I$2738,$F697)="","",INDEX(選手一覧!$I$7:$I$2738,$F697))</f>
        <v/>
      </c>
      <c r="I697" s="16" t="str">
        <f aca="false">IF(INDEX(選手一覧!$J$7:$J$2738,$F697)="","",INDEX(選手一覧!$J$7:$J$2738,$F697))</f>
        <v/>
      </c>
      <c r="J697" s="17" t="str">
        <f aca="false">IF(INDEX(選手一覧!$K$7:$K$2738,$F697)="","",INDEX(選手一覧!$K$7:$K$2738,$F697))</f>
        <v/>
      </c>
    </row>
    <row r="698" customFormat="false" ht="15" hidden="false" customHeight="false" outlineLevel="0" collapsed="false">
      <c r="A698" s="17" t="n">
        <v>694</v>
      </c>
      <c r="B698" s="12" t="s">
        <v>1170</v>
      </c>
      <c r="C698" s="12" t="s">
        <v>417</v>
      </c>
      <c r="D698" s="16" t="n">
        <v>0.0107679398148148</v>
      </c>
      <c r="E698" s="15" t="n">
        <f aca="false">ROUND((D698-$D$5)*86400,2)</f>
        <v>140.61</v>
      </c>
      <c r="F698" s="17" t="n">
        <v>693</v>
      </c>
      <c r="G698" s="16" t="str">
        <f aca="false">IF(INDEX(選手一覧!$H$7:$H$2738,$F698)="","",INDEX(選手一覧!$H$7:$H$2738,$F698))</f>
        <v/>
      </c>
      <c r="H698" s="17" t="str">
        <f aca="false">IF(INDEX(選手一覧!$I$7:$I$2738,$F698)="","",INDEX(選手一覧!$I$7:$I$2738,$F698))</f>
        <v/>
      </c>
      <c r="I698" s="16" t="str">
        <f aca="false">IF(INDEX(選手一覧!$J$7:$J$2738,$F698)="","",INDEX(選手一覧!$J$7:$J$2738,$F698))</f>
        <v/>
      </c>
      <c r="J698" s="17" t="str">
        <f aca="false">IF(INDEX(選手一覧!$K$7:$K$2738,$F698)="","",INDEX(選手一覧!$K$7:$K$2738,$F698))</f>
        <v/>
      </c>
    </row>
    <row r="699" customFormat="false" ht="15" hidden="false" customHeight="false" outlineLevel="0" collapsed="false">
      <c r="A699" s="17" t="n">
        <v>695</v>
      </c>
      <c r="B699" s="12" t="s">
        <v>1171</v>
      </c>
      <c r="C699" s="12" t="s">
        <v>250</v>
      </c>
      <c r="D699" s="16" t="n">
        <v>0.0107696759259259</v>
      </c>
      <c r="E699" s="15" t="n">
        <f aca="false">ROUND((D699-$D$5)*86400,2)</f>
        <v>140.76</v>
      </c>
      <c r="F699" s="17" t="n">
        <v>694</v>
      </c>
      <c r="G699" s="16" t="str">
        <f aca="false">IF(INDEX(選手一覧!$H$7:$H$2738,$F699)="","",INDEX(選手一覧!$H$7:$H$2738,$F699))</f>
        <v/>
      </c>
      <c r="H699" s="17" t="str">
        <f aca="false">IF(INDEX(選手一覧!$I$7:$I$2738,$F699)="","",INDEX(選手一覧!$I$7:$I$2738,$F699))</f>
        <v/>
      </c>
      <c r="I699" s="16" t="n">
        <f aca="false">IF(INDEX(選手一覧!$J$7:$J$2738,$F699)="","",INDEX(選手一覧!$J$7:$J$2738,$F699))</f>
        <v>0.00287800925925926</v>
      </c>
      <c r="J699" s="17" t="n">
        <f aca="false">IF(INDEX(選手一覧!$K$7:$K$2738,$F699)="","",INDEX(選手一覧!$K$7:$K$2738,$F699))</f>
        <v>753</v>
      </c>
    </row>
    <row r="700" customFormat="false" ht="15" hidden="false" customHeight="false" outlineLevel="0" collapsed="false">
      <c r="A700" s="17" t="n">
        <v>696</v>
      </c>
      <c r="B700" s="12" t="s">
        <v>1172</v>
      </c>
      <c r="C700" s="12" t="s">
        <v>515</v>
      </c>
      <c r="D700" s="16" t="n">
        <v>0.0107704861111111</v>
      </c>
      <c r="E700" s="15" t="n">
        <f aca="false">ROUND((D700-$D$5)*86400,2)</f>
        <v>140.83</v>
      </c>
      <c r="F700" s="17" t="n">
        <v>695</v>
      </c>
      <c r="G700" s="16" t="n">
        <f aca="false">IF(INDEX(選手一覧!$H$7:$H$2738,$F700)="","",INDEX(選手一覧!$H$7:$H$2738,$F700))</f>
        <v>0.008159375</v>
      </c>
      <c r="H700" s="17" t="n">
        <f aca="false">IF(INDEX(選手一覧!$I$7:$I$2738,$F700)="","",INDEX(選手一覧!$I$7:$I$2738,$F700))</f>
        <v>1223</v>
      </c>
      <c r="I700" s="16" t="n">
        <f aca="false">IF(INDEX(選手一覧!$J$7:$J$2738,$F700)="","",INDEX(選手一覧!$J$7:$J$2738,$F700))</f>
        <v>0.00288263888888889</v>
      </c>
      <c r="J700" s="17" t="n">
        <f aca="false">IF(INDEX(選手一覧!$K$7:$K$2738,$F700)="","",INDEX(選手一覧!$K$7:$K$2738,$F700))</f>
        <v>797</v>
      </c>
    </row>
    <row r="701" customFormat="false" ht="15" hidden="false" customHeight="false" outlineLevel="0" collapsed="false">
      <c r="A701" s="17" t="n">
        <v>697</v>
      </c>
      <c r="B701" s="12" t="s">
        <v>1173</v>
      </c>
      <c r="C701" s="12" t="s">
        <v>525</v>
      </c>
      <c r="D701" s="16" t="n">
        <v>0.0107707175925926</v>
      </c>
      <c r="E701" s="15" t="n">
        <f aca="false">ROUND((D701-$D$5)*86400,2)</f>
        <v>140.85</v>
      </c>
      <c r="F701" s="17" t="n">
        <v>696</v>
      </c>
      <c r="G701" s="16" t="str">
        <f aca="false">IF(INDEX(選手一覧!$H$7:$H$2738,$F701)="","",INDEX(選手一覧!$H$7:$H$2738,$F701))</f>
        <v/>
      </c>
      <c r="H701" s="17" t="str">
        <f aca="false">IF(INDEX(選手一覧!$I$7:$I$2738,$F701)="","",INDEX(選手一覧!$I$7:$I$2738,$F701))</f>
        <v/>
      </c>
      <c r="I701" s="16" t="n">
        <f aca="false">IF(INDEX(選手一覧!$J$7:$J$2738,$F701)="","",INDEX(選手一覧!$J$7:$J$2738,$F701))</f>
        <v>0.00276678240740741</v>
      </c>
      <c r="J701" s="17" t="n">
        <f aca="false">IF(INDEX(選手一覧!$K$7:$K$2738,$F701)="","",INDEX(選手一覧!$K$7:$K$2738,$F701))</f>
        <v>155</v>
      </c>
    </row>
    <row r="702" customFormat="false" ht="15" hidden="false" customHeight="false" outlineLevel="0" collapsed="false">
      <c r="A702" s="17" t="n">
        <v>698</v>
      </c>
      <c r="B702" s="12" t="s">
        <v>1174</v>
      </c>
      <c r="C702" s="12" t="s">
        <v>1175</v>
      </c>
      <c r="D702" s="16" t="n">
        <v>0.010771412037037</v>
      </c>
      <c r="E702" s="15" t="n">
        <f aca="false">ROUND((D702-$D$5)*86400,2)</f>
        <v>140.91</v>
      </c>
      <c r="F702" s="17" t="n">
        <v>697</v>
      </c>
      <c r="G702" s="16" t="str">
        <f aca="false">IF(INDEX(選手一覧!$H$7:$H$2738,$F702)="","",INDEX(選手一覧!$H$7:$H$2738,$F702))</f>
        <v/>
      </c>
      <c r="H702" s="17" t="str">
        <f aca="false">IF(INDEX(選手一覧!$I$7:$I$2738,$F702)="","",INDEX(選手一覧!$I$7:$I$2738,$F702))</f>
        <v/>
      </c>
      <c r="I702" s="16" t="str">
        <f aca="false">IF(INDEX(選手一覧!$J$7:$J$2738,$F702)="","",INDEX(選手一覧!$J$7:$J$2738,$F702))</f>
        <v/>
      </c>
      <c r="J702" s="17" t="str">
        <f aca="false">IF(INDEX(選手一覧!$K$7:$K$2738,$F702)="","",INDEX(選手一覧!$K$7:$K$2738,$F702))</f>
        <v/>
      </c>
    </row>
    <row r="703" customFormat="false" ht="15" hidden="false" customHeight="false" outlineLevel="0" collapsed="false">
      <c r="A703" s="17" t="n">
        <v>699</v>
      </c>
      <c r="B703" s="12" t="s">
        <v>1176</v>
      </c>
      <c r="C703" s="12" t="s">
        <v>629</v>
      </c>
      <c r="D703" s="16" t="n">
        <v>0.0107715277777778</v>
      </c>
      <c r="E703" s="15" t="n">
        <f aca="false">ROUND((D703-$D$5)*86400,2)</f>
        <v>140.92</v>
      </c>
      <c r="F703" s="17" t="n">
        <v>698</v>
      </c>
      <c r="G703" s="16" t="str">
        <f aca="false">IF(INDEX(選手一覧!$H$7:$H$2738,$F703)="","",INDEX(選手一覧!$H$7:$H$2738,$F703))</f>
        <v/>
      </c>
      <c r="H703" s="17" t="str">
        <f aca="false">IF(INDEX(選手一覧!$I$7:$I$2738,$F703)="","",INDEX(選手一覧!$I$7:$I$2738,$F703))</f>
        <v/>
      </c>
      <c r="I703" s="16" t="n">
        <f aca="false">IF(INDEX(選手一覧!$J$7:$J$2738,$F703)="","",INDEX(選手一覧!$J$7:$J$2738,$F703))</f>
        <v>0.00280983796296296</v>
      </c>
      <c r="J703" s="17" t="n">
        <f aca="false">IF(INDEX(選手一覧!$K$7:$K$2738,$F703)="","",INDEX(選手一覧!$K$7:$K$2738,$F703))</f>
        <v>324</v>
      </c>
    </row>
    <row r="704" customFormat="false" ht="15" hidden="false" customHeight="false" outlineLevel="0" collapsed="false">
      <c r="A704" s="17" t="n">
        <v>700</v>
      </c>
      <c r="B704" s="12" t="s">
        <v>1177</v>
      </c>
      <c r="C704" s="12" t="s">
        <v>1178</v>
      </c>
      <c r="D704" s="16" t="n">
        <v>0.0107717592592593</v>
      </c>
      <c r="E704" s="15" t="n">
        <f aca="false">ROUND((D704-$D$5)*86400,2)</f>
        <v>140.94</v>
      </c>
      <c r="F704" s="17" t="n">
        <v>699</v>
      </c>
      <c r="G704" s="16" t="str">
        <f aca="false">IF(INDEX(選手一覧!$H$7:$H$2738,$F704)="","",INDEX(選手一覧!$H$7:$H$2738,$F704))</f>
        <v/>
      </c>
      <c r="H704" s="17" t="str">
        <f aca="false">IF(INDEX(選手一覧!$I$7:$I$2738,$F704)="","",INDEX(選手一覧!$I$7:$I$2738,$F704))</f>
        <v/>
      </c>
      <c r="I704" s="16" t="n">
        <f aca="false">IF(INDEX(選手一覧!$J$7:$J$2738,$F704)="","",INDEX(選手一覧!$J$7:$J$2738,$F704))</f>
        <v>0.00281064814814815</v>
      </c>
      <c r="J704" s="17" t="n">
        <f aca="false">IF(INDEX(選手一覧!$K$7:$K$2738,$F704)="","",INDEX(選手一覧!$K$7:$K$2738,$F704))</f>
        <v>325</v>
      </c>
    </row>
    <row r="705" customFormat="false" ht="15" hidden="false" customHeight="false" outlineLevel="0" collapsed="false">
      <c r="A705" s="17" t="n">
        <v>701</v>
      </c>
      <c r="B705" s="12" t="s">
        <v>1179</v>
      </c>
      <c r="C705" s="12" t="s">
        <v>711</v>
      </c>
      <c r="D705" s="16" t="n">
        <v>0.010772337962963</v>
      </c>
      <c r="E705" s="15" t="n">
        <f aca="false">ROUND((D705-$D$5)*86400,2)</f>
        <v>140.99</v>
      </c>
      <c r="F705" s="17" t="n">
        <v>700</v>
      </c>
      <c r="G705" s="16" t="str">
        <f aca="false">IF(INDEX(選手一覧!$H$7:$H$2738,$F705)="","",INDEX(選手一覧!$H$7:$H$2738,$F705))</f>
        <v/>
      </c>
      <c r="H705" s="17" t="str">
        <f aca="false">IF(INDEX(選手一覧!$I$7:$I$2738,$F705)="","",INDEX(選手一覧!$I$7:$I$2738,$F705))</f>
        <v/>
      </c>
      <c r="I705" s="16" t="n">
        <f aca="false">IF(INDEX(選手一覧!$J$7:$J$2738,$F705)="","",INDEX(選手一覧!$J$7:$J$2738,$F705))</f>
        <v>0.00285300925925926</v>
      </c>
      <c r="J705" s="17" t="n">
        <f aca="false">IF(INDEX(選手一覧!$K$7:$K$2738,$F705)="","",INDEX(選手一覧!$K$7:$K$2738,$F705))</f>
        <v>586</v>
      </c>
    </row>
    <row r="706" customFormat="false" ht="15" hidden="false" customHeight="false" outlineLevel="0" collapsed="false">
      <c r="A706" s="17" t="n">
        <v>702</v>
      </c>
      <c r="B706" s="12" t="s">
        <v>1180</v>
      </c>
      <c r="C706" s="12" t="s">
        <v>1181</v>
      </c>
      <c r="D706" s="16" t="n">
        <v>0.0107753472222222</v>
      </c>
      <c r="E706" s="15" t="n">
        <f aca="false">ROUND((D706-$D$5)*86400,2)</f>
        <v>141.25</v>
      </c>
      <c r="F706" s="17" t="n">
        <v>701</v>
      </c>
      <c r="G706" s="16" t="str">
        <f aca="false">IF(INDEX(選手一覧!$H$7:$H$2738,$F706)="","",INDEX(選手一覧!$H$7:$H$2738,$F706))</f>
        <v/>
      </c>
      <c r="H706" s="17" t="str">
        <f aca="false">IF(INDEX(選手一覧!$I$7:$I$2738,$F706)="","",INDEX(選手一覧!$I$7:$I$2738,$F706))</f>
        <v/>
      </c>
      <c r="I706" s="16" t="n">
        <f aca="false">IF(INDEX(選手一覧!$J$7:$J$2738,$F706)="","",INDEX(選手一覧!$J$7:$J$2738,$F706))</f>
        <v>0.00291145833333333</v>
      </c>
      <c r="J706" s="17" t="n">
        <f aca="false">IF(INDEX(選手一覧!$K$7:$K$2738,$F706)="","",INDEX(選手一覧!$K$7:$K$2738,$F706))</f>
        <v>1033</v>
      </c>
    </row>
    <row r="707" customFormat="false" ht="15" hidden="false" customHeight="false" outlineLevel="0" collapsed="false">
      <c r="A707" s="17" t="n">
        <v>703</v>
      </c>
      <c r="B707" s="12" t="s">
        <v>1182</v>
      </c>
      <c r="C707" s="12" t="s">
        <v>1131</v>
      </c>
      <c r="D707" s="16" t="n">
        <v>0.0107763888888889</v>
      </c>
      <c r="E707" s="15" t="n">
        <f aca="false">ROUND((D707-$D$5)*86400,2)</f>
        <v>141.34</v>
      </c>
      <c r="F707" s="17" t="n">
        <v>702</v>
      </c>
      <c r="G707" s="16" t="str">
        <f aca="false">IF(INDEX(選手一覧!$H$7:$H$2738,$F707)="","",INDEX(選手一覧!$H$7:$H$2738,$F707))</f>
        <v/>
      </c>
      <c r="H707" s="17" t="str">
        <f aca="false">IF(INDEX(選手一覧!$I$7:$I$2738,$F707)="","",INDEX(選手一覧!$I$7:$I$2738,$F707))</f>
        <v/>
      </c>
      <c r="I707" s="16" t="str">
        <f aca="false">IF(INDEX(選手一覧!$J$7:$J$2738,$F707)="","",INDEX(選手一覧!$J$7:$J$2738,$F707))</f>
        <v/>
      </c>
      <c r="J707" s="17" t="str">
        <f aca="false">IF(INDEX(選手一覧!$K$7:$K$2738,$F707)="","",INDEX(選手一覧!$K$7:$K$2738,$F707))</f>
        <v/>
      </c>
    </row>
    <row r="708" customFormat="false" ht="15" hidden="false" customHeight="false" outlineLevel="0" collapsed="false">
      <c r="A708" s="17" t="n">
        <v>704</v>
      </c>
      <c r="B708" s="12" t="s">
        <v>1183</v>
      </c>
      <c r="C708" s="12" t="s">
        <v>1184</v>
      </c>
      <c r="D708" s="16" t="n">
        <v>0.0107768518518519</v>
      </c>
      <c r="E708" s="15" t="n">
        <f aca="false">ROUND((D708-$D$5)*86400,2)</f>
        <v>141.38</v>
      </c>
      <c r="F708" s="17" t="n">
        <v>703</v>
      </c>
      <c r="G708" s="16" t="str">
        <f aca="false">IF(INDEX(選手一覧!$H$7:$H$2738,$F708)="","",INDEX(選手一覧!$H$7:$H$2738,$F708))</f>
        <v/>
      </c>
      <c r="H708" s="17" t="str">
        <f aca="false">IF(INDEX(選手一覧!$I$7:$I$2738,$F708)="","",INDEX(選手一覧!$I$7:$I$2738,$F708))</f>
        <v/>
      </c>
      <c r="I708" s="16" t="n">
        <f aca="false">IF(INDEX(選手一覧!$J$7:$J$2738,$F708)="","",INDEX(選手一覧!$J$7:$J$2738,$F708))</f>
        <v>0.00275601851851852</v>
      </c>
      <c r="J708" s="17" t="n">
        <f aca="false">IF(INDEX(選手一覧!$K$7:$K$2738,$F708)="","",INDEX(選手一覧!$K$7:$K$2738,$F708))</f>
        <v>123</v>
      </c>
    </row>
    <row r="709" customFormat="false" ht="15" hidden="false" customHeight="false" outlineLevel="0" collapsed="false">
      <c r="A709" s="17" t="n">
        <v>705</v>
      </c>
      <c r="B709" s="12" t="s">
        <v>1185</v>
      </c>
      <c r="C709" s="12" t="s">
        <v>629</v>
      </c>
      <c r="D709" s="16" t="n">
        <v>0.0107778935185185</v>
      </c>
      <c r="E709" s="15" t="n">
        <f aca="false">ROUND((D709-$D$5)*86400,2)</f>
        <v>141.47</v>
      </c>
      <c r="F709" s="17" t="n">
        <v>704</v>
      </c>
      <c r="G709" s="16" t="n">
        <f aca="false">IF(INDEX(選手一覧!$H$7:$H$2738,$F709)="","",INDEX(選手一覧!$H$7:$H$2738,$F709))</f>
        <v>0.0066275462962963</v>
      </c>
      <c r="H709" s="17" t="n">
        <f aca="false">IF(INDEX(選手一覧!$I$7:$I$2738,$F709)="","",INDEX(選手一覧!$I$7:$I$2738,$F709))</f>
        <v>73</v>
      </c>
      <c r="I709" s="16" t="n">
        <f aca="false">IF(INDEX(選手一覧!$J$7:$J$2738,$F709)="","",INDEX(選手一覧!$J$7:$J$2738,$F709))</f>
        <v>0.00289895833333333</v>
      </c>
      <c r="J709" s="17" t="n">
        <f aca="false">IF(INDEX(選手一覧!$K$7:$K$2738,$F709)="","",INDEX(選手一覧!$K$7:$K$2738,$F709))</f>
        <v>938</v>
      </c>
    </row>
    <row r="710" customFormat="false" ht="15" hidden="false" customHeight="false" outlineLevel="0" collapsed="false">
      <c r="A710" s="17" t="n">
        <v>706</v>
      </c>
      <c r="B710" s="12" t="s">
        <v>1187</v>
      </c>
      <c r="C710" s="12" t="s">
        <v>1188</v>
      </c>
      <c r="D710" s="16" t="n">
        <v>0.0107795138888889</v>
      </c>
      <c r="E710" s="15" t="n">
        <f aca="false">ROUND((D710-$D$5)*86400,2)</f>
        <v>141.61</v>
      </c>
      <c r="F710" s="17" t="n">
        <v>705</v>
      </c>
      <c r="G710" s="16" t="n">
        <f aca="false">IF(INDEX(選手一覧!$H$7:$H$2738,$F710)="","",INDEX(選手一覧!$H$7:$H$2738,$F710))</f>
        <v>0.00684710648148148</v>
      </c>
      <c r="H710" s="17" t="n">
        <f aca="false">IF(INDEX(選手一覧!$I$7:$I$2738,$F710)="","",INDEX(選手一覧!$I$7:$I$2738,$F710))</f>
        <v>201</v>
      </c>
      <c r="I710" s="16" t="n">
        <f aca="false">IF(INDEX(選手一覧!$J$7:$J$2738,$F710)="","",INDEX(選手一覧!$J$7:$J$2738,$F710))</f>
        <v>0.00284722222222222</v>
      </c>
      <c r="J710" s="17" t="n">
        <f aca="false">IF(INDEX(選手一覧!$K$7:$K$2738,$F710)="","",INDEX(選手一覧!$K$7:$K$2738,$F710))</f>
        <v>552</v>
      </c>
    </row>
    <row r="711" customFormat="false" ht="15" hidden="false" customHeight="false" outlineLevel="0" collapsed="false">
      <c r="A711" s="17" t="n">
        <v>707</v>
      </c>
      <c r="B711" s="12" t="s">
        <v>1189</v>
      </c>
      <c r="C711" s="12" t="s">
        <v>1190</v>
      </c>
      <c r="D711" s="16" t="n">
        <v>0.0107804398148148</v>
      </c>
      <c r="E711" s="15" t="n">
        <f aca="false">ROUND((D711-$D$5)*86400,2)</f>
        <v>141.69</v>
      </c>
      <c r="F711" s="17" t="n">
        <v>706</v>
      </c>
      <c r="G711" s="16" t="str">
        <f aca="false">IF(INDEX(選手一覧!$H$7:$H$2738,$F711)="","",INDEX(選手一覧!$H$7:$H$2738,$F711))</f>
        <v/>
      </c>
      <c r="H711" s="17" t="str">
        <f aca="false">IF(INDEX(選手一覧!$I$7:$I$2738,$F711)="","",INDEX(選手一覧!$I$7:$I$2738,$F711))</f>
        <v/>
      </c>
      <c r="I711" s="16" t="n">
        <f aca="false">IF(INDEX(選手一覧!$J$7:$J$2738,$F711)="","",INDEX(選手一覧!$J$7:$J$2738,$F711))</f>
        <v>0.00279907407407407</v>
      </c>
      <c r="J711" s="17" t="n">
        <f aca="false">IF(INDEX(選手一覧!$K$7:$K$2738,$F711)="","",INDEX(選手一覧!$K$7:$K$2738,$F711))</f>
        <v>278</v>
      </c>
    </row>
    <row r="712" customFormat="false" ht="15" hidden="false" customHeight="false" outlineLevel="0" collapsed="false">
      <c r="A712" s="17" t="n">
        <v>708</v>
      </c>
      <c r="B712" s="12" t="s">
        <v>1191</v>
      </c>
      <c r="C712" s="12" t="s">
        <v>1192</v>
      </c>
      <c r="D712" s="16" t="n">
        <v>0.0107810185185185</v>
      </c>
      <c r="E712" s="15" t="n">
        <f aca="false">ROUND((D712-$D$5)*86400,2)</f>
        <v>141.74</v>
      </c>
      <c r="F712" s="17" t="n">
        <v>707</v>
      </c>
      <c r="G712" s="16" t="str">
        <f aca="false">IF(INDEX(選手一覧!$H$7:$H$2738,$F712)="","",INDEX(選手一覧!$H$7:$H$2738,$F712))</f>
        <v/>
      </c>
      <c r="H712" s="17" t="str">
        <f aca="false">IF(INDEX(選手一覧!$I$7:$I$2738,$F712)="","",INDEX(選手一覧!$I$7:$I$2738,$F712))</f>
        <v/>
      </c>
      <c r="I712" s="16" t="n">
        <f aca="false">IF(INDEX(選手一覧!$J$7:$J$2738,$F712)="","",INDEX(選手一覧!$J$7:$J$2738,$F712))</f>
        <v>0.00279560185185185</v>
      </c>
      <c r="J712" s="17" t="n">
        <f aca="false">IF(INDEX(選手一覧!$K$7:$K$2738,$F712)="","",INDEX(選手一覧!$K$7:$K$2738,$F712))</f>
        <v>262</v>
      </c>
    </row>
    <row r="713" customFormat="false" ht="15" hidden="false" customHeight="false" outlineLevel="0" collapsed="false">
      <c r="A713" s="17" t="n">
        <v>709</v>
      </c>
      <c r="B713" s="12" t="s">
        <v>1193</v>
      </c>
      <c r="C713" s="12" t="s">
        <v>207</v>
      </c>
      <c r="D713" s="16" t="n">
        <v>0.0107821759259259</v>
      </c>
      <c r="E713" s="15" t="n">
        <f aca="false">ROUND((D713-$D$5)*86400,2)</f>
        <v>141.84</v>
      </c>
      <c r="F713" s="17" t="n">
        <v>708</v>
      </c>
      <c r="G713" s="16" t="str">
        <f aca="false">IF(INDEX(選手一覧!$H$7:$H$2738,$F713)="","",INDEX(選手一覧!$H$7:$H$2738,$F713))</f>
        <v/>
      </c>
      <c r="H713" s="17" t="str">
        <f aca="false">IF(INDEX(選手一覧!$I$7:$I$2738,$F713)="","",INDEX(選手一覧!$I$7:$I$2738,$F713))</f>
        <v/>
      </c>
      <c r="I713" s="16" t="n">
        <f aca="false">IF(INDEX(選手一覧!$J$7:$J$2738,$F713)="","",INDEX(選手一覧!$J$7:$J$2738,$F713))</f>
        <v>0.0028400462962963</v>
      </c>
      <c r="J713" s="17" t="n">
        <f aca="false">IF(INDEX(選手一覧!$K$7:$K$2738,$F713)="","",INDEX(選手一覧!$K$7:$K$2738,$F713))</f>
        <v>497</v>
      </c>
    </row>
    <row r="714" customFormat="false" ht="15" hidden="false" customHeight="false" outlineLevel="0" collapsed="false">
      <c r="A714" s="17" t="n">
        <v>710</v>
      </c>
      <c r="B714" s="12" t="s">
        <v>1194</v>
      </c>
      <c r="C714" s="12" t="s">
        <v>318</v>
      </c>
      <c r="D714" s="16" t="n">
        <v>0.0107835648148148</v>
      </c>
      <c r="E714" s="15" t="n">
        <f aca="false">ROUND((D714-$D$5)*86400,2)</f>
        <v>141.96</v>
      </c>
      <c r="F714" s="17" t="n">
        <v>709</v>
      </c>
      <c r="G714" s="16" t="n">
        <f aca="false">IF(INDEX(選手一覧!$H$7:$H$2738,$F714)="","",INDEX(選手一覧!$H$7:$H$2738,$F714))</f>
        <v>0.00717002314814815</v>
      </c>
      <c r="H714" s="17" t="n">
        <f aca="false">IF(INDEX(選手一覧!$I$7:$I$2738,$F714)="","",INDEX(選手一覧!$I$7:$I$2738,$F714))</f>
        <v>510</v>
      </c>
      <c r="I714" s="16" t="str">
        <f aca="false">IF(INDEX(選手一覧!$J$7:$J$2738,$F714)="","",INDEX(選手一覧!$J$7:$J$2738,$F714))</f>
        <v/>
      </c>
      <c r="J714" s="17" t="str">
        <f aca="false">IF(INDEX(選手一覧!$K$7:$K$2738,$F714)="","",INDEX(選手一覧!$K$7:$K$2738,$F714))</f>
        <v/>
      </c>
    </row>
    <row r="715" customFormat="false" ht="15" hidden="false" customHeight="false" outlineLevel="0" collapsed="false">
      <c r="A715" s="17" t="n">
        <v>711</v>
      </c>
      <c r="B715" s="12" t="s">
        <v>1195</v>
      </c>
      <c r="C715" s="12" t="s">
        <v>1196</v>
      </c>
      <c r="D715" s="16" t="n">
        <v>0.010783912037037</v>
      </c>
      <c r="E715" s="15" t="n">
        <f aca="false">ROUND((D715-$D$5)*86400,2)</f>
        <v>141.99</v>
      </c>
      <c r="F715" s="17" t="n">
        <v>710</v>
      </c>
      <c r="G715" s="16" t="str">
        <f aca="false">IF(INDEX(選手一覧!$H$7:$H$2738,$F715)="","",INDEX(選手一覧!$H$7:$H$2738,$F715))</f>
        <v/>
      </c>
      <c r="H715" s="17" t="str">
        <f aca="false">IF(INDEX(選手一覧!$I$7:$I$2738,$F715)="","",INDEX(選手一覧!$I$7:$I$2738,$F715))</f>
        <v/>
      </c>
      <c r="I715" s="16" t="n">
        <f aca="false">IF(INDEX(選手一覧!$J$7:$J$2738,$F715)="","",INDEX(選手一覧!$J$7:$J$2738,$F715))</f>
        <v>0.0028587962962963</v>
      </c>
      <c r="J715" s="17" t="n">
        <f aca="false">IF(INDEX(選手一覧!$K$7:$K$2738,$F715)="","",INDEX(選手一覧!$K$7:$K$2738,$F715))</f>
        <v>627</v>
      </c>
    </row>
    <row r="716" customFormat="false" ht="15" hidden="false" customHeight="false" outlineLevel="0" collapsed="false">
      <c r="A716" s="17" t="n">
        <v>712</v>
      </c>
      <c r="B716" s="12" t="s">
        <v>1197</v>
      </c>
      <c r="C716" s="12" t="s">
        <v>77</v>
      </c>
      <c r="D716" s="16" t="n">
        <v>0.0107847222222222</v>
      </c>
      <c r="E716" s="15" t="n">
        <f aca="false">ROUND((D716-$D$5)*86400,2)</f>
        <v>142.06</v>
      </c>
      <c r="F716" s="17" t="n">
        <v>711</v>
      </c>
      <c r="G716" s="16" t="n">
        <f aca="false">IF(INDEX(選手一覧!$H$7:$H$2738,$F716)="","",INDEX(選手一覧!$H$7:$H$2738,$F716))</f>
        <v>0.0072994212962963</v>
      </c>
      <c r="H716" s="17" t="n">
        <f aca="false">IF(INDEX(選手一覧!$I$7:$I$2738,$F716)="","",INDEX(選手一覧!$I$7:$I$2738,$F716))</f>
        <v>646</v>
      </c>
      <c r="I716" s="16" t="n">
        <f aca="false">IF(INDEX(選手一覧!$J$7:$J$2738,$F716)="","",INDEX(選手一覧!$J$7:$J$2738,$F716))</f>
        <v>0.00289733796296296</v>
      </c>
      <c r="J716" s="17" t="n">
        <f aca="false">IF(INDEX(選手一覧!$K$7:$K$2738,$F716)="","",INDEX(選手一覧!$K$7:$K$2738,$F716))</f>
        <v>927</v>
      </c>
    </row>
    <row r="717" customFormat="false" ht="15" hidden="false" customHeight="false" outlineLevel="0" collapsed="false">
      <c r="A717" s="17" t="n">
        <v>713</v>
      </c>
      <c r="B717" s="12" t="s">
        <v>1198</v>
      </c>
      <c r="C717" s="12" t="s">
        <v>1199</v>
      </c>
      <c r="D717" s="16" t="n">
        <v>0.0107855324074074</v>
      </c>
      <c r="E717" s="15" t="n">
        <f aca="false">ROUND((D717-$D$5)*86400,2)</f>
        <v>142.13</v>
      </c>
      <c r="F717" s="17" t="n">
        <v>712</v>
      </c>
      <c r="G717" s="16" t="n">
        <f aca="false">IF(INDEX(選手一覧!$H$7:$H$2738,$F717)="","",INDEX(選手一覧!$H$7:$H$2738,$F717))</f>
        <v>0.007771875</v>
      </c>
      <c r="H717" s="17" t="n">
        <f aca="false">IF(INDEX(選手一覧!$I$7:$I$2738,$F717)="","",INDEX(選手一覧!$I$7:$I$2738,$F717))</f>
        <v>1127</v>
      </c>
      <c r="I717" s="16" t="str">
        <f aca="false">IF(INDEX(選手一覧!$J$7:$J$2738,$F717)="","",INDEX(選手一覧!$J$7:$J$2738,$F717))</f>
        <v/>
      </c>
      <c r="J717" s="17" t="str">
        <f aca="false">IF(INDEX(選手一覧!$K$7:$K$2738,$F717)="","",INDEX(選手一覧!$K$7:$K$2738,$F717))</f>
        <v/>
      </c>
    </row>
    <row r="718" customFormat="false" ht="15" hidden="false" customHeight="false" outlineLevel="0" collapsed="false">
      <c r="A718" s="17" t="n">
        <v>714</v>
      </c>
      <c r="B718" s="12" t="s">
        <v>1200</v>
      </c>
      <c r="C718" s="12" t="s">
        <v>167</v>
      </c>
      <c r="D718" s="16" t="n">
        <v>0.0107869212962963</v>
      </c>
      <c r="E718" s="15" t="n">
        <f aca="false">ROUND((D718-$D$5)*86400,2)</f>
        <v>142.25</v>
      </c>
      <c r="F718" s="17" t="n">
        <v>713</v>
      </c>
      <c r="G718" s="16" t="str">
        <f aca="false">IF(INDEX(選手一覧!$H$7:$H$2738,$F718)="","",INDEX(選手一覧!$H$7:$H$2738,$F718))</f>
        <v/>
      </c>
      <c r="H718" s="17" t="str">
        <f aca="false">IF(INDEX(選手一覧!$I$7:$I$2738,$F718)="","",INDEX(選手一覧!$I$7:$I$2738,$F718))</f>
        <v/>
      </c>
      <c r="I718" s="16" t="n">
        <f aca="false">IF(INDEX(選手一覧!$J$7:$J$2738,$F718)="","",INDEX(選手一覧!$J$7:$J$2738,$F718))</f>
        <v>0.00276516203703704</v>
      </c>
      <c r="J718" s="17" t="n">
        <f aca="false">IF(INDEX(選手一覧!$K$7:$K$2738,$F718)="","",INDEX(選手一覧!$K$7:$K$2738,$F718))</f>
        <v>150</v>
      </c>
    </row>
    <row r="719" customFormat="false" ht="15" hidden="false" customHeight="false" outlineLevel="0" collapsed="false">
      <c r="A719" s="17" t="n">
        <v>715</v>
      </c>
      <c r="B719" s="12" t="s">
        <v>1202</v>
      </c>
      <c r="C719" s="12" t="s">
        <v>303</v>
      </c>
      <c r="D719" s="16" t="n">
        <v>0.0107873842592593</v>
      </c>
      <c r="E719" s="15" t="n">
        <f aca="false">ROUND((D719-$D$5)*86400,2)</f>
        <v>142.29</v>
      </c>
      <c r="F719" s="17" t="n">
        <v>714</v>
      </c>
      <c r="G719" s="16" t="str">
        <f aca="false">IF(INDEX(選手一覧!$H$7:$H$2738,$F719)="","",INDEX(選手一覧!$H$7:$H$2738,$F719))</f>
        <v/>
      </c>
      <c r="H719" s="17" t="str">
        <f aca="false">IF(INDEX(選手一覧!$I$7:$I$2738,$F719)="","",INDEX(選手一覧!$I$7:$I$2738,$F719))</f>
        <v/>
      </c>
      <c r="I719" s="16" t="n">
        <f aca="false">IF(INDEX(選手一覧!$J$7:$J$2738,$F719)="","",INDEX(選手一覧!$J$7:$J$2738,$F719))</f>
        <v>0.00291689814814815</v>
      </c>
      <c r="J719" s="17" t="n">
        <f aca="false">IF(INDEX(選手一覧!$K$7:$K$2738,$F719)="","",INDEX(選手一覧!$K$7:$K$2738,$F719))</f>
        <v>1066</v>
      </c>
    </row>
    <row r="720" customFormat="false" ht="15" hidden="false" customHeight="false" outlineLevel="0" collapsed="false">
      <c r="A720" s="17" t="n">
        <v>716</v>
      </c>
      <c r="B720" s="12" t="s">
        <v>1203</v>
      </c>
      <c r="C720" s="12" t="s">
        <v>757</v>
      </c>
      <c r="D720" s="16" t="n">
        <v>0.0107875</v>
      </c>
      <c r="E720" s="15" t="n">
        <f aca="false">ROUND((D720-$D$5)*86400,2)</f>
        <v>142.3</v>
      </c>
      <c r="F720" s="17" t="n">
        <v>715</v>
      </c>
      <c r="G720" s="16" t="str">
        <f aca="false">IF(INDEX(選手一覧!$H$7:$H$2738,$F720)="","",INDEX(選手一覧!$H$7:$H$2738,$F720))</f>
        <v/>
      </c>
      <c r="H720" s="17" t="str">
        <f aca="false">IF(INDEX(選手一覧!$I$7:$I$2738,$F720)="","",INDEX(選手一覧!$I$7:$I$2738,$F720))</f>
        <v/>
      </c>
      <c r="I720" s="16" t="n">
        <f aca="false">IF(INDEX(選手一覧!$J$7:$J$2738,$F720)="","",INDEX(選手一覧!$J$7:$J$2738,$F720))</f>
        <v>0.00288703703703704</v>
      </c>
      <c r="J720" s="17" t="n">
        <f aca="false">IF(INDEX(選手一覧!$K$7:$K$2738,$F720)="","",INDEX(選手一覧!$K$7:$K$2738,$F720))</f>
        <v>835</v>
      </c>
    </row>
    <row r="721" customFormat="false" ht="15" hidden="false" customHeight="false" outlineLevel="0" collapsed="false">
      <c r="A721" s="17" t="n">
        <v>717</v>
      </c>
      <c r="B721" s="12" t="s">
        <v>1204</v>
      </c>
      <c r="C721" s="12" t="s">
        <v>1196</v>
      </c>
      <c r="D721" s="16" t="n">
        <v>0.0107876157407407</v>
      </c>
      <c r="E721" s="15" t="n">
        <f aca="false">ROUND((D721-$D$5)*86400,2)</f>
        <v>142.31</v>
      </c>
      <c r="F721" s="17" t="n">
        <v>716</v>
      </c>
      <c r="G721" s="16" t="str">
        <f aca="false">IF(INDEX(選手一覧!$H$7:$H$2738,$F721)="","",INDEX(選手一覧!$H$7:$H$2738,$F721))</f>
        <v/>
      </c>
      <c r="H721" s="17" t="str">
        <f aca="false">IF(INDEX(選手一覧!$I$7:$I$2738,$F721)="","",INDEX(選手一覧!$I$7:$I$2738,$F721))</f>
        <v/>
      </c>
      <c r="I721" s="16" t="n">
        <f aca="false">IF(INDEX(選手一覧!$J$7:$J$2738,$F721)="","",INDEX(選手一覧!$J$7:$J$2738,$F721))</f>
        <v>0.00284340277777778</v>
      </c>
      <c r="J721" s="17" t="n">
        <f aca="false">IF(INDEX(選手一覧!$K$7:$K$2738,$F721)="","",INDEX(選手一覧!$K$7:$K$2738,$F721))</f>
        <v>519</v>
      </c>
    </row>
    <row r="722" customFormat="false" ht="15" hidden="false" customHeight="false" outlineLevel="0" collapsed="false">
      <c r="A722" s="17" t="n">
        <v>718</v>
      </c>
      <c r="B722" s="12" t="s">
        <v>1205</v>
      </c>
      <c r="C722" s="12" t="s">
        <v>619</v>
      </c>
      <c r="D722" s="16" t="n">
        <v>0.0107881944444444</v>
      </c>
      <c r="E722" s="15" t="n">
        <f aca="false">ROUND((D722-$D$5)*86400,2)</f>
        <v>142.36</v>
      </c>
      <c r="F722" s="17" t="n">
        <v>717</v>
      </c>
      <c r="G722" s="16" t="n">
        <f aca="false">IF(INDEX(選手一覧!$H$7:$H$2738,$F722)="","",INDEX(選手一覧!$H$7:$H$2738,$F722))</f>
        <v>0.00738912037037037</v>
      </c>
      <c r="H722" s="17" t="n">
        <f aca="false">IF(INDEX(選手一覧!$I$7:$I$2738,$F722)="","",INDEX(選手一覧!$I$7:$I$2738,$F722))</f>
        <v>760</v>
      </c>
      <c r="I722" s="16" t="n">
        <f aca="false">IF(INDEX(選手一覧!$J$7:$J$2738,$F722)="","",INDEX(選手一覧!$J$7:$J$2738,$F722))</f>
        <v>0.00278356481481482</v>
      </c>
      <c r="J722" s="17" t="n">
        <f aca="false">IF(INDEX(選手一覧!$K$7:$K$2738,$F722)="","",INDEX(選手一覧!$K$7:$K$2738,$F722))</f>
        <v>214</v>
      </c>
    </row>
    <row r="723" customFormat="false" ht="15" hidden="false" customHeight="false" outlineLevel="0" collapsed="false">
      <c r="A723" s="17" t="n">
        <v>719</v>
      </c>
      <c r="B723" s="12" t="s">
        <v>1207</v>
      </c>
      <c r="C723" s="12" t="s">
        <v>94</v>
      </c>
      <c r="D723" s="16" t="n">
        <v>0.0107890046296296</v>
      </c>
      <c r="E723" s="15" t="n">
        <f aca="false">ROUND((D723-$D$5)*86400,2)</f>
        <v>142.43</v>
      </c>
      <c r="F723" s="17" t="n">
        <v>718</v>
      </c>
      <c r="G723" s="16" t="str">
        <f aca="false">IF(INDEX(選手一覧!$H$7:$H$2738,$F723)="","",INDEX(選手一覧!$H$7:$H$2738,$F723))</f>
        <v/>
      </c>
      <c r="H723" s="17" t="str">
        <f aca="false">IF(INDEX(選手一覧!$I$7:$I$2738,$F723)="","",INDEX(選手一覧!$I$7:$I$2738,$F723))</f>
        <v/>
      </c>
      <c r="I723" s="16" t="n">
        <f aca="false">IF(INDEX(選手一覧!$J$7:$J$2738,$F723)="","",INDEX(選手一覧!$J$7:$J$2738,$F723))</f>
        <v>0.00275671296296296</v>
      </c>
      <c r="J723" s="17" t="n">
        <f aca="false">IF(INDEX(選手一覧!$K$7:$K$2738,$F723)="","",INDEX(選手一覧!$K$7:$K$2738,$F723))</f>
        <v>125</v>
      </c>
    </row>
    <row r="724" customFormat="false" ht="15" hidden="false" customHeight="false" outlineLevel="0" collapsed="false">
      <c r="A724" s="17" t="n">
        <v>720</v>
      </c>
      <c r="B724" s="12" t="s">
        <v>1208</v>
      </c>
      <c r="C724" s="12" t="s">
        <v>1209</v>
      </c>
      <c r="D724" s="16" t="n">
        <v>0.0107890046296296</v>
      </c>
      <c r="E724" s="15" t="n">
        <f aca="false">ROUND((D724-$D$5)*86400,2)</f>
        <v>142.43</v>
      </c>
      <c r="F724" s="17" t="n">
        <v>719</v>
      </c>
      <c r="G724" s="16" t="str">
        <f aca="false">IF(INDEX(選手一覧!$H$7:$H$2738,$F724)="","",INDEX(選手一覧!$H$7:$H$2738,$F724))</f>
        <v/>
      </c>
      <c r="H724" s="17" t="str">
        <f aca="false">IF(INDEX(選手一覧!$I$7:$I$2738,$F724)="","",INDEX(選手一覧!$I$7:$I$2738,$F724))</f>
        <v/>
      </c>
      <c r="I724" s="16" t="n">
        <f aca="false">IF(INDEX(選手一覧!$J$7:$J$2738,$F724)="","",INDEX(選手一覧!$J$7:$J$2738,$F724))</f>
        <v>0.00283587962962963</v>
      </c>
      <c r="J724" s="17" t="n">
        <f aca="false">IF(INDEX(選手一覧!$K$7:$K$2738,$F724)="","",INDEX(選手一覧!$K$7:$K$2738,$F724))</f>
        <v>470</v>
      </c>
    </row>
    <row r="725" customFormat="false" ht="15" hidden="false" customHeight="false" outlineLevel="0" collapsed="false">
      <c r="A725" s="17" t="n">
        <v>721</v>
      </c>
      <c r="B725" s="12" t="s">
        <v>1211</v>
      </c>
      <c r="C725" s="12" t="s">
        <v>1212</v>
      </c>
      <c r="D725" s="16" t="n">
        <v>0.0107894675925926</v>
      </c>
      <c r="E725" s="15" t="n">
        <f aca="false">ROUND((D725-$D$5)*86400,2)</f>
        <v>142.47</v>
      </c>
      <c r="F725" s="17" t="n">
        <v>720</v>
      </c>
      <c r="G725" s="16" t="str">
        <f aca="false">IF(INDEX(選手一覧!$H$7:$H$2738,$F725)="","",INDEX(選手一覧!$H$7:$H$2738,$F725))</f>
        <v/>
      </c>
      <c r="H725" s="17" t="str">
        <f aca="false">IF(INDEX(選手一覧!$I$7:$I$2738,$F725)="","",INDEX(選手一覧!$I$7:$I$2738,$F725))</f>
        <v/>
      </c>
      <c r="I725" s="16" t="n">
        <f aca="false">IF(INDEX(選手一覧!$J$7:$J$2738,$F725)="","",INDEX(選手一覧!$J$7:$J$2738,$F725))</f>
        <v>0.00289259259259259</v>
      </c>
      <c r="J725" s="17" t="n">
        <f aca="false">IF(INDEX(選手一覧!$K$7:$K$2738,$F725)="","",INDEX(選手一覧!$K$7:$K$2738,$F725))</f>
        <v>895</v>
      </c>
    </row>
    <row r="726" customFormat="false" ht="15" hidden="false" customHeight="false" outlineLevel="0" collapsed="false">
      <c r="A726" s="17" t="n">
        <v>722</v>
      </c>
      <c r="B726" s="12" t="s">
        <v>1213</v>
      </c>
      <c r="C726" s="12" t="s">
        <v>532</v>
      </c>
      <c r="D726" s="16" t="n">
        <v>0.0107895833333333</v>
      </c>
      <c r="E726" s="15" t="n">
        <f aca="false">ROUND((D726-$D$5)*86400,2)</f>
        <v>142.48</v>
      </c>
      <c r="F726" s="17" t="n">
        <v>721</v>
      </c>
      <c r="G726" s="16" t="str">
        <f aca="false">IF(INDEX(選手一覧!$H$7:$H$2738,$F726)="","",INDEX(選手一覧!$H$7:$H$2738,$F726))</f>
        <v/>
      </c>
      <c r="H726" s="17" t="str">
        <f aca="false">IF(INDEX(選手一覧!$I$7:$I$2738,$F726)="","",INDEX(選手一覧!$I$7:$I$2738,$F726))</f>
        <v/>
      </c>
      <c r="I726" s="16" t="n">
        <f aca="false">IF(INDEX(選手一覧!$J$7:$J$2738,$F726)="","",INDEX(選手一覧!$J$7:$J$2738,$F726))</f>
        <v>0.00290972222222222</v>
      </c>
      <c r="J726" s="17" t="n">
        <f aca="false">IF(INDEX(選手一覧!$K$7:$K$2738,$F726)="","",INDEX(選手一覧!$K$7:$K$2738,$F726))</f>
        <v>1015</v>
      </c>
    </row>
    <row r="727" customFormat="false" ht="15" hidden="false" customHeight="false" outlineLevel="0" collapsed="false">
      <c r="A727" s="17" t="n">
        <v>723</v>
      </c>
      <c r="B727" s="12" t="s">
        <v>1214</v>
      </c>
      <c r="C727" s="12" t="s">
        <v>120</v>
      </c>
      <c r="D727" s="16" t="n">
        <v>0.0107907407407407</v>
      </c>
      <c r="E727" s="15" t="n">
        <f aca="false">ROUND((D727-$D$5)*86400,2)</f>
        <v>142.58</v>
      </c>
      <c r="F727" s="17" t="n">
        <v>722</v>
      </c>
      <c r="G727" s="16" t="str">
        <f aca="false">IF(INDEX(選手一覧!$H$7:$H$2738,$F727)="","",INDEX(選手一覧!$H$7:$H$2738,$F727))</f>
        <v/>
      </c>
      <c r="H727" s="17" t="str">
        <f aca="false">IF(INDEX(選手一覧!$I$7:$I$2738,$F727)="","",INDEX(選手一覧!$I$7:$I$2738,$F727))</f>
        <v/>
      </c>
      <c r="I727" s="16" t="n">
        <f aca="false">IF(INDEX(選手一覧!$J$7:$J$2738,$F727)="","",INDEX(選手一覧!$J$7:$J$2738,$F727))</f>
        <v>0.00290555555555556</v>
      </c>
      <c r="J727" s="17" t="n">
        <f aca="false">IF(INDEX(選手一覧!$K$7:$K$2738,$F727)="","",INDEX(選手一覧!$K$7:$K$2738,$F727))</f>
        <v>988</v>
      </c>
    </row>
    <row r="728" customFormat="false" ht="15" hidden="false" customHeight="false" outlineLevel="0" collapsed="false">
      <c r="A728" s="17" t="n">
        <v>724</v>
      </c>
      <c r="B728" s="12" t="s">
        <v>1215</v>
      </c>
      <c r="C728" s="12" t="s">
        <v>1216</v>
      </c>
      <c r="D728" s="16" t="n">
        <v>0.0107907407407407</v>
      </c>
      <c r="E728" s="15" t="n">
        <f aca="false">ROUND((D728-$D$5)*86400,2)</f>
        <v>142.58</v>
      </c>
      <c r="F728" s="17" t="n">
        <v>723</v>
      </c>
      <c r="G728" s="16" t="str">
        <f aca="false">IF(INDEX(選手一覧!$H$7:$H$2738,$F728)="","",INDEX(選手一覧!$H$7:$H$2738,$F728))</f>
        <v/>
      </c>
      <c r="H728" s="17" t="str">
        <f aca="false">IF(INDEX(選手一覧!$I$7:$I$2738,$F728)="","",INDEX(選手一覧!$I$7:$I$2738,$F728))</f>
        <v/>
      </c>
      <c r="I728" s="16" t="n">
        <f aca="false">IF(INDEX(選手一覧!$J$7:$J$2738,$F728)="","",INDEX(選手一覧!$J$7:$J$2738,$F728))</f>
        <v>0.00287835648148148</v>
      </c>
      <c r="J728" s="17" t="n">
        <f aca="false">IF(INDEX(選手一覧!$K$7:$K$2738,$F728)="","",INDEX(選手一覧!$K$7:$K$2738,$F728))</f>
        <v>756</v>
      </c>
    </row>
    <row r="729" customFormat="false" ht="15" hidden="false" customHeight="false" outlineLevel="0" collapsed="false">
      <c r="A729" s="17" t="n">
        <v>725</v>
      </c>
      <c r="B729" s="12" t="s">
        <v>1217</v>
      </c>
      <c r="C729" s="12" t="s">
        <v>1218</v>
      </c>
      <c r="D729" s="16" t="n">
        <v>0.0107909722222222</v>
      </c>
      <c r="E729" s="15" t="n">
        <f aca="false">ROUND((D729-$D$5)*86400,2)</f>
        <v>142.6</v>
      </c>
      <c r="F729" s="17" t="n">
        <v>724</v>
      </c>
      <c r="G729" s="16" t="n">
        <f aca="false">IF(INDEX(選手一覧!$H$7:$H$2738,$F729)="","",INDEX(選手一覧!$H$7:$H$2738,$F729))</f>
        <v>0.00711053240740741</v>
      </c>
      <c r="H729" s="17" t="n">
        <f aca="false">IF(INDEX(選手一覧!$I$7:$I$2738,$F729)="","",INDEX(選手一覧!$I$7:$I$2738,$F729))</f>
        <v>456</v>
      </c>
      <c r="I729" s="16" t="n">
        <f aca="false">IF(INDEX(選手一覧!$J$7:$J$2738,$F729)="","",INDEX(選手一覧!$J$7:$J$2738,$F729))</f>
        <v>0.00284861111111111</v>
      </c>
      <c r="J729" s="17" t="n">
        <f aca="false">IF(INDEX(選手一覧!$K$7:$K$2738,$F729)="","",INDEX(選手一覧!$K$7:$K$2738,$F729))</f>
        <v>558</v>
      </c>
    </row>
    <row r="730" customFormat="false" ht="15" hidden="false" customHeight="false" outlineLevel="0" collapsed="false">
      <c r="A730" s="17" t="n">
        <v>726</v>
      </c>
      <c r="B730" s="12" t="s">
        <v>1219</v>
      </c>
      <c r="C730" s="12" t="s">
        <v>1220</v>
      </c>
      <c r="D730" s="16" t="n">
        <v>0.0107912037037037</v>
      </c>
      <c r="E730" s="15" t="n">
        <f aca="false">ROUND((D730-$D$5)*86400,2)</f>
        <v>142.62</v>
      </c>
      <c r="F730" s="17" t="n">
        <v>725</v>
      </c>
      <c r="G730" s="16" t="str">
        <f aca="false">IF(INDEX(選手一覧!$H$7:$H$2738,$F730)="","",INDEX(選手一覧!$H$7:$H$2738,$F730))</f>
        <v/>
      </c>
      <c r="H730" s="17" t="str">
        <f aca="false">IF(INDEX(選手一覧!$I$7:$I$2738,$F730)="","",INDEX(選手一覧!$I$7:$I$2738,$F730))</f>
        <v/>
      </c>
      <c r="I730" s="16" t="n">
        <f aca="false">IF(INDEX(選手一覧!$J$7:$J$2738,$F730)="","",INDEX(選手一覧!$J$7:$J$2738,$F730))</f>
        <v>0.00285671296296296</v>
      </c>
      <c r="J730" s="17" t="n">
        <f aca="false">IF(INDEX(選手一覧!$K$7:$K$2738,$F730)="","",INDEX(選手一覧!$K$7:$K$2738,$F730))</f>
        <v>613</v>
      </c>
    </row>
    <row r="731" customFormat="false" ht="15" hidden="false" customHeight="false" outlineLevel="0" collapsed="false">
      <c r="A731" s="17" t="n">
        <v>727</v>
      </c>
      <c r="B731" s="12" t="s">
        <v>1221</v>
      </c>
      <c r="C731" s="12" t="s">
        <v>903</v>
      </c>
      <c r="D731" s="16" t="n">
        <v>0.0107913194444444</v>
      </c>
      <c r="E731" s="15" t="n">
        <f aca="false">ROUND((D731-$D$5)*86400,2)</f>
        <v>142.63</v>
      </c>
      <c r="F731" s="17" t="n">
        <v>726</v>
      </c>
      <c r="G731" s="16" t="str">
        <f aca="false">IF(INDEX(選手一覧!$H$7:$H$2738,$F731)="","",INDEX(選手一覧!$H$7:$H$2738,$F731))</f>
        <v/>
      </c>
      <c r="H731" s="17" t="str">
        <f aca="false">IF(INDEX(選手一覧!$I$7:$I$2738,$F731)="","",INDEX(選手一覧!$I$7:$I$2738,$F731))</f>
        <v/>
      </c>
      <c r="I731" s="16" t="str">
        <f aca="false">IF(INDEX(選手一覧!$J$7:$J$2738,$F731)="","",INDEX(選手一覧!$J$7:$J$2738,$F731))</f>
        <v/>
      </c>
      <c r="J731" s="17" t="str">
        <f aca="false">IF(INDEX(選手一覧!$K$7:$K$2738,$F731)="","",INDEX(選手一覧!$K$7:$K$2738,$F731))</f>
        <v/>
      </c>
    </row>
    <row r="732" customFormat="false" ht="15" hidden="false" customHeight="false" outlineLevel="0" collapsed="false">
      <c r="A732" s="17" t="n">
        <v>728</v>
      </c>
      <c r="B732" s="12" t="s">
        <v>1222</v>
      </c>
      <c r="C732" s="12" t="s">
        <v>1049</v>
      </c>
      <c r="D732" s="16" t="n">
        <v>0.0107917824074074</v>
      </c>
      <c r="E732" s="15" t="n">
        <f aca="false">ROUND((D732-$D$5)*86400,2)</f>
        <v>142.67</v>
      </c>
      <c r="F732" s="17" t="n">
        <v>727</v>
      </c>
      <c r="G732" s="16" t="str">
        <f aca="false">IF(INDEX(選手一覧!$H$7:$H$2738,$F732)="","",INDEX(選手一覧!$H$7:$H$2738,$F732))</f>
        <v/>
      </c>
      <c r="H732" s="17" t="str">
        <f aca="false">IF(INDEX(選手一覧!$I$7:$I$2738,$F732)="","",INDEX(選手一覧!$I$7:$I$2738,$F732))</f>
        <v/>
      </c>
      <c r="I732" s="16" t="n">
        <f aca="false">IF(INDEX(選手一覧!$J$7:$J$2738,$F732)="","",INDEX(選手一覧!$J$7:$J$2738,$F732))</f>
        <v>0.00284884259259259</v>
      </c>
      <c r="J732" s="17" t="n">
        <f aca="false">IF(INDEX(選手一覧!$K$7:$K$2738,$F732)="","",INDEX(選手一覧!$K$7:$K$2738,$F732))</f>
        <v>561</v>
      </c>
    </row>
    <row r="733" customFormat="false" ht="15" hidden="false" customHeight="false" outlineLevel="0" collapsed="false">
      <c r="A733" s="17" t="n">
        <v>729</v>
      </c>
      <c r="B733" s="12" t="s">
        <v>1223</v>
      </c>
      <c r="C733" s="12" t="s">
        <v>1224</v>
      </c>
      <c r="D733" s="16" t="n">
        <v>0.0107920138888889</v>
      </c>
      <c r="E733" s="15" t="n">
        <f aca="false">ROUND((D733-$D$5)*86400,2)</f>
        <v>142.69</v>
      </c>
      <c r="F733" s="17" t="n">
        <v>728</v>
      </c>
      <c r="G733" s="16" t="str">
        <f aca="false">IF(INDEX(選手一覧!$H$7:$H$2738,$F733)="","",INDEX(選手一覧!$H$7:$H$2738,$F733))</f>
        <v/>
      </c>
      <c r="H733" s="17" t="str">
        <f aca="false">IF(INDEX(選手一覧!$I$7:$I$2738,$F733)="","",INDEX(選手一覧!$I$7:$I$2738,$F733))</f>
        <v/>
      </c>
      <c r="I733" s="16" t="n">
        <f aca="false">IF(INDEX(選手一覧!$J$7:$J$2738,$F733)="","",INDEX(選手一覧!$J$7:$J$2738,$F733))</f>
        <v>0.00273657407407407</v>
      </c>
      <c r="J733" s="17" t="n">
        <f aca="false">IF(INDEX(選手一覧!$K$7:$K$2738,$F733)="","",INDEX(選手一覧!$K$7:$K$2738,$F733))</f>
        <v>78</v>
      </c>
    </row>
    <row r="734" customFormat="false" ht="15" hidden="false" customHeight="false" outlineLevel="0" collapsed="false">
      <c r="A734" s="17" t="n">
        <v>730</v>
      </c>
      <c r="B734" s="12" t="s">
        <v>1225</v>
      </c>
      <c r="C734" s="12" t="s">
        <v>515</v>
      </c>
      <c r="D734" s="16" t="n">
        <v>0.0107921296296296</v>
      </c>
      <c r="E734" s="15" t="n">
        <f aca="false">ROUND((D734-$D$5)*86400,2)</f>
        <v>142.7</v>
      </c>
      <c r="F734" s="17" t="n">
        <v>729</v>
      </c>
      <c r="G734" s="16" t="n">
        <f aca="false">IF(INDEX(選手一覧!$H$7:$H$2738,$F734)="","",INDEX(選手一覧!$H$7:$H$2738,$F734))</f>
        <v>0.00704074074074074</v>
      </c>
      <c r="H734" s="17" t="n">
        <f aca="false">IF(INDEX(選手一覧!$I$7:$I$2738,$F734)="","",INDEX(選手一覧!$I$7:$I$2738,$F734))</f>
        <v>377</v>
      </c>
      <c r="I734" s="16" t="n">
        <f aca="false">IF(INDEX(選手一覧!$J$7:$J$2738,$F734)="","",INDEX(選手一覧!$J$7:$J$2738,$F734))</f>
        <v>0.00287094907407407</v>
      </c>
      <c r="J734" s="17" t="n">
        <f aca="false">IF(INDEX(選手一覧!$K$7:$K$2738,$F734)="","",INDEX(選手一覧!$K$7:$K$2738,$F734))</f>
        <v>704</v>
      </c>
    </row>
    <row r="735" customFormat="false" ht="15" hidden="false" customHeight="false" outlineLevel="0" collapsed="false">
      <c r="A735" s="17" t="n">
        <v>731</v>
      </c>
      <c r="B735" s="12" t="s">
        <v>1226</v>
      </c>
      <c r="C735" s="12" t="s">
        <v>1227</v>
      </c>
      <c r="D735" s="16" t="n">
        <v>0.0107928240740741</v>
      </c>
      <c r="E735" s="15" t="n">
        <f aca="false">ROUND((D735-$D$5)*86400,2)</f>
        <v>142.76</v>
      </c>
      <c r="F735" s="17" t="n">
        <v>730</v>
      </c>
      <c r="G735" s="16" t="str">
        <f aca="false">IF(INDEX(選手一覧!$H$7:$H$2738,$F735)="","",INDEX(選手一覧!$H$7:$H$2738,$F735))</f>
        <v/>
      </c>
      <c r="H735" s="17" t="str">
        <f aca="false">IF(INDEX(選手一覧!$I$7:$I$2738,$F735)="","",INDEX(選手一覧!$I$7:$I$2738,$F735))</f>
        <v/>
      </c>
      <c r="I735" s="16" t="str">
        <f aca="false">IF(INDEX(選手一覧!$J$7:$J$2738,$F735)="","",INDEX(選手一覧!$J$7:$J$2738,$F735))</f>
        <v/>
      </c>
      <c r="J735" s="17" t="str">
        <f aca="false">IF(INDEX(選手一覧!$K$7:$K$2738,$F735)="","",INDEX(選手一覧!$K$7:$K$2738,$F735))</f>
        <v/>
      </c>
    </row>
    <row r="736" customFormat="false" ht="15" hidden="false" customHeight="false" outlineLevel="0" collapsed="false">
      <c r="A736" s="17" t="n">
        <v>732</v>
      </c>
      <c r="B736" s="12" t="s">
        <v>1228</v>
      </c>
      <c r="C736" s="12" t="s">
        <v>1229</v>
      </c>
      <c r="D736" s="16" t="n">
        <v>0.0107929398148148</v>
      </c>
      <c r="E736" s="15" t="n">
        <f aca="false">ROUND((D736-$D$5)*86400,2)</f>
        <v>142.77</v>
      </c>
      <c r="F736" s="17" t="n">
        <v>731</v>
      </c>
      <c r="G736" s="16" t="n">
        <f aca="false">IF(INDEX(選手一覧!$H$7:$H$2738,$F736)="","",INDEX(選手一覧!$H$7:$H$2738,$F736))</f>
        <v>0.00706365740740741</v>
      </c>
      <c r="H736" s="17" t="n">
        <f aca="false">IF(INDEX(選手一覧!$I$7:$I$2738,$F736)="","",INDEX(選手一覧!$I$7:$I$2738,$F736))</f>
        <v>406</v>
      </c>
      <c r="I736" s="16" t="n">
        <f aca="false">IF(INDEX(選手一覧!$J$7:$J$2738,$F736)="","",INDEX(選手一覧!$J$7:$J$2738,$F736))</f>
        <v>0.00288356481481481</v>
      </c>
      <c r="J736" s="17" t="n">
        <f aca="false">IF(INDEX(選手一覧!$K$7:$K$2738,$F736)="","",INDEX(選手一覧!$K$7:$K$2738,$F736))</f>
        <v>804</v>
      </c>
    </row>
    <row r="737" customFormat="false" ht="15" hidden="false" customHeight="false" outlineLevel="0" collapsed="false">
      <c r="A737" s="17" t="n">
        <v>733</v>
      </c>
      <c r="B737" s="12" t="s">
        <v>1230</v>
      </c>
      <c r="C737" s="12" t="s">
        <v>1231</v>
      </c>
      <c r="D737" s="16" t="n">
        <v>0.010794212962963</v>
      </c>
      <c r="E737" s="15" t="n">
        <f aca="false">ROUND((D737-$D$5)*86400,2)</f>
        <v>142.88</v>
      </c>
      <c r="F737" s="17" t="n">
        <v>732</v>
      </c>
      <c r="G737" s="16" t="n">
        <f aca="false">IF(INDEX(選手一覧!$H$7:$H$2738,$F737)="","",INDEX(選手一覧!$H$7:$H$2738,$F737))</f>
        <v>0.00658078703703704</v>
      </c>
      <c r="H737" s="17" t="n">
        <f aca="false">IF(INDEX(選手一覧!$I$7:$I$2738,$F737)="","",INDEX(選手一覧!$I$7:$I$2738,$F737))</f>
        <v>62</v>
      </c>
      <c r="I737" s="16" t="n">
        <f aca="false">IF(INDEX(選手一覧!$J$7:$J$2738,$F737)="","",INDEX(選手一覧!$J$7:$J$2738,$F737))</f>
        <v>0.00291354166666667</v>
      </c>
      <c r="J737" s="17" t="n">
        <f aca="false">IF(INDEX(選手一覧!$K$7:$K$2738,$F737)="","",INDEX(選手一覧!$K$7:$K$2738,$F737))</f>
        <v>1046</v>
      </c>
    </row>
    <row r="738" customFormat="false" ht="15" hidden="false" customHeight="false" outlineLevel="0" collapsed="false">
      <c r="A738" s="17" t="n">
        <v>734</v>
      </c>
      <c r="B738" s="12" t="s">
        <v>1232</v>
      </c>
      <c r="C738" s="12" t="s">
        <v>1049</v>
      </c>
      <c r="D738" s="16" t="n">
        <v>0.0107952546296296</v>
      </c>
      <c r="E738" s="15" t="n">
        <f aca="false">ROUND((D738-$D$5)*86400,2)</f>
        <v>142.97</v>
      </c>
      <c r="F738" s="17" t="n">
        <v>733</v>
      </c>
      <c r="G738" s="16" t="n">
        <f aca="false">IF(INDEX(選手一覧!$H$7:$H$2738,$F738)="","",INDEX(選手一覧!$H$7:$H$2738,$F738))</f>
        <v>0.00722488425925926</v>
      </c>
      <c r="H738" s="17" t="n">
        <f aca="false">IF(INDEX(選手一覧!$I$7:$I$2738,$F738)="","",INDEX(選手一覧!$I$7:$I$2738,$F738))</f>
        <v>565</v>
      </c>
      <c r="I738" s="16" t="n">
        <f aca="false">IF(INDEX(選手一覧!$J$7:$J$2738,$F738)="","",INDEX(選手一覧!$J$7:$J$2738,$F738))</f>
        <v>0.00296493055555556</v>
      </c>
      <c r="J738" s="17" t="n">
        <f aca="false">IF(INDEX(選手一覧!$K$7:$K$2738,$F738)="","",INDEX(選手一覧!$K$7:$K$2738,$F738))</f>
        <v>1290</v>
      </c>
    </row>
    <row r="739" customFormat="false" ht="15" hidden="false" customHeight="false" outlineLevel="0" collapsed="false">
      <c r="A739" s="17" t="n">
        <v>735</v>
      </c>
      <c r="B739" s="12" t="s">
        <v>1233</v>
      </c>
      <c r="C739" s="12" t="s">
        <v>240</v>
      </c>
      <c r="D739" s="16" t="n">
        <v>0.0107954861111111</v>
      </c>
      <c r="E739" s="15" t="n">
        <f aca="false">ROUND((D739-$D$5)*86400,2)</f>
        <v>142.99</v>
      </c>
      <c r="F739" s="17" t="n">
        <v>734</v>
      </c>
      <c r="G739" s="16" t="n">
        <f aca="false">IF(INDEX(選手一覧!$H$7:$H$2738,$F739)="","",INDEX(選手一覧!$H$7:$H$2738,$F739))</f>
        <v>0.00638576388888889</v>
      </c>
      <c r="H739" s="17" t="n">
        <f aca="false">IF(INDEX(選手一覧!$I$7:$I$2738,$F739)="","",INDEX(選手一覧!$I$7:$I$2738,$F739))</f>
        <v>13</v>
      </c>
      <c r="I739" s="16" t="n">
        <f aca="false">IF(INDEX(選手一覧!$J$7:$J$2738,$F739)="","",INDEX(選手一覧!$J$7:$J$2738,$F739))</f>
        <v>0.00290115740740741</v>
      </c>
      <c r="J739" s="17" t="n">
        <f aca="false">IF(INDEX(選手一覧!$K$7:$K$2738,$F739)="","",INDEX(選手一覧!$K$7:$K$2738,$F739))</f>
        <v>956</v>
      </c>
    </row>
    <row r="740" customFormat="false" ht="15" hidden="false" customHeight="false" outlineLevel="0" collapsed="false">
      <c r="A740" s="17" t="n">
        <v>736</v>
      </c>
      <c r="B740" s="12" t="s">
        <v>1234</v>
      </c>
      <c r="C740" s="12" t="s">
        <v>623</v>
      </c>
      <c r="D740" s="16" t="n">
        <v>0.010796875</v>
      </c>
      <c r="E740" s="15" t="n">
        <f aca="false">ROUND((D740-$D$5)*86400,2)</f>
        <v>143.11</v>
      </c>
      <c r="F740" s="17" t="n">
        <v>735</v>
      </c>
      <c r="G740" s="16" t="str">
        <f aca="false">IF(INDEX(選手一覧!$H$7:$H$2738,$F740)="","",INDEX(選手一覧!$H$7:$H$2738,$F740))</f>
        <v/>
      </c>
      <c r="H740" s="17" t="str">
        <f aca="false">IF(INDEX(選手一覧!$I$7:$I$2738,$F740)="","",INDEX(選手一覧!$I$7:$I$2738,$F740))</f>
        <v/>
      </c>
      <c r="I740" s="16" t="n">
        <f aca="false">IF(INDEX(選手一覧!$J$7:$J$2738,$F740)="","",INDEX(選手一覧!$J$7:$J$2738,$F740))</f>
        <v>0.0028587962962963</v>
      </c>
      <c r="J740" s="17" t="n">
        <f aca="false">IF(INDEX(選手一覧!$K$7:$K$2738,$F740)="","",INDEX(選手一覧!$K$7:$K$2738,$F740))</f>
        <v>628</v>
      </c>
    </row>
    <row r="741" customFormat="false" ht="15" hidden="false" customHeight="false" outlineLevel="0" collapsed="false">
      <c r="A741" s="17" t="n">
        <v>737</v>
      </c>
      <c r="B741" s="12" t="s">
        <v>1236</v>
      </c>
      <c r="C741" s="12" t="s">
        <v>1237</v>
      </c>
      <c r="D741" s="16" t="n">
        <v>0.0107971064814815</v>
      </c>
      <c r="E741" s="15" t="n">
        <f aca="false">ROUND((D741-$D$5)*86400,2)</f>
        <v>143.13</v>
      </c>
      <c r="F741" s="17" t="n">
        <v>736</v>
      </c>
      <c r="G741" s="16" t="str">
        <f aca="false">IF(INDEX(選手一覧!$H$7:$H$2738,$F741)="","",INDEX(選手一覧!$H$7:$H$2738,$F741))</f>
        <v/>
      </c>
      <c r="H741" s="17" t="str">
        <f aca="false">IF(INDEX(選手一覧!$I$7:$I$2738,$F741)="","",INDEX(選手一覧!$I$7:$I$2738,$F741))</f>
        <v/>
      </c>
      <c r="I741" s="16" t="str">
        <f aca="false">IF(INDEX(選手一覧!$J$7:$J$2738,$F741)="","",INDEX(選手一覧!$J$7:$J$2738,$F741))</f>
        <v/>
      </c>
      <c r="J741" s="17" t="str">
        <f aca="false">IF(INDEX(選手一覧!$K$7:$K$2738,$F741)="","",INDEX(選手一覧!$K$7:$K$2738,$F741))</f>
        <v/>
      </c>
    </row>
    <row r="742" customFormat="false" ht="15" hidden="false" customHeight="false" outlineLevel="0" collapsed="false">
      <c r="A742" s="17" t="n">
        <v>738</v>
      </c>
      <c r="B742" s="12" t="s">
        <v>1238</v>
      </c>
      <c r="C742" s="12" t="s">
        <v>150</v>
      </c>
      <c r="D742" s="16" t="n">
        <v>0.0107975694444444</v>
      </c>
      <c r="E742" s="15" t="n">
        <f aca="false">ROUND((D742-$D$5)*86400,2)</f>
        <v>143.17</v>
      </c>
      <c r="F742" s="17" t="n">
        <v>737</v>
      </c>
      <c r="G742" s="16" t="n">
        <f aca="false">IF(INDEX(選手一覧!$H$7:$H$2738,$F742)="","",INDEX(選手一覧!$H$7:$H$2738,$F742))</f>
        <v>0.00665</v>
      </c>
      <c r="H742" s="17" t="n">
        <f aca="false">IF(INDEX(選手一覧!$I$7:$I$2738,$F742)="","",INDEX(選手一覧!$I$7:$I$2738,$F742))</f>
        <v>83</v>
      </c>
      <c r="I742" s="16" t="n">
        <f aca="false">IF(INDEX(選手一覧!$J$7:$J$2738,$F742)="","",INDEX(選手一覧!$J$7:$J$2738,$F742))</f>
        <v>0.00279027777777778</v>
      </c>
      <c r="J742" s="17" t="n">
        <f aca="false">IF(INDEX(選手一覧!$K$7:$K$2738,$F742)="","",INDEX(選手一覧!$K$7:$K$2738,$F742))</f>
        <v>241</v>
      </c>
    </row>
    <row r="743" customFormat="false" ht="15" hidden="false" customHeight="false" outlineLevel="0" collapsed="false">
      <c r="A743" s="17" t="n">
        <v>739</v>
      </c>
      <c r="B743" s="12" t="s">
        <v>1239</v>
      </c>
      <c r="C743" s="12" t="s">
        <v>150</v>
      </c>
      <c r="D743" s="16" t="n">
        <v>0.0107994212962963</v>
      </c>
      <c r="E743" s="15" t="n">
        <f aca="false">ROUND((D743-$D$5)*86400,2)</f>
        <v>143.33</v>
      </c>
      <c r="F743" s="17" t="n">
        <v>738</v>
      </c>
      <c r="G743" s="16" t="n">
        <f aca="false">IF(INDEX(選手一覧!$H$7:$H$2738,$F743)="","",INDEX(選手一覧!$H$7:$H$2738,$F743))</f>
        <v>0.00673020833333333</v>
      </c>
      <c r="H743" s="17" t="n">
        <f aca="false">IF(INDEX(選手一覧!$I$7:$I$2738,$F743)="","",INDEX(選手一覧!$I$7:$I$2738,$F743))</f>
        <v>120</v>
      </c>
      <c r="I743" s="16" t="n">
        <f aca="false">IF(INDEX(選手一覧!$J$7:$J$2738,$F743)="","",INDEX(選手一覧!$J$7:$J$2738,$F743))</f>
        <v>0.00282962962962963</v>
      </c>
      <c r="J743" s="17" t="n">
        <f aca="false">IF(INDEX(選手一覧!$K$7:$K$2738,$F743)="","",INDEX(選手一覧!$K$7:$K$2738,$F743))</f>
        <v>424</v>
      </c>
    </row>
    <row r="744" customFormat="false" ht="15" hidden="false" customHeight="false" outlineLevel="0" collapsed="false">
      <c r="A744" s="17" t="n">
        <v>740</v>
      </c>
      <c r="B744" s="12" t="s">
        <v>1240</v>
      </c>
      <c r="C744" s="12" t="s">
        <v>1216</v>
      </c>
      <c r="D744" s="16" t="n">
        <v>0.0108002314814815</v>
      </c>
      <c r="E744" s="15" t="n">
        <f aca="false">ROUND((D744-$D$5)*86400,2)</f>
        <v>143.4</v>
      </c>
      <c r="F744" s="17" t="n">
        <v>739</v>
      </c>
      <c r="G744" s="16" t="str">
        <f aca="false">IF(INDEX(選手一覧!$H$7:$H$2738,$F744)="","",INDEX(選手一覧!$H$7:$H$2738,$F744))</f>
        <v/>
      </c>
      <c r="H744" s="17" t="str">
        <f aca="false">IF(INDEX(選手一覧!$I$7:$I$2738,$F744)="","",INDEX(選手一覧!$I$7:$I$2738,$F744))</f>
        <v/>
      </c>
      <c r="I744" s="16" t="n">
        <f aca="false">IF(INDEX(選手一覧!$J$7:$J$2738,$F744)="","",INDEX(選手一覧!$J$7:$J$2738,$F744))</f>
        <v>0.00288263888888889</v>
      </c>
      <c r="J744" s="17" t="n">
        <f aca="false">IF(INDEX(選手一覧!$K$7:$K$2738,$F744)="","",INDEX(選手一覧!$K$7:$K$2738,$F744))</f>
        <v>799</v>
      </c>
    </row>
    <row r="745" customFormat="false" ht="15" hidden="false" customHeight="false" outlineLevel="0" collapsed="false">
      <c r="A745" s="17" t="n">
        <v>741</v>
      </c>
      <c r="B745" s="12" t="s">
        <v>1241</v>
      </c>
      <c r="C745" s="12" t="s">
        <v>115</v>
      </c>
      <c r="D745" s="16" t="n">
        <v>0.0108009259259259</v>
      </c>
      <c r="E745" s="15" t="n">
        <f aca="false">ROUND((D745-$D$5)*86400,2)</f>
        <v>143.46</v>
      </c>
      <c r="F745" s="17" t="n">
        <v>740</v>
      </c>
      <c r="G745" s="16" t="str">
        <f aca="false">IF(INDEX(選手一覧!$H$7:$H$2738,$F745)="","",INDEX(選手一覧!$H$7:$H$2738,$F745))</f>
        <v/>
      </c>
      <c r="H745" s="17" t="str">
        <f aca="false">IF(INDEX(選手一覧!$I$7:$I$2738,$F745)="","",INDEX(選手一覧!$I$7:$I$2738,$F745))</f>
        <v/>
      </c>
      <c r="I745" s="16" t="n">
        <f aca="false">IF(INDEX(選手一覧!$J$7:$J$2738,$F745)="","",INDEX(選手一覧!$J$7:$J$2738,$F745))</f>
        <v>0.00291377314814815</v>
      </c>
      <c r="J745" s="17" t="n">
        <f aca="false">IF(INDEX(選手一覧!$K$7:$K$2738,$F745)="","",INDEX(選手一覧!$K$7:$K$2738,$F745))</f>
        <v>1049</v>
      </c>
    </row>
    <row r="746" customFormat="false" ht="15" hidden="false" customHeight="false" outlineLevel="0" collapsed="false">
      <c r="A746" s="17" t="n">
        <v>742</v>
      </c>
      <c r="B746" s="12" t="s">
        <v>1242</v>
      </c>
      <c r="C746" s="20" t="s">
        <v>1243</v>
      </c>
      <c r="D746" s="16" t="n">
        <v>0.0108009259259259</v>
      </c>
      <c r="E746" s="15" t="n">
        <f aca="false">ROUND((D746-$D$5)*86400,2)</f>
        <v>143.46</v>
      </c>
      <c r="F746" s="17" t="n">
        <v>741</v>
      </c>
      <c r="G746" s="16" t="str">
        <f aca="false">IF(INDEX(選手一覧!$H$7:$H$2738,$F746)="","",INDEX(選手一覧!$H$7:$H$2738,$F746))</f>
        <v/>
      </c>
      <c r="H746" s="17" t="str">
        <f aca="false">IF(INDEX(選手一覧!$I$7:$I$2738,$F746)="","",INDEX(選手一覧!$I$7:$I$2738,$F746))</f>
        <v/>
      </c>
      <c r="I746" s="16" t="str">
        <f aca="false">IF(INDEX(選手一覧!$J$7:$J$2738,$F746)="","",INDEX(選手一覧!$J$7:$J$2738,$F746))</f>
        <v/>
      </c>
      <c r="J746" s="17" t="str">
        <f aca="false">IF(INDEX(選手一覧!$K$7:$K$2738,$F746)="","",INDEX(選手一覧!$K$7:$K$2738,$F746))</f>
        <v/>
      </c>
    </row>
    <row r="747" customFormat="false" ht="15" hidden="false" customHeight="false" outlineLevel="0" collapsed="false">
      <c r="A747" s="17" t="n">
        <v>743</v>
      </c>
      <c r="B747" s="12" t="s">
        <v>1244</v>
      </c>
      <c r="C747" s="12" t="s">
        <v>1245</v>
      </c>
      <c r="D747" s="16" t="n">
        <v>0.0108010416666667</v>
      </c>
      <c r="E747" s="15" t="n">
        <f aca="false">ROUND((D747-$D$5)*86400,2)</f>
        <v>143.47</v>
      </c>
      <c r="F747" s="17" t="n">
        <v>742</v>
      </c>
      <c r="G747" s="16" t="str">
        <f aca="false">IF(INDEX(選手一覧!$H$7:$H$2738,$F747)="","",INDEX(選手一覧!$H$7:$H$2738,$F747))</f>
        <v/>
      </c>
      <c r="H747" s="17" t="str">
        <f aca="false">IF(INDEX(選手一覧!$I$7:$I$2738,$F747)="","",INDEX(選手一覧!$I$7:$I$2738,$F747))</f>
        <v/>
      </c>
      <c r="I747" s="16" t="n">
        <f aca="false">IF(INDEX(選手一覧!$J$7:$J$2738,$F747)="","",INDEX(選手一覧!$J$7:$J$2738,$F747))</f>
        <v>0.00291041666666667</v>
      </c>
      <c r="J747" s="17" t="n">
        <f aca="false">IF(INDEX(選手一覧!$K$7:$K$2738,$F747)="","",INDEX(選手一覧!$K$7:$K$2738,$F747))</f>
        <v>1025</v>
      </c>
    </row>
    <row r="748" customFormat="false" ht="15" hidden="false" customHeight="false" outlineLevel="0" collapsed="false">
      <c r="A748" s="17" t="n">
        <v>744</v>
      </c>
      <c r="B748" s="12" t="s">
        <v>1246</v>
      </c>
      <c r="C748" s="12" t="s">
        <v>32</v>
      </c>
      <c r="D748" s="16" t="n">
        <v>0.0108013888888889</v>
      </c>
      <c r="E748" s="15" t="n">
        <f aca="false">ROUND((D748-$D$5)*86400,2)</f>
        <v>143.5</v>
      </c>
      <c r="F748" s="17" t="n">
        <v>743</v>
      </c>
      <c r="G748" s="16" t="str">
        <f aca="false">IF(INDEX(選手一覧!$H$7:$H$2738,$F748)="","",INDEX(選手一覧!$H$7:$H$2738,$F748))</f>
        <v/>
      </c>
      <c r="H748" s="17" t="str">
        <f aca="false">IF(INDEX(選手一覧!$I$7:$I$2738,$F748)="","",INDEX(選手一覧!$I$7:$I$2738,$F748))</f>
        <v/>
      </c>
      <c r="I748" s="16" t="str">
        <f aca="false">IF(INDEX(選手一覧!$J$7:$J$2738,$F748)="","",INDEX(選手一覧!$J$7:$J$2738,$F748))</f>
        <v/>
      </c>
      <c r="J748" s="17" t="str">
        <f aca="false">IF(INDEX(選手一覧!$K$7:$K$2738,$F748)="","",INDEX(選手一覧!$K$7:$K$2738,$F748))</f>
        <v/>
      </c>
    </row>
    <row r="749" customFormat="false" ht="15" hidden="false" customHeight="false" outlineLevel="0" collapsed="false">
      <c r="A749" s="17" t="n">
        <v>745</v>
      </c>
      <c r="B749" s="12" t="s">
        <v>1247</v>
      </c>
      <c r="C749" s="12" t="s">
        <v>1248</v>
      </c>
      <c r="D749" s="16" t="n">
        <v>0.0108016203703704</v>
      </c>
      <c r="E749" s="15" t="n">
        <f aca="false">ROUND((D749-$D$5)*86400,2)</f>
        <v>143.52</v>
      </c>
      <c r="F749" s="17" t="n">
        <v>744</v>
      </c>
      <c r="G749" s="16" t="str">
        <f aca="false">IF(INDEX(選手一覧!$H$7:$H$2738,$F749)="","",INDEX(選手一覧!$H$7:$H$2738,$F749))</f>
        <v/>
      </c>
      <c r="H749" s="17" t="str">
        <f aca="false">IF(INDEX(選手一覧!$I$7:$I$2738,$F749)="","",INDEX(選手一覧!$I$7:$I$2738,$F749))</f>
        <v/>
      </c>
      <c r="I749" s="16" t="str">
        <f aca="false">IF(INDEX(選手一覧!$J$7:$J$2738,$F749)="","",INDEX(選手一覧!$J$7:$J$2738,$F749))</f>
        <v/>
      </c>
      <c r="J749" s="17" t="str">
        <f aca="false">IF(INDEX(選手一覧!$K$7:$K$2738,$F749)="","",INDEX(選手一覧!$K$7:$K$2738,$F749))</f>
        <v/>
      </c>
    </row>
    <row r="750" customFormat="false" ht="15" hidden="false" customHeight="false" outlineLevel="0" collapsed="false">
      <c r="A750" s="17" t="n">
        <v>746</v>
      </c>
      <c r="B750" s="12" t="s">
        <v>1250</v>
      </c>
      <c r="C750" s="12" t="s">
        <v>980</v>
      </c>
      <c r="D750" s="16" t="n">
        <v>0.0108021990740741</v>
      </c>
      <c r="E750" s="15" t="n">
        <f aca="false">ROUND((D750-$D$5)*86400,2)</f>
        <v>143.57</v>
      </c>
      <c r="F750" s="17" t="n">
        <v>745</v>
      </c>
      <c r="G750" s="16" t="str">
        <f aca="false">IF(INDEX(選手一覧!$H$7:$H$2738,$F750)="","",INDEX(選手一覧!$H$7:$H$2738,$F750))</f>
        <v/>
      </c>
      <c r="H750" s="17" t="str">
        <f aca="false">IF(INDEX(選手一覧!$I$7:$I$2738,$F750)="","",INDEX(選手一覧!$I$7:$I$2738,$F750))</f>
        <v/>
      </c>
      <c r="I750" s="16" t="n">
        <f aca="false">IF(INDEX(選手一覧!$J$7:$J$2738,$F750)="","",INDEX(選手一覧!$J$7:$J$2738,$F750))</f>
        <v>0.00288425925925926</v>
      </c>
      <c r="J750" s="17" t="n">
        <f aca="false">IF(INDEX(選手一覧!$K$7:$K$2738,$F750)="","",INDEX(選手一覧!$K$7:$K$2738,$F750))</f>
        <v>810</v>
      </c>
    </row>
    <row r="751" customFormat="false" ht="15" hidden="false" customHeight="false" outlineLevel="0" collapsed="false">
      <c r="A751" s="17" t="n">
        <v>747</v>
      </c>
      <c r="B751" s="12" t="s">
        <v>1252</v>
      </c>
      <c r="C751" s="12" t="s">
        <v>214</v>
      </c>
      <c r="D751" s="16" t="n">
        <v>0.0108023148148148</v>
      </c>
      <c r="E751" s="15" t="n">
        <f aca="false">ROUND((D751-$D$5)*86400,2)</f>
        <v>143.58</v>
      </c>
      <c r="F751" s="17" t="n">
        <v>746</v>
      </c>
      <c r="G751" s="16" t="n">
        <f aca="false">IF(INDEX(選手一覧!$H$7:$H$2738,$F751)="","",INDEX(選手一覧!$H$7:$H$2738,$F751))</f>
        <v>0.00692986111111111</v>
      </c>
      <c r="H751" s="17" t="n">
        <f aca="false">IF(INDEX(選手一覧!$I$7:$I$2738,$F751)="","",INDEX(選手一覧!$I$7:$I$2738,$F751))</f>
        <v>273</v>
      </c>
      <c r="I751" s="16" t="n">
        <f aca="false">IF(INDEX(選手一覧!$J$7:$J$2738,$F751)="","",INDEX(選手一覧!$J$7:$J$2738,$F751))</f>
        <v>0.00288194444444444</v>
      </c>
      <c r="J751" s="17" t="n">
        <f aca="false">IF(INDEX(選手一覧!$K$7:$K$2738,$F751)="","",INDEX(選手一覧!$K$7:$K$2738,$F751))</f>
        <v>791</v>
      </c>
    </row>
    <row r="752" customFormat="false" ht="15" hidden="false" customHeight="false" outlineLevel="0" collapsed="false">
      <c r="A752" s="17" t="n">
        <v>748</v>
      </c>
      <c r="B752" s="12" t="s">
        <v>1253</v>
      </c>
      <c r="C752" s="12" t="s">
        <v>40</v>
      </c>
      <c r="D752" s="16" t="n">
        <v>0.0108025462962963</v>
      </c>
      <c r="E752" s="15" t="n">
        <f aca="false">ROUND((D752-$D$5)*86400,2)</f>
        <v>143.6</v>
      </c>
      <c r="F752" s="17" t="n">
        <v>747</v>
      </c>
      <c r="G752" s="16" t="str">
        <f aca="false">IF(INDEX(選手一覧!$H$7:$H$2738,$F752)="","",INDEX(選手一覧!$H$7:$H$2738,$F752))</f>
        <v/>
      </c>
      <c r="H752" s="17" t="str">
        <f aca="false">IF(INDEX(選手一覧!$I$7:$I$2738,$F752)="","",INDEX(選手一覧!$I$7:$I$2738,$F752))</f>
        <v/>
      </c>
      <c r="I752" s="16" t="str">
        <f aca="false">IF(INDEX(選手一覧!$J$7:$J$2738,$F752)="","",INDEX(選手一覧!$J$7:$J$2738,$F752))</f>
        <v/>
      </c>
      <c r="J752" s="17" t="str">
        <f aca="false">IF(INDEX(選手一覧!$K$7:$K$2738,$F752)="","",INDEX(選手一覧!$K$7:$K$2738,$F752))</f>
        <v/>
      </c>
    </row>
    <row r="753" customFormat="false" ht="15" hidden="false" customHeight="false" outlineLevel="0" collapsed="false">
      <c r="A753" s="17" t="n">
        <v>749</v>
      </c>
      <c r="B753" s="12" t="s">
        <v>1254</v>
      </c>
      <c r="C753" s="12" t="s">
        <v>1255</v>
      </c>
      <c r="D753" s="16" t="n">
        <v>0.010803125</v>
      </c>
      <c r="E753" s="15" t="n">
        <f aca="false">ROUND((D753-$D$5)*86400,2)</f>
        <v>143.65</v>
      </c>
      <c r="F753" s="17" t="n">
        <v>748</v>
      </c>
      <c r="G753" s="16" t="str">
        <f aca="false">IF(INDEX(選手一覧!$H$7:$H$2738,$F753)="","",INDEX(選手一覧!$H$7:$H$2738,$F753))</f>
        <v/>
      </c>
      <c r="H753" s="17" t="str">
        <f aca="false">IF(INDEX(選手一覧!$I$7:$I$2738,$F753)="","",INDEX(選手一覧!$I$7:$I$2738,$F753))</f>
        <v/>
      </c>
      <c r="I753" s="16" t="n">
        <f aca="false">IF(INDEX(選手一覧!$J$7:$J$2738,$F753)="","",INDEX(選手一覧!$J$7:$J$2738,$F753))</f>
        <v>0.00279560185185185</v>
      </c>
      <c r="J753" s="17" t="n">
        <f aca="false">IF(INDEX(選手一覧!$K$7:$K$2738,$F753)="","",INDEX(選手一覧!$K$7:$K$2738,$F753))</f>
        <v>264</v>
      </c>
    </row>
    <row r="754" customFormat="false" ht="15" hidden="false" customHeight="false" outlineLevel="0" collapsed="false">
      <c r="A754" s="17" t="n">
        <v>750</v>
      </c>
      <c r="B754" s="12" t="s">
        <v>1256</v>
      </c>
      <c r="C754" s="12" t="s">
        <v>77</v>
      </c>
      <c r="D754" s="16" t="n">
        <v>0.0108045138888889</v>
      </c>
      <c r="E754" s="15" t="n">
        <f aca="false">ROUND((D754-$D$5)*86400,2)</f>
        <v>143.77</v>
      </c>
      <c r="F754" s="17" t="n">
        <v>749</v>
      </c>
      <c r="G754" s="16" t="str">
        <f aca="false">IF(INDEX(選手一覧!$H$7:$H$2738,$F754)="","",INDEX(選手一覧!$H$7:$H$2738,$F754))</f>
        <v/>
      </c>
      <c r="H754" s="17" t="str">
        <f aca="false">IF(INDEX(選手一覧!$I$7:$I$2738,$F754)="","",INDEX(選手一覧!$I$7:$I$2738,$F754))</f>
        <v/>
      </c>
      <c r="I754" s="16" t="n">
        <f aca="false">IF(INDEX(選手一覧!$J$7:$J$2738,$F754)="","",INDEX(選手一覧!$J$7:$J$2738,$F754))</f>
        <v>0.0028556712962963</v>
      </c>
      <c r="J754" s="17" t="n">
        <f aca="false">IF(INDEX(選手一覧!$K$7:$K$2738,$F754)="","",INDEX(選手一覧!$K$7:$K$2738,$F754))</f>
        <v>602</v>
      </c>
    </row>
    <row r="755" customFormat="false" ht="15" hidden="false" customHeight="false" outlineLevel="0" collapsed="false">
      <c r="A755" s="17" t="n">
        <v>751</v>
      </c>
      <c r="B755" s="12" t="s">
        <v>1258</v>
      </c>
      <c r="C755" s="12" t="s">
        <v>1259</v>
      </c>
      <c r="D755" s="16" t="n">
        <v>0.0108052083333333</v>
      </c>
      <c r="E755" s="15" t="n">
        <f aca="false">ROUND((D755-$D$5)*86400,2)</f>
        <v>143.83</v>
      </c>
      <c r="F755" s="17" t="n">
        <v>750</v>
      </c>
      <c r="G755" s="16" t="n">
        <f aca="false">IF(INDEX(選手一覧!$H$7:$H$2738,$F755)="","",INDEX(選手一覧!$H$7:$H$2738,$F755))</f>
        <v>0.00641087962962963</v>
      </c>
      <c r="H755" s="17" t="n">
        <f aca="false">IF(INDEX(選手一覧!$I$7:$I$2738,$F755)="","",INDEX(選手一覧!$I$7:$I$2738,$F755))</f>
        <v>17</v>
      </c>
      <c r="I755" s="16" t="n">
        <f aca="false">IF(INDEX(選手一覧!$J$7:$J$2738,$F755)="","",INDEX(選手一覧!$J$7:$J$2738,$F755))</f>
        <v>0.00279456018518519</v>
      </c>
      <c r="J755" s="17" t="n">
        <f aca="false">IF(INDEX(選手一覧!$K$7:$K$2738,$F755)="","",INDEX(選手一覧!$K$7:$K$2738,$F755))</f>
        <v>257</v>
      </c>
    </row>
    <row r="756" customFormat="false" ht="15" hidden="false" customHeight="false" outlineLevel="0" collapsed="false">
      <c r="A756" s="17" t="n">
        <v>752</v>
      </c>
      <c r="B756" s="12" t="s">
        <v>1260</v>
      </c>
      <c r="C756" s="12" t="s">
        <v>1261</v>
      </c>
      <c r="D756" s="16" t="n">
        <v>0.0108053240740741</v>
      </c>
      <c r="E756" s="15" t="n">
        <f aca="false">ROUND((D756-$D$5)*86400,2)</f>
        <v>143.84</v>
      </c>
      <c r="F756" s="17" t="n">
        <v>751</v>
      </c>
      <c r="G756" s="16" t="str">
        <f aca="false">IF(INDEX(選手一覧!$H$7:$H$2738,$F756)="","",INDEX(選手一覧!$H$7:$H$2738,$F756))</f>
        <v/>
      </c>
      <c r="H756" s="17" t="str">
        <f aca="false">IF(INDEX(選手一覧!$I$7:$I$2738,$F756)="","",INDEX(選手一覧!$I$7:$I$2738,$F756))</f>
        <v/>
      </c>
      <c r="I756" s="16" t="n">
        <f aca="false">IF(INDEX(選手一覧!$J$7:$J$2738,$F756)="","",INDEX(選手一覧!$J$7:$J$2738,$F756))</f>
        <v>0.00287106481481482</v>
      </c>
      <c r="J756" s="17" t="n">
        <f aca="false">IF(INDEX(選手一覧!$K$7:$K$2738,$F756)="","",INDEX(選手一覧!$K$7:$K$2738,$F756))</f>
        <v>706</v>
      </c>
    </row>
    <row r="757" customFormat="false" ht="15" hidden="false" customHeight="false" outlineLevel="0" collapsed="false">
      <c r="A757" s="17" t="n">
        <v>753</v>
      </c>
      <c r="B757" s="12" t="s">
        <v>1263</v>
      </c>
      <c r="C757" s="12" t="s">
        <v>96</v>
      </c>
      <c r="D757" s="16" t="n">
        <v>0.0108053240740741</v>
      </c>
      <c r="E757" s="15" t="n">
        <f aca="false">ROUND((D757-$D$5)*86400,2)</f>
        <v>143.84</v>
      </c>
      <c r="F757" s="17" t="n">
        <v>752</v>
      </c>
      <c r="G757" s="16" t="str">
        <f aca="false">IF(INDEX(選手一覧!$H$7:$H$2738,$F757)="","",INDEX(選手一覧!$H$7:$H$2738,$F757))</f>
        <v/>
      </c>
      <c r="H757" s="17" t="str">
        <f aca="false">IF(INDEX(選手一覧!$I$7:$I$2738,$F757)="","",INDEX(選手一覧!$I$7:$I$2738,$F757))</f>
        <v/>
      </c>
      <c r="I757" s="16" t="str">
        <f aca="false">IF(INDEX(選手一覧!$J$7:$J$2738,$F757)="","",INDEX(選手一覧!$J$7:$J$2738,$F757))</f>
        <v/>
      </c>
      <c r="J757" s="17" t="str">
        <f aca="false">IF(INDEX(選手一覧!$K$7:$K$2738,$F757)="","",INDEX(選手一覧!$K$7:$K$2738,$F757))</f>
        <v/>
      </c>
    </row>
    <row r="758" customFormat="false" ht="15" hidden="false" customHeight="false" outlineLevel="0" collapsed="false">
      <c r="A758" s="17" t="n">
        <v>754</v>
      </c>
      <c r="B758" s="12" t="s">
        <v>1264</v>
      </c>
      <c r="C758" s="12" t="s">
        <v>1265</v>
      </c>
      <c r="D758" s="16" t="n">
        <v>0.0108061342592593</v>
      </c>
      <c r="E758" s="15" t="n">
        <f aca="false">ROUND((D758-$D$5)*86400,2)</f>
        <v>143.91</v>
      </c>
      <c r="F758" s="17" t="n">
        <v>753</v>
      </c>
      <c r="G758" s="16" t="str">
        <f aca="false">IF(INDEX(選手一覧!$H$7:$H$2738,$F758)="","",INDEX(選手一覧!$H$7:$H$2738,$F758))</f>
        <v/>
      </c>
      <c r="H758" s="17" t="str">
        <f aca="false">IF(INDEX(選手一覧!$I$7:$I$2738,$F758)="","",INDEX(選手一覧!$I$7:$I$2738,$F758))</f>
        <v/>
      </c>
      <c r="I758" s="16" t="n">
        <f aca="false">IF(INDEX(選手一覧!$J$7:$J$2738,$F758)="","",INDEX(選手一覧!$J$7:$J$2738,$F758))</f>
        <v>0.00294814814814815</v>
      </c>
      <c r="J758" s="17" t="n">
        <f aca="false">IF(INDEX(選手一覧!$K$7:$K$2738,$F758)="","",INDEX(選手一覧!$K$7:$K$2738,$F758))</f>
        <v>1228</v>
      </c>
    </row>
    <row r="759" customFormat="false" ht="15" hidden="false" customHeight="false" outlineLevel="0" collapsed="false">
      <c r="A759" s="17" t="n">
        <v>755</v>
      </c>
      <c r="B759" s="12" t="s">
        <v>1266</v>
      </c>
      <c r="C759" s="12" t="s">
        <v>417</v>
      </c>
      <c r="D759" s="16" t="n">
        <v>0.0108063657407407</v>
      </c>
      <c r="E759" s="15" t="n">
        <f aca="false">ROUND((D759-$D$5)*86400,2)</f>
        <v>143.93</v>
      </c>
      <c r="F759" s="17" t="n">
        <v>754</v>
      </c>
      <c r="G759" s="16" t="str">
        <f aca="false">IF(INDEX(選手一覧!$H$7:$H$2738,$F759)="","",INDEX(選手一覧!$H$7:$H$2738,$F759))</f>
        <v/>
      </c>
      <c r="H759" s="17" t="str">
        <f aca="false">IF(INDEX(選手一覧!$I$7:$I$2738,$F759)="","",INDEX(選手一覧!$I$7:$I$2738,$F759))</f>
        <v/>
      </c>
      <c r="I759" s="16" t="str">
        <f aca="false">IF(INDEX(選手一覧!$J$7:$J$2738,$F759)="","",INDEX(選手一覧!$J$7:$J$2738,$F759))</f>
        <v/>
      </c>
      <c r="J759" s="17" t="str">
        <f aca="false">IF(INDEX(選手一覧!$K$7:$K$2738,$F759)="","",INDEX(選手一覧!$K$7:$K$2738,$F759))</f>
        <v/>
      </c>
    </row>
    <row r="760" customFormat="false" ht="15" hidden="false" customHeight="false" outlineLevel="0" collapsed="false">
      <c r="A760" s="17" t="n">
        <v>756</v>
      </c>
      <c r="B760" s="12" t="s">
        <v>1267</v>
      </c>
      <c r="C760" s="12" t="s">
        <v>214</v>
      </c>
      <c r="D760" s="16" t="n">
        <v>0.0108065972222222</v>
      </c>
      <c r="E760" s="15" t="n">
        <f aca="false">ROUND((D760-$D$5)*86400,2)</f>
        <v>143.95</v>
      </c>
      <c r="F760" s="17" t="n">
        <v>755</v>
      </c>
      <c r="G760" s="16" t="str">
        <f aca="false">IF(INDEX(選手一覧!$H$7:$H$2738,$F760)="","",INDEX(選手一覧!$H$7:$H$2738,$F760))</f>
        <v/>
      </c>
      <c r="H760" s="17" t="str">
        <f aca="false">IF(INDEX(選手一覧!$I$7:$I$2738,$F760)="","",INDEX(選手一覧!$I$7:$I$2738,$F760))</f>
        <v/>
      </c>
      <c r="I760" s="16" t="n">
        <f aca="false">IF(INDEX(選手一覧!$J$7:$J$2738,$F760)="","",INDEX(選手一覧!$J$7:$J$2738,$F760))</f>
        <v>0.00278055555555556</v>
      </c>
      <c r="J760" s="17" t="n">
        <f aca="false">IF(INDEX(選手一覧!$K$7:$K$2738,$F760)="","",INDEX(選手一覧!$K$7:$K$2738,$F760))</f>
        <v>203</v>
      </c>
    </row>
    <row r="761" customFormat="false" ht="15" hidden="false" customHeight="false" outlineLevel="0" collapsed="false">
      <c r="A761" s="17" t="n">
        <v>757</v>
      </c>
      <c r="B761" s="12" t="s">
        <v>1268</v>
      </c>
      <c r="C761" s="12" t="s">
        <v>1269</v>
      </c>
      <c r="D761" s="16" t="n">
        <v>0.0108070601851852</v>
      </c>
      <c r="E761" s="15" t="n">
        <f aca="false">ROUND((D761-$D$5)*86400,2)</f>
        <v>143.99</v>
      </c>
      <c r="F761" s="17" t="n">
        <v>756</v>
      </c>
      <c r="G761" s="16" t="str">
        <f aca="false">IF(INDEX(選手一覧!$H$7:$H$2738,$F761)="","",INDEX(選手一覧!$H$7:$H$2738,$F761))</f>
        <v/>
      </c>
      <c r="H761" s="17" t="str">
        <f aca="false">IF(INDEX(選手一覧!$I$7:$I$2738,$F761)="","",INDEX(選手一覧!$I$7:$I$2738,$F761))</f>
        <v/>
      </c>
      <c r="I761" s="16" t="n">
        <f aca="false">IF(INDEX(選手一覧!$J$7:$J$2738,$F761)="","",INDEX(選手一覧!$J$7:$J$2738,$F761))</f>
        <v>0.00279814814814815</v>
      </c>
      <c r="J761" s="17" t="n">
        <f aca="false">IF(INDEX(選手一覧!$K$7:$K$2738,$F761)="","",INDEX(選手一覧!$K$7:$K$2738,$F761))</f>
        <v>275</v>
      </c>
    </row>
    <row r="762" customFormat="false" ht="15" hidden="false" customHeight="false" outlineLevel="0" collapsed="false">
      <c r="A762" s="17" t="n">
        <v>758</v>
      </c>
      <c r="B762" s="12" t="s">
        <v>1270</v>
      </c>
      <c r="C762" s="12" t="s">
        <v>165</v>
      </c>
      <c r="D762" s="16" t="n">
        <v>0.0108075231481482</v>
      </c>
      <c r="E762" s="15" t="n">
        <f aca="false">ROUND((D762-$D$5)*86400,2)</f>
        <v>144.03</v>
      </c>
      <c r="F762" s="17" t="n">
        <v>757</v>
      </c>
      <c r="G762" s="16" t="str">
        <f aca="false">IF(INDEX(選手一覧!$H$7:$H$2738,$F762)="","",INDEX(選手一覧!$H$7:$H$2738,$F762))</f>
        <v/>
      </c>
      <c r="H762" s="17" t="str">
        <f aca="false">IF(INDEX(選手一覧!$I$7:$I$2738,$F762)="","",INDEX(選手一覧!$I$7:$I$2738,$F762))</f>
        <v/>
      </c>
      <c r="I762" s="16" t="str">
        <f aca="false">IF(INDEX(選手一覧!$J$7:$J$2738,$F762)="","",INDEX(選手一覧!$J$7:$J$2738,$F762))</f>
        <v/>
      </c>
      <c r="J762" s="17" t="str">
        <f aca="false">IF(INDEX(選手一覧!$K$7:$K$2738,$F762)="","",INDEX(選手一覧!$K$7:$K$2738,$F762))</f>
        <v/>
      </c>
    </row>
    <row r="763" customFormat="false" ht="15" hidden="false" customHeight="false" outlineLevel="0" collapsed="false">
      <c r="A763" s="17" t="n">
        <v>759</v>
      </c>
      <c r="B763" s="12" t="s">
        <v>1271</v>
      </c>
      <c r="C763" s="12" t="s">
        <v>1148</v>
      </c>
      <c r="D763" s="16" t="n">
        <v>0.0108078703703704</v>
      </c>
      <c r="E763" s="15" t="n">
        <f aca="false">ROUND((D763-$D$5)*86400,2)</f>
        <v>144.06</v>
      </c>
      <c r="F763" s="17" t="n">
        <v>758</v>
      </c>
      <c r="G763" s="16" t="str">
        <f aca="false">IF(INDEX(選手一覧!$H$7:$H$2738,$F763)="","",INDEX(選手一覧!$H$7:$H$2738,$F763))</f>
        <v/>
      </c>
      <c r="H763" s="17" t="str">
        <f aca="false">IF(INDEX(選手一覧!$I$7:$I$2738,$F763)="","",INDEX(選手一覧!$I$7:$I$2738,$F763))</f>
        <v/>
      </c>
      <c r="I763" s="16" t="str">
        <f aca="false">IF(INDEX(選手一覧!$J$7:$J$2738,$F763)="","",INDEX(選手一覧!$J$7:$J$2738,$F763))</f>
        <v/>
      </c>
      <c r="J763" s="17" t="str">
        <f aca="false">IF(INDEX(選手一覧!$K$7:$K$2738,$F763)="","",INDEX(選手一覧!$K$7:$K$2738,$F763))</f>
        <v/>
      </c>
    </row>
    <row r="764" customFormat="false" ht="15" hidden="false" customHeight="false" outlineLevel="0" collapsed="false">
      <c r="A764" s="17" t="n">
        <v>760</v>
      </c>
      <c r="B764" s="12" t="s">
        <v>1272</v>
      </c>
      <c r="C764" s="12" t="s">
        <v>256</v>
      </c>
      <c r="D764" s="16" t="n">
        <v>0.0108078703703704</v>
      </c>
      <c r="E764" s="15" t="n">
        <f aca="false">ROUND((D764-$D$5)*86400,2)</f>
        <v>144.06</v>
      </c>
      <c r="F764" s="17" t="n">
        <v>759</v>
      </c>
      <c r="G764" s="16" t="n">
        <f aca="false">IF(INDEX(選手一覧!$H$7:$H$2738,$F764)="","",INDEX(選手一覧!$H$7:$H$2738,$F764))</f>
        <v>0.00676238425925926</v>
      </c>
      <c r="H764" s="17" t="n">
        <f aca="false">IF(INDEX(選手一覧!$I$7:$I$2738,$F764)="","",INDEX(選手一覧!$I$7:$I$2738,$F764))</f>
        <v>138</v>
      </c>
      <c r="I764" s="16" t="str">
        <f aca="false">IF(INDEX(選手一覧!$J$7:$J$2738,$F764)="","",INDEX(選手一覧!$J$7:$J$2738,$F764))</f>
        <v/>
      </c>
      <c r="J764" s="17" t="str">
        <f aca="false">IF(INDEX(選手一覧!$K$7:$K$2738,$F764)="","",INDEX(選手一覧!$K$7:$K$2738,$F764))</f>
        <v/>
      </c>
    </row>
    <row r="765" customFormat="false" ht="15" hidden="false" customHeight="false" outlineLevel="0" collapsed="false">
      <c r="A765" s="17" t="n">
        <v>761</v>
      </c>
      <c r="B765" s="12" t="s">
        <v>1273</v>
      </c>
      <c r="C765" s="12" t="s">
        <v>1274</v>
      </c>
      <c r="D765" s="16" t="n">
        <v>0.0108081018518519</v>
      </c>
      <c r="E765" s="15" t="n">
        <f aca="false">ROUND((D765-$D$5)*86400,2)</f>
        <v>144.08</v>
      </c>
      <c r="F765" s="17" t="n">
        <v>760</v>
      </c>
      <c r="G765" s="16" t="str">
        <f aca="false">IF(INDEX(選手一覧!$H$7:$H$2738,$F765)="","",INDEX(選手一覧!$H$7:$H$2738,$F765))</f>
        <v/>
      </c>
      <c r="H765" s="17" t="str">
        <f aca="false">IF(INDEX(選手一覧!$I$7:$I$2738,$F765)="","",INDEX(選手一覧!$I$7:$I$2738,$F765))</f>
        <v/>
      </c>
      <c r="I765" s="16" t="n">
        <f aca="false">IF(INDEX(選手一覧!$J$7:$J$2738,$F765)="","",INDEX(選手一覧!$J$7:$J$2738,$F765))</f>
        <v>0.00289467592592593</v>
      </c>
      <c r="J765" s="17" t="n">
        <f aca="false">IF(INDEX(選手一覧!$K$7:$K$2738,$F765)="","",INDEX(選手一覧!$K$7:$K$2738,$F765))</f>
        <v>908</v>
      </c>
    </row>
    <row r="766" customFormat="false" ht="15" hidden="false" customHeight="false" outlineLevel="0" collapsed="false">
      <c r="A766" s="17" t="n">
        <v>762</v>
      </c>
      <c r="B766" s="12" t="s">
        <v>1275</v>
      </c>
      <c r="C766" s="12" t="s">
        <v>137</v>
      </c>
      <c r="D766" s="16" t="n">
        <v>0.0108086805555556</v>
      </c>
      <c r="E766" s="15" t="n">
        <f aca="false">ROUND((D766-$D$5)*86400,2)</f>
        <v>144.13</v>
      </c>
      <c r="F766" s="17" t="n">
        <v>761</v>
      </c>
      <c r="G766" s="16" t="str">
        <f aca="false">IF(INDEX(選手一覧!$H$7:$H$2738,$F766)="","",INDEX(選手一覧!$H$7:$H$2738,$F766))</f>
        <v/>
      </c>
      <c r="H766" s="17" t="str">
        <f aca="false">IF(INDEX(選手一覧!$I$7:$I$2738,$F766)="","",INDEX(選手一覧!$I$7:$I$2738,$F766))</f>
        <v/>
      </c>
      <c r="I766" s="16" t="str">
        <f aca="false">IF(INDEX(選手一覧!$J$7:$J$2738,$F766)="","",INDEX(選手一覧!$J$7:$J$2738,$F766))</f>
        <v/>
      </c>
      <c r="J766" s="17" t="str">
        <f aca="false">IF(INDEX(選手一覧!$K$7:$K$2738,$F766)="","",INDEX(選手一覧!$K$7:$K$2738,$F766))</f>
        <v/>
      </c>
    </row>
    <row r="767" customFormat="false" ht="15" hidden="false" customHeight="false" outlineLevel="0" collapsed="false">
      <c r="A767" s="17" t="n">
        <v>763</v>
      </c>
      <c r="B767" s="12" t="s">
        <v>1276</v>
      </c>
      <c r="C767" s="12" t="s">
        <v>1131</v>
      </c>
      <c r="D767" s="16" t="n">
        <v>0.0108096064814815</v>
      </c>
      <c r="E767" s="15" t="n">
        <f aca="false">ROUND((D767-$D$5)*86400,2)</f>
        <v>144.21</v>
      </c>
      <c r="F767" s="17" t="n">
        <v>762</v>
      </c>
      <c r="G767" s="16" t="str">
        <f aca="false">IF(INDEX(選手一覧!$H$7:$H$2738,$F767)="","",INDEX(選手一覧!$H$7:$H$2738,$F767))</f>
        <v/>
      </c>
      <c r="H767" s="17" t="str">
        <f aca="false">IF(INDEX(選手一覧!$I$7:$I$2738,$F767)="","",INDEX(選手一覧!$I$7:$I$2738,$F767))</f>
        <v/>
      </c>
      <c r="I767" s="16" t="str">
        <f aca="false">IF(INDEX(選手一覧!$J$7:$J$2738,$F767)="","",INDEX(選手一覧!$J$7:$J$2738,$F767))</f>
        <v/>
      </c>
      <c r="J767" s="17" t="str">
        <f aca="false">IF(INDEX(選手一覧!$K$7:$K$2738,$F767)="","",INDEX(選手一覧!$K$7:$K$2738,$F767))</f>
        <v/>
      </c>
    </row>
    <row r="768" customFormat="false" ht="15" hidden="false" customHeight="false" outlineLevel="0" collapsed="false">
      <c r="A768" s="17" t="n">
        <v>764</v>
      </c>
      <c r="B768" s="12" t="s">
        <v>1278</v>
      </c>
      <c r="C768" s="12" t="s">
        <v>757</v>
      </c>
      <c r="D768" s="16" t="n">
        <v>0.0108100694444445</v>
      </c>
      <c r="E768" s="15" t="n">
        <f aca="false">ROUND((D768-$D$5)*86400,2)</f>
        <v>144.25</v>
      </c>
      <c r="F768" s="17" t="n">
        <v>763</v>
      </c>
      <c r="G768" s="16" t="str">
        <f aca="false">IF(INDEX(選手一覧!$H$7:$H$2738,$F768)="","",INDEX(選手一覧!$H$7:$H$2738,$F768))</f>
        <v/>
      </c>
      <c r="H768" s="17" t="str">
        <f aca="false">IF(INDEX(選手一覧!$I$7:$I$2738,$F768)="","",INDEX(選手一覧!$I$7:$I$2738,$F768))</f>
        <v/>
      </c>
      <c r="I768" s="16" t="n">
        <f aca="false">IF(INDEX(選手一覧!$J$7:$J$2738,$F768)="","",INDEX(選手一覧!$J$7:$J$2738,$F768))</f>
        <v>0.00286712962962963</v>
      </c>
      <c r="J768" s="17" t="n">
        <f aca="false">IF(INDEX(選手一覧!$K$7:$K$2738,$F768)="","",INDEX(選手一覧!$K$7:$K$2738,$F768))</f>
        <v>676</v>
      </c>
    </row>
    <row r="769" customFormat="false" ht="15" hidden="false" customHeight="false" outlineLevel="0" collapsed="false">
      <c r="A769" s="17" t="n">
        <v>765</v>
      </c>
      <c r="B769" s="12" t="s">
        <v>1279</v>
      </c>
      <c r="C769" s="12" t="s">
        <v>351</v>
      </c>
      <c r="D769" s="16" t="n">
        <v>0.0108108796296296</v>
      </c>
      <c r="E769" s="15" t="n">
        <f aca="false">ROUND((D769-$D$5)*86400,2)</f>
        <v>144.32</v>
      </c>
      <c r="F769" s="17" t="n">
        <v>764</v>
      </c>
      <c r="G769" s="16" t="str">
        <f aca="false">IF(INDEX(選手一覧!$H$7:$H$2738,$F769)="","",INDEX(選手一覧!$H$7:$H$2738,$F769))</f>
        <v/>
      </c>
      <c r="H769" s="17" t="str">
        <f aca="false">IF(INDEX(選手一覧!$I$7:$I$2738,$F769)="","",INDEX(選手一覧!$I$7:$I$2738,$F769))</f>
        <v/>
      </c>
      <c r="I769" s="16" t="n">
        <f aca="false">IF(INDEX(選手一覧!$J$7:$J$2738,$F769)="","",INDEX(選手一覧!$J$7:$J$2738,$F769))</f>
        <v>0.0029775462962963</v>
      </c>
      <c r="J769" s="17" t="n">
        <f aca="false">IF(INDEX(選手一覧!$K$7:$K$2738,$F769)="","",INDEX(選手一覧!$K$7:$K$2738,$F769))</f>
        <v>1344</v>
      </c>
    </row>
    <row r="770" customFormat="false" ht="15" hidden="false" customHeight="false" outlineLevel="0" collapsed="false">
      <c r="A770" s="17" t="n">
        <v>766</v>
      </c>
      <c r="B770" s="12" t="s">
        <v>1280</v>
      </c>
      <c r="C770" s="12" t="s">
        <v>243</v>
      </c>
      <c r="D770" s="16" t="n">
        <v>0.0108126157407407</v>
      </c>
      <c r="E770" s="15" t="n">
        <f aca="false">ROUND((D770-$D$5)*86400,2)</f>
        <v>144.47</v>
      </c>
      <c r="F770" s="17" t="n">
        <v>765</v>
      </c>
      <c r="G770" s="16" t="str">
        <f aca="false">IF(INDEX(選手一覧!$H$7:$H$2738,$F770)="","",INDEX(選手一覧!$H$7:$H$2738,$F770))</f>
        <v/>
      </c>
      <c r="H770" s="17" t="str">
        <f aca="false">IF(INDEX(選手一覧!$I$7:$I$2738,$F770)="","",INDEX(選手一覧!$I$7:$I$2738,$F770))</f>
        <v/>
      </c>
      <c r="I770" s="16" t="str">
        <f aca="false">IF(INDEX(選手一覧!$J$7:$J$2738,$F770)="","",INDEX(選手一覧!$J$7:$J$2738,$F770))</f>
        <v/>
      </c>
      <c r="J770" s="17" t="str">
        <f aca="false">IF(INDEX(選手一覧!$K$7:$K$2738,$F770)="","",INDEX(選手一覧!$K$7:$K$2738,$F770))</f>
        <v/>
      </c>
    </row>
    <row r="771" customFormat="false" ht="15" hidden="false" customHeight="false" outlineLevel="0" collapsed="false">
      <c r="A771" s="17" t="n">
        <v>767</v>
      </c>
      <c r="B771" s="12" t="s">
        <v>1281</v>
      </c>
      <c r="C771" s="12" t="s">
        <v>204</v>
      </c>
      <c r="D771" s="16" t="n">
        <v>0.0108128472222222</v>
      </c>
      <c r="E771" s="15" t="n">
        <f aca="false">ROUND((D771-$D$5)*86400,2)</f>
        <v>144.49</v>
      </c>
      <c r="F771" s="17" t="n">
        <v>766</v>
      </c>
      <c r="G771" s="16" t="str">
        <f aca="false">IF(INDEX(選手一覧!$H$7:$H$2738,$F771)="","",INDEX(選手一覧!$H$7:$H$2738,$F771))</f>
        <v/>
      </c>
      <c r="H771" s="17" t="str">
        <f aca="false">IF(INDEX(選手一覧!$I$7:$I$2738,$F771)="","",INDEX(選手一覧!$I$7:$I$2738,$F771))</f>
        <v/>
      </c>
      <c r="I771" s="16" t="str">
        <f aca="false">IF(INDEX(選手一覧!$J$7:$J$2738,$F771)="","",INDEX(選手一覧!$J$7:$J$2738,$F771))</f>
        <v/>
      </c>
      <c r="J771" s="17" t="str">
        <f aca="false">IF(INDEX(選手一覧!$K$7:$K$2738,$F771)="","",INDEX(選手一覧!$K$7:$K$2738,$F771))</f>
        <v/>
      </c>
    </row>
    <row r="772" customFormat="false" ht="15" hidden="false" customHeight="false" outlineLevel="0" collapsed="false">
      <c r="A772" s="17" t="n">
        <v>768</v>
      </c>
      <c r="B772" s="12" t="s">
        <v>1283</v>
      </c>
      <c r="C772" s="12" t="s">
        <v>1284</v>
      </c>
      <c r="D772" s="16" t="n">
        <v>0.0108137731481482</v>
      </c>
      <c r="E772" s="15" t="n">
        <f aca="false">ROUND((D772-$D$5)*86400,2)</f>
        <v>144.57</v>
      </c>
      <c r="F772" s="17" t="n">
        <v>767</v>
      </c>
      <c r="G772" s="16" t="str">
        <f aca="false">IF(INDEX(選手一覧!$H$7:$H$2738,$F772)="","",INDEX(選手一覧!$H$7:$H$2738,$F772))</f>
        <v/>
      </c>
      <c r="H772" s="17" t="str">
        <f aca="false">IF(INDEX(選手一覧!$I$7:$I$2738,$F772)="","",INDEX(選手一覧!$I$7:$I$2738,$F772))</f>
        <v/>
      </c>
      <c r="I772" s="16" t="n">
        <f aca="false">IF(INDEX(選手一覧!$J$7:$J$2738,$F772)="","",INDEX(選手一覧!$J$7:$J$2738,$F772))</f>
        <v>0.00292013888888889</v>
      </c>
      <c r="J772" s="17" t="n">
        <f aca="false">IF(INDEX(選手一覧!$K$7:$K$2738,$F772)="","",INDEX(選手一覧!$K$7:$K$2738,$F772))</f>
        <v>1098</v>
      </c>
    </row>
    <row r="773" customFormat="false" ht="15" hidden="false" customHeight="false" outlineLevel="0" collapsed="false">
      <c r="A773" s="17" t="n">
        <v>769</v>
      </c>
      <c r="B773" s="12" t="s">
        <v>1285</v>
      </c>
      <c r="C773" s="12" t="s">
        <v>1286</v>
      </c>
      <c r="D773" s="16" t="n">
        <v>0.0108145833333333</v>
      </c>
      <c r="E773" s="15" t="n">
        <f aca="false">ROUND((D773-$D$5)*86400,2)</f>
        <v>144.64</v>
      </c>
      <c r="F773" s="17" t="n">
        <v>768</v>
      </c>
      <c r="G773" s="16" t="str">
        <f aca="false">IF(INDEX(選手一覧!$H$7:$H$2738,$F773)="","",INDEX(選手一覧!$H$7:$H$2738,$F773))</f>
        <v/>
      </c>
      <c r="H773" s="17" t="str">
        <f aca="false">IF(INDEX(選手一覧!$I$7:$I$2738,$F773)="","",INDEX(選手一覧!$I$7:$I$2738,$F773))</f>
        <v/>
      </c>
      <c r="I773" s="16" t="str">
        <f aca="false">IF(INDEX(選手一覧!$J$7:$J$2738,$F773)="","",INDEX(選手一覧!$J$7:$J$2738,$F773))</f>
        <v/>
      </c>
      <c r="J773" s="17" t="str">
        <f aca="false">IF(INDEX(選手一覧!$K$7:$K$2738,$F773)="","",INDEX(選手一覧!$K$7:$K$2738,$F773))</f>
        <v/>
      </c>
    </row>
    <row r="774" customFormat="false" ht="15" hidden="false" customHeight="false" outlineLevel="0" collapsed="false">
      <c r="A774" s="17" t="n">
        <v>770</v>
      </c>
      <c r="B774" s="12" t="s">
        <v>1287</v>
      </c>
      <c r="C774" s="12" t="s">
        <v>788</v>
      </c>
      <c r="D774" s="16" t="n">
        <v>0.0108146990740741</v>
      </c>
      <c r="E774" s="15" t="n">
        <f aca="false">ROUND((D774-$D$5)*86400,2)</f>
        <v>144.65</v>
      </c>
      <c r="F774" s="17" t="n">
        <v>769</v>
      </c>
      <c r="G774" s="16" t="n">
        <f aca="false">IF(INDEX(選手一覧!$H$7:$H$2738,$F774)="","",INDEX(選手一覧!$H$7:$H$2738,$F774))</f>
        <v>0.00717361111111111</v>
      </c>
      <c r="H774" s="17" t="n">
        <f aca="false">IF(INDEX(選手一覧!$I$7:$I$2738,$F774)="","",INDEX(選手一覧!$I$7:$I$2738,$F774))</f>
        <v>512</v>
      </c>
      <c r="I774" s="16" t="str">
        <f aca="false">IF(INDEX(選手一覧!$J$7:$J$2738,$F774)="","",INDEX(選手一覧!$J$7:$J$2738,$F774))</f>
        <v/>
      </c>
      <c r="J774" s="17" t="str">
        <f aca="false">IF(INDEX(選手一覧!$K$7:$K$2738,$F774)="","",INDEX(選手一覧!$K$7:$K$2738,$F774))</f>
        <v/>
      </c>
    </row>
    <row r="775" customFormat="false" ht="15" hidden="false" customHeight="false" outlineLevel="0" collapsed="false">
      <c r="A775" s="17" t="n">
        <v>771</v>
      </c>
      <c r="B775" s="12" t="s">
        <v>1288</v>
      </c>
      <c r="C775" s="12" t="s">
        <v>165</v>
      </c>
      <c r="D775" s="16" t="n">
        <v>0.010816087962963</v>
      </c>
      <c r="E775" s="15" t="n">
        <f aca="false">ROUND((D775-$D$5)*86400,2)</f>
        <v>144.77</v>
      </c>
      <c r="F775" s="17" t="n">
        <v>770</v>
      </c>
      <c r="G775" s="16" t="n">
        <f aca="false">IF(INDEX(選手一覧!$H$7:$H$2738,$F775)="","",INDEX(選手一覧!$H$7:$H$2738,$F775))</f>
        <v>0.00672430555555556</v>
      </c>
      <c r="H775" s="17" t="n">
        <f aca="false">IF(INDEX(選手一覧!$I$7:$I$2738,$F775)="","",INDEX(選手一覧!$I$7:$I$2738,$F775))</f>
        <v>116</v>
      </c>
      <c r="I775" s="16" t="str">
        <f aca="false">IF(INDEX(選手一覧!$J$7:$J$2738,$F775)="","",INDEX(選手一覧!$J$7:$J$2738,$F775))</f>
        <v/>
      </c>
      <c r="J775" s="17" t="str">
        <f aca="false">IF(INDEX(選手一覧!$K$7:$K$2738,$F775)="","",INDEX(選手一覧!$K$7:$K$2738,$F775))</f>
        <v/>
      </c>
    </row>
    <row r="776" customFormat="false" ht="15" hidden="false" customHeight="false" outlineLevel="0" collapsed="false">
      <c r="A776" s="17" t="n">
        <v>772</v>
      </c>
      <c r="B776" s="12" t="s">
        <v>1289</v>
      </c>
      <c r="C776" s="12" t="s">
        <v>415</v>
      </c>
      <c r="D776" s="16" t="n">
        <v>0.010816087962963</v>
      </c>
      <c r="E776" s="15" t="n">
        <f aca="false">ROUND((D776-$D$5)*86400,2)</f>
        <v>144.77</v>
      </c>
      <c r="F776" s="17" t="n">
        <v>771</v>
      </c>
      <c r="G776" s="16" t="str">
        <f aca="false">IF(INDEX(選手一覧!$H$7:$H$2738,$F776)="","",INDEX(選手一覧!$H$7:$H$2738,$F776))</f>
        <v/>
      </c>
      <c r="H776" s="17" t="str">
        <f aca="false">IF(INDEX(選手一覧!$I$7:$I$2738,$F776)="","",INDEX(選手一覧!$I$7:$I$2738,$F776))</f>
        <v/>
      </c>
      <c r="I776" s="16" t="str">
        <f aca="false">IF(INDEX(選手一覧!$J$7:$J$2738,$F776)="","",INDEX(選手一覧!$J$7:$J$2738,$F776))</f>
        <v/>
      </c>
      <c r="J776" s="17" t="str">
        <f aca="false">IF(INDEX(選手一覧!$K$7:$K$2738,$F776)="","",INDEX(選手一覧!$K$7:$K$2738,$F776))</f>
        <v/>
      </c>
    </row>
    <row r="777" customFormat="false" ht="15" hidden="false" customHeight="false" outlineLevel="0" collapsed="false">
      <c r="A777" s="17" t="n">
        <v>773</v>
      </c>
      <c r="B777" s="12" t="s">
        <v>1290</v>
      </c>
      <c r="C777" s="12" t="s">
        <v>99</v>
      </c>
      <c r="D777" s="16" t="n">
        <v>0.0108164351851852</v>
      </c>
      <c r="E777" s="15" t="n">
        <f aca="false">ROUND((D777-$D$5)*86400,2)</f>
        <v>144.8</v>
      </c>
      <c r="F777" s="17" t="n">
        <v>772</v>
      </c>
      <c r="G777" s="16" t="str">
        <f aca="false">IF(INDEX(選手一覧!$H$7:$H$2738,$F777)="","",INDEX(選手一覧!$H$7:$H$2738,$F777))</f>
        <v/>
      </c>
      <c r="H777" s="17" t="str">
        <f aca="false">IF(INDEX(選手一覧!$I$7:$I$2738,$F777)="","",INDEX(選手一覧!$I$7:$I$2738,$F777))</f>
        <v/>
      </c>
      <c r="I777" s="16" t="str">
        <f aca="false">IF(INDEX(選手一覧!$J$7:$J$2738,$F777)="","",INDEX(選手一覧!$J$7:$J$2738,$F777))</f>
        <v/>
      </c>
      <c r="J777" s="17" t="str">
        <f aca="false">IF(INDEX(選手一覧!$K$7:$K$2738,$F777)="","",INDEX(選手一覧!$K$7:$K$2738,$F777))</f>
        <v/>
      </c>
    </row>
    <row r="778" customFormat="false" ht="15" hidden="false" customHeight="false" outlineLevel="0" collapsed="false">
      <c r="A778" s="17" t="n">
        <v>774</v>
      </c>
      <c r="B778" s="12" t="s">
        <v>1291</v>
      </c>
      <c r="C778" s="12" t="s">
        <v>1292</v>
      </c>
      <c r="D778" s="16" t="n">
        <v>0.0108181712962963</v>
      </c>
      <c r="E778" s="15" t="n">
        <f aca="false">ROUND((D778-$D$5)*86400,2)</f>
        <v>144.95</v>
      </c>
      <c r="F778" s="17" t="n">
        <v>773</v>
      </c>
      <c r="G778" s="16" t="str">
        <f aca="false">IF(INDEX(選手一覧!$H$7:$H$2738,$F778)="","",INDEX(選手一覧!$H$7:$H$2738,$F778))</f>
        <v/>
      </c>
      <c r="H778" s="17" t="str">
        <f aca="false">IF(INDEX(選手一覧!$I$7:$I$2738,$F778)="","",INDEX(選手一覧!$I$7:$I$2738,$F778))</f>
        <v/>
      </c>
      <c r="I778" s="16" t="n">
        <f aca="false">IF(INDEX(選手一覧!$J$7:$J$2738,$F778)="","",INDEX(選手一覧!$J$7:$J$2738,$F778))</f>
        <v>0.00283078703703704</v>
      </c>
      <c r="J778" s="17" t="n">
        <f aca="false">IF(INDEX(選手一覧!$K$7:$K$2738,$F778)="","",INDEX(選手一覧!$K$7:$K$2738,$F778))</f>
        <v>432</v>
      </c>
    </row>
    <row r="779" customFormat="false" ht="15" hidden="false" customHeight="false" outlineLevel="0" collapsed="false">
      <c r="A779" s="17" t="n">
        <v>775</v>
      </c>
      <c r="B779" s="12" t="s">
        <v>1293</v>
      </c>
      <c r="C779" s="12" t="s">
        <v>846</v>
      </c>
      <c r="D779" s="16" t="n">
        <v>0.01081875</v>
      </c>
      <c r="E779" s="15" t="n">
        <f aca="false">ROUND((D779-$D$5)*86400,2)</f>
        <v>145</v>
      </c>
      <c r="F779" s="17" t="n">
        <v>774</v>
      </c>
      <c r="G779" s="16" t="str">
        <f aca="false">IF(INDEX(選手一覧!$H$7:$H$2738,$F779)="","",INDEX(選手一覧!$H$7:$H$2738,$F779))</f>
        <v/>
      </c>
      <c r="H779" s="17" t="str">
        <f aca="false">IF(INDEX(選手一覧!$I$7:$I$2738,$F779)="","",INDEX(選手一覧!$I$7:$I$2738,$F779))</f>
        <v/>
      </c>
      <c r="I779" s="16" t="n">
        <f aca="false">IF(INDEX(選手一覧!$J$7:$J$2738,$F779)="","",INDEX(選手一覧!$J$7:$J$2738,$F779))</f>
        <v>0.00284618055555556</v>
      </c>
      <c r="J779" s="17" t="n">
        <f aca="false">IF(INDEX(選手一覧!$K$7:$K$2738,$F779)="","",INDEX(選手一覧!$K$7:$K$2738,$F779))</f>
        <v>545</v>
      </c>
    </row>
    <row r="780" customFormat="false" ht="15" hidden="false" customHeight="false" outlineLevel="0" collapsed="false">
      <c r="A780" s="17" t="n">
        <v>776</v>
      </c>
      <c r="B780" s="12" t="s">
        <v>1294</v>
      </c>
      <c r="C780" s="12" t="s">
        <v>382</v>
      </c>
      <c r="D780" s="16" t="n">
        <v>0.01081875</v>
      </c>
      <c r="E780" s="15" t="n">
        <f aca="false">ROUND((D780-$D$5)*86400,2)</f>
        <v>145</v>
      </c>
      <c r="F780" s="17" t="n">
        <v>775</v>
      </c>
      <c r="G780" s="16" t="str">
        <f aca="false">IF(INDEX(選手一覧!$H$7:$H$2738,$F780)="","",INDEX(選手一覧!$H$7:$H$2738,$F780))</f>
        <v/>
      </c>
      <c r="H780" s="17" t="str">
        <f aca="false">IF(INDEX(選手一覧!$I$7:$I$2738,$F780)="","",INDEX(選手一覧!$I$7:$I$2738,$F780))</f>
        <v/>
      </c>
      <c r="I780" s="16" t="n">
        <f aca="false">IF(INDEX(選手一覧!$J$7:$J$2738,$F780)="","",INDEX(選手一覧!$J$7:$J$2738,$F780))</f>
        <v>0.00282800925925926</v>
      </c>
      <c r="J780" s="17" t="n">
        <f aca="false">IF(INDEX(選手一覧!$K$7:$K$2738,$F780)="","",INDEX(選手一覧!$K$7:$K$2738,$F780))</f>
        <v>409</v>
      </c>
    </row>
    <row r="781" customFormat="false" ht="15" hidden="false" customHeight="false" outlineLevel="0" collapsed="false">
      <c r="A781" s="17" t="n">
        <v>777</v>
      </c>
      <c r="B781" s="12" t="s">
        <v>1295</v>
      </c>
      <c r="C781" s="12" t="s">
        <v>152</v>
      </c>
      <c r="D781" s="16" t="n">
        <v>0.010819212962963</v>
      </c>
      <c r="E781" s="15" t="n">
        <f aca="false">ROUND((D781-$D$5)*86400,2)</f>
        <v>145.04</v>
      </c>
      <c r="F781" s="17" t="n">
        <v>776</v>
      </c>
      <c r="G781" s="16" t="str">
        <f aca="false">IF(INDEX(選手一覧!$H$7:$H$2738,$F781)="","",INDEX(選手一覧!$H$7:$H$2738,$F781))</f>
        <v/>
      </c>
      <c r="H781" s="17" t="str">
        <f aca="false">IF(INDEX(選手一覧!$I$7:$I$2738,$F781)="","",INDEX(選手一覧!$I$7:$I$2738,$F781))</f>
        <v/>
      </c>
      <c r="I781" s="16" t="str">
        <f aca="false">IF(INDEX(選手一覧!$J$7:$J$2738,$F781)="","",INDEX(選手一覧!$J$7:$J$2738,$F781))</f>
        <v/>
      </c>
      <c r="J781" s="17" t="str">
        <f aca="false">IF(INDEX(選手一覧!$K$7:$K$2738,$F781)="","",INDEX(選手一覧!$K$7:$K$2738,$F781))</f>
        <v/>
      </c>
    </row>
    <row r="782" customFormat="false" ht="15" hidden="false" customHeight="false" outlineLevel="0" collapsed="false">
      <c r="A782" s="17" t="n">
        <v>778</v>
      </c>
      <c r="B782" s="12" t="s">
        <v>1296</v>
      </c>
      <c r="C782" s="12" t="s">
        <v>107</v>
      </c>
      <c r="D782" s="16" t="n">
        <v>0.0108200231481482</v>
      </c>
      <c r="E782" s="15" t="n">
        <f aca="false">ROUND((D782-$D$5)*86400,2)</f>
        <v>145.11</v>
      </c>
      <c r="F782" s="17" t="n">
        <v>777</v>
      </c>
      <c r="G782" s="16" t="str">
        <f aca="false">IF(INDEX(選手一覧!$H$7:$H$2738,$F782)="","",INDEX(選手一覧!$H$7:$H$2738,$F782))</f>
        <v/>
      </c>
      <c r="H782" s="17" t="str">
        <f aca="false">IF(INDEX(選手一覧!$I$7:$I$2738,$F782)="","",INDEX(選手一覧!$I$7:$I$2738,$F782))</f>
        <v/>
      </c>
      <c r="I782" s="16" t="str">
        <f aca="false">IF(INDEX(選手一覧!$J$7:$J$2738,$F782)="","",INDEX(選手一覧!$J$7:$J$2738,$F782))</f>
        <v/>
      </c>
      <c r="J782" s="17" t="str">
        <f aca="false">IF(INDEX(選手一覧!$K$7:$K$2738,$F782)="","",INDEX(選手一覧!$K$7:$K$2738,$F782))</f>
        <v/>
      </c>
    </row>
    <row r="783" customFormat="false" ht="15" hidden="false" customHeight="false" outlineLevel="0" collapsed="false">
      <c r="A783" s="17" t="n">
        <v>779</v>
      </c>
      <c r="B783" s="12" t="s">
        <v>1297</v>
      </c>
      <c r="C783" s="12" t="s">
        <v>207</v>
      </c>
      <c r="D783" s="16" t="n">
        <v>0.0108225694444445</v>
      </c>
      <c r="E783" s="15" t="n">
        <f aca="false">ROUND((D783-$D$5)*86400,2)</f>
        <v>145.33</v>
      </c>
      <c r="F783" s="17" t="n">
        <v>778</v>
      </c>
      <c r="G783" s="16" t="n">
        <f aca="false">IF(INDEX(選手一覧!$H$7:$H$2738,$F783)="","",INDEX(選手一覧!$H$7:$H$2738,$F783))</f>
        <v>0.00696180555555556</v>
      </c>
      <c r="H783" s="17" t="n">
        <f aca="false">IF(INDEX(選手一覧!$I$7:$I$2738,$F783)="","",INDEX(選手一覧!$I$7:$I$2738,$F783))</f>
        <v>295</v>
      </c>
      <c r="I783" s="16" t="str">
        <f aca="false">IF(INDEX(選手一覧!$J$7:$J$2738,$F783)="","",INDEX(選手一覧!$J$7:$J$2738,$F783))</f>
        <v/>
      </c>
      <c r="J783" s="17" t="str">
        <f aca="false">IF(INDEX(選手一覧!$K$7:$K$2738,$F783)="","",INDEX(選手一覧!$K$7:$K$2738,$F783))</f>
        <v/>
      </c>
    </row>
    <row r="784" customFormat="false" ht="15" hidden="false" customHeight="false" outlineLevel="0" collapsed="false">
      <c r="A784" s="17" t="n">
        <v>780</v>
      </c>
      <c r="B784" s="12" t="s">
        <v>1298</v>
      </c>
      <c r="C784" s="12" t="s">
        <v>157</v>
      </c>
      <c r="D784" s="16" t="n">
        <v>0.0108225694444445</v>
      </c>
      <c r="E784" s="15" t="n">
        <f aca="false">ROUND((D784-$D$5)*86400,2)</f>
        <v>145.33</v>
      </c>
      <c r="F784" s="17" t="n">
        <v>779</v>
      </c>
      <c r="G784" s="16" t="str">
        <f aca="false">IF(INDEX(選手一覧!$H$7:$H$2738,$F784)="","",INDEX(選手一覧!$H$7:$H$2738,$F784))</f>
        <v/>
      </c>
      <c r="H784" s="17" t="str">
        <f aca="false">IF(INDEX(選手一覧!$I$7:$I$2738,$F784)="","",INDEX(選手一覧!$I$7:$I$2738,$F784))</f>
        <v/>
      </c>
      <c r="I784" s="16" t="str">
        <f aca="false">IF(INDEX(選手一覧!$J$7:$J$2738,$F784)="","",INDEX(選手一覧!$J$7:$J$2738,$F784))</f>
        <v/>
      </c>
      <c r="J784" s="17" t="str">
        <f aca="false">IF(INDEX(選手一覧!$K$7:$K$2738,$F784)="","",INDEX(選手一覧!$K$7:$K$2738,$F784))</f>
        <v/>
      </c>
    </row>
    <row r="785" customFormat="false" ht="15" hidden="false" customHeight="false" outlineLevel="0" collapsed="false">
      <c r="A785" s="17" t="n">
        <v>781</v>
      </c>
      <c r="B785" s="12" t="s">
        <v>1299</v>
      </c>
      <c r="C785" s="12" t="s">
        <v>34</v>
      </c>
      <c r="D785" s="16" t="n">
        <v>0.0108229166666667</v>
      </c>
      <c r="E785" s="15" t="n">
        <f aca="false">ROUND((D785-$D$5)*86400,2)</f>
        <v>145.36</v>
      </c>
      <c r="F785" s="17" t="n">
        <v>780</v>
      </c>
      <c r="G785" s="16" t="str">
        <f aca="false">IF(INDEX(選手一覧!$H$7:$H$2738,$F785)="","",INDEX(選手一覧!$H$7:$H$2738,$F785))</f>
        <v/>
      </c>
      <c r="H785" s="17" t="str">
        <f aca="false">IF(INDEX(選手一覧!$I$7:$I$2738,$F785)="","",INDEX(選手一覧!$I$7:$I$2738,$F785))</f>
        <v/>
      </c>
      <c r="I785" s="16" t="n">
        <f aca="false">IF(INDEX(選手一覧!$J$7:$J$2738,$F785)="","",INDEX(選手一覧!$J$7:$J$2738,$F785))</f>
        <v>0.0028974537037037</v>
      </c>
      <c r="J785" s="17" t="n">
        <f aca="false">IF(INDEX(選手一覧!$K$7:$K$2738,$F785)="","",INDEX(選手一覧!$K$7:$K$2738,$F785))</f>
        <v>931</v>
      </c>
    </row>
    <row r="786" customFormat="false" ht="15" hidden="false" customHeight="false" outlineLevel="0" collapsed="false">
      <c r="A786" s="17" t="n">
        <v>782</v>
      </c>
      <c r="B786" s="12" t="s">
        <v>1300</v>
      </c>
      <c r="C786" s="12" t="s">
        <v>51</v>
      </c>
      <c r="D786" s="16" t="n">
        <v>0.0108236111111111</v>
      </c>
      <c r="E786" s="15" t="n">
        <f aca="false">ROUND((D786-$D$5)*86400,2)</f>
        <v>145.42</v>
      </c>
      <c r="F786" s="17" t="n">
        <v>781</v>
      </c>
      <c r="G786" s="16" t="str">
        <f aca="false">IF(INDEX(選手一覧!$H$7:$H$2738,$F786)="","",INDEX(選手一覧!$H$7:$H$2738,$F786))</f>
        <v/>
      </c>
      <c r="H786" s="17" t="str">
        <f aca="false">IF(INDEX(選手一覧!$I$7:$I$2738,$F786)="","",INDEX(選手一覧!$I$7:$I$2738,$F786))</f>
        <v/>
      </c>
      <c r="I786" s="16" t="n">
        <f aca="false">IF(INDEX(選手一覧!$J$7:$J$2738,$F786)="","",INDEX(選手一覧!$J$7:$J$2738,$F786))</f>
        <v>0.00287025462962963</v>
      </c>
      <c r="J786" s="17" t="n">
        <f aca="false">IF(INDEX(選手一覧!$K$7:$K$2738,$F786)="","",INDEX(選手一覧!$K$7:$K$2738,$F786))</f>
        <v>698</v>
      </c>
    </row>
    <row r="787" customFormat="false" ht="15" hidden="false" customHeight="false" outlineLevel="0" collapsed="false">
      <c r="A787" s="17" t="n">
        <v>783</v>
      </c>
      <c r="B787" s="12" t="s">
        <v>1302</v>
      </c>
      <c r="C787" s="12" t="s">
        <v>503</v>
      </c>
      <c r="D787" s="16" t="n">
        <v>0.010825</v>
      </c>
      <c r="E787" s="15" t="n">
        <f aca="false">ROUND((D787-$D$5)*86400,2)</f>
        <v>145.54</v>
      </c>
      <c r="F787" s="17" t="n">
        <v>782</v>
      </c>
      <c r="G787" s="16" t="str">
        <f aca="false">IF(INDEX(選手一覧!$H$7:$H$2738,$F787)="","",INDEX(選手一覧!$H$7:$H$2738,$F787))</f>
        <v/>
      </c>
      <c r="H787" s="17" t="str">
        <f aca="false">IF(INDEX(選手一覧!$I$7:$I$2738,$F787)="","",INDEX(選手一覧!$I$7:$I$2738,$F787))</f>
        <v/>
      </c>
      <c r="I787" s="16" t="str">
        <f aca="false">IF(INDEX(選手一覧!$J$7:$J$2738,$F787)="","",INDEX(選手一覧!$J$7:$J$2738,$F787))</f>
        <v/>
      </c>
      <c r="J787" s="17" t="str">
        <f aca="false">IF(INDEX(選手一覧!$K$7:$K$2738,$F787)="","",INDEX(選手一覧!$K$7:$K$2738,$F787))</f>
        <v/>
      </c>
    </row>
    <row r="788" customFormat="false" ht="15" hidden="false" customHeight="false" outlineLevel="0" collapsed="false">
      <c r="A788" s="17" t="n">
        <v>784</v>
      </c>
      <c r="B788" s="12" t="s">
        <v>1303</v>
      </c>
      <c r="C788" s="12" t="s">
        <v>179</v>
      </c>
      <c r="D788" s="16" t="n">
        <v>0.0108256944444445</v>
      </c>
      <c r="E788" s="15" t="n">
        <f aca="false">ROUND((D788-$D$5)*86400,2)</f>
        <v>145.6</v>
      </c>
      <c r="F788" s="17" t="n">
        <v>783</v>
      </c>
      <c r="G788" s="16" t="str">
        <f aca="false">IF(INDEX(選手一覧!$H$7:$H$2738,$F788)="","",INDEX(選手一覧!$H$7:$H$2738,$F788))</f>
        <v/>
      </c>
      <c r="H788" s="17" t="str">
        <f aca="false">IF(INDEX(選手一覧!$I$7:$I$2738,$F788)="","",INDEX(選手一覧!$I$7:$I$2738,$F788))</f>
        <v/>
      </c>
      <c r="I788" s="16" t="n">
        <f aca="false">IF(INDEX(選手一覧!$J$7:$J$2738,$F788)="","",INDEX(選手一覧!$J$7:$J$2738,$F788))</f>
        <v>0.00266215277777778</v>
      </c>
      <c r="J788" s="17" t="n">
        <f aca="false">IF(INDEX(選手一覧!$K$7:$K$2738,$F788)="","",INDEX(選手一覧!$K$7:$K$2738,$F788))</f>
        <v>5</v>
      </c>
    </row>
    <row r="789" customFormat="false" ht="15" hidden="false" customHeight="false" outlineLevel="0" collapsed="false">
      <c r="A789" s="17" t="n">
        <v>785</v>
      </c>
      <c r="B789" s="12" t="s">
        <v>1305</v>
      </c>
      <c r="C789" s="12" t="s">
        <v>61</v>
      </c>
      <c r="D789" s="16" t="n">
        <v>0.0108256944444445</v>
      </c>
      <c r="E789" s="15" t="n">
        <f aca="false">ROUND((D789-$D$5)*86400,2)</f>
        <v>145.6</v>
      </c>
      <c r="F789" s="17" t="n">
        <v>784</v>
      </c>
      <c r="G789" s="16" t="str">
        <f aca="false">IF(INDEX(選手一覧!$H$7:$H$2738,$F789)="","",INDEX(選手一覧!$H$7:$H$2738,$F789))</f>
        <v/>
      </c>
      <c r="H789" s="17" t="str">
        <f aca="false">IF(INDEX(選手一覧!$I$7:$I$2738,$F789)="","",INDEX(選手一覧!$I$7:$I$2738,$F789))</f>
        <v/>
      </c>
      <c r="I789" s="16" t="n">
        <f aca="false">IF(INDEX(選手一覧!$J$7:$J$2738,$F789)="","",INDEX(選手一覧!$J$7:$J$2738,$F789))</f>
        <v>0.00292303240740741</v>
      </c>
      <c r="J789" s="17" t="n">
        <f aca="false">IF(INDEX(選手一覧!$K$7:$K$2738,$F789)="","",INDEX(選手一覧!$K$7:$K$2738,$F789))</f>
        <v>1126</v>
      </c>
    </row>
    <row r="790" customFormat="false" ht="15" hidden="false" customHeight="false" outlineLevel="0" collapsed="false">
      <c r="A790" s="17" t="n">
        <v>786</v>
      </c>
      <c r="B790" s="12" t="s">
        <v>1306</v>
      </c>
      <c r="C790" s="12" t="s">
        <v>595</v>
      </c>
      <c r="D790" s="16" t="n">
        <v>0.0108262731481482</v>
      </c>
      <c r="E790" s="15" t="n">
        <f aca="false">ROUND((D790-$D$5)*86400,2)</f>
        <v>145.65</v>
      </c>
      <c r="F790" s="17" t="n">
        <v>785</v>
      </c>
      <c r="G790" s="16" t="str">
        <f aca="false">IF(INDEX(選手一覧!$H$7:$H$2738,$F790)="","",INDEX(選手一覧!$H$7:$H$2738,$F790))</f>
        <v/>
      </c>
      <c r="H790" s="17" t="str">
        <f aca="false">IF(INDEX(選手一覧!$I$7:$I$2738,$F790)="","",INDEX(選手一覧!$I$7:$I$2738,$F790))</f>
        <v/>
      </c>
      <c r="I790" s="16" t="n">
        <f aca="false">IF(INDEX(選手一覧!$J$7:$J$2738,$F790)="","",INDEX(選手一覧!$J$7:$J$2738,$F790))</f>
        <v>0.00283958333333333</v>
      </c>
      <c r="J790" s="17" t="n">
        <f aca="false">IF(INDEX(選手一覧!$K$7:$K$2738,$F790)="","",INDEX(選手一覧!$K$7:$K$2738,$F790))</f>
        <v>494</v>
      </c>
    </row>
    <row r="791" customFormat="false" ht="15" hidden="false" customHeight="false" outlineLevel="0" collapsed="false">
      <c r="A791" s="17" t="n">
        <v>787</v>
      </c>
      <c r="B791" s="12" t="s">
        <v>1307</v>
      </c>
      <c r="C791" s="12" t="s">
        <v>262</v>
      </c>
      <c r="D791" s="16" t="n">
        <v>0.0108275462962963</v>
      </c>
      <c r="E791" s="15" t="n">
        <f aca="false">ROUND((D791-$D$5)*86400,2)</f>
        <v>145.76</v>
      </c>
      <c r="F791" s="17" t="n">
        <v>786</v>
      </c>
      <c r="G791" s="16" t="str">
        <f aca="false">IF(INDEX(選手一覧!$H$7:$H$2738,$F791)="","",INDEX(選手一覧!$H$7:$H$2738,$F791))</f>
        <v/>
      </c>
      <c r="H791" s="17" t="str">
        <f aca="false">IF(INDEX(選手一覧!$I$7:$I$2738,$F791)="","",INDEX(選手一覧!$I$7:$I$2738,$F791))</f>
        <v/>
      </c>
      <c r="I791" s="16" t="str">
        <f aca="false">IF(INDEX(選手一覧!$J$7:$J$2738,$F791)="","",INDEX(選手一覧!$J$7:$J$2738,$F791))</f>
        <v/>
      </c>
      <c r="J791" s="17" t="str">
        <f aca="false">IF(INDEX(選手一覧!$K$7:$K$2738,$F791)="","",INDEX(選手一覧!$K$7:$K$2738,$F791))</f>
        <v/>
      </c>
    </row>
    <row r="792" customFormat="false" ht="15" hidden="false" customHeight="false" outlineLevel="0" collapsed="false">
      <c r="A792" s="17" t="n">
        <v>788</v>
      </c>
      <c r="B792" s="12" t="s">
        <v>1308</v>
      </c>
      <c r="C792" s="12" t="s">
        <v>397</v>
      </c>
      <c r="D792" s="16" t="n">
        <v>0.0108291666666667</v>
      </c>
      <c r="E792" s="15" t="n">
        <f aca="false">ROUND((D792-$D$5)*86400,2)</f>
        <v>145.9</v>
      </c>
      <c r="F792" s="17" t="n">
        <v>787</v>
      </c>
      <c r="G792" s="16" t="str">
        <f aca="false">IF(INDEX(選手一覧!$H$7:$H$2738,$F792)="","",INDEX(選手一覧!$H$7:$H$2738,$F792))</f>
        <v/>
      </c>
      <c r="H792" s="17" t="str">
        <f aca="false">IF(INDEX(選手一覧!$I$7:$I$2738,$F792)="","",INDEX(選手一覧!$I$7:$I$2738,$F792))</f>
        <v/>
      </c>
      <c r="I792" s="16" t="n">
        <f aca="false">IF(INDEX(選手一覧!$J$7:$J$2738,$F792)="","",INDEX(選手一覧!$J$7:$J$2738,$F792))</f>
        <v>0.00283009259259259</v>
      </c>
      <c r="J792" s="17" t="n">
        <f aca="false">IF(INDEX(選手一覧!$K$7:$K$2738,$F792)="","",INDEX(選手一覧!$K$7:$K$2738,$F792))</f>
        <v>428</v>
      </c>
    </row>
    <row r="793" customFormat="false" ht="15" hidden="false" customHeight="false" outlineLevel="0" collapsed="false">
      <c r="A793" s="17" t="n">
        <v>789</v>
      </c>
      <c r="B793" s="12" t="s">
        <v>1309</v>
      </c>
      <c r="C793" s="12" t="s">
        <v>1310</v>
      </c>
      <c r="D793" s="16" t="n">
        <v>0.0108291666666667</v>
      </c>
      <c r="E793" s="15" t="n">
        <f aca="false">ROUND((D793-$D$5)*86400,2)</f>
        <v>145.9</v>
      </c>
      <c r="F793" s="17" t="n">
        <v>788</v>
      </c>
      <c r="G793" s="16" t="str">
        <f aca="false">IF(INDEX(選手一覧!$H$7:$H$2738,$F793)="","",INDEX(選手一覧!$H$7:$H$2738,$F793))</f>
        <v/>
      </c>
      <c r="H793" s="17" t="str">
        <f aca="false">IF(INDEX(選手一覧!$I$7:$I$2738,$F793)="","",INDEX(選手一覧!$I$7:$I$2738,$F793))</f>
        <v/>
      </c>
      <c r="I793" s="16" t="n">
        <f aca="false">IF(INDEX(選手一覧!$J$7:$J$2738,$F793)="","",INDEX(選手一覧!$J$7:$J$2738,$F793))</f>
        <v>0.00284259259259259</v>
      </c>
      <c r="J793" s="17" t="n">
        <f aca="false">IF(INDEX(選手一覧!$K$7:$K$2738,$F793)="","",INDEX(選手一覧!$K$7:$K$2738,$F793))</f>
        <v>514</v>
      </c>
    </row>
    <row r="794" customFormat="false" ht="15" hidden="false" customHeight="false" outlineLevel="0" collapsed="false">
      <c r="A794" s="17" t="n">
        <v>790</v>
      </c>
      <c r="B794" s="12" t="s">
        <v>1311</v>
      </c>
      <c r="C794" s="12" t="s">
        <v>692</v>
      </c>
      <c r="D794" s="16" t="n">
        <v>0.0108306712962963</v>
      </c>
      <c r="E794" s="15" t="n">
        <f aca="false">ROUND((D794-$D$5)*86400,2)</f>
        <v>146.03</v>
      </c>
      <c r="F794" s="17" t="n">
        <v>789</v>
      </c>
      <c r="G794" s="16" t="str">
        <f aca="false">IF(INDEX(選手一覧!$H$7:$H$2738,$F794)="","",INDEX(選手一覧!$H$7:$H$2738,$F794))</f>
        <v/>
      </c>
      <c r="H794" s="17" t="str">
        <f aca="false">IF(INDEX(選手一覧!$I$7:$I$2738,$F794)="","",INDEX(選手一覧!$I$7:$I$2738,$F794))</f>
        <v/>
      </c>
      <c r="I794" s="16" t="n">
        <f aca="false">IF(INDEX(選手一覧!$J$7:$J$2738,$F794)="","",INDEX(選手一覧!$J$7:$J$2738,$F794))</f>
        <v>0.00288206018518519</v>
      </c>
      <c r="J794" s="17" t="n">
        <f aca="false">IF(INDEX(選手一覧!$K$7:$K$2738,$F794)="","",INDEX(選手一覧!$K$7:$K$2738,$F794))</f>
        <v>793</v>
      </c>
    </row>
    <row r="795" customFormat="false" ht="15" hidden="false" customHeight="false" outlineLevel="0" collapsed="false">
      <c r="A795" s="17" t="n">
        <v>791</v>
      </c>
      <c r="B795" s="12" t="s">
        <v>1312</v>
      </c>
      <c r="C795" s="12" t="s">
        <v>256</v>
      </c>
      <c r="D795" s="16" t="n">
        <v>0.0108310185185185</v>
      </c>
      <c r="E795" s="15" t="n">
        <f aca="false">ROUND((D795-$D$5)*86400,2)</f>
        <v>146.06</v>
      </c>
      <c r="F795" s="17" t="n">
        <v>790</v>
      </c>
      <c r="G795" s="16" t="str">
        <f aca="false">IF(INDEX(選手一覧!$H$7:$H$2738,$F795)="","",INDEX(選手一覧!$H$7:$H$2738,$F795))</f>
        <v/>
      </c>
      <c r="H795" s="17" t="str">
        <f aca="false">IF(INDEX(選手一覧!$I$7:$I$2738,$F795)="","",INDEX(選手一覧!$I$7:$I$2738,$F795))</f>
        <v/>
      </c>
      <c r="I795" s="16" t="str">
        <f aca="false">IF(INDEX(選手一覧!$J$7:$J$2738,$F795)="","",INDEX(選手一覧!$J$7:$J$2738,$F795))</f>
        <v/>
      </c>
      <c r="J795" s="17" t="str">
        <f aca="false">IF(INDEX(選手一覧!$K$7:$K$2738,$F795)="","",INDEX(選手一覧!$K$7:$K$2738,$F795))</f>
        <v/>
      </c>
    </row>
    <row r="796" customFormat="false" ht="15" hidden="false" customHeight="false" outlineLevel="0" collapsed="false">
      <c r="A796" s="17" t="n">
        <v>792</v>
      </c>
      <c r="B796" s="12" t="s">
        <v>1313</v>
      </c>
      <c r="C796" s="12" t="s">
        <v>1104</v>
      </c>
      <c r="D796" s="16" t="n">
        <v>0.0108310185185185</v>
      </c>
      <c r="E796" s="15" t="n">
        <f aca="false">ROUND((D796-$D$5)*86400,2)</f>
        <v>146.06</v>
      </c>
      <c r="F796" s="17" t="n">
        <v>791</v>
      </c>
      <c r="G796" s="16" t="str">
        <f aca="false">IF(INDEX(選手一覧!$H$7:$H$2738,$F796)="","",INDEX(選手一覧!$H$7:$H$2738,$F796))</f>
        <v/>
      </c>
      <c r="H796" s="17" t="str">
        <f aca="false">IF(INDEX(選手一覧!$I$7:$I$2738,$F796)="","",INDEX(選手一覧!$I$7:$I$2738,$F796))</f>
        <v/>
      </c>
      <c r="I796" s="16" t="n">
        <f aca="false">IF(INDEX(選手一覧!$J$7:$J$2738,$F796)="","",INDEX(選手一覧!$J$7:$J$2738,$F796))</f>
        <v>0.00278055555555556</v>
      </c>
      <c r="J796" s="17" t="n">
        <f aca="false">IF(INDEX(選手一覧!$K$7:$K$2738,$F796)="","",INDEX(選手一覧!$K$7:$K$2738,$F796))</f>
        <v>204</v>
      </c>
    </row>
    <row r="797" customFormat="false" ht="15" hidden="false" customHeight="false" outlineLevel="0" collapsed="false">
      <c r="A797" s="17" t="n">
        <v>793</v>
      </c>
      <c r="B797" s="12" t="s">
        <v>1314</v>
      </c>
      <c r="C797" s="12" t="s">
        <v>1315</v>
      </c>
      <c r="D797" s="16" t="n">
        <v>0.0108313657407407</v>
      </c>
      <c r="E797" s="15" t="n">
        <f aca="false">ROUND((D797-$D$5)*86400,2)</f>
        <v>146.09</v>
      </c>
      <c r="F797" s="17" t="n">
        <v>792</v>
      </c>
      <c r="G797" s="16" t="str">
        <f aca="false">IF(INDEX(選手一覧!$H$7:$H$2738,$F797)="","",INDEX(選手一覧!$H$7:$H$2738,$F797))</f>
        <v/>
      </c>
      <c r="H797" s="17" t="str">
        <f aca="false">IF(INDEX(選手一覧!$I$7:$I$2738,$F797)="","",INDEX(選手一覧!$I$7:$I$2738,$F797))</f>
        <v/>
      </c>
      <c r="I797" s="16" t="str">
        <f aca="false">IF(INDEX(選手一覧!$J$7:$J$2738,$F797)="","",INDEX(選手一覧!$J$7:$J$2738,$F797))</f>
        <v/>
      </c>
      <c r="J797" s="17" t="str">
        <f aca="false">IF(INDEX(選手一覧!$K$7:$K$2738,$F797)="","",INDEX(選手一覧!$K$7:$K$2738,$F797))</f>
        <v/>
      </c>
    </row>
    <row r="798" customFormat="false" ht="15" hidden="false" customHeight="false" outlineLevel="0" collapsed="false">
      <c r="A798" s="17" t="n">
        <v>794</v>
      </c>
      <c r="B798" s="12" t="s">
        <v>1316</v>
      </c>
      <c r="C798" s="12" t="s">
        <v>269</v>
      </c>
      <c r="D798" s="16" t="n">
        <v>0.0108314814814815</v>
      </c>
      <c r="E798" s="15" t="n">
        <f aca="false">ROUND((D798-$D$5)*86400,2)</f>
        <v>146.1</v>
      </c>
      <c r="F798" s="17" t="n">
        <v>793</v>
      </c>
      <c r="G798" s="16" t="str">
        <f aca="false">IF(INDEX(選手一覧!$H$7:$H$2738,$F798)="","",INDEX(選手一覧!$H$7:$H$2738,$F798))</f>
        <v/>
      </c>
      <c r="H798" s="17" t="str">
        <f aca="false">IF(INDEX(選手一覧!$I$7:$I$2738,$F798)="","",INDEX(選手一覧!$I$7:$I$2738,$F798))</f>
        <v/>
      </c>
      <c r="I798" s="16" t="n">
        <f aca="false">IF(INDEX(選手一覧!$J$7:$J$2738,$F798)="","",INDEX(選手一覧!$J$7:$J$2738,$F798))</f>
        <v>0.00271527777777778</v>
      </c>
      <c r="J798" s="17" t="n">
        <f aca="false">IF(INDEX(選手一覧!$K$7:$K$2738,$F798)="","",INDEX(選手一覧!$K$7:$K$2738,$F798))</f>
        <v>43</v>
      </c>
    </row>
    <row r="799" customFormat="false" ht="15" hidden="false" customHeight="false" outlineLevel="0" collapsed="false">
      <c r="A799" s="17" t="n">
        <v>795</v>
      </c>
      <c r="B799" s="12" t="s">
        <v>1317</v>
      </c>
      <c r="C799" s="12" t="s">
        <v>417</v>
      </c>
      <c r="D799" s="16" t="n">
        <v>0.0108318287037037</v>
      </c>
      <c r="E799" s="15" t="n">
        <f aca="false">ROUND((D799-$D$5)*86400,2)</f>
        <v>146.13</v>
      </c>
      <c r="F799" s="17" t="n">
        <v>794</v>
      </c>
      <c r="G799" s="16" t="str">
        <f aca="false">IF(INDEX(選手一覧!$H$7:$H$2738,$F799)="","",INDEX(選手一覧!$H$7:$H$2738,$F799))</f>
        <v/>
      </c>
      <c r="H799" s="17" t="str">
        <f aca="false">IF(INDEX(選手一覧!$I$7:$I$2738,$F799)="","",INDEX(選手一覧!$I$7:$I$2738,$F799))</f>
        <v/>
      </c>
      <c r="I799" s="16" t="n">
        <f aca="false">IF(INDEX(選手一覧!$J$7:$J$2738,$F799)="","",INDEX(選手一覧!$J$7:$J$2738,$F799))</f>
        <v>0.00286261574074074</v>
      </c>
      <c r="J799" s="17" t="n">
        <f aca="false">IF(INDEX(選手一覧!$K$7:$K$2738,$F799)="","",INDEX(選手一覧!$K$7:$K$2738,$F799))</f>
        <v>652</v>
      </c>
    </row>
    <row r="800" customFormat="false" ht="15" hidden="false" customHeight="false" outlineLevel="0" collapsed="false">
      <c r="A800" s="17" t="n">
        <v>796</v>
      </c>
      <c r="B800" s="12" t="s">
        <v>1318</v>
      </c>
      <c r="C800" s="12" t="s">
        <v>561</v>
      </c>
      <c r="D800" s="16" t="n">
        <v>0.0108318287037037</v>
      </c>
      <c r="E800" s="15" t="n">
        <f aca="false">ROUND((D800-$D$5)*86400,2)</f>
        <v>146.13</v>
      </c>
      <c r="F800" s="17" t="n">
        <v>795</v>
      </c>
      <c r="G800" s="16" t="str">
        <f aca="false">IF(INDEX(選手一覧!$H$7:$H$2738,$F800)="","",INDEX(選手一覧!$H$7:$H$2738,$F800))</f>
        <v/>
      </c>
      <c r="H800" s="17" t="str">
        <f aca="false">IF(INDEX(選手一覧!$I$7:$I$2738,$F800)="","",INDEX(選手一覧!$I$7:$I$2738,$F800))</f>
        <v/>
      </c>
      <c r="I800" s="16" t="n">
        <f aca="false">IF(INDEX(選手一覧!$J$7:$J$2738,$F800)="","",INDEX(選手一覧!$J$7:$J$2738,$F800))</f>
        <v>0.00286180555555556</v>
      </c>
      <c r="J800" s="17" t="n">
        <f aca="false">IF(INDEX(選手一覧!$K$7:$K$2738,$F800)="","",INDEX(選手一覧!$K$7:$K$2738,$F800))</f>
        <v>644</v>
      </c>
    </row>
    <row r="801" customFormat="false" ht="15" hidden="false" customHeight="false" outlineLevel="0" collapsed="false">
      <c r="A801" s="17" t="n">
        <v>797</v>
      </c>
      <c r="B801" s="12" t="s">
        <v>1319</v>
      </c>
      <c r="C801" s="12" t="s">
        <v>1320</v>
      </c>
      <c r="D801" s="16" t="n">
        <v>0.0108321759259259</v>
      </c>
      <c r="E801" s="15" t="n">
        <f aca="false">ROUND((D801-$D$5)*86400,2)</f>
        <v>146.16</v>
      </c>
      <c r="F801" s="17" t="n">
        <v>796</v>
      </c>
      <c r="G801" s="16" t="str">
        <f aca="false">IF(INDEX(選手一覧!$H$7:$H$2738,$F801)="","",INDEX(選手一覧!$H$7:$H$2738,$F801))</f>
        <v/>
      </c>
      <c r="H801" s="17" t="str">
        <f aca="false">IF(INDEX(選手一覧!$I$7:$I$2738,$F801)="","",INDEX(選手一覧!$I$7:$I$2738,$F801))</f>
        <v/>
      </c>
      <c r="I801" s="16" t="str">
        <f aca="false">IF(INDEX(選手一覧!$J$7:$J$2738,$F801)="","",INDEX(選手一覧!$J$7:$J$2738,$F801))</f>
        <v/>
      </c>
      <c r="J801" s="17" t="str">
        <f aca="false">IF(INDEX(選手一覧!$K$7:$K$2738,$F801)="","",INDEX(選手一覧!$K$7:$K$2738,$F801))</f>
        <v/>
      </c>
    </row>
    <row r="802" customFormat="false" ht="15" hidden="false" customHeight="false" outlineLevel="0" collapsed="false">
      <c r="A802" s="17" t="n">
        <v>798</v>
      </c>
      <c r="B802" s="12" t="s">
        <v>1321</v>
      </c>
      <c r="C802" s="12" t="s">
        <v>165</v>
      </c>
      <c r="D802" s="16" t="n">
        <v>0.0108325231481482</v>
      </c>
      <c r="E802" s="15" t="n">
        <f aca="false">ROUND((D802-$D$5)*86400,2)</f>
        <v>146.19</v>
      </c>
      <c r="F802" s="17" t="n">
        <v>797</v>
      </c>
      <c r="G802" s="16" t="str">
        <f aca="false">IF(INDEX(選手一覧!$H$7:$H$2738,$F802)="","",INDEX(選手一覧!$H$7:$H$2738,$F802))</f>
        <v/>
      </c>
      <c r="H802" s="17" t="str">
        <f aca="false">IF(INDEX(選手一覧!$I$7:$I$2738,$F802)="","",INDEX(選手一覧!$I$7:$I$2738,$F802))</f>
        <v/>
      </c>
      <c r="I802" s="16" t="str">
        <f aca="false">IF(INDEX(選手一覧!$J$7:$J$2738,$F802)="","",INDEX(選手一覧!$J$7:$J$2738,$F802))</f>
        <v/>
      </c>
      <c r="J802" s="17" t="str">
        <f aca="false">IF(INDEX(選手一覧!$K$7:$K$2738,$F802)="","",INDEX(選手一覧!$K$7:$K$2738,$F802))</f>
        <v/>
      </c>
    </row>
    <row r="803" customFormat="false" ht="15" hidden="false" customHeight="false" outlineLevel="0" collapsed="false">
      <c r="A803" s="17" t="n">
        <v>799</v>
      </c>
      <c r="B803" s="12" t="s">
        <v>1322</v>
      </c>
      <c r="C803" s="12" t="s">
        <v>864</v>
      </c>
      <c r="D803" s="16" t="n">
        <v>0.0108329861111111</v>
      </c>
      <c r="E803" s="15" t="n">
        <f aca="false">ROUND((D803-$D$5)*86400,2)</f>
        <v>146.23</v>
      </c>
      <c r="F803" s="17" t="n">
        <v>798</v>
      </c>
      <c r="G803" s="16" t="n">
        <f aca="false">IF(INDEX(選手一覧!$H$7:$H$2738,$F803)="","",INDEX(選手一覧!$H$7:$H$2738,$F803))</f>
        <v>0.00678356481481482</v>
      </c>
      <c r="H803" s="17" t="n">
        <f aca="false">IF(INDEX(選手一覧!$I$7:$I$2738,$F803)="","",INDEX(選手一覧!$I$7:$I$2738,$F803))</f>
        <v>158</v>
      </c>
      <c r="I803" s="16" t="n">
        <f aca="false">IF(INDEX(選手一覧!$J$7:$J$2738,$F803)="","",INDEX(選手一覧!$J$7:$J$2738,$F803))</f>
        <v>0.00286273148148148</v>
      </c>
      <c r="J803" s="17" t="n">
        <f aca="false">IF(INDEX(選手一覧!$K$7:$K$2738,$F803)="","",INDEX(選手一覧!$K$7:$K$2738,$F803))</f>
        <v>655</v>
      </c>
    </row>
    <row r="804" customFormat="false" ht="15" hidden="false" customHeight="false" outlineLevel="0" collapsed="false">
      <c r="A804" s="17" t="n">
        <v>800</v>
      </c>
      <c r="B804" s="12" t="s">
        <v>1324</v>
      </c>
      <c r="C804" s="12" t="s">
        <v>1117</v>
      </c>
      <c r="D804" s="16" t="n">
        <v>0.0108332175925926</v>
      </c>
      <c r="E804" s="15" t="n">
        <f aca="false">ROUND((D804-$D$5)*86400,2)</f>
        <v>146.25</v>
      </c>
      <c r="F804" s="17" t="n">
        <v>799</v>
      </c>
      <c r="G804" s="16" t="str">
        <f aca="false">IF(INDEX(選手一覧!$H$7:$H$2738,$F804)="","",INDEX(選手一覧!$H$7:$H$2738,$F804))</f>
        <v/>
      </c>
      <c r="H804" s="17" t="str">
        <f aca="false">IF(INDEX(選手一覧!$I$7:$I$2738,$F804)="","",INDEX(選手一覧!$I$7:$I$2738,$F804))</f>
        <v/>
      </c>
      <c r="I804" s="16" t="str">
        <f aca="false">IF(INDEX(選手一覧!$J$7:$J$2738,$F804)="","",INDEX(選手一覧!$J$7:$J$2738,$F804))</f>
        <v/>
      </c>
      <c r="J804" s="17" t="str">
        <f aca="false">IF(INDEX(選手一覧!$K$7:$K$2738,$F804)="","",INDEX(選手一覧!$K$7:$K$2738,$F804))</f>
        <v/>
      </c>
    </row>
    <row r="805" customFormat="false" ht="15" hidden="false" customHeight="false" outlineLevel="0" collapsed="false">
      <c r="A805" s="17" t="n">
        <v>801</v>
      </c>
      <c r="B805" s="12" t="s">
        <v>1325</v>
      </c>
      <c r="C805" s="12" t="s">
        <v>51</v>
      </c>
      <c r="D805" s="16" t="n">
        <v>0.0108334490740741</v>
      </c>
      <c r="E805" s="15" t="n">
        <f aca="false">ROUND((D805-$D$5)*86400,2)</f>
        <v>146.27</v>
      </c>
      <c r="F805" s="17" t="n">
        <v>800</v>
      </c>
      <c r="G805" s="16" t="str">
        <f aca="false">IF(INDEX(選手一覧!$H$7:$H$2738,$F805)="","",INDEX(選手一覧!$H$7:$H$2738,$F805))</f>
        <v/>
      </c>
      <c r="H805" s="17" t="str">
        <f aca="false">IF(INDEX(選手一覧!$I$7:$I$2738,$F805)="","",INDEX(選手一覧!$I$7:$I$2738,$F805))</f>
        <v/>
      </c>
      <c r="I805" s="16" t="n">
        <f aca="false">IF(INDEX(選手一覧!$J$7:$J$2738,$F805)="","",INDEX(選手一覧!$J$7:$J$2738,$F805))</f>
        <v>0.00292476851851852</v>
      </c>
      <c r="J805" s="17" t="n">
        <f aca="false">IF(INDEX(選手一覧!$K$7:$K$2738,$F805)="","",INDEX(選手一覧!$K$7:$K$2738,$F805))</f>
        <v>1144</v>
      </c>
    </row>
    <row r="806" customFormat="false" ht="15" hidden="false" customHeight="false" outlineLevel="0" collapsed="false">
      <c r="A806" s="17" t="n">
        <v>802</v>
      </c>
      <c r="B806" s="12" t="s">
        <v>1327</v>
      </c>
      <c r="C806" s="12" t="s">
        <v>463</v>
      </c>
      <c r="D806" s="16" t="n">
        <v>0.0108364583333333</v>
      </c>
      <c r="E806" s="15" t="n">
        <f aca="false">ROUND((D806-$D$5)*86400,2)</f>
        <v>146.53</v>
      </c>
      <c r="F806" s="17" t="n">
        <v>801</v>
      </c>
      <c r="G806" s="16" t="str">
        <f aca="false">IF(INDEX(選手一覧!$H$7:$H$2738,$F806)="","",INDEX(選手一覧!$H$7:$H$2738,$F806))</f>
        <v/>
      </c>
      <c r="H806" s="17" t="str">
        <f aca="false">IF(INDEX(選手一覧!$I$7:$I$2738,$F806)="","",INDEX(選手一覧!$I$7:$I$2738,$F806))</f>
        <v/>
      </c>
      <c r="I806" s="16" t="str">
        <f aca="false">IF(INDEX(選手一覧!$J$7:$J$2738,$F806)="","",INDEX(選手一覧!$J$7:$J$2738,$F806))</f>
        <v/>
      </c>
      <c r="J806" s="17" t="str">
        <f aca="false">IF(INDEX(選手一覧!$K$7:$K$2738,$F806)="","",INDEX(選手一覧!$K$7:$K$2738,$F806))</f>
        <v/>
      </c>
    </row>
    <row r="807" customFormat="false" ht="15" hidden="false" customHeight="false" outlineLevel="0" collapsed="false">
      <c r="A807" s="17" t="n">
        <v>803</v>
      </c>
      <c r="B807" s="12" t="s">
        <v>1329</v>
      </c>
      <c r="C807" s="12" t="s">
        <v>1330</v>
      </c>
      <c r="D807" s="16" t="n">
        <v>0.0108366898148148</v>
      </c>
      <c r="E807" s="15" t="n">
        <f aca="false">ROUND((D807-$D$5)*86400,2)</f>
        <v>146.55</v>
      </c>
      <c r="F807" s="17" t="n">
        <v>802</v>
      </c>
      <c r="G807" s="16" t="n">
        <f aca="false">IF(INDEX(選手一覧!$H$7:$H$2738,$F807)="","",INDEX(選手一覧!$H$7:$H$2738,$F807))</f>
        <v>0.00681701388888889</v>
      </c>
      <c r="H807" s="17" t="n">
        <f aca="false">IF(INDEX(選手一覧!$I$7:$I$2738,$F807)="","",INDEX(選手一覧!$I$7:$I$2738,$F807))</f>
        <v>184</v>
      </c>
      <c r="I807" s="16" t="str">
        <f aca="false">IF(INDEX(選手一覧!$J$7:$J$2738,$F807)="","",INDEX(選手一覧!$J$7:$J$2738,$F807))</f>
        <v/>
      </c>
      <c r="J807" s="17" t="str">
        <f aca="false">IF(INDEX(選手一覧!$K$7:$K$2738,$F807)="","",INDEX(選手一覧!$K$7:$K$2738,$F807))</f>
        <v/>
      </c>
    </row>
    <row r="808" customFormat="false" ht="15" hidden="false" customHeight="false" outlineLevel="0" collapsed="false">
      <c r="A808" s="17" t="n">
        <v>804</v>
      </c>
      <c r="B808" s="12" t="s">
        <v>1331</v>
      </c>
      <c r="C808" s="12" t="s">
        <v>1332</v>
      </c>
      <c r="D808" s="16" t="n">
        <v>0.0108369212962963</v>
      </c>
      <c r="E808" s="15" t="n">
        <f aca="false">ROUND((D808-$D$5)*86400,2)</f>
        <v>146.57</v>
      </c>
      <c r="F808" s="17" t="n">
        <v>803</v>
      </c>
      <c r="G808" s="16" t="n">
        <f aca="false">IF(INDEX(選手一覧!$H$7:$H$2738,$F808)="","",INDEX(選手一覧!$H$7:$H$2738,$F808))</f>
        <v>0.00677928240740741</v>
      </c>
      <c r="H808" s="17" t="n">
        <f aca="false">IF(INDEX(選手一覧!$I$7:$I$2738,$F808)="","",INDEX(選手一覧!$I$7:$I$2738,$F808))</f>
        <v>154</v>
      </c>
      <c r="I808" s="16" t="str">
        <f aca="false">IF(INDEX(選手一覧!$J$7:$J$2738,$F808)="","",INDEX(選手一覧!$J$7:$J$2738,$F808))</f>
        <v/>
      </c>
      <c r="J808" s="17" t="str">
        <f aca="false">IF(INDEX(選手一覧!$K$7:$K$2738,$F808)="","",INDEX(選手一覧!$K$7:$K$2738,$F808))</f>
        <v/>
      </c>
    </row>
    <row r="809" customFormat="false" ht="15" hidden="false" customHeight="false" outlineLevel="0" collapsed="false">
      <c r="A809" s="17" t="n">
        <v>805</v>
      </c>
      <c r="B809" s="12" t="s">
        <v>1333</v>
      </c>
      <c r="C809" s="12" t="s">
        <v>1334</v>
      </c>
      <c r="D809" s="16" t="n">
        <v>0.0108373842592593</v>
      </c>
      <c r="E809" s="15" t="n">
        <f aca="false">ROUND((D809-$D$5)*86400,2)</f>
        <v>146.61</v>
      </c>
      <c r="F809" s="17" t="n">
        <v>804</v>
      </c>
      <c r="G809" s="16" t="n">
        <f aca="false">IF(INDEX(選手一覧!$H$7:$H$2738,$F809)="","",INDEX(選手一覧!$H$7:$H$2738,$F809))</f>
        <v>0.00711782407407407</v>
      </c>
      <c r="H809" s="17" t="n">
        <f aca="false">IF(INDEX(選手一覧!$I$7:$I$2738,$F809)="","",INDEX(選手一覧!$I$7:$I$2738,$F809))</f>
        <v>464</v>
      </c>
      <c r="I809" s="16" t="n">
        <f aca="false">IF(INDEX(選手一覧!$J$7:$J$2738,$F809)="","",INDEX(選手一覧!$J$7:$J$2738,$F809))</f>
        <v>0.002925</v>
      </c>
      <c r="J809" s="17" t="n">
        <f aca="false">IF(INDEX(選手一覧!$K$7:$K$2738,$F809)="","",INDEX(選手一覧!$K$7:$K$2738,$F809))</f>
        <v>1149</v>
      </c>
    </row>
    <row r="810" customFormat="false" ht="15" hidden="false" customHeight="false" outlineLevel="0" collapsed="false">
      <c r="A810" s="17" t="n">
        <v>806</v>
      </c>
      <c r="B810" s="12" t="s">
        <v>1335</v>
      </c>
      <c r="C810" s="12" t="s">
        <v>397</v>
      </c>
      <c r="D810" s="16" t="n">
        <v>0.0108377314814815</v>
      </c>
      <c r="E810" s="15" t="n">
        <f aca="false">ROUND((D810-$D$5)*86400,2)</f>
        <v>146.64</v>
      </c>
      <c r="F810" s="17" t="n">
        <v>805</v>
      </c>
      <c r="G810" s="16" t="str">
        <f aca="false">IF(INDEX(選手一覧!$H$7:$H$2738,$F810)="","",INDEX(選手一覧!$H$7:$H$2738,$F810))</f>
        <v/>
      </c>
      <c r="H810" s="17" t="str">
        <f aca="false">IF(INDEX(選手一覧!$I$7:$I$2738,$F810)="","",INDEX(選手一覧!$I$7:$I$2738,$F810))</f>
        <v/>
      </c>
      <c r="I810" s="16" t="n">
        <f aca="false">IF(INDEX(選手一覧!$J$7:$J$2738,$F810)="","",INDEX(選手一覧!$J$7:$J$2738,$F810))</f>
        <v>0.00297685185185185</v>
      </c>
      <c r="J810" s="17" t="n">
        <f aca="false">IF(INDEX(選手一覧!$K$7:$K$2738,$F810)="","",INDEX(選手一覧!$K$7:$K$2738,$F810))</f>
        <v>1340</v>
      </c>
    </row>
    <row r="811" customFormat="false" ht="15" hidden="false" customHeight="false" outlineLevel="0" collapsed="false">
      <c r="A811" s="17" t="n">
        <v>807</v>
      </c>
      <c r="B811" s="12" t="s">
        <v>1336</v>
      </c>
      <c r="C811" s="12" t="s">
        <v>561</v>
      </c>
      <c r="D811" s="16" t="n">
        <v>0.0108380787037037</v>
      </c>
      <c r="E811" s="15" t="n">
        <f aca="false">ROUND((D811-$D$5)*86400,2)</f>
        <v>146.67</v>
      </c>
      <c r="F811" s="17" t="n">
        <v>806</v>
      </c>
      <c r="G811" s="16" t="str">
        <f aca="false">IF(INDEX(選手一覧!$H$7:$H$2738,$F811)="","",INDEX(選手一覧!$H$7:$H$2738,$F811))</f>
        <v/>
      </c>
      <c r="H811" s="17" t="str">
        <f aca="false">IF(INDEX(選手一覧!$I$7:$I$2738,$F811)="","",INDEX(選手一覧!$I$7:$I$2738,$F811))</f>
        <v/>
      </c>
      <c r="I811" s="16" t="str">
        <f aca="false">IF(INDEX(選手一覧!$J$7:$J$2738,$F811)="","",INDEX(選手一覧!$J$7:$J$2738,$F811))</f>
        <v/>
      </c>
      <c r="J811" s="17" t="str">
        <f aca="false">IF(INDEX(選手一覧!$K$7:$K$2738,$F811)="","",INDEX(選手一覧!$K$7:$K$2738,$F811))</f>
        <v/>
      </c>
    </row>
    <row r="812" customFormat="false" ht="15" hidden="false" customHeight="false" outlineLevel="0" collapsed="false">
      <c r="A812" s="17" t="n">
        <v>808</v>
      </c>
      <c r="B812" s="12" t="s">
        <v>1338</v>
      </c>
      <c r="C812" s="12" t="s">
        <v>1339</v>
      </c>
      <c r="D812" s="16" t="n">
        <v>0.0108384259259259</v>
      </c>
      <c r="E812" s="15" t="n">
        <f aca="false">ROUND((D812-$D$5)*86400,2)</f>
        <v>146.7</v>
      </c>
      <c r="F812" s="17" t="n">
        <v>807</v>
      </c>
      <c r="G812" s="16" t="n">
        <f aca="false">IF(INDEX(選手一覧!$H$7:$H$2738,$F812)="","",INDEX(選手一覧!$H$7:$H$2738,$F812))</f>
        <v>0.00706446759259259</v>
      </c>
      <c r="H812" s="17" t="n">
        <f aca="false">IF(INDEX(選手一覧!$I$7:$I$2738,$F812)="","",INDEX(選手一覧!$I$7:$I$2738,$F812))</f>
        <v>407</v>
      </c>
      <c r="I812" s="16" t="n">
        <f aca="false">IF(INDEX(選手一覧!$J$7:$J$2738,$F812)="","",INDEX(選手一覧!$J$7:$J$2738,$F812))</f>
        <v>0.00285393518518519</v>
      </c>
      <c r="J812" s="17" t="n">
        <f aca="false">IF(INDEX(選手一覧!$K$7:$K$2738,$F812)="","",INDEX(選手一覧!$K$7:$K$2738,$F812))</f>
        <v>592</v>
      </c>
    </row>
    <row r="813" customFormat="false" ht="15" hidden="false" customHeight="false" outlineLevel="0" collapsed="false">
      <c r="A813" s="17" t="n">
        <v>809</v>
      </c>
      <c r="B813" s="12" t="s">
        <v>1340</v>
      </c>
      <c r="C813" s="12" t="s">
        <v>417</v>
      </c>
      <c r="D813" s="16" t="n">
        <v>0.0108385416666667</v>
      </c>
      <c r="E813" s="15" t="n">
        <f aca="false">ROUND((D813-$D$5)*86400,2)</f>
        <v>146.71</v>
      </c>
      <c r="F813" s="17" t="n">
        <v>808</v>
      </c>
      <c r="G813" s="16" t="str">
        <f aca="false">IF(INDEX(選手一覧!$H$7:$H$2738,$F813)="","",INDEX(選手一覧!$H$7:$H$2738,$F813))</f>
        <v/>
      </c>
      <c r="H813" s="17" t="str">
        <f aca="false">IF(INDEX(選手一覧!$I$7:$I$2738,$F813)="","",INDEX(選手一覧!$I$7:$I$2738,$F813))</f>
        <v/>
      </c>
      <c r="I813" s="16" t="str">
        <f aca="false">IF(INDEX(選手一覧!$J$7:$J$2738,$F813)="","",INDEX(選手一覧!$J$7:$J$2738,$F813))</f>
        <v/>
      </c>
      <c r="J813" s="17" t="str">
        <f aca="false">IF(INDEX(選手一覧!$K$7:$K$2738,$F813)="","",INDEX(選手一覧!$K$7:$K$2738,$F813))</f>
        <v/>
      </c>
    </row>
    <row r="814" customFormat="false" ht="15" hidden="false" customHeight="false" outlineLevel="0" collapsed="false">
      <c r="A814" s="17" t="n">
        <v>810</v>
      </c>
      <c r="B814" s="12" t="s">
        <v>1341</v>
      </c>
      <c r="C814" s="12" t="s">
        <v>1342</v>
      </c>
      <c r="D814" s="16" t="n">
        <v>0.0108386574074074</v>
      </c>
      <c r="E814" s="15" t="n">
        <f aca="false">ROUND((D814-$D$5)*86400,2)</f>
        <v>146.72</v>
      </c>
      <c r="F814" s="17" t="n">
        <v>809</v>
      </c>
      <c r="G814" s="16" t="str">
        <f aca="false">IF(INDEX(選手一覧!$H$7:$H$2738,$F814)="","",INDEX(選手一覧!$H$7:$H$2738,$F814))</f>
        <v/>
      </c>
      <c r="H814" s="17" t="str">
        <f aca="false">IF(INDEX(選手一覧!$I$7:$I$2738,$F814)="","",INDEX(選手一覧!$I$7:$I$2738,$F814))</f>
        <v/>
      </c>
      <c r="I814" s="16" t="n">
        <f aca="false">IF(INDEX(選手一覧!$J$7:$J$2738,$F814)="","",INDEX(選手一覧!$J$7:$J$2738,$F814))</f>
        <v>0.00282546296296296</v>
      </c>
      <c r="J814" s="17" t="n">
        <f aca="false">IF(INDEX(選手一覧!$K$7:$K$2738,$F814)="","",INDEX(選手一覧!$K$7:$K$2738,$F814))</f>
        <v>396</v>
      </c>
    </row>
    <row r="815" customFormat="false" ht="15" hidden="false" customHeight="false" outlineLevel="0" collapsed="false">
      <c r="A815" s="17" t="n">
        <v>811</v>
      </c>
      <c r="B815" s="12" t="s">
        <v>1343</v>
      </c>
      <c r="C815" s="12" t="s">
        <v>1344</v>
      </c>
      <c r="D815" s="16" t="n">
        <v>0.0108391203703704</v>
      </c>
      <c r="E815" s="15" t="n">
        <f aca="false">ROUND((D815-$D$5)*86400,2)</f>
        <v>146.76</v>
      </c>
      <c r="F815" s="17" t="n">
        <v>810</v>
      </c>
      <c r="G815" s="16" t="str">
        <f aca="false">IF(INDEX(選手一覧!$H$7:$H$2738,$F815)="","",INDEX(選手一覧!$H$7:$H$2738,$F815))</f>
        <v/>
      </c>
      <c r="H815" s="17" t="str">
        <f aca="false">IF(INDEX(選手一覧!$I$7:$I$2738,$F815)="","",INDEX(選手一覧!$I$7:$I$2738,$F815))</f>
        <v/>
      </c>
      <c r="I815" s="16" t="n">
        <f aca="false">IF(INDEX(選手一覧!$J$7:$J$2738,$F815)="","",INDEX(選手一覧!$J$7:$J$2738,$F815))</f>
        <v>0.0028625</v>
      </c>
      <c r="J815" s="17" t="n">
        <f aca="false">IF(INDEX(選手一覧!$K$7:$K$2738,$F815)="","",INDEX(選手一覧!$K$7:$K$2738,$F815))</f>
        <v>651</v>
      </c>
    </row>
    <row r="816" customFormat="false" ht="15" hidden="false" customHeight="false" outlineLevel="0" collapsed="false">
      <c r="A816" s="17" t="n">
        <v>812</v>
      </c>
      <c r="B816" s="12" t="s">
        <v>1345</v>
      </c>
      <c r="C816" s="12" t="s">
        <v>1346</v>
      </c>
      <c r="D816" s="16" t="n">
        <v>0.0108391203703704</v>
      </c>
      <c r="E816" s="15" t="n">
        <f aca="false">ROUND((D816-$D$5)*86400,2)</f>
        <v>146.76</v>
      </c>
      <c r="F816" s="17" t="n">
        <v>811</v>
      </c>
      <c r="G816" s="16" t="n">
        <f aca="false">IF(INDEX(選手一覧!$H$7:$H$2738,$F816)="","",INDEX(選手一覧!$H$7:$H$2738,$F816))</f>
        <v>0.00707430555555556</v>
      </c>
      <c r="H816" s="17" t="n">
        <f aca="false">IF(INDEX(選手一覧!$I$7:$I$2738,$F816)="","",INDEX(選手一覧!$I$7:$I$2738,$F816))</f>
        <v>420</v>
      </c>
      <c r="I816" s="16" t="n">
        <f aca="false">IF(INDEX(選手一覧!$J$7:$J$2738,$F816)="","",INDEX(選手一覧!$J$7:$J$2738,$F816))</f>
        <v>0.00292395833333333</v>
      </c>
      <c r="J816" s="17" t="n">
        <f aca="false">IF(INDEX(選手一覧!$K$7:$K$2738,$F816)="","",INDEX(選手一覧!$K$7:$K$2738,$F816))</f>
        <v>1136</v>
      </c>
    </row>
    <row r="817" customFormat="false" ht="15" hidden="false" customHeight="false" outlineLevel="0" collapsed="false">
      <c r="A817" s="17" t="n">
        <v>813</v>
      </c>
      <c r="B817" s="12" t="s">
        <v>1347</v>
      </c>
      <c r="C817" s="12" t="s">
        <v>1348</v>
      </c>
      <c r="D817" s="16" t="n">
        <v>0.0108391203703704</v>
      </c>
      <c r="E817" s="15" t="n">
        <f aca="false">ROUND((D817-$D$5)*86400,2)</f>
        <v>146.76</v>
      </c>
      <c r="F817" s="17" t="n">
        <v>812</v>
      </c>
      <c r="G817" s="16" t="n">
        <f aca="false">IF(INDEX(選手一覧!$H$7:$H$2738,$F817)="","",INDEX(選手一覧!$H$7:$H$2738,$F817))</f>
        <v>0.00742210648148148</v>
      </c>
      <c r="H817" s="17" t="n">
        <f aca="false">IF(INDEX(選手一覧!$I$7:$I$2738,$F817)="","",INDEX(選手一覧!$I$7:$I$2738,$F817))</f>
        <v>797</v>
      </c>
      <c r="I817" s="16" t="str">
        <f aca="false">IF(INDEX(選手一覧!$J$7:$J$2738,$F817)="","",INDEX(選手一覧!$J$7:$J$2738,$F817))</f>
        <v/>
      </c>
      <c r="J817" s="17" t="str">
        <f aca="false">IF(INDEX(選手一覧!$K$7:$K$2738,$F817)="","",INDEX(選手一覧!$K$7:$K$2738,$F817))</f>
        <v/>
      </c>
    </row>
    <row r="818" customFormat="false" ht="15" hidden="false" customHeight="false" outlineLevel="0" collapsed="false">
      <c r="A818" s="17" t="n">
        <v>814</v>
      </c>
      <c r="B818" s="12" t="s">
        <v>1349</v>
      </c>
      <c r="C818" s="12" t="s">
        <v>454</v>
      </c>
      <c r="D818" s="16" t="n">
        <v>0.0108413194444445</v>
      </c>
      <c r="E818" s="15" t="n">
        <f aca="false">ROUND((D818-$D$5)*86400,2)</f>
        <v>146.95</v>
      </c>
      <c r="F818" s="17" t="n">
        <v>813</v>
      </c>
      <c r="G818" s="16" t="str">
        <f aca="false">IF(INDEX(選手一覧!$H$7:$H$2738,$F818)="","",INDEX(選手一覧!$H$7:$H$2738,$F818))</f>
        <v/>
      </c>
      <c r="H818" s="17" t="str">
        <f aca="false">IF(INDEX(選手一覧!$I$7:$I$2738,$F818)="","",INDEX(選手一覧!$I$7:$I$2738,$F818))</f>
        <v/>
      </c>
      <c r="I818" s="16" t="n">
        <f aca="false">IF(INDEX(選手一覧!$J$7:$J$2738,$F818)="","",INDEX(選手一覧!$J$7:$J$2738,$F818))</f>
        <v>0.00286111111111111</v>
      </c>
      <c r="J818" s="17" t="n">
        <f aca="false">IF(INDEX(選手一覧!$K$7:$K$2738,$F818)="","",INDEX(選手一覧!$K$7:$K$2738,$F818))</f>
        <v>641</v>
      </c>
    </row>
    <row r="819" customFormat="false" ht="15" hidden="false" customHeight="false" outlineLevel="0" collapsed="false">
      <c r="A819" s="17" t="n">
        <v>815</v>
      </c>
      <c r="B819" s="12" t="s">
        <v>1350</v>
      </c>
      <c r="C819" s="12" t="s">
        <v>240</v>
      </c>
      <c r="D819" s="16" t="n">
        <v>0.0108413194444445</v>
      </c>
      <c r="E819" s="15" t="n">
        <f aca="false">ROUND((D819-$D$5)*86400,2)</f>
        <v>146.95</v>
      </c>
      <c r="F819" s="17" t="n">
        <v>814</v>
      </c>
      <c r="G819" s="16" t="n">
        <f aca="false">IF(INDEX(選手一覧!$H$7:$H$2738,$F819)="","",INDEX(選手一覧!$H$7:$H$2738,$F819))</f>
        <v>0.00699918981481482</v>
      </c>
      <c r="H819" s="17" t="n">
        <f aca="false">IF(INDEX(選手一覧!$I$7:$I$2738,$F819)="","",INDEX(選手一覧!$I$7:$I$2738,$F819))</f>
        <v>334</v>
      </c>
      <c r="I819" s="16" t="n">
        <f aca="false">IF(INDEX(選手一覧!$J$7:$J$2738,$F819)="","",INDEX(選手一覧!$J$7:$J$2738,$F819))</f>
        <v>0.002828125</v>
      </c>
      <c r="J819" s="17" t="n">
        <f aca="false">IF(INDEX(選手一覧!$K$7:$K$2738,$F819)="","",INDEX(選手一覧!$K$7:$K$2738,$F819))</f>
        <v>412</v>
      </c>
    </row>
    <row r="820" customFormat="false" ht="15" hidden="false" customHeight="false" outlineLevel="0" collapsed="false">
      <c r="A820" s="17" t="n">
        <v>816</v>
      </c>
      <c r="B820" s="12" t="s">
        <v>1351</v>
      </c>
      <c r="C820" s="12" t="s">
        <v>561</v>
      </c>
      <c r="D820" s="16" t="n">
        <v>0.0108416666666667</v>
      </c>
      <c r="E820" s="15" t="n">
        <f aca="false">ROUND((D820-$D$5)*86400,2)</f>
        <v>146.98</v>
      </c>
      <c r="F820" s="17" t="n">
        <v>815</v>
      </c>
      <c r="G820" s="16" t="str">
        <f aca="false">IF(INDEX(選手一覧!$H$7:$H$2738,$F820)="","",INDEX(選手一覧!$H$7:$H$2738,$F820))</f>
        <v/>
      </c>
      <c r="H820" s="17" t="str">
        <f aca="false">IF(INDEX(選手一覧!$I$7:$I$2738,$F820)="","",INDEX(選手一覧!$I$7:$I$2738,$F820))</f>
        <v/>
      </c>
      <c r="I820" s="16" t="n">
        <f aca="false">IF(INDEX(選手一覧!$J$7:$J$2738,$F820)="","",INDEX(選手一覧!$J$7:$J$2738,$F820))</f>
        <v>0.00289988425925926</v>
      </c>
      <c r="J820" s="17" t="n">
        <f aca="false">IF(INDEX(選手一覧!$K$7:$K$2738,$F820)="","",INDEX(選手一覧!$K$7:$K$2738,$F820))</f>
        <v>947</v>
      </c>
    </row>
    <row r="821" customFormat="false" ht="15" hidden="false" customHeight="false" outlineLevel="0" collapsed="false">
      <c r="A821" s="17" t="n">
        <v>817</v>
      </c>
      <c r="B821" s="12" t="s">
        <v>1352</v>
      </c>
      <c r="C821" s="12" t="s">
        <v>632</v>
      </c>
      <c r="D821" s="16" t="n">
        <v>0.0108423611111111</v>
      </c>
      <c r="E821" s="15" t="n">
        <f aca="false">ROUND((D821-$D$5)*86400,2)</f>
        <v>147.04</v>
      </c>
      <c r="F821" s="17" t="n">
        <v>816</v>
      </c>
      <c r="G821" s="16" t="str">
        <f aca="false">IF(INDEX(選手一覧!$H$7:$H$2738,$F821)="","",INDEX(選手一覧!$H$7:$H$2738,$F821))</f>
        <v/>
      </c>
      <c r="H821" s="17" t="str">
        <f aca="false">IF(INDEX(選手一覧!$I$7:$I$2738,$F821)="","",INDEX(選手一覧!$I$7:$I$2738,$F821))</f>
        <v/>
      </c>
      <c r="I821" s="16" t="str">
        <f aca="false">IF(INDEX(選手一覧!$J$7:$J$2738,$F821)="","",INDEX(選手一覧!$J$7:$J$2738,$F821))</f>
        <v/>
      </c>
      <c r="J821" s="17" t="str">
        <f aca="false">IF(INDEX(選手一覧!$K$7:$K$2738,$F821)="","",INDEX(選手一覧!$K$7:$K$2738,$F821))</f>
        <v/>
      </c>
    </row>
    <row r="822" customFormat="false" ht="15" hidden="false" customHeight="false" outlineLevel="0" collapsed="false">
      <c r="A822" s="17" t="n">
        <v>818</v>
      </c>
      <c r="B822" s="12" t="s">
        <v>1353</v>
      </c>
      <c r="C822" s="12" t="s">
        <v>1354</v>
      </c>
      <c r="D822" s="16" t="n">
        <v>0.0108424768518519</v>
      </c>
      <c r="E822" s="15" t="n">
        <f aca="false">ROUND((D822-$D$5)*86400,2)</f>
        <v>147.05</v>
      </c>
      <c r="F822" s="17" t="n">
        <v>817</v>
      </c>
      <c r="G822" s="16" t="str">
        <f aca="false">IF(INDEX(選手一覧!$H$7:$H$2738,$F822)="","",INDEX(選手一覧!$H$7:$H$2738,$F822))</f>
        <v/>
      </c>
      <c r="H822" s="17" t="str">
        <f aca="false">IF(INDEX(選手一覧!$I$7:$I$2738,$F822)="","",INDEX(選手一覧!$I$7:$I$2738,$F822))</f>
        <v/>
      </c>
      <c r="I822" s="16" t="n">
        <f aca="false">IF(INDEX(選手一覧!$J$7:$J$2738,$F822)="","",INDEX(選手一覧!$J$7:$J$2738,$F822))</f>
        <v>0.00282708333333333</v>
      </c>
      <c r="J822" s="17" t="n">
        <f aca="false">IF(INDEX(選手一覧!$K$7:$K$2738,$F822)="","",INDEX(選手一覧!$K$7:$K$2738,$F822))</f>
        <v>405</v>
      </c>
    </row>
    <row r="823" customFormat="false" ht="15" hidden="false" customHeight="false" outlineLevel="0" collapsed="false">
      <c r="A823" s="17" t="n">
        <v>819</v>
      </c>
      <c r="B823" s="12" t="s">
        <v>1355</v>
      </c>
      <c r="C823" s="12" t="s">
        <v>37</v>
      </c>
      <c r="D823" s="16" t="n">
        <v>0.0108434027777778</v>
      </c>
      <c r="E823" s="15" t="n">
        <f aca="false">ROUND((D823-$D$5)*86400,2)</f>
        <v>147.13</v>
      </c>
      <c r="F823" s="17" t="n">
        <v>818</v>
      </c>
      <c r="G823" s="16" t="str">
        <f aca="false">IF(INDEX(選手一覧!$H$7:$H$2738,$F823)="","",INDEX(選手一覧!$H$7:$H$2738,$F823))</f>
        <v/>
      </c>
      <c r="H823" s="17" t="str">
        <f aca="false">IF(INDEX(選手一覧!$I$7:$I$2738,$F823)="","",INDEX(選手一覧!$I$7:$I$2738,$F823))</f>
        <v/>
      </c>
      <c r="I823" s="16" t="str">
        <f aca="false">IF(INDEX(選手一覧!$J$7:$J$2738,$F823)="","",INDEX(選手一覧!$J$7:$J$2738,$F823))</f>
        <v/>
      </c>
      <c r="J823" s="17" t="str">
        <f aca="false">IF(INDEX(選手一覧!$K$7:$K$2738,$F823)="","",INDEX(選手一覧!$K$7:$K$2738,$F823))</f>
        <v/>
      </c>
    </row>
    <row r="824" customFormat="false" ht="15" hidden="false" customHeight="false" outlineLevel="0" collapsed="false">
      <c r="A824" s="17" t="n">
        <v>820</v>
      </c>
      <c r="B824" s="12" t="s">
        <v>1356</v>
      </c>
      <c r="C824" s="12" t="s">
        <v>1357</v>
      </c>
      <c r="D824" s="16" t="n">
        <v>0.0108435185185185</v>
      </c>
      <c r="E824" s="15" t="n">
        <f aca="false">ROUND((D824-$D$5)*86400,2)</f>
        <v>147.14</v>
      </c>
      <c r="F824" s="17" t="n">
        <v>819</v>
      </c>
      <c r="G824" s="16" t="str">
        <f aca="false">IF(INDEX(選手一覧!$H$7:$H$2738,$F824)="","",INDEX(選手一覧!$H$7:$H$2738,$F824))</f>
        <v/>
      </c>
      <c r="H824" s="17" t="str">
        <f aca="false">IF(INDEX(選手一覧!$I$7:$I$2738,$F824)="","",INDEX(選手一覧!$I$7:$I$2738,$F824))</f>
        <v/>
      </c>
      <c r="I824" s="16" t="n">
        <f aca="false">IF(INDEX(選手一覧!$J$7:$J$2738,$F824)="","",INDEX(選手一覧!$J$7:$J$2738,$F824))</f>
        <v>0.00290208333333333</v>
      </c>
      <c r="J824" s="17" t="n">
        <f aca="false">IF(INDEX(選手一覧!$K$7:$K$2738,$F824)="","",INDEX(選手一覧!$K$7:$K$2738,$F824))</f>
        <v>965</v>
      </c>
    </row>
    <row r="825" customFormat="false" ht="15" hidden="false" customHeight="false" outlineLevel="0" collapsed="false">
      <c r="A825" s="17" t="n">
        <v>821</v>
      </c>
      <c r="B825" s="12" t="s">
        <v>1358</v>
      </c>
      <c r="C825" s="12" t="s">
        <v>281</v>
      </c>
      <c r="D825" s="16" t="n">
        <v>0.0108438657407407</v>
      </c>
      <c r="E825" s="15" t="n">
        <f aca="false">ROUND((D825-$D$5)*86400,2)</f>
        <v>147.17</v>
      </c>
      <c r="F825" s="17" t="n">
        <v>820</v>
      </c>
      <c r="G825" s="16" t="n">
        <f aca="false">IF(INDEX(選手一覧!$H$7:$H$2738,$F825)="","",INDEX(選手一覧!$H$7:$H$2738,$F825))</f>
        <v>0.00718460648148148</v>
      </c>
      <c r="H825" s="17" t="n">
        <f aca="false">IF(INDEX(選手一覧!$I$7:$I$2738,$F825)="","",INDEX(選手一覧!$I$7:$I$2738,$F825))</f>
        <v>523</v>
      </c>
      <c r="I825" s="16" t="str">
        <f aca="false">IF(INDEX(選手一覧!$J$7:$J$2738,$F825)="","",INDEX(選手一覧!$J$7:$J$2738,$F825))</f>
        <v/>
      </c>
      <c r="J825" s="17" t="str">
        <f aca="false">IF(INDEX(選手一覧!$K$7:$K$2738,$F825)="","",INDEX(選手一覧!$K$7:$K$2738,$F825))</f>
        <v/>
      </c>
    </row>
    <row r="826" customFormat="false" ht="15" hidden="false" customHeight="false" outlineLevel="0" collapsed="false">
      <c r="A826" s="17" t="n">
        <v>822</v>
      </c>
      <c r="B826" s="12" t="s">
        <v>1359</v>
      </c>
      <c r="C826" s="12" t="s">
        <v>1360</v>
      </c>
      <c r="D826" s="16" t="n">
        <v>0.0108439814814815</v>
      </c>
      <c r="E826" s="15" t="n">
        <f aca="false">ROUND((D826-$D$5)*86400,2)</f>
        <v>147.18</v>
      </c>
      <c r="F826" s="17" t="n">
        <v>821</v>
      </c>
      <c r="G826" s="16" t="str">
        <f aca="false">IF(INDEX(選手一覧!$H$7:$H$2738,$F826)="","",INDEX(選手一覧!$H$7:$H$2738,$F826))</f>
        <v/>
      </c>
      <c r="H826" s="17" t="str">
        <f aca="false">IF(INDEX(選手一覧!$I$7:$I$2738,$F826)="","",INDEX(選手一覧!$I$7:$I$2738,$F826))</f>
        <v/>
      </c>
      <c r="I826" s="16" t="str">
        <f aca="false">IF(INDEX(選手一覧!$J$7:$J$2738,$F826)="","",INDEX(選手一覧!$J$7:$J$2738,$F826))</f>
        <v/>
      </c>
      <c r="J826" s="17" t="str">
        <f aca="false">IF(INDEX(選手一覧!$K$7:$K$2738,$F826)="","",INDEX(選手一覧!$K$7:$K$2738,$F826))</f>
        <v/>
      </c>
    </row>
    <row r="827" customFormat="false" ht="15" hidden="false" customHeight="false" outlineLevel="0" collapsed="false">
      <c r="A827" s="17" t="n">
        <v>823</v>
      </c>
      <c r="B827" s="12" t="s">
        <v>1361</v>
      </c>
      <c r="C827" s="12" t="s">
        <v>559</v>
      </c>
      <c r="D827" s="16" t="n">
        <v>0.0108439814814815</v>
      </c>
      <c r="E827" s="15" t="n">
        <f aca="false">ROUND((D827-$D$5)*86400,2)</f>
        <v>147.18</v>
      </c>
      <c r="F827" s="17" t="n">
        <v>822</v>
      </c>
      <c r="G827" s="16" t="n">
        <f aca="false">IF(INDEX(選手一覧!$H$7:$H$2738,$F827)="","",INDEX(選手一覧!$H$7:$H$2738,$F827))</f>
        <v>0.00686076388888889</v>
      </c>
      <c r="H827" s="17" t="n">
        <f aca="false">IF(INDEX(選手一覧!$I$7:$I$2738,$F827)="","",INDEX(選手一覧!$I$7:$I$2738,$F827))</f>
        <v>210</v>
      </c>
      <c r="I827" s="16" t="n">
        <f aca="false">IF(INDEX(選手一覧!$J$7:$J$2738,$F827)="","",INDEX(選手一覧!$J$7:$J$2738,$F827))</f>
        <v>0.00279305555555556</v>
      </c>
      <c r="J827" s="17" t="n">
        <f aca="false">IF(INDEX(選手一覧!$K$7:$K$2738,$F827)="","",INDEX(選手一覧!$K$7:$K$2738,$F827))</f>
        <v>250</v>
      </c>
    </row>
    <row r="828" customFormat="false" ht="15" hidden="false" customHeight="false" outlineLevel="0" collapsed="false">
      <c r="A828" s="17" t="n">
        <v>824</v>
      </c>
      <c r="B828" s="12" t="s">
        <v>1362</v>
      </c>
      <c r="C828" s="12" t="s">
        <v>1363</v>
      </c>
      <c r="D828" s="16" t="n">
        <v>0.0108440972222222</v>
      </c>
      <c r="E828" s="15" t="n">
        <f aca="false">ROUND((D828-$D$5)*86400,2)</f>
        <v>147.19</v>
      </c>
      <c r="F828" s="17" t="n">
        <v>823</v>
      </c>
      <c r="G828" s="16" t="str">
        <f aca="false">IF(INDEX(選手一覧!$H$7:$H$2738,$F828)="","",INDEX(選手一覧!$H$7:$H$2738,$F828))</f>
        <v/>
      </c>
      <c r="H828" s="17" t="str">
        <f aca="false">IF(INDEX(選手一覧!$I$7:$I$2738,$F828)="","",INDEX(選手一覧!$I$7:$I$2738,$F828))</f>
        <v/>
      </c>
      <c r="I828" s="16" t="n">
        <f aca="false">IF(INDEX(選手一覧!$J$7:$J$2738,$F828)="","",INDEX(選手一覧!$J$7:$J$2738,$F828))</f>
        <v>0.00291481481481482</v>
      </c>
      <c r="J828" s="17" t="n">
        <f aca="false">IF(INDEX(選手一覧!$K$7:$K$2738,$F828)="","",INDEX(選手一覧!$K$7:$K$2738,$F828))</f>
        <v>1053</v>
      </c>
    </row>
    <row r="829" customFormat="false" ht="15" hidden="false" customHeight="false" outlineLevel="0" collapsed="false">
      <c r="A829" s="17" t="n">
        <v>825</v>
      </c>
      <c r="B829" s="12" t="s">
        <v>1365</v>
      </c>
      <c r="C829" s="12" t="s">
        <v>507</v>
      </c>
      <c r="D829" s="16" t="n">
        <v>0.0108446759259259</v>
      </c>
      <c r="E829" s="15" t="n">
        <f aca="false">ROUND((D829-$D$5)*86400,2)</f>
        <v>147.24</v>
      </c>
      <c r="F829" s="17" t="n">
        <v>824</v>
      </c>
      <c r="G829" s="16" t="str">
        <f aca="false">IF(INDEX(選手一覧!$H$7:$H$2738,$F829)="","",INDEX(選手一覧!$H$7:$H$2738,$F829))</f>
        <v/>
      </c>
      <c r="H829" s="17" t="str">
        <f aca="false">IF(INDEX(選手一覧!$I$7:$I$2738,$F829)="","",INDEX(選手一覧!$I$7:$I$2738,$F829))</f>
        <v/>
      </c>
      <c r="I829" s="16" t="str">
        <f aca="false">IF(INDEX(選手一覧!$J$7:$J$2738,$F829)="","",INDEX(選手一覧!$J$7:$J$2738,$F829))</f>
        <v/>
      </c>
      <c r="J829" s="17" t="str">
        <f aca="false">IF(INDEX(選手一覧!$K$7:$K$2738,$F829)="","",INDEX(選手一覧!$K$7:$K$2738,$F829))</f>
        <v/>
      </c>
    </row>
    <row r="830" customFormat="false" ht="15" hidden="false" customHeight="false" outlineLevel="0" collapsed="false">
      <c r="A830" s="17" t="n">
        <v>826</v>
      </c>
      <c r="B830" s="12" t="s">
        <v>1366</v>
      </c>
      <c r="C830" s="12" t="s">
        <v>1367</v>
      </c>
      <c r="D830" s="16" t="n">
        <v>0.0108450231481482</v>
      </c>
      <c r="E830" s="15" t="n">
        <f aca="false">ROUND((D830-$D$5)*86400,2)</f>
        <v>147.27</v>
      </c>
      <c r="F830" s="17" t="n">
        <v>825</v>
      </c>
      <c r="G830" s="16" t="str">
        <f aca="false">IF(INDEX(選手一覧!$H$7:$H$2738,$F830)="","",INDEX(選手一覧!$H$7:$H$2738,$F830))</f>
        <v/>
      </c>
      <c r="H830" s="17" t="str">
        <f aca="false">IF(INDEX(選手一覧!$I$7:$I$2738,$F830)="","",INDEX(選手一覧!$I$7:$I$2738,$F830))</f>
        <v/>
      </c>
      <c r="I830" s="16" t="n">
        <f aca="false">IF(INDEX(選手一覧!$J$7:$J$2738,$F830)="","",INDEX(選手一覧!$J$7:$J$2738,$F830))</f>
        <v>0.00283935185185185</v>
      </c>
      <c r="J830" s="17" t="n">
        <f aca="false">IF(INDEX(選手一覧!$K$7:$K$2738,$F830)="","",INDEX(選手一覧!$K$7:$K$2738,$F830))</f>
        <v>490</v>
      </c>
    </row>
    <row r="831" customFormat="false" ht="15" hidden="false" customHeight="false" outlineLevel="0" collapsed="false">
      <c r="A831" s="17" t="n">
        <v>827</v>
      </c>
      <c r="B831" s="12" t="s">
        <v>1368</v>
      </c>
      <c r="C831" s="12" t="s">
        <v>947</v>
      </c>
      <c r="D831" s="16" t="n">
        <v>0.010846412037037</v>
      </c>
      <c r="E831" s="15" t="n">
        <f aca="false">ROUND((D831-$D$5)*86400,2)</f>
        <v>147.39</v>
      </c>
      <c r="F831" s="17" t="n">
        <v>826</v>
      </c>
      <c r="G831" s="16" t="n">
        <f aca="false">IF(INDEX(選手一覧!$H$7:$H$2738,$F831)="","",INDEX(選手一覧!$H$7:$H$2738,$F831))</f>
        <v>0.0066087962962963</v>
      </c>
      <c r="H831" s="17" t="n">
        <f aca="false">IF(INDEX(選手一覧!$I$7:$I$2738,$F831)="","",INDEX(選手一覧!$I$7:$I$2738,$F831))</f>
        <v>69</v>
      </c>
      <c r="I831" s="16" t="n">
        <f aca="false">IF(INDEX(選手一覧!$J$7:$J$2738,$F831)="","",INDEX(選手一覧!$J$7:$J$2738,$F831))</f>
        <v>0.00290763888888889</v>
      </c>
      <c r="J831" s="17" t="n">
        <f aca="false">IF(INDEX(選手一覧!$K$7:$K$2738,$F831)="","",INDEX(選手一覧!$K$7:$K$2738,$F831))</f>
        <v>997</v>
      </c>
    </row>
    <row r="832" customFormat="false" ht="15" hidden="false" customHeight="false" outlineLevel="0" collapsed="false">
      <c r="A832" s="17" t="n">
        <v>828</v>
      </c>
      <c r="B832" s="12" t="s">
        <v>1370</v>
      </c>
      <c r="C832" s="12" t="s">
        <v>1371</v>
      </c>
      <c r="D832" s="16" t="n">
        <v>0.0108469907407407</v>
      </c>
      <c r="E832" s="15" t="n">
        <f aca="false">ROUND((D832-$D$5)*86400,2)</f>
        <v>147.44</v>
      </c>
      <c r="F832" s="17" t="n">
        <v>827</v>
      </c>
      <c r="G832" s="16" t="str">
        <f aca="false">IF(INDEX(選手一覧!$H$7:$H$2738,$F832)="","",INDEX(選手一覧!$H$7:$H$2738,$F832))</f>
        <v/>
      </c>
      <c r="H832" s="17" t="str">
        <f aca="false">IF(INDEX(選手一覧!$I$7:$I$2738,$F832)="","",INDEX(選手一覧!$I$7:$I$2738,$F832))</f>
        <v/>
      </c>
      <c r="I832" s="16" t="str">
        <f aca="false">IF(INDEX(選手一覧!$J$7:$J$2738,$F832)="","",INDEX(選手一覧!$J$7:$J$2738,$F832))</f>
        <v/>
      </c>
      <c r="J832" s="17" t="str">
        <f aca="false">IF(INDEX(選手一覧!$K$7:$K$2738,$F832)="","",INDEX(選手一覧!$K$7:$K$2738,$F832))</f>
        <v/>
      </c>
    </row>
    <row r="833" customFormat="false" ht="15" hidden="false" customHeight="false" outlineLevel="0" collapsed="false">
      <c r="A833" s="17" t="n">
        <v>829</v>
      </c>
      <c r="B833" s="12" t="s">
        <v>1372</v>
      </c>
      <c r="C833" s="12" t="s">
        <v>123</v>
      </c>
      <c r="D833" s="16" t="n">
        <v>0.0108478009259259</v>
      </c>
      <c r="E833" s="15" t="n">
        <f aca="false">ROUND((D833-$D$5)*86400,2)</f>
        <v>147.51</v>
      </c>
      <c r="F833" s="17" t="n">
        <v>828</v>
      </c>
      <c r="G833" s="16" t="str">
        <f aca="false">IF(INDEX(選手一覧!$H$7:$H$2738,$F833)="","",INDEX(選手一覧!$H$7:$H$2738,$F833))</f>
        <v/>
      </c>
      <c r="H833" s="17" t="str">
        <f aca="false">IF(INDEX(選手一覧!$I$7:$I$2738,$F833)="","",INDEX(選手一覧!$I$7:$I$2738,$F833))</f>
        <v/>
      </c>
      <c r="I833" s="16" t="n">
        <f aca="false">IF(INDEX(選手一覧!$J$7:$J$2738,$F833)="","",INDEX(選手一覧!$J$7:$J$2738,$F833))</f>
        <v>0.00288935185185185</v>
      </c>
      <c r="J833" s="17" t="n">
        <f aca="false">IF(INDEX(選手一覧!$K$7:$K$2738,$F833)="","",INDEX(選手一覧!$K$7:$K$2738,$F833))</f>
        <v>859</v>
      </c>
    </row>
    <row r="834" customFormat="false" ht="15" hidden="false" customHeight="false" outlineLevel="0" collapsed="false">
      <c r="A834" s="17" t="n">
        <v>830</v>
      </c>
      <c r="B834" s="12" t="s">
        <v>1373</v>
      </c>
      <c r="C834" s="12" t="s">
        <v>167</v>
      </c>
      <c r="D834" s="16" t="n">
        <v>0.0108479166666667</v>
      </c>
      <c r="E834" s="15" t="n">
        <f aca="false">ROUND((D834-$D$5)*86400,2)</f>
        <v>147.52</v>
      </c>
      <c r="F834" s="17" t="n">
        <v>829</v>
      </c>
      <c r="G834" s="16" t="n">
        <f aca="false">IF(INDEX(選手一覧!$H$7:$H$2738,$F834)="","",INDEX(選手一覧!$H$7:$H$2738,$F834))</f>
        <v>0.00685613425925926</v>
      </c>
      <c r="H834" s="17" t="n">
        <f aca="false">IF(INDEX(選手一覧!$I$7:$I$2738,$F834)="","",INDEX(選手一覧!$I$7:$I$2738,$F834))</f>
        <v>206</v>
      </c>
      <c r="I834" s="16" t="n">
        <f aca="false">IF(INDEX(選手一覧!$J$7:$J$2738,$F834)="","",INDEX(選手一覧!$J$7:$J$2738,$F834))</f>
        <v>0.00282800925925926</v>
      </c>
      <c r="J834" s="17" t="n">
        <f aca="false">IF(INDEX(選手一覧!$K$7:$K$2738,$F834)="","",INDEX(選手一覧!$K$7:$K$2738,$F834))</f>
        <v>410</v>
      </c>
    </row>
    <row r="835" customFormat="false" ht="15" hidden="false" customHeight="false" outlineLevel="0" collapsed="false">
      <c r="A835" s="17" t="n">
        <v>831</v>
      </c>
      <c r="B835" s="12" t="s">
        <v>1374</v>
      </c>
      <c r="C835" s="12" t="s">
        <v>382</v>
      </c>
      <c r="D835" s="16" t="n">
        <v>0.0108479166666667</v>
      </c>
      <c r="E835" s="15" t="n">
        <f aca="false">ROUND((D835-$D$5)*86400,2)</f>
        <v>147.52</v>
      </c>
      <c r="F835" s="17" t="n">
        <v>830</v>
      </c>
      <c r="G835" s="16" t="str">
        <f aca="false">IF(INDEX(選手一覧!$H$7:$H$2738,$F835)="","",INDEX(選手一覧!$H$7:$H$2738,$F835))</f>
        <v/>
      </c>
      <c r="H835" s="17" t="str">
        <f aca="false">IF(INDEX(選手一覧!$I$7:$I$2738,$F835)="","",INDEX(選手一覧!$I$7:$I$2738,$F835))</f>
        <v/>
      </c>
      <c r="I835" s="16" t="n">
        <f aca="false">IF(INDEX(選手一覧!$J$7:$J$2738,$F835)="","",INDEX(選手一覧!$J$7:$J$2738,$F835))</f>
        <v>0.00286215277777778</v>
      </c>
      <c r="J835" s="17" t="n">
        <f aca="false">IF(INDEX(選手一覧!$K$7:$K$2738,$F835)="","",INDEX(選手一覧!$K$7:$K$2738,$F835))</f>
        <v>647</v>
      </c>
    </row>
    <row r="836" customFormat="false" ht="15" hidden="false" customHeight="false" outlineLevel="0" collapsed="false">
      <c r="A836" s="17" t="n">
        <v>832</v>
      </c>
      <c r="B836" s="12" t="s">
        <v>1375</v>
      </c>
      <c r="C836" s="12" t="s">
        <v>1354</v>
      </c>
      <c r="D836" s="16" t="n">
        <v>0.0108481481481482</v>
      </c>
      <c r="E836" s="15" t="n">
        <f aca="false">ROUND((D836-$D$5)*86400,2)</f>
        <v>147.54</v>
      </c>
      <c r="F836" s="17" t="n">
        <v>831</v>
      </c>
      <c r="G836" s="16" t="str">
        <f aca="false">IF(INDEX(選手一覧!$H$7:$H$2738,$F836)="","",INDEX(選手一覧!$H$7:$H$2738,$F836))</f>
        <v/>
      </c>
      <c r="H836" s="17" t="str">
        <f aca="false">IF(INDEX(選手一覧!$I$7:$I$2738,$F836)="","",INDEX(選手一覧!$I$7:$I$2738,$F836))</f>
        <v/>
      </c>
      <c r="I836" s="16" t="str">
        <f aca="false">IF(INDEX(選手一覧!$J$7:$J$2738,$F836)="","",INDEX(選手一覧!$J$7:$J$2738,$F836))</f>
        <v/>
      </c>
      <c r="J836" s="17" t="str">
        <f aca="false">IF(INDEX(選手一覧!$K$7:$K$2738,$F836)="","",INDEX(選手一覧!$K$7:$K$2738,$F836))</f>
        <v/>
      </c>
    </row>
    <row r="837" customFormat="false" ht="15" hidden="false" customHeight="false" outlineLevel="0" collapsed="false">
      <c r="A837" s="17" t="n">
        <v>833</v>
      </c>
      <c r="B837" s="12" t="s">
        <v>1376</v>
      </c>
      <c r="C837" s="12" t="s">
        <v>297</v>
      </c>
      <c r="D837" s="16" t="n">
        <v>0.0108482638888889</v>
      </c>
      <c r="E837" s="15" t="n">
        <f aca="false">ROUND((D837-$D$5)*86400,2)</f>
        <v>147.55</v>
      </c>
      <c r="F837" s="17" t="n">
        <v>832</v>
      </c>
      <c r="G837" s="16" t="str">
        <f aca="false">IF(INDEX(選手一覧!$H$7:$H$2738,$F837)="","",INDEX(選手一覧!$H$7:$H$2738,$F837))</f>
        <v/>
      </c>
      <c r="H837" s="17" t="str">
        <f aca="false">IF(INDEX(選手一覧!$I$7:$I$2738,$F837)="","",INDEX(選手一覧!$I$7:$I$2738,$F837))</f>
        <v/>
      </c>
      <c r="I837" s="16" t="str">
        <f aca="false">IF(INDEX(選手一覧!$J$7:$J$2738,$F837)="","",INDEX(選手一覧!$J$7:$J$2738,$F837))</f>
        <v/>
      </c>
      <c r="J837" s="17" t="str">
        <f aca="false">IF(INDEX(選手一覧!$K$7:$K$2738,$F837)="","",INDEX(選手一覧!$K$7:$K$2738,$F837))</f>
        <v/>
      </c>
    </row>
    <row r="838" customFormat="false" ht="15" hidden="false" customHeight="false" outlineLevel="0" collapsed="false">
      <c r="A838" s="17" t="n">
        <v>834</v>
      </c>
      <c r="B838" s="12" t="s">
        <v>1378</v>
      </c>
      <c r="C838" s="12" t="s">
        <v>686</v>
      </c>
      <c r="D838" s="16" t="n">
        <v>0.0108484953703704</v>
      </c>
      <c r="E838" s="15" t="n">
        <f aca="false">ROUND((D838-$D$5)*86400,2)</f>
        <v>147.57</v>
      </c>
      <c r="F838" s="17" t="n">
        <v>833</v>
      </c>
      <c r="G838" s="16" t="n">
        <f aca="false">IF(INDEX(選手一覧!$H$7:$H$2738,$F838)="","",INDEX(選手一覧!$H$7:$H$2738,$F838))</f>
        <v>0.00667592592592593</v>
      </c>
      <c r="H838" s="17" t="n">
        <f aca="false">IF(INDEX(選手一覧!$I$7:$I$2738,$F838)="","",INDEX(選手一覧!$I$7:$I$2738,$F838))</f>
        <v>95</v>
      </c>
      <c r="I838" s="16" t="n">
        <f aca="false">IF(INDEX(選手一覧!$J$7:$J$2738,$F838)="","",INDEX(選手一覧!$J$7:$J$2738,$F838))</f>
        <v>0.00277916666666667</v>
      </c>
      <c r="J838" s="17" t="n">
        <f aca="false">IF(INDEX(選手一覧!$K$7:$K$2738,$F838)="","",INDEX(選手一覧!$K$7:$K$2738,$F838))</f>
        <v>196</v>
      </c>
    </row>
    <row r="839" customFormat="false" ht="15" hidden="false" customHeight="false" outlineLevel="0" collapsed="false">
      <c r="A839" s="17" t="n">
        <v>835</v>
      </c>
      <c r="B839" s="12" t="s">
        <v>1379</v>
      </c>
      <c r="C839" s="12" t="s">
        <v>63</v>
      </c>
      <c r="D839" s="16" t="n">
        <v>0.0108489583333333</v>
      </c>
      <c r="E839" s="15" t="n">
        <f aca="false">ROUND((D839-$D$5)*86400,2)</f>
        <v>147.61</v>
      </c>
      <c r="F839" s="17" t="n">
        <v>834</v>
      </c>
      <c r="G839" s="16" t="str">
        <f aca="false">IF(INDEX(選手一覧!$H$7:$H$2738,$F839)="","",INDEX(選手一覧!$H$7:$H$2738,$F839))</f>
        <v/>
      </c>
      <c r="H839" s="17" t="str">
        <f aca="false">IF(INDEX(選手一覧!$I$7:$I$2738,$F839)="","",INDEX(選手一覧!$I$7:$I$2738,$F839))</f>
        <v/>
      </c>
      <c r="I839" s="16" t="str">
        <f aca="false">IF(INDEX(選手一覧!$J$7:$J$2738,$F839)="","",INDEX(選手一覧!$J$7:$J$2738,$F839))</f>
        <v/>
      </c>
      <c r="J839" s="17" t="str">
        <f aca="false">IF(INDEX(選手一覧!$K$7:$K$2738,$F839)="","",INDEX(選手一覧!$K$7:$K$2738,$F839))</f>
        <v/>
      </c>
    </row>
    <row r="840" customFormat="false" ht="15" hidden="false" customHeight="false" outlineLevel="0" collapsed="false">
      <c r="A840" s="17" t="n">
        <v>836</v>
      </c>
      <c r="B840" s="12" t="s">
        <v>1381</v>
      </c>
      <c r="C840" s="12" t="s">
        <v>852</v>
      </c>
      <c r="D840" s="16" t="n">
        <v>0.0108496527777778</v>
      </c>
      <c r="E840" s="15" t="n">
        <f aca="false">ROUND((D840-$D$5)*86400,2)</f>
        <v>147.67</v>
      </c>
      <c r="F840" s="17" t="n">
        <v>835</v>
      </c>
      <c r="G840" s="16" t="str">
        <f aca="false">IF(INDEX(選手一覧!$H$7:$H$2738,$F840)="","",INDEX(選手一覧!$H$7:$H$2738,$F840))</f>
        <v/>
      </c>
      <c r="H840" s="17" t="str">
        <f aca="false">IF(INDEX(選手一覧!$I$7:$I$2738,$F840)="","",INDEX(選手一覧!$I$7:$I$2738,$F840))</f>
        <v/>
      </c>
      <c r="I840" s="16" t="str">
        <f aca="false">IF(INDEX(選手一覧!$J$7:$J$2738,$F840)="","",INDEX(選手一覧!$J$7:$J$2738,$F840))</f>
        <v/>
      </c>
      <c r="J840" s="17" t="str">
        <f aca="false">IF(INDEX(選手一覧!$K$7:$K$2738,$F840)="","",INDEX(選手一覧!$K$7:$K$2738,$F840))</f>
        <v/>
      </c>
    </row>
    <row r="841" customFormat="false" ht="15" hidden="false" customHeight="false" outlineLevel="0" collapsed="false">
      <c r="A841" s="17" t="n">
        <v>837</v>
      </c>
      <c r="B841" s="12" t="s">
        <v>1382</v>
      </c>
      <c r="C841" s="12" t="s">
        <v>1383</v>
      </c>
      <c r="D841" s="16" t="n">
        <v>0.0108503472222222</v>
      </c>
      <c r="E841" s="15" t="n">
        <f aca="false">ROUND((D841-$D$5)*86400,2)</f>
        <v>147.73</v>
      </c>
      <c r="F841" s="17" t="n">
        <v>836</v>
      </c>
      <c r="G841" s="16" t="str">
        <f aca="false">IF(INDEX(選手一覧!$H$7:$H$2738,$F841)="","",INDEX(選手一覧!$H$7:$H$2738,$F841))</f>
        <v/>
      </c>
      <c r="H841" s="17" t="str">
        <f aca="false">IF(INDEX(選手一覧!$I$7:$I$2738,$F841)="","",INDEX(選手一覧!$I$7:$I$2738,$F841))</f>
        <v/>
      </c>
      <c r="I841" s="16" t="n">
        <f aca="false">IF(INDEX(選手一覧!$J$7:$J$2738,$F841)="","",INDEX(選手一覧!$J$7:$J$2738,$F841))</f>
        <v>0.00272280092592593</v>
      </c>
      <c r="J841" s="17" t="n">
        <f aca="false">IF(INDEX(選手一覧!$K$7:$K$2738,$F841)="","",INDEX(選手一覧!$K$7:$K$2738,$F841))</f>
        <v>53</v>
      </c>
    </row>
    <row r="842" customFormat="false" ht="15" hidden="false" customHeight="false" outlineLevel="0" collapsed="false">
      <c r="A842" s="17" t="n">
        <v>838</v>
      </c>
      <c r="B842" s="12" t="s">
        <v>1384</v>
      </c>
      <c r="C842" s="12" t="s">
        <v>1385</v>
      </c>
      <c r="D842" s="16" t="n">
        <v>0.010850462962963</v>
      </c>
      <c r="E842" s="15" t="n">
        <f aca="false">ROUND((D842-$D$5)*86400,2)</f>
        <v>147.74</v>
      </c>
      <c r="F842" s="17" t="n">
        <v>837</v>
      </c>
      <c r="G842" s="16" t="str">
        <f aca="false">IF(INDEX(選手一覧!$H$7:$H$2738,$F842)="","",INDEX(選手一覧!$H$7:$H$2738,$F842))</f>
        <v/>
      </c>
      <c r="H842" s="17" t="str">
        <f aca="false">IF(INDEX(選手一覧!$I$7:$I$2738,$F842)="","",INDEX(選手一覧!$I$7:$I$2738,$F842))</f>
        <v/>
      </c>
      <c r="I842" s="16" t="n">
        <f aca="false">IF(INDEX(選手一覧!$J$7:$J$2738,$F842)="","",INDEX(選手一覧!$J$7:$J$2738,$F842))</f>
        <v>0.00283553240740741</v>
      </c>
      <c r="J842" s="17" t="n">
        <f aca="false">IF(INDEX(選手一覧!$K$7:$K$2738,$F842)="","",INDEX(選手一覧!$K$7:$K$2738,$F842))</f>
        <v>466</v>
      </c>
    </row>
    <row r="843" customFormat="false" ht="15" hidden="false" customHeight="false" outlineLevel="0" collapsed="false">
      <c r="A843" s="17" t="n">
        <v>839</v>
      </c>
      <c r="B843" s="12" t="s">
        <v>1386</v>
      </c>
      <c r="C843" s="12" t="s">
        <v>417</v>
      </c>
      <c r="D843" s="16" t="n">
        <v>0.0108505787037037</v>
      </c>
      <c r="E843" s="15" t="n">
        <f aca="false">ROUND((D843-$D$5)*86400,2)</f>
        <v>147.75</v>
      </c>
      <c r="F843" s="17" t="n">
        <v>838</v>
      </c>
      <c r="G843" s="16" t="str">
        <f aca="false">IF(INDEX(選手一覧!$H$7:$H$2738,$F843)="","",INDEX(選手一覧!$H$7:$H$2738,$F843))</f>
        <v/>
      </c>
      <c r="H843" s="17" t="str">
        <f aca="false">IF(INDEX(選手一覧!$I$7:$I$2738,$F843)="","",INDEX(選手一覧!$I$7:$I$2738,$F843))</f>
        <v/>
      </c>
      <c r="I843" s="16" t="str">
        <f aca="false">IF(INDEX(選手一覧!$J$7:$J$2738,$F843)="","",INDEX(選手一覧!$J$7:$J$2738,$F843))</f>
        <v/>
      </c>
      <c r="J843" s="17" t="str">
        <f aca="false">IF(INDEX(選手一覧!$K$7:$K$2738,$F843)="","",INDEX(選手一覧!$K$7:$K$2738,$F843))</f>
        <v/>
      </c>
    </row>
    <row r="844" customFormat="false" ht="15" hidden="false" customHeight="false" outlineLevel="0" collapsed="false">
      <c r="A844" s="17" t="n">
        <v>840</v>
      </c>
      <c r="B844" s="12" t="s">
        <v>1387</v>
      </c>
      <c r="C844" s="12" t="s">
        <v>54</v>
      </c>
      <c r="D844" s="16" t="n">
        <v>0.0108520833333333</v>
      </c>
      <c r="E844" s="15" t="n">
        <f aca="false">ROUND((D844-$D$5)*86400,2)</f>
        <v>147.88</v>
      </c>
      <c r="F844" s="17" t="n">
        <v>839</v>
      </c>
      <c r="G844" s="16" t="n">
        <f aca="false">IF(INDEX(選手一覧!$H$7:$H$2738,$F844)="","",INDEX(選手一覧!$H$7:$H$2738,$F844))</f>
        <v>0.00699039351851852</v>
      </c>
      <c r="H844" s="17" t="n">
        <f aca="false">IF(INDEX(選手一覧!$I$7:$I$2738,$F844)="","",INDEX(選手一覧!$I$7:$I$2738,$F844))</f>
        <v>325</v>
      </c>
      <c r="I844" s="16" t="str">
        <f aca="false">IF(INDEX(選手一覧!$J$7:$J$2738,$F844)="","",INDEX(選手一覧!$J$7:$J$2738,$F844))</f>
        <v/>
      </c>
      <c r="J844" s="17" t="str">
        <f aca="false">IF(INDEX(選手一覧!$K$7:$K$2738,$F844)="","",INDEX(選手一覧!$K$7:$K$2738,$F844))</f>
        <v/>
      </c>
    </row>
    <row r="845" customFormat="false" ht="15" hidden="false" customHeight="false" outlineLevel="0" collapsed="false">
      <c r="A845" s="17" t="n">
        <v>841</v>
      </c>
      <c r="B845" s="12" t="s">
        <v>1388</v>
      </c>
      <c r="C845" s="12" t="s">
        <v>101</v>
      </c>
      <c r="D845" s="16" t="n">
        <v>0.0108525462962963</v>
      </c>
      <c r="E845" s="15" t="n">
        <f aca="false">ROUND((D845-$D$5)*86400,2)</f>
        <v>147.92</v>
      </c>
      <c r="F845" s="17" t="n">
        <v>840</v>
      </c>
      <c r="G845" s="16" t="str">
        <f aca="false">IF(INDEX(選手一覧!$H$7:$H$2738,$F845)="","",INDEX(選手一覧!$H$7:$H$2738,$F845))</f>
        <v/>
      </c>
      <c r="H845" s="17" t="str">
        <f aca="false">IF(INDEX(選手一覧!$I$7:$I$2738,$F845)="","",INDEX(選手一覧!$I$7:$I$2738,$F845))</f>
        <v/>
      </c>
      <c r="I845" s="16" t="str">
        <f aca="false">IF(INDEX(選手一覧!$J$7:$J$2738,$F845)="","",INDEX(選手一覧!$J$7:$J$2738,$F845))</f>
        <v/>
      </c>
      <c r="J845" s="17" t="str">
        <f aca="false">IF(INDEX(選手一覧!$K$7:$K$2738,$F845)="","",INDEX(選手一覧!$K$7:$K$2738,$F845))</f>
        <v/>
      </c>
    </row>
    <row r="846" customFormat="false" ht="15" hidden="false" customHeight="false" outlineLevel="0" collapsed="false">
      <c r="A846" s="17" t="n">
        <v>842</v>
      </c>
      <c r="B846" s="12" t="s">
        <v>1389</v>
      </c>
      <c r="C846" s="12" t="s">
        <v>401</v>
      </c>
      <c r="D846" s="16" t="n">
        <v>0.0108527777777778</v>
      </c>
      <c r="E846" s="15" t="n">
        <f aca="false">ROUND((D846-$D$5)*86400,2)</f>
        <v>147.94</v>
      </c>
      <c r="F846" s="17" t="n">
        <v>841</v>
      </c>
      <c r="G846" s="16" t="n">
        <f aca="false">IF(INDEX(選手一覧!$H$7:$H$2738,$F846)="","",INDEX(選手一覧!$H$7:$H$2738,$F846))</f>
        <v>0.0068</v>
      </c>
      <c r="H846" s="17" t="n">
        <f aca="false">IF(INDEX(選手一覧!$I$7:$I$2738,$F846)="","",INDEX(選手一覧!$I$7:$I$2738,$F846))</f>
        <v>170</v>
      </c>
      <c r="I846" s="16" t="str">
        <f aca="false">IF(INDEX(選手一覧!$J$7:$J$2738,$F846)="","",INDEX(選手一覧!$J$7:$J$2738,$F846))</f>
        <v/>
      </c>
      <c r="J846" s="17" t="str">
        <f aca="false">IF(INDEX(選手一覧!$K$7:$K$2738,$F846)="","",INDEX(選手一覧!$K$7:$K$2738,$F846))</f>
        <v/>
      </c>
    </row>
    <row r="847" customFormat="false" ht="15" hidden="false" customHeight="false" outlineLevel="0" collapsed="false">
      <c r="A847" s="17" t="n">
        <v>843</v>
      </c>
      <c r="B847" s="12" t="s">
        <v>1390</v>
      </c>
      <c r="C847" s="12" t="s">
        <v>444</v>
      </c>
      <c r="D847" s="16" t="n">
        <v>0.0108545138888889</v>
      </c>
      <c r="E847" s="15" t="n">
        <f aca="false">ROUND((D847-$D$5)*86400,2)</f>
        <v>148.09</v>
      </c>
      <c r="F847" s="17" t="n">
        <v>842</v>
      </c>
      <c r="G847" s="16" t="str">
        <f aca="false">IF(INDEX(選手一覧!$H$7:$H$2738,$F847)="","",INDEX(選手一覧!$H$7:$H$2738,$F847))</f>
        <v/>
      </c>
      <c r="H847" s="17" t="str">
        <f aca="false">IF(INDEX(選手一覧!$I$7:$I$2738,$F847)="","",INDEX(選手一覧!$I$7:$I$2738,$F847))</f>
        <v/>
      </c>
      <c r="I847" s="16" t="n">
        <f aca="false">IF(INDEX(選手一覧!$J$7:$J$2738,$F847)="","",INDEX(選手一覧!$J$7:$J$2738,$F847))</f>
        <v>0.00297523148148148</v>
      </c>
      <c r="J847" s="17" t="n">
        <f aca="false">IF(INDEX(選手一覧!$K$7:$K$2738,$F847)="","",INDEX(選手一覧!$K$7:$K$2738,$F847))</f>
        <v>1328</v>
      </c>
    </row>
    <row r="848" customFormat="false" ht="15" hidden="false" customHeight="false" outlineLevel="0" collapsed="false">
      <c r="A848" s="17" t="n">
        <v>844</v>
      </c>
      <c r="B848" s="12" t="s">
        <v>1391</v>
      </c>
      <c r="C848" s="12" t="s">
        <v>1392</v>
      </c>
      <c r="D848" s="16" t="n">
        <v>0.01085625</v>
      </c>
      <c r="E848" s="15" t="n">
        <f aca="false">ROUND((D848-$D$5)*86400,2)</f>
        <v>148.24</v>
      </c>
      <c r="F848" s="17" t="n">
        <v>843</v>
      </c>
      <c r="G848" s="16" t="n">
        <f aca="false">IF(INDEX(選手一覧!$H$7:$H$2738,$F848)="","",INDEX(選手一覧!$H$7:$H$2738,$F848))</f>
        <v>0.00656909722222222</v>
      </c>
      <c r="H848" s="17" t="n">
        <f aca="false">IF(INDEX(選手一覧!$I$7:$I$2738,$F848)="","",INDEX(選手一覧!$I$7:$I$2738,$F848))</f>
        <v>58</v>
      </c>
      <c r="I848" s="16" t="n">
        <f aca="false">IF(INDEX(選手一覧!$J$7:$J$2738,$F848)="","",INDEX(選手一覧!$J$7:$J$2738,$F848))</f>
        <v>0.00284525462962963</v>
      </c>
      <c r="J848" s="17" t="n">
        <f aca="false">IF(INDEX(選手一覧!$K$7:$K$2738,$F848)="","",INDEX(選手一覧!$K$7:$K$2738,$F848))</f>
        <v>538</v>
      </c>
    </row>
    <row r="849" customFormat="false" ht="15" hidden="false" customHeight="false" outlineLevel="0" collapsed="false">
      <c r="A849" s="17" t="n">
        <v>845</v>
      </c>
      <c r="B849" s="12" t="s">
        <v>1394</v>
      </c>
      <c r="C849" s="12" t="s">
        <v>1141</v>
      </c>
      <c r="D849" s="16" t="n">
        <v>0.0108568287037037</v>
      </c>
      <c r="E849" s="15" t="n">
        <f aca="false">ROUND((D849-$D$5)*86400,2)</f>
        <v>148.29</v>
      </c>
      <c r="F849" s="17" t="n">
        <v>844</v>
      </c>
      <c r="G849" s="16" t="n">
        <f aca="false">IF(INDEX(選手一覧!$H$7:$H$2738,$F849)="","",INDEX(選手一覧!$H$7:$H$2738,$F849))</f>
        <v>0.00676296296296296</v>
      </c>
      <c r="H849" s="17" t="n">
        <f aca="false">IF(INDEX(選手一覧!$I$7:$I$2738,$F849)="","",INDEX(選手一覧!$I$7:$I$2738,$F849))</f>
        <v>139</v>
      </c>
      <c r="I849" s="16" t="str">
        <f aca="false">IF(INDEX(選手一覧!$J$7:$J$2738,$F849)="","",INDEX(選手一覧!$J$7:$J$2738,$F849))</f>
        <v/>
      </c>
      <c r="J849" s="17" t="str">
        <f aca="false">IF(INDEX(選手一覧!$K$7:$K$2738,$F849)="","",INDEX(選手一覧!$K$7:$K$2738,$F849))</f>
        <v/>
      </c>
    </row>
    <row r="850" customFormat="false" ht="15" hidden="false" customHeight="false" outlineLevel="0" collapsed="false">
      <c r="A850" s="17" t="n">
        <v>846</v>
      </c>
      <c r="B850" s="12" t="s">
        <v>1395</v>
      </c>
      <c r="C850" s="12" t="s">
        <v>1396</v>
      </c>
      <c r="D850" s="16" t="n">
        <v>0.0108591435185185</v>
      </c>
      <c r="E850" s="15" t="n">
        <f aca="false">ROUND((D850-$D$5)*86400,2)</f>
        <v>148.49</v>
      </c>
      <c r="F850" s="17" t="n">
        <v>845</v>
      </c>
      <c r="G850" s="16" t="str">
        <f aca="false">IF(INDEX(選手一覧!$H$7:$H$2738,$F850)="","",INDEX(選手一覧!$H$7:$H$2738,$F850))</f>
        <v/>
      </c>
      <c r="H850" s="17" t="str">
        <f aca="false">IF(INDEX(選手一覧!$I$7:$I$2738,$F850)="","",INDEX(選手一覧!$I$7:$I$2738,$F850))</f>
        <v/>
      </c>
      <c r="I850" s="16" t="str">
        <f aca="false">IF(INDEX(選手一覧!$J$7:$J$2738,$F850)="","",INDEX(選手一覧!$J$7:$J$2738,$F850))</f>
        <v/>
      </c>
      <c r="J850" s="17" t="str">
        <f aca="false">IF(INDEX(選手一覧!$K$7:$K$2738,$F850)="","",INDEX(選手一覧!$K$7:$K$2738,$F850))</f>
        <v/>
      </c>
    </row>
    <row r="851" customFormat="false" ht="15" hidden="false" customHeight="false" outlineLevel="0" collapsed="false">
      <c r="A851" s="17" t="n">
        <v>847</v>
      </c>
      <c r="B851" s="12" t="s">
        <v>1398</v>
      </c>
      <c r="C851" s="12" t="s">
        <v>1399</v>
      </c>
      <c r="D851" s="16" t="n">
        <v>0.0108596064814815</v>
      </c>
      <c r="E851" s="15" t="n">
        <f aca="false">ROUND((D851-$D$5)*86400,2)</f>
        <v>148.53</v>
      </c>
      <c r="F851" s="17" t="n">
        <v>846</v>
      </c>
      <c r="G851" s="16" t="n">
        <f aca="false">IF(INDEX(選手一覧!$H$7:$H$2738,$F851)="","",INDEX(選手一覧!$H$7:$H$2738,$F851))</f>
        <v>0.00684479166666667</v>
      </c>
      <c r="H851" s="17" t="n">
        <f aca="false">IF(INDEX(選手一覧!$I$7:$I$2738,$F851)="","",INDEX(選手一覧!$I$7:$I$2738,$F851))</f>
        <v>200</v>
      </c>
      <c r="I851" s="16" t="n">
        <f aca="false">IF(INDEX(選手一覧!$J$7:$J$2738,$F851)="","",INDEX(選手一覧!$J$7:$J$2738,$F851))</f>
        <v>0.00286238425925926</v>
      </c>
      <c r="J851" s="17" t="n">
        <f aca="false">IF(INDEX(選手一覧!$K$7:$K$2738,$F851)="","",INDEX(選手一覧!$K$7:$K$2738,$F851))</f>
        <v>650</v>
      </c>
    </row>
    <row r="852" customFormat="false" ht="15" hidden="false" customHeight="false" outlineLevel="0" collapsed="false">
      <c r="A852" s="17" t="n">
        <v>848</v>
      </c>
      <c r="B852" s="12" t="s">
        <v>1401</v>
      </c>
      <c r="C852" s="12" t="s">
        <v>32</v>
      </c>
      <c r="D852" s="16" t="n">
        <v>0.0108597222222222</v>
      </c>
      <c r="E852" s="15" t="n">
        <f aca="false">ROUND((D852-$D$5)*86400,2)</f>
        <v>148.54</v>
      </c>
      <c r="F852" s="17" t="n">
        <v>847</v>
      </c>
      <c r="G852" s="16" t="str">
        <f aca="false">IF(INDEX(選手一覧!$H$7:$H$2738,$F852)="","",INDEX(選手一覧!$H$7:$H$2738,$F852))</f>
        <v/>
      </c>
      <c r="H852" s="17" t="str">
        <f aca="false">IF(INDEX(選手一覧!$I$7:$I$2738,$F852)="","",INDEX(選手一覧!$I$7:$I$2738,$F852))</f>
        <v/>
      </c>
      <c r="I852" s="16" t="str">
        <f aca="false">IF(INDEX(選手一覧!$J$7:$J$2738,$F852)="","",INDEX(選手一覧!$J$7:$J$2738,$F852))</f>
        <v/>
      </c>
      <c r="J852" s="17" t="str">
        <f aca="false">IF(INDEX(選手一覧!$K$7:$K$2738,$F852)="","",INDEX(選手一覧!$K$7:$K$2738,$F852))</f>
        <v/>
      </c>
    </row>
    <row r="853" customFormat="false" ht="15" hidden="false" customHeight="false" outlineLevel="0" collapsed="false">
      <c r="A853" s="17" t="n">
        <v>849</v>
      </c>
      <c r="B853" s="12" t="s">
        <v>1402</v>
      </c>
      <c r="C853" s="12" t="s">
        <v>127</v>
      </c>
      <c r="D853" s="16" t="n">
        <v>0.0108604166666667</v>
      </c>
      <c r="E853" s="15" t="n">
        <f aca="false">ROUND((D853-$D$5)*86400,2)</f>
        <v>148.6</v>
      </c>
      <c r="F853" s="17" t="n">
        <v>848</v>
      </c>
      <c r="G853" s="16" t="str">
        <f aca="false">IF(INDEX(選手一覧!$H$7:$H$2738,$F853)="","",INDEX(選手一覧!$H$7:$H$2738,$F853))</f>
        <v/>
      </c>
      <c r="H853" s="17" t="str">
        <f aca="false">IF(INDEX(選手一覧!$I$7:$I$2738,$F853)="","",INDEX(選手一覧!$I$7:$I$2738,$F853))</f>
        <v/>
      </c>
      <c r="I853" s="16" t="n">
        <f aca="false">IF(INDEX(選手一覧!$J$7:$J$2738,$F853)="","",INDEX(選手一覧!$J$7:$J$2738,$F853))</f>
        <v>0.0029125</v>
      </c>
      <c r="J853" s="17" t="n">
        <f aca="false">IF(INDEX(選手一覧!$K$7:$K$2738,$F853)="","",INDEX(選手一覧!$K$7:$K$2738,$F853))</f>
        <v>1040</v>
      </c>
    </row>
    <row r="854" customFormat="false" ht="15" hidden="false" customHeight="false" outlineLevel="0" collapsed="false">
      <c r="A854" s="17" t="n">
        <v>850</v>
      </c>
      <c r="B854" s="12" t="s">
        <v>1403</v>
      </c>
      <c r="C854" s="12" t="s">
        <v>214</v>
      </c>
      <c r="D854" s="16" t="n">
        <v>0.0108605324074074</v>
      </c>
      <c r="E854" s="15" t="n">
        <f aca="false">ROUND((D854-$D$5)*86400,2)</f>
        <v>148.61</v>
      </c>
      <c r="F854" s="17" t="n">
        <v>849</v>
      </c>
      <c r="G854" s="16" t="str">
        <f aca="false">IF(INDEX(選手一覧!$H$7:$H$2738,$F854)="","",INDEX(選手一覧!$H$7:$H$2738,$F854))</f>
        <v/>
      </c>
      <c r="H854" s="17" t="str">
        <f aca="false">IF(INDEX(選手一覧!$I$7:$I$2738,$F854)="","",INDEX(選手一覧!$I$7:$I$2738,$F854))</f>
        <v/>
      </c>
      <c r="I854" s="16" t="str">
        <f aca="false">IF(INDEX(選手一覧!$J$7:$J$2738,$F854)="","",INDEX(選手一覧!$J$7:$J$2738,$F854))</f>
        <v/>
      </c>
      <c r="J854" s="17" t="str">
        <f aca="false">IF(INDEX(選手一覧!$K$7:$K$2738,$F854)="","",INDEX(選手一覧!$K$7:$K$2738,$F854))</f>
        <v/>
      </c>
    </row>
    <row r="855" customFormat="false" ht="15" hidden="false" customHeight="false" outlineLevel="0" collapsed="false">
      <c r="A855" s="17" t="n">
        <v>851</v>
      </c>
      <c r="B855" s="12" t="s">
        <v>1404</v>
      </c>
      <c r="C855" s="12" t="s">
        <v>281</v>
      </c>
      <c r="D855" s="16" t="n">
        <v>0.0108612268518519</v>
      </c>
      <c r="E855" s="15" t="n">
        <f aca="false">ROUND((D855-$D$5)*86400,2)</f>
        <v>148.67</v>
      </c>
      <c r="F855" s="17" t="n">
        <v>850</v>
      </c>
      <c r="G855" s="16" t="str">
        <f aca="false">IF(INDEX(選手一覧!$H$7:$H$2738,$F855)="","",INDEX(選手一覧!$H$7:$H$2738,$F855))</f>
        <v/>
      </c>
      <c r="H855" s="17" t="str">
        <f aca="false">IF(INDEX(選手一覧!$I$7:$I$2738,$F855)="","",INDEX(選手一覧!$I$7:$I$2738,$F855))</f>
        <v/>
      </c>
      <c r="I855" s="16" t="n">
        <f aca="false">IF(INDEX(選手一覧!$J$7:$J$2738,$F855)="","",INDEX(選手一覧!$J$7:$J$2738,$F855))</f>
        <v>0.0029275462962963</v>
      </c>
      <c r="J855" s="17" t="n">
        <f aca="false">IF(INDEX(選手一覧!$K$7:$K$2738,$F855)="","",INDEX(選手一覧!$K$7:$K$2738,$F855))</f>
        <v>1166</v>
      </c>
    </row>
    <row r="856" customFormat="false" ht="15" hidden="false" customHeight="false" outlineLevel="0" collapsed="false">
      <c r="A856" s="17" t="n">
        <v>852</v>
      </c>
      <c r="B856" s="12" t="s">
        <v>1405</v>
      </c>
      <c r="C856" s="12" t="s">
        <v>698</v>
      </c>
      <c r="D856" s="16" t="n">
        <v>0.0108613425925926</v>
      </c>
      <c r="E856" s="15" t="n">
        <f aca="false">ROUND((D856-$D$5)*86400,2)</f>
        <v>148.68</v>
      </c>
      <c r="F856" s="17" t="n">
        <v>851</v>
      </c>
      <c r="G856" s="16" t="n">
        <f aca="false">IF(INDEX(選手一覧!$H$7:$H$2738,$F856)="","",INDEX(選手一覧!$H$7:$H$2738,$F856))</f>
        <v>0.00705833333333333</v>
      </c>
      <c r="H856" s="17" t="n">
        <f aca="false">IF(INDEX(選手一覧!$I$7:$I$2738,$F856)="","",INDEX(選手一覧!$I$7:$I$2738,$F856))</f>
        <v>399</v>
      </c>
      <c r="I856" s="16" t="n">
        <f aca="false">IF(INDEX(選手一覧!$J$7:$J$2738,$F856)="","",INDEX(選手一覧!$J$7:$J$2738,$F856))</f>
        <v>0.00287476851851852</v>
      </c>
      <c r="J856" s="17" t="n">
        <f aca="false">IF(INDEX(選手一覧!$K$7:$K$2738,$F856)="","",INDEX(選手一覧!$K$7:$K$2738,$F856))</f>
        <v>733</v>
      </c>
    </row>
    <row r="857" customFormat="false" ht="15" hidden="false" customHeight="false" outlineLevel="0" collapsed="false">
      <c r="A857" s="17" t="n">
        <v>853</v>
      </c>
      <c r="B857" s="12" t="s">
        <v>1407</v>
      </c>
      <c r="C857" s="12" t="s">
        <v>415</v>
      </c>
      <c r="D857" s="16" t="n">
        <v>0.0108614583333333</v>
      </c>
      <c r="E857" s="15" t="n">
        <f aca="false">ROUND((D857-$D$5)*86400,2)</f>
        <v>148.69</v>
      </c>
      <c r="F857" s="17" t="n">
        <v>852</v>
      </c>
      <c r="G857" s="16" t="n">
        <f aca="false">IF(INDEX(選手一覧!$H$7:$H$2738,$F857)="","",INDEX(選手一覧!$H$7:$H$2738,$F857))</f>
        <v>0.00685671296296296</v>
      </c>
      <c r="H857" s="17" t="n">
        <f aca="false">IF(INDEX(選手一覧!$I$7:$I$2738,$F857)="","",INDEX(選手一覧!$I$7:$I$2738,$F857))</f>
        <v>207</v>
      </c>
      <c r="I857" s="16" t="str">
        <f aca="false">IF(INDEX(選手一覧!$J$7:$J$2738,$F857)="","",INDEX(選手一覧!$J$7:$J$2738,$F857))</f>
        <v/>
      </c>
      <c r="J857" s="17" t="str">
        <f aca="false">IF(INDEX(選手一覧!$K$7:$K$2738,$F857)="","",INDEX(選手一覧!$K$7:$K$2738,$F857))</f>
        <v/>
      </c>
    </row>
    <row r="858" customFormat="false" ht="15" hidden="false" customHeight="false" outlineLevel="0" collapsed="false">
      <c r="A858" s="17" t="n">
        <v>854</v>
      </c>
      <c r="B858" s="12" t="s">
        <v>1408</v>
      </c>
      <c r="C858" s="12" t="s">
        <v>1409</v>
      </c>
      <c r="D858" s="16" t="n">
        <v>0.0108618055555556</v>
      </c>
      <c r="E858" s="15" t="n">
        <f aca="false">ROUND((D858-$D$5)*86400,2)</f>
        <v>148.72</v>
      </c>
      <c r="F858" s="17" t="n">
        <v>853</v>
      </c>
      <c r="G858" s="16" t="str">
        <f aca="false">IF(INDEX(選手一覧!$H$7:$H$2738,$F858)="","",INDEX(選手一覧!$H$7:$H$2738,$F858))</f>
        <v/>
      </c>
      <c r="H858" s="17" t="str">
        <f aca="false">IF(INDEX(選手一覧!$I$7:$I$2738,$F858)="","",INDEX(選手一覧!$I$7:$I$2738,$F858))</f>
        <v/>
      </c>
      <c r="I858" s="16" t="str">
        <f aca="false">IF(INDEX(選手一覧!$J$7:$J$2738,$F858)="","",INDEX(選手一覧!$J$7:$J$2738,$F858))</f>
        <v/>
      </c>
      <c r="J858" s="17" t="str">
        <f aca="false">IF(INDEX(選手一覧!$K$7:$K$2738,$F858)="","",INDEX(選手一覧!$K$7:$K$2738,$F858))</f>
        <v/>
      </c>
    </row>
    <row r="859" customFormat="false" ht="15" hidden="false" customHeight="false" outlineLevel="0" collapsed="false">
      <c r="A859" s="17" t="n">
        <v>855</v>
      </c>
      <c r="B859" s="12" t="s">
        <v>1410</v>
      </c>
      <c r="C859" s="12" t="s">
        <v>204</v>
      </c>
      <c r="D859" s="16" t="n">
        <v>0.0108622685185185</v>
      </c>
      <c r="E859" s="15" t="n">
        <f aca="false">ROUND((D859-$D$5)*86400,2)</f>
        <v>148.76</v>
      </c>
      <c r="F859" s="17" t="n">
        <v>854</v>
      </c>
      <c r="G859" s="16" t="str">
        <f aca="false">IF(INDEX(選手一覧!$H$7:$H$2738,$F859)="","",INDEX(選手一覧!$H$7:$H$2738,$F859))</f>
        <v/>
      </c>
      <c r="H859" s="17" t="str">
        <f aca="false">IF(INDEX(選手一覧!$I$7:$I$2738,$F859)="","",INDEX(選手一覧!$I$7:$I$2738,$F859))</f>
        <v/>
      </c>
      <c r="I859" s="16" t="n">
        <f aca="false">IF(INDEX(選手一覧!$J$7:$J$2738,$F859)="","",INDEX(選手一覧!$J$7:$J$2738,$F859))</f>
        <v>0.00283171296296296</v>
      </c>
      <c r="J859" s="17" t="n">
        <f aca="false">IF(INDEX(選手一覧!$K$7:$K$2738,$F859)="","",INDEX(選手一覧!$K$7:$K$2738,$F859))</f>
        <v>437</v>
      </c>
    </row>
    <row r="860" customFormat="false" ht="15" hidden="false" customHeight="false" outlineLevel="0" collapsed="false">
      <c r="A860" s="17" t="n">
        <v>856</v>
      </c>
      <c r="B860" s="12" t="s">
        <v>1411</v>
      </c>
      <c r="C860" s="12" t="s">
        <v>1412</v>
      </c>
      <c r="D860" s="16" t="n">
        <v>0.0108628472222222</v>
      </c>
      <c r="E860" s="15" t="n">
        <f aca="false">ROUND((D860-$D$5)*86400,2)</f>
        <v>148.81</v>
      </c>
      <c r="F860" s="17" t="n">
        <v>855</v>
      </c>
      <c r="G860" s="16" t="str">
        <f aca="false">IF(INDEX(選手一覧!$H$7:$H$2738,$F860)="","",INDEX(選手一覧!$H$7:$H$2738,$F860))</f>
        <v/>
      </c>
      <c r="H860" s="17" t="str">
        <f aca="false">IF(INDEX(選手一覧!$I$7:$I$2738,$F860)="","",INDEX(選手一覧!$I$7:$I$2738,$F860))</f>
        <v/>
      </c>
      <c r="I860" s="16" t="str">
        <f aca="false">IF(INDEX(選手一覧!$J$7:$J$2738,$F860)="","",INDEX(選手一覧!$J$7:$J$2738,$F860))</f>
        <v/>
      </c>
      <c r="J860" s="17" t="str">
        <f aca="false">IF(INDEX(選手一覧!$K$7:$K$2738,$F860)="","",INDEX(選手一覧!$K$7:$K$2738,$F860))</f>
        <v/>
      </c>
    </row>
    <row r="861" customFormat="false" ht="15" hidden="false" customHeight="false" outlineLevel="0" collapsed="false">
      <c r="A861" s="17" t="n">
        <v>857</v>
      </c>
      <c r="B861" s="12" t="s">
        <v>1413</v>
      </c>
      <c r="C861" s="12" t="s">
        <v>1049</v>
      </c>
      <c r="D861" s="16" t="n">
        <v>0.0108631944444444</v>
      </c>
      <c r="E861" s="15" t="n">
        <f aca="false">ROUND((D861-$D$5)*86400,2)</f>
        <v>148.84</v>
      </c>
      <c r="F861" s="17" t="n">
        <v>856</v>
      </c>
      <c r="G861" s="16" t="str">
        <f aca="false">IF(INDEX(選手一覧!$H$7:$H$2738,$F861)="","",INDEX(選手一覧!$H$7:$H$2738,$F861))</f>
        <v/>
      </c>
      <c r="H861" s="17" t="str">
        <f aca="false">IF(INDEX(選手一覧!$I$7:$I$2738,$F861)="","",INDEX(選手一覧!$I$7:$I$2738,$F861))</f>
        <v/>
      </c>
      <c r="I861" s="16" t="n">
        <f aca="false">IF(INDEX(選手一覧!$J$7:$J$2738,$F861)="","",INDEX(選手一覧!$J$7:$J$2738,$F861))</f>
        <v>0.00289189814814815</v>
      </c>
      <c r="J861" s="17" t="n">
        <f aca="false">IF(INDEX(選手一覧!$K$7:$K$2738,$F861)="","",INDEX(選手一覧!$K$7:$K$2738,$F861))</f>
        <v>886</v>
      </c>
    </row>
    <row r="862" customFormat="false" ht="15" hidden="false" customHeight="false" outlineLevel="0" collapsed="false">
      <c r="A862" s="17" t="n">
        <v>858</v>
      </c>
      <c r="B862" s="12" t="s">
        <v>1414</v>
      </c>
      <c r="C862" s="12" t="s">
        <v>1415</v>
      </c>
      <c r="D862" s="16" t="n">
        <v>0.0108633101851852</v>
      </c>
      <c r="E862" s="15" t="n">
        <f aca="false">ROUND((D862-$D$5)*86400,2)</f>
        <v>148.85</v>
      </c>
      <c r="F862" s="17" t="n">
        <v>857</v>
      </c>
      <c r="G862" s="16" t="str">
        <f aca="false">IF(INDEX(選手一覧!$H$7:$H$2738,$F862)="","",INDEX(選手一覧!$H$7:$H$2738,$F862))</f>
        <v/>
      </c>
      <c r="H862" s="17" t="str">
        <f aca="false">IF(INDEX(選手一覧!$I$7:$I$2738,$F862)="","",INDEX(選手一覧!$I$7:$I$2738,$F862))</f>
        <v/>
      </c>
      <c r="I862" s="16" t="n">
        <f aca="false">IF(INDEX(選手一覧!$J$7:$J$2738,$F862)="","",INDEX(選手一覧!$J$7:$J$2738,$F862))</f>
        <v>0.00289016203703704</v>
      </c>
      <c r="J862" s="17" t="n">
        <f aca="false">IF(INDEX(選手一覧!$K$7:$K$2738,$F862)="","",INDEX(選手一覧!$K$7:$K$2738,$F862))</f>
        <v>866</v>
      </c>
    </row>
    <row r="863" customFormat="false" ht="15" hidden="false" customHeight="false" outlineLevel="0" collapsed="false">
      <c r="A863" s="17" t="n">
        <v>859</v>
      </c>
      <c r="B863" s="12" t="s">
        <v>1417</v>
      </c>
      <c r="C863" s="12" t="s">
        <v>1418</v>
      </c>
      <c r="D863" s="16" t="n">
        <v>0.0108643518518519</v>
      </c>
      <c r="E863" s="15" t="n">
        <f aca="false">ROUND((D863-$D$5)*86400,2)</f>
        <v>148.94</v>
      </c>
      <c r="F863" s="17" t="n">
        <v>858</v>
      </c>
      <c r="G863" s="16" t="n">
        <f aca="false">IF(INDEX(選手一覧!$H$7:$H$2738,$F863)="","",INDEX(選手一覧!$H$7:$H$2738,$F863))</f>
        <v>0.00756539351851852</v>
      </c>
      <c r="H863" s="17" t="n">
        <f aca="false">IF(INDEX(選手一覧!$I$7:$I$2738,$F863)="","",INDEX(選手一覧!$I$7:$I$2738,$F863))</f>
        <v>971</v>
      </c>
      <c r="I863" s="16" t="n">
        <f aca="false">IF(INDEX(選手一覧!$J$7:$J$2738,$F863)="","",INDEX(選手一覧!$J$7:$J$2738,$F863))</f>
        <v>0.0028556712962963</v>
      </c>
      <c r="J863" s="17" t="n">
        <f aca="false">IF(INDEX(選手一覧!$K$7:$K$2738,$F863)="","",INDEX(選手一覧!$K$7:$K$2738,$F863))</f>
        <v>603</v>
      </c>
    </row>
    <row r="864" customFormat="false" ht="15" hidden="false" customHeight="false" outlineLevel="0" collapsed="false">
      <c r="A864" s="17" t="n">
        <v>860</v>
      </c>
      <c r="B864" s="12" t="s">
        <v>1419</v>
      </c>
      <c r="C864" s="12" t="s">
        <v>1420</v>
      </c>
      <c r="D864" s="16" t="n">
        <v>0.0108645833333333</v>
      </c>
      <c r="E864" s="15" t="n">
        <f aca="false">ROUND((D864-$D$5)*86400,2)</f>
        <v>148.96</v>
      </c>
      <c r="F864" s="17" t="n">
        <v>859</v>
      </c>
      <c r="G864" s="16" t="n">
        <f aca="false">IF(INDEX(選手一覧!$H$7:$H$2738,$F864)="","",INDEX(選手一覧!$H$7:$H$2738,$F864))</f>
        <v>0.00684953703703704</v>
      </c>
      <c r="H864" s="17" t="n">
        <f aca="false">IF(INDEX(選手一覧!$I$7:$I$2738,$F864)="","",INDEX(選手一覧!$I$7:$I$2738,$F864))</f>
        <v>203</v>
      </c>
      <c r="I864" s="16" t="n">
        <f aca="false">IF(INDEX(選手一覧!$J$7:$J$2738,$F864)="","",INDEX(選手一覧!$J$7:$J$2738,$F864))</f>
        <v>0.00284097222222222</v>
      </c>
      <c r="J864" s="17" t="n">
        <f aca="false">IF(INDEX(選手一覧!$K$7:$K$2738,$F864)="","",INDEX(選手一覧!$K$7:$K$2738,$F864))</f>
        <v>506</v>
      </c>
    </row>
    <row r="865" customFormat="false" ht="15" hidden="false" customHeight="false" outlineLevel="0" collapsed="false">
      <c r="A865" s="17" t="n">
        <v>861</v>
      </c>
      <c r="B865" s="12" t="s">
        <v>1421</v>
      </c>
      <c r="C865" s="12" t="s">
        <v>1310</v>
      </c>
      <c r="D865" s="16" t="n">
        <v>0.0108646990740741</v>
      </c>
      <c r="E865" s="15" t="n">
        <f aca="false">ROUND((D865-$D$5)*86400,2)</f>
        <v>148.97</v>
      </c>
      <c r="F865" s="17" t="n">
        <v>860</v>
      </c>
      <c r="G865" s="16" t="str">
        <f aca="false">IF(INDEX(選手一覧!$H$7:$H$2738,$F865)="","",INDEX(選手一覧!$H$7:$H$2738,$F865))</f>
        <v/>
      </c>
      <c r="H865" s="17" t="str">
        <f aca="false">IF(INDEX(選手一覧!$I$7:$I$2738,$F865)="","",INDEX(選手一覧!$I$7:$I$2738,$F865))</f>
        <v/>
      </c>
      <c r="I865" s="16" t="str">
        <f aca="false">IF(INDEX(選手一覧!$J$7:$J$2738,$F865)="","",INDEX(選手一覧!$J$7:$J$2738,$F865))</f>
        <v/>
      </c>
      <c r="J865" s="17" t="str">
        <f aca="false">IF(INDEX(選手一覧!$K$7:$K$2738,$F865)="","",INDEX(選手一覧!$K$7:$K$2738,$F865))</f>
        <v/>
      </c>
    </row>
    <row r="866" customFormat="false" ht="15" hidden="false" customHeight="false" outlineLevel="0" collapsed="false">
      <c r="A866" s="17" t="n">
        <v>862</v>
      </c>
      <c r="B866" s="12" t="s">
        <v>1422</v>
      </c>
      <c r="C866" s="12" t="s">
        <v>318</v>
      </c>
      <c r="D866" s="16" t="n">
        <v>0.0108652777777778</v>
      </c>
      <c r="E866" s="15" t="n">
        <f aca="false">ROUND((D866-$D$5)*86400,2)</f>
        <v>149.02</v>
      </c>
      <c r="F866" s="17" t="n">
        <v>861</v>
      </c>
      <c r="G866" s="16" t="str">
        <f aca="false">IF(INDEX(選手一覧!$H$7:$H$2738,$F866)="","",INDEX(選手一覧!$H$7:$H$2738,$F866))</f>
        <v/>
      </c>
      <c r="H866" s="17" t="str">
        <f aca="false">IF(INDEX(選手一覧!$I$7:$I$2738,$F866)="","",INDEX(選手一覧!$I$7:$I$2738,$F866))</f>
        <v/>
      </c>
      <c r="I866" s="16" t="str">
        <f aca="false">IF(INDEX(選手一覧!$J$7:$J$2738,$F866)="","",INDEX(選手一覧!$J$7:$J$2738,$F866))</f>
        <v/>
      </c>
      <c r="J866" s="17" t="str">
        <f aca="false">IF(INDEX(選手一覧!$K$7:$K$2738,$F866)="","",INDEX(選手一覧!$K$7:$K$2738,$F866))</f>
        <v/>
      </c>
    </row>
    <row r="867" customFormat="false" ht="15" hidden="false" customHeight="false" outlineLevel="0" collapsed="false">
      <c r="A867" s="17" t="n">
        <v>863</v>
      </c>
      <c r="B867" s="12" t="s">
        <v>1423</v>
      </c>
      <c r="C867" s="12" t="s">
        <v>434</v>
      </c>
      <c r="D867" s="16" t="n">
        <v>0.0108665509259259</v>
      </c>
      <c r="E867" s="15" t="n">
        <f aca="false">ROUND((D867-$D$5)*86400,2)</f>
        <v>149.13</v>
      </c>
      <c r="F867" s="17" t="n">
        <v>862</v>
      </c>
      <c r="G867" s="16" t="str">
        <f aca="false">IF(INDEX(選手一覧!$H$7:$H$2738,$F867)="","",INDEX(選手一覧!$H$7:$H$2738,$F867))</f>
        <v/>
      </c>
      <c r="H867" s="17" t="str">
        <f aca="false">IF(INDEX(選手一覧!$I$7:$I$2738,$F867)="","",INDEX(選手一覧!$I$7:$I$2738,$F867))</f>
        <v/>
      </c>
      <c r="I867" s="16" t="n">
        <f aca="false">IF(INDEX(選手一覧!$J$7:$J$2738,$F867)="","",INDEX(選手一覧!$J$7:$J$2738,$F867))</f>
        <v>0.002834375</v>
      </c>
      <c r="J867" s="17" t="n">
        <f aca="false">IF(INDEX(選手一覧!$K$7:$K$2738,$F867)="","",INDEX(選手一覧!$K$7:$K$2738,$F867))</f>
        <v>452</v>
      </c>
    </row>
    <row r="868" customFormat="false" ht="15" hidden="false" customHeight="false" outlineLevel="0" collapsed="false">
      <c r="A868" s="17" t="n">
        <v>864</v>
      </c>
      <c r="B868" s="12" t="s">
        <v>1425</v>
      </c>
      <c r="C868" s="12" t="s">
        <v>40</v>
      </c>
      <c r="D868" s="16" t="n">
        <v>0.0108673611111111</v>
      </c>
      <c r="E868" s="15" t="n">
        <f aca="false">ROUND((D868-$D$5)*86400,2)</f>
        <v>149.2</v>
      </c>
      <c r="F868" s="17" t="n">
        <v>863</v>
      </c>
      <c r="G868" s="16" t="str">
        <f aca="false">IF(INDEX(選手一覧!$H$7:$H$2738,$F868)="","",INDEX(選手一覧!$H$7:$H$2738,$F868))</f>
        <v/>
      </c>
      <c r="H868" s="17" t="str">
        <f aca="false">IF(INDEX(選手一覧!$I$7:$I$2738,$F868)="","",INDEX(選手一覧!$I$7:$I$2738,$F868))</f>
        <v/>
      </c>
      <c r="I868" s="16" t="str">
        <f aca="false">IF(INDEX(選手一覧!$J$7:$J$2738,$F868)="","",INDEX(選手一覧!$J$7:$J$2738,$F868))</f>
        <v/>
      </c>
      <c r="J868" s="17" t="str">
        <f aca="false">IF(INDEX(選手一覧!$K$7:$K$2738,$F868)="","",INDEX(選手一覧!$K$7:$K$2738,$F868))</f>
        <v/>
      </c>
    </row>
    <row r="869" customFormat="false" ht="15" hidden="false" customHeight="false" outlineLevel="0" collapsed="false">
      <c r="A869" s="17" t="n">
        <v>865</v>
      </c>
      <c r="B869" s="12" t="s">
        <v>1427</v>
      </c>
      <c r="C869" s="12" t="s">
        <v>157</v>
      </c>
      <c r="D869" s="16" t="n">
        <v>0.0108675925925926</v>
      </c>
      <c r="E869" s="15" t="n">
        <f aca="false">ROUND((D869-$D$5)*86400,2)</f>
        <v>149.22</v>
      </c>
      <c r="F869" s="17" t="n">
        <v>864</v>
      </c>
      <c r="G869" s="16" t="str">
        <f aca="false">IF(INDEX(選手一覧!$H$7:$H$2738,$F869)="","",INDEX(選手一覧!$H$7:$H$2738,$F869))</f>
        <v/>
      </c>
      <c r="H869" s="17" t="str">
        <f aca="false">IF(INDEX(選手一覧!$I$7:$I$2738,$F869)="","",INDEX(選手一覧!$I$7:$I$2738,$F869))</f>
        <v/>
      </c>
      <c r="I869" s="16" t="n">
        <f aca="false">IF(INDEX(選手一覧!$J$7:$J$2738,$F869)="","",INDEX(選手一覧!$J$7:$J$2738,$F869))</f>
        <v>0.00290486111111111</v>
      </c>
      <c r="J869" s="17" t="n">
        <f aca="false">IF(INDEX(選手一覧!$K$7:$K$2738,$F869)="","",INDEX(選手一覧!$K$7:$K$2738,$F869))</f>
        <v>982</v>
      </c>
    </row>
    <row r="870" customFormat="false" ht="15" hidden="false" customHeight="false" outlineLevel="0" collapsed="false">
      <c r="A870" s="17" t="n">
        <v>866</v>
      </c>
      <c r="B870" s="12" t="s">
        <v>1428</v>
      </c>
      <c r="C870" s="12" t="s">
        <v>1429</v>
      </c>
      <c r="D870" s="16" t="n">
        <v>0.0108675925925926</v>
      </c>
      <c r="E870" s="15" t="n">
        <f aca="false">ROUND((D870-$D$5)*86400,2)</f>
        <v>149.22</v>
      </c>
      <c r="F870" s="17" t="n">
        <v>865</v>
      </c>
      <c r="G870" s="16" t="str">
        <f aca="false">IF(INDEX(選手一覧!$H$7:$H$2738,$F870)="","",INDEX(選手一覧!$H$7:$H$2738,$F870))</f>
        <v/>
      </c>
      <c r="H870" s="17" t="str">
        <f aca="false">IF(INDEX(選手一覧!$I$7:$I$2738,$F870)="","",INDEX(選手一覧!$I$7:$I$2738,$F870))</f>
        <v/>
      </c>
      <c r="I870" s="16" t="n">
        <f aca="false">IF(INDEX(選手一覧!$J$7:$J$2738,$F870)="","",INDEX(選手一覧!$J$7:$J$2738,$F870))</f>
        <v>0.00278645833333333</v>
      </c>
      <c r="J870" s="17" t="n">
        <f aca="false">IF(INDEX(選手一覧!$K$7:$K$2738,$F870)="","",INDEX(選手一覧!$K$7:$K$2738,$F870))</f>
        <v>223</v>
      </c>
    </row>
    <row r="871" customFormat="false" ht="15" hidden="false" customHeight="false" outlineLevel="0" collapsed="false">
      <c r="A871" s="17" t="n">
        <v>867</v>
      </c>
      <c r="B871" s="12" t="s">
        <v>1430</v>
      </c>
      <c r="C871" s="12" t="s">
        <v>1431</v>
      </c>
      <c r="D871" s="16" t="n">
        <v>0.0108677083333333</v>
      </c>
      <c r="E871" s="15" t="n">
        <f aca="false">ROUND((D871-$D$5)*86400,2)</f>
        <v>149.23</v>
      </c>
      <c r="F871" s="17" t="n">
        <v>866</v>
      </c>
      <c r="G871" s="16" t="n">
        <f aca="false">IF(INDEX(選手一覧!$H$7:$H$2738,$F871)="","",INDEX(選手一覧!$H$7:$H$2738,$F871))</f>
        <v>0.00735300925925926</v>
      </c>
      <c r="H871" s="17" t="n">
        <f aca="false">IF(INDEX(選手一覧!$I$7:$I$2738,$F871)="","",INDEX(選手一覧!$I$7:$I$2738,$F871))</f>
        <v>714</v>
      </c>
      <c r="I871" s="16" t="n">
        <f aca="false">IF(INDEX(選手一覧!$J$7:$J$2738,$F871)="","",INDEX(選手一覧!$J$7:$J$2738,$F871))</f>
        <v>0.00290034722222222</v>
      </c>
      <c r="J871" s="17" t="n">
        <f aca="false">IF(INDEX(選手一覧!$K$7:$K$2738,$F871)="","",INDEX(選手一覧!$K$7:$K$2738,$F871))</f>
        <v>950</v>
      </c>
    </row>
    <row r="872" customFormat="false" ht="15" hidden="false" customHeight="false" outlineLevel="0" collapsed="false">
      <c r="A872" s="17" t="n">
        <v>868</v>
      </c>
      <c r="B872" s="12" t="s">
        <v>1432</v>
      </c>
      <c r="C872" s="12" t="s">
        <v>1433</v>
      </c>
      <c r="D872" s="16" t="n">
        <v>0.0108678240740741</v>
      </c>
      <c r="E872" s="15" t="n">
        <f aca="false">ROUND((D872-$D$5)*86400,2)</f>
        <v>149.24</v>
      </c>
      <c r="F872" s="17" t="n">
        <v>867</v>
      </c>
      <c r="G872" s="16" t="n">
        <f aca="false">IF(INDEX(選手一覧!$H$7:$H$2738,$F872)="","",INDEX(選手一覧!$H$7:$H$2738,$F872))</f>
        <v>0.00679560185185185</v>
      </c>
      <c r="H872" s="17" t="n">
        <f aca="false">IF(INDEX(選手一覧!$I$7:$I$2738,$F872)="","",INDEX(選手一覧!$I$7:$I$2738,$F872))</f>
        <v>167</v>
      </c>
      <c r="I872" s="16" t="str">
        <f aca="false">IF(INDEX(選手一覧!$J$7:$J$2738,$F872)="","",INDEX(選手一覧!$J$7:$J$2738,$F872))</f>
        <v/>
      </c>
      <c r="J872" s="17" t="str">
        <f aca="false">IF(INDEX(選手一覧!$K$7:$K$2738,$F872)="","",INDEX(選手一覧!$K$7:$K$2738,$F872))</f>
        <v/>
      </c>
    </row>
    <row r="873" customFormat="false" ht="15" hidden="false" customHeight="false" outlineLevel="0" collapsed="false">
      <c r="A873" s="17" t="n">
        <v>869</v>
      </c>
      <c r="B873" s="12" t="s">
        <v>1434</v>
      </c>
      <c r="C873" s="12" t="s">
        <v>478</v>
      </c>
      <c r="D873" s="16" t="n">
        <v>0.0108684027777778</v>
      </c>
      <c r="E873" s="15" t="n">
        <f aca="false">ROUND((D873-$D$5)*86400,2)</f>
        <v>149.29</v>
      </c>
      <c r="F873" s="17" t="n">
        <v>868</v>
      </c>
      <c r="G873" s="16" t="n">
        <f aca="false">IF(INDEX(選手一覧!$H$7:$H$2738,$F873)="","",INDEX(選手一覧!$H$7:$H$2738,$F873))</f>
        <v>0.00676365740740741</v>
      </c>
      <c r="H873" s="17" t="n">
        <f aca="false">IF(INDEX(選手一覧!$I$7:$I$2738,$F873)="","",INDEX(選手一覧!$I$7:$I$2738,$F873))</f>
        <v>140</v>
      </c>
      <c r="I873" s="16" t="str">
        <f aca="false">IF(INDEX(選手一覧!$J$7:$J$2738,$F873)="","",INDEX(選手一覧!$J$7:$J$2738,$F873))</f>
        <v/>
      </c>
      <c r="J873" s="17" t="str">
        <f aca="false">IF(INDEX(選手一覧!$K$7:$K$2738,$F873)="","",INDEX(選手一覧!$K$7:$K$2738,$F873))</f>
        <v/>
      </c>
    </row>
    <row r="874" customFormat="false" ht="15" hidden="false" customHeight="false" outlineLevel="0" collapsed="false">
      <c r="A874" s="17" t="n">
        <v>870</v>
      </c>
      <c r="B874" s="12" t="s">
        <v>1435</v>
      </c>
      <c r="C874" s="12" t="s">
        <v>266</v>
      </c>
      <c r="D874" s="16" t="n">
        <v>0.0108693287037037</v>
      </c>
      <c r="E874" s="15" t="n">
        <f aca="false">ROUND((D874-$D$5)*86400,2)</f>
        <v>149.37</v>
      </c>
      <c r="F874" s="17" t="n">
        <v>869</v>
      </c>
      <c r="G874" s="16" t="str">
        <f aca="false">IF(INDEX(選手一覧!$H$7:$H$2738,$F874)="","",INDEX(選手一覧!$H$7:$H$2738,$F874))</f>
        <v/>
      </c>
      <c r="H874" s="17" t="str">
        <f aca="false">IF(INDEX(選手一覧!$I$7:$I$2738,$F874)="","",INDEX(選手一覧!$I$7:$I$2738,$F874))</f>
        <v/>
      </c>
      <c r="I874" s="16" t="n">
        <f aca="false">IF(INDEX(選手一覧!$J$7:$J$2738,$F874)="","",INDEX(選手一覧!$J$7:$J$2738,$F874))</f>
        <v>0.00290625</v>
      </c>
      <c r="J874" s="17" t="n">
        <f aca="false">IF(INDEX(選手一覧!$K$7:$K$2738,$F874)="","",INDEX(選手一覧!$K$7:$K$2738,$F874))</f>
        <v>991</v>
      </c>
    </row>
    <row r="875" customFormat="false" ht="15" hidden="false" customHeight="false" outlineLevel="0" collapsed="false">
      <c r="A875" s="17" t="n">
        <v>871</v>
      </c>
      <c r="B875" s="12" t="s">
        <v>1437</v>
      </c>
      <c r="C875" s="12" t="s">
        <v>297</v>
      </c>
      <c r="D875" s="16" t="n">
        <v>0.0108703703703704</v>
      </c>
      <c r="E875" s="15" t="n">
        <f aca="false">ROUND((D875-$D$5)*86400,2)</f>
        <v>149.46</v>
      </c>
      <c r="F875" s="17" t="n">
        <v>870</v>
      </c>
      <c r="G875" s="16" t="str">
        <f aca="false">IF(INDEX(選手一覧!$H$7:$H$2738,$F875)="","",INDEX(選手一覧!$H$7:$H$2738,$F875))</f>
        <v/>
      </c>
      <c r="H875" s="17" t="str">
        <f aca="false">IF(INDEX(選手一覧!$I$7:$I$2738,$F875)="","",INDEX(選手一覧!$I$7:$I$2738,$F875))</f>
        <v/>
      </c>
      <c r="I875" s="16" t="n">
        <f aca="false">IF(INDEX(選手一覧!$J$7:$J$2738,$F875)="","",INDEX(選手一覧!$J$7:$J$2738,$F875))</f>
        <v>0.00287152777777778</v>
      </c>
      <c r="J875" s="17" t="n">
        <f aca="false">IF(INDEX(選手一覧!$K$7:$K$2738,$F875)="","",INDEX(選手一覧!$K$7:$K$2738,$F875))</f>
        <v>712</v>
      </c>
    </row>
    <row r="876" customFormat="false" ht="15" hidden="false" customHeight="false" outlineLevel="0" collapsed="false">
      <c r="A876" s="17" t="n">
        <v>872</v>
      </c>
      <c r="B876" s="12" t="s">
        <v>1439</v>
      </c>
      <c r="C876" s="12" t="s">
        <v>1141</v>
      </c>
      <c r="D876" s="16" t="n">
        <v>0.0108721064814815</v>
      </c>
      <c r="E876" s="15" t="n">
        <f aca="false">ROUND((D876-$D$5)*86400,2)</f>
        <v>149.61</v>
      </c>
      <c r="F876" s="17" t="n">
        <v>871</v>
      </c>
      <c r="G876" s="16" t="str">
        <f aca="false">IF(INDEX(選手一覧!$H$7:$H$2738,$F876)="","",INDEX(選手一覧!$H$7:$H$2738,$F876))</f>
        <v/>
      </c>
      <c r="H876" s="17" t="str">
        <f aca="false">IF(INDEX(選手一覧!$I$7:$I$2738,$F876)="","",INDEX(選手一覧!$I$7:$I$2738,$F876))</f>
        <v/>
      </c>
      <c r="I876" s="16" t="str">
        <f aca="false">IF(INDEX(選手一覧!$J$7:$J$2738,$F876)="","",INDEX(選手一覧!$J$7:$J$2738,$F876))</f>
        <v/>
      </c>
      <c r="J876" s="17" t="str">
        <f aca="false">IF(INDEX(選手一覧!$K$7:$K$2738,$F876)="","",INDEX(選手一覧!$K$7:$K$2738,$F876))</f>
        <v/>
      </c>
    </row>
    <row r="877" customFormat="false" ht="15" hidden="false" customHeight="false" outlineLevel="0" collapsed="false">
      <c r="A877" s="17" t="n">
        <v>873</v>
      </c>
      <c r="B877" s="12" t="s">
        <v>1440</v>
      </c>
      <c r="C877" s="12" t="s">
        <v>311</v>
      </c>
      <c r="D877" s="16" t="n">
        <v>0.0108726851851852</v>
      </c>
      <c r="E877" s="15" t="n">
        <f aca="false">ROUND((D877-$D$5)*86400,2)</f>
        <v>149.66</v>
      </c>
      <c r="F877" s="17" t="n">
        <v>872</v>
      </c>
      <c r="G877" s="16" t="str">
        <f aca="false">IF(INDEX(選手一覧!$H$7:$H$2738,$F877)="","",INDEX(選手一覧!$H$7:$H$2738,$F877))</f>
        <v/>
      </c>
      <c r="H877" s="17" t="str">
        <f aca="false">IF(INDEX(選手一覧!$I$7:$I$2738,$F877)="","",INDEX(選手一覧!$I$7:$I$2738,$F877))</f>
        <v/>
      </c>
      <c r="I877" s="16" t="n">
        <f aca="false">IF(INDEX(選手一覧!$J$7:$J$2738,$F877)="","",INDEX(選手一覧!$J$7:$J$2738,$F877))</f>
        <v>0.00288599537037037</v>
      </c>
      <c r="J877" s="17" t="n">
        <f aca="false">IF(INDEX(選手一覧!$K$7:$K$2738,$F877)="","",INDEX(選手一覧!$K$7:$K$2738,$F877))</f>
        <v>824</v>
      </c>
    </row>
    <row r="878" customFormat="false" ht="15" hidden="false" customHeight="false" outlineLevel="0" collapsed="false">
      <c r="A878" s="17" t="n">
        <v>874</v>
      </c>
      <c r="B878" s="12" t="s">
        <v>1441</v>
      </c>
      <c r="C878" s="12" t="s">
        <v>1348</v>
      </c>
      <c r="D878" s="16" t="n">
        <v>0.0108729166666667</v>
      </c>
      <c r="E878" s="15" t="n">
        <f aca="false">ROUND((D878-$D$5)*86400,2)</f>
        <v>149.68</v>
      </c>
      <c r="F878" s="17" t="n">
        <v>873</v>
      </c>
      <c r="G878" s="16" t="str">
        <f aca="false">IF(INDEX(選手一覧!$H$7:$H$2738,$F878)="","",INDEX(選手一覧!$H$7:$H$2738,$F878))</f>
        <v/>
      </c>
      <c r="H878" s="17" t="str">
        <f aca="false">IF(INDEX(選手一覧!$I$7:$I$2738,$F878)="","",INDEX(選手一覧!$I$7:$I$2738,$F878))</f>
        <v/>
      </c>
      <c r="I878" s="16" t="n">
        <f aca="false">IF(INDEX(選手一覧!$J$7:$J$2738,$F878)="","",INDEX(選手一覧!$J$7:$J$2738,$F878))</f>
        <v>0.00287164351851852</v>
      </c>
      <c r="J878" s="17" t="n">
        <f aca="false">IF(INDEX(選手一覧!$K$7:$K$2738,$F878)="","",INDEX(選手一覧!$K$7:$K$2738,$F878))</f>
        <v>713</v>
      </c>
    </row>
    <row r="879" customFormat="false" ht="15" hidden="false" customHeight="false" outlineLevel="0" collapsed="false">
      <c r="A879" s="17" t="n">
        <v>875</v>
      </c>
      <c r="B879" s="12" t="s">
        <v>1442</v>
      </c>
      <c r="C879" s="12" t="s">
        <v>401</v>
      </c>
      <c r="D879" s="16" t="n">
        <v>0.0108732638888889</v>
      </c>
      <c r="E879" s="15" t="n">
        <f aca="false">ROUND((D879-$D$5)*86400,2)</f>
        <v>149.71</v>
      </c>
      <c r="F879" s="17" t="n">
        <v>874</v>
      </c>
      <c r="G879" s="16" t="str">
        <f aca="false">IF(INDEX(選手一覧!$H$7:$H$2738,$F879)="","",INDEX(選手一覧!$H$7:$H$2738,$F879))</f>
        <v/>
      </c>
      <c r="H879" s="17" t="str">
        <f aca="false">IF(INDEX(選手一覧!$I$7:$I$2738,$F879)="","",INDEX(選手一覧!$I$7:$I$2738,$F879))</f>
        <v/>
      </c>
      <c r="I879" s="16" t="str">
        <f aca="false">IF(INDEX(選手一覧!$J$7:$J$2738,$F879)="","",INDEX(選手一覧!$J$7:$J$2738,$F879))</f>
        <v/>
      </c>
      <c r="J879" s="17" t="str">
        <f aca="false">IF(INDEX(選手一覧!$K$7:$K$2738,$F879)="","",INDEX(選手一覧!$K$7:$K$2738,$F879))</f>
        <v/>
      </c>
    </row>
    <row r="880" customFormat="false" ht="15" hidden="false" customHeight="false" outlineLevel="0" collapsed="false">
      <c r="A880" s="17" t="n">
        <v>876</v>
      </c>
      <c r="B880" s="12" t="s">
        <v>1443</v>
      </c>
      <c r="C880" s="12" t="s">
        <v>245</v>
      </c>
      <c r="D880" s="16" t="n">
        <v>0.0108732638888889</v>
      </c>
      <c r="E880" s="15" t="n">
        <f aca="false">ROUND((D880-$D$5)*86400,2)</f>
        <v>149.71</v>
      </c>
      <c r="F880" s="17" t="n">
        <v>875</v>
      </c>
      <c r="G880" s="16" t="str">
        <f aca="false">IF(INDEX(選手一覧!$H$7:$H$2738,$F880)="","",INDEX(選手一覧!$H$7:$H$2738,$F880))</f>
        <v/>
      </c>
      <c r="H880" s="17" t="str">
        <f aca="false">IF(INDEX(選手一覧!$I$7:$I$2738,$F880)="","",INDEX(選手一覧!$I$7:$I$2738,$F880))</f>
        <v/>
      </c>
      <c r="I880" s="16" t="n">
        <f aca="false">IF(INDEX(選手一覧!$J$7:$J$2738,$F880)="","",INDEX(選手一覧!$J$7:$J$2738,$F880))</f>
        <v>0.00290752314814815</v>
      </c>
      <c r="J880" s="17" t="n">
        <f aca="false">IF(INDEX(選手一覧!$K$7:$K$2738,$F880)="","",INDEX(選手一覧!$K$7:$K$2738,$F880))</f>
        <v>996</v>
      </c>
    </row>
    <row r="881" customFormat="false" ht="15" hidden="false" customHeight="false" outlineLevel="0" collapsed="false">
      <c r="A881" s="17" t="n">
        <v>877</v>
      </c>
      <c r="B881" s="12" t="s">
        <v>1444</v>
      </c>
      <c r="C881" s="12" t="s">
        <v>1445</v>
      </c>
      <c r="D881" s="16" t="n">
        <v>0.0108736111111111</v>
      </c>
      <c r="E881" s="15" t="n">
        <f aca="false">ROUND((D881-$D$5)*86400,2)</f>
        <v>149.74</v>
      </c>
      <c r="F881" s="17" t="n">
        <v>876</v>
      </c>
      <c r="G881" s="16" t="str">
        <f aca="false">IF(INDEX(選手一覧!$H$7:$H$2738,$F881)="","",INDEX(選手一覧!$H$7:$H$2738,$F881))</f>
        <v/>
      </c>
      <c r="H881" s="17" t="str">
        <f aca="false">IF(INDEX(選手一覧!$I$7:$I$2738,$F881)="","",INDEX(選手一覧!$I$7:$I$2738,$F881))</f>
        <v/>
      </c>
      <c r="I881" s="16" t="n">
        <f aca="false">IF(INDEX(選手一覧!$J$7:$J$2738,$F881)="","",INDEX(選手一覧!$J$7:$J$2738,$F881))</f>
        <v>0.00288483796296296</v>
      </c>
      <c r="J881" s="17" t="n">
        <f aca="false">IF(INDEX(選手一覧!$K$7:$K$2738,$F881)="","",INDEX(選手一覧!$K$7:$K$2738,$F881))</f>
        <v>815</v>
      </c>
    </row>
    <row r="882" customFormat="false" ht="15" hidden="false" customHeight="false" outlineLevel="0" collapsed="false">
      <c r="A882" s="17" t="n">
        <v>878</v>
      </c>
      <c r="B882" s="12" t="s">
        <v>1446</v>
      </c>
      <c r="C882" s="12" t="s">
        <v>707</v>
      </c>
      <c r="D882" s="16" t="n">
        <v>0.0108737268518519</v>
      </c>
      <c r="E882" s="15" t="n">
        <f aca="false">ROUND((D882-$D$5)*86400,2)</f>
        <v>149.75</v>
      </c>
      <c r="F882" s="17" t="n">
        <v>877</v>
      </c>
      <c r="G882" s="16" t="str">
        <f aca="false">IF(INDEX(選手一覧!$H$7:$H$2738,$F882)="","",INDEX(選手一覧!$H$7:$H$2738,$F882))</f>
        <v/>
      </c>
      <c r="H882" s="17" t="str">
        <f aca="false">IF(INDEX(選手一覧!$I$7:$I$2738,$F882)="","",INDEX(選手一覧!$I$7:$I$2738,$F882))</f>
        <v/>
      </c>
      <c r="I882" s="16" t="n">
        <f aca="false">IF(INDEX(選手一覧!$J$7:$J$2738,$F882)="","",INDEX(選手一覧!$J$7:$J$2738,$F882))</f>
        <v>0.00273611111111111</v>
      </c>
      <c r="J882" s="17" t="n">
        <f aca="false">IF(INDEX(選手一覧!$K$7:$K$2738,$F882)="","",INDEX(選手一覧!$K$7:$K$2738,$F882))</f>
        <v>76</v>
      </c>
    </row>
    <row r="883" customFormat="false" ht="15" hidden="false" customHeight="false" outlineLevel="0" collapsed="false">
      <c r="A883" s="17" t="n">
        <v>879</v>
      </c>
      <c r="B883" s="12" t="s">
        <v>1448</v>
      </c>
      <c r="C883" s="12" t="s">
        <v>1409</v>
      </c>
      <c r="D883" s="16" t="n">
        <v>0.0108739583333333</v>
      </c>
      <c r="E883" s="15" t="n">
        <f aca="false">ROUND((D883-$D$5)*86400,2)</f>
        <v>149.77</v>
      </c>
      <c r="F883" s="17" t="n">
        <v>878</v>
      </c>
      <c r="G883" s="16" t="str">
        <f aca="false">IF(INDEX(選手一覧!$H$7:$H$2738,$F883)="","",INDEX(選手一覧!$H$7:$H$2738,$F883))</f>
        <v/>
      </c>
      <c r="H883" s="17" t="str">
        <f aca="false">IF(INDEX(選手一覧!$I$7:$I$2738,$F883)="","",INDEX(選手一覧!$I$7:$I$2738,$F883))</f>
        <v/>
      </c>
      <c r="I883" s="16" t="str">
        <f aca="false">IF(INDEX(選手一覧!$J$7:$J$2738,$F883)="","",INDEX(選手一覧!$J$7:$J$2738,$F883))</f>
        <v/>
      </c>
      <c r="J883" s="17" t="str">
        <f aca="false">IF(INDEX(選手一覧!$K$7:$K$2738,$F883)="","",INDEX(選手一覧!$K$7:$K$2738,$F883))</f>
        <v/>
      </c>
    </row>
    <row r="884" customFormat="false" ht="15" hidden="false" customHeight="false" outlineLevel="0" collapsed="false">
      <c r="A884" s="17" t="n">
        <v>880</v>
      </c>
      <c r="B884" s="12" t="s">
        <v>1449</v>
      </c>
      <c r="C884" s="12" t="s">
        <v>1450</v>
      </c>
      <c r="D884" s="16" t="n">
        <v>0.0108746527777778</v>
      </c>
      <c r="E884" s="15" t="n">
        <f aca="false">ROUND((D884-$D$5)*86400,2)</f>
        <v>149.83</v>
      </c>
      <c r="F884" s="17" t="n">
        <v>879</v>
      </c>
      <c r="G884" s="16" t="str">
        <f aca="false">IF(INDEX(選手一覧!$H$7:$H$2738,$F884)="","",INDEX(選手一覧!$H$7:$H$2738,$F884))</f>
        <v/>
      </c>
      <c r="H884" s="17" t="str">
        <f aca="false">IF(INDEX(選手一覧!$I$7:$I$2738,$F884)="","",INDEX(選手一覧!$I$7:$I$2738,$F884))</f>
        <v/>
      </c>
      <c r="I884" s="16" t="n">
        <f aca="false">IF(INDEX(選手一覧!$J$7:$J$2738,$F884)="","",INDEX(選手一覧!$J$7:$J$2738,$F884))</f>
        <v>0.00290520833333333</v>
      </c>
      <c r="J884" s="17" t="n">
        <f aca="false">IF(INDEX(選手一覧!$K$7:$K$2738,$F884)="","",INDEX(選手一覧!$K$7:$K$2738,$F884))</f>
        <v>985</v>
      </c>
    </row>
    <row r="885" customFormat="false" ht="15" hidden="false" customHeight="false" outlineLevel="0" collapsed="false">
      <c r="A885" s="17" t="n">
        <v>881</v>
      </c>
      <c r="B885" s="12" t="s">
        <v>1452</v>
      </c>
      <c r="C885" s="12" t="s">
        <v>1453</v>
      </c>
      <c r="D885" s="16" t="n">
        <v>0.0108752314814815</v>
      </c>
      <c r="E885" s="15" t="n">
        <f aca="false">ROUND((D885-$D$5)*86400,2)</f>
        <v>149.88</v>
      </c>
      <c r="F885" s="17" t="n">
        <v>880</v>
      </c>
      <c r="G885" s="16" t="str">
        <f aca="false">IF(INDEX(選手一覧!$H$7:$H$2738,$F885)="","",INDEX(選手一覧!$H$7:$H$2738,$F885))</f>
        <v/>
      </c>
      <c r="H885" s="17" t="str">
        <f aca="false">IF(INDEX(選手一覧!$I$7:$I$2738,$F885)="","",INDEX(選手一覧!$I$7:$I$2738,$F885))</f>
        <v/>
      </c>
      <c r="I885" s="16" t="str">
        <f aca="false">IF(INDEX(選手一覧!$J$7:$J$2738,$F885)="","",INDEX(選手一覧!$J$7:$J$2738,$F885))</f>
        <v/>
      </c>
      <c r="J885" s="17" t="str">
        <f aca="false">IF(INDEX(選手一覧!$K$7:$K$2738,$F885)="","",INDEX(選手一覧!$K$7:$K$2738,$F885))</f>
        <v/>
      </c>
    </row>
    <row r="886" customFormat="false" ht="15" hidden="false" customHeight="false" outlineLevel="0" collapsed="false">
      <c r="A886" s="17" t="n">
        <v>882</v>
      </c>
      <c r="B886" s="12" t="s">
        <v>1454</v>
      </c>
      <c r="C886" s="12" t="s">
        <v>1455</v>
      </c>
      <c r="D886" s="16" t="n">
        <v>0.010875462962963</v>
      </c>
      <c r="E886" s="15" t="n">
        <f aca="false">ROUND((D886-$D$5)*86400,2)</f>
        <v>149.9</v>
      </c>
      <c r="F886" s="17" t="n">
        <v>881</v>
      </c>
      <c r="G886" s="16" t="n">
        <f aca="false">IF(INDEX(選手一覧!$H$7:$H$2738,$F886)="","",INDEX(選手一覧!$H$7:$H$2738,$F886))</f>
        <v>0.00731689814814815</v>
      </c>
      <c r="H886" s="17" t="n">
        <f aca="false">IF(INDEX(選手一覧!$I$7:$I$2738,$F886)="","",INDEX(選手一覧!$I$7:$I$2738,$F886))</f>
        <v>664</v>
      </c>
      <c r="I886" s="16" t="n">
        <f aca="false">IF(INDEX(選手一覧!$J$7:$J$2738,$F886)="","",INDEX(選手一覧!$J$7:$J$2738,$F886))</f>
        <v>0.00277581018518519</v>
      </c>
      <c r="J886" s="17" t="n">
        <f aca="false">IF(INDEX(選手一覧!$K$7:$K$2738,$F886)="","",INDEX(選手一覧!$K$7:$K$2738,$F886))</f>
        <v>179</v>
      </c>
    </row>
    <row r="887" customFormat="false" ht="15" hidden="false" customHeight="false" outlineLevel="0" collapsed="false">
      <c r="A887" s="17" t="n">
        <v>883</v>
      </c>
      <c r="B887" s="12" t="s">
        <v>1456</v>
      </c>
      <c r="C887" s="12" t="s">
        <v>32</v>
      </c>
      <c r="D887" s="16" t="n">
        <v>0.0108778935185185</v>
      </c>
      <c r="E887" s="15" t="n">
        <f aca="false">ROUND((D887-$D$5)*86400,2)</f>
        <v>150.11</v>
      </c>
      <c r="F887" s="17" t="n">
        <v>882</v>
      </c>
      <c r="G887" s="16" t="str">
        <f aca="false">IF(INDEX(選手一覧!$H$7:$H$2738,$F887)="","",INDEX(選手一覧!$H$7:$H$2738,$F887))</f>
        <v/>
      </c>
      <c r="H887" s="17" t="str">
        <f aca="false">IF(INDEX(選手一覧!$I$7:$I$2738,$F887)="","",INDEX(選手一覧!$I$7:$I$2738,$F887))</f>
        <v/>
      </c>
      <c r="I887" s="16" t="str">
        <f aca="false">IF(INDEX(選手一覧!$J$7:$J$2738,$F887)="","",INDEX(選手一覧!$J$7:$J$2738,$F887))</f>
        <v/>
      </c>
      <c r="J887" s="17" t="str">
        <f aca="false">IF(INDEX(選手一覧!$K$7:$K$2738,$F887)="","",INDEX(選手一覧!$K$7:$K$2738,$F887))</f>
        <v/>
      </c>
    </row>
    <row r="888" customFormat="false" ht="15" hidden="false" customHeight="false" outlineLevel="0" collapsed="false">
      <c r="A888" s="17" t="n">
        <v>884</v>
      </c>
      <c r="B888" s="12" t="s">
        <v>1457</v>
      </c>
      <c r="C888" s="12" t="s">
        <v>1458</v>
      </c>
      <c r="D888" s="16" t="n">
        <v>0.0108778935185185</v>
      </c>
      <c r="E888" s="15" t="n">
        <f aca="false">ROUND((D888-$D$5)*86400,2)</f>
        <v>150.11</v>
      </c>
      <c r="F888" s="17" t="n">
        <v>883</v>
      </c>
      <c r="G888" s="16" t="str">
        <f aca="false">IF(INDEX(選手一覧!$H$7:$H$2738,$F888)="","",INDEX(選手一覧!$H$7:$H$2738,$F888))</f>
        <v/>
      </c>
      <c r="H888" s="17" t="str">
        <f aca="false">IF(INDEX(選手一覧!$I$7:$I$2738,$F888)="","",INDEX(選手一覧!$I$7:$I$2738,$F888))</f>
        <v/>
      </c>
      <c r="I888" s="16" t="str">
        <f aca="false">IF(INDEX(選手一覧!$J$7:$J$2738,$F888)="","",INDEX(選手一覧!$J$7:$J$2738,$F888))</f>
        <v/>
      </c>
      <c r="J888" s="17" t="str">
        <f aca="false">IF(INDEX(選手一覧!$K$7:$K$2738,$F888)="","",INDEX(選手一覧!$K$7:$K$2738,$F888))</f>
        <v/>
      </c>
    </row>
    <row r="889" customFormat="false" ht="15" hidden="false" customHeight="false" outlineLevel="0" collapsed="false">
      <c r="A889" s="17" t="n">
        <v>885</v>
      </c>
      <c r="B889" s="12" t="s">
        <v>1459</v>
      </c>
      <c r="C889" s="12" t="s">
        <v>795</v>
      </c>
      <c r="D889" s="16" t="n">
        <v>0.0108788194444444</v>
      </c>
      <c r="E889" s="15" t="n">
        <f aca="false">ROUND((D889-$D$5)*86400,2)</f>
        <v>150.19</v>
      </c>
      <c r="F889" s="17" t="n">
        <v>884</v>
      </c>
      <c r="G889" s="16" t="str">
        <f aca="false">IF(INDEX(選手一覧!$H$7:$H$2738,$F889)="","",INDEX(選手一覧!$H$7:$H$2738,$F889))</f>
        <v/>
      </c>
      <c r="H889" s="17" t="str">
        <f aca="false">IF(INDEX(選手一覧!$I$7:$I$2738,$F889)="","",INDEX(選手一覧!$I$7:$I$2738,$F889))</f>
        <v/>
      </c>
      <c r="I889" s="16" t="n">
        <f aca="false">IF(INDEX(選手一覧!$J$7:$J$2738,$F889)="","",INDEX(選手一覧!$J$7:$J$2738,$F889))</f>
        <v>0.00287141203703704</v>
      </c>
      <c r="J889" s="17" t="n">
        <f aca="false">IF(INDEX(選手一覧!$K$7:$K$2738,$F889)="","",INDEX(選手一覧!$K$7:$K$2738,$F889))</f>
        <v>711</v>
      </c>
    </row>
    <row r="890" customFormat="false" ht="15" hidden="false" customHeight="false" outlineLevel="0" collapsed="false">
      <c r="A890" s="17" t="n">
        <v>886</v>
      </c>
      <c r="B890" s="12" t="s">
        <v>1460</v>
      </c>
      <c r="C890" s="12" t="s">
        <v>1461</v>
      </c>
      <c r="D890" s="16" t="n">
        <v>0.0108791666666667</v>
      </c>
      <c r="E890" s="15" t="n">
        <f aca="false">ROUND((D890-$D$5)*86400,2)</f>
        <v>150.22</v>
      </c>
      <c r="F890" s="17" t="n">
        <v>885</v>
      </c>
      <c r="G890" s="16" t="str">
        <f aca="false">IF(INDEX(選手一覧!$H$7:$H$2738,$F890)="","",INDEX(選手一覧!$H$7:$H$2738,$F890))</f>
        <v/>
      </c>
      <c r="H890" s="17" t="str">
        <f aca="false">IF(INDEX(選手一覧!$I$7:$I$2738,$F890)="","",INDEX(選手一覧!$I$7:$I$2738,$F890))</f>
        <v/>
      </c>
      <c r="I890" s="16" t="n">
        <f aca="false">IF(INDEX(選手一覧!$J$7:$J$2738,$F890)="","",INDEX(選手一覧!$J$7:$J$2738,$F890))</f>
        <v>0.00287986111111111</v>
      </c>
      <c r="J890" s="17" t="n">
        <f aca="false">IF(INDEX(選手一覧!$K$7:$K$2738,$F890)="","",INDEX(選手一覧!$K$7:$K$2738,$F890))</f>
        <v>771</v>
      </c>
    </row>
    <row r="891" customFormat="false" ht="15" hidden="false" customHeight="false" outlineLevel="0" collapsed="false">
      <c r="A891" s="17" t="n">
        <v>887</v>
      </c>
      <c r="B891" s="12" t="s">
        <v>1462</v>
      </c>
      <c r="C891" s="12" t="s">
        <v>1463</v>
      </c>
      <c r="D891" s="16" t="n">
        <v>0.0108793981481482</v>
      </c>
      <c r="E891" s="15" t="n">
        <f aca="false">ROUND((D891-$D$5)*86400,2)</f>
        <v>150.24</v>
      </c>
      <c r="F891" s="17" t="n">
        <v>886</v>
      </c>
      <c r="G891" s="16" t="n">
        <f aca="false">IF(INDEX(選手一覧!$H$7:$H$2738,$F891)="","",INDEX(選手一覧!$H$7:$H$2738,$F891))</f>
        <v>0.00704988425925926</v>
      </c>
      <c r="H891" s="17" t="n">
        <f aca="false">IF(INDEX(選手一覧!$I$7:$I$2738,$F891)="","",INDEX(選手一覧!$I$7:$I$2738,$F891))</f>
        <v>389</v>
      </c>
      <c r="I891" s="16" t="str">
        <f aca="false">IF(INDEX(選手一覧!$J$7:$J$2738,$F891)="","",INDEX(選手一覧!$J$7:$J$2738,$F891))</f>
        <v/>
      </c>
      <c r="J891" s="17" t="str">
        <f aca="false">IF(INDEX(選手一覧!$K$7:$K$2738,$F891)="","",INDEX(選手一覧!$K$7:$K$2738,$F891))</f>
        <v/>
      </c>
    </row>
    <row r="892" customFormat="false" ht="15" hidden="false" customHeight="false" outlineLevel="0" collapsed="false">
      <c r="A892" s="17" t="n">
        <v>888</v>
      </c>
      <c r="B892" s="12" t="s">
        <v>1464</v>
      </c>
      <c r="C892" s="12" t="s">
        <v>1465</v>
      </c>
      <c r="D892" s="16" t="n">
        <v>0.0108798611111111</v>
      </c>
      <c r="E892" s="15" t="n">
        <f aca="false">ROUND((D892-$D$5)*86400,2)</f>
        <v>150.28</v>
      </c>
      <c r="F892" s="17" t="n">
        <v>887</v>
      </c>
      <c r="G892" s="16" t="str">
        <f aca="false">IF(INDEX(選手一覧!$H$7:$H$2738,$F892)="","",INDEX(選手一覧!$H$7:$H$2738,$F892))</f>
        <v/>
      </c>
      <c r="H892" s="17" t="str">
        <f aca="false">IF(INDEX(選手一覧!$I$7:$I$2738,$F892)="","",INDEX(選手一覧!$I$7:$I$2738,$F892))</f>
        <v/>
      </c>
      <c r="I892" s="16" t="str">
        <f aca="false">IF(INDEX(選手一覧!$J$7:$J$2738,$F892)="","",INDEX(選手一覧!$J$7:$J$2738,$F892))</f>
        <v/>
      </c>
      <c r="J892" s="17" t="str">
        <f aca="false">IF(INDEX(選手一覧!$K$7:$K$2738,$F892)="","",INDEX(選手一覧!$K$7:$K$2738,$F892))</f>
        <v/>
      </c>
    </row>
    <row r="893" customFormat="false" ht="15" hidden="false" customHeight="false" outlineLevel="0" collapsed="false">
      <c r="A893" s="17" t="n">
        <v>889</v>
      </c>
      <c r="B893" s="12" t="s">
        <v>1466</v>
      </c>
      <c r="C893" s="12" t="s">
        <v>629</v>
      </c>
      <c r="D893" s="16" t="n">
        <v>0.0108800925925926</v>
      </c>
      <c r="E893" s="15" t="n">
        <f aca="false">ROUND((D893-$D$5)*86400,2)</f>
        <v>150.3</v>
      </c>
      <c r="F893" s="17" t="n">
        <v>888</v>
      </c>
      <c r="G893" s="16" t="str">
        <f aca="false">IF(INDEX(選手一覧!$H$7:$H$2738,$F893)="","",INDEX(選手一覧!$H$7:$H$2738,$F893))</f>
        <v/>
      </c>
      <c r="H893" s="17" t="str">
        <f aca="false">IF(INDEX(選手一覧!$I$7:$I$2738,$F893)="","",INDEX(選手一覧!$I$7:$I$2738,$F893))</f>
        <v/>
      </c>
      <c r="I893" s="16" t="str">
        <f aca="false">IF(INDEX(選手一覧!$J$7:$J$2738,$F893)="","",INDEX(選手一覧!$J$7:$J$2738,$F893))</f>
        <v/>
      </c>
      <c r="J893" s="17" t="str">
        <f aca="false">IF(INDEX(選手一覧!$K$7:$K$2738,$F893)="","",INDEX(選手一覧!$K$7:$K$2738,$F893))</f>
        <v/>
      </c>
    </row>
    <row r="894" customFormat="false" ht="15" hidden="false" customHeight="false" outlineLevel="0" collapsed="false">
      <c r="A894" s="17" t="n">
        <v>890</v>
      </c>
      <c r="B894" s="12" t="s">
        <v>1467</v>
      </c>
      <c r="C894" s="12" t="s">
        <v>127</v>
      </c>
      <c r="D894" s="16" t="n">
        <v>0.0108803240740741</v>
      </c>
      <c r="E894" s="15" t="n">
        <f aca="false">ROUND((D894-$D$5)*86400,2)</f>
        <v>150.32</v>
      </c>
      <c r="F894" s="17" t="n">
        <v>889</v>
      </c>
      <c r="G894" s="16" t="str">
        <f aca="false">IF(INDEX(選手一覧!$H$7:$H$2738,$F894)="","",INDEX(選手一覧!$H$7:$H$2738,$F894))</f>
        <v/>
      </c>
      <c r="H894" s="17" t="str">
        <f aca="false">IF(INDEX(選手一覧!$I$7:$I$2738,$F894)="","",INDEX(選手一覧!$I$7:$I$2738,$F894))</f>
        <v/>
      </c>
      <c r="I894" s="16" t="str">
        <f aca="false">IF(INDEX(選手一覧!$J$7:$J$2738,$F894)="","",INDEX(選手一覧!$J$7:$J$2738,$F894))</f>
        <v/>
      </c>
      <c r="J894" s="17" t="str">
        <f aca="false">IF(INDEX(選手一覧!$K$7:$K$2738,$F894)="","",INDEX(選手一覧!$K$7:$K$2738,$F894))</f>
        <v/>
      </c>
    </row>
    <row r="895" customFormat="false" ht="15" hidden="false" customHeight="false" outlineLevel="0" collapsed="false">
      <c r="A895" s="17" t="n">
        <v>891</v>
      </c>
      <c r="B895" s="12" t="s">
        <v>1468</v>
      </c>
      <c r="C895" s="12" t="s">
        <v>1469</v>
      </c>
      <c r="D895" s="16" t="n">
        <v>0.0108811342592593</v>
      </c>
      <c r="E895" s="15" t="n">
        <f aca="false">ROUND((D895-$D$5)*86400,2)</f>
        <v>150.39</v>
      </c>
      <c r="F895" s="17" t="n">
        <v>890</v>
      </c>
      <c r="G895" s="16" t="str">
        <f aca="false">IF(INDEX(選手一覧!$H$7:$H$2738,$F895)="","",INDEX(選手一覧!$H$7:$H$2738,$F895))</f>
        <v/>
      </c>
      <c r="H895" s="17" t="str">
        <f aca="false">IF(INDEX(選手一覧!$I$7:$I$2738,$F895)="","",INDEX(選手一覧!$I$7:$I$2738,$F895))</f>
        <v/>
      </c>
      <c r="I895" s="16" t="n">
        <f aca="false">IF(INDEX(選手一覧!$J$7:$J$2738,$F895)="","",INDEX(選手一覧!$J$7:$J$2738,$F895))</f>
        <v>0.00283472222222222</v>
      </c>
      <c r="J895" s="17" t="n">
        <f aca="false">IF(INDEX(選手一覧!$K$7:$K$2738,$F895)="","",INDEX(選手一覧!$K$7:$K$2738,$F895))</f>
        <v>457</v>
      </c>
    </row>
    <row r="896" customFormat="false" ht="15" hidden="false" customHeight="false" outlineLevel="0" collapsed="false">
      <c r="A896" s="17" t="n">
        <v>892</v>
      </c>
      <c r="B896" s="12" t="s">
        <v>1470</v>
      </c>
      <c r="C896" s="12" t="s">
        <v>67</v>
      </c>
      <c r="D896" s="16" t="n">
        <v>0.01088125</v>
      </c>
      <c r="E896" s="15" t="n">
        <f aca="false">ROUND((D896-$D$5)*86400,2)</f>
        <v>150.4</v>
      </c>
      <c r="F896" s="17" t="n">
        <v>891</v>
      </c>
      <c r="G896" s="16" t="str">
        <f aca="false">IF(INDEX(選手一覧!$H$7:$H$2738,$F896)="","",INDEX(選手一覧!$H$7:$H$2738,$F896))</f>
        <v/>
      </c>
      <c r="H896" s="17" t="str">
        <f aca="false">IF(INDEX(選手一覧!$I$7:$I$2738,$F896)="","",INDEX(選手一覧!$I$7:$I$2738,$F896))</f>
        <v/>
      </c>
      <c r="I896" s="16" t="n">
        <f aca="false">IF(INDEX(選手一覧!$J$7:$J$2738,$F896)="","",INDEX(選手一覧!$J$7:$J$2738,$F896))</f>
        <v>0.00290358796296296</v>
      </c>
      <c r="J896" s="17" t="n">
        <f aca="false">IF(INDEX(選手一覧!$K$7:$K$2738,$F896)="","",INDEX(選手一覧!$K$7:$K$2738,$F896))</f>
        <v>976</v>
      </c>
    </row>
    <row r="897" customFormat="false" ht="15" hidden="false" customHeight="false" outlineLevel="0" collapsed="false">
      <c r="A897" s="17" t="n">
        <v>893</v>
      </c>
      <c r="B897" s="12" t="s">
        <v>1471</v>
      </c>
      <c r="C897" s="12" t="s">
        <v>1199</v>
      </c>
      <c r="D897" s="16" t="n">
        <v>0.0108825231481482</v>
      </c>
      <c r="E897" s="15" t="n">
        <f aca="false">ROUND((D897-$D$5)*86400,2)</f>
        <v>150.51</v>
      </c>
      <c r="F897" s="17" t="n">
        <v>892</v>
      </c>
      <c r="G897" s="16" t="str">
        <f aca="false">IF(INDEX(選手一覧!$H$7:$H$2738,$F897)="","",INDEX(選手一覧!$H$7:$H$2738,$F897))</f>
        <v/>
      </c>
      <c r="H897" s="17" t="str">
        <f aca="false">IF(INDEX(選手一覧!$I$7:$I$2738,$F897)="","",INDEX(選手一覧!$I$7:$I$2738,$F897))</f>
        <v/>
      </c>
      <c r="I897" s="16" t="str">
        <f aca="false">IF(INDEX(選手一覧!$J$7:$J$2738,$F897)="","",INDEX(選手一覧!$J$7:$J$2738,$F897))</f>
        <v/>
      </c>
      <c r="J897" s="17" t="str">
        <f aca="false">IF(INDEX(選手一覧!$K$7:$K$2738,$F897)="","",INDEX(選手一覧!$K$7:$K$2738,$F897))</f>
        <v/>
      </c>
    </row>
    <row r="898" customFormat="false" ht="15" hidden="false" customHeight="false" outlineLevel="0" collapsed="false">
      <c r="A898" s="17" t="n">
        <v>894</v>
      </c>
      <c r="B898" s="12" t="s">
        <v>1472</v>
      </c>
      <c r="C898" s="12" t="s">
        <v>32</v>
      </c>
      <c r="D898" s="16" t="n">
        <v>0.0108827546296296</v>
      </c>
      <c r="E898" s="15" t="n">
        <f aca="false">ROUND((D898-$D$5)*86400,2)</f>
        <v>150.53</v>
      </c>
      <c r="F898" s="17" t="n">
        <v>893</v>
      </c>
      <c r="G898" s="16" t="str">
        <f aca="false">IF(INDEX(選手一覧!$H$7:$H$2738,$F898)="","",INDEX(選手一覧!$H$7:$H$2738,$F898))</f>
        <v/>
      </c>
      <c r="H898" s="17" t="str">
        <f aca="false">IF(INDEX(選手一覧!$I$7:$I$2738,$F898)="","",INDEX(選手一覧!$I$7:$I$2738,$F898))</f>
        <v/>
      </c>
      <c r="I898" s="16" t="n">
        <f aca="false">IF(INDEX(選手一覧!$J$7:$J$2738,$F898)="","",INDEX(選手一覧!$J$7:$J$2738,$F898))</f>
        <v>0.00284027777777778</v>
      </c>
      <c r="J898" s="17" t="n">
        <f aca="false">IF(INDEX(選手一覧!$K$7:$K$2738,$F898)="","",INDEX(選手一覧!$K$7:$K$2738,$F898))</f>
        <v>500</v>
      </c>
    </row>
    <row r="899" customFormat="false" ht="15" hidden="false" customHeight="false" outlineLevel="0" collapsed="false">
      <c r="A899" s="17" t="n">
        <v>895</v>
      </c>
      <c r="B899" s="12" t="s">
        <v>1473</v>
      </c>
      <c r="C899" s="12" t="s">
        <v>143</v>
      </c>
      <c r="D899" s="16" t="n">
        <v>0.0108827546296296</v>
      </c>
      <c r="E899" s="15" t="n">
        <f aca="false">ROUND((D899-$D$5)*86400,2)</f>
        <v>150.53</v>
      </c>
      <c r="F899" s="17" t="n">
        <v>894</v>
      </c>
      <c r="G899" s="16" t="str">
        <f aca="false">IF(INDEX(選手一覧!$H$7:$H$2738,$F899)="","",INDEX(選手一覧!$H$7:$H$2738,$F899))</f>
        <v/>
      </c>
      <c r="H899" s="17" t="str">
        <f aca="false">IF(INDEX(選手一覧!$I$7:$I$2738,$F899)="","",INDEX(選手一覧!$I$7:$I$2738,$F899))</f>
        <v/>
      </c>
      <c r="I899" s="16" t="str">
        <f aca="false">IF(INDEX(選手一覧!$J$7:$J$2738,$F899)="","",INDEX(選手一覧!$J$7:$J$2738,$F899))</f>
        <v/>
      </c>
      <c r="J899" s="17" t="str">
        <f aca="false">IF(INDEX(選手一覧!$K$7:$K$2738,$F899)="","",INDEX(選手一覧!$K$7:$K$2738,$F899))</f>
        <v/>
      </c>
    </row>
    <row r="900" customFormat="false" ht="15" hidden="false" customHeight="false" outlineLevel="0" collapsed="false">
      <c r="A900" s="17" t="n">
        <v>896</v>
      </c>
      <c r="B900" s="12" t="s">
        <v>1474</v>
      </c>
      <c r="C900" s="12" t="s">
        <v>1315</v>
      </c>
      <c r="D900" s="16" t="n">
        <v>0.0108831018518519</v>
      </c>
      <c r="E900" s="15" t="n">
        <f aca="false">ROUND((D900-$D$5)*86400,2)</f>
        <v>150.56</v>
      </c>
      <c r="F900" s="17" t="n">
        <v>895</v>
      </c>
      <c r="G900" s="16" t="str">
        <f aca="false">IF(INDEX(選手一覧!$H$7:$H$2738,$F900)="","",INDEX(選手一覧!$H$7:$H$2738,$F900))</f>
        <v/>
      </c>
      <c r="H900" s="17" t="str">
        <f aca="false">IF(INDEX(選手一覧!$I$7:$I$2738,$F900)="","",INDEX(選手一覧!$I$7:$I$2738,$F900))</f>
        <v/>
      </c>
      <c r="I900" s="16" t="n">
        <f aca="false">IF(INDEX(選手一覧!$J$7:$J$2738,$F900)="","",INDEX(選手一覧!$J$7:$J$2738,$F900))</f>
        <v>0.0029318287037037</v>
      </c>
      <c r="J900" s="17" t="n">
        <f aca="false">IF(INDEX(選手一覧!$K$7:$K$2738,$F900)="","",INDEX(選手一覧!$K$7:$K$2738,$F900))</f>
        <v>1178</v>
      </c>
    </row>
    <row r="901" customFormat="false" ht="15" hidden="false" customHeight="false" outlineLevel="0" collapsed="false">
      <c r="A901" s="17" t="n">
        <v>897</v>
      </c>
      <c r="B901" s="12" t="s">
        <v>1475</v>
      </c>
      <c r="C901" s="12" t="s">
        <v>1476</v>
      </c>
      <c r="D901" s="16" t="n">
        <v>0.0108834490740741</v>
      </c>
      <c r="E901" s="15" t="n">
        <f aca="false">ROUND((D901-$D$5)*86400,2)</f>
        <v>150.59</v>
      </c>
      <c r="F901" s="17" t="n">
        <v>896</v>
      </c>
      <c r="G901" s="16" t="str">
        <f aca="false">IF(INDEX(選手一覧!$H$7:$H$2738,$F901)="","",INDEX(選手一覧!$H$7:$H$2738,$F901))</f>
        <v/>
      </c>
      <c r="H901" s="17" t="str">
        <f aca="false">IF(INDEX(選手一覧!$I$7:$I$2738,$F901)="","",INDEX(選手一覧!$I$7:$I$2738,$F901))</f>
        <v/>
      </c>
      <c r="I901" s="16" t="n">
        <f aca="false">IF(INDEX(選手一覧!$J$7:$J$2738,$F901)="","",INDEX(選手一覧!$J$7:$J$2738,$F901))</f>
        <v>0.00288657407407407</v>
      </c>
      <c r="J901" s="17" t="n">
        <f aca="false">IF(INDEX(選手一覧!$K$7:$K$2738,$F901)="","",INDEX(選手一覧!$K$7:$K$2738,$F901))</f>
        <v>828</v>
      </c>
    </row>
    <row r="902" customFormat="false" ht="15" hidden="false" customHeight="false" outlineLevel="0" collapsed="false">
      <c r="A902" s="17" t="n">
        <v>898</v>
      </c>
      <c r="B902" s="12" t="s">
        <v>1478</v>
      </c>
      <c r="C902" s="12" t="s">
        <v>503</v>
      </c>
      <c r="D902" s="16" t="n">
        <v>0.0108835648148148</v>
      </c>
      <c r="E902" s="15" t="n">
        <f aca="false">ROUND((D902-$D$5)*86400,2)</f>
        <v>150.6</v>
      </c>
      <c r="F902" s="17" t="n">
        <v>897</v>
      </c>
      <c r="G902" s="16" t="str">
        <f aca="false">IF(INDEX(選手一覧!$H$7:$H$2738,$F902)="","",INDEX(選手一覧!$H$7:$H$2738,$F902))</f>
        <v/>
      </c>
      <c r="H902" s="17" t="str">
        <f aca="false">IF(INDEX(選手一覧!$I$7:$I$2738,$F902)="","",INDEX(選手一覧!$I$7:$I$2738,$F902))</f>
        <v/>
      </c>
      <c r="I902" s="16" t="str">
        <f aca="false">IF(INDEX(選手一覧!$J$7:$J$2738,$F902)="","",INDEX(選手一覧!$J$7:$J$2738,$F902))</f>
        <v/>
      </c>
      <c r="J902" s="17" t="str">
        <f aca="false">IF(INDEX(選手一覧!$K$7:$K$2738,$F902)="","",INDEX(選手一覧!$K$7:$K$2738,$F902))</f>
        <v/>
      </c>
    </row>
    <row r="903" customFormat="false" ht="15" hidden="false" customHeight="false" outlineLevel="0" collapsed="false">
      <c r="A903" s="17" t="n">
        <v>899</v>
      </c>
      <c r="B903" s="12" t="s">
        <v>1479</v>
      </c>
      <c r="C903" s="12" t="s">
        <v>96</v>
      </c>
      <c r="D903" s="16" t="n">
        <v>0.0108835648148148</v>
      </c>
      <c r="E903" s="15" t="n">
        <f aca="false">ROUND((D903-$D$5)*86400,2)</f>
        <v>150.6</v>
      </c>
      <c r="F903" s="17" t="n">
        <v>898</v>
      </c>
      <c r="G903" s="16" t="n">
        <f aca="false">IF(INDEX(選手一覧!$H$7:$H$2738,$F903)="","",INDEX(選手一覧!$H$7:$H$2738,$F903))</f>
        <v>0.00708460648148148</v>
      </c>
      <c r="H903" s="17" t="n">
        <f aca="false">IF(INDEX(選手一覧!$I$7:$I$2738,$F903)="","",INDEX(選手一覧!$I$7:$I$2738,$F903))</f>
        <v>432</v>
      </c>
      <c r="I903" s="16" t="n">
        <f aca="false">IF(INDEX(選手一覧!$J$7:$J$2738,$F903)="","",INDEX(選手一覧!$J$7:$J$2738,$F903))</f>
        <v>0.00284363425925926</v>
      </c>
      <c r="J903" s="17" t="n">
        <f aca="false">IF(INDEX(選手一覧!$K$7:$K$2738,$F903)="","",INDEX(選手一覧!$K$7:$K$2738,$F903))</f>
        <v>521</v>
      </c>
    </row>
    <row r="904" customFormat="false" ht="15" hidden="false" customHeight="false" outlineLevel="0" collapsed="false">
      <c r="A904" s="17" t="n">
        <v>900</v>
      </c>
      <c r="B904" s="12" t="s">
        <v>1481</v>
      </c>
      <c r="C904" s="12" t="s">
        <v>1482</v>
      </c>
      <c r="D904" s="16" t="n">
        <v>0.0108844907407407</v>
      </c>
      <c r="E904" s="15" t="n">
        <f aca="false">ROUND((D904-$D$5)*86400,2)</f>
        <v>150.68</v>
      </c>
      <c r="F904" s="17" t="n">
        <v>899</v>
      </c>
      <c r="G904" s="16" t="str">
        <f aca="false">IF(INDEX(選手一覧!$H$7:$H$2738,$F904)="","",INDEX(選手一覧!$H$7:$H$2738,$F904))</f>
        <v/>
      </c>
      <c r="H904" s="17" t="str">
        <f aca="false">IF(INDEX(選手一覧!$I$7:$I$2738,$F904)="","",INDEX(選手一覧!$I$7:$I$2738,$F904))</f>
        <v/>
      </c>
      <c r="I904" s="16" t="n">
        <f aca="false">IF(INDEX(選手一覧!$J$7:$J$2738,$F904)="","",INDEX(選手一覧!$J$7:$J$2738,$F904))</f>
        <v>0.00278506944444444</v>
      </c>
      <c r="J904" s="17" t="n">
        <f aca="false">IF(INDEX(選手一覧!$K$7:$K$2738,$F904)="","",INDEX(選手一覧!$K$7:$K$2738,$F904))</f>
        <v>219</v>
      </c>
    </row>
    <row r="905" customFormat="false" ht="15" hidden="false" customHeight="false" outlineLevel="0" collapsed="false">
      <c r="A905" s="17" t="n">
        <v>901</v>
      </c>
      <c r="B905" s="12" t="s">
        <v>1483</v>
      </c>
      <c r="C905" s="12" t="s">
        <v>711</v>
      </c>
      <c r="D905" s="16" t="n">
        <v>0.0108858796296296</v>
      </c>
      <c r="E905" s="15" t="n">
        <f aca="false">ROUND((D905-$D$5)*86400,2)</f>
        <v>150.8</v>
      </c>
      <c r="F905" s="17" t="n">
        <v>900</v>
      </c>
      <c r="G905" s="16" t="str">
        <f aca="false">IF(INDEX(選手一覧!$H$7:$H$2738,$F905)="","",INDEX(選手一覧!$H$7:$H$2738,$F905))</f>
        <v/>
      </c>
      <c r="H905" s="17" t="str">
        <f aca="false">IF(INDEX(選手一覧!$I$7:$I$2738,$F905)="","",INDEX(選手一覧!$I$7:$I$2738,$F905))</f>
        <v/>
      </c>
      <c r="I905" s="16" t="str">
        <f aca="false">IF(INDEX(選手一覧!$J$7:$J$2738,$F905)="","",INDEX(選手一覧!$J$7:$J$2738,$F905))</f>
        <v/>
      </c>
      <c r="J905" s="17" t="str">
        <f aca="false">IF(INDEX(選手一覧!$K$7:$K$2738,$F905)="","",INDEX(選手一覧!$K$7:$K$2738,$F905))</f>
        <v/>
      </c>
    </row>
    <row r="906" customFormat="false" ht="15" hidden="false" customHeight="false" outlineLevel="0" collapsed="false">
      <c r="A906" s="17" t="n">
        <v>902</v>
      </c>
      <c r="B906" s="12" t="s">
        <v>1484</v>
      </c>
      <c r="C906" s="12" t="s">
        <v>711</v>
      </c>
      <c r="D906" s="16" t="n">
        <v>0.0108868055555556</v>
      </c>
      <c r="E906" s="15" t="n">
        <f aca="false">ROUND((D906-$D$5)*86400,2)</f>
        <v>150.88</v>
      </c>
      <c r="F906" s="17" t="n">
        <v>901</v>
      </c>
      <c r="G906" s="16" t="str">
        <f aca="false">IF(INDEX(選手一覧!$H$7:$H$2738,$F906)="","",INDEX(選手一覧!$H$7:$H$2738,$F906))</f>
        <v/>
      </c>
      <c r="H906" s="17" t="str">
        <f aca="false">IF(INDEX(選手一覧!$I$7:$I$2738,$F906)="","",INDEX(選手一覧!$I$7:$I$2738,$F906))</f>
        <v/>
      </c>
      <c r="I906" s="16" t="n">
        <f aca="false">IF(INDEX(選手一覧!$J$7:$J$2738,$F906)="","",INDEX(選手一覧!$J$7:$J$2738,$F906))</f>
        <v>0.00284085648148148</v>
      </c>
      <c r="J906" s="17" t="n">
        <f aca="false">IF(INDEX(選手一覧!$K$7:$K$2738,$F906)="","",INDEX(選手一覧!$K$7:$K$2738,$F906))</f>
        <v>504</v>
      </c>
    </row>
    <row r="907" customFormat="false" ht="15" hidden="false" customHeight="false" outlineLevel="0" collapsed="false">
      <c r="A907" s="17" t="n">
        <v>903</v>
      </c>
      <c r="B907" s="12" t="s">
        <v>1485</v>
      </c>
      <c r="C907" s="12" t="s">
        <v>127</v>
      </c>
      <c r="D907" s="16" t="n">
        <v>0.0108875</v>
      </c>
      <c r="E907" s="15" t="n">
        <f aca="false">ROUND((D907-$D$5)*86400,2)</f>
        <v>150.94</v>
      </c>
      <c r="F907" s="17" t="n">
        <v>902</v>
      </c>
      <c r="G907" s="16" t="str">
        <f aca="false">IF(INDEX(選手一覧!$H$7:$H$2738,$F907)="","",INDEX(選手一覧!$H$7:$H$2738,$F907))</f>
        <v/>
      </c>
      <c r="H907" s="17" t="str">
        <f aca="false">IF(INDEX(選手一覧!$I$7:$I$2738,$F907)="","",INDEX(選手一覧!$I$7:$I$2738,$F907))</f>
        <v/>
      </c>
      <c r="I907" s="16" t="str">
        <f aca="false">IF(INDEX(選手一覧!$J$7:$J$2738,$F907)="","",INDEX(選手一覧!$J$7:$J$2738,$F907))</f>
        <v/>
      </c>
      <c r="J907" s="17" t="str">
        <f aca="false">IF(INDEX(選手一覧!$K$7:$K$2738,$F907)="","",INDEX(選手一覧!$K$7:$K$2738,$F907))</f>
        <v/>
      </c>
    </row>
    <row r="908" customFormat="false" ht="15" hidden="false" customHeight="false" outlineLevel="0" collapsed="false">
      <c r="A908" s="17" t="n">
        <v>904</v>
      </c>
      <c r="B908" s="12" t="s">
        <v>1486</v>
      </c>
      <c r="C908" s="12" t="s">
        <v>186</v>
      </c>
      <c r="D908" s="16" t="n">
        <v>0.0108903935185185</v>
      </c>
      <c r="E908" s="15" t="n">
        <f aca="false">ROUND((D908-$D$5)*86400,2)</f>
        <v>151.19</v>
      </c>
      <c r="F908" s="17" t="n">
        <v>903</v>
      </c>
      <c r="G908" s="16" t="str">
        <f aca="false">IF(INDEX(選手一覧!$H$7:$H$2738,$F908)="","",INDEX(選手一覧!$H$7:$H$2738,$F908))</f>
        <v/>
      </c>
      <c r="H908" s="17" t="str">
        <f aca="false">IF(INDEX(選手一覧!$I$7:$I$2738,$F908)="","",INDEX(選手一覧!$I$7:$I$2738,$F908))</f>
        <v/>
      </c>
      <c r="I908" s="16" t="n">
        <f aca="false">IF(INDEX(選手一覧!$J$7:$J$2738,$F908)="","",INDEX(選手一覧!$J$7:$J$2738,$F908))</f>
        <v>0.0028119212962963</v>
      </c>
      <c r="J908" s="17" t="n">
        <f aca="false">IF(INDEX(選手一覧!$K$7:$K$2738,$F908)="","",INDEX(選手一覧!$K$7:$K$2738,$F908))</f>
        <v>328</v>
      </c>
    </row>
    <row r="909" customFormat="false" ht="15" hidden="false" customHeight="false" outlineLevel="0" collapsed="false">
      <c r="A909" s="17" t="n">
        <v>905</v>
      </c>
      <c r="B909" s="12" t="s">
        <v>1487</v>
      </c>
      <c r="C909" s="12" t="s">
        <v>155</v>
      </c>
      <c r="D909" s="16" t="n">
        <v>0.0108908564814815</v>
      </c>
      <c r="E909" s="15" t="n">
        <f aca="false">ROUND((D909-$D$5)*86400,2)</f>
        <v>151.23</v>
      </c>
      <c r="F909" s="17" t="n">
        <v>904</v>
      </c>
      <c r="G909" s="16" t="str">
        <f aca="false">IF(INDEX(選手一覧!$H$7:$H$2738,$F909)="","",INDEX(選手一覧!$H$7:$H$2738,$F909))</f>
        <v/>
      </c>
      <c r="H909" s="17" t="str">
        <f aca="false">IF(INDEX(選手一覧!$I$7:$I$2738,$F909)="","",INDEX(選手一覧!$I$7:$I$2738,$F909))</f>
        <v/>
      </c>
      <c r="I909" s="16" t="n">
        <f aca="false">IF(INDEX(選手一覧!$J$7:$J$2738,$F909)="","",INDEX(選手一覧!$J$7:$J$2738,$F909))</f>
        <v>0.00297569444444445</v>
      </c>
      <c r="J909" s="17" t="n">
        <f aca="false">IF(INDEX(選手一覧!$K$7:$K$2738,$F909)="","",INDEX(選手一覧!$K$7:$K$2738,$F909))</f>
        <v>1332</v>
      </c>
    </row>
    <row r="910" customFormat="false" ht="15" hidden="false" customHeight="false" outlineLevel="0" collapsed="false">
      <c r="A910" s="17" t="n">
        <v>906</v>
      </c>
      <c r="B910" s="12" t="s">
        <v>1488</v>
      </c>
      <c r="C910" s="12" t="s">
        <v>819</v>
      </c>
      <c r="D910" s="16" t="n">
        <v>0.0108916666666667</v>
      </c>
      <c r="E910" s="15" t="n">
        <f aca="false">ROUND((D910-$D$5)*86400,2)</f>
        <v>151.3</v>
      </c>
      <c r="F910" s="17" t="n">
        <v>905</v>
      </c>
      <c r="G910" s="16" t="str">
        <f aca="false">IF(INDEX(選手一覧!$H$7:$H$2738,$F910)="","",INDEX(選手一覧!$H$7:$H$2738,$F910))</f>
        <v/>
      </c>
      <c r="H910" s="17" t="str">
        <f aca="false">IF(INDEX(選手一覧!$I$7:$I$2738,$F910)="","",INDEX(選手一覧!$I$7:$I$2738,$F910))</f>
        <v/>
      </c>
      <c r="I910" s="16" t="n">
        <f aca="false">IF(INDEX(選手一覧!$J$7:$J$2738,$F910)="","",INDEX(選手一覧!$J$7:$J$2738,$F910))</f>
        <v>0.0028349537037037</v>
      </c>
      <c r="J910" s="17" t="n">
        <f aca="false">IF(INDEX(選手一覧!$K$7:$K$2738,$F910)="","",INDEX(選手一覧!$K$7:$K$2738,$F910))</f>
        <v>460</v>
      </c>
    </row>
    <row r="911" customFormat="false" ht="15" hidden="false" customHeight="false" outlineLevel="0" collapsed="false">
      <c r="A911" s="17" t="n">
        <v>907</v>
      </c>
      <c r="B911" s="12" t="s">
        <v>1490</v>
      </c>
      <c r="C911" s="12" t="s">
        <v>1491</v>
      </c>
      <c r="D911" s="16" t="n">
        <v>0.0108923611111111</v>
      </c>
      <c r="E911" s="15" t="n">
        <f aca="false">ROUND((D911-$D$5)*86400,2)</f>
        <v>151.36</v>
      </c>
      <c r="F911" s="17" t="n">
        <v>906</v>
      </c>
      <c r="G911" s="16" t="str">
        <f aca="false">IF(INDEX(選手一覧!$H$7:$H$2738,$F911)="","",INDEX(選手一覧!$H$7:$H$2738,$F911))</f>
        <v/>
      </c>
      <c r="H911" s="17" t="str">
        <f aca="false">IF(INDEX(選手一覧!$I$7:$I$2738,$F911)="","",INDEX(選手一覧!$I$7:$I$2738,$F911))</f>
        <v/>
      </c>
      <c r="I911" s="16" t="n">
        <f aca="false">IF(INDEX(選手一覧!$J$7:$J$2738,$F911)="","",INDEX(選手一覧!$J$7:$J$2738,$F911))</f>
        <v>0.00270081018518519</v>
      </c>
      <c r="J911" s="17" t="n">
        <f aca="false">IF(INDEX(選手一覧!$K$7:$K$2738,$F911)="","",INDEX(選手一覧!$K$7:$K$2738,$F911))</f>
        <v>26</v>
      </c>
    </row>
    <row r="912" customFormat="false" ht="15" hidden="false" customHeight="false" outlineLevel="0" collapsed="false">
      <c r="A912" s="17" t="n">
        <v>908</v>
      </c>
      <c r="B912" s="12" t="s">
        <v>1492</v>
      </c>
      <c r="C912" s="12" t="s">
        <v>695</v>
      </c>
      <c r="D912" s="16" t="n">
        <v>0.010893287037037</v>
      </c>
      <c r="E912" s="15" t="n">
        <f aca="false">ROUND((D912-$D$5)*86400,2)</f>
        <v>151.44</v>
      </c>
      <c r="F912" s="17" t="n">
        <v>907</v>
      </c>
      <c r="G912" s="16" t="str">
        <f aca="false">IF(INDEX(選手一覧!$H$7:$H$2738,$F912)="","",INDEX(選手一覧!$H$7:$H$2738,$F912))</f>
        <v/>
      </c>
      <c r="H912" s="17" t="str">
        <f aca="false">IF(INDEX(選手一覧!$I$7:$I$2738,$F912)="","",INDEX(選手一覧!$I$7:$I$2738,$F912))</f>
        <v/>
      </c>
      <c r="I912" s="16" t="n">
        <f aca="false">IF(INDEX(選手一覧!$J$7:$J$2738,$F912)="","",INDEX(選手一覧!$J$7:$J$2738,$F912))</f>
        <v>0.00270462962962963</v>
      </c>
      <c r="J912" s="17" t="n">
        <f aca="false">IF(INDEX(選手一覧!$K$7:$K$2738,$F912)="","",INDEX(選手一覧!$K$7:$K$2738,$F912))</f>
        <v>28</v>
      </c>
    </row>
    <row r="913" customFormat="false" ht="15" hidden="false" customHeight="false" outlineLevel="0" collapsed="false">
      <c r="A913" s="17" t="n">
        <v>909</v>
      </c>
      <c r="B913" s="12" t="s">
        <v>1493</v>
      </c>
      <c r="C913" s="12" t="s">
        <v>1494</v>
      </c>
      <c r="D913" s="16" t="n">
        <v>0.0108936342592593</v>
      </c>
      <c r="E913" s="15" t="n">
        <f aca="false">ROUND((D913-$D$5)*86400,2)</f>
        <v>151.47</v>
      </c>
      <c r="F913" s="17" t="n">
        <v>908</v>
      </c>
      <c r="G913" s="16" t="n">
        <f aca="false">IF(INDEX(選手一覧!$H$7:$H$2738,$F913)="","",INDEX(選手一覧!$H$7:$H$2738,$F913))</f>
        <v>0.0066337962962963</v>
      </c>
      <c r="H913" s="17" t="n">
        <f aca="false">IF(INDEX(選手一覧!$I$7:$I$2738,$F913)="","",INDEX(選手一覧!$I$7:$I$2738,$F913))</f>
        <v>75</v>
      </c>
      <c r="I913" s="16" t="str">
        <f aca="false">IF(INDEX(選手一覧!$J$7:$J$2738,$F913)="","",INDEX(選手一覧!$J$7:$J$2738,$F913))</f>
        <v/>
      </c>
      <c r="J913" s="17" t="str">
        <f aca="false">IF(INDEX(選手一覧!$K$7:$K$2738,$F913)="","",INDEX(選手一覧!$K$7:$K$2738,$F913))</f>
        <v/>
      </c>
    </row>
    <row r="914" customFormat="false" ht="15" hidden="false" customHeight="false" outlineLevel="0" collapsed="false">
      <c r="A914" s="17" t="n">
        <v>910</v>
      </c>
      <c r="B914" s="12" t="s">
        <v>1495</v>
      </c>
      <c r="C914" s="12" t="s">
        <v>1496</v>
      </c>
      <c r="D914" s="16" t="n">
        <v>0.0108947916666667</v>
      </c>
      <c r="E914" s="15" t="n">
        <f aca="false">ROUND((D914-$D$5)*86400,2)</f>
        <v>151.57</v>
      </c>
      <c r="F914" s="17" t="n">
        <v>909</v>
      </c>
      <c r="G914" s="16" t="str">
        <f aca="false">IF(INDEX(選手一覧!$H$7:$H$2738,$F914)="","",INDEX(選手一覧!$H$7:$H$2738,$F914))</f>
        <v/>
      </c>
      <c r="H914" s="17" t="str">
        <f aca="false">IF(INDEX(選手一覧!$I$7:$I$2738,$F914)="","",INDEX(選手一覧!$I$7:$I$2738,$F914))</f>
        <v/>
      </c>
      <c r="I914" s="16" t="str">
        <f aca="false">IF(INDEX(選手一覧!$J$7:$J$2738,$F914)="","",INDEX(選手一覧!$J$7:$J$2738,$F914))</f>
        <v/>
      </c>
      <c r="J914" s="17" t="str">
        <f aca="false">IF(INDEX(選手一覧!$K$7:$K$2738,$F914)="","",INDEX(選手一覧!$K$7:$K$2738,$F914))</f>
        <v/>
      </c>
    </row>
    <row r="915" customFormat="false" ht="15" hidden="false" customHeight="false" outlineLevel="0" collapsed="false">
      <c r="A915" s="17" t="n">
        <v>911</v>
      </c>
      <c r="B915" s="12" t="s">
        <v>1497</v>
      </c>
      <c r="C915" s="12" t="s">
        <v>1094</v>
      </c>
      <c r="D915" s="16" t="n">
        <v>0.0108950231481482</v>
      </c>
      <c r="E915" s="15" t="n">
        <f aca="false">ROUND((D915-$D$5)*86400,2)</f>
        <v>151.59</v>
      </c>
      <c r="F915" s="17" t="n">
        <v>910</v>
      </c>
      <c r="G915" s="16" t="str">
        <f aca="false">IF(INDEX(選手一覧!$H$7:$H$2738,$F915)="","",INDEX(選手一覧!$H$7:$H$2738,$F915))</f>
        <v/>
      </c>
      <c r="H915" s="17" t="str">
        <f aca="false">IF(INDEX(選手一覧!$I$7:$I$2738,$F915)="","",INDEX(選手一覧!$I$7:$I$2738,$F915))</f>
        <v/>
      </c>
      <c r="I915" s="16" t="n">
        <f aca="false">IF(INDEX(選手一覧!$J$7:$J$2738,$F915)="","",INDEX(選手一覧!$J$7:$J$2738,$F915))</f>
        <v>0.00289201388888889</v>
      </c>
      <c r="J915" s="17" t="n">
        <f aca="false">IF(INDEX(選手一覧!$K$7:$K$2738,$F915)="","",INDEX(選手一覧!$K$7:$K$2738,$F915))</f>
        <v>887</v>
      </c>
    </row>
    <row r="916" customFormat="false" ht="15" hidden="false" customHeight="false" outlineLevel="0" collapsed="false">
      <c r="A916" s="17" t="n">
        <v>912</v>
      </c>
      <c r="B916" s="12" t="s">
        <v>1498</v>
      </c>
      <c r="C916" s="12" t="s">
        <v>503</v>
      </c>
      <c r="D916" s="16" t="n">
        <v>0.0108951388888889</v>
      </c>
      <c r="E916" s="15" t="n">
        <f aca="false">ROUND((D916-$D$5)*86400,2)</f>
        <v>151.6</v>
      </c>
      <c r="F916" s="17" t="n">
        <v>911</v>
      </c>
      <c r="G916" s="16" t="n">
        <f aca="false">IF(INDEX(選手一覧!$H$7:$H$2738,$F916)="","",INDEX(選手一覧!$H$7:$H$2738,$F916))</f>
        <v>0.007521875</v>
      </c>
      <c r="H916" s="17" t="n">
        <f aca="false">IF(INDEX(選手一覧!$I$7:$I$2738,$F916)="","",INDEX(選手一覧!$I$7:$I$2738,$F916))</f>
        <v>923</v>
      </c>
      <c r="I916" s="16" t="str">
        <f aca="false">IF(INDEX(選手一覧!$J$7:$J$2738,$F916)="","",INDEX(選手一覧!$J$7:$J$2738,$F916))</f>
        <v/>
      </c>
      <c r="J916" s="17" t="str">
        <f aca="false">IF(INDEX(選手一覧!$K$7:$K$2738,$F916)="","",INDEX(選手一覧!$K$7:$K$2738,$F916))</f>
        <v/>
      </c>
    </row>
    <row r="917" customFormat="false" ht="15" hidden="false" customHeight="false" outlineLevel="0" collapsed="false">
      <c r="A917" s="17" t="n">
        <v>913</v>
      </c>
      <c r="B917" s="12" t="s">
        <v>1499</v>
      </c>
      <c r="C917" s="12" t="s">
        <v>1500</v>
      </c>
      <c r="D917" s="16" t="n">
        <v>0.0108951388888889</v>
      </c>
      <c r="E917" s="15" t="n">
        <f aca="false">ROUND((D917-$D$5)*86400,2)</f>
        <v>151.6</v>
      </c>
      <c r="F917" s="17" t="n">
        <v>912</v>
      </c>
      <c r="G917" s="16" t="str">
        <f aca="false">IF(INDEX(選手一覧!$H$7:$H$2738,$F917)="","",INDEX(選手一覧!$H$7:$H$2738,$F917))</f>
        <v/>
      </c>
      <c r="H917" s="17" t="str">
        <f aca="false">IF(INDEX(選手一覧!$I$7:$I$2738,$F917)="","",INDEX(選手一覧!$I$7:$I$2738,$F917))</f>
        <v/>
      </c>
      <c r="I917" s="16" t="n">
        <f aca="false">IF(INDEX(選手一覧!$J$7:$J$2738,$F917)="","",INDEX(選手一覧!$J$7:$J$2738,$F917))</f>
        <v>0.00283946759259259</v>
      </c>
      <c r="J917" s="17" t="n">
        <f aca="false">IF(INDEX(選手一覧!$K$7:$K$2738,$F917)="","",INDEX(選手一覧!$K$7:$K$2738,$F917))</f>
        <v>493</v>
      </c>
    </row>
    <row r="918" customFormat="false" ht="15" hidden="false" customHeight="false" outlineLevel="0" collapsed="false">
      <c r="A918" s="17" t="n">
        <v>914</v>
      </c>
      <c r="B918" s="12" t="s">
        <v>1501</v>
      </c>
      <c r="C918" s="12" t="s">
        <v>318</v>
      </c>
      <c r="D918" s="16" t="n">
        <v>0.0108954861111111</v>
      </c>
      <c r="E918" s="15" t="n">
        <f aca="false">ROUND((D918-$D$5)*86400,2)</f>
        <v>151.63</v>
      </c>
      <c r="F918" s="17" t="n">
        <v>913</v>
      </c>
      <c r="G918" s="16" t="str">
        <f aca="false">IF(INDEX(選手一覧!$H$7:$H$2738,$F918)="","",INDEX(選手一覧!$H$7:$H$2738,$F918))</f>
        <v/>
      </c>
      <c r="H918" s="17" t="str">
        <f aca="false">IF(INDEX(選手一覧!$I$7:$I$2738,$F918)="","",INDEX(選手一覧!$I$7:$I$2738,$F918))</f>
        <v/>
      </c>
      <c r="I918" s="16" t="str">
        <f aca="false">IF(INDEX(選手一覧!$J$7:$J$2738,$F918)="","",INDEX(選手一覧!$J$7:$J$2738,$F918))</f>
        <v/>
      </c>
      <c r="J918" s="17" t="str">
        <f aca="false">IF(INDEX(選手一覧!$K$7:$K$2738,$F918)="","",INDEX(選手一覧!$K$7:$K$2738,$F918))</f>
        <v/>
      </c>
    </row>
    <row r="919" customFormat="false" ht="15" hidden="false" customHeight="false" outlineLevel="0" collapsed="false">
      <c r="A919" s="17" t="n">
        <v>915</v>
      </c>
      <c r="B919" s="12" t="s">
        <v>1502</v>
      </c>
      <c r="C919" s="12" t="s">
        <v>1503</v>
      </c>
      <c r="D919" s="16" t="n">
        <v>0.0108959490740741</v>
      </c>
      <c r="E919" s="15" t="n">
        <f aca="false">ROUND((D919-$D$5)*86400,2)</f>
        <v>151.67</v>
      </c>
      <c r="F919" s="17" t="n">
        <v>914</v>
      </c>
      <c r="G919" s="16" t="n">
        <f aca="false">IF(INDEX(選手一覧!$H$7:$H$2738,$F919)="","",INDEX(選手一覧!$H$7:$H$2738,$F919))</f>
        <v>0.0066474537037037</v>
      </c>
      <c r="H919" s="17" t="n">
        <f aca="false">IF(INDEX(選手一覧!$I$7:$I$2738,$F919)="","",INDEX(選手一覧!$I$7:$I$2738,$F919))</f>
        <v>81</v>
      </c>
      <c r="I919" s="16" t="n">
        <f aca="false">IF(INDEX(選手一覧!$J$7:$J$2738,$F919)="","",INDEX(選手一覧!$J$7:$J$2738,$F919))</f>
        <v>0.00277650462962963</v>
      </c>
      <c r="J919" s="17" t="n">
        <f aca="false">IF(INDEX(選手一覧!$K$7:$K$2738,$F919)="","",INDEX(選手一覧!$K$7:$K$2738,$F919))</f>
        <v>184</v>
      </c>
    </row>
    <row r="920" customFormat="false" ht="15" hidden="false" customHeight="false" outlineLevel="0" collapsed="false">
      <c r="A920" s="17" t="n">
        <v>916</v>
      </c>
      <c r="B920" s="12" t="s">
        <v>1504</v>
      </c>
      <c r="C920" s="12" t="s">
        <v>961</v>
      </c>
      <c r="D920" s="16" t="n">
        <v>0.0108966435185185</v>
      </c>
      <c r="E920" s="15" t="n">
        <f aca="false">ROUND((D920-$D$5)*86400,2)</f>
        <v>151.73</v>
      </c>
      <c r="F920" s="17" t="n">
        <v>915</v>
      </c>
      <c r="G920" s="16" t="str">
        <f aca="false">IF(INDEX(選手一覧!$H$7:$H$2738,$F920)="","",INDEX(選手一覧!$H$7:$H$2738,$F920))</f>
        <v/>
      </c>
      <c r="H920" s="17" t="str">
        <f aca="false">IF(INDEX(選手一覧!$I$7:$I$2738,$F920)="","",INDEX(選手一覧!$I$7:$I$2738,$F920))</f>
        <v/>
      </c>
      <c r="I920" s="16" t="str">
        <f aca="false">IF(INDEX(選手一覧!$J$7:$J$2738,$F920)="","",INDEX(選手一覧!$J$7:$J$2738,$F920))</f>
        <v/>
      </c>
      <c r="J920" s="17" t="str">
        <f aca="false">IF(INDEX(選手一覧!$K$7:$K$2738,$F920)="","",INDEX(選手一覧!$K$7:$K$2738,$F920))</f>
        <v/>
      </c>
    </row>
    <row r="921" customFormat="false" ht="15" hidden="false" customHeight="false" outlineLevel="0" collapsed="false">
      <c r="A921" s="17" t="n">
        <v>917</v>
      </c>
      <c r="B921" s="12" t="s">
        <v>1505</v>
      </c>
      <c r="C921" s="12" t="s">
        <v>525</v>
      </c>
      <c r="D921" s="16" t="n">
        <v>0.010896875</v>
      </c>
      <c r="E921" s="15" t="n">
        <f aca="false">ROUND((D921-$D$5)*86400,2)</f>
        <v>151.75</v>
      </c>
      <c r="F921" s="17" t="n">
        <v>916</v>
      </c>
      <c r="G921" s="16" t="n">
        <f aca="false">IF(INDEX(選手一覧!$H$7:$H$2738,$F921)="","",INDEX(選手一覧!$H$7:$H$2738,$F921))</f>
        <v>0.00691886574074074</v>
      </c>
      <c r="H921" s="17" t="n">
        <f aca="false">IF(INDEX(選手一覧!$I$7:$I$2738,$F921)="","",INDEX(選手一覧!$I$7:$I$2738,$F921))</f>
        <v>254</v>
      </c>
      <c r="I921" s="16" t="str">
        <f aca="false">IF(INDEX(選手一覧!$J$7:$J$2738,$F921)="","",INDEX(選手一覧!$J$7:$J$2738,$F921))</f>
        <v/>
      </c>
      <c r="J921" s="17" t="str">
        <f aca="false">IF(INDEX(選手一覧!$K$7:$K$2738,$F921)="","",INDEX(選手一覧!$K$7:$K$2738,$F921))</f>
        <v/>
      </c>
    </row>
    <row r="922" customFormat="false" ht="15" hidden="false" customHeight="false" outlineLevel="0" collapsed="false">
      <c r="A922" s="17" t="n">
        <v>918</v>
      </c>
      <c r="B922" s="12" t="s">
        <v>1507</v>
      </c>
      <c r="C922" s="12" t="s">
        <v>103</v>
      </c>
      <c r="D922" s="16" t="n">
        <v>0.0108980324074074</v>
      </c>
      <c r="E922" s="15" t="n">
        <f aca="false">ROUND((D922-$D$5)*86400,2)</f>
        <v>151.85</v>
      </c>
      <c r="F922" s="17" t="n">
        <v>917</v>
      </c>
      <c r="G922" s="16" t="str">
        <f aca="false">IF(INDEX(選手一覧!$H$7:$H$2738,$F922)="","",INDEX(選手一覧!$H$7:$H$2738,$F922))</f>
        <v/>
      </c>
      <c r="H922" s="17" t="str">
        <f aca="false">IF(INDEX(選手一覧!$I$7:$I$2738,$F922)="","",INDEX(選手一覧!$I$7:$I$2738,$F922))</f>
        <v/>
      </c>
      <c r="I922" s="16" t="n">
        <f aca="false">IF(INDEX(選手一覧!$J$7:$J$2738,$F922)="","",INDEX(選手一覧!$J$7:$J$2738,$F922))</f>
        <v>0.00284930555555556</v>
      </c>
      <c r="J922" s="17" t="n">
        <f aca="false">IF(INDEX(選手一覧!$K$7:$K$2738,$F922)="","",INDEX(選手一覧!$K$7:$K$2738,$F922))</f>
        <v>567</v>
      </c>
    </row>
    <row r="923" customFormat="false" ht="15" hidden="false" customHeight="false" outlineLevel="0" collapsed="false">
      <c r="A923" s="17" t="n">
        <v>919</v>
      </c>
      <c r="B923" s="12" t="s">
        <v>1509</v>
      </c>
      <c r="C923" s="12" t="s">
        <v>1510</v>
      </c>
      <c r="D923" s="16" t="n">
        <v>0.0108982638888889</v>
      </c>
      <c r="E923" s="15" t="n">
        <f aca="false">ROUND((D923-$D$5)*86400,2)</f>
        <v>151.87</v>
      </c>
      <c r="F923" s="17" t="n">
        <v>918</v>
      </c>
      <c r="G923" s="16" t="str">
        <f aca="false">IF(INDEX(選手一覧!$H$7:$H$2738,$F923)="","",INDEX(選手一覧!$H$7:$H$2738,$F923))</f>
        <v/>
      </c>
      <c r="H923" s="17" t="str">
        <f aca="false">IF(INDEX(選手一覧!$I$7:$I$2738,$F923)="","",INDEX(選手一覧!$I$7:$I$2738,$F923))</f>
        <v/>
      </c>
      <c r="I923" s="16" t="n">
        <f aca="false">IF(INDEX(選手一覧!$J$7:$J$2738,$F923)="","",INDEX(選手一覧!$J$7:$J$2738,$F923))</f>
        <v>0.00288506944444444</v>
      </c>
      <c r="J923" s="17" t="n">
        <f aca="false">IF(INDEX(選手一覧!$K$7:$K$2738,$F923)="","",INDEX(選手一覧!$K$7:$K$2738,$F923))</f>
        <v>817</v>
      </c>
    </row>
    <row r="924" customFormat="false" ht="15" hidden="false" customHeight="false" outlineLevel="0" collapsed="false">
      <c r="A924" s="17" t="n">
        <v>920</v>
      </c>
      <c r="B924" s="12" t="s">
        <v>1512</v>
      </c>
      <c r="C924" s="12" t="s">
        <v>1513</v>
      </c>
      <c r="D924" s="16" t="n">
        <v>0.0108994212962963</v>
      </c>
      <c r="E924" s="15" t="n">
        <f aca="false">ROUND((D924-$D$5)*86400,2)</f>
        <v>151.97</v>
      </c>
      <c r="F924" s="17" t="n">
        <v>919</v>
      </c>
      <c r="G924" s="16" t="str">
        <f aca="false">IF(INDEX(選手一覧!$H$7:$H$2738,$F924)="","",INDEX(選手一覧!$H$7:$H$2738,$F924))</f>
        <v/>
      </c>
      <c r="H924" s="17" t="str">
        <f aca="false">IF(INDEX(選手一覧!$I$7:$I$2738,$F924)="","",INDEX(選手一覧!$I$7:$I$2738,$F924))</f>
        <v/>
      </c>
      <c r="I924" s="16" t="str">
        <f aca="false">IF(INDEX(選手一覧!$J$7:$J$2738,$F924)="","",INDEX(選手一覧!$J$7:$J$2738,$F924))</f>
        <v/>
      </c>
      <c r="J924" s="17" t="str">
        <f aca="false">IF(INDEX(選手一覧!$K$7:$K$2738,$F924)="","",INDEX(選手一覧!$K$7:$K$2738,$F924))</f>
        <v/>
      </c>
    </row>
    <row r="925" customFormat="false" ht="15" hidden="false" customHeight="false" outlineLevel="0" collapsed="false">
      <c r="A925" s="17" t="n">
        <v>921</v>
      </c>
      <c r="B925" s="12" t="s">
        <v>1514</v>
      </c>
      <c r="C925" s="12" t="s">
        <v>1515</v>
      </c>
      <c r="D925" s="16" t="n">
        <v>0.0108997685185185</v>
      </c>
      <c r="E925" s="15" t="n">
        <f aca="false">ROUND((D925-$D$5)*86400,2)</f>
        <v>152</v>
      </c>
      <c r="F925" s="17" t="n">
        <v>920</v>
      </c>
      <c r="G925" s="16" t="n">
        <f aca="false">IF(INDEX(選手一覧!$H$7:$H$2738,$F925)="","",INDEX(選手一覧!$H$7:$H$2738,$F925))</f>
        <v>0.00688599537037037</v>
      </c>
      <c r="H925" s="17" t="n">
        <f aca="false">IF(INDEX(選手一覧!$I$7:$I$2738,$F925)="","",INDEX(選手一覧!$I$7:$I$2738,$F925))</f>
        <v>227</v>
      </c>
      <c r="I925" s="16" t="str">
        <f aca="false">IF(INDEX(選手一覧!$J$7:$J$2738,$F925)="","",INDEX(選手一覧!$J$7:$J$2738,$F925))</f>
        <v/>
      </c>
      <c r="J925" s="17" t="str">
        <f aca="false">IF(INDEX(選手一覧!$K$7:$K$2738,$F925)="","",INDEX(選手一覧!$K$7:$K$2738,$F925))</f>
        <v/>
      </c>
    </row>
    <row r="926" customFormat="false" ht="15" hidden="false" customHeight="false" outlineLevel="0" collapsed="false">
      <c r="A926" s="17" t="n">
        <v>922</v>
      </c>
      <c r="B926" s="12" t="s">
        <v>1516</v>
      </c>
      <c r="C926" s="12" t="s">
        <v>585</v>
      </c>
      <c r="D926" s="16" t="n">
        <v>0.0109021990740741</v>
      </c>
      <c r="E926" s="15" t="n">
        <f aca="false">ROUND((D926-$D$5)*86400,2)</f>
        <v>152.21</v>
      </c>
      <c r="F926" s="17" t="n">
        <v>921</v>
      </c>
      <c r="G926" s="16" t="n">
        <f aca="false">IF(INDEX(選手一覧!$H$7:$H$2738,$F926)="","",INDEX(選手一覧!$H$7:$H$2738,$F926))</f>
        <v>0.00728148148148148</v>
      </c>
      <c r="H926" s="17" t="n">
        <f aca="false">IF(INDEX(選手一覧!$I$7:$I$2738,$F926)="","",INDEX(選手一覧!$I$7:$I$2738,$F926))</f>
        <v>621</v>
      </c>
      <c r="I926" s="16" t="str">
        <f aca="false">IF(INDEX(選手一覧!$J$7:$J$2738,$F926)="","",INDEX(選手一覧!$J$7:$J$2738,$F926))</f>
        <v/>
      </c>
      <c r="J926" s="17" t="str">
        <f aca="false">IF(INDEX(選手一覧!$K$7:$K$2738,$F926)="","",INDEX(選手一覧!$K$7:$K$2738,$F926))</f>
        <v/>
      </c>
    </row>
    <row r="927" customFormat="false" ht="15" hidden="false" customHeight="false" outlineLevel="0" collapsed="false">
      <c r="A927" s="17" t="n">
        <v>923</v>
      </c>
      <c r="B927" s="12" t="s">
        <v>1517</v>
      </c>
      <c r="C927" s="12" t="s">
        <v>939</v>
      </c>
      <c r="D927" s="16" t="n">
        <v>0.010902662037037</v>
      </c>
      <c r="E927" s="15" t="n">
        <f aca="false">ROUND((D927-$D$5)*86400,2)</f>
        <v>152.25</v>
      </c>
      <c r="F927" s="17" t="n">
        <v>922</v>
      </c>
      <c r="G927" s="16" t="str">
        <f aca="false">IF(INDEX(選手一覧!$H$7:$H$2738,$F927)="","",INDEX(選手一覧!$H$7:$H$2738,$F927))</f>
        <v/>
      </c>
      <c r="H927" s="17" t="str">
        <f aca="false">IF(INDEX(選手一覧!$I$7:$I$2738,$F927)="","",INDEX(選手一覧!$I$7:$I$2738,$F927))</f>
        <v/>
      </c>
      <c r="I927" s="16" t="str">
        <f aca="false">IF(INDEX(選手一覧!$J$7:$J$2738,$F927)="","",INDEX(選手一覧!$J$7:$J$2738,$F927))</f>
        <v/>
      </c>
      <c r="J927" s="17" t="str">
        <f aca="false">IF(INDEX(選手一覧!$K$7:$K$2738,$F927)="","",INDEX(選手一覧!$K$7:$K$2738,$F927))</f>
        <v/>
      </c>
    </row>
    <row r="928" customFormat="false" ht="15" hidden="false" customHeight="false" outlineLevel="0" collapsed="false">
      <c r="A928" s="17" t="n">
        <v>924</v>
      </c>
      <c r="B928" s="12" t="s">
        <v>1518</v>
      </c>
      <c r="C928" s="12" t="s">
        <v>795</v>
      </c>
      <c r="D928" s="16" t="n">
        <v>0.0109027777777778</v>
      </c>
      <c r="E928" s="15" t="n">
        <f aca="false">ROUND((D928-$D$5)*86400,2)</f>
        <v>152.26</v>
      </c>
      <c r="F928" s="17" t="n">
        <v>923</v>
      </c>
      <c r="G928" s="16" t="str">
        <f aca="false">IF(INDEX(選手一覧!$H$7:$H$2738,$F928)="","",INDEX(選手一覧!$H$7:$H$2738,$F928))</f>
        <v/>
      </c>
      <c r="H928" s="17" t="str">
        <f aca="false">IF(INDEX(選手一覧!$I$7:$I$2738,$F928)="","",INDEX(選手一覧!$I$7:$I$2738,$F928))</f>
        <v/>
      </c>
      <c r="I928" s="16" t="n">
        <f aca="false">IF(INDEX(選手一覧!$J$7:$J$2738,$F928)="","",INDEX(選手一覧!$J$7:$J$2738,$F928))</f>
        <v>0.00279780092592593</v>
      </c>
      <c r="J928" s="17" t="n">
        <f aca="false">IF(INDEX(選手一覧!$K$7:$K$2738,$F928)="","",INDEX(選手一覧!$K$7:$K$2738,$F928))</f>
        <v>274</v>
      </c>
    </row>
    <row r="929" customFormat="false" ht="15" hidden="false" customHeight="false" outlineLevel="0" collapsed="false">
      <c r="A929" s="17" t="n">
        <v>925</v>
      </c>
      <c r="B929" s="12" t="s">
        <v>1519</v>
      </c>
      <c r="C929" s="12" t="s">
        <v>107</v>
      </c>
      <c r="D929" s="16" t="n">
        <v>0.0109028935185185</v>
      </c>
      <c r="E929" s="15" t="n">
        <f aca="false">ROUND((D929-$D$5)*86400,2)</f>
        <v>152.27</v>
      </c>
      <c r="F929" s="17" t="n">
        <v>924</v>
      </c>
      <c r="G929" s="16" t="str">
        <f aca="false">IF(INDEX(選手一覧!$H$7:$H$2738,$F929)="","",INDEX(選手一覧!$H$7:$H$2738,$F929))</f>
        <v/>
      </c>
      <c r="H929" s="17" t="str">
        <f aca="false">IF(INDEX(選手一覧!$I$7:$I$2738,$F929)="","",INDEX(選手一覧!$I$7:$I$2738,$F929))</f>
        <v/>
      </c>
      <c r="I929" s="16" t="str">
        <f aca="false">IF(INDEX(選手一覧!$J$7:$J$2738,$F929)="","",INDEX(選手一覧!$J$7:$J$2738,$F929))</f>
        <v/>
      </c>
      <c r="J929" s="17" t="str">
        <f aca="false">IF(INDEX(選手一覧!$K$7:$K$2738,$F929)="","",INDEX(選手一覧!$K$7:$K$2738,$F929))</f>
        <v/>
      </c>
    </row>
    <row r="930" customFormat="false" ht="15" hidden="false" customHeight="false" outlineLevel="0" collapsed="false">
      <c r="A930" s="17" t="n">
        <v>926</v>
      </c>
      <c r="B930" s="12" t="s">
        <v>1520</v>
      </c>
      <c r="C930" s="12" t="s">
        <v>1216</v>
      </c>
      <c r="D930" s="16" t="n">
        <v>0.0109041666666667</v>
      </c>
      <c r="E930" s="15" t="n">
        <f aca="false">ROUND((D930-$D$5)*86400,2)</f>
        <v>152.38</v>
      </c>
      <c r="F930" s="17" t="n">
        <v>925</v>
      </c>
      <c r="G930" s="16" t="n">
        <f aca="false">IF(INDEX(選手一覧!$H$7:$H$2738,$F930)="","",INDEX(選手一覧!$H$7:$H$2738,$F930))</f>
        <v>0.00696736111111111</v>
      </c>
      <c r="H930" s="17" t="n">
        <f aca="false">IF(INDEX(選手一覧!$I$7:$I$2738,$F930)="","",INDEX(選手一覧!$I$7:$I$2738,$F930))</f>
        <v>300</v>
      </c>
      <c r="I930" s="16" t="str">
        <f aca="false">IF(INDEX(選手一覧!$J$7:$J$2738,$F930)="","",INDEX(選手一覧!$J$7:$J$2738,$F930))</f>
        <v/>
      </c>
      <c r="J930" s="17" t="str">
        <f aca="false">IF(INDEX(選手一覧!$K$7:$K$2738,$F930)="","",INDEX(選手一覧!$K$7:$K$2738,$F930))</f>
        <v/>
      </c>
    </row>
    <row r="931" customFormat="false" ht="15" hidden="false" customHeight="false" outlineLevel="0" collapsed="false">
      <c r="A931" s="17" t="n">
        <v>927</v>
      </c>
      <c r="B931" s="12" t="s">
        <v>1521</v>
      </c>
      <c r="C931" s="12" t="s">
        <v>4174</v>
      </c>
      <c r="D931" s="16" t="n">
        <v>0.0109045138888889</v>
      </c>
      <c r="E931" s="15" t="n">
        <f aca="false">ROUND((D931-$D$5)*86400,2)</f>
        <v>152.41</v>
      </c>
      <c r="F931" s="17" t="n">
        <v>926</v>
      </c>
      <c r="G931" s="16" t="str">
        <f aca="false">IF(INDEX(選手一覧!$H$7:$H$2738,$F931)="","",INDEX(選手一覧!$H$7:$H$2738,$F931))</f>
        <v/>
      </c>
      <c r="H931" s="17" t="str">
        <f aca="false">IF(INDEX(選手一覧!$I$7:$I$2738,$F931)="","",INDEX(選手一覧!$I$7:$I$2738,$F931))</f>
        <v/>
      </c>
      <c r="I931" s="16" t="n">
        <f aca="false">IF(INDEX(選手一覧!$J$7:$J$2738,$F931)="","",INDEX(選手一覧!$J$7:$J$2738,$F931))</f>
        <v>0.00282511574074074</v>
      </c>
      <c r="J931" s="17" t="n">
        <f aca="false">IF(INDEX(選手一覧!$K$7:$K$2738,$F931)="","",INDEX(選手一覧!$K$7:$K$2738,$F931))</f>
        <v>394</v>
      </c>
    </row>
    <row r="932" customFormat="false" ht="15" hidden="false" customHeight="false" outlineLevel="0" collapsed="false">
      <c r="A932" s="17" t="n">
        <v>928</v>
      </c>
      <c r="B932" s="12" t="s">
        <v>1525</v>
      </c>
      <c r="C932" s="12" t="s">
        <v>1265</v>
      </c>
      <c r="D932" s="16" t="n">
        <v>0.0109045138888889</v>
      </c>
      <c r="E932" s="15" t="n">
        <f aca="false">ROUND((D932-$D$5)*86400,2)</f>
        <v>152.41</v>
      </c>
      <c r="F932" s="17" t="n">
        <v>927</v>
      </c>
      <c r="G932" s="16" t="n">
        <f aca="false">IF(INDEX(選手一覧!$H$7:$H$2738,$F932)="","",INDEX(選手一覧!$H$7:$H$2738,$F932))</f>
        <v>0.00707465277777778</v>
      </c>
      <c r="H932" s="17" t="n">
        <f aca="false">IF(INDEX(選手一覧!$I$7:$I$2738,$F932)="","",INDEX(選手一覧!$I$7:$I$2738,$F932))</f>
        <v>421</v>
      </c>
      <c r="I932" s="16" t="str">
        <f aca="false">IF(INDEX(選手一覧!$J$7:$J$2738,$F932)="","",INDEX(選手一覧!$J$7:$J$2738,$F932))</f>
        <v/>
      </c>
      <c r="J932" s="17" t="str">
        <f aca="false">IF(INDEX(選手一覧!$K$7:$K$2738,$F932)="","",INDEX(選手一覧!$K$7:$K$2738,$F932))</f>
        <v/>
      </c>
    </row>
    <row r="933" customFormat="false" ht="15" hidden="false" customHeight="false" outlineLevel="0" collapsed="false">
      <c r="A933" s="17" t="n">
        <v>929</v>
      </c>
      <c r="B933" s="12" t="s">
        <v>1526</v>
      </c>
      <c r="C933" s="12" t="s">
        <v>1527</v>
      </c>
      <c r="D933" s="16" t="n">
        <v>0.0109052083333333</v>
      </c>
      <c r="E933" s="15" t="n">
        <f aca="false">ROUND((D933-$D$5)*86400,2)</f>
        <v>152.47</v>
      </c>
      <c r="F933" s="17" t="n">
        <v>928</v>
      </c>
      <c r="G933" s="16" t="str">
        <f aca="false">IF(INDEX(選手一覧!$H$7:$H$2738,$F933)="","",INDEX(選手一覧!$H$7:$H$2738,$F933))</f>
        <v/>
      </c>
      <c r="H933" s="17" t="str">
        <f aca="false">IF(INDEX(選手一覧!$I$7:$I$2738,$F933)="","",INDEX(選手一覧!$I$7:$I$2738,$F933))</f>
        <v/>
      </c>
      <c r="I933" s="16" t="n">
        <f aca="false">IF(INDEX(選手一覧!$J$7:$J$2738,$F933)="","",INDEX(選手一覧!$J$7:$J$2738,$F933))</f>
        <v>0.00290416666666667</v>
      </c>
      <c r="J933" s="17" t="n">
        <f aca="false">IF(INDEX(選手一覧!$K$7:$K$2738,$F933)="","",INDEX(選手一覧!$K$7:$K$2738,$F933))</f>
        <v>981</v>
      </c>
    </row>
    <row r="934" customFormat="false" ht="15" hidden="false" customHeight="false" outlineLevel="0" collapsed="false">
      <c r="A934" s="17" t="n">
        <v>930</v>
      </c>
      <c r="B934" s="12" t="s">
        <v>1528</v>
      </c>
      <c r="C934" s="12" t="s">
        <v>1141</v>
      </c>
      <c r="D934" s="16" t="n">
        <v>0.0109063657407407</v>
      </c>
      <c r="E934" s="15" t="n">
        <f aca="false">ROUND((D934-$D$5)*86400,2)</f>
        <v>152.57</v>
      </c>
      <c r="F934" s="17" t="n">
        <v>929</v>
      </c>
      <c r="G934" s="16" t="str">
        <f aca="false">IF(INDEX(選手一覧!$H$7:$H$2738,$F934)="","",INDEX(選手一覧!$H$7:$H$2738,$F934))</f>
        <v/>
      </c>
      <c r="H934" s="17" t="str">
        <f aca="false">IF(INDEX(選手一覧!$I$7:$I$2738,$F934)="","",INDEX(選手一覧!$I$7:$I$2738,$F934))</f>
        <v/>
      </c>
      <c r="I934" s="16" t="n">
        <f aca="false">IF(INDEX(選手一覧!$J$7:$J$2738,$F934)="","",INDEX(選手一覧!$J$7:$J$2738,$F934))</f>
        <v>0.00278599537037037</v>
      </c>
      <c r="J934" s="17" t="n">
        <f aca="false">IF(INDEX(選手一覧!$K$7:$K$2738,$F934)="","",INDEX(選手一覧!$K$7:$K$2738,$F934))</f>
        <v>221</v>
      </c>
    </row>
    <row r="935" customFormat="false" ht="15" hidden="false" customHeight="false" outlineLevel="0" collapsed="false">
      <c r="A935" s="17" t="n">
        <v>931</v>
      </c>
      <c r="B935" s="12" t="s">
        <v>1529</v>
      </c>
      <c r="C935" s="12" t="s">
        <v>910</v>
      </c>
      <c r="D935" s="16" t="n">
        <v>0.0109069444444444</v>
      </c>
      <c r="E935" s="15" t="n">
        <f aca="false">ROUND((D935-$D$5)*86400,2)</f>
        <v>152.62</v>
      </c>
      <c r="F935" s="17" t="n">
        <v>930</v>
      </c>
      <c r="G935" s="16" t="n">
        <f aca="false">IF(INDEX(選手一覧!$H$7:$H$2738,$F935)="","",INDEX(選手一覧!$H$7:$H$2738,$F935))</f>
        <v>0.00685810185185185</v>
      </c>
      <c r="H935" s="17" t="n">
        <f aca="false">IF(INDEX(選手一覧!$I$7:$I$2738,$F935)="","",INDEX(選手一覧!$I$7:$I$2738,$F935))</f>
        <v>209</v>
      </c>
      <c r="I935" s="16" t="n">
        <f aca="false">IF(INDEX(選手一覧!$J$7:$J$2738,$F935)="","",INDEX(選手一覧!$J$7:$J$2738,$F935))</f>
        <v>0.00278680555555556</v>
      </c>
      <c r="J935" s="17" t="n">
        <f aca="false">IF(INDEX(選手一覧!$K$7:$K$2738,$F935)="","",INDEX(選手一覧!$K$7:$K$2738,$F935))</f>
        <v>229</v>
      </c>
    </row>
    <row r="936" customFormat="false" ht="15" hidden="false" customHeight="false" outlineLevel="0" collapsed="false">
      <c r="A936" s="17" t="n">
        <v>932</v>
      </c>
      <c r="B936" s="12" t="s">
        <v>1530</v>
      </c>
      <c r="C936" s="12" t="s">
        <v>1111</v>
      </c>
      <c r="D936" s="16" t="n">
        <v>0.0109074074074074</v>
      </c>
      <c r="E936" s="15" t="n">
        <f aca="false">ROUND((D936-$D$5)*86400,2)</f>
        <v>152.66</v>
      </c>
      <c r="F936" s="17" t="n">
        <v>931</v>
      </c>
      <c r="G936" s="16" t="n">
        <f aca="false">IF(INDEX(選手一覧!$H$7:$H$2738,$F936)="","",INDEX(選手一覧!$H$7:$H$2738,$F936))</f>
        <v>0.0076775462962963</v>
      </c>
      <c r="H936" s="17" t="n">
        <f aca="false">IF(INDEX(選手一覧!$I$7:$I$2738,$F936)="","",INDEX(選手一覧!$I$7:$I$2738,$F936))</f>
        <v>1056</v>
      </c>
      <c r="I936" s="16" t="n">
        <f aca="false">IF(INDEX(選手一覧!$J$7:$J$2738,$F936)="","",INDEX(選手一覧!$J$7:$J$2738,$F936))</f>
        <v>0.00297268518518519</v>
      </c>
      <c r="J936" s="17" t="n">
        <f aca="false">IF(INDEX(選手一覧!$K$7:$K$2738,$F936)="","",INDEX(選手一覧!$K$7:$K$2738,$F936))</f>
        <v>1320</v>
      </c>
    </row>
    <row r="937" customFormat="false" ht="15" hidden="false" customHeight="false" outlineLevel="0" collapsed="false">
      <c r="A937" s="17" t="n">
        <v>933</v>
      </c>
      <c r="B937" s="12" t="s">
        <v>1531</v>
      </c>
      <c r="C937" s="12" t="s">
        <v>1532</v>
      </c>
      <c r="D937" s="16" t="n">
        <v>0.0109077546296296</v>
      </c>
      <c r="E937" s="15" t="n">
        <f aca="false">ROUND((D937-$D$5)*86400,2)</f>
        <v>152.69</v>
      </c>
      <c r="F937" s="17" t="n">
        <v>932</v>
      </c>
      <c r="G937" s="16" t="n">
        <f aca="false">IF(INDEX(選手一覧!$H$7:$H$2738,$F937)="","",INDEX(選手一覧!$H$7:$H$2738,$F937))</f>
        <v>0.00704351851851852</v>
      </c>
      <c r="H937" s="17" t="n">
        <f aca="false">IF(INDEX(選手一覧!$I$7:$I$2738,$F937)="","",INDEX(選手一覧!$I$7:$I$2738,$F937))</f>
        <v>383</v>
      </c>
      <c r="I937" s="16" t="str">
        <f aca="false">IF(INDEX(選手一覧!$J$7:$J$2738,$F937)="","",INDEX(選手一覧!$J$7:$J$2738,$F937))</f>
        <v/>
      </c>
      <c r="J937" s="17" t="str">
        <f aca="false">IF(INDEX(選手一覧!$K$7:$K$2738,$F937)="","",INDEX(選手一覧!$K$7:$K$2738,$F937))</f>
        <v/>
      </c>
    </row>
    <row r="938" customFormat="false" ht="15" hidden="false" customHeight="false" outlineLevel="0" collapsed="false">
      <c r="A938" s="17" t="n">
        <v>934</v>
      </c>
      <c r="B938" s="12" t="s">
        <v>1533</v>
      </c>
      <c r="C938" s="12" t="s">
        <v>1392</v>
      </c>
      <c r="D938" s="16" t="n">
        <v>0.0109083333333333</v>
      </c>
      <c r="E938" s="15" t="n">
        <f aca="false">ROUND((D938-$D$5)*86400,2)</f>
        <v>152.74</v>
      </c>
      <c r="F938" s="17" t="n">
        <v>933</v>
      </c>
      <c r="G938" s="16" t="str">
        <f aca="false">IF(INDEX(選手一覧!$H$7:$H$2738,$F938)="","",INDEX(選手一覧!$H$7:$H$2738,$F938))</f>
        <v/>
      </c>
      <c r="H938" s="17" t="str">
        <f aca="false">IF(INDEX(選手一覧!$I$7:$I$2738,$F938)="","",INDEX(選手一覧!$I$7:$I$2738,$F938))</f>
        <v/>
      </c>
      <c r="I938" s="16" t="n">
        <f aca="false">IF(INDEX(選手一覧!$J$7:$J$2738,$F938)="","",INDEX(選手一覧!$J$7:$J$2738,$F938))</f>
        <v>0.00275104166666667</v>
      </c>
      <c r="J938" s="17" t="n">
        <f aca="false">IF(INDEX(選手一覧!$K$7:$K$2738,$F938)="","",INDEX(選手一覧!$K$7:$K$2738,$F938))</f>
        <v>105</v>
      </c>
    </row>
    <row r="939" customFormat="false" ht="15" hidden="false" customHeight="false" outlineLevel="0" collapsed="false">
      <c r="A939" s="17" t="n">
        <v>935</v>
      </c>
      <c r="B939" s="12" t="s">
        <v>1534</v>
      </c>
      <c r="C939" s="12" t="s">
        <v>240</v>
      </c>
      <c r="D939" s="16" t="n">
        <v>0.0109083333333333</v>
      </c>
      <c r="E939" s="15" t="n">
        <f aca="false">ROUND((D939-$D$5)*86400,2)</f>
        <v>152.74</v>
      </c>
      <c r="F939" s="17" t="n">
        <v>934</v>
      </c>
      <c r="G939" s="16" t="str">
        <f aca="false">IF(INDEX(選手一覧!$H$7:$H$2738,$F939)="","",INDEX(選手一覧!$H$7:$H$2738,$F939))</f>
        <v/>
      </c>
      <c r="H939" s="17" t="str">
        <f aca="false">IF(INDEX(選手一覧!$I$7:$I$2738,$F939)="","",INDEX(選手一覧!$I$7:$I$2738,$F939))</f>
        <v/>
      </c>
      <c r="I939" s="16" t="str">
        <f aca="false">IF(INDEX(選手一覧!$J$7:$J$2738,$F939)="","",INDEX(選手一覧!$J$7:$J$2738,$F939))</f>
        <v/>
      </c>
      <c r="J939" s="17" t="str">
        <f aca="false">IF(INDEX(選手一覧!$K$7:$K$2738,$F939)="","",INDEX(選手一覧!$K$7:$K$2738,$F939))</f>
        <v/>
      </c>
    </row>
    <row r="940" customFormat="false" ht="15" hidden="false" customHeight="false" outlineLevel="0" collapsed="false">
      <c r="A940" s="17" t="n">
        <v>936</v>
      </c>
      <c r="B940" s="12" t="s">
        <v>1535</v>
      </c>
      <c r="C940" s="12" t="s">
        <v>193</v>
      </c>
      <c r="D940" s="16" t="n">
        <v>0.0109087962962963</v>
      </c>
      <c r="E940" s="15" t="n">
        <f aca="false">ROUND((D940-$D$5)*86400,2)</f>
        <v>152.78</v>
      </c>
      <c r="F940" s="17" t="n">
        <v>935</v>
      </c>
      <c r="G940" s="16" t="str">
        <f aca="false">IF(INDEX(選手一覧!$H$7:$H$2738,$F940)="","",INDEX(選手一覧!$H$7:$H$2738,$F940))</f>
        <v/>
      </c>
      <c r="H940" s="17" t="str">
        <f aca="false">IF(INDEX(選手一覧!$I$7:$I$2738,$F940)="","",INDEX(選手一覧!$I$7:$I$2738,$F940))</f>
        <v/>
      </c>
      <c r="I940" s="16" t="n">
        <f aca="false">IF(INDEX(選手一覧!$J$7:$J$2738,$F940)="","",INDEX(選手一覧!$J$7:$J$2738,$F940))</f>
        <v>0.00287349537037037</v>
      </c>
      <c r="J940" s="17" t="n">
        <f aca="false">IF(INDEX(選手一覧!$K$7:$K$2738,$F940)="","",INDEX(選手一覧!$K$7:$K$2738,$F940))</f>
        <v>724</v>
      </c>
    </row>
    <row r="941" customFormat="false" ht="15" hidden="false" customHeight="false" outlineLevel="0" collapsed="false">
      <c r="A941" s="17" t="n">
        <v>937</v>
      </c>
      <c r="B941" s="12" t="s">
        <v>1536</v>
      </c>
      <c r="C941" s="12" t="s">
        <v>101</v>
      </c>
      <c r="D941" s="16" t="n">
        <v>0.0109090277777778</v>
      </c>
      <c r="E941" s="15" t="n">
        <f aca="false">ROUND((D941-$D$5)*86400,2)</f>
        <v>152.8</v>
      </c>
      <c r="F941" s="17" t="n">
        <v>936</v>
      </c>
      <c r="G941" s="16" t="n">
        <f aca="false">IF(INDEX(選手一覧!$H$7:$H$2738,$F941)="","",INDEX(選手一覧!$H$7:$H$2738,$F941))</f>
        <v>0.0069212962962963</v>
      </c>
      <c r="H941" s="17" t="n">
        <f aca="false">IF(INDEX(選手一覧!$I$7:$I$2738,$F941)="","",INDEX(選手一覧!$I$7:$I$2738,$F941))</f>
        <v>259</v>
      </c>
      <c r="I941" s="16" t="n">
        <f aca="false">IF(INDEX(選手一覧!$J$7:$J$2738,$F941)="","",INDEX(選手一覧!$J$7:$J$2738,$F941))</f>
        <v>0.00285833333333333</v>
      </c>
      <c r="J941" s="17" t="n">
        <f aca="false">IF(INDEX(選手一覧!$K$7:$K$2738,$F941)="","",INDEX(選手一覧!$K$7:$K$2738,$F941))</f>
        <v>624</v>
      </c>
    </row>
    <row r="942" customFormat="false" ht="15" hidden="false" customHeight="false" outlineLevel="0" collapsed="false">
      <c r="A942" s="17" t="n">
        <v>938</v>
      </c>
      <c r="B942" s="12" t="s">
        <v>1537</v>
      </c>
      <c r="C942" s="12" t="s">
        <v>1538</v>
      </c>
      <c r="D942" s="16" t="n">
        <v>0.0109100694444444</v>
      </c>
      <c r="E942" s="15" t="n">
        <f aca="false">ROUND((D942-$D$5)*86400,2)</f>
        <v>152.89</v>
      </c>
      <c r="F942" s="17" t="n">
        <v>937</v>
      </c>
      <c r="G942" s="16" t="n">
        <f aca="false">IF(INDEX(選手一覧!$H$7:$H$2738,$F942)="","",INDEX(選手一覧!$H$7:$H$2738,$F942))</f>
        <v>0.00687256944444444</v>
      </c>
      <c r="H942" s="17" t="n">
        <f aca="false">IF(INDEX(選手一覧!$I$7:$I$2738,$F942)="","",INDEX(選手一覧!$I$7:$I$2738,$F942))</f>
        <v>220</v>
      </c>
      <c r="I942" s="16" t="n">
        <f aca="false">IF(INDEX(選手一覧!$J$7:$J$2738,$F942)="","",INDEX(選手一覧!$J$7:$J$2738,$F942))</f>
        <v>0.00297164351851852</v>
      </c>
      <c r="J942" s="17" t="n">
        <f aca="false">IF(INDEX(選手一覧!$K$7:$K$2738,$F942)="","",INDEX(選手一覧!$K$7:$K$2738,$F942))</f>
        <v>1316</v>
      </c>
    </row>
    <row r="943" customFormat="false" ht="15" hidden="false" customHeight="false" outlineLevel="0" collapsed="false">
      <c r="A943" s="17" t="n">
        <v>939</v>
      </c>
      <c r="B943" s="12" t="s">
        <v>1539</v>
      </c>
      <c r="C943" s="12" t="s">
        <v>1540</v>
      </c>
      <c r="D943" s="16" t="n">
        <v>0.0109113425925926</v>
      </c>
      <c r="E943" s="15" t="n">
        <f aca="false">ROUND((D943-$D$5)*86400,2)</f>
        <v>153</v>
      </c>
      <c r="F943" s="17" t="n">
        <v>938</v>
      </c>
      <c r="G943" s="16" t="str">
        <f aca="false">IF(INDEX(選手一覧!$H$7:$H$2738,$F943)="","",INDEX(選手一覧!$H$7:$H$2738,$F943))</f>
        <v/>
      </c>
      <c r="H943" s="17" t="str">
        <f aca="false">IF(INDEX(選手一覧!$I$7:$I$2738,$F943)="","",INDEX(選手一覧!$I$7:$I$2738,$F943))</f>
        <v/>
      </c>
      <c r="I943" s="16" t="n">
        <f aca="false">IF(INDEX(選手一覧!$J$7:$J$2738,$F943)="","",INDEX(選手一覧!$J$7:$J$2738,$F943))</f>
        <v>0.00287858796296296</v>
      </c>
      <c r="J943" s="17" t="n">
        <f aca="false">IF(INDEX(選手一覧!$K$7:$K$2738,$F943)="","",INDEX(選手一覧!$K$7:$K$2738,$F943))</f>
        <v>759</v>
      </c>
    </row>
    <row r="944" customFormat="false" ht="15" hidden="false" customHeight="false" outlineLevel="0" collapsed="false">
      <c r="A944" s="17" t="n">
        <v>940</v>
      </c>
      <c r="B944" s="12" t="s">
        <v>1541</v>
      </c>
      <c r="C944" s="12" t="s">
        <v>478</v>
      </c>
      <c r="D944" s="16" t="n">
        <v>0.0109114583333333</v>
      </c>
      <c r="E944" s="15" t="n">
        <f aca="false">ROUND((D944-$D$5)*86400,2)</f>
        <v>153.01</v>
      </c>
      <c r="F944" s="17" t="n">
        <v>939</v>
      </c>
      <c r="G944" s="16" t="n">
        <f aca="false">IF(INDEX(選手一覧!$H$7:$H$2738,$F944)="","",INDEX(選手一覧!$H$7:$H$2738,$F944))</f>
        <v>0.00692696759259259</v>
      </c>
      <c r="H944" s="17" t="n">
        <f aca="false">IF(INDEX(選手一覧!$I$7:$I$2738,$F944)="","",INDEX(選手一覧!$I$7:$I$2738,$F944))</f>
        <v>267</v>
      </c>
      <c r="I944" s="16" t="n">
        <f aca="false">IF(INDEX(選手一覧!$J$7:$J$2738,$F944)="","",INDEX(選手一覧!$J$7:$J$2738,$F944))</f>
        <v>0.00289166666666667</v>
      </c>
      <c r="J944" s="17" t="n">
        <f aca="false">IF(INDEX(選手一覧!$K$7:$K$2738,$F944)="","",INDEX(選手一覧!$K$7:$K$2738,$F944))</f>
        <v>884</v>
      </c>
    </row>
    <row r="945" customFormat="false" ht="15" hidden="false" customHeight="false" outlineLevel="0" collapsed="false">
      <c r="A945" s="17" t="n">
        <v>941</v>
      </c>
      <c r="B945" s="12" t="s">
        <v>1542</v>
      </c>
      <c r="C945" s="12" t="s">
        <v>150</v>
      </c>
      <c r="D945" s="16" t="n">
        <v>0.0109116898148148</v>
      </c>
      <c r="E945" s="15" t="n">
        <f aca="false">ROUND((D945-$D$5)*86400,2)</f>
        <v>153.03</v>
      </c>
      <c r="F945" s="17" t="n">
        <v>940</v>
      </c>
      <c r="G945" s="16" t="str">
        <f aca="false">IF(INDEX(選手一覧!$H$7:$H$2738,$F945)="","",INDEX(選手一覧!$H$7:$H$2738,$F945))</f>
        <v/>
      </c>
      <c r="H945" s="17" t="str">
        <f aca="false">IF(INDEX(選手一覧!$I$7:$I$2738,$F945)="","",INDEX(選手一覧!$I$7:$I$2738,$F945))</f>
        <v/>
      </c>
      <c r="I945" s="16" t="str">
        <f aca="false">IF(INDEX(選手一覧!$J$7:$J$2738,$F945)="","",INDEX(選手一覧!$J$7:$J$2738,$F945))</f>
        <v/>
      </c>
      <c r="J945" s="17" t="str">
        <f aca="false">IF(INDEX(選手一覧!$K$7:$K$2738,$F945)="","",INDEX(選手一覧!$K$7:$K$2738,$F945))</f>
        <v/>
      </c>
    </row>
    <row r="946" customFormat="false" ht="15" hidden="false" customHeight="false" outlineLevel="0" collapsed="false">
      <c r="A946" s="17" t="n">
        <v>942</v>
      </c>
      <c r="B946" s="12" t="s">
        <v>1543</v>
      </c>
      <c r="C946" s="12" t="s">
        <v>214</v>
      </c>
      <c r="D946" s="16" t="n">
        <v>0.0109127314814815</v>
      </c>
      <c r="E946" s="15" t="n">
        <f aca="false">ROUND((D946-$D$5)*86400,2)</f>
        <v>153.12</v>
      </c>
      <c r="F946" s="17" t="n">
        <v>941</v>
      </c>
      <c r="G946" s="16" t="n">
        <f aca="false">IF(INDEX(選手一覧!$H$7:$H$2738,$F946)="","",INDEX(選手一覧!$H$7:$H$2738,$F946))</f>
        <v>0.00679247685185185</v>
      </c>
      <c r="H946" s="17" t="n">
        <f aca="false">IF(INDEX(選手一覧!$I$7:$I$2738,$F946)="","",INDEX(選手一覧!$I$7:$I$2738,$F946))</f>
        <v>164</v>
      </c>
      <c r="I946" s="16" t="n">
        <f aca="false">IF(INDEX(選手一覧!$J$7:$J$2738,$F946)="","",INDEX(選手一覧!$J$7:$J$2738,$F946))</f>
        <v>0.00288148148148148</v>
      </c>
      <c r="J946" s="17" t="n">
        <f aca="false">IF(INDEX(選手一覧!$K$7:$K$2738,$F946)="","",INDEX(選手一覧!$K$7:$K$2738,$F946))</f>
        <v>783</v>
      </c>
    </row>
    <row r="947" customFormat="false" ht="15" hidden="false" customHeight="false" outlineLevel="0" collapsed="false">
      <c r="A947" s="17" t="n">
        <v>943</v>
      </c>
      <c r="B947" s="12" t="s">
        <v>1544</v>
      </c>
      <c r="C947" s="12" t="s">
        <v>1146</v>
      </c>
      <c r="D947" s="16" t="n">
        <v>0.0109130787037037</v>
      </c>
      <c r="E947" s="15" t="n">
        <f aca="false">ROUND((D947-$D$5)*86400,2)</f>
        <v>153.15</v>
      </c>
      <c r="F947" s="17" t="n">
        <v>942</v>
      </c>
      <c r="G947" s="16" t="str">
        <f aca="false">IF(INDEX(選手一覧!$H$7:$H$2738,$F947)="","",INDEX(選手一覧!$H$7:$H$2738,$F947))</f>
        <v/>
      </c>
      <c r="H947" s="17" t="str">
        <f aca="false">IF(INDEX(選手一覧!$I$7:$I$2738,$F947)="","",INDEX(選手一覧!$I$7:$I$2738,$F947))</f>
        <v/>
      </c>
      <c r="I947" s="16" t="str">
        <f aca="false">IF(INDEX(選手一覧!$J$7:$J$2738,$F947)="","",INDEX(選手一覧!$J$7:$J$2738,$F947))</f>
        <v/>
      </c>
      <c r="J947" s="17" t="str">
        <f aca="false">IF(INDEX(選手一覧!$K$7:$K$2738,$F947)="","",INDEX(選手一覧!$K$7:$K$2738,$F947))</f>
        <v/>
      </c>
    </row>
    <row r="948" customFormat="false" ht="15" hidden="false" customHeight="false" outlineLevel="0" collapsed="false">
      <c r="A948" s="17" t="n">
        <v>944</v>
      </c>
      <c r="B948" s="12" t="s">
        <v>1545</v>
      </c>
      <c r="C948" s="12" t="s">
        <v>1385</v>
      </c>
      <c r="D948" s="16" t="n">
        <v>0.0109134259259259</v>
      </c>
      <c r="E948" s="15" t="n">
        <f aca="false">ROUND((D948-$D$5)*86400,2)</f>
        <v>153.18</v>
      </c>
      <c r="F948" s="17" t="n">
        <v>943</v>
      </c>
      <c r="G948" s="16" t="str">
        <f aca="false">IF(INDEX(選手一覧!$H$7:$H$2738,$F948)="","",INDEX(選手一覧!$H$7:$H$2738,$F948))</f>
        <v/>
      </c>
      <c r="H948" s="17" t="str">
        <f aca="false">IF(INDEX(選手一覧!$I$7:$I$2738,$F948)="","",INDEX(選手一覧!$I$7:$I$2738,$F948))</f>
        <v/>
      </c>
      <c r="I948" s="16" t="n">
        <f aca="false">IF(INDEX(選手一覧!$J$7:$J$2738,$F948)="","",INDEX(選手一覧!$J$7:$J$2738,$F948))</f>
        <v>0.00279988425925926</v>
      </c>
      <c r="J948" s="17" t="n">
        <f aca="false">IF(INDEX(選手一覧!$K$7:$K$2738,$F948)="","",INDEX(選手一覧!$K$7:$K$2738,$F948))</f>
        <v>283</v>
      </c>
    </row>
    <row r="949" customFormat="false" ht="15" hidden="false" customHeight="false" outlineLevel="0" collapsed="false">
      <c r="A949" s="17" t="n">
        <v>945</v>
      </c>
      <c r="B949" s="12" t="s">
        <v>1546</v>
      </c>
      <c r="C949" s="12" t="s">
        <v>240</v>
      </c>
      <c r="D949" s="16" t="n">
        <v>0.0109134259259259</v>
      </c>
      <c r="E949" s="15" t="n">
        <f aca="false">ROUND((D949-$D$5)*86400,2)</f>
        <v>153.18</v>
      </c>
      <c r="F949" s="17" t="n">
        <v>944</v>
      </c>
      <c r="G949" s="16" t="n">
        <f aca="false">IF(INDEX(選手一覧!$H$7:$H$2738,$F949)="","",INDEX(選手一覧!$H$7:$H$2738,$F949))</f>
        <v>0.00745625</v>
      </c>
      <c r="H949" s="17" t="n">
        <f aca="false">IF(INDEX(選手一覧!$I$7:$I$2738,$F949)="","",INDEX(選手一覧!$I$7:$I$2738,$F949))</f>
        <v>841</v>
      </c>
      <c r="I949" s="16" t="str">
        <f aca="false">IF(INDEX(選手一覧!$J$7:$J$2738,$F949)="","",INDEX(選手一覧!$J$7:$J$2738,$F949))</f>
        <v/>
      </c>
      <c r="J949" s="17" t="str">
        <f aca="false">IF(INDEX(選手一覧!$K$7:$K$2738,$F949)="","",INDEX(選手一覧!$K$7:$K$2738,$F949))</f>
        <v/>
      </c>
    </row>
    <row r="950" customFormat="false" ht="15" hidden="false" customHeight="false" outlineLevel="0" collapsed="false">
      <c r="A950" s="17" t="n">
        <v>946</v>
      </c>
      <c r="B950" s="12" t="s">
        <v>1547</v>
      </c>
      <c r="C950" s="12" t="s">
        <v>1548</v>
      </c>
      <c r="D950" s="16" t="n">
        <v>0.0109144675925926</v>
      </c>
      <c r="E950" s="15" t="n">
        <f aca="false">ROUND((D950-$D$5)*86400,2)</f>
        <v>153.27</v>
      </c>
      <c r="F950" s="17" t="n">
        <v>945</v>
      </c>
      <c r="G950" s="16" t="str">
        <f aca="false">IF(INDEX(選手一覧!$H$7:$H$2738,$F950)="","",INDEX(選手一覧!$H$7:$H$2738,$F950))</f>
        <v/>
      </c>
      <c r="H950" s="17" t="str">
        <f aca="false">IF(INDEX(選手一覧!$I$7:$I$2738,$F950)="","",INDEX(選手一覧!$I$7:$I$2738,$F950))</f>
        <v/>
      </c>
      <c r="I950" s="16" t="n">
        <f aca="false">IF(INDEX(選手一覧!$J$7:$J$2738,$F950)="","",INDEX(選手一覧!$J$7:$J$2738,$F950))</f>
        <v>0.00282488425925926</v>
      </c>
      <c r="J950" s="17" t="n">
        <f aca="false">IF(INDEX(選手一覧!$K$7:$K$2738,$F950)="","",INDEX(選手一覧!$K$7:$K$2738,$F950))</f>
        <v>393</v>
      </c>
    </row>
    <row r="951" customFormat="false" ht="15" hidden="false" customHeight="false" outlineLevel="0" collapsed="false">
      <c r="A951" s="17" t="n">
        <v>947</v>
      </c>
      <c r="B951" s="12" t="s">
        <v>1549</v>
      </c>
      <c r="C951" s="12" t="s">
        <v>1231</v>
      </c>
      <c r="D951" s="16" t="n">
        <v>0.0109165509259259</v>
      </c>
      <c r="E951" s="15" t="n">
        <f aca="false">ROUND((D951-$D$5)*86400,2)</f>
        <v>153.45</v>
      </c>
      <c r="F951" s="17" t="n">
        <v>946</v>
      </c>
      <c r="G951" s="16" t="n">
        <f aca="false">IF(INDEX(選手一覧!$H$7:$H$2738,$F951)="","",INDEX(選手一覧!$H$7:$H$2738,$F951))</f>
        <v>0.00716053240740741</v>
      </c>
      <c r="H951" s="17" t="n">
        <f aca="false">IF(INDEX(選手一覧!$I$7:$I$2738,$F951)="","",INDEX(選手一覧!$I$7:$I$2738,$F951))</f>
        <v>495</v>
      </c>
      <c r="I951" s="16" t="n">
        <f aca="false">IF(INDEX(選手一覧!$J$7:$J$2738,$F951)="","",INDEX(選手一覧!$J$7:$J$2738,$F951))</f>
        <v>0.00290625</v>
      </c>
      <c r="J951" s="17" t="n">
        <f aca="false">IF(INDEX(選手一覧!$K$7:$K$2738,$F951)="","",INDEX(選手一覧!$K$7:$K$2738,$F951))</f>
        <v>990</v>
      </c>
    </row>
    <row r="952" customFormat="false" ht="15" hidden="false" customHeight="false" outlineLevel="0" collapsed="false">
      <c r="A952" s="17" t="n">
        <v>948</v>
      </c>
      <c r="B952" s="12" t="s">
        <v>1550</v>
      </c>
      <c r="C952" s="12" t="s">
        <v>409</v>
      </c>
      <c r="D952" s="16" t="n">
        <v>0.0109170138888889</v>
      </c>
      <c r="E952" s="15" t="n">
        <f aca="false">ROUND((D952-$D$5)*86400,2)</f>
        <v>153.49</v>
      </c>
      <c r="F952" s="17" t="n">
        <v>947</v>
      </c>
      <c r="G952" s="16" t="str">
        <f aca="false">IF(INDEX(選手一覧!$H$7:$H$2738,$F952)="","",INDEX(選手一覧!$H$7:$H$2738,$F952))</f>
        <v/>
      </c>
      <c r="H952" s="17" t="str">
        <f aca="false">IF(INDEX(選手一覧!$I$7:$I$2738,$F952)="","",INDEX(選手一覧!$I$7:$I$2738,$F952))</f>
        <v/>
      </c>
      <c r="I952" s="16" t="str">
        <f aca="false">IF(INDEX(選手一覧!$J$7:$J$2738,$F952)="","",INDEX(選手一覧!$J$7:$J$2738,$F952))</f>
        <v/>
      </c>
      <c r="J952" s="17" t="str">
        <f aca="false">IF(INDEX(選手一覧!$K$7:$K$2738,$F952)="","",INDEX(選手一覧!$K$7:$K$2738,$F952))</f>
        <v/>
      </c>
    </row>
    <row r="953" customFormat="false" ht="15" hidden="false" customHeight="false" outlineLevel="0" collapsed="false">
      <c r="A953" s="17" t="n">
        <v>949</v>
      </c>
      <c r="B953" s="12" t="s">
        <v>1551</v>
      </c>
      <c r="C953" s="12" t="s">
        <v>1552</v>
      </c>
      <c r="D953" s="16" t="n">
        <v>0.0109172453703704</v>
      </c>
      <c r="E953" s="15" t="n">
        <f aca="false">ROUND((D953-$D$5)*86400,2)</f>
        <v>153.51</v>
      </c>
      <c r="F953" s="17" t="n">
        <v>948</v>
      </c>
      <c r="G953" s="16" t="str">
        <f aca="false">IF(INDEX(選手一覧!$H$7:$H$2738,$F953)="","",INDEX(選手一覧!$H$7:$H$2738,$F953))</f>
        <v/>
      </c>
      <c r="H953" s="17" t="str">
        <f aca="false">IF(INDEX(選手一覧!$I$7:$I$2738,$F953)="","",INDEX(選手一覧!$I$7:$I$2738,$F953))</f>
        <v/>
      </c>
      <c r="I953" s="16" t="n">
        <f aca="false">IF(INDEX(選手一覧!$J$7:$J$2738,$F953)="","",INDEX(選手一覧!$J$7:$J$2738,$F953))</f>
        <v>0.00295023148148148</v>
      </c>
      <c r="J953" s="17" t="n">
        <f aca="false">IF(INDEX(選手一覧!$K$7:$K$2738,$F953)="","",INDEX(選手一覧!$K$7:$K$2738,$F953))</f>
        <v>1239</v>
      </c>
    </row>
    <row r="954" customFormat="false" ht="15" hidden="false" customHeight="false" outlineLevel="0" collapsed="false">
      <c r="A954" s="17" t="n">
        <v>950</v>
      </c>
      <c r="B954" s="12" t="s">
        <v>1553</v>
      </c>
      <c r="C954" s="12" t="s">
        <v>440</v>
      </c>
      <c r="D954" s="16" t="n">
        <v>0.0109190972222222</v>
      </c>
      <c r="E954" s="15" t="n">
        <f aca="false">ROUND((D954-$D$5)*86400,2)</f>
        <v>153.67</v>
      </c>
      <c r="F954" s="17" t="n">
        <v>949</v>
      </c>
      <c r="G954" s="16" t="str">
        <f aca="false">IF(INDEX(選手一覧!$H$7:$H$2738,$F954)="","",INDEX(選手一覧!$H$7:$H$2738,$F954))</f>
        <v/>
      </c>
      <c r="H954" s="17" t="str">
        <f aca="false">IF(INDEX(選手一覧!$I$7:$I$2738,$F954)="","",INDEX(選手一覧!$I$7:$I$2738,$F954))</f>
        <v/>
      </c>
      <c r="I954" s="16" t="n">
        <f aca="false">IF(INDEX(選手一覧!$J$7:$J$2738,$F954)="","",INDEX(選手一覧!$J$7:$J$2738,$F954))</f>
        <v>0.0028875</v>
      </c>
      <c r="J954" s="17" t="n">
        <f aca="false">IF(INDEX(選手一覧!$K$7:$K$2738,$F954)="","",INDEX(選手一覧!$K$7:$K$2738,$F954))</f>
        <v>839</v>
      </c>
    </row>
    <row r="955" customFormat="false" ht="15" hidden="false" customHeight="false" outlineLevel="0" collapsed="false">
      <c r="A955" s="17" t="n">
        <v>951</v>
      </c>
      <c r="B955" s="12" t="s">
        <v>1555</v>
      </c>
      <c r="C955" s="12" t="s">
        <v>370</v>
      </c>
      <c r="D955" s="16" t="n">
        <v>0.0109208333333333</v>
      </c>
      <c r="E955" s="15" t="n">
        <f aca="false">ROUND((D955-$D$5)*86400,2)</f>
        <v>153.82</v>
      </c>
      <c r="F955" s="17" t="n">
        <v>950</v>
      </c>
      <c r="G955" s="16" t="n">
        <f aca="false">IF(INDEX(選手一覧!$H$7:$H$2738,$F955)="","",INDEX(選手一覧!$H$7:$H$2738,$F955))</f>
        <v>0.00710694444444444</v>
      </c>
      <c r="H955" s="17" t="n">
        <f aca="false">IF(INDEX(選手一覧!$I$7:$I$2738,$F955)="","",INDEX(選手一覧!$I$7:$I$2738,$F955))</f>
        <v>455</v>
      </c>
      <c r="I955" s="16" t="str">
        <f aca="false">IF(INDEX(選手一覧!$J$7:$J$2738,$F955)="","",INDEX(選手一覧!$J$7:$J$2738,$F955))</f>
        <v/>
      </c>
      <c r="J955" s="17" t="str">
        <f aca="false">IF(INDEX(選手一覧!$K$7:$K$2738,$F955)="","",INDEX(選手一覧!$K$7:$K$2738,$F955))</f>
        <v/>
      </c>
    </row>
    <row r="956" customFormat="false" ht="15" hidden="false" customHeight="false" outlineLevel="0" collapsed="false">
      <c r="A956" s="17" t="n">
        <v>952</v>
      </c>
      <c r="B956" s="12" t="s">
        <v>1556</v>
      </c>
      <c r="C956" s="12" t="s">
        <v>565</v>
      </c>
      <c r="D956" s="16" t="n">
        <v>0.0109219907407407</v>
      </c>
      <c r="E956" s="15" t="n">
        <f aca="false">ROUND((D956-$D$5)*86400,2)</f>
        <v>153.92</v>
      </c>
      <c r="F956" s="17" t="n">
        <v>951</v>
      </c>
      <c r="G956" s="16" t="n">
        <f aca="false">IF(INDEX(選手一覧!$H$7:$H$2738,$F956)="","",INDEX(選手一覧!$H$7:$H$2738,$F956))</f>
        <v>0.00695462962962963</v>
      </c>
      <c r="H956" s="17" t="n">
        <f aca="false">IF(INDEX(選手一覧!$I$7:$I$2738,$F956)="","",INDEX(選手一覧!$I$7:$I$2738,$F956))</f>
        <v>288</v>
      </c>
      <c r="I956" s="16" t="n">
        <f aca="false">IF(INDEX(選手一覧!$J$7:$J$2738,$F956)="","",INDEX(選手一覧!$J$7:$J$2738,$F956))</f>
        <v>0.00287835648148148</v>
      </c>
      <c r="J956" s="17" t="n">
        <f aca="false">IF(INDEX(選手一覧!$K$7:$K$2738,$F956)="","",INDEX(選手一覧!$K$7:$K$2738,$F956))</f>
        <v>755</v>
      </c>
    </row>
    <row r="957" customFormat="false" ht="15" hidden="false" customHeight="false" outlineLevel="0" collapsed="false">
      <c r="A957" s="17" t="n">
        <v>953</v>
      </c>
      <c r="B957" s="12" t="s">
        <v>1557</v>
      </c>
      <c r="C957" s="12" t="s">
        <v>1558</v>
      </c>
      <c r="D957" s="16" t="n">
        <v>0.0109225694444444</v>
      </c>
      <c r="E957" s="15" t="n">
        <f aca="false">ROUND((D957-$D$5)*86400,2)</f>
        <v>153.97</v>
      </c>
      <c r="F957" s="17" t="n">
        <v>952</v>
      </c>
      <c r="G957" s="16" t="str">
        <f aca="false">IF(INDEX(選手一覧!$H$7:$H$2738,$F957)="","",INDEX(選手一覧!$H$7:$H$2738,$F957))</f>
        <v/>
      </c>
      <c r="H957" s="17" t="str">
        <f aca="false">IF(INDEX(選手一覧!$I$7:$I$2738,$F957)="","",INDEX(選手一覧!$I$7:$I$2738,$F957))</f>
        <v/>
      </c>
      <c r="I957" s="16" t="n">
        <f aca="false">IF(INDEX(選手一覧!$J$7:$J$2738,$F957)="","",INDEX(選手一覧!$J$7:$J$2738,$F957))</f>
        <v>0.00285578703703704</v>
      </c>
      <c r="J957" s="17" t="n">
        <f aca="false">IF(INDEX(選手一覧!$K$7:$K$2738,$F957)="","",INDEX(選手一覧!$K$7:$K$2738,$F957))</f>
        <v>604</v>
      </c>
    </row>
    <row r="958" customFormat="false" ht="15" hidden="false" customHeight="false" outlineLevel="0" collapsed="false">
      <c r="A958" s="17" t="n">
        <v>954</v>
      </c>
      <c r="B958" s="12" t="s">
        <v>1559</v>
      </c>
      <c r="C958" s="12" t="s">
        <v>1560</v>
      </c>
      <c r="D958" s="16" t="n">
        <v>0.0109225694444444</v>
      </c>
      <c r="E958" s="15" t="n">
        <f aca="false">ROUND((D958-$D$5)*86400,2)</f>
        <v>153.97</v>
      </c>
      <c r="F958" s="17" t="n">
        <v>953</v>
      </c>
      <c r="G958" s="16" t="n">
        <f aca="false">IF(INDEX(選手一覧!$H$7:$H$2738,$F958)="","",INDEX(選手一覧!$H$7:$H$2738,$F958))</f>
        <v>0.00734189814814815</v>
      </c>
      <c r="H958" s="17" t="n">
        <f aca="false">IF(INDEX(選手一覧!$I$7:$I$2738,$F958)="","",INDEX(選手一覧!$I$7:$I$2738,$F958))</f>
        <v>699</v>
      </c>
      <c r="I958" s="16" t="n">
        <f aca="false">IF(INDEX(選手一覧!$J$7:$J$2738,$F958)="","",INDEX(選手一覧!$J$7:$J$2738,$F958))</f>
        <v>0.00295</v>
      </c>
      <c r="J958" s="17" t="n">
        <f aca="false">IF(INDEX(選手一覧!$K$7:$K$2738,$F958)="","",INDEX(選手一覧!$K$7:$K$2738,$F958))</f>
        <v>1237</v>
      </c>
    </row>
    <row r="959" customFormat="false" ht="15" hidden="false" customHeight="false" outlineLevel="0" collapsed="false">
      <c r="A959" s="17" t="n">
        <v>955</v>
      </c>
      <c r="B959" s="12" t="s">
        <v>1561</v>
      </c>
      <c r="C959" s="12" t="s">
        <v>323</v>
      </c>
      <c r="D959" s="16" t="n">
        <v>0.0109229166666667</v>
      </c>
      <c r="E959" s="15" t="n">
        <f aca="false">ROUND((D959-$D$5)*86400,2)</f>
        <v>154</v>
      </c>
      <c r="F959" s="17" t="n">
        <v>954</v>
      </c>
      <c r="G959" s="16" t="n">
        <f aca="false">IF(INDEX(選手一覧!$H$7:$H$2738,$F959)="","",INDEX(選手一覧!$H$7:$H$2738,$F959))</f>
        <v>0.00720891203703704</v>
      </c>
      <c r="H959" s="17" t="n">
        <f aca="false">IF(INDEX(選手一覧!$I$7:$I$2738,$F959)="","",INDEX(選手一覧!$I$7:$I$2738,$F959))</f>
        <v>545</v>
      </c>
      <c r="I959" s="16" t="n">
        <f aca="false">IF(INDEX(選手一覧!$J$7:$J$2738,$F959)="","",INDEX(選手一覧!$J$7:$J$2738,$F959))</f>
        <v>0.00281759259259259</v>
      </c>
      <c r="J959" s="17" t="n">
        <f aca="false">IF(INDEX(選手一覧!$K$7:$K$2738,$F959)="","",INDEX(選手一覧!$K$7:$K$2738,$F959))</f>
        <v>353</v>
      </c>
    </row>
    <row r="960" customFormat="false" ht="15" hidden="false" customHeight="false" outlineLevel="0" collapsed="false">
      <c r="A960" s="17" t="n">
        <v>956</v>
      </c>
      <c r="B960" s="12" t="s">
        <v>1562</v>
      </c>
      <c r="C960" s="12" t="s">
        <v>417</v>
      </c>
      <c r="D960" s="16" t="n">
        <v>0.0109230324074074</v>
      </c>
      <c r="E960" s="15" t="n">
        <f aca="false">ROUND((D960-$D$5)*86400,2)</f>
        <v>154.01</v>
      </c>
      <c r="F960" s="17" t="n">
        <v>955</v>
      </c>
      <c r="G960" s="16" t="str">
        <f aca="false">IF(INDEX(選手一覧!$H$7:$H$2738,$F960)="","",INDEX(選手一覧!$H$7:$H$2738,$F960))</f>
        <v/>
      </c>
      <c r="H960" s="17" t="str">
        <f aca="false">IF(INDEX(選手一覧!$I$7:$I$2738,$F960)="","",INDEX(選手一覧!$I$7:$I$2738,$F960))</f>
        <v/>
      </c>
      <c r="I960" s="16" t="str">
        <f aca="false">IF(INDEX(選手一覧!$J$7:$J$2738,$F960)="","",INDEX(選手一覧!$J$7:$J$2738,$F960))</f>
        <v/>
      </c>
      <c r="J960" s="17" t="str">
        <f aca="false">IF(INDEX(選手一覧!$K$7:$K$2738,$F960)="","",INDEX(選手一覧!$K$7:$K$2738,$F960))</f>
        <v/>
      </c>
    </row>
    <row r="961" customFormat="false" ht="15" hidden="false" customHeight="false" outlineLevel="0" collapsed="false">
      <c r="A961" s="17" t="n">
        <v>957</v>
      </c>
      <c r="B961" s="12" t="s">
        <v>1563</v>
      </c>
      <c r="C961" s="12" t="s">
        <v>599</v>
      </c>
      <c r="D961" s="16" t="n">
        <v>0.0109230324074074</v>
      </c>
      <c r="E961" s="15" t="n">
        <f aca="false">ROUND((D961-$D$5)*86400,2)</f>
        <v>154.01</v>
      </c>
      <c r="F961" s="17" t="n">
        <v>956</v>
      </c>
      <c r="G961" s="16" t="str">
        <f aca="false">IF(INDEX(選手一覧!$H$7:$H$2738,$F961)="","",INDEX(選手一覧!$H$7:$H$2738,$F961))</f>
        <v/>
      </c>
      <c r="H961" s="17" t="str">
        <f aca="false">IF(INDEX(選手一覧!$I$7:$I$2738,$F961)="","",INDEX(選手一覧!$I$7:$I$2738,$F961))</f>
        <v/>
      </c>
      <c r="I961" s="16" t="n">
        <f aca="false">IF(INDEX(選手一覧!$J$7:$J$2738,$F961)="","",INDEX(選手一覧!$J$7:$J$2738,$F961))</f>
        <v>0.00293958333333333</v>
      </c>
      <c r="J961" s="17" t="n">
        <f aca="false">IF(INDEX(選手一覧!$K$7:$K$2738,$F961)="","",INDEX(選手一覧!$K$7:$K$2738,$F961))</f>
        <v>1199</v>
      </c>
    </row>
    <row r="962" customFormat="false" ht="15" hidden="false" customHeight="false" outlineLevel="0" collapsed="false">
      <c r="A962" s="17" t="n">
        <v>958</v>
      </c>
      <c r="B962" s="12" t="s">
        <v>1564</v>
      </c>
      <c r="C962" s="12" t="s">
        <v>949</v>
      </c>
      <c r="D962" s="16" t="n">
        <v>0.0109230324074074</v>
      </c>
      <c r="E962" s="15" t="n">
        <f aca="false">ROUND((D962-$D$5)*86400,2)</f>
        <v>154.01</v>
      </c>
      <c r="F962" s="17" t="n">
        <v>957</v>
      </c>
      <c r="G962" s="16" t="str">
        <f aca="false">IF(INDEX(選手一覧!$H$7:$H$2738,$F962)="","",INDEX(選手一覧!$H$7:$H$2738,$F962))</f>
        <v/>
      </c>
      <c r="H962" s="17" t="str">
        <f aca="false">IF(INDEX(選手一覧!$I$7:$I$2738,$F962)="","",INDEX(選手一覧!$I$7:$I$2738,$F962))</f>
        <v/>
      </c>
      <c r="I962" s="16" t="n">
        <f aca="false">IF(INDEX(選手一覧!$J$7:$J$2738,$F962)="","",INDEX(選手一覧!$J$7:$J$2738,$F962))</f>
        <v>0.00297407407407407</v>
      </c>
      <c r="J962" s="17" t="n">
        <f aca="false">IF(INDEX(選手一覧!$K$7:$K$2738,$F962)="","",INDEX(選手一覧!$K$7:$K$2738,$F962))</f>
        <v>1323</v>
      </c>
    </row>
    <row r="963" customFormat="false" ht="15" hidden="false" customHeight="false" outlineLevel="0" collapsed="false">
      <c r="A963" s="17" t="n">
        <v>959</v>
      </c>
      <c r="B963" s="12" t="s">
        <v>1565</v>
      </c>
      <c r="C963" s="12" t="s">
        <v>228</v>
      </c>
      <c r="D963" s="16" t="n">
        <v>0.0109282407407407</v>
      </c>
      <c r="E963" s="15" t="n">
        <f aca="false">ROUND((D963-$D$5)*86400,2)</f>
        <v>154.46</v>
      </c>
      <c r="F963" s="17" t="n">
        <v>958</v>
      </c>
      <c r="G963" s="16" t="str">
        <f aca="false">IF(INDEX(選手一覧!$H$7:$H$2738,$F963)="","",INDEX(選手一覧!$H$7:$H$2738,$F963))</f>
        <v/>
      </c>
      <c r="H963" s="17" t="str">
        <f aca="false">IF(INDEX(選手一覧!$I$7:$I$2738,$F963)="","",INDEX(選手一覧!$I$7:$I$2738,$F963))</f>
        <v/>
      </c>
      <c r="I963" s="16" t="str">
        <f aca="false">IF(INDEX(選手一覧!$J$7:$J$2738,$F963)="","",INDEX(選手一覧!$J$7:$J$2738,$F963))</f>
        <v/>
      </c>
      <c r="J963" s="17" t="str">
        <f aca="false">IF(INDEX(選手一覧!$K$7:$K$2738,$F963)="","",INDEX(選手一覧!$K$7:$K$2738,$F963))</f>
        <v/>
      </c>
    </row>
    <row r="964" customFormat="false" ht="15" hidden="false" customHeight="false" outlineLevel="0" collapsed="false">
      <c r="A964" s="17" t="n">
        <v>960</v>
      </c>
      <c r="B964" s="12" t="s">
        <v>1567</v>
      </c>
      <c r="C964" s="12" t="s">
        <v>1568</v>
      </c>
      <c r="D964" s="16" t="n">
        <v>0.0109263888888889</v>
      </c>
      <c r="E964" s="15" t="n">
        <f aca="false">ROUND((D964-$D$5)*86400,2)</f>
        <v>154.3</v>
      </c>
      <c r="F964" s="17" t="n">
        <v>959</v>
      </c>
      <c r="G964" s="16" t="str">
        <f aca="false">IF(INDEX(選手一覧!$H$7:$H$2738,$F964)="","",INDEX(選手一覧!$H$7:$H$2738,$F964))</f>
        <v/>
      </c>
      <c r="H964" s="17" t="str">
        <f aca="false">IF(INDEX(選手一覧!$I$7:$I$2738,$F964)="","",INDEX(選手一覧!$I$7:$I$2738,$F964))</f>
        <v/>
      </c>
      <c r="I964" s="16" t="str">
        <f aca="false">IF(INDEX(選手一覧!$J$7:$J$2738,$F964)="","",INDEX(選手一覧!$J$7:$J$2738,$F964))</f>
        <v/>
      </c>
      <c r="J964" s="17" t="str">
        <f aca="false">IF(INDEX(選手一覧!$K$7:$K$2738,$F964)="","",INDEX(選手一覧!$K$7:$K$2738,$F964))</f>
        <v/>
      </c>
    </row>
    <row r="965" customFormat="false" ht="15" hidden="false" customHeight="false" outlineLevel="0" collapsed="false">
      <c r="A965" s="17" t="n">
        <v>961</v>
      </c>
      <c r="B965" s="12" t="s">
        <v>1569</v>
      </c>
      <c r="C965" s="12" t="s">
        <v>1570</v>
      </c>
      <c r="D965" s="16" t="n">
        <v>0.0109266203703704</v>
      </c>
      <c r="E965" s="15" t="n">
        <f aca="false">ROUND((D965-$D$5)*86400,2)</f>
        <v>154.32</v>
      </c>
      <c r="F965" s="17" t="n">
        <v>960</v>
      </c>
      <c r="G965" s="16" t="str">
        <f aca="false">IF(INDEX(選手一覧!$H$7:$H$2738,$F965)="","",INDEX(選手一覧!$H$7:$H$2738,$F965))</f>
        <v/>
      </c>
      <c r="H965" s="17" t="str">
        <f aca="false">IF(INDEX(選手一覧!$I$7:$I$2738,$F965)="","",INDEX(選手一覧!$I$7:$I$2738,$F965))</f>
        <v/>
      </c>
      <c r="I965" s="16" t="n">
        <f aca="false">IF(INDEX(選手一覧!$J$7:$J$2738,$F965)="","",INDEX(選手一覧!$J$7:$J$2738,$F965))</f>
        <v>0.00290069444444444</v>
      </c>
      <c r="J965" s="17" t="n">
        <f aca="false">IF(INDEX(選手一覧!$K$7:$K$2738,$F965)="","",INDEX(選手一覧!$K$7:$K$2738,$F965))</f>
        <v>953</v>
      </c>
    </row>
    <row r="966" customFormat="false" ht="15" hidden="false" customHeight="false" outlineLevel="0" collapsed="false">
      <c r="A966" s="17" t="n">
        <v>962</v>
      </c>
      <c r="B966" s="12" t="s">
        <v>1571</v>
      </c>
      <c r="C966" s="12" t="s">
        <v>71</v>
      </c>
      <c r="D966" s="16" t="n">
        <v>0.0109270833333333</v>
      </c>
      <c r="E966" s="15" t="n">
        <f aca="false">ROUND((D966-$D$5)*86400,2)</f>
        <v>154.36</v>
      </c>
      <c r="F966" s="17" t="n">
        <v>961</v>
      </c>
      <c r="G966" s="16" t="n">
        <f aca="false">IF(INDEX(選手一覧!$H$7:$H$2738,$F966)="","",INDEX(選手一覧!$H$7:$H$2738,$F966))</f>
        <v>0.00700451388888889</v>
      </c>
      <c r="H966" s="17" t="n">
        <f aca="false">IF(INDEX(選手一覧!$I$7:$I$2738,$F966)="","",INDEX(選手一覧!$I$7:$I$2738,$F966))</f>
        <v>340</v>
      </c>
      <c r="I966" s="16" t="str">
        <f aca="false">IF(INDEX(選手一覧!$J$7:$J$2738,$F966)="","",INDEX(選手一覧!$J$7:$J$2738,$F966))</f>
        <v/>
      </c>
      <c r="J966" s="17" t="str">
        <f aca="false">IF(INDEX(選手一覧!$K$7:$K$2738,$F966)="","",INDEX(選手一覧!$K$7:$K$2738,$F966))</f>
        <v/>
      </c>
    </row>
    <row r="967" customFormat="false" ht="15" hidden="false" customHeight="false" outlineLevel="0" collapsed="false">
      <c r="A967" s="17" t="n">
        <v>963</v>
      </c>
      <c r="B967" s="12" t="s">
        <v>1572</v>
      </c>
      <c r="C967" s="12" t="s">
        <v>318</v>
      </c>
      <c r="D967" s="16" t="n">
        <v>0.0109284722222222</v>
      </c>
      <c r="E967" s="15" t="n">
        <f aca="false">ROUND((D967-$D$5)*86400,2)</f>
        <v>154.48</v>
      </c>
      <c r="F967" s="17" t="n">
        <v>962</v>
      </c>
      <c r="G967" s="16" t="str">
        <f aca="false">IF(INDEX(選手一覧!$H$7:$H$2738,$F967)="","",INDEX(選手一覧!$H$7:$H$2738,$F967))</f>
        <v/>
      </c>
      <c r="H967" s="17" t="str">
        <f aca="false">IF(INDEX(選手一覧!$I$7:$I$2738,$F967)="","",INDEX(選手一覧!$I$7:$I$2738,$F967))</f>
        <v/>
      </c>
      <c r="I967" s="16" t="str">
        <f aca="false">IF(INDEX(選手一覧!$J$7:$J$2738,$F967)="","",INDEX(選手一覧!$J$7:$J$2738,$F967))</f>
        <v/>
      </c>
      <c r="J967" s="17" t="str">
        <f aca="false">IF(INDEX(選手一覧!$K$7:$K$2738,$F967)="","",INDEX(選手一覧!$K$7:$K$2738,$F967))</f>
        <v/>
      </c>
    </row>
    <row r="968" customFormat="false" ht="15" hidden="false" customHeight="false" outlineLevel="0" collapsed="false">
      <c r="A968" s="17" t="n">
        <v>964</v>
      </c>
      <c r="B968" s="12" t="s">
        <v>1573</v>
      </c>
      <c r="C968" s="12" t="s">
        <v>1574</v>
      </c>
      <c r="D968" s="16" t="n">
        <v>0.0109287037037037</v>
      </c>
      <c r="E968" s="15" t="n">
        <f aca="false">ROUND((D968-$D$5)*86400,2)</f>
        <v>154.5</v>
      </c>
      <c r="F968" s="17" t="n">
        <v>963</v>
      </c>
      <c r="G968" s="16" t="str">
        <f aca="false">IF(INDEX(選手一覧!$H$7:$H$2738,$F968)="","",INDEX(選手一覧!$H$7:$H$2738,$F968))</f>
        <v/>
      </c>
      <c r="H968" s="17" t="str">
        <f aca="false">IF(INDEX(選手一覧!$I$7:$I$2738,$F968)="","",INDEX(選手一覧!$I$7:$I$2738,$F968))</f>
        <v/>
      </c>
      <c r="I968" s="16" t="n">
        <f aca="false">IF(INDEX(選手一覧!$J$7:$J$2738,$F968)="","",INDEX(選手一覧!$J$7:$J$2738,$F968))</f>
        <v>0.00289722222222222</v>
      </c>
      <c r="J968" s="17" t="n">
        <f aca="false">IF(INDEX(選手一覧!$K$7:$K$2738,$F968)="","",INDEX(選手一覧!$K$7:$K$2738,$F968))</f>
        <v>926</v>
      </c>
    </row>
    <row r="969" customFormat="false" ht="15" hidden="false" customHeight="false" outlineLevel="0" collapsed="false">
      <c r="A969" s="17" t="n">
        <v>965</v>
      </c>
      <c r="B969" s="12" t="s">
        <v>1575</v>
      </c>
      <c r="C969" s="12" t="s">
        <v>1576</v>
      </c>
      <c r="D969" s="16" t="n">
        <v>0.0109290509259259</v>
      </c>
      <c r="E969" s="15" t="n">
        <f aca="false">ROUND((D969-$D$5)*86400,2)</f>
        <v>154.53</v>
      </c>
      <c r="F969" s="17" t="n">
        <v>964</v>
      </c>
      <c r="G969" s="16" t="str">
        <f aca="false">IF(INDEX(選手一覧!$H$7:$H$2738,$F969)="","",INDEX(選手一覧!$H$7:$H$2738,$F969))</f>
        <v/>
      </c>
      <c r="H969" s="17" t="str">
        <f aca="false">IF(INDEX(選手一覧!$I$7:$I$2738,$F969)="","",INDEX(選手一覧!$I$7:$I$2738,$F969))</f>
        <v/>
      </c>
      <c r="I969" s="16" t="n">
        <f aca="false">IF(INDEX(選手一覧!$J$7:$J$2738,$F969)="","",INDEX(選手一覧!$J$7:$J$2738,$F969))</f>
        <v>0.002915625</v>
      </c>
      <c r="J969" s="17" t="n">
        <f aca="false">IF(INDEX(選手一覧!$K$7:$K$2738,$F969)="","",INDEX(選手一覧!$K$7:$K$2738,$F969))</f>
        <v>1057</v>
      </c>
    </row>
    <row r="970" customFormat="false" ht="15" hidden="false" customHeight="false" outlineLevel="0" collapsed="false">
      <c r="A970" s="17" t="n">
        <v>966</v>
      </c>
      <c r="B970" s="12" t="s">
        <v>1577</v>
      </c>
      <c r="C970" s="12" t="s">
        <v>515</v>
      </c>
      <c r="D970" s="16" t="n">
        <v>0.0109295138888889</v>
      </c>
      <c r="E970" s="15" t="n">
        <f aca="false">ROUND((D970-$D$5)*86400,2)</f>
        <v>154.57</v>
      </c>
      <c r="F970" s="17" t="n">
        <v>965</v>
      </c>
      <c r="G970" s="16" t="n">
        <f aca="false">IF(INDEX(選手一覧!$H$7:$H$2738,$F970)="","",INDEX(選手一覧!$H$7:$H$2738,$F970))</f>
        <v>0.00689884259259259</v>
      </c>
      <c r="H970" s="17" t="n">
        <f aca="false">IF(INDEX(選手一覧!$I$7:$I$2738,$F970)="","",INDEX(選手一覧!$I$7:$I$2738,$F970))</f>
        <v>239</v>
      </c>
      <c r="I970" s="16" t="n">
        <f aca="false">IF(INDEX(選手一覧!$J$7:$J$2738,$F970)="","",INDEX(選手一覧!$J$7:$J$2738,$F970))</f>
        <v>0.00297673611111111</v>
      </c>
      <c r="J970" s="17" t="n">
        <f aca="false">IF(INDEX(選手一覧!$K$7:$K$2738,$F970)="","",INDEX(選手一覧!$K$7:$K$2738,$F970))</f>
        <v>1337</v>
      </c>
    </row>
    <row r="971" customFormat="false" ht="15" hidden="false" customHeight="false" outlineLevel="0" collapsed="false">
      <c r="A971" s="17" t="n">
        <v>967</v>
      </c>
      <c r="B971" s="12" t="s">
        <v>1578</v>
      </c>
      <c r="C971" s="12" t="s">
        <v>1579</v>
      </c>
      <c r="D971" s="16" t="n">
        <v>0.0109299768518519</v>
      </c>
      <c r="E971" s="15" t="n">
        <f aca="false">ROUND((D971-$D$5)*86400,2)</f>
        <v>154.61</v>
      </c>
      <c r="F971" s="17" t="n">
        <v>966</v>
      </c>
      <c r="G971" s="16" t="str">
        <f aca="false">IF(INDEX(選手一覧!$H$7:$H$2738,$F971)="","",INDEX(選手一覧!$H$7:$H$2738,$F971))</f>
        <v/>
      </c>
      <c r="H971" s="17" t="str">
        <f aca="false">IF(INDEX(選手一覧!$I$7:$I$2738,$F971)="","",INDEX(選手一覧!$I$7:$I$2738,$F971))</f>
        <v/>
      </c>
      <c r="I971" s="16" t="n">
        <f aca="false">IF(INDEX(選手一覧!$J$7:$J$2738,$F971)="","",INDEX(選手一覧!$J$7:$J$2738,$F971))</f>
        <v>0.002846875</v>
      </c>
      <c r="J971" s="17" t="n">
        <f aca="false">IF(INDEX(選手一覧!$K$7:$K$2738,$F971)="","",INDEX(選手一覧!$K$7:$K$2738,$F971))</f>
        <v>551</v>
      </c>
    </row>
    <row r="972" customFormat="false" ht="15" hidden="false" customHeight="false" outlineLevel="0" collapsed="false">
      <c r="A972" s="17" t="n">
        <v>968</v>
      </c>
      <c r="B972" s="12" t="s">
        <v>1580</v>
      </c>
      <c r="C972" s="12" t="s">
        <v>375</v>
      </c>
      <c r="D972" s="16" t="n">
        <v>0.0109311342592593</v>
      </c>
      <c r="E972" s="15" t="n">
        <f aca="false">ROUND((D972-$D$5)*86400,2)</f>
        <v>154.71</v>
      </c>
      <c r="F972" s="17" t="n">
        <v>967</v>
      </c>
      <c r="G972" s="16" t="str">
        <f aca="false">IF(INDEX(選手一覧!$H$7:$H$2738,$F972)="","",INDEX(選手一覧!$H$7:$H$2738,$F972))</f>
        <v/>
      </c>
      <c r="H972" s="17" t="str">
        <f aca="false">IF(INDEX(選手一覧!$I$7:$I$2738,$F972)="","",INDEX(選手一覧!$I$7:$I$2738,$F972))</f>
        <v/>
      </c>
      <c r="I972" s="16" t="str">
        <f aca="false">IF(INDEX(選手一覧!$J$7:$J$2738,$F972)="","",INDEX(選手一覧!$J$7:$J$2738,$F972))</f>
        <v/>
      </c>
      <c r="J972" s="17" t="str">
        <f aca="false">IF(INDEX(選手一覧!$K$7:$K$2738,$F972)="","",INDEX(選手一覧!$K$7:$K$2738,$F972))</f>
        <v/>
      </c>
    </row>
    <row r="973" customFormat="false" ht="15" hidden="false" customHeight="false" outlineLevel="0" collapsed="false">
      <c r="A973" s="17" t="n">
        <v>969</v>
      </c>
      <c r="B973" s="12" t="s">
        <v>1581</v>
      </c>
      <c r="C973" s="12" t="s">
        <v>757</v>
      </c>
      <c r="D973" s="16" t="n">
        <v>0.0109320601851852</v>
      </c>
      <c r="E973" s="15" t="n">
        <f aca="false">ROUND((D973-$D$5)*86400,2)</f>
        <v>154.79</v>
      </c>
      <c r="F973" s="17" t="n">
        <v>968</v>
      </c>
      <c r="G973" s="16" t="n">
        <f aca="false">IF(INDEX(選手一覧!$H$7:$H$2738,$F973)="","",INDEX(選手一覧!$H$7:$H$2738,$F973))</f>
        <v>0.00716076388888889</v>
      </c>
      <c r="H973" s="17" t="n">
        <f aca="false">IF(INDEX(選手一覧!$I$7:$I$2738,$F973)="","",INDEX(選手一覧!$I$7:$I$2738,$F973))</f>
        <v>497</v>
      </c>
      <c r="I973" s="16" t="str">
        <f aca="false">IF(INDEX(選手一覧!$J$7:$J$2738,$F973)="","",INDEX(選手一覧!$J$7:$J$2738,$F973))</f>
        <v/>
      </c>
      <c r="J973" s="17" t="str">
        <f aca="false">IF(INDEX(選手一覧!$K$7:$K$2738,$F973)="","",INDEX(選手一覧!$K$7:$K$2738,$F973))</f>
        <v/>
      </c>
    </row>
    <row r="974" customFormat="false" ht="15" hidden="false" customHeight="false" outlineLevel="0" collapsed="false">
      <c r="A974" s="17" t="n">
        <v>970</v>
      </c>
      <c r="B974" s="12" t="s">
        <v>1582</v>
      </c>
      <c r="C974" s="12" t="s">
        <v>1583</v>
      </c>
      <c r="D974" s="16" t="n">
        <v>0.0109322916666667</v>
      </c>
      <c r="E974" s="15" t="n">
        <f aca="false">ROUND((D974-$D$5)*86400,2)</f>
        <v>154.81</v>
      </c>
      <c r="F974" s="17" t="n">
        <v>969</v>
      </c>
      <c r="G974" s="16" t="str">
        <f aca="false">IF(INDEX(選手一覧!$H$7:$H$2738,$F974)="","",INDEX(選手一覧!$H$7:$H$2738,$F974))</f>
        <v/>
      </c>
      <c r="H974" s="17" t="str">
        <f aca="false">IF(INDEX(選手一覧!$I$7:$I$2738,$F974)="","",INDEX(選手一覧!$I$7:$I$2738,$F974))</f>
        <v/>
      </c>
      <c r="I974" s="16" t="n">
        <f aca="false">IF(INDEX(選手一覧!$J$7:$J$2738,$F974)="","",INDEX(選手一覧!$J$7:$J$2738,$F974))</f>
        <v>0.00292060185185185</v>
      </c>
      <c r="J974" s="17" t="n">
        <f aca="false">IF(INDEX(選手一覧!$K$7:$K$2738,$F974)="","",INDEX(選手一覧!$K$7:$K$2738,$F974))</f>
        <v>1106</v>
      </c>
    </row>
    <row r="975" customFormat="false" ht="15" hidden="false" customHeight="false" outlineLevel="0" collapsed="false">
      <c r="A975" s="17" t="n">
        <v>971</v>
      </c>
      <c r="B975" s="12" t="s">
        <v>1584</v>
      </c>
      <c r="C975" s="12" t="s">
        <v>159</v>
      </c>
      <c r="D975" s="16" t="n">
        <v>0.0109322916666667</v>
      </c>
      <c r="E975" s="15" t="n">
        <f aca="false">ROUND((D975-$D$5)*86400,2)</f>
        <v>154.81</v>
      </c>
      <c r="F975" s="17" t="n">
        <v>970</v>
      </c>
      <c r="G975" s="16" t="n">
        <f aca="false">IF(INDEX(選手一覧!$H$7:$H$2738,$F975)="","",INDEX(選手一覧!$H$7:$H$2738,$F975))</f>
        <v>0.00676782407407408</v>
      </c>
      <c r="H975" s="17" t="n">
        <f aca="false">IF(INDEX(選手一覧!$I$7:$I$2738,$F975)="","",INDEX(選手一覧!$I$7:$I$2738,$F975))</f>
        <v>146</v>
      </c>
      <c r="I975" s="16" t="n">
        <f aca="false">IF(INDEX(選手一覧!$J$7:$J$2738,$F975)="","",INDEX(選手一覧!$J$7:$J$2738,$F975))</f>
        <v>0.0028806712962963</v>
      </c>
      <c r="J975" s="17" t="n">
        <f aca="false">IF(INDEX(選手一覧!$K$7:$K$2738,$F975)="","",INDEX(選手一覧!$K$7:$K$2738,$F975))</f>
        <v>775</v>
      </c>
    </row>
    <row r="976" customFormat="false" ht="15" hidden="false" customHeight="false" outlineLevel="0" collapsed="false">
      <c r="A976" s="17" t="n">
        <v>972</v>
      </c>
      <c r="B976" s="12" t="s">
        <v>1585</v>
      </c>
      <c r="C976" s="12" t="s">
        <v>1586</v>
      </c>
      <c r="D976" s="16" t="n">
        <v>0.0109325231481482</v>
      </c>
      <c r="E976" s="15" t="n">
        <f aca="false">ROUND((D976-$D$5)*86400,2)</f>
        <v>154.83</v>
      </c>
      <c r="F976" s="17" t="n">
        <v>971</v>
      </c>
      <c r="G976" s="16" t="str">
        <f aca="false">IF(INDEX(選手一覧!$H$7:$H$2738,$F976)="","",INDEX(選手一覧!$H$7:$H$2738,$F976))</f>
        <v/>
      </c>
      <c r="H976" s="17" t="str">
        <f aca="false">IF(INDEX(選手一覧!$I$7:$I$2738,$F976)="","",INDEX(選手一覧!$I$7:$I$2738,$F976))</f>
        <v/>
      </c>
      <c r="I976" s="16" t="n">
        <f aca="false">IF(INDEX(選手一覧!$J$7:$J$2738,$F976)="","",INDEX(選手一覧!$J$7:$J$2738,$F976))</f>
        <v>0.00291712962962963</v>
      </c>
      <c r="J976" s="17" t="n">
        <f aca="false">IF(INDEX(選手一覧!$K$7:$K$2738,$F976)="","",INDEX(選手一覧!$K$7:$K$2738,$F976))</f>
        <v>1068</v>
      </c>
    </row>
    <row r="977" customFormat="false" ht="15" hidden="false" customHeight="false" outlineLevel="0" collapsed="false">
      <c r="A977" s="17" t="n">
        <v>973</v>
      </c>
      <c r="B977" s="12" t="s">
        <v>1587</v>
      </c>
      <c r="C977" s="12" t="s">
        <v>522</v>
      </c>
      <c r="D977" s="16" t="n">
        <v>0.0109334490740741</v>
      </c>
      <c r="E977" s="15" t="n">
        <f aca="false">ROUND((D977-$D$5)*86400,2)</f>
        <v>154.91</v>
      </c>
      <c r="F977" s="17" t="n">
        <v>972</v>
      </c>
      <c r="G977" s="16" t="str">
        <f aca="false">IF(INDEX(選手一覧!$H$7:$H$2738,$F977)="","",INDEX(選手一覧!$H$7:$H$2738,$F977))</f>
        <v/>
      </c>
      <c r="H977" s="17" t="str">
        <f aca="false">IF(INDEX(選手一覧!$I$7:$I$2738,$F977)="","",INDEX(選手一覧!$I$7:$I$2738,$F977))</f>
        <v/>
      </c>
      <c r="I977" s="16" t="n">
        <f aca="false">IF(INDEX(選手一覧!$J$7:$J$2738,$F977)="","",INDEX(選手一覧!$J$7:$J$2738,$F977))</f>
        <v>0.00297222222222222</v>
      </c>
      <c r="J977" s="17" t="n">
        <f aca="false">IF(INDEX(選手一覧!$K$7:$K$2738,$F977)="","",INDEX(選手一覧!$K$7:$K$2738,$F977))</f>
        <v>1319</v>
      </c>
    </row>
    <row r="978" customFormat="false" ht="15" hidden="false" customHeight="false" outlineLevel="0" collapsed="false">
      <c r="A978" s="17" t="n">
        <v>974</v>
      </c>
      <c r="B978" s="12" t="s">
        <v>1588</v>
      </c>
      <c r="C978" s="12" t="s">
        <v>1265</v>
      </c>
      <c r="D978" s="16" t="n">
        <v>0.0109337962962963</v>
      </c>
      <c r="E978" s="15" t="n">
        <f aca="false">ROUND((D978-$D$5)*86400,2)</f>
        <v>154.94</v>
      </c>
      <c r="F978" s="17" t="n">
        <v>973</v>
      </c>
      <c r="G978" s="16" t="str">
        <f aca="false">IF(INDEX(選手一覧!$H$7:$H$2738,$F978)="","",INDEX(選手一覧!$H$7:$H$2738,$F978))</f>
        <v/>
      </c>
      <c r="H978" s="17" t="str">
        <f aca="false">IF(INDEX(選手一覧!$I$7:$I$2738,$F978)="","",INDEX(選手一覧!$I$7:$I$2738,$F978))</f>
        <v/>
      </c>
      <c r="I978" s="16" t="n">
        <f aca="false">IF(INDEX(選手一覧!$J$7:$J$2738,$F978)="","",INDEX(選手一覧!$J$7:$J$2738,$F978))</f>
        <v>0.00295972222222222</v>
      </c>
      <c r="J978" s="17" t="n">
        <f aca="false">IF(INDEX(選手一覧!$K$7:$K$2738,$F978)="","",INDEX(選手一覧!$K$7:$K$2738,$F978))</f>
        <v>1270</v>
      </c>
    </row>
    <row r="979" customFormat="false" ht="15" hidden="false" customHeight="false" outlineLevel="0" collapsed="false">
      <c r="A979" s="17" t="n">
        <v>975</v>
      </c>
      <c r="B979" s="12" t="s">
        <v>1589</v>
      </c>
      <c r="C979" s="12" t="s">
        <v>1590</v>
      </c>
      <c r="D979" s="16" t="n">
        <v>0.0109340277777778</v>
      </c>
      <c r="E979" s="15" t="n">
        <f aca="false">ROUND((D979-$D$5)*86400,2)</f>
        <v>154.96</v>
      </c>
      <c r="F979" s="17" t="n">
        <v>974</v>
      </c>
      <c r="G979" s="16" t="str">
        <f aca="false">IF(INDEX(選手一覧!$H$7:$H$2738,$F979)="","",INDEX(選手一覧!$H$7:$H$2738,$F979))</f>
        <v/>
      </c>
      <c r="H979" s="17" t="str">
        <f aca="false">IF(INDEX(選手一覧!$I$7:$I$2738,$F979)="","",INDEX(選手一覧!$I$7:$I$2738,$F979))</f>
        <v/>
      </c>
      <c r="I979" s="16" t="str">
        <f aca="false">IF(INDEX(選手一覧!$J$7:$J$2738,$F979)="","",INDEX(選手一覧!$J$7:$J$2738,$F979))</f>
        <v/>
      </c>
      <c r="J979" s="17" t="str">
        <f aca="false">IF(INDEX(選手一覧!$K$7:$K$2738,$F979)="","",INDEX(選手一覧!$K$7:$K$2738,$F979))</f>
        <v/>
      </c>
    </row>
    <row r="980" customFormat="false" ht="15" hidden="false" customHeight="false" outlineLevel="0" collapsed="false">
      <c r="A980" s="17" t="n">
        <v>976</v>
      </c>
      <c r="B980" s="12" t="s">
        <v>1592</v>
      </c>
      <c r="C980" s="12" t="s">
        <v>103</v>
      </c>
      <c r="D980" s="16" t="n">
        <v>0.0109353009259259</v>
      </c>
      <c r="E980" s="15" t="n">
        <f aca="false">ROUND((D980-$D$5)*86400,2)</f>
        <v>155.07</v>
      </c>
      <c r="F980" s="17" t="n">
        <v>975</v>
      </c>
      <c r="G980" s="16" t="n">
        <f aca="false">IF(INDEX(選手一覧!$H$7:$H$2738,$F980)="","",INDEX(選手一覧!$H$7:$H$2738,$F980))</f>
        <v>0.00680972222222222</v>
      </c>
      <c r="H980" s="17" t="n">
        <f aca="false">IF(INDEX(選手一覧!$I$7:$I$2738,$F980)="","",INDEX(選手一覧!$I$7:$I$2738,$F980))</f>
        <v>180</v>
      </c>
      <c r="I980" s="16" t="n">
        <f aca="false">IF(INDEX(選手一覧!$J$7:$J$2738,$F980)="","",INDEX(選手一覧!$J$7:$J$2738,$F980))</f>
        <v>0.00288136574074074</v>
      </c>
      <c r="J980" s="17" t="n">
        <f aca="false">IF(INDEX(選手一覧!$K$7:$K$2738,$F980)="","",INDEX(選手一覧!$K$7:$K$2738,$F980))</f>
        <v>781</v>
      </c>
    </row>
    <row r="981" customFormat="false" ht="15" hidden="false" customHeight="false" outlineLevel="0" collapsed="false">
      <c r="A981" s="17" t="n">
        <v>977</v>
      </c>
      <c r="B981" s="12" t="s">
        <v>1594</v>
      </c>
      <c r="C981" s="12" t="s">
        <v>1595</v>
      </c>
      <c r="D981" s="16" t="n">
        <v>0.0109361111111111</v>
      </c>
      <c r="E981" s="15" t="n">
        <f aca="false">ROUND((D981-$D$5)*86400,2)</f>
        <v>155.14</v>
      </c>
      <c r="F981" s="17" t="n">
        <v>976</v>
      </c>
      <c r="G981" s="16" t="str">
        <f aca="false">IF(INDEX(選手一覧!$H$7:$H$2738,$F981)="","",INDEX(選手一覧!$H$7:$H$2738,$F981))</f>
        <v/>
      </c>
      <c r="H981" s="17" t="str">
        <f aca="false">IF(INDEX(選手一覧!$I$7:$I$2738,$F981)="","",INDEX(選手一覧!$I$7:$I$2738,$F981))</f>
        <v/>
      </c>
      <c r="I981" s="16" t="str">
        <f aca="false">IF(INDEX(選手一覧!$J$7:$J$2738,$F981)="","",INDEX(選手一覧!$J$7:$J$2738,$F981))</f>
        <v/>
      </c>
      <c r="J981" s="17" t="str">
        <f aca="false">IF(INDEX(選手一覧!$K$7:$K$2738,$F981)="","",INDEX(選手一覧!$K$7:$K$2738,$F981))</f>
        <v/>
      </c>
    </row>
    <row r="982" customFormat="false" ht="15" hidden="false" customHeight="false" outlineLevel="0" collapsed="false">
      <c r="A982" s="17" t="n">
        <v>978</v>
      </c>
      <c r="B982" s="12" t="s">
        <v>1596</v>
      </c>
      <c r="C982" s="12" t="s">
        <v>77</v>
      </c>
      <c r="D982" s="16" t="n">
        <v>0.0109368055555556</v>
      </c>
      <c r="E982" s="15" t="n">
        <f aca="false">ROUND((D982-$D$5)*86400,2)</f>
        <v>155.2</v>
      </c>
      <c r="F982" s="17" t="n">
        <v>977</v>
      </c>
      <c r="G982" s="16" t="str">
        <f aca="false">IF(INDEX(選手一覧!$H$7:$H$2738,$F982)="","",INDEX(選手一覧!$H$7:$H$2738,$F982))</f>
        <v/>
      </c>
      <c r="H982" s="17" t="str">
        <f aca="false">IF(INDEX(選手一覧!$I$7:$I$2738,$F982)="","",INDEX(選手一覧!$I$7:$I$2738,$F982))</f>
        <v/>
      </c>
      <c r="I982" s="16" t="n">
        <f aca="false">IF(INDEX(選手一覧!$J$7:$J$2738,$F982)="","",INDEX(選手一覧!$J$7:$J$2738,$F982))</f>
        <v>0.00283229166666667</v>
      </c>
      <c r="J982" s="17" t="n">
        <f aca="false">IF(INDEX(選手一覧!$K$7:$K$2738,$F982)="","",INDEX(選手一覧!$K$7:$K$2738,$F982))</f>
        <v>441</v>
      </c>
    </row>
    <row r="983" customFormat="false" ht="15" hidden="false" customHeight="false" outlineLevel="0" collapsed="false">
      <c r="A983" s="17" t="n">
        <v>979</v>
      </c>
      <c r="B983" s="12" t="s">
        <v>1598</v>
      </c>
      <c r="C983" s="12" t="s">
        <v>1599</v>
      </c>
      <c r="D983" s="16" t="n">
        <v>0.0109369212962963</v>
      </c>
      <c r="E983" s="15" t="n">
        <f aca="false">ROUND((D983-$D$5)*86400,2)</f>
        <v>155.21</v>
      </c>
      <c r="F983" s="17" t="n">
        <v>978</v>
      </c>
      <c r="G983" s="16" t="str">
        <f aca="false">IF(INDEX(選手一覧!$H$7:$H$2738,$F983)="","",INDEX(選手一覧!$H$7:$H$2738,$F983))</f>
        <v/>
      </c>
      <c r="H983" s="17" t="str">
        <f aca="false">IF(INDEX(選手一覧!$I$7:$I$2738,$F983)="","",INDEX(選手一覧!$I$7:$I$2738,$F983))</f>
        <v/>
      </c>
      <c r="I983" s="16" t="n">
        <f aca="false">IF(INDEX(選手一覧!$J$7:$J$2738,$F983)="","",INDEX(選手一覧!$J$7:$J$2738,$F983))</f>
        <v>0.00288472222222222</v>
      </c>
      <c r="J983" s="17" t="n">
        <f aca="false">IF(INDEX(選手一覧!$K$7:$K$2738,$F983)="","",INDEX(選手一覧!$K$7:$K$2738,$F983))</f>
        <v>813</v>
      </c>
    </row>
    <row r="984" customFormat="false" ht="15" hidden="false" customHeight="false" outlineLevel="0" collapsed="false">
      <c r="A984" s="17" t="n">
        <v>980</v>
      </c>
      <c r="B984" s="12" t="s">
        <v>1600</v>
      </c>
      <c r="C984" s="12" t="s">
        <v>256</v>
      </c>
      <c r="D984" s="16" t="n">
        <v>0.0109390046296296</v>
      </c>
      <c r="E984" s="15" t="n">
        <f aca="false">ROUND((D984-$D$5)*86400,2)</f>
        <v>155.39</v>
      </c>
      <c r="F984" s="17" t="n">
        <v>979</v>
      </c>
      <c r="G984" s="16" t="n">
        <f aca="false">IF(INDEX(選手一覧!$H$7:$H$2738,$F984)="","",INDEX(選手一覧!$H$7:$H$2738,$F984))</f>
        <v>0.0067556712962963</v>
      </c>
      <c r="H984" s="17" t="n">
        <f aca="false">IF(INDEX(選手一覧!$I$7:$I$2738,$F984)="","",INDEX(選手一覧!$I$7:$I$2738,$F984))</f>
        <v>133</v>
      </c>
      <c r="I984" s="16" t="n">
        <f aca="false">IF(INDEX(選手一覧!$J$7:$J$2738,$F984)="","",INDEX(選手一覧!$J$7:$J$2738,$F984))</f>
        <v>0.00283229166666667</v>
      </c>
      <c r="J984" s="17" t="n">
        <f aca="false">IF(INDEX(選手一覧!$K$7:$K$2738,$F984)="","",INDEX(選手一覧!$K$7:$K$2738,$F984))</f>
        <v>442</v>
      </c>
    </row>
    <row r="985" customFormat="false" ht="15" hidden="false" customHeight="false" outlineLevel="0" collapsed="false">
      <c r="A985" s="17" t="n">
        <v>981</v>
      </c>
      <c r="B985" s="12" t="s">
        <v>1601</v>
      </c>
      <c r="C985" s="12" t="s">
        <v>1602</v>
      </c>
      <c r="D985" s="16" t="n">
        <v>0.0109394675925926</v>
      </c>
      <c r="E985" s="15" t="n">
        <f aca="false">ROUND((D985-$D$5)*86400,2)</f>
        <v>155.43</v>
      </c>
      <c r="F985" s="17" t="n">
        <v>980</v>
      </c>
      <c r="G985" s="16" t="n">
        <f aca="false">IF(INDEX(選手一覧!$H$7:$H$2738,$F985)="","",INDEX(選手一覧!$H$7:$H$2738,$F985))</f>
        <v>0.00730428240740741</v>
      </c>
      <c r="H985" s="17" t="n">
        <f aca="false">IF(INDEX(選手一覧!$I$7:$I$2738,$F985)="","",INDEX(選手一覧!$I$7:$I$2738,$F985))</f>
        <v>652</v>
      </c>
      <c r="I985" s="16" t="n">
        <f aca="false">IF(INDEX(選手一覧!$J$7:$J$2738,$F985)="","",INDEX(選手一覧!$J$7:$J$2738,$F985))</f>
        <v>0.00287407407407407</v>
      </c>
      <c r="J985" s="17" t="n">
        <f aca="false">IF(INDEX(選手一覧!$K$7:$K$2738,$F985)="","",INDEX(選手一覧!$K$7:$K$2738,$F985))</f>
        <v>727</v>
      </c>
    </row>
    <row r="986" customFormat="false" ht="15" hidden="false" customHeight="false" outlineLevel="0" collapsed="false">
      <c r="A986" s="17" t="n">
        <v>982</v>
      </c>
      <c r="B986" s="12" t="s">
        <v>1603</v>
      </c>
      <c r="C986" s="12" t="s">
        <v>1604</v>
      </c>
      <c r="D986" s="16" t="n">
        <v>0.0109412037037037</v>
      </c>
      <c r="E986" s="15" t="n">
        <f aca="false">ROUND((D986-$D$5)*86400,2)</f>
        <v>155.58</v>
      </c>
      <c r="F986" s="17" t="n">
        <v>981</v>
      </c>
      <c r="G986" s="16" t="str">
        <f aca="false">IF(INDEX(選手一覧!$H$7:$H$2738,$F986)="","",INDEX(選手一覧!$H$7:$H$2738,$F986))</f>
        <v/>
      </c>
      <c r="H986" s="17" t="str">
        <f aca="false">IF(INDEX(選手一覧!$I$7:$I$2738,$F986)="","",INDEX(選手一覧!$I$7:$I$2738,$F986))</f>
        <v/>
      </c>
      <c r="I986" s="16" t="n">
        <f aca="false">IF(INDEX(選手一覧!$J$7:$J$2738,$F986)="","",INDEX(選手一覧!$J$7:$J$2738,$F986))</f>
        <v>0.00282465277777778</v>
      </c>
      <c r="J986" s="17" t="n">
        <f aca="false">IF(INDEX(選手一覧!$K$7:$K$2738,$F986)="","",INDEX(選手一覧!$K$7:$K$2738,$F986))</f>
        <v>390</v>
      </c>
    </row>
    <row r="987" customFormat="false" ht="15" hidden="false" customHeight="false" outlineLevel="0" collapsed="false">
      <c r="A987" s="17" t="n">
        <v>983</v>
      </c>
      <c r="B987" s="12" t="s">
        <v>1605</v>
      </c>
      <c r="C987" s="12" t="s">
        <v>532</v>
      </c>
      <c r="D987" s="16" t="n">
        <v>0.0109417824074074</v>
      </c>
      <c r="E987" s="15" t="n">
        <f aca="false">ROUND((D987-$D$5)*86400,2)</f>
        <v>155.63</v>
      </c>
      <c r="F987" s="17" t="n">
        <v>982</v>
      </c>
      <c r="G987" s="16" t="str">
        <f aca="false">IF(INDEX(選手一覧!$H$7:$H$2738,$F987)="","",INDEX(選手一覧!$H$7:$H$2738,$F987))</f>
        <v/>
      </c>
      <c r="H987" s="17" t="str">
        <f aca="false">IF(INDEX(選手一覧!$I$7:$I$2738,$F987)="","",INDEX(選手一覧!$I$7:$I$2738,$F987))</f>
        <v/>
      </c>
      <c r="I987" s="16" t="str">
        <f aca="false">IF(INDEX(選手一覧!$J$7:$J$2738,$F987)="","",INDEX(選手一覧!$J$7:$J$2738,$F987))</f>
        <v/>
      </c>
      <c r="J987" s="17" t="str">
        <f aca="false">IF(INDEX(選手一覧!$K$7:$K$2738,$F987)="","",INDEX(選手一覧!$K$7:$K$2738,$F987))</f>
        <v/>
      </c>
    </row>
    <row r="988" customFormat="false" ht="15" hidden="false" customHeight="false" outlineLevel="0" collapsed="false">
      <c r="A988" s="17" t="n">
        <v>984</v>
      </c>
      <c r="B988" s="12" t="s">
        <v>1606</v>
      </c>
      <c r="C988" s="12" t="s">
        <v>204</v>
      </c>
      <c r="D988" s="16" t="n">
        <v>0.0109420138888889</v>
      </c>
      <c r="E988" s="15" t="n">
        <f aca="false">ROUND((D988-$D$5)*86400,2)</f>
        <v>155.65</v>
      </c>
      <c r="F988" s="17" t="n">
        <v>983</v>
      </c>
      <c r="G988" s="16" t="n">
        <f aca="false">IF(INDEX(選手一覧!$H$7:$H$2738,$F988)="","",INDEX(選手一覧!$H$7:$H$2738,$F988))</f>
        <v>0.00735509259259259</v>
      </c>
      <c r="H988" s="17" t="n">
        <f aca="false">IF(INDEX(選手一覧!$I$7:$I$2738,$F988)="","",INDEX(選手一覧!$I$7:$I$2738,$F988))</f>
        <v>715</v>
      </c>
      <c r="I988" s="16" t="str">
        <f aca="false">IF(INDEX(選手一覧!$J$7:$J$2738,$F988)="","",INDEX(選手一覧!$J$7:$J$2738,$F988))</f>
        <v/>
      </c>
      <c r="J988" s="17" t="str">
        <f aca="false">IF(INDEX(選手一覧!$K$7:$K$2738,$F988)="","",INDEX(選手一覧!$K$7:$K$2738,$F988))</f>
        <v/>
      </c>
    </row>
    <row r="989" customFormat="false" ht="15" hidden="false" customHeight="false" outlineLevel="0" collapsed="false">
      <c r="A989" s="17" t="n">
        <v>985</v>
      </c>
      <c r="B989" s="12" t="s">
        <v>1607</v>
      </c>
      <c r="C989" s="12" t="s">
        <v>457</v>
      </c>
      <c r="D989" s="16" t="n">
        <v>0.0109422453703704</v>
      </c>
      <c r="E989" s="15" t="n">
        <f aca="false">ROUND((D989-$D$5)*86400,2)</f>
        <v>155.67</v>
      </c>
      <c r="F989" s="17" t="n">
        <v>984</v>
      </c>
      <c r="G989" s="16" t="str">
        <f aca="false">IF(INDEX(選手一覧!$H$7:$H$2738,$F989)="","",INDEX(選手一覧!$H$7:$H$2738,$F989))</f>
        <v/>
      </c>
      <c r="H989" s="17" t="str">
        <f aca="false">IF(INDEX(選手一覧!$I$7:$I$2738,$F989)="","",INDEX(選手一覧!$I$7:$I$2738,$F989))</f>
        <v/>
      </c>
      <c r="I989" s="16" t="str">
        <f aca="false">IF(INDEX(選手一覧!$J$7:$J$2738,$F989)="","",INDEX(選手一覧!$J$7:$J$2738,$F989))</f>
        <v/>
      </c>
      <c r="J989" s="17" t="str">
        <f aca="false">IF(INDEX(選手一覧!$K$7:$K$2738,$F989)="","",INDEX(選手一覧!$K$7:$K$2738,$F989))</f>
        <v/>
      </c>
    </row>
    <row r="990" customFormat="false" ht="15" hidden="false" customHeight="false" outlineLevel="0" collapsed="false">
      <c r="A990" s="17" t="n">
        <v>986</v>
      </c>
      <c r="B990" s="12" t="s">
        <v>1608</v>
      </c>
      <c r="C990" s="12" t="s">
        <v>406</v>
      </c>
      <c r="D990" s="16" t="n">
        <v>0.0109422453703704</v>
      </c>
      <c r="E990" s="15" t="n">
        <f aca="false">ROUND((D990-$D$5)*86400,2)</f>
        <v>155.67</v>
      </c>
      <c r="F990" s="17" t="n">
        <v>985</v>
      </c>
      <c r="G990" s="16" t="str">
        <f aca="false">IF(INDEX(選手一覧!$H$7:$H$2738,$F990)="","",INDEX(選手一覧!$H$7:$H$2738,$F990))</f>
        <v/>
      </c>
      <c r="H990" s="17" t="str">
        <f aca="false">IF(INDEX(選手一覧!$I$7:$I$2738,$F990)="","",INDEX(選手一覧!$I$7:$I$2738,$F990))</f>
        <v/>
      </c>
      <c r="I990" s="16" t="str">
        <f aca="false">IF(INDEX(選手一覧!$J$7:$J$2738,$F990)="","",INDEX(選手一覧!$J$7:$J$2738,$F990))</f>
        <v/>
      </c>
      <c r="J990" s="17" t="str">
        <f aca="false">IF(INDEX(選手一覧!$K$7:$K$2738,$F990)="","",INDEX(選手一覧!$K$7:$K$2738,$F990))</f>
        <v/>
      </c>
    </row>
    <row r="991" customFormat="false" ht="15" hidden="false" customHeight="false" outlineLevel="0" collapsed="false">
      <c r="A991" s="17" t="n">
        <v>987</v>
      </c>
      <c r="B991" s="12" t="s">
        <v>1609</v>
      </c>
      <c r="C991" s="12" t="s">
        <v>728</v>
      </c>
      <c r="D991" s="16" t="n">
        <v>0.0109427083333333</v>
      </c>
      <c r="E991" s="15" t="n">
        <f aca="false">ROUND((D991-$D$5)*86400,2)</f>
        <v>155.71</v>
      </c>
      <c r="F991" s="17" t="n">
        <v>986</v>
      </c>
      <c r="G991" s="16" t="str">
        <f aca="false">IF(INDEX(選手一覧!$H$7:$H$2738,$F991)="","",INDEX(選手一覧!$H$7:$H$2738,$F991))</f>
        <v/>
      </c>
      <c r="H991" s="17" t="str">
        <f aca="false">IF(INDEX(選手一覧!$I$7:$I$2738,$F991)="","",INDEX(選手一覧!$I$7:$I$2738,$F991))</f>
        <v/>
      </c>
      <c r="I991" s="16" t="n">
        <f aca="false">IF(INDEX(選手一覧!$J$7:$J$2738,$F991)="","",INDEX(選手一覧!$J$7:$J$2738,$F991))</f>
        <v>0.00295613425925926</v>
      </c>
      <c r="J991" s="17" t="n">
        <f aca="false">IF(INDEX(選手一覧!$K$7:$K$2738,$F991)="","",INDEX(選手一覧!$K$7:$K$2738,$F991))</f>
        <v>1258</v>
      </c>
    </row>
    <row r="992" customFormat="false" ht="15" hidden="false" customHeight="false" outlineLevel="0" collapsed="false">
      <c r="A992" s="17" t="n">
        <v>988</v>
      </c>
      <c r="B992" s="12" t="s">
        <v>1610</v>
      </c>
      <c r="C992" s="12" t="s">
        <v>1346</v>
      </c>
      <c r="D992" s="16" t="n">
        <v>0.0109428240740741</v>
      </c>
      <c r="E992" s="15" t="n">
        <f aca="false">ROUND((D992-$D$5)*86400,2)</f>
        <v>155.72</v>
      </c>
      <c r="F992" s="17" t="n">
        <v>987</v>
      </c>
      <c r="G992" s="16" t="n">
        <f aca="false">IF(INDEX(選手一覧!$H$7:$H$2738,$F992)="","",INDEX(選手一覧!$H$7:$H$2738,$F992))</f>
        <v>0.00677060185185185</v>
      </c>
      <c r="H992" s="17" t="n">
        <f aca="false">IF(INDEX(選手一覧!$I$7:$I$2738,$F992)="","",INDEX(選手一覧!$I$7:$I$2738,$F992))</f>
        <v>148</v>
      </c>
      <c r="I992" s="16" t="str">
        <f aca="false">IF(INDEX(選手一覧!$J$7:$J$2738,$F992)="","",INDEX(選手一覧!$J$7:$J$2738,$F992))</f>
        <v/>
      </c>
      <c r="J992" s="17" t="str">
        <f aca="false">IF(INDEX(選手一覧!$K$7:$K$2738,$F992)="","",INDEX(選手一覧!$K$7:$K$2738,$F992))</f>
        <v/>
      </c>
    </row>
    <row r="993" customFormat="false" ht="15" hidden="false" customHeight="false" outlineLevel="0" collapsed="false">
      <c r="A993" s="17" t="n">
        <v>989</v>
      </c>
      <c r="B993" s="12" t="s">
        <v>1611</v>
      </c>
      <c r="C993" s="12" t="s">
        <v>1154</v>
      </c>
      <c r="D993" s="16" t="n">
        <v>0.0109439814814815</v>
      </c>
      <c r="E993" s="15" t="n">
        <f aca="false">ROUND((D993-$D$5)*86400,2)</f>
        <v>155.82</v>
      </c>
      <c r="F993" s="17" t="n">
        <v>988</v>
      </c>
      <c r="G993" s="16" t="str">
        <f aca="false">IF(INDEX(選手一覧!$H$7:$H$2738,$F993)="","",INDEX(選手一覧!$H$7:$H$2738,$F993))</f>
        <v/>
      </c>
      <c r="H993" s="17" t="str">
        <f aca="false">IF(INDEX(選手一覧!$I$7:$I$2738,$F993)="","",INDEX(選手一覧!$I$7:$I$2738,$F993))</f>
        <v/>
      </c>
      <c r="I993" s="16" t="n">
        <f aca="false">IF(INDEX(選手一覧!$J$7:$J$2738,$F993)="","",INDEX(選手一覧!$J$7:$J$2738,$F993))</f>
        <v>0.00294479166666667</v>
      </c>
      <c r="J993" s="17" t="n">
        <f aca="false">IF(INDEX(選手一覧!$K$7:$K$2738,$F993)="","",INDEX(選手一覧!$K$7:$K$2738,$F993))</f>
        <v>1216</v>
      </c>
    </row>
    <row r="994" customFormat="false" ht="15" hidden="false" customHeight="false" outlineLevel="0" collapsed="false">
      <c r="A994" s="17" t="n">
        <v>990</v>
      </c>
      <c r="B994" s="12" t="s">
        <v>1612</v>
      </c>
      <c r="C994" s="12" t="s">
        <v>77</v>
      </c>
      <c r="D994" s="16" t="n">
        <v>0.0109440972222222</v>
      </c>
      <c r="E994" s="15" t="n">
        <f aca="false">ROUND((D994-$D$5)*86400,2)</f>
        <v>155.83</v>
      </c>
      <c r="F994" s="17" t="n">
        <v>989</v>
      </c>
      <c r="G994" s="16" t="str">
        <f aca="false">IF(INDEX(選手一覧!$H$7:$H$2738,$F994)="","",INDEX(選手一覧!$H$7:$H$2738,$F994))</f>
        <v/>
      </c>
      <c r="H994" s="17" t="str">
        <f aca="false">IF(INDEX(選手一覧!$I$7:$I$2738,$F994)="","",INDEX(選手一覧!$I$7:$I$2738,$F994))</f>
        <v/>
      </c>
      <c r="I994" s="16" t="str">
        <f aca="false">IF(INDEX(選手一覧!$J$7:$J$2738,$F994)="","",INDEX(選手一覧!$J$7:$J$2738,$F994))</f>
        <v/>
      </c>
      <c r="J994" s="17" t="str">
        <f aca="false">IF(INDEX(選手一覧!$K$7:$K$2738,$F994)="","",INDEX(選手一覧!$K$7:$K$2738,$F994))</f>
        <v/>
      </c>
    </row>
    <row r="995" customFormat="false" ht="15" hidden="false" customHeight="false" outlineLevel="0" collapsed="false">
      <c r="A995" s="17" t="n">
        <v>991</v>
      </c>
      <c r="B995" s="12" t="s">
        <v>1613</v>
      </c>
      <c r="C995" s="12" t="s">
        <v>907</v>
      </c>
      <c r="D995" s="16" t="n">
        <v>0.0109445601851852</v>
      </c>
      <c r="E995" s="15" t="n">
        <f aca="false">ROUND((D995-$D$5)*86400,2)</f>
        <v>155.87</v>
      </c>
      <c r="F995" s="17" t="n">
        <v>990</v>
      </c>
      <c r="G995" s="16" t="str">
        <f aca="false">IF(INDEX(選手一覧!$H$7:$H$2738,$F995)="","",INDEX(選手一覧!$H$7:$H$2738,$F995))</f>
        <v/>
      </c>
      <c r="H995" s="17" t="str">
        <f aca="false">IF(INDEX(選手一覧!$I$7:$I$2738,$F995)="","",INDEX(選手一覧!$I$7:$I$2738,$F995))</f>
        <v/>
      </c>
      <c r="I995" s="16" t="str">
        <f aca="false">IF(INDEX(選手一覧!$J$7:$J$2738,$F995)="","",INDEX(選手一覧!$J$7:$J$2738,$F995))</f>
        <v/>
      </c>
      <c r="J995" s="17" t="str">
        <f aca="false">IF(INDEX(選手一覧!$K$7:$K$2738,$F995)="","",INDEX(選手一覧!$K$7:$K$2738,$F995))</f>
        <v/>
      </c>
    </row>
    <row r="996" customFormat="false" ht="15" hidden="false" customHeight="false" outlineLevel="0" collapsed="false">
      <c r="A996" s="17" t="n">
        <v>992</v>
      </c>
      <c r="B996" s="12" t="s">
        <v>1615</v>
      </c>
      <c r="C996" s="12" t="s">
        <v>228</v>
      </c>
      <c r="D996" s="16" t="n">
        <v>0.0109471064814815</v>
      </c>
      <c r="E996" s="15" t="n">
        <f aca="false">ROUND((D996-$D$5)*86400,2)</f>
        <v>156.09</v>
      </c>
      <c r="F996" s="17" t="n">
        <v>991</v>
      </c>
      <c r="G996" s="16" t="str">
        <f aca="false">IF(INDEX(選手一覧!$H$7:$H$2738,$F996)="","",INDEX(選手一覧!$H$7:$H$2738,$F996))</f>
        <v/>
      </c>
      <c r="H996" s="17" t="str">
        <f aca="false">IF(INDEX(選手一覧!$I$7:$I$2738,$F996)="","",INDEX(選手一覧!$I$7:$I$2738,$F996))</f>
        <v/>
      </c>
      <c r="I996" s="16" t="str">
        <f aca="false">IF(INDEX(選手一覧!$J$7:$J$2738,$F996)="","",INDEX(選手一覧!$J$7:$J$2738,$F996))</f>
        <v/>
      </c>
      <c r="J996" s="17" t="str">
        <f aca="false">IF(INDEX(選手一覧!$K$7:$K$2738,$F996)="","",INDEX(選手一覧!$K$7:$K$2738,$F996))</f>
        <v/>
      </c>
    </row>
    <row r="997" customFormat="false" ht="15" hidden="false" customHeight="false" outlineLevel="0" collapsed="false">
      <c r="A997" s="17" t="n">
        <v>993</v>
      </c>
      <c r="B997" s="12" t="s">
        <v>1616</v>
      </c>
      <c r="C997" s="12" t="s">
        <v>648</v>
      </c>
      <c r="D997" s="16" t="n">
        <v>0.0109480324074074</v>
      </c>
      <c r="E997" s="15" t="n">
        <f aca="false">ROUND((D997-$D$5)*86400,2)</f>
        <v>156.17</v>
      </c>
      <c r="F997" s="17" t="n">
        <v>992</v>
      </c>
      <c r="G997" s="16" t="n">
        <f aca="false">IF(INDEX(選手一覧!$H$7:$H$2738,$F997)="","",INDEX(選手一覧!$H$7:$H$2738,$F997))</f>
        <v>0.00679340277777778</v>
      </c>
      <c r="H997" s="17" t="n">
        <f aca="false">IF(INDEX(選手一覧!$I$7:$I$2738,$F997)="","",INDEX(選手一覧!$I$7:$I$2738,$F997))</f>
        <v>165</v>
      </c>
      <c r="I997" s="16" t="n">
        <f aca="false">IF(INDEX(選手一覧!$J$7:$J$2738,$F997)="","",INDEX(選手一覧!$J$7:$J$2738,$F997))</f>
        <v>0.00291875</v>
      </c>
      <c r="J997" s="17" t="n">
        <f aca="false">IF(INDEX(選手一覧!$K$7:$K$2738,$F997)="","",INDEX(選手一覧!$K$7:$K$2738,$F997))</f>
        <v>1081</v>
      </c>
    </row>
    <row r="998" customFormat="false" ht="15" hidden="false" customHeight="false" outlineLevel="0" collapsed="false">
      <c r="A998" s="17" t="n">
        <v>994</v>
      </c>
      <c r="B998" s="12" t="s">
        <v>1618</v>
      </c>
      <c r="C998" s="12" t="s">
        <v>103</v>
      </c>
      <c r="D998" s="16" t="n">
        <v>0.0109481481481482</v>
      </c>
      <c r="E998" s="15" t="n">
        <f aca="false">ROUND((D998-$D$5)*86400,2)</f>
        <v>156.18</v>
      </c>
      <c r="F998" s="17" t="n">
        <v>993</v>
      </c>
      <c r="G998" s="16" t="n">
        <f aca="false">IF(INDEX(選手一覧!$H$7:$H$2738,$F998)="","",INDEX(選手一覧!$H$7:$H$2738,$F998))</f>
        <v>0.00710578703703704</v>
      </c>
      <c r="H998" s="17" t="n">
        <f aca="false">IF(INDEX(選手一覧!$I$7:$I$2738,$F998)="","",INDEX(選手一覧!$I$7:$I$2738,$F998))</f>
        <v>454</v>
      </c>
      <c r="I998" s="16" t="str">
        <f aca="false">IF(INDEX(選手一覧!$J$7:$J$2738,$F998)="","",INDEX(選手一覧!$J$7:$J$2738,$F998))</f>
        <v/>
      </c>
      <c r="J998" s="17" t="str">
        <f aca="false">IF(INDEX(選手一覧!$K$7:$K$2738,$F998)="","",INDEX(選手一覧!$K$7:$K$2738,$F998))</f>
        <v/>
      </c>
    </row>
    <row r="999" customFormat="false" ht="15" hidden="false" customHeight="false" outlineLevel="0" collapsed="false">
      <c r="A999" s="17" t="n">
        <v>995</v>
      </c>
      <c r="B999" s="12" t="s">
        <v>1619</v>
      </c>
      <c r="C999" s="12" t="s">
        <v>949</v>
      </c>
      <c r="D999" s="16" t="n">
        <v>0.0109489583333333</v>
      </c>
      <c r="E999" s="15" t="n">
        <f aca="false">ROUND((D999-$D$5)*86400,2)</f>
        <v>156.25</v>
      </c>
      <c r="F999" s="17" t="n">
        <v>994</v>
      </c>
      <c r="G999" s="16" t="n">
        <f aca="false">IF(INDEX(選手一覧!$H$7:$H$2738,$F999)="","",INDEX(選手一覧!$H$7:$H$2738,$F999))</f>
        <v>0.00695023148148148</v>
      </c>
      <c r="H999" s="17" t="n">
        <f aca="false">IF(INDEX(選手一覧!$I$7:$I$2738,$F999)="","",INDEX(選手一覧!$I$7:$I$2738,$F999))</f>
        <v>285</v>
      </c>
      <c r="I999" s="16" t="str">
        <f aca="false">IF(INDEX(選手一覧!$J$7:$J$2738,$F999)="","",INDEX(選手一覧!$J$7:$J$2738,$F999))</f>
        <v/>
      </c>
      <c r="J999" s="17" t="str">
        <f aca="false">IF(INDEX(選手一覧!$K$7:$K$2738,$F999)="","",INDEX(選手一覧!$K$7:$K$2738,$F999))</f>
        <v/>
      </c>
    </row>
    <row r="1000" customFormat="false" ht="15" hidden="false" customHeight="false" outlineLevel="0" collapsed="false">
      <c r="A1000" s="17" t="n">
        <v>996</v>
      </c>
      <c r="B1000" s="12" t="s">
        <v>1620</v>
      </c>
      <c r="C1000" s="12" t="s">
        <v>1371</v>
      </c>
      <c r="D1000" s="16" t="n">
        <v>0.0109490740740741</v>
      </c>
      <c r="E1000" s="15" t="n">
        <f aca="false">ROUND((D1000-$D$5)*86400,2)</f>
        <v>156.26</v>
      </c>
      <c r="F1000" s="17" t="n">
        <v>995</v>
      </c>
      <c r="G1000" s="16" t="n">
        <f aca="false">IF(INDEX(選手一覧!$H$7:$H$2738,$F1000)="","",INDEX(選手一覧!$H$7:$H$2738,$F1000))</f>
        <v>0.00645844907407407</v>
      </c>
      <c r="H1000" s="17" t="n">
        <f aca="false">IF(INDEX(選手一覧!$I$7:$I$2738,$F1000)="","",INDEX(選手一覧!$I$7:$I$2738,$F1000))</f>
        <v>24</v>
      </c>
      <c r="I1000" s="16" t="n">
        <f aca="false">IF(INDEX(選手一覧!$J$7:$J$2738,$F1000)="","",INDEX(選手一覧!$J$7:$J$2738,$F1000))</f>
        <v>0.00285740740740741</v>
      </c>
      <c r="J1000" s="17" t="n">
        <f aca="false">IF(INDEX(選手一覧!$K$7:$K$2738,$F1000)="","",INDEX(選手一覧!$K$7:$K$2738,$F1000))</f>
        <v>618</v>
      </c>
    </row>
    <row r="1001" customFormat="false" ht="15" hidden="false" customHeight="false" outlineLevel="0" collapsed="false">
      <c r="A1001" s="17" t="n">
        <v>997</v>
      </c>
      <c r="B1001" s="12" t="s">
        <v>1621</v>
      </c>
      <c r="C1001" s="12" t="s">
        <v>152</v>
      </c>
      <c r="D1001" s="16" t="n">
        <v>0.0109490740740741</v>
      </c>
      <c r="E1001" s="15" t="n">
        <f aca="false">ROUND((D1001-$D$5)*86400,2)</f>
        <v>156.26</v>
      </c>
      <c r="F1001" s="17" t="n">
        <v>996</v>
      </c>
      <c r="G1001" s="16" t="str">
        <f aca="false">IF(INDEX(選手一覧!$H$7:$H$2738,$F1001)="","",INDEX(選手一覧!$H$7:$H$2738,$F1001))</f>
        <v/>
      </c>
      <c r="H1001" s="17" t="str">
        <f aca="false">IF(INDEX(選手一覧!$I$7:$I$2738,$F1001)="","",INDEX(選手一覧!$I$7:$I$2738,$F1001))</f>
        <v/>
      </c>
      <c r="I1001" s="16" t="str">
        <f aca="false">IF(INDEX(選手一覧!$J$7:$J$2738,$F1001)="","",INDEX(選手一覧!$J$7:$J$2738,$F1001))</f>
        <v/>
      </c>
      <c r="J1001" s="17" t="str">
        <f aca="false">IF(INDEX(選手一覧!$K$7:$K$2738,$F1001)="","",INDEX(選手一覧!$K$7:$K$2738,$F1001))</f>
        <v/>
      </c>
    </row>
    <row r="1002" customFormat="false" ht="15" hidden="false" customHeight="false" outlineLevel="0" collapsed="false">
      <c r="A1002" s="17" t="n">
        <v>998</v>
      </c>
      <c r="B1002" s="12" t="s">
        <v>1622</v>
      </c>
      <c r="C1002" s="12" t="s">
        <v>129</v>
      </c>
      <c r="D1002" s="16" t="n">
        <v>0.0109494212962963</v>
      </c>
      <c r="E1002" s="15" t="n">
        <f aca="false">ROUND((D1002-$D$5)*86400,2)</f>
        <v>156.29</v>
      </c>
      <c r="F1002" s="17" t="n">
        <v>997</v>
      </c>
      <c r="G1002" s="16" t="str">
        <f aca="false">IF(INDEX(選手一覧!$H$7:$H$2738,$F1002)="","",INDEX(選手一覧!$H$7:$H$2738,$F1002))</f>
        <v/>
      </c>
      <c r="H1002" s="17" t="str">
        <f aca="false">IF(INDEX(選手一覧!$I$7:$I$2738,$F1002)="","",INDEX(選手一覧!$I$7:$I$2738,$F1002))</f>
        <v/>
      </c>
      <c r="I1002" s="16" t="str">
        <f aca="false">IF(INDEX(選手一覧!$J$7:$J$2738,$F1002)="","",INDEX(選手一覧!$J$7:$J$2738,$F1002))</f>
        <v/>
      </c>
      <c r="J1002" s="17" t="str">
        <f aca="false">IF(INDEX(選手一覧!$K$7:$K$2738,$F1002)="","",INDEX(選手一覧!$K$7:$K$2738,$F1002))</f>
        <v/>
      </c>
    </row>
    <row r="1003" customFormat="false" ht="15" hidden="false" customHeight="false" outlineLevel="0" collapsed="false">
      <c r="A1003" s="17" t="n">
        <v>999</v>
      </c>
      <c r="B1003" s="12" t="s">
        <v>1624</v>
      </c>
      <c r="C1003" s="12" t="s">
        <v>1625</v>
      </c>
      <c r="D1003" s="16" t="n">
        <v>0.0109497685185185</v>
      </c>
      <c r="E1003" s="15" t="n">
        <f aca="false">ROUND((D1003-$D$5)*86400,2)</f>
        <v>156.32</v>
      </c>
      <c r="F1003" s="17" t="n">
        <v>998</v>
      </c>
      <c r="G1003" s="16" t="str">
        <f aca="false">IF(INDEX(選手一覧!$H$7:$H$2738,$F1003)="","",INDEX(選手一覧!$H$7:$H$2738,$F1003))</f>
        <v/>
      </c>
      <c r="H1003" s="17" t="str">
        <f aca="false">IF(INDEX(選手一覧!$I$7:$I$2738,$F1003)="","",INDEX(選手一覧!$I$7:$I$2738,$F1003))</f>
        <v/>
      </c>
      <c r="I1003" s="16" t="n">
        <f aca="false">IF(INDEX(選手一覧!$J$7:$J$2738,$F1003)="","",INDEX(選手一覧!$J$7:$J$2738,$F1003))</f>
        <v>0.00288784722222222</v>
      </c>
      <c r="J1003" s="17" t="n">
        <f aca="false">IF(INDEX(選手一覧!$K$7:$K$2738,$F1003)="","",INDEX(選手一覧!$K$7:$K$2738,$F1003))</f>
        <v>844</v>
      </c>
    </row>
    <row r="1004" customFormat="false" ht="15" hidden="false" customHeight="false" outlineLevel="0" collapsed="false">
      <c r="A1004" s="17" t="n">
        <v>1000</v>
      </c>
      <c r="B1004" s="12" t="s">
        <v>1626</v>
      </c>
      <c r="C1004" s="12" t="s">
        <v>63</v>
      </c>
      <c r="D1004" s="16" t="n">
        <v>0.0109497685185185</v>
      </c>
      <c r="E1004" s="15" t="n">
        <f aca="false">ROUND((D1004-$D$5)*86400,2)</f>
        <v>156.32</v>
      </c>
      <c r="F1004" s="17" t="n">
        <v>999</v>
      </c>
      <c r="G1004" s="16" t="str">
        <f aca="false">IF(INDEX(選手一覧!$H$7:$H$2738,$F1004)="","",INDEX(選手一覧!$H$7:$H$2738,$F1004))</f>
        <v/>
      </c>
      <c r="H1004" s="17" t="str">
        <f aca="false">IF(INDEX(選手一覧!$I$7:$I$2738,$F1004)="","",INDEX(選手一覧!$I$7:$I$2738,$F1004))</f>
        <v/>
      </c>
      <c r="I1004" s="16" t="str">
        <f aca="false">IF(INDEX(選手一覧!$J$7:$J$2738,$F1004)="","",INDEX(選手一覧!$J$7:$J$2738,$F1004))</f>
        <v/>
      </c>
      <c r="J1004" s="17" t="str">
        <f aca="false">IF(INDEX(選手一覧!$K$7:$K$2738,$F1004)="","",INDEX(選手一覧!$K$7:$K$2738,$F1004))</f>
        <v/>
      </c>
    </row>
    <row r="1005" customFormat="false" ht="15" hidden="false" customHeight="false" outlineLevel="0" collapsed="false">
      <c r="A1005" s="17" t="n">
        <v>1001</v>
      </c>
      <c r="B1005" s="12" t="s">
        <v>1627</v>
      </c>
      <c r="C1005" s="12" t="s">
        <v>1628</v>
      </c>
      <c r="D1005" s="16" t="n">
        <v>0.010950462962963</v>
      </c>
      <c r="E1005" s="15" t="n">
        <f aca="false">ROUND((D1005-$D$5)*86400,2)</f>
        <v>156.38</v>
      </c>
      <c r="F1005" s="17" t="n">
        <v>1000</v>
      </c>
      <c r="G1005" s="16" t="str">
        <f aca="false">IF(INDEX(選手一覧!$H$7:$H$2738,$F1005)="","",INDEX(選手一覧!$H$7:$H$2738,$F1005))</f>
        <v/>
      </c>
      <c r="H1005" s="17" t="str">
        <f aca="false">IF(INDEX(選手一覧!$I$7:$I$2738,$F1005)="","",INDEX(選手一覧!$I$7:$I$2738,$F1005))</f>
        <v/>
      </c>
      <c r="I1005" s="16" t="str">
        <f aca="false">IF(INDEX(選手一覧!$J$7:$J$2738,$F1005)="","",INDEX(選手一覧!$J$7:$J$2738,$F1005))</f>
        <v/>
      </c>
      <c r="J1005" s="17" t="str">
        <f aca="false">IF(INDEX(選手一覧!$K$7:$K$2738,$F1005)="","",INDEX(選手一覧!$K$7:$K$2738,$F1005))</f>
        <v/>
      </c>
    </row>
    <row r="1006" customFormat="false" ht="15" hidden="false" customHeight="false" outlineLevel="0" collapsed="false">
      <c r="A1006" s="17" t="n">
        <v>1002</v>
      </c>
      <c r="B1006" s="12" t="s">
        <v>1629</v>
      </c>
      <c r="C1006" s="12" t="s">
        <v>1630</v>
      </c>
      <c r="D1006" s="16" t="n">
        <v>0.0109510416666667</v>
      </c>
      <c r="E1006" s="15" t="n">
        <f aca="false">ROUND((D1006-$D$5)*86400,2)</f>
        <v>156.43</v>
      </c>
      <c r="F1006" s="17" t="n">
        <v>1001</v>
      </c>
      <c r="G1006" s="16" t="str">
        <f aca="false">IF(INDEX(選手一覧!$H$7:$H$2738,$F1006)="","",INDEX(選手一覧!$H$7:$H$2738,$F1006))</f>
        <v/>
      </c>
      <c r="H1006" s="17" t="str">
        <f aca="false">IF(INDEX(選手一覧!$I$7:$I$2738,$F1006)="","",INDEX(選手一覧!$I$7:$I$2738,$F1006))</f>
        <v/>
      </c>
      <c r="I1006" s="16" t="str">
        <f aca="false">IF(INDEX(選手一覧!$J$7:$J$2738,$F1006)="","",INDEX(選手一覧!$J$7:$J$2738,$F1006))</f>
        <v/>
      </c>
      <c r="J1006" s="17" t="str">
        <f aca="false">IF(INDEX(選手一覧!$K$7:$K$2738,$F1006)="","",INDEX(選手一覧!$K$7:$K$2738,$F1006))</f>
        <v/>
      </c>
    </row>
    <row r="1007" customFormat="false" ht="15" hidden="false" customHeight="false" outlineLevel="0" collapsed="false">
      <c r="A1007" s="17" t="n">
        <v>1003</v>
      </c>
      <c r="B1007" s="12" t="s">
        <v>1631</v>
      </c>
      <c r="C1007" s="12" t="s">
        <v>444</v>
      </c>
      <c r="D1007" s="16" t="n">
        <v>0.0109517361111111</v>
      </c>
      <c r="E1007" s="15" t="n">
        <f aca="false">ROUND((D1007-$D$5)*86400,2)</f>
        <v>156.49</v>
      </c>
      <c r="F1007" s="17" t="n">
        <v>1002</v>
      </c>
      <c r="G1007" s="16" t="n">
        <f aca="false">IF(INDEX(選手一覧!$H$7:$H$2738,$F1007)="","",INDEX(選手一覧!$H$7:$H$2738,$F1007))</f>
        <v>0.00680671296296296</v>
      </c>
      <c r="H1007" s="17" t="n">
        <f aca="false">IF(INDEX(選手一覧!$I$7:$I$2738,$F1007)="","",INDEX(選手一覧!$I$7:$I$2738,$F1007))</f>
        <v>177</v>
      </c>
      <c r="I1007" s="16" t="str">
        <f aca="false">IF(INDEX(選手一覧!$J$7:$J$2738,$F1007)="","",INDEX(選手一覧!$J$7:$J$2738,$F1007))</f>
        <v/>
      </c>
      <c r="J1007" s="17" t="str">
        <f aca="false">IF(INDEX(選手一覧!$K$7:$K$2738,$F1007)="","",INDEX(選手一覧!$K$7:$K$2738,$F1007))</f>
        <v/>
      </c>
    </row>
    <row r="1008" customFormat="false" ht="15" hidden="false" customHeight="false" outlineLevel="0" collapsed="false">
      <c r="A1008" s="17" t="n">
        <v>1004</v>
      </c>
      <c r="B1008" s="12" t="s">
        <v>1632</v>
      </c>
      <c r="C1008" s="12" t="s">
        <v>795</v>
      </c>
      <c r="D1008" s="16" t="n">
        <v>0.0109524305555556</v>
      </c>
      <c r="E1008" s="15" t="n">
        <f aca="false">ROUND((D1008-$D$5)*86400,2)</f>
        <v>156.55</v>
      </c>
      <c r="F1008" s="17" t="n">
        <v>1003</v>
      </c>
      <c r="G1008" s="16" t="str">
        <f aca="false">IF(INDEX(選手一覧!$H$7:$H$2738,$F1008)="","",INDEX(選手一覧!$H$7:$H$2738,$F1008))</f>
        <v/>
      </c>
      <c r="H1008" s="17" t="str">
        <f aca="false">IF(INDEX(選手一覧!$I$7:$I$2738,$F1008)="","",INDEX(選手一覧!$I$7:$I$2738,$F1008))</f>
        <v/>
      </c>
      <c r="I1008" s="16" t="str">
        <f aca="false">IF(INDEX(選手一覧!$J$7:$J$2738,$F1008)="","",INDEX(選手一覧!$J$7:$J$2738,$F1008))</f>
        <v/>
      </c>
      <c r="J1008" s="17" t="str">
        <f aca="false">IF(INDEX(選手一覧!$K$7:$K$2738,$F1008)="","",INDEX(選手一覧!$K$7:$K$2738,$F1008))</f>
        <v/>
      </c>
    </row>
    <row r="1009" customFormat="false" ht="15" hidden="false" customHeight="false" outlineLevel="0" collapsed="false">
      <c r="A1009" s="17" t="n">
        <v>1005</v>
      </c>
      <c r="B1009" s="12" t="s">
        <v>1633</v>
      </c>
      <c r="C1009" s="12" t="s">
        <v>250</v>
      </c>
      <c r="D1009" s="16" t="n">
        <v>0.0109524305555556</v>
      </c>
      <c r="E1009" s="15" t="n">
        <f aca="false">ROUND((D1009-$D$5)*86400,2)</f>
        <v>156.55</v>
      </c>
      <c r="F1009" s="17" t="n">
        <v>1004</v>
      </c>
      <c r="G1009" s="16" t="str">
        <f aca="false">IF(INDEX(選手一覧!$H$7:$H$2738,$F1009)="","",INDEX(選手一覧!$H$7:$H$2738,$F1009))</f>
        <v/>
      </c>
      <c r="H1009" s="17" t="str">
        <f aca="false">IF(INDEX(選手一覧!$I$7:$I$2738,$F1009)="","",INDEX(選手一覧!$I$7:$I$2738,$F1009))</f>
        <v/>
      </c>
      <c r="I1009" s="16" t="n">
        <f aca="false">IF(INDEX(選手一覧!$J$7:$J$2738,$F1009)="","",INDEX(選手一覧!$J$7:$J$2738,$F1009))</f>
        <v>0.0029005787037037</v>
      </c>
      <c r="J1009" s="17" t="n">
        <f aca="false">IF(INDEX(選手一覧!$K$7:$K$2738,$F1009)="","",INDEX(選手一覧!$K$7:$K$2738,$F1009))</f>
        <v>951</v>
      </c>
    </row>
    <row r="1010" customFormat="false" ht="15" hidden="false" customHeight="false" outlineLevel="0" collapsed="false">
      <c r="A1010" s="17" t="n">
        <v>1006</v>
      </c>
      <c r="B1010" s="12" t="s">
        <v>1634</v>
      </c>
      <c r="C1010" s="12" t="s">
        <v>1231</v>
      </c>
      <c r="D1010" s="16" t="n">
        <v>0.0109527777777778</v>
      </c>
      <c r="E1010" s="15" t="n">
        <f aca="false">ROUND((D1010-$D$5)*86400,2)</f>
        <v>156.58</v>
      </c>
      <c r="F1010" s="17" t="n">
        <v>1005</v>
      </c>
      <c r="G1010" s="16" t="str">
        <f aca="false">IF(INDEX(選手一覧!$H$7:$H$2738,$F1010)="","",INDEX(選手一覧!$H$7:$H$2738,$F1010))</f>
        <v/>
      </c>
      <c r="H1010" s="17" t="str">
        <f aca="false">IF(INDEX(選手一覧!$I$7:$I$2738,$F1010)="","",INDEX(選手一覧!$I$7:$I$2738,$F1010))</f>
        <v/>
      </c>
      <c r="I1010" s="16" t="n">
        <f aca="false">IF(INDEX(選手一覧!$J$7:$J$2738,$F1010)="","",INDEX(選手一覧!$J$7:$J$2738,$F1010))</f>
        <v>0.00275393518518519</v>
      </c>
      <c r="J1010" s="17" t="n">
        <f aca="false">IF(INDEX(選手一覧!$K$7:$K$2738,$F1010)="","",INDEX(選手一覧!$K$7:$K$2738,$F1010))</f>
        <v>114</v>
      </c>
    </row>
    <row r="1011" customFormat="false" ht="15" hidden="false" customHeight="false" outlineLevel="0" collapsed="false">
      <c r="A1011" s="17" t="n">
        <v>1007</v>
      </c>
      <c r="B1011" s="12" t="s">
        <v>1635</v>
      </c>
      <c r="C1011" s="12" t="s">
        <v>43</v>
      </c>
      <c r="D1011" s="16" t="n">
        <v>0.0109530092592593</v>
      </c>
      <c r="E1011" s="15" t="n">
        <f aca="false">ROUND((D1011-$D$5)*86400,2)</f>
        <v>156.6</v>
      </c>
      <c r="F1011" s="17" t="n">
        <v>1006</v>
      </c>
      <c r="G1011" s="16" t="n">
        <f aca="false">IF(INDEX(選手一覧!$H$7:$H$2738,$F1011)="","",INDEX(選手一覧!$H$7:$H$2738,$F1011))</f>
        <v>0.00678148148148148</v>
      </c>
      <c r="H1011" s="17" t="n">
        <f aca="false">IF(INDEX(選手一覧!$I$7:$I$2738,$F1011)="","",INDEX(選手一覧!$I$7:$I$2738,$F1011))</f>
        <v>156</v>
      </c>
      <c r="I1011" s="16" t="str">
        <f aca="false">IF(INDEX(選手一覧!$J$7:$J$2738,$F1011)="","",INDEX(選手一覧!$J$7:$J$2738,$F1011))</f>
        <v/>
      </c>
      <c r="J1011" s="17" t="str">
        <f aca="false">IF(INDEX(選手一覧!$K$7:$K$2738,$F1011)="","",INDEX(選手一覧!$K$7:$K$2738,$F1011))</f>
        <v/>
      </c>
    </row>
    <row r="1012" customFormat="false" ht="15" hidden="false" customHeight="false" outlineLevel="0" collapsed="false">
      <c r="A1012" s="17" t="n">
        <v>1008</v>
      </c>
      <c r="B1012" s="12" t="s">
        <v>1636</v>
      </c>
      <c r="C1012" s="12" t="s">
        <v>1637</v>
      </c>
      <c r="D1012" s="16" t="n">
        <v>0.0109533564814815</v>
      </c>
      <c r="E1012" s="15" t="n">
        <f aca="false">ROUND((D1012-$D$5)*86400,2)</f>
        <v>156.63</v>
      </c>
      <c r="F1012" s="17" t="n">
        <v>1007</v>
      </c>
      <c r="G1012" s="16" t="str">
        <f aca="false">IF(INDEX(選手一覧!$H$7:$H$2738,$F1012)="","",INDEX(選手一覧!$H$7:$H$2738,$F1012))</f>
        <v/>
      </c>
      <c r="H1012" s="17" t="str">
        <f aca="false">IF(INDEX(選手一覧!$I$7:$I$2738,$F1012)="","",INDEX(選手一覧!$I$7:$I$2738,$F1012))</f>
        <v/>
      </c>
      <c r="I1012" s="16" t="str">
        <f aca="false">IF(INDEX(選手一覧!$J$7:$J$2738,$F1012)="","",INDEX(選手一覧!$J$7:$J$2738,$F1012))</f>
        <v/>
      </c>
      <c r="J1012" s="17" t="str">
        <f aca="false">IF(INDEX(選手一覧!$K$7:$K$2738,$F1012)="","",INDEX(選手一覧!$K$7:$K$2738,$F1012))</f>
        <v/>
      </c>
    </row>
    <row r="1013" customFormat="false" ht="15" hidden="false" customHeight="false" outlineLevel="0" collapsed="false">
      <c r="A1013" s="17" t="n">
        <v>1009</v>
      </c>
      <c r="B1013" s="12" t="s">
        <v>1638</v>
      </c>
      <c r="C1013" s="12" t="s">
        <v>1639</v>
      </c>
      <c r="D1013" s="16" t="n">
        <v>0.0109534722222222</v>
      </c>
      <c r="E1013" s="15" t="n">
        <f aca="false">ROUND((D1013-$D$5)*86400,2)</f>
        <v>156.64</v>
      </c>
      <c r="F1013" s="17" t="n">
        <v>1008</v>
      </c>
      <c r="G1013" s="16" t="str">
        <f aca="false">IF(INDEX(選手一覧!$H$7:$H$2738,$F1013)="","",INDEX(選手一覧!$H$7:$H$2738,$F1013))</f>
        <v/>
      </c>
      <c r="H1013" s="17" t="str">
        <f aca="false">IF(INDEX(選手一覧!$I$7:$I$2738,$F1013)="","",INDEX(選手一覧!$I$7:$I$2738,$F1013))</f>
        <v/>
      </c>
      <c r="I1013" s="16" t="n">
        <f aca="false">IF(INDEX(選手一覧!$J$7:$J$2738,$F1013)="","",INDEX(選手一覧!$J$7:$J$2738,$F1013))</f>
        <v>0.00290775462962963</v>
      </c>
      <c r="J1013" s="17" t="n">
        <f aca="false">IF(INDEX(選手一覧!$K$7:$K$2738,$F1013)="","",INDEX(選手一覧!$K$7:$K$2738,$F1013))</f>
        <v>998</v>
      </c>
    </row>
    <row r="1014" customFormat="false" ht="15" hidden="false" customHeight="false" outlineLevel="0" collapsed="false">
      <c r="A1014" s="17" t="n">
        <v>1010</v>
      </c>
      <c r="B1014" s="12" t="s">
        <v>1640</v>
      </c>
      <c r="C1014" s="12" t="s">
        <v>1641</v>
      </c>
      <c r="D1014" s="16" t="n">
        <v>0.0109534722222222</v>
      </c>
      <c r="E1014" s="15" t="n">
        <f aca="false">ROUND((D1014-$D$5)*86400,2)</f>
        <v>156.64</v>
      </c>
      <c r="F1014" s="17" t="n">
        <v>1009</v>
      </c>
      <c r="G1014" s="16" t="n">
        <f aca="false">IF(INDEX(選手一覧!$H$7:$H$2738,$F1014)="","",INDEX(選手一覧!$H$7:$H$2738,$F1014))</f>
        <v>0.00654305555555556</v>
      </c>
      <c r="H1014" s="17" t="n">
        <f aca="false">IF(INDEX(選手一覧!$I$7:$I$2738,$F1014)="","",INDEX(選手一覧!$I$7:$I$2738,$F1014))</f>
        <v>44</v>
      </c>
      <c r="I1014" s="16" t="str">
        <f aca="false">IF(INDEX(選手一覧!$J$7:$J$2738,$F1014)="","",INDEX(選手一覧!$J$7:$J$2738,$F1014))</f>
        <v/>
      </c>
      <c r="J1014" s="17" t="str">
        <f aca="false">IF(INDEX(選手一覧!$K$7:$K$2738,$F1014)="","",INDEX(選手一覧!$K$7:$K$2738,$F1014))</f>
        <v/>
      </c>
    </row>
    <row r="1015" customFormat="false" ht="15" hidden="false" customHeight="false" outlineLevel="0" collapsed="false">
      <c r="A1015" s="17" t="n">
        <v>1011</v>
      </c>
      <c r="B1015" s="12" t="s">
        <v>1642</v>
      </c>
      <c r="C1015" s="12" t="s">
        <v>318</v>
      </c>
      <c r="D1015" s="16" t="n">
        <v>0.0109539351851852</v>
      </c>
      <c r="E1015" s="15" t="n">
        <f aca="false">ROUND((D1015-$D$5)*86400,2)</f>
        <v>156.68</v>
      </c>
      <c r="F1015" s="17" t="n">
        <v>1010</v>
      </c>
      <c r="G1015" s="16" t="str">
        <f aca="false">IF(INDEX(選手一覧!$H$7:$H$2738,$F1015)="","",INDEX(選手一覧!$H$7:$H$2738,$F1015))</f>
        <v/>
      </c>
      <c r="H1015" s="17" t="str">
        <f aca="false">IF(INDEX(選手一覧!$I$7:$I$2738,$F1015)="","",INDEX(選手一覧!$I$7:$I$2738,$F1015))</f>
        <v/>
      </c>
      <c r="I1015" s="16" t="str">
        <f aca="false">IF(INDEX(選手一覧!$J$7:$J$2738,$F1015)="","",INDEX(選手一覧!$J$7:$J$2738,$F1015))</f>
        <v/>
      </c>
      <c r="J1015" s="17" t="str">
        <f aca="false">IF(INDEX(選手一覧!$K$7:$K$2738,$F1015)="","",INDEX(選手一覧!$K$7:$K$2738,$F1015))</f>
        <v/>
      </c>
    </row>
    <row r="1016" customFormat="false" ht="15" hidden="false" customHeight="false" outlineLevel="0" collapsed="false">
      <c r="A1016" s="17" t="n">
        <v>1012</v>
      </c>
      <c r="B1016" s="12" t="s">
        <v>1643</v>
      </c>
      <c r="C1016" s="12" t="s">
        <v>591</v>
      </c>
      <c r="D1016" s="16" t="n">
        <v>0.0109541666666667</v>
      </c>
      <c r="E1016" s="15" t="n">
        <f aca="false">ROUND((D1016-$D$5)*86400,2)</f>
        <v>156.7</v>
      </c>
      <c r="F1016" s="17" t="n">
        <v>1011</v>
      </c>
      <c r="G1016" s="16" t="n">
        <f aca="false">IF(INDEX(選手一覧!$H$7:$H$2738,$F1016)="","",INDEX(選手一覧!$H$7:$H$2738,$F1016))</f>
        <v>0.0069162037037037</v>
      </c>
      <c r="H1016" s="17" t="n">
        <f aca="false">IF(INDEX(選手一覧!$I$7:$I$2738,$F1016)="","",INDEX(選手一覧!$I$7:$I$2738,$F1016))</f>
        <v>252</v>
      </c>
      <c r="I1016" s="16" t="n">
        <f aca="false">IF(INDEX(選手一覧!$J$7:$J$2738,$F1016)="","",INDEX(選手一覧!$J$7:$J$2738,$F1016))</f>
        <v>0.00285138888888889</v>
      </c>
      <c r="J1016" s="17" t="n">
        <f aca="false">IF(INDEX(選手一覧!$K$7:$K$2738,$F1016)="","",INDEX(選手一覧!$K$7:$K$2738,$F1016))</f>
        <v>578</v>
      </c>
    </row>
    <row r="1017" customFormat="false" ht="15" hidden="false" customHeight="false" outlineLevel="0" collapsed="false">
      <c r="A1017" s="17" t="n">
        <v>1013</v>
      </c>
      <c r="B1017" s="12" t="s">
        <v>1644</v>
      </c>
      <c r="C1017" s="12" t="s">
        <v>1166</v>
      </c>
      <c r="D1017" s="16" t="n">
        <v>0.0109548611111111</v>
      </c>
      <c r="E1017" s="15" t="n">
        <f aca="false">ROUND((D1017-$D$5)*86400,2)</f>
        <v>156.76</v>
      </c>
      <c r="F1017" s="17" t="n">
        <v>1012</v>
      </c>
      <c r="G1017" s="16" t="str">
        <f aca="false">IF(INDEX(選手一覧!$H$7:$H$2738,$F1017)="","",INDEX(選手一覧!$H$7:$H$2738,$F1017))</f>
        <v/>
      </c>
      <c r="H1017" s="17" t="str">
        <f aca="false">IF(INDEX(選手一覧!$I$7:$I$2738,$F1017)="","",INDEX(選手一覧!$I$7:$I$2738,$F1017))</f>
        <v/>
      </c>
      <c r="I1017" s="16" t="n">
        <f aca="false">IF(INDEX(選手一覧!$J$7:$J$2738,$F1017)="","",INDEX(選手一覧!$J$7:$J$2738,$F1017))</f>
        <v>0.00297916666666667</v>
      </c>
      <c r="J1017" s="17" t="n">
        <f aca="false">IF(INDEX(選手一覧!$K$7:$K$2738,$F1017)="","",INDEX(選手一覧!$K$7:$K$2738,$F1017))</f>
        <v>1349</v>
      </c>
    </row>
    <row r="1018" customFormat="false" ht="15" hidden="false" customHeight="false" outlineLevel="0" collapsed="false">
      <c r="A1018" s="17" t="n">
        <v>1014</v>
      </c>
      <c r="B1018" s="12" t="s">
        <v>1646</v>
      </c>
      <c r="C1018" s="12" t="s">
        <v>1647</v>
      </c>
      <c r="D1018" s="16" t="n">
        <v>0.0109555555555556</v>
      </c>
      <c r="E1018" s="15" t="n">
        <f aca="false">ROUND((D1018-$D$5)*86400,2)</f>
        <v>156.82</v>
      </c>
      <c r="F1018" s="17" t="n">
        <v>1013</v>
      </c>
      <c r="G1018" s="16" t="str">
        <f aca="false">IF(INDEX(選手一覧!$H$7:$H$2738,$F1018)="","",INDEX(選手一覧!$H$7:$H$2738,$F1018))</f>
        <v/>
      </c>
      <c r="H1018" s="17" t="str">
        <f aca="false">IF(INDEX(選手一覧!$I$7:$I$2738,$F1018)="","",INDEX(選手一覧!$I$7:$I$2738,$F1018))</f>
        <v/>
      </c>
      <c r="I1018" s="16" t="str">
        <f aca="false">IF(INDEX(選手一覧!$J$7:$J$2738,$F1018)="","",INDEX(選手一覧!$J$7:$J$2738,$F1018))</f>
        <v/>
      </c>
      <c r="J1018" s="17" t="str">
        <f aca="false">IF(INDEX(選手一覧!$K$7:$K$2738,$F1018)="","",INDEX(選手一覧!$K$7:$K$2738,$F1018))</f>
        <v/>
      </c>
    </row>
    <row r="1019" customFormat="false" ht="15" hidden="false" customHeight="false" outlineLevel="0" collapsed="false">
      <c r="A1019" s="17" t="n">
        <v>1015</v>
      </c>
      <c r="B1019" s="12" t="s">
        <v>1648</v>
      </c>
      <c r="C1019" s="12" t="s">
        <v>565</v>
      </c>
      <c r="D1019" s="16" t="n">
        <v>0.0109561342592593</v>
      </c>
      <c r="E1019" s="15" t="n">
        <f aca="false">ROUND((D1019-$D$5)*86400,2)</f>
        <v>156.87</v>
      </c>
      <c r="F1019" s="17" t="n">
        <v>1014</v>
      </c>
      <c r="G1019" s="16" t="str">
        <f aca="false">IF(INDEX(選手一覧!$H$7:$H$2738,$F1019)="","",INDEX(選手一覧!$H$7:$H$2738,$F1019))</f>
        <v/>
      </c>
      <c r="H1019" s="17" t="str">
        <f aca="false">IF(INDEX(選手一覧!$I$7:$I$2738,$F1019)="","",INDEX(選手一覧!$I$7:$I$2738,$F1019))</f>
        <v/>
      </c>
      <c r="I1019" s="16" t="str">
        <f aca="false">IF(INDEX(選手一覧!$J$7:$J$2738,$F1019)="","",INDEX(選手一覧!$J$7:$J$2738,$F1019))</f>
        <v/>
      </c>
      <c r="J1019" s="17" t="str">
        <f aca="false">IF(INDEX(選手一覧!$K$7:$K$2738,$F1019)="","",INDEX(選手一覧!$K$7:$K$2738,$F1019))</f>
        <v/>
      </c>
    </row>
    <row r="1020" customFormat="false" ht="15" hidden="false" customHeight="false" outlineLevel="0" collapsed="false">
      <c r="A1020" s="17" t="n">
        <v>1016</v>
      </c>
      <c r="B1020" s="12" t="s">
        <v>1649</v>
      </c>
      <c r="C1020" s="12" t="s">
        <v>1650</v>
      </c>
      <c r="D1020" s="16" t="n">
        <v>0.0109570601851852</v>
      </c>
      <c r="E1020" s="15" t="n">
        <f aca="false">ROUND((D1020-$D$5)*86400,2)</f>
        <v>156.95</v>
      </c>
      <c r="F1020" s="17" t="n">
        <v>1015</v>
      </c>
      <c r="G1020" s="16" t="str">
        <f aca="false">IF(INDEX(選手一覧!$H$7:$H$2738,$F1020)="","",INDEX(選手一覧!$H$7:$H$2738,$F1020))</f>
        <v/>
      </c>
      <c r="H1020" s="17" t="str">
        <f aca="false">IF(INDEX(選手一覧!$I$7:$I$2738,$F1020)="","",INDEX(選手一覧!$I$7:$I$2738,$F1020))</f>
        <v/>
      </c>
      <c r="I1020" s="16" t="str">
        <f aca="false">IF(INDEX(選手一覧!$J$7:$J$2738,$F1020)="","",INDEX(選手一覧!$J$7:$J$2738,$F1020))</f>
        <v/>
      </c>
      <c r="J1020" s="17" t="str">
        <f aca="false">IF(INDEX(選手一覧!$K$7:$K$2738,$F1020)="","",INDEX(選手一覧!$K$7:$K$2738,$F1020))</f>
        <v/>
      </c>
    </row>
    <row r="1021" customFormat="false" ht="15" hidden="false" customHeight="false" outlineLevel="0" collapsed="false">
      <c r="A1021" s="17" t="n">
        <v>1017</v>
      </c>
      <c r="B1021" s="12" t="s">
        <v>1651</v>
      </c>
      <c r="C1021" s="12" t="s">
        <v>1284</v>
      </c>
      <c r="D1021" s="16" t="n">
        <v>0.0109570601851852</v>
      </c>
      <c r="E1021" s="15" t="n">
        <f aca="false">ROUND((D1021-$D$5)*86400,2)</f>
        <v>156.95</v>
      </c>
      <c r="F1021" s="17" t="n">
        <v>1016</v>
      </c>
      <c r="G1021" s="16" t="str">
        <f aca="false">IF(INDEX(選手一覧!$H$7:$H$2738,$F1021)="","",INDEX(選手一覧!$H$7:$H$2738,$F1021))</f>
        <v/>
      </c>
      <c r="H1021" s="17" t="str">
        <f aca="false">IF(INDEX(選手一覧!$I$7:$I$2738,$F1021)="","",INDEX(選手一覧!$I$7:$I$2738,$F1021))</f>
        <v/>
      </c>
      <c r="I1021" s="16" t="n">
        <f aca="false">IF(INDEX(選手一覧!$J$7:$J$2738,$F1021)="","",INDEX(選手一覧!$J$7:$J$2738,$F1021))</f>
        <v>0.00281886574074074</v>
      </c>
      <c r="J1021" s="17" t="n">
        <f aca="false">IF(INDEX(選手一覧!$K$7:$K$2738,$F1021)="","",INDEX(選手一覧!$K$7:$K$2738,$F1021))</f>
        <v>358</v>
      </c>
    </row>
    <row r="1022" customFormat="false" ht="15" hidden="false" customHeight="false" outlineLevel="0" collapsed="false">
      <c r="A1022" s="17" t="n">
        <v>1018</v>
      </c>
      <c r="B1022" s="12" t="s">
        <v>1652</v>
      </c>
      <c r="C1022" s="12" t="s">
        <v>1094</v>
      </c>
      <c r="D1022" s="16" t="n">
        <v>0.0109578703703704</v>
      </c>
      <c r="E1022" s="15" t="n">
        <f aca="false">ROUND((D1022-$D$5)*86400,2)</f>
        <v>157.02</v>
      </c>
      <c r="F1022" s="17" t="n">
        <v>1017</v>
      </c>
      <c r="G1022" s="16" t="n">
        <f aca="false">IF(INDEX(選手一覧!$H$7:$H$2738,$F1022)="","",INDEX(選手一覧!$H$7:$H$2738,$F1022))</f>
        <v>0.00733819444444444</v>
      </c>
      <c r="H1022" s="17" t="n">
        <f aca="false">IF(INDEX(選手一覧!$I$7:$I$2738,$F1022)="","",INDEX(選手一覧!$I$7:$I$2738,$F1022))</f>
        <v>690</v>
      </c>
      <c r="I1022" s="16" t="str">
        <f aca="false">IF(INDEX(選手一覧!$J$7:$J$2738,$F1022)="","",INDEX(選手一覧!$J$7:$J$2738,$F1022))</f>
        <v/>
      </c>
      <c r="J1022" s="17" t="str">
        <f aca="false">IF(INDEX(選手一覧!$K$7:$K$2738,$F1022)="","",INDEX(選手一覧!$K$7:$K$2738,$F1022))</f>
        <v/>
      </c>
    </row>
    <row r="1023" customFormat="false" ht="15" hidden="false" customHeight="false" outlineLevel="0" collapsed="false">
      <c r="A1023" s="17" t="n">
        <v>1019</v>
      </c>
      <c r="B1023" s="12" t="s">
        <v>1653</v>
      </c>
      <c r="C1023" s="12" t="s">
        <v>1049</v>
      </c>
      <c r="D1023" s="16" t="n">
        <v>0.0109579861111111</v>
      </c>
      <c r="E1023" s="15" t="n">
        <f aca="false">ROUND((D1023-$D$5)*86400,2)</f>
        <v>157.03</v>
      </c>
      <c r="F1023" s="17" t="n">
        <v>1018</v>
      </c>
      <c r="G1023" s="16" t="n">
        <f aca="false">IF(INDEX(選手一覧!$H$7:$H$2738,$F1023)="","",INDEX(選手一覧!$H$7:$H$2738,$F1023))</f>
        <v>0.00743009259259259</v>
      </c>
      <c r="H1023" s="17" t="n">
        <f aca="false">IF(INDEX(選手一覧!$I$7:$I$2738,$F1023)="","",INDEX(選手一覧!$I$7:$I$2738,$F1023))</f>
        <v>805</v>
      </c>
      <c r="I1023" s="16" t="n">
        <f aca="false">IF(INDEX(選手一覧!$J$7:$J$2738,$F1023)="","",INDEX(選手一覧!$J$7:$J$2738,$F1023))</f>
        <v>0.0028681712962963</v>
      </c>
      <c r="J1023" s="17" t="n">
        <f aca="false">IF(INDEX(選手一覧!$K$7:$K$2738,$F1023)="","",INDEX(選手一覧!$K$7:$K$2738,$F1023))</f>
        <v>682</v>
      </c>
    </row>
    <row r="1024" customFormat="false" ht="15" hidden="false" customHeight="false" outlineLevel="0" collapsed="false">
      <c r="A1024" s="17" t="n">
        <v>1020</v>
      </c>
      <c r="B1024" s="12" t="s">
        <v>1654</v>
      </c>
      <c r="C1024" s="12" t="s">
        <v>63</v>
      </c>
      <c r="D1024" s="16" t="n">
        <v>0.0109596064814815</v>
      </c>
      <c r="E1024" s="15" t="n">
        <f aca="false">ROUND((D1024-$D$5)*86400,2)</f>
        <v>157.17</v>
      </c>
      <c r="F1024" s="17" t="n">
        <v>1019</v>
      </c>
      <c r="G1024" s="16" t="n">
        <f aca="false">IF(INDEX(選手一覧!$H$7:$H$2738,$F1024)="","",INDEX(選手一覧!$H$7:$H$2738,$F1024))</f>
        <v>0.00732905092592593</v>
      </c>
      <c r="H1024" s="17" t="n">
        <f aca="false">IF(INDEX(選手一覧!$I$7:$I$2738,$F1024)="","",INDEX(選手一覧!$I$7:$I$2738,$F1024))</f>
        <v>681</v>
      </c>
      <c r="I1024" s="16" t="str">
        <f aca="false">IF(INDEX(選手一覧!$J$7:$J$2738,$F1024)="","",INDEX(選手一覧!$J$7:$J$2738,$F1024))</f>
        <v/>
      </c>
      <c r="J1024" s="17" t="str">
        <f aca="false">IF(INDEX(選手一覧!$K$7:$K$2738,$F1024)="","",INDEX(選手一覧!$K$7:$K$2738,$F1024))</f>
        <v/>
      </c>
    </row>
    <row r="1025" customFormat="false" ht="15" hidden="false" customHeight="false" outlineLevel="0" collapsed="false">
      <c r="A1025" s="17" t="n">
        <v>1021</v>
      </c>
      <c r="B1025" s="12" t="s">
        <v>1655</v>
      </c>
      <c r="C1025" s="12" t="s">
        <v>1656</v>
      </c>
      <c r="D1025" s="16" t="n">
        <v>0.0109608796296296</v>
      </c>
      <c r="E1025" s="15" t="n">
        <f aca="false">ROUND((D1025-$D$5)*86400,2)</f>
        <v>157.28</v>
      </c>
      <c r="F1025" s="17" t="n">
        <v>1020</v>
      </c>
      <c r="G1025" s="16" t="n">
        <f aca="false">IF(INDEX(選手一覧!$H$7:$H$2738,$F1025)="","",INDEX(選手一覧!$H$7:$H$2738,$F1025))</f>
        <v>0.00672141203703704</v>
      </c>
      <c r="H1025" s="17" t="n">
        <f aca="false">IF(INDEX(選手一覧!$I$7:$I$2738,$F1025)="","",INDEX(選手一覧!$I$7:$I$2738,$F1025))</f>
        <v>114</v>
      </c>
      <c r="I1025" s="16" t="str">
        <f aca="false">IF(INDEX(選手一覧!$J$7:$J$2738,$F1025)="","",INDEX(選手一覧!$J$7:$J$2738,$F1025))</f>
        <v/>
      </c>
      <c r="J1025" s="17" t="str">
        <f aca="false">IF(INDEX(選手一覧!$K$7:$K$2738,$F1025)="","",INDEX(選手一覧!$K$7:$K$2738,$F1025))</f>
        <v/>
      </c>
    </row>
    <row r="1026" customFormat="false" ht="15" hidden="false" customHeight="false" outlineLevel="0" collapsed="false">
      <c r="A1026" s="17" t="n">
        <v>1022</v>
      </c>
      <c r="B1026" s="12" t="s">
        <v>1658</v>
      </c>
      <c r="C1026" s="12" t="s">
        <v>1131</v>
      </c>
      <c r="D1026" s="16" t="n">
        <v>0.0109625</v>
      </c>
      <c r="E1026" s="15" t="n">
        <f aca="false">ROUND((D1026-$D$5)*86400,2)</f>
        <v>157.42</v>
      </c>
      <c r="F1026" s="17" t="n">
        <v>1021</v>
      </c>
      <c r="G1026" s="16" t="n">
        <f aca="false">IF(INDEX(選手一覧!$H$7:$H$2738,$F1026)="","",INDEX(選手一覧!$H$7:$H$2738,$F1026))</f>
        <v>0.00737592592592593</v>
      </c>
      <c r="H1026" s="17" t="n">
        <f aca="false">IF(INDEX(選手一覧!$I$7:$I$2738,$F1026)="","",INDEX(選手一覧!$I$7:$I$2738,$F1026))</f>
        <v>743</v>
      </c>
      <c r="I1026" s="16" t="str">
        <f aca="false">IF(INDEX(選手一覧!$J$7:$J$2738,$F1026)="","",INDEX(選手一覧!$J$7:$J$2738,$F1026))</f>
        <v/>
      </c>
      <c r="J1026" s="17" t="str">
        <f aca="false">IF(INDEX(選手一覧!$K$7:$K$2738,$F1026)="","",INDEX(選手一覧!$K$7:$K$2738,$F1026))</f>
        <v/>
      </c>
    </row>
    <row r="1027" customFormat="false" ht="15" hidden="false" customHeight="false" outlineLevel="0" collapsed="false">
      <c r="A1027" s="17" t="n">
        <v>1023</v>
      </c>
      <c r="B1027" s="12" t="s">
        <v>1660</v>
      </c>
      <c r="C1027" s="12" t="s">
        <v>1661</v>
      </c>
      <c r="D1027" s="16" t="n">
        <v>0.0109631944444445</v>
      </c>
      <c r="E1027" s="15" t="n">
        <f aca="false">ROUND((D1027-$D$5)*86400,2)</f>
        <v>157.48</v>
      </c>
      <c r="F1027" s="17" t="n">
        <v>1022</v>
      </c>
      <c r="G1027" s="16" t="str">
        <f aca="false">IF(INDEX(選手一覧!$H$7:$H$2738,$F1027)="","",INDEX(選手一覧!$H$7:$H$2738,$F1027))</f>
        <v/>
      </c>
      <c r="H1027" s="17" t="str">
        <f aca="false">IF(INDEX(選手一覧!$I$7:$I$2738,$F1027)="","",INDEX(選手一覧!$I$7:$I$2738,$F1027))</f>
        <v/>
      </c>
      <c r="I1027" s="16" t="n">
        <f aca="false">IF(INDEX(選手一覧!$J$7:$J$2738,$F1027)="","",INDEX(選手一覧!$J$7:$J$2738,$F1027))</f>
        <v>0.00288796296296296</v>
      </c>
      <c r="J1027" s="17" t="n">
        <f aca="false">IF(INDEX(選手一覧!$K$7:$K$2738,$F1027)="","",INDEX(選手一覧!$K$7:$K$2738,$F1027))</f>
        <v>847</v>
      </c>
    </row>
    <row r="1028" customFormat="false" ht="15" hidden="false" customHeight="false" outlineLevel="0" collapsed="false">
      <c r="A1028" s="17" t="n">
        <v>1024</v>
      </c>
      <c r="B1028" s="12" t="s">
        <v>1662</v>
      </c>
      <c r="C1028" s="12" t="s">
        <v>1127</v>
      </c>
      <c r="D1028" s="16" t="n">
        <v>0.0109635416666667</v>
      </c>
      <c r="E1028" s="15" t="n">
        <f aca="false">ROUND((D1028-$D$5)*86400,2)</f>
        <v>157.51</v>
      </c>
      <c r="F1028" s="17" t="n">
        <v>1023</v>
      </c>
      <c r="G1028" s="16" t="n">
        <f aca="false">IF(INDEX(選手一覧!$H$7:$H$2738,$F1028)="","",INDEX(選手一覧!$H$7:$H$2738,$F1028))</f>
        <v>0.00733854166666667</v>
      </c>
      <c r="H1028" s="17" t="n">
        <f aca="false">IF(INDEX(選手一覧!$I$7:$I$2738,$F1028)="","",INDEX(選手一覧!$I$7:$I$2738,$F1028))</f>
        <v>692</v>
      </c>
      <c r="I1028" s="16" t="n">
        <f aca="false">IF(INDEX(選手一覧!$J$7:$J$2738,$F1028)="","",INDEX(選手一覧!$J$7:$J$2738,$F1028))</f>
        <v>0.00294328703703704</v>
      </c>
      <c r="J1028" s="17" t="n">
        <f aca="false">IF(INDEX(選手一覧!$K$7:$K$2738,$F1028)="","",INDEX(選手一覧!$K$7:$K$2738,$F1028))</f>
        <v>1213</v>
      </c>
    </row>
    <row r="1029" customFormat="false" ht="15" hidden="false" customHeight="false" outlineLevel="0" collapsed="false">
      <c r="A1029" s="17" t="n">
        <v>1025</v>
      </c>
      <c r="B1029" s="12" t="s">
        <v>1663</v>
      </c>
      <c r="C1029" s="12" t="s">
        <v>1664</v>
      </c>
      <c r="D1029" s="16" t="n">
        <v>0.0109638888888889</v>
      </c>
      <c r="E1029" s="15" t="n">
        <f aca="false">ROUND((D1029-$D$5)*86400,2)</f>
        <v>157.54</v>
      </c>
      <c r="F1029" s="17" t="n">
        <v>1024</v>
      </c>
      <c r="G1029" s="16" t="str">
        <f aca="false">IF(INDEX(選手一覧!$H$7:$H$2738,$F1029)="","",INDEX(選手一覧!$H$7:$H$2738,$F1029))</f>
        <v/>
      </c>
      <c r="H1029" s="17" t="str">
        <f aca="false">IF(INDEX(選手一覧!$I$7:$I$2738,$F1029)="","",INDEX(選手一覧!$I$7:$I$2738,$F1029))</f>
        <v/>
      </c>
      <c r="I1029" s="16" t="str">
        <f aca="false">IF(INDEX(選手一覧!$J$7:$J$2738,$F1029)="","",INDEX(選手一覧!$J$7:$J$2738,$F1029))</f>
        <v/>
      </c>
      <c r="J1029" s="17" t="str">
        <f aca="false">IF(INDEX(選手一覧!$K$7:$K$2738,$F1029)="","",INDEX(選手一覧!$K$7:$K$2738,$F1029))</f>
        <v/>
      </c>
    </row>
    <row r="1030" customFormat="false" ht="15" hidden="false" customHeight="false" outlineLevel="0" collapsed="false">
      <c r="A1030" s="17" t="n">
        <v>1026</v>
      </c>
      <c r="B1030" s="12" t="s">
        <v>1665</v>
      </c>
      <c r="C1030" s="12" t="s">
        <v>503</v>
      </c>
      <c r="D1030" s="16" t="n">
        <v>0.0109643518518519</v>
      </c>
      <c r="E1030" s="15" t="n">
        <f aca="false">ROUND((D1030-$D$5)*86400,2)</f>
        <v>157.58</v>
      </c>
      <c r="F1030" s="17" t="n">
        <v>1025</v>
      </c>
      <c r="G1030" s="16" t="str">
        <f aca="false">IF(INDEX(選手一覧!$H$7:$H$2738,$F1030)="","",INDEX(選手一覧!$H$7:$H$2738,$F1030))</f>
        <v/>
      </c>
      <c r="H1030" s="17" t="str">
        <f aca="false">IF(INDEX(選手一覧!$I$7:$I$2738,$F1030)="","",INDEX(選手一覧!$I$7:$I$2738,$F1030))</f>
        <v/>
      </c>
      <c r="I1030" s="16" t="str">
        <f aca="false">IF(INDEX(選手一覧!$J$7:$J$2738,$F1030)="","",INDEX(選手一覧!$J$7:$J$2738,$F1030))</f>
        <v/>
      </c>
      <c r="J1030" s="17" t="str">
        <f aca="false">IF(INDEX(選手一覧!$K$7:$K$2738,$F1030)="","",INDEX(選手一覧!$K$7:$K$2738,$F1030))</f>
        <v/>
      </c>
    </row>
    <row r="1031" customFormat="false" ht="15" hidden="false" customHeight="false" outlineLevel="0" collapsed="false">
      <c r="A1031" s="17" t="n">
        <v>1027</v>
      </c>
      <c r="B1031" s="12" t="s">
        <v>1666</v>
      </c>
      <c r="C1031" s="12" t="s">
        <v>1667</v>
      </c>
      <c r="D1031" s="16" t="n">
        <v>0.0109652777777778</v>
      </c>
      <c r="E1031" s="15" t="n">
        <f aca="false">ROUND((D1031-$D$5)*86400,2)</f>
        <v>157.66</v>
      </c>
      <c r="F1031" s="17" t="n">
        <v>1026</v>
      </c>
      <c r="G1031" s="16" t="str">
        <f aca="false">IF(INDEX(選手一覧!$H$7:$H$2738,$F1031)="","",INDEX(選手一覧!$H$7:$H$2738,$F1031))</f>
        <v/>
      </c>
      <c r="H1031" s="17" t="str">
        <f aca="false">IF(INDEX(選手一覧!$I$7:$I$2738,$F1031)="","",INDEX(選手一覧!$I$7:$I$2738,$F1031))</f>
        <v/>
      </c>
      <c r="I1031" s="16" t="str">
        <f aca="false">IF(INDEX(選手一覧!$J$7:$J$2738,$F1031)="","",INDEX(選手一覧!$J$7:$J$2738,$F1031))</f>
        <v/>
      </c>
      <c r="J1031" s="17" t="str">
        <f aca="false">IF(INDEX(選手一覧!$K$7:$K$2738,$F1031)="","",INDEX(選手一覧!$K$7:$K$2738,$F1031))</f>
        <v/>
      </c>
    </row>
    <row r="1032" customFormat="false" ht="15" hidden="false" customHeight="false" outlineLevel="0" collapsed="false">
      <c r="A1032" s="17" t="n">
        <v>1028</v>
      </c>
      <c r="B1032" s="12" t="s">
        <v>1668</v>
      </c>
      <c r="C1032" s="12" t="s">
        <v>115</v>
      </c>
      <c r="D1032" s="16" t="n">
        <v>0.0109670138888889</v>
      </c>
      <c r="E1032" s="15" t="n">
        <f aca="false">ROUND((D1032-$D$5)*86400,2)</f>
        <v>157.81</v>
      </c>
      <c r="F1032" s="17" t="n">
        <v>1027</v>
      </c>
      <c r="G1032" s="16" t="n">
        <f aca="false">IF(INDEX(選手一覧!$H$7:$H$2738,$F1032)="","",INDEX(選手一覧!$H$7:$H$2738,$F1032))</f>
        <v>0.00680034722222222</v>
      </c>
      <c r="H1032" s="17" t="n">
        <f aca="false">IF(INDEX(選手一覧!$I$7:$I$2738,$F1032)="","",INDEX(選手一覧!$I$7:$I$2738,$F1032))</f>
        <v>172</v>
      </c>
      <c r="I1032" s="16" t="str">
        <f aca="false">IF(INDEX(選手一覧!$J$7:$J$2738,$F1032)="","",INDEX(選手一覧!$J$7:$J$2738,$F1032))</f>
        <v/>
      </c>
      <c r="J1032" s="17" t="str">
        <f aca="false">IF(INDEX(選手一覧!$K$7:$K$2738,$F1032)="","",INDEX(選手一覧!$K$7:$K$2738,$F1032))</f>
        <v/>
      </c>
    </row>
    <row r="1033" customFormat="false" ht="15" hidden="false" customHeight="false" outlineLevel="0" collapsed="false">
      <c r="A1033" s="17" t="n">
        <v>1029</v>
      </c>
      <c r="B1033" s="12" t="s">
        <v>4175</v>
      </c>
      <c r="C1033" s="12" t="s">
        <v>1510</v>
      </c>
      <c r="D1033" s="16" t="n">
        <v>0.0109672453703704</v>
      </c>
      <c r="E1033" s="15" t="n">
        <f aca="false">ROUND((D1033-$D$5)*86400,2)</f>
        <v>157.83</v>
      </c>
      <c r="F1033" s="17" t="n">
        <v>1028</v>
      </c>
      <c r="G1033" s="16" t="n">
        <f aca="false">IF(INDEX(選手一覧!$H$7:$H$2738,$F1033)="","",INDEX(選手一覧!$H$7:$H$2738,$F1033))</f>
        <v>0.00675219907407407</v>
      </c>
      <c r="H1033" s="17" t="n">
        <f aca="false">IF(INDEX(選手一覧!$I$7:$I$2738,$F1033)="","",INDEX(選手一覧!$I$7:$I$2738,$F1033))</f>
        <v>130</v>
      </c>
      <c r="I1033" s="16" t="n">
        <f aca="false">IF(INDEX(選手一覧!$J$7:$J$2738,$F1033)="","",INDEX(選手一覧!$J$7:$J$2738,$F1033))</f>
        <v>0.0029099537037037</v>
      </c>
      <c r="J1033" s="17" t="n">
        <f aca="false">IF(INDEX(選手一覧!$K$7:$K$2738,$F1033)="","",INDEX(選手一覧!$K$7:$K$2738,$F1033))</f>
        <v>1019</v>
      </c>
    </row>
    <row r="1034" customFormat="false" ht="15" hidden="false" customHeight="false" outlineLevel="0" collapsed="false">
      <c r="A1034" s="17" t="n">
        <v>1030</v>
      </c>
      <c r="B1034" s="12" t="s">
        <v>1671</v>
      </c>
      <c r="C1034" s="12" t="s">
        <v>503</v>
      </c>
      <c r="D1034" s="16" t="n">
        <v>0.0109677083333333</v>
      </c>
      <c r="E1034" s="15" t="n">
        <f aca="false">ROUND((D1034-$D$5)*86400,2)</f>
        <v>157.87</v>
      </c>
      <c r="F1034" s="17" t="n">
        <v>1029</v>
      </c>
      <c r="G1034" s="16" t="n">
        <f aca="false">IF(INDEX(選手一覧!$H$7:$H$2738,$F1034)="","",INDEX(選手一覧!$H$7:$H$2738,$F1034))</f>
        <v>0.0068337962962963</v>
      </c>
      <c r="H1034" s="17" t="n">
        <f aca="false">IF(INDEX(選手一覧!$I$7:$I$2738,$F1034)="","",INDEX(選手一覧!$I$7:$I$2738,$F1034))</f>
        <v>195</v>
      </c>
      <c r="I1034" s="16" t="str">
        <f aca="false">IF(INDEX(選手一覧!$J$7:$J$2738,$F1034)="","",INDEX(選手一覧!$J$7:$J$2738,$F1034))</f>
        <v/>
      </c>
      <c r="J1034" s="17" t="str">
        <f aca="false">IF(INDEX(選手一覧!$K$7:$K$2738,$F1034)="","",INDEX(選手一覧!$K$7:$K$2738,$F1034))</f>
        <v/>
      </c>
    </row>
    <row r="1035" customFormat="false" ht="15" hidden="false" customHeight="false" outlineLevel="0" collapsed="false">
      <c r="A1035" s="17" t="n">
        <v>1031</v>
      </c>
      <c r="B1035" s="12" t="s">
        <v>1672</v>
      </c>
      <c r="C1035" s="12" t="s">
        <v>1127</v>
      </c>
      <c r="D1035" s="16" t="n">
        <v>0.0109677083333333</v>
      </c>
      <c r="E1035" s="15" t="n">
        <f aca="false">ROUND((D1035-$D$5)*86400,2)</f>
        <v>157.87</v>
      </c>
      <c r="F1035" s="17" t="n">
        <v>1030</v>
      </c>
      <c r="G1035" s="16" t="n">
        <f aca="false">IF(INDEX(選手一覧!$H$7:$H$2738,$F1035)="","",INDEX(選手一覧!$H$7:$H$2738,$F1035))</f>
        <v>0.00840659722222222</v>
      </c>
      <c r="H1035" s="17" t="n">
        <f aca="false">IF(INDEX(選手一覧!$I$7:$I$2738,$F1035)="","",INDEX(選手一覧!$I$7:$I$2738,$F1035))</f>
        <v>1282</v>
      </c>
      <c r="I1035" s="16" t="str">
        <f aca="false">IF(INDEX(選手一覧!$J$7:$J$2738,$F1035)="","",INDEX(選手一覧!$J$7:$J$2738,$F1035))</f>
        <v/>
      </c>
      <c r="J1035" s="17" t="str">
        <f aca="false">IF(INDEX(選手一覧!$K$7:$K$2738,$F1035)="","",INDEX(選手一覧!$K$7:$K$2738,$F1035))</f>
        <v/>
      </c>
    </row>
    <row r="1036" customFormat="false" ht="15" hidden="false" customHeight="false" outlineLevel="0" collapsed="false">
      <c r="A1036" s="17" t="n">
        <v>1032</v>
      </c>
      <c r="B1036" s="12" t="s">
        <v>1673</v>
      </c>
      <c r="C1036" s="12" t="s">
        <v>591</v>
      </c>
      <c r="D1036" s="16" t="n">
        <v>0.0109680555555556</v>
      </c>
      <c r="E1036" s="15" t="n">
        <f aca="false">ROUND((D1036-$D$5)*86400,2)</f>
        <v>157.9</v>
      </c>
      <c r="F1036" s="17" t="n">
        <v>1031</v>
      </c>
      <c r="G1036" s="16" t="str">
        <f aca="false">IF(INDEX(選手一覧!$H$7:$H$2738,$F1036)="","",INDEX(選手一覧!$H$7:$H$2738,$F1036))</f>
        <v/>
      </c>
      <c r="H1036" s="17" t="str">
        <f aca="false">IF(INDEX(選手一覧!$I$7:$I$2738,$F1036)="","",INDEX(選手一覧!$I$7:$I$2738,$F1036))</f>
        <v/>
      </c>
      <c r="I1036" s="16" t="n">
        <f aca="false">IF(INDEX(選手一覧!$J$7:$J$2738,$F1036)="","",INDEX(選手一覧!$J$7:$J$2738,$F1036))</f>
        <v>0.00282372685185185</v>
      </c>
      <c r="J1036" s="17" t="n">
        <f aca="false">IF(INDEX(選手一覧!$K$7:$K$2738,$F1036)="","",INDEX(選手一覧!$K$7:$K$2738,$F1036))</f>
        <v>385</v>
      </c>
    </row>
    <row r="1037" customFormat="false" ht="15" hidden="false" customHeight="false" outlineLevel="0" collapsed="false">
      <c r="A1037" s="17" t="n">
        <v>1033</v>
      </c>
      <c r="B1037" s="12" t="s">
        <v>1674</v>
      </c>
      <c r="C1037" s="12" t="s">
        <v>1675</v>
      </c>
      <c r="D1037" s="16" t="n">
        <v>0.0109680555555556</v>
      </c>
      <c r="E1037" s="15" t="n">
        <f aca="false">ROUND((D1037-$D$5)*86400,2)</f>
        <v>157.9</v>
      </c>
      <c r="F1037" s="17" t="n">
        <v>1032</v>
      </c>
      <c r="G1037" s="16" t="n">
        <f aca="false">IF(INDEX(選手一覧!$H$7:$H$2738,$F1037)="","",INDEX(選手一覧!$H$7:$H$2738,$F1037))</f>
        <v>0.00723611111111111</v>
      </c>
      <c r="H1037" s="17" t="n">
        <f aca="false">IF(INDEX(選手一覧!$I$7:$I$2738,$F1037)="","",INDEX(選手一覧!$I$7:$I$2738,$F1037))</f>
        <v>581</v>
      </c>
      <c r="I1037" s="16" t="n">
        <f aca="false">IF(INDEX(選手一覧!$J$7:$J$2738,$F1037)="","",INDEX(選手一覧!$J$7:$J$2738,$F1037))</f>
        <v>0.00288900462962963</v>
      </c>
      <c r="J1037" s="17" t="n">
        <f aca="false">IF(INDEX(選手一覧!$K$7:$K$2738,$F1037)="","",INDEX(選手一覧!$K$7:$K$2738,$F1037))</f>
        <v>855</v>
      </c>
    </row>
    <row r="1038" customFormat="false" ht="15" hidden="false" customHeight="false" outlineLevel="0" collapsed="false">
      <c r="A1038" s="17" t="n">
        <v>1034</v>
      </c>
      <c r="B1038" s="12" t="s">
        <v>1676</v>
      </c>
      <c r="C1038" s="12" t="s">
        <v>1677</v>
      </c>
      <c r="D1038" s="16" t="n">
        <v>0.0109681712962963</v>
      </c>
      <c r="E1038" s="15" t="n">
        <f aca="false">ROUND((D1038-$D$5)*86400,2)</f>
        <v>157.91</v>
      </c>
      <c r="F1038" s="17" t="n">
        <v>1033</v>
      </c>
      <c r="G1038" s="16" t="str">
        <f aca="false">IF(INDEX(選手一覧!$H$7:$H$2738,$F1038)="","",INDEX(選手一覧!$H$7:$H$2738,$F1038))</f>
        <v/>
      </c>
      <c r="H1038" s="17" t="str">
        <f aca="false">IF(INDEX(選手一覧!$I$7:$I$2738,$F1038)="","",INDEX(選手一覧!$I$7:$I$2738,$F1038))</f>
        <v/>
      </c>
      <c r="I1038" s="16" t="str">
        <f aca="false">IF(INDEX(選手一覧!$J$7:$J$2738,$F1038)="","",INDEX(選手一覧!$J$7:$J$2738,$F1038))</f>
        <v/>
      </c>
      <c r="J1038" s="17" t="str">
        <f aca="false">IF(INDEX(選手一覧!$K$7:$K$2738,$F1038)="","",INDEX(選手一覧!$K$7:$K$2738,$F1038))</f>
        <v/>
      </c>
    </row>
    <row r="1039" customFormat="false" ht="15" hidden="false" customHeight="false" outlineLevel="0" collapsed="false">
      <c r="A1039" s="17" t="n">
        <v>1035</v>
      </c>
      <c r="B1039" s="12" t="s">
        <v>1678</v>
      </c>
      <c r="C1039" s="12" t="s">
        <v>127</v>
      </c>
      <c r="D1039" s="16" t="n">
        <v>0.010968287037037</v>
      </c>
      <c r="E1039" s="15" t="n">
        <f aca="false">ROUND((D1039-$D$5)*86400,2)</f>
        <v>157.92</v>
      </c>
      <c r="F1039" s="17" t="n">
        <v>1034</v>
      </c>
      <c r="G1039" s="16" t="str">
        <f aca="false">IF(INDEX(選手一覧!$H$7:$H$2738,$F1039)="","",INDEX(選手一覧!$H$7:$H$2738,$F1039))</f>
        <v/>
      </c>
      <c r="H1039" s="17" t="str">
        <f aca="false">IF(INDEX(選手一覧!$I$7:$I$2738,$F1039)="","",INDEX(選手一覧!$I$7:$I$2738,$F1039))</f>
        <v/>
      </c>
      <c r="I1039" s="16" t="str">
        <f aca="false">IF(INDEX(選手一覧!$J$7:$J$2738,$F1039)="","",INDEX(選手一覧!$J$7:$J$2738,$F1039))</f>
        <v/>
      </c>
      <c r="J1039" s="17" t="str">
        <f aca="false">IF(INDEX(選手一覧!$K$7:$K$2738,$F1039)="","",INDEX(選手一覧!$K$7:$K$2738,$F1039))</f>
        <v/>
      </c>
    </row>
    <row r="1040" customFormat="false" ht="15" hidden="false" customHeight="false" outlineLevel="0" collapsed="false">
      <c r="A1040" s="17" t="n">
        <v>1036</v>
      </c>
      <c r="B1040" s="12" t="s">
        <v>1679</v>
      </c>
      <c r="C1040" s="12" t="s">
        <v>262</v>
      </c>
      <c r="D1040" s="16" t="n">
        <v>0.0109695601851852</v>
      </c>
      <c r="E1040" s="15" t="n">
        <f aca="false">ROUND((D1040-$D$5)*86400,2)</f>
        <v>158.03</v>
      </c>
      <c r="F1040" s="17" t="n">
        <v>1035</v>
      </c>
      <c r="G1040" s="16" t="str">
        <f aca="false">IF(INDEX(選手一覧!$H$7:$H$2738,$F1040)="","",INDEX(選手一覧!$H$7:$H$2738,$F1040))</f>
        <v/>
      </c>
      <c r="H1040" s="17" t="str">
        <f aca="false">IF(INDEX(選手一覧!$I$7:$I$2738,$F1040)="","",INDEX(選手一覧!$I$7:$I$2738,$F1040))</f>
        <v/>
      </c>
      <c r="I1040" s="16" t="str">
        <f aca="false">IF(INDEX(選手一覧!$J$7:$J$2738,$F1040)="","",INDEX(選手一覧!$J$7:$J$2738,$F1040))</f>
        <v/>
      </c>
      <c r="J1040" s="17" t="str">
        <f aca="false">IF(INDEX(選手一覧!$K$7:$K$2738,$F1040)="","",INDEX(選手一覧!$K$7:$K$2738,$F1040))</f>
        <v/>
      </c>
    </row>
    <row r="1041" customFormat="false" ht="15" hidden="false" customHeight="false" outlineLevel="0" collapsed="false">
      <c r="A1041" s="17" t="n">
        <v>1037</v>
      </c>
      <c r="B1041" s="12" t="s">
        <v>1680</v>
      </c>
      <c r="C1041" s="12" t="s">
        <v>375</v>
      </c>
      <c r="D1041" s="16" t="n">
        <v>0.0109695601851852</v>
      </c>
      <c r="E1041" s="15" t="n">
        <f aca="false">ROUND((D1041-$D$5)*86400,2)</f>
        <v>158.03</v>
      </c>
      <c r="F1041" s="17" t="n">
        <v>1036</v>
      </c>
      <c r="G1041" s="16" t="str">
        <f aca="false">IF(INDEX(選手一覧!$H$7:$H$2738,$F1041)="","",INDEX(選手一覧!$H$7:$H$2738,$F1041))</f>
        <v/>
      </c>
      <c r="H1041" s="17" t="str">
        <f aca="false">IF(INDEX(選手一覧!$I$7:$I$2738,$F1041)="","",INDEX(選手一覧!$I$7:$I$2738,$F1041))</f>
        <v/>
      </c>
      <c r="I1041" s="16" t="n">
        <f aca="false">IF(INDEX(選手一覧!$J$7:$J$2738,$F1041)="","",INDEX(選手一覧!$J$7:$J$2738,$F1041))</f>
        <v>0.00286226851851852</v>
      </c>
      <c r="J1041" s="17" t="n">
        <f aca="false">IF(INDEX(選手一覧!$K$7:$K$2738,$F1041)="","",INDEX(選手一覧!$K$7:$K$2738,$F1041))</f>
        <v>649</v>
      </c>
    </row>
    <row r="1042" customFormat="false" ht="15" hidden="false" customHeight="false" outlineLevel="0" collapsed="false">
      <c r="A1042" s="17" t="n">
        <v>1038</v>
      </c>
      <c r="B1042" s="12" t="s">
        <v>1681</v>
      </c>
      <c r="C1042" s="12" t="s">
        <v>1682</v>
      </c>
      <c r="D1042" s="16" t="n">
        <v>0.0109695601851852</v>
      </c>
      <c r="E1042" s="15" t="n">
        <f aca="false">ROUND((D1042-$D$5)*86400,2)</f>
        <v>158.03</v>
      </c>
      <c r="F1042" s="17" t="n">
        <v>1037</v>
      </c>
      <c r="G1042" s="16" t="str">
        <f aca="false">IF(INDEX(選手一覧!$H$7:$H$2738,$F1042)="","",INDEX(選手一覧!$H$7:$H$2738,$F1042))</f>
        <v/>
      </c>
      <c r="H1042" s="17" t="str">
        <f aca="false">IF(INDEX(選手一覧!$I$7:$I$2738,$F1042)="","",INDEX(選手一覧!$I$7:$I$2738,$F1042))</f>
        <v/>
      </c>
      <c r="I1042" s="16" t="n">
        <f aca="false">IF(INDEX(選手一覧!$J$7:$J$2738,$F1042)="","",INDEX(選手一覧!$J$7:$J$2738,$F1042))</f>
        <v>0.00285625</v>
      </c>
      <c r="J1042" s="17" t="n">
        <f aca="false">IF(INDEX(選手一覧!$K$7:$K$2738,$F1042)="","",INDEX(選手一覧!$K$7:$K$2738,$F1042))</f>
        <v>609</v>
      </c>
    </row>
    <row r="1043" customFormat="false" ht="15" hidden="false" customHeight="false" outlineLevel="0" collapsed="false">
      <c r="A1043" s="17" t="n">
        <v>1039</v>
      </c>
      <c r="B1043" s="12" t="s">
        <v>1683</v>
      </c>
      <c r="C1043" s="12" t="s">
        <v>1684</v>
      </c>
      <c r="D1043" s="16" t="n">
        <v>0.0109696759259259</v>
      </c>
      <c r="E1043" s="15" t="n">
        <f aca="false">ROUND((D1043-$D$5)*86400,2)</f>
        <v>158.04</v>
      </c>
      <c r="F1043" s="17" t="n">
        <v>1038</v>
      </c>
      <c r="G1043" s="16" t="str">
        <f aca="false">IF(INDEX(選手一覧!$H$7:$H$2738,$F1043)="","",INDEX(選手一覧!$H$7:$H$2738,$F1043))</f>
        <v/>
      </c>
      <c r="H1043" s="17" t="str">
        <f aca="false">IF(INDEX(選手一覧!$I$7:$I$2738,$F1043)="","",INDEX(選手一覧!$I$7:$I$2738,$F1043))</f>
        <v/>
      </c>
      <c r="I1043" s="16" t="n">
        <f aca="false">IF(INDEX(選手一覧!$J$7:$J$2738,$F1043)="","",INDEX(選手一覧!$J$7:$J$2738,$F1043))</f>
        <v>0.00291712962962963</v>
      </c>
      <c r="J1043" s="17" t="n">
        <f aca="false">IF(INDEX(選手一覧!$K$7:$K$2738,$F1043)="","",INDEX(選手一覧!$K$7:$K$2738,$F1043))</f>
        <v>1067</v>
      </c>
    </row>
    <row r="1044" customFormat="false" ht="15" hidden="false" customHeight="false" outlineLevel="0" collapsed="false">
      <c r="A1044" s="17" t="n">
        <v>1040</v>
      </c>
      <c r="B1044" s="12" t="s">
        <v>1685</v>
      </c>
      <c r="C1044" s="12" t="s">
        <v>893</v>
      </c>
      <c r="D1044" s="16" t="n">
        <v>0.0109703703703704</v>
      </c>
      <c r="E1044" s="15" t="n">
        <f aca="false">ROUND((D1044-$D$5)*86400,2)</f>
        <v>158.1</v>
      </c>
      <c r="F1044" s="17" t="n">
        <v>1039</v>
      </c>
      <c r="G1044" s="16" t="n">
        <f aca="false">IF(INDEX(選手一覧!$H$7:$H$2738,$F1044)="","",INDEX(選手一覧!$H$7:$H$2738,$F1044))</f>
        <v>0.00664293981481482</v>
      </c>
      <c r="H1044" s="17" t="n">
        <f aca="false">IF(INDEX(選手一覧!$I$7:$I$2738,$F1044)="","",INDEX(選手一覧!$I$7:$I$2738,$F1044))</f>
        <v>80</v>
      </c>
      <c r="I1044" s="16" t="n">
        <f aca="false">IF(INDEX(選手一覧!$J$7:$J$2738,$F1044)="","",INDEX(選手一覧!$J$7:$J$2738,$F1044))</f>
        <v>0.00283680555555556</v>
      </c>
      <c r="J1044" s="17" t="n">
        <f aca="false">IF(INDEX(選手一覧!$K$7:$K$2738,$F1044)="","",INDEX(選手一覧!$K$7:$K$2738,$F1044))</f>
        <v>476</v>
      </c>
    </row>
    <row r="1045" customFormat="false" ht="15" hidden="false" customHeight="false" outlineLevel="0" collapsed="false">
      <c r="A1045" s="17" t="n">
        <v>1041</v>
      </c>
      <c r="B1045" s="12" t="s">
        <v>1686</v>
      </c>
      <c r="C1045" s="12" t="s">
        <v>143</v>
      </c>
      <c r="D1045" s="16" t="n">
        <v>0.0109706018518519</v>
      </c>
      <c r="E1045" s="15" t="n">
        <f aca="false">ROUND((D1045-$D$5)*86400,2)</f>
        <v>158.12</v>
      </c>
      <c r="F1045" s="17" t="n">
        <v>1040</v>
      </c>
      <c r="G1045" s="16" t="str">
        <f aca="false">IF(INDEX(選手一覧!$H$7:$H$2738,$F1045)="","",INDEX(選手一覧!$H$7:$H$2738,$F1045))</f>
        <v/>
      </c>
      <c r="H1045" s="17" t="str">
        <f aca="false">IF(INDEX(選手一覧!$I$7:$I$2738,$F1045)="","",INDEX(選手一覧!$I$7:$I$2738,$F1045))</f>
        <v/>
      </c>
      <c r="I1045" s="16" t="n">
        <f aca="false">IF(INDEX(選手一覧!$J$7:$J$2738,$F1045)="","",INDEX(選手一覧!$J$7:$J$2738,$F1045))</f>
        <v>0.00272881944444445</v>
      </c>
      <c r="J1045" s="17" t="n">
        <f aca="false">IF(INDEX(選手一覧!$K$7:$K$2738,$F1045)="","",INDEX(選手一覧!$K$7:$K$2738,$F1045))</f>
        <v>61</v>
      </c>
    </row>
    <row r="1046" customFormat="false" ht="15" hidden="false" customHeight="false" outlineLevel="0" collapsed="false">
      <c r="A1046" s="17" t="n">
        <v>1042</v>
      </c>
      <c r="B1046" s="12" t="s">
        <v>1687</v>
      </c>
      <c r="C1046" s="12" t="s">
        <v>1688</v>
      </c>
      <c r="D1046" s="16" t="n">
        <v>0.0109711805555556</v>
      </c>
      <c r="E1046" s="15" t="n">
        <f aca="false">ROUND((D1046-$D$5)*86400,2)</f>
        <v>158.17</v>
      </c>
      <c r="F1046" s="17" t="n">
        <v>1041</v>
      </c>
      <c r="G1046" s="16" t="str">
        <f aca="false">IF(INDEX(選手一覧!$H$7:$H$2738,$F1046)="","",INDEX(選手一覧!$H$7:$H$2738,$F1046))</f>
        <v/>
      </c>
      <c r="H1046" s="17" t="str">
        <f aca="false">IF(INDEX(選手一覧!$I$7:$I$2738,$F1046)="","",INDEX(選手一覧!$I$7:$I$2738,$F1046))</f>
        <v/>
      </c>
      <c r="I1046" s="16" t="str">
        <f aca="false">IF(INDEX(選手一覧!$J$7:$J$2738,$F1046)="","",INDEX(選手一覧!$J$7:$J$2738,$F1046))</f>
        <v/>
      </c>
      <c r="J1046" s="17" t="str">
        <f aca="false">IF(INDEX(選手一覧!$K$7:$K$2738,$F1046)="","",INDEX(選手一覧!$K$7:$K$2738,$F1046))</f>
        <v/>
      </c>
    </row>
    <row r="1047" customFormat="false" ht="15" hidden="false" customHeight="false" outlineLevel="0" collapsed="false">
      <c r="A1047" s="17" t="n">
        <v>1043</v>
      </c>
      <c r="B1047" s="12" t="s">
        <v>1690</v>
      </c>
      <c r="C1047" s="12" t="s">
        <v>157</v>
      </c>
      <c r="D1047" s="16" t="n">
        <v>0.0109712962962963</v>
      </c>
      <c r="E1047" s="15" t="n">
        <f aca="false">ROUND((D1047-$D$5)*86400,2)</f>
        <v>158.18</v>
      </c>
      <c r="F1047" s="17" t="n">
        <v>1042</v>
      </c>
      <c r="G1047" s="16" t="str">
        <f aca="false">IF(INDEX(選手一覧!$H$7:$H$2738,$F1047)="","",INDEX(選手一覧!$H$7:$H$2738,$F1047))</f>
        <v/>
      </c>
      <c r="H1047" s="17" t="str">
        <f aca="false">IF(INDEX(選手一覧!$I$7:$I$2738,$F1047)="","",INDEX(選手一覧!$I$7:$I$2738,$F1047))</f>
        <v/>
      </c>
      <c r="I1047" s="16" t="str">
        <f aca="false">IF(INDEX(選手一覧!$J$7:$J$2738,$F1047)="","",INDEX(選手一覧!$J$7:$J$2738,$F1047))</f>
        <v/>
      </c>
      <c r="J1047" s="17" t="str">
        <f aca="false">IF(INDEX(選手一覧!$K$7:$K$2738,$F1047)="","",INDEX(選手一覧!$K$7:$K$2738,$F1047))</f>
        <v/>
      </c>
    </row>
    <row r="1048" customFormat="false" ht="15" hidden="false" customHeight="false" outlineLevel="0" collapsed="false">
      <c r="A1048" s="17" t="n">
        <v>1044</v>
      </c>
      <c r="B1048" s="12" t="s">
        <v>1691</v>
      </c>
      <c r="C1048" s="12" t="s">
        <v>1692</v>
      </c>
      <c r="D1048" s="16" t="n">
        <v>0.0109716435185185</v>
      </c>
      <c r="E1048" s="15" t="n">
        <f aca="false">ROUND((D1048-$D$5)*86400,2)</f>
        <v>158.21</v>
      </c>
      <c r="F1048" s="17" t="n">
        <v>1043</v>
      </c>
      <c r="G1048" s="16" t="str">
        <f aca="false">IF(INDEX(選手一覧!$H$7:$H$2738,$F1048)="","",INDEX(選手一覧!$H$7:$H$2738,$F1048))</f>
        <v/>
      </c>
      <c r="H1048" s="17" t="str">
        <f aca="false">IF(INDEX(選手一覧!$I$7:$I$2738,$F1048)="","",INDEX(選手一覧!$I$7:$I$2738,$F1048))</f>
        <v/>
      </c>
      <c r="I1048" s="16" t="n">
        <f aca="false">IF(INDEX(選手一覧!$J$7:$J$2738,$F1048)="","",INDEX(選手一覧!$J$7:$J$2738,$F1048))</f>
        <v>0.00286377314814815</v>
      </c>
      <c r="J1048" s="17" t="n">
        <f aca="false">IF(INDEX(選手一覧!$K$7:$K$2738,$F1048)="","",INDEX(選手一覧!$K$7:$K$2738,$F1048))</f>
        <v>659</v>
      </c>
    </row>
    <row r="1049" customFormat="false" ht="15" hidden="false" customHeight="false" outlineLevel="0" collapsed="false">
      <c r="A1049" s="17" t="n">
        <v>1045</v>
      </c>
      <c r="B1049" s="12" t="s">
        <v>1693</v>
      </c>
      <c r="C1049" s="12" t="s">
        <v>1694</v>
      </c>
      <c r="D1049" s="16" t="n">
        <v>0.0109722222222222</v>
      </c>
      <c r="E1049" s="15" t="n">
        <f aca="false">ROUND((D1049-$D$5)*86400,2)</f>
        <v>158.26</v>
      </c>
      <c r="F1049" s="17" t="n">
        <v>1044</v>
      </c>
      <c r="G1049" s="16" t="str">
        <f aca="false">IF(INDEX(選手一覧!$H$7:$H$2738,$F1049)="","",INDEX(選手一覧!$H$7:$H$2738,$F1049))</f>
        <v/>
      </c>
      <c r="H1049" s="17" t="str">
        <f aca="false">IF(INDEX(選手一覧!$I$7:$I$2738,$F1049)="","",INDEX(選手一覧!$I$7:$I$2738,$F1049))</f>
        <v/>
      </c>
      <c r="I1049" s="16" t="str">
        <f aca="false">IF(INDEX(選手一覧!$J$7:$J$2738,$F1049)="","",INDEX(選手一覧!$J$7:$J$2738,$F1049))</f>
        <v/>
      </c>
      <c r="J1049" s="17" t="str">
        <f aca="false">IF(INDEX(選手一覧!$K$7:$K$2738,$F1049)="","",INDEX(選手一覧!$K$7:$K$2738,$F1049))</f>
        <v/>
      </c>
    </row>
    <row r="1050" customFormat="false" ht="15" hidden="false" customHeight="false" outlineLevel="0" collapsed="false">
      <c r="A1050" s="17" t="n">
        <v>1046</v>
      </c>
      <c r="B1050" s="12" t="s">
        <v>1695</v>
      </c>
      <c r="C1050" s="12" t="s">
        <v>318</v>
      </c>
      <c r="D1050" s="16" t="n">
        <v>0.0109732638888889</v>
      </c>
      <c r="E1050" s="15" t="n">
        <f aca="false">ROUND((D1050-$D$5)*86400,2)</f>
        <v>158.35</v>
      </c>
      <c r="F1050" s="17" t="n">
        <v>1045</v>
      </c>
      <c r="G1050" s="16" t="n">
        <f aca="false">IF(INDEX(選手一覧!$H$7:$H$2738,$F1050)="","",INDEX(選手一覧!$H$7:$H$2738,$F1050))</f>
        <v>0.00769664351851852</v>
      </c>
      <c r="H1050" s="17" t="n">
        <f aca="false">IF(INDEX(選手一覧!$I$7:$I$2738,$F1050)="","",INDEX(選手一覧!$I$7:$I$2738,$F1050))</f>
        <v>1064</v>
      </c>
      <c r="I1050" s="16" t="str">
        <f aca="false">IF(INDEX(選手一覧!$J$7:$J$2738,$F1050)="","",INDEX(選手一覧!$J$7:$J$2738,$F1050))</f>
        <v/>
      </c>
      <c r="J1050" s="17" t="str">
        <f aca="false">IF(INDEX(選手一覧!$K$7:$K$2738,$F1050)="","",INDEX(選手一覧!$K$7:$K$2738,$F1050))</f>
        <v/>
      </c>
    </row>
    <row r="1051" customFormat="false" ht="15" hidden="false" customHeight="false" outlineLevel="0" collapsed="false">
      <c r="A1051" s="17" t="n">
        <v>1047</v>
      </c>
      <c r="B1051" s="12" t="s">
        <v>1696</v>
      </c>
      <c r="C1051" s="12" t="s">
        <v>1697</v>
      </c>
      <c r="D1051" s="16" t="n">
        <v>0.0109736111111111</v>
      </c>
      <c r="E1051" s="15" t="n">
        <f aca="false">ROUND((D1051-$D$5)*86400,2)</f>
        <v>158.38</v>
      </c>
      <c r="F1051" s="17" t="n">
        <v>1046</v>
      </c>
      <c r="G1051" s="16" t="str">
        <f aca="false">IF(INDEX(選手一覧!$H$7:$H$2738,$F1051)="","",INDEX(選手一覧!$H$7:$H$2738,$F1051))</f>
        <v/>
      </c>
      <c r="H1051" s="17" t="str">
        <f aca="false">IF(INDEX(選手一覧!$I$7:$I$2738,$F1051)="","",INDEX(選手一覧!$I$7:$I$2738,$F1051))</f>
        <v/>
      </c>
      <c r="I1051" s="16" t="n">
        <f aca="false">IF(INDEX(選手一覧!$J$7:$J$2738,$F1051)="","",INDEX(選手一覧!$J$7:$J$2738,$F1051))</f>
        <v>0.00281388888888889</v>
      </c>
      <c r="J1051" s="17" t="n">
        <f aca="false">IF(INDEX(選手一覧!$K$7:$K$2738,$F1051)="","",INDEX(選手一覧!$K$7:$K$2738,$F1051))</f>
        <v>339</v>
      </c>
    </row>
    <row r="1052" customFormat="false" ht="15" hidden="false" customHeight="false" outlineLevel="0" collapsed="false">
      <c r="A1052" s="17" t="n">
        <v>1048</v>
      </c>
      <c r="B1052" s="12" t="s">
        <v>1698</v>
      </c>
      <c r="C1052" s="12" t="s">
        <v>544</v>
      </c>
      <c r="D1052" s="16" t="n">
        <v>0.0109739583333333</v>
      </c>
      <c r="E1052" s="15" t="n">
        <f aca="false">ROUND((D1052-$D$5)*86400,2)</f>
        <v>158.41</v>
      </c>
      <c r="F1052" s="17" t="n">
        <v>1047</v>
      </c>
      <c r="G1052" s="16" t="str">
        <f aca="false">IF(INDEX(選手一覧!$H$7:$H$2738,$F1052)="","",INDEX(選手一覧!$H$7:$H$2738,$F1052))</f>
        <v/>
      </c>
      <c r="H1052" s="17" t="str">
        <f aca="false">IF(INDEX(選手一覧!$I$7:$I$2738,$F1052)="","",INDEX(選手一覧!$I$7:$I$2738,$F1052))</f>
        <v/>
      </c>
      <c r="I1052" s="16" t="str">
        <f aca="false">IF(INDEX(選手一覧!$J$7:$J$2738,$F1052)="","",INDEX(選手一覧!$J$7:$J$2738,$F1052))</f>
        <v/>
      </c>
      <c r="J1052" s="17" t="str">
        <f aca="false">IF(INDEX(選手一覧!$K$7:$K$2738,$F1052)="","",INDEX(選手一覧!$K$7:$K$2738,$F1052))</f>
        <v/>
      </c>
    </row>
    <row r="1053" customFormat="false" ht="15" hidden="false" customHeight="false" outlineLevel="0" collapsed="false">
      <c r="A1053" s="17" t="n">
        <v>1049</v>
      </c>
      <c r="B1053" s="12" t="s">
        <v>1699</v>
      </c>
      <c r="C1053" s="12" t="s">
        <v>1700</v>
      </c>
      <c r="D1053" s="16" t="n">
        <v>0.0109747685185185</v>
      </c>
      <c r="E1053" s="15" t="n">
        <f aca="false">ROUND((D1053-$D$5)*86400,2)</f>
        <v>158.48</v>
      </c>
      <c r="F1053" s="17" t="n">
        <v>1048</v>
      </c>
      <c r="G1053" s="16" t="str">
        <f aca="false">IF(INDEX(選手一覧!$H$7:$H$2738,$F1053)="","",INDEX(選手一覧!$H$7:$H$2738,$F1053))</f>
        <v/>
      </c>
      <c r="H1053" s="17" t="str">
        <f aca="false">IF(INDEX(選手一覧!$I$7:$I$2738,$F1053)="","",INDEX(選手一覧!$I$7:$I$2738,$F1053))</f>
        <v/>
      </c>
      <c r="I1053" s="16" t="n">
        <f aca="false">IF(INDEX(選手一覧!$J$7:$J$2738,$F1053)="","",INDEX(選手一覧!$J$7:$J$2738,$F1053))</f>
        <v>0.00292638888888889</v>
      </c>
      <c r="J1053" s="17" t="n">
        <f aca="false">IF(INDEX(選手一覧!$K$7:$K$2738,$F1053)="","",INDEX(選手一覧!$K$7:$K$2738,$F1053))</f>
        <v>1162</v>
      </c>
    </row>
    <row r="1054" customFormat="false" ht="15" hidden="false" customHeight="false" outlineLevel="0" collapsed="false">
      <c r="A1054" s="17" t="n">
        <v>1050</v>
      </c>
      <c r="B1054" s="12" t="s">
        <v>1701</v>
      </c>
      <c r="C1054" s="12" t="s">
        <v>320</v>
      </c>
      <c r="D1054" s="16" t="n">
        <v>0.0109751157407407</v>
      </c>
      <c r="E1054" s="15" t="n">
        <f aca="false">ROUND((D1054-$D$5)*86400,2)</f>
        <v>158.51</v>
      </c>
      <c r="F1054" s="17" t="n">
        <v>1049</v>
      </c>
      <c r="G1054" s="16" t="n">
        <f aca="false">IF(INDEX(選手一覧!$H$7:$H$2738,$F1054)="","",INDEX(選手一覧!$H$7:$H$2738,$F1054))</f>
        <v>0.00753622685185185</v>
      </c>
      <c r="H1054" s="17" t="n">
        <f aca="false">IF(INDEX(選手一覧!$I$7:$I$2738,$F1054)="","",INDEX(選手一覧!$I$7:$I$2738,$F1054))</f>
        <v>940</v>
      </c>
      <c r="I1054" s="16" t="str">
        <f aca="false">IF(INDEX(選手一覧!$J$7:$J$2738,$F1054)="","",INDEX(選手一覧!$J$7:$J$2738,$F1054))</f>
        <v/>
      </c>
      <c r="J1054" s="17" t="str">
        <f aca="false">IF(INDEX(選手一覧!$K$7:$K$2738,$F1054)="","",INDEX(選手一覧!$K$7:$K$2738,$F1054))</f>
        <v/>
      </c>
    </row>
    <row r="1055" customFormat="false" ht="15" hidden="false" customHeight="false" outlineLevel="0" collapsed="false">
      <c r="A1055" s="17" t="n">
        <v>1051</v>
      </c>
      <c r="B1055" s="12" t="s">
        <v>1702</v>
      </c>
      <c r="C1055" s="12" t="s">
        <v>1703</v>
      </c>
      <c r="D1055" s="16" t="n">
        <v>0.0109778935185185</v>
      </c>
      <c r="E1055" s="15" t="n">
        <f aca="false">ROUND((D1055-$D$5)*86400,2)</f>
        <v>158.75</v>
      </c>
      <c r="F1055" s="17" t="n">
        <v>1050</v>
      </c>
      <c r="G1055" s="16" t="str">
        <f aca="false">IF(INDEX(選手一覧!$H$7:$H$2738,$F1055)="","",INDEX(選手一覧!$H$7:$H$2738,$F1055))</f>
        <v/>
      </c>
      <c r="H1055" s="17" t="str">
        <f aca="false">IF(INDEX(選手一覧!$I$7:$I$2738,$F1055)="","",INDEX(選手一覧!$I$7:$I$2738,$F1055))</f>
        <v/>
      </c>
      <c r="I1055" s="16" t="str">
        <f aca="false">IF(INDEX(選手一覧!$J$7:$J$2738,$F1055)="","",INDEX(選手一覧!$J$7:$J$2738,$F1055))</f>
        <v/>
      </c>
      <c r="J1055" s="17" t="str">
        <f aca="false">IF(INDEX(選手一覧!$K$7:$K$2738,$F1055)="","",INDEX(選手一覧!$K$7:$K$2738,$F1055))</f>
        <v/>
      </c>
    </row>
    <row r="1056" customFormat="false" ht="15" hidden="false" customHeight="false" outlineLevel="0" collapsed="false">
      <c r="A1056" s="17" t="n">
        <v>1052</v>
      </c>
      <c r="B1056" s="12" t="s">
        <v>1704</v>
      </c>
      <c r="C1056" s="12" t="s">
        <v>1705</v>
      </c>
      <c r="D1056" s="16" t="n">
        <v>0.0109778935185185</v>
      </c>
      <c r="E1056" s="15" t="n">
        <f aca="false">ROUND((D1056-$D$5)*86400,2)</f>
        <v>158.75</v>
      </c>
      <c r="F1056" s="17" t="n">
        <v>1051</v>
      </c>
      <c r="G1056" s="16" t="str">
        <f aca="false">IF(INDEX(選手一覧!$H$7:$H$2738,$F1056)="","",INDEX(選手一覧!$H$7:$H$2738,$F1056))</f>
        <v/>
      </c>
      <c r="H1056" s="17" t="str">
        <f aca="false">IF(INDEX(選手一覧!$I$7:$I$2738,$F1056)="","",INDEX(選手一覧!$I$7:$I$2738,$F1056))</f>
        <v/>
      </c>
      <c r="I1056" s="16" t="n">
        <f aca="false">IF(INDEX(選手一覧!$J$7:$J$2738,$F1056)="","",INDEX(選手一覧!$J$7:$J$2738,$F1056))</f>
        <v>0.00297152777777778</v>
      </c>
      <c r="J1056" s="17" t="n">
        <f aca="false">IF(INDEX(選手一覧!$K$7:$K$2738,$F1056)="","",INDEX(選手一覧!$K$7:$K$2738,$F1056))</f>
        <v>1313</v>
      </c>
    </row>
    <row r="1057" customFormat="false" ht="15" hidden="false" customHeight="false" outlineLevel="0" collapsed="false">
      <c r="A1057" s="17" t="n">
        <v>1053</v>
      </c>
      <c r="B1057" s="12" t="s">
        <v>1706</v>
      </c>
      <c r="C1057" s="12" t="s">
        <v>1707</v>
      </c>
      <c r="D1057" s="16" t="n">
        <v>0.010978587962963</v>
      </c>
      <c r="E1057" s="15" t="n">
        <f aca="false">ROUND((D1057-$D$5)*86400,2)</f>
        <v>158.81</v>
      </c>
      <c r="F1057" s="17" t="n">
        <v>1052</v>
      </c>
      <c r="G1057" s="16" t="n">
        <f aca="false">IF(INDEX(選手一覧!$H$7:$H$2738,$F1057)="","",INDEX(選手一覧!$H$7:$H$2738,$F1057))</f>
        <v>0.00701643518518519</v>
      </c>
      <c r="H1057" s="17" t="n">
        <f aca="false">IF(INDEX(選手一覧!$I$7:$I$2738,$F1057)="","",INDEX(選手一覧!$I$7:$I$2738,$F1057))</f>
        <v>353</v>
      </c>
      <c r="I1057" s="16" t="str">
        <f aca="false">IF(INDEX(選手一覧!$J$7:$J$2738,$F1057)="","",INDEX(選手一覧!$J$7:$J$2738,$F1057))</f>
        <v/>
      </c>
      <c r="J1057" s="17" t="str">
        <f aca="false">IF(INDEX(選手一覧!$K$7:$K$2738,$F1057)="","",INDEX(選手一覧!$K$7:$K$2738,$F1057))</f>
        <v/>
      </c>
    </row>
    <row r="1058" customFormat="false" ht="15" hidden="false" customHeight="false" outlineLevel="0" collapsed="false">
      <c r="A1058" s="17" t="n">
        <v>1054</v>
      </c>
      <c r="B1058" s="12" t="s">
        <v>1708</v>
      </c>
      <c r="C1058" s="12" t="s">
        <v>860</v>
      </c>
      <c r="D1058" s="16" t="n">
        <v>0.0109790509259259</v>
      </c>
      <c r="E1058" s="15" t="n">
        <f aca="false">ROUND((D1058-$D$5)*86400,2)</f>
        <v>158.85</v>
      </c>
      <c r="F1058" s="17" t="n">
        <v>1053</v>
      </c>
      <c r="G1058" s="16" t="n">
        <f aca="false">IF(INDEX(選手一覧!$H$7:$H$2738,$F1058)="","",INDEX(選手一覧!$H$7:$H$2738,$F1058))</f>
        <v>0.00710462962962963</v>
      </c>
      <c r="H1058" s="17" t="n">
        <f aca="false">IF(INDEX(選手一覧!$I$7:$I$2738,$F1058)="","",INDEX(選手一覧!$I$7:$I$2738,$F1058))</f>
        <v>453</v>
      </c>
      <c r="I1058" s="16" t="str">
        <f aca="false">IF(INDEX(選手一覧!$J$7:$J$2738,$F1058)="","",INDEX(選手一覧!$J$7:$J$2738,$F1058))</f>
        <v/>
      </c>
      <c r="J1058" s="17" t="str">
        <f aca="false">IF(INDEX(選手一覧!$K$7:$K$2738,$F1058)="","",INDEX(選手一覧!$K$7:$K$2738,$F1058))</f>
        <v/>
      </c>
    </row>
    <row r="1059" customFormat="false" ht="15" hidden="false" customHeight="false" outlineLevel="0" collapsed="false">
      <c r="A1059" s="17" t="n">
        <v>1055</v>
      </c>
      <c r="B1059" s="12" t="s">
        <v>1709</v>
      </c>
      <c r="C1059" s="12" t="s">
        <v>1710</v>
      </c>
      <c r="D1059" s="16" t="n">
        <v>0.0109792824074074</v>
      </c>
      <c r="E1059" s="15" t="n">
        <f aca="false">ROUND((D1059-$D$5)*86400,2)</f>
        <v>158.87</v>
      </c>
      <c r="F1059" s="17" t="n">
        <v>1054</v>
      </c>
      <c r="G1059" s="16" t="n">
        <f aca="false">IF(INDEX(選手一覧!$H$7:$H$2738,$F1059)="","",INDEX(選手一覧!$H$7:$H$2738,$F1059))</f>
        <v>0.00708622685185185</v>
      </c>
      <c r="H1059" s="17" t="n">
        <f aca="false">IF(INDEX(選手一覧!$I$7:$I$2738,$F1059)="","",INDEX(選手一覧!$I$7:$I$2738,$F1059))</f>
        <v>435</v>
      </c>
      <c r="I1059" s="16" t="str">
        <f aca="false">IF(INDEX(選手一覧!$J$7:$J$2738,$F1059)="","",INDEX(選手一覧!$J$7:$J$2738,$F1059))</f>
        <v/>
      </c>
      <c r="J1059" s="17" t="str">
        <f aca="false">IF(INDEX(選手一覧!$K$7:$K$2738,$F1059)="","",INDEX(選手一覧!$K$7:$K$2738,$F1059))</f>
        <v/>
      </c>
    </row>
    <row r="1060" customFormat="false" ht="15" hidden="false" customHeight="false" outlineLevel="0" collapsed="false">
      <c r="A1060" s="17" t="n">
        <v>1056</v>
      </c>
      <c r="B1060" s="12" t="s">
        <v>1711</v>
      </c>
      <c r="C1060" s="12" t="s">
        <v>846</v>
      </c>
      <c r="D1060" s="16" t="n">
        <v>0.0109800925925926</v>
      </c>
      <c r="E1060" s="15" t="n">
        <f aca="false">ROUND((D1060-$D$5)*86400,2)</f>
        <v>158.94</v>
      </c>
      <c r="F1060" s="17" t="n">
        <v>1055</v>
      </c>
      <c r="G1060" s="16" t="str">
        <f aca="false">IF(INDEX(選手一覧!$H$7:$H$2738,$F1060)="","",INDEX(選手一覧!$H$7:$H$2738,$F1060))</f>
        <v/>
      </c>
      <c r="H1060" s="17" t="str">
        <f aca="false">IF(INDEX(選手一覧!$I$7:$I$2738,$F1060)="","",INDEX(選手一覧!$I$7:$I$2738,$F1060))</f>
        <v/>
      </c>
      <c r="I1060" s="16" t="n">
        <f aca="false">IF(INDEX(選手一覧!$J$7:$J$2738,$F1060)="","",INDEX(選手一覧!$J$7:$J$2738,$F1060))</f>
        <v>0.00293715277777778</v>
      </c>
      <c r="J1060" s="17" t="n">
        <f aca="false">IF(INDEX(選手一覧!$K$7:$K$2738,$F1060)="","",INDEX(選手一覧!$K$7:$K$2738,$F1060))</f>
        <v>1195</v>
      </c>
    </row>
    <row r="1061" customFormat="false" ht="15" hidden="false" customHeight="false" outlineLevel="0" collapsed="false">
      <c r="A1061" s="17" t="n">
        <v>1057</v>
      </c>
      <c r="B1061" s="12" t="s">
        <v>1712</v>
      </c>
      <c r="C1061" s="12" t="s">
        <v>406</v>
      </c>
      <c r="D1061" s="16" t="n">
        <v>0.010980787037037</v>
      </c>
      <c r="E1061" s="15" t="n">
        <f aca="false">ROUND((D1061-$D$5)*86400,2)</f>
        <v>159</v>
      </c>
      <c r="F1061" s="17" t="n">
        <v>1056</v>
      </c>
      <c r="G1061" s="16" t="str">
        <f aca="false">IF(INDEX(選手一覧!$H$7:$H$2738,$F1061)="","",INDEX(選手一覧!$H$7:$H$2738,$F1061))</f>
        <v/>
      </c>
      <c r="H1061" s="17" t="str">
        <f aca="false">IF(INDEX(選手一覧!$I$7:$I$2738,$F1061)="","",INDEX(選手一覧!$I$7:$I$2738,$F1061))</f>
        <v/>
      </c>
      <c r="I1061" s="16" t="n">
        <f aca="false">IF(INDEX(選手一覧!$J$7:$J$2738,$F1061)="","",INDEX(選手一覧!$J$7:$J$2738,$F1061))</f>
        <v>0.00289398148148148</v>
      </c>
      <c r="J1061" s="17" t="n">
        <f aca="false">IF(INDEX(選手一覧!$K$7:$K$2738,$F1061)="","",INDEX(選手一覧!$K$7:$K$2738,$F1061))</f>
        <v>904</v>
      </c>
    </row>
    <row r="1062" customFormat="false" ht="15" hidden="false" customHeight="false" outlineLevel="0" collapsed="false">
      <c r="A1062" s="17" t="n">
        <v>1058</v>
      </c>
      <c r="B1062" s="12" t="s">
        <v>1713</v>
      </c>
      <c r="C1062" s="12" t="s">
        <v>1245</v>
      </c>
      <c r="D1062" s="16" t="n">
        <v>0.0109810185185185</v>
      </c>
      <c r="E1062" s="15" t="n">
        <f aca="false">ROUND((D1062-$D$5)*86400,2)</f>
        <v>159.02</v>
      </c>
      <c r="F1062" s="17" t="n">
        <v>1057</v>
      </c>
      <c r="G1062" s="16" t="n">
        <f aca="false">IF(INDEX(選手一覧!$H$7:$H$2738,$F1062)="","",INDEX(選手一覧!$H$7:$H$2738,$F1062))</f>
        <v>0.00690625</v>
      </c>
      <c r="H1062" s="17" t="n">
        <f aca="false">IF(INDEX(選手一覧!$I$7:$I$2738,$F1062)="","",INDEX(選手一覧!$I$7:$I$2738,$F1062))</f>
        <v>248</v>
      </c>
      <c r="I1062" s="16" t="str">
        <f aca="false">IF(INDEX(選手一覧!$J$7:$J$2738,$F1062)="","",INDEX(選手一覧!$J$7:$J$2738,$F1062))</f>
        <v/>
      </c>
      <c r="J1062" s="17" t="str">
        <f aca="false">IF(INDEX(選手一覧!$K$7:$K$2738,$F1062)="","",INDEX(選手一覧!$K$7:$K$2738,$F1062))</f>
        <v/>
      </c>
    </row>
    <row r="1063" customFormat="false" ht="15" hidden="false" customHeight="false" outlineLevel="0" collapsed="false">
      <c r="A1063" s="17" t="n">
        <v>1059</v>
      </c>
      <c r="B1063" s="12" t="s">
        <v>1714</v>
      </c>
      <c r="C1063" s="12" t="s">
        <v>444</v>
      </c>
      <c r="D1063" s="16" t="n">
        <v>0.0109811342592593</v>
      </c>
      <c r="E1063" s="15" t="n">
        <f aca="false">ROUND((D1063-$D$5)*86400,2)</f>
        <v>159.03</v>
      </c>
      <c r="F1063" s="17" t="n">
        <v>1058</v>
      </c>
      <c r="G1063" s="16" t="n">
        <f aca="false">IF(INDEX(選手一覧!$H$7:$H$2738,$F1063)="","",INDEX(選手一覧!$H$7:$H$2738,$F1063))</f>
        <v>0.00712893518518519</v>
      </c>
      <c r="H1063" s="17" t="n">
        <f aca="false">IF(INDEX(選手一覧!$I$7:$I$2738,$F1063)="","",INDEX(選手一覧!$I$7:$I$2738,$F1063))</f>
        <v>473</v>
      </c>
      <c r="I1063" s="16" t="str">
        <f aca="false">IF(INDEX(選手一覧!$J$7:$J$2738,$F1063)="","",INDEX(選手一覧!$J$7:$J$2738,$F1063))</f>
        <v/>
      </c>
      <c r="J1063" s="17" t="str">
        <f aca="false">IF(INDEX(選手一覧!$K$7:$K$2738,$F1063)="","",INDEX(選手一覧!$K$7:$K$2738,$F1063))</f>
        <v/>
      </c>
    </row>
    <row r="1064" customFormat="false" ht="15" hidden="false" customHeight="false" outlineLevel="0" collapsed="false">
      <c r="A1064" s="17" t="n">
        <v>1060</v>
      </c>
      <c r="B1064" s="12" t="s">
        <v>1715</v>
      </c>
      <c r="C1064" s="12" t="s">
        <v>1716</v>
      </c>
      <c r="D1064" s="16" t="n">
        <v>0.01098125</v>
      </c>
      <c r="E1064" s="15" t="n">
        <f aca="false">ROUND((D1064-$D$5)*86400,2)</f>
        <v>159.04</v>
      </c>
      <c r="F1064" s="17" t="n">
        <v>1059</v>
      </c>
      <c r="G1064" s="16" t="n">
        <f aca="false">IF(INDEX(選手一覧!$H$7:$H$2738,$F1064)="","",INDEX(選手一覧!$H$7:$H$2738,$F1064))</f>
        <v>0.00697002314814815</v>
      </c>
      <c r="H1064" s="17" t="n">
        <f aca="false">IF(INDEX(選手一覧!$I$7:$I$2738,$F1064)="","",INDEX(選手一覧!$I$7:$I$2738,$F1064))</f>
        <v>305</v>
      </c>
      <c r="I1064" s="16" t="n">
        <f aca="false">IF(INDEX(選手一覧!$J$7:$J$2738,$F1064)="","",INDEX(選手一覧!$J$7:$J$2738,$F1064))</f>
        <v>0.00291550925925926</v>
      </c>
      <c r="J1064" s="17" t="n">
        <f aca="false">IF(INDEX(選手一覧!$K$7:$K$2738,$F1064)="","",INDEX(選手一覧!$K$7:$K$2738,$F1064))</f>
        <v>1055</v>
      </c>
    </row>
    <row r="1065" customFormat="false" ht="15" hidden="false" customHeight="false" outlineLevel="0" collapsed="false">
      <c r="A1065" s="17" t="n">
        <v>1061</v>
      </c>
      <c r="B1065" s="12" t="s">
        <v>1717</v>
      </c>
      <c r="C1065" s="12" t="s">
        <v>240</v>
      </c>
      <c r="D1065" s="16" t="n">
        <v>0.0109813657407407</v>
      </c>
      <c r="E1065" s="15" t="n">
        <f aca="false">ROUND((D1065-$D$5)*86400,2)</f>
        <v>159.05</v>
      </c>
      <c r="F1065" s="17" t="n">
        <v>1060</v>
      </c>
      <c r="G1065" s="16" t="n">
        <f aca="false">IF(INDEX(選手一覧!$H$7:$H$2738,$F1065)="","",INDEX(選手一覧!$H$7:$H$2738,$F1065))</f>
        <v>0.00770127314814815</v>
      </c>
      <c r="H1065" s="17" t="n">
        <f aca="false">IF(INDEX(選手一覧!$I$7:$I$2738,$F1065)="","",INDEX(選手一覧!$I$7:$I$2738,$F1065))</f>
        <v>1068</v>
      </c>
      <c r="I1065" s="16" t="n">
        <f aca="false">IF(INDEX(選手一覧!$J$7:$J$2738,$F1065)="","",INDEX(選手一覧!$J$7:$J$2738,$F1065))</f>
        <v>0.00293321759259259</v>
      </c>
      <c r="J1065" s="17" t="n">
        <f aca="false">IF(INDEX(選手一覧!$K$7:$K$2738,$F1065)="","",INDEX(選手一覧!$K$7:$K$2738,$F1065))</f>
        <v>1181</v>
      </c>
    </row>
    <row r="1066" customFormat="false" ht="15" hidden="false" customHeight="false" outlineLevel="0" collapsed="false">
      <c r="A1066" s="17" t="n">
        <v>1062</v>
      </c>
      <c r="B1066" s="12" t="s">
        <v>1718</v>
      </c>
      <c r="C1066" s="12" t="s">
        <v>1184</v>
      </c>
      <c r="D1066" s="16" t="n">
        <v>0.0109819444444445</v>
      </c>
      <c r="E1066" s="15" t="n">
        <f aca="false">ROUND((D1066-$D$5)*86400,2)</f>
        <v>159.1</v>
      </c>
      <c r="F1066" s="17" t="n">
        <v>1061</v>
      </c>
      <c r="G1066" s="16" t="n">
        <f aca="false">IF(INDEX(選手一覧!$H$7:$H$2738,$F1066)="","",INDEX(選手一覧!$H$7:$H$2738,$F1066))</f>
        <v>0.00695462962962963</v>
      </c>
      <c r="H1066" s="17" t="n">
        <f aca="false">IF(INDEX(選手一覧!$I$7:$I$2738,$F1066)="","",INDEX(選手一覧!$I$7:$I$2738,$F1066))</f>
        <v>289</v>
      </c>
      <c r="I1066" s="16" t="n">
        <f aca="false">IF(INDEX(選手一覧!$J$7:$J$2738,$F1066)="","",INDEX(選手一覧!$J$7:$J$2738,$F1066))</f>
        <v>0.00284421296296296</v>
      </c>
      <c r="J1066" s="17" t="n">
        <f aca="false">IF(INDEX(選手一覧!$K$7:$K$2738,$F1066)="","",INDEX(選手一覧!$K$7:$K$2738,$F1066))</f>
        <v>527</v>
      </c>
    </row>
    <row r="1067" customFormat="false" ht="15" hidden="false" customHeight="false" outlineLevel="0" collapsed="false">
      <c r="A1067" s="17" t="n">
        <v>1063</v>
      </c>
      <c r="B1067" s="12" t="s">
        <v>1719</v>
      </c>
      <c r="C1067" s="12" t="s">
        <v>1500</v>
      </c>
      <c r="D1067" s="16" t="n">
        <v>0.0109833333333333</v>
      </c>
      <c r="E1067" s="15" t="n">
        <f aca="false">ROUND((D1067-$D$5)*86400,2)</f>
        <v>159.22</v>
      </c>
      <c r="F1067" s="17" t="n">
        <v>1062</v>
      </c>
      <c r="G1067" s="16" t="str">
        <f aca="false">IF(INDEX(選手一覧!$H$7:$H$2738,$F1067)="","",INDEX(選手一覧!$H$7:$H$2738,$F1067))</f>
        <v/>
      </c>
      <c r="H1067" s="17" t="str">
        <f aca="false">IF(INDEX(選手一覧!$I$7:$I$2738,$F1067)="","",INDEX(選手一覧!$I$7:$I$2738,$F1067))</f>
        <v/>
      </c>
      <c r="I1067" s="16" t="str">
        <f aca="false">IF(INDEX(選手一覧!$J$7:$J$2738,$F1067)="","",INDEX(選手一覧!$J$7:$J$2738,$F1067))</f>
        <v/>
      </c>
      <c r="J1067" s="17" t="str">
        <f aca="false">IF(INDEX(選手一覧!$K$7:$K$2738,$F1067)="","",INDEX(選手一覧!$K$7:$K$2738,$F1067))</f>
        <v/>
      </c>
    </row>
    <row r="1068" customFormat="false" ht="15" hidden="false" customHeight="false" outlineLevel="0" collapsed="false">
      <c r="A1068" s="17" t="n">
        <v>1064</v>
      </c>
      <c r="B1068" s="12" t="s">
        <v>1720</v>
      </c>
      <c r="C1068" s="12" t="s">
        <v>1721</v>
      </c>
      <c r="D1068" s="16" t="n">
        <v>0.0109837962962963</v>
      </c>
      <c r="E1068" s="15" t="n">
        <f aca="false">ROUND((D1068-$D$5)*86400,2)</f>
        <v>159.26</v>
      </c>
      <c r="F1068" s="17" t="n">
        <v>1063</v>
      </c>
      <c r="G1068" s="16" t="n">
        <f aca="false">IF(INDEX(選手一覧!$H$7:$H$2738,$F1068)="","",INDEX(選手一覧!$H$7:$H$2738,$F1068))</f>
        <v>0.00699490740740741</v>
      </c>
      <c r="H1068" s="17" t="n">
        <f aca="false">IF(INDEX(選手一覧!$I$7:$I$2738,$F1068)="","",INDEX(選手一覧!$I$7:$I$2738,$F1068))</f>
        <v>328</v>
      </c>
      <c r="I1068" s="16" t="str">
        <f aca="false">IF(INDEX(選手一覧!$J$7:$J$2738,$F1068)="","",INDEX(選手一覧!$J$7:$J$2738,$F1068))</f>
        <v/>
      </c>
      <c r="J1068" s="17" t="str">
        <f aca="false">IF(INDEX(選手一覧!$K$7:$K$2738,$F1068)="","",INDEX(選手一覧!$K$7:$K$2738,$F1068))</f>
        <v/>
      </c>
    </row>
    <row r="1069" customFormat="false" ht="15" hidden="false" customHeight="false" outlineLevel="0" collapsed="false">
      <c r="A1069" s="17" t="n">
        <v>1065</v>
      </c>
      <c r="B1069" s="12" t="s">
        <v>1723</v>
      </c>
      <c r="C1069" s="12" t="s">
        <v>1724</v>
      </c>
      <c r="D1069" s="16" t="n">
        <v>0.0109840277777778</v>
      </c>
      <c r="E1069" s="15" t="n">
        <f aca="false">ROUND((D1069-$D$5)*86400,2)</f>
        <v>159.28</v>
      </c>
      <c r="F1069" s="17" t="n">
        <v>1064</v>
      </c>
      <c r="G1069" s="16" t="n">
        <f aca="false">IF(INDEX(選手一覧!$H$7:$H$2738,$F1069)="","",INDEX(選手一覧!$H$7:$H$2738,$F1069))</f>
        <v>0.00675092592592593</v>
      </c>
      <c r="H1069" s="17" t="n">
        <f aca="false">IF(INDEX(選手一覧!$I$7:$I$2738,$F1069)="","",INDEX(選手一覧!$I$7:$I$2738,$F1069))</f>
        <v>129</v>
      </c>
      <c r="I1069" s="16" t="n">
        <f aca="false">IF(INDEX(選手一覧!$J$7:$J$2738,$F1069)="","",INDEX(選手一覧!$J$7:$J$2738,$F1069))</f>
        <v>0.00298101851851852</v>
      </c>
      <c r="J1069" s="17" t="n">
        <f aca="false">IF(INDEX(選手一覧!$K$7:$K$2738,$F1069)="","",INDEX(選手一覧!$K$7:$K$2738,$F1069))</f>
        <v>1356</v>
      </c>
    </row>
    <row r="1070" customFormat="false" ht="15" hidden="false" customHeight="false" outlineLevel="0" collapsed="false">
      <c r="A1070" s="17" t="n">
        <v>1066</v>
      </c>
      <c r="B1070" s="12" t="s">
        <v>1725</v>
      </c>
      <c r="C1070" s="12" t="s">
        <v>632</v>
      </c>
      <c r="D1070" s="16" t="n">
        <v>0.0109842592592593</v>
      </c>
      <c r="E1070" s="15" t="n">
        <f aca="false">ROUND((D1070-$D$5)*86400,2)</f>
        <v>159.3</v>
      </c>
      <c r="F1070" s="17" t="n">
        <v>1065</v>
      </c>
      <c r="G1070" s="16" t="n">
        <f aca="false">IF(INDEX(選手一覧!$H$7:$H$2738,$F1070)="","",INDEX(選手一覧!$H$7:$H$2738,$F1070))</f>
        <v>0.006828125</v>
      </c>
      <c r="H1070" s="17" t="n">
        <f aca="false">IF(INDEX(選手一覧!$I$7:$I$2738,$F1070)="","",INDEX(選手一覧!$I$7:$I$2738,$F1070))</f>
        <v>192</v>
      </c>
      <c r="I1070" s="16" t="str">
        <f aca="false">IF(INDEX(選手一覧!$J$7:$J$2738,$F1070)="","",INDEX(選手一覧!$J$7:$J$2738,$F1070))</f>
        <v/>
      </c>
      <c r="J1070" s="17" t="str">
        <f aca="false">IF(INDEX(選手一覧!$K$7:$K$2738,$F1070)="","",INDEX(選手一覧!$K$7:$K$2738,$F1070))</f>
        <v/>
      </c>
    </row>
    <row r="1071" customFormat="false" ht="15" hidden="false" customHeight="false" outlineLevel="0" collapsed="false">
      <c r="A1071" s="17" t="n">
        <v>1067</v>
      </c>
      <c r="B1071" s="12" t="s">
        <v>1726</v>
      </c>
      <c r="C1071" s="12" t="s">
        <v>530</v>
      </c>
      <c r="D1071" s="16" t="n">
        <v>0.010984837962963</v>
      </c>
      <c r="E1071" s="15" t="n">
        <f aca="false">ROUND((D1071-$D$5)*86400,2)</f>
        <v>159.35</v>
      </c>
      <c r="F1071" s="17" t="n">
        <v>1066</v>
      </c>
      <c r="G1071" s="16" t="str">
        <f aca="false">IF(INDEX(選手一覧!$H$7:$H$2738,$F1071)="","",INDEX(選手一覧!$H$7:$H$2738,$F1071))</f>
        <v/>
      </c>
      <c r="H1071" s="17" t="str">
        <f aca="false">IF(INDEX(選手一覧!$I$7:$I$2738,$F1071)="","",INDEX(選手一覧!$I$7:$I$2738,$F1071))</f>
        <v/>
      </c>
      <c r="I1071" s="16" t="str">
        <f aca="false">IF(INDEX(選手一覧!$J$7:$J$2738,$F1071)="","",INDEX(選手一覧!$J$7:$J$2738,$F1071))</f>
        <v/>
      </c>
      <c r="J1071" s="17" t="str">
        <f aca="false">IF(INDEX(選手一覧!$K$7:$K$2738,$F1071)="","",INDEX(選手一覧!$K$7:$K$2738,$F1071))</f>
        <v/>
      </c>
    </row>
    <row r="1072" customFormat="false" ht="15" hidden="false" customHeight="false" outlineLevel="0" collapsed="false">
      <c r="A1072" s="17" t="n">
        <v>1068</v>
      </c>
      <c r="B1072" s="12" t="s">
        <v>1727</v>
      </c>
      <c r="C1072" s="12" t="s">
        <v>61</v>
      </c>
      <c r="D1072" s="16" t="n">
        <v>0.0109853009259259</v>
      </c>
      <c r="E1072" s="15" t="n">
        <f aca="false">ROUND((D1072-$D$5)*86400,2)</f>
        <v>159.39</v>
      </c>
      <c r="F1072" s="17" t="n">
        <v>1067</v>
      </c>
      <c r="G1072" s="16" t="str">
        <f aca="false">IF(INDEX(選手一覧!$H$7:$H$2738,$F1072)="","",INDEX(選手一覧!$H$7:$H$2738,$F1072))</f>
        <v/>
      </c>
      <c r="H1072" s="17" t="str">
        <f aca="false">IF(INDEX(選手一覧!$I$7:$I$2738,$F1072)="","",INDEX(選手一覧!$I$7:$I$2738,$F1072))</f>
        <v/>
      </c>
      <c r="I1072" s="16" t="n">
        <f aca="false">IF(INDEX(選手一覧!$J$7:$J$2738,$F1072)="","",INDEX(選手一覧!$J$7:$J$2738,$F1072))</f>
        <v>0.00291886574074074</v>
      </c>
      <c r="J1072" s="17" t="n">
        <f aca="false">IF(INDEX(選手一覧!$K$7:$K$2738,$F1072)="","",INDEX(選手一覧!$K$7:$K$2738,$F1072))</f>
        <v>1082</v>
      </c>
    </row>
    <row r="1073" customFormat="false" ht="15" hidden="false" customHeight="false" outlineLevel="0" collapsed="false">
      <c r="A1073" s="17" t="n">
        <v>1069</v>
      </c>
      <c r="B1073" s="12" t="s">
        <v>1728</v>
      </c>
      <c r="C1073" s="12" t="s">
        <v>1729</v>
      </c>
      <c r="D1073" s="16" t="n">
        <v>0.0109855324074074</v>
      </c>
      <c r="E1073" s="15" t="n">
        <f aca="false">ROUND((D1073-$D$5)*86400,2)</f>
        <v>159.41</v>
      </c>
      <c r="F1073" s="17" t="n">
        <v>1068</v>
      </c>
      <c r="G1073" s="16" t="n">
        <f aca="false">IF(INDEX(選手一覧!$H$7:$H$2738,$F1073)="","",INDEX(選手一覧!$H$7:$H$2738,$F1073))</f>
        <v>0.00734363425925926</v>
      </c>
      <c r="H1073" s="17" t="n">
        <f aca="false">IF(INDEX(選手一覧!$I$7:$I$2738,$F1073)="","",INDEX(選手一覧!$I$7:$I$2738,$F1073))</f>
        <v>700</v>
      </c>
      <c r="I1073" s="16" t="n">
        <f aca="false">IF(INDEX(選手一覧!$J$7:$J$2738,$F1073)="","",INDEX(選手一覧!$J$7:$J$2738,$F1073))</f>
        <v>0.0028556712962963</v>
      </c>
      <c r="J1073" s="17" t="n">
        <f aca="false">IF(INDEX(選手一覧!$K$7:$K$2738,$F1073)="","",INDEX(選手一覧!$K$7:$K$2738,$F1073))</f>
        <v>601</v>
      </c>
    </row>
    <row r="1074" customFormat="false" ht="15" hidden="false" customHeight="false" outlineLevel="0" collapsed="false">
      <c r="A1074" s="17" t="n">
        <v>1070</v>
      </c>
      <c r="B1074" s="12" t="s">
        <v>1730</v>
      </c>
      <c r="C1074" s="12" t="s">
        <v>1146</v>
      </c>
      <c r="D1074" s="16" t="n">
        <v>0.0109861111111111</v>
      </c>
      <c r="E1074" s="15" t="n">
        <f aca="false">ROUND((D1074-$D$5)*86400,2)</f>
        <v>159.46</v>
      </c>
      <c r="F1074" s="17" t="n">
        <v>1069</v>
      </c>
      <c r="G1074" s="16" t="n">
        <f aca="false">IF(INDEX(選手一覧!$H$7:$H$2738,$F1074)="","",INDEX(選手一覧!$H$7:$H$2738,$F1074))</f>
        <v>0.00677037037037037</v>
      </c>
      <c r="H1074" s="17" t="n">
        <f aca="false">IF(INDEX(選手一覧!$I$7:$I$2738,$F1074)="","",INDEX(選手一覧!$I$7:$I$2738,$F1074))</f>
        <v>147</v>
      </c>
      <c r="I1074" s="16" t="str">
        <f aca="false">IF(INDEX(選手一覧!$J$7:$J$2738,$F1074)="","",INDEX(選手一覧!$J$7:$J$2738,$F1074))</f>
        <v/>
      </c>
      <c r="J1074" s="17" t="str">
        <f aca="false">IF(INDEX(選手一覧!$K$7:$K$2738,$F1074)="","",INDEX(選手一覧!$K$7:$K$2738,$F1074))</f>
        <v/>
      </c>
    </row>
    <row r="1075" customFormat="false" ht="15" hidden="false" customHeight="false" outlineLevel="0" collapsed="false">
      <c r="A1075" s="17" t="n">
        <v>1071</v>
      </c>
      <c r="B1075" s="12" t="s">
        <v>1731</v>
      </c>
      <c r="C1075" s="12" t="s">
        <v>1732</v>
      </c>
      <c r="D1075" s="16" t="n">
        <v>0.0109863425925926</v>
      </c>
      <c r="E1075" s="15" t="n">
        <f aca="false">ROUND((D1075-$D$5)*86400,2)</f>
        <v>159.48</v>
      </c>
      <c r="F1075" s="17" t="n">
        <v>1070</v>
      </c>
      <c r="G1075" s="16" t="str">
        <f aca="false">IF(INDEX(選手一覧!$H$7:$H$2738,$F1075)="","",INDEX(選手一覧!$H$7:$H$2738,$F1075))</f>
        <v/>
      </c>
      <c r="H1075" s="17" t="str">
        <f aca="false">IF(INDEX(選手一覧!$I$7:$I$2738,$F1075)="","",INDEX(選手一覧!$I$7:$I$2738,$F1075))</f>
        <v/>
      </c>
      <c r="I1075" s="16" t="str">
        <f aca="false">IF(INDEX(選手一覧!$J$7:$J$2738,$F1075)="","",INDEX(選手一覧!$J$7:$J$2738,$F1075))</f>
        <v/>
      </c>
      <c r="J1075" s="17" t="str">
        <f aca="false">IF(INDEX(選手一覧!$K$7:$K$2738,$F1075)="","",INDEX(選手一覧!$K$7:$K$2738,$F1075))</f>
        <v/>
      </c>
    </row>
    <row r="1076" customFormat="false" ht="15" hidden="false" customHeight="false" outlineLevel="0" collapsed="false">
      <c r="A1076" s="17" t="n">
        <v>1072</v>
      </c>
      <c r="B1076" s="12" t="s">
        <v>1733</v>
      </c>
      <c r="C1076" s="12" t="s">
        <v>1734</v>
      </c>
      <c r="D1076" s="16" t="n">
        <v>0.0109864583333333</v>
      </c>
      <c r="E1076" s="15" t="n">
        <f aca="false">ROUND((D1076-$D$5)*86400,2)</f>
        <v>159.49</v>
      </c>
      <c r="F1076" s="17" t="n">
        <v>1071</v>
      </c>
      <c r="G1076" s="16" t="str">
        <f aca="false">IF(INDEX(選手一覧!$H$7:$H$2738,$F1076)="","",INDEX(選手一覧!$H$7:$H$2738,$F1076))</f>
        <v/>
      </c>
      <c r="H1076" s="17" t="str">
        <f aca="false">IF(INDEX(選手一覧!$I$7:$I$2738,$F1076)="","",INDEX(選手一覧!$I$7:$I$2738,$F1076))</f>
        <v/>
      </c>
      <c r="I1076" s="16" t="n">
        <f aca="false">IF(INDEX(選手一覧!$J$7:$J$2738,$F1076)="","",INDEX(選手一覧!$J$7:$J$2738,$F1076))</f>
        <v>0.00284097222222222</v>
      </c>
      <c r="J1076" s="17" t="n">
        <f aca="false">IF(INDEX(選手一覧!$K$7:$K$2738,$F1076)="","",INDEX(選手一覧!$K$7:$K$2738,$F1076))</f>
        <v>507</v>
      </c>
    </row>
    <row r="1077" customFormat="false" ht="15" hidden="false" customHeight="false" outlineLevel="0" collapsed="false">
      <c r="A1077" s="17" t="n">
        <v>1073</v>
      </c>
      <c r="B1077" s="12" t="s">
        <v>1735</v>
      </c>
      <c r="C1077" s="12" t="s">
        <v>67</v>
      </c>
      <c r="D1077" s="16" t="n">
        <v>0.0109865740740741</v>
      </c>
      <c r="E1077" s="15" t="n">
        <f aca="false">ROUND((D1077-$D$5)*86400,2)</f>
        <v>159.5</v>
      </c>
      <c r="F1077" s="17" t="n">
        <v>1072</v>
      </c>
      <c r="G1077" s="16" t="n">
        <f aca="false">IF(INDEX(選手一覧!$H$7:$H$2738,$F1077)="","",INDEX(選手一覧!$H$7:$H$2738,$F1077))</f>
        <v>0.00661006944444444</v>
      </c>
      <c r="H1077" s="17" t="n">
        <f aca="false">IF(INDEX(選手一覧!$I$7:$I$2738,$F1077)="","",INDEX(選手一覧!$I$7:$I$2738,$F1077))</f>
        <v>70</v>
      </c>
      <c r="I1077" s="16" t="n">
        <f aca="false">IF(INDEX(選手一覧!$J$7:$J$2738,$F1077)="","",INDEX(選手一覧!$J$7:$J$2738,$F1077))</f>
        <v>0.00288993055555556</v>
      </c>
      <c r="J1077" s="17" t="n">
        <f aca="false">IF(INDEX(選手一覧!$K$7:$K$2738,$F1077)="","",INDEX(選手一覧!$K$7:$K$2738,$F1077))</f>
        <v>864</v>
      </c>
    </row>
    <row r="1078" customFormat="false" ht="15" hidden="false" customHeight="false" outlineLevel="0" collapsed="false">
      <c r="A1078" s="17" t="n">
        <v>1074</v>
      </c>
      <c r="B1078" s="12" t="s">
        <v>1737</v>
      </c>
      <c r="C1078" s="12" t="s">
        <v>1738</v>
      </c>
      <c r="D1078" s="16" t="n">
        <v>0.0109866898148148</v>
      </c>
      <c r="E1078" s="15" t="n">
        <f aca="false">ROUND((D1078-$D$5)*86400,2)</f>
        <v>159.51</v>
      </c>
      <c r="F1078" s="17" t="n">
        <v>1073</v>
      </c>
      <c r="G1078" s="16" t="n">
        <f aca="false">IF(INDEX(選手一覧!$H$7:$H$2738,$F1078)="","",INDEX(選手一覧!$H$7:$H$2738,$F1078))</f>
        <v>0.00723148148148148</v>
      </c>
      <c r="H1078" s="17" t="n">
        <f aca="false">IF(INDEX(選手一覧!$I$7:$I$2738,$F1078)="","",INDEX(選手一覧!$I$7:$I$2738,$F1078))</f>
        <v>575</v>
      </c>
      <c r="I1078" s="16" t="n">
        <f aca="false">IF(INDEX(選手一覧!$J$7:$J$2738,$F1078)="","",INDEX(選手一覧!$J$7:$J$2738,$F1078))</f>
        <v>0.00285983796296296</v>
      </c>
      <c r="J1078" s="17" t="n">
        <f aca="false">IF(INDEX(選手一覧!$K$7:$K$2738,$F1078)="","",INDEX(選手一覧!$K$7:$K$2738,$F1078))</f>
        <v>632</v>
      </c>
    </row>
    <row r="1079" customFormat="false" ht="15" hidden="false" customHeight="false" outlineLevel="0" collapsed="false">
      <c r="A1079" s="17" t="n">
        <v>1075</v>
      </c>
      <c r="B1079" s="12" t="s">
        <v>1739</v>
      </c>
      <c r="C1079" s="12" t="s">
        <v>1740</v>
      </c>
      <c r="D1079" s="16" t="n">
        <v>0.0109871527777778</v>
      </c>
      <c r="E1079" s="15" t="n">
        <f aca="false">ROUND((D1079-$D$5)*86400,2)</f>
        <v>159.55</v>
      </c>
      <c r="F1079" s="17" t="n">
        <v>1074</v>
      </c>
      <c r="G1079" s="16" t="str">
        <f aca="false">IF(INDEX(選手一覧!$H$7:$H$2738,$F1079)="","",INDEX(選手一覧!$H$7:$H$2738,$F1079))</f>
        <v/>
      </c>
      <c r="H1079" s="17" t="str">
        <f aca="false">IF(INDEX(選手一覧!$I$7:$I$2738,$F1079)="","",INDEX(選手一覧!$I$7:$I$2738,$F1079))</f>
        <v/>
      </c>
      <c r="I1079" s="16" t="str">
        <f aca="false">IF(INDEX(選手一覧!$J$7:$J$2738,$F1079)="","",INDEX(選手一覧!$J$7:$J$2738,$F1079))</f>
        <v/>
      </c>
      <c r="J1079" s="17" t="str">
        <f aca="false">IF(INDEX(選手一覧!$K$7:$K$2738,$F1079)="","",INDEX(選手一覧!$K$7:$K$2738,$F1079))</f>
        <v/>
      </c>
    </row>
    <row r="1080" customFormat="false" ht="15" hidden="false" customHeight="false" outlineLevel="0" collapsed="false">
      <c r="A1080" s="17" t="n">
        <v>1076</v>
      </c>
      <c r="B1080" s="12" t="s">
        <v>1741</v>
      </c>
      <c r="C1080" s="12" t="s">
        <v>145</v>
      </c>
      <c r="D1080" s="16" t="n">
        <v>0.0109872685185185</v>
      </c>
      <c r="E1080" s="15" t="n">
        <f aca="false">ROUND((D1080-$D$5)*86400,2)</f>
        <v>159.56</v>
      </c>
      <c r="F1080" s="17" t="n">
        <v>1075</v>
      </c>
      <c r="G1080" s="16" t="n">
        <f aca="false">IF(INDEX(選手一覧!$H$7:$H$2738,$F1080)="","",INDEX(選手一覧!$H$7:$H$2738,$F1080))</f>
        <v>0.00740451388888889</v>
      </c>
      <c r="H1080" s="17" t="n">
        <f aca="false">IF(INDEX(選手一覧!$I$7:$I$2738,$F1080)="","",INDEX(選手一覧!$I$7:$I$2738,$F1080))</f>
        <v>777</v>
      </c>
      <c r="I1080" s="16" t="n">
        <f aca="false">IF(INDEX(選手一覧!$J$7:$J$2738,$F1080)="","",INDEX(選手一覧!$J$7:$J$2738,$F1080))</f>
        <v>0.00289212962962963</v>
      </c>
      <c r="J1080" s="17" t="n">
        <f aca="false">IF(INDEX(選手一覧!$K$7:$K$2738,$F1080)="","",INDEX(選手一覧!$K$7:$K$2738,$F1080))</f>
        <v>892</v>
      </c>
    </row>
    <row r="1081" customFormat="false" ht="15" hidden="false" customHeight="false" outlineLevel="0" collapsed="false">
      <c r="A1081" s="17" t="n">
        <v>1077</v>
      </c>
      <c r="B1081" s="12" t="s">
        <v>1742</v>
      </c>
      <c r="C1081" s="12" t="s">
        <v>243</v>
      </c>
      <c r="D1081" s="16" t="n">
        <v>0.0109878472222222</v>
      </c>
      <c r="E1081" s="15" t="n">
        <f aca="false">ROUND((D1081-$D$5)*86400,2)</f>
        <v>159.61</v>
      </c>
      <c r="F1081" s="17" t="n">
        <v>1076</v>
      </c>
      <c r="G1081" s="16" t="str">
        <f aca="false">IF(INDEX(選手一覧!$H$7:$H$2738,$F1081)="","",INDEX(選手一覧!$H$7:$H$2738,$F1081))</f>
        <v/>
      </c>
      <c r="H1081" s="17" t="str">
        <f aca="false">IF(INDEX(選手一覧!$I$7:$I$2738,$F1081)="","",INDEX(選手一覧!$I$7:$I$2738,$F1081))</f>
        <v/>
      </c>
      <c r="I1081" s="16" t="str">
        <f aca="false">IF(INDEX(選手一覧!$J$7:$J$2738,$F1081)="","",INDEX(選手一覧!$J$7:$J$2738,$F1081))</f>
        <v/>
      </c>
      <c r="J1081" s="17" t="str">
        <f aca="false">IF(INDEX(選手一覧!$K$7:$K$2738,$F1081)="","",INDEX(選手一覧!$K$7:$K$2738,$F1081))</f>
        <v/>
      </c>
    </row>
    <row r="1082" customFormat="false" ht="15" hidden="false" customHeight="false" outlineLevel="0" collapsed="false">
      <c r="A1082" s="17" t="n">
        <v>1078</v>
      </c>
      <c r="B1082" s="12" t="s">
        <v>1743</v>
      </c>
      <c r="C1082" s="12" t="s">
        <v>77</v>
      </c>
      <c r="D1082" s="16" t="n">
        <v>0.0109891203703704</v>
      </c>
      <c r="E1082" s="15" t="n">
        <f aca="false">ROUND((D1082-$D$5)*86400,2)</f>
        <v>159.72</v>
      </c>
      <c r="F1082" s="17" t="n">
        <v>1077</v>
      </c>
      <c r="G1082" s="16" t="str">
        <f aca="false">IF(INDEX(選手一覧!$H$7:$H$2738,$F1082)="","",INDEX(選手一覧!$H$7:$H$2738,$F1082))</f>
        <v/>
      </c>
      <c r="H1082" s="17" t="str">
        <f aca="false">IF(INDEX(選手一覧!$I$7:$I$2738,$F1082)="","",INDEX(選手一覧!$I$7:$I$2738,$F1082))</f>
        <v/>
      </c>
      <c r="I1082" s="16" t="n">
        <f aca="false">IF(INDEX(選手一覧!$J$7:$J$2738,$F1082)="","",INDEX(選手一覧!$J$7:$J$2738,$F1082))</f>
        <v>0.00288287037037037</v>
      </c>
      <c r="J1082" s="17" t="n">
        <f aca="false">IF(INDEX(選手一覧!$K$7:$K$2738,$F1082)="","",INDEX(選手一覧!$K$7:$K$2738,$F1082))</f>
        <v>801</v>
      </c>
    </row>
    <row r="1083" customFormat="false" ht="15" hidden="false" customHeight="false" outlineLevel="0" collapsed="false">
      <c r="A1083" s="17" t="n">
        <v>1079</v>
      </c>
      <c r="B1083" s="12" t="s">
        <v>1744</v>
      </c>
      <c r="C1083" s="12" t="s">
        <v>478</v>
      </c>
      <c r="D1083" s="16" t="n">
        <v>0.0109903935185185</v>
      </c>
      <c r="E1083" s="15" t="n">
        <f aca="false">ROUND((D1083-$D$5)*86400,2)</f>
        <v>159.83</v>
      </c>
      <c r="F1083" s="17" t="n">
        <v>1078</v>
      </c>
      <c r="G1083" s="16" t="str">
        <f aca="false">IF(INDEX(選手一覧!$H$7:$H$2738,$F1083)="","",INDEX(選手一覧!$H$7:$H$2738,$F1083))</f>
        <v/>
      </c>
      <c r="H1083" s="17" t="str">
        <f aca="false">IF(INDEX(選手一覧!$I$7:$I$2738,$F1083)="","",INDEX(選手一覧!$I$7:$I$2738,$F1083))</f>
        <v/>
      </c>
      <c r="I1083" s="16" t="n">
        <f aca="false">IF(INDEX(選手一覧!$J$7:$J$2738,$F1083)="","",INDEX(選手一覧!$J$7:$J$2738,$F1083))</f>
        <v>0.00280266203703704</v>
      </c>
      <c r="J1083" s="17" t="n">
        <f aca="false">IF(INDEX(選手一覧!$K$7:$K$2738,$F1083)="","",INDEX(選手一覧!$K$7:$K$2738,$F1083))</f>
        <v>293</v>
      </c>
    </row>
    <row r="1084" customFormat="false" ht="15" hidden="false" customHeight="false" outlineLevel="0" collapsed="false">
      <c r="A1084" s="17" t="n">
        <v>1080</v>
      </c>
      <c r="B1084" s="12" t="s">
        <v>1745</v>
      </c>
      <c r="C1084" s="12" t="s">
        <v>1746</v>
      </c>
      <c r="D1084" s="16" t="n">
        <v>0.0109907407407407</v>
      </c>
      <c r="E1084" s="15" t="n">
        <f aca="false">ROUND((D1084-$D$5)*86400,2)</f>
        <v>159.86</v>
      </c>
      <c r="F1084" s="17" t="n">
        <v>1079</v>
      </c>
      <c r="G1084" s="16" t="str">
        <f aca="false">IF(INDEX(選手一覧!$H$7:$H$2738,$F1084)="","",INDEX(選手一覧!$H$7:$H$2738,$F1084))</f>
        <v/>
      </c>
      <c r="H1084" s="17" t="str">
        <f aca="false">IF(INDEX(選手一覧!$I$7:$I$2738,$F1084)="","",INDEX(選手一覧!$I$7:$I$2738,$F1084))</f>
        <v/>
      </c>
      <c r="I1084" s="16" t="n">
        <f aca="false">IF(INDEX(選手一覧!$J$7:$J$2738,$F1084)="","",INDEX(選手一覧!$J$7:$J$2738,$F1084))</f>
        <v>0.0028693287037037</v>
      </c>
      <c r="J1084" s="17" t="n">
        <f aca="false">IF(INDEX(選手一覧!$K$7:$K$2738,$F1084)="","",INDEX(選手一覧!$K$7:$K$2738,$F1084))</f>
        <v>689</v>
      </c>
    </row>
    <row r="1085" customFormat="false" ht="15" hidden="false" customHeight="false" outlineLevel="0" collapsed="false">
      <c r="A1085" s="17" t="n">
        <v>1081</v>
      </c>
      <c r="B1085" s="12" t="s">
        <v>1747</v>
      </c>
      <c r="C1085" s="12" t="s">
        <v>1748</v>
      </c>
      <c r="D1085" s="16" t="n">
        <v>0.0109909722222222</v>
      </c>
      <c r="E1085" s="15" t="n">
        <f aca="false">ROUND((D1085-$D$5)*86400,2)</f>
        <v>159.88</v>
      </c>
      <c r="F1085" s="17" t="n">
        <v>1080</v>
      </c>
      <c r="G1085" s="16" t="n">
        <f aca="false">IF(INDEX(選手一覧!$H$7:$H$2738,$F1085)="","",INDEX(選手一覧!$H$7:$H$2738,$F1085))</f>
        <v>0.00721296296296296</v>
      </c>
      <c r="H1085" s="17" t="n">
        <f aca="false">IF(INDEX(選手一覧!$I$7:$I$2738,$F1085)="","",INDEX(選手一覧!$I$7:$I$2738,$F1085))</f>
        <v>550</v>
      </c>
      <c r="I1085" s="16" t="str">
        <f aca="false">IF(INDEX(選手一覧!$J$7:$J$2738,$F1085)="","",INDEX(選手一覧!$J$7:$J$2738,$F1085))</f>
        <v/>
      </c>
      <c r="J1085" s="17" t="str">
        <f aca="false">IF(INDEX(選手一覧!$K$7:$K$2738,$F1085)="","",INDEX(選手一覧!$K$7:$K$2738,$F1085))</f>
        <v/>
      </c>
    </row>
    <row r="1086" customFormat="false" ht="15" hidden="false" customHeight="false" outlineLevel="0" collapsed="false">
      <c r="A1086" s="17" t="n">
        <v>1082</v>
      </c>
      <c r="B1086" s="12" t="s">
        <v>1750</v>
      </c>
      <c r="C1086" s="12" t="s">
        <v>1751</v>
      </c>
      <c r="D1086" s="16" t="n">
        <v>0.0109918981481482</v>
      </c>
      <c r="E1086" s="15" t="n">
        <f aca="false">ROUND((D1086-$D$5)*86400,2)</f>
        <v>159.96</v>
      </c>
      <c r="F1086" s="17" t="n">
        <v>1081</v>
      </c>
      <c r="G1086" s="16" t="n">
        <f aca="false">IF(INDEX(選手一覧!$H$7:$H$2738,$F1086)="","",INDEX(選手一覧!$H$7:$H$2738,$F1086))</f>
        <v>0.00689988425925926</v>
      </c>
      <c r="H1086" s="17" t="n">
        <f aca="false">IF(INDEX(選手一覧!$I$7:$I$2738,$F1086)="","",INDEX(選手一覧!$I$7:$I$2738,$F1086))</f>
        <v>240</v>
      </c>
      <c r="I1086" s="16" t="str">
        <f aca="false">IF(INDEX(選手一覧!$J$7:$J$2738,$F1086)="","",INDEX(選手一覧!$J$7:$J$2738,$F1086))</f>
        <v/>
      </c>
      <c r="J1086" s="17" t="str">
        <f aca="false">IF(INDEX(選手一覧!$K$7:$K$2738,$F1086)="","",INDEX(選手一覧!$K$7:$K$2738,$F1086))</f>
        <v/>
      </c>
    </row>
    <row r="1087" customFormat="false" ht="15" hidden="false" customHeight="false" outlineLevel="0" collapsed="false">
      <c r="A1087" s="17" t="n">
        <v>1083</v>
      </c>
      <c r="B1087" s="12" t="s">
        <v>1752</v>
      </c>
      <c r="C1087" s="12" t="s">
        <v>491</v>
      </c>
      <c r="D1087" s="16" t="n">
        <v>0.0109921296296296</v>
      </c>
      <c r="E1087" s="15" t="n">
        <f aca="false">ROUND((D1087-$D$5)*86400,2)</f>
        <v>159.98</v>
      </c>
      <c r="F1087" s="17" t="n">
        <v>1082</v>
      </c>
      <c r="G1087" s="16" t="str">
        <f aca="false">IF(INDEX(選手一覧!$H$7:$H$2738,$F1087)="","",INDEX(選手一覧!$H$7:$H$2738,$F1087))</f>
        <v/>
      </c>
      <c r="H1087" s="17" t="str">
        <f aca="false">IF(INDEX(選手一覧!$I$7:$I$2738,$F1087)="","",INDEX(選手一覧!$I$7:$I$2738,$F1087))</f>
        <v/>
      </c>
      <c r="I1087" s="16" t="str">
        <f aca="false">IF(INDEX(選手一覧!$J$7:$J$2738,$F1087)="","",INDEX(選手一覧!$J$7:$J$2738,$F1087))</f>
        <v/>
      </c>
      <c r="J1087" s="17" t="str">
        <f aca="false">IF(INDEX(選手一覧!$K$7:$K$2738,$F1087)="","",INDEX(選手一覧!$K$7:$K$2738,$F1087))</f>
        <v/>
      </c>
    </row>
    <row r="1088" customFormat="false" ht="15" hidden="false" customHeight="false" outlineLevel="0" collapsed="false">
      <c r="A1088" s="17" t="n">
        <v>1084</v>
      </c>
      <c r="B1088" s="12" t="s">
        <v>1753</v>
      </c>
      <c r="C1088" s="12" t="s">
        <v>1049</v>
      </c>
      <c r="D1088" s="16" t="n">
        <v>0.0109925925925926</v>
      </c>
      <c r="E1088" s="15" t="n">
        <f aca="false">ROUND((D1088-$D$5)*86400,2)</f>
        <v>160.02</v>
      </c>
      <c r="F1088" s="17" t="n">
        <v>1083</v>
      </c>
      <c r="G1088" s="16" t="n">
        <f aca="false">IF(INDEX(選手一覧!$H$7:$H$2738,$F1088)="","",INDEX(選手一覧!$H$7:$H$2738,$F1088))</f>
        <v>0.00699201388888889</v>
      </c>
      <c r="H1088" s="17" t="n">
        <f aca="false">IF(INDEX(選手一覧!$I$7:$I$2738,$F1088)="","",INDEX(選手一覧!$I$7:$I$2738,$F1088))</f>
        <v>326</v>
      </c>
      <c r="I1088" s="16" t="n">
        <f aca="false">IF(INDEX(選手一覧!$J$7:$J$2738,$F1088)="","",INDEX(選手一覧!$J$7:$J$2738,$F1088))</f>
        <v>0.00289224537037037</v>
      </c>
      <c r="J1088" s="17" t="n">
        <f aca="false">IF(INDEX(選手一覧!$K$7:$K$2738,$F1088)="","",INDEX(選手一覧!$K$7:$K$2738,$F1088))</f>
        <v>893</v>
      </c>
    </row>
    <row r="1089" customFormat="false" ht="15" hidden="false" customHeight="false" outlineLevel="0" collapsed="false">
      <c r="A1089" s="17" t="n">
        <v>1085</v>
      </c>
      <c r="B1089" s="12" t="s">
        <v>1754</v>
      </c>
      <c r="C1089" s="12" t="s">
        <v>846</v>
      </c>
      <c r="D1089" s="16" t="n">
        <v>0.0109927083333333</v>
      </c>
      <c r="E1089" s="15" t="n">
        <f aca="false">ROUND((D1089-$D$5)*86400,2)</f>
        <v>160.03</v>
      </c>
      <c r="F1089" s="17" t="n">
        <v>1084</v>
      </c>
      <c r="G1089" s="16" t="n">
        <f aca="false">IF(INDEX(選手一覧!$H$7:$H$2738,$F1089)="","",INDEX(選手一覧!$H$7:$H$2738,$F1089))</f>
        <v>0.0068556712962963</v>
      </c>
      <c r="H1089" s="17" t="n">
        <f aca="false">IF(INDEX(選手一覧!$I$7:$I$2738,$F1089)="","",INDEX(選手一覧!$I$7:$I$2738,$F1089))</f>
        <v>205</v>
      </c>
      <c r="I1089" s="16" t="str">
        <f aca="false">IF(INDEX(選手一覧!$J$7:$J$2738,$F1089)="","",INDEX(選手一覧!$J$7:$J$2738,$F1089))</f>
        <v/>
      </c>
      <c r="J1089" s="17" t="str">
        <f aca="false">IF(INDEX(選手一覧!$K$7:$K$2738,$F1089)="","",INDEX(選手一覧!$K$7:$K$2738,$F1089))</f>
        <v/>
      </c>
    </row>
    <row r="1090" customFormat="false" ht="15" hidden="false" customHeight="false" outlineLevel="0" collapsed="false">
      <c r="A1090" s="17" t="n">
        <v>1086</v>
      </c>
      <c r="B1090" s="12" t="s">
        <v>1755</v>
      </c>
      <c r="C1090" s="12" t="s">
        <v>1756</v>
      </c>
      <c r="D1090" s="16" t="n">
        <v>0.0109936342592593</v>
      </c>
      <c r="E1090" s="15" t="n">
        <f aca="false">ROUND((D1090-$D$5)*86400,2)</f>
        <v>160.11</v>
      </c>
      <c r="F1090" s="17" t="n">
        <v>1085</v>
      </c>
      <c r="G1090" s="16" t="n">
        <f aca="false">IF(INDEX(選手一覧!$H$7:$H$2738,$F1090)="","",INDEX(選手一覧!$H$7:$H$2738,$F1090))</f>
        <v>0.00649803240740741</v>
      </c>
      <c r="H1090" s="17" t="n">
        <f aca="false">IF(INDEX(選手一覧!$I$7:$I$2738,$F1090)="","",INDEX(選手一覧!$I$7:$I$2738,$F1090))</f>
        <v>35</v>
      </c>
      <c r="I1090" s="16" t="n">
        <f aca="false">IF(INDEX(選手一覧!$J$7:$J$2738,$F1090)="","",INDEX(選手一覧!$J$7:$J$2738,$F1090))</f>
        <v>0.00290150462962963</v>
      </c>
      <c r="J1090" s="17" t="n">
        <f aca="false">IF(INDEX(選手一覧!$K$7:$K$2738,$F1090)="","",INDEX(選手一覧!$K$7:$K$2738,$F1090))</f>
        <v>958</v>
      </c>
    </row>
    <row r="1091" customFormat="false" ht="15" hidden="false" customHeight="false" outlineLevel="0" collapsed="false">
      <c r="A1091" s="17" t="n">
        <v>1087</v>
      </c>
      <c r="B1091" s="12" t="s">
        <v>1757</v>
      </c>
      <c r="C1091" s="12" t="s">
        <v>199</v>
      </c>
      <c r="D1091" s="16" t="n">
        <v>0.0109949074074074</v>
      </c>
      <c r="E1091" s="15" t="n">
        <f aca="false">ROUND((D1091-$D$5)*86400,2)</f>
        <v>160.22</v>
      </c>
      <c r="F1091" s="17" t="n">
        <v>1086</v>
      </c>
      <c r="G1091" s="16" t="str">
        <f aca="false">IF(INDEX(選手一覧!$H$7:$H$2738,$F1091)="","",INDEX(選手一覧!$H$7:$H$2738,$F1091))</f>
        <v/>
      </c>
      <c r="H1091" s="17" t="str">
        <f aca="false">IF(INDEX(選手一覧!$I$7:$I$2738,$F1091)="","",INDEX(選手一覧!$I$7:$I$2738,$F1091))</f>
        <v/>
      </c>
      <c r="I1091" s="16" t="str">
        <f aca="false">IF(INDEX(選手一覧!$J$7:$J$2738,$F1091)="","",INDEX(選手一覧!$J$7:$J$2738,$F1091))</f>
        <v/>
      </c>
      <c r="J1091" s="17" t="str">
        <f aca="false">IF(INDEX(選手一覧!$K$7:$K$2738,$F1091)="","",INDEX(選手一覧!$K$7:$K$2738,$F1091))</f>
        <v/>
      </c>
    </row>
    <row r="1092" customFormat="false" ht="15" hidden="false" customHeight="false" outlineLevel="0" collapsed="false">
      <c r="A1092" s="17" t="n">
        <v>1088</v>
      </c>
      <c r="B1092" s="12" t="s">
        <v>1758</v>
      </c>
      <c r="C1092" s="12" t="s">
        <v>1269</v>
      </c>
      <c r="D1092" s="16" t="n">
        <v>0.0109949074074074</v>
      </c>
      <c r="E1092" s="15" t="n">
        <f aca="false">ROUND((D1092-$D$5)*86400,2)</f>
        <v>160.22</v>
      </c>
      <c r="F1092" s="17" t="n">
        <v>1087</v>
      </c>
      <c r="G1092" s="16" t="n">
        <f aca="false">IF(INDEX(選手一覧!$H$7:$H$2738,$F1092)="","",INDEX(選手一覧!$H$7:$H$2738,$F1092))</f>
        <v>0.00703831018518519</v>
      </c>
      <c r="H1092" s="17" t="n">
        <f aca="false">IF(INDEX(選手一覧!$I$7:$I$2738,$F1092)="","",INDEX(選手一覧!$I$7:$I$2738,$F1092))</f>
        <v>370</v>
      </c>
      <c r="I1092" s="16" t="n">
        <f aca="false">IF(INDEX(選手一覧!$J$7:$J$2738,$F1092)="","",INDEX(選手一覧!$J$7:$J$2738,$F1092))</f>
        <v>0.00291365740740741</v>
      </c>
      <c r="J1092" s="17" t="n">
        <f aca="false">IF(INDEX(選手一覧!$K$7:$K$2738,$F1092)="","",INDEX(選手一覧!$K$7:$K$2738,$F1092))</f>
        <v>1048</v>
      </c>
    </row>
    <row r="1093" customFormat="false" ht="15" hidden="false" customHeight="false" outlineLevel="0" collapsed="false">
      <c r="A1093" s="17" t="n">
        <v>1089</v>
      </c>
      <c r="B1093" s="12" t="s">
        <v>1759</v>
      </c>
      <c r="C1093" s="12" t="s">
        <v>1760</v>
      </c>
      <c r="D1093" s="16" t="n">
        <v>0.0109954861111111</v>
      </c>
      <c r="E1093" s="15" t="n">
        <f aca="false">ROUND((D1093-$D$5)*86400,2)</f>
        <v>160.27</v>
      </c>
      <c r="F1093" s="17" t="n">
        <v>1088</v>
      </c>
      <c r="G1093" s="16" t="n">
        <f aca="false">IF(INDEX(選手一覧!$H$7:$H$2738,$F1093)="","",INDEX(選手一覧!$H$7:$H$2738,$F1093))</f>
        <v>0.00730405092592593</v>
      </c>
      <c r="H1093" s="17" t="n">
        <f aca="false">IF(INDEX(選手一覧!$I$7:$I$2738,$F1093)="","",INDEX(選手一覧!$I$7:$I$2738,$F1093))</f>
        <v>651</v>
      </c>
      <c r="I1093" s="16" t="str">
        <f aca="false">IF(INDEX(選手一覧!$J$7:$J$2738,$F1093)="","",INDEX(選手一覧!$J$7:$J$2738,$F1093))</f>
        <v/>
      </c>
      <c r="J1093" s="17" t="str">
        <f aca="false">IF(INDEX(選手一覧!$K$7:$K$2738,$F1093)="","",INDEX(選手一覧!$K$7:$K$2738,$F1093))</f>
        <v/>
      </c>
    </row>
    <row r="1094" customFormat="false" ht="15" hidden="false" customHeight="false" outlineLevel="0" collapsed="false">
      <c r="A1094" s="17" t="n">
        <v>1090</v>
      </c>
      <c r="B1094" s="12" t="s">
        <v>1761</v>
      </c>
      <c r="C1094" s="12" t="s">
        <v>129</v>
      </c>
      <c r="D1094" s="16" t="n">
        <v>0.0109961805555556</v>
      </c>
      <c r="E1094" s="15" t="n">
        <f aca="false">ROUND((D1094-$D$5)*86400,2)</f>
        <v>160.33</v>
      </c>
      <c r="F1094" s="17" t="n">
        <v>1089</v>
      </c>
      <c r="G1094" s="16" t="str">
        <f aca="false">IF(INDEX(選手一覧!$H$7:$H$2738,$F1094)="","",INDEX(選手一覧!$H$7:$H$2738,$F1094))</f>
        <v/>
      </c>
      <c r="H1094" s="17" t="str">
        <f aca="false">IF(INDEX(選手一覧!$I$7:$I$2738,$F1094)="","",INDEX(選手一覧!$I$7:$I$2738,$F1094))</f>
        <v/>
      </c>
      <c r="I1094" s="16" t="str">
        <f aca="false">IF(INDEX(選手一覧!$J$7:$J$2738,$F1094)="","",INDEX(選手一覧!$J$7:$J$2738,$F1094))</f>
        <v/>
      </c>
      <c r="J1094" s="17" t="str">
        <f aca="false">IF(INDEX(選手一覧!$K$7:$K$2738,$F1094)="","",INDEX(選手一覧!$K$7:$K$2738,$F1094))</f>
        <v/>
      </c>
    </row>
    <row r="1095" customFormat="false" ht="15" hidden="false" customHeight="false" outlineLevel="0" collapsed="false">
      <c r="A1095" s="17" t="n">
        <v>1091</v>
      </c>
      <c r="B1095" s="12" t="s">
        <v>1762</v>
      </c>
      <c r="C1095" s="12" t="s">
        <v>711</v>
      </c>
      <c r="D1095" s="16" t="n">
        <v>0.0109961805555556</v>
      </c>
      <c r="E1095" s="15" t="n">
        <f aca="false">ROUND((D1095-$D$5)*86400,2)</f>
        <v>160.33</v>
      </c>
      <c r="F1095" s="17" t="n">
        <v>1090</v>
      </c>
      <c r="G1095" s="16" t="str">
        <f aca="false">IF(INDEX(選手一覧!$H$7:$H$2738,$F1095)="","",INDEX(選手一覧!$H$7:$H$2738,$F1095))</f>
        <v/>
      </c>
      <c r="H1095" s="17" t="str">
        <f aca="false">IF(INDEX(選手一覧!$I$7:$I$2738,$F1095)="","",INDEX(選手一覧!$I$7:$I$2738,$F1095))</f>
        <v/>
      </c>
      <c r="I1095" s="16" t="str">
        <f aca="false">IF(INDEX(選手一覧!$J$7:$J$2738,$F1095)="","",INDEX(選手一覧!$J$7:$J$2738,$F1095))</f>
        <v/>
      </c>
      <c r="J1095" s="17" t="str">
        <f aca="false">IF(INDEX(選手一覧!$K$7:$K$2738,$F1095)="","",INDEX(選手一覧!$K$7:$K$2738,$F1095))</f>
        <v/>
      </c>
    </row>
    <row r="1096" customFormat="false" ht="15" hidden="false" customHeight="false" outlineLevel="0" collapsed="false">
      <c r="A1096" s="17" t="n">
        <v>1092</v>
      </c>
      <c r="B1096" s="12" t="s">
        <v>1763</v>
      </c>
      <c r="C1096" s="12" t="s">
        <v>1764</v>
      </c>
      <c r="D1096" s="16" t="n">
        <v>0.0109965277777778</v>
      </c>
      <c r="E1096" s="15" t="n">
        <f aca="false">ROUND((D1096-$D$5)*86400,2)</f>
        <v>160.36</v>
      </c>
      <c r="F1096" s="17" t="n">
        <v>1091</v>
      </c>
      <c r="G1096" s="16" t="str">
        <f aca="false">IF(INDEX(選手一覧!$H$7:$H$2738,$F1096)="","",INDEX(選手一覧!$H$7:$H$2738,$F1096))</f>
        <v/>
      </c>
      <c r="H1096" s="17" t="str">
        <f aca="false">IF(INDEX(選手一覧!$I$7:$I$2738,$F1096)="","",INDEX(選手一覧!$I$7:$I$2738,$F1096))</f>
        <v/>
      </c>
      <c r="I1096" s="16" t="str">
        <f aca="false">IF(INDEX(選手一覧!$J$7:$J$2738,$F1096)="","",INDEX(選手一覧!$J$7:$J$2738,$F1096))</f>
        <v/>
      </c>
      <c r="J1096" s="17" t="str">
        <f aca="false">IF(INDEX(選手一覧!$K$7:$K$2738,$F1096)="","",INDEX(選手一覧!$K$7:$K$2738,$F1096))</f>
        <v/>
      </c>
    </row>
    <row r="1097" customFormat="false" ht="15" hidden="false" customHeight="false" outlineLevel="0" collapsed="false">
      <c r="A1097" s="17" t="n">
        <v>1093</v>
      </c>
      <c r="B1097" s="12" t="s">
        <v>1765</v>
      </c>
      <c r="C1097" s="12" t="s">
        <v>1766</v>
      </c>
      <c r="D1097" s="16" t="n">
        <v>0.0109971064814815</v>
      </c>
      <c r="E1097" s="15" t="n">
        <f aca="false">ROUND((D1097-$D$5)*86400,2)</f>
        <v>160.41</v>
      </c>
      <c r="F1097" s="17" t="n">
        <v>1092</v>
      </c>
      <c r="G1097" s="16" t="str">
        <f aca="false">IF(INDEX(選手一覧!$H$7:$H$2738,$F1097)="","",INDEX(選手一覧!$H$7:$H$2738,$F1097))</f>
        <v/>
      </c>
      <c r="H1097" s="17" t="str">
        <f aca="false">IF(INDEX(選手一覧!$I$7:$I$2738,$F1097)="","",INDEX(選手一覧!$I$7:$I$2738,$F1097))</f>
        <v/>
      </c>
      <c r="I1097" s="16" t="n">
        <f aca="false">IF(INDEX(選手一覧!$J$7:$J$2738,$F1097)="","",INDEX(選手一覧!$J$7:$J$2738,$F1097))</f>
        <v>0.00282384259259259</v>
      </c>
      <c r="J1097" s="17" t="n">
        <f aca="false">IF(INDEX(選手一覧!$K$7:$K$2738,$F1097)="","",INDEX(選手一覧!$K$7:$K$2738,$F1097))</f>
        <v>386</v>
      </c>
    </row>
    <row r="1098" customFormat="false" ht="15" hidden="false" customHeight="false" outlineLevel="0" collapsed="false">
      <c r="A1098" s="17" t="n">
        <v>1094</v>
      </c>
      <c r="B1098" s="12" t="s">
        <v>1767</v>
      </c>
      <c r="C1098" s="12" t="s">
        <v>54</v>
      </c>
      <c r="D1098" s="16" t="n">
        <v>0.0109979166666667</v>
      </c>
      <c r="E1098" s="15" t="n">
        <f aca="false">ROUND((D1098-$D$5)*86400,2)</f>
        <v>160.48</v>
      </c>
      <c r="F1098" s="17" t="n">
        <v>1093</v>
      </c>
      <c r="G1098" s="16" t="str">
        <f aca="false">IF(INDEX(選手一覧!$H$7:$H$2738,$F1098)="","",INDEX(選手一覧!$H$7:$H$2738,$F1098))</f>
        <v/>
      </c>
      <c r="H1098" s="17" t="str">
        <f aca="false">IF(INDEX(選手一覧!$I$7:$I$2738,$F1098)="","",INDEX(選手一覧!$I$7:$I$2738,$F1098))</f>
        <v/>
      </c>
      <c r="I1098" s="16" t="str">
        <f aca="false">IF(INDEX(選手一覧!$J$7:$J$2738,$F1098)="","",INDEX(選手一覧!$J$7:$J$2738,$F1098))</f>
        <v/>
      </c>
      <c r="J1098" s="17" t="str">
        <f aca="false">IF(INDEX(選手一覧!$K$7:$K$2738,$F1098)="","",INDEX(選手一覧!$K$7:$K$2738,$F1098))</f>
        <v/>
      </c>
    </row>
    <row r="1099" customFormat="false" ht="15" hidden="false" customHeight="false" outlineLevel="0" collapsed="false">
      <c r="A1099" s="17" t="n">
        <v>1095</v>
      </c>
      <c r="B1099" s="12" t="s">
        <v>1768</v>
      </c>
      <c r="C1099" s="12" t="s">
        <v>1769</v>
      </c>
      <c r="D1099" s="16" t="n">
        <v>0.0109983796296296</v>
      </c>
      <c r="E1099" s="15" t="n">
        <f aca="false">ROUND((D1099-$D$5)*86400,2)</f>
        <v>160.52</v>
      </c>
      <c r="F1099" s="17" t="n">
        <v>1094</v>
      </c>
      <c r="G1099" s="16" t="str">
        <f aca="false">IF(INDEX(選手一覧!$H$7:$H$2738,$F1099)="","",INDEX(選手一覧!$H$7:$H$2738,$F1099))</f>
        <v/>
      </c>
      <c r="H1099" s="17" t="str">
        <f aca="false">IF(INDEX(選手一覧!$I$7:$I$2738,$F1099)="","",INDEX(選手一覧!$I$7:$I$2738,$F1099))</f>
        <v/>
      </c>
      <c r="I1099" s="16" t="str">
        <f aca="false">IF(INDEX(選手一覧!$J$7:$J$2738,$F1099)="","",INDEX(選手一覧!$J$7:$J$2738,$F1099))</f>
        <v/>
      </c>
      <c r="J1099" s="17" t="str">
        <f aca="false">IF(INDEX(選手一覧!$K$7:$K$2738,$F1099)="","",INDEX(選手一覧!$K$7:$K$2738,$F1099))</f>
        <v/>
      </c>
    </row>
    <row r="1100" customFormat="false" ht="15" hidden="false" customHeight="false" outlineLevel="0" collapsed="false">
      <c r="A1100" s="17" t="n">
        <v>1096</v>
      </c>
      <c r="B1100" s="12" t="s">
        <v>1770</v>
      </c>
      <c r="C1100" s="12" t="s">
        <v>377</v>
      </c>
      <c r="D1100" s="16" t="n">
        <v>0.010999537037037</v>
      </c>
      <c r="E1100" s="15" t="n">
        <f aca="false">ROUND((D1100-$D$5)*86400,2)</f>
        <v>160.62</v>
      </c>
      <c r="F1100" s="17" t="n">
        <v>1095</v>
      </c>
      <c r="G1100" s="16" t="n">
        <f aca="false">IF(INDEX(選手一覧!$H$7:$H$2738,$F1100)="","",INDEX(選手一覧!$H$7:$H$2738,$F1100))</f>
        <v>0.006784375</v>
      </c>
      <c r="H1100" s="17" t="n">
        <f aca="false">IF(INDEX(選手一覧!$I$7:$I$2738,$F1100)="","",INDEX(選手一覧!$I$7:$I$2738,$F1100))</f>
        <v>160</v>
      </c>
      <c r="I1100" s="16" t="str">
        <f aca="false">IF(INDEX(選手一覧!$J$7:$J$2738,$F1100)="","",INDEX(選手一覧!$J$7:$J$2738,$F1100))</f>
        <v/>
      </c>
      <c r="J1100" s="17" t="str">
        <f aca="false">IF(INDEX(選手一覧!$K$7:$K$2738,$F1100)="","",INDEX(選手一覧!$K$7:$K$2738,$F1100))</f>
        <v/>
      </c>
    </row>
    <row r="1101" customFormat="false" ht="15" hidden="false" customHeight="false" outlineLevel="0" collapsed="false">
      <c r="A1101" s="17" t="n">
        <v>1097</v>
      </c>
      <c r="B1101" s="12" t="s">
        <v>1771</v>
      </c>
      <c r="C1101" s="12" t="s">
        <v>1409</v>
      </c>
      <c r="D1101" s="16" t="n">
        <v>0.0110001157407407</v>
      </c>
      <c r="E1101" s="15" t="n">
        <f aca="false">ROUND((D1101-$D$5)*86400,2)</f>
        <v>160.67</v>
      </c>
      <c r="F1101" s="17" t="n">
        <v>1096</v>
      </c>
      <c r="G1101" s="16" t="n">
        <f aca="false">IF(INDEX(選手一覧!$H$7:$H$2738,$F1101)="","",INDEX(選手一覧!$H$7:$H$2738,$F1101))</f>
        <v>0.00709780092592593</v>
      </c>
      <c r="H1101" s="17" t="n">
        <f aca="false">IF(INDEX(選手一覧!$I$7:$I$2738,$F1101)="","",INDEX(選手一覧!$I$7:$I$2738,$F1101))</f>
        <v>447</v>
      </c>
      <c r="I1101" s="16" t="str">
        <f aca="false">IF(INDEX(選手一覧!$J$7:$J$2738,$F1101)="","",INDEX(選手一覧!$J$7:$J$2738,$F1101))</f>
        <v/>
      </c>
      <c r="J1101" s="17" t="str">
        <f aca="false">IF(INDEX(選手一覧!$K$7:$K$2738,$F1101)="","",INDEX(選手一覧!$K$7:$K$2738,$F1101))</f>
        <v/>
      </c>
    </row>
    <row r="1102" customFormat="false" ht="15" hidden="false" customHeight="false" outlineLevel="0" collapsed="false">
      <c r="A1102" s="17" t="n">
        <v>1098</v>
      </c>
      <c r="B1102" s="12" t="s">
        <v>1773</v>
      </c>
      <c r="C1102" s="12" t="s">
        <v>127</v>
      </c>
      <c r="D1102" s="16" t="n">
        <v>0.0110020833333333</v>
      </c>
      <c r="E1102" s="15" t="n">
        <f aca="false">ROUND((D1102-$D$5)*86400,2)</f>
        <v>160.84</v>
      </c>
      <c r="F1102" s="17" t="n">
        <v>1097</v>
      </c>
      <c r="G1102" s="16" t="n">
        <f aca="false">IF(INDEX(選手一覧!$H$7:$H$2738,$F1102)="","",INDEX(選手一覧!$H$7:$H$2738,$F1102))</f>
        <v>0.00689513888888889</v>
      </c>
      <c r="H1102" s="17" t="n">
        <f aca="false">IF(INDEX(選手一覧!$I$7:$I$2738,$F1102)="","",INDEX(選手一覧!$I$7:$I$2738,$F1102))</f>
        <v>235</v>
      </c>
      <c r="I1102" s="16" t="n">
        <f aca="false">IF(INDEX(選手一覧!$J$7:$J$2738,$F1102)="","",INDEX(選手一覧!$J$7:$J$2738,$F1102))</f>
        <v>0.00285775462962963</v>
      </c>
      <c r="J1102" s="17" t="n">
        <f aca="false">IF(INDEX(選手一覧!$K$7:$K$2738,$F1102)="","",INDEX(選手一覧!$K$7:$K$2738,$F1102))</f>
        <v>621</v>
      </c>
    </row>
    <row r="1103" customFormat="false" ht="15" hidden="false" customHeight="false" outlineLevel="0" collapsed="false">
      <c r="A1103" s="17" t="n">
        <v>1099</v>
      </c>
      <c r="B1103" s="12" t="s">
        <v>1774</v>
      </c>
      <c r="C1103" s="12" t="s">
        <v>1775</v>
      </c>
      <c r="D1103" s="16" t="n">
        <v>0.0110024305555556</v>
      </c>
      <c r="E1103" s="15" t="n">
        <f aca="false">ROUND((D1103-$D$5)*86400,2)</f>
        <v>160.87</v>
      </c>
      <c r="F1103" s="17" t="n">
        <v>1098</v>
      </c>
      <c r="G1103" s="16" t="str">
        <f aca="false">IF(INDEX(選手一覧!$H$7:$H$2738,$F1103)="","",INDEX(選手一覧!$H$7:$H$2738,$F1103))</f>
        <v/>
      </c>
      <c r="H1103" s="17" t="str">
        <f aca="false">IF(INDEX(選手一覧!$I$7:$I$2738,$F1103)="","",INDEX(選手一覧!$I$7:$I$2738,$F1103))</f>
        <v/>
      </c>
      <c r="I1103" s="16" t="n">
        <f aca="false">IF(INDEX(選手一覧!$J$7:$J$2738,$F1103)="","",INDEX(選手一覧!$J$7:$J$2738,$F1103))</f>
        <v>0.00291053240740741</v>
      </c>
      <c r="J1103" s="17" t="n">
        <f aca="false">IF(INDEX(選手一覧!$K$7:$K$2738,$F1103)="","",INDEX(選手一覧!$K$7:$K$2738,$F1103))</f>
        <v>1026</v>
      </c>
    </row>
    <row r="1104" customFormat="false" ht="15" hidden="false" customHeight="false" outlineLevel="0" collapsed="false">
      <c r="A1104" s="17" t="n">
        <v>1100</v>
      </c>
      <c r="B1104" s="12" t="s">
        <v>1776</v>
      </c>
      <c r="C1104" s="12" t="s">
        <v>1777</v>
      </c>
      <c r="D1104" s="16" t="n">
        <v>0.0110045138888889</v>
      </c>
      <c r="E1104" s="15" t="n">
        <f aca="false">ROUND((D1104-$D$5)*86400,2)</f>
        <v>161.05</v>
      </c>
      <c r="F1104" s="17" t="n">
        <v>1099</v>
      </c>
      <c r="G1104" s="16" t="str">
        <f aca="false">IF(INDEX(選手一覧!$H$7:$H$2738,$F1104)="","",INDEX(選手一覧!$H$7:$H$2738,$F1104))</f>
        <v/>
      </c>
      <c r="H1104" s="17" t="str">
        <f aca="false">IF(INDEX(選手一覧!$I$7:$I$2738,$F1104)="","",INDEX(選手一覧!$I$7:$I$2738,$F1104))</f>
        <v/>
      </c>
      <c r="I1104" s="16" t="str">
        <f aca="false">IF(INDEX(選手一覧!$J$7:$J$2738,$F1104)="","",INDEX(選手一覧!$J$7:$J$2738,$F1104))</f>
        <v/>
      </c>
      <c r="J1104" s="17" t="str">
        <f aca="false">IF(INDEX(選手一覧!$K$7:$K$2738,$F1104)="","",INDEX(選手一覧!$K$7:$K$2738,$F1104))</f>
        <v/>
      </c>
    </row>
    <row r="1105" customFormat="false" ht="15" hidden="false" customHeight="false" outlineLevel="0" collapsed="false">
      <c r="A1105" s="17" t="n">
        <v>1101</v>
      </c>
      <c r="B1105" s="12" t="s">
        <v>1778</v>
      </c>
      <c r="C1105" s="12" t="s">
        <v>1590</v>
      </c>
      <c r="D1105" s="16" t="n">
        <v>0.0110046296296296</v>
      </c>
      <c r="E1105" s="15" t="n">
        <f aca="false">ROUND((D1105-$D$5)*86400,2)</f>
        <v>161.06</v>
      </c>
      <c r="F1105" s="17" t="n">
        <v>1100</v>
      </c>
      <c r="G1105" s="16" t="str">
        <f aca="false">IF(INDEX(選手一覧!$H$7:$H$2738,$F1105)="","",INDEX(選手一覧!$H$7:$H$2738,$F1105))</f>
        <v/>
      </c>
      <c r="H1105" s="17" t="str">
        <f aca="false">IF(INDEX(選手一覧!$I$7:$I$2738,$F1105)="","",INDEX(選手一覧!$I$7:$I$2738,$F1105))</f>
        <v/>
      </c>
      <c r="I1105" s="16" t="n">
        <f aca="false">IF(INDEX(選手一覧!$J$7:$J$2738,$F1105)="","",INDEX(選手一覧!$J$7:$J$2738,$F1105))</f>
        <v>0.0028599537037037</v>
      </c>
      <c r="J1105" s="17" t="n">
        <f aca="false">IF(INDEX(選手一覧!$K$7:$K$2738,$F1105)="","",INDEX(選手一覧!$K$7:$K$2738,$F1105))</f>
        <v>634</v>
      </c>
    </row>
    <row r="1106" customFormat="false" ht="15" hidden="false" customHeight="false" outlineLevel="0" collapsed="false">
      <c r="A1106" s="17" t="n">
        <v>1102</v>
      </c>
      <c r="B1106" s="12" t="s">
        <v>1780</v>
      </c>
      <c r="C1106" s="12" t="s">
        <v>1781</v>
      </c>
      <c r="D1106" s="16" t="n">
        <v>0.0110052083333333</v>
      </c>
      <c r="E1106" s="15" t="n">
        <f aca="false">ROUND((D1106-$D$5)*86400,2)</f>
        <v>161.11</v>
      </c>
      <c r="F1106" s="17" t="n">
        <v>1101</v>
      </c>
      <c r="G1106" s="16" t="str">
        <f aca="false">IF(INDEX(選手一覧!$H$7:$H$2738,$F1106)="","",INDEX(選手一覧!$H$7:$H$2738,$F1106))</f>
        <v/>
      </c>
      <c r="H1106" s="17" t="str">
        <f aca="false">IF(INDEX(選手一覧!$I$7:$I$2738,$F1106)="","",INDEX(選手一覧!$I$7:$I$2738,$F1106))</f>
        <v/>
      </c>
      <c r="I1106" s="16" t="n">
        <f aca="false">IF(INDEX(選手一覧!$J$7:$J$2738,$F1106)="","",INDEX(選手一覧!$J$7:$J$2738,$F1106))</f>
        <v>0.00296041666666667</v>
      </c>
      <c r="J1106" s="17" t="n">
        <f aca="false">IF(INDEX(選手一覧!$K$7:$K$2738,$F1106)="","",INDEX(選手一覧!$K$7:$K$2738,$F1106))</f>
        <v>1274</v>
      </c>
    </row>
    <row r="1107" customFormat="false" ht="15" hidden="false" customHeight="false" outlineLevel="0" collapsed="false">
      <c r="A1107" s="17" t="n">
        <v>1103</v>
      </c>
      <c r="B1107" s="12" t="s">
        <v>1782</v>
      </c>
      <c r="C1107" s="12" t="s">
        <v>1783</v>
      </c>
      <c r="D1107" s="16" t="n">
        <v>0.01100625</v>
      </c>
      <c r="E1107" s="15" t="n">
        <f aca="false">ROUND((D1107-$D$5)*86400,2)</f>
        <v>161.2</v>
      </c>
      <c r="F1107" s="17" t="n">
        <v>1102</v>
      </c>
      <c r="G1107" s="16" t="str">
        <f aca="false">IF(INDEX(選手一覧!$H$7:$H$2738,$F1107)="","",INDEX(選手一覧!$H$7:$H$2738,$F1107))</f>
        <v/>
      </c>
      <c r="H1107" s="17" t="str">
        <f aca="false">IF(INDEX(選手一覧!$I$7:$I$2738,$F1107)="","",INDEX(選手一覧!$I$7:$I$2738,$F1107))</f>
        <v/>
      </c>
      <c r="I1107" s="16" t="n">
        <f aca="false">IF(INDEX(選手一覧!$J$7:$J$2738,$F1107)="","",INDEX(選手一覧!$J$7:$J$2738,$F1107))</f>
        <v>0.00286990740740741</v>
      </c>
      <c r="J1107" s="17" t="n">
        <f aca="false">IF(INDEX(選手一覧!$K$7:$K$2738,$F1107)="","",INDEX(選手一覧!$K$7:$K$2738,$F1107))</f>
        <v>694</v>
      </c>
    </row>
    <row r="1108" customFormat="false" ht="15" hidden="false" customHeight="false" outlineLevel="0" collapsed="false">
      <c r="A1108" s="17" t="n">
        <v>1104</v>
      </c>
      <c r="B1108" s="12" t="s">
        <v>1784</v>
      </c>
      <c r="C1108" s="12" t="s">
        <v>417</v>
      </c>
      <c r="D1108" s="16" t="n">
        <v>0.011006712962963</v>
      </c>
      <c r="E1108" s="15" t="n">
        <f aca="false">ROUND((D1108-$D$5)*86400,2)</f>
        <v>161.24</v>
      </c>
      <c r="F1108" s="17" t="n">
        <v>1103</v>
      </c>
      <c r="G1108" s="16" t="n">
        <f aca="false">IF(INDEX(選手一覧!$H$7:$H$2738,$F1108)="","",INDEX(選手一覧!$H$7:$H$2738,$F1108))</f>
        <v>0.00702592592592593</v>
      </c>
      <c r="H1108" s="17" t="n">
        <f aca="false">IF(INDEX(選手一覧!$I$7:$I$2738,$F1108)="","",INDEX(選手一覧!$I$7:$I$2738,$F1108))</f>
        <v>359</v>
      </c>
      <c r="I1108" s="16" t="str">
        <f aca="false">IF(INDEX(選手一覧!$J$7:$J$2738,$F1108)="","",INDEX(選手一覧!$J$7:$J$2738,$F1108))</f>
        <v/>
      </c>
      <c r="J1108" s="17" t="str">
        <f aca="false">IF(INDEX(選手一覧!$K$7:$K$2738,$F1108)="","",INDEX(選手一覧!$K$7:$K$2738,$F1108))</f>
        <v/>
      </c>
    </row>
    <row r="1109" customFormat="false" ht="15" hidden="false" customHeight="false" outlineLevel="0" collapsed="false">
      <c r="A1109" s="17" t="n">
        <v>1105</v>
      </c>
      <c r="B1109" s="12" t="s">
        <v>1785</v>
      </c>
      <c r="C1109" s="12" t="s">
        <v>340</v>
      </c>
      <c r="D1109" s="16" t="n">
        <v>0.0110074074074074</v>
      </c>
      <c r="E1109" s="15" t="n">
        <f aca="false">ROUND((D1109-$D$5)*86400,2)</f>
        <v>161.3</v>
      </c>
      <c r="F1109" s="17" t="n">
        <v>1104</v>
      </c>
      <c r="G1109" s="16" t="str">
        <f aca="false">IF(INDEX(選手一覧!$H$7:$H$2738,$F1109)="","",INDEX(選手一覧!$H$7:$H$2738,$F1109))</f>
        <v/>
      </c>
      <c r="H1109" s="17" t="str">
        <f aca="false">IF(INDEX(選手一覧!$I$7:$I$2738,$F1109)="","",INDEX(選手一覧!$I$7:$I$2738,$F1109))</f>
        <v/>
      </c>
      <c r="I1109" s="16" t="str">
        <f aca="false">IF(INDEX(選手一覧!$J$7:$J$2738,$F1109)="","",INDEX(選手一覧!$J$7:$J$2738,$F1109))</f>
        <v/>
      </c>
      <c r="J1109" s="17" t="str">
        <f aca="false">IF(INDEX(選手一覧!$K$7:$K$2738,$F1109)="","",INDEX(選手一覧!$K$7:$K$2738,$F1109))</f>
        <v/>
      </c>
    </row>
    <row r="1110" customFormat="false" ht="15" hidden="false" customHeight="false" outlineLevel="0" collapsed="false">
      <c r="A1110" s="17" t="n">
        <v>1106</v>
      </c>
      <c r="B1110" s="12" t="s">
        <v>1786</v>
      </c>
      <c r="C1110" s="12" t="s">
        <v>447</v>
      </c>
      <c r="D1110" s="16" t="n">
        <v>0.0110075231481482</v>
      </c>
      <c r="E1110" s="15" t="n">
        <f aca="false">ROUND((D1110-$D$5)*86400,2)</f>
        <v>161.31</v>
      </c>
      <c r="F1110" s="17" t="n">
        <v>1105</v>
      </c>
      <c r="G1110" s="16" t="str">
        <f aca="false">IF(INDEX(選手一覧!$H$7:$H$2738,$F1110)="","",INDEX(選手一覧!$H$7:$H$2738,$F1110))</f>
        <v/>
      </c>
      <c r="H1110" s="17" t="str">
        <f aca="false">IF(INDEX(選手一覧!$I$7:$I$2738,$F1110)="","",INDEX(選手一覧!$I$7:$I$2738,$F1110))</f>
        <v/>
      </c>
      <c r="I1110" s="16" t="str">
        <f aca="false">IF(INDEX(選手一覧!$J$7:$J$2738,$F1110)="","",INDEX(選手一覧!$J$7:$J$2738,$F1110))</f>
        <v/>
      </c>
      <c r="J1110" s="17" t="str">
        <f aca="false">IF(INDEX(選手一覧!$K$7:$K$2738,$F1110)="","",INDEX(選手一覧!$K$7:$K$2738,$F1110))</f>
        <v/>
      </c>
    </row>
    <row r="1111" customFormat="false" ht="15" hidden="false" customHeight="false" outlineLevel="0" collapsed="false">
      <c r="A1111" s="17" t="n">
        <v>1107</v>
      </c>
      <c r="B1111" s="12" t="s">
        <v>1787</v>
      </c>
      <c r="C1111" s="12" t="s">
        <v>406</v>
      </c>
      <c r="D1111" s="16" t="n">
        <v>0.0110081018518519</v>
      </c>
      <c r="E1111" s="15" t="n">
        <f aca="false">ROUND((D1111-$D$5)*86400,2)</f>
        <v>161.36</v>
      </c>
      <c r="F1111" s="17" t="n">
        <v>1106</v>
      </c>
      <c r="G1111" s="16" t="str">
        <f aca="false">IF(INDEX(選手一覧!$H$7:$H$2738,$F1111)="","",INDEX(選手一覧!$H$7:$H$2738,$F1111))</f>
        <v/>
      </c>
      <c r="H1111" s="17" t="str">
        <f aca="false">IF(INDEX(選手一覧!$I$7:$I$2738,$F1111)="","",INDEX(選手一覧!$I$7:$I$2738,$F1111))</f>
        <v/>
      </c>
      <c r="I1111" s="16" t="str">
        <f aca="false">IF(INDEX(選手一覧!$J$7:$J$2738,$F1111)="","",INDEX(選手一覧!$J$7:$J$2738,$F1111))</f>
        <v/>
      </c>
      <c r="J1111" s="17" t="str">
        <f aca="false">IF(INDEX(選手一覧!$K$7:$K$2738,$F1111)="","",INDEX(選手一覧!$K$7:$K$2738,$F1111))</f>
        <v/>
      </c>
    </row>
    <row r="1112" customFormat="false" ht="15" hidden="false" customHeight="false" outlineLevel="0" collapsed="false">
      <c r="A1112" s="17" t="n">
        <v>1108</v>
      </c>
      <c r="B1112" s="12" t="s">
        <v>1788</v>
      </c>
      <c r="C1112" s="12" t="s">
        <v>1154</v>
      </c>
      <c r="D1112" s="16" t="n">
        <v>0.0110085648148148</v>
      </c>
      <c r="E1112" s="15" t="n">
        <f aca="false">ROUND((D1112-$D$5)*86400,2)</f>
        <v>161.4</v>
      </c>
      <c r="F1112" s="17" t="n">
        <v>1107</v>
      </c>
      <c r="G1112" s="16" t="str">
        <f aca="false">IF(INDEX(選手一覧!$H$7:$H$2738,$F1112)="","",INDEX(選手一覧!$H$7:$H$2738,$F1112))</f>
        <v/>
      </c>
      <c r="H1112" s="17" t="str">
        <f aca="false">IF(INDEX(選手一覧!$I$7:$I$2738,$F1112)="","",INDEX(選手一覧!$I$7:$I$2738,$F1112))</f>
        <v/>
      </c>
      <c r="I1112" s="16" t="n">
        <f aca="false">IF(INDEX(選手一覧!$J$7:$J$2738,$F1112)="","",INDEX(選手一覧!$J$7:$J$2738,$F1112))</f>
        <v>0.00291956018518519</v>
      </c>
      <c r="J1112" s="17" t="n">
        <f aca="false">IF(INDEX(選手一覧!$K$7:$K$2738,$F1112)="","",INDEX(選手一覧!$K$7:$K$2738,$F1112))</f>
        <v>1090</v>
      </c>
    </row>
    <row r="1113" customFormat="false" ht="15" hidden="false" customHeight="false" outlineLevel="0" collapsed="false">
      <c r="A1113" s="17" t="n">
        <v>1109</v>
      </c>
      <c r="B1113" s="12" t="s">
        <v>1789</v>
      </c>
      <c r="C1113" s="12" t="s">
        <v>145</v>
      </c>
      <c r="D1113" s="16" t="n">
        <v>0.0110094907407407</v>
      </c>
      <c r="E1113" s="15" t="n">
        <f aca="false">ROUND((D1113-$D$5)*86400,2)</f>
        <v>161.48</v>
      </c>
      <c r="F1113" s="17" t="n">
        <v>1108</v>
      </c>
      <c r="G1113" s="16" t="str">
        <f aca="false">IF(INDEX(選手一覧!$H$7:$H$2738,$F1113)="","",INDEX(選手一覧!$H$7:$H$2738,$F1113))</f>
        <v/>
      </c>
      <c r="H1113" s="17" t="str">
        <f aca="false">IF(INDEX(選手一覧!$I$7:$I$2738,$F1113)="","",INDEX(選手一覧!$I$7:$I$2738,$F1113))</f>
        <v/>
      </c>
      <c r="I1113" s="16" t="str">
        <f aca="false">IF(INDEX(選手一覧!$J$7:$J$2738,$F1113)="","",INDEX(選手一覧!$J$7:$J$2738,$F1113))</f>
        <v/>
      </c>
      <c r="J1113" s="17" t="str">
        <f aca="false">IF(INDEX(選手一覧!$K$7:$K$2738,$F1113)="","",INDEX(選手一覧!$K$7:$K$2738,$F1113))</f>
        <v/>
      </c>
    </row>
    <row r="1114" customFormat="false" ht="15" hidden="false" customHeight="false" outlineLevel="0" collapsed="false">
      <c r="A1114" s="17" t="n">
        <v>1110</v>
      </c>
      <c r="B1114" s="12" t="s">
        <v>1790</v>
      </c>
      <c r="C1114" s="12" t="s">
        <v>236</v>
      </c>
      <c r="D1114" s="16" t="n">
        <v>0.0110097222222222</v>
      </c>
      <c r="E1114" s="15" t="n">
        <f aca="false">ROUND((D1114-$D$5)*86400,2)</f>
        <v>161.5</v>
      </c>
      <c r="F1114" s="17" t="n">
        <v>1109</v>
      </c>
      <c r="G1114" s="16" t="n">
        <f aca="false">IF(INDEX(選手一覧!$H$7:$H$2738,$F1114)="","",INDEX(選手一覧!$H$7:$H$2738,$F1114))</f>
        <v>0.00679131944444444</v>
      </c>
      <c r="H1114" s="17" t="n">
        <f aca="false">IF(INDEX(選手一覧!$I$7:$I$2738,$F1114)="","",INDEX(選手一覧!$I$7:$I$2738,$F1114))</f>
        <v>163</v>
      </c>
      <c r="I1114" s="16" t="str">
        <f aca="false">IF(INDEX(選手一覧!$J$7:$J$2738,$F1114)="","",INDEX(選手一覧!$J$7:$J$2738,$F1114))</f>
        <v/>
      </c>
      <c r="J1114" s="17" t="str">
        <f aca="false">IF(INDEX(選手一覧!$K$7:$K$2738,$F1114)="","",INDEX(選手一覧!$K$7:$K$2738,$F1114))</f>
        <v/>
      </c>
    </row>
    <row r="1115" customFormat="false" ht="15" hidden="false" customHeight="false" outlineLevel="0" collapsed="false">
      <c r="A1115" s="17" t="n">
        <v>1111</v>
      </c>
      <c r="B1115" s="12" t="s">
        <v>1791</v>
      </c>
      <c r="C1115" s="12" t="s">
        <v>1568</v>
      </c>
      <c r="D1115" s="16" t="n">
        <v>0.0110106481481482</v>
      </c>
      <c r="E1115" s="15" t="n">
        <f aca="false">ROUND((D1115-$D$5)*86400,2)</f>
        <v>161.58</v>
      </c>
      <c r="F1115" s="17" t="n">
        <v>1110</v>
      </c>
      <c r="G1115" s="16" t="str">
        <f aca="false">IF(INDEX(選手一覧!$H$7:$H$2738,$F1115)="","",INDEX(選手一覧!$H$7:$H$2738,$F1115))</f>
        <v/>
      </c>
      <c r="H1115" s="17" t="str">
        <f aca="false">IF(INDEX(選手一覧!$I$7:$I$2738,$F1115)="","",INDEX(選手一覧!$I$7:$I$2738,$F1115))</f>
        <v/>
      </c>
      <c r="I1115" s="16" t="str">
        <f aca="false">IF(INDEX(選手一覧!$J$7:$J$2738,$F1115)="","",INDEX(選手一覧!$J$7:$J$2738,$F1115))</f>
        <v/>
      </c>
      <c r="J1115" s="17" t="str">
        <f aca="false">IF(INDEX(選手一覧!$K$7:$K$2738,$F1115)="","",INDEX(選手一覧!$K$7:$K$2738,$F1115))</f>
        <v/>
      </c>
    </row>
    <row r="1116" customFormat="false" ht="15" hidden="false" customHeight="false" outlineLevel="0" collapsed="false">
      <c r="A1116" s="17" t="n">
        <v>1112</v>
      </c>
      <c r="B1116" s="12" t="s">
        <v>1792</v>
      </c>
      <c r="C1116" s="12" t="s">
        <v>1450</v>
      </c>
      <c r="D1116" s="16" t="n">
        <v>0.0110112268518519</v>
      </c>
      <c r="E1116" s="15" t="n">
        <f aca="false">ROUND((D1116-$D$5)*86400,2)</f>
        <v>161.63</v>
      </c>
      <c r="F1116" s="17" t="n">
        <v>1111</v>
      </c>
      <c r="G1116" s="16" t="n">
        <f aca="false">IF(INDEX(選手一覧!$H$7:$H$2738,$F1116)="","",INDEX(選手一覧!$H$7:$H$2738,$F1116))</f>
        <v>0.00706909722222222</v>
      </c>
      <c r="H1116" s="17" t="n">
        <f aca="false">IF(INDEX(選手一覧!$I$7:$I$2738,$F1116)="","",INDEX(選手一覧!$I$7:$I$2738,$F1116))</f>
        <v>413</v>
      </c>
      <c r="I1116" s="16" t="n">
        <f aca="false">IF(INDEX(選手一覧!$J$7:$J$2738,$F1116)="","",INDEX(選手一覧!$J$7:$J$2738,$F1116))</f>
        <v>0.00289837962962963</v>
      </c>
      <c r="J1116" s="17" t="n">
        <f aca="false">IF(INDEX(選手一覧!$K$7:$K$2738,$F1116)="","",INDEX(選手一覧!$K$7:$K$2738,$F1116))</f>
        <v>935</v>
      </c>
    </row>
    <row r="1117" customFormat="false" ht="15" hidden="false" customHeight="false" outlineLevel="0" collapsed="false">
      <c r="A1117" s="17" t="n">
        <v>1113</v>
      </c>
      <c r="B1117" s="12" t="s">
        <v>1794</v>
      </c>
      <c r="C1117" s="12" t="s">
        <v>103</v>
      </c>
      <c r="D1117" s="16" t="n">
        <v>0.0110116898148148</v>
      </c>
      <c r="E1117" s="15" t="n">
        <f aca="false">ROUND((D1117-$D$5)*86400,2)</f>
        <v>161.67</v>
      </c>
      <c r="F1117" s="17" t="n">
        <v>1112</v>
      </c>
      <c r="G1117" s="16" t="n">
        <f aca="false">IF(INDEX(選手一覧!$H$7:$H$2738,$F1117)="","",INDEX(選手一覧!$H$7:$H$2738,$F1117))</f>
        <v>0.0073724537037037</v>
      </c>
      <c r="H1117" s="17" t="n">
        <f aca="false">IF(INDEX(選手一覧!$I$7:$I$2738,$F1117)="","",INDEX(選手一覧!$I$7:$I$2738,$F1117))</f>
        <v>737</v>
      </c>
      <c r="I1117" s="16" t="n">
        <f aca="false">IF(INDEX(選手一覧!$J$7:$J$2738,$F1117)="","",INDEX(選手一覧!$J$7:$J$2738,$F1117))</f>
        <v>0.00294918981481482</v>
      </c>
      <c r="J1117" s="17" t="n">
        <f aca="false">IF(INDEX(選手一覧!$K$7:$K$2738,$F1117)="","",INDEX(選手一覧!$K$7:$K$2738,$F1117))</f>
        <v>1234</v>
      </c>
    </row>
    <row r="1118" customFormat="false" ht="15" hidden="false" customHeight="false" outlineLevel="0" collapsed="false">
      <c r="A1118" s="17" t="n">
        <v>1114</v>
      </c>
      <c r="B1118" s="12" t="s">
        <v>1795</v>
      </c>
      <c r="C1118" s="12" t="s">
        <v>1796</v>
      </c>
      <c r="D1118" s="16" t="n">
        <v>0.0110125</v>
      </c>
      <c r="E1118" s="15" t="n">
        <f aca="false">ROUND((D1118-$D$5)*86400,2)</f>
        <v>161.74</v>
      </c>
      <c r="F1118" s="17" t="n">
        <v>1113</v>
      </c>
      <c r="G1118" s="16" t="str">
        <f aca="false">IF(INDEX(選手一覧!$H$7:$H$2738,$F1118)="","",INDEX(選手一覧!$H$7:$H$2738,$F1118))</f>
        <v/>
      </c>
      <c r="H1118" s="17" t="str">
        <f aca="false">IF(INDEX(選手一覧!$I$7:$I$2738,$F1118)="","",INDEX(選手一覧!$I$7:$I$2738,$F1118))</f>
        <v/>
      </c>
      <c r="I1118" s="16" t="str">
        <f aca="false">IF(INDEX(選手一覧!$J$7:$J$2738,$F1118)="","",INDEX(選手一覧!$J$7:$J$2738,$F1118))</f>
        <v/>
      </c>
      <c r="J1118" s="17" t="str">
        <f aca="false">IF(INDEX(選手一覧!$K$7:$K$2738,$F1118)="","",INDEX(選手一覧!$K$7:$K$2738,$F1118))</f>
        <v/>
      </c>
    </row>
    <row r="1119" customFormat="false" ht="15" hidden="false" customHeight="false" outlineLevel="0" collapsed="false">
      <c r="A1119" s="17" t="n">
        <v>1115</v>
      </c>
      <c r="B1119" s="12" t="s">
        <v>1797</v>
      </c>
      <c r="C1119" s="12" t="s">
        <v>1798</v>
      </c>
      <c r="D1119" s="16" t="n">
        <v>0.0110135416666667</v>
      </c>
      <c r="E1119" s="15" t="n">
        <f aca="false">ROUND((D1119-$D$5)*86400,2)</f>
        <v>161.83</v>
      </c>
      <c r="F1119" s="17" t="n">
        <v>1114</v>
      </c>
      <c r="G1119" s="16" t="str">
        <f aca="false">IF(INDEX(選手一覧!$H$7:$H$2738,$F1119)="","",INDEX(選手一覧!$H$7:$H$2738,$F1119))</f>
        <v/>
      </c>
      <c r="H1119" s="17" t="str">
        <f aca="false">IF(INDEX(選手一覧!$I$7:$I$2738,$F1119)="","",INDEX(選手一覧!$I$7:$I$2738,$F1119))</f>
        <v/>
      </c>
      <c r="I1119" s="16" t="str">
        <f aca="false">IF(INDEX(選手一覧!$J$7:$J$2738,$F1119)="","",INDEX(選手一覧!$J$7:$J$2738,$F1119))</f>
        <v/>
      </c>
      <c r="J1119" s="17" t="str">
        <f aca="false">IF(INDEX(選手一覧!$K$7:$K$2738,$F1119)="","",INDEX(選手一覧!$K$7:$K$2738,$F1119))</f>
        <v/>
      </c>
    </row>
    <row r="1120" customFormat="false" ht="15" hidden="false" customHeight="false" outlineLevel="0" collapsed="false">
      <c r="A1120" s="17" t="n">
        <v>1116</v>
      </c>
      <c r="B1120" s="12" t="s">
        <v>1799</v>
      </c>
      <c r="C1120" s="12" t="s">
        <v>269</v>
      </c>
      <c r="D1120" s="16" t="n">
        <v>0.0110138888888889</v>
      </c>
      <c r="E1120" s="15" t="n">
        <f aca="false">ROUND((D1120-$D$5)*86400,2)</f>
        <v>161.86</v>
      </c>
      <c r="F1120" s="17" t="n">
        <v>1115</v>
      </c>
      <c r="G1120" s="16" t="str">
        <f aca="false">IF(INDEX(選手一覧!$H$7:$H$2738,$F1120)="","",INDEX(選手一覧!$H$7:$H$2738,$F1120))</f>
        <v/>
      </c>
      <c r="H1120" s="17" t="str">
        <f aca="false">IF(INDEX(選手一覧!$I$7:$I$2738,$F1120)="","",INDEX(選手一覧!$I$7:$I$2738,$F1120))</f>
        <v/>
      </c>
      <c r="I1120" s="16" t="str">
        <f aca="false">IF(INDEX(選手一覧!$J$7:$J$2738,$F1120)="","",INDEX(選手一覧!$J$7:$J$2738,$F1120))</f>
        <v/>
      </c>
      <c r="J1120" s="17" t="str">
        <f aca="false">IF(INDEX(選手一覧!$K$7:$K$2738,$F1120)="","",INDEX(選手一覧!$K$7:$K$2738,$F1120))</f>
        <v/>
      </c>
    </row>
    <row r="1121" customFormat="false" ht="15" hidden="false" customHeight="false" outlineLevel="0" collapsed="false">
      <c r="A1121" s="17" t="n">
        <v>1117</v>
      </c>
      <c r="B1121" s="12" t="s">
        <v>1800</v>
      </c>
      <c r="C1121" s="12" t="s">
        <v>1801</v>
      </c>
      <c r="D1121" s="16" t="n">
        <v>0.0110141203703704</v>
      </c>
      <c r="E1121" s="15" t="n">
        <f aca="false">ROUND((D1121-$D$5)*86400,2)</f>
        <v>161.88</v>
      </c>
      <c r="F1121" s="17" t="n">
        <v>1116</v>
      </c>
      <c r="G1121" s="16" t="n">
        <f aca="false">IF(INDEX(選手一覧!$H$7:$H$2738,$F1121)="","",INDEX(選手一覧!$H$7:$H$2738,$F1121))</f>
        <v>0.00680150462962963</v>
      </c>
      <c r="H1121" s="17" t="n">
        <f aca="false">IF(INDEX(選手一覧!$I$7:$I$2738,$F1121)="","",INDEX(選手一覧!$I$7:$I$2738,$F1121))</f>
        <v>173</v>
      </c>
      <c r="I1121" s="16" t="str">
        <f aca="false">IF(INDEX(選手一覧!$J$7:$J$2738,$F1121)="","",INDEX(選手一覧!$J$7:$J$2738,$F1121))</f>
        <v/>
      </c>
      <c r="J1121" s="17" t="str">
        <f aca="false">IF(INDEX(選手一覧!$K$7:$K$2738,$F1121)="","",INDEX(選手一覧!$K$7:$K$2738,$F1121))</f>
        <v/>
      </c>
    </row>
    <row r="1122" customFormat="false" ht="15" hidden="false" customHeight="false" outlineLevel="0" collapsed="false">
      <c r="A1122" s="17" t="n">
        <v>1118</v>
      </c>
      <c r="B1122" s="12" t="s">
        <v>1802</v>
      </c>
      <c r="C1122" s="12" t="s">
        <v>1803</v>
      </c>
      <c r="D1122" s="16" t="n">
        <v>0.011015162037037</v>
      </c>
      <c r="E1122" s="15" t="n">
        <f aca="false">ROUND((D1122-$D$5)*86400,2)</f>
        <v>161.97</v>
      </c>
      <c r="F1122" s="17" t="n">
        <v>1117</v>
      </c>
      <c r="G1122" s="16" t="n">
        <f aca="false">IF(INDEX(選手一覧!$H$7:$H$2738,$F1122)="","",INDEX(選手一覧!$H$7:$H$2738,$F1122))</f>
        <v>0.00704675925925926</v>
      </c>
      <c r="H1122" s="17" t="n">
        <f aca="false">IF(INDEX(選手一覧!$I$7:$I$2738,$F1122)="","",INDEX(選手一覧!$I$7:$I$2738,$F1122))</f>
        <v>387</v>
      </c>
      <c r="I1122" s="16" t="n">
        <f aca="false">IF(INDEX(選手一覧!$J$7:$J$2738,$F1122)="","",INDEX(選手一覧!$J$7:$J$2738,$F1122))</f>
        <v>0.00292349537037037</v>
      </c>
      <c r="J1122" s="17" t="n">
        <f aca="false">IF(INDEX(選手一覧!$K$7:$K$2738,$F1122)="","",INDEX(選手一覧!$K$7:$K$2738,$F1122))</f>
        <v>1133</v>
      </c>
    </row>
    <row r="1123" customFormat="false" ht="15" hidden="false" customHeight="false" outlineLevel="0" collapsed="false">
      <c r="A1123" s="17" t="n">
        <v>1119</v>
      </c>
      <c r="B1123" s="12" t="s">
        <v>1805</v>
      </c>
      <c r="C1123" s="12" t="s">
        <v>1286</v>
      </c>
      <c r="D1123" s="16" t="n">
        <v>0.0110159722222222</v>
      </c>
      <c r="E1123" s="15" t="n">
        <f aca="false">ROUND((D1123-$D$5)*86400,2)</f>
        <v>162.04</v>
      </c>
      <c r="F1123" s="17" t="n">
        <v>1118</v>
      </c>
      <c r="G1123" s="16" t="str">
        <f aca="false">IF(INDEX(選手一覧!$H$7:$H$2738,$F1123)="","",INDEX(選手一覧!$H$7:$H$2738,$F1123))</f>
        <v/>
      </c>
      <c r="H1123" s="17" t="str">
        <f aca="false">IF(INDEX(選手一覧!$I$7:$I$2738,$F1123)="","",INDEX(選手一覧!$I$7:$I$2738,$F1123))</f>
        <v/>
      </c>
      <c r="I1123" s="16" t="n">
        <f aca="false">IF(INDEX(選手一覧!$J$7:$J$2738,$F1123)="","",INDEX(選手一覧!$J$7:$J$2738,$F1123))</f>
        <v>0.00281956018518519</v>
      </c>
      <c r="J1123" s="17" t="n">
        <f aca="false">IF(INDEX(選手一覧!$K$7:$K$2738,$F1123)="","",INDEX(選手一覧!$K$7:$K$2738,$F1123))</f>
        <v>361</v>
      </c>
    </row>
    <row r="1124" customFormat="false" ht="15" hidden="false" customHeight="false" outlineLevel="0" collapsed="false">
      <c r="A1124" s="17" t="n">
        <v>1120</v>
      </c>
      <c r="B1124" s="12" t="s">
        <v>1806</v>
      </c>
      <c r="C1124" s="12" t="s">
        <v>1807</v>
      </c>
      <c r="D1124" s="16" t="n">
        <v>0.0110162037037037</v>
      </c>
      <c r="E1124" s="15" t="n">
        <f aca="false">ROUND((D1124-$D$5)*86400,2)</f>
        <v>162.06</v>
      </c>
      <c r="F1124" s="17" t="n">
        <v>1119</v>
      </c>
      <c r="G1124" s="16" t="n">
        <f aca="false">IF(INDEX(選手一覧!$H$7:$H$2738,$F1124)="","",INDEX(選手一覧!$H$7:$H$2738,$F1124))</f>
        <v>0.00754918981481482</v>
      </c>
      <c r="H1124" s="17" t="n">
        <f aca="false">IF(INDEX(選手一覧!$I$7:$I$2738,$F1124)="","",INDEX(選手一覧!$I$7:$I$2738,$F1124))</f>
        <v>957</v>
      </c>
      <c r="I1124" s="16" t="str">
        <f aca="false">IF(INDEX(選手一覧!$J$7:$J$2738,$F1124)="","",INDEX(選手一覧!$J$7:$J$2738,$F1124))</f>
        <v/>
      </c>
      <c r="J1124" s="17" t="str">
        <f aca="false">IF(INDEX(選手一覧!$K$7:$K$2738,$F1124)="","",INDEX(選手一覧!$K$7:$K$2738,$F1124))</f>
        <v/>
      </c>
    </row>
    <row r="1125" customFormat="false" ht="15" hidden="false" customHeight="false" outlineLevel="0" collapsed="false">
      <c r="A1125" s="17" t="n">
        <v>1121</v>
      </c>
      <c r="B1125" s="12" t="s">
        <v>1809</v>
      </c>
      <c r="C1125" s="12" t="s">
        <v>629</v>
      </c>
      <c r="D1125" s="16" t="n">
        <v>0.0110163194444444</v>
      </c>
      <c r="E1125" s="15" t="n">
        <f aca="false">ROUND((D1125-$D$5)*86400,2)</f>
        <v>162.07</v>
      </c>
      <c r="F1125" s="17" t="n">
        <v>1120</v>
      </c>
      <c r="G1125" s="16" t="str">
        <f aca="false">IF(INDEX(選手一覧!$H$7:$H$2738,$F1125)="","",INDEX(選手一覧!$H$7:$H$2738,$F1125))</f>
        <v/>
      </c>
      <c r="H1125" s="17" t="str">
        <f aca="false">IF(INDEX(選手一覧!$I$7:$I$2738,$F1125)="","",INDEX(選手一覧!$I$7:$I$2738,$F1125))</f>
        <v/>
      </c>
      <c r="I1125" s="16" t="n">
        <f aca="false">IF(INDEX(選手一覧!$J$7:$J$2738,$F1125)="","",INDEX(選手一覧!$J$7:$J$2738,$F1125))</f>
        <v>0.00275289351851852</v>
      </c>
      <c r="J1125" s="17" t="n">
        <f aca="false">IF(INDEX(選手一覧!$K$7:$K$2738,$F1125)="","",INDEX(選手一覧!$K$7:$K$2738,$F1125))</f>
        <v>110</v>
      </c>
    </row>
    <row r="1126" customFormat="false" ht="15" hidden="false" customHeight="false" outlineLevel="0" collapsed="false">
      <c r="A1126" s="17" t="n">
        <v>1122</v>
      </c>
      <c r="B1126" s="12" t="s">
        <v>1810</v>
      </c>
      <c r="C1126" s="12" t="s">
        <v>65</v>
      </c>
      <c r="D1126" s="16" t="n">
        <v>0.0110171296296296</v>
      </c>
      <c r="E1126" s="15" t="n">
        <f aca="false">ROUND((D1126-$D$5)*86400,2)</f>
        <v>162.14</v>
      </c>
      <c r="F1126" s="17" t="n">
        <v>1121</v>
      </c>
      <c r="G1126" s="16" t="n">
        <f aca="false">IF(INDEX(選手一覧!$H$7:$H$2738,$F1126)="","",INDEX(選手一覧!$H$7:$H$2738,$F1126))</f>
        <v>0.00709490740740741</v>
      </c>
      <c r="H1126" s="17" t="n">
        <f aca="false">IF(INDEX(選手一覧!$I$7:$I$2738,$F1126)="","",INDEX(選手一覧!$I$7:$I$2738,$F1126))</f>
        <v>442</v>
      </c>
      <c r="I1126" s="16" t="n">
        <f aca="false">IF(INDEX(選手一覧!$J$7:$J$2738,$F1126)="","",INDEX(選手一覧!$J$7:$J$2738,$F1126))</f>
        <v>0.00297152777777778</v>
      </c>
      <c r="J1126" s="17" t="n">
        <f aca="false">IF(INDEX(選手一覧!$K$7:$K$2738,$F1126)="","",INDEX(選手一覧!$K$7:$K$2738,$F1126))</f>
        <v>1315</v>
      </c>
    </row>
    <row r="1127" customFormat="false" ht="15" hidden="false" customHeight="false" outlineLevel="0" collapsed="false">
      <c r="A1127" s="17" t="n">
        <v>1123</v>
      </c>
      <c r="B1127" s="12" t="s">
        <v>1811</v>
      </c>
      <c r="C1127" s="12" t="s">
        <v>297</v>
      </c>
      <c r="D1127" s="16" t="n">
        <v>0.0110174768518519</v>
      </c>
      <c r="E1127" s="15" t="n">
        <f aca="false">ROUND((D1127-$D$5)*86400,2)</f>
        <v>162.17</v>
      </c>
      <c r="F1127" s="17" t="n">
        <v>1122</v>
      </c>
      <c r="G1127" s="16" t="str">
        <f aca="false">IF(INDEX(選手一覧!$H$7:$H$2738,$F1127)="","",INDEX(選手一覧!$H$7:$H$2738,$F1127))</f>
        <v/>
      </c>
      <c r="H1127" s="17" t="str">
        <f aca="false">IF(INDEX(選手一覧!$I$7:$I$2738,$F1127)="","",INDEX(選手一覧!$I$7:$I$2738,$F1127))</f>
        <v/>
      </c>
      <c r="I1127" s="16" t="n">
        <f aca="false">IF(INDEX(選手一覧!$J$7:$J$2738,$F1127)="","",INDEX(選手一覧!$J$7:$J$2738,$F1127))</f>
        <v>0.00293009259259259</v>
      </c>
      <c r="J1127" s="17" t="n">
        <f aca="false">IF(INDEX(選手一覧!$K$7:$K$2738,$F1127)="","",INDEX(選手一覧!$K$7:$K$2738,$F1127))</f>
        <v>1174</v>
      </c>
    </row>
    <row r="1128" customFormat="false" ht="15" hidden="false" customHeight="false" outlineLevel="0" collapsed="false">
      <c r="A1128" s="17" t="n">
        <v>1124</v>
      </c>
      <c r="B1128" s="12" t="s">
        <v>1812</v>
      </c>
      <c r="C1128" s="12" t="s">
        <v>1813</v>
      </c>
      <c r="D1128" s="16" t="n">
        <v>0.0110175925925926</v>
      </c>
      <c r="E1128" s="15" t="n">
        <f aca="false">ROUND((D1128-$D$5)*86400,2)</f>
        <v>162.18</v>
      </c>
      <c r="F1128" s="17" t="n">
        <v>1123</v>
      </c>
      <c r="G1128" s="16" t="n">
        <f aca="false">IF(INDEX(選手一覧!$H$7:$H$2738,$F1128)="","",INDEX(選手一覧!$H$7:$H$2738,$F1128))</f>
        <v>0.00741400462962963</v>
      </c>
      <c r="H1128" s="17" t="n">
        <f aca="false">IF(INDEX(選手一覧!$I$7:$I$2738,$F1128)="","",INDEX(選手一覧!$I$7:$I$2738,$F1128))</f>
        <v>786</v>
      </c>
      <c r="I1128" s="16" t="n">
        <f aca="false">IF(INDEX(選手一覧!$J$7:$J$2738,$F1128)="","",INDEX(選手一覧!$J$7:$J$2738,$F1128))</f>
        <v>0.00284386574074074</v>
      </c>
      <c r="J1128" s="17" t="n">
        <f aca="false">IF(INDEX(選手一覧!$K$7:$K$2738,$F1128)="","",INDEX(選手一覧!$K$7:$K$2738,$F1128))</f>
        <v>523</v>
      </c>
    </row>
    <row r="1129" customFormat="false" ht="15" hidden="false" customHeight="false" outlineLevel="0" collapsed="false">
      <c r="A1129" s="17" t="n">
        <v>1125</v>
      </c>
      <c r="B1129" s="12" t="s">
        <v>1814</v>
      </c>
      <c r="C1129" s="12" t="s">
        <v>333</v>
      </c>
      <c r="D1129" s="16" t="n">
        <v>0.0110180555555556</v>
      </c>
      <c r="E1129" s="15" t="n">
        <f aca="false">ROUND((D1129-$D$5)*86400,2)</f>
        <v>162.22</v>
      </c>
      <c r="F1129" s="17" t="n">
        <v>1124</v>
      </c>
      <c r="G1129" s="16" t="n">
        <f aca="false">IF(INDEX(選手一覧!$H$7:$H$2738,$F1129)="","",INDEX(選手一覧!$H$7:$H$2738,$F1129))</f>
        <v>0.00719201388888889</v>
      </c>
      <c r="H1129" s="17" t="n">
        <f aca="false">IF(INDEX(選手一覧!$I$7:$I$2738,$F1129)="","",INDEX(選手一覧!$I$7:$I$2738,$F1129))</f>
        <v>531</v>
      </c>
      <c r="I1129" s="16" t="str">
        <f aca="false">IF(INDEX(選手一覧!$J$7:$J$2738,$F1129)="","",INDEX(選手一覧!$J$7:$J$2738,$F1129))</f>
        <v/>
      </c>
      <c r="J1129" s="17" t="str">
        <f aca="false">IF(INDEX(選手一覧!$K$7:$K$2738,$F1129)="","",INDEX(選手一覧!$K$7:$K$2738,$F1129))</f>
        <v/>
      </c>
    </row>
    <row r="1130" customFormat="false" ht="15" hidden="false" customHeight="false" outlineLevel="0" collapsed="false">
      <c r="A1130" s="17" t="n">
        <v>1126</v>
      </c>
      <c r="B1130" s="12" t="s">
        <v>1817</v>
      </c>
      <c r="C1130" s="12" t="s">
        <v>417</v>
      </c>
      <c r="D1130" s="16" t="n">
        <v>0.011018287037037</v>
      </c>
      <c r="E1130" s="15" t="n">
        <f aca="false">ROUND((D1130-$D$5)*86400,2)</f>
        <v>162.24</v>
      </c>
      <c r="F1130" s="17" t="n">
        <v>1125</v>
      </c>
      <c r="G1130" s="16" t="n">
        <f aca="false">IF(INDEX(選手一覧!$H$7:$H$2738,$F1130)="","",INDEX(選手一覧!$H$7:$H$2738,$F1130))</f>
        <v>0.00677627314814815</v>
      </c>
      <c r="H1130" s="17" t="n">
        <f aca="false">IF(INDEX(選手一覧!$I$7:$I$2738,$F1130)="","",INDEX(選手一覧!$I$7:$I$2738,$F1130))</f>
        <v>153</v>
      </c>
      <c r="I1130" s="16" t="str">
        <f aca="false">IF(INDEX(選手一覧!$J$7:$J$2738,$F1130)="","",INDEX(選手一覧!$J$7:$J$2738,$F1130))</f>
        <v/>
      </c>
      <c r="J1130" s="17" t="str">
        <f aca="false">IF(INDEX(選手一覧!$K$7:$K$2738,$F1130)="","",INDEX(選手一覧!$K$7:$K$2738,$F1130))</f>
        <v/>
      </c>
    </row>
    <row r="1131" customFormat="false" ht="15" hidden="false" customHeight="false" outlineLevel="0" collapsed="false">
      <c r="A1131" s="17" t="n">
        <v>1127</v>
      </c>
      <c r="B1131" s="12" t="s">
        <v>1818</v>
      </c>
      <c r="C1131" s="12" t="s">
        <v>1819</v>
      </c>
      <c r="D1131" s="16" t="n">
        <v>0.01101875</v>
      </c>
      <c r="E1131" s="15" t="n">
        <f aca="false">ROUND((D1131-$D$5)*86400,2)</f>
        <v>162.28</v>
      </c>
      <c r="F1131" s="17" t="n">
        <v>1126</v>
      </c>
      <c r="G1131" s="16" t="str">
        <f aca="false">IF(INDEX(選手一覧!$H$7:$H$2738,$F1131)="","",INDEX(選手一覧!$H$7:$H$2738,$F1131))</f>
        <v/>
      </c>
      <c r="H1131" s="17" t="str">
        <f aca="false">IF(INDEX(選手一覧!$I$7:$I$2738,$F1131)="","",INDEX(選手一覧!$I$7:$I$2738,$F1131))</f>
        <v/>
      </c>
      <c r="I1131" s="16" t="n">
        <f aca="false">IF(INDEX(選手一覧!$J$7:$J$2738,$F1131)="","",INDEX(選手一覧!$J$7:$J$2738,$F1131))</f>
        <v>0.00287280092592593</v>
      </c>
      <c r="J1131" s="17" t="n">
        <f aca="false">IF(INDEX(選手一覧!$K$7:$K$2738,$F1131)="","",INDEX(選手一覧!$K$7:$K$2738,$F1131))</f>
        <v>720</v>
      </c>
    </row>
    <row r="1132" customFormat="false" ht="15" hidden="false" customHeight="false" outlineLevel="0" collapsed="false">
      <c r="A1132" s="17" t="n">
        <v>1128</v>
      </c>
      <c r="B1132" s="12" t="s">
        <v>1820</v>
      </c>
      <c r="C1132" s="12" t="s">
        <v>1821</v>
      </c>
      <c r="D1132" s="16" t="n">
        <v>0.0110190972222222</v>
      </c>
      <c r="E1132" s="15" t="n">
        <f aca="false">ROUND((D1132-$D$5)*86400,2)</f>
        <v>162.31</v>
      </c>
      <c r="F1132" s="17" t="n">
        <v>1127</v>
      </c>
      <c r="G1132" s="16" t="str">
        <f aca="false">IF(INDEX(選手一覧!$H$7:$H$2738,$F1132)="","",INDEX(選手一覧!$H$7:$H$2738,$F1132))</f>
        <v/>
      </c>
      <c r="H1132" s="17" t="str">
        <f aca="false">IF(INDEX(選手一覧!$I$7:$I$2738,$F1132)="","",INDEX(選手一覧!$I$7:$I$2738,$F1132))</f>
        <v/>
      </c>
      <c r="I1132" s="16" t="n">
        <f aca="false">IF(INDEX(選手一覧!$J$7:$J$2738,$F1132)="","",INDEX(選手一覧!$J$7:$J$2738,$F1132))</f>
        <v>0.0028869212962963</v>
      </c>
      <c r="J1132" s="17" t="n">
        <f aca="false">IF(INDEX(選手一覧!$K$7:$K$2738,$F1132)="","",INDEX(選手一覧!$K$7:$K$2738,$F1132))</f>
        <v>833</v>
      </c>
    </row>
    <row r="1133" customFormat="false" ht="15" hidden="false" customHeight="false" outlineLevel="0" collapsed="false">
      <c r="A1133" s="17" t="n">
        <v>1129</v>
      </c>
      <c r="B1133" s="12" t="s">
        <v>1822</v>
      </c>
      <c r="C1133" s="12" t="s">
        <v>417</v>
      </c>
      <c r="D1133" s="16" t="n">
        <v>0.0110193287037037</v>
      </c>
      <c r="E1133" s="15" t="n">
        <f aca="false">ROUND((D1133-$D$5)*86400,2)</f>
        <v>162.33</v>
      </c>
      <c r="F1133" s="17" t="n">
        <v>1128</v>
      </c>
      <c r="G1133" s="16" t="str">
        <f aca="false">IF(INDEX(選手一覧!$H$7:$H$2738,$F1133)="","",INDEX(選手一覧!$H$7:$H$2738,$F1133))</f>
        <v/>
      </c>
      <c r="H1133" s="17" t="str">
        <f aca="false">IF(INDEX(選手一覧!$I$7:$I$2738,$F1133)="","",INDEX(選手一覧!$I$7:$I$2738,$F1133))</f>
        <v/>
      </c>
      <c r="I1133" s="16" t="str">
        <f aca="false">IF(INDEX(選手一覧!$J$7:$J$2738,$F1133)="","",INDEX(選手一覧!$J$7:$J$2738,$F1133))</f>
        <v/>
      </c>
      <c r="J1133" s="17" t="str">
        <f aca="false">IF(INDEX(選手一覧!$K$7:$K$2738,$F1133)="","",INDEX(選手一覧!$K$7:$K$2738,$F1133))</f>
        <v/>
      </c>
    </row>
    <row r="1134" customFormat="false" ht="15" hidden="false" customHeight="false" outlineLevel="0" collapsed="false">
      <c r="A1134" s="17" t="n">
        <v>1130</v>
      </c>
      <c r="B1134" s="12" t="s">
        <v>1823</v>
      </c>
      <c r="C1134" s="12" t="s">
        <v>253</v>
      </c>
      <c r="D1134" s="16" t="n">
        <v>0.0110204861111111</v>
      </c>
      <c r="E1134" s="15" t="n">
        <f aca="false">ROUND((D1134-$D$5)*86400,2)</f>
        <v>162.43</v>
      </c>
      <c r="F1134" s="17" t="n">
        <v>1129</v>
      </c>
      <c r="G1134" s="16" t="str">
        <f aca="false">IF(INDEX(選手一覧!$H$7:$H$2738,$F1134)="","",INDEX(選手一覧!$H$7:$H$2738,$F1134))</f>
        <v/>
      </c>
      <c r="H1134" s="17" t="str">
        <f aca="false">IF(INDEX(選手一覧!$I$7:$I$2738,$F1134)="","",INDEX(選手一覧!$I$7:$I$2738,$F1134))</f>
        <v/>
      </c>
      <c r="I1134" s="16" t="str">
        <f aca="false">IF(INDEX(選手一覧!$J$7:$J$2738,$F1134)="","",INDEX(選手一覧!$J$7:$J$2738,$F1134))</f>
        <v/>
      </c>
      <c r="J1134" s="17" t="str">
        <f aca="false">IF(INDEX(選手一覧!$K$7:$K$2738,$F1134)="","",INDEX(選手一覧!$K$7:$K$2738,$F1134))</f>
        <v/>
      </c>
    </row>
    <row r="1135" customFormat="false" ht="15" hidden="false" customHeight="false" outlineLevel="0" collapsed="false">
      <c r="A1135" s="17" t="n">
        <v>1131</v>
      </c>
      <c r="B1135" s="12" t="s">
        <v>1824</v>
      </c>
      <c r="C1135" s="12" t="s">
        <v>599</v>
      </c>
      <c r="D1135" s="16" t="n">
        <v>0.0110209490740741</v>
      </c>
      <c r="E1135" s="15" t="n">
        <f aca="false">ROUND((D1135-$D$5)*86400,2)</f>
        <v>162.47</v>
      </c>
      <c r="F1135" s="17" t="n">
        <v>1130</v>
      </c>
      <c r="G1135" s="16" t="n">
        <f aca="false">IF(INDEX(選手一覧!$H$7:$H$2738,$F1135)="","",INDEX(選手一覧!$H$7:$H$2738,$F1135))</f>
        <v>0.00698761574074074</v>
      </c>
      <c r="H1135" s="17" t="n">
        <f aca="false">IF(INDEX(選手一覧!$I$7:$I$2738,$F1135)="","",INDEX(選手一覧!$I$7:$I$2738,$F1135))</f>
        <v>322</v>
      </c>
      <c r="I1135" s="16" t="n">
        <f aca="false">IF(INDEX(選手一覧!$J$7:$J$2738,$F1135)="","",INDEX(選手一覧!$J$7:$J$2738,$F1135))</f>
        <v>0.00286261574074074</v>
      </c>
      <c r="J1135" s="17" t="n">
        <f aca="false">IF(INDEX(選手一覧!$K$7:$K$2738,$F1135)="","",INDEX(選手一覧!$K$7:$K$2738,$F1135))</f>
        <v>653</v>
      </c>
    </row>
    <row r="1136" customFormat="false" ht="15" hidden="false" customHeight="false" outlineLevel="0" collapsed="false">
      <c r="A1136" s="17" t="n">
        <v>1132</v>
      </c>
      <c r="B1136" s="12" t="s">
        <v>1825</v>
      </c>
      <c r="C1136" s="12" t="s">
        <v>463</v>
      </c>
      <c r="D1136" s="16" t="n">
        <v>0.0110216435185185</v>
      </c>
      <c r="E1136" s="15" t="n">
        <f aca="false">ROUND((D1136-$D$5)*86400,2)</f>
        <v>162.53</v>
      </c>
      <c r="F1136" s="17" t="n">
        <v>1131</v>
      </c>
      <c r="G1136" s="16" t="n">
        <f aca="false">IF(INDEX(選手一覧!$H$7:$H$2738,$F1136)="","",INDEX(選手一覧!$H$7:$H$2738,$F1136))</f>
        <v>0.00707256944444445</v>
      </c>
      <c r="H1136" s="17" t="n">
        <f aca="false">IF(INDEX(選手一覧!$I$7:$I$2738,$F1136)="","",INDEX(選手一覧!$I$7:$I$2738,$F1136))</f>
        <v>418</v>
      </c>
      <c r="I1136" s="16" t="str">
        <f aca="false">IF(INDEX(選手一覧!$J$7:$J$2738,$F1136)="","",INDEX(選手一覧!$J$7:$J$2738,$F1136))</f>
        <v/>
      </c>
      <c r="J1136" s="17" t="str">
        <f aca="false">IF(INDEX(選手一覧!$K$7:$K$2738,$F1136)="","",INDEX(選手一覧!$K$7:$K$2738,$F1136))</f>
        <v/>
      </c>
    </row>
    <row r="1137" customFormat="false" ht="15" hidden="false" customHeight="false" outlineLevel="0" collapsed="false">
      <c r="A1137" s="17" t="n">
        <v>1133</v>
      </c>
      <c r="B1137" s="12" t="s">
        <v>1826</v>
      </c>
      <c r="C1137" s="12" t="s">
        <v>1586</v>
      </c>
      <c r="D1137" s="16" t="n">
        <v>0.011021875</v>
      </c>
      <c r="E1137" s="15" t="n">
        <f aca="false">ROUND((D1137-$D$5)*86400,2)</f>
        <v>162.55</v>
      </c>
      <c r="F1137" s="17" t="n">
        <v>1132</v>
      </c>
      <c r="G1137" s="16" t="str">
        <f aca="false">IF(INDEX(選手一覧!$H$7:$H$2738,$F1137)="","",INDEX(選手一覧!$H$7:$H$2738,$F1137))</f>
        <v/>
      </c>
      <c r="H1137" s="17" t="str">
        <f aca="false">IF(INDEX(選手一覧!$I$7:$I$2738,$F1137)="","",INDEX(選手一覧!$I$7:$I$2738,$F1137))</f>
        <v/>
      </c>
      <c r="I1137" s="16" t="str">
        <f aca="false">IF(INDEX(選手一覧!$J$7:$J$2738,$F1137)="","",INDEX(選手一覧!$J$7:$J$2738,$F1137))</f>
        <v/>
      </c>
      <c r="J1137" s="17" t="str">
        <f aca="false">IF(INDEX(選手一覧!$K$7:$K$2738,$F1137)="","",INDEX(選手一覧!$K$7:$K$2738,$F1137))</f>
        <v/>
      </c>
    </row>
    <row r="1138" customFormat="false" ht="15" hidden="false" customHeight="false" outlineLevel="0" collapsed="false">
      <c r="A1138" s="17" t="n">
        <v>1134</v>
      </c>
      <c r="B1138" s="12" t="s">
        <v>1828</v>
      </c>
      <c r="C1138" s="12" t="s">
        <v>1829</v>
      </c>
      <c r="D1138" s="16" t="n">
        <v>0.0110221064814815</v>
      </c>
      <c r="E1138" s="15" t="n">
        <f aca="false">ROUND((D1138-$D$5)*86400,2)</f>
        <v>162.57</v>
      </c>
      <c r="F1138" s="17" t="n">
        <v>1133</v>
      </c>
      <c r="G1138" s="16" t="str">
        <f aca="false">IF(INDEX(選手一覧!$H$7:$H$2738,$F1138)="","",INDEX(選手一覧!$H$7:$H$2738,$F1138))</f>
        <v/>
      </c>
      <c r="H1138" s="17" t="str">
        <f aca="false">IF(INDEX(選手一覧!$I$7:$I$2738,$F1138)="","",INDEX(選手一覧!$I$7:$I$2738,$F1138))</f>
        <v/>
      </c>
      <c r="I1138" s="16" t="n">
        <f aca="false">IF(INDEX(選手一覧!$J$7:$J$2738,$F1138)="","",INDEX(選手一覧!$J$7:$J$2738,$F1138))</f>
        <v>0.00285625</v>
      </c>
      <c r="J1138" s="17" t="n">
        <f aca="false">IF(INDEX(選手一覧!$K$7:$K$2738,$F1138)="","",INDEX(選手一覧!$K$7:$K$2738,$F1138))</f>
        <v>611</v>
      </c>
    </row>
    <row r="1139" customFormat="false" ht="15" hidden="false" customHeight="false" outlineLevel="0" collapsed="false">
      <c r="A1139" s="17" t="n">
        <v>1135</v>
      </c>
      <c r="B1139" s="12" t="s">
        <v>1830</v>
      </c>
      <c r="C1139" s="12" t="s">
        <v>1769</v>
      </c>
      <c r="D1139" s="16" t="n">
        <v>0.0110225694444444</v>
      </c>
      <c r="E1139" s="15" t="n">
        <f aca="false">ROUND((D1139-$D$5)*86400,2)</f>
        <v>162.61</v>
      </c>
      <c r="F1139" s="17" t="n">
        <v>1134</v>
      </c>
      <c r="G1139" s="16" t="str">
        <f aca="false">IF(INDEX(選手一覧!$H$7:$H$2738,$F1139)="","",INDEX(選手一覧!$H$7:$H$2738,$F1139))</f>
        <v/>
      </c>
      <c r="H1139" s="17" t="str">
        <f aca="false">IF(INDEX(選手一覧!$I$7:$I$2738,$F1139)="","",INDEX(選手一覧!$I$7:$I$2738,$F1139))</f>
        <v/>
      </c>
      <c r="I1139" s="16" t="str">
        <f aca="false">IF(INDEX(選手一覧!$J$7:$J$2738,$F1139)="","",INDEX(選手一覧!$J$7:$J$2738,$F1139))</f>
        <v/>
      </c>
      <c r="J1139" s="17" t="str">
        <f aca="false">IF(INDEX(選手一覧!$K$7:$K$2738,$F1139)="","",INDEX(選手一覧!$K$7:$K$2738,$F1139))</f>
        <v/>
      </c>
    </row>
    <row r="1140" customFormat="false" ht="15" hidden="false" customHeight="false" outlineLevel="0" collapsed="false">
      <c r="A1140" s="17" t="n">
        <v>1136</v>
      </c>
      <c r="B1140" s="12" t="s">
        <v>1831</v>
      </c>
      <c r="C1140" s="12" t="s">
        <v>873</v>
      </c>
      <c r="D1140" s="16" t="n">
        <v>0.0110234953703704</v>
      </c>
      <c r="E1140" s="15" t="n">
        <f aca="false">ROUND((D1140-$D$5)*86400,2)</f>
        <v>162.69</v>
      </c>
      <c r="F1140" s="17" t="n">
        <v>1135</v>
      </c>
      <c r="G1140" s="16" t="str">
        <f aca="false">IF(INDEX(選手一覧!$H$7:$H$2738,$F1140)="","",INDEX(選手一覧!$H$7:$H$2738,$F1140))</f>
        <v/>
      </c>
      <c r="H1140" s="17" t="str">
        <f aca="false">IF(INDEX(選手一覧!$I$7:$I$2738,$F1140)="","",INDEX(選手一覧!$I$7:$I$2738,$F1140))</f>
        <v/>
      </c>
      <c r="I1140" s="16" t="n">
        <f aca="false">IF(INDEX(選手一覧!$J$7:$J$2738,$F1140)="","",INDEX(選手一覧!$J$7:$J$2738,$F1140))</f>
        <v>0.00287777777777778</v>
      </c>
      <c r="J1140" s="17" t="n">
        <f aca="false">IF(INDEX(選手一覧!$K$7:$K$2738,$F1140)="","",INDEX(選手一覧!$K$7:$K$2738,$F1140))</f>
        <v>751</v>
      </c>
    </row>
    <row r="1141" customFormat="false" ht="15" hidden="false" customHeight="false" outlineLevel="0" collapsed="false">
      <c r="A1141" s="17" t="n">
        <v>1137</v>
      </c>
      <c r="B1141" s="12" t="s">
        <v>1832</v>
      </c>
      <c r="C1141" s="12" t="s">
        <v>1833</v>
      </c>
      <c r="D1141" s="16" t="n">
        <v>0.011025</v>
      </c>
      <c r="E1141" s="15" t="n">
        <f aca="false">ROUND((D1141-$D$5)*86400,2)</f>
        <v>162.82</v>
      </c>
      <c r="F1141" s="17" t="n">
        <v>1136</v>
      </c>
      <c r="G1141" s="16" t="str">
        <f aca="false">IF(INDEX(選手一覧!$H$7:$H$2738,$F1141)="","",INDEX(選手一覧!$H$7:$H$2738,$F1141))</f>
        <v/>
      </c>
      <c r="H1141" s="17" t="str">
        <f aca="false">IF(INDEX(選手一覧!$I$7:$I$2738,$F1141)="","",INDEX(選手一覧!$I$7:$I$2738,$F1141))</f>
        <v/>
      </c>
      <c r="I1141" s="16" t="n">
        <f aca="false">IF(INDEX(選手一覧!$J$7:$J$2738,$F1141)="","",INDEX(選手一覧!$J$7:$J$2738,$F1141))</f>
        <v>0.00280960648148148</v>
      </c>
      <c r="J1141" s="17" t="n">
        <f aca="false">IF(INDEX(選手一覧!$K$7:$K$2738,$F1141)="","",INDEX(選手一覧!$K$7:$K$2738,$F1141))</f>
        <v>323</v>
      </c>
    </row>
    <row r="1142" customFormat="false" ht="15" hidden="false" customHeight="false" outlineLevel="0" collapsed="false">
      <c r="A1142" s="17" t="n">
        <v>1138</v>
      </c>
      <c r="B1142" s="12" t="s">
        <v>1834</v>
      </c>
      <c r="C1142" s="12" t="s">
        <v>157</v>
      </c>
      <c r="D1142" s="16" t="n">
        <v>0.0110253472222222</v>
      </c>
      <c r="E1142" s="15" t="n">
        <f aca="false">ROUND((D1142-$D$5)*86400,2)</f>
        <v>162.85</v>
      </c>
      <c r="F1142" s="17" t="n">
        <v>1137</v>
      </c>
      <c r="G1142" s="16" t="str">
        <f aca="false">IF(INDEX(選手一覧!$H$7:$H$2738,$F1142)="","",INDEX(選手一覧!$H$7:$H$2738,$F1142))</f>
        <v/>
      </c>
      <c r="H1142" s="17" t="str">
        <f aca="false">IF(INDEX(選手一覧!$I$7:$I$2738,$F1142)="","",INDEX(選手一覧!$I$7:$I$2738,$F1142))</f>
        <v/>
      </c>
      <c r="I1142" s="16" t="str">
        <f aca="false">IF(INDEX(選手一覧!$J$7:$J$2738,$F1142)="","",INDEX(選手一覧!$J$7:$J$2738,$F1142))</f>
        <v/>
      </c>
      <c r="J1142" s="17" t="str">
        <f aca="false">IF(INDEX(選手一覧!$K$7:$K$2738,$F1142)="","",INDEX(選手一覧!$K$7:$K$2738,$F1142))</f>
        <v/>
      </c>
    </row>
    <row r="1143" customFormat="false" ht="15" hidden="false" customHeight="false" outlineLevel="0" collapsed="false">
      <c r="A1143" s="17" t="n">
        <v>1139</v>
      </c>
      <c r="B1143" s="12" t="s">
        <v>1835</v>
      </c>
      <c r="C1143" s="12" t="s">
        <v>94</v>
      </c>
      <c r="D1143" s="16" t="n">
        <v>0.0110255787037037</v>
      </c>
      <c r="E1143" s="15" t="n">
        <f aca="false">ROUND((D1143-$D$5)*86400,2)</f>
        <v>162.87</v>
      </c>
      <c r="F1143" s="17" t="n">
        <v>1138</v>
      </c>
      <c r="G1143" s="16" t="str">
        <f aca="false">IF(INDEX(選手一覧!$H$7:$H$2738,$F1143)="","",INDEX(選手一覧!$H$7:$H$2738,$F1143))</f>
        <v/>
      </c>
      <c r="H1143" s="17" t="str">
        <f aca="false">IF(INDEX(選手一覧!$I$7:$I$2738,$F1143)="","",INDEX(選手一覧!$I$7:$I$2738,$F1143))</f>
        <v/>
      </c>
      <c r="I1143" s="16" t="str">
        <f aca="false">IF(INDEX(選手一覧!$J$7:$J$2738,$F1143)="","",INDEX(選手一覧!$J$7:$J$2738,$F1143))</f>
        <v/>
      </c>
      <c r="J1143" s="17" t="str">
        <f aca="false">IF(INDEX(選手一覧!$K$7:$K$2738,$F1143)="","",INDEX(選手一覧!$K$7:$K$2738,$F1143))</f>
        <v/>
      </c>
    </row>
    <row r="1144" customFormat="false" ht="15" hidden="false" customHeight="false" outlineLevel="0" collapsed="false">
      <c r="A1144" s="17" t="n">
        <v>1140</v>
      </c>
      <c r="B1144" s="12" t="s">
        <v>1836</v>
      </c>
      <c r="C1144" s="12" t="s">
        <v>698</v>
      </c>
      <c r="D1144" s="16" t="n">
        <v>0.0110256944444444</v>
      </c>
      <c r="E1144" s="15" t="n">
        <f aca="false">ROUND((D1144-$D$5)*86400,2)</f>
        <v>162.88</v>
      </c>
      <c r="F1144" s="17" t="n">
        <v>1139</v>
      </c>
      <c r="G1144" s="16" t="n">
        <f aca="false">IF(INDEX(選手一覧!$H$7:$H$2738,$F1144)="","",INDEX(選手一覧!$H$7:$H$2738,$F1144))</f>
        <v>0.00750810185185185</v>
      </c>
      <c r="H1144" s="17" t="n">
        <f aca="false">IF(INDEX(選手一覧!$I$7:$I$2738,$F1144)="","",INDEX(選手一覧!$I$7:$I$2738,$F1144))</f>
        <v>897</v>
      </c>
      <c r="I1144" s="16" t="n">
        <f aca="false">IF(INDEX(選手一覧!$J$7:$J$2738,$F1144)="","",INDEX(選手一覧!$J$7:$J$2738,$F1144))</f>
        <v>0.00280104166666667</v>
      </c>
      <c r="J1144" s="17" t="n">
        <f aca="false">IF(INDEX(選手一覧!$K$7:$K$2738,$F1144)="","",INDEX(選手一覧!$K$7:$K$2738,$F1144))</f>
        <v>287</v>
      </c>
    </row>
    <row r="1145" customFormat="false" ht="15" hidden="false" customHeight="false" outlineLevel="0" collapsed="false">
      <c r="A1145" s="17" t="n">
        <v>1141</v>
      </c>
      <c r="B1145" s="12" t="s">
        <v>1837</v>
      </c>
      <c r="C1145" s="12" t="s">
        <v>965</v>
      </c>
      <c r="D1145" s="16" t="n">
        <v>0.0110261574074074</v>
      </c>
      <c r="E1145" s="15" t="n">
        <f aca="false">ROUND((D1145-$D$5)*86400,2)</f>
        <v>162.92</v>
      </c>
      <c r="F1145" s="17" t="n">
        <v>1140</v>
      </c>
      <c r="G1145" s="16" t="n">
        <f aca="false">IF(INDEX(選手一覧!$H$7:$H$2738,$F1145)="","",INDEX(選手一覧!$H$7:$H$2738,$F1145))</f>
        <v>0.00692083333333333</v>
      </c>
      <c r="H1145" s="17" t="n">
        <f aca="false">IF(INDEX(選手一覧!$I$7:$I$2738,$F1145)="","",INDEX(選手一覧!$I$7:$I$2738,$F1145))</f>
        <v>257</v>
      </c>
      <c r="I1145" s="16" t="str">
        <f aca="false">IF(INDEX(選手一覧!$J$7:$J$2738,$F1145)="","",INDEX(選手一覧!$J$7:$J$2738,$F1145))</f>
        <v/>
      </c>
      <c r="J1145" s="17" t="str">
        <f aca="false">IF(INDEX(選手一覧!$K$7:$K$2738,$F1145)="","",INDEX(選手一覧!$K$7:$K$2738,$F1145))</f>
        <v/>
      </c>
    </row>
    <row r="1146" customFormat="false" ht="15" hidden="false" customHeight="false" outlineLevel="0" collapsed="false">
      <c r="A1146" s="17" t="n">
        <v>1142</v>
      </c>
      <c r="B1146" s="12" t="s">
        <v>1838</v>
      </c>
      <c r="C1146" s="12" t="s">
        <v>1839</v>
      </c>
      <c r="D1146" s="16" t="n">
        <v>0.0110261574074074</v>
      </c>
      <c r="E1146" s="15" t="n">
        <f aca="false">ROUND((D1146-$D$5)*86400,2)</f>
        <v>162.92</v>
      </c>
      <c r="F1146" s="17" t="n">
        <v>1141</v>
      </c>
      <c r="G1146" s="16" t="str">
        <f aca="false">IF(INDEX(選手一覧!$H$7:$H$2738,$F1146)="","",INDEX(選手一覧!$H$7:$H$2738,$F1146))</f>
        <v/>
      </c>
      <c r="H1146" s="17" t="str">
        <f aca="false">IF(INDEX(選手一覧!$I$7:$I$2738,$F1146)="","",INDEX(選手一覧!$I$7:$I$2738,$F1146))</f>
        <v/>
      </c>
      <c r="I1146" s="16" t="n">
        <f aca="false">IF(INDEX(選手一覧!$J$7:$J$2738,$F1146)="","",INDEX(選手一覧!$J$7:$J$2738,$F1146))</f>
        <v>0.00290949074074074</v>
      </c>
      <c r="J1146" s="17" t="n">
        <f aca="false">IF(INDEX(選手一覧!$K$7:$K$2738,$F1146)="","",INDEX(選手一覧!$K$7:$K$2738,$F1146))</f>
        <v>1013</v>
      </c>
    </row>
    <row r="1147" customFormat="false" ht="15" hidden="false" customHeight="false" outlineLevel="0" collapsed="false">
      <c r="A1147" s="17" t="n">
        <v>1143</v>
      </c>
      <c r="B1147" s="12" t="s">
        <v>1840</v>
      </c>
      <c r="C1147" s="12" t="s">
        <v>478</v>
      </c>
      <c r="D1147" s="16" t="n">
        <v>0.0110262731481482</v>
      </c>
      <c r="E1147" s="15" t="n">
        <f aca="false">ROUND((D1147-$D$5)*86400,2)</f>
        <v>162.93</v>
      </c>
      <c r="F1147" s="17" t="n">
        <v>1142</v>
      </c>
      <c r="G1147" s="16" t="n">
        <f aca="false">IF(INDEX(選手一覧!$H$7:$H$2738,$F1147)="","",INDEX(選手一覧!$H$7:$H$2738,$F1147))</f>
        <v>0.00707962962962963</v>
      </c>
      <c r="H1147" s="17" t="n">
        <f aca="false">IF(INDEX(選手一覧!$I$7:$I$2738,$F1147)="","",INDEX(選手一覧!$I$7:$I$2738,$F1147))</f>
        <v>427</v>
      </c>
      <c r="I1147" s="16" t="n">
        <f aca="false">IF(INDEX(選手一覧!$J$7:$J$2738,$F1147)="","",INDEX(選手一覧!$J$7:$J$2738,$F1147))</f>
        <v>0.00292569444444444</v>
      </c>
      <c r="J1147" s="17" t="n">
        <f aca="false">IF(INDEX(選手一覧!$K$7:$K$2738,$F1147)="","",INDEX(選手一覧!$K$7:$K$2738,$F1147))</f>
        <v>1155</v>
      </c>
    </row>
    <row r="1148" customFormat="false" ht="15" hidden="false" customHeight="false" outlineLevel="0" collapsed="false">
      <c r="A1148" s="17" t="n">
        <v>1144</v>
      </c>
      <c r="B1148" s="12" t="s">
        <v>1841</v>
      </c>
      <c r="C1148" s="12" t="s">
        <v>120</v>
      </c>
      <c r="D1148" s="16" t="n">
        <v>0.0110269675925926</v>
      </c>
      <c r="E1148" s="15" t="n">
        <f aca="false">ROUND((D1148-$D$5)*86400,2)</f>
        <v>162.99</v>
      </c>
      <c r="F1148" s="17" t="n">
        <v>1143</v>
      </c>
      <c r="G1148" s="16" t="str">
        <f aca="false">IF(INDEX(選手一覧!$H$7:$H$2738,$F1148)="","",INDEX(選手一覧!$H$7:$H$2738,$F1148))</f>
        <v/>
      </c>
      <c r="H1148" s="17" t="str">
        <f aca="false">IF(INDEX(選手一覧!$I$7:$I$2738,$F1148)="","",INDEX(選手一覧!$I$7:$I$2738,$F1148))</f>
        <v/>
      </c>
      <c r="I1148" s="16" t="n">
        <f aca="false">IF(INDEX(選手一覧!$J$7:$J$2738,$F1148)="","",INDEX(選手一覧!$J$7:$J$2738,$F1148))</f>
        <v>0.00283159722222222</v>
      </c>
      <c r="J1148" s="17" t="n">
        <f aca="false">IF(INDEX(選手一覧!$K$7:$K$2738,$F1148)="","",INDEX(選手一覧!$K$7:$K$2738,$F1148))</f>
        <v>435</v>
      </c>
    </row>
    <row r="1149" customFormat="false" ht="15" hidden="false" customHeight="false" outlineLevel="0" collapsed="false">
      <c r="A1149" s="17" t="n">
        <v>1145</v>
      </c>
      <c r="B1149" s="12" t="s">
        <v>1842</v>
      </c>
      <c r="C1149" s="12" t="s">
        <v>1843</v>
      </c>
      <c r="D1149" s="16" t="n">
        <v>0.0110271990740741</v>
      </c>
      <c r="E1149" s="15" t="n">
        <f aca="false">ROUND((D1149-$D$5)*86400,2)</f>
        <v>163.01</v>
      </c>
      <c r="F1149" s="17" t="n">
        <v>1144</v>
      </c>
      <c r="G1149" s="16" t="str">
        <f aca="false">IF(INDEX(選手一覧!$H$7:$H$2738,$F1149)="","",INDEX(選手一覧!$H$7:$H$2738,$F1149))</f>
        <v/>
      </c>
      <c r="H1149" s="17" t="str">
        <f aca="false">IF(INDEX(選手一覧!$I$7:$I$2738,$F1149)="","",INDEX(選手一覧!$I$7:$I$2738,$F1149))</f>
        <v/>
      </c>
      <c r="I1149" s="16" t="n">
        <f aca="false">IF(INDEX(選手一覧!$J$7:$J$2738,$F1149)="","",INDEX(選手一覧!$J$7:$J$2738,$F1149))</f>
        <v>0.00283611111111111</v>
      </c>
      <c r="J1149" s="17" t="n">
        <f aca="false">IF(INDEX(選手一覧!$K$7:$K$2738,$F1149)="","",INDEX(選手一覧!$K$7:$K$2738,$F1149))</f>
        <v>472</v>
      </c>
    </row>
    <row r="1150" customFormat="false" ht="15" hidden="false" customHeight="false" outlineLevel="0" collapsed="false">
      <c r="A1150" s="17" t="n">
        <v>1146</v>
      </c>
      <c r="B1150" s="12" t="s">
        <v>1844</v>
      </c>
      <c r="C1150" s="12" t="s">
        <v>1845</v>
      </c>
      <c r="D1150" s="16" t="n">
        <v>0.0110280092592593</v>
      </c>
      <c r="E1150" s="15" t="n">
        <f aca="false">ROUND((D1150-$D$5)*86400,2)</f>
        <v>163.08</v>
      </c>
      <c r="F1150" s="17" t="n">
        <v>1145</v>
      </c>
      <c r="G1150" s="16" t="str">
        <f aca="false">IF(INDEX(選手一覧!$H$7:$H$2738,$F1150)="","",INDEX(選手一覧!$H$7:$H$2738,$F1150))</f>
        <v/>
      </c>
      <c r="H1150" s="17" t="str">
        <f aca="false">IF(INDEX(選手一覧!$I$7:$I$2738,$F1150)="","",INDEX(選手一覧!$I$7:$I$2738,$F1150))</f>
        <v/>
      </c>
      <c r="I1150" s="16" t="n">
        <f aca="false">IF(INDEX(選手一覧!$J$7:$J$2738,$F1150)="","",INDEX(選手一覧!$J$7:$J$2738,$F1150))</f>
        <v>0.00285358796296296</v>
      </c>
      <c r="J1150" s="17" t="n">
        <f aca="false">IF(INDEX(選手一覧!$K$7:$K$2738,$F1150)="","",INDEX(選手一覧!$K$7:$K$2738,$F1150))</f>
        <v>591</v>
      </c>
    </row>
    <row r="1151" customFormat="false" ht="15" hidden="false" customHeight="false" outlineLevel="0" collapsed="false">
      <c r="A1151" s="17" t="n">
        <v>1147</v>
      </c>
      <c r="B1151" s="12" t="s">
        <v>1846</v>
      </c>
      <c r="C1151" s="12" t="s">
        <v>1847</v>
      </c>
      <c r="D1151" s="16" t="n">
        <v>0.0110283564814815</v>
      </c>
      <c r="E1151" s="15" t="n">
        <f aca="false">ROUND((D1151-$D$5)*86400,2)</f>
        <v>163.11</v>
      </c>
      <c r="F1151" s="17" t="n">
        <v>1146</v>
      </c>
      <c r="G1151" s="16" t="str">
        <f aca="false">IF(INDEX(選手一覧!$H$7:$H$2738,$F1151)="","",INDEX(選手一覧!$H$7:$H$2738,$F1151))</f>
        <v/>
      </c>
      <c r="H1151" s="17" t="str">
        <f aca="false">IF(INDEX(選手一覧!$I$7:$I$2738,$F1151)="","",INDEX(選手一覧!$I$7:$I$2738,$F1151))</f>
        <v/>
      </c>
      <c r="I1151" s="16" t="n">
        <f aca="false">IF(INDEX(選手一覧!$J$7:$J$2738,$F1151)="","",INDEX(選手一覧!$J$7:$J$2738,$F1151))</f>
        <v>0.00292141203703704</v>
      </c>
      <c r="J1151" s="17" t="n">
        <f aca="false">IF(INDEX(選手一覧!$K$7:$K$2738,$F1151)="","",INDEX(選手一覧!$K$7:$K$2738,$F1151))</f>
        <v>1111</v>
      </c>
    </row>
    <row r="1152" customFormat="false" ht="15" hidden="false" customHeight="false" outlineLevel="0" collapsed="false">
      <c r="A1152" s="17" t="n">
        <v>1148</v>
      </c>
      <c r="B1152" s="12" t="s">
        <v>1848</v>
      </c>
      <c r="C1152" s="12" t="s">
        <v>406</v>
      </c>
      <c r="D1152" s="16" t="n">
        <v>0.0110284722222222</v>
      </c>
      <c r="E1152" s="15" t="n">
        <f aca="false">ROUND((D1152-$D$5)*86400,2)</f>
        <v>163.12</v>
      </c>
      <c r="F1152" s="17" t="n">
        <v>1147</v>
      </c>
      <c r="G1152" s="16" t="n">
        <f aca="false">IF(INDEX(選手一覧!$H$7:$H$2738,$F1152)="","",INDEX(選手一覧!$H$7:$H$2738,$F1152))</f>
        <v>0.00709537037037037</v>
      </c>
      <c r="H1152" s="17" t="n">
        <f aca="false">IF(INDEX(選手一覧!$I$7:$I$2738,$F1152)="","",INDEX(選手一覧!$I$7:$I$2738,$F1152))</f>
        <v>443</v>
      </c>
      <c r="I1152" s="16" t="n">
        <f aca="false">IF(INDEX(選手一覧!$J$7:$J$2738,$F1152)="","",INDEX(選手一覧!$J$7:$J$2738,$F1152))</f>
        <v>0.00282037037037037</v>
      </c>
      <c r="J1152" s="17" t="n">
        <f aca="false">IF(INDEX(選手一覧!$K$7:$K$2738,$F1152)="","",INDEX(選手一覧!$K$7:$K$2738,$F1152))</f>
        <v>363</v>
      </c>
    </row>
    <row r="1153" customFormat="false" ht="15" hidden="false" customHeight="false" outlineLevel="0" collapsed="false">
      <c r="A1153" s="17" t="n">
        <v>1149</v>
      </c>
      <c r="B1153" s="12" t="s">
        <v>1849</v>
      </c>
      <c r="C1153" s="12" t="s">
        <v>63</v>
      </c>
      <c r="D1153" s="16" t="n">
        <v>0.0110288194444444</v>
      </c>
      <c r="E1153" s="15" t="n">
        <f aca="false">ROUND((D1153-$D$5)*86400,2)</f>
        <v>163.15</v>
      </c>
      <c r="F1153" s="17" t="n">
        <v>1148</v>
      </c>
      <c r="G1153" s="16" t="str">
        <f aca="false">IF(INDEX(選手一覧!$H$7:$H$2738,$F1153)="","",INDEX(選手一覧!$H$7:$H$2738,$F1153))</f>
        <v/>
      </c>
      <c r="H1153" s="17" t="str">
        <f aca="false">IF(INDEX(選手一覧!$I$7:$I$2738,$F1153)="","",INDEX(選手一覧!$I$7:$I$2738,$F1153))</f>
        <v/>
      </c>
      <c r="I1153" s="16" t="str">
        <f aca="false">IF(INDEX(選手一覧!$J$7:$J$2738,$F1153)="","",INDEX(選手一覧!$J$7:$J$2738,$F1153))</f>
        <v/>
      </c>
      <c r="J1153" s="17" t="str">
        <f aca="false">IF(INDEX(選手一覧!$K$7:$K$2738,$F1153)="","",INDEX(選手一覧!$K$7:$K$2738,$F1153))</f>
        <v/>
      </c>
    </row>
    <row r="1154" customFormat="false" ht="15" hidden="false" customHeight="false" outlineLevel="0" collapsed="false">
      <c r="A1154" s="17" t="n">
        <v>1150</v>
      </c>
      <c r="B1154" s="12" t="s">
        <v>1850</v>
      </c>
      <c r="C1154" s="12" t="s">
        <v>32</v>
      </c>
      <c r="D1154" s="16" t="n">
        <v>0.0110297453703704</v>
      </c>
      <c r="E1154" s="15" t="n">
        <f aca="false">ROUND((D1154-$D$5)*86400,2)</f>
        <v>163.23</v>
      </c>
      <c r="F1154" s="17" t="n">
        <v>1149</v>
      </c>
      <c r="G1154" s="16" t="str">
        <f aca="false">IF(INDEX(選手一覧!$H$7:$H$2738,$F1154)="","",INDEX(選手一覧!$H$7:$H$2738,$F1154))</f>
        <v/>
      </c>
      <c r="H1154" s="17" t="str">
        <f aca="false">IF(INDEX(選手一覧!$I$7:$I$2738,$F1154)="","",INDEX(選手一覧!$I$7:$I$2738,$F1154))</f>
        <v/>
      </c>
      <c r="I1154" s="16" t="str">
        <f aca="false">IF(INDEX(選手一覧!$J$7:$J$2738,$F1154)="","",INDEX(選手一覧!$J$7:$J$2738,$F1154))</f>
        <v/>
      </c>
      <c r="J1154" s="17" t="str">
        <f aca="false">IF(INDEX(選手一覧!$K$7:$K$2738,$F1154)="","",INDEX(選手一覧!$K$7:$K$2738,$F1154))</f>
        <v/>
      </c>
    </row>
    <row r="1155" customFormat="false" ht="15" hidden="false" customHeight="false" outlineLevel="0" collapsed="false">
      <c r="A1155" s="17" t="n">
        <v>1151</v>
      </c>
      <c r="B1155" s="12" t="s">
        <v>1851</v>
      </c>
      <c r="C1155" s="12" t="s">
        <v>1852</v>
      </c>
      <c r="D1155" s="16" t="n">
        <v>0.0110297453703704</v>
      </c>
      <c r="E1155" s="15" t="n">
        <f aca="false">ROUND((D1155-$D$5)*86400,2)</f>
        <v>163.23</v>
      </c>
      <c r="F1155" s="17" t="n">
        <v>1150</v>
      </c>
      <c r="G1155" s="16" t="n">
        <f aca="false">IF(INDEX(選手一覧!$H$7:$H$2738,$F1155)="","",INDEX(選手一覧!$H$7:$H$2738,$F1155))</f>
        <v>0.00723888888888889</v>
      </c>
      <c r="H1155" s="17" t="n">
        <f aca="false">IF(INDEX(選手一覧!$I$7:$I$2738,$F1155)="","",INDEX(選手一覧!$I$7:$I$2738,$F1155))</f>
        <v>586</v>
      </c>
      <c r="I1155" s="16" t="n">
        <f aca="false">IF(INDEX(選手一覧!$J$7:$J$2738,$F1155)="","",INDEX(選手一覧!$J$7:$J$2738,$F1155))</f>
        <v>0.00292025462962963</v>
      </c>
      <c r="J1155" s="17" t="n">
        <f aca="false">IF(INDEX(選手一覧!$K$7:$K$2738,$F1155)="","",INDEX(選手一覧!$K$7:$K$2738,$F1155))</f>
        <v>1100</v>
      </c>
    </row>
    <row r="1156" customFormat="false" ht="15" hidden="false" customHeight="false" outlineLevel="0" collapsed="false">
      <c r="A1156" s="17" t="n">
        <v>1152</v>
      </c>
      <c r="B1156" s="12" t="s">
        <v>1853</v>
      </c>
      <c r="C1156" s="12" t="s">
        <v>1231</v>
      </c>
      <c r="D1156" s="16" t="n">
        <v>0.011030787037037</v>
      </c>
      <c r="E1156" s="15" t="n">
        <f aca="false">ROUND((D1156-$D$5)*86400,2)</f>
        <v>163.32</v>
      </c>
      <c r="F1156" s="17" t="n">
        <v>1151</v>
      </c>
      <c r="G1156" s="16" t="n">
        <f aca="false">IF(INDEX(選手一覧!$H$7:$H$2738,$F1156)="","",INDEX(選手一覧!$H$7:$H$2738,$F1156))</f>
        <v>0.00740162037037037</v>
      </c>
      <c r="H1156" s="17" t="n">
        <f aca="false">IF(INDEX(選手一覧!$I$7:$I$2738,$F1156)="","",INDEX(選手一覧!$I$7:$I$2738,$F1156))</f>
        <v>773</v>
      </c>
      <c r="I1156" s="16" t="str">
        <f aca="false">IF(INDEX(選手一覧!$J$7:$J$2738,$F1156)="","",INDEX(選手一覧!$J$7:$J$2738,$F1156))</f>
        <v/>
      </c>
      <c r="J1156" s="17" t="str">
        <f aca="false">IF(INDEX(選手一覧!$K$7:$K$2738,$F1156)="","",INDEX(選手一覧!$K$7:$K$2738,$F1156))</f>
        <v/>
      </c>
    </row>
    <row r="1157" customFormat="false" ht="15" hidden="false" customHeight="false" outlineLevel="0" collapsed="false">
      <c r="A1157" s="17" t="n">
        <v>1153</v>
      </c>
      <c r="B1157" s="12" t="s">
        <v>1854</v>
      </c>
      <c r="C1157" s="12" t="s">
        <v>1855</v>
      </c>
      <c r="D1157" s="16" t="n">
        <v>0.011030787037037</v>
      </c>
      <c r="E1157" s="15" t="n">
        <f aca="false">ROUND((D1157-$D$5)*86400,2)</f>
        <v>163.32</v>
      </c>
      <c r="F1157" s="17" t="n">
        <v>1152</v>
      </c>
      <c r="G1157" s="16" t="str">
        <f aca="false">IF(INDEX(選手一覧!$H$7:$H$2738,$F1157)="","",INDEX(選手一覧!$H$7:$H$2738,$F1157))</f>
        <v/>
      </c>
      <c r="H1157" s="17" t="str">
        <f aca="false">IF(INDEX(選手一覧!$I$7:$I$2738,$F1157)="","",INDEX(選手一覧!$I$7:$I$2738,$F1157))</f>
        <v/>
      </c>
      <c r="I1157" s="16" t="str">
        <f aca="false">IF(INDEX(選手一覧!$J$7:$J$2738,$F1157)="","",INDEX(選手一覧!$J$7:$J$2738,$F1157))</f>
        <v/>
      </c>
      <c r="J1157" s="17" t="str">
        <f aca="false">IF(INDEX(選手一覧!$K$7:$K$2738,$F1157)="","",INDEX(選手一覧!$K$7:$K$2738,$F1157))</f>
        <v/>
      </c>
    </row>
    <row r="1158" customFormat="false" ht="15" hidden="false" customHeight="false" outlineLevel="0" collapsed="false">
      <c r="A1158" s="17" t="n">
        <v>1154</v>
      </c>
      <c r="B1158" s="12" t="s">
        <v>1856</v>
      </c>
      <c r="C1158" s="12" t="s">
        <v>1363</v>
      </c>
      <c r="D1158" s="16" t="n">
        <v>0.0110311342592593</v>
      </c>
      <c r="E1158" s="15" t="n">
        <f aca="false">ROUND((D1158-$D$5)*86400,2)</f>
        <v>163.35</v>
      </c>
      <c r="F1158" s="17" t="n">
        <v>1153</v>
      </c>
      <c r="G1158" s="16" t="n">
        <f aca="false">IF(INDEX(選手一覧!$H$7:$H$2738,$F1158)="","",INDEX(選手一覧!$H$7:$H$2738,$F1158))</f>
        <v>0.00716990740740741</v>
      </c>
      <c r="H1158" s="17" t="n">
        <f aca="false">IF(INDEX(選手一覧!$I$7:$I$2738,$F1158)="","",INDEX(選手一覧!$I$7:$I$2738,$F1158))</f>
        <v>509</v>
      </c>
      <c r="I1158" s="16" t="str">
        <f aca="false">IF(INDEX(選手一覧!$J$7:$J$2738,$F1158)="","",INDEX(選手一覧!$J$7:$J$2738,$F1158))</f>
        <v/>
      </c>
      <c r="J1158" s="17" t="str">
        <f aca="false">IF(INDEX(選手一覧!$K$7:$K$2738,$F1158)="","",INDEX(選手一覧!$K$7:$K$2738,$F1158))</f>
        <v/>
      </c>
    </row>
    <row r="1159" customFormat="false" ht="15" hidden="false" customHeight="false" outlineLevel="0" collapsed="false">
      <c r="A1159" s="17" t="n">
        <v>1155</v>
      </c>
      <c r="B1159" s="12" t="s">
        <v>1858</v>
      </c>
      <c r="C1159" s="12" t="s">
        <v>1859</v>
      </c>
      <c r="D1159" s="16" t="n">
        <v>0.0110318287037037</v>
      </c>
      <c r="E1159" s="15" t="n">
        <f aca="false">ROUND((D1159-$D$5)*86400,2)</f>
        <v>163.41</v>
      </c>
      <c r="F1159" s="17" t="n">
        <v>1154</v>
      </c>
      <c r="G1159" s="16" t="str">
        <f aca="false">IF(INDEX(選手一覧!$H$7:$H$2738,$F1159)="","",INDEX(選手一覧!$H$7:$H$2738,$F1159))</f>
        <v/>
      </c>
      <c r="H1159" s="17" t="str">
        <f aca="false">IF(INDEX(選手一覧!$I$7:$I$2738,$F1159)="","",INDEX(選手一覧!$I$7:$I$2738,$F1159))</f>
        <v/>
      </c>
      <c r="I1159" s="16" t="n">
        <f aca="false">IF(INDEX(選手一覧!$J$7:$J$2738,$F1159)="","",INDEX(選手一覧!$J$7:$J$2738,$F1159))</f>
        <v>0.0027875</v>
      </c>
      <c r="J1159" s="17" t="n">
        <f aca="false">IF(INDEX(選手一覧!$K$7:$K$2738,$F1159)="","",INDEX(選手一覧!$K$7:$K$2738,$F1159))</f>
        <v>232</v>
      </c>
    </row>
    <row r="1160" customFormat="false" ht="15" hidden="false" customHeight="false" outlineLevel="0" collapsed="false">
      <c r="A1160" s="17" t="n">
        <v>1156</v>
      </c>
      <c r="B1160" s="12" t="s">
        <v>1860</v>
      </c>
      <c r="C1160" s="12" t="s">
        <v>1861</v>
      </c>
      <c r="D1160" s="16" t="n">
        <v>0.0110321759259259</v>
      </c>
      <c r="E1160" s="15" t="n">
        <f aca="false">ROUND((D1160-$D$5)*86400,2)</f>
        <v>163.44</v>
      </c>
      <c r="F1160" s="17" t="n">
        <v>1155</v>
      </c>
      <c r="G1160" s="16" t="str">
        <f aca="false">IF(INDEX(選手一覧!$H$7:$H$2738,$F1160)="","",INDEX(選手一覧!$H$7:$H$2738,$F1160))</f>
        <v/>
      </c>
      <c r="H1160" s="17" t="str">
        <f aca="false">IF(INDEX(選手一覧!$I$7:$I$2738,$F1160)="","",INDEX(選手一覧!$I$7:$I$2738,$F1160))</f>
        <v/>
      </c>
      <c r="I1160" s="16" t="n">
        <f aca="false">IF(INDEX(選手一覧!$J$7:$J$2738,$F1160)="","",INDEX(選手一覧!$J$7:$J$2738,$F1160))</f>
        <v>0.00280162037037037</v>
      </c>
      <c r="J1160" s="17" t="n">
        <f aca="false">IF(INDEX(選手一覧!$K$7:$K$2738,$F1160)="","",INDEX(選手一覧!$K$7:$K$2738,$F1160))</f>
        <v>288</v>
      </c>
    </row>
    <row r="1161" customFormat="false" ht="15" hidden="false" customHeight="false" outlineLevel="0" collapsed="false">
      <c r="A1161" s="17" t="n">
        <v>1157</v>
      </c>
      <c r="B1161" s="12" t="s">
        <v>1862</v>
      </c>
      <c r="C1161" s="12" t="s">
        <v>1476</v>
      </c>
      <c r="D1161" s="16" t="n">
        <v>0.0110321759259259</v>
      </c>
      <c r="E1161" s="15" t="n">
        <f aca="false">ROUND((D1161-$D$5)*86400,2)</f>
        <v>163.44</v>
      </c>
      <c r="F1161" s="17" t="n">
        <v>1156</v>
      </c>
      <c r="G1161" s="16" t="n">
        <f aca="false">IF(INDEX(選手一覧!$H$7:$H$2738,$F1161)="","",INDEX(選手一覧!$H$7:$H$2738,$F1161))</f>
        <v>0.00668368055555556</v>
      </c>
      <c r="H1161" s="17" t="n">
        <f aca="false">IF(INDEX(選手一覧!$I$7:$I$2738,$F1161)="","",INDEX(選手一覧!$I$7:$I$2738,$F1161))</f>
        <v>100</v>
      </c>
      <c r="I1161" s="16" t="str">
        <f aca="false">IF(INDEX(選手一覧!$J$7:$J$2738,$F1161)="","",INDEX(選手一覧!$J$7:$J$2738,$F1161))</f>
        <v/>
      </c>
      <c r="J1161" s="17" t="str">
        <f aca="false">IF(INDEX(選手一覧!$K$7:$K$2738,$F1161)="","",INDEX(選手一覧!$K$7:$K$2738,$F1161))</f>
        <v/>
      </c>
    </row>
    <row r="1162" customFormat="false" ht="15" hidden="false" customHeight="false" outlineLevel="0" collapsed="false">
      <c r="A1162" s="17" t="n">
        <v>1158</v>
      </c>
      <c r="B1162" s="12" t="s">
        <v>1864</v>
      </c>
      <c r="C1162" s="12" t="s">
        <v>690</v>
      </c>
      <c r="D1162" s="16" t="n">
        <v>0.0110333333333333</v>
      </c>
      <c r="E1162" s="15" t="n">
        <f aca="false">ROUND((D1162-$D$5)*86400,2)</f>
        <v>163.54</v>
      </c>
      <c r="F1162" s="17" t="n">
        <v>1157</v>
      </c>
      <c r="G1162" s="16" t="str">
        <f aca="false">IF(INDEX(選手一覧!$H$7:$H$2738,$F1162)="","",INDEX(選手一覧!$H$7:$H$2738,$F1162))</f>
        <v/>
      </c>
      <c r="H1162" s="17" t="str">
        <f aca="false">IF(INDEX(選手一覧!$I$7:$I$2738,$F1162)="","",INDEX(選手一覧!$I$7:$I$2738,$F1162))</f>
        <v/>
      </c>
      <c r="I1162" s="16" t="str">
        <f aca="false">IF(INDEX(選手一覧!$J$7:$J$2738,$F1162)="","",INDEX(選手一覧!$J$7:$J$2738,$F1162))</f>
        <v/>
      </c>
      <c r="J1162" s="17" t="str">
        <f aca="false">IF(INDEX(選手一覧!$K$7:$K$2738,$F1162)="","",INDEX(選手一覧!$K$7:$K$2738,$F1162))</f>
        <v/>
      </c>
    </row>
    <row r="1163" customFormat="false" ht="15" hidden="false" customHeight="false" outlineLevel="0" collapsed="false">
      <c r="A1163" s="17" t="n">
        <v>1159</v>
      </c>
      <c r="B1163" s="12" t="s">
        <v>1866</v>
      </c>
      <c r="C1163" s="12" t="s">
        <v>193</v>
      </c>
      <c r="D1163" s="16" t="n">
        <v>0.0110337962962963</v>
      </c>
      <c r="E1163" s="15" t="n">
        <f aca="false">ROUND((D1163-$D$5)*86400,2)</f>
        <v>163.58</v>
      </c>
      <c r="F1163" s="17" t="n">
        <v>1158</v>
      </c>
      <c r="G1163" s="16" t="str">
        <f aca="false">IF(INDEX(選手一覧!$H$7:$H$2738,$F1163)="","",INDEX(選手一覧!$H$7:$H$2738,$F1163))</f>
        <v/>
      </c>
      <c r="H1163" s="17" t="str">
        <f aca="false">IF(INDEX(選手一覧!$I$7:$I$2738,$F1163)="","",INDEX(選手一覧!$I$7:$I$2738,$F1163))</f>
        <v/>
      </c>
      <c r="I1163" s="16" t="str">
        <f aca="false">IF(INDEX(選手一覧!$J$7:$J$2738,$F1163)="","",INDEX(選手一覧!$J$7:$J$2738,$F1163))</f>
        <v/>
      </c>
      <c r="J1163" s="17" t="str">
        <f aca="false">IF(INDEX(選手一覧!$K$7:$K$2738,$F1163)="","",INDEX(選手一覧!$K$7:$K$2738,$F1163))</f>
        <v/>
      </c>
    </row>
    <row r="1164" customFormat="false" ht="15" hidden="false" customHeight="false" outlineLevel="0" collapsed="false">
      <c r="A1164" s="17" t="n">
        <v>1160</v>
      </c>
      <c r="B1164" s="12" t="s">
        <v>1867</v>
      </c>
      <c r="C1164" s="12" t="s">
        <v>157</v>
      </c>
      <c r="D1164" s="16" t="n">
        <v>0.0110341435185185</v>
      </c>
      <c r="E1164" s="15" t="n">
        <f aca="false">ROUND((D1164-$D$5)*86400,2)</f>
        <v>163.61</v>
      </c>
      <c r="F1164" s="17" t="n">
        <v>1159</v>
      </c>
      <c r="G1164" s="16" t="str">
        <f aca="false">IF(INDEX(選手一覧!$H$7:$H$2738,$F1164)="","",INDEX(選手一覧!$H$7:$H$2738,$F1164))</f>
        <v/>
      </c>
      <c r="H1164" s="17" t="str">
        <f aca="false">IF(INDEX(選手一覧!$I$7:$I$2738,$F1164)="","",INDEX(選手一覧!$I$7:$I$2738,$F1164))</f>
        <v/>
      </c>
      <c r="I1164" s="16" t="n">
        <f aca="false">IF(INDEX(選手一覧!$J$7:$J$2738,$F1164)="","",INDEX(選手一覧!$J$7:$J$2738,$F1164))</f>
        <v>0.00287893518518519</v>
      </c>
      <c r="J1164" s="17" t="n">
        <f aca="false">IF(INDEX(選手一覧!$K$7:$K$2738,$F1164)="","",INDEX(選手一覧!$K$7:$K$2738,$F1164))</f>
        <v>761</v>
      </c>
    </row>
    <row r="1165" customFormat="false" ht="15" hidden="false" customHeight="false" outlineLevel="0" collapsed="false">
      <c r="A1165" s="17" t="n">
        <v>1161</v>
      </c>
      <c r="B1165" s="12" t="s">
        <v>1868</v>
      </c>
      <c r="C1165" s="12" t="s">
        <v>1869</v>
      </c>
      <c r="D1165" s="16" t="n">
        <v>0.011034837962963</v>
      </c>
      <c r="E1165" s="15" t="n">
        <f aca="false">ROUND((D1165-$D$5)*86400,2)</f>
        <v>163.67</v>
      </c>
      <c r="F1165" s="17" t="n">
        <v>1160</v>
      </c>
      <c r="G1165" s="16" t="str">
        <f aca="false">IF(INDEX(選手一覧!$H$7:$H$2738,$F1165)="","",INDEX(選手一覧!$H$7:$H$2738,$F1165))</f>
        <v/>
      </c>
      <c r="H1165" s="17" t="str">
        <f aca="false">IF(INDEX(選手一覧!$I$7:$I$2738,$F1165)="","",INDEX(選手一覧!$I$7:$I$2738,$F1165))</f>
        <v/>
      </c>
      <c r="I1165" s="16" t="str">
        <f aca="false">IF(INDEX(選手一覧!$J$7:$J$2738,$F1165)="","",INDEX(選手一覧!$J$7:$J$2738,$F1165))</f>
        <v/>
      </c>
      <c r="J1165" s="17" t="str">
        <f aca="false">IF(INDEX(選手一覧!$K$7:$K$2738,$F1165)="","",INDEX(選手一覧!$K$7:$K$2738,$F1165))</f>
        <v/>
      </c>
    </row>
    <row r="1166" customFormat="false" ht="15" hidden="false" customHeight="false" outlineLevel="0" collapsed="false">
      <c r="A1166" s="17" t="n">
        <v>1162</v>
      </c>
      <c r="B1166" s="12" t="s">
        <v>1870</v>
      </c>
      <c r="C1166" s="12" t="s">
        <v>63</v>
      </c>
      <c r="D1166" s="16" t="n">
        <v>0.0110350694444444</v>
      </c>
      <c r="E1166" s="15" t="n">
        <f aca="false">ROUND((D1166-$D$5)*86400,2)</f>
        <v>163.69</v>
      </c>
      <c r="F1166" s="17" t="n">
        <v>1161</v>
      </c>
      <c r="G1166" s="16" t="str">
        <f aca="false">IF(INDEX(選手一覧!$H$7:$H$2738,$F1166)="","",INDEX(選手一覧!$H$7:$H$2738,$F1166))</f>
        <v/>
      </c>
      <c r="H1166" s="17" t="str">
        <f aca="false">IF(INDEX(選手一覧!$I$7:$I$2738,$F1166)="","",INDEX(選手一覧!$I$7:$I$2738,$F1166))</f>
        <v/>
      </c>
      <c r="I1166" s="16" t="str">
        <f aca="false">IF(INDEX(選手一覧!$J$7:$J$2738,$F1166)="","",INDEX(選手一覧!$J$7:$J$2738,$F1166))</f>
        <v/>
      </c>
      <c r="J1166" s="17" t="str">
        <f aca="false">IF(INDEX(選手一覧!$K$7:$K$2738,$F1166)="","",INDEX(選手一覧!$K$7:$K$2738,$F1166))</f>
        <v/>
      </c>
    </row>
    <row r="1167" customFormat="false" ht="15" hidden="false" customHeight="false" outlineLevel="0" collapsed="false">
      <c r="A1167" s="17" t="n">
        <v>1163</v>
      </c>
      <c r="B1167" s="12" t="s">
        <v>1871</v>
      </c>
      <c r="C1167" s="12" t="s">
        <v>65</v>
      </c>
      <c r="D1167" s="16" t="n">
        <v>0.0110351851851852</v>
      </c>
      <c r="E1167" s="15" t="n">
        <f aca="false">ROUND((D1167-$D$5)*86400,2)</f>
        <v>163.7</v>
      </c>
      <c r="F1167" s="17" t="n">
        <v>1162</v>
      </c>
      <c r="G1167" s="16" t="str">
        <f aca="false">IF(INDEX(選手一覧!$H$7:$H$2738,$F1167)="","",INDEX(選手一覧!$H$7:$H$2738,$F1167))</f>
        <v/>
      </c>
      <c r="H1167" s="17" t="str">
        <f aca="false">IF(INDEX(選手一覧!$I$7:$I$2738,$F1167)="","",INDEX(選手一覧!$I$7:$I$2738,$F1167))</f>
        <v/>
      </c>
      <c r="I1167" s="16" t="n">
        <f aca="false">IF(INDEX(選手一覧!$J$7:$J$2738,$F1167)="","",INDEX(選手一覧!$J$7:$J$2738,$F1167))</f>
        <v>0.00295104166666667</v>
      </c>
      <c r="J1167" s="17" t="n">
        <f aca="false">IF(INDEX(選手一覧!$K$7:$K$2738,$F1167)="","",INDEX(選手一覧!$K$7:$K$2738,$F1167))</f>
        <v>1244</v>
      </c>
    </row>
    <row r="1168" customFormat="false" ht="15" hidden="false" customHeight="false" outlineLevel="0" collapsed="false">
      <c r="A1168" s="17" t="n">
        <v>1164</v>
      </c>
      <c r="B1168" s="12" t="s">
        <v>1872</v>
      </c>
      <c r="C1168" s="12" t="s">
        <v>478</v>
      </c>
      <c r="D1168" s="16" t="n">
        <v>0.0110353009259259</v>
      </c>
      <c r="E1168" s="15" t="n">
        <f aca="false">ROUND((D1168-$D$5)*86400,2)</f>
        <v>163.71</v>
      </c>
      <c r="F1168" s="17" t="n">
        <v>1163</v>
      </c>
      <c r="G1168" s="16" t="str">
        <f aca="false">IF(INDEX(選手一覧!$H$7:$H$2738,$F1168)="","",INDEX(選手一覧!$H$7:$H$2738,$F1168))</f>
        <v/>
      </c>
      <c r="H1168" s="17" t="str">
        <f aca="false">IF(INDEX(選手一覧!$I$7:$I$2738,$F1168)="","",INDEX(選手一覧!$I$7:$I$2738,$F1168))</f>
        <v/>
      </c>
      <c r="I1168" s="16" t="n">
        <f aca="false">IF(INDEX(選手一覧!$J$7:$J$2738,$F1168)="","",INDEX(選手一覧!$J$7:$J$2738,$F1168))</f>
        <v>0.00283645833333333</v>
      </c>
      <c r="J1168" s="17" t="n">
        <f aca="false">IF(INDEX(選手一覧!$K$7:$K$2738,$F1168)="","",INDEX(選手一覧!$K$7:$K$2738,$F1168))</f>
        <v>474</v>
      </c>
    </row>
    <row r="1169" customFormat="false" ht="15" hidden="false" customHeight="false" outlineLevel="0" collapsed="false">
      <c r="A1169" s="17" t="n">
        <v>1165</v>
      </c>
      <c r="B1169" s="12" t="s">
        <v>1873</v>
      </c>
      <c r="C1169" s="12" t="s">
        <v>1874</v>
      </c>
      <c r="D1169" s="16" t="n">
        <v>0.0110355324074074</v>
      </c>
      <c r="E1169" s="15" t="n">
        <f aca="false">ROUND((D1169-$D$5)*86400,2)</f>
        <v>163.73</v>
      </c>
      <c r="F1169" s="17" t="n">
        <v>1164</v>
      </c>
      <c r="G1169" s="16" t="str">
        <f aca="false">IF(INDEX(選手一覧!$H$7:$H$2738,$F1169)="","",INDEX(選手一覧!$H$7:$H$2738,$F1169))</f>
        <v/>
      </c>
      <c r="H1169" s="17" t="str">
        <f aca="false">IF(INDEX(選手一覧!$I$7:$I$2738,$F1169)="","",INDEX(選手一覧!$I$7:$I$2738,$F1169))</f>
        <v/>
      </c>
      <c r="I1169" s="16" t="str">
        <f aca="false">IF(INDEX(選手一覧!$J$7:$J$2738,$F1169)="","",INDEX(選手一覧!$J$7:$J$2738,$F1169))</f>
        <v/>
      </c>
      <c r="J1169" s="17" t="str">
        <f aca="false">IF(INDEX(選手一覧!$K$7:$K$2738,$F1169)="","",INDEX(選手一覧!$K$7:$K$2738,$F1169))</f>
        <v/>
      </c>
    </row>
    <row r="1170" customFormat="false" ht="15" hidden="false" customHeight="false" outlineLevel="0" collapsed="false">
      <c r="A1170" s="17" t="n">
        <v>1166</v>
      </c>
      <c r="B1170" s="12" t="s">
        <v>1875</v>
      </c>
      <c r="C1170" s="12" t="s">
        <v>65</v>
      </c>
      <c r="D1170" s="16" t="n">
        <v>0.0110356481481482</v>
      </c>
      <c r="E1170" s="15" t="n">
        <f aca="false">ROUND((D1170-$D$5)*86400,2)</f>
        <v>163.74</v>
      </c>
      <c r="F1170" s="17" t="n">
        <v>1165</v>
      </c>
      <c r="G1170" s="16" t="str">
        <f aca="false">IF(INDEX(選手一覧!$H$7:$H$2738,$F1170)="","",INDEX(選手一覧!$H$7:$H$2738,$F1170))</f>
        <v/>
      </c>
      <c r="H1170" s="17" t="str">
        <f aca="false">IF(INDEX(選手一覧!$I$7:$I$2738,$F1170)="","",INDEX(選手一覧!$I$7:$I$2738,$F1170))</f>
        <v/>
      </c>
      <c r="I1170" s="16" t="str">
        <f aca="false">IF(INDEX(選手一覧!$J$7:$J$2738,$F1170)="","",INDEX(選手一覧!$J$7:$J$2738,$F1170))</f>
        <v/>
      </c>
      <c r="J1170" s="17" t="str">
        <f aca="false">IF(INDEX(選手一覧!$K$7:$K$2738,$F1170)="","",INDEX(選手一覧!$K$7:$K$2738,$F1170))</f>
        <v/>
      </c>
    </row>
    <row r="1171" customFormat="false" ht="15" hidden="false" customHeight="false" outlineLevel="0" collapsed="false">
      <c r="A1171" s="17" t="n">
        <v>1167</v>
      </c>
      <c r="B1171" s="12" t="s">
        <v>1876</v>
      </c>
      <c r="C1171" s="12" t="s">
        <v>1877</v>
      </c>
      <c r="D1171" s="16" t="n">
        <v>0.0110357638888889</v>
      </c>
      <c r="E1171" s="15" t="n">
        <f aca="false">ROUND((D1171-$D$5)*86400,2)</f>
        <v>163.75</v>
      </c>
      <c r="F1171" s="17" t="n">
        <v>1166</v>
      </c>
      <c r="G1171" s="16" t="str">
        <f aca="false">IF(INDEX(選手一覧!$H$7:$H$2738,$F1171)="","",INDEX(選手一覧!$H$7:$H$2738,$F1171))</f>
        <v/>
      </c>
      <c r="H1171" s="17" t="str">
        <f aca="false">IF(INDEX(選手一覧!$I$7:$I$2738,$F1171)="","",INDEX(選手一覧!$I$7:$I$2738,$F1171))</f>
        <v/>
      </c>
      <c r="I1171" s="16" t="str">
        <f aca="false">IF(INDEX(選手一覧!$J$7:$J$2738,$F1171)="","",INDEX(選手一覧!$J$7:$J$2738,$F1171))</f>
        <v/>
      </c>
      <c r="J1171" s="17" t="str">
        <f aca="false">IF(INDEX(選手一覧!$K$7:$K$2738,$F1171)="","",INDEX(選手一覧!$K$7:$K$2738,$F1171))</f>
        <v/>
      </c>
    </row>
    <row r="1172" customFormat="false" ht="15" hidden="false" customHeight="false" outlineLevel="0" collapsed="false">
      <c r="A1172" s="17" t="n">
        <v>1168</v>
      </c>
      <c r="B1172" s="12" t="s">
        <v>1878</v>
      </c>
      <c r="C1172" s="12" t="s">
        <v>1879</v>
      </c>
      <c r="D1172" s="16" t="n">
        <v>0.0110362268518519</v>
      </c>
      <c r="E1172" s="15" t="n">
        <f aca="false">ROUND((D1172-$D$5)*86400,2)</f>
        <v>163.79</v>
      </c>
      <c r="F1172" s="17" t="n">
        <v>1167</v>
      </c>
      <c r="G1172" s="16" t="str">
        <f aca="false">IF(INDEX(選手一覧!$H$7:$H$2738,$F1172)="","",INDEX(選手一覧!$H$7:$H$2738,$F1172))</f>
        <v/>
      </c>
      <c r="H1172" s="17" t="str">
        <f aca="false">IF(INDEX(選手一覧!$I$7:$I$2738,$F1172)="","",INDEX(選手一覧!$I$7:$I$2738,$F1172))</f>
        <v/>
      </c>
      <c r="I1172" s="16" t="str">
        <f aca="false">IF(INDEX(選手一覧!$J$7:$J$2738,$F1172)="","",INDEX(選手一覧!$J$7:$J$2738,$F1172))</f>
        <v/>
      </c>
      <c r="J1172" s="17" t="str">
        <f aca="false">IF(INDEX(選手一覧!$K$7:$K$2738,$F1172)="","",INDEX(選手一覧!$K$7:$K$2738,$F1172))</f>
        <v/>
      </c>
    </row>
    <row r="1173" customFormat="false" ht="15" hidden="false" customHeight="false" outlineLevel="0" collapsed="false">
      <c r="A1173" s="17" t="n">
        <v>1169</v>
      </c>
      <c r="B1173" s="12" t="s">
        <v>1880</v>
      </c>
      <c r="C1173" s="12" t="s">
        <v>389</v>
      </c>
      <c r="D1173" s="16" t="n">
        <v>0.0110368055555556</v>
      </c>
      <c r="E1173" s="15" t="n">
        <f aca="false">ROUND((D1173-$D$5)*86400,2)</f>
        <v>163.84</v>
      </c>
      <c r="F1173" s="17" t="n">
        <v>1168</v>
      </c>
      <c r="G1173" s="16" t="str">
        <f aca="false">IF(INDEX(選手一覧!$H$7:$H$2738,$F1173)="","",INDEX(選手一覧!$H$7:$H$2738,$F1173))</f>
        <v/>
      </c>
      <c r="H1173" s="17" t="str">
        <f aca="false">IF(INDEX(選手一覧!$I$7:$I$2738,$F1173)="","",INDEX(選手一覧!$I$7:$I$2738,$F1173))</f>
        <v/>
      </c>
      <c r="I1173" s="16" t="str">
        <f aca="false">IF(INDEX(選手一覧!$J$7:$J$2738,$F1173)="","",INDEX(選手一覧!$J$7:$J$2738,$F1173))</f>
        <v/>
      </c>
      <c r="J1173" s="17" t="str">
        <f aca="false">IF(INDEX(選手一覧!$K$7:$K$2738,$F1173)="","",INDEX(選手一覧!$K$7:$K$2738,$F1173))</f>
        <v/>
      </c>
    </row>
    <row r="1174" customFormat="false" ht="15" hidden="false" customHeight="false" outlineLevel="0" collapsed="false">
      <c r="A1174" s="17" t="n">
        <v>1170</v>
      </c>
      <c r="B1174" s="12" t="s">
        <v>1881</v>
      </c>
      <c r="C1174" s="12" t="s">
        <v>32</v>
      </c>
      <c r="D1174" s="16" t="n">
        <v>0.011037037037037</v>
      </c>
      <c r="E1174" s="15" t="n">
        <f aca="false">ROUND((D1174-$D$5)*86400,2)</f>
        <v>163.86</v>
      </c>
      <c r="F1174" s="17" t="n">
        <v>1169</v>
      </c>
      <c r="G1174" s="16" t="str">
        <f aca="false">IF(INDEX(選手一覧!$H$7:$H$2738,$F1174)="","",INDEX(選手一覧!$H$7:$H$2738,$F1174))</f>
        <v/>
      </c>
      <c r="H1174" s="17" t="str">
        <f aca="false">IF(INDEX(選手一覧!$I$7:$I$2738,$F1174)="","",INDEX(選手一覧!$I$7:$I$2738,$F1174))</f>
        <v/>
      </c>
      <c r="I1174" s="16" t="str">
        <f aca="false">IF(INDEX(選手一覧!$J$7:$J$2738,$F1174)="","",INDEX(選手一覧!$J$7:$J$2738,$F1174))</f>
        <v/>
      </c>
      <c r="J1174" s="17" t="str">
        <f aca="false">IF(INDEX(選手一覧!$K$7:$K$2738,$F1174)="","",INDEX(選手一覧!$K$7:$K$2738,$F1174))</f>
        <v/>
      </c>
    </row>
    <row r="1175" customFormat="false" ht="15" hidden="false" customHeight="false" outlineLevel="0" collapsed="false">
      <c r="A1175" s="17" t="n">
        <v>1171</v>
      </c>
      <c r="B1175" s="12" t="s">
        <v>1882</v>
      </c>
      <c r="C1175" s="12" t="s">
        <v>1883</v>
      </c>
      <c r="D1175" s="16" t="n">
        <v>0.0110373842592593</v>
      </c>
      <c r="E1175" s="15" t="n">
        <f aca="false">ROUND((D1175-$D$5)*86400,2)</f>
        <v>163.89</v>
      </c>
      <c r="F1175" s="17" t="n">
        <v>1170</v>
      </c>
      <c r="G1175" s="16" t="n">
        <f aca="false">IF(INDEX(選手一覧!$H$7:$H$2738,$F1175)="","",INDEX(選手一覧!$H$7:$H$2738,$F1175))</f>
        <v>0.00721666666666667</v>
      </c>
      <c r="H1175" s="17" t="n">
        <f aca="false">IF(INDEX(選手一覧!$I$7:$I$2738,$F1175)="","",INDEX(選手一覧!$I$7:$I$2738,$F1175))</f>
        <v>557</v>
      </c>
      <c r="I1175" s="16" t="n">
        <f aca="false">IF(INDEX(選手一覧!$J$7:$J$2738,$F1175)="","",INDEX(選手一覧!$J$7:$J$2738,$F1175))</f>
        <v>0.00294166666666667</v>
      </c>
      <c r="J1175" s="17" t="n">
        <f aca="false">IF(INDEX(選手一覧!$K$7:$K$2738,$F1175)="","",INDEX(選手一覧!$K$7:$K$2738,$F1175))</f>
        <v>1206</v>
      </c>
    </row>
    <row r="1176" customFormat="false" ht="15" hidden="false" customHeight="false" outlineLevel="0" collapsed="false">
      <c r="A1176" s="17" t="n">
        <v>1172</v>
      </c>
      <c r="B1176" s="12" t="s">
        <v>1884</v>
      </c>
      <c r="C1176" s="12" t="s">
        <v>1748</v>
      </c>
      <c r="D1176" s="16" t="n">
        <v>0.0110377314814815</v>
      </c>
      <c r="E1176" s="15" t="n">
        <f aca="false">ROUND((D1176-$D$5)*86400,2)</f>
        <v>163.92</v>
      </c>
      <c r="F1176" s="17" t="n">
        <v>1171</v>
      </c>
      <c r="G1176" s="16" t="str">
        <f aca="false">IF(INDEX(選手一覧!$H$7:$H$2738,$F1176)="","",INDEX(選手一覧!$H$7:$H$2738,$F1176))</f>
        <v/>
      </c>
      <c r="H1176" s="17" t="str">
        <f aca="false">IF(INDEX(選手一覧!$I$7:$I$2738,$F1176)="","",INDEX(選手一覧!$I$7:$I$2738,$F1176))</f>
        <v/>
      </c>
      <c r="I1176" s="16" t="str">
        <f aca="false">IF(INDEX(選手一覧!$J$7:$J$2738,$F1176)="","",INDEX(選手一覧!$J$7:$J$2738,$F1176))</f>
        <v/>
      </c>
      <c r="J1176" s="17" t="str">
        <f aca="false">IF(INDEX(選手一覧!$K$7:$K$2738,$F1176)="","",INDEX(選手一覧!$K$7:$K$2738,$F1176))</f>
        <v/>
      </c>
    </row>
    <row r="1177" customFormat="false" ht="15" hidden="false" customHeight="false" outlineLevel="0" collapsed="false">
      <c r="A1177" s="17" t="n">
        <v>1173</v>
      </c>
      <c r="B1177" s="12" t="s">
        <v>1885</v>
      </c>
      <c r="C1177" s="12" t="s">
        <v>507</v>
      </c>
      <c r="D1177" s="16" t="n">
        <v>0.0110377314814815</v>
      </c>
      <c r="E1177" s="15" t="n">
        <f aca="false">ROUND((D1177-$D$5)*86400,2)</f>
        <v>163.92</v>
      </c>
      <c r="F1177" s="17" t="n">
        <v>1172</v>
      </c>
      <c r="G1177" s="16" t="n">
        <f aca="false">IF(INDEX(選手一覧!$H$7:$H$2738,$F1177)="","",INDEX(選手一覧!$H$7:$H$2738,$F1177))</f>
        <v>0.00690173611111111</v>
      </c>
      <c r="H1177" s="17" t="n">
        <f aca="false">IF(INDEX(選手一覧!$I$7:$I$2738,$F1177)="","",INDEX(選手一覧!$I$7:$I$2738,$F1177))</f>
        <v>244</v>
      </c>
      <c r="I1177" s="16" t="str">
        <f aca="false">IF(INDEX(選手一覧!$J$7:$J$2738,$F1177)="","",INDEX(選手一覧!$J$7:$J$2738,$F1177))</f>
        <v/>
      </c>
      <c r="J1177" s="17" t="str">
        <f aca="false">IF(INDEX(選手一覧!$K$7:$K$2738,$F1177)="","",INDEX(選手一覧!$K$7:$K$2738,$F1177))</f>
        <v/>
      </c>
    </row>
    <row r="1178" customFormat="false" ht="15" hidden="false" customHeight="false" outlineLevel="0" collapsed="false">
      <c r="A1178" s="17" t="n">
        <v>1174</v>
      </c>
      <c r="B1178" s="12" t="s">
        <v>1886</v>
      </c>
      <c r="C1178" s="12" t="s">
        <v>415</v>
      </c>
      <c r="D1178" s="16" t="n">
        <v>0.0110377314814815</v>
      </c>
      <c r="E1178" s="15" t="n">
        <f aca="false">ROUND((D1178-$D$5)*86400,2)</f>
        <v>163.92</v>
      </c>
      <c r="F1178" s="17" t="n">
        <v>1173</v>
      </c>
      <c r="G1178" s="16" t="n">
        <f aca="false">IF(INDEX(選手一覧!$H$7:$H$2738,$F1178)="","",INDEX(選手一覧!$H$7:$H$2738,$F1178))</f>
        <v>0.00708252314814815</v>
      </c>
      <c r="H1178" s="17" t="n">
        <f aca="false">IF(INDEX(選手一覧!$I$7:$I$2738,$F1178)="","",INDEX(選手一覧!$I$7:$I$2738,$F1178))</f>
        <v>430</v>
      </c>
      <c r="I1178" s="16" t="str">
        <f aca="false">IF(INDEX(選手一覧!$J$7:$J$2738,$F1178)="","",INDEX(選手一覧!$J$7:$J$2738,$F1178))</f>
        <v/>
      </c>
      <c r="J1178" s="17" t="str">
        <f aca="false">IF(INDEX(選手一覧!$K$7:$K$2738,$F1178)="","",INDEX(選手一覧!$K$7:$K$2738,$F1178))</f>
        <v/>
      </c>
    </row>
    <row r="1179" customFormat="false" ht="15" hidden="false" customHeight="false" outlineLevel="0" collapsed="false">
      <c r="A1179" s="17" t="n">
        <v>1175</v>
      </c>
      <c r="B1179" s="12" t="s">
        <v>1887</v>
      </c>
      <c r="C1179" s="12" t="s">
        <v>707</v>
      </c>
      <c r="D1179" s="16" t="n">
        <v>0.0110388888888889</v>
      </c>
      <c r="E1179" s="15" t="n">
        <f aca="false">ROUND((D1179-$D$5)*86400,2)</f>
        <v>164.02</v>
      </c>
      <c r="F1179" s="17" t="n">
        <v>1174</v>
      </c>
      <c r="G1179" s="16" t="n">
        <f aca="false">IF(INDEX(選手一覧!$H$7:$H$2738,$F1179)="","",INDEX(選手一覧!$H$7:$H$2738,$F1179))</f>
        <v>0.00679861111111111</v>
      </c>
      <c r="H1179" s="17" t="n">
        <f aca="false">IF(INDEX(選手一覧!$I$7:$I$2738,$F1179)="","",INDEX(選手一覧!$I$7:$I$2738,$F1179))</f>
        <v>169</v>
      </c>
      <c r="I1179" s="16" t="str">
        <f aca="false">IF(INDEX(選手一覧!$J$7:$J$2738,$F1179)="","",INDEX(選手一覧!$J$7:$J$2738,$F1179))</f>
        <v/>
      </c>
      <c r="J1179" s="17" t="str">
        <f aca="false">IF(INDEX(選手一覧!$K$7:$K$2738,$F1179)="","",INDEX(選手一覧!$K$7:$K$2738,$F1179))</f>
        <v/>
      </c>
    </row>
    <row r="1180" customFormat="false" ht="15" hidden="false" customHeight="false" outlineLevel="0" collapsed="false">
      <c r="A1180" s="17" t="n">
        <v>1176</v>
      </c>
      <c r="B1180" s="12" t="s">
        <v>1889</v>
      </c>
      <c r="C1180" s="12" t="s">
        <v>1890</v>
      </c>
      <c r="D1180" s="16" t="n">
        <v>0.0110391203703704</v>
      </c>
      <c r="E1180" s="15" t="n">
        <f aca="false">ROUND((D1180-$D$5)*86400,2)</f>
        <v>164.04</v>
      </c>
      <c r="F1180" s="17" t="n">
        <v>1175</v>
      </c>
      <c r="G1180" s="16" t="str">
        <f aca="false">IF(INDEX(選手一覧!$H$7:$H$2738,$F1180)="","",INDEX(選手一覧!$H$7:$H$2738,$F1180))</f>
        <v/>
      </c>
      <c r="H1180" s="17" t="str">
        <f aca="false">IF(INDEX(選手一覧!$I$7:$I$2738,$F1180)="","",INDEX(選手一覧!$I$7:$I$2738,$F1180))</f>
        <v/>
      </c>
      <c r="I1180" s="16" t="n">
        <f aca="false">IF(INDEX(選手一覧!$J$7:$J$2738,$F1180)="","",INDEX(選手一覧!$J$7:$J$2738,$F1180))</f>
        <v>0.00291145833333333</v>
      </c>
      <c r="J1180" s="17" t="n">
        <f aca="false">IF(INDEX(選手一覧!$K$7:$K$2738,$F1180)="","",INDEX(選手一覧!$K$7:$K$2738,$F1180))</f>
        <v>1032</v>
      </c>
    </row>
    <row r="1181" customFormat="false" ht="15" hidden="false" customHeight="false" outlineLevel="0" collapsed="false">
      <c r="A1181" s="17" t="n">
        <v>1177</v>
      </c>
      <c r="B1181" s="12" t="s">
        <v>1891</v>
      </c>
      <c r="C1181" s="12" t="s">
        <v>1892</v>
      </c>
      <c r="D1181" s="16" t="n">
        <v>0.0110396990740741</v>
      </c>
      <c r="E1181" s="15" t="n">
        <f aca="false">ROUND((D1181-$D$5)*86400,2)</f>
        <v>164.09</v>
      </c>
      <c r="F1181" s="17" t="n">
        <v>1176</v>
      </c>
      <c r="G1181" s="16" t="n">
        <f aca="false">IF(INDEX(選手一覧!$H$7:$H$2738,$F1181)="","",INDEX(選手一覧!$H$7:$H$2738,$F1181))</f>
        <v>0.00704016203703704</v>
      </c>
      <c r="H1181" s="17" t="n">
        <f aca="false">IF(INDEX(選手一覧!$I$7:$I$2738,$F1181)="","",INDEX(選手一覧!$I$7:$I$2738,$F1181))</f>
        <v>375</v>
      </c>
      <c r="I1181" s="16" t="n">
        <f aca="false">IF(INDEX(選手一覧!$J$7:$J$2738,$F1181)="","",INDEX(選手一覧!$J$7:$J$2738,$F1181))</f>
        <v>0.00289143518518519</v>
      </c>
      <c r="J1181" s="17" t="n">
        <f aca="false">IF(INDEX(選手一覧!$K$7:$K$2738,$F1181)="","",INDEX(選手一覧!$K$7:$K$2738,$F1181))</f>
        <v>880</v>
      </c>
    </row>
    <row r="1182" customFormat="false" ht="15" hidden="false" customHeight="false" outlineLevel="0" collapsed="false">
      <c r="A1182" s="17" t="n">
        <v>1178</v>
      </c>
      <c r="B1182" s="12" t="s">
        <v>1893</v>
      </c>
      <c r="C1182" s="12" t="s">
        <v>1705</v>
      </c>
      <c r="D1182" s="16" t="n">
        <v>0.0110403935185185</v>
      </c>
      <c r="E1182" s="15" t="n">
        <f aca="false">ROUND((D1182-$D$5)*86400,2)</f>
        <v>164.15</v>
      </c>
      <c r="F1182" s="17" t="n">
        <v>1177</v>
      </c>
      <c r="G1182" s="16" t="str">
        <f aca="false">IF(INDEX(選手一覧!$H$7:$H$2738,$F1182)="","",INDEX(選手一覧!$H$7:$H$2738,$F1182))</f>
        <v/>
      </c>
      <c r="H1182" s="17" t="str">
        <f aca="false">IF(INDEX(選手一覧!$I$7:$I$2738,$F1182)="","",INDEX(選手一覧!$I$7:$I$2738,$F1182))</f>
        <v/>
      </c>
      <c r="I1182" s="16" t="n">
        <f aca="false">IF(INDEX(選手一覧!$J$7:$J$2738,$F1182)="","",INDEX(選手一覧!$J$7:$J$2738,$F1182))</f>
        <v>0.00285289351851852</v>
      </c>
      <c r="J1182" s="17" t="n">
        <f aca="false">IF(INDEX(選手一覧!$K$7:$K$2738,$F1182)="","",INDEX(選手一覧!$K$7:$K$2738,$F1182))</f>
        <v>585</v>
      </c>
    </row>
    <row r="1183" customFormat="false" ht="15" hidden="false" customHeight="false" outlineLevel="0" collapsed="false">
      <c r="A1183" s="17" t="n">
        <v>1179</v>
      </c>
      <c r="B1183" s="12" t="s">
        <v>1895</v>
      </c>
      <c r="C1183" s="12" t="s">
        <v>290</v>
      </c>
      <c r="D1183" s="16" t="n">
        <v>0.0110405092592593</v>
      </c>
      <c r="E1183" s="15" t="n">
        <f aca="false">ROUND((D1183-$D$5)*86400,2)</f>
        <v>164.16</v>
      </c>
      <c r="F1183" s="17" t="n">
        <v>1178</v>
      </c>
      <c r="G1183" s="16" t="str">
        <f aca="false">IF(INDEX(選手一覧!$H$7:$H$2738,$F1183)="","",INDEX(選手一覧!$H$7:$H$2738,$F1183))</f>
        <v/>
      </c>
      <c r="H1183" s="17" t="str">
        <f aca="false">IF(INDEX(選手一覧!$I$7:$I$2738,$F1183)="","",INDEX(選手一覧!$I$7:$I$2738,$F1183))</f>
        <v/>
      </c>
      <c r="I1183" s="16" t="str">
        <f aca="false">IF(INDEX(選手一覧!$J$7:$J$2738,$F1183)="","",INDEX(選手一覧!$J$7:$J$2738,$F1183))</f>
        <v/>
      </c>
      <c r="J1183" s="17" t="str">
        <f aca="false">IF(INDEX(選手一覧!$K$7:$K$2738,$F1183)="","",INDEX(選手一覧!$K$7:$K$2738,$F1183))</f>
        <v/>
      </c>
    </row>
    <row r="1184" customFormat="false" ht="15" hidden="false" customHeight="false" outlineLevel="0" collapsed="false">
      <c r="A1184" s="17" t="n">
        <v>1180</v>
      </c>
      <c r="B1184" s="12" t="s">
        <v>1896</v>
      </c>
      <c r="C1184" s="12" t="s">
        <v>1154</v>
      </c>
      <c r="D1184" s="16" t="n">
        <v>0.0110408564814815</v>
      </c>
      <c r="E1184" s="15" t="n">
        <f aca="false">ROUND((D1184-$D$5)*86400,2)</f>
        <v>164.19</v>
      </c>
      <c r="F1184" s="17" t="n">
        <v>1179</v>
      </c>
      <c r="G1184" s="16" t="str">
        <f aca="false">IF(INDEX(選手一覧!$H$7:$H$2738,$F1184)="","",INDEX(選手一覧!$H$7:$H$2738,$F1184))</f>
        <v/>
      </c>
      <c r="H1184" s="17" t="str">
        <f aca="false">IF(INDEX(選手一覧!$I$7:$I$2738,$F1184)="","",INDEX(選手一覧!$I$7:$I$2738,$F1184))</f>
        <v/>
      </c>
      <c r="I1184" s="16" t="n">
        <f aca="false">IF(INDEX(選手一覧!$J$7:$J$2738,$F1184)="","",INDEX(選手一覧!$J$7:$J$2738,$F1184))</f>
        <v>0.00285763888888889</v>
      </c>
      <c r="J1184" s="17" t="n">
        <f aca="false">IF(INDEX(選手一覧!$K$7:$K$2738,$F1184)="","",INDEX(選手一覧!$K$7:$K$2738,$F1184))</f>
        <v>620</v>
      </c>
    </row>
    <row r="1185" customFormat="false" ht="15" hidden="false" customHeight="false" outlineLevel="0" collapsed="false">
      <c r="A1185" s="17" t="n">
        <v>1181</v>
      </c>
      <c r="B1185" s="12" t="s">
        <v>1897</v>
      </c>
      <c r="C1185" s="12" t="s">
        <v>559</v>
      </c>
      <c r="D1185" s="16" t="n">
        <v>0.011041087962963</v>
      </c>
      <c r="E1185" s="15" t="n">
        <f aca="false">ROUND((D1185-$D$5)*86400,2)</f>
        <v>164.21</v>
      </c>
      <c r="F1185" s="17" t="n">
        <v>1180</v>
      </c>
      <c r="G1185" s="16" t="n">
        <f aca="false">IF(INDEX(選手一覧!$H$7:$H$2738,$F1185)="","",INDEX(選手一覧!$H$7:$H$2738,$F1185))</f>
        <v>0.00696898148148148</v>
      </c>
      <c r="H1185" s="17" t="n">
        <f aca="false">IF(INDEX(選手一覧!$I$7:$I$2738,$F1185)="","",INDEX(選手一覧!$I$7:$I$2738,$F1185))</f>
        <v>304</v>
      </c>
      <c r="I1185" s="16" t="n">
        <f aca="false">IF(INDEX(選手一覧!$J$7:$J$2738,$F1185)="","",INDEX(選手一覧!$J$7:$J$2738,$F1185))</f>
        <v>0.00283356481481482</v>
      </c>
      <c r="J1185" s="17" t="n">
        <f aca="false">IF(INDEX(選手一覧!$K$7:$K$2738,$F1185)="","",INDEX(選手一覧!$K$7:$K$2738,$F1185))</f>
        <v>447</v>
      </c>
    </row>
    <row r="1186" customFormat="false" ht="15" hidden="false" customHeight="false" outlineLevel="0" collapsed="false">
      <c r="A1186" s="17" t="n">
        <v>1182</v>
      </c>
      <c r="B1186" s="12" t="s">
        <v>1898</v>
      </c>
      <c r="C1186" s="12" t="s">
        <v>380</v>
      </c>
      <c r="D1186" s="16" t="n">
        <v>0.0110421296296296</v>
      </c>
      <c r="E1186" s="15" t="n">
        <f aca="false">ROUND((D1186-$D$5)*86400,2)</f>
        <v>164.3</v>
      </c>
      <c r="F1186" s="17" t="n">
        <v>1181</v>
      </c>
      <c r="G1186" s="16" t="str">
        <f aca="false">IF(INDEX(選手一覧!$H$7:$H$2738,$F1186)="","",INDEX(選手一覧!$H$7:$H$2738,$F1186))</f>
        <v/>
      </c>
      <c r="H1186" s="17" t="str">
        <f aca="false">IF(INDEX(選手一覧!$I$7:$I$2738,$F1186)="","",INDEX(選手一覧!$I$7:$I$2738,$F1186))</f>
        <v/>
      </c>
      <c r="I1186" s="16" t="str">
        <f aca="false">IF(INDEX(選手一覧!$J$7:$J$2738,$F1186)="","",INDEX(選手一覧!$J$7:$J$2738,$F1186))</f>
        <v/>
      </c>
      <c r="J1186" s="17" t="str">
        <f aca="false">IF(INDEX(選手一覧!$K$7:$K$2738,$F1186)="","",INDEX(選手一覧!$K$7:$K$2738,$F1186))</f>
        <v/>
      </c>
    </row>
    <row r="1187" customFormat="false" ht="15" hidden="false" customHeight="false" outlineLevel="0" collapsed="false">
      <c r="A1187" s="17" t="n">
        <v>1183</v>
      </c>
      <c r="B1187" s="12" t="s">
        <v>1899</v>
      </c>
      <c r="C1187" s="12" t="s">
        <v>591</v>
      </c>
      <c r="D1187" s="16" t="n">
        <v>0.0110434027777778</v>
      </c>
      <c r="E1187" s="15" t="n">
        <f aca="false">ROUND((D1187-$D$5)*86400,2)</f>
        <v>164.41</v>
      </c>
      <c r="F1187" s="17" t="n">
        <v>1182</v>
      </c>
      <c r="G1187" s="16" t="str">
        <f aca="false">IF(INDEX(選手一覧!$H$7:$H$2738,$F1187)="","",INDEX(選手一覧!$H$7:$H$2738,$F1187))</f>
        <v/>
      </c>
      <c r="H1187" s="17" t="str">
        <f aca="false">IF(INDEX(選手一覧!$I$7:$I$2738,$F1187)="","",INDEX(選手一覧!$I$7:$I$2738,$F1187))</f>
        <v/>
      </c>
      <c r="I1187" s="16" t="str">
        <f aca="false">IF(INDEX(選手一覧!$J$7:$J$2738,$F1187)="","",INDEX(選手一覧!$J$7:$J$2738,$F1187))</f>
        <v/>
      </c>
      <c r="J1187" s="17" t="str">
        <f aca="false">IF(INDEX(選手一覧!$K$7:$K$2738,$F1187)="","",INDEX(選手一覧!$K$7:$K$2738,$F1187))</f>
        <v/>
      </c>
    </row>
    <row r="1188" customFormat="false" ht="15" hidden="false" customHeight="false" outlineLevel="0" collapsed="false">
      <c r="A1188" s="17" t="n">
        <v>1184</v>
      </c>
      <c r="B1188" s="12" t="s">
        <v>1900</v>
      </c>
      <c r="C1188" s="12" t="s">
        <v>1227</v>
      </c>
      <c r="D1188" s="16" t="n">
        <v>0.0110434027777778</v>
      </c>
      <c r="E1188" s="15" t="n">
        <f aca="false">ROUND((D1188-$D$5)*86400,2)</f>
        <v>164.41</v>
      </c>
      <c r="F1188" s="17" t="n">
        <v>1183</v>
      </c>
      <c r="G1188" s="16" t="str">
        <f aca="false">IF(INDEX(選手一覧!$H$7:$H$2738,$F1188)="","",INDEX(選手一覧!$H$7:$H$2738,$F1188))</f>
        <v/>
      </c>
      <c r="H1188" s="17" t="str">
        <f aca="false">IF(INDEX(選手一覧!$I$7:$I$2738,$F1188)="","",INDEX(選手一覧!$I$7:$I$2738,$F1188))</f>
        <v/>
      </c>
      <c r="I1188" s="16" t="str">
        <f aca="false">IF(INDEX(選手一覧!$J$7:$J$2738,$F1188)="","",INDEX(選手一覧!$J$7:$J$2738,$F1188))</f>
        <v/>
      </c>
      <c r="J1188" s="17" t="str">
        <f aca="false">IF(INDEX(選手一覧!$K$7:$K$2738,$F1188)="","",INDEX(選手一覧!$K$7:$K$2738,$F1188))</f>
        <v/>
      </c>
    </row>
    <row r="1189" customFormat="false" ht="15" hidden="false" customHeight="false" outlineLevel="0" collapsed="false">
      <c r="A1189" s="17" t="n">
        <v>1185</v>
      </c>
      <c r="B1189" s="12" t="s">
        <v>1901</v>
      </c>
      <c r="C1189" s="12" t="s">
        <v>145</v>
      </c>
      <c r="D1189" s="16" t="n">
        <v>0.01104375</v>
      </c>
      <c r="E1189" s="15" t="n">
        <f aca="false">ROUND((D1189-$D$5)*86400,2)</f>
        <v>164.44</v>
      </c>
      <c r="F1189" s="17" t="n">
        <v>1184</v>
      </c>
      <c r="G1189" s="16" t="str">
        <f aca="false">IF(INDEX(選手一覧!$H$7:$H$2738,$F1189)="","",INDEX(選手一覧!$H$7:$H$2738,$F1189))</f>
        <v/>
      </c>
      <c r="H1189" s="17" t="str">
        <f aca="false">IF(INDEX(選手一覧!$I$7:$I$2738,$F1189)="","",INDEX(選手一覧!$I$7:$I$2738,$F1189))</f>
        <v/>
      </c>
      <c r="I1189" s="16" t="n">
        <f aca="false">IF(INDEX(選手一覧!$J$7:$J$2738,$F1189)="","",INDEX(選手一覧!$J$7:$J$2738,$F1189))</f>
        <v>0.00279525462962963</v>
      </c>
      <c r="J1189" s="17" t="n">
        <f aca="false">IF(INDEX(選手一覧!$K$7:$K$2738,$F1189)="","",INDEX(選手一覧!$K$7:$K$2738,$F1189))</f>
        <v>260</v>
      </c>
    </row>
    <row r="1190" customFormat="false" ht="15" hidden="false" customHeight="false" outlineLevel="0" collapsed="false">
      <c r="A1190" s="17" t="n">
        <v>1186</v>
      </c>
      <c r="B1190" s="12" t="s">
        <v>1902</v>
      </c>
      <c r="C1190" s="12" t="s">
        <v>348</v>
      </c>
      <c r="D1190" s="16" t="n">
        <v>0.0110438657407407</v>
      </c>
      <c r="E1190" s="15" t="n">
        <f aca="false">ROUND((D1190-$D$5)*86400,2)</f>
        <v>164.45</v>
      </c>
      <c r="F1190" s="17" t="n">
        <v>1185</v>
      </c>
      <c r="G1190" s="16" t="n">
        <f aca="false">IF(INDEX(選手一覧!$H$7:$H$2738,$F1190)="","",INDEX(選手一覧!$H$7:$H$2738,$F1190))</f>
        <v>0.006571875</v>
      </c>
      <c r="H1190" s="17" t="n">
        <f aca="false">IF(INDEX(選手一覧!$I$7:$I$2738,$F1190)="","",INDEX(選手一覧!$I$7:$I$2738,$F1190))</f>
        <v>61</v>
      </c>
      <c r="I1190" s="16" t="str">
        <f aca="false">IF(INDEX(選手一覧!$J$7:$J$2738,$F1190)="","",INDEX(選手一覧!$J$7:$J$2738,$F1190))</f>
        <v/>
      </c>
      <c r="J1190" s="17" t="str">
        <f aca="false">IF(INDEX(選手一覧!$K$7:$K$2738,$F1190)="","",INDEX(選手一覧!$K$7:$K$2738,$F1190))</f>
        <v/>
      </c>
    </row>
    <row r="1191" customFormat="false" ht="15" hidden="false" customHeight="false" outlineLevel="0" collapsed="false">
      <c r="A1191" s="17" t="n">
        <v>1187</v>
      </c>
      <c r="B1191" s="12" t="s">
        <v>1903</v>
      </c>
      <c r="C1191" s="12" t="s">
        <v>463</v>
      </c>
      <c r="D1191" s="16" t="n">
        <v>0.0110439814814815</v>
      </c>
      <c r="E1191" s="15" t="n">
        <f aca="false">ROUND((D1191-$D$5)*86400,2)</f>
        <v>164.46</v>
      </c>
      <c r="F1191" s="17" t="n">
        <v>1186</v>
      </c>
      <c r="G1191" s="16" t="n">
        <f aca="false">IF(INDEX(選手一覧!$H$7:$H$2738,$F1191)="","",INDEX(選手一覧!$H$7:$H$2738,$F1191))</f>
        <v>0.00698113425925926</v>
      </c>
      <c r="H1191" s="17" t="n">
        <f aca="false">IF(INDEX(選手一覧!$I$7:$I$2738,$F1191)="","",INDEX(選手一覧!$I$7:$I$2738,$F1191))</f>
        <v>315</v>
      </c>
      <c r="I1191" s="16" t="str">
        <f aca="false">IF(INDEX(選手一覧!$J$7:$J$2738,$F1191)="","",INDEX(選手一覧!$J$7:$J$2738,$F1191))</f>
        <v/>
      </c>
      <c r="J1191" s="17" t="str">
        <f aca="false">IF(INDEX(選手一覧!$K$7:$K$2738,$F1191)="","",INDEX(選手一覧!$K$7:$K$2738,$F1191))</f>
        <v/>
      </c>
    </row>
    <row r="1192" customFormat="false" ht="15" hidden="false" customHeight="false" outlineLevel="0" collapsed="false">
      <c r="A1192" s="17" t="n">
        <v>1188</v>
      </c>
      <c r="B1192" s="12" t="s">
        <v>1905</v>
      </c>
      <c r="C1192" s="12" t="s">
        <v>80</v>
      </c>
      <c r="D1192" s="16" t="n">
        <v>0.0110440972222222</v>
      </c>
      <c r="E1192" s="15" t="n">
        <f aca="false">ROUND((D1192-$D$5)*86400,2)</f>
        <v>164.47</v>
      </c>
      <c r="F1192" s="17" t="n">
        <v>1187</v>
      </c>
      <c r="G1192" s="16" t="str">
        <f aca="false">IF(INDEX(選手一覧!$H$7:$H$2738,$F1192)="","",INDEX(選手一覧!$H$7:$H$2738,$F1192))</f>
        <v/>
      </c>
      <c r="H1192" s="17" t="str">
        <f aca="false">IF(INDEX(選手一覧!$I$7:$I$2738,$F1192)="","",INDEX(選手一覧!$I$7:$I$2738,$F1192))</f>
        <v/>
      </c>
      <c r="I1192" s="16" t="n">
        <f aca="false">IF(INDEX(選手一覧!$J$7:$J$2738,$F1192)="","",INDEX(選手一覧!$J$7:$J$2738,$F1192))</f>
        <v>0.00296585648148148</v>
      </c>
      <c r="J1192" s="17" t="n">
        <f aca="false">IF(INDEX(選手一覧!$K$7:$K$2738,$F1192)="","",INDEX(選手一覧!$K$7:$K$2738,$F1192))</f>
        <v>1294</v>
      </c>
    </row>
    <row r="1193" customFormat="false" ht="15" hidden="false" customHeight="false" outlineLevel="0" collapsed="false">
      <c r="A1193" s="17" t="n">
        <v>1189</v>
      </c>
      <c r="B1193" s="12" t="s">
        <v>1906</v>
      </c>
      <c r="C1193" s="12" t="s">
        <v>1907</v>
      </c>
      <c r="D1193" s="16" t="n">
        <v>0.0110452546296296</v>
      </c>
      <c r="E1193" s="15" t="n">
        <f aca="false">ROUND((D1193-$D$5)*86400,2)</f>
        <v>164.57</v>
      </c>
      <c r="F1193" s="17" t="n">
        <v>1188</v>
      </c>
      <c r="G1193" s="16" t="str">
        <f aca="false">IF(INDEX(選手一覧!$H$7:$H$2738,$F1193)="","",INDEX(選手一覧!$H$7:$H$2738,$F1193))</f>
        <v/>
      </c>
      <c r="H1193" s="17" t="str">
        <f aca="false">IF(INDEX(選手一覧!$I$7:$I$2738,$F1193)="","",INDEX(選手一覧!$I$7:$I$2738,$F1193))</f>
        <v/>
      </c>
      <c r="I1193" s="16" t="str">
        <f aca="false">IF(INDEX(選手一覧!$J$7:$J$2738,$F1193)="","",INDEX(選手一覧!$J$7:$J$2738,$F1193))</f>
        <v/>
      </c>
      <c r="J1193" s="17" t="str">
        <f aca="false">IF(INDEX(選手一覧!$K$7:$K$2738,$F1193)="","",INDEX(選手一覧!$K$7:$K$2738,$F1193))</f>
        <v/>
      </c>
    </row>
    <row r="1194" customFormat="false" ht="15" hidden="false" customHeight="false" outlineLevel="0" collapsed="false">
      <c r="A1194" s="17" t="n">
        <v>1190</v>
      </c>
      <c r="B1194" s="12" t="s">
        <v>1908</v>
      </c>
      <c r="C1194" s="12" t="s">
        <v>1909</v>
      </c>
      <c r="D1194" s="16" t="n">
        <v>0.0110453703703704</v>
      </c>
      <c r="E1194" s="15" t="n">
        <f aca="false">ROUND((D1194-$D$5)*86400,2)</f>
        <v>164.58</v>
      </c>
      <c r="F1194" s="17" t="n">
        <v>1189</v>
      </c>
      <c r="G1194" s="16" t="str">
        <f aca="false">IF(INDEX(選手一覧!$H$7:$H$2738,$F1194)="","",INDEX(選手一覧!$H$7:$H$2738,$F1194))</f>
        <v/>
      </c>
      <c r="H1194" s="17" t="str">
        <f aca="false">IF(INDEX(選手一覧!$I$7:$I$2738,$F1194)="","",INDEX(選手一覧!$I$7:$I$2738,$F1194))</f>
        <v/>
      </c>
      <c r="I1194" s="16" t="n">
        <f aca="false">IF(INDEX(選手一覧!$J$7:$J$2738,$F1194)="","",INDEX(選手一覧!$J$7:$J$2738,$F1194))</f>
        <v>0.00288773148148148</v>
      </c>
      <c r="J1194" s="17" t="n">
        <f aca="false">IF(INDEX(選手一覧!$K$7:$K$2738,$F1194)="","",INDEX(選手一覧!$K$7:$K$2738,$F1194))</f>
        <v>841</v>
      </c>
    </row>
    <row r="1195" customFormat="false" ht="15" hidden="false" customHeight="false" outlineLevel="0" collapsed="false">
      <c r="A1195" s="17" t="n">
        <v>1191</v>
      </c>
      <c r="B1195" s="12" t="s">
        <v>1910</v>
      </c>
      <c r="C1195" s="12" t="s">
        <v>1117</v>
      </c>
      <c r="D1195" s="16" t="n">
        <v>0.0110453703703704</v>
      </c>
      <c r="E1195" s="15" t="n">
        <f aca="false">ROUND((D1195-$D$5)*86400,2)</f>
        <v>164.58</v>
      </c>
      <c r="F1195" s="17" t="n">
        <v>1190</v>
      </c>
      <c r="G1195" s="16" t="str">
        <f aca="false">IF(INDEX(選手一覧!$H$7:$H$2738,$F1195)="","",INDEX(選手一覧!$H$7:$H$2738,$F1195))</f>
        <v/>
      </c>
      <c r="H1195" s="17" t="str">
        <f aca="false">IF(INDEX(選手一覧!$I$7:$I$2738,$F1195)="","",INDEX(選手一覧!$I$7:$I$2738,$F1195))</f>
        <v/>
      </c>
      <c r="I1195" s="16" t="str">
        <f aca="false">IF(INDEX(選手一覧!$J$7:$J$2738,$F1195)="","",INDEX(選手一覧!$J$7:$J$2738,$F1195))</f>
        <v/>
      </c>
      <c r="J1195" s="17" t="str">
        <f aca="false">IF(INDEX(選手一覧!$K$7:$K$2738,$F1195)="","",INDEX(選手一覧!$K$7:$K$2738,$F1195))</f>
        <v/>
      </c>
    </row>
    <row r="1196" customFormat="false" ht="15" hidden="false" customHeight="false" outlineLevel="0" collapsed="false">
      <c r="A1196" s="17" t="n">
        <v>1192</v>
      </c>
      <c r="B1196" s="12" t="s">
        <v>1911</v>
      </c>
      <c r="C1196" s="12" t="s">
        <v>37</v>
      </c>
      <c r="D1196" s="16" t="n">
        <v>0.0110459490740741</v>
      </c>
      <c r="E1196" s="15" t="n">
        <f aca="false">ROUND((D1196-$D$5)*86400,2)</f>
        <v>164.63</v>
      </c>
      <c r="F1196" s="17" t="n">
        <v>1191</v>
      </c>
      <c r="G1196" s="16" t="n">
        <f aca="false">IF(INDEX(選手一覧!$H$7:$H$2738,$F1196)="","",INDEX(選手一覧!$H$7:$H$2738,$F1196))</f>
        <v>0.007</v>
      </c>
      <c r="H1196" s="17" t="n">
        <f aca="false">IF(INDEX(選手一覧!$I$7:$I$2738,$F1196)="","",INDEX(選手一覧!$I$7:$I$2738,$F1196))</f>
        <v>336</v>
      </c>
      <c r="I1196" s="16" t="str">
        <f aca="false">IF(INDEX(選手一覧!$J$7:$J$2738,$F1196)="","",INDEX(選手一覧!$J$7:$J$2738,$F1196))</f>
        <v/>
      </c>
      <c r="J1196" s="17" t="str">
        <f aca="false">IF(INDEX(選手一覧!$K$7:$K$2738,$F1196)="","",INDEX(選手一覧!$K$7:$K$2738,$F1196))</f>
        <v/>
      </c>
    </row>
    <row r="1197" customFormat="false" ht="15" hidden="false" customHeight="false" outlineLevel="0" collapsed="false">
      <c r="A1197" s="17" t="n">
        <v>1193</v>
      </c>
      <c r="B1197" s="12" t="s">
        <v>1912</v>
      </c>
      <c r="C1197" s="12" t="s">
        <v>1913</v>
      </c>
      <c r="D1197" s="16" t="n">
        <v>0.0110465277777778</v>
      </c>
      <c r="E1197" s="15" t="n">
        <f aca="false">ROUND((D1197-$D$5)*86400,2)</f>
        <v>164.68</v>
      </c>
      <c r="F1197" s="17" t="n">
        <v>1192</v>
      </c>
      <c r="G1197" s="16" t="str">
        <f aca="false">IF(INDEX(選手一覧!$H$7:$H$2738,$F1197)="","",INDEX(選手一覧!$H$7:$H$2738,$F1197))</f>
        <v/>
      </c>
      <c r="H1197" s="17" t="str">
        <f aca="false">IF(INDEX(選手一覧!$I$7:$I$2738,$F1197)="","",INDEX(選手一覧!$I$7:$I$2738,$F1197))</f>
        <v/>
      </c>
      <c r="I1197" s="16" t="n">
        <f aca="false">IF(INDEX(選手一覧!$J$7:$J$2738,$F1197)="","",INDEX(選手一覧!$J$7:$J$2738,$F1197))</f>
        <v>0.00296238425925926</v>
      </c>
      <c r="J1197" s="17" t="n">
        <f aca="false">IF(INDEX(選手一覧!$K$7:$K$2738,$F1197)="","",INDEX(選手一覧!$K$7:$K$2738,$F1197))</f>
        <v>1280</v>
      </c>
    </row>
    <row r="1198" customFormat="false" ht="15" hidden="false" customHeight="false" outlineLevel="0" collapsed="false">
      <c r="A1198" s="17" t="n">
        <v>1194</v>
      </c>
      <c r="B1198" s="12" t="s">
        <v>1914</v>
      </c>
      <c r="C1198" s="12" t="s">
        <v>1697</v>
      </c>
      <c r="D1198" s="16" t="n">
        <v>0.011046875</v>
      </c>
      <c r="E1198" s="15" t="n">
        <f aca="false">ROUND((D1198-$D$5)*86400,2)</f>
        <v>164.71</v>
      </c>
      <c r="F1198" s="17" t="n">
        <v>1193</v>
      </c>
      <c r="G1198" s="16" t="str">
        <f aca="false">IF(INDEX(選手一覧!$H$7:$H$2738,$F1198)="","",INDEX(選手一覧!$H$7:$H$2738,$F1198))</f>
        <v/>
      </c>
      <c r="H1198" s="17" t="str">
        <f aca="false">IF(INDEX(選手一覧!$I$7:$I$2738,$F1198)="","",INDEX(選手一覧!$I$7:$I$2738,$F1198))</f>
        <v/>
      </c>
      <c r="I1198" s="16" t="n">
        <f aca="false">IF(INDEX(選手一覧!$J$7:$J$2738,$F1198)="","",INDEX(選手一覧!$J$7:$J$2738,$F1198))</f>
        <v>0.0028505787037037</v>
      </c>
      <c r="J1198" s="17" t="n">
        <f aca="false">IF(INDEX(選手一覧!$K$7:$K$2738,$F1198)="","",INDEX(選手一覧!$K$7:$K$2738,$F1198))</f>
        <v>572</v>
      </c>
    </row>
    <row r="1199" customFormat="false" ht="15" hidden="false" customHeight="false" outlineLevel="0" collapsed="false">
      <c r="A1199" s="17" t="n">
        <v>1195</v>
      </c>
      <c r="B1199" s="12" t="s">
        <v>1915</v>
      </c>
      <c r="C1199" s="12" t="s">
        <v>165</v>
      </c>
      <c r="D1199" s="16" t="n">
        <v>0.0110471064814815</v>
      </c>
      <c r="E1199" s="15" t="n">
        <f aca="false">ROUND((D1199-$D$5)*86400,2)</f>
        <v>164.73</v>
      </c>
      <c r="F1199" s="17" t="n">
        <v>1194</v>
      </c>
      <c r="G1199" s="16" t="str">
        <f aca="false">IF(INDEX(選手一覧!$H$7:$H$2738,$F1199)="","",INDEX(選手一覧!$H$7:$H$2738,$F1199))</f>
        <v/>
      </c>
      <c r="H1199" s="17" t="str">
        <f aca="false">IF(INDEX(選手一覧!$I$7:$I$2738,$F1199)="","",INDEX(選手一覧!$I$7:$I$2738,$F1199))</f>
        <v/>
      </c>
      <c r="I1199" s="16" t="str">
        <f aca="false">IF(INDEX(選手一覧!$J$7:$J$2738,$F1199)="","",INDEX(選手一覧!$J$7:$J$2738,$F1199))</f>
        <v/>
      </c>
      <c r="J1199" s="17" t="str">
        <f aca="false">IF(INDEX(選手一覧!$K$7:$K$2738,$F1199)="","",INDEX(選手一覧!$K$7:$K$2738,$F1199))</f>
        <v/>
      </c>
    </row>
    <row r="1200" customFormat="false" ht="15" hidden="false" customHeight="false" outlineLevel="0" collapsed="false">
      <c r="A1200" s="17" t="n">
        <v>1196</v>
      </c>
      <c r="B1200" s="12" t="s">
        <v>1916</v>
      </c>
      <c r="C1200" s="12" t="s">
        <v>380</v>
      </c>
      <c r="D1200" s="16" t="n">
        <v>0.0110478009259259</v>
      </c>
      <c r="E1200" s="15" t="n">
        <f aca="false">ROUND((D1200-$D$5)*86400,2)</f>
        <v>164.79</v>
      </c>
      <c r="F1200" s="17" t="n">
        <v>1195</v>
      </c>
      <c r="G1200" s="16" t="str">
        <f aca="false">IF(INDEX(選手一覧!$H$7:$H$2738,$F1200)="","",INDEX(選手一覧!$H$7:$H$2738,$F1200))</f>
        <v/>
      </c>
      <c r="H1200" s="17" t="str">
        <f aca="false">IF(INDEX(選手一覧!$I$7:$I$2738,$F1200)="","",INDEX(選手一覧!$I$7:$I$2738,$F1200))</f>
        <v/>
      </c>
      <c r="I1200" s="16" t="str">
        <f aca="false">IF(INDEX(選手一覧!$J$7:$J$2738,$F1200)="","",INDEX(選手一覧!$J$7:$J$2738,$F1200))</f>
        <v/>
      </c>
      <c r="J1200" s="17" t="str">
        <f aca="false">IF(INDEX(選手一覧!$K$7:$K$2738,$F1200)="","",INDEX(選手一覧!$K$7:$K$2738,$F1200))</f>
        <v/>
      </c>
    </row>
    <row r="1201" customFormat="false" ht="15" hidden="false" customHeight="false" outlineLevel="0" collapsed="false">
      <c r="A1201" s="17" t="n">
        <v>1197</v>
      </c>
      <c r="B1201" s="12" t="s">
        <v>1917</v>
      </c>
      <c r="C1201" s="12" t="s">
        <v>1918</v>
      </c>
      <c r="D1201" s="16" t="n">
        <v>0.0110483796296296</v>
      </c>
      <c r="E1201" s="15" t="n">
        <f aca="false">ROUND((D1201-$D$5)*86400,2)</f>
        <v>164.84</v>
      </c>
      <c r="F1201" s="17" t="n">
        <v>1196</v>
      </c>
      <c r="G1201" s="16" t="str">
        <f aca="false">IF(INDEX(選手一覧!$H$7:$H$2738,$F1201)="","",INDEX(選手一覧!$H$7:$H$2738,$F1201))</f>
        <v/>
      </c>
      <c r="H1201" s="17" t="str">
        <f aca="false">IF(INDEX(選手一覧!$I$7:$I$2738,$F1201)="","",INDEX(選手一覧!$I$7:$I$2738,$F1201))</f>
        <v/>
      </c>
      <c r="I1201" s="16" t="str">
        <f aca="false">IF(INDEX(選手一覧!$J$7:$J$2738,$F1201)="","",INDEX(選手一覧!$J$7:$J$2738,$F1201))</f>
        <v/>
      </c>
      <c r="J1201" s="17" t="str">
        <f aca="false">IF(INDEX(選手一覧!$K$7:$K$2738,$F1201)="","",INDEX(選手一覧!$K$7:$K$2738,$F1201))</f>
        <v/>
      </c>
    </row>
    <row r="1202" customFormat="false" ht="15" hidden="false" customHeight="false" outlineLevel="0" collapsed="false">
      <c r="A1202" s="17" t="n">
        <v>1198</v>
      </c>
      <c r="B1202" s="12" t="s">
        <v>1919</v>
      </c>
      <c r="C1202" s="12" t="s">
        <v>417</v>
      </c>
      <c r="D1202" s="16" t="n">
        <v>0.011050462962963</v>
      </c>
      <c r="E1202" s="15" t="n">
        <f aca="false">ROUND((D1202-$D$5)*86400,2)</f>
        <v>165.02</v>
      </c>
      <c r="F1202" s="17" t="n">
        <v>1197</v>
      </c>
      <c r="G1202" s="16" t="str">
        <f aca="false">IF(INDEX(選手一覧!$H$7:$H$2738,$F1202)="","",INDEX(選手一覧!$H$7:$H$2738,$F1202))</f>
        <v/>
      </c>
      <c r="H1202" s="17" t="str">
        <f aca="false">IF(INDEX(選手一覧!$I$7:$I$2738,$F1202)="","",INDEX(選手一覧!$I$7:$I$2738,$F1202))</f>
        <v/>
      </c>
      <c r="I1202" s="16" t="n">
        <f aca="false">IF(INDEX(選手一覧!$J$7:$J$2738,$F1202)="","",INDEX(選手一覧!$J$7:$J$2738,$F1202))</f>
        <v>0.00297430555555556</v>
      </c>
      <c r="J1202" s="17" t="n">
        <f aca="false">IF(INDEX(選手一覧!$K$7:$K$2738,$F1202)="","",INDEX(選手一覧!$K$7:$K$2738,$F1202))</f>
        <v>1324</v>
      </c>
    </row>
    <row r="1203" customFormat="false" ht="15" hidden="false" customHeight="false" outlineLevel="0" collapsed="false">
      <c r="A1203" s="17" t="n">
        <v>1199</v>
      </c>
      <c r="B1203" s="12" t="s">
        <v>1920</v>
      </c>
      <c r="C1203" s="12" t="s">
        <v>125</v>
      </c>
      <c r="D1203" s="16" t="n">
        <v>0.0110515046296296</v>
      </c>
      <c r="E1203" s="15" t="n">
        <f aca="false">ROUND((D1203-$D$5)*86400,2)</f>
        <v>165.11</v>
      </c>
      <c r="F1203" s="17" t="n">
        <v>1198</v>
      </c>
      <c r="G1203" s="16" t="n">
        <f aca="false">IF(INDEX(選手一覧!$H$7:$H$2738,$F1203)="","",INDEX(選手一覧!$H$7:$H$2738,$F1203))</f>
        <v>0.00752384259259259</v>
      </c>
      <c r="H1203" s="17" t="n">
        <f aca="false">IF(INDEX(選手一覧!$I$7:$I$2738,$F1203)="","",INDEX(選手一覧!$I$7:$I$2738,$F1203))</f>
        <v>925</v>
      </c>
      <c r="I1203" s="16" t="str">
        <f aca="false">IF(INDEX(選手一覧!$J$7:$J$2738,$F1203)="","",INDEX(選手一覧!$J$7:$J$2738,$F1203))</f>
        <v/>
      </c>
      <c r="J1203" s="17" t="str">
        <f aca="false">IF(INDEX(選手一覧!$K$7:$K$2738,$F1203)="","",INDEX(選手一覧!$K$7:$K$2738,$F1203))</f>
        <v/>
      </c>
    </row>
    <row r="1204" customFormat="false" ht="15" hidden="false" customHeight="false" outlineLevel="0" collapsed="false">
      <c r="A1204" s="17" t="n">
        <v>1200</v>
      </c>
      <c r="B1204" s="12" t="s">
        <v>1921</v>
      </c>
      <c r="C1204" s="12" t="s">
        <v>1764</v>
      </c>
      <c r="D1204" s="16" t="n">
        <v>0.0110517361111111</v>
      </c>
      <c r="E1204" s="15" t="n">
        <f aca="false">ROUND((D1204-$D$5)*86400,2)</f>
        <v>165.13</v>
      </c>
      <c r="F1204" s="17" t="n">
        <v>1199</v>
      </c>
      <c r="G1204" s="16" t="n">
        <f aca="false">IF(INDEX(選手一覧!$H$7:$H$2738,$F1204)="","",INDEX(選手一覧!$H$7:$H$2738,$F1204))</f>
        <v>0.00734594907407408</v>
      </c>
      <c r="H1204" s="17" t="n">
        <f aca="false">IF(INDEX(選手一覧!$I$7:$I$2738,$F1204)="","",INDEX(選手一覧!$I$7:$I$2738,$F1204))</f>
        <v>706</v>
      </c>
      <c r="I1204" s="16" t="n">
        <f aca="false">IF(INDEX(選手一覧!$J$7:$J$2738,$F1204)="","",INDEX(選手一覧!$J$7:$J$2738,$F1204))</f>
        <v>0.00288194444444444</v>
      </c>
      <c r="J1204" s="17" t="n">
        <f aca="false">IF(INDEX(選手一覧!$K$7:$K$2738,$F1204)="","",INDEX(選手一覧!$K$7:$K$2738,$F1204))</f>
        <v>790</v>
      </c>
    </row>
    <row r="1205" customFormat="false" ht="15" hidden="false" customHeight="false" outlineLevel="0" collapsed="false">
      <c r="A1205" s="17" t="n">
        <v>1201</v>
      </c>
      <c r="B1205" s="12" t="s">
        <v>1922</v>
      </c>
      <c r="C1205" s="12" t="s">
        <v>1892</v>
      </c>
      <c r="D1205" s="16" t="n">
        <v>0.0110520833333333</v>
      </c>
      <c r="E1205" s="15" t="n">
        <f aca="false">ROUND((D1205-$D$5)*86400,2)</f>
        <v>165.16</v>
      </c>
      <c r="F1205" s="17" t="n">
        <v>1200</v>
      </c>
      <c r="G1205" s="16" t="str">
        <f aca="false">IF(INDEX(選手一覧!$H$7:$H$2738,$F1205)="","",INDEX(選手一覧!$H$7:$H$2738,$F1205))</f>
        <v/>
      </c>
      <c r="H1205" s="17" t="str">
        <f aca="false">IF(INDEX(選手一覧!$I$7:$I$2738,$F1205)="","",INDEX(選手一覧!$I$7:$I$2738,$F1205))</f>
        <v/>
      </c>
      <c r="I1205" s="16" t="n">
        <f aca="false">IF(INDEX(選手一覧!$J$7:$J$2738,$F1205)="","",INDEX(選手一覧!$J$7:$J$2738,$F1205))</f>
        <v>0.00295844907407407</v>
      </c>
      <c r="J1205" s="17" t="n">
        <f aca="false">IF(INDEX(選手一覧!$K$7:$K$2738,$F1205)="","",INDEX(選手一覧!$K$7:$K$2738,$F1205))</f>
        <v>1263</v>
      </c>
    </row>
    <row r="1206" customFormat="false" ht="15" hidden="false" customHeight="false" outlineLevel="0" collapsed="false">
      <c r="A1206" s="17" t="n">
        <v>1202</v>
      </c>
      <c r="B1206" s="12" t="s">
        <v>1923</v>
      </c>
      <c r="C1206" s="12" t="s">
        <v>737</v>
      </c>
      <c r="D1206" s="16" t="n">
        <v>0.0110524305555556</v>
      </c>
      <c r="E1206" s="15" t="n">
        <f aca="false">ROUND((D1206-$D$5)*86400,2)</f>
        <v>165.19</v>
      </c>
      <c r="F1206" s="17" t="n">
        <v>1201</v>
      </c>
      <c r="G1206" s="16" t="n">
        <f aca="false">IF(INDEX(選手一覧!$H$7:$H$2738,$F1206)="","",INDEX(選手一覧!$H$7:$H$2738,$F1206))</f>
        <v>0.00676064814814815</v>
      </c>
      <c r="H1206" s="17" t="n">
        <f aca="false">IF(INDEX(選手一覧!$I$7:$I$2738,$F1206)="","",INDEX(選手一覧!$I$7:$I$2738,$F1206))</f>
        <v>136</v>
      </c>
      <c r="I1206" s="16" t="n">
        <f aca="false">IF(INDEX(選手一覧!$J$7:$J$2738,$F1206)="","",INDEX(選手一覧!$J$7:$J$2738,$F1206))</f>
        <v>0.00297037037037037</v>
      </c>
      <c r="J1206" s="17" t="n">
        <f aca="false">IF(INDEX(選手一覧!$K$7:$K$2738,$F1206)="","",INDEX(選手一覧!$K$7:$K$2738,$F1206))</f>
        <v>1311</v>
      </c>
    </row>
    <row r="1207" customFormat="false" ht="15" hidden="false" customHeight="false" outlineLevel="0" collapsed="false">
      <c r="A1207" s="17" t="n">
        <v>1203</v>
      </c>
      <c r="B1207" s="12" t="s">
        <v>1924</v>
      </c>
      <c r="C1207" s="12" t="s">
        <v>544</v>
      </c>
      <c r="D1207" s="16" t="n">
        <v>0.0110524305555556</v>
      </c>
      <c r="E1207" s="15" t="n">
        <f aca="false">ROUND((D1207-$D$5)*86400,2)</f>
        <v>165.19</v>
      </c>
      <c r="F1207" s="17" t="n">
        <v>1202</v>
      </c>
      <c r="G1207" s="16" t="n">
        <f aca="false">IF(INDEX(選手一覧!$H$7:$H$2738,$F1207)="","",INDEX(選手一覧!$H$7:$H$2738,$F1207))</f>
        <v>0.00715798611111111</v>
      </c>
      <c r="H1207" s="17" t="n">
        <f aca="false">IF(INDEX(選手一覧!$I$7:$I$2738,$F1207)="","",INDEX(選手一覧!$I$7:$I$2738,$F1207))</f>
        <v>494</v>
      </c>
      <c r="I1207" s="16" t="n">
        <f aca="false">IF(INDEX(選手一覧!$J$7:$J$2738,$F1207)="","",INDEX(選手一覧!$J$7:$J$2738,$F1207))</f>
        <v>0.00292071759259259</v>
      </c>
      <c r="J1207" s="17" t="n">
        <f aca="false">IF(INDEX(選手一覧!$K$7:$K$2738,$F1207)="","",INDEX(選手一覧!$K$7:$K$2738,$F1207))</f>
        <v>1107</v>
      </c>
    </row>
    <row r="1208" customFormat="false" ht="15" hidden="false" customHeight="false" outlineLevel="0" collapsed="false">
      <c r="A1208" s="17" t="n">
        <v>1204</v>
      </c>
      <c r="B1208" s="12" t="s">
        <v>1925</v>
      </c>
      <c r="C1208" s="12" t="s">
        <v>351</v>
      </c>
      <c r="D1208" s="16" t="n">
        <v>0.011053125</v>
      </c>
      <c r="E1208" s="15" t="n">
        <f aca="false">ROUND((D1208-$D$5)*86400,2)</f>
        <v>165.25</v>
      </c>
      <c r="F1208" s="17" t="n">
        <v>1203</v>
      </c>
      <c r="G1208" s="16" t="str">
        <f aca="false">IF(INDEX(選手一覧!$H$7:$H$2738,$F1208)="","",INDEX(選手一覧!$H$7:$H$2738,$F1208))</f>
        <v/>
      </c>
      <c r="H1208" s="17" t="str">
        <f aca="false">IF(INDEX(選手一覧!$I$7:$I$2738,$F1208)="","",INDEX(選手一覧!$I$7:$I$2738,$F1208))</f>
        <v/>
      </c>
      <c r="I1208" s="16" t="str">
        <f aca="false">IF(INDEX(選手一覧!$J$7:$J$2738,$F1208)="","",INDEX(選手一覧!$J$7:$J$2738,$F1208))</f>
        <v/>
      </c>
      <c r="J1208" s="17" t="str">
        <f aca="false">IF(INDEX(選手一覧!$K$7:$K$2738,$F1208)="","",INDEX(選手一覧!$K$7:$K$2738,$F1208))</f>
        <v/>
      </c>
    </row>
    <row r="1209" customFormat="false" ht="15" hidden="false" customHeight="false" outlineLevel="0" collapsed="false">
      <c r="A1209" s="17" t="n">
        <v>1205</v>
      </c>
      <c r="B1209" s="12" t="s">
        <v>1926</v>
      </c>
      <c r="C1209" s="12" t="s">
        <v>1927</v>
      </c>
      <c r="D1209" s="16" t="n">
        <v>0.0110533564814815</v>
      </c>
      <c r="E1209" s="15" t="n">
        <f aca="false">ROUND((D1209-$D$5)*86400,2)</f>
        <v>165.27</v>
      </c>
      <c r="F1209" s="17" t="n">
        <v>1204</v>
      </c>
      <c r="G1209" s="16" t="str">
        <f aca="false">IF(INDEX(選手一覧!$H$7:$H$2738,$F1209)="","",INDEX(選手一覧!$H$7:$H$2738,$F1209))</f>
        <v/>
      </c>
      <c r="H1209" s="17" t="str">
        <f aca="false">IF(INDEX(選手一覧!$I$7:$I$2738,$F1209)="","",INDEX(選手一覧!$I$7:$I$2738,$F1209))</f>
        <v/>
      </c>
      <c r="I1209" s="16" t="str">
        <f aca="false">IF(INDEX(選手一覧!$J$7:$J$2738,$F1209)="","",INDEX(選手一覧!$J$7:$J$2738,$F1209))</f>
        <v/>
      </c>
      <c r="J1209" s="17" t="str">
        <f aca="false">IF(INDEX(選手一覧!$K$7:$K$2738,$F1209)="","",INDEX(選手一覧!$K$7:$K$2738,$F1209))</f>
        <v/>
      </c>
    </row>
    <row r="1210" customFormat="false" ht="15" hidden="false" customHeight="false" outlineLevel="0" collapsed="false">
      <c r="A1210" s="17" t="n">
        <v>1206</v>
      </c>
      <c r="B1210" s="12" t="s">
        <v>1928</v>
      </c>
      <c r="C1210" s="12" t="s">
        <v>1929</v>
      </c>
      <c r="D1210" s="16" t="n">
        <v>0.0110537037037037</v>
      </c>
      <c r="E1210" s="15" t="n">
        <f aca="false">ROUND((D1210-$D$5)*86400,2)</f>
        <v>165.3</v>
      </c>
      <c r="F1210" s="17" t="n">
        <v>1205</v>
      </c>
      <c r="G1210" s="16" t="n">
        <f aca="false">IF(INDEX(選手一覧!$H$7:$H$2738,$F1210)="","",INDEX(選手一覧!$H$7:$H$2738,$F1210))</f>
        <v>0.00686990740740741</v>
      </c>
      <c r="H1210" s="17" t="n">
        <f aca="false">IF(INDEX(選手一覧!$I$7:$I$2738,$F1210)="","",INDEX(選手一覧!$I$7:$I$2738,$F1210))</f>
        <v>218</v>
      </c>
      <c r="I1210" s="16" t="str">
        <f aca="false">IF(INDEX(選手一覧!$J$7:$J$2738,$F1210)="","",INDEX(選手一覧!$J$7:$J$2738,$F1210))</f>
        <v/>
      </c>
      <c r="J1210" s="17" t="str">
        <f aca="false">IF(INDEX(選手一覧!$K$7:$K$2738,$F1210)="","",INDEX(選手一覧!$K$7:$K$2738,$F1210))</f>
        <v/>
      </c>
    </row>
    <row r="1211" customFormat="false" ht="15" hidden="false" customHeight="false" outlineLevel="0" collapsed="false">
      <c r="A1211" s="17" t="n">
        <v>1207</v>
      </c>
      <c r="B1211" s="12" t="s">
        <v>1930</v>
      </c>
      <c r="C1211" s="12" t="s">
        <v>1931</v>
      </c>
      <c r="D1211" s="16" t="n">
        <v>0.0110538194444444</v>
      </c>
      <c r="E1211" s="15" t="n">
        <f aca="false">ROUND((D1211-$D$5)*86400,2)</f>
        <v>165.31</v>
      </c>
      <c r="F1211" s="17" t="n">
        <v>1206</v>
      </c>
      <c r="G1211" s="16" t="n">
        <f aca="false">IF(INDEX(選手一覧!$H$7:$H$2738,$F1211)="","",INDEX(選手一覧!$H$7:$H$2738,$F1211))</f>
        <v>0.00734479166666667</v>
      </c>
      <c r="H1211" s="17" t="n">
        <f aca="false">IF(INDEX(選手一覧!$I$7:$I$2738,$F1211)="","",INDEX(選手一覧!$I$7:$I$2738,$F1211))</f>
        <v>703</v>
      </c>
      <c r="I1211" s="16" t="str">
        <f aca="false">IF(INDEX(選手一覧!$J$7:$J$2738,$F1211)="","",INDEX(選手一覧!$J$7:$J$2738,$F1211))</f>
        <v/>
      </c>
      <c r="J1211" s="17" t="str">
        <f aca="false">IF(INDEX(選手一覧!$K$7:$K$2738,$F1211)="","",INDEX(選手一覧!$K$7:$K$2738,$F1211))</f>
        <v/>
      </c>
    </row>
    <row r="1212" customFormat="false" ht="15" hidden="false" customHeight="false" outlineLevel="0" collapsed="false">
      <c r="A1212" s="17" t="n">
        <v>1208</v>
      </c>
      <c r="B1212" s="12" t="s">
        <v>1932</v>
      </c>
      <c r="C1212" s="12" t="s">
        <v>137</v>
      </c>
      <c r="D1212" s="16" t="n">
        <v>0.0110539351851852</v>
      </c>
      <c r="E1212" s="15" t="n">
        <f aca="false">ROUND((D1212-$D$5)*86400,2)</f>
        <v>165.32</v>
      </c>
      <c r="F1212" s="17" t="n">
        <v>1207</v>
      </c>
      <c r="G1212" s="16" t="str">
        <f aca="false">IF(INDEX(選手一覧!$H$7:$H$2738,$F1212)="","",INDEX(選手一覧!$H$7:$H$2738,$F1212))</f>
        <v/>
      </c>
      <c r="H1212" s="17" t="str">
        <f aca="false">IF(INDEX(選手一覧!$I$7:$I$2738,$F1212)="","",INDEX(選手一覧!$I$7:$I$2738,$F1212))</f>
        <v/>
      </c>
      <c r="I1212" s="16" t="n">
        <f aca="false">IF(INDEX(選手一覧!$J$7:$J$2738,$F1212)="","",INDEX(選手一覧!$J$7:$J$2738,$F1212))</f>
        <v>0.00292546296296296</v>
      </c>
      <c r="J1212" s="17" t="n">
        <f aca="false">IF(INDEX(選手一覧!$K$7:$K$2738,$F1212)="","",INDEX(選手一覧!$K$7:$K$2738,$F1212))</f>
        <v>1152</v>
      </c>
    </row>
    <row r="1213" customFormat="false" ht="15" hidden="false" customHeight="false" outlineLevel="0" collapsed="false">
      <c r="A1213" s="17" t="n">
        <v>1209</v>
      </c>
      <c r="B1213" s="12" t="s">
        <v>1933</v>
      </c>
      <c r="C1213" s="12" t="s">
        <v>1934</v>
      </c>
      <c r="D1213" s="16" t="n">
        <v>0.0110541666666667</v>
      </c>
      <c r="E1213" s="15" t="n">
        <f aca="false">ROUND((D1213-$D$5)*86400,2)</f>
        <v>165.34</v>
      </c>
      <c r="F1213" s="17" t="n">
        <v>1208</v>
      </c>
      <c r="G1213" s="16" t="str">
        <f aca="false">IF(INDEX(選手一覧!$H$7:$H$2738,$F1213)="","",INDEX(選手一覧!$H$7:$H$2738,$F1213))</f>
        <v/>
      </c>
      <c r="H1213" s="17" t="str">
        <f aca="false">IF(INDEX(選手一覧!$I$7:$I$2738,$F1213)="","",INDEX(選手一覧!$I$7:$I$2738,$F1213))</f>
        <v/>
      </c>
      <c r="I1213" s="16" t="n">
        <f aca="false">IF(INDEX(選手一覧!$J$7:$J$2738,$F1213)="","",INDEX(選手一覧!$J$7:$J$2738,$F1213))</f>
        <v>0.00279490740740741</v>
      </c>
      <c r="J1213" s="17" t="n">
        <f aca="false">IF(INDEX(選手一覧!$K$7:$K$2738,$F1213)="","",INDEX(選手一覧!$K$7:$K$2738,$F1213))</f>
        <v>258</v>
      </c>
    </row>
    <row r="1214" customFormat="false" ht="15" hidden="false" customHeight="false" outlineLevel="0" collapsed="false">
      <c r="A1214" s="17" t="n">
        <v>1210</v>
      </c>
      <c r="B1214" s="12" t="s">
        <v>1935</v>
      </c>
      <c r="C1214" s="12" t="s">
        <v>1852</v>
      </c>
      <c r="D1214" s="16" t="n">
        <v>0.0110561342592593</v>
      </c>
      <c r="E1214" s="15" t="n">
        <f aca="false">ROUND((D1214-$D$5)*86400,2)</f>
        <v>165.51</v>
      </c>
      <c r="F1214" s="17" t="n">
        <v>1209</v>
      </c>
      <c r="G1214" s="16" t="str">
        <f aca="false">IF(INDEX(選手一覧!$H$7:$H$2738,$F1214)="","",INDEX(選手一覧!$H$7:$H$2738,$F1214))</f>
        <v/>
      </c>
      <c r="H1214" s="17" t="str">
        <f aca="false">IF(INDEX(選手一覧!$I$7:$I$2738,$F1214)="","",INDEX(選手一覧!$I$7:$I$2738,$F1214))</f>
        <v/>
      </c>
      <c r="I1214" s="16" t="n">
        <f aca="false">IF(INDEX(選手一覧!$J$7:$J$2738,$F1214)="","",INDEX(選手一覧!$J$7:$J$2738,$F1214))</f>
        <v>0.00292199074074074</v>
      </c>
      <c r="J1214" s="17" t="n">
        <f aca="false">IF(INDEX(選手一覧!$K$7:$K$2738,$F1214)="","",INDEX(選手一覧!$K$7:$K$2738,$F1214))</f>
        <v>1112</v>
      </c>
    </row>
    <row r="1215" customFormat="false" ht="15" hidden="false" customHeight="false" outlineLevel="0" collapsed="false">
      <c r="A1215" s="17" t="n">
        <v>1211</v>
      </c>
      <c r="B1215" s="12" t="s">
        <v>1936</v>
      </c>
      <c r="C1215" s="12" t="s">
        <v>1937</v>
      </c>
      <c r="D1215" s="16" t="n">
        <v>0.0110569444444445</v>
      </c>
      <c r="E1215" s="15" t="n">
        <f aca="false">ROUND((D1215-$D$5)*86400,2)</f>
        <v>165.58</v>
      </c>
      <c r="F1215" s="17" t="n">
        <v>1210</v>
      </c>
      <c r="G1215" s="16" t="str">
        <f aca="false">IF(INDEX(選手一覧!$H$7:$H$2738,$F1215)="","",INDEX(選手一覧!$H$7:$H$2738,$F1215))</f>
        <v/>
      </c>
      <c r="H1215" s="17" t="str">
        <f aca="false">IF(INDEX(選手一覧!$I$7:$I$2738,$F1215)="","",INDEX(選手一覧!$I$7:$I$2738,$F1215))</f>
        <v/>
      </c>
      <c r="I1215" s="16" t="str">
        <f aca="false">IF(INDEX(選手一覧!$J$7:$J$2738,$F1215)="","",INDEX(選手一覧!$J$7:$J$2738,$F1215))</f>
        <v/>
      </c>
      <c r="J1215" s="17" t="str">
        <f aca="false">IF(INDEX(選手一覧!$K$7:$K$2738,$F1215)="","",INDEX(選手一覧!$K$7:$K$2738,$F1215))</f>
        <v/>
      </c>
    </row>
    <row r="1216" customFormat="false" ht="15" hidden="false" customHeight="false" outlineLevel="0" collapsed="false">
      <c r="A1216" s="17" t="n">
        <v>1212</v>
      </c>
      <c r="B1216" s="12" t="s">
        <v>1938</v>
      </c>
      <c r="C1216" s="12" t="s">
        <v>1939</v>
      </c>
      <c r="D1216" s="16" t="n">
        <v>0.0110578703703704</v>
      </c>
      <c r="E1216" s="15" t="n">
        <f aca="false">ROUND((D1216-$D$5)*86400,2)</f>
        <v>165.66</v>
      </c>
      <c r="F1216" s="17" t="n">
        <v>1211</v>
      </c>
      <c r="G1216" s="16" t="n">
        <f aca="false">IF(INDEX(選手一覧!$H$7:$H$2738,$F1216)="","",INDEX(選手一覧!$H$7:$H$2738,$F1216))</f>
        <v>0.007896875</v>
      </c>
      <c r="H1216" s="17" t="n">
        <f aca="false">IF(INDEX(選手一覧!$I$7:$I$2738,$F1216)="","",INDEX(選手一覧!$I$7:$I$2738,$F1216))</f>
        <v>1162</v>
      </c>
      <c r="I1216" s="16" t="str">
        <f aca="false">IF(INDEX(選手一覧!$J$7:$J$2738,$F1216)="","",INDEX(選手一覧!$J$7:$J$2738,$F1216))</f>
        <v/>
      </c>
      <c r="J1216" s="17" t="str">
        <f aca="false">IF(INDEX(選手一覧!$K$7:$K$2738,$F1216)="","",INDEX(選手一覧!$K$7:$K$2738,$F1216))</f>
        <v/>
      </c>
    </row>
    <row r="1217" customFormat="false" ht="15" hidden="false" customHeight="false" outlineLevel="0" collapsed="false">
      <c r="A1217" s="17" t="n">
        <v>1213</v>
      </c>
      <c r="B1217" s="12" t="s">
        <v>1940</v>
      </c>
      <c r="C1217" s="12" t="s">
        <v>380</v>
      </c>
      <c r="D1217" s="16" t="n">
        <v>0.0110579861111111</v>
      </c>
      <c r="E1217" s="15" t="n">
        <f aca="false">ROUND((D1217-$D$5)*86400,2)</f>
        <v>165.67</v>
      </c>
      <c r="F1217" s="17" t="n">
        <v>1212</v>
      </c>
      <c r="G1217" s="16" t="n">
        <f aca="false">IF(INDEX(選手一覧!$H$7:$H$2738,$F1217)="","",INDEX(選手一覧!$H$7:$H$2738,$F1217))</f>
        <v>0.00686655092592593</v>
      </c>
      <c r="H1217" s="17" t="n">
        <f aca="false">IF(INDEX(選手一覧!$I$7:$I$2738,$F1217)="","",INDEX(選手一覧!$I$7:$I$2738,$F1217))</f>
        <v>215</v>
      </c>
      <c r="I1217" s="16" t="str">
        <f aca="false">IF(INDEX(選手一覧!$J$7:$J$2738,$F1217)="","",INDEX(選手一覧!$J$7:$J$2738,$F1217))</f>
        <v/>
      </c>
      <c r="J1217" s="17" t="str">
        <f aca="false">IF(INDEX(選手一覧!$K$7:$K$2738,$F1217)="","",INDEX(選手一覧!$K$7:$K$2738,$F1217))</f>
        <v/>
      </c>
    </row>
    <row r="1218" customFormat="false" ht="15" hidden="false" customHeight="false" outlineLevel="0" collapsed="false">
      <c r="A1218" s="17" t="n">
        <v>1214</v>
      </c>
      <c r="B1218" s="12" t="s">
        <v>1941</v>
      </c>
      <c r="C1218" s="12" t="s">
        <v>478</v>
      </c>
      <c r="D1218" s="16" t="n">
        <v>0.0110586805555556</v>
      </c>
      <c r="E1218" s="15" t="n">
        <f aca="false">ROUND((D1218-$D$5)*86400,2)</f>
        <v>165.73</v>
      </c>
      <c r="F1218" s="17" t="n">
        <v>1213</v>
      </c>
      <c r="G1218" s="16" t="str">
        <f aca="false">IF(INDEX(選手一覧!$H$7:$H$2738,$F1218)="","",INDEX(選手一覧!$H$7:$H$2738,$F1218))</f>
        <v/>
      </c>
      <c r="H1218" s="17" t="str">
        <f aca="false">IF(INDEX(選手一覧!$I$7:$I$2738,$F1218)="","",INDEX(選手一覧!$I$7:$I$2738,$F1218))</f>
        <v/>
      </c>
      <c r="I1218" s="16" t="str">
        <f aca="false">IF(INDEX(選手一覧!$J$7:$J$2738,$F1218)="","",INDEX(選手一覧!$J$7:$J$2738,$F1218))</f>
        <v/>
      </c>
      <c r="J1218" s="17" t="str">
        <f aca="false">IF(INDEX(選手一覧!$K$7:$K$2738,$F1218)="","",INDEX(選手一覧!$K$7:$K$2738,$F1218))</f>
        <v/>
      </c>
    </row>
    <row r="1219" customFormat="false" ht="15" hidden="false" customHeight="false" outlineLevel="0" collapsed="false">
      <c r="A1219" s="17" t="n">
        <v>1215</v>
      </c>
      <c r="B1219" s="12" t="s">
        <v>1942</v>
      </c>
      <c r="C1219" s="12" t="s">
        <v>1732</v>
      </c>
      <c r="D1219" s="16" t="n">
        <v>0.0110605324074074</v>
      </c>
      <c r="E1219" s="15" t="n">
        <f aca="false">ROUND((D1219-$D$5)*86400,2)</f>
        <v>165.89</v>
      </c>
      <c r="F1219" s="17" t="n">
        <v>1214</v>
      </c>
      <c r="G1219" s="16" t="n">
        <f aca="false">IF(INDEX(選手一覧!$H$7:$H$2738,$F1219)="","",INDEX(選手一覧!$H$7:$H$2738,$F1219))</f>
        <v>0.00772546296296296</v>
      </c>
      <c r="H1219" s="17" t="n">
        <f aca="false">IF(INDEX(選手一覧!$I$7:$I$2738,$F1219)="","",INDEX(選手一覧!$I$7:$I$2738,$F1219))</f>
        <v>1091</v>
      </c>
      <c r="I1219" s="16" t="str">
        <f aca="false">IF(INDEX(選手一覧!$J$7:$J$2738,$F1219)="","",INDEX(選手一覧!$J$7:$J$2738,$F1219))</f>
        <v/>
      </c>
      <c r="J1219" s="17" t="str">
        <f aca="false">IF(INDEX(選手一覧!$K$7:$K$2738,$F1219)="","",INDEX(選手一覧!$K$7:$K$2738,$F1219))</f>
        <v/>
      </c>
    </row>
    <row r="1220" customFormat="false" ht="15" hidden="false" customHeight="false" outlineLevel="0" collapsed="false">
      <c r="A1220" s="17" t="n">
        <v>1216</v>
      </c>
      <c r="B1220" s="12" t="s">
        <v>1943</v>
      </c>
      <c r="C1220" s="12" t="s">
        <v>1944</v>
      </c>
      <c r="D1220" s="16" t="n">
        <v>0.0110606481481482</v>
      </c>
      <c r="E1220" s="15" t="n">
        <f aca="false">ROUND((D1220-$D$5)*86400,2)</f>
        <v>165.9</v>
      </c>
      <c r="F1220" s="17" t="n">
        <v>1215</v>
      </c>
      <c r="G1220" s="16" t="str">
        <f aca="false">IF(INDEX(選手一覧!$H$7:$H$2738,$F1220)="","",INDEX(選手一覧!$H$7:$H$2738,$F1220))</f>
        <v/>
      </c>
      <c r="H1220" s="17" t="str">
        <f aca="false">IF(INDEX(選手一覧!$I$7:$I$2738,$F1220)="","",INDEX(選手一覧!$I$7:$I$2738,$F1220))</f>
        <v/>
      </c>
      <c r="I1220" s="16" t="n">
        <f aca="false">IF(INDEX(選手一覧!$J$7:$J$2738,$F1220)="","",INDEX(選手一覧!$J$7:$J$2738,$F1220))</f>
        <v>0.00284444444444444</v>
      </c>
      <c r="J1220" s="17" t="n">
        <f aca="false">IF(INDEX(選手一覧!$K$7:$K$2738,$F1220)="","",INDEX(選手一覧!$K$7:$K$2738,$F1220))</f>
        <v>530</v>
      </c>
    </row>
    <row r="1221" customFormat="false" ht="15" hidden="false" customHeight="false" outlineLevel="0" collapsed="false">
      <c r="A1221" s="17" t="n">
        <v>1217</v>
      </c>
      <c r="B1221" s="12" t="s">
        <v>1945</v>
      </c>
      <c r="C1221" s="12" t="s">
        <v>297</v>
      </c>
      <c r="D1221" s="16" t="n">
        <v>0.0110608796296296</v>
      </c>
      <c r="E1221" s="15" t="n">
        <f aca="false">ROUND((D1221-$D$5)*86400,2)</f>
        <v>165.92</v>
      </c>
      <c r="F1221" s="17" t="n">
        <v>1216</v>
      </c>
      <c r="G1221" s="16" t="n">
        <f aca="false">IF(INDEX(選手一覧!$H$7:$H$2738,$F1221)="","",INDEX(選手一覧!$H$7:$H$2738,$F1221))</f>
        <v>0.00682800925925926</v>
      </c>
      <c r="H1221" s="17" t="n">
        <f aca="false">IF(INDEX(選手一覧!$I$7:$I$2738,$F1221)="","",INDEX(選手一覧!$I$7:$I$2738,$F1221))</f>
        <v>191</v>
      </c>
      <c r="I1221" s="16" t="str">
        <f aca="false">IF(INDEX(選手一覧!$J$7:$J$2738,$F1221)="","",INDEX(選手一覧!$J$7:$J$2738,$F1221))</f>
        <v/>
      </c>
      <c r="J1221" s="17" t="str">
        <f aca="false">IF(INDEX(選手一覧!$K$7:$K$2738,$F1221)="","",INDEX(選手一覧!$K$7:$K$2738,$F1221))</f>
        <v/>
      </c>
    </row>
    <row r="1222" customFormat="false" ht="15" hidden="false" customHeight="false" outlineLevel="0" collapsed="false">
      <c r="A1222" s="17" t="n">
        <v>1218</v>
      </c>
      <c r="B1222" s="12" t="s">
        <v>1946</v>
      </c>
      <c r="C1222" s="12" t="s">
        <v>219</v>
      </c>
      <c r="D1222" s="16" t="n">
        <v>0.0110609953703704</v>
      </c>
      <c r="E1222" s="15" t="n">
        <f aca="false">ROUND((D1222-$D$5)*86400,2)</f>
        <v>165.93</v>
      </c>
      <c r="F1222" s="17" t="n">
        <v>1217</v>
      </c>
      <c r="G1222" s="16" t="str">
        <f aca="false">IF(INDEX(選手一覧!$H$7:$H$2738,$F1222)="","",INDEX(選手一覧!$H$7:$H$2738,$F1222))</f>
        <v/>
      </c>
      <c r="H1222" s="17" t="str">
        <f aca="false">IF(INDEX(選手一覧!$I$7:$I$2738,$F1222)="","",INDEX(選手一覧!$I$7:$I$2738,$F1222))</f>
        <v/>
      </c>
      <c r="I1222" s="16" t="n">
        <f aca="false">IF(INDEX(選手一覧!$J$7:$J$2738,$F1222)="","",INDEX(選手一覧!$J$7:$J$2738,$F1222))</f>
        <v>0.00280462962962963</v>
      </c>
      <c r="J1222" s="17" t="n">
        <f aca="false">IF(INDEX(選手一覧!$K$7:$K$2738,$F1222)="","",INDEX(選手一覧!$K$7:$K$2738,$F1222))</f>
        <v>301</v>
      </c>
    </row>
    <row r="1223" customFormat="false" ht="15" hidden="false" customHeight="false" outlineLevel="0" collapsed="false">
      <c r="A1223" s="17" t="n">
        <v>1219</v>
      </c>
      <c r="B1223" s="12" t="s">
        <v>1947</v>
      </c>
      <c r="C1223" s="12" t="s">
        <v>1948</v>
      </c>
      <c r="D1223" s="16" t="n">
        <v>0.0110611111111111</v>
      </c>
      <c r="E1223" s="15" t="n">
        <f aca="false">ROUND((D1223-$D$5)*86400,2)</f>
        <v>165.94</v>
      </c>
      <c r="F1223" s="17" t="n">
        <v>1218</v>
      </c>
      <c r="G1223" s="16" t="str">
        <f aca="false">IF(INDEX(選手一覧!$H$7:$H$2738,$F1223)="","",INDEX(選手一覧!$H$7:$H$2738,$F1223))</f>
        <v/>
      </c>
      <c r="H1223" s="17" t="str">
        <f aca="false">IF(INDEX(選手一覧!$I$7:$I$2738,$F1223)="","",INDEX(選手一覧!$I$7:$I$2738,$F1223))</f>
        <v/>
      </c>
      <c r="I1223" s="16" t="str">
        <f aca="false">IF(INDEX(選手一覧!$J$7:$J$2738,$F1223)="","",INDEX(選手一覧!$J$7:$J$2738,$F1223))</f>
        <v/>
      </c>
      <c r="J1223" s="17" t="str">
        <f aca="false">IF(INDEX(選手一覧!$K$7:$K$2738,$F1223)="","",INDEX(選手一覧!$K$7:$K$2738,$F1223))</f>
        <v/>
      </c>
    </row>
    <row r="1224" customFormat="false" ht="15" hidden="false" customHeight="false" outlineLevel="0" collapsed="false">
      <c r="A1224" s="17" t="n">
        <v>1220</v>
      </c>
      <c r="B1224" s="12" t="s">
        <v>1949</v>
      </c>
      <c r="C1224" s="12" t="s">
        <v>1950</v>
      </c>
      <c r="D1224" s="16" t="n">
        <v>0.0110612268518519</v>
      </c>
      <c r="E1224" s="15" t="n">
        <f aca="false">ROUND((D1224-$D$5)*86400,2)</f>
        <v>165.95</v>
      </c>
      <c r="F1224" s="17" t="n">
        <v>1219</v>
      </c>
      <c r="G1224" s="16" t="n">
        <f aca="false">IF(INDEX(選手一覧!$H$7:$H$2738,$F1224)="","",INDEX(選手一覧!$H$7:$H$2738,$F1224))</f>
        <v>0.00689340277777778</v>
      </c>
      <c r="H1224" s="17" t="n">
        <f aca="false">IF(INDEX(選手一覧!$I$7:$I$2738,$F1224)="","",INDEX(選手一覧!$I$7:$I$2738,$F1224))</f>
        <v>234</v>
      </c>
      <c r="I1224" s="16" t="n">
        <f aca="false">IF(INDEX(選手一覧!$J$7:$J$2738,$F1224)="","",INDEX(選手一覧!$J$7:$J$2738,$F1224))</f>
        <v>0.00296643518518519</v>
      </c>
      <c r="J1224" s="17" t="n">
        <f aca="false">IF(INDEX(選手一覧!$K$7:$K$2738,$F1224)="","",INDEX(選手一覧!$K$7:$K$2738,$F1224))</f>
        <v>1298</v>
      </c>
    </row>
    <row r="1225" customFormat="false" ht="15" hidden="false" customHeight="false" outlineLevel="0" collapsed="false">
      <c r="A1225" s="17" t="n">
        <v>1221</v>
      </c>
      <c r="B1225" s="12" t="s">
        <v>1951</v>
      </c>
      <c r="C1225" s="12" t="s">
        <v>1952</v>
      </c>
      <c r="D1225" s="16" t="n">
        <v>0.0110622685185185</v>
      </c>
      <c r="E1225" s="15" t="n">
        <f aca="false">ROUND((D1225-$D$5)*86400,2)</f>
        <v>166.04</v>
      </c>
      <c r="F1225" s="17" t="n">
        <v>1220</v>
      </c>
      <c r="G1225" s="16" t="n">
        <f aca="false">IF(INDEX(選手一覧!$H$7:$H$2738,$F1225)="","",INDEX(選手一覧!$H$7:$H$2738,$F1225))</f>
        <v>0.00730798611111111</v>
      </c>
      <c r="H1225" s="17" t="n">
        <f aca="false">IF(INDEX(選手一覧!$I$7:$I$2738,$F1225)="","",INDEX(選手一覧!$I$7:$I$2738,$F1225))</f>
        <v>657</v>
      </c>
      <c r="I1225" s="16" t="str">
        <f aca="false">IF(INDEX(選手一覧!$J$7:$J$2738,$F1225)="","",INDEX(選手一覧!$J$7:$J$2738,$F1225))</f>
        <v/>
      </c>
      <c r="J1225" s="17" t="str">
        <f aca="false">IF(INDEX(選手一覧!$K$7:$K$2738,$F1225)="","",INDEX(選手一覧!$K$7:$K$2738,$F1225))</f>
        <v/>
      </c>
    </row>
    <row r="1226" customFormat="false" ht="15" hidden="false" customHeight="false" outlineLevel="0" collapsed="false">
      <c r="A1226" s="17" t="n">
        <v>1222</v>
      </c>
      <c r="B1226" s="12" t="s">
        <v>1953</v>
      </c>
      <c r="C1226" s="12" t="s">
        <v>290</v>
      </c>
      <c r="D1226" s="16" t="n">
        <v>0.0110628472222222</v>
      </c>
      <c r="E1226" s="15" t="n">
        <f aca="false">ROUND((D1226-$D$5)*86400,2)</f>
        <v>166.09</v>
      </c>
      <c r="F1226" s="17" t="n">
        <v>1221</v>
      </c>
      <c r="G1226" s="16" t="str">
        <f aca="false">IF(INDEX(選手一覧!$H$7:$H$2738,$F1226)="","",INDEX(選手一覧!$H$7:$H$2738,$F1226))</f>
        <v/>
      </c>
      <c r="H1226" s="17" t="str">
        <f aca="false">IF(INDEX(選手一覧!$I$7:$I$2738,$F1226)="","",INDEX(選手一覧!$I$7:$I$2738,$F1226))</f>
        <v/>
      </c>
      <c r="I1226" s="16" t="str">
        <f aca="false">IF(INDEX(選手一覧!$J$7:$J$2738,$F1226)="","",INDEX(選手一覧!$J$7:$J$2738,$F1226))</f>
        <v/>
      </c>
      <c r="J1226" s="17" t="str">
        <f aca="false">IF(INDEX(選手一覧!$K$7:$K$2738,$F1226)="","",INDEX(選手一覧!$K$7:$K$2738,$F1226))</f>
        <v/>
      </c>
    </row>
    <row r="1227" customFormat="false" ht="15" hidden="false" customHeight="false" outlineLevel="0" collapsed="false">
      <c r="A1227" s="17" t="n">
        <v>1223</v>
      </c>
      <c r="B1227" s="12" t="s">
        <v>1954</v>
      </c>
      <c r="C1227" s="12" t="s">
        <v>406</v>
      </c>
      <c r="D1227" s="16" t="n">
        <v>0.0110631944444444</v>
      </c>
      <c r="E1227" s="15" t="n">
        <f aca="false">ROUND((D1227-$D$5)*86400,2)</f>
        <v>166.12</v>
      </c>
      <c r="F1227" s="17" t="n">
        <v>1222</v>
      </c>
      <c r="G1227" s="16" t="str">
        <f aca="false">IF(INDEX(選手一覧!$H$7:$H$2738,$F1227)="","",INDEX(選手一覧!$H$7:$H$2738,$F1227))</f>
        <v/>
      </c>
      <c r="H1227" s="17" t="str">
        <f aca="false">IF(INDEX(選手一覧!$I$7:$I$2738,$F1227)="","",INDEX(選手一覧!$I$7:$I$2738,$F1227))</f>
        <v/>
      </c>
      <c r="I1227" s="16" t="str">
        <f aca="false">IF(INDEX(選手一覧!$J$7:$J$2738,$F1227)="","",INDEX(選手一覧!$J$7:$J$2738,$F1227))</f>
        <v/>
      </c>
      <c r="J1227" s="17" t="str">
        <f aca="false">IF(INDEX(選手一覧!$K$7:$K$2738,$F1227)="","",INDEX(選手一覧!$K$7:$K$2738,$F1227))</f>
        <v/>
      </c>
    </row>
    <row r="1228" customFormat="false" ht="15" hidden="false" customHeight="false" outlineLevel="0" collapsed="false">
      <c r="A1228" s="17" t="n">
        <v>1224</v>
      </c>
      <c r="B1228" s="12" t="s">
        <v>1955</v>
      </c>
      <c r="C1228" s="12" t="s">
        <v>129</v>
      </c>
      <c r="D1228" s="16" t="n">
        <v>0.0110635416666667</v>
      </c>
      <c r="E1228" s="15" t="n">
        <f aca="false">ROUND((D1228-$D$5)*86400,2)</f>
        <v>166.15</v>
      </c>
      <c r="F1228" s="17" t="n">
        <v>1223</v>
      </c>
      <c r="G1228" s="16" t="str">
        <f aca="false">IF(INDEX(選手一覧!$H$7:$H$2738,$F1228)="","",INDEX(選手一覧!$H$7:$H$2738,$F1228))</f>
        <v/>
      </c>
      <c r="H1228" s="17" t="str">
        <f aca="false">IF(INDEX(選手一覧!$I$7:$I$2738,$F1228)="","",INDEX(選手一覧!$I$7:$I$2738,$F1228))</f>
        <v/>
      </c>
      <c r="I1228" s="16" t="str">
        <f aca="false">IF(INDEX(選手一覧!$J$7:$J$2738,$F1228)="","",INDEX(選手一覧!$J$7:$J$2738,$F1228))</f>
        <v/>
      </c>
      <c r="J1228" s="17" t="str">
        <f aca="false">IF(INDEX(選手一覧!$K$7:$K$2738,$F1228)="","",INDEX(選手一覧!$K$7:$K$2738,$F1228))</f>
        <v/>
      </c>
    </row>
    <row r="1229" customFormat="false" ht="15" hidden="false" customHeight="false" outlineLevel="0" collapsed="false">
      <c r="A1229" s="17" t="n">
        <v>1225</v>
      </c>
      <c r="B1229" s="12" t="s">
        <v>1956</v>
      </c>
      <c r="C1229" s="12" t="s">
        <v>1957</v>
      </c>
      <c r="D1229" s="16" t="n">
        <v>0.011065162037037</v>
      </c>
      <c r="E1229" s="15" t="n">
        <f aca="false">ROUND((D1229-$D$5)*86400,2)</f>
        <v>166.29</v>
      </c>
      <c r="F1229" s="17" t="n">
        <v>1224</v>
      </c>
      <c r="G1229" s="16" t="str">
        <f aca="false">IF(INDEX(選手一覧!$H$7:$H$2738,$F1229)="","",INDEX(選手一覧!$H$7:$H$2738,$F1229))</f>
        <v/>
      </c>
      <c r="H1229" s="17" t="str">
        <f aca="false">IF(INDEX(選手一覧!$I$7:$I$2738,$F1229)="","",INDEX(選手一覧!$I$7:$I$2738,$F1229))</f>
        <v/>
      </c>
      <c r="I1229" s="16" t="str">
        <f aca="false">IF(INDEX(選手一覧!$J$7:$J$2738,$F1229)="","",INDEX(選手一覧!$J$7:$J$2738,$F1229))</f>
        <v/>
      </c>
      <c r="J1229" s="17" t="str">
        <f aca="false">IF(INDEX(選手一覧!$K$7:$K$2738,$F1229)="","",INDEX(選手一覧!$K$7:$K$2738,$F1229))</f>
        <v/>
      </c>
    </row>
    <row r="1230" customFormat="false" ht="15" hidden="false" customHeight="false" outlineLevel="0" collapsed="false">
      <c r="A1230" s="17" t="n">
        <v>1226</v>
      </c>
      <c r="B1230" s="12" t="s">
        <v>1958</v>
      </c>
      <c r="C1230" s="12" t="s">
        <v>1346</v>
      </c>
      <c r="D1230" s="16" t="n">
        <v>0.0110658564814815</v>
      </c>
      <c r="E1230" s="15" t="n">
        <f aca="false">ROUND((D1230-$D$5)*86400,2)</f>
        <v>166.35</v>
      </c>
      <c r="F1230" s="17" t="n">
        <v>1225</v>
      </c>
      <c r="G1230" s="16" t="str">
        <f aca="false">IF(INDEX(選手一覧!$H$7:$H$2738,$F1230)="","",INDEX(選手一覧!$H$7:$H$2738,$F1230))</f>
        <v/>
      </c>
      <c r="H1230" s="17" t="str">
        <f aca="false">IF(INDEX(選手一覧!$I$7:$I$2738,$F1230)="","",INDEX(選手一覧!$I$7:$I$2738,$F1230))</f>
        <v/>
      </c>
      <c r="I1230" s="16" t="str">
        <f aca="false">IF(INDEX(選手一覧!$J$7:$J$2738,$F1230)="","",INDEX(選手一覧!$J$7:$J$2738,$F1230))</f>
        <v/>
      </c>
      <c r="J1230" s="17" t="str">
        <f aca="false">IF(INDEX(選手一覧!$K$7:$K$2738,$F1230)="","",INDEX(選手一覧!$K$7:$K$2738,$F1230))</f>
        <v/>
      </c>
    </row>
    <row r="1231" customFormat="false" ht="15" hidden="false" customHeight="false" outlineLevel="0" collapsed="false">
      <c r="A1231" s="17" t="n">
        <v>1227</v>
      </c>
      <c r="B1231" s="12" t="s">
        <v>1959</v>
      </c>
      <c r="C1231" s="12" t="s">
        <v>795</v>
      </c>
      <c r="D1231" s="16" t="n">
        <v>0.011066087962963</v>
      </c>
      <c r="E1231" s="15" t="n">
        <f aca="false">ROUND((D1231-$D$5)*86400,2)</f>
        <v>166.37</v>
      </c>
      <c r="F1231" s="17" t="n">
        <v>1226</v>
      </c>
      <c r="G1231" s="16" t="n">
        <f aca="false">IF(INDEX(選手一覧!$H$7:$H$2738,$F1231)="","",INDEX(選手一覧!$H$7:$H$2738,$F1231))</f>
        <v>0.0069525462962963</v>
      </c>
      <c r="H1231" s="17" t="n">
        <f aca="false">IF(INDEX(選手一覧!$I$7:$I$2738,$F1231)="","",INDEX(選手一覧!$I$7:$I$2738,$F1231))</f>
        <v>287</v>
      </c>
      <c r="I1231" s="16" t="str">
        <f aca="false">IF(INDEX(選手一覧!$J$7:$J$2738,$F1231)="","",INDEX(選手一覧!$J$7:$J$2738,$F1231))</f>
        <v/>
      </c>
      <c r="J1231" s="17" t="str">
        <f aca="false">IF(INDEX(選手一覧!$K$7:$K$2738,$F1231)="","",INDEX(選手一覧!$K$7:$K$2738,$F1231))</f>
        <v/>
      </c>
    </row>
    <row r="1232" customFormat="false" ht="15" hidden="false" customHeight="false" outlineLevel="0" collapsed="false">
      <c r="A1232" s="17" t="n">
        <v>1228</v>
      </c>
      <c r="B1232" s="12" t="s">
        <v>1960</v>
      </c>
      <c r="C1232" s="12" t="s">
        <v>1961</v>
      </c>
      <c r="D1232" s="16" t="n">
        <v>0.0110662037037037</v>
      </c>
      <c r="E1232" s="15" t="n">
        <f aca="false">ROUND((D1232-$D$5)*86400,2)</f>
        <v>166.38</v>
      </c>
      <c r="F1232" s="17" t="n">
        <v>1227</v>
      </c>
      <c r="G1232" s="16" t="str">
        <f aca="false">IF(INDEX(選手一覧!$H$7:$H$2738,$F1232)="","",INDEX(選手一覧!$H$7:$H$2738,$F1232))</f>
        <v/>
      </c>
      <c r="H1232" s="17" t="str">
        <f aca="false">IF(INDEX(選手一覧!$I$7:$I$2738,$F1232)="","",INDEX(選手一覧!$I$7:$I$2738,$F1232))</f>
        <v/>
      </c>
      <c r="I1232" s="16" t="n">
        <f aca="false">IF(INDEX(選手一覧!$J$7:$J$2738,$F1232)="","",INDEX(選手一覧!$J$7:$J$2738,$F1232))</f>
        <v>0.00284479166666667</v>
      </c>
      <c r="J1232" s="17" t="n">
        <f aca="false">IF(INDEX(選手一覧!$K$7:$K$2738,$F1232)="","",INDEX(選手一覧!$K$7:$K$2738,$F1232))</f>
        <v>534</v>
      </c>
    </row>
    <row r="1233" customFormat="false" ht="15" hidden="false" customHeight="false" outlineLevel="0" collapsed="false">
      <c r="A1233" s="17" t="n">
        <v>1229</v>
      </c>
      <c r="B1233" s="12" t="s">
        <v>1962</v>
      </c>
      <c r="C1233" s="12" t="s">
        <v>240</v>
      </c>
      <c r="D1233" s="16" t="n">
        <v>0.0110665509259259</v>
      </c>
      <c r="E1233" s="15" t="n">
        <f aca="false">ROUND((D1233-$D$5)*86400,2)</f>
        <v>166.41</v>
      </c>
      <c r="F1233" s="17" t="n">
        <v>1228</v>
      </c>
      <c r="G1233" s="16" t="str">
        <f aca="false">IF(INDEX(選手一覧!$H$7:$H$2738,$F1233)="","",INDEX(選手一覧!$H$7:$H$2738,$F1233))</f>
        <v/>
      </c>
      <c r="H1233" s="17" t="str">
        <f aca="false">IF(INDEX(選手一覧!$I$7:$I$2738,$F1233)="","",INDEX(選手一覧!$I$7:$I$2738,$F1233))</f>
        <v/>
      </c>
      <c r="I1233" s="16" t="str">
        <f aca="false">IF(INDEX(選手一覧!$J$7:$J$2738,$F1233)="","",INDEX(選手一覧!$J$7:$J$2738,$F1233))</f>
        <v/>
      </c>
      <c r="J1233" s="17" t="str">
        <f aca="false">IF(INDEX(選手一覧!$K$7:$K$2738,$F1233)="","",INDEX(選手一覧!$K$7:$K$2738,$F1233))</f>
        <v/>
      </c>
    </row>
    <row r="1234" customFormat="false" ht="15" hidden="false" customHeight="false" outlineLevel="0" collapsed="false">
      <c r="A1234" s="17" t="n">
        <v>1230</v>
      </c>
      <c r="B1234" s="12" t="s">
        <v>1963</v>
      </c>
      <c r="C1234" s="12" t="s">
        <v>1964</v>
      </c>
      <c r="D1234" s="16" t="n">
        <v>0.0110668981481482</v>
      </c>
      <c r="E1234" s="15" t="n">
        <f aca="false">ROUND((D1234-$D$5)*86400,2)</f>
        <v>166.44</v>
      </c>
      <c r="F1234" s="17" t="n">
        <v>1229</v>
      </c>
      <c r="G1234" s="16" t="str">
        <f aca="false">IF(INDEX(選手一覧!$H$7:$H$2738,$F1234)="","",INDEX(選手一覧!$H$7:$H$2738,$F1234))</f>
        <v/>
      </c>
      <c r="H1234" s="17" t="str">
        <f aca="false">IF(INDEX(選手一覧!$I$7:$I$2738,$F1234)="","",INDEX(選手一覧!$I$7:$I$2738,$F1234))</f>
        <v/>
      </c>
      <c r="I1234" s="16" t="str">
        <f aca="false">IF(INDEX(選手一覧!$J$7:$J$2738,$F1234)="","",INDEX(選手一覧!$J$7:$J$2738,$F1234))</f>
        <v/>
      </c>
      <c r="J1234" s="17" t="str">
        <f aca="false">IF(INDEX(選手一覧!$K$7:$K$2738,$F1234)="","",INDEX(選手一覧!$K$7:$K$2738,$F1234))</f>
        <v/>
      </c>
    </row>
    <row r="1235" customFormat="false" ht="15" hidden="false" customHeight="false" outlineLevel="0" collapsed="false">
      <c r="A1235" s="17" t="n">
        <v>1231</v>
      </c>
      <c r="B1235" s="12" t="s">
        <v>1965</v>
      </c>
      <c r="C1235" s="12" t="s">
        <v>281</v>
      </c>
      <c r="D1235" s="16" t="n">
        <v>0.0110670138888889</v>
      </c>
      <c r="E1235" s="15" t="n">
        <f aca="false">ROUND((D1235-$D$5)*86400,2)</f>
        <v>166.45</v>
      </c>
      <c r="F1235" s="17" t="n">
        <v>1230</v>
      </c>
      <c r="G1235" s="16" t="str">
        <f aca="false">IF(INDEX(選手一覧!$H$7:$H$2738,$F1235)="","",INDEX(選手一覧!$H$7:$H$2738,$F1235))</f>
        <v/>
      </c>
      <c r="H1235" s="17" t="str">
        <f aca="false">IF(INDEX(選手一覧!$I$7:$I$2738,$F1235)="","",INDEX(選手一覧!$I$7:$I$2738,$F1235))</f>
        <v/>
      </c>
      <c r="I1235" s="16" t="str">
        <f aca="false">IF(INDEX(選手一覧!$J$7:$J$2738,$F1235)="","",INDEX(選手一覧!$J$7:$J$2738,$F1235))</f>
        <v/>
      </c>
      <c r="J1235" s="17" t="str">
        <f aca="false">IF(INDEX(選手一覧!$K$7:$K$2738,$F1235)="","",INDEX(選手一覧!$K$7:$K$2738,$F1235))</f>
        <v/>
      </c>
    </row>
    <row r="1236" customFormat="false" ht="15" hidden="false" customHeight="false" outlineLevel="0" collapsed="false">
      <c r="A1236" s="17" t="n">
        <v>1232</v>
      </c>
      <c r="B1236" s="12" t="s">
        <v>1966</v>
      </c>
      <c r="C1236" s="12" t="s">
        <v>648</v>
      </c>
      <c r="D1236" s="16" t="n">
        <v>0.0110673611111111</v>
      </c>
      <c r="E1236" s="15" t="n">
        <f aca="false">ROUND((D1236-$D$5)*86400,2)</f>
        <v>166.48</v>
      </c>
      <c r="F1236" s="17" t="n">
        <v>1231</v>
      </c>
      <c r="G1236" s="16" t="str">
        <f aca="false">IF(INDEX(選手一覧!$H$7:$H$2738,$F1236)="","",INDEX(選手一覧!$H$7:$H$2738,$F1236))</f>
        <v/>
      </c>
      <c r="H1236" s="17" t="str">
        <f aca="false">IF(INDEX(選手一覧!$I$7:$I$2738,$F1236)="","",INDEX(選手一覧!$I$7:$I$2738,$F1236))</f>
        <v/>
      </c>
      <c r="I1236" s="16" t="n">
        <f aca="false">IF(INDEX(選手一覧!$J$7:$J$2738,$F1236)="","",INDEX(選手一覧!$J$7:$J$2738,$F1236))</f>
        <v>0.00284895833333333</v>
      </c>
      <c r="J1236" s="17" t="n">
        <f aca="false">IF(INDEX(選手一覧!$K$7:$K$2738,$F1236)="","",INDEX(選手一覧!$K$7:$K$2738,$F1236))</f>
        <v>564</v>
      </c>
    </row>
    <row r="1237" customFormat="false" ht="15" hidden="false" customHeight="false" outlineLevel="0" collapsed="false">
      <c r="A1237" s="17" t="n">
        <v>1233</v>
      </c>
      <c r="B1237" s="12" t="s">
        <v>1967</v>
      </c>
      <c r="C1237" s="12" t="s">
        <v>1968</v>
      </c>
      <c r="D1237" s="16" t="n">
        <v>0.0110694444444444</v>
      </c>
      <c r="E1237" s="15" t="n">
        <f aca="false">ROUND((D1237-$D$5)*86400,2)</f>
        <v>166.66</v>
      </c>
      <c r="F1237" s="17" t="n">
        <v>1232</v>
      </c>
      <c r="G1237" s="16" t="str">
        <f aca="false">IF(INDEX(選手一覧!$H$7:$H$2738,$F1237)="","",INDEX(選手一覧!$H$7:$H$2738,$F1237))</f>
        <v/>
      </c>
      <c r="H1237" s="17" t="str">
        <f aca="false">IF(INDEX(選手一覧!$I$7:$I$2738,$F1237)="","",INDEX(選手一覧!$I$7:$I$2738,$F1237))</f>
        <v/>
      </c>
      <c r="I1237" s="16" t="str">
        <f aca="false">IF(INDEX(選手一覧!$J$7:$J$2738,$F1237)="","",INDEX(選手一覧!$J$7:$J$2738,$F1237))</f>
        <v/>
      </c>
      <c r="J1237" s="17" t="str">
        <f aca="false">IF(INDEX(選手一覧!$K$7:$K$2738,$F1237)="","",INDEX(選手一覧!$K$7:$K$2738,$F1237))</f>
        <v/>
      </c>
    </row>
    <row r="1238" customFormat="false" ht="15" hidden="false" customHeight="false" outlineLevel="0" collapsed="false">
      <c r="A1238" s="17" t="n">
        <v>1234</v>
      </c>
      <c r="B1238" s="12" t="s">
        <v>1969</v>
      </c>
      <c r="C1238" s="12" t="s">
        <v>1409</v>
      </c>
      <c r="D1238" s="16" t="n">
        <v>0.0110696759259259</v>
      </c>
      <c r="E1238" s="15" t="n">
        <f aca="false">ROUND((D1238-$D$5)*86400,2)</f>
        <v>166.68</v>
      </c>
      <c r="F1238" s="17" t="n">
        <v>1233</v>
      </c>
      <c r="G1238" s="16" t="str">
        <f aca="false">IF(INDEX(選手一覧!$H$7:$H$2738,$F1238)="","",INDEX(選手一覧!$H$7:$H$2738,$F1238))</f>
        <v/>
      </c>
      <c r="H1238" s="17" t="str">
        <f aca="false">IF(INDEX(選手一覧!$I$7:$I$2738,$F1238)="","",INDEX(選手一覧!$I$7:$I$2738,$F1238))</f>
        <v/>
      </c>
      <c r="I1238" s="16" t="str">
        <f aca="false">IF(INDEX(選手一覧!$J$7:$J$2738,$F1238)="","",INDEX(選手一覧!$J$7:$J$2738,$F1238))</f>
        <v/>
      </c>
      <c r="J1238" s="17" t="str">
        <f aca="false">IF(INDEX(選手一覧!$K$7:$K$2738,$F1238)="","",INDEX(選手一覧!$K$7:$K$2738,$F1238))</f>
        <v/>
      </c>
    </row>
    <row r="1239" customFormat="false" ht="15" hidden="false" customHeight="false" outlineLevel="0" collapsed="false">
      <c r="A1239" s="17" t="n">
        <v>1235</v>
      </c>
      <c r="B1239" s="12" t="s">
        <v>1970</v>
      </c>
      <c r="C1239" s="12" t="s">
        <v>1971</v>
      </c>
      <c r="D1239" s="16" t="n">
        <v>0.0110702546296296</v>
      </c>
      <c r="E1239" s="15" t="n">
        <f aca="false">ROUND((D1239-$D$5)*86400,2)</f>
        <v>166.73</v>
      </c>
      <c r="F1239" s="17" t="n">
        <v>1234</v>
      </c>
      <c r="G1239" s="16" t="str">
        <f aca="false">IF(INDEX(選手一覧!$H$7:$H$2738,$F1239)="","",INDEX(選手一覧!$H$7:$H$2738,$F1239))</f>
        <v/>
      </c>
      <c r="H1239" s="17" t="str">
        <f aca="false">IF(INDEX(選手一覧!$I$7:$I$2738,$F1239)="","",INDEX(選手一覧!$I$7:$I$2738,$F1239))</f>
        <v/>
      </c>
      <c r="I1239" s="16" t="str">
        <f aca="false">IF(INDEX(選手一覧!$J$7:$J$2738,$F1239)="","",INDEX(選手一覧!$J$7:$J$2738,$F1239))</f>
        <v/>
      </c>
      <c r="J1239" s="17" t="str">
        <f aca="false">IF(INDEX(選手一覧!$K$7:$K$2738,$F1239)="","",INDEX(選手一覧!$K$7:$K$2738,$F1239))</f>
        <v/>
      </c>
    </row>
    <row r="1240" customFormat="false" ht="15" hidden="false" customHeight="false" outlineLevel="0" collapsed="false">
      <c r="A1240" s="17" t="n">
        <v>1236</v>
      </c>
      <c r="B1240" s="12" t="s">
        <v>1972</v>
      </c>
      <c r="C1240" s="12" t="s">
        <v>1212</v>
      </c>
      <c r="D1240" s="16" t="n">
        <v>0.0110709490740741</v>
      </c>
      <c r="E1240" s="15" t="n">
        <f aca="false">ROUND((D1240-$D$5)*86400,2)</f>
        <v>166.79</v>
      </c>
      <c r="F1240" s="17" t="n">
        <v>1235</v>
      </c>
      <c r="G1240" s="16" t="str">
        <f aca="false">IF(INDEX(選手一覧!$H$7:$H$2738,$F1240)="","",INDEX(選手一覧!$H$7:$H$2738,$F1240))</f>
        <v/>
      </c>
      <c r="H1240" s="17" t="str">
        <f aca="false">IF(INDEX(選手一覧!$I$7:$I$2738,$F1240)="","",INDEX(選手一覧!$I$7:$I$2738,$F1240))</f>
        <v/>
      </c>
      <c r="I1240" s="16" t="n">
        <f aca="false">IF(INDEX(選手一覧!$J$7:$J$2738,$F1240)="","",INDEX(選手一覧!$J$7:$J$2738,$F1240))</f>
        <v>0.00289212962962963</v>
      </c>
      <c r="J1240" s="17" t="n">
        <f aca="false">IF(INDEX(選手一覧!$K$7:$K$2738,$F1240)="","",INDEX(選手一覧!$K$7:$K$2738,$F1240))</f>
        <v>890</v>
      </c>
    </row>
    <row r="1241" customFormat="false" ht="15" hidden="false" customHeight="false" outlineLevel="0" collapsed="false">
      <c r="A1241" s="17" t="n">
        <v>1237</v>
      </c>
      <c r="B1241" s="12" t="s">
        <v>1973</v>
      </c>
      <c r="C1241" s="12" t="s">
        <v>1974</v>
      </c>
      <c r="D1241" s="16" t="n">
        <v>0.0110717592592593</v>
      </c>
      <c r="E1241" s="15" t="n">
        <f aca="false">ROUND((D1241-$D$5)*86400,2)</f>
        <v>166.86</v>
      </c>
      <c r="F1241" s="17" t="n">
        <v>1236</v>
      </c>
      <c r="G1241" s="16" t="str">
        <f aca="false">IF(INDEX(選手一覧!$H$7:$H$2738,$F1241)="","",INDEX(選手一覧!$H$7:$H$2738,$F1241))</f>
        <v/>
      </c>
      <c r="H1241" s="17" t="str">
        <f aca="false">IF(INDEX(選手一覧!$I$7:$I$2738,$F1241)="","",INDEX(選手一覧!$I$7:$I$2738,$F1241))</f>
        <v/>
      </c>
      <c r="I1241" s="16" t="n">
        <f aca="false">IF(INDEX(選手一覧!$J$7:$J$2738,$F1241)="","",INDEX(選手一覧!$J$7:$J$2738,$F1241))</f>
        <v>0.00289965277777778</v>
      </c>
      <c r="J1241" s="17" t="n">
        <f aca="false">IF(INDEX(選手一覧!$K$7:$K$2738,$F1241)="","",INDEX(選手一覧!$K$7:$K$2738,$F1241))</f>
        <v>942</v>
      </c>
    </row>
    <row r="1242" customFormat="false" ht="15" hidden="false" customHeight="false" outlineLevel="0" collapsed="false">
      <c r="A1242" s="17" t="n">
        <v>1238</v>
      </c>
      <c r="B1242" s="12" t="s">
        <v>1975</v>
      </c>
      <c r="C1242" s="12" t="s">
        <v>316</v>
      </c>
      <c r="D1242" s="16" t="n">
        <v>0.0110721064814815</v>
      </c>
      <c r="E1242" s="15" t="n">
        <f aca="false">ROUND((D1242-$D$5)*86400,2)</f>
        <v>166.89</v>
      </c>
      <c r="F1242" s="17" t="n">
        <v>1237</v>
      </c>
      <c r="G1242" s="16" t="str">
        <f aca="false">IF(INDEX(選手一覧!$H$7:$H$2738,$F1242)="","",INDEX(選手一覧!$H$7:$H$2738,$F1242))</f>
        <v/>
      </c>
      <c r="H1242" s="17" t="str">
        <f aca="false">IF(INDEX(選手一覧!$I$7:$I$2738,$F1242)="","",INDEX(選手一覧!$I$7:$I$2738,$F1242))</f>
        <v/>
      </c>
      <c r="I1242" s="16" t="str">
        <f aca="false">IF(INDEX(選手一覧!$J$7:$J$2738,$F1242)="","",INDEX(選手一覧!$J$7:$J$2738,$F1242))</f>
        <v/>
      </c>
      <c r="J1242" s="17" t="str">
        <f aca="false">IF(INDEX(選手一覧!$K$7:$K$2738,$F1242)="","",INDEX(選手一覧!$K$7:$K$2738,$F1242))</f>
        <v/>
      </c>
    </row>
    <row r="1243" customFormat="false" ht="15" hidden="false" customHeight="false" outlineLevel="0" collapsed="false">
      <c r="A1243" s="17" t="n">
        <v>1239</v>
      </c>
      <c r="B1243" s="12" t="s">
        <v>1976</v>
      </c>
      <c r="C1243" s="12" t="s">
        <v>430</v>
      </c>
      <c r="D1243" s="16" t="n">
        <v>0.0110722222222222</v>
      </c>
      <c r="E1243" s="15" t="n">
        <f aca="false">ROUND((D1243-$D$5)*86400,2)</f>
        <v>166.9</v>
      </c>
      <c r="F1243" s="17" t="n">
        <v>1238</v>
      </c>
      <c r="G1243" s="16" t="n">
        <f aca="false">IF(INDEX(選手一覧!$H$7:$H$2738,$F1243)="","",INDEX(選手一覧!$H$7:$H$2738,$F1243))</f>
        <v>0.00728298611111111</v>
      </c>
      <c r="H1243" s="17" t="n">
        <f aca="false">IF(INDEX(選手一覧!$I$7:$I$2738,$F1243)="","",INDEX(選手一覧!$I$7:$I$2738,$F1243))</f>
        <v>623</v>
      </c>
      <c r="I1243" s="16" t="str">
        <f aca="false">IF(INDEX(選手一覧!$J$7:$J$2738,$F1243)="","",INDEX(選手一覧!$J$7:$J$2738,$F1243))</f>
        <v/>
      </c>
      <c r="J1243" s="17" t="str">
        <f aca="false">IF(INDEX(選手一覧!$K$7:$K$2738,$F1243)="","",INDEX(選手一覧!$K$7:$K$2738,$F1243))</f>
        <v/>
      </c>
    </row>
    <row r="1244" customFormat="false" ht="15" hidden="false" customHeight="false" outlineLevel="0" collapsed="false">
      <c r="A1244" s="17" t="n">
        <v>1240</v>
      </c>
      <c r="B1244" s="12" t="s">
        <v>1977</v>
      </c>
      <c r="C1244" s="12" t="s">
        <v>1625</v>
      </c>
      <c r="D1244" s="16" t="n">
        <v>0.011072337962963</v>
      </c>
      <c r="E1244" s="15" t="n">
        <f aca="false">ROUND((D1244-$D$5)*86400,2)</f>
        <v>166.91</v>
      </c>
      <c r="F1244" s="17" t="n">
        <v>1239</v>
      </c>
      <c r="G1244" s="16" t="str">
        <f aca="false">IF(INDEX(選手一覧!$H$7:$H$2738,$F1244)="","",INDEX(選手一覧!$H$7:$H$2738,$F1244))</f>
        <v/>
      </c>
      <c r="H1244" s="17" t="str">
        <f aca="false">IF(INDEX(選手一覧!$I$7:$I$2738,$F1244)="","",INDEX(選手一覧!$I$7:$I$2738,$F1244))</f>
        <v/>
      </c>
      <c r="I1244" s="16" t="n">
        <f aca="false">IF(INDEX(選手一覧!$J$7:$J$2738,$F1244)="","",INDEX(選手一覧!$J$7:$J$2738,$F1244))</f>
        <v>0.00292546296296296</v>
      </c>
      <c r="J1244" s="17" t="n">
        <f aca="false">IF(INDEX(選手一覧!$K$7:$K$2738,$F1244)="","",INDEX(選手一覧!$K$7:$K$2738,$F1244))</f>
        <v>1153</v>
      </c>
    </row>
    <row r="1245" customFormat="false" ht="15" hidden="false" customHeight="false" outlineLevel="0" collapsed="false">
      <c r="A1245" s="17" t="n">
        <v>1241</v>
      </c>
      <c r="B1245" s="12" t="s">
        <v>1978</v>
      </c>
      <c r="C1245" s="12" t="s">
        <v>1315</v>
      </c>
      <c r="D1245" s="16" t="n">
        <v>0.0110730324074074</v>
      </c>
      <c r="E1245" s="15" t="n">
        <f aca="false">ROUND((D1245-$D$5)*86400,2)</f>
        <v>166.97</v>
      </c>
      <c r="F1245" s="17" t="n">
        <v>1240</v>
      </c>
      <c r="G1245" s="16" t="str">
        <f aca="false">IF(INDEX(選手一覧!$H$7:$H$2738,$F1245)="","",INDEX(選手一覧!$H$7:$H$2738,$F1245))</f>
        <v/>
      </c>
      <c r="H1245" s="17" t="str">
        <f aca="false">IF(INDEX(選手一覧!$I$7:$I$2738,$F1245)="","",INDEX(選手一覧!$I$7:$I$2738,$F1245))</f>
        <v/>
      </c>
      <c r="I1245" s="16" t="n">
        <f aca="false">IF(INDEX(選手一覧!$J$7:$J$2738,$F1245)="","",INDEX(選手一覧!$J$7:$J$2738,$F1245))</f>
        <v>0.00283981481481482</v>
      </c>
      <c r="J1245" s="17" t="n">
        <f aca="false">IF(INDEX(選手一覧!$K$7:$K$2738,$F1245)="","",INDEX(選手一覧!$K$7:$K$2738,$F1245))</f>
        <v>495</v>
      </c>
    </row>
    <row r="1246" customFormat="false" ht="15" hidden="false" customHeight="false" outlineLevel="0" collapsed="false">
      <c r="A1246" s="17" t="n">
        <v>1242</v>
      </c>
      <c r="B1246" s="12" t="s">
        <v>1979</v>
      </c>
      <c r="C1246" s="12" t="s">
        <v>125</v>
      </c>
      <c r="D1246" s="16" t="n">
        <v>0.0110730324074074</v>
      </c>
      <c r="E1246" s="15" t="n">
        <f aca="false">ROUND((D1246-$D$5)*86400,2)</f>
        <v>166.97</v>
      </c>
      <c r="F1246" s="17" t="n">
        <v>1241</v>
      </c>
      <c r="G1246" s="16" t="n">
        <f aca="false">IF(INDEX(選手一覧!$H$7:$H$2738,$F1246)="","",INDEX(選手一覧!$H$7:$H$2738,$F1246))</f>
        <v>0.00698055555555556</v>
      </c>
      <c r="H1246" s="17" t="n">
        <f aca="false">IF(INDEX(選手一覧!$I$7:$I$2738,$F1246)="","",INDEX(選手一覧!$I$7:$I$2738,$F1246))</f>
        <v>313</v>
      </c>
      <c r="I1246" s="16" t="str">
        <f aca="false">IF(INDEX(選手一覧!$J$7:$J$2738,$F1246)="","",INDEX(選手一覧!$J$7:$J$2738,$F1246))</f>
        <v/>
      </c>
      <c r="J1246" s="17" t="str">
        <f aca="false">IF(INDEX(選手一覧!$K$7:$K$2738,$F1246)="","",INDEX(選手一覧!$K$7:$K$2738,$F1246))</f>
        <v/>
      </c>
    </row>
    <row r="1247" customFormat="false" ht="15" hidden="false" customHeight="false" outlineLevel="0" collapsed="false">
      <c r="A1247" s="17" t="n">
        <v>1243</v>
      </c>
      <c r="B1247" s="12" t="s">
        <v>1980</v>
      </c>
      <c r="C1247" s="12" t="s">
        <v>1111</v>
      </c>
      <c r="D1247" s="16" t="n">
        <v>0.0110730324074074</v>
      </c>
      <c r="E1247" s="15" t="n">
        <f aca="false">ROUND((D1247-$D$5)*86400,2)</f>
        <v>166.97</v>
      </c>
      <c r="F1247" s="17" t="n">
        <v>1242</v>
      </c>
      <c r="G1247" s="16" t="str">
        <f aca="false">IF(INDEX(選手一覧!$H$7:$H$2738,$F1247)="","",INDEX(選手一覧!$H$7:$H$2738,$F1247))</f>
        <v/>
      </c>
      <c r="H1247" s="17" t="str">
        <f aca="false">IF(INDEX(選手一覧!$I$7:$I$2738,$F1247)="","",INDEX(選手一覧!$I$7:$I$2738,$F1247))</f>
        <v/>
      </c>
      <c r="I1247" s="16" t="str">
        <f aca="false">IF(INDEX(選手一覧!$J$7:$J$2738,$F1247)="","",INDEX(選手一覧!$J$7:$J$2738,$F1247))</f>
        <v/>
      </c>
      <c r="J1247" s="17" t="str">
        <f aca="false">IF(INDEX(選手一覧!$K$7:$K$2738,$F1247)="","",INDEX(選手一覧!$K$7:$K$2738,$F1247))</f>
        <v/>
      </c>
    </row>
    <row r="1248" customFormat="false" ht="15" hidden="false" customHeight="false" outlineLevel="0" collapsed="false">
      <c r="A1248" s="17" t="n">
        <v>1244</v>
      </c>
      <c r="B1248" s="12" t="s">
        <v>1981</v>
      </c>
      <c r="C1248" s="12" t="s">
        <v>1047</v>
      </c>
      <c r="D1248" s="16" t="n">
        <v>0.0110767361111111</v>
      </c>
      <c r="E1248" s="15" t="n">
        <f aca="false">ROUND((D1248-$D$5)*86400,2)</f>
        <v>167.29</v>
      </c>
      <c r="F1248" s="17" t="n">
        <v>1243</v>
      </c>
      <c r="G1248" s="16" t="str">
        <f aca="false">IF(INDEX(選手一覧!$H$7:$H$2738,$F1248)="","",INDEX(選手一覧!$H$7:$H$2738,$F1248))</f>
        <v/>
      </c>
      <c r="H1248" s="17" t="str">
        <f aca="false">IF(INDEX(選手一覧!$I$7:$I$2738,$F1248)="","",INDEX(選手一覧!$I$7:$I$2738,$F1248))</f>
        <v/>
      </c>
      <c r="I1248" s="16" t="str">
        <f aca="false">IF(INDEX(選手一覧!$J$7:$J$2738,$F1248)="","",INDEX(選手一覧!$J$7:$J$2738,$F1248))</f>
        <v/>
      </c>
      <c r="J1248" s="17" t="str">
        <f aca="false">IF(INDEX(選手一覧!$K$7:$K$2738,$F1248)="","",INDEX(選手一覧!$K$7:$K$2738,$F1248))</f>
        <v/>
      </c>
    </row>
    <row r="1249" customFormat="false" ht="15" hidden="false" customHeight="false" outlineLevel="0" collapsed="false">
      <c r="A1249" s="17" t="n">
        <v>1245</v>
      </c>
      <c r="B1249" s="12" t="s">
        <v>1982</v>
      </c>
      <c r="C1249" s="12" t="s">
        <v>1983</v>
      </c>
      <c r="D1249" s="16" t="n">
        <v>0.0110770833333333</v>
      </c>
      <c r="E1249" s="15" t="n">
        <f aca="false">ROUND((D1249-$D$5)*86400,2)</f>
        <v>167.32</v>
      </c>
      <c r="F1249" s="17" t="n">
        <v>1244</v>
      </c>
      <c r="G1249" s="16" t="n">
        <f aca="false">IF(INDEX(選手一覧!$H$7:$H$2738,$F1249)="","",INDEX(選手一覧!$H$7:$H$2738,$F1249))</f>
        <v>0.00696886574074074</v>
      </c>
      <c r="H1249" s="17" t="n">
        <f aca="false">IF(INDEX(選手一覧!$I$7:$I$2738,$F1249)="","",INDEX(選手一覧!$I$7:$I$2738,$F1249))</f>
        <v>303</v>
      </c>
      <c r="I1249" s="16" t="n">
        <f aca="false">IF(INDEX(選手一覧!$J$7:$J$2738,$F1249)="","",INDEX(選手一覧!$J$7:$J$2738,$F1249))</f>
        <v>0.0028494212962963</v>
      </c>
      <c r="J1249" s="17" t="n">
        <f aca="false">IF(INDEX(選手一覧!$K$7:$K$2738,$F1249)="","",INDEX(選手一覧!$K$7:$K$2738,$F1249))</f>
        <v>568</v>
      </c>
    </row>
    <row r="1250" customFormat="false" ht="15" hidden="false" customHeight="false" outlineLevel="0" collapsed="false">
      <c r="A1250" s="17" t="n">
        <v>1246</v>
      </c>
      <c r="B1250" s="12" t="s">
        <v>1984</v>
      </c>
      <c r="C1250" s="12" t="s">
        <v>1985</v>
      </c>
      <c r="D1250" s="16" t="n">
        <v>0.011078125</v>
      </c>
      <c r="E1250" s="15" t="n">
        <f aca="false">ROUND((D1250-$D$5)*86400,2)</f>
        <v>167.41</v>
      </c>
      <c r="F1250" s="17" t="n">
        <v>1245</v>
      </c>
      <c r="G1250" s="16" t="n">
        <f aca="false">IF(INDEX(選手一覧!$H$7:$H$2738,$F1250)="","",INDEX(選手一覧!$H$7:$H$2738,$F1250))</f>
        <v>0.00757974537037037</v>
      </c>
      <c r="H1250" s="17" t="n">
        <f aca="false">IF(INDEX(選手一覧!$I$7:$I$2738,$F1250)="","",INDEX(選手一覧!$I$7:$I$2738,$F1250))</f>
        <v>981</v>
      </c>
      <c r="I1250" s="16" t="str">
        <f aca="false">IF(INDEX(選手一覧!$J$7:$J$2738,$F1250)="","",INDEX(選手一覧!$J$7:$J$2738,$F1250))</f>
        <v/>
      </c>
      <c r="J1250" s="17" t="str">
        <f aca="false">IF(INDEX(選手一覧!$K$7:$K$2738,$F1250)="","",INDEX(選手一覧!$K$7:$K$2738,$F1250))</f>
        <v/>
      </c>
    </row>
    <row r="1251" customFormat="false" ht="15" hidden="false" customHeight="false" outlineLevel="0" collapsed="false">
      <c r="A1251" s="17" t="n">
        <v>1247</v>
      </c>
      <c r="B1251" s="12" t="s">
        <v>1986</v>
      </c>
      <c r="C1251" s="12" t="s">
        <v>1650</v>
      </c>
      <c r="D1251" s="16" t="n">
        <v>0.0110782407407407</v>
      </c>
      <c r="E1251" s="15" t="n">
        <f aca="false">ROUND((D1251-$D$5)*86400,2)</f>
        <v>167.42</v>
      </c>
      <c r="F1251" s="17" t="n">
        <v>1246</v>
      </c>
      <c r="G1251" s="16" t="str">
        <f aca="false">IF(INDEX(選手一覧!$H$7:$H$2738,$F1251)="","",INDEX(選手一覧!$H$7:$H$2738,$F1251))</f>
        <v/>
      </c>
      <c r="H1251" s="17" t="str">
        <f aca="false">IF(INDEX(選手一覧!$I$7:$I$2738,$F1251)="","",INDEX(選手一覧!$I$7:$I$2738,$F1251))</f>
        <v/>
      </c>
      <c r="I1251" s="16" t="n">
        <f aca="false">IF(INDEX(選手一覧!$J$7:$J$2738,$F1251)="","",INDEX(選手一覧!$J$7:$J$2738,$F1251))</f>
        <v>0.00284108796296296</v>
      </c>
      <c r="J1251" s="17" t="n">
        <f aca="false">IF(INDEX(選手一覧!$K$7:$K$2738,$F1251)="","",INDEX(選手一覧!$K$7:$K$2738,$F1251))</f>
        <v>509</v>
      </c>
    </row>
    <row r="1252" customFormat="false" ht="15" hidden="false" customHeight="false" outlineLevel="0" collapsed="false">
      <c r="A1252" s="17" t="n">
        <v>1248</v>
      </c>
      <c r="B1252" s="12" t="s">
        <v>1987</v>
      </c>
      <c r="C1252" s="12" t="s">
        <v>742</v>
      </c>
      <c r="D1252" s="16" t="n">
        <v>0.0110784722222222</v>
      </c>
      <c r="E1252" s="15" t="n">
        <f aca="false">ROUND((D1252-$D$5)*86400,2)</f>
        <v>167.44</v>
      </c>
      <c r="F1252" s="17" t="n">
        <v>1247</v>
      </c>
      <c r="G1252" s="16" t="str">
        <f aca="false">IF(INDEX(選手一覧!$H$7:$H$2738,$F1252)="","",INDEX(選手一覧!$H$7:$H$2738,$F1252))</f>
        <v/>
      </c>
      <c r="H1252" s="17" t="str">
        <f aca="false">IF(INDEX(選手一覧!$I$7:$I$2738,$F1252)="","",INDEX(選手一覧!$I$7:$I$2738,$F1252))</f>
        <v/>
      </c>
      <c r="I1252" s="16" t="str">
        <f aca="false">IF(INDEX(選手一覧!$J$7:$J$2738,$F1252)="","",INDEX(選手一覧!$J$7:$J$2738,$F1252))</f>
        <v/>
      </c>
      <c r="J1252" s="17" t="str">
        <f aca="false">IF(INDEX(選手一覧!$K$7:$K$2738,$F1252)="","",INDEX(選手一覧!$K$7:$K$2738,$F1252))</f>
        <v/>
      </c>
    </row>
    <row r="1253" customFormat="false" ht="15" hidden="false" customHeight="false" outlineLevel="0" collapsed="false">
      <c r="A1253" s="17" t="n">
        <v>1249</v>
      </c>
      <c r="B1253" s="12" t="s">
        <v>1988</v>
      </c>
      <c r="C1253" s="12" t="s">
        <v>167</v>
      </c>
      <c r="D1253" s="16" t="n">
        <v>0.0110791666666667</v>
      </c>
      <c r="E1253" s="15" t="n">
        <f aca="false">ROUND((D1253-$D$5)*86400,2)</f>
        <v>167.5</v>
      </c>
      <c r="F1253" s="17" t="n">
        <v>1248</v>
      </c>
      <c r="G1253" s="16" t="n">
        <f aca="false">IF(INDEX(選手一覧!$H$7:$H$2738,$F1253)="","",INDEX(選手一覧!$H$7:$H$2738,$F1253))</f>
        <v>0.00676053240740741</v>
      </c>
      <c r="H1253" s="17" t="n">
        <f aca="false">IF(INDEX(選手一覧!$I$7:$I$2738,$F1253)="","",INDEX(選手一覧!$I$7:$I$2738,$F1253))</f>
        <v>135</v>
      </c>
      <c r="I1253" s="16" t="n">
        <f aca="false">IF(INDEX(選手一覧!$J$7:$J$2738,$F1253)="","",INDEX(選手一覧!$J$7:$J$2738,$F1253))</f>
        <v>0.00285729166666667</v>
      </c>
      <c r="J1253" s="17" t="n">
        <f aca="false">IF(INDEX(選手一覧!$K$7:$K$2738,$F1253)="","",INDEX(選手一覧!$K$7:$K$2738,$F1253))</f>
        <v>617</v>
      </c>
    </row>
    <row r="1254" customFormat="false" ht="15" hidden="false" customHeight="false" outlineLevel="0" collapsed="false">
      <c r="A1254" s="17" t="n">
        <v>1250</v>
      </c>
      <c r="B1254" s="12" t="s">
        <v>1990</v>
      </c>
      <c r="C1254" s="12" t="s">
        <v>548</v>
      </c>
      <c r="D1254" s="16" t="n">
        <v>0.0110797453703704</v>
      </c>
      <c r="E1254" s="15" t="n">
        <f aca="false">ROUND((D1254-$D$5)*86400,2)</f>
        <v>167.55</v>
      </c>
      <c r="F1254" s="17" t="n">
        <v>1249</v>
      </c>
      <c r="G1254" s="16" t="n">
        <f aca="false">IF(INDEX(選手一覧!$H$7:$H$2738,$F1254)="","",INDEX(選手一覧!$H$7:$H$2738,$F1254))</f>
        <v>0.00815219907407407</v>
      </c>
      <c r="H1254" s="17" t="n">
        <f aca="false">IF(INDEX(選手一覧!$I$7:$I$2738,$F1254)="","",INDEX(選手一覧!$I$7:$I$2738,$F1254))</f>
        <v>1219</v>
      </c>
      <c r="I1254" s="16" t="str">
        <f aca="false">IF(INDEX(選手一覧!$J$7:$J$2738,$F1254)="","",INDEX(選手一覧!$J$7:$J$2738,$F1254))</f>
        <v/>
      </c>
      <c r="J1254" s="17" t="str">
        <f aca="false">IF(INDEX(選手一覧!$K$7:$K$2738,$F1254)="","",INDEX(選手一覧!$K$7:$K$2738,$F1254))</f>
        <v/>
      </c>
    </row>
    <row r="1255" customFormat="false" ht="15" hidden="false" customHeight="false" outlineLevel="0" collapsed="false">
      <c r="A1255" s="17" t="n">
        <v>1251</v>
      </c>
      <c r="B1255" s="12" t="s">
        <v>1992</v>
      </c>
      <c r="C1255" s="12" t="s">
        <v>1993</v>
      </c>
      <c r="D1255" s="16" t="n">
        <v>0.0110798611111111</v>
      </c>
      <c r="E1255" s="15" t="n">
        <f aca="false">ROUND((D1255-$D$5)*86400,2)</f>
        <v>167.56</v>
      </c>
      <c r="F1255" s="17" t="n">
        <v>1250</v>
      </c>
      <c r="G1255" s="16" t="n">
        <f aca="false">IF(INDEX(選手一覧!$H$7:$H$2738,$F1255)="","",INDEX(選手一覧!$H$7:$H$2738,$F1255))</f>
        <v>0.00696331018518519</v>
      </c>
      <c r="H1255" s="17" t="n">
        <f aca="false">IF(INDEX(選手一覧!$I$7:$I$2738,$F1255)="","",INDEX(選手一覧!$I$7:$I$2738,$F1255))</f>
        <v>297</v>
      </c>
      <c r="I1255" s="16" t="n">
        <f aca="false">IF(INDEX(選手一覧!$J$7:$J$2738,$F1255)="","",INDEX(選手一覧!$J$7:$J$2738,$F1255))</f>
        <v>0.00297743055555556</v>
      </c>
      <c r="J1255" s="17" t="n">
        <f aca="false">IF(INDEX(選手一覧!$K$7:$K$2738,$F1255)="","",INDEX(選手一覧!$K$7:$K$2738,$F1255))</f>
        <v>1343</v>
      </c>
    </row>
    <row r="1256" customFormat="false" ht="15" hidden="false" customHeight="false" outlineLevel="0" collapsed="false">
      <c r="A1256" s="17" t="n">
        <v>1252</v>
      </c>
      <c r="B1256" s="12" t="s">
        <v>1994</v>
      </c>
      <c r="C1256" s="12" t="s">
        <v>195</v>
      </c>
      <c r="D1256" s="16" t="n">
        <v>0.011080787037037</v>
      </c>
      <c r="E1256" s="15" t="n">
        <f aca="false">ROUND((D1256-$D$5)*86400,2)</f>
        <v>167.64</v>
      </c>
      <c r="F1256" s="17" t="n">
        <v>1251</v>
      </c>
      <c r="G1256" s="16" t="str">
        <f aca="false">IF(INDEX(選手一覧!$H$7:$H$2738,$F1256)="","",INDEX(選手一覧!$H$7:$H$2738,$F1256))</f>
        <v/>
      </c>
      <c r="H1256" s="17" t="str">
        <f aca="false">IF(INDEX(選手一覧!$I$7:$I$2738,$F1256)="","",INDEX(選手一覧!$I$7:$I$2738,$F1256))</f>
        <v/>
      </c>
      <c r="I1256" s="16" t="n">
        <f aca="false">IF(INDEX(選手一覧!$J$7:$J$2738,$F1256)="","",INDEX(選手一覧!$J$7:$J$2738,$F1256))</f>
        <v>0.00287696759259259</v>
      </c>
      <c r="J1256" s="17" t="n">
        <f aca="false">IF(INDEX(選手一覧!$K$7:$K$2738,$F1256)="","",INDEX(選手一覧!$K$7:$K$2738,$F1256))</f>
        <v>746</v>
      </c>
    </row>
    <row r="1257" customFormat="false" ht="15" hidden="false" customHeight="false" outlineLevel="0" collapsed="false">
      <c r="A1257" s="17" t="n">
        <v>1253</v>
      </c>
      <c r="B1257" s="12" t="s">
        <v>1995</v>
      </c>
      <c r="C1257" s="12" t="s">
        <v>728</v>
      </c>
      <c r="D1257" s="16" t="n">
        <v>0.011080787037037</v>
      </c>
      <c r="E1257" s="15" t="n">
        <f aca="false">ROUND((D1257-$D$5)*86400,2)</f>
        <v>167.64</v>
      </c>
      <c r="F1257" s="17" t="n">
        <v>1252</v>
      </c>
      <c r="G1257" s="16" t="str">
        <f aca="false">IF(INDEX(選手一覧!$H$7:$H$2738,$F1257)="","",INDEX(選手一覧!$H$7:$H$2738,$F1257))</f>
        <v/>
      </c>
      <c r="H1257" s="17" t="str">
        <f aca="false">IF(INDEX(選手一覧!$I$7:$I$2738,$F1257)="","",INDEX(選手一覧!$I$7:$I$2738,$F1257))</f>
        <v/>
      </c>
      <c r="I1257" s="16" t="str">
        <f aca="false">IF(INDEX(選手一覧!$J$7:$J$2738,$F1257)="","",INDEX(選手一覧!$J$7:$J$2738,$F1257))</f>
        <v/>
      </c>
      <c r="J1257" s="17" t="str">
        <f aca="false">IF(INDEX(選手一覧!$K$7:$K$2738,$F1257)="","",INDEX(選手一覧!$K$7:$K$2738,$F1257))</f>
        <v/>
      </c>
    </row>
    <row r="1258" customFormat="false" ht="15" hidden="false" customHeight="false" outlineLevel="0" collapsed="false">
      <c r="A1258" s="17" t="n">
        <v>1254</v>
      </c>
      <c r="B1258" s="12" t="s">
        <v>1996</v>
      </c>
      <c r="C1258" s="12" t="s">
        <v>1997</v>
      </c>
      <c r="D1258" s="16" t="n">
        <v>0.0110809027777778</v>
      </c>
      <c r="E1258" s="15" t="n">
        <f aca="false">ROUND((D1258-$D$5)*86400,2)</f>
        <v>167.65</v>
      </c>
      <c r="F1258" s="17" t="n">
        <v>1253</v>
      </c>
      <c r="G1258" s="16" t="str">
        <f aca="false">IF(INDEX(選手一覧!$H$7:$H$2738,$F1258)="","",INDEX(選手一覧!$H$7:$H$2738,$F1258))</f>
        <v/>
      </c>
      <c r="H1258" s="17" t="str">
        <f aca="false">IF(INDEX(選手一覧!$I$7:$I$2738,$F1258)="","",INDEX(選手一覧!$I$7:$I$2738,$F1258))</f>
        <v/>
      </c>
      <c r="I1258" s="16" t="n">
        <f aca="false">IF(INDEX(選手一覧!$J$7:$J$2738,$F1258)="","",INDEX(選手一覧!$J$7:$J$2738,$F1258))</f>
        <v>0.00293252314814815</v>
      </c>
      <c r="J1258" s="17" t="n">
        <f aca="false">IF(INDEX(選手一覧!$K$7:$K$2738,$F1258)="","",INDEX(選手一覧!$K$7:$K$2738,$F1258))</f>
        <v>1180</v>
      </c>
    </row>
    <row r="1259" customFormat="false" ht="15" hidden="false" customHeight="false" outlineLevel="0" collapsed="false">
      <c r="A1259" s="17" t="n">
        <v>1255</v>
      </c>
      <c r="B1259" s="12" t="s">
        <v>1998</v>
      </c>
      <c r="C1259" s="12" t="s">
        <v>1334</v>
      </c>
      <c r="D1259" s="16" t="n">
        <v>0.0110810185185185</v>
      </c>
      <c r="E1259" s="15" t="n">
        <f aca="false">ROUND((D1259-$D$5)*86400,2)</f>
        <v>167.66</v>
      </c>
      <c r="F1259" s="17" t="n">
        <v>1254</v>
      </c>
      <c r="G1259" s="16" t="n">
        <f aca="false">IF(INDEX(選手一覧!$H$7:$H$2738,$F1259)="","",INDEX(選手一覧!$H$7:$H$2738,$F1259))</f>
        <v>0.00678206018518519</v>
      </c>
      <c r="H1259" s="17" t="n">
        <f aca="false">IF(INDEX(選手一覧!$I$7:$I$2738,$F1259)="","",INDEX(選手一覧!$I$7:$I$2738,$F1259))</f>
        <v>157</v>
      </c>
      <c r="I1259" s="16" t="n">
        <f aca="false">IF(INDEX(選手一覧!$J$7:$J$2738,$F1259)="","",INDEX(選手一覧!$J$7:$J$2738,$F1259))</f>
        <v>0.00290636574074074</v>
      </c>
      <c r="J1259" s="17" t="n">
        <f aca="false">IF(INDEX(選手一覧!$K$7:$K$2738,$F1259)="","",INDEX(選手一覧!$K$7:$K$2738,$F1259))</f>
        <v>993</v>
      </c>
    </row>
    <row r="1260" customFormat="false" ht="15" hidden="false" customHeight="false" outlineLevel="0" collapsed="false">
      <c r="A1260" s="17" t="n">
        <v>1256</v>
      </c>
      <c r="B1260" s="12" t="s">
        <v>1999</v>
      </c>
      <c r="C1260" s="12" t="s">
        <v>565</v>
      </c>
      <c r="D1260" s="16" t="n">
        <v>0.0110813657407407</v>
      </c>
      <c r="E1260" s="15" t="n">
        <f aca="false">ROUND((D1260-$D$5)*86400,2)</f>
        <v>167.69</v>
      </c>
      <c r="F1260" s="17" t="n">
        <v>1255</v>
      </c>
      <c r="G1260" s="16" t="str">
        <f aca="false">IF(INDEX(選手一覧!$H$7:$H$2738,$F1260)="","",INDEX(選手一覧!$H$7:$H$2738,$F1260))</f>
        <v/>
      </c>
      <c r="H1260" s="17" t="str">
        <f aca="false">IF(INDEX(選手一覧!$I$7:$I$2738,$F1260)="","",INDEX(選手一覧!$I$7:$I$2738,$F1260))</f>
        <v/>
      </c>
      <c r="I1260" s="16" t="str">
        <f aca="false">IF(INDEX(選手一覧!$J$7:$J$2738,$F1260)="","",INDEX(選手一覧!$J$7:$J$2738,$F1260))</f>
        <v/>
      </c>
      <c r="J1260" s="17" t="str">
        <f aca="false">IF(INDEX(選手一覧!$K$7:$K$2738,$F1260)="","",INDEX(選手一覧!$K$7:$K$2738,$F1260))</f>
        <v/>
      </c>
    </row>
    <row r="1261" customFormat="false" ht="15" hidden="false" customHeight="false" outlineLevel="0" collapsed="false">
      <c r="A1261" s="17" t="n">
        <v>1257</v>
      </c>
      <c r="B1261" s="12" t="s">
        <v>2000</v>
      </c>
      <c r="C1261" s="12" t="s">
        <v>1482</v>
      </c>
      <c r="D1261" s="16" t="n">
        <v>0.0110846064814815</v>
      </c>
      <c r="E1261" s="15" t="n">
        <f aca="false">ROUND((D1261-$D$5)*86400,2)</f>
        <v>167.97</v>
      </c>
      <c r="F1261" s="17" t="n">
        <v>1256</v>
      </c>
      <c r="G1261" s="16" t="str">
        <f aca="false">IF(INDEX(選手一覧!$H$7:$H$2738,$F1261)="","",INDEX(選手一覧!$H$7:$H$2738,$F1261))</f>
        <v/>
      </c>
      <c r="H1261" s="17" t="str">
        <f aca="false">IF(INDEX(選手一覧!$I$7:$I$2738,$F1261)="","",INDEX(選手一覧!$I$7:$I$2738,$F1261))</f>
        <v/>
      </c>
      <c r="I1261" s="16" t="n">
        <f aca="false">IF(INDEX(選手一覧!$J$7:$J$2738,$F1261)="","",INDEX(選手一覧!$J$7:$J$2738,$F1261))</f>
        <v>0.00275856481481482</v>
      </c>
      <c r="J1261" s="17" t="n">
        <f aca="false">IF(INDEX(選手一覧!$K$7:$K$2738,$F1261)="","",INDEX(選手一覧!$K$7:$K$2738,$F1261))</f>
        <v>131</v>
      </c>
    </row>
    <row r="1262" customFormat="false" ht="15" hidden="false" customHeight="false" outlineLevel="0" collapsed="false">
      <c r="A1262" s="17" t="n">
        <v>1258</v>
      </c>
      <c r="B1262" s="12" t="s">
        <v>2001</v>
      </c>
      <c r="C1262" s="12" t="s">
        <v>1049</v>
      </c>
      <c r="D1262" s="16" t="n">
        <v>0.0110859953703704</v>
      </c>
      <c r="E1262" s="15" t="n">
        <f aca="false">ROUND((D1262-$D$5)*86400,2)</f>
        <v>168.09</v>
      </c>
      <c r="F1262" s="17" t="n">
        <v>1257</v>
      </c>
      <c r="G1262" s="16" t="str">
        <f aca="false">IF(INDEX(選手一覧!$H$7:$H$2738,$F1262)="","",INDEX(選手一覧!$H$7:$H$2738,$F1262))</f>
        <v/>
      </c>
      <c r="H1262" s="17" t="str">
        <f aca="false">IF(INDEX(選手一覧!$I$7:$I$2738,$F1262)="","",INDEX(選手一覧!$I$7:$I$2738,$F1262))</f>
        <v/>
      </c>
      <c r="I1262" s="16" t="n">
        <f aca="false">IF(INDEX(選手一覧!$J$7:$J$2738,$F1262)="","",INDEX(選手一覧!$J$7:$J$2738,$F1262))</f>
        <v>0.00296331018518519</v>
      </c>
      <c r="J1262" s="17" t="n">
        <f aca="false">IF(INDEX(選手一覧!$K$7:$K$2738,$F1262)="","",INDEX(選手一覧!$K$7:$K$2738,$F1262))</f>
        <v>1283</v>
      </c>
    </row>
    <row r="1263" customFormat="false" ht="15" hidden="false" customHeight="false" outlineLevel="0" collapsed="false">
      <c r="A1263" s="17" t="n">
        <v>1259</v>
      </c>
      <c r="B1263" s="12" t="s">
        <v>2002</v>
      </c>
      <c r="C1263" s="12" t="s">
        <v>2003</v>
      </c>
      <c r="D1263" s="16" t="n">
        <v>0.0110873842592593</v>
      </c>
      <c r="E1263" s="15" t="n">
        <f aca="false">ROUND((D1263-$D$5)*86400,2)</f>
        <v>168.21</v>
      </c>
      <c r="F1263" s="17" t="n">
        <v>1258</v>
      </c>
      <c r="G1263" s="16" t="str">
        <f aca="false">IF(INDEX(選手一覧!$H$7:$H$2738,$F1263)="","",INDEX(選手一覧!$H$7:$H$2738,$F1263))</f>
        <v/>
      </c>
      <c r="H1263" s="17" t="str">
        <f aca="false">IF(INDEX(選手一覧!$I$7:$I$2738,$F1263)="","",INDEX(選手一覧!$I$7:$I$2738,$F1263))</f>
        <v/>
      </c>
      <c r="I1263" s="16" t="str">
        <f aca="false">IF(INDEX(選手一覧!$J$7:$J$2738,$F1263)="","",INDEX(選手一覧!$J$7:$J$2738,$F1263))</f>
        <v/>
      </c>
      <c r="J1263" s="17" t="str">
        <f aca="false">IF(INDEX(選手一覧!$K$7:$K$2738,$F1263)="","",INDEX(選手一覧!$K$7:$K$2738,$F1263))</f>
        <v/>
      </c>
    </row>
    <row r="1264" customFormat="false" ht="15" hidden="false" customHeight="false" outlineLevel="0" collapsed="false">
      <c r="A1264" s="17" t="n">
        <v>1260</v>
      </c>
      <c r="B1264" s="12" t="s">
        <v>2004</v>
      </c>
      <c r="C1264" s="12" t="s">
        <v>199</v>
      </c>
      <c r="D1264" s="16" t="n">
        <v>0.0110885416666667</v>
      </c>
      <c r="E1264" s="15" t="n">
        <f aca="false">ROUND((D1264-$D$5)*86400,2)</f>
        <v>168.31</v>
      </c>
      <c r="F1264" s="17" t="n">
        <v>1259</v>
      </c>
      <c r="G1264" s="16" t="str">
        <f aca="false">IF(INDEX(選手一覧!$H$7:$H$2738,$F1264)="","",INDEX(選手一覧!$H$7:$H$2738,$F1264))</f>
        <v/>
      </c>
      <c r="H1264" s="17" t="str">
        <f aca="false">IF(INDEX(選手一覧!$I$7:$I$2738,$F1264)="","",INDEX(選手一覧!$I$7:$I$2738,$F1264))</f>
        <v/>
      </c>
      <c r="I1264" s="16" t="str">
        <f aca="false">IF(INDEX(選手一覧!$J$7:$J$2738,$F1264)="","",INDEX(選手一覧!$J$7:$J$2738,$F1264))</f>
        <v/>
      </c>
      <c r="J1264" s="17" t="str">
        <f aca="false">IF(INDEX(選手一覧!$K$7:$K$2738,$F1264)="","",INDEX(選手一覧!$K$7:$K$2738,$F1264))</f>
        <v/>
      </c>
    </row>
    <row r="1265" customFormat="false" ht="15" hidden="false" customHeight="false" outlineLevel="0" collapsed="false">
      <c r="A1265" s="17" t="n">
        <v>1261</v>
      </c>
      <c r="B1265" s="12" t="s">
        <v>2005</v>
      </c>
      <c r="C1265" s="12" t="s">
        <v>34</v>
      </c>
      <c r="D1265" s="16" t="n">
        <v>0.0110905092592593</v>
      </c>
      <c r="E1265" s="15" t="n">
        <f aca="false">ROUND((D1265-$D$5)*86400,2)</f>
        <v>168.48</v>
      </c>
      <c r="F1265" s="17" t="n">
        <v>1260</v>
      </c>
      <c r="G1265" s="16" t="str">
        <f aca="false">IF(INDEX(選手一覧!$H$7:$H$2738,$F1265)="","",INDEX(選手一覧!$H$7:$H$2738,$F1265))</f>
        <v/>
      </c>
      <c r="H1265" s="17" t="str">
        <f aca="false">IF(INDEX(選手一覧!$I$7:$I$2738,$F1265)="","",INDEX(選手一覧!$I$7:$I$2738,$F1265))</f>
        <v/>
      </c>
      <c r="I1265" s="16" t="str">
        <f aca="false">IF(INDEX(選手一覧!$J$7:$J$2738,$F1265)="","",INDEX(選手一覧!$J$7:$J$2738,$F1265))</f>
        <v/>
      </c>
      <c r="J1265" s="17" t="str">
        <f aca="false">IF(INDEX(選手一覧!$K$7:$K$2738,$F1265)="","",INDEX(選手一覧!$K$7:$K$2738,$F1265))</f>
        <v/>
      </c>
    </row>
    <row r="1266" customFormat="false" ht="15" hidden="false" customHeight="false" outlineLevel="0" collapsed="false">
      <c r="A1266" s="17" t="n">
        <v>1262</v>
      </c>
      <c r="B1266" s="12" t="s">
        <v>2006</v>
      </c>
      <c r="C1266" s="12" t="s">
        <v>515</v>
      </c>
      <c r="D1266" s="16" t="n">
        <v>0.0110917824074074</v>
      </c>
      <c r="E1266" s="15" t="n">
        <f aca="false">ROUND((D1266-$D$5)*86400,2)</f>
        <v>168.59</v>
      </c>
      <c r="F1266" s="17" t="n">
        <v>1261</v>
      </c>
      <c r="G1266" s="16" t="n">
        <f aca="false">IF(INDEX(選手一覧!$H$7:$H$2738,$F1266)="","",INDEX(選手一覧!$H$7:$H$2738,$F1266))</f>
        <v>0.0073556712962963</v>
      </c>
      <c r="H1266" s="17" t="n">
        <f aca="false">IF(INDEX(選手一覧!$I$7:$I$2738,$F1266)="","",INDEX(選手一覧!$I$7:$I$2738,$F1266))</f>
        <v>716</v>
      </c>
      <c r="I1266" s="16" t="str">
        <f aca="false">IF(INDEX(選手一覧!$J$7:$J$2738,$F1266)="","",INDEX(選手一覧!$J$7:$J$2738,$F1266))</f>
        <v/>
      </c>
      <c r="J1266" s="17" t="str">
        <f aca="false">IF(INDEX(選手一覧!$K$7:$K$2738,$F1266)="","",INDEX(選手一覧!$K$7:$K$2738,$F1266))</f>
        <v/>
      </c>
    </row>
    <row r="1267" customFormat="false" ht="15" hidden="false" customHeight="false" outlineLevel="0" collapsed="false">
      <c r="A1267" s="17" t="n">
        <v>1263</v>
      </c>
      <c r="B1267" s="12" t="s">
        <v>2007</v>
      </c>
      <c r="C1267" s="12" t="s">
        <v>668</v>
      </c>
      <c r="D1267" s="16" t="n">
        <v>0.0110930555555556</v>
      </c>
      <c r="E1267" s="15" t="n">
        <f aca="false">ROUND((D1267-$D$5)*86400,2)</f>
        <v>168.7</v>
      </c>
      <c r="F1267" s="17" t="n">
        <v>1262</v>
      </c>
      <c r="G1267" s="16" t="str">
        <f aca="false">IF(INDEX(選手一覧!$H$7:$H$2738,$F1267)="","",INDEX(選手一覧!$H$7:$H$2738,$F1267))</f>
        <v/>
      </c>
      <c r="H1267" s="17" t="str">
        <f aca="false">IF(INDEX(選手一覧!$I$7:$I$2738,$F1267)="","",INDEX(選手一覧!$I$7:$I$2738,$F1267))</f>
        <v/>
      </c>
      <c r="I1267" s="16" t="str">
        <f aca="false">IF(INDEX(選手一覧!$J$7:$J$2738,$F1267)="","",INDEX(選手一覧!$J$7:$J$2738,$F1267))</f>
        <v/>
      </c>
      <c r="J1267" s="17" t="str">
        <f aca="false">IF(INDEX(選手一覧!$K$7:$K$2738,$F1267)="","",INDEX(選手一覧!$K$7:$K$2738,$F1267))</f>
        <v/>
      </c>
    </row>
    <row r="1268" customFormat="false" ht="15" hidden="false" customHeight="false" outlineLevel="0" collapsed="false">
      <c r="A1268" s="17" t="n">
        <v>1264</v>
      </c>
      <c r="B1268" s="12" t="s">
        <v>2008</v>
      </c>
      <c r="C1268" s="12" t="s">
        <v>167</v>
      </c>
      <c r="D1268" s="16" t="n">
        <v>0.0110935185185185</v>
      </c>
      <c r="E1268" s="15" t="n">
        <f aca="false">ROUND((D1268-$D$5)*86400,2)</f>
        <v>168.74</v>
      </c>
      <c r="F1268" s="17" t="n">
        <v>1263</v>
      </c>
      <c r="G1268" s="16" t="str">
        <f aca="false">IF(INDEX(選手一覧!$H$7:$H$2738,$F1268)="","",INDEX(選手一覧!$H$7:$H$2738,$F1268))</f>
        <v/>
      </c>
      <c r="H1268" s="17" t="str">
        <f aca="false">IF(INDEX(選手一覧!$I$7:$I$2738,$F1268)="","",INDEX(選手一覧!$I$7:$I$2738,$F1268))</f>
        <v/>
      </c>
      <c r="I1268" s="16" t="n">
        <f aca="false">IF(INDEX(選手一覧!$J$7:$J$2738,$F1268)="","",INDEX(選手一覧!$J$7:$J$2738,$F1268))</f>
        <v>0.00294571759259259</v>
      </c>
      <c r="J1268" s="17" t="n">
        <f aca="false">IF(INDEX(選手一覧!$K$7:$K$2738,$F1268)="","",INDEX(選手一覧!$K$7:$K$2738,$F1268))</f>
        <v>1219</v>
      </c>
    </row>
    <row r="1269" customFormat="false" ht="15" hidden="false" customHeight="false" outlineLevel="0" collapsed="false">
      <c r="A1269" s="17" t="n">
        <v>1265</v>
      </c>
      <c r="B1269" s="12" t="s">
        <v>2009</v>
      </c>
      <c r="C1269" s="12" t="s">
        <v>204</v>
      </c>
      <c r="D1269" s="16" t="n">
        <v>0.0110959490740741</v>
      </c>
      <c r="E1269" s="15" t="n">
        <f aca="false">ROUND((D1269-$D$5)*86400,2)</f>
        <v>168.95</v>
      </c>
      <c r="F1269" s="17" t="n">
        <v>1264</v>
      </c>
      <c r="G1269" s="16" t="str">
        <f aca="false">IF(INDEX(選手一覧!$H$7:$H$2738,$F1269)="","",INDEX(選手一覧!$H$7:$H$2738,$F1269))</f>
        <v/>
      </c>
      <c r="H1269" s="17" t="str">
        <f aca="false">IF(INDEX(選手一覧!$I$7:$I$2738,$F1269)="","",INDEX(選手一覧!$I$7:$I$2738,$F1269))</f>
        <v/>
      </c>
      <c r="I1269" s="16" t="str">
        <f aca="false">IF(INDEX(選手一覧!$J$7:$J$2738,$F1269)="","",INDEX(選手一覧!$J$7:$J$2738,$F1269))</f>
        <v/>
      </c>
      <c r="J1269" s="17" t="str">
        <f aca="false">IF(INDEX(選手一覧!$K$7:$K$2738,$F1269)="","",INDEX(選手一覧!$K$7:$K$2738,$F1269))</f>
        <v/>
      </c>
    </row>
    <row r="1270" customFormat="false" ht="15" hidden="false" customHeight="false" outlineLevel="0" collapsed="false">
      <c r="A1270" s="17" t="n">
        <v>1266</v>
      </c>
      <c r="B1270" s="12" t="s">
        <v>2010</v>
      </c>
      <c r="C1270" s="12" t="s">
        <v>248</v>
      </c>
      <c r="D1270" s="16" t="n">
        <v>0.0110967592592593</v>
      </c>
      <c r="E1270" s="15" t="n">
        <f aca="false">ROUND((D1270-$D$5)*86400,2)</f>
        <v>169.02</v>
      </c>
      <c r="F1270" s="17" t="n">
        <v>1265</v>
      </c>
      <c r="G1270" s="16" t="str">
        <f aca="false">IF(INDEX(選手一覧!$H$7:$H$2738,$F1270)="","",INDEX(選手一覧!$H$7:$H$2738,$F1270))</f>
        <v/>
      </c>
      <c r="H1270" s="17" t="str">
        <f aca="false">IF(INDEX(選手一覧!$I$7:$I$2738,$F1270)="","",INDEX(選手一覧!$I$7:$I$2738,$F1270))</f>
        <v/>
      </c>
      <c r="I1270" s="16" t="str">
        <f aca="false">IF(INDEX(選手一覧!$J$7:$J$2738,$F1270)="","",INDEX(選手一覧!$J$7:$J$2738,$F1270))</f>
        <v/>
      </c>
      <c r="J1270" s="17" t="str">
        <f aca="false">IF(INDEX(選手一覧!$K$7:$K$2738,$F1270)="","",INDEX(選手一覧!$K$7:$K$2738,$F1270))</f>
        <v/>
      </c>
    </row>
    <row r="1271" customFormat="false" ht="15" hidden="false" customHeight="false" outlineLevel="0" collapsed="false">
      <c r="A1271" s="17" t="n">
        <v>1267</v>
      </c>
      <c r="B1271" s="12" t="s">
        <v>2011</v>
      </c>
      <c r="C1271" s="12" t="s">
        <v>228</v>
      </c>
      <c r="D1271" s="16" t="n">
        <v>0.0110979166666667</v>
      </c>
      <c r="E1271" s="15" t="n">
        <f aca="false">ROUND((D1271-$D$5)*86400,2)</f>
        <v>169.12</v>
      </c>
      <c r="F1271" s="17" t="n">
        <v>1266</v>
      </c>
      <c r="G1271" s="16" t="str">
        <f aca="false">IF(INDEX(選手一覧!$H$7:$H$2738,$F1271)="","",INDEX(選手一覧!$H$7:$H$2738,$F1271))</f>
        <v/>
      </c>
      <c r="H1271" s="17" t="str">
        <f aca="false">IF(INDEX(選手一覧!$I$7:$I$2738,$F1271)="","",INDEX(選手一覧!$I$7:$I$2738,$F1271))</f>
        <v/>
      </c>
      <c r="I1271" s="16" t="str">
        <f aca="false">IF(INDEX(選手一覧!$J$7:$J$2738,$F1271)="","",INDEX(選手一覧!$J$7:$J$2738,$F1271))</f>
        <v/>
      </c>
      <c r="J1271" s="17" t="str">
        <f aca="false">IF(INDEX(選手一覧!$K$7:$K$2738,$F1271)="","",INDEX(選手一覧!$K$7:$K$2738,$F1271))</f>
        <v/>
      </c>
    </row>
    <row r="1272" customFormat="false" ht="15" hidden="false" customHeight="false" outlineLevel="0" collapsed="false">
      <c r="A1272" s="17" t="n">
        <v>1268</v>
      </c>
      <c r="B1272" s="12" t="s">
        <v>2012</v>
      </c>
      <c r="C1272" s="12" t="s">
        <v>103</v>
      </c>
      <c r="D1272" s="16" t="n">
        <v>0.0110979166666667</v>
      </c>
      <c r="E1272" s="15" t="n">
        <f aca="false">ROUND((D1272-$D$5)*86400,2)</f>
        <v>169.12</v>
      </c>
      <c r="F1272" s="17" t="n">
        <v>1267</v>
      </c>
      <c r="G1272" s="16" t="n">
        <f aca="false">IF(INDEX(選手一覧!$H$7:$H$2738,$F1272)="","",INDEX(選手一覧!$H$7:$H$2738,$F1272))</f>
        <v>0.00742951388888889</v>
      </c>
      <c r="H1272" s="17" t="n">
        <f aca="false">IF(INDEX(選手一覧!$I$7:$I$2738,$F1272)="","",INDEX(選手一覧!$I$7:$I$2738,$F1272))</f>
        <v>804</v>
      </c>
      <c r="I1272" s="16" t="n">
        <f aca="false">IF(INDEX(選手一覧!$J$7:$J$2738,$F1272)="","",INDEX(選手一覧!$J$7:$J$2738,$F1272))</f>
        <v>0.00291412037037037</v>
      </c>
      <c r="J1272" s="17" t="n">
        <f aca="false">IF(INDEX(選手一覧!$K$7:$K$2738,$F1272)="","",INDEX(選手一覧!$K$7:$K$2738,$F1272))</f>
        <v>1051</v>
      </c>
    </row>
    <row r="1273" customFormat="false" ht="15" hidden="false" customHeight="false" outlineLevel="0" collapsed="false">
      <c r="A1273" s="17" t="n">
        <v>1269</v>
      </c>
      <c r="B1273" s="12" t="s">
        <v>2013</v>
      </c>
      <c r="C1273" s="12" t="s">
        <v>96</v>
      </c>
      <c r="D1273" s="16" t="n">
        <v>0.0110981481481482</v>
      </c>
      <c r="E1273" s="15" t="n">
        <f aca="false">ROUND((D1273-$D$5)*86400,2)</f>
        <v>169.14</v>
      </c>
      <c r="F1273" s="17" t="n">
        <v>1268</v>
      </c>
      <c r="G1273" s="16" t="str">
        <f aca="false">IF(INDEX(選手一覧!$H$7:$H$2738,$F1273)="","",INDEX(選手一覧!$H$7:$H$2738,$F1273))</f>
        <v/>
      </c>
      <c r="H1273" s="17" t="str">
        <f aca="false">IF(INDEX(選手一覧!$I$7:$I$2738,$F1273)="","",INDEX(選手一覧!$I$7:$I$2738,$F1273))</f>
        <v/>
      </c>
      <c r="I1273" s="16" t="str">
        <f aca="false">IF(INDEX(選手一覧!$J$7:$J$2738,$F1273)="","",INDEX(選手一覧!$J$7:$J$2738,$F1273))</f>
        <v/>
      </c>
      <c r="J1273" s="17" t="str">
        <f aca="false">IF(INDEX(選手一覧!$K$7:$K$2738,$F1273)="","",INDEX(選手一覧!$K$7:$K$2738,$F1273))</f>
        <v/>
      </c>
    </row>
    <row r="1274" customFormat="false" ht="15" hidden="false" customHeight="false" outlineLevel="0" collapsed="false">
      <c r="A1274" s="17" t="n">
        <v>1270</v>
      </c>
      <c r="B1274" s="12" t="s">
        <v>2014</v>
      </c>
      <c r="C1274" s="12" t="s">
        <v>1111</v>
      </c>
      <c r="D1274" s="16" t="n">
        <v>0.0110993055555556</v>
      </c>
      <c r="E1274" s="15" t="n">
        <f aca="false">ROUND((D1274-$D$5)*86400,2)</f>
        <v>169.24</v>
      </c>
      <c r="F1274" s="17" t="n">
        <v>1269</v>
      </c>
      <c r="G1274" s="16" t="str">
        <f aca="false">IF(INDEX(選手一覧!$H$7:$H$2738,$F1274)="","",INDEX(選手一覧!$H$7:$H$2738,$F1274))</f>
        <v/>
      </c>
      <c r="H1274" s="17" t="str">
        <f aca="false">IF(INDEX(選手一覧!$I$7:$I$2738,$F1274)="","",INDEX(選手一覧!$I$7:$I$2738,$F1274))</f>
        <v/>
      </c>
      <c r="I1274" s="16" t="n">
        <f aca="false">IF(INDEX(選手一覧!$J$7:$J$2738,$F1274)="","",INDEX(選手一覧!$J$7:$J$2738,$F1274))</f>
        <v>0.002871875</v>
      </c>
      <c r="J1274" s="17" t="n">
        <f aca="false">IF(INDEX(選手一覧!$K$7:$K$2738,$F1274)="","",INDEX(選手一覧!$K$7:$K$2738,$F1274))</f>
        <v>716</v>
      </c>
    </row>
    <row r="1275" customFormat="false" ht="15" hidden="false" customHeight="false" outlineLevel="0" collapsed="false">
      <c r="A1275" s="17" t="n">
        <v>1271</v>
      </c>
      <c r="B1275" s="12" t="s">
        <v>2015</v>
      </c>
      <c r="C1275" s="12" t="s">
        <v>1465</v>
      </c>
      <c r="D1275" s="16" t="n">
        <v>0.0111005787037037</v>
      </c>
      <c r="E1275" s="15" t="n">
        <f aca="false">ROUND((D1275-$D$5)*86400,2)</f>
        <v>169.35</v>
      </c>
      <c r="F1275" s="17" t="n">
        <v>1270</v>
      </c>
      <c r="G1275" s="16" t="str">
        <f aca="false">IF(INDEX(選手一覧!$H$7:$H$2738,$F1275)="","",INDEX(選手一覧!$H$7:$H$2738,$F1275))</f>
        <v/>
      </c>
      <c r="H1275" s="17" t="str">
        <f aca="false">IF(INDEX(選手一覧!$I$7:$I$2738,$F1275)="","",INDEX(選手一覧!$I$7:$I$2738,$F1275))</f>
        <v/>
      </c>
      <c r="I1275" s="16" t="n">
        <f aca="false">IF(INDEX(選手一覧!$J$7:$J$2738,$F1275)="","",INDEX(選手一覧!$J$7:$J$2738,$F1275))</f>
        <v>0.00292291666666667</v>
      </c>
      <c r="J1275" s="17" t="n">
        <f aca="false">IF(INDEX(選手一覧!$K$7:$K$2738,$F1275)="","",INDEX(選手一覧!$K$7:$K$2738,$F1275))</f>
        <v>1123</v>
      </c>
    </row>
    <row r="1276" customFormat="false" ht="15" hidden="false" customHeight="false" outlineLevel="0" collapsed="false">
      <c r="A1276" s="17" t="n">
        <v>1272</v>
      </c>
      <c r="B1276" s="12" t="s">
        <v>2016</v>
      </c>
      <c r="C1276" s="12" t="s">
        <v>135</v>
      </c>
      <c r="D1276" s="16" t="n">
        <v>0.0111009259259259</v>
      </c>
      <c r="E1276" s="15" t="n">
        <f aca="false">ROUND((D1276-$D$5)*86400,2)</f>
        <v>169.38</v>
      </c>
      <c r="F1276" s="17" t="n">
        <v>1271</v>
      </c>
      <c r="G1276" s="16" t="str">
        <f aca="false">IF(INDEX(選手一覧!$H$7:$H$2738,$F1276)="","",INDEX(選手一覧!$H$7:$H$2738,$F1276))</f>
        <v/>
      </c>
      <c r="H1276" s="17" t="str">
        <f aca="false">IF(INDEX(選手一覧!$I$7:$I$2738,$F1276)="","",INDEX(選手一覧!$I$7:$I$2738,$F1276))</f>
        <v/>
      </c>
      <c r="I1276" s="16" t="str">
        <f aca="false">IF(INDEX(選手一覧!$J$7:$J$2738,$F1276)="","",INDEX(選手一覧!$J$7:$J$2738,$F1276))</f>
        <v/>
      </c>
      <c r="J1276" s="17" t="str">
        <f aca="false">IF(INDEX(選手一覧!$K$7:$K$2738,$F1276)="","",INDEX(選手一覧!$K$7:$K$2738,$F1276))</f>
        <v/>
      </c>
    </row>
    <row r="1277" customFormat="false" ht="15" hidden="false" customHeight="false" outlineLevel="0" collapsed="false">
      <c r="A1277" s="17" t="n">
        <v>1273</v>
      </c>
      <c r="B1277" s="12" t="s">
        <v>2017</v>
      </c>
      <c r="C1277" s="12" t="s">
        <v>65</v>
      </c>
      <c r="D1277" s="16" t="n">
        <v>0.0111009259259259</v>
      </c>
      <c r="E1277" s="15" t="n">
        <f aca="false">ROUND((D1277-$D$5)*86400,2)</f>
        <v>169.38</v>
      </c>
      <c r="F1277" s="17" t="n">
        <v>1272</v>
      </c>
      <c r="G1277" s="16" t="str">
        <f aca="false">IF(INDEX(選手一覧!$H$7:$H$2738,$F1277)="","",INDEX(選手一覧!$H$7:$H$2738,$F1277))</f>
        <v/>
      </c>
      <c r="H1277" s="17" t="str">
        <f aca="false">IF(INDEX(選手一覧!$I$7:$I$2738,$F1277)="","",INDEX(選手一覧!$I$7:$I$2738,$F1277))</f>
        <v/>
      </c>
      <c r="I1277" s="16" t="str">
        <f aca="false">IF(INDEX(選手一覧!$J$7:$J$2738,$F1277)="","",INDEX(選手一覧!$J$7:$J$2738,$F1277))</f>
        <v/>
      </c>
      <c r="J1277" s="17" t="str">
        <f aca="false">IF(INDEX(選手一覧!$K$7:$K$2738,$F1277)="","",INDEX(選手一覧!$K$7:$K$2738,$F1277))</f>
        <v/>
      </c>
    </row>
    <row r="1278" customFormat="false" ht="15" hidden="false" customHeight="false" outlineLevel="0" collapsed="false">
      <c r="A1278" s="17" t="n">
        <v>1274</v>
      </c>
      <c r="B1278" s="12" t="s">
        <v>2018</v>
      </c>
      <c r="C1278" s="12" t="s">
        <v>457</v>
      </c>
      <c r="D1278" s="16" t="n">
        <v>0.0111020833333333</v>
      </c>
      <c r="E1278" s="15" t="n">
        <f aca="false">ROUND((D1278-$D$5)*86400,2)</f>
        <v>169.48</v>
      </c>
      <c r="F1278" s="17" t="n">
        <v>1273</v>
      </c>
      <c r="G1278" s="16" t="str">
        <f aca="false">IF(INDEX(選手一覧!$H$7:$H$2738,$F1278)="","",INDEX(選手一覧!$H$7:$H$2738,$F1278))</f>
        <v/>
      </c>
      <c r="H1278" s="17" t="str">
        <f aca="false">IF(INDEX(選手一覧!$I$7:$I$2738,$F1278)="","",INDEX(選手一覧!$I$7:$I$2738,$F1278))</f>
        <v/>
      </c>
      <c r="I1278" s="16" t="str">
        <f aca="false">IF(INDEX(選手一覧!$J$7:$J$2738,$F1278)="","",INDEX(選手一覧!$J$7:$J$2738,$F1278))</f>
        <v/>
      </c>
      <c r="J1278" s="17" t="str">
        <f aca="false">IF(INDEX(選手一覧!$K$7:$K$2738,$F1278)="","",INDEX(選手一覧!$K$7:$K$2738,$F1278))</f>
        <v/>
      </c>
    </row>
    <row r="1279" customFormat="false" ht="15" hidden="false" customHeight="false" outlineLevel="0" collapsed="false">
      <c r="A1279" s="17" t="n">
        <v>1275</v>
      </c>
      <c r="B1279" s="12" t="s">
        <v>2019</v>
      </c>
      <c r="C1279" s="12" t="s">
        <v>601</v>
      </c>
      <c r="D1279" s="16" t="n">
        <v>0.011102662037037</v>
      </c>
      <c r="E1279" s="15" t="n">
        <f aca="false">ROUND((D1279-$D$5)*86400,2)</f>
        <v>169.53</v>
      </c>
      <c r="F1279" s="17" t="n">
        <v>1274</v>
      </c>
      <c r="G1279" s="16" t="str">
        <f aca="false">IF(INDEX(選手一覧!$H$7:$H$2738,$F1279)="","",INDEX(選手一覧!$H$7:$H$2738,$F1279))</f>
        <v/>
      </c>
      <c r="H1279" s="17" t="str">
        <f aca="false">IF(INDEX(選手一覧!$I$7:$I$2738,$F1279)="","",INDEX(選手一覧!$I$7:$I$2738,$F1279))</f>
        <v/>
      </c>
      <c r="I1279" s="16" t="str">
        <f aca="false">IF(INDEX(選手一覧!$J$7:$J$2738,$F1279)="","",INDEX(選手一覧!$J$7:$J$2738,$F1279))</f>
        <v/>
      </c>
      <c r="J1279" s="17" t="str">
        <f aca="false">IF(INDEX(選手一覧!$K$7:$K$2738,$F1279)="","",INDEX(選手一覧!$K$7:$K$2738,$F1279))</f>
        <v/>
      </c>
    </row>
    <row r="1280" customFormat="false" ht="15" hidden="false" customHeight="false" outlineLevel="0" collapsed="false">
      <c r="A1280" s="17" t="n">
        <v>1276</v>
      </c>
      <c r="B1280" s="12" t="s">
        <v>2020</v>
      </c>
      <c r="C1280" s="12" t="s">
        <v>1315</v>
      </c>
      <c r="D1280" s="16" t="n">
        <v>0.0111055555555556</v>
      </c>
      <c r="E1280" s="15" t="n">
        <f aca="false">ROUND((D1280-$D$5)*86400,2)</f>
        <v>169.78</v>
      </c>
      <c r="F1280" s="17" t="n">
        <v>1275</v>
      </c>
      <c r="G1280" s="16" t="str">
        <f aca="false">IF(INDEX(選手一覧!$H$7:$H$2738,$F1280)="","",INDEX(選手一覧!$H$7:$H$2738,$F1280))</f>
        <v/>
      </c>
      <c r="H1280" s="17" t="str">
        <f aca="false">IF(INDEX(選手一覧!$I$7:$I$2738,$F1280)="","",INDEX(選手一覧!$I$7:$I$2738,$F1280))</f>
        <v/>
      </c>
      <c r="I1280" s="16" t="n">
        <f aca="false">IF(INDEX(選手一覧!$J$7:$J$2738,$F1280)="","",INDEX(選手一覧!$J$7:$J$2738,$F1280))</f>
        <v>0.00272905092592593</v>
      </c>
      <c r="J1280" s="17" t="n">
        <f aca="false">IF(INDEX(選手一覧!$K$7:$K$2738,$F1280)="","",INDEX(選手一覧!$K$7:$K$2738,$F1280))</f>
        <v>64</v>
      </c>
    </row>
    <row r="1281" customFormat="false" ht="15" hidden="false" customHeight="false" outlineLevel="0" collapsed="false">
      <c r="A1281" s="17" t="n">
        <v>1277</v>
      </c>
      <c r="B1281" s="12" t="s">
        <v>2021</v>
      </c>
      <c r="C1281" s="12" t="s">
        <v>728</v>
      </c>
      <c r="D1281" s="16" t="n">
        <v>0.0111061342592593</v>
      </c>
      <c r="E1281" s="15" t="n">
        <f aca="false">ROUND((D1281-$D$5)*86400,2)</f>
        <v>169.83</v>
      </c>
      <c r="F1281" s="17" t="n">
        <v>1276</v>
      </c>
      <c r="G1281" s="16" t="n">
        <f aca="false">IF(INDEX(選手一覧!$H$7:$H$2738,$F1281)="","",INDEX(選手一覧!$H$7:$H$2738,$F1281))</f>
        <v>0.00669803240740741</v>
      </c>
      <c r="H1281" s="17" t="n">
        <f aca="false">IF(INDEX(選手一覧!$I$7:$I$2738,$F1281)="","",INDEX(選手一覧!$I$7:$I$2738,$F1281))</f>
        <v>106</v>
      </c>
      <c r="I1281" s="16" t="str">
        <f aca="false">IF(INDEX(選手一覧!$J$7:$J$2738,$F1281)="","",INDEX(選手一覧!$J$7:$J$2738,$F1281))</f>
        <v/>
      </c>
      <c r="J1281" s="17" t="str">
        <f aca="false">IF(INDEX(選手一覧!$K$7:$K$2738,$F1281)="","",INDEX(選手一覧!$K$7:$K$2738,$F1281))</f>
        <v/>
      </c>
    </row>
    <row r="1282" customFormat="false" ht="15" hidden="false" customHeight="false" outlineLevel="0" collapsed="false">
      <c r="A1282" s="17" t="n">
        <v>1278</v>
      </c>
      <c r="B1282" s="12" t="s">
        <v>2023</v>
      </c>
      <c r="C1282" s="12" t="s">
        <v>939</v>
      </c>
      <c r="D1282" s="16" t="n">
        <v>0.0111101851851852</v>
      </c>
      <c r="E1282" s="15" t="n">
        <f aca="false">ROUND((D1282-$D$5)*86400,2)</f>
        <v>170.18</v>
      </c>
      <c r="F1282" s="17" t="n">
        <v>1277</v>
      </c>
      <c r="G1282" s="16" t="n">
        <f aca="false">IF(INDEX(選手一覧!$H$7:$H$2738,$F1282)="","",INDEX(選手一覧!$H$7:$H$2738,$F1282))</f>
        <v>0.00699606481481482</v>
      </c>
      <c r="H1282" s="17" t="n">
        <f aca="false">IF(INDEX(選手一覧!$I$7:$I$2738,$F1282)="","",INDEX(選手一覧!$I$7:$I$2738,$F1282))</f>
        <v>330</v>
      </c>
      <c r="I1282" s="16" t="str">
        <f aca="false">IF(INDEX(選手一覧!$J$7:$J$2738,$F1282)="","",INDEX(選手一覧!$J$7:$J$2738,$F1282))</f>
        <v/>
      </c>
      <c r="J1282" s="17" t="str">
        <f aca="false">IF(INDEX(選手一覧!$K$7:$K$2738,$F1282)="","",INDEX(選手一覧!$K$7:$K$2738,$F1282))</f>
        <v/>
      </c>
    </row>
    <row r="1283" customFormat="false" ht="15" hidden="false" customHeight="false" outlineLevel="0" collapsed="false">
      <c r="A1283" s="17" t="n">
        <v>1279</v>
      </c>
      <c r="B1283" s="12" t="s">
        <v>2024</v>
      </c>
      <c r="C1283" s="12" t="s">
        <v>1465</v>
      </c>
      <c r="D1283" s="16" t="n">
        <v>0.0111123842592593</v>
      </c>
      <c r="E1283" s="15" t="n">
        <f aca="false">ROUND((D1283-$D$5)*86400,2)</f>
        <v>170.37</v>
      </c>
      <c r="F1283" s="17" t="n">
        <v>1278</v>
      </c>
      <c r="G1283" s="16" t="str">
        <f aca="false">IF(INDEX(選手一覧!$H$7:$H$2738,$F1283)="","",INDEX(選手一覧!$H$7:$H$2738,$F1283))</f>
        <v/>
      </c>
      <c r="H1283" s="17" t="str">
        <f aca="false">IF(INDEX(選手一覧!$I$7:$I$2738,$F1283)="","",INDEX(選手一覧!$I$7:$I$2738,$F1283))</f>
        <v/>
      </c>
      <c r="I1283" s="16" t="n">
        <f aca="false">IF(INDEX(選手一覧!$J$7:$J$2738,$F1283)="","",INDEX(選手一覧!$J$7:$J$2738,$F1283))</f>
        <v>0.00286469907407407</v>
      </c>
      <c r="J1283" s="17" t="n">
        <f aca="false">IF(INDEX(選手一覧!$K$7:$K$2738,$F1283)="","",INDEX(選手一覧!$K$7:$K$2738,$F1283))</f>
        <v>664</v>
      </c>
    </row>
    <row r="1284" customFormat="false" ht="15" hidden="false" customHeight="false" outlineLevel="0" collapsed="false">
      <c r="A1284" s="17" t="n">
        <v>1280</v>
      </c>
      <c r="B1284" s="12" t="s">
        <v>2025</v>
      </c>
      <c r="C1284" s="12" t="s">
        <v>1229</v>
      </c>
      <c r="D1284" s="16" t="n">
        <v>0.0111150462962963</v>
      </c>
      <c r="E1284" s="15" t="n">
        <f aca="false">ROUND((D1284-$D$5)*86400,2)</f>
        <v>170.6</v>
      </c>
      <c r="F1284" s="17" t="n">
        <v>1279</v>
      </c>
      <c r="G1284" s="16" t="str">
        <f aca="false">IF(INDEX(選手一覧!$H$7:$H$2738,$F1284)="","",INDEX(選手一覧!$H$7:$H$2738,$F1284))</f>
        <v/>
      </c>
      <c r="H1284" s="17" t="str">
        <f aca="false">IF(INDEX(選手一覧!$I$7:$I$2738,$F1284)="","",INDEX(選手一覧!$I$7:$I$2738,$F1284))</f>
        <v/>
      </c>
      <c r="I1284" s="16" t="n">
        <f aca="false">IF(INDEX(選手一覧!$J$7:$J$2738,$F1284)="","",INDEX(選手一覧!$J$7:$J$2738,$F1284))</f>
        <v>0.00288425925925926</v>
      </c>
      <c r="J1284" s="17" t="n">
        <f aca="false">IF(INDEX(選手一覧!$K$7:$K$2738,$F1284)="","",INDEX(選手一覧!$K$7:$K$2738,$F1284))</f>
        <v>809</v>
      </c>
    </row>
    <row r="1285" customFormat="false" ht="15" hidden="false" customHeight="false" outlineLevel="0" collapsed="false">
      <c r="A1285" s="17" t="n">
        <v>1281</v>
      </c>
      <c r="B1285" s="12" t="s">
        <v>2026</v>
      </c>
      <c r="C1285" s="12" t="s">
        <v>2027</v>
      </c>
      <c r="D1285" s="16" t="n">
        <v>0.0111152777777778</v>
      </c>
      <c r="E1285" s="15" t="n">
        <f aca="false">ROUND((D1285-$D$5)*86400,2)</f>
        <v>170.62</v>
      </c>
      <c r="F1285" s="17" t="n">
        <v>1280</v>
      </c>
      <c r="G1285" s="16" t="str">
        <f aca="false">IF(INDEX(選手一覧!$H$7:$H$2738,$F1285)="","",INDEX(選手一覧!$H$7:$H$2738,$F1285))</f>
        <v/>
      </c>
      <c r="H1285" s="17" t="str">
        <f aca="false">IF(INDEX(選手一覧!$I$7:$I$2738,$F1285)="","",INDEX(選手一覧!$I$7:$I$2738,$F1285))</f>
        <v/>
      </c>
      <c r="I1285" s="16" t="n">
        <f aca="false">IF(INDEX(選手一覧!$J$7:$J$2738,$F1285)="","",INDEX(選手一覧!$J$7:$J$2738,$F1285))</f>
        <v>0.00296331018518519</v>
      </c>
      <c r="J1285" s="17" t="n">
        <f aca="false">IF(INDEX(選手一覧!$K$7:$K$2738,$F1285)="","",INDEX(選手一覧!$K$7:$K$2738,$F1285))</f>
        <v>1284</v>
      </c>
    </row>
    <row r="1286" customFormat="false" ht="15" hidden="false" customHeight="false" outlineLevel="0" collapsed="false">
      <c r="A1286" s="17" t="n">
        <v>1282</v>
      </c>
      <c r="B1286" s="12" t="s">
        <v>2029</v>
      </c>
      <c r="C1286" s="12" t="s">
        <v>1209</v>
      </c>
      <c r="D1286" s="16" t="n">
        <v>0.0111162037037037</v>
      </c>
      <c r="E1286" s="15" t="n">
        <f aca="false">ROUND((D1286-$D$5)*86400,2)</f>
        <v>170.7</v>
      </c>
      <c r="F1286" s="17" t="n">
        <v>1281</v>
      </c>
      <c r="G1286" s="16" t="n">
        <f aca="false">IF(INDEX(選手一覧!$H$7:$H$2738,$F1286)="","",INDEX(選手一覧!$H$7:$H$2738,$F1286))</f>
        <v>0.00705625</v>
      </c>
      <c r="H1286" s="17" t="n">
        <f aca="false">IF(INDEX(選手一覧!$I$7:$I$2738,$F1286)="","",INDEX(選手一覧!$I$7:$I$2738,$F1286))</f>
        <v>397</v>
      </c>
      <c r="I1286" s="16" t="str">
        <f aca="false">IF(INDEX(選手一覧!$J$7:$J$2738,$F1286)="","",INDEX(選手一覧!$J$7:$J$2738,$F1286))</f>
        <v/>
      </c>
      <c r="J1286" s="17" t="str">
        <f aca="false">IF(INDEX(選手一覧!$K$7:$K$2738,$F1286)="","",INDEX(選手一覧!$K$7:$K$2738,$F1286))</f>
        <v/>
      </c>
    </row>
    <row r="1287" customFormat="false" ht="15" hidden="false" customHeight="false" outlineLevel="0" collapsed="false">
      <c r="A1287" s="17" t="n">
        <v>1283</v>
      </c>
      <c r="B1287" s="12" t="s">
        <v>2030</v>
      </c>
      <c r="C1287" s="12" t="s">
        <v>907</v>
      </c>
      <c r="D1287" s="16" t="n">
        <v>0.0111163194444444</v>
      </c>
      <c r="E1287" s="15" t="n">
        <f aca="false">ROUND((D1287-$D$5)*86400,2)</f>
        <v>170.71</v>
      </c>
      <c r="F1287" s="17" t="n">
        <v>1282</v>
      </c>
      <c r="G1287" s="16" t="str">
        <f aca="false">IF(INDEX(選手一覧!$H$7:$H$2738,$F1287)="","",INDEX(選手一覧!$H$7:$H$2738,$F1287))</f>
        <v/>
      </c>
      <c r="H1287" s="17" t="str">
        <f aca="false">IF(INDEX(選手一覧!$I$7:$I$2738,$F1287)="","",INDEX(選手一覧!$I$7:$I$2738,$F1287))</f>
        <v/>
      </c>
      <c r="I1287" s="16" t="n">
        <f aca="false">IF(INDEX(選手一覧!$J$7:$J$2738,$F1287)="","",INDEX(選手一覧!$J$7:$J$2738,$F1287))</f>
        <v>0.00292488425925926</v>
      </c>
      <c r="J1287" s="17" t="n">
        <f aca="false">IF(INDEX(選手一覧!$K$7:$K$2738,$F1287)="","",INDEX(選手一覧!$K$7:$K$2738,$F1287))</f>
        <v>1147</v>
      </c>
    </row>
    <row r="1288" customFormat="false" ht="15" hidden="false" customHeight="false" outlineLevel="0" collapsed="false">
      <c r="A1288" s="17" t="n">
        <v>1284</v>
      </c>
      <c r="B1288" s="12" t="s">
        <v>2031</v>
      </c>
      <c r="C1288" s="12" t="s">
        <v>61</v>
      </c>
      <c r="D1288" s="16" t="n">
        <v>0.0111173611111111</v>
      </c>
      <c r="E1288" s="15" t="n">
        <f aca="false">ROUND((D1288-$D$5)*86400,2)</f>
        <v>170.8</v>
      </c>
      <c r="F1288" s="17" t="n">
        <v>1283</v>
      </c>
      <c r="G1288" s="16" t="str">
        <f aca="false">IF(INDEX(選手一覧!$H$7:$H$2738,$F1288)="","",INDEX(選手一覧!$H$7:$H$2738,$F1288))</f>
        <v/>
      </c>
      <c r="H1288" s="17" t="str">
        <f aca="false">IF(INDEX(選手一覧!$I$7:$I$2738,$F1288)="","",INDEX(選手一覧!$I$7:$I$2738,$F1288))</f>
        <v/>
      </c>
      <c r="I1288" s="16" t="n">
        <f aca="false">IF(INDEX(選手一覧!$J$7:$J$2738,$F1288)="","",INDEX(選手一覧!$J$7:$J$2738,$F1288))</f>
        <v>0.00283518518518519</v>
      </c>
      <c r="J1288" s="17" t="n">
        <f aca="false">IF(INDEX(選手一覧!$K$7:$K$2738,$F1288)="","",INDEX(選手一覧!$K$7:$K$2738,$F1288))</f>
        <v>463</v>
      </c>
    </row>
    <row r="1289" customFormat="false" ht="15" hidden="false" customHeight="false" outlineLevel="0" collapsed="false">
      <c r="A1289" s="17" t="n">
        <v>1285</v>
      </c>
      <c r="B1289" s="12" t="s">
        <v>2032</v>
      </c>
      <c r="C1289" s="12" t="s">
        <v>186</v>
      </c>
      <c r="D1289" s="16" t="n">
        <v>0.0111184027777778</v>
      </c>
      <c r="E1289" s="15" t="n">
        <f aca="false">ROUND((D1289-$D$5)*86400,2)</f>
        <v>170.89</v>
      </c>
      <c r="F1289" s="17" t="n">
        <v>1284</v>
      </c>
      <c r="G1289" s="16" t="str">
        <f aca="false">IF(INDEX(選手一覧!$H$7:$H$2738,$F1289)="","",INDEX(選手一覧!$H$7:$H$2738,$F1289))</f>
        <v/>
      </c>
      <c r="H1289" s="17" t="str">
        <f aca="false">IF(INDEX(選手一覧!$I$7:$I$2738,$F1289)="","",INDEX(選手一覧!$I$7:$I$2738,$F1289))</f>
        <v/>
      </c>
      <c r="I1289" s="16" t="n">
        <f aca="false">IF(INDEX(選手一覧!$J$7:$J$2738,$F1289)="","",INDEX(選手一覧!$J$7:$J$2738,$F1289))</f>
        <v>0.00284097222222222</v>
      </c>
      <c r="J1289" s="17" t="n">
        <f aca="false">IF(INDEX(選手一覧!$K$7:$K$2738,$F1289)="","",INDEX(選手一覧!$K$7:$K$2738,$F1289))</f>
        <v>508</v>
      </c>
    </row>
    <row r="1290" customFormat="false" ht="15" hidden="false" customHeight="false" outlineLevel="0" collapsed="false">
      <c r="A1290" s="17" t="n">
        <v>1286</v>
      </c>
      <c r="B1290" s="12" t="s">
        <v>2033</v>
      </c>
      <c r="C1290" s="12" t="s">
        <v>1127</v>
      </c>
      <c r="D1290" s="16" t="n">
        <v>0.0111196759259259</v>
      </c>
      <c r="E1290" s="15" t="n">
        <f aca="false">ROUND((D1290-$D$5)*86400,2)</f>
        <v>171</v>
      </c>
      <c r="F1290" s="17" t="n">
        <v>1285</v>
      </c>
      <c r="G1290" s="16" t="n">
        <f aca="false">IF(INDEX(選手一覧!$H$7:$H$2738,$F1290)="","",INDEX(選手一覧!$H$7:$H$2738,$F1290))</f>
        <v>0.00745601851851852</v>
      </c>
      <c r="H1290" s="17" t="n">
        <f aca="false">IF(INDEX(選手一覧!$I$7:$I$2738,$F1290)="","",INDEX(選手一覧!$I$7:$I$2738,$F1290))</f>
        <v>840</v>
      </c>
      <c r="I1290" s="16" t="str">
        <f aca="false">IF(INDEX(選手一覧!$J$7:$J$2738,$F1290)="","",INDEX(選手一覧!$J$7:$J$2738,$F1290))</f>
        <v/>
      </c>
      <c r="J1290" s="17" t="str">
        <f aca="false">IF(INDEX(選手一覧!$K$7:$K$2738,$F1290)="","",INDEX(選手一覧!$K$7:$K$2738,$F1290))</f>
        <v/>
      </c>
    </row>
    <row r="1291" customFormat="false" ht="15" hidden="false" customHeight="false" outlineLevel="0" collapsed="false">
      <c r="A1291" s="17" t="n">
        <v>1287</v>
      </c>
      <c r="B1291" s="12" t="s">
        <v>2034</v>
      </c>
      <c r="C1291" s="12" t="s">
        <v>2035</v>
      </c>
      <c r="D1291" s="16" t="n">
        <v>0.0111204861111111</v>
      </c>
      <c r="E1291" s="15" t="n">
        <f aca="false">ROUND((D1291-$D$5)*86400,2)</f>
        <v>171.07</v>
      </c>
      <c r="F1291" s="17" t="n">
        <v>1286</v>
      </c>
      <c r="G1291" s="16" t="str">
        <f aca="false">IF(INDEX(選手一覧!$H$7:$H$2738,$F1291)="","",INDEX(選手一覧!$H$7:$H$2738,$F1291))</f>
        <v/>
      </c>
      <c r="H1291" s="17" t="str">
        <f aca="false">IF(INDEX(選手一覧!$I$7:$I$2738,$F1291)="","",INDEX(選手一覧!$I$7:$I$2738,$F1291))</f>
        <v/>
      </c>
      <c r="I1291" s="16" t="str">
        <f aca="false">IF(INDEX(選手一覧!$J$7:$J$2738,$F1291)="","",INDEX(選手一覧!$J$7:$J$2738,$F1291))</f>
        <v/>
      </c>
      <c r="J1291" s="17" t="str">
        <f aca="false">IF(INDEX(選手一覧!$K$7:$K$2738,$F1291)="","",INDEX(選手一覧!$K$7:$K$2738,$F1291))</f>
        <v/>
      </c>
    </row>
    <row r="1292" customFormat="false" ht="15" hidden="false" customHeight="false" outlineLevel="0" collapsed="false">
      <c r="A1292" s="17" t="n">
        <v>1288</v>
      </c>
      <c r="B1292" s="12" t="s">
        <v>2036</v>
      </c>
      <c r="C1292" s="12" t="s">
        <v>2037</v>
      </c>
      <c r="D1292" s="16" t="n">
        <v>0.0111204861111111</v>
      </c>
      <c r="E1292" s="15" t="n">
        <f aca="false">ROUND((D1292-$D$5)*86400,2)</f>
        <v>171.07</v>
      </c>
      <c r="F1292" s="17" t="n">
        <v>1287</v>
      </c>
      <c r="G1292" s="16" t="n">
        <f aca="false">IF(INDEX(選手一覧!$H$7:$H$2738,$F1292)="","",INDEX(選手一覧!$H$7:$H$2738,$F1292))</f>
        <v>0.00681215277777778</v>
      </c>
      <c r="H1292" s="17" t="n">
        <f aca="false">IF(INDEX(選手一覧!$I$7:$I$2738,$F1292)="","",INDEX(選手一覧!$I$7:$I$2738,$F1292))</f>
        <v>181</v>
      </c>
      <c r="I1292" s="16" t="str">
        <f aca="false">IF(INDEX(選手一覧!$J$7:$J$2738,$F1292)="","",INDEX(選手一覧!$J$7:$J$2738,$F1292))</f>
        <v/>
      </c>
      <c r="J1292" s="17" t="str">
        <f aca="false">IF(INDEX(選手一覧!$K$7:$K$2738,$F1292)="","",INDEX(選手一覧!$K$7:$K$2738,$F1292))</f>
        <v/>
      </c>
    </row>
    <row r="1293" customFormat="false" ht="15" hidden="false" customHeight="false" outlineLevel="0" collapsed="false">
      <c r="A1293" s="17" t="n">
        <v>1289</v>
      </c>
      <c r="B1293" s="12" t="s">
        <v>2038</v>
      </c>
      <c r="C1293" s="12" t="s">
        <v>1647</v>
      </c>
      <c r="D1293" s="16" t="n">
        <v>0.0111210648148148</v>
      </c>
      <c r="E1293" s="15" t="n">
        <f aca="false">ROUND((D1293-$D$5)*86400,2)</f>
        <v>171.12</v>
      </c>
      <c r="F1293" s="17" t="n">
        <v>1288</v>
      </c>
      <c r="G1293" s="16" t="str">
        <f aca="false">IF(INDEX(選手一覧!$H$7:$H$2738,$F1293)="","",INDEX(選手一覧!$H$7:$H$2738,$F1293))</f>
        <v/>
      </c>
      <c r="H1293" s="17" t="str">
        <f aca="false">IF(INDEX(選手一覧!$I$7:$I$2738,$F1293)="","",INDEX(選手一覧!$I$7:$I$2738,$F1293))</f>
        <v/>
      </c>
      <c r="I1293" s="16" t="str">
        <f aca="false">IF(INDEX(選手一覧!$J$7:$J$2738,$F1293)="","",INDEX(選手一覧!$J$7:$J$2738,$F1293))</f>
        <v/>
      </c>
      <c r="J1293" s="17" t="str">
        <f aca="false">IF(INDEX(選手一覧!$K$7:$K$2738,$F1293)="","",INDEX(選手一覧!$K$7:$K$2738,$F1293))</f>
        <v/>
      </c>
    </row>
    <row r="1294" customFormat="false" ht="15" hidden="false" customHeight="false" outlineLevel="0" collapsed="false">
      <c r="A1294" s="17" t="n">
        <v>1290</v>
      </c>
      <c r="B1294" s="12" t="s">
        <v>2039</v>
      </c>
      <c r="C1294" s="12" t="s">
        <v>601</v>
      </c>
      <c r="D1294" s="16" t="n">
        <v>0.0111222222222222</v>
      </c>
      <c r="E1294" s="15" t="n">
        <f aca="false">ROUND((D1294-$D$5)*86400,2)</f>
        <v>171.22</v>
      </c>
      <c r="F1294" s="17" t="n">
        <v>1289</v>
      </c>
      <c r="G1294" s="16" t="str">
        <f aca="false">IF(INDEX(選手一覧!$H$7:$H$2738,$F1294)="","",INDEX(選手一覧!$H$7:$H$2738,$F1294))</f>
        <v/>
      </c>
      <c r="H1294" s="17" t="str">
        <f aca="false">IF(INDEX(選手一覧!$I$7:$I$2738,$F1294)="","",INDEX(選手一覧!$I$7:$I$2738,$F1294))</f>
        <v/>
      </c>
      <c r="I1294" s="16" t="n">
        <f aca="false">IF(INDEX(選手一覧!$J$7:$J$2738,$F1294)="","",INDEX(選手一覧!$J$7:$J$2738,$F1294))</f>
        <v>0.00288576388888889</v>
      </c>
      <c r="J1294" s="17" t="n">
        <f aca="false">IF(INDEX(選手一覧!$K$7:$K$2738,$F1294)="","",INDEX(選手一覧!$K$7:$K$2738,$F1294))</f>
        <v>823</v>
      </c>
    </row>
    <row r="1295" customFormat="false" ht="15" hidden="false" customHeight="false" outlineLevel="0" collapsed="false">
      <c r="A1295" s="17" t="n">
        <v>1291</v>
      </c>
      <c r="B1295" s="12" t="s">
        <v>2040</v>
      </c>
      <c r="C1295" s="12" t="s">
        <v>601</v>
      </c>
      <c r="D1295" s="16" t="n">
        <v>0.0111229166666667</v>
      </c>
      <c r="E1295" s="15" t="n">
        <f aca="false">ROUND((D1295-$D$5)*86400,2)</f>
        <v>171.28</v>
      </c>
      <c r="F1295" s="17" t="n">
        <v>1290</v>
      </c>
      <c r="G1295" s="16" t="str">
        <f aca="false">IF(INDEX(選手一覧!$H$7:$H$2738,$F1295)="","",INDEX(選手一覧!$H$7:$H$2738,$F1295))</f>
        <v/>
      </c>
      <c r="H1295" s="17" t="str">
        <f aca="false">IF(INDEX(選手一覧!$I$7:$I$2738,$F1295)="","",INDEX(選手一覧!$I$7:$I$2738,$F1295))</f>
        <v/>
      </c>
      <c r="I1295" s="16" t="n">
        <f aca="false">IF(INDEX(選手一覧!$J$7:$J$2738,$F1295)="","",INDEX(選手一覧!$J$7:$J$2738,$F1295))</f>
        <v>0.00275451388888889</v>
      </c>
      <c r="J1295" s="17" t="n">
        <f aca="false">IF(INDEX(選手一覧!$K$7:$K$2738,$F1295)="","",INDEX(選手一覧!$K$7:$K$2738,$F1295))</f>
        <v>117</v>
      </c>
    </row>
  </sheetData>
  <autoFilter ref="A4:J1295"/>
  <conditionalFormatting sqref="A5:A1295 H5:H1295 J5:J1295">
    <cfRule type="cellIs" priority="2" operator="lessThanOrEqual" aboveAverage="0" equalAverage="0" bottom="0" percent="0" rank="0" text="" dxfId="9">
      <formula>10</formula>
    </cfRule>
    <cfRule type="cellIs" priority="3" operator="lessThanOrEqual" aboveAverage="0" equalAverage="0" bottom="0" percent="0" rank="0" text="" dxfId="10">
      <formula>50</formula>
    </cfRule>
    <cfRule type="cellIs" priority="4" operator="lessThanOrEqual" aboveAverage="0" equalAverage="0" bottom="0" percent="0" rank="0" text="" dxfId="11">
      <formula>100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7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2" style="0" width="9"/>
    <col collapsed="false" customWidth="true" hidden="false" outlineLevel="0" max="4" min="4" style="0" width="8"/>
    <col collapsed="false" customWidth="true" hidden="false" outlineLevel="0" max="5" min="5" style="0" width="70"/>
    <col collapsed="false" customWidth="true" hidden="false" outlineLevel="0" max="8" min="6" style="0" width="9"/>
  </cols>
  <sheetData>
    <row r="1" customFormat="false" ht="19.4" hidden="false" customHeight="false" outlineLevel="0" collapsed="false">
      <c r="A1" s="21" t="s">
        <v>4176</v>
      </c>
    </row>
    <row r="2" customFormat="false" ht="15" hidden="false" customHeight="false" outlineLevel="0" collapsed="false">
      <c r="A2" s="2" t="s">
        <v>4177</v>
      </c>
    </row>
    <row r="4" customFormat="false" ht="33.75" hidden="false" customHeight="true" outlineLevel="0" collapsed="false">
      <c r="A4" s="8" t="s">
        <v>9</v>
      </c>
      <c r="B4" s="9" t="s">
        <v>4178</v>
      </c>
      <c r="C4" s="9" t="s">
        <v>4179</v>
      </c>
      <c r="D4" s="9" t="s">
        <v>4180</v>
      </c>
      <c r="E4" s="9" t="s">
        <v>4181</v>
      </c>
      <c r="F4" s="7" t="s">
        <v>4182</v>
      </c>
      <c r="G4" s="7" t="s">
        <v>4183</v>
      </c>
      <c r="H4" s="8" t="s">
        <v>4184</v>
      </c>
    </row>
    <row r="5" customFormat="false" ht="15" hidden="false" customHeight="false" outlineLevel="0" collapsed="false">
      <c r="A5" s="12" t="s">
        <v>37</v>
      </c>
      <c r="B5" s="22" t="n">
        <f aca="false">COUNTIFS(選手一覧!$C$7:$C$2738,A5,選手一覧!$E$7:$E$2738,"&lt;=100")</f>
        <v>7</v>
      </c>
      <c r="C5" s="18" t="n">
        <f aca="false">COUNTIFS(選手一覧!$C$7:$C$2738,A5,選手一覧!$E$7:$E$2738,"&gt;0")</f>
        <v>16</v>
      </c>
      <c r="D5" s="14" t="n">
        <f aca="false">IF(C5=0,"",_xlfn.MINIFS(選手一覧!$E$7:$E$2738,選手一覧!$C$7:$C$2738,A5))</f>
        <v>6</v>
      </c>
      <c r="E5" s="12" t="s">
        <v>4185</v>
      </c>
      <c r="F5" s="18" t="n">
        <f aca="false">COUNTIFS(選手一覧!$C$7:$C$2738,A5,選手一覧!$I$7:$I$2738,"&lt;=100")</f>
        <v>2</v>
      </c>
      <c r="G5" s="18" t="n">
        <f aca="false">COUNTIFS(選手一覧!$C$7:$C$2738,A5,選手一覧!$K$7:$K$2738,"&lt;=100")</f>
        <v>2</v>
      </c>
      <c r="H5" s="17" t="n">
        <f aca="false">COUNTIF(選手一覧!$C$7:$C$2738,A5)</f>
        <v>17</v>
      </c>
    </row>
    <row r="6" customFormat="false" ht="15" hidden="false" customHeight="false" outlineLevel="0" collapsed="false">
      <c r="A6" s="12" t="s">
        <v>63</v>
      </c>
      <c r="B6" s="22" t="n">
        <f aca="false">COUNTIFS(選手一覧!$C$7:$C$2738,A6,選手一覧!$E$7:$E$2738,"&lt;=100")</f>
        <v>4</v>
      </c>
      <c r="C6" s="18" t="n">
        <f aca="false">COUNTIFS(選手一覧!$C$7:$C$2738,A6,選手一覧!$E$7:$E$2738,"&gt;0")</f>
        <v>17</v>
      </c>
      <c r="D6" s="14" t="n">
        <f aca="false">IF(C6=0,"",_xlfn.MINIFS(選手一覧!$E$7:$E$2738,選手一覧!$C$7:$C$2738,A6))</f>
        <v>18</v>
      </c>
      <c r="E6" s="12" t="s">
        <v>4186</v>
      </c>
      <c r="F6" s="18" t="n">
        <f aca="false">COUNTIFS(選手一覧!$C$7:$C$2738,A6,選手一覧!$I$7:$I$2738,"&lt;=100")</f>
        <v>0</v>
      </c>
      <c r="G6" s="18" t="n">
        <f aca="false">COUNTIFS(選手一覧!$C$7:$C$2738,A6,選手一覧!$K$7:$K$2738,"&lt;=100")</f>
        <v>1</v>
      </c>
      <c r="H6" s="17" t="n">
        <f aca="false">COUNTIF(選手一覧!$C$7:$C$2738,A6)</f>
        <v>17</v>
      </c>
    </row>
    <row r="7" customFormat="false" ht="15" hidden="false" customHeight="false" outlineLevel="0" collapsed="false">
      <c r="A7" s="12" t="s">
        <v>27</v>
      </c>
      <c r="B7" s="22" t="n">
        <f aca="false">COUNTIFS(選手一覧!$C$7:$C$2738,A7,選手一覧!$E$7:$E$2738,"&lt;=100")</f>
        <v>4</v>
      </c>
      <c r="C7" s="18" t="n">
        <f aca="false">COUNTIFS(選手一覧!$C$7:$C$2738,A7,選手一覧!$E$7:$E$2738,"&gt;0")</f>
        <v>12</v>
      </c>
      <c r="D7" s="14" t="n">
        <f aca="false">IF(C7=0,"",_xlfn.MINIFS(選手一覧!$E$7:$E$2738,選手一覧!$C$7:$C$2738,A7))</f>
        <v>2</v>
      </c>
      <c r="E7" s="12" t="s">
        <v>4187</v>
      </c>
      <c r="F7" s="18" t="n">
        <f aca="false">COUNTIFS(選手一覧!$C$7:$C$2738,A7,選手一覧!$I$7:$I$2738,"&lt;=100")</f>
        <v>3</v>
      </c>
      <c r="G7" s="18" t="n">
        <f aca="false">COUNTIFS(選手一覧!$C$7:$C$2738,A7,選手一覧!$K$7:$K$2738,"&lt;=100")</f>
        <v>2</v>
      </c>
      <c r="H7" s="17" t="n">
        <f aca="false">COUNTIF(選手一覧!$C$7:$C$2738,A7)</f>
        <v>13</v>
      </c>
    </row>
    <row r="8" customFormat="false" ht="15" hidden="false" customHeight="false" outlineLevel="0" collapsed="false">
      <c r="A8" s="12" t="s">
        <v>25</v>
      </c>
      <c r="B8" s="22" t="n">
        <f aca="false">COUNTIFS(選手一覧!$C$7:$C$2738,A8,選手一覧!$E$7:$E$2738,"&lt;=100")</f>
        <v>4</v>
      </c>
      <c r="C8" s="18" t="n">
        <f aca="false">COUNTIFS(選手一覧!$C$7:$C$2738,A8,選手一覧!$E$7:$E$2738,"&gt;0")</f>
        <v>8</v>
      </c>
      <c r="D8" s="14" t="n">
        <f aca="false">IF(C8=0,"",_xlfn.MINIFS(選手一覧!$E$7:$E$2738,選手一覧!$C$7:$C$2738,A8))</f>
        <v>1</v>
      </c>
      <c r="E8" s="12" t="s">
        <v>4188</v>
      </c>
      <c r="F8" s="18" t="n">
        <f aca="false">COUNTIFS(選手一覧!$C$7:$C$2738,A8,選手一覧!$I$7:$I$2738,"&lt;=100")</f>
        <v>0</v>
      </c>
      <c r="G8" s="18" t="n">
        <f aca="false">COUNTIFS(選手一覧!$C$7:$C$2738,A8,選手一覧!$K$7:$K$2738,"&lt;=100")</f>
        <v>1</v>
      </c>
      <c r="H8" s="17" t="n">
        <f aca="false">COUNTIF(選手一覧!$C$7:$C$2738,A8)</f>
        <v>9</v>
      </c>
    </row>
    <row r="9" customFormat="false" ht="15" hidden="false" customHeight="false" outlineLevel="0" collapsed="false">
      <c r="A9" s="12" t="s">
        <v>32</v>
      </c>
      <c r="B9" s="22" t="n">
        <f aca="false">COUNTIFS(選手一覧!$C$7:$C$2738,A9,選手一覧!$E$7:$E$2738,"&lt;=100")</f>
        <v>3</v>
      </c>
      <c r="C9" s="18" t="n">
        <f aca="false">COUNTIFS(選手一覧!$C$7:$C$2738,A9,選手一覧!$E$7:$E$2738,"&gt;0")</f>
        <v>15</v>
      </c>
      <c r="D9" s="14" t="n">
        <f aca="false">IF(C9=0,"",_xlfn.MINIFS(選手一覧!$E$7:$E$2738,選手一覧!$C$7:$C$2738,A9))</f>
        <v>4</v>
      </c>
      <c r="E9" s="12" t="s">
        <v>4189</v>
      </c>
      <c r="F9" s="18" t="n">
        <f aca="false">COUNTIFS(選手一覧!$C$7:$C$2738,A9,選手一覧!$I$7:$I$2738,"&lt;=100")</f>
        <v>0</v>
      </c>
      <c r="G9" s="18" t="n">
        <f aca="false">COUNTIFS(選手一覧!$C$7:$C$2738,A9,選手一覧!$K$7:$K$2738,"&lt;=100")</f>
        <v>2</v>
      </c>
      <c r="H9" s="17" t="n">
        <f aca="false">COUNTIF(選手一覧!$C$7:$C$2738,A9)</f>
        <v>15</v>
      </c>
    </row>
    <row r="10" customFormat="false" ht="15" hidden="false" customHeight="false" outlineLevel="0" collapsed="false">
      <c r="A10" s="12" t="s">
        <v>96</v>
      </c>
      <c r="B10" s="22" t="n">
        <f aca="false">COUNTIFS(選手一覧!$C$7:$C$2738,A10,選手一覧!$E$7:$E$2738,"&lt;=100")</f>
        <v>3</v>
      </c>
      <c r="C10" s="18" t="n">
        <f aca="false">COUNTIFS(選手一覧!$C$7:$C$2738,A10,選手一覧!$E$7:$E$2738,"&gt;0")</f>
        <v>12</v>
      </c>
      <c r="D10" s="14" t="n">
        <f aca="false">IF(C10=0,"",_xlfn.MINIFS(選手一覧!$E$7:$E$2738,選手一覧!$C$7:$C$2738,A10))</f>
        <v>35</v>
      </c>
      <c r="E10" s="12" t="s">
        <v>4190</v>
      </c>
      <c r="F10" s="18" t="n">
        <f aca="false">COUNTIFS(選手一覧!$C$7:$C$2738,A10,選手一覧!$I$7:$I$2738,"&lt;=100")</f>
        <v>1</v>
      </c>
      <c r="G10" s="18" t="n">
        <f aca="false">COUNTIFS(選手一覧!$C$7:$C$2738,A10,選手一覧!$K$7:$K$2738,"&lt;=100")</f>
        <v>1</v>
      </c>
      <c r="H10" s="17" t="n">
        <f aca="false">COUNTIF(選手一覧!$C$7:$C$2738,A10)</f>
        <v>13</v>
      </c>
    </row>
    <row r="11" customFormat="false" ht="15" hidden="false" customHeight="false" outlineLevel="0" collapsed="false">
      <c r="A11" s="12" t="s">
        <v>150</v>
      </c>
      <c r="B11" s="22" t="n">
        <f aca="false">COUNTIFS(選手一覧!$C$7:$C$2738,A11,選手一覧!$E$7:$E$2738,"&lt;=100")</f>
        <v>3</v>
      </c>
      <c r="C11" s="18" t="n">
        <f aca="false">COUNTIFS(選手一覧!$C$7:$C$2738,A11,選手一覧!$E$7:$E$2738,"&gt;0")</f>
        <v>11</v>
      </c>
      <c r="D11" s="14" t="n">
        <f aca="false">IF(C11=0,"",_xlfn.MINIFS(選手一覧!$E$7:$E$2738,選手一覧!$C$7:$C$2738,A11))</f>
        <v>64</v>
      </c>
      <c r="E11" s="12" t="s">
        <v>4191</v>
      </c>
      <c r="F11" s="18" t="n">
        <f aca="false">COUNTIFS(選手一覧!$C$7:$C$2738,A11,選手一覧!$I$7:$I$2738,"&lt;=100")</f>
        <v>1</v>
      </c>
      <c r="G11" s="18" t="n">
        <f aca="false">COUNTIFS(選手一覧!$C$7:$C$2738,A11,選手一覧!$K$7:$K$2738,"&lt;=100")</f>
        <v>2</v>
      </c>
      <c r="H11" s="17" t="n">
        <f aca="false">COUNTIF(選手一覧!$C$7:$C$2738,A11)</f>
        <v>11</v>
      </c>
    </row>
    <row r="12" customFormat="false" ht="15" hidden="false" customHeight="false" outlineLevel="0" collapsed="false">
      <c r="A12" s="12" t="s">
        <v>51</v>
      </c>
      <c r="B12" s="22" t="n">
        <f aca="false">COUNTIFS(選手一覧!$C$7:$C$2738,A12,選手一覧!$E$7:$E$2738,"&lt;=100")</f>
        <v>3</v>
      </c>
      <c r="C12" s="18" t="n">
        <f aca="false">COUNTIFS(選手一覧!$C$7:$C$2738,A12,選手一覧!$E$7:$E$2738,"&gt;0")</f>
        <v>10</v>
      </c>
      <c r="D12" s="14" t="n">
        <f aca="false">IF(C12=0,"",_xlfn.MINIFS(選手一覧!$E$7:$E$2738,選手一覧!$C$7:$C$2738,A12))</f>
        <v>12</v>
      </c>
      <c r="E12" s="12" t="s">
        <v>4192</v>
      </c>
      <c r="F12" s="18" t="n">
        <f aca="false">COUNTIFS(選手一覧!$C$7:$C$2738,A12,選手一覧!$I$7:$I$2738,"&lt;=100")</f>
        <v>1</v>
      </c>
      <c r="G12" s="18" t="n">
        <f aca="false">COUNTIFS(選手一覧!$C$7:$C$2738,A12,選手一覧!$K$7:$K$2738,"&lt;=100")</f>
        <v>2</v>
      </c>
      <c r="H12" s="17" t="n">
        <f aca="false">COUNTIF(選手一覧!$C$7:$C$2738,A12)</f>
        <v>10</v>
      </c>
    </row>
    <row r="13" customFormat="false" ht="15" hidden="false" customHeight="false" outlineLevel="0" collapsed="false">
      <c r="A13" s="12" t="s">
        <v>129</v>
      </c>
      <c r="B13" s="22" t="n">
        <f aca="false">COUNTIFS(選手一覧!$C$7:$C$2738,A13,選手一覧!$E$7:$E$2738,"&lt;=100")</f>
        <v>3</v>
      </c>
      <c r="C13" s="18" t="n">
        <f aca="false">COUNTIFS(選手一覧!$C$7:$C$2738,A13,選手一覧!$E$7:$E$2738,"&gt;0")</f>
        <v>10</v>
      </c>
      <c r="D13" s="14" t="n">
        <f aca="false">IF(C13=0,"",_xlfn.MINIFS(選手一覧!$E$7:$E$2738,選手一覧!$C$7:$C$2738,A13))</f>
        <v>52</v>
      </c>
      <c r="E13" s="12" t="s">
        <v>4193</v>
      </c>
      <c r="F13" s="18" t="n">
        <f aca="false">COUNTIFS(選手一覧!$C$7:$C$2738,A13,選手一覧!$I$7:$I$2738,"&lt;=100")</f>
        <v>0</v>
      </c>
      <c r="G13" s="18" t="n">
        <f aca="false">COUNTIFS(選手一覧!$C$7:$C$2738,A13,選手一覧!$K$7:$K$2738,"&lt;=100")</f>
        <v>3</v>
      </c>
      <c r="H13" s="17" t="n">
        <f aca="false">COUNTIF(選手一覧!$C$7:$C$2738,A13)</f>
        <v>11</v>
      </c>
    </row>
    <row r="14" customFormat="false" ht="15" hidden="false" customHeight="false" outlineLevel="0" collapsed="false">
      <c r="A14" s="12" t="s">
        <v>152</v>
      </c>
      <c r="B14" s="22" t="n">
        <f aca="false">COUNTIFS(選手一覧!$C$7:$C$2738,A14,選手一覧!$E$7:$E$2738,"&lt;=100")</f>
        <v>3</v>
      </c>
      <c r="C14" s="18" t="n">
        <f aca="false">COUNTIFS(選手一覧!$C$7:$C$2738,A14,選手一覧!$E$7:$E$2738,"&gt;0")</f>
        <v>10</v>
      </c>
      <c r="D14" s="14" t="n">
        <f aca="false">IF(C14=0,"",_xlfn.MINIFS(選手一覧!$E$7:$E$2738,選手一覧!$C$7:$C$2738,A14))</f>
        <v>65</v>
      </c>
      <c r="E14" s="12" t="s">
        <v>4194</v>
      </c>
      <c r="F14" s="18" t="n">
        <f aca="false">COUNTIFS(選手一覧!$C$7:$C$2738,A14,選手一覧!$I$7:$I$2738,"&lt;=100")</f>
        <v>1</v>
      </c>
      <c r="G14" s="18" t="n">
        <f aca="false">COUNTIFS(選手一覧!$C$7:$C$2738,A14,選手一覧!$K$7:$K$2738,"&lt;=100")</f>
        <v>1</v>
      </c>
      <c r="H14" s="17" t="n">
        <f aca="false">COUNTIF(選手一覧!$C$7:$C$2738,A14)</f>
        <v>11</v>
      </c>
    </row>
    <row r="15" customFormat="false" ht="15" hidden="false" customHeight="false" outlineLevel="0" collapsed="false">
      <c r="A15" s="12" t="s">
        <v>199</v>
      </c>
      <c r="B15" s="22" t="n">
        <f aca="false">COUNTIFS(選手一覧!$C$7:$C$2738,A15,選手一覧!$E$7:$E$2738,"&lt;=100")</f>
        <v>3</v>
      </c>
      <c r="C15" s="18" t="n">
        <f aca="false">COUNTIFS(選手一覧!$C$7:$C$2738,A15,選手一覧!$E$7:$E$2738,"&gt;0")</f>
        <v>10</v>
      </c>
      <c r="D15" s="14" t="n">
        <f aca="false">IF(C15=0,"",_xlfn.MINIFS(選手一覧!$E$7:$E$2738,選手一覧!$C$7:$C$2738,A15))</f>
        <v>89</v>
      </c>
      <c r="E15" s="12" t="s">
        <v>4195</v>
      </c>
      <c r="F15" s="18" t="n">
        <f aca="false">COUNTIFS(選手一覧!$C$7:$C$2738,A15,選手一覧!$I$7:$I$2738,"&lt;=100")</f>
        <v>2</v>
      </c>
      <c r="G15" s="18" t="n">
        <f aca="false">COUNTIFS(選手一覧!$C$7:$C$2738,A15,選手一覧!$K$7:$K$2738,"&lt;=100")</f>
        <v>0</v>
      </c>
      <c r="H15" s="17" t="n">
        <f aca="false">COUNTIF(選手一覧!$C$7:$C$2738,A15)</f>
        <v>13</v>
      </c>
    </row>
    <row r="16" customFormat="false" ht="15" hidden="false" customHeight="false" outlineLevel="0" collapsed="false">
      <c r="A16" s="12" t="s">
        <v>67</v>
      </c>
      <c r="B16" s="22" t="n">
        <f aca="false">COUNTIFS(選手一覧!$C$7:$C$2738,A16,選手一覧!$E$7:$E$2738,"&lt;=100")</f>
        <v>3</v>
      </c>
      <c r="C16" s="18" t="n">
        <f aca="false">COUNTIFS(選手一覧!$C$7:$C$2738,A16,選手一覧!$E$7:$E$2738,"&gt;0")</f>
        <v>7</v>
      </c>
      <c r="D16" s="14" t="n">
        <f aca="false">IF(C16=0,"",_xlfn.MINIFS(選手一覧!$E$7:$E$2738,選手一覧!$C$7:$C$2738,A16))</f>
        <v>20</v>
      </c>
      <c r="E16" s="12" t="s">
        <v>4196</v>
      </c>
      <c r="F16" s="18" t="n">
        <f aca="false">COUNTIFS(選手一覧!$C$7:$C$2738,A16,選手一覧!$I$7:$I$2738,"&lt;=100")</f>
        <v>1</v>
      </c>
      <c r="G16" s="18" t="n">
        <f aca="false">COUNTIFS(選手一覧!$C$7:$C$2738,A16,選手一覧!$K$7:$K$2738,"&lt;=100")</f>
        <v>2</v>
      </c>
      <c r="H16" s="17" t="n">
        <f aca="false">COUNTIF(選手一覧!$C$7:$C$2738,A16)</f>
        <v>7</v>
      </c>
    </row>
    <row r="17" customFormat="false" ht="15" hidden="false" customHeight="false" outlineLevel="0" collapsed="false">
      <c r="A17" s="12" t="s">
        <v>61</v>
      </c>
      <c r="B17" s="22" t="n">
        <f aca="false">COUNTIFS(選手一覧!$C$7:$C$2738,A17,選手一覧!$E$7:$E$2738,"&lt;=100")</f>
        <v>2</v>
      </c>
      <c r="C17" s="18" t="n">
        <f aca="false">COUNTIFS(選手一覧!$C$7:$C$2738,A17,選手一覧!$E$7:$E$2738,"&gt;0")</f>
        <v>15</v>
      </c>
      <c r="D17" s="14" t="n">
        <f aca="false">IF(C17=0,"",_xlfn.MINIFS(選手一覧!$E$7:$E$2738,選手一覧!$C$7:$C$2738,A17))</f>
        <v>17</v>
      </c>
      <c r="E17" s="12" t="s">
        <v>4197</v>
      </c>
      <c r="F17" s="18" t="n">
        <f aca="false">COUNTIFS(選手一覧!$C$7:$C$2738,A17,選手一覧!$I$7:$I$2738,"&lt;=100")</f>
        <v>2</v>
      </c>
      <c r="G17" s="18" t="n">
        <f aca="false">COUNTIFS(選手一覧!$C$7:$C$2738,A17,選手一覧!$K$7:$K$2738,"&lt;=100")</f>
        <v>1</v>
      </c>
      <c r="H17" s="17" t="n">
        <f aca="false">COUNTIF(選手一覧!$C$7:$C$2738,A17)</f>
        <v>17</v>
      </c>
    </row>
    <row r="18" customFormat="false" ht="15" hidden="false" customHeight="false" outlineLevel="0" collapsed="false">
      <c r="A18" s="12" t="s">
        <v>127</v>
      </c>
      <c r="B18" s="22" t="n">
        <f aca="false">COUNTIFS(選手一覧!$C$7:$C$2738,A18,選手一覧!$E$7:$E$2738,"&lt;=100")</f>
        <v>2</v>
      </c>
      <c r="C18" s="18" t="n">
        <f aca="false">COUNTIFS(選手一覧!$C$7:$C$2738,A18,選手一覧!$E$7:$E$2738,"&gt;0")</f>
        <v>15</v>
      </c>
      <c r="D18" s="14" t="n">
        <f aca="false">IF(C18=0,"",_xlfn.MINIFS(選手一覧!$E$7:$E$2738,選手一覧!$C$7:$C$2738,A18))</f>
        <v>51</v>
      </c>
      <c r="E18" s="12" t="s">
        <v>4198</v>
      </c>
      <c r="F18" s="18" t="n">
        <f aca="false">COUNTIFS(選手一覧!$C$7:$C$2738,A18,選手一覧!$I$7:$I$2738,"&lt;=100")</f>
        <v>2</v>
      </c>
      <c r="G18" s="18" t="n">
        <f aca="false">COUNTIFS(選手一覧!$C$7:$C$2738,A18,選手一覧!$K$7:$K$2738,"&lt;=100")</f>
        <v>1</v>
      </c>
      <c r="H18" s="17" t="n">
        <f aca="false">COUNTIF(選手一覧!$C$7:$C$2738,A18)</f>
        <v>18</v>
      </c>
    </row>
    <row r="19" customFormat="false" ht="15" hidden="false" customHeight="false" outlineLevel="0" collapsed="false">
      <c r="A19" s="12" t="s">
        <v>77</v>
      </c>
      <c r="B19" s="22" t="n">
        <f aca="false">COUNTIFS(選手一覧!$C$7:$C$2738,A19,選手一覧!$E$7:$E$2738,"&lt;=100")</f>
        <v>2</v>
      </c>
      <c r="C19" s="18" t="n">
        <f aca="false">COUNTIFS(選手一覧!$C$7:$C$2738,A19,選手一覧!$E$7:$E$2738,"&gt;0")</f>
        <v>14</v>
      </c>
      <c r="D19" s="14" t="n">
        <f aca="false">IF(C19=0,"",_xlfn.MINIFS(選手一覧!$E$7:$E$2738,選手一覧!$C$7:$C$2738,A19))</f>
        <v>25</v>
      </c>
      <c r="E19" s="12" t="s">
        <v>4199</v>
      </c>
      <c r="F19" s="18" t="n">
        <f aca="false">COUNTIFS(選手一覧!$C$7:$C$2738,A19,選手一覧!$I$7:$I$2738,"&lt;=100")</f>
        <v>2</v>
      </c>
      <c r="G19" s="18" t="n">
        <f aca="false">COUNTIFS(選手一覧!$C$7:$C$2738,A19,選手一覧!$K$7:$K$2738,"&lt;=100")</f>
        <v>3</v>
      </c>
      <c r="H19" s="17" t="n">
        <f aca="false">COUNTIF(選手一覧!$C$7:$C$2738,A19)</f>
        <v>14</v>
      </c>
    </row>
    <row r="20" customFormat="false" ht="15" hidden="false" customHeight="false" outlineLevel="0" collapsed="false">
      <c r="A20" s="12" t="s">
        <v>71</v>
      </c>
      <c r="B20" s="22" t="n">
        <f aca="false">COUNTIFS(選手一覧!$C$7:$C$2738,A20,選手一覧!$E$7:$E$2738,"&lt;=100")</f>
        <v>2</v>
      </c>
      <c r="C20" s="18" t="n">
        <f aca="false">COUNTIFS(選手一覧!$C$7:$C$2738,A20,選手一覧!$E$7:$E$2738,"&gt;0")</f>
        <v>10</v>
      </c>
      <c r="D20" s="14" t="n">
        <f aca="false">IF(C20=0,"",_xlfn.MINIFS(選手一覧!$E$7:$E$2738,選手一覧!$C$7:$C$2738,A20))</f>
        <v>22</v>
      </c>
      <c r="E20" s="12" t="s">
        <v>4200</v>
      </c>
      <c r="F20" s="18" t="n">
        <f aca="false">COUNTIFS(選手一覧!$C$7:$C$2738,A20,選手一覧!$I$7:$I$2738,"&lt;=100")</f>
        <v>2</v>
      </c>
      <c r="G20" s="18" t="n">
        <f aca="false">COUNTIFS(選手一覧!$C$7:$C$2738,A20,選手一覧!$K$7:$K$2738,"&lt;=100")</f>
        <v>0</v>
      </c>
      <c r="H20" s="17" t="n">
        <f aca="false">COUNTIF(選手一覧!$C$7:$C$2738,A20)</f>
        <v>10</v>
      </c>
    </row>
    <row r="21" customFormat="false" ht="15" hidden="false" customHeight="false" outlineLevel="0" collapsed="false">
      <c r="A21" s="12" t="s">
        <v>115</v>
      </c>
      <c r="B21" s="22" t="n">
        <f aca="false">COUNTIFS(選手一覧!$C$7:$C$2738,A21,選手一覧!$E$7:$E$2738,"&lt;=100")</f>
        <v>2</v>
      </c>
      <c r="C21" s="18" t="n">
        <f aca="false">COUNTIFS(選手一覧!$C$7:$C$2738,A21,選手一覧!$E$7:$E$2738,"&gt;0")</f>
        <v>9</v>
      </c>
      <c r="D21" s="14" t="n">
        <f aca="false">IF(C21=0,"",_xlfn.MINIFS(選手一覧!$E$7:$E$2738,選手一覧!$C$7:$C$2738,A21))</f>
        <v>45</v>
      </c>
      <c r="E21" s="12" t="s">
        <v>4201</v>
      </c>
      <c r="F21" s="18" t="n">
        <f aca="false">COUNTIFS(選手一覧!$C$7:$C$2738,A21,選手一覧!$I$7:$I$2738,"&lt;=100")</f>
        <v>0</v>
      </c>
      <c r="G21" s="18" t="n">
        <f aca="false">COUNTIFS(選手一覧!$C$7:$C$2738,A21,選手一覧!$K$7:$K$2738,"&lt;=100")</f>
        <v>2</v>
      </c>
      <c r="H21" s="17" t="n">
        <f aca="false">COUNTIF(選手一覧!$C$7:$C$2738,A21)</f>
        <v>9</v>
      </c>
    </row>
    <row r="22" customFormat="false" ht="15" hidden="false" customHeight="false" outlineLevel="0" collapsed="false">
      <c r="A22" s="12" t="s">
        <v>155</v>
      </c>
      <c r="B22" s="22" t="n">
        <f aca="false">COUNTIFS(選手一覧!$C$7:$C$2738,A22,選手一覧!$E$7:$E$2738,"&lt;=100")</f>
        <v>2</v>
      </c>
      <c r="C22" s="18" t="n">
        <f aca="false">COUNTIFS(選手一覧!$C$7:$C$2738,A22,選手一覧!$E$7:$E$2738,"&gt;0")</f>
        <v>9</v>
      </c>
      <c r="D22" s="14" t="n">
        <f aca="false">IF(C22=0,"",_xlfn.MINIFS(選手一覧!$E$7:$E$2738,選手一覧!$C$7:$C$2738,A22))</f>
        <v>66</v>
      </c>
      <c r="E22" s="12" t="s">
        <v>4202</v>
      </c>
      <c r="F22" s="18" t="n">
        <f aca="false">COUNTIFS(選手一覧!$C$7:$C$2738,A22,選手一覧!$I$7:$I$2738,"&lt;=100")</f>
        <v>1</v>
      </c>
      <c r="G22" s="18" t="n">
        <f aca="false">COUNTIFS(選手一覧!$C$7:$C$2738,A22,選手一覧!$K$7:$K$2738,"&lt;=100")</f>
        <v>2</v>
      </c>
      <c r="H22" s="17" t="n">
        <f aca="false">COUNTIF(選手一覧!$C$7:$C$2738,A22)</f>
        <v>10</v>
      </c>
    </row>
    <row r="23" customFormat="false" ht="15" hidden="false" customHeight="false" outlineLevel="0" collapsed="false">
      <c r="A23" s="12" t="s">
        <v>165</v>
      </c>
      <c r="B23" s="22" t="n">
        <f aca="false">COUNTIFS(選手一覧!$C$7:$C$2738,A23,選手一覧!$E$7:$E$2738,"&lt;=100")</f>
        <v>2</v>
      </c>
      <c r="C23" s="18" t="n">
        <f aca="false">COUNTIFS(選手一覧!$C$7:$C$2738,A23,選手一覧!$E$7:$E$2738,"&gt;0")</f>
        <v>6</v>
      </c>
      <c r="D23" s="14" t="n">
        <f aca="false">IF(C23=0,"",_xlfn.MINIFS(選手一覧!$E$7:$E$2738,選手一覧!$C$7:$C$2738,A23))</f>
        <v>71</v>
      </c>
      <c r="E23" s="12" t="s">
        <v>4203</v>
      </c>
      <c r="F23" s="18" t="n">
        <f aca="false">COUNTIFS(選手一覧!$C$7:$C$2738,A23,選手一覧!$I$7:$I$2738,"&lt;=100")</f>
        <v>0</v>
      </c>
      <c r="G23" s="18" t="n">
        <f aca="false">COUNTIFS(選手一覧!$C$7:$C$2738,A23,選手一覧!$K$7:$K$2738,"&lt;=100")</f>
        <v>1</v>
      </c>
      <c r="H23" s="17" t="n">
        <f aca="false">COUNTIF(選手一覧!$C$7:$C$2738,A23)</f>
        <v>7</v>
      </c>
    </row>
    <row r="24" customFormat="false" ht="15" hidden="false" customHeight="false" outlineLevel="0" collapsed="false">
      <c r="A24" s="12" t="s">
        <v>34</v>
      </c>
      <c r="B24" s="22" t="n">
        <f aca="false">COUNTIFS(選手一覧!$C$7:$C$2738,A24,選手一覧!$E$7:$E$2738,"&lt;=100")</f>
        <v>2</v>
      </c>
      <c r="C24" s="18" t="n">
        <f aca="false">COUNTIFS(選手一覧!$C$7:$C$2738,A24,選手一覧!$E$7:$E$2738,"&gt;0")</f>
        <v>5</v>
      </c>
      <c r="D24" s="14" t="n">
        <f aca="false">IF(C24=0,"",_xlfn.MINIFS(選手一覧!$E$7:$E$2738,選手一覧!$C$7:$C$2738,A24))</f>
        <v>5</v>
      </c>
      <c r="E24" s="12" t="s">
        <v>4204</v>
      </c>
      <c r="F24" s="18" t="n">
        <f aca="false">COUNTIFS(選手一覧!$C$7:$C$2738,A24,選手一覧!$I$7:$I$2738,"&lt;=100")</f>
        <v>0</v>
      </c>
      <c r="G24" s="18" t="n">
        <f aca="false">COUNTIFS(選手一覧!$C$7:$C$2738,A24,選手一覧!$K$7:$K$2738,"&lt;=100")</f>
        <v>1</v>
      </c>
      <c r="H24" s="17" t="n">
        <f aca="false">COUNTIF(選手一覧!$C$7:$C$2738,A24)</f>
        <v>6</v>
      </c>
    </row>
    <row r="25" customFormat="false" ht="15" hidden="false" customHeight="false" outlineLevel="0" collapsed="false">
      <c r="A25" s="12" t="s">
        <v>87</v>
      </c>
      <c r="B25" s="22" t="n">
        <f aca="false">COUNTIFS(選手一覧!$C$7:$C$2738,A25,選手一覧!$E$7:$E$2738,"&lt;=100")</f>
        <v>2</v>
      </c>
      <c r="C25" s="18" t="n">
        <f aca="false">COUNTIFS(選手一覧!$C$7:$C$2738,A25,選手一覧!$E$7:$E$2738,"&gt;0")</f>
        <v>3</v>
      </c>
      <c r="D25" s="14" t="n">
        <f aca="false">IF(C25=0,"",_xlfn.MINIFS(選手一覧!$E$7:$E$2738,選手一覧!$C$7:$C$2738,A25))</f>
        <v>30</v>
      </c>
      <c r="E25" s="12" t="s">
        <v>4205</v>
      </c>
      <c r="F25" s="18" t="n">
        <f aca="false">COUNTIFS(選手一覧!$C$7:$C$2738,A25,選手一覧!$I$7:$I$2738,"&lt;=100")</f>
        <v>0</v>
      </c>
      <c r="G25" s="18" t="n">
        <f aca="false">COUNTIFS(選手一覧!$C$7:$C$2738,A25,選手一覧!$K$7:$K$2738,"&lt;=100")</f>
        <v>0</v>
      </c>
      <c r="H25" s="17" t="n">
        <f aca="false">COUNTIF(選手一覧!$C$7:$C$2738,A25)</f>
        <v>3</v>
      </c>
    </row>
    <row r="26" customFormat="false" ht="15" hidden="false" customHeight="false" outlineLevel="0" collapsed="false">
      <c r="A26" s="12" t="s">
        <v>157</v>
      </c>
      <c r="B26" s="22" t="n">
        <f aca="false">COUNTIFS(選手一覧!$C$7:$C$2738,A26,選手一覧!$E$7:$E$2738,"&lt;=100")</f>
        <v>1</v>
      </c>
      <c r="C26" s="18" t="n">
        <f aca="false">COUNTIFS(選手一覧!$C$7:$C$2738,A26,選手一覧!$E$7:$E$2738,"&gt;0")</f>
        <v>19</v>
      </c>
      <c r="D26" s="14" t="n">
        <f aca="false">IF(C26=0,"",_xlfn.MINIFS(選手一覧!$E$7:$E$2738,選手一覧!$C$7:$C$2738,A26))</f>
        <v>67</v>
      </c>
      <c r="E26" s="12" t="s">
        <v>4206</v>
      </c>
      <c r="F26" s="18" t="n">
        <f aca="false">COUNTIFS(選手一覧!$C$7:$C$2738,A26,選手一覧!$I$7:$I$2738,"&lt;=100")</f>
        <v>2</v>
      </c>
      <c r="G26" s="18" t="n">
        <f aca="false">COUNTIFS(選手一覧!$C$7:$C$2738,A26,選手一覧!$K$7:$K$2738,"&lt;=100")</f>
        <v>0</v>
      </c>
      <c r="H26" s="17" t="n">
        <f aca="false">COUNTIF(選手一覧!$C$7:$C$2738,A26)</f>
        <v>20</v>
      </c>
    </row>
    <row r="27" customFormat="false" ht="15" hidden="false" customHeight="false" outlineLevel="0" collapsed="false">
      <c r="A27" s="12" t="s">
        <v>167</v>
      </c>
      <c r="B27" s="22" t="n">
        <f aca="false">COUNTIFS(選手一覧!$C$7:$C$2738,A27,選手一覧!$E$7:$E$2738,"&lt;=100")</f>
        <v>1</v>
      </c>
      <c r="C27" s="18" t="n">
        <f aca="false">COUNTIFS(選手一覧!$C$7:$C$2738,A27,選手一覧!$E$7:$E$2738,"&gt;0")</f>
        <v>13</v>
      </c>
      <c r="D27" s="14" t="n">
        <f aca="false">IF(C27=0,"",_xlfn.MINIFS(選手一覧!$E$7:$E$2738,選手一覧!$C$7:$C$2738,A27))</f>
        <v>72</v>
      </c>
      <c r="E27" s="12" t="s">
        <v>4207</v>
      </c>
      <c r="F27" s="18" t="n">
        <f aca="false">COUNTIFS(選手一覧!$C$7:$C$2738,A27,選手一覧!$I$7:$I$2738,"&lt;=100")</f>
        <v>0</v>
      </c>
      <c r="G27" s="18" t="n">
        <f aca="false">COUNTIFS(選手一覧!$C$7:$C$2738,A27,選手一覧!$K$7:$K$2738,"&lt;=100")</f>
        <v>1</v>
      </c>
      <c r="H27" s="17" t="n">
        <f aca="false">COUNTIF(選手一覧!$C$7:$C$2738,A27)</f>
        <v>15</v>
      </c>
    </row>
    <row r="28" customFormat="false" ht="15" hidden="false" customHeight="false" outlineLevel="0" collapsed="false">
      <c r="A28" s="12" t="s">
        <v>214</v>
      </c>
      <c r="B28" s="22" t="n">
        <f aca="false">COUNTIFS(選手一覧!$C$7:$C$2738,A28,選手一覧!$E$7:$E$2738,"&lt;=100")</f>
        <v>1</v>
      </c>
      <c r="C28" s="18" t="n">
        <f aca="false">COUNTIFS(選手一覧!$C$7:$C$2738,A28,選手一覧!$E$7:$E$2738,"&gt;0")</f>
        <v>10</v>
      </c>
      <c r="D28" s="14" t="n">
        <f aca="false">IF(C28=0,"",_xlfn.MINIFS(選手一覧!$E$7:$E$2738,選手一覧!$C$7:$C$2738,A28))</f>
        <v>98</v>
      </c>
      <c r="E28" s="12" t="s">
        <v>4208</v>
      </c>
      <c r="F28" s="18" t="n">
        <f aca="false">COUNTIFS(選手一覧!$C$7:$C$2738,A28,選手一覧!$I$7:$I$2738,"&lt;=100")</f>
        <v>2</v>
      </c>
      <c r="G28" s="18" t="n">
        <f aca="false">COUNTIFS(選手一覧!$C$7:$C$2738,A28,選手一覧!$K$7:$K$2738,"&lt;=100")</f>
        <v>1</v>
      </c>
      <c r="H28" s="17" t="n">
        <f aca="false">COUNTIF(選手一覧!$C$7:$C$2738,A28)</f>
        <v>12</v>
      </c>
    </row>
    <row r="29" customFormat="false" ht="15" hidden="false" customHeight="false" outlineLevel="0" collapsed="false">
      <c r="A29" s="12" t="s">
        <v>65</v>
      </c>
      <c r="B29" s="22" t="n">
        <f aca="false">COUNTIFS(選手一覧!$C$7:$C$2738,A29,選手一覧!$E$7:$E$2738,"&lt;=100")</f>
        <v>1</v>
      </c>
      <c r="C29" s="18" t="n">
        <f aca="false">COUNTIFS(選手一覧!$C$7:$C$2738,A29,選手一覧!$E$7:$E$2738,"&gt;0")</f>
        <v>9</v>
      </c>
      <c r="D29" s="14" t="n">
        <f aca="false">IF(C29=0,"",_xlfn.MINIFS(選手一覧!$E$7:$E$2738,選手一覧!$C$7:$C$2738,A29))</f>
        <v>19</v>
      </c>
      <c r="E29" s="12" t="s">
        <v>4209</v>
      </c>
      <c r="F29" s="18" t="n">
        <f aca="false">COUNTIFS(選手一覧!$C$7:$C$2738,A29,選手一覧!$I$7:$I$2738,"&lt;=100")</f>
        <v>1</v>
      </c>
      <c r="G29" s="18" t="n">
        <f aca="false">COUNTIFS(選手一覧!$C$7:$C$2738,A29,選手一覧!$K$7:$K$2738,"&lt;=100")</f>
        <v>1</v>
      </c>
      <c r="H29" s="17" t="n">
        <f aca="false">COUNTIF(選手一覧!$C$7:$C$2738,A29)</f>
        <v>10</v>
      </c>
    </row>
    <row r="30" customFormat="false" ht="15" hidden="false" customHeight="false" outlineLevel="0" collapsed="false">
      <c r="A30" s="12" t="s">
        <v>143</v>
      </c>
      <c r="B30" s="22" t="n">
        <f aca="false">COUNTIFS(選手一覧!$C$7:$C$2738,A30,選手一覧!$E$7:$E$2738,"&lt;=100")</f>
        <v>1</v>
      </c>
      <c r="C30" s="18" t="n">
        <f aca="false">COUNTIFS(選手一覧!$C$7:$C$2738,A30,選手一覧!$E$7:$E$2738,"&gt;0")</f>
        <v>9</v>
      </c>
      <c r="D30" s="14" t="n">
        <f aca="false">IF(C30=0,"",_xlfn.MINIFS(選手一覧!$E$7:$E$2738,選手一覧!$C$7:$C$2738,A30))</f>
        <v>60</v>
      </c>
      <c r="E30" s="12" t="s">
        <v>4210</v>
      </c>
      <c r="F30" s="18" t="n">
        <f aca="false">COUNTIFS(選手一覧!$C$7:$C$2738,A30,選手一覧!$I$7:$I$2738,"&lt;=100")</f>
        <v>0</v>
      </c>
      <c r="G30" s="18" t="n">
        <f aca="false">COUNTIFS(選手一覧!$C$7:$C$2738,A30,選手一覧!$K$7:$K$2738,"&lt;=100")</f>
        <v>3</v>
      </c>
      <c r="H30" s="17" t="n">
        <f aca="false">COUNTIF(選手一覧!$C$7:$C$2738,A30)</f>
        <v>11</v>
      </c>
    </row>
    <row r="31" customFormat="false" ht="15" hidden="false" customHeight="false" outlineLevel="0" collapsed="false">
      <c r="A31" s="12" t="s">
        <v>40</v>
      </c>
      <c r="B31" s="22" t="n">
        <f aca="false">COUNTIFS(選手一覧!$C$7:$C$2738,A31,選手一覧!$E$7:$E$2738,"&lt;=100")</f>
        <v>1</v>
      </c>
      <c r="C31" s="18" t="n">
        <f aca="false">COUNTIFS(選手一覧!$C$7:$C$2738,A31,選手一覧!$E$7:$E$2738,"&gt;0")</f>
        <v>8</v>
      </c>
      <c r="D31" s="14" t="n">
        <f aca="false">IF(C31=0,"",_xlfn.MINIFS(選手一覧!$E$7:$E$2738,選手一覧!$C$7:$C$2738,A31))</f>
        <v>7</v>
      </c>
      <c r="E31" s="12" t="s">
        <v>4211</v>
      </c>
      <c r="F31" s="18" t="n">
        <f aca="false">COUNTIFS(選手一覧!$C$7:$C$2738,A31,選手一覧!$I$7:$I$2738,"&lt;=100")</f>
        <v>2</v>
      </c>
      <c r="G31" s="18" t="n">
        <f aca="false">COUNTIFS(選手一覧!$C$7:$C$2738,A31,選手一覧!$K$7:$K$2738,"&lt;=100")</f>
        <v>2</v>
      </c>
      <c r="H31" s="17" t="n">
        <f aca="false">COUNTIF(選手一覧!$C$7:$C$2738,A31)</f>
        <v>8</v>
      </c>
    </row>
    <row r="32" customFormat="false" ht="15" hidden="false" customHeight="false" outlineLevel="0" collapsed="false">
      <c r="A32" s="12" t="s">
        <v>103</v>
      </c>
      <c r="B32" s="22" t="n">
        <f aca="false">COUNTIFS(選手一覧!$C$7:$C$2738,A32,選手一覧!$E$7:$E$2738,"&lt;=100")</f>
        <v>1</v>
      </c>
      <c r="C32" s="18" t="n">
        <f aca="false">COUNTIFS(選手一覧!$C$7:$C$2738,A32,選手一覧!$E$7:$E$2738,"&gt;0")</f>
        <v>8</v>
      </c>
      <c r="D32" s="14" t="n">
        <f aca="false">IF(C32=0,"",_xlfn.MINIFS(選手一覧!$E$7:$E$2738,選手一覧!$C$7:$C$2738,A32))</f>
        <v>38</v>
      </c>
      <c r="E32" s="12" t="s">
        <v>4212</v>
      </c>
      <c r="F32" s="18" t="n">
        <f aca="false">COUNTIFS(選手一覧!$C$7:$C$2738,A32,選手一覧!$I$7:$I$2738,"&lt;=100")</f>
        <v>0</v>
      </c>
      <c r="G32" s="18" t="n">
        <f aca="false">COUNTIFS(選手一覧!$C$7:$C$2738,A32,選手一覧!$K$7:$K$2738,"&lt;=100")</f>
        <v>1</v>
      </c>
      <c r="H32" s="17" t="n">
        <f aca="false">COUNTIF(選手一覧!$C$7:$C$2738,A32)</f>
        <v>11</v>
      </c>
    </row>
    <row r="33" customFormat="false" ht="15" hidden="false" customHeight="false" outlineLevel="0" collapsed="false">
      <c r="A33" s="12" t="s">
        <v>145</v>
      </c>
      <c r="B33" s="22" t="n">
        <f aca="false">COUNTIFS(選手一覧!$C$7:$C$2738,A33,選手一覧!$E$7:$E$2738,"&lt;=100")</f>
        <v>1</v>
      </c>
      <c r="C33" s="18" t="n">
        <f aca="false">COUNTIFS(選手一覧!$C$7:$C$2738,A33,選手一覧!$E$7:$E$2738,"&gt;0")</f>
        <v>8</v>
      </c>
      <c r="D33" s="14" t="n">
        <f aca="false">IF(C33=0,"",_xlfn.MINIFS(選手一覧!$E$7:$E$2738,選手一覧!$C$7:$C$2738,A33))</f>
        <v>61</v>
      </c>
      <c r="E33" s="12" t="s">
        <v>4213</v>
      </c>
      <c r="F33" s="18" t="n">
        <f aca="false">COUNTIFS(選手一覧!$C$7:$C$2738,A33,選手一覧!$I$7:$I$2738,"&lt;=100")</f>
        <v>0</v>
      </c>
      <c r="G33" s="18" t="n">
        <f aca="false">COUNTIFS(選手一覧!$C$7:$C$2738,A33,選手一覧!$K$7:$K$2738,"&lt;=100")</f>
        <v>0</v>
      </c>
      <c r="H33" s="17" t="n">
        <f aca="false">COUNTIF(選手一覧!$C$7:$C$2738,A33)</f>
        <v>8</v>
      </c>
    </row>
    <row r="34" customFormat="false" ht="15" hidden="false" customHeight="false" outlineLevel="0" collapsed="false">
      <c r="A34" s="12" t="s">
        <v>186</v>
      </c>
      <c r="B34" s="22" t="n">
        <f aca="false">COUNTIFS(選手一覧!$C$7:$C$2738,A34,選手一覧!$E$7:$E$2738,"&lt;=100")</f>
        <v>1</v>
      </c>
      <c r="C34" s="18" t="n">
        <f aca="false">COUNTIFS(選手一覧!$C$7:$C$2738,A34,選手一覧!$E$7:$E$2738,"&gt;0")</f>
        <v>8</v>
      </c>
      <c r="D34" s="14" t="n">
        <f aca="false">IF(C34=0,"",_xlfn.MINIFS(選手一覧!$E$7:$E$2738,選手一覧!$C$7:$C$2738,A34))</f>
        <v>82</v>
      </c>
      <c r="E34" s="12" t="s">
        <v>4214</v>
      </c>
      <c r="F34" s="18" t="n">
        <f aca="false">COUNTIFS(選手一覧!$C$7:$C$2738,A34,選手一覧!$I$7:$I$2738,"&lt;=100")</f>
        <v>2</v>
      </c>
      <c r="G34" s="18" t="n">
        <f aca="false">COUNTIFS(選手一覧!$C$7:$C$2738,A34,選手一覧!$K$7:$K$2738,"&lt;=100")</f>
        <v>1</v>
      </c>
      <c r="H34" s="17" t="n">
        <f aca="false">COUNTIF(選手一覧!$C$7:$C$2738,A34)</f>
        <v>8</v>
      </c>
    </row>
    <row r="35" customFormat="false" ht="15" hidden="false" customHeight="false" outlineLevel="0" collapsed="false">
      <c r="A35" s="12" t="s">
        <v>54</v>
      </c>
      <c r="B35" s="22" t="n">
        <f aca="false">COUNTIFS(選手一覧!$C$7:$C$2738,A35,選手一覧!$E$7:$E$2738,"&lt;=100")</f>
        <v>1</v>
      </c>
      <c r="C35" s="18" t="n">
        <f aca="false">COUNTIFS(選手一覧!$C$7:$C$2738,A35,選手一覧!$E$7:$E$2738,"&gt;0")</f>
        <v>7</v>
      </c>
      <c r="D35" s="14" t="n">
        <f aca="false">IF(C35=0,"",_xlfn.MINIFS(選手一覧!$E$7:$E$2738,選手一覧!$C$7:$C$2738,A35))</f>
        <v>14</v>
      </c>
      <c r="E35" s="12" t="s">
        <v>4215</v>
      </c>
      <c r="F35" s="18" t="n">
        <f aca="false">COUNTIFS(選手一覧!$C$7:$C$2738,A35,選手一覧!$I$7:$I$2738,"&lt;=100")</f>
        <v>1</v>
      </c>
      <c r="G35" s="18" t="n">
        <f aca="false">COUNTIFS(選手一覧!$C$7:$C$2738,A35,選手一覧!$K$7:$K$2738,"&lt;=100")</f>
        <v>1</v>
      </c>
      <c r="H35" s="17" t="n">
        <f aca="false">COUNTIF(選手一覧!$C$7:$C$2738,A35)</f>
        <v>7</v>
      </c>
    </row>
    <row r="36" customFormat="false" ht="15" hidden="false" customHeight="false" outlineLevel="0" collapsed="false">
      <c r="A36" s="12" t="s">
        <v>99</v>
      </c>
      <c r="B36" s="22" t="n">
        <f aca="false">COUNTIFS(選手一覧!$C$7:$C$2738,A36,選手一覧!$E$7:$E$2738,"&lt;=100")</f>
        <v>1</v>
      </c>
      <c r="C36" s="18" t="n">
        <f aca="false">COUNTIFS(選手一覧!$C$7:$C$2738,A36,選手一覧!$E$7:$E$2738,"&gt;0")</f>
        <v>7</v>
      </c>
      <c r="D36" s="14" t="n">
        <f aca="false">IF(C36=0,"",_xlfn.MINIFS(選手一覧!$E$7:$E$2738,選手一覧!$C$7:$C$2738,A36))</f>
        <v>36</v>
      </c>
      <c r="E36" s="12" t="s">
        <v>4216</v>
      </c>
      <c r="F36" s="18" t="n">
        <f aca="false">COUNTIFS(選手一覧!$C$7:$C$2738,A36,選手一覧!$I$7:$I$2738,"&lt;=100")</f>
        <v>0</v>
      </c>
      <c r="G36" s="18" t="n">
        <f aca="false">COUNTIFS(選手一覧!$C$7:$C$2738,A36,選手一覧!$K$7:$K$2738,"&lt;=100")</f>
        <v>1</v>
      </c>
      <c r="H36" s="17" t="n">
        <f aca="false">COUNTIF(選手一覧!$C$7:$C$2738,A36)</f>
        <v>7</v>
      </c>
    </row>
    <row r="37" customFormat="false" ht="15" hidden="false" customHeight="false" outlineLevel="0" collapsed="false">
      <c r="A37" s="12" t="s">
        <v>137</v>
      </c>
      <c r="B37" s="22" t="n">
        <f aca="false">COUNTIFS(選手一覧!$C$7:$C$2738,A37,選手一覧!$E$7:$E$2738,"&lt;=100")</f>
        <v>1</v>
      </c>
      <c r="C37" s="18" t="n">
        <f aca="false">COUNTIFS(選手一覧!$C$7:$C$2738,A37,選手一覧!$E$7:$E$2738,"&gt;0")</f>
        <v>7</v>
      </c>
      <c r="D37" s="14" t="n">
        <f aca="false">IF(C37=0,"",_xlfn.MINIFS(選手一覧!$E$7:$E$2738,選手一覧!$C$7:$C$2738,A37))</f>
        <v>56</v>
      </c>
      <c r="E37" s="12" t="s">
        <v>4217</v>
      </c>
      <c r="F37" s="18" t="n">
        <f aca="false">COUNTIFS(選手一覧!$C$7:$C$2738,A37,選手一覧!$I$7:$I$2738,"&lt;=100")</f>
        <v>1</v>
      </c>
      <c r="G37" s="18" t="n">
        <f aca="false">COUNTIFS(選手一覧!$C$7:$C$2738,A37,選手一覧!$K$7:$K$2738,"&lt;=100")</f>
        <v>0</v>
      </c>
      <c r="H37" s="17" t="n">
        <f aca="false">COUNTIF(選手一覧!$C$7:$C$2738,A37)</f>
        <v>7</v>
      </c>
    </row>
    <row r="38" customFormat="false" ht="15" hidden="false" customHeight="false" outlineLevel="0" collapsed="false">
      <c r="A38" s="12" t="s">
        <v>94</v>
      </c>
      <c r="B38" s="22" t="n">
        <f aca="false">COUNTIFS(選手一覧!$C$7:$C$2738,A38,選手一覧!$E$7:$E$2738,"&lt;=100")</f>
        <v>1</v>
      </c>
      <c r="C38" s="18" t="n">
        <f aca="false">COUNTIFS(選手一覧!$C$7:$C$2738,A38,選手一覧!$E$7:$E$2738,"&gt;0")</f>
        <v>6</v>
      </c>
      <c r="D38" s="14" t="n">
        <f aca="false">IF(C38=0,"",_xlfn.MINIFS(選手一覧!$E$7:$E$2738,選手一覧!$C$7:$C$2738,A38))</f>
        <v>34</v>
      </c>
      <c r="E38" s="12" t="s">
        <v>4218</v>
      </c>
      <c r="F38" s="18" t="n">
        <f aca="false">COUNTIFS(選手一覧!$C$7:$C$2738,A38,選手一覧!$I$7:$I$2738,"&lt;=100")</f>
        <v>0</v>
      </c>
      <c r="G38" s="18" t="n">
        <f aca="false">COUNTIFS(選手一覧!$C$7:$C$2738,A38,選手一覧!$K$7:$K$2738,"&lt;=100")</f>
        <v>0</v>
      </c>
      <c r="H38" s="17" t="n">
        <f aca="false">COUNTIF(選手一覧!$C$7:$C$2738,A38)</f>
        <v>11</v>
      </c>
    </row>
    <row r="39" customFormat="false" ht="15" hidden="false" customHeight="false" outlineLevel="0" collapsed="false">
      <c r="A39" s="12" t="s">
        <v>141</v>
      </c>
      <c r="B39" s="22" t="n">
        <f aca="false">COUNTIFS(選手一覧!$C$7:$C$2738,A39,選手一覧!$E$7:$E$2738,"&lt;=100")</f>
        <v>1</v>
      </c>
      <c r="C39" s="18" t="n">
        <f aca="false">COUNTIFS(選手一覧!$C$7:$C$2738,A39,選手一覧!$E$7:$E$2738,"&gt;0")</f>
        <v>6</v>
      </c>
      <c r="D39" s="14" t="n">
        <f aca="false">IF(C39=0,"",_xlfn.MINIFS(選手一覧!$E$7:$E$2738,選手一覧!$C$7:$C$2738,A39))</f>
        <v>59</v>
      </c>
      <c r="E39" s="12" t="s">
        <v>4219</v>
      </c>
      <c r="F39" s="18" t="n">
        <f aca="false">COUNTIFS(選手一覧!$C$7:$C$2738,A39,選手一覧!$I$7:$I$2738,"&lt;=100")</f>
        <v>1</v>
      </c>
      <c r="G39" s="18" t="n">
        <f aca="false">COUNTIFS(選手一覧!$C$7:$C$2738,A39,選手一覧!$K$7:$K$2738,"&lt;=100")</f>
        <v>2</v>
      </c>
      <c r="H39" s="17" t="n">
        <f aca="false">COUNTIF(選手一覧!$C$7:$C$2738,A39)</f>
        <v>6</v>
      </c>
    </row>
    <row r="40" customFormat="false" ht="15" hidden="false" customHeight="false" outlineLevel="0" collapsed="false">
      <c r="A40" s="12" t="s">
        <v>179</v>
      </c>
      <c r="B40" s="22" t="n">
        <f aca="false">COUNTIFS(選手一覧!$C$7:$C$2738,A40,選手一覧!$E$7:$E$2738,"&lt;=100")</f>
        <v>1</v>
      </c>
      <c r="C40" s="18" t="n">
        <f aca="false">COUNTIFS(選手一覧!$C$7:$C$2738,A40,選手一覧!$E$7:$E$2738,"&gt;0")</f>
        <v>6</v>
      </c>
      <c r="D40" s="14" t="n">
        <f aca="false">IF(C40=0,"",_xlfn.MINIFS(選手一覧!$E$7:$E$2738,選手一覧!$C$7:$C$2738,A40))</f>
        <v>79</v>
      </c>
      <c r="E40" s="12" t="s">
        <v>4220</v>
      </c>
      <c r="F40" s="18" t="n">
        <f aca="false">COUNTIFS(選手一覧!$C$7:$C$2738,A40,選手一覧!$I$7:$I$2738,"&lt;=100")</f>
        <v>0</v>
      </c>
      <c r="G40" s="18" t="n">
        <f aca="false">COUNTIFS(選手一覧!$C$7:$C$2738,A40,選手一覧!$K$7:$K$2738,"&lt;=100")</f>
        <v>1</v>
      </c>
      <c r="H40" s="17" t="n">
        <f aca="false">COUNTIF(選手一覧!$C$7:$C$2738,A40)</f>
        <v>9</v>
      </c>
    </row>
    <row r="41" customFormat="false" ht="15" hidden="false" customHeight="false" outlineLevel="0" collapsed="false">
      <c r="A41" s="12" t="s">
        <v>207</v>
      </c>
      <c r="B41" s="22" t="n">
        <f aca="false">COUNTIFS(選手一覧!$C$7:$C$2738,A41,選手一覧!$E$7:$E$2738,"&lt;=100")</f>
        <v>1</v>
      </c>
      <c r="C41" s="18" t="n">
        <f aca="false">COUNTIFS(選手一覧!$C$7:$C$2738,A41,選手一覧!$E$7:$E$2738,"&gt;0")</f>
        <v>6</v>
      </c>
      <c r="D41" s="14" t="n">
        <f aca="false">IF(C41=0,"",_xlfn.MINIFS(選手一覧!$E$7:$E$2738,選手一覧!$C$7:$C$2738,A41))</f>
        <v>94</v>
      </c>
      <c r="E41" s="12" t="s">
        <v>4221</v>
      </c>
      <c r="F41" s="18" t="n">
        <f aca="false">COUNTIFS(選手一覧!$C$7:$C$2738,A41,選手一覧!$I$7:$I$2738,"&lt;=100")</f>
        <v>0</v>
      </c>
      <c r="G41" s="18" t="n">
        <f aca="false">COUNTIFS(選手一覧!$C$7:$C$2738,A41,選手一覧!$K$7:$K$2738,"&lt;=100")</f>
        <v>0</v>
      </c>
      <c r="H41" s="17" t="n">
        <f aca="false">COUNTIF(選手一覧!$C$7:$C$2738,A41)</f>
        <v>6</v>
      </c>
    </row>
    <row r="42" customFormat="false" ht="15" hidden="false" customHeight="false" outlineLevel="0" collapsed="false">
      <c r="A42" s="12" t="s">
        <v>73</v>
      </c>
      <c r="B42" s="22" t="n">
        <f aca="false">COUNTIFS(選手一覧!$C$7:$C$2738,A42,選手一覧!$E$7:$E$2738,"&lt;=100")</f>
        <v>1</v>
      </c>
      <c r="C42" s="18" t="n">
        <f aca="false">COUNTIFS(選手一覧!$C$7:$C$2738,A42,選手一覧!$E$7:$E$2738,"&gt;0")</f>
        <v>5</v>
      </c>
      <c r="D42" s="14" t="n">
        <f aca="false">IF(C42=0,"",_xlfn.MINIFS(選手一覧!$E$7:$E$2738,選手一覧!$C$7:$C$2738,A42))</f>
        <v>23</v>
      </c>
      <c r="E42" s="12" t="s">
        <v>4222</v>
      </c>
      <c r="F42" s="18" t="n">
        <f aca="false">COUNTIFS(選手一覧!$C$7:$C$2738,A42,選手一覧!$I$7:$I$2738,"&lt;=100")</f>
        <v>0</v>
      </c>
      <c r="G42" s="18" t="n">
        <f aca="false">COUNTIFS(選手一覧!$C$7:$C$2738,A42,選手一覧!$K$7:$K$2738,"&lt;=100")</f>
        <v>0</v>
      </c>
      <c r="H42" s="17" t="n">
        <f aca="false">COUNTIF(選手一覧!$C$7:$C$2738,A42)</f>
        <v>5</v>
      </c>
    </row>
    <row r="43" customFormat="false" ht="15" hidden="false" customHeight="false" outlineLevel="0" collapsed="false">
      <c r="A43" s="12" t="s">
        <v>107</v>
      </c>
      <c r="B43" s="22" t="n">
        <f aca="false">COUNTIFS(選手一覧!$C$7:$C$2738,A43,選手一覧!$E$7:$E$2738,"&lt;=100")</f>
        <v>1</v>
      </c>
      <c r="C43" s="18" t="n">
        <f aca="false">COUNTIFS(選手一覧!$C$7:$C$2738,A43,選手一覧!$E$7:$E$2738,"&gt;0")</f>
        <v>5</v>
      </c>
      <c r="D43" s="14" t="n">
        <f aca="false">IF(C43=0,"",_xlfn.MINIFS(選手一覧!$E$7:$E$2738,選手一覧!$C$7:$C$2738,A43))</f>
        <v>41</v>
      </c>
      <c r="E43" s="12" t="s">
        <v>4223</v>
      </c>
      <c r="F43" s="18" t="n">
        <f aca="false">COUNTIFS(選手一覧!$C$7:$C$2738,A43,選手一覧!$I$7:$I$2738,"&lt;=100")</f>
        <v>1</v>
      </c>
      <c r="G43" s="18" t="n">
        <f aca="false">COUNTIFS(選手一覧!$C$7:$C$2738,A43,選手一覧!$K$7:$K$2738,"&lt;=100")</f>
        <v>0</v>
      </c>
      <c r="H43" s="17" t="n">
        <f aca="false">COUNTIF(選手一覧!$C$7:$C$2738,A43)</f>
        <v>5</v>
      </c>
    </row>
    <row r="44" customFormat="false" ht="15" hidden="false" customHeight="false" outlineLevel="0" collapsed="false">
      <c r="A44" s="12" t="s">
        <v>123</v>
      </c>
      <c r="B44" s="22" t="n">
        <f aca="false">COUNTIFS(選手一覧!$C$7:$C$2738,A44,選手一覧!$E$7:$E$2738,"&lt;=100")</f>
        <v>1</v>
      </c>
      <c r="C44" s="18" t="n">
        <f aca="false">COUNTIFS(選手一覧!$C$7:$C$2738,A44,選手一覧!$E$7:$E$2738,"&gt;0")</f>
        <v>5</v>
      </c>
      <c r="D44" s="14" t="n">
        <f aca="false">IF(C44=0,"",_xlfn.MINIFS(選手一覧!$E$7:$E$2738,選手一覧!$C$7:$C$2738,A44))</f>
        <v>49</v>
      </c>
      <c r="E44" s="12" t="s">
        <v>4224</v>
      </c>
      <c r="F44" s="18" t="n">
        <f aca="false">COUNTIFS(選手一覧!$C$7:$C$2738,A44,選手一覧!$I$7:$I$2738,"&lt;=100")</f>
        <v>1</v>
      </c>
      <c r="G44" s="18" t="n">
        <f aca="false">COUNTIFS(選手一覧!$C$7:$C$2738,A44,選手一覧!$K$7:$K$2738,"&lt;=100")</f>
        <v>1</v>
      </c>
      <c r="H44" s="17" t="n">
        <f aca="false">COUNTIF(選手一覧!$C$7:$C$2738,A44)</f>
        <v>5</v>
      </c>
    </row>
    <row r="45" customFormat="false" ht="15" hidden="false" customHeight="false" outlineLevel="0" collapsed="false">
      <c r="A45" s="12" t="s">
        <v>125</v>
      </c>
      <c r="B45" s="22" t="n">
        <f aca="false">COUNTIFS(選手一覧!$C$7:$C$2738,A45,選手一覧!$E$7:$E$2738,"&lt;=100")</f>
        <v>1</v>
      </c>
      <c r="C45" s="18" t="n">
        <f aca="false">COUNTIFS(選手一覧!$C$7:$C$2738,A45,選手一覧!$E$7:$E$2738,"&gt;0")</f>
        <v>5</v>
      </c>
      <c r="D45" s="14" t="n">
        <f aca="false">IF(C45=0,"",_xlfn.MINIFS(選手一覧!$E$7:$E$2738,選手一覧!$C$7:$C$2738,A45))</f>
        <v>50</v>
      </c>
      <c r="E45" s="12" t="s">
        <v>4225</v>
      </c>
      <c r="F45" s="18" t="n">
        <f aca="false">COUNTIFS(選手一覧!$C$7:$C$2738,A45,選手一覧!$I$7:$I$2738,"&lt;=100")</f>
        <v>1</v>
      </c>
      <c r="G45" s="18" t="n">
        <f aca="false">COUNTIFS(選手一覧!$C$7:$C$2738,A45,選手一覧!$K$7:$K$2738,"&lt;=100")</f>
        <v>1</v>
      </c>
      <c r="H45" s="17" t="n">
        <f aca="false">COUNTIF(選手一覧!$C$7:$C$2738,A45)</f>
        <v>5</v>
      </c>
    </row>
    <row r="46" customFormat="false" ht="15" hidden="false" customHeight="false" outlineLevel="0" collapsed="false">
      <c r="A46" s="12" t="s">
        <v>193</v>
      </c>
      <c r="B46" s="22" t="n">
        <f aca="false">COUNTIFS(選手一覧!$C$7:$C$2738,A46,選手一覧!$E$7:$E$2738,"&lt;=100")</f>
        <v>1</v>
      </c>
      <c r="C46" s="18" t="n">
        <f aca="false">COUNTIFS(選手一覧!$C$7:$C$2738,A46,選手一覧!$E$7:$E$2738,"&gt;0")</f>
        <v>5</v>
      </c>
      <c r="D46" s="14" t="n">
        <f aca="false">IF(C46=0,"",_xlfn.MINIFS(選手一覧!$E$7:$E$2738,選手一覧!$C$7:$C$2738,A46))</f>
        <v>86</v>
      </c>
      <c r="E46" s="12" t="s">
        <v>4226</v>
      </c>
      <c r="F46" s="18" t="n">
        <f aca="false">COUNTIFS(選手一覧!$C$7:$C$2738,A46,選手一覧!$I$7:$I$2738,"&lt;=100")</f>
        <v>1</v>
      </c>
      <c r="G46" s="18" t="n">
        <f aca="false">COUNTIFS(選手一覧!$C$7:$C$2738,A46,選手一覧!$K$7:$K$2738,"&lt;=100")</f>
        <v>1</v>
      </c>
      <c r="H46" s="17" t="n">
        <f aca="false">COUNTIF(選手一覧!$C$7:$C$2738,A46)</f>
        <v>6</v>
      </c>
    </row>
    <row r="47" customFormat="false" ht="15" hidden="false" customHeight="false" outlineLevel="0" collapsed="false">
      <c r="A47" s="12" t="s">
        <v>204</v>
      </c>
      <c r="B47" s="22" t="n">
        <f aca="false">COUNTIFS(選手一覧!$C$7:$C$2738,A47,選手一覧!$E$7:$E$2738,"&lt;=100")</f>
        <v>1</v>
      </c>
      <c r="C47" s="18" t="n">
        <f aca="false">COUNTIFS(選手一覧!$C$7:$C$2738,A47,選手一覧!$E$7:$E$2738,"&gt;0")</f>
        <v>5</v>
      </c>
      <c r="D47" s="14" t="n">
        <f aca="false">IF(C47=0,"",_xlfn.MINIFS(選手一覧!$E$7:$E$2738,選手一覧!$C$7:$C$2738,A47))</f>
        <v>93</v>
      </c>
      <c r="E47" s="12" t="s">
        <v>4227</v>
      </c>
      <c r="F47" s="18" t="n">
        <f aca="false">COUNTIFS(選手一覧!$C$7:$C$2738,A47,選手一覧!$I$7:$I$2738,"&lt;=100")</f>
        <v>0</v>
      </c>
      <c r="G47" s="18" t="n">
        <f aca="false">COUNTIFS(選手一覧!$C$7:$C$2738,A47,選手一覧!$K$7:$K$2738,"&lt;=100")</f>
        <v>0</v>
      </c>
      <c r="H47" s="17" t="n">
        <f aca="false">COUNTIF(選手一覧!$C$7:$C$2738,A47)</f>
        <v>12</v>
      </c>
    </row>
    <row r="48" customFormat="false" ht="15" hidden="false" customHeight="false" outlineLevel="0" collapsed="false">
      <c r="A48" s="12" t="s">
        <v>43</v>
      </c>
      <c r="B48" s="22" t="n">
        <f aca="false">COUNTIFS(選手一覧!$C$7:$C$2738,A48,選手一覧!$E$7:$E$2738,"&lt;=100")</f>
        <v>1</v>
      </c>
      <c r="C48" s="18" t="n">
        <f aca="false">COUNTIFS(選手一覧!$C$7:$C$2738,A48,選手一覧!$E$7:$E$2738,"&gt;0")</f>
        <v>4</v>
      </c>
      <c r="D48" s="14" t="n">
        <f aca="false">IF(C48=0,"",_xlfn.MINIFS(選手一覧!$E$7:$E$2738,選手一覧!$C$7:$C$2738,A48))</f>
        <v>8</v>
      </c>
      <c r="E48" s="12" t="s">
        <v>4228</v>
      </c>
      <c r="F48" s="18" t="n">
        <f aca="false">COUNTIFS(選手一覧!$C$7:$C$2738,A48,選手一覧!$I$7:$I$2738,"&lt;=100")</f>
        <v>1</v>
      </c>
      <c r="G48" s="18" t="n">
        <f aca="false">COUNTIFS(選手一覧!$C$7:$C$2738,A48,選手一覧!$K$7:$K$2738,"&lt;=100")</f>
        <v>1</v>
      </c>
      <c r="H48" s="17" t="n">
        <f aca="false">COUNTIF(選手一覧!$C$7:$C$2738,A48)</f>
        <v>5</v>
      </c>
    </row>
    <row r="49" customFormat="false" ht="15" hidden="false" customHeight="false" outlineLevel="0" collapsed="false">
      <c r="A49" s="12" t="s">
        <v>120</v>
      </c>
      <c r="B49" s="22" t="n">
        <f aca="false">COUNTIFS(選手一覧!$C$7:$C$2738,A49,選手一覧!$E$7:$E$2738,"&lt;=100")</f>
        <v>1</v>
      </c>
      <c r="C49" s="18" t="n">
        <f aca="false">COUNTIFS(選手一覧!$C$7:$C$2738,A49,選手一覧!$E$7:$E$2738,"&gt;0")</f>
        <v>4</v>
      </c>
      <c r="D49" s="14" t="n">
        <f aca="false">IF(C49=0,"",_xlfn.MINIFS(選手一覧!$E$7:$E$2738,選手一覧!$C$7:$C$2738,A49))</f>
        <v>48</v>
      </c>
      <c r="E49" s="12" t="s">
        <v>4229</v>
      </c>
      <c r="F49" s="18" t="n">
        <f aca="false">COUNTIFS(選手一覧!$C$7:$C$2738,A49,選手一覧!$I$7:$I$2738,"&lt;=100")</f>
        <v>0</v>
      </c>
      <c r="G49" s="18" t="n">
        <f aca="false">COUNTIFS(選手一覧!$C$7:$C$2738,A49,選手一覧!$K$7:$K$2738,"&lt;=100")</f>
        <v>0</v>
      </c>
      <c r="H49" s="17" t="n">
        <f aca="false">COUNTIF(選手一覧!$C$7:$C$2738,A49)</f>
        <v>4</v>
      </c>
    </row>
    <row r="50" customFormat="false" ht="15" hidden="false" customHeight="false" outlineLevel="0" collapsed="false">
      <c r="A50" s="12" t="s">
        <v>135</v>
      </c>
      <c r="B50" s="22" t="n">
        <f aca="false">COUNTIFS(選手一覧!$C$7:$C$2738,A50,選手一覧!$E$7:$E$2738,"&lt;=100")</f>
        <v>1</v>
      </c>
      <c r="C50" s="18" t="n">
        <f aca="false">COUNTIFS(選手一覧!$C$7:$C$2738,A50,選手一覧!$E$7:$E$2738,"&gt;0")</f>
        <v>4</v>
      </c>
      <c r="D50" s="14" t="n">
        <f aca="false">IF(C50=0,"",_xlfn.MINIFS(選手一覧!$E$7:$E$2738,選手一覧!$C$7:$C$2738,A50))</f>
        <v>55</v>
      </c>
      <c r="E50" s="12" t="s">
        <v>4230</v>
      </c>
      <c r="F50" s="18" t="n">
        <f aca="false">COUNTIFS(選手一覧!$C$7:$C$2738,A50,選手一覧!$I$7:$I$2738,"&lt;=100")</f>
        <v>0</v>
      </c>
      <c r="G50" s="18" t="n">
        <f aca="false">COUNTIFS(選手一覧!$C$7:$C$2738,A50,選手一覧!$K$7:$K$2738,"&lt;=100")</f>
        <v>0</v>
      </c>
      <c r="H50" s="17" t="n">
        <f aca="false">COUNTIF(選手一覧!$C$7:$C$2738,A50)</f>
        <v>5</v>
      </c>
    </row>
    <row r="51" customFormat="false" ht="15" hidden="false" customHeight="false" outlineLevel="0" collapsed="false">
      <c r="A51" s="12" t="s">
        <v>80</v>
      </c>
      <c r="B51" s="22" t="n">
        <f aca="false">COUNTIFS(選手一覧!$C$7:$C$2738,A51,選手一覧!$E$7:$E$2738,"&lt;=100")</f>
        <v>1</v>
      </c>
      <c r="C51" s="18" t="n">
        <f aca="false">COUNTIFS(選手一覧!$C$7:$C$2738,A51,選手一覧!$E$7:$E$2738,"&gt;0")</f>
        <v>3</v>
      </c>
      <c r="D51" s="14" t="n">
        <f aca="false">IF(C51=0,"",_xlfn.MINIFS(選手一覧!$E$7:$E$2738,選手一覧!$C$7:$C$2738,A51))</f>
        <v>26</v>
      </c>
      <c r="E51" s="12" t="s">
        <v>4231</v>
      </c>
      <c r="F51" s="18" t="n">
        <f aca="false">COUNTIFS(選手一覧!$C$7:$C$2738,A51,選手一覧!$I$7:$I$2738,"&lt;=100")</f>
        <v>0</v>
      </c>
      <c r="G51" s="18" t="n">
        <f aca="false">COUNTIFS(選手一覧!$C$7:$C$2738,A51,選手一覧!$K$7:$K$2738,"&lt;=100")</f>
        <v>2</v>
      </c>
      <c r="H51" s="17" t="n">
        <f aca="false">COUNTIF(選手一覧!$C$7:$C$2738,A51)</f>
        <v>5</v>
      </c>
    </row>
    <row r="52" customFormat="false" ht="15" hidden="false" customHeight="false" outlineLevel="0" collapsed="false">
      <c r="A52" s="12" t="s">
        <v>83</v>
      </c>
      <c r="B52" s="22" t="n">
        <f aca="false">COUNTIFS(選手一覧!$C$7:$C$2738,A52,選手一覧!$E$7:$E$2738,"&lt;=100")</f>
        <v>1</v>
      </c>
      <c r="C52" s="18" t="n">
        <f aca="false">COUNTIFS(選手一覧!$C$7:$C$2738,A52,選手一覧!$E$7:$E$2738,"&gt;0")</f>
        <v>3</v>
      </c>
      <c r="D52" s="14" t="n">
        <f aca="false">IF(C52=0,"",_xlfn.MINIFS(選手一覧!$E$7:$E$2738,選手一覧!$C$7:$C$2738,A52))</f>
        <v>28</v>
      </c>
      <c r="E52" s="12" t="s">
        <v>4232</v>
      </c>
      <c r="F52" s="18" t="n">
        <f aca="false">COUNTIFS(選手一覧!$C$7:$C$2738,A52,選手一覧!$I$7:$I$2738,"&lt;=100")</f>
        <v>0</v>
      </c>
      <c r="G52" s="18" t="n">
        <f aca="false">COUNTIFS(選手一覧!$C$7:$C$2738,A52,選手一覧!$K$7:$K$2738,"&lt;=100")</f>
        <v>1</v>
      </c>
      <c r="H52" s="17" t="n">
        <f aca="false">COUNTIF(選手一覧!$C$7:$C$2738,A52)</f>
        <v>6</v>
      </c>
    </row>
    <row r="53" customFormat="false" ht="15" hidden="false" customHeight="false" outlineLevel="0" collapsed="false">
      <c r="A53" s="12" t="s">
        <v>101</v>
      </c>
      <c r="B53" s="22" t="n">
        <f aca="false">COUNTIFS(選手一覧!$C$7:$C$2738,A53,選手一覧!$E$7:$E$2738,"&lt;=100")</f>
        <v>1</v>
      </c>
      <c r="C53" s="18" t="n">
        <f aca="false">COUNTIFS(選手一覧!$C$7:$C$2738,A53,選手一覧!$E$7:$E$2738,"&gt;0")</f>
        <v>3</v>
      </c>
      <c r="D53" s="14" t="n">
        <f aca="false">IF(C53=0,"",_xlfn.MINIFS(選手一覧!$E$7:$E$2738,選手一覧!$C$7:$C$2738,A53))</f>
        <v>37</v>
      </c>
      <c r="E53" s="12" t="s">
        <v>4233</v>
      </c>
      <c r="F53" s="18" t="n">
        <f aca="false">COUNTIFS(選手一覧!$C$7:$C$2738,A53,選手一覧!$I$7:$I$2738,"&lt;=100")</f>
        <v>0</v>
      </c>
      <c r="G53" s="18" t="n">
        <f aca="false">COUNTIFS(選手一覧!$C$7:$C$2738,A53,選手一覧!$K$7:$K$2738,"&lt;=100")</f>
        <v>0</v>
      </c>
      <c r="H53" s="17" t="n">
        <f aca="false">COUNTIF(選手一覧!$C$7:$C$2738,A53)</f>
        <v>5</v>
      </c>
    </row>
    <row r="54" customFormat="false" ht="15" hidden="false" customHeight="false" outlineLevel="0" collapsed="false">
      <c r="A54" s="12" t="s">
        <v>159</v>
      </c>
      <c r="B54" s="22" t="n">
        <f aca="false">COUNTIFS(選手一覧!$C$7:$C$2738,A54,選手一覧!$E$7:$E$2738,"&lt;=100")</f>
        <v>1</v>
      </c>
      <c r="C54" s="18" t="n">
        <f aca="false">COUNTIFS(選手一覧!$C$7:$C$2738,A54,選手一覧!$E$7:$E$2738,"&gt;0")</f>
        <v>3</v>
      </c>
      <c r="D54" s="14" t="n">
        <f aca="false">IF(C54=0,"",_xlfn.MINIFS(選手一覧!$E$7:$E$2738,選手一覧!$C$7:$C$2738,A54))</f>
        <v>68</v>
      </c>
      <c r="E54" s="12" t="s">
        <v>4234</v>
      </c>
      <c r="F54" s="18" t="n">
        <f aca="false">COUNTIFS(選手一覧!$C$7:$C$2738,A54,選手一覧!$I$7:$I$2738,"&lt;=100")</f>
        <v>0</v>
      </c>
      <c r="G54" s="18" t="n">
        <f aca="false">COUNTIFS(選手一覧!$C$7:$C$2738,A54,選手一覧!$K$7:$K$2738,"&lt;=100")</f>
        <v>0</v>
      </c>
      <c r="H54" s="17" t="n">
        <f aca="false">COUNTIF(選手一覧!$C$7:$C$2738,A54)</f>
        <v>7</v>
      </c>
    </row>
    <row r="55" customFormat="false" ht="15" hidden="false" customHeight="false" outlineLevel="0" collapsed="false">
      <c r="A55" s="12" t="s">
        <v>161</v>
      </c>
      <c r="B55" s="22" t="n">
        <f aca="false">COUNTIFS(選手一覧!$C$7:$C$2738,A55,選手一覧!$E$7:$E$2738,"&lt;=100")</f>
        <v>1</v>
      </c>
      <c r="C55" s="18" t="n">
        <f aca="false">COUNTIFS(選手一覧!$C$7:$C$2738,A55,選手一覧!$E$7:$E$2738,"&gt;0")</f>
        <v>3</v>
      </c>
      <c r="D55" s="14" t="n">
        <f aca="false">IF(C55=0,"",_xlfn.MINIFS(選手一覧!$E$7:$E$2738,選手一覧!$C$7:$C$2738,A55))</f>
        <v>69</v>
      </c>
      <c r="E55" s="12" t="s">
        <v>4235</v>
      </c>
      <c r="F55" s="18" t="n">
        <f aca="false">COUNTIFS(選手一覧!$C$7:$C$2738,A55,選手一覧!$I$7:$I$2738,"&lt;=100")</f>
        <v>1</v>
      </c>
      <c r="G55" s="18" t="n">
        <f aca="false">COUNTIFS(選手一覧!$C$7:$C$2738,A55,選手一覧!$K$7:$K$2738,"&lt;=100")</f>
        <v>0</v>
      </c>
      <c r="H55" s="17" t="n">
        <f aca="false">COUNTIF(選手一覧!$C$7:$C$2738,A55)</f>
        <v>7</v>
      </c>
    </row>
    <row r="56" customFormat="false" ht="15" hidden="false" customHeight="false" outlineLevel="0" collapsed="false">
      <c r="A56" s="12" t="s">
        <v>195</v>
      </c>
      <c r="B56" s="22" t="n">
        <f aca="false">COUNTIFS(選手一覧!$C$7:$C$2738,A56,選手一覧!$E$7:$E$2738,"&lt;=100")</f>
        <v>1</v>
      </c>
      <c r="C56" s="18" t="n">
        <f aca="false">COUNTIFS(選手一覧!$C$7:$C$2738,A56,選手一覧!$E$7:$E$2738,"&gt;0")</f>
        <v>3</v>
      </c>
      <c r="D56" s="14" t="n">
        <f aca="false">IF(C56=0,"",_xlfn.MINIFS(選手一覧!$E$7:$E$2738,選手一覧!$C$7:$C$2738,A56))</f>
        <v>87</v>
      </c>
      <c r="E56" s="12" t="s">
        <v>4236</v>
      </c>
      <c r="F56" s="18" t="n">
        <f aca="false">COUNTIFS(選手一覧!$C$7:$C$2738,A56,選手一覧!$I$7:$I$2738,"&lt;=100")</f>
        <v>0</v>
      </c>
      <c r="G56" s="18" t="n">
        <f aca="false">COUNTIFS(選手一覧!$C$7:$C$2738,A56,選手一覧!$K$7:$K$2738,"&lt;=100")</f>
        <v>0</v>
      </c>
      <c r="H56" s="17" t="n">
        <f aca="false">COUNTIF(選手一覧!$C$7:$C$2738,A56)</f>
        <v>8</v>
      </c>
    </row>
    <row r="57" customFormat="false" ht="15" hidden="false" customHeight="false" outlineLevel="0" collapsed="false">
      <c r="A57" s="12" t="s">
        <v>219</v>
      </c>
      <c r="B57" s="22" t="n">
        <f aca="false">COUNTIFS(選手一覧!$C$7:$C$2738,A57,選手一覧!$E$7:$E$2738,"&lt;=100")</f>
        <v>1</v>
      </c>
      <c r="C57" s="18" t="n">
        <f aca="false">COUNTIFS(選手一覧!$C$7:$C$2738,A57,選手一覧!$E$7:$E$2738,"&gt;0")</f>
        <v>3</v>
      </c>
      <c r="D57" s="14" t="n">
        <f aca="false">IF(C57=0,"",_xlfn.MINIFS(選手一覧!$E$7:$E$2738,選手一覧!$C$7:$C$2738,A57))</f>
        <v>100</v>
      </c>
      <c r="E57" s="12" t="s">
        <v>4237</v>
      </c>
      <c r="F57" s="18" t="n">
        <f aca="false">COUNTIFS(選手一覧!$C$7:$C$2738,A57,選手一覧!$I$7:$I$2738,"&lt;=100")</f>
        <v>1</v>
      </c>
      <c r="G57" s="18" t="n">
        <f aca="false">COUNTIFS(選手一覧!$C$7:$C$2738,A57,選手一覧!$K$7:$K$2738,"&lt;=100")</f>
        <v>0</v>
      </c>
      <c r="H57" s="17" t="n">
        <f aca="false">COUNTIF(選手一覧!$C$7:$C$2738,A57)</f>
        <v>7</v>
      </c>
    </row>
    <row r="58" customFormat="false" ht="15" hidden="false" customHeight="false" outlineLevel="0" collapsed="false">
      <c r="A58" s="12" t="s">
        <v>69</v>
      </c>
      <c r="B58" s="22" t="n">
        <f aca="false">COUNTIFS(選手一覧!$C$7:$C$2738,A58,選手一覧!$E$7:$E$2738,"&lt;=100")</f>
        <v>1</v>
      </c>
      <c r="C58" s="18" t="n">
        <f aca="false">COUNTIFS(選手一覧!$C$7:$C$2738,A58,選手一覧!$E$7:$E$2738,"&gt;0")</f>
        <v>2</v>
      </c>
      <c r="D58" s="14" t="n">
        <f aca="false">IF(C58=0,"",_xlfn.MINIFS(選手一覧!$E$7:$E$2738,選手一覧!$C$7:$C$2738,A58))</f>
        <v>21</v>
      </c>
      <c r="E58" s="12" t="s">
        <v>4238</v>
      </c>
      <c r="F58" s="18" t="n">
        <f aca="false">COUNTIFS(選手一覧!$C$7:$C$2738,A58,選手一覧!$I$7:$I$2738,"&lt;=100")</f>
        <v>0</v>
      </c>
      <c r="G58" s="18" t="n">
        <f aca="false">COUNTIFS(選手一覧!$C$7:$C$2738,A58,選手一覧!$K$7:$K$2738,"&lt;=100")</f>
        <v>1</v>
      </c>
      <c r="H58" s="17" t="n">
        <f aca="false">COUNTIF(選手一覧!$C$7:$C$2738,A58)</f>
        <v>5</v>
      </c>
    </row>
    <row r="59" customFormat="false" ht="15" hidden="false" customHeight="false" outlineLevel="0" collapsed="false">
      <c r="A59" s="12" t="s">
        <v>59</v>
      </c>
      <c r="B59" s="22" t="n">
        <f aca="false">COUNTIFS(選手一覧!$C$7:$C$2738,A59,選手一覧!$E$7:$E$2738,"&lt;=100")</f>
        <v>1</v>
      </c>
      <c r="C59" s="18" t="n">
        <f aca="false">COUNTIFS(選手一覧!$C$7:$C$2738,A59,選手一覧!$E$7:$E$2738,"&gt;0")</f>
        <v>1</v>
      </c>
      <c r="D59" s="14" t="n">
        <f aca="false">IF(C59=0,"",_xlfn.MINIFS(選手一覧!$E$7:$E$2738,選手一覧!$C$7:$C$2738,A59))</f>
        <v>16</v>
      </c>
      <c r="E59" s="12" t="s">
        <v>4239</v>
      </c>
      <c r="F59" s="18" t="n">
        <f aca="false">COUNTIFS(選手一覧!$C$7:$C$2738,A59,選手一覧!$I$7:$I$2738,"&lt;=100")</f>
        <v>0</v>
      </c>
      <c r="G59" s="18" t="n">
        <f aca="false">COUNTIFS(選手一覧!$C$7:$C$2738,A59,選手一覧!$K$7:$K$2738,"&lt;=100")</f>
        <v>1</v>
      </c>
      <c r="H59" s="17" t="n">
        <f aca="false">COUNTIF(選手一覧!$C$7:$C$2738,A59)</f>
        <v>3</v>
      </c>
    </row>
    <row r="60" customFormat="false" ht="15" hidden="false" customHeight="false" outlineLevel="0" collapsed="false">
      <c r="A60" s="12" t="s">
        <v>90</v>
      </c>
      <c r="B60" s="22" t="n">
        <f aca="false">COUNTIFS(選手一覧!$C$7:$C$2738,A60,選手一覧!$E$7:$E$2738,"&lt;=100")</f>
        <v>1</v>
      </c>
      <c r="C60" s="18" t="n">
        <f aca="false">COUNTIFS(選手一覧!$C$7:$C$2738,A60,選手一覧!$E$7:$E$2738,"&gt;0")</f>
        <v>1</v>
      </c>
      <c r="D60" s="14" t="n">
        <f aca="false">IF(C60=0,"",_xlfn.MINIFS(選手一覧!$E$7:$E$2738,選手一覧!$C$7:$C$2738,A60))</f>
        <v>32</v>
      </c>
      <c r="E60" s="12" t="s">
        <v>4240</v>
      </c>
      <c r="F60" s="18" t="n">
        <f aca="false">COUNTIFS(選手一覧!$C$7:$C$2738,A60,選手一覧!$I$7:$I$2738,"&lt;=100")</f>
        <v>0</v>
      </c>
      <c r="G60" s="18" t="n">
        <f aca="false">COUNTIFS(選手一覧!$C$7:$C$2738,A60,選手一覧!$K$7:$K$2738,"&lt;=100")</f>
        <v>1</v>
      </c>
      <c r="H60" s="17" t="n">
        <f aca="false">COUNTIF(選手一覧!$C$7:$C$2738,A60)</f>
        <v>1</v>
      </c>
    </row>
    <row r="61" customFormat="false" ht="15" hidden="false" customHeight="false" outlineLevel="0" collapsed="false">
      <c r="A61" s="12" t="s">
        <v>209</v>
      </c>
      <c r="B61" s="22" t="n">
        <f aca="false">COUNTIFS(選手一覧!$C$7:$C$2738,A61,選手一覧!$E$7:$E$2738,"&lt;=100")</f>
        <v>1</v>
      </c>
      <c r="C61" s="18" t="n">
        <f aca="false">COUNTIFS(選手一覧!$C$7:$C$2738,A61,選手一覧!$E$7:$E$2738,"&gt;0")</f>
        <v>1</v>
      </c>
      <c r="D61" s="14" t="n">
        <f aca="false">IF(C61=0,"",_xlfn.MINIFS(選手一覧!$E$7:$E$2738,選手一覧!$C$7:$C$2738,A61))</f>
        <v>95</v>
      </c>
      <c r="E61" s="12" t="s">
        <v>4241</v>
      </c>
      <c r="F61" s="18" t="n">
        <f aca="false">COUNTIFS(選手一覧!$C$7:$C$2738,A61,選手一覧!$I$7:$I$2738,"&lt;=100")</f>
        <v>0</v>
      </c>
      <c r="G61" s="18" t="n">
        <f aca="false">COUNTIFS(選手一覧!$C$7:$C$2738,A61,選手一覧!$K$7:$K$2738,"&lt;=100")</f>
        <v>1</v>
      </c>
      <c r="H61" s="17" t="n">
        <f aca="false">COUNTIF(選手一覧!$C$7:$C$2738,A61)</f>
        <v>3</v>
      </c>
    </row>
    <row r="62" customFormat="false" ht="15" hidden="false" customHeight="false" outlineLevel="0" collapsed="false">
      <c r="A62" s="12" t="s">
        <v>212</v>
      </c>
      <c r="B62" s="22" t="n">
        <f aca="false">COUNTIFS(選手一覧!$C$7:$C$2738,A62,選手一覧!$E$7:$E$2738,"&lt;=100")</f>
        <v>1</v>
      </c>
      <c r="C62" s="18" t="n">
        <f aca="false">COUNTIFS(選手一覧!$C$7:$C$2738,A62,選手一覧!$E$7:$E$2738,"&gt;0")</f>
        <v>1</v>
      </c>
      <c r="D62" s="14" t="n">
        <f aca="false">IF(C62=0,"",_xlfn.MINIFS(選手一覧!$E$7:$E$2738,選手一覧!$C$7:$C$2738,A62))</f>
        <v>97</v>
      </c>
      <c r="E62" s="12" t="s">
        <v>4242</v>
      </c>
      <c r="F62" s="18" t="n">
        <f aca="false">COUNTIFS(選手一覧!$C$7:$C$2738,A62,選手一覧!$I$7:$I$2738,"&lt;=100")</f>
        <v>1</v>
      </c>
      <c r="G62" s="18" t="n">
        <f aca="false">COUNTIFS(選手一覧!$C$7:$C$2738,A62,選手一覧!$K$7:$K$2738,"&lt;=100")</f>
        <v>0</v>
      </c>
      <c r="H62" s="17" t="n">
        <f aca="false">COUNTIF(選手一覧!$C$7:$C$2738,A62)</f>
        <v>2</v>
      </c>
    </row>
    <row r="63" customFormat="false" ht="15" hidden="false" customHeight="false" outlineLevel="0" collapsed="false">
      <c r="A63" s="12" t="s">
        <v>217</v>
      </c>
      <c r="B63" s="22" t="n">
        <f aca="false">COUNTIFS(選手一覧!$C$7:$C$2738,A63,選手一覧!$E$7:$E$2738,"&lt;=100")</f>
        <v>1</v>
      </c>
      <c r="C63" s="18" t="n">
        <f aca="false">COUNTIFS(選手一覧!$C$7:$C$2738,A63,選手一覧!$E$7:$E$2738,"&gt;0")</f>
        <v>1</v>
      </c>
      <c r="D63" s="14" t="n">
        <f aca="false">IF(C63=0,"",_xlfn.MINIFS(選手一覧!$E$7:$E$2738,選手一覧!$C$7:$C$2738,A63))</f>
        <v>99</v>
      </c>
      <c r="E63" s="12" t="s">
        <v>4243</v>
      </c>
      <c r="F63" s="18" t="n">
        <f aca="false">COUNTIFS(選手一覧!$C$7:$C$2738,A63,選手一覧!$I$7:$I$2738,"&lt;=100")</f>
        <v>0</v>
      </c>
      <c r="G63" s="18" t="n">
        <f aca="false">COUNTIFS(選手一覧!$C$7:$C$2738,A63,選手一覧!$K$7:$K$2738,"&lt;=100")</f>
        <v>0</v>
      </c>
      <c r="H63" s="17" t="n">
        <f aca="false">COUNTIF(選手一覧!$C$7:$C$2738,A63)</f>
        <v>1</v>
      </c>
    </row>
    <row r="64" customFormat="false" ht="15" hidden="false" customHeight="false" outlineLevel="0" collapsed="false">
      <c r="A64" s="12" t="s">
        <v>290</v>
      </c>
      <c r="B64" s="22" t="n">
        <f aca="false">COUNTIFS(選手一覧!$C$7:$C$2738,A64,選手一覧!$E$7:$E$2738,"&lt;=100")</f>
        <v>0</v>
      </c>
      <c r="C64" s="18" t="n">
        <f aca="false">COUNTIFS(選手一覧!$C$7:$C$2738,A64,選手一覧!$E$7:$E$2738,"&gt;0")</f>
        <v>13</v>
      </c>
      <c r="D64" s="14" t="n">
        <f aca="false">IF(C64=0,"",_xlfn.MINIFS(選手一覧!$E$7:$E$2738,選手一覧!$C$7:$C$2738,A64))</f>
        <v>138</v>
      </c>
      <c r="E64" s="20"/>
      <c r="F64" s="18" t="n">
        <f aca="false">COUNTIFS(選手一覧!$C$7:$C$2738,A64,選手一覧!$I$7:$I$2738,"&lt;=100")</f>
        <v>1</v>
      </c>
      <c r="G64" s="18" t="n">
        <f aca="false">COUNTIFS(選手一覧!$C$7:$C$2738,A64,選手一覧!$K$7:$K$2738,"&lt;=100")</f>
        <v>0</v>
      </c>
      <c r="H64" s="17" t="n">
        <f aca="false">COUNTIF(選手一覧!$C$7:$C$2738,A64)</f>
        <v>15</v>
      </c>
    </row>
    <row r="65" customFormat="false" ht="15" hidden="false" customHeight="false" outlineLevel="0" collapsed="false">
      <c r="A65" s="12" t="s">
        <v>417</v>
      </c>
      <c r="B65" s="22" t="n">
        <f aca="false">COUNTIFS(選手一覧!$C$7:$C$2738,A65,選手一覧!$E$7:$E$2738,"&lt;=100")</f>
        <v>0</v>
      </c>
      <c r="C65" s="18" t="n">
        <f aca="false">COUNTIFS(選手一覧!$C$7:$C$2738,A65,選手一覧!$E$7:$E$2738,"&gt;0")</f>
        <v>13</v>
      </c>
      <c r="D65" s="14" t="n">
        <f aca="false">IF(C65=0,"",_xlfn.MINIFS(選手一覧!$E$7:$E$2738,選手一覧!$C$7:$C$2738,A65))</f>
        <v>210</v>
      </c>
      <c r="E65" s="20"/>
      <c r="F65" s="18" t="n">
        <f aca="false">COUNTIFS(選手一覧!$C$7:$C$2738,A65,選手一覧!$I$7:$I$2738,"&lt;=100")</f>
        <v>0</v>
      </c>
      <c r="G65" s="18" t="n">
        <f aca="false">COUNTIFS(選手一覧!$C$7:$C$2738,A65,選手一覧!$K$7:$K$2738,"&lt;=100")</f>
        <v>0</v>
      </c>
      <c r="H65" s="17" t="n">
        <f aca="false">COUNTIF(選手一覧!$C$7:$C$2738,A65)</f>
        <v>13</v>
      </c>
    </row>
    <row r="66" customFormat="false" ht="15" hidden="false" customHeight="false" outlineLevel="0" collapsed="false">
      <c r="A66" s="12" t="s">
        <v>503</v>
      </c>
      <c r="B66" s="22" t="n">
        <f aca="false">COUNTIFS(選手一覧!$C$7:$C$2738,A66,選手一覧!$E$7:$E$2738,"&lt;=100")</f>
        <v>0</v>
      </c>
      <c r="C66" s="18" t="n">
        <f aca="false">COUNTIFS(選手一覧!$C$7:$C$2738,A66,選手一覧!$E$7:$E$2738,"&gt;0")</f>
        <v>11</v>
      </c>
      <c r="D66" s="14" t="n">
        <f aca="false">IF(C66=0,"",_xlfn.MINIFS(選手一覧!$E$7:$E$2738,選手一覧!$C$7:$C$2738,A66))</f>
        <v>263</v>
      </c>
      <c r="E66" s="20"/>
      <c r="F66" s="18" t="n">
        <f aca="false">COUNTIFS(選手一覧!$C$7:$C$2738,A66,選手一覧!$I$7:$I$2738,"&lt;=100")</f>
        <v>0</v>
      </c>
      <c r="G66" s="18" t="n">
        <f aca="false">COUNTIFS(選手一覧!$C$7:$C$2738,A66,選手一覧!$K$7:$K$2738,"&lt;=100")</f>
        <v>0</v>
      </c>
      <c r="H66" s="17" t="n">
        <f aca="false">COUNTIF(選手一覧!$C$7:$C$2738,A66)</f>
        <v>12</v>
      </c>
    </row>
    <row r="67" customFormat="false" ht="15" hidden="false" customHeight="false" outlineLevel="0" collapsed="false">
      <c r="A67" s="12" t="s">
        <v>515</v>
      </c>
      <c r="B67" s="22" t="n">
        <f aca="false">COUNTIFS(選手一覧!$C$7:$C$2738,A67,選手一覧!$E$7:$E$2738,"&lt;=100")</f>
        <v>0</v>
      </c>
      <c r="C67" s="18" t="n">
        <f aca="false">COUNTIFS(選手一覧!$C$7:$C$2738,A67,選手一覧!$E$7:$E$2738,"&gt;0")</f>
        <v>11</v>
      </c>
      <c r="D67" s="14" t="n">
        <f aca="false">IF(C67=0,"",_xlfn.MINIFS(選手一覧!$E$7:$E$2738,選手一覧!$C$7:$C$2738,A67))</f>
        <v>271</v>
      </c>
      <c r="E67" s="20"/>
      <c r="F67" s="18" t="n">
        <f aca="false">COUNTIFS(選手一覧!$C$7:$C$2738,A67,選手一覧!$I$7:$I$2738,"&lt;=100")</f>
        <v>0</v>
      </c>
      <c r="G67" s="18" t="n">
        <f aca="false">COUNTIFS(選手一覧!$C$7:$C$2738,A67,選手一覧!$K$7:$K$2738,"&lt;=100")</f>
        <v>1</v>
      </c>
      <c r="H67" s="17" t="n">
        <f aca="false">COUNTIF(選手一覧!$C$7:$C$2738,A67)</f>
        <v>11</v>
      </c>
    </row>
    <row r="68" customFormat="false" ht="15" hidden="false" customHeight="false" outlineLevel="0" collapsed="false">
      <c r="A68" s="12" t="s">
        <v>240</v>
      </c>
      <c r="B68" s="22" t="n">
        <f aca="false">COUNTIFS(選手一覧!$C$7:$C$2738,A68,選手一覧!$E$7:$E$2738,"&lt;=100")</f>
        <v>0</v>
      </c>
      <c r="C68" s="18" t="n">
        <f aca="false">COUNTIFS(選手一覧!$C$7:$C$2738,A68,選手一覧!$E$7:$E$2738,"&gt;0")</f>
        <v>10</v>
      </c>
      <c r="D68" s="14" t="n">
        <f aca="false">IF(C68=0,"",_xlfn.MINIFS(選手一覧!$E$7:$E$2738,選手一覧!$C$7:$C$2738,A68))</f>
        <v>115</v>
      </c>
      <c r="E68" s="20"/>
      <c r="F68" s="18" t="n">
        <f aca="false">COUNTIFS(選手一覧!$C$7:$C$2738,A68,選手一覧!$I$7:$I$2738,"&lt;=100")</f>
        <v>1</v>
      </c>
      <c r="G68" s="18" t="n">
        <f aca="false">COUNTIFS(選手一覧!$C$7:$C$2738,A68,選手一覧!$K$7:$K$2738,"&lt;=100")</f>
        <v>1</v>
      </c>
      <c r="H68" s="17" t="n">
        <f aca="false">COUNTIF(選手一覧!$C$7:$C$2738,A68)</f>
        <v>11</v>
      </c>
    </row>
    <row r="69" customFormat="false" ht="15" hidden="false" customHeight="false" outlineLevel="0" collapsed="false">
      <c r="A69" s="12" t="s">
        <v>245</v>
      </c>
      <c r="B69" s="22" t="n">
        <f aca="false">COUNTIFS(選手一覧!$C$7:$C$2738,A69,選手一覧!$E$7:$E$2738,"&lt;=100")</f>
        <v>0</v>
      </c>
      <c r="C69" s="18" t="n">
        <f aca="false">COUNTIFS(選手一覧!$C$7:$C$2738,A69,選手一覧!$E$7:$E$2738,"&gt;0")</f>
        <v>9</v>
      </c>
      <c r="D69" s="14" t="n">
        <f aca="false">IF(C69=0,"",_xlfn.MINIFS(選手一覧!$E$7:$E$2738,選手一覧!$C$7:$C$2738,A69))</f>
        <v>117</v>
      </c>
      <c r="E69" s="20"/>
      <c r="F69" s="18" t="n">
        <f aca="false">COUNTIFS(選手一覧!$C$7:$C$2738,A69,選手一覧!$I$7:$I$2738,"&lt;=100")</f>
        <v>1</v>
      </c>
      <c r="G69" s="18" t="n">
        <f aca="false">COUNTIFS(選手一覧!$C$7:$C$2738,A69,選手一覧!$K$7:$K$2738,"&lt;=100")</f>
        <v>0</v>
      </c>
      <c r="H69" s="17" t="n">
        <f aca="false">COUNTIF(選手一覧!$C$7:$C$2738,A69)</f>
        <v>9</v>
      </c>
    </row>
    <row r="70" customFormat="false" ht="15" hidden="false" customHeight="false" outlineLevel="0" collapsed="false">
      <c r="A70" s="12" t="s">
        <v>281</v>
      </c>
      <c r="B70" s="22" t="n">
        <f aca="false">COUNTIFS(選手一覧!$C$7:$C$2738,A70,選手一覧!$E$7:$E$2738,"&lt;=100")</f>
        <v>0</v>
      </c>
      <c r="C70" s="18" t="n">
        <f aca="false">COUNTIFS(選手一覧!$C$7:$C$2738,A70,選手一覧!$E$7:$E$2738,"&gt;0")</f>
        <v>9</v>
      </c>
      <c r="D70" s="14" t="n">
        <f aca="false">IF(C70=0,"",_xlfn.MINIFS(選手一覧!$E$7:$E$2738,選手一覧!$C$7:$C$2738,A70))</f>
        <v>134</v>
      </c>
      <c r="E70" s="20"/>
      <c r="F70" s="18" t="n">
        <f aca="false">COUNTIFS(選手一覧!$C$7:$C$2738,A70,選手一覧!$I$7:$I$2738,"&lt;=100")</f>
        <v>0</v>
      </c>
      <c r="G70" s="18" t="n">
        <f aca="false">COUNTIFS(選手一覧!$C$7:$C$2738,A70,選手一覧!$K$7:$K$2738,"&lt;=100")</f>
        <v>0</v>
      </c>
      <c r="H70" s="17" t="n">
        <f aca="false">COUNTIF(選手一覧!$C$7:$C$2738,A70)</f>
        <v>11</v>
      </c>
    </row>
    <row r="71" customFormat="false" ht="15" hidden="false" customHeight="false" outlineLevel="0" collapsed="false">
      <c r="A71" s="12" t="s">
        <v>406</v>
      </c>
      <c r="B71" s="22" t="n">
        <f aca="false">COUNTIFS(選手一覧!$C$7:$C$2738,A71,選手一覧!$E$7:$E$2738,"&lt;=100")</f>
        <v>0</v>
      </c>
      <c r="C71" s="18" t="n">
        <f aca="false">COUNTIFS(選手一覧!$C$7:$C$2738,A71,選手一覧!$E$7:$E$2738,"&gt;0")</f>
        <v>9</v>
      </c>
      <c r="D71" s="14" t="n">
        <f aca="false">IF(C71=0,"",_xlfn.MINIFS(選手一覧!$E$7:$E$2738,選手一覧!$C$7:$C$2738,A71))</f>
        <v>204</v>
      </c>
      <c r="E71" s="20"/>
      <c r="F71" s="18" t="n">
        <f aca="false">COUNTIFS(選手一覧!$C$7:$C$2738,A71,選手一覧!$I$7:$I$2738,"&lt;=100")</f>
        <v>0</v>
      </c>
      <c r="G71" s="18" t="n">
        <f aca="false">COUNTIFS(選手一覧!$C$7:$C$2738,A71,選手一覧!$K$7:$K$2738,"&lt;=100")</f>
        <v>0</v>
      </c>
      <c r="H71" s="17" t="n">
        <f aca="false">COUNTIF(選手一覧!$C$7:$C$2738,A71)</f>
        <v>10</v>
      </c>
    </row>
    <row r="72" customFormat="false" ht="15" hidden="false" customHeight="false" outlineLevel="0" collapsed="false">
      <c r="A72" s="12" t="s">
        <v>228</v>
      </c>
      <c r="B72" s="22" t="n">
        <f aca="false">COUNTIFS(選手一覧!$C$7:$C$2738,A72,選手一覧!$E$7:$E$2738,"&lt;=100")</f>
        <v>0</v>
      </c>
      <c r="C72" s="18" t="n">
        <f aca="false">COUNTIFS(選手一覧!$C$7:$C$2738,A72,選手一覧!$E$7:$E$2738,"&gt;0")</f>
        <v>8</v>
      </c>
      <c r="D72" s="14" t="n">
        <f aca="false">IF(C72=0,"",_xlfn.MINIFS(選手一覧!$E$7:$E$2738,選手一覧!$C$7:$C$2738,A72))</f>
        <v>107</v>
      </c>
      <c r="E72" s="20"/>
      <c r="F72" s="18" t="n">
        <f aca="false">COUNTIFS(選手一覧!$C$7:$C$2738,A72,選手一覧!$I$7:$I$2738,"&lt;=100")</f>
        <v>1</v>
      </c>
      <c r="G72" s="18" t="n">
        <f aca="false">COUNTIFS(選手一覧!$C$7:$C$2738,A72,選手一覧!$K$7:$K$2738,"&lt;=100")</f>
        <v>2</v>
      </c>
      <c r="H72" s="17" t="n">
        <f aca="false">COUNTIF(選手一覧!$C$7:$C$2738,A72)</f>
        <v>8</v>
      </c>
    </row>
    <row r="73" customFormat="false" ht="15" hidden="false" customHeight="false" outlineLevel="0" collapsed="false">
      <c r="A73" s="12" t="s">
        <v>351</v>
      </c>
      <c r="B73" s="22" t="n">
        <f aca="false">COUNTIFS(選手一覧!$C$7:$C$2738,A73,選手一覧!$E$7:$E$2738,"&lt;=100")</f>
        <v>0</v>
      </c>
      <c r="C73" s="18" t="n">
        <f aca="false">COUNTIFS(選手一覧!$C$7:$C$2738,A73,選手一覧!$E$7:$E$2738,"&gt;0")</f>
        <v>8</v>
      </c>
      <c r="D73" s="14" t="n">
        <f aca="false">IF(C73=0,"",_xlfn.MINIFS(選手一覧!$E$7:$E$2738,選手一覧!$C$7:$C$2738,A73))</f>
        <v>170</v>
      </c>
      <c r="E73" s="20"/>
      <c r="F73" s="18" t="n">
        <f aca="false">COUNTIFS(選手一覧!$C$7:$C$2738,A73,選手一覧!$I$7:$I$2738,"&lt;=100")</f>
        <v>2</v>
      </c>
      <c r="G73" s="18" t="n">
        <f aca="false">COUNTIFS(選手一覧!$C$7:$C$2738,A73,選手一覧!$K$7:$K$2738,"&lt;=100")</f>
        <v>1</v>
      </c>
      <c r="H73" s="17" t="n">
        <f aca="false">COUNTIF(選手一覧!$C$7:$C$2738,A73)</f>
        <v>8</v>
      </c>
    </row>
    <row r="74" customFormat="false" ht="15" hidden="false" customHeight="false" outlineLevel="0" collapsed="false">
      <c r="A74" s="12" t="s">
        <v>380</v>
      </c>
      <c r="B74" s="22" t="n">
        <f aca="false">COUNTIFS(選手一覧!$C$7:$C$2738,A74,選手一覧!$E$7:$E$2738,"&lt;=100")</f>
        <v>0</v>
      </c>
      <c r="C74" s="18" t="n">
        <f aca="false">COUNTIFS(選手一覧!$C$7:$C$2738,A74,選手一覧!$E$7:$E$2738,"&gt;0")</f>
        <v>8</v>
      </c>
      <c r="D74" s="14" t="n">
        <f aca="false">IF(C74=0,"",_xlfn.MINIFS(選手一覧!$E$7:$E$2738,選手一覧!$C$7:$C$2738,A74))</f>
        <v>187</v>
      </c>
      <c r="E74" s="20"/>
      <c r="F74" s="18" t="n">
        <f aca="false">COUNTIFS(選手一覧!$C$7:$C$2738,A74,選手一覧!$I$7:$I$2738,"&lt;=100")</f>
        <v>0</v>
      </c>
      <c r="G74" s="18" t="n">
        <f aca="false">COUNTIFS(選手一覧!$C$7:$C$2738,A74,選手一覧!$K$7:$K$2738,"&lt;=100")</f>
        <v>0</v>
      </c>
      <c r="H74" s="17" t="n">
        <f aca="false">COUNTIF(選手一覧!$C$7:$C$2738,A74)</f>
        <v>9</v>
      </c>
    </row>
    <row r="75" customFormat="false" ht="15" hidden="false" customHeight="false" outlineLevel="0" collapsed="false">
      <c r="A75" s="12" t="s">
        <v>561</v>
      </c>
      <c r="B75" s="22" t="n">
        <f aca="false">COUNTIFS(選手一覧!$C$7:$C$2738,A75,選手一覧!$E$7:$E$2738,"&lt;=100")</f>
        <v>0</v>
      </c>
      <c r="C75" s="18" t="n">
        <f aca="false">COUNTIFS(選手一覧!$C$7:$C$2738,A75,選手一覧!$E$7:$E$2738,"&gt;0")</f>
        <v>8</v>
      </c>
      <c r="D75" s="14" t="n">
        <f aca="false">IF(C75=0,"",_xlfn.MINIFS(選手一覧!$E$7:$E$2738,選手一覧!$C$7:$C$2738,A75))</f>
        <v>300</v>
      </c>
      <c r="E75" s="20"/>
      <c r="F75" s="18" t="n">
        <f aca="false">COUNTIFS(選手一覧!$C$7:$C$2738,A75,選手一覧!$I$7:$I$2738,"&lt;=100")</f>
        <v>0</v>
      </c>
      <c r="G75" s="18" t="n">
        <f aca="false">COUNTIFS(選手一覧!$C$7:$C$2738,A75,選手一覧!$K$7:$K$2738,"&lt;=100")</f>
        <v>1</v>
      </c>
      <c r="H75" s="17" t="n">
        <f aca="false">COUNTIF(選手一覧!$C$7:$C$2738,A75)</f>
        <v>10</v>
      </c>
    </row>
    <row r="76" customFormat="false" ht="15" hidden="false" customHeight="false" outlineLevel="0" collapsed="false">
      <c r="A76" s="12" t="s">
        <v>601</v>
      </c>
      <c r="B76" s="22" t="n">
        <f aca="false">COUNTIFS(選手一覧!$C$7:$C$2738,A76,選手一覧!$E$7:$E$2738,"&lt;=100")</f>
        <v>0</v>
      </c>
      <c r="C76" s="18" t="n">
        <f aca="false">COUNTIFS(選手一覧!$C$7:$C$2738,A76,選手一覧!$E$7:$E$2738,"&gt;0")</f>
        <v>8</v>
      </c>
      <c r="D76" s="14" t="n">
        <f aca="false">IF(C76=0,"",_xlfn.MINIFS(選手一覧!$E$7:$E$2738,選手一覧!$C$7:$C$2738,A76))</f>
        <v>322</v>
      </c>
      <c r="E76" s="20"/>
      <c r="F76" s="18" t="n">
        <f aca="false">COUNTIFS(選手一覧!$C$7:$C$2738,A76,選手一覧!$I$7:$I$2738,"&lt;=100")</f>
        <v>0</v>
      </c>
      <c r="G76" s="18" t="n">
        <f aca="false">COUNTIFS(選手一覧!$C$7:$C$2738,A76,選手一覧!$K$7:$K$2738,"&lt;=100")</f>
        <v>0</v>
      </c>
      <c r="H76" s="17" t="n">
        <f aca="false">COUNTIF(選手一覧!$C$7:$C$2738,A76)</f>
        <v>10</v>
      </c>
    </row>
    <row r="77" customFormat="false" ht="15" hidden="false" customHeight="false" outlineLevel="0" collapsed="false">
      <c r="A77" s="12" t="s">
        <v>1049</v>
      </c>
      <c r="B77" s="22" t="n">
        <f aca="false">COUNTIFS(選手一覧!$C$7:$C$2738,A77,選手一覧!$E$7:$E$2738,"&lt;=100")</f>
        <v>0</v>
      </c>
      <c r="C77" s="18" t="n">
        <f aca="false">COUNTIFS(選手一覧!$C$7:$C$2738,A77,選手一覧!$E$7:$E$2738,"&gt;0")</f>
        <v>8</v>
      </c>
      <c r="D77" s="14" t="n">
        <f aca="false">IF(C77=0,"",_xlfn.MINIFS(選手一覧!$E$7:$E$2738,選手一覧!$C$7:$C$2738,A77))</f>
        <v>613</v>
      </c>
      <c r="E77" s="20"/>
      <c r="F77" s="18" t="n">
        <f aca="false">COUNTIFS(選手一覧!$C$7:$C$2738,A77,選手一覧!$I$7:$I$2738,"&lt;=100")</f>
        <v>0</v>
      </c>
      <c r="G77" s="18" t="n">
        <f aca="false">COUNTIFS(選手一覧!$C$7:$C$2738,A77,選手一覧!$K$7:$K$2738,"&lt;=100")</f>
        <v>0</v>
      </c>
      <c r="H77" s="17" t="n">
        <f aca="false">COUNTIF(選手一覧!$C$7:$C$2738,A77)</f>
        <v>13</v>
      </c>
    </row>
    <row r="78" customFormat="false" ht="15" hidden="false" customHeight="false" outlineLevel="0" collapsed="false">
      <c r="A78" s="12" t="s">
        <v>256</v>
      </c>
      <c r="B78" s="22" t="n">
        <f aca="false">COUNTIFS(選手一覧!$C$7:$C$2738,A78,選手一覧!$E$7:$E$2738,"&lt;=100")</f>
        <v>0</v>
      </c>
      <c r="C78" s="18" t="n">
        <f aca="false">COUNTIFS(選手一覧!$C$7:$C$2738,A78,選手一覧!$E$7:$E$2738,"&gt;0")</f>
        <v>7</v>
      </c>
      <c r="D78" s="14" t="n">
        <f aca="false">IF(C78=0,"",_xlfn.MINIFS(選手一覧!$E$7:$E$2738,選手一覧!$C$7:$C$2738,A78))</f>
        <v>121</v>
      </c>
      <c r="E78" s="20"/>
      <c r="F78" s="18" t="n">
        <f aca="false">COUNTIFS(選手一覧!$C$7:$C$2738,A78,選手一覧!$I$7:$I$2738,"&lt;=100")</f>
        <v>0</v>
      </c>
      <c r="G78" s="18" t="n">
        <f aca="false">COUNTIFS(選手一覧!$C$7:$C$2738,A78,選手一覧!$K$7:$K$2738,"&lt;=100")</f>
        <v>0</v>
      </c>
      <c r="H78" s="17" t="n">
        <f aca="false">COUNTIF(選手一覧!$C$7:$C$2738,A78)</f>
        <v>9</v>
      </c>
    </row>
    <row r="79" customFormat="false" ht="15" hidden="false" customHeight="false" outlineLevel="0" collapsed="false">
      <c r="A79" s="12" t="s">
        <v>316</v>
      </c>
      <c r="B79" s="22" t="n">
        <f aca="false">COUNTIFS(選手一覧!$C$7:$C$2738,A79,選手一覧!$E$7:$E$2738,"&lt;=100")</f>
        <v>0</v>
      </c>
      <c r="C79" s="18" t="n">
        <f aca="false">COUNTIFS(選手一覧!$C$7:$C$2738,A79,選手一覧!$E$7:$E$2738,"&gt;0")</f>
        <v>7</v>
      </c>
      <c r="D79" s="14" t="n">
        <f aca="false">IF(C79=0,"",_xlfn.MINIFS(選手一覧!$E$7:$E$2738,選手一覧!$C$7:$C$2738,A79))</f>
        <v>152</v>
      </c>
      <c r="E79" s="20"/>
      <c r="F79" s="18" t="n">
        <f aca="false">COUNTIFS(選手一覧!$C$7:$C$2738,A79,選手一覧!$I$7:$I$2738,"&lt;=100")</f>
        <v>2</v>
      </c>
      <c r="G79" s="18" t="n">
        <f aca="false">COUNTIFS(選手一覧!$C$7:$C$2738,A79,選手一覧!$K$7:$K$2738,"&lt;=100")</f>
        <v>1</v>
      </c>
      <c r="H79" s="17" t="n">
        <f aca="false">COUNTIF(選手一覧!$C$7:$C$2738,A79)</f>
        <v>8</v>
      </c>
    </row>
    <row r="80" customFormat="false" ht="15" hidden="false" customHeight="false" outlineLevel="0" collapsed="false">
      <c r="A80" s="12" t="s">
        <v>318</v>
      </c>
      <c r="B80" s="22" t="n">
        <f aca="false">COUNTIFS(選手一覧!$C$7:$C$2738,A80,選手一覧!$E$7:$E$2738,"&lt;=100")</f>
        <v>0</v>
      </c>
      <c r="C80" s="18" t="n">
        <f aca="false">COUNTIFS(選手一覧!$C$7:$C$2738,A80,選手一覧!$E$7:$E$2738,"&gt;0")</f>
        <v>7</v>
      </c>
      <c r="D80" s="14" t="n">
        <f aca="false">IF(C80=0,"",_xlfn.MINIFS(選手一覧!$E$7:$E$2738,選手一覧!$C$7:$C$2738,A80))</f>
        <v>153</v>
      </c>
      <c r="E80" s="20"/>
      <c r="F80" s="18" t="n">
        <f aca="false">COUNTIFS(選手一覧!$C$7:$C$2738,A80,選手一覧!$I$7:$I$2738,"&lt;=100")</f>
        <v>0</v>
      </c>
      <c r="G80" s="18" t="n">
        <f aca="false">COUNTIFS(選手一覧!$C$7:$C$2738,A80,選手一覧!$K$7:$K$2738,"&lt;=100")</f>
        <v>1</v>
      </c>
      <c r="H80" s="17" t="n">
        <f aca="false">COUNTIF(選手一覧!$C$7:$C$2738,A80)</f>
        <v>7</v>
      </c>
    </row>
    <row r="81" customFormat="false" ht="15" hidden="false" customHeight="false" outlineLevel="0" collapsed="false">
      <c r="A81" s="12" t="s">
        <v>415</v>
      </c>
      <c r="B81" s="22" t="n">
        <f aca="false">COUNTIFS(選手一覧!$C$7:$C$2738,A81,選手一覧!$E$7:$E$2738,"&lt;=100")</f>
        <v>0</v>
      </c>
      <c r="C81" s="18" t="n">
        <f aca="false">COUNTIFS(選手一覧!$C$7:$C$2738,A81,選手一覧!$E$7:$E$2738,"&gt;0")</f>
        <v>7</v>
      </c>
      <c r="D81" s="14" t="n">
        <f aca="false">IF(C81=0,"",_xlfn.MINIFS(選手一覧!$E$7:$E$2738,選手一覧!$C$7:$C$2738,A81))</f>
        <v>209</v>
      </c>
      <c r="E81" s="20"/>
      <c r="F81" s="18" t="n">
        <f aca="false">COUNTIFS(選手一覧!$C$7:$C$2738,A81,選手一覧!$I$7:$I$2738,"&lt;=100")</f>
        <v>1</v>
      </c>
      <c r="G81" s="18" t="n">
        <f aca="false">COUNTIFS(選手一覧!$C$7:$C$2738,A81,選手一覧!$K$7:$K$2738,"&lt;=100")</f>
        <v>1</v>
      </c>
      <c r="H81" s="17" t="n">
        <f aca="false">COUNTIF(選手一覧!$C$7:$C$2738,A81)</f>
        <v>9</v>
      </c>
    </row>
    <row r="82" customFormat="false" ht="15" hidden="false" customHeight="false" outlineLevel="0" collapsed="false">
      <c r="A82" s="12" t="s">
        <v>478</v>
      </c>
      <c r="B82" s="22" t="n">
        <f aca="false">COUNTIFS(選手一覧!$C$7:$C$2738,A82,選手一覧!$E$7:$E$2738,"&lt;=100")</f>
        <v>0</v>
      </c>
      <c r="C82" s="18" t="n">
        <f aca="false">COUNTIFS(選手一覧!$C$7:$C$2738,A82,選手一覧!$E$7:$E$2738,"&gt;0")</f>
        <v>7</v>
      </c>
      <c r="D82" s="14" t="n">
        <f aca="false">IF(C82=0,"",_xlfn.MINIFS(選手一覧!$E$7:$E$2738,選手一覧!$C$7:$C$2738,A82))</f>
        <v>247</v>
      </c>
      <c r="E82" s="20"/>
      <c r="F82" s="18" t="n">
        <f aca="false">COUNTIFS(選手一覧!$C$7:$C$2738,A82,選手一覧!$I$7:$I$2738,"&lt;=100")</f>
        <v>0</v>
      </c>
      <c r="G82" s="18" t="n">
        <f aca="false">COUNTIFS(選手一覧!$C$7:$C$2738,A82,選手一覧!$K$7:$K$2738,"&lt;=100")</f>
        <v>0</v>
      </c>
      <c r="H82" s="17" t="n">
        <f aca="false">COUNTIF(選手一覧!$C$7:$C$2738,A82)</f>
        <v>8</v>
      </c>
    </row>
    <row r="83" customFormat="false" ht="15" hidden="false" customHeight="false" outlineLevel="0" collapsed="false">
      <c r="A83" s="12" t="s">
        <v>648</v>
      </c>
      <c r="B83" s="22" t="n">
        <f aca="false">COUNTIFS(選手一覧!$C$7:$C$2738,A83,選手一覧!$E$7:$E$2738,"&lt;=100")</f>
        <v>0</v>
      </c>
      <c r="C83" s="18" t="n">
        <f aca="false">COUNTIFS(選手一覧!$C$7:$C$2738,A83,選手一覧!$E$7:$E$2738,"&gt;0")</f>
        <v>7</v>
      </c>
      <c r="D83" s="14" t="n">
        <f aca="false">IF(C83=0,"",_xlfn.MINIFS(選手一覧!$E$7:$E$2738,選手一覧!$C$7:$C$2738,A83))</f>
        <v>353</v>
      </c>
      <c r="E83" s="20"/>
      <c r="F83" s="18" t="n">
        <f aca="false">COUNTIFS(選手一覧!$C$7:$C$2738,A83,選手一覧!$I$7:$I$2738,"&lt;=100")</f>
        <v>0</v>
      </c>
      <c r="G83" s="18" t="n">
        <f aca="false">COUNTIFS(選手一覧!$C$7:$C$2738,A83,選手一覧!$K$7:$K$2738,"&lt;=100")</f>
        <v>0</v>
      </c>
      <c r="H83" s="17" t="n">
        <f aca="false">COUNTIF(選手一覧!$C$7:$C$2738,A83)</f>
        <v>9</v>
      </c>
    </row>
    <row r="84" customFormat="false" ht="15" hidden="false" customHeight="false" outlineLevel="0" collapsed="false">
      <c r="A84" s="12" t="s">
        <v>243</v>
      </c>
      <c r="B84" s="22" t="n">
        <f aca="false">COUNTIFS(選手一覧!$C$7:$C$2738,A84,選手一覧!$E$7:$E$2738,"&lt;=100")</f>
        <v>0</v>
      </c>
      <c r="C84" s="18" t="n">
        <f aca="false">COUNTIFS(選手一覧!$C$7:$C$2738,A84,選手一覧!$E$7:$E$2738,"&gt;0")</f>
        <v>6</v>
      </c>
      <c r="D84" s="14" t="n">
        <f aca="false">IF(C84=0,"",_xlfn.MINIFS(選手一覧!$E$7:$E$2738,選手一覧!$C$7:$C$2738,A84))</f>
        <v>116</v>
      </c>
      <c r="E84" s="20"/>
      <c r="F84" s="18" t="n">
        <f aca="false">COUNTIFS(選手一覧!$C$7:$C$2738,A84,選手一覧!$I$7:$I$2738,"&lt;=100")</f>
        <v>1</v>
      </c>
      <c r="G84" s="18" t="n">
        <f aca="false">COUNTIFS(選手一覧!$C$7:$C$2738,A84,選手一覧!$K$7:$K$2738,"&lt;=100")</f>
        <v>0</v>
      </c>
      <c r="H84" s="17" t="n">
        <f aca="false">COUNTIF(選手一覧!$C$7:$C$2738,A84)</f>
        <v>6</v>
      </c>
    </row>
    <row r="85" customFormat="false" ht="15" hidden="false" customHeight="false" outlineLevel="0" collapsed="false">
      <c r="A85" s="12" t="s">
        <v>248</v>
      </c>
      <c r="B85" s="22" t="n">
        <f aca="false">COUNTIFS(選手一覧!$C$7:$C$2738,A85,選手一覧!$E$7:$E$2738,"&lt;=100")</f>
        <v>0</v>
      </c>
      <c r="C85" s="18" t="n">
        <f aca="false">COUNTIFS(選手一覧!$C$7:$C$2738,A85,選手一覧!$E$7:$E$2738,"&gt;0")</f>
        <v>6</v>
      </c>
      <c r="D85" s="14" t="n">
        <f aca="false">IF(C85=0,"",_xlfn.MINIFS(選手一覧!$E$7:$E$2738,選手一覧!$C$7:$C$2738,A85))</f>
        <v>118</v>
      </c>
      <c r="E85" s="20"/>
      <c r="F85" s="18" t="n">
        <f aca="false">COUNTIFS(選手一覧!$C$7:$C$2738,A85,選手一覧!$I$7:$I$2738,"&lt;=100")</f>
        <v>0</v>
      </c>
      <c r="G85" s="18" t="n">
        <f aca="false">COUNTIFS(選手一覧!$C$7:$C$2738,A85,選手一覧!$K$7:$K$2738,"&lt;=100")</f>
        <v>0</v>
      </c>
      <c r="H85" s="17" t="n">
        <f aca="false">COUNTIF(選手一覧!$C$7:$C$2738,A85)</f>
        <v>8</v>
      </c>
    </row>
    <row r="86" customFormat="false" ht="15" hidden="false" customHeight="false" outlineLevel="0" collapsed="false">
      <c r="A86" s="12" t="s">
        <v>297</v>
      </c>
      <c r="B86" s="22" t="n">
        <f aca="false">COUNTIFS(選手一覧!$C$7:$C$2738,A86,選手一覧!$E$7:$E$2738,"&lt;=100")</f>
        <v>0</v>
      </c>
      <c r="C86" s="18" t="n">
        <f aca="false">COUNTIFS(選手一覧!$C$7:$C$2738,A86,選手一覧!$E$7:$E$2738,"&gt;0")</f>
        <v>6</v>
      </c>
      <c r="D86" s="14" t="n">
        <f aca="false">IF(C86=0,"",_xlfn.MINIFS(選手一覧!$E$7:$E$2738,選手一覧!$C$7:$C$2738,A86))</f>
        <v>142</v>
      </c>
      <c r="E86" s="20"/>
      <c r="F86" s="18" t="n">
        <f aca="false">COUNTIFS(選手一覧!$C$7:$C$2738,A86,選手一覧!$I$7:$I$2738,"&lt;=100")</f>
        <v>0</v>
      </c>
      <c r="G86" s="18" t="n">
        <f aca="false">COUNTIFS(選手一覧!$C$7:$C$2738,A86,選手一覧!$K$7:$K$2738,"&lt;=100")</f>
        <v>0</v>
      </c>
      <c r="H86" s="17" t="n">
        <f aca="false">COUNTIF(選手一覧!$C$7:$C$2738,A86)</f>
        <v>11</v>
      </c>
    </row>
    <row r="87" customFormat="false" ht="15" hidden="false" customHeight="false" outlineLevel="0" collapsed="false">
      <c r="A87" s="12" t="s">
        <v>397</v>
      </c>
      <c r="B87" s="22" t="n">
        <f aca="false">COUNTIFS(選手一覧!$C$7:$C$2738,A87,選手一覧!$E$7:$E$2738,"&lt;=100")</f>
        <v>0</v>
      </c>
      <c r="C87" s="18" t="n">
        <f aca="false">COUNTIFS(選手一覧!$C$7:$C$2738,A87,選手一覧!$E$7:$E$2738,"&gt;0")</f>
        <v>6</v>
      </c>
      <c r="D87" s="14" t="n">
        <f aca="false">IF(C87=0,"",_xlfn.MINIFS(選手一覧!$E$7:$E$2738,選手一覧!$C$7:$C$2738,A87))</f>
        <v>198</v>
      </c>
      <c r="E87" s="20"/>
      <c r="F87" s="18" t="n">
        <f aca="false">COUNTIFS(選手一覧!$C$7:$C$2738,A87,選手一覧!$I$7:$I$2738,"&lt;=100")</f>
        <v>0</v>
      </c>
      <c r="G87" s="18" t="n">
        <f aca="false">COUNTIFS(選手一覧!$C$7:$C$2738,A87,選手一覧!$K$7:$K$2738,"&lt;=100")</f>
        <v>0</v>
      </c>
      <c r="H87" s="17" t="n">
        <f aca="false">COUNTIF(選手一覧!$C$7:$C$2738,A87)</f>
        <v>9</v>
      </c>
    </row>
    <row r="88" customFormat="false" ht="15" hidden="false" customHeight="false" outlineLevel="0" collapsed="false">
      <c r="A88" s="12" t="s">
        <v>532</v>
      </c>
      <c r="B88" s="22" t="n">
        <f aca="false">COUNTIFS(選手一覧!$C$7:$C$2738,A88,選手一覧!$E$7:$E$2738,"&lt;=100")</f>
        <v>0</v>
      </c>
      <c r="C88" s="18" t="n">
        <f aca="false">COUNTIFS(選手一覧!$C$7:$C$2738,A88,選手一覧!$E$7:$E$2738,"&gt;0")</f>
        <v>6</v>
      </c>
      <c r="D88" s="14" t="n">
        <f aca="false">IF(C88=0,"",_xlfn.MINIFS(選手一覧!$E$7:$E$2738,選手一覧!$C$7:$C$2738,A88))</f>
        <v>281</v>
      </c>
      <c r="E88" s="20"/>
      <c r="F88" s="18" t="n">
        <f aca="false">COUNTIFS(選手一覧!$C$7:$C$2738,A88,選手一覧!$I$7:$I$2738,"&lt;=100")</f>
        <v>1</v>
      </c>
      <c r="G88" s="18" t="n">
        <f aca="false">COUNTIFS(選手一覧!$C$7:$C$2738,A88,選手一覧!$K$7:$K$2738,"&lt;=100")</f>
        <v>0</v>
      </c>
      <c r="H88" s="17" t="n">
        <f aca="false">COUNTIF(選手一覧!$C$7:$C$2738,A88)</f>
        <v>7</v>
      </c>
    </row>
    <row r="89" customFormat="false" ht="15" hidden="false" customHeight="false" outlineLevel="0" collapsed="false">
      <c r="A89" s="12" t="s">
        <v>544</v>
      </c>
      <c r="B89" s="22" t="n">
        <f aca="false">COUNTIFS(選手一覧!$C$7:$C$2738,A89,選手一覧!$E$7:$E$2738,"&lt;=100")</f>
        <v>0</v>
      </c>
      <c r="C89" s="18" t="n">
        <f aca="false">COUNTIFS(選手一覧!$C$7:$C$2738,A89,選手一覧!$E$7:$E$2738,"&gt;0")</f>
        <v>6</v>
      </c>
      <c r="D89" s="14" t="n">
        <f aca="false">IF(C89=0,"",_xlfn.MINIFS(選手一覧!$E$7:$E$2738,選手一覧!$C$7:$C$2738,A89))</f>
        <v>290</v>
      </c>
      <c r="E89" s="20"/>
      <c r="F89" s="18" t="n">
        <f aca="false">COUNTIFS(選手一覧!$C$7:$C$2738,A89,選手一覧!$I$7:$I$2738,"&lt;=100")</f>
        <v>0</v>
      </c>
      <c r="G89" s="18" t="n">
        <f aca="false">COUNTIFS(選手一覧!$C$7:$C$2738,A89,選手一覧!$K$7:$K$2738,"&lt;=100")</f>
        <v>0</v>
      </c>
      <c r="H89" s="17" t="n">
        <f aca="false">COUNTIF(選手一覧!$C$7:$C$2738,A89)</f>
        <v>6</v>
      </c>
    </row>
    <row r="90" customFormat="false" ht="15" hidden="false" customHeight="false" outlineLevel="0" collapsed="false">
      <c r="A90" s="12" t="s">
        <v>565</v>
      </c>
      <c r="B90" s="22" t="n">
        <f aca="false">COUNTIFS(選手一覧!$C$7:$C$2738,A90,選手一覧!$E$7:$E$2738,"&lt;=100")</f>
        <v>0</v>
      </c>
      <c r="C90" s="18" t="n">
        <f aca="false">COUNTIFS(選手一覧!$C$7:$C$2738,A90,選手一覧!$E$7:$E$2738,"&gt;0")</f>
        <v>6</v>
      </c>
      <c r="D90" s="14" t="n">
        <f aca="false">IF(C90=0,"",_xlfn.MINIFS(選手一覧!$E$7:$E$2738,選手一覧!$C$7:$C$2738,A90))</f>
        <v>302</v>
      </c>
      <c r="E90" s="20"/>
      <c r="F90" s="18" t="n">
        <f aca="false">COUNTIFS(選手一覧!$C$7:$C$2738,A90,選手一覧!$I$7:$I$2738,"&lt;=100")</f>
        <v>0</v>
      </c>
      <c r="G90" s="18" t="n">
        <f aca="false">COUNTIFS(選手一覧!$C$7:$C$2738,A90,選手一覧!$K$7:$K$2738,"&lt;=100")</f>
        <v>0</v>
      </c>
      <c r="H90" s="17" t="n">
        <f aca="false">COUNTIF(選手一覧!$C$7:$C$2738,A90)</f>
        <v>7</v>
      </c>
    </row>
    <row r="91" customFormat="false" ht="15" hidden="false" customHeight="false" outlineLevel="0" collapsed="false">
      <c r="A91" s="12" t="s">
        <v>585</v>
      </c>
      <c r="B91" s="22" t="n">
        <f aca="false">COUNTIFS(選手一覧!$C$7:$C$2738,A91,選手一覧!$E$7:$E$2738,"&lt;=100")</f>
        <v>0</v>
      </c>
      <c r="C91" s="18" t="n">
        <f aca="false">COUNTIFS(選手一覧!$C$7:$C$2738,A91,選手一覧!$E$7:$E$2738,"&gt;0")</f>
        <v>6</v>
      </c>
      <c r="D91" s="14" t="n">
        <f aca="false">IF(C91=0,"",_xlfn.MINIFS(選手一覧!$E$7:$E$2738,選手一覧!$C$7:$C$2738,A91))</f>
        <v>314</v>
      </c>
      <c r="E91" s="20"/>
      <c r="F91" s="18" t="n">
        <f aca="false">COUNTIFS(選手一覧!$C$7:$C$2738,A91,選手一覧!$I$7:$I$2738,"&lt;=100")</f>
        <v>0</v>
      </c>
      <c r="G91" s="18" t="n">
        <f aca="false">COUNTIFS(選手一覧!$C$7:$C$2738,A91,選手一覧!$K$7:$K$2738,"&lt;=100")</f>
        <v>0</v>
      </c>
      <c r="H91" s="17" t="n">
        <f aca="false">COUNTIF(選手一覧!$C$7:$C$2738,A91)</f>
        <v>6</v>
      </c>
    </row>
    <row r="92" customFormat="false" ht="15" hidden="false" customHeight="false" outlineLevel="0" collapsed="false">
      <c r="A92" s="12" t="s">
        <v>591</v>
      </c>
      <c r="B92" s="22" t="n">
        <f aca="false">COUNTIFS(選手一覧!$C$7:$C$2738,A92,選手一覧!$E$7:$E$2738,"&lt;=100")</f>
        <v>0</v>
      </c>
      <c r="C92" s="18" t="n">
        <f aca="false">COUNTIFS(選手一覧!$C$7:$C$2738,A92,選手一覧!$E$7:$E$2738,"&gt;0")</f>
        <v>6</v>
      </c>
      <c r="D92" s="14" t="n">
        <f aca="false">IF(C92=0,"",_xlfn.MINIFS(選手一覧!$E$7:$E$2738,選手一覧!$C$7:$C$2738,A92))</f>
        <v>317</v>
      </c>
      <c r="E92" s="20"/>
      <c r="F92" s="18" t="n">
        <f aca="false">COUNTIFS(選手一覧!$C$7:$C$2738,A92,選手一覧!$I$7:$I$2738,"&lt;=100")</f>
        <v>0</v>
      </c>
      <c r="G92" s="18" t="n">
        <f aca="false">COUNTIFS(選手一覧!$C$7:$C$2738,A92,選手一覧!$K$7:$K$2738,"&lt;=100")</f>
        <v>1</v>
      </c>
      <c r="H92" s="17" t="n">
        <f aca="false">COUNTIF(選手一覧!$C$7:$C$2738,A92)</f>
        <v>8</v>
      </c>
    </row>
    <row r="93" customFormat="false" ht="15" hidden="false" customHeight="false" outlineLevel="0" collapsed="false">
      <c r="A93" s="12" t="s">
        <v>595</v>
      </c>
      <c r="B93" s="22" t="n">
        <f aca="false">COUNTIFS(選手一覧!$C$7:$C$2738,A93,選手一覧!$E$7:$E$2738,"&lt;=100")</f>
        <v>0</v>
      </c>
      <c r="C93" s="18" t="n">
        <f aca="false">COUNTIFS(選手一覧!$C$7:$C$2738,A93,選手一覧!$E$7:$E$2738,"&gt;0")</f>
        <v>6</v>
      </c>
      <c r="D93" s="14" t="n">
        <f aca="false">IF(C93=0,"",_xlfn.MINIFS(選手一覧!$E$7:$E$2738,選手一覧!$C$7:$C$2738,A93))</f>
        <v>319</v>
      </c>
      <c r="E93" s="20"/>
      <c r="F93" s="18" t="n">
        <f aca="false">COUNTIFS(選手一覧!$C$7:$C$2738,A93,選手一覧!$I$7:$I$2738,"&lt;=100")</f>
        <v>1</v>
      </c>
      <c r="G93" s="18" t="n">
        <f aca="false">COUNTIFS(選手一覧!$C$7:$C$2738,A93,選手一覧!$K$7:$K$2738,"&lt;=100")</f>
        <v>1</v>
      </c>
      <c r="H93" s="17" t="n">
        <f aca="false">COUNTIF(選手一覧!$C$7:$C$2738,A93)</f>
        <v>8</v>
      </c>
    </row>
    <row r="94" customFormat="false" ht="15" hidden="false" customHeight="false" outlineLevel="0" collapsed="false">
      <c r="A94" s="12" t="s">
        <v>599</v>
      </c>
      <c r="B94" s="22" t="n">
        <f aca="false">COUNTIFS(選手一覧!$C$7:$C$2738,A94,選手一覧!$E$7:$E$2738,"&lt;=100")</f>
        <v>0</v>
      </c>
      <c r="C94" s="18" t="n">
        <f aca="false">COUNTIFS(選手一覧!$C$7:$C$2738,A94,選手一覧!$E$7:$E$2738,"&gt;0")</f>
        <v>6</v>
      </c>
      <c r="D94" s="14" t="n">
        <f aca="false">IF(C94=0,"",_xlfn.MINIFS(選手一覧!$E$7:$E$2738,選手一覧!$C$7:$C$2738,A94))</f>
        <v>321</v>
      </c>
      <c r="E94" s="20"/>
      <c r="F94" s="18" t="n">
        <f aca="false">COUNTIFS(選手一覧!$C$7:$C$2738,A94,選手一覧!$I$7:$I$2738,"&lt;=100")</f>
        <v>1</v>
      </c>
      <c r="G94" s="18" t="n">
        <f aca="false">COUNTIFS(選手一覧!$C$7:$C$2738,A94,選手一覧!$K$7:$K$2738,"&lt;=100")</f>
        <v>1</v>
      </c>
      <c r="H94" s="17" t="n">
        <f aca="false">COUNTIF(選手一覧!$C$7:$C$2738,A94)</f>
        <v>8</v>
      </c>
    </row>
    <row r="95" customFormat="false" ht="15" hidden="false" customHeight="false" outlineLevel="0" collapsed="false">
      <c r="A95" s="12" t="s">
        <v>711</v>
      </c>
      <c r="B95" s="22" t="n">
        <f aca="false">COUNTIFS(選手一覧!$C$7:$C$2738,A95,選手一覧!$E$7:$E$2738,"&lt;=100")</f>
        <v>0</v>
      </c>
      <c r="C95" s="18" t="n">
        <f aca="false">COUNTIFS(選手一覧!$C$7:$C$2738,A95,選手一覧!$E$7:$E$2738,"&gt;0")</f>
        <v>6</v>
      </c>
      <c r="D95" s="14" t="n">
        <f aca="false">IF(C95=0,"",_xlfn.MINIFS(選手一覧!$E$7:$E$2738,選手一覧!$C$7:$C$2738,A95))</f>
        <v>394</v>
      </c>
      <c r="E95" s="20"/>
      <c r="F95" s="18" t="n">
        <f aca="false">COUNTIFS(選手一覧!$C$7:$C$2738,A95,選手一覧!$I$7:$I$2738,"&lt;=100")</f>
        <v>1</v>
      </c>
      <c r="G95" s="18" t="n">
        <f aca="false">COUNTIFS(選手一覧!$C$7:$C$2738,A95,選手一覧!$K$7:$K$2738,"&lt;=100")</f>
        <v>0</v>
      </c>
      <c r="H95" s="17" t="n">
        <f aca="false">COUNTIF(選手一覧!$C$7:$C$2738,A95)</f>
        <v>9</v>
      </c>
    </row>
    <row r="96" customFormat="false" ht="15" hidden="false" customHeight="false" outlineLevel="0" collapsed="false">
      <c r="A96" s="12" t="s">
        <v>728</v>
      </c>
      <c r="B96" s="22" t="n">
        <f aca="false">COUNTIFS(選手一覧!$C$7:$C$2738,A96,選手一覧!$E$7:$E$2738,"&lt;=100")</f>
        <v>0</v>
      </c>
      <c r="C96" s="18" t="n">
        <f aca="false">COUNTIFS(選手一覧!$C$7:$C$2738,A96,選手一覧!$E$7:$E$2738,"&gt;0")</f>
        <v>6</v>
      </c>
      <c r="D96" s="14" t="n">
        <f aca="false">IF(C96=0,"",_xlfn.MINIFS(選手一覧!$E$7:$E$2738,選手一覧!$C$7:$C$2738,A96))</f>
        <v>405</v>
      </c>
      <c r="E96" s="20"/>
      <c r="F96" s="18" t="n">
        <f aca="false">COUNTIFS(選手一覧!$C$7:$C$2738,A96,選手一覧!$I$7:$I$2738,"&lt;=100")</f>
        <v>0</v>
      </c>
      <c r="G96" s="18" t="n">
        <f aca="false">COUNTIFS(選手一覧!$C$7:$C$2738,A96,選手一覧!$K$7:$K$2738,"&lt;=100")</f>
        <v>0</v>
      </c>
      <c r="H96" s="17" t="n">
        <f aca="false">COUNTIF(選手一覧!$C$7:$C$2738,A96)</f>
        <v>7</v>
      </c>
    </row>
    <row r="97" customFormat="false" ht="15" hidden="false" customHeight="false" outlineLevel="0" collapsed="false">
      <c r="A97" s="12" t="s">
        <v>303</v>
      </c>
      <c r="B97" s="22" t="n">
        <f aca="false">COUNTIFS(選手一覧!$C$7:$C$2738,A97,選手一覧!$E$7:$E$2738,"&lt;=100")</f>
        <v>0</v>
      </c>
      <c r="C97" s="18" t="n">
        <f aca="false">COUNTIFS(選手一覧!$C$7:$C$2738,A97,選手一覧!$E$7:$E$2738,"&gt;0")</f>
        <v>5</v>
      </c>
      <c r="D97" s="14" t="n">
        <f aca="false">IF(C97=0,"",_xlfn.MINIFS(選手一覧!$E$7:$E$2738,選手一覧!$C$7:$C$2738,A97))</f>
        <v>145</v>
      </c>
      <c r="E97" s="20"/>
      <c r="F97" s="18" t="n">
        <f aca="false">COUNTIFS(選手一覧!$C$7:$C$2738,A97,選手一覧!$I$7:$I$2738,"&lt;=100")</f>
        <v>1</v>
      </c>
      <c r="G97" s="18" t="n">
        <f aca="false">COUNTIFS(選手一覧!$C$7:$C$2738,A97,選手一覧!$K$7:$K$2738,"&lt;=100")</f>
        <v>0</v>
      </c>
      <c r="H97" s="17" t="n">
        <f aca="false">COUNTIF(選手一覧!$C$7:$C$2738,A97)</f>
        <v>5</v>
      </c>
    </row>
    <row r="98" customFormat="false" ht="15" hidden="false" customHeight="false" outlineLevel="0" collapsed="false">
      <c r="A98" s="12" t="s">
        <v>320</v>
      </c>
      <c r="B98" s="22" t="n">
        <f aca="false">COUNTIFS(選手一覧!$C$7:$C$2738,A98,選手一覧!$E$7:$E$2738,"&lt;=100")</f>
        <v>0</v>
      </c>
      <c r="C98" s="18" t="n">
        <f aca="false">COUNTIFS(選手一覧!$C$7:$C$2738,A98,選手一覧!$E$7:$E$2738,"&gt;0")</f>
        <v>5</v>
      </c>
      <c r="D98" s="14" t="n">
        <f aca="false">IF(C98=0,"",_xlfn.MINIFS(選手一覧!$E$7:$E$2738,選手一覧!$C$7:$C$2738,A98))</f>
        <v>154</v>
      </c>
      <c r="E98" s="20"/>
      <c r="F98" s="18" t="n">
        <f aca="false">COUNTIFS(選手一覧!$C$7:$C$2738,A98,選手一覧!$I$7:$I$2738,"&lt;=100")</f>
        <v>1</v>
      </c>
      <c r="G98" s="18" t="n">
        <f aca="false">COUNTIFS(選手一覧!$C$7:$C$2738,A98,選手一覧!$K$7:$K$2738,"&lt;=100")</f>
        <v>0</v>
      </c>
      <c r="H98" s="17" t="n">
        <f aca="false">COUNTIF(選手一覧!$C$7:$C$2738,A98)</f>
        <v>7</v>
      </c>
    </row>
    <row r="99" customFormat="false" ht="15" hidden="false" customHeight="false" outlineLevel="0" collapsed="false">
      <c r="A99" s="12" t="s">
        <v>323</v>
      </c>
      <c r="B99" s="22" t="n">
        <f aca="false">COUNTIFS(選手一覧!$C$7:$C$2738,A99,選手一覧!$E$7:$E$2738,"&lt;=100")</f>
        <v>0</v>
      </c>
      <c r="C99" s="18" t="n">
        <f aca="false">COUNTIFS(選手一覧!$C$7:$C$2738,A99,選手一覧!$E$7:$E$2738,"&gt;0")</f>
        <v>5</v>
      </c>
      <c r="D99" s="14" t="n">
        <f aca="false">IF(C99=0,"",_xlfn.MINIFS(選手一覧!$E$7:$E$2738,選手一覧!$C$7:$C$2738,A99))</f>
        <v>155</v>
      </c>
      <c r="E99" s="20"/>
      <c r="F99" s="18" t="n">
        <f aca="false">COUNTIFS(選手一覧!$C$7:$C$2738,A99,選手一覧!$I$7:$I$2738,"&lt;=100")</f>
        <v>3</v>
      </c>
      <c r="G99" s="18" t="n">
        <f aca="false">COUNTIFS(選手一覧!$C$7:$C$2738,A99,選手一覧!$K$7:$K$2738,"&lt;=100")</f>
        <v>0</v>
      </c>
      <c r="H99" s="17" t="n">
        <f aca="false">COUNTIF(選手一覧!$C$7:$C$2738,A99)</f>
        <v>6</v>
      </c>
    </row>
    <row r="100" customFormat="false" ht="15" hidden="false" customHeight="false" outlineLevel="0" collapsed="false">
      <c r="A100" s="12" t="s">
        <v>375</v>
      </c>
      <c r="B100" s="22" t="n">
        <f aca="false">COUNTIFS(選手一覧!$C$7:$C$2738,A100,選手一覧!$E$7:$E$2738,"&lt;=100")</f>
        <v>0</v>
      </c>
      <c r="C100" s="18" t="n">
        <f aca="false">COUNTIFS(選手一覧!$C$7:$C$2738,A100,選手一覧!$E$7:$E$2738,"&gt;0")</f>
        <v>5</v>
      </c>
      <c r="D100" s="14" t="n">
        <f aca="false">IF(C100=0,"",_xlfn.MINIFS(選手一覧!$E$7:$E$2738,選手一覧!$C$7:$C$2738,A100))</f>
        <v>185</v>
      </c>
      <c r="E100" s="20"/>
      <c r="F100" s="18" t="n">
        <f aca="false">COUNTIFS(選手一覧!$C$7:$C$2738,A100,選手一覧!$I$7:$I$2738,"&lt;=100")</f>
        <v>0</v>
      </c>
      <c r="G100" s="18" t="n">
        <f aca="false">COUNTIFS(選手一覧!$C$7:$C$2738,A100,選手一覧!$K$7:$K$2738,"&lt;=100")</f>
        <v>0</v>
      </c>
      <c r="H100" s="17" t="n">
        <f aca="false">COUNTIF(選手一覧!$C$7:$C$2738,A100)</f>
        <v>5</v>
      </c>
    </row>
    <row r="101" customFormat="false" ht="15" hidden="false" customHeight="false" outlineLevel="0" collapsed="false">
      <c r="A101" s="12" t="s">
        <v>463</v>
      </c>
      <c r="B101" s="22" t="n">
        <f aca="false">COUNTIFS(選手一覧!$C$7:$C$2738,A101,選手一覧!$E$7:$E$2738,"&lt;=100")</f>
        <v>0</v>
      </c>
      <c r="C101" s="18" t="n">
        <f aca="false">COUNTIFS(選手一覧!$C$7:$C$2738,A101,選手一覧!$E$7:$E$2738,"&gt;0")</f>
        <v>5</v>
      </c>
      <c r="D101" s="14" t="n">
        <f aca="false">IF(C101=0,"",_xlfn.MINIFS(選手一覧!$E$7:$E$2738,選手一覧!$C$7:$C$2738,A101))</f>
        <v>237</v>
      </c>
      <c r="E101" s="20"/>
      <c r="F101" s="18" t="n">
        <f aca="false">COUNTIFS(選手一覧!$C$7:$C$2738,A101,選手一覧!$I$7:$I$2738,"&lt;=100")</f>
        <v>0</v>
      </c>
      <c r="G101" s="18" t="n">
        <f aca="false">COUNTIFS(選手一覧!$C$7:$C$2738,A101,選手一覧!$K$7:$K$2738,"&lt;=100")</f>
        <v>0</v>
      </c>
      <c r="H101" s="17" t="n">
        <f aca="false">COUNTIF(選手一覧!$C$7:$C$2738,A101)</f>
        <v>6</v>
      </c>
    </row>
    <row r="102" customFormat="false" ht="15" hidden="false" customHeight="false" outlineLevel="0" collapsed="false">
      <c r="A102" s="12" t="s">
        <v>623</v>
      </c>
      <c r="B102" s="22" t="n">
        <f aca="false">COUNTIFS(選手一覧!$C$7:$C$2738,A102,選手一覧!$E$7:$E$2738,"&lt;=100")</f>
        <v>0</v>
      </c>
      <c r="C102" s="18" t="n">
        <f aca="false">COUNTIFS(選手一覧!$C$7:$C$2738,A102,選手一覧!$E$7:$E$2738,"&gt;0")</f>
        <v>5</v>
      </c>
      <c r="D102" s="14" t="n">
        <f aca="false">IF(C102=0,"",_xlfn.MINIFS(選手一覧!$E$7:$E$2738,選手一覧!$C$7:$C$2738,A102))</f>
        <v>337</v>
      </c>
      <c r="E102" s="20"/>
      <c r="F102" s="18" t="n">
        <f aca="false">COUNTIFS(選手一覧!$C$7:$C$2738,A102,選手一覧!$I$7:$I$2738,"&lt;=100")</f>
        <v>1</v>
      </c>
      <c r="G102" s="18" t="n">
        <f aca="false">COUNTIFS(選手一覧!$C$7:$C$2738,A102,選手一覧!$K$7:$K$2738,"&lt;=100")</f>
        <v>0</v>
      </c>
      <c r="H102" s="17" t="n">
        <f aca="false">COUNTIF(選手一覧!$C$7:$C$2738,A102)</f>
        <v>6</v>
      </c>
    </row>
    <row r="103" customFormat="false" ht="15" hidden="false" customHeight="false" outlineLevel="0" collapsed="false">
      <c r="A103" s="12" t="s">
        <v>629</v>
      </c>
      <c r="B103" s="22" t="n">
        <f aca="false">COUNTIFS(選手一覧!$C$7:$C$2738,A103,選手一覧!$E$7:$E$2738,"&lt;=100")</f>
        <v>0</v>
      </c>
      <c r="C103" s="18" t="n">
        <f aca="false">COUNTIFS(選手一覧!$C$7:$C$2738,A103,選手一覧!$E$7:$E$2738,"&gt;0")</f>
        <v>5</v>
      </c>
      <c r="D103" s="14" t="n">
        <f aca="false">IF(C103=0,"",_xlfn.MINIFS(選手一覧!$E$7:$E$2738,選手一覧!$C$7:$C$2738,A103))</f>
        <v>340</v>
      </c>
      <c r="E103" s="20"/>
      <c r="F103" s="18" t="n">
        <f aca="false">COUNTIFS(選手一覧!$C$7:$C$2738,A103,選手一覧!$I$7:$I$2738,"&lt;=100")</f>
        <v>1</v>
      </c>
      <c r="G103" s="18" t="n">
        <f aca="false">COUNTIFS(選手一覧!$C$7:$C$2738,A103,選手一覧!$K$7:$K$2738,"&lt;=100")</f>
        <v>0</v>
      </c>
      <c r="H103" s="17" t="n">
        <f aca="false">COUNTIF(選手一覧!$C$7:$C$2738,A103)</f>
        <v>6</v>
      </c>
    </row>
    <row r="104" customFormat="false" ht="15" hidden="false" customHeight="false" outlineLevel="0" collapsed="false">
      <c r="A104" s="12" t="s">
        <v>795</v>
      </c>
      <c r="B104" s="22" t="n">
        <f aca="false">COUNTIFS(選手一覧!$C$7:$C$2738,A104,選手一覧!$E$7:$E$2738,"&lt;=100")</f>
        <v>0</v>
      </c>
      <c r="C104" s="18" t="n">
        <f aca="false">COUNTIFS(選手一覧!$C$7:$C$2738,A104,選手一覧!$E$7:$E$2738,"&gt;0")</f>
        <v>5</v>
      </c>
      <c r="D104" s="14" t="n">
        <f aca="false">IF(C104=0,"",_xlfn.MINIFS(選手一覧!$E$7:$E$2738,選手一覧!$C$7:$C$2738,A104))</f>
        <v>446</v>
      </c>
      <c r="E104" s="20"/>
      <c r="F104" s="18" t="n">
        <f aca="false">COUNTIFS(選手一覧!$C$7:$C$2738,A104,選手一覧!$I$7:$I$2738,"&lt;=100")</f>
        <v>0</v>
      </c>
      <c r="G104" s="18" t="n">
        <f aca="false">COUNTIFS(選手一覧!$C$7:$C$2738,A104,選手一覧!$K$7:$K$2738,"&lt;=100")</f>
        <v>0</v>
      </c>
      <c r="H104" s="17" t="n">
        <f aca="false">COUNTIF(選手一覧!$C$7:$C$2738,A104)</f>
        <v>8</v>
      </c>
    </row>
    <row r="105" customFormat="false" ht="15" hidden="false" customHeight="false" outlineLevel="0" collapsed="false">
      <c r="A105" s="12" t="s">
        <v>250</v>
      </c>
      <c r="B105" s="22" t="n">
        <f aca="false">COUNTIFS(選手一覧!$C$7:$C$2738,A105,選手一覧!$E$7:$E$2738,"&lt;=100")</f>
        <v>0</v>
      </c>
      <c r="C105" s="18" t="n">
        <f aca="false">COUNTIFS(選手一覧!$C$7:$C$2738,A105,選手一覧!$E$7:$E$2738,"&gt;0")</f>
        <v>4</v>
      </c>
      <c r="D105" s="14" t="n">
        <f aca="false">IF(C105=0,"",_xlfn.MINIFS(選手一覧!$E$7:$E$2738,選手一覧!$C$7:$C$2738,A105))</f>
        <v>119</v>
      </c>
      <c r="E105" s="20"/>
      <c r="F105" s="18" t="n">
        <f aca="false">COUNTIFS(選手一覧!$C$7:$C$2738,A105,選手一覧!$I$7:$I$2738,"&lt;=100")</f>
        <v>0</v>
      </c>
      <c r="G105" s="18" t="n">
        <f aca="false">COUNTIFS(選手一覧!$C$7:$C$2738,A105,選手一覧!$K$7:$K$2738,"&lt;=100")</f>
        <v>0</v>
      </c>
      <c r="H105" s="17" t="n">
        <f aca="false">COUNTIF(選手一覧!$C$7:$C$2738,A105)</f>
        <v>4</v>
      </c>
    </row>
    <row r="106" customFormat="false" ht="15" hidden="false" customHeight="false" outlineLevel="0" collapsed="false">
      <c r="A106" s="12" t="s">
        <v>253</v>
      </c>
      <c r="B106" s="22" t="n">
        <f aca="false">COUNTIFS(選手一覧!$C$7:$C$2738,A106,選手一覧!$E$7:$E$2738,"&lt;=100")</f>
        <v>0</v>
      </c>
      <c r="C106" s="18" t="n">
        <f aca="false">COUNTIFS(選手一覧!$C$7:$C$2738,A106,選手一覧!$E$7:$E$2738,"&gt;0")</f>
        <v>4</v>
      </c>
      <c r="D106" s="14" t="n">
        <f aca="false">IF(C106=0,"",_xlfn.MINIFS(選手一覧!$E$7:$E$2738,選手一覧!$C$7:$C$2738,A106))</f>
        <v>120</v>
      </c>
      <c r="E106" s="20"/>
      <c r="F106" s="18" t="n">
        <f aca="false">COUNTIFS(選手一覧!$C$7:$C$2738,A106,選手一覧!$I$7:$I$2738,"&lt;=100")</f>
        <v>0</v>
      </c>
      <c r="G106" s="18" t="n">
        <f aca="false">COUNTIFS(選手一覧!$C$7:$C$2738,A106,選手一覧!$K$7:$K$2738,"&lt;=100")</f>
        <v>0</v>
      </c>
      <c r="H106" s="17" t="n">
        <f aca="false">COUNTIF(選手一覧!$C$7:$C$2738,A106)</f>
        <v>4</v>
      </c>
    </row>
    <row r="107" customFormat="false" ht="15" hidden="false" customHeight="false" outlineLevel="0" collapsed="false">
      <c r="A107" s="12" t="s">
        <v>288</v>
      </c>
      <c r="B107" s="22" t="n">
        <f aca="false">COUNTIFS(選手一覧!$C$7:$C$2738,A107,選手一覧!$E$7:$E$2738,"&lt;=100")</f>
        <v>0</v>
      </c>
      <c r="C107" s="18" t="n">
        <f aca="false">COUNTIFS(選手一覧!$C$7:$C$2738,A107,選手一覧!$E$7:$E$2738,"&gt;0")</f>
        <v>4</v>
      </c>
      <c r="D107" s="14" t="n">
        <f aca="false">IF(C107=0,"",_xlfn.MINIFS(選手一覧!$E$7:$E$2738,選手一覧!$C$7:$C$2738,A107))</f>
        <v>137</v>
      </c>
      <c r="E107" s="20"/>
      <c r="F107" s="18" t="n">
        <f aca="false">COUNTIFS(選手一覧!$C$7:$C$2738,A107,選手一覧!$I$7:$I$2738,"&lt;=100")</f>
        <v>1</v>
      </c>
      <c r="G107" s="18" t="n">
        <f aca="false">COUNTIFS(選手一覧!$C$7:$C$2738,A107,選手一覧!$K$7:$K$2738,"&lt;=100")</f>
        <v>1</v>
      </c>
      <c r="H107" s="17" t="n">
        <f aca="false">COUNTIF(選手一覧!$C$7:$C$2738,A107)</f>
        <v>7</v>
      </c>
    </row>
    <row r="108" customFormat="false" ht="15" hidden="false" customHeight="false" outlineLevel="0" collapsed="false">
      <c r="A108" s="12" t="s">
        <v>311</v>
      </c>
      <c r="B108" s="22" t="n">
        <f aca="false">COUNTIFS(選手一覧!$C$7:$C$2738,A108,選手一覧!$E$7:$E$2738,"&lt;=100")</f>
        <v>0</v>
      </c>
      <c r="C108" s="18" t="n">
        <f aca="false">COUNTIFS(選手一覧!$C$7:$C$2738,A108,選手一覧!$E$7:$E$2738,"&gt;0")</f>
        <v>4</v>
      </c>
      <c r="D108" s="14" t="n">
        <f aca="false">IF(C108=0,"",_xlfn.MINIFS(選手一覧!$E$7:$E$2738,選手一覧!$C$7:$C$2738,A108))</f>
        <v>150</v>
      </c>
      <c r="E108" s="20"/>
      <c r="F108" s="18" t="n">
        <f aca="false">COUNTIFS(選手一覧!$C$7:$C$2738,A108,選手一覧!$I$7:$I$2738,"&lt;=100")</f>
        <v>0</v>
      </c>
      <c r="G108" s="18" t="n">
        <f aca="false">COUNTIFS(選手一覧!$C$7:$C$2738,A108,選手一覧!$K$7:$K$2738,"&lt;=100")</f>
        <v>0</v>
      </c>
      <c r="H108" s="17" t="n">
        <f aca="false">COUNTIF(選手一覧!$C$7:$C$2738,A108)</f>
        <v>7</v>
      </c>
    </row>
    <row r="109" customFormat="false" ht="15" hidden="false" customHeight="false" outlineLevel="0" collapsed="false">
      <c r="A109" s="12" t="s">
        <v>348</v>
      </c>
      <c r="B109" s="22" t="n">
        <f aca="false">COUNTIFS(選手一覧!$C$7:$C$2738,A109,選手一覧!$E$7:$E$2738,"&lt;=100")</f>
        <v>0</v>
      </c>
      <c r="C109" s="18" t="n">
        <f aca="false">COUNTIFS(選手一覧!$C$7:$C$2738,A109,選手一覧!$E$7:$E$2738,"&gt;0")</f>
        <v>4</v>
      </c>
      <c r="D109" s="14" t="n">
        <f aca="false">IF(C109=0,"",_xlfn.MINIFS(選手一覧!$E$7:$E$2738,選手一覧!$C$7:$C$2738,A109))</f>
        <v>169</v>
      </c>
      <c r="E109" s="20"/>
      <c r="F109" s="18" t="n">
        <f aca="false">COUNTIFS(選手一覧!$C$7:$C$2738,A109,選手一覧!$I$7:$I$2738,"&lt;=100")</f>
        <v>2</v>
      </c>
      <c r="G109" s="18" t="n">
        <f aca="false">COUNTIFS(選手一覧!$C$7:$C$2738,A109,選手一覧!$K$7:$K$2738,"&lt;=100")</f>
        <v>1</v>
      </c>
      <c r="H109" s="17" t="n">
        <f aca="false">COUNTIF(選手一覧!$C$7:$C$2738,A109)</f>
        <v>5</v>
      </c>
    </row>
    <row r="110" customFormat="false" ht="15" hidden="false" customHeight="false" outlineLevel="0" collapsed="false">
      <c r="A110" s="12" t="s">
        <v>382</v>
      </c>
      <c r="B110" s="22" t="n">
        <f aca="false">COUNTIFS(選手一覧!$C$7:$C$2738,A110,選手一覧!$E$7:$E$2738,"&lt;=100")</f>
        <v>0</v>
      </c>
      <c r="C110" s="18" t="n">
        <f aca="false">COUNTIFS(選手一覧!$C$7:$C$2738,A110,選手一覧!$E$7:$E$2738,"&gt;0")</f>
        <v>4</v>
      </c>
      <c r="D110" s="14" t="n">
        <f aca="false">IF(C110=0,"",_xlfn.MINIFS(選手一覧!$E$7:$E$2738,選手一覧!$C$7:$C$2738,A110))</f>
        <v>188</v>
      </c>
      <c r="E110" s="20"/>
      <c r="F110" s="18" t="n">
        <f aca="false">COUNTIFS(選手一覧!$C$7:$C$2738,A110,選手一覧!$I$7:$I$2738,"&lt;=100")</f>
        <v>0</v>
      </c>
      <c r="G110" s="18" t="n">
        <f aca="false">COUNTIFS(選手一覧!$C$7:$C$2738,A110,選手一覧!$K$7:$K$2738,"&lt;=100")</f>
        <v>0</v>
      </c>
      <c r="H110" s="17" t="n">
        <f aca="false">COUNTIF(選手一覧!$C$7:$C$2738,A110)</f>
        <v>8</v>
      </c>
    </row>
    <row r="111" customFormat="false" ht="15" hidden="false" customHeight="false" outlineLevel="0" collapsed="false">
      <c r="A111" s="12" t="s">
        <v>401</v>
      </c>
      <c r="B111" s="22" t="n">
        <f aca="false">COUNTIFS(選手一覧!$C$7:$C$2738,A111,選手一覧!$E$7:$E$2738,"&lt;=100")</f>
        <v>0</v>
      </c>
      <c r="C111" s="18" t="n">
        <f aca="false">COUNTIFS(選手一覧!$C$7:$C$2738,A111,選手一覧!$E$7:$E$2738,"&gt;0")</f>
        <v>4</v>
      </c>
      <c r="D111" s="14" t="n">
        <f aca="false">IF(C111=0,"",_xlfn.MINIFS(選手一覧!$E$7:$E$2738,選手一覧!$C$7:$C$2738,A111))</f>
        <v>201</v>
      </c>
      <c r="E111" s="20"/>
      <c r="F111" s="18" t="n">
        <f aca="false">COUNTIFS(選手一覧!$C$7:$C$2738,A111,選手一覧!$I$7:$I$2738,"&lt;=100")</f>
        <v>1</v>
      </c>
      <c r="G111" s="18" t="n">
        <f aca="false">COUNTIFS(選手一覧!$C$7:$C$2738,A111,選手一覧!$K$7:$K$2738,"&lt;=100")</f>
        <v>1</v>
      </c>
      <c r="H111" s="17" t="n">
        <f aca="false">COUNTIF(選手一覧!$C$7:$C$2738,A111)</f>
        <v>4</v>
      </c>
    </row>
    <row r="112" customFormat="false" ht="15" hidden="false" customHeight="false" outlineLevel="0" collapsed="false">
      <c r="A112" s="12" t="s">
        <v>430</v>
      </c>
      <c r="B112" s="22" t="n">
        <f aca="false">COUNTIFS(選手一覧!$C$7:$C$2738,A112,選手一覧!$E$7:$E$2738,"&lt;=100")</f>
        <v>0</v>
      </c>
      <c r="C112" s="18" t="n">
        <f aca="false">COUNTIFS(選手一覧!$C$7:$C$2738,A112,選手一覧!$E$7:$E$2738,"&gt;0")</f>
        <v>4</v>
      </c>
      <c r="D112" s="14" t="n">
        <f aca="false">IF(C112=0,"",_xlfn.MINIFS(選手一覧!$E$7:$E$2738,選手一覧!$C$7:$C$2738,A112))</f>
        <v>221</v>
      </c>
      <c r="E112" s="20"/>
      <c r="F112" s="18" t="n">
        <f aca="false">COUNTIFS(選手一覧!$C$7:$C$2738,A112,選手一覧!$I$7:$I$2738,"&lt;=100")</f>
        <v>1</v>
      </c>
      <c r="G112" s="18" t="n">
        <f aca="false">COUNTIFS(選手一覧!$C$7:$C$2738,A112,選手一覧!$K$7:$K$2738,"&lt;=100")</f>
        <v>0</v>
      </c>
      <c r="H112" s="17" t="n">
        <f aca="false">COUNTIF(選手一覧!$C$7:$C$2738,A112)</f>
        <v>4</v>
      </c>
    </row>
    <row r="113" customFormat="false" ht="15" hidden="false" customHeight="false" outlineLevel="0" collapsed="false">
      <c r="A113" s="12" t="s">
        <v>438</v>
      </c>
      <c r="B113" s="22" t="n">
        <f aca="false">COUNTIFS(選手一覧!$C$7:$C$2738,A113,選手一覧!$E$7:$E$2738,"&lt;=100")</f>
        <v>0</v>
      </c>
      <c r="C113" s="18" t="n">
        <f aca="false">COUNTIFS(選手一覧!$C$7:$C$2738,A113,選手一覧!$E$7:$E$2738,"&gt;0")</f>
        <v>4</v>
      </c>
      <c r="D113" s="14" t="n">
        <f aca="false">IF(C113=0,"",_xlfn.MINIFS(選手一覧!$E$7:$E$2738,選手一覧!$C$7:$C$2738,A113))</f>
        <v>225</v>
      </c>
      <c r="E113" s="20"/>
      <c r="F113" s="18" t="n">
        <f aca="false">COUNTIFS(選手一覧!$C$7:$C$2738,A113,選手一覧!$I$7:$I$2738,"&lt;=100")</f>
        <v>1</v>
      </c>
      <c r="G113" s="18" t="n">
        <f aca="false">COUNTIFS(選手一覧!$C$7:$C$2738,A113,選手一覧!$K$7:$K$2738,"&lt;=100")</f>
        <v>0</v>
      </c>
      <c r="H113" s="17" t="n">
        <f aca="false">COUNTIF(選手一覧!$C$7:$C$2738,A113)</f>
        <v>4</v>
      </c>
    </row>
    <row r="114" customFormat="false" ht="15" hidden="false" customHeight="false" outlineLevel="0" collapsed="false">
      <c r="A114" s="12" t="s">
        <v>440</v>
      </c>
      <c r="B114" s="22" t="n">
        <f aca="false">COUNTIFS(選手一覧!$C$7:$C$2738,A114,選手一覧!$E$7:$E$2738,"&lt;=100")</f>
        <v>0</v>
      </c>
      <c r="C114" s="18" t="n">
        <f aca="false">COUNTIFS(選手一覧!$C$7:$C$2738,A114,選手一覧!$E$7:$E$2738,"&gt;0")</f>
        <v>4</v>
      </c>
      <c r="D114" s="14" t="n">
        <f aca="false">IF(C114=0,"",_xlfn.MINIFS(選手一覧!$E$7:$E$2738,選手一覧!$C$7:$C$2738,A114))</f>
        <v>226</v>
      </c>
      <c r="E114" s="20"/>
      <c r="F114" s="18" t="n">
        <f aca="false">COUNTIFS(選手一覧!$C$7:$C$2738,A114,選手一覧!$I$7:$I$2738,"&lt;=100")</f>
        <v>0</v>
      </c>
      <c r="G114" s="18" t="n">
        <f aca="false">COUNTIFS(選手一覧!$C$7:$C$2738,A114,選手一覧!$K$7:$K$2738,"&lt;=100")</f>
        <v>1</v>
      </c>
      <c r="H114" s="17" t="n">
        <f aca="false">COUNTIF(選手一覧!$C$7:$C$2738,A114)</f>
        <v>7</v>
      </c>
    </row>
    <row r="115" customFormat="false" ht="15" hidden="false" customHeight="false" outlineLevel="0" collapsed="false">
      <c r="A115" s="12" t="s">
        <v>444</v>
      </c>
      <c r="B115" s="22" t="n">
        <f aca="false">COUNTIFS(選手一覧!$C$7:$C$2738,A115,選手一覧!$E$7:$E$2738,"&lt;=100")</f>
        <v>0</v>
      </c>
      <c r="C115" s="18" t="n">
        <f aca="false">COUNTIFS(選手一覧!$C$7:$C$2738,A115,選手一覧!$E$7:$E$2738,"&gt;0")</f>
        <v>4</v>
      </c>
      <c r="D115" s="14" t="n">
        <f aca="false">IF(C115=0,"",_xlfn.MINIFS(選手一覧!$E$7:$E$2738,選手一覧!$C$7:$C$2738,A115))</f>
        <v>228</v>
      </c>
      <c r="E115" s="20"/>
      <c r="F115" s="18" t="n">
        <f aca="false">COUNTIFS(選手一覧!$C$7:$C$2738,A115,選手一覧!$I$7:$I$2738,"&lt;=100")</f>
        <v>0</v>
      </c>
      <c r="G115" s="18" t="n">
        <f aca="false">COUNTIFS(選手一覧!$C$7:$C$2738,A115,選手一覧!$K$7:$K$2738,"&lt;=100")</f>
        <v>0</v>
      </c>
      <c r="H115" s="17" t="n">
        <f aca="false">COUNTIF(選手一覧!$C$7:$C$2738,A115)</f>
        <v>6</v>
      </c>
    </row>
    <row r="116" customFormat="false" ht="15" hidden="false" customHeight="false" outlineLevel="0" collapsed="false">
      <c r="A116" s="12" t="s">
        <v>457</v>
      </c>
      <c r="B116" s="22" t="n">
        <f aca="false">COUNTIFS(選手一覧!$C$7:$C$2738,A116,選手一覧!$E$7:$E$2738,"&lt;=100")</f>
        <v>0</v>
      </c>
      <c r="C116" s="18" t="n">
        <f aca="false">COUNTIFS(選手一覧!$C$7:$C$2738,A116,選手一覧!$E$7:$E$2738,"&gt;0")</f>
        <v>4</v>
      </c>
      <c r="D116" s="14" t="n">
        <f aca="false">IF(C116=0,"",_xlfn.MINIFS(選手一覧!$E$7:$E$2738,選手一覧!$C$7:$C$2738,A116))</f>
        <v>234</v>
      </c>
      <c r="E116" s="20"/>
      <c r="F116" s="18" t="n">
        <f aca="false">COUNTIFS(選手一覧!$C$7:$C$2738,A116,選手一覧!$I$7:$I$2738,"&lt;=100")</f>
        <v>0</v>
      </c>
      <c r="G116" s="18" t="n">
        <f aca="false">COUNTIFS(選手一覧!$C$7:$C$2738,A116,選手一覧!$K$7:$K$2738,"&lt;=100")</f>
        <v>0</v>
      </c>
      <c r="H116" s="17" t="n">
        <f aca="false">COUNTIF(選手一覧!$C$7:$C$2738,A116)</f>
        <v>5</v>
      </c>
    </row>
    <row r="117" customFormat="false" ht="15" hidden="false" customHeight="false" outlineLevel="0" collapsed="false">
      <c r="A117" s="12" t="s">
        <v>491</v>
      </c>
      <c r="B117" s="22" t="n">
        <f aca="false">COUNTIFS(選手一覧!$C$7:$C$2738,A117,選手一覧!$E$7:$E$2738,"&lt;=100")</f>
        <v>0</v>
      </c>
      <c r="C117" s="18" t="n">
        <f aca="false">COUNTIFS(選手一覧!$C$7:$C$2738,A117,選手一覧!$E$7:$E$2738,"&gt;0")</f>
        <v>4</v>
      </c>
      <c r="D117" s="14" t="n">
        <f aca="false">IF(C117=0,"",_xlfn.MINIFS(選手一覧!$E$7:$E$2738,選手一覧!$C$7:$C$2738,A117))</f>
        <v>254</v>
      </c>
      <c r="E117" s="20"/>
      <c r="F117" s="18" t="n">
        <f aca="false">COUNTIFS(選手一覧!$C$7:$C$2738,A117,選手一覧!$I$7:$I$2738,"&lt;=100")</f>
        <v>0</v>
      </c>
      <c r="G117" s="18" t="n">
        <f aca="false">COUNTIFS(選手一覧!$C$7:$C$2738,A117,選手一覧!$K$7:$K$2738,"&lt;=100")</f>
        <v>1</v>
      </c>
      <c r="H117" s="17" t="n">
        <f aca="false">COUNTIF(選手一覧!$C$7:$C$2738,A117)</f>
        <v>7</v>
      </c>
    </row>
    <row r="118" customFormat="false" ht="15" hidden="false" customHeight="false" outlineLevel="0" collapsed="false">
      <c r="A118" s="12" t="s">
        <v>525</v>
      </c>
      <c r="B118" s="22" t="n">
        <f aca="false">COUNTIFS(選手一覧!$C$7:$C$2738,A118,選手一覧!$E$7:$E$2738,"&lt;=100")</f>
        <v>0</v>
      </c>
      <c r="C118" s="18" t="n">
        <f aca="false">COUNTIFS(選手一覧!$C$7:$C$2738,A118,選手一覧!$E$7:$E$2738,"&gt;0")</f>
        <v>4</v>
      </c>
      <c r="D118" s="14" t="n">
        <f aca="false">IF(C118=0,"",_xlfn.MINIFS(選手一覧!$E$7:$E$2738,選手一覧!$C$7:$C$2738,A118))</f>
        <v>278</v>
      </c>
      <c r="E118" s="20"/>
      <c r="F118" s="18" t="n">
        <f aca="false">COUNTIFS(選手一覧!$C$7:$C$2738,A118,選手一覧!$I$7:$I$2738,"&lt;=100")</f>
        <v>0</v>
      </c>
      <c r="G118" s="18" t="n">
        <f aca="false">COUNTIFS(選手一覧!$C$7:$C$2738,A118,選手一覧!$K$7:$K$2738,"&lt;=100")</f>
        <v>0</v>
      </c>
      <c r="H118" s="17" t="n">
        <f aca="false">COUNTIF(選手一覧!$C$7:$C$2738,A118)</f>
        <v>4</v>
      </c>
    </row>
    <row r="119" customFormat="false" ht="15" hidden="false" customHeight="false" outlineLevel="0" collapsed="false">
      <c r="A119" s="12" t="s">
        <v>632</v>
      </c>
      <c r="B119" s="22" t="n">
        <f aca="false">COUNTIFS(選手一覧!$C$7:$C$2738,A119,選手一覧!$E$7:$E$2738,"&lt;=100")</f>
        <v>0</v>
      </c>
      <c r="C119" s="18" t="n">
        <f aca="false">COUNTIFS(選手一覧!$C$7:$C$2738,A119,選手一覧!$E$7:$E$2738,"&gt;0")</f>
        <v>4</v>
      </c>
      <c r="D119" s="14" t="n">
        <f aca="false">IF(C119=0,"",_xlfn.MINIFS(選手一覧!$E$7:$E$2738,選手一覧!$C$7:$C$2738,A119))</f>
        <v>341</v>
      </c>
      <c r="E119" s="20"/>
      <c r="F119" s="18" t="n">
        <f aca="false">COUNTIFS(選手一覧!$C$7:$C$2738,A119,選手一覧!$I$7:$I$2738,"&lt;=100")</f>
        <v>0</v>
      </c>
      <c r="G119" s="18" t="n">
        <f aca="false">COUNTIFS(選手一覧!$C$7:$C$2738,A119,選手一覧!$K$7:$K$2738,"&lt;=100")</f>
        <v>0</v>
      </c>
      <c r="H119" s="17" t="n">
        <f aca="false">COUNTIF(選手一覧!$C$7:$C$2738,A119)</f>
        <v>5</v>
      </c>
    </row>
    <row r="120" customFormat="false" ht="15" hidden="false" customHeight="false" outlineLevel="0" collapsed="false">
      <c r="A120" s="12" t="s">
        <v>757</v>
      </c>
      <c r="B120" s="22" t="n">
        <f aca="false">COUNTIFS(選手一覧!$C$7:$C$2738,A120,選手一覧!$E$7:$E$2738,"&lt;=100")</f>
        <v>0</v>
      </c>
      <c r="C120" s="18" t="n">
        <f aca="false">COUNTIFS(選手一覧!$C$7:$C$2738,A120,選手一覧!$E$7:$E$2738,"&gt;0")</f>
        <v>4</v>
      </c>
      <c r="D120" s="14" t="n">
        <f aca="false">IF(C120=0,"",_xlfn.MINIFS(選手一覧!$E$7:$E$2738,選手一覧!$C$7:$C$2738,A120))</f>
        <v>421</v>
      </c>
      <c r="E120" s="20"/>
      <c r="F120" s="18" t="n">
        <f aca="false">COUNTIFS(選手一覧!$C$7:$C$2738,A120,選手一覧!$I$7:$I$2738,"&lt;=100")</f>
        <v>0</v>
      </c>
      <c r="G120" s="18" t="n">
        <f aca="false">COUNTIFS(選手一覧!$C$7:$C$2738,A120,選手一覧!$K$7:$K$2738,"&lt;=100")</f>
        <v>0</v>
      </c>
      <c r="H120" s="17" t="n">
        <f aca="false">COUNTIF(選手一覧!$C$7:$C$2738,A120)</f>
        <v>4</v>
      </c>
    </row>
    <row r="121" customFormat="false" ht="15" hidden="false" customHeight="false" outlineLevel="0" collapsed="false">
      <c r="A121" s="12" t="s">
        <v>846</v>
      </c>
      <c r="B121" s="22" t="n">
        <f aca="false">COUNTIFS(選手一覧!$C$7:$C$2738,A121,選手一覧!$E$7:$E$2738,"&lt;=100")</f>
        <v>0</v>
      </c>
      <c r="C121" s="18" t="n">
        <f aca="false">COUNTIFS(選手一覧!$C$7:$C$2738,A121,選手一覧!$E$7:$E$2738,"&gt;0")</f>
        <v>4</v>
      </c>
      <c r="D121" s="14" t="n">
        <f aca="false">IF(C121=0,"",_xlfn.MINIFS(選手一覧!$E$7:$E$2738,選手一覧!$C$7:$C$2738,A121))</f>
        <v>481</v>
      </c>
      <c r="E121" s="20"/>
      <c r="F121" s="18" t="n">
        <f aca="false">COUNTIFS(選手一覧!$C$7:$C$2738,A121,選手一覧!$I$7:$I$2738,"&lt;=100")</f>
        <v>0</v>
      </c>
      <c r="G121" s="18" t="n">
        <f aca="false">COUNTIFS(選手一覧!$C$7:$C$2738,A121,選手一覧!$K$7:$K$2738,"&lt;=100")</f>
        <v>0</v>
      </c>
      <c r="H121" s="17" t="n">
        <f aca="false">COUNTIF(選手一覧!$C$7:$C$2738,A121)</f>
        <v>6</v>
      </c>
    </row>
    <row r="122" customFormat="false" ht="15" hidden="false" customHeight="false" outlineLevel="0" collapsed="false">
      <c r="A122" s="12" t="s">
        <v>939</v>
      </c>
      <c r="B122" s="22" t="n">
        <f aca="false">COUNTIFS(選手一覧!$C$7:$C$2738,A122,選手一覧!$E$7:$E$2738,"&lt;=100")</f>
        <v>0</v>
      </c>
      <c r="C122" s="18" t="n">
        <f aca="false">COUNTIFS(選手一覧!$C$7:$C$2738,A122,選手一覧!$E$7:$E$2738,"&gt;0")</f>
        <v>4</v>
      </c>
      <c r="D122" s="14" t="n">
        <f aca="false">IF(C122=0,"",_xlfn.MINIFS(選手一覧!$E$7:$E$2738,選手一覧!$C$7:$C$2738,A122))</f>
        <v>536</v>
      </c>
      <c r="E122" s="20"/>
      <c r="F122" s="18" t="n">
        <f aca="false">COUNTIFS(選手一覧!$C$7:$C$2738,A122,選手一覧!$I$7:$I$2738,"&lt;=100")</f>
        <v>0</v>
      </c>
      <c r="G122" s="18" t="n">
        <f aca="false">COUNTIFS(選手一覧!$C$7:$C$2738,A122,選手一覧!$K$7:$K$2738,"&lt;=100")</f>
        <v>0</v>
      </c>
      <c r="H122" s="17" t="n">
        <f aca="false">COUNTIF(選手一覧!$C$7:$C$2738,A122)</f>
        <v>5</v>
      </c>
    </row>
    <row r="123" customFormat="false" ht="15" hidden="false" customHeight="false" outlineLevel="0" collapsed="false">
      <c r="A123" s="12" t="s">
        <v>1111</v>
      </c>
      <c r="B123" s="22" t="n">
        <f aca="false">COUNTIFS(選手一覧!$C$7:$C$2738,A123,選手一覧!$E$7:$E$2738,"&lt;=100")</f>
        <v>0</v>
      </c>
      <c r="C123" s="18" t="n">
        <f aca="false">COUNTIFS(選手一覧!$C$7:$C$2738,A123,選手一覧!$E$7:$E$2738,"&gt;0")</f>
        <v>4</v>
      </c>
      <c r="D123" s="14" t="n">
        <f aca="false">IF(C123=0,"",_xlfn.MINIFS(選手一覧!$E$7:$E$2738,選手一覧!$C$7:$C$2738,A123))</f>
        <v>658</v>
      </c>
      <c r="E123" s="20"/>
      <c r="F123" s="18" t="n">
        <f aca="false">COUNTIFS(選手一覧!$C$7:$C$2738,A123,選手一覧!$I$7:$I$2738,"&lt;=100")</f>
        <v>0</v>
      </c>
      <c r="G123" s="18" t="n">
        <f aca="false">COUNTIFS(選手一覧!$C$7:$C$2738,A123,選手一覧!$K$7:$K$2738,"&lt;=100")</f>
        <v>0</v>
      </c>
      <c r="H123" s="17" t="n">
        <f aca="false">COUNTIF(選手一覧!$C$7:$C$2738,A123)</f>
        <v>4</v>
      </c>
    </row>
    <row r="124" customFormat="false" ht="15" hidden="false" customHeight="false" outlineLevel="0" collapsed="false">
      <c r="A124" s="12" t="s">
        <v>1127</v>
      </c>
      <c r="B124" s="22" t="n">
        <f aca="false">COUNTIFS(選手一覧!$C$7:$C$2738,A124,選手一覧!$E$7:$E$2738,"&lt;=100")</f>
        <v>0</v>
      </c>
      <c r="C124" s="18" t="n">
        <f aca="false">COUNTIFS(選手一覧!$C$7:$C$2738,A124,選手一覧!$E$7:$E$2738,"&gt;0")</f>
        <v>4</v>
      </c>
      <c r="D124" s="14" t="n">
        <f aca="false">IF(C124=0,"",_xlfn.MINIFS(選手一覧!$E$7:$E$2738,選手一覧!$C$7:$C$2738,A124))</f>
        <v>668</v>
      </c>
      <c r="E124" s="20"/>
      <c r="F124" s="18" t="n">
        <f aca="false">COUNTIFS(選手一覧!$C$7:$C$2738,A124,選手一覧!$I$7:$I$2738,"&lt;=100")</f>
        <v>0</v>
      </c>
      <c r="G124" s="18" t="n">
        <f aca="false">COUNTIFS(選手一覧!$C$7:$C$2738,A124,選手一覧!$K$7:$K$2738,"&lt;=100")</f>
        <v>0</v>
      </c>
      <c r="H124" s="17" t="n">
        <f aca="false">COUNTIF(選手一覧!$C$7:$C$2738,A124)</f>
        <v>7</v>
      </c>
    </row>
    <row r="125" customFormat="false" ht="15" hidden="false" customHeight="false" outlineLevel="0" collapsed="false">
      <c r="A125" s="12" t="s">
        <v>1131</v>
      </c>
      <c r="B125" s="22" t="n">
        <f aca="false">COUNTIFS(選手一覧!$C$7:$C$2738,A125,選手一覧!$E$7:$E$2738,"&lt;=100")</f>
        <v>0</v>
      </c>
      <c r="C125" s="18" t="n">
        <f aca="false">COUNTIFS(選手一覧!$C$7:$C$2738,A125,選手一覧!$E$7:$E$2738,"&gt;0")</f>
        <v>4</v>
      </c>
      <c r="D125" s="14" t="n">
        <f aca="false">IF(C125=0,"",_xlfn.MINIFS(選手一覧!$E$7:$E$2738,選手一覧!$C$7:$C$2738,A125))</f>
        <v>671</v>
      </c>
      <c r="E125" s="20"/>
      <c r="F125" s="18" t="n">
        <f aca="false">COUNTIFS(選手一覧!$C$7:$C$2738,A125,選手一覧!$I$7:$I$2738,"&lt;=100")</f>
        <v>0</v>
      </c>
      <c r="G125" s="18" t="n">
        <f aca="false">COUNTIFS(選手一覧!$C$7:$C$2738,A125,選手一覧!$K$7:$K$2738,"&lt;=100")</f>
        <v>0</v>
      </c>
      <c r="H125" s="17" t="n">
        <f aca="false">COUNTIF(選手一覧!$C$7:$C$2738,A125)</f>
        <v>5</v>
      </c>
    </row>
    <row r="126" customFormat="false" ht="15" hidden="false" customHeight="false" outlineLevel="0" collapsed="false">
      <c r="A126" s="12" t="s">
        <v>1141</v>
      </c>
      <c r="B126" s="22" t="n">
        <f aca="false">COUNTIFS(選手一覧!$C$7:$C$2738,A126,選手一覧!$E$7:$E$2738,"&lt;=100")</f>
        <v>0</v>
      </c>
      <c r="C126" s="18" t="n">
        <f aca="false">COUNTIFS(選手一覧!$C$7:$C$2738,A126,選手一覧!$E$7:$E$2738,"&gt;0")</f>
        <v>4</v>
      </c>
      <c r="D126" s="14" t="n">
        <f aca="false">IF(C126=0,"",_xlfn.MINIFS(選手一覧!$E$7:$E$2738,選手一覧!$C$7:$C$2738,A126))</f>
        <v>676</v>
      </c>
      <c r="E126" s="20"/>
      <c r="F126" s="18" t="n">
        <f aca="false">COUNTIFS(選手一覧!$C$7:$C$2738,A126,選手一覧!$I$7:$I$2738,"&lt;=100")</f>
        <v>0</v>
      </c>
      <c r="G126" s="18" t="n">
        <f aca="false">COUNTIFS(選手一覧!$C$7:$C$2738,A126,選手一覧!$K$7:$K$2738,"&lt;=100")</f>
        <v>0</v>
      </c>
      <c r="H126" s="17" t="n">
        <f aca="false">COUNTIF(選手一覧!$C$7:$C$2738,A126)</f>
        <v>5</v>
      </c>
    </row>
    <row r="127" customFormat="false" ht="15" hidden="false" customHeight="false" outlineLevel="0" collapsed="false">
      <c r="A127" s="12" t="s">
        <v>1154</v>
      </c>
      <c r="B127" s="22" t="n">
        <f aca="false">COUNTIFS(選手一覧!$C$7:$C$2738,A127,選手一覧!$E$7:$E$2738,"&lt;=100")</f>
        <v>0</v>
      </c>
      <c r="C127" s="18" t="n">
        <f aca="false">COUNTIFS(選手一覧!$C$7:$C$2738,A127,選手一覧!$E$7:$E$2738,"&gt;0")</f>
        <v>4</v>
      </c>
      <c r="D127" s="14" t="n">
        <f aca="false">IF(C127=0,"",_xlfn.MINIFS(選手一覧!$E$7:$E$2738,選手一覧!$C$7:$C$2738,A127))</f>
        <v>684</v>
      </c>
      <c r="E127" s="20"/>
      <c r="F127" s="18" t="n">
        <f aca="false">COUNTIFS(選手一覧!$C$7:$C$2738,A127,選手一覧!$I$7:$I$2738,"&lt;=100")</f>
        <v>0</v>
      </c>
      <c r="G127" s="18" t="n">
        <f aca="false">COUNTIFS(選手一覧!$C$7:$C$2738,A127,選手一覧!$K$7:$K$2738,"&lt;=100")</f>
        <v>0</v>
      </c>
      <c r="H127" s="17" t="n">
        <f aca="false">COUNTIF(選手一覧!$C$7:$C$2738,A127)</f>
        <v>6</v>
      </c>
    </row>
    <row r="128" customFormat="false" ht="15" hidden="false" customHeight="false" outlineLevel="0" collapsed="false">
      <c r="A128" s="12" t="s">
        <v>1231</v>
      </c>
      <c r="B128" s="22" t="n">
        <f aca="false">COUNTIFS(選手一覧!$C$7:$C$2738,A128,選手一覧!$E$7:$E$2738,"&lt;=100")</f>
        <v>0</v>
      </c>
      <c r="C128" s="18" t="n">
        <f aca="false">COUNTIFS(選手一覧!$C$7:$C$2738,A128,選手一覧!$E$7:$E$2738,"&gt;0")</f>
        <v>4</v>
      </c>
      <c r="D128" s="14" t="n">
        <f aca="false">IF(C128=0,"",_xlfn.MINIFS(選手一覧!$E$7:$E$2738,選手一覧!$C$7:$C$2738,A128))</f>
        <v>733</v>
      </c>
      <c r="E128" s="20"/>
      <c r="F128" s="18" t="n">
        <f aca="false">COUNTIFS(選手一覧!$C$7:$C$2738,A128,選手一覧!$I$7:$I$2738,"&lt;=100")</f>
        <v>1</v>
      </c>
      <c r="G128" s="18" t="n">
        <f aca="false">COUNTIFS(選手一覧!$C$7:$C$2738,A128,選手一覧!$K$7:$K$2738,"&lt;=100")</f>
        <v>0</v>
      </c>
      <c r="H128" s="17" t="n">
        <f aca="false">COUNTIF(選手一覧!$C$7:$C$2738,A128)</f>
        <v>6</v>
      </c>
    </row>
    <row r="129" customFormat="false" ht="15" hidden="false" customHeight="false" outlineLevel="0" collapsed="false">
      <c r="A129" s="12" t="s">
        <v>1315</v>
      </c>
      <c r="B129" s="22" t="n">
        <f aca="false">COUNTIFS(選手一覧!$C$7:$C$2738,A129,選手一覧!$E$7:$E$2738,"&lt;=100")</f>
        <v>0</v>
      </c>
      <c r="C129" s="18" t="n">
        <f aca="false">COUNTIFS(選手一覧!$C$7:$C$2738,A129,選手一覧!$E$7:$E$2738,"&gt;0")</f>
        <v>4</v>
      </c>
      <c r="D129" s="14" t="n">
        <f aca="false">IF(C129=0,"",_xlfn.MINIFS(選手一覧!$E$7:$E$2738,選手一覧!$C$7:$C$2738,A129))</f>
        <v>793</v>
      </c>
      <c r="E129" s="20"/>
      <c r="F129" s="18" t="n">
        <f aca="false">COUNTIFS(選手一覧!$C$7:$C$2738,A129,選手一覧!$I$7:$I$2738,"&lt;=100")</f>
        <v>0</v>
      </c>
      <c r="G129" s="18" t="n">
        <f aca="false">COUNTIFS(選手一覧!$C$7:$C$2738,A129,選手一覧!$K$7:$K$2738,"&lt;=100")</f>
        <v>1</v>
      </c>
      <c r="H129" s="17" t="n">
        <f aca="false">COUNTIF(選手一覧!$C$7:$C$2738,A129)</f>
        <v>11</v>
      </c>
    </row>
    <row r="130" customFormat="false" ht="15" hidden="false" customHeight="false" outlineLevel="0" collapsed="false">
      <c r="A130" s="12" t="s">
        <v>1409</v>
      </c>
      <c r="B130" s="22" t="n">
        <f aca="false">COUNTIFS(選手一覧!$C$7:$C$2738,A130,選手一覧!$E$7:$E$2738,"&lt;=100")</f>
        <v>0</v>
      </c>
      <c r="C130" s="18" t="n">
        <f aca="false">COUNTIFS(選手一覧!$C$7:$C$2738,A130,選手一覧!$E$7:$E$2738,"&gt;0")</f>
        <v>4</v>
      </c>
      <c r="D130" s="14" t="n">
        <f aca="false">IF(C130=0,"",_xlfn.MINIFS(選手一覧!$E$7:$E$2738,選手一覧!$C$7:$C$2738,A130))</f>
        <v>854</v>
      </c>
      <c r="E130" s="20"/>
      <c r="F130" s="18" t="n">
        <f aca="false">COUNTIFS(選手一覧!$C$7:$C$2738,A130,選手一覧!$I$7:$I$2738,"&lt;=100")</f>
        <v>0</v>
      </c>
      <c r="G130" s="18" t="n">
        <f aca="false">COUNTIFS(選手一覧!$C$7:$C$2738,A130,選手一覧!$K$7:$K$2738,"&lt;=100")</f>
        <v>0</v>
      </c>
      <c r="H130" s="17" t="n">
        <f aca="false">COUNTIF(選手一覧!$C$7:$C$2738,A130)</f>
        <v>5</v>
      </c>
    </row>
    <row r="131" customFormat="false" ht="15" hidden="false" customHeight="false" outlineLevel="0" collapsed="false">
      <c r="A131" s="12" t="s">
        <v>259</v>
      </c>
      <c r="B131" s="22" t="n">
        <f aca="false">COUNTIFS(選手一覧!$C$7:$C$2738,A131,選手一覧!$E$7:$E$2738,"&lt;=100")</f>
        <v>0</v>
      </c>
      <c r="C131" s="18" t="n">
        <f aca="false">COUNTIFS(選手一覧!$C$7:$C$2738,A131,選手一覧!$E$7:$E$2738,"&gt;0")</f>
        <v>3</v>
      </c>
      <c r="D131" s="14" t="n">
        <f aca="false">IF(C131=0,"",_xlfn.MINIFS(選手一覧!$E$7:$E$2738,選手一覧!$C$7:$C$2738,A131))</f>
        <v>123</v>
      </c>
      <c r="E131" s="20"/>
      <c r="F131" s="18" t="n">
        <f aca="false">COUNTIFS(選手一覧!$C$7:$C$2738,A131,選手一覧!$I$7:$I$2738,"&lt;=100")</f>
        <v>0</v>
      </c>
      <c r="G131" s="18" t="n">
        <f aca="false">COUNTIFS(選手一覧!$C$7:$C$2738,A131,選手一覧!$K$7:$K$2738,"&lt;=100")</f>
        <v>1</v>
      </c>
      <c r="H131" s="17" t="n">
        <f aca="false">COUNTIF(選手一覧!$C$7:$C$2738,A131)</f>
        <v>4</v>
      </c>
    </row>
    <row r="132" customFormat="false" ht="15" hidden="false" customHeight="false" outlineLevel="0" collapsed="false">
      <c r="A132" s="12" t="s">
        <v>262</v>
      </c>
      <c r="B132" s="22" t="n">
        <f aca="false">COUNTIFS(選手一覧!$C$7:$C$2738,A132,選手一覧!$E$7:$E$2738,"&lt;=100")</f>
        <v>0</v>
      </c>
      <c r="C132" s="18" t="n">
        <f aca="false">COUNTIFS(選手一覧!$C$7:$C$2738,A132,選手一覧!$E$7:$E$2738,"&gt;0")</f>
        <v>3</v>
      </c>
      <c r="D132" s="14" t="n">
        <f aca="false">IF(C132=0,"",_xlfn.MINIFS(選手一覧!$E$7:$E$2738,選手一覧!$C$7:$C$2738,A132))</f>
        <v>124</v>
      </c>
      <c r="E132" s="20"/>
      <c r="F132" s="18" t="n">
        <f aca="false">COUNTIFS(選手一覧!$C$7:$C$2738,A132,選手一覧!$I$7:$I$2738,"&lt;=100")</f>
        <v>0</v>
      </c>
      <c r="G132" s="18" t="n">
        <f aca="false">COUNTIFS(選手一覧!$C$7:$C$2738,A132,選手一覧!$K$7:$K$2738,"&lt;=100")</f>
        <v>0</v>
      </c>
      <c r="H132" s="17" t="n">
        <f aca="false">COUNTIF(選手一覧!$C$7:$C$2738,A132)</f>
        <v>4</v>
      </c>
    </row>
    <row r="133" customFormat="false" ht="15" hidden="false" customHeight="false" outlineLevel="0" collapsed="false">
      <c r="A133" s="12" t="s">
        <v>269</v>
      </c>
      <c r="B133" s="22" t="n">
        <f aca="false">COUNTIFS(選手一覧!$C$7:$C$2738,A133,選手一覧!$E$7:$E$2738,"&lt;=100")</f>
        <v>0</v>
      </c>
      <c r="C133" s="18" t="n">
        <f aca="false">COUNTIFS(選手一覧!$C$7:$C$2738,A133,選手一覧!$E$7:$E$2738,"&gt;0")</f>
        <v>3</v>
      </c>
      <c r="D133" s="14" t="n">
        <f aca="false">IF(C133=0,"",_xlfn.MINIFS(選手一覧!$E$7:$E$2738,選手一覧!$C$7:$C$2738,A133))</f>
        <v>127</v>
      </c>
      <c r="E133" s="20"/>
      <c r="F133" s="18" t="n">
        <f aca="false">COUNTIFS(選手一覧!$C$7:$C$2738,A133,選手一覧!$I$7:$I$2738,"&lt;=100")</f>
        <v>0</v>
      </c>
      <c r="G133" s="18" t="n">
        <f aca="false">COUNTIFS(選手一覧!$C$7:$C$2738,A133,選手一覧!$K$7:$K$2738,"&lt;=100")</f>
        <v>1</v>
      </c>
      <c r="H133" s="17" t="n">
        <f aca="false">COUNTIF(選手一覧!$C$7:$C$2738,A133)</f>
        <v>4</v>
      </c>
    </row>
    <row r="134" customFormat="false" ht="15" hidden="false" customHeight="false" outlineLevel="0" collapsed="false">
      <c r="A134" s="12" t="s">
        <v>285</v>
      </c>
      <c r="B134" s="22" t="n">
        <f aca="false">COUNTIFS(選手一覧!$C$7:$C$2738,A134,選手一覧!$E$7:$E$2738,"&lt;=100")</f>
        <v>0</v>
      </c>
      <c r="C134" s="18" t="n">
        <f aca="false">COUNTIFS(選手一覧!$C$7:$C$2738,A134,選手一覧!$E$7:$E$2738,"&gt;0")</f>
        <v>3</v>
      </c>
      <c r="D134" s="14" t="n">
        <f aca="false">IF(C134=0,"",_xlfn.MINIFS(選手一覧!$E$7:$E$2738,選手一覧!$C$7:$C$2738,A134))</f>
        <v>136</v>
      </c>
      <c r="E134" s="20"/>
      <c r="F134" s="18" t="n">
        <f aca="false">COUNTIFS(選手一覧!$C$7:$C$2738,A134,選手一覧!$I$7:$I$2738,"&lt;=100")</f>
        <v>0</v>
      </c>
      <c r="G134" s="18" t="n">
        <f aca="false">COUNTIFS(選手一覧!$C$7:$C$2738,A134,選手一覧!$K$7:$K$2738,"&lt;=100")</f>
        <v>0</v>
      </c>
      <c r="H134" s="17" t="n">
        <f aca="false">COUNTIF(選手一覧!$C$7:$C$2738,A134)</f>
        <v>6</v>
      </c>
    </row>
    <row r="135" customFormat="false" ht="15" hidden="false" customHeight="false" outlineLevel="0" collapsed="false">
      <c r="A135" s="12" t="s">
        <v>301</v>
      </c>
      <c r="B135" s="22" t="n">
        <f aca="false">COUNTIFS(選手一覧!$C$7:$C$2738,A135,選手一覧!$E$7:$E$2738,"&lt;=100")</f>
        <v>0</v>
      </c>
      <c r="C135" s="18" t="n">
        <f aca="false">COUNTIFS(選手一覧!$C$7:$C$2738,A135,選手一覧!$E$7:$E$2738,"&gt;0")</f>
        <v>3</v>
      </c>
      <c r="D135" s="14" t="n">
        <f aca="false">IF(C135=0,"",_xlfn.MINIFS(選手一覧!$E$7:$E$2738,選手一覧!$C$7:$C$2738,A135))</f>
        <v>144</v>
      </c>
      <c r="E135" s="20"/>
      <c r="F135" s="18" t="n">
        <f aca="false">COUNTIFS(選手一覧!$C$7:$C$2738,A135,選手一覧!$I$7:$I$2738,"&lt;=100")</f>
        <v>0</v>
      </c>
      <c r="G135" s="18" t="n">
        <f aca="false">COUNTIFS(選手一覧!$C$7:$C$2738,A135,選手一覧!$K$7:$K$2738,"&lt;=100")</f>
        <v>1</v>
      </c>
      <c r="H135" s="17" t="n">
        <f aca="false">COUNTIF(選手一覧!$C$7:$C$2738,A135)</f>
        <v>8</v>
      </c>
    </row>
    <row r="136" customFormat="false" ht="15" hidden="false" customHeight="false" outlineLevel="0" collapsed="false">
      <c r="A136" s="12" t="s">
        <v>333</v>
      </c>
      <c r="B136" s="22" t="n">
        <f aca="false">COUNTIFS(選手一覧!$C$7:$C$2738,A136,選手一覧!$E$7:$E$2738,"&lt;=100")</f>
        <v>0</v>
      </c>
      <c r="C136" s="18" t="n">
        <f aca="false">COUNTIFS(選手一覧!$C$7:$C$2738,A136,選手一覧!$E$7:$E$2738,"&gt;0")</f>
        <v>3</v>
      </c>
      <c r="D136" s="14" t="n">
        <f aca="false">IF(C136=0,"",_xlfn.MINIFS(選手一覧!$E$7:$E$2738,選手一覧!$C$7:$C$2738,A136))</f>
        <v>161</v>
      </c>
      <c r="E136" s="20"/>
      <c r="F136" s="18" t="n">
        <f aca="false">COUNTIFS(選手一覧!$C$7:$C$2738,A136,選手一覧!$I$7:$I$2738,"&lt;=100")</f>
        <v>0</v>
      </c>
      <c r="G136" s="18" t="n">
        <f aca="false">COUNTIFS(選手一覧!$C$7:$C$2738,A136,選手一覧!$K$7:$K$2738,"&lt;=100")</f>
        <v>0</v>
      </c>
      <c r="H136" s="17" t="n">
        <f aca="false">COUNTIF(選手一覧!$C$7:$C$2738,A136)</f>
        <v>3</v>
      </c>
    </row>
    <row r="137" customFormat="false" ht="15" hidden="false" customHeight="false" outlineLevel="0" collapsed="false">
      <c r="A137" s="12" t="s">
        <v>370</v>
      </c>
      <c r="B137" s="22" t="n">
        <f aca="false">COUNTIFS(選手一覧!$C$7:$C$2738,A137,選手一覧!$E$7:$E$2738,"&lt;=100")</f>
        <v>0</v>
      </c>
      <c r="C137" s="18" t="n">
        <f aca="false">COUNTIFS(選手一覧!$C$7:$C$2738,A137,選手一覧!$E$7:$E$2738,"&gt;0")</f>
        <v>3</v>
      </c>
      <c r="D137" s="14" t="n">
        <f aca="false">IF(C137=0,"",_xlfn.MINIFS(選手一覧!$E$7:$E$2738,選手一覧!$C$7:$C$2738,A137))</f>
        <v>182</v>
      </c>
      <c r="E137" s="20"/>
      <c r="F137" s="18" t="n">
        <f aca="false">COUNTIFS(選手一覧!$C$7:$C$2738,A137,選手一覧!$I$7:$I$2738,"&lt;=100")</f>
        <v>0</v>
      </c>
      <c r="G137" s="18" t="n">
        <f aca="false">COUNTIFS(選手一覧!$C$7:$C$2738,A137,選手一覧!$K$7:$K$2738,"&lt;=100")</f>
        <v>1</v>
      </c>
      <c r="H137" s="17" t="n">
        <f aca="false">COUNTIF(選手一覧!$C$7:$C$2738,A137)</f>
        <v>9</v>
      </c>
    </row>
    <row r="138" customFormat="false" ht="15" hidden="false" customHeight="false" outlineLevel="0" collapsed="false">
      <c r="A138" s="12" t="s">
        <v>389</v>
      </c>
      <c r="B138" s="22" t="n">
        <f aca="false">COUNTIFS(選手一覧!$C$7:$C$2738,A138,選手一覧!$E$7:$E$2738,"&lt;=100")</f>
        <v>0</v>
      </c>
      <c r="C138" s="18" t="n">
        <f aca="false">COUNTIFS(選手一覧!$C$7:$C$2738,A138,選手一覧!$E$7:$E$2738,"&gt;0")</f>
        <v>3</v>
      </c>
      <c r="D138" s="14" t="n">
        <f aca="false">IF(C138=0,"",_xlfn.MINIFS(選手一覧!$E$7:$E$2738,選手一覧!$C$7:$C$2738,A138))</f>
        <v>194</v>
      </c>
      <c r="E138" s="20"/>
      <c r="F138" s="18" t="n">
        <f aca="false">COUNTIFS(選手一覧!$C$7:$C$2738,A138,選手一覧!$I$7:$I$2738,"&lt;=100")</f>
        <v>0</v>
      </c>
      <c r="G138" s="18" t="n">
        <f aca="false">COUNTIFS(選手一覧!$C$7:$C$2738,A138,選手一覧!$K$7:$K$2738,"&lt;=100")</f>
        <v>0</v>
      </c>
      <c r="H138" s="17" t="n">
        <f aca="false">COUNTIF(選手一覧!$C$7:$C$2738,A138)</f>
        <v>5</v>
      </c>
    </row>
    <row r="139" customFormat="false" ht="15" hidden="false" customHeight="false" outlineLevel="0" collapsed="false">
      <c r="A139" s="12" t="s">
        <v>434</v>
      </c>
      <c r="B139" s="22" t="n">
        <f aca="false">COUNTIFS(選手一覧!$C$7:$C$2738,A139,選手一覧!$E$7:$E$2738,"&lt;=100")</f>
        <v>0</v>
      </c>
      <c r="C139" s="18" t="n">
        <f aca="false">COUNTIFS(選手一覧!$C$7:$C$2738,A139,選手一覧!$E$7:$E$2738,"&gt;0")</f>
        <v>3</v>
      </c>
      <c r="D139" s="14" t="n">
        <f aca="false">IF(C139=0,"",_xlfn.MINIFS(選手一覧!$E$7:$E$2738,選手一覧!$C$7:$C$2738,A139))</f>
        <v>223</v>
      </c>
      <c r="E139" s="20"/>
      <c r="F139" s="18" t="n">
        <f aca="false">COUNTIFS(選手一覧!$C$7:$C$2738,A139,選手一覧!$I$7:$I$2738,"&lt;=100")</f>
        <v>0</v>
      </c>
      <c r="G139" s="18" t="n">
        <f aca="false">COUNTIFS(選手一覧!$C$7:$C$2738,A139,選手一覧!$K$7:$K$2738,"&lt;=100")</f>
        <v>0</v>
      </c>
      <c r="H139" s="17" t="n">
        <f aca="false">COUNTIF(選手一覧!$C$7:$C$2738,A139)</f>
        <v>5</v>
      </c>
    </row>
    <row r="140" customFormat="false" ht="15" hidden="false" customHeight="false" outlineLevel="0" collapsed="false">
      <c r="A140" s="12" t="s">
        <v>447</v>
      </c>
      <c r="B140" s="22" t="n">
        <f aca="false">COUNTIFS(選手一覧!$C$7:$C$2738,A140,選手一覧!$E$7:$E$2738,"&lt;=100")</f>
        <v>0</v>
      </c>
      <c r="C140" s="18" t="n">
        <f aca="false">COUNTIFS(選手一覧!$C$7:$C$2738,A140,選手一覧!$E$7:$E$2738,"&gt;0")</f>
        <v>3</v>
      </c>
      <c r="D140" s="14" t="n">
        <f aca="false">IF(C140=0,"",_xlfn.MINIFS(選手一覧!$E$7:$E$2738,選手一覧!$C$7:$C$2738,A140))</f>
        <v>229</v>
      </c>
      <c r="E140" s="20"/>
      <c r="F140" s="18" t="n">
        <f aca="false">COUNTIFS(選手一覧!$C$7:$C$2738,A140,選手一覧!$I$7:$I$2738,"&lt;=100")</f>
        <v>1</v>
      </c>
      <c r="G140" s="18" t="n">
        <f aca="false">COUNTIFS(選手一覧!$C$7:$C$2738,A140,選手一覧!$K$7:$K$2738,"&lt;=100")</f>
        <v>0</v>
      </c>
      <c r="H140" s="17" t="n">
        <f aca="false">COUNTIF(選手一覧!$C$7:$C$2738,A140)</f>
        <v>3</v>
      </c>
    </row>
    <row r="141" customFormat="false" ht="15" hidden="false" customHeight="false" outlineLevel="0" collapsed="false">
      <c r="A141" s="12" t="s">
        <v>507</v>
      </c>
      <c r="B141" s="22" t="n">
        <f aca="false">COUNTIFS(選手一覧!$C$7:$C$2738,A141,選手一覧!$E$7:$E$2738,"&lt;=100")</f>
        <v>0</v>
      </c>
      <c r="C141" s="18" t="n">
        <f aca="false">COUNTIFS(選手一覧!$C$7:$C$2738,A141,選手一覧!$E$7:$E$2738,"&gt;0")</f>
        <v>3</v>
      </c>
      <c r="D141" s="14" t="n">
        <f aca="false">IF(C141=0,"",_xlfn.MINIFS(選手一覧!$E$7:$E$2738,選手一覧!$C$7:$C$2738,A141))</f>
        <v>266</v>
      </c>
      <c r="E141" s="20"/>
      <c r="F141" s="18" t="n">
        <f aca="false">COUNTIFS(選手一覧!$C$7:$C$2738,A141,選手一覧!$I$7:$I$2738,"&lt;=100")</f>
        <v>0</v>
      </c>
      <c r="G141" s="18" t="n">
        <f aca="false">COUNTIFS(選手一覧!$C$7:$C$2738,A141,選手一覧!$K$7:$K$2738,"&lt;=100")</f>
        <v>0</v>
      </c>
      <c r="H141" s="17" t="n">
        <f aca="false">COUNTIF(選手一覧!$C$7:$C$2738,A141)</f>
        <v>4</v>
      </c>
    </row>
    <row r="142" customFormat="false" ht="15" hidden="false" customHeight="false" outlineLevel="0" collapsed="false">
      <c r="A142" s="12" t="s">
        <v>530</v>
      </c>
      <c r="B142" s="22" t="n">
        <f aca="false">COUNTIFS(選手一覧!$C$7:$C$2738,A142,選手一覧!$E$7:$E$2738,"&lt;=100")</f>
        <v>0</v>
      </c>
      <c r="C142" s="18" t="n">
        <f aca="false">COUNTIFS(選手一覧!$C$7:$C$2738,A142,選手一覧!$E$7:$E$2738,"&gt;0")</f>
        <v>3</v>
      </c>
      <c r="D142" s="14" t="n">
        <f aca="false">IF(C142=0,"",_xlfn.MINIFS(選手一覧!$E$7:$E$2738,選手一覧!$C$7:$C$2738,A142))</f>
        <v>280</v>
      </c>
      <c r="E142" s="20"/>
      <c r="F142" s="18" t="n">
        <f aca="false">COUNTIFS(選手一覧!$C$7:$C$2738,A142,選手一覧!$I$7:$I$2738,"&lt;=100")</f>
        <v>0</v>
      </c>
      <c r="G142" s="18" t="n">
        <f aca="false">COUNTIFS(選手一覧!$C$7:$C$2738,A142,選手一覧!$K$7:$K$2738,"&lt;=100")</f>
        <v>0</v>
      </c>
      <c r="H142" s="17" t="n">
        <f aca="false">COUNTIF(選手一覧!$C$7:$C$2738,A142)</f>
        <v>3</v>
      </c>
    </row>
    <row r="143" customFormat="false" ht="15" hidden="false" customHeight="false" outlineLevel="0" collapsed="false">
      <c r="A143" s="12" t="s">
        <v>559</v>
      </c>
      <c r="B143" s="22" t="n">
        <f aca="false">COUNTIFS(選手一覧!$C$7:$C$2738,A143,選手一覧!$E$7:$E$2738,"&lt;=100")</f>
        <v>0</v>
      </c>
      <c r="C143" s="18" t="n">
        <f aca="false">COUNTIFS(選手一覧!$C$7:$C$2738,A143,選手一覧!$E$7:$E$2738,"&gt;0")</f>
        <v>3</v>
      </c>
      <c r="D143" s="14" t="n">
        <f aca="false">IF(C143=0,"",_xlfn.MINIFS(選手一覧!$E$7:$E$2738,選手一覧!$C$7:$C$2738,A143))</f>
        <v>299</v>
      </c>
      <c r="E143" s="20"/>
      <c r="F143" s="18" t="n">
        <f aca="false">COUNTIFS(選手一覧!$C$7:$C$2738,A143,選手一覧!$I$7:$I$2738,"&lt;=100")</f>
        <v>0</v>
      </c>
      <c r="G143" s="18" t="n">
        <f aca="false">COUNTIFS(選手一覧!$C$7:$C$2738,A143,選手一覧!$K$7:$K$2738,"&lt;=100")</f>
        <v>0</v>
      </c>
      <c r="H143" s="17" t="n">
        <f aca="false">COUNTIF(選手一覧!$C$7:$C$2738,A143)</f>
        <v>3</v>
      </c>
    </row>
    <row r="144" customFormat="false" ht="15" hidden="false" customHeight="false" outlineLevel="0" collapsed="false">
      <c r="A144" s="12" t="s">
        <v>695</v>
      </c>
      <c r="B144" s="22" t="n">
        <f aca="false">COUNTIFS(選手一覧!$C$7:$C$2738,A144,選手一覧!$E$7:$E$2738,"&lt;=100")</f>
        <v>0</v>
      </c>
      <c r="C144" s="18" t="n">
        <f aca="false">COUNTIFS(選手一覧!$C$7:$C$2738,A144,選手一覧!$E$7:$E$2738,"&gt;0")</f>
        <v>3</v>
      </c>
      <c r="D144" s="14" t="n">
        <f aca="false">IF(C144=0,"",_xlfn.MINIFS(選手一覧!$E$7:$E$2738,選手一覧!$C$7:$C$2738,A144))</f>
        <v>383</v>
      </c>
      <c r="E144" s="20"/>
      <c r="F144" s="18" t="n">
        <f aca="false">COUNTIFS(選手一覧!$C$7:$C$2738,A144,選手一覧!$I$7:$I$2738,"&lt;=100")</f>
        <v>0</v>
      </c>
      <c r="G144" s="18" t="n">
        <f aca="false">COUNTIFS(選手一覧!$C$7:$C$2738,A144,選手一覧!$K$7:$K$2738,"&lt;=100")</f>
        <v>2</v>
      </c>
      <c r="H144" s="17" t="n">
        <f aca="false">COUNTIF(選手一覧!$C$7:$C$2738,A144)</f>
        <v>5</v>
      </c>
    </row>
    <row r="145" customFormat="false" ht="15" hidden="false" customHeight="false" outlineLevel="0" collapsed="false">
      <c r="A145" s="12" t="s">
        <v>698</v>
      </c>
      <c r="B145" s="22" t="n">
        <f aca="false">COUNTIFS(選手一覧!$C$7:$C$2738,A145,選手一覧!$E$7:$E$2738,"&lt;=100")</f>
        <v>0</v>
      </c>
      <c r="C145" s="18" t="n">
        <f aca="false">COUNTIFS(選手一覧!$C$7:$C$2738,A145,選手一覧!$E$7:$E$2738,"&gt;0")</f>
        <v>3</v>
      </c>
      <c r="D145" s="14" t="n">
        <f aca="false">IF(C145=0,"",_xlfn.MINIFS(選手一覧!$E$7:$E$2738,選手一覧!$C$7:$C$2738,A145))</f>
        <v>385</v>
      </c>
      <c r="E145" s="20"/>
      <c r="F145" s="18" t="n">
        <f aca="false">COUNTIFS(選手一覧!$C$7:$C$2738,A145,選手一覧!$I$7:$I$2738,"&lt;=100")</f>
        <v>1</v>
      </c>
      <c r="G145" s="18" t="n">
        <f aca="false">COUNTIFS(選手一覧!$C$7:$C$2738,A145,選手一覧!$K$7:$K$2738,"&lt;=100")</f>
        <v>1</v>
      </c>
      <c r="H145" s="17" t="n">
        <f aca="false">COUNTIF(選手一覧!$C$7:$C$2738,A145)</f>
        <v>3</v>
      </c>
    </row>
    <row r="146" customFormat="false" ht="15" hidden="false" customHeight="false" outlineLevel="0" collapsed="false">
      <c r="A146" s="12" t="s">
        <v>707</v>
      </c>
      <c r="B146" s="22" t="n">
        <f aca="false">COUNTIFS(選手一覧!$C$7:$C$2738,A146,選手一覧!$E$7:$E$2738,"&lt;=100")</f>
        <v>0</v>
      </c>
      <c r="C146" s="18" t="n">
        <f aca="false">COUNTIFS(選手一覧!$C$7:$C$2738,A146,選手一覧!$E$7:$E$2738,"&gt;0")</f>
        <v>3</v>
      </c>
      <c r="D146" s="14" t="n">
        <f aca="false">IF(C146=0,"",_xlfn.MINIFS(選手一覧!$E$7:$E$2738,選手一覧!$C$7:$C$2738,A146))</f>
        <v>392</v>
      </c>
      <c r="E146" s="20"/>
      <c r="F146" s="18" t="n">
        <f aca="false">COUNTIFS(選手一覧!$C$7:$C$2738,A146,選手一覧!$I$7:$I$2738,"&lt;=100")</f>
        <v>0</v>
      </c>
      <c r="G146" s="18" t="n">
        <f aca="false">COUNTIFS(選手一覧!$C$7:$C$2738,A146,選手一覧!$K$7:$K$2738,"&lt;=100")</f>
        <v>1</v>
      </c>
      <c r="H146" s="17" t="n">
        <f aca="false">COUNTIF(選手一覧!$C$7:$C$2738,A146)</f>
        <v>5</v>
      </c>
    </row>
    <row r="147" customFormat="false" ht="15" hidden="false" customHeight="false" outlineLevel="0" collapsed="false">
      <c r="A147" s="12" t="s">
        <v>737</v>
      </c>
      <c r="B147" s="22" t="n">
        <f aca="false">COUNTIFS(選手一覧!$C$7:$C$2738,A147,選手一覧!$E$7:$E$2738,"&lt;=100")</f>
        <v>0</v>
      </c>
      <c r="C147" s="18" t="n">
        <f aca="false">COUNTIFS(選手一覧!$C$7:$C$2738,A147,選手一覧!$E$7:$E$2738,"&gt;0")</f>
        <v>3</v>
      </c>
      <c r="D147" s="14" t="n">
        <f aca="false">IF(C147=0,"",_xlfn.MINIFS(選手一覧!$E$7:$E$2738,選手一覧!$C$7:$C$2738,A147))</f>
        <v>410</v>
      </c>
      <c r="E147" s="20"/>
      <c r="F147" s="18" t="n">
        <f aca="false">COUNTIFS(選手一覧!$C$7:$C$2738,A147,選手一覧!$I$7:$I$2738,"&lt;=100")</f>
        <v>0</v>
      </c>
      <c r="G147" s="18" t="n">
        <f aca="false">COUNTIFS(選手一覧!$C$7:$C$2738,A147,選手一覧!$K$7:$K$2738,"&lt;=100")</f>
        <v>1</v>
      </c>
      <c r="H147" s="17" t="n">
        <f aca="false">COUNTIF(選手一覧!$C$7:$C$2738,A147)</f>
        <v>6</v>
      </c>
    </row>
    <row r="148" customFormat="false" ht="15" hidden="false" customHeight="false" outlineLevel="0" collapsed="false">
      <c r="A148" s="12" t="s">
        <v>742</v>
      </c>
      <c r="B148" s="22" t="n">
        <f aca="false">COUNTIFS(選手一覧!$C$7:$C$2738,A148,選手一覧!$E$7:$E$2738,"&lt;=100")</f>
        <v>0</v>
      </c>
      <c r="C148" s="18" t="n">
        <f aca="false">COUNTIFS(選手一覧!$C$7:$C$2738,A148,選手一覧!$E$7:$E$2738,"&gt;0")</f>
        <v>3</v>
      </c>
      <c r="D148" s="14" t="n">
        <f aca="false">IF(C148=0,"",_xlfn.MINIFS(選手一覧!$E$7:$E$2738,選手一覧!$C$7:$C$2738,A148))</f>
        <v>412</v>
      </c>
      <c r="E148" s="20"/>
      <c r="F148" s="18" t="n">
        <f aca="false">COUNTIFS(選手一覧!$C$7:$C$2738,A148,選手一覧!$I$7:$I$2738,"&lt;=100")</f>
        <v>0</v>
      </c>
      <c r="G148" s="18" t="n">
        <f aca="false">COUNTIFS(選手一覧!$C$7:$C$2738,A148,選手一覧!$K$7:$K$2738,"&lt;=100")</f>
        <v>0</v>
      </c>
      <c r="H148" s="17" t="n">
        <f aca="false">COUNTIF(選手一覧!$C$7:$C$2738,A148)</f>
        <v>6</v>
      </c>
    </row>
    <row r="149" customFormat="false" ht="15" hidden="false" customHeight="false" outlineLevel="0" collapsed="false">
      <c r="A149" s="12" t="s">
        <v>903</v>
      </c>
      <c r="B149" s="22" t="n">
        <f aca="false">COUNTIFS(選手一覧!$C$7:$C$2738,A149,選手一覧!$E$7:$E$2738,"&lt;=100")</f>
        <v>0</v>
      </c>
      <c r="C149" s="18" t="n">
        <f aca="false">COUNTIFS(選手一覧!$C$7:$C$2738,A149,選手一覧!$E$7:$E$2738,"&gt;0")</f>
        <v>3</v>
      </c>
      <c r="D149" s="14" t="n">
        <f aca="false">IF(C149=0,"",_xlfn.MINIFS(選手一覧!$E$7:$E$2738,選手一覧!$C$7:$C$2738,A149))</f>
        <v>514</v>
      </c>
      <c r="E149" s="20"/>
      <c r="F149" s="18" t="n">
        <f aca="false">COUNTIFS(選手一覧!$C$7:$C$2738,A149,選手一覧!$I$7:$I$2738,"&lt;=100")</f>
        <v>0</v>
      </c>
      <c r="G149" s="18" t="n">
        <f aca="false">COUNTIFS(選手一覧!$C$7:$C$2738,A149,選手一覧!$K$7:$K$2738,"&lt;=100")</f>
        <v>0</v>
      </c>
      <c r="H149" s="17" t="n">
        <f aca="false">COUNTIF(選手一覧!$C$7:$C$2738,A149)</f>
        <v>3</v>
      </c>
    </row>
    <row r="150" customFormat="false" ht="15" hidden="false" customHeight="false" outlineLevel="0" collapsed="false">
      <c r="A150" s="12" t="s">
        <v>907</v>
      </c>
      <c r="B150" s="22" t="n">
        <f aca="false">COUNTIFS(選手一覧!$C$7:$C$2738,A150,選手一覧!$E$7:$E$2738,"&lt;=100")</f>
        <v>0</v>
      </c>
      <c r="C150" s="18" t="n">
        <f aca="false">COUNTIFS(選手一覧!$C$7:$C$2738,A150,選手一覧!$E$7:$E$2738,"&gt;0")</f>
        <v>3</v>
      </c>
      <c r="D150" s="14" t="n">
        <f aca="false">IF(C150=0,"",_xlfn.MINIFS(選手一覧!$E$7:$E$2738,選手一覧!$C$7:$C$2738,A150))</f>
        <v>517</v>
      </c>
      <c r="E150" s="20"/>
      <c r="F150" s="18" t="n">
        <f aca="false">COUNTIFS(選手一覧!$C$7:$C$2738,A150,選手一覧!$I$7:$I$2738,"&lt;=100")</f>
        <v>0</v>
      </c>
      <c r="G150" s="18" t="n">
        <f aca="false">COUNTIFS(選手一覧!$C$7:$C$2738,A150,選手一覧!$K$7:$K$2738,"&lt;=100")</f>
        <v>0</v>
      </c>
      <c r="H150" s="17" t="n">
        <f aca="false">COUNTIF(選手一覧!$C$7:$C$2738,A150)</f>
        <v>5</v>
      </c>
    </row>
    <row r="151" customFormat="false" ht="15" hidden="false" customHeight="false" outlineLevel="0" collapsed="false">
      <c r="A151" s="12" t="s">
        <v>949</v>
      </c>
      <c r="B151" s="22" t="n">
        <f aca="false">COUNTIFS(選手一覧!$C$7:$C$2738,A151,選手一覧!$E$7:$E$2738,"&lt;=100")</f>
        <v>0</v>
      </c>
      <c r="C151" s="18" t="n">
        <f aca="false">COUNTIFS(選手一覧!$C$7:$C$2738,A151,選手一覧!$E$7:$E$2738,"&gt;0")</f>
        <v>3</v>
      </c>
      <c r="D151" s="14" t="n">
        <f aca="false">IF(C151=0,"",_xlfn.MINIFS(選手一覧!$E$7:$E$2738,選手一覧!$C$7:$C$2738,A151))</f>
        <v>542</v>
      </c>
      <c r="E151" s="20"/>
      <c r="F151" s="18" t="n">
        <f aca="false">COUNTIFS(選手一覧!$C$7:$C$2738,A151,選手一覧!$I$7:$I$2738,"&lt;=100")</f>
        <v>0</v>
      </c>
      <c r="G151" s="18" t="n">
        <f aca="false">COUNTIFS(選手一覧!$C$7:$C$2738,A151,選手一覧!$K$7:$K$2738,"&lt;=100")</f>
        <v>0</v>
      </c>
      <c r="H151" s="17" t="n">
        <f aca="false">COUNTIF(選手一覧!$C$7:$C$2738,A151)</f>
        <v>3</v>
      </c>
    </row>
    <row r="152" customFormat="false" ht="15" hidden="false" customHeight="false" outlineLevel="0" collapsed="false">
      <c r="A152" s="12" t="s">
        <v>1047</v>
      </c>
      <c r="B152" s="22" t="n">
        <f aca="false">COUNTIFS(選手一覧!$C$7:$C$2738,A152,選手一覧!$E$7:$E$2738,"&lt;=100")</f>
        <v>0</v>
      </c>
      <c r="C152" s="18" t="n">
        <f aca="false">COUNTIFS(選手一覧!$C$7:$C$2738,A152,選手一覧!$E$7:$E$2738,"&gt;0")</f>
        <v>3</v>
      </c>
      <c r="D152" s="14" t="n">
        <f aca="false">IF(C152=0,"",_xlfn.MINIFS(選手一覧!$E$7:$E$2738,選手一覧!$C$7:$C$2738,A152))</f>
        <v>612</v>
      </c>
      <c r="E152" s="20"/>
      <c r="F152" s="18" t="n">
        <f aca="false">COUNTIFS(選手一覧!$C$7:$C$2738,A152,選手一覧!$I$7:$I$2738,"&lt;=100")</f>
        <v>0</v>
      </c>
      <c r="G152" s="18" t="n">
        <f aca="false">COUNTIFS(選手一覧!$C$7:$C$2738,A152,選手一覧!$K$7:$K$2738,"&lt;=100")</f>
        <v>0</v>
      </c>
      <c r="H152" s="17" t="n">
        <f aca="false">COUNTIF(選手一覧!$C$7:$C$2738,A152)</f>
        <v>3</v>
      </c>
    </row>
    <row r="153" customFormat="false" ht="15" hidden="false" customHeight="false" outlineLevel="0" collapsed="false">
      <c r="A153" s="12" t="s">
        <v>1094</v>
      </c>
      <c r="B153" s="22" t="n">
        <f aca="false">COUNTIFS(選手一覧!$C$7:$C$2738,A153,選手一覧!$E$7:$E$2738,"&lt;=100")</f>
        <v>0</v>
      </c>
      <c r="C153" s="18" t="n">
        <f aca="false">COUNTIFS(選手一覧!$C$7:$C$2738,A153,選手一覧!$E$7:$E$2738,"&gt;0")</f>
        <v>3</v>
      </c>
      <c r="D153" s="14" t="n">
        <f aca="false">IF(C153=0,"",_xlfn.MINIFS(選手一覧!$E$7:$E$2738,選手一覧!$C$7:$C$2738,A153))</f>
        <v>646</v>
      </c>
      <c r="E153" s="20"/>
      <c r="F153" s="18" t="n">
        <f aca="false">COUNTIFS(選手一覧!$C$7:$C$2738,A153,選手一覧!$I$7:$I$2738,"&lt;=100")</f>
        <v>0</v>
      </c>
      <c r="G153" s="18" t="n">
        <f aca="false">COUNTIFS(選手一覧!$C$7:$C$2738,A153,選手一覧!$K$7:$K$2738,"&lt;=100")</f>
        <v>0</v>
      </c>
      <c r="H153" s="17" t="n">
        <f aca="false">COUNTIF(選手一覧!$C$7:$C$2738,A153)</f>
        <v>5</v>
      </c>
    </row>
    <row r="154" customFormat="false" ht="15" hidden="false" customHeight="false" outlineLevel="0" collapsed="false">
      <c r="A154" s="12" t="s">
        <v>1117</v>
      </c>
      <c r="B154" s="22" t="n">
        <f aca="false">COUNTIFS(選手一覧!$C$7:$C$2738,A154,選手一覧!$E$7:$E$2738,"&lt;=100")</f>
        <v>0</v>
      </c>
      <c r="C154" s="18" t="n">
        <f aca="false">COUNTIFS(選手一覧!$C$7:$C$2738,A154,選手一覧!$E$7:$E$2738,"&gt;0")</f>
        <v>3</v>
      </c>
      <c r="D154" s="14" t="n">
        <f aca="false">IF(C154=0,"",_xlfn.MINIFS(選手一覧!$E$7:$E$2738,選手一覧!$C$7:$C$2738,A154))</f>
        <v>663</v>
      </c>
      <c r="E154" s="20"/>
      <c r="F154" s="18" t="n">
        <f aca="false">COUNTIFS(選手一覧!$C$7:$C$2738,A154,選手一覧!$I$7:$I$2738,"&lt;=100")</f>
        <v>0</v>
      </c>
      <c r="G154" s="18" t="n">
        <f aca="false">COUNTIFS(選手一覧!$C$7:$C$2738,A154,選手一覧!$K$7:$K$2738,"&lt;=100")</f>
        <v>0</v>
      </c>
      <c r="H154" s="17" t="n">
        <f aca="false">COUNTIF(選手一覧!$C$7:$C$2738,A154)</f>
        <v>3</v>
      </c>
    </row>
    <row r="155" customFormat="false" ht="15" hidden="false" customHeight="false" outlineLevel="0" collapsed="false">
      <c r="A155" s="12" t="s">
        <v>1146</v>
      </c>
      <c r="B155" s="22" t="n">
        <f aca="false">COUNTIFS(選手一覧!$C$7:$C$2738,A155,選手一覧!$E$7:$E$2738,"&lt;=100")</f>
        <v>0</v>
      </c>
      <c r="C155" s="18" t="n">
        <f aca="false">COUNTIFS(選手一覧!$C$7:$C$2738,A155,選手一覧!$E$7:$E$2738,"&gt;0")</f>
        <v>3</v>
      </c>
      <c r="D155" s="14" t="n">
        <f aca="false">IF(C155=0,"",_xlfn.MINIFS(選手一覧!$E$7:$E$2738,選手一覧!$C$7:$C$2738,A155))</f>
        <v>679</v>
      </c>
      <c r="E155" s="20"/>
      <c r="F155" s="18" t="n">
        <f aca="false">COUNTIFS(選手一覧!$C$7:$C$2738,A155,選手一覧!$I$7:$I$2738,"&lt;=100")</f>
        <v>1</v>
      </c>
      <c r="G155" s="18" t="n">
        <f aca="false">COUNTIFS(選手一覧!$C$7:$C$2738,A155,選手一覧!$K$7:$K$2738,"&lt;=100")</f>
        <v>0</v>
      </c>
      <c r="H155" s="17" t="n">
        <f aca="false">COUNTIF(選手一覧!$C$7:$C$2738,A155)</f>
        <v>3</v>
      </c>
    </row>
    <row r="156" customFormat="false" ht="15" hidden="false" customHeight="false" outlineLevel="0" collapsed="false">
      <c r="A156" s="12" t="s">
        <v>1216</v>
      </c>
      <c r="B156" s="22" t="n">
        <f aca="false">COUNTIFS(選手一覧!$C$7:$C$2738,A156,選手一覧!$E$7:$E$2738,"&lt;=100")</f>
        <v>0</v>
      </c>
      <c r="C156" s="18" t="n">
        <f aca="false">COUNTIFS(選手一覧!$C$7:$C$2738,A156,選手一覧!$E$7:$E$2738,"&gt;0")</f>
        <v>3</v>
      </c>
      <c r="D156" s="14" t="n">
        <f aca="false">IF(C156=0,"",_xlfn.MINIFS(選手一覧!$E$7:$E$2738,選手一覧!$C$7:$C$2738,A156))</f>
        <v>724</v>
      </c>
      <c r="E156" s="20"/>
      <c r="F156" s="18" t="n">
        <f aca="false">COUNTIFS(選手一覧!$C$7:$C$2738,A156,選手一覧!$I$7:$I$2738,"&lt;=100")</f>
        <v>0</v>
      </c>
      <c r="G156" s="18" t="n">
        <f aca="false">COUNTIFS(選手一覧!$C$7:$C$2738,A156,選手一覧!$K$7:$K$2738,"&lt;=100")</f>
        <v>0</v>
      </c>
      <c r="H156" s="17" t="n">
        <f aca="false">COUNTIF(選手一覧!$C$7:$C$2738,A156)</f>
        <v>4</v>
      </c>
    </row>
    <row r="157" customFormat="false" ht="15" hidden="false" customHeight="false" outlineLevel="0" collapsed="false">
      <c r="A157" s="12" t="s">
        <v>1265</v>
      </c>
      <c r="B157" s="22" t="n">
        <f aca="false">COUNTIFS(選手一覧!$C$7:$C$2738,A157,選手一覧!$E$7:$E$2738,"&lt;=100")</f>
        <v>0</v>
      </c>
      <c r="C157" s="18" t="n">
        <f aca="false">COUNTIFS(選手一覧!$C$7:$C$2738,A157,選手一覧!$E$7:$E$2738,"&gt;0")</f>
        <v>3</v>
      </c>
      <c r="D157" s="14" t="n">
        <f aca="false">IF(C157=0,"",_xlfn.MINIFS(選手一覧!$E$7:$E$2738,選手一覧!$C$7:$C$2738,A157))</f>
        <v>754</v>
      </c>
      <c r="E157" s="20"/>
      <c r="F157" s="18" t="n">
        <f aca="false">COUNTIFS(選手一覧!$C$7:$C$2738,A157,選手一覧!$I$7:$I$2738,"&lt;=100")</f>
        <v>0</v>
      </c>
      <c r="G157" s="18" t="n">
        <f aca="false">COUNTIFS(選手一覧!$C$7:$C$2738,A157,選手一覧!$K$7:$K$2738,"&lt;=100")</f>
        <v>0</v>
      </c>
      <c r="H157" s="17" t="n">
        <f aca="false">COUNTIF(選手一覧!$C$7:$C$2738,A157)</f>
        <v>4</v>
      </c>
    </row>
    <row r="158" customFormat="false" ht="15" hidden="false" customHeight="false" outlineLevel="0" collapsed="false">
      <c r="A158" s="12" t="s">
        <v>1346</v>
      </c>
      <c r="B158" s="22" t="n">
        <f aca="false">COUNTIFS(選手一覧!$C$7:$C$2738,A158,選手一覧!$E$7:$E$2738,"&lt;=100")</f>
        <v>0</v>
      </c>
      <c r="C158" s="18" t="n">
        <f aca="false">COUNTIFS(選手一覧!$C$7:$C$2738,A158,選手一覧!$E$7:$E$2738,"&gt;0")</f>
        <v>3</v>
      </c>
      <c r="D158" s="14" t="n">
        <f aca="false">IF(C158=0,"",_xlfn.MINIFS(選手一覧!$E$7:$E$2738,選手一覧!$C$7:$C$2738,A158))</f>
        <v>812</v>
      </c>
      <c r="E158" s="20"/>
      <c r="F158" s="18" t="n">
        <f aca="false">COUNTIFS(選手一覧!$C$7:$C$2738,A158,選手一覧!$I$7:$I$2738,"&lt;=100")</f>
        <v>0</v>
      </c>
      <c r="G158" s="18" t="n">
        <f aca="false">COUNTIFS(選手一覧!$C$7:$C$2738,A158,選手一覧!$K$7:$K$2738,"&lt;=100")</f>
        <v>0</v>
      </c>
      <c r="H158" s="17" t="n">
        <f aca="false">COUNTIF(選手一覧!$C$7:$C$2738,A158)</f>
        <v>7</v>
      </c>
    </row>
    <row r="159" customFormat="false" ht="15" hidden="false" customHeight="false" outlineLevel="0" collapsed="false">
      <c r="A159" s="12" t="s">
        <v>1465</v>
      </c>
      <c r="B159" s="22" t="n">
        <f aca="false">COUNTIFS(選手一覧!$C$7:$C$2738,A159,選手一覧!$E$7:$E$2738,"&lt;=100")</f>
        <v>0</v>
      </c>
      <c r="C159" s="18" t="n">
        <f aca="false">COUNTIFS(選手一覧!$C$7:$C$2738,A159,選手一覧!$E$7:$E$2738,"&gt;0")</f>
        <v>3</v>
      </c>
      <c r="D159" s="14" t="n">
        <f aca="false">IF(C159=0,"",_xlfn.MINIFS(選手一覧!$E$7:$E$2738,選手一覧!$C$7:$C$2738,A159))</f>
        <v>888</v>
      </c>
      <c r="E159" s="20"/>
      <c r="F159" s="18" t="n">
        <f aca="false">COUNTIFS(選手一覧!$C$7:$C$2738,A159,選手一覧!$I$7:$I$2738,"&lt;=100")</f>
        <v>0</v>
      </c>
      <c r="G159" s="18" t="n">
        <f aca="false">COUNTIFS(選手一覧!$C$7:$C$2738,A159,選手一覧!$K$7:$K$2738,"&lt;=100")</f>
        <v>0</v>
      </c>
      <c r="H159" s="17" t="n">
        <f aca="false">COUNTIF(選手一覧!$C$7:$C$2738,A159)</f>
        <v>4</v>
      </c>
    </row>
    <row r="160" customFormat="false" ht="15" hidden="false" customHeight="false" outlineLevel="0" collapsed="false">
      <c r="A160" s="12" t="s">
        <v>236</v>
      </c>
      <c r="B160" s="22" t="n">
        <f aca="false">COUNTIFS(選手一覧!$C$7:$C$2738,A160,選手一覧!$E$7:$E$2738,"&lt;=100")</f>
        <v>0</v>
      </c>
      <c r="C160" s="18" t="n">
        <f aca="false">COUNTIFS(選手一覧!$C$7:$C$2738,A160,選手一覧!$E$7:$E$2738,"&gt;0")</f>
        <v>2</v>
      </c>
      <c r="D160" s="14" t="n">
        <f aca="false">IF(C160=0,"",_xlfn.MINIFS(選手一覧!$E$7:$E$2738,選手一覧!$C$7:$C$2738,A160))</f>
        <v>112</v>
      </c>
      <c r="E160" s="20"/>
      <c r="F160" s="18" t="n">
        <f aca="false">COUNTIFS(選手一覧!$C$7:$C$2738,A160,選手一覧!$I$7:$I$2738,"&lt;=100")</f>
        <v>0</v>
      </c>
      <c r="G160" s="18" t="n">
        <f aca="false">COUNTIFS(選手一覧!$C$7:$C$2738,A160,選手一覧!$K$7:$K$2738,"&lt;=100")</f>
        <v>1</v>
      </c>
      <c r="H160" s="17" t="n">
        <f aca="false">COUNTIF(選手一覧!$C$7:$C$2738,A160)</f>
        <v>5</v>
      </c>
    </row>
    <row r="161" customFormat="false" ht="15" hidden="false" customHeight="false" outlineLevel="0" collapsed="false">
      <c r="A161" s="12" t="s">
        <v>266</v>
      </c>
      <c r="B161" s="22" t="n">
        <f aca="false">COUNTIFS(選手一覧!$C$7:$C$2738,A161,選手一覧!$E$7:$E$2738,"&lt;=100")</f>
        <v>0</v>
      </c>
      <c r="C161" s="18" t="n">
        <f aca="false">COUNTIFS(選手一覧!$C$7:$C$2738,A161,選手一覧!$E$7:$E$2738,"&gt;0")</f>
        <v>2</v>
      </c>
      <c r="D161" s="14" t="n">
        <f aca="false">IF(C161=0,"",_xlfn.MINIFS(選手一覧!$E$7:$E$2738,選手一覧!$C$7:$C$2738,A161))</f>
        <v>126</v>
      </c>
      <c r="E161" s="20"/>
      <c r="F161" s="18" t="n">
        <f aca="false">COUNTIFS(選手一覧!$C$7:$C$2738,A161,選手一覧!$I$7:$I$2738,"&lt;=100")</f>
        <v>0</v>
      </c>
      <c r="G161" s="18" t="n">
        <f aca="false">COUNTIFS(選手一覧!$C$7:$C$2738,A161,選手一覧!$K$7:$K$2738,"&lt;=100")</f>
        <v>1</v>
      </c>
      <c r="H161" s="17" t="n">
        <f aca="false">COUNTIF(選手一覧!$C$7:$C$2738,A161)</f>
        <v>2</v>
      </c>
    </row>
    <row r="162" customFormat="false" ht="15" hidden="false" customHeight="false" outlineLevel="0" collapsed="false">
      <c r="A162" s="12" t="s">
        <v>313</v>
      </c>
      <c r="B162" s="22" t="n">
        <f aca="false">COUNTIFS(選手一覧!$C$7:$C$2738,A162,選手一覧!$E$7:$E$2738,"&lt;=100")</f>
        <v>0</v>
      </c>
      <c r="C162" s="18" t="n">
        <f aca="false">COUNTIFS(選手一覧!$C$7:$C$2738,A162,選手一覧!$E$7:$E$2738,"&gt;0")</f>
        <v>2</v>
      </c>
      <c r="D162" s="14" t="n">
        <f aca="false">IF(C162=0,"",_xlfn.MINIFS(選手一覧!$E$7:$E$2738,選手一覧!$C$7:$C$2738,A162))</f>
        <v>151</v>
      </c>
      <c r="E162" s="20"/>
      <c r="F162" s="18" t="n">
        <f aca="false">COUNTIFS(選手一覧!$C$7:$C$2738,A162,選手一覧!$I$7:$I$2738,"&lt;=100")</f>
        <v>0</v>
      </c>
      <c r="G162" s="18" t="n">
        <f aca="false">COUNTIFS(選手一覧!$C$7:$C$2738,A162,選手一覧!$K$7:$K$2738,"&lt;=100")</f>
        <v>1</v>
      </c>
      <c r="H162" s="17" t="n">
        <f aca="false">COUNTIF(選手一覧!$C$7:$C$2738,A162)</f>
        <v>6</v>
      </c>
    </row>
    <row r="163" customFormat="false" ht="15" hidden="false" customHeight="false" outlineLevel="0" collapsed="false">
      <c r="A163" s="12" t="s">
        <v>340</v>
      </c>
      <c r="B163" s="22" t="n">
        <f aca="false">COUNTIFS(選手一覧!$C$7:$C$2738,A163,選手一覧!$E$7:$E$2738,"&lt;=100")</f>
        <v>0</v>
      </c>
      <c r="C163" s="18" t="n">
        <f aca="false">COUNTIFS(選手一覧!$C$7:$C$2738,A163,選手一覧!$E$7:$E$2738,"&gt;0")</f>
        <v>2</v>
      </c>
      <c r="D163" s="14" t="n">
        <f aca="false">IF(C163=0,"",_xlfn.MINIFS(選手一覧!$E$7:$E$2738,選手一覧!$C$7:$C$2738,A163))</f>
        <v>164</v>
      </c>
      <c r="E163" s="20"/>
      <c r="F163" s="18" t="n">
        <f aca="false">COUNTIFS(選手一覧!$C$7:$C$2738,A163,選手一覧!$I$7:$I$2738,"&lt;=100")</f>
        <v>0</v>
      </c>
      <c r="G163" s="18" t="n">
        <f aca="false">COUNTIFS(選手一覧!$C$7:$C$2738,A163,選手一覧!$K$7:$K$2738,"&lt;=100")</f>
        <v>0</v>
      </c>
      <c r="H163" s="17" t="n">
        <f aca="false">COUNTIF(選手一覧!$C$7:$C$2738,A163)</f>
        <v>2</v>
      </c>
    </row>
    <row r="164" customFormat="false" ht="15" hidden="false" customHeight="false" outlineLevel="0" collapsed="false">
      <c r="A164" s="12" t="s">
        <v>377</v>
      </c>
      <c r="B164" s="22" t="n">
        <f aca="false">COUNTIFS(選手一覧!$C$7:$C$2738,A164,選手一覧!$E$7:$E$2738,"&lt;=100")</f>
        <v>0</v>
      </c>
      <c r="C164" s="18" t="n">
        <f aca="false">COUNTIFS(選手一覧!$C$7:$C$2738,A164,選手一覧!$E$7:$E$2738,"&gt;0")</f>
        <v>2</v>
      </c>
      <c r="D164" s="14" t="n">
        <f aca="false">IF(C164=0,"",_xlfn.MINIFS(選手一覧!$E$7:$E$2738,選手一覧!$C$7:$C$2738,A164))</f>
        <v>186</v>
      </c>
      <c r="E164" s="20"/>
      <c r="F164" s="18" t="n">
        <f aca="false">COUNTIFS(選手一覧!$C$7:$C$2738,A164,選手一覧!$I$7:$I$2738,"&lt;=100")</f>
        <v>0</v>
      </c>
      <c r="G164" s="18" t="n">
        <f aca="false">COUNTIFS(選手一覧!$C$7:$C$2738,A164,選手一覧!$K$7:$K$2738,"&lt;=100")</f>
        <v>0</v>
      </c>
      <c r="H164" s="17" t="n">
        <f aca="false">COUNTIF(選手一覧!$C$7:$C$2738,A164)</f>
        <v>4</v>
      </c>
    </row>
    <row r="165" customFormat="false" ht="15" hidden="false" customHeight="false" outlineLevel="0" collapsed="false">
      <c r="A165" s="12" t="s">
        <v>409</v>
      </c>
      <c r="B165" s="22" t="n">
        <f aca="false">COUNTIFS(選手一覧!$C$7:$C$2738,A165,選手一覧!$E$7:$E$2738,"&lt;=100")</f>
        <v>0</v>
      </c>
      <c r="C165" s="18" t="n">
        <f aca="false">COUNTIFS(選手一覧!$C$7:$C$2738,A165,選手一覧!$E$7:$E$2738,"&gt;0")</f>
        <v>2</v>
      </c>
      <c r="D165" s="14" t="n">
        <f aca="false">IF(C165=0,"",_xlfn.MINIFS(選手一覧!$E$7:$E$2738,選手一覧!$C$7:$C$2738,A165))</f>
        <v>205</v>
      </c>
      <c r="E165" s="20"/>
      <c r="F165" s="18" t="n">
        <f aca="false">COUNTIFS(選手一覧!$C$7:$C$2738,A165,選手一覧!$I$7:$I$2738,"&lt;=100")</f>
        <v>0</v>
      </c>
      <c r="G165" s="18" t="n">
        <f aca="false">COUNTIFS(選手一覧!$C$7:$C$2738,A165,選手一覧!$K$7:$K$2738,"&lt;=100")</f>
        <v>0</v>
      </c>
      <c r="H165" s="17" t="n">
        <f aca="false">COUNTIF(選手一覧!$C$7:$C$2738,A165)</f>
        <v>2</v>
      </c>
    </row>
    <row r="166" customFormat="false" ht="15" hidden="false" customHeight="false" outlineLevel="0" collapsed="false">
      <c r="A166" s="12" t="s">
        <v>454</v>
      </c>
      <c r="B166" s="22" t="n">
        <f aca="false">COUNTIFS(選手一覧!$C$7:$C$2738,A166,選手一覧!$E$7:$E$2738,"&lt;=100")</f>
        <v>0</v>
      </c>
      <c r="C166" s="18" t="n">
        <f aca="false">COUNTIFS(選手一覧!$C$7:$C$2738,A166,選手一覧!$E$7:$E$2738,"&gt;0")</f>
        <v>2</v>
      </c>
      <c r="D166" s="14" t="n">
        <f aca="false">IF(C166=0,"",_xlfn.MINIFS(選手一覧!$E$7:$E$2738,選手一覧!$C$7:$C$2738,A166))</f>
        <v>232</v>
      </c>
      <c r="E166" s="20"/>
      <c r="F166" s="18" t="n">
        <f aca="false">COUNTIFS(選手一覧!$C$7:$C$2738,A166,選手一覧!$I$7:$I$2738,"&lt;=100")</f>
        <v>0</v>
      </c>
      <c r="G166" s="18" t="n">
        <f aca="false">COUNTIFS(選手一覧!$C$7:$C$2738,A166,選手一覧!$K$7:$K$2738,"&lt;=100")</f>
        <v>0</v>
      </c>
      <c r="H166" s="17" t="n">
        <f aca="false">COUNTIF(選手一覧!$C$7:$C$2738,A166)</f>
        <v>4</v>
      </c>
    </row>
    <row r="167" customFormat="false" ht="15" hidden="false" customHeight="false" outlineLevel="0" collapsed="false">
      <c r="A167" s="12" t="s">
        <v>460</v>
      </c>
      <c r="B167" s="22" t="n">
        <f aca="false">COUNTIFS(選手一覧!$C$7:$C$2738,A167,選手一覧!$E$7:$E$2738,"&lt;=100")</f>
        <v>0</v>
      </c>
      <c r="C167" s="18" t="n">
        <f aca="false">COUNTIFS(選手一覧!$C$7:$C$2738,A167,選手一覧!$E$7:$E$2738,"&gt;0")</f>
        <v>2</v>
      </c>
      <c r="D167" s="14" t="n">
        <f aca="false">IF(C167=0,"",_xlfn.MINIFS(選手一覧!$E$7:$E$2738,選手一覧!$C$7:$C$2738,A167))</f>
        <v>236</v>
      </c>
      <c r="E167" s="20"/>
      <c r="F167" s="18" t="n">
        <f aca="false">COUNTIFS(選手一覧!$C$7:$C$2738,A167,選手一覧!$I$7:$I$2738,"&lt;=100")</f>
        <v>1</v>
      </c>
      <c r="G167" s="18" t="n">
        <f aca="false">COUNTIFS(選手一覧!$C$7:$C$2738,A167,選手一覧!$K$7:$K$2738,"&lt;=100")</f>
        <v>1</v>
      </c>
      <c r="H167" s="17" t="n">
        <f aca="false">COUNTIF(選手一覧!$C$7:$C$2738,A167)</f>
        <v>2</v>
      </c>
    </row>
    <row r="168" customFormat="false" ht="15" hidden="false" customHeight="false" outlineLevel="0" collapsed="false">
      <c r="A168" s="12" t="s">
        <v>469</v>
      </c>
      <c r="B168" s="22" t="n">
        <f aca="false">COUNTIFS(選手一覧!$C$7:$C$2738,A168,選手一覧!$E$7:$E$2738,"&lt;=100")</f>
        <v>0</v>
      </c>
      <c r="C168" s="18" t="n">
        <f aca="false">COUNTIFS(選手一覧!$C$7:$C$2738,A168,選手一覧!$E$7:$E$2738,"&gt;0")</f>
        <v>2</v>
      </c>
      <c r="D168" s="14" t="n">
        <f aca="false">IF(C168=0,"",_xlfn.MINIFS(選手一覧!$E$7:$E$2738,選手一覧!$C$7:$C$2738,A168))</f>
        <v>240</v>
      </c>
      <c r="E168" s="20"/>
      <c r="F168" s="18" t="n">
        <f aca="false">COUNTIFS(選手一覧!$C$7:$C$2738,A168,選手一覧!$I$7:$I$2738,"&lt;=100")</f>
        <v>0</v>
      </c>
      <c r="G168" s="18" t="n">
        <f aca="false">COUNTIFS(選手一覧!$C$7:$C$2738,A168,選手一覧!$K$7:$K$2738,"&lt;=100")</f>
        <v>0</v>
      </c>
      <c r="H168" s="17" t="n">
        <f aca="false">COUNTIF(選手一覧!$C$7:$C$2738,A168)</f>
        <v>2</v>
      </c>
    </row>
    <row r="169" customFormat="false" ht="15" hidden="false" customHeight="false" outlineLevel="0" collapsed="false">
      <c r="A169" s="12" t="s">
        <v>522</v>
      </c>
      <c r="B169" s="22" t="n">
        <f aca="false">COUNTIFS(選手一覧!$C$7:$C$2738,A169,選手一覧!$E$7:$E$2738,"&lt;=100")</f>
        <v>0</v>
      </c>
      <c r="C169" s="18" t="n">
        <f aca="false">COUNTIFS(選手一覧!$C$7:$C$2738,A169,選手一覧!$E$7:$E$2738,"&gt;0")</f>
        <v>2</v>
      </c>
      <c r="D169" s="14" t="n">
        <f aca="false">IF(C169=0,"",_xlfn.MINIFS(選手一覧!$E$7:$E$2738,選手一覧!$C$7:$C$2738,A169))</f>
        <v>276</v>
      </c>
      <c r="E169" s="20"/>
      <c r="F169" s="18" t="n">
        <f aca="false">COUNTIFS(選手一覧!$C$7:$C$2738,A169,選手一覧!$I$7:$I$2738,"&lt;=100")</f>
        <v>0</v>
      </c>
      <c r="G169" s="18" t="n">
        <f aca="false">COUNTIFS(選手一覧!$C$7:$C$2738,A169,選手一覧!$K$7:$K$2738,"&lt;=100")</f>
        <v>0</v>
      </c>
      <c r="H169" s="17" t="n">
        <f aca="false">COUNTIF(選手一覧!$C$7:$C$2738,A169)</f>
        <v>4</v>
      </c>
    </row>
    <row r="170" customFormat="false" ht="15" hidden="false" customHeight="false" outlineLevel="0" collapsed="false">
      <c r="A170" s="12" t="s">
        <v>537</v>
      </c>
      <c r="B170" s="22" t="n">
        <f aca="false">COUNTIFS(選手一覧!$C$7:$C$2738,A170,選手一覧!$E$7:$E$2738,"&lt;=100")</f>
        <v>0</v>
      </c>
      <c r="C170" s="18" t="n">
        <f aca="false">COUNTIFS(選手一覧!$C$7:$C$2738,A170,選手一覧!$E$7:$E$2738,"&gt;0")</f>
        <v>2</v>
      </c>
      <c r="D170" s="14" t="n">
        <f aca="false">IF(C170=0,"",_xlfn.MINIFS(選手一覧!$E$7:$E$2738,選手一覧!$C$7:$C$2738,A170))</f>
        <v>284</v>
      </c>
      <c r="E170" s="20"/>
      <c r="F170" s="18" t="n">
        <f aca="false">COUNTIFS(選手一覧!$C$7:$C$2738,A170,選手一覧!$I$7:$I$2738,"&lt;=100")</f>
        <v>0</v>
      </c>
      <c r="G170" s="18" t="n">
        <f aca="false">COUNTIFS(選手一覧!$C$7:$C$2738,A170,選手一覧!$K$7:$K$2738,"&lt;=100")</f>
        <v>0</v>
      </c>
      <c r="H170" s="17" t="n">
        <f aca="false">COUNTIF(選手一覧!$C$7:$C$2738,A170)</f>
        <v>4</v>
      </c>
    </row>
    <row r="171" customFormat="false" ht="15" hidden="false" customHeight="false" outlineLevel="0" collapsed="false">
      <c r="A171" s="12" t="s">
        <v>548</v>
      </c>
      <c r="B171" s="22" t="n">
        <f aca="false">COUNTIFS(選手一覧!$C$7:$C$2738,A171,選手一覧!$E$7:$E$2738,"&lt;=100")</f>
        <v>0</v>
      </c>
      <c r="C171" s="18" t="n">
        <f aca="false">COUNTIFS(選手一覧!$C$7:$C$2738,A171,選手一覧!$E$7:$E$2738,"&gt;0")</f>
        <v>2</v>
      </c>
      <c r="D171" s="14" t="n">
        <f aca="false">IF(C171=0,"",_xlfn.MINIFS(選手一覧!$E$7:$E$2738,選手一覧!$C$7:$C$2738,A171))</f>
        <v>292</v>
      </c>
      <c r="E171" s="20"/>
      <c r="F171" s="18" t="n">
        <f aca="false">COUNTIFS(選手一覧!$C$7:$C$2738,A171,選手一覧!$I$7:$I$2738,"&lt;=100")</f>
        <v>0</v>
      </c>
      <c r="G171" s="18" t="n">
        <f aca="false">COUNTIFS(選手一覧!$C$7:$C$2738,A171,選手一覧!$K$7:$K$2738,"&lt;=100")</f>
        <v>0</v>
      </c>
      <c r="H171" s="17" t="n">
        <f aca="false">COUNTIF(選手一覧!$C$7:$C$2738,A171)</f>
        <v>2</v>
      </c>
    </row>
    <row r="172" customFormat="false" ht="15" hidden="false" customHeight="false" outlineLevel="0" collapsed="false">
      <c r="A172" s="12" t="s">
        <v>575</v>
      </c>
      <c r="B172" s="22" t="n">
        <f aca="false">COUNTIFS(選手一覧!$C$7:$C$2738,A172,選手一覧!$E$7:$E$2738,"&lt;=100")</f>
        <v>0</v>
      </c>
      <c r="C172" s="18" t="n">
        <f aca="false">COUNTIFS(選手一覧!$C$7:$C$2738,A172,選手一覧!$E$7:$E$2738,"&gt;0")</f>
        <v>2</v>
      </c>
      <c r="D172" s="14" t="n">
        <f aca="false">IF(C172=0,"",_xlfn.MINIFS(選手一覧!$E$7:$E$2738,選手一覧!$C$7:$C$2738,A172))</f>
        <v>307</v>
      </c>
      <c r="E172" s="20"/>
      <c r="F172" s="18" t="n">
        <f aca="false">COUNTIFS(選手一覧!$C$7:$C$2738,A172,選手一覧!$I$7:$I$2738,"&lt;=100")</f>
        <v>0</v>
      </c>
      <c r="G172" s="18" t="n">
        <f aca="false">COUNTIFS(選手一覧!$C$7:$C$2738,A172,選手一覧!$K$7:$K$2738,"&lt;=100")</f>
        <v>0</v>
      </c>
      <c r="H172" s="17" t="n">
        <f aca="false">COUNTIF(選手一覧!$C$7:$C$2738,A172)</f>
        <v>3</v>
      </c>
    </row>
    <row r="173" customFormat="false" ht="15" hidden="false" customHeight="false" outlineLevel="0" collapsed="false">
      <c r="A173" s="12" t="s">
        <v>589</v>
      </c>
      <c r="B173" s="22" t="n">
        <f aca="false">COUNTIFS(選手一覧!$C$7:$C$2738,A173,選手一覧!$E$7:$E$2738,"&lt;=100")</f>
        <v>0</v>
      </c>
      <c r="C173" s="18" t="n">
        <f aca="false">COUNTIFS(選手一覧!$C$7:$C$2738,A173,選手一覧!$E$7:$E$2738,"&gt;0")</f>
        <v>2</v>
      </c>
      <c r="D173" s="14" t="n">
        <f aca="false">IF(C173=0,"",_xlfn.MINIFS(選手一覧!$E$7:$E$2738,選手一覧!$C$7:$C$2738,A173))</f>
        <v>316</v>
      </c>
      <c r="E173" s="20"/>
      <c r="F173" s="18" t="n">
        <f aca="false">COUNTIFS(選手一覧!$C$7:$C$2738,A173,選手一覧!$I$7:$I$2738,"&lt;=100")</f>
        <v>0</v>
      </c>
      <c r="G173" s="18" t="n">
        <f aca="false">COUNTIFS(選手一覧!$C$7:$C$2738,A173,選手一覧!$K$7:$K$2738,"&lt;=100")</f>
        <v>0</v>
      </c>
      <c r="H173" s="17" t="n">
        <f aca="false">COUNTIF(選手一覧!$C$7:$C$2738,A173)</f>
        <v>6</v>
      </c>
    </row>
    <row r="174" customFormat="false" ht="15" hidden="false" customHeight="false" outlineLevel="0" collapsed="false">
      <c r="A174" s="12" t="s">
        <v>615</v>
      </c>
      <c r="B174" s="22" t="n">
        <f aca="false">COUNTIFS(選手一覧!$C$7:$C$2738,A174,選手一覧!$E$7:$E$2738,"&lt;=100")</f>
        <v>0</v>
      </c>
      <c r="C174" s="18" t="n">
        <f aca="false">COUNTIFS(選手一覧!$C$7:$C$2738,A174,選手一覧!$E$7:$E$2738,"&gt;0")</f>
        <v>2</v>
      </c>
      <c r="D174" s="14" t="n">
        <f aca="false">IF(C174=0,"",_xlfn.MINIFS(選手一覧!$E$7:$E$2738,選手一覧!$C$7:$C$2738,A174))</f>
        <v>332</v>
      </c>
      <c r="E174" s="20"/>
      <c r="F174" s="18" t="n">
        <f aca="false">COUNTIFS(選手一覧!$C$7:$C$2738,A174,選手一覧!$I$7:$I$2738,"&lt;=100")</f>
        <v>0</v>
      </c>
      <c r="G174" s="18" t="n">
        <f aca="false">COUNTIFS(選手一覧!$C$7:$C$2738,A174,選手一覧!$K$7:$K$2738,"&lt;=100")</f>
        <v>0</v>
      </c>
      <c r="H174" s="17" t="n">
        <f aca="false">COUNTIF(選手一覧!$C$7:$C$2738,A174)</f>
        <v>3</v>
      </c>
    </row>
    <row r="175" customFormat="false" ht="15" hidden="false" customHeight="false" outlineLevel="0" collapsed="false">
      <c r="A175" s="12" t="s">
        <v>619</v>
      </c>
      <c r="B175" s="22" t="n">
        <f aca="false">COUNTIFS(選手一覧!$C$7:$C$2738,A175,選手一覧!$E$7:$E$2738,"&lt;=100")</f>
        <v>0</v>
      </c>
      <c r="C175" s="18" t="n">
        <f aca="false">COUNTIFS(選手一覧!$C$7:$C$2738,A175,選手一覧!$E$7:$E$2738,"&gt;0")</f>
        <v>2</v>
      </c>
      <c r="D175" s="14" t="n">
        <f aca="false">IF(C175=0,"",_xlfn.MINIFS(選手一覧!$E$7:$E$2738,選手一覧!$C$7:$C$2738,A175))</f>
        <v>335</v>
      </c>
      <c r="E175" s="20"/>
      <c r="F175" s="18" t="n">
        <f aca="false">COUNTIFS(選手一覧!$C$7:$C$2738,A175,選手一覧!$I$7:$I$2738,"&lt;=100")</f>
        <v>0</v>
      </c>
      <c r="G175" s="18" t="n">
        <f aca="false">COUNTIFS(選手一覧!$C$7:$C$2738,A175,選手一覧!$K$7:$K$2738,"&lt;=100")</f>
        <v>0</v>
      </c>
      <c r="H175" s="17" t="n">
        <f aca="false">COUNTIF(選手一覧!$C$7:$C$2738,A175)</f>
        <v>5</v>
      </c>
    </row>
    <row r="176" customFormat="false" ht="15" hidden="false" customHeight="false" outlineLevel="0" collapsed="false">
      <c r="A176" s="12" t="s">
        <v>668</v>
      </c>
      <c r="B176" s="22" t="n">
        <f aca="false">COUNTIFS(選手一覧!$C$7:$C$2738,A176,選手一覧!$E$7:$E$2738,"&lt;=100")</f>
        <v>0</v>
      </c>
      <c r="C176" s="18" t="n">
        <f aca="false">COUNTIFS(選手一覧!$C$7:$C$2738,A176,選手一覧!$E$7:$E$2738,"&gt;0")</f>
        <v>2</v>
      </c>
      <c r="D176" s="14" t="n">
        <f aca="false">IF(C176=0,"",_xlfn.MINIFS(選手一覧!$E$7:$E$2738,選手一覧!$C$7:$C$2738,A176))</f>
        <v>367</v>
      </c>
      <c r="E176" s="20"/>
      <c r="F176" s="18" t="n">
        <f aca="false">COUNTIFS(選手一覧!$C$7:$C$2738,A176,選手一覧!$I$7:$I$2738,"&lt;=100")</f>
        <v>0</v>
      </c>
      <c r="G176" s="18" t="n">
        <f aca="false">COUNTIFS(選手一覧!$C$7:$C$2738,A176,選手一覧!$K$7:$K$2738,"&lt;=100")</f>
        <v>0</v>
      </c>
      <c r="H176" s="17" t="n">
        <f aca="false">COUNTIF(選手一覧!$C$7:$C$2738,A176)</f>
        <v>2</v>
      </c>
    </row>
    <row r="177" customFormat="false" ht="15" hidden="false" customHeight="false" outlineLevel="0" collapsed="false">
      <c r="A177" s="12" t="s">
        <v>674</v>
      </c>
      <c r="B177" s="22" t="n">
        <f aca="false">COUNTIFS(選手一覧!$C$7:$C$2738,A177,選手一覧!$E$7:$E$2738,"&lt;=100")</f>
        <v>0</v>
      </c>
      <c r="C177" s="18" t="n">
        <f aca="false">COUNTIFS(選手一覧!$C$7:$C$2738,A177,選手一覧!$E$7:$E$2738,"&gt;0")</f>
        <v>2</v>
      </c>
      <c r="D177" s="14" t="n">
        <f aca="false">IF(C177=0,"",_xlfn.MINIFS(選手一覧!$E$7:$E$2738,選手一覧!$C$7:$C$2738,A177))</f>
        <v>371</v>
      </c>
      <c r="E177" s="20"/>
      <c r="F177" s="18" t="n">
        <f aca="false">COUNTIFS(選手一覧!$C$7:$C$2738,A177,選手一覧!$I$7:$I$2738,"&lt;=100")</f>
        <v>0</v>
      </c>
      <c r="G177" s="18" t="n">
        <f aca="false">COUNTIFS(選手一覧!$C$7:$C$2738,A177,選手一覧!$K$7:$K$2738,"&lt;=100")</f>
        <v>0</v>
      </c>
      <c r="H177" s="17" t="n">
        <f aca="false">COUNTIF(選手一覧!$C$7:$C$2738,A177)</f>
        <v>6</v>
      </c>
    </row>
    <row r="178" customFormat="false" ht="15" hidden="false" customHeight="false" outlineLevel="0" collapsed="false">
      <c r="A178" s="12" t="s">
        <v>686</v>
      </c>
      <c r="B178" s="22" t="n">
        <f aca="false">COUNTIFS(選手一覧!$C$7:$C$2738,A178,選手一覧!$E$7:$E$2738,"&lt;=100")</f>
        <v>0</v>
      </c>
      <c r="C178" s="18" t="n">
        <f aca="false">COUNTIFS(選手一覧!$C$7:$C$2738,A178,選手一覧!$E$7:$E$2738,"&gt;0")</f>
        <v>2</v>
      </c>
      <c r="D178" s="14" t="n">
        <f aca="false">IF(C178=0,"",_xlfn.MINIFS(選手一覧!$E$7:$E$2738,選手一覧!$C$7:$C$2738,A178))</f>
        <v>378</v>
      </c>
      <c r="E178" s="20"/>
      <c r="F178" s="18" t="n">
        <f aca="false">COUNTIFS(選手一覧!$C$7:$C$2738,A178,選手一覧!$I$7:$I$2738,"&lt;=100")</f>
        <v>1</v>
      </c>
      <c r="G178" s="18" t="n">
        <f aca="false">COUNTIFS(選手一覧!$C$7:$C$2738,A178,選手一覧!$K$7:$K$2738,"&lt;=100")</f>
        <v>0</v>
      </c>
      <c r="H178" s="17" t="n">
        <f aca="false">COUNTIF(選手一覧!$C$7:$C$2738,A178)</f>
        <v>2</v>
      </c>
    </row>
    <row r="179" customFormat="false" ht="15" hidden="false" customHeight="false" outlineLevel="0" collapsed="false">
      <c r="A179" s="12" t="s">
        <v>690</v>
      </c>
      <c r="B179" s="22" t="n">
        <f aca="false">COUNTIFS(選手一覧!$C$7:$C$2738,A179,選手一覧!$E$7:$E$2738,"&lt;=100")</f>
        <v>0</v>
      </c>
      <c r="C179" s="18" t="n">
        <f aca="false">COUNTIFS(選手一覧!$C$7:$C$2738,A179,選手一覧!$E$7:$E$2738,"&gt;0")</f>
        <v>2</v>
      </c>
      <c r="D179" s="14" t="n">
        <f aca="false">IF(C179=0,"",_xlfn.MINIFS(選手一覧!$E$7:$E$2738,選手一覧!$C$7:$C$2738,A179))</f>
        <v>380</v>
      </c>
      <c r="E179" s="20"/>
      <c r="F179" s="18" t="n">
        <f aca="false">COUNTIFS(選手一覧!$C$7:$C$2738,A179,選手一覧!$I$7:$I$2738,"&lt;=100")</f>
        <v>0</v>
      </c>
      <c r="G179" s="18" t="n">
        <f aca="false">COUNTIFS(選手一覧!$C$7:$C$2738,A179,選手一覧!$K$7:$K$2738,"&lt;=100")</f>
        <v>0</v>
      </c>
      <c r="H179" s="17" t="n">
        <f aca="false">COUNTIF(選手一覧!$C$7:$C$2738,A179)</f>
        <v>5</v>
      </c>
    </row>
    <row r="180" customFormat="false" ht="15" hidden="false" customHeight="false" outlineLevel="0" collapsed="false">
      <c r="A180" s="12" t="s">
        <v>692</v>
      </c>
      <c r="B180" s="22" t="n">
        <f aca="false">COUNTIFS(選手一覧!$C$7:$C$2738,A180,選手一覧!$E$7:$E$2738,"&lt;=100")</f>
        <v>0</v>
      </c>
      <c r="C180" s="18" t="n">
        <f aca="false">COUNTIFS(選手一覧!$C$7:$C$2738,A180,選手一覧!$E$7:$E$2738,"&gt;0")</f>
        <v>2</v>
      </c>
      <c r="D180" s="14" t="n">
        <f aca="false">IF(C180=0,"",_xlfn.MINIFS(選手一覧!$E$7:$E$2738,選手一覧!$C$7:$C$2738,A180))</f>
        <v>381</v>
      </c>
      <c r="E180" s="20"/>
      <c r="F180" s="18" t="n">
        <f aca="false">COUNTIFS(選手一覧!$C$7:$C$2738,A180,選手一覧!$I$7:$I$2738,"&lt;=100")</f>
        <v>0</v>
      </c>
      <c r="G180" s="18" t="n">
        <f aca="false">COUNTIFS(選手一覧!$C$7:$C$2738,A180,選手一覧!$K$7:$K$2738,"&lt;=100")</f>
        <v>0</v>
      </c>
      <c r="H180" s="17" t="n">
        <f aca="false">COUNTIF(選手一覧!$C$7:$C$2738,A180)</f>
        <v>2</v>
      </c>
    </row>
    <row r="181" customFormat="false" ht="15" hidden="false" customHeight="false" outlineLevel="0" collapsed="false">
      <c r="A181" s="12" t="s">
        <v>732</v>
      </c>
      <c r="B181" s="22" t="n">
        <f aca="false">COUNTIFS(選手一覧!$C$7:$C$2738,A181,選手一覧!$E$7:$E$2738,"&lt;=100")</f>
        <v>0</v>
      </c>
      <c r="C181" s="18" t="n">
        <f aca="false">COUNTIFS(選手一覧!$C$7:$C$2738,A181,選手一覧!$E$7:$E$2738,"&gt;0")</f>
        <v>2</v>
      </c>
      <c r="D181" s="14" t="n">
        <f aca="false">IF(C181=0,"",_xlfn.MINIFS(選手一覧!$E$7:$E$2738,選手一覧!$C$7:$C$2738,A181))</f>
        <v>407</v>
      </c>
      <c r="E181" s="20"/>
      <c r="F181" s="18" t="n">
        <f aca="false">COUNTIFS(選手一覧!$C$7:$C$2738,A181,選手一覧!$I$7:$I$2738,"&lt;=100")</f>
        <v>0</v>
      </c>
      <c r="G181" s="18" t="n">
        <f aca="false">COUNTIFS(選手一覧!$C$7:$C$2738,A181,選手一覧!$K$7:$K$2738,"&lt;=100")</f>
        <v>0</v>
      </c>
      <c r="H181" s="17" t="n">
        <f aca="false">COUNTIF(選手一覧!$C$7:$C$2738,A181)</f>
        <v>2</v>
      </c>
    </row>
    <row r="182" customFormat="false" ht="15" hidden="false" customHeight="false" outlineLevel="0" collapsed="false">
      <c r="A182" s="12" t="s">
        <v>788</v>
      </c>
      <c r="B182" s="22" t="n">
        <f aca="false">COUNTIFS(選手一覧!$C$7:$C$2738,A182,選手一覧!$E$7:$E$2738,"&lt;=100")</f>
        <v>0</v>
      </c>
      <c r="C182" s="18" t="n">
        <f aca="false">COUNTIFS(選手一覧!$C$7:$C$2738,A182,選手一覧!$E$7:$E$2738,"&gt;0")</f>
        <v>2</v>
      </c>
      <c r="D182" s="14" t="n">
        <f aca="false">IF(C182=0,"",_xlfn.MINIFS(選手一覧!$E$7:$E$2738,選手一覧!$C$7:$C$2738,A182))</f>
        <v>441</v>
      </c>
      <c r="E182" s="20"/>
      <c r="F182" s="18" t="n">
        <f aca="false">COUNTIFS(選手一覧!$C$7:$C$2738,A182,選手一覧!$I$7:$I$2738,"&lt;=100")</f>
        <v>0</v>
      </c>
      <c r="G182" s="18" t="n">
        <f aca="false">COUNTIFS(選手一覧!$C$7:$C$2738,A182,選手一覧!$K$7:$K$2738,"&lt;=100")</f>
        <v>0</v>
      </c>
      <c r="H182" s="17" t="n">
        <f aca="false">COUNTIF(選手一覧!$C$7:$C$2738,A182)</f>
        <v>2</v>
      </c>
    </row>
    <row r="183" customFormat="false" ht="15" hidden="false" customHeight="false" outlineLevel="0" collapsed="false">
      <c r="A183" s="12" t="s">
        <v>790</v>
      </c>
      <c r="B183" s="22" t="n">
        <f aca="false">COUNTIFS(選手一覧!$C$7:$C$2738,A183,選手一覧!$E$7:$E$2738,"&lt;=100")</f>
        <v>0</v>
      </c>
      <c r="C183" s="18" t="n">
        <f aca="false">COUNTIFS(選手一覧!$C$7:$C$2738,A183,選手一覧!$E$7:$E$2738,"&gt;0")</f>
        <v>2</v>
      </c>
      <c r="D183" s="14" t="n">
        <f aca="false">IF(C183=0,"",_xlfn.MINIFS(選手一覧!$E$7:$E$2738,選手一覧!$C$7:$C$2738,A183))</f>
        <v>442</v>
      </c>
      <c r="E183" s="20"/>
      <c r="F183" s="18" t="n">
        <f aca="false">COUNTIFS(選手一覧!$C$7:$C$2738,A183,選手一覧!$I$7:$I$2738,"&lt;=100")</f>
        <v>0</v>
      </c>
      <c r="G183" s="18" t="n">
        <f aca="false">COUNTIFS(選手一覧!$C$7:$C$2738,A183,選手一覧!$K$7:$K$2738,"&lt;=100")</f>
        <v>0</v>
      </c>
      <c r="H183" s="17" t="n">
        <f aca="false">COUNTIF(選手一覧!$C$7:$C$2738,A183)</f>
        <v>4</v>
      </c>
    </row>
    <row r="184" customFormat="false" ht="15" hidden="false" customHeight="false" outlineLevel="0" collapsed="false">
      <c r="A184" s="12" t="s">
        <v>819</v>
      </c>
      <c r="B184" s="22" t="n">
        <f aca="false">COUNTIFS(選手一覧!$C$7:$C$2738,A184,選手一覧!$E$7:$E$2738,"&lt;=100")</f>
        <v>0</v>
      </c>
      <c r="C184" s="18" t="n">
        <f aca="false">COUNTIFS(選手一覧!$C$7:$C$2738,A184,選手一覧!$E$7:$E$2738,"&gt;0")</f>
        <v>2</v>
      </c>
      <c r="D184" s="14" t="n">
        <f aca="false">IF(C184=0,"",_xlfn.MINIFS(選手一覧!$E$7:$E$2738,選手一覧!$C$7:$C$2738,A184))</f>
        <v>463</v>
      </c>
      <c r="E184" s="20"/>
      <c r="F184" s="18" t="n">
        <f aca="false">COUNTIFS(選手一覧!$C$7:$C$2738,A184,選手一覧!$I$7:$I$2738,"&lt;=100")</f>
        <v>0</v>
      </c>
      <c r="G184" s="18" t="n">
        <f aca="false">COUNTIFS(選手一覧!$C$7:$C$2738,A184,選手一覧!$K$7:$K$2738,"&lt;=100")</f>
        <v>0</v>
      </c>
      <c r="H184" s="17" t="n">
        <f aca="false">COUNTIF(選手一覧!$C$7:$C$2738,A184)</f>
        <v>2</v>
      </c>
    </row>
    <row r="185" customFormat="false" ht="15" hidden="false" customHeight="false" outlineLevel="0" collapsed="false">
      <c r="A185" s="12" t="s">
        <v>824</v>
      </c>
      <c r="B185" s="22" t="n">
        <f aca="false">COUNTIFS(選手一覧!$C$7:$C$2738,A185,選手一覧!$E$7:$E$2738,"&lt;=100")</f>
        <v>0</v>
      </c>
      <c r="C185" s="18" t="n">
        <f aca="false">COUNTIFS(選手一覧!$C$7:$C$2738,A185,選手一覧!$E$7:$E$2738,"&gt;0")</f>
        <v>2</v>
      </c>
      <c r="D185" s="14" t="n">
        <f aca="false">IF(C185=0,"",_xlfn.MINIFS(選手一覧!$E$7:$E$2738,選手一覧!$C$7:$C$2738,A185))</f>
        <v>466</v>
      </c>
      <c r="E185" s="20"/>
      <c r="F185" s="18" t="n">
        <f aca="false">COUNTIFS(選手一覧!$C$7:$C$2738,A185,選手一覧!$I$7:$I$2738,"&lt;=100")</f>
        <v>0</v>
      </c>
      <c r="G185" s="18" t="n">
        <f aca="false">COUNTIFS(選手一覧!$C$7:$C$2738,A185,選手一覧!$K$7:$K$2738,"&lt;=100")</f>
        <v>0</v>
      </c>
      <c r="H185" s="17" t="n">
        <f aca="false">COUNTIF(選手一覧!$C$7:$C$2738,A185)</f>
        <v>7</v>
      </c>
    </row>
    <row r="186" customFormat="false" ht="15" hidden="false" customHeight="false" outlineLevel="0" collapsed="false">
      <c r="A186" s="12" t="s">
        <v>852</v>
      </c>
      <c r="B186" s="22" t="n">
        <f aca="false">COUNTIFS(選手一覧!$C$7:$C$2738,A186,選手一覧!$E$7:$E$2738,"&lt;=100")</f>
        <v>0</v>
      </c>
      <c r="C186" s="18" t="n">
        <f aca="false">COUNTIFS(選手一覧!$C$7:$C$2738,A186,選手一覧!$E$7:$E$2738,"&gt;0")</f>
        <v>2</v>
      </c>
      <c r="D186" s="14" t="n">
        <f aca="false">IF(C186=0,"",_xlfn.MINIFS(選手一覧!$E$7:$E$2738,選手一覧!$C$7:$C$2738,A186))</f>
        <v>485</v>
      </c>
      <c r="E186" s="20"/>
      <c r="F186" s="18" t="n">
        <f aca="false">COUNTIFS(選手一覧!$C$7:$C$2738,A186,選手一覧!$I$7:$I$2738,"&lt;=100")</f>
        <v>0</v>
      </c>
      <c r="G186" s="18" t="n">
        <f aca="false">COUNTIFS(選手一覧!$C$7:$C$2738,A186,選手一覧!$K$7:$K$2738,"&lt;=100")</f>
        <v>0</v>
      </c>
      <c r="H186" s="17" t="n">
        <f aca="false">COUNTIF(選手一覧!$C$7:$C$2738,A186)</f>
        <v>3</v>
      </c>
    </row>
    <row r="187" customFormat="false" ht="15" hidden="false" customHeight="false" outlineLevel="0" collapsed="false">
      <c r="A187" s="12" t="s">
        <v>860</v>
      </c>
      <c r="B187" s="22" t="n">
        <f aca="false">COUNTIFS(選手一覧!$C$7:$C$2738,A187,選手一覧!$E$7:$E$2738,"&lt;=100")</f>
        <v>0</v>
      </c>
      <c r="C187" s="18" t="n">
        <f aca="false">COUNTIFS(選手一覧!$C$7:$C$2738,A187,選手一覧!$E$7:$E$2738,"&gt;0")</f>
        <v>2</v>
      </c>
      <c r="D187" s="14" t="n">
        <f aca="false">IF(C187=0,"",_xlfn.MINIFS(選手一覧!$E$7:$E$2738,選手一覧!$C$7:$C$2738,A187))</f>
        <v>490</v>
      </c>
      <c r="E187" s="20"/>
      <c r="F187" s="18" t="n">
        <f aca="false">COUNTIFS(選手一覧!$C$7:$C$2738,A187,選手一覧!$I$7:$I$2738,"&lt;=100")</f>
        <v>0</v>
      </c>
      <c r="G187" s="18" t="n">
        <f aca="false">COUNTIFS(選手一覧!$C$7:$C$2738,A187,選手一覧!$K$7:$K$2738,"&lt;=100")</f>
        <v>0</v>
      </c>
      <c r="H187" s="17" t="n">
        <f aca="false">COUNTIF(選手一覧!$C$7:$C$2738,A187)</f>
        <v>2</v>
      </c>
    </row>
    <row r="188" customFormat="false" ht="15" hidden="false" customHeight="false" outlineLevel="0" collapsed="false">
      <c r="A188" s="12" t="s">
        <v>864</v>
      </c>
      <c r="B188" s="22" t="n">
        <f aca="false">COUNTIFS(選手一覧!$C$7:$C$2738,A188,選手一覧!$E$7:$E$2738,"&lt;=100")</f>
        <v>0</v>
      </c>
      <c r="C188" s="18" t="n">
        <f aca="false">COUNTIFS(選手一覧!$C$7:$C$2738,A188,選手一覧!$E$7:$E$2738,"&gt;0")</f>
        <v>2</v>
      </c>
      <c r="D188" s="14" t="n">
        <f aca="false">IF(C188=0,"",_xlfn.MINIFS(選手一覧!$E$7:$E$2738,選手一覧!$C$7:$C$2738,A188))</f>
        <v>493</v>
      </c>
      <c r="E188" s="20"/>
      <c r="F188" s="18" t="n">
        <f aca="false">COUNTIFS(選手一覧!$C$7:$C$2738,A188,選手一覧!$I$7:$I$2738,"&lt;=100")</f>
        <v>0</v>
      </c>
      <c r="G188" s="18" t="n">
        <f aca="false">COUNTIFS(選手一覧!$C$7:$C$2738,A188,選手一覧!$K$7:$K$2738,"&lt;=100")</f>
        <v>0</v>
      </c>
      <c r="H188" s="17" t="n">
        <f aca="false">COUNTIF(選手一覧!$C$7:$C$2738,A188)</f>
        <v>5</v>
      </c>
    </row>
    <row r="189" customFormat="false" ht="15" hidden="false" customHeight="false" outlineLevel="0" collapsed="false">
      <c r="A189" s="12" t="s">
        <v>873</v>
      </c>
      <c r="B189" s="22" t="n">
        <f aca="false">COUNTIFS(選手一覧!$C$7:$C$2738,A189,選手一覧!$E$7:$E$2738,"&lt;=100")</f>
        <v>0</v>
      </c>
      <c r="C189" s="18" t="n">
        <f aca="false">COUNTIFS(選手一覧!$C$7:$C$2738,A189,選手一覧!$E$7:$E$2738,"&gt;0")</f>
        <v>2</v>
      </c>
      <c r="D189" s="14" t="n">
        <f aca="false">IF(C189=0,"",_xlfn.MINIFS(選手一覧!$E$7:$E$2738,選手一覧!$C$7:$C$2738,A189))</f>
        <v>497</v>
      </c>
      <c r="E189" s="20"/>
      <c r="F189" s="18" t="n">
        <f aca="false">COUNTIFS(選手一覧!$C$7:$C$2738,A189,選手一覧!$I$7:$I$2738,"&lt;=100")</f>
        <v>0</v>
      </c>
      <c r="G189" s="18" t="n">
        <f aca="false">COUNTIFS(選手一覧!$C$7:$C$2738,A189,選手一覧!$K$7:$K$2738,"&lt;=100")</f>
        <v>0</v>
      </c>
      <c r="H189" s="17" t="n">
        <f aca="false">COUNTIF(選手一覧!$C$7:$C$2738,A189)</f>
        <v>8</v>
      </c>
    </row>
    <row r="190" customFormat="false" ht="15" hidden="false" customHeight="false" outlineLevel="0" collapsed="false">
      <c r="A190" s="12" t="s">
        <v>875</v>
      </c>
      <c r="B190" s="22" t="n">
        <f aca="false">COUNTIFS(選手一覧!$C$7:$C$2738,A190,選手一覧!$E$7:$E$2738,"&lt;=100")</f>
        <v>0</v>
      </c>
      <c r="C190" s="18" t="n">
        <f aca="false">COUNTIFS(選手一覧!$C$7:$C$2738,A190,選手一覧!$E$7:$E$2738,"&gt;0")</f>
        <v>2</v>
      </c>
      <c r="D190" s="14" t="n">
        <f aca="false">IF(C190=0,"",_xlfn.MINIFS(選手一覧!$E$7:$E$2738,選手一覧!$C$7:$C$2738,A190))</f>
        <v>498</v>
      </c>
      <c r="E190" s="20"/>
      <c r="F190" s="18" t="n">
        <f aca="false">COUNTIFS(選手一覧!$C$7:$C$2738,A190,選手一覧!$I$7:$I$2738,"&lt;=100")</f>
        <v>0</v>
      </c>
      <c r="G190" s="18" t="n">
        <f aca="false">COUNTIFS(選手一覧!$C$7:$C$2738,A190,選手一覧!$K$7:$K$2738,"&lt;=100")</f>
        <v>1</v>
      </c>
      <c r="H190" s="17" t="n">
        <f aca="false">COUNTIF(選手一覧!$C$7:$C$2738,A190)</f>
        <v>8</v>
      </c>
    </row>
    <row r="191" customFormat="false" ht="15" hidden="false" customHeight="false" outlineLevel="0" collapsed="false">
      <c r="A191" s="12" t="s">
        <v>893</v>
      </c>
      <c r="B191" s="22" t="n">
        <f aca="false">COUNTIFS(選手一覧!$C$7:$C$2738,A191,選手一覧!$E$7:$E$2738,"&lt;=100")</f>
        <v>0</v>
      </c>
      <c r="C191" s="18" t="n">
        <f aca="false">COUNTIFS(選手一覧!$C$7:$C$2738,A191,選手一覧!$E$7:$E$2738,"&gt;0")</f>
        <v>2</v>
      </c>
      <c r="D191" s="14" t="n">
        <f aca="false">IF(C191=0,"",_xlfn.MINIFS(選手一覧!$E$7:$E$2738,選手一覧!$C$7:$C$2738,A191))</f>
        <v>508</v>
      </c>
      <c r="E191" s="20"/>
      <c r="F191" s="18" t="n">
        <f aca="false">COUNTIFS(選手一覧!$C$7:$C$2738,A191,選手一覧!$I$7:$I$2738,"&lt;=100")</f>
        <v>1</v>
      </c>
      <c r="G191" s="18" t="n">
        <f aca="false">COUNTIFS(選手一覧!$C$7:$C$2738,A191,選手一覧!$K$7:$K$2738,"&lt;=100")</f>
        <v>0</v>
      </c>
      <c r="H191" s="17" t="n">
        <f aca="false">COUNTIF(選手一覧!$C$7:$C$2738,A191)</f>
        <v>2</v>
      </c>
    </row>
    <row r="192" customFormat="false" ht="15" hidden="false" customHeight="false" outlineLevel="0" collapsed="false">
      <c r="A192" s="12" t="s">
        <v>910</v>
      </c>
      <c r="B192" s="22" t="n">
        <f aca="false">COUNTIFS(選手一覧!$C$7:$C$2738,A192,選手一覧!$E$7:$E$2738,"&lt;=100")</f>
        <v>0</v>
      </c>
      <c r="C192" s="18" t="n">
        <f aca="false">COUNTIFS(選手一覧!$C$7:$C$2738,A192,選手一覧!$E$7:$E$2738,"&gt;0")</f>
        <v>2</v>
      </c>
      <c r="D192" s="14" t="n">
        <f aca="false">IF(C192=0,"",_xlfn.MINIFS(選手一覧!$E$7:$E$2738,選手一覧!$C$7:$C$2738,A192))</f>
        <v>518</v>
      </c>
      <c r="E192" s="20"/>
      <c r="F192" s="18" t="n">
        <f aca="false">COUNTIFS(選手一覧!$C$7:$C$2738,A192,選手一覧!$I$7:$I$2738,"&lt;=100")</f>
        <v>0</v>
      </c>
      <c r="G192" s="18" t="n">
        <f aca="false">COUNTIFS(選手一覧!$C$7:$C$2738,A192,選手一覧!$K$7:$K$2738,"&lt;=100")</f>
        <v>0</v>
      </c>
      <c r="H192" s="17" t="n">
        <f aca="false">COUNTIF(選手一覧!$C$7:$C$2738,A192)</f>
        <v>2</v>
      </c>
    </row>
    <row r="193" customFormat="false" ht="15" hidden="false" customHeight="false" outlineLevel="0" collapsed="false">
      <c r="A193" s="12" t="s">
        <v>936</v>
      </c>
      <c r="B193" s="22" t="n">
        <f aca="false">COUNTIFS(選手一覧!$C$7:$C$2738,A193,選手一覧!$E$7:$E$2738,"&lt;=100")</f>
        <v>0</v>
      </c>
      <c r="C193" s="18" t="n">
        <f aca="false">COUNTIFS(選手一覧!$C$7:$C$2738,A193,選手一覧!$E$7:$E$2738,"&gt;0")</f>
        <v>2</v>
      </c>
      <c r="D193" s="14" t="n">
        <f aca="false">IF(C193=0,"",_xlfn.MINIFS(選手一覧!$E$7:$E$2738,選手一覧!$C$7:$C$2738,A193))</f>
        <v>534</v>
      </c>
      <c r="E193" s="20"/>
      <c r="F193" s="18" t="n">
        <f aca="false">COUNTIFS(選手一覧!$C$7:$C$2738,A193,選手一覧!$I$7:$I$2738,"&lt;=100")</f>
        <v>0</v>
      </c>
      <c r="G193" s="18" t="n">
        <f aca="false">COUNTIFS(選手一覧!$C$7:$C$2738,A193,選手一覧!$K$7:$K$2738,"&lt;=100")</f>
        <v>0</v>
      </c>
      <c r="H193" s="17" t="n">
        <f aca="false">COUNTIF(選手一覧!$C$7:$C$2738,A193)</f>
        <v>2</v>
      </c>
    </row>
    <row r="194" customFormat="false" ht="15" hidden="false" customHeight="false" outlineLevel="0" collapsed="false">
      <c r="A194" s="12" t="s">
        <v>947</v>
      </c>
      <c r="B194" s="22" t="n">
        <f aca="false">COUNTIFS(選手一覧!$C$7:$C$2738,A194,選手一覧!$E$7:$E$2738,"&lt;=100")</f>
        <v>0</v>
      </c>
      <c r="C194" s="18" t="n">
        <f aca="false">COUNTIFS(選手一覧!$C$7:$C$2738,A194,選手一覧!$E$7:$E$2738,"&gt;0")</f>
        <v>2</v>
      </c>
      <c r="D194" s="14" t="n">
        <f aca="false">IF(C194=0,"",_xlfn.MINIFS(選手一覧!$E$7:$E$2738,選手一覧!$C$7:$C$2738,A194))</f>
        <v>541</v>
      </c>
      <c r="E194" s="20"/>
      <c r="F194" s="18" t="n">
        <f aca="false">COUNTIFS(選手一覧!$C$7:$C$2738,A194,選手一覧!$I$7:$I$2738,"&lt;=100")</f>
        <v>1</v>
      </c>
      <c r="G194" s="18" t="n">
        <f aca="false">COUNTIFS(選手一覧!$C$7:$C$2738,A194,選手一覧!$K$7:$K$2738,"&lt;=100")</f>
        <v>0</v>
      </c>
      <c r="H194" s="17" t="n">
        <f aca="false">COUNTIF(選手一覧!$C$7:$C$2738,A194)</f>
        <v>3</v>
      </c>
    </row>
    <row r="195" customFormat="false" ht="15" hidden="false" customHeight="false" outlineLevel="0" collapsed="false">
      <c r="A195" s="12" t="s">
        <v>961</v>
      </c>
      <c r="B195" s="22" t="n">
        <f aca="false">COUNTIFS(選手一覧!$C$7:$C$2738,A195,選手一覧!$E$7:$E$2738,"&lt;=100")</f>
        <v>0</v>
      </c>
      <c r="C195" s="18" t="n">
        <f aca="false">COUNTIFS(選手一覧!$C$7:$C$2738,A195,選手一覧!$E$7:$E$2738,"&gt;0")</f>
        <v>2</v>
      </c>
      <c r="D195" s="14" t="n">
        <f aca="false">IF(C195=0,"",_xlfn.MINIFS(選手一覧!$E$7:$E$2738,選手一覧!$C$7:$C$2738,A195))</f>
        <v>551</v>
      </c>
      <c r="E195" s="20"/>
      <c r="F195" s="18" t="n">
        <f aca="false">COUNTIFS(選手一覧!$C$7:$C$2738,A195,選手一覧!$I$7:$I$2738,"&lt;=100")</f>
        <v>0</v>
      </c>
      <c r="G195" s="18" t="n">
        <f aca="false">COUNTIFS(選手一覧!$C$7:$C$2738,A195,選手一覧!$K$7:$K$2738,"&lt;=100")</f>
        <v>0</v>
      </c>
      <c r="H195" s="17" t="n">
        <f aca="false">COUNTIF(選手一覧!$C$7:$C$2738,A195)</f>
        <v>3</v>
      </c>
    </row>
    <row r="196" customFormat="false" ht="15" hidden="false" customHeight="false" outlineLevel="0" collapsed="false">
      <c r="A196" s="12" t="s">
        <v>965</v>
      </c>
      <c r="B196" s="22" t="n">
        <f aca="false">COUNTIFS(選手一覧!$C$7:$C$2738,A196,選手一覧!$E$7:$E$2738,"&lt;=100")</f>
        <v>0</v>
      </c>
      <c r="C196" s="18" t="n">
        <f aca="false">COUNTIFS(選手一覧!$C$7:$C$2738,A196,選手一覧!$E$7:$E$2738,"&gt;0")</f>
        <v>2</v>
      </c>
      <c r="D196" s="14" t="n">
        <f aca="false">IF(C196=0,"",_xlfn.MINIFS(選手一覧!$E$7:$E$2738,選手一覧!$C$7:$C$2738,A196))</f>
        <v>553</v>
      </c>
      <c r="E196" s="20"/>
      <c r="F196" s="18" t="n">
        <f aca="false">COUNTIFS(選手一覧!$C$7:$C$2738,A196,選手一覧!$I$7:$I$2738,"&lt;=100")</f>
        <v>1</v>
      </c>
      <c r="G196" s="18" t="n">
        <f aca="false">COUNTIFS(選手一覧!$C$7:$C$2738,A196,選手一覧!$K$7:$K$2738,"&lt;=100")</f>
        <v>0</v>
      </c>
      <c r="H196" s="17" t="n">
        <f aca="false">COUNTIF(選手一覧!$C$7:$C$2738,A196)</f>
        <v>2</v>
      </c>
    </row>
    <row r="197" customFormat="false" ht="15" hidden="false" customHeight="false" outlineLevel="0" collapsed="false">
      <c r="A197" s="12" t="s">
        <v>968</v>
      </c>
      <c r="B197" s="22" t="n">
        <f aca="false">COUNTIFS(選手一覧!$C$7:$C$2738,A197,選手一覧!$E$7:$E$2738,"&lt;=100")</f>
        <v>0</v>
      </c>
      <c r="C197" s="18" t="n">
        <f aca="false">COUNTIFS(選手一覧!$C$7:$C$2738,A197,選手一覧!$E$7:$E$2738,"&gt;0")</f>
        <v>2</v>
      </c>
      <c r="D197" s="14" t="n">
        <f aca="false">IF(C197=0,"",_xlfn.MINIFS(選手一覧!$E$7:$E$2738,選手一覧!$C$7:$C$2738,A197))</f>
        <v>555</v>
      </c>
      <c r="E197" s="20"/>
      <c r="F197" s="18" t="n">
        <f aca="false">COUNTIFS(選手一覧!$C$7:$C$2738,A197,選手一覧!$I$7:$I$2738,"&lt;=100")</f>
        <v>0</v>
      </c>
      <c r="G197" s="18" t="n">
        <f aca="false">COUNTIFS(選手一覧!$C$7:$C$2738,A197,選手一覧!$K$7:$K$2738,"&lt;=100")</f>
        <v>0</v>
      </c>
      <c r="H197" s="17" t="n">
        <f aca="false">COUNTIF(選手一覧!$C$7:$C$2738,A197)</f>
        <v>3</v>
      </c>
    </row>
    <row r="198" customFormat="false" ht="15" hidden="false" customHeight="false" outlineLevel="0" collapsed="false">
      <c r="A198" s="12" t="s">
        <v>980</v>
      </c>
      <c r="B198" s="22" t="n">
        <f aca="false">COUNTIFS(選手一覧!$C$7:$C$2738,A198,選手一覧!$E$7:$E$2738,"&lt;=100")</f>
        <v>0</v>
      </c>
      <c r="C198" s="18" t="n">
        <f aca="false">COUNTIFS(選手一覧!$C$7:$C$2738,A198,選手一覧!$E$7:$E$2738,"&gt;0")</f>
        <v>2</v>
      </c>
      <c r="D198" s="14" t="n">
        <f aca="false">IF(C198=0,"",_xlfn.MINIFS(選手一覧!$E$7:$E$2738,選手一覧!$C$7:$C$2738,A198))</f>
        <v>563</v>
      </c>
      <c r="E198" s="20"/>
      <c r="F198" s="18" t="n">
        <f aca="false">COUNTIFS(選手一覧!$C$7:$C$2738,A198,選手一覧!$I$7:$I$2738,"&lt;=100")</f>
        <v>0</v>
      </c>
      <c r="G198" s="18" t="n">
        <f aca="false">COUNTIFS(選手一覧!$C$7:$C$2738,A198,選手一覧!$K$7:$K$2738,"&lt;=100")</f>
        <v>0</v>
      </c>
      <c r="H198" s="17" t="n">
        <f aca="false">COUNTIF(選手一覧!$C$7:$C$2738,A198)</f>
        <v>4</v>
      </c>
    </row>
    <row r="199" customFormat="false" ht="15" hidden="false" customHeight="false" outlineLevel="0" collapsed="false">
      <c r="A199" s="12" t="s">
        <v>1104</v>
      </c>
      <c r="B199" s="22" t="n">
        <f aca="false">COUNTIFS(選手一覧!$C$7:$C$2738,A199,選手一覧!$E$7:$E$2738,"&lt;=100")</f>
        <v>0</v>
      </c>
      <c r="C199" s="18" t="n">
        <f aca="false">COUNTIFS(選手一覧!$C$7:$C$2738,A199,選手一覧!$E$7:$E$2738,"&gt;0")</f>
        <v>2</v>
      </c>
      <c r="D199" s="14" t="n">
        <f aca="false">IF(C199=0,"",_xlfn.MINIFS(選手一覧!$E$7:$E$2738,選手一覧!$C$7:$C$2738,A199))</f>
        <v>654</v>
      </c>
      <c r="E199" s="20"/>
      <c r="F199" s="18" t="n">
        <f aca="false">COUNTIFS(選手一覧!$C$7:$C$2738,A199,選手一覧!$I$7:$I$2738,"&lt;=100")</f>
        <v>0</v>
      </c>
      <c r="G199" s="18" t="n">
        <f aca="false">COUNTIFS(選手一覧!$C$7:$C$2738,A199,選手一覧!$K$7:$K$2738,"&lt;=100")</f>
        <v>0</v>
      </c>
      <c r="H199" s="17" t="n">
        <f aca="false">COUNTIF(選手一覧!$C$7:$C$2738,A199)</f>
        <v>2</v>
      </c>
    </row>
    <row r="200" customFormat="false" ht="15" hidden="false" customHeight="false" outlineLevel="0" collapsed="false">
      <c r="A200" s="12" t="s">
        <v>1148</v>
      </c>
      <c r="B200" s="22" t="n">
        <f aca="false">COUNTIFS(選手一覧!$C$7:$C$2738,A200,選手一覧!$E$7:$E$2738,"&lt;=100")</f>
        <v>0</v>
      </c>
      <c r="C200" s="18" t="n">
        <f aca="false">COUNTIFS(選手一覧!$C$7:$C$2738,A200,選手一覧!$E$7:$E$2738,"&gt;0")</f>
        <v>2</v>
      </c>
      <c r="D200" s="14" t="n">
        <f aca="false">IF(C200=0,"",_xlfn.MINIFS(選手一覧!$E$7:$E$2738,選手一覧!$C$7:$C$2738,A200))</f>
        <v>680</v>
      </c>
      <c r="E200" s="20"/>
      <c r="F200" s="18" t="n">
        <f aca="false">COUNTIFS(選手一覧!$C$7:$C$2738,A200,選手一覧!$I$7:$I$2738,"&lt;=100")</f>
        <v>0</v>
      </c>
      <c r="G200" s="18" t="n">
        <f aca="false">COUNTIFS(選手一覧!$C$7:$C$2738,A200,選手一覧!$K$7:$K$2738,"&lt;=100")</f>
        <v>0</v>
      </c>
      <c r="H200" s="17" t="n">
        <f aca="false">COUNTIF(選手一覧!$C$7:$C$2738,A200)</f>
        <v>3</v>
      </c>
    </row>
    <row r="201" customFormat="false" ht="15" hidden="false" customHeight="false" outlineLevel="0" collapsed="false">
      <c r="A201" s="12" t="s">
        <v>1166</v>
      </c>
      <c r="B201" s="22" t="n">
        <f aca="false">COUNTIFS(選手一覧!$C$7:$C$2738,A201,選手一覧!$E$7:$E$2738,"&lt;=100")</f>
        <v>0</v>
      </c>
      <c r="C201" s="18" t="n">
        <f aca="false">COUNTIFS(選手一覧!$C$7:$C$2738,A201,選手一覧!$E$7:$E$2738,"&gt;0")</f>
        <v>2</v>
      </c>
      <c r="D201" s="14" t="n">
        <f aca="false">IF(C201=0,"",_xlfn.MINIFS(選手一覧!$E$7:$E$2738,選手一覧!$C$7:$C$2738,A201))</f>
        <v>691</v>
      </c>
      <c r="E201" s="20"/>
      <c r="F201" s="18" t="n">
        <f aca="false">COUNTIFS(選手一覧!$C$7:$C$2738,A201,選手一覧!$I$7:$I$2738,"&lt;=100")</f>
        <v>0</v>
      </c>
      <c r="G201" s="18" t="n">
        <f aca="false">COUNTIFS(選手一覧!$C$7:$C$2738,A201,選手一覧!$K$7:$K$2738,"&lt;=100")</f>
        <v>0</v>
      </c>
      <c r="H201" s="17" t="n">
        <f aca="false">COUNTIF(選手一覧!$C$7:$C$2738,A201)</f>
        <v>4</v>
      </c>
    </row>
    <row r="202" customFormat="false" ht="15" hidden="false" customHeight="false" outlineLevel="0" collapsed="false">
      <c r="A202" s="12" t="s">
        <v>1184</v>
      </c>
      <c r="B202" s="22" t="n">
        <f aca="false">COUNTIFS(選手一覧!$C$7:$C$2738,A202,選手一覧!$E$7:$E$2738,"&lt;=100")</f>
        <v>0</v>
      </c>
      <c r="C202" s="18" t="n">
        <f aca="false">COUNTIFS(選手一覧!$C$7:$C$2738,A202,選手一覧!$E$7:$E$2738,"&gt;0")</f>
        <v>2</v>
      </c>
      <c r="D202" s="14" t="n">
        <f aca="false">IF(C202=0,"",_xlfn.MINIFS(選手一覧!$E$7:$E$2738,選手一覧!$C$7:$C$2738,A202))</f>
        <v>704</v>
      </c>
      <c r="E202" s="20"/>
      <c r="F202" s="18" t="n">
        <f aca="false">COUNTIFS(選手一覧!$C$7:$C$2738,A202,選手一覧!$I$7:$I$2738,"&lt;=100")</f>
        <v>0</v>
      </c>
      <c r="G202" s="18" t="n">
        <f aca="false">COUNTIFS(選手一覧!$C$7:$C$2738,A202,選手一覧!$K$7:$K$2738,"&lt;=100")</f>
        <v>0</v>
      </c>
      <c r="H202" s="17" t="n">
        <f aca="false">COUNTIF(選手一覧!$C$7:$C$2738,A202)</f>
        <v>4</v>
      </c>
    </row>
    <row r="203" customFormat="false" ht="15" hidden="false" customHeight="false" outlineLevel="0" collapsed="false">
      <c r="A203" s="12" t="s">
        <v>1196</v>
      </c>
      <c r="B203" s="22" t="n">
        <f aca="false">COUNTIFS(選手一覧!$C$7:$C$2738,A203,選手一覧!$E$7:$E$2738,"&lt;=100")</f>
        <v>0</v>
      </c>
      <c r="C203" s="18" t="n">
        <f aca="false">COUNTIFS(選手一覧!$C$7:$C$2738,A203,選手一覧!$E$7:$E$2738,"&gt;0")</f>
        <v>2</v>
      </c>
      <c r="D203" s="14" t="n">
        <f aca="false">IF(C203=0,"",_xlfn.MINIFS(選手一覧!$E$7:$E$2738,選手一覧!$C$7:$C$2738,A203))</f>
        <v>711</v>
      </c>
      <c r="E203" s="20"/>
      <c r="F203" s="18" t="n">
        <f aca="false">COUNTIFS(選手一覧!$C$7:$C$2738,A203,選手一覧!$I$7:$I$2738,"&lt;=100")</f>
        <v>0</v>
      </c>
      <c r="G203" s="18" t="n">
        <f aca="false">COUNTIFS(選手一覧!$C$7:$C$2738,A203,選手一覧!$K$7:$K$2738,"&lt;=100")</f>
        <v>0</v>
      </c>
      <c r="H203" s="17" t="n">
        <f aca="false">COUNTIF(選手一覧!$C$7:$C$2738,A203)</f>
        <v>2</v>
      </c>
    </row>
    <row r="204" customFormat="false" ht="15" hidden="false" customHeight="false" outlineLevel="0" collapsed="false">
      <c r="A204" s="12" t="s">
        <v>1199</v>
      </c>
      <c r="B204" s="22" t="n">
        <f aca="false">COUNTIFS(選手一覧!$C$7:$C$2738,A204,選手一覧!$E$7:$E$2738,"&lt;=100")</f>
        <v>0</v>
      </c>
      <c r="C204" s="18" t="n">
        <f aca="false">COUNTIFS(選手一覧!$C$7:$C$2738,A204,選手一覧!$E$7:$E$2738,"&gt;0")</f>
        <v>2</v>
      </c>
      <c r="D204" s="14" t="n">
        <f aca="false">IF(C204=0,"",_xlfn.MINIFS(選手一覧!$E$7:$E$2738,選手一覧!$C$7:$C$2738,A204))</f>
        <v>713</v>
      </c>
      <c r="E204" s="20"/>
      <c r="F204" s="18" t="n">
        <f aca="false">COUNTIFS(選手一覧!$C$7:$C$2738,A204,選手一覧!$I$7:$I$2738,"&lt;=100")</f>
        <v>0</v>
      </c>
      <c r="G204" s="18" t="n">
        <f aca="false">COUNTIFS(選手一覧!$C$7:$C$2738,A204,選手一覧!$K$7:$K$2738,"&lt;=100")</f>
        <v>0</v>
      </c>
      <c r="H204" s="17" t="n">
        <f aca="false">COUNTIF(選手一覧!$C$7:$C$2738,A204)</f>
        <v>4</v>
      </c>
    </row>
    <row r="205" customFormat="false" ht="15" hidden="false" customHeight="false" outlineLevel="0" collapsed="false">
      <c r="A205" s="12" t="s">
        <v>1209</v>
      </c>
      <c r="B205" s="22" t="n">
        <f aca="false">COUNTIFS(選手一覧!$C$7:$C$2738,A205,選手一覧!$E$7:$E$2738,"&lt;=100")</f>
        <v>0</v>
      </c>
      <c r="C205" s="18" t="n">
        <f aca="false">COUNTIFS(選手一覧!$C$7:$C$2738,A205,選手一覧!$E$7:$E$2738,"&gt;0")</f>
        <v>2</v>
      </c>
      <c r="D205" s="14" t="n">
        <f aca="false">IF(C205=0,"",_xlfn.MINIFS(選手一覧!$E$7:$E$2738,選手一覧!$C$7:$C$2738,A205))</f>
        <v>720</v>
      </c>
      <c r="E205" s="20"/>
      <c r="F205" s="18" t="n">
        <f aca="false">COUNTIFS(選手一覧!$C$7:$C$2738,A205,選手一覧!$I$7:$I$2738,"&lt;=100")</f>
        <v>0</v>
      </c>
      <c r="G205" s="18" t="n">
        <f aca="false">COUNTIFS(選手一覧!$C$7:$C$2738,A205,選手一覧!$K$7:$K$2738,"&lt;=100")</f>
        <v>0</v>
      </c>
      <c r="H205" s="17" t="n">
        <f aca="false">COUNTIF(選手一覧!$C$7:$C$2738,A205)</f>
        <v>3</v>
      </c>
    </row>
    <row r="206" customFormat="false" ht="15" hidden="false" customHeight="false" outlineLevel="0" collapsed="false">
      <c r="A206" s="12" t="s">
        <v>1212</v>
      </c>
      <c r="B206" s="22" t="n">
        <f aca="false">COUNTIFS(選手一覧!$C$7:$C$2738,A206,選手一覧!$E$7:$E$2738,"&lt;=100")</f>
        <v>0</v>
      </c>
      <c r="C206" s="18" t="n">
        <f aca="false">COUNTIFS(選手一覧!$C$7:$C$2738,A206,選手一覧!$E$7:$E$2738,"&gt;0")</f>
        <v>2</v>
      </c>
      <c r="D206" s="14" t="n">
        <f aca="false">IF(C206=0,"",_xlfn.MINIFS(選手一覧!$E$7:$E$2738,選手一覧!$C$7:$C$2738,A206))</f>
        <v>721</v>
      </c>
      <c r="E206" s="20"/>
      <c r="F206" s="18" t="n">
        <f aca="false">COUNTIFS(選手一覧!$C$7:$C$2738,A206,選手一覧!$I$7:$I$2738,"&lt;=100")</f>
        <v>0</v>
      </c>
      <c r="G206" s="18" t="n">
        <f aca="false">COUNTIFS(選手一覧!$C$7:$C$2738,A206,選手一覧!$K$7:$K$2738,"&lt;=100")</f>
        <v>0</v>
      </c>
      <c r="H206" s="17" t="n">
        <f aca="false">COUNTIF(選手一覧!$C$7:$C$2738,A206)</f>
        <v>5</v>
      </c>
    </row>
    <row r="207" customFormat="false" ht="15" hidden="false" customHeight="false" outlineLevel="0" collapsed="false">
      <c r="A207" s="12" t="s">
        <v>1227</v>
      </c>
      <c r="B207" s="22" t="n">
        <f aca="false">COUNTIFS(選手一覧!$C$7:$C$2738,A207,選手一覧!$E$7:$E$2738,"&lt;=100")</f>
        <v>0</v>
      </c>
      <c r="C207" s="18" t="n">
        <f aca="false">COUNTIFS(選手一覧!$C$7:$C$2738,A207,選手一覧!$E$7:$E$2738,"&gt;0")</f>
        <v>2</v>
      </c>
      <c r="D207" s="14" t="n">
        <f aca="false">IF(C207=0,"",_xlfn.MINIFS(選手一覧!$E$7:$E$2738,選手一覧!$C$7:$C$2738,A207))</f>
        <v>731</v>
      </c>
      <c r="E207" s="20"/>
      <c r="F207" s="18" t="n">
        <f aca="false">COUNTIFS(選手一覧!$C$7:$C$2738,A207,選手一覧!$I$7:$I$2738,"&lt;=100")</f>
        <v>0</v>
      </c>
      <c r="G207" s="18" t="n">
        <f aca="false">COUNTIFS(選手一覧!$C$7:$C$2738,A207,選手一覧!$K$7:$K$2738,"&lt;=100")</f>
        <v>0</v>
      </c>
      <c r="H207" s="17" t="n">
        <f aca="false">COUNTIF(選手一覧!$C$7:$C$2738,A207)</f>
        <v>4</v>
      </c>
    </row>
    <row r="208" customFormat="false" ht="15" hidden="false" customHeight="false" outlineLevel="0" collapsed="false">
      <c r="A208" s="12" t="s">
        <v>1229</v>
      </c>
      <c r="B208" s="22" t="n">
        <f aca="false">COUNTIFS(選手一覧!$C$7:$C$2738,A208,選手一覧!$E$7:$E$2738,"&lt;=100")</f>
        <v>0</v>
      </c>
      <c r="C208" s="18" t="n">
        <f aca="false">COUNTIFS(選手一覧!$C$7:$C$2738,A208,選手一覧!$E$7:$E$2738,"&gt;0")</f>
        <v>2</v>
      </c>
      <c r="D208" s="14" t="n">
        <f aca="false">IF(C208=0,"",_xlfn.MINIFS(選手一覧!$E$7:$E$2738,選手一覧!$C$7:$C$2738,A208))</f>
        <v>732</v>
      </c>
      <c r="E208" s="20"/>
      <c r="F208" s="18" t="n">
        <f aca="false">COUNTIFS(選手一覧!$C$7:$C$2738,A208,選手一覧!$I$7:$I$2738,"&lt;=100")</f>
        <v>0</v>
      </c>
      <c r="G208" s="18" t="n">
        <f aca="false">COUNTIFS(選手一覧!$C$7:$C$2738,A208,選手一覧!$K$7:$K$2738,"&lt;=100")</f>
        <v>0</v>
      </c>
      <c r="H208" s="17" t="n">
        <f aca="false">COUNTIF(選手一覧!$C$7:$C$2738,A208)</f>
        <v>5</v>
      </c>
    </row>
    <row r="209" customFormat="false" ht="15" hidden="false" customHeight="false" outlineLevel="0" collapsed="false">
      <c r="A209" s="12" t="s">
        <v>1245</v>
      </c>
      <c r="B209" s="22" t="n">
        <f aca="false">COUNTIFS(選手一覧!$C$7:$C$2738,A209,選手一覧!$E$7:$E$2738,"&lt;=100")</f>
        <v>0</v>
      </c>
      <c r="C209" s="18" t="n">
        <f aca="false">COUNTIFS(選手一覧!$C$7:$C$2738,A209,選手一覧!$E$7:$E$2738,"&gt;0")</f>
        <v>2</v>
      </c>
      <c r="D209" s="14" t="n">
        <f aca="false">IF(C209=0,"",_xlfn.MINIFS(選手一覧!$E$7:$E$2738,選手一覧!$C$7:$C$2738,A209))</f>
        <v>743</v>
      </c>
      <c r="E209" s="20"/>
      <c r="F209" s="18" t="n">
        <f aca="false">COUNTIFS(選手一覧!$C$7:$C$2738,A209,選手一覧!$I$7:$I$2738,"&lt;=100")</f>
        <v>0</v>
      </c>
      <c r="G209" s="18" t="n">
        <f aca="false">COUNTIFS(選手一覧!$C$7:$C$2738,A209,選手一覧!$K$7:$K$2738,"&lt;=100")</f>
        <v>0</v>
      </c>
      <c r="H209" s="17" t="n">
        <f aca="false">COUNTIF(選手一覧!$C$7:$C$2738,A209)</f>
        <v>2</v>
      </c>
    </row>
    <row r="210" customFormat="false" ht="15" hidden="false" customHeight="false" outlineLevel="0" collapsed="false">
      <c r="A210" s="12" t="s">
        <v>1269</v>
      </c>
      <c r="B210" s="22" t="n">
        <f aca="false">COUNTIFS(選手一覧!$C$7:$C$2738,A210,選手一覧!$E$7:$E$2738,"&lt;=100")</f>
        <v>0</v>
      </c>
      <c r="C210" s="18" t="n">
        <f aca="false">COUNTIFS(選手一覧!$C$7:$C$2738,A210,選手一覧!$E$7:$E$2738,"&gt;0")</f>
        <v>2</v>
      </c>
      <c r="D210" s="14" t="n">
        <f aca="false">IF(C210=0,"",_xlfn.MINIFS(選手一覧!$E$7:$E$2738,選手一覧!$C$7:$C$2738,A210))</f>
        <v>757</v>
      </c>
      <c r="E210" s="20"/>
      <c r="F210" s="18" t="n">
        <f aca="false">COUNTIFS(選手一覧!$C$7:$C$2738,A210,選手一覧!$I$7:$I$2738,"&lt;=100")</f>
        <v>0</v>
      </c>
      <c r="G210" s="18" t="n">
        <f aca="false">COUNTIFS(選手一覧!$C$7:$C$2738,A210,選手一覧!$K$7:$K$2738,"&lt;=100")</f>
        <v>0</v>
      </c>
      <c r="H210" s="17" t="n">
        <f aca="false">COUNTIF(選手一覧!$C$7:$C$2738,A210)</f>
        <v>5</v>
      </c>
    </row>
    <row r="211" customFormat="false" ht="15" hidden="false" customHeight="false" outlineLevel="0" collapsed="false">
      <c r="A211" s="12" t="s">
        <v>1284</v>
      </c>
      <c r="B211" s="22" t="n">
        <f aca="false">COUNTIFS(選手一覧!$C$7:$C$2738,A211,選手一覧!$E$7:$E$2738,"&lt;=100")</f>
        <v>0</v>
      </c>
      <c r="C211" s="18" t="n">
        <f aca="false">COUNTIFS(選手一覧!$C$7:$C$2738,A211,選手一覧!$E$7:$E$2738,"&gt;0")</f>
        <v>2</v>
      </c>
      <c r="D211" s="14" t="n">
        <f aca="false">IF(C211=0,"",_xlfn.MINIFS(選手一覧!$E$7:$E$2738,選手一覧!$C$7:$C$2738,A211))</f>
        <v>768</v>
      </c>
      <c r="E211" s="20"/>
      <c r="F211" s="18" t="n">
        <f aca="false">COUNTIFS(選手一覧!$C$7:$C$2738,A211,選手一覧!$I$7:$I$2738,"&lt;=100")</f>
        <v>0</v>
      </c>
      <c r="G211" s="18" t="n">
        <f aca="false">COUNTIFS(選手一覧!$C$7:$C$2738,A211,選手一覧!$K$7:$K$2738,"&lt;=100")</f>
        <v>0</v>
      </c>
      <c r="H211" s="17" t="n">
        <f aca="false">COUNTIF(選手一覧!$C$7:$C$2738,A211)</f>
        <v>3</v>
      </c>
    </row>
    <row r="212" customFormat="false" ht="15" hidden="false" customHeight="false" outlineLevel="0" collapsed="false">
      <c r="A212" s="12" t="s">
        <v>1286</v>
      </c>
      <c r="B212" s="22" t="n">
        <f aca="false">COUNTIFS(選手一覧!$C$7:$C$2738,A212,選手一覧!$E$7:$E$2738,"&lt;=100")</f>
        <v>0</v>
      </c>
      <c r="C212" s="18" t="n">
        <f aca="false">COUNTIFS(選手一覧!$C$7:$C$2738,A212,選手一覧!$E$7:$E$2738,"&gt;0")</f>
        <v>2</v>
      </c>
      <c r="D212" s="14" t="n">
        <f aca="false">IF(C212=0,"",_xlfn.MINIFS(選手一覧!$E$7:$E$2738,選手一覧!$C$7:$C$2738,A212))</f>
        <v>769</v>
      </c>
      <c r="E212" s="20"/>
      <c r="F212" s="18" t="n">
        <f aca="false">COUNTIFS(選手一覧!$C$7:$C$2738,A212,選手一覧!$I$7:$I$2738,"&lt;=100")</f>
        <v>0</v>
      </c>
      <c r="G212" s="18" t="n">
        <f aca="false">COUNTIFS(選手一覧!$C$7:$C$2738,A212,選手一覧!$K$7:$K$2738,"&lt;=100")</f>
        <v>0</v>
      </c>
      <c r="H212" s="17" t="n">
        <f aca="false">COUNTIF(選手一覧!$C$7:$C$2738,A212)</f>
        <v>2</v>
      </c>
    </row>
    <row r="213" customFormat="false" ht="15" hidden="false" customHeight="false" outlineLevel="0" collapsed="false">
      <c r="A213" s="12" t="s">
        <v>1310</v>
      </c>
      <c r="B213" s="22" t="n">
        <f aca="false">COUNTIFS(選手一覧!$C$7:$C$2738,A213,選手一覧!$E$7:$E$2738,"&lt;=100")</f>
        <v>0</v>
      </c>
      <c r="C213" s="18" t="n">
        <f aca="false">COUNTIFS(選手一覧!$C$7:$C$2738,A213,選手一覧!$E$7:$E$2738,"&gt;0")</f>
        <v>2</v>
      </c>
      <c r="D213" s="14" t="n">
        <f aca="false">IF(C213=0,"",_xlfn.MINIFS(選手一覧!$E$7:$E$2738,選手一覧!$C$7:$C$2738,A213))</f>
        <v>789</v>
      </c>
      <c r="E213" s="20"/>
      <c r="F213" s="18" t="n">
        <f aca="false">COUNTIFS(選手一覧!$C$7:$C$2738,A213,選手一覧!$I$7:$I$2738,"&lt;=100")</f>
        <v>0</v>
      </c>
      <c r="G213" s="18" t="n">
        <f aca="false">COUNTIFS(選手一覧!$C$7:$C$2738,A213,選手一覧!$K$7:$K$2738,"&lt;=100")</f>
        <v>0</v>
      </c>
      <c r="H213" s="17" t="n">
        <f aca="false">COUNTIF(選手一覧!$C$7:$C$2738,A213)</f>
        <v>3</v>
      </c>
    </row>
    <row r="214" customFormat="false" ht="15" hidden="false" customHeight="false" outlineLevel="0" collapsed="false">
      <c r="A214" s="12" t="s">
        <v>1334</v>
      </c>
      <c r="B214" s="22" t="n">
        <f aca="false">COUNTIFS(選手一覧!$C$7:$C$2738,A214,選手一覧!$E$7:$E$2738,"&lt;=100")</f>
        <v>0</v>
      </c>
      <c r="C214" s="18" t="n">
        <f aca="false">COUNTIFS(選手一覧!$C$7:$C$2738,A214,選手一覧!$E$7:$E$2738,"&gt;0")</f>
        <v>2</v>
      </c>
      <c r="D214" s="14" t="n">
        <f aca="false">IF(C214=0,"",_xlfn.MINIFS(選手一覧!$E$7:$E$2738,選手一覧!$C$7:$C$2738,A214))</f>
        <v>805</v>
      </c>
      <c r="E214" s="20"/>
      <c r="F214" s="18" t="n">
        <f aca="false">COUNTIFS(選手一覧!$C$7:$C$2738,A214,選手一覧!$I$7:$I$2738,"&lt;=100")</f>
        <v>0</v>
      </c>
      <c r="G214" s="18" t="n">
        <f aca="false">COUNTIFS(選手一覧!$C$7:$C$2738,A214,選手一覧!$K$7:$K$2738,"&lt;=100")</f>
        <v>0</v>
      </c>
      <c r="H214" s="17" t="n">
        <f aca="false">COUNTIF(選手一覧!$C$7:$C$2738,A214)</f>
        <v>4</v>
      </c>
    </row>
    <row r="215" customFormat="false" ht="15" hidden="false" customHeight="false" outlineLevel="0" collapsed="false">
      <c r="A215" s="12" t="s">
        <v>1348</v>
      </c>
      <c r="B215" s="22" t="n">
        <f aca="false">COUNTIFS(選手一覧!$C$7:$C$2738,A215,選手一覧!$E$7:$E$2738,"&lt;=100")</f>
        <v>0</v>
      </c>
      <c r="C215" s="18" t="n">
        <f aca="false">COUNTIFS(選手一覧!$C$7:$C$2738,A215,選手一覧!$E$7:$E$2738,"&gt;0")</f>
        <v>2</v>
      </c>
      <c r="D215" s="14" t="n">
        <f aca="false">IF(C215=0,"",_xlfn.MINIFS(選手一覧!$E$7:$E$2738,選手一覧!$C$7:$C$2738,A215))</f>
        <v>813</v>
      </c>
      <c r="E215" s="20"/>
      <c r="F215" s="18" t="n">
        <f aca="false">COUNTIFS(選手一覧!$C$7:$C$2738,A215,選手一覧!$I$7:$I$2738,"&lt;=100")</f>
        <v>0</v>
      </c>
      <c r="G215" s="18" t="n">
        <f aca="false">COUNTIFS(選手一覧!$C$7:$C$2738,A215,選手一覧!$K$7:$K$2738,"&lt;=100")</f>
        <v>0</v>
      </c>
      <c r="H215" s="17" t="n">
        <f aca="false">COUNTIF(選手一覧!$C$7:$C$2738,A215)</f>
        <v>4</v>
      </c>
    </row>
    <row r="216" customFormat="false" ht="15" hidden="false" customHeight="false" outlineLevel="0" collapsed="false">
      <c r="A216" s="12" t="s">
        <v>1354</v>
      </c>
      <c r="B216" s="22" t="n">
        <f aca="false">COUNTIFS(選手一覧!$C$7:$C$2738,A216,選手一覧!$E$7:$E$2738,"&lt;=100")</f>
        <v>0</v>
      </c>
      <c r="C216" s="18" t="n">
        <f aca="false">COUNTIFS(選手一覧!$C$7:$C$2738,A216,選手一覧!$E$7:$E$2738,"&gt;0")</f>
        <v>2</v>
      </c>
      <c r="D216" s="14" t="n">
        <f aca="false">IF(C216=0,"",_xlfn.MINIFS(選手一覧!$E$7:$E$2738,選手一覧!$C$7:$C$2738,A216))</f>
        <v>818</v>
      </c>
      <c r="E216" s="20"/>
      <c r="F216" s="18" t="n">
        <f aca="false">COUNTIFS(選手一覧!$C$7:$C$2738,A216,選手一覧!$I$7:$I$2738,"&lt;=100")</f>
        <v>0</v>
      </c>
      <c r="G216" s="18" t="n">
        <f aca="false">COUNTIFS(選手一覧!$C$7:$C$2738,A216,選手一覧!$K$7:$K$2738,"&lt;=100")</f>
        <v>0</v>
      </c>
      <c r="H216" s="17" t="n">
        <f aca="false">COUNTIF(選手一覧!$C$7:$C$2738,A216)</f>
        <v>3</v>
      </c>
    </row>
    <row r="217" customFormat="false" ht="15" hidden="false" customHeight="false" outlineLevel="0" collapsed="false">
      <c r="A217" s="12" t="s">
        <v>1363</v>
      </c>
      <c r="B217" s="22" t="n">
        <f aca="false">COUNTIFS(選手一覧!$C$7:$C$2738,A217,選手一覧!$E$7:$E$2738,"&lt;=100")</f>
        <v>0</v>
      </c>
      <c r="C217" s="18" t="n">
        <f aca="false">COUNTIFS(選手一覧!$C$7:$C$2738,A217,選手一覧!$E$7:$E$2738,"&gt;0")</f>
        <v>2</v>
      </c>
      <c r="D217" s="14" t="n">
        <f aca="false">IF(C217=0,"",_xlfn.MINIFS(選手一覧!$E$7:$E$2738,選手一覧!$C$7:$C$2738,A217))</f>
        <v>824</v>
      </c>
      <c r="E217" s="20"/>
      <c r="F217" s="18" t="n">
        <f aca="false">COUNTIFS(選手一覧!$C$7:$C$2738,A217,選手一覧!$I$7:$I$2738,"&lt;=100")</f>
        <v>0</v>
      </c>
      <c r="G217" s="18" t="n">
        <f aca="false">COUNTIFS(選手一覧!$C$7:$C$2738,A217,選手一覧!$K$7:$K$2738,"&lt;=100")</f>
        <v>0</v>
      </c>
      <c r="H217" s="17" t="n">
        <f aca="false">COUNTIF(選手一覧!$C$7:$C$2738,A217)</f>
        <v>3</v>
      </c>
    </row>
    <row r="218" customFormat="false" ht="15" hidden="false" customHeight="false" outlineLevel="0" collapsed="false">
      <c r="A218" s="12" t="s">
        <v>1371</v>
      </c>
      <c r="B218" s="22" t="n">
        <f aca="false">COUNTIFS(選手一覧!$C$7:$C$2738,A218,選手一覧!$E$7:$E$2738,"&lt;=100")</f>
        <v>0</v>
      </c>
      <c r="C218" s="18" t="n">
        <f aca="false">COUNTIFS(選手一覧!$C$7:$C$2738,A218,選手一覧!$E$7:$E$2738,"&gt;0")</f>
        <v>2</v>
      </c>
      <c r="D218" s="14" t="n">
        <f aca="false">IF(C218=0,"",_xlfn.MINIFS(選手一覧!$E$7:$E$2738,選手一覧!$C$7:$C$2738,A218))</f>
        <v>828</v>
      </c>
      <c r="E218" s="20"/>
      <c r="F218" s="18" t="n">
        <f aca="false">COUNTIFS(選手一覧!$C$7:$C$2738,A218,選手一覧!$I$7:$I$2738,"&lt;=100")</f>
        <v>1</v>
      </c>
      <c r="G218" s="18" t="n">
        <f aca="false">COUNTIFS(選手一覧!$C$7:$C$2738,A218,選手一覧!$K$7:$K$2738,"&lt;=100")</f>
        <v>0</v>
      </c>
      <c r="H218" s="17" t="n">
        <f aca="false">COUNTIF(選手一覧!$C$7:$C$2738,A218)</f>
        <v>2</v>
      </c>
    </row>
    <row r="219" customFormat="false" ht="15" hidden="false" customHeight="false" outlineLevel="0" collapsed="false">
      <c r="A219" s="12" t="s">
        <v>1385</v>
      </c>
      <c r="B219" s="22" t="n">
        <f aca="false">COUNTIFS(選手一覧!$C$7:$C$2738,A219,選手一覧!$E$7:$E$2738,"&lt;=100")</f>
        <v>0</v>
      </c>
      <c r="C219" s="18" t="n">
        <f aca="false">COUNTIFS(選手一覧!$C$7:$C$2738,A219,選手一覧!$E$7:$E$2738,"&gt;0")</f>
        <v>2</v>
      </c>
      <c r="D219" s="14" t="n">
        <f aca="false">IF(C219=0,"",_xlfn.MINIFS(選手一覧!$E$7:$E$2738,選手一覧!$C$7:$C$2738,A219))</f>
        <v>838</v>
      </c>
      <c r="E219" s="20"/>
      <c r="F219" s="18" t="n">
        <f aca="false">COUNTIFS(選手一覧!$C$7:$C$2738,A219,選手一覧!$I$7:$I$2738,"&lt;=100")</f>
        <v>0</v>
      </c>
      <c r="G219" s="18" t="n">
        <f aca="false">COUNTIFS(選手一覧!$C$7:$C$2738,A219,選手一覧!$K$7:$K$2738,"&lt;=100")</f>
        <v>0</v>
      </c>
      <c r="H219" s="17" t="n">
        <f aca="false">COUNTIF(選手一覧!$C$7:$C$2738,A219)</f>
        <v>4</v>
      </c>
    </row>
    <row r="220" customFormat="false" ht="15" hidden="false" customHeight="false" outlineLevel="0" collapsed="false">
      <c r="A220" s="12" t="s">
        <v>1392</v>
      </c>
      <c r="B220" s="22" t="n">
        <f aca="false">COUNTIFS(選手一覧!$C$7:$C$2738,A220,選手一覧!$E$7:$E$2738,"&lt;=100")</f>
        <v>0</v>
      </c>
      <c r="C220" s="18" t="n">
        <f aca="false">COUNTIFS(選手一覧!$C$7:$C$2738,A220,選手一覧!$E$7:$E$2738,"&gt;0")</f>
        <v>2</v>
      </c>
      <c r="D220" s="14" t="n">
        <f aca="false">IF(C220=0,"",_xlfn.MINIFS(選手一覧!$E$7:$E$2738,選手一覧!$C$7:$C$2738,A220))</f>
        <v>844</v>
      </c>
      <c r="E220" s="20"/>
      <c r="F220" s="18" t="n">
        <f aca="false">COUNTIFS(選手一覧!$C$7:$C$2738,A220,選手一覧!$I$7:$I$2738,"&lt;=100")</f>
        <v>1</v>
      </c>
      <c r="G220" s="18" t="n">
        <f aca="false">COUNTIFS(選手一覧!$C$7:$C$2738,A220,選手一覧!$K$7:$K$2738,"&lt;=100")</f>
        <v>0</v>
      </c>
      <c r="H220" s="17" t="n">
        <f aca="false">COUNTIF(選手一覧!$C$7:$C$2738,A220)</f>
        <v>3</v>
      </c>
    </row>
    <row r="221" customFormat="false" ht="15" hidden="false" customHeight="false" outlineLevel="0" collapsed="false">
      <c r="A221" s="12" t="s">
        <v>1450</v>
      </c>
      <c r="B221" s="22" t="n">
        <f aca="false">COUNTIFS(選手一覧!$C$7:$C$2738,A221,選手一覧!$E$7:$E$2738,"&lt;=100")</f>
        <v>0</v>
      </c>
      <c r="C221" s="18" t="n">
        <f aca="false">COUNTIFS(選手一覧!$C$7:$C$2738,A221,選手一覧!$E$7:$E$2738,"&gt;0")</f>
        <v>2</v>
      </c>
      <c r="D221" s="14" t="n">
        <f aca="false">IF(C221=0,"",_xlfn.MINIFS(選手一覧!$E$7:$E$2738,選手一覧!$C$7:$C$2738,A221))</f>
        <v>880</v>
      </c>
      <c r="E221" s="20"/>
      <c r="F221" s="18" t="n">
        <f aca="false">COUNTIFS(選手一覧!$C$7:$C$2738,A221,選手一覧!$I$7:$I$2738,"&lt;=100")</f>
        <v>0</v>
      </c>
      <c r="G221" s="18" t="n">
        <f aca="false">COUNTIFS(選手一覧!$C$7:$C$2738,A221,選手一覧!$K$7:$K$2738,"&lt;=100")</f>
        <v>0</v>
      </c>
      <c r="H221" s="17" t="n">
        <f aca="false">COUNTIF(選手一覧!$C$7:$C$2738,A221)</f>
        <v>2</v>
      </c>
    </row>
    <row r="222" customFormat="false" ht="15" hidden="false" customHeight="false" outlineLevel="0" collapsed="false">
      <c r="A222" s="12" t="s">
        <v>1476</v>
      </c>
      <c r="B222" s="22" t="n">
        <f aca="false">COUNTIFS(選手一覧!$C$7:$C$2738,A222,選手一覧!$E$7:$E$2738,"&lt;=100")</f>
        <v>0</v>
      </c>
      <c r="C222" s="18" t="n">
        <f aca="false">COUNTIFS(選手一覧!$C$7:$C$2738,A222,選手一覧!$E$7:$E$2738,"&gt;0")</f>
        <v>2</v>
      </c>
      <c r="D222" s="14" t="n">
        <f aca="false">IF(C222=0,"",_xlfn.MINIFS(選手一覧!$E$7:$E$2738,選手一覧!$C$7:$C$2738,A222))</f>
        <v>897</v>
      </c>
      <c r="E222" s="20"/>
      <c r="F222" s="18" t="n">
        <f aca="false">COUNTIFS(選手一覧!$C$7:$C$2738,A222,選手一覧!$I$7:$I$2738,"&lt;=100")</f>
        <v>1</v>
      </c>
      <c r="G222" s="18" t="n">
        <f aca="false">COUNTIFS(選手一覧!$C$7:$C$2738,A222,選手一覧!$K$7:$K$2738,"&lt;=100")</f>
        <v>0</v>
      </c>
      <c r="H222" s="17" t="n">
        <f aca="false">COUNTIF(選手一覧!$C$7:$C$2738,A222)</f>
        <v>3</v>
      </c>
    </row>
    <row r="223" customFormat="false" ht="15" hidden="false" customHeight="false" outlineLevel="0" collapsed="false">
      <c r="A223" s="12" t="s">
        <v>1482</v>
      </c>
      <c r="B223" s="22" t="n">
        <f aca="false">COUNTIFS(選手一覧!$C$7:$C$2738,A223,選手一覧!$E$7:$E$2738,"&lt;=100")</f>
        <v>0</v>
      </c>
      <c r="C223" s="18" t="n">
        <f aca="false">COUNTIFS(選手一覧!$C$7:$C$2738,A223,選手一覧!$E$7:$E$2738,"&gt;0")</f>
        <v>2</v>
      </c>
      <c r="D223" s="14" t="n">
        <f aca="false">IF(C223=0,"",_xlfn.MINIFS(選手一覧!$E$7:$E$2738,選手一覧!$C$7:$C$2738,A223))</f>
        <v>900</v>
      </c>
      <c r="E223" s="20"/>
      <c r="F223" s="18" t="n">
        <f aca="false">COUNTIFS(選手一覧!$C$7:$C$2738,A223,選手一覧!$I$7:$I$2738,"&lt;=100")</f>
        <v>0</v>
      </c>
      <c r="G223" s="18" t="n">
        <f aca="false">COUNTIFS(選手一覧!$C$7:$C$2738,A223,選手一覧!$K$7:$K$2738,"&lt;=100")</f>
        <v>0</v>
      </c>
      <c r="H223" s="17" t="n">
        <f aca="false">COUNTIF(選手一覧!$C$7:$C$2738,A223)</f>
        <v>2</v>
      </c>
    </row>
    <row r="224" customFormat="false" ht="15" hidden="false" customHeight="false" outlineLevel="0" collapsed="false">
      <c r="A224" s="12" t="s">
        <v>1500</v>
      </c>
      <c r="B224" s="22" t="n">
        <f aca="false">COUNTIFS(選手一覧!$C$7:$C$2738,A224,選手一覧!$E$7:$E$2738,"&lt;=100")</f>
        <v>0</v>
      </c>
      <c r="C224" s="18" t="n">
        <f aca="false">COUNTIFS(選手一覧!$C$7:$C$2738,A224,選手一覧!$E$7:$E$2738,"&gt;0")</f>
        <v>2</v>
      </c>
      <c r="D224" s="14" t="n">
        <f aca="false">IF(C224=0,"",_xlfn.MINIFS(選手一覧!$E$7:$E$2738,選手一覧!$C$7:$C$2738,A224))</f>
        <v>913</v>
      </c>
      <c r="E224" s="20"/>
      <c r="F224" s="18" t="n">
        <f aca="false">COUNTIFS(選手一覧!$C$7:$C$2738,A224,選手一覧!$I$7:$I$2738,"&lt;=100")</f>
        <v>0</v>
      </c>
      <c r="G224" s="18" t="n">
        <f aca="false">COUNTIFS(選手一覧!$C$7:$C$2738,A224,選手一覧!$K$7:$K$2738,"&lt;=100")</f>
        <v>0</v>
      </c>
      <c r="H224" s="17" t="n">
        <f aca="false">COUNTIF(選手一覧!$C$7:$C$2738,A224)</f>
        <v>3</v>
      </c>
    </row>
    <row r="225" customFormat="false" ht="15" hidden="false" customHeight="false" outlineLevel="0" collapsed="false">
      <c r="A225" s="12" t="s">
        <v>1510</v>
      </c>
      <c r="B225" s="22" t="n">
        <f aca="false">COUNTIFS(選手一覧!$C$7:$C$2738,A225,選手一覧!$E$7:$E$2738,"&lt;=100")</f>
        <v>0</v>
      </c>
      <c r="C225" s="18" t="n">
        <f aca="false">COUNTIFS(選手一覧!$C$7:$C$2738,A225,選手一覧!$E$7:$E$2738,"&gt;0")</f>
        <v>2</v>
      </c>
      <c r="D225" s="14" t="n">
        <f aca="false">IF(C225=0,"",_xlfn.MINIFS(選手一覧!$E$7:$E$2738,選手一覧!$C$7:$C$2738,A225))</f>
        <v>919</v>
      </c>
      <c r="E225" s="20"/>
      <c r="F225" s="18" t="n">
        <f aca="false">COUNTIFS(選手一覧!$C$7:$C$2738,A225,選手一覧!$I$7:$I$2738,"&lt;=100")</f>
        <v>0</v>
      </c>
      <c r="G225" s="18" t="n">
        <f aca="false">COUNTIFS(選手一覧!$C$7:$C$2738,A225,選手一覧!$K$7:$K$2738,"&lt;=100")</f>
        <v>0</v>
      </c>
      <c r="H225" s="17" t="n">
        <f aca="false">COUNTIF(選手一覧!$C$7:$C$2738,A225)</f>
        <v>6</v>
      </c>
    </row>
    <row r="226" customFormat="false" ht="15" hidden="false" customHeight="false" outlineLevel="0" collapsed="false">
      <c r="A226" s="12" t="s">
        <v>1568</v>
      </c>
      <c r="B226" s="22" t="n">
        <f aca="false">COUNTIFS(選手一覧!$C$7:$C$2738,A226,選手一覧!$E$7:$E$2738,"&lt;=100")</f>
        <v>0</v>
      </c>
      <c r="C226" s="18" t="n">
        <f aca="false">COUNTIFS(選手一覧!$C$7:$C$2738,A226,選手一覧!$E$7:$E$2738,"&gt;0")</f>
        <v>2</v>
      </c>
      <c r="D226" s="14" t="n">
        <f aca="false">IF(C226=0,"",_xlfn.MINIFS(選手一覧!$E$7:$E$2738,選手一覧!$C$7:$C$2738,A226))</f>
        <v>960</v>
      </c>
      <c r="E226" s="20"/>
      <c r="F226" s="18" t="n">
        <f aca="false">COUNTIFS(選手一覧!$C$7:$C$2738,A226,選手一覧!$I$7:$I$2738,"&lt;=100")</f>
        <v>0</v>
      </c>
      <c r="G226" s="18" t="n">
        <f aca="false">COUNTIFS(選手一覧!$C$7:$C$2738,A226,選手一覧!$K$7:$K$2738,"&lt;=100")</f>
        <v>0</v>
      </c>
      <c r="H226" s="17" t="n">
        <f aca="false">COUNTIF(選手一覧!$C$7:$C$2738,A226)</f>
        <v>2</v>
      </c>
    </row>
    <row r="227" customFormat="false" ht="15" hidden="false" customHeight="false" outlineLevel="0" collapsed="false">
      <c r="A227" s="12" t="s">
        <v>1586</v>
      </c>
      <c r="B227" s="22" t="n">
        <f aca="false">COUNTIFS(選手一覧!$C$7:$C$2738,A227,選手一覧!$E$7:$E$2738,"&lt;=100")</f>
        <v>0</v>
      </c>
      <c r="C227" s="18" t="n">
        <f aca="false">COUNTIFS(選手一覧!$C$7:$C$2738,A227,選手一覧!$E$7:$E$2738,"&gt;0")</f>
        <v>2</v>
      </c>
      <c r="D227" s="14" t="n">
        <f aca="false">IF(C227=0,"",_xlfn.MINIFS(選手一覧!$E$7:$E$2738,選手一覧!$C$7:$C$2738,A227))</f>
        <v>972</v>
      </c>
      <c r="E227" s="20"/>
      <c r="F227" s="18" t="n">
        <f aca="false">COUNTIFS(選手一覧!$C$7:$C$2738,A227,選手一覧!$I$7:$I$2738,"&lt;=100")</f>
        <v>0</v>
      </c>
      <c r="G227" s="18" t="n">
        <f aca="false">COUNTIFS(選手一覧!$C$7:$C$2738,A227,選手一覧!$K$7:$K$2738,"&lt;=100")</f>
        <v>0</v>
      </c>
      <c r="H227" s="17" t="n">
        <f aca="false">COUNTIF(選手一覧!$C$7:$C$2738,A227)</f>
        <v>3</v>
      </c>
    </row>
    <row r="228" customFormat="false" ht="15" hidden="false" customHeight="false" outlineLevel="0" collapsed="false">
      <c r="A228" s="12" t="s">
        <v>1590</v>
      </c>
      <c r="B228" s="22" t="n">
        <f aca="false">COUNTIFS(選手一覧!$C$7:$C$2738,A228,選手一覧!$E$7:$E$2738,"&lt;=100")</f>
        <v>0</v>
      </c>
      <c r="C228" s="18" t="n">
        <f aca="false">COUNTIFS(選手一覧!$C$7:$C$2738,A228,選手一覧!$E$7:$E$2738,"&gt;0")</f>
        <v>2</v>
      </c>
      <c r="D228" s="14" t="n">
        <f aca="false">IF(C228=0,"",_xlfn.MINIFS(選手一覧!$E$7:$E$2738,選手一覧!$C$7:$C$2738,A228))</f>
        <v>975</v>
      </c>
      <c r="E228" s="20"/>
      <c r="F228" s="18" t="n">
        <f aca="false">COUNTIFS(選手一覧!$C$7:$C$2738,A228,選手一覧!$I$7:$I$2738,"&lt;=100")</f>
        <v>0</v>
      </c>
      <c r="G228" s="18" t="n">
        <f aca="false">COUNTIFS(選手一覧!$C$7:$C$2738,A228,選手一覧!$K$7:$K$2738,"&lt;=100")</f>
        <v>0</v>
      </c>
      <c r="H228" s="17" t="n">
        <f aca="false">COUNTIF(選手一覧!$C$7:$C$2738,A228)</f>
        <v>5</v>
      </c>
    </row>
    <row r="229" customFormat="false" ht="15" hidden="false" customHeight="false" outlineLevel="0" collapsed="false">
      <c r="A229" s="12" t="s">
        <v>1625</v>
      </c>
      <c r="B229" s="22" t="n">
        <f aca="false">COUNTIFS(選手一覧!$C$7:$C$2738,A229,選手一覧!$E$7:$E$2738,"&lt;=100")</f>
        <v>0</v>
      </c>
      <c r="C229" s="18" t="n">
        <f aca="false">COUNTIFS(選手一覧!$C$7:$C$2738,A229,選手一覧!$E$7:$E$2738,"&gt;0")</f>
        <v>2</v>
      </c>
      <c r="D229" s="14" t="n">
        <f aca="false">IF(C229=0,"",_xlfn.MINIFS(選手一覧!$E$7:$E$2738,選手一覧!$C$7:$C$2738,A229))</f>
        <v>999</v>
      </c>
      <c r="E229" s="20"/>
      <c r="F229" s="18" t="n">
        <f aca="false">COUNTIFS(選手一覧!$C$7:$C$2738,A229,選手一覧!$I$7:$I$2738,"&lt;=100")</f>
        <v>0</v>
      </c>
      <c r="G229" s="18" t="n">
        <f aca="false">COUNTIFS(選手一覧!$C$7:$C$2738,A229,選手一覧!$K$7:$K$2738,"&lt;=100")</f>
        <v>0</v>
      </c>
      <c r="H229" s="17" t="n">
        <f aca="false">COUNTIF(選手一覧!$C$7:$C$2738,A229)</f>
        <v>3</v>
      </c>
    </row>
    <row r="230" customFormat="false" ht="15" hidden="false" customHeight="false" outlineLevel="0" collapsed="false">
      <c r="A230" s="12" t="s">
        <v>1647</v>
      </c>
      <c r="B230" s="22" t="n">
        <f aca="false">COUNTIFS(選手一覧!$C$7:$C$2738,A230,選手一覧!$E$7:$E$2738,"&lt;=100")</f>
        <v>0</v>
      </c>
      <c r="C230" s="18" t="n">
        <f aca="false">COUNTIFS(選手一覧!$C$7:$C$2738,A230,選手一覧!$E$7:$E$2738,"&gt;0")</f>
        <v>2</v>
      </c>
      <c r="D230" s="14" t="n">
        <f aca="false">IF(C230=0,"",_xlfn.MINIFS(選手一覧!$E$7:$E$2738,選手一覧!$C$7:$C$2738,A230))</f>
        <v>1014</v>
      </c>
      <c r="E230" s="20"/>
      <c r="F230" s="18" t="n">
        <f aca="false">COUNTIFS(選手一覧!$C$7:$C$2738,A230,選手一覧!$I$7:$I$2738,"&lt;=100")</f>
        <v>0</v>
      </c>
      <c r="G230" s="18" t="n">
        <f aca="false">COUNTIFS(選手一覧!$C$7:$C$2738,A230,選手一覧!$K$7:$K$2738,"&lt;=100")</f>
        <v>0</v>
      </c>
      <c r="H230" s="17" t="n">
        <f aca="false">COUNTIF(選手一覧!$C$7:$C$2738,A230)</f>
        <v>2</v>
      </c>
    </row>
    <row r="231" customFormat="false" ht="15" hidden="false" customHeight="false" outlineLevel="0" collapsed="false">
      <c r="A231" s="12" t="s">
        <v>1650</v>
      </c>
      <c r="B231" s="22" t="n">
        <f aca="false">COUNTIFS(選手一覧!$C$7:$C$2738,A231,選手一覧!$E$7:$E$2738,"&lt;=100")</f>
        <v>0</v>
      </c>
      <c r="C231" s="18" t="n">
        <f aca="false">COUNTIFS(選手一覧!$C$7:$C$2738,A231,選手一覧!$E$7:$E$2738,"&gt;0")</f>
        <v>2</v>
      </c>
      <c r="D231" s="14" t="n">
        <f aca="false">IF(C231=0,"",_xlfn.MINIFS(選手一覧!$E$7:$E$2738,選手一覧!$C$7:$C$2738,A231))</f>
        <v>1016</v>
      </c>
      <c r="E231" s="20"/>
      <c r="F231" s="18" t="n">
        <f aca="false">COUNTIFS(選手一覧!$C$7:$C$2738,A231,選手一覧!$I$7:$I$2738,"&lt;=100")</f>
        <v>0</v>
      </c>
      <c r="G231" s="18" t="n">
        <f aca="false">COUNTIFS(選手一覧!$C$7:$C$2738,A231,選手一覧!$K$7:$K$2738,"&lt;=100")</f>
        <v>0</v>
      </c>
      <c r="H231" s="17" t="n">
        <f aca="false">COUNTIF(選手一覧!$C$7:$C$2738,A231)</f>
        <v>2</v>
      </c>
    </row>
    <row r="232" customFormat="false" ht="15" hidden="false" customHeight="false" outlineLevel="0" collapsed="false">
      <c r="A232" s="12" t="s">
        <v>1697</v>
      </c>
      <c r="B232" s="22" t="n">
        <f aca="false">COUNTIFS(選手一覧!$C$7:$C$2738,A232,選手一覧!$E$7:$E$2738,"&lt;=100")</f>
        <v>0</v>
      </c>
      <c r="C232" s="18" t="n">
        <f aca="false">COUNTIFS(選手一覧!$C$7:$C$2738,A232,選手一覧!$E$7:$E$2738,"&gt;0")</f>
        <v>2</v>
      </c>
      <c r="D232" s="14" t="n">
        <f aca="false">IF(C232=0,"",_xlfn.MINIFS(選手一覧!$E$7:$E$2738,選手一覧!$C$7:$C$2738,A232))</f>
        <v>1047</v>
      </c>
      <c r="E232" s="20"/>
      <c r="F232" s="18" t="n">
        <f aca="false">COUNTIFS(選手一覧!$C$7:$C$2738,A232,選手一覧!$I$7:$I$2738,"&lt;=100")</f>
        <v>0</v>
      </c>
      <c r="G232" s="18" t="n">
        <f aca="false">COUNTIFS(選手一覧!$C$7:$C$2738,A232,選手一覧!$K$7:$K$2738,"&lt;=100")</f>
        <v>0</v>
      </c>
      <c r="H232" s="17" t="n">
        <f aca="false">COUNTIF(選手一覧!$C$7:$C$2738,A232)</f>
        <v>6</v>
      </c>
    </row>
    <row r="233" customFormat="false" ht="15" hidden="false" customHeight="false" outlineLevel="0" collapsed="false">
      <c r="A233" s="12" t="s">
        <v>1705</v>
      </c>
      <c r="B233" s="22" t="n">
        <f aca="false">COUNTIFS(選手一覧!$C$7:$C$2738,A233,選手一覧!$E$7:$E$2738,"&lt;=100")</f>
        <v>0</v>
      </c>
      <c r="C233" s="18" t="n">
        <f aca="false">COUNTIFS(選手一覧!$C$7:$C$2738,A233,選手一覧!$E$7:$E$2738,"&gt;0")</f>
        <v>2</v>
      </c>
      <c r="D233" s="14" t="n">
        <f aca="false">IF(C233=0,"",_xlfn.MINIFS(選手一覧!$E$7:$E$2738,選手一覧!$C$7:$C$2738,A233))</f>
        <v>1052</v>
      </c>
      <c r="E233" s="20"/>
      <c r="F233" s="18" t="n">
        <f aca="false">COUNTIFS(選手一覧!$C$7:$C$2738,A233,選手一覧!$I$7:$I$2738,"&lt;=100")</f>
        <v>0</v>
      </c>
      <c r="G233" s="18" t="n">
        <f aca="false">COUNTIFS(選手一覧!$C$7:$C$2738,A233,選手一覧!$K$7:$K$2738,"&lt;=100")</f>
        <v>0</v>
      </c>
      <c r="H233" s="17" t="n">
        <f aca="false">COUNTIF(選手一覧!$C$7:$C$2738,A233)</f>
        <v>5</v>
      </c>
    </row>
    <row r="234" customFormat="false" ht="15" hidden="false" customHeight="false" outlineLevel="0" collapsed="false">
      <c r="A234" s="12" t="s">
        <v>1732</v>
      </c>
      <c r="B234" s="22" t="n">
        <f aca="false">COUNTIFS(選手一覧!$C$7:$C$2738,A234,選手一覧!$E$7:$E$2738,"&lt;=100")</f>
        <v>0</v>
      </c>
      <c r="C234" s="18" t="n">
        <f aca="false">COUNTIFS(選手一覧!$C$7:$C$2738,A234,選手一覧!$E$7:$E$2738,"&gt;0")</f>
        <v>2</v>
      </c>
      <c r="D234" s="14" t="n">
        <f aca="false">IF(C234=0,"",_xlfn.MINIFS(選手一覧!$E$7:$E$2738,選手一覧!$C$7:$C$2738,A234))</f>
        <v>1071</v>
      </c>
      <c r="E234" s="20"/>
      <c r="F234" s="18" t="n">
        <f aca="false">COUNTIFS(選手一覧!$C$7:$C$2738,A234,選手一覧!$I$7:$I$2738,"&lt;=100")</f>
        <v>0</v>
      </c>
      <c r="G234" s="18" t="n">
        <f aca="false">COUNTIFS(選手一覧!$C$7:$C$2738,A234,選手一覧!$K$7:$K$2738,"&lt;=100")</f>
        <v>0</v>
      </c>
      <c r="H234" s="17" t="n">
        <f aca="false">COUNTIF(選手一覧!$C$7:$C$2738,A234)</f>
        <v>2</v>
      </c>
    </row>
    <row r="235" customFormat="false" ht="15" hidden="false" customHeight="false" outlineLevel="0" collapsed="false">
      <c r="A235" s="12" t="s">
        <v>1748</v>
      </c>
      <c r="B235" s="22" t="n">
        <f aca="false">COUNTIFS(選手一覧!$C$7:$C$2738,A235,選手一覧!$E$7:$E$2738,"&lt;=100")</f>
        <v>0</v>
      </c>
      <c r="C235" s="18" t="n">
        <f aca="false">COUNTIFS(選手一覧!$C$7:$C$2738,A235,選手一覧!$E$7:$E$2738,"&gt;0")</f>
        <v>2</v>
      </c>
      <c r="D235" s="14" t="n">
        <f aca="false">IF(C235=0,"",_xlfn.MINIFS(選手一覧!$E$7:$E$2738,選手一覧!$C$7:$C$2738,A235))</f>
        <v>1081</v>
      </c>
      <c r="E235" s="20"/>
      <c r="F235" s="18" t="n">
        <f aca="false">COUNTIFS(選手一覧!$C$7:$C$2738,A235,選手一覧!$I$7:$I$2738,"&lt;=100")</f>
        <v>0</v>
      </c>
      <c r="G235" s="18" t="n">
        <f aca="false">COUNTIFS(選手一覧!$C$7:$C$2738,A235,選手一覧!$K$7:$K$2738,"&lt;=100")</f>
        <v>0</v>
      </c>
      <c r="H235" s="17" t="n">
        <f aca="false">COUNTIF(選手一覧!$C$7:$C$2738,A235)</f>
        <v>2</v>
      </c>
    </row>
    <row r="236" customFormat="false" ht="15" hidden="false" customHeight="false" outlineLevel="0" collapsed="false">
      <c r="A236" s="12" t="s">
        <v>1764</v>
      </c>
      <c r="B236" s="22" t="n">
        <f aca="false">COUNTIFS(選手一覧!$C$7:$C$2738,A236,選手一覧!$E$7:$E$2738,"&lt;=100")</f>
        <v>0</v>
      </c>
      <c r="C236" s="18" t="n">
        <f aca="false">COUNTIFS(選手一覧!$C$7:$C$2738,A236,選手一覧!$E$7:$E$2738,"&gt;0")</f>
        <v>2</v>
      </c>
      <c r="D236" s="14" t="n">
        <f aca="false">IF(C236=0,"",_xlfn.MINIFS(選手一覧!$E$7:$E$2738,選手一覧!$C$7:$C$2738,A236))</f>
        <v>1092</v>
      </c>
      <c r="E236" s="20"/>
      <c r="F236" s="18" t="n">
        <f aca="false">COUNTIFS(選手一覧!$C$7:$C$2738,A236,選手一覧!$I$7:$I$2738,"&lt;=100")</f>
        <v>0</v>
      </c>
      <c r="G236" s="18" t="n">
        <f aca="false">COUNTIFS(選手一覧!$C$7:$C$2738,A236,選手一覧!$K$7:$K$2738,"&lt;=100")</f>
        <v>0</v>
      </c>
      <c r="H236" s="17" t="n">
        <f aca="false">COUNTIF(選手一覧!$C$7:$C$2738,A236)</f>
        <v>4</v>
      </c>
    </row>
    <row r="237" customFormat="false" ht="15" hidden="false" customHeight="false" outlineLevel="0" collapsed="false">
      <c r="A237" s="12" t="s">
        <v>1769</v>
      </c>
      <c r="B237" s="22" t="n">
        <f aca="false">COUNTIFS(選手一覧!$C$7:$C$2738,A237,選手一覧!$E$7:$E$2738,"&lt;=100")</f>
        <v>0</v>
      </c>
      <c r="C237" s="18" t="n">
        <f aca="false">COUNTIFS(選手一覧!$C$7:$C$2738,A237,選手一覧!$E$7:$E$2738,"&gt;0")</f>
        <v>2</v>
      </c>
      <c r="D237" s="14" t="n">
        <f aca="false">IF(C237=0,"",_xlfn.MINIFS(選手一覧!$E$7:$E$2738,選手一覧!$C$7:$C$2738,A237))</f>
        <v>1095</v>
      </c>
      <c r="E237" s="20"/>
      <c r="F237" s="18" t="n">
        <f aca="false">COUNTIFS(選手一覧!$C$7:$C$2738,A237,選手一覧!$I$7:$I$2738,"&lt;=100")</f>
        <v>0</v>
      </c>
      <c r="G237" s="18" t="n">
        <f aca="false">COUNTIFS(選手一覧!$C$7:$C$2738,A237,選手一覧!$K$7:$K$2738,"&lt;=100")</f>
        <v>0</v>
      </c>
      <c r="H237" s="17" t="n">
        <f aca="false">COUNTIF(選手一覧!$C$7:$C$2738,A237)</f>
        <v>4</v>
      </c>
    </row>
    <row r="238" customFormat="false" ht="15" hidden="false" customHeight="false" outlineLevel="0" collapsed="false">
      <c r="A238" s="12" t="s">
        <v>1852</v>
      </c>
      <c r="B238" s="22" t="n">
        <f aca="false">COUNTIFS(選手一覧!$C$7:$C$2738,A238,選手一覧!$E$7:$E$2738,"&lt;=100")</f>
        <v>0</v>
      </c>
      <c r="C238" s="18" t="n">
        <f aca="false">COUNTIFS(選手一覧!$C$7:$C$2738,A238,選手一覧!$E$7:$E$2738,"&gt;0")</f>
        <v>2</v>
      </c>
      <c r="D238" s="14" t="n">
        <f aca="false">IF(C238=0,"",_xlfn.MINIFS(選手一覧!$E$7:$E$2738,選手一覧!$C$7:$C$2738,A238))</f>
        <v>1151</v>
      </c>
      <c r="E238" s="20"/>
      <c r="F238" s="18" t="n">
        <f aca="false">COUNTIFS(選手一覧!$C$7:$C$2738,A238,選手一覧!$I$7:$I$2738,"&lt;=100")</f>
        <v>0</v>
      </c>
      <c r="G238" s="18" t="n">
        <f aca="false">COUNTIFS(選手一覧!$C$7:$C$2738,A238,選手一覧!$K$7:$K$2738,"&lt;=100")</f>
        <v>0</v>
      </c>
      <c r="H238" s="17" t="n">
        <f aca="false">COUNTIF(選手一覧!$C$7:$C$2738,A238)</f>
        <v>3</v>
      </c>
    </row>
    <row r="239" customFormat="false" ht="15" hidden="false" customHeight="false" outlineLevel="0" collapsed="false">
      <c r="A239" s="12" t="s">
        <v>1892</v>
      </c>
      <c r="B239" s="22" t="n">
        <f aca="false">COUNTIFS(選手一覧!$C$7:$C$2738,A239,選手一覧!$E$7:$E$2738,"&lt;=100")</f>
        <v>0</v>
      </c>
      <c r="C239" s="18" t="n">
        <f aca="false">COUNTIFS(選手一覧!$C$7:$C$2738,A239,選手一覧!$E$7:$E$2738,"&gt;0")</f>
        <v>2</v>
      </c>
      <c r="D239" s="14" t="n">
        <f aca="false">IF(C239=0,"",_xlfn.MINIFS(選手一覧!$E$7:$E$2738,選手一覧!$C$7:$C$2738,A239))</f>
        <v>1177</v>
      </c>
      <c r="E239" s="20"/>
      <c r="F239" s="18" t="n">
        <f aca="false">COUNTIFS(選手一覧!$C$7:$C$2738,A239,選手一覧!$I$7:$I$2738,"&lt;=100")</f>
        <v>0</v>
      </c>
      <c r="G239" s="18" t="n">
        <f aca="false">COUNTIFS(選手一覧!$C$7:$C$2738,A239,選手一覧!$K$7:$K$2738,"&lt;=100")</f>
        <v>0</v>
      </c>
      <c r="H239" s="17" t="n">
        <f aca="false">COUNTIF(選手一覧!$C$7:$C$2738,A239)</f>
        <v>2</v>
      </c>
    </row>
    <row r="240" customFormat="false" ht="15" hidden="false" customHeight="false" outlineLevel="0" collapsed="false">
      <c r="A240" s="12" t="s">
        <v>273</v>
      </c>
      <c r="B240" s="22" t="n">
        <f aca="false">COUNTIFS(選手一覧!$C$7:$C$2738,A240,選手一覧!$E$7:$E$2738,"&lt;=100")</f>
        <v>0</v>
      </c>
      <c r="C240" s="18" t="n">
        <f aca="false">COUNTIFS(選手一覧!$C$7:$C$2738,A240,選手一覧!$E$7:$E$2738,"&gt;0")</f>
        <v>1</v>
      </c>
      <c r="D240" s="14" t="n">
        <f aca="false">IF(C240=0,"",_xlfn.MINIFS(選手一覧!$E$7:$E$2738,選手一覧!$C$7:$C$2738,A240))</f>
        <v>129</v>
      </c>
      <c r="E240" s="20"/>
      <c r="F240" s="18" t="n">
        <f aca="false">COUNTIFS(選手一覧!$C$7:$C$2738,A240,選手一覧!$I$7:$I$2738,"&lt;=100")</f>
        <v>0</v>
      </c>
      <c r="G240" s="18" t="n">
        <f aca="false">COUNTIFS(選手一覧!$C$7:$C$2738,A240,選手一覧!$K$7:$K$2738,"&lt;=100")</f>
        <v>0</v>
      </c>
      <c r="H240" s="17" t="n">
        <f aca="false">COUNTIF(選手一覧!$C$7:$C$2738,A240)</f>
        <v>3</v>
      </c>
    </row>
    <row r="241" customFormat="false" ht="15" hidden="false" customHeight="false" outlineLevel="0" collapsed="false">
      <c r="A241" s="12" t="s">
        <v>275</v>
      </c>
      <c r="B241" s="22" t="n">
        <f aca="false">COUNTIFS(選手一覧!$C$7:$C$2738,A241,選手一覧!$E$7:$E$2738,"&lt;=100")</f>
        <v>0</v>
      </c>
      <c r="C241" s="18" t="n">
        <f aca="false">COUNTIFS(選手一覧!$C$7:$C$2738,A241,選手一覧!$E$7:$E$2738,"&gt;0")</f>
        <v>1</v>
      </c>
      <c r="D241" s="14" t="n">
        <f aca="false">IF(C241=0,"",_xlfn.MINIFS(選手一覧!$E$7:$E$2738,選手一覧!$C$7:$C$2738,A241))</f>
        <v>130</v>
      </c>
      <c r="E241" s="20"/>
      <c r="F241" s="18" t="n">
        <f aca="false">COUNTIFS(選手一覧!$C$7:$C$2738,A241,選手一覧!$I$7:$I$2738,"&lt;=100")</f>
        <v>0</v>
      </c>
      <c r="G241" s="18" t="n">
        <f aca="false">COUNTIFS(選手一覧!$C$7:$C$2738,A241,選手一覧!$K$7:$K$2738,"&lt;=100")</f>
        <v>0</v>
      </c>
      <c r="H241" s="17" t="n">
        <f aca="false">COUNTIF(選手一覧!$C$7:$C$2738,A241)</f>
        <v>1</v>
      </c>
    </row>
    <row r="242" customFormat="false" ht="15" hidden="false" customHeight="false" outlineLevel="0" collapsed="false">
      <c r="A242" s="12" t="s">
        <v>360</v>
      </c>
      <c r="B242" s="22" t="n">
        <f aca="false">COUNTIFS(選手一覧!$C$7:$C$2738,A242,選手一覧!$E$7:$E$2738,"&lt;=100")</f>
        <v>0</v>
      </c>
      <c r="C242" s="18" t="n">
        <f aca="false">COUNTIFS(選手一覧!$C$7:$C$2738,A242,選手一覧!$E$7:$E$2738,"&gt;0")</f>
        <v>1</v>
      </c>
      <c r="D242" s="14" t="n">
        <f aca="false">IF(C242=0,"",_xlfn.MINIFS(選手一覧!$E$7:$E$2738,選手一覧!$C$7:$C$2738,A242))</f>
        <v>176</v>
      </c>
      <c r="E242" s="20"/>
      <c r="F242" s="18" t="n">
        <f aca="false">COUNTIFS(選手一覧!$C$7:$C$2738,A242,選手一覧!$I$7:$I$2738,"&lt;=100")</f>
        <v>0</v>
      </c>
      <c r="G242" s="18" t="n">
        <f aca="false">COUNTIFS(選手一覧!$C$7:$C$2738,A242,選手一覧!$K$7:$K$2738,"&lt;=100")</f>
        <v>0</v>
      </c>
      <c r="H242" s="17" t="n">
        <f aca="false">COUNTIF(選手一覧!$C$7:$C$2738,A242)</f>
        <v>1</v>
      </c>
    </row>
    <row r="243" customFormat="false" ht="15" hidden="false" customHeight="false" outlineLevel="0" collapsed="false">
      <c r="A243" s="12" t="s">
        <v>449</v>
      </c>
      <c r="B243" s="22" t="n">
        <f aca="false">COUNTIFS(選手一覧!$C$7:$C$2738,A243,選手一覧!$E$7:$E$2738,"&lt;=100")</f>
        <v>0</v>
      </c>
      <c r="C243" s="18" t="n">
        <f aca="false">COUNTIFS(選手一覧!$C$7:$C$2738,A243,選手一覧!$E$7:$E$2738,"&gt;0")</f>
        <v>1</v>
      </c>
      <c r="D243" s="14" t="n">
        <f aca="false">IF(C243=0,"",_xlfn.MINIFS(選手一覧!$E$7:$E$2738,選手一覧!$C$7:$C$2738,A243))</f>
        <v>230</v>
      </c>
      <c r="E243" s="20"/>
      <c r="F243" s="18" t="n">
        <f aca="false">COUNTIFS(選手一覧!$C$7:$C$2738,A243,選手一覧!$I$7:$I$2738,"&lt;=100")</f>
        <v>0</v>
      </c>
      <c r="G243" s="18" t="n">
        <f aca="false">COUNTIFS(選手一覧!$C$7:$C$2738,A243,選手一覧!$K$7:$K$2738,"&lt;=100")</f>
        <v>0</v>
      </c>
      <c r="H243" s="17" t="n">
        <f aca="false">COUNTIF(選手一覧!$C$7:$C$2738,A243)</f>
        <v>1</v>
      </c>
    </row>
    <row r="244" customFormat="false" ht="15" hidden="false" customHeight="false" outlineLevel="0" collapsed="false">
      <c r="A244" s="12" t="s">
        <v>484</v>
      </c>
      <c r="B244" s="22" t="n">
        <f aca="false">COUNTIFS(選手一覧!$C$7:$C$2738,A244,選手一覧!$E$7:$E$2738,"&lt;=100")</f>
        <v>0</v>
      </c>
      <c r="C244" s="18" t="n">
        <f aca="false">COUNTIFS(選手一覧!$C$7:$C$2738,A244,選手一覧!$E$7:$E$2738,"&gt;0")</f>
        <v>1</v>
      </c>
      <c r="D244" s="14" t="n">
        <f aca="false">IF(C244=0,"",_xlfn.MINIFS(選手一覧!$E$7:$E$2738,選手一覧!$C$7:$C$2738,A244))</f>
        <v>250</v>
      </c>
      <c r="E244" s="20"/>
      <c r="F244" s="18" t="n">
        <f aca="false">COUNTIFS(選手一覧!$C$7:$C$2738,A244,選手一覧!$I$7:$I$2738,"&lt;=100")</f>
        <v>0</v>
      </c>
      <c r="G244" s="18" t="n">
        <f aca="false">COUNTIFS(選手一覧!$C$7:$C$2738,A244,選手一覧!$K$7:$K$2738,"&lt;=100")</f>
        <v>0</v>
      </c>
      <c r="H244" s="17" t="n">
        <f aca="false">COUNTIF(選手一覧!$C$7:$C$2738,A244)</f>
        <v>1</v>
      </c>
    </row>
    <row r="245" customFormat="false" ht="15" hidden="false" customHeight="false" outlineLevel="0" collapsed="false">
      <c r="A245" s="12" t="s">
        <v>486</v>
      </c>
      <c r="B245" s="22" t="n">
        <f aca="false">COUNTIFS(選手一覧!$C$7:$C$2738,A245,選手一覧!$E$7:$E$2738,"&lt;=100")</f>
        <v>0</v>
      </c>
      <c r="C245" s="18" t="n">
        <f aca="false">COUNTIFS(選手一覧!$C$7:$C$2738,A245,選手一覧!$E$7:$E$2738,"&gt;0")</f>
        <v>1</v>
      </c>
      <c r="D245" s="14" t="n">
        <f aca="false">IF(C245=0,"",_xlfn.MINIFS(選手一覧!$E$7:$E$2738,選手一覧!$C$7:$C$2738,A245))</f>
        <v>251</v>
      </c>
      <c r="E245" s="20"/>
      <c r="F245" s="18" t="n">
        <f aca="false">COUNTIFS(選手一覧!$C$7:$C$2738,A245,選手一覧!$I$7:$I$2738,"&lt;=100")</f>
        <v>0</v>
      </c>
      <c r="G245" s="18" t="n">
        <f aca="false">COUNTIFS(選手一覧!$C$7:$C$2738,A245,選手一覧!$K$7:$K$2738,"&lt;=100")</f>
        <v>0</v>
      </c>
      <c r="H245" s="17" t="n">
        <f aca="false">COUNTIF(選手一覧!$C$7:$C$2738,A245)</f>
        <v>5</v>
      </c>
    </row>
    <row r="246" customFormat="false" ht="15" hidden="false" customHeight="false" outlineLevel="0" collapsed="false">
      <c r="A246" s="12" t="s">
        <v>488</v>
      </c>
      <c r="B246" s="22" t="n">
        <f aca="false">COUNTIFS(選手一覧!$C$7:$C$2738,A246,選手一覧!$E$7:$E$2738,"&lt;=100")</f>
        <v>0</v>
      </c>
      <c r="C246" s="18" t="n">
        <f aca="false">COUNTIFS(選手一覧!$C$7:$C$2738,A246,選手一覧!$E$7:$E$2738,"&gt;0")</f>
        <v>1</v>
      </c>
      <c r="D246" s="14" t="n">
        <f aca="false">IF(C246=0,"",_xlfn.MINIFS(選手一覧!$E$7:$E$2738,選手一覧!$C$7:$C$2738,A246))</f>
        <v>252</v>
      </c>
      <c r="E246" s="20"/>
      <c r="F246" s="18" t="n">
        <f aca="false">COUNTIFS(選手一覧!$C$7:$C$2738,A246,選手一覧!$I$7:$I$2738,"&lt;=100")</f>
        <v>1</v>
      </c>
      <c r="G246" s="18" t="n">
        <f aca="false">COUNTIFS(選手一覧!$C$7:$C$2738,A246,選手一覧!$K$7:$K$2738,"&lt;=100")</f>
        <v>0</v>
      </c>
      <c r="H246" s="17" t="n">
        <f aca="false">COUNTIF(選手一覧!$C$7:$C$2738,A246)</f>
        <v>4</v>
      </c>
    </row>
    <row r="247" customFormat="false" ht="15" hidden="false" customHeight="false" outlineLevel="0" collapsed="false">
      <c r="A247" s="12" t="s">
        <v>551</v>
      </c>
      <c r="B247" s="22" t="n">
        <f aca="false">COUNTIFS(選手一覧!$C$7:$C$2738,A247,選手一覧!$E$7:$E$2738,"&lt;=100")</f>
        <v>0</v>
      </c>
      <c r="C247" s="18" t="n">
        <f aca="false">COUNTIFS(選手一覧!$C$7:$C$2738,A247,選手一覧!$E$7:$E$2738,"&gt;0")</f>
        <v>1</v>
      </c>
      <c r="D247" s="14" t="n">
        <f aca="false">IF(C247=0,"",_xlfn.MINIFS(選手一覧!$E$7:$E$2738,選手一覧!$C$7:$C$2738,A247))</f>
        <v>293</v>
      </c>
      <c r="E247" s="20"/>
      <c r="F247" s="18" t="n">
        <f aca="false">COUNTIFS(選手一覧!$C$7:$C$2738,A247,選手一覧!$I$7:$I$2738,"&lt;=100")</f>
        <v>0</v>
      </c>
      <c r="G247" s="18" t="n">
        <f aca="false">COUNTIFS(選手一覧!$C$7:$C$2738,A247,選手一覧!$K$7:$K$2738,"&lt;=100")</f>
        <v>0</v>
      </c>
      <c r="H247" s="17" t="n">
        <f aca="false">COUNTIF(選手一覧!$C$7:$C$2738,A247)</f>
        <v>2</v>
      </c>
    </row>
    <row r="248" customFormat="false" ht="15" hidden="false" customHeight="false" outlineLevel="0" collapsed="false">
      <c r="A248" s="12" t="s">
        <v>556</v>
      </c>
      <c r="B248" s="22" t="n">
        <f aca="false">COUNTIFS(選手一覧!$C$7:$C$2738,A248,選手一覧!$E$7:$E$2738,"&lt;=100")</f>
        <v>0</v>
      </c>
      <c r="C248" s="18" t="n">
        <f aca="false">COUNTIFS(選手一覧!$C$7:$C$2738,A248,選手一覧!$E$7:$E$2738,"&gt;0")</f>
        <v>1</v>
      </c>
      <c r="D248" s="14" t="n">
        <f aca="false">IF(C248=0,"",_xlfn.MINIFS(選手一覧!$E$7:$E$2738,選手一覧!$C$7:$C$2738,A248))</f>
        <v>297</v>
      </c>
      <c r="E248" s="20"/>
      <c r="F248" s="18" t="n">
        <f aca="false">COUNTIFS(選手一覧!$C$7:$C$2738,A248,選手一覧!$I$7:$I$2738,"&lt;=100")</f>
        <v>0</v>
      </c>
      <c r="G248" s="18" t="n">
        <f aca="false">COUNTIFS(選手一覧!$C$7:$C$2738,A248,選手一覧!$K$7:$K$2738,"&lt;=100")</f>
        <v>0</v>
      </c>
      <c r="H248" s="17" t="n">
        <f aca="false">COUNTIF(選手一覧!$C$7:$C$2738,A248)</f>
        <v>1</v>
      </c>
    </row>
    <row r="249" customFormat="false" ht="15" hidden="false" customHeight="false" outlineLevel="0" collapsed="false">
      <c r="A249" s="12" t="s">
        <v>569</v>
      </c>
      <c r="B249" s="22" t="n">
        <f aca="false">COUNTIFS(選手一覧!$C$7:$C$2738,A249,選手一覧!$E$7:$E$2738,"&lt;=100")</f>
        <v>0</v>
      </c>
      <c r="C249" s="18" t="n">
        <f aca="false">COUNTIFS(選手一覧!$C$7:$C$2738,A249,選手一覧!$E$7:$E$2738,"&gt;0")</f>
        <v>1</v>
      </c>
      <c r="D249" s="14" t="n">
        <f aca="false">IF(C249=0,"",_xlfn.MINIFS(選手一覧!$E$7:$E$2738,選手一覧!$C$7:$C$2738,A249))</f>
        <v>304</v>
      </c>
      <c r="E249" s="20"/>
      <c r="F249" s="18" t="n">
        <f aca="false">COUNTIFS(選手一覧!$C$7:$C$2738,A249,選手一覧!$I$7:$I$2738,"&lt;=100")</f>
        <v>0</v>
      </c>
      <c r="G249" s="18" t="n">
        <f aca="false">COUNTIFS(選手一覧!$C$7:$C$2738,A249,選手一覧!$K$7:$K$2738,"&lt;=100")</f>
        <v>1</v>
      </c>
      <c r="H249" s="17" t="n">
        <f aca="false">COUNTIF(選手一覧!$C$7:$C$2738,A249)</f>
        <v>3</v>
      </c>
    </row>
    <row r="250" customFormat="false" ht="15" hidden="false" customHeight="false" outlineLevel="0" collapsed="false">
      <c r="A250" s="12" t="s">
        <v>573</v>
      </c>
      <c r="B250" s="22" t="n">
        <f aca="false">COUNTIFS(選手一覧!$C$7:$C$2738,A250,選手一覧!$E$7:$E$2738,"&lt;=100")</f>
        <v>0</v>
      </c>
      <c r="C250" s="18" t="n">
        <f aca="false">COUNTIFS(選手一覧!$C$7:$C$2738,A250,選手一覧!$E$7:$E$2738,"&gt;0")</f>
        <v>1</v>
      </c>
      <c r="D250" s="14" t="n">
        <f aca="false">IF(C250=0,"",_xlfn.MINIFS(選手一覧!$E$7:$E$2738,選手一覧!$C$7:$C$2738,A250))</f>
        <v>306</v>
      </c>
      <c r="E250" s="20"/>
      <c r="F250" s="18" t="n">
        <f aca="false">COUNTIFS(選手一覧!$C$7:$C$2738,A250,選手一覧!$I$7:$I$2738,"&lt;=100")</f>
        <v>0</v>
      </c>
      <c r="G250" s="18" t="n">
        <f aca="false">COUNTIFS(選手一覧!$C$7:$C$2738,A250,選手一覧!$K$7:$K$2738,"&lt;=100")</f>
        <v>0</v>
      </c>
      <c r="H250" s="17" t="n">
        <f aca="false">COUNTIF(選手一覧!$C$7:$C$2738,A250)</f>
        <v>3</v>
      </c>
    </row>
    <row r="251" customFormat="false" ht="15" hidden="false" customHeight="false" outlineLevel="0" collapsed="false">
      <c r="A251" s="12" t="s">
        <v>577</v>
      </c>
      <c r="B251" s="22" t="n">
        <f aca="false">COUNTIFS(選手一覧!$C$7:$C$2738,A251,選手一覧!$E$7:$E$2738,"&lt;=100")</f>
        <v>0</v>
      </c>
      <c r="C251" s="18" t="n">
        <f aca="false">COUNTIFS(選手一覧!$C$7:$C$2738,A251,選手一覧!$E$7:$E$2738,"&gt;0")</f>
        <v>1</v>
      </c>
      <c r="D251" s="14" t="n">
        <f aca="false">IF(C251=0,"",_xlfn.MINIFS(選手一覧!$E$7:$E$2738,選手一覧!$C$7:$C$2738,A251))</f>
        <v>308</v>
      </c>
      <c r="E251" s="20"/>
      <c r="F251" s="18" t="n">
        <f aca="false">COUNTIFS(選手一覧!$C$7:$C$2738,A251,選手一覧!$I$7:$I$2738,"&lt;=100")</f>
        <v>0</v>
      </c>
      <c r="G251" s="18" t="n">
        <f aca="false">COUNTIFS(選手一覧!$C$7:$C$2738,A251,選手一覧!$K$7:$K$2738,"&lt;=100")</f>
        <v>1</v>
      </c>
      <c r="H251" s="17" t="n">
        <f aca="false">COUNTIF(選手一覧!$C$7:$C$2738,A251)</f>
        <v>3</v>
      </c>
    </row>
    <row r="252" customFormat="false" ht="15" hidden="false" customHeight="false" outlineLevel="0" collapsed="false">
      <c r="A252" s="12" t="s">
        <v>609</v>
      </c>
      <c r="B252" s="22" t="n">
        <f aca="false">COUNTIFS(選手一覧!$C$7:$C$2738,A252,選手一覧!$E$7:$E$2738,"&lt;=100")</f>
        <v>0</v>
      </c>
      <c r="C252" s="18" t="n">
        <f aca="false">COUNTIFS(選手一覧!$C$7:$C$2738,A252,選手一覧!$E$7:$E$2738,"&gt;0")</f>
        <v>1</v>
      </c>
      <c r="D252" s="14" t="n">
        <f aca="false">IF(C252=0,"",_xlfn.MINIFS(選手一覧!$E$7:$E$2738,選手一覧!$C$7:$C$2738,A252))</f>
        <v>328</v>
      </c>
      <c r="E252" s="20"/>
      <c r="F252" s="18" t="n">
        <f aca="false">COUNTIFS(選手一覧!$C$7:$C$2738,A252,選手一覧!$I$7:$I$2738,"&lt;=100")</f>
        <v>1</v>
      </c>
      <c r="G252" s="18" t="n">
        <f aca="false">COUNTIFS(選手一覧!$C$7:$C$2738,A252,選手一覧!$K$7:$K$2738,"&lt;=100")</f>
        <v>0</v>
      </c>
      <c r="H252" s="17" t="n">
        <f aca="false">COUNTIF(選手一覧!$C$7:$C$2738,A252)</f>
        <v>2</v>
      </c>
    </row>
    <row r="253" customFormat="false" ht="15" hidden="false" customHeight="false" outlineLevel="0" collapsed="false">
      <c r="A253" s="12" t="s">
        <v>613</v>
      </c>
      <c r="B253" s="22" t="n">
        <f aca="false">COUNTIFS(選手一覧!$C$7:$C$2738,A253,選手一覧!$E$7:$E$2738,"&lt;=100")</f>
        <v>0</v>
      </c>
      <c r="C253" s="18" t="n">
        <f aca="false">COUNTIFS(選手一覧!$C$7:$C$2738,A253,選手一覧!$E$7:$E$2738,"&gt;0")</f>
        <v>1</v>
      </c>
      <c r="D253" s="14" t="n">
        <f aca="false">IF(C253=0,"",_xlfn.MINIFS(選手一覧!$E$7:$E$2738,選手一覧!$C$7:$C$2738,A253))</f>
        <v>331</v>
      </c>
      <c r="E253" s="20"/>
      <c r="F253" s="18" t="n">
        <f aca="false">COUNTIFS(選手一覧!$C$7:$C$2738,A253,選手一覧!$I$7:$I$2738,"&lt;=100")</f>
        <v>0</v>
      </c>
      <c r="G253" s="18" t="n">
        <f aca="false">COUNTIFS(選手一覧!$C$7:$C$2738,A253,選手一覧!$K$7:$K$2738,"&lt;=100")</f>
        <v>0</v>
      </c>
      <c r="H253" s="17" t="n">
        <f aca="false">COUNTIF(選手一覧!$C$7:$C$2738,A253)</f>
        <v>2</v>
      </c>
    </row>
    <row r="254" customFormat="false" ht="15" hidden="false" customHeight="false" outlineLevel="0" collapsed="false">
      <c r="A254" s="12" t="s">
        <v>709</v>
      </c>
      <c r="B254" s="22" t="n">
        <f aca="false">COUNTIFS(選手一覧!$C$7:$C$2738,A254,選手一覧!$E$7:$E$2738,"&lt;=100")</f>
        <v>0</v>
      </c>
      <c r="C254" s="18" t="n">
        <f aca="false">COUNTIFS(選手一覧!$C$7:$C$2738,A254,選手一覧!$E$7:$E$2738,"&gt;0")</f>
        <v>1</v>
      </c>
      <c r="D254" s="14" t="n">
        <f aca="false">IF(C254=0,"",_xlfn.MINIFS(選手一覧!$E$7:$E$2738,選手一覧!$C$7:$C$2738,A254))</f>
        <v>393</v>
      </c>
      <c r="E254" s="20"/>
      <c r="F254" s="18" t="n">
        <f aca="false">COUNTIFS(選手一覧!$C$7:$C$2738,A254,選手一覧!$I$7:$I$2738,"&lt;=100")</f>
        <v>0</v>
      </c>
      <c r="G254" s="18" t="n">
        <f aca="false">COUNTIFS(選手一覧!$C$7:$C$2738,A254,選手一覧!$K$7:$K$2738,"&lt;=100")</f>
        <v>0</v>
      </c>
      <c r="H254" s="17" t="n">
        <f aca="false">COUNTIF(選手一覧!$C$7:$C$2738,A254)</f>
        <v>1</v>
      </c>
    </row>
    <row r="255" customFormat="false" ht="15" hidden="false" customHeight="false" outlineLevel="0" collapsed="false">
      <c r="A255" s="12" t="s">
        <v>722</v>
      </c>
      <c r="B255" s="22" t="n">
        <f aca="false">COUNTIFS(選手一覧!$C$7:$C$2738,A255,選手一覧!$E$7:$E$2738,"&lt;=100")</f>
        <v>0</v>
      </c>
      <c r="C255" s="18" t="n">
        <f aca="false">COUNTIFS(選手一覧!$C$7:$C$2738,A255,選手一覧!$E$7:$E$2738,"&gt;0")</f>
        <v>1</v>
      </c>
      <c r="D255" s="14" t="n">
        <f aca="false">IF(C255=0,"",_xlfn.MINIFS(選手一覧!$E$7:$E$2738,選手一覧!$C$7:$C$2738,A255))</f>
        <v>401</v>
      </c>
      <c r="E255" s="20"/>
      <c r="F255" s="18" t="n">
        <f aca="false">COUNTIFS(選手一覧!$C$7:$C$2738,A255,選手一覧!$I$7:$I$2738,"&lt;=100")</f>
        <v>0</v>
      </c>
      <c r="G255" s="18" t="n">
        <f aca="false">COUNTIFS(選手一覧!$C$7:$C$2738,A255,選手一覧!$K$7:$K$2738,"&lt;=100")</f>
        <v>0</v>
      </c>
      <c r="H255" s="17" t="n">
        <f aca="false">COUNTIF(選手一覧!$C$7:$C$2738,A255)</f>
        <v>1</v>
      </c>
    </row>
    <row r="256" customFormat="false" ht="15" hidden="false" customHeight="false" outlineLevel="0" collapsed="false">
      <c r="A256" s="12" t="s">
        <v>749</v>
      </c>
      <c r="B256" s="22" t="n">
        <f aca="false">COUNTIFS(選手一覧!$C$7:$C$2738,A256,選手一覧!$E$7:$E$2738,"&lt;=100")</f>
        <v>0</v>
      </c>
      <c r="C256" s="18" t="n">
        <f aca="false">COUNTIFS(選手一覧!$C$7:$C$2738,A256,選手一覧!$E$7:$E$2738,"&gt;0")</f>
        <v>1</v>
      </c>
      <c r="D256" s="14" t="n">
        <f aca="false">IF(C256=0,"",_xlfn.MINIFS(選手一覧!$E$7:$E$2738,選手一覧!$C$7:$C$2738,A256))</f>
        <v>416</v>
      </c>
      <c r="E256" s="20"/>
      <c r="F256" s="18" t="n">
        <f aca="false">COUNTIFS(選手一覧!$C$7:$C$2738,A256,選手一覧!$I$7:$I$2738,"&lt;=100")</f>
        <v>0</v>
      </c>
      <c r="G256" s="18" t="n">
        <f aca="false">COUNTIFS(選手一覧!$C$7:$C$2738,A256,選手一覧!$K$7:$K$2738,"&lt;=100")</f>
        <v>0</v>
      </c>
      <c r="H256" s="17" t="n">
        <f aca="false">COUNTIF(選手一覧!$C$7:$C$2738,A256)</f>
        <v>3</v>
      </c>
    </row>
    <row r="257" customFormat="false" ht="15" hidden="false" customHeight="false" outlineLevel="0" collapsed="false">
      <c r="A257" s="12" t="s">
        <v>767</v>
      </c>
      <c r="B257" s="22" t="n">
        <f aca="false">COUNTIFS(選手一覧!$C$7:$C$2738,A257,選手一覧!$E$7:$E$2738,"&lt;=100")</f>
        <v>0</v>
      </c>
      <c r="C257" s="18" t="n">
        <f aca="false">COUNTIFS(選手一覧!$C$7:$C$2738,A257,選手一覧!$E$7:$E$2738,"&gt;0")</f>
        <v>1</v>
      </c>
      <c r="D257" s="14" t="n">
        <f aca="false">IF(C257=0,"",_xlfn.MINIFS(選手一覧!$E$7:$E$2738,選手一覧!$C$7:$C$2738,A257))</f>
        <v>428</v>
      </c>
      <c r="E257" s="20"/>
      <c r="F257" s="18" t="n">
        <f aca="false">COUNTIFS(選手一覧!$C$7:$C$2738,A257,選手一覧!$I$7:$I$2738,"&lt;=100")</f>
        <v>0</v>
      </c>
      <c r="G257" s="18" t="n">
        <f aca="false">COUNTIFS(選手一覧!$C$7:$C$2738,A257,選手一覧!$K$7:$K$2738,"&lt;=100")</f>
        <v>0</v>
      </c>
      <c r="H257" s="17" t="n">
        <f aca="false">COUNTIF(選手一覧!$C$7:$C$2738,A257)</f>
        <v>2</v>
      </c>
    </row>
    <row r="258" customFormat="false" ht="15" hidden="false" customHeight="false" outlineLevel="0" collapsed="false">
      <c r="A258" s="12" t="s">
        <v>779</v>
      </c>
      <c r="B258" s="22" t="n">
        <f aca="false">COUNTIFS(選手一覧!$C$7:$C$2738,A258,選手一覧!$E$7:$E$2738,"&lt;=100")</f>
        <v>0</v>
      </c>
      <c r="C258" s="18" t="n">
        <f aca="false">COUNTIFS(選手一覧!$C$7:$C$2738,A258,選手一覧!$E$7:$E$2738,"&gt;0")</f>
        <v>1</v>
      </c>
      <c r="D258" s="14" t="n">
        <f aca="false">IF(C258=0,"",_xlfn.MINIFS(選手一覧!$E$7:$E$2738,選手一覧!$C$7:$C$2738,A258))</f>
        <v>435</v>
      </c>
      <c r="E258" s="20"/>
      <c r="F258" s="18" t="n">
        <f aca="false">COUNTIFS(選手一覧!$C$7:$C$2738,A258,選手一覧!$I$7:$I$2738,"&lt;=100")</f>
        <v>0</v>
      </c>
      <c r="G258" s="18" t="n">
        <f aca="false">COUNTIFS(選手一覧!$C$7:$C$2738,A258,選手一覧!$K$7:$K$2738,"&lt;=100")</f>
        <v>0</v>
      </c>
      <c r="H258" s="17" t="n">
        <f aca="false">COUNTIF(選手一覧!$C$7:$C$2738,A258)</f>
        <v>4</v>
      </c>
    </row>
    <row r="259" customFormat="false" ht="15" hidden="false" customHeight="false" outlineLevel="0" collapsed="false">
      <c r="A259" s="12" t="s">
        <v>785</v>
      </c>
      <c r="B259" s="22" t="n">
        <f aca="false">COUNTIFS(選手一覧!$C$7:$C$2738,A259,選手一覧!$E$7:$E$2738,"&lt;=100")</f>
        <v>0</v>
      </c>
      <c r="C259" s="18" t="n">
        <f aca="false">COUNTIFS(選手一覧!$C$7:$C$2738,A259,選手一覧!$E$7:$E$2738,"&gt;0")</f>
        <v>1</v>
      </c>
      <c r="D259" s="14" t="n">
        <f aca="false">IF(C259=0,"",_xlfn.MINIFS(選手一覧!$E$7:$E$2738,選手一覧!$C$7:$C$2738,A259))</f>
        <v>440</v>
      </c>
      <c r="E259" s="20"/>
      <c r="F259" s="18" t="n">
        <f aca="false">COUNTIFS(選手一覧!$C$7:$C$2738,A259,選手一覧!$I$7:$I$2738,"&lt;=100")</f>
        <v>0</v>
      </c>
      <c r="G259" s="18" t="n">
        <f aca="false">COUNTIFS(選手一覧!$C$7:$C$2738,A259,選手一覧!$K$7:$K$2738,"&lt;=100")</f>
        <v>0</v>
      </c>
      <c r="H259" s="17" t="n">
        <f aca="false">COUNTIF(選手一覧!$C$7:$C$2738,A259)</f>
        <v>1</v>
      </c>
    </row>
    <row r="260" customFormat="false" ht="15" hidden="false" customHeight="false" outlineLevel="0" collapsed="false">
      <c r="A260" s="12" t="s">
        <v>799</v>
      </c>
      <c r="B260" s="22" t="n">
        <f aca="false">COUNTIFS(選手一覧!$C$7:$C$2738,A260,選手一覧!$E$7:$E$2738,"&lt;=100")</f>
        <v>0</v>
      </c>
      <c r="C260" s="18" t="n">
        <f aca="false">COUNTIFS(選手一覧!$C$7:$C$2738,A260,選手一覧!$E$7:$E$2738,"&gt;0")</f>
        <v>1</v>
      </c>
      <c r="D260" s="14" t="n">
        <f aca="false">IF(C260=0,"",_xlfn.MINIFS(選手一覧!$E$7:$E$2738,選手一覧!$C$7:$C$2738,A260))</f>
        <v>449</v>
      </c>
      <c r="E260" s="20"/>
      <c r="F260" s="18" t="n">
        <f aca="false">COUNTIFS(選手一覧!$C$7:$C$2738,A260,選手一覧!$I$7:$I$2738,"&lt;=100")</f>
        <v>0</v>
      </c>
      <c r="G260" s="18" t="n">
        <f aca="false">COUNTIFS(選手一覧!$C$7:$C$2738,A260,選手一覧!$K$7:$K$2738,"&lt;=100")</f>
        <v>0</v>
      </c>
      <c r="H260" s="17" t="n">
        <f aca="false">COUNTIF(選手一覧!$C$7:$C$2738,A260)</f>
        <v>1</v>
      </c>
    </row>
    <row r="261" customFormat="false" ht="15" hidden="false" customHeight="false" outlineLevel="0" collapsed="false">
      <c r="A261" s="12" t="s">
        <v>802</v>
      </c>
      <c r="B261" s="22" t="n">
        <f aca="false">COUNTIFS(選手一覧!$C$7:$C$2738,A261,選手一覧!$E$7:$E$2738,"&lt;=100")</f>
        <v>0</v>
      </c>
      <c r="C261" s="18" t="n">
        <f aca="false">COUNTIFS(選手一覧!$C$7:$C$2738,A261,選手一覧!$E$7:$E$2738,"&gt;0")</f>
        <v>1</v>
      </c>
      <c r="D261" s="14" t="n">
        <f aca="false">IF(C261=0,"",_xlfn.MINIFS(選手一覧!$E$7:$E$2738,選手一覧!$C$7:$C$2738,A261))</f>
        <v>451</v>
      </c>
      <c r="E261" s="20"/>
      <c r="F261" s="18" t="n">
        <f aca="false">COUNTIFS(選手一覧!$C$7:$C$2738,A261,選手一覧!$I$7:$I$2738,"&lt;=100")</f>
        <v>1</v>
      </c>
      <c r="G261" s="18" t="n">
        <f aca="false">COUNTIFS(選手一覧!$C$7:$C$2738,A261,選手一覧!$K$7:$K$2738,"&lt;=100")</f>
        <v>0</v>
      </c>
      <c r="H261" s="17" t="n">
        <f aca="false">COUNTIF(選手一覧!$C$7:$C$2738,A261)</f>
        <v>1</v>
      </c>
    </row>
    <row r="262" customFormat="false" ht="15" hidden="false" customHeight="false" outlineLevel="0" collapsed="false">
      <c r="A262" s="12" t="s">
        <v>809</v>
      </c>
      <c r="B262" s="22" t="n">
        <f aca="false">COUNTIFS(選手一覧!$C$7:$C$2738,A262,選手一覧!$E$7:$E$2738,"&lt;=100")</f>
        <v>0</v>
      </c>
      <c r="C262" s="18" t="n">
        <f aca="false">COUNTIFS(選手一覧!$C$7:$C$2738,A262,選手一覧!$E$7:$E$2738,"&gt;0")</f>
        <v>1</v>
      </c>
      <c r="D262" s="14" t="n">
        <f aca="false">IF(C262=0,"",_xlfn.MINIFS(選手一覧!$E$7:$E$2738,選手一覧!$C$7:$C$2738,A262))</f>
        <v>457</v>
      </c>
      <c r="E262" s="20"/>
      <c r="F262" s="18" t="n">
        <f aca="false">COUNTIFS(選手一覧!$C$7:$C$2738,A262,選手一覧!$I$7:$I$2738,"&lt;=100")</f>
        <v>0</v>
      </c>
      <c r="G262" s="18" t="n">
        <f aca="false">COUNTIFS(選手一覧!$C$7:$C$2738,A262,選手一覧!$K$7:$K$2738,"&lt;=100")</f>
        <v>0</v>
      </c>
      <c r="H262" s="17" t="n">
        <f aca="false">COUNTIF(選手一覧!$C$7:$C$2738,A262)</f>
        <v>4</v>
      </c>
    </row>
    <row r="263" customFormat="false" ht="15" hidden="false" customHeight="false" outlineLevel="0" collapsed="false">
      <c r="A263" s="12" t="s">
        <v>817</v>
      </c>
      <c r="B263" s="22" t="n">
        <f aca="false">COUNTIFS(選手一覧!$C$7:$C$2738,A263,選手一覧!$E$7:$E$2738,"&lt;=100")</f>
        <v>0</v>
      </c>
      <c r="C263" s="18" t="n">
        <f aca="false">COUNTIFS(選手一覧!$C$7:$C$2738,A263,選手一覧!$E$7:$E$2738,"&gt;0")</f>
        <v>1</v>
      </c>
      <c r="D263" s="14" t="n">
        <f aca="false">IF(C263=0,"",_xlfn.MINIFS(選手一覧!$E$7:$E$2738,選手一覧!$C$7:$C$2738,A263))</f>
        <v>462</v>
      </c>
      <c r="E263" s="20"/>
      <c r="F263" s="18" t="n">
        <f aca="false">COUNTIFS(選手一覧!$C$7:$C$2738,A263,選手一覧!$I$7:$I$2738,"&lt;=100")</f>
        <v>0</v>
      </c>
      <c r="G263" s="18" t="n">
        <f aca="false">COUNTIFS(選手一覧!$C$7:$C$2738,A263,選手一覧!$K$7:$K$2738,"&lt;=100")</f>
        <v>0</v>
      </c>
      <c r="H263" s="17" t="n">
        <f aca="false">COUNTIF(選手一覧!$C$7:$C$2738,A263)</f>
        <v>3</v>
      </c>
    </row>
    <row r="264" customFormat="false" ht="15" hidden="false" customHeight="false" outlineLevel="0" collapsed="false">
      <c r="A264" s="12" t="s">
        <v>821</v>
      </c>
      <c r="B264" s="22" t="n">
        <f aca="false">COUNTIFS(選手一覧!$C$7:$C$2738,A264,選手一覧!$E$7:$E$2738,"&lt;=100")</f>
        <v>0</v>
      </c>
      <c r="C264" s="18" t="n">
        <f aca="false">COUNTIFS(選手一覧!$C$7:$C$2738,A264,選手一覧!$E$7:$E$2738,"&gt;0")</f>
        <v>1</v>
      </c>
      <c r="D264" s="14" t="n">
        <f aca="false">IF(C264=0,"",_xlfn.MINIFS(選手一覧!$E$7:$E$2738,選手一覧!$C$7:$C$2738,A264))</f>
        <v>464</v>
      </c>
      <c r="E264" s="20"/>
      <c r="F264" s="18" t="n">
        <f aca="false">COUNTIFS(選手一覧!$C$7:$C$2738,A264,選手一覧!$I$7:$I$2738,"&lt;=100")</f>
        <v>0</v>
      </c>
      <c r="G264" s="18" t="n">
        <f aca="false">COUNTIFS(選手一覧!$C$7:$C$2738,A264,選手一覧!$K$7:$K$2738,"&lt;=100")</f>
        <v>0</v>
      </c>
      <c r="H264" s="17" t="n">
        <f aca="false">COUNTIF(選手一覧!$C$7:$C$2738,A264)</f>
        <v>1</v>
      </c>
    </row>
    <row r="265" customFormat="false" ht="15" hidden="false" customHeight="false" outlineLevel="0" collapsed="false">
      <c r="A265" s="12" t="s">
        <v>830</v>
      </c>
      <c r="B265" s="22" t="n">
        <f aca="false">COUNTIFS(選手一覧!$C$7:$C$2738,A265,選手一覧!$E$7:$E$2738,"&lt;=100")</f>
        <v>0</v>
      </c>
      <c r="C265" s="18" t="n">
        <f aca="false">COUNTIFS(選手一覧!$C$7:$C$2738,A265,選手一覧!$E$7:$E$2738,"&gt;0")</f>
        <v>1</v>
      </c>
      <c r="D265" s="14" t="n">
        <f aca="false">IF(C265=0,"",_xlfn.MINIFS(選手一覧!$E$7:$E$2738,選手一覧!$C$7:$C$2738,A265))</f>
        <v>470</v>
      </c>
      <c r="E265" s="20"/>
      <c r="F265" s="18" t="n">
        <f aca="false">COUNTIFS(選手一覧!$C$7:$C$2738,A265,選手一覧!$I$7:$I$2738,"&lt;=100")</f>
        <v>0</v>
      </c>
      <c r="G265" s="18" t="n">
        <f aca="false">COUNTIFS(選手一覧!$C$7:$C$2738,A265,選手一覧!$K$7:$K$2738,"&lt;=100")</f>
        <v>0</v>
      </c>
      <c r="H265" s="17" t="n">
        <f aca="false">COUNTIF(選手一覧!$C$7:$C$2738,A265)</f>
        <v>1</v>
      </c>
    </row>
    <row r="266" customFormat="false" ht="15" hidden="false" customHeight="false" outlineLevel="0" collapsed="false">
      <c r="A266" s="12" t="s">
        <v>858</v>
      </c>
      <c r="B266" s="22" t="n">
        <f aca="false">COUNTIFS(選手一覧!$C$7:$C$2738,A266,選手一覧!$E$7:$E$2738,"&lt;=100")</f>
        <v>0</v>
      </c>
      <c r="C266" s="18" t="n">
        <f aca="false">COUNTIFS(選手一覧!$C$7:$C$2738,A266,選手一覧!$E$7:$E$2738,"&gt;0")</f>
        <v>1</v>
      </c>
      <c r="D266" s="14" t="n">
        <f aca="false">IF(C266=0,"",_xlfn.MINIFS(選手一覧!$E$7:$E$2738,選手一覧!$C$7:$C$2738,A266))</f>
        <v>489</v>
      </c>
      <c r="E266" s="20"/>
      <c r="F266" s="18" t="n">
        <f aca="false">COUNTIFS(選手一覧!$C$7:$C$2738,A266,選手一覧!$I$7:$I$2738,"&lt;=100")</f>
        <v>1</v>
      </c>
      <c r="G266" s="18" t="n">
        <f aca="false">COUNTIFS(選手一覧!$C$7:$C$2738,A266,選手一覧!$K$7:$K$2738,"&lt;=100")</f>
        <v>1</v>
      </c>
      <c r="H266" s="17" t="n">
        <f aca="false">COUNTIF(選手一覧!$C$7:$C$2738,A266)</f>
        <v>3</v>
      </c>
    </row>
    <row r="267" customFormat="false" ht="15" hidden="false" customHeight="false" outlineLevel="0" collapsed="false">
      <c r="A267" s="12" t="s">
        <v>869</v>
      </c>
      <c r="B267" s="22" t="n">
        <f aca="false">COUNTIFS(選手一覧!$C$7:$C$2738,A267,選手一覧!$E$7:$E$2738,"&lt;=100")</f>
        <v>0</v>
      </c>
      <c r="C267" s="18" t="n">
        <f aca="false">COUNTIFS(選手一覧!$C$7:$C$2738,A267,選手一覧!$E$7:$E$2738,"&gt;0")</f>
        <v>1</v>
      </c>
      <c r="D267" s="14" t="n">
        <f aca="false">IF(C267=0,"",_xlfn.MINIFS(選手一覧!$E$7:$E$2738,選手一覧!$C$7:$C$2738,A267))</f>
        <v>495</v>
      </c>
      <c r="E267" s="20"/>
      <c r="F267" s="18" t="n">
        <f aca="false">COUNTIFS(選手一覧!$C$7:$C$2738,A267,選手一覧!$I$7:$I$2738,"&lt;=100")</f>
        <v>1</v>
      </c>
      <c r="G267" s="18" t="n">
        <f aca="false">COUNTIFS(選手一覧!$C$7:$C$2738,A267,選手一覧!$K$7:$K$2738,"&lt;=100")</f>
        <v>0</v>
      </c>
      <c r="H267" s="17" t="n">
        <f aca="false">COUNTIF(選手一覧!$C$7:$C$2738,A267)</f>
        <v>1</v>
      </c>
    </row>
    <row r="268" customFormat="false" ht="15" hidden="false" customHeight="false" outlineLevel="0" collapsed="false">
      <c r="A268" s="12" t="s">
        <v>879</v>
      </c>
      <c r="B268" s="22" t="n">
        <f aca="false">COUNTIFS(選手一覧!$C$7:$C$2738,A268,選手一覧!$E$7:$E$2738,"&lt;=100")</f>
        <v>0</v>
      </c>
      <c r="C268" s="18" t="n">
        <f aca="false">COUNTIFS(選手一覧!$C$7:$C$2738,A268,選手一覧!$E$7:$E$2738,"&gt;0")</f>
        <v>1</v>
      </c>
      <c r="D268" s="14" t="n">
        <f aca="false">IF(C268=0,"",_xlfn.MINIFS(選手一覧!$E$7:$E$2738,選手一覧!$C$7:$C$2738,A268))</f>
        <v>500</v>
      </c>
      <c r="E268" s="20"/>
      <c r="F268" s="18" t="n">
        <f aca="false">COUNTIFS(選手一覧!$C$7:$C$2738,A268,選手一覧!$I$7:$I$2738,"&lt;=100")</f>
        <v>0</v>
      </c>
      <c r="G268" s="18" t="n">
        <f aca="false">COUNTIFS(選手一覧!$C$7:$C$2738,A268,選手一覧!$K$7:$K$2738,"&lt;=100")</f>
        <v>0</v>
      </c>
      <c r="H268" s="17" t="n">
        <f aca="false">COUNTIF(選手一覧!$C$7:$C$2738,A268)</f>
        <v>1</v>
      </c>
    </row>
    <row r="269" customFormat="false" ht="15" hidden="false" customHeight="false" outlineLevel="0" collapsed="false">
      <c r="A269" s="12" t="s">
        <v>885</v>
      </c>
      <c r="B269" s="22" t="n">
        <f aca="false">COUNTIFS(選手一覧!$C$7:$C$2738,A269,選手一覧!$E$7:$E$2738,"&lt;=100")</f>
        <v>0</v>
      </c>
      <c r="C269" s="18" t="n">
        <f aca="false">COUNTIFS(選手一覧!$C$7:$C$2738,A269,選手一覧!$E$7:$E$2738,"&gt;0")</f>
        <v>1</v>
      </c>
      <c r="D269" s="14" t="n">
        <f aca="false">IF(C269=0,"",_xlfn.MINIFS(選手一覧!$E$7:$E$2738,選手一覧!$C$7:$C$2738,A269))</f>
        <v>504</v>
      </c>
      <c r="E269" s="20"/>
      <c r="F269" s="18" t="n">
        <f aca="false">COUNTIFS(選手一覧!$C$7:$C$2738,A269,選手一覧!$I$7:$I$2738,"&lt;=100")</f>
        <v>0</v>
      </c>
      <c r="G269" s="18" t="n">
        <f aca="false">COUNTIFS(選手一覧!$C$7:$C$2738,A269,選手一覧!$K$7:$K$2738,"&lt;=100")</f>
        <v>0</v>
      </c>
      <c r="H269" s="17" t="n">
        <f aca="false">COUNTIF(選手一覧!$C$7:$C$2738,A269)</f>
        <v>2</v>
      </c>
    </row>
    <row r="270" customFormat="false" ht="15" hidden="false" customHeight="false" outlineLevel="0" collapsed="false">
      <c r="A270" s="12" t="s">
        <v>888</v>
      </c>
      <c r="B270" s="22" t="n">
        <f aca="false">COUNTIFS(選手一覧!$C$7:$C$2738,A270,選手一覧!$E$7:$E$2738,"&lt;=100")</f>
        <v>0</v>
      </c>
      <c r="C270" s="18" t="n">
        <f aca="false">COUNTIFS(選手一覧!$C$7:$C$2738,A270,選手一覧!$E$7:$E$2738,"&gt;0")</f>
        <v>1</v>
      </c>
      <c r="D270" s="14" t="n">
        <f aca="false">IF(C270=0,"",_xlfn.MINIFS(選手一覧!$E$7:$E$2738,選手一覧!$C$7:$C$2738,A270))</f>
        <v>505</v>
      </c>
      <c r="E270" s="20"/>
      <c r="F270" s="18" t="n">
        <f aca="false">COUNTIFS(選手一覧!$C$7:$C$2738,A270,選手一覧!$I$7:$I$2738,"&lt;=100")</f>
        <v>0</v>
      </c>
      <c r="G270" s="18" t="n">
        <f aca="false">COUNTIFS(選手一覧!$C$7:$C$2738,A270,選手一覧!$K$7:$K$2738,"&lt;=100")</f>
        <v>0</v>
      </c>
      <c r="H270" s="17" t="n">
        <f aca="false">COUNTIF(選手一覧!$C$7:$C$2738,A270)</f>
        <v>1</v>
      </c>
    </row>
    <row r="271" customFormat="false" ht="15" hidden="false" customHeight="false" outlineLevel="0" collapsed="false">
      <c r="A271" s="12" t="s">
        <v>898</v>
      </c>
      <c r="B271" s="22" t="n">
        <f aca="false">COUNTIFS(選手一覧!$C$7:$C$2738,A271,選手一覧!$E$7:$E$2738,"&lt;=100")</f>
        <v>0</v>
      </c>
      <c r="C271" s="18" t="n">
        <f aca="false">COUNTIFS(選手一覧!$C$7:$C$2738,A271,選手一覧!$E$7:$E$2738,"&gt;0")</f>
        <v>1</v>
      </c>
      <c r="D271" s="14" t="n">
        <f aca="false">IF(C271=0,"",_xlfn.MINIFS(選手一覧!$E$7:$E$2738,選手一覧!$C$7:$C$2738,A271))</f>
        <v>511</v>
      </c>
      <c r="E271" s="20"/>
      <c r="F271" s="18" t="n">
        <f aca="false">COUNTIFS(選手一覧!$C$7:$C$2738,A271,選手一覧!$I$7:$I$2738,"&lt;=100")</f>
        <v>0</v>
      </c>
      <c r="G271" s="18" t="n">
        <f aca="false">COUNTIFS(選手一覧!$C$7:$C$2738,A271,選手一覧!$K$7:$K$2738,"&lt;=100")</f>
        <v>0</v>
      </c>
      <c r="H271" s="17" t="n">
        <f aca="false">COUNTIF(選手一覧!$C$7:$C$2738,A271)</f>
        <v>3</v>
      </c>
    </row>
    <row r="272" customFormat="false" ht="15" hidden="false" customHeight="false" outlineLevel="0" collapsed="false">
      <c r="A272" s="12" t="s">
        <v>912</v>
      </c>
      <c r="B272" s="22" t="n">
        <f aca="false">COUNTIFS(選手一覧!$C$7:$C$2738,A272,選手一覧!$E$7:$E$2738,"&lt;=100")</f>
        <v>0</v>
      </c>
      <c r="C272" s="18" t="n">
        <f aca="false">COUNTIFS(選手一覧!$C$7:$C$2738,A272,選手一覧!$E$7:$E$2738,"&gt;0")</f>
        <v>1</v>
      </c>
      <c r="D272" s="14" t="n">
        <f aca="false">IF(C272=0,"",_xlfn.MINIFS(選手一覧!$E$7:$E$2738,選手一覧!$C$7:$C$2738,A272))</f>
        <v>519</v>
      </c>
      <c r="E272" s="20"/>
      <c r="F272" s="18" t="n">
        <f aca="false">COUNTIFS(選手一覧!$C$7:$C$2738,A272,選手一覧!$I$7:$I$2738,"&lt;=100")</f>
        <v>1</v>
      </c>
      <c r="G272" s="18" t="n">
        <f aca="false">COUNTIFS(選手一覧!$C$7:$C$2738,A272,選手一覧!$K$7:$K$2738,"&lt;=100")</f>
        <v>0</v>
      </c>
      <c r="H272" s="17" t="n">
        <f aca="false">COUNTIF(選手一覧!$C$7:$C$2738,A272)</f>
        <v>1</v>
      </c>
    </row>
    <row r="273" customFormat="false" ht="15" hidden="false" customHeight="false" outlineLevel="0" collapsed="false">
      <c r="A273" s="12" t="s">
        <v>915</v>
      </c>
      <c r="B273" s="22" t="n">
        <f aca="false">COUNTIFS(選手一覧!$C$7:$C$2738,A273,選手一覧!$E$7:$E$2738,"&lt;=100")</f>
        <v>0</v>
      </c>
      <c r="C273" s="18" t="n">
        <f aca="false">COUNTIFS(選手一覧!$C$7:$C$2738,A273,選手一覧!$E$7:$E$2738,"&gt;0")</f>
        <v>1</v>
      </c>
      <c r="D273" s="14" t="n">
        <f aca="false">IF(C273=0,"",_xlfn.MINIFS(選手一覧!$E$7:$E$2738,選手一覧!$C$7:$C$2738,A273))</f>
        <v>521</v>
      </c>
      <c r="E273" s="20"/>
      <c r="F273" s="18" t="n">
        <f aca="false">COUNTIFS(選手一覧!$C$7:$C$2738,A273,選手一覧!$I$7:$I$2738,"&lt;=100")</f>
        <v>0</v>
      </c>
      <c r="G273" s="18" t="n">
        <f aca="false">COUNTIFS(選手一覧!$C$7:$C$2738,A273,選手一覧!$K$7:$K$2738,"&lt;=100")</f>
        <v>0</v>
      </c>
      <c r="H273" s="17" t="n">
        <f aca="false">COUNTIF(選手一覧!$C$7:$C$2738,A273)</f>
        <v>1</v>
      </c>
    </row>
    <row r="274" customFormat="false" ht="15" hidden="false" customHeight="false" outlineLevel="0" collapsed="false">
      <c r="A274" s="12" t="s">
        <v>917</v>
      </c>
      <c r="B274" s="22" t="n">
        <f aca="false">COUNTIFS(選手一覧!$C$7:$C$2738,A274,選手一覧!$E$7:$E$2738,"&lt;=100")</f>
        <v>0</v>
      </c>
      <c r="C274" s="18" t="n">
        <f aca="false">COUNTIFS(選手一覧!$C$7:$C$2738,A274,選手一覧!$E$7:$E$2738,"&gt;0")</f>
        <v>1</v>
      </c>
      <c r="D274" s="14" t="n">
        <f aca="false">IF(C274=0,"",_xlfn.MINIFS(選手一覧!$E$7:$E$2738,選手一覧!$C$7:$C$2738,A274))</f>
        <v>522</v>
      </c>
      <c r="E274" s="20"/>
      <c r="F274" s="18" t="n">
        <f aca="false">COUNTIFS(選手一覧!$C$7:$C$2738,A274,選手一覧!$I$7:$I$2738,"&lt;=100")</f>
        <v>0</v>
      </c>
      <c r="G274" s="18" t="n">
        <f aca="false">COUNTIFS(選手一覧!$C$7:$C$2738,A274,選手一覧!$K$7:$K$2738,"&lt;=100")</f>
        <v>0</v>
      </c>
      <c r="H274" s="17" t="n">
        <f aca="false">COUNTIF(選手一覧!$C$7:$C$2738,A274)</f>
        <v>3</v>
      </c>
    </row>
    <row r="275" customFormat="false" ht="15" hidden="false" customHeight="false" outlineLevel="0" collapsed="false">
      <c r="A275" s="12" t="s">
        <v>929</v>
      </c>
      <c r="B275" s="22" t="n">
        <f aca="false">COUNTIFS(選手一覧!$C$7:$C$2738,A275,選手一覧!$E$7:$E$2738,"&lt;=100")</f>
        <v>0</v>
      </c>
      <c r="C275" s="18" t="n">
        <f aca="false">COUNTIFS(選手一覧!$C$7:$C$2738,A275,選手一覧!$E$7:$E$2738,"&gt;0")</f>
        <v>1</v>
      </c>
      <c r="D275" s="14" t="n">
        <f aca="false">IF(C275=0,"",_xlfn.MINIFS(選手一覧!$E$7:$E$2738,選手一覧!$C$7:$C$2738,A275))</f>
        <v>531</v>
      </c>
      <c r="E275" s="20"/>
      <c r="F275" s="18" t="n">
        <f aca="false">COUNTIFS(選手一覧!$C$7:$C$2738,A275,選手一覧!$I$7:$I$2738,"&lt;=100")</f>
        <v>0</v>
      </c>
      <c r="G275" s="18" t="n">
        <f aca="false">COUNTIFS(選手一覧!$C$7:$C$2738,A275,選手一覧!$K$7:$K$2738,"&lt;=100")</f>
        <v>0</v>
      </c>
      <c r="H275" s="17" t="n">
        <f aca="false">COUNTIF(選手一覧!$C$7:$C$2738,A275)</f>
        <v>2</v>
      </c>
    </row>
    <row r="276" customFormat="false" ht="15" hidden="false" customHeight="false" outlineLevel="0" collapsed="false">
      <c r="A276" s="12" t="s">
        <v>933</v>
      </c>
      <c r="B276" s="22" t="n">
        <f aca="false">COUNTIFS(選手一覧!$C$7:$C$2738,A276,選手一覧!$E$7:$E$2738,"&lt;=100")</f>
        <v>0</v>
      </c>
      <c r="C276" s="18" t="n">
        <f aca="false">COUNTIFS(選手一覧!$C$7:$C$2738,A276,選手一覧!$E$7:$E$2738,"&gt;0")</f>
        <v>1</v>
      </c>
      <c r="D276" s="14" t="n">
        <f aca="false">IF(C276=0,"",_xlfn.MINIFS(選手一覧!$E$7:$E$2738,選手一覧!$C$7:$C$2738,A276))</f>
        <v>533</v>
      </c>
      <c r="E276" s="20"/>
      <c r="F276" s="18" t="n">
        <f aca="false">COUNTIFS(選手一覧!$C$7:$C$2738,A276,選手一覧!$I$7:$I$2738,"&lt;=100")</f>
        <v>0</v>
      </c>
      <c r="G276" s="18" t="n">
        <f aca="false">COUNTIFS(選手一覧!$C$7:$C$2738,A276,選手一覧!$K$7:$K$2738,"&lt;=100")</f>
        <v>0</v>
      </c>
      <c r="H276" s="17" t="n">
        <f aca="false">COUNTIF(選手一覧!$C$7:$C$2738,A276)</f>
        <v>1</v>
      </c>
    </row>
    <row r="277" customFormat="false" ht="15" hidden="false" customHeight="false" outlineLevel="0" collapsed="false">
      <c r="A277" s="12" t="s">
        <v>951</v>
      </c>
      <c r="B277" s="22" t="n">
        <f aca="false">COUNTIFS(選手一覧!$C$7:$C$2738,A277,選手一覧!$E$7:$E$2738,"&lt;=100")</f>
        <v>0</v>
      </c>
      <c r="C277" s="18" t="n">
        <f aca="false">COUNTIFS(選手一覧!$C$7:$C$2738,A277,選手一覧!$E$7:$E$2738,"&gt;0")</f>
        <v>1</v>
      </c>
      <c r="D277" s="14" t="n">
        <f aca="false">IF(C277=0,"",_xlfn.MINIFS(選手一覧!$E$7:$E$2738,選手一覧!$C$7:$C$2738,A277))</f>
        <v>543</v>
      </c>
      <c r="E277" s="20"/>
      <c r="F277" s="18" t="n">
        <f aca="false">COUNTIFS(選手一覧!$C$7:$C$2738,A277,選手一覧!$I$7:$I$2738,"&lt;=100")</f>
        <v>1</v>
      </c>
      <c r="G277" s="18" t="n">
        <f aca="false">COUNTIFS(選手一覧!$C$7:$C$2738,A277,選手一覧!$K$7:$K$2738,"&lt;=100")</f>
        <v>0</v>
      </c>
      <c r="H277" s="17" t="n">
        <f aca="false">COUNTIF(選手一覧!$C$7:$C$2738,A277)</f>
        <v>1</v>
      </c>
    </row>
    <row r="278" customFormat="false" ht="15" hidden="false" customHeight="false" outlineLevel="0" collapsed="false">
      <c r="A278" s="12" t="s">
        <v>953</v>
      </c>
      <c r="B278" s="22" t="n">
        <f aca="false">COUNTIFS(選手一覧!$C$7:$C$2738,A278,選手一覧!$E$7:$E$2738,"&lt;=100")</f>
        <v>0</v>
      </c>
      <c r="C278" s="18" t="n">
        <f aca="false">COUNTIFS(選手一覧!$C$7:$C$2738,A278,選手一覧!$E$7:$E$2738,"&gt;0")</f>
        <v>1</v>
      </c>
      <c r="D278" s="14" t="n">
        <f aca="false">IF(C278=0,"",_xlfn.MINIFS(選手一覧!$E$7:$E$2738,選手一覧!$C$7:$C$2738,A278))</f>
        <v>544</v>
      </c>
      <c r="E278" s="20"/>
      <c r="F278" s="18" t="n">
        <f aca="false">COUNTIFS(選手一覧!$C$7:$C$2738,A278,選手一覧!$I$7:$I$2738,"&lt;=100")</f>
        <v>1</v>
      </c>
      <c r="G278" s="18" t="n">
        <f aca="false">COUNTIFS(選手一覧!$C$7:$C$2738,A278,選手一覧!$K$7:$K$2738,"&lt;=100")</f>
        <v>1</v>
      </c>
      <c r="H278" s="17" t="n">
        <f aca="false">COUNTIF(選手一覧!$C$7:$C$2738,A278)</f>
        <v>4</v>
      </c>
    </row>
    <row r="279" customFormat="false" ht="15" hidden="false" customHeight="false" outlineLevel="0" collapsed="false">
      <c r="A279" s="12" t="s">
        <v>978</v>
      </c>
      <c r="B279" s="22" t="n">
        <f aca="false">COUNTIFS(選手一覧!$C$7:$C$2738,A279,選手一覧!$E$7:$E$2738,"&lt;=100")</f>
        <v>0</v>
      </c>
      <c r="C279" s="18" t="n">
        <f aca="false">COUNTIFS(選手一覧!$C$7:$C$2738,A279,選手一覧!$E$7:$E$2738,"&gt;0")</f>
        <v>1</v>
      </c>
      <c r="D279" s="14" t="n">
        <f aca="false">IF(C279=0,"",_xlfn.MINIFS(選手一覧!$E$7:$E$2738,選手一覧!$C$7:$C$2738,A279))</f>
        <v>562</v>
      </c>
      <c r="E279" s="20"/>
      <c r="F279" s="18" t="n">
        <f aca="false">COUNTIFS(選手一覧!$C$7:$C$2738,A279,選手一覧!$I$7:$I$2738,"&lt;=100")</f>
        <v>0</v>
      </c>
      <c r="G279" s="18" t="n">
        <f aca="false">COUNTIFS(選手一覧!$C$7:$C$2738,A279,選手一覧!$K$7:$K$2738,"&lt;=100")</f>
        <v>0</v>
      </c>
      <c r="H279" s="17" t="n">
        <f aca="false">COUNTIF(選手一覧!$C$7:$C$2738,A279)</f>
        <v>2</v>
      </c>
    </row>
    <row r="280" customFormat="false" ht="15" hidden="false" customHeight="false" outlineLevel="0" collapsed="false">
      <c r="A280" s="12" t="s">
        <v>982</v>
      </c>
      <c r="B280" s="22" t="n">
        <f aca="false">COUNTIFS(選手一覧!$C$7:$C$2738,A280,選手一覧!$E$7:$E$2738,"&lt;=100")</f>
        <v>0</v>
      </c>
      <c r="C280" s="18" t="n">
        <f aca="false">COUNTIFS(選手一覧!$C$7:$C$2738,A280,選手一覧!$E$7:$E$2738,"&gt;0")</f>
        <v>1</v>
      </c>
      <c r="D280" s="14" t="n">
        <f aca="false">IF(C280=0,"",_xlfn.MINIFS(選手一覧!$E$7:$E$2738,選手一覧!$C$7:$C$2738,A280))</f>
        <v>564</v>
      </c>
      <c r="E280" s="20"/>
      <c r="F280" s="18" t="n">
        <f aca="false">COUNTIFS(選手一覧!$C$7:$C$2738,A280,選手一覧!$I$7:$I$2738,"&lt;=100")</f>
        <v>0</v>
      </c>
      <c r="G280" s="18" t="n">
        <f aca="false">COUNTIFS(選手一覧!$C$7:$C$2738,A280,選手一覧!$K$7:$K$2738,"&lt;=100")</f>
        <v>0</v>
      </c>
      <c r="H280" s="17" t="n">
        <f aca="false">COUNTIF(選手一覧!$C$7:$C$2738,A280)</f>
        <v>2</v>
      </c>
    </row>
    <row r="281" customFormat="false" ht="15" hidden="false" customHeight="false" outlineLevel="0" collapsed="false">
      <c r="A281" s="12" t="s">
        <v>989</v>
      </c>
      <c r="B281" s="22" t="n">
        <f aca="false">COUNTIFS(選手一覧!$C$7:$C$2738,A281,選手一覧!$E$7:$E$2738,"&lt;=100")</f>
        <v>0</v>
      </c>
      <c r="C281" s="18" t="n">
        <f aca="false">COUNTIFS(選手一覧!$C$7:$C$2738,A281,選手一覧!$E$7:$E$2738,"&gt;0")</f>
        <v>1</v>
      </c>
      <c r="D281" s="14" t="n">
        <f aca="false">IF(C281=0,"",_xlfn.MINIFS(選手一覧!$E$7:$E$2738,選手一覧!$C$7:$C$2738,A281))</f>
        <v>569</v>
      </c>
      <c r="E281" s="20"/>
      <c r="F281" s="18" t="n">
        <f aca="false">COUNTIFS(選手一覧!$C$7:$C$2738,A281,選手一覧!$I$7:$I$2738,"&lt;=100")</f>
        <v>0</v>
      </c>
      <c r="G281" s="18" t="n">
        <f aca="false">COUNTIFS(選手一覧!$C$7:$C$2738,A281,選手一覧!$K$7:$K$2738,"&lt;=100")</f>
        <v>0</v>
      </c>
      <c r="H281" s="17" t="n">
        <f aca="false">COUNTIF(選手一覧!$C$7:$C$2738,A281)</f>
        <v>4</v>
      </c>
    </row>
    <row r="282" customFormat="false" ht="15" hidden="false" customHeight="false" outlineLevel="0" collapsed="false">
      <c r="A282" s="12" t="s">
        <v>996</v>
      </c>
      <c r="B282" s="22" t="n">
        <f aca="false">COUNTIFS(選手一覧!$C$7:$C$2738,A282,選手一覧!$E$7:$E$2738,"&lt;=100")</f>
        <v>0</v>
      </c>
      <c r="C282" s="18" t="n">
        <f aca="false">COUNTIFS(選手一覧!$C$7:$C$2738,A282,選手一覧!$E$7:$E$2738,"&gt;0")</f>
        <v>1</v>
      </c>
      <c r="D282" s="14" t="n">
        <f aca="false">IF(C282=0,"",_xlfn.MINIFS(選手一覧!$E$7:$E$2738,選手一覧!$C$7:$C$2738,A282))</f>
        <v>574</v>
      </c>
      <c r="E282" s="20"/>
      <c r="F282" s="18" t="n">
        <f aca="false">COUNTIFS(選手一覧!$C$7:$C$2738,A282,選手一覧!$I$7:$I$2738,"&lt;=100")</f>
        <v>0</v>
      </c>
      <c r="G282" s="18" t="n">
        <f aca="false">COUNTIFS(選手一覧!$C$7:$C$2738,A282,選手一覧!$K$7:$K$2738,"&lt;=100")</f>
        <v>0</v>
      </c>
      <c r="H282" s="17" t="n">
        <f aca="false">COUNTIF(選手一覧!$C$7:$C$2738,A282)</f>
        <v>3</v>
      </c>
    </row>
    <row r="283" customFormat="false" ht="15" hidden="false" customHeight="false" outlineLevel="0" collapsed="false">
      <c r="A283" s="12" t="s">
        <v>1006</v>
      </c>
      <c r="B283" s="22" t="n">
        <f aca="false">COUNTIFS(選手一覧!$C$7:$C$2738,A283,選手一覧!$E$7:$E$2738,"&lt;=100")</f>
        <v>0</v>
      </c>
      <c r="C283" s="18" t="n">
        <f aca="false">COUNTIFS(選手一覧!$C$7:$C$2738,A283,選手一覧!$E$7:$E$2738,"&gt;0")</f>
        <v>1</v>
      </c>
      <c r="D283" s="14" t="n">
        <f aca="false">IF(C283=0,"",_xlfn.MINIFS(選手一覧!$E$7:$E$2738,選手一覧!$C$7:$C$2738,A283))</f>
        <v>581</v>
      </c>
      <c r="E283" s="20"/>
      <c r="F283" s="18" t="n">
        <f aca="false">COUNTIFS(選手一覧!$C$7:$C$2738,A283,選手一覧!$I$7:$I$2738,"&lt;=100")</f>
        <v>0</v>
      </c>
      <c r="G283" s="18" t="n">
        <f aca="false">COUNTIFS(選手一覧!$C$7:$C$2738,A283,選手一覧!$K$7:$K$2738,"&lt;=100")</f>
        <v>1</v>
      </c>
      <c r="H283" s="17" t="n">
        <f aca="false">COUNTIF(選手一覧!$C$7:$C$2738,A283)</f>
        <v>1</v>
      </c>
    </row>
    <row r="284" customFormat="false" ht="15" hidden="false" customHeight="false" outlineLevel="0" collapsed="false">
      <c r="A284" s="12" t="s">
        <v>1009</v>
      </c>
      <c r="B284" s="22" t="n">
        <f aca="false">COUNTIFS(選手一覧!$C$7:$C$2738,A284,選手一覧!$E$7:$E$2738,"&lt;=100")</f>
        <v>0</v>
      </c>
      <c r="C284" s="18" t="n">
        <f aca="false">COUNTIFS(選手一覧!$C$7:$C$2738,A284,選手一覧!$E$7:$E$2738,"&gt;0")</f>
        <v>1</v>
      </c>
      <c r="D284" s="14" t="n">
        <f aca="false">IF(C284=0,"",_xlfn.MINIFS(選手一覧!$E$7:$E$2738,選手一覧!$C$7:$C$2738,A284))</f>
        <v>582</v>
      </c>
      <c r="E284" s="20"/>
      <c r="F284" s="18" t="n">
        <f aca="false">COUNTIFS(選手一覧!$C$7:$C$2738,A284,選手一覧!$I$7:$I$2738,"&lt;=100")</f>
        <v>0</v>
      </c>
      <c r="G284" s="18" t="n">
        <f aca="false">COUNTIFS(選手一覧!$C$7:$C$2738,A284,選手一覧!$K$7:$K$2738,"&lt;=100")</f>
        <v>0</v>
      </c>
      <c r="H284" s="17" t="n">
        <f aca="false">COUNTIF(選手一覧!$C$7:$C$2738,A284)</f>
        <v>2</v>
      </c>
    </row>
    <row r="285" customFormat="false" ht="15" hidden="false" customHeight="false" outlineLevel="0" collapsed="false">
      <c r="A285" s="12" t="s">
        <v>1028</v>
      </c>
      <c r="B285" s="22" t="n">
        <f aca="false">COUNTIFS(選手一覧!$C$7:$C$2738,A285,選手一覧!$E$7:$E$2738,"&lt;=100")</f>
        <v>0</v>
      </c>
      <c r="C285" s="18" t="n">
        <f aca="false">COUNTIFS(選手一覧!$C$7:$C$2738,A285,選手一覧!$E$7:$E$2738,"&gt;0")</f>
        <v>1</v>
      </c>
      <c r="D285" s="14" t="n">
        <f aca="false">IF(C285=0,"",_xlfn.MINIFS(選手一覧!$E$7:$E$2738,選手一覧!$C$7:$C$2738,A285))</f>
        <v>596</v>
      </c>
      <c r="E285" s="20"/>
      <c r="F285" s="18" t="n">
        <f aca="false">COUNTIFS(選手一覧!$C$7:$C$2738,A285,選手一覧!$I$7:$I$2738,"&lt;=100")</f>
        <v>0</v>
      </c>
      <c r="G285" s="18" t="n">
        <f aca="false">COUNTIFS(選手一覧!$C$7:$C$2738,A285,選手一覧!$K$7:$K$2738,"&lt;=100")</f>
        <v>0</v>
      </c>
      <c r="H285" s="17" t="n">
        <f aca="false">COUNTIF(選手一覧!$C$7:$C$2738,A285)</f>
        <v>1</v>
      </c>
    </row>
    <row r="286" customFormat="false" ht="15" hidden="false" customHeight="false" outlineLevel="0" collapsed="false">
      <c r="A286" s="12" t="s">
        <v>1035</v>
      </c>
      <c r="B286" s="22" t="n">
        <f aca="false">COUNTIFS(選手一覧!$C$7:$C$2738,A286,選手一覧!$E$7:$E$2738,"&lt;=100")</f>
        <v>0</v>
      </c>
      <c r="C286" s="18" t="n">
        <f aca="false">COUNTIFS(選手一覧!$C$7:$C$2738,A286,選手一覧!$E$7:$E$2738,"&gt;0")</f>
        <v>1</v>
      </c>
      <c r="D286" s="14" t="n">
        <f aca="false">IF(C286=0,"",_xlfn.MINIFS(選手一覧!$E$7:$E$2738,選手一覧!$C$7:$C$2738,A286))</f>
        <v>601</v>
      </c>
      <c r="E286" s="20"/>
      <c r="F286" s="18" t="n">
        <f aca="false">COUNTIFS(選手一覧!$C$7:$C$2738,A286,選手一覧!$I$7:$I$2738,"&lt;=100")</f>
        <v>0</v>
      </c>
      <c r="G286" s="18" t="n">
        <f aca="false">COUNTIFS(選手一覧!$C$7:$C$2738,A286,選手一覧!$K$7:$K$2738,"&lt;=100")</f>
        <v>0</v>
      </c>
      <c r="H286" s="17" t="n">
        <f aca="false">COUNTIF(選手一覧!$C$7:$C$2738,A286)</f>
        <v>3</v>
      </c>
    </row>
    <row r="287" customFormat="false" ht="15" hidden="false" customHeight="false" outlineLevel="0" collapsed="false">
      <c r="A287" s="12" t="s">
        <v>1063</v>
      </c>
      <c r="B287" s="22" t="n">
        <f aca="false">COUNTIFS(選手一覧!$C$7:$C$2738,A287,選手一覧!$E$7:$E$2738,"&lt;=100")</f>
        <v>0</v>
      </c>
      <c r="C287" s="18" t="n">
        <f aca="false">COUNTIFS(選手一覧!$C$7:$C$2738,A287,選手一覧!$E$7:$E$2738,"&gt;0")</f>
        <v>1</v>
      </c>
      <c r="D287" s="14" t="n">
        <f aca="false">IF(C287=0,"",_xlfn.MINIFS(選手一覧!$E$7:$E$2738,選手一覧!$C$7:$C$2738,A287))</f>
        <v>623</v>
      </c>
      <c r="E287" s="20"/>
      <c r="F287" s="18" t="n">
        <f aca="false">COUNTIFS(選手一覧!$C$7:$C$2738,A287,選手一覧!$I$7:$I$2738,"&lt;=100")</f>
        <v>0</v>
      </c>
      <c r="G287" s="18" t="n">
        <f aca="false">COUNTIFS(選手一覧!$C$7:$C$2738,A287,選手一覧!$K$7:$K$2738,"&lt;=100")</f>
        <v>0</v>
      </c>
      <c r="H287" s="17" t="n">
        <f aca="false">COUNTIF(選手一覧!$C$7:$C$2738,A287)</f>
        <v>3</v>
      </c>
    </row>
    <row r="288" customFormat="false" ht="15" hidden="false" customHeight="false" outlineLevel="0" collapsed="false">
      <c r="A288" s="12" t="s">
        <v>1069</v>
      </c>
      <c r="B288" s="22" t="n">
        <f aca="false">COUNTIFS(選手一覧!$C$7:$C$2738,A288,選手一覧!$E$7:$E$2738,"&lt;=100")</f>
        <v>0</v>
      </c>
      <c r="C288" s="18" t="n">
        <f aca="false">COUNTIFS(選手一覧!$C$7:$C$2738,A288,選手一覧!$E$7:$E$2738,"&gt;0")</f>
        <v>1</v>
      </c>
      <c r="D288" s="14" t="n">
        <f aca="false">IF(C288=0,"",_xlfn.MINIFS(選手一覧!$E$7:$E$2738,選手一覧!$C$7:$C$2738,A288))</f>
        <v>627</v>
      </c>
      <c r="E288" s="20"/>
      <c r="F288" s="18" t="n">
        <f aca="false">COUNTIFS(選手一覧!$C$7:$C$2738,A288,選手一覧!$I$7:$I$2738,"&lt;=100")</f>
        <v>0</v>
      </c>
      <c r="G288" s="18" t="n">
        <f aca="false">COUNTIFS(選手一覧!$C$7:$C$2738,A288,選手一覧!$K$7:$K$2738,"&lt;=100")</f>
        <v>0</v>
      </c>
      <c r="H288" s="17" t="n">
        <f aca="false">COUNTIF(選手一覧!$C$7:$C$2738,A288)</f>
        <v>2</v>
      </c>
    </row>
    <row r="289" customFormat="false" ht="15" hidden="false" customHeight="false" outlineLevel="0" collapsed="false">
      <c r="A289" s="12" t="s">
        <v>1071</v>
      </c>
      <c r="B289" s="22" t="n">
        <f aca="false">COUNTIFS(選手一覧!$C$7:$C$2738,A289,選手一覧!$E$7:$E$2738,"&lt;=100")</f>
        <v>0</v>
      </c>
      <c r="C289" s="18" t="n">
        <f aca="false">COUNTIFS(選手一覧!$C$7:$C$2738,A289,選手一覧!$E$7:$E$2738,"&gt;0")</f>
        <v>1</v>
      </c>
      <c r="D289" s="14" t="n">
        <f aca="false">IF(C289=0,"",_xlfn.MINIFS(選手一覧!$E$7:$E$2738,選手一覧!$C$7:$C$2738,A289))</f>
        <v>628</v>
      </c>
      <c r="E289" s="20"/>
      <c r="F289" s="18" t="n">
        <f aca="false">COUNTIFS(選手一覧!$C$7:$C$2738,A289,選手一覧!$I$7:$I$2738,"&lt;=100")</f>
        <v>0</v>
      </c>
      <c r="G289" s="18" t="n">
        <f aca="false">COUNTIFS(選手一覧!$C$7:$C$2738,A289,選手一覧!$K$7:$K$2738,"&lt;=100")</f>
        <v>0</v>
      </c>
      <c r="H289" s="17" t="n">
        <f aca="false">COUNTIF(選手一覧!$C$7:$C$2738,A289)</f>
        <v>2</v>
      </c>
    </row>
    <row r="290" customFormat="false" ht="15" hidden="false" customHeight="false" outlineLevel="0" collapsed="false">
      <c r="A290" s="12" t="s">
        <v>1083</v>
      </c>
      <c r="B290" s="22" t="n">
        <f aca="false">COUNTIFS(選手一覧!$C$7:$C$2738,A290,選手一覧!$E$7:$E$2738,"&lt;=100")</f>
        <v>0</v>
      </c>
      <c r="C290" s="18" t="n">
        <f aca="false">COUNTIFS(選手一覧!$C$7:$C$2738,A290,選手一覧!$E$7:$E$2738,"&gt;0")</f>
        <v>1</v>
      </c>
      <c r="D290" s="14" t="n">
        <f aca="false">IF(C290=0,"",_xlfn.MINIFS(選手一覧!$E$7:$E$2738,選手一覧!$C$7:$C$2738,A290))</f>
        <v>638</v>
      </c>
      <c r="E290" s="20"/>
      <c r="F290" s="18" t="n">
        <f aca="false">COUNTIFS(選手一覧!$C$7:$C$2738,A290,選手一覧!$I$7:$I$2738,"&lt;=100")</f>
        <v>0</v>
      </c>
      <c r="G290" s="18" t="n">
        <f aca="false">COUNTIFS(選手一覧!$C$7:$C$2738,A290,選手一覧!$K$7:$K$2738,"&lt;=100")</f>
        <v>0</v>
      </c>
      <c r="H290" s="17" t="n">
        <f aca="false">COUNTIF(選手一覧!$C$7:$C$2738,A290)</f>
        <v>1</v>
      </c>
    </row>
    <row r="291" customFormat="false" ht="15" hidden="false" customHeight="false" outlineLevel="0" collapsed="false">
      <c r="A291" s="12" t="s">
        <v>1092</v>
      </c>
      <c r="B291" s="22" t="n">
        <f aca="false">COUNTIFS(選手一覧!$C$7:$C$2738,A291,選手一覧!$E$7:$E$2738,"&lt;=100")</f>
        <v>0</v>
      </c>
      <c r="C291" s="18" t="n">
        <f aca="false">COUNTIFS(選手一覧!$C$7:$C$2738,A291,選手一覧!$E$7:$E$2738,"&gt;0")</f>
        <v>1</v>
      </c>
      <c r="D291" s="14" t="n">
        <f aca="false">IF(C291=0,"",_xlfn.MINIFS(選手一覧!$E$7:$E$2738,選手一覧!$C$7:$C$2738,A291))</f>
        <v>645</v>
      </c>
      <c r="E291" s="20"/>
      <c r="F291" s="18" t="n">
        <f aca="false">COUNTIFS(選手一覧!$C$7:$C$2738,A291,選手一覧!$I$7:$I$2738,"&lt;=100")</f>
        <v>0</v>
      </c>
      <c r="G291" s="18" t="n">
        <f aca="false">COUNTIFS(選手一覧!$C$7:$C$2738,A291,選手一覧!$K$7:$K$2738,"&lt;=100")</f>
        <v>0</v>
      </c>
      <c r="H291" s="17" t="n">
        <f aca="false">COUNTIF(選手一覧!$C$7:$C$2738,A291)</f>
        <v>2</v>
      </c>
    </row>
    <row r="292" customFormat="false" ht="15" hidden="false" customHeight="false" outlineLevel="0" collapsed="false">
      <c r="A292" s="12" t="s">
        <v>1096</v>
      </c>
      <c r="B292" s="22" t="n">
        <f aca="false">COUNTIFS(選手一覧!$C$7:$C$2738,A292,選手一覧!$E$7:$E$2738,"&lt;=100")</f>
        <v>0</v>
      </c>
      <c r="C292" s="18" t="n">
        <f aca="false">COUNTIFS(選手一覧!$C$7:$C$2738,A292,選手一覧!$E$7:$E$2738,"&gt;0")</f>
        <v>1</v>
      </c>
      <c r="D292" s="14" t="n">
        <f aca="false">IF(C292=0,"",_xlfn.MINIFS(選手一覧!$E$7:$E$2738,選手一覧!$C$7:$C$2738,A292))</f>
        <v>647</v>
      </c>
      <c r="E292" s="20"/>
      <c r="F292" s="18" t="n">
        <f aca="false">COUNTIFS(選手一覧!$C$7:$C$2738,A292,選手一覧!$I$7:$I$2738,"&lt;=100")</f>
        <v>0</v>
      </c>
      <c r="G292" s="18" t="n">
        <f aca="false">COUNTIFS(選手一覧!$C$7:$C$2738,A292,選手一覧!$K$7:$K$2738,"&lt;=100")</f>
        <v>0</v>
      </c>
      <c r="H292" s="17" t="n">
        <f aca="false">COUNTIF(選手一覧!$C$7:$C$2738,A292)</f>
        <v>4</v>
      </c>
    </row>
    <row r="293" customFormat="false" ht="15" hidden="false" customHeight="false" outlineLevel="0" collapsed="false">
      <c r="A293" s="12" t="s">
        <v>1106</v>
      </c>
      <c r="B293" s="22" t="n">
        <f aca="false">COUNTIFS(選手一覧!$C$7:$C$2738,A293,選手一覧!$E$7:$E$2738,"&lt;=100")</f>
        <v>0</v>
      </c>
      <c r="C293" s="18" t="n">
        <f aca="false">COUNTIFS(選手一覧!$C$7:$C$2738,A293,選手一覧!$E$7:$E$2738,"&gt;0")</f>
        <v>1</v>
      </c>
      <c r="D293" s="14" t="n">
        <f aca="false">IF(C293=0,"",_xlfn.MINIFS(選手一覧!$E$7:$E$2738,選手一覧!$C$7:$C$2738,A293))</f>
        <v>655</v>
      </c>
      <c r="E293" s="20"/>
      <c r="F293" s="18" t="n">
        <f aca="false">COUNTIFS(選手一覧!$C$7:$C$2738,A293,選手一覧!$I$7:$I$2738,"&lt;=100")</f>
        <v>0</v>
      </c>
      <c r="G293" s="18" t="n">
        <f aca="false">COUNTIFS(選手一覧!$C$7:$C$2738,A293,選手一覧!$K$7:$K$2738,"&lt;=100")</f>
        <v>0</v>
      </c>
      <c r="H293" s="17" t="n">
        <f aca="false">COUNTIF(選手一覧!$C$7:$C$2738,A293)</f>
        <v>3</v>
      </c>
    </row>
    <row r="294" customFormat="false" ht="15" hidden="false" customHeight="false" outlineLevel="0" collapsed="false">
      <c r="A294" s="12" t="s">
        <v>1121</v>
      </c>
      <c r="B294" s="22" t="n">
        <f aca="false">COUNTIFS(選手一覧!$C$7:$C$2738,A294,選手一覧!$E$7:$E$2738,"&lt;=100")</f>
        <v>0</v>
      </c>
      <c r="C294" s="18" t="n">
        <f aca="false">COUNTIFS(選手一覧!$C$7:$C$2738,A294,選手一覧!$E$7:$E$2738,"&gt;0")</f>
        <v>1</v>
      </c>
      <c r="D294" s="14" t="n">
        <f aca="false">IF(C294=0,"",_xlfn.MINIFS(選手一覧!$E$7:$E$2738,選手一覧!$C$7:$C$2738,A294))</f>
        <v>665</v>
      </c>
      <c r="E294" s="20"/>
      <c r="F294" s="18" t="n">
        <f aca="false">COUNTIFS(選手一覧!$C$7:$C$2738,A294,選手一覧!$I$7:$I$2738,"&lt;=100")</f>
        <v>0</v>
      </c>
      <c r="G294" s="18" t="n">
        <f aca="false">COUNTIFS(選手一覧!$C$7:$C$2738,A294,選手一覧!$K$7:$K$2738,"&lt;=100")</f>
        <v>0</v>
      </c>
      <c r="H294" s="17" t="n">
        <f aca="false">COUNTIF(選手一覧!$C$7:$C$2738,A294)</f>
        <v>3</v>
      </c>
    </row>
    <row r="295" customFormat="false" ht="15" hidden="false" customHeight="false" outlineLevel="0" collapsed="false">
      <c r="A295" s="12" t="s">
        <v>1123</v>
      </c>
      <c r="B295" s="22" t="n">
        <f aca="false">COUNTIFS(選手一覧!$C$7:$C$2738,A295,選手一覧!$E$7:$E$2738,"&lt;=100")</f>
        <v>0</v>
      </c>
      <c r="C295" s="18" t="n">
        <f aca="false">COUNTIFS(選手一覧!$C$7:$C$2738,A295,選手一覧!$E$7:$E$2738,"&gt;0")</f>
        <v>1</v>
      </c>
      <c r="D295" s="14" t="n">
        <f aca="false">IF(C295=0,"",_xlfn.MINIFS(選手一覧!$E$7:$E$2738,選手一覧!$C$7:$C$2738,A295))</f>
        <v>666</v>
      </c>
      <c r="E295" s="20"/>
      <c r="F295" s="18" t="n">
        <f aca="false">COUNTIFS(選手一覧!$C$7:$C$2738,A295,選手一覧!$I$7:$I$2738,"&lt;=100")</f>
        <v>1</v>
      </c>
      <c r="G295" s="18" t="n">
        <f aca="false">COUNTIFS(選手一覧!$C$7:$C$2738,A295,選手一覧!$K$7:$K$2738,"&lt;=100")</f>
        <v>0</v>
      </c>
      <c r="H295" s="17" t="n">
        <f aca="false">COUNTIF(選手一覧!$C$7:$C$2738,A295)</f>
        <v>3</v>
      </c>
    </row>
    <row r="296" customFormat="false" ht="15" hidden="false" customHeight="false" outlineLevel="0" collapsed="false">
      <c r="A296" s="12" t="s">
        <v>1125</v>
      </c>
      <c r="B296" s="22" t="n">
        <f aca="false">COUNTIFS(選手一覧!$C$7:$C$2738,A296,選手一覧!$E$7:$E$2738,"&lt;=100")</f>
        <v>0</v>
      </c>
      <c r="C296" s="18" t="n">
        <f aca="false">COUNTIFS(選手一覧!$C$7:$C$2738,A296,選手一覧!$E$7:$E$2738,"&gt;0")</f>
        <v>1</v>
      </c>
      <c r="D296" s="14" t="n">
        <f aca="false">IF(C296=0,"",_xlfn.MINIFS(選手一覧!$E$7:$E$2738,選手一覧!$C$7:$C$2738,A296))</f>
        <v>667</v>
      </c>
      <c r="E296" s="20"/>
      <c r="F296" s="18" t="n">
        <f aca="false">COUNTIFS(選手一覧!$C$7:$C$2738,A296,選手一覧!$I$7:$I$2738,"&lt;=100")</f>
        <v>0</v>
      </c>
      <c r="G296" s="18" t="n">
        <f aca="false">COUNTIFS(選手一覧!$C$7:$C$2738,A296,選手一覧!$K$7:$K$2738,"&lt;=100")</f>
        <v>0</v>
      </c>
      <c r="H296" s="17" t="n">
        <f aca="false">COUNTIF(選手一覧!$C$7:$C$2738,A296)</f>
        <v>1</v>
      </c>
    </row>
    <row r="297" customFormat="false" ht="15" hidden="false" customHeight="false" outlineLevel="0" collapsed="false">
      <c r="A297" s="12" t="s">
        <v>1138</v>
      </c>
      <c r="B297" s="22" t="n">
        <f aca="false">COUNTIFS(選手一覧!$C$7:$C$2738,A297,選手一覧!$E$7:$E$2738,"&lt;=100")</f>
        <v>0</v>
      </c>
      <c r="C297" s="18" t="n">
        <f aca="false">COUNTIFS(選手一覧!$C$7:$C$2738,A297,選手一覧!$E$7:$E$2738,"&gt;0")</f>
        <v>1</v>
      </c>
      <c r="D297" s="14" t="n">
        <f aca="false">IF(C297=0,"",_xlfn.MINIFS(選手一覧!$E$7:$E$2738,選手一覧!$C$7:$C$2738,A297))</f>
        <v>674</v>
      </c>
      <c r="E297" s="20"/>
      <c r="F297" s="18" t="n">
        <f aca="false">COUNTIFS(選手一覧!$C$7:$C$2738,A297,選手一覧!$I$7:$I$2738,"&lt;=100")</f>
        <v>0</v>
      </c>
      <c r="G297" s="18" t="n">
        <f aca="false">COUNTIFS(選手一覧!$C$7:$C$2738,A297,選手一覧!$K$7:$K$2738,"&lt;=100")</f>
        <v>0</v>
      </c>
      <c r="H297" s="17" t="n">
        <f aca="false">COUNTIF(選手一覧!$C$7:$C$2738,A297)</f>
        <v>2</v>
      </c>
    </row>
    <row r="298" customFormat="false" ht="15" hidden="false" customHeight="false" outlineLevel="0" collapsed="false">
      <c r="A298" s="12" t="s">
        <v>1144</v>
      </c>
      <c r="B298" s="22" t="n">
        <f aca="false">COUNTIFS(選手一覧!$C$7:$C$2738,A298,選手一覧!$E$7:$E$2738,"&lt;=100")</f>
        <v>0</v>
      </c>
      <c r="C298" s="18" t="n">
        <f aca="false">COUNTIFS(選手一覧!$C$7:$C$2738,A298,選手一覧!$E$7:$E$2738,"&gt;0")</f>
        <v>1</v>
      </c>
      <c r="D298" s="14" t="n">
        <f aca="false">IF(C298=0,"",_xlfn.MINIFS(選手一覧!$E$7:$E$2738,選手一覧!$C$7:$C$2738,A298))</f>
        <v>678</v>
      </c>
      <c r="E298" s="20"/>
      <c r="F298" s="18" t="n">
        <f aca="false">COUNTIFS(選手一覧!$C$7:$C$2738,A298,選手一覧!$I$7:$I$2738,"&lt;=100")</f>
        <v>0</v>
      </c>
      <c r="G298" s="18" t="n">
        <f aca="false">COUNTIFS(選手一覧!$C$7:$C$2738,A298,選手一覧!$K$7:$K$2738,"&lt;=100")</f>
        <v>0</v>
      </c>
      <c r="H298" s="17" t="n">
        <f aca="false">COUNTIF(選手一覧!$C$7:$C$2738,A298)</f>
        <v>1</v>
      </c>
    </row>
    <row r="299" customFormat="false" ht="15" hidden="false" customHeight="false" outlineLevel="0" collapsed="false">
      <c r="A299" s="12" t="s">
        <v>1151</v>
      </c>
      <c r="B299" s="22" t="n">
        <f aca="false">COUNTIFS(選手一覧!$C$7:$C$2738,A299,選手一覧!$E$7:$E$2738,"&lt;=100")</f>
        <v>0</v>
      </c>
      <c r="C299" s="18" t="n">
        <f aca="false">COUNTIFS(選手一覧!$C$7:$C$2738,A299,選手一覧!$E$7:$E$2738,"&gt;0")</f>
        <v>1</v>
      </c>
      <c r="D299" s="14" t="n">
        <f aca="false">IF(C299=0,"",_xlfn.MINIFS(選手一覧!$E$7:$E$2738,選手一覧!$C$7:$C$2738,A299))</f>
        <v>682</v>
      </c>
      <c r="E299" s="20"/>
      <c r="F299" s="18" t="n">
        <f aca="false">COUNTIFS(選手一覧!$C$7:$C$2738,A299,選手一覧!$I$7:$I$2738,"&lt;=100")</f>
        <v>0</v>
      </c>
      <c r="G299" s="18" t="n">
        <f aca="false">COUNTIFS(選手一覧!$C$7:$C$2738,A299,選手一覧!$K$7:$K$2738,"&lt;=100")</f>
        <v>0</v>
      </c>
      <c r="H299" s="17" t="n">
        <f aca="false">COUNTIF(選手一覧!$C$7:$C$2738,A299)</f>
        <v>3</v>
      </c>
    </row>
    <row r="300" customFormat="false" ht="15" hidden="false" customHeight="false" outlineLevel="0" collapsed="false">
      <c r="A300" s="12" t="s">
        <v>1160</v>
      </c>
      <c r="B300" s="22" t="n">
        <f aca="false">COUNTIFS(選手一覧!$C$7:$C$2738,A300,選手一覧!$E$7:$E$2738,"&lt;=100")</f>
        <v>0</v>
      </c>
      <c r="C300" s="18" t="n">
        <f aca="false">COUNTIFS(選手一覧!$C$7:$C$2738,A300,選手一覧!$E$7:$E$2738,"&gt;0")</f>
        <v>1</v>
      </c>
      <c r="D300" s="14" t="n">
        <f aca="false">IF(C300=0,"",_xlfn.MINIFS(選手一覧!$E$7:$E$2738,選手一覧!$C$7:$C$2738,A300))</f>
        <v>687</v>
      </c>
      <c r="E300" s="20"/>
      <c r="F300" s="18" t="n">
        <f aca="false">COUNTIFS(選手一覧!$C$7:$C$2738,A300,選手一覧!$I$7:$I$2738,"&lt;=100")</f>
        <v>0</v>
      </c>
      <c r="G300" s="18" t="n">
        <f aca="false">COUNTIFS(選手一覧!$C$7:$C$2738,A300,選手一覧!$K$7:$K$2738,"&lt;=100")</f>
        <v>0</v>
      </c>
      <c r="H300" s="17" t="n">
        <f aca="false">COUNTIF(選手一覧!$C$7:$C$2738,A300)</f>
        <v>1</v>
      </c>
    </row>
    <row r="301" customFormat="false" ht="15" hidden="false" customHeight="false" outlineLevel="0" collapsed="false">
      <c r="A301" s="12" t="s">
        <v>1175</v>
      </c>
      <c r="B301" s="22" t="n">
        <f aca="false">COUNTIFS(選手一覧!$C$7:$C$2738,A301,選手一覧!$E$7:$E$2738,"&lt;=100")</f>
        <v>0</v>
      </c>
      <c r="C301" s="18" t="n">
        <f aca="false">COUNTIFS(選手一覧!$C$7:$C$2738,A301,選手一覧!$E$7:$E$2738,"&gt;0")</f>
        <v>1</v>
      </c>
      <c r="D301" s="14" t="n">
        <f aca="false">IF(C301=0,"",_xlfn.MINIFS(選手一覧!$E$7:$E$2738,選手一覧!$C$7:$C$2738,A301))</f>
        <v>698</v>
      </c>
      <c r="E301" s="20"/>
      <c r="F301" s="18" t="n">
        <f aca="false">COUNTIFS(選手一覧!$C$7:$C$2738,A301,選手一覧!$I$7:$I$2738,"&lt;=100")</f>
        <v>0</v>
      </c>
      <c r="G301" s="18" t="n">
        <f aca="false">COUNTIFS(選手一覧!$C$7:$C$2738,A301,選手一覧!$K$7:$K$2738,"&lt;=100")</f>
        <v>0</v>
      </c>
      <c r="H301" s="17" t="n">
        <f aca="false">COUNTIF(選手一覧!$C$7:$C$2738,A301)</f>
        <v>1</v>
      </c>
    </row>
    <row r="302" customFormat="false" ht="15" hidden="false" customHeight="false" outlineLevel="0" collapsed="false">
      <c r="A302" s="12" t="s">
        <v>1178</v>
      </c>
      <c r="B302" s="22" t="n">
        <f aca="false">COUNTIFS(選手一覧!$C$7:$C$2738,A302,選手一覧!$E$7:$E$2738,"&lt;=100")</f>
        <v>0</v>
      </c>
      <c r="C302" s="18" t="n">
        <f aca="false">COUNTIFS(選手一覧!$C$7:$C$2738,A302,選手一覧!$E$7:$E$2738,"&gt;0")</f>
        <v>1</v>
      </c>
      <c r="D302" s="14" t="n">
        <f aca="false">IF(C302=0,"",_xlfn.MINIFS(選手一覧!$E$7:$E$2738,選手一覧!$C$7:$C$2738,A302))</f>
        <v>700</v>
      </c>
      <c r="E302" s="20"/>
      <c r="F302" s="18" t="n">
        <f aca="false">COUNTIFS(選手一覧!$C$7:$C$2738,A302,選手一覧!$I$7:$I$2738,"&lt;=100")</f>
        <v>0</v>
      </c>
      <c r="G302" s="18" t="n">
        <f aca="false">COUNTIFS(選手一覧!$C$7:$C$2738,A302,選手一覧!$K$7:$K$2738,"&lt;=100")</f>
        <v>0</v>
      </c>
      <c r="H302" s="17" t="n">
        <f aca="false">COUNTIF(選手一覧!$C$7:$C$2738,A302)</f>
        <v>1</v>
      </c>
    </row>
    <row r="303" customFormat="false" ht="15" hidden="false" customHeight="false" outlineLevel="0" collapsed="false">
      <c r="A303" s="12" t="s">
        <v>1181</v>
      </c>
      <c r="B303" s="22" t="n">
        <f aca="false">COUNTIFS(選手一覧!$C$7:$C$2738,A303,選手一覧!$E$7:$E$2738,"&lt;=100")</f>
        <v>0</v>
      </c>
      <c r="C303" s="18" t="n">
        <f aca="false">COUNTIFS(選手一覧!$C$7:$C$2738,A303,選手一覧!$E$7:$E$2738,"&gt;0")</f>
        <v>1</v>
      </c>
      <c r="D303" s="14" t="n">
        <f aca="false">IF(C303=0,"",_xlfn.MINIFS(選手一覧!$E$7:$E$2738,選手一覧!$C$7:$C$2738,A303))</f>
        <v>702</v>
      </c>
      <c r="E303" s="20"/>
      <c r="F303" s="18" t="n">
        <f aca="false">COUNTIFS(選手一覧!$C$7:$C$2738,A303,選手一覧!$I$7:$I$2738,"&lt;=100")</f>
        <v>0</v>
      </c>
      <c r="G303" s="18" t="n">
        <f aca="false">COUNTIFS(選手一覧!$C$7:$C$2738,A303,選手一覧!$K$7:$K$2738,"&lt;=100")</f>
        <v>0</v>
      </c>
      <c r="H303" s="17" t="n">
        <f aca="false">COUNTIF(選手一覧!$C$7:$C$2738,A303)</f>
        <v>2</v>
      </c>
    </row>
    <row r="304" customFormat="false" ht="15" hidden="false" customHeight="false" outlineLevel="0" collapsed="false">
      <c r="A304" s="12" t="s">
        <v>1188</v>
      </c>
      <c r="B304" s="22" t="n">
        <f aca="false">COUNTIFS(選手一覧!$C$7:$C$2738,A304,選手一覧!$E$7:$E$2738,"&lt;=100")</f>
        <v>0</v>
      </c>
      <c r="C304" s="18" t="n">
        <f aca="false">COUNTIFS(選手一覧!$C$7:$C$2738,A304,選手一覧!$E$7:$E$2738,"&gt;0")</f>
        <v>1</v>
      </c>
      <c r="D304" s="14" t="n">
        <f aca="false">IF(C304=0,"",_xlfn.MINIFS(選手一覧!$E$7:$E$2738,選手一覧!$C$7:$C$2738,A304))</f>
        <v>706</v>
      </c>
      <c r="E304" s="20"/>
      <c r="F304" s="18" t="n">
        <f aca="false">COUNTIFS(選手一覧!$C$7:$C$2738,A304,選手一覧!$I$7:$I$2738,"&lt;=100")</f>
        <v>0</v>
      </c>
      <c r="G304" s="18" t="n">
        <f aca="false">COUNTIFS(選手一覧!$C$7:$C$2738,A304,選手一覧!$K$7:$K$2738,"&lt;=100")</f>
        <v>0</v>
      </c>
      <c r="H304" s="17" t="n">
        <f aca="false">COUNTIF(選手一覧!$C$7:$C$2738,A304)</f>
        <v>1</v>
      </c>
    </row>
    <row r="305" customFormat="false" ht="15" hidden="false" customHeight="false" outlineLevel="0" collapsed="false">
      <c r="A305" s="12" t="s">
        <v>1190</v>
      </c>
      <c r="B305" s="22" t="n">
        <f aca="false">COUNTIFS(選手一覧!$C$7:$C$2738,A305,選手一覧!$E$7:$E$2738,"&lt;=100")</f>
        <v>0</v>
      </c>
      <c r="C305" s="18" t="n">
        <f aca="false">COUNTIFS(選手一覧!$C$7:$C$2738,A305,選手一覧!$E$7:$E$2738,"&gt;0")</f>
        <v>1</v>
      </c>
      <c r="D305" s="14" t="n">
        <f aca="false">IF(C305=0,"",_xlfn.MINIFS(選手一覧!$E$7:$E$2738,選手一覧!$C$7:$C$2738,A305))</f>
        <v>707</v>
      </c>
      <c r="E305" s="20"/>
      <c r="F305" s="18" t="n">
        <f aca="false">COUNTIFS(選手一覧!$C$7:$C$2738,A305,選手一覧!$I$7:$I$2738,"&lt;=100")</f>
        <v>0</v>
      </c>
      <c r="G305" s="18" t="n">
        <f aca="false">COUNTIFS(選手一覧!$C$7:$C$2738,A305,選手一覧!$K$7:$K$2738,"&lt;=100")</f>
        <v>0</v>
      </c>
      <c r="H305" s="17" t="n">
        <f aca="false">COUNTIF(選手一覧!$C$7:$C$2738,A305)</f>
        <v>3</v>
      </c>
    </row>
    <row r="306" customFormat="false" ht="15" hidden="false" customHeight="false" outlineLevel="0" collapsed="false">
      <c r="A306" s="12" t="s">
        <v>1192</v>
      </c>
      <c r="B306" s="22" t="n">
        <f aca="false">COUNTIFS(選手一覧!$C$7:$C$2738,A306,選手一覧!$E$7:$E$2738,"&lt;=100")</f>
        <v>0</v>
      </c>
      <c r="C306" s="18" t="n">
        <f aca="false">COUNTIFS(選手一覧!$C$7:$C$2738,A306,選手一覧!$E$7:$E$2738,"&gt;0")</f>
        <v>1</v>
      </c>
      <c r="D306" s="14" t="n">
        <f aca="false">IF(C306=0,"",_xlfn.MINIFS(選手一覧!$E$7:$E$2738,選手一覧!$C$7:$C$2738,A306))</f>
        <v>708</v>
      </c>
      <c r="E306" s="20"/>
      <c r="F306" s="18" t="n">
        <f aca="false">COUNTIFS(選手一覧!$C$7:$C$2738,A306,選手一覧!$I$7:$I$2738,"&lt;=100")</f>
        <v>0</v>
      </c>
      <c r="G306" s="18" t="n">
        <f aca="false">COUNTIFS(選手一覧!$C$7:$C$2738,A306,選手一覧!$K$7:$K$2738,"&lt;=100")</f>
        <v>0</v>
      </c>
      <c r="H306" s="17" t="n">
        <f aca="false">COUNTIF(選手一覧!$C$7:$C$2738,A306)</f>
        <v>2</v>
      </c>
    </row>
    <row r="307" customFormat="false" ht="15" hidden="false" customHeight="false" outlineLevel="0" collapsed="false">
      <c r="A307" s="12" t="s">
        <v>1218</v>
      </c>
      <c r="B307" s="22" t="n">
        <f aca="false">COUNTIFS(選手一覧!$C$7:$C$2738,A307,選手一覧!$E$7:$E$2738,"&lt;=100")</f>
        <v>0</v>
      </c>
      <c r="C307" s="18" t="n">
        <f aca="false">COUNTIFS(選手一覧!$C$7:$C$2738,A307,選手一覧!$E$7:$E$2738,"&gt;0")</f>
        <v>1</v>
      </c>
      <c r="D307" s="14" t="n">
        <f aca="false">IF(C307=0,"",_xlfn.MINIFS(選手一覧!$E$7:$E$2738,選手一覧!$C$7:$C$2738,A307))</f>
        <v>725</v>
      </c>
      <c r="E307" s="20"/>
      <c r="F307" s="18" t="n">
        <f aca="false">COUNTIFS(選手一覧!$C$7:$C$2738,A307,選手一覧!$I$7:$I$2738,"&lt;=100")</f>
        <v>0</v>
      </c>
      <c r="G307" s="18" t="n">
        <f aca="false">COUNTIFS(選手一覧!$C$7:$C$2738,A307,選手一覧!$K$7:$K$2738,"&lt;=100")</f>
        <v>0</v>
      </c>
      <c r="H307" s="17" t="n">
        <f aca="false">COUNTIF(選手一覧!$C$7:$C$2738,A307)</f>
        <v>3</v>
      </c>
    </row>
    <row r="308" customFormat="false" ht="15" hidden="false" customHeight="false" outlineLevel="0" collapsed="false">
      <c r="A308" s="12" t="s">
        <v>1220</v>
      </c>
      <c r="B308" s="22" t="n">
        <f aca="false">COUNTIFS(選手一覧!$C$7:$C$2738,A308,選手一覧!$E$7:$E$2738,"&lt;=100")</f>
        <v>0</v>
      </c>
      <c r="C308" s="18" t="n">
        <f aca="false">COUNTIFS(選手一覧!$C$7:$C$2738,A308,選手一覧!$E$7:$E$2738,"&gt;0")</f>
        <v>1</v>
      </c>
      <c r="D308" s="14" t="n">
        <f aca="false">IF(C308=0,"",_xlfn.MINIFS(選手一覧!$E$7:$E$2738,選手一覧!$C$7:$C$2738,A308))</f>
        <v>726</v>
      </c>
      <c r="E308" s="20"/>
      <c r="F308" s="18" t="n">
        <f aca="false">COUNTIFS(選手一覧!$C$7:$C$2738,A308,選手一覧!$I$7:$I$2738,"&lt;=100")</f>
        <v>0</v>
      </c>
      <c r="G308" s="18" t="n">
        <f aca="false">COUNTIFS(選手一覧!$C$7:$C$2738,A308,選手一覧!$K$7:$K$2738,"&lt;=100")</f>
        <v>0</v>
      </c>
      <c r="H308" s="17" t="n">
        <f aca="false">COUNTIF(選手一覧!$C$7:$C$2738,A308)</f>
        <v>2</v>
      </c>
    </row>
    <row r="309" customFormat="false" ht="15" hidden="false" customHeight="false" outlineLevel="0" collapsed="false">
      <c r="A309" s="12" t="s">
        <v>1224</v>
      </c>
      <c r="B309" s="22" t="n">
        <f aca="false">COUNTIFS(選手一覧!$C$7:$C$2738,A309,選手一覧!$E$7:$E$2738,"&lt;=100")</f>
        <v>0</v>
      </c>
      <c r="C309" s="18" t="n">
        <f aca="false">COUNTIFS(選手一覧!$C$7:$C$2738,A309,選手一覧!$E$7:$E$2738,"&gt;0")</f>
        <v>1</v>
      </c>
      <c r="D309" s="14" t="n">
        <f aca="false">IF(C309=0,"",_xlfn.MINIFS(選手一覧!$E$7:$E$2738,選手一覧!$C$7:$C$2738,A309))</f>
        <v>729</v>
      </c>
      <c r="E309" s="20"/>
      <c r="F309" s="18" t="n">
        <f aca="false">COUNTIFS(選手一覧!$C$7:$C$2738,A309,選手一覧!$I$7:$I$2738,"&lt;=100")</f>
        <v>0</v>
      </c>
      <c r="G309" s="18" t="n">
        <f aca="false">COUNTIFS(選手一覧!$C$7:$C$2738,A309,選手一覧!$K$7:$K$2738,"&lt;=100")</f>
        <v>1</v>
      </c>
      <c r="H309" s="17" t="n">
        <f aca="false">COUNTIF(選手一覧!$C$7:$C$2738,A309)</f>
        <v>1</v>
      </c>
    </row>
    <row r="310" customFormat="false" ht="15" hidden="false" customHeight="false" outlineLevel="0" collapsed="false">
      <c r="A310" s="12" t="s">
        <v>1237</v>
      </c>
      <c r="B310" s="22" t="n">
        <f aca="false">COUNTIFS(選手一覧!$C$7:$C$2738,A310,選手一覧!$E$7:$E$2738,"&lt;=100")</f>
        <v>0</v>
      </c>
      <c r="C310" s="18" t="n">
        <f aca="false">COUNTIFS(選手一覧!$C$7:$C$2738,A310,選手一覧!$E$7:$E$2738,"&gt;0")</f>
        <v>1</v>
      </c>
      <c r="D310" s="14" t="n">
        <f aca="false">IF(C310=0,"",_xlfn.MINIFS(選手一覧!$E$7:$E$2738,選手一覧!$C$7:$C$2738,A310))</f>
        <v>737</v>
      </c>
      <c r="E310" s="20"/>
      <c r="F310" s="18" t="n">
        <f aca="false">COUNTIFS(選手一覧!$C$7:$C$2738,A310,選手一覧!$I$7:$I$2738,"&lt;=100")</f>
        <v>0</v>
      </c>
      <c r="G310" s="18" t="n">
        <f aca="false">COUNTIFS(選手一覧!$C$7:$C$2738,A310,選手一覧!$K$7:$K$2738,"&lt;=100")</f>
        <v>0</v>
      </c>
      <c r="H310" s="17" t="n">
        <f aca="false">COUNTIF(選手一覧!$C$7:$C$2738,A310)</f>
        <v>1</v>
      </c>
    </row>
    <row r="311" customFormat="false" ht="15" hidden="false" customHeight="false" outlineLevel="0" collapsed="false">
      <c r="A311" s="20" t="s">
        <v>1243</v>
      </c>
      <c r="B311" s="22" t="n">
        <f aca="false">COUNTIFS(選手一覧!$C$7:$C$2738,A311,選手一覧!$E$7:$E$2738,"&lt;=100")</f>
        <v>0</v>
      </c>
      <c r="C311" s="18" t="n">
        <f aca="false">COUNTIFS(選手一覧!$C$7:$C$2738,A311,選手一覧!$E$7:$E$2738,"&gt;0")</f>
        <v>1</v>
      </c>
      <c r="D311" s="14" t="n">
        <f aca="false">IF(C311=0,"",_xlfn.MINIFS(選手一覧!$E$7:$E$2738,選手一覧!$C$7:$C$2738,A311))</f>
        <v>742</v>
      </c>
      <c r="E311" s="20"/>
      <c r="F311" s="18" t="n">
        <f aca="false">COUNTIFS(選手一覧!$C$7:$C$2738,A311,選手一覧!$I$7:$I$2738,"&lt;=100")</f>
        <v>0</v>
      </c>
      <c r="G311" s="18" t="n">
        <f aca="false">COUNTIFS(選手一覧!$C$7:$C$2738,A311,選手一覧!$K$7:$K$2738,"&lt;=100")</f>
        <v>0</v>
      </c>
      <c r="H311" s="17" t="n">
        <f aca="false">COUNTIF(選手一覧!$C$7:$C$2738,A311)</f>
        <v>1</v>
      </c>
    </row>
    <row r="312" customFormat="false" ht="15" hidden="false" customHeight="false" outlineLevel="0" collapsed="false">
      <c r="A312" s="12" t="s">
        <v>1248</v>
      </c>
      <c r="B312" s="22" t="n">
        <f aca="false">COUNTIFS(選手一覧!$C$7:$C$2738,A312,選手一覧!$E$7:$E$2738,"&lt;=100")</f>
        <v>0</v>
      </c>
      <c r="C312" s="18" t="n">
        <f aca="false">COUNTIFS(選手一覧!$C$7:$C$2738,A312,選手一覧!$E$7:$E$2738,"&gt;0")</f>
        <v>1</v>
      </c>
      <c r="D312" s="14" t="n">
        <f aca="false">IF(C312=0,"",_xlfn.MINIFS(選手一覧!$E$7:$E$2738,選手一覧!$C$7:$C$2738,A312))</f>
        <v>745</v>
      </c>
      <c r="E312" s="20"/>
      <c r="F312" s="18" t="n">
        <f aca="false">COUNTIFS(選手一覧!$C$7:$C$2738,A312,選手一覧!$I$7:$I$2738,"&lt;=100")</f>
        <v>0</v>
      </c>
      <c r="G312" s="18" t="n">
        <f aca="false">COUNTIFS(選手一覧!$C$7:$C$2738,A312,選手一覧!$K$7:$K$2738,"&lt;=100")</f>
        <v>0</v>
      </c>
      <c r="H312" s="17" t="n">
        <f aca="false">COUNTIF(選手一覧!$C$7:$C$2738,A312)</f>
        <v>1</v>
      </c>
    </row>
    <row r="313" customFormat="false" ht="15" hidden="false" customHeight="false" outlineLevel="0" collapsed="false">
      <c r="A313" s="12" t="s">
        <v>1255</v>
      </c>
      <c r="B313" s="22" t="n">
        <f aca="false">COUNTIFS(選手一覧!$C$7:$C$2738,A313,選手一覧!$E$7:$E$2738,"&lt;=100")</f>
        <v>0</v>
      </c>
      <c r="C313" s="18" t="n">
        <f aca="false">COUNTIFS(選手一覧!$C$7:$C$2738,A313,選手一覧!$E$7:$E$2738,"&gt;0")</f>
        <v>1</v>
      </c>
      <c r="D313" s="14" t="n">
        <f aca="false">IF(C313=0,"",_xlfn.MINIFS(選手一覧!$E$7:$E$2738,選手一覧!$C$7:$C$2738,A313))</f>
        <v>749</v>
      </c>
      <c r="E313" s="20"/>
      <c r="F313" s="18" t="n">
        <f aca="false">COUNTIFS(選手一覧!$C$7:$C$2738,A313,選手一覧!$I$7:$I$2738,"&lt;=100")</f>
        <v>0</v>
      </c>
      <c r="G313" s="18" t="n">
        <f aca="false">COUNTIFS(選手一覧!$C$7:$C$2738,A313,選手一覧!$K$7:$K$2738,"&lt;=100")</f>
        <v>0</v>
      </c>
      <c r="H313" s="17" t="n">
        <f aca="false">COUNTIF(選手一覧!$C$7:$C$2738,A313)</f>
        <v>6</v>
      </c>
    </row>
    <row r="314" customFormat="false" ht="15" hidden="false" customHeight="false" outlineLevel="0" collapsed="false">
      <c r="A314" s="12" t="s">
        <v>1259</v>
      </c>
      <c r="B314" s="22" t="n">
        <f aca="false">COUNTIFS(選手一覧!$C$7:$C$2738,A314,選手一覧!$E$7:$E$2738,"&lt;=100")</f>
        <v>0</v>
      </c>
      <c r="C314" s="18" t="n">
        <f aca="false">COUNTIFS(選手一覧!$C$7:$C$2738,A314,選手一覧!$E$7:$E$2738,"&gt;0")</f>
        <v>1</v>
      </c>
      <c r="D314" s="14" t="n">
        <f aca="false">IF(C314=0,"",_xlfn.MINIFS(選手一覧!$E$7:$E$2738,選手一覧!$C$7:$C$2738,A314))</f>
        <v>751</v>
      </c>
      <c r="E314" s="20"/>
      <c r="F314" s="18" t="n">
        <f aca="false">COUNTIFS(選手一覧!$C$7:$C$2738,A314,選手一覧!$I$7:$I$2738,"&lt;=100")</f>
        <v>1</v>
      </c>
      <c r="G314" s="18" t="n">
        <f aca="false">COUNTIFS(選手一覧!$C$7:$C$2738,A314,選手一覧!$K$7:$K$2738,"&lt;=100")</f>
        <v>1</v>
      </c>
      <c r="H314" s="17" t="n">
        <f aca="false">COUNTIF(選手一覧!$C$7:$C$2738,A314)</f>
        <v>4</v>
      </c>
    </row>
    <row r="315" customFormat="false" ht="15" hidden="false" customHeight="false" outlineLevel="0" collapsed="false">
      <c r="A315" s="12" t="s">
        <v>1261</v>
      </c>
      <c r="B315" s="22" t="n">
        <f aca="false">COUNTIFS(選手一覧!$C$7:$C$2738,A315,選手一覧!$E$7:$E$2738,"&lt;=100")</f>
        <v>0</v>
      </c>
      <c r="C315" s="18" t="n">
        <f aca="false">COUNTIFS(選手一覧!$C$7:$C$2738,A315,選手一覧!$E$7:$E$2738,"&gt;0")</f>
        <v>1</v>
      </c>
      <c r="D315" s="14" t="n">
        <f aca="false">IF(C315=0,"",_xlfn.MINIFS(選手一覧!$E$7:$E$2738,選手一覧!$C$7:$C$2738,A315))</f>
        <v>752</v>
      </c>
      <c r="E315" s="20"/>
      <c r="F315" s="18" t="n">
        <f aca="false">COUNTIFS(選手一覧!$C$7:$C$2738,A315,選手一覧!$I$7:$I$2738,"&lt;=100")</f>
        <v>0</v>
      </c>
      <c r="G315" s="18" t="n">
        <f aca="false">COUNTIFS(選手一覧!$C$7:$C$2738,A315,選手一覧!$K$7:$K$2738,"&lt;=100")</f>
        <v>0</v>
      </c>
      <c r="H315" s="17" t="n">
        <f aca="false">COUNTIF(選手一覧!$C$7:$C$2738,A315)</f>
        <v>1</v>
      </c>
    </row>
    <row r="316" customFormat="false" ht="15" hidden="false" customHeight="false" outlineLevel="0" collapsed="false">
      <c r="A316" s="12" t="s">
        <v>1274</v>
      </c>
      <c r="B316" s="22" t="n">
        <f aca="false">COUNTIFS(選手一覧!$C$7:$C$2738,A316,選手一覧!$E$7:$E$2738,"&lt;=100")</f>
        <v>0</v>
      </c>
      <c r="C316" s="18" t="n">
        <f aca="false">COUNTIFS(選手一覧!$C$7:$C$2738,A316,選手一覧!$E$7:$E$2738,"&gt;0")</f>
        <v>1</v>
      </c>
      <c r="D316" s="14" t="n">
        <f aca="false">IF(C316=0,"",_xlfn.MINIFS(選手一覧!$E$7:$E$2738,選手一覧!$C$7:$C$2738,A316))</f>
        <v>761</v>
      </c>
      <c r="E316" s="20"/>
      <c r="F316" s="18" t="n">
        <f aca="false">COUNTIFS(選手一覧!$C$7:$C$2738,A316,選手一覧!$I$7:$I$2738,"&lt;=100")</f>
        <v>0</v>
      </c>
      <c r="G316" s="18" t="n">
        <f aca="false">COUNTIFS(選手一覧!$C$7:$C$2738,A316,選手一覧!$K$7:$K$2738,"&lt;=100")</f>
        <v>0</v>
      </c>
      <c r="H316" s="17" t="n">
        <f aca="false">COUNTIF(選手一覧!$C$7:$C$2738,A316)</f>
        <v>2</v>
      </c>
    </row>
    <row r="317" customFormat="false" ht="15" hidden="false" customHeight="false" outlineLevel="0" collapsed="false">
      <c r="A317" s="12" t="s">
        <v>1292</v>
      </c>
      <c r="B317" s="22" t="n">
        <f aca="false">COUNTIFS(選手一覧!$C$7:$C$2738,A317,選手一覧!$E$7:$E$2738,"&lt;=100")</f>
        <v>0</v>
      </c>
      <c r="C317" s="18" t="n">
        <f aca="false">COUNTIFS(選手一覧!$C$7:$C$2738,A317,選手一覧!$E$7:$E$2738,"&gt;0")</f>
        <v>1</v>
      </c>
      <c r="D317" s="14" t="n">
        <f aca="false">IF(C317=0,"",_xlfn.MINIFS(選手一覧!$E$7:$E$2738,選手一覧!$C$7:$C$2738,A317))</f>
        <v>774</v>
      </c>
      <c r="E317" s="20"/>
      <c r="F317" s="18" t="n">
        <f aca="false">COUNTIFS(選手一覧!$C$7:$C$2738,A317,選手一覧!$I$7:$I$2738,"&lt;=100")</f>
        <v>0</v>
      </c>
      <c r="G317" s="18" t="n">
        <f aca="false">COUNTIFS(選手一覧!$C$7:$C$2738,A317,選手一覧!$K$7:$K$2738,"&lt;=100")</f>
        <v>0</v>
      </c>
      <c r="H317" s="17" t="n">
        <f aca="false">COUNTIF(選手一覧!$C$7:$C$2738,A317)</f>
        <v>1</v>
      </c>
    </row>
    <row r="318" customFormat="false" ht="15" hidden="false" customHeight="false" outlineLevel="0" collapsed="false">
      <c r="A318" s="12" t="s">
        <v>1320</v>
      </c>
      <c r="B318" s="22" t="n">
        <f aca="false">COUNTIFS(選手一覧!$C$7:$C$2738,A318,選手一覧!$E$7:$E$2738,"&lt;=100")</f>
        <v>0</v>
      </c>
      <c r="C318" s="18" t="n">
        <f aca="false">COUNTIFS(選手一覧!$C$7:$C$2738,A318,選手一覧!$E$7:$E$2738,"&gt;0")</f>
        <v>1</v>
      </c>
      <c r="D318" s="14" t="n">
        <f aca="false">IF(C318=0,"",_xlfn.MINIFS(選手一覧!$E$7:$E$2738,選手一覧!$C$7:$C$2738,A318))</f>
        <v>797</v>
      </c>
      <c r="E318" s="20"/>
      <c r="F318" s="18" t="n">
        <f aca="false">COUNTIFS(選手一覧!$C$7:$C$2738,A318,選手一覧!$I$7:$I$2738,"&lt;=100")</f>
        <v>0</v>
      </c>
      <c r="G318" s="18" t="n">
        <f aca="false">COUNTIFS(選手一覧!$C$7:$C$2738,A318,選手一覧!$K$7:$K$2738,"&lt;=100")</f>
        <v>0</v>
      </c>
      <c r="H318" s="17" t="n">
        <f aca="false">COUNTIF(選手一覧!$C$7:$C$2738,A318)</f>
        <v>2</v>
      </c>
    </row>
    <row r="319" customFormat="false" ht="15" hidden="false" customHeight="false" outlineLevel="0" collapsed="false">
      <c r="A319" s="12" t="s">
        <v>1330</v>
      </c>
      <c r="B319" s="22" t="n">
        <f aca="false">COUNTIFS(選手一覧!$C$7:$C$2738,A319,選手一覧!$E$7:$E$2738,"&lt;=100")</f>
        <v>0</v>
      </c>
      <c r="C319" s="18" t="n">
        <f aca="false">COUNTIFS(選手一覧!$C$7:$C$2738,A319,選手一覧!$E$7:$E$2738,"&gt;0")</f>
        <v>1</v>
      </c>
      <c r="D319" s="14" t="n">
        <f aca="false">IF(C319=0,"",_xlfn.MINIFS(選手一覧!$E$7:$E$2738,選手一覧!$C$7:$C$2738,A319))</f>
        <v>803</v>
      </c>
      <c r="E319" s="20"/>
      <c r="F319" s="18" t="n">
        <f aca="false">COUNTIFS(選手一覧!$C$7:$C$2738,A319,選手一覧!$I$7:$I$2738,"&lt;=100")</f>
        <v>0</v>
      </c>
      <c r="G319" s="18" t="n">
        <f aca="false">COUNTIFS(選手一覧!$C$7:$C$2738,A319,選手一覧!$K$7:$K$2738,"&lt;=100")</f>
        <v>0</v>
      </c>
      <c r="H319" s="17" t="n">
        <f aca="false">COUNTIF(選手一覧!$C$7:$C$2738,A319)</f>
        <v>3</v>
      </c>
    </row>
    <row r="320" customFormat="false" ht="15" hidden="false" customHeight="false" outlineLevel="0" collapsed="false">
      <c r="A320" s="12" t="s">
        <v>1332</v>
      </c>
      <c r="B320" s="22" t="n">
        <f aca="false">COUNTIFS(選手一覧!$C$7:$C$2738,A320,選手一覧!$E$7:$E$2738,"&lt;=100")</f>
        <v>0</v>
      </c>
      <c r="C320" s="18" t="n">
        <f aca="false">COUNTIFS(選手一覧!$C$7:$C$2738,A320,選手一覧!$E$7:$E$2738,"&gt;0")</f>
        <v>1</v>
      </c>
      <c r="D320" s="14" t="n">
        <f aca="false">IF(C320=0,"",_xlfn.MINIFS(選手一覧!$E$7:$E$2738,選手一覧!$C$7:$C$2738,A320))</f>
        <v>804</v>
      </c>
      <c r="E320" s="20"/>
      <c r="F320" s="18" t="n">
        <f aca="false">COUNTIFS(選手一覧!$C$7:$C$2738,A320,選手一覧!$I$7:$I$2738,"&lt;=100")</f>
        <v>0</v>
      </c>
      <c r="G320" s="18" t="n">
        <f aca="false">COUNTIFS(選手一覧!$C$7:$C$2738,A320,選手一覧!$K$7:$K$2738,"&lt;=100")</f>
        <v>0</v>
      </c>
      <c r="H320" s="17" t="n">
        <f aca="false">COUNTIF(選手一覧!$C$7:$C$2738,A320)</f>
        <v>1</v>
      </c>
    </row>
    <row r="321" customFormat="false" ht="15" hidden="false" customHeight="false" outlineLevel="0" collapsed="false">
      <c r="A321" s="12" t="s">
        <v>1339</v>
      </c>
      <c r="B321" s="22" t="n">
        <f aca="false">COUNTIFS(選手一覧!$C$7:$C$2738,A321,選手一覧!$E$7:$E$2738,"&lt;=100")</f>
        <v>0</v>
      </c>
      <c r="C321" s="18" t="n">
        <f aca="false">COUNTIFS(選手一覧!$C$7:$C$2738,A321,選手一覧!$E$7:$E$2738,"&gt;0")</f>
        <v>1</v>
      </c>
      <c r="D321" s="14" t="n">
        <f aca="false">IF(C321=0,"",_xlfn.MINIFS(選手一覧!$E$7:$E$2738,選手一覧!$C$7:$C$2738,A321))</f>
        <v>808</v>
      </c>
      <c r="E321" s="20"/>
      <c r="F321" s="18" t="n">
        <f aca="false">COUNTIFS(選手一覧!$C$7:$C$2738,A321,選手一覧!$I$7:$I$2738,"&lt;=100")</f>
        <v>0</v>
      </c>
      <c r="G321" s="18" t="n">
        <f aca="false">COUNTIFS(選手一覧!$C$7:$C$2738,A321,選手一覧!$K$7:$K$2738,"&lt;=100")</f>
        <v>0</v>
      </c>
      <c r="H321" s="17" t="n">
        <f aca="false">COUNTIF(選手一覧!$C$7:$C$2738,A321)</f>
        <v>3</v>
      </c>
    </row>
    <row r="322" customFormat="false" ht="15" hidden="false" customHeight="false" outlineLevel="0" collapsed="false">
      <c r="A322" s="12" t="s">
        <v>1342</v>
      </c>
      <c r="B322" s="22" t="n">
        <f aca="false">COUNTIFS(選手一覧!$C$7:$C$2738,A322,選手一覧!$E$7:$E$2738,"&lt;=100")</f>
        <v>0</v>
      </c>
      <c r="C322" s="18" t="n">
        <f aca="false">COUNTIFS(選手一覧!$C$7:$C$2738,A322,選手一覧!$E$7:$E$2738,"&gt;0")</f>
        <v>1</v>
      </c>
      <c r="D322" s="14" t="n">
        <f aca="false">IF(C322=0,"",_xlfn.MINIFS(選手一覧!$E$7:$E$2738,選手一覧!$C$7:$C$2738,A322))</f>
        <v>810</v>
      </c>
      <c r="E322" s="20"/>
      <c r="F322" s="18" t="n">
        <f aca="false">COUNTIFS(選手一覧!$C$7:$C$2738,A322,選手一覧!$I$7:$I$2738,"&lt;=100")</f>
        <v>0</v>
      </c>
      <c r="G322" s="18" t="n">
        <f aca="false">COUNTIFS(選手一覧!$C$7:$C$2738,A322,選手一覧!$K$7:$K$2738,"&lt;=100")</f>
        <v>0</v>
      </c>
      <c r="H322" s="17" t="n">
        <f aca="false">COUNTIF(選手一覧!$C$7:$C$2738,A322)</f>
        <v>5</v>
      </c>
    </row>
    <row r="323" customFormat="false" ht="15" hidden="false" customHeight="false" outlineLevel="0" collapsed="false">
      <c r="A323" s="12" t="s">
        <v>1344</v>
      </c>
      <c r="B323" s="22" t="n">
        <f aca="false">COUNTIFS(選手一覧!$C$7:$C$2738,A323,選手一覧!$E$7:$E$2738,"&lt;=100")</f>
        <v>0</v>
      </c>
      <c r="C323" s="18" t="n">
        <f aca="false">COUNTIFS(選手一覧!$C$7:$C$2738,A323,選手一覧!$E$7:$E$2738,"&gt;0")</f>
        <v>1</v>
      </c>
      <c r="D323" s="14" t="n">
        <f aca="false">IF(C323=0,"",_xlfn.MINIFS(選手一覧!$E$7:$E$2738,選手一覧!$C$7:$C$2738,A323))</f>
        <v>811</v>
      </c>
      <c r="E323" s="20"/>
      <c r="F323" s="18" t="n">
        <f aca="false">COUNTIFS(選手一覧!$C$7:$C$2738,A323,選手一覧!$I$7:$I$2738,"&lt;=100")</f>
        <v>0</v>
      </c>
      <c r="G323" s="18" t="n">
        <f aca="false">COUNTIFS(選手一覧!$C$7:$C$2738,A323,選手一覧!$K$7:$K$2738,"&lt;=100")</f>
        <v>0</v>
      </c>
      <c r="H323" s="17" t="n">
        <f aca="false">COUNTIF(選手一覧!$C$7:$C$2738,A323)</f>
        <v>2</v>
      </c>
    </row>
    <row r="324" customFormat="false" ht="15" hidden="false" customHeight="false" outlineLevel="0" collapsed="false">
      <c r="A324" s="12" t="s">
        <v>1357</v>
      </c>
      <c r="B324" s="22" t="n">
        <f aca="false">COUNTIFS(選手一覧!$C$7:$C$2738,A324,選手一覧!$E$7:$E$2738,"&lt;=100")</f>
        <v>0</v>
      </c>
      <c r="C324" s="18" t="n">
        <f aca="false">COUNTIFS(選手一覧!$C$7:$C$2738,A324,選手一覧!$E$7:$E$2738,"&gt;0")</f>
        <v>1</v>
      </c>
      <c r="D324" s="14" t="n">
        <f aca="false">IF(C324=0,"",_xlfn.MINIFS(選手一覧!$E$7:$E$2738,選手一覧!$C$7:$C$2738,A324))</f>
        <v>820</v>
      </c>
      <c r="E324" s="20"/>
      <c r="F324" s="18" t="n">
        <f aca="false">COUNTIFS(選手一覧!$C$7:$C$2738,A324,選手一覧!$I$7:$I$2738,"&lt;=100")</f>
        <v>0</v>
      </c>
      <c r="G324" s="18" t="n">
        <f aca="false">COUNTIFS(選手一覧!$C$7:$C$2738,A324,選手一覧!$K$7:$K$2738,"&lt;=100")</f>
        <v>0</v>
      </c>
      <c r="H324" s="17" t="n">
        <f aca="false">COUNTIF(選手一覧!$C$7:$C$2738,A324)</f>
        <v>1</v>
      </c>
    </row>
    <row r="325" customFormat="false" ht="15" hidden="false" customHeight="false" outlineLevel="0" collapsed="false">
      <c r="A325" s="12" t="s">
        <v>1360</v>
      </c>
      <c r="B325" s="22" t="n">
        <f aca="false">COUNTIFS(選手一覧!$C$7:$C$2738,A325,選手一覧!$E$7:$E$2738,"&lt;=100")</f>
        <v>0</v>
      </c>
      <c r="C325" s="18" t="n">
        <f aca="false">COUNTIFS(選手一覧!$C$7:$C$2738,A325,選手一覧!$E$7:$E$2738,"&gt;0")</f>
        <v>1</v>
      </c>
      <c r="D325" s="14" t="n">
        <f aca="false">IF(C325=0,"",_xlfn.MINIFS(選手一覧!$E$7:$E$2738,選手一覧!$C$7:$C$2738,A325))</f>
        <v>822</v>
      </c>
      <c r="E325" s="20"/>
      <c r="F325" s="18" t="n">
        <f aca="false">COUNTIFS(選手一覧!$C$7:$C$2738,A325,選手一覧!$I$7:$I$2738,"&lt;=100")</f>
        <v>0</v>
      </c>
      <c r="G325" s="18" t="n">
        <f aca="false">COUNTIFS(選手一覧!$C$7:$C$2738,A325,選手一覧!$K$7:$K$2738,"&lt;=100")</f>
        <v>0</v>
      </c>
      <c r="H325" s="17" t="n">
        <f aca="false">COUNTIF(選手一覧!$C$7:$C$2738,A325)</f>
        <v>3</v>
      </c>
    </row>
    <row r="326" customFormat="false" ht="15" hidden="false" customHeight="false" outlineLevel="0" collapsed="false">
      <c r="A326" s="12" t="s">
        <v>1367</v>
      </c>
      <c r="B326" s="22" t="n">
        <f aca="false">COUNTIFS(選手一覧!$C$7:$C$2738,A326,選手一覧!$E$7:$E$2738,"&lt;=100")</f>
        <v>0</v>
      </c>
      <c r="C326" s="18" t="n">
        <f aca="false">COUNTIFS(選手一覧!$C$7:$C$2738,A326,選手一覧!$E$7:$E$2738,"&gt;0")</f>
        <v>1</v>
      </c>
      <c r="D326" s="14" t="n">
        <f aca="false">IF(C326=0,"",_xlfn.MINIFS(選手一覧!$E$7:$E$2738,選手一覧!$C$7:$C$2738,A326))</f>
        <v>826</v>
      </c>
      <c r="E326" s="20"/>
      <c r="F326" s="18" t="n">
        <f aca="false">COUNTIFS(選手一覧!$C$7:$C$2738,A326,選手一覧!$I$7:$I$2738,"&lt;=100")</f>
        <v>0</v>
      </c>
      <c r="G326" s="18" t="n">
        <f aca="false">COUNTIFS(選手一覧!$C$7:$C$2738,A326,選手一覧!$K$7:$K$2738,"&lt;=100")</f>
        <v>0</v>
      </c>
      <c r="H326" s="17" t="n">
        <f aca="false">COUNTIF(選手一覧!$C$7:$C$2738,A326)</f>
        <v>1</v>
      </c>
    </row>
    <row r="327" customFormat="false" ht="15" hidden="false" customHeight="false" outlineLevel="0" collapsed="false">
      <c r="A327" s="12" t="s">
        <v>1383</v>
      </c>
      <c r="B327" s="22" t="n">
        <f aca="false">COUNTIFS(選手一覧!$C$7:$C$2738,A327,選手一覧!$E$7:$E$2738,"&lt;=100")</f>
        <v>0</v>
      </c>
      <c r="C327" s="18" t="n">
        <f aca="false">COUNTIFS(選手一覧!$C$7:$C$2738,A327,選手一覧!$E$7:$E$2738,"&gt;0")</f>
        <v>1</v>
      </c>
      <c r="D327" s="14" t="n">
        <f aca="false">IF(C327=0,"",_xlfn.MINIFS(選手一覧!$E$7:$E$2738,選手一覧!$C$7:$C$2738,A327))</f>
        <v>837</v>
      </c>
      <c r="E327" s="20"/>
      <c r="F327" s="18" t="n">
        <f aca="false">COUNTIFS(選手一覧!$C$7:$C$2738,A327,選手一覧!$I$7:$I$2738,"&lt;=100")</f>
        <v>0</v>
      </c>
      <c r="G327" s="18" t="n">
        <f aca="false">COUNTIFS(選手一覧!$C$7:$C$2738,A327,選手一覧!$K$7:$K$2738,"&lt;=100")</f>
        <v>1</v>
      </c>
      <c r="H327" s="17" t="n">
        <f aca="false">COUNTIF(選手一覧!$C$7:$C$2738,A327)</f>
        <v>1</v>
      </c>
    </row>
    <row r="328" customFormat="false" ht="15" hidden="false" customHeight="false" outlineLevel="0" collapsed="false">
      <c r="A328" s="12" t="s">
        <v>1396</v>
      </c>
      <c r="B328" s="22" t="n">
        <f aca="false">COUNTIFS(選手一覧!$C$7:$C$2738,A328,選手一覧!$E$7:$E$2738,"&lt;=100")</f>
        <v>0</v>
      </c>
      <c r="C328" s="18" t="n">
        <f aca="false">COUNTIFS(選手一覧!$C$7:$C$2738,A328,選手一覧!$E$7:$E$2738,"&gt;0")</f>
        <v>1</v>
      </c>
      <c r="D328" s="14" t="n">
        <f aca="false">IF(C328=0,"",_xlfn.MINIFS(選手一覧!$E$7:$E$2738,選手一覧!$C$7:$C$2738,A328))</f>
        <v>846</v>
      </c>
      <c r="E328" s="20"/>
      <c r="F328" s="18" t="n">
        <f aca="false">COUNTIFS(選手一覧!$C$7:$C$2738,A328,選手一覧!$I$7:$I$2738,"&lt;=100")</f>
        <v>0</v>
      </c>
      <c r="G328" s="18" t="n">
        <f aca="false">COUNTIFS(選手一覧!$C$7:$C$2738,A328,選手一覧!$K$7:$K$2738,"&lt;=100")</f>
        <v>0</v>
      </c>
      <c r="H328" s="17" t="n">
        <f aca="false">COUNTIF(選手一覧!$C$7:$C$2738,A328)</f>
        <v>2</v>
      </c>
    </row>
    <row r="329" customFormat="false" ht="15" hidden="false" customHeight="false" outlineLevel="0" collapsed="false">
      <c r="A329" s="12" t="s">
        <v>1399</v>
      </c>
      <c r="B329" s="22" t="n">
        <f aca="false">COUNTIFS(選手一覧!$C$7:$C$2738,A329,選手一覧!$E$7:$E$2738,"&lt;=100")</f>
        <v>0</v>
      </c>
      <c r="C329" s="18" t="n">
        <f aca="false">COUNTIFS(選手一覧!$C$7:$C$2738,A329,選手一覧!$E$7:$E$2738,"&gt;0")</f>
        <v>1</v>
      </c>
      <c r="D329" s="14" t="n">
        <f aca="false">IF(C329=0,"",_xlfn.MINIFS(選手一覧!$E$7:$E$2738,選手一覧!$C$7:$C$2738,A329))</f>
        <v>847</v>
      </c>
      <c r="E329" s="20"/>
      <c r="F329" s="18" t="n">
        <f aca="false">COUNTIFS(選手一覧!$C$7:$C$2738,A329,選手一覧!$I$7:$I$2738,"&lt;=100")</f>
        <v>0</v>
      </c>
      <c r="G329" s="18" t="n">
        <f aca="false">COUNTIFS(選手一覧!$C$7:$C$2738,A329,選手一覧!$K$7:$K$2738,"&lt;=100")</f>
        <v>0</v>
      </c>
      <c r="H329" s="17" t="n">
        <f aca="false">COUNTIF(選手一覧!$C$7:$C$2738,A329)</f>
        <v>2</v>
      </c>
    </row>
    <row r="330" customFormat="false" ht="15" hidden="false" customHeight="false" outlineLevel="0" collapsed="false">
      <c r="A330" s="12" t="s">
        <v>1412</v>
      </c>
      <c r="B330" s="22" t="n">
        <f aca="false">COUNTIFS(選手一覧!$C$7:$C$2738,A330,選手一覧!$E$7:$E$2738,"&lt;=100")</f>
        <v>0</v>
      </c>
      <c r="C330" s="18" t="n">
        <f aca="false">COUNTIFS(選手一覧!$C$7:$C$2738,A330,選手一覧!$E$7:$E$2738,"&gt;0")</f>
        <v>1</v>
      </c>
      <c r="D330" s="14" t="n">
        <f aca="false">IF(C330=0,"",_xlfn.MINIFS(選手一覧!$E$7:$E$2738,選手一覧!$C$7:$C$2738,A330))</f>
        <v>856</v>
      </c>
      <c r="E330" s="20"/>
      <c r="F330" s="18" t="n">
        <f aca="false">COUNTIFS(選手一覧!$C$7:$C$2738,A330,選手一覧!$I$7:$I$2738,"&lt;=100")</f>
        <v>0</v>
      </c>
      <c r="G330" s="18" t="n">
        <f aca="false">COUNTIFS(選手一覧!$C$7:$C$2738,A330,選手一覧!$K$7:$K$2738,"&lt;=100")</f>
        <v>0</v>
      </c>
      <c r="H330" s="17" t="n">
        <f aca="false">COUNTIF(選手一覧!$C$7:$C$2738,A330)</f>
        <v>2</v>
      </c>
    </row>
    <row r="331" customFormat="false" ht="15" hidden="false" customHeight="false" outlineLevel="0" collapsed="false">
      <c r="A331" s="12" t="s">
        <v>1415</v>
      </c>
      <c r="B331" s="22" t="n">
        <f aca="false">COUNTIFS(選手一覧!$C$7:$C$2738,A331,選手一覧!$E$7:$E$2738,"&lt;=100")</f>
        <v>0</v>
      </c>
      <c r="C331" s="18" t="n">
        <f aca="false">COUNTIFS(選手一覧!$C$7:$C$2738,A331,選手一覧!$E$7:$E$2738,"&gt;0")</f>
        <v>1</v>
      </c>
      <c r="D331" s="14" t="n">
        <f aca="false">IF(C331=0,"",_xlfn.MINIFS(選手一覧!$E$7:$E$2738,選手一覧!$C$7:$C$2738,A331))</f>
        <v>858</v>
      </c>
      <c r="E331" s="20"/>
      <c r="F331" s="18" t="n">
        <f aca="false">COUNTIFS(選手一覧!$C$7:$C$2738,A331,選手一覧!$I$7:$I$2738,"&lt;=100")</f>
        <v>0</v>
      </c>
      <c r="G331" s="18" t="n">
        <f aca="false">COUNTIFS(選手一覧!$C$7:$C$2738,A331,選手一覧!$K$7:$K$2738,"&lt;=100")</f>
        <v>0</v>
      </c>
      <c r="H331" s="17" t="n">
        <f aca="false">COUNTIF(選手一覧!$C$7:$C$2738,A331)</f>
        <v>5</v>
      </c>
    </row>
    <row r="332" customFormat="false" ht="15" hidden="false" customHeight="false" outlineLevel="0" collapsed="false">
      <c r="A332" s="12" t="s">
        <v>1418</v>
      </c>
      <c r="B332" s="22" t="n">
        <f aca="false">COUNTIFS(選手一覧!$C$7:$C$2738,A332,選手一覧!$E$7:$E$2738,"&lt;=100")</f>
        <v>0</v>
      </c>
      <c r="C332" s="18" t="n">
        <f aca="false">COUNTIFS(選手一覧!$C$7:$C$2738,A332,選手一覧!$E$7:$E$2738,"&gt;0")</f>
        <v>1</v>
      </c>
      <c r="D332" s="14" t="n">
        <f aca="false">IF(C332=0,"",_xlfn.MINIFS(選手一覧!$E$7:$E$2738,選手一覧!$C$7:$C$2738,A332))</f>
        <v>859</v>
      </c>
      <c r="E332" s="20"/>
      <c r="F332" s="18" t="n">
        <f aca="false">COUNTIFS(選手一覧!$C$7:$C$2738,A332,選手一覧!$I$7:$I$2738,"&lt;=100")</f>
        <v>0</v>
      </c>
      <c r="G332" s="18" t="n">
        <f aca="false">COUNTIFS(選手一覧!$C$7:$C$2738,A332,選手一覧!$K$7:$K$2738,"&lt;=100")</f>
        <v>0</v>
      </c>
      <c r="H332" s="17" t="n">
        <f aca="false">COUNTIF(選手一覧!$C$7:$C$2738,A332)</f>
        <v>3</v>
      </c>
    </row>
    <row r="333" customFormat="false" ht="15" hidden="false" customHeight="false" outlineLevel="0" collapsed="false">
      <c r="A333" s="12" t="s">
        <v>1420</v>
      </c>
      <c r="B333" s="22" t="n">
        <f aca="false">COUNTIFS(選手一覧!$C$7:$C$2738,A333,選手一覧!$E$7:$E$2738,"&lt;=100")</f>
        <v>0</v>
      </c>
      <c r="C333" s="18" t="n">
        <f aca="false">COUNTIFS(選手一覧!$C$7:$C$2738,A333,選手一覧!$E$7:$E$2738,"&gt;0")</f>
        <v>1</v>
      </c>
      <c r="D333" s="14" t="n">
        <f aca="false">IF(C333=0,"",_xlfn.MINIFS(選手一覧!$E$7:$E$2738,選手一覧!$C$7:$C$2738,A333))</f>
        <v>860</v>
      </c>
      <c r="E333" s="20"/>
      <c r="F333" s="18" t="n">
        <f aca="false">COUNTIFS(選手一覧!$C$7:$C$2738,A333,選手一覧!$I$7:$I$2738,"&lt;=100")</f>
        <v>0</v>
      </c>
      <c r="G333" s="18" t="n">
        <f aca="false">COUNTIFS(選手一覧!$C$7:$C$2738,A333,選手一覧!$K$7:$K$2738,"&lt;=100")</f>
        <v>0</v>
      </c>
      <c r="H333" s="17" t="n">
        <f aca="false">COUNTIF(選手一覧!$C$7:$C$2738,A333)</f>
        <v>3</v>
      </c>
    </row>
    <row r="334" customFormat="false" ht="15" hidden="false" customHeight="false" outlineLevel="0" collapsed="false">
      <c r="A334" s="12" t="s">
        <v>1429</v>
      </c>
      <c r="B334" s="22" t="n">
        <f aca="false">COUNTIFS(選手一覧!$C$7:$C$2738,A334,選手一覧!$E$7:$E$2738,"&lt;=100")</f>
        <v>0</v>
      </c>
      <c r="C334" s="18" t="n">
        <f aca="false">COUNTIFS(選手一覧!$C$7:$C$2738,A334,選手一覧!$E$7:$E$2738,"&gt;0")</f>
        <v>1</v>
      </c>
      <c r="D334" s="14" t="n">
        <f aca="false">IF(C334=0,"",_xlfn.MINIFS(選手一覧!$E$7:$E$2738,選手一覧!$C$7:$C$2738,A334))</f>
        <v>866</v>
      </c>
      <c r="E334" s="20"/>
      <c r="F334" s="18" t="n">
        <f aca="false">COUNTIFS(選手一覧!$C$7:$C$2738,A334,選手一覧!$I$7:$I$2738,"&lt;=100")</f>
        <v>0</v>
      </c>
      <c r="G334" s="18" t="n">
        <f aca="false">COUNTIFS(選手一覧!$C$7:$C$2738,A334,選手一覧!$K$7:$K$2738,"&lt;=100")</f>
        <v>0</v>
      </c>
      <c r="H334" s="17" t="n">
        <f aca="false">COUNTIF(選手一覧!$C$7:$C$2738,A334)</f>
        <v>2</v>
      </c>
    </row>
    <row r="335" customFormat="false" ht="15" hidden="false" customHeight="false" outlineLevel="0" collapsed="false">
      <c r="A335" s="12" t="s">
        <v>1431</v>
      </c>
      <c r="B335" s="22" t="n">
        <f aca="false">COUNTIFS(選手一覧!$C$7:$C$2738,A335,選手一覧!$E$7:$E$2738,"&lt;=100")</f>
        <v>0</v>
      </c>
      <c r="C335" s="18" t="n">
        <f aca="false">COUNTIFS(選手一覧!$C$7:$C$2738,A335,選手一覧!$E$7:$E$2738,"&gt;0")</f>
        <v>1</v>
      </c>
      <c r="D335" s="14" t="n">
        <f aca="false">IF(C335=0,"",_xlfn.MINIFS(選手一覧!$E$7:$E$2738,選手一覧!$C$7:$C$2738,A335))</f>
        <v>867</v>
      </c>
      <c r="E335" s="20"/>
      <c r="F335" s="18" t="n">
        <f aca="false">COUNTIFS(選手一覧!$C$7:$C$2738,A335,選手一覧!$I$7:$I$2738,"&lt;=100")</f>
        <v>0</v>
      </c>
      <c r="G335" s="18" t="n">
        <f aca="false">COUNTIFS(選手一覧!$C$7:$C$2738,A335,選手一覧!$K$7:$K$2738,"&lt;=100")</f>
        <v>0</v>
      </c>
      <c r="H335" s="17" t="n">
        <f aca="false">COUNTIF(選手一覧!$C$7:$C$2738,A335)</f>
        <v>2</v>
      </c>
    </row>
    <row r="336" customFormat="false" ht="15" hidden="false" customHeight="false" outlineLevel="0" collapsed="false">
      <c r="A336" s="12" t="s">
        <v>1433</v>
      </c>
      <c r="B336" s="22" t="n">
        <f aca="false">COUNTIFS(選手一覧!$C$7:$C$2738,A336,選手一覧!$E$7:$E$2738,"&lt;=100")</f>
        <v>0</v>
      </c>
      <c r="C336" s="18" t="n">
        <f aca="false">COUNTIFS(選手一覧!$C$7:$C$2738,A336,選手一覧!$E$7:$E$2738,"&gt;0")</f>
        <v>1</v>
      </c>
      <c r="D336" s="14" t="n">
        <f aca="false">IF(C336=0,"",_xlfn.MINIFS(選手一覧!$E$7:$E$2738,選手一覧!$C$7:$C$2738,A336))</f>
        <v>868</v>
      </c>
      <c r="E336" s="20"/>
      <c r="F336" s="18" t="n">
        <f aca="false">COUNTIFS(選手一覧!$C$7:$C$2738,A336,選手一覧!$I$7:$I$2738,"&lt;=100")</f>
        <v>0</v>
      </c>
      <c r="G336" s="18" t="n">
        <f aca="false">COUNTIFS(選手一覧!$C$7:$C$2738,A336,選手一覧!$K$7:$K$2738,"&lt;=100")</f>
        <v>0</v>
      </c>
      <c r="H336" s="17" t="n">
        <f aca="false">COUNTIF(選手一覧!$C$7:$C$2738,A336)</f>
        <v>1</v>
      </c>
    </row>
    <row r="337" customFormat="false" ht="15" hidden="false" customHeight="false" outlineLevel="0" collapsed="false">
      <c r="A337" s="12" t="s">
        <v>1445</v>
      </c>
      <c r="B337" s="22" t="n">
        <f aca="false">COUNTIFS(選手一覧!$C$7:$C$2738,A337,選手一覧!$E$7:$E$2738,"&lt;=100")</f>
        <v>0</v>
      </c>
      <c r="C337" s="18" t="n">
        <f aca="false">COUNTIFS(選手一覧!$C$7:$C$2738,A337,選手一覧!$E$7:$E$2738,"&gt;0")</f>
        <v>1</v>
      </c>
      <c r="D337" s="14" t="n">
        <f aca="false">IF(C337=0,"",_xlfn.MINIFS(選手一覧!$E$7:$E$2738,選手一覧!$C$7:$C$2738,A337))</f>
        <v>877</v>
      </c>
      <c r="E337" s="20"/>
      <c r="F337" s="18" t="n">
        <f aca="false">COUNTIFS(選手一覧!$C$7:$C$2738,A337,選手一覧!$I$7:$I$2738,"&lt;=100")</f>
        <v>0</v>
      </c>
      <c r="G337" s="18" t="n">
        <f aca="false">COUNTIFS(選手一覧!$C$7:$C$2738,A337,選手一覧!$K$7:$K$2738,"&lt;=100")</f>
        <v>0</v>
      </c>
      <c r="H337" s="17" t="n">
        <f aca="false">COUNTIF(選手一覧!$C$7:$C$2738,A337)</f>
        <v>1</v>
      </c>
    </row>
    <row r="338" customFormat="false" ht="15" hidden="false" customHeight="false" outlineLevel="0" collapsed="false">
      <c r="A338" s="12" t="s">
        <v>1453</v>
      </c>
      <c r="B338" s="22" t="n">
        <f aca="false">COUNTIFS(選手一覧!$C$7:$C$2738,A338,選手一覧!$E$7:$E$2738,"&lt;=100")</f>
        <v>0</v>
      </c>
      <c r="C338" s="18" t="n">
        <f aca="false">COUNTIFS(選手一覧!$C$7:$C$2738,A338,選手一覧!$E$7:$E$2738,"&gt;0")</f>
        <v>1</v>
      </c>
      <c r="D338" s="14" t="n">
        <f aca="false">IF(C338=0,"",_xlfn.MINIFS(選手一覧!$E$7:$E$2738,選手一覧!$C$7:$C$2738,A338))</f>
        <v>881</v>
      </c>
      <c r="E338" s="20"/>
      <c r="F338" s="18" t="n">
        <f aca="false">COUNTIFS(選手一覧!$C$7:$C$2738,A338,選手一覧!$I$7:$I$2738,"&lt;=100")</f>
        <v>0</v>
      </c>
      <c r="G338" s="18" t="n">
        <f aca="false">COUNTIFS(選手一覧!$C$7:$C$2738,A338,選手一覧!$K$7:$K$2738,"&lt;=100")</f>
        <v>0</v>
      </c>
      <c r="H338" s="17" t="n">
        <f aca="false">COUNTIF(選手一覧!$C$7:$C$2738,A338)</f>
        <v>1</v>
      </c>
    </row>
    <row r="339" customFormat="false" ht="15" hidden="false" customHeight="false" outlineLevel="0" collapsed="false">
      <c r="A339" s="12" t="s">
        <v>1455</v>
      </c>
      <c r="B339" s="22" t="n">
        <f aca="false">COUNTIFS(選手一覧!$C$7:$C$2738,A339,選手一覧!$E$7:$E$2738,"&lt;=100")</f>
        <v>0</v>
      </c>
      <c r="C339" s="18" t="n">
        <f aca="false">COUNTIFS(選手一覧!$C$7:$C$2738,A339,選手一覧!$E$7:$E$2738,"&gt;0")</f>
        <v>1</v>
      </c>
      <c r="D339" s="14" t="n">
        <f aca="false">IF(C339=0,"",_xlfn.MINIFS(選手一覧!$E$7:$E$2738,選手一覧!$C$7:$C$2738,A339))</f>
        <v>882</v>
      </c>
      <c r="E339" s="20"/>
      <c r="F339" s="18" t="n">
        <f aca="false">COUNTIFS(選手一覧!$C$7:$C$2738,A339,選手一覧!$I$7:$I$2738,"&lt;=100")</f>
        <v>0</v>
      </c>
      <c r="G339" s="18" t="n">
        <f aca="false">COUNTIFS(選手一覧!$C$7:$C$2738,A339,選手一覧!$K$7:$K$2738,"&lt;=100")</f>
        <v>0</v>
      </c>
      <c r="H339" s="17" t="n">
        <f aca="false">COUNTIF(選手一覧!$C$7:$C$2738,A339)</f>
        <v>2</v>
      </c>
    </row>
    <row r="340" customFormat="false" ht="15" hidden="false" customHeight="false" outlineLevel="0" collapsed="false">
      <c r="A340" s="12" t="s">
        <v>1458</v>
      </c>
      <c r="B340" s="22" t="n">
        <f aca="false">COUNTIFS(選手一覧!$C$7:$C$2738,A340,選手一覧!$E$7:$E$2738,"&lt;=100")</f>
        <v>0</v>
      </c>
      <c r="C340" s="18" t="n">
        <f aca="false">COUNTIFS(選手一覧!$C$7:$C$2738,A340,選手一覧!$E$7:$E$2738,"&gt;0")</f>
        <v>1</v>
      </c>
      <c r="D340" s="14" t="n">
        <f aca="false">IF(C340=0,"",_xlfn.MINIFS(選手一覧!$E$7:$E$2738,選手一覧!$C$7:$C$2738,A340))</f>
        <v>884</v>
      </c>
      <c r="E340" s="20"/>
      <c r="F340" s="18" t="n">
        <f aca="false">COUNTIFS(選手一覧!$C$7:$C$2738,A340,選手一覧!$I$7:$I$2738,"&lt;=100")</f>
        <v>0</v>
      </c>
      <c r="G340" s="18" t="n">
        <f aca="false">COUNTIFS(選手一覧!$C$7:$C$2738,A340,選手一覧!$K$7:$K$2738,"&lt;=100")</f>
        <v>0</v>
      </c>
      <c r="H340" s="17" t="n">
        <f aca="false">COUNTIF(選手一覧!$C$7:$C$2738,A340)</f>
        <v>3</v>
      </c>
    </row>
    <row r="341" customFormat="false" ht="15" hidden="false" customHeight="false" outlineLevel="0" collapsed="false">
      <c r="A341" s="12" t="s">
        <v>1461</v>
      </c>
      <c r="B341" s="22" t="n">
        <f aca="false">COUNTIFS(選手一覧!$C$7:$C$2738,A341,選手一覧!$E$7:$E$2738,"&lt;=100")</f>
        <v>0</v>
      </c>
      <c r="C341" s="18" t="n">
        <f aca="false">COUNTIFS(選手一覧!$C$7:$C$2738,A341,選手一覧!$E$7:$E$2738,"&gt;0")</f>
        <v>1</v>
      </c>
      <c r="D341" s="14" t="n">
        <f aca="false">IF(C341=0,"",_xlfn.MINIFS(選手一覧!$E$7:$E$2738,選手一覧!$C$7:$C$2738,A341))</f>
        <v>886</v>
      </c>
      <c r="E341" s="20"/>
      <c r="F341" s="18" t="n">
        <f aca="false">COUNTIFS(選手一覧!$C$7:$C$2738,A341,選手一覧!$I$7:$I$2738,"&lt;=100")</f>
        <v>0</v>
      </c>
      <c r="G341" s="18" t="n">
        <f aca="false">COUNTIFS(選手一覧!$C$7:$C$2738,A341,選手一覧!$K$7:$K$2738,"&lt;=100")</f>
        <v>0</v>
      </c>
      <c r="H341" s="17" t="n">
        <f aca="false">COUNTIF(選手一覧!$C$7:$C$2738,A341)</f>
        <v>1</v>
      </c>
    </row>
    <row r="342" customFormat="false" ht="15" hidden="false" customHeight="false" outlineLevel="0" collapsed="false">
      <c r="A342" s="12" t="s">
        <v>1463</v>
      </c>
      <c r="B342" s="22" t="n">
        <f aca="false">COUNTIFS(選手一覧!$C$7:$C$2738,A342,選手一覧!$E$7:$E$2738,"&lt;=100")</f>
        <v>0</v>
      </c>
      <c r="C342" s="18" t="n">
        <f aca="false">COUNTIFS(選手一覧!$C$7:$C$2738,A342,選手一覧!$E$7:$E$2738,"&gt;0")</f>
        <v>1</v>
      </c>
      <c r="D342" s="14" t="n">
        <f aca="false">IF(C342=0,"",_xlfn.MINIFS(選手一覧!$E$7:$E$2738,選手一覧!$C$7:$C$2738,A342))</f>
        <v>887</v>
      </c>
      <c r="E342" s="20"/>
      <c r="F342" s="18" t="n">
        <f aca="false">COUNTIFS(選手一覧!$C$7:$C$2738,A342,選手一覧!$I$7:$I$2738,"&lt;=100")</f>
        <v>0</v>
      </c>
      <c r="G342" s="18" t="n">
        <f aca="false">COUNTIFS(選手一覧!$C$7:$C$2738,A342,選手一覧!$K$7:$K$2738,"&lt;=100")</f>
        <v>0</v>
      </c>
      <c r="H342" s="17" t="n">
        <f aca="false">COUNTIF(選手一覧!$C$7:$C$2738,A342)</f>
        <v>2</v>
      </c>
    </row>
    <row r="343" customFormat="false" ht="15" hidden="false" customHeight="false" outlineLevel="0" collapsed="false">
      <c r="A343" s="12" t="s">
        <v>1469</v>
      </c>
      <c r="B343" s="22" t="n">
        <f aca="false">COUNTIFS(選手一覧!$C$7:$C$2738,A343,選手一覧!$E$7:$E$2738,"&lt;=100")</f>
        <v>0</v>
      </c>
      <c r="C343" s="18" t="n">
        <f aca="false">COUNTIFS(選手一覧!$C$7:$C$2738,A343,選手一覧!$E$7:$E$2738,"&gt;0")</f>
        <v>1</v>
      </c>
      <c r="D343" s="14" t="n">
        <f aca="false">IF(C343=0,"",_xlfn.MINIFS(選手一覧!$E$7:$E$2738,選手一覧!$C$7:$C$2738,A343))</f>
        <v>891</v>
      </c>
      <c r="E343" s="20"/>
      <c r="F343" s="18" t="n">
        <f aca="false">COUNTIFS(選手一覧!$C$7:$C$2738,A343,選手一覧!$I$7:$I$2738,"&lt;=100")</f>
        <v>0</v>
      </c>
      <c r="G343" s="18" t="n">
        <f aca="false">COUNTIFS(選手一覧!$C$7:$C$2738,A343,選手一覧!$K$7:$K$2738,"&lt;=100")</f>
        <v>0</v>
      </c>
      <c r="H343" s="17" t="n">
        <f aca="false">COUNTIF(選手一覧!$C$7:$C$2738,A343)</f>
        <v>4</v>
      </c>
    </row>
    <row r="344" customFormat="false" ht="15" hidden="false" customHeight="false" outlineLevel="0" collapsed="false">
      <c r="A344" s="12" t="s">
        <v>1491</v>
      </c>
      <c r="B344" s="22" t="n">
        <f aca="false">COUNTIFS(選手一覧!$C$7:$C$2738,A344,選手一覧!$E$7:$E$2738,"&lt;=100")</f>
        <v>0</v>
      </c>
      <c r="C344" s="18" t="n">
        <f aca="false">COUNTIFS(選手一覧!$C$7:$C$2738,A344,選手一覧!$E$7:$E$2738,"&gt;0")</f>
        <v>1</v>
      </c>
      <c r="D344" s="14" t="n">
        <f aca="false">IF(C344=0,"",_xlfn.MINIFS(選手一覧!$E$7:$E$2738,選手一覧!$C$7:$C$2738,A344))</f>
        <v>907</v>
      </c>
      <c r="E344" s="20"/>
      <c r="F344" s="18" t="n">
        <f aca="false">COUNTIFS(選手一覧!$C$7:$C$2738,A344,選手一覧!$I$7:$I$2738,"&lt;=100")</f>
        <v>0</v>
      </c>
      <c r="G344" s="18" t="n">
        <f aca="false">COUNTIFS(選手一覧!$C$7:$C$2738,A344,選手一覧!$K$7:$K$2738,"&lt;=100")</f>
        <v>1</v>
      </c>
      <c r="H344" s="17" t="n">
        <f aca="false">COUNTIF(選手一覧!$C$7:$C$2738,A344)</f>
        <v>5</v>
      </c>
    </row>
    <row r="345" customFormat="false" ht="15" hidden="false" customHeight="false" outlineLevel="0" collapsed="false">
      <c r="A345" s="12" t="s">
        <v>1494</v>
      </c>
      <c r="B345" s="22" t="n">
        <f aca="false">COUNTIFS(選手一覧!$C$7:$C$2738,A345,選手一覧!$E$7:$E$2738,"&lt;=100")</f>
        <v>0</v>
      </c>
      <c r="C345" s="18" t="n">
        <f aca="false">COUNTIFS(選手一覧!$C$7:$C$2738,A345,選手一覧!$E$7:$E$2738,"&gt;0")</f>
        <v>1</v>
      </c>
      <c r="D345" s="14" t="n">
        <f aca="false">IF(C345=0,"",_xlfn.MINIFS(選手一覧!$E$7:$E$2738,選手一覧!$C$7:$C$2738,A345))</f>
        <v>909</v>
      </c>
      <c r="E345" s="20"/>
      <c r="F345" s="18" t="n">
        <f aca="false">COUNTIFS(選手一覧!$C$7:$C$2738,A345,選手一覧!$I$7:$I$2738,"&lt;=100")</f>
        <v>1</v>
      </c>
      <c r="G345" s="18" t="n">
        <f aca="false">COUNTIFS(選手一覧!$C$7:$C$2738,A345,選手一覧!$K$7:$K$2738,"&lt;=100")</f>
        <v>0</v>
      </c>
      <c r="H345" s="17" t="n">
        <f aca="false">COUNTIF(選手一覧!$C$7:$C$2738,A345)</f>
        <v>2</v>
      </c>
    </row>
    <row r="346" customFormat="false" ht="15" hidden="false" customHeight="false" outlineLevel="0" collapsed="false">
      <c r="A346" s="12" t="s">
        <v>1496</v>
      </c>
      <c r="B346" s="22" t="n">
        <f aca="false">COUNTIFS(選手一覧!$C$7:$C$2738,A346,選手一覧!$E$7:$E$2738,"&lt;=100")</f>
        <v>0</v>
      </c>
      <c r="C346" s="18" t="n">
        <f aca="false">COUNTIFS(選手一覧!$C$7:$C$2738,A346,選手一覧!$E$7:$E$2738,"&gt;0")</f>
        <v>1</v>
      </c>
      <c r="D346" s="14" t="n">
        <f aca="false">IF(C346=0,"",_xlfn.MINIFS(選手一覧!$E$7:$E$2738,選手一覧!$C$7:$C$2738,A346))</f>
        <v>910</v>
      </c>
      <c r="E346" s="20"/>
      <c r="F346" s="18" t="n">
        <f aca="false">COUNTIFS(選手一覧!$C$7:$C$2738,A346,選手一覧!$I$7:$I$2738,"&lt;=100")</f>
        <v>0</v>
      </c>
      <c r="G346" s="18" t="n">
        <f aca="false">COUNTIFS(選手一覧!$C$7:$C$2738,A346,選手一覧!$K$7:$K$2738,"&lt;=100")</f>
        <v>0</v>
      </c>
      <c r="H346" s="17" t="n">
        <f aca="false">COUNTIF(選手一覧!$C$7:$C$2738,A346)</f>
        <v>1</v>
      </c>
    </row>
    <row r="347" customFormat="false" ht="15" hidden="false" customHeight="false" outlineLevel="0" collapsed="false">
      <c r="A347" s="12" t="s">
        <v>1503</v>
      </c>
      <c r="B347" s="22" t="n">
        <f aca="false">COUNTIFS(選手一覧!$C$7:$C$2738,A347,選手一覧!$E$7:$E$2738,"&lt;=100")</f>
        <v>0</v>
      </c>
      <c r="C347" s="18" t="n">
        <f aca="false">COUNTIFS(選手一覧!$C$7:$C$2738,A347,選手一覧!$E$7:$E$2738,"&gt;0")</f>
        <v>1</v>
      </c>
      <c r="D347" s="14" t="n">
        <f aca="false">IF(C347=0,"",_xlfn.MINIFS(選手一覧!$E$7:$E$2738,選手一覧!$C$7:$C$2738,A347))</f>
        <v>915</v>
      </c>
      <c r="E347" s="20"/>
      <c r="F347" s="18" t="n">
        <f aca="false">COUNTIFS(選手一覧!$C$7:$C$2738,A347,選手一覧!$I$7:$I$2738,"&lt;=100")</f>
        <v>1</v>
      </c>
      <c r="G347" s="18" t="n">
        <f aca="false">COUNTIFS(選手一覧!$C$7:$C$2738,A347,選手一覧!$K$7:$K$2738,"&lt;=100")</f>
        <v>0</v>
      </c>
      <c r="H347" s="17" t="n">
        <f aca="false">COUNTIF(選手一覧!$C$7:$C$2738,A347)</f>
        <v>3</v>
      </c>
    </row>
    <row r="348" customFormat="false" ht="15" hidden="false" customHeight="false" outlineLevel="0" collapsed="false">
      <c r="A348" s="12" t="s">
        <v>1513</v>
      </c>
      <c r="B348" s="22" t="n">
        <f aca="false">COUNTIFS(選手一覧!$C$7:$C$2738,A348,選手一覧!$E$7:$E$2738,"&lt;=100")</f>
        <v>0</v>
      </c>
      <c r="C348" s="18" t="n">
        <f aca="false">COUNTIFS(選手一覧!$C$7:$C$2738,A348,選手一覧!$E$7:$E$2738,"&gt;0")</f>
        <v>1</v>
      </c>
      <c r="D348" s="14" t="n">
        <f aca="false">IF(C348=0,"",_xlfn.MINIFS(選手一覧!$E$7:$E$2738,選手一覧!$C$7:$C$2738,A348))</f>
        <v>920</v>
      </c>
      <c r="E348" s="20"/>
      <c r="F348" s="18" t="n">
        <f aca="false">COUNTIFS(選手一覧!$C$7:$C$2738,A348,選手一覧!$I$7:$I$2738,"&lt;=100")</f>
        <v>0</v>
      </c>
      <c r="G348" s="18" t="n">
        <f aca="false">COUNTIFS(選手一覧!$C$7:$C$2738,A348,選手一覧!$K$7:$K$2738,"&lt;=100")</f>
        <v>0</v>
      </c>
      <c r="H348" s="17" t="n">
        <f aca="false">COUNTIF(選手一覧!$C$7:$C$2738,A348)</f>
        <v>1</v>
      </c>
    </row>
    <row r="349" customFormat="false" ht="15" hidden="false" customHeight="false" outlineLevel="0" collapsed="false">
      <c r="A349" s="12" t="s">
        <v>1515</v>
      </c>
      <c r="B349" s="22" t="n">
        <f aca="false">COUNTIFS(選手一覧!$C$7:$C$2738,A349,選手一覧!$E$7:$E$2738,"&lt;=100")</f>
        <v>0</v>
      </c>
      <c r="C349" s="18" t="n">
        <f aca="false">COUNTIFS(選手一覧!$C$7:$C$2738,A349,選手一覧!$E$7:$E$2738,"&gt;0")</f>
        <v>1</v>
      </c>
      <c r="D349" s="14" t="n">
        <f aca="false">IF(C349=0,"",_xlfn.MINIFS(選手一覧!$E$7:$E$2738,選手一覧!$C$7:$C$2738,A349))</f>
        <v>921</v>
      </c>
      <c r="E349" s="20"/>
      <c r="F349" s="18" t="n">
        <f aca="false">COUNTIFS(選手一覧!$C$7:$C$2738,A349,選手一覧!$I$7:$I$2738,"&lt;=100")</f>
        <v>0</v>
      </c>
      <c r="G349" s="18" t="n">
        <f aca="false">COUNTIFS(選手一覧!$C$7:$C$2738,A349,選手一覧!$K$7:$K$2738,"&lt;=100")</f>
        <v>0</v>
      </c>
      <c r="H349" s="17" t="n">
        <f aca="false">COUNTIF(選手一覧!$C$7:$C$2738,A349)</f>
        <v>2</v>
      </c>
    </row>
    <row r="350" customFormat="false" ht="15" hidden="false" customHeight="false" outlineLevel="0" collapsed="false">
      <c r="A350" s="12" t="s">
        <v>1522</v>
      </c>
      <c r="B350" s="22" t="n">
        <f aca="false">COUNTIFS(選手一覧!$C$7:$C$2738,A350,選手一覧!$E$7:$E$2738,"&lt;=100")</f>
        <v>0</v>
      </c>
      <c r="C350" s="18" t="n">
        <f aca="false">COUNTIFS(選手一覧!$C$7:$C$2738,A350,選手一覧!$E$7:$E$2738,"&gt;0")</f>
        <v>1</v>
      </c>
      <c r="D350" s="14" t="n">
        <f aca="false">IF(C350=0,"",_xlfn.MINIFS(選手一覧!$E$7:$E$2738,選手一覧!$C$7:$C$2738,A350))</f>
        <v>927</v>
      </c>
      <c r="E350" s="20"/>
      <c r="F350" s="18" t="n">
        <f aca="false">COUNTIFS(選手一覧!$C$7:$C$2738,A350,選手一覧!$I$7:$I$2738,"&lt;=100")</f>
        <v>0</v>
      </c>
      <c r="G350" s="18" t="n">
        <f aca="false">COUNTIFS(選手一覧!$C$7:$C$2738,A350,選手一覧!$K$7:$K$2738,"&lt;=100")</f>
        <v>0</v>
      </c>
      <c r="H350" s="17" t="n">
        <f aca="false">COUNTIF(選手一覧!$C$7:$C$2738,A350)</f>
        <v>1</v>
      </c>
    </row>
    <row r="351" customFormat="false" ht="15" hidden="false" customHeight="false" outlineLevel="0" collapsed="false">
      <c r="A351" s="12" t="s">
        <v>1527</v>
      </c>
      <c r="B351" s="22" t="n">
        <f aca="false">COUNTIFS(選手一覧!$C$7:$C$2738,A351,選手一覧!$E$7:$E$2738,"&lt;=100")</f>
        <v>0</v>
      </c>
      <c r="C351" s="18" t="n">
        <f aca="false">COUNTIFS(選手一覧!$C$7:$C$2738,A351,選手一覧!$E$7:$E$2738,"&gt;0")</f>
        <v>1</v>
      </c>
      <c r="D351" s="14" t="n">
        <f aca="false">IF(C351=0,"",_xlfn.MINIFS(選手一覧!$E$7:$E$2738,選手一覧!$C$7:$C$2738,A351))</f>
        <v>929</v>
      </c>
      <c r="E351" s="20"/>
      <c r="F351" s="18" t="n">
        <f aca="false">COUNTIFS(選手一覧!$C$7:$C$2738,A351,選手一覧!$I$7:$I$2738,"&lt;=100")</f>
        <v>0</v>
      </c>
      <c r="G351" s="18" t="n">
        <f aca="false">COUNTIFS(選手一覧!$C$7:$C$2738,A351,選手一覧!$K$7:$K$2738,"&lt;=100")</f>
        <v>0</v>
      </c>
      <c r="H351" s="17" t="n">
        <f aca="false">COUNTIF(選手一覧!$C$7:$C$2738,A351)</f>
        <v>2</v>
      </c>
    </row>
    <row r="352" customFormat="false" ht="15" hidden="false" customHeight="false" outlineLevel="0" collapsed="false">
      <c r="A352" s="12" t="s">
        <v>1532</v>
      </c>
      <c r="B352" s="22" t="n">
        <f aca="false">COUNTIFS(選手一覧!$C$7:$C$2738,A352,選手一覧!$E$7:$E$2738,"&lt;=100")</f>
        <v>0</v>
      </c>
      <c r="C352" s="18" t="n">
        <f aca="false">COUNTIFS(選手一覧!$C$7:$C$2738,A352,選手一覧!$E$7:$E$2738,"&gt;0")</f>
        <v>1</v>
      </c>
      <c r="D352" s="14" t="n">
        <f aca="false">IF(C352=0,"",_xlfn.MINIFS(選手一覧!$E$7:$E$2738,選手一覧!$C$7:$C$2738,A352))</f>
        <v>933</v>
      </c>
      <c r="E352" s="20"/>
      <c r="F352" s="18" t="n">
        <f aca="false">COUNTIFS(選手一覧!$C$7:$C$2738,A352,選手一覧!$I$7:$I$2738,"&lt;=100")</f>
        <v>0</v>
      </c>
      <c r="G352" s="18" t="n">
        <f aca="false">COUNTIFS(選手一覧!$C$7:$C$2738,A352,選手一覧!$K$7:$K$2738,"&lt;=100")</f>
        <v>0</v>
      </c>
      <c r="H352" s="17" t="n">
        <f aca="false">COUNTIF(選手一覧!$C$7:$C$2738,A352)</f>
        <v>1</v>
      </c>
    </row>
    <row r="353" customFormat="false" ht="15" hidden="false" customHeight="false" outlineLevel="0" collapsed="false">
      <c r="A353" s="12" t="s">
        <v>1538</v>
      </c>
      <c r="B353" s="22" t="n">
        <f aca="false">COUNTIFS(選手一覧!$C$7:$C$2738,A353,選手一覧!$E$7:$E$2738,"&lt;=100")</f>
        <v>0</v>
      </c>
      <c r="C353" s="18" t="n">
        <f aca="false">COUNTIFS(選手一覧!$C$7:$C$2738,A353,選手一覧!$E$7:$E$2738,"&gt;0")</f>
        <v>1</v>
      </c>
      <c r="D353" s="14" t="n">
        <f aca="false">IF(C353=0,"",_xlfn.MINIFS(選手一覧!$E$7:$E$2738,選手一覧!$C$7:$C$2738,A353))</f>
        <v>938</v>
      </c>
      <c r="E353" s="20"/>
      <c r="F353" s="18" t="n">
        <f aca="false">COUNTIFS(選手一覧!$C$7:$C$2738,A353,選手一覧!$I$7:$I$2738,"&lt;=100")</f>
        <v>0</v>
      </c>
      <c r="G353" s="18" t="n">
        <f aca="false">COUNTIFS(選手一覧!$C$7:$C$2738,A353,選手一覧!$K$7:$K$2738,"&lt;=100")</f>
        <v>0</v>
      </c>
      <c r="H353" s="17" t="n">
        <f aca="false">COUNTIF(選手一覧!$C$7:$C$2738,A353)</f>
        <v>3</v>
      </c>
    </row>
    <row r="354" customFormat="false" ht="15" hidden="false" customHeight="false" outlineLevel="0" collapsed="false">
      <c r="A354" s="12" t="s">
        <v>1540</v>
      </c>
      <c r="B354" s="22" t="n">
        <f aca="false">COUNTIFS(選手一覧!$C$7:$C$2738,A354,選手一覧!$E$7:$E$2738,"&lt;=100")</f>
        <v>0</v>
      </c>
      <c r="C354" s="18" t="n">
        <f aca="false">COUNTIFS(選手一覧!$C$7:$C$2738,A354,選手一覧!$E$7:$E$2738,"&gt;0")</f>
        <v>1</v>
      </c>
      <c r="D354" s="14" t="n">
        <f aca="false">IF(C354=0,"",_xlfn.MINIFS(選手一覧!$E$7:$E$2738,選手一覧!$C$7:$C$2738,A354))</f>
        <v>939</v>
      </c>
      <c r="E354" s="20"/>
      <c r="F354" s="18" t="n">
        <f aca="false">COUNTIFS(選手一覧!$C$7:$C$2738,A354,選手一覧!$I$7:$I$2738,"&lt;=100")</f>
        <v>0</v>
      </c>
      <c r="G354" s="18" t="n">
        <f aca="false">COUNTIFS(選手一覧!$C$7:$C$2738,A354,選手一覧!$K$7:$K$2738,"&lt;=100")</f>
        <v>0</v>
      </c>
      <c r="H354" s="17" t="n">
        <f aca="false">COUNTIF(選手一覧!$C$7:$C$2738,A354)</f>
        <v>2</v>
      </c>
    </row>
    <row r="355" customFormat="false" ht="15" hidden="false" customHeight="false" outlineLevel="0" collapsed="false">
      <c r="A355" s="12" t="s">
        <v>1548</v>
      </c>
      <c r="B355" s="22" t="n">
        <f aca="false">COUNTIFS(選手一覧!$C$7:$C$2738,A355,選手一覧!$E$7:$E$2738,"&lt;=100")</f>
        <v>0</v>
      </c>
      <c r="C355" s="18" t="n">
        <f aca="false">COUNTIFS(選手一覧!$C$7:$C$2738,A355,選手一覧!$E$7:$E$2738,"&gt;0")</f>
        <v>1</v>
      </c>
      <c r="D355" s="14" t="n">
        <f aca="false">IF(C355=0,"",_xlfn.MINIFS(選手一覧!$E$7:$E$2738,選手一覧!$C$7:$C$2738,A355))</f>
        <v>946</v>
      </c>
      <c r="E355" s="20"/>
      <c r="F355" s="18" t="n">
        <f aca="false">COUNTIFS(選手一覧!$C$7:$C$2738,A355,選手一覧!$I$7:$I$2738,"&lt;=100")</f>
        <v>0</v>
      </c>
      <c r="G355" s="18" t="n">
        <f aca="false">COUNTIFS(選手一覧!$C$7:$C$2738,A355,選手一覧!$K$7:$K$2738,"&lt;=100")</f>
        <v>0</v>
      </c>
      <c r="H355" s="17" t="n">
        <f aca="false">COUNTIF(選手一覧!$C$7:$C$2738,A355)</f>
        <v>3</v>
      </c>
    </row>
    <row r="356" customFormat="false" ht="15" hidden="false" customHeight="false" outlineLevel="0" collapsed="false">
      <c r="A356" s="12" t="s">
        <v>1552</v>
      </c>
      <c r="B356" s="22" t="n">
        <f aca="false">COUNTIFS(選手一覧!$C$7:$C$2738,A356,選手一覧!$E$7:$E$2738,"&lt;=100")</f>
        <v>0</v>
      </c>
      <c r="C356" s="18" t="n">
        <f aca="false">COUNTIFS(選手一覧!$C$7:$C$2738,A356,選手一覧!$E$7:$E$2738,"&gt;0")</f>
        <v>1</v>
      </c>
      <c r="D356" s="14" t="n">
        <f aca="false">IF(C356=0,"",_xlfn.MINIFS(選手一覧!$E$7:$E$2738,選手一覧!$C$7:$C$2738,A356))</f>
        <v>949</v>
      </c>
      <c r="E356" s="20"/>
      <c r="F356" s="18" t="n">
        <f aca="false">COUNTIFS(選手一覧!$C$7:$C$2738,A356,選手一覧!$I$7:$I$2738,"&lt;=100")</f>
        <v>0</v>
      </c>
      <c r="G356" s="18" t="n">
        <f aca="false">COUNTIFS(選手一覧!$C$7:$C$2738,A356,選手一覧!$K$7:$K$2738,"&lt;=100")</f>
        <v>0</v>
      </c>
      <c r="H356" s="17" t="n">
        <f aca="false">COUNTIF(選手一覧!$C$7:$C$2738,A356)</f>
        <v>4</v>
      </c>
    </row>
    <row r="357" customFormat="false" ht="15" hidden="false" customHeight="false" outlineLevel="0" collapsed="false">
      <c r="A357" s="12" t="s">
        <v>1558</v>
      </c>
      <c r="B357" s="22" t="n">
        <f aca="false">COUNTIFS(選手一覧!$C$7:$C$2738,A357,選手一覧!$E$7:$E$2738,"&lt;=100")</f>
        <v>0</v>
      </c>
      <c r="C357" s="18" t="n">
        <f aca="false">COUNTIFS(選手一覧!$C$7:$C$2738,A357,選手一覧!$E$7:$E$2738,"&gt;0")</f>
        <v>1</v>
      </c>
      <c r="D357" s="14" t="n">
        <f aca="false">IF(C357=0,"",_xlfn.MINIFS(選手一覧!$E$7:$E$2738,選手一覧!$C$7:$C$2738,A357))</f>
        <v>953</v>
      </c>
      <c r="E357" s="20"/>
      <c r="F357" s="18" t="n">
        <f aca="false">COUNTIFS(選手一覧!$C$7:$C$2738,A357,選手一覧!$I$7:$I$2738,"&lt;=100")</f>
        <v>0</v>
      </c>
      <c r="G357" s="18" t="n">
        <f aca="false">COUNTIFS(選手一覧!$C$7:$C$2738,A357,選手一覧!$K$7:$K$2738,"&lt;=100")</f>
        <v>0</v>
      </c>
      <c r="H357" s="17" t="n">
        <f aca="false">COUNTIF(選手一覧!$C$7:$C$2738,A357)</f>
        <v>2</v>
      </c>
    </row>
    <row r="358" customFormat="false" ht="15" hidden="false" customHeight="false" outlineLevel="0" collapsed="false">
      <c r="A358" s="12" t="s">
        <v>1560</v>
      </c>
      <c r="B358" s="22" t="n">
        <f aca="false">COUNTIFS(選手一覧!$C$7:$C$2738,A358,選手一覧!$E$7:$E$2738,"&lt;=100")</f>
        <v>0</v>
      </c>
      <c r="C358" s="18" t="n">
        <f aca="false">COUNTIFS(選手一覧!$C$7:$C$2738,A358,選手一覧!$E$7:$E$2738,"&gt;0")</f>
        <v>1</v>
      </c>
      <c r="D358" s="14" t="n">
        <f aca="false">IF(C358=0,"",_xlfn.MINIFS(選手一覧!$E$7:$E$2738,選手一覧!$C$7:$C$2738,A358))</f>
        <v>954</v>
      </c>
      <c r="E358" s="20"/>
      <c r="F358" s="18" t="n">
        <f aca="false">COUNTIFS(選手一覧!$C$7:$C$2738,A358,選手一覧!$I$7:$I$2738,"&lt;=100")</f>
        <v>0</v>
      </c>
      <c r="G358" s="18" t="n">
        <f aca="false">COUNTIFS(選手一覧!$C$7:$C$2738,A358,選手一覧!$K$7:$K$2738,"&lt;=100")</f>
        <v>0</v>
      </c>
      <c r="H358" s="17" t="n">
        <f aca="false">COUNTIF(選手一覧!$C$7:$C$2738,A358)</f>
        <v>1</v>
      </c>
    </row>
    <row r="359" customFormat="false" ht="15" hidden="false" customHeight="false" outlineLevel="0" collapsed="false">
      <c r="A359" s="12" t="s">
        <v>1570</v>
      </c>
      <c r="B359" s="22" t="n">
        <f aca="false">COUNTIFS(選手一覧!$C$7:$C$2738,A359,選手一覧!$E$7:$E$2738,"&lt;=100")</f>
        <v>0</v>
      </c>
      <c r="C359" s="18" t="n">
        <f aca="false">COUNTIFS(選手一覧!$C$7:$C$2738,A359,選手一覧!$E$7:$E$2738,"&gt;0")</f>
        <v>1</v>
      </c>
      <c r="D359" s="14" t="n">
        <f aca="false">IF(C359=0,"",_xlfn.MINIFS(選手一覧!$E$7:$E$2738,選手一覧!$C$7:$C$2738,A359))</f>
        <v>961</v>
      </c>
      <c r="E359" s="20"/>
      <c r="F359" s="18" t="n">
        <f aca="false">COUNTIFS(選手一覧!$C$7:$C$2738,A359,選手一覧!$I$7:$I$2738,"&lt;=100")</f>
        <v>0</v>
      </c>
      <c r="G359" s="18" t="n">
        <f aca="false">COUNTIFS(選手一覧!$C$7:$C$2738,A359,選手一覧!$K$7:$K$2738,"&lt;=100")</f>
        <v>0</v>
      </c>
      <c r="H359" s="17" t="n">
        <f aca="false">COUNTIF(選手一覧!$C$7:$C$2738,A359)</f>
        <v>5</v>
      </c>
    </row>
    <row r="360" customFormat="false" ht="15" hidden="false" customHeight="false" outlineLevel="0" collapsed="false">
      <c r="A360" s="12" t="s">
        <v>1574</v>
      </c>
      <c r="B360" s="22" t="n">
        <f aca="false">COUNTIFS(選手一覧!$C$7:$C$2738,A360,選手一覧!$E$7:$E$2738,"&lt;=100")</f>
        <v>0</v>
      </c>
      <c r="C360" s="18" t="n">
        <f aca="false">COUNTIFS(選手一覧!$C$7:$C$2738,A360,選手一覧!$E$7:$E$2738,"&gt;0")</f>
        <v>1</v>
      </c>
      <c r="D360" s="14" t="n">
        <f aca="false">IF(C360=0,"",_xlfn.MINIFS(選手一覧!$E$7:$E$2738,選手一覧!$C$7:$C$2738,A360))</f>
        <v>964</v>
      </c>
      <c r="E360" s="20"/>
      <c r="F360" s="18" t="n">
        <f aca="false">COUNTIFS(選手一覧!$C$7:$C$2738,A360,選手一覧!$I$7:$I$2738,"&lt;=100")</f>
        <v>0</v>
      </c>
      <c r="G360" s="18" t="n">
        <f aca="false">COUNTIFS(選手一覧!$C$7:$C$2738,A360,選手一覧!$K$7:$K$2738,"&lt;=100")</f>
        <v>0</v>
      </c>
      <c r="H360" s="17" t="n">
        <f aca="false">COUNTIF(選手一覧!$C$7:$C$2738,A360)</f>
        <v>1</v>
      </c>
    </row>
    <row r="361" customFormat="false" ht="15" hidden="false" customHeight="false" outlineLevel="0" collapsed="false">
      <c r="A361" s="12" t="s">
        <v>1576</v>
      </c>
      <c r="B361" s="22" t="n">
        <f aca="false">COUNTIFS(選手一覧!$C$7:$C$2738,A361,選手一覧!$E$7:$E$2738,"&lt;=100")</f>
        <v>0</v>
      </c>
      <c r="C361" s="18" t="n">
        <f aca="false">COUNTIFS(選手一覧!$C$7:$C$2738,A361,選手一覧!$E$7:$E$2738,"&gt;0")</f>
        <v>1</v>
      </c>
      <c r="D361" s="14" t="n">
        <f aca="false">IF(C361=0,"",_xlfn.MINIFS(選手一覧!$E$7:$E$2738,選手一覧!$C$7:$C$2738,A361))</f>
        <v>965</v>
      </c>
      <c r="E361" s="20"/>
      <c r="F361" s="18" t="n">
        <f aca="false">COUNTIFS(選手一覧!$C$7:$C$2738,A361,選手一覧!$I$7:$I$2738,"&lt;=100")</f>
        <v>0</v>
      </c>
      <c r="G361" s="18" t="n">
        <f aca="false">COUNTIFS(選手一覧!$C$7:$C$2738,A361,選手一覧!$K$7:$K$2738,"&lt;=100")</f>
        <v>0</v>
      </c>
      <c r="H361" s="17" t="n">
        <f aca="false">COUNTIF(選手一覧!$C$7:$C$2738,A361)</f>
        <v>1</v>
      </c>
    </row>
    <row r="362" customFormat="false" ht="15" hidden="false" customHeight="false" outlineLevel="0" collapsed="false">
      <c r="A362" s="12" t="s">
        <v>1579</v>
      </c>
      <c r="B362" s="22" t="n">
        <f aca="false">COUNTIFS(選手一覧!$C$7:$C$2738,A362,選手一覧!$E$7:$E$2738,"&lt;=100")</f>
        <v>0</v>
      </c>
      <c r="C362" s="18" t="n">
        <f aca="false">COUNTIFS(選手一覧!$C$7:$C$2738,A362,選手一覧!$E$7:$E$2738,"&gt;0")</f>
        <v>1</v>
      </c>
      <c r="D362" s="14" t="n">
        <f aca="false">IF(C362=0,"",_xlfn.MINIFS(選手一覧!$E$7:$E$2738,選手一覧!$C$7:$C$2738,A362))</f>
        <v>967</v>
      </c>
      <c r="E362" s="20"/>
      <c r="F362" s="18" t="n">
        <f aca="false">COUNTIFS(選手一覧!$C$7:$C$2738,A362,選手一覧!$I$7:$I$2738,"&lt;=100")</f>
        <v>0</v>
      </c>
      <c r="G362" s="18" t="n">
        <f aca="false">COUNTIFS(選手一覧!$C$7:$C$2738,A362,選手一覧!$K$7:$K$2738,"&lt;=100")</f>
        <v>0</v>
      </c>
      <c r="H362" s="17" t="n">
        <f aca="false">COUNTIF(選手一覧!$C$7:$C$2738,A362)</f>
        <v>1</v>
      </c>
    </row>
    <row r="363" customFormat="false" ht="15" hidden="false" customHeight="false" outlineLevel="0" collapsed="false">
      <c r="A363" s="12" t="s">
        <v>1583</v>
      </c>
      <c r="B363" s="22" t="n">
        <f aca="false">COUNTIFS(選手一覧!$C$7:$C$2738,A363,選手一覧!$E$7:$E$2738,"&lt;=100")</f>
        <v>0</v>
      </c>
      <c r="C363" s="18" t="n">
        <f aca="false">COUNTIFS(選手一覧!$C$7:$C$2738,A363,選手一覧!$E$7:$E$2738,"&gt;0")</f>
        <v>1</v>
      </c>
      <c r="D363" s="14" t="n">
        <f aca="false">IF(C363=0,"",_xlfn.MINIFS(選手一覧!$E$7:$E$2738,選手一覧!$C$7:$C$2738,A363))</f>
        <v>970</v>
      </c>
      <c r="E363" s="20"/>
      <c r="F363" s="18" t="n">
        <f aca="false">COUNTIFS(選手一覧!$C$7:$C$2738,A363,選手一覧!$I$7:$I$2738,"&lt;=100")</f>
        <v>0</v>
      </c>
      <c r="G363" s="18" t="n">
        <f aca="false">COUNTIFS(選手一覧!$C$7:$C$2738,A363,選手一覧!$K$7:$K$2738,"&lt;=100")</f>
        <v>0</v>
      </c>
      <c r="H363" s="17" t="n">
        <f aca="false">COUNTIF(選手一覧!$C$7:$C$2738,A363)</f>
        <v>1</v>
      </c>
    </row>
    <row r="364" customFormat="false" ht="15" hidden="false" customHeight="false" outlineLevel="0" collapsed="false">
      <c r="A364" s="12" t="s">
        <v>1595</v>
      </c>
      <c r="B364" s="22" t="n">
        <f aca="false">COUNTIFS(選手一覧!$C$7:$C$2738,A364,選手一覧!$E$7:$E$2738,"&lt;=100")</f>
        <v>0</v>
      </c>
      <c r="C364" s="18" t="n">
        <f aca="false">COUNTIFS(選手一覧!$C$7:$C$2738,A364,選手一覧!$E$7:$E$2738,"&gt;0")</f>
        <v>1</v>
      </c>
      <c r="D364" s="14" t="n">
        <f aca="false">IF(C364=0,"",_xlfn.MINIFS(選手一覧!$E$7:$E$2738,選手一覧!$C$7:$C$2738,A364))</f>
        <v>977</v>
      </c>
      <c r="E364" s="20"/>
      <c r="F364" s="18" t="n">
        <f aca="false">COUNTIFS(選手一覧!$C$7:$C$2738,A364,選手一覧!$I$7:$I$2738,"&lt;=100")</f>
        <v>0</v>
      </c>
      <c r="G364" s="18" t="n">
        <f aca="false">COUNTIFS(選手一覧!$C$7:$C$2738,A364,選手一覧!$K$7:$K$2738,"&lt;=100")</f>
        <v>0</v>
      </c>
      <c r="H364" s="17" t="n">
        <f aca="false">COUNTIF(選手一覧!$C$7:$C$2738,A364)</f>
        <v>2</v>
      </c>
    </row>
    <row r="365" customFormat="false" ht="15" hidden="false" customHeight="false" outlineLevel="0" collapsed="false">
      <c r="A365" s="12" t="s">
        <v>1599</v>
      </c>
      <c r="B365" s="22" t="n">
        <f aca="false">COUNTIFS(選手一覧!$C$7:$C$2738,A365,選手一覧!$E$7:$E$2738,"&lt;=100")</f>
        <v>0</v>
      </c>
      <c r="C365" s="18" t="n">
        <f aca="false">COUNTIFS(選手一覧!$C$7:$C$2738,A365,選手一覧!$E$7:$E$2738,"&gt;0")</f>
        <v>1</v>
      </c>
      <c r="D365" s="14" t="n">
        <f aca="false">IF(C365=0,"",_xlfn.MINIFS(選手一覧!$E$7:$E$2738,選手一覧!$C$7:$C$2738,A365))</f>
        <v>979</v>
      </c>
      <c r="E365" s="20"/>
      <c r="F365" s="18" t="n">
        <f aca="false">COUNTIFS(選手一覧!$C$7:$C$2738,A365,選手一覧!$I$7:$I$2738,"&lt;=100")</f>
        <v>0</v>
      </c>
      <c r="G365" s="18" t="n">
        <f aca="false">COUNTIFS(選手一覧!$C$7:$C$2738,A365,選手一覧!$K$7:$K$2738,"&lt;=100")</f>
        <v>0</v>
      </c>
      <c r="H365" s="17" t="n">
        <f aca="false">COUNTIF(選手一覧!$C$7:$C$2738,A365)</f>
        <v>3</v>
      </c>
    </row>
    <row r="366" customFormat="false" ht="15" hidden="false" customHeight="false" outlineLevel="0" collapsed="false">
      <c r="A366" s="12" t="s">
        <v>1602</v>
      </c>
      <c r="B366" s="22" t="n">
        <f aca="false">COUNTIFS(選手一覧!$C$7:$C$2738,A366,選手一覧!$E$7:$E$2738,"&lt;=100")</f>
        <v>0</v>
      </c>
      <c r="C366" s="18" t="n">
        <f aca="false">COUNTIFS(選手一覧!$C$7:$C$2738,A366,選手一覧!$E$7:$E$2738,"&gt;0")</f>
        <v>1</v>
      </c>
      <c r="D366" s="14" t="n">
        <f aca="false">IF(C366=0,"",_xlfn.MINIFS(選手一覧!$E$7:$E$2738,選手一覧!$C$7:$C$2738,A366))</f>
        <v>981</v>
      </c>
      <c r="E366" s="20"/>
      <c r="F366" s="18" t="n">
        <f aca="false">COUNTIFS(選手一覧!$C$7:$C$2738,A366,選手一覧!$I$7:$I$2738,"&lt;=100")</f>
        <v>0</v>
      </c>
      <c r="G366" s="18" t="n">
        <f aca="false">COUNTIFS(選手一覧!$C$7:$C$2738,A366,選手一覧!$K$7:$K$2738,"&lt;=100")</f>
        <v>0</v>
      </c>
      <c r="H366" s="17" t="n">
        <f aca="false">COUNTIF(選手一覧!$C$7:$C$2738,A366)</f>
        <v>2</v>
      </c>
    </row>
    <row r="367" customFormat="false" ht="15" hidden="false" customHeight="false" outlineLevel="0" collapsed="false">
      <c r="A367" s="12" t="s">
        <v>1604</v>
      </c>
      <c r="B367" s="22" t="n">
        <f aca="false">COUNTIFS(選手一覧!$C$7:$C$2738,A367,選手一覧!$E$7:$E$2738,"&lt;=100")</f>
        <v>0</v>
      </c>
      <c r="C367" s="18" t="n">
        <f aca="false">COUNTIFS(選手一覧!$C$7:$C$2738,A367,選手一覧!$E$7:$E$2738,"&gt;0")</f>
        <v>1</v>
      </c>
      <c r="D367" s="14" t="n">
        <f aca="false">IF(C367=0,"",_xlfn.MINIFS(選手一覧!$E$7:$E$2738,選手一覧!$C$7:$C$2738,A367))</f>
        <v>982</v>
      </c>
      <c r="E367" s="20"/>
      <c r="F367" s="18" t="n">
        <f aca="false">COUNTIFS(選手一覧!$C$7:$C$2738,A367,選手一覧!$I$7:$I$2738,"&lt;=100")</f>
        <v>0</v>
      </c>
      <c r="G367" s="18" t="n">
        <f aca="false">COUNTIFS(選手一覧!$C$7:$C$2738,A367,選手一覧!$K$7:$K$2738,"&lt;=100")</f>
        <v>0</v>
      </c>
      <c r="H367" s="17" t="n">
        <f aca="false">COUNTIF(選手一覧!$C$7:$C$2738,A367)</f>
        <v>1</v>
      </c>
    </row>
    <row r="368" customFormat="false" ht="15" hidden="false" customHeight="false" outlineLevel="0" collapsed="false">
      <c r="A368" s="12" t="s">
        <v>1628</v>
      </c>
      <c r="B368" s="22" t="n">
        <f aca="false">COUNTIFS(選手一覧!$C$7:$C$2738,A368,選手一覧!$E$7:$E$2738,"&lt;=100")</f>
        <v>0</v>
      </c>
      <c r="C368" s="18" t="n">
        <f aca="false">COUNTIFS(選手一覧!$C$7:$C$2738,A368,選手一覧!$E$7:$E$2738,"&gt;0")</f>
        <v>1</v>
      </c>
      <c r="D368" s="14" t="n">
        <f aca="false">IF(C368=0,"",_xlfn.MINIFS(選手一覧!$E$7:$E$2738,選手一覧!$C$7:$C$2738,A368))</f>
        <v>1001</v>
      </c>
      <c r="E368" s="20"/>
      <c r="F368" s="18" t="n">
        <f aca="false">COUNTIFS(選手一覧!$C$7:$C$2738,A368,選手一覧!$I$7:$I$2738,"&lt;=100")</f>
        <v>0</v>
      </c>
      <c r="G368" s="18" t="n">
        <f aca="false">COUNTIFS(選手一覧!$C$7:$C$2738,A368,選手一覧!$K$7:$K$2738,"&lt;=100")</f>
        <v>0</v>
      </c>
      <c r="H368" s="17" t="n">
        <f aca="false">COUNTIF(選手一覧!$C$7:$C$2738,A368)</f>
        <v>2</v>
      </c>
    </row>
    <row r="369" customFormat="false" ht="15" hidden="false" customHeight="false" outlineLevel="0" collapsed="false">
      <c r="A369" s="12" t="s">
        <v>1630</v>
      </c>
      <c r="B369" s="22" t="n">
        <f aca="false">COUNTIFS(選手一覧!$C$7:$C$2738,A369,選手一覧!$E$7:$E$2738,"&lt;=100")</f>
        <v>0</v>
      </c>
      <c r="C369" s="18" t="n">
        <f aca="false">COUNTIFS(選手一覧!$C$7:$C$2738,A369,選手一覧!$E$7:$E$2738,"&gt;0")</f>
        <v>1</v>
      </c>
      <c r="D369" s="14" t="n">
        <f aca="false">IF(C369=0,"",_xlfn.MINIFS(選手一覧!$E$7:$E$2738,選手一覧!$C$7:$C$2738,A369))</f>
        <v>1002</v>
      </c>
      <c r="E369" s="20"/>
      <c r="F369" s="18" t="n">
        <f aca="false">COUNTIFS(選手一覧!$C$7:$C$2738,A369,選手一覧!$I$7:$I$2738,"&lt;=100")</f>
        <v>0</v>
      </c>
      <c r="G369" s="18" t="n">
        <f aca="false">COUNTIFS(選手一覧!$C$7:$C$2738,A369,選手一覧!$K$7:$K$2738,"&lt;=100")</f>
        <v>0</v>
      </c>
      <c r="H369" s="17" t="n">
        <f aca="false">COUNTIF(選手一覧!$C$7:$C$2738,A369)</f>
        <v>1</v>
      </c>
    </row>
    <row r="370" customFormat="false" ht="15" hidden="false" customHeight="false" outlineLevel="0" collapsed="false">
      <c r="A370" s="12" t="s">
        <v>1637</v>
      </c>
      <c r="B370" s="22" t="n">
        <f aca="false">COUNTIFS(選手一覧!$C$7:$C$2738,A370,選手一覧!$E$7:$E$2738,"&lt;=100")</f>
        <v>0</v>
      </c>
      <c r="C370" s="18" t="n">
        <f aca="false">COUNTIFS(選手一覧!$C$7:$C$2738,A370,選手一覧!$E$7:$E$2738,"&gt;0")</f>
        <v>1</v>
      </c>
      <c r="D370" s="14" t="n">
        <f aca="false">IF(C370=0,"",_xlfn.MINIFS(選手一覧!$E$7:$E$2738,選手一覧!$C$7:$C$2738,A370))</f>
        <v>1008</v>
      </c>
      <c r="E370" s="20"/>
      <c r="F370" s="18" t="n">
        <f aca="false">COUNTIFS(選手一覧!$C$7:$C$2738,A370,選手一覧!$I$7:$I$2738,"&lt;=100")</f>
        <v>0</v>
      </c>
      <c r="G370" s="18" t="n">
        <f aca="false">COUNTIFS(選手一覧!$C$7:$C$2738,A370,選手一覧!$K$7:$K$2738,"&lt;=100")</f>
        <v>0</v>
      </c>
      <c r="H370" s="17" t="n">
        <f aca="false">COUNTIF(選手一覧!$C$7:$C$2738,A370)</f>
        <v>3</v>
      </c>
    </row>
    <row r="371" customFormat="false" ht="15" hidden="false" customHeight="false" outlineLevel="0" collapsed="false">
      <c r="A371" s="12" t="s">
        <v>1639</v>
      </c>
      <c r="B371" s="22" t="n">
        <f aca="false">COUNTIFS(選手一覧!$C$7:$C$2738,A371,選手一覧!$E$7:$E$2738,"&lt;=100")</f>
        <v>0</v>
      </c>
      <c r="C371" s="18" t="n">
        <f aca="false">COUNTIFS(選手一覧!$C$7:$C$2738,A371,選手一覧!$E$7:$E$2738,"&gt;0")</f>
        <v>1</v>
      </c>
      <c r="D371" s="14" t="n">
        <f aca="false">IF(C371=0,"",_xlfn.MINIFS(選手一覧!$E$7:$E$2738,選手一覧!$C$7:$C$2738,A371))</f>
        <v>1009</v>
      </c>
      <c r="E371" s="20"/>
      <c r="F371" s="18" t="n">
        <f aca="false">COUNTIFS(選手一覧!$C$7:$C$2738,A371,選手一覧!$I$7:$I$2738,"&lt;=100")</f>
        <v>0</v>
      </c>
      <c r="G371" s="18" t="n">
        <f aca="false">COUNTIFS(選手一覧!$C$7:$C$2738,A371,選手一覧!$K$7:$K$2738,"&lt;=100")</f>
        <v>0</v>
      </c>
      <c r="H371" s="17" t="n">
        <f aca="false">COUNTIF(選手一覧!$C$7:$C$2738,A371)</f>
        <v>1</v>
      </c>
    </row>
    <row r="372" customFormat="false" ht="15" hidden="false" customHeight="false" outlineLevel="0" collapsed="false">
      <c r="A372" s="12" t="s">
        <v>1641</v>
      </c>
      <c r="B372" s="22" t="n">
        <f aca="false">COUNTIFS(選手一覧!$C$7:$C$2738,A372,選手一覧!$E$7:$E$2738,"&lt;=100")</f>
        <v>0</v>
      </c>
      <c r="C372" s="18" t="n">
        <f aca="false">COUNTIFS(選手一覧!$C$7:$C$2738,A372,選手一覧!$E$7:$E$2738,"&gt;0")</f>
        <v>1</v>
      </c>
      <c r="D372" s="14" t="n">
        <f aca="false">IF(C372=0,"",_xlfn.MINIFS(選手一覧!$E$7:$E$2738,選手一覧!$C$7:$C$2738,A372))</f>
        <v>1010</v>
      </c>
      <c r="E372" s="20"/>
      <c r="F372" s="18" t="n">
        <f aca="false">COUNTIFS(選手一覧!$C$7:$C$2738,A372,選手一覧!$I$7:$I$2738,"&lt;=100")</f>
        <v>1</v>
      </c>
      <c r="G372" s="18" t="n">
        <f aca="false">COUNTIFS(選手一覧!$C$7:$C$2738,A372,選手一覧!$K$7:$K$2738,"&lt;=100")</f>
        <v>0</v>
      </c>
      <c r="H372" s="17" t="n">
        <f aca="false">COUNTIF(選手一覧!$C$7:$C$2738,A372)</f>
        <v>2</v>
      </c>
    </row>
    <row r="373" customFormat="false" ht="15" hidden="false" customHeight="false" outlineLevel="0" collapsed="false">
      <c r="A373" s="12" t="s">
        <v>1656</v>
      </c>
      <c r="B373" s="22" t="n">
        <f aca="false">COUNTIFS(選手一覧!$C$7:$C$2738,A373,選手一覧!$E$7:$E$2738,"&lt;=100")</f>
        <v>0</v>
      </c>
      <c r="C373" s="18" t="n">
        <f aca="false">COUNTIFS(選手一覧!$C$7:$C$2738,A373,選手一覧!$E$7:$E$2738,"&gt;0")</f>
        <v>1</v>
      </c>
      <c r="D373" s="14" t="n">
        <f aca="false">IF(C373=0,"",_xlfn.MINIFS(選手一覧!$E$7:$E$2738,選手一覧!$C$7:$C$2738,A373))</f>
        <v>1021</v>
      </c>
      <c r="E373" s="20"/>
      <c r="F373" s="18" t="n">
        <f aca="false">COUNTIFS(選手一覧!$C$7:$C$2738,A373,選手一覧!$I$7:$I$2738,"&lt;=100")</f>
        <v>0</v>
      </c>
      <c r="G373" s="18" t="n">
        <f aca="false">COUNTIFS(選手一覧!$C$7:$C$2738,A373,選手一覧!$K$7:$K$2738,"&lt;=100")</f>
        <v>0</v>
      </c>
      <c r="H373" s="17" t="n">
        <f aca="false">COUNTIF(選手一覧!$C$7:$C$2738,A373)</f>
        <v>1</v>
      </c>
    </row>
    <row r="374" customFormat="false" ht="15" hidden="false" customHeight="false" outlineLevel="0" collapsed="false">
      <c r="A374" s="12" t="s">
        <v>1661</v>
      </c>
      <c r="B374" s="22" t="n">
        <f aca="false">COUNTIFS(選手一覧!$C$7:$C$2738,A374,選手一覧!$E$7:$E$2738,"&lt;=100")</f>
        <v>0</v>
      </c>
      <c r="C374" s="18" t="n">
        <f aca="false">COUNTIFS(選手一覧!$C$7:$C$2738,A374,選手一覧!$E$7:$E$2738,"&gt;0")</f>
        <v>1</v>
      </c>
      <c r="D374" s="14" t="n">
        <f aca="false">IF(C374=0,"",_xlfn.MINIFS(選手一覧!$E$7:$E$2738,選手一覧!$C$7:$C$2738,A374))</f>
        <v>1023</v>
      </c>
      <c r="E374" s="20"/>
      <c r="F374" s="18" t="n">
        <f aca="false">COUNTIFS(選手一覧!$C$7:$C$2738,A374,選手一覧!$I$7:$I$2738,"&lt;=100")</f>
        <v>0</v>
      </c>
      <c r="G374" s="18" t="n">
        <f aca="false">COUNTIFS(選手一覧!$C$7:$C$2738,A374,選手一覧!$K$7:$K$2738,"&lt;=100")</f>
        <v>0</v>
      </c>
      <c r="H374" s="17" t="n">
        <f aca="false">COUNTIF(選手一覧!$C$7:$C$2738,A374)</f>
        <v>2</v>
      </c>
    </row>
    <row r="375" customFormat="false" ht="15" hidden="false" customHeight="false" outlineLevel="0" collapsed="false">
      <c r="A375" s="12" t="s">
        <v>1664</v>
      </c>
      <c r="B375" s="22" t="n">
        <f aca="false">COUNTIFS(選手一覧!$C$7:$C$2738,A375,選手一覧!$E$7:$E$2738,"&lt;=100")</f>
        <v>0</v>
      </c>
      <c r="C375" s="18" t="n">
        <f aca="false">COUNTIFS(選手一覧!$C$7:$C$2738,A375,選手一覧!$E$7:$E$2738,"&gt;0")</f>
        <v>1</v>
      </c>
      <c r="D375" s="14" t="n">
        <f aca="false">IF(C375=0,"",_xlfn.MINIFS(選手一覧!$E$7:$E$2738,選手一覧!$C$7:$C$2738,A375))</f>
        <v>1025</v>
      </c>
      <c r="E375" s="20"/>
      <c r="F375" s="18" t="n">
        <f aca="false">COUNTIFS(選手一覧!$C$7:$C$2738,A375,選手一覧!$I$7:$I$2738,"&lt;=100")</f>
        <v>0</v>
      </c>
      <c r="G375" s="18" t="n">
        <f aca="false">COUNTIFS(選手一覧!$C$7:$C$2738,A375,選手一覧!$K$7:$K$2738,"&lt;=100")</f>
        <v>0</v>
      </c>
      <c r="H375" s="17" t="n">
        <f aca="false">COUNTIF(選手一覧!$C$7:$C$2738,A375)</f>
        <v>1</v>
      </c>
    </row>
    <row r="376" customFormat="false" ht="15" hidden="false" customHeight="false" outlineLevel="0" collapsed="false">
      <c r="A376" s="12" t="s">
        <v>1667</v>
      </c>
      <c r="B376" s="22" t="n">
        <f aca="false">COUNTIFS(選手一覧!$C$7:$C$2738,A376,選手一覧!$E$7:$E$2738,"&lt;=100")</f>
        <v>0</v>
      </c>
      <c r="C376" s="18" t="n">
        <f aca="false">COUNTIFS(選手一覧!$C$7:$C$2738,A376,選手一覧!$E$7:$E$2738,"&gt;0")</f>
        <v>1</v>
      </c>
      <c r="D376" s="14" t="n">
        <f aca="false">IF(C376=0,"",_xlfn.MINIFS(選手一覧!$E$7:$E$2738,選手一覧!$C$7:$C$2738,A376))</f>
        <v>1027</v>
      </c>
      <c r="E376" s="20"/>
      <c r="F376" s="18" t="n">
        <f aca="false">COUNTIFS(選手一覧!$C$7:$C$2738,A376,選手一覧!$I$7:$I$2738,"&lt;=100")</f>
        <v>0</v>
      </c>
      <c r="G376" s="18" t="n">
        <f aca="false">COUNTIFS(選手一覧!$C$7:$C$2738,A376,選手一覧!$K$7:$K$2738,"&lt;=100")</f>
        <v>0</v>
      </c>
      <c r="H376" s="17" t="n">
        <f aca="false">COUNTIF(選手一覧!$C$7:$C$2738,A376)</f>
        <v>1</v>
      </c>
    </row>
    <row r="377" customFormat="false" ht="15" hidden="false" customHeight="false" outlineLevel="0" collapsed="false">
      <c r="A377" s="12" t="s">
        <v>1675</v>
      </c>
      <c r="B377" s="22" t="n">
        <f aca="false">COUNTIFS(選手一覧!$C$7:$C$2738,A377,選手一覧!$E$7:$E$2738,"&lt;=100")</f>
        <v>0</v>
      </c>
      <c r="C377" s="18" t="n">
        <f aca="false">COUNTIFS(選手一覧!$C$7:$C$2738,A377,選手一覧!$E$7:$E$2738,"&gt;0")</f>
        <v>1</v>
      </c>
      <c r="D377" s="14" t="n">
        <f aca="false">IF(C377=0,"",_xlfn.MINIFS(選手一覧!$E$7:$E$2738,選手一覧!$C$7:$C$2738,A377))</f>
        <v>1033</v>
      </c>
      <c r="E377" s="20"/>
      <c r="F377" s="18" t="n">
        <f aca="false">COUNTIFS(選手一覧!$C$7:$C$2738,A377,選手一覧!$I$7:$I$2738,"&lt;=100")</f>
        <v>0</v>
      </c>
      <c r="G377" s="18" t="n">
        <f aca="false">COUNTIFS(選手一覧!$C$7:$C$2738,A377,選手一覧!$K$7:$K$2738,"&lt;=100")</f>
        <v>0</v>
      </c>
      <c r="H377" s="17" t="n">
        <f aca="false">COUNTIF(選手一覧!$C$7:$C$2738,A377)</f>
        <v>1</v>
      </c>
    </row>
    <row r="378" customFormat="false" ht="15" hidden="false" customHeight="false" outlineLevel="0" collapsed="false">
      <c r="A378" s="12" t="s">
        <v>1677</v>
      </c>
      <c r="B378" s="22" t="n">
        <f aca="false">COUNTIFS(選手一覧!$C$7:$C$2738,A378,選手一覧!$E$7:$E$2738,"&lt;=100")</f>
        <v>0</v>
      </c>
      <c r="C378" s="18" t="n">
        <f aca="false">COUNTIFS(選手一覧!$C$7:$C$2738,A378,選手一覧!$E$7:$E$2738,"&gt;0")</f>
        <v>1</v>
      </c>
      <c r="D378" s="14" t="n">
        <f aca="false">IF(C378=0,"",_xlfn.MINIFS(選手一覧!$E$7:$E$2738,選手一覧!$C$7:$C$2738,A378))</f>
        <v>1034</v>
      </c>
      <c r="E378" s="20"/>
      <c r="F378" s="18" t="n">
        <f aca="false">COUNTIFS(選手一覧!$C$7:$C$2738,A378,選手一覧!$I$7:$I$2738,"&lt;=100")</f>
        <v>0</v>
      </c>
      <c r="G378" s="18" t="n">
        <f aca="false">COUNTIFS(選手一覧!$C$7:$C$2738,A378,選手一覧!$K$7:$K$2738,"&lt;=100")</f>
        <v>0</v>
      </c>
      <c r="H378" s="17" t="n">
        <f aca="false">COUNTIF(選手一覧!$C$7:$C$2738,A378)</f>
        <v>3</v>
      </c>
    </row>
    <row r="379" customFormat="false" ht="15" hidden="false" customHeight="false" outlineLevel="0" collapsed="false">
      <c r="A379" s="12" t="s">
        <v>1682</v>
      </c>
      <c r="B379" s="22" t="n">
        <f aca="false">COUNTIFS(選手一覧!$C$7:$C$2738,A379,選手一覧!$E$7:$E$2738,"&lt;=100")</f>
        <v>0</v>
      </c>
      <c r="C379" s="18" t="n">
        <f aca="false">COUNTIFS(選手一覧!$C$7:$C$2738,A379,選手一覧!$E$7:$E$2738,"&gt;0")</f>
        <v>1</v>
      </c>
      <c r="D379" s="14" t="n">
        <f aca="false">IF(C379=0,"",_xlfn.MINIFS(選手一覧!$E$7:$E$2738,選手一覧!$C$7:$C$2738,A379))</f>
        <v>1038</v>
      </c>
      <c r="E379" s="20"/>
      <c r="F379" s="18" t="n">
        <f aca="false">COUNTIFS(選手一覧!$C$7:$C$2738,A379,選手一覧!$I$7:$I$2738,"&lt;=100")</f>
        <v>0</v>
      </c>
      <c r="G379" s="18" t="n">
        <f aca="false">COUNTIFS(選手一覧!$C$7:$C$2738,A379,選手一覧!$K$7:$K$2738,"&lt;=100")</f>
        <v>0</v>
      </c>
      <c r="H379" s="17" t="n">
        <f aca="false">COUNTIF(選手一覧!$C$7:$C$2738,A379)</f>
        <v>3</v>
      </c>
    </row>
    <row r="380" customFormat="false" ht="15" hidden="false" customHeight="false" outlineLevel="0" collapsed="false">
      <c r="A380" s="12" t="s">
        <v>1684</v>
      </c>
      <c r="B380" s="22" t="n">
        <f aca="false">COUNTIFS(選手一覧!$C$7:$C$2738,A380,選手一覧!$E$7:$E$2738,"&lt;=100")</f>
        <v>0</v>
      </c>
      <c r="C380" s="18" t="n">
        <f aca="false">COUNTIFS(選手一覧!$C$7:$C$2738,A380,選手一覧!$E$7:$E$2738,"&gt;0")</f>
        <v>1</v>
      </c>
      <c r="D380" s="14" t="n">
        <f aca="false">IF(C380=0,"",_xlfn.MINIFS(選手一覧!$E$7:$E$2738,選手一覧!$C$7:$C$2738,A380))</f>
        <v>1039</v>
      </c>
      <c r="E380" s="20"/>
      <c r="F380" s="18" t="n">
        <f aca="false">COUNTIFS(選手一覧!$C$7:$C$2738,A380,選手一覧!$I$7:$I$2738,"&lt;=100")</f>
        <v>0</v>
      </c>
      <c r="G380" s="18" t="n">
        <f aca="false">COUNTIFS(選手一覧!$C$7:$C$2738,A380,選手一覧!$K$7:$K$2738,"&lt;=100")</f>
        <v>0</v>
      </c>
      <c r="H380" s="17" t="n">
        <f aca="false">COUNTIF(選手一覧!$C$7:$C$2738,A380)</f>
        <v>2</v>
      </c>
    </row>
    <row r="381" customFormat="false" ht="15" hidden="false" customHeight="false" outlineLevel="0" collapsed="false">
      <c r="A381" s="12" t="s">
        <v>1688</v>
      </c>
      <c r="B381" s="22" t="n">
        <f aca="false">COUNTIFS(選手一覧!$C$7:$C$2738,A381,選手一覧!$E$7:$E$2738,"&lt;=100")</f>
        <v>0</v>
      </c>
      <c r="C381" s="18" t="n">
        <f aca="false">COUNTIFS(選手一覧!$C$7:$C$2738,A381,選手一覧!$E$7:$E$2738,"&gt;0")</f>
        <v>1</v>
      </c>
      <c r="D381" s="14" t="n">
        <f aca="false">IF(C381=0,"",_xlfn.MINIFS(選手一覧!$E$7:$E$2738,選手一覧!$C$7:$C$2738,A381))</f>
        <v>1042</v>
      </c>
      <c r="E381" s="20"/>
      <c r="F381" s="18" t="n">
        <f aca="false">COUNTIFS(選手一覧!$C$7:$C$2738,A381,選手一覧!$I$7:$I$2738,"&lt;=100")</f>
        <v>0</v>
      </c>
      <c r="G381" s="18" t="n">
        <f aca="false">COUNTIFS(選手一覧!$C$7:$C$2738,A381,選手一覧!$K$7:$K$2738,"&lt;=100")</f>
        <v>0</v>
      </c>
      <c r="H381" s="17" t="n">
        <f aca="false">COUNTIF(選手一覧!$C$7:$C$2738,A381)</f>
        <v>3</v>
      </c>
    </row>
    <row r="382" customFormat="false" ht="15" hidden="false" customHeight="false" outlineLevel="0" collapsed="false">
      <c r="A382" s="12" t="s">
        <v>1692</v>
      </c>
      <c r="B382" s="22" t="n">
        <f aca="false">COUNTIFS(選手一覧!$C$7:$C$2738,A382,選手一覧!$E$7:$E$2738,"&lt;=100")</f>
        <v>0</v>
      </c>
      <c r="C382" s="18" t="n">
        <f aca="false">COUNTIFS(選手一覧!$C$7:$C$2738,A382,選手一覧!$E$7:$E$2738,"&gt;0")</f>
        <v>1</v>
      </c>
      <c r="D382" s="14" t="n">
        <f aca="false">IF(C382=0,"",_xlfn.MINIFS(選手一覧!$E$7:$E$2738,選手一覧!$C$7:$C$2738,A382))</f>
        <v>1044</v>
      </c>
      <c r="E382" s="20"/>
      <c r="F382" s="18" t="n">
        <f aca="false">COUNTIFS(選手一覧!$C$7:$C$2738,A382,選手一覧!$I$7:$I$2738,"&lt;=100")</f>
        <v>0</v>
      </c>
      <c r="G382" s="18" t="n">
        <f aca="false">COUNTIFS(選手一覧!$C$7:$C$2738,A382,選手一覧!$K$7:$K$2738,"&lt;=100")</f>
        <v>0</v>
      </c>
      <c r="H382" s="17" t="n">
        <f aca="false">COUNTIF(選手一覧!$C$7:$C$2738,A382)</f>
        <v>4</v>
      </c>
    </row>
    <row r="383" customFormat="false" ht="15" hidden="false" customHeight="false" outlineLevel="0" collapsed="false">
      <c r="A383" s="12" t="s">
        <v>1694</v>
      </c>
      <c r="B383" s="22" t="n">
        <f aca="false">COUNTIFS(選手一覧!$C$7:$C$2738,A383,選手一覧!$E$7:$E$2738,"&lt;=100")</f>
        <v>0</v>
      </c>
      <c r="C383" s="18" t="n">
        <f aca="false">COUNTIFS(選手一覧!$C$7:$C$2738,A383,選手一覧!$E$7:$E$2738,"&gt;0")</f>
        <v>1</v>
      </c>
      <c r="D383" s="14" t="n">
        <f aca="false">IF(C383=0,"",_xlfn.MINIFS(選手一覧!$E$7:$E$2738,選手一覧!$C$7:$C$2738,A383))</f>
        <v>1045</v>
      </c>
      <c r="E383" s="20"/>
      <c r="F383" s="18" t="n">
        <f aca="false">COUNTIFS(選手一覧!$C$7:$C$2738,A383,選手一覧!$I$7:$I$2738,"&lt;=100")</f>
        <v>0</v>
      </c>
      <c r="G383" s="18" t="n">
        <f aca="false">COUNTIFS(選手一覧!$C$7:$C$2738,A383,選手一覧!$K$7:$K$2738,"&lt;=100")</f>
        <v>0</v>
      </c>
      <c r="H383" s="17" t="n">
        <f aca="false">COUNTIF(選手一覧!$C$7:$C$2738,A383)</f>
        <v>1</v>
      </c>
    </row>
    <row r="384" customFormat="false" ht="15" hidden="false" customHeight="false" outlineLevel="0" collapsed="false">
      <c r="A384" s="12" t="s">
        <v>1700</v>
      </c>
      <c r="B384" s="22" t="n">
        <f aca="false">COUNTIFS(選手一覧!$C$7:$C$2738,A384,選手一覧!$E$7:$E$2738,"&lt;=100")</f>
        <v>0</v>
      </c>
      <c r="C384" s="18" t="n">
        <f aca="false">COUNTIFS(選手一覧!$C$7:$C$2738,A384,選手一覧!$E$7:$E$2738,"&gt;0")</f>
        <v>1</v>
      </c>
      <c r="D384" s="14" t="n">
        <f aca="false">IF(C384=0,"",_xlfn.MINIFS(選手一覧!$E$7:$E$2738,選手一覧!$C$7:$C$2738,A384))</f>
        <v>1049</v>
      </c>
      <c r="E384" s="20"/>
      <c r="F384" s="18" t="n">
        <f aca="false">COUNTIFS(選手一覧!$C$7:$C$2738,A384,選手一覧!$I$7:$I$2738,"&lt;=100")</f>
        <v>0</v>
      </c>
      <c r="G384" s="18" t="n">
        <f aca="false">COUNTIFS(選手一覧!$C$7:$C$2738,A384,選手一覧!$K$7:$K$2738,"&lt;=100")</f>
        <v>0</v>
      </c>
      <c r="H384" s="17" t="n">
        <f aca="false">COUNTIF(選手一覧!$C$7:$C$2738,A384)</f>
        <v>1</v>
      </c>
    </row>
    <row r="385" customFormat="false" ht="15" hidden="false" customHeight="false" outlineLevel="0" collapsed="false">
      <c r="A385" s="12" t="s">
        <v>1703</v>
      </c>
      <c r="B385" s="22" t="n">
        <f aca="false">COUNTIFS(選手一覧!$C$7:$C$2738,A385,選手一覧!$E$7:$E$2738,"&lt;=100")</f>
        <v>0</v>
      </c>
      <c r="C385" s="18" t="n">
        <f aca="false">COUNTIFS(選手一覧!$C$7:$C$2738,A385,選手一覧!$E$7:$E$2738,"&gt;0")</f>
        <v>1</v>
      </c>
      <c r="D385" s="14" t="n">
        <f aca="false">IF(C385=0,"",_xlfn.MINIFS(選手一覧!$E$7:$E$2738,選手一覧!$C$7:$C$2738,A385))</f>
        <v>1051</v>
      </c>
      <c r="E385" s="20"/>
      <c r="F385" s="18" t="n">
        <f aca="false">COUNTIFS(選手一覧!$C$7:$C$2738,A385,選手一覧!$I$7:$I$2738,"&lt;=100")</f>
        <v>0</v>
      </c>
      <c r="G385" s="18" t="n">
        <f aca="false">COUNTIFS(選手一覧!$C$7:$C$2738,A385,選手一覧!$K$7:$K$2738,"&lt;=100")</f>
        <v>0</v>
      </c>
      <c r="H385" s="17" t="n">
        <f aca="false">COUNTIF(選手一覧!$C$7:$C$2738,A385)</f>
        <v>1</v>
      </c>
    </row>
    <row r="386" customFormat="false" ht="15" hidden="false" customHeight="false" outlineLevel="0" collapsed="false">
      <c r="A386" s="12" t="s">
        <v>1707</v>
      </c>
      <c r="B386" s="22" t="n">
        <f aca="false">COUNTIFS(選手一覧!$C$7:$C$2738,A386,選手一覧!$E$7:$E$2738,"&lt;=100")</f>
        <v>0</v>
      </c>
      <c r="C386" s="18" t="n">
        <f aca="false">COUNTIFS(選手一覧!$C$7:$C$2738,A386,選手一覧!$E$7:$E$2738,"&gt;0")</f>
        <v>1</v>
      </c>
      <c r="D386" s="14" t="n">
        <f aca="false">IF(C386=0,"",_xlfn.MINIFS(選手一覧!$E$7:$E$2738,選手一覧!$C$7:$C$2738,A386))</f>
        <v>1053</v>
      </c>
      <c r="E386" s="20"/>
      <c r="F386" s="18" t="n">
        <f aca="false">COUNTIFS(選手一覧!$C$7:$C$2738,A386,選手一覧!$I$7:$I$2738,"&lt;=100")</f>
        <v>0</v>
      </c>
      <c r="G386" s="18" t="n">
        <f aca="false">COUNTIFS(選手一覧!$C$7:$C$2738,A386,選手一覧!$K$7:$K$2738,"&lt;=100")</f>
        <v>0</v>
      </c>
      <c r="H386" s="17" t="n">
        <f aca="false">COUNTIF(選手一覧!$C$7:$C$2738,A386)</f>
        <v>3</v>
      </c>
    </row>
    <row r="387" customFormat="false" ht="15" hidden="false" customHeight="false" outlineLevel="0" collapsed="false">
      <c r="A387" s="12" t="s">
        <v>1710</v>
      </c>
      <c r="B387" s="22" t="n">
        <f aca="false">COUNTIFS(選手一覧!$C$7:$C$2738,A387,選手一覧!$E$7:$E$2738,"&lt;=100")</f>
        <v>0</v>
      </c>
      <c r="C387" s="18" t="n">
        <f aca="false">COUNTIFS(選手一覧!$C$7:$C$2738,A387,選手一覧!$E$7:$E$2738,"&gt;0")</f>
        <v>1</v>
      </c>
      <c r="D387" s="14" t="n">
        <f aca="false">IF(C387=0,"",_xlfn.MINIFS(選手一覧!$E$7:$E$2738,選手一覧!$C$7:$C$2738,A387))</f>
        <v>1055</v>
      </c>
      <c r="E387" s="20"/>
      <c r="F387" s="18" t="n">
        <f aca="false">COUNTIFS(選手一覧!$C$7:$C$2738,A387,選手一覧!$I$7:$I$2738,"&lt;=100")</f>
        <v>0</v>
      </c>
      <c r="G387" s="18" t="n">
        <f aca="false">COUNTIFS(選手一覧!$C$7:$C$2738,A387,選手一覧!$K$7:$K$2738,"&lt;=100")</f>
        <v>0</v>
      </c>
      <c r="H387" s="17" t="n">
        <f aca="false">COUNTIF(選手一覧!$C$7:$C$2738,A387)</f>
        <v>1</v>
      </c>
    </row>
    <row r="388" customFormat="false" ht="15" hidden="false" customHeight="false" outlineLevel="0" collapsed="false">
      <c r="A388" s="12" t="s">
        <v>1716</v>
      </c>
      <c r="B388" s="22" t="n">
        <f aca="false">COUNTIFS(選手一覧!$C$7:$C$2738,A388,選手一覧!$E$7:$E$2738,"&lt;=100")</f>
        <v>0</v>
      </c>
      <c r="C388" s="18" t="n">
        <f aca="false">COUNTIFS(選手一覧!$C$7:$C$2738,A388,選手一覧!$E$7:$E$2738,"&gt;0")</f>
        <v>1</v>
      </c>
      <c r="D388" s="14" t="n">
        <f aca="false">IF(C388=0,"",_xlfn.MINIFS(選手一覧!$E$7:$E$2738,選手一覧!$C$7:$C$2738,A388))</f>
        <v>1060</v>
      </c>
      <c r="E388" s="20"/>
      <c r="F388" s="18" t="n">
        <f aca="false">COUNTIFS(選手一覧!$C$7:$C$2738,A388,選手一覧!$I$7:$I$2738,"&lt;=100")</f>
        <v>0</v>
      </c>
      <c r="G388" s="18" t="n">
        <f aca="false">COUNTIFS(選手一覧!$C$7:$C$2738,A388,選手一覧!$K$7:$K$2738,"&lt;=100")</f>
        <v>0</v>
      </c>
      <c r="H388" s="17" t="n">
        <f aca="false">COUNTIF(選手一覧!$C$7:$C$2738,A388)</f>
        <v>2</v>
      </c>
    </row>
    <row r="389" customFormat="false" ht="15" hidden="false" customHeight="false" outlineLevel="0" collapsed="false">
      <c r="A389" s="12" t="s">
        <v>1721</v>
      </c>
      <c r="B389" s="22" t="n">
        <f aca="false">COUNTIFS(選手一覧!$C$7:$C$2738,A389,選手一覧!$E$7:$E$2738,"&lt;=100")</f>
        <v>0</v>
      </c>
      <c r="C389" s="18" t="n">
        <f aca="false">COUNTIFS(選手一覧!$C$7:$C$2738,A389,選手一覧!$E$7:$E$2738,"&gt;0")</f>
        <v>1</v>
      </c>
      <c r="D389" s="14" t="n">
        <f aca="false">IF(C389=0,"",_xlfn.MINIFS(選手一覧!$E$7:$E$2738,選手一覧!$C$7:$C$2738,A389))</f>
        <v>1064</v>
      </c>
      <c r="E389" s="20"/>
      <c r="F389" s="18" t="n">
        <f aca="false">COUNTIFS(選手一覧!$C$7:$C$2738,A389,選手一覧!$I$7:$I$2738,"&lt;=100")</f>
        <v>0</v>
      </c>
      <c r="G389" s="18" t="n">
        <f aca="false">COUNTIFS(選手一覧!$C$7:$C$2738,A389,選手一覧!$K$7:$K$2738,"&lt;=100")</f>
        <v>0</v>
      </c>
      <c r="H389" s="17" t="n">
        <f aca="false">COUNTIF(選手一覧!$C$7:$C$2738,A389)</f>
        <v>3</v>
      </c>
    </row>
    <row r="390" customFormat="false" ht="15" hidden="false" customHeight="false" outlineLevel="0" collapsed="false">
      <c r="A390" s="12" t="s">
        <v>1724</v>
      </c>
      <c r="B390" s="22" t="n">
        <f aca="false">COUNTIFS(選手一覧!$C$7:$C$2738,A390,選手一覧!$E$7:$E$2738,"&lt;=100")</f>
        <v>0</v>
      </c>
      <c r="C390" s="18" t="n">
        <f aca="false">COUNTIFS(選手一覧!$C$7:$C$2738,A390,選手一覧!$E$7:$E$2738,"&gt;0")</f>
        <v>1</v>
      </c>
      <c r="D390" s="14" t="n">
        <f aca="false">IF(C390=0,"",_xlfn.MINIFS(選手一覧!$E$7:$E$2738,選手一覧!$C$7:$C$2738,A390))</f>
        <v>1065</v>
      </c>
      <c r="E390" s="20"/>
      <c r="F390" s="18" t="n">
        <f aca="false">COUNTIFS(選手一覧!$C$7:$C$2738,A390,選手一覧!$I$7:$I$2738,"&lt;=100")</f>
        <v>0</v>
      </c>
      <c r="G390" s="18" t="n">
        <f aca="false">COUNTIFS(選手一覧!$C$7:$C$2738,A390,選手一覧!$K$7:$K$2738,"&lt;=100")</f>
        <v>0</v>
      </c>
      <c r="H390" s="17" t="n">
        <f aca="false">COUNTIF(選手一覧!$C$7:$C$2738,A390)</f>
        <v>1</v>
      </c>
    </row>
    <row r="391" customFormat="false" ht="15" hidden="false" customHeight="false" outlineLevel="0" collapsed="false">
      <c r="A391" s="12" t="s">
        <v>1729</v>
      </c>
      <c r="B391" s="22" t="n">
        <f aca="false">COUNTIFS(選手一覧!$C$7:$C$2738,A391,選手一覧!$E$7:$E$2738,"&lt;=100")</f>
        <v>0</v>
      </c>
      <c r="C391" s="18" t="n">
        <f aca="false">COUNTIFS(選手一覧!$C$7:$C$2738,A391,選手一覧!$E$7:$E$2738,"&gt;0")</f>
        <v>1</v>
      </c>
      <c r="D391" s="14" t="n">
        <f aca="false">IF(C391=0,"",_xlfn.MINIFS(選手一覧!$E$7:$E$2738,選手一覧!$C$7:$C$2738,A391))</f>
        <v>1069</v>
      </c>
      <c r="E391" s="20"/>
      <c r="F391" s="18" t="n">
        <f aca="false">COUNTIFS(選手一覧!$C$7:$C$2738,A391,選手一覧!$I$7:$I$2738,"&lt;=100")</f>
        <v>0</v>
      </c>
      <c r="G391" s="18" t="n">
        <f aca="false">COUNTIFS(選手一覧!$C$7:$C$2738,A391,選手一覧!$K$7:$K$2738,"&lt;=100")</f>
        <v>0</v>
      </c>
      <c r="H391" s="17" t="n">
        <f aca="false">COUNTIF(選手一覧!$C$7:$C$2738,A391)</f>
        <v>2</v>
      </c>
    </row>
    <row r="392" customFormat="false" ht="15" hidden="false" customHeight="false" outlineLevel="0" collapsed="false">
      <c r="A392" s="12" t="s">
        <v>1734</v>
      </c>
      <c r="B392" s="22" t="n">
        <f aca="false">COUNTIFS(選手一覧!$C$7:$C$2738,A392,選手一覧!$E$7:$E$2738,"&lt;=100")</f>
        <v>0</v>
      </c>
      <c r="C392" s="18" t="n">
        <f aca="false">COUNTIFS(選手一覧!$C$7:$C$2738,A392,選手一覧!$E$7:$E$2738,"&gt;0")</f>
        <v>1</v>
      </c>
      <c r="D392" s="14" t="n">
        <f aca="false">IF(C392=0,"",_xlfn.MINIFS(選手一覧!$E$7:$E$2738,選手一覧!$C$7:$C$2738,A392))</f>
        <v>1072</v>
      </c>
      <c r="E392" s="20"/>
      <c r="F392" s="18" t="n">
        <f aca="false">COUNTIFS(選手一覧!$C$7:$C$2738,A392,選手一覧!$I$7:$I$2738,"&lt;=100")</f>
        <v>0</v>
      </c>
      <c r="G392" s="18" t="n">
        <f aca="false">COUNTIFS(選手一覧!$C$7:$C$2738,A392,選手一覧!$K$7:$K$2738,"&lt;=100")</f>
        <v>0</v>
      </c>
      <c r="H392" s="17" t="n">
        <f aca="false">COUNTIF(選手一覧!$C$7:$C$2738,A392)</f>
        <v>2</v>
      </c>
    </row>
    <row r="393" customFormat="false" ht="15" hidden="false" customHeight="false" outlineLevel="0" collapsed="false">
      <c r="A393" s="12" t="s">
        <v>1738</v>
      </c>
      <c r="B393" s="22" t="n">
        <f aca="false">COUNTIFS(選手一覧!$C$7:$C$2738,A393,選手一覧!$E$7:$E$2738,"&lt;=100")</f>
        <v>0</v>
      </c>
      <c r="C393" s="18" t="n">
        <f aca="false">COUNTIFS(選手一覧!$C$7:$C$2738,A393,選手一覧!$E$7:$E$2738,"&gt;0")</f>
        <v>1</v>
      </c>
      <c r="D393" s="14" t="n">
        <f aca="false">IF(C393=0,"",_xlfn.MINIFS(選手一覧!$E$7:$E$2738,選手一覧!$C$7:$C$2738,A393))</f>
        <v>1074</v>
      </c>
      <c r="E393" s="20"/>
      <c r="F393" s="18" t="n">
        <f aca="false">COUNTIFS(選手一覧!$C$7:$C$2738,A393,選手一覧!$I$7:$I$2738,"&lt;=100")</f>
        <v>0</v>
      </c>
      <c r="G393" s="18" t="n">
        <f aca="false">COUNTIFS(選手一覧!$C$7:$C$2738,A393,選手一覧!$K$7:$K$2738,"&lt;=100")</f>
        <v>0</v>
      </c>
      <c r="H393" s="17" t="n">
        <f aca="false">COUNTIF(選手一覧!$C$7:$C$2738,A393)</f>
        <v>1</v>
      </c>
    </row>
    <row r="394" customFormat="false" ht="15" hidden="false" customHeight="false" outlineLevel="0" collapsed="false">
      <c r="A394" s="12" t="s">
        <v>1740</v>
      </c>
      <c r="B394" s="22" t="n">
        <f aca="false">COUNTIFS(選手一覧!$C$7:$C$2738,A394,選手一覧!$E$7:$E$2738,"&lt;=100")</f>
        <v>0</v>
      </c>
      <c r="C394" s="18" t="n">
        <f aca="false">COUNTIFS(選手一覧!$C$7:$C$2738,A394,選手一覧!$E$7:$E$2738,"&gt;0")</f>
        <v>1</v>
      </c>
      <c r="D394" s="14" t="n">
        <f aca="false">IF(C394=0,"",_xlfn.MINIFS(選手一覧!$E$7:$E$2738,選手一覧!$C$7:$C$2738,A394))</f>
        <v>1075</v>
      </c>
      <c r="E394" s="20"/>
      <c r="F394" s="18" t="n">
        <f aca="false">COUNTIFS(選手一覧!$C$7:$C$2738,A394,選手一覧!$I$7:$I$2738,"&lt;=100")</f>
        <v>0</v>
      </c>
      <c r="G394" s="18" t="n">
        <f aca="false">COUNTIFS(選手一覧!$C$7:$C$2738,A394,選手一覧!$K$7:$K$2738,"&lt;=100")</f>
        <v>0</v>
      </c>
      <c r="H394" s="17" t="n">
        <f aca="false">COUNTIF(選手一覧!$C$7:$C$2738,A394)</f>
        <v>3</v>
      </c>
    </row>
    <row r="395" customFormat="false" ht="15" hidden="false" customHeight="false" outlineLevel="0" collapsed="false">
      <c r="A395" s="12" t="s">
        <v>1746</v>
      </c>
      <c r="B395" s="22" t="n">
        <f aca="false">COUNTIFS(選手一覧!$C$7:$C$2738,A395,選手一覧!$E$7:$E$2738,"&lt;=100")</f>
        <v>0</v>
      </c>
      <c r="C395" s="18" t="n">
        <f aca="false">COUNTIFS(選手一覧!$C$7:$C$2738,A395,選手一覧!$E$7:$E$2738,"&gt;0")</f>
        <v>1</v>
      </c>
      <c r="D395" s="14" t="n">
        <f aca="false">IF(C395=0,"",_xlfn.MINIFS(選手一覧!$E$7:$E$2738,選手一覧!$C$7:$C$2738,A395))</f>
        <v>1080</v>
      </c>
      <c r="E395" s="20"/>
      <c r="F395" s="18" t="n">
        <f aca="false">COUNTIFS(選手一覧!$C$7:$C$2738,A395,選手一覧!$I$7:$I$2738,"&lt;=100")</f>
        <v>0</v>
      </c>
      <c r="G395" s="18" t="n">
        <f aca="false">COUNTIFS(選手一覧!$C$7:$C$2738,A395,選手一覧!$K$7:$K$2738,"&lt;=100")</f>
        <v>0</v>
      </c>
      <c r="H395" s="17" t="n">
        <f aca="false">COUNTIF(選手一覧!$C$7:$C$2738,A395)</f>
        <v>2</v>
      </c>
    </row>
    <row r="396" customFormat="false" ht="15" hidden="false" customHeight="false" outlineLevel="0" collapsed="false">
      <c r="A396" s="12" t="s">
        <v>1751</v>
      </c>
      <c r="B396" s="22" t="n">
        <f aca="false">COUNTIFS(選手一覧!$C$7:$C$2738,A396,選手一覧!$E$7:$E$2738,"&lt;=100")</f>
        <v>0</v>
      </c>
      <c r="C396" s="18" t="n">
        <f aca="false">COUNTIFS(選手一覧!$C$7:$C$2738,A396,選手一覧!$E$7:$E$2738,"&gt;0")</f>
        <v>1</v>
      </c>
      <c r="D396" s="14" t="n">
        <f aca="false">IF(C396=0,"",_xlfn.MINIFS(選手一覧!$E$7:$E$2738,選手一覧!$C$7:$C$2738,A396))</f>
        <v>1082</v>
      </c>
      <c r="E396" s="20"/>
      <c r="F396" s="18" t="n">
        <f aca="false">COUNTIFS(選手一覧!$C$7:$C$2738,A396,選手一覧!$I$7:$I$2738,"&lt;=100")</f>
        <v>0</v>
      </c>
      <c r="G396" s="18" t="n">
        <f aca="false">COUNTIFS(選手一覧!$C$7:$C$2738,A396,選手一覧!$K$7:$K$2738,"&lt;=100")</f>
        <v>0</v>
      </c>
      <c r="H396" s="17" t="n">
        <f aca="false">COUNTIF(選手一覧!$C$7:$C$2738,A396)</f>
        <v>1</v>
      </c>
    </row>
    <row r="397" customFormat="false" ht="15" hidden="false" customHeight="false" outlineLevel="0" collapsed="false">
      <c r="A397" s="12" t="s">
        <v>1756</v>
      </c>
      <c r="B397" s="22" t="n">
        <f aca="false">COUNTIFS(選手一覧!$C$7:$C$2738,A397,選手一覧!$E$7:$E$2738,"&lt;=100")</f>
        <v>0</v>
      </c>
      <c r="C397" s="18" t="n">
        <f aca="false">COUNTIFS(選手一覧!$C$7:$C$2738,A397,選手一覧!$E$7:$E$2738,"&gt;0")</f>
        <v>1</v>
      </c>
      <c r="D397" s="14" t="n">
        <f aca="false">IF(C397=0,"",_xlfn.MINIFS(選手一覧!$E$7:$E$2738,選手一覧!$C$7:$C$2738,A397))</f>
        <v>1086</v>
      </c>
      <c r="E397" s="20"/>
      <c r="F397" s="18" t="n">
        <f aca="false">COUNTIFS(選手一覧!$C$7:$C$2738,A397,選手一覧!$I$7:$I$2738,"&lt;=100")</f>
        <v>1</v>
      </c>
      <c r="G397" s="18" t="n">
        <f aca="false">COUNTIFS(選手一覧!$C$7:$C$2738,A397,選手一覧!$K$7:$K$2738,"&lt;=100")</f>
        <v>0</v>
      </c>
      <c r="H397" s="17" t="n">
        <f aca="false">COUNTIF(選手一覧!$C$7:$C$2738,A397)</f>
        <v>1</v>
      </c>
    </row>
    <row r="398" customFormat="false" ht="15" hidden="false" customHeight="false" outlineLevel="0" collapsed="false">
      <c r="A398" s="12" t="s">
        <v>1760</v>
      </c>
      <c r="B398" s="22" t="n">
        <f aca="false">COUNTIFS(選手一覧!$C$7:$C$2738,A398,選手一覧!$E$7:$E$2738,"&lt;=100")</f>
        <v>0</v>
      </c>
      <c r="C398" s="18" t="n">
        <f aca="false">COUNTIFS(選手一覧!$C$7:$C$2738,A398,選手一覧!$E$7:$E$2738,"&gt;0")</f>
        <v>1</v>
      </c>
      <c r="D398" s="14" t="n">
        <f aca="false">IF(C398=0,"",_xlfn.MINIFS(選手一覧!$E$7:$E$2738,選手一覧!$C$7:$C$2738,A398))</f>
        <v>1089</v>
      </c>
      <c r="E398" s="20"/>
      <c r="F398" s="18" t="n">
        <f aca="false">COUNTIFS(選手一覧!$C$7:$C$2738,A398,選手一覧!$I$7:$I$2738,"&lt;=100")</f>
        <v>0</v>
      </c>
      <c r="G398" s="18" t="n">
        <f aca="false">COUNTIFS(選手一覧!$C$7:$C$2738,A398,選手一覧!$K$7:$K$2738,"&lt;=100")</f>
        <v>1</v>
      </c>
      <c r="H398" s="17" t="n">
        <f aca="false">COUNTIF(選手一覧!$C$7:$C$2738,A398)</f>
        <v>2</v>
      </c>
    </row>
    <row r="399" customFormat="false" ht="15" hidden="false" customHeight="false" outlineLevel="0" collapsed="false">
      <c r="A399" s="12" t="s">
        <v>1766</v>
      </c>
      <c r="B399" s="22" t="n">
        <f aca="false">COUNTIFS(選手一覧!$C$7:$C$2738,A399,選手一覧!$E$7:$E$2738,"&lt;=100")</f>
        <v>0</v>
      </c>
      <c r="C399" s="18" t="n">
        <f aca="false">COUNTIFS(選手一覧!$C$7:$C$2738,A399,選手一覧!$E$7:$E$2738,"&gt;0")</f>
        <v>1</v>
      </c>
      <c r="D399" s="14" t="n">
        <f aca="false">IF(C399=0,"",_xlfn.MINIFS(選手一覧!$E$7:$E$2738,選手一覧!$C$7:$C$2738,A399))</f>
        <v>1093</v>
      </c>
      <c r="E399" s="20"/>
      <c r="F399" s="18" t="n">
        <f aca="false">COUNTIFS(選手一覧!$C$7:$C$2738,A399,選手一覧!$I$7:$I$2738,"&lt;=100")</f>
        <v>0</v>
      </c>
      <c r="G399" s="18" t="n">
        <f aca="false">COUNTIFS(選手一覧!$C$7:$C$2738,A399,選手一覧!$K$7:$K$2738,"&lt;=100")</f>
        <v>0</v>
      </c>
      <c r="H399" s="17" t="n">
        <f aca="false">COUNTIF(選手一覧!$C$7:$C$2738,A399)</f>
        <v>1</v>
      </c>
    </row>
    <row r="400" customFormat="false" ht="15" hidden="false" customHeight="false" outlineLevel="0" collapsed="false">
      <c r="A400" s="12" t="s">
        <v>1775</v>
      </c>
      <c r="B400" s="22" t="n">
        <f aca="false">COUNTIFS(選手一覧!$C$7:$C$2738,A400,選手一覧!$E$7:$E$2738,"&lt;=100")</f>
        <v>0</v>
      </c>
      <c r="C400" s="18" t="n">
        <f aca="false">COUNTIFS(選手一覧!$C$7:$C$2738,A400,選手一覧!$E$7:$E$2738,"&gt;0")</f>
        <v>1</v>
      </c>
      <c r="D400" s="14" t="n">
        <f aca="false">IF(C400=0,"",_xlfn.MINIFS(選手一覧!$E$7:$E$2738,選手一覧!$C$7:$C$2738,A400))</f>
        <v>1099</v>
      </c>
      <c r="E400" s="20"/>
      <c r="F400" s="18" t="n">
        <f aca="false">COUNTIFS(選手一覧!$C$7:$C$2738,A400,選手一覧!$I$7:$I$2738,"&lt;=100")</f>
        <v>0</v>
      </c>
      <c r="G400" s="18" t="n">
        <f aca="false">COUNTIFS(選手一覧!$C$7:$C$2738,A400,選手一覧!$K$7:$K$2738,"&lt;=100")</f>
        <v>0</v>
      </c>
      <c r="H400" s="17" t="n">
        <f aca="false">COUNTIF(選手一覧!$C$7:$C$2738,A400)</f>
        <v>3</v>
      </c>
    </row>
    <row r="401" customFormat="false" ht="15" hidden="false" customHeight="false" outlineLevel="0" collapsed="false">
      <c r="A401" s="12" t="s">
        <v>1777</v>
      </c>
      <c r="B401" s="22" t="n">
        <f aca="false">COUNTIFS(選手一覧!$C$7:$C$2738,A401,選手一覧!$E$7:$E$2738,"&lt;=100")</f>
        <v>0</v>
      </c>
      <c r="C401" s="18" t="n">
        <f aca="false">COUNTIFS(選手一覧!$C$7:$C$2738,A401,選手一覧!$E$7:$E$2738,"&gt;0")</f>
        <v>1</v>
      </c>
      <c r="D401" s="14" t="n">
        <f aca="false">IF(C401=0,"",_xlfn.MINIFS(選手一覧!$E$7:$E$2738,選手一覧!$C$7:$C$2738,A401))</f>
        <v>1100</v>
      </c>
      <c r="E401" s="20"/>
      <c r="F401" s="18" t="n">
        <f aca="false">COUNTIFS(選手一覧!$C$7:$C$2738,A401,選手一覧!$I$7:$I$2738,"&lt;=100")</f>
        <v>0</v>
      </c>
      <c r="G401" s="18" t="n">
        <f aca="false">COUNTIFS(選手一覧!$C$7:$C$2738,A401,選手一覧!$K$7:$K$2738,"&lt;=100")</f>
        <v>0</v>
      </c>
      <c r="H401" s="17" t="n">
        <f aca="false">COUNTIF(選手一覧!$C$7:$C$2738,A401)</f>
        <v>1</v>
      </c>
    </row>
    <row r="402" customFormat="false" ht="15" hidden="false" customHeight="false" outlineLevel="0" collapsed="false">
      <c r="A402" s="12" t="s">
        <v>1781</v>
      </c>
      <c r="B402" s="22" t="n">
        <f aca="false">COUNTIFS(選手一覧!$C$7:$C$2738,A402,選手一覧!$E$7:$E$2738,"&lt;=100")</f>
        <v>0</v>
      </c>
      <c r="C402" s="18" t="n">
        <f aca="false">COUNTIFS(選手一覧!$C$7:$C$2738,A402,選手一覧!$E$7:$E$2738,"&gt;0")</f>
        <v>1</v>
      </c>
      <c r="D402" s="14" t="n">
        <f aca="false">IF(C402=0,"",_xlfn.MINIFS(選手一覧!$E$7:$E$2738,選手一覧!$C$7:$C$2738,A402))</f>
        <v>1102</v>
      </c>
      <c r="E402" s="20"/>
      <c r="F402" s="18" t="n">
        <f aca="false">COUNTIFS(選手一覧!$C$7:$C$2738,A402,選手一覧!$I$7:$I$2738,"&lt;=100")</f>
        <v>0</v>
      </c>
      <c r="G402" s="18" t="n">
        <f aca="false">COUNTIFS(選手一覧!$C$7:$C$2738,A402,選手一覧!$K$7:$K$2738,"&lt;=100")</f>
        <v>0</v>
      </c>
      <c r="H402" s="17" t="n">
        <f aca="false">COUNTIF(選手一覧!$C$7:$C$2738,A402)</f>
        <v>1</v>
      </c>
    </row>
    <row r="403" customFormat="false" ht="15" hidden="false" customHeight="false" outlineLevel="0" collapsed="false">
      <c r="A403" s="12" t="s">
        <v>1783</v>
      </c>
      <c r="B403" s="22" t="n">
        <f aca="false">COUNTIFS(選手一覧!$C$7:$C$2738,A403,選手一覧!$E$7:$E$2738,"&lt;=100")</f>
        <v>0</v>
      </c>
      <c r="C403" s="18" t="n">
        <f aca="false">COUNTIFS(選手一覧!$C$7:$C$2738,A403,選手一覧!$E$7:$E$2738,"&gt;0")</f>
        <v>1</v>
      </c>
      <c r="D403" s="14" t="n">
        <f aca="false">IF(C403=0,"",_xlfn.MINIFS(選手一覧!$E$7:$E$2738,選手一覧!$C$7:$C$2738,A403))</f>
        <v>1103</v>
      </c>
      <c r="E403" s="20"/>
      <c r="F403" s="18" t="n">
        <f aca="false">COUNTIFS(選手一覧!$C$7:$C$2738,A403,選手一覧!$I$7:$I$2738,"&lt;=100")</f>
        <v>0</v>
      </c>
      <c r="G403" s="18" t="n">
        <f aca="false">COUNTIFS(選手一覧!$C$7:$C$2738,A403,選手一覧!$K$7:$K$2738,"&lt;=100")</f>
        <v>0</v>
      </c>
      <c r="H403" s="17" t="n">
        <f aca="false">COUNTIF(選手一覧!$C$7:$C$2738,A403)</f>
        <v>1</v>
      </c>
    </row>
    <row r="404" customFormat="false" ht="15" hidden="false" customHeight="false" outlineLevel="0" collapsed="false">
      <c r="A404" s="12" t="s">
        <v>1796</v>
      </c>
      <c r="B404" s="22" t="n">
        <f aca="false">COUNTIFS(選手一覧!$C$7:$C$2738,A404,選手一覧!$E$7:$E$2738,"&lt;=100")</f>
        <v>0</v>
      </c>
      <c r="C404" s="18" t="n">
        <f aca="false">COUNTIFS(選手一覧!$C$7:$C$2738,A404,選手一覧!$E$7:$E$2738,"&gt;0")</f>
        <v>1</v>
      </c>
      <c r="D404" s="14" t="n">
        <f aca="false">IF(C404=0,"",_xlfn.MINIFS(選手一覧!$E$7:$E$2738,選手一覧!$C$7:$C$2738,A404))</f>
        <v>1114</v>
      </c>
      <c r="E404" s="20"/>
      <c r="F404" s="18" t="n">
        <f aca="false">COUNTIFS(選手一覧!$C$7:$C$2738,A404,選手一覧!$I$7:$I$2738,"&lt;=100")</f>
        <v>0</v>
      </c>
      <c r="G404" s="18" t="n">
        <f aca="false">COUNTIFS(選手一覧!$C$7:$C$2738,A404,選手一覧!$K$7:$K$2738,"&lt;=100")</f>
        <v>0</v>
      </c>
      <c r="H404" s="17" t="n">
        <f aca="false">COUNTIF(選手一覧!$C$7:$C$2738,A404)</f>
        <v>1</v>
      </c>
    </row>
    <row r="405" customFormat="false" ht="15" hidden="false" customHeight="false" outlineLevel="0" collapsed="false">
      <c r="A405" s="12" t="s">
        <v>1798</v>
      </c>
      <c r="B405" s="22" t="n">
        <f aca="false">COUNTIFS(選手一覧!$C$7:$C$2738,A405,選手一覧!$E$7:$E$2738,"&lt;=100")</f>
        <v>0</v>
      </c>
      <c r="C405" s="18" t="n">
        <f aca="false">COUNTIFS(選手一覧!$C$7:$C$2738,A405,選手一覧!$E$7:$E$2738,"&gt;0")</f>
        <v>1</v>
      </c>
      <c r="D405" s="14" t="n">
        <f aca="false">IF(C405=0,"",_xlfn.MINIFS(選手一覧!$E$7:$E$2738,選手一覧!$C$7:$C$2738,A405))</f>
        <v>1115</v>
      </c>
      <c r="E405" s="20"/>
      <c r="F405" s="18" t="n">
        <f aca="false">COUNTIFS(選手一覧!$C$7:$C$2738,A405,選手一覧!$I$7:$I$2738,"&lt;=100")</f>
        <v>0</v>
      </c>
      <c r="G405" s="18" t="n">
        <f aca="false">COUNTIFS(選手一覧!$C$7:$C$2738,A405,選手一覧!$K$7:$K$2738,"&lt;=100")</f>
        <v>0</v>
      </c>
      <c r="H405" s="17" t="n">
        <f aca="false">COUNTIF(選手一覧!$C$7:$C$2738,A405)</f>
        <v>2</v>
      </c>
    </row>
    <row r="406" customFormat="false" ht="15" hidden="false" customHeight="false" outlineLevel="0" collapsed="false">
      <c r="A406" s="12" t="s">
        <v>1801</v>
      </c>
      <c r="B406" s="22" t="n">
        <f aca="false">COUNTIFS(選手一覧!$C$7:$C$2738,A406,選手一覧!$E$7:$E$2738,"&lt;=100")</f>
        <v>0</v>
      </c>
      <c r="C406" s="18" t="n">
        <f aca="false">COUNTIFS(選手一覧!$C$7:$C$2738,A406,選手一覧!$E$7:$E$2738,"&gt;0")</f>
        <v>1</v>
      </c>
      <c r="D406" s="14" t="n">
        <f aca="false">IF(C406=0,"",_xlfn.MINIFS(選手一覧!$E$7:$E$2738,選手一覧!$C$7:$C$2738,A406))</f>
        <v>1117</v>
      </c>
      <c r="E406" s="20"/>
      <c r="F406" s="18" t="n">
        <f aca="false">COUNTIFS(選手一覧!$C$7:$C$2738,A406,選手一覧!$I$7:$I$2738,"&lt;=100")</f>
        <v>0</v>
      </c>
      <c r="G406" s="18" t="n">
        <f aca="false">COUNTIFS(選手一覧!$C$7:$C$2738,A406,選手一覧!$K$7:$K$2738,"&lt;=100")</f>
        <v>0</v>
      </c>
      <c r="H406" s="17" t="n">
        <f aca="false">COUNTIF(選手一覧!$C$7:$C$2738,A406)</f>
        <v>1</v>
      </c>
    </row>
    <row r="407" customFormat="false" ht="15" hidden="false" customHeight="false" outlineLevel="0" collapsed="false">
      <c r="A407" s="12" t="s">
        <v>1803</v>
      </c>
      <c r="B407" s="22" t="n">
        <f aca="false">COUNTIFS(選手一覧!$C$7:$C$2738,A407,選手一覧!$E$7:$E$2738,"&lt;=100")</f>
        <v>0</v>
      </c>
      <c r="C407" s="18" t="n">
        <f aca="false">COUNTIFS(選手一覧!$C$7:$C$2738,A407,選手一覧!$E$7:$E$2738,"&gt;0")</f>
        <v>1</v>
      </c>
      <c r="D407" s="14" t="n">
        <f aca="false">IF(C407=0,"",_xlfn.MINIFS(選手一覧!$E$7:$E$2738,選手一覧!$C$7:$C$2738,A407))</f>
        <v>1118</v>
      </c>
      <c r="E407" s="20"/>
      <c r="F407" s="18" t="n">
        <f aca="false">COUNTIFS(選手一覧!$C$7:$C$2738,A407,選手一覧!$I$7:$I$2738,"&lt;=100")</f>
        <v>0</v>
      </c>
      <c r="G407" s="18" t="n">
        <f aca="false">COUNTIFS(選手一覧!$C$7:$C$2738,A407,選手一覧!$K$7:$K$2738,"&lt;=100")</f>
        <v>0</v>
      </c>
      <c r="H407" s="17" t="n">
        <f aca="false">COUNTIF(選手一覧!$C$7:$C$2738,A407)</f>
        <v>3</v>
      </c>
    </row>
    <row r="408" customFormat="false" ht="15" hidden="false" customHeight="false" outlineLevel="0" collapsed="false">
      <c r="A408" s="12" t="s">
        <v>1807</v>
      </c>
      <c r="B408" s="22" t="n">
        <f aca="false">COUNTIFS(選手一覧!$C$7:$C$2738,A408,選手一覧!$E$7:$E$2738,"&lt;=100")</f>
        <v>0</v>
      </c>
      <c r="C408" s="18" t="n">
        <f aca="false">COUNTIFS(選手一覧!$C$7:$C$2738,A408,選手一覧!$E$7:$E$2738,"&gt;0")</f>
        <v>1</v>
      </c>
      <c r="D408" s="14" t="n">
        <f aca="false">IF(C408=0,"",_xlfn.MINIFS(選手一覧!$E$7:$E$2738,選手一覧!$C$7:$C$2738,A408))</f>
        <v>1120</v>
      </c>
      <c r="E408" s="20"/>
      <c r="F408" s="18" t="n">
        <f aca="false">COUNTIFS(選手一覧!$C$7:$C$2738,A408,選手一覧!$I$7:$I$2738,"&lt;=100")</f>
        <v>0</v>
      </c>
      <c r="G408" s="18" t="n">
        <f aca="false">COUNTIFS(選手一覧!$C$7:$C$2738,A408,選手一覧!$K$7:$K$2738,"&lt;=100")</f>
        <v>0</v>
      </c>
      <c r="H408" s="17" t="n">
        <f aca="false">COUNTIF(選手一覧!$C$7:$C$2738,A408)</f>
        <v>1</v>
      </c>
    </row>
    <row r="409" customFormat="false" ht="15" hidden="false" customHeight="false" outlineLevel="0" collapsed="false">
      <c r="A409" s="12" t="s">
        <v>1813</v>
      </c>
      <c r="B409" s="22" t="n">
        <f aca="false">COUNTIFS(選手一覧!$C$7:$C$2738,A409,選手一覧!$E$7:$E$2738,"&lt;=100")</f>
        <v>0</v>
      </c>
      <c r="C409" s="18" t="n">
        <f aca="false">COUNTIFS(選手一覧!$C$7:$C$2738,A409,選手一覧!$E$7:$E$2738,"&gt;0")</f>
        <v>1</v>
      </c>
      <c r="D409" s="14" t="n">
        <f aca="false">IF(C409=0,"",_xlfn.MINIFS(選手一覧!$E$7:$E$2738,選手一覧!$C$7:$C$2738,A409))</f>
        <v>1124</v>
      </c>
      <c r="E409" s="20"/>
      <c r="F409" s="18" t="n">
        <f aca="false">COUNTIFS(選手一覧!$C$7:$C$2738,A409,選手一覧!$I$7:$I$2738,"&lt;=100")</f>
        <v>0</v>
      </c>
      <c r="G409" s="18" t="n">
        <f aca="false">COUNTIFS(選手一覧!$C$7:$C$2738,A409,選手一覧!$K$7:$K$2738,"&lt;=100")</f>
        <v>0</v>
      </c>
      <c r="H409" s="17" t="n">
        <f aca="false">COUNTIF(選手一覧!$C$7:$C$2738,A409)</f>
        <v>1</v>
      </c>
    </row>
    <row r="410" customFormat="false" ht="15" hidden="false" customHeight="false" outlineLevel="0" collapsed="false">
      <c r="A410" s="12" t="s">
        <v>1819</v>
      </c>
      <c r="B410" s="22" t="n">
        <f aca="false">COUNTIFS(選手一覧!$C$7:$C$2738,A410,選手一覧!$E$7:$E$2738,"&lt;=100")</f>
        <v>0</v>
      </c>
      <c r="C410" s="18" t="n">
        <f aca="false">COUNTIFS(選手一覧!$C$7:$C$2738,A410,選手一覧!$E$7:$E$2738,"&gt;0")</f>
        <v>1</v>
      </c>
      <c r="D410" s="14" t="n">
        <f aca="false">IF(C410=0,"",_xlfn.MINIFS(選手一覧!$E$7:$E$2738,選手一覧!$C$7:$C$2738,A410))</f>
        <v>1127</v>
      </c>
      <c r="E410" s="20"/>
      <c r="F410" s="18" t="n">
        <f aca="false">COUNTIFS(選手一覧!$C$7:$C$2738,A410,選手一覧!$I$7:$I$2738,"&lt;=100")</f>
        <v>0</v>
      </c>
      <c r="G410" s="18" t="n">
        <f aca="false">COUNTIFS(選手一覧!$C$7:$C$2738,A410,選手一覧!$K$7:$K$2738,"&lt;=100")</f>
        <v>0</v>
      </c>
      <c r="H410" s="17" t="n">
        <f aca="false">COUNTIF(選手一覧!$C$7:$C$2738,A410)</f>
        <v>1</v>
      </c>
    </row>
    <row r="411" customFormat="false" ht="15" hidden="false" customHeight="false" outlineLevel="0" collapsed="false">
      <c r="A411" s="12" t="s">
        <v>1821</v>
      </c>
      <c r="B411" s="22" t="n">
        <f aca="false">COUNTIFS(選手一覧!$C$7:$C$2738,A411,選手一覧!$E$7:$E$2738,"&lt;=100")</f>
        <v>0</v>
      </c>
      <c r="C411" s="18" t="n">
        <f aca="false">COUNTIFS(選手一覧!$C$7:$C$2738,A411,選手一覧!$E$7:$E$2738,"&gt;0")</f>
        <v>1</v>
      </c>
      <c r="D411" s="14" t="n">
        <f aca="false">IF(C411=0,"",_xlfn.MINIFS(選手一覧!$E$7:$E$2738,選手一覧!$C$7:$C$2738,A411))</f>
        <v>1128</v>
      </c>
      <c r="E411" s="20"/>
      <c r="F411" s="18" t="n">
        <f aca="false">COUNTIFS(選手一覧!$C$7:$C$2738,A411,選手一覧!$I$7:$I$2738,"&lt;=100")</f>
        <v>0</v>
      </c>
      <c r="G411" s="18" t="n">
        <f aca="false">COUNTIFS(選手一覧!$C$7:$C$2738,A411,選手一覧!$K$7:$K$2738,"&lt;=100")</f>
        <v>0</v>
      </c>
      <c r="H411" s="17" t="n">
        <f aca="false">COUNTIF(選手一覧!$C$7:$C$2738,A411)</f>
        <v>1</v>
      </c>
    </row>
    <row r="412" customFormat="false" ht="15" hidden="false" customHeight="false" outlineLevel="0" collapsed="false">
      <c r="A412" s="12" t="s">
        <v>1829</v>
      </c>
      <c r="B412" s="22" t="n">
        <f aca="false">COUNTIFS(選手一覧!$C$7:$C$2738,A412,選手一覧!$E$7:$E$2738,"&lt;=100")</f>
        <v>0</v>
      </c>
      <c r="C412" s="18" t="n">
        <f aca="false">COUNTIFS(選手一覧!$C$7:$C$2738,A412,選手一覧!$E$7:$E$2738,"&gt;0")</f>
        <v>1</v>
      </c>
      <c r="D412" s="14" t="n">
        <f aca="false">IF(C412=0,"",_xlfn.MINIFS(選手一覧!$E$7:$E$2738,選手一覧!$C$7:$C$2738,A412))</f>
        <v>1134</v>
      </c>
      <c r="E412" s="20"/>
      <c r="F412" s="18" t="n">
        <f aca="false">COUNTIFS(選手一覧!$C$7:$C$2738,A412,選手一覧!$I$7:$I$2738,"&lt;=100")</f>
        <v>0</v>
      </c>
      <c r="G412" s="18" t="n">
        <f aca="false">COUNTIFS(選手一覧!$C$7:$C$2738,A412,選手一覧!$K$7:$K$2738,"&lt;=100")</f>
        <v>0</v>
      </c>
      <c r="H412" s="17" t="n">
        <f aca="false">COUNTIF(選手一覧!$C$7:$C$2738,A412)</f>
        <v>2</v>
      </c>
    </row>
    <row r="413" customFormat="false" ht="15" hidden="false" customHeight="false" outlineLevel="0" collapsed="false">
      <c r="A413" s="12" t="s">
        <v>1833</v>
      </c>
      <c r="B413" s="22" t="n">
        <f aca="false">COUNTIFS(選手一覧!$C$7:$C$2738,A413,選手一覧!$E$7:$E$2738,"&lt;=100")</f>
        <v>0</v>
      </c>
      <c r="C413" s="18" t="n">
        <f aca="false">COUNTIFS(選手一覧!$C$7:$C$2738,A413,選手一覧!$E$7:$E$2738,"&gt;0")</f>
        <v>1</v>
      </c>
      <c r="D413" s="14" t="n">
        <f aca="false">IF(C413=0,"",_xlfn.MINIFS(選手一覧!$E$7:$E$2738,選手一覧!$C$7:$C$2738,A413))</f>
        <v>1137</v>
      </c>
      <c r="E413" s="20"/>
      <c r="F413" s="18" t="n">
        <f aca="false">COUNTIFS(選手一覧!$C$7:$C$2738,A413,選手一覧!$I$7:$I$2738,"&lt;=100")</f>
        <v>0</v>
      </c>
      <c r="G413" s="18" t="n">
        <f aca="false">COUNTIFS(選手一覧!$C$7:$C$2738,A413,選手一覧!$K$7:$K$2738,"&lt;=100")</f>
        <v>0</v>
      </c>
      <c r="H413" s="17" t="n">
        <f aca="false">COUNTIF(選手一覧!$C$7:$C$2738,A413)</f>
        <v>2</v>
      </c>
    </row>
    <row r="414" customFormat="false" ht="15" hidden="false" customHeight="false" outlineLevel="0" collapsed="false">
      <c r="A414" s="12" t="s">
        <v>1839</v>
      </c>
      <c r="B414" s="22" t="n">
        <f aca="false">COUNTIFS(選手一覧!$C$7:$C$2738,A414,選手一覧!$E$7:$E$2738,"&lt;=100")</f>
        <v>0</v>
      </c>
      <c r="C414" s="18" t="n">
        <f aca="false">COUNTIFS(選手一覧!$C$7:$C$2738,A414,選手一覧!$E$7:$E$2738,"&gt;0")</f>
        <v>1</v>
      </c>
      <c r="D414" s="14" t="n">
        <f aca="false">IF(C414=0,"",_xlfn.MINIFS(選手一覧!$E$7:$E$2738,選手一覧!$C$7:$C$2738,A414))</f>
        <v>1142</v>
      </c>
      <c r="E414" s="20"/>
      <c r="F414" s="18" t="n">
        <f aca="false">COUNTIFS(選手一覧!$C$7:$C$2738,A414,選手一覧!$I$7:$I$2738,"&lt;=100")</f>
        <v>0</v>
      </c>
      <c r="G414" s="18" t="n">
        <f aca="false">COUNTIFS(選手一覧!$C$7:$C$2738,A414,選手一覧!$K$7:$K$2738,"&lt;=100")</f>
        <v>0</v>
      </c>
      <c r="H414" s="17" t="n">
        <f aca="false">COUNTIF(選手一覧!$C$7:$C$2738,A414)</f>
        <v>1</v>
      </c>
    </row>
    <row r="415" customFormat="false" ht="15" hidden="false" customHeight="false" outlineLevel="0" collapsed="false">
      <c r="A415" s="12" t="s">
        <v>1843</v>
      </c>
      <c r="B415" s="22" t="n">
        <f aca="false">COUNTIFS(選手一覧!$C$7:$C$2738,A415,選手一覧!$E$7:$E$2738,"&lt;=100")</f>
        <v>0</v>
      </c>
      <c r="C415" s="18" t="n">
        <f aca="false">COUNTIFS(選手一覧!$C$7:$C$2738,A415,選手一覧!$E$7:$E$2738,"&gt;0")</f>
        <v>1</v>
      </c>
      <c r="D415" s="14" t="n">
        <f aca="false">IF(C415=0,"",_xlfn.MINIFS(選手一覧!$E$7:$E$2738,選手一覧!$C$7:$C$2738,A415))</f>
        <v>1145</v>
      </c>
      <c r="E415" s="20"/>
      <c r="F415" s="18" t="n">
        <f aca="false">COUNTIFS(選手一覧!$C$7:$C$2738,A415,選手一覧!$I$7:$I$2738,"&lt;=100")</f>
        <v>0</v>
      </c>
      <c r="G415" s="18" t="n">
        <f aca="false">COUNTIFS(選手一覧!$C$7:$C$2738,A415,選手一覧!$K$7:$K$2738,"&lt;=100")</f>
        <v>0</v>
      </c>
      <c r="H415" s="17" t="n">
        <f aca="false">COUNTIF(選手一覧!$C$7:$C$2738,A415)</f>
        <v>6</v>
      </c>
    </row>
    <row r="416" customFormat="false" ht="15" hidden="false" customHeight="false" outlineLevel="0" collapsed="false">
      <c r="A416" s="12" t="s">
        <v>1845</v>
      </c>
      <c r="B416" s="22" t="n">
        <f aca="false">COUNTIFS(選手一覧!$C$7:$C$2738,A416,選手一覧!$E$7:$E$2738,"&lt;=100")</f>
        <v>0</v>
      </c>
      <c r="C416" s="18" t="n">
        <f aca="false">COUNTIFS(選手一覧!$C$7:$C$2738,A416,選手一覧!$E$7:$E$2738,"&gt;0")</f>
        <v>1</v>
      </c>
      <c r="D416" s="14" t="n">
        <f aca="false">IF(C416=0,"",_xlfn.MINIFS(選手一覧!$E$7:$E$2738,選手一覧!$C$7:$C$2738,A416))</f>
        <v>1146</v>
      </c>
      <c r="E416" s="20"/>
      <c r="F416" s="18" t="n">
        <f aca="false">COUNTIFS(選手一覧!$C$7:$C$2738,A416,選手一覧!$I$7:$I$2738,"&lt;=100")</f>
        <v>0</v>
      </c>
      <c r="G416" s="18" t="n">
        <f aca="false">COUNTIFS(選手一覧!$C$7:$C$2738,A416,選手一覧!$K$7:$K$2738,"&lt;=100")</f>
        <v>0</v>
      </c>
      <c r="H416" s="17" t="n">
        <f aca="false">COUNTIF(選手一覧!$C$7:$C$2738,A416)</f>
        <v>1</v>
      </c>
    </row>
    <row r="417" customFormat="false" ht="15" hidden="false" customHeight="false" outlineLevel="0" collapsed="false">
      <c r="A417" s="12" t="s">
        <v>1847</v>
      </c>
      <c r="B417" s="22" t="n">
        <f aca="false">COUNTIFS(選手一覧!$C$7:$C$2738,A417,選手一覧!$E$7:$E$2738,"&lt;=100")</f>
        <v>0</v>
      </c>
      <c r="C417" s="18" t="n">
        <f aca="false">COUNTIFS(選手一覧!$C$7:$C$2738,A417,選手一覧!$E$7:$E$2738,"&gt;0")</f>
        <v>1</v>
      </c>
      <c r="D417" s="14" t="n">
        <f aca="false">IF(C417=0,"",_xlfn.MINIFS(選手一覧!$E$7:$E$2738,選手一覧!$C$7:$C$2738,A417))</f>
        <v>1147</v>
      </c>
      <c r="E417" s="20"/>
      <c r="F417" s="18" t="n">
        <f aca="false">COUNTIFS(選手一覧!$C$7:$C$2738,A417,選手一覧!$I$7:$I$2738,"&lt;=100")</f>
        <v>0</v>
      </c>
      <c r="G417" s="18" t="n">
        <f aca="false">COUNTIFS(選手一覧!$C$7:$C$2738,A417,選手一覧!$K$7:$K$2738,"&lt;=100")</f>
        <v>0</v>
      </c>
      <c r="H417" s="17" t="n">
        <f aca="false">COUNTIF(選手一覧!$C$7:$C$2738,A417)</f>
        <v>3</v>
      </c>
    </row>
    <row r="418" customFormat="false" ht="15" hidden="false" customHeight="false" outlineLevel="0" collapsed="false">
      <c r="A418" s="12" t="s">
        <v>1855</v>
      </c>
      <c r="B418" s="22" t="n">
        <f aca="false">COUNTIFS(選手一覧!$C$7:$C$2738,A418,選手一覧!$E$7:$E$2738,"&lt;=100")</f>
        <v>0</v>
      </c>
      <c r="C418" s="18" t="n">
        <f aca="false">COUNTIFS(選手一覧!$C$7:$C$2738,A418,選手一覧!$E$7:$E$2738,"&gt;0")</f>
        <v>1</v>
      </c>
      <c r="D418" s="14" t="n">
        <f aca="false">IF(C418=0,"",_xlfn.MINIFS(選手一覧!$E$7:$E$2738,選手一覧!$C$7:$C$2738,A418))</f>
        <v>1153</v>
      </c>
      <c r="E418" s="20"/>
      <c r="F418" s="18" t="n">
        <f aca="false">COUNTIFS(選手一覧!$C$7:$C$2738,A418,選手一覧!$I$7:$I$2738,"&lt;=100")</f>
        <v>0</v>
      </c>
      <c r="G418" s="18" t="n">
        <f aca="false">COUNTIFS(選手一覧!$C$7:$C$2738,A418,選手一覧!$K$7:$K$2738,"&lt;=100")</f>
        <v>0</v>
      </c>
      <c r="H418" s="17" t="n">
        <f aca="false">COUNTIF(選手一覧!$C$7:$C$2738,A418)</f>
        <v>2</v>
      </c>
    </row>
    <row r="419" customFormat="false" ht="15" hidden="false" customHeight="false" outlineLevel="0" collapsed="false">
      <c r="A419" s="12" t="s">
        <v>1859</v>
      </c>
      <c r="B419" s="22" t="n">
        <f aca="false">COUNTIFS(選手一覧!$C$7:$C$2738,A419,選手一覧!$E$7:$E$2738,"&lt;=100")</f>
        <v>0</v>
      </c>
      <c r="C419" s="18" t="n">
        <f aca="false">COUNTIFS(選手一覧!$C$7:$C$2738,A419,選手一覧!$E$7:$E$2738,"&gt;0")</f>
        <v>1</v>
      </c>
      <c r="D419" s="14" t="n">
        <f aca="false">IF(C419=0,"",_xlfn.MINIFS(選手一覧!$E$7:$E$2738,選手一覧!$C$7:$C$2738,A419))</f>
        <v>1155</v>
      </c>
      <c r="E419" s="20"/>
      <c r="F419" s="18" t="n">
        <f aca="false">COUNTIFS(選手一覧!$C$7:$C$2738,A419,選手一覧!$I$7:$I$2738,"&lt;=100")</f>
        <v>0</v>
      </c>
      <c r="G419" s="18" t="n">
        <f aca="false">COUNTIFS(選手一覧!$C$7:$C$2738,A419,選手一覧!$K$7:$K$2738,"&lt;=100")</f>
        <v>0</v>
      </c>
      <c r="H419" s="17" t="n">
        <f aca="false">COUNTIF(選手一覧!$C$7:$C$2738,A419)</f>
        <v>2</v>
      </c>
    </row>
    <row r="420" customFormat="false" ht="15" hidden="false" customHeight="false" outlineLevel="0" collapsed="false">
      <c r="A420" s="12" t="s">
        <v>1861</v>
      </c>
      <c r="B420" s="22" t="n">
        <f aca="false">COUNTIFS(選手一覧!$C$7:$C$2738,A420,選手一覧!$E$7:$E$2738,"&lt;=100")</f>
        <v>0</v>
      </c>
      <c r="C420" s="18" t="n">
        <f aca="false">COUNTIFS(選手一覧!$C$7:$C$2738,A420,選手一覧!$E$7:$E$2738,"&gt;0")</f>
        <v>1</v>
      </c>
      <c r="D420" s="14" t="n">
        <f aca="false">IF(C420=0,"",_xlfn.MINIFS(選手一覧!$E$7:$E$2738,選手一覧!$C$7:$C$2738,A420))</f>
        <v>1156</v>
      </c>
      <c r="E420" s="20"/>
      <c r="F420" s="18" t="n">
        <f aca="false">COUNTIFS(選手一覧!$C$7:$C$2738,A420,選手一覧!$I$7:$I$2738,"&lt;=100")</f>
        <v>1</v>
      </c>
      <c r="G420" s="18" t="n">
        <f aca="false">COUNTIFS(選手一覧!$C$7:$C$2738,A420,選手一覧!$K$7:$K$2738,"&lt;=100")</f>
        <v>0</v>
      </c>
      <c r="H420" s="17" t="n">
        <f aca="false">COUNTIF(選手一覧!$C$7:$C$2738,A420)</f>
        <v>4</v>
      </c>
    </row>
    <row r="421" customFormat="false" ht="15" hidden="false" customHeight="false" outlineLevel="0" collapsed="false">
      <c r="A421" s="12" t="s">
        <v>1869</v>
      </c>
      <c r="B421" s="22" t="n">
        <f aca="false">COUNTIFS(選手一覧!$C$7:$C$2738,A421,選手一覧!$E$7:$E$2738,"&lt;=100")</f>
        <v>0</v>
      </c>
      <c r="C421" s="18" t="n">
        <f aca="false">COUNTIFS(選手一覧!$C$7:$C$2738,A421,選手一覧!$E$7:$E$2738,"&gt;0")</f>
        <v>1</v>
      </c>
      <c r="D421" s="14" t="n">
        <f aca="false">IF(C421=0,"",_xlfn.MINIFS(選手一覧!$E$7:$E$2738,選手一覧!$C$7:$C$2738,A421))</f>
        <v>1161</v>
      </c>
      <c r="E421" s="20"/>
      <c r="F421" s="18" t="n">
        <f aca="false">COUNTIFS(選手一覧!$C$7:$C$2738,A421,選手一覧!$I$7:$I$2738,"&lt;=100")</f>
        <v>0</v>
      </c>
      <c r="G421" s="18" t="n">
        <f aca="false">COUNTIFS(選手一覧!$C$7:$C$2738,A421,選手一覧!$K$7:$K$2738,"&lt;=100")</f>
        <v>0</v>
      </c>
      <c r="H421" s="17" t="n">
        <f aca="false">COUNTIF(選手一覧!$C$7:$C$2738,A421)</f>
        <v>1</v>
      </c>
    </row>
    <row r="422" customFormat="false" ht="15" hidden="false" customHeight="false" outlineLevel="0" collapsed="false">
      <c r="A422" s="12" t="s">
        <v>1874</v>
      </c>
      <c r="B422" s="22" t="n">
        <f aca="false">COUNTIFS(選手一覧!$C$7:$C$2738,A422,選手一覧!$E$7:$E$2738,"&lt;=100")</f>
        <v>0</v>
      </c>
      <c r="C422" s="18" t="n">
        <f aca="false">COUNTIFS(選手一覧!$C$7:$C$2738,A422,選手一覧!$E$7:$E$2738,"&gt;0")</f>
        <v>1</v>
      </c>
      <c r="D422" s="14" t="n">
        <f aca="false">IF(C422=0,"",_xlfn.MINIFS(選手一覧!$E$7:$E$2738,選手一覧!$C$7:$C$2738,A422))</f>
        <v>1165</v>
      </c>
      <c r="E422" s="20"/>
      <c r="F422" s="18" t="n">
        <f aca="false">COUNTIFS(選手一覧!$C$7:$C$2738,A422,選手一覧!$I$7:$I$2738,"&lt;=100")</f>
        <v>0</v>
      </c>
      <c r="G422" s="18" t="n">
        <f aca="false">COUNTIFS(選手一覧!$C$7:$C$2738,A422,選手一覧!$K$7:$K$2738,"&lt;=100")</f>
        <v>0</v>
      </c>
      <c r="H422" s="17" t="n">
        <f aca="false">COUNTIF(選手一覧!$C$7:$C$2738,A422)</f>
        <v>1</v>
      </c>
    </row>
    <row r="423" customFormat="false" ht="15" hidden="false" customHeight="false" outlineLevel="0" collapsed="false">
      <c r="A423" s="12" t="s">
        <v>1877</v>
      </c>
      <c r="B423" s="22" t="n">
        <f aca="false">COUNTIFS(選手一覧!$C$7:$C$2738,A423,選手一覧!$E$7:$E$2738,"&lt;=100")</f>
        <v>0</v>
      </c>
      <c r="C423" s="18" t="n">
        <f aca="false">COUNTIFS(選手一覧!$C$7:$C$2738,A423,選手一覧!$E$7:$E$2738,"&gt;0")</f>
        <v>1</v>
      </c>
      <c r="D423" s="14" t="n">
        <f aca="false">IF(C423=0,"",_xlfn.MINIFS(選手一覧!$E$7:$E$2738,選手一覧!$C$7:$C$2738,A423))</f>
        <v>1167</v>
      </c>
      <c r="E423" s="20"/>
      <c r="F423" s="18" t="n">
        <f aca="false">COUNTIFS(選手一覧!$C$7:$C$2738,A423,選手一覧!$I$7:$I$2738,"&lt;=100")</f>
        <v>0</v>
      </c>
      <c r="G423" s="18" t="n">
        <f aca="false">COUNTIFS(選手一覧!$C$7:$C$2738,A423,選手一覧!$K$7:$K$2738,"&lt;=100")</f>
        <v>0</v>
      </c>
      <c r="H423" s="17" t="n">
        <f aca="false">COUNTIF(選手一覧!$C$7:$C$2738,A423)</f>
        <v>4</v>
      </c>
    </row>
    <row r="424" customFormat="false" ht="15" hidden="false" customHeight="false" outlineLevel="0" collapsed="false">
      <c r="A424" s="12" t="s">
        <v>1879</v>
      </c>
      <c r="B424" s="22" t="n">
        <f aca="false">COUNTIFS(選手一覧!$C$7:$C$2738,A424,選手一覧!$E$7:$E$2738,"&lt;=100")</f>
        <v>0</v>
      </c>
      <c r="C424" s="18" t="n">
        <f aca="false">COUNTIFS(選手一覧!$C$7:$C$2738,A424,選手一覧!$E$7:$E$2738,"&gt;0")</f>
        <v>1</v>
      </c>
      <c r="D424" s="14" t="n">
        <f aca="false">IF(C424=0,"",_xlfn.MINIFS(選手一覧!$E$7:$E$2738,選手一覧!$C$7:$C$2738,A424))</f>
        <v>1168</v>
      </c>
      <c r="E424" s="20"/>
      <c r="F424" s="18" t="n">
        <f aca="false">COUNTIFS(選手一覧!$C$7:$C$2738,A424,選手一覧!$I$7:$I$2738,"&lt;=100")</f>
        <v>0</v>
      </c>
      <c r="G424" s="18" t="n">
        <f aca="false">COUNTIFS(選手一覧!$C$7:$C$2738,A424,選手一覧!$K$7:$K$2738,"&lt;=100")</f>
        <v>0</v>
      </c>
      <c r="H424" s="17" t="n">
        <f aca="false">COUNTIF(選手一覧!$C$7:$C$2738,A424)</f>
        <v>1</v>
      </c>
    </row>
    <row r="425" customFormat="false" ht="15" hidden="false" customHeight="false" outlineLevel="0" collapsed="false">
      <c r="A425" s="12" t="s">
        <v>1883</v>
      </c>
      <c r="B425" s="22" t="n">
        <f aca="false">COUNTIFS(選手一覧!$C$7:$C$2738,A425,選手一覧!$E$7:$E$2738,"&lt;=100")</f>
        <v>0</v>
      </c>
      <c r="C425" s="18" t="n">
        <f aca="false">COUNTIFS(選手一覧!$C$7:$C$2738,A425,選手一覧!$E$7:$E$2738,"&gt;0")</f>
        <v>1</v>
      </c>
      <c r="D425" s="14" t="n">
        <f aca="false">IF(C425=0,"",_xlfn.MINIFS(選手一覧!$E$7:$E$2738,選手一覧!$C$7:$C$2738,A425))</f>
        <v>1171</v>
      </c>
      <c r="E425" s="20"/>
      <c r="F425" s="18" t="n">
        <f aca="false">COUNTIFS(選手一覧!$C$7:$C$2738,A425,選手一覧!$I$7:$I$2738,"&lt;=100")</f>
        <v>0</v>
      </c>
      <c r="G425" s="18" t="n">
        <f aca="false">COUNTIFS(選手一覧!$C$7:$C$2738,A425,選手一覧!$K$7:$K$2738,"&lt;=100")</f>
        <v>0</v>
      </c>
      <c r="H425" s="17" t="n">
        <f aca="false">COUNTIF(選手一覧!$C$7:$C$2738,A425)</f>
        <v>1</v>
      </c>
    </row>
    <row r="426" customFormat="false" ht="15" hidden="false" customHeight="false" outlineLevel="0" collapsed="false">
      <c r="A426" s="12" t="s">
        <v>1890</v>
      </c>
      <c r="B426" s="22" t="n">
        <f aca="false">COUNTIFS(選手一覧!$C$7:$C$2738,A426,選手一覧!$E$7:$E$2738,"&lt;=100")</f>
        <v>0</v>
      </c>
      <c r="C426" s="18" t="n">
        <f aca="false">COUNTIFS(選手一覧!$C$7:$C$2738,A426,選手一覧!$E$7:$E$2738,"&gt;0")</f>
        <v>1</v>
      </c>
      <c r="D426" s="14" t="n">
        <f aca="false">IF(C426=0,"",_xlfn.MINIFS(選手一覧!$E$7:$E$2738,選手一覧!$C$7:$C$2738,A426))</f>
        <v>1176</v>
      </c>
      <c r="E426" s="20"/>
      <c r="F426" s="18" t="n">
        <f aca="false">COUNTIFS(選手一覧!$C$7:$C$2738,A426,選手一覧!$I$7:$I$2738,"&lt;=100")</f>
        <v>0</v>
      </c>
      <c r="G426" s="18" t="n">
        <f aca="false">COUNTIFS(選手一覧!$C$7:$C$2738,A426,選手一覧!$K$7:$K$2738,"&lt;=100")</f>
        <v>0</v>
      </c>
      <c r="H426" s="17" t="n">
        <f aca="false">COUNTIF(選手一覧!$C$7:$C$2738,A426)</f>
        <v>1</v>
      </c>
    </row>
    <row r="427" customFormat="false" ht="15" hidden="false" customHeight="false" outlineLevel="0" collapsed="false">
      <c r="A427" s="12" t="s">
        <v>1907</v>
      </c>
      <c r="B427" s="22" t="n">
        <f aca="false">COUNTIFS(選手一覧!$C$7:$C$2738,A427,選手一覧!$E$7:$E$2738,"&lt;=100")</f>
        <v>0</v>
      </c>
      <c r="C427" s="18" t="n">
        <f aca="false">COUNTIFS(選手一覧!$C$7:$C$2738,A427,選手一覧!$E$7:$E$2738,"&gt;0")</f>
        <v>1</v>
      </c>
      <c r="D427" s="14" t="n">
        <f aca="false">IF(C427=0,"",_xlfn.MINIFS(選手一覧!$E$7:$E$2738,選手一覧!$C$7:$C$2738,A427))</f>
        <v>1189</v>
      </c>
      <c r="E427" s="20"/>
      <c r="F427" s="18" t="n">
        <f aca="false">COUNTIFS(選手一覧!$C$7:$C$2738,A427,選手一覧!$I$7:$I$2738,"&lt;=100")</f>
        <v>0</v>
      </c>
      <c r="G427" s="18" t="n">
        <f aca="false">COUNTIFS(選手一覧!$C$7:$C$2738,A427,選手一覧!$K$7:$K$2738,"&lt;=100")</f>
        <v>0</v>
      </c>
      <c r="H427" s="17" t="n">
        <f aca="false">COUNTIF(選手一覧!$C$7:$C$2738,A427)</f>
        <v>1</v>
      </c>
    </row>
    <row r="428" customFormat="false" ht="15" hidden="false" customHeight="false" outlineLevel="0" collapsed="false">
      <c r="A428" s="12" t="s">
        <v>1909</v>
      </c>
      <c r="B428" s="22" t="n">
        <f aca="false">COUNTIFS(選手一覧!$C$7:$C$2738,A428,選手一覧!$E$7:$E$2738,"&lt;=100")</f>
        <v>0</v>
      </c>
      <c r="C428" s="18" t="n">
        <f aca="false">COUNTIFS(選手一覧!$C$7:$C$2738,A428,選手一覧!$E$7:$E$2738,"&gt;0")</f>
        <v>1</v>
      </c>
      <c r="D428" s="14" t="n">
        <f aca="false">IF(C428=0,"",_xlfn.MINIFS(選手一覧!$E$7:$E$2738,選手一覧!$C$7:$C$2738,A428))</f>
        <v>1190</v>
      </c>
      <c r="E428" s="20"/>
      <c r="F428" s="18" t="n">
        <f aca="false">COUNTIFS(選手一覧!$C$7:$C$2738,A428,選手一覧!$I$7:$I$2738,"&lt;=100")</f>
        <v>0</v>
      </c>
      <c r="G428" s="18" t="n">
        <f aca="false">COUNTIFS(選手一覧!$C$7:$C$2738,A428,選手一覧!$K$7:$K$2738,"&lt;=100")</f>
        <v>0</v>
      </c>
      <c r="H428" s="17" t="n">
        <f aca="false">COUNTIF(選手一覧!$C$7:$C$2738,A428)</f>
        <v>3</v>
      </c>
    </row>
    <row r="429" customFormat="false" ht="15" hidden="false" customHeight="false" outlineLevel="0" collapsed="false">
      <c r="A429" s="12" t="s">
        <v>1913</v>
      </c>
      <c r="B429" s="22" t="n">
        <f aca="false">COUNTIFS(選手一覧!$C$7:$C$2738,A429,選手一覧!$E$7:$E$2738,"&lt;=100")</f>
        <v>0</v>
      </c>
      <c r="C429" s="18" t="n">
        <f aca="false">COUNTIFS(選手一覧!$C$7:$C$2738,A429,選手一覧!$E$7:$E$2738,"&gt;0")</f>
        <v>1</v>
      </c>
      <c r="D429" s="14" t="n">
        <f aca="false">IF(C429=0,"",_xlfn.MINIFS(選手一覧!$E$7:$E$2738,選手一覧!$C$7:$C$2738,A429))</f>
        <v>1193</v>
      </c>
      <c r="E429" s="20"/>
      <c r="F429" s="18" t="n">
        <f aca="false">COUNTIFS(選手一覧!$C$7:$C$2738,A429,選手一覧!$I$7:$I$2738,"&lt;=100")</f>
        <v>0</v>
      </c>
      <c r="G429" s="18" t="n">
        <f aca="false">COUNTIFS(選手一覧!$C$7:$C$2738,A429,選手一覧!$K$7:$K$2738,"&lt;=100")</f>
        <v>0</v>
      </c>
      <c r="H429" s="17" t="n">
        <f aca="false">COUNTIF(選手一覧!$C$7:$C$2738,A429)</f>
        <v>2</v>
      </c>
    </row>
    <row r="430" customFormat="false" ht="15" hidden="false" customHeight="false" outlineLevel="0" collapsed="false">
      <c r="A430" s="12" t="s">
        <v>1918</v>
      </c>
      <c r="B430" s="22" t="n">
        <f aca="false">COUNTIFS(選手一覧!$C$7:$C$2738,A430,選手一覧!$E$7:$E$2738,"&lt;=100")</f>
        <v>0</v>
      </c>
      <c r="C430" s="18" t="n">
        <f aca="false">COUNTIFS(選手一覧!$C$7:$C$2738,A430,選手一覧!$E$7:$E$2738,"&gt;0")</f>
        <v>1</v>
      </c>
      <c r="D430" s="14" t="n">
        <f aca="false">IF(C430=0,"",_xlfn.MINIFS(選手一覧!$E$7:$E$2738,選手一覧!$C$7:$C$2738,A430))</f>
        <v>1197</v>
      </c>
      <c r="E430" s="20"/>
      <c r="F430" s="18" t="n">
        <f aca="false">COUNTIFS(選手一覧!$C$7:$C$2738,A430,選手一覧!$I$7:$I$2738,"&lt;=100")</f>
        <v>0</v>
      </c>
      <c r="G430" s="18" t="n">
        <f aca="false">COUNTIFS(選手一覧!$C$7:$C$2738,A430,選手一覧!$K$7:$K$2738,"&lt;=100")</f>
        <v>0</v>
      </c>
      <c r="H430" s="17" t="n">
        <f aca="false">COUNTIF(選手一覧!$C$7:$C$2738,A430)</f>
        <v>1</v>
      </c>
    </row>
    <row r="431" customFormat="false" ht="15" hidden="false" customHeight="false" outlineLevel="0" collapsed="false">
      <c r="A431" s="12" t="s">
        <v>1927</v>
      </c>
      <c r="B431" s="22" t="n">
        <f aca="false">COUNTIFS(選手一覧!$C$7:$C$2738,A431,選手一覧!$E$7:$E$2738,"&lt;=100")</f>
        <v>0</v>
      </c>
      <c r="C431" s="18" t="n">
        <f aca="false">COUNTIFS(選手一覧!$C$7:$C$2738,A431,選手一覧!$E$7:$E$2738,"&gt;0")</f>
        <v>1</v>
      </c>
      <c r="D431" s="14" t="n">
        <f aca="false">IF(C431=0,"",_xlfn.MINIFS(選手一覧!$E$7:$E$2738,選手一覧!$C$7:$C$2738,A431))</f>
        <v>1205</v>
      </c>
      <c r="E431" s="20"/>
      <c r="F431" s="18" t="n">
        <f aca="false">COUNTIFS(選手一覧!$C$7:$C$2738,A431,選手一覧!$I$7:$I$2738,"&lt;=100")</f>
        <v>0</v>
      </c>
      <c r="G431" s="18" t="n">
        <f aca="false">COUNTIFS(選手一覧!$C$7:$C$2738,A431,選手一覧!$K$7:$K$2738,"&lt;=100")</f>
        <v>0</v>
      </c>
      <c r="H431" s="17" t="n">
        <f aca="false">COUNTIF(選手一覧!$C$7:$C$2738,A431)</f>
        <v>2</v>
      </c>
    </row>
    <row r="432" customFormat="false" ht="15" hidden="false" customHeight="false" outlineLevel="0" collapsed="false">
      <c r="A432" s="12" t="s">
        <v>1929</v>
      </c>
      <c r="B432" s="22" t="n">
        <f aca="false">COUNTIFS(選手一覧!$C$7:$C$2738,A432,選手一覧!$E$7:$E$2738,"&lt;=100")</f>
        <v>0</v>
      </c>
      <c r="C432" s="18" t="n">
        <f aca="false">COUNTIFS(選手一覧!$C$7:$C$2738,A432,選手一覧!$E$7:$E$2738,"&gt;0")</f>
        <v>1</v>
      </c>
      <c r="D432" s="14" t="n">
        <f aca="false">IF(C432=0,"",_xlfn.MINIFS(選手一覧!$E$7:$E$2738,選手一覧!$C$7:$C$2738,A432))</f>
        <v>1206</v>
      </c>
      <c r="E432" s="20"/>
      <c r="F432" s="18" t="n">
        <f aca="false">COUNTIFS(選手一覧!$C$7:$C$2738,A432,選手一覧!$I$7:$I$2738,"&lt;=100")</f>
        <v>0</v>
      </c>
      <c r="G432" s="18" t="n">
        <f aca="false">COUNTIFS(選手一覧!$C$7:$C$2738,A432,選手一覧!$K$7:$K$2738,"&lt;=100")</f>
        <v>0</v>
      </c>
      <c r="H432" s="17" t="n">
        <f aca="false">COUNTIF(選手一覧!$C$7:$C$2738,A432)</f>
        <v>2</v>
      </c>
    </row>
    <row r="433" customFormat="false" ht="15" hidden="false" customHeight="false" outlineLevel="0" collapsed="false">
      <c r="A433" s="12" t="s">
        <v>1931</v>
      </c>
      <c r="B433" s="22" t="n">
        <f aca="false">COUNTIFS(選手一覧!$C$7:$C$2738,A433,選手一覧!$E$7:$E$2738,"&lt;=100")</f>
        <v>0</v>
      </c>
      <c r="C433" s="18" t="n">
        <f aca="false">COUNTIFS(選手一覧!$C$7:$C$2738,A433,選手一覧!$E$7:$E$2738,"&gt;0")</f>
        <v>1</v>
      </c>
      <c r="D433" s="14" t="n">
        <f aca="false">IF(C433=0,"",_xlfn.MINIFS(選手一覧!$E$7:$E$2738,選手一覧!$C$7:$C$2738,A433))</f>
        <v>1207</v>
      </c>
      <c r="E433" s="20"/>
      <c r="F433" s="18" t="n">
        <f aca="false">COUNTIFS(選手一覧!$C$7:$C$2738,A433,選手一覧!$I$7:$I$2738,"&lt;=100")</f>
        <v>0</v>
      </c>
      <c r="G433" s="18" t="n">
        <f aca="false">COUNTIFS(選手一覧!$C$7:$C$2738,A433,選手一覧!$K$7:$K$2738,"&lt;=100")</f>
        <v>0</v>
      </c>
      <c r="H433" s="17" t="n">
        <f aca="false">COUNTIF(選手一覧!$C$7:$C$2738,A433)</f>
        <v>2</v>
      </c>
    </row>
    <row r="434" customFormat="false" ht="15" hidden="false" customHeight="false" outlineLevel="0" collapsed="false">
      <c r="A434" s="12" t="s">
        <v>1934</v>
      </c>
      <c r="B434" s="22" t="n">
        <f aca="false">COUNTIFS(選手一覧!$C$7:$C$2738,A434,選手一覧!$E$7:$E$2738,"&lt;=100")</f>
        <v>0</v>
      </c>
      <c r="C434" s="18" t="n">
        <f aca="false">COUNTIFS(選手一覧!$C$7:$C$2738,A434,選手一覧!$E$7:$E$2738,"&gt;0")</f>
        <v>1</v>
      </c>
      <c r="D434" s="14" t="n">
        <f aca="false">IF(C434=0,"",_xlfn.MINIFS(選手一覧!$E$7:$E$2738,選手一覧!$C$7:$C$2738,A434))</f>
        <v>1209</v>
      </c>
      <c r="E434" s="20"/>
      <c r="F434" s="18" t="n">
        <f aca="false">COUNTIFS(選手一覧!$C$7:$C$2738,A434,選手一覧!$I$7:$I$2738,"&lt;=100")</f>
        <v>0</v>
      </c>
      <c r="G434" s="18" t="n">
        <f aca="false">COUNTIFS(選手一覧!$C$7:$C$2738,A434,選手一覧!$K$7:$K$2738,"&lt;=100")</f>
        <v>0</v>
      </c>
      <c r="H434" s="17" t="n">
        <f aca="false">COUNTIF(選手一覧!$C$7:$C$2738,A434)</f>
        <v>3</v>
      </c>
    </row>
    <row r="435" customFormat="false" ht="15" hidden="false" customHeight="false" outlineLevel="0" collapsed="false">
      <c r="A435" s="12" t="s">
        <v>1937</v>
      </c>
      <c r="B435" s="22" t="n">
        <f aca="false">COUNTIFS(選手一覧!$C$7:$C$2738,A435,選手一覧!$E$7:$E$2738,"&lt;=100")</f>
        <v>0</v>
      </c>
      <c r="C435" s="18" t="n">
        <f aca="false">COUNTIFS(選手一覧!$C$7:$C$2738,A435,選手一覧!$E$7:$E$2738,"&gt;0")</f>
        <v>1</v>
      </c>
      <c r="D435" s="14" t="n">
        <f aca="false">IF(C435=0,"",_xlfn.MINIFS(選手一覧!$E$7:$E$2738,選手一覧!$C$7:$C$2738,A435))</f>
        <v>1211</v>
      </c>
      <c r="E435" s="20"/>
      <c r="F435" s="18" t="n">
        <f aca="false">COUNTIFS(選手一覧!$C$7:$C$2738,A435,選手一覧!$I$7:$I$2738,"&lt;=100")</f>
        <v>0</v>
      </c>
      <c r="G435" s="18" t="n">
        <f aca="false">COUNTIFS(選手一覧!$C$7:$C$2738,A435,選手一覧!$K$7:$K$2738,"&lt;=100")</f>
        <v>0</v>
      </c>
      <c r="H435" s="17" t="n">
        <f aca="false">COUNTIF(選手一覧!$C$7:$C$2738,A435)</f>
        <v>1</v>
      </c>
    </row>
    <row r="436" customFormat="false" ht="15" hidden="false" customHeight="false" outlineLevel="0" collapsed="false">
      <c r="A436" s="12" t="s">
        <v>1939</v>
      </c>
      <c r="B436" s="22" t="n">
        <f aca="false">COUNTIFS(選手一覧!$C$7:$C$2738,A436,選手一覧!$E$7:$E$2738,"&lt;=100")</f>
        <v>0</v>
      </c>
      <c r="C436" s="18" t="n">
        <f aca="false">COUNTIFS(選手一覧!$C$7:$C$2738,A436,選手一覧!$E$7:$E$2738,"&gt;0")</f>
        <v>1</v>
      </c>
      <c r="D436" s="14" t="n">
        <f aca="false">IF(C436=0,"",_xlfn.MINIFS(選手一覧!$E$7:$E$2738,選手一覧!$C$7:$C$2738,A436))</f>
        <v>1212</v>
      </c>
      <c r="E436" s="20"/>
      <c r="F436" s="18" t="n">
        <f aca="false">COUNTIFS(選手一覧!$C$7:$C$2738,A436,選手一覧!$I$7:$I$2738,"&lt;=100")</f>
        <v>0</v>
      </c>
      <c r="G436" s="18" t="n">
        <f aca="false">COUNTIFS(選手一覧!$C$7:$C$2738,A436,選手一覧!$K$7:$K$2738,"&lt;=100")</f>
        <v>0</v>
      </c>
      <c r="H436" s="17" t="n">
        <f aca="false">COUNTIF(選手一覧!$C$7:$C$2738,A436)</f>
        <v>1</v>
      </c>
    </row>
    <row r="437" customFormat="false" ht="15" hidden="false" customHeight="false" outlineLevel="0" collapsed="false">
      <c r="A437" s="12" t="s">
        <v>1944</v>
      </c>
      <c r="B437" s="22" t="n">
        <f aca="false">COUNTIFS(選手一覧!$C$7:$C$2738,A437,選手一覧!$E$7:$E$2738,"&lt;=100")</f>
        <v>0</v>
      </c>
      <c r="C437" s="18" t="n">
        <f aca="false">COUNTIFS(選手一覧!$C$7:$C$2738,A437,選手一覧!$E$7:$E$2738,"&gt;0")</f>
        <v>1</v>
      </c>
      <c r="D437" s="14" t="n">
        <f aca="false">IF(C437=0,"",_xlfn.MINIFS(選手一覧!$E$7:$E$2738,選手一覧!$C$7:$C$2738,A437))</f>
        <v>1216</v>
      </c>
      <c r="E437" s="20"/>
      <c r="F437" s="18" t="n">
        <f aca="false">COUNTIFS(選手一覧!$C$7:$C$2738,A437,選手一覧!$I$7:$I$2738,"&lt;=100")</f>
        <v>0</v>
      </c>
      <c r="G437" s="18" t="n">
        <f aca="false">COUNTIFS(選手一覧!$C$7:$C$2738,A437,選手一覧!$K$7:$K$2738,"&lt;=100")</f>
        <v>0</v>
      </c>
      <c r="H437" s="17" t="n">
        <f aca="false">COUNTIF(選手一覧!$C$7:$C$2738,A437)</f>
        <v>1</v>
      </c>
    </row>
    <row r="438" customFormat="false" ht="15" hidden="false" customHeight="false" outlineLevel="0" collapsed="false">
      <c r="A438" s="12" t="s">
        <v>1948</v>
      </c>
      <c r="B438" s="22" t="n">
        <f aca="false">COUNTIFS(選手一覧!$C$7:$C$2738,A438,選手一覧!$E$7:$E$2738,"&lt;=100")</f>
        <v>0</v>
      </c>
      <c r="C438" s="18" t="n">
        <f aca="false">COUNTIFS(選手一覧!$C$7:$C$2738,A438,選手一覧!$E$7:$E$2738,"&gt;0")</f>
        <v>1</v>
      </c>
      <c r="D438" s="14" t="n">
        <f aca="false">IF(C438=0,"",_xlfn.MINIFS(選手一覧!$E$7:$E$2738,選手一覧!$C$7:$C$2738,A438))</f>
        <v>1219</v>
      </c>
      <c r="E438" s="20"/>
      <c r="F438" s="18" t="n">
        <f aca="false">COUNTIFS(選手一覧!$C$7:$C$2738,A438,選手一覧!$I$7:$I$2738,"&lt;=100")</f>
        <v>0</v>
      </c>
      <c r="G438" s="18" t="n">
        <f aca="false">COUNTIFS(選手一覧!$C$7:$C$2738,A438,選手一覧!$K$7:$K$2738,"&lt;=100")</f>
        <v>0</v>
      </c>
      <c r="H438" s="17" t="n">
        <f aca="false">COUNTIF(選手一覧!$C$7:$C$2738,A438)</f>
        <v>2</v>
      </c>
    </row>
    <row r="439" customFormat="false" ht="15" hidden="false" customHeight="false" outlineLevel="0" collapsed="false">
      <c r="A439" s="12" t="s">
        <v>1950</v>
      </c>
      <c r="B439" s="22" t="n">
        <f aca="false">COUNTIFS(選手一覧!$C$7:$C$2738,A439,選手一覧!$E$7:$E$2738,"&lt;=100")</f>
        <v>0</v>
      </c>
      <c r="C439" s="18" t="n">
        <f aca="false">COUNTIFS(選手一覧!$C$7:$C$2738,A439,選手一覧!$E$7:$E$2738,"&gt;0")</f>
        <v>1</v>
      </c>
      <c r="D439" s="14" t="n">
        <f aca="false">IF(C439=0,"",_xlfn.MINIFS(選手一覧!$E$7:$E$2738,選手一覧!$C$7:$C$2738,A439))</f>
        <v>1220</v>
      </c>
      <c r="E439" s="20"/>
      <c r="F439" s="18" t="n">
        <f aca="false">COUNTIFS(選手一覧!$C$7:$C$2738,A439,選手一覧!$I$7:$I$2738,"&lt;=100")</f>
        <v>0</v>
      </c>
      <c r="G439" s="18" t="n">
        <f aca="false">COUNTIFS(選手一覧!$C$7:$C$2738,A439,選手一覧!$K$7:$K$2738,"&lt;=100")</f>
        <v>0</v>
      </c>
      <c r="H439" s="17" t="n">
        <f aca="false">COUNTIF(選手一覧!$C$7:$C$2738,A439)</f>
        <v>3</v>
      </c>
    </row>
    <row r="440" customFormat="false" ht="15" hidden="false" customHeight="false" outlineLevel="0" collapsed="false">
      <c r="A440" s="12" t="s">
        <v>1952</v>
      </c>
      <c r="B440" s="22" t="n">
        <f aca="false">COUNTIFS(選手一覧!$C$7:$C$2738,A440,選手一覧!$E$7:$E$2738,"&lt;=100")</f>
        <v>0</v>
      </c>
      <c r="C440" s="18" t="n">
        <f aca="false">COUNTIFS(選手一覧!$C$7:$C$2738,A440,選手一覧!$E$7:$E$2738,"&gt;0")</f>
        <v>1</v>
      </c>
      <c r="D440" s="14" t="n">
        <f aca="false">IF(C440=0,"",_xlfn.MINIFS(選手一覧!$E$7:$E$2738,選手一覧!$C$7:$C$2738,A440))</f>
        <v>1221</v>
      </c>
      <c r="E440" s="20"/>
      <c r="F440" s="18" t="n">
        <f aca="false">COUNTIFS(選手一覧!$C$7:$C$2738,A440,選手一覧!$I$7:$I$2738,"&lt;=100")</f>
        <v>0</v>
      </c>
      <c r="G440" s="18" t="n">
        <f aca="false">COUNTIFS(選手一覧!$C$7:$C$2738,A440,選手一覧!$K$7:$K$2738,"&lt;=100")</f>
        <v>0</v>
      </c>
      <c r="H440" s="17" t="n">
        <f aca="false">COUNTIF(選手一覧!$C$7:$C$2738,A440)</f>
        <v>1</v>
      </c>
    </row>
    <row r="441" customFormat="false" ht="15" hidden="false" customHeight="false" outlineLevel="0" collapsed="false">
      <c r="A441" s="12" t="s">
        <v>1957</v>
      </c>
      <c r="B441" s="22" t="n">
        <f aca="false">COUNTIFS(選手一覧!$C$7:$C$2738,A441,選手一覧!$E$7:$E$2738,"&lt;=100")</f>
        <v>0</v>
      </c>
      <c r="C441" s="18" t="n">
        <f aca="false">COUNTIFS(選手一覧!$C$7:$C$2738,A441,選手一覧!$E$7:$E$2738,"&gt;0")</f>
        <v>1</v>
      </c>
      <c r="D441" s="14" t="n">
        <f aca="false">IF(C441=0,"",_xlfn.MINIFS(選手一覧!$E$7:$E$2738,選手一覧!$C$7:$C$2738,A441))</f>
        <v>1225</v>
      </c>
      <c r="E441" s="20"/>
      <c r="F441" s="18" t="n">
        <f aca="false">COUNTIFS(選手一覧!$C$7:$C$2738,A441,選手一覧!$I$7:$I$2738,"&lt;=100")</f>
        <v>0</v>
      </c>
      <c r="G441" s="18" t="n">
        <f aca="false">COUNTIFS(選手一覧!$C$7:$C$2738,A441,選手一覧!$K$7:$K$2738,"&lt;=100")</f>
        <v>0</v>
      </c>
      <c r="H441" s="17" t="n">
        <f aca="false">COUNTIF(選手一覧!$C$7:$C$2738,A441)</f>
        <v>3</v>
      </c>
    </row>
    <row r="442" customFormat="false" ht="15" hidden="false" customHeight="false" outlineLevel="0" collapsed="false">
      <c r="A442" s="12" t="s">
        <v>1961</v>
      </c>
      <c r="B442" s="22" t="n">
        <f aca="false">COUNTIFS(選手一覧!$C$7:$C$2738,A442,選手一覧!$E$7:$E$2738,"&lt;=100")</f>
        <v>0</v>
      </c>
      <c r="C442" s="18" t="n">
        <f aca="false">COUNTIFS(選手一覧!$C$7:$C$2738,A442,選手一覧!$E$7:$E$2738,"&gt;0")</f>
        <v>1</v>
      </c>
      <c r="D442" s="14" t="n">
        <f aca="false">IF(C442=0,"",_xlfn.MINIFS(選手一覧!$E$7:$E$2738,選手一覧!$C$7:$C$2738,A442))</f>
        <v>1228</v>
      </c>
      <c r="E442" s="20"/>
      <c r="F442" s="18" t="n">
        <f aca="false">COUNTIFS(選手一覧!$C$7:$C$2738,A442,選手一覧!$I$7:$I$2738,"&lt;=100")</f>
        <v>0</v>
      </c>
      <c r="G442" s="18" t="n">
        <f aca="false">COUNTIFS(選手一覧!$C$7:$C$2738,A442,選手一覧!$K$7:$K$2738,"&lt;=100")</f>
        <v>0</v>
      </c>
      <c r="H442" s="17" t="n">
        <f aca="false">COUNTIF(選手一覧!$C$7:$C$2738,A442)</f>
        <v>1</v>
      </c>
    </row>
    <row r="443" customFormat="false" ht="15" hidden="false" customHeight="false" outlineLevel="0" collapsed="false">
      <c r="A443" s="12" t="s">
        <v>1964</v>
      </c>
      <c r="B443" s="22" t="n">
        <f aca="false">COUNTIFS(選手一覧!$C$7:$C$2738,A443,選手一覧!$E$7:$E$2738,"&lt;=100")</f>
        <v>0</v>
      </c>
      <c r="C443" s="18" t="n">
        <f aca="false">COUNTIFS(選手一覧!$C$7:$C$2738,A443,選手一覧!$E$7:$E$2738,"&gt;0")</f>
        <v>1</v>
      </c>
      <c r="D443" s="14" t="n">
        <f aca="false">IF(C443=0,"",_xlfn.MINIFS(選手一覧!$E$7:$E$2738,選手一覧!$C$7:$C$2738,A443))</f>
        <v>1230</v>
      </c>
      <c r="E443" s="20"/>
      <c r="F443" s="18" t="n">
        <f aca="false">COUNTIFS(選手一覧!$C$7:$C$2738,A443,選手一覧!$I$7:$I$2738,"&lt;=100")</f>
        <v>0</v>
      </c>
      <c r="G443" s="18" t="n">
        <f aca="false">COUNTIFS(選手一覧!$C$7:$C$2738,A443,選手一覧!$K$7:$K$2738,"&lt;=100")</f>
        <v>0</v>
      </c>
      <c r="H443" s="17" t="n">
        <f aca="false">COUNTIF(選手一覧!$C$7:$C$2738,A443)</f>
        <v>2</v>
      </c>
    </row>
    <row r="444" customFormat="false" ht="15" hidden="false" customHeight="false" outlineLevel="0" collapsed="false">
      <c r="A444" s="12" t="s">
        <v>1968</v>
      </c>
      <c r="B444" s="22" t="n">
        <f aca="false">COUNTIFS(選手一覧!$C$7:$C$2738,A444,選手一覧!$E$7:$E$2738,"&lt;=100")</f>
        <v>0</v>
      </c>
      <c r="C444" s="18" t="n">
        <f aca="false">COUNTIFS(選手一覧!$C$7:$C$2738,A444,選手一覧!$E$7:$E$2738,"&gt;0")</f>
        <v>1</v>
      </c>
      <c r="D444" s="14" t="n">
        <f aca="false">IF(C444=0,"",_xlfn.MINIFS(選手一覧!$E$7:$E$2738,選手一覧!$C$7:$C$2738,A444))</f>
        <v>1233</v>
      </c>
      <c r="E444" s="20"/>
      <c r="F444" s="18" t="n">
        <f aca="false">COUNTIFS(選手一覧!$C$7:$C$2738,A444,選手一覧!$I$7:$I$2738,"&lt;=100")</f>
        <v>0</v>
      </c>
      <c r="G444" s="18" t="n">
        <f aca="false">COUNTIFS(選手一覧!$C$7:$C$2738,A444,選手一覧!$K$7:$K$2738,"&lt;=100")</f>
        <v>0</v>
      </c>
      <c r="H444" s="17" t="n">
        <f aca="false">COUNTIF(選手一覧!$C$7:$C$2738,A444)</f>
        <v>1</v>
      </c>
    </row>
    <row r="445" customFormat="false" ht="15" hidden="false" customHeight="false" outlineLevel="0" collapsed="false">
      <c r="A445" s="12" t="s">
        <v>1971</v>
      </c>
      <c r="B445" s="22" t="n">
        <f aca="false">COUNTIFS(選手一覧!$C$7:$C$2738,A445,選手一覧!$E$7:$E$2738,"&lt;=100")</f>
        <v>0</v>
      </c>
      <c r="C445" s="18" t="n">
        <f aca="false">COUNTIFS(選手一覧!$C$7:$C$2738,A445,選手一覧!$E$7:$E$2738,"&gt;0")</f>
        <v>1</v>
      </c>
      <c r="D445" s="14" t="n">
        <f aca="false">IF(C445=0,"",_xlfn.MINIFS(選手一覧!$E$7:$E$2738,選手一覧!$C$7:$C$2738,A445))</f>
        <v>1235</v>
      </c>
      <c r="E445" s="20"/>
      <c r="F445" s="18" t="n">
        <f aca="false">COUNTIFS(選手一覧!$C$7:$C$2738,A445,選手一覧!$I$7:$I$2738,"&lt;=100")</f>
        <v>0</v>
      </c>
      <c r="G445" s="18" t="n">
        <f aca="false">COUNTIFS(選手一覧!$C$7:$C$2738,A445,選手一覧!$K$7:$K$2738,"&lt;=100")</f>
        <v>0</v>
      </c>
      <c r="H445" s="17" t="n">
        <f aca="false">COUNTIF(選手一覧!$C$7:$C$2738,A445)</f>
        <v>3</v>
      </c>
    </row>
    <row r="446" customFormat="false" ht="15" hidden="false" customHeight="false" outlineLevel="0" collapsed="false">
      <c r="A446" s="12" t="s">
        <v>1974</v>
      </c>
      <c r="B446" s="22" t="n">
        <f aca="false">COUNTIFS(選手一覧!$C$7:$C$2738,A446,選手一覧!$E$7:$E$2738,"&lt;=100")</f>
        <v>0</v>
      </c>
      <c r="C446" s="18" t="n">
        <f aca="false">COUNTIFS(選手一覧!$C$7:$C$2738,A446,選手一覧!$E$7:$E$2738,"&gt;0")</f>
        <v>1</v>
      </c>
      <c r="D446" s="14" t="n">
        <f aca="false">IF(C446=0,"",_xlfn.MINIFS(選手一覧!$E$7:$E$2738,選手一覧!$C$7:$C$2738,A446))</f>
        <v>1237</v>
      </c>
      <c r="E446" s="20"/>
      <c r="F446" s="18" t="n">
        <f aca="false">COUNTIFS(選手一覧!$C$7:$C$2738,A446,選手一覧!$I$7:$I$2738,"&lt;=100")</f>
        <v>0</v>
      </c>
      <c r="G446" s="18" t="n">
        <f aca="false">COUNTIFS(選手一覧!$C$7:$C$2738,A446,選手一覧!$K$7:$K$2738,"&lt;=100")</f>
        <v>0</v>
      </c>
      <c r="H446" s="17" t="n">
        <f aca="false">COUNTIF(選手一覧!$C$7:$C$2738,A446)</f>
        <v>1</v>
      </c>
    </row>
    <row r="447" customFormat="false" ht="15" hidden="false" customHeight="false" outlineLevel="0" collapsed="false">
      <c r="A447" s="12" t="s">
        <v>1983</v>
      </c>
      <c r="B447" s="22" t="n">
        <f aca="false">COUNTIFS(選手一覧!$C$7:$C$2738,A447,選手一覧!$E$7:$E$2738,"&lt;=100")</f>
        <v>0</v>
      </c>
      <c r="C447" s="18" t="n">
        <f aca="false">COUNTIFS(選手一覧!$C$7:$C$2738,A447,選手一覧!$E$7:$E$2738,"&gt;0")</f>
        <v>1</v>
      </c>
      <c r="D447" s="14" t="n">
        <f aca="false">IF(C447=0,"",_xlfn.MINIFS(選手一覧!$E$7:$E$2738,選手一覧!$C$7:$C$2738,A447))</f>
        <v>1245</v>
      </c>
      <c r="E447" s="20"/>
      <c r="F447" s="18" t="n">
        <f aca="false">COUNTIFS(選手一覧!$C$7:$C$2738,A447,選手一覧!$I$7:$I$2738,"&lt;=100")</f>
        <v>0</v>
      </c>
      <c r="G447" s="18" t="n">
        <f aca="false">COUNTIFS(選手一覧!$C$7:$C$2738,A447,選手一覧!$K$7:$K$2738,"&lt;=100")</f>
        <v>0</v>
      </c>
      <c r="H447" s="17" t="n">
        <f aca="false">COUNTIF(選手一覧!$C$7:$C$2738,A447)</f>
        <v>1</v>
      </c>
    </row>
    <row r="448" customFormat="false" ht="15" hidden="false" customHeight="false" outlineLevel="0" collapsed="false">
      <c r="A448" s="12" t="s">
        <v>1985</v>
      </c>
      <c r="B448" s="22" t="n">
        <f aca="false">COUNTIFS(選手一覧!$C$7:$C$2738,A448,選手一覧!$E$7:$E$2738,"&lt;=100")</f>
        <v>0</v>
      </c>
      <c r="C448" s="18" t="n">
        <f aca="false">COUNTIFS(選手一覧!$C$7:$C$2738,A448,選手一覧!$E$7:$E$2738,"&gt;0")</f>
        <v>1</v>
      </c>
      <c r="D448" s="14" t="n">
        <f aca="false">IF(C448=0,"",_xlfn.MINIFS(選手一覧!$E$7:$E$2738,選手一覧!$C$7:$C$2738,A448))</f>
        <v>1246</v>
      </c>
      <c r="E448" s="20"/>
      <c r="F448" s="18" t="n">
        <f aca="false">COUNTIFS(選手一覧!$C$7:$C$2738,A448,選手一覧!$I$7:$I$2738,"&lt;=100")</f>
        <v>0</v>
      </c>
      <c r="G448" s="18" t="n">
        <f aca="false">COUNTIFS(選手一覧!$C$7:$C$2738,A448,選手一覧!$K$7:$K$2738,"&lt;=100")</f>
        <v>0</v>
      </c>
      <c r="H448" s="17" t="n">
        <f aca="false">COUNTIF(選手一覧!$C$7:$C$2738,A448)</f>
        <v>1</v>
      </c>
    </row>
    <row r="449" customFormat="false" ht="15" hidden="false" customHeight="false" outlineLevel="0" collapsed="false">
      <c r="A449" s="12" t="s">
        <v>1993</v>
      </c>
      <c r="B449" s="22" t="n">
        <f aca="false">COUNTIFS(選手一覧!$C$7:$C$2738,A449,選手一覧!$E$7:$E$2738,"&lt;=100")</f>
        <v>0</v>
      </c>
      <c r="C449" s="18" t="n">
        <f aca="false">COUNTIFS(選手一覧!$C$7:$C$2738,A449,選手一覧!$E$7:$E$2738,"&gt;0")</f>
        <v>1</v>
      </c>
      <c r="D449" s="14" t="n">
        <f aca="false">IF(C449=0,"",_xlfn.MINIFS(選手一覧!$E$7:$E$2738,選手一覧!$C$7:$C$2738,A449))</f>
        <v>1251</v>
      </c>
      <c r="E449" s="20"/>
      <c r="F449" s="18" t="n">
        <f aca="false">COUNTIFS(選手一覧!$C$7:$C$2738,A449,選手一覧!$I$7:$I$2738,"&lt;=100")</f>
        <v>0</v>
      </c>
      <c r="G449" s="18" t="n">
        <f aca="false">COUNTIFS(選手一覧!$C$7:$C$2738,A449,選手一覧!$K$7:$K$2738,"&lt;=100")</f>
        <v>0</v>
      </c>
      <c r="H449" s="17" t="n">
        <f aca="false">COUNTIF(選手一覧!$C$7:$C$2738,A449)</f>
        <v>2</v>
      </c>
    </row>
    <row r="450" customFormat="false" ht="15" hidden="false" customHeight="false" outlineLevel="0" collapsed="false">
      <c r="A450" s="12" t="s">
        <v>1997</v>
      </c>
      <c r="B450" s="22" t="n">
        <f aca="false">COUNTIFS(選手一覧!$C$7:$C$2738,A450,選手一覧!$E$7:$E$2738,"&lt;=100")</f>
        <v>0</v>
      </c>
      <c r="C450" s="18" t="n">
        <f aca="false">COUNTIFS(選手一覧!$C$7:$C$2738,A450,選手一覧!$E$7:$E$2738,"&gt;0")</f>
        <v>1</v>
      </c>
      <c r="D450" s="14" t="n">
        <f aca="false">IF(C450=0,"",_xlfn.MINIFS(選手一覧!$E$7:$E$2738,選手一覧!$C$7:$C$2738,A450))</f>
        <v>1254</v>
      </c>
      <c r="E450" s="20"/>
      <c r="F450" s="18" t="n">
        <f aca="false">COUNTIFS(選手一覧!$C$7:$C$2738,A450,選手一覧!$I$7:$I$2738,"&lt;=100")</f>
        <v>0</v>
      </c>
      <c r="G450" s="18" t="n">
        <f aca="false">COUNTIFS(選手一覧!$C$7:$C$2738,A450,選手一覧!$K$7:$K$2738,"&lt;=100")</f>
        <v>0</v>
      </c>
      <c r="H450" s="17" t="n">
        <f aca="false">COUNTIF(選手一覧!$C$7:$C$2738,A450)</f>
        <v>2</v>
      </c>
    </row>
    <row r="451" customFormat="false" ht="15" hidden="false" customHeight="false" outlineLevel="0" collapsed="false">
      <c r="A451" s="12" t="s">
        <v>2003</v>
      </c>
      <c r="B451" s="22" t="n">
        <f aca="false">COUNTIFS(選手一覧!$C$7:$C$2738,A451,選手一覧!$E$7:$E$2738,"&lt;=100")</f>
        <v>0</v>
      </c>
      <c r="C451" s="18" t="n">
        <f aca="false">COUNTIFS(選手一覧!$C$7:$C$2738,A451,選手一覧!$E$7:$E$2738,"&gt;0")</f>
        <v>1</v>
      </c>
      <c r="D451" s="14" t="n">
        <f aca="false">IF(C451=0,"",_xlfn.MINIFS(選手一覧!$E$7:$E$2738,選手一覧!$C$7:$C$2738,A451))</f>
        <v>1259</v>
      </c>
      <c r="E451" s="20"/>
      <c r="F451" s="18" t="n">
        <f aca="false">COUNTIFS(選手一覧!$C$7:$C$2738,A451,選手一覧!$I$7:$I$2738,"&lt;=100")</f>
        <v>0</v>
      </c>
      <c r="G451" s="18" t="n">
        <f aca="false">COUNTIFS(選手一覧!$C$7:$C$2738,A451,選手一覧!$K$7:$K$2738,"&lt;=100")</f>
        <v>0</v>
      </c>
      <c r="H451" s="17" t="n">
        <f aca="false">COUNTIF(選手一覧!$C$7:$C$2738,A451)</f>
        <v>1</v>
      </c>
    </row>
    <row r="452" customFormat="false" ht="15" hidden="false" customHeight="false" outlineLevel="0" collapsed="false">
      <c r="A452" s="12" t="s">
        <v>2027</v>
      </c>
      <c r="B452" s="22" t="n">
        <f aca="false">COUNTIFS(選手一覧!$C$7:$C$2738,A452,選手一覧!$E$7:$E$2738,"&lt;=100")</f>
        <v>0</v>
      </c>
      <c r="C452" s="18" t="n">
        <f aca="false">COUNTIFS(選手一覧!$C$7:$C$2738,A452,選手一覧!$E$7:$E$2738,"&gt;0")</f>
        <v>1</v>
      </c>
      <c r="D452" s="14" t="n">
        <f aca="false">IF(C452=0,"",_xlfn.MINIFS(選手一覧!$E$7:$E$2738,選手一覧!$C$7:$C$2738,A452))</f>
        <v>1281</v>
      </c>
      <c r="E452" s="20"/>
      <c r="F452" s="18" t="n">
        <f aca="false">COUNTIFS(選手一覧!$C$7:$C$2738,A452,選手一覧!$I$7:$I$2738,"&lt;=100")</f>
        <v>0</v>
      </c>
      <c r="G452" s="18" t="n">
        <f aca="false">COUNTIFS(選手一覧!$C$7:$C$2738,A452,選手一覧!$K$7:$K$2738,"&lt;=100")</f>
        <v>0</v>
      </c>
      <c r="H452" s="17" t="n">
        <f aca="false">COUNTIF(選手一覧!$C$7:$C$2738,A452)</f>
        <v>2</v>
      </c>
    </row>
    <row r="453" customFormat="false" ht="15" hidden="false" customHeight="false" outlineLevel="0" collapsed="false">
      <c r="A453" s="12" t="s">
        <v>2035</v>
      </c>
      <c r="B453" s="22" t="n">
        <f aca="false">COUNTIFS(選手一覧!$C$7:$C$2738,A453,選手一覧!$E$7:$E$2738,"&lt;=100")</f>
        <v>0</v>
      </c>
      <c r="C453" s="18" t="n">
        <f aca="false">COUNTIFS(選手一覧!$C$7:$C$2738,A453,選手一覧!$E$7:$E$2738,"&gt;0")</f>
        <v>1</v>
      </c>
      <c r="D453" s="14" t="n">
        <f aca="false">IF(C453=0,"",_xlfn.MINIFS(選手一覧!$E$7:$E$2738,選手一覧!$C$7:$C$2738,A453))</f>
        <v>1287</v>
      </c>
      <c r="E453" s="20"/>
      <c r="F453" s="18" t="n">
        <f aca="false">COUNTIFS(選手一覧!$C$7:$C$2738,A453,選手一覧!$I$7:$I$2738,"&lt;=100")</f>
        <v>0</v>
      </c>
      <c r="G453" s="18" t="n">
        <f aca="false">COUNTIFS(選手一覧!$C$7:$C$2738,A453,選手一覧!$K$7:$K$2738,"&lt;=100")</f>
        <v>0</v>
      </c>
      <c r="H453" s="17" t="n">
        <f aca="false">COUNTIF(選手一覧!$C$7:$C$2738,A453)</f>
        <v>2</v>
      </c>
    </row>
    <row r="454" customFormat="false" ht="15" hidden="false" customHeight="false" outlineLevel="0" collapsed="false">
      <c r="A454" s="12" t="s">
        <v>2037</v>
      </c>
      <c r="B454" s="22" t="n">
        <f aca="false">COUNTIFS(選手一覧!$C$7:$C$2738,A454,選手一覧!$E$7:$E$2738,"&lt;=100")</f>
        <v>0</v>
      </c>
      <c r="C454" s="18" t="n">
        <f aca="false">COUNTIFS(選手一覧!$C$7:$C$2738,A454,選手一覧!$E$7:$E$2738,"&gt;0")</f>
        <v>1</v>
      </c>
      <c r="D454" s="14" t="n">
        <f aca="false">IF(C454=0,"",_xlfn.MINIFS(選手一覧!$E$7:$E$2738,選手一覧!$C$7:$C$2738,A454))</f>
        <v>1288</v>
      </c>
      <c r="E454" s="20"/>
      <c r="F454" s="18" t="n">
        <f aca="false">COUNTIFS(選手一覧!$C$7:$C$2738,A454,選手一覧!$I$7:$I$2738,"&lt;=100")</f>
        <v>0</v>
      </c>
      <c r="G454" s="18" t="n">
        <f aca="false">COUNTIFS(選手一覧!$C$7:$C$2738,A454,選手一覧!$K$7:$K$2738,"&lt;=100")</f>
        <v>0</v>
      </c>
      <c r="H454" s="17" t="n">
        <f aca="false">COUNTIF(選手一覧!$C$7:$C$2738,A454)</f>
        <v>2</v>
      </c>
    </row>
    <row r="455" customFormat="false" ht="15" hidden="false" customHeight="false" outlineLevel="0" collapsed="false">
      <c r="A455" s="12" t="s">
        <v>2119</v>
      </c>
      <c r="B455" s="22" t="n">
        <f aca="false">COUNTIFS(選手一覧!$C$7:$C$2738,A455,選手一覧!$E$7:$E$2738,"&lt;=100")</f>
        <v>0</v>
      </c>
      <c r="C455" s="18" t="n">
        <f aca="false">COUNTIFS(選手一覧!$C$7:$C$2738,A455,選手一覧!$E$7:$E$2738,"&gt;0")</f>
        <v>0</v>
      </c>
      <c r="D455" s="14" t="str">
        <f aca="false">IF(C455=0,"",_xlfn.MINIFS(選手一覧!$E$7:$E$2738,選手一覧!$C$7:$C$2738,A455))</f>
        <v/>
      </c>
      <c r="E455" s="20"/>
      <c r="F455" s="18" t="n">
        <f aca="false">COUNTIFS(選手一覧!$C$7:$C$2738,A455,選手一覧!$I$7:$I$2738,"&lt;=100")</f>
        <v>0</v>
      </c>
      <c r="G455" s="18" t="n">
        <f aca="false">COUNTIFS(選手一覧!$C$7:$C$2738,A455,選手一覧!$K$7:$K$2738,"&lt;=100")</f>
        <v>0</v>
      </c>
      <c r="H455" s="17" t="n">
        <f aca="false">COUNTIF(選手一覧!$C$7:$C$2738,A455)</f>
        <v>6</v>
      </c>
    </row>
    <row r="456" customFormat="false" ht="15" hidden="false" customHeight="false" outlineLevel="0" collapsed="false">
      <c r="A456" s="12" t="s">
        <v>2222</v>
      </c>
      <c r="B456" s="22" t="n">
        <f aca="false">COUNTIFS(選手一覧!$C$7:$C$2738,A456,選手一覧!$E$7:$E$2738,"&lt;=100")</f>
        <v>0</v>
      </c>
      <c r="C456" s="18" t="n">
        <f aca="false">COUNTIFS(選手一覧!$C$7:$C$2738,A456,選手一覧!$E$7:$E$2738,"&gt;0")</f>
        <v>0</v>
      </c>
      <c r="D456" s="14" t="str">
        <f aca="false">IF(C456=0,"",_xlfn.MINIFS(選手一覧!$E$7:$E$2738,選手一覧!$C$7:$C$2738,A456))</f>
        <v/>
      </c>
      <c r="E456" s="20"/>
      <c r="F456" s="18" t="n">
        <f aca="false">COUNTIFS(選手一覧!$C$7:$C$2738,A456,選手一覧!$I$7:$I$2738,"&lt;=100")</f>
        <v>0</v>
      </c>
      <c r="G456" s="18" t="n">
        <f aca="false">COUNTIFS(選手一覧!$C$7:$C$2738,A456,選手一覧!$K$7:$K$2738,"&lt;=100")</f>
        <v>0</v>
      </c>
      <c r="H456" s="17" t="n">
        <f aca="false">COUNTIF(選手一覧!$C$7:$C$2738,A456)</f>
        <v>6</v>
      </c>
    </row>
    <row r="457" customFormat="false" ht="15" hidden="false" customHeight="false" outlineLevel="0" collapsed="false">
      <c r="A457" s="12" t="s">
        <v>2114</v>
      </c>
      <c r="B457" s="22" t="n">
        <f aca="false">COUNTIFS(選手一覧!$C$7:$C$2738,A457,選手一覧!$E$7:$E$2738,"&lt;=100")</f>
        <v>0</v>
      </c>
      <c r="C457" s="18" t="n">
        <f aca="false">COUNTIFS(選手一覧!$C$7:$C$2738,A457,選手一覧!$E$7:$E$2738,"&gt;0")</f>
        <v>0</v>
      </c>
      <c r="D457" s="14" t="str">
        <f aca="false">IF(C457=0,"",_xlfn.MINIFS(選手一覧!$E$7:$E$2738,選手一覧!$C$7:$C$2738,A457))</f>
        <v/>
      </c>
      <c r="E457" s="20"/>
      <c r="F457" s="18" t="n">
        <f aca="false">COUNTIFS(選手一覧!$C$7:$C$2738,A457,選手一覧!$I$7:$I$2738,"&lt;=100")</f>
        <v>0</v>
      </c>
      <c r="G457" s="18" t="n">
        <f aca="false">COUNTIFS(選手一覧!$C$7:$C$2738,A457,選手一覧!$K$7:$K$2738,"&lt;=100")</f>
        <v>0</v>
      </c>
      <c r="H457" s="17" t="n">
        <f aca="false">COUNTIF(選手一覧!$C$7:$C$2738,A457)</f>
        <v>5</v>
      </c>
    </row>
    <row r="458" customFormat="false" ht="15" hidden="false" customHeight="false" outlineLevel="0" collapsed="false">
      <c r="A458" s="12" t="s">
        <v>2196</v>
      </c>
      <c r="B458" s="22" t="n">
        <f aca="false">COUNTIFS(選手一覧!$C$7:$C$2738,A458,選手一覧!$E$7:$E$2738,"&lt;=100")</f>
        <v>0</v>
      </c>
      <c r="C458" s="18" t="n">
        <f aca="false">COUNTIFS(選手一覧!$C$7:$C$2738,A458,選手一覧!$E$7:$E$2738,"&gt;0")</f>
        <v>0</v>
      </c>
      <c r="D458" s="14" t="str">
        <f aca="false">IF(C458=0,"",_xlfn.MINIFS(選手一覧!$E$7:$E$2738,選手一覧!$C$7:$C$2738,A458))</f>
        <v/>
      </c>
      <c r="E458" s="20"/>
      <c r="F458" s="18" t="n">
        <f aca="false">COUNTIFS(選手一覧!$C$7:$C$2738,A458,選手一覧!$I$7:$I$2738,"&lt;=100")</f>
        <v>0</v>
      </c>
      <c r="G458" s="18" t="n">
        <f aca="false">COUNTIFS(選手一覧!$C$7:$C$2738,A458,選手一覧!$K$7:$K$2738,"&lt;=100")</f>
        <v>0</v>
      </c>
      <c r="H458" s="17" t="n">
        <f aca="false">COUNTIF(選手一覧!$C$7:$C$2738,A458)</f>
        <v>5</v>
      </c>
    </row>
    <row r="459" customFormat="false" ht="15" hidden="false" customHeight="false" outlineLevel="0" collapsed="false">
      <c r="A459" s="12" t="s">
        <v>2372</v>
      </c>
      <c r="B459" s="22" t="n">
        <f aca="false">COUNTIFS(選手一覧!$C$7:$C$2738,A459,選手一覧!$E$7:$E$2738,"&lt;=100")</f>
        <v>0</v>
      </c>
      <c r="C459" s="18" t="n">
        <f aca="false">COUNTIFS(選手一覧!$C$7:$C$2738,A459,選手一覧!$E$7:$E$2738,"&gt;0")</f>
        <v>0</v>
      </c>
      <c r="D459" s="14" t="str">
        <f aca="false">IF(C459=0,"",_xlfn.MINIFS(選手一覧!$E$7:$E$2738,選手一覧!$C$7:$C$2738,A459))</f>
        <v/>
      </c>
      <c r="E459" s="20"/>
      <c r="F459" s="18" t="n">
        <f aca="false">COUNTIFS(選手一覧!$C$7:$C$2738,A459,選手一覧!$I$7:$I$2738,"&lt;=100")</f>
        <v>0</v>
      </c>
      <c r="G459" s="18" t="n">
        <f aca="false">COUNTIFS(選手一覧!$C$7:$C$2738,A459,選手一覧!$K$7:$K$2738,"&lt;=100")</f>
        <v>0</v>
      </c>
      <c r="H459" s="17" t="n">
        <f aca="false">COUNTIF(選手一覧!$C$7:$C$2738,A459)</f>
        <v>5</v>
      </c>
    </row>
    <row r="460" customFormat="false" ht="15" hidden="false" customHeight="false" outlineLevel="0" collapsed="false">
      <c r="A460" s="12" t="s">
        <v>2467</v>
      </c>
      <c r="B460" s="22" t="n">
        <f aca="false">COUNTIFS(選手一覧!$C$7:$C$2738,A460,選手一覧!$E$7:$E$2738,"&lt;=100")</f>
        <v>0</v>
      </c>
      <c r="C460" s="18" t="n">
        <f aca="false">COUNTIFS(選手一覧!$C$7:$C$2738,A460,選手一覧!$E$7:$E$2738,"&gt;0")</f>
        <v>0</v>
      </c>
      <c r="D460" s="14" t="str">
        <f aca="false">IF(C460=0,"",_xlfn.MINIFS(選手一覧!$E$7:$E$2738,選手一覧!$C$7:$C$2738,A460))</f>
        <v/>
      </c>
      <c r="E460" s="20"/>
      <c r="F460" s="18" t="n">
        <f aca="false">COUNTIFS(選手一覧!$C$7:$C$2738,A460,選手一覧!$I$7:$I$2738,"&lt;=100")</f>
        <v>0</v>
      </c>
      <c r="G460" s="18" t="n">
        <f aca="false">COUNTIFS(選手一覧!$C$7:$C$2738,A460,選手一覧!$K$7:$K$2738,"&lt;=100")</f>
        <v>0</v>
      </c>
      <c r="H460" s="17" t="n">
        <f aca="false">COUNTIF(選手一覧!$C$7:$C$2738,A460)</f>
        <v>5</v>
      </c>
    </row>
    <row r="461" customFormat="false" ht="15" hidden="false" customHeight="false" outlineLevel="0" collapsed="false">
      <c r="A461" s="12" t="s">
        <v>2587</v>
      </c>
      <c r="B461" s="22" t="n">
        <f aca="false">COUNTIFS(選手一覧!$C$7:$C$2738,A461,選手一覧!$E$7:$E$2738,"&lt;=100")</f>
        <v>0</v>
      </c>
      <c r="C461" s="18" t="n">
        <f aca="false">COUNTIFS(選手一覧!$C$7:$C$2738,A461,選手一覧!$E$7:$E$2738,"&gt;0")</f>
        <v>0</v>
      </c>
      <c r="D461" s="14" t="str">
        <f aca="false">IF(C461=0,"",_xlfn.MINIFS(選手一覧!$E$7:$E$2738,選手一覧!$C$7:$C$2738,A461))</f>
        <v/>
      </c>
      <c r="E461" s="20"/>
      <c r="F461" s="18" t="n">
        <f aca="false">COUNTIFS(選手一覧!$C$7:$C$2738,A461,選手一覧!$I$7:$I$2738,"&lt;=100")</f>
        <v>0</v>
      </c>
      <c r="G461" s="18" t="n">
        <f aca="false">COUNTIFS(選手一覧!$C$7:$C$2738,A461,選手一覧!$K$7:$K$2738,"&lt;=100")</f>
        <v>0</v>
      </c>
      <c r="H461" s="17" t="n">
        <f aca="false">COUNTIF(選手一覧!$C$7:$C$2738,A461)</f>
        <v>5</v>
      </c>
    </row>
    <row r="462" customFormat="false" ht="15" hidden="false" customHeight="false" outlineLevel="0" collapsed="false">
      <c r="A462" s="12" t="s">
        <v>2257</v>
      </c>
      <c r="B462" s="22" t="n">
        <f aca="false">COUNTIFS(選手一覧!$C$7:$C$2738,A462,選手一覧!$E$7:$E$2738,"&lt;=100")</f>
        <v>0</v>
      </c>
      <c r="C462" s="18" t="n">
        <f aca="false">COUNTIFS(選手一覧!$C$7:$C$2738,A462,選手一覧!$E$7:$E$2738,"&gt;0")</f>
        <v>0</v>
      </c>
      <c r="D462" s="14" t="str">
        <f aca="false">IF(C462=0,"",_xlfn.MINIFS(選手一覧!$E$7:$E$2738,選手一覧!$C$7:$C$2738,A462))</f>
        <v/>
      </c>
      <c r="E462" s="20"/>
      <c r="F462" s="18" t="n">
        <f aca="false">COUNTIFS(選手一覧!$C$7:$C$2738,A462,選手一覧!$I$7:$I$2738,"&lt;=100")</f>
        <v>0</v>
      </c>
      <c r="G462" s="18" t="n">
        <f aca="false">COUNTIFS(選手一覧!$C$7:$C$2738,A462,選手一覧!$K$7:$K$2738,"&lt;=100")</f>
        <v>0</v>
      </c>
      <c r="H462" s="17" t="n">
        <f aca="false">COUNTIF(選手一覧!$C$7:$C$2738,A462)</f>
        <v>4</v>
      </c>
    </row>
    <row r="463" customFormat="false" ht="15" hidden="false" customHeight="false" outlineLevel="0" collapsed="false">
      <c r="A463" s="12" t="s">
        <v>2279</v>
      </c>
      <c r="B463" s="22" t="n">
        <f aca="false">COUNTIFS(選手一覧!$C$7:$C$2738,A463,選手一覧!$E$7:$E$2738,"&lt;=100")</f>
        <v>0</v>
      </c>
      <c r="C463" s="18" t="n">
        <f aca="false">COUNTIFS(選手一覧!$C$7:$C$2738,A463,選手一覧!$E$7:$E$2738,"&gt;0")</f>
        <v>0</v>
      </c>
      <c r="D463" s="14" t="str">
        <f aca="false">IF(C463=0,"",_xlfn.MINIFS(選手一覧!$E$7:$E$2738,選手一覧!$C$7:$C$2738,A463))</f>
        <v/>
      </c>
      <c r="E463" s="20"/>
      <c r="F463" s="18" t="n">
        <f aca="false">COUNTIFS(選手一覧!$C$7:$C$2738,A463,選手一覧!$I$7:$I$2738,"&lt;=100")</f>
        <v>0</v>
      </c>
      <c r="G463" s="18" t="n">
        <f aca="false">COUNTIFS(選手一覧!$C$7:$C$2738,A463,選手一覧!$K$7:$K$2738,"&lt;=100")</f>
        <v>0</v>
      </c>
      <c r="H463" s="17" t="n">
        <f aca="false">COUNTIF(選手一覧!$C$7:$C$2738,A463)</f>
        <v>4</v>
      </c>
    </row>
    <row r="464" customFormat="false" ht="15" hidden="false" customHeight="false" outlineLevel="0" collapsed="false">
      <c r="A464" s="12" t="s">
        <v>2312</v>
      </c>
      <c r="B464" s="22" t="n">
        <f aca="false">COUNTIFS(選手一覧!$C$7:$C$2738,A464,選手一覧!$E$7:$E$2738,"&lt;=100")</f>
        <v>0</v>
      </c>
      <c r="C464" s="18" t="n">
        <f aca="false">COUNTIFS(選手一覧!$C$7:$C$2738,A464,選手一覧!$E$7:$E$2738,"&gt;0")</f>
        <v>0</v>
      </c>
      <c r="D464" s="14" t="str">
        <f aca="false">IF(C464=0,"",_xlfn.MINIFS(選手一覧!$E$7:$E$2738,選手一覧!$C$7:$C$2738,A464))</f>
        <v/>
      </c>
      <c r="E464" s="20"/>
      <c r="F464" s="18" t="n">
        <f aca="false">COUNTIFS(選手一覧!$C$7:$C$2738,A464,選手一覧!$I$7:$I$2738,"&lt;=100")</f>
        <v>0</v>
      </c>
      <c r="G464" s="18" t="n">
        <f aca="false">COUNTIFS(選手一覧!$C$7:$C$2738,A464,選手一覧!$K$7:$K$2738,"&lt;=100")</f>
        <v>0</v>
      </c>
      <c r="H464" s="17" t="n">
        <f aca="false">COUNTIF(選手一覧!$C$7:$C$2738,A464)</f>
        <v>4</v>
      </c>
    </row>
    <row r="465" customFormat="false" ht="15" hidden="false" customHeight="false" outlineLevel="0" collapsed="false">
      <c r="A465" s="12" t="s">
        <v>2381</v>
      </c>
      <c r="B465" s="22" t="n">
        <f aca="false">COUNTIFS(選手一覧!$C$7:$C$2738,A465,選手一覧!$E$7:$E$2738,"&lt;=100")</f>
        <v>0</v>
      </c>
      <c r="C465" s="18" t="n">
        <f aca="false">COUNTIFS(選手一覧!$C$7:$C$2738,A465,選手一覧!$E$7:$E$2738,"&gt;0")</f>
        <v>0</v>
      </c>
      <c r="D465" s="14" t="str">
        <f aca="false">IF(C465=0,"",_xlfn.MINIFS(選手一覧!$E$7:$E$2738,選手一覧!$C$7:$C$2738,A465))</f>
        <v/>
      </c>
      <c r="E465" s="20"/>
      <c r="F465" s="18" t="n">
        <f aca="false">COUNTIFS(選手一覧!$C$7:$C$2738,A465,選手一覧!$I$7:$I$2738,"&lt;=100")</f>
        <v>0</v>
      </c>
      <c r="G465" s="18" t="n">
        <f aca="false">COUNTIFS(選手一覧!$C$7:$C$2738,A465,選手一覧!$K$7:$K$2738,"&lt;=100")</f>
        <v>0</v>
      </c>
      <c r="H465" s="17" t="n">
        <f aca="false">COUNTIF(選手一覧!$C$7:$C$2738,A465)</f>
        <v>4</v>
      </c>
    </row>
    <row r="466" customFormat="false" ht="15" hidden="false" customHeight="false" outlineLevel="0" collapsed="false">
      <c r="A466" s="12" t="s">
        <v>2434</v>
      </c>
      <c r="B466" s="22" t="n">
        <f aca="false">COUNTIFS(選手一覧!$C$7:$C$2738,A466,選手一覧!$E$7:$E$2738,"&lt;=100")</f>
        <v>0</v>
      </c>
      <c r="C466" s="18" t="n">
        <f aca="false">COUNTIFS(選手一覧!$C$7:$C$2738,A466,選手一覧!$E$7:$E$2738,"&gt;0")</f>
        <v>0</v>
      </c>
      <c r="D466" s="14" t="str">
        <f aca="false">IF(C466=0,"",_xlfn.MINIFS(選手一覧!$E$7:$E$2738,選手一覧!$C$7:$C$2738,A466))</f>
        <v/>
      </c>
      <c r="E466" s="20"/>
      <c r="F466" s="18" t="n">
        <f aca="false">COUNTIFS(選手一覧!$C$7:$C$2738,A466,選手一覧!$I$7:$I$2738,"&lt;=100")</f>
        <v>0</v>
      </c>
      <c r="G466" s="18" t="n">
        <f aca="false">COUNTIFS(選手一覧!$C$7:$C$2738,A466,選手一覧!$K$7:$K$2738,"&lt;=100")</f>
        <v>0</v>
      </c>
      <c r="H466" s="17" t="n">
        <f aca="false">COUNTIF(選手一覧!$C$7:$C$2738,A466)</f>
        <v>4</v>
      </c>
    </row>
    <row r="467" customFormat="false" ht="15" hidden="false" customHeight="false" outlineLevel="0" collapsed="false">
      <c r="A467" s="12" t="s">
        <v>2524</v>
      </c>
      <c r="B467" s="22" t="n">
        <f aca="false">COUNTIFS(選手一覧!$C$7:$C$2738,A467,選手一覧!$E$7:$E$2738,"&lt;=100")</f>
        <v>0</v>
      </c>
      <c r="C467" s="18" t="n">
        <f aca="false">COUNTIFS(選手一覧!$C$7:$C$2738,A467,選手一覧!$E$7:$E$2738,"&gt;0")</f>
        <v>0</v>
      </c>
      <c r="D467" s="14" t="str">
        <f aca="false">IF(C467=0,"",_xlfn.MINIFS(選手一覧!$E$7:$E$2738,選手一覧!$C$7:$C$2738,A467))</f>
        <v/>
      </c>
      <c r="E467" s="20"/>
      <c r="F467" s="18" t="n">
        <f aca="false">COUNTIFS(選手一覧!$C$7:$C$2738,A467,選手一覧!$I$7:$I$2738,"&lt;=100")</f>
        <v>0</v>
      </c>
      <c r="G467" s="18" t="n">
        <f aca="false">COUNTIFS(選手一覧!$C$7:$C$2738,A467,選手一覧!$K$7:$K$2738,"&lt;=100")</f>
        <v>0</v>
      </c>
      <c r="H467" s="17" t="n">
        <f aca="false">COUNTIF(選手一覧!$C$7:$C$2738,A467)</f>
        <v>4</v>
      </c>
    </row>
    <row r="468" customFormat="false" ht="15" hidden="false" customHeight="false" outlineLevel="0" collapsed="false">
      <c r="A468" s="12" t="s">
        <v>2541</v>
      </c>
      <c r="B468" s="22" t="n">
        <f aca="false">COUNTIFS(選手一覧!$C$7:$C$2738,A468,選手一覧!$E$7:$E$2738,"&lt;=100")</f>
        <v>0</v>
      </c>
      <c r="C468" s="18" t="n">
        <f aca="false">COUNTIFS(選手一覧!$C$7:$C$2738,A468,選手一覧!$E$7:$E$2738,"&gt;0")</f>
        <v>0</v>
      </c>
      <c r="D468" s="14" t="str">
        <f aca="false">IF(C468=0,"",_xlfn.MINIFS(選手一覧!$E$7:$E$2738,選手一覧!$C$7:$C$2738,A468))</f>
        <v/>
      </c>
      <c r="E468" s="20"/>
      <c r="F468" s="18" t="n">
        <f aca="false">COUNTIFS(選手一覧!$C$7:$C$2738,A468,選手一覧!$I$7:$I$2738,"&lt;=100")</f>
        <v>0</v>
      </c>
      <c r="G468" s="18" t="n">
        <f aca="false">COUNTIFS(選手一覧!$C$7:$C$2738,A468,選手一覧!$K$7:$K$2738,"&lt;=100")</f>
        <v>0</v>
      </c>
      <c r="H468" s="17" t="n">
        <f aca="false">COUNTIF(選手一覧!$C$7:$C$2738,A468)</f>
        <v>4</v>
      </c>
    </row>
    <row r="469" customFormat="false" ht="15" hidden="false" customHeight="false" outlineLevel="0" collapsed="false">
      <c r="A469" s="12" t="s">
        <v>2594</v>
      </c>
      <c r="B469" s="22" t="n">
        <f aca="false">COUNTIFS(選手一覧!$C$7:$C$2738,A469,選手一覧!$E$7:$E$2738,"&lt;=100")</f>
        <v>0</v>
      </c>
      <c r="C469" s="18" t="n">
        <f aca="false">COUNTIFS(選手一覧!$C$7:$C$2738,A469,選手一覧!$E$7:$E$2738,"&gt;0")</f>
        <v>0</v>
      </c>
      <c r="D469" s="14" t="str">
        <f aca="false">IF(C469=0,"",_xlfn.MINIFS(選手一覧!$E$7:$E$2738,選手一覧!$C$7:$C$2738,A469))</f>
        <v/>
      </c>
      <c r="E469" s="20"/>
      <c r="F469" s="18" t="n">
        <f aca="false">COUNTIFS(選手一覧!$C$7:$C$2738,A469,選手一覧!$I$7:$I$2738,"&lt;=100")</f>
        <v>0</v>
      </c>
      <c r="G469" s="18" t="n">
        <f aca="false">COUNTIFS(選手一覧!$C$7:$C$2738,A469,選手一覧!$K$7:$K$2738,"&lt;=100")</f>
        <v>0</v>
      </c>
      <c r="H469" s="17" t="n">
        <f aca="false">COUNTIF(選手一覧!$C$7:$C$2738,A469)</f>
        <v>4</v>
      </c>
    </row>
    <row r="470" customFormat="false" ht="15" hidden="false" customHeight="false" outlineLevel="0" collapsed="false">
      <c r="A470" s="12" t="s">
        <v>2899</v>
      </c>
      <c r="B470" s="22" t="n">
        <f aca="false">COUNTIFS(選手一覧!$C$7:$C$2738,A470,選手一覧!$E$7:$E$2738,"&lt;=100")</f>
        <v>0</v>
      </c>
      <c r="C470" s="18" t="n">
        <f aca="false">COUNTIFS(選手一覧!$C$7:$C$2738,A470,選手一覧!$E$7:$E$2738,"&gt;0")</f>
        <v>0</v>
      </c>
      <c r="D470" s="14" t="str">
        <f aca="false">IF(C470=0,"",_xlfn.MINIFS(選手一覧!$E$7:$E$2738,選手一覧!$C$7:$C$2738,A470))</f>
        <v/>
      </c>
      <c r="E470" s="20"/>
      <c r="F470" s="18" t="n">
        <f aca="false">COUNTIFS(選手一覧!$C$7:$C$2738,A470,選手一覧!$I$7:$I$2738,"&lt;=100")</f>
        <v>0</v>
      </c>
      <c r="G470" s="18" t="n">
        <f aca="false">COUNTIFS(選手一覧!$C$7:$C$2738,A470,選手一覧!$K$7:$K$2738,"&lt;=100")</f>
        <v>0</v>
      </c>
      <c r="H470" s="17" t="n">
        <f aca="false">COUNTIF(選手一覧!$C$7:$C$2738,A470)</f>
        <v>4</v>
      </c>
    </row>
    <row r="471" customFormat="false" ht="15" hidden="false" customHeight="false" outlineLevel="0" collapsed="false">
      <c r="A471" s="12" t="s">
        <v>2909</v>
      </c>
      <c r="B471" s="22" t="n">
        <f aca="false">COUNTIFS(選手一覧!$C$7:$C$2738,A471,選手一覧!$E$7:$E$2738,"&lt;=100")</f>
        <v>0</v>
      </c>
      <c r="C471" s="18" t="n">
        <f aca="false">COUNTIFS(選手一覧!$C$7:$C$2738,A471,選手一覧!$E$7:$E$2738,"&gt;0")</f>
        <v>0</v>
      </c>
      <c r="D471" s="14" t="str">
        <f aca="false">IF(C471=0,"",_xlfn.MINIFS(選手一覧!$E$7:$E$2738,選手一覧!$C$7:$C$2738,A471))</f>
        <v/>
      </c>
      <c r="E471" s="20"/>
      <c r="F471" s="18" t="n">
        <f aca="false">COUNTIFS(選手一覧!$C$7:$C$2738,A471,選手一覧!$I$7:$I$2738,"&lt;=100")</f>
        <v>0</v>
      </c>
      <c r="G471" s="18" t="n">
        <f aca="false">COUNTIFS(選手一覧!$C$7:$C$2738,A471,選手一覧!$K$7:$K$2738,"&lt;=100")</f>
        <v>0</v>
      </c>
      <c r="H471" s="17" t="n">
        <f aca="false">COUNTIF(選手一覧!$C$7:$C$2738,A471)</f>
        <v>4</v>
      </c>
    </row>
    <row r="472" customFormat="false" ht="15" hidden="false" customHeight="false" outlineLevel="0" collapsed="false">
      <c r="A472" s="12" t="s">
        <v>4048</v>
      </c>
      <c r="B472" s="22" t="n">
        <f aca="false">COUNTIFS(選手一覧!$C$7:$C$2738,A472,選手一覧!$E$7:$E$2738,"&lt;=100")</f>
        <v>0</v>
      </c>
      <c r="C472" s="18" t="n">
        <f aca="false">COUNTIFS(選手一覧!$C$7:$C$2738,A472,選手一覧!$E$7:$E$2738,"&gt;0")</f>
        <v>0</v>
      </c>
      <c r="D472" s="14" t="str">
        <f aca="false">IF(C472=0,"",_xlfn.MINIFS(選手一覧!$E$7:$E$2738,選手一覧!$C$7:$C$2738,A472))</f>
        <v/>
      </c>
      <c r="E472" s="20"/>
      <c r="F472" s="18" t="n">
        <f aca="false">COUNTIFS(選手一覧!$C$7:$C$2738,A472,選手一覧!$I$7:$I$2738,"&lt;=100")</f>
        <v>0</v>
      </c>
      <c r="G472" s="18" t="n">
        <f aca="false">COUNTIFS(選手一覧!$C$7:$C$2738,A472,選手一覧!$K$7:$K$2738,"&lt;=100")</f>
        <v>0</v>
      </c>
      <c r="H472" s="17" t="n">
        <f aca="false">COUNTIF(選手一覧!$C$7:$C$2738,A472)</f>
        <v>4</v>
      </c>
    </row>
    <row r="473" customFormat="false" ht="15" hidden="false" customHeight="false" outlineLevel="0" collapsed="false">
      <c r="A473" s="12" t="s">
        <v>2052</v>
      </c>
      <c r="B473" s="22" t="n">
        <f aca="false">COUNTIFS(選手一覧!$C$7:$C$2738,A473,選手一覧!$E$7:$E$2738,"&lt;=100")</f>
        <v>0</v>
      </c>
      <c r="C473" s="18" t="n">
        <f aca="false">COUNTIFS(選手一覧!$C$7:$C$2738,A473,選手一覧!$E$7:$E$2738,"&gt;0")</f>
        <v>0</v>
      </c>
      <c r="D473" s="14" t="str">
        <f aca="false">IF(C473=0,"",_xlfn.MINIFS(選手一覧!$E$7:$E$2738,選手一覧!$C$7:$C$2738,A473))</f>
        <v/>
      </c>
      <c r="E473" s="20"/>
      <c r="F473" s="18" t="n">
        <f aca="false">COUNTIFS(選手一覧!$C$7:$C$2738,A473,選手一覧!$I$7:$I$2738,"&lt;=100")</f>
        <v>0</v>
      </c>
      <c r="G473" s="18" t="n">
        <f aca="false">COUNTIFS(選手一覧!$C$7:$C$2738,A473,選手一覧!$K$7:$K$2738,"&lt;=100")</f>
        <v>1</v>
      </c>
      <c r="H473" s="17" t="n">
        <f aca="false">COUNTIF(選手一覧!$C$7:$C$2738,A473)</f>
        <v>3</v>
      </c>
    </row>
    <row r="474" customFormat="false" ht="15" hidden="false" customHeight="false" outlineLevel="0" collapsed="false">
      <c r="A474" s="12" t="s">
        <v>2060</v>
      </c>
      <c r="B474" s="22" t="n">
        <f aca="false">COUNTIFS(選手一覧!$C$7:$C$2738,A474,選手一覧!$E$7:$E$2738,"&lt;=100")</f>
        <v>0</v>
      </c>
      <c r="C474" s="18" t="n">
        <f aca="false">COUNTIFS(選手一覧!$C$7:$C$2738,A474,選手一覧!$E$7:$E$2738,"&gt;0")</f>
        <v>0</v>
      </c>
      <c r="D474" s="14" t="str">
        <f aca="false">IF(C474=0,"",_xlfn.MINIFS(選手一覧!$E$7:$E$2738,選手一覧!$C$7:$C$2738,A474))</f>
        <v/>
      </c>
      <c r="E474" s="20"/>
      <c r="F474" s="18" t="n">
        <f aca="false">COUNTIFS(選手一覧!$C$7:$C$2738,A474,選手一覧!$I$7:$I$2738,"&lt;=100")</f>
        <v>1</v>
      </c>
      <c r="G474" s="18" t="n">
        <f aca="false">COUNTIFS(選手一覧!$C$7:$C$2738,A474,選手一覧!$K$7:$K$2738,"&lt;=100")</f>
        <v>0</v>
      </c>
      <c r="H474" s="17" t="n">
        <f aca="false">COUNTIF(選手一覧!$C$7:$C$2738,A474)</f>
        <v>3</v>
      </c>
    </row>
    <row r="475" customFormat="false" ht="15" hidden="false" customHeight="false" outlineLevel="0" collapsed="false">
      <c r="A475" s="12" t="s">
        <v>2064</v>
      </c>
      <c r="B475" s="22" t="n">
        <f aca="false">COUNTIFS(選手一覧!$C$7:$C$2738,A475,選手一覧!$E$7:$E$2738,"&lt;=100")</f>
        <v>0</v>
      </c>
      <c r="C475" s="18" t="n">
        <f aca="false">COUNTIFS(選手一覧!$C$7:$C$2738,A475,選手一覧!$E$7:$E$2738,"&gt;0")</f>
        <v>0</v>
      </c>
      <c r="D475" s="14" t="str">
        <f aca="false">IF(C475=0,"",_xlfn.MINIFS(選手一覧!$E$7:$E$2738,選手一覧!$C$7:$C$2738,A475))</f>
        <v/>
      </c>
      <c r="E475" s="20"/>
      <c r="F475" s="18" t="n">
        <f aca="false">COUNTIFS(選手一覧!$C$7:$C$2738,A475,選手一覧!$I$7:$I$2738,"&lt;=100")</f>
        <v>0</v>
      </c>
      <c r="G475" s="18" t="n">
        <f aca="false">COUNTIFS(選手一覧!$C$7:$C$2738,A475,選手一覧!$K$7:$K$2738,"&lt;=100")</f>
        <v>0</v>
      </c>
      <c r="H475" s="17" t="n">
        <f aca="false">COUNTIF(選手一覧!$C$7:$C$2738,A475)</f>
        <v>3</v>
      </c>
    </row>
    <row r="476" customFormat="false" ht="15" hidden="false" customHeight="false" outlineLevel="0" collapsed="false">
      <c r="A476" s="12" t="s">
        <v>2073</v>
      </c>
      <c r="B476" s="22" t="n">
        <f aca="false">COUNTIFS(選手一覧!$C$7:$C$2738,A476,選手一覧!$E$7:$E$2738,"&lt;=100")</f>
        <v>0</v>
      </c>
      <c r="C476" s="18" t="n">
        <f aca="false">COUNTIFS(選手一覧!$C$7:$C$2738,A476,選手一覧!$E$7:$E$2738,"&gt;0")</f>
        <v>0</v>
      </c>
      <c r="D476" s="14" t="str">
        <f aca="false">IF(C476=0,"",_xlfn.MINIFS(選手一覧!$E$7:$E$2738,選手一覧!$C$7:$C$2738,A476))</f>
        <v/>
      </c>
      <c r="E476" s="20"/>
      <c r="F476" s="18" t="n">
        <f aca="false">COUNTIFS(選手一覧!$C$7:$C$2738,A476,選手一覧!$I$7:$I$2738,"&lt;=100")</f>
        <v>0</v>
      </c>
      <c r="G476" s="18" t="n">
        <f aca="false">COUNTIFS(選手一覧!$C$7:$C$2738,A476,選手一覧!$K$7:$K$2738,"&lt;=100")</f>
        <v>0</v>
      </c>
      <c r="H476" s="17" t="n">
        <f aca="false">COUNTIF(選手一覧!$C$7:$C$2738,A476)</f>
        <v>3</v>
      </c>
    </row>
    <row r="477" customFormat="false" ht="15" hidden="false" customHeight="false" outlineLevel="0" collapsed="false">
      <c r="A477" s="12" t="s">
        <v>2112</v>
      </c>
      <c r="B477" s="22" t="n">
        <f aca="false">COUNTIFS(選手一覧!$C$7:$C$2738,A477,選手一覧!$E$7:$E$2738,"&lt;=100")</f>
        <v>0</v>
      </c>
      <c r="C477" s="18" t="n">
        <f aca="false">COUNTIFS(選手一覧!$C$7:$C$2738,A477,選手一覧!$E$7:$E$2738,"&gt;0")</f>
        <v>0</v>
      </c>
      <c r="D477" s="14" t="str">
        <f aca="false">IF(C477=0,"",_xlfn.MINIFS(選手一覧!$E$7:$E$2738,選手一覧!$C$7:$C$2738,A477))</f>
        <v/>
      </c>
      <c r="E477" s="20"/>
      <c r="F477" s="18" t="n">
        <f aca="false">COUNTIFS(選手一覧!$C$7:$C$2738,A477,選手一覧!$I$7:$I$2738,"&lt;=100")</f>
        <v>0</v>
      </c>
      <c r="G477" s="18" t="n">
        <f aca="false">COUNTIFS(選手一覧!$C$7:$C$2738,A477,選手一覧!$K$7:$K$2738,"&lt;=100")</f>
        <v>0</v>
      </c>
      <c r="H477" s="17" t="n">
        <f aca="false">COUNTIF(選手一覧!$C$7:$C$2738,A477)</f>
        <v>3</v>
      </c>
    </row>
    <row r="478" customFormat="false" ht="15" hidden="false" customHeight="false" outlineLevel="0" collapsed="false">
      <c r="A478" s="12" t="s">
        <v>2132</v>
      </c>
      <c r="B478" s="22" t="n">
        <f aca="false">COUNTIFS(選手一覧!$C$7:$C$2738,A478,選手一覧!$E$7:$E$2738,"&lt;=100")</f>
        <v>0</v>
      </c>
      <c r="C478" s="18" t="n">
        <f aca="false">COUNTIFS(選手一覧!$C$7:$C$2738,A478,選手一覧!$E$7:$E$2738,"&gt;0")</f>
        <v>0</v>
      </c>
      <c r="D478" s="14" t="str">
        <f aca="false">IF(C478=0,"",_xlfn.MINIFS(選手一覧!$E$7:$E$2738,選手一覧!$C$7:$C$2738,A478))</f>
        <v/>
      </c>
      <c r="E478" s="20"/>
      <c r="F478" s="18" t="n">
        <f aca="false">COUNTIFS(選手一覧!$C$7:$C$2738,A478,選手一覧!$I$7:$I$2738,"&lt;=100")</f>
        <v>0</v>
      </c>
      <c r="G478" s="18" t="n">
        <f aca="false">COUNTIFS(選手一覧!$C$7:$C$2738,A478,選手一覧!$K$7:$K$2738,"&lt;=100")</f>
        <v>0</v>
      </c>
      <c r="H478" s="17" t="n">
        <f aca="false">COUNTIF(選手一覧!$C$7:$C$2738,A478)</f>
        <v>3</v>
      </c>
    </row>
    <row r="479" customFormat="false" ht="15" hidden="false" customHeight="false" outlineLevel="0" collapsed="false">
      <c r="A479" s="12" t="s">
        <v>2161</v>
      </c>
      <c r="B479" s="22" t="n">
        <f aca="false">COUNTIFS(選手一覧!$C$7:$C$2738,A479,選手一覧!$E$7:$E$2738,"&lt;=100")</f>
        <v>0</v>
      </c>
      <c r="C479" s="18" t="n">
        <f aca="false">COUNTIFS(選手一覧!$C$7:$C$2738,A479,選手一覧!$E$7:$E$2738,"&gt;0")</f>
        <v>0</v>
      </c>
      <c r="D479" s="14" t="str">
        <f aca="false">IF(C479=0,"",_xlfn.MINIFS(選手一覧!$E$7:$E$2738,選手一覧!$C$7:$C$2738,A479))</f>
        <v/>
      </c>
      <c r="E479" s="20"/>
      <c r="F479" s="18" t="n">
        <f aca="false">COUNTIFS(選手一覧!$C$7:$C$2738,A479,選手一覧!$I$7:$I$2738,"&lt;=100")</f>
        <v>0</v>
      </c>
      <c r="G479" s="18" t="n">
        <f aca="false">COUNTIFS(選手一覧!$C$7:$C$2738,A479,選手一覧!$K$7:$K$2738,"&lt;=100")</f>
        <v>0</v>
      </c>
      <c r="H479" s="17" t="n">
        <f aca="false">COUNTIF(選手一覧!$C$7:$C$2738,A479)</f>
        <v>3</v>
      </c>
    </row>
    <row r="480" customFormat="false" ht="15" hidden="false" customHeight="false" outlineLevel="0" collapsed="false">
      <c r="A480" s="12" t="s">
        <v>2174</v>
      </c>
      <c r="B480" s="22" t="n">
        <f aca="false">COUNTIFS(選手一覧!$C$7:$C$2738,A480,選手一覧!$E$7:$E$2738,"&lt;=100")</f>
        <v>0</v>
      </c>
      <c r="C480" s="18" t="n">
        <f aca="false">COUNTIFS(選手一覧!$C$7:$C$2738,A480,選手一覧!$E$7:$E$2738,"&gt;0")</f>
        <v>0</v>
      </c>
      <c r="D480" s="14" t="str">
        <f aca="false">IF(C480=0,"",_xlfn.MINIFS(選手一覧!$E$7:$E$2738,選手一覧!$C$7:$C$2738,A480))</f>
        <v/>
      </c>
      <c r="E480" s="20"/>
      <c r="F480" s="18" t="n">
        <f aca="false">COUNTIFS(選手一覧!$C$7:$C$2738,A480,選手一覧!$I$7:$I$2738,"&lt;=100")</f>
        <v>0</v>
      </c>
      <c r="G480" s="18" t="n">
        <f aca="false">COUNTIFS(選手一覧!$C$7:$C$2738,A480,選手一覧!$K$7:$K$2738,"&lt;=100")</f>
        <v>0</v>
      </c>
      <c r="H480" s="17" t="n">
        <f aca="false">COUNTIF(選手一覧!$C$7:$C$2738,A480)</f>
        <v>3</v>
      </c>
    </row>
    <row r="481" customFormat="false" ht="15" hidden="false" customHeight="false" outlineLevel="0" collapsed="false">
      <c r="A481" s="12" t="s">
        <v>2176</v>
      </c>
      <c r="B481" s="22" t="n">
        <f aca="false">COUNTIFS(選手一覧!$C$7:$C$2738,A481,選手一覧!$E$7:$E$2738,"&lt;=100")</f>
        <v>0</v>
      </c>
      <c r="C481" s="18" t="n">
        <f aca="false">COUNTIFS(選手一覧!$C$7:$C$2738,A481,選手一覧!$E$7:$E$2738,"&gt;0")</f>
        <v>0</v>
      </c>
      <c r="D481" s="14" t="str">
        <f aca="false">IF(C481=0,"",_xlfn.MINIFS(選手一覧!$E$7:$E$2738,選手一覧!$C$7:$C$2738,A481))</f>
        <v/>
      </c>
      <c r="E481" s="20"/>
      <c r="F481" s="18" t="n">
        <f aca="false">COUNTIFS(選手一覧!$C$7:$C$2738,A481,選手一覧!$I$7:$I$2738,"&lt;=100")</f>
        <v>0</v>
      </c>
      <c r="G481" s="18" t="n">
        <f aca="false">COUNTIFS(選手一覧!$C$7:$C$2738,A481,選手一覧!$K$7:$K$2738,"&lt;=100")</f>
        <v>0</v>
      </c>
      <c r="H481" s="17" t="n">
        <f aca="false">COUNTIF(選手一覧!$C$7:$C$2738,A481)</f>
        <v>3</v>
      </c>
    </row>
    <row r="482" customFormat="false" ht="15" hidden="false" customHeight="false" outlineLevel="0" collapsed="false">
      <c r="A482" s="12" t="s">
        <v>2182</v>
      </c>
      <c r="B482" s="22" t="n">
        <f aca="false">COUNTIFS(選手一覧!$C$7:$C$2738,A482,選手一覧!$E$7:$E$2738,"&lt;=100")</f>
        <v>0</v>
      </c>
      <c r="C482" s="18" t="n">
        <f aca="false">COUNTIFS(選手一覧!$C$7:$C$2738,A482,選手一覧!$E$7:$E$2738,"&gt;0")</f>
        <v>0</v>
      </c>
      <c r="D482" s="14" t="str">
        <f aca="false">IF(C482=0,"",_xlfn.MINIFS(選手一覧!$E$7:$E$2738,選手一覧!$C$7:$C$2738,A482))</f>
        <v/>
      </c>
      <c r="E482" s="20"/>
      <c r="F482" s="18" t="n">
        <f aca="false">COUNTIFS(選手一覧!$C$7:$C$2738,A482,選手一覧!$I$7:$I$2738,"&lt;=100")</f>
        <v>0</v>
      </c>
      <c r="G482" s="18" t="n">
        <f aca="false">COUNTIFS(選手一覧!$C$7:$C$2738,A482,選手一覧!$K$7:$K$2738,"&lt;=100")</f>
        <v>0</v>
      </c>
      <c r="H482" s="17" t="n">
        <f aca="false">COUNTIF(選手一覧!$C$7:$C$2738,A482)</f>
        <v>3</v>
      </c>
    </row>
    <row r="483" customFormat="false" ht="15" hidden="false" customHeight="false" outlineLevel="0" collapsed="false">
      <c r="A483" s="12" t="s">
        <v>2188</v>
      </c>
      <c r="B483" s="22" t="n">
        <f aca="false">COUNTIFS(選手一覧!$C$7:$C$2738,A483,選手一覧!$E$7:$E$2738,"&lt;=100")</f>
        <v>0</v>
      </c>
      <c r="C483" s="18" t="n">
        <f aca="false">COUNTIFS(選手一覧!$C$7:$C$2738,A483,選手一覧!$E$7:$E$2738,"&gt;0")</f>
        <v>0</v>
      </c>
      <c r="D483" s="14" t="str">
        <f aca="false">IF(C483=0,"",_xlfn.MINIFS(選手一覧!$E$7:$E$2738,選手一覧!$C$7:$C$2738,A483))</f>
        <v/>
      </c>
      <c r="E483" s="20"/>
      <c r="F483" s="18" t="n">
        <f aca="false">COUNTIFS(選手一覧!$C$7:$C$2738,A483,選手一覧!$I$7:$I$2738,"&lt;=100")</f>
        <v>0</v>
      </c>
      <c r="G483" s="18" t="n">
        <f aca="false">COUNTIFS(選手一覧!$C$7:$C$2738,A483,選手一覧!$K$7:$K$2738,"&lt;=100")</f>
        <v>0</v>
      </c>
      <c r="H483" s="17" t="n">
        <f aca="false">COUNTIF(選手一覧!$C$7:$C$2738,A483)</f>
        <v>3</v>
      </c>
    </row>
    <row r="484" customFormat="false" ht="15" hidden="false" customHeight="false" outlineLevel="0" collapsed="false">
      <c r="A484" s="12" t="s">
        <v>2192</v>
      </c>
      <c r="B484" s="22" t="n">
        <f aca="false">COUNTIFS(選手一覧!$C$7:$C$2738,A484,選手一覧!$E$7:$E$2738,"&lt;=100")</f>
        <v>0</v>
      </c>
      <c r="C484" s="18" t="n">
        <f aca="false">COUNTIFS(選手一覧!$C$7:$C$2738,A484,選手一覧!$E$7:$E$2738,"&gt;0")</f>
        <v>0</v>
      </c>
      <c r="D484" s="14" t="str">
        <f aca="false">IF(C484=0,"",_xlfn.MINIFS(選手一覧!$E$7:$E$2738,選手一覧!$C$7:$C$2738,A484))</f>
        <v/>
      </c>
      <c r="E484" s="20"/>
      <c r="F484" s="18" t="n">
        <f aca="false">COUNTIFS(選手一覧!$C$7:$C$2738,A484,選手一覧!$I$7:$I$2738,"&lt;=100")</f>
        <v>0</v>
      </c>
      <c r="G484" s="18" t="n">
        <f aca="false">COUNTIFS(選手一覧!$C$7:$C$2738,A484,選手一覧!$K$7:$K$2738,"&lt;=100")</f>
        <v>0</v>
      </c>
      <c r="H484" s="17" t="n">
        <f aca="false">COUNTIF(選手一覧!$C$7:$C$2738,A484)</f>
        <v>3</v>
      </c>
    </row>
    <row r="485" customFormat="false" ht="15" hidden="false" customHeight="false" outlineLevel="0" collapsed="false">
      <c r="A485" s="12" t="s">
        <v>2226</v>
      </c>
      <c r="B485" s="22" t="n">
        <f aca="false">COUNTIFS(選手一覧!$C$7:$C$2738,A485,選手一覧!$E$7:$E$2738,"&lt;=100")</f>
        <v>0</v>
      </c>
      <c r="C485" s="18" t="n">
        <f aca="false">COUNTIFS(選手一覧!$C$7:$C$2738,A485,選手一覧!$E$7:$E$2738,"&gt;0")</f>
        <v>0</v>
      </c>
      <c r="D485" s="14" t="str">
        <f aca="false">IF(C485=0,"",_xlfn.MINIFS(選手一覧!$E$7:$E$2738,選手一覧!$C$7:$C$2738,A485))</f>
        <v/>
      </c>
      <c r="E485" s="20"/>
      <c r="F485" s="18" t="n">
        <f aca="false">COUNTIFS(選手一覧!$C$7:$C$2738,A485,選手一覧!$I$7:$I$2738,"&lt;=100")</f>
        <v>0</v>
      </c>
      <c r="G485" s="18" t="n">
        <f aca="false">COUNTIFS(選手一覧!$C$7:$C$2738,A485,選手一覧!$K$7:$K$2738,"&lt;=100")</f>
        <v>0</v>
      </c>
      <c r="H485" s="17" t="n">
        <f aca="false">COUNTIF(選手一覧!$C$7:$C$2738,A485)</f>
        <v>3</v>
      </c>
    </row>
    <row r="486" customFormat="false" ht="15" hidden="false" customHeight="false" outlineLevel="0" collapsed="false">
      <c r="A486" s="12" t="s">
        <v>2270</v>
      </c>
      <c r="B486" s="22" t="n">
        <f aca="false">COUNTIFS(選手一覧!$C$7:$C$2738,A486,選手一覧!$E$7:$E$2738,"&lt;=100")</f>
        <v>0</v>
      </c>
      <c r="C486" s="18" t="n">
        <f aca="false">COUNTIFS(選手一覧!$C$7:$C$2738,A486,選手一覧!$E$7:$E$2738,"&gt;0")</f>
        <v>0</v>
      </c>
      <c r="D486" s="14" t="str">
        <f aca="false">IF(C486=0,"",_xlfn.MINIFS(選手一覧!$E$7:$E$2738,選手一覧!$C$7:$C$2738,A486))</f>
        <v/>
      </c>
      <c r="E486" s="20"/>
      <c r="F486" s="18" t="n">
        <f aca="false">COUNTIFS(選手一覧!$C$7:$C$2738,A486,選手一覧!$I$7:$I$2738,"&lt;=100")</f>
        <v>0</v>
      </c>
      <c r="G486" s="18" t="n">
        <f aca="false">COUNTIFS(選手一覧!$C$7:$C$2738,A486,選手一覧!$K$7:$K$2738,"&lt;=100")</f>
        <v>0</v>
      </c>
      <c r="H486" s="17" t="n">
        <f aca="false">COUNTIF(選手一覧!$C$7:$C$2738,A486)</f>
        <v>3</v>
      </c>
    </row>
    <row r="487" customFormat="false" ht="15" hidden="false" customHeight="false" outlineLevel="0" collapsed="false">
      <c r="A487" s="12" t="s">
        <v>2277</v>
      </c>
      <c r="B487" s="22" t="n">
        <f aca="false">COUNTIFS(選手一覧!$C$7:$C$2738,A487,選手一覧!$E$7:$E$2738,"&lt;=100")</f>
        <v>0</v>
      </c>
      <c r="C487" s="18" t="n">
        <f aca="false">COUNTIFS(選手一覧!$C$7:$C$2738,A487,選手一覧!$E$7:$E$2738,"&gt;0")</f>
        <v>0</v>
      </c>
      <c r="D487" s="14" t="str">
        <f aca="false">IF(C487=0,"",_xlfn.MINIFS(選手一覧!$E$7:$E$2738,選手一覧!$C$7:$C$2738,A487))</f>
        <v/>
      </c>
      <c r="E487" s="20"/>
      <c r="F487" s="18" t="n">
        <f aca="false">COUNTIFS(選手一覧!$C$7:$C$2738,A487,選手一覧!$I$7:$I$2738,"&lt;=100")</f>
        <v>0</v>
      </c>
      <c r="G487" s="18" t="n">
        <f aca="false">COUNTIFS(選手一覧!$C$7:$C$2738,A487,選手一覧!$K$7:$K$2738,"&lt;=100")</f>
        <v>0</v>
      </c>
      <c r="H487" s="17" t="n">
        <f aca="false">COUNTIF(選手一覧!$C$7:$C$2738,A487)</f>
        <v>3</v>
      </c>
    </row>
    <row r="488" customFormat="false" ht="15" hidden="false" customHeight="false" outlineLevel="0" collapsed="false">
      <c r="A488" s="12" t="s">
        <v>2283</v>
      </c>
      <c r="B488" s="22" t="n">
        <f aca="false">COUNTIFS(選手一覧!$C$7:$C$2738,A488,選手一覧!$E$7:$E$2738,"&lt;=100")</f>
        <v>0</v>
      </c>
      <c r="C488" s="18" t="n">
        <f aca="false">COUNTIFS(選手一覧!$C$7:$C$2738,A488,選手一覧!$E$7:$E$2738,"&gt;0")</f>
        <v>0</v>
      </c>
      <c r="D488" s="14" t="str">
        <f aca="false">IF(C488=0,"",_xlfn.MINIFS(選手一覧!$E$7:$E$2738,選手一覧!$C$7:$C$2738,A488))</f>
        <v/>
      </c>
      <c r="E488" s="20"/>
      <c r="F488" s="18" t="n">
        <f aca="false">COUNTIFS(選手一覧!$C$7:$C$2738,A488,選手一覧!$I$7:$I$2738,"&lt;=100")</f>
        <v>0</v>
      </c>
      <c r="G488" s="18" t="n">
        <f aca="false">COUNTIFS(選手一覧!$C$7:$C$2738,A488,選手一覧!$K$7:$K$2738,"&lt;=100")</f>
        <v>0</v>
      </c>
      <c r="H488" s="17" t="n">
        <f aca="false">COUNTIF(選手一覧!$C$7:$C$2738,A488)</f>
        <v>3</v>
      </c>
    </row>
    <row r="489" customFormat="false" ht="15" hidden="false" customHeight="false" outlineLevel="0" collapsed="false">
      <c r="A489" s="12" t="s">
        <v>2318</v>
      </c>
      <c r="B489" s="22" t="n">
        <f aca="false">COUNTIFS(選手一覧!$C$7:$C$2738,A489,選手一覧!$E$7:$E$2738,"&lt;=100")</f>
        <v>0</v>
      </c>
      <c r="C489" s="18" t="n">
        <f aca="false">COUNTIFS(選手一覧!$C$7:$C$2738,A489,選手一覧!$E$7:$E$2738,"&gt;0")</f>
        <v>0</v>
      </c>
      <c r="D489" s="14" t="str">
        <f aca="false">IF(C489=0,"",_xlfn.MINIFS(選手一覧!$E$7:$E$2738,選手一覧!$C$7:$C$2738,A489))</f>
        <v/>
      </c>
      <c r="E489" s="20"/>
      <c r="F489" s="18" t="n">
        <f aca="false">COUNTIFS(選手一覧!$C$7:$C$2738,A489,選手一覧!$I$7:$I$2738,"&lt;=100")</f>
        <v>0</v>
      </c>
      <c r="G489" s="18" t="n">
        <f aca="false">COUNTIFS(選手一覧!$C$7:$C$2738,A489,選手一覧!$K$7:$K$2738,"&lt;=100")</f>
        <v>0</v>
      </c>
      <c r="H489" s="17" t="n">
        <f aca="false">COUNTIF(選手一覧!$C$7:$C$2738,A489)</f>
        <v>3</v>
      </c>
    </row>
    <row r="490" customFormat="false" ht="15" hidden="false" customHeight="false" outlineLevel="0" collapsed="false">
      <c r="A490" s="12" t="s">
        <v>2385</v>
      </c>
      <c r="B490" s="22" t="n">
        <f aca="false">COUNTIFS(選手一覧!$C$7:$C$2738,A490,選手一覧!$E$7:$E$2738,"&lt;=100")</f>
        <v>0</v>
      </c>
      <c r="C490" s="18" t="n">
        <f aca="false">COUNTIFS(選手一覧!$C$7:$C$2738,A490,選手一覧!$E$7:$E$2738,"&gt;0")</f>
        <v>0</v>
      </c>
      <c r="D490" s="14" t="str">
        <f aca="false">IF(C490=0,"",_xlfn.MINIFS(選手一覧!$E$7:$E$2738,選手一覧!$C$7:$C$2738,A490))</f>
        <v/>
      </c>
      <c r="E490" s="20"/>
      <c r="F490" s="18" t="n">
        <f aca="false">COUNTIFS(選手一覧!$C$7:$C$2738,A490,選手一覧!$I$7:$I$2738,"&lt;=100")</f>
        <v>0</v>
      </c>
      <c r="G490" s="18" t="n">
        <f aca="false">COUNTIFS(選手一覧!$C$7:$C$2738,A490,選手一覧!$K$7:$K$2738,"&lt;=100")</f>
        <v>0</v>
      </c>
      <c r="H490" s="17" t="n">
        <f aca="false">COUNTIF(選手一覧!$C$7:$C$2738,A490)</f>
        <v>3</v>
      </c>
    </row>
    <row r="491" customFormat="false" ht="15" hidden="false" customHeight="false" outlineLevel="0" collapsed="false">
      <c r="A491" s="12" t="s">
        <v>2391</v>
      </c>
      <c r="B491" s="22" t="n">
        <f aca="false">COUNTIFS(選手一覧!$C$7:$C$2738,A491,選手一覧!$E$7:$E$2738,"&lt;=100")</f>
        <v>0</v>
      </c>
      <c r="C491" s="18" t="n">
        <f aca="false">COUNTIFS(選手一覧!$C$7:$C$2738,A491,選手一覧!$E$7:$E$2738,"&gt;0")</f>
        <v>0</v>
      </c>
      <c r="D491" s="14" t="str">
        <f aca="false">IF(C491=0,"",_xlfn.MINIFS(選手一覧!$E$7:$E$2738,選手一覧!$C$7:$C$2738,A491))</f>
        <v/>
      </c>
      <c r="E491" s="20"/>
      <c r="F491" s="18" t="n">
        <f aca="false">COUNTIFS(選手一覧!$C$7:$C$2738,A491,選手一覧!$I$7:$I$2738,"&lt;=100")</f>
        <v>0</v>
      </c>
      <c r="G491" s="18" t="n">
        <f aca="false">COUNTIFS(選手一覧!$C$7:$C$2738,A491,選手一覧!$K$7:$K$2738,"&lt;=100")</f>
        <v>0</v>
      </c>
      <c r="H491" s="17" t="n">
        <f aca="false">COUNTIF(選手一覧!$C$7:$C$2738,A491)</f>
        <v>3</v>
      </c>
    </row>
    <row r="492" customFormat="false" ht="15" hidden="false" customHeight="false" outlineLevel="0" collapsed="false">
      <c r="A492" s="12" t="s">
        <v>2414</v>
      </c>
      <c r="B492" s="22" t="n">
        <f aca="false">COUNTIFS(選手一覧!$C$7:$C$2738,A492,選手一覧!$E$7:$E$2738,"&lt;=100")</f>
        <v>0</v>
      </c>
      <c r="C492" s="18" t="n">
        <f aca="false">COUNTIFS(選手一覧!$C$7:$C$2738,A492,選手一覧!$E$7:$E$2738,"&gt;0")</f>
        <v>0</v>
      </c>
      <c r="D492" s="14" t="str">
        <f aca="false">IF(C492=0,"",_xlfn.MINIFS(選手一覧!$E$7:$E$2738,選手一覧!$C$7:$C$2738,A492))</f>
        <v/>
      </c>
      <c r="E492" s="20"/>
      <c r="F492" s="18" t="n">
        <f aca="false">COUNTIFS(選手一覧!$C$7:$C$2738,A492,選手一覧!$I$7:$I$2738,"&lt;=100")</f>
        <v>0</v>
      </c>
      <c r="G492" s="18" t="n">
        <f aca="false">COUNTIFS(選手一覧!$C$7:$C$2738,A492,選手一覧!$K$7:$K$2738,"&lt;=100")</f>
        <v>0</v>
      </c>
      <c r="H492" s="17" t="n">
        <f aca="false">COUNTIF(選手一覧!$C$7:$C$2738,A492)</f>
        <v>3</v>
      </c>
    </row>
    <row r="493" customFormat="false" ht="15" hidden="false" customHeight="false" outlineLevel="0" collapsed="false">
      <c r="A493" s="12" t="s">
        <v>2431</v>
      </c>
      <c r="B493" s="22" t="n">
        <f aca="false">COUNTIFS(選手一覧!$C$7:$C$2738,A493,選手一覧!$E$7:$E$2738,"&lt;=100")</f>
        <v>0</v>
      </c>
      <c r="C493" s="18" t="n">
        <f aca="false">COUNTIFS(選手一覧!$C$7:$C$2738,A493,選手一覧!$E$7:$E$2738,"&gt;0")</f>
        <v>0</v>
      </c>
      <c r="D493" s="14" t="str">
        <f aca="false">IF(C493=0,"",_xlfn.MINIFS(選手一覧!$E$7:$E$2738,選手一覧!$C$7:$C$2738,A493))</f>
        <v/>
      </c>
      <c r="E493" s="20"/>
      <c r="F493" s="18" t="n">
        <f aca="false">COUNTIFS(選手一覧!$C$7:$C$2738,A493,選手一覧!$I$7:$I$2738,"&lt;=100")</f>
        <v>0</v>
      </c>
      <c r="G493" s="18" t="n">
        <f aca="false">COUNTIFS(選手一覧!$C$7:$C$2738,A493,選手一覧!$K$7:$K$2738,"&lt;=100")</f>
        <v>0</v>
      </c>
      <c r="H493" s="17" t="n">
        <f aca="false">COUNTIF(選手一覧!$C$7:$C$2738,A493)</f>
        <v>3</v>
      </c>
    </row>
    <row r="494" customFormat="false" ht="15" hidden="false" customHeight="false" outlineLevel="0" collapsed="false">
      <c r="A494" s="12" t="s">
        <v>2453</v>
      </c>
      <c r="B494" s="22" t="n">
        <f aca="false">COUNTIFS(選手一覧!$C$7:$C$2738,A494,選手一覧!$E$7:$E$2738,"&lt;=100")</f>
        <v>0</v>
      </c>
      <c r="C494" s="18" t="n">
        <f aca="false">COUNTIFS(選手一覧!$C$7:$C$2738,A494,選手一覧!$E$7:$E$2738,"&gt;0")</f>
        <v>0</v>
      </c>
      <c r="D494" s="14" t="str">
        <f aca="false">IF(C494=0,"",_xlfn.MINIFS(選手一覧!$E$7:$E$2738,選手一覧!$C$7:$C$2738,A494))</f>
        <v/>
      </c>
      <c r="E494" s="20"/>
      <c r="F494" s="18" t="n">
        <f aca="false">COUNTIFS(選手一覧!$C$7:$C$2738,A494,選手一覧!$I$7:$I$2738,"&lt;=100")</f>
        <v>0</v>
      </c>
      <c r="G494" s="18" t="n">
        <f aca="false">COUNTIFS(選手一覧!$C$7:$C$2738,A494,選手一覧!$K$7:$K$2738,"&lt;=100")</f>
        <v>0</v>
      </c>
      <c r="H494" s="17" t="n">
        <f aca="false">COUNTIF(選手一覧!$C$7:$C$2738,A494)</f>
        <v>3</v>
      </c>
    </row>
    <row r="495" customFormat="false" ht="15" hidden="false" customHeight="false" outlineLevel="0" collapsed="false">
      <c r="A495" s="12" t="s">
        <v>2564</v>
      </c>
      <c r="B495" s="22" t="n">
        <f aca="false">COUNTIFS(選手一覧!$C$7:$C$2738,A495,選手一覧!$E$7:$E$2738,"&lt;=100")</f>
        <v>0</v>
      </c>
      <c r="C495" s="18" t="n">
        <f aca="false">COUNTIFS(選手一覧!$C$7:$C$2738,A495,選手一覧!$E$7:$E$2738,"&gt;0")</f>
        <v>0</v>
      </c>
      <c r="D495" s="14" t="str">
        <f aca="false">IF(C495=0,"",_xlfn.MINIFS(選手一覧!$E$7:$E$2738,選手一覧!$C$7:$C$2738,A495))</f>
        <v/>
      </c>
      <c r="E495" s="20"/>
      <c r="F495" s="18" t="n">
        <f aca="false">COUNTIFS(選手一覧!$C$7:$C$2738,A495,選手一覧!$I$7:$I$2738,"&lt;=100")</f>
        <v>0</v>
      </c>
      <c r="G495" s="18" t="n">
        <f aca="false">COUNTIFS(選手一覧!$C$7:$C$2738,A495,選手一覧!$K$7:$K$2738,"&lt;=100")</f>
        <v>0</v>
      </c>
      <c r="H495" s="17" t="n">
        <f aca="false">COUNTIF(選手一覧!$C$7:$C$2738,A495)</f>
        <v>3</v>
      </c>
    </row>
    <row r="496" customFormat="false" ht="15" hidden="false" customHeight="false" outlineLevel="0" collapsed="false">
      <c r="A496" s="12" t="s">
        <v>2619</v>
      </c>
      <c r="B496" s="22" t="n">
        <f aca="false">COUNTIFS(選手一覧!$C$7:$C$2738,A496,選手一覧!$E$7:$E$2738,"&lt;=100")</f>
        <v>0</v>
      </c>
      <c r="C496" s="18" t="n">
        <f aca="false">COUNTIFS(選手一覧!$C$7:$C$2738,A496,選手一覧!$E$7:$E$2738,"&gt;0")</f>
        <v>0</v>
      </c>
      <c r="D496" s="14" t="str">
        <f aca="false">IF(C496=0,"",_xlfn.MINIFS(選手一覧!$E$7:$E$2738,選手一覧!$C$7:$C$2738,A496))</f>
        <v/>
      </c>
      <c r="E496" s="20"/>
      <c r="F496" s="18" t="n">
        <f aca="false">COUNTIFS(選手一覧!$C$7:$C$2738,A496,選手一覧!$I$7:$I$2738,"&lt;=100")</f>
        <v>0</v>
      </c>
      <c r="G496" s="18" t="n">
        <f aca="false">COUNTIFS(選手一覧!$C$7:$C$2738,A496,選手一覧!$K$7:$K$2738,"&lt;=100")</f>
        <v>0</v>
      </c>
      <c r="H496" s="17" t="n">
        <f aca="false">COUNTIF(選手一覧!$C$7:$C$2738,A496)</f>
        <v>3</v>
      </c>
    </row>
    <row r="497" customFormat="false" ht="15" hidden="false" customHeight="false" outlineLevel="0" collapsed="false">
      <c r="A497" s="12" t="s">
        <v>2621</v>
      </c>
      <c r="B497" s="22" t="n">
        <f aca="false">COUNTIFS(選手一覧!$C$7:$C$2738,A497,選手一覧!$E$7:$E$2738,"&lt;=100")</f>
        <v>0</v>
      </c>
      <c r="C497" s="18" t="n">
        <f aca="false">COUNTIFS(選手一覧!$C$7:$C$2738,A497,選手一覧!$E$7:$E$2738,"&gt;0")</f>
        <v>0</v>
      </c>
      <c r="D497" s="14" t="str">
        <f aca="false">IF(C497=0,"",_xlfn.MINIFS(選手一覧!$E$7:$E$2738,選手一覧!$C$7:$C$2738,A497))</f>
        <v/>
      </c>
      <c r="E497" s="20"/>
      <c r="F497" s="18" t="n">
        <f aca="false">COUNTIFS(選手一覧!$C$7:$C$2738,A497,選手一覧!$I$7:$I$2738,"&lt;=100")</f>
        <v>0</v>
      </c>
      <c r="G497" s="18" t="n">
        <f aca="false">COUNTIFS(選手一覧!$C$7:$C$2738,A497,選手一覧!$K$7:$K$2738,"&lt;=100")</f>
        <v>0</v>
      </c>
      <c r="H497" s="17" t="n">
        <f aca="false">COUNTIF(選手一覧!$C$7:$C$2738,A497)</f>
        <v>3</v>
      </c>
    </row>
    <row r="498" customFormat="false" ht="15" hidden="false" customHeight="false" outlineLevel="0" collapsed="false">
      <c r="A498" s="12" t="s">
        <v>2631</v>
      </c>
      <c r="B498" s="22" t="n">
        <f aca="false">COUNTIFS(選手一覧!$C$7:$C$2738,A498,選手一覧!$E$7:$E$2738,"&lt;=100")</f>
        <v>0</v>
      </c>
      <c r="C498" s="18" t="n">
        <f aca="false">COUNTIFS(選手一覧!$C$7:$C$2738,A498,選手一覧!$E$7:$E$2738,"&gt;0")</f>
        <v>0</v>
      </c>
      <c r="D498" s="14" t="str">
        <f aca="false">IF(C498=0,"",_xlfn.MINIFS(選手一覧!$E$7:$E$2738,選手一覧!$C$7:$C$2738,A498))</f>
        <v/>
      </c>
      <c r="E498" s="20"/>
      <c r="F498" s="18" t="n">
        <f aca="false">COUNTIFS(選手一覧!$C$7:$C$2738,A498,選手一覧!$I$7:$I$2738,"&lt;=100")</f>
        <v>0</v>
      </c>
      <c r="G498" s="18" t="n">
        <f aca="false">COUNTIFS(選手一覧!$C$7:$C$2738,A498,選手一覧!$K$7:$K$2738,"&lt;=100")</f>
        <v>0</v>
      </c>
      <c r="H498" s="17" t="n">
        <f aca="false">COUNTIF(選手一覧!$C$7:$C$2738,A498)</f>
        <v>3</v>
      </c>
    </row>
    <row r="499" customFormat="false" ht="15" hidden="false" customHeight="false" outlineLevel="0" collapsed="false">
      <c r="A499" s="12" t="s">
        <v>2649</v>
      </c>
      <c r="B499" s="22" t="n">
        <f aca="false">COUNTIFS(選手一覧!$C$7:$C$2738,A499,選手一覧!$E$7:$E$2738,"&lt;=100")</f>
        <v>0</v>
      </c>
      <c r="C499" s="18" t="n">
        <f aca="false">COUNTIFS(選手一覧!$C$7:$C$2738,A499,選手一覧!$E$7:$E$2738,"&gt;0")</f>
        <v>0</v>
      </c>
      <c r="D499" s="14" t="str">
        <f aca="false">IF(C499=0,"",_xlfn.MINIFS(選手一覧!$E$7:$E$2738,選手一覧!$C$7:$C$2738,A499))</f>
        <v/>
      </c>
      <c r="E499" s="20"/>
      <c r="F499" s="18" t="n">
        <f aca="false">COUNTIFS(選手一覧!$C$7:$C$2738,A499,選手一覧!$I$7:$I$2738,"&lt;=100")</f>
        <v>0</v>
      </c>
      <c r="G499" s="18" t="n">
        <f aca="false">COUNTIFS(選手一覧!$C$7:$C$2738,A499,選手一覧!$K$7:$K$2738,"&lt;=100")</f>
        <v>0</v>
      </c>
      <c r="H499" s="17" t="n">
        <f aca="false">COUNTIF(選手一覧!$C$7:$C$2738,A499)</f>
        <v>3</v>
      </c>
    </row>
    <row r="500" customFormat="false" ht="15" hidden="false" customHeight="false" outlineLevel="0" collapsed="false">
      <c r="A500" s="12" t="s">
        <v>2651</v>
      </c>
      <c r="B500" s="22" t="n">
        <f aca="false">COUNTIFS(選手一覧!$C$7:$C$2738,A500,選手一覧!$E$7:$E$2738,"&lt;=100")</f>
        <v>0</v>
      </c>
      <c r="C500" s="18" t="n">
        <f aca="false">COUNTIFS(選手一覧!$C$7:$C$2738,A500,選手一覧!$E$7:$E$2738,"&gt;0")</f>
        <v>0</v>
      </c>
      <c r="D500" s="14" t="str">
        <f aca="false">IF(C500=0,"",_xlfn.MINIFS(選手一覧!$E$7:$E$2738,選手一覧!$C$7:$C$2738,A500))</f>
        <v/>
      </c>
      <c r="E500" s="20"/>
      <c r="F500" s="18" t="n">
        <f aca="false">COUNTIFS(選手一覧!$C$7:$C$2738,A500,選手一覧!$I$7:$I$2738,"&lt;=100")</f>
        <v>0</v>
      </c>
      <c r="G500" s="18" t="n">
        <f aca="false">COUNTIFS(選手一覧!$C$7:$C$2738,A500,選手一覧!$K$7:$K$2738,"&lt;=100")</f>
        <v>0</v>
      </c>
      <c r="H500" s="17" t="n">
        <f aca="false">COUNTIF(選手一覧!$C$7:$C$2738,A500)</f>
        <v>3</v>
      </c>
    </row>
    <row r="501" customFormat="false" ht="15" hidden="false" customHeight="false" outlineLevel="0" collapsed="false">
      <c r="A501" s="12" t="s">
        <v>2667</v>
      </c>
      <c r="B501" s="22" t="n">
        <f aca="false">COUNTIFS(選手一覧!$C$7:$C$2738,A501,選手一覧!$E$7:$E$2738,"&lt;=100")</f>
        <v>0</v>
      </c>
      <c r="C501" s="18" t="n">
        <f aca="false">COUNTIFS(選手一覧!$C$7:$C$2738,A501,選手一覧!$E$7:$E$2738,"&gt;0")</f>
        <v>0</v>
      </c>
      <c r="D501" s="14" t="str">
        <f aca="false">IF(C501=0,"",_xlfn.MINIFS(選手一覧!$E$7:$E$2738,選手一覧!$C$7:$C$2738,A501))</f>
        <v/>
      </c>
      <c r="E501" s="20"/>
      <c r="F501" s="18" t="n">
        <f aca="false">COUNTIFS(選手一覧!$C$7:$C$2738,A501,選手一覧!$I$7:$I$2738,"&lt;=100")</f>
        <v>0</v>
      </c>
      <c r="G501" s="18" t="n">
        <f aca="false">COUNTIFS(選手一覧!$C$7:$C$2738,A501,選手一覧!$K$7:$K$2738,"&lt;=100")</f>
        <v>0</v>
      </c>
      <c r="H501" s="17" t="n">
        <f aca="false">COUNTIF(選手一覧!$C$7:$C$2738,A501)</f>
        <v>3</v>
      </c>
    </row>
    <row r="502" customFormat="false" ht="15" hidden="false" customHeight="false" outlineLevel="0" collapsed="false">
      <c r="A502" s="12" t="s">
        <v>2688</v>
      </c>
      <c r="B502" s="22" t="n">
        <f aca="false">COUNTIFS(選手一覧!$C$7:$C$2738,A502,選手一覧!$E$7:$E$2738,"&lt;=100")</f>
        <v>0</v>
      </c>
      <c r="C502" s="18" t="n">
        <f aca="false">COUNTIFS(選手一覧!$C$7:$C$2738,A502,選手一覧!$E$7:$E$2738,"&gt;0")</f>
        <v>0</v>
      </c>
      <c r="D502" s="14" t="str">
        <f aca="false">IF(C502=0,"",_xlfn.MINIFS(選手一覧!$E$7:$E$2738,選手一覧!$C$7:$C$2738,A502))</f>
        <v/>
      </c>
      <c r="E502" s="20"/>
      <c r="F502" s="18" t="n">
        <f aca="false">COUNTIFS(選手一覧!$C$7:$C$2738,A502,選手一覧!$I$7:$I$2738,"&lt;=100")</f>
        <v>0</v>
      </c>
      <c r="G502" s="18" t="n">
        <f aca="false">COUNTIFS(選手一覧!$C$7:$C$2738,A502,選手一覧!$K$7:$K$2738,"&lt;=100")</f>
        <v>0</v>
      </c>
      <c r="H502" s="17" t="n">
        <f aca="false">COUNTIF(選手一覧!$C$7:$C$2738,A502)</f>
        <v>3</v>
      </c>
    </row>
    <row r="503" customFormat="false" ht="15" hidden="false" customHeight="false" outlineLevel="0" collapsed="false">
      <c r="A503" s="12" t="s">
        <v>2704</v>
      </c>
      <c r="B503" s="22" t="n">
        <f aca="false">COUNTIFS(選手一覧!$C$7:$C$2738,A503,選手一覧!$E$7:$E$2738,"&lt;=100")</f>
        <v>0</v>
      </c>
      <c r="C503" s="18" t="n">
        <f aca="false">COUNTIFS(選手一覧!$C$7:$C$2738,A503,選手一覧!$E$7:$E$2738,"&gt;0")</f>
        <v>0</v>
      </c>
      <c r="D503" s="14" t="str">
        <f aca="false">IF(C503=0,"",_xlfn.MINIFS(選手一覧!$E$7:$E$2738,選手一覧!$C$7:$C$2738,A503))</f>
        <v/>
      </c>
      <c r="E503" s="20"/>
      <c r="F503" s="18" t="n">
        <f aca="false">COUNTIFS(選手一覧!$C$7:$C$2738,A503,選手一覧!$I$7:$I$2738,"&lt;=100")</f>
        <v>0</v>
      </c>
      <c r="G503" s="18" t="n">
        <f aca="false">COUNTIFS(選手一覧!$C$7:$C$2738,A503,選手一覧!$K$7:$K$2738,"&lt;=100")</f>
        <v>0</v>
      </c>
      <c r="H503" s="17" t="n">
        <f aca="false">COUNTIF(選手一覧!$C$7:$C$2738,A503)</f>
        <v>3</v>
      </c>
    </row>
    <row r="504" customFormat="false" ht="15" hidden="false" customHeight="false" outlineLevel="0" collapsed="false">
      <c r="A504" s="12" t="s">
        <v>2726</v>
      </c>
      <c r="B504" s="22" t="n">
        <f aca="false">COUNTIFS(選手一覧!$C$7:$C$2738,A504,選手一覧!$E$7:$E$2738,"&lt;=100")</f>
        <v>0</v>
      </c>
      <c r="C504" s="18" t="n">
        <f aca="false">COUNTIFS(選手一覧!$C$7:$C$2738,A504,選手一覧!$E$7:$E$2738,"&gt;0")</f>
        <v>0</v>
      </c>
      <c r="D504" s="14" t="str">
        <f aca="false">IF(C504=0,"",_xlfn.MINIFS(選手一覧!$E$7:$E$2738,選手一覧!$C$7:$C$2738,A504))</f>
        <v/>
      </c>
      <c r="E504" s="20"/>
      <c r="F504" s="18" t="n">
        <f aca="false">COUNTIFS(選手一覧!$C$7:$C$2738,A504,選手一覧!$I$7:$I$2738,"&lt;=100")</f>
        <v>0</v>
      </c>
      <c r="G504" s="18" t="n">
        <f aca="false">COUNTIFS(選手一覧!$C$7:$C$2738,A504,選手一覧!$K$7:$K$2738,"&lt;=100")</f>
        <v>0</v>
      </c>
      <c r="H504" s="17" t="n">
        <f aca="false">COUNTIF(選手一覧!$C$7:$C$2738,A504)</f>
        <v>3</v>
      </c>
    </row>
    <row r="505" customFormat="false" ht="15" hidden="false" customHeight="false" outlineLevel="0" collapsed="false">
      <c r="A505" s="12" t="s">
        <v>2741</v>
      </c>
      <c r="B505" s="22" t="n">
        <f aca="false">COUNTIFS(選手一覧!$C$7:$C$2738,A505,選手一覧!$E$7:$E$2738,"&lt;=100")</f>
        <v>0</v>
      </c>
      <c r="C505" s="18" t="n">
        <f aca="false">COUNTIFS(選手一覧!$C$7:$C$2738,A505,選手一覧!$E$7:$E$2738,"&gt;0")</f>
        <v>0</v>
      </c>
      <c r="D505" s="14" t="str">
        <f aca="false">IF(C505=0,"",_xlfn.MINIFS(選手一覧!$E$7:$E$2738,選手一覧!$C$7:$C$2738,A505))</f>
        <v/>
      </c>
      <c r="E505" s="20"/>
      <c r="F505" s="18" t="n">
        <f aca="false">COUNTIFS(選手一覧!$C$7:$C$2738,A505,選手一覧!$I$7:$I$2738,"&lt;=100")</f>
        <v>0</v>
      </c>
      <c r="G505" s="18" t="n">
        <f aca="false">COUNTIFS(選手一覧!$C$7:$C$2738,A505,選手一覧!$K$7:$K$2738,"&lt;=100")</f>
        <v>0</v>
      </c>
      <c r="H505" s="17" t="n">
        <f aca="false">COUNTIF(選手一覧!$C$7:$C$2738,A505)</f>
        <v>3</v>
      </c>
    </row>
    <row r="506" customFormat="false" ht="15" hidden="false" customHeight="false" outlineLevel="0" collapsed="false">
      <c r="A506" s="12" t="s">
        <v>2798</v>
      </c>
      <c r="B506" s="22" t="n">
        <f aca="false">COUNTIFS(選手一覧!$C$7:$C$2738,A506,選手一覧!$E$7:$E$2738,"&lt;=100")</f>
        <v>0</v>
      </c>
      <c r="C506" s="18" t="n">
        <f aca="false">COUNTIFS(選手一覧!$C$7:$C$2738,A506,選手一覧!$E$7:$E$2738,"&gt;0")</f>
        <v>0</v>
      </c>
      <c r="D506" s="14" t="str">
        <f aca="false">IF(C506=0,"",_xlfn.MINIFS(選手一覧!$E$7:$E$2738,選手一覧!$C$7:$C$2738,A506))</f>
        <v/>
      </c>
      <c r="E506" s="20"/>
      <c r="F506" s="18" t="n">
        <f aca="false">COUNTIFS(選手一覧!$C$7:$C$2738,A506,選手一覧!$I$7:$I$2738,"&lt;=100")</f>
        <v>0</v>
      </c>
      <c r="G506" s="18" t="n">
        <f aca="false">COUNTIFS(選手一覧!$C$7:$C$2738,A506,選手一覧!$K$7:$K$2738,"&lt;=100")</f>
        <v>0</v>
      </c>
      <c r="H506" s="17" t="n">
        <f aca="false">COUNTIF(選手一覧!$C$7:$C$2738,A506)</f>
        <v>3</v>
      </c>
    </row>
    <row r="507" customFormat="false" ht="15" hidden="false" customHeight="false" outlineLevel="0" collapsed="false">
      <c r="A507" s="12" t="s">
        <v>2807</v>
      </c>
      <c r="B507" s="22" t="n">
        <f aca="false">COUNTIFS(選手一覧!$C$7:$C$2738,A507,選手一覧!$E$7:$E$2738,"&lt;=100")</f>
        <v>0</v>
      </c>
      <c r="C507" s="18" t="n">
        <f aca="false">COUNTIFS(選手一覧!$C$7:$C$2738,A507,選手一覧!$E$7:$E$2738,"&gt;0")</f>
        <v>0</v>
      </c>
      <c r="D507" s="14" t="str">
        <f aca="false">IF(C507=0,"",_xlfn.MINIFS(選手一覧!$E$7:$E$2738,選手一覧!$C$7:$C$2738,A507))</f>
        <v/>
      </c>
      <c r="E507" s="20"/>
      <c r="F507" s="18" t="n">
        <f aca="false">COUNTIFS(選手一覧!$C$7:$C$2738,A507,選手一覧!$I$7:$I$2738,"&lt;=100")</f>
        <v>0</v>
      </c>
      <c r="G507" s="18" t="n">
        <f aca="false">COUNTIFS(選手一覧!$C$7:$C$2738,A507,選手一覧!$K$7:$K$2738,"&lt;=100")</f>
        <v>0</v>
      </c>
      <c r="H507" s="17" t="n">
        <f aca="false">COUNTIF(選手一覧!$C$7:$C$2738,A507)</f>
        <v>3</v>
      </c>
    </row>
    <row r="508" customFormat="false" ht="15" hidden="false" customHeight="false" outlineLevel="0" collapsed="false">
      <c r="A508" s="12" t="s">
        <v>2826</v>
      </c>
      <c r="B508" s="22" t="n">
        <f aca="false">COUNTIFS(選手一覧!$C$7:$C$2738,A508,選手一覧!$E$7:$E$2738,"&lt;=100")</f>
        <v>0</v>
      </c>
      <c r="C508" s="18" t="n">
        <f aca="false">COUNTIFS(選手一覧!$C$7:$C$2738,A508,選手一覧!$E$7:$E$2738,"&gt;0")</f>
        <v>0</v>
      </c>
      <c r="D508" s="14" t="str">
        <f aca="false">IF(C508=0,"",_xlfn.MINIFS(選手一覧!$E$7:$E$2738,選手一覧!$C$7:$C$2738,A508))</f>
        <v/>
      </c>
      <c r="E508" s="20"/>
      <c r="F508" s="18" t="n">
        <f aca="false">COUNTIFS(選手一覧!$C$7:$C$2738,A508,選手一覧!$I$7:$I$2738,"&lt;=100")</f>
        <v>0</v>
      </c>
      <c r="G508" s="18" t="n">
        <f aca="false">COUNTIFS(選手一覧!$C$7:$C$2738,A508,選手一覧!$K$7:$K$2738,"&lt;=100")</f>
        <v>0</v>
      </c>
      <c r="H508" s="17" t="n">
        <f aca="false">COUNTIF(選手一覧!$C$7:$C$2738,A508)</f>
        <v>3</v>
      </c>
    </row>
    <row r="509" customFormat="false" ht="15" hidden="false" customHeight="false" outlineLevel="0" collapsed="false">
      <c r="A509" s="12" t="s">
        <v>2883</v>
      </c>
      <c r="B509" s="22" t="n">
        <f aca="false">COUNTIFS(選手一覧!$C$7:$C$2738,A509,選手一覧!$E$7:$E$2738,"&lt;=100")</f>
        <v>0</v>
      </c>
      <c r="C509" s="18" t="n">
        <f aca="false">COUNTIFS(選手一覧!$C$7:$C$2738,A509,選手一覧!$E$7:$E$2738,"&gt;0")</f>
        <v>0</v>
      </c>
      <c r="D509" s="14" t="str">
        <f aca="false">IF(C509=0,"",_xlfn.MINIFS(選手一覧!$E$7:$E$2738,選手一覧!$C$7:$C$2738,A509))</f>
        <v/>
      </c>
      <c r="E509" s="20"/>
      <c r="F509" s="18" t="n">
        <f aca="false">COUNTIFS(選手一覧!$C$7:$C$2738,A509,選手一覧!$I$7:$I$2738,"&lt;=100")</f>
        <v>0</v>
      </c>
      <c r="G509" s="18" t="n">
        <f aca="false">COUNTIFS(選手一覧!$C$7:$C$2738,A509,選手一覧!$K$7:$K$2738,"&lt;=100")</f>
        <v>0</v>
      </c>
      <c r="H509" s="17" t="n">
        <f aca="false">COUNTIF(選手一覧!$C$7:$C$2738,A509)</f>
        <v>3</v>
      </c>
    </row>
    <row r="510" customFormat="false" ht="15" hidden="false" customHeight="false" outlineLevel="0" collapsed="false">
      <c r="A510" s="12" t="s">
        <v>2921</v>
      </c>
      <c r="B510" s="22" t="n">
        <f aca="false">COUNTIFS(選手一覧!$C$7:$C$2738,A510,選手一覧!$E$7:$E$2738,"&lt;=100")</f>
        <v>0</v>
      </c>
      <c r="C510" s="18" t="n">
        <f aca="false">COUNTIFS(選手一覧!$C$7:$C$2738,A510,選手一覧!$E$7:$E$2738,"&gt;0")</f>
        <v>0</v>
      </c>
      <c r="D510" s="14" t="str">
        <f aca="false">IF(C510=0,"",_xlfn.MINIFS(選手一覧!$E$7:$E$2738,選手一覧!$C$7:$C$2738,A510))</f>
        <v/>
      </c>
      <c r="E510" s="20"/>
      <c r="F510" s="18" t="n">
        <f aca="false">COUNTIFS(選手一覧!$C$7:$C$2738,A510,選手一覧!$I$7:$I$2738,"&lt;=100")</f>
        <v>0</v>
      </c>
      <c r="G510" s="18" t="n">
        <f aca="false">COUNTIFS(選手一覧!$C$7:$C$2738,A510,選手一覧!$K$7:$K$2738,"&lt;=100")</f>
        <v>0</v>
      </c>
      <c r="H510" s="17" t="n">
        <f aca="false">COUNTIF(選手一覧!$C$7:$C$2738,A510)</f>
        <v>3</v>
      </c>
    </row>
    <row r="511" customFormat="false" ht="15" hidden="false" customHeight="false" outlineLevel="0" collapsed="false">
      <c r="A511" s="12" t="s">
        <v>2923</v>
      </c>
      <c r="B511" s="22" t="n">
        <f aca="false">COUNTIFS(選手一覧!$C$7:$C$2738,A511,選手一覧!$E$7:$E$2738,"&lt;=100")</f>
        <v>0</v>
      </c>
      <c r="C511" s="18" t="n">
        <f aca="false">COUNTIFS(選手一覧!$C$7:$C$2738,A511,選手一覧!$E$7:$E$2738,"&gt;0")</f>
        <v>0</v>
      </c>
      <c r="D511" s="14" t="str">
        <f aca="false">IF(C511=0,"",_xlfn.MINIFS(選手一覧!$E$7:$E$2738,選手一覧!$C$7:$C$2738,A511))</f>
        <v/>
      </c>
      <c r="E511" s="20"/>
      <c r="F511" s="18" t="n">
        <f aca="false">COUNTIFS(選手一覧!$C$7:$C$2738,A511,選手一覧!$I$7:$I$2738,"&lt;=100")</f>
        <v>0</v>
      </c>
      <c r="G511" s="18" t="n">
        <f aca="false">COUNTIFS(選手一覧!$C$7:$C$2738,A511,選手一覧!$K$7:$K$2738,"&lt;=100")</f>
        <v>0</v>
      </c>
      <c r="H511" s="17" t="n">
        <f aca="false">COUNTIF(選手一覧!$C$7:$C$2738,A511)</f>
        <v>3</v>
      </c>
    </row>
    <row r="512" customFormat="false" ht="15" hidden="false" customHeight="false" outlineLevel="0" collapsed="false">
      <c r="A512" s="12" t="s">
        <v>3018</v>
      </c>
      <c r="B512" s="22" t="n">
        <f aca="false">COUNTIFS(選手一覧!$C$7:$C$2738,A512,選手一覧!$E$7:$E$2738,"&lt;=100")</f>
        <v>0</v>
      </c>
      <c r="C512" s="18" t="n">
        <f aca="false">COUNTIFS(選手一覧!$C$7:$C$2738,A512,選手一覧!$E$7:$E$2738,"&gt;0")</f>
        <v>0</v>
      </c>
      <c r="D512" s="14" t="str">
        <f aca="false">IF(C512=0,"",_xlfn.MINIFS(選手一覧!$E$7:$E$2738,選手一覧!$C$7:$C$2738,A512))</f>
        <v/>
      </c>
      <c r="E512" s="20"/>
      <c r="F512" s="18" t="n">
        <f aca="false">COUNTIFS(選手一覧!$C$7:$C$2738,A512,選手一覧!$I$7:$I$2738,"&lt;=100")</f>
        <v>0</v>
      </c>
      <c r="G512" s="18" t="n">
        <f aca="false">COUNTIFS(選手一覧!$C$7:$C$2738,A512,選手一覧!$K$7:$K$2738,"&lt;=100")</f>
        <v>0</v>
      </c>
      <c r="H512" s="17" t="n">
        <f aca="false">COUNTIF(選手一覧!$C$7:$C$2738,A512)</f>
        <v>3</v>
      </c>
    </row>
    <row r="513" customFormat="false" ht="15" hidden="false" customHeight="false" outlineLevel="0" collapsed="false">
      <c r="A513" s="12" t="s">
        <v>3040</v>
      </c>
      <c r="B513" s="22" t="n">
        <f aca="false">COUNTIFS(選手一覧!$C$7:$C$2738,A513,選手一覧!$E$7:$E$2738,"&lt;=100")</f>
        <v>0</v>
      </c>
      <c r="C513" s="18" t="n">
        <f aca="false">COUNTIFS(選手一覧!$C$7:$C$2738,A513,選手一覧!$E$7:$E$2738,"&gt;0")</f>
        <v>0</v>
      </c>
      <c r="D513" s="14" t="str">
        <f aca="false">IF(C513=0,"",_xlfn.MINIFS(選手一覧!$E$7:$E$2738,選手一覧!$C$7:$C$2738,A513))</f>
        <v/>
      </c>
      <c r="E513" s="20"/>
      <c r="F513" s="18" t="n">
        <f aca="false">COUNTIFS(選手一覧!$C$7:$C$2738,A513,選手一覧!$I$7:$I$2738,"&lt;=100")</f>
        <v>0</v>
      </c>
      <c r="G513" s="18" t="n">
        <f aca="false">COUNTIFS(選手一覧!$C$7:$C$2738,A513,選手一覧!$K$7:$K$2738,"&lt;=100")</f>
        <v>0</v>
      </c>
      <c r="H513" s="17" t="n">
        <f aca="false">COUNTIF(選手一覧!$C$7:$C$2738,A513)</f>
        <v>3</v>
      </c>
    </row>
    <row r="514" customFormat="false" ht="15" hidden="false" customHeight="false" outlineLevel="0" collapsed="false">
      <c r="A514" s="12" t="s">
        <v>3104</v>
      </c>
      <c r="B514" s="22" t="n">
        <f aca="false">COUNTIFS(選手一覧!$C$7:$C$2738,A514,選手一覧!$E$7:$E$2738,"&lt;=100")</f>
        <v>0</v>
      </c>
      <c r="C514" s="18" t="n">
        <f aca="false">COUNTIFS(選手一覧!$C$7:$C$2738,A514,選手一覧!$E$7:$E$2738,"&gt;0")</f>
        <v>0</v>
      </c>
      <c r="D514" s="14" t="str">
        <f aca="false">IF(C514=0,"",_xlfn.MINIFS(選手一覧!$E$7:$E$2738,選手一覧!$C$7:$C$2738,A514))</f>
        <v/>
      </c>
      <c r="E514" s="20"/>
      <c r="F514" s="18" t="n">
        <f aca="false">COUNTIFS(選手一覧!$C$7:$C$2738,A514,選手一覧!$I$7:$I$2738,"&lt;=100")</f>
        <v>0</v>
      </c>
      <c r="G514" s="18" t="n">
        <f aca="false">COUNTIFS(選手一覧!$C$7:$C$2738,A514,選手一覧!$K$7:$K$2738,"&lt;=100")</f>
        <v>0</v>
      </c>
      <c r="H514" s="17" t="n">
        <f aca="false">COUNTIF(選手一覧!$C$7:$C$2738,A514)</f>
        <v>3</v>
      </c>
    </row>
    <row r="515" customFormat="false" ht="15" hidden="false" customHeight="false" outlineLevel="0" collapsed="false">
      <c r="A515" s="12" t="s">
        <v>3148</v>
      </c>
      <c r="B515" s="22" t="n">
        <f aca="false">COUNTIFS(選手一覧!$C$7:$C$2738,A515,選手一覧!$E$7:$E$2738,"&lt;=100")</f>
        <v>0</v>
      </c>
      <c r="C515" s="18" t="n">
        <f aca="false">COUNTIFS(選手一覧!$C$7:$C$2738,A515,選手一覧!$E$7:$E$2738,"&gt;0")</f>
        <v>0</v>
      </c>
      <c r="D515" s="14" t="str">
        <f aca="false">IF(C515=0,"",_xlfn.MINIFS(選手一覧!$E$7:$E$2738,選手一覧!$C$7:$C$2738,A515))</f>
        <v/>
      </c>
      <c r="E515" s="20"/>
      <c r="F515" s="18" t="n">
        <f aca="false">COUNTIFS(選手一覧!$C$7:$C$2738,A515,選手一覧!$I$7:$I$2738,"&lt;=100")</f>
        <v>0</v>
      </c>
      <c r="G515" s="18" t="n">
        <f aca="false">COUNTIFS(選手一覧!$C$7:$C$2738,A515,選手一覧!$K$7:$K$2738,"&lt;=100")</f>
        <v>0</v>
      </c>
      <c r="H515" s="17" t="n">
        <f aca="false">COUNTIF(選手一覧!$C$7:$C$2738,A515)</f>
        <v>3</v>
      </c>
    </row>
    <row r="516" customFormat="false" ht="15" hidden="false" customHeight="false" outlineLevel="0" collapsed="false">
      <c r="A516" s="12" t="s">
        <v>3172</v>
      </c>
      <c r="B516" s="22" t="n">
        <f aca="false">COUNTIFS(選手一覧!$C$7:$C$2738,A516,選手一覧!$E$7:$E$2738,"&lt;=100")</f>
        <v>0</v>
      </c>
      <c r="C516" s="18" t="n">
        <f aca="false">COUNTIFS(選手一覧!$C$7:$C$2738,A516,選手一覧!$E$7:$E$2738,"&gt;0")</f>
        <v>0</v>
      </c>
      <c r="D516" s="14" t="str">
        <f aca="false">IF(C516=0,"",_xlfn.MINIFS(選手一覧!$E$7:$E$2738,選手一覧!$C$7:$C$2738,A516))</f>
        <v/>
      </c>
      <c r="E516" s="20"/>
      <c r="F516" s="18" t="n">
        <f aca="false">COUNTIFS(選手一覧!$C$7:$C$2738,A516,選手一覧!$I$7:$I$2738,"&lt;=100")</f>
        <v>0</v>
      </c>
      <c r="G516" s="18" t="n">
        <f aca="false">COUNTIFS(選手一覧!$C$7:$C$2738,A516,選手一覧!$K$7:$K$2738,"&lt;=100")</f>
        <v>0</v>
      </c>
      <c r="H516" s="17" t="n">
        <f aca="false">COUNTIF(選手一覧!$C$7:$C$2738,A516)</f>
        <v>3</v>
      </c>
    </row>
    <row r="517" customFormat="false" ht="15" hidden="false" customHeight="false" outlineLevel="0" collapsed="false">
      <c r="A517" s="12" t="s">
        <v>3210</v>
      </c>
      <c r="B517" s="22" t="n">
        <f aca="false">COUNTIFS(選手一覧!$C$7:$C$2738,A517,選手一覧!$E$7:$E$2738,"&lt;=100")</f>
        <v>0</v>
      </c>
      <c r="C517" s="18" t="n">
        <f aca="false">COUNTIFS(選手一覧!$C$7:$C$2738,A517,選手一覧!$E$7:$E$2738,"&gt;0")</f>
        <v>0</v>
      </c>
      <c r="D517" s="14" t="str">
        <f aca="false">IF(C517=0,"",_xlfn.MINIFS(選手一覧!$E$7:$E$2738,選手一覧!$C$7:$C$2738,A517))</f>
        <v/>
      </c>
      <c r="E517" s="20"/>
      <c r="F517" s="18" t="n">
        <f aca="false">COUNTIFS(選手一覧!$C$7:$C$2738,A517,選手一覧!$I$7:$I$2738,"&lt;=100")</f>
        <v>0</v>
      </c>
      <c r="G517" s="18" t="n">
        <f aca="false">COUNTIFS(選手一覧!$C$7:$C$2738,A517,選手一覧!$K$7:$K$2738,"&lt;=100")</f>
        <v>0</v>
      </c>
      <c r="H517" s="17" t="n">
        <f aca="false">COUNTIF(選手一覧!$C$7:$C$2738,A517)</f>
        <v>3</v>
      </c>
    </row>
    <row r="518" customFormat="false" ht="15" hidden="false" customHeight="false" outlineLevel="0" collapsed="false">
      <c r="A518" s="12" t="s">
        <v>3564</v>
      </c>
      <c r="B518" s="22" t="n">
        <f aca="false">COUNTIFS(選手一覧!$C$7:$C$2738,A518,選手一覧!$E$7:$E$2738,"&lt;=100")</f>
        <v>0</v>
      </c>
      <c r="C518" s="18" t="n">
        <f aca="false">COUNTIFS(選手一覧!$C$7:$C$2738,A518,選手一覧!$E$7:$E$2738,"&gt;0")</f>
        <v>0</v>
      </c>
      <c r="D518" s="14" t="str">
        <f aca="false">IF(C518=0,"",_xlfn.MINIFS(選手一覧!$E$7:$E$2738,選手一覧!$C$7:$C$2738,A518))</f>
        <v/>
      </c>
      <c r="E518" s="20"/>
      <c r="F518" s="18" t="n">
        <f aca="false">COUNTIFS(選手一覧!$C$7:$C$2738,A518,選手一覧!$I$7:$I$2738,"&lt;=100")</f>
        <v>0</v>
      </c>
      <c r="G518" s="18" t="n">
        <f aca="false">COUNTIFS(選手一覧!$C$7:$C$2738,A518,選手一覧!$K$7:$K$2738,"&lt;=100")</f>
        <v>0</v>
      </c>
      <c r="H518" s="17" t="n">
        <f aca="false">COUNTIF(選手一覧!$C$7:$C$2738,A518)</f>
        <v>3</v>
      </c>
    </row>
    <row r="519" customFormat="false" ht="15" hidden="false" customHeight="false" outlineLevel="0" collapsed="false">
      <c r="A519" s="12" t="s">
        <v>3708</v>
      </c>
      <c r="B519" s="22" t="n">
        <f aca="false">COUNTIFS(選手一覧!$C$7:$C$2738,A519,選手一覧!$E$7:$E$2738,"&lt;=100")</f>
        <v>0</v>
      </c>
      <c r="C519" s="18" t="n">
        <f aca="false">COUNTIFS(選手一覧!$C$7:$C$2738,A519,選手一覧!$E$7:$E$2738,"&gt;0")</f>
        <v>0</v>
      </c>
      <c r="D519" s="14" t="str">
        <f aca="false">IF(C519=0,"",_xlfn.MINIFS(選手一覧!$E$7:$E$2738,選手一覧!$C$7:$C$2738,A519))</f>
        <v/>
      </c>
      <c r="E519" s="20"/>
      <c r="F519" s="18" t="n">
        <f aca="false">COUNTIFS(選手一覧!$C$7:$C$2738,A519,選手一覧!$I$7:$I$2738,"&lt;=100")</f>
        <v>0</v>
      </c>
      <c r="G519" s="18" t="n">
        <f aca="false">COUNTIFS(選手一覧!$C$7:$C$2738,A519,選手一覧!$K$7:$K$2738,"&lt;=100")</f>
        <v>0</v>
      </c>
      <c r="H519" s="17" t="n">
        <f aca="false">COUNTIF(選手一覧!$C$7:$C$2738,A519)</f>
        <v>3</v>
      </c>
    </row>
    <row r="520" customFormat="false" ht="15" hidden="false" customHeight="false" outlineLevel="0" collapsed="false">
      <c r="A520" s="12" t="s">
        <v>3831</v>
      </c>
      <c r="B520" s="22" t="n">
        <f aca="false">COUNTIFS(選手一覧!$C$7:$C$2738,A520,選手一覧!$E$7:$E$2738,"&lt;=100")</f>
        <v>0</v>
      </c>
      <c r="C520" s="18" t="n">
        <f aca="false">COUNTIFS(選手一覧!$C$7:$C$2738,A520,選手一覧!$E$7:$E$2738,"&gt;0")</f>
        <v>0</v>
      </c>
      <c r="D520" s="14" t="str">
        <f aca="false">IF(C520=0,"",_xlfn.MINIFS(選手一覧!$E$7:$E$2738,選手一覧!$C$7:$C$2738,A520))</f>
        <v/>
      </c>
      <c r="E520" s="20"/>
      <c r="F520" s="18" t="n">
        <f aca="false">COUNTIFS(選手一覧!$C$7:$C$2738,A520,選手一覧!$I$7:$I$2738,"&lt;=100")</f>
        <v>0</v>
      </c>
      <c r="G520" s="18" t="n">
        <f aca="false">COUNTIFS(選手一覧!$C$7:$C$2738,A520,選手一覧!$K$7:$K$2738,"&lt;=100")</f>
        <v>0</v>
      </c>
      <c r="H520" s="17" t="n">
        <f aca="false">COUNTIF(選手一覧!$C$7:$C$2738,A520)</f>
        <v>3</v>
      </c>
    </row>
    <row r="521" customFormat="false" ht="15" hidden="false" customHeight="false" outlineLevel="0" collapsed="false">
      <c r="A521" s="12" t="s">
        <v>3882</v>
      </c>
      <c r="B521" s="22" t="n">
        <f aca="false">COUNTIFS(選手一覧!$C$7:$C$2738,A521,選手一覧!$E$7:$E$2738,"&lt;=100")</f>
        <v>0</v>
      </c>
      <c r="C521" s="18" t="n">
        <f aca="false">COUNTIFS(選手一覧!$C$7:$C$2738,A521,選手一覧!$E$7:$E$2738,"&gt;0")</f>
        <v>0</v>
      </c>
      <c r="D521" s="14" t="str">
        <f aca="false">IF(C521=0,"",_xlfn.MINIFS(選手一覧!$E$7:$E$2738,選手一覧!$C$7:$C$2738,A521))</f>
        <v/>
      </c>
      <c r="E521" s="20"/>
      <c r="F521" s="18" t="n">
        <f aca="false">COUNTIFS(選手一覧!$C$7:$C$2738,A521,選手一覧!$I$7:$I$2738,"&lt;=100")</f>
        <v>0</v>
      </c>
      <c r="G521" s="18" t="n">
        <f aca="false">COUNTIFS(選手一覧!$C$7:$C$2738,A521,選手一覧!$K$7:$K$2738,"&lt;=100")</f>
        <v>0</v>
      </c>
      <c r="H521" s="17" t="n">
        <f aca="false">COUNTIF(選手一覧!$C$7:$C$2738,A521)</f>
        <v>3</v>
      </c>
    </row>
    <row r="522" customFormat="false" ht="15" hidden="false" customHeight="false" outlineLevel="0" collapsed="false">
      <c r="A522" s="12" t="s">
        <v>2047</v>
      </c>
      <c r="B522" s="22" t="n">
        <f aca="false">COUNTIFS(選手一覧!$C$7:$C$2738,A522,選手一覧!$E$7:$E$2738,"&lt;=100")</f>
        <v>0</v>
      </c>
      <c r="C522" s="18" t="n">
        <f aca="false">COUNTIFS(選手一覧!$C$7:$C$2738,A522,選手一覧!$E$7:$E$2738,"&gt;0")</f>
        <v>0</v>
      </c>
      <c r="D522" s="14" t="str">
        <f aca="false">IF(C522=0,"",_xlfn.MINIFS(選手一覧!$E$7:$E$2738,選手一覧!$C$7:$C$2738,A522))</f>
        <v/>
      </c>
      <c r="E522" s="20"/>
      <c r="F522" s="18" t="n">
        <f aca="false">COUNTIFS(選手一覧!$C$7:$C$2738,A522,選手一覧!$I$7:$I$2738,"&lt;=100")</f>
        <v>1</v>
      </c>
      <c r="G522" s="18" t="n">
        <f aca="false">COUNTIFS(選手一覧!$C$7:$C$2738,A522,選手一覧!$K$7:$K$2738,"&lt;=100")</f>
        <v>0</v>
      </c>
      <c r="H522" s="17" t="n">
        <f aca="false">COUNTIF(選手一覧!$C$7:$C$2738,A522)</f>
        <v>2</v>
      </c>
    </row>
    <row r="523" customFormat="false" ht="15" hidden="false" customHeight="false" outlineLevel="0" collapsed="false">
      <c r="A523" s="12" t="s">
        <v>2050</v>
      </c>
      <c r="B523" s="22" t="n">
        <f aca="false">COUNTIFS(選手一覧!$C$7:$C$2738,A523,選手一覧!$E$7:$E$2738,"&lt;=100")</f>
        <v>0</v>
      </c>
      <c r="C523" s="18" t="n">
        <f aca="false">COUNTIFS(選手一覧!$C$7:$C$2738,A523,選手一覧!$E$7:$E$2738,"&gt;0")</f>
        <v>0</v>
      </c>
      <c r="D523" s="14" t="str">
        <f aca="false">IF(C523=0,"",_xlfn.MINIFS(選手一覧!$E$7:$E$2738,選手一覧!$C$7:$C$2738,A523))</f>
        <v/>
      </c>
      <c r="E523" s="20"/>
      <c r="F523" s="18" t="n">
        <f aca="false">COUNTIFS(選手一覧!$C$7:$C$2738,A523,選手一覧!$I$7:$I$2738,"&lt;=100")</f>
        <v>1</v>
      </c>
      <c r="G523" s="18" t="n">
        <f aca="false">COUNTIFS(選手一覧!$C$7:$C$2738,A523,選手一覧!$K$7:$K$2738,"&lt;=100")</f>
        <v>0</v>
      </c>
      <c r="H523" s="17" t="n">
        <f aca="false">COUNTIF(選手一覧!$C$7:$C$2738,A523)</f>
        <v>2</v>
      </c>
    </row>
    <row r="524" customFormat="false" ht="15" hidden="false" customHeight="false" outlineLevel="0" collapsed="false">
      <c r="A524" s="12" t="s">
        <v>2067</v>
      </c>
      <c r="B524" s="22" t="n">
        <f aca="false">COUNTIFS(選手一覧!$C$7:$C$2738,A524,選手一覧!$E$7:$E$2738,"&lt;=100")</f>
        <v>0</v>
      </c>
      <c r="C524" s="18" t="n">
        <f aca="false">COUNTIFS(選手一覧!$C$7:$C$2738,A524,選手一覧!$E$7:$E$2738,"&gt;0")</f>
        <v>0</v>
      </c>
      <c r="D524" s="14" t="str">
        <f aca="false">IF(C524=0,"",_xlfn.MINIFS(選手一覧!$E$7:$E$2738,選手一覧!$C$7:$C$2738,A524))</f>
        <v/>
      </c>
      <c r="E524" s="20"/>
      <c r="F524" s="18" t="n">
        <f aca="false">COUNTIFS(選手一覧!$C$7:$C$2738,A524,選手一覧!$I$7:$I$2738,"&lt;=100")</f>
        <v>0</v>
      </c>
      <c r="G524" s="18" t="n">
        <f aca="false">COUNTIFS(選手一覧!$C$7:$C$2738,A524,選手一覧!$K$7:$K$2738,"&lt;=100")</f>
        <v>0</v>
      </c>
      <c r="H524" s="17" t="n">
        <f aca="false">COUNTIF(選手一覧!$C$7:$C$2738,A524)</f>
        <v>2</v>
      </c>
    </row>
    <row r="525" customFormat="false" ht="15" hidden="false" customHeight="false" outlineLevel="0" collapsed="false">
      <c r="A525" s="12" t="s">
        <v>2075</v>
      </c>
      <c r="B525" s="22" t="n">
        <f aca="false">COUNTIFS(選手一覧!$C$7:$C$2738,A525,選手一覧!$E$7:$E$2738,"&lt;=100")</f>
        <v>0</v>
      </c>
      <c r="C525" s="18" t="n">
        <f aca="false">COUNTIFS(選手一覧!$C$7:$C$2738,A525,選手一覧!$E$7:$E$2738,"&gt;0")</f>
        <v>0</v>
      </c>
      <c r="D525" s="14" t="str">
        <f aca="false">IF(C525=0,"",_xlfn.MINIFS(選手一覧!$E$7:$E$2738,選手一覧!$C$7:$C$2738,A525))</f>
        <v/>
      </c>
      <c r="E525" s="20"/>
      <c r="F525" s="18" t="n">
        <f aca="false">COUNTIFS(選手一覧!$C$7:$C$2738,A525,選手一覧!$I$7:$I$2738,"&lt;=100")</f>
        <v>0</v>
      </c>
      <c r="G525" s="18" t="n">
        <f aca="false">COUNTIFS(選手一覧!$C$7:$C$2738,A525,選手一覧!$K$7:$K$2738,"&lt;=100")</f>
        <v>0</v>
      </c>
      <c r="H525" s="17" t="n">
        <f aca="false">COUNTIF(選手一覧!$C$7:$C$2738,A525)</f>
        <v>2</v>
      </c>
    </row>
    <row r="526" customFormat="false" ht="15" hidden="false" customHeight="false" outlineLevel="0" collapsed="false">
      <c r="A526" s="12" t="s">
        <v>2096</v>
      </c>
      <c r="B526" s="22" t="n">
        <f aca="false">COUNTIFS(選手一覧!$C$7:$C$2738,A526,選手一覧!$E$7:$E$2738,"&lt;=100")</f>
        <v>0</v>
      </c>
      <c r="C526" s="18" t="n">
        <f aca="false">COUNTIFS(選手一覧!$C$7:$C$2738,A526,選手一覧!$E$7:$E$2738,"&gt;0")</f>
        <v>0</v>
      </c>
      <c r="D526" s="14" t="str">
        <f aca="false">IF(C526=0,"",_xlfn.MINIFS(選手一覧!$E$7:$E$2738,選手一覧!$C$7:$C$2738,A526))</f>
        <v/>
      </c>
      <c r="E526" s="20"/>
      <c r="F526" s="18" t="n">
        <f aca="false">COUNTIFS(選手一覧!$C$7:$C$2738,A526,選手一覧!$I$7:$I$2738,"&lt;=100")</f>
        <v>0</v>
      </c>
      <c r="G526" s="18" t="n">
        <f aca="false">COUNTIFS(選手一覧!$C$7:$C$2738,A526,選手一覧!$K$7:$K$2738,"&lt;=100")</f>
        <v>0</v>
      </c>
      <c r="H526" s="17" t="n">
        <f aca="false">COUNTIF(選手一覧!$C$7:$C$2738,A526)</f>
        <v>2</v>
      </c>
    </row>
    <row r="527" customFormat="false" ht="15" hidden="false" customHeight="false" outlineLevel="0" collapsed="false">
      <c r="A527" s="12" t="s">
        <v>2102</v>
      </c>
      <c r="B527" s="22" t="n">
        <f aca="false">COUNTIFS(選手一覧!$C$7:$C$2738,A527,選手一覧!$E$7:$E$2738,"&lt;=100")</f>
        <v>0</v>
      </c>
      <c r="C527" s="18" t="n">
        <f aca="false">COUNTIFS(選手一覧!$C$7:$C$2738,A527,選手一覧!$E$7:$E$2738,"&gt;0")</f>
        <v>0</v>
      </c>
      <c r="D527" s="14" t="str">
        <f aca="false">IF(C527=0,"",_xlfn.MINIFS(選手一覧!$E$7:$E$2738,選手一覧!$C$7:$C$2738,A527))</f>
        <v/>
      </c>
      <c r="E527" s="20"/>
      <c r="F527" s="18" t="n">
        <f aca="false">COUNTIFS(選手一覧!$C$7:$C$2738,A527,選手一覧!$I$7:$I$2738,"&lt;=100")</f>
        <v>0</v>
      </c>
      <c r="G527" s="18" t="n">
        <f aca="false">COUNTIFS(選手一覧!$C$7:$C$2738,A527,選手一覧!$K$7:$K$2738,"&lt;=100")</f>
        <v>0</v>
      </c>
      <c r="H527" s="17" t="n">
        <f aca="false">COUNTIF(選手一覧!$C$7:$C$2738,A527)</f>
        <v>2</v>
      </c>
    </row>
    <row r="528" customFormat="false" ht="15" hidden="false" customHeight="false" outlineLevel="0" collapsed="false">
      <c r="A528" s="12" t="s">
        <v>2117</v>
      </c>
      <c r="B528" s="22" t="n">
        <f aca="false">COUNTIFS(選手一覧!$C$7:$C$2738,A528,選手一覧!$E$7:$E$2738,"&lt;=100")</f>
        <v>0</v>
      </c>
      <c r="C528" s="18" t="n">
        <f aca="false">COUNTIFS(選手一覧!$C$7:$C$2738,A528,選手一覧!$E$7:$E$2738,"&gt;0")</f>
        <v>0</v>
      </c>
      <c r="D528" s="14" t="str">
        <f aca="false">IF(C528=0,"",_xlfn.MINIFS(選手一覧!$E$7:$E$2738,選手一覧!$C$7:$C$2738,A528))</f>
        <v/>
      </c>
      <c r="E528" s="20"/>
      <c r="F528" s="18" t="n">
        <f aca="false">COUNTIFS(選手一覧!$C$7:$C$2738,A528,選手一覧!$I$7:$I$2738,"&lt;=100")</f>
        <v>0</v>
      </c>
      <c r="G528" s="18" t="n">
        <f aca="false">COUNTIFS(選手一覧!$C$7:$C$2738,A528,選手一覧!$K$7:$K$2738,"&lt;=100")</f>
        <v>0</v>
      </c>
      <c r="H528" s="17" t="n">
        <f aca="false">COUNTIF(選手一覧!$C$7:$C$2738,A528)</f>
        <v>2</v>
      </c>
    </row>
    <row r="529" customFormat="false" ht="15" hidden="false" customHeight="false" outlineLevel="0" collapsed="false">
      <c r="A529" s="12" t="s">
        <v>2121</v>
      </c>
      <c r="B529" s="22" t="n">
        <f aca="false">COUNTIFS(選手一覧!$C$7:$C$2738,A529,選手一覧!$E$7:$E$2738,"&lt;=100")</f>
        <v>0</v>
      </c>
      <c r="C529" s="18" t="n">
        <f aca="false">COUNTIFS(選手一覧!$C$7:$C$2738,A529,選手一覧!$E$7:$E$2738,"&gt;0")</f>
        <v>0</v>
      </c>
      <c r="D529" s="14" t="str">
        <f aca="false">IF(C529=0,"",_xlfn.MINIFS(選手一覧!$E$7:$E$2738,選手一覧!$C$7:$C$2738,A529))</f>
        <v/>
      </c>
      <c r="E529" s="20"/>
      <c r="F529" s="18" t="n">
        <f aca="false">COUNTIFS(選手一覧!$C$7:$C$2738,A529,選手一覧!$I$7:$I$2738,"&lt;=100")</f>
        <v>0</v>
      </c>
      <c r="G529" s="18" t="n">
        <f aca="false">COUNTIFS(選手一覧!$C$7:$C$2738,A529,選手一覧!$K$7:$K$2738,"&lt;=100")</f>
        <v>0</v>
      </c>
      <c r="H529" s="17" t="n">
        <f aca="false">COUNTIF(選手一覧!$C$7:$C$2738,A529)</f>
        <v>2</v>
      </c>
    </row>
    <row r="530" customFormat="false" ht="15" hidden="false" customHeight="false" outlineLevel="0" collapsed="false">
      <c r="A530" s="12" t="s">
        <v>2125</v>
      </c>
      <c r="B530" s="22" t="n">
        <f aca="false">COUNTIFS(選手一覧!$C$7:$C$2738,A530,選手一覧!$E$7:$E$2738,"&lt;=100")</f>
        <v>0</v>
      </c>
      <c r="C530" s="18" t="n">
        <f aca="false">COUNTIFS(選手一覧!$C$7:$C$2738,A530,選手一覧!$E$7:$E$2738,"&gt;0")</f>
        <v>0</v>
      </c>
      <c r="D530" s="14" t="str">
        <f aca="false">IF(C530=0,"",_xlfn.MINIFS(選手一覧!$E$7:$E$2738,選手一覧!$C$7:$C$2738,A530))</f>
        <v/>
      </c>
      <c r="E530" s="20"/>
      <c r="F530" s="18" t="n">
        <f aca="false">COUNTIFS(選手一覧!$C$7:$C$2738,A530,選手一覧!$I$7:$I$2738,"&lt;=100")</f>
        <v>0</v>
      </c>
      <c r="G530" s="18" t="n">
        <f aca="false">COUNTIFS(選手一覧!$C$7:$C$2738,A530,選手一覧!$K$7:$K$2738,"&lt;=100")</f>
        <v>0</v>
      </c>
      <c r="H530" s="17" t="n">
        <f aca="false">COUNTIF(選手一覧!$C$7:$C$2738,A530)</f>
        <v>2</v>
      </c>
    </row>
    <row r="531" customFormat="false" ht="15" hidden="false" customHeight="false" outlineLevel="0" collapsed="false">
      <c r="A531" s="12" t="s">
        <v>2135</v>
      </c>
      <c r="B531" s="22" t="n">
        <f aca="false">COUNTIFS(選手一覧!$C$7:$C$2738,A531,選手一覧!$E$7:$E$2738,"&lt;=100")</f>
        <v>0</v>
      </c>
      <c r="C531" s="18" t="n">
        <f aca="false">COUNTIFS(選手一覧!$C$7:$C$2738,A531,選手一覧!$E$7:$E$2738,"&gt;0")</f>
        <v>0</v>
      </c>
      <c r="D531" s="14" t="str">
        <f aca="false">IF(C531=0,"",_xlfn.MINIFS(選手一覧!$E$7:$E$2738,選手一覧!$C$7:$C$2738,A531))</f>
        <v/>
      </c>
      <c r="E531" s="20"/>
      <c r="F531" s="18" t="n">
        <f aca="false">COUNTIFS(選手一覧!$C$7:$C$2738,A531,選手一覧!$I$7:$I$2738,"&lt;=100")</f>
        <v>0</v>
      </c>
      <c r="G531" s="18" t="n">
        <f aca="false">COUNTIFS(選手一覧!$C$7:$C$2738,A531,選手一覧!$K$7:$K$2738,"&lt;=100")</f>
        <v>0</v>
      </c>
      <c r="H531" s="17" t="n">
        <f aca="false">COUNTIF(選手一覧!$C$7:$C$2738,A531)</f>
        <v>2</v>
      </c>
    </row>
    <row r="532" customFormat="false" ht="15" hidden="false" customHeight="false" outlineLevel="0" collapsed="false">
      <c r="A532" s="12" t="s">
        <v>2137</v>
      </c>
      <c r="B532" s="22" t="n">
        <f aca="false">COUNTIFS(選手一覧!$C$7:$C$2738,A532,選手一覧!$E$7:$E$2738,"&lt;=100")</f>
        <v>0</v>
      </c>
      <c r="C532" s="18" t="n">
        <f aca="false">COUNTIFS(選手一覧!$C$7:$C$2738,A532,選手一覧!$E$7:$E$2738,"&gt;0")</f>
        <v>0</v>
      </c>
      <c r="D532" s="14" t="str">
        <f aca="false">IF(C532=0,"",_xlfn.MINIFS(選手一覧!$E$7:$E$2738,選手一覧!$C$7:$C$2738,A532))</f>
        <v/>
      </c>
      <c r="E532" s="20"/>
      <c r="F532" s="18" t="n">
        <f aca="false">COUNTIFS(選手一覧!$C$7:$C$2738,A532,選手一覧!$I$7:$I$2738,"&lt;=100")</f>
        <v>0</v>
      </c>
      <c r="G532" s="18" t="n">
        <f aca="false">COUNTIFS(選手一覧!$C$7:$C$2738,A532,選手一覧!$K$7:$K$2738,"&lt;=100")</f>
        <v>0</v>
      </c>
      <c r="H532" s="17" t="n">
        <f aca="false">COUNTIF(選手一覧!$C$7:$C$2738,A532)</f>
        <v>2</v>
      </c>
    </row>
    <row r="533" customFormat="false" ht="15" hidden="false" customHeight="false" outlineLevel="0" collapsed="false">
      <c r="A533" s="12" t="s">
        <v>2149</v>
      </c>
      <c r="B533" s="22" t="n">
        <f aca="false">COUNTIFS(選手一覧!$C$7:$C$2738,A533,選手一覧!$E$7:$E$2738,"&lt;=100")</f>
        <v>0</v>
      </c>
      <c r="C533" s="18" t="n">
        <f aca="false">COUNTIFS(選手一覧!$C$7:$C$2738,A533,選手一覧!$E$7:$E$2738,"&gt;0")</f>
        <v>0</v>
      </c>
      <c r="D533" s="14" t="str">
        <f aca="false">IF(C533=0,"",_xlfn.MINIFS(選手一覧!$E$7:$E$2738,選手一覧!$C$7:$C$2738,A533))</f>
        <v/>
      </c>
      <c r="E533" s="20"/>
      <c r="F533" s="18" t="n">
        <f aca="false">COUNTIFS(選手一覧!$C$7:$C$2738,A533,選手一覧!$I$7:$I$2738,"&lt;=100")</f>
        <v>0</v>
      </c>
      <c r="G533" s="18" t="n">
        <f aca="false">COUNTIFS(選手一覧!$C$7:$C$2738,A533,選手一覧!$K$7:$K$2738,"&lt;=100")</f>
        <v>0</v>
      </c>
      <c r="H533" s="17" t="n">
        <f aca="false">COUNTIF(選手一覧!$C$7:$C$2738,A533)</f>
        <v>2</v>
      </c>
    </row>
    <row r="534" customFormat="false" ht="15" hidden="false" customHeight="false" outlineLevel="0" collapsed="false">
      <c r="A534" s="12" t="s">
        <v>2154</v>
      </c>
      <c r="B534" s="22" t="n">
        <f aca="false">COUNTIFS(選手一覧!$C$7:$C$2738,A534,選手一覧!$E$7:$E$2738,"&lt;=100")</f>
        <v>0</v>
      </c>
      <c r="C534" s="18" t="n">
        <f aca="false">COUNTIFS(選手一覧!$C$7:$C$2738,A534,選手一覧!$E$7:$E$2738,"&gt;0")</f>
        <v>0</v>
      </c>
      <c r="D534" s="14" t="str">
        <f aca="false">IF(C534=0,"",_xlfn.MINIFS(選手一覧!$E$7:$E$2738,選手一覧!$C$7:$C$2738,A534))</f>
        <v/>
      </c>
      <c r="E534" s="20"/>
      <c r="F534" s="18" t="n">
        <f aca="false">COUNTIFS(選手一覧!$C$7:$C$2738,A534,選手一覧!$I$7:$I$2738,"&lt;=100")</f>
        <v>0</v>
      </c>
      <c r="G534" s="18" t="n">
        <f aca="false">COUNTIFS(選手一覧!$C$7:$C$2738,A534,選手一覧!$K$7:$K$2738,"&lt;=100")</f>
        <v>0</v>
      </c>
      <c r="H534" s="17" t="n">
        <f aca="false">COUNTIF(選手一覧!$C$7:$C$2738,A534)</f>
        <v>2</v>
      </c>
    </row>
    <row r="535" customFormat="false" ht="15" hidden="false" customHeight="false" outlineLevel="0" collapsed="false">
      <c r="A535" s="12" t="s">
        <v>2194</v>
      </c>
      <c r="B535" s="22" t="n">
        <f aca="false">COUNTIFS(選手一覧!$C$7:$C$2738,A535,選手一覧!$E$7:$E$2738,"&lt;=100")</f>
        <v>0</v>
      </c>
      <c r="C535" s="18" t="n">
        <f aca="false">COUNTIFS(選手一覧!$C$7:$C$2738,A535,選手一覧!$E$7:$E$2738,"&gt;0")</f>
        <v>0</v>
      </c>
      <c r="D535" s="14" t="str">
        <f aca="false">IF(C535=0,"",_xlfn.MINIFS(選手一覧!$E$7:$E$2738,選手一覧!$C$7:$C$2738,A535))</f>
        <v/>
      </c>
      <c r="E535" s="20"/>
      <c r="F535" s="18" t="n">
        <f aca="false">COUNTIFS(選手一覧!$C$7:$C$2738,A535,選手一覧!$I$7:$I$2738,"&lt;=100")</f>
        <v>0</v>
      </c>
      <c r="G535" s="18" t="n">
        <f aca="false">COUNTIFS(選手一覧!$C$7:$C$2738,A535,選手一覧!$K$7:$K$2738,"&lt;=100")</f>
        <v>0</v>
      </c>
      <c r="H535" s="17" t="n">
        <f aca="false">COUNTIF(選手一覧!$C$7:$C$2738,A535)</f>
        <v>2</v>
      </c>
    </row>
    <row r="536" customFormat="false" ht="15" hidden="false" customHeight="false" outlineLevel="0" collapsed="false">
      <c r="A536" s="12" t="s">
        <v>2203</v>
      </c>
      <c r="B536" s="22" t="n">
        <f aca="false">COUNTIFS(選手一覧!$C$7:$C$2738,A536,選手一覧!$E$7:$E$2738,"&lt;=100")</f>
        <v>0</v>
      </c>
      <c r="C536" s="18" t="n">
        <f aca="false">COUNTIFS(選手一覧!$C$7:$C$2738,A536,選手一覧!$E$7:$E$2738,"&gt;0")</f>
        <v>0</v>
      </c>
      <c r="D536" s="14" t="str">
        <f aca="false">IF(C536=0,"",_xlfn.MINIFS(選手一覧!$E$7:$E$2738,選手一覧!$C$7:$C$2738,A536))</f>
        <v/>
      </c>
      <c r="E536" s="20"/>
      <c r="F536" s="18" t="n">
        <f aca="false">COUNTIFS(選手一覧!$C$7:$C$2738,A536,選手一覧!$I$7:$I$2738,"&lt;=100")</f>
        <v>0</v>
      </c>
      <c r="G536" s="18" t="n">
        <f aca="false">COUNTIFS(選手一覧!$C$7:$C$2738,A536,選手一覧!$K$7:$K$2738,"&lt;=100")</f>
        <v>0</v>
      </c>
      <c r="H536" s="17" t="n">
        <f aca="false">COUNTIF(選手一覧!$C$7:$C$2738,A536)</f>
        <v>2</v>
      </c>
    </row>
    <row r="537" customFormat="false" ht="15" hidden="false" customHeight="false" outlineLevel="0" collapsed="false">
      <c r="A537" s="12" t="s">
        <v>2212</v>
      </c>
      <c r="B537" s="22" t="n">
        <f aca="false">COUNTIFS(選手一覧!$C$7:$C$2738,A537,選手一覧!$E$7:$E$2738,"&lt;=100")</f>
        <v>0</v>
      </c>
      <c r="C537" s="18" t="n">
        <f aca="false">COUNTIFS(選手一覧!$C$7:$C$2738,A537,選手一覧!$E$7:$E$2738,"&gt;0")</f>
        <v>0</v>
      </c>
      <c r="D537" s="14" t="str">
        <f aca="false">IF(C537=0,"",_xlfn.MINIFS(選手一覧!$E$7:$E$2738,選手一覧!$C$7:$C$2738,A537))</f>
        <v/>
      </c>
      <c r="E537" s="20"/>
      <c r="F537" s="18" t="n">
        <f aca="false">COUNTIFS(選手一覧!$C$7:$C$2738,A537,選手一覧!$I$7:$I$2738,"&lt;=100")</f>
        <v>0</v>
      </c>
      <c r="G537" s="18" t="n">
        <f aca="false">COUNTIFS(選手一覧!$C$7:$C$2738,A537,選手一覧!$K$7:$K$2738,"&lt;=100")</f>
        <v>0</v>
      </c>
      <c r="H537" s="17" t="n">
        <f aca="false">COUNTIF(選手一覧!$C$7:$C$2738,A537)</f>
        <v>2</v>
      </c>
    </row>
    <row r="538" customFormat="false" ht="15" hidden="false" customHeight="false" outlineLevel="0" collapsed="false">
      <c r="A538" s="12" t="s">
        <v>2239</v>
      </c>
      <c r="B538" s="22" t="n">
        <f aca="false">COUNTIFS(選手一覧!$C$7:$C$2738,A538,選手一覧!$E$7:$E$2738,"&lt;=100")</f>
        <v>0</v>
      </c>
      <c r="C538" s="18" t="n">
        <f aca="false">COUNTIFS(選手一覧!$C$7:$C$2738,A538,選手一覧!$E$7:$E$2738,"&gt;0")</f>
        <v>0</v>
      </c>
      <c r="D538" s="14" t="str">
        <f aca="false">IF(C538=0,"",_xlfn.MINIFS(選手一覧!$E$7:$E$2738,選手一覧!$C$7:$C$2738,A538))</f>
        <v/>
      </c>
      <c r="E538" s="20"/>
      <c r="F538" s="18" t="n">
        <f aca="false">COUNTIFS(選手一覧!$C$7:$C$2738,A538,選手一覧!$I$7:$I$2738,"&lt;=100")</f>
        <v>0</v>
      </c>
      <c r="G538" s="18" t="n">
        <f aca="false">COUNTIFS(選手一覧!$C$7:$C$2738,A538,選手一覧!$K$7:$K$2738,"&lt;=100")</f>
        <v>0</v>
      </c>
      <c r="H538" s="17" t="n">
        <f aca="false">COUNTIF(選手一覧!$C$7:$C$2738,A538)</f>
        <v>2</v>
      </c>
    </row>
    <row r="539" customFormat="false" ht="15" hidden="false" customHeight="false" outlineLevel="0" collapsed="false">
      <c r="A539" s="12" t="s">
        <v>2254</v>
      </c>
      <c r="B539" s="22" t="n">
        <f aca="false">COUNTIFS(選手一覧!$C$7:$C$2738,A539,選手一覧!$E$7:$E$2738,"&lt;=100")</f>
        <v>0</v>
      </c>
      <c r="C539" s="18" t="n">
        <f aca="false">COUNTIFS(選手一覧!$C$7:$C$2738,A539,選手一覧!$E$7:$E$2738,"&gt;0")</f>
        <v>0</v>
      </c>
      <c r="D539" s="14" t="str">
        <f aca="false">IF(C539=0,"",_xlfn.MINIFS(選手一覧!$E$7:$E$2738,選手一覧!$C$7:$C$2738,A539))</f>
        <v/>
      </c>
      <c r="E539" s="20"/>
      <c r="F539" s="18" t="n">
        <f aca="false">COUNTIFS(選手一覧!$C$7:$C$2738,A539,選手一覧!$I$7:$I$2738,"&lt;=100")</f>
        <v>0</v>
      </c>
      <c r="G539" s="18" t="n">
        <f aca="false">COUNTIFS(選手一覧!$C$7:$C$2738,A539,選手一覧!$K$7:$K$2738,"&lt;=100")</f>
        <v>0</v>
      </c>
      <c r="H539" s="17" t="n">
        <f aca="false">COUNTIF(選手一覧!$C$7:$C$2738,A539)</f>
        <v>2</v>
      </c>
    </row>
    <row r="540" customFormat="false" ht="15" hidden="false" customHeight="false" outlineLevel="0" collapsed="false">
      <c r="A540" s="12" t="s">
        <v>2259</v>
      </c>
      <c r="B540" s="22" t="n">
        <f aca="false">COUNTIFS(選手一覧!$C$7:$C$2738,A540,選手一覧!$E$7:$E$2738,"&lt;=100")</f>
        <v>0</v>
      </c>
      <c r="C540" s="18" t="n">
        <f aca="false">COUNTIFS(選手一覧!$C$7:$C$2738,A540,選手一覧!$E$7:$E$2738,"&gt;0")</f>
        <v>0</v>
      </c>
      <c r="D540" s="14" t="str">
        <f aca="false">IF(C540=0,"",_xlfn.MINIFS(選手一覧!$E$7:$E$2738,選手一覧!$C$7:$C$2738,A540))</f>
        <v/>
      </c>
      <c r="E540" s="20"/>
      <c r="F540" s="18" t="n">
        <f aca="false">COUNTIFS(選手一覧!$C$7:$C$2738,A540,選手一覧!$I$7:$I$2738,"&lt;=100")</f>
        <v>0</v>
      </c>
      <c r="G540" s="18" t="n">
        <f aca="false">COUNTIFS(選手一覧!$C$7:$C$2738,A540,選手一覧!$K$7:$K$2738,"&lt;=100")</f>
        <v>0</v>
      </c>
      <c r="H540" s="17" t="n">
        <f aca="false">COUNTIF(選手一覧!$C$7:$C$2738,A540)</f>
        <v>2</v>
      </c>
    </row>
    <row r="541" customFormat="false" ht="15" hidden="false" customHeight="false" outlineLevel="0" collapsed="false">
      <c r="A541" s="12" t="s">
        <v>2261</v>
      </c>
      <c r="B541" s="22" t="n">
        <f aca="false">COUNTIFS(選手一覧!$C$7:$C$2738,A541,選手一覧!$E$7:$E$2738,"&lt;=100")</f>
        <v>0</v>
      </c>
      <c r="C541" s="18" t="n">
        <f aca="false">COUNTIFS(選手一覧!$C$7:$C$2738,A541,選手一覧!$E$7:$E$2738,"&gt;0")</f>
        <v>0</v>
      </c>
      <c r="D541" s="14" t="str">
        <f aca="false">IF(C541=0,"",_xlfn.MINIFS(選手一覧!$E$7:$E$2738,選手一覧!$C$7:$C$2738,A541))</f>
        <v/>
      </c>
      <c r="E541" s="20"/>
      <c r="F541" s="18" t="n">
        <f aca="false">COUNTIFS(選手一覧!$C$7:$C$2738,A541,選手一覧!$I$7:$I$2738,"&lt;=100")</f>
        <v>0</v>
      </c>
      <c r="G541" s="18" t="n">
        <f aca="false">COUNTIFS(選手一覧!$C$7:$C$2738,A541,選手一覧!$K$7:$K$2738,"&lt;=100")</f>
        <v>0</v>
      </c>
      <c r="H541" s="17" t="n">
        <f aca="false">COUNTIF(選手一覧!$C$7:$C$2738,A541)</f>
        <v>2</v>
      </c>
    </row>
    <row r="542" customFormat="false" ht="15" hidden="false" customHeight="false" outlineLevel="0" collapsed="false">
      <c r="A542" s="12" t="s">
        <v>2268</v>
      </c>
      <c r="B542" s="22" t="n">
        <f aca="false">COUNTIFS(選手一覧!$C$7:$C$2738,A542,選手一覧!$E$7:$E$2738,"&lt;=100")</f>
        <v>0</v>
      </c>
      <c r="C542" s="18" t="n">
        <f aca="false">COUNTIFS(選手一覧!$C$7:$C$2738,A542,選手一覧!$E$7:$E$2738,"&gt;0")</f>
        <v>0</v>
      </c>
      <c r="D542" s="14" t="str">
        <f aca="false">IF(C542=0,"",_xlfn.MINIFS(選手一覧!$E$7:$E$2738,選手一覧!$C$7:$C$2738,A542))</f>
        <v/>
      </c>
      <c r="E542" s="20"/>
      <c r="F542" s="18" t="n">
        <f aca="false">COUNTIFS(選手一覧!$C$7:$C$2738,A542,選手一覧!$I$7:$I$2738,"&lt;=100")</f>
        <v>0</v>
      </c>
      <c r="G542" s="18" t="n">
        <f aca="false">COUNTIFS(選手一覧!$C$7:$C$2738,A542,選手一覧!$K$7:$K$2738,"&lt;=100")</f>
        <v>0</v>
      </c>
      <c r="H542" s="17" t="n">
        <f aca="false">COUNTIF(選手一覧!$C$7:$C$2738,A542)</f>
        <v>2</v>
      </c>
    </row>
    <row r="543" customFormat="false" ht="15" hidden="false" customHeight="false" outlineLevel="0" collapsed="false">
      <c r="A543" s="12" t="s">
        <v>2272</v>
      </c>
      <c r="B543" s="22" t="n">
        <f aca="false">COUNTIFS(選手一覧!$C$7:$C$2738,A543,選手一覧!$E$7:$E$2738,"&lt;=100")</f>
        <v>0</v>
      </c>
      <c r="C543" s="18" t="n">
        <f aca="false">COUNTIFS(選手一覧!$C$7:$C$2738,A543,選手一覧!$E$7:$E$2738,"&gt;0")</f>
        <v>0</v>
      </c>
      <c r="D543" s="14" t="str">
        <f aca="false">IF(C543=0,"",_xlfn.MINIFS(選手一覧!$E$7:$E$2738,選手一覧!$C$7:$C$2738,A543))</f>
        <v/>
      </c>
      <c r="E543" s="20"/>
      <c r="F543" s="18" t="n">
        <f aca="false">COUNTIFS(選手一覧!$C$7:$C$2738,A543,選手一覧!$I$7:$I$2738,"&lt;=100")</f>
        <v>0</v>
      </c>
      <c r="G543" s="18" t="n">
        <f aca="false">COUNTIFS(選手一覧!$C$7:$C$2738,A543,選手一覧!$K$7:$K$2738,"&lt;=100")</f>
        <v>0</v>
      </c>
      <c r="H543" s="17" t="n">
        <f aca="false">COUNTIF(選手一覧!$C$7:$C$2738,A543)</f>
        <v>2</v>
      </c>
    </row>
    <row r="544" customFormat="false" ht="15" hidden="false" customHeight="false" outlineLevel="0" collapsed="false">
      <c r="A544" s="12" t="s">
        <v>2285</v>
      </c>
      <c r="B544" s="22" t="n">
        <f aca="false">COUNTIFS(選手一覧!$C$7:$C$2738,A544,選手一覧!$E$7:$E$2738,"&lt;=100")</f>
        <v>0</v>
      </c>
      <c r="C544" s="18" t="n">
        <f aca="false">COUNTIFS(選手一覧!$C$7:$C$2738,A544,選手一覧!$E$7:$E$2738,"&gt;0")</f>
        <v>0</v>
      </c>
      <c r="D544" s="14" t="str">
        <f aca="false">IF(C544=0,"",_xlfn.MINIFS(選手一覧!$E$7:$E$2738,選手一覧!$C$7:$C$2738,A544))</f>
        <v/>
      </c>
      <c r="E544" s="20"/>
      <c r="F544" s="18" t="n">
        <f aca="false">COUNTIFS(選手一覧!$C$7:$C$2738,A544,選手一覧!$I$7:$I$2738,"&lt;=100")</f>
        <v>0</v>
      </c>
      <c r="G544" s="18" t="n">
        <f aca="false">COUNTIFS(選手一覧!$C$7:$C$2738,A544,選手一覧!$K$7:$K$2738,"&lt;=100")</f>
        <v>0</v>
      </c>
      <c r="H544" s="17" t="n">
        <f aca="false">COUNTIF(選手一覧!$C$7:$C$2738,A544)</f>
        <v>2</v>
      </c>
    </row>
    <row r="545" customFormat="false" ht="15" hidden="false" customHeight="false" outlineLevel="0" collapsed="false">
      <c r="A545" s="12" t="s">
        <v>2287</v>
      </c>
      <c r="B545" s="22" t="n">
        <f aca="false">COUNTIFS(選手一覧!$C$7:$C$2738,A545,選手一覧!$E$7:$E$2738,"&lt;=100")</f>
        <v>0</v>
      </c>
      <c r="C545" s="18" t="n">
        <f aca="false">COUNTIFS(選手一覧!$C$7:$C$2738,A545,選手一覧!$E$7:$E$2738,"&gt;0")</f>
        <v>0</v>
      </c>
      <c r="D545" s="14" t="str">
        <f aca="false">IF(C545=0,"",_xlfn.MINIFS(選手一覧!$E$7:$E$2738,選手一覧!$C$7:$C$2738,A545))</f>
        <v/>
      </c>
      <c r="E545" s="20"/>
      <c r="F545" s="18" t="n">
        <f aca="false">COUNTIFS(選手一覧!$C$7:$C$2738,A545,選手一覧!$I$7:$I$2738,"&lt;=100")</f>
        <v>0</v>
      </c>
      <c r="G545" s="18" t="n">
        <f aca="false">COUNTIFS(選手一覧!$C$7:$C$2738,A545,選手一覧!$K$7:$K$2738,"&lt;=100")</f>
        <v>0</v>
      </c>
      <c r="H545" s="17" t="n">
        <f aca="false">COUNTIF(選手一覧!$C$7:$C$2738,A545)</f>
        <v>2</v>
      </c>
    </row>
    <row r="546" customFormat="false" ht="15" hidden="false" customHeight="false" outlineLevel="0" collapsed="false">
      <c r="A546" s="12" t="s">
        <v>2298</v>
      </c>
      <c r="B546" s="22" t="n">
        <f aca="false">COUNTIFS(選手一覧!$C$7:$C$2738,A546,選手一覧!$E$7:$E$2738,"&lt;=100")</f>
        <v>0</v>
      </c>
      <c r="C546" s="18" t="n">
        <f aca="false">COUNTIFS(選手一覧!$C$7:$C$2738,A546,選手一覧!$E$7:$E$2738,"&gt;0")</f>
        <v>0</v>
      </c>
      <c r="D546" s="14" t="str">
        <f aca="false">IF(C546=0,"",_xlfn.MINIFS(選手一覧!$E$7:$E$2738,選手一覧!$C$7:$C$2738,A546))</f>
        <v/>
      </c>
      <c r="E546" s="20"/>
      <c r="F546" s="18" t="n">
        <f aca="false">COUNTIFS(選手一覧!$C$7:$C$2738,A546,選手一覧!$I$7:$I$2738,"&lt;=100")</f>
        <v>0</v>
      </c>
      <c r="G546" s="18" t="n">
        <f aca="false">COUNTIFS(選手一覧!$C$7:$C$2738,A546,選手一覧!$K$7:$K$2738,"&lt;=100")</f>
        <v>0</v>
      </c>
      <c r="H546" s="17" t="n">
        <f aca="false">COUNTIF(選手一覧!$C$7:$C$2738,A546)</f>
        <v>2</v>
      </c>
    </row>
    <row r="547" customFormat="false" ht="15" hidden="false" customHeight="false" outlineLevel="0" collapsed="false">
      <c r="A547" s="12" t="s">
        <v>2300</v>
      </c>
      <c r="B547" s="22" t="n">
        <f aca="false">COUNTIFS(選手一覧!$C$7:$C$2738,A547,選手一覧!$E$7:$E$2738,"&lt;=100")</f>
        <v>0</v>
      </c>
      <c r="C547" s="18" t="n">
        <f aca="false">COUNTIFS(選手一覧!$C$7:$C$2738,A547,選手一覧!$E$7:$E$2738,"&gt;0")</f>
        <v>0</v>
      </c>
      <c r="D547" s="14" t="str">
        <f aca="false">IF(C547=0,"",_xlfn.MINIFS(選手一覧!$E$7:$E$2738,選手一覧!$C$7:$C$2738,A547))</f>
        <v/>
      </c>
      <c r="E547" s="20"/>
      <c r="F547" s="18" t="n">
        <f aca="false">COUNTIFS(選手一覧!$C$7:$C$2738,A547,選手一覧!$I$7:$I$2738,"&lt;=100")</f>
        <v>0</v>
      </c>
      <c r="G547" s="18" t="n">
        <f aca="false">COUNTIFS(選手一覧!$C$7:$C$2738,A547,選手一覧!$K$7:$K$2738,"&lt;=100")</f>
        <v>0</v>
      </c>
      <c r="H547" s="17" t="n">
        <f aca="false">COUNTIF(選手一覧!$C$7:$C$2738,A547)</f>
        <v>2</v>
      </c>
    </row>
    <row r="548" customFormat="false" ht="15" hidden="false" customHeight="false" outlineLevel="0" collapsed="false">
      <c r="A548" s="12" t="s">
        <v>2307</v>
      </c>
      <c r="B548" s="22" t="n">
        <f aca="false">COUNTIFS(選手一覧!$C$7:$C$2738,A548,選手一覧!$E$7:$E$2738,"&lt;=100")</f>
        <v>0</v>
      </c>
      <c r="C548" s="18" t="n">
        <f aca="false">COUNTIFS(選手一覧!$C$7:$C$2738,A548,選手一覧!$E$7:$E$2738,"&gt;0")</f>
        <v>0</v>
      </c>
      <c r="D548" s="14" t="str">
        <f aca="false">IF(C548=0,"",_xlfn.MINIFS(選手一覧!$E$7:$E$2738,選手一覧!$C$7:$C$2738,A548))</f>
        <v/>
      </c>
      <c r="E548" s="20"/>
      <c r="F548" s="18" t="n">
        <f aca="false">COUNTIFS(選手一覧!$C$7:$C$2738,A548,選手一覧!$I$7:$I$2738,"&lt;=100")</f>
        <v>0</v>
      </c>
      <c r="G548" s="18" t="n">
        <f aca="false">COUNTIFS(選手一覧!$C$7:$C$2738,A548,選手一覧!$K$7:$K$2738,"&lt;=100")</f>
        <v>0</v>
      </c>
      <c r="H548" s="17" t="n">
        <f aca="false">COUNTIF(選手一覧!$C$7:$C$2738,A548)</f>
        <v>2</v>
      </c>
    </row>
    <row r="549" customFormat="false" ht="15" hidden="false" customHeight="false" outlineLevel="0" collapsed="false">
      <c r="A549" s="12" t="s">
        <v>2310</v>
      </c>
      <c r="B549" s="22" t="n">
        <f aca="false">COUNTIFS(選手一覧!$C$7:$C$2738,A549,選手一覧!$E$7:$E$2738,"&lt;=100")</f>
        <v>0</v>
      </c>
      <c r="C549" s="18" t="n">
        <f aca="false">COUNTIFS(選手一覧!$C$7:$C$2738,A549,選手一覧!$E$7:$E$2738,"&gt;0")</f>
        <v>0</v>
      </c>
      <c r="D549" s="14" t="str">
        <f aca="false">IF(C549=0,"",_xlfn.MINIFS(選手一覧!$E$7:$E$2738,選手一覧!$C$7:$C$2738,A549))</f>
        <v/>
      </c>
      <c r="E549" s="20"/>
      <c r="F549" s="18" t="n">
        <f aca="false">COUNTIFS(選手一覧!$C$7:$C$2738,A549,選手一覧!$I$7:$I$2738,"&lt;=100")</f>
        <v>0</v>
      </c>
      <c r="G549" s="18" t="n">
        <f aca="false">COUNTIFS(選手一覧!$C$7:$C$2738,A549,選手一覧!$K$7:$K$2738,"&lt;=100")</f>
        <v>0</v>
      </c>
      <c r="H549" s="17" t="n">
        <f aca="false">COUNTIF(選手一覧!$C$7:$C$2738,A549)</f>
        <v>2</v>
      </c>
    </row>
    <row r="550" customFormat="false" ht="15" hidden="false" customHeight="false" outlineLevel="0" collapsed="false">
      <c r="A550" s="12" t="s">
        <v>2337</v>
      </c>
      <c r="B550" s="22" t="n">
        <f aca="false">COUNTIFS(選手一覧!$C$7:$C$2738,A550,選手一覧!$E$7:$E$2738,"&lt;=100")</f>
        <v>0</v>
      </c>
      <c r="C550" s="18" t="n">
        <f aca="false">COUNTIFS(選手一覧!$C$7:$C$2738,A550,選手一覧!$E$7:$E$2738,"&gt;0")</f>
        <v>0</v>
      </c>
      <c r="D550" s="14" t="str">
        <f aca="false">IF(C550=0,"",_xlfn.MINIFS(選手一覧!$E$7:$E$2738,選手一覧!$C$7:$C$2738,A550))</f>
        <v/>
      </c>
      <c r="E550" s="20"/>
      <c r="F550" s="18" t="n">
        <f aca="false">COUNTIFS(選手一覧!$C$7:$C$2738,A550,選手一覧!$I$7:$I$2738,"&lt;=100")</f>
        <v>0</v>
      </c>
      <c r="G550" s="18" t="n">
        <f aca="false">COUNTIFS(選手一覧!$C$7:$C$2738,A550,選手一覧!$K$7:$K$2738,"&lt;=100")</f>
        <v>0</v>
      </c>
      <c r="H550" s="17" t="n">
        <f aca="false">COUNTIF(選手一覧!$C$7:$C$2738,A550)</f>
        <v>2</v>
      </c>
    </row>
    <row r="551" customFormat="false" ht="15" hidden="false" customHeight="false" outlineLevel="0" collapsed="false">
      <c r="A551" s="12" t="s">
        <v>2370</v>
      </c>
      <c r="B551" s="22" t="n">
        <f aca="false">COUNTIFS(選手一覧!$C$7:$C$2738,A551,選手一覧!$E$7:$E$2738,"&lt;=100")</f>
        <v>0</v>
      </c>
      <c r="C551" s="18" t="n">
        <f aca="false">COUNTIFS(選手一覧!$C$7:$C$2738,A551,選手一覧!$E$7:$E$2738,"&gt;0")</f>
        <v>0</v>
      </c>
      <c r="D551" s="14" t="str">
        <f aca="false">IF(C551=0,"",_xlfn.MINIFS(選手一覧!$E$7:$E$2738,選手一覧!$C$7:$C$2738,A551))</f>
        <v/>
      </c>
      <c r="E551" s="20"/>
      <c r="F551" s="18" t="n">
        <f aca="false">COUNTIFS(選手一覧!$C$7:$C$2738,A551,選手一覧!$I$7:$I$2738,"&lt;=100")</f>
        <v>0</v>
      </c>
      <c r="G551" s="18" t="n">
        <f aca="false">COUNTIFS(選手一覧!$C$7:$C$2738,A551,選手一覧!$K$7:$K$2738,"&lt;=100")</f>
        <v>0</v>
      </c>
      <c r="H551" s="17" t="n">
        <f aca="false">COUNTIF(選手一覧!$C$7:$C$2738,A551)</f>
        <v>2</v>
      </c>
    </row>
    <row r="552" customFormat="false" ht="15" hidden="false" customHeight="false" outlineLevel="0" collapsed="false">
      <c r="A552" s="12" t="s">
        <v>2395</v>
      </c>
      <c r="B552" s="22" t="n">
        <f aca="false">COUNTIFS(選手一覧!$C$7:$C$2738,A552,選手一覧!$E$7:$E$2738,"&lt;=100")</f>
        <v>0</v>
      </c>
      <c r="C552" s="18" t="n">
        <f aca="false">COUNTIFS(選手一覧!$C$7:$C$2738,A552,選手一覧!$E$7:$E$2738,"&gt;0")</f>
        <v>0</v>
      </c>
      <c r="D552" s="14" t="str">
        <f aca="false">IF(C552=0,"",_xlfn.MINIFS(選手一覧!$E$7:$E$2738,選手一覧!$C$7:$C$2738,A552))</f>
        <v/>
      </c>
      <c r="E552" s="20"/>
      <c r="F552" s="18" t="n">
        <f aca="false">COUNTIFS(選手一覧!$C$7:$C$2738,A552,選手一覧!$I$7:$I$2738,"&lt;=100")</f>
        <v>0</v>
      </c>
      <c r="G552" s="18" t="n">
        <f aca="false">COUNTIFS(選手一覧!$C$7:$C$2738,A552,選手一覧!$K$7:$K$2738,"&lt;=100")</f>
        <v>0</v>
      </c>
      <c r="H552" s="17" t="n">
        <f aca="false">COUNTIF(選手一覧!$C$7:$C$2738,A552)</f>
        <v>2</v>
      </c>
    </row>
    <row r="553" customFormat="false" ht="15" hidden="false" customHeight="false" outlineLevel="0" collapsed="false">
      <c r="A553" s="12" t="s">
        <v>2418</v>
      </c>
      <c r="B553" s="22" t="n">
        <f aca="false">COUNTIFS(選手一覧!$C$7:$C$2738,A553,選手一覧!$E$7:$E$2738,"&lt;=100")</f>
        <v>0</v>
      </c>
      <c r="C553" s="18" t="n">
        <f aca="false">COUNTIFS(選手一覧!$C$7:$C$2738,A553,選手一覧!$E$7:$E$2738,"&gt;0")</f>
        <v>0</v>
      </c>
      <c r="D553" s="14" t="str">
        <f aca="false">IF(C553=0,"",_xlfn.MINIFS(選手一覧!$E$7:$E$2738,選手一覧!$C$7:$C$2738,A553))</f>
        <v/>
      </c>
      <c r="E553" s="20"/>
      <c r="F553" s="18" t="n">
        <f aca="false">COUNTIFS(選手一覧!$C$7:$C$2738,A553,選手一覧!$I$7:$I$2738,"&lt;=100")</f>
        <v>0</v>
      </c>
      <c r="G553" s="18" t="n">
        <f aca="false">COUNTIFS(選手一覧!$C$7:$C$2738,A553,選手一覧!$K$7:$K$2738,"&lt;=100")</f>
        <v>0</v>
      </c>
      <c r="H553" s="17" t="n">
        <f aca="false">COUNTIF(選手一覧!$C$7:$C$2738,A553)</f>
        <v>2</v>
      </c>
    </row>
    <row r="554" customFormat="false" ht="15" hidden="false" customHeight="false" outlineLevel="0" collapsed="false">
      <c r="A554" s="12" t="s">
        <v>2442</v>
      </c>
      <c r="B554" s="22" t="n">
        <f aca="false">COUNTIFS(選手一覧!$C$7:$C$2738,A554,選手一覧!$E$7:$E$2738,"&lt;=100")</f>
        <v>0</v>
      </c>
      <c r="C554" s="18" t="n">
        <f aca="false">COUNTIFS(選手一覧!$C$7:$C$2738,A554,選手一覧!$E$7:$E$2738,"&gt;0")</f>
        <v>0</v>
      </c>
      <c r="D554" s="14" t="str">
        <f aca="false">IF(C554=0,"",_xlfn.MINIFS(選手一覧!$E$7:$E$2738,選手一覧!$C$7:$C$2738,A554))</f>
        <v/>
      </c>
      <c r="E554" s="20"/>
      <c r="F554" s="18" t="n">
        <f aca="false">COUNTIFS(選手一覧!$C$7:$C$2738,A554,選手一覧!$I$7:$I$2738,"&lt;=100")</f>
        <v>0</v>
      </c>
      <c r="G554" s="18" t="n">
        <f aca="false">COUNTIFS(選手一覧!$C$7:$C$2738,A554,選手一覧!$K$7:$K$2738,"&lt;=100")</f>
        <v>0</v>
      </c>
      <c r="H554" s="17" t="n">
        <f aca="false">COUNTIF(選手一覧!$C$7:$C$2738,A554)</f>
        <v>2</v>
      </c>
    </row>
    <row r="555" customFormat="false" ht="15" hidden="false" customHeight="false" outlineLevel="0" collapsed="false">
      <c r="A555" s="12" t="s">
        <v>2444</v>
      </c>
      <c r="B555" s="22" t="n">
        <f aca="false">COUNTIFS(選手一覧!$C$7:$C$2738,A555,選手一覧!$E$7:$E$2738,"&lt;=100")</f>
        <v>0</v>
      </c>
      <c r="C555" s="18" t="n">
        <f aca="false">COUNTIFS(選手一覧!$C$7:$C$2738,A555,選手一覧!$E$7:$E$2738,"&gt;0")</f>
        <v>0</v>
      </c>
      <c r="D555" s="14" t="str">
        <f aca="false">IF(C555=0,"",_xlfn.MINIFS(選手一覧!$E$7:$E$2738,選手一覧!$C$7:$C$2738,A555))</f>
        <v/>
      </c>
      <c r="E555" s="20"/>
      <c r="F555" s="18" t="n">
        <f aca="false">COUNTIFS(選手一覧!$C$7:$C$2738,A555,選手一覧!$I$7:$I$2738,"&lt;=100")</f>
        <v>0</v>
      </c>
      <c r="G555" s="18" t="n">
        <f aca="false">COUNTIFS(選手一覧!$C$7:$C$2738,A555,選手一覧!$K$7:$K$2738,"&lt;=100")</f>
        <v>0</v>
      </c>
      <c r="H555" s="17" t="n">
        <f aca="false">COUNTIF(選手一覧!$C$7:$C$2738,A555)</f>
        <v>2</v>
      </c>
    </row>
    <row r="556" customFormat="false" ht="15" hidden="false" customHeight="false" outlineLevel="0" collapsed="false">
      <c r="A556" s="12" t="s">
        <v>2485</v>
      </c>
      <c r="B556" s="22" t="n">
        <f aca="false">COUNTIFS(選手一覧!$C$7:$C$2738,A556,選手一覧!$E$7:$E$2738,"&lt;=100")</f>
        <v>0</v>
      </c>
      <c r="C556" s="18" t="n">
        <f aca="false">COUNTIFS(選手一覧!$C$7:$C$2738,A556,選手一覧!$E$7:$E$2738,"&gt;0")</f>
        <v>0</v>
      </c>
      <c r="D556" s="14" t="str">
        <f aca="false">IF(C556=0,"",_xlfn.MINIFS(選手一覧!$E$7:$E$2738,選手一覧!$C$7:$C$2738,A556))</f>
        <v/>
      </c>
      <c r="E556" s="20"/>
      <c r="F556" s="18" t="n">
        <f aca="false">COUNTIFS(選手一覧!$C$7:$C$2738,A556,選手一覧!$I$7:$I$2738,"&lt;=100")</f>
        <v>0</v>
      </c>
      <c r="G556" s="18" t="n">
        <f aca="false">COUNTIFS(選手一覧!$C$7:$C$2738,A556,選手一覧!$K$7:$K$2738,"&lt;=100")</f>
        <v>0</v>
      </c>
      <c r="H556" s="17" t="n">
        <f aca="false">COUNTIF(選手一覧!$C$7:$C$2738,A556)</f>
        <v>2</v>
      </c>
    </row>
    <row r="557" customFormat="false" ht="15" hidden="false" customHeight="false" outlineLevel="0" collapsed="false">
      <c r="A557" s="12" t="s">
        <v>2494</v>
      </c>
      <c r="B557" s="22" t="n">
        <f aca="false">COUNTIFS(選手一覧!$C$7:$C$2738,A557,選手一覧!$E$7:$E$2738,"&lt;=100")</f>
        <v>0</v>
      </c>
      <c r="C557" s="18" t="n">
        <f aca="false">COUNTIFS(選手一覧!$C$7:$C$2738,A557,選手一覧!$E$7:$E$2738,"&gt;0")</f>
        <v>0</v>
      </c>
      <c r="D557" s="14" t="str">
        <f aca="false">IF(C557=0,"",_xlfn.MINIFS(選手一覧!$E$7:$E$2738,選手一覧!$C$7:$C$2738,A557))</f>
        <v/>
      </c>
      <c r="E557" s="20"/>
      <c r="F557" s="18" t="n">
        <f aca="false">COUNTIFS(選手一覧!$C$7:$C$2738,A557,選手一覧!$I$7:$I$2738,"&lt;=100")</f>
        <v>0</v>
      </c>
      <c r="G557" s="18" t="n">
        <f aca="false">COUNTIFS(選手一覧!$C$7:$C$2738,A557,選手一覧!$K$7:$K$2738,"&lt;=100")</f>
        <v>0</v>
      </c>
      <c r="H557" s="17" t="n">
        <f aca="false">COUNTIF(選手一覧!$C$7:$C$2738,A557)</f>
        <v>2</v>
      </c>
    </row>
    <row r="558" customFormat="false" ht="15" hidden="false" customHeight="false" outlineLevel="0" collapsed="false">
      <c r="A558" s="12" t="s">
        <v>2502</v>
      </c>
      <c r="B558" s="22" t="n">
        <f aca="false">COUNTIFS(選手一覧!$C$7:$C$2738,A558,選手一覧!$E$7:$E$2738,"&lt;=100")</f>
        <v>0</v>
      </c>
      <c r="C558" s="18" t="n">
        <f aca="false">COUNTIFS(選手一覧!$C$7:$C$2738,A558,選手一覧!$E$7:$E$2738,"&gt;0")</f>
        <v>0</v>
      </c>
      <c r="D558" s="14" t="str">
        <f aca="false">IF(C558=0,"",_xlfn.MINIFS(選手一覧!$E$7:$E$2738,選手一覧!$C$7:$C$2738,A558))</f>
        <v/>
      </c>
      <c r="E558" s="20"/>
      <c r="F558" s="18" t="n">
        <f aca="false">COUNTIFS(選手一覧!$C$7:$C$2738,A558,選手一覧!$I$7:$I$2738,"&lt;=100")</f>
        <v>0</v>
      </c>
      <c r="G558" s="18" t="n">
        <f aca="false">COUNTIFS(選手一覧!$C$7:$C$2738,A558,選手一覧!$K$7:$K$2738,"&lt;=100")</f>
        <v>0</v>
      </c>
      <c r="H558" s="17" t="n">
        <f aca="false">COUNTIF(選手一覧!$C$7:$C$2738,A558)</f>
        <v>2</v>
      </c>
    </row>
    <row r="559" customFormat="false" ht="15" hidden="false" customHeight="false" outlineLevel="0" collapsed="false">
      <c r="A559" s="12" t="s">
        <v>2504</v>
      </c>
      <c r="B559" s="22" t="n">
        <f aca="false">COUNTIFS(選手一覧!$C$7:$C$2738,A559,選手一覧!$E$7:$E$2738,"&lt;=100")</f>
        <v>0</v>
      </c>
      <c r="C559" s="18" t="n">
        <f aca="false">COUNTIFS(選手一覧!$C$7:$C$2738,A559,選手一覧!$E$7:$E$2738,"&gt;0")</f>
        <v>0</v>
      </c>
      <c r="D559" s="14" t="str">
        <f aca="false">IF(C559=0,"",_xlfn.MINIFS(選手一覧!$E$7:$E$2738,選手一覧!$C$7:$C$2738,A559))</f>
        <v/>
      </c>
      <c r="E559" s="20"/>
      <c r="F559" s="18" t="n">
        <f aca="false">COUNTIFS(選手一覧!$C$7:$C$2738,A559,選手一覧!$I$7:$I$2738,"&lt;=100")</f>
        <v>0</v>
      </c>
      <c r="G559" s="18" t="n">
        <f aca="false">COUNTIFS(選手一覧!$C$7:$C$2738,A559,選手一覧!$K$7:$K$2738,"&lt;=100")</f>
        <v>0</v>
      </c>
      <c r="H559" s="17" t="n">
        <f aca="false">COUNTIF(選手一覧!$C$7:$C$2738,A559)</f>
        <v>2</v>
      </c>
    </row>
    <row r="560" customFormat="false" ht="15" hidden="false" customHeight="false" outlineLevel="0" collapsed="false">
      <c r="A560" s="12" t="s">
        <v>2509</v>
      </c>
      <c r="B560" s="22" t="n">
        <f aca="false">COUNTIFS(選手一覧!$C$7:$C$2738,A560,選手一覧!$E$7:$E$2738,"&lt;=100")</f>
        <v>0</v>
      </c>
      <c r="C560" s="18" t="n">
        <f aca="false">COUNTIFS(選手一覧!$C$7:$C$2738,A560,選手一覧!$E$7:$E$2738,"&gt;0")</f>
        <v>0</v>
      </c>
      <c r="D560" s="14" t="str">
        <f aca="false">IF(C560=0,"",_xlfn.MINIFS(選手一覧!$E$7:$E$2738,選手一覧!$C$7:$C$2738,A560))</f>
        <v/>
      </c>
      <c r="E560" s="20"/>
      <c r="F560" s="18" t="n">
        <f aca="false">COUNTIFS(選手一覧!$C$7:$C$2738,A560,選手一覧!$I$7:$I$2738,"&lt;=100")</f>
        <v>0</v>
      </c>
      <c r="G560" s="18" t="n">
        <f aca="false">COUNTIFS(選手一覧!$C$7:$C$2738,A560,選手一覧!$K$7:$K$2738,"&lt;=100")</f>
        <v>0</v>
      </c>
      <c r="H560" s="17" t="n">
        <f aca="false">COUNTIF(選手一覧!$C$7:$C$2738,A560)</f>
        <v>2</v>
      </c>
    </row>
    <row r="561" customFormat="false" ht="15" hidden="false" customHeight="false" outlineLevel="0" collapsed="false">
      <c r="A561" s="12" t="s">
        <v>2522</v>
      </c>
      <c r="B561" s="22" t="n">
        <f aca="false">COUNTIFS(選手一覧!$C$7:$C$2738,A561,選手一覧!$E$7:$E$2738,"&lt;=100")</f>
        <v>0</v>
      </c>
      <c r="C561" s="18" t="n">
        <f aca="false">COUNTIFS(選手一覧!$C$7:$C$2738,A561,選手一覧!$E$7:$E$2738,"&gt;0")</f>
        <v>0</v>
      </c>
      <c r="D561" s="14" t="str">
        <f aca="false">IF(C561=0,"",_xlfn.MINIFS(選手一覧!$E$7:$E$2738,選手一覧!$C$7:$C$2738,A561))</f>
        <v/>
      </c>
      <c r="E561" s="20"/>
      <c r="F561" s="18" t="n">
        <f aca="false">COUNTIFS(選手一覧!$C$7:$C$2738,A561,選手一覧!$I$7:$I$2738,"&lt;=100")</f>
        <v>0</v>
      </c>
      <c r="G561" s="18" t="n">
        <f aca="false">COUNTIFS(選手一覧!$C$7:$C$2738,A561,選手一覧!$K$7:$K$2738,"&lt;=100")</f>
        <v>0</v>
      </c>
      <c r="H561" s="17" t="n">
        <f aca="false">COUNTIF(選手一覧!$C$7:$C$2738,A561)</f>
        <v>2</v>
      </c>
    </row>
    <row r="562" customFormat="false" ht="15" hidden="false" customHeight="false" outlineLevel="0" collapsed="false">
      <c r="A562" s="12" t="s">
        <v>2546</v>
      </c>
      <c r="B562" s="22" t="n">
        <f aca="false">COUNTIFS(選手一覧!$C$7:$C$2738,A562,選手一覧!$E$7:$E$2738,"&lt;=100")</f>
        <v>0</v>
      </c>
      <c r="C562" s="18" t="n">
        <f aca="false">COUNTIFS(選手一覧!$C$7:$C$2738,A562,選手一覧!$E$7:$E$2738,"&gt;0")</f>
        <v>0</v>
      </c>
      <c r="D562" s="14" t="str">
        <f aca="false">IF(C562=0,"",_xlfn.MINIFS(選手一覧!$E$7:$E$2738,選手一覧!$C$7:$C$2738,A562))</f>
        <v/>
      </c>
      <c r="E562" s="20"/>
      <c r="F562" s="18" t="n">
        <f aca="false">COUNTIFS(選手一覧!$C$7:$C$2738,A562,選手一覧!$I$7:$I$2738,"&lt;=100")</f>
        <v>0</v>
      </c>
      <c r="G562" s="18" t="n">
        <f aca="false">COUNTIFS(選手一覧!$C$7:$C$2738,A562,選手一覧!$K$7:$K$2738,"&lt;=100")</f>
        <v>0</v>
      </c>
      <c r="H562" s="17" t="n">
        <f aca="false">COUNTIF(選手一覧!$C$7:$C$2738,A562)</f>
        <v>2</v>
      </c>
    </row>
    <row r="563" customFormat="false" ht="15" hidden="false" customHeight="false" outlineLevel="0" collapsed="false">
      <c r="A563" s="12" t="s">
        <v>2560</v>
      </c>
      <c r="B563" s="22" t="n">
        <f aca="false">COUNTIFS(選手一覧!$C$7:$C$2738,A563,選手一覧!$E$7:$E$2738,"&lt;=100")</f>
        <v>0</v>
      </c>
      <c r="C563" s="18" t="n">
        <f aca="false">COUNTIFS(選手一覧!$C$7:$C$2738,A563,選手一覧!$E$7:$E$2738,"&gt;0")</f>
        <v>0</v>
      </c>
      <c r="D563" s="14" t="str">
        <f aca="false">IF(C563=0,"",_xlfn.MINIFS(選手一覧!$E$7:$E$2738,選手一覧!$C$7:$C$2738,A563))</f>
        <v/>
      </c>
      <c r="E563" s="20"/>
      <c r="F563" s="18" t="n">
        <f aca="false">COUNTIFS(選手一覧!$C$7:$C$2738,A563,選手一覧!$I$7:$I$2738,"&lt;=100")</f>
        <v>0</v>
      </c>
      <c r="G563" s="18" t="n">
        <f aca="false">COUNTIFS(選手一覧!$C$7:$C$2738,A563,選手一覧!$K$7:$K$2738,"&lt;=100")</f>
        <v>0</v>
      </c>
      <c r="H563" s="17" t="n">
        <f aca="false">COUNTIF(選手一覧!$C$7:$C$2738,A563)</f>
        <v>2</v>
      </c>
    </row>
    <row r="564" customFormat="false" ht="15" hidden="false" customHeight="false" outlineLevel="0" collapsed="false">
      <c r="A564" s="12" t="s">
        <v>2572</v>
      </c>
      <c r="B564" s="22" t="n">
        <f aca="false">COUNTIFS(選手一覧!$C$7:$C$2738,A564,選手一覧!$E$7:$E$2738,"&lt;=100")</f>
        <v>0</v>
      </c>
      <c r="C564" s="18" t="n">
        <f aca="false">COUNTIFS(選手一覧!$C$7:$C$2738,A564,選手一覧!$E$7:$E$2738,"&gt;0")</f>
        <v>0</v>
      </c>
      <c r="D564" s="14" t="str">
        <f aca="false">IF(C564=0,"",_xlfn.MINIFS(選手一覧!$E$7:$E$2738,選手一覧!$C$7:$C$2738,A564))</f>
        <v/>
      </c>
      <c r="E564" s="20"/>
      <c r="F564" s="18" t="n">
        <f aca="false">COUNTIFS(選手一覧!$C$7:$C$2738,A564,選手一覧!$I$7:$I$2738,"&lt;=100")</f>
        <v>0</v>
      </c>
      <c r="G564" s="18" t="n">
        <f aca="false">COUNTIFS(選手一覧!$C$7:$C$2738,A564,選手一覧!$K$7:$K$2738,"&lt;=100")</f>
        <v>0</v>
      </c>
      <c r="H564" s="17" t="n">
        <f aca="false">COUNTIF(選手一覧!$C$7:$C$2738,A564)</f>
        <v>2</v>
      </c>
    </row>
    <row r="565" customFormat="false" ht="15" hidden="false" customHeight="false" outlineLevel="0" collapsed="false">
      <c r="A565" s="12" t="s">
        <v>2577</v>
      </c>
      <c r="B565" s="22" t="n">
        <f aca="false">COUNTIFS(選手一覧!$C$7:$C$2738,A565,選手一覧!$E$7:$E$2738,"&lt;=100")</f>
        <v>0</v>
      </c>
      <c r="C565" s="18" t="n">
        <f aca="false">COUNTIFS(選手一覧!$C$7:$C$2738,A565,選手一覧!$E$7:$E$2738,"&gt;0")</f>
        <v>0</v>
      </c>
      <c r="D565" s="14" t="str">
        <f aca="false">IF(C565=0,"",_xlfn.MINIFS(選手一覧!$E$7:$E$2738,選手一覧!$C$7:$C$2738,A565))</f>
        <v/>
      </c>
      <c r="E565" s="20"/>
      <c r="F565" s="18" t="n">
        <f aca="false">COUNTIFS(選手一覧!$C$7:$C$2738,A565,選手一覧!$I$7:$I$2738,"&lt;=100")</f>
        <v>0</v>
      </c>
      <c r="G565" s="18" t="n">
        <f aca="false">COUNTIFS(選手一覧!$C$7:$C$2738,A565,選手一覧!$K$7:$K$2738,"&lt;=100")</f>
        <v>0</v>
      </c>
      <c r="H565" s="17" t="n">
        <f aca="false">COUNTIF(選手一覧!$C$7:$C$2738,A565)</f>
        <v>2</v>
      </c>
    </row>
    <row r="566" customFormat="false" ht="15" hidden="false" customHeight="false" outlineLevel="0" collapsed="false">
      <c r="A566" s="12" t="s">
        <v>2583</v>
      </c>
      <c r="B566" s="22" t="n">
        <f aca="false">COUNTIFS(選手一覧!$C$7:$C$2738,A566,選手一覧!$E$7:$E$2738,"&lt;=100")</f>
        <v>0</v>
      </c>
      <c r="C566" s="18" t="n">
        <f aca="false">COUNTIFS(選手一覧!$C$7:$C$2738,A566,選手一覧!$E$7:$E$2738,"&gt;0")</f>
        <v>0</v>
      </c>
      <c r="D566" s="14" t="str">
        <f aca="false">IF(C566=0,"",_xlfn.MINIFS(選手一覧!$E$7:$E$2738,選手一覧!$C$7:$C$2738,A566))</f>
        <v/>
      </c>
      <c r="E566" s="20"/>
      <c r="F566" s="18" t="n">
        <f aca="false">COUNTIFS(選手一覧!$C$7:$C$2738,A566,選手一覧!$I$7:$I$2738,"&lt;=100")</f>
        <v>0</v>
      </c>
      <c r="G566" s="18" t="n">
        <f aca="false">COUNTIFS(選手一覧!$C$7:$C$2738,A566,選手一覧!$K$7:$K$2738,"&lt;=100")</f>
        <v>0</v>
      </c>
      <c r="H566" s="17" t="n">
        <f aca="false">COUNTIF(選手一覧!$C$7:$C$2738,A566)</f>
        <v>2</v>
      </c>
    </row>
    <row r="567" customFormat="false" ht="15" hidden="false" customHeight="false" outlineLevel="0" collapsed="false">
      <c r="A567" s="12" t="s">
        <v>2607</v>
      </c>
      <c r="B567" s="22" t="n">
        <f aca="false">COUNTIFS(選手一覧!$C$7:$C$2738,A567,選手一覧!$E$7:$E$2738,"&lt;=100")</f>
        <v>0</v>
      </c>
      <c r="C567" s="18" t="n">
        <f aca="false">COUNTIFS(選手一覧!$C$7:$C$2738,A567,選手一覧!$E$7:$E$2738,"&gt;0")</f>
        <v>0</v>
      </c>
      <c r="D567" s="14" t="str">
        <f aca="false">IF(C567=0,"",_xlfn.MINIFS(選手一覧!$E$7:$E$2738,選手一覧!$C$7:$C$2738,A567))</f>
        <v/>
      </c>
      <c r="E567" s="20"/>
      <c r="F567" s="18" t="n">
        <f aca="false">COUNTIFS(選手一覧!$C$7:$C$2738,A567,選手一覧!$I$7:$I$2738,"&lt;=100")</f>
        <v>0</v>
      </c>
      <c r="G567" s="18" t="n">
        <f aca="false">COUNTIFS(選手一覧!$C$7:$C$2738,A567,選手一覧!$K$7:$K$2738,"&lt;=100")</f>
        <v>0</v>
      </c>
      <c r="H567" s="17" t="n">
        <f aca="false">COUNTIF(選手一覧!$C$7:$C$2738,A567)</f>
        <v>2</v>
      </c>
    </row>
    <row r="568" customFormat="false" ht="15" hidden="false" customHeight="false" outlineLevel="0" collapsed="false">
      <c r="A568" s="12" t="s">
        <v>2616</v>
      </c>
      <c r="B568" s="22" t="n">
        <f aca="false">COUNTIFS(選手一覧!$C$7:$C$2738,A568,選手一覧!$E$7:$E$2738,"&lt;=100")</f>
        <v>0</v>
      </c>
      <c r="C568" s="18" t="n">
        <f aca="false">COUNTIFS(選手一覧!$C$7:$C$2738,A568,選手一覧!$E$7:$E$2738,"&gt;0")</f>
        <v>0</v>
      </c>
      <c r="D568" s="14" t="str">
        <f aca="false">IF(C568=0,"",_xlfn.MINIFS(選手一覧!$E$7:$E$2738,選手一覧!$C$7:$C$2738,A568))</f>
        <v/>
      </c>
      <c r="E568" s="20"/>
      <c r="F568" s="18" t="n">
        <f aca="false">COUNTIFS(選手一覧!$C$7:$C$2738,A568,選手一覧!$I$7:$I$2738,"&lt;=100")</f>
        <v>0</v>
      </c>
      <c r="G568" s="18" t="n">
        <f aca="false">COUNTIFS(選手一覧!$C$7:$C$2738,A568,選手一覧!$K$7:$K$2738,"&lt;=100")</f>
        <v>0</v>
      </c>
      <c r="H568" s="17" t="n">
        <f aca="false">COUNTIF(選手一覧!$C$7:$C$2738,A568)</f>
        <v>2</v>
      </c>
    </row>
    <row r="569" customFormat="false" ht="15" hidden="false" customHeight="false" outlineLevel="0" collapsed="false">
      <c r="A569" s="12" t="s">
        <v>2628</v>
      </c>
      <c r="B569" s="22" t="n">
        <f aca="false">COUNTIFS(選手一覧!$C$7:$C$2738,A569,選手一覧!$E$7:$E$2738,"&lt;=100")</f>
        <v>0</v>
      </c>
      <c r="C569" s="18" t="n">
        <f aca="false">COUNTIFS(選手一覧!$C$7:$C$2738,A569,選手一覧!$E$7:$E$2738,"&gt;0")</f>
        <v>0</v>
      </c>
      <c r="D569" s="14" t="str">
        <f aca="false">IF(C569=0,"",_xlfn.MINIFS(選手一覧!$E$7:$E$2738,選手一覧!$C$7:$C$2738,A569))</f>
        <v/>
      </c>
      <c r="E569" s="20"/>
      <c r="F569" s="18" t="n">
        <f aca="false">COUNTIFS(選手一覧!$C$7:$C$2738,A569,選手一覧!$I$7:$I$2738,"&lt;=100")</f>
        <v>0</v>
      </c>
      <c r="G569" s="18" t="n">
        <f aca="false">COUNTIFS(選手一覧!$C$7:$C$2738,A569,選手一覧!$K$7:$K$2738,"&lt;=100")</f>
        <v>0</v>
      </c>
      <c r="H569" s="17" t="n">
        <f aca="false">COUNTIF(選手一覧!$C$7:$C$2738,A569)</f>
        <v>2</v>
      </c>
    </row>
    <row r="570" customFormat="false" ht="15" hidden="false" customHeight="false" outlineLevel="0" collapsed="false">
      <c r="A570" s="12" t="s">
        <v>2686</v>
      </c>
      <c r="B570" s="22" t="n">
        <f aca="false">COUNTIFS(選手一覧!$C$7:$C$2738,A570,選手一覧!$E$7:$E$2738,"&lt;=100")</f>
        <v>0</v>
      </c>
      <c r="C570" s="18" t="n">
        <f aca="false">COUNTIFS(選手一覧!$C$7:$C$2738,A570,選手一覧!$E$7:$E$2738,"&gt;0")</f>
        <v>0</v>
      </c>
      <c r="D570" s="14" t="str">
        <f aca="false">IF(C570=0,"",_xlfn.MINIFS(選手一覧!$E$7:$E$2738,選手一覧!$C$7:$C$2738,A570))</f>
        <v/>
      </c>
      <c r="E570" s="20"/>
      <c r="F570" s="18" t="n">
        <f aca="false">COUNTIFS(選手一覧!$C$7:$C$2738,A570,選手一覧!$I$7:$I$2738,"&lt;=100")</f>
        <v>0</v>
      </c>
      <c r="G570" s="18" t="n">
        <f aca="false">COUNTIFS(選手一覧!$C$7:$C$2738,A570,選手一覧!$K$7:$K$2738,"&lt;=100")</f>
        <v>0</v>
      </c>
      <c r="H570" s="17" t="n">
        <f aca="false">COUNTIF(選手一覧!$C$7:$C$2738,A570)</f>
        <v>2</v>
      </c>
    </row>
    <row r="571" customFormat="false" ht="15" hidden="false" customHeight="false" outlineLevel="0" collapsed="false">
      <c r="A571" s="12" t="s">
        <v>2711</v>
      </c>
      <c r="B571" s="22" t="n">
        <f aca="false">COUNTIFS(選手一覧!$C$7:$C$2738,A571,選手一覧!$E$7:$E$2738,"&lt;=100")</f>
        <v>0</v>
      </c>
      <c r="C571" s="18" t="n">
        <f aca="false">COUNTIFS(選手一覧!$C$7:$C$2738,A571,選手一覧!$E$7:$E$2738,"&gt;0")</f>
        <v>0</v>
      </c>
      <c r="D571" s="14" t="str">
        <f aca="false">IF(C571=0,"",_xlfn.MINIFS(選手一覧!$E$7:$E$2738,選手一覧!$C$7:$C$2738,A571))</f>
        <v/>
      </c>
      <c r="E571" s="20"/>
      <c r="F571" s="18" t="n">
        <f aca="false">COUNTIFS(選手一覧!$C$7:$C$2738,A571,選手一覧!$I$7:$I$2738,"&lt;=100")</f>
        <v>0</v>
      </c>
      <c r="G571" s="18" t="n">
        <f aca="false">COUNTIFS(選手一覧!$C$7:$C$2738,A571,選手一覧!$K$7:$K$2738,"&lt;=100")</f>
        <v>0</v>
      </c>
      <c r="H571" s="17" t="n">
        <f aca="false">COUNTIF(選手一覧!$C$7:$C$2738,A571)</f>
        <v>2</v>
      </c>
    </row>
    <row r="572" customFormat="false" ht="15" hidden="false" customHeight="false" outlineLevel="0" collapsed="false">
      <c r="A572" s="12" t="s">
        <v>2720</v>
      </c>
      <c r="B572" s="22" t="n">
        <f aca="false">COUNTIFS(選手一覧!$C$7:$C$2738,A572,選手一覧!$E$7:$E$2738,"&lt;=100")</f>
        <v>0</v>
      </c>
      <c r="C572" s="18" t="n">
        <f aca="false">COUNTIFS(選手一覧!$C$7:$C$2738,A572,選手一覧!$E$7:$E$2738,"&gt;0")</f>
        <v>0</v>
      </c>
      <c r="D572" s="14" t="str">
        <f aca="false">IF(C572=0,"",_xlfn.MINIFS(選手一覧!$E$7:$E$2738,選手一覧!$C$7:$C$2738,A572))</f>
        <v/>
      </c>
      <c r="E572" s="20"/>
      <c r="F572" s="18" t="n">
        <f aca="false">COUNTIFS(選手一覧!$C$7:$C$2738,A572,選手一覧!$I$7:$I$2738,"&lt;=100")</f>
        <v>0</v>
      </c>
      <c r="G572" s="18" t="n">
        <f aca="false">COUNTIFS(選手一覧!$C$7:$C$2738,A572,選手一覧!$K$7:$K$2738,"&lt;=100")</f>
        <v>0</v>
      </c>
      <c r="H572" s="17" t="n">
        <f aca="false">COUNTIF(選手一覧!$C$7:$C$2738,A572)</f>
        <v>2</v>
      </c>
    </row>
    <row r="573" customFormat="false" ht="15" hidden="false" customHeight="false" outlineLevel="0" collapsed="false">
      <c r="A573" s="12" t="s">
        <v>2762</v>
      </c>
      <c r="B573" s="22" t="n">
        <f aca="false">COUNTIFS(選手一覧!$C$7:$C$2738,A573,選手一覧!$E$7:$E$2738,"&lt;=100")</f>
        <v>0</v>
      </c>
      <c r="C573" s="18" t="n">
        <f aca="false">COUNTIFS(選手一覧!$C$7:$C$2738,A573,選手一覧!$E$7:$E$2738,"&gt;0")</f>
        <v>0</v>
      </c>
      <c r="D573" s="14" t="str">
        <f aca="false">IF(C573=0,"",_xlfn.MINIFS(選手一覧!$E$7:$E$2738,選手一覧!$C$7:$C$2738,A573))</f>
        <v/>
      </c>
      <c r="E573" s="20"/>
      <c r="F573" s="18" t="n">
        <f aca="false">COUNTIFS(選手一覧!$C$7:$C$2738,A573,選手一覧!$I$7:$I$2738,"&lt;=100")</f>
        <v>0</v>
      </c>
      <c r="G573" s="18" t="n">
        <f aca="false">COUNTIFS(選手一覧!$C$7:$C$2738,A573,選手一覧!$K$7:$K$2738,"&lt;=100")</f>
        <v>0</v>
      </c>
      <c r="H573" s="17" t="n">
        <f aca="false">COUNTIF(選手一覧!$C$7:$C$2738,A573)</f>
        <v>2</v>
      </c>
    </row>
    <row r="574" customFormat="false" ht="15" hidden="false" customHeight="false" outlineLevel="0" collapsed="false">
      <c r="A574" s="12" t="s">
        <v>2765</v>
      </c>
      <c r="B574" s="22" t="n">
        <f aca="false">COUNTIFS(選手一覧!$C$7:$C$2738,A574,選手一覧!$E$7:$E$2738,"&lt;=100")</f>
        <v>0</v>
      </c>
      <c r="C574" s="18" t="n">
        <f aca="false">COUNTIFS(選手一覧!$C$7:$C$2738,A574,選手一覧!$E$7:$E$2738,"&gt;0")</f>
        <v>0</v>
      </c>
      <c r="D574" s="14" t="str">
        <f aca="false">IF(C574=0,"",_xlfn.MINIFS(選手一覧!$E$7:$E$2738,選手一覧!$C$7:$C$2738,A574))</f>
        <v/>
      </c>
      <c r="E574" s="20"/>
      <c r="F574" s="18" t="n">
        <f aca="false">COUNTIFS(選手一覧!$C$7:$C$2738,A574,選手一覧!$I$7:$I$2738,"&lt;=100")</f>
        <v>0</v>
      </c>
      <c r="G574" s="18" t="n">
        <f aca="false">COUNTIFS(選手一覧!$C$7:$C$2738,A574,選手一覧!$K$7:$K$2738,"&lt;=100")</f>
        <v>0</v>
      </c>
      <c r="H574" s="17" t="n">
        <f aca="false">COUNTIF(選手一覧!$C$7:$C$2738,A574)</f>
        <v>2</v>
      </c>
    </row>
    <row r="575" customFormat="false" ht="15" hidden="false" customHeight="false" outlineLevel="0" collapsed="false">
      <c r="A575" s="12" t="s">
        <v>2773</v>
      </c>
      <c r="B575" s="22" t="n">
        <f aca="false">COUNTIFS(選手一覧!$C$7:$C$2738,A575,選手一覧!$E$7:$E$2738,"&lt;=100")</f>
        <v>0</v>
      </c>
      <c r="C575" s="18" t="n">
        <f aca="false">COUNTIFS(選手一覧!$C$7:$C$2738,A575,選手一覧!$E$7:$E$2738,"&gt;0")</f>
        <v>0</v>
      </c>
      <c r="D575" s="14" t="str">
        <f aca="false">IF(C575=0,"",_xlfn.MINIFS(選手一覧!$E$7:$E$2738,選手一覧!$C$7:$C$2738,A575))</f>
        <v/>
      </c>
      <c r="E575" s="20"/>
      <c r="F575" s="18" t="n">
        <f aca="false">COUNTIFS(選手一覧!$C$7:$C$2738,A575,選手一覧!$I$7:$I$2738,"&lt;=100")</f>
        <v>0</v>
      </c>
      <c r="G575" s="18" t="n">
        <f aca="false">COUNTIFS(選手一覧!$C$7:$C$2738,A575,選手一覧!$K$7:$K$2738,"&lt;=100")</f>
        <v>0</v>
      </c>
      <c r="H575" s="17" t="n">
        <f aca="false">COUNTIF(選手一覧!$C$7:$C$2738,A575)</f>
        <v>2</v>
      </c>
    </row>
    <row r="576" customFormat="false" ht="15" hidden="false" customHeight="false" outlineLevel="0" collapsed="false">
      <c r="A576" s="12" t="s">
        <v>2782</v>
      </c>
      <c r="B576" s="22" t="n">
        <f aca="false">COUNTIFS(選手一覧!$C$7:$C$2738,A576,選手一覧!$E$7:$E$2738,"&lt;=100")</f>
        <v>0</v>
      </c>
      <c r="C576" s="18" t="n">
        <f aca="false">COUNTIFS(選手一覧!$C$7:$C$2738,A576,選手一覧!$E$7:$E$2738,"&gt;0")</f>
        <v>0</v>
      </c>
      <c r="D576" s="14" t="str">
        <f aca="false">IF(C576=0,"",_xlfn.MINIFS(選手一覧!$E$7:$E$2738,選手一覧!$C$7:$C$2738,A576))</f>
        <v/>
      </c>
      <c r="E576" s="20"/>
      <c r="F576" s="18" t="n">
        <f aca="false">COUNTIFS(選手一覧!$C$7:$C$2738,A576,選手一覧!$I$7:$I$2738,"&lt;=100")</f>
        <v>0</v>
      </c>
      <c r="G576" s="18" t="n">
        <f aca="false">COUNTIFS(選手一覧!$C$7:$C$2738,A576,選手一覧!$K$7:$K$2738,"&lt;=100")</f>
        <v>0</v>
      </c>
      <c r="H576" s="17" t="n">
        <f aca="false">COUNTIF(選手一覧!$C$7:$C$2738,A576)</f>
        <v>2</v>
      </c>
    </row>
    <row r="577" customFormat="false" ht="15" hidden="false" customHeight="false" outlineLevel="0" collapsed="false">
      <c r="A577" s="12" t="s">
        <v>2785</v>
      </c>
      <c r="B577" s="22" t="n">
        <f aca="false">COUNTIFS(選手一覧!$C$7:$C$2738,A577,選手一覧!$E$7:$E$2738,"&lt;=100")</f>
        <v>0</v>
      </c>
      <c r="C577" s="18" t="n">
        <f aca="false">COUNTIFS(選手一覧!$C$7:$C$2738,A577,選手一覧!$E$7:$E$2738,"&gt;0")</f>
        <v>0</v>
      </c>
      <c r="D577" s="14" t="str">
        <f aca="false">IF(C577=0,"",_xlfn.MINIFS(選手一覧!$E$7:$E$2738,選手一覧!$C$7:$C$2738,A577))</f>
        <v/>
      </c>
      <c r="E577" s="20"/>
      <c r="F577" s="18" t="n">
        <f aca="false">COUNTIFS(選手一覧!$C$7:$C$2738,A577,選手一覧!$I$7:$I$2738,"&lt;=100")</f>
        <v>0</v>
      </c>
      <c r="G577" s="18" t="n">
        <f aca="false">COUNTIFS(選手一覧!$C$7:$C$2738,A577,選手一覧!$K$7:$K$2738,"&lt;=100")</f>
        <v>0</v>
      </c>
      <c r="H577" s="17" t="n">
        <f aca="false">COUNTIF(選手一覧!$C$7:$C$2738,A577)</f>
        <v>2</v>
      </c>
    </row>
    <row r="578" customFormat="false" ht="15" hidden="false" customHeight="false" outlineLevel="0" collapsed="false">
      <c r="A578" s="12" t="s">
        <v>2787</v>
      </c>
      <c r="B578" s="22" t="n">
        <f aca="false">COUNTIFS(選手一覧!$C$7:$C$2738,A578,選手一覧!$E$7:$E$2738,"&lt;=100")</f>
        <v>0</v>
      </c>
      <c r="C578" s="18" t="n">
        <f aca="false">COUNTIFS(選手一覧!$C$7:$C$2738,A578,選手一覧!$E$7:$E$2738,"&gt;0")</f>
        <v>0</v>
      </c>
      <c r="D578" s="14" t="str">
        <f aca="false">IF(C578=0,"",_xlfn.MINIFS(選手一覧!$E$7:$E$2738,選手一覧!$C$7:$C$2738,A578))</f>
        <v/>
      </c>
      <c r="E578" s="20"/>
      <c r="F578" s="18" t="n">
        <f aca="false">COUNTIFS(選手一覧!$C$7:$C$2738,A578,選手一覧!$I$7:$I$2738,"&lt;=100")</f>
        <v>0</v>
      </c>
      <c r="G578" s="18" t="n">
        <f aca="false">COUNTIFS(選手一覧!$C$7:$C$2738,A578,選手一覧!$K$7:$K$2738,"&lt;=100")</f>
        <v>0</v>
      </c>
      <c r="H578" s="17" t="n">
        <f aca="false">COUNTIF(選手一覧!$C$7:$C$2738,A578)</f>
        <v>2</v>
      </c>
    </row>
    <row r="579" customFormat="false" ht="15" hidden="false" customHeight="false" outlineLevel="0" collapsed="false">
      <c r="A579" s="12" t="s">
        <v>2793</v>
      </c>
      <c r="B579" s="22" t="n">
        <f aca="false">COUNTIFS(選手一覧!$C$7:$C$2738,A579,選手一覧!$E$7:$E$2738,"&lt;=100")</f>
        <v>0</v>
      </c>
      <c r="C579" s="18" t="n">
        <f aca="false">COUNTIFS(選手一覧!$C$7:$C$2738,A579,選手一覧!$E$7:$E$2738,"&gt;0")</f>
        <v>0</v>
      </c>
      <c r="D579" s="14" t="str">
        <f aca="false">IF(C579=0,"",_xlfn.MINIFS(選手一覧!$E$7:$E$2738,選手一覧!$C$7:$C$2738,A579))</f>
        <v/>
      </c>
      <c r="E579" s="20"/>
      <c r="F579" s="18" t="n">
        <f aca="false">COUNTIFS(選手一覧!$C$7:$C$2738,A579,選手一覧!$I$7:$I$2738,"&lt;=100")</f>
        <v>0</v>
      </c>
      <c r="G579" s="18" t="n">
        <f aca="false">COUNTIFS(選手一覧!$C$7:$C$2738,A579,選手一覧!$K$7:$K$2738,"&lt;=100")</f>
        <v>0</v>
      </c>
      <c r="H579" s="17" t="n">
        <f aca="false">COUNTIF(選手一覧!$C$7:$C$2738,A579)</f>
        <v>2</v>
      </c>
    </row>
    <row r="580" customFormat="false" ht="15" hidden="false" customHeight="false" outlineLevel="0" collapsed="false">
      <c r="A580" s="12" t="s">
        <v>2811</v>
      </c>
      <c r="B580" s="22" t="n">
        <f aca="false">COUNTIFS(選手一覧!$C$7:$C$2738,A580,選手一覧!$E$7:$E$2738,"&lt;=100")</f>
        <v>0</v>
      </c>
      <c r="C580" s="18" t="n">
        <f aca="false">COUNTIFS(選手一覧!$C$7:$C$2738,A580,選手一覧!$E$7:$E$2738,"&gt;0")</f>
        <v>0</v>
      </c>
      <c r="D580" s="14" t="str">
        <f aca="false">IF(C580=0,"",_xlfn.MINIFS(選手一覧!$E$7:$E$2738,選手一覧!$C$7:$C$2738,A580))</f>
        <v/>
      </c>
      <c r="E580" s="20"/>
      <c r="F580" s="18" t="n">
        <f aca="false">COUNTIFS(選手一覧!$C$7:$C$2738,A580,選手一覧!$I$7:$I$2738,"&lt;=100")</f>
        <v>0</v>
      </c>
      <c r="G580" s="18" t="n">
        <f aca="false">COUNTIFS(選手一覧!$C$7:$C$2738,A580,選手一覧!$K$7:$K$2738,"&lt;=100")</f>
        <v>0</v>
      </c>
      <c r="H580" s="17" t="n">
        <f aca="false">COUNTIF(選手一覧!$C$7:$C$2738,A580)</f>
        <v>2</v>
      </c>
    </row>
    <row r="581" customFormat="false" ht="15" hidden="false" customHeight="false" outlineLevel="0" collapsed="false">
      <c r="A581" s="12" t="s">
        <v>2816</v>
      </c>
      <c r="B581" s="22" t="n">
        <f aca="false">COUNTIFS(選手一覧!$C$7:$C$2738,A581,選手一覧!$E$7:$E$2738,"&lt;=100")</f>
        <v>0</v>
      </c>
      <c r="C581" s="18" t="n">
        <f aca="false">COUNTIFS(選手一覧!$C$7:$C$2738,A581,選手一覧!$E$7:$E$2738,"&gt;0")</f>
        <v>0</v>
      </c>
      <c r="D581" s="14" t="str">
        <f aca="false">IF(C581=0,"",_xlfn.MINIFS(選手一覧!$E$7:$E$2738,選手一覧!$C$7:$C$2738,A581))</f>
        <v/>
      </c>
      <c r="E581" s="20"/>
      <c r="F581" s="18" t="n">
        <f aca="false">COUNTIFS(選手一覧!$C$7:$C$2738,A581,選手一覧!$I$7:$I$2738,"&lt;=100")</f>
        <v>0</v>
      </c>
      <c r="G581" s="18" t="n">
        <f aca="false">COUNTIFS(選手一覧!$C$7:$C$2738,A581,選手一覧!$K$7:$K$2738,"&lt;=100")</f>
        <v>0</v>
      </c>
      <c r="H581" s="17" t="n">
        <f aca="false">COUNTIF(選手一覧!$C$7:$C$2738,A581)</f>
        <v>2</v>
      </c>
    </row>
    <row r="582" customFormat="false" ht="15" hidden="false" customHeight="false" outlineLevel="0" collapsed="false">
      <c r="A582" s="12" t="s">
        <v>2822</v>
      </c>
      <c r="B582" s="22" t="n">
        <f aca="false">COUNTIFS(選手一覧!$C$7:$C$2738,A582,選手一覧!$E$7:$E$2738,"&lt;=100")</f>
        <v>0</v>
      </c>
      <c r="C582" s="18" t="n">
        <f aca="false">COUNTIFS(選手一覧!$C$7:$C$2738,A582,選手一覧!$E$7:$E$2738,"&gt;0")</f>
        <v>0</v>
      </c>
      <c r="D582" s="14" t="str">
        <f aca="false">IF(C582=0,"",_xlfn.MINIFS(選手一覧!$E$7:$E$2738,選手一覧!$C$7:$C$2738,A582))</f>
        <v/>
      </c>
      <c r="E582" s="20"/>
      <c r="F582" s="18" t="n">
        <f aca="false">COUNTIFS(選手一覧!$C$7:$C$2738,A582,選手一覧!$I$7:$I$2738,"&lt;=100")</f>
        <v>0</v>
      </c>
      <c r="G582" s="18" t="n">
        <f aca="false">COUNTIFS(選手一覧!$C$7:$C$2738,A582,選手一覧!$K$7:$K$2738,"&lt;=100")</f>
        <v>0</v>
      </c>
      <c r="H582" s="17" t="n">
        <f aca="false">COUNTIF(選手一覧!$C$7:$C$2738,A582)</f>
        <v>2</v>
      </c>
    </row>
    <row r="583" customFormat="false" ht="15" hidden="false" customHeight="false" outlineLevel="0" collapsed="false">
      <c r="A583" s="12" t="s">
        <v>2852</v>
      </c>
      <c r="B583" s="22" t="n">
        <f aca="false">COUNTIFS(選手一覧!$C$7:$C$2738,A583,選手一覧!$E$7:$E$2738,"&lt;=100")</f>
        <v>0</v>
      </c>
      <c r="C583" s="18" t="n">
        <f aca="false">COUNTIFS(選手一覧!$C$7:$C$2738,A583,選手一覧!$E$7:$E$2738,"&gt;0")</f>
        <v>0</v>
      </c>
      <c r="D583" s="14" t="str">
        <f aca="false">IF(C583=0,"",_xlfn.MINIFS(選手一覧!$E$7:$E$2738,選手一覧!$C$7:$C$2738,A583))</f>
        <v/>
      </c>
      <c r="E583" s="20"/>
      <c r="F583" s="18" t="n">
        <f aca="false">COUNTIFS(選手一覧!$C$7:$C$2738,A583,選手一覧!$I$7:$I$2738,"&lt;=100")</f>
        <v>0</v>
      </c>
      <c r="G583" s="18" t="n">
        <f aca="false">COUNTIFS(選手一覧!$C$7:$C$2738,A583,選手一覧!$K$7:$K$2738,"&lt;=100")</f>
        <v>0</v>
      </c>
      <c r="H583" s="17" t="n">
        <f aca="false">COUNTIF(選手一覧!$C$7:$C$2738,A583)</f>
        <v>2</v>
      </c>
    </row>
    <row r="584" customFormat="false" ht="15" hidden="false" customHeight="false" outlineLevel="0" collapsed="false">
      <c r="A584" s="12" t="s">
        <v>2867</v>
      </c>
      <c r="B584" s="22" t="n">
        <f aca="false">COUNTIFS(選手一覧!$C$7:$C$2738,A584,選手一覧!$E$7:$E$2738,"&lt;=100")</f>
        <v>0</v>
      </c>
      <c r="C584" s="18" t="n">
        <f aca="false">COUNTIFS(選手一覧!$C$7:$C$2738,A584,選手一覧!$E$7:$E$2738,"&gt;0")</f>
        <v>0</v>
      </c>
      <c r="D584" s="14" t="str">
        <f aca="false">IF(C584=0,"",_xlfn.MINIFS(選手一覧!$E$7:$E$2738,選手一覧!$C$7:$C$2738,A584))</f>
        <v/>
      </c>
      <c r="E584" s="20"/>
      <c r="F584" s="18" t="n">
        <f aca="false">COUNTIFS(選手一覧!$C$7:$C$2738,A584,選手一覧!$I$7:$I$2738,"&lt;=100")</f>
        <v>0</v>
      </c>
      <c r="G584" s="18" t="n">
        <f aca="false">COUNTIFS(選手一覧!$C$7:$C$2738,A584,選手一覧!$K$7:$K$2738,"&lt;=100")</f>
        <v>0</v>
      </c>
      <c r="H584" s="17" t="n">
        <f aca="false">COUNTIF(選手一覧!$C$7:$C$2738,A584)</f>
        <v>2</v>
      </c>
    </row>
    <row r="585" customFormat="false" ht="15" hidden="false" customHeight="false" outlineLevel="0" collapsed="false">
      <c r="A585" s="12" t="s">
        <v>2871</v>
      </c>
      <c r="B585" s="22" t="n">
        <f aca="false">COUNTIFS(選手一覧!$C$7:$C$2738,A585,選手一覧!$E$7:$E$2738,"&lt;=100")</f>
        <v>0</v>
      </c>
      <c r="C585" s="18" t="n">
        <f aca="false">COUNTIFS(選手一覧!$C$7:$C$2738,A585,選手一覧!$E$7:$E$2738,"&gt;0")</f>
        <v>0</v>
      </c>
      <c r="D585" s="14" t="str">
        <f aca="false">IF(C585=0,"",_xlfn.MINIFS(選手一覧!$E$7:$E$2738,選手一覧!$C$7:$C$2738,A585))</f>
        <v/>
      </c>
      <c r="E585" s="20"/>
      <c r="F585" s="18" t="n">
        <f aca="false">COUNTIFS(選手一覧!$C$7:$C$2738,A585,選手一覧!$I$7:$I$2738,"&lt;=100")</f>
        <v>0</v>
      </c>
      <c r="G585" s="18" t="n">
        <f aca="false">COUNTIFS(選手一覧!$C$7:$C$2738,A585,選手一覧!$K$7:$K$2738,"&lt;=100")</f>
        <v>0</v>
      </c>
      <c r="H585" s="17" t="n">
        <f aca="false">COUNTIF(選手一覧!$C$7:$C$2738,A585)</f>
        <v>2</v>
      </c>
    </row>
    <row r="586" customFormat="false" ht="15" hidden="false" customHeight="false" outlineLevel="0" collapsed="false">
      <c r="A586" s="12" t="s">
        <v>2875</v>
      </c>
      <c r="B586" s="22" t="n">
        <f aca="false">COUNTIFS(選手一覧!$C$7:$C$2738,A586,選手一覧!$E$7:$E$2738,"&lt;=100")</f>
        <v>0</v>
      </c>
      <c r="C586" s="18" t="n">
        <f aca="false">COUNTIFS(選手一覧!$C$7:$C$2738,A586,選手一覧!$E$7:$E$2738,"&gt;0")</f>
        <v>0</v>
      </c>
      <c r="D586" s="14" t="str">
        <f aca="false">IF(C586=0,"",_xlfn.MINIFS(選手一覧!$E$7:$E$2738,選手一覧!$C$7:$C$2738,A586))</f>
        <v/>
      </c>
      <c r="E586" s="20"/>
      <c r="F586" s="18" t="n">
        <f aca="false">COUNTIFS(選手一覧!$C$7:$C$2738,A586,選手一覧!$I$7:$I$2738,"&lt;=100")</f>
        <v>0</v>
      </c>
      <c r="G586" s="18" t="n">
        <f aca="false">COUNTIFS(選手一覧!$C$7:$C$2738,A586,選手一覧!$K$7:$K$2738,"&lt;=100")</f>
        <v>0</v>
      </c>
      <c r="H586" s="17" t="n">
        <f aca="false">COUNTIF(選手一覧!$C$7:$C$2738,A586)</f>
        <v>2</v>
      </c>
    </row>
    <row r="587" customFormat="false" ht="15" hidden="false" customHeight="false" outlineLevel="0" collapsed="false">
      <c r="A587" s="12" t="s">
        <v>2892</v>
      </c>
      <c r="B587" s="22" t="n">
        <f aca="false">COUNTIFS(選手一覧!$C$7:$C$2738,A587,選手一覧!$E$7:$E$2738,"&lt;=100")</f>
        <v>0</v>
      </c>
      <c r="C587" s="18" t="n">
        <f aca="false">COUNTIFS(選手一覧!$C$7:$C$2738,A587,選手一覧!$E$7:$E$2738,"&gt;0")</f>
        <v>0</v>
      </c>
      <c r="D587" s="14" t="str">
        <f aca="false">IF(C587=0,"",_xlfn.MINIFS(選手一覧!$E$7:$E$2738,選手一覧!$C$7:$C$2738,A587))</f>
        <v/>
      </c>
      <c r="E587" s="20"/>
      <c r="F587" s="18" t="n">
        <f aca="false">COUNTIFS(選手一覧!$C$7:$C$2738,A587,選手一覧!$I$7:$I$2738,"&lt;=100")</f>
        <v>0</v>
      </c>
      <c r="G587" s="18" t="n">
        <f aca="false">COUNTIFS(選手一覧!$C$7:$C$2738,A587,選手一覧!$K$7:$K$2738,"&lt;=100")</f>
        <v>0</v>
      </c>
      <c r="H587" s="17" t="n">
        <f aca="false">COUNTIF(選手一覧!$C$7:$C$2738,A587)</f>
        <v>2</v>
      </c>
    </row>
    <row r="588" customFormat="false" ht="15" hidden="false" customHeight="false" outlineLevel="0" collapsed="false">
      <c r="A588" s="12" t="s">
        <v>2916</v>
      </c>
      <c r="B588" s="22" t="n">
        <f aca="false">COUNTIFS(選手一覧!$C$7:$C$2738,A588,選手一覧!$E$7:$E$2738,"&lt;=100")</f>
        <v>0</v>
      </c>
      <c r="C588" s="18" t="n">
        <f aca="false">COUNTIFS(選手一覧!$C$7:$C$2738,A588,選手一覧!$E$7:$E$2738,"&gt;0")</f>
        <v>0</v>
      </c>
      <c r="D588" s="14" t="str">
        <f aca="false">IF(C588=0,"",_xlfn.MINIFS(選手一覧!$E$7:$E$2738,選手一覧!$C$7:$C$2738,A588))</f>
        <v/>
      </c>
      <c r="E588" s="20"/>
      <c r="F588" s="18" t="n">
        <f aca="false">COUNTIFS(選手一覧!$C$7:$C$2738,A588,選手一覧!$I$7:$I$2738,"&lt;=100")</f>
        <v>0</v>
      </c>
      <c r="G588" s="18" t="n">
        <f aca="false">COUNTIFS(選手一覧!$C$7:$C$2738,A588,選手一覧!$K$7:$K$2738,"&lt;=100")</f>
        <v>0</v>
      </c>
      <c r="H588" s="17" t="n">
        <f aca="false">COUNTIF(選手一覧!$C$7:$C$2738,A588)</f>
        <v>2</v>
      </c>
    </row>
    <row r="589" customFormat="false" ht="15" hidden="false" customHeight="false" outlineLevel="0" collapsed="false">
      <c r="A589" s="12" t="s">
        <v>2918</v>
      </c>
      <c r="B589" s="22" t="n">
        <f aca="false">COUNTIFS(選手一覧!$C$7:$C$2738,A589,選手一覧!$E$7:$E$2738,"&lt;=100")</f>
        <v>0</v>
      </c>
      <c r="C589" s="18" t="n">
        <f aca="false">COUNTIFS(選手一覧!$C$7:$C$2738,A589,選手一覧!$E$7:$E$2738,"&gt;0")</f>
        <v>0</v>
      </c>
      <c r="D589" s="14" t="str">
        <f aca="false">IF(C589=0,"",_xlfn.MINIFS(選手一覧!$E$7:$E$2738,選手一覧!$C$7:$C$2738,A589))</f>
        <v/>
      </c>
      <c r="E589" s="20"/>
      <c r="F589" s="18" t="n">
        <f aca="false">COUNTIFS(選手一覧!$C$7:$C$2738,A589,選手一覧!$I$7:$I$2738,"&lt;=100")</f>
        <v>0</v>
      </c>
      <c r="G589" s="18" t="n">
        <f aca="false">COUNTIFS(選手一覧!$C$7:$C$2738,A589,選手一覧!$K$7:$K$2738,"&lt;=100")</f>
        <v>0</v>
      </c>
      <c r="H589" s="17" t="n">
        <f aca="false">COUNTIF(選手一覧!$C$7:$C$2738,A589)</f>
        <v>2</v>
      </c>
    </row>
    <row r="590" customFormat="false" ht="15" hidden="false" customHeight="false" outlineLevel="0" collapsed="false">
      <c r="A590" s="12" t="s">
        <v>2927</v>
      </c>
      <c r="B590" s="22" t="n">
        <f aca="false">COUNTIFS(選手一覧!$C$7:$C$2738,A590,選手一覧!$E$7:$E$2738,"&lt;=100")</f>
        <v>0</v>
      </c>
      <c r="C590" s="18" t="n">
        <f aca="false">COUNTIFS(選手一覧!$C$7:$C$2738,A590,選手一覧!$E$7:$E$2738,"&gt;0")</f>
        <v>0</v>
      </c>
      <c r="D590" s="14" t="str">
        <f aca="false">IF(C590=0,"",_xlfn.MINIFS(選手一覧!$E$7:$E$2738,選手一覧!$C$7:$C$2738,A590))</f>
        <v/>
      </c>
      <c r="E590" s="20"/>
      <c r="F590" s="18" t="n">
        <f aca="false">COUNTIFS(選手一覧!$C$7:$C$2738,A590,選手一覧!$I$7:$I$2738,"&lt;=100")</f>
        <v>0</v>
      </c>
      <c r="G590" s="18" t="n">
        <f aca="false">COUNTIFS(選手一覧!$C$7:$C$2738,A590,選手一覧!$K$7:$K$2738,"&lt;=100")</f>
        <v>0</v>
      </c>
      <c r="H590" s="17" t="n">
        <f aca="false">COUNTIF(選手一覧!$C$7:$C$2738,A590)</f>
        <v>2</v>
      </c>
    </row>
    <row r="591" customFormat="false" ht="15" hidden="false" customHeight="false" outlineLevel="0" collapsed="false">
      <c r="A591" s="12" t="s">
        <v>2938</v>
      </c>
      <c r="B591" s="22" t="n">
        <f aca="false">COUNTIFS(選手一覧!$C$7:$C$2738,A591,選手一覧!$E$7:$E$2738,"&lt;=100")</f>
        <v>0</v>
      </c>
      <c r="C591" s="18" t="n">
        <f aca="false">COUNTIFS(選手一覧!$C$7:$C$2738,A591,選手一覧!$E$7:$E$2738,"&gt;0")</f>
        <v>0</v>
      </c>
      <c r="D591" s="14" t="str">
        <f aca="false">IF(C591=0,"",_xlfn.MINIFS(選手一覧!$E$7:$E$2738,選手一覧!$C$7:$C$2738,A591))</f>
        <v/>
      </c>
      <c r="E591" s="20"/>
      <c r="F591" s="18" t="n">
        <f aca="false">COUNTIFS(選手一覧!$C$7:$C$2738,A591,選手一覧!$I$7:$I$2738,"&lt;=100")</f>
        <v>0</v>
      </c>
      <c r="G591" s="18" t="n">
        <f aca="false">COUNTIFS(選手一覧!$C$7:$C$2738,A591,選手一覧!$K$7:$K$2738,"&lt;=100")</f>
        <v>0</v>
      </c>
      <c r="H591" s="17" t="n">
        <f aca="false">COUNTIF(選手一覧!$C$7:$C$2738,A591)</f>
        <v>2</v>
      </c>
    </row>
    <row r="592" customFormat="false" ht="15" hidden="false" customHeight="false" outlineLevel="0" collapsed="false">
      <c r="A592" s="12" t="s">
        <v>2945</v>
      </c>
      <c r="B592" s="22" t="n">
        <f aca="false">COUNTIFS(選手一覧!$C$7:$C$2738,A592,選手一覧!$E$7:$E$2738,"&lt;=100")</f>
        <v>0</v>
      </c>
      <c r="C592" s="18" t="n">
        <f aca="false">COUNTIFS(選手一覧!$C$7:$C$2738,A592,選手一覧!$E$7:$E$2738,"&gt;0")</f>
        <v>0</v>
      </c>
      <c r="D592" s="14" t="str">
        <f aca="false">IF(C592=0,"",_xlfn.MINIFS(選手一覧!$E$7:$E$2738,選手一覧!$C$7:$C$2738,A592))</f>
        <v/>
      </c>
      <c r="E592" s="20"/>
      <c r="F592" s="18" t="n">
        <f aca="false">COUNTIFS(選手一覧!$C$7:$C$2738,A592,選手一覧!$I$7:$I$2738,"&lt;=100")</f>
        <v>0</v>
      </c>
      <c r="G592" s="18" t="n">
        <f aca="false">COUNTIFS(選手一覧!$C$7:$C$2738,A592,選手一覧!$K$7:$K$2738,"&lt;=100")</f>
        <v>0</v>
      </c>
      <c r="H592" s="17" t="n">
        <f aca="false">COUNTIF(選手一覧!$C$7:$C$2738,A592)</f>
        <v>2</v>
      </c>
    </row>
    <row r="593" customFormat="false" ht="15" hidden="false" customHeight="false" outlineLevel="0" collapsed="false">
      <c r="A593" s="12" t="s">
        <v>2959</v>
      </c>
      <c r="B593" s="22" t="n">
        <f aca="false">COUNTIFS(選手一覧!$C$7:$C$2738,A593,選手一覧!$E$7:$E$2738,"&lt;=100")</f>
        <v>0</v>
      </c>
      <c r="C593" s="18" t="n">
        <f aca="false">COUNTIFS(選手一覧!$C$7:$C$2738,A593,選手一覧!$E$7:$E$2738,"&gt;0")</f>
        <v>0</v>
      </c>
      <c r="D593" s="14" t="str">
        <f aca="false">IF(C593=0,"",_xlfn.MINIFS(選手一覧!$E$7:$E$2738,選手一覧!$C$7:$C$2738,A593))</f>
        <v/>
      </c>
      <c r="E593" s="20"/>
      <c r="F593" s="18" t="n">
        <f aca="false">COUNTIFS(選手一覧!$C$7:$C$2738,A593,選手一覧!$I$7:$I$2738,"&lt;=100")</f>
        <v>0</v>
      </c>
      <c r="G593" s="18" t="n">
        <f aca="false">COUNTIFS(選手一覧!$C$7:$C$2738,A593,選手一覧!$K$7:$K$2738,"&lt;=100")</f>
        <v>0</v>
      </c>
      <c r="H593" s="17" t="n">
        <f aca="false">COUNTIF(選手一覧!$C$7:$C$2738,A593)</f>
        <v>2</v>
      </c>
    </row>
    <row r="594" customFormat="false" ht="15" hidden="false" customHeight="false" outlineLevel="0" collapsed="false">
      <c r="A594" s="12" t="s">
        <v>2967</v>
      </c>
      <c r="B594" s="22" t="n">
        <f aca="false">COUNTIFS(選手一覧!$C$7:$C$2738,A594,選手一覧!$E$7:$E$2738,"&lt;=100")</f>
        <v>0</v>
      </c>
      <c r="C594" s="18" t="n">
        <f aca="false">COUNTIFS(選手一覧!$C$7:$C$2738,A594,選手一覧!$E$7:$E$2738,"&gt;0")</f>
        <v>0</v>
      </c>
      <c r="D594" s="14" t="str">
        <f aca="false">IF(C594=0,"",_xlfn.MINIFS(選手一覧!$E$7:$E$2738,選手一覧!$C$7:$C$2738,A594))</f>
        <v/>
      </c>
      <c r="E594" s="20"/>
      <c r="F594" s="18" t="n">
        <f aca="false">COUNTIFS(選手一覧!$C$7:$C$2738,A594,選手一覧!$I$7:$I$2738,"&lt;=100")</f>
        <v>0</v>
      </c>
      <c r="G594" s="18" t="n">
        <f aca="false">COUNTIFS(選手一覧!$C$7:$C$2738,A594,選手一覧!$K$7:$K$2738,"&lt;=100")</f>
        <v>0</v>
      </c>
      <c r="H594" s="17" t="n">
        <f aca="false">COUNTIF(選手一覧!$C$7:$C$2738,A594)</f>
        <v>2</v>
      </c>
    </row>
    <row r="595" customFormat="false" ht="15" hidden="false" customHeight="false" outlineLevel="0" collapsed="false">
      <c r="A595" s="12" t="s">
        <v>2982</v>
      </c>
      <c r="B595" s="22" t="n">
        <f aca="false">COUNTIFS(選手一覧!$C$7:$C$2738,A595,選手一覧!$E$7:$E$2738,"&lt;=100")</f>
        <v>0</v>
      </c>
      <c r="C595" s="18" t="n">
        <f aca="false">COUNTIFS(選手一覧!$C$7:$C$2738,A595,選手一覧!$E$7:$E$2738,"&gt;0")</f>
        <v>0</v>
      </c>
      <c r="D595" s="14" t="str">
        <f aca="false">IF(C595=0,"",_xlfn.MINIFS(選手一覧!$E$7:$E$2738,選手一覧!$C$7:$C$2738,A595))</f>
        <v/>
      </c>
      <c r="E595" s="20"/>
      <c r="F595" s="18" t="n">
        <f aca="false">COUNTIFS(選手一覧!$C$7:$C$2738,A595,選手一覧!$I$7:$I$2738,"&lt;=100")</f>
        <v>0</v>
      </c>
      <c r="G595" s="18" t="n">
        <f aca="false">COUNTIFS(選手一覧!$C$7:$C$2738,A595,選手一覧!$K$7:$K$2738,"&lt;=100")</f>
        <v>0</v>
      </c>
      <c r="H595" s="17" t="n">
        <f aca="false">COUNTIF(選手一覧!$C$7:$C$2738,A595)</f>
        <v>2</v>
      </c>
    </row>
    <row r="596" customFormat="false" ht="15" hidden="false" customHeight="false" outlineLevel="0" collapsed="false">
      <c r="A596" s="12" t="s">
        <v>2992</v>
      </c>
      <c r="B596" s="22" t="n">
        <f aca="false">COUNTIFS(選手一覧!$C$7:$C$2738,A596,選手一覧!$E$7:$E$2738,"&lt;=100")</f>
        <v>0</v>
      </c>
      <c r="C596" s="18" t="n">
        <f aca="false">COUNTIFS(選手一覧!$C$7:$C$2738,A596,選手一覧!$E$7:$E$2738,"&gt;0")</f>
        <v>0</v>
      </c>
      <c r="D596" s="14" t="str">
        <f aca="false">IF(C596=0,"",_xlfn.MINIFS(選手一覧!$E$7:$E$2738,選手一覧!$C$7:$C$2738,A596))</f>
        <v/>
      </c>
      <c r="E596" s="20"/>
      <c r="F596" s="18" t="n">
        <f aca="false">COUNTIFS(選手一覧!$C$7:$C$2738,A596,選手一覧!$I$7:$I$2738,"&lt;=100")</f>
        <v>0</v>
      </c>
      <c r="G596" s="18" t="n">
        <f aca="false">COUNTIFS(選手一覧!$C$7:$C$2738,A596,選手一覧!$K$7:$K$2738,"&lt;=100")</f>
        <v>0</v>
      </c>
      <c r="H596" s="17" t="n">
        <f aca="false">COUNTIF(選手一覧!$C$7:$C$2738,A596)</f>
        <v>2</v>
      </c>
    </row>
    <row r="597" customFormat="false" ht="15" hidden="false" customHeight="false" outlineLevel="0" collapsed="false">
      <c r="A597" s="12" t="s">
        <v>3006</v>
      </c>
      <c r="B597" s="22" t="n">
        <f aca="false">COUNTIFS(選手一覧!$C$7:$C$2738,A597,選手一覧!$E$7:$E$2738,"&lt;=100")</f>
        <v>0</v>
      </c>
      <c r="C597" s="18" t="n">
        <f aca="false">COUNTIFS(選手一覧!$C$7:$C$2738,A597,選手一覧!$E$7:$E$2738,"&gt;0")</f>
        <v>0</v>
      </c>
      <c r="D597" s="14" t="str">
        <f aca="false">IF(C597=0,"",_xlfn.MINIFS(選手一覧!$E$7:$E$2738,選手一覧!$C$7:$C$2738,A597))</f>
        <v/>
      </c>
      <c r="E597" s="20"/>
      <c r="F597" s="18" t="n">
        <f aca="false">COUNTIFS(選手一覧!$C$7:$C$2738,A597,選手一覧!$I$7:$I$2738,"&lt;=100")</f>
        <v>0</v>
      </c>
      <c r="G597" s="18" t="n">
        <f aca="false">COUNTIFS(選手一覧!$C$7:$C$2738,A597,選手一覧!$K$7:$K$2738,"&lt;=100")</f>
        <v>0</v>
      </c>
      <c r="H597" s="17" t="n">
        <f aca="false">COUNTIF(選手一覧!$C$7:$C$2738,A597)</f>
        <v>2</v>
      </c>
    </row>
    <row r="598" customFormat="false" ht="15" hidden="false" customHeight="false" outlineLevel="0" collapsed="false">
      <c r="A598" s="12" t="s">
        <v>3022</v>
      </c>
      <c r="B598" s="22" t="n">
        <f aca="false">COUNTIFS(選手一覧!$C$7:$C$2738,A598,選手一覧!$E$7:$E$2738,"&lt;=100")</f>
        <v>0</v>
      </c>
      <c r="C598" s="18" t="n">
        <f aca="false">COUNTIFS(選手一覧!$C$7:$C$2738,A598,選手一覧!$E$7:$E$2738,"&gt;0")</f>
        <v>0</v>
      </c>
      <c r="D598" s="14" t="str">
        <f aca="false">IF(C598=0,"",_xlfn.MINIFS(選手一覧!$E$7:$E$2738,選手一覧!$C$7:$C$2738,A598))</f>
        <v/>
      </c>
      <c r="E598" s="20"/>
      <c r="F598" s="18" t="n">
        <f aca="false">COUNTIFS(選手一覧!$C$7:$C$2738,A598,選手一覧!$I$7:$I$2738,"&lt;=100")</f>
        <v>0</v>
      </c>
      <c r="G598" s="18" t="n">
        <f aca="false">COUNTIFS(選手一覧!$C$7:$C$2738,A598,選手一覧!$K$7:$K$2738,"&lt;=100")</f>
        <v>0</v>
      </c>
      <c r="H598" s="17" t="n">
        <f aca="false">COUNTIF(選手一覧!$C$7:$C$2738,A598)</f>
        <v>2</v>
      </c>
    </row>
    <row r="599" customFormat="false" ht="15" hidden="false" customHeight="false" outlineLevel="0" collapsed="false">
      <c r="A599" s="12" t="s">
        <v>3026</v>
      </c>
      <c r="B599" s="22" t="n">
        <f aca="false">COUNTIFS(選手一覧!$C$7:$C$2738,A599,選手一覧!$E$7:$E$2738,"&lt;=100")</f>
        <v>0</v>
      </c>
      <c r="C599" s="18" t="n">
        <f aca="false">COUNTIFS(選手一覧!$C$7:$C$2738,A599,選手一覧!$E$7:$E$2738,"&gt;0")</f>
        <v>0</v>
      </c>
      <c r="D599" s="14" t="str">
        <f aca="false">IF(C599=0,"",_xlfn.MINIFS(選手一覧!$E$7:$E$2738,選手一覧!$C$7:$C$2738,A599))</f>
        <v/>
      </c>
      <c r="E599" s="20"/>
      <c r="F599" s="18" t="n">
        <f aca="false">COUNTIFS(選手一覧!$C$7:$C$2738,A599,選手一覧!$I$7:$I$2738,"&lt;=100")</f>
        <v>0</v>
      </c>
      <c r="G599" s="18" t="n">
        <f aca="false">COUNTIFS(選手一覧!$C$7:$C$2738,A599,選手一覧!$K$7:$K$2738,"&lt;=100")</f>
        <v>0</v>
      </c>
      <c r="H599" s="17" t="n">
        <f aca="false">COUNTIF(選手一覧!$C$7:$C$2738,A599)</f>
        <v>2</v>
      </c>
    </row>
    <row r="600" customFormat="false" ht="15" hidden="false" customHeight="false" outlineLevel="0" collapsed="false">
      <c r="A600" s="12" t="s">
        <v>3028</v>
      </c>
      <c r="B600" s="22" t="n">
        <f aca="false">COUNTIFS(選手一覧!$C$7:$C$2738,A600,選手一覧!$E$7:$E$2738,"&lt;=100")</f>
        <v>0</v>
      </c>
      <c r="C600" s="18" t="n">
        <f aca="false">COUNTIFS(選手一覧!$C$7:$C$2738,A600,選手一覧!$E$7:$E$2738,"&gt;0")</f>
        <v>0</v>
      </c>
      <c r="D600" s="14" t="str">
        <f aca="false">IF(C600=0,"",_xlfn.MINIFS(選手一覧!$E$7:$E$2738,選手一覧!$C$7:$C$2738,A600))</f>
        <v/>
      </c>
      <c r="E600" s="20"/>
      <c r="F600" s="18" t="n">
        <f aca="false">COUNTIFS(選手一覧!$C$7:$C$2738,A600,選手一覧!$I$7:$I$2738,"&lt;=100")</f>
        <v>0</v>
      </c>
      <c r="G600" s="18" t="n">
        <f aca="false">COUNTIFS(選手一覧!$C$7:$C$2738,A600,選手一覧!$K$7:$K$2738,"&lt;=100")</f>
        <v>0</v>
      </c>
      <c r="H600" s="17" t="n">
        <f aca="false">COUNTIF(選手一覧!$C$7:$C$2738,A600)</f>
        <v>2</v>
      </c>
    </row>
    <row r="601" customFormat="false" ht="15" hidden="false" customHeight="false" outlineLevel="0" collapsed="false">
      <c r="A601" s="12" t="s">
        <v>3034</v>
      </c>
      <c r="B601" s="22" t="n">
        <f aca="false">COUNTIFS(選手一覧!$C$7:$C$2738,A601,選手一覧!$E$7:$E$2738,"&lt;=100")</f>
        <v>0</v>
      </c>
      <c r="C601" s="18" t="n">
        <f aca="false">COUNTIFS(選手一覧!$C$7:$C$2738,A601,選手一覧!$E$7:$E$2738,"&gt;0")</f>
        <v>0</v>
      </c>
      <c r="D601" s="14" t="str">
        <f aca="false">IF(C601=0,"",_xlfn.MINIFS(選手一覧!$E$7:$E$2738,選手一覧!$C$7:$C$2738,A601))</f>
        <v/>
      </c>
      <c r="E601" s="20"/>
      <c r="F601" s="18" t="n">
        <f aca="false">COUNTIFS(選手一覧!$C$7:$C$2738,A601,選手一覧!$I$7:$I$2738,"&lt;=100")</f>
        <v>0</v>
      </c>
      <c r="G601" s="18" t="n">
        <f aca="false">COUNTIFS(選手一覧!$C$7:$C$2738,A601,選手一覧!$K$7:$K$2738,"&lt;=100")</f>
        <v>0</v>
      </c>
      <c r="H601" s="17" t="n">
        <f aca="false">COUNTIF(選手一覧!$C$7:$C$2738,A601)</f>
        <v>2</v>
      </c>
    </row>
    <row r="602" customFormat="false" ht="15" hidden="false" customHeight="false" outlineLevel="0" collapsed="false">
      <c r="A602" s="12" t="s">
        <v>3057</v>
      </c>
      <c r="B602" s="22" t="n">
        <f aca="false">COUNTIFS(選手一覧!$C$7:$C$2738,A602,選手一覧!$E$7:$E$2738,"&lt;=100")</f>
        <v>0</v>
      </c>
      <c r="C602" s="18" t="n">
        <f aca="false">COUNTIFS(選手一覧!$C$7:$C$2738,A602,選手一覧!$E$7:$E$2738,"&gt;0")</f>
        <v>0</v>
      </c>
      <c r="D602" s="14" t="str">
        <f aca="false">IF(C602=0,"",_xlfn.MINIFS(選手一覧!$E$7:$E$2738,選手一覧!$C$7:$C$2738,A602))</f>
        <v/>
      </c>
      <c r="E602" s="20"/>
      <c r="F602" s="18" t="n">
        <f aca="false">COUNTIFS(選手一覧!$C$7:$C$2738,A602,選手一覧!$I$7:$I$2738,"&lt;=100")</f>
        <v>0</v>
      </c>
      <c r="G602" s="18" t="n">
        <f aca="false">COUNTIFS(選手一覧!$C$7:$C$2738,A602,選手一覧!$K$7:$K$2738,"&lt;=100")</f>
        <v>0</v>
      </c>
      <c r="H602" s="17" t="n">
        <f aca="false">COUNTIF(選手一覧!$C$7:$C$2738,A602)</f>
        <v>2</v>
      </c>
    </row>
    <row r="603" customFormat="false" ht="15" hidden="false" customHeight="false" outlineLevel="0" collapsed="false">
      <c r="A603" s="12" t="s">
        <v>3078</v>
      </c>
      <c r="B603" s="22" t="n">
        <f aca="false">COUNTIFS(選手一覧!$C$7:$C$2738,A603,選手一覧!$E$7:$E$2738,"&lt;=100")</f>
        <v>0</v>
      </c>
      <c r="C603" s="18" t="n">
        <f aca="false">COUNTIFS(選手一覧!$C$7:$C$2738,A603,選手一覧!$E$7:$E$2738,"&gt;0")</f>
        <v>0</v>
      </c>
      <c r="D603" s="14" t="str">
        <f aca="false">IF(C603=0,"",_xlfn.MINIFS(選手一覧!$E$7:$E$2738,選手一覧!$C$7:$C$2738,A603))</f>
        <v/>
      </c>
      <c r="E603" s="20"/>
      <c r="F603" s="18" t="n">
        <f aca="false">COUNTIFS(選手一覧!$C$7:$C$2738,A603,選手一覧!$I$7:$I$2738,"&lt;=100")</f>
        <v>0</v>
      </c>
      <c r="G603" s="18" t="n">
        <f aca="false">COUNTIFS(選手一覧!$C$7:$C$2738,A603,選手一覧!$K$7:$K$2738,"&lt;=100")</f>
        <v>0</v>
      </c>
      <c r="H603" s="17" t="n">
        <f aca="false">COUNTIF(選手一覧!$C$7:$C$2738,A603)</f>
        <v>2</v>
      </c>
    </row>
    <row r="604" customFormat="false" ht="15" hidden="false" customHeight="false" outlineLevel="0" collapsed="false">
      <c r="A604" s="12" t="s">
        <v>3081</v>
      </c>
      <c r="B604" s="22" t="n">
        <f aca="false">COUNTIFS(選手一覧!$C$7:$C$2738,A604,選手一覧!$E$7:$E$2738,"&lt;=100")</f>
        <v>0</v>
      </c>
      <c r="C604" s="18" t="n">
        <f aca="false">COUNTIFS(選手一覧!$C$7:$C$2738,A604,選手一覧!$E$7:$E$2738,"&gt;0")</f>
        <v>0</v>
      </c>
      <c r="D604" s="14" t="str">
        <f aca="false">IF(C604=0,"",_xlfn.MINIFS(選手一覧!$E$7:$E$2738,選手一覧!$C$7:$C$2738,A604))</f>
        <v/>
      </c>
      <c r="E604" s="20"/>
      <c r="F604" s="18" t="n">
        <f aca="false">COUNTIFS(選手一覧!$C$7:$C$2738,A604,選手一覧!$I$7:$I$2738,"&lt;=100")</f>
        <v>0</v>
      </c>
      <c r="G604" s="18" t="n">
        <f aca="false">COUNTIFS(選手一覧!$C$7:$C$2738,A604,選手一覧!$K$7:$K$2738,"&lt;=100")</f>
        <v>0</v>
      </c>
      <c r="H604" s="17" t="n">
        <f aca="false">COUNTIF(選手一覧!$C$7:$C$2738,A604)</f>
        <v>2</v>
      </c>
    </row>
    <row r="605" customFormat="false" ht="15" hidden="false" customHeight="false" outlineLevel="0" collapsed="false">
      <c r="A605" s="12" t="s">
        <v>3083</v>
      </c>
      <c r="B605" s="22" t="n">
        <f aca="false">COUNTIFS(選手一覧!$C$7:$C$2738,A605,選手一覧!$E$7:$E$2738,"&lt;=100")</f>
        <v>0</v>
      </c>
      <c r="C605" s="18" t="n">
        <f aca="false">COUNTIFS(選手一覧!$C$7:$C$2738,A605,選手一覧!$E$7:$E$2738,"&gt;0")</f>
        <v>0</v>
      </c>
      <c r="D605" s="14" t="str">
        <f aca="false">IF(C605=0,"",_xlfn.MINIFS(選手一覧!$E$7:$E$2738,選手一覧!$C$7:$C$2738,A605))</f>
        <v/>
      </c>
      <c r="E605" s="20"/>
      <c r="F605" s="18" t="n">
        <f aca="false">COUNTIFS(選手一覧!$C$7:$C$2738,A605,選手一覧!$I$7:$I$2738,"&lt;=100")</f>
        <v>0</v>
      </c>
      <c r="G605" s="18" t="n">
        <f aca="false">COUNTIFS(選手一覧!$C$7:$C$2738,A605,選手一覧!$K$7:$K$2738,"&lt;=100")</f>
        <v>0</v>
      </c>
      <c r="H605" s="17" t="n">
        <f aca="false">COUNTIF(選手一覧!$C$7:$C$2738,A605)</f>
        <v>2</v>
      </c>
    </row>
    <row r="606" customFormat="false" ht="15" hidden="false" customHeight="false" outlineLevel="0" collapsed="false">
      <c r="A606" s="12" t="s">
        <v>3087</v>
      </c>
      <c r="B606" s="22" t="n">
        <f aca="false">COUNTIFS(選手一覧!$C$7:$C$2738,A606,選手一覧!$E$7:$E$2738,"&lt;=100")</f>
        <v>0</v>
      </c>
      <c r="C606" s="18" t="n">
        <f aca="false">COUNTIFS(選手一覧!$C$7:$C$2738,A606,選手一覧!$E$7:$E$2738,"&gt;0")</f>
        <v>0</v>
      </c>
      <c r="D606" s="14" t="str">
        <f aca="false">IF(C606=0,"",_xlfn.MINIFS(選手一覧!$E$7:$E$2738,選手一覧!$C$7:$C$2738,A606))</f>
        <v/>
      </c>
      <c r="E606" s="20"/>
      <c r="F606" s="18" t="n">
        <f aca="false">COUNTIFS(選手一覧!$C$7:$C$2738,A606,選手一覧!$I$7:$I$2738,"&lt;=100")</f>
        <v>0</v>
      </c>
      <c r="G606" s="18" t="n">
        <f aca="false">COUNTIFS(選手一覧!$C$7:$C$2738,A606,選手一覧!$K$7:$K$2738,"&lt;=100")</f>
        <v>0</v>
      </c>
      <c r="H606" s="17" t="n">
        <f aca="false">COUNTIF(選手一覧!$C$7:$C$2738,A606)</f>
        <v>2</v>
      </c>
    </row>
    <row r="607" customFormat="false" ht="15" hidden="false" customHeight="false" outlineLevel="0" collapsed="false">
      <c r="A607" s="12" t="s">
        <v>3096</v>
      </c>
      <c r="B607" s="22" t="n">
        <f aca="false">COUNTIFS(選手一覧!$C$7:$C$2738,A607,選手一覧!$E$7:$E$2738,"&lt;=100")</f>
        <v>0</v>
      </c>
      <c r="C607" s="18" t="n">
        <f aca="false">COUNTIFS(選手一覧!$C$7:$C$2738,A607,選手一覧!$E$7:$E$2738,"&gt;0")</f>
        <v>0</v>
      </c>
      <c r="D607" s="14" t="str">
        <f aca="false">IF(C607=0,"",_xlfn.MINIFS(選手一覧!$E$7:$E$2738,選手一覧!$C$7:$C$2738,A607))</f>
        <v/>
      </c>
      <c r="E607" s="20"/>
      <c r="F607" s="18" t="n">
        <f aca="false">COUNTIFS(選手一覧!$C$7:$C$2738,A607,選手一覧!$I$7:$I$2738,"&lt;=100")</f>
        <v>0</v>
      </c>
      <c r="G607" s="18" t="n">
        <f aca="false">COUNTIFS(選手一覧!$C$7:$C$2738,A607,選手一覧!$K$7:$K$2738,"&lt;=100")</f>
        <v>0</v>
      </c>
      <c r="H607" s="17" t="n">
        <f aca="false">COUNTIF(選手一覧!$C$7:$C$2738,A607)</f>
        <v>2</v>
      </c>
    </row>
    <row r="608" customFormat="false" ht="15" hidden="false" customHeight="false" outlineLevel="0" collapsed="false">
      <c r="A608" s="12" t="s">
        <v>3144</v>
      </c>
      <c r="B608" s="22" t="n">
        <f aca="false">COUNTIFS(選手一覧!$C$7:$C$2738,A608,選手一覧!$E$7:$E$2738,"&lt;=100")</f>
        <v>0</v>
      </c>
      <c r="C608" s="18" t="n">
        <f aca="false">COUNTIFS(選手一覧!$C$7:$C$2738,A608,選手一覧!$E$7:$E$2738,"&gt;0")</f>
        <v>0</v>
      </c>
      <c r="D608" s="14" t="str">
        <f aca="false">IF(C608=0,"",_xlfn.MINIFS(選手一覧!$E$7:$E$2738,選手一覧!$C$7:$C$2738,A608))</f>
        <v/>
      </c>
      <c r="E608" s="20"/>
      <c r="F608" s="18" t="n">
        <f aca="false">COUNTIFS(選手一覧!$C$7:$C$2738,A608,選手一覧!$I$7:$I$2738,"&lt;=100")</f>
        <v>0</v>
      </c>
      <c r="G608" s="18" t="n">
        <f aca="false">COUNTIFS(選手一覧!$C$7:$C$2738,A608,選手一覧!$K$7:$K$2738,"&lt;=100")</f>
        <v>0</v>
      </c>
      <c r="H608" s="17" t="n">
        <f aca="false">COUNTIF(選手一覧!$C$7:$C$2738,A608)</f>
        <v>2</v>
      </c>
    </row>
    <row r="609" customFormat="false" ht="15" hidden="false" customHeight="false" outlineLevel="0" collapsed="false">
      <c r="A609" s="12" t="s">
        <v>3151</v>
      </c>
      <c r="B609" s="22" t="n">
        <f aca="false">COUNTIFS(選手一覧!$C$7:$C$2738,A609,選手一覧!$E$7:$E$2738,"&lt;=100")</f>
        <v>0</v>
      </c>
      <c r="C609" s="18" t="n">
        <f aca="false">COUNTIFS(選手一覧!$C$7:$C$2738,A609,選手一覧!$E$7:$E$2738,"&gt;0")</f>
        <v>0</v>
      </c>
      <c r="D609" s="14" t="str">
        <f aca="false">IF(C609=0,"",_xlfn.MINIFS(選手一覧!$E$7:$E$2738,選手一覧!$C$7:$C$2738,A609))</f>
        <v/>
      </c>
      <c r="E609" s="20"/>
      <c r="F609" s="18" t="n">
        <f aca="false">COUNTIFS(選手一覧!$C$7:$C$2738,A609,選手一覧!$I$7:$I$2738,"&lt;=100")</f>
        <v>0</v>
      </c>
      <c r="G609" s="18" t="n">
        <f aca="false">COUNTIFS(選手一覧!$C$7:$C$2738,A609,選手一覧!$K$7:$K$2738,"&lt;=100")</f>
        <v>0</v>
      </c>
      <c r="H609" s="17" t="n">
        <f aca="false">COUNTIF(選手一覧!$C$7:$C$2738,A609)</f>
        <v>2</v>
      </c>
    </row>
    <row r="610" customFormat="false" ht="15" hidden="false" customHeight="false" outlineLevel="0" collapsed="false">
      <c r="A610" s="12" t="s">
        <v>3154</v>
      </c>
      <c r="B610" s="22" t="n">
        <f aca="false">COUNTIFS(選手一覧!$C$7:$C$2738,A610,選手一覧!$E$7:$E$2738,"&lt;=100")</f>
        <v>0</v>
      </c>
      <c r="C610" s="18" t="n">
        <f aca="false">COUNTIFS(選手一覧!$C$7:$C$2738,A610,選手一覧!$E$7:$E$2738,"&gt;0")</f>
        <v>0</v>
      </c>
      <c r="D610" s="14" t="str">
        <f aca="false">IF(C610=0,"",_xlfn.MINIFS(選手一覧!$E$7:$E$2738,選手一覧!$C$7:$C$2738,A610))</f>
        <v/>
      </c>
      <c r="E610" s="20"/>
      <c r="F610" s="18" t="n">
        <f aca="false">COUNTIFS(選手一覧!$C$7:$C$2738,A610,選手一覧!$I$7:$I$2738,"&lt;=100")</f>
        <v>0</v>
      </c>
      <c r="G610" s="18" t="n">
        <f aca="false">COUNTIFS(選手一覧!$C$7:$C$2738,A610,選手一覧!$K$7:$K$2738,"&lt;=100")</f>
        <v>0</v>
      </c>
      <c r="H610" s="17" t="n">
        <f aca="false">COUNTIF(選手一覧!$C$7:$C$2738,A610)</f>
        <v>2</v>
      </c>
    </row>
    <row r="611" customFormat="false" ht="15" hidden="false" customHeight="false" outlineLevel="0" collapsed="false">
      <c r="A611" s="12" t="s">
        <v>3220</v>
      </c>
      <c r="B611" s="22" t="n">
        <f aca="false">COUNTIFS(選手一覧!$C$7:$C$2738,A611,選手一覧!$E$7:$E$2738,"&lt;=100")</f>
        <v>0</v>
      </c>
      <c r="C611" s="18" t="n">
        <f aca="false">COUNTIFS(選手一覧!$C$7:$C$2738,A611,選手一覧!$E$7:$E$2738,"&gt;0")</f>
        <v>0</v>
      </c>
      <c r="D611" s="14" t="str">
        <f aca="false">IF(C611=0,"",_xlfn.MINIFS(選手一覧!$E$7:$E$2738,選手一覧!$C$7:$C$2738,A611))</f>
        <v/>
      </c>
      <c r="E611" s="20"/>
      <c r="F611" s="18" t="n">
        <f aca="false">COUNTIFS(選手一覧!$C$7:$C$2738,A611,選手一覧!$I$7:$I$2738,"&lt;=100")</f>
        <v>0</v>
      </c>
      <c r="G611" s="18" t="n">
        <f aca="false">COUNTIFS(選手一覧!$C$7:$C$2738,A611,選手一覧!$K$7:$K$2738,"&lt;=100")</f>
        <v>0</v>
      </c>
      <c r="H611" s="17" t="n">
        <f aca="false">COUNTIF(選手一覧!$C$7:$C$2738,A611)</f>
        <v>2</v>
      </c>
    </row>
    <row r="612" customFormat="false" ht="15" hidden="false" customHeight="false" outlineLevel="0" collapsed="false">
      <c r="A612" s="12" t="s">
        <v>3232</v>
      </c>
      <c r="B612" s="22" t="n">
        <f aca="false">COUNTIFS(選手一覧!$C$7:$C$2738,A612,選手一覧!$E$7:$E$2738,"&lt;=100")</f>
        <v>0</v>
      </c>
      <c r="C612" s="18" t="n">
        <f aca="false">COUNTIFS(選手一覧!$C$7:$C$2738,A612,選手一覧!$E$7:$E$2738,"&gt;0")</f>
        <v>0</v>
      </c>
      <c r="D612" s="14" t="str">
        <f aca="false">IF(C612=0,"",_xlfn.MINIFS(選手一覧!$E$7:$E$2738,選手一覧!$C$7:$C$2738,A612))</f>
        <v/>
      </c>
      <c r="E612" s="20"/>
      <c r="F612" s="18" t="n">
        <f aca="false">COUNTIFS(選手一覧!$C$7:$C$2738,A612,選手一覧!$I$7:$I$2738,"&lt;=100")</f>
        <v>0</v>
      </c>
      <c r="G612" s="18" t="n">
        <f aca="false">COUNTIFS(選手一覧!$C$7:$C$2738,A612,選手一覧!$K$7:$K$2738,"&lt;=100")</f>
        <v>0</v>
      </c>
      <c r="H612" s="17" t="n">
        <f aca="false">COUNTIF(選手一覧!$C$7:$C$2738,A612)</f>
        <v>2</v>
      </c>
    </row>
    <row r="613" customFormat="false" ht="15" hidden="false" customHeight="false" outlineLevel="0" collapsed="false">
      <c r="A613" s="12" t="s">
        <v>3241</v>
      </c>
      <c r="B613" s="22" t="n">
        <f aca="false">COUNTIFS(選手一覧!$C$7:$C$2738,A613,選手一覧!$E$7:$E$2738,"&lt;=100")</f>
        <v>0</v>
      </c>
      <c r="C613" s="18" t="n">
        <f aca="false">COUNTIFS(選手一覧!$C$7:$C$2738,A613,選手一覧!$E$7:$E$2738,"&gt;0")</f>
        <v>0</v>
      </c>
      <c r="D613" s="14" t="str">
        <f aca="false">IF(C613=0,"",_xlfn.MINIFS(選手一覧!$E$7:$E$2738,選手一覧!$C$7:$C$2738,A613))</f>
        <v/>
      </c>
      <c r="E613" s="20"/>
      <c r="F613" s="18" t="n">
        <f aca="false">COUNTIFS(選手一覧!$C$7:$C$2738,A613,選手一覧!$I$7:$I$2738,"&lt;=100")</f>
        <v>0</v>
      </c>
      <c r="G613" s="18" t="n">
        <f aca="false">COUNTIFS(選手一覧!$C$7:$C$2738,A613,選手一覧!$K$7:$K$2738,"&lt;=100")</f>
        <v>0</v>
      </c>
      <c r="H613" s="17" t="n">
        <f aca="false">COUNTIF(選手一覧!$C$7:$C$2738,A613)</f>
        <v>2</v>
      </c>
    </row>
    <row r="614" customFormat="false" ht="15" hidden="false" customHeight="false" outlineLevel="0" collapsed="false">
      <c r="A614" s="12" t="s">
        <v>3277</v>
      </c>
      <c r="B614" s="22" t="n">
        <f aca="false">COUNTIFS(選手一覧!$C$7:$C$2738,A614,選手一覧!$E$7:$E$2738,"&lt;=100")</f>
        <v>0</v>
      </c>
      <c r="C614" s="18" t="n">
        <f aca="false">COUNTIFS(選手一覧!$C$7:$C$2738,A614,選手一覧!$E$7:$E$2738,"&gt;0")</f>
        <v>0</v>
      </c>
      <c r="D614" s="14" t="str">
        <f aca="false">IF(C614=0,"",_xlfn.MINIFS(選手一覧!$E$7:$E$2738,選手一覧!$C$7:$C$2738,A614))</f>
        <v/>
      </c>
      <c r="E614" s="20"/>
      <c r="F614" s="18" t="n">
        <f aca="false">COUNTIFS(選手一覧!$C$7:$C$2738,A614,選手一覧!$I$7:$I$2738,"&lt;=100")</f>
        <v>0</v>
      </c>
      <c r="G614" s="18" t="n">
        <f aca="false">COUNTIFS(選手一覧!$C$7:$C$2738,A614,選手一覧!$K$7:$K$2738,"&lt;=100")</f>
        <v>0</v>
      </c>
      <c r="H614" s="17" t="n">
        <f aca="false">COUNTIF(選手一覧!$C$7:$C$2738,A614)</f>
        <v>2</v>
      </c>
    </row>
    <row r="615" customFormat="false" ht="15" hidden="false" customHeight="false" outlineLevel="0" collapsed="false">
      <c r="A615" s="12" t="s">
        <v>3288</v>
      </c>
      <c r="B615" s="22" t="n">
        <f aca="false">COUNTIFS(選手一覧!$C$7:$C$2738,A615,選手一覧!$E$7:$E$2738,"&lt;=100")</f>
        <v>0</v>
      </c>
      <c r="C615" s="18" t="n">
        <f aca="false">COUNTIFS(選手一覧!$C$7:$C$2738,A615,選手一覧!$E$7:$E$2738,"&gt;0")</f>
        <v>0</v>
      </c>
      <c r="D615" s="14" t="str">
        <f aca="false">IF(C615=0,"",_xlfn.MINIFS(選手一覧!$E$7:$E$2738,選手一覧!$C$7:$C$2738,A615))</f>
        <v/>
      </c>
      <c r="E615" s="20"/>
      <c r="F615" s="18" t="n">
        <f aca="false">COUNTIFS(選手一覧!$C$7:$C$2738,A615,選手一覧!$I$7:$I$2738,"&lt;=100")</f>
        <v>0</v>
      </c>
      <c r="G615" s="18" t="n">
        <f aca="false">COUNTIFS(選手一覧!$C$7:$C$2738,A615,選手一覧!$K$7:$K$2738,"&lt;=100")</f>
        <v>0</v>
      </c>
      <c r="H615" s="17" t="n">
        <f aca="false">COUNTIF(選手一覧!$C$7:$C$2738,A615)</f>
        <v>2</v>
      </c>
    </row>
    <row r="616" customFormat="false" ht="15" hidden="false" customHeight="false" outlineLevel="0" collapsed="false">
      <c r="A616" s="12" t="s">
        <v>3311</v>
      </c>
      <c r="B616" s="22" t="n">
        <f aca="false">COUNTIFS(選手一覧!$C$7:$C$2738,A616,選手一覧!$E$7:$E$2738,"&lt;=100")</f>
        <v>0</v>
      </c>
      <c r="C616" s="18" t="n">
        <f aca="false">COUNTIFS(選手一覧!$C$7:$C$2738,A616,選手一覧!$E$7:$E$2738,"&gt;0")</f>
        <v>0</v>
      </c>
      <c r="D616" s="14" t="str">
        <f aca="false">IF(C616=0,"",_xlfn.MINIFS(選手一覧!$E$7:$E$2738,選手一覧!$C$7:$C$2738,A616))</f>
        <v/>
      </c>
      <c r="E616" s="20"/>
      <c r="F616" s="18" t="n">
        <f aca="false">COUNTIFS(選手一覧!$C$7:$C$2738,A616,選手一覧!$I$7:$I$2738,"&lt;=100")</f>
        <v>0</v>
      </c>
      <c r="G616" s="18" t="n">
        <f aca="false">COUNTIFS(選手一覧!$C$7:$C$2738,A616,選手一覧!$K$7:$K$2738,"&lt;=100")</f>
        <v>0</v>
      </c>
      <c r="H616" s="17" t="n">
        <f aca="false">COUNTIF(選手一覧!$C$7:$C$2738,A616)</f>
        <v>2</v>
      </c>
    </row>
    <row r="617" customFormat="false" ht="15" hidden="false" customHeight="false" outlineLevel="0" collapsed="false">
      <c r="A617" s="12" t="s">
        <v>3334</v>
      </c>
      <c r="B617" s="22" t="n">
        <f aca="false">COUNTIFS(選手一覧!$C$7:$C$2738,A617,選手一覧!$E$7:$E$2738,"&lt;=100")</f>
        <v>0</v>
      </c>
      <c r="C617" s="18" t="n">
        <f aca="false">COUNTIFS(選手一覧!$C$7:$C$2738,A617,選手一覧!$E$7:$E$2738,"&gt;0")</f>
        <v>0</v>
      </c>
      <c r="D617" s="14" t="str">
        <f aca="false">IF(C617=0,"",_xlfn.MINIFS(選手一覧!$E$7:$E$2738,選手一覧!$C$7:$C$2738,A617))</f>
        <v/>
      </c>
      <c r="E617" s="20"/>
      <c r="F617" s="18" t="n">
        <f aca="false">COUNTIFS(選手一覧!$C$7:$C$2738,A617,選手一覧!$I$7:$I$2738,"&lt;=100")</f>
        <v>0</v>
      </c>
      <c r="G617" s="18" t="n">
        <f aca="false">COUNTIFS(選手一覧!$C$7:$C$2738,A617,選手一覧!$K$7:$K$2738,"&lt;=100")</f>
        <v>0</v>
      </c>
      <c r="H617" s="17" t="n">
        <f aca="false">COUNTIF(選手一覧!$C$7:$C$2738,A617)</f>
        <v>2</v>
      </c>
    </row>
    <row r="618" customFormat="false" ht="15" hidden="false" customHeight="false" outlineLevel="0" collapsed="false">
      <c r="A618" s="12" t="s">
        <v>3389</v>
      </c>
      <c r="B618" s="22" t="n">
        <f aca="false">COUNTIFS(選手一覧!$C$7:$C$2738,A618,選手一覧!$E$7:$E$2738,"&lt;=100")</f>
        <v>0</v>
      </c>
      <c r="C618" s="18" t="n">
        <f aca="false">COUNTIFS(選手一覧!$C$7:$C$2738,A618,選手一覧!$E$7:$E$2738,"&gt;0")</f>
        <v>0</v>
      </c>
      <c r="D618" s="14" t="str">
        <f aca="false">IF(C618=0,"",_xlfn.MINIFS(選手一覧!$E$7:$E$2738,選手一覧!$C$7:$C$2738,A618))</f>
        <v/>
      </c>
      <c r="E618" s="20"/>
      <c r="F618" s="18" t="n">
        <f aca="false">COUNTIFS(選手一覧!$C$7:$C$2738,A618,選手一覧!$I$7:$I$2738,"&lt;=100")</f>
        <v>0</v>
      </c>
      <c r="G618" s="18" t="n">
        <f aca="false">COUNTIFS(選手一覧!$C$7:$C$2738,A618,選手一覧!$K$7:$K$2738,"&lt;=100")</f>
        <v>0</v>
      </c>
      <c r="H618" s="17" t="n">
        <f aca="false">COUNTIF(選手一覧!$C$7:$C$2738,A618)</f>
        <v>2</v>
      </c>
    </row>
    <row r="619" customFormat="false" ht="15" hidden="false" customHeight="false" outlineLevel="0" collapsed="false">
      <c r="A619" s="12" t="s">
        <v>3437</v>
      </c>
      <c r="B619" s="22" t="n">
        <f aca="false">COUNTIFS(選手一覧!$C$7:$C$2738,A619,選手一覧!$E$7:$E$2738,"&lt;=100")</f>
        <v>0</v>
      </c>
      <c r="C619" s="18" t="n">
        <f aca="false">COUNTIFS(選手一覧!$C$7:$C$2738,A619,選手一覧!$E$7:$E$2738,"&gt;0")</f>
        <v>0</v>
      </c>
      <c r="D619" s="14" t="str">
        <f aca="false">IF(C619=0,"",_xlfn.MINIFS(選手一覧!$E$7:$E$2738,選手一覧!$C$7:$C$2738,A619))</f>
        <v/>
      </c>
      <c r="E619" s="20"/>
      <c r="F619" s="18" t="n">
        <f aca="false">COUNTIFS(選手一覧!$C$7:$C$2738,A619,選手一覧!$I$7:$I$2738,"&lt;=100")</f>
        <v>0</v>
      </c>
      <c r="G619" s="18" t="n">
        <f aca="false">COUNTIFS(選手一覧!$C$7:$C$2738,A619,選手一覧!$K$7:$K$2738,"&lt;=100")</f>
        <v>0</v>
      </c>
      <c r="H619" s="17" t="n">
        <f aca="false">COUNTIF(選手一覧!$C$7:$C$2738,A619)</f>
        <v>2</v>
      </c>
    </row>
    <row r="620" customFormat="false" ht="15" hidden="false" customHeight="false" outlineLevel="0" collapsed="false">
      <c r="A620" s="12" t="s">
        <v>3452</v>
      </c>
      <c r="B620" s="22" t="n">
        <f aca="false">COUNTIFS(選手一覧!$C$7:$C$2738,A620,選手一覧!$E$7:$E$2738,"&lt;=100")</f>
        <v>0</v>
      </c>
      <c r="C620" s="18" t="n">
        <f aca="false">COUNTIFS(選手一覧!$C$7:$C$2738,A620,選手一覧!$E$7:$E$2738,"&gt;0")</f>
        <v>0</v>
      </c>
      <c r="D620" s="14" t="str">
        <f aca="false">IF(C620=0,"",_xlfn.MINIFS(選手一覧!$E$7:$E$2738,選手一覧!$C$7:$C$2738,A620))</f>
        <v/>
      </c>
      <c r="E620" s="20"/>
      <c r="F620" s="18" t="n">
        <f aca="false">COUNTIFS(選手一覧!$C$7:$C$2738,A620,選手一覧!$I$7:$I$2738,"&lt;=100")</f>
        <v>0</v>
      </c>
      <c r="G620" s="18" t="n">
        <f aca="false">COUNTIFS(選手一覧!$C$7:$C$2738,A620,選手一覧!$K$7:$K$2738,"&lt;=100")</f>
        <v>0</v>
      </c>
      <c r="H620" s="17" t="n">
        <f aca="false">COUNTIF(選手一覧!$C$7:$C$2738,A620)</f>
        <v>2</v>
      </c>
    </row>
    <row r="621" customFormat="false" ht="15" hidden="false" customHeight="false" outlineLevel="0" collapsed="false">
      <c r="A621" s="12" t="s">
        <v>3455</v>
      </c>
      <c r="B621" s="22" t="n">
        <f aca="false">COUNTIFS(選手一覧!$C$7:$C$2738,A621,選手一覧!$E$7:$E$2738,"&lt;=100")</f>
        <v>0</v>
      </c>
      <c r="C621" s="18" t="n">
        <f aca="false">COUNTIFS(選手一覧!$C$7:$C$2738,A621,選手一覧!$E$7:$E$2738,"&gt;0")</f>
        <v>0</v>
      </c>
      <c r="D621" s="14" t="str">
        <f aca="false">IF(C621=0,"",_xlfn.MINIFS(選手一覧!$E$7:$E$2738,選手一覧!$C$7:$C$2738,A621))</f>
        <v/>
      </c>
      <c r="E621" s="20"/>
      <c r="F621" s="18" t="n">
        <f aca="false">COUNTIFS(選手一覧!$C$7:$C$2738,A621,選手一覧!$I$7:$I$2738,"&lt;=100")</f>
        <v>0</v>
      </c>
      <c r="G621" s="18" t="n">
        <f aca="false">COUNTIFS(選手一覧!$C$7:$C$2738,A621,選手一覧!$K$7:$K$2738,"&lt;=100")</f>
        <v>0</v>
      </c>
      <c r="H621" s="17" t="n">
        <f aca="false">COUNTIF(選手一覧!$C$7:$C$2738,A621)</f>
        <v>2</v>
      </c>
    </row>
    <row r="622" customFormat="false" ht="15" hidden="false" customHeight="false" outlineLevel="0" collapsed="false">
      <c r="A622" s="12" t="s">
        <v>3457</v>
      </c>
      <c r="B622" s="22" t="n">
        <f aca="false">COUNTIFS(選手一覧!$C$7:$C$2738,A622,選手一覧!$E$7:$E$2738,"&lt;=100")</f>
        <v>0</v>
      </c>
      <c r="C622" s="18" t="n">
        <f aca="false">COUNTIFS(選手一覧!$C$7:$C$2738,A622,選手一覧!$E$7:$E$2738,"&gt;0")</f>
        <v>0</v>
      </c>
      <c r="D622" s="14" t="str">
        <f aca="false">IF(C622=0,"",_xlfn.MINIFS(選手一覧!$E$7:$E$2738,選手一覧!$C$7:$C$2738,A622))</f>
        <v/>
      </c>
      <c r="E622" s="20"/>
      <c r="F622" s="18" t="n">
        <f aca="false">COUNTIFS(選手一覧!$C$7:$C$2738,A622,選手一覧!$I$7:$I$2738,"&lt;=100")</f>
        <v>0</v>
      </c>
      <c r="G622" s="18" t="n">
        <f aca="false">COUNTIFS(選手一覧!$C$7:$C$2738,A622,選手一覧!$K$7:$K$2738,"&lt;=100")</f>
        <v>0</v>
      </c>
      <c r="H622" s="17" t="n">
        <f aca="false">COUNTIF(選手一覧!$C$7:$C$2738,A622)</f>
        <v>2</v>
      </c>
    </row>
    <row r="623" customFormat="false" ht="15" hidden="false" customHeight="false" outlineLevel="0" collapsed="false">
      <c r="A623" s="12" t="s">
        <v>3467</v>
      </c>
      <c r="B623" s="22" t="n">
        <f aca="false">COUNTIFS(選手一覧!$C$7:$C$2738,A623,選手一覧!$E$7:$E$2738,"&lt;=100")</f>
        <v>0</v>
      </c>
      <c r="C623" s="18" t="n">
        <f aca="false">COUNTIFS(選手一覧!$C$7:$C$2738,A623,選手一覧!$E$7:$E$2738,"&gt;0")</f>
        <v>0</v>
      </c>
      <c r="D623" s="14" t="str">
        <f aca="false">IF(C623=0,"",_xlfn.MINIFS(選手一覧!$E$7:$E$2738,選手一覧!$C$7:$C$2738,A623))</f>
        <v/>
      </c>
      <c r="E623" s="20"/>
      <c r="F623" s="18" t="n">
        <f aca="false">COUNTIFS(選手一覧!$C$7:$C$2738,A623,選手一覧!$I$7:$I$2738,"&lt;=100")</f>
        <v>0</v>
      </c>
      <c r="G623" s="18" t="n">
        <f aca="false">COUNTIFS(選手一覧!$C$7:$C$2738,A623,選手一覧!$K$7:$K$2738,"&lt;=100")</f>
        <v>0</v>
      </c>
      <c r="H623" s="17" t="n">
        <f aca="false">COUNTIF(選手一覧!$C$7:$C$2738,A623)</f>
        <v>2</v>
      </c>
    </row>
    <row r="624" customFormat="false" ht="15" hidden="false" customHeight="false" outlineLevel="0" collapsed="false">
      <c r="A624" s="12" t="s">
        <v>3469</v>
      </c>
      <c r="B624" s="22" t="n">
        <f aca="false">COUNTIFS(選手一覧!$C$7:$C$2738,A624,選手一覧!$E$7:$E$2738,"&lt;=100")</f>
        <v>0</v>
      </c>
      <c r="C624" s="18" t="n">
        <f aca="false">COUNTIFS(選手一覧!$C$7:$C$2738,A624,選手一覧!$E$7:$E$2738,"&gt;0")</f>
        <v>0</v>
      </c>
      <c r="D624" s="14" t="str">
        <f aca="false">IF(C624=0,"",_xlfn.MINIFS(選手一覧!$E$7:$E$2738,選手一覧!$C$7:$C$2738,A624))</f>
        <v/>
      </c>
      <c r="E624" s="20"/>
      <c r="F624" s="18" t="n">
        <f aca="false">COUNTIFS(選手一覧!$C$7:$C$2738,A624,選手一覧!$I$7:$I$2738,"&lt;=100")</f>
        <v>0</v>
      </c>
      <c r="G624" s="18" t="n">
        <f aca="false">COUNTIFS(選手一覧!$C$7:$C$2738,A624,選手一覧!$K$7:$K$2738,"&lt;=100")</f>
        <v>0</v>
      </c>
      <c r="H624" s="17" t="n">
        <f aca="false">COUNTIF(選手一覧!$C$7:$C$2738,A624)</f>
        <v>2</v>
      </c>
    </row>
    <row r="625" customFormat="false" ht="15" hidden="false" customHeight="false" outlineLevel="0" collapsed="false">
      <c r="A625" s="12" t="s">
        <v>3493</v>
      </c>
      <c r="B625" s="22" t="n">
        <f aca="false">COUNTIFS(選手一覧!$C$7:$C$2738,A625,選手一覧!$E$7:$E$2738,"&lt;=100")</f>
        <v>0</v>
      </c>
      <c r="C625" s="18" t="n">
        <f aca="false">COUNTIFS(選手一覧!$C$7:$C$2738,A625,選手一覧!$E$7:$E$2738,"&gt;0")</f>
        <v>0</v>
      </c>
      <c r="D625" s="14" t="str">
        <f aca="false">IF(C625=0,"",_xlfn.MINIFS(選手一覧!$E$7:$E$2738,選手一覧!$C$7:$C$2738,A625))</f>
        <v/>
      </c>
      <c r="E625" s="20"/>
      <c r="F625" s="18" t="n">
        <f aca="false">COUNTIFS(選手一覧!$C$7:$C$2738,A625,選手一覧!$I$7:$I$2738,"&lt;=100")</f>
        <v>0</v>
      </c>
      <c r="G625" s="18" t="n">
        <f aca="false">COUNTIFS(選手一覧!$C$7:$C$2738,A625,選手一覧!$K$7:$K$2738,"&lt;=100")</f>
        <v>0</v>
      </c>
      <c r="H625" s="17" t="n">
        <f aca="false">COUNTIF(選手一覧!$C$7:$C$2738,A625)</f>
        <v>2</v>
      </c>
    </row>
    <row r="626" customFormat="false" ht="15" hidden="false" customHeight="false" outlineLevel="0" collapsed="false">
      <c r="A626" s="12" t="s">
        <v>3603</v>
      </c>
      <c r="B626" s="22" t="n">
        <f aca="false">COUNTIFS(選手一覧!$C$7:$C$2738,A626,選手一覧!$E$7:$E$2738,"&lt;=100")</f>
        <v>0</v>
      </c>
      <c r="C626" s="18" t="n">
        <f aca="false">COUNTIFS(選手一覧!$C$7:$C$2738,A626,選手一覧!$E$7:$E$2738,"&gt;0")</f>
        <v>0</v>
      </c>
      <c r="D626" s="14" t="str">
        <f aca="false">IF(C626=0,"",_xlfn.MINIFS(選手一覧!$E$7:$E$2738,選手一覧!$C$7:$C$2738,A626))</f>
        <v/>
      </c>
      <c r="E626" s="20"/>
      <c r="F626" s="18" t="n">
        <f aca="false">COUNTIFS(選手一覧!$C$7:$C$2738,A626,選手一覧!$I$7:$I$2738,"&lt;=100")</f>
        <v>0</v>
      </c>
      <c r="G626" s="18" t="n">
        <f aca="false">COUNTIFS(選手一覧!$C$7:$C$2738,A626,選手一覧!$K$7:$K$2738,"&lt;=100")</f>
        <v>0</v>
      </c>
      <c r="H626" s="17" t="n">
        <f aca="false">COUNTIF(選手一覧!$C$7:$C$2738,A626)</f>
        <v>2</v>
      </c>
    </row>
    <row r="627" customFormat="false" ht="15" hidden="false" customHeight="false" outlineLevel="0" collapsed="false">
      <c r="A627" s="12" t="s">
        <v>3661</v>
      </c>
      <c r="B627" s="22" t="n">
        <f aca="false">COUNTIFS(選手一覧!$C$7:$C$2738,A627,選手一覧!$E$7:$E$2738,"&lt;=100")</f>
        <v>0</v>
      </c>
      <c r="C627" s="18" t="n">
        <f aca="false">COUNTIFS(選手一覧!$C$7:$C$2738,A627,選手一覧!$E$7:$E$2738,"&gt;0")</f>
        <v>0</v>
      </c>
      <c r="D627" s="14" t="str">
        <f aca="false">IF(C627=0,"",_xlfn.MINIFS(選手一覧!$E$7:$E$2738,選手一覧!$C$7:$C$2738,A627))</f>
        <v/>
      </c>
      <c r="E627" s="20"/>
      <c r="F627" s="18" t="n">
        <f aca="false">COUNTIFS(選手一覧!$C$7:$C$2738,A627,選手一覧!$I$7:$I$2738,"&lt;=100")</f>
        <v>0</v>
      </c>
      <c r="G627" s="18" t="n">
        <f aca="false">COUNTIFS(選手一覧!$C$7:$C$2738,A627,選手一覧!$K$7:$K$2738,"&lt;=100")</f>
        <v>0</v>
      </c>
      <c r="H627" s="17" t="n">
        <f aca="false">COUNTIF(選手一覧!$C$7:$C$2738,A627)</f>
        <v>2</v>
      </c>
    </row>
    <row r="628" customFormat="false" ht="15" hidden="false" customHeight="false" outlineLevel="0" collapsed="false">
      <c r="A628" s="12" t="s">
        <v>3668</v>
      </c>
      <c r="B628" s="22" t="n">
        <f aca="false">COUNTIFS(選手一覧!$C$7:$C$2738,A628,選手一覧!$E$7:$E$2738,"&lt;=100")</f>
        <v>0</v>
      </c>
      <c r="C628" s="18" t="n">
        <f aca="false">COUNTIFS(選手一覧!$C$7:$C$2738,A628,選手一覧!$E$7:$E$2738,"&gt;0")</f>
        <v>0</v>
      </c>
      <c r="D628" s="14" t="str">
        <f aca="false">IF(C628=0,"",_xlfn.MINIFS(選手一覧!$E$7:$E$2738,選手一覧!$C$7:$C$2738,A628))</f>
        <v/>
      </c>
      <c r="E628" s="20"/>
      <c r="F628" s="18" t="n">
        <f aca="false">COUNTIFS(選手一覧!$C$7:$C$2738,A628,選手一覧!$I$7:$I$2738,"&lt;=100")</f>
        <v>0</v>
      </c>
      <c r="G628" s="18" t="n">
        <f aca="false">COUNTIFS(選手一覧!$C$7:$C$2738,A628,選手一覧!$K$7:$K$2738,"&lt;=100")</f>
        <v>0</v>
      </c>
      <c r="H628" s="17" t="n">
        <f aca="false">COUNTIF(選手一覧!$C$7:$C$2738,A628)</f>
        <v>2</v>
      </c>
    </row>
    <row r="629" customFormat="false" ht="15" hidden="false" customHeight="false" outlineLevel="0" collapsed="false">
      <c r="A629" s="12" t="s">
        <v>3672</v>
      </c>
      <c r="B629" s="22" t="n">
        <f aca="false">COUNTIFS(選手一覧!$C$7:$C$2738,A629,選手一覧!$E$7:$E$2738,"&lt;=100")</f>
        <v>0</v>
      </c>
      <c r="C629" s="18" t="n">
        <f aca="false">COUNTIFS(選手一覧!$C$7:$C$2738,A629,選手一覧!$E$7:$E$2738,"&gt;0")</f>
        <v>0</v>
      </c>
      <c r="D629" s="14" t="str">
        <f aca="false">IF(C629=0,"",_xlfn.MINIFS(選手一覧!$E$7:$E$2738,選手一覧!$C$7:$C$2738,A629))</f>
        <v/>
      </c>
      <c r="E629" s="20"/>
      <c r="F629" s="18" t="n">
        <f aca="false">COUNTIFS(選手一覧!$C$7:$C$2738,A629,選手一覧!$I$7:$I$2738,"&lt;=100")</f>
        <v>0</v>
      </c>
      <c r="G629" s="18" t="n">
        <f aca="false">COUNTIFS(選手一覧!$C$7:$C$2738,A629,選手一覧!$K$7:$K$2738,"&lt;=100")</f>
        <v>0</v>
      </c>
      <c r="H629" s="17" t="n">
        <f aca="false">COUNTIF(選手一覧!$C$7:$C$2738,A629)</f>
        <v>2</v>
      </c>
    </row>
    <row r="630" customFormat="false" ht="15" hidden="false" customHeight="false" outlineLevel="0" collapsed="false">
      <c r="A630" s="12" t="s">
        <v>3719</v>
      </c>
      <c r="B630" s="22" t="n">
        <f aca="false">COUNTIFS(選手一覧!$C$7:$C$2738,A630,選手一覧!$E$7:$E$2738,"&lt;=100")</f>
        <v>0</v>
      </c>
      <c r="C630" s="18" t="n">
        <f aca="false">COUNTIFS(選手一覧!$C$7:$C$2738,A630,選手一覧!$E$7:$E$2738,"&gt;0")</f>
        <v>0</v>
      </c>
      <c r="D630" s="14" t="str">
        <f aca="false">IF(C630=0,"",_xlfn.MINIFS(選手一覧!$E$7:$E$2738,選手一覧!$C$7:$C$2738,A630))</f>
        <v/>
      </c>
      <c r="E630" s="20"/>
      <c r="F630" s="18" t="n">
        <f aca="false">COUNTIFS(選手一覧!$C$7:$C$2738,A630,選手一覧!$I$7:$I$2738,"&lt;=100")</f>
        <v>0</v>
      </c>
      <c r="G630" s="18" t="n">
        <f aca="false">COUNTIFS(選手一覧!$C$7:$C$2738,A630,選手一覧!$K$7:$K$2738,"&lt;=100")</f>
        <v>0</v>
      </c>
      <c r="H630" s="17" t="n">
        <f aca="false">COUNTIF(選手一覧!$C$7:$C$2738,A630)</f>
        <v>2</v>
      </c>
    </row>
    <row r="631" customFormat="false" ht="15" hidden="false" customHeight="false" outlineLevel="0" collapsed="false">
      <c r="A631" s="12" t="s">
        <v>3754</v>
      </c>
      <c r="B631" s="22" t="n">
        <f aca="false">COUNTIFS(選手一覧!$C$7:$C$2738,A631,選手一覧!$E$7:$E$2738,"&lt;=100")</f>
        <v>0</v>
      </c>
      <c r="C631" s="18" t="n">
        <f aca="false">COUNTIFS(選手一覧!$C$7:$C$2738,A631,選手一覧!$E$7:$E$2738,"&gt;0")</f>
        <v>0</v>
      </c>
      <c r="D631" s="14" t="str">
        <f aca="false">IF(C631=0,"",_xlfn.MINIFS(選手一覧!$E$7:$E$2738,選手一覧!$C$7:$C$2738,A631))</f>
        <v/>
      </c>
      <c r="E631" s="20"/>
      <c r="F631" s="18" t="n">
        <f aca="false">COUNTIFS(選手一覧!$C$7:$C$2738,A631,選手一覧!$I$7:$I$2738,"&lt;=100")</f>
        <v>0</v>
      </c>
      <c r="G631" s="18" t="n">
        <f aca="false">COUNTIFS(選手一覧!$C$7:$C$2738,A631,選手一覧!$K$7:$K$2738,"&lt;=100")</f>
        <v>0</v>
      </c>
      <c r="H631" s="17" t="n">
        <f aca="false">COUNTIF(選手一覧!$C$7:$C$2738,A631)</f>
        <v>2</v>
      </c>
    </row>
    <row r="632" customFormat="false" ht="15" hidden="false" customHeight="false" outlineLevel="0" collapsed="false">
      <c r="A632" s="12" t="s">
        <v>3756</v>
      </c>
      <c r="B632" s="22" t="n">
        <f aca="false">COUNTIFS(選手一覧!$C$7:$C$2738,A632,選手一覧!$E$7:$E$2738,"&lt;=100")</f>
        <v>0</v>
      </c>
      <c r="C632" s="18" t="n">
        <f aca="false">COUNTIFS(選手一覧!$C$7:$C$2738,A632,選手一覧!$E$7:$E$2738,"&gt;0")</f>
        <v>0</v>
      </c>
      <c r="D632" s="14" t="str">
        <f aca="false">IF(C632=0,"",_xlfn.MINIFS(選手一覧!$E$7:$E$2738,選手一覧!$C$7:$C$2738,A632))</f>
        <v/>
      </c>
      <c r="E632" s="20"/>
      <c r="F632" s="18" t="n">
        <f aca="false">COUNTIFS(選手一覧!$C$7:$C$2738,A632,選手一覧!$I$7:$I$2738,"&lt;=100")</f>
        <v>0</v>
      </c>
      <c r="G632" s="18" t="n">
        <f aca="false">COUNTIFS(選手一覧!$C$7:$C$2738,A632,選手一覧!$K$7:$K$2738,"&lt;=100")</f>
        <v>0</v>
      </c>
      <c r="H632" s="17" t="n">
        <f aca="false">COUNTIF(選手一覧!$C$7:$C$2738,A632)</f>
        <v>2</v>
      </c>
    </row>
    <row r="633" customFormat="false" ht="15" hidden="false" customHeight="false" outlineLevel="0" collapsed="false">
      <c r="A633" s="12" t="s">
        <v>3760</v>
      </c>
      <c r="B633" s="22" t="n">
        <f aca="false">COUNTIFS(選手一覧!$C$7:$C$2738,A633,選手一覧!$E$7:$E$2738,"&lt;=100")</f>
        <v>0</v>
      </c>
      <c r="C633" s="18" t="n">
        <f aca="false">COUNTIFS(選手一覧!$C$7:$C$2738,A633,選手一覧!$E$7:$E$2738,"&gt;0")</f>
        <v>0</v>
      </c>
      <c r="D633" s="14" t="str">
        <f aca="false">IF(C633=0,"",_xlfn.MINIFS(選手一覧!$E$7:$E$2738,選手一覧!$C$7:$C$2738,A633))</f>
        <v/>
      </c>
      <c r="E633" s="20"/>
      <c r="F633" s="18" t="n">
        <f aca="false">COUNTIFS(選手一覧!$C$7:$C$2738,A633,選手一覧!$I$7:$I$2738,"&lt;=100")</f>
        <v>0</v>
      </c>
      <c r="G633" s="18" t="n">
        <f aca="false">COUNTIFS(選手一覧!$C$7:$C$2738,A633,選手一覧!$K$7:$K$2738,"&lt;=100")</f>
        <v>0</v>
      </c>
      <c r="H633" s="17" t="n">
        <f aca="false">COUNTIF(選手一覧!$C$7:$C$2738,A633)</f>
        <v>2</v>
      </c>
    </row>
    <row r="634" customFormat="false" ht="15" hidden="false" customHeight="false" outlineLevel="0" collapsed="false">
      <c r="A634" s="12" t="s">
        <v>3765</v>
      </c>
      <c r="B634" s="22" t="n">
        <f aca="false">COUNTIFS(選手一覧!$C$7:$C$2738,A634,選手一覧!$E$7:$E$2738,"&lt;=100")</f>
        <v>0</v>
      </c>
      <c r="C634" s="18" t="n">
        <f aca="false">COUNTIFS(選手一覧!$C$7:$C$2738,A634,選手一覧!$E$7:$E$2738,"&gt;0")</f>
        <v>0</v>
      </c>
      <c r="D634" s="14" t="str">
        <f aca="false">IF(C634=0,"",_xlfn.MINIFS(選手一覧!$E$7:$E$2738,選手一覧!$C$7:$C$2738,A634))</f>
        <v/>
      </c>
      <c r="E634" s="20"/>
      <c r="F634" s="18" t="n">
        <f aca="false">COUNTIFS(選手一覧!$C$7:$C$2738,A634,選手一覧!$I$7:$I$2738,"&lt;=100")</f>
        <v>0</v>
      </c>
      <c r="G634" s="18" t="n">
        <f aca="false">COUNTIFS(選手一覧!$C$7:$C$2738,A634,選手一覧!$K$7:$K$2738,"&lt;=100")</f>
        <v>0</v>
      </c>
      <c r="H634" s="17" t="n">
        <f aca="false">COUNTIF(選手一覧!$C$7:$C$2738,A634)</f>
        <v>2</v>
      </c>
    </row>
    <row r="635" customFormat="false" ht="15" hidden="false" customHeight="false" outlineLevel="0" collapsed="false">
      <c r="A635" s="12" t="s">
        <v>3810</v>
      </c>
      <c r="B635" s="22" t="n">
        <f aca="false">COUNTIFS(選手一覧!$C$7:$C$2738,A635,選手一覧!$E$7:$E$2738,"&lt;=100")</f>
        <v>0</v>
      </c>
      <c r="C635" s="18" t="n">
        <f aca="false">COUNTIFS(選手一覧!$C$7:$C$2738,A635,選手一覧!$E$7:$E$2738,"&gt;0")</f>
        <v>0</v>
      </c>
      <c r="D635" s="14" t="str">
        <f aca="false">IF(C635=0,"",_xlfn.MINIFS(選手一覧!$E$7:$E$2738,選手一覧!$C$7:$C$2738,A635))</f>
        <v/>
      </c>
      <c r="E635" s="20"/>
      <c r="F635" s="18" t="n">
        <f aca="false">COUNTIFS(選手一覧!$C$7:$C$2738,A635,選手一覧!$I$7:$I$2738,"&lt;=100")</f>
        <v>0</v>
      </c>
      <c r="G635" s="18" t="n">
        <f aca="false">COUNTIFS(選手一覧!$C$7:$C$2738,A635,選手一覧!$K$7:$K$2738,"&lt;=100")</f>
        <v>0</v>
      </c>
      <c r="H635" s="17" t="n">
        <f aca="false">COUNTIF(選手一覧!$C$7:$C$2738,A635)</f>
        <v>2</v>
      </c>
    </row>
    <row r="636" customFormat="false" ht="15" hidden="false" customHeight="false" outlineLevel="0" collapsed="false">
      <c r="A636" s="12" t="s">
        <v>3895</v>
      </c>
      <c r="B636" s="22" t="n">
        <f aca="false">COUNTIFS(選手一覧!$C$7:$C$2738,A636,選手一覧!$E$7:$E$2738,"&lt;=100")</f>
        <v>0</v>
      </c>
      <c r="C636" s="18" t="n">
        <f aca="false">COUNTIFS(選手一覧!$C$7:$C$2738,A636,選手一覧!$E$7:$E$2738,"&gt;0")</f>
        <v>0</v>
      </c>
      <c r="D636" s="14" t="str">
        <f aca="false">IF(C636=0,"",_xlfn.MINIFS(選手一覧!$E$7:$E$2738,選手一覧!$C$7:$C$2738,A636))</f>
        <v/>
      </c>
      <c r="E636" s="20"/>
      <c r="F636" s="18" t="n">
        <f aca="false">COUNTIFS(選手一覧!$C$7:$C$2738,A636,選手一覧!$I$7:$I$2738,"&lt;=100")</f>
        <v>0</v>
      </c>
      <c r="G636" s="18" t="n">
        <f aca="false">COUNTIFS(選手一覧!$C$7:$C$2738,A636,選手一覧!$K$7:$K$2738,"&lt;=100")</f>
        <v>0</v>
      </c>
      <c r="H636" s="17" t="n">
        <f aca="false">COUNTIF(選手一覧!$C$7:$C$2738,A636)</f>
        <v>2</v>
      </c>
    </row>
    <row r="637" customFormat="false" ht="15" hidden="false" customHeight="false" outlineLevel="0" collapsed="false">
      <c r="A637" s="12" t="s">
        <v>3980</v>
      </c>
      <c r="B637" s="22" t="n">
        <f aca="false">COUNTIFS(選手一覧!$C$7:$C$2738,A637,選手一覧!$E$7:$E$2738,"&lt;=100")</f>
        <v>0</v>
      </c>
      <c r="C637" s="18" t="n">
        <f aca="false">COUNTIFS(選手一覧!$C$7:$C$2738,A637,選手一覧!$E$7:$E$2738,"&gt;0")</f>
        <v>0</v>
      </c>
      <c r="D637" s="14" t="str">
        <f aca="false">IF(C637=0,"",_xlfn.MINIFS(選手一覧!$E$7:$E$2738,選手一覧!$C$7:$C$2738,A637))</f>
        <v/>
      </c>
      <c r="E637" s="20"/>
      <c r="F637" s="18" t="n">
        <f aca="false">COUNTIFS(選手一覧!$C$7:$C$2738,A637,選手一覧!$I$7:$I$2738,"&lt;=100")</f>
        <v>0</v>
      </c>
      <c r="G637" s="18" t="n">
        <f aca="false">COUNTIFS(選手一覧!$C$7:$C$2738,A637,選手一覧!$K$7:$K$2738,"&lt;=100")</f>
        <v>0</v>
      </c>
      <c r="H637" s="17" t="n">
        <f aca="false">COUNTIF(選手一覧!$C$7:$C$2738,A637)</f>
        <v>2</v>
      </c>
    </row>
    <row r="638" customFormat="false" ht="15" hidden="false" customHeight="false" outlineLevel="0" collapsed="false">
      <c r="A638" s="12" t="s">
        <v>4018</v>
      </c>
      <c r="B638" s="22" t="n">
        <f aca="false">COUNTIFS(選手一覧!$C$7:$C$2738,A638,選手一覧!$E$7:$E$2738,"&lt;=100")</f>
        <v>0</v>
      </c>
      <c r="C638" s="18" t="n">
        <f aca="false">COUNTIFS(選手一覧!$C$7:$C$2738,A638,選手一覧!$E$7:$E$2738,"&gt;0")</f>
        <v>0</v>
      </c>
      <c r="D638" s="14" t="str">
        <f aca="false">IF(C638=0,"",_xlfn.MINIFS(選手一覧!$E$7:$E$2738,選手一覧!$C$7:$C$2738,A638))</f>
        <v/>
      </c>
      <c r="E638" s="20"/>
      <c r="F638" s="18" t="n">
        <f aca="false">COUNTIFS(選手一覧!$C$7:$C$2738,A638,選手一覧!$I$7:$I$2738,"&lt;=100")</f>
        <v>0</v>
      </c>
      <c r="G638" s="18" t="n">
        <f aca="false">COUNTIFS(選手一覧!$C$7:$C$2738,A638,選手一覧!$K$7:$K$2738,"&lt;=100")</f>
        <v>0</v>
      </c>
      <c r="H638" s="17" t="n">
        <f aca="false">COUNTIF(選手一覧!$C$7:$C$2738,A638)</f>
        <v>2</v>
      </c>
    </row>
    <row r="639" customFormat="false" ht="15" hidden="false" customHeight="false" outlineLevel="0" collapsed="false">
      <c r="A639" s="12" t="s">
        <v>4087</v>
      </c>
      <c r="B639" s="22" t="n">
        <f aca="false">COUNTIFS(選手一覧!$C$7:$C$2738,A639,選手一覧!$E$7:$E$2738,"&lt;=100")</f>
        <v>0</v>
      </c>
      <c r="C639" s="18" t="n">
        <f aca="false">COUNTIFS(選手一覧!$C$7:$C$2738,A639,選手一覧!$E$7:$E$2738,"&gt;0")</f>
        <v>0</v>
      </c>
      <c r="D639" s="14" t="str">
        <f aca="false">IF(C639=0,"",_xlfn.MINIFS(選手一覧!$E$7:$E$2738,選手一覧!$C$7:$C$2738,A639))</f>
        <v/>
      </c>
      <c r="E639" s="20"/>
      <c r="F639" s="18" t="n">
        <f aca="false">COUNTIFS(選手一覧!$C$7:$C$2738,A639,選手一覧!$I$7:$I$2738,"&lt;=100")</f>
        <v>0</v>
      </c>
      <c r="G639" s="18" t="n">
        <f aca="false">COUNTIFS(選手一覧!$C$7:$C$2738,A639,選手一覧!$K$7:$K$2738,"&lt;=100")</f>
        <v>0</v>
      </c>
      <c r="H639" s="17" t="n">
        <f aca="false">COUNTIF(選手一覧!$C$7:$C$2738,A639)</f>
        <v>2</v>
      </c>
    </row>
    <row r="640" customFormat="false" ht="15" hidden="false" customHeight="false" outlineLevel="0" collapsed="false">
      <c r="A640" s="12" t="s">
        <v>4139</v>
      </c>
      <c r="B640" s="22" t="n">
        <f aca="false">COUNTIFS(選手一覧!$C$7:$C$2738,A640,選手一覧!$E$7:$E$2738,"&lt;=100")</f>
        <v>0</v>
      </c>
      <c r="C640" s="18" t="n">
        <f aca="false">COUNTIFS(選手一覧!$C$7:$C$2738,A640,選手一覧!$E$7:$E$2738,"&gt;0")</f>
        <v>0</v>
      </c>
      <c r="D640" s="14" t="str">
        <f aca="false">IF(C640=0,"",_xlfn.MINIFS(選手一覧!$E$7:$E$2738,選手一覧!$C$7:$C$2738,A640))</f>
        <v/>
      </c>
      <c r="E640" s="20"/>
      <c r="F640" s="18" t="n">
        <f aca="false">COUNTIFS(選手一覧!$C$7:$C$2738,A640,選手一覧!$I$7:$I$2738,"&lt;=100")</f>
        <v>0</v>
      </c>
      <c r="G640" s="18" t="n">
        <f aca="false">COUNTIFS(選手一覧!$C$7:$C$2738,A640,選手一覧!$K$7:$K$2738,"&lt;=100")</f>
        <v>0</v>
      </c>
      <c r="H640" s="17" t="n">
        <f aca="false">COUNTIF(選手一覧!$C$7:$C$2738,A640)</f>
        <v>2</v>
      </c>
    </row>
    <row r="641" customFormat="false" ht="15" hidden="false" customHeight="false" outlineLevel="0" collapsed="false">
      <c r="A641" s="12" t="s">
        <v>2045</v>
      </c>
      <c r="B641" s="22" t="n">
        <f aca="false">COUNTIFS(選手一覧!$C$7:$C$2738,A641,選手一覧!$E$7:$E$2738,"&lt;=100")</f>
        <v>0</v>
      </c>
      <c r="C641" s="18" t="n">
        <f aca="false">COUNTIFS(選手一覧!$C$7:$C$2738,A641,選手一覧!$E$7:$E$2738,"&gt;0")</f>
        <v>0</v>
      </c>
      <c r="D641" s="14" t="str">
        <f aca="false">IF(C641=0,"",_xlfn.MINIFS(選手一覧!$E$7:$E$2738,選手一覧!$C$7:$C$2738,A641))</f>
        <v/>
      </c>
      <c r="E641" s="20"/>
      <c r="F641" s="18" t="n">
        <f aca="false">COUNTIFS(選手一覧!$C$7:$C$2738,A641,選手一覧!$I$7:$I$2738,"&lt;=100")</f>
        <v>1</v>
      </c>
      <c r="G641" s="18" t="n">
        <f aca="false">COUNTIFS(選手一覧!$C$7:$C$2738,A641,選手一覧!$K$7:$K$2738,"&lt;=100")</f>
        <v>0</v>
      </c>
      <c r="H641" s="17" t="n">
        <f aca="false">COUNTIF(選手一覧!$C$7:$C$2738,A641)</f>
        <v>1</v>
      </c>
    </row>
    <row r="642" customFormat="false" ht="15" hidden="false" customHeight="false" outlineLevel="0" collapsed="false">
      <c r="A642" s="12" t="s">
        <v>2054</v>
      </c>
      <c r="B642" s="22" t="n">
        <f aca="false">COUNTIFS(選手一覧!$C$7:$C$2738,A642,選手一覧!$E$7:$E$2738,"&lt;=100")</f>
        <v>0</v>
      </c>
      <c r="C642" s="18" t="n">
        <f aca="false">COUNTIFS(選手一覧!$C$7:$C$2738,A642,選手一覧!$E$7:$E$2738,"&gt;0")</f>
        <v>0</v>
      </c>
      <c r="D642" s="14" t="str">
        <f aca="false">IF(C642=0,"",_xlfn.MINIFS(選手一覧!$E$7:$E$2738,選手一覧!$C$7:$C$2738,A642))</f>
        <v/>
      </c>
      <c r="E642" s="20"/>
      <c r="F642" s="18" t="n">
        <f aca="false">COUNTIFS(選手一覧!$C$7:$C$2738,A642,選手一覧!$I$7:$I$2738,"&lt;=100")</f>
        <v>1</v>
      </c>
      <c r="G642" s="18" t="n">
        <f aca="false">COUNTIFS(選手一覧!$C$7:$C$2738,A642,選手一覧!$K$7:$K$2738,"&lt;=100")</f>
        <v>0</v>
      </c>
      <c r="H642" s="17" t="n">
        <f aca="false">COUNTIF(選手一覧!$C$7:$C$2738,A642)</f>
        <v>1</v>
      </c>
    </row>
    <row r="643" customFormat="false" ht="15" hidden="false" customHeight="false" outlineLevel="0" collapsed="false">
      <c r="A643" s="12" t="s">
        <v>2077</v>
      </c>
      <c r="B643" s="22" t="n">
        <f aca="false">COUNTIFS(選手一覧!$C$7:$C$2738,A643,選手一覧!$E$7:$E$2738,"&lt;=100")</f>
        <v>0</v>
      </c>
      <c r="C643" s="18" t="n">
        <f aca="false">COUNTIFS(選手一覧!$C$7:$C$2738,A643,選手一覧!$E$7:$E$2738,"&gt;0")</f>
        <v>0</v>
      </c>
      <c r="D643" s="14" t="str">
        <f aca="false">IF(C643=0,"",_xlfn.MINIFS(選手一覧!$E$7:$E$2738,選手一覧!$C$7:$C$2738,A643))</f>
        <v/>
      </c>
      <c r="E643" s="20"/>
      <c r="F643" s="18" t="n">
        <f aca="false">COUNTIFS(選手一覧!$C$7:$C$2738,A643,選手一覧!$I$7:$I$2738,"&lt;=100")</f>
        <v>0</v>
      </c>
      <c r="G643" s="18" t="n">
        <f aca="false">COUNTIFS(選手一覧!$C$7:$C$2738,A643,選手一覧!$K$7:$K$2738,"&lt;=100")</f>
        <v>0</v>
      </c>
      <c r="H643" s="17" t="n">
        <f aca="false">COUNTIF(選手一覧!$C$7:$C$2738,A643)</f>
        <v>1</v>
      </c>
    </row>
    <row r="644" customFormat="false" ht="15" hidden="false" customHeight="false" outlineLevel="0" collapsed="false">
      <c r="A644" s="12" t="s">
        <v>2085</v>
      </c>
      <c r="B644" s="22" t="n">
        <f aca="false">COUNTIFS(選手一覧!$C$7:$C$2738,A644,選手一覧!$E$7:$E$2738,"&lt;=100")</f>
        <v>0</v>
      </c>
      <c r="C644" s="18" t="n">
        <f aca="false">COUNTIFS(選手一覧!$C$7:$C$2738,A644,選手一覧!$E$7:$E$2738,"&gt;0")</f>
        <v>0</v>
      </c>
      <c r="D644" s="14" t="str">
        <f aca="false">IF(C644=0,"",_xlfn.MINIFS(選手一覧!$E$7:$E$2738,選手一覧!$C$7:$C$2738,A644))</f>
        <v/>
      </c>
      <c r="E644" s="20"/>
      <c r="F644" s="18" t="n">
        <f aca="false">COUNTIFS(選手一覧!$C$7:$C$2738,A644,選手一覧!$I$7:$I$2738,"&lt;=100")</f>
        <v>0</v>
      </c>
      <c r="G644" s="18" t="n">
        <f aca="false">COUNTIFS(選手一覧!$C$7:$C$2738,A644,選手一覧!$K$7:$K$2738,"&lt;=100")</f>
        <v>0</v>
      </c>
      <c r="H644" s="17" t="n">
        <f aca="false">COUNTIF(選手一覧!$C$7:$C$2738,A644)</f>
        <v>1</v>
      </c>
    </row>
    <row r="645" customFormat="false" ht="15" hidden="false" customHeight="false" outlineLevel="0" collapsed="false">
      <c r="A645" s="12" t="s">
        <v>2091</v>
      </c>
      <c r="B645" s="22" t="n">
        <f aca="false">COUNTIFS(選手一覧!$C$7:$C$2738,A645,選手一覧!$E$7:$E$2738,"&lt;=100")</f>
        <v>0</v>
      </c>
      <c r="C645" s="18" t="n">
        <f aca="false">COUNTIFS(選手一覧!$C$7:$C$2738,A645,選手一覧!$E$7:$E$2738,"&gt;0")</f>
        <v>0</v>
      </c>
      <c r="D645" s="14" t="str">
        <f aca="false">IF(C645=0,"",_xlfn.MINIFS(選手一覧!$E$7:$E$2738,選手一覧!$C$7:$C$2738,A645))</f>
        <v/>
      </c>
      <c r="E645" s="20"/>
      <c r="F645" s="18" t="n">
        <f aca="false">COUNTIFS(選手一覧!$C$7:$C$2738,A645,選手一覧!$I$7:$I$2738,"&lt;=100")</f>
        <v>0</v>
      </c>
      <c r="G645" s="18" t="n">
        <f aca="false">COUNTIFS(選手一覧!$C$7:$C$2738,A645,選手一覧!$K$7:$K$2738,"&lt;=100")</f>
        <v>0</v>
      </c>
      <c r="H645" s="17" t="n">
        <f aca="false">COUNTIF(選手一覧!$C$7:$C$2738,A645)</f>
        <v>1</v>
      </c>
    </row>
    <row r="646" customFormat="false" ht="15" hidden="false" customHeight="false" outlineLevel="0" collapsed="false">
      <c r="A646" s="12" t="s">
        <v>2099</v>
      </c>
      <c r="B646" s="22" t="n">
        <f aca="false">COUNTIFS(選手一覧!$C$7:$C$2738,A646,選手一覧!$E$7:$E$2738,"&lt;=100")</f>
        <v>0</v>
      </c>
      <c r="C646" s="18" t="n">
        <f aca="false">COUNTIFS(選手一覧!$C$7:$C$2738,A646,選手一覧!$E$7:$E$2738,"&gt;0")</f>
        <v>0</v>
      </c>
      <c r="D646" s="14" t="str">
        <f aca="false">IF(C646=0,"",_xlfn.MINIFS(選手一覧!$E$7:$E$2738,選手一覧!$C$7:$C$2738,A646))</f>
        <v/>
      </c>
      <c r="E646" s="20"/>
      <c r="F646" s="18" t="n">
        <f aca="false">COUNTIFS(選手一覧!$C$7:$C$2738,A646,選手一覧!$I$7:$I$2738,"&lt;=100")</f>
        <v>0</v>
      </c>
      <c r="G646" s="18" t="n">
        <f aca="false">COUNTIFS(選手一覧!$C$7:$C$2738,A646,選手一覧!$K$7:$K$2738,"&lt;=100")</f>
        <v>0</v>
      </c>
      <c r="H646" s="17" t="n">
        <f aca="false">COUNTIF(選手一覧!$C$7:$C$2738,A646)</f>
        <v>1</v>
      </c>
    </row>
    <row r="647" customFormat="false" ht="15" hidden="false" customHeight="false" outlineLevel="0" collapsed="false">
      <c r="A647" s="12" t="s">
        <v>2105</v>
      </c>
      <c r="B647" s="22" t="n">
        <f aca="false">COUNTIFS(選手一覧!$C$7:$C$2738,A647,選手一覧!$E$7:$E$2738,"&lt;=100")</f>
        <v>0</v>
      </c>
      <c r="C647" s="18" t="n">
        <f aca="false">COUNTIFS(選手一覧!$C$7:$C$2738,A647,選手一覧!$E$7:$E$2738,"&gt;0")</f>
        <v>0</v>
      </c>
      <c r="D647" s="14" t="str">
        <f aca="false">IF(C647=0,"",_xlfn.MINIFS(選手一覧!$E$7:$E$2738,選手一覧!$C$7:$C$2738,A647))</f>
        <v/>
      </c>
      <c r="E647" s="20"/>
      <c r="F647" s="18" t="n">
        <f aca="false">COUNTIFS(選手一覧!$C$7:$C$2738,A647,選手一覧!$I$7:$I$2738,"&lt;=100")</f>
        <v>0</v>
      </c>
      <c r="G647" s="18" t="n">
        <f aca="false">COUNTIFS(選手一覧!$C$7:$C$2738,A647,選手一覧!$K$7:$K$2738,"&lt;=100")</f>
        <v>0</v>
      </c>
      <c r="H647" s="17" t="n">
        <f aca="false">COUNTIF(選手一覧!$C$7:$C$2738,A647)</f>
        <v>1</v>
      </c>
    </row>
    <row r="648" customFormat="false" ht="15" hidden="false" customHeight="false" outlineLevel="0" collapsed="false">
      <c r="A648" s="12" t="s">
        <v>2130</v>
      </c>
      <c r="B648" s="22" t="n">
        <f aca="false">COUNTIFS(選手一覧!$C$7:$C$2738,A648,選手一覧!$E$7:$E$2738,"&lt;=100")</f>
        <v>0</v>
      </c>
      <c r="C648" s="18" t="n">
        <f aca="false">COUNTIFS(選手一覧!$C$7:$C$2738,A648,選手一覧!$E$7:$E$2738,"&gt;0")</f>
        <v>0</v>
      </c>
      <c r="D648" s="14" t="str">
        <f aca="false">IF(C648=0,"",_xlfn.MINIFS(選手一覧!$E$7:$E$2738,選手一覧!$C$7:$C$2738,A648))</f>
        <v/>
      </c>
      <c r="E648" s="20"/>
      <c r="F648" s="18" t="n">
        <f aca="false">COUNTIFS(選手一覧!$C$7:$C$2738,A648,選手一覧!$I$7:$I$2738,"&lt;=100")</f>
        <v>0</v>
      </c>
      <c r="G648" s="18" t="n">
        <f aca="false">COUNTIFS(選手一覧!$C$7:$C$2738,A648,選手一覧!$K$7:$K$2738,"&lt;=100")</f>
        <v>0</v>
      </c>
      <c r="H648" s="17" t="n">
        <f aca="false">COUNTIF(選手一覧!$C$7:$C$2738,A648)</f>
        <v>1</v>
      </c>
    </row>
    <row r="649" customFormat="false" ht="15" hidden="false" customHeight="false" outlineLevel="0" collapsed="false">
      <c r="A649" s="12" t="s">
        <v>2139</v>
      </c>
      <c r="B649" s="22" t="n">
        <f aca="false">COUNTIFS(選手一覧!$C$7:$C$2738,A649,選手一覧!$E$7:$E$2738,"&lt;=100")</f>
        <v>0</v>
      </c>
      <c r="C649" s="18" t="n">
        <f aca="false">COUNTIFS(選手一覧!$C$7:$C$2738,A649,選手一覧!$E$7:$E$2738,"&gt;0")</f>
        <v>0</v>
      </c>
      <c r="D649" s="14" t="str">
        <f aca="false">IF(C649=0,"",_xlfn.MINIFS(選手一覧!$E$7:$E$2738,選手一覧!$C$7:$C$2738,A649))</f>
        <v/>
      </c>
      <c r="E649" s="20"/>
      <c r="F649" s="18" t="n">
        <f aca="false">COUNTIFS(選手一覧!$C$7:$C$2738,A649,選手一覧!$I$7:$I$2738,"&lt;=100")</f>
        <v>0</v>
      </c>
      <c r="G649" s="18" t="n">
        <f aca="false">COUNTIFS(選手一覧!$C$7:$C$2738,A649,選手一覧!$K$7:$K$2738,"&lt;=100")</f>
        <v>0</v>
      </c>
      <c r="H649" s="17" t="n">
        <f aca="false">COUNTIF(選手一覧!$C$7:$C$2738,A649)</f>
        <v>1</v>
      </c>
    </row>
    <row r="650" customFormat="false" ht="15" hidden="false" customHeight="false" outlineLevel="0" collapsed="false">
      <c r="A650" s="12" t="s">
        <v>2144</v>
      </c>
      <c r="B650" s="22" t="n">
        <f aca="false">COUNTIFS(選手一覧!$C$7:$C$2738,A650,選手一覧!$E$7:$E$2738,"&lt;=100")</f>
        <v>0</v>
      </c>
      <c r="C650" s="18" t="n">
        <f aca="false">COUNTIFS(選手一覧!$C$7:$C$2738,A650,選手一覧!$E$7:$E$2738,"&gt;0")</f>
        <v>0</v>
      </c>
      <c r="D650" s="14" t="str">
        <f aca="false">IF(C650=0,"",_xlfn.MINIFS(選手一覧!$E$7:$E$2738,選手一覧!$C$7:$C$2738,A650))</f>
        <v/>
      </c>
      <c r="E650" s="20"/>
      <c r="F650" s="18" t="n">
        <f aca="false">COUNTIFS(選手一覧!$C$7:$C$2738,A650,選手一覧!$I$7:$I$2738,"&lt;=100")</f>
        <v>0</v>
      </c>
      <c r="G650" s="18" t="n">
        <f aca="false">COUNTIFS(選手一覧!$C$7:$C$2738,A650,選手一覧!$K$7:$K$2738,"&lt;=100")</f>
        <v>0</v>
      </c>
      <c r="H650" s="17" t="n">
        <f aca="false">COUNTIF(選手一覧!$C$7:$C$2738,A650)</f>
        <v>1</v>
      </c>
    </row>
    <row r="651" customFormat="false" ht="15" hidden="false" customHeight="false" outlineLevel="0" collapsed="false">
      <c r="A651" s="12" t="s">
        <v>2151</v>
      </c>
      <c r="B651" s="22" t="n">
        <f aca="false">COUNTIFS(選手一覧!$C$7:$C$2738,A651,選手一覧!$E$7:$E$2738,"&lt;=100")</f>
        <v>0</v>
      </c>
      <c r="C651" s="18" t="n">
        <f aca="false">COUNTIFS(選手一覧!$C$7:$C$2738,A651,選手一覧!$E$7:$E$2738,"&gt;0")</f>
        <v>0</v>
      </c>
      <c r="D651" s="14" t="str">
        <f aca="false">IF(C651=0,"",_xlfn.MINIFS(選手一覧!$E$7:$E$2738,選手一覧!$C$7:$C$2738,A651))</f>
        <v/>
      </c>
      <c r="E651" s="20"/>
      <c r="F651" s="18" t="n">
        <f aca="false">COUNTIFS(選手一覧!$C$7:$C$2738,A651,選手一覧!$I$7:$I$2738,"&lt;=100")</f>
        <v>0</v>
      </c>
      <c r="G651" s="18" t="n">
        <f aca="false">COUNTIFS(選手一覧!$C$7:$C$2738,A651,選手一覧!$K$7:$K$2738,"&lt;=100")</f>
        <v>0</v>
      </c>
      <c r="H651" s="17" t="n">
        <f aca="false">COUNTIF(選手一覧!$C$7:$C$2738,A651)</f>
        <v>1</v>
      </c>
    </row>
    <row r="652" customFormat="false" ht="15" hidden="false" customHeight="false" outlineLevel="0" collapsed="false">
      <c r="A652" s="12" t="s">
        <v>2168</v>
      </c>
      <c r="B652" s="22" t="n">
        <f aca="false">COUNTIFS(選手一覧!$C$7:$C$2738,A652,選手一覧!$E$7:$E$2738,"&lt;=100")</f>
        <v>0</v>
      </c>
      <c r="C652" s="18" t="n">
        <f aca="false">COUNTIFS(選手一覧!$C$7:$C$2738,A652,選手一覧!$E$7:$E$2738,"&gt;0")</f>
        <v>0</v>
      </c>
      <c r="D652" s="14" t="str">
        <f aca="false">IF(C652=0,"",_xlfn.MINIFS(選手一覧!$E$7:$E$2738,選手一覧!$C$7:$C$2738,A652))</f>
        <v/>
      </c>
      <c r="E652" s="20"/>
      <c r="F652" s="18" t="n">
        <f aca="false">COUNTIFS(選手一覧!$C$7:$C$2738,A652,選手一覧!$I$7:$I$2738,"&lt;=100")</f>
        <v>0</v>
      </c>
      <c r="G652" s="18" t="n">
        <f aca="false">COUNTIFS(選手一覧!$C$7:$C$2738,A652,選手一覧!$K$7:$K$2738,"&lt;=100")</f>
        <v>0</v>
      </c>
      <c r="H652" s="17" t="n">
        <f aca="false">COUNTIF(選手一覧!$C$7:$C$2738,A652)</f>
        <v>1</v>
      </c>
    </row>
    <row r="653" customFormat="false" ht="15" hidden="false" customHeight="false" outlineLevel="0" collapsed="false">
      <c r="A653" s="12" t="s">
        <v>2172</v>
      </c>
      <c r="B653" s="22" t="n">
        <f aca="false">COUNTIFS(選手一覧!$C$7:$C$2738,A653,選手一覧!$E$7:$E$2738,"&lt;=100")</f>
        <v>0</v>
      </c>
      <c r="C653" s="18" t="n">
        <f aca="false">COUNTIFS(選手一覧!$C$7:$C$2738,A653,選手一覧!$E$7:$E$2738,"&gt;0")</f>
        <v>0</v>
      </c>
      <c r="D653" s="14" t="str">
        <f aca="false">IF(C653=0,"",_xlfn.MINIFS(選手一覧!$E$7:$E$2738,選手一覧!$C$7:$C$2738,A653))</f>
        <v/>
      </c>
      <c r="E653" s="20"/>
      <c r="F653" s="18" t="n">
        <f aca="false">COUNTIFS(選手一覧!$C$7:$C$2738,A653,選手一覧!$I$7:$I$2738,"&lt;=100")</f>
        <v>0</v>
      </c>
      <c r="G653" s="18" t="n">
        <f aca="false">COUNTIFS(選手一覧!$C$7:$C$2738,A653,選手一覧!$K$7:$K$2738,"&lt;=100")</f>
        <v>0</v>
      </c>
      <c r="H653" s="17" t="n">
        <f aca="false">COUNTIF(選手一覧!$C$7:$C$2738,A653)</f>
        <v>1</v>
      </c>
    </row>
    <row r="654" customFormat="false" ht="15" hidden="false" customHeight="false" outlineLevel="0" collapsed="false">
      <c r="A654" s="12" t="s">
        <v>2201</v>
      </c>
      <c r="B654" s="22" t="n">
        <f aca="false">COUNTIFS(選手一覧!$C$7:$C$2738,A654,選手一覧!$E$7:$E$2738,"&lt;=100")</f>
        <v>0</v>
      </c>
      <c r="C654" s="18" t="n">
        <f aca="false">COUNTIFS(選手一覧!$C$7:$C$2738,A654,選手一覧!$E$7:$E$2738,"&gt;0")</f>
        <v>0</v>
      </c>
      <c r="D654" s="14" t="str">
        <f aca="false">IF(C654=0,"",_xlfn.MINIFS(選手一覧!$E$7:$E$2738,選手一覧!$C$7:$C$2738,A654))</f>
        <v/>
      </c>
      <c r="E654" s="20"/>
      <c r="F654" s="18" t="n">
        <f aca="false">COUNTIFS(選手一覧!$C$7:$C$2738,A654,選手一覧!$I$7:$I$2738,"&lt;=100")</f>
        <v>0</v>
      </c>
      <c r="G654" s="18" t="n">
        <f aca="false">COUNTIFS(選手一覧!$C$7:$C$2738,A654,選手一覧!$K$7:$K$2738,"&lt;=100")</f>
        <v>0</v>
      </c>
      <c r="H654" s="17" t="n">
        <f aca="false">COUNTIF(選手一覧!$C$7:$C$2738,A654)</f>
        <v>1</v>
      </c>
    </row>
    <row r="655" customFormat="false" ht="15" hidden="false" customHeight="false" outlineLevel="0" collapsed="false">
      <c r="A655" s="12" t="s">
        <v>2207</v>
      </c>
      <c r="B655" s="22" t="n">
        <f aca="false">COUNTIFS(選手一覧!$C$7:$C$2738,A655,選手一覧!$E$7:$E$2738,"&lt;=100")</f>
        <v>0</v>
      </c>
      <c r="C655" s="18" t="n">
        <f aca="false">COUNTIFS(選手一覧!$C$7:$C$2738,A655,選手一覧!$E$7:$E$2738,"&gt;0")</f>
        <v>0</v>
      </c>
      <c r="D655" s="14" t="str">
        <f aca="false">IF(C655=0,"",_xlfn.MINIFS(選手一覧!$E$7:$E$2738,選手一覧!$C$7:$C$2738,A655))</f>
        <v/>
      </c>
      <c r="E655" s="20"/>
      <c r="F655" s="18" t="n">
        <f aca="false">COUNTIFS(選手一覧!$C$7:$C$2738,A655,選手一覧!$I$7:$I$2738,"&lt;=100")</f>
        <v>0</v>
      </c>
      <c r="G655" s="18" t="n">
        <f aca="false">COUNTIFS(選手一覧!$C$7:$C$2738,A655,選手一覧!$K$7:$K$2738,"&lt;=100")</f>
        <v>0</v>
      </c>
      <c r="H655" s="17" t="n">
        <f aca="false">COUNTIF(選手一覧!$C$7:$C$2738,A655)</f>
        <v>1</v>
      </c>
    </row>
    <row r="656" customFormat="false" ht="15" hidden="false" customHeight="false" outlineLevel="0" collapsed="false">
      <c r="A656" s="12" t="s">
        <v>2214</v>
      </c>
      <c r="B656" s="22" t="n">
        <f aca="false">COUNTIFS(選手一覧!$C$7:$C$2738,A656,選手一覧!$E$7:$E$2738,"&lt;=100")</f>
        <v>0</v>
      </c>
      <c r="C656" s="18" t="n">
        <f aca="false">COUNTIFS(選手一覧!$C$7:$C$2738,A656,選手一覧!$E$7:$E$2738,"&gt;0")</f>
        <v>0</v>
      </c>
      <c r="D656" s="14" t="str">
        <f aca="false">IF(C656=0,"",_xlfn.MINIFS(選手一覧!$E$7:$E$2738,選手一覧!$C$7:$C$2738,A656))</f>
        <v/>
      </c>
      <c r="E656" s="20"/>
      <c r="F656" s="18" t="n">
        <f aca="false">COUNTIFS(選手一覧!$C$7:$C$2738,A656,選手一覧!$I$7:$I$2738,"&lt;=100")</f>
        <v>0</v>
      </c>
      <c r="G656" s="18" t="n">
        <f aca="false">COUNTIFS(選手一覧!$C$7:$C$2738,A656,選手一覧!$K$7:$K$2738,"&lt;=100")</f>
        <v>0</v>
      </c>
      <c r="H656" s="17" t="n">
        <f aca="false">COUNTIF(選手一覧!$C$7:$C$2738,A656)</f>
        <v>1</v>
      </c>
    </row>
    <row r="657" customFormat="false" ht="15" hidden="false" customHeight="false" outlineLevel="0" collapsed="false">
      <c r="A657" s="12" t="s">
        <v>2217</v>
      </c>
      <c r="B657" s="22" t="n">
        <f aca="false">COUNTIFS(選手一覧!$C$7:$C$2738,A657,選手一覧!$E$7:$E$2738,"&lt;=100")</f>
        <v>0</v>
      </c>
      <c r="C657" s="18" t="n">
        <f aca="false">COUNTIFS(選手一覧!$C$7:$C$2738,A657,選手一覧!$E$7:$E$2738,"&gt;0")</f>
        <v>0</v>
      </c>
      <c r="D657" s="14" t="str">
        <f aca="false">IF(C657=0,"",_xlfn.MINIFS(選手一覧!$E$7:$E$2738,選手一覧!$C$7:$C$2738,A657))</f>
        <v/>
      </c>
      <c r="E657" s="20"/>
      <c r="F657" s="18" t="n">
        <f aca="false">COUNTIFS(選手一覧!$C$7:$C$2738,A657,選手一覧!$I$7:$I$2738,"&lt;=100")</f>
        <v>0</v>
      </c>
      <c r="G657" s="18" t="n">
        <f aca="false">COUNTIFS(選手一覧!$C$7:$C$2738,A657,選手一覧!$K$7:$K$2738,"&lt;=100")</f>
        <v>0</v>
      </c>
      <c r="H657" s="17" t="n">
        <f aca="false">COUNTIF(選手一覧!$C$7:$C$2738,A657)</f>
        <v>1</v>
      </c>
    </row>
    <row r="658" customFormat="false" ht="15" hidden="false" customHeight="false" outlineLevel="0" collapsed="false">
      <c r="A658" s="12" t="s">
        <v>2220</v>
      </c>
      <c r="B658" s="22" t="n">
        <f aca="false">COUNTIFS(選手一覧!$C$7:$C$2738,A658,選手一覧!$E$7:$E$2738,"&lt;=100")</f>
        <v>0</v>
      </c>
      <c r="C658" s="18" t="n">
        <f aca="false">COUNTIFS(選手一覧!$C$7:$C$2738,A658,選手一覧!$E$7:$E$2738,"&gt;0")</f>
        <v>0</v>
      </c>
      <c r="D658" s="14" t="str">
        <f aca="false">IF(C658=0,"",_xlfn.MINIFS(選手一覧!$E$7:$E$2738,選手一覧!$C$7:$C$2738,A658))</f>
        <v/>
      </c>
      <c r="E658" s="20"/>
      <c r="F658" s="18" t="n">
        <f aca="false">COUNTIFS(選手一覧!$C$7:$C$2738,A658,選手一覧!$I$7:$I$2738,"&lt;=100")</f>
        <v>0</v>
      </c>
      <c r="G658" s="18" t="n">
        <f aca="false">COUNTIFS(選手一覧!$C$7:$C$2738,A658,選手一覧!$K$7:$K$2738,"&lt;=100")</f>
        <v>0</v>
      </c>
      <c r="H658" s="17" t="n">
        <f aca="false">COUNTIF(選手一覧!$C$7:$C$2738,A658)</f>
        <v>1</v>
      </c>
    </row>
    <row r="659" customFormat="false" ht="15" hidden="false" customHeight="false" outlineLevel="0" collapsed="false">
      <c r="A659" s="12" t="s">
        <v>2228</v>
      </c>
      <c r="B659" s="22" t="n">
        <f aca="false">COUNTIFS(選手一覧!$C$7:$C$2738,A659,選手一覧!$E$7:$E$2738,"&lt;=100")</f>
        <v>0</v>
      </c>
      <c r="C659" s="18" t="n">
        <f aca="false">COUNTIFS(選手一覧!$C$7:$C$2738,A659,選手一覧!$E$7:$E$2738,"&gt;0")</f>
        <v>0</v>
      </c>
      <c r="D659" s="14" t="str">
        <f aca="false">IF(C659=0,"",_xlfn.MINIFS(選手一覧!$E$7:$E$2738,選手一覧!$C$7:$C$2738,A659))</f>
        <v/>
      </c>
      <c r="E659" s="20"/>
      <c r="F659" s="18" t="n">
        <f aca="false">COUNTIFS(選手一覧!$C$7:$C$2738,A659,選手一覧!$I$7:$I$2738,"&lt;=100")</f>
        <v>0</v>
      </c>
      <c r="G659" s="18" t="n">
        <f aca="false">COUNTIFS(選手一覧!$C$7:$C$2738,A659,選手一覧!$K$7:$K$2738,"&lt;=100")</f>
        <v>0</v>
      </c>
      <c r="H659" s="17" t="n">
        <f aca="false">COUNTIF(選手一覧!$C$7:$C$2738,A659)</f>
        <v>1</v>
      </c>
    </row>
    <row r="660" customFormat="false" ht="15" hidden="false" customHeight="false" outlineLevel="0" collapsed="false">
      <c r="A660" s="12" t="s">
        <v>2234</v>
      </c>
      <c r="B660" s="22" t="n">
        <f aca="false">COUNTIFS(選手一覧!$C$7:$C$2738,A660,選手一覧!$E$7:$E$2738,"&lt;=100")</f>
        <v>0</v>
      </c>
      <c r="C660" s="18" t="n">
        <f aca="false">COUNTIFS(選手一覧!$C$7:$C$2738,A660,選手一覧!$E$7:$E$2738,"&gt;0")</f>
        <v>0</v>
      </c>
      <c r="D660" s="14" t="str">
        <f aca="false">IF(C660=0,"",_xlfn.MINIFS(選手一覧!$E$7:$E$2738,選手一覧!$C$7:$C$2738,A660))</f>
        <v/>
      </c>
      <c r="E660" s="20"/>
      <c r="F660" s="18" t="n">
        <f aca="false">COUNTIFS(選手一覧!$C$7:$C$2738,A660,選手一覧!$I$7:$I$2738,"&lt;=100")</f>
        <v>0</v>
      </c>
      <c r="G660" s="18" t="n">
        <f aca="false">COUNTIFS(選手一覧!$C$7:$C$2738,A660,選手一覧!$K$7:$K$2738,"&lt;=100")</f>
        <v>0</v>
      </c>
      <c r="H660" s="17" t="n">
        <f aca="false">COUNTIF(選手一覧!$C$7:$C$2738,A660)</f>
        <v>1</v>
      </c>
    </row>
    <row r="661" customFormat="false" ht="15" hidden="false" customHeight="false" outlineLevel="0" collapsed="false">
      <c r="A661" s="12" t="s">
        <v>2236</v>
      </c>
      <c r="B661" s="22" t="n">
        <f aca="false">COUNTIFS(選手一覧!$C$7:$C$2738,A661,選手一覧!$E$7:$E$2738,"&lt;=100")</f>
        <v>0</v>
      </c>
      <c r="C661" s="18" t="n">
        <f aca="false">COUNTIFS(選手一覧!$C$7:$C$2738,A661,選手一覧!$E$7:$E$2738,"&gt;0")</f>
        <v>0</v>
      </c>
      <c r="D661" s="14" t="str">
        <f aca="false">IF(C661=0,"",_xlfn.MINIFS(選手一覧!$E$7:$E$2738,選手一覧!$C$7:$C$2738,A661))</f>
        <v/>
      </c>
      <c r="E661" s="20"/>
      <c r="F661" s="18" t="n">
        <f aca="false">COUNTIFS(選手一覧!$C$7:$C$2738,A661,選手一覧!$I$7:$I$2738,"&lt;=100")</f>
        <v>0</v>
      </c>
      <c r="G661" s="18" t="n">
        <f aca="false">COUNTIFS(選手一覧!$C$7:$C$2738,A661,選手一覧!$K$7:$K$2738,"&lt;=100")</f>
        <v>0</v>
      </c>
      <c r="H661" s="17" t="n">
        <f aca="false">COUNTIF(選手一覧!$C$7:$C$2738,A661)</f>
        <v>1</v>
      </c>
    </row>
    <row r="662" customFormat="false" ht="15" hidden="false" customHeight="false" outlineLevel="0" collapsed="false">
      <c r="A662" s="12" t="s">
        <v>2242</v>
      </c>
      <c r="B662" s="22" t="n">
        <f aca="false">COUNTIFS(選手一覧!$C$7:$C$2738,A662,選手一覧!$E$7:$E$2738,"&lt;=100")</f>
        <v>0</v>
      </c>
      <c r="C662" s="18" t="n">
        <f aca="false">COUNTIFS(選手一覧!$C$7:$C$2738,A662,選手一覧!$E$7:$E$2738,"&gt;0")</f>
        <v>0</v>
      </c>
      <c r="D662" s="14" t="str">
        <f aca="false">IF(C662=0,"",_xlfn.MINIFS(選手一覧!$E$7:$E$2738,選手一覧!$C$7:$C$2738,A662))</f>
        <v/>
      </c>
      <c r="E662" s="20"/>
      <c r="F662" s="18" t="n">
        <f aca="false">COUNTIFS(選手一覧!$C$7:$C$2738,A662,選手一覧!$I$7:$I$2738,"&lt;=100")</f>
        <v>0</v>
      </c>
      <c r="G662" s="18" t="n">
        <f aca="false">COUNTIFS(選手一覧!$C$7:$C$2738,A662,選手一覧!$K$7:$K$2738,"&lt;=100")</f>
        <v>0</v>
      </c>
      <c r="H662" s="17" t="n">
        <f aca="false">COUNTIF(選手一覧!$C$7:$C$2738,A662)</f>
        <v>1</v>
      </c>
    </row>
    <row r="663" customFormat="false" ht="15" hidden="false" customHeight="false" outlineLevel="0" collapsed="false">
      <c r="A663" s="12" t="s">
        <v>2244</v>
      </c>
      <c r="B663" s="22" t="n">
        <f aca="false">COUNTIFS(選手一覧!$C$7:$C$2738,A663,選手一覧!$E$7:$E$2738,"&lt;=100")</f>
        <v>0</v>
      </c>
      <c r="C663" s="18" t="n">
        <f aca="false">COUNTIFS(選手一覧!$C$7:$C$2738,A663,選手一覧!$E$7:$E$2738,"&gt;0")</f>
        <v>0</v>
      </c>
      <c r="D663" s="14" t="str">
        <f aca="false">IF(C663=0,"",_xlfn.MINIFS(選手一覧!$E$7:$E$2738,選手一覧!$C$7:$C$2738,A663))</f>
        <v/>
      </c>
      <c r="E663" s="20"/>
      <c r="F663" s="18" t="n">
        <f aca="false">COUNTIFS(選手一覧!$C$7:$C$2738,A663,選手一覧!$I$7:$I$2738,"&lt;=100")</f>
        <v>0</v>
      </c>
      <c r="G663" s="18" t="n">
        <f aca="false">COUNTIFS(選手一覧!$C$7:$C$2738,A663,選手一覧!$K$7:$K$2738,"&lt;=100")</f>
        <v>0</v>
      </c>
      <c r="H663" s="17" t="n">
        <f aca="false">COUNTIF(選手一覧!$C$7:$C$2738,A663)</f>
        <v>1</v>
      </c>
    </row>
    <row r="664" customFormat="false" ht="15" hidden="false" customHeight="false" outlineLevel="0" collapsed="false">
      <c r="A664" s="12" t="s">
        <v>2246</v>
      </c>
      <c r="B664" s="22" t="n">
        <f aca="false">COUNTIFS(選手一覧!$C$7:$C$2738,A664,選手一覧!$E$7:$E$2738,"&lt;=100")</f>
        <v>0</v>
      </c>
      <c r="C664" s="18" t="n">
        <f aca="false">COUNTIFS(選手一覧!$C$7:$C$2738,A664,選手一覧!$E$7:$E$2738,"&gt;0")</f>
        <v>0</v>
      </c>
      <c r="D664" s="14" t="str">
        <f aca="false">IF(C664=0,"",_xlfn.MINIFS(選手一覧!$E$7:$E$2738,選手一覧!$C$7:$C$2738,A664))</f>
        <v/>
      </c>
      <c r="E664" s="20"/>
      <c r="F664" s="18" t="n">
        <f aca="false">COUNTIFS(選手一覧!$C$7:$C$2738,A664,選手一覧!$I$7:$I$2738,"&lt;=100")</f>
        <v>0</v>
      </c>
      <c r="G664" s="18" t="n">
        <f aca="false">COUNTIFS(選手一覧!$C$7:$C$2738,A664,選手一覧!$K$7:$K$2738,"&lt;=100")</f>
        <v>0</v>
      </c>
      <c r="H664" s="17" t="n">
        <f aca="false">COUNTIF(選手一覧!$C$7:$C$2738,A664)</f>
        <v>1</v>
      </c>
    </row>
    <row r="665" customFormat="false" ht="15" hidden="false" customHeight="false" outlineLevel="0" collapsed="false">
      <c r="A665" s="12" t="s">
        <v>2248</v>
      </c>
      <c r="B665" s="22" t="n">
        <f aca="false">COUNTIFS(選手一覧!$C$7:$C$2738,A665,選手一覧!$E$7:$E$2738,"&lt;=100")</f>
        <v>0</v>
      </c>
      <c r="C665" s="18" t="n">
        <f aca="false">COUNTIFS(選手一覧!$C$7:$C$2738,A665,選手一覧!$E$7:$E$2738,"&gt;0")</f>
        <v>0</v>
      </c>
      <c r="D665" s="14" t="str">
        <f aca="false">IF(C665=0,"",_xlfn.MINIFS(選手一覧!$E$7:$E$2738,選手一覧!$C$7:$C$2738,A665))</f>
        <v/>
      </c>
      <c r="E665" s="20"/>
      <c r="F665" s="18" t="n">
        <f aca="false">COUNTIFS(選手一覧!$C$7:$C$2738,A665,選手一覧!$I$7:$I$2738,"&lt;=100")</f>
        <v>0</v>
      </c>
      <c r="G665" s="18" t="n">
        <f aca="false">COUNTIFS(選手一覧!$C$7:$C$2738,A665,選手一覧!$K$7:$K$2738,"&lt;=100")</f>
        <v>0</v>
      </c>
      <c r="H665" s="17" t="n">
        <f aca="false">COUNTIF(選手一覧!$C$7:$C$2738,A665)</f>
        <v>1</v>
      </c>
    </row>
    <row r="666" customFormat="false" ht="15" hidden="false" customHeight="false" outlineLevel="0" collapsed="false">
      <c r="A666" s="12" t="s">
        <v>2252</v>
      </c>
      <c r="B666" s="22" t="n">
        <f aca="false">COUNTIFS(選手一覧!$C$7:$C$2738,A666,選手一覧!$E$7:$E$2738,"&lt;=100")</f>
        <v>0</v>
      </c>
      <c r="C666" s="18" t="n">
        <f aca="false">COUNTIFS(選手一覧!$C$7:$C$2738,A666,選手一覧!$E$7:$E$2738,"&gt;0")</f>
        <v>0</v>
      </c>
      <c r="D666" s="14" t="str">
        <f aca="false">IF(C666=0,"",_xlfn.MINIFS(選手一覧!$E$7:$E$2738,選手一覧!$C$7:$C$2738,A666))</f>
        <v/>
      </c>
      <c r="E666" s="20"/>
      <c r="F666" s="18" t="n">
        <f aca="false">COUNTIFS(選手一覧!$C$7:$C$2738,A666,選手一覧!$I$7:$I$2738,"&lt;=100")</f>
        <v>0</v>
      </c>
      <c r="G666" s="18" t="n">
        <f aca="false">COUNTIFS(選手一覧!$C$7:$C$2738,A666,選手一覧!$K$7:$K$2738,"&lt;=100")</f>
        <v>0</v>
      </c>
      <c r="H666" s="17" t="n">
        <f aca="false">COUNTIF(選手一覧!$C$7:$C$2738,A666)</f>
        <v>1</v>
      </c>
    </row>
    <row r="667" customFormat="false" ht="15" hidden="false" customHeight="false" outlineLevel="0" collapsed="false">
      <c r="A667" s="12" t="s">
        <v>2266</v>
      </c>
      <c r="B667" s="22" t="n">
        <f aca="false">COUNTIFS(選手一覧!$C$7:$C$2738,A667,選手一覧!$E$7:$E$2738,"&lt;=100")</f>
        <v>0</v>
      </c>
      <c r="C667" s="18" t="n">
        <f aca="false">COUNTIFS(選手一覧!$C$7:$C$2738,A667,選手一覧!$E$7:$E$2738,"&gt;0")</f>
        <v>0</v>
      </c>
      <c r="D667" s="14" t="str">
        <f aca="false">IF(C667=0,"",_xlfn.MINIFS(選手一覧!$E$7:$E$2738,選手一覧!$C$7:$C$2738,A667))</f>
        <v/>
      </c>
      <c r="E667" s="20"/>
      <c r="F667" s="18" t="n">
        <f aca="false">COUNTIFS(選手一覧!$C$7:$C$2738,A667,選手一覧!$I$7:$I$2738,"&lt;=100")</f>
        <v>0</v>
      </c>
      <c r="G667" s="18" t="n">
        <f aca="false">COUNTIFS(選手一覧!$C$7:$C$2738,A667,選手一覧!$K$7:$K$2738,"&lt;=100")</f>
        <v>0</v>
      </c>
      <c r="H667" s="17" t="n">
        <f aca="false">COUNTIF(選手一覧!$C$7:$C$2738,A667)</f>
        <v>1</v>
      </c>
    </row>
    <row r="668" customFormat="false" ht="15" hidden="false" customHeight="false" outlineLevel="0" collapsed="false">
      <c r="A668" s="12" t="s">
        <v>2281</v>
      </c>
      <c r="B668" s="22" t="n">
        <f aca="false">COUNTIFS(選手一覧!$C$7:$C$2738,A668,選手一覧!$E$7:$E$2738,"&lt;=100")</f>
        <v>0</v>
      </c>
      <c r="C668" s="18" t="n">
        <f aca="false">COUNTIFS(選手一覧!$C$7:$C$2738,A668,選手一覧!$E$7:$E$2738,"&gt;0")</f>
        <v>0</v>
      </c>
      <c r="D668" s="14" t="str">
        <f aca="false">IF(C668=0,"",_xlfn.MINIFS(選手一覧!$E$7:$E$2738,選手一覧!$C$7:$C$2738,A668))</f>
        <v/>
      </c>
      <c r="E668" s="20"/>
      <c r="F668" s="18" t="n">
        <f aca="false">COUNTIFS(選手一覧!$C$7:$C$2738,A668,選手一覧!$I$7:$I$2738,"&lt;=100")</f>
        <v>0</v>
      </c>
      <c r="G668" s="18" t="n">
        <f aca="false">COUNTIFS(選手一覧!$C$7:$C$2738,A668,選手一覧!$K$7:$K$2738,"&lt;=100")</f>
        <v>0</v>
      </c>
      <c r="H668" s="17" t="n">
        <f aca="false">COUNTIF(選手一覧!$C$7:$C$2738,A668)</f>
        <v>1</v>
      </c>
    </row>
    <row r="669" customFormat="false" ht="15" hidden="false" customHeight="false" outlineLevel="0" collapsed="false">
      <c r="A669" s="12" t="s">
        <v>2289</v>
      </c>
      <c r="B669" s="22" t="n">
        <f aca="false">COUNTIFS(選手一覧!$C$7:$C$2738,A669,選手一覧!$E$7:$E$2738,"&lt;=100")</f>
        <v>0</v>
      </c>
      <c r="C669" s="18" t="n">
        <f aca="false">COUNTIFS(選手一覧!$C$7:$C$2738,A669,選手一覧!$E$7:$E$2738,"&gt;0")</f>
        <v>0</v>
      </c>
      <c r="D669" s="14" t="str">
        <f aca="false">IF(C669=0,"",_xlfn.MINIFS(選手一覧!$E$7:$E$2738,選手一覧!$C$7:$C$2738,A669))</f>
        <v/>
      </c>
      <c r="E669" s="20"/>
      <c r="F669" s="18" t="n">
        <f aca="false">COUNTIFS(選手一覧!$C$7:$C$2738,A669,選手一覧!$I$7:$I$2738,"&lt;=100")</f>
        <v>0</v>
      </c>
      <c r="G669" s="18" t="n">
        <f aca="false">COUNTIFS(選手一覧!$C$7:$C$2738,A669,選手一覧!$K$7:$K$2738,"&lt;=100")</f>
        <v>0</v>
      </c>
      <c r="H669" s="17" t="n">
        <f aca="false">COUNTIF(選手一覧!$C$7:$C$2738,A669)</f>
        <v>1</v>
      </c>
    </row>
    <row r="670" customFormat="false" ht="15" hidden="false" customHeight="false" outlineLevel="0" collapsed="false">
      <c r="A670" s="12" t="s">
        <v>2291</v>
      </c>
      <c r="B670" s="22" t="n">
        <f aca="false">COUNTIFS(選手一覧!$C$7:$C$2738,A670,選手一覧!$E$7:$E$2738,"&lt;=100")</f>
        <v>0</v>
      </c>
      <c r="C670" s="18" t="n">
        <f aca="false">COUNTIFS(選手一覧!$C$7:$C$2738,A670,選手一覧!$E$7:$E$2738,"&gt;0")</f>
        <v>0</v>
      </c>
      <c r="D670" s="14" t="str">
        <f aca="false">IF(C670=0,"",_xlfn.MINIFS(選手一覧!$E$7:$E$2738,選手一覧!$C$7:$C$2738,A670))</f>
        <v/>
      </c>
      <c r="E670" s="20"/>
      <c r="F670" s="18" t="n">
        <f aca="false">COUNTIFS(選手一覧!$C$7:$C$2738,A670,選手一覧!$I$7:$I$2738,"&lt;=100")</f>
        <v>0</v>
      </c>
      <c r="G670" s="18" t="n">
        <f aca="false">COUNTIFS(選手一覧!$C$7:$C$2738,A670,選手一覧!$K$7:$K$2738,"&lt;=100")</f>
        <v>0</v>
      </c>
      <c r="H670" s="17" t="n">
        <f aca="false">COUNTIF(選手一覧!$C$7:$C$2738,A670)</f>
        <v>1</v>
      </c>
    </row>
    <row r="671" customFormat="false" ht="15" hidden="false" customHeight="false" outlineLevel="0" collapsed="false">
      <c r="A671" s="12" t="s">
        <v>2294</v>
      </c>
      <c r="B671" s="22" t="n">
        <f aca="false">COUNTIFS(選手一覧!$C$7:$C$2738,A671,選手一覧!$E$7:$E$2738,"&lt;=100")</f>
        <v>0</v>
      </c>
      <c r="C671" s="18" t="n">
        <f aca="false">COUNTIFS(選手一覧!$C$7:$C$2738,A671,選手一覧!$E$7:$E$2738,"&gt;0")</f>
        <v>0</v>
      </c>
      <c r="D671" s="14" t="str">
        <f aca="false">IF(C671=0,"",_xlfn.MINIFS(選手一覧!$E$7:$E$2738,選手一覧!$C$7:$C$2738,A671))</f>
        <v/>
      </c>
      <c r="E671" s="20"/>
      <c r="F671" s="18" t="n">
        <f aca="false">COUNTIFS(選手一覧!$C$7:$C$2738,A671,選手一覧!$I$7:$I$2738,"&lt;=100")</f>
        <v>0</v>
      </c>
      <c r="G671" s="18" t="n">
        <f aca="false">COUNTIFS(選手一覧!$C$7:$C$2738,A671,選手一覧!$K$7:$K$2738,"&lt;=100")</f>
        <v>0</v>
      </c>
      <c r="H671" s="17" t="n">
        <f aca="false">COUNTIF(選手一覧!$C$7:$C$2738,A671)</f>
        <v>1</v>
      </c>
    </row>
    <row r="672" customFormat="false" ht="15" hidden="false" customHeight="false" outlineLevel="0" collapsed="false">
      <c r="A672" s="12" t="s">
        <v>2302</v>
      </c>
      <c r="B672" s="22" t="n">
        <f aca="false">COUNTIFS(選手一覧!$C$7:$C$2738,A672,選手一覧!$E$7:$E$2738,"&lt;=100")</f>
        <v>0</v>
      </c>
      <c r="C672" s="18" t="n">
        <f aca="false">COUNTIFS(選手一覧!$C$7:$C$2738,A672,選手一覧!$E$7:$E$2738,"&gt;0")</f>
        <v>0</v>
      </c>
      <c r="D672" s="14" t="str">
        <f aca="false">IF(C672=0,"",_xlfn.MINIFS(選手一覧!$E$7:$E$2738,選手一覧!$C$7:$C$2738,A672))</f>
        <v/>
      </c>
      <c r="E672" s="20"/>
      <c r="F672" s="18" t="n">
        <f aca="false">COUNTIFS(選手一覧!$C$7:$C$2738,A672,選手一覧!$I$7:$I$2738,"&lt;=100")</f>
        <v>0</v>
      </c>
      <c r="G672" s="18" t="n">
        <f aca="false">COUNTIFS(選手一覧!$C$7:$C$2738,A672,選手一覧!$K$7:$K$2738,"&lt;=100")</f>
        <v>0</v>
      </c>
      <c r="H672" s="17" t="n">
        <f aca="false">COUNTIF(選手一覧!$C$7:$C$2738,A672)</f>
        <v>1</v>
      </c>
    </row>
    <row r="673" customFormat="false" ht="15" hidden="false" customHeight="false" outlineLevel="0" collapsed="false">
      <c r="A673" s="12" t="s">
        <v>2304</v>
      </c>
      <c r="B673" s="22" t="n">
        <f aca="false">COUNTIFS(選手一覧!$C$7:$C$2738,A673,選手一覧!$E$7:$E$2738,"&lt;=100")</f>
        <v>0</v>
      </c>
      <c r="C673" s="18" t="n">
        <f aca="false">COUNTIFS(選手一覧!$C$7:$C$2738,A673,選手一覧!$E$7:$E$2738,"&gt;0")</f>
        <v>0</v>
      </c>
      <c r="D673" s="14" t="str">
        <f aca="false">IF(C673=0,"",_xlfn.MINIFS(選手一覧!$E$7:$E$2738,選手一覧!$C$7:$C$2738,A673))</f>
        <v/>
      </c>
      <c r="E673" s="20"/>
      <c r="F673" s="18" t="n">
        <f aca="false">COUNTIFS(選手一覧!$C$7:$C$2738,A673,選手一覧!$I$7:$I$2738,"&lt;=100")</f>
        <v>0</v>
      </c>
      <c r="G673" s="18" t="n">
        <f aca="false">COUNTIFS(選手一覧!$C$7:$C$2738,A673,選手一覧!$K$7:$K$2738,"&lt;=100")</f>
        <v>0</v>
      </c>
      <c r="H673" s="17" t="n">
        <f aca="false">COUNTIF(選手一覧!$C$7:$C$2738,A673)</f>
        <v>1</v>
      </c>
    </row>
    <row r="674" customFormat="false" ht="15" hidden="false" customHeight="false" outlineLevel="0" collapsed="false">
      <c r="A674" s="12" t="s">
        <v>2315</v>
      </c>
      <c r="B674" s="22" t="n">
        <f aca="false">COUNTIFS(選手一覧!$C$7:$C$2738,A674,選手一覧!$E$7:$E$2738,"&lt;=100")</f>
        <v>0</v>
      </c>
      <c r="C674" s="18" t="n">
        <f aca="false">COUNTIFS(選手一覧!$C$7:$C$2738,A674,選手一覧!$E$7:$E$2738,"&gt;0")</f>
        <v>0</v>
      </c>
      <c r="D674" s="14" t="str">
        <f aca="false">IF(C674=0,"",_xlfn.MINIFS(選手一覧!$E$7:$E$2738,選手一覧!$C$7:$C$2738,A674))</f>
        <v/>
      </c>
      <c r="E674" s="20"/>
      <c r="F674" s="18" t="n">
        <f aca="false">COUNTIFS(選手一覧!$C$7:$C$2738,A674,選手一覧!$I$7:$I$2738,"&lt;=100")</f>
        <v>0</v>
      </c>
      <c r="G674" s="18" t="n">
        <f aca="false">COUNTIFS(選手一覧!$C$7:$C$2738,A674,選手一覧!$K$7:$K$2738,"&lt;=100")</f>
        <v>0</v>
      </c>
      <c r="H674" s="17" t="n">
        <f aca="false">COUNTIF(選手一覧!$C$7:$C$2738,A674)</f>
        <v>1</v>
      </c>
    </row>
    <row r="675" customFormat="false" ht="15" hidden="false" customHeight="false" outlineLevel="0" collapsed="false">
      <c r="A675" s="12" t="s">
        <v>2322</v>
      </c>
      <c r="B675" s="22" t="n">
        <f aca="false">COUNTIFS(選手一覧!$C$7:$C$2738,A675,選手一覧!$E$7:$E$2738,"&lt;=100")</f>
        <v>0</v>
      </c>
      <c r="C675" s="18" t="n">
        <f aca="false">COUNTIFS(選手一覧!$C$7:$C$2738,A675,選手一覧!$E$7:$E$2738,"&gt;0")</f>
        <v>0</v>
      </c>
      <c r="D675" s="14" t="str">
        <f aca="false">IF(C675=0,"",_xlfn.MINIFS(選手一覧!$E$7:$E$2738,選手一覧!$C$7:$C$2738,A675))</f>
        <v/>
      </c>
      <c r="E675" s="20"/>
      <c r="F675" s="18" t="n">
        <f aca="false">COUNTIFS(選手一覧!$C$7:$C$2738,A675,選手一覧!$I$7:$I$2738,"&lt;=100")</f>
        <v>0</v>
      </c>
      <c r="G675" s="18" t="n">
        <f aca="false">COUNTIFS(選手一覧!$C$7:$C$2738,A675,選手一覧!$K$7:$K$2738,"&lt;=100")</f>
        <v>0</v>
      </c>
      <c r="H675" s="17" t="n">
        <f aca="false">COUNTIF(選手一覧!$C$7:$C$2738,A675)</f>
        <v>1</v>
      </c>
    </row>
    <row r="676" customFormat="false" ht="15" hidden="false" customHeight="false" outlineLevel="0" collapsed="false">
      <c r="A676" s="12" t="s">
        <v>2327</v>
      </c>
      <c r="B676" s="22" t="n">
        <f aca="false">COUNTIFS(選手一覧!$C$7:$C$2738,A676,選手一覧!$E$7:$E$2738,"&lt;=100")</f>
        <v>0</v>
      </c>
      <c r="C676" s="18" t="n">
        <f aca="false">COUNTIFS(選手一覧!$C$7:$C$2738,A676,選手一覧!$E$7:$E$2738,"&gt;0")</f>
        <v>0</v>
      </c>
      <c r="D676" s="14" t="str">
        <f aca="false">IF(C676=0,"",_xlfn.MINIFS(選手一覧!$E$7:$E$2738,選手一覧!$C$7:$C$2738,A676))</f>
        <v/>
      </c>
      <c r="E676" s="20"/>
      <c r="F676" s="18" t="n">
        <f aca="false">COUNTIFS(選手一覧!$C$7:$C$2738,A676,選手一覧!$I$7:$I$2738,"&lt;=100")</f>
        <v>0</v>
      </c>
      <c r="G676" s="18" t="n">
        <f aca="false">COUNTIFS(選手一覧!$C$7:$C$2738,A676,選手一覧!$K$7:$K$2738,"&lt;=100")</f>
        <v>0</v>
      </c>
      <c r="H676" s="17" t="n">
        <f aca="false">COUNTIF(選手一覧!$C$7:$C$2738,A676)</f>
        <v>1</v>
      </c>
    </row>
    <row r="677" customFormat="false" ht="15" hidden="false" customHeight="false" outlineLevel="0" collapsed="false">
      <c r="A677" s="12" t="s">
        <v>2329</v>
      </c>
      <c r="B677" s="22" t="n">
        <f aca="false">COUNTIFS(選手一覧!$C$7:$C$2738,A677,選手一覧!$E$7:$E$2738,"&lt;=100")</f>
        <v>0</v>
      </c>
      <c r="C677" s="18" t="n">
        <f aca="false">COUNTIFS(選手一覧!$C$7:$C$2738,A677,選手一覧!$E$7:$E$2738,"&gt;0")</f>
        <v>0</v>
      </c>
      <c r="D677" s="14" t="str">
        <f aca="false">IF(C677=0,"",_xlfn.MINIFS(選手一覧!$E$7:$E$2738,選手一覧!$C$7:$C$2738,A677))</f>
        <v/>
      </c>
      <c r="E677" s="20"/>
      <c r="F677" s="18" t="n">
        <f aca="false">COUNTIFS(選手一覧!$C$7:$C$2738,A677,選手一覧!$I$7:$I$2738,"&lt;=100")</f>
        <v>0</v>
      </c>
      <c r="G677" s="18" t="n">
        <f aca="false">COUNTIFS(選手一覧!$C$7:$C$2738,A677,選手一覧!$K$7:$K$2738,"&lt;=100")</f>
        <v>0</v>
      </c>
      <c r="H677" s="17" t="n">
        <f aca="false">COUNTIF(選手一覧!$C$7:$C$2738,A677)</f>
        <v>1</v>
      </c>
    </row>
    <row r="678" customFormat="false" ht="15" hidden="false" customHeight="false" outlineLevel="0" collapsed="false">
      <c r="A678" s="12" t="s">
        <v>2333</v>
      </c>
      <c r="B678" s="22" t="n">
        <f aca="false">COUNTIFS(選手一覧!$C$7:$C$2738,A678,選手一覧!$E$7:$E$2738,"&lt;=100")</f>
        <v>0</v>
      </c>
      <c r="C678" s="18" t="n">
        <f aca="false">COUNTIFS(選手一覧!$C$7:$C$2738,A678,選手一覧!$E$7:$E$2738,"&gt;0")</f>
        <v>0</v>
      </c>
      <c r="D678" s="14" t="str">
        <f aca="false">IF(C678=0,"",_xlfn.MINIFS(選手一覧!$E$7:$E$2738,選手一覧!$C$7:$C$2738,A678))</f>
        <v/>
      </c>
      <c r="E678" s="20"/>
      <c r="F678" s="18" t="n">
        <f aca="false">COUNTIFS(選手一覧!$C$7:$C$2738,A678,選手一覧!$I$7:$I$2738,"&lt;=100")</f>
        <v>0</v>
      </c>
      <c r="G678" s="18" t="n">
        <f aca="false">COUNTIFS(選手一覧!$C$7:$C$2738,A678,選手一覧!$K$7:$K$2738,"&lt;=100")</f>
        <v>0</v>
      </c>
      <c r="H678" s="17" t="n">
        <f aca="false">COUNTIF(選手一覧!$C$7:$C$2738,A678)</f>
        <v>1</v>
      </c>
    </row>
    <row r="679" customFormat="false" ht="15" hidden="false" customHeight="false" outlineLevel="0" collapsed="false">
      <c r="A679" s="12" t="s">
        <v>2335</v>
      </c>
      <c r="B679" s="22" t="n">
        <f aca="false">COUNTIFS(選手一覧!$C$7:$C$2738,A679,選手一覧!$E$7:$E$2738,"&lt;=100")</f>
        <v>0</v>
      </c>
      <c r="C679" s="18" t="n">
        <f aca="false">COUNTIFS(選手一覧!$C$7:$C$2738,A679,選手一覧!$E$7:$E$2738,"&gt;0")</f>
        <v>0</v>
      </c>
      <c r="D679" s="14" t="str">
        <f aca="false">IF(C679=0,"",_xlfn.MINIFS(選手一覧!$E$7:$E$2738,選手一覧!$C$7:$C$2738,A679))</f>
        <v/>
      </c>
      <c r="E679" s="20"/>
      <c r="F679" s="18" t="n">
        <f aca="false">COUNTIFS(選手一覧!$C$7:$C$2738,A679,選手一覧!$I$7:$I$2738,"&lt;=100")</f>
        <v>0</v>
      </c>
      <c r="G679" s="18" t="n">
        <f aca="false">COUNTIFS(選手一覧!$C$7:$C$2738,A679,選手一覧!$K$7:$K$2738,"&lt;=100")</f>
        <v>0</v>
      </c>
      <c r="H679" s="17" t="n">
        <f aca="false">COUNTIF(選手一覧!$C$7:$C$2738,A679)</f>
        <v>1</v>
      </c>
    </row>
    <row r="680" customFormat="false" ht="15" hidden="false" customHeight="false" outlineLevel="0" collapsed="false">
      <c r="A680" s="12" t="s">
        <v>2347</v>
      </c>
      <c r="B680" s="22" t="n">
        <f aca="false">COUNTIFS(選手一覧!$C$7:$C$2738,A680,選手一覧!$E$7:$E$2738,"&lt;=100")</f>
        <v>0</v>
      </c>
      <c r="C680" s="18" t="n">
        <f aca="false">COUNTIFS(選手一覧!$C$7:$C$2738,A680,選手一覧!$E$7:$E$2738,"&gt;0")</f>
        <v>0</v>
      </c>
      <c r="D680" s="14" t="str">
        <f aca="false">IF(C680=0,"",_xlfn.MINIFS(選手一覧!$E$7:$E$2738,選手一覧!$C$7:$C$2738,A680))</f>
        <v/>
      </c>
      <c r="E680" s="20"/>
      <c r="F680" s="18" t="n">
        <f aca="false">COUNTIFS(選手一覧!$C$7:$C$2738,A680,選手一覧!$I$7:$I$2738,"&lt;=100")</f>
        <v>0</v>
      </c>
      <c r="G680" s="18" t="n">
        <f aca="false">COUNTIFS(選手一覧!$C$7:$C$2738,A680,選手一覧!$K$7:$K$2738,"&lt;=100")</f>
        <v>0</v>
      </c>
      <c r="H680" s="17" t="n">
        <f aca="false">COUNTIF(選手一覧!$C$7:$C$2738,A680)</f>
        <v>1</v>
      </c>
    </row>
    <row r="681" customFormat="false" ht="15" hidden="false" customHeight="false" outlineLevel="0" collapsed="false">
      <c r="A681" s="12" t="s">
        <v>2349</v>
      </c>
      <c r="B681" s="22" t="n">
        <f aca="false">COUNTIFS(選手一覧!$C$7:$C$2738,A681,選手一覧!$E$7:$E$2738,"&lt;=100")</f>
        <v>0</v>
      </c>
      <c r="C681" s="18" t="n">
        <f aca="false">COUNTIFS(選手一覧!$C$7:$C$2738,A681,選手一覧!$E$7:$E$2738,"&gt;0")</f>
        <v>0</v>
      </c>
      <c r="D681" s="14" t="str">
        <f aca="false">IF(C681=0,"",_xlfn.MINIFS(選手一覧!$E$7:$E$2738,選手一覧!$C$7:$C$2738,A681))</f>
        <v/>
      </c>
      <c r="E681" s="20"/>
      <c r="F681" s="18" t="n">
        <f aca="false">COUNTIFS(選手一覧!$C$7:$C$2738,A681,選手一覧!$I$7:$I$2738,"&lt;=100")</f>
        <v>0</v>
      </c>
      <c r="G681" s="18" t="n">
        <f aca="false">COUNTIFS(選手一覧!$C$7:$C$2738,A681,選手一覧!$K$7:$K$2738,"&lt;=100")</f>
        <v>0</v>
      </c>
      <c r="H681" s="17" t="n">
        <f aca="false">COUNTIF(選手一覧!$C$7:$C$2738,A681)</f>
        <v>1</v>
      </c>
    </row>
    <row r="682" customFormat="false" ht="15" hidden="false" customHeight="false" outlineLevel="0" collapsed="false">
      <c r="A682" s="12" t="s">
        <v>2358</v>
      </c>
      <c r="B682" s="22" t="n">
        <f aca="false">COUNTIFS(選手一覧!$C$7:$C$2738,A682,選手一覧!$E$7:$E$2738,"&lt;=100")</f>
        <v>0</v>
      </c>
      <c r="C682" s="18" t="n">
        <f aca="false">COUNTIFS(選手一覧!$C$7:$C$2738,A682,選手一覧!$E$7:$E$2738,"&gt;0")</f>
        <v>0</v>
      </c>
      <c r="D682" s="14" t="str">
        <f aca="false">IF(C682=0,"",_xlfn.MINIFS(選手一覧!$E$7:$E$2738,選手一覧!$C$7:$C$2738,A682))</f>
        <v/>
      </c>
      <c r="E682" s="20"/>
      <c r="F682" s="18" t="n">
        <f aca="false">COUNTIFS(選手一覧!$C$7:$C$2738,A682,選手一覧!$I$7:$I$2738,"&lt;=100")</f>
        <v>0</v>
      </c>
      <c r="G682" s="18" t="n">
        <f aca="false">COUNTIFS(選手一覧!$C$7:$C$2738,A682,選手一覧!$K$7:$K$2738,"&lt;=100")</f>
        <v>0</v>
      </c>
      <c r="H682" s="17" t="n">
        <f aca="false">COUNTIF(選手一覧!$C$7:$C$2738,A682)</f>
        <v>1</v>
      </c>
    </row>
    <row r="683" customFormat="false" ht="15" hidden="false" customHeight="false" outlineLevel="0" collapsed="false">
      <c r="A683" s="12" t="s">
        <v>2360</v>
      </c>
      <c r="B683" s="22" t="n">
        <f aca="false">COUNTIFS(選手一覧!$C$7:$C$2738,A683,選手一覧!$E$7:$E$2738,"&lt;=100")</f>
        <v>0</v>
      </c>
      <c r="C683" s="18" t="n">
        <f aca="false">COUNTIFS(選手一覧!$C$7:$C$2738,A683,選手一覧!$E$7:$E$2738,"&gt;0")</f>
        <v>0</v>
      </c>
      <c r="D683" s="14" t="str">
        <f aca="false">IF(C683=0,"",_xlfn.MINIFS(選手一覧!$E$7:$E$2738,選手一覧!$C$7:$C$2738,A683))</f>
        <v/>
      </c>
      <c r="E683" s="20"/>
      <c r="F683" s="18" t="n">
        <f aca="false">COUNTIFS(選手一覧!$C$7:$C$2738,A683,選手一覧!$I$7:$I$2738,"&lt;=100")</f>
        <v>0</v>
      </c>
      <c r="G683" s="18" t="n">
        <f aca="false">COUNTIFS(選手一覧!$C$7:$C$2738,A683,選手一覧!$K$7:$K$2738,"&lt;=100")</f>
        <v>0</v>
      </c>
      <c r="H683" s="17" t="n">
        <f aca="false">COUNTIF(選手一覧!$C$7:$C$2738,A683)</f>
        <v>1</v>
      </c>
    </row>
    <row r="684" customFormat="false" ht="15" hidden="false" customHeight="false" outlineLevel="0" collapsed="false">
      <c r="A684" s="12" t="s">
        <v>2362</v>
      </c>
      <c r="B684" s="22" t="n">
        <f aca="false">COUNTIFS(選手一覧!$C$7:$C$2738,A684,選手一覧!$E$7:$E$2738,"&lt;=100")</f>
        <v>0</v>
      </c>
      <c r="C684" s="18" t="n">
        <f aca="false">COUNTIFS(選手一覧!$C$7:$C$2738,A684,選手一覧!$E$7:$E$2738,"&gt;0")</f>
        <v>0</v>
      </c>
      <c r="D684" s="14" t="str">
        <f aca="false">IF(C684=0,"",_xlfn.MINIFS(選手一覧!$E$7:$E$2738,選手一覧!$C$7:$C$2738,A684))</f>
        <v/>
      </c>
      <c r="E684" s="20"/>
      <c r="F684" s="18" t="n">
        <f aca="false">COUNTIFS(選手一覧!$C$7:$C$2738,A684,選手一覧!$I$7:$I$2738,"&lt;=100")</f>
        <v>0</v>
      </c>
      <c r="G684" s="18" t="n">
        <f aca="false">COUNTIFS(選手一覧!$C$7:$C$2738,A684,選手一覧!$K$7:$K$2738,"&lt;=100")</f>
        <v>0</v>
      </c>
      <c r="H684" s="17" t="n">
        <f aca="false">COUNTIF(選手一覧!$C$7:$C$2738,A684)</f>
        <v>1</v>
      </c>
    </row>
    <row r="685" customFormat="false" ht="15" hidden="false" customHeight="false" outlineLevel="0" collapsed="false">
      <c r="A685" s="12" t="s">
        <v>2365</v>
      </c>
      <c r="B685" s="22" t="n">
        <f aca="false">COUNTIFS(選手一覧!$C$7:$C$2738,A685,選手一覧!$E$7:$E$2738,"&lt;=100")</f>
        <v>0</v>
      </c>
      <c r="C685" s="18" t="n">
        <f aca="false">COUNTIFS(選手一覧!$C$7:$C$2738,A685,選手一覧!$E$7:$E$2738,"&gt;0")</f>
        <v>0</v>
      </c>
      <c r="D685" s="14" t="str">
        <f aca="false">IF(C685=0,"",_xlfn.MINIFS(選手一覧!$E$7:$E$2738,選手一覧!$C$7:$C$2738,A685))</f>
        <v/>
      </c>
      <c r="E685" s="20"/>
      <c r="F685" s="18" t="n">
        <f aca="false">COUNTIFS(選手一覧!$C$7:$C$2738,A685,選手一覧!$I$7:$I$2738,"&lt;=100")</f>
        <v>0</v>
      </c>
      <c r="G685" s="18" t="n">
        <f aca="false">COUNTIFS(選手一覧!$C$7:$C$2738,A685,選手一覧!$K$7:$K$2738,"&lt;=100")</f>
        <v>0</v>
      </c>
      <c r="H685" s="17" t="n">
        <f aca="false">COUNTIF(選手一覧!$C$7:$C$2738,A685)</f>
        <v>1</v>
      </c>
    </row>
    <row r="686" customFormat="false" ht="15" hidden="false" customHeight="false" outlineLevel="0" collapsed="false">
      <c r="A686" s="12" t="s">
        <v>2368</v>
      </c>
      <c r="B686" s="22" t="n">
        <f aca="false">COUNTIFS(選手一覧!$C$7:$C$2738,A686,選手一覧!$E$7:$E$2738,"&lt;=100")</f>
        <v>0</v>
      </c>
      <c r="C686" s="18" t="n">
        <f aca="false">COUNTIFS(選手一覧!$C$7:$C$2738,A686,選手一覧!$E$7:$E$2738,"&gt;0")</f>
        <v>0</v>
      </c>
      <c r="D686" s="14" t="str">
        <f aca="false">IF(C686=0,"",_xlfn.MINIFS(選手一覧!$E$7:$E$2738,選手一覧!$C$7:$C$2738,A686))</f>
        <v/>
      </c>
      <c r="E686" s="20"/>
      <c r="F686" s="18" t="n">
        <f aca="false">COUNTIFS(選手一覧!$C$7:$C$2738,A686,選手一覧!$I$7:$I$2738,"&lt;=100")</f>
        <v>0</v>
      </c>
      <c r="G686" s="18" t="n">
        <f aca="false">COUNTIFS(選手一覧!$C$7:$C$2738,A686,選手一覧!$K$7:$K$2738,"&lt;=100")</f>
        <v>0</v>
      </c>
      <c r="H686" s="17" t="n">
        <f aca="false">COUNTIF(選手一覧!$C$7:$C$2738,A686)</f>
        <v>1</v>
      </c>
    </row>
    <row r="687" customFormat="false" ht="15" hidden="false" customHeight="false" outlineLevel="0" collapsed="false">
      <c r="A687" s="12" t="s">
        <v>2374</v>
      </c>
      <c r="B687" s="22" t="n">
        <f aca="false">COUNTIFS(選手一覧!$C$7:$C$2738,A687,選手一覧!$E$7:$E$2738,"&lt;=100")</f>
        <v>0</v>
      </c>
      <c r="C687" s="18" t="n">
        <f aca="false">COUNTIFS(選手一覧!$C$7:$C$2738,A687,選手一覧!$E$7:$E$2738,"&gt;0")</f>
        <v>0</v>
      </c>
      <c r="D687" s="14" t="str">
        <f aca="false">IF(C687=0,"",_xlfn.MINIFS(選手一覧!$E$7:$E$2738,選手一覧!$C$7:$C$2738,A687))</f>
        <v/>
      </c>
      <c r="E687" s="20"/>
      <c r="F687" s="18" t="n">
        <f aca="false">COUNTIFS(選手一覧!$C$7:$C$2738,A687,選手一覧!$I$7:$I$2738,"&lt;=100")</f>
        <v>0</v>
      </c>
      <c r="G687" s="18" t="n">
        <f aca="false">COUNTIFS(選手一覧!$C$7:$C$2738,A687,選手一覧!$K$7:$K$2738,"&lt;=100")</f>
        <v>0</v>
      </c>
      <c r="H687" s="17" t="n">
        <f aca="false">COUNTIF(選手一覧!$C$7:$C$2738,A687)</f>
        <v>1</v>
      </c>
    </row>
    <row r="688" customFormat="false" ht="15" hidden="false" customHeight="false" outlineLevel="0" collapsed="false">
      <c r="A688" s="12" t="s">
        <v>2379</v>
      </c>
      <c r="B688" s="22" t="n">
        <f aca="false">COUNTIFS(選手一覧!$C$7:$C$2738,A688,選手一覧!$E$7:$E$2738,"&lt;=100")</f>
        <v>0</v>
      </c>
      <c r="C688" s="18" t="n">
        <f aca="false">COUNTIFS(選手一覧!$C$7:$C$2738,A688,選手一覧!$E$7:$E$2738,"&gt;0")</f>
        <v>0</v>
      </c>
      <c r="D688" s="14" t="str">
        <f aca="false">IF(C688=0,"",_xlfn.MINIFS(選手一覧!$E$7:$E$2738,選手一覧!$C$7:$C$2738,A688))</f>
        <v/>
      </c>
      <c r="E688" s="20"/>
      <c r="F688" s="18" t="n">
        <f aca="false">COUNTIFS(選手一覧!$C$7:$C$2738,A688,選手一覧!$I$7:$I$2738,"&lt;=100")</f>
        <v>0</v>
      </c>
      <c r="G688" s="18" t="n">
        <f aca="false">COUNTIFS(選手一覧!$C$7:$C$2738,A688,選手一覧!$K$7:$K$2738,"&lt;=100")</f>
        <v>0</v>
      </c>
      <c r="H688" s="17" t="n">
        <f aca="false">COUNTIF(選手一覧!$C$7:$C$2738,A688)</f>
        <v>1</v>
      </c>
    </row>
    <row r="689" customFormat="false" ht="15" hidden="false" customHeight="false" outlineLevel="0" collapsed="false">
      <c r="A689" s="12" t="s">
        <v>2383</v>
      </c>
      <c r="B689" s="22" t="n">
        <f aca="false">COUNTIFS(選手一覧!$C$7:$C$2738,A689,選手一覧!$E$7:$E$2738,"&lt;=100")</f>
        <v>0</v>
      </c>
      <c r="C689" s="18" t="n">
        <f aca="false">COUNTIFS(選手一覧!$C$7:$C$2738,A689,選手一覧!$E$7:$E$2738,"&gt;0")</f>
        <v>0</v>
      </c>
      <c r="D689" s="14" t="str">
        <f aca="false">IF(C689=0,"",_xlfn.MINIFS(選手一覧!$E$7:$E$2738,選手一覧!$C$7:$C$2738,A689))</f>
        <v/>
      </c>
      <c r="E689" s="20"/>
      <c r="F689" s="18" t="n">
        <f aca="false">COUNTIFS(選手一覧!$C$7:$C$2738,A689,選手一覧!$I$7:$I$2738,"&lt;=100")</f>
        <v>0</v>
      </c>
      <c r="G689" s="18" t="n">
        <f aca="false">COUNTIFS(選手一覧!$C$7:$C$2738,A689,選手一覧!$K$7:$K$2738,"&lt;=100")</f>
        <v>0</v>
      </c>
      <c r="H689" s="17" t="n">
        <f aca="false">COUNTIF(選手一覧!$C$7:$C$2738,A689)</f>
        <v>1</v>
      </c>
    </row>
    <row r="690" customFormat="false" ht="15" hidden="false" customHeight="false" outlineLevel="0" collapsed="false">
      <c r="A690" s="12" t="s">
        <v>2397</v>
      </c>
      <c r="B690" s="22" t="n">
        <f aca="false">COUNTIFS(選手一覧!$C$7:$C$2738,A690,選手一覧!$E$7:$E$2738,"&lt;=100")</f>
        <v>0</v>
      </c>
      <c r="C690" s="18" t="n">
        <f aca="false">COUNTIFS(選手一覧!$C$7:$C$2738,A690,選手一覧!$E$7:$E$2738,"&gt;0")</f>
        <v>0</v>
      </c>
      <c r="D690" s="14" t="str">
        <f aca="false">IF(C690=0,"",_xlfn.MINIFS(選手一覧!$E$7:$E$2738,選手一覧!$C$7:$C$2738,A690))</f>
        <v/>
      </c>
      <c r="E690" s="20"/>
      <c r="F690" s="18" t="n">
        <f aca="false">COUNTIFS(選手一覧!$C$7:$C$2738,A690,選手一覧!$I$7:$I$2738,"&lt;=100")</f>
        <v>0</v>
      </c>
      <c r="G690" s="18" t="n">
        <f aca="false">COUNTIFS(選手一覧!$C$7:$C$2738,A690,選手一覧!$K$7:$K$2738,"&lt;=100")</f>
        <v>0</v>
      </c>
      <c r="H690" s="17" t="n">
        <f aca="false">COUNTIF(選手一覧!$C$7:$C$2738,A690)</f>
        <v>1</v>
      </c>
    </row>
    <row r="691" customFormat="false" ht="15" hidden="false" customHeight="false" outlineLevel="0" collapsed="false">
      <c r="A691" s="12" t="s">
        <v>2399</v>
      </c>
      <c r="B691" s="22" t="n">
        <f aca="false">COUNTIFS(選手一覧!$C$7:$C$2738,A691,選手一覧!$E$7:$E$2738,"&lt;=100")</f>
        <v>0</v>
      </c>
      <c r="C691" s="18" t="n">
        <f aca="false">COUNTIFS(選手一覧!$C$7:$C$2738,A691,選手一覧!$E$7:$E$2738,"&gt;0")</f>
        <v>0</v>
      </c>
      <c r="D691" s="14" t="str">
        <f aca="false">IF(C691=0,"",_xlfn.MINIFS(選手一覧!$E$7:$E$2738,選手一覧!$C$7:$C$2738,A691))</f>
        <v/>
      </c>
      <c r="E691" s="20"/>
      <c r="F691" s="18" t="n">
        <f aca="false">COUNTIFS(選手一覧!$C$7:$C$2738,A691,選手一覧!$I$7:$I$2738,"&lt;=100")</f>
        <v>0</v>
      </c>
      <c r="G691" s="18" t="n">
        <f aca="false">COUNTIFS(選手一覧!$C$7:$C$2738,A691,選手一覧!$K$7:$K$2738,"&lt;=100")</f>
        <v>0</v>
      </c>
      <c r="H691" s="17" t="n">
        <f aca="false">COUNTIF(選手一覧!$C$7:$C$2738,A691)</f>
        <v>1</v>
      </c>
    </row>
    <row r="692" customFormat="false" ht="15" hidden="false" customHeight="false" outlineLevel="0" collapsed="false">
      <c r="A692" s="12" t="s">
        <v>2425</v>
      </c>
      <c r="B692" s="22" t="n">
        <f aca="false">COUNTIFS(選手一覧!$C$7:$C$2738,A692,選手一覧!$E$7:$E$2738,"&lt;=100")</f>
        <v>0</v>
      </c>
      <c r="C692" s="18" t="n">
        <f aca="false">COUNTIFS(選手一覧!$C$7:$C$2738,A692,選手一覧!$E$7:$E$2738,"&gt;0")</f>
        <v>0</v>
      </c>
      <c r="D692" s="14" t="str">
        <f aca="false">IF(C692=0,"",_xlfn.MINIFS(選手一覧!$E$7:$E$2738,選手一覧!$C$7:$C$2738,A692))</f>
        <v/>
      </c>
      <c r="E692" s="20"/>
      <c r="F692" s="18" t="n">
        <f aca="false">COUNTIFS(選手一覧!$C$7:$C$2738,A692,選手一覧!$I$7:$I$2738,"&lt;=100")</f>
        <v>0</v>
      </c>
      <c r="G692" s="18" t="n">
        <f aca="false">COUNTIFS(選手一覧!$C$7:$C$2738,A692,選手一覧!$K$7:$K$2738,"&lt;=100")</f>
        <v>0</v>
      </c>
      <c r="H692" s="17" t="n">
        <f aca="false">COUNTIF(選手一覧!$C$7:$C$2738,A692)</f>
        <v>1</v>
      </c>
    </row>
    <row r="693" customFormat="false" ht="15" hidden="false" customHeight="false" outlineLevel="0" collapsed="false">
      <c r="A693" s="12" t="s">
        <v>2429</v>
      </c>
      <c r="B693" s="22" t="n">
        <f aca="false">COUNTIFS(選手一覧!$C$7:$C$2738,A693,選手一覧!$E$7:$E$2738,"&lt;=100")</f>
        <v>0</v>
      </c>
      <c r="C693" s="18" t="n">
        <f aca="false">COUNTIFS(選手一覧!$C$7:$C$2738,A693,選手一覧!$E$7:$E$2738,"&gt;0")</f>
        <v>0</v>
      </c>
      <c r="D693" s="14" t="str">
        <f aca="false">IF(C693=0,"",_xlfn.MINIFS(選手一覧!$E$7:$E$2738,選手一覧!$C$7:$C$2738,A693))</f>
        <v/>
      </c>
      <c r="E693" s="20"/>
      <c r="F693" s="18" t="n">
        <f aca="false">COUNTIFS(選手一覧!$C$7:$C$2738,A693,選手一覧!$I$7:$I$2738,"&lt;=100")</f>
        <v>0</v>
      </c>
      <c r="G693" s="18" t="n">
        <f aca="false">COUNTIFS(選手一覧!$C$7:$C$2738,A693,選手一覧!$K$7:$K$2738,"&lt;=100")</f>
        <v>0</v>
      </c>
      <c r="H693" s="17" t="n">
        <f aca="false">COUNTIF(選手一覧!$C$7:$C$2738,A693)</f>
        <v>1</v>
      </c>
    </row>
    <row r="694" customFormat="false" ht="15" hidden="false" customHeight="false" outlineLevel="0" collapsed="false">
      <c r="A694" s="12" t="s">
        <v>2436</v>
      </c>
      <c r="B694" s="22" t="n">
        <f aca="false">COUNTIFS(選手一覧!$C$7:$C$2738,A694,選手一覧!$E$7:$E$2738,"&lt;=100")</f>
        <v>0</v>
      </c>
      <c r="C694" s="18" t="n">
        <f aca="false">COUNTIFS(選手一覧!$C$7:$C$2738,A694,選手一覧!$E$7:$E$2738,"&gt;0")</f>
        <v>0</v>
      </c>
      <c r="D694" s="14" t="str">
        <f aca="false">IF(C694=0,"",_xlfn.MINIFS(選手一覧!$E$7:$E$2738,選手一覧!$C$7:$C$2738,A694))</f>
        <v/>
      </c>
      <c r="E694" s="20"/>
      <c r="F694" s="18" t="n">
        <f aca="false">COUNTIFS(選手一覧!$C$7:$C$2738,A694,選手一覧!$I$7:$I$2738,"&lt;=100")</f>
        <v>0</v>
      </c>
      <c r="G694" s="18" t="n">
        <f aca="false">COUNTIFS(選手一覧!$C$7:$C$2738,A694,選手一覧!$K$7:$K$2738,"&lt;=100")</f>
        <v>0</v>
      </c>
      <c r="H694" s="17" t="n">
        <f aca="false">COUNTIF(選手一覧!$C$7:$C$2738,A694)</f>
        <v>1</v>
      </c>
    </row>
    <row r="695" customFormat="false" ht="15" hidden="false" customHeight="false" outlineLevel="0" collapsed="false">
      <c r="A695" s="12" t="s">
        <v>2438</v>
      </c>
      <c r="B695" s="22" t="n">
        <f aca="false">COUNTIFS(選手一覧!$C$7:$C$2738,A695,選手一覧!$E$7:$E$2738,"&lt;=100")</f>
        <v>0</v>
      </c>
      <c r="C695" s="18" t="n">
        <f aca="false">COUNTIFS(選手一覧!$C$7:$C$2738,A695,選手一覧!$E$7:$E$2738,"&gt;0")</f>
        <v>0</v>
      </c>
      <c r="D695" s="14" t="str">
        <f aca="false">IF(C695=0,"",_xlfn.MINIFS(選手一覧!$E$7:$E$2738,選手一覧!$C$7:$C$2738,A695))</f>
        <v/>
      </c>
      <c r="E695" s="20"/>
      <c r="F695" s="18" t="n">
        <f aca="false">COUNTIFS(選手一覧!$C$7:$C$2738,A695,選手一覧!$I$7:$I$2738,"&lt;=100")</f>
        <v>0</v>
      </c>
      <c r="G695" s="18" t="n">
        <f aca="false">COUNTIFS(選手一覧!$C$7:$C$2738,A695,選手一覧!$K$7:$K$2738,"&lt;=100")</f>
        <v>0</v>
      </c>
      <c r="H695" s="17" t="n">
        <f aca="false">COUNTIF(選手一覧!$C$7:$C$2738,A695)</f>
        <v>1</v>
      </c>
    </row>
    <row r="696" customFormat="false" ht="15" hidden="false" customHeight="false" outlineLevel="0" collapsed="false">
      <c r="A696" s="12" t="s">
        <v>2440</v>
      </c>
      <c r="B696" s="22" t="n">
        <f aca="false">COUNTIFS(選手一覧!$C$7:$C$2738,A696,選手一覧!$E$7:$E$2738,"&lt;=100")</f>
        <v>0</v>
      </c>
      <c r="C696" s="18" t="n">
        <f aca="false">COUNTIFS(選手一覧!$C$7:$C$2738,A696,選手一覧!$E$7:$E$2738,"&gt;0")</f>
        <v>0</v>
      </c>
      <c r="D696" s="14" t="str">
        <f aca="false">IF(C696=0,"",_xlfn.MINIFS(選手一覧!$E$7:$E$2738,選手一覧!$C$7:$C$2738,A696))</f>
        <v/>
      </c>
      <c r="E696" s="20"/>
      <c r="F696" s="18" t="n">
        <f aca="false">COUNTIFS(選手一覧!$C$7:$C$2738,A696,選手一覧!$I$7:$I$2738,"&lt;=100")</f>
        <v>0</v>
      </c>
      <c r="G696" s="18" t="n">
        <f aca="false">COUNTIFS(選手一覧!$C$7:$C$2738,A696,選手一覧!$K$7:$K$2738,"&lt;=100")</f>
        <v>0</v>
      </c>
      <c r="H696" s="17" t="n">
        <f aca="false">COUNTIF(選手一覧!$C$7:$C$2738,A696)</f>
        <v>1</v>
      </c>
    </row>
    <row r="697" customFormat="false" ht="15" hidden="false" customHeight="false" outlineLevel="0" collapsed="false">
      <c r="A697" s="12" t="s">
        <v>2446</v>
      </c>
      <c r="B697" s="22" t="n">
        <f aca="false">COUNTIFS(選手一覧!$C$7:$C$2738,A697,選手一覧!$E$7:$E$2738,"&lt;=100")</f>
        <v>0</v>
      </c>
      <c r="C697" s="18" t="n">
        <f aca="false">COUNTIFS(選手一覧!$C$7:$C$2738,A697,選手一覧!$E$7:$E$2738,"&gt;0")</f>
        <v>0</v>
      </c>
      <c r="D697" s="14" t="str">
        <f aca="false">IF(C697=0,"",_xlfn.MINIFS(選手一覧!$E$7:$E$2738,選手一覧!$C$7:$C$2738,A697))</f>
        <v/>
      </c>
      <c r="E697" s="20"/>
      <c r="F697" s="18" t="n">
        <f aca="false">COUNTIFS(選手一覧!$C$7:$C$2738,A697,選手一覧!$I$7:$I$2738,"&lt;=100")</f>
        <v>0</v>
      </c>
      <c r="G697" s="18" t="n">
        <f aca="false">COUNTIFS(選手一覧!$C$7:$C$2738,A697,選手一覧!$K$7:$K$2738,"&lt;=100")</f>
        <v>0</v>
      </c>
      <c r="H697" s="17" t="n">
        <f aca="false">COUNTIF(選手一覧!$C$7:$C$2738,A697)</f>
        <v>1</v>
      </c>
    </row>
    <row r="698" customFormat="false" ht="15" hidden="false" customHeight="false" outlineLevel="0" collapsed="false">
      <c r="A698" s="12" t="s">
        <v>2455</v>
      </c>
      <c r="B698" s="22" t="n">
        <f aca="false">COUNTIFS(選手一覧!$C$7:$C$2738,A698,選手一覧!$E$7:$E$2738,"&lt;=100")</f>
        <v>0</v>
      </c>
      <c r="C698" s="18" t="n">
        <f aca="false">COUNTIFS(選手一覧!$C$7:$C$2738,A698,選手一覧!$E$7:$E$2738,"&gt;0")</f>
        <v>0</v>
      </c>
      <c r="D698" s="14" t="str">
        <f aca="false">IF(C698=0,"",_xlfn.MINIFS(選手一覧!$E$7:$E$2738,選手一覧!$C$7:$C$2738,A698))</f>
        <v/>
      </c>
      <c r="E698" s="20"/>
      <c r="F698" s="18" t="n">
        <f aca="false">COUNTIFS(選手一覧!$C$7:$C$2738,A698,選手一覧!$I$7:$I$2738,"&lt;=100")</f>
        <v>0</v>
      </c>
      <c r="G698" s="18" t="n">
        <f aca="false">COUNTIFS(選手一覧!$C$7:$C$2738,A698,選手一覧!$K$7:$K$2738,"&lt;=100")</f>
        <v>0</v>
      </c>
      <c r="H698" s="17" t="n">
        <f aca="false">COUNTIF(選手一覧!$C$7:$C$2738,A698)</f>
        <v>1</v>
      </c>
    </row>
    <row r="699" customFormat="false" ht="15" hidden="false" customHeight="false" outlineLevel="0" collapsed="false">
      <c r="A699" s="12" t="s">
        <v>2462</v>
      </c>
      <c r="B699" s="22" t="n">
        <f aca="false">COUNTIFS(選手一覧!$C$7:$C$2738,A699,選手一覧!$E$7:$E$2738,"&lt;=100")</f>
        <v>0</v>
      </c>
      <c r="C699" s="18" t="n">
        <f aca="false">COUNTIFS(選手一覧!$C$7:$C$2738,A699,選手一覧!$E$7:$E$2738,"&gt;0")</f>
        <v>0</v>
      </c>
      <c r="D699" s="14" t="str">
        <f aca="false">IF(C699=0,"",_xlfn.MINIFS(選手一覧!$E$7:$E$2738,選手一覧!$C$7:$C$2738,A699))</f>
        <v/>
      </c>
      <c r="E699" s="20"/>
      <c r="F699" s="18" t="n">
        <f aca="false">COUNTIFS(選手一覧!$C$7:$C$2738,A699,選手一覧!$I$7:$I$2738,"&lt;=100")</f>
        <v>0</v>
      </c>
      <c r="G699" s="18" t="n">
        <f aca="false">COUNTIFS(選手一覧!$C$7:$C$2738,A699,選手一覧!$K$7:$K$2738,"&lt;=100")</f>
        <v>0</v>
      </c>
      <c r="H699" s="17" t="n">
        <f aca="false">COUNTIF(選手一覧!$C$7:$C$2738,A699)</f>
        <v>1</v>
      </c>
    </row>
    <row r="700" customFormat="false" ht="15" hidden="false" customHeight="false" outlineLevel="0" collapsed="false">
      <c r="A700" s="12" t="s">
        <v>2465</v>
      </c>
      <c r="B700" s="22" t="n">
        <f aca="false">COUNTIFS(選手一覧!$C$7:$C$2738,A700,選手一覧!$E$7:$E$2738,"&lt;=100")</f>
        <v>0</v>
      </c>
      <c r="C700" s="18" t="n">
        <f aca="false">COUNTIFS(選手一覧!$C$7:$C$2738,A700,選手一覧!$E$7:$E$2738,"&gt;0")</f>
        <v>0</v>
      </c>
      <c r="D700" s="14" t="str">
        <f aca="false">IF(C700=0,"",_xlfn.MINIFS(選手一覧!$E$7:$E$2738,選手一覧!$C$7:$C$2738,A700))</f>
        <v/>
      </c>
      <c r="E700" s="20"/>
      <c r="F700" s="18" t="n">
        <f aca="false">COUNTIFS(選手一覧!$C$7:$C$2738,A700,選手一覧!$I$7:$I$2738,"&lt;=100")</f>
        <v>0</v>
      </c>
      <c r="G700" s="18" t="n">
        <f aca="false">COUNTIFS(選手一覧!$C$7:$C$2738,A700,選手一覧!$K$7:$K$2738,"&lt;=100")</f>
        <v>0</v>
      </c>
      <c r="H700" s="17" t="n">
        <f aca="false">COUNTIF(選手一覧!$C$7:$C$2738,A700)</f>
        <v>1</v>
      </c>
    </row>
    <row r="701" customFormat="false" ht="15" hidden="false" customHeight="false" outlineLevel="0" collapsed="false">
      <c r="A701" s="12" t="s">
        <v>2470</v>
      </c>
      <c r="B701" s="22" t="n">
        <f aca="false">COUNTIFS(選手一覧!$C$7:$C$2738,A701,選手一覧!$E$7:$E$2738,"&lt;=100")</f>
        <v>0</v>
      </c>
      <c r="C701" s="18" t="n">
        <f aca="false">COUNTIFS(選手一覧!$C$7:$C$2738,A701,選手一覧!$E$7:$E$2738,"&gt;0")</f>
        <v>0</v>
      </c>
      <c r="D701" s="14" t="str">
        <f aca="false">IF(C701=0,"",_xlfn.MINIFS(選手一覧!$E$7:$E$2738,選手一覧!$C$7:$C$2738,A701))</f>
        <v/>
      </c>
      <c r="E701" s="20"/>
      <c r="F701" s="18" t="n">
        <f aca="false">COUNTIFS(選手一覧!$C$7:$C$2738,A701,選手一覧!$I$7:$I$2738,"&lt;=100")</f>
        <v>0</v>
      </c>
      <c r="G701" s="18" t="n">
        <f aca="false">COUNTIFS(選手一覧!$C$7:$C$2738,A701,選手一覧!$K$7:$K$2738,"&lt;=100")</f>
        <v>0</v>
      </c>
      <c r="H701" s="17" t="n">
        <f aca="false">COUNTIF(選手一覧!$C$7:$C$2738,A701)</f>
        <v>1</v>
      </c>
    </row>
    <row r="702" customFormat="false" ht="15" hidden="false" customHeight="false" outlineLevel="0" collapsed="false">
      <c r="A702" s="12" t="s">
        <v>2473</v>
      </c>
      <c r="B702" s="22" t="n">
        <f aca="false">COUNTIFS(選手一覧!$C$7:$C$2738,A702,選手一覧!$E$7:$E$2738,"&lt;=100")</f>
        <v>0</v>
      </c>
      <c r="C702" s="18" t="n">
        <f aca="false">COUNTIFS(選手一覧!$C$7:$C$2738,A702,選手一覧!$E$7:$E$2738,"&gt;0")</f>
        <v>0</v>
      </c>
      <c r="D702" s="14" t="str">
        <f aca="false">IF(C702=0,"",_xlfn.MINIFS(選手一覧!$E$7:$E$2738,選手一覧!$C$7:$C$2738,A702))</f>
        <v/>
      </c>
      <c r="E702" s="20"/>
      <c r="F702" s="18" t="n">
        <f aca="false">COUNTIFS(選手一覧!$C$7:$C$2738,A702,選手一覧!$I$7:$I$2738,"&lt;=100")</f>
        <v>0</v>
      </c>
      <c r="G702" s="18" t="n">
        <f aca="false">COUNTIFS(選手一覧!$C$7:$C$2738,A702,選手一覧!$K$7:$K$2738,"&lt;=100")</f>
        <v>0</v>
      </c>
      <c r="H702" s="17" t="n">
        <f aca="false">COUNTIF(選手一覧!$C$7:$C$2738,A702)</f>
        <v>1</v>
      </c>
    </row>
    <row r="703" customFormat="false" ht="15" hidden="false" customHeight="false" outlineLevel="0" collapsed="false">
      <c r="A703" s="12" t="s">
        <v>2479</v>
      </c>
      <c r="B703" s="22" t="n">
        <f aca="false">COUNTIFS(選手一覧!$C$7:$C$2738,A703,選手一覧!$E$7:$E$2738,"&lt;=100")</f>
        <v>0</v>
      </c>
      <c r="C703" s="18" t="n">
        <f aca="false">COUNTIFS(選手一覧!$C$7:$C$2738,A703,選手一覧!$E$7:$E$2738,"&gt;0")</f>
        <v>0</v>
      </c>
      <c r="D703" s="14" t="str">
        <f aca="false">IF(C703=0,"",_xlfn.MINIFS(選手一覧!$E$7:$E$2738,選手一覧!$C$7:$C$2738,A703))</f>
        <v/>
      </c>
      <c r="E703" s="20"/>
      <c r="F703" s="18" t="n">
        <f aca="false">COUNTIFS(選手一覧!$C$7:$C$2738,A703,選手一覧!$I$7:$I$2738,"&lt;=100")</f>
        <v>0</v>
      </c>
      <c r="G703" s="18" t="n">
        <f aca="false">COUNTIFS(選手一覧!$C$7:$C$2738,A703,選手一覧!$K$7:$K$2738,"&lt;=100")</f>
        <v>0</v>
      </c>
      <c r="H703" s="17" t="n">
        <f aca="false">COUNTIF(選手一覧!$C$7:$C$2738,A703)</f>
        <v>1</v>
      </c>
    </row>
    <row r="704" customFormat="false" ht="15" hidden="false" customHeight="false" outlineLevel="0" collapsed="false">
      <c r="A704" s="12" t="s">
        <v>2483</v>
      </c>
      <c r="B704" s="22" t="n">
        <f aca="false">COUNTIFS(選手一覧!$C$7:$C$2738,A704,選手一覧!$E$7:$E$2738,"&lt;=100")</f>
        <v>0</v>
      </c>
      <c r="C704" s="18" t="n">
        <f aca="false">COUNTIFS(選手一覧!$C$7:$C$2738,A704,選手一覧!$E$7:$E$2738,"&gt;0")</f>
        <v>0</v>
      </c>
      <c r="D704" s="14" t="str">
        <f aca="false">IF(C704=0,"",_xlfn.MINIFS(選手一覧!$E$7:$E$2738,選手一覧!$C$7:$C$2738,A704))</f>
        <v/>
      </c>
      <c r="E704" s="20"/>
      <c r="F704" s="18" t="n">
        <f aca="false">COUNTIFS(選手一覧!$C$7:$C$2738,A704,選手一覧!$I$7:$I$2738,"&lt;=100")</f>
        <v>0</v>
      </c>
      <c r="G704" s="18" t="n">
        <f aca="false">COUNTIFS(選手一覧!$C$7:$C$2738,A704,選手一覧!$K$7:$K$2738,"&lt;=100")</f>
        <v>0</v>
      </c>
      <c r="H704" s="17" t="n">
        <f aca="false">COUNTIF(選手一覧!$C$7:$C$2738,A704)</f>
        <v>1</v>
      </c>
    </row>
    <row r="705" customFormat="false" ht="15" hidden="false" customHeight="false" outlineLevel="0" collapsed="false">
      <c r="A705" s="12" t="s">
        <v>2487</v>
      </c>
      <c r="B705" s="22" t="n">
        <f aca="false">COUNTIFS(選手一覧!$C$7:$C$2738,A705,選手一覧!$E$7:$E$2738,"&lt;=100")</f>
        <v>0</v>
      </c>
      <c r="C705" s="18" t="n">
        <f aca="false">COUNTIFS(選手一覧!$C$7:$C$2738,A705,選手一覧!$E$7:$E$2738,"&gt;0")</f>
        <v>0</v>
      </c>
      <c r="D705" s="14" t="str">
        <f aca="false">IF(C705=0,"",_xlfn.MINIFS(選手一覧!$E$7:$E$2738,選手一覧!$C$7:$C$2738,A705))</f>
        <v/>
      </c>
      <c r="E705" s="20"/>
      <c r="F705" s="18" t="n">
        <f aca="false">COUNTIFS(選手一覧!$C$7:$C$2738,A705,選手一覧!$I$7:$I$2738,"&lt;=100")</f>
        <v>0</v>
      </c>
      <c r="G705" s="18" t="n">
        <f aca="false">COUNTIFS(選手一覧!$C$7:$C$2738,A705,選手一覧!$K$7:$K$2738,"&lt;=100")</f>
        <v>0</v>
      </c>
      <c r="H705" s="17" t="n">
        <f aca="false">COUNTIF(選手一覧!$C$7:$C$2738,A705)</f>
        <v>1</v>
      </c>
    </row>
    <row r="706" customFormat="false" ht="15" hidden="false" customHeight="false" outlineLevel="0" collapsed="false">
      <c r="A706" s="12" t="s">
        <v>2489</v>
      </c>
      <c r="B706" s="22" t="n">
        <f aca="false">COUNTIFS(選手一覧!$C$7:$C$2738,A706,選手一覧!$E$7:$E$2738,"&lt;=100")</f>
        <v>0</v>
      </c>
      <c r="C706" s="18" t="n">
        <f aca="false">COUNTIFS(選手一覧!$C$7:$C$2738,A706,選手一覧!$E$7:$E$2738,"&gt;0")</f>
        <v>0</v>
      </c>
      <c r="D706" s="14" t="str">
        <f aca="false">IF(C706=0,"",_xlfn.MINIFS(選手一覧!$E$7:$E$2738,選手一覧!$C$7:$C$2738,A706))</f>
        <v/>
      </c>
      <c r="E706" s="20"/>
      <c r="F706" s="18" t="n">
        <f aca="false">COUNTIFS(選手一覧!$C$7:$C$2738,A706,選手一覧!$I$7:$I$2738,"&lt;=100")</f>
        <v>0</v>
      </c>
      <c r="G706" s="18" t="n">
        <f aca="false">COUNTIFS(選手一覧!$C$7:$C$2738,A706,選手一覧!$K$7:$K$2738,"&lt;=100")</f>
        <v>0</v>
      </c>
      <c r="H706" s="17" t="n">
        <f aca="false">COUNTIF(選手一覧!$C$7:$C$2738,A706)</f>
        <v>1</v>
      </c>
    </row>
    <row r="707" customFormat="false" ht="15" hidden="false" customHeight="false" outlineLevel="0" collapsed="false">
      <c r="A707" s="12" t="s">
        <v>2491</v>
      </c>
      <c r="B707" s="22" t="n">
        <f aca="false">COUNTIFS(選手一覧!$C$7:$C$2738,A707,選手一覧!$E$7:$E$2738,"&lt;=100")</f>
        <v>0</v>
      </c>
      <c r="C707" s="18" t="n">
        <f aca="false">COUNTIFS(選手一覧!$C$7:$C$2738,A707,選手一覧!$E$7:$E$2738,"&gt;0")</f>
        <v>0</v>
      </c>
      <c r="D707" s="14" t="str">
        <f aca="false">IF(C707=0,"",_xlfn.MINIFS(選手一覧!$E$7:$E$2738,選手一覧!$C$7:$C$2738,A707))</f>
        <v/>
      </c>
      <c r="E707" s="20"/>
      <c r="F707" s="18" t="n">
        <f aca="false">COUNTIFS(選手一覧!$C$7:$C$2738,A707,選手一覧!$I$7:$I$2738,"&lt;=100")</f>
        <v>0</v>
      </c>
      <c r="G707" s="18" t="n">
        <f aca="false">COUNTIFS(選手一覧!$C$7:$C$2738,A707,選手一覧!$K$7:$K$2738,"&lt;=100")</f>
        <v>0</v>
      </c>
      <c r="H707" s="17" t="n">
        <f aca="false">COUNTIF(選手一覧!$C$7:$C$2738,A707)</f>
        <v>1</v>
      </c>
    </row>
    <row r="708" customFormat="false" ht="15" hidden="false" customHeight="false" outlineLevel="0" collapsed="false">
      <c r="A708" s="12" t="s">
        <v>2496</v>
      </c>
      <c r="B708" s="22" t="n">
        <f aca="false">COUNTIFS(選手一覧!$C$7:$C$2738,A708,選手一覧!$E$7:$E$2738,"&lt;=100")</f>
        <v>0</v>
      </c>
      <c r="C708" s="18" t="n">
        <f aca="false">COUNTIFS(選手一覧!$C$7:$C$2738,A708,選手一覧!$E$7:$E$2738,"&gt;0")</f>
        <v>0</v>
      </c>
      <c r="D708" s="14" t="str">
        <f aca="false">IF(C708=0,"",_xlfn.MINIFS(選手一覧!$E$7:$E$2738,選手一覧!$C$7:$C$2738,A708))</f>
        <v/>
      </c>
      <c r="E708" s="20"/>
      <c r="F708" s="18" t="n">
        <f aca="false">COUNTIFS(選手一覧!$C$7:$C$2738,A708,選手一覧!$I$7:$I$2738,"&lt;=100")</f>
        <v>0</v>
      </c>
      <c r="G708" s="18" t="n">
        <f aca="false">COUNTIFS(選手一覧!$C$7:$C$2738,A708,選手一覧!$K$7:$K$2738,"&lt;=100")</f>
        <v>0</v>
      </c>
      <c r="H708" s="17" t="n">
        <f aca="false">COUNTIF(選手一覧!$C$7:$C$2738,A708)</f>
        <v>1</v>
      </c>
    </row>
    <row r="709" customFormat="false" ht="15" hidden="false" customHeight="false" outlineLevel="0" collapsed="false">
      <c r="A709" s="12" t="s">
        <v>2500</v>
      </c>
      <c r="B709" s="22" t="n">
        <f aca="false">COUNTIFS(選手一覧!$C$7:$C$2738,A709,選手一覧!$E$7:$E$2738,"&lt;=100")</f>
        <v>0</v>
      </c>
      <c r="C709" s="18" t="n">
        <f aca="false">COUNTIFS(選手一覧!$C$7:$C$2738,A709,選手一覧!$E$7:$E$2738,"&gt;0")</f>
        <v>0</v>
      </c>
      <c r="D709" s="14" t="str">
        <f aca="false">IF(C709=0,"",_xlfn.MINIFS(選手一覧!$E$7:$E$2738,選手一覧!$C$7:$C$2738,A709))</f>
        <v/>
      </c>
      <c r="E709" s="20"/>
      <c r="F709" s="18" t="n">
        <f aca="false">COUNTIFS(選手一覧!$C$7:$C$2738,A709,選手一覧!$I$7:$I$2738,"&lt;=100")</f>
        <v>0</v>
      </c>
      <c r="G709" s="18" t="n">
        <f aca="false">COUNTIFS(選手一覧!$C$7:$C$2738,A709,選手一覧!$K$7:$K$2738,"&lt;=100")</f>
        <v>0</v>
      </c>
      <c r="H709" s="17" t="n">
        <f aca="false">COUNTIF(選手一覧!$C$7:$C$2738,A709)</f>
        <v>1</v>
      </c>
    </row>
    <row r="710" customFormat="false" ht="15" hidden="false" customHeight="false" outlineLevel="0" collapsed="false">
      <c r="A710" s="12" t="s">
        <v>2512</v>
      </c>
      <c r="B710" s="22" t="n">
        <f aca="false">COUNTIFS(選手一覧!$C$7:$C$2738,A710,選手一覧!$E$7:$E$2738,"&lt;=100")</f>
        <v>0</v>
      </c>
      <c r="C710" s="18" t="n">
        <f aca="false">COUNTIFS(選手一覧!$C$7:$C$2738,A710,選手一覧!$E$7:$E$2738,"&gt;0")</f>
        <v>0</v>
      </c>
      <c r="D710" s="14" t="str">
        <f aca="false">IF(C710=0,"",_xlfn.MINIFS(選手一覧!$E$7:$E$2738,選手一覧!$C$7:$C$2738,A710))</f>
        <v/>
      </c>
      <c r="E710" s="20"/>
      <c r="F710" s="18" t="n">
        <f aca="false">COUNTIFS(選手一覧!$C$7:$C$2738,A710,選手一覧!$I$7:$I$2738,"&lt;=100")</f>
        <v>0</v>
      </c>
      <c r="G710" s="18" t="n">
        <f aca="false">COUNTIFS(選手一覧!$C$7:$C$2738,A710,選手一覧!$K$7:$K$2738,"&lt;=100")</f>
        <v>0</v>
      </c>
      <c r="H710" s="17" t="n">
        <f aca="false">COUNTIF(選手一覧!$C$7:$C$2738,A710)</f>
        <v>1</v>
      </c>
    </row>
    <row r="711" customFormat="false" ht="15" hidden="false" customHeight="false" outlineLevel="0" collapsed="false">
      <c r="A711" s="12" t="s">
        <v>2514</v>
      </c>
      <c r="B711" s="22" t="n">
        <f aca="false">COUNTIFS(選手一覧!$C$7:$C$2738,A711,選手一覧!$E$7:$E$2738,"&lt;=100")</f>
        <v>0</v>
      </c>
      <c r="C711" s="18" t="n">
        <f aca="false">COUNTIFS(選手一覧!$C$7:$C$2738,A711,選手一覧!$E$7:$E$2738,"&gt;0")</f>
        <v>0</v>
      </c>
      <c r="D711" s="14" t="str">
        <f aca="false">IF(C711=0,"",_xlfn.MINIFS(選手一覧!$E$7:$E$2738,選手一覧!$C$7:$C$2738,A711))</f>
        <v/>
      </c>
      <c r="E711" s="20"/>
      <c r="F711" s="18" t="n">
        <f aca="false">COUNTIFS(選手一覧!$C$7:$C$2738,A711,選手一覧!$I$7:$I$2738,"&lt;=100")</f>
        <v>0</v>
      </c>
      <c r="G711" s="18" t="n">
        <f aca="false">COUNTIFS(選手一覧!$C$7:$C$2738,A711,選手一覧!$K$7:$K$2738,"&lt;=100")</f>
        <v>0</v>
      </c>
      <c r="H711" s="17" t="n">
        <f aca="false">COUNTIF(選手一覧!$C$7:$C$2738,A711)</f>
        <v>1</v>
      </c>
    </row>
    <row r="712" customFormat="false" ht="15" hidden="false" customHeight="false" outlineLevel="0" collapsed="false">
      <c r="A712" s="12" t="s">
        <v>2517</v>
      </c>
      <c r="B712" s="22" t="n">
        <f aca="false">COUNTIFS(選手一覧!$C$7:$C$2738,A712,選手一覧!$E$7:$E$2738,"&lt;=100")</f>
        <v>0</v>
      </c>
      <c r="C712" s="18" t="n">
        <f aca="false">COUNTIFS(選手一覧!$C$7:$C$2738,A712,選手一覧!$E$7:$E$2738,"&gt;0")</f>
        <v>0</v>
      </c>
      <c r="D712" s="14" t="str">
        <f aca="false">IF(C712=0,"",_xlfn.MINIFS(選手一覧!$E$7:$E$2738,選手一覧!$C$7:$C$2738,A712))</f>
        <v/>
      </c>
      <c r="E712" s="20"/>
      <c r="F712" s="18" t="n">
        <f aca="false">COUNTIFS(選手一覧!$C$7:$C$2738,A712,選手一覧!$I$7:$I$2738,"&lt;=100")</f>
        <v>0</v>
      </c>
      <c r="G712" s="18" t="n">
        <f aca="false">COUNTIFS(選手一覧!$C$7:$C$2738,A712,選手一覧!$K$7:$K$2738,"&lt;=100")</f>
        <v>0</v>
      </c>
      <c r="H712" s="17" t="n">
        <f aca="false">COUNTIF(選手一覧!$C$7:$C$2738,A712)</f>
        <v>1</v>
      </c>
    </row>
    <row r="713" customFormat="false" ht="15" hidden="false" customHeight="false" outlineLevel="0" collapsed="false">
      <c r="A713" s="12" t="s">
        <v>2520</v>
      </c>
      <c r="B713" s="22" t="n">
        <f aca="false">COUNTIFS(選手一覧!$C$7:$C$2738,A713,選手一覧!$E$7:$E$2738,"&lt;=100")</f>
        <v>0</v>
      </c>
      <c r="C713" s="18" t="n">
        <f aca="false">COUNTIFS(選手一覧!$C$7:$C$2738,A713,選手一覧!$E$7:$E$2738,"&gt;0")</f>
        <v>0</v>
      </c>
      <c r="D713" s="14" t="str">
        <f aca="false">IF(C713=0,"",_xlfn.MINIFS(選手一覧!$E$7:$E$2738,選手一覧!$C$7:$C$2738,A713))</f>
        <v/>
      </c>
      <c r="E713" s="20"/>
      <c r="F713" s="18" t="n">
        <f aca="false">COUNTIFS(選手一覧!$C$7:$C$2738,A713,選手一覧!$I$7:$I$2738,"&lt;=100")</f>
        <v>0</v>
      </c>
      <c r="G713" s="18" t="n">
        <f aca="false">COUNTIFS(選手一覧!$C$7:$C$2738,A713,選手一覧!$K$7:$K$2738,"&lt;=100")</f>
        <v>0</v>
      </c>
      <c r="H713" s="17" t="n">
        <f aca="false">COUNTIF(選手一覧!$C$7:$C$2738,A713)</f>
        <v>1</v>
      </c>
    </row>
    <row r="714" customFormat="false" ht="15" hidden="false" customHeight="false" outlineLevel="0" collapsed="false">
      <c r="A714" s="12" t="s">
        <v>2526</v>
      </c>
      <c r="B714" s="22" t="n">
        <f aca="false">COUNTIFS(選手一覧!$C$7:$C$2738,A714,選手一覧!$E$7:$E$2738,"&lt;=100")</f>
        <v>0</v>
      </c>
      <c r="C714" s="18" t="n">
        <f aca="false">COUNTIFS(選手一覧!$C$7:$C$2738,A714,選手一覧!$E$7:$E$2738,"&gt;0")</f>
        <v>0</v>
      </c>
      <c r="D714" s="14" t="str">
        <f aca="false">IF(C714=0,"",_xlfn.MINIFS(選手一覧!$E$7:$E$2738,選手一覧!$C$7:$C$2738,A714))</f>
        <v/>
      </c>
      <c r="E714" s="20"/>
      <c r="F714" s="18" t="n">
        <f aca="false">COUNTIFS(選手一覧!$C$7:$C$2738,A714,選手一覧!$I$7:$I$2738,"&lt;=100")</f>
        <v>0</v>
      </c>
      <c r="G714" s="18" t="n">
        <f aca="false">COUNTIFS(選手一覧!$C$7:$C$2738,A714,選手一覧!$K$7:$K$2738,"&lt;=100")</f>
        <v>0</v>
      </c>
      <c r="H714" s="17" t="n">
        <f aca="false">COUNTIF(選手一覧!$C$7:$C$2738,A714)</f>
        <v>1</v>
      </c>
    </row>
    <row r="715" customFormat="false" ht="15" hidden="false" customHeight="false" outlineLevel="0" collapsed="false">
      <c r="A715" s="12" t="s">
        <v>2530</v>
      </c>
      <c r="B715" s="22" t="n">
        <f aca="false">COUNTIFS(選手一覧!$C$7:$C$2738,A715,選手一覧!$E$7:$E$2738,"&lt;=100")</f>
        <v>0</v>
      </c>
      <c r="C715" s="18" t="n">
        <f aca="false">COUNTIFS(選手一覧!$C$7:$C$2738,A715,選手一覧!$E$7:$E$2738,"&gt;0")</f>
        <v>0</v>
      </c>
      <c r="D715" s="14" t="str">
        <f aca="false">IF(C715=0,"",_xlfn.MINIFS(選手一覧!$E$7:$E$2738,選手一覧!$C$7:$C$2738,A715))</f>
        <v/>
      </c>
      <c r="E715" s="20"/>
      <c r="F715" s="18" t="n">
        <f aca="false">COUNTIFS(選手一覧!$C$7:$C$2738,A715,選手一覧!$I$7:$I$2738,"&lt;=100")</f>
        <v>0</v>
      </c>
      <c r="G715" s="18" t="n">
        <f aca="false">COUNTIFS(選手一覧!$C$7:$C$2738,A715,選手一覧!$K$7:$K$2738,"&lt;=100")</f>
        <v>0</v>
      </c>
      <c r="H715" s="17" t="n">
        <f aca="false">COUNTIF(選手一覧!$C$7:$C$2738,A715)</f>
        <v>1</v>
      </c>
    </row>
    <row r="716" customFormat="false" ht="15" hidden="false" customHeight="false" outlineLevel="0" collapsed="false">
      <c r="A716" s="12" t="s">
        <v>2532</v>
      </c>
      <c r="B716" s="22" t="n">
        <f aca="false">COUNTIFS(選手一覧!$C$7:$C$2738,A716,選手一覧!$E$7:$E$2738,"&lt;=100")</f>
        <v>0</v>
      </c>
      <c r="C716" s="18" t="n">
        <f aca="false">COUNTIFS(選手一覧!$C$7:$C$2738,A716,選手一覧!$E$7:$E$2738,"&gt;0")</f>
        <v>0</v>
      </c>
      <c r="D716" s="14" t="str">
        <f aca="false">IF(C716=0,"",_xlfn.MINIFS(選手一覧!$E$7:$E$2738,選手一覧!$C$7:$C$2738,A716))</f>
        <v/>
      </c>
      <c r="E716" s="20"/>
      <c r="F716" s="18" t="n">
        <f aca="false">COUNTIFS(選手一覧!$C$7:$C$2738,A716,選手一覧!$I$7:$I$2738,"&lt;=100")</f>
        <v>0</v>
      </c>
      <c r="G716" s="18" t="n">
        <f aca="false">COUNTIFS(選手一覧!$C$7:$C$2738,A716,選手一覧!$K$7:$K$2738,"&lt;=100")</f>
        <v>0</v>
      </c>
      <c r="H716" s="17" t="n">
        <f aca="false">COUNTIF(選手一覧!$C$7:$C$2738,A716)</f>
        <v>1</v>
      </c>
    </row>
    <row r="717" customFormat="false" ht="15" hidden="false" customHeight="false" outlineLevel="0" collapsed="false">
      <c r="A717" s="12" t="s">
        <v>2534</v>
      </c>
      <c r="B717" s="22" t="n">
        <f aca="false">COUNTIFS(選手一覧!$C$7:$C$2738,A717,選手一覧!$E$7:$E$2738,"&lt;=100")</f>
        <v>0</v>
      </c>
      <c r="C717" s="18" t="n">
        <f aca="false">COUNTIFS(選手一覧!$C$7:$C$2738,A717,選手一覧!$E$7:$E$2738,"&gt;0")</f>
        <v>0</v>
      </c>
      <c r="D717" s="14" t="str">
        <f aca="false">IF(C717=0,"",_xlfn.MINIFS(選手一覧!$E$7:$E$2738,選手一覧!$C$7:$C$2738,A717))</f>
        <v/>
      </c>
      <c r="E717" s="20"/>
      <c r="F717" s="18" t="n">
        <f aca="false">COUNTIFS(選手一覧!$C$7:$C$2738,A717,選手一覧!$I$7:$I$2738,"&lt;=100")</f>
        <v>0</v>
      </c>
      <c r="G717" s="18" t="n">
        <f aca="false">COUNTIFS(選手一覧!$C$7:$C$2738,A717,選手一覧!$K$7:$K$2738,"&lt;=100")</f>
        <v>0</v>
      </c>
      <c r="H717" s="17" t="n">
        <f aca="false">COUNTIF(選手一覧!$C$7:$C$2738,A717)</f>
        <v>1</v>
      </c>
    </row>
    <row r="718" customFormat="false" ht="15" hidden="false" customHeight="false" outlineLevel="0" collapsed="false">
      <c r="A718" s="12" t="s">
        <v>2553</v>
      </c>
      <c r="B718" s="22" t="n">
        <f aca="false">COUNTIFS(選手一覧!$C$7:$C$2738,A718,選手一覧!$E$7:$E$2738,"&lt;=100")</f>
        <v>0</v>
      </c>
      <c r="C718" s="18" t="n">
        <f aca="false">COUNTIFS(選手一覧!$C$7:$C$2738,A718,選手一覧!$E$7:$E$2738,"&gt;0")</f>
        <v>0</v>
      </c>
      <c r="D718" s="14" t="str">
        <f aca="false">IF(C718=0,"",_xlfn.MINIFS(選手一覧!$E$7:$E$2738,選手一覧!$C$7:$C$2738,A718))</f>
        <v/>
      </c>
      <c r="E718" s="20"/>
      <c r="F718" s="18" t="n">
        <f aca="false">COUNTIFS(選手一覧!$C$7:$C$2738,A718,選手一覧!$I$7:$I$2738,"&lt;=100")</f>
        <v>0</v>
      </c>
      <c r="G718" s="18" t="n">
        <f aca="false">COUNTIFS(選手一覧!$C$7:$C$2738,A718,選手一覧!$K$7:$K$2738,"&lt;=100")</f>
        <v>0</v>
      </c>
      <c r="H718" s="17" t="n">
        <f aca="false">COUNTIF(選手一覧!$C$7:$C$2738,A718)</f>
        <v>1</v>
      </c>
    </row>
    <row r="719" customFormat="false" ht="15" hidden="false" customHeight="false" outlineLevel="0" collapsed="false">
      <c r="A719" s="12" t="s">
        <v>2555</v>
      </c>
      <c r="B719" s="22" t="n">
        <f aca="false">COUNTIFS(選手一覧!$C$7:$C$2738,A719,選手一覧!$E$7:$E$2738,"&lt;=100")</f>
        <v>0</v>
      </c>
      <c r="C719" s="18" t="n">
        <f aca="false">COUNTIFS(選手一覧!$C$7:$C$2738,A719,選手一覧!$E$7:$E$2738,"&gt;0")</f>
        <v>0</v>
      </c>
      <c r="D719" s="14" t="str">
        <f aca="false">IF(C719=0,"",_xlfn.MINIFS(選手一覧!$E$7:$E$2738,選手一覧!$C$7:$C$2738,A719))</f>
        <v/>
      </c>
      <c r="E719" s="20"/>
      <c r="F719" s="18" t="n">
        <f aca="false">COUNTIFS(選手一覧!$C$7:$C$2738,A719,選手一覧!$I$7:$I$2738,"&lt;=100")</f>
        <v>0</v>
      </c>
      <c r="G719" s="18" t="n">
        <f aca="false">COUNTIFS(選手一覧!$C$7:$C$2738,A719,選手一覧!$K$7:$K$2738,"&lt;=100")</f>
        <v>0</v>
      </c>
      <c r="H719" s="17" t="n">
        <f aca="false">COUNTIF(選手一覧!$C$7:$C$2738,A719)</f>
        <v>1</v>
      </c>
    </row>
    <row r="720" customFormat="false" ht="15" hidden="false" customHeight="false" outlineLevel="0" collapsed="false">
      <c r="A720" s="12" t="s">
        <v>2557</v>
      </c>
      <c r="B720" s="22" t="n">
        <f aca="false">COUNTIFS(選手一覧!$C$7:$C$2738,A720,選手一覧!$E$7:$E$2738,"&lt;=100")</f>
        <v>0</v>
      </c>
      <c r="C720" s="18" t="n">
        <f aca="false">COUNTIFS(選手一覧!$C$7:$C$2738,A720,選手一覧!$E$7:$E$2738,"&gt;0")</f>
        <v>0</v>
      </c>
      <c r="D720" s="14" t="str">
        <f aca="false">IF(C720=0,"",_xlfn.MINIFS(選手一覧!$E$7:$E$2738,選手一覧!$C$7:$C$2738,A720))</f>
        <v/>
      </c>
      <c r="E720" s="20"/>
      <c r="F720" s="18" t="n">
        <f aca="false">COUNTIFS(選手一覧!$C$7:$C$2738,A720,選手一覧!$I$7:$I$2738,"&lt;=100")</f>
        <v>0</v>
      </c>
      <c r="G720" s="18" t="n">
        <f aca="false">COUNTIFS(選手一覧!$C$7:$C$2738,A720,選手一覧!$K$7:$K$2738,"&lt;=100")</f>
        <v>0</v>
      </c>
      <c r="H720" s="17" t="n">
        <f aca="false">COUNTIF(選手一覧!$C$7:$C$2738,A720)</f>
        <v>1</v>
      </c>
    </row>
    <row r="721" customFormat="false" ht="15" hidden="false" customHeight="false" outlineLevel="0" collapsed="false">
      <c r="A721" s="12" t="s">
        <v>2562</v>
      </c>
      <c r="B721" s="22" t="n">
        <f aca="false">COUNTIFS(選手一覧!$C$7:$C$2738,A721,選手一覧!$E$7:$E$2738,"&lt;=100")</f>
        <v>0</v>
      </c>
      <c r="C721" s="18" t="n">
        <f aca="false">COUNTIFS(選手一覧!$C$7:$C$2738,A721,選手一覧!$E$7:$E$2738,"&gt;0")</f>
        <v>0</v>
      </c>
      <c r="D721" s="14" t="str">
        <f aca="false">IF(C721=0,"",_xlfn.MINIFS(選手一覧!$E$7:$E$2738,選手一覧!$C$7:$C$2738,A721))</f>
        <v/>
      </c>
      <c r="E721" s="20"/>
      <c r="F721" s="18" t="n">
        <f aca="false">COUNTIFS(選手一覧!$C$7:$C$2738,A721,選手一覧!$I$7:$I$2738,"&lt;=100")</f>
        <v>0</v>
      </c>
      <c r="G721" s="18" t="n">
        <f aca="false">COUNTIFS(選手一覧!$C$7:$C$2738,A721,選手一覧!$K$7:$K$2738,"&lt;=100")</f>
        <v>0</v>
      </c>
      <c r="H721" s="17" t="n">
        <f aca="false">COUNTIF(選手一覧!$C$7:$C$2738,A721)</f>
        <v>1</v>
      </c>
    </row>
    <row r="722" customFormat="false" ht="15" hidden="false" customHeight="false" outlineLevel="0" collapsed="false">
      <c r="A722" s="12" t="s">
        <v>2568</v>
      </c>
      <c r="B722" s="22" t="n">
        <f aca="false">COUNTIFS(選手一覧!$C$7:$C$2738,A722,選手一覧!$E$7:$E$2738,"&lt;=100")</f>
        <v>0</v>
      </c>
      <c r="C722" s="18" t="n">
        <f aca="false">COUNTIFS(選手一覧!$C$7:$C$2738,A722,選手一覧!$E$7:$E$2738,"&gt;0")</f>
        <v>0</v>
      </c>
      <c r="D722" s="14" t="str">
        <f aca="false">IF(C722=0,"",_xlfn.MINIFS(選手一覧!$E$7:$E$2738,選手一覧!$C$7:$C$2738,A722))</f>
        <v/>
      </c>
      <c r="E722" s="20"/>
      <c r="F722" s="18" t="n">
        <f aca="false">COUNTIFS(選手一覧!$C$7:$C$2738,A722,選手一覧!$I$7:$I$2738,"&lt;=100")</f>
        <v>0</v>
      </c>
      <c r="G722" s="18" t="n">
        <f aca="false">COUNTIFS(選手一覧!$C$7:$C$2738,A722,選手一覧!$K$7:$K$2738,"&lt;=100")</f>
        <v>0</v>
      </c>
      <c r="H722" s="17" t="n">
        <f aca="false">COUNTIF(選手一覧!$C$7:$C$2738,A722)</f>
        <v>1</v>
      </c>
    </row>
    <row r="723" customFormat="false" ht="15" hidden="false" customHeight="false" outlineLevel="0" collapsed="false">
      <c r="A723" s="12" t="s">
        <v>2570</v>
      </c>
      <c r="B723" s="22" t="n">
        <f aca="false">COUNTIFS(選手一覧!$C$7:$C$2738,A723,選手一覧!$E$7:$E$2738,"&lt;=100")</f>
        <v>0</v>
      </c>
      <c r="C723" s="18" t="n">
        <f aca="false">COUNTIFS(選手一覧!$C$7:$C$2738,A723,選手一覧!$E$7:$E$2738,"&gt;0")</f>
        <v>0</v>
      </c>
      <c r="D723" s="14" t="str">
        <f aca="false">IF(C723=0,"",_xlfn.MINIFS(選手一覧!$E$7:$E$2738,選手一覧!$C$7:$C$2738,A723))</f>
        <v/>
      </c>
      <c r="E723" s="20"/>
      <c r="F723" s="18" t="n">
        <f aca="false">COUNTIFS(選手一覧!$C$7:$C$2738,A723,選手一覧!$I$7:$I$2738,"&lt;=100")</f>
        <v>0</v>
      </c>
      <c r="G723" s="18" t="n">
        <f aca="false">COUNTIFS(選手一覧!$C$7:$C$2738,A723,選手一覧!$K$7:$K$2738,"&lt;=100")</f>
        <v>0</v>
      </c>
      <c r="H723" s="17" t="n">
        <f aca="false">COUNTIF(選手一覧!$C$7:$C$2738,A723)</f>
        <v>1</v>
      </c>
    </row>
    <row r="724" customFormat="false" ht="15" hidden="false" customHeight="false" outlineLevel="0" collapsed="false">
      <c r="A724" s="12" t="s">
        <v>2574</v>
      </c>
      <c r="B724" s="22" t="n">
        <f aca="false">COUNTIFS(選手一覧!$C$7:$C$2738,A724,選手一覧!$E$7:$E$2738,"&lt;=100")</f>
        <v>0</v>
      </c>
      <c r="C724" s="18" t="n">
        <f aca="false">COUNTIFS(選手一覧!$C$7:$C$2738,A724,選手一覧!$E$7:$E$2738,"&gt;0")</f>
        <v>0</v>
      </c>
      <c r="D724" s="14" t="str">
        <f aca="false">IF(C724=0,"",_xlfn.MINIFS(選手一覧!$E$7:$E$2738,選手一覧!$C$7:$C$2738,A724))</f>
        <v/>
      </c>
      <c r="E724" s="20"/>
      <c r="F724" s="18" t="n">
        <f aca="false">COUNTIFS(選手一覧!$C$7:$C$2738,A724,選手一覧!$I$7:$I$2738,"&lt;=100")</f>
        <v>0</v>
      </c>
      <c r="G724" s="18" t="n">
        <f aca="false">COUNTIFS(選手一覧!$C$7:$C$2738,A724,選手一覧!$K$7:$K$2738,"&lt;=100")</f>
        <v>0</v>
      </c>
      <c r="H724" s="17" t="n">
        <f aca="false">COUNTIF(選手一覧!$C$7:$C$2738,A724)</f>
        <v>1</v>
      </c>
    </row>
    <row r="725" customFormat="false" ht="15" hidden="false" customHeight="false" outlineLevel="0" collapsed="false">
      <c r="A725" s="12" t="s">
        <v>2579</v>
      </c>
      <c r="B725" s="22" t="n">
        <f aca="false">COUNTIFS(選手一覧!$C$7:$C$2738,A725,選手一覧!$E$7:$E$2738,"&lt;=100")</f>
        <v>0</v>
      </c>
      <c r="C725" s="18" t="n">
        <f aca="false">COUNTIFS(選手一覧!$C$7:$C$2738,A725,選手一覧!$E$7:$E$2738,"&gt;0")</f>
        <v>0</v>
      </c>
      <c r="D725" s="14" t="str">
        <f aca="false">IF(C725=0,"",_xlfn.MINIFS(選手一覧!$E$7:$E$2738,選手一覧!$C$7:$C$2738,A725))</f>
        <v/>
      </c>
      <c r="E725" s="20"/>
      <c r="F725" s="18" t="n">
        <f aca="false">COUNTIFS(選手一覧!$C$7:$C$2738,A725,選手一覧!$I$7:$I$2738,"&lt;=100")</f>
        <v>0</v>
      </c>
      <c r="G725" s="18" t="n">
        <f aca="false">COUNTIFS(選手一覧!$C$7:$C$2738,A725,選手一覧!$K$7:$K$2738,"&lt;=100")</f>
        <v>0</v>
      </c>
      <c r="H725" s="17" t="n">
        <f aca="false">COUNTIF(選手一覧!$C$7:$C$2738,A725)</f>
        <v>1</v>
      </c>
    </row>
    <row r="726" customFormat="false" ht="15" hidden="false" customHeight="false" outlineLevel="0" collapsed="false">
      <c r="A726" s="12" t="s">
        <v>2581</v>
      </c>
      <c r="B726" s="22" t="n">
        <f aca="false">COUNTIFS(選手一覧!$C$7:$C$2738,A726,選手一覧!$E$7:$E$2738,"&lt;=100")</f>
        <v>0</v>
      </c>
      <c r="C726" s="18" t="n">
        <f aca="false">COUNTIFS(選手一覧!$C$7:$C$2738,A726,選手一覧!$E$7:$E$2738,"&gt;0")</f>
        <v>0</v>
      </c>
      <c r="D726" s="14" t="str">
        <f aca="false">IF(C726=0,"",_xlfn.MINIFS(選手一覧!$E$7:$E$2738,選手一覧!$C$7:$C$2738,A726))</f>
        <v/>
      </c>
      <c r="E726" s="20"/>
      <c r="F726" s="18" t="n">
        <f aca="false">COUNTIFS(選手一覧!$C$7:$C$2738,A726,選手一覧!$I$7:$I$2738,"&lt;=100")</f>
        <v>0</v>
      </c>
      <c r="G726" s="18" t="n">
        <f aca="false">COUNTIFS(選手一覧!$C$7:$C$2738,A726,選手一覧!$K$7:$K$2738,"&lt;=100")</f>
        <v>0</v>
      </c>
      <c r="H726" s="17" t="n">
        <f aca="false">COUNTIF(選手一覧!$C$7:$C$2738,A726)</f>
        <v>1</v>
      </c>
    </row>
    <row r="727" customFormat="false" ht="15" hidden="false" customHeight="false" outlineLevel="0" collapsed="false">
      <c r="A727" s="12" t="s">
        <v>2589</v>
      </c>
      <c r="B727" s="22" t="n">
        <f aca="false">COUNTIFS(選手一覧!$C$7:$C$2738,A727,選手一覧!$E$7:$E$2738,"&lt;=100")</f>
        <v>0</v>
      </c>
      <c r="C727" s="18" t="n">
        <f aca="false">COUNTIFS(選手一覧!$C$7:$C$2738,A727,選手一覧!$E$7:$E$2738,"&gt;0")</f>
        <v>0</v>
      </c>
      <c r="D727" s="14" t="str">
        <f aca="false">IF(C727=0,"",_xlfn.MINIFS(選手一覧!$E$7:$E$2738,選手一覧!$C$7:$C$2738,A727))</f>
        <v/>
      </c>
      <c r="E727" s="20"/>
      <c r="F727" s="18" t="n">
        <f aca="false">COUNTIFS(選手一覧!$C$7:$C$2738,A727,選手一覧!$I$7:$I$2738,"&lt;=100")</f>
        <v>0</v>
      </c>
      <c r="G727" s="18" t="n">
        <f aca="false">COUNTIFS(選手一覧!$C$7:$C$2738,A727,選手一覧!$K$7:$K$2738,"&lt;=100")</f>
        <v>0</v>
      </c>
      <c r="H727" s="17" t="n">
        <f aca="false">COUNTIF(選手一覧!$C$7:$C$2738,A727)</f>
        <v>1</v>
      </c>
    </row>
    <row r="728" customFormat="false" ht="15" hidden="false" customHeight="false" outlineLevel="0" collapsed="false">
      <c r="A728" s="12" t="s">
        <v>2596</v>
      </c>
      <c r="B728" s="22" t="n">
        <f aca="false">COUNTIFS(選手一覧!$C$7:$C$2738,A728,選手一覧!$E$7:$E$2738,"&lt;=100")</f>
        <v>0</v>
      </c>
      <c r="C728" s="18" t="n">
        <f aca="false">COUNTIFS(選手一覧!$C$7:$C$2738,A728,選手一覧!$E$7:$E$2738,"&gt;0")</f>
        <v>0</v>
      </c>
      <c r="D728" s="14" t="str">
        <f aca="false">IF(C728=0,"",_xlfn.MINIFS(選手一覧!$E$7:$E$2738,選手一覧!$C$7:$C$2738,A728))</f>
        <v/>
      </c>
      <c r="E728" s="20"/>
      <c r="F728" s="18" t="n">
        <f aca="false">COUNTIFS(選手一覧!$C$7:$C$2738,A728,選手一覧!$I$7:$I$2738,"&lt;=100")</f>
        <v>0</v>
      </c>
      <c r="G728" s="18" t="n">
        <f aca="false">COUNTIFS(選手一覧!$C$7:$C$2738,A728,選手一覧!$K$7:$K$2738,"&lt;=100")</f>
        <v>0</v>
      </c>
      <c r="H728" s="17" t="n">
        <f aca="false">COUNTIF(選手一覧!$C$7:$C$2738,A728)</f>
        <v>1</v>
      </c>
    </row>
    <row r="729" customFormat="false" ht="15" hidden="false" customHeight="false" outlineLevel="0" collapsed="false">
      <c r="A729" s="12" t="s">
        <v>2598</v>
      </c>
      <c r="B729" s="22" t="n">
        <f aca="false">COUNTIFS(選手一覧!$C$7:$C$2738,A729,選手一覧!$E$7:$E$2738,"&lt;=100")</f>
        <v>0</v>
      </c>
      <c r="C729" s="18" t="n">
        <f aca="false">COUNTIFS(選手一覧!$C$7:$C$2738,A729,選手一覧!$E$7:$E$2738,"&gt;0")</f>
        <v>0</v>
      </c>
      <c r="D729" s="14" t="str">
        <f aca="false">IF(C729=0,"",_xlfn.MINIFS(選手一覧!$E$7:$E$2738,選手一覧!$C$7:$C$2738,A729))</f>
        <v/>
      </c>
      <c r="E729" s="20"/>
      <c r="F729" s="18" t="n">
        <f aca="false">COUNTIFS(選手一覧!$C$7:$C$2738,A729,選手一覧!$I$7:$I$2738,"&lt;=100")</f>
        <v>0</v>
      </c>
      <c r="G729" s="18" t="n">
        <f aca="false">COUNTIFS(選手一覧!$C$7:$C$2738,A729,選手一覧!$K$7:$K$2738,"&lt;=100")</f>
        <v>0</v>
      </c>
      <c r="H729" s="17" t="n">
        <f aca="false">COUNTIF(選手一覧!$C$7:$C$2738,A729)</f>
        <v>1</v>
      </c>
    </row>
    <row r="730" customFormat="false" ht="15" hidden="false" customHeight="false" outlineLevel="0" collapsed="false">
      <c r="A730" s="12" t="s">
        <v>2600</v>
      </c>
      <c r="B730" s="22" t="n">
        <f aca="false">COUNTIFS(選手一覧!$C$7:$C$2738,A730,選手一覧!$E$7:$E$2738,"&lt;=100")</f>
        <v>0</v>
      </c>
      <c r="C730" s="18" t="n">
        <f aca="false">COUNTIFS(選手一覧!$C$7:$C$2738,A730,選手一覧!$E$7:$E$2738,"&gt;0")</f>
        <v>0</v>
      </c>
      <c r="D730" s="14" t="str">
        <f aca="false">IF(C730=0,"",_xlfn.MINIFS(選手一覧!$E$7:$E$2738,選手一覧!$C$7:$C$2738,A730))</f>
        <v/>
      </c>
      <c r="E730" s="20"/>
      <c r="F730" s="18" t="n">
        <f aca="false">COUNTIFS(選手一覧!$C$7:$C$2738,A730,選手一覧!$I$7:$I$2738,"&lt;=100")</f>
        <v>0</v>
      </c>
      <c r="G730" s="18" t="n">
        <f aca="false">COUNTIFS(選手一覧!$C$7:$C$2738,A730,選手一覧!$K$7:$K$2738,"&lt;=100")</f>
        <v>0</v>
      </c>
      <c r="H730" s="17" t="n">
        <f aca="false">COUNTIF(選手一覧!$C$7:$C$2738,A730)</f>
        <v>1</v>
      </c>
    </row>
    <row r="731" customFormat="false" ht="15" hidden="false" customHeight="false" outlineLevel="0" collapsed="false">
      <c r="A731" s="12" t="s">
        <v>2609</v>
      </c>
      <c r="B731" s="22" t="n">
        <f aca="false">COUNTIFS(選手一覧!$C$7:$C$2738,A731,選手一覧!$E$7:$E$2738,"&lt;=100")</f>
        <v>0</v>
      </c>
      <c r="C731" s="18" t="n">
        <f aca="false">COUNTIFS(選手一覧!$C$7:$C$2738,A731,選手一覧!$E$7:$E$2738,"&gt;0")</f>
        <v>0</v>
      </c>
      <c r="D731" s="14" t="str">
        <f aca="false">IF(C731=0,"",_xlfn.MINIFS(選手一覧!$E$7:$E$2738,選手一覧!$C$7:$C$2738,A731))</f>
        <v/>
      </c>
      <c r="E731" s="20"/>
      <c r="F731" s="18" t="n">
        <f aca="false">COUNTIFS(選手一覧!$C$7:$C$2738,A731,選手一覧!$I$7:$I$2738,"&lt;=100")</f>
        <v>0</v>
      </c>
      <c r="G731" s="18" t="n">
        <f aca="false">COUNTIFS(選手一覧!$C$7:$C$2738,A731,選手一覧!$K$7:$K$2738,"&lt;=100")</f>
        <v>0</v>
      </c>
      <c r="H731" s="17" t="n">
        <f aca="false">COUNTIF(選手一覧!$C$7:$C$2738,A731)</f>
        <v>1</v>
      </c>
    </row>
    <row r="732" customFormat="false" ht="15" hidden="false" customHeight="false" outlineLevel="0" collapsed="false">
      <c r="A732" s="12" t="s">
        <v>2612</v>
      </c>
      <c r="B732" s="22" t="n">
        <f aca="false">COUNTIFS(選手一覧!$C$7:$C$2738,A732,選手一覧!$E$7:$E$2738,"&lt;=100")</f>
        <v>0</v>
      </c>
      <c r="C732" s="18" t="n">
        <f aca="false">COUNTIFS(選手一覧!$C$7:$C$2738,A732,選手一覧!$E$7:$E$2738,"&gt;0")</f>
        <v>0</v>
      </c>
      <c r="D732" s="14" t="str">
        <f aca="false">IF(C732=0,"",_xlfn.MINIFS(選手一覧!$E$7:$E$2738,選手一覧!$C$7:$C$2738,A732))</f>
        <v/>
      </c>
      <c r="E732" s="20"/>
      <c r="F732" s="18" t="n">
        <f aca="false">COUNTIFS(選手一覧!$C$7:$C$2738,A732,選手一覧!$I$7:$I$2738,"&lt;=100")</f>
        <v>0</v>
      </c>
      <c r="G732" s="18" t="n">
        <f aca="false">COUNTIFS(選手一覧!$C$7:$C$2738,A732,選手一覧!$K$7:$K$2738,"&lt;=100")</f>
        <v>0</v>
      </c>
      <c r="H732" s="17" t="n">
        <f aca="false">COUNTIF(選手一覧!$C$7:$C$2738,A732)</f>
        <v>1</v>
      </c>
    </row>
    <row r="733" customFormat="false" ht="15" hidden="false" customHeight="false" outlineLevel="0" collapsed="false">
      <c r="A733" s="12" t="s">
        <v>2624</v>
      </c>
      <c r="B733" s="22" t="n">
        <f aca="false">COUNTIFS(選手一覧!$C$7:$C$2738,A733,選手一覧!$E$7:$E$2738,"&lt;=100")</f>
        <v>0</v>
      </c>
      <c r="C733" s="18" t="n">
        <f aca="false">COUNTIFS(選手一覧!$C$7:$C$2738,A733,選手一覧!$E$7:$E$2738,"&gt;0")</f>
        <v>0</v>
      </c>
      <c r="D733" s="14" t="str">
        <f aca="false">IF(C733=0,"",_xlfn.MINIFS(選手一覧!$E$7:$E$2738,選手一覧!$C$7:$C$2738,A733))</f>
        <v/>
      </c>
      <c r="E733" s="20"/>
      <c r="F733" s="18" t="n">
        <f aca="false">COUNTIFS(選手一覧!$C$7:$C$2738,A733,選手一覧!$I$7:$I$2738,"&lt;=100")</f>
        <v>0</v>
      </c>
      <c r="G733" s="18" t="n">
        <f aca="false">COUNTIFS(選手一覧!$C$7:$C$2738,A733,選手一覧!$K$7:$K$2738,"&lt;=100")</f>
        <v>0</v>
      </c>
      <c r="H733" s="17" t="n">
        <f aca="false">COUNTIF(選手一覧!$C$7:$C$2738,A733)</f>
        <v>1</v>
      </c>
    </row>
    <row r="734" customFormat="false" ht="15" hidden="false" customHeight="false" outlineLevel="0" collapsed="false">
      <c r="A734" s="12" t="s">
        <v>2638</v>
      </c>
      <c r="B734" s="22" t="n">
        <f aca="false">COUNTIFS(選手一覧!$C$7:$C$2738,A734,選手一覧!$E$7:$E$2738,"&lt;=100")</f>
        <v>0</v>
      </c>
      <c r="C734" s="18" t="n">
        <f aca="false">COUNTIFS(選手一覧!$C$7:$C$2738,A734,選手一覧!$E$7:$E$2738,"&gt;0")</f>
        <v>0</v>
      </c>
      <c r="D734" s="14" t="str">
        <f aca="false">IF(C734=0,"",_xlfn.MINIFS(選手一覧!$E$7:$E$2738,選手一覧!$C$7:$C$2738,A734))</f>
        <v/>
      </c>
      <c r="E734" s="20"/>
      <c r="F734" s="18" t="n">
        <f aca="false">COUNTIFS(選手一覧!$C$7:$C$2738,A734,選手一覧!$I$7:$I$2738,"&lt;=100")</f>
        <v>0</v>
      </c>
      <c r="G734" s="18" t="n">
        <f aca="false">COUNTIFS(選手一覧!$C$7:$C$2738,A734,選手一覧!$K$7:$K$2738,"&lt;=100")</f>
        <v>0</v>
      </c>
      <c r="H734" s="17" t="n">
        <f aca="false">COUNTIF(選手一覧!$C$7:$C$2738,A734)</f>
        <v>1</v>
      </c>
    </row>
    <row r="735" customFormat="false" ht="15" hidden="false" customHeight="false" outlineLevel="0" collapsed="false">
      <c r="A735" s="12" t="s">
        <v>2642</v>
      </c>
      <c r="B735" s="22" t="n">
        <f aca="false">COUNTIFS(選手一覧!$C$7:$C$2738,A735,選手一覧!$E$7:$E$2738,"&lt;=100")</f>
        <v>0</v>
      </c>
      <c r="C735" s="18" t="n">
        <f aca="false">COUNTIFS(選手一覧!$C$7:$C$2738,A735,選手一覧!$E$7:$E$2738,"&gt;0")</f>
        <v>0</v>
      </c>
      <c r="D735" s="14" t="str">
        <f aca="false">IF(C735=0,"",_xlfn.MINIFS(選手一覧!$E$7:$E$2738,選手一覧!$C$7:$C$2738,A735))</f>
        <v/>
      </c>
      <c r="E735" s="20"/>
      <c r="F735" s="18" t="n">
        <f aca="false">COUNTIFS(選手一覧!$C$7:$C$2738,A735,選手一覧!$I$7:$I$2738,"&lt;=100")</f>
        <v>0</v>
      </c>
      <c r="G735" s="18" t="n">
        <f aca="false">COUNTIFS(選手一覧!$C$7:$C$2738,A735,選手一覧!$K$7:$K$2738,"&lt;=100")</f>
        <v>0</v>
      </c>
      <c r="H735" s="17" t="n">
        <f aca="false">COUNTIF(選手一覧!$C$7:$C$2738,A735)</f>
        <v>1</v>
      </c>
    </row>
    <row r="736" customFormat="false" ht="15" hidden="false" customHeight="false" outlineLevel="0" collapsed="false">
      <c r="A736" s="12" t="s">
        <v>2644</v>
      </c>
      <c r="B736" s="22" t="n">
        <f aca="false">COUNTIFS(選手一覧!$C$7:$C$2738,A736,選手一覧!$E$7:$E$2738,"&lt;=100")</f>
        <v>0</v>
      </c>
      <c r="C736" s="18" t="n">
        <f aca="false">COUNTIFS(選手一覧!$C$7:$C$2738,A736,選手一覧!$E$7:$E$2738,"&gt;0")</f>
        <v>0</v>
      </c>
      <c r="D736" s="14" t="str">
        <f aca="false">IF(C736=0,"",_xlfn.MINIFS(選手一覧!$E$7:$E$2738,選手一覧!$C$7:$C$2738,A736))</f>
        <v/>
      </c>
      <c r="E736" s="20"/>
      <c r="F736" s="18" t="n">
        <f aca="false">COUNTIFS(選手一覧!$C$7:$C$2738,A736,選手一覧!$I$7:$I$2738,"&lt;=100")</f>
        <v>0</v>
      </c>
      <c r="G736" s="18" t="n">
        <f aca="false">COUNTIFS(選手一覧!$C$7:$C$2738,A736,選手一覧!$K$7:$K$2738,"&lt;=100")</f>
        <v>0</v>
      </c>
      <c r="H736" s="17" t="n">
        <f aca="false">COUNTIF(選手一覧!$C$7:$C$2738,A736)</f>
        <v>1</v>
      </c>
    </row>
    <row r="737" customFormat="false" ht="15" hidden="false" customHeight="false" outlineLevel="0" collapsed="false">
      <c r="A737" s="12" t="s">
        <v>2646</v>
      </c>
      <c r="B737" s="22" t="n">
        <f aca="false">COUNTIFS(選手一覧!$C$7:$C$2738,A737,選手一覧!$E$7:$E$2738,"&lt;=100")</f>
        <v>0</v>
      </c>
      <c r="C737" s="18" t="n">
        <f aca="false">COUNTIFS(選手一覧!$C$7:$C$2738,A737,選手一覧!$E$7:$E$2738,"&gt;0")</f>
        <v>0</v>
      </c>
      <c r="D737" s="14" t="str">
        <f aca="false">IF(C737=0,"",_xlfn.MINIFS(選手一覧!$E$7:$E$2738,選手一覧!$C$7:$C$2738,A737))</f>
        <v/>
      </c>
      <c r="E737" s="20"/>
      <c r="F737" s="18" t="n">
        <f aca="false">COUNTIFS(選手一覧!$C$7:$C$2738,A737,選手一覧!$I$7:$I$2738,"&lt;=100")</f>
        <v>0</v>
      </c>
      <c r="G737" s="18" t="n">
        <f aca="false">COUNTIFS(選手一覧!$C$7:$C$2738,A737,選手一覧!$K$7:$K$2738,"&lt;=100")</f>
        <v>0</v>
      </c>
      <c r="H737" s="17" t="n">
        <f aca="false">COUNTIF(選手一覧!$C$7:$C$2738,A737)</f>
        <v>1</v>
      </c>
    </row>
    <row r="738" customFormat="false" ht="15" hidden="false" customHeight="false" outlineLevel="0" collapsed="false">
      <c r="A738" s="12" t="s">
        <v>2665</v>
      </c>
      <c r="B738" s="22" t="n">
        <f aca="false">COUNTIFS(選手一覧!$C$7:$C$2738,A738,選手一覧!$E$7:$E$2738,"&lt;=100")</f>
        <v>0</v>
      </c>
      <c r="C738" s="18" t="n">
        <f aca="false">COUNTIFS(選手一覧!$C$7:$C$2738,A738,選手一覧!$E$7:$E$2738,"&gt;0")</f>
        <v>0</v>
      </c>
      <c r="D738" s="14" t="str">
        <f aca="false">IF(C738=0,"",_xlfn.MINIFS(選手一覧!$E$7:$E$2738,選手一覧!$C$7:$C$2738,A738))</f>
        <v/>
      </c>
      <c r="E738" s="20"/>
      <c r="F738" s="18" t="n">
        <f aca="false">COUNTIFS(選手一覧!$C$7:$C$2738,A738,選手一覧!$I$7:$I$2738,"&lt;=100")</f>
        <v>0</v>
      </c>
      <c r="G738" s="18" t="n">
        <f aca="false">COUNTIFS(選手一覧!$C$7:$C$2738,A738,選手一覧!$K$7:$K$2738,"&lt;=100")</f>
        <v>0</v>
      </c>
      <c r="H738" s="17" t="n">
        <f aca="false">COUNTIF(選手一覧!$C$7:$C$2738,A738)</f>
        <v>1</v>
      </c>
    </row>
    <row r="739" customFormat="false" ht="15" hidden="false" customHeight="false" outlineLevel="0" collapsed="false">
      <c r="A739" s="12" t="s">
        <v>2669</v>
      </c>
      <c r="B739" s="22" t="n">
        <f aca="false">COUNTIFS(選手一覧!$C$7:$C$2738,A739,選手一覧!$E$7:$E$2738,"&lt;=100")</f>
        <v>0</v>
      </c>
      <c r="C739" s="18" t="n">
        <f aca="false">COUNTIFS(選手一覧!$C$7:$C$2738,A739,選手一覧!$E$7:$E$2738,"&gt;0")</f>
        <v>0</v>
      </c>
      <c r="D739" s="14" t="str">
        <f aca="false">IF(C739=0,"",_xlfn.MINIFS(選手一覧!$E$7:$E$2738,選手一覧!$C$7:$C$2738,A739))</f>
        <v/>
      </c>
      <c r="E739" s="20"/>
      <c r="F739" s="18" t="n">
        <f aca="false">COUNTIFS(選手一覧!$C$7:$C$2738,A739,選手一覧!$I$7:$I$2738,"&lt;=100")</f>
        <v>0</v>
      </c>
      <c r="G739" s="18" t="n">
        <f aca="false">COUNTIFS(選手一覧!$C$7:$C$2738,A739,選手一覧!$K$7:$K$2738,"&lt;=100")</f>
        <v>0</v>
      </c>
      <c r="H739" s="17" t="n">
        <f aca="false">COUNTIF(選手一覧!$C$7:$C$2738,A739)</f>
        <v>1</v>
      </c>
    </row>
    <row r="740" customFormat="false" ht="15" hidden="false" customHeight="false" outlineLevel="0" collapsed="false">
      <c r="A740" s="12" t="s">
        <v>2671</v>
      </c>
      <c r="B740" s="22" t="n">
        <f aca="false">COUNTIFS(選手一覧!$C$7:$C$2738,A740,選手一覧!$E$7:$E$2738,"&lt;=100")</f>
        <v>0</v>
      </c>
      <c r="C740" s="18" t="n">
        <f aca="false">COUNTIFS(選手一覧!$C$7:$C$2738,A740,選手一覧!$E$7:$E$2738,"&gt;0")</f>
        <v>0</v>
      </c>
      <c r="D740" s="14" t="str">
        <f aca="false">IF(C740=0,"",_xlfn.MINIFS(選手一覧!$E$7:$E$2738,選手一覧!$C$7:$C$2738,A740))</f>
        <v/>
      </c>
      <c r="E740" s="20"/>
      <c r="F740" s="18" t="n">
        <f aca="false">COUNTIFS(選手一覧!$C$7:$C$2738,A740,選手一覧!$I$7:$I$2738,"&lt;=100")</f>
        <v>0</v>
      </c>
      <c r="G740" s="18" t="n">
        <f aca="false">COUNTIFS(選手一覧!$C$7:$C$2738,A740,選手一覧!$K$7:$K$2738,"&lt;=100")</f>
        <v>0</v>
      </c>
      <c r="H740" s="17" t="n">
        <f aca="false">COUNTIF(選手一覧!$C$7:$C$2738,A740)</f>
        <v>1</v>
      </c>
    </row>
    <row r="741" customFormat="false" ht="15" hidden="false" customHeight="false" outlineLevel="0" collapsed="false">
      <c r="A741" s="12" t="s">
        <v>2675</v>
      </c>
      <c r="B741" s="22" t="n">
        <f aca="false">COUNTIFS(選手一覧!$C$7:$C$2738,A741,選手一覧!$E$7:$E$2738,"&lt;=100")</f>
        <v>0</v>
      </c>
      <c r="C741" s="18" t="n">
        <f aca="false">COUNTIFS(選手一覧!$C$7:$C$2738,A741,選手一覧!$E$7:$E$2738,"&gt;0")</f>
        <v>0</v>
      </c>
      <c r="D741" s="14" t="str">
        <f aca="false">IF(C741=0,"",_xlfn.MINIFS(選手一覧!$E$7:$E$2738,選手一覧!$C$7:$C$2738,A741))</f>
        <v/>
      </c>
      <c r="E741" s="20"/>
      <c r="F741" s="18" t="n">
        <f aca="false">COUNTIFS(選手一覧!$C$7:$C$2738,A741,選手一覧!$I$7:$I$2738,"&lt;=100")</f>
        <v>0</v>
      </c>
      <c r="G741" s="18" t="n">
        <f aca="false">COUNTIFS(選手一覧!$C$7:$C$2738,A741,選手一覧!$K$7:$K$2738,"&lt;=100")</f>
        <v>0</v>
      </c>
      <c r="H741" s="17" t="n">
        <f aca="false">COUNTIF(選手一覧!$C$7:$C$2738,A741)</f>
        <v>1</v>
      </c>
    </row>
    <row r="742" customFormat="false" ht="15" hidden="false" customHeight="false" outlineLevel="0" collapsed="false">
      <c r="A742" s="12" t="s">
        <v>2678</v>
      </c>
      <c r="B742" s="22" t="n">
        <f aca="false">COUNTIFS(選手一覧!$C$7:$C$2738,A742,選手一覧!$E$7:$E$2738,"&lt;=100")</f>
        <v>0</v>
      </c>
      <c r="C742" s="18" t="n">
        <f aca="false">COUNTIFS(選手一覧!$C$7:$C$2738,A742,選手一覧!$E$7:$E$2738,"&gt;0")</f>
        <v>0</v>
      </c>
      <c r="D742" s="14" t="str">
        <f aca="false">IF(C742=0,"",_xlfn.MINIFS(選手一覧!$E$7:$E$2738,選手一覧!$C$7:$C$2738,A742))</f>
        <v/>
      </c>
      <c r="E742" s="20"/>
      <c r="F742" s="18" t="n">
        <f aca="false">COUNTIFS(選手一覧!$C$7:$C$2738,A742,選手一覧!$I$7:$I$2738,"&lt;=100")</f>
        <v>0</v>
      </c>
      <c r="G742" s="18" t="n">
        <f aca="false">COUNTIFS(選手一覧!$C$7:$C$2738,A742,選手一覧!$K$7:$K$2738,"&lt;=100")</f>
        <v>0</v>
      </c>
      <c r="H742" s="17" t="n">
        <f aca="false">COUNTIF(選手一覧!$C$7:$C$2738,A742)</f>
        <v>1</v>
      </c>
    </row>
    <row r="743" customFormat="false" ht="15" hidden="false" customHeight="false" outlineLevel="0" collapsed="false">
      <c r="A743" s="12" t="s">
        <v>2680</v>
      </c>
      <c r="B743" s="22" t="n">
        <f aca="false">COUNTIFS(選手一覧!$C$7:$C$2738,A743,選手一覧!$E$7:$E$2738,"&lt;=100")</f>
        <v>0</v>
      </c>
      <c r="C743" s="18" t="n">
        <f aca="false">COUNTIFS(選手一覧!$C$7:$C$2738,A743,選手一覧!$E$7:$E$2738,"&gt;0")</f>
        <v>0</v>
      </c>
      <c r="D743" s="14" t="str">
        <f aca="false">IF(C743=0,"",_xlfn.MINIFS(選手一覧!$E$7:$E$2738,選手一覧!$C$7:$C$2738,A743))</f>
        <v/>
      </c>
      <c r="E743" s="20"/>
      <c r="F743" s="18" t="n">
        <f aca="false">COUNTIFS(選手一覧!$C$7:$C$2738,A743,選手一覧!$I$7:$I$2738,"&lt;=100")</f>
        <v>0</v>
      </c>
      <c r="G743" s="18" t="n">
        <f aca="false">COUNTIFS(選手一覧!$C$7:$C$2738,A743,選手一覧!$K$7:$K$2738,"&lt;=100")</f>
        <v>0</v>
      </c>
      <c r="H743" s="17" t="n">
        <f aca="false">COUNTIF(選手一覧!$C$7:$C$2738,A743)</f>
        <v>1</v>
      </c>
    </row>
    <row r="744" customFormat="false" ht="15" hidden="false" customHeight="false" outlineLevel="0" collapsed="false">
      <c r="A744" s="12" t="s">
        <v>2683</v>
      </c>
      <c r="B744" s="22" t="n">
        <f aca="false">COUNTIFS(選手一覧!$C$7:$C$2738,A744,選手一覧!$E$7:$E$2738,"&lt;=100")</f>
        <v>0</v>
      </c>
      <c r="C744" s="18" t="n">
        <f aca="false">COUNTIFS(選手一覧!$C$7:$C$2738,A744,選手一覧!$E$7:$E$2738,"&gt;0")</f>
        <v>0</v>
      </c>
      <c r="D744" s="14" t="str">
        <f aca="false">IF(C744=0,"",_xlfn.MINIFS(選手一覧!$E$7:$E$2738,選手一覧!$C$7:$C$2738,A744))</f>
        <v/>
      </c>
      <c r="E744" s="20"/>
      <c r="F744" s="18" t="n">
        <f aca="false">COUNTIFS(選手一覧!$C$7:$C$2738,A744,選手一覧!$I$7:$I$2738,"&lt;=100")</f>
        <v>0</v>
      </c>
      <c r="G744" s="18" t="n">
        <f aca="false">COUNTIFS(選手一覧!$C$7:$C$2738,A744,選手一覧!$K$7:$K$2738,"&lt;=100")</f>
        <v>0</v>
      </c>
      <c r="H744" s="17" t="n">
        <f aca="false">COUNTIF(選手一覧!$C$7:$C$2738,A744)</f>
        <v>1</v>
      </c>
    </row>
    <row r="745" customFormat="false" ht="15" hidden="false" customHeight="false" outlineLevel="0" collapsed="false">
      <c r="A745" s="12" t="s">
        <v>2692</v>
      </c>
      <c r="B745" s="22" t="n">
        <f aca="false">COUNTIFS(選手一覧!$C$7:$C$2738,A745,選手一覧!$E$7:$E$2738,"&lt;=100")</f>
        <v>0</v>
      </c>
      <c r="C745" s="18" t="n">
        <f aca="false">COUNTIFS(選手一覧!$C$7:$C$2738,A745,選手一覧!$E$7:$E$2738,"&gt;0")</f>
        <v>0</v>
      </c>
      <c r="D745" s="14" t="str">
        <f aca="false">IF(C745=0,"",_xlfn.MINIFS(選手一覧!$E$7:$E$2738,選手一覧!$C$7:$C$2738,A745))</f>
        <v/>
      </c>
      <c r="E745" s="20"/>
      <c r="F745" s="18" t="n">
        <f aca="false">COUNTIFS(選手一覧!$C$7:$C$2738,A745,選手一覧!$I$7:$I$2738,"&lt;=100")</f>
        <v>0</v>
      </c>
      <c r="G745" s="18" t="n">
        <f aca="false">COUNTIFS(選手一覧!$C$7:$C$2738,A745,選手一覧!$K$7:$K$2738,"&lt;=100")</f>
        <v>0</v>
      </c>
      <c r="H745" s="17" t="n">
        <f aca="false">COUNTIF(選手一覧!$C$7:$C$2738,A745)</f>
        <v>1</v>
      </c>
    </row>
    <row r="746" customFormat="false" ht="15" hidden="false" customHeight="false" outlineLevel="0" collapsed="false">
      <c r="A746" s="12" t="s">
        <v>2701</v>
      </c>
      <c r="B746" s="22" t="n">
        <f aca="false">COUNTIFS(選手一覧!$C$7:$C$2738,A746,選手一覧!$E$7:$E$2738,"&lt;=100")</f>
        <v>0</v>
      </c>
      <c r="C746" s="18" t="n">
        <f aca="false">COUNTIFS(選手一覧!$C$7:$C$2738,A746,選手一覧!$E$7:$E$2738,"&gt;0")</f>
        <v>0</v>
      </c>
      <c r="D746" s="14" t="str">
        <f aca="false">IF(C746=0,"",_xlfn.MINIFS(選手一覧!$E$7:$E$2738,選手一覧!$C$7:$C$2738,A746))</f>
        <v/>
      </c>
      <c r="E746" s="20"/>
      <c r="F746" s="18" t="n">
        <f aca="false">COUNTIFS(選手一覧!$C$7:$C$2738,A746,選手一覧!$I$7:$I$2738,"&lt;=100")</f>
        <v>0</v>
      </c>
      <c r="G746" s="18" t="n">
        <f aca="false">COUNTIFS(選手一覧!$C$7:$C$2738,A746,選手一覧!$K$7:$K$2738,"&lt;=100")</f>
        <v>0</v>
      </c>
      <c r="H746" s="17" t="n">
        <f aca="false">COUNTIF(選手一覧!$C$7:$C$2738,A746)</f>
        <v>1</v>
      </c>
    </row>
    <row r="747" customFormat="false" ht="15" hidden="false" customHeight="false" outlineLevel="0" collapsed="false">
      <c r="A747" s="12" t="s">
        <v>2709</v>
      </c>
      <c r="B747" s="22" t="n">
        <f aca="false">COUNTIFS(選手一覧!$C$7:$C$2738,A747,選手一覧!$E$7:$E$2738,"&lt;=100")</f>
        <v>0</v>
      </c>
      <c r="C747" s="18" t="n">
        <f aca="false">COUNTIFS(選手一覧!$C$7:$C$2738,A747,選手一覧!$E$7:$E$2738,"&gt;0")</f>
        <v>0</v>
      </c>
      <c r="D747" s="14" t="str">
        <f aca="false">IF(C747=0,"",_xlfn.MINIFS(選手一覧!$E$7:$E$2738,選手一覧!$C$7:$C$2738,A747))</f>
        <v/>
      </c>
      <c r="E747" s="20"/>
      <c r="F747" s="18" t="n">
        <f aca="false">COUNTIFS(選手一覧!$C$7:$C$2738,A747,選手一覧!$I$7:$I$2738,"&lt;=100")</f>
        <v>0</v>
      </c>
      <c r="G747" s="18" t="n">
        <f aca="false">COUNTIFS(選手一覧!$C$7:$C$2738,A747,選手一覧!$K$7:$K$2738,"&lt;=100")</f>
        <v>0</v>
      </c>
      <c r="H747" s="17" t="n">
        <f aca="false">COUNTIF(選手一覧!$C$7:$C$2738,A747)</f>
        <v>1</v>
      </c>
    </row>
    <row r="748" customFormat="false" ht="15" hidden="false" customHeight="false" outlineLevel="0" collapsed="false">
      <c r="A748" s="12" t="s">
        <v>2718</v>
      </c>
      <c r="B748" s="22" t="n">
        <f aca="false">COUNTIFS(選手一覧!$C$7:$C$2738,A748,選手一覧!$E$7:$E$2738,"&lt;=100")</f>
        <v>0</v>
      </c>
      <c r="C748" s="18" t="n">
        <f aca="false">COUNTIFS(選手一覧!$C$7:$C$2738,A748,選手一覧!$E$7:$E$2738,"&gt;0")</f>
        <v>0</v>
      </c>
      <c r="D748" s="14" t="str">
        <f aca="false">IF(C748=0,"",_xlfn.MINIFS(選手一覧!$E$7:$E$2738,選手一覧!$C$7:$C$2738,A748))</f>
        <v/>
      </c>
      <c r="E748" s="20"/>
      <c r="F748" s="18" t="n">
        <f aca="false">COUNTIFS(選手一覧!$C$7:$C$2738,A748,選手一覧!$I$7:$I$2738,"&lt;=100")</f>
        <v>0</v>
      </c>
      <c r="G748" s="18" t="n">
        <f aca="false">COUNTIFS(選手一覧!$C$7:$C$2738,A748,選手一覧!$K$7:$K$2738,"&lt;=100")</f>
        <v>0</v>
      </c>
      <c r="H748" s="17" t="n">
        <f aca="false">COUNTIF(選手一覧!$C$7:$C$2738,A748)</f>
        <v>1</v>
      </c>
    </row>
    <row r="749" customFormat="false" ht="15" hidden="false" customHeight="false" outlineLevel="0" collapsed="false">
      <c r="A749" s="12" t="s">
        <v>2723</v>
      </c>
      <c r="B749" s="22" t="n">
        <f aca="false">COUNTIFS(選手一覧!$C$7:$C$2738,A749,選手一覧!$E$7:$E$2738,"&lt;=100")</f>
        <v>0</v>
      </c>
      <c r="C749" s="18" t="n">
        <f aca="false">COUNTIFS(選手一覧!$C$7:$C$2738,A749,選手一覧!$E$7:$E$2738,"&gt;0")</f>
        <v>0</v>
      </c>
      <c r="D749" s="14" t="str">
        <f aca="false">IF(C749=0,"",_xlfn.MINIFS(選手一覧!$E$7:$E$2738,選手一覧!$C$7:$C$2738,A749))</f>
        <v/>
      </c>
      <c r="E749" s="20"/>
      <c r="F749" s="18" t="n">
        <f aca="false">COUNTIFS(選手一覧!$C$7:$C$2738,A749,選手一覧!$I$7:$I$2738,"&lt;=100")</f>
        <v>0</v>
      </c>
      <c r="G749" s="18" t="n">
        <f aca="false">COUNTIFS(選手一覧!$C$7:$C$2738,A749,選手一覧!$K$7:$K$2738,"&lt;=100")</f>
        <v>0</v>
      </c>
      <c r="H749" s="17" t="n">
        <f aca="false">COUNTIF(選手一覧!$C$7:$C$2738,A749)</f>
        <v>1</v>
      </c>
    </row>
    <row r="750" customFormat="false" ht="15" hidden="false" customHeight="false" outlineLevel="0" collapsed="false">
      <c r="A750" s="12" t="s">
        <v>2731</v>
      </c>
      <c r="B750" s="22" t="n">
        <f aca="false">COUNTIFS(選手一覧!$C$7:$C$2738,A750,選手一覧!$E$7:$E$2738,"&lt;=100")</f>
        <v>0</v>
      </c>
      <c r="C750" s="18" t="n">
        <f aca="false">COUNTIFS(選手一覧!$C$7:$C$2738,A750,選手一覧!$E$7:$E$2738,"&gt;0")</f>
        <v>0</v>
      </c>
      <c r="D750" s="14" t="str">
        <f aca="false">IF(C750=0,"",_xlfn.MINIFS(選手一覧!$E$7:$E$2738,選手一覧!$C$7:$C$2738,A750))</f>
        <v/>
      </c>
      <c r="E750" s="20"/>
      <c r="F750" s="18" t="n">
        <f aca="false">COUNTIFS(選手一覧!$C$7:$C$2738,A750,選手一覧!$I$7:$I$2738,"&lt;=100")</f>
        <v>0</v>
      </c>
      <c r="G750" s="18" t="n">
        <f aca="false">COUNTIFS(選手一覧!$C$7:$C$2738,A750,選手一覧!$K$7:$K$2738,"&lt;=100")</f>
        <v>0</v>
      </c>
      <c r="H750" s="17" t="n">
        <f aca="false">COUNTIF(選手一覧!$C$7:$C$2738,A750)</f>
        <v>1</v>
      </c>
    </row>
    <row r="751" customFormat="false" ht="15" hidden="false" customHeight="false" outlineLevel="0" collapsed="false">
      <c r="A751" s="12" t="s">
        <v>2735</v>
      </c>
      <c r="B751" s="22" t="n">
        <f aca="false">COUNTIFS(選手一覧!$C$7:$C$2738,A751,選手一覧!$E$7:$E$2738,"&lt;=100")</f>
        <v>0</v>
      </c>
      <c r="C751" s="18" t="n">
        <f aca="false">COUNTIFS(選手一覧!$C$7:$C$2738,A751,選手一覧!$E$7:$E$2738,"&gt;0")</f>
        <v>0</v>
      </c>
      <c r="D751" s="14" t="str">
        <f aca="false">IF(C751=0,"",_xlfn.MINIFS(選手一覧!$E$7:$E$2738,選手一覧!$C$7:$C$2738,A751))</f>
        <v/>
      </c>
      <c r="E751" s="20"/>
      <c r="F751" s="18" t="n">
        <f aca="false">COUNTIFS(選手一覧!$C$7:$C$2738,A751,選手一覧!$I$7:$I$2738,"&lt;=100")</f>
        <v>0</v>
      </c>
      <c r="G751" s="18" t="n">
        <f aca="false">COUNTIFS(選手一覧!$C$7:$C$2738,A751,選手一覧!$K$7:$K$2738,"&lt;=100")</f>
        <v>0</v>
      </c>
      <c r="H751" s="17" t="n">
        <f aca="false">COUNTIF(選手一覧!$C$7:$C$2738,A751)</f>
        <v>1</v>
      </c>
    </row>
    <row r="752" customFormat="false" ht="15" hidden="false" customHeight="false" outlineLevel="0" collapsed="false">
      <c r="A752" s="12" t="s">
        <v>2739</v>
      </c>
      <c r="B752" s="22" t="n">
        <f aca="false">COUNTIFS(選手一覧!$C$7:$C$2738,A752,選手一覧!$E$7:$E$2738,"&lt;=100")</f>
        <v>0</v>
      </c>
      <c r="C752" s="18" t="n">
        <f aca="false">COUNTIFS(選手一覧!$C$7:$C$2738,A752,選手一覧!$E$7:$E$2738,"&gt;0")</f>
        <v>0</v>
      </c>
      <c r="D752" s="14" t="str">
        <f aca="false">IF(C752=0,"",_xlfn.MINIFS(選手一覧!$E$7:$E$2738,選手一覧!$C$7:$C$2738,A752))</f>
        <v/>
      </c>
      <c r="E752" s="20"/>
      <c r="F752" s="18" t="n">
        <f aca="false">COUNTIFS(選手一覧!$C$7:$C$2738,A752,選手一覧!$I$7:$I$2738,"&lt;=100")</f>
        <v>0</v>
      </c>
      <c r="G752" s="18" t="n">
        <f aca="false">COUNTIFS(選手一覧!$C$7:$C$2738,A752,選手一覧!$K$7:$K$2738,"&lt;=100")</f>
        <v>0</v>
      </c>
      <c r="H752" s="17" t="n">
        <f aca="false">COUNTIF(選手一覧!$C$7:$C$2738,A752)</f>
        <v>1</v>
      </c>
    </row>
    <row r="753" customFormat="false" ht="15" hidden="false" customHeight="false" outlineLevel="0" collapsed="false">
      <c r="A753" s="12" t="s">
        <v>2751</v>
      </c>
      <c r="B753" s="22" t="n">
        <f aca="false">COUNTIFS(選手一覧!$C$7:$C$2738,A753,選手一覧!$E$7:$E$2738,"&lt;=100")</f>
        <v>0</v>
      </c>
      <c r="C753" s="18" t="n">
        <f aca="false">COUNTIFS(選手一覧!$C$7:$C$2738,A753,選手一覧!$E$7:$E$2738,"&gt;0")</f>
        <v>0</v>
      </c>
      <c r="D753" s="14" t="str">
        <f aca="false">IF(C753=0,"",_xlfn.MINIFS(選手一覧!$E$7:$E$2738,選手一覧!$C$7:$C$2738,A753))</f>
        <v/>
      </c>
      <c r="E753" s="20"/>
      <c r="F753" s="18" t="n">
        <f aca="false">COUNTIFS(選手一覧!$C$7:$C$2738,A753,選手一覧!$I$7:$I$2738,"&lt;=100")</f>
        <v>0</v>
      </c>
      <c r="G753" s="18" t="n">
        <f aca="false">COUNTIFS(選手一覧!$C$7:$C$2738,A753,選手一覧!$K$7:$K$2738,"&lt;=100")</f>
        <v>0</v>
      </c>
      <c r="H753" s="17" t="n">
        <f aca="false">COUNTIF(選手一覧!$C$7:$C$2738,A753)</f>
        <v>1</v>
      </c>
    </row>
    <row r="754" customFormat="false" ht="15" hidden="false" customHeight="false" outlineLevel="0" collapsed="false">
      <c r="A754" s="12" t="s">
        <v>2756</v>
      </c>
      <c r="B754" s="22" t="n">
        <f aca="false">COUNTIFS(選手一覧!$C$7:$C$2738,A754,選手一覧!$E$7:$E$2738,"&lt;=100")</f>
        <v>0</v>
      </c>
      <c r="C754" s="18" t="n">
        <f aca="false">COUNTIFS(選手一覧!$C$7:$C$2738,A754,選手一覧!$E$7:$E$2738,"&gt;0")</f>
        <v>0</v>
      </c>
      <c r="D754" s="14" t="str">
        <f aca="false">IF(C754=0,"",_xlfn.MINIFS(選手一覧!$E$7:$E$2738,選手一覧!$C$7:$C$2738,A754))</f>
        <v/>
      </c>
      <c r="E754" s="20"/>
      <c r="F754" s="18" t="n">
        <f aca="false">COUNTIFS(選手一覧!$C$7:$C$2738,A754,選手一覧!$I$7:$I$2738,"&lt;=100")</f>
        <v>0</v>
      </c>
      <c r="G754" s="18" t="n">
        <f aca="false">COUNTIFS(選手一覧!$C$7:$C$2738,A754,選手一覧!$K$7:$K$2738,"&lt;=100")</f>
        <v>0</v>
      </c>
      <c r="H754" s="17" t="n">
        <f aca="false">COUNTIF(選手一覧!$C$7:$C$2738,A754)</f>
        <v>1</v>
      </c>
    </row>
    <row r="755" customFormat="false" ht="15" hidden="false" customHeight="false" outlineLevel="0" collapsed="false">
      <c r="A755" s="12" t="s">
        <v>2769</v>
      </c>
      <c r="B755" s="22" t="n">
        <f aca="false">COUNTIFS(選手一覧!$C$7:$C$2738,A755,選手一覧!$E$7:$E$2738,"&lt;=100")</f>
        <v>0</v>
      </c>
      <c r="C755" s="18" t="n">
        <f aca="false">COUNTIFS(選手一覧!$C$7:$C$2738,A755,選手一覧!$E$7:$E$2738,"&gt;0")</f>
        <v>0</v>
      </c>
      <c r="D755" s="14" t="str">
        <f aca="false">IF(C755=0,"",_xlfn.MINIFS(選手一覧!$E$7:$E$2738,選手一覧!$C$7:$C$2738,A755))</f>
        <v/>
      </c>
      <c r="E755" s="20"/>
      <c r="F755" s="18" t="n">
        <f aca="false">COUNTIFS(選手一覧!$C$7:$C$2738,A755,選手一覧!$I$7:$I$2738,"&lt;=100")</f>
        <v>0</v>
      </c>
      <c r="G755" s="18" t="n">
        <f aca="false">COUNTIFS(選手一覧!$C$7:$C$2738,A755,選手一覧!$K$7:$K$2738,"&lt;=100")</f>
        <v>0</v>
      </c>
      <c r="H755" s="17" t="n">
        <f aca="false">COUNTIF(選手一覧!$C$7:$C$2738,A755)</f>
        <v>1</v>
      </c>
    </row>
    <row r="756" customFormat="false" ht="15" hidden="false" customHeight="false" outlineLevel="0" collapsed="false">
      <c r="A756" s="12" t="s">
        <v>2776</v>
      </c>
      <c r="B756" s="22" t="n">
        <f aca="false">COUNTIFS(選手一覧!$C$7:$C$2738,A756,選手一覧!$E$7:$E$2738,"&lt;=100")</f>
        <v>0</v>
      </c>
      <c r="C756" s="18" t="n">
        <f aca="false">COUNTIFS(選手一覧!$C$7:$C$2738,A756,選手一覧!$E$7:$E$2738,"&gt;0")</f>
        <v>0</v>
      </c>
      <c r="D756" s="14" t="str">
        <f aca="false">IF(C756=0,"",_xlfn.MINIFS(選手一覧!$E$7:$E$2738,選手一覧!$C$7:$C$2738,A756))</f>
        <v/>
      </c>
      <c r="E756" s="20"/>
      <c r="F756" s="18" t="n">
        <f aca="false">COUNTIFS(選手一覧!$C$7:$C$2738,A756,選手一覧!$I$7:$I$2738,"&lt;=100")</f>
        <v>0</v>
      </c>
      <c r="G756" s="18" t="n">
        <f aca="false">COUNTIFS(選手一覧!$C$7:$C$2738,A756,選手一覧!$K$7:$K$2738,"&lt;=100")</f>
        <v>0</v>
      </c>
      <c r="H756" s="17" t="n">
        <f aca="false">COUNTIF(選手一覧!$C$7:$C$2738,A756)</f>
        <v>1</v>
      </c>
    </row>
    <row r="757" customFormat="false" ht="15" hidden="false" customHeight="false" outlineLevel="0" collapsed="false">
      <c r="A757" s="12" t="s">
        <v>2778</v>
      </c>
      <c r="B757" s="22" t="n">
        <f aca="false">COUNTIFS(選手一覧!$C$7:$C$2738,A757,選手一覧!$E$7:$E$2738,"&lt;=100")</f>
        <v>0</v>
      </c>
      <c r="C757" s="18" t="n">
        <f aca="false">COUNTIFS(選手一覧!$C$7:$C$2738,A757,選手一覧!$E$7:$E$2738,"&gt;0")</f>
        <v>0</v>
      </c>
      <c r="D757" s="14" t="str">
        <f aca="false">IF(C757=0,"",_xlfn.MINIFS(選手一覧!$E$7:$E$2738,選手一覧!$C$7:$C$2738,A757))</f>
        <v/>
      </c>
      <c r="E757" s="20"/>
      <c r="F757" s="18" t="n">
        <f aca="false">COUNTIFS(選手一覧!$C$7:$C$2738,A757,選手一覧!$I$7:$I$2738,"&lt;=100")</f>
        <v>0</v>
      </c>
      <c r="G757" s="18" t="n">
        <f aca="false">COUNTIFS(選手一覧!$C$7:$C$2738,A757,選手一覧!$K$7:$K$2738,"&lt;=100")</f>
        <v>0</v>
      </c>
      <c r="H757" s="17" t="n">
        <f aca="false">COUNTIF(選手一覧!$C$7:$C$2738,A757)</f>
        <v>1</v>
      </c>
    </row>
    <row r="758" customFormat="false" ht="15" hidden="false" customHeight="false" outlineLevel="0" collapsed="false">
      <c r="A758" s="12" t="s">
        <v>2780</v>
      </c>
      <c r="B758" s="22" t="n">
        <f aca="false">COUNTIFS(選手一覧!$C$7:$C$2738,A758,選手一覧!$E$7:$E$2738,"&lt;=100")</f>
        <v>0</v>
      </c>
      <c r="C758" s="18" t="n">
        <f aca="false">COUNTIFS(選手一覧!$C$7:$C$2738,A758,選手一覧!$E$7:$E$2738,"&gt;0")</f>
        <v>0</v>
      </c>
      <c r="D758" s="14" t="str">
        <f aca="false">IF(C758=0,"",_xlfn.MINIFS(選手一覧!$E$7:$E$2738,選手一覧!$C$7:$C$2738,A758))</f>
        <v/>
      </c>
      <c r="E758" s="20"/>
      <c r="F758" s="18" t="n">
        <f aca="false">COUNTIFS(選手一覧!$C$7:$C$2738,A758,選手一覧!$I$7:$I$2738,"&lt;=100")</f>
        <v>0</v>
      </c>
      <c r="G758" s="18" t="n">
        <f aca="false">COUNTIFS(選手一覧!$C$7:$C$2738,A758,選手一覧!$K$7:$K$2738,"&lt;=100")</f>
        <v>0</v>
      </c>
      <c r="H758" s="17" t="n">
        <f aca="false">COUNTIF(選手一覧!$C$7:$C$2738,A758)</f>
        <v>1</v>
      </c>
    </row>
    <row r="759" customFormat="false" ht="15" hidden="false" customHeight="false" outlineLevel="0" collapsed="false">
      <c r="A759" s="12" t="s">
        <v>2791</v>
      </c>
      <c r="B759" s="22" t="n">
        <f aca="false">COUNTIFS(選手一覧!$C$7:$C$2738,A759,選手一覧!$E$7:$E$2738,"&lt;=100")</f>
        <v>0</v>
      </c>
      <c r="C759" s="18" t="n">
        <f aca="false">COUNTIFS(選手一覧!$C$7:$C$2738,A759,選手一覧!$E$7:$E$2738,"&gt;0")</f>
        <v>0</v>
      </c>
      <c r="D759" s="14" t="str">
        <f aca="false">IF(C759=0,"",_xlfn.MINIFS(選手一覧!$E$7:$E$2738,選手一覧!$C$7:$C$2738,A759))</f>
        <v/>
      </c>
      <c r="E759" s="20"/>
      <c r="F759" s="18" t="n">
        <f aca="false">COUNTIFS(選手一覧!$C$7:$C$2738,A759,選手一覧!$I$7:$I$2738,"&lt;=100")</f>
        <v>0</v>
      </c>
      <c r="G759" s="18" t="n">
        <f aca="false">COUNTIFS(選手一覧!$C$7:$C$2738,A759,選手一覧!$K$7:$K$2738,"&lt;=100")</f>
        <v>0</v>
      </c>
      <c r="H759" s="17" t="n">
        <f aca="false">COUNTIF(選手一覧!$C$7:$C$2738,A759)</f>
        <v>1</v>
      </c>
    </row>
    <row r="760" customFormat="false" ht="15" hidden="false" customHeight="false" outlineLevel="0" collapsed="false">
      <c r="A760" s="12" t="s">
        <v>2802</v>
      </c>
      <c r="B760" s="22" t="n">
        <f aca="false">COUNTIFS(選手一覧!$C$7:$C$2738,A760,選手一覧!$E$7:$E$2738,"&lt;=100")</f>
        <v>0</v>
      </c>
      <c r="C760" s="18" t="n">
        <f aca="false">COUNTIFS(選手一覧!$C$7:$C$2738,A760,選手一覧!$E$7:$E$2738,"&gt;0")</f>
        <v>0</v>
      </c>
      <c r="D760" s="14" t="str">
        <f aca="false">IF(C760=0,"",_xlfn.MINIFS(選手一覧!$E$7:$E$2738,選手一覧!$C$7:$C$2738,A760))</f>
        <v/>
      </c>
      <c r="E760" s="20"/>
      <c r="F760" s="18" t="n">
        <f aca="false">COUNTIFS(選手一覧!$C$7:$C$2738,A760,選手一覧!$I$7:$I$2738,"&lt;=100")</f>
        <v>0</v>
      </c>
      <c r="G760" s="18" t="n">
        <f aca="false">COUNTIFS(選手一覧!$C$7:$C$2738,A760,選手一覧!$K$7:$K$2738,"&lt;=100")</f>
        <v>0</v>
      </c>
      <c r="H760" s="17" t="n">
        <f aca="false">COUNTIF(選手一覧!$C$7:$C$2738,A760)</f>
        <v>1</v>
      </c>
    </row>
    <row r="761" customFormat="false" ht="15" hidden="false" customHeight="false" outlineLevel="0" collapsed="false">
      <c r="A761" s="12" t="s">
        <v>2805</v>
      </c>
      <c r="B761" s="22" t="n">
        <f aca="false">COUNTIFS(選手一覧!$C$7:$C$2738,A761,選手一覧!$E$7:$E$2738,"&lt;=100")</f>
        <v>0</v>
      </c>
      <c r="C761" s="18" t="n">
        <f aca="false">COUNTIFS(選手一覧!$C$7:$C$2738,A761,選手一覧!$E$7:$E$2738,"&gt;0")</f>
        <v>0</v>
      </c>
      <c r="D761" s="14" t="str">
        <f aca="false">IF(C761=0,"",_xlfn.MINIFS(選手一覧!$E$7:$E$2738,選手一覧!$C$7:$C$2738,A761))</f>
        <v/>
      </c>
      <c r="E761" s="20"/>
      <c r="F761" s="18" t="n">
        <f aca="false">COUNTIFS(選手一覧!$C$7:$C$2738,A761,選手一覧!$I$7:$I$2738,"&lt;=100")</f>
        <v>0</v>
      </c>
      <c r="G761" s="18" t="n">
        <f aca="false">COUNTIFS(選手一覧!$C$7:$C$2738,A761,選手一覧!$K$7:$K$2738,"&lt;=100")</f>
        <v>0</v>
      </c>
      <c r="H761" s="17" t="n">
        <f aca="false">COUNTIF(選手一覧!$C$7:$C$2738,A761)</f>
        <v>1</v>
      </c>
    </row>
    <row r="762" customFormat="false" ht="15" hidden="false" customHeight="false" outlineLevel="0" collapsed="false">
      <c r="A762" s="12" t="s">
        <v>2814</v>
      </c>
      <c r="B762" s="22" t="n">
        <f aca="false">COUNTIFS(選手一覧!$C$7:$C$2738,A762,選手一覧!$E$7:$E$2738,"&lt;=100")</f>
        <v>0</v>
      </c>
      <c r="C762" s="18" t="n">
        <f aca="false">COUNTIFS(選手一覧!$C$7:$C$2738,A762,選手一覧!$E$7:$E$2738,"&gt;0")</f>
        <v>0</v>
      </c>
      <c r="D762" s="14" t="str">
        <f aca="false">IF(C762=0,"",_xlfn.MINIFS(選手一覧!$E$7:$E$2738,選手一覧!$C$7:$C$2738,A762))</f>
        <v/>
      </c>
      <c r="E762" s="20"/>
      <c r="F762" s="18" t="n">
        <f aca="false">COUNTIFS(選手一覧!$C$7:$C$2738,A762,選手一覧!$I$7:$I$2738,"&lt;=100")</f>
        <v>0</v>
      </c>
      <c r="G762" s="18" t="n">
        <f aca="false">COUNTIFS(選手一覧!$C$7:$C$2738,A762,選手一覧!$K$7:$K$2738,"&lt;=100")</f>
        <v>0</v>
      </c>
      <c r="H762" s="17" t="n">
        <f aca="false">COUNTIF(選手一覧!$C$7:$C$2738,A762)</f>
        <v>1</v>
      </c>
    </row>
    <row r="763" customFormat="false" ht="15" hidden="false" customHeight="false" outlineLevel="0" collapsed="false">
      <c r="A763" s="12" t="s">
        <v>2818</v>
      </c>
      <c r="B763" s="22" t="n">
        <f aca="false">COUNTIFS(選手一覧!$C$7:$C$2738,A763,選手一覧!$E$7:$E$2738,"&lt;=100")</f>
        <v>0</v>
      </c>
      <c r="C763" s="18" t="n">
        <f aca="false">COUNTIFS(選手一覧!$C$7:$C$2738,A763,選手一覧!$E$7:$E$2738,"&gt;0")</f>
        <v>0</v>
      </c>
      <c r="D763" s="14" t="str">
        <f aca="false">IF(C763=0,"",_xlfn.MINIFS(選手一覧!$E$7:$E$2738,選手一覧!$C$7:$C$2738,A763))</f>
        <v/>
      </c>
      <c r="E763" s="20"/>
      <c r="F763" s="18" t="n">
        <f aca="false">COUNTIFS(選手一覧!$C$7:$C$2738,A763,選手一覧!$I$7:$I$2738,"&lt;=100")</f>
        <v>0</v>
      </c>
      <c r="G763" s="18" t="n">
        <f aca="false">COUNTIFS(選手一覧!$C$7:$C$2738,A763,選手一覧!$K$7:$K$2738,"&lt;=100")</f>
        <v>0</v>
      </c>
      <c r="H763" s="17" t="n">
        <f aca="false">COUNTIF(選手一覧!$C$7:$C$2738,A763)</f>
        <v>1</v>
      </c>
    </row>
    <row r="764" customFormat="false" ht="15" hidden="false" customHeight="false" outlineLevel="0" collapsed="false">
      <c r="A764" s="12" t="s">
        <v>2820</v>
      </c>
      <c r="B764" s="22" t="n">
        <f aca="false">COUNTIFS(選手一覧!$C$7:$C$2738,A764,選手一覧!$E$7:$E$2738,"&lt;=100")</f>
        <v>0</v>
      </c>
      <c r="C764" s="18" t="n">
        <f aca="false">COUNTIFS(選手一覧!$C$7:$C$2738,A764,選手一覧!$E$7:$E$2738,"&gt;0")</f>
        <v>0</v>
      </c>
      <c r="D764" s="14" t="str">
        <f aca="false">IF(C764=0,"",_xlfn.MINIFS(選手一覧!$E$7:$E$2738,選手一覧!$C$7:$C$2738,A764))</f>
        <v/>
      </c>
      <c r="E764" s="20"/>
      <c r="F764" s="18" t="n">
        <f aca="false">COUNTIFS(選手一覧!$C$7:$C$2738,A764,選手一覧!$I$7:$I$2738,"&lt;=100")</f>
        <v>0</v>
      </c>
      <c r="G764" s="18" t="n">
        <f aca="false">COUNTIFS(選手一覧!$C$7:$C$2738,A764,選手一覧!$K$7:$K$2738,"&lt;=100")</f>
        <v>0</v>
      </c>
      <c r="H764" s="17" t="n">
        <f aca="false">COUNTIF(選手一覧!$C$7:$C$2738,A764)</f>
        <v>1</v>
      </c>
    </row>
    <row r="765" customFormat="false" ht="15" hidden="false" customHeight="false" outlineLevel="0" collapsed="false">
      <c r="A765" s="12" t="s">
        <v>2834</v>
      </c>
      <c r="B765" s="22" t="n">
        <f aca="false">COUNTIFS(選手一覧!$C$7:$C$2738,A765,選手一覧!$E$7:$E$2738,"&lt;=100")</f>
        <v>0</v>
      </c>
      <c r="C765" s="18" t="n">
        <f aca="false">COUNTIFS(選手一覧!$C$7:$C$2738,A765,選手一覧!$E$7:$E$2738,"&gt;0")</f>
        <v>0</v>
      </c>
      <c r="D765" s="14" t="str">
        <f aca="false">IF(C765=0,"",_xlfn.MINIFS(選手一覧!$E$7:$E$2738,選手一覧!$C$7:$C$2738,A765))</f>
        <v/>
      </c>
      <c r="E765" s="20"/>
      <c r="F765" s="18" t="n">
        <f aca="false">COUNTIFS(選手一覧!$C$7:$C$2738,A765,選手一覧!$I$7:$I$2738,"&lt;=100")</f>
        <v>0</v>
      </c>
      <c r="G765" s="18" t="n">
        <f aca="false">COUNTIFS(選手一覧!$C$7:$C$2738,A765,選手一覧!$K$7:$K$2738,"&lt;=100")</f>
        <v>0</v>
      </c>
      <c r="H765" s="17" t="n">
        <f aca="false">COUNTIF(選手一覧!$C$7:$C$2738,A765)</f>
        <v>1</v>
      </c>
    </row>
    <row r="766" customFormat="false" ht="15" hidden="false" customHeight="false" outlineLevel="0" collapsed="false">
      <c r="A766" s="12" t="s">
        <v>2838</v>
      </c>
      <c r="B766" s="22" t="n">
        <f aca="false">COUNTIFS(選手一覧!$C$7:$C$2738,A766,選手一覧!$E$7:$E$2738,"&lt;=100")</f>
        <v>0</v>
      </c>
      <c r="C766" s="18" t="n">
        <f aca="false">COUNTIFS(選手一覧!$C$7:$C$2738,A766,選手一覧!$E$7:$E$2738,"&gt;0")</f>
        <v>0</v>
      </c>
      <c r="D766" s="14" t="str">
        <f aca="false">IF(C766=0,"",_xlfn.MINIFS(選手一覧!$E$7:$E$2738,選手一覧!$C$7:$C$2738,A766))</f>
        <v/>
      </c>
      <c r="E766" s="20"/>
      <c r="F766" s="18" t="n">
        <f aca="false">COUNTIFS(選手一覧!$C$7:$C$2738,A766,選手一覧!$I$7:$I$2738,"&lt;=100")</f>
        <v>0</v>
      </c>
      <c r="G766" s="18" t="n">
        <f aca="false">COUNTIFS(選手一覧!$C$7:$C$2738,A766,選手一覧!$K$7:$K$2738,"&lt;=100")</f>
        <v>0</v>
      </c>
      <c r="H766" s="17" t="n">
        <f aca="false">COUNTIF(選手一覧!$C$7:$C$2738,A766)</f>
        <v>1</v>
      </c>
    </row>
    <row r="767" customFormat="false" ht="15" hidden="false" customHeight="false" outlineLevel="0" collapsed="false">
      <c r="A767" s="12" t="s">
        <v>2844</v>
      </c>
      <c r="B767" s="22" t="n">
        <f aca="false">COUNTIFS(選手一覧!$C$7:$C$2738,A767,選手一覧!$E$7:$E$2738,"&lt;=100")</f>
        <v>0</v>
      </c>
      <c r="C767" s="18" t="n">
        <f aca="false">COUNTIFS(選手一覧!$C$7:$C$2738,A767,選手一覧!$E$7:$E$2738,"&gt;0")</f>
        <v>0</v>
      </c>
      <c r="D767" s="14" t="str">
        <f aca="false">IF(C767=0,"",_xlfn.MINIFS(選手一覧!$E$7:$E$2738,選手一覧!$C$7:$C$2738,A767))</f>
        <v/>
      </c>
      <c r="E767" s="20"/>
      <c r="F767" s="18" t="n">
        <f aca="false">COUNTIFS(選手一覧!$C$7:$C$2738,A767,選手一覧!$I$7:$I$2738,"&lt;=100")</f>
        <v>0</v>
      </c>
      <c r="G767" s="18" t="n">
        <f aca="false">COUNTIFS(選手一覧!$C$7:$C$2738,A767,選手一覧!$K$7:$K$2738,"&lt;=100")</f>
        <v>0</v>
      </c>
      <c r="H767" s="17" t="n">
        <f aca="false">COUNTIF(選手一覧!$C$7:$C$2738,A767)</f>
        <v>1</v>
      </c>
    </row>
    <row r="768" customFormat="false" ht="15" hidden="false" customHeight="false" outlineLevel="0" collapsed="false">
      <c r="A768" s="12" t="s">
        <v>2847</v>
      </c>
      <c r="B768" s="22" t="n">
        <f aca="false">COUNTIFS(選手一覧!$C$7:$C$2738,A768,選手一覧!$E$7:$E$2738,"&lt;=100")</f>
        <v>0</v>
      </c>
      <c r="C768" s="18" t="n">
        <f aca="false">COUNTIFS(選手一覧!$C$7:$C$2738,A768,選手一覧!$E$7:$E$2738,"&gt;0")</f>
        <v>0</v>
      </c>
      <c r="D768" s="14" t="str">
        <f aca="false">IF(C768=0,"",_xlfn.MINIFS(選手一覧!$E$7:$E$2738,選手一覧!$C$7:$C$2738,A768))</f>
        <v/>
      </c>
      <c r="E768" s="20"/>
      <c r="F768" s="18" t="n">
        <f aca="false">COUNTIFS(選手一覧!$C$7:$C$2738,A768,選手一覧!$I$7:$I$2738,"&lt;=100")</f>
        <v>0</v>
      </c>
      <c r="G768" s="18" t="n">
        <f aca="false">COUNTIFS(選手一覧!$C$7:$C$2738,A768,選手一覧!$K$7:$K$2738,"&lt;=100")</f>
        <v>0</v>
      </c>
      <c r="H768" s="17" t="n">
        <f aca="false">COUNTIF(選手一覧!$C$7:$C$2738,A768)</f>
        <v>1</v>
      </c>
    </row>
    <row r="769" customFormat="false" ht="15" hidden="false" customHeight="false" outlineLevel="0" collapsed="false">
      <c r="A769" s="12" t="s">
        <v>2858</v>
      </c>
      <c r="B769" s="22" t="n">
        <f aca="false">COUNTIFS(選手一覧!$C$7:$C$2738,A769,選手一覧!$E$7:$E$2738,"&lt;=100")</f>
        <v>0</v>
      </c>
      <c r="C769" s="18" t="n">
        <f aca="false">COUNTIFS(選手一覧!$C$7:$C$2738,A769,選手一覧!$E$7:$E$2738,"&gt;0")</f>
        <v>0</v>
      </c>
      <c r="D769" s="14" t="str">
        <f aca="false">IF(C769=0,"",_xlfn.MINIFS(選手一覧!$E$7:$E$2738,選手一覧!$C$7:$C$2738,A769))</f>
        <v/>
      </c>
      <c r="E769" s="20"/>
      <c r="F769" s="18" t="n">
        <f aca="false">COUNTIFS(選手一覧!$C$7:$C$2738,A769,選手一覧!$I$7:$I$2738,"&lt;=100")</f>
        <v>0</v>
      </c>
      <c r="G769" s="18" t="n">
        <f aca="false">COUNTIFS(選手一覧!$C$7:$C$2738,A769,選手一覧!$K$7:$K$2738,"&lt;=100")</f>
        <v>0</v>
      </c>
      <c r="H769" s="17" t="n">
        <f aca="false">COUNTIF(選手一覧!$C$7:$C$2738,A769)</f>
        <v>1</v>
      </c>
    </row>
    <row r="770" customFormat="false" ht="15" hidden="false" customHeight="false" outlineLevel="0" collapsed="false">
      <c r="A770" s="12" t="s">
        <v>2860</v>
      </c>
      <c r="B770" s="22" t="n">
        <f aca="false">COUNTIFS(選手一覧!$C$7:$C$2738,A770,選手一覧!$E$7:$E$2738,"&lt;=100")</f>
        <v>0</v>
      </c>
      <c r="C770" s="18" t="n">
        <f aca="false">COUNTIFS(選手一覧!$C$7:$C$2738,A770,選手一覧!$E$7:$E$2738,"&gt;0")</f>
        <v>0</v>
      </c>
      <c r="D770" s="14" t="str">
        <f aca="false">IF(C770=0,"",_xlfn.MINIFS(選手一覧!$E$7:$E$2738,選手一覧!$C$7:$C$2738,A770))</f>
        <v/>
      </c>
      <c r="E770" s="20"/>
      <c r="F770" s="18" t="n">
        <f aca="false">COUNTIFS(選手一覧!$C$7:$C$2738,A770,選手一覧!$I$7:$I$2738,"&lt;=100")</f>
        <v>0</v>
      </c>
      <c r="G770" s="18" t="n">
        <f aca="false">COUNTIFS(選手一覧!$C$7:$C$2738,A770,選手一覧!$K$7:$K$2738,"&lt;=100")</f>
        <v>0</v>
      </c>
      <c r="H770" s="17" t="n">
        <f aca="false">COUNTIF(選手一覧!$C$7:$C$2738,A770)</f>
        <v>1</v>
      </c>
    </row>
    <row r="771" customFormat="false" ht="15" hidden="false" customHeight="false" outlineLevel="0" collapsed="false">
      <c r="A771" s="12" t="s">
        <v>2865</v>
      </c>
      <c r="B771" s="22" t="n">
        <f aca="false">COUNTIFS(選手一覧!$C$7:$C$2738,A771,選手一覧!$E$7:$E$2738,"&lt;=100")</f>
        <v>0</v>
      </c>
      <c r="C771" s="18" t="n">
        <f aca="false">COUNTIFS(選手一覧!$C$7:$C$2738,A771,選手一覧!$E$7:$E$2738,"&gt;0")</f>
        <v>0</v>
      </c>
      <c r="D771" s="14" t="str">
        <f aca="false">IF(C771=0,"",_xlfn.MINIFS(選手一覧!$E$7:$E$2738,選手一覧!$C$7:$C$2738,A771))</f>
        <v/>
      </c>
      <c r="E771" s="20"/>
      <c r="F771" s="18" t="n">
        <f aca="false">COUNTIFS(選手一覧!$C$7:$C$2738,A771,選手一覧!$I$7:$I$2738,"&lt;=100")</f>
        <v>0</v>
      </c>
      <c r="G771" s="18" t="n">
        <f aca="false">COUNTIFS(選手一覧!$C$7:$C$2738,A771,選手一覧!$K$7:$K$2738,"&lt;=100")</f>
        <v>0</v>
      </c>
      <c r="H771" s="17" t="n">
        <f aca="false">COUNTIF(選手一覧!$C$7:$C$2738,A771)</f>
        <v>1</v>
      </c>
    </row>
    <row r="772" customFormat="false" ht="15" hidden="false" customHeight="false" outlineLevel="0" collapsed="false">
      <c r="A772" s="12" t="s">
        <v>2873</v>
      </c>
      <c r="B772" s="22" t="n">
        <f aca="false">COUNTIFS(選手一覧!$C$7:$C$2738,A772,選手一覧!$E$7:$E$2738,"&lt;=100")</f>
        <v>0</v>
      </c>
      <c r="C772" s="18" t="n">
        <f aca="false">COUNTIFS(選手一覧!$C$7:$C$2738,A772,選手一覧!$E$7:$E$2738,"&gt;0")</f>
        <v>0</v>
      </c>
      <c r="D772" s="14" t="str">
        <f aca="false">IF(C772=0,"",_xlfn.MINIFS(選手一覧!$E$7:$E$2738,選手一覧!$C$7:$C$2738,A772))</f>
        <v/>
      </c>
      <c r="E772" s="20"/>
      <c r="F772" s="18" t="n">
        <f aca="false">COUNTIFS(選手一覧!$C$7:$C$2738,A772,選手一覧!$I$7:$I$2738,"&lt;=100")</f>
        <v>0</v>
      </c>
      <c r="G772" s="18" t="n">
        <f aca="false">COUNTIFS(選手一覧!$C$7:$C$2738,A772,選手一覧!$K$7:$K$2738,"&lt;=100")</f>
        <v>0</v>
      </c>
      <c r="H772" s="17" t="n">
        <f aca="false">COUNTIF(選手一覧!$C$7:$C$2738,A772)</f>
        <v>1</v>
      </c>
    </row>
    <row r="773" customFormat="false" ht="15" hidden="false" customHeight="false" outlineLevel="0" collapsed="false">
      <c r="A773" s="12" t="s">
        <v>2886</v>
      </c>
      <c r="B773" s="22" t="n">
        <f aca="false">COUNTIFS(選手一覧!$C$7:$C$2738,A773,選手一覧!$E$7:$E$2738,"&lt;=100")</f>
        <v>0</v>
      </c>
      <c r="C773" s="18" t="n">
        <f aca="false">COUNTIFS(選手一覧!$C$7:$C$2738,A773,選手一覧!$E$7:$E$2738,"&gt;0")</f>
        <v>0</v>
      </c>
      <c r="D773" s="14" t="str">
        <f aca="false">IF(C773=0,"",_xlfn.MINIFS(選手一覧!$E$7:$E$2738,選手一覧!$C$7:$C$2738,A773))</f>
        <v/>
      </c>
      <c r="E773" s="20"/>
      <c r="F773" s="18" t="n">
        <f aca="false">COUNTIFS(選手一覧!$C$7:$C$2738,A773,選手一覧!$I$7:$I$2738,"&lt;=100")</f>
        <v>0</v>
      </c>
      <c r="G773" s="18" t="n">
        <f aca="false">COUNTIFS(選手一覧!$C$7:$C$2738,A773,選手一覧!$K$7:$K$2738,"&lt;=100")</f>
        <v>0</v>
      </c>
      <c r="H773" s="17" t="n">
        <f aca="false">COUNTIF(選手一覧!$C$7:$C$2738,A773)</f>
        <v>1</v>
      </c>
    </row>
    <row r="774" customFormat="false" ht="15" hidden="false" customHeight="false" outlineLevel="0" collapsed="false">
      <c r="A774" s="12" t="s">
        <v>2890</v>
      </c>
      <c r="B774" s="22" t="n">
        <f aca="false">COUNTIFS(選手一覧!$C$7:$C$2738,A774,選手一覧!$E$7:$E$2738,"&lt;=100")</f>
        <v>0</v>
      </c>
      <c r="C774" s="18" t="n">
        <f aca="false">COUNTIFS(選手一覧!$C$7:$C$2738,A774,選手一覧!$E$7:$E$2738,"&gt;0")</f>
        <v>0</v>
      </c>
      <c r="D774" s="14" t="str">
        <f aca="false">IF(C774=0,"",_xlfn.MINIFS(選手一覧!$E$7:$E$2738,選手一覧!$C$7:$C$2738,A774))</f>
        <v/>
      </c>
      <c r="E774" s="20"/>
      <c r="F774" s="18" t="n">
        <f aca="false">COUNTIFS(選手一覧!$C$7:$C$2738,A774,選手一覧!$I$7:$I$2738,"&lt;=100")</f>
        <v>0</v>
      </c>
      <c r="G774" s="18" t="n">
        <f aca="false">COUNTIFS(選手一覧!$C$7:$C$2738,A774,選手一覧!$K$7:$K$2738,"&lt;=100")</f>
        <v>0</v>
      </c>
      <c r="H774" s="17" t="n">
        <f aca="false">COUNTIF(選手一覧!$C$7:$C$2738,A774)</f>
        <v>1</v>
      </c>
    </row>
    <row r="775" customFormat="false" ht="15" hidden="false" customHeight="false" outlineLevel="0" collapsed="false">
      <c r="A775" s="12" t="s">
        <v>2894</v>
      </c>
      <c r="B775" s="22" t="n">
        <f aca="false">COUNTIFS(選手一覧!$C$7:$C$2738,A775,選手一覧!$E$7:$E$2738,"&lt;=100")</f>
        <v>0</v>
      </c>
      <c r="C775" s="18" t="n">
        <f aca="false">COUNTIFS(選手一覧!$C$7:$C$2738,A775,選手一覧!$E$7:$E$2738,"&gt;0")</f>
        <v>0</v>
      </c>
      <c r="D775" s="14" t="str">
        <f aca="false">IF(C775=0,"",_xlfn.MINIFS(選手一覧!$E$7:$E$2738,選手一覧!$C$7:$C$2738,A775))</f>
        <v/>
      </c>
      <c r="E775" s="20"/>
      <c r="F775" s="18" t="n">
        <f aca="false">COUNTIFS(選手一覧!$C$7:$C$2738,A775,選手一覧!$I$7:$I$2738,"&lt;=100")</f>
        <v>0</v>
      </c>
      <c r="G775" s="18" t="n">
        <f aca="false">COUNTIFS(選手一覧!$C$7:$C$2738,A775,選手一覧!$K$7:$K$2738,"&lt;=100")</f>
        <v>0</v>
      </c>
      <c r="H775" s="17" t="n">
        <f aca="false">COUNTIF(選手一覧!$C$7:$C$2738,A775)</f>
        <v>1</v>
      </c>
    </row>
    <row r="776" customFormat="false" ht="15" hidden="false" customHeight="false" outlineLevel="0" collapsed="false">
      <c r="A776" s="12" t="s">
        <v>2897</v>
      </c>
      <c r="B776" s="22" t="n">
        <f aca="false">COUNTIFS(選手一覧!$C$7:$C$2738,A776,選手一覧!$E$7:$E$2738,"&lt;=100")</f>
        <v>0</v>
      </c>
      <c r="C776" s="18" t="n">
        <f aca="false">COUNTIFS(選手一覧!$C$7:$C$2738,A776,選手一覧!$E$7:$E$2738,"&gt;0")</f>
        <v>0</v>
      </c>
      <c r="D776" s="14" t="str">
        <f aca="false">IF(C776=0,"",_xlfn.MINIFS(選手一覧!$E$7:$E$2738,選手一覧!$C$7:$C$2738,A776))</f>
        <v/>
      </c>
      <c r="E776" s="20"/>
      <c r="F776" s="18" t="n">
        <f aca="false">COUNTIFS(選手一覧!$C$7:$C$2738,A776,選手一覧!$I$7:$I$2738,"&lt;=100")</f>
        <v>0</v>
      </c>
      <c r="G776" s="18" t="n">
        <f aca="false">COUNTIFS(選手一覧!$C$7:$C$2738,A776,選手一覧!$K$7:$K$2738,"&lt;=100")</f>
        <v>0</v>
      </c>
      <c r="H776" s="17" t="n">
        <f aca="false">COUNTIF(選手一覧!$C$7:$C$2738,A776)</f>
        <v>1</v>
      </c>
    </row>
    <row r="777" customFormat="false" ht="15" hidden="false" customHeight="false" outlineLevel="0" collapsed="false">
      <c r="A777" s="12" t="s">
        <v>2901</v>
      </c>
      <c r="B777" s="22" t="n">
        <f aca="false">COUNTIFS(選手一覧!$C$7:$C$2738,A777,選手一覧!$E$7:$E$2738,"&lt;=100")</f>
        <v>0</v>
      </c>
      <c r="C777" s="18" t="n">
        <f aca="false">COUNTIFS(選手一覧!$C$7:$C$2738,A777,選手一覧!$E$7:$E$2738,"&gt;0")</f>
        <v>0</v>
      </c>
      <c r="D777" s="14" t="str">
        <f aca="false">IF(C777=0,"",_xlfn.MINIFS(選手一覧!$E$7:$E$2738,選手一覧!$C$7:$C$2738,A777))</f>
        <v/>
      </c>
      <c r="E777" s="20"/>
      <c r="F777" s="18" t="n">
        <f aca="false">COUNTIFS(選手一覧!$C$7:$C$2738,A777,選手一覧!$I$7:$I$2738,"&lt;=100")</f>
        <v>0</v>
      </c>
      <c r="G777" s="18" t="n">
        <f aca="false">COUNTIFS(選手一覧!$C$7:$C$2738,A777,選手一覧!$K$7:$K$2738,"&lt;=100")</f>
        <v>0</v>
      </c>
      <c r="H777" s="17" t="n">
        <f aca="false">COUNTIF(選手一覧!$C$7:$C$2738,A777)</f>
        <v>1</v>
      </c>
    </row>
    <row r="778" customFormat="false" ht="15" hidden="false" customHeight="false" outlineLevel="0" collapsed="false">
      <c r="A778" s="12" t="s">
        <v>2903</v>
      </c>
      <c r="B778" s="22" t="n">
        <f aca="false">COUNTIFS(選手一覧!$C$7:$C$2738,A778,選手一覧!$E$7:$E$2738,"&lt;=100")</f>
        <v>0</v>
      </c>
      <c r="C778" s="18" t="n">
        <f aca="false">COUNTIFS(選手一覧!$C$7:$C$2738,A778,選手一覧!$E$7:$E$2738,"&gt;0")</f>
        <v>0</v>
      </c>
      <c r="D778" s="14" t="str">
        <f aca="false">IF(C778=0,"",_xlfn.MINIFS(選手一覧!$E$7:$E$2738,選手一覧!$C$7:$C$2738,A778))</f>
        <v/>
      </c>
      <c r="E778" s="20"/>
      <c r="F778" s="18" t="n">
        <f aca="false">COUNTIFS(選手一覧!$C$7:$C$2738,A778,選手一覧!$I$7:$I$2738,"&lt;=100")</f>
        <v>0</v>
      </c>
      <c r="G778" s="18" t="n">
        <f aca="false">COUNTIFS(選手一覧!$C$7:$C$2738,A778,選手一覧!$K$7:$K$2738,"&lt;=100")</f>
        <v>0</v>
      </c>
      <c r="H778" s="17" t="n">
        <f aca="false">COUNTIF(選手一覧!$C$7:$C$2738,A778)</f>
        <v>1</v>
      </c>
    </row>
    <row r="779" customFormat="false" ht="15" hidden="false" customHeight="false" outlineLevel="0" collapsed="false">
      <c r="A779" s="12" t="s">
        <v>2906</v>
      </c>
      <c r="B779" s="22" t="n">
        <f aca="false">COUNTIFS(選手一覧!$C$7:$C$2738,A779,選手一覧!$E$7:$E$2738,"&lt;=100")</f>
        <v>0</v>
      </c>
      <c r="C779" s="18" t="n">
        <f aca="false">COUNTIFS(選手一覧!$C$7:$C$2738,A779,選手一覧!$E$7:$E$2738,"&gt;0")</f>
        <v>0</v>
      </c>
      <c r="D779" s="14" t="str">
        <f aca="false">IF(C779=0,"",_xlfn.MINIFS(選手一覧!$E$7:$E$2738,選手一覧!$C$7:$C$2738,A779))</f>
        <v/>
      </c>
      <c r="E779" s="20"/>
      <c r="F779" s="18" t="n">
        <f aca="false">COUNTIFS(選手一覧!$C$7:$C$2738,A779,選手一覧!$I$7:$I$2738,"&lt;=100")</f>
        <v>0</v>
      </c>
      <c r="G779" s="18" t="n">
        <f aca="false">COUNTIFS(選手一覧!$C$7:$C$2738,A779,選手一覧!$K$7:$K$2738,"&lt;=100")</f>
        <v>0</v>
      </c>
      <c r="H779" s="17" t="n">
        <f aca="false">COUNTIF(選手一覧!$C$7:$C$2738,A779)</f>
        <v>1</v>
      </c>
    </row>
    <row r="780" customFormat="false" ht="15" hidden="false" customHeight="false" outlineLevel="0" collapsed="false">
      <c r="A780" s="12" t="s">
        <v>2911</v>
      </c>
      <c r="B780" s="22" t="n">
        <f aca="false">COUNTIFS(選手一覧!$C$7:$C$2738,A780,選手一覧!$E$7:$E$2738,"&lt;=100")</f>
        <v>0</v>
      </c>
      <c r="C780" s="18" t="n">
        <f aca="false">COUNTIFS(選手一覧!$C$7:$C$2738,A780,選手一覧!$E$7:$E$2738,"&gt;0")</f>
        <v>0</v>
      </c>
      <c r="D780" s="14" t="str">
        <f aca="false">IF(C780=0,"",_xlfn.MINIFS(選手一覧!$E$7:$E$2738,選手一覧!$C$7:$C$2738,A780))</f>
        <v/>
      </c>
      <c r="E780" s="20"/>
      <c r="F780" s="18" t="n">
        <f aca="false">COUNTIFS(選手一覧!$C$7:$C$2738,A780,選手一覧!$I$7:$I$2738,"&lt;=100")</f>
        <v>0</v>
      </c>
      <c r="G780" s="18" t="n">
        <f aca="false">COUNTIFS(選手一覧!$C$7:$C$2738,A780,選手一覧!$K$7:$K$2738,"&lt;=100")</f>
        <v>0</v>
      </c>
      <c r="H780" s="17" t="n">
        <f aca="false">COUNTIF(選手一覧!$C$7:$C$2738,A780)</f>
        <v>1</v>
      </c>
    </row>
    <row r="781" customFormat="false" ht="15" hidden="false" customHeight="false" outlineLevel="0" collapsed="false">
      <c r="A781" s="12" t="s">
        <v>2914</v>
      </c>
      <c r="B781" s="22" t="n">
        <f aca="false">COUNTIFS(選手一覧!$C$7:$C$2738,A781,選手一覧!$E$7:$E$2738,"&lt;=100")</f>
        <v>0</v>
      </c>
      <c r="C781" s="18" t="n">
        <f aca="false">COUNTIFS(選手一覧!$C$7:$C$2738,A781,選手一覧!$E$7:$E$2738,"&gt;0")</f>
        <v>0</v>
      </c>
      <c r="D781" s="14" t="str">
        <f aca="false">IF(C781=0,"",_xlfn.MINIFS(選手一覧!$E$7:$E$2738,選手一覧!$C$7:$C$2738,A781))</f>
        <v/>
      </c>
      <c r="E781" s="20"/>
      <c r="F781" s="18" t="n">
        <f aca="false">COUNTIFS(選手一覧!$C$7:$C$2738,A781,選手一覧!$I$7:$I$2738,"&lt;=100")</f>
        <v>0</v>
      </c>
      <c r="G781" s="18" t="n">
        <f aca="false">COUNTIFS(選手一覧!$C$7:$C$2738,A781,選手一覧!$K$7:$K$2738,"&lt;=100")</f>
        <v>0</v>
      </c>
      <c r="H781" s="17" t="n">
        <f aca="false">COUNTIF(選手一覧!$C$7:$C$2738,A781)</f>
        <v>1</v>
      </c>
    </row>
    <row r="782" customFormat="false" ht="15" hidden="false" customHeight="false" outlineLevel="0" collapsed="false">
      <c r="A782" s="12" t="s">
        <v>2925</v>
      </c>
      <c r="B782" s="22" t="n">
        <f aca="false">COUNTIFS(選手一覧!$C$7:$C$2738,A782,選手一覧!$E$7:$E$2738,"&lt;=100")</f>
        <v>0</v>
      </c>
      <c r="C782" s="18" t="n">
        <f aca="false">COUNTIFS(選手一覧!$C$7:$C$2738,A782,選手一覧!$E$7:$E$2738,"&gt;0")</f>
        <v>0</v>
      </c>
      <c r="D782" s="14" t="str">
        <f aca="false">IF(C782=0,"",_xlfn.MINIFS(選手一覧!$E$7:$E$2738,選手一覧!$C$7:$C$2738,A782))</f>
        <v/>
      </c>
      <c r="E782" s="20"/>
      <c r="F782" s="18" t="n">
        <f aca="false">COUNTIFS(選手一覧!$C$7:$C$2738,A782,選手一覧!$I$7:$I$2738,"&lt;=100")</f>
        <v>0</v>
      </c>
      <c r="G782" s="18" t="n">
        <f aca="false">COUNTIFS(選手一覧!$C$7:$C$2738,A782,選手一覧!$K$7:$K$2738,"&lt;=100")</f>
        <v>0</v>
      </c>
      <c r="H782" s="17" t="n">
        <f aca="false">COUNTIF(選手一覧!$C$7:$C$2738,A782)</f>
        <v>1</v>
      </c>
    </row>
    <row r="783" customFormat="false" ht="15" hidden="false" customHeight="false" outlineLevel="0" collapsed="false">
      <c r="A783" s="12" t="s">
        <v>2930</v>
      </c>
      <c r="B783" s="22" t="n">
        <f aca="false">COUNTIFS(選手一覧!$C$7:$C$2738,A783,選手一覧!$E$7:$E$2738,"&lt;=100")</f>
        <v>0</v>
      </c>
      <c r="C783" s="18" t="n">
        <f aca="false">COUNTIFS(選手一覧!$C$7:$C$2738,A783,選手一覧!$E$7:$E$2738,"&gt;0")</f>
        <v>0</v>
      </c>
      <c r="D783" s="14" t="str">
        <f aca="false">IF(C783=0,"",_xlfn.MINIFS(選手一覧!$E$7:$E$2738,選手一覧!$C$7:$C$2738,A783))</f>
        <v/>
      </c>
      <c r="E783" s="20"/>
      <c r="F783" s="18" t="n">
        <f aca="false">COUNTIFS(選手一覧!$C$7:$C$2738,A783,選手一覧!$I$7:$I$2738,"&lt;=100")</f>
        <v>0</v>
      </c>
      <c r="G783" s="18" t="n">
        <f aca="false">COUNTIFS(選手一覧!$C$7:$C$2738,A783,選手一覧!$K$7:$K$2738,"&lt;=100")</f>
        <v>0</v>
      </c>
      <c r="H783" s="17" t="n">
        <f aca="false">COUNTIF(選手一覧!$C$7:$C$2738,A783)</f>
        <v>1</v>
      </c>
    </row>
    <row r="784" customFormat="false" ht="15" hidden="false" customHeight="false" outlineLevel="0" collapsed="false">
      <c r="A784" s="12" t="s">
        <v>2932</v>
      </c>
      <c r="B784" s="22" t="n">
        <f aca="false">COUNTIFS(選手一覧!$C$7:$C$2738,A784,選手一覧!$E$7:$E$2738,"&lt;=100")</f>
        <v>0</v>
      </c>
      <c r="C784" s="18" t="n">
        <f aca="false">COUNTIFS(選手一覧!$C$7:$C$2738,A784,選手一覧!$E$7:$E$2738,"&gt;0")</f>
        <v>0</v>
      </c>
      <c r="D784" s="14" t="str">
        <f aca="false">IF(C784=0,"",_xlfn.MINIFS(選手一覧!$E$7:$E$2738,選手一覧!$C$7:$C$2738,A784))</f>
        <v/>
      </c>
      <c r="E784" s="20"/>
      <c r="F784" s="18" t="n">
        <f aca="false">COUNTIFS(選手一覧!$C$7:$C$2738,A784,選手一覧!$I$7:$I$2738,"&lt;=100")</f>
        <v>0</v>
      </c>
      <c r="G784" s="18" t="n">
        <f aca="false">COUNTIFS(選手一覧!$C$7:$C$2738,A784,選手一覧!$K$7:$K$2738,"&lt;=100")</f>
        <v>0</v>
      </c>
      <c r="H784" s="17" t="n">
        <f aca="false">COUNTIF(選手一覧!$C$7:$C$2738,A784)</f>
        <v>1</v>
      </c>
    </row>
    <row r="785" customFormat="false" ht="15" hidden="false" customHeight="false" outlineLevel="0" collapsed="false">
      <c r="A785" s="12" t="s">
        <v>2936</v>
      </c>
      <c r="B785" s="22" t="n">
        <f aca="false">COUNTIFS(選手一覧!$C$7:$C$2738,A785,選手一覧!$E$7:$E$2738,"&lt;=100")</f>
        <v>0</v>
      </c>
      <c r="C785" s="18" t="n">
        <f aca="false">COUNTIFS(選手一覧!$C$7:$C$2738,A785,選手一覧!$E$7:$E$2738,"&gt;0")</f>
        <v>0</v>
      </c>
      <c r="D785" s="14" t="str">
        <f aca="false">IF(C785=0,"",_xlfn.MINIFS(選手一覧!$E$7:$E$2738,選手一覧!$C$7:$C$2738,A785))</f>
        <v/>
      </c>
      <c r="E785" s="20"/>
      <c r="F785" s="18" t="n">
        <f aca="false">COUNTIFS(選手一覧!$C$7:$C$2738,A785,選手一覧!$I$7:$I$2738,"&lt;=100")</f>
        <v>0</v>
      </c>
      <c r="G785" s="18" t="n">
        <f aca="false">COUNTIFS(選手一覧!$C$7:$C$2738,A785,選手一覧!$K$7:$K$2738,"&lt;=100")</f>
        <v>0</v>
      </c>
      <c r="H785" s="17" t="n">
        <f aca="false">COUNTIF(選手一覧!$C$7:$C$2738,A785)</f>
        <v>1</v>
      </c>
    </row>
    <row r="786" customFormat="false" ht="15" hidden="false" customHeight="false" outlineLevel="0" collapsed="false">
      <c r="A786" s="12" t="s">
        <v>2940</v>
      </c>
      <c r="B786" s="22" t="n">
        <f aca="false">COUNTIFS(選手一覧!$C$7:$C$2738,A786,選手一覧!$E$7:$E$2738,"&lt;=100")</f>
        <v>0</v>
      </c>
      <c r="C786" s="18" t="n">
        <f aca="false">COUNTIFS(選手一覧!$C$7:$C$2738,A786,選手一覧!$E$7:$E$2738,"&gt;0")</f>
        <v>0</v>
      </c>
      <c r="D786" s="14" t="str">
        <f aca="false">IF(C786=0,"",_xlfn.MINIFS(選手一覧!$E$7:$E$2738,選手一覧!$C$7:$C$2738,A786))</f>
        <v/>
      </c>
      <c r="E786" s="20"/>
      <c r="F786" s="18" t="n">
        <f aca="false">COUNTIFS(選手一覧!$C$7:$C$2738,A786,選手一覧!$I$7:$I$2738,"&lt;=100")</f>
        <v>0</v>
      </c>
      <c r="G786" s="18" t="n">
        <f aca="false">COUNTIFS(選手一覧!$C$7:$C$2738,A786,選手一覧!$K$7:$K$2738,"&lt;=100")</f>
        <v>0</v>
      </c>
      <c r="H786" s="17" t="n">
        <f aca="false">COUNTIF(選手一覧!$C$7:$C$2738,A786)</f>
        <v>1</v>
      </c>
    </row>
    <row r="787" customFormat="false" ht="15" hidden="false" customHeight="false" outlineLevel="0" collapsed="false">
      <c r="A787" s="12" t="s">
        <v>2951</v>
      </c>
      <c r="B787" s="22" t="n">
        <f aca="false">COUNTIFS(選手一覧!$C$7:$C$2738,A787,選手一覧!$E$7:$E$2738,"&lt;=100")</f>
        <v>0</v>
      </c>
      <c r="C787" s="18" t="n">
        <f aca="false">COUNTIFS(選手一覧!$C$7:$C$2738,A787,選手一覧!$E$7:$E$2738,"&gt;0")</f>
        <v>0</v>
      </c>
      <c r="D787" s="14" t="str">
        <f aca="false">IF(C787=0,"",_xlfn.MINIFS(選手一覧!$E$7:$E$2738,選手一覧!$C$7:$C$2738,A787))</f>
        <v/>
      </c>
      <c r="E787" s="20"/>
      <c r="F787" s="18" t="n">
        <f aca="false">COUNTIFS(選手一覧!$C$7:$C$2738,A787,選手一覧!$I$7:$I$2738,"&lt;=100")</f>
        <v>0</v>
      </c>
      <c r="G787" s="18" t="n">
        <f aca="false">COUNTIFS(選手一覧!$C$7:$C$2738,A787,選手一覧!$K$7:$K$2738,"&lt;=100")</f>
        <v>0</v>
      </c>
      <c r="H787" s="17" t="n">
        <f aca="false">COUNTIF(選手一覧!$C$7:$C$2738,A787)</f>
        <v>1</v>
      </c>
    </row>
    <row r="788" customFormat="false" ht="15" hidden="false" customHeight="false" outlineLevel="0" collapsed="false">
      <c r="A788" s="12" t="s">
        <v>2957</v>
      </c>
      <c r="B788" s="22" t="n">
        <f aca="false">COUNTIFS(選手一覧!$C$7:$C$2738,A788,選手一覧!$E$7:$E$2738,"&lt;=100")</f>
        <v>0</v>
      </c>
      <c r="C788" s="18" t="n">
        <f aca="false">COUNTIFS(選手一覧!$C$7:$C$2738,A788,選手一覧!$E$7:$E$2738,"&gt;0")</f>
        <v>0</v>
      </c>
      <c r="D788" s="14" t="str">
        <f aca="false">IF(C788=0,"",_xlfn.MINIFS(選手一覧!$E$7:$E$2738,選手一覧!$C$7:$C$2738,A788))</f>
        <v/>
      </c>
      <c r="E788" s="20"/>
      <c r="F788" s="18" t="n">
        <f aca="false">COUNTIFS(選手一覧!$C$7:$C$2738,A788,選手一覧!$I$7:$I$2738,"&lt;=100")</f>
        <v>0</v>
      </c>
      <c r="G788" s="18" t="n">
        <f aca="false">COUNTIFS(選手一覧!$C$7:$C$2738,A788,選手一覧!$K$7:$K$2738,"&lt;=100")</f>
        <v>0</v>
      </c>
      <c r="H788" s="17" t="n">
        <f aca="false">COUNTIF(選手一覧!$C$7:$C$2738,A788)</f>
        <v>1</v>
      </c>
    </row>
    <row r="789" customFormat="false" ht="15" hidden="false" customHeight="false" outlineLevel="0" collapsed="false">
      <c r="A789" s="12" t="s">
        <v>2965</v>
      </c>
      <c r="B789" s="22" t="n">
        <f aca="false">COUNTIFS(選手一覧!$C$7:$C$2738,A789,選手一覧!$E$7:$E$2738,"&lt;=100")</f>
        <v>0</v>
      </c>
      <c r="C789" s="18" t="n">
        <f aca="false">COUNTIFS(選手一覧!$C$7:$C$2738,A789,選手一覧!$E$7:$E$2738,"&gt;0")</f>
        <v>0</v>
      </c>
      <c r="D789" s="14" t="str">
        <f aca="false">IF(C789=0,"",_xlfn.MINIFS(選手一覧!$E$7:$E$2738,選手一覧!$C$7:$C$2738,A789))</f>
        <v/>
      </c>
      <c r="E789" s="20"/>
      <c r="F789" s="18" t="n">
        <f aca="false">COUNTIFS(選手一覧!$C$7:$C$2738,A789,選手一覧!$I$7:$I$2738,"&lt;=100")</f>
        <v>0</v>
      </c>
      <c r="G789" s="18" t="n">
        <f aca="false">COUNTIFS(選手一覧!$C$7:$C$2738,A789,選手一覧!$K$7:$K$2738,"&lt;=100")</f>
        <v>0</v>
      </c>
      <c r="H789" s="17" t="n">
        <f aca="false">COUNTIF(選手一覧!$C$7:$C$2738,A789)</f>
        <v>1</v>
      </c>
    </row>
    <row r="790" customFormat="false" ht="15" hidden="false" customHeight="false" outlineLevel="0" collapsed="false">
      <c r="A790" s="12" t="s">
        <v>2970</v>
      </c>
      <c r="B790" s="22" t="n">
        <f aca="false">COUNTIFS(選手一覧!$C$7:$C$2738,A790,選手一覧!$E$7:$E$2738,"&lt;=100")</f>
        <v>0</v>
      </c>
      <c r="C790" s="18" t="n">
        <f aca="false">COUNTIFS(選手一覧!$C$7:$C$2738,A790,選手一覧!$E$7:$E$2738,"&gt;0")</f>
        <v>0</v>
      </c>
      <c r="D790" s="14" t="str">
        <f aca="false">IF(C790=0,"",_xlfn.MINIFS(選手一覧!$E$7:$E$2738,選手一覧!$C$7:$C$2738,A790))</f>
        <v/>
      </c>
      <c r="E790" s="20"/>
      <c r="F790" s="18" t="n">
        <f aca="false">COUNTIFS(選手一覧!$C$7:$C$2738,A790,選手一覧!$I$7:$I$2738,"&lt;=100")</f>
        <v>0</v>
      </c>
      <c r="G790" s="18" t="n">
        <f aca="false">COUNTIFS(選手一覧!$C$7:$C$2738,A790,選手一覧!$K$7:$K$2738,"&lt;=100")</f>
        <v>0</v>
      </c>
      <c r="H790" s="17" t="n">
        <f aca="false">COUNTIF(選手一覧!$C$7:$C$2738,A790)</f>
        <v>1</v>
      </c>
    </row>
    <row r="791" customFormat="false" ht="15" hidden="false" customHeight="false" outlineLevel="0" collapsed="false">
      <c r="A791" s="12" t="s">
        <v>2975</v>
      </c>
      <c r="B791" s="22" t="n">
        <f aca="false">COUNTIFS(選手一覧!$C$7:$C$2738,A791,選手一覧!$E$7:$E$2738,"&lt;=100")</f>
        <v>0</v>
      </c>
      <c r="C791" s="18" t="n">
        <f aca="false">COUNTIFS(選手一覧!$C$7:$C$2738,A791,選手一覧!$E$7:$E$2738,"&gt;0")</f>
        <v>0</v>
      </c>
      <c r="D791" s="14" t="str">
        <f aca="false">IF(C791=0,"",_xlfn.MINIFS(選手一覧!$E$7:$E$2738,選手一覧!$C$7:$C$2738,A791))</f>
        <v/>
      </c>
      <c r="E791" s="20"/>
      <c r="F791" s="18" t="n">
        <f aca="false">COUNTIFS(選手一覧!$C$7:$C$2738,A791,選手一覧!$I$7:$I$2738,"&lt;=100")</f>
        <v>0</v>
      </c>
      <c r="G791" s="18" t="n">
        <f aca="false">COUNTIFS(選手一覧!$C$7:$C$2738,A791,選手一覧!$K$7:$K$2738,"&lt;=100")</f>
        <v>0</v>
      </c>
      <c r="H791" s="17" t="n">
        <f aca="false">COUNTIF(選手一覧!$C$7:$C$2738,A791)</f>
        <v>1</v>
      </c>
    </row>
    <row r="792" customFormat="false" ht="15" hidden="false" customHeight="false" outlineLevel="0" collapsed="false">
      <c r="A792" s="12" t="s">
        <v>2998</v>
      </c>
      <c r="B792" s="22" t="n">
        <f aca="false">COUNTIFS(選手一覧!$C$7:$C$2738,A792,選手一覧!$E$7:$E$2738,"&lt;=100")</f>
        <v>0</v>
      </c>
      <c r="C792" s="18" t="n">
        <f aca="false">COUNTIFS(選手一覧!$C$7:$C$2738,A792,選手一覧!$E$7:$E$2738,"&gt;0")</f>
        <v>0</v>
      </c>
      <c r="D792" s="14" t="str">
        <f aca="false">IF(C792=0,"",_xlfn.MINIFS(選手一覧!$E$7:$E$2738,選手一覧!$C$7:$C$2738,A792))</f>
        <v/>
      </c>
      <c r="E792" s="20"/>
      <c r="F792" s="18" t="n">
        <f aca="false">COUNTIFS(選手一覧!$C$7:$C$2738,A792,選手一覧!$I$7:$I$2738,"&lt;=100")</f>
        <v>0</v>
      </c>
      <c r="G792" s="18" t="n">
        <f aca="false">COUNTIFS(選手一覧!$C$7:$C$2738,A792,選手一覧!$K$7:$K$2738,"&lt;=100")</f>
        <v>0</v>
      </c>
      <c r="H792" s="17" t="n">
        <f aca="false">COUNTIF(選手一覧!$C$7:$C$2738,A792)</f>
        <v>1</v>
      </c>
    </row>
    <row r="793" customFormat="false" ht="15" hidden="false" customHeight="false" outlineLevel="0" collapsed="false">
      <c r="A793" s="12" t="s">
        <v>3009</v>
      </c>
      <c r="B793" s="22" t="n">
        <f aca="false">COUNTIFS(選手一覧!$C$7:$C$2738,A793,選手一覧!$E$7:$E$2738,"&lt;=100")</f>
        <v>0</v>
      </c>
      <c r="C793" s="18" t="n">
        <f aca="false">COUNTIFS(選手一覧!$C$7:$C$2738,A793,選手一覧!$E$7:$E$2738,"&gt;0")</f>
        <v>0</v>
      </c>
      <c r="D793" s="14" t="str">
        <f aca="false">IF(C793=0,"",_xlfn.MINIFS(選手一覧!$E$7:$E$2738,選手一覧!$C$7:$C$2738,A793))</f>
        <v/>
      </c>
      <c r="E793" s="20"/>
      <c r="F793" s="18" t="n">
        <f aca="false">COUNTIFS(選手一覧!$C$7:$C$2738,A793,選手一覧!$I$7:$I$2738,"&lt;=100")</f>
        <v>0</v>
      </c>
      <c r="G793" s="18" t="n">
        <f aca="false">COUNTIFS(選手一覧!$C$7:$C$2738,A793,選手一覧!$K$7:$K$2738,"&lt;=100")</f>
        <v>0</v>
      </c>
      <c r="H793" s="17" t="n">
        <f aca="false">COUNTIF(選手一覧!$C$7:$C$2738,A793)</f>
        <v>1</v>
      </c>
    </row>
    <row r="794" customFormat="false" ht="15" hidden="false" customHeight="false" outlineLevel="0" collapsed="false">
      <c r="A794" s="12" t="s">
        <v>3012</v>
      </c>
      <c r="B794" s="22" t="n">
        <f aca="false">COUNTIFS(選手一覧!$C$7:$C$2738,A794,選手一覧!$E$7:$E$2738,"&lt;=100")</f>
        <v>0</v>
      </c>
      <c r="C794" s="18" t="n">
        <f aca="false">COUNTIFS(選手一覧!$C$7:$C$2738,A794,選手一覧!$E$7:$E$2738,"&gt;0")</f>
        <v>0</v>
      </c>
      <c r="D794" s="14" t="str">
        <f aca="false">IF(C794=0,"",_xlfn.MINIFS(選手一覧!$E$7:$E$2738,選手一覧!$C$7:$C$2738,A794))</f>
        <v/>
      </c>
      <c r="E794" s="20"/>
      <c r="F794" s="18" t="n">
        <f aca="false">COUNTIFS(選手一覧!$C$7:$C$2738,A794,選手一覧!$I$7:$I$2738,"&lt;=100")</f>
        <v>0</v>
      </c>
      <c r="G794" s="18" t="n">
        <f aca="false">COUNTIFS(選手一覧!$C$7:$C$2738,A794,選手一覧!$K$7:$K$2738,"&lt;=100")</f>
        <v>0</v>
      </c>
      <c r="H794" s="17" t="n">
        <f aca="false">COUNTIF(選手一覧!$C$7:$C$2738,A794)</f>
        <v>1</v>
      </c>
    </row>
    <row r="795" customFormat="false" ht="15" hidden="false" customHeight="false" outlineLevel="0" collapsed="false">
      <c r="A795" s="12" t="s">
        <v>3016</v>
      </c>
      <c r="B795" s="22" t="n">
        <f aca="false">COUNTIFS(選手一覧!$C$7:$C$2738,A795,選手一覧!$E$7:$E$2738,"&lt;=100")</f>
        <v>0</v>
      </c>
      <c r="C795" s="18" t="n">
        <f aca="false">COUNTIFS(選手一覧!$C$7:$C$2738,A795,選手一覧!$E$7:$E$2738,"&gt;0")</f>
        <v>0</v>
      </c>
      <c r="D795" s="14" t="str">
        <f aca="false">IF(C795=0,"",_xlfn.MINIFS(選手一覧!$E$7:$E$2738,選手一覧!$C$7:$C$2738,A795))</f>
        <v/>
      </c>
      <c r="E795" s="20"/>
      <c r="F795" s="18" t="n">
        <f aca="false">COUNTIFS(選手一覧!$C$7:$C$2738,A795,選手一覧!$I$7:$I$2738,"&lt;=100")</f>
        <v>0</v>
      </c>
      <c r="G795" s="18" t="n">
        <f aca="false">COUNTIFS(選手一覧!$C$7:$C$2738,A795,選手一覧!$K$7:$K$2738,"&lt;=100")</f>
        <v>0</v>
      </c>
      <c r="H795" s="17" t="n">
        <f aca="false">COUNTIF(選手一覧!$C$7:$C$2738,A795)</f>
        <v>1</v>
      </c>
    </row>
    <row r="796" customFormat="false" ht="15" hidden="false" customHeight="false" outlineLevel="0" collapsed="false">
      <c r="A796" s="12" t="s">
        <v>3024</v>
      </c>
      <c r="B796" s="22" t="n">
        <f aca="false">COUNTIFS(選手一覧!$C$7:$C$2738,A796,選手一覧!$E$7:$E$2738,"&lt;=100")</f>
        <v>0</v>
      </c>
      <c r="C796" s="18" t="n">
        <f aca="false">COUNTIFS(選手一覧!$C$7:$C$2738,A796,選手一覧!$E$7:$E$2738,"&gt;0")</f>
        <v>0</v>
      </c>
      <c r="D796" s="14" t="str">
        <f aca="false">IF(C796=0,"",_xlfn.MINIFS(選手一覧!$E$7:$E$2738,選手一覧!$C$7:$C$2738,A796))</f>
        <v/>
      </c>
      <c r="E796" s="20"/>
      <c r="F796" s="18" t="n">
        <f aca="false">COUNTIFS(選手一覧!$C$7:$C$2738,A796,選手一覧!$I$7:$I$2738,"&lt;=100")</f>
        <v>0</v>
      </c>
      <c r="G796" s="18" t="n">
        <f aca="false">COUNTIFS(選手一覧!$C$7:$C$2738,A796,選手一覧!$K$7:$K$2738,"&lt;=100")</f>
        <v>0</v>
      </c>
      <c r="H796" s="17" t="n">
        <f aca="false">COUNTIF(選手一覧!$C$7:$C$2738,A796)</f>
        <v>1</v>
      </c>
    </row>
    <row r="797" customFormat="false" ht="15" hidden="false" customHeight="false" outlineLevel="0" collapsed="false">
      <c r="A797" s="12" t="s">
        <v>3043</v>
      </c>
      <c r="B797" s="22" t="n">
        <f aca="false">COUNTIFS(選手一覧!$C$7:$C$2738,A797,選手一覧!$E$7:$E$2738,"&lt;=100")</f>
        <v>0</v>
      </c>
      <c r="C797" s="18" t="n">
        <f aca="false">COUNTIFS(選手一覧!$C$7:$C$2738,A797,選手一覧!$E$7:$E$2738,"&gt;0")</f>
        <v>0</v>
      </c>
      <c r="D797" s="14" t="str">
        <f aca="false">IF(C797=0,"",_xlfn.MINIFS(選手一覧!$E$7:$E$2738,選手一覧!$C$7:$C$2738,A797))</f>
        <v/>
      </c>
      <c r="E797" s="20"/>
      <c r="F797" s="18" t="n">
        <f aca="false">COUNTIFS(選手一覧!$C$7:$C$2738,A797,選手一覧!$I$7:$I$2738,"&lt;=100")</f>
        <v>0</v>
      </c>
      <c r="G797" s="18" t="n">
        <f aca="false">COUNTIFS(選手一覧!$C$7:$C$2738,A797,選手一覧!$K$7:$K$2738,"&lt;=100")</f>
        <v>0</v>
      </c>
      <c r="H797" s="17" t="n">
        <f aca="false">COUNTIF(選手一覧!$C$7:$C$2738,A797)</f>
        <v>1</v>
      </c>
    </row>
    <row r="798" customFormat="false" ht="15" hidden="false" customHeight="false" outlineLevel="0" collapsed="false">
      <c r="A798" s="12" t="s">
        <v>3047</v>
      </c>
      <c r="B798" s="22" t="n">
        <f aca="false">COUNTIFS(選手一覧!$C$7:$C$2738,A798,選手一覧!$E$7:$E$2738,"&lt;=100")</f>
        <v>0</v>
      </c>
      <c r="C798" s="18" t="n">
        <f aca="false">COUNTIFS(選手一覧!$C$7:$C$2738,A798,選手一覧!$E$7:$E$2738,"&gt;0")</f>
        <v>0</v>
      </c>
      <c r="D798" s="14" t="str">
        <f aca="false">IF(C798=0,"",_xlfn.MINIFS(選手一覧!$E$7:$E$2738,選手一覧!$C$7:$C$2738,A798))</f>
        <v/>
      </c>
      <c r="E798" s="20"/>
      <c r="F798" s="18" t="n">
        <f aca="false">COUNTIFS(選手一覧!$C$7:$C$2738,A798,選手一覧!$I$7:$I$2738,"&lt;=100")</f>
        <v>0</v>
      </c>
      <c r="G798" s="18" t="n">
        <f aca="false">COUNTIFS(選手一覧!$C$7:$C$2738,A798,選手一覧!$K$7:$K$2738,"&lt;=100")</f>
        <v>0</v>
      </c>
      <c r="H798" s="17" t="n">
        <f aca="false">COUNTIF(選手一覧!$C$7:$C$2738,A798)</f>
        <v>1</v>
      </c>
    </row>
    <row r="799" customFormat="false" ht="15" hidden="false" customHeight="false" outlineLevel="0" collapsed="false">
      <c r="A799" s="12" t="s">
        <v>3055</v>
      </c>
      <c r="B799" s="22" t="n">
        <f aca="false">COUNTIFS(選手一覧!$C$7:$C$2738,A799,選手一覧!$E$7:$E$2738,"&lt;=100")</f>
        <v>0</v>
      </c>
      <c r="C799" s="18" t="n">
        <f aca="false">COUNTIFS(選手一覧!$C$7:$C$2738,A799,選手一覧!$E$7:$E$2738,"&gt;0")</f>
        <v>0</v>
      </c>
      <c r="D799" s="14" t="str">
        <f aca="false">IF(C799=0,"",_xlfn.MINIFS(選手一覧!$E$7:$E$2738,選手一覧!$C$7:$C$2738,A799))</f>
        <v/>
      </c>
      <c r="E799" s="20"/>
      <c r="F799" s="18" t="n">
        <f aca="false">COUNTIFS(選手一覧!$C$7:$C$2738,A799,選手一覧!$I$7:$I$2738,"&lt;=100")</f>
        <v>0</v>
      </c>
      <c r="G799" s="18" t="n">
        <f aca="false">COUNTIFS(選手一覧!$C$7:$C$2738,A799,選手一覧!$K$7:$K$2738,"&lt;=100")</f>
        <v>0</v>
      </c>
      <c r="H799" s="17" t="n">
        <f aca="false">COUNTIF(選手一覧!$C$7:$C$2738,A799)</f>
        <v>1</v>
      </c>
    </row>
    <row r="800" customFormat="false" ht="15" hidden="false" customHeight="false" outlineLevel="0" collapsed="false">
      <c r="A800" s="12" t="s">
        <v>3059</v>
      </c>
      <c r="B800" s="22" t="n">
        <f aca="false">COUNTIFS(選手一覧!$C$7:$C$2738,A800,選手一覧!$E$7:$E$2738,"&lt;=100")</f>
        <v>0</v>
      </c>
      <c r="C800" s="18" t="n">
        <f aca="false">COUNTIFS(選手一覧!$C$7:$C$2738,A800,選手一覧!$E$7:$E$2738,"&gt;0")</f>
        <v>0</v>
      </c>
      <c r="D800" s="14" t="str">
        <f aca="false">IF(C800=0,"",_xlfn.MINIFS(選手一覧!$E$7:$E$2738,選手一覧!$C$7:$C$2738,A800))</f>
        <v/>
      </c>
      <c r="E800" s="20"/>
      <c r="F800" s="18" t="n">
        <f aca="false">COUNTIFS(選手一覧!$C$7:$C$2738,A800,選手一覧!$I$7:$I$2738,"&lt;=100")</f>
        <v>0</v>
      </c>
      <c r="G800" s="18" t="n">
        <f aca="false">COUNTIFS(選手一覧!$C$7:$C$2738,A800,選手一覧!$K$7:$K$2738,"&lt;=100")</f>
        <v>0</v>
      </c>
      <c r="H800" s="17" t="n">
        <f aca="false">COUNTIF(選手一覧!$C$7:$C$2738,A800)</f>
        <v>1</v>
      </c>
    </row>
    <row r="801" customFormat="false" ht="15" hidden="false" customHeight="false" outlineLevel="0" collapsed="false">
      <c r="A801" s="12" t="s">
        <v>3062</v>
      </c>
      <c r="B801" s="22" t="n">
        <f aca="false">COUNTIFS(選手一覧!$C$7:$C$2738,A801,選手一覧!$E$7:$E$2738,"&lt;=100")</f>
        <v>0</v>
      </c>
      <c r="C801" s="18" t="n">
        <f aca="false">COUNTIFS(選手一覧!$C$7:$C$2738,A801,選手一覧!$E$7:$E$2738,"&gt;0")</f>
        <v>0</v>
      </c>
      <c r="D801" s="14" t="str">
        <f aca="false">IF(C801=0,"",_xlfn.MINIFS(選手一覧!$E$7:$E$2738,選手一覧!$C$7:$C$2738,A801))</f>
        <v/>
      </c>
      <c r="E801" s="20"/>
      <c r="F801" s="18" t="n">
        <f aca="false">COUNTIFS(選手一覧!$C$7:$C$2738,A801,選手一覧!$I$7:$I$2738,"&lt;=100")</f>
        <v>0</v>
      </c>
      <c r="G801" s="18" t="n">
        <f aca="false">COUNTIFS(選手一覧!$C$7:$C$2738,A801,選手一覧!$K$7:$K$2738,"&lt;=100")</f>
        <v>0</v>
      </c>
      <c r="H801" s="17" t="n">
        <f aca="false">COUNTIF(選手一覧!$C$7:$C$2738,A801)</f>
        <v>1</v>
      </c>
    </row>
    <row r="802" customFormat="false" ht="15" hidden="false" customHeight="false" outlineLevel="0" collapsed="false">
      <c r="A802" s="12" t="s">
        <v>3064</v>
      </c>
      <c r="B802" s="22" t="n">
        <f aca="false">COUNTIFS(選手一覧!$C$7:$C$2738,A802,選手一覧!$E$7:$E$2738,"&lt;=100")</f>
        <v>0</v>
      </c>
      <c r="C802" s="18" t="n">
        <f aca="false">COUNTIFS(選手一覧!$C$7:$C$2738,A802,選手一覧!$E$7:$E$2738,"&gt;0")</f>
        <v>0</v>
      </c>
      <c r="D802" s="14" t="str">
        <f aca="false">IF(C802=0,"",_xlfn.MINIFS(選手一覧!$E$7:$E$2738,選手一覧!$C$7:$C$2738,A802))</f>
        <v/>
      </c>
      <c r="E802" s="20"/>
      <c r="F802" s="18" t="n">
        <f aca="false">COUNTIFS(選手一覧!$C$7:$C$2738,A802,選手一覧!$I$7:$I$2738,"&lt;=100")</f>
        <v>0</v>
      </c>
      <c r="G802" s="18" t="n">
        <f aca="false">COUNTIFS(選手一覧!$C$7:$C$2738,A802,選手一覧!$K$7:$K$2738,"&lt;=100")</f>
        <v>0</v>
      </c>
      <c r="H802" s="17" t="n">
        <f aca="false">COUNTIF(選手一覧!$C$7:$C$2738,A802)</f>
        <v>1</v>
      </c>
    </row>
    <row r="803" customFormat="false" ht="15" hidden="false" customHeight="false" outlineLevel="0" collapsed="false">
      <c r="A803" s="12" t="s">
        <v>3069</v>
      </c>
      <c r="B803" s="22" t="n">
        <f aca="false">COUNTIFS(選手一覧!$C$7:$C$2738,A803,選手一覧!$E$7:$E$2738,"&lt;=100")</f>
        <v>0</v>
      </c>
      <c r="C803" s="18" t="n">
        <f aca="false">COUNTIFS(選手一覧!$C$7:$C$2738,A803,選手一覧!$E$7:$E$2738,"&gt;0")</f>
        <v>0</v>
      </c>
      <c r="D803" s="14" t="str">
        <f aca="false">IF(C803=0,"",_xlfn.MINIFS(選手一覧!$E$7:$E$2738,選手一覧!$C$7:$C$2738,A803))</f>
        <v/>
      </c>
      <c r="E803" s="20"/>
      <c r="F803" s="18" t="n">
        <f aca="false">COUNTIFS(選手一覧!$C$7:$C$2738,A803,選手一覧!$I$7:$I$2738,"&lt;=100")</f>
        <v>0</v>
      </c>
      <c r="G803" s="18" t="n">
        <f aca="false">COUNTIFS(選手一覧!$C$7:$C$2738,A803,選手一覧!$K$7:$K$2738,"&lt;=100")</f>
        <v>0</v>
      </c>
      <c r="H803" s="17" t="n">
        <f aca="false">COUNTIF(選手一覧!$C$7:$C$2738,A803)</f>
        <v>1</v>
      </c>
    </row>
    <row r="804" customFormat="false" ht="15" hidden="false" customHeight="false" outlineLevel="0" collapsed="false">
      <c r="A804" s="12" t="s">
        <v>3073</v>
      </c>
      <c r="B804" s="22" t="n">
        <f aca="false">COUNTIFS(選手一覧!$C$7:$C$2738,A804,選手一覧!$E$7:$E$2738,"&lt;=100")</f>
        <v>0</v>
      </c>
      <c r="C804" s="18" t="n">
        <f aca="false">COUNTIFS(選手一覧!$C$7:$C$2738,A804,選手一覧!$E$7:$E$2738,"&gt;0")</f>
        <v>0</v>
      </c>
      <c r="D804" s="14" t="str">
        <f aca="false">IF(C804=0,"",_xlfn.MINIFS(選手一覧!$E$7:$E$2738,選手一覧!$C$7:$C$2738,A804))</f>
        <v/>
      </c>
      <c r="E804" s="20"/>
      <c r="F804" s="18" t="n">
        <f aca="false">COUNTIFS(選手一覧!$C$7:$C$2738,A804,選手一覧!$I$7:$I$2738,"&lt;=100")</f>
        <v>0</v>
      </c>
      <c r="G804" s="18" t="n">
        <f aca="false">COUNTIFS(選手一覧!$C$7:$C$2738,A804,選手一覧!$K$7:$K$2738,"&lt;=100")</f>
        <v>0</v>
      </c>
      <c r="H804" s="17" t="n">
        <f aca="false">COUNTIF(選手一覧!$C$7:$C$2738,A804)</f>
        <v>1</v>
      </c>
    </row>
    <row r="805" customFormat="false" ht="15" hidden="false" customHeight="false" outlineLevel="0" collapsed="false">
      <c r="A805" s="12" t="s">
        <v>3076</v>
      </c>
      <c r="B805" s="22" t="n">
        <f aca="false">COUNTIFS(選手一覧!$C$7:$C$2738,A805,選手一覧!$E$7:$E$2738,"&lt;=100")</f>
        <v>0</v>
      </c>
      <c r="C805" s="18" t="n">
        <f aca="false">COUNTIFS(選手一覧!$C$7:$C$2738,A805,選手一覧!$E$7:$E$2738,"&gt;0")</f>
        <v>0</v>
      </c>
      <c r="D805" s="14" t="str">
        <f aca="false">IF(C805=0,"",_xlfn.MINIFS(選手一覧!$E$7:$E$2738,選手一覧!$C$7:$C$2738,A805))</f>
        <v/>
      </c>
      <c r="E805" s="20"/>
      <c r="F805" s="18" t="n">
        <f aca="false">COUNTIFS(選手一覧!$C$7:$C$2738,A805,選手一覧!$I$7:$I$2738,"&lt;=100")</f>
        <v>0</v>
      </c>
      <c r="G805" s="18" t="n">
        <f aca="false">COUNTIFS(選手一覧!$C$7:$C$2738,A805,選手一覧!$K$7:$K$2738,"&lt;=100")</f>
        <v>0</v>
      </c>
      <c r="H805" s="17" t="n">
        <f aca="false">COUNTIF(選手一覧!$C$7:$C$2738,A805)</f>
        <v>1</v>
      </c>
    </row>
    <row r="806" customFormat="false" ht="15" hidden="false" customHeight="false" outlineLevel="0" collapsed="false">
      <c r="A806" s="12" t="s">
        <v>3090</v>
      </c>
      <c r="B806" s="22" t="n">
        <f aca="false">COUNTIFS(選手一覧!$C$7:$C$2738,A806,選手一覧!$E$7:$E$2738,"&lt;=100")</f>
        <v>0</v>
      </c>
      <c r="C806" s="18" t="n">
        <f aca="false">COUNTIFS(選手一覧!$C$7:$C$2738,A806,選手一覧!$E$7:$E$2738,"&gt;0")</f>
        <v>0</v>
      </c>
      <c r="D806" s="14" t="str">
        <f aca="false">IF(C806=0,"",_xlfn.MINIFS(選手一覧!$E$7:$E$2738,選手一覧!$C$7:$C$2738,A806))</f>
        <v/>
      </c>
      <c r="E806" s="20"/>
      <c r="F806" s="18" t="n">
        <f aca="false">COUNTIFS(選手一覧!$C$7:$C$2738,A806,選手一覧!$I$7:$I$2738,"&lt;=100")</f>
        <v>0</v>
      </c>
      <c r="G806" s="18" t="n">
        <f aca="false">COUNTIFS(選手一覧!$C$7:$C$2738,A806,選手一覧!$K$7:$K$2738,"&lt;=100")</f>
        <v>0</v>
      </c>
      <c r="H806" s="17" t="n">
        <f aca="false">COUNTIF(選手一覧!$C$7:$C$2738,A806)</f>
        <v>1</v>
      </c>
    </row>
    <row r="807" customFormat="false" ht="15" hidden="false" customHeight="false" outlineLevel="0" collapsed="false">
      <c r="A807" s="12" t="s">
        <v>3094</v>
      </c>
      <c r="B807" s="22" t="n">
        <f aca="false">COUNTIFS(選手一覧!$C$7:$C$2738,A807,選手一覧!$E$7:$E$2738,"&lt;=100")</f>
        <v>0</v>
      </c>
      <c r="C807" s="18" t="n">
        <f aca="false">COUNTIFS(選手一覧!$C$7:$C$2738,A807,選手一覧!$E$7:$E$2738,"&gt;0")</f>
        <v>0</v>
      </c>
      <c r="D807" s="14" t="str">
        <f aca="false">IF(C807=0,"",_xlfn.MINIFS(選手一覧!$E$7:$E$2738,選手一覧!$C$7:$C$2738,A807))</f>
        <v/>
      </c>
      <c r="E807" s="20"/>
      <c r="F807" s="18" t="n">
        <f aca="false">COUNTIFS(選手一覧!$C$7:$C$2738,A807,選手一覧!$I$7:$I$2738,"&lt;=100")</f>
        <v>0</v>
      </c>
      <c r="G807" s="18" t="n">
        <f aca="false">COUNTIFS(選手一覧!$C$7:$C$2738,A807,選手一覧!$K$7:$K$2738,"&lt;=100")</f>
        <v>0</v>
      </c>
      <c r="H807" s="17" t="n">
        <f aca="false">COUNTIF(選手一覧!$C$7:$C$2738,A807)</f>
        <v>1</v>
      </c>
    </row>
    <row r="808" customFormat="false" ht="15" hidden="false" customHeight="false" outlineLevel="0" collapsed="false">
      <c r="A808" s="12" t="s">
        <v>3098</v>
      </c>
      <c r="B808" s="22" t="n">
        <f aca="false">COUNTIFS(選手一覧!$C$7:$C$2738,A808,選手一覧!$E$7:$E$2738,"&lt;=100")</f>
        <v>0</v>
      </c>
      <c r="C808" s="18" t="n">
        <f aca="false">COUNTIFS(選手一覧!$C$7:$C$2738,A808,選手一覧!$E$7:$E$2738,"&gt;0")</f>
        <v>0</v>
      </c>
      <c r="D808" s="14" t="str">
        <f aca="false">IF(C808=0,"",_xlfn.MINIFS(選手一覧!$E$7:$E$2738,選手一覧!$C$7:$C$2738,A808))</f>
        <v/>
      </c>
      <c r="E808" s="20"/>
      <c r="F808" s="18" t="n">
        <f aca="false">COUNTIFS(選手一覧!$C$7:$C$2738,A808,選手一覧!$I$7:$I$2738,"&lt;=100")</f>
        <v>0</v>
      </c>
      <c r="G808" s="18" t="n">
        <f aca="false">COUNTIFS(選手一覧!$C$7:$C$2738,A808,選手一覧!$K$7:$K$2738,"&lt;=100")</f>
        <v>0</v>
      </c>
      <c r="H808" s="17" t="n">
        <f aca="false">COUNTIF(選手一覧!$C$7:$C$2738,A808)</f>
        <v>1</v>
      </c>
    </row>
    <row r="809" customFormat="false" ht="15" hidden="false" customHeight="false" outlineLevel="0" collapsed="false">
      <c r="A809" s="12" t="s">
        <v>3102</v>
      </c>
      <c r="B809" s="22" t="n">
        <f aca="false">COUNTIFS(選手一覧!$C$7:$C$2738,A809,選手一覧!$E$7:$E$2738,"&lt;=100")</f>
        <v>0</v>
      </c>
      <c r="C809" s="18" t="n">
        <f aca="false">COUNTIFS(選手一覧!$C$7:$C$2738,A809,選手一覧!$E$7:$E$2738,"&gt;0")</f>
        <v>0</v>
      </c>
      <c r="D809" s="14" t="str">
        <f aca="false">IF(C809=0,"",_xlfn.MINIFS(選手一覧!$E$7:$E$2738,選手一覧!$C$7:$C$2738,A809))</f>
        <v/>
      </c>
      <c r="E809" s="20"/>
      <c r="F809" s="18" t="n">
        <f aca="false">COUNTIFS(選手一覧!$C$7:$C$2738,A809,選手一覧!$I$7:$I$2738,"&lt;=100")</f>
        <v>0</v>
      </c>
      <c r="G809" s="18" t="n">
        <f aca="false">COUNTIFS(選手一覧!$C$7:$C$2738,A809,選手一覧!$K$7:$K$2738,"&lt;=100")</f>
        <v>0</v>
      </c>
      <c r="H809" s="17" t="n">
        <f aca="false">COUNTIF(選手一覧!$C$7:$C$2738,A809)</f>
        <v>1</v>
      </c>
    </row>
    <row r="810" customFormat="false" ht="15" hidden="false" customHeight="false" outlineLevel="0" collapsed="false">
      <c r="A810" s="12" t="s">
        <v>3107</v>
      </c>
      <c r="B810" s="22" t="n">
        <f aca="false">COUNTIFS(選手一覧!$C$7:$C$2738,A810,選手一覧!$E$7:$E$2738,"&lt;=100")</f>
        <v>0</v>
      </c>
      <c r="C810" s="18" t="n">
        <f aca="false">COUNTIFS(選手一覧!$C$7:$C$2738,A810,選手一覧!$E$7:$E$2738,"&gt;0")</f>
        <v>0</v>
      </c>
      <c r="D810" s="14" t="str">
        <f aca="false">IF(C810=0,"",_xlfn.MINIFS(選手一覧!$E$7:$E$2738,選手一覧!$C$7:$C$2738,A810))</f>
        <v/>
      </c>
      <c r="E810" s="20"/>
      <c r="F810" s="18" t="n">
        <f aca="false">COUNTIFS(選手一覧!$C$7:$C$2738,A810,選手一覧!$I$7:$I$2738,"&lt;=100")</f>
        <v>0</v>
      </c>
      <c r="G810" s="18" t="n">
        <f aca="false">COUNTIFS(選手一覧!$C$7:$C$2738,A810,選手一覧!$K$7:$K$2738,"&lt;=100")</f>
        <v>0</v>
      </c>
      <c r="H810" s="17" t="n">
        <f aca="false">COUNTIF(選手一覧!$C$7:$C$2738,A810)</f>
        <v>1</v>
      </c>
    </row>
    <row r="811" customFormat="false" ht="15" hidden="false" customHeight="false" outlineLevel="0" collapsed="false">
      <c r="A811" s="12" t="s">
        <v>3109</v>
      </c>
      <c r="B811" s="22" t="n">
        <f aca="false">COUNTIFS(選手一覧!$C$7:$C$2738,A811,選手一覧!$E$7:$E$2738,"&lt;=100")</f>
        <v>0</v>
      </c>
      <c r="C811" s="18" t="n">
        <f aca="false">COUNTIFS(選手一覧!$C$7:$C$2738,A811,選手一覧!$E$7:$E$2738,"&gt;0")</f>
        <v>0</v>
      </c>
      <c r="D811" s="14" t="str">
        <f aca="false">IF(C811=0,"",_xlfn.MINIFS(選手一覧!$E$7:$E$2738,選手一覧!$C$7:$C$2738,A811))</f>
        <v/>
      </c>
      <c r="E811" s="20"/>
      <c r="F811" s="18" t="n">
        <f aca="false">COUNTIFS(選手一覧!$C$7:$C$2738,A811,選手一覧!$I$7:$I$2738,"&lt;=100")</f>
        <v>0</v>
      </c>
      <c r="G811" s="18" t="n">
        <f aca="false">COUNTIFS(選手一覧!$C$7:$C$2738,A811,選手一覧!$K$7:$K$2738,"&lt;=100")</f>
        <v>0</v>
      </c>
      <c r="H811" s="17" t="n">
        <f aca="false">COUNTIF(選手一覧!$C$7:$C$2738,A811)</f>
        <v>1</v>
      </c>
    </row>
    <row r="812" customFormat="false" ht="15" hidden="false" customHeight="false" outlineLevel="0" collapsed="false">
      <c r="A812" s="12" t="s">
        <v>3113</v>
      </c>
      <c r="B812" s="22" t="n">
        <f aca="false">COUNTIFS(選手一覧!$C$7:$C$2738,A812,選手一覧!$E$7:$E$2738,"&lt;=100")</f>
        <v>0</v>
      </c>
      <c r="C812" s="18" t="n">
        <f aca="false">COUNTIFS(選手一覧!$C$7:$C$2738,A812,選手一覧!$E$7:$E$2738,"&gt;0")</f>
        <v>0</v>
      </c>
      <c r="D812" s="14" t="str">
        <f aca="false">IF(C812=0,"",_xlfn.MINIFS(選手一覧!$E$7:$E$2738,選手一覧!$C$7:$C$2738,A812))</f>
        <v/>
      </c>
      <c r="E812" s="20"/>
      <c r="F812" s="18" t="n">
        <f aca="false">COUNTIFS(選手一覧!$C$7:$C$2738,A812,選手一覧!$I$7:$I$2738,"&lt;=100")</f>
        <v>0</v>
      </c>
      <c r="G812" s="18" t="n">
        <f aca="false">COUNTIFS(選手一覧!$C$7:$C$2738,A812,選手一覧!$K$7:$K$2738,"&lt;=100")</f>
        <v>0</v>
      </c>
      <c r="H812" s="17" t="n">
        <f aca="false">COUNTIF(選手一覧!$C$7:$C$2738,A812)</f>
        <v>1</v>
      </c>
    </row>
    <row r="813" customFormat="false" ht="15" hidden="false" customHeight="false" outlineLevel="0" collapsed="false">
      <c r="A813" s="12" t="s">
        <v>3121</v>
      </c>
      <c r="B813" s="22" t="n">
        <f aca="false">COUNTIFS(選手一覧!$C$7:$C$2738,A813,選手一覧!$E$7:$E$2738,"&lt;=100")</f>
        <v>0</v>
      </c>
      <c r="C813" s="18" t="n">
        <f aca="false">COUNTIFS(選手一覧!$C$7:$C$2738,A813,選手一覧!$E$7:$E$2738,"&gt;0")</f>
        <v>0</v>
      </c>
      <c r="D813" s="14" t="str">
        <f aca="false">IF(C813=0,"",_xlfn.MINIFS(選手一覧!$E$7:$E$2738,選手一覧!$C$7:$C$2738,A813))</f>
        <v/>
      </c>
      <c r="E813" s="20"/>
      <c r="F813" s="18" t="n">
        <f aca="false">COUNTIFS(選手一覧!$C$7:$C$2738,A813,選手一覧!$I$7:$I$2738,"&lt;=100")</f>
        <v>0</v>
      </c>
      <c r="G813" s="18" t="n">
        <f aca="false">COUNTIFS(選手一覧!$C$7:$C$2738,A813,選手一覧!$K$7:$K$2738,"&lt;=100")</f>
        <v>0</v>
      </c>
      <c r="H813" s="17" t="n">
        <f aca="false">COUNTIF(選手一覧!$C$7:$C$2738,A813)</f>
        <v>1</v>
      </c>
    </row>
    <row r="814" customFormat="false" ht="15" hidden="false" customHeight="false" outlineLevel="0" collapsed="false">
      <c r="A814" s="12" t="s">
        <v>3128</v>
      </c>
      <c r="B814" s="22" t="n">
        <f aca="false">COUNTIFS(選手一覧!$C$7:$C$2738,A814,選手一覧!$E$7:$E$2738,"&lt;=100")</f>
        <v>0</v>
      </c>
      <c r="C814" s="18" t="n">
        <f aca="false">COUNTIFS(選手一覧!$C$7:$C$2738,A814,選手一覧!$E$7:$E$2738,"&gt;0")</f>
        <v>0</v>
      </c>
      <c r="D814" s="14" t="str">
        <f aca="false">IF(C814=0,"",_xlfn.MINIFS(選手一覧!$E$7:$E$2738,選手一覧!$C$7:$C$2738,A814))</f>
        <v/>
      </c>
      <c r="E814" s="20"/>
      <c r="F814" s="18" t="n">
        <f aca="false">COUNTIFS(選手一覧!$C$7:$C$2738,A814,選手一覧!$I$7:$I$2738,"&lt;=100")</f>
        <v>0</v>
      </c>
      <c r="G814" s="18" t="n">
        <f aca="false">COUNTIFS(選手一覧!$C$7:$C$2738,A814,選手一覧!$K$7:$K$2738,"&lt;=100")</f>
        <v>0</v>
      </c>
      <c r="H814" s="17" t="n">
        <f aca="false">COUNTIF(選手一覧!$C$7:$C$2738,A814)</f>
        <v>1</v>
      </c>
    </row>
    <row r="815" customFormat="false" ht="15" hidden="false" customHeight="false" outlineLevel="0" collapsed="false">
      <c r="A815" s="12" t="s">
        <v>3133</v>
      </c>
      <c r="B815" s="22" t="n">
        <f aca="false">COUNTIFS(選手一覧!$C$7:$C$2738,A815,選手一覧!$E$7:$E$2738,"&lt;=100")</f>
        <v>0</v>
      </c>
      <c r="C815" s="18" t="n">
        <f aca="false">COUNTIFS(選手一覧!$C$7:$C$2738,A815,選手一覧!$E$7:$E$2738,"&gt;0")</f>
        <v>0</v>
      </c>
      <c r="D815" s="14" t="str">
        <f aca="false">IF(C815=0,"",_xlfn.MINIFS(選手一覧!$E$7:$E$2738,選手一覧!$C$7:$C$2738,A815))</f>
        <v/>
      </c>
      <c r="E815" s="20"/>
      <c r="F815" s="18" t="n">
        <f aca="false">COUNTIFS(選手一覧!$C$7:$C$2738,A815,選手一覧!$I$7:$I$2738,"&lt;=100")</f>
        <v>0</v>
      </c>
      <c r="G815" s="18" t="n">
        <f aca="false">COUNTIFS(選手一覧!$C$7:$C$2738,A815,選手一覧!$K$7:$K$2738,"&lt;=100")</f>
        <v>0</v>
      </c>
      <c r="H815" s="17" t="n">
        <f aca="false">COUNTIF(選手一覧!$C$7:$C$2738,A815)</f>
        <v>1</v>
      </c>
    </row>
    <row r="816" customFormat="false" ht="15" hidden="false" customHeight="false" outlineLevel="0" collapsed="false">
      <c r="A816" s="12" t="s">
        <v>3135</v>
      </c>
      <c r="B816" s="22" t="n">
        <f aca="false">COUNTIFS(選手一覧!$C$7:$C$2738,A816,選手一覧!$E$7:$E$2738,"&lt;=100")</f>
        <v>0</v>
      </c>
      <c r="C816" s="18" t="n">
        <f aca="false">COUNTIFS(選手一覧!$C$7:$C$2738,A816,選手一覧!$E$7:$E$2738,"&gt;0")</f>
        <v>0</v>
      </c>
      <c r="D816" s="14" t="str">
        <f aca="false">IF(C816=0,"",_xlfn.MINIFS(選手一覧!$E$7:$E$2738,選手一覧!$C$7:$C$2738,A816))</f>
        <v/>
      </c>
      <c r="E816" s="20"/>
      <c r="F816" s="18" t="n">
        <f aca="false">COUNTIFS(選手一覧!$C$7:$C$2738,A816,選手一覧!$I$7:$I$2738,"&lt;=100")</f>
        <v>0</v>
      </c>
      <c r="G816" s="18" t="n">
        <f aca="false">COUNTIFS(選手一覧!$C$7:$C$2738,A816,選手一覧!$K$7:$K$2738,"&lt;=100")</f>
        <v>0</v>
      </c>
      <c r="H816" s="17" t="n">
        <f aca="false">COUNTIF(選手一覧!$C$7:$C$2738,A816)</f>
        <v>1</v>
      </c>
    </row>
    <row r="817" customFormat="false" ht="15" hidden="false" customHeight="false" outlineLevel="0" collapsed="false">
      <c r="A817" s="12" t="s">
        <v>3137</v>
      </c>
      <c r="B817" s="22" t="n">
        <f aca="false">COUNTIFS(選手一覧!$C$7:$C$2738,A817,選手一覧!$E$7:$E$2738,"&lt;=100")</f>
        <v>0</v>
      </c>
      <c r="C817" s="18" t="n">
        <f aca="false">COUNTIFS(選手一覧!$C$7:$C$2738,A817,選手一覧!$E$7:$E$2738,"&gt;0")</f>
        <v>0</v>
      </c>
      <c r="D817" s="14" t="str">
        <f aca="false">IF(C817=0,"",_xlfn.MINIFS(選手一覧!$E$7:$E$2738,選手一覧!$C$7:$C$2738,A817))</f>
        <v/>
      </c>
      <c r="E817" s="20"/>
      <c r="F817" s="18" t="n">
        <f aca="false">COUNTIFS(選手一覧!$C$7:$C$2738,A817,選手一覧!$I$7:$I$2738,"&lt;=100")</f>
        <v>0</v>
      </c>
      <c r="G817" s="18" t="n">
        <f aca="false">COUNTIFS(選手一覧!$C$7:$C$2738,A817,選手一覧!$K$7:$K$2738,"&lt;=100")</f>
        <v>0</v>
      </c>
      <c r="H817" s="17" t="n">
        <f aca="false">COUNTIF(選手一覧!$C$7:$C$2738,A817)</f>
        <v>1</v>
      </c>
    </row>
    <row r="818" customFormat="false" ht="15" hidden="false" customHeight="false" outlineLevel="0" collapsed="false">
      <c r="A818" s="12" t="s">
        <v>3140</v>
      </c>
      <c r="B818" s="22" t="n">
        <f aca="false">COUNTIFS(選手一覧!$C$7:$C$2738,A818,選手一覧!$E$7:$E$2738,"&lt;=100")</f>
        <v>0</v>
      </c>
      <c r="C818" s="18" t="n">
        <f aca="false">COUNTIFS(選手一覧!$C$7:$C$2738,A818,選手一覧!$E$7:$E$2738,"&gt;0")</f>
        <v>0</v>
      </c>
      <c r="D818" s="14" t="str">
        <f aca="false">IF(C818=0,"",_xlfn.MINIFS(選手一覧!$E$7:$E$2738,選手一覧!$C$7:$C$2738,A818))</f>
        <v/>
      </c>
      <c r="E818" s="20"/>
      <c r="F818" s="18" t="n">
        <f aca="false">COUNTIFS(選手一覧!$C$7:$C$2738,A818,選手一覧!$I$7:$I$2738,"&lt;=100")</f>
        <v>0</v>
      </c>
      <c r="G818" s="18" t="n">
        <f aca="false">COUNTIFS(選手一覧!$C$7:$C$2738,A818,選手一覧!$K$7:$K$2738,"&lt;=100")</f>
        <v>0</v>
      </c>
      <c r="H818" s="17" t="n">
        <f aca="false">COUNTIF(選手一覧!$C$7:$C$2738,A818)</f>
        <v>1</v>
      </c>
    </row>
    <row r="819" customFormat="false" ht="15" hidden="false" customHeight="false" outlineLevel="0" collapsed="false">
      <c r="A819" s="12" t="s">
        <v>3142</v>
      </c>
      <c r="B819" s="22" t="n">
        <f aca="false">COUNTIFS(選手一覧!$C$7:$C$2738,A819,選手一覧!$E$7:$E$2738,"&lt;=100")</f>
        <v>0</v>
      </c>
      <c r="C819" s="18" t="n">
        <f aca="false">COUNTIFS(選手一覧!$C$7:$C$2738,A819,選手一覧!$E$7:$E$2738,"&gt;0")</f>
        <v>0</v>
      </c>
      <c r="D819" s="14" t="str">
        <f aca="false">IF(C819=0,"",_xlfn.MINIFS(選手一覧!$E$7:$E$2738,選手一覧!$C$7:$C$2738,A819))</f>
        <v/>
      </c>
      <c r="E819" s="20"/>
      <c r="F819" s="18" t="n">
        <f aca="false">COUNTIFS(選手一覧!$C$7:$C$2738,A819,選手一覧!$I$7:$I$2738,"&lt;=100")</f>
        <v>0</v>
      </c>
      <c r="G819" s="18" t="n">
        <f aca="false">COUNTIFS(選手一覧!$C$7:$C$2738,A819,選手一覧!$K$7:$K$2738,"&lt;=100")</f>
        <v>0</v>
      </c>
      <c r="H819" s="17" t="n">
        <f aca="false">COUNTIF(選手一覧!$C$7:$C$2738,A819)</f>
        <v>1</v>
      </c>
    </row>
    <row r="820" customFormat="false" ht="15" hidden="false" customHeight="false" outlineLevel="0" collapsed="false">
      <c r="A820" s="12" t="s">
        <v>3157</v>
      </c>
      <c r="B820" s="22" t="n">
        <f aca="false">COUNTIFS(選手一覧!$C$7:$C$2738,A820,選手一覧!$E$7:$E$2738,"&lt;=100")</f>
        <v>0</v>
      </c>
      <c r="C820" s="18" t="n">
        <f aca="false">COUNTIFS(選手一覧!$C$7:$C$2738,A820,選手一覧!$E$7:$E$2738,"&gt;0")</f>
        <v>0</v>
      </c>
      <c r="D820" s="14" t="str">
        <f aca="false">IF(C820=0,"",_xlfn.MINIFS(選手一覧!$E$7:$E$2738,選手一覧!$C$7:$C$2738,A820))</f>
        <v/>
      </c>
      <c r="E820" s="20"/>
      <c r="F820" s="18" t="n">
        <f aca="false">COUNTIFS(選手一覧!$C$7:$C$2738,A820,選手一覧!$I$7:$I$2738,"&lt;=100")</f>
        <v>0</v>
      </c>
      <c r="G820" s="18" t="n">
        <f aca="false">COUNTIFS(選手一覧!$C$7:$C$2738,A820,選手一覧!$K$7:$K$2738,"&lt;=100")</f>
        <v>0</v>
      </c>
      <c r="H820" s="17" t="n">
        <f aca="false">COUNTIF(選手一覧!$C$7:$C$2738,A820)</f>
        <v>1</v>
      </c>
    </row>
    <row r="821" customFormat="false" ht="15" hidden="false" customHeight="false" outlineLevel="0" collapsed="false">
      <c r="A821" s="12" t="s">
        <v>3159</v>
      </c>
      <c r="B821" s="22" t="n">
        <f aca="false">COUNTIFS(選手一覧!$C$7:$C$2738,A821,選手一覧!$E$7:$E$2738,"&lt;=100")</f>
        <v>0</v>
      </c>
      <c r="C821" s="18" t="n">
        <f aca="false">COUNTIFS(選手一覧!$C$7:$C$2738,A821,選手一覧!$E$7:$E$2738,"&gt;0")</f>
        <v>0</v>
      </c>
      <c r="D821" s="14" t="str">
        <f aca="false">IF(C821=0,"",_xlfn.MINIFS(選手一覧!$E$7:$E$2738,選手一覧!$C$7:$C$2738,A821))</f>
        <v/>
      </c>
      <c r="E821" s="20"/>
      <c r="F821" s="18" t="n">
        <f aca="false">COUNTIFS(選手一覧!$C$7:$C$2738,A821,選手一覧!$I$7:$I$2738,"&lt;=100")</f>
        <v>0</v>
      </c>
      <c r="G821" s="18" t="n">
        <f aca="false">COUNTIFS(選手一覧!$C$7:$C$2738,A821,選手一覧!$K$7:$K$2738,"&lt;=100")</f>
        <v>0</v>
      </c>
      <c r="H821" s="17" t="n">
        <f aca="false">COUNTIF(選手一覧!$C$7:$C$2738,A821)</f>
        <v>1</v>
      </c>
    </row>
    <row r="822" customFormat="false" ht="15" hidden="false" customHeight="false" outlineLevel="0" collapsed="false">
      <c r="A822" s="12" t="s">
        <v>3161</v>
      </c>
      <c r="B822" s="22" t="n">
        <f aca="false">COUNTIFS(選手一覧!$C$7:$C$2738,A822,選手一覧!$E$7:$E$2738,"&lt;=100")</f>
        <v>0</v>
      </c>
      <c r="C822" s="18" t="n">
        <f aca="false">COUNTIFS(選手一覧!$C$7:$C$2738,A822,選手一覧!$E$7:$E$2738,"&gt;0")</f>
        <v>0</v>
      </c>
      <c r="D822" s="14" t="str">
        <f aca="false">IF(C822=0,"",_xlfn.MINIFS(選手一覧!$E$7:$E$2738,選手一覧!$C$7:$C$2738,A822))</f>
        <v/>
      </c>
      <c r="E822" s="20"/>
      <c r="F822" s="18" t="n">
        <f aca="false">COUNTIFS(選手一覧!$C$7:$C$2738,A822,選手一覧!$I$7:$I$2738,"&lt;=100")</f>
        <v>0</v>
      </c>
      <c r="G822" s="18" t="n">
        <f aca="false">COUNTIFS(選手一覧!$C$7:$C$2738,A822,選手一覧!$K$7:$K$2738,"&lt;=100")</f>
        <v>0</v>
      </c>
      <c r="H822" s="17" t="n">
        <f aca="false">COUNTIF(選手一覧!$C$7:$C$2738,A822)</f>
        <v>1</v>
      </c>
    </row>
    <row r="823" customFormat="false" ht="15" hidden="false" customHeight="false" outlineLevel="0" collapsed="false">
      <c r="A823" s="12" t="s">
        <v>3164</v>
      </c>
      <c r="B823" s="22" t="n">
        <f aca="false">COUNTIFS(選手一覧!$C$7:$C$2738,A823,選手一覧!$E$7:$E$2738,"&lt;=100")</f>
        <v>0</v>
      </c>
      <c r="C823" s="18" t="n">
        <f aca="false">COUNTIFS(選手一覧!$C$7:$C$2738,A823,選手一覧!$E$7:$E$2738,"&gt;0")</f>
        <v>0</v>
      </c>
      <c r="D823" s="14" t="str">
        <f aca="false">IF(C823=0,"",_xlfn.MINIFS(選手一覧!$E$7:$E$2738,選手一覧!$C$7:$C$2738,A823))</f>
        <v/>
      </c>
      <c r="E823" s="20"/>
      <c r="F823" s="18" t="n">
        <f aca="false">COUNTIFS(選手一覧!$C$7:$C$2738,A823,選手一覧!$I$7:$I$2738,"&lt;=100")</f>
        <v>0</v>
      </c>
      <c r="G823" s="18" t="n">
        <f aca="false">COUNTIFS(選手一覧!$C$7:$C$2738,A823,選手一覧!$K$7:$K$2738,"&lt;=100")</f>
        <v>0</v>
      </c>
      <c r="H823" s="17" t="n">
        <f aca="false">COUNTIF(選手一覧!$C$7:$C$2738,A823)</f>
        <v>1</v>
      </c>
    </row>
    <row r="824" customFormat="false" ht="15" hidden="false" customHeight="false" outlineLevel="0" collapsed="false">
      <c r="A824" s="12" t="s">
        <v>3167</v>
      </c>
      <c r="B824" s="22" t="n">
        <f aca="false">COUNTIFS(選手一覧!$C$7:$C$2738,A824,選手一覧!$E$7:$E$2738,"&lt;=100")</f>
        <v>0</v>
      </c>
      <c r="C824" s="18" t="n">
        <f aca="false">COUNTIFS(選手一覧!$C$7:$C$2738,A824,選手一覧!$E$7:$E$2738,"&gt;0")</f>
        <v>0</v>
      </c>
      <c r="D824" s="14" t="str">
        <f aca="false">IF(C824=0,"",_xlfn.MINIFS(選手一覧!$E$7:$E$2738,選手一覧!$C$7:$C$2738,A824))</f>
        <v/>
      </c>
      <c r="E824" s="20"/>
      <c r="F824" s="18" t="n">
        <f aca="false">COUNTIFS(選手一覧!$C$7:$C$2738,A824,選手一覧!$I$7:$I$2738,"&lt;=100")</f>
        <v>0</v>
      </c>
      <c r="G824" s="18" t="n">
        <f aca="false">COUNTIFS(選手一覧!$C$7:$C$2738,A824,選手一覧!$K$7:$K$2738,"&lt;=100")</f>
        <v>0</v>
      </c>
      <c r="H824" s="17" t="n">
        <f aca="false">COUNTIF(選手一覧!$C$7:$C$2738,A824)</f>
        <v>1</v>
      </c>
    </row>
    <row r="825" customFormat="false" ht="15" hidden="false" customHeight="false" outlineLevel="0" collapsed="false">
      <c r="A825" s="12" t="s">
        <v>3174</v>
      </c>
      <c r="B825" s="22" t="n">
        <f aca="false">COUNTIFS(選手一覧!$C$7:$C$2738,A825,選手一覧!$E$7:$E$2738,"&lt;=100")</f>
        <v>0</v>
      </c>
      <c r="C825" s="18" t="n">
        <f aca="false">COUNTIFS(選手一覧!$C$7:$C$2738,A825,選手一覧!$E$7:$E$2738,"&gt;0")</f>
        <v>0</v>
      </c>
      <c r="D825" s="14" t="str">
        <f aca="false">IF(C825=0,"",_xlfn.MINIFS(選手一覧!$E$7:$E$2738,選手一覧!$C$7:$C$2738,A825))</f>
        <v/>
      </c>
      <c r="E825" s="20"/>
      <c r="F825" s="18" t="n">
        <f aca="false">COUNTIFS(選手一覧!$C$7:$C$2738,A825,選手一覧!$I$7:$I$2738,"&lt;=100")</f>
        <v>0</v>
      </c>
      <c r="G825" s="18" t="n">
        <f aca="false">COUNTIFS(選手一覧!$C$7:$C$2738,A825,選手一覧!$K$7:$K$2738,"&lt;=100")</f>
        <v>0</v>
      </c>
      <c r="H825" s="17" t="n">
        <f aca="false">COUNTIF(選手一覧!$C$7:$C$2738,A825)</f>
        <v>1</v>
      </c>
    </row>
    <row r="826" customFormat="false" ht="15" hidden="false" customHeight="false" outlineLevel="0" collapsed="false">
      <c r="A826" s="12" t="s">
        <v>3181</v>
      </c>
      <c r="B826" s="22" t="n">
        <f aca="false">COUNTIFS(選手一覧!$C$7:$C$2738,A826,選手一覧!$E$7:$E$2738,"&lt;=100")</f>
        <v>0</v>
      </c>
      <c r="C826" s="18" t="n">
        <f aca="false">COUNTIFS(選手一覧!$C$7:$C$2738,A826,選手一覧!$E$7:$E$2738,"&gt;0")</f>
        <v>0</v>
      </c>
      <c r="D826" s="14" t="str">
        <f aca="false">IF(C826=0,"",_xlfn.MINIFS(選手一覧!$E$7:$E$2738,選手一覧!$C$7:$C$2738,A826))</f>
        <v/>
      </c>
      <c r="E826" s="20"/>
      <c r="F826" s="18" t="n">
        <f aca="false">COUNTIFS(選手一覧!$C$7:$C$2738,A826,選手一覧!$I$7:$I$2738,"&lt;=100")</f>
        <v>0</v>
      </c>
      <c r="G826" s="18" t="n">
        <f aca="false">COUNTIFS(選手一覧!$C$7:$C$2738,A826,選手一覧!$K$7:$K$2738,"&lt;=100")</f>
        <v>0</v>
      </c>
      <c r="H826" s="17" t="n">
        <f aca="false">COUNTIF(選手一覧!$C$7:$C$2738,A826)</f>
        <v>1</v>
      </c>
    </row>
    <row r="827" customFormat="false" ht="15" hidden="false" customHeight="false" outlineLevel="0" collapsed="false">
      <c r="A827" s="12" t="s">
        <v>3183</v>
      </c>
      <c r="B827" s="22" t="n">
        <f aca="false">COUNTIFS(選手一覧!$C$7:$C$2738,A827,選手一覧!$E$7:$E$2738,"&lt;=100")</f>
        <v>0</v>
      </c>
      <c r="C827" s="18" t="n">
        <f aca="false">COUNTIFS(選手一覧!$C$7:$C$2738,A827,選手一覧!$E$7:$E$2738,"&gt;0")</f>
        <v>0</v>
      </c>
      <c r="D827" s="14" t="str">
        <f aca="false">IF(C827=0,"",_xlfn.MINIFS(選手一覧!$E$7:$E$2738,選手一覧!$C$7:$C$2738,A827))</f>
        <v/>
      </c>
      <c r="E827" s="20"/>
      <c r="F827" s="18" t="n">
        <f aca="false">COUNTIFS(選手一覧!$C$7:$C$2738,A827,選手一覧!$I$7:$I$2738,"&lt;=100")</f>
        <v>0</v>
      </c>
      <c r="G827" s="18" t="n">
        <f aca="false">COUNTIFS(選手一覧!$C$7:$C$2738,A827,選手一覧!$K$7:$K$2738,"&lt;=100")</f>
        <v>0</v>
      </c>
      <c r="H827" s="17" t="n">
        <f aca="false">COUNTIF(選手一覧!$C$7:$C$2738,A827)</f>
        <v>1</v>
      </c>
    </row>
    <row r="828" customFormat="false" ht="15" hidden="false" customHeight="false" outlineLevel="0" collapsed="false">
      <c r="A828" s="12" t="s">
        <v>3188</v>
      </c>
      <c r="B828" s="22" t="n">
        <f aca="false">COUNTIFS(選手一覧!$C$7:$C$2738,A828,選手一覧!$E$7:$E$2738,"&lt;=100")</f>
        <v>0</v>
      </c>
      <c r="C828" s="18" t="n">
        <f aca="false">COUNTIFS(選手一覧!$C$7:$C$2738,A828,選手一覧!$E$7:$E$2738,"&gt;0")</f>
        <v>0</v>
      </c>
      <c r="D828" s="14" t="str">
        <f aca="false">IF(C828=0,"",_xlfn.MINIFS(選手一覧!$E$7:$E$2738,選手一覧!$C$7:$C$2738,A828))</f>
        <v/>
      </c>
      <c r="E828" s="20"/>
      <c r="F828" s="18" t="n">
        <f aca="false">COUNTIFS(選手一覧!$C$7:$C$2738,A828,選手一覧!$I$7:$I$2738,"&lt;=100")</f>
        <v>0</v>
      </c>
      <c r="G828" s="18" t="n">
        <f aca="false">COUNTIFS(選手一覧!$C$7:$C$2738,A828,選手一覧!$K$7:$K$2738,"&lt;=100")</f>
        <v>0</v>
      </c>
      <c r="H828" s="17" t="n">
        <f aca="false">COUNTIF(選手一覧!$C$7:$C$2738,A828)</f>
        <v>1</v>
      </c>
    </row>
    <row r="829" customFormat="false" ht="15" hidden="false" customHeight="false" outlineLevel="0" collapsed="false">
      <c r="A829" s="12" t="s">
        <v>3190</v>
      </c>
      <c r="B829" s="22" t="n">
        <f aca="false">COUNTIFS(選手一覧!$C$7:$C$2738,A829,選手一覧!$E$7:$E$2738,"&lt;=100")</f>
        <v>0</v>
      </c>
      <c r="C829" s="18" t="n">
        <f aca="false">COUNTIFS(選手一覧!$C$7:$C$2738,A829,選手一覧!$E$7:$E$2738,"&gt;0")</f>
        <v>0</v>
      </c>
      <c r="D829" s="14" t="str">
        <f aca="false">IF(C829=0,"",_xlfn.MINIFS(選手一覧!$E$7:$E$2738,選手一覧!$C$7:$C$2738,A829))</f>
        <v/>
      </c>
      <c r="E829" s="20"/>
      <c r="F829" s="18" t="n">
        <f aca="false">COUNTIFS(選手一覧!$C$7:$C$2738,A829,選手一覧!$I$7:$I$2738,"&lt;=100")</f>
        <v>0</v>
      </c>
      <c r="G829" s="18" t="n">
        <f aca="false">COUNTIFS(選手一覧!$C$7:$C$2738,A829,選手一覧!$K$7:$K$2738,"&lt;=100")</f>
        <v>0</v>
      </c>
      <c r="H829" s="17" t="n">
        <f aca="false">COUNTIF(選手一覧!$C$7:$C$2738,A829)</f>
        <v>1</v>
      </c>
    </row>
    <row r="830" customFormat="false" ht="15" hidden="false" customHeight="false" outlineLevel="0" collapsed="false">
      <c r="A830" s="12" t="s">
        <v>3193</v>
      </c>
      <c r="B830" s="22" t="n">
        <f aca="false">COUNTIFS(選手一覧!$C$7:$C$2738,A830,選手一覧!$E$7:$E$2738,"&lt;=100")</f>
        <v>0</v>
      </c>
      <c r="C830" s="18" t="n">
        <f aca="false">COUNTIFS(選手一覧!$C$7:$C$2738,A830,選手一覧!$E$7:$E$2738,"&gt;0")</f>
        <v>0</v>
      </c>
      <c r="D830" s="14" t="str">
        <f aca="false">IF(C830=0,"",_xlfn.MINIFS(選手一覧!$E$7:$E$2738,選手一覧!$C$7:$C$2738,A830))</f>
        <v/>
      </c>
      <c r="E830" s="20"/>
      <c r="F830" s="18" t="n">
        <f aca="false">COUNTIFS(選手一覧!$C$7:$C$2738,A830,選手一覧!$I$7:$I$2738,"&lt;=100")</f>
        <v>0</v>
      </c>
      <c r="G830" s="18" t="n">
        <f aca="false">COUNTIFS(選手一覧!$C$7:$C$2738,A830,選手一覧!$K$7:$K$2738,"&lt;=100")</f>
        <v>0</v>
      </c>
      <c r="H830" s="17" t="n">
        <f aca="false">COUNTIF(選手一覧!$C$7:$C$2738,A830)</f>
        <v>1</v>
      </c>
    </row>
    <row r="831" customFormat="false" ht="15" hidden="false" customHeight="false" outlineLevel="0" collapsed="false">
      <c r="A831" s="12" t="s">
        <v>3196</v>
      </c>
      <c r="B831" s="22" t="n">
        <f aca="false">COUNTIFS(選手一覧!$C$7:$C$2738,A831,選手一覧!$E$7:$E$2738,"&lt;=100")</f>
        <v>0</v>
      </c>
      <c r="C831" s="18" t="n">
        <f aca="false">COUNTIFS(選手一覧!$C$7:$C$2738,A831,選手一覧!$E$7:$E$2738,"&gt;0")</f>
        <v>0</v>
      </c>
      <c r="D831" s="14" t="str">
        <f aca="false">IF(C831=0,"",_xlfn.MINIFS(選手一覧!$E$7:$E$2738,選手一覧!$C$7:$C$2738,A831))</f>
        <v/>
      </c>
      <c r="E831" s="20"/>
      <c r="F831" s="18" t="n">
        <f aca="false">COUNTIFS(選手一覧!$C$7:$C$2738,A831,選手一覧!$I$7:$I$2738,"&lt;=100")</f>
        <v>0</v>
      </c>
      <c r="G831" s="18" t="n">
        <f aca="false">COUNTIFS(選手一覧!$C$7:$C$2738,A831,選手一覧!$K$7:$K$2738,"&lt;=100")</f>
        <v>0</v>
      </c>
      <c r="H831" s="17" t="n">
        <f aca="false">COUNTIF(選手一覧!$C$7:$C$2738,A831)</f>
        <v>1</v>
      </c>
    </row>
    <row r="832" customFormat="false" ht="15" hidden="false" customHeight="false" outlineLevel="0" collapsed="false">
      <c r="A832" s="12" t="s">
        <v>3200</v>
      </c>
      <c r="B832" s="22" t="n">
        <f aca="false">COUNTIFS(選手一覧!$C$7:$C$2738,A832,選手一覧!$E$7:$E$2738,"&lt;=100")</f>
        <v>0</v>
      </c>
      <c r="C832" s="18" t="n">
        <f aca="false">COUNTIFS(選手一覧!$C$7:$C$2738,A832,選手一覧!$E$7:$E$2738,"&gt;0")</f>
        <v>0</v>
      </c>
      <c r="D832" s="14" t="str">
        <f aca="false">IF(C832=0,"",_xlfn.MINIFS(選手一覧!$E$7:$E$2738,選手一覧!$C$7:$C$2738,A832))</f>
        <v/>
      </c>
      <c r="E832" s="20"/>
      <c r="F832" s="18" t="n">
        <f aca="false">COUNTIFS(選手一覧!$C$7:$C$2738,A832,選手一覧!$I$7:$I$2738,"&lt;=100")</f>
        <v>0</v>
      </c>
      <c r="G832" s="18" t="n">
        <f aca="false">COUNTIFS(選手一覧!$C$7:$C$2738,A832,選手一覧!$K$7:$K$2738,"&lt;=100")</f>
        <v>0</v>
      </c>
      <c r="H832" s="17" t="n">
        <f aca="false">COUNTIF(選手一覧!$C$7:$C$2738,A832)</f>
        <v>1</v>
      </c>
    </row>
    <row r="833" customFormat="false" ht="15" hidden="false" customHeight="false" outlineLevel="0" collapsed="false">
      <c r="A833" s="12" t="s">
        <v>3202</v>
      </c>
      <c r="B833" s="22" t="n">
        <f aca="false">COUNTIFS(選手一覧!$C$7:$C$2738,A833,選手一覧!$E$7:$E$2738,"&lt;=100")</f>
        <v>0</v>
      </c>
      <c r="C833" s="18" t="n">
        <f aca="false">COUNTIFS(選手一覧!$C$7:$C$2738,A833,選手一覧!$E$7:$E$2738,"&gt;0")</f>
        <v>0</v>
      </c>
      <c r="D833" s="14" t="str">
        <f aca="false">IF(C833=0,"",_xlfn.MINIFS(選手一覧!$E$7:$E$2738,選手一覧!$C$7:$C$2738,A833))</f>
        <v/>
      </c>
      <c r="E833" s="20"/>
      <c r="F833" s="18" t="n">
        <f aca="false">COUNTIFS(選手一覧!$C$7:$C$2738,A833,選手一覧!$I$7:$I$2738,"&lt;=100")</f>
        <v>0</v>
      </c>
      <c r="G833" s="18" t="n">
        <f aca="false">COUNTIFS(選手一覧!$C$7:$C$2738,A833,選手一覧!$K$7:$K$2738,"&lt;=100")</f>
        <v>0</v>
      </c>
      <c r="H833" s="17" t="n">
        <f aca="false">COUNTIF(選手一覧!$C$7:$C$2738,A833)</f>
        <v>1</v>
      </c>
    </row>
    <row r="834" customFormat="false" ht="15" hidden="false" customHeight="false" outlineLevel="0" collapsed="false">
      <c r="A834" s="12" t="s">
        <v>3204</v>
      </c>
      <c r="B834" s="22" t="n">
        <f aca="false">COUNTIFS(選手一覧!$C$7:$C$2738,A834,選手一覧!$E$7:$E$2738,"&lt;=100")</f>
        <v>0</v>
      </c>
      <c r="C834" s="18" t="n">
        <f aca="false">COUNTIFS(選手一覧!$C$7:$C$2738,A834,選手一覧!$E$7:$E$2738,"&gt;0")</f>
        <v>0</v>
      </c>
      <c r="D834" s="14" t="str">
        <f aca="false">IF(C834=0,"",_xlfn.MINIFS(選手一覧!$E$7:$E$2738,選手一覧!$C$7:$C$2738,A834))</f>
        <v/>
      </c>
      <c r="E834" s="20"/>
      <c r="F834" s="18" t="n">
        <f aca="false">COUNTIFS(選手一覧!$C$7:$C$2738,A834,選手一覧!$I$7:$I$2738,"&lt;=100")</f>
        <v>0</v>
      </c>
      <c r="G834" s="18" t="n">
        <f aca="false">COUNTIFS(選手一覧!$C$7:$C$2738,A834,選手一覧!$K$7:$K$2738,"&lt;=100")</f>
        <v>0</v>
      </c>
      <c r="H834" s="17" t="n">
        <f aca="false">COUNTIF(選手一覧!$C$7:$C$2738,A834)</f>
        <v>1</v>
      </c>
    </row>
    <row r="835" customFormat="false" ht="15" hidden="false" customHeight="false" outlineLevel="0" collapsed="false">
      <c r="A835" s="12" t="s">
        <v>3206</v>
      </c>
      <c r="B835" s="22" t="n">
        <f aca="false">COUNTIFS(選手一覧!$C$7:$C$2738,A835,選手一覧!$E$7:$E$2738,"&lt;=100")</f>
        <v>0</v>
      </c>
      <c r="C835" s="18" t="n">
        <f aca="false">COUNTIFS(選手一覧!$C$7:$C$2738,A835,選手一覧!$E$7:$E$2738,"&gt;0")</f>
        <v>0</v>
      </c>
      <c r="D835" s="14" t="str">
        <f aca="false">IF(C835=0,"",_xlfn.MINIFS(選手一覧!$E$7:$E$2738,選手一覧!$C$7:$C$2738,A835))</f>
        <v/>
      </c>
      <c r="E835" s="20"/>
      <c r="F835" s="18" t="n">
        <f aca="false">COUNTIFS(選手一覧!$C$7:$C$2738,A835,選手一覧!$I$7:$I$2738,"&lt;=100")</f>
        <v>0</v>
      </c>
      <c r="G835" s="18" t="n">
        <f aca="false">COUNTIFS(選手一覧!$C$7:$C$2738,A835,選手一覧!$K$7:$K$2738,"&lt;=100")</f>
        <v>0</v>
      </c>
      <c r="H835" s="17" t="n">
        <f aca="false">COUNTIF(選手一覧!$C$7:$C$2738,A835)</f>
        <v>1</v>
      </c>
    </row>
    <row r="836" customFormat="false" ht="15" hidden="false" customHeight="false" outlineLevel="0" collapsed="false">
      <c r="A836" s="12" t="s">
        <v>3214</v>
      </c>
      <c r="B836" s="22" t="n">
        <f aca="false">COUNTIFS(選手一覧!$C$7:$C$2738,A836,選手一覧!$E$7:$E$2738,"&lt;=100")</f>
        <v>0</v>
      </c>
      <c r="C836" s="18" t="n">
        <f aca="false">COUNTIFS(選手一覧!$C$7:$C$2738,A836,選手一覧!$E$7:$E$2738,"&gt;0")</f>
        <v>0</v>
      </c>
      <c r="D836" s="14" t="str">
        <f aca="false">IF(C836=0,"",_xlfn.MINIFS(選手一覧!$E$7:$E$2738,選手一覧!$C$7:$C$2738,A836))</f>
        <v/>
      </c>
      <c r="E836" s="20"/>
      <c r="F836" s="18" t="n">
        <f aca="false">COUNTIFS(選手一覧!$C$7:$C$2738,A836,選手一覧!$I$7:$I$2738,"&lt;=100")</f>
        <v>0</v>
      </c>
      <c r="G836" s="18" t="n">
        <f aca="false">COUNTIFS(選手一覧!$C$7:$C$2738,A836,選手一覧!$K$7:$K$2738,"&lt;=100")</f>
        <v>0</v>
      </c>
      <c r="H836" s="17" t="n">
        <f aca="false">COUNTIF(選手一覧!$C$7:$C$2738,A836)</f>
        <v>1</v>
      </c>
    </row>
    <row r="837" customFormat="false" ht="15" hidden="false" customHeight="false" outlineLevel="0" collapsed="false">
      <c r="A837" s="12" t="s">
        <v>3216</v>
      </c>
      <c r="B837" s="22" t="n">
        <f aca="false">COUNTIFS(選手一覧!$C$7:$C$2738,A837,選手一覧!$E$7:$E$2738,"&lt;=100")</f>
        <v>0</v>
      </c>
      <c r="C837" s="18" t="n">
        <f aca="false">COUNTIFS(選手一覧!$C$7:$C$2738,A837,選手一覧!$E$7:$E$2738,"&gt;0")</f>
        <v>0</v>
      </c>
      <c r="D837" s="14" t="str">
        <f aca="false">IF(C837=0,"",_xlfn.MINIFS(選手一覧!$E$7:$E$2738,選手一覧!$C$7:$C$2738,A837))</f>
        <v/>
      </c>
      <c r="E837" s="20"/>
      <c r="F837" s="18" t="n">
        <f aca="false">COUNTIFS(選手一覧!$C$7:$C$2738,A837,選手一覧!$I$7:$I$2738,"&lt;=100")</f>
        <v>0</v>
      </c>
      <c r="G837" s="18" t="n">
        <f aca="false">COUNTIFS(選手一覧!$C$7:$C$2738,A837,選手一覧!$K$7:$K$2738,"&lt;=100")</f>
        <v>0</v>
      </c>
      <c r="H837" s="17" t="n">
        <f aca="false">COUNTIF(選手一覧!$C$7:$C$2738,A837)</f>
        <v>1</v>
      </c>
    </row>
    <row r="838" customFormat="false" ht="15" hidden="false" customHeight="false" outlineLevel="0" collapsed="false">
      <c r="A838" s="12" t="s">
        <v>3222</v>
      </c>
      <c r="B838" s="22" t="n">
        <f aca="false">COUNTIFS(選手一覧!$C$7:$C$2738,A838,選手一覧!$E$7:$E$2738,"&lt;=100")</f>
        <v>0</v>
      </c>
      <c r="C838" s="18" t="n">
        <f aca="false">COUNTIFS(選手一覧!$C$7:$C$2738,A838,選手一覧!$E$7:$E$2738,"&gt;0")</f>
        <v>0</v>
      </c>
      <c r="D838" s="14" t="str">
        <f aca="false">IF(C838=0,"",_xlfn.MINIFS(選手一覧!$E$7:$E$2738,選手一覧!$C$7:$C$2738,A838))</f>
        <v/>
      </c>
      <c r="E838" s="20"/>
      <c r="F838" s="18" t="n">
        <f aca="false">COUNTIFS(選手一覧!$C$7:$C$2738,A838,選手一覧!$I$7:$I$2738,"&lt;=100")</f>
        <v>0</v>
      </c>
      <c r="G838" s="18" t="n">
        <f aca="false">COUNTIFS(選手一覧!$C$7:$C$2738,A838,選手一覧!$K$7:$K$2738,"&lt;=100")</f>
        <v>0</v>
      </c>
      <c r="H838" s="17" t="n">
        <f aca="false">COUNTIF(選手一覧!$C$7:$C$2738,A838)</f>
        <v>1</v>
      </c>
    </row>
    <row r="839" customFormat="false" ht="15" hidden="false" customHeight="false" outlineLevel="0" collapsed="false">
      <c r="A839" s="12" t="s">
        <v>3224</v>
      </c>
      <c r="B839" s="22" t="n">
        <f aca="false">COUNTIFS(選手一覧!$C$7:$C$2738,A839,選手一覧!$E$7:$E$2738,"&lt;=100")</f>
        <v>0</v>
      </c>
      <c r="C839" s="18" t="n">
        <f aca="false">COUNTIFS(選手一覧!$C$7:$C$2738,A839,選手一覧!$E$7:$E$2738,"&gt;0")</f>
        <v>0</v>
      </c>
      <c r="D839" s="14" t="str">
        <f aca="false">IF(C839=0,"",_xlfn.MINIFS(選手一覧!$E$7:$E$2738,選手一覧!$C$7:$C$2738,A839))</f>
        <v/>
      </c>
      <c r="E839" s="20"/>
      <c r="F839" s="18" t="n">
        <f aca="false">COUNTIFS(選手一覧!$C$7:$C$2738,A839,選手一覧!$I$7:$I$2738,"&lt;=100")</f>
        <v>0</v>
      </c>
      <c r="G839" s="18" t="n">
        <f aca="false">COUNTIFS(選手一覧!$C$7:$C$2738,A839,選手一覧!$K$7:$K$2738,"&lt;=100")</f>
        <v>0</v>
      </c>
      <c r="H839" s="17" t="n">
        <f aca="false">COUNTIF(選手一覧!$C$7:$C$2738,A839)</f>
        <v>1</v>
      </c>
    </row>
    <row r="840" customFormat="false" ht="15" hidden="false" customHeight="false" outlineLevel="0" collapsed="false">
      <c r="A840" s="12" t="s">
        <v>3226</v>
      </c>
      <c r="B840" s="22" t="n">
        <f aca="false">COUNTIFS(選手一覧!$C$7:$C$2738,A840,選手一覧!$E$7:$E$2738,"&lt;=100")</f>
        <v>0</v>
      </c>
      <c r="C840" s="18" t="n">
        <f aca="false">COUNTIFS(選手一覧!$C$7:$C$2738,A840,選手一覧!$E$7:$E$2738,"&gt;0")</f>
        <v>0</v>
      </c>
      <c r="D840" s="14" t="str">
        <f aca="false">IF(C840=0,"",_xlfn.MINIFS(選手一覧!$E$7:$E$2738,選手一覧!$C$7:$C$2738,A840))</f>
        <v/>
      </c>
      <c r="E840" s="20"/>
      <c r="F840" s="18" t="n">
        <f aca="false">COUNTIFS(選手一覧!$C$7:$C$2738,A840,選手一覧!$I$7:$I$2738,"&lt;=100")</f>
        <v>0</v>
      </c>
      <c r="G840" s="18" t="n">
        <f aca="false">COUNTIFS(選手一覧!$C$7:$C$2738,A840,選手一覧!$K$7:$K$2738,"&lt;=100")</f>
        <v>0</v>
      </c>
      <c r="H840" s="17" t="n">
        <f aca="false">COUNTIF(選手一覧!$C$7:$C$2738,A840)</f>
        <v>1</v>
      </c>
    </row>
    <row r="841" customFormat="false" ht="15" hidden="false" customHeight="false" outlineLevel="0" collapsed="false">
      <c r="A841" s="12" t="s">
        <v>3234</v>
      </c>
      <c r="B841" s="22" t="n">
        <f aca="false">COUNTIFS(選手一覧!$C$7:$C$2738,A841,選手一覧!$E$7:$E$2738,"&lt;=100")</f>
        <v>0</v>
      </c>
      <c r="C841" s="18" t="n">
        <f aca="false">COUNTIFS(選手一覧!$C$7:$C$2738,A841,選手一覧!$E$7:$E$2738,"&gt;0")</f>
        <v>0</v>
      </c>
      <c r="D841" s="14" t="str">
        <f aca="false">IF(C841=0,"",_xlfn.MINIFS(選手一覧!$E$7:$E$2738,選手一覧!$C$7:$C$2738,A841))</f>
        <v/>
      </c>
      <c r="E841" s="20"/>
      <c r="F841" s="18" t="n">
        <f aca="false">COUNTIFS(選手一覧!$C$7:$C$2738,A841,選手一覧!$I$7:$I$2738,"&lt;=100")</f>
        <v>0</v>
      </c>
      <c r="G841" s="18" t="n">
        <f aca="false">COUNTIFS(選手一覧!$C$7:$C$2738,A841,選手一覧!$K$7:$K$2738,"&lt;=100")</f>
        <v>0</v>
      </c>
      <c r="H841" s="17" t="n">
        <f aca="false">COUNTIF(選手一覧!$C$7:$C$2738,A841)</f>
        <v>1</v>
      </c>
    </row>
    <row r="842" customFormat="false" ht="15" hidden="false" customHeight="false" outlineLevel="0" collapsed="false">
      <c r="A842" s="12" t="s">
        <v>3238</v>
      </c>
      <c r="B842" s="22" t="n">
        <f aca="false">COUNTIFS(選手一覧!$C$7:$C$2738,A842,選手一覧!$E$7:$E$2738,"&lt;=100")</f>
        <v>0</v>
      </c>
      <c r="C842" s="18" t="n">
        <f aca="false">COUNTIFS(選手一覧!$C$7:$C$2738,A842,選手一覧!$E$7:$E$2738,"&gt;0")</f>
        <v>0</v>
      </c>
      <c r="D842" s="14" t="str">
        <f aca="false">IF(C842=0,"",_xlfn.MINIFS(選手一覧!$E$7:$E$2738,選手一覧!$C$7:$C$2738,A842))</f>
        <v/>
      </c>
      <c r="E842" s="20"/>
      <c r="F842" s="18" t="n">
        <f aca="false">COUNTIFS(選手一覧!$C$7:$C$2738,A842,選手一覧!$I$7:$I$2738,"&lt;=100")</f>
        <v>0</v>
      </c>
      <c r="G842" s="18" t="n">
        <f aca="false">COUNTIFS(選手一覧!$C$7:$C$2738,A842,選手一覧!$K$7:$K$2738,"&lt;=100")</f>
        <v>0</v>
      </c>
      <c r="H842" s="17" t="n">
        <f aca="false">COUNTIF(選手一覧!$C$7:$C$2738,A842)</f>
        <v>1</v>
      </c>
    </row>
    <row r="843" customFormat="false" ht="15" hidden="false" customHeight="false" outlineLevel="0" collapsed="false">
      <c r="A843" s="12" t="s">
        <v>3243</v>
      </c>
      <c r="B843" s="22" t="n">
        <f aca="false">COUNTIFS(選手一覧!$C$7:$C$2738,A843,選手一覧!$E$7:$E$2738,"&lt;=100")</f>
        <v>0</v>
      </c>
      <c r="C843" s="18" t="n">
        <f aca="false">COUNTIFS(選手一覧!$C$7:$C$2738,A843,選手一覧!$E$7:$E$2738,"&gt;0")</f>
        <v>0</v>
      </c>
      <c r="D843" s="14" t="str">
        <f aca="false">IF(C843=0,"",_xlfn.MINIFS(選手一覧!$E$7:$E$2738,選手一覧!$C$7:$C$2738,A843))</f>
        <v/>
      </c>
      <c r="E843" s="20"/>
      <c r="F843" s="18" t="n">
        <f aca="false">COUNTIFS(選手一覧!$C$7:$C$2738,A843,選手一覧!$I$7:$I$2738,"&lt;=100")</f>
        <v>0</v>
      </c>
      <c r="G843" s="18" t="n">
        <f aca="false">COUNTIFS(選手一覧!$C$7:$C$2738,A843,選手一覧!$K$7:$K$2738,"&lt;=100")</f>
        <v>0</v>
      </c>
      <c r="H843" s="17" t="n">
        <f aca="false">COUNTIF(選手一覧!$C$7:$C$2738,A843)</f>
        <v>1</v>
      </c>
    </row>
    <row r="844" customFormat="false" ht="15" hidden="false" customHeight="false" outlineLevel="0" collapsed="false">
      <c r="A844" s="12" t="s">
        <v>3249</v>
      </c>
      <c r="B844" s="22" t="n">
        <f aca="false">COUNTIFS(選手一覧!$C$7:$C$2738,A844,選手一覧!$E$7:$E$2738,"&lt;=100")</f>
        <v>0</v>
      </c>
      <c r="C844" s="18" t="n">
        <f aca="false">COUNTIFS(選手一覧!$C$7:$C$2738,A844,選手一覧!$E$7:$E$2738,"&gt;0")</f>
        <v>0</v>
      </c>
      <c r="D844" s="14" t="str">
        <f aca="false">IF(C844=0,"",_xlfn.MINIFS(選手一覧!$E$7:$E$2738,選手一覧!$C$7:$C$2738,A844))</f>
        <v/>
      </c>
      <c r="E844" s="20"/>
      <c r="F844" s="18" t="n">
        <f aca="false">COUNTIFS(選手一覧!$C$7:$C$2738,A844,選手一覧!$I$7:$I$2738,"&lt;=100")</f>
        <v>0</v>
      </c>
      <c r="G844" s="18" t="n">
        <f aca="false">COUNTIFS(選手一覧!$C$7:$C$2738,A844,選手一覧!$K$7:$K$2738,"&lt;=100")</f>
        <v>0</v>
      </c>
      <c r="H844" s="17" t="n">
        <f aca="false">COUNTIF(選手一覧!$C$7:$C$2738,A844)</f>
        <v>1</v>
      </c>
    </row>
    <row r="845" customFormat="false" ht="15" hidden="false" customHeight="false" outlineLevel="0" collapsed="false">
      <c r="A845" s="12" t="s">
        <v>3251</v>
      </c>
      <c r="B845" s="22" t="n">
        <f aca="false">COUNTIFS(選手一覧!$C$7:$C$2738,A845,選手一覧!$E$7:$E$2738,"&lt;=100")</f>
        <v>0</v>
      </c>
      <c r="C845" s="18" t="n">
        <f aca="false">COUNTIFS(選手一覧!$C$7:$C$2738,A845,選手一覧!$E$7:$E$2738,"&gt;0")</f>
        <v>0</v>
      </c>
      <c r="D845" s="14" t="str">
        <f aca="false">IF(C845=0,"",_xlfn.MINIFS(選手一覧!$E$7:$E$2738,選手一覧!$C$7:$C$2738,A845))</f>
        <v/>
      </c>
      <c r="E845" s="20"/>
      <c r="F845" s="18" t="n">
        <f aca="false">COUNTIFS(選手一覧!$C$7:$C$2738,A845,選手一覧!$I$7:$I$2738,"&lt;=100")</f>
        <v>0</v>
      </c>
      <c r="G845" s="18" t="n">
        <f aca="false">COUNTIFS(選手一覧!$C$7:$C$2738,A845,選手一覧!$K$7:$K$2738,"&lt;=100")</f>
        <v>0</v>
      </c>
      <c r="H845" s="17" t="n">
        <f aca="false">COUNTIF(選手一覧!$C$7:$C$2738,A845)</f>
        <v>1</v>
      </c>
    </row>
    <row r="846" customFormat="false" ht="15" hidden="false" customHeight="false" outlineLevel="0" collapsed="false">
      <c r="A846" s="12" t="s">
        <v>3253</v>
      </c>
      <c r="B846" s="22" t="n">
        <f aca="false">COUNTIFS(選手一覧!$C$7:$C$2738,A846,選手一覧!$E$7:$E$2738,"&lt;=100")</f>
        <v>0</v>
      </c>
      <c r="C846" s="18" t="n">
        <f aca="false">COUNTIFS(選手一覧!$C$7:$C$2738,A846,選手一覧!$E$7:$E$2738,"&gt;0")</f>
        <v>0</v>
      </c>
      <c r="D846" s="14" t="str">
        <f aca="false">IF(C846=0,"",_xlfn.MINIFS(選手一覧!$E$7:$E$2738,選手一覧!$C$7:$C$2738,A846))</f>
        <v/>
      </c>
      <c r="E846" s="20"/>
      <c r="F846" s="18" t="n">
        <f aca="false">COUNTIFS(選手一覧!$C$7:$C$2738,A846,選手一覧!$I$7:$I$2738,"&lt;=100")</f>
        <v>0</v>
      </c>
      <c r="G846" s="18" t="n">
        <f aca="false">COUNTIFS(選手一覧!$C$7:$C$2738,A846,選手一覧!$K$7:$K$2738,"&lt;=100")</f>
        <v>0</v>
      </c>
      <c r="H846" s="17" t="n">
        <f aca="false">COUNTIF(選手一覧!$C$7:$C$2738,A846)</f>
        <v>1</v>
      </c>
    </row>
    <row r="847" customFormat="false" ht="15" hidden="false" customHeight="false" outlineLevel="0" collapsed="false">
      <c r="A847" s="12" t="s">
        <v>3257</v>
      </c>
      <c r="B847" s="22" t="n">
        <f aca="false">COUNTIFS(選手一覧!$C$7:$C$2738,A847,選手一覧!$E$7:$E$2738,"&lt;=100")</f>
        <v>0</v>
      </c>
      <c r="C847" s="18" t="n">
        <f aca="false">COUNTIFS(選手一覧!$C$7:$C$2738,A847,選手一覧!$E$7:$E$2738,"&gt;0")</f>
        <v>0</v>
      </c>
      <c r="D847" s="14" t="str">
        <f aca="false">IF(C847=0,"",_xlfn.MINIFS(選手一覧!$E$7:$E$2738,選手一覧!$C$7:$C$2738,A847))</f>
        <v/>
      </c>
      <c r="E847" s="20"/>
      <c r="F847" s="18" t="n">
        <f aca="false">COUNTIFS(選手一覧!$C$7:$C$2738,A847,選手一覧!$I$7:$I$2738,"&lt;=100")</f>
        <v>0</v>
      </c>
      <c r="G847" s="18" t="n">
        <f aca="false">COUNTIFS(選手一覧!$C$7:$C$2738,A847,選手一覧!$K$7:$K$2738,"&lt;=100")</f>
        <v>0</v>
      </c>
      <c r="H847" s="17" t="n">
        <f aca="false">COUNTIF(選手一覧!$C$7:$C$2738,A847)</f>
        <v>1</v>
      </c>
    </row>
    <row r="848" customFormat="false" ht="15" hidden="false" customHeight="false" outlineLevel="0" collapsed="false">
      <c r="A848" s="12" t="s">
        <v>3262</v>
      </c>
      <c r="B848" s="22" t="n">
        <f aca="false">COUNTIFS(選手一覧!$C$7:$C$2738,A848,選手一覧!$E$7:$E$2738,"&lt;=100")</f>
        <v>0</v>
      </c>
      <c r="C848" s="18" t="n">
        <f aca="false">COUNTIFS(選手一覧!$C$7:$C$2738,A848,選手一覧!$E$7:$E$2738,"&gt;0")</f>
        <v>0</v>
      </c>
      <c r="D848" s="14" t="str">
        <f aca="false">IF(C848=0,"",_xlfn.MINIFS(選手一覧!$E$7:$E$2738,選手一覧!$C$7:$C$2738,A848))</f>
        <v/>
      </c>
      <c r="E848" s="20"/>
      <c r="F848" s="18" t="n">
        <f aca="false">COUNTIFS(選手一覧!$C$7:$C$2738,A848,選手一覧!$I$7:$I$2738,"&lt;=100")</f>
        <v>0</v>
      </c>
      <c r="G848" s="18" t="n">
        <f aca="false">COUNTIFS(選手一覧!$C$7:$C$2738,A848,選手一覧!$K$7:$K$2738,"&lt;=100")</f>
        <v>0</v>
      </c>
      <c r="H848" s="17" t="n">
        <f aca="false">COUNTIF(選手一覧!$C$7:$C$2738,A848)</f>
        <v>1</v>
      </c>
    </row>
    <row r="849" customFormat="false" ht="15" hidden="false" customHeight="false" outlineLevel="0" collapsed="false">
      <c r="A849" s="12" t="s">
        <v>3266</v>
      </c>
      <c r="B849" s="22" t="n">
        <f aca="false">COUNTIFS(選手一覧!$C$7:$C$2738,A849,選手一覧!$E$7:$E$2738,"&lt;=100")</f>
        <v>0</v>
      </c>
      <c r="C849" s="18" t="n">
        <f aca="false">COUNTIFS(選手一覧!$C$7:$C$2738,A849,選手一覧!$E$7:$E$2738,"&gt;0")</f>
        <v>0</v>
      </c>
      <c r="D849" s="14" t="str">
        <f aca="false">IF(C849=0,"",_xlfn.MINIFS(選手一覧!$E$7:$E$2738,選手一覧!$C$7:$C$2738,A849))</f>
        <v/>
      </c>
      <c r="E849" s="20"/>
      <c r="F849" s="18" t="n">
        <f aca="false">COUNTIFS(選手一覧!$C$7:$C$2738,A849,選手一覧!$I$7:$I$2738,"&lt;=100")</f>
        <v>0</v>
      </c>
      <c r="G849" s="18" t="n">
        <f aca="false">COUNTIFS(選手一覧!$C$7:$C$2738,A849,選手一覧!$K$7:$K$2738,"&lt;=100")</f>
        <v>0</v>
      </c>
      <c r="H849" s="17" t="n">
        <f aca="false">COUNTIF(選手一覧!$C$7:$C$2738,A849)</f>
        <v>1</v>
      </c>
    </row>
    <row r="850" customFormat="false" ht="15" hidden="false" customHeight="false" outlineLevel="0" collapsed="false">
      <c r="A850" s="12" t="s">
        <v>3269</v>
      </c>
      <c r="B850" s="22" t="n">
        <f aca="false">COUNTIFS(選手一覧!$C$7:$C$2738,A850,選手一覧!$E$7:$E$2738,"&lt;=100")</f>
        <v>0</v>
      </c>
      <c r="C850" s="18" t="n">
        <f aca="false">COUNTIFS(選手一覧!$C$7:$C$2738,A850,選手一覧!$E$7:$E$2738,"&gt;0")</f>
        <v>0</v>
      </c>
      <c r="D850" s="14" t="str">
        <f aca="false">IF(C850=0,"",_xlfn.MINIFS(選手一覧!$E$7:$E$2738,選手一覧!$C$7:$C$2738,A850))</f>
        <v/>
      </c>
      <c r="E850" s="20"/>
      <c r="F850" s="18" t="n">
        <f aca="false">COUNTIFS(選手一覧!$C$7:$C$2738,A850,選手一覧!$I$7:$I$2738,"&lt;=100")</f>
        <v>0</v>
      </c>
      <c r="G850" s="18" t="n">
        <f aca="false">COUNTIFS(選手一覧!$C$7:$C$2738,A850,選手一覧!$K$7:$K$2738,"&lt;=100")</f>
        <v>0</v>
      </c>
      <c r="H850" s="17" t="n">
        <f aca="false">COUNTIF(選手一覧!$C$7:$C$2738,A850)</f>
        <v>1</v>
      </c>
    </row>
    <row r="851" customFormat="false" ht="15" hidden="false" customHeight="false" outlineLevel="0" collapsed="false">
      <c r="A851" s="12" t="s">
        <v>3271</v>
      </c>
      <c r="B851" s="22" t="n">
        <f aca="false">COUNTIFS(選手一覧!$C$7:$C$2738,A851,選手一覧!$E$7:$E$2738,"&lt;=100")</f>
        <v>0</v>
      </c>
      <c r="C851" s="18" t="n">
        <f aca="false">COUNTIFS(選手一覧!$C$7:$C$2738,A851,選手一覧!$E$7:$E$2738,"&gt;0")</f>
        <v>0</v>
      </c>
      <c r="D851" s="14" t="str">
        <f aca="false">IF(C851=0,"",_xlfn.MINIFS(選手一覧!$E$7:$E$2738,選手一覧!$C$7:$C$2738,A851))</f>
        <v/>
      </c>
      <c r="E851" s="20"/>
      <c r="F851" s="18" t="n">
        <f aca="false">COUNTIFS(選手一覧!$C$7:$C$2738,A851,選手一覧!$I$7:$I$2738,"&lt;=100")</f>
        <v>0</v>
      </c>
      <c r="G851" s="18" t="n">
        <f aca="false">COUNTIFS(選手一覧!$C$7:$C$2738,A851,選手一覧!$K$7:$K$2738,"&lt;=100")</f>
        <v>0</v>
      </c>
      <c r="H851" s="17" t="n">
        <f aca="false">COUNTIF(選手一覧!$C$7:$C$2738,A851)</f>
        <v>1</v>
      </c>
    </row>
    <row r="852" customFormat="false" ht="15" hidden="false" customHeight="false" outlineLevel="0" collapsed="false">
      <c r="A852" s="12" t="s">
        <v>3273</v>
      </c>
      <c r="B852" s="22" t="n">
        <f aca="false">COUNTIFS(選手一覧!$C$7:$C$2738,A852,選手一覧!$E$7:$E$2738,"&lt;=100")</f>
        <v>0</v>
      </c>
      <c r="C852" s="18" t="n">
        <f aca="false">COUNTIFS(選手一覧!$C$7:$C$2738,A852,選手一覧!$E$7:$E$2738,"&gt;0")</f>
        <v>0</v>
      </c>
      <c r="D852" s="14" t="str">
        <f aca="false">IF(C852=0,"",_xlfn.MINIFS(選手一覧!$E$7:$E$2738,選手一覧!$C$7:$C$2738,A852))</f>
        <v/>
      </c>
      <c r="E852" s="20"/>
      <c r="F852" s="18" t="n">
        <f aca="false">COUNTIFS(選手一覧!$C$7:$C$2738,A852,選手一覧!$I$7:$I$2738,"&lt;=100")</f>
        <v>0</v>
      </c>
      <c r="G852" s="18" t="n">
        <f aca="false">COUNTIFS(選手一覧!$C$7:$C$2738,A852,選手一覧!$K$7:$K$2738,"&lt;=100")</f>
        <v>0</v>
      </c>
      <c r="H852" s="17" t="n">
        <f aca="false">COUNTIF(選手一覧!$C$7:$C$2738,A852)</f>
        <v>1</v>
      </c>
    </row>
    <row r="853" customFormat="false" ht="15" hidden="false" customHeight="false" outlineLevel="0" collapsed="false">
      <c r="A853" s="12" t="s">
        <v>3275</v>
      </c>
      <c r="B853" s="22" t="n">
        <f aca="false">COUNTIFS(選手一覧!$C$7:$C$2738,A853,選手一覧!$E$7:$E$2738,"&lt;=100")</f>
        <v>0</v>
      </c>
      <c r="C853" s="18" t="n">
        <f aca="false">COUNTIFS(選手一覧!$C$7:$C$2738,A853,選手一覧!$E$7:$E$2738,"&gt;0")</f>
        <v>0</v>
      </c>
      <c r="D853" s="14" t="str">
        <f aca="false">IF(C853=0,"",_xlfn.MINIFS(選手一覧!$E$7:$E$2738,選手一覧!$C$7:$C$2738,A853))</f>
        <v/>
      </c>
      <c r="E853" s="20"/>
      <c r="F853" s="18" t="n">
        <f aca="false">COUNTIFS(選手一覧!$C$7:$C$2738,A853,選手一覧!$I$7:$I$2738,"&lt;=100")</f>
        <v>0</v>
      </c>
      <c r="G853" s="18" t="n">
        <f aca="false">COUNTIFS(選手一覧!$C$7:$C$2738,A853,選手一覧!$K$7:$K$2738,"&lt;=100")</f>
        <v>0</v>
      </c>
      <c r="H853" s="17" t="n">
        <f aca="false">COUNTIF(選手一覧!$C$7:$C$2738,A853)</f>
        <v>1</v>
      </c>
    </row>
    <row r="854" customFormat="false" ht="15" hidden="false" customHeight="false" outlineLevel="0" collapsed="false">
      <c r="A854" s="12" t="s">
        <v>3280</v>
      </c>
      <c r="B854" s="22" t="n">
        <f aca="false">COUNTIFS(選手一覧!$C$7:$C$2738,A854,選手一覧!$E$7:$E$2738,"&lt;=100")</f>
        <v>0</v>
      </c>
      <c r="C854" s="18" t="n">
        <f aca="false">COUNTIFS(選手一覧!$C$7:$C$2738,A854,選手一覧!$E$7:$E$2738,"&gt;0")</f>
        <v>0</v>
      </c>
      <c r="D854" s="14" t="str">
        <f aca="false">IF(C854=0,"",_xlfn.MINIFS(選手一覧!$E$7:$E$2738,選手一覧!$C$7:$C$2738,A854))</f>
        <v/>
      </c>
      <c r="E854" s="20"/>
      <c r="F854" s="18" t="n">
        <f aca="false">COUNTIFS(選手一覧!$C$7:$C$2738,A854,選手一覧!$I$7:$I$2738,"&lt;=100")</f>
        <v>0</v>
      </c>
      <c r="G854" s="18" t="n">
        <f aca="false">COUNTIFS(選手一覧!$C$7:$C$2738,A854,選手一覧!$K$7:$K$2738,"&lt;=100")</f>
        <v>0</v>
      </c>
      <c r="H854" s="17" t="n">
        <f aca="false">COUNTIF(選手一覧!$C$7:$C$2738,A854)</f>
        <v>1</v>
      </c>
    </row>
    <row r="855" customFormat="false" ht="15" hidden="false" customHeight="false" outlineLevel="0" collapsed="false">
      <c r="A855" s="12" t="s">
        <v>3285</v>
      </c>
      <c r="B855" s="22" t="n">
        <f aca="false">COUNTIFS(選手一覧!$C$7:$C$2738,A855,選手一覧!$E$7:$E$2738,"&lt;=100")</f>
        <v>0</v>
      </c>
      <c r="C855" s="18" t="n">
        <f aca="false">COUNTIFS(選手一覧!$C$7:$C$2738,A855,選手一覧!$E$7:$E$2738,"&gt;0")</f>
        <v>0</v>
      </c>
      <c r="D855" s="14" t="str">
        <f aca="false">IF(C855=0,"",_xlfn.MINIFS(選手一覧!$E$7:$E$2738,選手一覧!$C$7:$C$2738,A855))</f>
        <v/>
      </c>
      <c r="E855" s="20"/>
      <c r="F855" s="18" t="n">
        <f aca="false">COUNTIFS(選手一覧!$C$7:$C$2738,A855,選手一覧!$I$7:$I$2738,"&lt;=100")</f>
        <v>0</v>
      </c>
      <c r="G855" s="18" t="n">
        <f aca="false">COUNTIFS(選手一覧!$C$7:$C$2738,A855,選手一覧!$K$7:$K$2738,"&lt;=100")</f>
        <v>0</v>
      </c>
      <c r="H855" s="17" t="n">
        <f aca="false">COUNTIF(選手一覧!$C$7:$C$2738,A855)</f>
        <v>1</v>
      </c>
    </row>
    <row r="856" customFormat="false" ht="15" hidden="false" customHeight="false" outlineLevel="0" collapsed="false">
      <c r="A856" s="12" t="s">
        <v>3290</v>
      </c>
      <c r="B856" s="22" t="n">
        <f aca="false">COUNTIFS(選手一覧!$C$7:$C$2738,A856,選手一覧!$E$7:$E$2738,"&lt;=100")</f>
        <v>0</v>
      </c>
      <c r="C856" s="18" t="n">
        <f aca="false">COUNTIFS(選手一覧!$C$7:$C$2738,A856,選手一覧!$E$7:$E$2738,"&gt;0")</f>
        <v>0</v>
      </c>
      <c r="D856" s="14" t="str">
        <f aca="false">IF(C856=0,"",_xlfn.MINIFS(選手一覧!$E$7:$E$2738,選手一覧!$C$7:$C$2738,A856))</f>
        <v/>
      </c>
      <c r="E856" s="20"/>
      <c r="F856" s="18" t="n">
        <f aca="false">COUNTIFS(選手一覧!$C$7:$C$2738,A856,選手一覧!$I$7:$I$2738,"&lt;=100")</f>
        <v>0</v>
      </c>
      <c r="G856" s="18" t="n">
        <f aca="false">COUNTIFS(選手一覧!$C$7:$C$2738,A856,選手一覧!$K$7:$K$2738,"&lt;=100")</f>
        <v>0</v>
      </c>
      <c r="H856" s="17" t="n">
        <f aca="false">COUNTIF(選手一覧!$C$7:$C$2738,A856)</f>
        <v>1</v>
      </c>
    </row>
    <row r="857" customFormat="false" ht="15" hidden="false" customHeight="false" outlineLevel="0" collapsed="false">
      <c r="A857" s="12" t="s">
        <v>3294</v>
      </c>
      <c r="B857" s="22" t="n">
        <f aca="false">COUNTIFS(選手一覧!$C$7:$C$2738,A857,選手一覧!$E$7:$E$2738,"&lt;=100")</f>
        <v>0</v>
      </c>
      <c r="C857" s="18" t="n">
        <f aca="false">COUNTIFS(選手一覧!$C$7:$C$2738,A857,選手一覧!$E$7:$E$2738,"&gt;0")</f>
        <v>0</v>
      </c>
      <c r="D857" s="14" t="str">
        <f aca="false">IF(C857=0,"",_xlfn.MINIFS(選手一覧!$E$7:$E$2738,選手一覧!$C$7:$C$2738,A857))</f>
        <v/>
      </c>
      <c r="E857" s="20"/>
      <c r="F857" s="18" t="n">
        <f aca="false">COUNTIFS(選手一覧!$C$7:$C$2738,A857,選手一覧!$I$7:$I$2738,"&lt;=100")</f>
        <v>0</v>
      </c>
      <c r="G857" s="18" t="n">
        <f aca="false">COUNTIFS(選手一覧!$C$7:$C$2738,A857,選手一覧!$K$7:$K$2738,"&lt;=100")</f>
        <v>0</v>
      </c>
      <c r="H857" s="17" t="n">
        <f aca="false">COUNTIF(選手一覧!$C$7:$C$2738,A857)</f>
        <v>1</v>
      </c>
    </row>
    <row r="858" customFormat="false" ht="15" hidden="false" customHeight="false" outlineLevel="0" collapsed="false">
      <c r="A858" s="12" t="s">
        <v>3296</v>
      </c>
      <c r="B858" s="22" t="n">
        <f aca="false">COUNTIFS(選手一覧!$C$7:$C$2738,A858,選手一覧!$E$7:$E$2738,"&lt;=100")</f>
        <v>0</v>
      </c>
      <c r="C858" s="18" t="n">
        <f aca="false">COUNTIFS(選手一覧!$C$7:$C$2738,A858,選手一覧!$E$7:$E$2738,"&gt;0")</f>
        <v>0</v>
      </c>
      <c r="D858" s="14" t="str">
        <f aca="false">IF(C858=0,"",_xlfn.MINIFS(選手一覧!$E$7:$E$2738,選手一覧!$C$7:$C$2738,A858))</f>
        <v/>
      </c>
      <c r="E858" s="20"/>
      <c r="F858" s="18" t="n">
        <f aca="false">COUNTIFS(選手一覧!$C$7:$C$2738,A858,選手一覧!$I$7:$I$2738,"&lt;=100")</f>
        <v>0</v>
      </c>
      <c r="G858" s="18" t="n">
        <f aca="false">COUNTIFS(選手一覧!$C$7:$C$2738,A858,選手一覧!$K$7:$K$2738,"&lt;=100")</f>
        <v>0</v>
      </c>
      <c r="H858" s="17" t="n">
        <f aca="false">COUNTIF(選手一覧!$C$7:$C$2738,A858)</f>
        <v>1</v>
      </c>
    </row>
    <row r="859" customFormat="false" ht="15" hidden="false" customHeight="false" outlineLevel="0" collapsed="false">
      <c r="A859" s="12" t="s">
        <v>3298</v>
      </c>
      <c r="B859" s="22" t="n">
        <f aca="false">COUNTIFS(選手一覧!$C$7:$C$2738,A859,選手一覧!$E$7:$E$2738,"&lt;=100")</f>
        <v>0</v>
      </c>
      <c r="C859" s="18" t="n">
        <f aca="false">COUNTIFS(選手一覧!$C$7:$C$2738,A859,選手一覧!$E$7:$E$2738,"&gt;0")</f>
        <v>0</v>
      </c>
      <c r="D859" s="14" t="str">
        <f aca="false">IF(C859=0,"",_xlfn.MINIFS(選手一覧!$E$7:$E$2738,選手一覧!$C$7:$C$2738,A859))</f>
        <v/>
      </c>
      <c r="E859" s="20"/>
      <c r="F859" s="18" t="n">
        <f aca="false">COUNTIFS(選手一覧!$C$7:$C$2738,A859,選手一覧!$I$7:$I$2738,"&lt;=100")</f>
        <v>0</v>
      </c>
      <c r="G859" s="18" t="n">
        <f aca="false">COUNTIFS(選手一覧!$C$7:$C$2738,A859,選手一覧!$K$7:$K$2738,"&lt;=100")</f>
        <v>0</v>
      </c>
      <c r="H859" s="17" t="n">
        <f aca="false">COUNTIF(選手一覧!$C$7:$C$2738,A859)</f>
        <v>1</v>
      </c>
    </row>
    <row r="860" customFormat="false" ht="15" hidden="false" customHeight="false" outlineLevel="0" collapsed="false">
      <c r="A860" s="12" t="s">
        <v>3303</v>
      </c>
      <c r="B860" s="22" t="n">
        <f aca="false">COUNTIFS(選手一覧!$C$7:$C$2738,A860,選手一覧!$E$7:$E$2738,"&lt;=100")</f>
        <v>0</v>
      </c>
      <c r="C860" s="18" t="n">
        <f aca="false">COUNTIFS(選手一覧!$C$7:$C$2738,A860,選手一覧!$E$7:$E$2738,"&gt;0")</f>
        <v>0</v>
      </c>
      <c r="D860" s="14" t="str">
        <f aca="false">IF(C860=0,"",_xlfn.MINIFS(選手一覧!$E$7:$E$2738,選手一覧!$C$7:$C$2738,A860))</f>
        <v/>
      </c>
      <c r="E860" s="20"/>
      <c r="F860" s="18" t="n">
        <f aca="false">COUNTIFS(選手一覧!$C$7:$C$2738,A860,選手一覧!$I$7:$I$2738,"&lt;=100")</f>
        <v>0</v>
      </c>
      <c r="G860" s="18" t="n">
        <f aca="false">COUNTIFS(選手一覧!$C$7:$C$2738,A860,選手一覧!$K$7:$K$2738,"&lt;=100")</f>
        <v>0</v>
      </c>
      <c r="H860" s="17" t="n">
        <f aca="false">COUNTIF(選手一覧!$C$7:$C$2738,A860)</f>
        <v>1</v>
      </c>
    </row>
    <row r="861" customFormat="false" ht="15" hidden="false" customHeight="false" outlineLevel="0" collapsed="false">
      <c r="A861" s="12" t="s">
        <v>3306</v>
      </c>
      <c r="B861" s="22" t="n">
        <f aca="false">COUNTIFS(選手一覧!$C$7:$C$2738,A861,選手一覧!$E$7:$E$2738,"&lt;=100")</f>
        <v>0</v>
      </c>
      <c r="C861" s="18" t="n">
        <f aca="false">COUNTIFS(選手一覧!$C$7:$C$2738,A861,選手一覧!$E$7:$E$2738,"&gt;0")</f>
        <v>0</v>
      </c>
      <c r="D861" s="14" t="str">
        <f aca="false">IF(C861=0,"",_xlfn.MINIFS(選手一覧!$E$7:$E$2738,選手一覧!$C$7:$C$2738,A861))</f>
        <v/>
      </c>
      <c r="E861" s="20"/>
      <c r="F861" s="18" t="n">
        <f aca="false">COUNTIFS(選手一覧!$C$7:$C$2738,A861,選手一覧!$I$7:$I$2738,"&lt;=100")</f>
        <v>0</v>
      </c>
      <c r="G861" s="18" t="n">
        <f aca="false">COUNTIFS(選手一覧!$C$7:$C$2738,A861,選手一覧!$K$7:$K$2738,"&lt;=100")</f>
        <v>0</v>
      </c>
      <c r="H861" s="17" t="n">
        <f aca="false">COUNTIF(選手一覧!$C$7:$C$2738,A861)</f>
        <v>1</v>
      </c>
    </row>
    <row r="862" customFormat="false" ht="15" hidden="false" customHeight="false" outlineLevel="0" collapsed="false">
      <c r="A862" s="12" t="s">
        <v>3317</v>
      </c>
      <c r="B862" s="22" t="n">
        <f aca="false">COUNTIFS(選手一覧!$C$7:$C$2738,A862,選手一覧!$E$7:$E$2738,"&lt;=100")</f>
        <v>0</v>
      </c>
      <c r="C862" s="18" t="n">
        <f aca="false">COUNTIFS(選手一覧!$C$7:$C$2738,A862,選手一覧!$E$7:$E$2738,"&gt;0")</f>
        <v>0</v>
      </c>
      <c r="D862" s="14" t="str">
        <f aca="false">IF(C862=0,"",_xlfn.MINIFS(選手一覧!$E$7:$E$2738,選手一覧!$C$7:$C$2738,A862))</f>
        <v/>
      </c>
      <c r="E862" s="20"/>
      <c r="F862" s="18" t="n">
        <f aca="false">COUNTIFS(選手一覧!$C$7:$C$2738,A862,選手一覧!$I$7:$I$2738,"&lt;=100")</f>
        <v>0</v>
      </c>
      <c r="G862" s="18" t="n">
        <f aca="false">COUNTIFS(選手一覧!$C$7:$C$2738,A862,選手一覧!$K$7:$K$2738,"&lt;=100")</f>
        <v>0</v>
      </c>
      <c r="H862" s="17" t="n">
        <f aca="false">COUNTIF(選手一覧!$C$7:$C$2738,A862)</f>
        <v>1</v>
      </c>
    </row>
    <row r="863" customFormat="false" ht="15" hidden="false" customHeight="false" outlineLevel="0" collapsed="false">
      <c r="A863" s="12" t="s">
        <v>3322</v>
      </c>
      <c r="B863" s="22" t="n">
        <f aca="false">COUNTIFS(選手一覧!$C$7:$C$2738,A863,選手一覧!$E$7:$E$2738,"&lt;=100")</f>
        <v>0</v>
      </c>
      <c r="C863" s="18" t="n">
        <f aca="false">COUNTIFS(選手一覧!$C$7:$C$2738,A863,選手一覧!$E$7:$E$2738,"&gt;0")</f>
        <v>0</v>
      </c>
      <c r="D863" s="14" t="str">
        <f aca="false">IF(C863=0,"",_xlfn.MINIFS(選手一覧!$E$7:$E$2738,選手一覧!$C$7:$C$2738,A863))</f>
        <v/>
      </c>
      <c r="E863" s="20"/>
      <c r="F863" s="18" t="n">
        <f aca="false">COUNTIFS(選手一覧!$C$7:$C$2738,A863,選手一覧!$I$7:$I$2738,"&lt;=100")</f>
        <v>0</v>
      </c>
      <c r="G863" s="18" t="n">
        <f aca="false">COUNTIFS(選手一覧!$C$7:$C$2738,A863,選手一覧!$K$7:$K$2738,"&lt;=100")</f>
        <v>0</v>
      </c>
      <c r="H863" s="17" t="n">
        <f aca="false">COUNTIF(選手一覧!$C$7:$C$2738,A863)</f>
        <v>1</v>
      </c>
    </row>
    <row r="864" customFormat="false" ht="15" hidden="false" customHeight="false" outlineLevel="0" collapsed="false">
      <c r="A864" s="12" t="s">
        <v>3326</v>
      </c>
      <c r="B864" s="22" t="n">
        <f aca="false">COUNTIFS(選手一覧!$C$7:$C$2738,A864,選手一覧!$E$7:$E$2738,"&lt;=100")</f>
        <v>0</v>
      </c>
      <c r="C864" s="18" t="n">
        <f aca="false">COUNTIFS(選手一覧!$C$7:$C$2738,A864,選手一覧!$E$7:$E$2738,"&gt;0")</f>
        <v>0</v>
      </c>
      <c r="D864" s="14" t="str">
        <f aca="false">IF(C864=0,"",_xlfn.MINIFS(選手一覧!$E$7:$E$2738,選手一覧!$C$7:$C$2738,A864))</f>
        <v/>
      </c>
      <c r="E864" s="20"/>
      <c r="F864" s="18" t="n">
        <f aca="false">COUNTIFS(選手一覧!$C$7:$C$2738,A864,選手一覧!$I$7:$I$2738,"&lt;=100")</f>
        <v>0</v>
      </c>
      <c r="G864" s="18" t="n">
        <f aca="false">COUNTIFS(選手一覧!$C$7:$C$2738,A864,選手一覧!$K$7:$K$2738,"&lt;=100")</f>
        <v>0</v>
      </c>
      <c r="H864" s="17" t="n">
        <f aca="false">COUNTIF(選手一覧!$C$7:$C$2738,A864)</f>
        <v>1</v>
      </c>
    </row>
    <row r="865" customFormat="false" ht="15" hidden="false" customHeight="false" outlineLevel="0" collapsed="false">
      <c r="A865" s="12" t="s">
        <v>3330</v>
      </c>
      <c r="B865" s="22" t="n">
        <f aca="false">COUNTIFS(選手一覧!$C$7:$C$2738,A865,選手一覧!$E$7:$E$2738,"&lt;=100")</f>
        <v>0</v>
      </c>
      <c r="C865" s="18" t="n">
        <f aca="false">COUNTIFS(選手一覧!$C$7:$C$2738,A865,選手一覧!$E$7:$E$2738,"&gt;0")</f>
        <v>0</v>
      </c>
      <c r="D865" s="14" t="str">
        <f aca="false">IF(C865=0,"",_xlfn.MINIFS(選手一覧!$E$7:$E$2738,選手一覧!$C$7:$C$2738,A865))</f>
        <v/>
      </c>
      <c r="E865" s="20"/>
      <c r="F865" s="18" t="n">
        <f aca="false">COUNTIFS(選手一覧!$C$7:$C$2738,A865,選手一覧!$I$7:$I$2738,"&lt;=100")</f>
        <v>0</v>
      </c>
      <c r="G865" s="18" t="n">
        <f aca="false">COUNTIFS(選手一覧!$C$7:$C$2738,A865,選手一覧!$K$7:$K$2738,"&lt;=100")</f>
        <v>0</v>
      </c>
      <c r="H865" s="17" t="n">
        <f aca="false">COUNTIF(選手一覧!$C$7:$C$2738,A865)</f>
        <v>1</v>
      </c>
    </row>
    <row r="866" customFormat="false" ht="15" hidden="false" customHeight="false" outlineLevel="0" collapsed="false">
      <c r="A866" s="12" t="s">
        <v>3332</v>
      </c>
      <c r="B866" s="22" t="n">
        <f aca="false">COUNTIFS(選手一覧!$C$7:$C$2738,A866,選手一覧!$E$7:$E$2738,"&lt;=100")</f>
        <v>0</v>
      </c>
      <c r="C866" s="18" t="n">
        <f aca="false">COUNTIFS(選手一覧!$C$7:$C$2738,A866,選手一覧!$E$7:$E$2738,"&gt;0")</f>
        <v>0</v>
      </c>
      <c r="D866" s="14" t="str">
        <f aca="false">IF(C866=0,"",_xlfn.MINIFS(選手一覧!$E$7:$E$2738,選手一覧!$C$7:$C$2738,A866))</f>
        <v/>
      </c>
      <c r="E866" s="20"/>
      <c r="F866" s="18" t="n">
        <f aca="false">COUNTIFS(選手一覧!$C$7:$C$2738,A866,選手一覧!$I$7:$I$2738,"&lt;=100")</f>
        <v>0</v>
      </c>
      <c r="G866" s="18" t="n">
        <f aca="false">COUNTIFS(選手一覧!$C$7:$C$2738,A866,選手一覧!$K$7:$K$2738,"&lt;=100")</f>
        <v>0</v>
      </c>
      <c r="H866" s="17" t="n">
        <f aca="false">COUNTIF(選手一覧!$C$7:$C$2738,A866)</f>
        <v>1</v>
      </c>
    </row>
    <row r="867" customFormat="false" ht="15" hidden="false" customHeight="false" outlineLevel="0" collapsed="false">
      <c r="A867" s="12" t="s">
        <v>3337</v>
      </c>
      <c r="B867" s="22" t="n">
        <f aca="false">COUNTIFS(選手一覧!$C$7:$C$2738,A867,選手一覧!$E$7:$E$2738,"&lt;=100")</f>
        <v>0</v>
      </c>
      <c r="C867" s="18" t="n">
        <f aca="false">COUNTIFS(選手一覧!$C$7:$C$2738,A867,選手一覧!$E$7:$E$2738,"&gt;0")</f>
        <v>0</v>
      </c>
      <c r="D867" s="14" t="str">
        <f aca="false">IF(C867=0,"",_xlfn.MINIFS(選手一覧!$E$7:$E$2738,選手一覧!$C$7:$C$2738,A867))</f>
        <v/>
      </c>
      <c r="E867" s="20"/>
      <c r="F867" s="18" t="n">
        <f aca="false">COUNTIFS(選手一覧!$C$7:$C$2738,A867,選手一覧!$I$7:$I$2738,"&lt;=100")</f>
        <v>0</v>
      </c>
      <c r="G867" s="18" t="n">
        <f aca="false">COUNTIFS(選手一覧!$C$7:$C$2738,A867,選手一覧!$K$7:$K$2738,"&lt;=100")</f>
        <v>0</v>
      </c>
      <c r="H867" s="17" t="n">
        <f aca="false">COUNTIF(選手一覧!$C$7:$C$2738,A867)</f>
        <v>1</v>
      </c>
    </row>
    <row r="868" customFormat="false" ht="15" hidden="false" customHeight="false" outlineLevel="0" collapsed="false">
      <c r="A868" s="12" t="s">
        <v>3340</v>
      </c>
      <c r="B868" s="22" t="n">
        <f aca="false">COUNTIFS(選手一覧!$C$7:$C$2738,A868,選手一覧!$E$7:$E$2738,"&lt;=100")</f>
        <v>0</v>
      </c>
      <c r="C868" s="18" t="n">
        <f aca="false">COUNTIFS(選手一覧!$C$7:$C$2738,A868,選手一覧!$E$7:$E$2738,"&gt;0")</f>
        <v>0</v>
      </c>
      <c r="D868" s="14" t="str">
        <f aca="false">IF(C868=0,"",_xlfn.MINIFS(選手一覧!$E$7:$E$2738,選手一覧!$C$7:$C$2738,A868))</f>
        <v/>
      </c>
      <c r="E868" s="20"/>
      <c r="F868" s="18" t="n">
        <f aca="false">COUNTIFS(選手一覧!$C$7:$C$2738,A868,選手一覧!$I$7:$I$2738,"&lt;=100")</f>
        <v>0</v>
      </c>
      <c r="G868" s="18" t="n">
        <f aca="false">COUNTIFS(選手一覧!$C$7:$C$2738,A868,選手一覧!$K$7:$K$2738,"&lt;=100")</f>
        <v>0</v>
      </c>
      <c r="H868" s="17" t="n">
        <f aca="false">COUNTIF(選手一覧!$C$7:$C$2738,A868)</f>
        <v>1</v>
      </c>
    </row>
    <row r="869" customFormat="false" ht="15" hidden="false" customHeight="false" outlineLevel="0" collapsed="false">
      <c r="A869" s="12" t="s">
        <v>3342</v>
      </c>
      <c r="B869" s="22" t="n">
        <f aca="false">COUNTIFS(選手一覧!$C$7:$C$2738,A869,選手一覧!$E$7:$E$2738,"&lt;=100")</f>
        <v>0</v>
      </c>
      <c r="C869" s="18" t="n">
        <f aca="false">COUNTIFS(選手一覧!$C$7:$C$2738,A869,選手一覧!$E$7:$E$2738,"&gt;0")</f>
        <v>0</v>
      </c>
      <c r="D869" s="14" t="str">
        <f aca="false">IF(C869=0,"",_xlfn.MINIFS(選手一覧!$E$7:$E$2738,選手一覧!$C$7:$C$2738,A869))</f>
        <v/>
      </c>
      <c r="E869" s="20"/>
      <c r="F869" s="18" t="n">
        <f aca="false">COUNTIFS(選手一覧!$C$7:$C$2738,A869,選手一覧!$I$7:$I$2738,"&lt;=100")</f>
        <v>0</v>
      </c>
      <c r="G869" s="18" t="n">
        <f aca="false">COUNTIFS(選手一覧!$C$7:$C$2738,A869,選手一覧!$K$7:$K$2738,"&lt;=100")</f>
        <v>0</v>
      </c>
      <c r="H869" s="17" t="n">
        <f aca="false">COUNTIF(選手一覧!$C$7:$C$2738,A869)</f>
        <v>1</v>
      </c>
    </row>
    <row r="870" customFormat="false" ht="15" hidden="false" customHeight="false" outlineLevel="0" collapsed="false">
      <c r="A870" s="12" t="s">
        <v>3345</v>
      </c>
      <c r="B870" s="22" t="n">
        <f aca="false">COUNTIFS(選手一覧!$C$7:$C$2738,A870,選手一覧!$E$7:$E$2738,"&lt;=100")</f>
        <v>0</v>
      </c>
      <c r="C870" s="18" t="n">
        <f aca="false">COUNTIFS(選手一覧!$C$7:$C$2738,A870,選手一覧!$E$7:$E$2738,"&gt;0")</f>
        <v>0</v>
      </c>
      <c r="D870" s="14" t="str">
        <f aca="false">IF(C870=0,"",_xlfn.MINIFS(選手一覧!$E$7:$E$2738,選手一覧!$C$7:$C$2738,A870))</f>
        <v/>
      </c>
      <c r="E870" s="20"/>
      <c r="F870" s="18" t="n">
        <f aca="false">COUNTIFS(選手一覧!$C$7:$C$2738,A870,選手一覧!$I$7:$I$2738,"&lt;=100")</f>
        <v>0</v>
      </c>
      <c r="G870" s="18" t="n">
        <f aca="false">COUNTIFS(選手一覧!$C$7:$C$2738,A870,選手一覧!$K$7:$K$2738,"&lt;=100")</f>
        <v>0</v>
      </c>
      <c r="H870" s="17" t="n">
        <f aca="false">COUNTIF(選手一覧!$C$7:$C$2738,A870)</f>
        <v>1</v>
      </c>
    </row>
    <row r="871" customFormat="false" ht="15" hidden="false" customHeight="false" outlineLevel="0" collapsed="false">
      <c r="A871" s="12" t="s">
        <v>3347</v>
      </c>
      <c r="B871" s="22" t="n">
        <f aca="false">COUNTIFS(選手一覧!$C$7:$C$2738,A871,選手一覧!$E$7:$E$2738,"&lt;=100")</f>
        <v>0</v>
      </c>
      <c r="C871" s="18" t="n">
        <f aca="false">COUNTIFS(選手一覧!$C$7:$C$2738,A871,選手一覧!$E$7:$E$2738,"&gt;0")</f>
        <v>0</v>
      </c>
      <c r="D871" s="14" t="str">
        <f aca="false">IF(C871=0,"",_xlfn.MINIFS(選手一覧!$E$7:$E$2738,選手一覧!$C$7:$C$2738,A871))</f>
        <v/>
      </c>
      <c r="E871" s="20"/>
      <c r="F871" s="18" t="n">
        <f aca="false">COUNTIFS(選手一覧!$C$7:$C$2738,A871,選手一覧!$I$7:$I$2738,"&lt;=100")</f>
        <v>0</v>
      </c>
      <c r="G871" s="18" t="n">
        <f aca="false">COUNTIFS(選手一覧!$C$7:$C$2738,A871,選手一覧!$K$7:$K$2738,"&lt;=100")</f>
        <v>0</v>
      </c>
      <c r="H871" s="17" t="n">
        <f aca="false">COUNTIF(選手一覧!$C$7:$C$2738,A871)</f>
        <v>1</v>
      </c>
    </row>
    <row r="872" customFormat="false" ht="15" hidden="false" customHeight="false" outlineLevel="0" collapsed="false">
      <c r="A872" s="12" t="s">
        <v>3349</v>
      </c>
      <c r="B872" s="22" t="n">
        <f aca="false">COUNTIFS(選手一覧!$C$7:$C$2738,A872,選手一覧!$E$7:$E$2738,"&lt;=100")</f>
        <v>0</v>
      </c>
      <c r="C872" s="18" t="n">
        <f aca="false">COUNTIFS(選手一覧!$C$7:$C$2738,A872,選手一覧!$E$7:$E$2738,"&gt;0")</f>
        <v>0</v>
      </c>
      <c r="D872" s="14" t="str">
        <f aca="false">IF(C872=0,"",_xlfn.MINIFS(選手一覧!$E$7:$E$2738,選手一覧!$C$7:$C$2738,A872))</f>
        <v/>
      </c>
      <c r="E872" s="20"/>
      <c r="F872" s="18" t="n">
        <f aca="false">COUNTIFS(選手一覧!$C$7:$C$2738,A872,選手一覧!$I$7:$I$2738,"&lt;=100")</f>
        <v>0</v>
      </c>
      <c r="G872" s="18" t="n">
        <f aca="false">COUNTIFS(選手一覧!$C$7:$C$2738,A872,選手一覧!$K$7:$K$2738,"&lt;=100")</f>
        <v>0</v>
      </c>
      <c r="H872" s="17" t="n">
        <f aca="false">COUNTIF(選手一覧!$C$7:$C$2738,A872)</f>
        <v>1</v>
      </c>
    </row>
    <row r="873" customFormat="false" ht="15" hidden="false" customHeight="false" outlineLevel="0" collapsed="false">
      <c r="A873" s="12" t="s">
        <v>3362</v>
      </c>
      <c r="B873" s="22" t="n">
        <f aca="false">COUNTIFS(選手一覧!$C$7:$C$2738,A873,選手一覧!$E$7:$E$2738,"&lt;=100")</f>
        <v>0</v>
      </c>
      <c r="C873" s="18" t="n">
        <f aca="false">COUNTIFS(選手一覧!$C$7:$C$2738,A873,選手一覧!$E$7:$E$2738,"&gt;0")</f>
        <v>0</v>
      </c>
      <c r="D873" s="14" t="str">
        <f aca="false">IF(C873=0,"",_xlfn.MINIFS(選手一覧!$E$7:$E$2738,選手一覧!$C$7:$C$2738,A873))</f>
        <v/>
      </c>
      <c r="E873" s="20"/>
      <c r="F873" s="18" t="n">
        <f aca="false">COUNTIFS(選手一覧!$C$7:$C$2738,A873,選手一覧!$I$7:$I$2738,"&lt;=100")</f>
        <v>0</v>
      </c>
      <c r="G873" s="18" t="n">
        <f aca="false">COUNTIFS(選手一覧!$C$7:$C$2738,A873,選手一覧!$K$7:$K$2738,"&lt;=100")</f>
        <v>0</v>
      </c>
      <c r="H873" s="17" t="n">
        <f aca="false">COUNTIF(選手一覧!$C$7:$C$2738,A873)</f>
        <v>1</v>
      </c>
    </row>
    <row r="874" customFormat="false" ht="15" hidden="false" customHeight="false" outlineLevel="0" collapsed="false">
      <c r="A874" s="12" t="s">
        <v>3366</v>
      </c>
      <c r="B874" s="22" t="n">
        <f aca="false">COUNTIFS(選手一覧!$C$7:$C$2738,A874,選手一覧!$E$7:$E$2738,"&lt;=100")</f>
        <v>0</v>
      </c>
      <c r="C874" s="18" t="n">
        <f aca="false">COUNTIFS(選手一覧!$C$7:$C$2738,A874,選手一覧!$E$7:$E$2738,"&gt;0")</f>
        <v>0</v>
      </c>
      <c r="D874" s="14" t="str">
        <f aca="false">IF(C874=0,"",_xlfn.MINIFS(選手一覧!$E$7:$E$2738,選手一覧!$C$7:$C$2738,A874))</f>
        <v/>
      </c>
      <c r="E874" s="20"/>
      <c r="F874" s="18" t="n">
        <f aca="false">COUNTIFS(選手一覧!$C$7:$C$2738,A874,選手一覧!$I$7:$I$2738,"&lt;=100")</f>
        <v>0</v>
      </c>
      <c r="G874" s="18" t="n">
        <f aca="false">COUNTIFS(選手一覧!$C$7:$C$2738,A874,選手一覧!$K$7:$K$2738,"&lt;=100")</f>
        <v>0</v>
      </c>
      <c r="H874" s="17" t="n">
        <f aca="false">COUNTIF(選手一覧!$C$7:$C$2738,A874)</f>
        <v>1</v>
      </c>
    </row>
    <row r="875" customFormat="false" ht="15" hidden="false" customHeight="false" outlineLevel="0" collapsed="false">
      <c r="A875" s="12" t="s">
        <v>3372</v>
      </c>
      <c r="B875" s="22" t="n">
        <f aca="false">COUNTIFS(選手一覧!$C$7:$C$2738,A875,選手一覧!$E$7:$E$2738,"&lt;=100")</f>
        <v>0</v>
      </c>
      <c r="C875" s="18" t="n">
        <f aca="false">COUNTIFS(選手一覧!$C$7:$C$2738,A875,選手一覧!$E$7:$E$2738,"&gt;0")</f>
        <v>0</v>
      </c>
      <c r="D875" s="14" t="str">
        <f aca="false">IF(C875=0,"",_xlfn.MINIFS(選手一覧!$E$7:$E$2738,選手一覧!$C$7:$C$2738,A875))</f>
        <v/>
      </c>
      <c r="E875" s="20"/>
      <c r="F875" s="18" t="n">
        <f aca="false">COUNTIFS(選手一覧!$C$7:$C$2738,A875,選手一覧!$I$7:$I$2738,"&lt;=100")</f>
        <v>0</v>
      </c>
      <c r="G875" s="18" t="n">
        <f aca="false">COUNTIFS(選手一覧!$C$7:$C$2738,A875,選手一覧!$K$7:$K$2738,"&lt;=100")</f>
        <v>0</v>
      </c>
      <c r="H875" s="17" t="n">
        <f aca="false">COUNTIF(選手一覧!$C$7:$C$2738,A875)</f>
        <v>1</v>
      </c>
    </row>
    <row r="876" customFormat="false" ht="15" hidden="false" customHeight="false" outlineLevel="0" collapsed="false">
      <c r="A876" s="12" t="s">
        <v>3379</v>
      </c>
      <c r="B876" s="22" t="n">
        <f aca="false">COUNTIFS(選手一覧!$C$7:$C$2738,A876,選手一覧!$E$7:$E$2738,"&lt;=100")</f>
        <v>0</v>
      </c>
      <c r="C876" s="18" t="n">
        <f aca="false">COUNTIFS(選手一覧!$C$7:$C$2738,A876,選手一覧!$E$7:$E$2738,"&gt;0")</f>
        <v>0</v>
      </c>
      <c r="D876" s="14" t="str">
        <f aca="false">IF(C876=0,"",_xlfn.MINIFS(選手一覧!$E$7:$E$2738,選手一覧!$C$7:$C$2738,A876))</f>
        <v/>
      </c>
      <c r="E876" s="20"/>
      <c r="F876" s="18" t="n">
        <f aca="false">COUNTIFS(選手一覧!$C$7:$C$2738,A876,選手一覧!$I$7:$I$2738,"&lt;=100")</f>
        <v>0</v>
      </c>
      <c r="G876" s="18" t="n">
        <f aca="false">COUNTIFS(選手一覧!$C$7:$C$2738,A876,選手一覧!$K$7:$K$2738,"&lt;=100")</f>
        <v>0</v>
      </c>
      <c r="H876" s="17" t="n">
        <f aca="false">COUNTIF(選手一覧!$C$7:$C$2738,A876)</f>
        <v>1</v>
      </c>
    </row>
    <row r="877" customFormat="false" ht="15" hidden="false" customHeight="false" outlineLevel="0" collapsed="false">
      <c r="A877" s="12" t="s">
        <v>3381</v>
      </c>
      <c r="B877" s="22" t="n">
        <f aca="false">COUNTIFS(選手一覧!$C$7:$C$2738,A877,選手一覧!$E$7:$E$2738,"&lt;=100")</f>
        <v>0</v>
      </c>
      <c r="C877" s="18" t="n">
        <f aca="false">COUNTIFS(選手一覧!$C$7:$C$2738,A877,選手一覧!$E$7:$E$2738,"&gt;0")</f>
        <v>0</v>
      </c>
      <c r="D877" s="14" t="str">
        <f aca="false">IF(C877=0,"",_xlfn.MINIFS(選手一覧!$E$7:$E$2738,選手一覧!$C$7:$C$2738,A877))</f>
        <v/>
      </c>
      <c r="E877" s="20"/>
      <c r="F877" s="18" t="n">
        <f aca="false">COUNTIFS(選手一覧!$C$7:$C$2738,A877,選手一覧!$I$7:$I$2738,"&lt;=100")</f>
        <v>0</v>
      </c>
      <c r="G877" s="18" t="n">
        <f aca="false">COUNTIFS(選手一覧!$C$7:$C$2738,A877,選手一覧!$K$7:$K$2738,"&lt;=100")</f>
        <v>0</v>
      </c>
      <c r="H877" s="17" t="n">
        <f aca="false">COUNTIF(選手一覧!$C$7:$C$2738,A877)</f>
        <v>1</v>
      </c>
    </row>
    <row r="878" customFormat="false" ht="15" hidden="false" customHeight="false" outlineLevel="0" collapsed="false">
      <c r="A878" s="12" t="s">
        <v>3383</v>
      </c>
      <c r="B878" s="22" t="n">
        <f aca="false">COUNTIFS(選手一覧!$C$7:$C$2738,A878,選手一覧!$E$7:$E$2738,"&lt;=100")</f>
        <v>0</v>
      </c>
      <c r="C878" s="18" t="n">
        <f aca="false">COUNTIFS(選手一覧!$C$7:$C$2738,A878,選手一覧!$E$7:$E$2738,"&gt;0")</f>
        <v>0</v>
      </c>
      <c r="D878" s="14" t="str">
        <f aca="false">IF(C878=0,"",_xlfn.MINIFS(選手一覧!$E$7:$E$2738,選手一覧!$C$7:$C$2738,A878))</f>
        <v/>
      </c>
      <c r="E878" s="20"/>
      <c r="F878" s="18" t="n">
        <f aca="false">COUNTIFS(選手一覧!$C$7:$C$2738,A878,選手一覧!$I$7:$I$2738,"&lt;=100")</f>
        <v>0</v>
      </c>
      <c r="G878" s="18" t="n">
        <f aca="false">COUNTIFS(選手一覧!$C$7:$C$2738,A878,選手一覧!$K$7:$K$2738,"&lt;=100")</f>
        <v>0</v>
      </c>
      <c r="H878" s="17" t="n">
        <f aca="false">COUNTIF(選手一覧!$C$7:$C$2738,A878)</f>
        <v>1</v>
      </c>
    </row>
    <row r="879" customFormat="false" ht="15" hidden="false" customHeight="false" outlineLevel="0" collapsed="false">
      <c r="A879" s="12" t="s">
        <v>3385</v>
      </c>
      <c r="B879" s="22" t="n">
        <f aca="false">COUNTIFS(選手一覧!$C$7:$C$2738,A879,選手一覧!$E$7:$E$2738,"&lt;=100")</f>
        <v>0</v>
      </c>
      <c r="C879" s="18" t="n">
        <f aca="false">COUNTIFS(選手一覧!$C$7:$C$2738,A879,選手一覧!$E$7:$E$2738,"&gt;0")</f>
        <v>0</v>
      </c>
      <c r="D879" s="14" t="str">
        <f aca="false">IF(C879=0,"",_xlfn.MINIFS(選手一覧!$E$7:$E$2738,選手一覧!$C$7:$C$2738,A879))</f>
        <v/>
      </c>
      <c r="E879" s="20"/>
      <c r="F879" s="18" t="n">
        <f aca="false">COUNTIFS(選手一覧!$C$7:$C$2738,A879,選手一覧!$I$7:$I$2738,"&lt;=100")</f>
        <v>0</v>
      </c>
      <c r="G879" s="18" t="n">
        <f aca="false">COUNTIFS(選手一覧!$C$7:$C$2738,A879,選手一覧!$K$7:$K$2738,"&lt;=100")</f>
        <v>0</v>
      </c>
      <c r="H879" s="17" t="n">
        <f aca="false">COUNTIF(選手一覧!$C$7:$C$2738,A879)</f>
        <v>1</v>
      </c>
    </row>
    <row r="880" customFormat="false" ht="15" hidden="false" customHeight="false" outlineLevel="0" collapsed="false">
      <c r="A880" s="12" t="s">
        <v>3387</v>
      </c>
      <c r="B880" s="22" t="n">
        <f aca="false">COUNTIFS(選手一覧!$C$7:$C$2738,A880,選手一覧!$E$7:$E$2738,"&lt;=100")</f>
        <v>0</v>
      </c>
      <c r="C880" s="18" t="n">
        <f aca="false">COUNTIFS(選手一覧!$C$7:$C$2738,A880,選手一覧!$E$7:$E$2738,"&gt;0")</f>
        <v>0</v>
      </c>
      <c r="D880" s="14" t="str">
        <f aca="false">IF(C880=0,"",_xlfn.MINIFS(選手一覧!$E$7:$E$2738,選手一覧!$C$7:$C$2738,A880))</f>
        <v/>
      </c>
      <c r="E880" s="20"/>
      <c r="F880" s="18" t="n">
        <f aca="false">COUNTIFS(選手一覧!$C$7:$C$2738,A880,選手一覧!$I$7:$I$2738,"&lt;=100")</f>
        <v>0</v>
      </c>
      <c r="G880" s="18" t="n">
        <f aca="false">COUNTIFS(選手一覧!$C$7:$C$2738,A880,選手一覧!$K$7:$K$2738,"&lt;=100")</f>
        <v>0</v>
      </c>
      <c r="H880" s="17" t="n">
        <f aca="false">COUNTIF(選手一覧!$C$7:$C$2738,A880)</f>
        <v>1</v>
      </c>
    </row>
    <row r="881" customFormat="false" ht="15" hidden="false" customHeight="false" outlineLevel="0" collapsed="false">
      <c r="A881" s="12" t="s">
        <v>3391</v>
      </c>
      <c r="B881" s="22" t="n">
        <f aca="false">COUNTIFS(選手一覧!$C$7:$C$2738,A881,選手一覧!$E$7:$E$2738,"&lt;=100")</f>
        <v>0</v>
      </c>
      <c r="C881" s="18" t="n">
        <f aca="false">COUNTIFS(選手一覧!$C$7:$C$2738,A881,選手一覧!$E$7:$E$2738,"&gt;0")</f>
        <v>0</v>
      </c>
      <c r="D881" s="14" t="str">
        <f aca="false">IF(C881=0,"",_xlfn.MINIFS(選手一覧!$E$7:$E$2738,選手一覧!$C$7:$C$2738,A881))</f>
        <v/>
      </c>
      <c r="E881" s="20"/>
      <c r="F881" s="18" t="n">
        <f aca="false">COUNTIFS(選手一覧!$C$7:$C$2738,A881,選手一覧!$I$7:$I$2738,"&lt;=100")</f>
        <v>0</v>
      </c>
      <c r="G881" s="18" t="n">
        <f aca="false">COUNTIFS(選手一覧!$C$7:$C$2738,A881,選手一覧!$K$7:$K$2738,"&lt;=100")</f>
        <v>0</v>
      </c>
      <c r="H881" s="17" t="n">
        <f aca="false">COUNTIF(選手一覧!$C$7:$C$2738,A881)</f>
        <v>1</v>
      </c>
    </row>
    <row r="882" customFormat="false" ht="15" hidden="false" customHeight="false" outlineLevel="0" collapsed="false">
      <c r="A882" s="12" t="s">
        <v>3393</v>
      </c>
      <c r="B882" s="22" t="n">
        <f aca="false">COUNTIFS(選手一覧!$C$7:$C$2738,A882,選手一覧!$E$7:$E$2738,"&lt;=100")</f>
        <v>0</v>
      </c>
      <c r="C882" s="18" t="n">
        <f aca="false">COUNTIFS(選手一覧!$C$7:$C$2738,A882,選手一覧!$E$7:$E$2738,"&gt;0")</f>
        <v>0</v>
      </c>
      <c r="D882" s="14" t="str">
        <f aca="false">IF(C882=0,"",_xlfn.MINIFS(選手一覧!$E$7:$E$2738,選手一覧!$C$7:$C$2738,A882))</f>
        <v/>
      </c>
      <c r="E882" s="20"/>
      <c r="F882" s="18" t="n">
        <f aca="false">COUNTIFS(選手一覧!$C$7:$C$2738,A882,選手一覧!$I$7:$I$2738,"&lt;=100")</f>
        <v>0</v>
      </c>
      <c r="G882" s="18" t="n">
        <f aca="false">COUNTIFS(選手一覧!$C$7:$C$2738,A882,選手一覧!$K$7:$K$2738,"&lt;=100")</f>
        <v>0</v>
      </c>
      <c r="H882" s="17" t="n">
        <f aca="false">COUNTIF(選手一覧!$C$7:$C$2738,A882)</f>
        <v>1</v>
      </c>
    </row>
    <row r="883" customFormat="false" ht="15" hidden="false" customHeight="false" outlineLevel="0" collapsed="false">
      <c r="A883" s="12" t="s">
        <v>3395</v>
      </c>
      <c r="B883" s="22" t="n">
        <f aca="false">COUNTIFS(選手一覧!$C$7:$C$2738,A883,選手一覧!$E$7:$E$2738,"&lt;=100")</f>
        <v>0</v>
      </c>
      <c r="C883" s="18" t="n">
        <f aca="false">COUNTIFS(選手一覧!$C$7:$C$2738,A883,選手一覧!$E$7:$E$2738,"&gt;0")</f>
        <v>0</v>
      </c>
      <c r="D883" s="14" t="str">
        <f aca="false">IF(C883=0,"",_xlfn.MINIFS(選手一覧!$E$7:$E$2738,選手一覧!$C$7:$C$2738,A883))</f>
        <v/>
      </c>
      <c r="E883" s="20"/>
      <c r="F883" s="18" t="n">
        <f aca="false">COUNTIFS(選手一覧!$C$7:$C$2738,A883,選手一覧!$I$7:$I$2738,"&lt;=100")</f>
        <v>0</v>
      </c>
      <c r="G883" s="18" t="n">
        <f aca="false">COUNTIFS(選手一覧!$C$7:$C$2738,A883,選手一覧!$K$7:$K$2738,"&lt;=100")</f>
        <v>0</v>
      </c>
      <c r="H883" s="17" t="n">
        <f aca="false">COUNTIF(選手一覧!$C$7:$C$2738,A883)</f>
        <v>1</v>
      </c>
    </row>
    <row r="884" customFormat="false" ht="15" hidden="false" customHeight="false" outlineLevel="0" collapsed="false">
      <c r="A884" s="12" t="s">
        <v>3397</v>
      </c>
      <c r="B884" s="22" t="n">
        <f aca="false">COUNTIFS(選手一覧!$C$7:$C$2738,A884,選手一覧!$E$7:$E$2738,"&lt;=100")</f>
        <v>0</v>
      </c>
      <c r="C884" s="18" t="n">
        <f aca="false">COUNTIFS(選手一覧!$C$7:$C$2738,A884,選手一覧!$E$7:$E$2738,"&gt;0")</f>
        <v>0</v>
      </c>
      <c r="D884" s="14" t="str">
        <f aca="false">IF(C884=0,"",_xlfn.MINIFS(選手一覧!$E$7:$E$2738,選手一覧!$C$7:$C$2738,A884))</f>
        <v/>
      </c>
      <c r="E884" s="20"/>
      <c r="F884" s="18" t="n">
        <f aca="false">COUNTIFS(選手一覧!$C$7:$C$2738,A884,選手一覧!$I$7:$I$2738,"&lt;=100")</f>
        <v>0</v>
      </c>
      <c r="G884" s="18" t="n">
        <f aca="false">COUNTIFS(選手一覧!$C$7:$C$2738,A884,選手一覧!$K$7:$K$2738,"&lt;=100")</f>
        <v>0</v>
      </c>
      <c r="H884" s="17" t="n">
        <f aca="false">COUNTIF(選手一覧!$C$7:$C$2738,A884)</f>
        <v>1</v>
      </c>
    </row>
    <row r="885" customFormat="false" ht="15" hidden="false" customHeight="false" outlineLevel="0" collapsed="false">
      <c r="A885" s="12" t="s">
        <v>3405</v>
      </c>
      <c r="B885" s="22" t="n">
        <f aca="false">COUNTIFS(選手一覧!$C$7:$C$2738,A885,選手一覧!$E$7:$E$2738,"&lt;=100")</f>
        <v>0</v>
      </c>
      <c r="C885" s="18" t="n">
        <f aca="false">COUNTIFS(選手一覧!$C$7:$C$2738,A885,選手一覧!$E$7:$E$2738,"&gt;0")</f>
        <v>0</v>
      </c>
      <c r="D885" s="14" t="str">
        <f aca="false">IF(C885=0,"",_xlfn.MINIFS(選手一覧!$E$7:$E$2738,選手一覧!$C$7:$C$2738,A885))</f>
        <v/>
      </c>
      <c r="E885" s="20"/>
      <c r="F885" s="18" t="n">
        <f aca="false">COUNTIFS(選手一覧!$C$7:$C$2738,A885,選手一覧!$I$7:$I$2738,"&lt;=100")</f>
        <v>0</v>
      </c>
      <c r="G885" s="18" t="n">
        <f aca="false">COUNTIFS(選手一覧!$C$7:$C$2738,A885,選手一覧!$K$7:$K$2738,"&lt;=100")</f>
        <v>0</v>
      </c>
      <c r="H885" s="17" t="n">
        <f aca="false">COUNTIF(選手一覧!$C$7:$C$2738,A885)</f>
        <v>1</v>
      </c>
    </row>
    <row r="886" customFormat="false" ht="15" hidden="false" customHeight="false" outlineLevel="0" collapsed="false">
      <c r="A886" s="12" t="s">
        <v>3411</v>
      </c>
      <c r="B886" s="22" t="n">
        <f aca="false">COUNTIFS(選手一覧!$C$7:$C$2738,A886,選手一覧!$E$7:$E$2738,"&lt;=100")</f>
        <v>0</v>
      </c>
      <c r="C886" s="18" t="n">
        <f aca="false">COUNTIFS(選手一覧!$C$7:$C$2738,A886,選手一覧!$E$7:$E$2738,"&gt;0")</f>
        <v>0</v>
      </c>
      <c r="D886" s="14" t="str">
        <f aca="false">IF(C886=0,"",_xlfn.MINIFS(選手一覧!$E$7:$E$2738,選手一覧!$C$7:$C$2738,A886))</f>
        <v/>
      </c>
      <c r="E886" s="20"/>
      <c r="F886" s="18" t="n">
        <f aca="false">COUNTIFS(選手一覧!$C$7:$C$2738,A886,選手一覧!$I$7:$I$2738,"&lt;=100")</f>
        <v>0</v>
      </c>
      <c r="G886" s="18" t="n">
        <f aca="false">COUNTIFS(選手一覧!$C$7:$C$2738,A886,選手一覧!$K$7:$K$2738,"&lt;=100")</f>
        <v>0</v>
      </c>
      <c r="H886" s="17" t="n">
        <f aca="false">COUNTIF(選手一覧!$C$7:$C$2738,A886)</f>
        <v>1</v>
      </c>
    </row>
    <row r="887" customFormat="false" ht="15" hidden="false" customHeight="false" outlineLevel="0" collapsed="false">
      <c r="A887" s="12" t="s">
        <v>3413</v>
      </c>
      <c r="B887" s="22" t="n">
        <f aca="false">COUNTIFS(選手一覧!$C$7:$C$2738,A887,選手一覧!$E$7:$E$2738,"&lt;=100")</f>
        <v>0</v>
      </c>
      <c r="C887" s="18" t="n">
        <f aca="false">COUNTIFS(選手一覧!$C$7:$C$2738,A887,選手一覧!$E$7:$E$2738,"&gt;0")</f>
        <v>0</v>
      </c>
      <c r="D887" s="14" t="str">
        <f aca="false">IF(C887=0,"",_xlfn.MINIFS(選手一覧!$E$7:$E$2738,選手一覧!$C$7:$C$2738,A887))</f>
        <v/>
      </c>
      <c r="E887" s="20"/>
      <c r="F887" s="18" t="n">
        <f aca="false">COUNTIFS(選手一覧!$C$7:$C$2738,A887,選手一覧!$I$7:$I$2738,"&lt;=100")</f>
        <v>0</v>
      </c>
      <c r="G887" s="18" t="n">
        <f aca="false">COUNTIFS(選手一覧!$C$7:$C$2738,A887,選手一覧!$K$7:$K$2738,"&lt;=100")</f>
        <v>0</v>
      </c>
      <c r="H887" s="17" t="n">
        <f aca="false">COUNTIF(選手一覧!$C$7:$C$2738,A887)</f>
        <v>1</v>
      </c>
    </row>
    <row r="888" customFormat="false" ht="15" hidden="false" customHeight="false" outlineLevel="0" collapsed="false">
      <c r="A888" s="12" t="s">
        <v>3423</v>
      </c>
      <c r="B888" s="22" t="n">
        <f aca="false">COUNTIFS(選手一覧!$C$7:$C$2738,A888,選手一覧!$E$7:$E$2738,"&lt;=100")</f>
        <v>0</v>
      </c>
      <c r="C888" s="18" t="n">
        <f aca="false">COUNTIFS(選手一覧!$C$7:$C$2738,A888,選手一覧!$E$7:$E$2738,"&gt;0")</f>
        <v>0</v>
      </c>
      <c r="D888" s="14" t="str">
        <f aca="false">IF(C888=0,"",_xlfn.MINIFS(選手一覧!$E$7:$E$2738,選手一覧!$C$7:$C$2738,A888))</f>
        <v/>
      </c>
      <c r="E888" s="20"/>
      <c r="F888" s="18" t="n">
        <f aca="false">COUNTIFS(選手一覧!$C$7:$C$2738,A888,選手一覧!$I$7:$I$2738,"&lt;=100")</f>
        <v>0</v>
      </c>
      <c r="G888" s="18" t="n">
        <f aca="false">COUNTIFS(選手一覧!$C$7:$C$2738,A888,選手一覧!$K$7:$K$2738,"&lt;=100")</f>
        <v>0</v>
      </c>
      <c r="H888" s="17" t="n">
        <f aca="false">COUNTIF(選手一覧!$C$7:$C$2738,A888)</f>
        <v>1</v>
      </c>
    </row>
    <row r="889" customFormat="false" ht="15" hidden="false" customHeight="false" outlineLevel="0" collapsed="false">
      <c r="A889" s="12" t="s">
        <v>3426</v>
      </c>
      <c r="B889" s="22" t="n">
        <f aca="false">COUNTIFS(選手一覧!$C$7:$C$2738,A889,選手一覧!$E$7:$E$2738,"&lt;=100")</f>
        <v>0</v>
      </c>
      <c r="C889" s="18" t="n">
        <f aca="false">COUNTIFS(選手一覧!$C$7:$C$2738,A889,選手一覧!$E$7:$E$2738,"&gt;0")</f>
        <v>0</v>
      </c>
      <c r="D889" s="14" t="str">
        <f aca="false">IF(C889=0,"",_xlfn.MINIFS(選手一覧!$E$7:$E$2738,選手一覧!$C$7:$C$2738,A889))</f>
        <v/>
      </c>
      <c r="E889" s="20"/>
      <c r="F889" s="18" t="n">
        <f aca="false">COUNTIFS(選手一覧!$C$7:$C$2738,A889,選手一覧!$I$7:$I$2738,"&lt;=100")</f>
        <v>0</v>
      </c>
      <c r="G889" s="18" t="n">
        <f aca="false">COUNTIFS(選手一覧!$C$7:$C$2738,A889,選手一覧!$K$7:$K$2738,"&lt;=100")</f>
        <v>0</v>
      </c>
      <c r="H889" s="17" t="n">
        <f aca="false">COUNTIF(選手一覧!$C$7:$C$2738,A889)</f>
        <v>1</v>
      </c>
    </row>
    <row r="890" customFormat="false" ht="15" hidden="false" customHeight="false" outlineLevel="0" collapsed="false">
      <c r="A890" s="12" t="s">
        <v>3432</v>
      </c>
      <c r="B890" s="22" t="n">
        <f aca="false">COUNTIFS(選手一覧!$C$7:$C$2738,A890,選手一覧!$E$7:$E$2738,"&lt;=100")</f>
        <v>0</v>
      </c>
      <c r="C890" s="18" t="n">
        <f aca="false">COUNTIFS(選手一覧!$C$7:$C$2738,A890,選手一覧!$E$7:$E$2738,"&gt;0")</f>
        <v>0</v>
      </c>
      <c r="D890" s="14" t="str">
        <f aca="false">IF(C890=0,"",_xlfn.MINIFS(選手一覧!$E$7:$E$2738,選手一覧!$C$7:$C$2738,A890))</f>
        <v/>
      </c>
      <c r="E890" s="20"/>
      <c r="F890" s="18" t="n">
        <f aca="false">COUNTIFS(選手一覧!$C$7:$C$2738,A890,選手一覧!$I$7:$I$2738,"&lt;=100")</f>
        <v>0</v>
      </c>
      <c r="G890" s="18" t="n">
        <f aca="false">COUNTIFS(選手一覧!$C$7:$C$2738,A890,選手一覧!$K$7:$K$2738,"&lt;=100")</f>
        <v>0</v>
      </c>
      <c r="H890" s="17" t="n">
        <f aca="false">COUNTIF(選手一覧!$C$7:$C$2738,A890)</f>
        <v>1</v>
      </c>
    </row>
    <row r="891" customFormat="false" ht="15" hidden="false" customHeight="false" outlineLevel="0" collapsed="false">
      <c r="A891" s="12" t="s">
        <v>3435</v>
      </c>
      <c r="B891" s="22" t="n">
        <f aca="false">COUNTIFS(選手一覧!$C$7:$C$2738,A891,選手一覧!$E$7:$E$2738,"&lt;=100")</f>
        <v>0</v>
      </c>
      <c r="C891" s="18" t="n">
        <f aca="false">COUNTIFS(選手一覧!$C$7:$C$2738,A891,選手一覧!$E$7:$E$2738,"&gt;0")</f>
        <v>0</v>
      </c>
      <c r="D891" s="14" t="str">
        <f aca="false">IF(C891=0,"",_xlfn.MINIFS(選手一覧!$E$7:$E$2738,選手一覧!$C$7:$C$2738,A891))</f>
        <v/>
      </c>
      <c r="E891" s="20"/>
      <c r="F891" s="18" t="n">
        <f aca="false">COUNTIFS(選手一覧!$C$7:$C$2738,A891,選手一覧!$I$7:$I$2738,"&lt;=100")</f>
        <v>0</v>
      </c>
      <c r="G891" s="18" t="n">
        <f aca="false">COUNTIFS(選手一覧!$C$7:$C$2738,A891,選手一覧!$K$7:$K$2738,"&lt;=100")</f>
        <v>0</v>
      </c>
      <c r="H891" s="17" t="n">
        <f aca="false">COUNTIF(選手一覧!$C$7:$C$2738,A891)</f>
        <v>1</v>
      </c>
    </row>
    <row r="892" customFormat="false" ht="15" hidden="false" customHeight="false" outlineLevel="0" collapsed="false">
      <c r="A892" s="12" t="s">
        <v>3439</v>
      </c>
      <c r="B892" s="22" t="n">
        <f aca="false">COUNTIFS(選手一覧!$C$7:$C$2738,A892,選手一覧!$E$7:$E$2738,"&lt;=100")</f>
        <v>0</v>
      </c>
      <c r="C892" s="18" t="n">
        <f aca="false">COUNTIFS(選手一覧!$C$7:$C$2738,A892,選手一覧!$E$7:$E$2738,"&gt;0")</f>
        <v>0</v>
      </c>
      <c r="D892" s="14" t="str">
        <f aca="false">IF(C892=0,"",_xlfn.MINIFS(選手一覧!$E$7:$E$2738,選手一覧!$C$7:$C$2738,A892))</f>
        <v/>
      </c>
      <c r="E892" s="20"/>
      <c r="F892" s="18" t="n">
        <f aca="false">COUNTIFS(選手一覧!$C$7:$C$2738,A892,選手一覧!$I$7:$I$2738,"&lt;=100")</f>
        <v>0</v>
      </c>
      <c r="G892" s="18" t="n">
        <f aca="false">COUNTIFS(選手一覧!$C$7:$C$2738,A892,選手一覧!$K$7:$K$2738,"&lt;=100")</f>
        <v>0</v>
      </c>
      <c r="H892" s="17" t="n">
        <f aca="false">COUNTIF(選手一覧!$C$7:$C$2738,A892)</f>
        <v>1</v>
      </c>
    </row>
    <row r="893" customFormat="false" ht="15" hidden="false" customHeight="false" outlineLevel="0" collapsed="false">
      <c r="A893" s="12" t="s">
        <v>3442</v>
      </c>
      <c r="B893" s="22" t="n">
        <f aca="false">COUNTIFS(選手一覧!$C$7:$C$2738,A893,選手一覧!$E$7:$E$2738,"&lt;=100")</f>
        <v>0</v>
      </c>
      <c r="C893" s="18" t="n">
        <f aca="false">COUNTIFS(選手一覧!$C$7:$C$2738,A893,選手一覧!$E$7:$E$2738,"&gt;0")</f>
        <v>0</v>
      </c>
      <c r="D893" s="14" t="str">
        <f aca="false">IF(C893=0,"",_xlfn.MINIFS(選手一覧!$E$7:$E$2738,選手一覧!$C$7:$C$2738,A893))</f>
        <v/>
      </c>
      <c r="E893" s="20"/>
      <c r="F893" s="18" t="n">
        <f aca="false">COUNTIFS(選手一覧!$C$7:$C$2738,A893,選手一覧!$I$7:$I$2738,"&lt;=100")</f>
        <v>0</v>
      </c>
      <c r="G893" s="18" t="n">
        <f aca="false">COUNTIFS(選手一覧!$C$7:$C$2738,A893,選手一覧!$K$7:$K$2738,"&lt;=100")</f>
        <v>0</v>
      </c>
      <c r="H893" s="17" t="n">
        <f aca="false">COUNTIF(選手一覧!$C$7:$C$2738,A893)</f>
        <v>1</v>
      </c>
    </row>
    <row r="894" customFormat="false" ht="15" hidden="false" customHeight="false" outlineLevel="0" collapsed="false">
      <c r="A894" s="12" t="s">
        <v>3444</v>
      </c>
      <c r="B894" s="22" t="n">
        <f aca="false">COUNTIFS(選手一覧!$C$7:$C$2738,A894,選手一覧!$E$7:$E$2738,"&lt;=100")</f>
        <v>0</v>
      </c>
      <c r="C894" s="18" t="n">
        <f aca="false">COUNTIFS(選手一覧!$C$7:$C$2738,A894,選手一覧!$E$7:$E$2738,"&gt;0")</f>
        <v>0</v>
      </c>
      <c r="D894" s="14" t="str">
        <f aca="false">IF(C894=0,"",_xlfn.MINIFS(選手一覧!$E$7:$E$2738,選手一覧!$C$7:$C$2738,A894))</f>
        <v/>
      </c>
      <c r="E894" s="20"/>
      <c r="F894" s="18" t="n">
        <f aca="false">COUNTIFS(選手一覧!$C$7:$C$2738,A894,選手一覧!$I$7:$I$2738,"&lt;=100")</f>
        <v>0</v>
      </c>
      <c r="G894" s="18" t="n">
        <f aca="false">COUNTIFS(選手一覧!$C$7:$C$2738,A894,選手一覧!$K$7:$K$2738,"&lt;=100")</f>
        <v>0</v>
      </c>
      <c r="H894" s="17" t="n">
        <f aca="false">COUNTIF(選手一覧!$C$7:$C$2738,A894)</f>
        <v>1</v>
      </c>
    </row>
    <row r="895" customFormat="false" ht="15" hidden="false" customHeight="false" outlineLevel="0" collapsed="false">
      <c r="A895" s="12" t="s">
        <v>3446</v>
      </c>
      <c r="B895" s="22" t="n">
        <f aca="false">COUNTIFS(選手一覧!$C$7:$C$2738,A895,選手一覧!$E$7:$E$2738,"&lt;=100")</f>
        <v>0</v>
      </c>
      <c r="C895" s="18" t="n">
        <f aca="false">COUNTIFS(選手一覧!$C$7:$C$2738,A895,選手一覧!$E$7:$E$2738,"&gt;0")</f>
        <v>0</v>
      </c>
      <c r="D895" s="14" t="str">
        <f aca="false">IF(C895=0,"",_xlfn.MINIFS(選手一覧!$E$7:$E$2738,選手一覧!$C$7:$C$2738,A895))</f>
        <v/>
      </c>
      <c r="E895" s="20"/>
      <c r="F895" s="18" t="n">
        <f aca="false">COUNTIFS(選手一覧!$C$7:$C$2738,A895,選手一覧!$I$7:$I$2738,"&lt;=100")</f>
        <v>0</v>
      </c>
      <c r="G895" s="18" t="n">
        <f aca="false">COUNTIFS(選手一覧!$C$7:$C$2738,A895,選手一覧!$K$7:$K$2738,"&lt;=100")</f>
        <v>0</v>
      </c>
      <c r="H895" s="17" t="n">
        <f aca="false">COUNTIF(選手一覧!$C$7:$C$2738,A895)</f>
        <v>1</v>
      </c>
    </row>
    <row r="896" customFormat="false" ht="15" hidden="false" customHeight="false" outlineLevel="0" collapsed="false">
      <c r="A896" s="12" t="s">
        <v>3450</v>
      </c>
      <c r="B896" s="22" t="n">
        <f aca="false">COUNTIFS(選手一覧!$C$7:$C$2738,A896,選手一覧!$E$7:$E$2738,"&lt;=100")</f>
        <v>0</v>
      </c>
      <c r="C896" s="18" t="n">
        <f aca="false">COUNTIFS(選手一覧!$C$7:$C$2738,A896,選手一覧!$E$7:$E$2738,"&gt;0")</f>
        <v>0</v>
      </c>
      <c r="D896" s="14" t="str">
        <f aca="false">IF(C896=0,"",_xlfn.MINIFS(選手一覧!$E$7:$E$2738,選手一覧!$C$7:$C$2738,A896))</f>
        <v/>
      </c>
      <c r="E896" s="20"/>
      <c r="F896" s="18" t="n">
        <f aca="false">COUNTIFS(選手一覧!$C$7:$C$2738,A896,選手一覧!$I$7:$I$2738,"&lt;=100")</f>
        <v>0</v>
      </c>
      <c r="G896" s="18" t="n">
        <f aca="false">COUNTIFS(選手一覧!$C$7:$C$2738,A896,選手一覧!$K$7:$K$2738,"&lt;=100")</f>
        <v>0</v>
      </c>
      <c r="H896" s="17" t="n">
        <f aca="false">COUNTIF(選手一覧!$C$7:$C$2738,A896)</f>
        <v>1</v>
      </c>
    </row>
    <row r="897" customFormat="false" ht="15" hidden="false" customHeight="false" outlineLevel="0" collapsed="false">
      <c r="A897" s="12" t="s">
        <v>3459</v>
      </c>
      <c r="B897" s="22" t="n">
        <f aca="false">COUNTIFS(選手一覧!$C$7:$C$2738,A897,選手一覧!$E$7:$E$2738,"&lt;=100")</f>
        <v>0</v>
      </c>
      <c r="C897" s="18" t="n">
        <f aca="false">COUNTIFS(選手一覧!$C$7:$C$2738,A897,選手一覧!$E$7:$E$2738,"&gt;0")</f>
        <v>0</v>
      </c>
      <c r="D897" s="14" t="str">
        <f aca="false">IF(C897=0,"",_xlfn.MINIFS(選手一覧!$E$7:$E$2738,選手一覧!$C$7:$C$2738,A897))</f>
        <v/>
      </c>
      <c r="E897" s="20"/>
      <c r="F897" s="18" t="n">
        <f aca="false">COUNTIFS(選手一覧!$C$7:$C$2738,A897,選手一覧!$I$7:$I$2738,"&lt;=100")</f>
        <v>0</v>
      </c>
      <c r="G897" s="18" t="n">
        <f aca="false">COUNTIFS(選手一覧!$C$7:$C$2738,A897,選手一覧!$K$7:$K$2738,"&lt;=100")</f>
        <v>0</v>
      </c>
      <c r="H897" s="17" t="n">
        <f aca="false">COUNTIF(選手一覧!$C$7:$C$2738,A897)</f>
        <v>1</v>
      </c>
    </row>
    <row r="898" customFormat="false" ht="15" hidden="false" customHeight="false" outlineLevel="0" collapsed="false">
      <c r="A898" s="12" t="s">
        <v>3462</v>
      </c>
      <c r="B898" s="22" t="n">
        <f aca="false">COUNTIFS(選手一覧!$C$7:$C$2738,A898,選手一覧!$E$7:$E$2738,"&lt;=100")</f>
        <v>0</v>
      </c>
      <c r="C898" s="18" t="n">
        <f aca="false">COUNTIFS(選手一覧!$C$7:$C$2738,A898,選手一覧!$E$7:$E$2738,"&gt;0")</f>
        <v>0</v>
      </c>
      <c r="D898" s="14" t="str">
        <f aca="false">IF(C898=0,"",_xlfn.MINIFS(選手一覧!$E$7:$E$2738,選手一覧!$C$7:$C$2738,A898))</f>
        <v/>
      </c>
      <c r="E898" s="20"/>
      <c r="F898" s="18" t="n">
        <f aca="false">COUNTIFS(選手一覧!$C$7:$C$2738,A898,選手一覧!$I$7:$I$2738,"&lt;=100")</f>
        <v>0</v>
      </c>
      <c r="G898" s="18" t="n">
        <f aca="false">COUNTIFS(選手一覧!$C$7:$C$2738,A898,選手一覧!$K$7:$K$2738,"&lt;=100")</f>
        <v>0</v>
      </c>
      <c r="H898" s="17" t="n">
        <f aca="false">COUNTIF(選手一覧!$C$7:$C$2738,A898)</f>
        <v>1</v>
      </c>
    </row>
    <row r="899" customFormat="false" ht="15" hidden="false" customHeight="false" outlineLevel="0" collapsed="false">
      <c r="A899" s="12" t="s">
        <v>3464</v>
      </c>
      <c r="B899" s="22" t="n">
        <f aca="false">COUNTIFS(選手一覧!$C$7:$C$2738,A899,選手一覧!$E$7:$E$2738,"&lt;=100")</f>
        <v>0</v>
      </c>
      <c r="C899" s="18" t="n">
        <f aca="false">COUNTIFS(選手一覧!$C$7:$C$2738,A899,選手一覧!$E$7:$E$2738,"&gt;0")</f>
        <v>0</v>
      </c>
      <c r="D899" s="14" t="str">
        <f aca="false">IF(C899=0,"",_xlfn.MINIFS(選手一覧!$E$7:$E$2738,選手一覧!$C$7:$C$2738,A899))</f>
        <v/>
      </c>
      <c r="E899" s="20"/>
      <c r="F899" s="18" t="n">
        <f aca="false">COUNTIFS(選手一覧!$C$7:$C$2738,A899,選手一覧!$I$7:$I$2738,"&lt;=100")</f>
        <v>0</v>
      </c>
      <c r="G899" s="18" t="n">
        <f aca="false">COUNTIFS(選手一覧!$C$7:$C$2738,A899,選手一覧!$K$7:$K$2738,"&lt;=100")</f>
        <v>0</v>
      </c>
      <c r="H899" s="17" t="n">
        <f aca="false">COUNTIF(選手一覧!$C$7:$C$2738,A899)</f>
        <v>1</v>
      </c>
    </row>
    <row r="900" customFormat="false" ht="15" hidden="false" customHeight="false" outlineLevel="0" collapsed="false">
      <c r="A900" s="12" t="s">
        <v>3471</v>
      </c>
      <c r="B900" s="22" t="n">
        <f aca="false">COUNTIFS(選手一覧!$C$7:$C$2738,A900,選手一覧!$E$7:$E$2738,"&lt;=100")</f>
        <v>0</v>
      </c>
      <c r="C900" s="18" t="n">
        <f aca="false">COUNTIFS(選手一覧!$C$7:$C$2738,A900,選手一覧!$E$7:$E$2738,"&gt;0")</f>
        <v>0</v>
      </c>
      <c r="D900" s="14" t="str">
        <f aca="false">IF(C900=0,"",_xlfn.MINIFS(選手一覧!$E$7:$E$2738,選手一覧!$C$7:$C$2738,A900))</f>
        <v/>
      </c>
      <c r="E900" s="20"/>
      <c r="F900" s="18" t="n">
        <f aca="false">COUNTIFS(選手一覧!$C$7:$C$2738,A900,選手一覧!$I$7:$I$2738,"&lt;=100")</f>
        <v>0</v>
      </c>
      <c r="G900" s="18" t="n">
        <f aca="false">COUNTIFS(選手一覧!$C$7:$C$2738,A900,選手一覧!$K$7:$K$2738,"&lt;=100")</f>
        <v>0</v>
      </c>
      <c r="H900" s="17" t="n">
        <f aca="false">COUNTIF(選手一覧!$C$7:$C$2738,A900)</f>
        <v>1</v>
      </c>
    </row>
    <row r="901" customFormat="false" ht="15" hidden="false" customHeight="false" outlineLevel="0" collapsed="false">
      <c r="A901" s="12" t="s">
        <v>3473</v>
      </c>
      <c r="B901" s="22" t="n">
        <f aca="false">COUNTIFS(選手一覧!$C$7:$C$2738,A901,選手一覧!$E$7:$E$2738,"&lt;=100")</f>
        <v>0</v>
      </c>
      <c r="C901" s="18" t="n">
        <f aca="false">COUNTIFS(選手一覧!$C$7:$C$2738,A901,選手一覧!$E$7:$E$2738,"&gt;0")</f>
        <v>0</v>
      </c>
      <c r="D901" s="14" t="str">
        <f aca="false">IF(C901=0,"",_xlfn.MINIFS(選手一覧!$E$7:$E$2738,選手一覧!$C$7:$C$2738,A901))</f>
        <v/>
      </c>
      <c r="E901" s="20"/>
      <c r="F901" s="18" t="n">
        <f aca="false">COUNTIFS(選手一覧!$C$7:$C$2738,A901,選手一覧!$I$7:$I$2738,"&lt;=100")</f>
        <v>0</v>
      </c>
      <c r="G901" s="18" t="n">
        <f aca="false">COUNTIFS(選手一覧!$C$7:$C$2738,A901,選手一覧!$K$7:$K$2738,"&lt;=100")</f>
        <v>0</v>
      </c>
      <c r="H901" s="17" t="n">
        <f aca="false">COUNTIF(選手一覧!$C$7:$C$2738,A901)</f>
        <v>1</v>
      </c>
    </row>
    <row r="902" customFormat="false" ht="15" hidden="false" customHeight="false" outlineLevel="0" collapsed="false">
      <c r="A902" s="12" t="s">
        <v>3475</v>
      </c>
      <c r="B902" s="22" t="n">
        <f aca="false">COUNTIFS(選手一覧!$C$7:$C$2738,A902,選手一覧!$E$7:$E$2738,"&lt;=100")</f>
        <v>0</v>
      </c>
      <c r="C902" s="18" t="n">
        <f aca="false">COUNTIFS(選手一覧!$C$7:$C$2738,A902,選手一覧!$E$7:$E$2738,"&gt;0")</f>
        <v>0</v>
      </c>
      <c r="D902" s="14" t="str">
        <f aca="false">IF(C902=0,"",_xlfn.MINIFS(選手一覧!$E$7:$E$2738,選手一覧!$C$7:$C$2738,A902))</f>
        <v/>
      </c>
      <c r="E902" s="20"/>
      <c r="F902" s="18" t="n">
        <f aca="false">COUNTIFS(選手一覧!$C$7:$C$2738,A902,選手一覧!$I$7:$I$2738,"&lt;=100")</f>
        <v>0</v>
      </c>
      <c r="G902" s="18" t="n">
        <f aca="false">COUNTIFS(選手一覧!$C$7:$C$2738,A902,選手一覧!$K$7:$K$2738,"&lt;=100")</f>
        <v>0</v>
      </c>
      <c r="H902" s="17" t="n">
        <f aca="false">COUNTIF(選手一覧!$C$7:$C$2738,A902)</f>
        <v>1</v>
      </c>
    </row>
    <row r="903" customFormat="false" ht="15" hidden="false" customHeight="false" outlineLevel="0" collapsed="false">
      <c r="A903" s="12" t="s">
        <v>3478</v>
      </c>
      <c r="B903" s="22" t="n">
        <f aca="false">COUNTIFS(選手一覧!$C$7:$C$2738,A903,選手一覧!$E$7:$E$2738,"&lt;=100")</f>
        <v>0</v>
      </c>
      <c r="C903" s="18" t="n">
        <f aca="false">COUNTIFS(選手一覧!$C$7:$C$2738,A903,選手一覧!$E$7:$E$2738,"&gt;0")</f>
        <v>0</v>
      </c>
      <c r="D903" s="14" t="str">
        <f aca="false">IF(C903=0,"",_xlfn.MINIFS(選手一覧!$E$7:$E$2738,選手一覧!$C$7:$C$2738,A903))</f>
        <v/>
      </c>
      <c r="E903" s="20"/>
      <c r="F903" s="18" t="n">
        <f aca="false">COUNTIFS(選手一覧!$C$7:$C$2738,A903,選手一覧!$I$7:$I$2738,"&lt;=100")</f>
        <v>0</v>
      </c>
      <c r="G903" s="18" t="n">
        <f aca="false">COUNTIFS(選手一覧!$C$7:$C$2738,A903,選手一覧!$K$7:$K$2738,"&lt;=100")</f>
        <v>0</v>
      </c>
      <c r="H903" s="17" t="n">
        <f aca="false">COUNTIF(選手一覧!$C$7:$C$2738,A903)</f>
        <v>1</v>
      </c>
    </row>
    <row r="904" customFormat="false" ht="15" hidden="false" customHeight="false" outlineLevel="0" collapsed="false">
      <c r="A904" s="12" t="s">
        <v>3479</v>
      </c>
      <c r="B904" s="22" t="n">
        <f aca="false">COUNTIFS(選手一覧!$C$7:$C$2738,A904,選手一覧!$E$7:$E$2738,"&lt;=100")</f>
        <v>0</v>
      </c>
      <c r="C904" s="18" t="n">
        <f aca="false">COUNTIFS(選手一覧!$C$7:$C$2738,A904,選手一覧!$E$7:$E$2738,"&gt;0")</f>
        <v>0</v>
      </c>
      <c r="D904" s="14" t="str">
        <f aca="false">IF(C904=0,"",_xlfn.MINIFS(選手一覧!$E$7:$E$2738,選手一覧!$C$7:$C$2738,A904))</f>
        <v/>
      </c>
      <c r="E904" s="20"/>
      <c r="F904" s="18" t="n">
        <f aca="false">COUNTIFS(選手一覧!$C$7:$C$2738,A904,選手一覧!$I$7:$I$2738,"&lt;=100")</f>
        <v>0</v>
      </c>
      <c r="G904" s="18" t="n">
        <f aca="false">COUNTIFS(選手一覧!$C$7:$C$2738,A904,選手一覧!$K$7:$K$2738,"&lt;=100")</f>
        <v>0</v>
      </c>
      <c r="H904" s="17" t="n">
        <f aca="false">COUNTIF(選手一覧!$C$7:$C$2738,A904)</f>
        <v>1</v>
      </c>
    </row>
    <row r="905" customFormat="false" ht="15" hidden="false" customHeight="false" outlineLevel="0" collapsed="false">
      <c r="A905" s="12" t="s">
        <v>3485</v>
      </c>
      <c r="B905" s="22" t="n">
        <f aca="false">COUNTIFS(選手一覧!$C$7:$C$2738,A905,選手一覧!$E$7:$E$2738,"&lt;=100")</f>
        <v>0</v>
      </c>
      <c r="C905" s="18" t="n">
        <f aca="false">COUNTIFS(選手一覧!$C$7:$C$2738,A905,選手一覧!$E$7:$E$2738,"&gt;0")</f>
        <v>0</v>
      </c>
      <c r="D905" s="14" t="str">
        <f aca="false">IF(C905=0,"",_xlfn.MINIFS(選手一覧!$E$7:$E$2738,選手一覧!$C$7:$C$2738,A905))</f>
        <v/>
      </c>
      <c r="E905" s="20"/>
      <c r="F905" s="18" t="n">
        <f aca="false">COUNTIFS(選手一覧!$C$7:$C$2738,A905,選手一覧!$I$7:$I$2738,"&lt;=100")</f>
        <v>0</v>
      </c>
      <c r="G905" s="18" t="n">
        <f aca="false">COUNTIFS(選手一覧!$C$7:$C$2738,A905,選手一覧!$K$7:$K$2738,"&lt;=100")</f>
        <v>0</v>
      </c>
      <c r="H905" s="17" t="n">
        <f aca="false">COUNTIF(選手一覧!$C$7:$C$2738,A905)</f>
        <v>1</v>
      </c>
    </row>
    <row r="906" customFormat="false" ht="15" hidden="false" customHeight="false" outlineLevel="0" collapsed="false">
      <c r="A906" s="12" t="s">
        <v>3491</v>
      </c>
      <c r="B906" s="22" t="n">
        <f aca="false">COUNTIFS(選手一覧!$C$7:$C$2738,A906,選手一覧!$E$7:$E$2738,"&lt;=100")</f>
        <v>0</v>
      </c>
      <c r="C906" s="18" t="n">
        <f aca="false">COUNTIFS(選手一覧!$C$7:$C$2738,A906,選手一覧!$E$7:$E$2738,"&gt;0")</f>
        <v>0</v>
      </c>
      <c r="D906" s="14" t="str">
        <f aca="false">IF(C906=0,"",_xlfn.MINIFS(選手一覧!$E$7:$E$2738,選手一覧!$C$7:$C$2738,A906))</f>
        <v/>
      </c>
      <c r="E906" s="20"/>
      <c r="F906" s="18" t="n">
        <f aca="false">COUNTIFS(選手一覧!$C$7:$C$2738,A906,選手一覧!$I$7:$I$2738,"&lt;=100")</f>
        <v>0</v>
      </c>
      <c r="G906" s="18" t="n">
        <f aca="false">COUNTIFS(選手一覧!$C$7:$C$2738,A906,選手一覧!$K$7:$K$2738,"&lt;=100")</f>
        <v>0</v>
      </c>
      <c r="H906" s="17" t="n">
        <f aca="false">COUNTIF(選手一覧!$C$7:$C$2738,A906)</f>
        <v>1</v>
      </c>
    </row>
    <row r="907" customFormat="false" ht="15" hidden="false" customHeight="false" outlineLevel="0" collapsed="false">
      <c r="A907" s="12" t="s">
        <v>3497</v>
      </c>
      <c r="B907" s="22" t="n">
        <f aca="false">COUNTIFS(選手一覧!$C$7:$C$2738,A907,選手一覧!$E$7:$E$2738,"&lt;=100")</f>
        <v>0</v>
      </c>
      <c r="C907" s="18" t="n">
        <f aca="false">COUNTIFS(選手一覧!$C$7:$C$2738,A907,選手一覧!$E$7:$E$2738,"&gt;0")</f>
        <v>0</v>
      </c>
      <c r="D907" s="14" t="str">
        <f aca="false">IF(C907=0,"",_xlfn.MINIFS(選手一覧!$E$7:$E$2738,選手一覧!$C$7:$C$2738,A907))</f>
        <v/>
      </c>
      <c r="E907" s="20"/>
      <c r="F907" s="18" t="n">
        <f aca="false">COUNTIFS(選手一覧!$C$7:$C$2738,A907,選手一覧!$I$7:$I$2738,"&lt;=100")</f>
        <v>0</v>
      </c>
      <c r="G907" s="18" t="n">
        <f aca="false">COUNTIFS(選手一覧!$C$7:$C$2738,A907,選手一覧!$K$7:$K$2738,"&lt;=100")</f>
        <v>0</v>
      </c>
      <c r="H907" s="17" t="n">
        <f aca="false">COUNTIF(選手一覧!$C$7:$C$2738,A907)</f>
        <v>1</v>
      </c>
    </row>
    <row r="908" customFormat="false" ht="15" hidden="false" customHeight="false" outlineLevel="0" collapsed="false">
      <c r="A908" s="12" t="s">
        <v>3504</v>
      </c>
      <c r="B908" s="22" t="n">
        <f aca="false">COUNTIFS(選手一覧!$C$7:$C$2738,A908,選手一覧!$E$7:$E$2738,"&lt;=100")</f>
        <v>0</v>
      </c>
      <c r="C908" s="18" t="n">
        <f aca="false">COUNTIFS(選手一覧!$C$7:$C$2738,A908,選手一覧!$E$7:$E$2738,"&gt;0")</f>
        <v>0</v>
      </c>
      <c r="D908" s="14" t="str">
        <f aca="false">IF(C908=0,"",_xlfn.MINIFS(選手一覧!$E$7:$E$2738,選手一覧!$C$7:$C$2738,A908))</f>
        <v/>
      </c>
      <c r="E908" s="20"/>
      <c r="F908" s="18" t="n">
        <f aca="false">COUNTIFS(選手一覧!$C$7:$C$2738,A908,選手一覧!$I$7:$I$2738,"&lt;=100")</f>
        <v>0</v>
      </c>
      <c r="G908" s="18" t="n">
        <f aca="false">COUNTIFS(選手一覧!$C$7:$C$2738,A908,選手一覧!$K$7:$K$2738,"&lt;=100")</f>
        <v>0</v>
      </c>
      <c r="H908" s="17" t="n">
        <f aca="false">COUNTIF(選手一覧!$C$7:$C$2738,A908)</f>
        <v>1</v>
      </c>
    </row>
    <row r="909" customFormat="false" ht="15" hidden="false" customHeight="false" outlineLevel="0" collapsed="false">
      <c r="A909" s="12" t="s">
        <v>3506</v>
      </c>
      <c r="B909" s="22" t="n">
        <f aca="false">COUNTIFS(選手一覧!$C$7:$C$2738,A909,選手一覧!$E$7:$E$2738,"&lt;=100")</f>
        <v>0</v>
      </c>
      <c r="C909" s="18" t="n">
        <f aca="false">COUNTIFS(選手一覧!$C$7:$C$2738,A909,選手一覧!$E$7:$E$2738,"&gt;0")</f>
        <v>0</v>
      </c>
      <c r="D909" s="14" t="str">
        <f aca="false">IF(C909=0,"",_xlfn.MINIFS(選手一覧!$E$7:$E$2738,選手一覧!$C$7:$C$2738,A909))</f>
        <v/>
      </c>
      <c r="E909" s="20"/>
      <c r="F909" s="18" t="n">
        <f aca="false">COUNTIFS(選手一覧!$C$7:$C$2738,A909,選手一覧!$I$7:$I$2738,"&lt;=100")</f>
        <v>0</v>
      </c>
      <c r="G909" s="18" t="n">
        <f aca="false">COUNTIFS(選手一覧!$C$7:$C$2738,A909,選手一覧!$K$7:$K$2738,"&lt;=100")</f>
        <v>0</v>
      </c>
      <c r="H909" s="17" t="n">
        <f aca="false">COUNTIF(選手一覧!$C$7:$C$2738,A909)</f>
        <v>1</v>
      </c>
    </row>
    <row r="910" customFormat="false" ht="15" hidden="false" customHeight="false" outlineLevel="0" collapsed="false">
      <c r="A910" s="12" t="s">
        <v>3510</v>
      </c>
      <c r="B910" s="22" t="n">
        <f aca="false">COUNTIFS(選手一覧!$C$7:$C$2738,A910,選手一覧!$E$7:$E$2738,"&lt;=100")</f>
        <v>0</v>
      </c>
      <c r="C910" s="18" t="n">
        <f aca="false">COUNTIFS(選手一覧!$C$7:$C$2738,A910,選手一覧!$E$7:$E$2738,"&gt;0")</f>
        <v>0</v>
      </c>
      <c r="D910" s="14" t="str">
        <f aca="false">IF(C910=0,"",_xlfn.MINIFS(選手一覧!$E$7:$E$2738,選手一覧!$C$7:$C$2738,A910))</f>
        <v/>
      </c>
      <c r="E910" s="20"/>
      <c r="F910" s="18" t="n">
        <f aca="false">COUNTIFS(選手一覧!$C$7:$C$2738,A910,選手一覧!$I$7:$I$2738,"&lt;=100")</f>
        <v>0</v>
      </c>
      <c r="G910" s="18" t="n">
        <f aca="false">COUNTIFS(選手一覧!$C$7:$C$2738,A910,選手一覧!$K$7:$K$2738,"&lt;=100")</f>
        <v>0</v>
      </c>
      <c r="H910" s="17" t="n">
        <f aca="false">COUNTIF(選手一覧!$C$7:$C$2738,A910)</f>
        <v>1</v>
      </c>
    </row>
    <row r="911" customFormat="false" ht="15" hidden="false" customHeight="false" outlineLevel="0" collapsed="false">
      <c r="A911" s="12" t="s">
        <v>3513</v>
      </c>
      <c r="B911" s="22" t="n">
        <f aca="false">COUNTIFS(選手一覧!$C$7:$C$2738,A911,選手一覧!$E$7:$E$2738,"&lt;=100")</f>
        <v>0</v>
      </c>
      <c r="C911" s="18" t="n">
        <f aca="false">COUNTIFS(選手一覧!$C$7:$C$2738,A911,選手一覧!$E$7:$E$2738,"&gt;0")</f>
        <v>0</v>
      </c>
      <c r="D911" s="14" t="str">
        <f aca="false">IF(C911=0,"",_xlfn.MINIFS(選手一覧!$E$7:$E$2738,選手一覧!$C$7:$C$2738,A911))</f>
        <v/>
      </c>
      <c r="E911" s="20"/>
      <c r="F911" s="18" t="n">
        <f aca="false">COUNTIFS(選手一覧!$C$7:$C$2738,A911,選手一覧!$I$7:$I$2738,"&lt;=100")</f>
        <v>0</v>
      </c>
      <c r="G911" s="18" t="n">
        <f aca="false">COUNTIFS(選手一覧!$C$7:$C$2738,A911,選手一覧!$K$7:$K$2738,"&lt;=100")</f>
        <v>0</v>
      </c>
      <c r="H911" s="17" t="n">
        <f aca="false">COUNTIF(選手一覧!$C$7:$C$2738,A911)</f>
        <v>1</v>
      </c>
    </row>
    <row r="912" customFormat="false" ht="15" hidden="false" customHeight="false" outlineLevel="0" collapsed="false">
      <c r="A912" s="12" t="s">
        <v>3515</v>
      </c>
      <c r="B912" s="22" t="n">
        <f aca="false">COUNTIFS(選手一覧!$C$7:$C$2738,A912,選手一覧!$E$7:$E$2738,"&lt;=100")</f>
        <v>0</v>
      </c>
      <c r="C912" s="18" t="n">
        <f aca="false">COUNTIFS(選手一覧!$C$7:$C$2738,A912,選手一覧!$E$7:$E$2738,"&gt;0")</f>
        <v>0</v>
      </c>
      <c r="D912" s="14" t="str">
        <f aca="false">IF(C912=0,"",_xlfn.MINIFS(選手一覧!$E$7:$E$2738,選手一覧!$C$7:$C$2738,A912))</f>
        <v/>
      </c>
      <c r="E912" s="20"/>
      <c r="F912" s="18" t="n">
        <f aca="false">COUNTIFS(選手一覧!$C$7:$C$2738,A912,選手一覧!$I$7:$I$2738,"&lt;=100")</f>
        <v>0</v>
      </c>
      <c r="G912" s="18" t="n">
        <f aca="false">COUNTIFS(選手一覧!$C$7:$C$2738,A912,選手一覧!$K$7:$K$2738,"&lt;=100")</f>
        <v>0</v>
      </c>
      <c r="H912" s="17" t="n">
        <f aca="false">COUNTIF(選手一覧!$C$7:$C$2738,A912)</f>
        <v>1</v>
      </c>
    </row>
    <row r="913" customFormat="false" ht="15" hidden="false" customHeight="false" outlineLevel="0" collapsed="false">
      <c r="A913" s="12" t="s">
        <v>3517</v>
      </c>
      <c r="B913" s="22" t="n">
        <f aca="false">COUNTIFS(選手一覧!$C$7:$C$2738,A913,選手一覧!$E$7:$E$2738,"&lt;=100")</f>
        <v>0</v>
      </c>
      <c r="C913" s="18" t="n">
        <f aca="false">COUNTIFS(選手一覧!$C$7:$C$2738,A913,選手一覧!$E$7:$E$2738,"&gt;0")</f>
        <v>0</v>
      </c>
      <c r="D913" s="14" t="str">
        <f aca="false">IF(C913=0,"",_xlfn.MINIFS(選手一覧!$E$7:$E$2738,選手一覧!$C$7:$C$2738,A913))</f>
        <v/>
      </c>
      <c r="E913" s="20"/>
      <c r="F913" s="18" t="n">
        <f aca="false">COUNTIFS(選手一覧!$C$7:$C$2738,A913,選手一覧!$I$7:$I$2738,"&lt;=100")</f>
        <v>0</v>
      </c>
      <c r="G913" s="18" t="n">
        <f aca="false">COUNTIFS(選手一覧!$C$7:$C$2738,A913,選手一覧!$K$7:$K$2738,"&lt;=100")</f>
        <v>0</v>
      </c>
      <c r="H913" s="17" t="n">
        <f aca="false">COUNTIF(選手一覧!$C$7:$C$2738,A913)</f>
        <v>1</v>
      </c>
    </row>
    <row r="914" customFormat="false" ht="15" hidden="false" customHeight="false" outlineLevel="0" collapsed="false">
      <c r="A914" s="12" t="s">
        <v>3527</v>
      </c>
      <c r="B914" s="22" t="n">
        <f aca="false">COUNTIFS(選手一覧!$C$7:$C$2738,A914,選手一覧!$E$7:$E$2738,"&lt;=100")</f>
        <v>0</v>
      </c>
      <c r="C914" s="18" t="n">
        <f aca="false">COUNTIFS(選手一覧!$C$7:$C$2738,A914,選手一覧!$E$7:$E$2738,"&gt;0")</f>
        <v>0</v>
      </c>
      <c r="D914" s="14" t="str">
        <f aca="false">IF(C914=0,"",_xlfn.MINIFS(選手一覧!$E$7:$E$2738,選手一覧!$C$7:$C$2738,A914))</f>
        <v/>
      </c>
      <c r="E914" s="20"/>
      <c r="F914" s="18" t="n">
        <f aca="false">COUNTIFS(選手一覧!$C$7:$C$2738,A914,選手一覧!$I$7:$I$2738,"&lt;=100")</f>
        <v>0</v>
      </c>
      <c r="G914" s="18" t="n">
        <f aca="false">COUNTIFS(選手一覧!$C$7:$C$2738,A914,選手一覧!$K$7:$K$2738,"&lt;=100")</f>
        <v>0</v>
      </c>
      <c r="H914" s="17" t="n">
        <f aca="false">COUNTIF(選手一覧!$C$7:$C$2738,A914)</f>
        <v>1</v>
      </c>
    </row>
    <row r="915" customFormat="false" ht="15" hidden="false" customHeight="false" outlineLevel="0" collapsed="false">
      <c r="A915" s="12" t="s">
        <v>3530</v>
      </c>
      <c r="B915" s="22" t="n">
        <f aca="false">COUNTIFS(選手一覧!$C$7:$C$2738,A915,選手一覧!$E$7:$E$2738,"&lt;=100")</f>
        <v>0</v>
      </c>
      <c r="C915" s="18" t="n">
        <f aca="false">COUNTIFS(選手一覧!$C$7:$C$2738,A915,選手一覧!$E$7:$E$2738,"&gt;0")</f>
        <v>0</v>
      </c>
      <c r="D915" s="14" t="str">
        <f aca="false">IF(C915=0,"",_xlfn.MINIFS(選手一覧!$E$7:$E$2738,選手一覧!$C$7:$C$2738,A915))</f>
        <v/>
      </c>
      <c r="E915" s="20"/>
      <c r="F915" s="18" t="n">
        <f aca="false">COUNTIFS(選手一覧!$C$7:$C$2738,A915,選手一覧!$I$7:$I$2738,"&lt;=100")</f>
        <v>0</v>
      </c>
      <c r="G915" s="18" t="n">
        <f aca="false">COUNTIFS(選手一覧!$C$7:$C$2738,A915,選手一覧!$K$7:$K$2738,"&lt;=100")</f>
        <v>0</v>
      </c>
      <c r="H915" s="17" t="n">
        <f aca="false">COUNTIF(選手一覧!$C$7:$C$2738,A915)</f>
        <v>1</v>
      </c>
    </row>
    <row r="916" customFormat="false" ht="15" hidden="false" customHeight="false" outlineLevel="0" collapsed="false">
      <c r="A916" s="12" t="s">
        <v>3534</v>
      </c>
      <c r="B916" s="22" t="n">
        <f aca="false">COUNTIFS(選手一覧!$C$7:$C$2738,A916,選手一覧!$E$7:$E$2738,"&lt;=100")</f>
        <v>0</v>
      </c>
      <c r="C916" s="18" t="n">
        <f aca="false">COUNTIFS(選手一覧!$C$7:$C$2738,A916,選手一覧!$E$7:$E$2738,"&gt;0")</f>
        <v>0</v>
      </c>
      <c r="D916" s="14" t="str">
        <f aca="false">IF(C916=0,"",_xlfn.MINIFS(選手一覧!$E$7:$E$2738,選手一覧!$C$7:$C$2738,A916))</f>
        <v/>
      </c>
      <c r="E916" s="20"/>
      <c r="F916" s="18" t="n">
        <f aca="false">COUNTIFS(選手一覧!$C$7:$C$2738,A916,選手一覧!$I$7:$I$2738,"&lt;=100")</f>
        <v>0</v>
      </c>
      <c r="G916" s="18" t="n">
        <f aca="false">COUNTIFS(選手一覧!$C$7:$C$2738,A916,選手一覧!$K$7:$K$2738,"&lt;=100")</f>
        <v>0</v>
      </c>
      <c r="H916" s="17" t="n">
        <f aca="false">COUNTIF(選手一覧!$C$7:$C$2738,A916)</f>
        <v>1</v>
      </c>
    </row>
    <row r="917" customFormat="false" ht="15" hidden="false" customHeight="false" outlineLevel="0" collapsed="false">
      <c r="A917" s="12" t="s">
        <v>3540</v>
      </c>
      <c r="B917" s="22" t="n">
        <f aca="false">COUNTIFS(選手一覧!$C$7:$C$2738,A917,選手一覧!$E$7:$E$2738,"&lt;=100")</f>
        <v>0</v>
      </c>
      <c r="C917" s="18" t="n">
        <f aca="false">COUNTIFS(選手一覧!$C$7:$C$2738,A917,選手一覧!$E$7:$E$2738,"&gt;0")</f>
        <v>0</v>
      </c>
      <c r="D917" s="14" t="str">
        <f aca="false">IF(C917=0,"",_xlfn.MINIFS(選手一覧!$E$7:$E$2738,選手一覧!$C$7:$C$2738,A917))</f>
        <v/>
      </c>
      <c r="E917" s="20"/>
      <c r="F917" s="18" t="n">
        <f aca="false">COUNTIFS(選手一覧!$C$7:$C$2738,A917,選手一覧!$I$7:$I$2738,"&lt;=100")</f>
        <v>0</v>
      </c>
      <c r="G917" s="18" t="n">
        <f aca="false">COUNTIFS(選手一覧!$C$7:$C$2738,A917,選手一覧!$K$7:$K$2738,"&lt;=100")</f>
        <v>0</v>
      </c>
      <c r="H917" s="17" t="n">
        <f aca="false">COUNTIF(選手一覧!$C$7:$C$2738,A917)</f>
        <v>1</v>
      </c>
    </row>
    <row r="918" customFormat="false" ht="15" hidden="false" customHeight="false" outlineLevel="0" collapsed="false">
      <c r="A918" s="12" t="s">
        <v>3542</v>
      </c>
      <c r="B918" s="22" t="n">
        <f aca="false">COUNTIFS(選手一覧!$C$7:$C$2738,A918,選手一覧!$E$7:$E$2738,"&lt;=100")</f>
        <v>0</v>
      </c>
      <c r="C918" s="18" t="n">
        <f aca="false">COUNTIFS(選手一覧!$C$7:$C$2738,A918,選手一覧!$E$7:$E$2738,"&gt;0")</f>
        <v>0</v>
      </c>
      <c r="D918" s="14" t="str">
        <f aca="false">IF(C918=0,"",_xlfn.MINIFS(選手一覧!$E$7:$E$2738,選手一覧!$C$7:$C$2738,A918))</f>
        <v/>
      </c>
      <c r="E918" s="20"/>
      <c r="F918" s="18" t="n">
        <f aca="false">COUNTIFS(選手一覧!$C$7:$C$2738,A918,選手一覧!$I$7:$I$2738,"&lt;=100")</f>
        <v>0</v>
      </c>
      <c r="G918" s="18" t="n">
        <f aca="false">COUNTIFS(選手一覧!$C$7:$C$2738,A918,選手一覧!$K$7:$K$2738,"&lt;=100")</f>
        <v>0</v>
      </c>
      <c r="H918" s="17" t="n">
        <f aca="false">COUNTIF(選手一覧!$C$7:$C$2738,A918)</f>
        <v>1</v>
      </c>
    </row>
    <row r="919" customFormat="false" ht="15" hidden="false" customHeight="false" outlineLevel="0" collapsed="false">
      <c r="A919" s="12" t="s">
        <v>3544</v>
      </c>
      <c r="B919" s="22" t="n">
        <f aca="false">COUNTIFS(選手一覧!$C$7:$C$2738,A919,選手一覧!$E$7:$E$2738,"&lt;=100")</f>
        <v>0</v>
      </c>
      <c r="C919" s="18" t="n">
        <f aca="false">COUNTIFS(選手一覧!$C$7:$C$2738,A919,選手一覧!$E$7:$E$2738,"&gt;0")</f>
        <v>0</v>
      </c>
      <c r="D919" s="14" t="str">
        <f aca="false">IF(C919=0,"",_xlfn.MINIFS(選手一覧!$E$7:$E$2738,選手一覧!$C$7:$C$2738,A919))</f>
        <v/>
      </c>
      <c r="E919" s="20"/>
      <c r="F919" s="18" t="n">
        <f aca="false">COUNTIFS(選手一覧!$C$7:$C$2738,A919,選手一覧!$I$7:$I$2738,"&lt;=100")</f>
        <v>0</v>
      </c>
      <c r="G919" s="18" t="n">
        <f aca="false">COUNTIFS(選手一覧!$C$7:$C$2738,A919,選手一覧!$K$7:$K$2738,"&lt;=100")</f>
        <v>0</v>
      </c>
      <c r="H919" s="17" t="n">
        <f aca="false">COUNTIF(選手一覧!$C$7:$C$2738,A919)</f>
        <v>1</v>
      </c>
    </row>
    <row r="920" customFormat="false" ht="15" hidden="false" customHeight="false" outlineLevel="0" collapsed="false">
      <c r="A920" s="12" t="s">
        <v>3547</v>
      </c>
      <c r="B920" s="22" t="n">
        <f aca="false">COUNTIFS(選手一覧!$C$7:$C$2738,A920,選手一覧!$E$7:$E$2738,"&lt;=100")</f>
        <v>0</v>
      </c>
      <c r="C920" s="18" t="n">
        <f aca="false">COUNTIFS(選手一覧!$C$7:$C$2738,A920,選手一覧!$E$7:$E$2738,"&gt;0")</f>
        <v>0</v>
      </c>
      <c r="D920" s="14" t="str">
        <f aca="false">IF(C920=0,"",_xlfn.MINIFS(選手一覧!$E$7:$E$2738,選手一覧!$C$7:$C$2738,A920))</f>
        <v/>
      </c>
      <c r="E920" s="20"/>
      <c r="F920" s="18" t="n">
        <f aca="false">COUNTIFS(選手一覧!$C$7:$C$2738,A920,選手一覧!$I$7:$I$2738,"&lt;=100")</f>
        <v>0</v>
      </c>
      <c r="G920" s="18" t="n">
        <f aca="false">COUNTIFS(選手一覧!$C$7:$C$2738,A920,選手一覧!$K$7:$K$2738,"&lt;=100")</f>
        <v>0</v>
      </c>
      <c r="H920" s="17" t="n">
        <f aca="false">COUNTIF(選手一覧!$C$7:$C$2738,A920)</f>
        <v>1</v>
      </c>
    </row>
    <row r="921" customFormat="false" ht="15" hidden="false" customHeight="false" outlineLevel="0" collapsed="false">
      <c r="A921" s="12" t="s">
        <v>3549</v>
      </c>
      <c r="B921" s="22" t="n">
        <f aca="false">COUNTIFS(選手一覧!$C$7:$C$2738,A921,選手一覧!$E$7:$E$2738,"&lt;=100")</f>
        <v>0</v>
      </c>
      <c r="C921" s="18" t="n">
        <f aca="false">COUNTIFS(選手一覧!$C$7:$C$2738,A921,選手一覧!$E$7:$E$2738,"&gt;0")</f>
        <v>0</v>
      </c>
      <c r="D921" s="14" t="str">
        <f aca="false">IF(C921=0,"",_xlfn.MINIFS(選手一覧!$E$7:$E$2738,選手一覧!$C$7:$C$2738,A921))</f>
        <v/>
      </c>
      <c r="E921" s="20"/>
      <c r="F921" s="18" t="n">
        <f aca="false">COUNTIFS(選手一覧!$C$7:$C$2738,A921,選手一覧!$I$7:$I$2738,"&lt;=100")</f>
        <v>0</v>
      </c>
      <c r="G921" s="18" t="n">
        <f aca="false">COUNTIFS(選手一覧!$C$7:$C$2738,A921,選手一覧!$K$7:$K$2738,"&lt;=100")</f>
        <v>0</v>
      </c>
      <c r="H921" s="17" t="n">
        <f aca="false">COUNTIF(選手一覧!$C$7:$C$2738,A921)</f>
        <v>1</v>
      </c>
    </row>
    <row r="922" customFormat="false" ht="15" hidden="false" customHeight="false" outlineLevel="0" collapsed="false">
      <c r="A922" s="12" t="s">
        <v>3554</v>
      </c>
      <c r="B922" s="22" t="n">
        <f aca="false">COUNTIFS(選手一覧!$C$7:$C$2738,A922,選手一覧!$E$7:$E$2738,"&lt;=100")</f>
        <v>0</v>
      </c>
      <c r="C922" s="18" t="n">
        <f aca="false">COUNTIFS(選手一覧!$C$7:$C$2738,A922,選手一覧!$E$7:$E$2738,"&gt;0")</f>
        <v>0</v>
      </c>
      <c r="D922" s="14" t="str">
        <f aca="false">IF(C922=0,"",_xlfn.MINIFS(選手一覧!$E$7:$E$2738,選手一覧!$C$7:$C$2738,A922))</f>
        <v/>
      </c>
      <c r="E922" s="20"/>
      <c r="F922" s="18" t="n">
        <f aca="false">COUNTIFS(選手一覧!$C$7:$C$2738,A922,選手一覧!$I$7:$I$2738,"&lt;=100")</f>
        <v>0</v>
      </c>
      <c r="G922" s="18" t="n">
        <f aca="false">COUNTIFS(選手一覧!$C$7:$C$2738,A922,選手一覧!$K$7:$K$2738,"&lt;=100")</f>
        <v>0</v>
      </c>
      <c r="H922" s="17" t="n">
        <f aca="false">COUNTIF(選手一覧!$C$7:$C$2738,A922)</f>
        <v>1</v>
      </c>
    </row>
    <row r="923" customFormat="false" ht="15" hidden="false" customHeight="false" outlineLevel="0" collapsed="false">
      <c r="A923" s="12" t="s">
        <v>3557</v>
      </c>
      <c r="B923" s="22" t="n">
        <f aca="false">COUNTIFS(選手一覧!$C$7:$C$2738,A923,選手一覧!$E$7:$E$2738,"&lt;=100")</f>
        <v>0</v>
      </c>
      <c r="C923" s="18" t="n">
        <f aca="false">COUNTIFS(選手一覧!$C$7:$C$2738,A923,選手一覧!$E$7:$E$2738,"&gt;0")</f>
        <v>0</v>
      </c>
      <c r="D923" s="14" t="str">
        <f aca="false">IF(C923=0,"",_xlfn.MINIFS(選手一覧!$E$7:$E$2738,選手一覧!$C$7:$C$2738,A923))</f>
        <v/>
      </c>
      <c r="E923" s="20"/>
      <c r="F923" s="18" t="n">
        <f aca="false">COUNTIFS(選手一覧!$C$7:$C$2738,A923,選手一覧!$I$7:$I$2738,"&lt;=100")</f>
        <v>0</v>
      </c>
      <c r="G923" s="18" t="n">
        <f aca="false">COUNTIFS(選手一覧!$C$7:$C$2738,A923,選手一覧!$K$7:$K$2738,"&lt;=100")</f>
        <v>0</v>
      </c>
      <c r="H923" s="17" t="n">
        <f aca="false">COUNTIF(選手一覧!$C$7:$C$2738,A923)</f>
        <v>1</v>
      </c>
    </row>
    <row r="924" customFormat="false" ht="15" hidden="false" customHeight="false" outlineLevel="0" collapsed="false">
      <c r="A924" s="12" t="s">
        <v>3559</v>
      </c>
      <c r="B924" s="22" t="n">
        <f aca="false">COUNTIFS(選手一覧!$C$7:$C$2738,A924,選手一覧!$E$7:$E$2738,"&lt;=100")</f>
        <v>0</v>
      </c>
      <c r="C924" s="18" t="n">
        <f aca="false">COUNTIFS(選手一覧!$C$7:$C$2738,A924,選手一覧!$E$7:$E$2738,"&gt;0")</f>
        <v>0</v>
      </c>
      <c r="D924" s="14" t="str">
        <f aca="false">IF(C924=0,"",_xlfn.MINIFS(選手一覧!$E$7:$E$2738,選手一覧!$C$7:$C$2738,A924))</f>
        <v/>
      </c>
      <c r="E924" s="20"/>
      <c r="F924" s="18" t="n">
        <f aca="false">COUNTIFS(選手一覧!$C$7:$C$2738,A924,選手一覧!$I$7:$I$2738,"&lt;=100")</f>
        <v>0</v>
      </c>
      <c r="G924" s="18" t="n">
        <f aca="false">COUNTIFS(選手一覧!$C$7:$C$2738,A924,選手一覧!$K$7:$K$2738,"&lt;=100")</f>
        <v>0</v>
      </c>
      <c r="H924" s="17" t="n">
        <f aca="false">COUNTIF(選手一覧!$C$7:$C$2738,A924)</f>
        <v>1</v>
      </c>
    </row>
    <row r="925" customFormat="false" ht="15" hidden="false" customHeight="false" outlineLevel="0" collapsed="false">
      <c r="A925" s="12" t="s">
        <v>3568</v>
      </c>
      <c r="B925" s="22" t="n">
        <f aca="false">COUNTIFS(選手一覧!$C$7:$C$2738,A925,選手一覧!$E$7:$E$2738,"&lt;=100")</f>
        <v>0</v>
      </c>
      <c r="C925" s="18" t="n">
        <f aca="false">COUNTIFS(選手一覧!$C$7:$C$2738,A925,選手一覧!$E$7:$E$2738,"&gt;0")</f>
        <v>0</v>
      </c>
      <c r="D925" s="14" t="str">
        <f aca="false">IF(C925=0,"",_xlfn.MINIFS(選手一覧!$E$7:$E$2738,選手一覧!$C$7:$C$2738,A925))</f>
        <v/>
      </c>
      <c r="E925" s="20"/>
      <c r="F925" s="18" t="n">
        <f aca="false">COUNTIFS(選手一覧!$C$7:$C$2738,A925,選手一覧!$I$7:$I$2738,"&lt;=100")</f>
        <v>0</v>
      </c>
      <c r="G925" s="18" t="n">
        <f aca="false">COUNTIFS(選手一覧!$C$7:$C$2738,A925,選手一覧!$K$7:$K$2738,"&lt;=100")</f>
        <v>0</v>
      </c>
      <c r="H925" s="17" t="n">
        <f aca="false">COUNTIF(選手一覧!$C$7:$C$2738,A925)</f>
        <v>1</v>
      </c>
    </row>
    <row r="926" customFormat="false" ht="15" hidden="false" customHeight="false" outlineLevel="0" collapsed="false">
      <c r="A926" s="12" t="s">
        <v>3576</v>
      </c>
      <c r="B926" s="22" t="n">
        <f aca="false">COUNTIFS(選手一覧!$C$7:$C$2738,A926,選手一覧!$E$7:$E$2738,"&lt;=100")</f>
        <v>0</v>
      </c>
      <c r="C926" s="18" t="n">
        <f aca="false">COUNTIFS(選手一覧!$C$7:$C$2738,A926,選手一覧!$E$7:$E$2738,"&gt;0")</f>
        <v>0</v>
      </c>
      <c r="D926" s="14" t="str">
        <f aca="false">IF(C926=0,"",_xlfn.MINIFS(選手一覧!$E$7:$E$2738,選手一覧!$C$7:$C$2738,A926))</f>
        <v/>
      </c>
      <c r="E926" s="20"/>
      <c r="F926" s="18" t="n">
        <f aca="false">COUNTIFS(選手一覧!$C$7:$C$2738,A926,選手一覧!$I$7:$I$2738,"&lt;=100")</f>
        <v>0</v>
      </c>
      <c r="G926" s="18" t="n">
        <f aca="false">COUNTIFS(選手一覧!$C$7:$C$2738,A926,選手一覧!$K$7:$K$2738,"&lt;=100")</f>
        <v>0</v>
      </c>
      <c r="H926" s="17" t="n">
        <f aca="false">COUNTIF(選手一覧!$C$7:$C$2738,A926)</f>
        <v>1</v>
      </c>
    </row>
    <row r="927" customFormat="false" ht="15" hidden="false" customHeight="false" outlineLevel="0" collapsed="false">
      <c r="A927" s="12" t="s">
        <v>3578</v>
      </c>
      <c r="B927" s="22" t="n">
        <f aca="false">COUNTIFS(選手一覧!$C$7:$C$2738,A927,選手一覧!$E$7:$E$2738,"&lt;=100")</f>
        <v>0</v>
      </c>
      <c r="C927" s="18" t="n">
        <f aca="false">COUNTIFS(選手一覧!$C$7:$C$2738,A927,選手一覧!$E$7:$E$2738,"&gt;0")</f>
        <v>0</v>
      </c>
      <c r="D927" s="14" t="str">
        <f aca="false">IF(C927=0,"",_xlfn.MINIFS(選手一覧!$E$7:$E$2738,選手一覧!$C$7:$C$2738,A927))</f>
        <v/>
      </c>
      <c r="E927" s="20"/>
      <c r="F927" s="18" t="n">
        <f aca="false">COUNTIFS(選手一覧!$C$7:$C$2738,A927,選手一覧!$I$7:$I$2738,"&lt;=100")</f>
        <v>0</v>
      </c>
      <c r="G927" s="18" t="n">
        <f aca="false">COUNTIFS(選手一覧!$C$7:$C$2738,A927,選手一覧!$K$7:$K$2738,"&lt;=100")</f>
        <v>0</v>
      </c>
      <c r="H927" s="17" t="n">
        <f aca="false">COUNTIF(選手一覧!$C$7:$C$2738,A927)</f>
        <v>1</v>
      </c>
    </row>
    <row r="928" customFormat="false" ht="15" hidden="false" customHeight="false" outlineLevel="0" collapsed="false">
      <c r="A928" s="12" t="s">
        <v>3582</v>
      </c>
      <c r="B928" s="22" t="n">
        <f aca="false">COUNTIFS(選手一覧!$C$7:$C$2738,A928,選手一覧!$E$7:$E$2738,"&lt;=100")</f>
        <v>0</v>
      </c>
      <c r="C928" s="18" t="n">
        <f aca="false">COUNTIFS(選手一覧!$C$7:$C$2738,A928,選手一覧!$E$7:$E$2738,"&gt;0")</f>
        <v>0</v>
      </c>
      <c r="D928" s="14" t="str">
        <f aca="false">IF(C928=0,"",_xlfn.MINIFS(選手一覧!$E$7:$E$2738,選手一覧!$C$7:$C$2738,A928))</f>
        <v/>
      </c>
      <c r="E928" s="20"/>
      <c r="F928" s="18" t="n">
        <f aca="false">COUNTIFS(選手一覧!$C$7:$C$2738,A928,選手一覧!$I$7:$I$2738,"&lt;=100")</f>
        <v>0</v>
      </c>
      <c r="G928" s="18" t="n">
        <f aca="false">COUNTIFS(選手一覧!$C$7:$C$2738,A928,選手一覧!$K$7:$K$2738,"&lt;=100")</f>
        <v>0</v>
      </c>
      <c r="H928" s="17" t="n">
        <f aca="false">COUNTIF(選手一覧!$C$7:$C$2738,A928)</f>
        <v>1</v>
      </c>
    </row>
    <row r="929" customFormat="false" ht="15" hidden="false" customHeight="false" outlineLevel="0" collapsed="false">
      <c r="A929" s="12" t="s">
        <v>3584</v>
      </c>
      <c r="B929" s="22" t="n">
        <f aca="false">COUNTIFS(選手一覧!$C$7:$C$2738,A929,選手一覧!$E$7:$E$2738,"&lt;=100")</f>
        <v>0</v>
      </c>
      <c r="C929" s="18" t="n">
        <f aca="false">COUNTIFS(選手一覧!$C$7:$C$2738,A929,選手一覧!$E$7:$E$2738,"&gt;0")</f>
        <v>0</v>
      </c>
      <c r="D929" s="14" t="str">
        <f aca="false">IF(C929=0,"",_xlfn.MINIFS(選手一覧!$E$7:$E$2738,選手一覧!$C$7:$C$2738,A929))</f>
        <v/>
      </c>
      <c r="E929" s="20"/>
      <c r="F929" s="18" t="n">
        <f aca="false">COUNTIFS(選手一覧!$C$7:$C$2738,A929,選手一覧!$I$7:$I$2738,"&lt;=100")</f>
        <v>0</v>
      </c>
      <c r="G929" s="18" t="n">
        <f aca="false">COUNTIFS(選手一覧!$C$7:$C$2738,A929,選手一覧!$K$7:$K$2738,"&lt;=100")</f>
        <v>0</v>
      </c>
      <c r="H929" s="17" t="n">
        <f aca="false">COUNTIF(選手一覧!$C$7:$C$2738,A929)</f>
        <v>1</v>
      </c>
    </row>
    <row r="930" customFormat="false" ht="15" hidden="false" customHeight="false" outlineLevel="0" collapsed="false">
      <c r="A930" s="12" t="s">
        <v>3586</v>
      </c>
      <c r="B930" s="22" t="n">
        <f aca="false">COUNTIFS(選手一覧!$C$7:$C$2738,A930,選手一覧!$E$7:$E$2738,"&lt;=100")</f>
        <v>0</v>
      </c>
      <c r="C930" s="18" t="n">
        <f aca="false">COUNTIFS(選手一覧!$C$7:$C$2738,A930,選手一覧!$E$7:$E$2738,"&gt;0")</f>
        <v>0</v>
      </c>
      <c r="D930" s="14" t="str">
        <f aca="false">IF(C930=0,"",_xlfn.MINIFS(選手一覧!$E$7:$E$2738,選手一覧!$C$7:$C$2738,A930))</f>
        <v/>
      </c>
      <c r="E930" s="20"/>
      <c r="F930" s="18" t="n">
        <f aca="false">COUNTIFS(選手一覧!$C$7:$C$2738,A930,選手一覧!$I$7:$I$2738,"&lt;=100")</f>
        <v>0</v>
      </c>
      <c r="G930" s="18" t="n">
        <f aca="false">COUNTIFS(選手一覧!$C$7:$C$2738,A930,選手一覧!$K$7:$K$2738,"&lt;=100")</f>
        <v>0</v>
      </c>
      <c r="H930" s="17" t="n">
        <f aca="false">COUNTIF(選手一覧!$C$7:$C$2738,A930)</f>
        <v>1</v>
      </c>
    </row>
    <row r="931" customFormat="false" ht="15" hidden="false" customHeight="false" outlineLevel="0" collapsed="false">
      <c r="A931" s="12" t="s">
        <v>3590</v>
      </c>
      <c r="B931" s="22" t="n">
        <f aca="false">COUNTIFS(選手一覧!$C$7:$C$2738,A931,選手一覧!$E$7:$E$2738,"&lt;=100")</f>
        <v>0</v>
      </c>
      <c r="C931" s="18" t="n">
        <f aca="false">COUNTIFS(選手一覧!$C$7:$C$2738,A931,選手一覧!$E$7:$E$2738,"&gt;0")</f>
        <v>0</v>
      </c>
      <c r="D931" s="14" t="str">
        <f aca="false">IF(C931=0,"",_xlfn.MINIFS(選手一覧!$E$7:$E$2738,選手一覧!$C$7:$C$2738,A931))</f>
        <v/>
      </c>
      <c r="E931" s="20"/>
      <c r="F931" s="18" t="n">
        <f aca="false">COUNTIFS(選手一覧!$C$7:$C$2738,A931,選手一覧!$I$7:$I$2738,"&lt;=100")</f>
        <v>0</v>
      </c>
      <c r="G931" s="18" t="n">
        <f aca="false">COUNTIFS(選手一覧!$C$7:$C$2738,A931,選手一覧!$K$7:$K$2738,"&lt;=100")</f>
        <v>0</v>
      </c>
      <c r="H931" s="17" t="n">
        <f aca="false">COUNTIF(選手一覧!$C$7:$C$2738,A931)</f>
        <v>1</v>
      </c>
    </row>
    <row r="932" customFormat="false" ht="15" hidden="false" customHeight="false" outlineLevel="0" collapsed="false">
      <c r="A932" s="12" t="s">
        <v>3592</v>
      </c>
      <c r="B932" s="22" t="n">
        <f aca="false">COUNTIFS(選手一覧!$C$7:$C$2738,A932,選手一覧!$E$7:$E$2738,"&lt;=100")</f>
        <v>0</v>
      </c>
      <c r="C932" s="18" t="n">
        <f aca="false">COUNTIFS(選手一覧!$C$7:$C$2738,A932,選手一覧!$E$7:$E$2738,"&gt;0")</f>
        <v>0</v>
      </c>
      <c r="D932" s="14" t="str">
        <f aca="false">IF(C932=0,"",_xlfn.MINIFS(選手一覧!$E$7:$E$2738,選手一覧!$C$7:$C$2738,A932))</f>
        <v/>
      </c>
      <c r="E932" s="20"/>
      <c r="F932" s="18" t="n">
        <f aca="false">COUNTIFS(選手一覧!$C$7:$C$2738,A932,選手一覧!$I$7:$I$2738,"&lt;=100")</f>
        <v>0</v>
      </c>
      <c r="G932" s="18" t="n">
        <f aca="false">COUNTIFS(選手一覧!$C$7:$C$2738,A932,選手一覧!$K$7:$K$2738,"&lt;=100")</f>
        <v>0</v>
      </c>
      <c r="H932" s="17" t="n">
        <f aca="false">COUNTIF(選手一覧!$C$7:$C$2738,A932)</f>
        <v>1</v>
      </c>
    </row>
    <row r="933" customFormat="false" ht="15" hidden="false" customHeight="false" outlineLevel="0" collapsed="false">
      <c r="A933" s="12" t="s">
        <v>3595</v>
      </c>
      <c r="B933" s="22" t="n">
        <f aca="false">COUNTIFS(選手一覧!$C$7:$C$2738,A933,選手一覧!$E$7:$E$2738,"&lt;=100")</f>
        <v>0</v>
      </c>
      <c r="C933" s="18" t="n">
        <f aca="false">COUNTIFS(選手一覧!$C$7:$C$2738,A933,選手一覧!$E$7:$E$2738,"&gt;0")</f>
        <v>0</v>
      </c>
      <c r="D933" s="14" t="str">
        <f aca="false">IF(C933=0,"",_xlfn.MINIFS(選手一覧!$E$7:$E$2738,選手一覧!$C$7:$C$2738,A933))</f>
        <v/>
      </c>
      <c r="E933" s="20"/>
      <c r="F933" s="18" t="n">
        <f aca="false">COUNTIFS(選手一覧!$C$7:$C$2738,A933,選手一覧!$I$7:$I$2738,"&lt;=100")</f>
        <v>0</v>
      </c>
      <c r="G933" s="18" t="n">
        <f aca="false">COUNTIFS(選手一覧!$C$7:$C$2738,A933,選手一覧!$K$7:$K$2738,"&lt;=100")</f>
        <v>0</v>
      </c>
      <c r="H933" s="17" t="n">
        <f aca="false">COUNTIF(選手一覧!$C$7:$C$2738,A933)</f>
        <v>1</v>
      </c>
    </row>
    <row r="934" customFormat="false" ht="15" hidden="false" customHeight="false" outlineLevel="0" collapsed="false">
      <c r="A934" s="12" t="s">
        <v>3598</v>
      </c>
      <c r="B934" s="22" t="n">
        <f aca="false">COUNTIFS(選手一覧!$C$7:$C$2738,A934,選手一覧!$E$7:$E$2738,"&lt;=100")</f>
        <v>0</v>
      </c>
      <c r="C934" s="18" t="n">
        <f aca="false">COUNTIFS(選手一覧!$C$7:$C$2738,A934,選手一覧!$E$7:$E$2738,"&gt;0")</f>
        <v>0</v>
      </c>
      <c r="D934" s="14" t="str">
        <f aca="false">IF(C934=0,"",_xlfn.MINIFS(選手一覧!$E$7:$E$2738,選手一覧!$C$7:$C$2738,A934))</f>
        <v/>
      </c>
      <c r="E934" s="20"/>
      <c r="F934" s="18" t="n">
        <f aca="false">COUNTIFS(選手一覧!$C$7:$C$2738,A934,選手一覧!$I$7:$I$2738,"&lt;=100")</f>
        <v>0</v>
      </c>
      <c r="G934" s="18" t="n">
        <f aca="false">COUNTIFS(選手一覧!$C$7:$C$2738,A934,選手一覧!$K$7:$K$2738,"&lt;=100")</f>
        <v>0</v>
      </c>
      <c r="H934" s="17" t="n">
        <f aca="false">COUNTIF(選手一覧!$C$7:$C$2738,A934)</f>
        <v>1</v>
      </c>
    </row>
    <row r="935" customFormat="false" ht="15" hidden="false" customHeight="false" outlineLevel="0" collapsed="false">
      <c r="A935" s="12" t="s">
        <v>3600</v>
      </c>
      <c r="B935" s="22" t="n">
        <f aca="false">COUNTIFS(選手一覧!$C$7:$C$2738,A935,選手一覧!$E$7:$E$2738,"&lt;=100")</f>
        <v>0</v>
      </c>
      <c r="C935" s="18" t="n">
        <f aca="false">COUNTIFS(選手一覧!$C$7:$C$2738,A935,選手一覧!$E$7:$E$2738,"&gt;0")</f>
        <v>0</v>
      </c>
      <c r="D935" s="14" t="str">
        <f aca="false">IF(C935=0,"",_xlfn.MINIFS(選手一覧!$E$7:$E$2738,選手一覧!$C$7:$C$2738,A935))</f>
        <v/>
      </c>
      <c r="E935" s="20"/>
      <c r="F935" s="18" t="n">
        <f aca="false">COUNTIFS(選手一覧!$C$7:$C$2738,A935,選手一覧!$I$7:$I$2738,"&lt;=100")</f>
        <v>0</v>
      </c>
      <c r="G935" s="18" t="n">
        <f aca="false">COUNTIFS(選手一覧!$C$7:$C$2738,A935,選手一覧!$K$7:$K$2738,"&lt;=100")</f>
        <v>0</v>
      </c>
      <c r="H935" s="17" t="n">
        <f aca="false">COUNTIF(選手一覧!$C$7:$C$2738,A935)</f>
        <v>1</v>
      </c>
    </row>
    <row r="936" customFormat="false" ht="15" hidden="false" customHeight="false" outlineLevel="0" collapsed="false">
      <c r="A936" s="12" t="s">
        <v>3610</v>
      </c>
      <c r="B936" s="22" t="n">
        <f aca="false">COUNTIFS(選手一覧!$C$7:$C$2738,A936,選手一覧!$E$7:$E$2738,"&lt;=100")</f>
        <v>0</v>
      </c>
      <c r="C936" s="18" t="n">
        <f aca="false">COUNTIFS(選手一覧!$C$7:$C$2738,A936,選手一覧!$E$7:$E$2738,"&gt;0")</f>
        <v>0</v>
      </c>
      <c r="D936" s="14" t="str">
        <f aca="false">IF(C936=0,"",_xlfn.MINIFS(選手一覧!$E$7:$E$2738,選手一覧!$C$7:$C$2738,A936))</f>
        <v/>
      </c>
      <c r="E936" s="20"/>
      <c r="F936" s="18" t="n">
        <f aca="false">COUNTIFS(選手一覧!$C$7:$C$2738,A936,選手一覧!$I$7:$I$2738,"&lt;=100")</f>
        <v>0</v>
      </c>
      <c r="G936" s="18" t="n">
        <f aca="false">COUNTIFS(選手一覧!$C$7:$C$2738,A936,選手一覧!$K$7:$K$2738,"&lt;=100")</f>
        <v>0</v>
      </c>
      <c r="H936" s="17" t="n">
        <f aca="false">COUNTIF(選手一覧!$C$7:$C$2738,A936)</f>
        <v>1</v>
      </c>
    </row>
    <row r="937" customFormat="false" ht="15" hidden="false" customHeight="false" outlineLevel="0" collapsed="false">
      <c r="A937" s="12" t="s">
        <v>3614</v>
      </c>
      <c r="B937" s="22" t="n">
        <f aca="false">COUNTIFS(選手一覧!$C$7:$C$2738,A937,選手一覧!$E$7:$E$2738,"&lt;=100")</f>
        <v>0</v>
      </c>
      <c r="C937" s="18" t="n">
        <f aca="false">COUNTIFS(選手一覧!$C$7:$C$2738,A937,選手一覧!$E$7:$E$2738,"&gt;0")</f>
        <v>0</v>
      </c>
      <c r="D937" s="14" t="str">
        <f aca="false">IF(C937=0,"",_xlfn.MINIFS(選手一覧!$E$7:$E$2738,選手一覧!$C$7:$C$2738,A937))</f>
        <v/>
      </c>
      <c r="E937" s="20"/>
      <c r="F937" s="18" t="n">
        <f aca="false">COUNTIFS(選手一覧!$C$7:$C$2738,A937,選手一覧!$I$7:$I$2738,"&lt;=100")</f>
        <v>0</v>
      </c>
      <c r="G937" s="18" t="n">
        <f aca="false">COUNTIFS(選手一覧!$C$7:$C$2738,A937,選手一覧!$K$7:$K$2738,"&lt;=100")</f>
        <v>0</v>
      </c>
      <c r="H937" s="17" t="n">
        <f aca="false">COUNTIF(選手一覧!$C$7:$C$2738,A937)</f>
        <v>1</v>
      </c>
    </row>
    <row r="938" customFormat="false" ht="15" hidden="false" customHeight="false" outlineLevel="0" collapsed="false">
      <c r="A938" s="12" t="s">
        <v>3619</v>
      </c>
      <c r="B938" s="22" t="n">
        <f aca="false">COUNTIFS(選手一覧!$C$7:$C$2738,A938,選手一覧!$E$7:$E$2738,"&lt;=100")</f>
        <v>0</v>
      </c>
      <c r="C938" s="18" t="n">
        <f aca="false">COUNTIFS(選手一覧!$C$7:$C$2738,A938,選手一覧!$E$7:$E$2738,"&gt;0")</f>
        <v>0</v>
      </c>
      <c r="D938" s="14" t="str">
        <f aca="false">IF(C938=0,"",_xlfn.MINIFS(選手一覧!$E$7:$E$2738,選手一覧!$C$7:$C$2738,A938))</f>
        <v/>
      </c>
      <c r="E938" s="20"/>
      <c r="F938" s="18" t="n">
        <f aca="false">COUNTIFS(選手一覧!$C$7:$C$2738,A938,選手一覧!$I$7:$I$2738,"&lt;=100")</f>
        <v>0</v>
      </c>
      <c r="G938" s="18" t="n">
        <f aca="false">COUNTIFS(選手一覧!$C$7:$C$2738,A938,選手一覧!$K$7:$K$2738,"&lt;=100")</f>
        <v>0</v>
      </c>
      <c r="H938" s="17" t="n">
        <f aca="false">COUNTIF(選手一覧!$C$7:$C$2738,A938)</f>
        <v>1</v>
      </c>
    </row>
    <row r="939" customFormat="false" ht="15" hidden="false" customHeight="false" outlineLevel="0" collapsed="false">
      <c r="A939" s="12" t="s">
        <v>3621</v>
      </c>
      <c r="B939" s="22" t="n">
        <f aca="false">COUNTIFS(選手一覧!$C$7:$C$2738,A939,選手一覧!$E$7:$E$2738,"&lt;=100")</f>
        <v>0</v>
      </c>
      <c r="C939" s="18" t="n">
        <f aca="false">COUNTIFS(選手一覧!$C$7:$C$2738,A939,選手一覧!$E$7:$E$2738,"&gt;0")</f>
        <v>0</v>
      </c>
      <c r="D939" s="14" t="str">
        <f aca="false">IF(C939=0,"",_xlfn.MINIFS(選手一覧!$E$7:$E$2738,選手一覧!$C$7:$C$2738,A939))</f>
        <v/>
      </c>
      <c r="E939" s="20"/>
      <c r="F939" s="18" t="n">
        <f aca="false">COUNTIFS(選手一覧!$C$7:$C$2738,A939,選手一覧!$I$7:$I$2738,"&lt;=100")</f>
        <v>0</v>
      </c>
      <c r="G939" s="18" t="n">
        <f aca="false">COUNTIFS(選手一覧!$C$7:$C$2738,A939,選手一覧!$K$7:$K$2738,"&lt;=100")</f>
        <v>0</v>
      </c>
      <c r="H939" s="17" t="n">
        <f aca="false">COUNTIF(選手一覧!$C$7:$C$2738,A939)</f>
        <v>1</v>
      </c>
    </row>
    <row r="940" customFormat="false" ht="15" hidden="false" customHeight="false" outlineLevel="0" collapsed="false">
      <c r="A940" s="12" t="s">
        <v>3623</v>
      </c>
      <c r="B940" s="22" t="n">
        <f aca="false">COUNTIFS(選手一覧!$C$7:$C$2738,A940,選手一覧!$E$7:$E$2738,"&lt;=100")</f>
        <v>0</v>
      </c>
      <c r="C940" s="18" t="n">
        <f aca="false">COUNTIFS(選手一覧!$C$7:$C$2738,A940,選手一覧!$E$7:$E$2738,"&gt;0")</f>
        <v>0</v>
      </c>
      <c r="D940" s="14" t="str">
        <f aca="false">IF(C940=0,"",_xlfn.MINIFS(選手一覧!$E$7:$E$2738,選手一覧!$C$7:$C$2738,A940))</f>
        <v/>
      </c>
      <c r="E940" s="20"/>
      <c r="F940" s="18" t="n">
        <f aca="false">COUNTIFS(選手一覧!$C$7:$C$2738,A940,選手一覧!$I$7:$I$2738,"&lt;=100")</f>
        <v>0</v>
      </c>
      <c r="G940" s="18" t="n">
        <f aca="false">COUNTIFS(選手一覧!$C$7:$C$2738,A940,選手一覧!$K$7:$K$2738,"&lt;=100")</f>
        <v>0</v>
      </c>
      <c r="H940" s="17" t="n">
        <f aca="false">COUNTIF(選手一覧!$C$7:$C$2738,A940)</f>
        <v>1</v>
      </c>
    </row>
    <row r="941" customFormat="false" ht="15" hidden="false" customHeight="false" outlineLevel="0" collapsed="false">
      <c r="A941" s="12" t="s">
        <v>3626</v>
      </c>
      <c r="B941" s="22" t="n">
        <f aca="false">COUNTIFS(選手一覧!$C$7:$C$2738,A941,選手一覧!$E$7:$E$2738,"&lt;=100")</f>
        <v>0</v>
      </c>
      <c r="C941" s="18" t="n">
        <f aca="false">COUNTIFS(選手一覧!$C$7:$C$2738,A941,選手一覧!$E$7:$E$2738,"&gt;0")</f>
        <v>0</v>
      </c>
      <c r="D941" s="14" t="str">
        <f aca="false">IF(C941=0,"",_xlfn.MINIFS(選手一覧!$E$7:$E$2738,選手一覧!$C$7:$C$2738,A941))</f>
        <v/>
      </c>
      <c r="E941" s="20"/>
      <c r="F941" s="18" t="n">
        <f aca="false">COUNTIFS(選手一覧!$C$7:$C$2738,A941,選手一覧!$I$7:$I$2738,"&lt;=100")</f>
        <v>0</v>
      </c>
      <c r="G941" s="18" t="n">
        <f aca="false">COUNTIFS(選手一覧!$C$7:$C$2738,A941,選手一覧!$K$7:$K$2738,"&lt;=100")</f>
        <v>0</v>
      </c>
      <c r="H941" s="17" t="n">
        <f aca="false">COUNTIF(選手一覧!$C$7:$C$2738,A941)</f>
        <v>1</v>
      </c>
    </row>
    <row r="942" customFormat="false" ht="15" hidden="false" customHeight="false" outlineLevel="0" collapsed="false">
      <c r="A942" s="12" t="s">
        <v>3636</v>
      </c>
      <c r="B942" s="22" t="n">
        <f aca="false">COUNTIFS(選手一覧!$C$7:$C$2738,A942,選手一覧!$E$7:$E$2738,"&lt;=100")</f>
        <v>0</v>
      </c>
      <c r="C942" s="18" t="n">
        <f aca="false">COUNTIFS(選手一覧!$C$7:$C$2738,A942,選手一覧!$E$7:$E$2738,"&gt;0")</f>
        <v>0</v>
      </c>
      <c r="D942" s="14" t="str">
        <f aca="false">IF(C942=0,"",_xlfn.MINIFS(選手一覧!$E$7:$E$2738,選手一覧!$C$7:$C$2738,A942))</f>
        <v/>
      </c>
      <c r="E942" s="20"/>
      <c r="F942" s="18" t="n">
        <f aca="false">COUNTIFS(選手一覧!$C$7:$C$2738,A942,選手一覧!$I$7:$I$2738,"&lt;=100")</f>
        <v>0</v>
      </c>
      <c r="G942" s="18" t="n">
        <f aca="false">COUNTIFS(選手一覧!$C$7:$C$2738,A942,選手一覧!$K$7:$K$2738,"&lt;=100")</f>
        <v>0</v>
      </c>
      <c r="H942" s="17" t="n">
        <f aca="false">COUNTIF(選手一覧!$C$7:$C$2738,A942)</f>
        <v>1</v>
      </c>
    </row>
    <row r="943" customFormat="false" ht="15" hidden="false" customHeight="false" outlineLevel="0" collapsed="false">
      <c r="A943" s="12" t="s">
        <v>3642</v>
      </c>
      <c r="B943" s="22" t="n">
        <f aca="false">COUNTIFS(選手一覧!$C$7:$C$2738,A943,選手一覧!$E$7:$E$2738,"&lt;=100")</f>
        <v>0</v>
      </c>
      <c r="C943" s="18" t="n">
        <f aca="false">COUNTIFS(選手一覧!$C$7:$C$2738,A943,選手一覧!$E$7:$E$2738,"&gt;0")</f>
        <v>0</v>
      </c>
      <c r="D943" s="14" t="str">
        <f aca="false">IF(C943=0,"",_xlfn.MINIFS(選手一覧!$E$7:$E$2738,選手一覧!$C$7:$C$2738,A943))</f>
        <v/>
      </c>
      <c r="E943" s="20"/>
      <c r="F943" s="18" t="n">
        <f aca="false">COUNTIFS(選手一覧!$C$7:$C$2738,A943,選手一覧!$I$7:$I$2738,"&lt;=100")</f>
        <v>0</v>
      </c>
      <c r="G943" s="18" t="n">
        <f aca="false">COUNTIFS(選手一覧!$C$7:$C$2738,A943,選手一覧!$K$7:$K$2738,"&lt;=100")</f>
        <v>0</v>
      </c>
      <c r="H943" s="17" t="n">
        <f aca="false">COUNTIF(選手一覧!$C$7:$C$2738,A943)</f>
        <v>1</v>
      </c>
    </row>
    <row r="944" customFormat="false" ht="15" hidden="false" customHeight="false" outlineLevel="0" collapsed="false">
      <c r="A944" s="12" t="s">
        <v>3644</v>
      </c>
      <c r="B944" s="22" t="n">
        <f aca="false">COUNTIFS(選手一覧!$C$7:$C$2738,A944,選手一覧!$E$7:$E$2738,"&lt;=100")</f>
        <v>0</v>
      </c>
      <c r="C944" s="18" t="n">
        <f aca="false">COUNTIFS(選手一覧!$C$7:$C$2738,A944,選手一覧!$E$7:$E$2738,"&gt;0")</f>
        <v>0</v>
      </c>
      <c r="D944" s="14" t="str">
        <f aca="false">IF(C944=0,"",_xlfn.MINIFS(選手一覧!$E$7:$E$2738,選手一覧!$C$7:$C$2738,A944))</f>
        <v/>
      </c>
      <c r="E944" s="20"/>
      <c r="F944" s="18" t="n">
        <f aca="false">COUNTIFS(選手一覧!$C$7:$C$2738,A944,選手一覧!$I$7:$I$2738,"&lt;=100")</f>
        <v>0</v>
      </c>
      <c r="G944" s="18" t="n">
        <f aca="false">COUNTIFS(選手一覧!$C$7:$C$2738,A944,選手一覧!$K$7:$K$2738,"&lt;=100")</f>
        <v>0</v>
      </c>
      <c r="H944" s="17" t="n">
        <f aca="false">COUNTIF(選手一覧!$C$7:$C$2738,A944)</f>
        <v>1</v>
      </c>
    </row>
    <row r="945" customFormat="false" ht="15" hidden="false" customHeight="false" outlineLevel="0" collapsed="false">
      <c r="A945" s="12" t="s">
        <v>3646</v>
      </c>
      <c r="B945" s="22" t="n">
        <f aca="false">COUNTIFS(選手一覧!$C$7:$C$2738,A945,選手一覧!$E$7:$E$2738,"&lt;=100")</f>
        <v>0</v>
      </c>
      <c r="C945" s="18" t="n">
        <f aca="false">COUNTIFS(選手一覧!$C$7:$C$2738,A945,選手一覧!$E$7:$E$2738,"&gt;0")</f>
        <v>0</v>
      </c>
      <c r="D945" s="14" t="str">
        <f aca="false">IF(C945=0,"",_xlfn.MINIFS(選手一覧!$E$7:$E$2738,選手一覧!$C$7:$C$2738,A945))</f>
        <v/>
      </c>
      <c r="E945" s="20"/>
      <c r="F945" s="18" t="n">
        <f aca="false">COUNTIFS(選手一覧!$C$7:$C$2738,A945,選手一覧!$I$7:$I$2738,"&lt;=100")</f>
        <v>0</v>
      </c>
      <c r="G945" s="18" t="n">
        <f aca="false">COUNTIFS(選手一覧!$C$7:$C$2738,A945,選手一覧!$K$7:$K$2738,"&lt;=100")</f>
        <v>0</v>
      </c>
      <c r="H945" s="17" t="n">
        <f aca="false">COUNTIF(選手一覧!$C$7:$C$2738,A945)</f>
        <v>1</v>
      </c>
    </row>
    <row r="946" customFormat="false" ht="15" hidden="false" customHeight="false" outlineLevel="0" collapsed="false">
      <c r="A946" s="12" t="s">
        <v>3648</v>
      </c>
      <c r="B946" s="22" t="n">
        <f aca="false">COUNTIFS(選手一覧!$C$7:$C$2738,A946,選手一覧!$E$7:$E$2738,"&lt;=100")</f>
        <v>0</v>
      </c>
      <c r="C946" s="18" t="n">
        <f aca="false">COUNTIFS(選手一覧!$C$7:$C$2738,A946,選手一覧!$E$7:$E$2738,"&gt;0")</f>
        <v>0</v>
      </c>
      <c r="D946" s="14" t="str">
        <f aca="false">IF(C946=0,"",_xlfn.MINIFS(選手一覧!$E$7:$E$2738,選手一覧!$C$7:$C$2738,A946))</f>
        <v/>
      </c>
      <c r="E946" s="20"/>
      <c r="F946" s="18" t="n">
        <f aca="false">COUNTIFS(選手一覧!$C$7:$C$2738,A946,選手一覧!$I$7:$I$2738,"&lt;=100")</f>
        <v>0</v>
      </c>
      <c r="G946" s="18" t="n">
        <f aca="false">COUNTIFS(選手一覧!$C$7:$C$2738,A946,選手一覧!$K$7:$K$2738,"&lt;=100")</f>
        <v>0</v>
      </c>
      <c r="H946" s="17" t="n">
        <f aca="false">COUNTIF(選手一覧!$C$7:$C$2738,A946)</f>
        <v>1</v>
      </c>
    </row>
    <row r="947" customFormat="false" ht="15" hidden="false" customHeight="false" outlineLevel="0" collapsed="false">
      <c r="A947" s="12" t="s">
        <v>3650</v>
      </c>
      <c r="B947" s="22" t="n">
        <f aca="false">COUNTIFS(選手一覧!$C$7:$C$2738,A947,選手一覧!$E$7:$E$2738,"&lt;=100")</f>
        <v>0</v>
      </c>
      <c r="C947" s="18" t="n">
        <f aca="false">COUNTIFS(選手一覧!$C$7:$C$2738,A947,選手一覧!$E$7:$E$2738,"&gt;0")</f>
        <v>0</v>
      </c>
      <c r="D947" s="14" t="str">
        <f aca="false">IF(C947=0,"",_xlfn.MINIFS(選手一覧!$E$7:$E$2738,選手一覧!$C$7:$C$2738,A947))</f>
        <v/>
      </c>
      <c r="E947" s="20"/>
      <c r="F947" s="18" t="n">
        <f aca="false">COUNTIFS(選手一覧!$C$7:$C$2738,A947,選手一覧!$I$7:$I$2738,"&lt;=100")</f>
        <v>0</v>
      </c>
      <c r="G947" s="18" t="n">
        <f aca="false">COUNTIFS(選手一覧!$C$7:$C$2738,A947,選手一覧!$K$7:$K$2738,"&lt;=100")</f>
        <v>0</v>
      </c>
      <c r="H947" s="17" t="n">
        <f aca="false">COUNTIF(選手一覧!$C$7:$C$2738,A947)</f>
        <v>1</v>
      </c>
    </row>
    <row r="948" customFormat="false" ht="15" hidden="false" customHeight="false" outlineLevel="0" collapsed="false">
      <c r="A948" s="12" t="s">
        <v>3652</v>
      </c>
      <c r="B948" s="22" t="n">
        <f aca="false">COUNTIFS(選手一覧!$C$7:$C$2738,A948,選手一覧!$E$7:$E$2738,"&lt;=100")</f>
        <v>0</v>
      </c>
      <c r="C948" s="18" t="n">
        <f aca="false">COUNTIFS(選手一覧!$C$7:$C$2738,A948,選手一覧!$E$7:$E$2738,"&gt;0")</f>
        <v>0</v>
      </c>
      <c r="D948" s="14" t="str">
        <f aca="false">IF(C948=0,"",_xlfn.MINIFS(選手一覧!$E$7:$E$2738,選手一覧!$C$7:$C$2738,A948))</f>
        <v/>
      </c>
      <c r="E948" s="20"/>
      <c r="F948" s="18" t="n">
        <f aca="false">COUNTIFS(選手一覧!$C$7:$C$2738,A948,選手一覧!$I$7:$I$2738,"&lt;=100")</f>
        <v>0</v>
      </c>
      <c r="G948" s="18" t="n">
        <f aca="false">COUNTIFS(選手一覧!$C$7:$C$2738,A948,選手一覧!$K$7:$K$2738,"&lt;=100")</f>
        <v>0</v>
      </c>
      <c r="H948" s="17" t="n">
        <f aca="false">COUNTIF(選手一覧!$C$7:$C$2738,A948)</f>
        <v>1</v>
      </c>
    </row>
    <row r="949" customFormat="false" ht="15" hidden="false" customHeight="false" outlineLevel="0" collapsed="false">
      <c r="A949" s="12" t="s">
        <v>3655</v>
      </c>
      <c r="B949" s="22" t="n">
        <f aca="false">COUNTIFS(選手一覧!$C$7:$C$2738,A949,選手一覧!$E$7:$E$2738,"&lt;=100")</f>
        <v>0</v>
      </c>
      <c r="C949" s="18" t="n">
        <f aca="false">COUNTIFS(選手一覧!$C$7:$C$2738,A949,選手一覧!$E$7:$E$2738,"&gt;0")</f>
        <v>0</v>
      </c>
      <c r="D949" s="14" t="str">
        <f aca="false">IF(C949=0,"",_xlfn.MINIFS(選手一覧!$E$7:$E$2738,選手一覧!$C$7:$C$2738,A949))</f>
        <v/>
      </c>
      <c r="E949" s="20"/>
      <c r="F949" s="18" t="n">
        <f aca="false">COUNTIFS(選手一覧!$C$7:$C$2738,A949,選手一覧!$I$7:$I$2738,"&lt;=100")</f>
        <v>0</v>
      </c>
      <c r="G949" s="18" t="n">
        <f aca="false">COUNTIFS(選手一覧!$C$7:$C$2738,A949,選手一覧!$K$7:$K$2738,"&lt;=100")</f>
        <v>0</v>
      </c>
      <c r="H949" s="17" t="n">
        <f aca="false">COUNTIF(選手一覧!$C$7:$C$2738,A949)</f>
        <v>1</v>
      </c>
    </row>
    <row r="950" customFormat="false" ht="15" hidden="false" customHeight="false" outlineLevel="0" collapsed="false">
      <c r="A950" s="12" t="s">
        <v>3657</v>
      </c>
      <c r="B950" s="22" t="n">
        <f aca="false">COUNTIFS(選手一覧!$C$7:$C$2738,A950,選手一覧!$E$7:$E$2738,"&lt;=100")</f>
        <v>0</v>
      </c>
      <c r="C950" s="18" t="n">
        <f aca="false">COUNTIFS(選手一覧!$C$7:$C$2738,A950,選手一覧!$E$7:$E$2738,"&gt;0")</f>
        <v>0</v>
      </c>
      <c r="D950" s="14" t="str">
        <f aca="false">IF(C950=0,"",_xlfn.MINIFS(選手一覧!$E$7:$E$2738,選手一覧!$C$7:$C$2738,A950))</f>
        <v/>
      </c>
      <c r="E950" s="20"/>
      <c r="F950" s="18" t="n">
        <f aca="false">COUNTIFS(選手一覧!$C$7:$C$2738,A950,選手一覧!$I$7:$I$2738,"&lt;=100")</f>
        <v>0</v>
      </c>
      <c r="G950" s="18" t="n">
        <f aca="false">COUNTIFS(選手一覧!$C$7:$C$2738,A950,選手一覧!$K$7:$K$2738,"&lt;=100")</f>
        <v>0</v>
      </c>
      <c r="H950" s="17" t="n">
        <f aca="false">COUNTIF(選手一覧!$C$7:$C$2738,A950)</f>
        <v>1</v>
      </c>
    </row>
    <row r="951" customFormat="false" ht="15" hidden="false" customHeight="false" outlineLevel="0" collapsed="false">
      <c r="A951" s="12" t="s">
        <v>3659</v>
      </c>
      <c r="B951" s="22" t="n">
        <f aca="false">COUNTIFS(選手一覧!$C$7:$C$2738,A951,選手一覧!$E$7:$E$2738,"&lt;=100")</f>
        <v>0</v>
      </c>
      <c r="C951" s="18" t="n">
        <f aca="false">COUNTIFS(選手一覧!$C$7:$C$2738,A951,選手一覧!$E$7:$E$2738,"&gt;0")</f>
        <v>0</v>
      </c>
      <c r="D951" s="14" t="str">
        <f aca="false">IF(C951=0,"",_xlfn.MINIFS(選手一覧!$E$7:$E$2738,選手一覧!$C$7:$C$2738,A951))</f>
        <v/>
      </c>
      <c r="E951" s="20"/>
      <c r="F951" s="18" t="n">
        <f aca="false">COUNTIFS(選手一覧!$C$7:$C$2738,A951,選手一覧!$I$7:$I$2738,"&lt;=100")</f>
        <v>0</v>
      </c>
      <c r="G951" s="18" t="n">
        <f aca="false">COUNTIFS(選手一覧!$C$7:$C$2738,A951,選手一覧!$K$7:$K$2738,"&lt;=100")</f>
        <v>0</v>
      </c>
      <c r="H951" s="17" t="n">
        <f aca="false">COUNTIF(選手一覧!$C$7:$C$2738,A951)</f>
        <v>1</v>
      </c>
    </row>
    <row r="952" customFormat="false" ht="15" hidden="false" customHeight="false" outlineLevel="0" collapsed="false">
      <c r="A952" s="12" t="s">
        <v>3670</v>
      </c>
      <c r="B952" s="22" t="n">
        <f aca="false">COUNTIFS(選手一覧!$C$7:$C$2738,A952,選手一覧!$E$7:$E$2738,"&lt;=100")</f>
        <v>0</v>
      </c>
      <c r="C952" s="18" t="n">
        <f aca="false">COUNTIFS(選手一覧!$C$7:$C$2738,A952,選手一覧!$E$7:$E$2738,"&gt;0")</f>
        <v>0</v>
      </c>
      <c r="D952" s="14" t="str">
        <f aca="false">IF(C952=0,"",_xlfn.MINIFS(選手一覧!$E$7:$E$2738,選手一覧!$C$7:$C$2738,A952))</f>
        <v/>
      </c>
      <c r="E952" s="20"/>
      <c r="F952" s="18" t="n">
        <f aca="false">COUNTIFS(選手一覧!$C$7:$C$2738,A952,選手一覧!$I$7:$I$2738,"&lt;=100")</f>
        <v>0</v>
      </c>
      <c r="G952" s="18" t="n">
        <f aca="false">COUNTIFS(選手一覧!$C$7:$C$2738,A952,選手一覧!$K$7:$K$2738,"&lt;=100")</f>
        <v>0</v>
      </c>
      <c r="H952" s="17" t="n">
        <f aca="false">COUNTIF(選手一覧!$C$7:$C$2738,A952)</f>
        <v>1</v>
      </c>
    </row>
    <row r="953" customFormat="false" ht="15" hidden="false" customHeight="false" outlineLevel="0" collapsed="false">
      <c r="A953" s="12" t="s">
        <v>3675</v>
      </c>
      <c r="B953" s="22" t="n">
        <f aca="false">COUNTIFS(選手一覧!$C$7:$C$2738,A953,選手一覧!$E$7:$E$2738,"&lt;=100")</f>
        <v>0</v>
      </c>
      <c r="C953" s="18" t="n">
        <f aca="false">COUNTIFS(選手一覧!$C$7:$C$2738,A953,選手一覧!$E$7:$E$2738,"&gt;0")</f>
        <v>0</v>
      </c>
      <c r="D953" s="14" t="str">
        <f aca="false">IF(C953=0,"",_xlfn.MINIFS(選手一覧!$E$7:$E$2738,選手一覧!$C$7:$C$2738,A953))</f>
        <v/>
      </c>
      <c r="E953" s="20"/>
      <c r="F953" s="18" t="n">
        <f aca="false">COUNTIFS(選手一覧!$C$7:$C$2738,A953,選手一覧!$I$7:$I$2738,"&lt;=100")</f>
        <v>0</v>
      </c>
      <c r="G953" s="18" t="n">
        <f aca="false">COUNTIFS(選手一覧!$C$7:$C$2738,A953,選手一覧!$K$7:$K$2738,"&lt;=100")</f>
        <v>0</v>
      </c>
      <c r="H953" s="17" t="n">
        <f aca="false">COUNTIF(選手一覧!$C$7:$C$2738,A953)</f>
        <v>1</v>
      </c>
    </row>
    <row r="954" customFormat="false" ht="15" hidden="false" customHeight="false" outlineLevel="0" collapsed="false">
      <c r="A954" s="12" t="s">
        <v>3680</v>
      </c>
      <c r="B954" s="22" t="n">
        <f aca="false">COUNTIFS(選手一覧!$C$7:$C$2738,A954,選手一覧!$E$7:$E$2738,"&lt;=100")</f>
        <v>0</v>
      </c>
      <c r="C954" s="18" t="n">
        <f aca="false">COUNTIFS(選手一覧!$C$7:$C$2738,A954,選手一覧!$E$7:$E$2738,"&gt;0")</f>
        <v>0</v>
      </c>
      <c r="D954" s="14" t="str">
        <f aca="false">IF(C954=0,"",_xlfn.MINIFS(選手一覧!$E$7:$E$2738,選手一覧!$C$7:$C$2738,A954))</f>
        <v/>
      </c>
      <c r="E954" s="20"/>
      <c r="F954" s="18" t="n">
        <f aca="false">COUNTIFS(選手一覧!$C$7:$C$2738,A954,選手一覧!$I$7:$I$2738,"&lt;=100")</f>
        <v>0</v>
      </c>
      <c r="G954" s="18" t="n">
        <f aca="false">COUNTIFS(選手一覧!$C$7:$C$2738,A954,選手一覧!$K$7:$K$2738,"&lt;=100")</f>
        <v>0</v>
      </c>
      <c r="H954" s="17" t="n">
        <f aca="false">COUNTIF(選手一覧!$C$7:$C$2738,A954)</f>
        <v>1</v>
      </c>
    </row>
    <row r="955" customFormat="false" ht="15" hidden="false" customHeight="false" outlineLevel="0" collapsed="false">
      <c r="A955" s="12" t="s">
        <v>3682</v>
      </c>
      <c r="B955" s="22" t="n">
        <f aca="false">COUNTIFS(選手一覧!$C$7:$C$2738,A955,選手一覧!$E$7:$E$2738,"&lt;=100")</f>
        <v>0</v>
      </c>
      <c r="C955" s="18" t="n">
        <f aca="false">COUNTIFS(選手一覧!$C$7:$C$2738,A955,選手一覧!$E$7:$E$2738,"&gt;0")</f>
        <v>0</v>
      </c>
      <c r="D955" s="14" t="str">
        <f aca="false">IF(C955=0,"",_xlfn.MINIFS(選手一覧!$E$7:$E$2738,選手一覧!$C$7:$C$2738,A955))</f>
        <v/>
      </c>
      <c r="E955" s="20"/>
      <c r="F955" s="18" t="n">
        <f aca="false">COUNTIFS(選手一覧!$C$7:$C$2738,A955,選手一覧!$I$7:$I$2738,"&lt;=100")</f>
        <v>0</v>
      </c>
      <c r="G955" s="18" t="n">
        <f aca="false">COUNTIFS(選手一覧!$C$7:$C$2738,A955,選手一覧!$K$7:$K$2738,"&lt;=100")</f>
        <v>0</v>
      </c>
      <c r="H955" s="17" t="n">
        <f aca="false">COUNTIF(選手一覧!$C$7:$C$2738,A955)</f>
        <v>1</v>
      </c>
    </row>
    <row r="956" customFormat="false" ht="15" hidden="false" customHeight="false" outlineLevel="0" collapsed="false">
      <c r="A956" s="12" t="s">
        <v>3685</v>
      </c>
      <c r="B956" s="22" t="n">
        <f aca="false">COUNTIFS(選手一覧!$C$7:$C$2738,A956,選手一覧!$E$7:$E$2738,"&lt;=100")</f>
        <v>0</v>
      </c>
      <c r="C956" s="18" t="n">
        <f aca="false">COUNTIFS(選手一覧!$C$7:$C$2738,A956,選手一覧!$E$7:$E$2738,"&gt;0")</f>
        <v>0</v>
      </c>
      <c r="D956" s="14" t="str">
        <f aca="false">IF(C956=0,"",_xlfn.MINIFS(選手一覧!$E$7:$E$2738,選手一覧!$C$7:$C$2738,A956))</f>
        <v/>
      </c>
      <c r="E956" s="20"/>
      <c r="F956" s="18" t="n">
        <f aca="false">COUNTIFS(選手一覧!$C$7:$C$2738,A956,選手一覧!$I$7:$I$2738,"&lt;=100")</f>
        <v>0</v>
      </c>
      <c r="G956" s="18" t="n">
        <f aca="false">COUNTIFS(選手一覧!$C$7:$C$2738,A956,選手一覧!$K$7:$K$2738,"&lt;=100")</f>
        <v>0</v>
      </c>
      <c r="H956" s="17" t="n">
        <f aca="false">COUNTIF(選手一覧!$C$7:$C$2738,A956)</f>
        <v>1</v>
      </c>
    </row>
    <row r="957" customFormat="false" ht="15" hidden="false" customHeight="false" outlineLevel="0" collapsed="false">
      <c r="A957" s="12" t="s">
        <v>3687</v>
      </c>
      <c r="B957" s="22" t="n">
        <f aca="false">COUNTIFS(選手一覧!$C$7:$C$2738,A957,選手一覧!$E$7:$E$2738,"&lt;=100")</f>
        <v>0</v>
      </c>
      <c r="C957" s="18" t="n">
        <f aca="false">COUNTIFS(選手一覧!$C$7:$C$2738,A957,選手一覧!$E$7:$E$2738,"&gt;0")</f>
        <v>0</v>
      </c>
      <c r="D957" s="14" t="str">
        <f aca="false">IF(C957=0,"",_xlfn.MINIFS(選手一覧!$E$7:$E$2738,選手一覧!$C$7:$C$2738,A957))</f>
        <v/>
      </c>
      <c r="E957" s="20"/>
      <c r="F957" s="18" t="n">
        <f aca="false">COUNTIFS(選手一覧!$C$7:$C$2738,A957,選手一覧!$I$7:$I$2738,"&lt;=100")</f>
        <v>0</v>
      </c>
      <c r="G957" s="18" t="n">
        <f aca="false">COUNTIFS(選手一覧!$C$7:$C$2738,A957,選手一覧!$K$7:$K$2738,"&lt;=100")</f>
        <v>0</v>
      </c>
      <c r="H957" s="17" t="n">
        <f aca="false">COUNTIF(選手一覧!$C$7:$C$2738,A957)</f>
        <v>1</v>
      </c>
    </row>
    <row r="958" customFormat="false" ht="15" hidden="false" customHeight="false" outlineLevel="0" collapsed="false">
      <c r="A958" s="12" t="s">
        <v>3689</v>
      </c>
      <c r="B958" s="22" t="n">
        <f aca="false">COUNTIFS(選手一覧!$C$7:$C$2738,A958,選手一覧!$E$7:$E$2738,"&lt;=100")</f>
        <v>0</v>
      </c>
      <c r="C958" s="18" t="n">
        <f aca="false">COUNTIFS(選手一覧!$C$7:$C$2738,A958,選手一覧!$E$7:$E$2738,"&gt;0")</f>
        <v>0</v>
      </c>
      <c r="D958" s="14" t="str">
        <f aca="false">IF(C958=0,"",_xlfn.MINIFS(選手一覧!$E$7:$E$2738,選手一覧!$C$7:$C$2738,A958))</f>
        <v/>
      </c>
      <c r="E958" s="20"/>
      <c r="F958" s="18" t="n">
        <f aca="false">COUNTIFS(選手一覧!$C$7:$C$2738,A958,選手一覧!$I$7:$I$2738,"&lt;=100")</f>
        <v>0</v>
      </c>
      <c r="G958" s="18" t="n">
        <f aca="false">COUNTIFS(選手一覧!$C$7:$C$2738,A958,選手一覧!$K$7:$K$2738,"&lt;=100")</f>
        <v>0</v>
      </c>
      <c r="H958" s="17" t="n">
        <f aca="false">COUNTIF(選手一覧!$C$7:$C$2738,A958)</f>
        <v>1</v>
      </c>
    </row>
    <row r="959" customFormat="false" ht="15" hidden="false" customHeight="false" outlineLevel="0" collapsed="false">
      <c r="A959" s="12" t="s">
        <v>3691</v>
      </c>
      <c r="B959" s="22" t="n">
        <f aca="false">COUNTIFS(選手一覧!$C$7:$C$2738,A959,選手一覧!$E$7:$E$2738,"&lt;=100")</f>
        <v>0</v>
      </c>
      <c r="C959" s="18" t="n">
        <f aca="false">COUNTIFS(選手一覧!$C$7:$C$2738,A959,選手一覧!$E$7:$E$2738,"&gt;0")</f>
        <v>0</v>
      </c>
      <c r="D959" s="14" t="str">
        <f aca="false">IF(C959=0,"",_xlfn.MINIFS(選手一覧!$E$7:$E$2738,選手一覧!$C$7:$C$2738,A959))</f>
        <v/>
      </c>
      <c r="E959" s="20"/>
      <c r="F959" s="18" t="n">
        <f aca="false">COUNTIFS(選手一覧!$C$7:$C$2738,A959,選手一覧!$I$7:$I$2738,"&lt;=100")</f>
        <v>0</v>
      </c>
      <c r="G959" s="18" t="n">
        <f aca="false">COUNTIFS(選手一覧!$C$7:$C$2738,A959,選手一覧!$K$7:$K$2738,"&lt;=100")</f>
        <v>0</v>
      </c>
      <c r="H959" s="17" t="n">
        <f aca="false">COUNTIF(選手一覧!$C$7:$C$2738,A959)</f>
        <v>1</v>
      </c>
    </row>
    <row r="960" customFormat="false" ht="15" hidden="false" customHeight="false" outlineLevel="0" collapsed="false">
      <c r="A960" s="12" t="s">
        <v>3696</v>
      </c>
      <c r="B960" s="22" t="n">
        <f aca="false">COUNTIFS(選手一覧!$C$7:$C$2738,A960,選手一覧!$E$7:$E$2738,"&lt;=100")</f>
        <v>0</v>
      </c>
      <c r="C960" s="18" t="n">
        <f aca="false">COUNTIFS(選手一覧!$C$7:$C$2738,A960,選手一覧!$E$7:$E$2738,"&gt;0")</f>
        <v>0</v>
      </c>
      <c r="D960" s="14" t="str">
        <f aca="false">IF(C960=0,"",_xlfn.MINIFS(選手一覧!$E$7:$E$2738,選手一覧!$C$7:$C$2738,A960))</f>
        <v/>
      </c>
      <c r="E960" s="20"/>
      <c r="F960" s="18" t="n">
        <f aca="false">COUNTIFS(選手一覧!$C$7:$C$2738,A960,選手一覧!$I$7:$I$2738,"&lt;=100")</f>
        <v>0</v>
      </c>
      <c r="G960" s="18" t="n">
        <f aca="false">COUNTIFS(選手一覧!$C$7:$C$2738,A960,選手一覧!$K$7:$K$2738,"&lt;=100")</f>
        <v>0</v>
      </c>
      <c r="H960" s="17" t="n">
        <f aca="false">COUNTIF(選手一覧!$C$7:$C$2738,A960)</f>
        <v>1</v>
      </c>
    </row>
    <row r="961" customFormat="false" ht="15" hidden="false" customHeight="false" outlineLevel="0" collapsed="false">
      <c r="A961" s="12" t="s">
        <v>3699</v>
      </c>
      <c r="B961" s="22" t="n">
        <f aca="false">COUNTIFS(選手一覧!$C$7:$C$2738,A961,選手一覧!$E$7:$E$2738,"&lt;=100")</f>
        <v>0</v>
      </c>
      <c r="C961" s="18" t="n">
        <f aca="false">COUNTIFS(選手一覧!$C$7:$C$2738,A961,選手一覧!$E$7:$E$2738,"&gt;0")</f>
        <v>0</v>
      </c>
      <c r="D961" s="14" t="str">
        <f aca="false">IF(C961=0,"",_xlfn.MINIFS(選手一覧!$E$7:$E$2738,選手一覧!$C$7:$C$2738,A961))</f>
        <v/>
      </c>
      <c r="E961" s="20"/>
      <c r="F961" s="18" t="n">
        <f aca="false">COUNTIFS(選手一覧!$C$7:$C$2738,A961,選手一覧!$I$7:$I$2738,"&lt;=100")</f>
        <v>0</v>
      </c>
      <c r="G961" s="18" t="n">
        <f aca="false">COUNTIFS(選手一覧!$C$7:$C$2738,A961,選手一覧!$K$7:$K$2738,"&lt;=100")</f>
        <v>0</v>
      </c>
      <c r="H961" s="17" t="n">
        <f aca="false">COUNTIF(選手一覧!$C$7:$C$2738,A961)</f>
        <v>1</v>
      </c>
    </row>
    <row r="962" customFormat="false" ht="15" hidden="false" customHeight="false" outlineLevel="0" collapsed="false">
      <c r="A962" s="12" t="s">
        <v>3702</v>
      </c>
      <c r="B962" s="22" t="n">
        <f aca="false">COUNTIFS(選手一覧!$C$7:$C$2738,A962,選手一覧!$E$7:$E$2738,"&lt;=100")</f>
        <v>0</v>
      </c>
      <c r="C962" s="18" t="n">
        <f aca="false">COUNTIFS(選手一覧!$C$7:$C$2738,A962,選手一覧!$E$7:$E$2738,"&gt;0")</f>
        <v>0</v>
      </c>
      <c r="D962" s="14" t="str">
        <f aca="false">IF(C962=0,"",_xlfn.MINIFS(選手一覧!$E$7:$E$2738,選手一覧!$C$7:$C$2738,A962))</f>
        <v/>
      </c>
      <c r="E962" s="20"/>
      <c r="F962" s="18" t="n">
        <f aca="false">COUNTIFS(選手一覧!$C$7:$C$2738,A962,選手一覧!$I$7:$I$2738,"&lt;=100")</f>
        <v>0</v>
      </c>
      <c r="G962" s="18" t="n">
        <f aca="false">COUNTIFS(選手一覧!$C$7:$C$2738,A962,選手一覧!$K$7:$K$2738,"&lt;=100")</f>
        <v>0</v>
      </c>
      <c r="H962" s="17" t="n">
        <f aca="false">COUNTIF(選手一覧!$C$7:$C$2738,A962)</f>
        <v>1</v>
      </c>
    </row>
    <row r="963" customFormat="false" ht="15" hidden="false" customHeight="false" outlineLevel="0" collapsed="false">
      <c r="A963" s="12" t="s">
        <v>3704</v>
      </c>
      <c r="B963" s="22" t="n">
        <f aca="false">COUNTIFS(選手一覧!$C$7:$C$2738,A963,選手一覧!$E$7:$E$2738,"&lt;=100")</f>
        <v>0</v>
      </c>
      <c r="C963" s="18" t="n">
        <f aca="false">COUNTIFS(選手一覧!$C$7:$C$2738,A963,選手一覧!$E$7:$E$2738,"&gt;0")</f>
        <v>0</v>
      </c>
      <c r="D963" s="14" t="str">
        <f aca="false">IF(C963=0,"",_xlfn.MINIFS(選手一覧!$E$7:$E$2738,選手一覧!$C$7:$C$2738,A963))</f>
        <v/>
      </c>
      <c r="E963" s="20"/>
      <c r="F963" s="18" t="n">
        <f aca="false">COUNTIFS(選手一覧!$C$7:$C$2738,A963,選手一覧!$I$7:$I$2738,"&lt;=100")</f>
        <v>0</v>
      </c>
      <c r="G963" s="18" t="n">
        <f aca="false">COUNTIFS(選手一覧!$C$7:$C$2738,A963,選手一覧!$K$7:$K$2738,"&lt;=100")</f>
        <v>0</v>
      </c>
      <c r="H963" s="17" t="n">
        <f aca="false">COUNTIF(選手一覧!$C$7:$C$2738,A963)</f>
        <v>1</v>
      </c>
    </row>
    <row r="964" customFormat="false" ht="15" hidden="false" customHeight="false" outlineLevel="0" collapsed="false">
      <c r="A964" s="12" t="s">
        <v>3706</v>
      </c>
      <c r="B964" s="22" t="n">
        <f aca="false">COUNTIFS(選手一覧!$C$7:$C$2738,A964,選手一覧!$E$7:$E$2738,"&lt;=100")</f>
        <v>0</v>
      </c>
      <c r="C964" s="18" t="n">
        <f aca="false">COUNTIFS(選手一覧!$C$7:$C$2738,A964,選手一覧!$E$7:$E$2738,"&gt;0")</f>
        <v>0</v>
      </c>
      <c r="D964" s="14" t="str">
        <f aca="false">IF(C964=0,"",_xlfn.MINIFS(選手一覧!$E$7:$E$2738,選手一覧!$C$7:$C$2738,A964))</f>
        <v/>
      </c>
      <c r="E964" s="20"/>
      <c r="F964" s="18" t="n">
        <f aca="false">COUNTIFS(選手一覧!$C$7:$C$2738,A964,選手一覧!$I$7:$I$2738,"&lt;=100")</f>
        <v>0</v>
      </c>
      <c r="G964" s="18" t="n">
        <f aca="false">COUNTIFS(選手一覧!$C$7:$C$2738,A964,選手一覧!$K$7:$K$2738,"&lt;=100")</f>
        <v>0</v>
      </c>
      <c r="H964" s="17" t="n">
        <f aca="false">COUNTIF(選手一覧!$C$7:$C$2738,A964)</f>
        <v>1</v>
      </c>
    </row>
    <row r="965" customFormat="false" ht="15" hidden="false" customHeight="false" outlineLevel="0" collapsed="false">
      <c r="A965" s="12" t="s">
        <v>3714</v>
      </c>
      <c r="B965" s="22" t="n">
        <f aca="false">COUNTIFS(選手一覧!$C$7:$C$2738,A965,選手一覧!$E$7:$E$2738,"&lt;=100")</f>
        <v>0</v>
      </c>
      <c r="C965" s="18" t="n">
        <f aca="false">COUNTIFS(選手一覧!$C$7:$C$2738,A965,選手一覧!$E$7:$E$2738,"&gt;0")</f>
        <v>0</v>
      </c>
      <c r="D965" s="14" t="str">
        <f aca="false">IF(C965=0,"",_xlfn.MINIFS(選手一覧!$E$7:$E$2738,選手一覧!$C$7:$C$2738,A965))</f>
        <v/>
      </c>
      <c r="E965" s="20"/>
      <c r="F965" s="18" t="n">
        <f aca="false">COUNTIFS(選手一覧!$C$7:$C$2738,A965,選手一覧!$I$7:$I$2738,"&lt;=100")</f>
        <v>0</v>
      </c>
      <c r="G965" s="18" t="n">
        <f aca="false">COUNTIFS(選手一覧!$C$7:$C$2738,A965,選手一覧!$K$7:$K$2738,"&lt;=100")</f>
        <v>0</v>
      </c>
      <c r="H965" s="17" t="n">
        <f aca="false">COUNTIF(選手一覧!$C$7:$C$2738,A965)</f>
        <v>1</v>
      </c>
    </row>
    <row r="966" customFormat="false" ht="15" hidden="false" customHeight="false" outlineLevel="0" collapsed="false">
      <c r="A966" s="12" t="s">
        <v>3721</v>
      </c>
      <c r="B966" s="22" t="n">
        <f aca="false">COUNTIFS(選手一覧!$C$7:$C$2738,A966,選手一覧!$E$7:$E$2738,"&lt;=100")</f>
        <v>0</v>
      </c>
      <c r="C966" s="18" t="n">
        <f aca="false">COUNTIFS(選手一覧!$C$7:$C$2738,A966,選手一覧!$E$7:$E$2738,"&gt;0")</f>
        <v>0</v>
      </c>
      <c r="D966" s="14" t="str">
        <f aca="false">IF(C966=0,"",_xlfn.MINIFS(選手一覧!$E$7:$E$2738,選手一覧!$C$7:$C$2738,A966))</f>
        <v/>
      </c>
      <c r="E966" s="20"/>
      <c r="F966" s="18" t="n">
        <f aca="false">COUNTIFS(選手一覧!$C$7:$C$2738,A966,選手一覧!$I$7:$I$2738,"&lt;=100")</f>
        <v>0</v>
      </c>
      <c r="G966" s="18" t="n">
        <f aca="false">COUNTIFS(選手一覧!$C$7:$C$2738,A966,選手一覧!$K$7:$K$2738,"&lt;=100")</f>
        <v>0</v>
      </c>
      <c r="H966" s="17" t="n">
        <f aca="false">COUNTIF(選手一覧!$C$7:$C$2738,A966)</f>
        <v>1</v>
      </c>
    </row>
    <row r="967" customFormat="false" ht="15" hidden="false" customHeight="false" outlineLevel="0" collapsed="false">
      <c r="A967" s="12" t="s">
        <v>3725</v>
      </c>
      <c r="B967" s="22" t="n">
        <f aca="false">COUNTIFS(選手一覧!$C$7:$C$2738,A967,選手一覧!$E$7:$E$2738,"&lt;=100")</f>
        <v>0</v>
      </c>
      <c r="C967" s="18" t="n">
        <f aca="false">COUNTIFS(選手一覧!$C$7:$C$2738,A967,選手一覧!$E$7:$E$2738,"&gt;0")</f>
        <v>0</v>
      </c>
      <c r="D967" s="14" t="str">
        <f aca="false">IF(C967=0,"",_xlfn.MINIFS(選手一覧!$E$7:$E$2738,選手一覧!$C$7:$C$2738,A967))</f>
        <v/>
      </c>
      <c r="E967" s="20"/>
      <c r="F967" s="18" t="n">
        <f aca="false">COUNTIFS(選手一覧!$C$7:$C$2738,A967,選手一覧!$I$7:$I$2738,"&lt;=100")</f>
        <v>0</v>
      </c>
      <c r="G967" s="18" t="n">
        <f aca="false">COUNTIFS(選手一覧!$C$7:$C$2738,A967,選手一覧!$K$7:$K$2738,"&lt;=100")</f>
        <v>0</v>
      </c>
      <c r="H967" s="17" t="n">
        <f aca="false">COUNTIF(選手一覧!$C$7:$C$2738,A967)</f>
        <v>1</v>
      </c>
    </row>
    <row r="968" customFormat="false" ht="15" hidden="false" customHeight="false" outlineLevel="0" collapsed="false">
      <c r="A968" s="12" t="s">
        <v>3728</v>
      </c>
      <c r="B968" s="22" t="n">
        <f aca="false">COUNTIFS(選手一覧!$C$7:$C$2738,A968,選手一覧!$E$7:$E$2738,"&lt;=100")</f>
        <v>0</v>
      </c>
      <c r="C968" s="18" t="n">
        <f aca="false">COUNTIFS(選手一覧!$C$7:$C$2738,A968,選手一覧!$E$7:$E$2738,"&gt;0")</f>
        <v>0</v>
      </c>
      <c r="D968" s="14" t="str">
        <f aca="false">IF(C968=0,"",_xlfn.MINIFS(選手一覧!$E$7:$E$2738,選手一覧!$C$7:$C$2738,A968))</f>
        <v/>
      </c>
      <c r="E968" s="20"/>
      <c r="F968" s="18" t="n">
        <f aca="false">COUNTIFS(選手一覧!$C$7:$C$2738,A968,選手一覧!$I$7:$I$2738,"&lt;=100")</f>
        <v>0</v>
      </c>
      <c r="G968" s="18" t="n">
        <f aca="false">COUNTIFS(選手一覧!$C$7:$C$2738,A968,選手一覧!$K$7:$K$2738,"&lt;=100")</f>
        <v>0</v>
      </c>
      <c r="H968" s="17" t="n">
        <f aca="false">COUNTIF(選手一覧!$C$7:$C$2738,A968)</f>
        <v>1</v>
      </c>
    </row>
    <row r="969" customFormat="false" ht="15" hidden="false" customHeight="false" outlineLevel="0" collapsed="false">
      <c r="A969" s="12" t="s">
        <v>3730</v>
      </c>
      <c r="B969" s="22" t="n">
        <f aca="false">COUNTIFS(選手一覧!$C$7:$C$2738,A969,選手一覧!$E$7:$E$2738,"&lt;=100")</f>
        <v>0</v>
      </c>
      <c r="C969" s="18" t="n">
        <f aca="false">COUNTIFS(選手一覧!$C$7:$C$2738,A969,選手一覧!$E$7:$E$2738,"&gt;0")</f>
        <v>0</v>
      </c>
      <c r="D969" s="14" t="str">
        <f aca="false">IF(C969=0,"",_xlfn.MINIFS(選手一覧!$E$7:$E$2738,選手一覧!$C$7:$C$2738,A969))</f>
        <v/>
      </c>
      <c r="E969" s="20"/>
      <c r="F969" s="18" t="n">
        <f aca="false">COUNTIFS(選手一覧!$C$7:$C$2738,A969,選手一覧!$I$7:$I$2738,"&lt;=100")</f>
        <v>0</v>
      </c>
      <c r="G969" s="18" t="n">
        <f aca="false">COUNTIFS(選手一覧!$C$7:$C$2738,A969,選手一覧!$K$7:$K$2738,"&lt;=100")</f>
        <v>0</v>
      </c>
      <c r="H969" s="17" t="n">
        <f aca="false">COUNTIF(選手一覧!$C$7:$C$2738,A969)</f>
        <v>1</v>
      </c>
    </row>
    <row r="970" customFormat="false" ht="15" hidden="false" customHeight="false" outlineLevel="0" collapsed="false">
      <c r="A970" s="12" t="s">
        <v>3733</v>
      </c>
      <c r="B970" s="22" t="n">
        <f aca="false">COUNTIFS(選手一覧!$C$7:$C$2738,A970,選手一覧!$E$7:$E$2738,"&lt;=100")</f>
        <v>0</v>
      </c>
      <c r="C970" s="18" t="n">
        <f aca="false">COUNTIFS(選手一覧!$C$7:$C$2738,A970,選手一覧!$E$7:$E$2738,"&gt;0")</f>
        <v>0</v>
      </c>
      <c r="D970" s="14" t="str">
        <f aca="false">IF(C970=0,"",_xlfn.MINIFS(選手一覧!$E$7:$E$2738,選手一覧!$C$7:$C$2738,A970))</f>
        <v/>
      </c>
      <c r="E970" s="20"/>
      <c r="F970" s="18" t="n">
        <f aca="false">COUNTIFS(選手一覧!$C$7:$C$2738,A970,選手一覧!$I$7:$I$2738,"&lt;=100")</f>
        <v>0</v>
      </c>
      <c r="G970" s="18" t="n">
        <f aca="false">COUNTIFS(選手一覧!$C$7:$C$2738,A970,選手一覧!$K$7:$K$2738,"&lt;=100")</f>
        <v>0</v>
      </c>
      <c r="H970" s="17" t="n">
        <f aca="false">COUNTIF(選手一覧!$C$7:$C$2738,A970)</f>
        <v>1</v>
      </c>
    </row>
    <row r="971" customFormat="false" ht="15" hidden="false" customHeight="false" outlineLevel="0" collapsed="false">
      <c r="A971" s="12" t="s">
        <v>3739</v>
      </c>
      <c r="B971" s="22" t="n">
        <f aca="false">COUNTIFS(選手一覧!$C$7:$C$2738,A971,選手一覧!$E$7:$E$2738,"&lt;=100")</f>
        <v>0</v>
      </c>
      <c r="C971" s="18" t="n">
        <f aca="false">COUNTIFS(選手一覧!$C$7:$C$2738,A971,選手一覧!$E$7:$E$2738,"&gt;0")</f>
        <v>0</v>
      </c>
      <c r="D971" s="14" t="str">
        <f aca="false">IF(C971=0,"",_xlfn.MINIFS(選手一覧!$E$7:$E$2738,選手一覧!$C$7:$C$2738,A971))</f>
        <v/>
      </c>
      <c r="E971" s="20"/>
      <c r="F971" s="18" t="n">
        <f aca="false">COUNTIFS(選手一覧!$C$7:$C$2738,A971,選手一覧!$I$7:$I$2738,"&lt;=100")</f>
        <v>0</v>
      </c>
      <c r="G971" s="18" t="n">
        <f aca="false">COUNTIFS(選手一覧!$C$7:$C$2738,A971,選手一覧!$K$7:$K$2738,"&lt;=100")</f>
        <v>0</v>
      </c>
      <c r="H971" s="17" t="n">
        <f aca="false">COUNTIF(選手一覧!$C$7:$C$2738,A971)</f>
        <v>1</v>
      </c>
    </row>
    <row r="972" customFormat="false" ht="15" hidden="false" customHeight="false" outlineLevel="0" collapsed="false">
      <c r="A972" s="12" t="s">
        <v>3742</v>
      </c>
      <c r="B972" s="22" t="n">
        <f aca="false">COUNTIFS(選手一覧!$C$7:$C$2738,A972,選手一覧!$E$7:$E$2738,"&lt;=100")</f>
        <v>0</v>
      </c>
      <c r="C972" s="18" t="n">
        <f aca="false">COUNTIFS(選手一覧!$C$7:$C$2738,A972,選手一覧!$E$7:$E$2738,"&gt;0")</f>
        <v>0</v>
      </c>
      <c r="D972" s="14" t="str">
        <f aca="false">IF(C972=0,"",_xlfn.MINIFS(選手一覧!$E$7:$E$2738,選手一覧!$C$7:$C$2738,A972))</f>
        <v/>
      </c>
      <c r="E972" s="20"/>
      <c r="F972" s="18" t="n">
        <f aca="false">COUNTIFS(選手一覧!$C$7:$C$2738,A972,選手一覧!$I$7:$I$2738,"&lt;=100")</f>
        <v>0</v>
      </c>
      <c r="G972" s="18" t="n">
        <f aca="false">COUNTIFS(選手一覧!$C$7:$C$2738,A972,選手一覧!$K$7:$K$2738,"&lt;=100")</f>
        <v>0</v>
      </c>
      <c r="H972" s="17" t="n">
        <f aca="false">COUNTIF(選手一覧!$C$7:$C$2738,A972)</f>
        <v>1</v>
      </c>
    </row>
    <row r="973" customFormat="false" ht="15" hidden="false" customHeight="false" outlineLevel="0" collapsed="false">
      <c r="A973" s="12" t="s">
        <v>3747</v>
      </c>
      <c r="B973" s="22" t="n">
        <f aca="false">COUNTIFS(選手一覧!$C$7:$C$2738,A973,選手一覧!$E$7:$E$2738,"&lt;=100")</f>
        <v>0</v>
      </c>
      <c r="C973" s="18" t="n">
        <f aca="false">COUNTIFS(選手一覧!$C$7:$C$2738,A973,選手一覧!$E$7:$E$2738,"&gt;0")</f>
        <v>0</v>
      </c>
      <c r="D973" s="14" t="str">
        <f aca="false">IF(C973=0,"",_xlfn.MINIFS(選手一覧!$E$7:$E$2738,選手一覧!$C$7:$C$2738,A973))</f>
        <v/>
      </c>
      <c r="E973" s="20"/>
      <c r="F973" s="18" t="n">
        <f aca="false">COUNTIFS(選手一覧!$C$7:$C$2738,A973,選手一覧!$I$7:$I$2738,"&lt;=100")</f>
        <v>0</v>
      </c>
      <c r="G973" s="18" t="n">
        <f aca="false">COUNTIFS(選手一覧!$C$7:$C$2738,A973,選手一覧!$K$7:$K$2738,"&lt;=100")</f>
        <v>0</v>
      </c>
      <c r="H973" s="17" t="n">
        <f aca="false">COUNTIF(選手一覧!$C$7:$C$2738,A973)</f>
        <v>1</v>
      </c>
    </row>
    <row r="974" customFormat="false" ht="15" hidden="false" customHeight="false" outlineLevel="0" collapsed="false">
      <c r="A974" s="12" t="s">
        <v>3750</v>
      </c>
      <c r="B974" s="22" t="n">
        <f aca="false">COUNTIFS(選手一覧!$C$7:$C$2738,A974,選手一覧!$E$7:$E$2738,"&lt;=100")</f>
        <v>0</v>
      </c>
      <c r="C974" s="18" t="n">
        <f aca="false">COUNTIFS(選手一覧!$C$7:$C$2738,A974,選手一覧!$E$7:$E$2738,"&gt;0")</f>
        <v>0</v>
      </c>
      <c r="D974" s="14" t="str">
        <f aca="false">IF(C974=0,"",_xlfn.MINIFS(選手一覧!$E$7:$E$2738,選手一覧!$C$7:$C$2738,A974))</f>
        <v/>
      </c>
      <c r="E974" s="20"/>
      <c r="F974" s="18" t="n">
        <f aca="false">COUNTIFS(選手一覧!$C$7:$C$2738,A974,選手一覧!$I$7:$I$2738,"&lt;=100")</f>
        <v>0</v>
      </c>
      <c r="G974" s="18" t="n">
        <f aca="false">COUNTIFS(選手一覧!$C$7:$C$2738,A974,選手一覧!$K$7:$K$2738,"&lt;=100")</f>
        <v>0</v>
      </c>
      <c r="H974" s="17" t="n">
        <f aca="false">COUNTIF(選手一覧!$C$7:$C$2738,A974)</f>
        <v>1</v>
      </c>
    </row>
    <row r="975" customFormat="false" ht="15" hidden="false" customHeight="false" outlineLevel="0" collapsed="false">
      <c r="A975" s="12" t="s">
        <v>3752</v>
      </c>
      <c r="B975" s="22" t="n">
        <f aca="false">COUNTIFS(選手一覧!$C$7:$C$2738,A975,選手一覧!$E$7:$E$2738,"&lt;=100")</f>
        <v>0</v>
      </c>
      <c r="C975" s="18" t="n">
        <f aca="false">COUNTIFS(選手一覧!$C$7:$C$2738,A975,選手一覧!$E$7:$E$2738,"&gt;0")</f>
        <v>0</v>
      </c>
      <c r="D975" s="14" t="str">
        <f aca="false">IF(C975=0,"",_xlfn.MINIFS(選手一覧!$E$7:$E$2738,選手一覧!$C$7:$C$2738,A975))</f>
        <v/>
      </c>
      <c r="E975" s="20"/>
      <c r="F975" s="18" t="n">
        <f aca="false">COUNTIFS(選手一覧!$C$7:$C$2738,A975,選手一覧!$I$7:$I$2738,"&lt;=100")</f>
        <v>0</v>
      </c>
      <c r="G975" s="18" t="n">
        <f aca="false">COUNTIFS(選手一覧!$C$7:$C$2738,A975,選手一覧!$K$7:$K$2738,"&lt;=100")</f>
        <v>0</v>
      </c>
      <c r="H975" s="17" t="n">
        <f aca="false">COUNTIF(選手一覧!$C$7:$C$2738,A975)</f>
        <v>1</v>
      </c>
    </row>
    <row r="976" customFormat="false" ht="15" hidden="false" customHeight="false" outlineLevel="0" collapsed="false">
      <c r="A976" s="12" t="s">
        <v>3773</v>
      </c>
      <c r="B976" s="22" t="n">
        <f aca="false">COUNTIFS(選手一覧!$C$7:$C$2738,A976,選手一覧!$E$7:$E$2738,"&lt;=100")</f>
        <v>0</v>
      </c>
      <c r="C976" s="18" t="n">
        <f aca="false">COUNTIFS(選手一覧!$C$7:$C$2738,A976,選手一覧!$E$7:$E$2738,"&gt;0")</f>
        <v>0</v>
      </c>
      <c r="D976" s="14" t="str">
        <f aca="false">IF(C976=0,"",_xlfn.MINIFS(選手一覧!$E$7:$E$2738,選手一覧!$C$7:$C$2738,A976))</f>
        <v/>
      </c>
      <c r="E976" s="20"/>
      <c r="F976" s="18" t="n">
        <f aca="false">COUNTIFS(選手一覧!$C$7:$C$2738,A976,選手一覧!$I$7:$I$2738,"&lt;=100")</f>
        <v>0</v>
      </c>
      <c r="G976" s="18" t="n">
        <f aca="false">COUNTIFS(選手一覧!$C$7:$C$2738,A976,選手一覧!$K$7:$K$2738,"&lt;=100")</f>
        <v>0</v>
      </c>
      <c r="H976" s="17" t="n">
        <f aca="false">COUNTIF(選手一覧!$C$7:$C$2738,A976)</f>
        <v>1</v>
      </c>
    </row>
    <row r="977" customFormat="false" ht="15" hidden="false" customHeight="false" outlineLevel="0" collapsed="false">
      <c r="A977" s="12" t="s">
        <v>3775</v>
      </c>
      <c r="B977" s="22" t="n">
        <f aca="false">COUNTIFS(選手一覧!$C$7:$C$2738,A977,選手一覧!$E$7:$E$2738,"&lt;=100")</f>
        <v>0</v>
      </c>
      <c r="C977" s="18" t="n">
        <f aca="false">COUNTIFS(選手一覧!$C$7:$C$2738,A977,選手一覧!$E$7:$E$2738,"&gt;0")</f>
        <v>0</v>
      </c>
      <c r="D977" s="14" t="str">
        <f aca="false">IF(C977=0,"",_xlfn.MINIFS(選手一覧!$E$7:$E$2738,選手一覧!$C$7:$C$2738,A977))</f>
        <v/>
      </c>
      <c r="E977" s="20"/>
      <c r="F977" s="18" t="n">
        <f aca="false">COUNTIFS(選手一覧!$C$7:$C$2738,A977,選手一覧!$I$7:$I$2738,"&lt;=100")</f>
        <v>0</v>
      </c>
      <c r="G977" s="18" t="n">
        <f aca="false">COUNTIFS(選手一覧!$C$7:$C$2738,A977,選手一覧!$K$7:$K$2738,"&lt;=100")</f>
        <v>0</v>
      </c>
      <c r="H977" s="17" t="n">
        <f aca="false">COUNTIF(選手一覧!$C$7:$C$2738,A977)</f>
        <v>1</v>
      </c>
    </row>
    <row r="978" customFormat="false" ht="15" hidden="false" customHeight="false" outlineLevel="0" collapsed="false">
      <c r="A978" s="12" t="s">
        <v>3777</v>
      </c>
      <c r="B978" s="22" t="n">
        <f aca="false">COUNTIFS(選手一覧!$C$7:$C$2738,A978,選手一覧!$E$7:$E$2738,"&lt;=100")</f>
        <v>0</v>
      </c>
      <c r="C978" s="18" t="n">
        <f aca="false">COUNTIFS(選手一覧!$C$7:$C$2738,A978,選手一覧!$E$7:$E$2738,"&gt;0")</f>
        <v>0</v>
      </c>
      <c r="D978" s="14" t="str">
        <f aca="false">IF(C978=0,"",_xlfn.MINIFS(選手一覧!$E$7:$E$2738,選手一覧!$C$7:$C$2738,A978))</f>
        <v/>
      </c>
      <c r="E978" s="20"/>
      <c r="F978" s="18" t="n">
        <f aca="false">COUNTIFS(選手一覧!$C$7:$C$2738,A978,選手一覧!$I$7:$I$2738,"&lt;=100")</f>
        <v>0</v>
      </c>
      <c r="G978" s="18" t="n">
        <f aca="false">COUNTIFS(選手一覧!$C$7:$C$2738,A978,選手一覧!$K$7:$K$2738,"&lt;=100")</f>
        <v>0</v>
      </c>
      <c r="H978" s="17" t="n">
        <f aca="false">COUNTIF(選手一覧!$C$7:$C$2738,A978)</f>
        <v>1</v>
      </c>
    </row>
    <row r="979" customFormat="false" ht="15" hidden="false" customHeight="false" outlineLevel="0" collapsed="false">
      <c r="A979" s="12" t="s">
        <v>3779</v>
      </c>
      <c r="B979" s="22" t="n">
        <f aca="false">COUNTIFS(選手一覧!$C$7:$C$2738,A979,選手一覧!$E$7:$E$2738,"&lt;=100")</f>
        <v>0</v>
      </c>
      <c r="C979" s="18" t="n">
        <f aca="false">COUNTIFS(選手一覧!$C$7:$C$2738,A979,選手一覧!$E$7:$E$2738,"&gt;0")</f>
        <v>0</v>
      </c>
      <c r="D979" s="14" t="str">
        <f aca="false">IF(C979=0,"",_xlfn.MINIFS(選手一覧!$E$7:$E$2738,選手一覧!$C$7:$C$2738,A979))</f>
        <v/>
      </c>
      <c r="E979" s="20"/>
      <c r="F979" s="18" t="n">
        <f aca="false">COUNTIFS(選手一覧!$C$7:$C$2738,A979,選手一覧!$I$7:$I$2738,"&lt;=100")</f>
        <v>0</v>
      </c>
      <c r="G979" s="18" t="n">
        <f aca="false">COUNTIFS(選手一覧!$C$7:$C$2738,A979,選手一覧!$K$7:$K$2738,"&lt;=100")</f>
        <v>0</v>
      </c>
      <c r="H979" s="17" t="n">
        <f aca="false">COUNTIF(選手一覧!$C$7:$C$2738,A979)</f>
        <v>1</v>
      </c>
    </row>
    <row r="980" customFormat="false" ht="15" hidden="false" customHeight="false" outlineLevel="0" collapsed="false">
      <c r="A980" s="12" t="s">
        <v>3786</v>
      </c>
      <c r="B980" s="22" t="n">
        <f aca="false">COUNTIFS(選手一覧!$C$7:$C$2738,A980,選手一覧!$E$7:$E$2738,"&lt;=100")</f>
        <v>0</v>
      </c>
      <c r="C980" s="18" t="n">
        <f aca="false">COUNTIFS(選手一覧!$C$7:$C$2738,A980,選手一覧!$E$7:$E$2738,"&gt;0")</f>
        <v>0</v>
      </c>
      <c r="D980" s="14" t="str">
        <f aca="false">IF(C980=0,"",_xlfn.MINIFS(選手一覧!$E$7:$E$2738,選手一覧!$C$7:$C$2738,A980))</f>
        <v/>
      </c>
      <c r="E980" s="20"/>
      <c r="F980" s="18" t="n">
        <f aca="false">COUNTIFS(選手一覧!$C$7:$C$2738,A980,選手一覧!$I$7:$I$2738,"&lt;=100")</f>
        <v>0</v>
      </c>
      <c r="G980" s="18" t="n">
        <f aca="false">COUNTIFS(選手一覧!$C$7:$C$2738,A980,選手一覧!$K$7:$K$2738,"&lt;=100")</f>
        <v>0</v>
      </c>
      <c r="H980" s="17" t="n">
        <f aca="false">COUNTIF(選手一覧!$C$7:$C$2738,A980)</f>
        <v>1</v>
      </c>
    </row>
    <row r="981" customFormat="false" ht="15" hidden="false" customHeight="false" outlineLevel="0" collapsed="false">
      <c r="A981" s="12" t="s">
        <v>3788</v>
      </c>
      <c r="B981" s="22" t="n">
        <f aca="false">COUNTIFS(選手一覧!$C$7:$C$2738,A981,選手一覧!$E$7:$E$2738,"&lt;=100")</f>
        <v>0</v>
      </c>
      <c r="C981" s="18" t="n">
        <f aca="false">COUNTIFS(選手一覧!$C$7:$C$2738,A981,選手一覧!$E$7:$E$2738,"&gt;0")</f>
        <v>0</v>
      </c>
      <c r="D981" s="14" t="str">
        <f aca="false">IF(C981=0,"",_xlfn.MINIFS(選手一覧!$E$7:$E$2738,選手一覧!$C$7:$C$2738,A981))</f>
        <v/>
      </c>
      <c r="E981" s="20"/>
      <c r="F981" s="18" t="n">
        <f aca="false">COUNTIFS(選手一覧!$C$7:$C$2738,A981,選手一覧!$I$7:$I$2738,"&lt;=100")</f>
        <v>0</v>
      </c>
      <c r="G981" s="18" t="n">
        <f aca="false">COUNTIFS(選手一覧!$C$7:$C$2738,A981,選手一覧!$K$7:$K$2738,"&lt;=100")</f>
        <v>0</v>
      </c>
      <c r="H981" s="17" t="n">
        <f aca="false">COUNTIF(選手一覧!$C$7:$C$2738,A981)</f>
        <v>1</v>
      </c>
    </row>
    <row r="982" customFormat="false" ht="15" hidden="false" customHeight="false" outlineLevel="0" collapsed="false">
      <c r="A982" s="12" t="s">
        <v>3790</v>
      </c>
      <c r="B982" s="22" t="n">
        <f aca="false">COUNTIFS(選手一覧!$C$7:$C$2738,A982,選手一覧!$E$7:$E$2738,"&lt;=100")</f>
        <v>0</v>
      </c>
      <c r="C982" s="18" t="n">
        <f aca="false">COUNTIFS(選手一覧!$C$7:$C$2738,A982,選手一覧!$E$7:$E$2738,"&gt;0")</f>
        <v>0</v>
      </c>
      <c r="D982" s="14" t="str">
        <f aca="false">IF(C982=0,"",_xlfn.MINIFS(選手一覧!$E$7:$E$2738,選手一覧!$C$7:$C$2738,A982))</f>
        <v/>
      </c>
      <c r="E982" s="20"/>
      <c r="F982" s="18" t="n">
        <f aca="false">COUNTIFS(選手一覧!$C$7:$C$2738,A982,選手一覧!$I$7:$I$2738,"&lt;=100")</f>
        <v>0</v>
      </c>
      <c r="G982" s="18" t="n">
        <f aca="false">COUNTIFS(選手一覧!$C$7:$C$2738,A982,選手一覧!$K$7:$K$2738,"&lt;=100")</f>
        <v>0</v>
      </c>
      <c r="H982" s="17" t="n">
        <f aca="false">COUNTIF(選手一覧!$C$7:$C$2738,A982)</f>
        <v>1</v>
      </c>
    </row>
    <row r="983" customFormat="false" ht="15" hidden="false" customHeight="false" outlineLevel="0" collapsed="false">
      <c r="A983" s="12" t="s">
        <v>3792</v>
      </c>
      <c r="B983" s="22" t="n">
        <f aca="false">COUNTIFS(選手一覧!$C$7:$C$2738,A983,選手一覧!$E$7:$E$2738,"&lt;=100")</f>
        <v>0</v>
      </c>
      <c r="C983" s="18" t="n">
        <f aca="false">COUNTIFS(選手一覧!$C$7:$C$2738,A983,選手一覧!$E$7:$E$2738,"&gt;0")</f>
        <v>0</v>
      </c>
      <c r="D983" s="14" t="str">
        <f aca="false">IF(C983=0,"",_xlfn.MINIFS(選手一覧!$E$7:$E$2738,選手一覧!$C$7:$C$2738,A983))</f>
        <v/>
      </c>
      <c r="E983" s="20"/>
      <c r="F983" s="18" t="n">
        <f aca="false">COUNTIFS(選手一覧!$C$7:$C$2738,A983,選手一覧!$I$7:$I$2738,"&lt;=100")</f>
        <v>0</v>
      </c>
      <c r="G983" s="18" t="n">
        <f aca="false">COUNTIFS(選手一覧!$C$7:$C$2738,A983,選手一覧!$K$7:$K$2738,"&lt;=100")</f>
        <v>0</v>
      </c>
      <c r="H983" s="17" t="n">
        <f aca="false">COUNTIF(選手一覧!$C$7:$C$2738,A983)</f>
        <v>1</v>
      </c>
    </row>
    <row r="984" customFormat="false" ht="15" hidden="false" customHeight="false" outlineLevel="0" collapsed="false">
      <c r="A984" s="12" t="s">
        <v>3797</v>
      </c>
      <c r="B984" s="22" t="n">
        <f aca="false">COUNTIFS(選手一覧!$C$7:$C$2738,A984,選手一覧!$E$7:$E$2738,"&lt;=100")</f>
        <v>0</v>
      </c>
      <c r="C984" s="18" t="n">
        <f aca="false">COUNTIFS(選手一覧!$C$7:$C$2738,A984,選手一覧!$E$7:$E$2738,"&gt;0")</f>
        <v>0</v>
      </c>
      <c r="D984" s="14" t="str">
        <f aca="false">IF(C984=0,"",_xlfn.MINIFS(選手一覧!$E$7:$E$2738,選手一覧!$C$7:$C$2738,A984))</f>
        <v/>
      </c>
      <c r="E984" s="20"/>
      <c r="F984" s="18" t="n">
        <f aca="false">COUNTIFS(選手一覧!$C$7:$C$2738,A984,選手一覧!$I$7:$I$2738,"&lt;=100")</f>
        <v>0</v>
      </c>
      <c r="G984" s="18" t="n">
        <f aca="false">COUNTIFS(選手一覧!$C$7:$C$2738,A984,選手一覧!$K$7:$K$2738,"&lt;=100")</f>
        <v>0</v>
      </c>
      <c r="H984" s="17" t="n">
        <f aca="false">COUNTIF(選手一覧!$C$7:$C$2738,A984)</f>
        <v>1</v>
      </c>
    </row>
    <row r="985" customFormat="false" ht="15" hidden="false" customHeight="false" outlineLevel="0" collapsed="false">
      <c r="A985" s="12" t="s">
        <v>3801</v>
      </c>
      <c r="B985" s="22" t="n">
        <f aca="false">COUNTIFS(選手一覧!$C$7:$C$2738,A985,選手一覧!$E$7:$E$2738,"&lt;=100")</f>
        <v>0</v>
      </c>
      <c r="C985" s="18" t="n">
        <f aca="false">COUNTIFS(選手一覧!$C$7:$C$2738,A985,選手一覧!$E$7:$E$2738,"&gt;0")</f>
        <v>0</v>
      </c>
      <c r="D985" s="14" t="str">
        <f aca="false">IF(C985=0,"",_xlfn.MINIFS(選手一覧!$E$7:$E$2738,選手一覧!$C$7:$C$2738,A985))</f>
        <v/>
      </c>
      <c r="E985" s="20"/>
      <c r="F985" s="18" t="n">
        <f aca="false">COUNTIFS(選手一覧!$C$7:$C$2738,A985,選手一覧!$I$7:$I$2738,"&lt;=100")</f>
        <v>0</v>
      </c>
      <c r="G985" s="18" t="n">
        <f aca="false">COUNTIFS(選手一覧!$C$7:$C$2738,A985,選手一覧!$K$7:$K$2738,"&lt;=100")</f>
        <v>0</v>
      </c>
      <c r="H985" s="17" t="n">
        <f aca="false">COUNTIF(選手一覧!$C$7:$C$2738,A985)</f>
        <v>1</v>
      </c>
    </row>
    <row r="986" customFormat="false" ht="15" hidden="false" customHeight="false" outlineLevel="0" collapsed="false">
      <c r="A986" s="12" t="s">
        <v>3804</v>
      </c>
      <c r="B986" s="22" t="n">
        <f aca="false">COUNTIFS(選手一覧!$C$7:$C$2738,A986,選手一覧!$E$7:$E$2738,"&lt;=100")</f>
        <v>0</v>
      </c>
      <c r="C986" s="18" t="n">
        <f aca="false">COUNTIFS(選手一覧!$C$7:$C$2738,A986,選手一覧!$E$7:$E$2738,"&gt;0")</f>
        <v>0</v>
      </c>
      <c r="D986" s="14" t="str">
        <f aca="false">IF(C986=0,"",_xlfn.MINIFS(選手一覧!$E$7:$E$2738,選手一覧!$C$7:$C$2738,A986))</f>
        <v/>
      </c>
      <c r="E986" s="20"/>
      <c r="F986" s="18" t="n">
        <f aca="false">COUNTIFS(選手一覧!$C$7:$C$2738,A986,選手一覧!$I$7:$I$2738,"&lt;=100")</f>
        <v>0</v>
      </c>
      <c r="G986" s="18" t="n">
        <f aca="false">COUNTIFS(選手一覧!$C$7:$C$2738,A986,選手一覧!$K$7:$K$2738,"&lt;=100")</f>
        <v>0</v>
      </c>
      <c r="H986" s="17" t="n">
        <f aca="false">COUNTIF(選手一覧!$C$7:$C$2738,A986)</f>
        <v>1</v>
      </c>
    </row>
    <row r="987" customFormat="false" ht="15" hidden="false" customHeight="false" outlineLevel="0" collapsed="false">
      <c r="A987" s="12" t="s">
        <v>3808</v>
      </c>
      <c r="B987" s="22" t="n">
        <f aca="false">COUNTIFS(選手一覧!$C$7:$C$2738,A987,選手一覧!$E$7:$E$2738,"&lt;=100")</f>
        <v>0</v>
      </c>
      <c r="C987" s="18" t="n">
        <f aca="false">COUNTIFS(選手一覧!$C$7:$C$2738,A987,選手一覧!$E$7:$E$2738,"&gt;0")</f>
        <v>0</v>
      </c>
      <c r="D987" s="14" t="str">
        <f aca="false">IF(C987=0,"",_xlfn.MINIFS(選手一覧!$E$7:$E$2738,選手一覧!$C$7:$C$2738,A987))</f>
        <v/>
      </c>
      <c r="E987" s="20"/>
      <c r="F987" s="18" t="n">
        <f aca="false">COUNTIFS(選手一覧!$C$7:$C$2738,A987,選手一覧!$I$7:$I$2738,"&lt;=100")</f>
        <v>0</v>
      </c>
      <c r="G987" s="18" t="n">
        <f aca="false">COUNTIFS(選手一覧!$C$7:$C$2738,A987,選手一覧!$K$7:$K$2738,"&lt;=100")</f>
        <v>0</v>
      </c>
      <c r="H987" s="17" t="n">
        <f aca="false">COUNTIF(選手一覧!$C$7:$C$2738,A987)</f>
        <v>1</v>
      </c>
    </row>
    <row r="988" customFormat="false" ht="15" hidden="false" customHeight="false" outlineLevel="0" collapsed="false">
      <c r="A988" s="12" t="s">
        <v>3812</v>
      </c>
      <c r="B988" s="22" t="n">
        <f aca="false">COUNTIFS(選手一覧!$C$7:$C$2738,A988,選手一覧!$E$7:$E$2738,"&lt;=100")</f>
        <v>0</v>
      </c>
      <c r="C988" s="18" t="n">
        <f aca="false">COUNTIFS(選手一覧!$C$7:$C$2738,A988,選手一覧!$E$7:$E$2738,"&gt;0")</f>
        <v>0</v>
      </c>
      <c r="D988" s="14" t="str">
        <f aca="false">IF(C988=0,"",_xlfn.MINIFS(選手一覧!$E$7:$E$2738,選手一覧!$C$7:$C$2738,A988))</f>
        <v/>
      </c>
      <c r="E988" s="20"/>
      <c r="F988" s="18" t="n">
        <f aca="false">COUNTIFS(選手一覧!$C$7:$C$2738,A988,選手一覧!$I$7:$I$2738,"&lt;=100")</f>
        <v>0</v>
      </c>
      <c r="G988" s="18" t="n">
        <f aca="false">COUNTIFS(選手一覧!$C$7:$C$2738,A988,選手一覧!$K$7:$K$2738,"&lt;=100")</f>
        <v>0</v>
      </c>
      <c r="H988" s="17" t="n">
        <f aca="false">COUNTIF(選手一覧!$C$7:$C$2738,A988)</f>
        <v>1</v>
      </c>
    </row>
    <row r="989" customFormat="false" ht="15" hidden="false" customHeight="false" outlineLevel="0" collapsed="false">
      <c r="A989" s="12" t="s">
        <v>3822</v>
      </c>
      <c r="B989" s="22" t="n">
        <f aca="false">COUNTIFS(選手一覧!$C$7:$C$2738,A989,選手一覧!$E$7:$E$2738,"&lt;=100")</f>
        <v>0</v>
      </c>
      <c r="C989" s="18" t="n">
        <f aca="false">COUNTIFS(選手一覧!$C$7:$C$2738,A989,選手一覧!$E$7:$E$2738,"&gt;0")</f>
        <v>0</v>
      </c>
      <c r="D989" s="14" t="str">
        <f aca="false">IF(C989=0,"",_xlfn.MINIFS(選手一覧!$E$7:$E$2738,選手一覧!$C$7:$C$2738,A989))</f>
        <v/>
      </c>
      <c r="E989" s="20"/>
      <c r="F989" s="18" t="n">
        <f aca="false">COUNTIFS(選手一覧!$C$7:$C$2738,A989,選手一覧!$I$7:$I$2738,"&lt;=100")</f>
        <v>0</v>
      </c>
      <c r="G989" s="18" t="n">
        <f aca="false">COUNTIFS(選手一覧!$C$7:$C$2738,A989,選手一覧!$K$7:$K$2738,"&lt;=100")</f>
        <v>0</v>
      </c>
      <c r="H989" s="17" t="n">
        <f aca="false">COUNTIF(選手一覧!$C$7:$C$2738,A989)</f>
        <v>1</v>
      </c>
    </row>
    <row r="990" customFormat="false" ht="15" hidden="false" customHeight="false" outlineLevel="0" collapsed="false">
      <c r="A990" s="12" t="s">
        <v>3824</v>
      </c>
      <c r="B990" s="22" t="n">
        <f aca="false">COUNTIFS(選手一覧!$C$7:$C$2738,A990,選手一覧!$E$7:$E$2738,"&lt;=100")</f>
        <v>0</v>
      </c>
      <c r="C990" s="18" t="n">
        <f aca="false">COUNTIFS(選手一覧!$C$7:$C$2738,A990,選手一覧!$E$7:$E$2738,"&gt;0")</f>
        <v>0</v>
      </c>
      <c r="D990" s="14" t="str">
        <f aca="false">IF(C990=0,"",_xlfn.MINIFS(選手一覧!$E$7:$E$2738,選手一覧!$C$7:$C$2738,A990))</f>
        <v/>
      </c>
      <c r="E990" s="20"/>
      <c r="F990" s="18" t="n">
        <f aca="false">COUNTIFS(選手一覧!$C$7:$C$2738,A990,選手一覧!$I$7:$I$2738,"&lt;=100")</f>
        <v>0</v>
      </c>
      <c r="G990" s="18" t="n">
        <f aca="false">COUNTIFS(選手一覧!$C$7:$C$2738,A990,選手一覧!$K$7:$K$2738,"&lt;=100")</f>
        <v>0</v>
      </c>
      <c r="H990" s="17" t="n">
        <f aca="false">COUNTIF(選手一覧!$C$7:$C$2738,A990)</f>
        <v>1</v>
      </c>
    </row>
    <row r="991" customFormat="false" ht="15" hidden="false" customHeight="false" outlineLevel="0" collapsed="false">
      <c r="A991" s="12" t="s">
        <v>3826</v>
      </c>
      <c r="B991" s="22" t="n">
        <f aca="false">COUNTIFS(選手一覧!$C$7:$C$2738,A991,選手一覧!$E$7:$E$2738,"&lt;=100")</f>
        <v>0</v>
      </c>
      <c r="C991" s="18" t="n">
        <f aca="false">COUNTIFS(選手一覧!$C$7:$C$2738,A991,選手一覧!$E$7:$E$2738,"&gt;0")</f>
        <v>0</v>
      </c>
      <c r="D991" s="14" t="str">
        <f aca="false">IF(C991=0,"",_xlfn.MINIFS(選手一覧!$E$7:$E$2738,選手一覧!$C$7:$C$2738,A991))</f>
        <v/>
      </c>
      <c r="E991" s="20"/>
      <c r="F991" s="18" t="n">
        <f aca="false">COUNTIFS(選手一覧!$C$7:$C$2738,A991,選手一覧!$I$7:$I$2738,"&lt;=100")</f>
        <v>0</v>
      </c>
      <c r="G991" s="18" t="n">
        <f aca="false">COUNTIFS(選手一覧!$C$7:$C$2738,A991,選手一覧!$K$7:$K$2738,"&lt;=100")</f>
        <v>0</v>
      </c>
      <c r="H991" s="17" t="n">
        <f aca="false">COUNTIF(選手一覧!$C$7:$C$2738,A991)</f>
        <v>1</v>
      </c>
    </row>
    <row r="992" customFormat="false" ht="15" hidden="false" customHeight="false" outlineLevel="0" collapsed="false">
      <c r="A992" s="12" t="s">
        <v>3829</v>
      </c>
      <c r="B992" s="22" t="n">
        <f aca="false">COUNTIFS(選手一覧!$C$7:$C$2738,A992,選手一覧!$E$7:$E$2738,"&lt;=100")</f>
        <v>0</v>
      </c>
      <c r="C992" s="18" t="n">
        <f aca="false">COUNTIFS(選手一覧!$C$7:$C$2738,A992,選手一覧!$E$7:$E$2738,"&gt;0")</f>
        <v>0</v>
      </c>
      <c r="D992" s="14" t="str">
        <f aca="false">IF(C992=0,"",_xlfn.MINIFS(選手一覧!$E$7:$E$2738,選手一覧!$C$7:$C$2738,A992))</f>
        <v/>
      </c>
      <c r="E992" s="20"/>
      <c r="F992" s="18" t="n">
        <f aca="false">COUNTIFS(選手一覧!$C$7:$C$2738,A992,選手一覧!$I$7:$I$2738,"&lt;=100")</f>
        <v>0</v>
      </c>
      <c r="G992" s="18" t="n">
        <f aca="false">COUNTIFS(選手一覧!$C$7:$C$2738,A992,選手一覧!$K$7:$K$2738,"&lt;=100")</f>
        <v>0</v>
      </c>
      <c r="H992" s="17" t="n">
        <f aca="false">COUNTIF(選手一覧!$C$7:$C$2738,A992)</f>
        <v>1</v>
      </c>
    </row>
    <row r="993" customFormat="false" ht="15" hidden="false" customHeight="false" outlineLevel="0" collapsed="false">
      <c r="A993" s="12" t="s">
        <v>3837</v>
      </c>
      <c r="B993" s="22" t="n">
        <f aca="false">COUNTIFS(選手一覧!$C$7:$C$2738,A993,選手一覧!$E$7:$E$2738,"&lt;=100")</f>
        <v>0</v>
      </c>
      <c r="C993" s="18" t="n">
        <f aca="false">COUNTIFS(選手一覧!$C$7:$C$2738,A993,選手一覧!$E$7:$E$2738,"&gt;0")</f>
        <v>0</v>
      </c>
      <c r="D993" s="14" t="str">
        <f aca="false">IF(C993=0,"",_xlfn.MINIFS(選手一覧!$E$7:$E$2738,選手一覧!$C$7:$C$2738,A993))</f>
        <v/>
      </c>
      <c r="E993" s="20"/>
      <c r="F993" s="18" t="n">
        <f aca="false">COUNTIFS(選手一覧!$C$7:$C$2738,A993,選手一覧!$I$7:$I$2738,"&lt;=100")</f>
        <v>0</v>
      </c>
      <c r="G993" s="18" t="n">
        <f aca="false">COUNTIFS(選手一覧!$C$7:$C$2738,A993,選手一覧!$K$7:$K$2738,"&lt;=100")</f>
        <v>0</v>
      </c>
      <c r="H993" s="17" t="n">
        <f aca="false">COUNTIF(選手一覧!$C$7:$C$2738,A993)</f>
        <v>1</v>
      </c>
    </row>
    <row r="994" customFormat="false" ht="15" hidden="false" customHeight="false" outlineLevel="0" collapsed="false">
      <c r="A994" s="12" t="s">
        <v>3844</v>
      </c>
      <c r="B994" s="22" t="n">
        <f aca="false">COUNTIFS(選手一覧!$C$7:$C$2738,A994,選手一覧!$E$7:$E$2738,"&lt;=100")</f>
        <v>0</v>
      </c>
      <c r="C994" s="18" t="n">
        <f aca="false">COUNTIFS(選手一覧!$C$7:$C$2738,A994,選手一覧!$E$7:$E$2738,"&gt;0")</f>
        <v>0</v>
      </c>
      <c r="D994" s="14" t="str">
        <f aca="false">IF(C994=0,"",_xlfn.MINIFS(選手一覧!$E$7:$E$2738,選手一覧!$C$7:$C$2738,A994))</f>
        <v/>
      </c>
      <c r="E994" s="20"/>
      <c r="F994" s="18" t="n">
        <f aca="false">COUNTIFS(選手一覧!$C$7:$C$2738,A994,選手一覧!$I$7:$I$2738,"&lt;=100")</f>
        <v>0</v>
      </c>
      <c r="G994" s="18" t="n">
        <f aca="false">COUNTIFS(選手一覧!$C$7:$C$2738,A994,選手一覧!$K$7:$K$2738,"&lt;=100")</f>
        <v>0</v>
      </c>
      <c r="H994" s="17" t="n">
        <f aca="false">COUNTIF(選手一覧!$C$7:$C$2738,A994)</f>
        <v>1</v>
      </c>
    </row>
    <row r="995" customFormat="false" ht="15" hidden="false" customHeight="false" outlineLevel="0" collapsed="false">
      <c r="A995" s="12" t="s">
        <v>3852</v>
      </c>
      <c r="B995" s="22" t="n">
        <f aca="false">COUNTIFS(選手一覧!$C$7:$C$2738,A995,選手一覧!$E$7:$E$2738,"&lt;=100")</f>
        <v>0</v>
      </c>
      <c r="C995" s="18" t="n">
        <f aca="false">COUNTIFS(選手一覧!$C$7:$C$2738,A995,選手一覧!$E$7:$E$2738,"&gt;0")</f>
        <v>0</v>
      </c>
      <c r="D995" s="14" t="str">
        <f aca="false">IF(C995=0,"",_xlfn.MINIFS(選手一覧!$E$7:$E$2738,選手一覧!$C$7:$C$2738,A995))</f>
        <v/>
      </c>
      <c r="E995" s="20"/>
      <c r="F995" s="18" t="n">
        <f aca="false">COUNTIFS(選手一覧!$C$7:$C$2738,A995,選手一覧!$I$7:$I$2738,"&lt;=100")</f>
        <v>0</v>
      </c>
      <c r="G995" s="18" t="n">
        <f aca="false">COUNTIFS(選手一覧!$C$7:$C$2738,A995,選手一覧!$K$7:$K$2738,"&lt;=100")</f>
        <v>0</v>
      </c>
      <c r="H995" s="17" t="n">
        <f aca="false">COUNTIF(選手一覧!$C$7:$C$2738,A995)</f>
        <v>1</v>
      </c>
    </row>
    <row r="996" customFormat="false" ht="15" hidden="false" customHeight="false" outlineLevel="0" collapsed="false">
      <c r="A996" s="12" t="s">
        <v>3856</v>
      </c>
      <c r="B996" s="22" t="n">
        <f aca="false">COUNTIFS(選手一覧!$C$7:$C$2738,A996,選手一覧!$E$7:$E$2738,"&lt;=100")</f>
        <v>0</v>
      </c>
      <c r="C996" s="18" t="n">
        <f aca="false">COUNTIFS(選手一覧!$C$7:$C$2738,A996,選手一覧!$E$7:$E$2738,"&gt;0")</f>
        <v>0</v>
      </c>
      <c r="D996" s="14" t="str">
        <f aca="false">IF(C996=0,"",_xlfn.MINIFS(選手一覧!$E$7:$E$2738,選手一覧!$C$7:$C$2738,A996))</f>
        <v/>
      </c>
      <c r="E996" s="20"/>
      <c r="F996" s="18" t="n">
        <f aca="false">COUNTIFS(選手一覧!$C$7:$C$2738,A996,選手一覧!$I$7:$I$2738,"&lt;=100")</f>
        <v>0</v>
      </c>
      <c r="G996" s="18" t="n">
        <f aca="false">COUNTIFS(選手一覧!$C$7:$C$2738,A996,選手一覧!$K$7:$K$2738,"&lt;=100")</f>
        <v>0</v>
      </c>
      <c r="H996" s="17" t="n">
        <f aca="false">COUNTIF(選手一覧!$C$7:$C$2738,A996)</f>
        <v>1</v>
      </c>
    </row>
    <row r="997" customFormat="false" ht="15" hidden="false" customHeight="false" outlineLevel="0" collapsed="false">
      <c r="A997" s="12" t="s">
        <v>3864</v>
      </c>
      <c r="B997" s="22" t="n">
        <f aca="false">COUNTIFS(選手一覧!$C$7:$C$2738,A997,選手一覧!$E$7:$E$2738,"&lt;=100")</f>
        <v>0</v>
      </c>
      <c r="C997" s="18" t="n">
        <f aca="false">COUNTIFS(選手一覧!$C$7:$C$2738,A997,選手一覧!$E$7:$E$2738,"&gt;0")</f>
        <v>0</v>
      </c>
      <c r="D997" s="14" t="str">
        <f aca="false">IF(C997=0,"",_xlfn.MINIFS(選手一覧!$E$7:$E$2738,選手一覧!$C$7:$C$2738,A997))</f>
        <v/>
      </c>
      <c r="E997" s="20"/>
      <c r="F997" s="18" t="n">
        <f aca="false">COUNTIFS(選手一覧!$C$7:$C$2738,A997,選手一覧!$I$7:$I$2738,"&lt;=100")</f>
        <v>0</v>
      </c>
      <c r="G997" s="18" t="n">
        <f aca="false">COUNTIFS(選手一覧!$C$7:$C$2738,A997,選手一覧!$K$7:$K$2738,"&lt;=100")</f>
        <v>0</v>
      </c>
      <c r="H997" s="17" t="n">
        <f aca="false">COUNTIF(選手一覧!$C$7:$C$2738,A997)</f>
        <v>1</v>
      </c>
    </row>
    <row r="998" customFormat="false" ht="15" hidden="false" customHeight="false" outlineLevel="0" collapsed="false">
      <c r="A998" s="12" t="s">
        <v>3867</v>
      </c>
      <c r="B998" s="22" t="n">
        <f aca="false">COUNTIFS(選手一覧!$C$7:$C$2738,A998,選手一覧!$E$7:$E$2738,"&lt;=100")</f>
        <v>0</v>
      </c>
      <c r="C998" s="18" t="n">
        <f aca="false">COUNTIFS(選手一覧!$C$7:$C$2738,A998,選手一覧!$E$7:$E$2738,"&gt;0")</f>
        <v>0</v>
      </c>
      <c r="D998" s="14" t="str">
        <f aca="false">IF(C998=0,"",_xlfn.MINIFS(選手一覧!$E$7:$E$2738,選手一覧!$C$7:$C$2738,A998))</f>
        <v/>
      </c>
      <c r="E998" s="20"/>
      <c r="F998" s="18" t="n">
        <f aca="false">COUNTIFS(選手一覧!$C$7:$C$2738,A998,選手一覧!$I$7:$I$2738,"&lt;=100")</f>
        <v>0</v>
      </c>
      <c r="G998" s="18" t="n">
        <f aca="false">COUNTIFS(選手一覧!$C$7:$C$2738,A998,選手一覧!$K$7:$K$2738,"&lt;=100")</f>
        <v>0</v>
      </c>
      <c r="H998" s="17" t="n">
        <f aca="false">COUNTIF(選手一覧!$C$7:$C$2738,A998)</f>
        <v>1</v>
      </c>
    </row>
    <row r="999" customFormat="false" ht="15" hidden="false" customHeight="false" outlineLevel="0" collapsed="false">
      <c r="A999" s="12" t="s">
        <v>3869</v>
      </c>
      <c r="B999" s="22" t="n">
        <f aca="false">COUNTIFS(選手一覧!$C$7:$C$2738,A999,選手一覧!$E$7:$E$2738,"&lt;=100")</f>
        <v>0</v>
      </c>
      <c r="C999" s="18" t="n">
        <f aca="false">COUNTIFS(選手一覧!$C$7:$C$2738,A999,選手一覧!$E$7:$E$2738,"&gt;0")</f>
        <v>0</v>
      </c>
      <c r="D999" s="14" t="str">
        <f aca="false">IF(C999=0,"",_xlfn.MINIFS(選手一覧!$E$7:$E$2738,選手一覧!$C$7:$C$2738,A999))</f>
        <v/>
      </c>
      <c r="E999" s="20"/>
      <c r="F999" s="18" t="n">
        <f aca="false">COUNTIFS(選手一覧!$C$7:$C$2738,A999,選手一覧!$I$7:$I$2738,"&lt;=100")</f>
        <v>0</v>
      </c>
      <c r="G999" s="18" t="n">
        <f aca="false">COUNTIFS(選手一覧!$C$7:$C$2738,A999,選手一覧!$K$7:$K$2738,"&lt;=100")</f>
        <v>0</v>
      </c>
      <c r="H999" s="17" t="n">
        <f aca="false">COUNTIF(選手一覧!$C$7:$C$2738,A999)</f>
        <v>1</v>
      </c>
    </row>
    <row r="1000" customFormat="false" ht="15" hidden="false" customHeight="false" outlineLevel="0" collapsed="false">
      <c r="A1000" s="12" t="s">
        <v>3873</v>
      </c>
      <c r="B1000" s="22" t="n">
        <f aca="false">COUNTIFS(選手一覧!$C$7:$C$2738,A1000,選手一覧!$E$7:$E$2738,"&lt;=100")</f>
        <v>0</v>
      </c>
      <c r="C1000" s="18" t="n">
        <f aca="false">COUNTIFS(選手一覧!$C$7:$C$2738,A1000,選手一覧!$E$7:$E$2738,"&gt;0")</f>
        <v>0</v>
      </c>
      <c r="D1000" s="14" t="str">
        <f aca="false">IF(C1000=0,"",_xlfn.MINIFS(選手一覧!$E$7:$E$2738,選手一覧!$C$7:$C$2738,A1000))</f>
        <v/>
      </c>
      <c r="E1000" s="20"/>
      <c r="F1000" s="18" t="n">
        <f aca="false">COUNTIFS(選手一覧!$C$7:$C$2738,A1000,選手一覧!$I$7:$I$2738,"&lt;=100")</f>
        <v>0</v>
      </c>
      <c r="G1000" s="18" t="n">
        <f aca="false">COUNTIFS(選手一覧!$C$7:$C$2738,A1000,選手一覧!$K$7:$K$2738,"&lt;=100")</f>
        <v>0</v>
      </c>
      <c r="H1000" s="17" t="n">
        <f aca="false">COUNTIF(選手一覧!$C$7:$C$2738,A1000)</f>
        <v>1</v>
      </c>
    </row>
    <row r="1001" customFormat="false" ht="15" hidden="false" customHeight="false" outlineLevel="0" collapsed="false">
      <c r="A1001" s="12" t="s">
        <v>3876</v>
      </c>
      <c r="B1001" s="22" t="n">
        <f aca="false">COUNTIFS(選手一覧!$C$7:$C$2738,A1001,選手一覧!$E$7:$E$2738,"&lt;=100")</f>
        <v>0</v>
      </c>
      <c r="C1001" s="18" t="n">
        <f aca="false">COUNTIFS(選手一覧!$C$7:$C$2738,A1001,選手一覧!$E$7:$E$2738,"&gt;0")</f>
        <v>0</v>
      </c>
      <c r="D1001" s="14" t="str">
        <f aca="false">IF(C1001=0,"",_xlfn.MINIFS(選手一覧!$E$7:$E$2738,選手一覧!$C$7:$C$2738,A1001))</f>
        <v/>
      </c>
      <c r="E1001" s="20"/>
      <c r="F1001" s="18" t="n">
        <f aca="false">COUNTIFS(選手一覧!$C$7:$C$2738,A1001,選手一覧!$I$7:$I$2738,"&lt;=100")</f>
        <v>0</v>
      </c>
      <c r="G1001" s="18" t="n">
        <f aca="false">COUNTIFS(選手一覧!$C$7:$C$2738,A1001,選手一覧!$K$7:$K$2738,"&lt;=100")</f>
        <v>0</v>
      </c>
      <c r="H1001" s="17" t="n">
        <f aca="false">COUNTIF(選手一覧!$C$7:$C$2738,A1001)</f>
        <v>1</v>
      </c>
    </row>
    <row r="1002" customFormat="false" ht="15" hidden="false" customHeight="false" outlineLevel="0" collapsed="false">
      <c r="A1002" s="12" t="s">
        <v>3885</v>
      </c>
      <c r="B1002" s="22" t="n">
        <f aca="false">COUNTIFS(選手一覧!$C$7:$C$2738,A1002,選手一覧!$E$7:$E$2738,"&lt;=100")</f>
        <v>0</v>
      </c>
      <c r="C1002" s="18" t="n">
        <f aca="false">COUNTIFS(選手一覧!$C$7:$C$2738,A1002,選手一覧!$E$7:$E$2738,"&gt;0")</f>
        <v>0</v>
      </c>
      <c r="D1002" s="14" t="str">
        <f aca="false">IF(C1002=0,"",_xlfn.MINIFS(選手一覧!$E$7:$E$2738,選手一覧!$C$7:$C$2738,A1002))</f>
        <v/>
      </c>
      <c r="E1002" s="20"/>
      <c r="F1002" s="18" t="n">
        <f aca="false">COUNTIFS(選手一覧!$C$7:$C$2738,A1002,選手一覧!$I$7:$I$2738,"&lt;=100")</f>
        <v>0</v>
      </c>
      <c r="G1002" s="18" t="n">
        <f aca="false">COUNTIFS(選手一覧!$C$7:$C$2738,A1002,選手一覧!$K$7:$K$2738,"&lt;=100")</f>
        <v>0</v>
      </c>
      <c r="H1002" s="17" t="n">
        <f aca="false">COUNTIF(選手一覧!$C$7:$C$2738,A1002)</f>
        <v>1</v>
      </c>
    </row>
    <row r="1003" customFormat="false" ht="15" hidden="false" customHeight="false" outlineLevel="0" collapsed="false">
      <c r="A1003" s="12" t="s">
        <v>3887</v>
      </c>
      <c r="B1003" s="22" t="n">
        <f aca="false">COUNTIFS(選手一覧!$C$7:$C$2738,A1003,選手一覧!$E$7:$E$2738,"&lt;=100")</f>
        <v>0</v>
      </c>
      <c r="C1003" s="18" t="n">
        <f aca="false">COUNTIFS(選手一覧!$C$7:$C$2738,A1003,選手一覧!$E$7:$E$2738,"&gt;0")</f>
        <v>0</v>
      </c>
      <c r="D1003" s="14" t="str">
        <f aca="false">IF(C1003=0,"",_xlfn.MINIFS(選手一覧!$E$7:$E$2738,選手一覧!$C$7:$C$2738,A1003))</f>
        <v/>
      </c>
      <c r="E1003" s="20"/>
      <c r="F1003" s="18" t="n">
        <f aca="false">COUNTIFS(選手一覧!$C$7:$C$2738,A1003,選手一覧!$I$7:$I$2738,"&lt;=100")</f>
        <v>0</v>
      </c>
      <c r="G1003" s="18" t="n">
        <f aca="false">COUNTIFS(選手一覧!$C$7:$C$2738,A1003,選手一覧!$K$7:$K$2738,"&lt;=100")</f>
        <v>0</v>
      </c>
      <c r="H1003" s="17" t="n">
        <f aca="false">COUNTIF(選手一覧!$C$7:$C$2738,A1003)</f>
        <v>1</v>
      </c>
    </row>
    <row r="1004" customFormat="false" ht="15" hidden="false" customHeight="false" outlineLevel="0" collapsed="false">
      <c r="A1004" s="12" t="s">
        <v>3889</v>
      </c>
      <c r="B1004" s="22" t="n">
        <f aca="false">COUNTIFS(選手一覧!$C$7:$C$2738,A1004,選手一覧!$E$7:$E$2738,"&lt;=100")</f>
        <v>0</v>
      </c>
      <c r="C1004" s="18" t="n">
        <f aca="false">COUNTIFS(選手一覧!$C$7:$C$2738,A1004,選手一覧!$E$7:$E$2738,"&gt;0")</f>
        <v>0</v>
      </c>
      <c r="D1004" s="14" t="str">
        <f aca="false">IF(C1004=0,"",_xlfn.MINIFS(選手一覧!$E$7:$E$2738,選手一覧!$C$7:$C$2738,A1004))</f>
        <v/>
      </c>
      <c r="E1004" s="20"/>
      <c r="F1004" s="18" t="n">
        <f aca="false">COUNTIFS(選手一覧!$C$7:$C$2738,A1004,選手一覧!$I$7:$I$2738,"&lt;=100")</f>
        <v>0</v>
      </c>
      <c r="G1004" s="18" t="n">
        <f aca="false">COUNTIFS(選手一覧!$C$7:$C$2738,A1004,選手一覧!$K$7:$K$2738,"&lt;=100")</f>
        <v>0</v>
      </c>
      <c r="H1004" s="17" t="n">
        <f aca="false">COUNTIF(選手一覧!$C$7:$C$2738,A1004)</f>
        <v>1</v>
      </c>
    </row>
    <row r="1005" customFormat="false" ht="15" hidden="false" customHeight="false" outlineLevel="0" collapsed="false">
      <c r="A1005" s="12" t="s">
        <v>3892</v>
      </c>
      <c r="B1005" s="22" t="n">
        <f aca="false">COUNTIFS(選手一覧!$C$7:$C$2738,A1005,選手一覧!$E$7:$E$2738,"&lt;=100")</f>
        <v>0</v>
      </c>
      <c r="C1005" s="18" t="n">
        <f aca="false">COUNTIFS(選手一覧!$C$7:$C$2738,A1005,選手一覧!$E$7:$E$2738,"&gt;0")</f>
        <v>0</v>
      </c>
      <c r="D1005" s="14" t="str">
        <f aca="false">IF(C1005=0,"",_xlfn.MINIFS(選手一覧!$E$7:$E$2738,選手一覧!$C$7:$C$2738,A1005))</f>
        <v/>
      </c>
      <c r="E1005" s="20"/>
      <c r="F1005" s="18" t="n">
        <f aca="false">COUNTIFS(選手一覧!$C$7:$C$2738,A1005,選手一覧!$I$7:$I$2738,"&lt;=100")</f>
        <v>0</v>
      </c>
      <c r="G1005" s="18" t="n">
        <f aca="false">COUNTIFS(選手一覧!$C$7:$C$2738,A1005,選手一覧!$K$7:$K$2738,"&lt;=100")</f>
        <v>0</v>
      </c>
      <c r="H1005" s="17" t="n">
        <f aca="false">COUNTIF(選手一覧!$C$7:$C$2738,A1005)</f>
        <v>1</v>
      </c>
    </row>
    <row r="1006" customFormat="false" ht="15" hidden="false" customHeight="false" outlineLevel="0" collapsed="false">
      <c r="A1006" s="12" t="s">
        <v>3897</v>
      </c>
      <c r="B1006" s="22" t="n">
        <f aca="false">COUNTIFS(選手一覧!$C$7:$C$2738,A1006,選手一覧!$E$7:$E$2738,"&lt;=100")</f>
        <v>0</v>
      </c>
      <c r="C1006" s="18" t="n">
        <f aca="false">COUNTIFS(選手一覧!$C$7:$C$2738,A1006,選手一覧!$E$7:$E$2738,"&gt;0")</f>
        <v>0</v>
      </c>
      <c r="D1006" s="14" t="str">
        <f aca="false">IF(C1006=0,"",_xlfn.MINIFS(選手一覧!$E$7:$E$2738,選手一覧!$C$7:$C$2738,A1006))</f>
        <v/>
      </c>
      <c r="E1006" s="20"/>
      <c r="F1006" s="18" t="n">
        <f aca="false">COUNTIFS(選手一覧!$C$7:$C$2738,A1006,選手一覧!$I$7:$I$2738,"&lt;=100")</f>
        <v>0</v>
      </c>
      <c r="G1006" s="18" t="n">
        <f aca="false">COUNTIFS(選手一覧!$C$7:$C$2738,A1006,選手一覧!$K$7:$K$2738,"&lt;=100")</f>
        <v>0</v>
      </c>
      <c r="H1006" s="17" t="n">
        <f aca="false">COUNTIF(選手一覧!$C$7:$C$2738,A1006)</f>
        <v>1</v>
      </c>
    </row>
    <row r="1007" customFormat="false" ht="15" hidden="false" customHeight="false" outlineLevel="0" collapsed="false">
      <c r="A1007" s="12" t="s">
        <v>3900</v>
      </c>
      <c r="B1007" s="22" t="n">
        <f aca="false">COUNTIFS(選手一覧!$C$7:$C$2738,A1007,選手一覧!$E$7:$E$2738,"&lt;=100")</f>
        <v>0</v>
      </c>
      <c r="C1007" s="18" t="n">
        <f aca="false">COUNTIFS(選手一覧!$C$7:$C$2738,A1007,選手一覧!$E$7:$E$2738,"&gt;0")</f>
        <v>0</v>
      </c>
      <c r="D1007" s="14" t="str">
        <f aca="false">IF(C1007=0,"",_xlfn.MINIFS(選手一覧!$E$7:$E$2738,選手一覧!$C$7:$C$2738,A1007))</f>
        <v/>
      </c>
      <c r="E1007" s="20"/>
      <c r="F1007" s="18" t="n">
        <f aca="false">COUNTIFS(選手一覧!$C$7:$C$2738,A1007,選手一覧!$I$7:$I$2738,"&lt;=100")</f>
        <v>0</v>
      </c>
      <c r="G1007" s="18" t="n">
        <f aca="false">COUNTIFS(選手一覧!$C$7:$C$2738,A1007,選手一覧!$K$7:$K$2738,"&lt;=100")</f>
        <v>0</v>
      </c>
      <c r="H1007" s="17" t="n">
        <f aca="false">COUNTIF(選手一覧!$C$7:$C$2738,A1007)</f>
        <v>1</v>
      </c>
    </row>
    <row r="1008" customFormat="false" ht="15" hidden="false" customHeight="false" outlineLevel="0" collapsed="false">
      <c r="A1008" s="12" t="s">
        <v>3904</v>
      </c>
      <c r="B1008" s="22" t="n">
        <f aca="false">COUNTIFS(選手一覧!$C$7:$C$2738,A1008,選手一覧!$E$7:$E$2738,"&lt;=100")</f>
        <v>0</v>
      </c>
      <c r="C1008" s="18" t="n">
        <f aca="false">COUNTIFS(選手一覧!$C$7:$C$2738,A1008,選手一覧!$E$7:$E$2738,"&gt;0")</f>
        <v>0</v>
      </c>
      <c r="D1008" s="14" t="str">
        <f aca="false">IF(C1008=0,"",_xlfn.MINIFS(選手一覧!$E$7:$E$2738,選手一覧!$C$7:$C$2738,A1008))</f>
        <v/>
      </c>
      <c r="E1008" s="20"/>
      <c r="F1008" s="18" t="n">
        <f aca="false">COUNTIFS(選手一覧!$C$7:$C$2738,A1008,選手一覧!$I$7:$I$2738,"&lt;=100")</f>
        <v>0</v>
      </c>
      <c r="G1008" s="18" t="n">
        <f aca="false">COUNTIFS(選手一覧!$C$7:$C$2738,A1008,選手一覧!$K$7:$K$2738,"&lt;=100")</f>
        <v>0</v>
      </c>
      <c r="H1008" s="17" t="n">
        <f aca="false">COUNTIF(選手一覧!$C$7:$C$2738,A1008)</f>
        <v>1</v>
      </c>
    </row>
    <row r="1009" customFormat="false" ht="15" hidden="false" customHeight="false" outlineLevel="0" collapsed="false">
      <c r="A1009" s="12" t="s">
        <v>3908</v>
      </c>
      <c r="B1009" s="22" t="n">
        <f aca="false">COUNTIFS(選手一覧!$C$7:$C$2738,A1009,選手一覧!$E$7:$E$2738,"&lt;=100")</f>
        <v>0</v>
      </c>
      <c r="C1009" s="18" t="n">
        <f aca="false">COUNTIFS(選手一覧!$C$7:$C$2738,A1009,選手一覧!$E$7:$E$2738,"&gt;0")</f>
        <v>0</v>
      </c>
      <c r="D1009" s="14" t="str">
        <f aca="false">IF(C1009=0,"",_xlfn.MINIFS(選手一覧!$E$7:$E$2738,選手一覧!$C$7:$C$2738,A1009))</f>
        <v/>
      </c>
      <c r="E1009" s="20"/>
      <c r="F1009" s="18" t="n">
        <f aca="false">COUNTIFS(選手一覧!$C$7:$C$2738,A1009,選手一覧!$I$7:$I$2738,"&lt;=100")</f>
        <v>0</v>
      </c>
      <c r="G1009" s="18" t="n">
        <f aca="false">COUNTIFS(選手一覧!$C$7:$C$2738,A1009,選手一覧!$K$7:$K$2738,"&lt;=100")</f>
        <v>0</v>
      </c>
      <c r="H1009" s="17" t="n">
        <f aca="false">COUNTIF(選手一覧!$C$7:$C$2738,A1009)</f>
        <v>1</v>
      </c>
    </row>
    <row r="1010" customFormat="false" ht="15" hidden="false" customHeight="false" outlineLevel="0" collapsed="false">
      <c r="A1010" s="12" t="s">
        <v>3912</v>
      </c>
      <c r="B1010" s="22" t="n">
        <f aca="false">COUNTIFS(選手一覧!$C$7:$C$2738,A1010,選手一覧!$E$7:$E$2738,"&lt;=100")</f>
        <v>0</v>
      </c>
      <c r="C1010" s="18" t="n">
        <f aca="false">COUNTIFS(選手一覧!$C$7:$C$2738,A1010,選手一覧!$E$7:$E$2738,"&gt;0")</f>
        <v>0</v>
      </c>
      <c r="D1010" s="14" t="str">
        <f aca="false">IF(C1010=0,"",_xlfn.MINIFS(選手一覧!$E$7:$E$2738,選手一覧!$C$7:$C$2738,A1010))</f>
        <v/>
      </c>
      <c r="E1010" s="20"/>
      <c r="F1010" s="18" t="n">
        <f aca="false">COUNTIFS(選手一覧!$C$7:$C$2738,A1010,選手一覧!$I$7:$I$2738,"&lt;=100")</f>
        <v>0</v>
      </c>
      <c r="G1010" s="18" t="n">
        <f aca="false">COUNTIFS(選手一覧!$C$7:$C$2738,A1010,選手一覧!$K$7:$K$2738,"&lt;=100")</f>
        <v>0</v>
      </c>
      <c r="H1010" s="17" t="n">
        <f aca="false">COUNTIF(選手一覧!$C$7:$C$2738,A1010)</f>
        <v>1</v>
      </c>
    </row>
    <row r="1011" customFormat="false" ht="15" hidden="false" customHeight="false" outlineLevel="0" collapsed="false">
      <c r="A1011" s="12" t="s">
        <v>3918</v>
      </c>
      <c r="B1011" s="22" t="n">
        <f aca="false">COUNTIFS(選手一覧!$C$7:$C$2738,A1011,選手一覧!$E$7:$E$2738,"&lt;=100")</f>
        <v>0</v>
      </c>
      <c r="C1011" s="18" t="n">
        <f aca="false">COUNTIFS(選手一覧!$C$7:$C$2738,A1011,選手一覧!$E$7:$E$2738,"&gt;0")</f>
        <v>0</v>
      </c>
      <c r="D1011" s="14" t="str">
        <f aca="false">IF(C1011=0,"",_xlfn.MINIFS(選手一覧!$E$7:$E$2738,選手一覧!$C$7:$C$2738,A1011))</f>
        <v/>
      </c>
      <c r="E1011" s="20"/>
      <c r="F1011" s="18" t="n">
        <f aca="false">COUNTIFS(選手一覧!$C$7:$C$2738,A1011,選手一覧!$I$7:$I$2738,"&lt;=100")</f>
        <v>0</v>
      </c>
      <c r="G1011" s="18" t="n">
        <f aca="false">COUNTIFS(選手一覧!$C$7:$C$2738,A1011,選手一覧!$K$7:$K$2738,"&lt;=100")</f>
        <v>0</v>
      </c>
      <c r="H1011" s="17" t="n">
        <f aca="false">COUNTIF(選手一覧!$C$7:$C$2738,A1011)</f>
        <v>1</v>
      </c>
    </row>
    <row r="1012" customFormat="false" ht="15" hidden="false" customHeight="false" outlineLevel="0" collapsed="false">
      <c r="A1012" s="12" t="s">
        <v>3921</v>
      </c>
      <c r="B1012" s="22" t="n">
        <f aca="false">COUNTIFS(選手一覧!$C$7:$C$2738,A1012,選手一覧!$E$7:$E$2738,"&lt;=100")</f>
        <v>0</v>
      </c>
      <c r="C1012" s="18" t="n">
        <f aca="false">COUNTIFS(選手一覧!$C$7:$C$2738,A1012,選手一覧!$E$7:$E$2738,"&gt;0")</f>
        <v>0</v>
      </c>
      <c r="D1012" s="14" t="str">
        <f aca="false">IF(C1012=0,"",_xlfn.MINIFS(選手一覧!$E$7:$E$2738,選手一覧!$C$7:$C$2738,A1012))</f>
        <v/>
      </c>
      <c r="E1012" s="20"/>
      <c r="F1012" s="18" t="n">
        <f aca="false">COUNTIFS(選手一覧!$C$7:$C$2738,A1012,選手一覧!$I$7:$I$2738,"&lt;=100")</f>
        <v>0</v>
      </c>
      <c r="G1012" s="18" t="n">
        <f aca="false">COUNTIFS(選手一覧!$C$7:$C$2738,A1012,選手一覧!$K$7:$K$2738,"&lt;=100")</f>
        <v>0</v>
      </c>
      <c r="H1012" s="17" t="n">
        <f aca="false">COUNTIF(選手一覧!$C$7:$C$2738,A1012)</f>
        <v>1</v>
      </c>
    </row>
    <row r="1013" customFormat="false" ht="15" hidden="false" customHeight="false" outlineLevel="0" collapsed="false">
      <c r="A1013" s="12" t="s">
        <v>3923</v>
      </c>
      <c r="B1013" s="22" t="n">
        <f aca="false">COUNTIFS(選手一覧!$C$7:$C$2738,A1013,選手一覧!$E$7:$E$2738,"&lt;=100")</f>
        <v>0</v>
      </c>
      <c r="C1013" s="18" t="n">
        <f aca="false">COUNTIFS(選手一覧!$C$7:$C$2738,A1013,選手一覧!$E$7:$E$2738,"&gt;0")</f>
        <v>0</v>
      </c>
      <c r="D1013" s="14" t="str">
        <f aca="false">IF(C1013=0,"",_xlfn.MINIFS(選手一覧!$E$7:$E$2738,選手一覧!$C$7:$C$2738,A1013))</f>
        <v/>
      </c>
      <c r="E1013" s="20"/>
      <c r="F1013" s="18" t="n">
        <f aca="false">COUNTIFS(選手一覧!$C$7:$C$2738,A1013,選手一覧!$I$7:$I$2738,"&lt;=100")</f>
        <v>0</v>
      </c>
      <c r="G1013" s="18" t="n">
        <f aca="false">COUNTIFS(選手一覧!$C$7:$C$2738,A1013,選手一覧!$K$7:$K$2738,"&lt;=100")</f>
        <v>0</v>
      </c>
      <c r="H1013" s="17" t="n">
        <f aca="false">COUNTIF(選手一覧!$C$7:$C$2738,A1013)</f>
        <v>1</v>
      </c>
    </row>
    <row r="1014" customFormat="false" ht="15" hidden="false" customHeight="false" outlineLevel="0" collapsed="false">
      <c r="A1014" s="12" t="s">
        <v>3926</v>
      </c>
      <c r="B1014" s="22" t="n">
        <f aca="false">COUNTIFS(選手一覧!$C$7:$C$2738,A1014,選手一覧!$E$7:$E$2738,"&lt;=100")</f>
        <v>0</v>
      </c>
      <c r="C1014" s="18" t="n">
        <f aca="false">COUNTIFS(選手一覧!$C$7:$C$2738,A1014,選手一覧!$E$7:$E$2738,"&gt;0")</f>
        <v>0</v>
      </c>
      <c r="D1014" s="14" t="str">
        <f aca="false">IF(C1014=0,"",_xlfn.MINIFS(選手一覧!$E$7:$E$2738,選手一覧!$C$7:$C$2738,A1014))</f>
        <v/>
      </c>
      <c r="E1014" s="20"/>
      <c r="F1014" s="18" t="n">
        <f aca="false">COUNTIFS(選手一覧!$C$7:$C$2738,A1014,選手一覧!$I$7:$I$2738,"&lt;=100")</f>
        <v>0</v>
      </c>
      <c r="G1014" s="18" t="n">
        <f aca="false">COUNTIFS(選手一覧!$C$7:$C$2738,A1014,選手一覧!$K$7:$K$2738,"&lt;=100")</f>
        <v>0</v>
      </c>
      <c r="H1014" s="17" t="n">
        <f aca="false">COUNTIF(選手一覧!$C$7:$C$2738,A1014)</f>
        <v>1</v>
      </c>
    </row>
    <row r="1015" customFormat="false" ht="15" hidden="false" customHeight="false" outlineLevel="0" collapsed="false">
      <c r="A1015" s="12" t="s">
        <v>3929</v>
      </c>
      <c r="B1015" s="22" t="n">
        <f aca="false">COUNTIFS(選手一覧!$C$7:$C$2738,A1015,選手一覧!$E$7:$E$2738,"&lt;=100")</f>
        <v>0</v>
      </c>
      <c r="C1015" s="18" t="n">
        <f aca="false">COUNTIFS(選手一覧!$C$7:$C$2738,A1015,選手一覧!$E$7:$E$2738,"&gt;0")</f>
        <v>0</v>
      </c>
      <c r="D1015" s="14" t="str">
        <f aca="false">IF(C1015=0,"",_xlfn.MINIFS(選手一覧!$E$7:$E$2738,選手一覧!$C$7:$C$2738,A1015))</f>
        <v/>
      </c>
      <c r="E1015" s="20"/>
      <c r="F1015" s="18" t="n">
        <f aca="false">COUNTIFS(選手一覧!$C$7:$C$2738,A1015,選手一覧!$I$7:$I$2738,"&lt;=100")</f>
        <v>0</v>
      </c>
      <c r="G1015" s="18" t="n">
        <f aca="false">COUNTIFS(選手一覧!$C$7:$C$2738,A1015,選手一覧!$K$7:$K$2738,"&lt;=100")</f>
        <v>0</v>
      </c>
      <c r="H1015" s="17" t="n">
        <f aca="false">COUNTIF(選手一覧!$C$7:$C$2738,A1015)</f>
        <v>1</v>
      </c>
    </row>
    <row r="1016" customFormat="false" ht="15" hidden="false" customHeight="false" outlineLevel="0" collapsed="false">
      <c r="A1016" s="12" t="s">
        <v>3935</v>
      </c>
      <c r="B1016" s="22" t="n">
        <f aca="false">COUNTIFS(選手一覧!$C$7:$C$2738,A1016,選手一覧!$E$7:$E$2738,"&lt;=100")</f>
        <v>0</v>
      </c>
      <c r="C1016" s="18" t="n">
        <f aca="false">COUNTIFS(選手一覧!$C$7:$C$2738,A1016,選手一覧!$E$7:$E$2738,"&gt;0")</f>
        <v>0</v>
      </c>
      <c r="D1016" s="14" t="str">
        <f aca="false">IF(C1016=0,"",_xlfn.MINIFS(選手一覧!$E$7:$E$2738,選手一覧!$C$7:$C$2738,A1016))</f>
        <v/>
      </c>
      <c r="E1016" s="20"/>
      <c r="F1016" s="18" t="n">
        <f aca="false">COUNTIFS(選手一覧!$C$7:$C$2738,A1016,選手一覧!$I$7:$I$2738,"&lt;=100")</f>
        <v>0</v>
      </c>
      <c r="G1016" s="18" t="n">
        <f aca="false">COUNTIFS(選手一覧!$C$7:$C$2738,A1016,選手一覧!$K$7:$K$2738,"&lt;=100")</f>
        <v>0</v>
      </c>
      <c r="H1016" s="17" t="n">
        <f aca="false">COUNTIF(選手一覧!$C$7:$C$2738,A1016)</f>
        <v>1</v>
      </c>
    </row>
    <row r="1017" customFormat="false" ht="15" hidden="false" customHeight="false" outlineLevel="0" collapsed="false">
      <c r="A1017" s="12" t="s">
        <v>3942</v>
      </c>
      <c r="B1017" s="22" t="n">
        <f aca="false">COUNTIFS(選手一覧!$C$7:$C$2738,A1017,選手一覧!$E$7:$E$2738,"&lt;=100")</f>
        <v>0</v>
      </c>
      <c r="C1017" s="18" t="n">
        <f aca="false">COUNTIFS(選手一覧!$C$7:$C$2738,A1017,選手一覧!$E$7:$E$2738,"&gt;0")</f>
        <v>0</v>
      </c>
      <c r="D1017" s="14" t="str">
        <f aca="false">IF(C1017=0,"",_xlfn.MINIFS(選手一覧!$E$7:$E$2738,選手一覧!$C$7:$C$2738,A1017))</f>
        <v/>
      </c>
      <c r="E1017" s="20"/>
      <c r="F1017" s="18" t="n">
        <f aca="false">COUNTIFS(選手一覧!$C$7:$C$2738,A1017,選手一覧!$I$7:$I$2738,"&lt;=100")</f>
        <v>0</v>
      </c>
      <c r="G1017" s="18" t="n">
        <f aca="false">COUNTIFS(選手一覧!$C$7:$C$2738,A1017,選手一覧!$K$7:$K$2738,"&lt;=100")</f>
        <v>0</v>
      </c>
      <c r="H1017" s="17" t="n">
        <f aca="false">COUNTIF(選手一覧!$C$7:$C$2738,A1017)</f>
        <v>1</v>
      </c>
    </row>
    <row r="1018" customFormat="false" ht="15" hidden="false" customHeight="false" outlineLevel="0" collapsed="false">
      <c r="A1018" s="12" t="s">
        <v>3944</v>
      </c>
      <c r="B1018" s="22" t="n">
        <f aca="false">COUNTIFS(選手一覧!$C$7:$C$2738,A1018,選手一覧!$E$7:$E$2738,"&lt;=100")</f>
        <v>0</v>
      </c>
      <c r="C1018" s="18" t="n">
        <f aca="false">COUNTIFS(選手一覧!$C$7:$C$2738,A1018,選手一覧!$E$7:$E$2738,"&gt;0")</f>
        <v>0</v>
      </c>
      <c r="D1018" s="14" t="str">
        <f aca="false">IF(C1018=0,"",_xlfn.MINIFS(選手一覧!$E$7:$E$2738,選手一覧!$C$7:$C$2738,A1018))</f>
        <v/>
      </c>
      <c r="E1018" s="20"/>
      <c r="F1018" s="18" t="n">
        <f aca="false">COUNTIFS(選手一覧!$C$7:$C$2738,A1018,選手一覧!$I$7:$I$2738,"&lt;=100")</f>
        <v>0</v>
      </c>
      <c r="G1018" s="18" t="n">
        <f aca="false">COUNTIFS(選手一覧!$C$7:$C$2738,A1018,選手一覧!$K$7:$K$2738,"&lt;=100")</f>
        <v>0</v>
      </c>
      <c r="H1018" s="17" t="n">
        <f aca="false">COUNTIF(選手一覧!$C$7:$C$2738,A1018)</f>
        <v>1</v>
      </c>
    </row>
    <row r="1019" customFormat="false" ht="15" hidden="false" customHeight="false" outlineLevel="0" collapsed="false">
      <c r="A1019" s="12" t="s">
        <v>3949</v>
      </c>
      <c r="B1019" s="22" t="n">
        <f aca="false">COUNTIFS(選手一覧!$C$7:$C$2738,A1019,選手一覧!$E$7:$E$2738,"&lt;=100")</f>
        <v>0</v>
      </c>
      <c r="C1019" s="18" t="n">
        <f aca="false">COUNTIFS(選手一覧!$C$7:$C$2738,A1019,選手一覧!$E$7:$E$2738,"&gt;0")</f>
        <v>0</v>
      </c>
      <c r="D1019" s="14" t="str">
        <f aca="false">IF(C1019=0,"",_xlfn.MINIFS(選手一覧!$E$7:$E$2738,選手一覧!$C$7:$C$2738,A1019))</f>
        <v/>
      </c>
      <c r="E1019" s="20"/>
      <c r="F1019" s="18" t="n">
        <f aca="false">COUNTIFS(選手一覧!$C$7:$C$2738,A1019,選手一覧!$I$7:$I$2738,"&lt;=100")</f>
        <v>0</v>
      </c>
      <c r="G1019" s="18" t="n">
        <f aca="false">COUNTIFS(選手一覧!$C$7:$C$2738,A1019,選手一覧!$K$7:$K$2738,"&lt;=100")</f>
        <v>0</v>
      </c>
      <c r="H1019" s="17" t="n">
        <f aca="false">COUNTIF(選手一覧!$C$7:$C$2738,A1019)</f>
        <v>1</v>
      </c>
    </row>
    <row r="1020" customFormat="false" ht="15" hidden="false" customHeight="false" outlineLevel="0" collapsed="false">
      <c r="A1020" s="12" t="s">
        <v>3951</v>
      </c>
      <c r="B1020" s="22" t="n">
        <f aca="false">COUNTIFS(選手一覧!$C$7:$C$2738,A1020,選手一覧!$E$7:$E$2738,"&lt;=100")</f>
        <v>0</v>
      </c>
      <c r="C1020" s="18" t="n">
        <f aca="false">COUNTIFS(選手一覧!$C$7:$C$2738,A1020,選手一覧!$E$7:$E$2738,"&gt;0")</f>
        <v>0</v>
      </c>
      <c r="D1020" s="14" t="str">
        <f aca="false">IF(C1020=0,"",_xlfn.MINIFS(選手一覧!$E$7:$E$2738,選手一覧!$C$7:$C$2738,A1020))</f>
        <v/>
      </c>
      <c r="E1020" s="20"/>
      <c r="F1020" s="18" t="n">
        <f aca="false">COUNTIFS(選手一覧!$C$7:$C$2738,A1020,選手一覧!$I$7:$I$2738,"&lt;=100")</f>
        <v>0</v>
      </c>
      <c r="G1020" s="18" t="n">
        <f aca="false">COUNTIFS(選手一覧!$C$7:$C$2738,A1020,選手一覧!$K$7:$K$2738,"&lt;=100")</f>
        <v>0</v>
      </c>
      <c r="H1020" s="17" t="n">
        <f aca="false">COUNTIF(選手一覧!$C$7:$C$2738,A1020)</f>
        <v>1</v>
      </c>
    </row>
    <row r="1021" customFormat="false" ht="15" hidden="false" customHeight="false" outlineLevel="0" collapsed="false">
      <c r="A1021" s="12" t="s">
        <v>3955</v>
      </c>
      <c r="B1021" s="22" t="n">
        <f aca="false">COUNTIFS(選手一覧!$C$7:$C$2738,A1021,選手一覧!$E$7:$E$2738,"&lt;=100")</f>
        <v>0</v>
      </c>
      <c r="C1021" s="18" t="n">
        <f aca="false">COUNTIFS(選手一覧!$C$7:$C$2738,A1021,選手一覧!$E$7:$E$2738,"&gt;0")</f>
        <v>0</v>
      </c>
      <c r="D1021" s="14" t="str">
        <f aca="false">IF(C1021=0,"",_xlfn.MINIFS(選手一覧!$E$7:$E$2738,選手一覧!$C$7:$C$2738,A1021))</f>
        <v/>
      </c>
      <c r="E1021" s="20"/>
      <c r="F1021" s="18" t="n">
        <f aca="false">COUNTIFS(選手一覧!$C$7:$C$2738,A1021,選手一覧!$I$7:$I$2738,"&lt;=100")</f>
        <v>0</v>
      </c>
      <c r="G1021" s="18" t="n">
        <f aca="false">COUNTIFS(選手一覧!$C$7:$C$2738,A1021,選手一覧!$K$7:$K$2738,"&lt;=100")</f>
        <v>0</v>
      </c>
      <c r="H1021" s="17" t="n">
        <f aca="false">COUNTIF(選手一覧!$C$7:$C$2738,A1021)</f>
        <v>1</v>
      </c>
    </row>
    <row r="1022" customFormat="false" ht="15" hidden="false" customHeight="false" outlineLevel="0" collapsed="false">
      <c r="A1022" s="12" t="s">
        <v>3961</v>
      </c>
      <c r="B1022" s="22" t="n">
        <f aca="false">COUNTIFS(選手一覧!$C$7:$C$2738,A1022,選手一覧!$E$7:$E$2738,"&lt;=100")</f>
        <v>0</v>
      </c>
      <c r="C1022" s="18" t="n">
        <f aca="false">COUNTIFS(選手一覧!$C$7:$C$2738,A1022,選手一覧!$E$7:$E$2738,"&gt;0")</f>
        <v>0</v>
      </c>
      <c r="D1022" s="14" t="str">
        <f aca="false">IF(C1022=0,"",_xlfn.MINIFS(選手一覧!$E$7:$E$2738,選手一覧!$C$7:$C$2738,A1022))</f>
        <v/>
      </c>
      <c r="E1022" s="20"/>
      <c r="F1022" s="18" t="n">
        <f aca="false">COUNTIFS(選手一覧!$C$7:$C$2738,A1022,選手一覧!$I$7:$I$2738,"&lt;=100")</f>
        <v>0</v>
      </c>
      <c r="G1022" s="18" t="n">
        <f aca="false">COUNTIFS(選手一覧!$C$7:$C$2738,A1022,選手一覧!$K$7:$K$2738,"&lt;=100")</f>
        <v>0</v>
      </c>
      <c r="H1022" s="17" t="n">
        <f aca="false">COUNTIF(選手一覧!$C$7:$C$2738,A1022)</f>
        <v>1</v>
      </c>
    </row>
    <row r="1023" customFormat="false" ht="15" hidden="false" customHeight="false" outlineLevel="0" collapsed="false">
      <c r="A1023" s="12" t="s">
        <v>3965</v>
      </c>
      <c r="B1023" s="22" t="n">
        <f aca="false">COUNTIFS(選手一覧!$C$7:$C$2738,A1023,選手一覧!$E$7:$E$2738,"&lt;=100")</f>
        <v>0</v>
      </c>
      <c r="C1023" s="18" t="n">
        <f aca="false">COUNTIFS(選手一覧!$C$7:$C$2738,A1023,選手一覧!$E$7:$E$2738,"&gt;0")</f>
        <v>0</v>
      </c>
      <c r="D1023" s="14" t="str">
        <f aca="false">IF(C1023=0,"",_xlfn.MINIFS(選手一覧!$E$7:$E$2738,選手一覧!$C$7:$C$2738,A1023))</f>
        <v/>
      </c>
      <c r="E1023" s="20"/>
      <c r="F1023" s="18" t="n">
        <f aca="false">COUNTIFS(選手一覧!$C$7:$C$2738,A1023,選手一覧!$I$7:$I$2738,"&lt;=100")</f>
        <v>0</v>
      </c>
      <c r="G1023" s="18" t="n">
        <f aca="false">COUNTIFS(選手一覧!$C$7:$C$2738,A1023,選手一覧!$K$7:$K$2738,"&lt;=100")</f>
        <v>0</v>
      </c>
      <c r="H1023" s="17" t="n">
        <f aca="false">COUNTIF(選手一覧!$C$7:$C$2738,A1023)</f>
        <v>1</v>
      </c>
    </row>
    <row r="1024" customFormat="false" ht="15" hidden="false" customHeight="false" outlineLevel="0" collapsed="false">
      <c r="A1024" s="12" t="s">
        <v>3967</v>
      </c>
      <c r="B1024" s="22" t="n">
        <f aca="false">COUNTIFS(選手一覧!$C$7:$C$2738,A1024,選手一覧!$E$7:$E$2738,"&lt;=100")</f>
        <v>0</v>
      </c>
      <c r="C1024" s="18" t="n">
        <f aca="false">COUNTIFS(選手一覧!$C$7:$C$2738,A1024,選手一覧!$E$7:$E$2738,"&gt;0")</f>
        <v>0</v>
      </c>
      <c r="D1024" s="14" t="str">
        <f aca="false">IF(C1024=0,"",_xlfn.MINIFS(選手一覧!$E$7:$E$2738,選手一覧!$C$7:$C$2738,A1024))</f>
        <v/>
      </c>
      <c r="E1024" s="20"/>
      <c r="F1024" s="18" t="n">
        <f aca="false">COUNTIFS(選手一覧!$C$7:$C$2738,A1024,選手一覧!$I$7:$I$2738,"&lt;=100")</f>
        <v>0</v>
      </c>
      <c r="G1024" s="18" t="n">
        <f aca="false">COUNTIFS(選手一覧!$C$7:$C$2738,A1024,選手一覧!$K$7:$K$2738,"&lt;=100")</f>
        <v>0</v>
      </c>
      <c r="H1024" s="17" t="n">
        <f aca="false">COUNTIF(選手一覧!$C$7:$C$2738,A1024)</f>
        <v>1</v>
      </c>
    </row>
    <row r="1025" customFormat="false" ht="15" hidden="false" customHeight="false" outlineLevel="0" collapsed="false">
      <c r="A1025" s="12" t="s">
        <v>3972</v>
      </c>
      <c r="B1025" s="22" t="n">
        <f aca="false">COUNTIFS(選手一覧!$C$7:$C$2738,A1025,選手一覧!$E$7:$E$2738,"&lt;=100")</f>
        <v>0</v>
      </c>
      <c r="C1025" s="18" t="n">
        <f aca="false">COUNTIFS(選手一覧!$C$7:$C$2738,A1025,選手一覧!$E$7:$E$2738,"&gt;0")</f>
        <v>0</v>
      </c>
      <c r="D1025" s="14" t="str">
        <f aca="false">IF(C1025=0,"",_xlfn.MINIFS(選手一覧!$E$7:$E$2738,選手一覧!$C$7:$C$2738,A1025))</f>
        <v/>
      </c>
      <c r="E1025" s="20"/>
      <c r="F1025" s="18" t="n">
        <f aca="false">COUNTIFS(選手一覧!$C$7:$C$2738,A1025,選手一覧!$I$7:$I$2738,"&lt;=100")</f>
        <v>0</v>
      </c>
      <c r="G1025" s="18" t="n">
        <f aca="false">COUNTIFS(選手一覧!$C$7:$C$2738,A1025,選手一覧!$K$7:$K$2738,"&lt;=100")</f>
        <v>0</v>
      </c>
      <c r="H1025" s="17" t="n">
        <f aca="false">COUNTIF(選手一覧!$C$7:$C$2738,A1025)</f>
        <v>1</v>
      </c>
    </row>
    <row r="1026" customFormat="false" ht="15" hidden="false" customHeight="false" outlineLevel="0" collapsed="false">
      <c r="A1026" s="12" t="s">
        <v>3975</v>
      </c>
      <c r="B1026" s="22" t="n">
        <f aca="false">COUNTIFS(選手一覧!$C$7:$C$2738,A1026,選手一覧!$E$7:$E$2738,"&lt;=100")</f>
        <v>0</v>
      </c>
      <c r="C1026" s="18" t="n">
        <f aca="false">COUNTIFS(選手一覧!$C$7:$C$2738,A1026,選手一覧!$E$7:$E$2738,"&gt;0")</f>
        <v>0</v>
      </c>
      <c r="D1026" s="14" t="str">
        <f aca="false">IF(C1026=0,"",_xlfn.MINIFS(選手一覧!$E$7:$E$2738,選手一覧!$C$7:$C$2738,A1026))</f>
        <v/>
      </c>
      <c r="E1026" s="20"/>
      <c r="F1026" s="18" t="n">
        <f aca="false">COUNTIFS(選手一覧!$C$7:$C$2738,A1026,選手一覧!$I$7:$I$2738,"&lt;=100")</f>
        <v>0</v>
      </c>
      <c r="G1026" s="18" t="n">
        <f aca="false">COUNTIFS(選手一覧!$C$7:$C$2738,A1026,選手一覧!$K$7:$K$2738,"&lt;=100")</f>
        <v>0</v>
      </c>
      <c r="H1026" s="17" t="n">
        <f aca="false">COUNTIF(選手一覧!$C$7:$C$2738,A1026)</f>
        <v>1</v>
      </c>
    </row>
    <row r="1027" customFormat="false" ht="15" hidden="false" customHeight="false" outlineLevel="0" collapsed="false">
      <c r="A1027" s="12" t="s">
        <v>3978</v>
      </c>
      <c r="B1027" s="22" t="n">
        <f aca="false">COUNTIFS(選手一覧!$C$7:$C$2738,A1027,選手一覧!$E$7:$E$2738,"&lt;=100")</f>
        <v>0</v>
      </c>
      <c r="C1027" s="18" t="n">
        <f aca="false">COUNTIFS(選手一覧!$C$7:$C$2738,A1027,選手一覧!$E$7:$E$2738,"&gt;0")</f>
        <v>0</v>
      </c>
      <c r="D1027" s="14" t="str">
        <f aca="false">IF(C1027=0,"",_xlfn.MINIFS(選手一覧!$E$7:$E$2738,選手一覧!$C$7:$C$2738,A1027))</f>
        <v/>
      </c>
      <c r="E1027" s="20"/>
      <c r="F1027" s="18" t="n">
        <f aca="false">COUNTIFS(選手一覧!$C$7:$C$2738,A1027,選手一覧!$I$7:$I$2738,"&lt;=100")</f>
        <v>0</v>
      </c>
      <c r="G1027" s="18" t="n">
        <f aca="false">COUNTIFS(選手一覧!$C$7:$C$2738,A1027,選手一覧!$K$7:$K$2738,"&lt;=100")</f>
        <v>0</v>
      </c>
      <c r="H1027" s="17" t="n">
        <f aca="false">COUNTIF(選手一覧!$C$7:$C$2738,A1027)</f>
        <v>1</v>
      </c>
    </row>
    <row r="1028" customFormat="false" ht="15" hidden="false" customHeight="false" outlineLevel="0" collapsed="false">
      <c r="A1028" s="12" t="s">
        <v>3987</v>
      </c>
      <c r="B1028" s="22" t="n">
        <f aca="false">COUNTIFS(選手一覧!$C$7:$C$2738,A1028,選手一覧!$E$7:$E$2738,"&lt;=100")</f>
        <v>0</v>
      </c>
      <c r="C1028" s="18" t="n">
        <f aca="false">COUNTIFS(選手一覧!$C$7:$C$2738,A1028,選手一覧!$E$7:$E$2738,"&gt;0")</f>
        <v>0</v>
      </c>
      <c r="D1028" s="14" t="str">
        <f aca="false">IF(C1028=0,"",_xlfn.MINIFS(選手一覧!$E$7:$E$2738,選手一覧!$C$7:$C$2738,A1028))</f>
        <v/>
      </c>
      <c r="E1028" s="20"/>
      <c r="F1028" s="18" t="n">
        <f aca="false">COUNTIFS(選手一覧!$C$7:$C$2738,A1028,選手一覧!$I$7:$I$2738,"&lt;=100")</f>
        <v>0</v>
      </c>
      <c r="G1028" s="18" t="n">
        <f aca="false">COUNTIFS(選手一覧!$C$7:$C$2738,A1028,選手一覧!$K$7:$K$2738,"&lt;=100")</f>
        <v>0</v>
      </c>
      <c r="H1028" s="17" t="n">
        <f aca="false">COUNTIF(選手一覧!$C$7:$C$2738,A1028)</f>
        <v>1</v>
      </c>
    </row>
    <row r="1029" customFormat="false" ht="15" hidden="false" customHeight="false" outlineLevel="0" collapsed="false">
      <c r="A1029" s="12" t="s">
        <v>3992</v>
      </c>
      <c r="B1029" s="22" t="n">
        <f aca="false">COUNTIFS(選手一覧!$C$7:$C$2738,A1029,選手一覧!$E$7:$E$2738,"&lt;=100")</f>
        <v>0</v>
      </c>
      <c r="C1029" s="18" t="n">
        <f aca="false">COUNTIFS(選手一覧!$C$7:$C$2738,A1029,選手一覧!$E$7:$E$2738,"&gt;0")</f>
        <v>0</v>
      </c>
      <c r="D1029" s="14" t="str">
        <f aca="false">IF(C1029=0,"",_xlfn.MINIFS(選手一覧!$E$7:$E$2738,選手一覧!$C$7:$C$2738,A1029))</f>
        <v/>
      </c>
      <c r="E1029" s="20"/>
      <c r="F1029" s="18" t="n">
        <f aca="false">COUNTIFS(選手一覧!$C$7:$C$2738,A1029,選手一覧!$I$7:$I$2738,"&lt;=100")</f>
        <v>0</v>
      </c>
      <c r="G1029" s="18" t="n">
        <f aca="false">COUNTIFS(選手一覧!$C$7:$C$2738,A1029,選手一覧!$K$7:$K$2738,"&lt;=100")</f>
        <v>0</v>
      </c>
      <c r="H1029" s="17" t="n">
        <f aca="false">COUNTIF(選手一覧!$C$7:$C$2738,A1029)</f>
        <v>1</v>
      </c>
    </row>
    <row r="1030" customFormat="false" ht="15" hidden="false" customHeight="false" outlineLevel="0" collapsed="false">
      <c r="A1030" s="12" t="s">
        <v>3997</v>
      </c>
      <c r="B1030" s="22" t="n">
        <f aca="false">COUNTIFS(選手一覧!$C$7:$C$2738,A1030,選手一覧!$E$7:$E$2738,"&lt;=100")</f>
        <v>0</v>
      </c>
      <c r="C1030" s="18" t="n">
        <f aca="false">COUNTIFS(選手一覧!$C$7:$C$2738,A1030,選手一覧!$E$7:$E$2738,"&gt;0")</f>
        <v>0</v>
      </c>
      <c r="D1030" s="14" t="str">
        <f aca="false">IF(C1030=0,"",_xlfn.MINIFS(選手一覧!$E$7:$E$2738,選手一覧!$C$7:$C$2738,A1030))</f>
        <v/>
      </c>
      <c r="E1030" s="20"/>
      <c r="F1030" s="18" t="n">
        <f aca="false">COUNTIFS(選手一覧!$C$7:$C$2738,A1030,選手一覧!$I$7:$I$2738,"&lt;=100")</f>
        <v>0</v>
      </c>
      <c r="G1030" s="18" t="n">
        <f aca="false">COUNTIFS(選手一覧!$C$7:$C$2738,A1030,選手一覧!$K$7:$K$2738,"&lt;=100")</f>
        <v>0</v>
      </c>
      <c r="H1030" s="17" t="n">
        <f aca="false">COUNTIF(選手一覧!$C$7:$C$2738,A1030)</f>
        <v>1</v>
      </c>
    </row>
    <row r="1031" customFormat="false" ht="15" hidden="false" customHeight="false" outlineLevel="0" collapsed="false">
      <c r="A1031" s="12" t="s">
        <v>4000</v>
      </c>
      <c r="B1031" s="22" t="n">
        <f aca="false">COUNTIFS(選手一覧!$C$7:$C$2738,A1031,選手一覧!$E$7:$E$2738,"&lt;=100")</f>
        <v>0</v>
      </c>
      <c r="C1031" s="18" t="n">
        <f aca="false">COUNTIFS(選手一覧!$C$7:$C$2738,A1031,選手一覧!$E$7:$E$2738,"&gt;0")</f>
        <v>0</v>
      </c>
      <c r="D1031" s="14" t="str">
        <f aca="false">IF(C1031=0,"",_xlfn.MINIFS(選手一覧!$E$7:$E$2738,選手一覧!$C$7:$C$2738,A1031))</f>
        <v/>
      </c>
      <c r="E1031" s="20"/>
      <c r="F1031" s="18" t="n">
        <f aca="false">COUNTIFS(選手一覧!$C$7:$C$2738,A1031,選手一覧!$I$7:$I$2738,"&lt;=100")</f>
        <v>0</v>
      </c>
      <c r="G1031" s="18" t="n">
        <f aca="false">COUNTIFS(選手一覧!$C$7:$C$2738,A1031,選手一覧!$K$7:$K$2738,"&lt;=100")</f>
        <v>0</v>
      </c>
      <c r="H1031" s="17" t="n">
        <f aca="false">COUNTIF(選手一覧!$C$7:$C$2738,A1031)</f>
        <v>1</v>
      </c>
    </row>
    <row r="1032" customFormat="false" ht="15" hidden="false" customHeight="false" outlineLevel="0" collapsed="false">
      <c r="A1032" s="12" t="s">
        <v>4009</v>
      </c>
      <c r="B1032" s="22" t="n">
        <f aca="false">COUNTIFS(選手一覧!$C$7:$C$2738,A1032,選手一覧!$E$7:$E$2738,"&lt;=100")</f>
        <v>0</v>
      </c>
      <c r="C1032" s="18" t="n">
        <f aca="false">COUNTIFS(選手一覧!$C$7:$C$2738,A1032,選手一覧!$E$7:$E$2738,"&gt;0")</f>
        <v>0</v>
      </c>
      <c r="D1032" s="14" t="str">
        <f aca="false">IF(C1032=0,"",_xlfn.MINIFS(選手一覧!$E$7:$E$2738,選手一覧!$C$7:$C$2738,A1032))</f>
        <v/>
      </c>
      <c r="E1032" s="20"/>
      <c r="F1032" s="18" t="n">
        <f aca="false">COUNTIFS(選手一覧!$C$7:$C$2738,A1032,選手一覧!$I$7:$I$2738,"&lt;=100")</f>
        <v>0</v>
      </c>
      <c r="G1032" s="18" t="n">
        <f aca="false">COUNTIFS(選手一覧!$C$7:$C$2738,A1032,選手一覧!$K$7:$K$2738,"&lt;=100")</f>
        <v>0</v>
      </c>
      <c r="H1032" s="17" t="n">
        <f aca="false">COUNTIF(選手一覧!$C$7:$C$2738,A1032)</f>
        <v>1</v>
      </c>
    </row>
    <row r="1033" customFormat="false" ht="15" hidden="false" customHeight="false" outlineLevel="0" collapsed="false">
      <c r="A1033" s="12" t="s">
        <v>4013</v>
      </c>
      <c r="B1033" s="22" t="n">
        <f aca="false">COUNTIFS(選手一覧!$C$7:$C$2738,A1033,選手一覧!$E$7:$E$2738,"&lt;=100")</f>
        <v>0</v>
      </c>
      <c r="C1033" s="18" t="n">
        <f aca="false">COUNTIFS(選手一覧!$C$7:$C$2738,A1033,選手一覧!$E$7:$E$2738,"&gt;0")</f>
        <v>0</v>
      </c>
      <c r="D1033" s="14" t="str">
        <f aca="false">IF(C1033=0,"",_xlfn.MINIFS(選手一覧!$E$7:$E$2738,選手一覧!$C$7:$C$2738,A1033))</f>
        <v/>
      </c>
      <c r="E1033" s="20"/>
      <c r="F1033" s="18" t="n">
        <f aca="false">COUNTIFS(選手一覧!$C$7:$C$2738,A1033,選手一覧!$I$7:$I$2738,"&lt;=100")</f>
        <v>0</v>
      </c>
      <c r="G1033" s="18" t="n">
        <f aca="false">COUNTIFS(選手一覧!$C$7:$C$2738,A1033,選手一覧!$K$7:$K$2738,"&lt;=100")</f>
        <v>0</v>
      </c>
      <c r="H1033" s="17" t="n">
        <f aca="false">COUNTIF(選手一覧!$C$7:$C$2738,A1033)</f>
        <v>1</v>
      </c>
    </row>
    <row r="1034" customFormat="false" ht="15" hidden="false" customHeight="false" outlineLevel="0" collapsed="false">
      <c r="A1034" s="12" t="s">
        <v>4015</v>
      </c>
      <c r="B1034" s="22" t="n">
        <f aca="false">COUNTIFS(選手一覧!$C$7:$C$2738,A1034,選手一覧!$E$7:$E$2738,"&lt;=100")</f>
        <v>0</v>
      </c>
      <c r="C1034" s="18" t="n">
        <f aca="false">COUNTIFS(選手一覧!$C$7:$C$2738,A1034,選手一覧!$E$7:$E$2738,"&gt;0")</f>
        <v>0</v>
      </c>
      <c r="D1034" s="14" t="str">
        <f aca="false">IF(C1034=0,"",_xlfn.MINIFS(選手一覧!$E$7:$E$2738,選手一覧!$C$7:$C$2738,A1034))</f>
        <v/>
      </c>
      <c r="E1034" s="20"/>
      <c r="F1034" s="18" t="n">
        <f aca="false">COUNTIFS(選手一覧!$C$7:$C$2738,A1034,選手一覧!$I$7:$I$2738,"&lt;=100")</f>
        <v>0</v>
      </c>
      <c r="G1034" s="18" t="n">
        <f aca="false">COUNTIFS(選手一覧!$C$7:$C$2738,A1034,選手一覧!$K$7:$K$2738,"&lt;=100")</f>
        <v>0</v>
      </c>
      <c r="H1034" s="17" t="n">
        <f aca="false">COUNTIF(選手一覧!$C$7:$C$2738,A1034)</f>
        <v>1</v>
      </c>
    </row>
    <row r="1035" customFormat="false" ht="15" hidden="false" customHeight="false" outlineLevel="0" collapsed="false">
      <c r="A1035" s="12" t="s">
        <v>4021</v>
      </c>
      <c r="B1035" s="22" t="n">
        <f aca="false">COUNTIFS(選手一覧!$C$7:$C$2738,A1035,選手一覧!$E$7:$E$2738,"&lt;=100")</f>
        <v>0</v>
      </c>
      <c r="C1035" s="18" t="n">
        <f aca="false">COUNTIFS(選手一覧!$C$7:$C$2738,A1035,選手一覧!$E$7:$E$2738,"&gt;0")</f>
        <v>0</v>
      </c>
      <c r="D1035" s="14" t="str">
        <f aca="false">IF(C1035=0,"",_xlfn.MINIFS(選手一覧!$E$7:$E$2738,選手一覧!$C$7:$C$2738,A1035))</f>
        <v/>
      </c>
      <c r="E1035" s="20"/>
      <c r="F1035" s="18" t="n">
        <f aca="false">COUNTIFS(選手一覧!$C$7:$C$2738,A1035,選手一覧!$I$7:$I$2738,"&lt;=100")</f>
        <v>0</v>
      </c>
      <c r="G1035" s="18" t="n">
        <f aca="false">COUNTIFS(選手一覧!$C$7:$C$2738,A1035,選手一覧!$K$7:$K$2738,"&lt;=100")</f>
        <v>0</v>
      </c>
      <c r="H1035" s="17" t="n">
        <f aca="false">COUNTIF(選手一覧!$C$7:$C$2738,A1035)</f>
        <v>1</v>
      </c>
    </row>
    <row r="1036" customFormat="false" ht="15" hidden="false" customHeight="false" outlineLevel="0" collapsed="false">
      <c r="A1036" s="12" t="s">
        <v>4023</v>
      </c>
      <c r="B1036" s="22" t="n">
        <f aca="false">COUNTIFS(選手一覧!$C$7:$C$2738,A1036,選手一覧!$E$7:$E$2738,"&lt;=100")</f>
        <v>0</v>
      </c>
      <c r="C1036" s="18" t="n">
        <f aca="false">COUNTIFS(選手一覧!$C$7:$C$2738,A1036,選手一覧!$E$7:$E$2738,"&gt;0")</f>
        <v>0</v>
      </c>
      <c r="D1036" s="14" t="str">
        <f aca="false">IF(C1036=0,"",_xlfn.MINIFS(選手一覧!$E$7:$E$2738,選手一覧!$C$7:$C$2738,A1036))</f>
        <v/>
      </c>
      <c r="E1036" s="20"/>
      <c r="F1036" s="18" t="n">
        <f aca="false">COUNTIFS(選手一覧!$C$7:$C$2738,A1036,選手一覧!$I$7:$I$2738,"&lt;=100")</f>
        <v>0</v>
      </c>
      <c r="G1036" s="18" t="n">
        <f aca="false">COUNTIFS(選手一覧!$C$7:$C$2738,A1036,選手一覧!$K$7:$K$2738,"&lt;=100")</f>
        <v>0</v>
      </c>
      <c r="H1036" s="17" t="n">
        <f aca="false">COUNTIF(選手一覧!$C$7:$C$2738,A1036)</f>
        <v>1</v>
      </c>
    </row>
    <row r="1037" customFormat="false" ht="15" hidden="false" customHeight="false" outlineLevel="0" collapsed="false">
      <c r="A1037" s="12" t="s">
        <v>4025</v>
      </c>
      <c r="B1037" s="22" t="n">
        <f aca="false">COUNTIFS(選手一覧!$C$7:$C$2738,A1037,選手一覧!$E$7:$E$2738,"&lt;=100")</f>
        <v>0</v>
      </c>
      <c r="C1037" s="18" t="n">
        <f aca="false">COUNTIFS(選手一覧!$C$7:$C$2738,A1037,選手一覧!$E$7:$E$2738,"&gt;0")</f>
        <v>0</v>
      </c>
      <c r="D1037" s="14" t="str">
        <f aca="false">IF(C1037=0,"",_xlfn.MINIFS(選手一覧!$E$7:$E$2738,選手一覧!$C$7:$C$2738,A1037))</f>
        <v/>
      </c>
      <c r="E1037" s="20"/>
      <c r="F1037" s="18" t="n">
        <f aca="false">COUNTIFS(選手一覧!$C$7:$C$2738,A1037,選手一覧!$I$7:$I$2738,"&lt;=100")</f>
        <v>0</v>
      </c>
      <c r="G1037" s="18" t="n">
        <f aca="false">COUNTIFS(選手一覧!$C$7:$C$2738,A1037,選手一覧!$K$7:$K$2738,"&lt;=100")</f>
        <v>0</v>
      </c>
      <c r="H1037" s="17" t="n">
        <f aca="false">COUNTIF(選手一覧!$C$7:$C$2738,A1037)</f>
        <v>1</v>
      </c>
    </row>
    <row r="1038" customFormat="false" ht="15" hidden="false" customHeight="false" outlineLevel="0" collapsed="false">
      <c r="A1038" s="12" t="s">
        <v>4027</v>
      </c>
      <c r="B1038" s="22" t="n">
        <f aca="false">COUNTIFS(選手一覧!$C$7:$C$2738,A1038,選手一覧!$E$7:$E$2738,"&lt;=100")</f>
        <v>0</v>
      </c>
      <c r="C1038" s="18" t="n">
        <f aca="false">COUNTIFS(選手一覧!$C$7:$C$2738,A1038,選手一覧!$E$7:$E$2738,"&gt;0")</f>
        <v>0</v>
      </c>
      <c r="D1038" s="14" t="str">
        <f aca="false">IF(C1038=0,"",_xlfn.MINIFS(選手一覧!$E$7:$E$2738,選手一覧!$C$7:$C$2738,A1038))</f>
        <v/>
      </c>
      <c r="E1038" s="20"/>
      <c r="F1038" s="18" t="n">
        <f aca="false">COUNTIFS(選手一覧!$C$7:$C$2738,A1038,選手一覧!$I$7:$I$2738,"&lt;=100")</f>
        <v>0</v>
      </c>
      <c r="G1038" s="18" t="n">
        <f aca="false">COUNTIFS(選手一覧!$C$7:$C$2738,A1038,選手一覧!$K$7:$K$2738,"&lt;=100")</f>
        <v>0</v>
      </c>
      <c r="H1038" s="17" t="n">
        <f aca="false">COUNTIF(選手一覧!$C$7:$C$2738,A1038)</f>
        <v>1</v>
      </c>
    </row>
    <row r="1039" customFormat="false" ht="15" hidden="false" customHeight="false" outlineLevel="0" collapsed="false">
      <c r="A1039" s="12" t="s">
        <v>4029</v>
      </c>
      <c r="B1039" s="22" t="n">
        <f aca="false">COUNTIFS(選手一覧!$C$7:$C$2738,A1039,選手一覧!$E$7:$E$2738,"&lt;=100")</f>
        <v>0</v>
      </c>
      <c r="C1039" s="18" t="n">
        <f aca="false">COUNTIFS(選手一覧!$C$7:$C$2738,A1039,選手一覧!$E$7:$E$2738,"&gt;0")</f>
        <v>0</v>
      </c>
      <c r="D1039" s="14" t="str">
        <f aca="false">IF(C1039=0,"",_xlfn.MINIFS(選手一覧!$E$7:$E$2738,選手一覧!$C$7:$C$2738,A1039))</f>
        <v/>
      </c>
      <c r="E1039" s="20"/>
      <c r="F1039" s="18" t="n">
        <f aca="false">COUNTIFS(選手一覧!$C$7:$C$2738,A1039,選手一覧!$I$7:$I$2738,"&lt;=100")</f>
        <v>0</v>
      </c>
      <c r="G1039" s="18" t="n">
        <f aca="false">COUNTIFS(選手一覧!$C$7:$C$2738,A1039,選手一覧!$K$7:$K$2738,"&lt;=100")</f>
        <v>0</v>
      </c>
      <c r="H1039" s="17" t="n">
        <f aca="false">COUNTIF(選手一覧!$C$7:$C$2738,A1039)</f>
        <v>1</v>
      </c>
    </row>
    <row r="1040" customFormat="false" ht="15" hidden="false" customHeight="false" outlineLevel="0" collapsed="false">
      <c r="A1040" s="12" t="s">
        <v>4032</v>
      </c>
      <c r="B1040" s="22" t="n">
        <f aca="false">COUNTIFS(選手一覧!$C$7:$C$2738,A1040,選手一覧!$E$7:$E$2738,"&lt;=100")</f>
        <v>0</v>
      </c>
      <c r="C1040" s="18" t="n">
        <f aca="false">COUNTIFS(選手一覧!$C$7:$C$2738,A1040,選手一覧!$E$7:$E$2738,"&gt;0")</f>
        <v>0</v>
      </c>
      <c r="D1040" s="14" t="str">
        <f aca="false">IF(C1040=0,"",_xlfn.MINIFS(選手一覧!$E$7:$E$2738,選手一覧!$C$7:$C$2738,A1040))</f>
        <v/>
      </c>
      <c r="E1040" s="20"/>
      <c r="F1040" s="18" t="n">
        <f aca="false">COUNTIFS(選手一覧!$C$7:$C$2738,A1040,選手一覧!$I$7:$I$2738,"&lt;=100")</f>
        <v>0</v>
      </c>
      <c r="G1040" s="18" t="n">
        <f aca="false">COUNTIFS(選手一覧!$C$7:$C$2738,A1040,選手一覧!$K$7:$K$2738,"&lt;=100")</f>
        <v>0</v>
      </c>
      <c r="H1040" s="17" t="n">
        <f aca="false">COUNTIF(選手一覧!$C$7:$C$2738,A1040)</f>
        <v>1</v>
      </c>
    </row>
    <row r="1041" customFormat="false" ht="15" hidden="false" customHeight="false" outlineLevel="0" collapsed="false">
      <c r="A1041" s="12" t="s">
        <v>4034</v>
      </c>
      <c r="B1041" s="22" t="n">
        <f aca="false">COUNTIFS(選手一覧!$C$7:$C$2738,A1041,選手一覧!$E$7:$E$2738,"&lt;=100")</f>
        <v>0</v>
      </c>
      <c r="C1041" s="18" t="n">
        <f aca="false">COUNTIFS(選手一覧!$C$7:$C$2738,A1041,選手一覧!$E$7:$E$2738,"&gt;0")</f>
        <v>0</v>
      </c>
      <c r="D1041" s="14" t="str">
        <f aca="false">IF(C1041=0,"",_xlfn.MINIFS(選手一覧!$E$7:$E$2738,選手一覧!$C$7:$C$2738,A1041))</f>
        <v/>
      </c>
      <c r="E1041" s="20"/>
      <c r="F1041" s="18" t="n">
        <f aca="false">COUNTIFS(選手一覧!$C$7:$C$2738,A1041,選手一覧!$I$7:$I$2738,"&lt;=100")</f>
        <v>0</v>
      </c>
      <c r="G1041" s="18" t="n">
        <f aca="false">COUNTIFS(選手一覧!$C$7:$C$2738,A1041,選手一覧!$K$7:$K$2738,"&lt;=100")</f>
        <v>0</v>
      </c>
      <c r="H1041" s="17" t="n">
        <f aca="false">COUNTIF(選手一覧!$C$7:$C$2738,A1041)</f>
        <v>1</v>
      </c>
    </row>
    <row r="1042" customFormat="false" ht="15" hidden="false" customHeight="false" outlineLevel="0" collapsed="false">
      <c r="A1042" s="12" t="s">
        <v>4036</v>
      </c>
      <c r="B1042" s="22" t="n">
        <f aca="false">COUNTIFS(選手一覧!$C$7:$C$2738,A1042,選手一覧!$E$7:$E$2738,"&lt;=100")</f>
        <v>0</v>
      </c>
      <c r="C1042" s="18" t="n">
        <f aca="false">COUNTIFS(選手一覧!$C$7:$C$2738,A1042,選手一覧!$E$7:$E$2738,"&gt;0")</f>
        <v>0</v>
      </c>
      <c r="D1042" s="14" t="str">
        <f aca="false">IF(C1042=0,"",_xlfn.MINIFS(選手一覧!$E$7:$E$2738,選手一覧!$C$7:$C$2738,A1042))</f>
        <v/>
      </c>
      <c r="E1042" s="20"/>
      <c r="F1042" s="18" t="n">
        <f aca="false">COUNTIFS(選手一覧!$C$7:$C$2738,A1042,選手一覧!$I$7:$I$2738,"&lt;=100")</f>
        <v>0</v>
      </c>
      <c r="G1042" s="18" t="n">
        <f aca="false">COUNTIFS(選手一覧!$C$7:$C$2738,A1042,選手一覧!$K$7:$K$2738,"&lt;=100")</f>
        <v>0</v>
      </c>
      <c r="H1042" s="17" t="n">
        <f aca="false">COUNTIF(選手一覧!$C$7:$C$2738,A1042)</f>
        <v>1</v>
      </c>
    </row>
    <row r="1043" customFormat="false" ht="15" hidden="false" customHeight="false" outlineLevel="0" collapsed="false">
      <c r="A1043" s="12" t="s">
        <v>4039</v>
      </c>
      <c r="B1043" s="22" t="n">
        <f aca="false">COUNTIFS(選手一覧!$C$7:$C$2738,A1043,選手一覧!$E$7:$E$2738,"&lt;=100")</f>
        <v>0</v>
      </c>
      <c r="C1043" s="18" t="n">
        <f aca="false">COUNTIFS(選手一覧!$C$7:$C$2738,A1043,選手一覧!$E$7:$E$2738,"&gt;0")</f>
        <v>0</v>
      </c>
      <c r="D1043" s="14" t="str">
        <f aca="false">IF(C1043=0,"",_xlfn.MINIFS(選手一覧!$E$7:$E$2738,選手一覧!$C$7:$C$2738,A1043))</f>
        <v/>
      </c>
      <c r="E1043" s="20"/>
      <c r="F1043" s="18" t="n">
        <f aca="false">COUNTIFS(選手一覧!$C$7:$C$2738,A1043,選手一覧!$I$7:$I$2738,"&lt;=100")</f>
        <v>0</v>
      </c>
      <c r="G1043" s="18" t="n">
        <f aca="false">COUNTIFS(選手一覧!$C$7:$C$2738,A1043,選手一覧!$K$7:$K$2738,"&lt;=100")</f>
        <v>0</v>
      </c>
      <c r="H1043" s="17" t="n">
        <f aca="false">COUNTIF(選手一覧!$C$7:$C$2738,A1043)</f>
        <v>1</v>
      </c>
    </row>
    <row r="1044" customFormat="false" ht="15" hidden="false" customHeight="false" outlineLevel="0" collapsed="false">
      <c r="A1044" s="12" t="s">
        <v>4041</v>
      </c>
      <c r="B1044" s="22" t="n">
        <f aca="false">COUNTIFS(選手一覧!$C$7:$C$2738,A1044,選手一覧!$E$7:$E$2738,"&lt;=100")</f>
        <v>0</v>
      </c>
      <c r="C1044" s="18" t="n">
        <f aca="false">COUNTIFS(選手一覧!$C$7:$C$2738,A1044,選手一覧!$E$7:$E$2738,"&gt;0")</f>
        <v>0</v>
      </c>
      <c r="D1044" s="14" t="str">
        <f aca="false">IF(C1044=0,"",_xlfn.MINIFS(選手一覧!$E$7:$E$2738,選手一覧!$C$7:$C$2738,A1044))</f>
        <v/>
      </c>
      <c r="E1044" s="20"/>
      <c r="F1044" s="18" t="n">
        <f aca="false">COUNTIFS(選手一覧!$C$7:$C$2738,A1044,選手一覧!$I$7:$I$2738,"&lt;=100")</f>
        <v>0</v>
      </c>
      <c r="G1044" s="18" t="n">
        <f aca="false">COUNTIFS(選手一覧!$C$7:$C$2738,A1044,選手一覧!$K$7:$K$2738,"&lt;=100")</f>
        <v>0</v>
      </c>
      <c r="H1044" s="17" t="n">
        <f aca="false">COUNTIF(選手一覧!$C$7:$C$2738,A1044)</f>
        <v>1</v>
      </c>
    </row>
    <row r="1045" customFormat="false" ht="15" hidden="false" customHeight="false" outlineLevel="0" collapsed="false">
      <c r="A1045" s="12" t="s">
        <v>4043</v>
      </c>
      <c r="B1045" s="22" t="n">
        <f aca="false">COUNTIFS(選手一覧!$C$7:$C$2738,A1045,選手一覧!$E$7:$E$2738,"&lt;=100")</f>
        <v>0</v>
      </c>
      <c r="C1045" s="18" t="n">
        <f aca="false">COUNTIFS(選手一覧!$C$7:$C$2738,A1045,選手一覧!$E$7:$E$2738,"&gt;0")</f>
        <v>0</v>
      </c>
      <c r="D1045" s="14" t="str">
        <f aca="false">IF(C1045=0,"",_xlfn.MINIFS(選手一覧!$E$7:$E$2738,選手一覧!$C$7:$C$2738,A1045))</f>
        <v/>
      </c>
      <c r="E1045" s="20"/>
      <c r="F1045" s="18" t="n">
        <f aca="false">COUNTIFS(選手一覧!$C$7:$C$2738,A1045,選手一覧!$I$7:$I$2738,"&lt;=100")</f>
        <v>0</v>
      </c>
      <c r="G1045" s="18" t="n">
        <f aca="false">COUNTIFS(選手一覧!$C$7:$C$2738,A1045,選手一覧!$K$7:$K$2738,"&lt;=100")</f>
        <v>0</v>
      </c>
      <c r="H1045" s="17" t="n">
        <f aca="false">COUNTIF(選手一覧!$C$7:$C$2738,A1045)</f>
        <v>1</v>
      </c>
    </row>
    <row r="1046" customFormat="false" ht="15" hidden="false" customHeight="false" outlineLevel="0" collapsed="false">
      <c r="A1046" s="12" t="s">
        <v>4045</v>
      </c>
      <c r="B1046" s="22" t="n">
        <f aca="false">COUNTIFS(選手一覧!$C$7:$C$2738,A1046,選手一覧!$E$7:$E$2738,"&lt;=100")</f>
        <v>0</v>
      </c>
      <c r="C1046" s="18" t="n">
        <f aca="false">COUNTIFS(選手一覧!$C$7:$C$2738,A1046,選手一覧!$E$7:$E$2738,"&gt;0")</f>
        <v>0</v>
      </c>
      <c r="D1046" s="14" t="str">
        <f aca="false">IF(C1046=0,"",_xlfn.MINIFS(選手一覧!$E$7:$E$2738,選手一覧!$C$7:$C$2738,A1046))</f>
        <v/>
      </c>
      <c r="E1046" s="20"/>
      <c r="F1046" s="18" t="n">
        <f aca="false">COUNTIFS(選手一覧!$C$7:$C$2738,A1046,選手一覧!$I$7:$I$2738,"&lt;=100")</f>
        <v>0</v>
      </c>
      <c r="G1046" s="18" t="n">
        <f aca="false">COUNTIFS(選手一覧!$C$7:$C$2738,A1046,選手一覧!$K$7:$K$2738,"&lt;=100")</f>
        <v>0</v>
      </c>
      <c r="H1046" s="17" t="n">
        <f aca="false">COUNTIF(選手一覧!$C$7:$C$2738,A1046)</f>
        <v>1</v>
      </c>
    </row>
    <row r="1047" customFormat="false" ht="15" hidden="false" customHeight="false" outlineLevel="0" collapsed="false">
      <c r="A1047" s="12" t="s">
        <v>4051</v>
      </c>
      <c r="B1047" s="22" t="n">
        <f aca="false">COUNTIFS(選手一覧!$C$7:$C$2738,A1047,選手一覧!$E$7:$E$2738,"&lt;=100")</f>
        <v>0</v>
      </c>
      <c r="C1047" s="18" t="n">
        <f aca="false">COUNTIFS(選手一覧!$C$7:$C$2738,A1047,選手一覧!$E$7:$E$2738,"&gt;0")</f>
        <v>0</v>
      </c>
      <c r="D1047" s="14" t="str">
        <f aca="false">IF(C1047=0,"",_xlfn.MINIFS(選手一覧!$E$7:$E$2738,選手一覧!$C$7:$C$2738,A1047))</f>
        <v/>
      </c>
      <c r="E1047" s="20"/>
      <c r="F1047" s="18" t="n">
        <f aca="false">COUNTIFS(選手一覧!$C$7:$C$2738,A1047,選手一覧!$I$7:$I$2738,"&lt;=100")</f>
        <v>0</v>
      </c>
      <c r="G1047" s="18" t="n">
        <f aca="false">COUNTIFS(選手一覧!$C$7:$C$2738,A1047,選手一覧!$K$7:$K$2738,"&lt;=100")</f>
        <v>0</v>
      </c>
      <c r="H1047" s="17" t="n">
        <f aca="false">COUNTIF(選手一覧!$C$7:$C$2738,A1047)</f>
        <v>1</v>
      </c>
    </row>
    <row r="1048" customFormat="false" ht="15" hidden="false" customHeight="false" outlineLevel="0" collapsed="false">
      <c r="A1048" s="12" t="s">
        <v>4053</v>
      </c>
      <c r="B1048" s="22" t="n">
        <f aca="false">COUNTIFS(選手一覧!$C$7:$C$2738,A1048,選手一覧!$E$7:$E$2738,"&lt;=100")</f>
        <v>0</v>
      </c>
      <c r="C1048" s="18" t="n">
        <f aca="false">COUNTIFS(選手一覧!$C$7:$C$2738,A1048,選手一覧!$E$7:$E$2738,"&gt;0")</f>
        <v>0</v>
      </c>
      <c r="D1048" s="14" t="str">
        <f aca="false">IF(C1048=0,"",_xlfn.MINIFS(選手一覧!$E$7:$E$2738,選手一覧!$C$7:$C$2738,A1048))</f>
        <v/>
      </c>
      <c r="E1048" s="20"/>
      <c r="F1048" s="18" t="n">
        <f aca="false">COUNTIFS(選手一覧!$C$7:$C$2738,A1048,選手一覧!$I$7:$I$2738,"&lt;=100")</f>
        <v>0</v>
      </c>
      <c r="G1048" s="18" t="n">
        <f aca="false">COUNTIFS(選手一覧!$C$7:$C$2738,A1048,選手一覧!$K$7:$K$2738,"&lt;=100")</f>
        <v>0</v>
      </c>
      <c r="H1048" s="17" t="n">
        <f aca="false">COUNTIF(選手一覧!$C$7:$C$2738,A1048)</f>
        <v>1</v>
      </c>
    </row>
    <row r="1049" customFormat="false" ht="15" hidden="false" customHeight="false" outlineLevel="0" collapsed="false">
      <c r="A1049" s="12" t="s">
        <v>4061</v>
      </c>
      <c r="B1049" s="22" t="n">
        <f aca="false">COUNTIFS(選手一覧!$C$7:$C$2738,A1049,選手一覧!$E$7:$E$2738,"&lt;=100")</f>
        <v>0</v>
      </c>
      <c r="C1049" s="18" t="n">
        <f aca="false">COUNTIFS(選手一覧!$C$7:$C$2738,A1049,選手一覧!$E$7:$E$2738,"&gt;0")</f>
        <v>0</v>
      </c>
      <c r="D1049" s="14" t="str">
        <f aca="false">IF(C1049=0,"",_xlfn.MINIFS(選手一覧!$E$7:$E$2738,選手一覧!$C$7:$C$2738,A1049))</f>
        <v/>
      </c>
      <c r="E1049" s="20"/>
      <c r="F1049" s="18" t="n">
        <f aca="false">COUNTIFS(選手一覧!$C$7:$C$2738,A1049,選手一覧!$I$7:$I$2738,"&lt;=100")</f>
        <v>0</v>
      </c>
      <c r="G1049" s="18" t="n">
        <f aca="false">COUNTIFS(選手一覧!$C$7:$C$2738,A1049,選手一覧!$K$7:$K$2738,"&lt;=100")</f>
        <v>0</v>
      </c>
      <c r="H1049" s="17" t="n">
        <f aca="false">COUNTIF(選手一覧!$C$7:$C$2738,A1049)</f>
        <v>1</v>
      </c>
    </row>
    <row r="1050" customFormat="false" ht="15" hidden="false" customHeight="false" outlineLevel="0" collapsed="false">
      <c r="A1050" s="12" t="s">
        <v>4063</v>
      </c>
      <c r="B1050" s="22" t="n">
        <f aca="false">COUNTIFS(選手一覧!$C$7:$C$2738,A1050,選手一覧!$E$7:$E$2738,"&lt;=100")</f>
        <v>0</v>
      </c>
      <c r="C1050" s="18" t="n">
        <f aca="false">COUNTIFS(選手一覧!$C$7:$C$2738,A1050,選手一覧!$E$7:$E$2738,"&gt;0")</f>
        <v>0</v>
      </c>
      <c r="D1050" s="14" t="str">
        <f aca="false">IF(C1050=0,"",_xlfn.MINIFS(選手一覧!$E$7:$E$2738,選手一覧!$C$7:$C$2738,A1050))</f>
        <v/>
      </c>
      <c r="E1050" s="20"/>
      <c r="F1050" s="18" t="n">
        <f aca="false">COUNTIFS(選手一覧!$C$7:$C$2738,A1050,選手一覧!$I$7:$I$2738,"&lt;=100")</f>
        <v>0</v>
      </c>
      <c r="G1050" s="18" t="n">
        <f aca="false">COUNTIFS(選手一覧!$C$7:$C$2738,A1050,選手一覧!$K$7:$K$2738,"&lt;=100")</f>
        <v>0</v>
      </c>
      <c r="H1050" s="17" t="n">
        <f aca="false">COUNTIF(選手一覧!$C$7:$C$2738,A1050)</f>
        <v>1</v>
      </c>
    </row>
    <row r="1051" customFormat="false" ht="15" hidden="false" customHeight="false" outlineLevel="0" collapsed="false">
      <c r="A1051" s="12" t="s">
        <v>4066</v>
      </c>
      <c r="B1051" s="22" t="n">
        <f aca="false">COUNTIFS(選手一覧!$C$7:$C$2738,A1051,選手一覧!$E$7:$E$2738,"&lt;=100")</f>
        <v>0</v>
      </c>
      <c r="C1051" s="18" t="n">
        <f aca="false">COUNTIFS(選手一覧!$C$7:$C$2738,A1051,選手一覧!$E$7:$E$2738,"&gt;0")</f>
        <v>0</v>
      </c>
      <c r="D1051" s="14" t="str">
        <f aca="false">IF(C1051=0,"",_xlfn.MINIFS(選手一覧!$E$7:$E$2738,選手一覧!$C$7:$C$2738,A1051))</f>
        <v/>
      </c>
      <c r="E1051" s="20"/>
      <c r="F1051" s="18" t="n">
        <f aca="false">COUNTIFS(選手一覧!$C$7:$C$2738,A1051,選手一覧!$I$7:$I$2738,"&lt;=100")</f>
        <v>0</v>
      </c>
      <c r="G1051" s="18" t="n">
        <f aca="false">COUNTIFS(選手一覧!$C$7:$C$2738,A1051,選手一覧!$K$7:$K$2738,"&lt;=100")</f>
        <v>0</v>
      </c>
      <c r="H1051" s="17" t="n">
        <f aca="false">COUNTIF(選手一覧!$C$7:$C$2738,A1051)</f>
        <v>1</v>
      </c>
    </row>
    <row r="1052" customFormat="false" ht="15" hidden="false" customHeight="false" outlineLevel="0" collapsed="false">
      <c r="A1052" s="12" t="s">
        <v>4071</v>
      </c>
      <c r="B1052" s="22" t="n">
        <f aca="false">COUNTIFS(選手一覧!$C$7:$C$2738,A1052,選手一覧!$E$7:$E$2738,"&lt;=100")</f>
        <v>0</v>
      </c>
      <c r="C1052" s="18" t="n">
        <f aca="false">COUNTIFS(選手一覧!$C$7:$C$2738,A1052,選手一覧!$E$7:$E$2738,"&gt;0")</f>
        <v>0</v>
      </c>
      <c r="D1052" s="14" t="str">
        <f aca="false">IF(C1052=0,"",_xlfn.MINIFS(選手一覧!$E$7:$E$2738,選手一覧!$C$7:$C$2738,A1052))</f>
        <v/>
      </c>
      <c r="E1052" s="20"/>
      <c r="F1052" s="18" t="n">
        <f aca="false">COUNTIFS(選手一覧!$C$7:$C$2738,A1052,選手一覧!$I$7:$I$2738,"&lt;=100")</f>
        <v>0</v>
      </c>
      <c r="G1052" s="18" t="n">
        <f aca="false">COUNTIFS(選手一覧!$C$7:$C$2738,A1052,選手一覧!$K$7:$K$2738,"&lt;=100")</f>
        <v>0</v>
      </c>
      <c r="H1052" s="17" t="n">
        <f aca="false">COUNTIF(選手一覧!$C$7:$C$2738,A1052)</f>
        <v>1</v>
      </c>
    </row>
    <row r="1053" customFormat="false" ht="15" hidden="false" customHeight="false" outlineLevel="0" collapsed="false">
      <c r="A1053" s="12" t="s">
        <v>4075</v>
      </c>
      <c r="B1053" s="22" t="n">
        <f aca="false">COUNTIFS(選手一覧!$C$7:$C$2738,A1053,選手一覧!$E$7:$E$2738,"&lt;=100")</f>
        <v>0</v>
      </c>
      <c r="C1053" s="18" t="n">
        <f aca="false">COUNTIFS(選手一覧!$C$7:$C$2738,A1053,選手一覧!$E$7:$E$2738,"&gt;0")</f>
        <v>0</v>
      </c>
      <c r="D1053" s="14" t="str">
        <f aca="false">IF(C1053=0,"",_xlfn.MINIFS(選手一覧!$E$7:$E$2738,選手一覧!$C$7:$C$2738,A1053))</f>
        <v/>
      </c>
      <c r="E1053" s="20"/>
      <c r="F1053" s="18" t="n">
        <f aca="false">COUNTIFS(選手一覧!$C$7:$C$2738,A1053,選手一覧!$I$7:$I$2738,"&lt;=100")</f>
        <v>0</v>
      </c>
      <c r="G1053" s="18" t="n">
        <f aca="false">COUNTIFS(選手一覧!$C$7:$C$2738,A1053,選手一覧!$K$7:$K$2738,"&lt;=100")</f>
        <v>0</v>
      </c>
      <c r="H1053" s="17" t="n">
        <f aca="false">COUNTIF(選手一覧!$C$7:$C$2738,A1053)</f>
        <v>1</v>
      </c>
    </row>
    <row r="1054" customFormat="false" ht="15" hidden="false" customHeight="false" outlineLevel="0" collapsed="false">
      <c r="A1054" s="12" t="s">
        <v>4079</v>
      </c>
      <c r="B1054" s="22" t="n">
        <f aca="false">COUNTIFS(選手一覧!$C$7:$C$2738,A1054,選手一覧!$E$7:$E$2738,"&lt;=100")</f>
        <v>0</v>
      </c>
      <c r="C1054" s="18" t="n">
        <f aca="false">COUNTIFS(選手一覧!$C$7:$C$2738,A1054,選手一覧!$E$7:$E$2738,"&gt;0")</f>
        <v>0</v>
      </c>
      <c r="D1054" s="14" t="str">
        <f aca="false">IF(C1054=0,"",_xlfn.MINIFS(選手一覧!$E$7:$E$2738,選手一覧!$C$7:$C$2738,A1054))</f>
        <v/>
      </c>
      <c r="E1054" s="20"/>
      <c r="F1054" s="18" t="n">
        <f aca="false">COUNTIFS(選手一覧!$C$7:$C$2738,A1054,選手一覧!$I$7:$I$2738,"&lt;=100")</f>
        <v>0</v>
      </c>
      <c r="G1054" s="18" t="n">
        <f aca="false">COUNTIFS(選手一覧!$C$7:$C$2738,A1054,選手一覧!$K$7:$K$2738,"&lt;=100")</f>
        <v>0</v>
      </c>
      <c r="H1054" s="17" t="n">
        <f aca="false">COUNTIF(選手一覧!$C$7:$C$2738,A1054)</f>
        <v>1</v>
      </c>
    </row>
    <row r="1055" customFormat="false" ht="15" hidden="false" customHeight="false" outlineLevel="0" collapsed="false">
      <c r="A1055" s="12" t="s">
        <v>4081</v>
      </c>
      <c r="B1055" s="22" t="n">
        <f aca="false">COUNTIFS(選手一覧!$C$7:$C$2738,A1055,選手一覧!$E$7:$E$2738,"&lt;=100")</f>
        <v>0</v>
      </c>
      <c r="C1055" s="18" t="n">
        <f aca="false">COUNTIFS(選手一覧!$C$7:$C$2738,A1055,選手一覧!$E$7:$E$2738,"&gt;0")</f>
        <v>0</v>
      </c>
      <c r="D1055" s="14" t="str">
        <f aca="false">IF(C1055=0,"",_xlfn.MINIFS(選手一覧!$E$7:$E$2738,選手一覧!$C$7:$C$2738,A1055))</f>
        <v/>
      </c>
      <c r="E1055" s="20"/>
      <c r="F1055" s="18" t="n">
        <f aca="false">COUNTIFS(選手一覧!$C$7:$C$2738,A1055,選手一覧!$I$7:$I$2738,"&lt;=100")</f>
        <v>0</v>
      </c>
      <c r="G1055" s="18" t="n">
        <f aca="false">COUNTIFS(選手一覧!$C$7:$C$2738,A1055,選手一覧!$K$7:$K$2738,"&lt;=100")</f>
        <v>0</v>
      </c>
      <c r="H1055" s="17" t="n">
        <f aca="false">COUNTIF(選手一覧!$C$7:$C$2738,A1055)</f>
        <v>1</v>
      </c>
    </row>
    <row r="1056" customFormat="false" ht="15" hidden="false" customHeight="false" outlineLevel="0" collapsed="false">
      <c r="A1056" s="12" t="s">
        <v>4083</v>
      </c>
      <c r="B1056" s="22" t="n">
        <f aca="false">COUNTIFS(選手一覧!$C$7:$C$2738,A1056,選手一覧!$E$7:$E$2738,"&lt;=100")</f>
        <v>0</v>
      </c>
      <c r="C1056" s="18" t="n">
        <f aca="false">COUNTIFS(選手一覧!$C$7:$C$2738,A1056,選手一覧!$E$7:$E$2738,"&gt;0")</f>
        <v>0</v>
      </c>
      <c r="D1056" s="14" t="str">
        <f aca="false">IF(C1056=0,"",_xlfn.MINIFS(選手一覧!$E$7:$E$2738,選手一覧!$C$7:$C$2738,A1056))</f>
        <v/>
      </c>
      <c r="E1056" s="20"/>
      <c r="F1056" s="18" t="n">
        <f aca="false">COUNTIFS(選手一覧!$C$7:$C$2738,A1056,選手一覧!$I$7:$I$2738,"&lt;=100")</f>
        <v>0</v>
      </c>
      <c r="G1056" s="18" t="n">
        <f aca="false">COUNTIFS(選手一覧!$C$7:$C$2738,A1056,選手一覧!$K$7:$K$2738,"&lt;=100")</f>
        <v>0</v>
      </c>
      <c r="H1056" s="17" t="n">
        <f aca="false">COUNTIF(選手一覧!$C$7:$C$2738,A1056)</f>
        <v>1</v>
      </c>
    </row>
    <row r="1057" customFormat="false" ht="15" hidden="false" customHeight="false" outlineLevel="0" collapsed="false">
      <c r="A1057" s="12" t="s">
        <v>4089</v>
      </c>
      <c r="B1057" s="22" t="n">
        <f aca="false">COUNTIFS(選手一覧!$C$7:$C$2738,A1057,選手一覧!$E$7:$E$2738,"&lt;=100")</f>
        <v>0</v>
      </c>
      <c r="C1057" s="18" t="n">
        <f aca="false">COUNTIFS(選手一覧!$C$7:$C$2738,A1057,選手一覧!$E$7:$E$2738,"&gt;0")</f>
        <v>0</v>
      </c>
      <c r="D1057" s="14" t="str">
        <f aca="false">IF(C1057=0,"",_xlfn.MINIFS(選手一覧!$E$7:$E$2738,選手一覧!$C$7:$C$2738,A1057))</f>
        <v/>
      </c>
      <c r="E1057" s="20"/>
      <c r="F1057" s="18" t="n">
        <f aca="false">COUNTIFS(選手一覧!$C$7:$C$2738,A1057,選手一覧!$I$7:$I$2738,"&lt;=100")</f>
        <v>0</v>
      </c>
      <c r="G1057" s="18" t="n">
        <f aca="false">COUNTIFS(選手一覧!$C$7:$C$2738,A1057,選手一覧!$K$7:$K$2738,"&lt;=100")</f>
        <v>0</v>
      </c>
      <c r="H1057" s="17" t="n">
        <f aca="false">COUNTIF(選手一覧!$C$7:$C$2738,A1057)</f>
        <v>1</v>
      </c>
    </row>
    <row r="1058" customFormat="false" ht="15" hidden="false" customHeight="false" outlineLevel="0" collapsed="false">
      <c r="A1058" s="12" t="s">
        <v>4093</v>
      </c>
      <c r="B1058" s="22" t="n">
        <f aca="false">COUNTIFS(選手一覧!$C$7:$C$2738,A1058,選手一覧!$E$7:$E$2738,"&lt;=100")</f>
        <v>0</v>
      </c>
      <c r="C1058" s="18" t="n">
        <f aca="false">COUNTIFS(選手一覧!$C$7:$C$2738,A1058,選手一覧!$E$7:$E$2738,"&gt;0")</f>
        <v>0</v>
      </c>
      <c r="D1058" s="14" t="str">
        <f aca="false">IF(C1058=0,"",_xlfn.MINIFS(選手一覧!$E$7:$E$2738,選手一覧!$C$7:$C$2738,A1058))</f>
        <v/>
      </c>
      <c r="E1058" s="20"/>
      <c r="F1058" s="18" t="n">
        <f aca="false">COUNTIFS(選手一覧!$C$7:$C$2738,A1058,選手一覧!$I$7:$I$2738,"&lt;=100")</f>
        <v>0</v>
      </c>
      <c r="G1058" s="18" t="n">
        <f aca="false">COUNTIFS(選手一覧!$C$7:$C$2738,A1058,選手一覧!$K$7:$K$2738,"&lt;=100")</f>
        <v>0</v>
      </c>
      <c r="H1058" s="17" t="n">
        <f aca="false">COUNTIF(選手一覧!$C$7:$C$2738,A1058)</f>
        <v>1</v>
      </c>
    </row>
    <row r="1059" customFormat="false" ht="15" hidden="false" customHeight="false" outlineLevel="0" collapsed="false">
      <c r="A1059" s="12" t="s">
        <v>4095</v>
      </c>
      <c r="B1059" s="22" t="n">
        <f aca="false">COUNTIFS(選手一覧!$C$7:$C$2738,A1059,選手一覧!$E$7:$E$2738,"&lt;=100")</f>
        <v>0</v>
      </c>
      <c r="C1059" s="18" t="n">
        <f aca="false">COUNTIFS(選手一覧!$C$7:$C$2738,A1059,選手一覧!$E$7:$E$2738,"&gt;0")</f>
        <v>0</v>
      </c>
      <c r="D1059" s="14" t="str">
        <f aca="false">IF(C1059=0,"",_xlfn.MINIFS(選手一覧!$E$7:$E$2738,選手一覧!$C$7:$C$2738,A1059))</f>
        <v/>
      </c>
      <c r="E1059" s="20"/>
      <c r="F1059" s="18" t="n">
        <f aca="false">COUNTIFS(選手一覧!$C$7:$C$2738,A1059,選手一覧!$I$7:$I$2738,"&lt;=100")</f>
        <v>0</v>
      </c>
      <c r="G1059" s="18" t="n">
        <f aca="false">COUNTIFS(選手一覧!$C$7:$C$2738,A1059,選手一覧!$K$7:$K$2738,"&lt;=100")</f>
        <v>0</v>
      </c>
      <c r="H1059" s="17" t="n">
        <f aca="false">COUNTIF(選手一覧!$C$7:$C$2738,A1059)</f>
        <v>1</v>
      </c>
    </row>
    <row r="1060" customFormat="false" ht="15" hidden="false" customHeight="false" outlineLevel="0" collapsed="false">
      <c r="A1060" s="12" t="s">
        <v>4099</v>
      </c>
      <c r="B1060" s="22" t="n">
        <f aca="false">COUNTIFS(選手一覧!$C$7:$C$2738,A1060,選手一覧!$E$7:$E$2738,"&lt;=100")</f>
        <v>0</v>
      </c>
      <c r="C1060" s="18" t="n">
        <f aca="false">COUNTIFS(選手一覧!$C$7:$C$2738,A1060,選手一覧!$E$7:$E$2738,"&gt;0")</f>
        <v>0</v>
      </c>
      <c r="D1060" s="14" t="str">
        <f aca="false">IF(C1060=0,"",_xlfn.MINIFS(選手一覧!$E$7:$E$2738,選手一覧!$C$7:$C$2738,A1060))</f>
        <v/>
      </c>
      <c r="E1060" s="20"/>
      <c r="F1060" s="18" t="n">
        <f aca="false">COUNTIFS(選手一覧!$C$7:$C$2738,A1060,選手一覧!$I$7:$I$2738,"&lt;=100")</f>
        <v>0</v>
      </c>
      <c r="G1060" s="18" t="n">
        <f aca="false">COUNTIFS(選手一覧!$C$7:$C$2738,A1060,選手一覧!$K$7:$K$2738,"&lt;=100")</f>
        <v>0</v>
      </c>
      <c r="H1060" s="17" t="n">
        <f aca="false">COUNTIF(選手一覧!$C$7:$C$2738,A1060)</f>
        <v>1</v>
      </c>
    </row>
    <row r="1061" customFormat="false" ht="15" hidden="false" customHeight="false" outlineLevel="0" collapsed="false">
      <c r="A1061" s="12" t="s">
        <v>4109</v>
      </c>
      <c r="B1061" s="22" t="n">
        <f aca="false">COUNTIFS(選手一覧!$C$7:$C$2738,A1061,選手一覧!$E$7:$E$2738,"&lt;=100")</f>
        <v>0</v>
      </c>
      <c r="C1061" s="18" t="n">
        <f aca="false">COUNTIFS(選手一覧!$C$7:$C$2738,A1061,選手一覧!$E$7:$E$2738,"&gt;0")</f>
        <v>0</v>
      </c>
      <c r="D1061" s="14" t="str">
        <f aca="false">IF(C1061=0,"",_xlfn.MINIFS(選手一覧!$E$7:$E$2738,選手一覧!$C$7:$C$2738,A1061))</f>
        <v/>
      </c>
      <c r="E1061" s="20"/>
      <c r="F1061" s="18" t="n">
        <f aca="false">COUNTIFS(選手一覧!$C$7:$C$2738,A1061,選手一覧!$I$7:$I$2738,"&lt;=100")</f>
        <v>0</v>
      </c>
      <c r="G1061" s="18" t="n">
        <f aca="false">COUNTIFS(選手一覧!$C$7:$C$2738,A1061,選手一覧!$K$7:$K$2738,"&lt;=100")</f>
        <v>0</v>
      </c>
      <c r="H1061" s="17" t="n">
        <f aca="false">COUNTIF(選手一覧!$C$7:$C$2738,A1061)</f>
        <v>1</v>
      </c>
    </row>
    <row r="1062" customFormat="false" ht="15" hidden="false" customHeight="false" outlineLevel="0" collapsed="false">
      <c r="A1062" s="12" t="s">
        <v>4112</v>
      </c>
      <c r="B1062" s="22" t="n">
        <f aca="false">COUNTIFS(選手一覧!$C$7:$C$2738,A1062,選手一覧!$E$7:$E$2738,"&lt;=100")</f>
        <v>0</v>
      </c>
      <c r="C1062" s="18" t="n">
        <f aca="false">COUNTIFS(選手一覧!$C$7:$C$2738,A1062,選手一覧!$E$7:$E$2738,"&gt;0")</f>
        <v>0</v>
      </c>
      <c r="D1062" s="14" t="str">
        <f aca="false">IF(C1062=0,"",_xlfn.MINIFS(選手一覧!$E$7:$E$2738,選手一覧!$C$7:$C$2738,A1062))</f>
        <v/>
      </c>
      <c r="E1062" s="20"/>
      <c r="F1062" s="18" t="n">
        <f aca="false">COUNTIFS(選手一覧!$C$7:$C$2738,A1062,選手一覧!$I$7:$I$2738,"&lt;=100")</f>
        <v>0</v>
      </c>
      <c r="G1062" s="18" t="n">
        <f aca="false">COUNTIFS(選手一覧!$C$7:$C$2738,A1062,選手一覧!$K$7:$K$2738,"&lt;=100")</f>
        <v>0</v>
      </c>
      <c r="H1062" s="17" t="n">
        <f aca="false">COUNTIF(選手一覧!$C$7:$C$2738,A1062)</f>
        <v>1</v>
      </c>
    </row>
    <row r="1063" customFormat="false" ht="15" hidden="false" customHeight="false" outlineLevel="0" collapsed="false">
      <c r="A1063" s="12" t="s">
        <v>4117</v>
      </c>
      <c r="B1063" s="22" t="n">
        <f aca="false">COUNTIFS(選手一覧!$C$7:$C$2738,A1063,選手一覧!$E$7:$E$2738,"&lt;=100")</f>
        <v>0</v>
      </c>
      <c r="C1063" s="18" t="n">
        <f aca="false">COUNTIFS(選手一覧!$C$7:$C$2738,A1063,選手一覧!$E$7:$E$2738,"&gt;0")</f>
        <v>0</v>
      </c>
      <c r="D1063" s="14" t="str">
        <f aca="false">IF(C1063=0,"",_xlfn.MINIFS(選手一覧!$E$7:$E$2738,選手一覧!$C$7:$C$2738,A1063))</f>
        <v/>
      </c>
      <c r="E1063" s="20"/>
      <c r="F1063" s="18" t="n">
        <f aca="false">COUNTIFS(選手一覧!$C$7:$C$2738,A1063,選手一覧!$I$7:$I$2738,"&lt;=100")</f>
        <v>0</v>
      </c>
      <c r="G1063" s="18" t="n">
        <f aca="false">COUNTIFS(選手一覧!$C$7:$C$2738,A1063,選手一覧!$K$7:$K$2738,"&lt;=100")</f>
        <v>0</v>
      </c>
      <c r="H1063" s="17" t="n">
        <f aca="false">COUNTIF(選手一覧!$C$7:$C$2738,A1063)</f>
        <v>1</v>
      </c>
    </row>
    <row r="1064" customFormat="false" ht="15" hidden="false" customHeight="false" outlineLevel="0" collapsed="false">
      <c r="A1064" s="12" t="s">
        <v>4121</v>
      </c>
      <c r="B1064" s="22" t="n">
        <f aca="false">COUNTIFS(選手一覧!$C$7:$C$2738,A1064,選手一覧!$E$7:$E$2738,"&lt;=100")</f>
        <v>0</v>
      </c>
      <c r="C1064" s="18" t="n">
        <f aca="false">COUNTIFS(選手一覧!$C$7:$C$2738,A1064,選手一覧!$E$7:$E$2738,"&gt;0")</f>
        <v>0</v>
      </c>
      <c r="D1064" s="14" t="str">
        <f aca="false">IF(C1064=0,"",_xlfn.MINIFS(選手一覧!$E$7:$E$2738,選手一覧!$C$7:$C$2738,A1064))</f>
        <v/>
      </c>
      <c r="E1064" s="20"/>
      <c r="F1064" s="18" t="n">
        <f aca="false">COUNTIFS(選手一覧!$C$7:$C$2738,A1064,選手一覧!$I$7:$I$2738,"&lt;=100")</f>
        <v>0</v>
      </c>
      <c r="G1064" s="18" t="n">
        <f aca="false">COUNTIFS(選手一覧!$C$7:$C$2738,A1064,選手一覧!$K$7:$K$2738,"&lt;=100")</f>
        <v>0</v>
      </c>
      <c r="H1064" s="17" t="n">
        <f aca="false">COUNTIF(選手一覧!$C$7:$C$2738,A1064)</f>
        <v>1</v>
      </c>
    </row>
    <row r="1065" customFormat="false" ht="15" hidden="false" customHeight="false" outlineLevel="0" collapsed="false">
      <c r="A1065" s="12" t="s">
        <v>4123</v>
      </c>
      <c r="B1065" s="22" t="n">
        <f aca="false">COUNTIFS(選手一覧!$C$7:$C$2738,A1065,選手一覧!$E$7:$E$2738,"&lt;=100")</f>
        <v>0</v>
      </c>
      <c r="C1065" s="18" t="n">
        <f aca="false">COUNTIFS(選手一覧!$C$7:$C$2738,A1065,選手一覧!$E$7:$E$2738,"&gt;0")</f>
        <v>0</v>
      </c>
      <c r="D1065" s="14" t="str">
        <f aca="false">IF(C1065=0,"",_xlfn.MINIFS(選手一覧!$E$7:$E$2738,選手一覧!$C$7:$C$2738,A1065))</f>
        <v/>
      </c>
      <c r="E1065" s="20"/>
      <c r="F1065" s="18" t="n">
        <f aca="false">COUNTIFS(選手一覧!$C$7:$C$2738,A1065,選手一覧!$I$7:$I$2738,"&lt;=100")</f>
        <v>0</v>
      </c>
      <c r="G1065" s="18" t="n">
        <f aca="false">COUNTIFS(選手一覧!$C$7:$C$2738,A1065,選手一覧!$K$7:$K$2738,"&lt;=100")</f>
        <v>0</v>
      </c>
      <c r="H1065" s="17" t="n">
        <f aca="false">COUNTIF(選手一覧!$C$7:$C$2738,A1065)</f>
        <v>1</v>
      </c>
    </row>
    <row r="1066" customFormat="false" ht="15" hidden="false" customHeight="false" outlineLevel="0" collapsed="false">
      <c r="A1066" s="12" t="s">
        <v>4125</v>
      </c>
      <c r="B1066" s="22" t="n">
        <f aca="false">COUNTIFS(選手一覧!$C$7:$C$2738,A1066,選手一覧!$E$7:$E$2738,"&lt;=100")</f>
        <v>0</v>
      </c>
      <c r="C1066" s="18" t="n">
        <f aca="false">COUNTIFS(選手一覧!$C$7:$C$2738,A1066,選手一覧!$E$7:$E$2738,"&gt;0")</f>
        <v>0</v>
      </c>
      <c r="D1066" s="14" t="str">
        <f aca="false">IF(C1066=0,"",_xlfn.MINIFS(選手一覧!$E$7:$E$2738,選手一覧!$C$7:$C$2738,A1066))</f>
        <v/>
      </c>
      <c r="E1066" s="20"/>
      <c r="F1066" s="18" t="n">
        <f aca="false">COUNTIFS(選手一覧!$C$7:$C$2738,A1066,選手一覧!$I$7:$I$2738,"&lt;=100")</f>
        <v>0</v>
      </c>
      <c r="G1066" s="18" t="n">
        <f aca="false">COUNTIFS(選手一覧!$C$7:$C$2738,A1066,選手一覧!$K$7:$K$2738,"&lt;=100")</f>
        <v>0</v>
      </c>
      <c r="H1066" s="17" t="n">
        <f aca="false">COUNTIF(選手一覧!$C$7:$C$2738,A1066)</f>
        <v>1</v>
      </c>
    </row>
    <row r="1067" customFormat="false" ht="15" hidden="false" customHeight="false" outlineLevel="0" collapsed="false">
      <c r="A1067" s="12" t="s">
        <v>4131</v>
      </c>
      <c r="B1067" s="22" t="n">
        <f aca="false">COUNTIFS(選手一覧!$C$7:$C$2738,A1067,選手一覧!$E$7:$E$2738,"&lt;=100")</f>
        <v>0</v>
      </c>
      <c r="C1067" s="18" t="n">
        <f aca="false">COUNTIFS(選手一覧!$C$7:$C$2738,A1067,選手一覧!$E$7:$E$2738,"&gt;0")</f>
        <v>0</v>
      </c>
      <c r="D1067" s="14" t="str">
        <f aca="false">IF(C1067=0,"",_xlfn.MINIFS(選手一覧!$E$7:$E$2738,選手一覧!$C$7:$C$2738,A1067))</f>
        <v/>
      </c>
      <c r="E1067" s="20"/>
      <c r="F1067" s="18" t="n">
        <f aca="false">COUNTIFS(選手一覧!$C$7:$C$2738,A1067,選手一覧!$I$7:$I$2738,"&lt;=100")</f>
        <v>0</v>
      </c>
      <c r="G1067" s="18" t="n">
        <f aca="false">COUNTIFS(選手一覧!$C$7:$C$2738,A1067,選手一覧!$K$7:$K$2738,"&lt;=100")</f>
        <v>0</v>
      </c>
      <c r="H1067" s="17" t="n">
        <f aca="false">COUNTIF(選手一覧!$C$7:$C$2738,A1067)</f>
        <v>1</v>
      </c>
    </row>
    <row r="1068" customFormat="false" ht="15" hidden="false" customHeight="false" outlineLevel="0" collapsed="false">
      <c r="A1068" s="12" t="s">
        <v>4137</v>
      </c>
      <c r="B1068" s="22" t="n">
        <f aca="false">COUNTIFS(選手一覧!$C$7:$C$2738,A1068,選手一覧!$E$7:$E$2738,"&lt;=100")</f>
        <v>0</v>
      </c>
      <c r="C1068" s="18" t="n">
        <f aca="false">COUNTIFS(選手一覧!$C$7:$C$2738,A1068,選手一覧!$E$7:$E$2738,"&gt;0")</f>
        <v>0</v>
      </c>
      <c r="D1068" s="14" t="str">
        <f aca="false">IF(C1068=0,"",_xlfn.MINIFS(選手一覧!$E$7:$E$2738,選手一覧!$C$7:$C$2738,A1068))</f>
        <v/>
      </c>
      <c r="E1068" s="20"/>
      <c r="F1068" s="18" t="n">
        <f aca="false">COUNTIFS(選手一覧!$C$7:$C$2738,A1068,選手一覧!$I$7:$I$2738,"&lt;=100")</f>
        <v>0</v>
      </c>
      <c r="G1068" s="18" t="n">
        <f aca="false">COUNTIFS(選手一覧!$C$7:$C$2738,A1068,選手一覧!$K$7:$K$2738,"&lt;=100")</f>
        <v>0</v>
      </c>
      <c r="H1068" s="17" t="n">
        <f aca="false">COUNTIF(選手一覧!$C$7:$C$2738,A1068)</f>
        <v>1</v>
      </c>
    </row>
    <row r="1069" customFormat="false" ht="15" hidden="false" customHeight="false" outlineLevel="0" collapsed="false">
      <c r="A1069" s="12" t="s">
        <v>4143</v>
      </c>
      <c r="B1069" s="22" t="n">
        <f aca="false">COUNTIFS(選手一覧!$C$7:$C$2738,A1069,選手一覧!$E$7:$E$2738,"&lt;=100")</f>
        <v>0</v>
      </c>
      <c r="C1069" s="18" t="n">
        <f aca="false">COUNTIFS(選手一覧!$C$7:$C$2738,A1069,選手一覧!$E$7:$E$2738,"&gt;0")</f>
        <v>0</v>
      </c>
      <c r="D1069" s="14" t="str">
        <f aca="false">IF(C1069=0,"",_xlfn.MINIFS(選手一覧!$E$7:$E$2738,選手一覧!$C$7:$C$2738,A1069))</f>
        <v/>
      </c>
      <c r="E1069" s="20"/>
      <c r="F1069" s="18" t="n">
        <f aca="false">COUNTIFS(選手一覧!$C$7:$C$2738,A1069,選手一覧!$I$7:$I$2738,"&lt;=100")</f>
        <v>0</v>
      </c>
      <c r="G1069" s="18" t="n">
        <f aca="false">COUNTIFS(選手一覧!$C$7:$C$2738,A1069,選手一覧!$K$7:$K$2738,"&lt;=100")</f>
        <v>0</v>
      </c>
      <c r="H1069" s="17" t="n">
        <f aca="false">COUNTIF(選手一覧!$C$7:$C$2738,A1069)</f>
        <v>1</v>
      </c>
    </row>
    <row r="1070" customFormat="false" ht="15" hidden="false" customHeight="false" outlineLevel="0" collapsed="false">
      <c r="A1070" s="12" t="s">
        <v>4149</v>
      </c>
      <c r="B1070" s="22" t="n">
        <f aca="false">COUNTIFS(選手一覧!$C$7:$C$2738,A1070,選手一覧!$E$7:$E$2738,"&lt;=100")</f>
        <v>0</v>
      </c>
      <c r="C1070" s="18" t="n">
        <f aca="false">COUNTIFS(選手一覧!$C$7:$C$2738,A1070,選手一覧!$E$7:$E$2738,"&gt;0")</f>
        <v>0</v>
      </c>
      <c r="D1070" s="14" t="str">
        <f aca="false">IF(C1070=0,"",_xlfn.MINIFS(選手一覧!$E$7:$E$2738,選手一覧!$C$7:$C$2738,A1070))</f>
        <v/>
      </c>
      <c r="E1070" s="20"/>
      <c r="F1070" s="18" t="n">
        <f aca="false">COUNTIFS(選手一覧!$C$7:$C$2738,A1070,選手一覧!$I$7:$I$2738,"&lt;=100")</f>
        <v>0</v>
      </c>
      <c r="G1070" s="18" t="n">
        <f aca="false">COUNTIFS(選手一覧!$C$7:$C$2738,A1070,選手一覧!$K$7:$K$2738,"&lt;=100")</f>
        <v>0</v>
      </c>
      <c r="H1070" s="17" t="n">
        <f aca="false">COUNTIF(選手一覧!$C$7:$C$2738,A1070)</f>
        <v>1</v>
      </c>
    </row>
    <row r="1071" customFormat="false" ht="15" hidden="false" customHeight="false" outlineLevel="0" collapsed="false">
      <c r="A1071" s="12" t="s">
        <v>4152</v>
      </c>
      <c r="B1071" s="22" t="n">
        <f aca="false">COUNTIFS(選手一覧!$C$7:$C$2738,A1071,選手一覧!$E$7:$E$2738,"&lt;=100")</f>
        <v>0</v>
      </c>
      <c r="C1071" s="18" t="n">
        <f aca="false">COUNTIFS(選手一覧!$C$7:$C$2738,A1071,選手一覧!$E$7:$E$2738,"&gt;0")</f>
        <v>0</v>
      </c>
      <c r="D1071" s="14" t="str">
        <f aca="false">IF(C1071=0,"",_xlfn.MINIFS(選手一覧!$E$7:$E$2738,選手一覧!$C$7:$C$2738,A1071))</f>
        <v/>
      </c>
      <c r="E1071" s="20"/>
      <c r="F1071" s="18" t="n">
        <f aca="false">COUNTIFS(選手一覧!$C$7:$C$2738,A1071,選手一覧!$I$7:$I$2738,"&lt;=100")</f>
        <v>0</v>
      </c>
      <c r="G1071" s="18" t="n">
        <f aca="false">COUNTIFS(選手一覧!$C$7:$C$2738,A1071,選手一覧!$K$7:$K$2738,"&lt;=100")</f>
        <v>0</v>
      </c>
      <c r="H1071" s="17" t="n">
        <f aca="false">COUNTIF(選手一覧!$C$7:$C$2738,A1071)</f>
        <v>1</v>
      </c>
    </row>
    <row r="1072" customFormat="false" ht="15" hidden="false" customHeight="false" outlineLevel="0" collapsed="false">
      <c r="A1072" s="12" t="s">
        <v>4155</v>
      </c>
      <c r="B1072" s="22" t="n">
        <f aca="false">COUNTIFS(選手一覧!$C$7:$C$2738,A1072,選手一覧!$E$7:$E$2738,"&lt;=100")</f>
        <v>0</v>
      </c>
      <c r="C1072" s="18" t="n">
        <f aca="false">COUNTIFS(選手一覧!$C$7:$C$2738,A1072,選手一覧!$E$7:$E$2738,"&gt;0")</f>
        <v>0</v>
      </c>
      <c r="D1072" s="14" t="str">
        <f aca="false">IF(C1072=0,"",_xlfn.MINIFS(選手一覧!$E$7:$E$2738,選手一覧!$C$7:$C$2738,A1072))</f>
        <v/>
      </c>
      <c r="E1072" s="20"/>
      <c r="F1072" s="18" t="n">
        <f aca="false">COUNTIFS(選手一覧!$C$7:$C$2738,A1072,選手一覧!$I$7:$I$2738,"&lt;=100")</f>
        <v>0</v>
      </c>
      <c r="G1072" s="18" t="n">
        <f aca="false">COUNTIFS(選手一覧!$C$7:$C$2738,A1072,選手一覧!$K$7:$K$2738,"&lt;=100")</f>
        <v>0</v>
      </c>
      <c r="H1072" s="17" t="n">
        <f aca="false">COUNTIF(選手一覧!$C$7:$C$2738,A1072)</f>
        <v>1</v>
      </c>
    </row>
    <row r="1073" customFormat="false" ht="15" hidden="false" customHeight="false" outlineLevel="0" collapsed="false">
      <c r="A1073" s="12" t="s">
        <v>4157</v>
      </c>
      <c r="B1073" s="22" t="n">
        <f aca="false">COUNTIFS(選手一覧!$C$7:$C$2738,A1073,選手一覧!$E$7:$E$2738,"&lt;=100")</f>
        <v>0</v>
      </c>
      <c r="C1073" s="18" t="n">
        <f aca="false">COUNTIFS(選手一覧!$C$7:$C$2738,A1073,選手一覧!$E$7:$E$2738,"&gt;0")</f>
        <v>0</v>
      </c>
      <c r="D1073" s="14" t="str">
        <f aca="false">IF(C1073=0,"",_xlfn.MINIFS(選手一覧!$E$7:$E$2738,選手一覧!$C$7:$C$2738,A1073))</f>
        <v/>
      </c>
      <c r="E1073" s="20"/>
      <c r="F1073" s="18" t="n">
        <f aca="false">COUNTIFS(選手一覧!$C$7:$C$2738,A1073,選手一覧!$I$7:$I$2738,"&lt;=100")</f>
        <v>0</v>
      </c>
      <c r="G1073" s="18" t="n">
        <f aca="false">COUNTIFS(選手一覧!$C$7:$C$2738,A1073,選手一覧!$K$7:$K$2738,"&lt;=100")</f>
        <v>0</v>
      </c>
      <c r="H1073" s="17" t="n">
        <f aca="false">COUNTIF(選手一覧!$C$7:$C$2738,A1073)</f>
        <v>1</v>
      </c>
    </row>
    <row r="1074" customFormat="false" ht="15" hidden="false" customHeight="false" outlineLevel="0" collapsed="false">
      <c r="A1074" s="12" t="s">
        <v>4159</v>
      </c>
      <c r="B1074" s="22" t="n">
        <f aca="false">COUNTIFS(選手一覧!$C$7:$C$2738,A1074,選手一覧!$E$7:$E$2738,"&lt;=100")</f>
        <v>0</v>
      </c>
      <c r="C1074" s="18" t="n">
        <f aca="false">COUNTIFS(選手一覧!$C$7:$C$2738,A1074,選手一覧!$E$7:$E$2738,"&gt;0")</f>
        <v>0</v>
      </c>
      <c r="D1074" s="14" t="str">
        <f aca="false">IF(C1074=0,"",_xlfn.MINIFS(選手一覧!$E$7:$E$2738,選手一覧!$C$7:$C$2738,A1074))</f>
        <v/>
      </c>
      <c r="E1074" s="20"/>
      <c r="F1074" s="18" t="n">
        <f aca="false">COUNTIFS(選手一覧!$C$7:$C$2738,A1074,選手一覧!$I$7:$I$2738,"&lt;=100")</f>
        <v>0</v>
      </c>
      <c r="G1074" s="18" t="n">
        <f aca="false">COUNTIFS(選手一覧!$C$7:$C$2738,A1074,選手一覧!$K$7:$K$2738,"&lt;=100")</f>
        <v>0</v>
      </c>
      <c r="H1074" s="17" t="n">
        <f aca="false">COUNTIF(選手一覧!$C$7:$C$2738,A1074)</f>
        <v>1</v>
      </c>
    </row>
    <row r="1075" customFormat="false" ht="15" hidden="false" customHeight="false" outlineLevel="0" collapsed="false">
      <c r="A1075" s="12" t="s">
        <v>4162</v>
      </c>
      <c r="B1075" s="22" t="n">
        <f aca="false">COUNTIFS(選手一覧!$C$7:$C$2738,A1075,選手一覧!$E$7:$E$2738,"&lt;=100")</f>
        <v>0</v>
      </c>
      <c r="C1075" s="18" t="n">
        <f aca="false">COUNTIFS(選手一覧!$C$7:$C$2738,A1075,選手一覧!$E$7:$E$2738,"&gt;0")</f>
        <v>0</v>
      </c>
      <c r="D1075" s="14" t="str">
        <f aca="false">IF(C1075=0,"",_xlfn.MINIFS(選手一覧!$E$7:$E$2738,選手一覧!$C$7:$C$2738,A1075))</f>
        <v/>
      </c>
      <c r="E1075" s="20"/>
      <c r="F1075" s="18" t="n">
        <f aca="false">COUNTIFS(選手一覧!$C$7:$C$2738,A1075,選手一覧!$I$7:$I$2738,"&lt;=100")</f>
        <v>0</v>
      </c>
      <c r="G1075" s="18" t="n">
        <f aca="false">COUNTIFS(選手一覧!$C$7:$C$2738,A1075,選手一覧!$K$7:$K$2738,"&lt;=100")</f>
        <v>0</v>
      </c>
      <c r="H1075" s="17" t="n">
        <f aca="false">COUNTIF(選手一覧!$C$7:$C$2738,A1075)</f>
        <v>1</v>
      </c>
    </row>
    <row r="1076" customFormat="false" ht="15" hidden="false" customHeight="false" outlineLevel="0" collapsed="false">
      <c r="A1076" s="12" t="s">
        <v>4164</v>
      </c>
      <c r="B1076" s="22" t="n">
        <f aca="false">COUNTIFS(選手一覧!$C$7:$C$2738,A1076,選手一覧!$E$7:$E$2738,"&lt;=100")</f>
        <v>0</v>
      </c>
      <c r="C1076" s="18" t="n">
        <f aca="false">COUNTIFS(選手一覧!$C$7:$C$2738,A1076,選手一覧!$E$7:$E$2738,"&gt;0")</f>
        <v>0</v>
      </c>
      <c r="D1076" s="14" t="str">
        <f aca="false">IF(C1076=0,"",_xlfn.MINIFS(選手一覧!$E$7:$E$2738,選手一覧!$C$7:$C$2738,A1076))</f>
        <v/>
      </c>
      <c r="E1076" s="20"/>
      <c r="F1076" s="18" t="n">
        <f aca="false">COUNTIFS(選手一覧!$C$7:$C$2738,A1076,選手一覧!$I$7:$I$2738,"&lt;=100")</f>
        <v>0</v>
      </c>
      <c r="G1076" s="18" t="n">
        <f aca="false">COUNTIFS(選手一覧!$C$7:$C$2738,A1076,選手一覧!$K$7:$K$2738,"&lt;=100")</f>
        <v>0</v>
      </c>
      <c r="H1076" s="17" t="n">
        <f aca="false">COUNTIF(選手一覧!$C$7:$C$2738,A1076)</f>
        <v>1</v>
      </c>
    </row>
  </sheetData>
  <autoFilter ref="A4:H1076"/>
  <conditionalFormatting sqref="D5:D1076">
    <cfRule type="cellIs" priority="2" operator="lessThanOrEqual" aboveAverage="0" equalAverage="0" bottom="0" percent="0" rank="0" text="" dxfId="9">
      <formula>10</formula>
    </cfRule>
    <cfRule type="cellIs" priority="3" operator="lessThanOrEqual" aboveAverage="0" equalAverage="0" bottom="0" percent="0" rank="0" text="" dxfId="10">
      <formula>50</formula>
    </cfRule>
    <cfRule type="cellIs" priority="4" operator="lessThanOrEqual" aboveAverage="0" equalAverage="0" bottom="0" percent="0" rank="0" text="" dxfId="11">
      <formula>100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2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7" ySplit="4" topLeftCell="H5" activePane="bottomRight" state="frozen"/>
      <selection pane="topLeft" activeCell="A1" activeCellId="0" sqref="A1"/>
      <selection pane="topRight" activeCell="H1" activeCellId="0" sqref="H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8"/>
    <col collapsed="false" customWidth="true" hidden="false" outlineLevel="0" max="3" min="3" style="0" width="7"/>
    <col collapsed="false" customWidth="true" hidden="false" outlineLevel="0" max="4" min="4" style="0" width="8"/>
    <col collapsed="false" customWidth="true" hidden="false" outlineLevel="0" max="5" min="5" style="0" width="10"/>
    <col collapsed="false" customWidth="true" hidden="false" outlineLevel="0" max="6" min="6" style="0" width="8"/>
    <col collapsed="false" customWidth="true" hidden="false" outlineLevel="0" max="7" min="7" style="0" width="18"/>
    <col collapsed="false" customWidth="true" hidden="false" outlineLevel="0" max="8" min="8" style="0" width="20"/>
    <col collapsed="false" customWidth="true" hidden="false" outlineLevel="0" max="9" min="9" style="0" width="9"/>
    <col collapsed="false" customWidth="true" hidden="false" outlineLevel="0" max="10" min="10" style="0" width="8"/>
    <col collapsed="false" customWidth="true" hidden="false" outlineLevel="0" max="11" min="11" style="0" width="6"/>
    <col collapsed="false" customWidth="true" hidden="false" outlineLevel="0" max="12" min="12" style="0" width="11"/>
    <col collapsed="false" customWidth="true" hidden="false" outlineLevel="0" max="13" min="13" style="0" width="8"/>
    <col collapsed="false" customWidth="true" hidden="false" outlineLevel="0" max="14" min="14" style="0" width="10"/>
    <col collapsed="false" customWidth="true" hidden="false" outlineLevel="0" max="15" min="15" style="0" width="8"/>
    <col collapsed="false" customWidth="true" hidden="false" outlineLevel="0" max="16" min="16" style="0" width="10"/>
    <col collapsed="false" customWidth="true" hidden="false" outlineLevel="0" max="17" min="17" style="0" width="8"/>
  </cols>
  <sheetData>
    <row r="1" customFormat="false" ht="19.4" hidden="false" customHeight="false" outlineLevel="0" collapsed="false">
      <c r="A1" s="21" t="s">
        <v>4244</v>
      </c>
    </row>
    <row r="2" customFormat="false" ht="15" hidden="false" customHeight="false" outlineLevel="0" collapsed="false">
      <c r="A2" s="2" t="s">
        <v>4245</v>
      </c>
    </row>
    <row r="4" customFormat="false" ht="33.75" hidden="false" customHeight="true" outlineLevel="0" collapsed="false">
      <c r="A4" s="8" t="s">
        <v>4246</v>
      </c>
      <c r="B4" s="8" t="s">
        <v>4247</v>
      </c>
      <c r="C4" s="8" t="s">
        <v>4248</v>
      </c>
      <c r="D4" s="7" t="s">
        <v>4249</v>
      </c>
      <c r="E4" s="8" t="s">
        <v>4250</v>
      </c>
      <c r="F4" s="7" t="s">
        <v>4251</v>
      </c>
      <c r="G4" s="8" t="s">
        <v>8</v>
      </c>
      <c r="H4" s="8" t="s">
        <v>4252</v>
      </c>
      <c r="I4" s="8" t="s">
        <v>4253</v>
      </c>
      <c r="J4" s="8" t="s">
        <v>4254</v>
      </c>
      <c r="K4" s="7" t="s">
        <v>7</v>
      </c>
      <c r="L4" s="9" t="s">
        <v>10</v>
      </c>
      <c r="M4" s="9" t="s">
        <v>11</v>
      </c>
      <c r="N4" s="7" t="s">
        <v>14</v>
      </c>
      <c r="O4" s="7" t="s">
        <v>15</v>
      </c>
      <c r="P4" s="7" t="s">
        <v>16</v>
      </c>
      <c r="Q4" s="7" t="s">
        <v>17</v>
      </c>
    </row>
    <row r="5" customFormat="false" ht="15" hidden="false" customHeight="false" outlineLevel="0" collapsed="false">
      <c r="A5" s="23" t="n">
        <v>1</v>
      </c>
      <c r="B5" s="24" t="n">
        <v>10</v>
      </c>
      <c r="C5" s="14" t="n">
        <v>2</v>
      </c>
      <c r="D5" s="25" t="n">
        <f aca="false">COUNTIFS($A$5:$A$229,A5,$E$5:$E$229,"&lt;"&amp;E5)+1</f>
        <v>1</v>
      </c>
      <c r="E5" s="26" t="n">
        <v>0.0200694444444445</v>
      </c>
      <c r="F5" s="26" t="n">
        <f aca="false">E5/B5</f>
        <v>0.00200694444444445</v>
      </c>
      <c r="G5" s="27" t="s">
        <v>4255</v>
      </c>
      <c r="H5" s="27" t="s">
        <v>4256</v>
      </c>
      <c r="I5" s="28" t="s">
        <v>4257</v>
      </c>
      <c r="J5" s="25" t="n">
        <v>2</v>
      </c>
      <c r="K5" s="25" t="n">
        <v>2</v>
      </c>
      <c r="L5" s="13" t="n">
        <f aca="false">IF(INDEX(選手一覧!$D$7:$D$2738,$K5)="","",INDEX(選手一覧!$D$7:$D$2738,$K5))</f>
        <v>0.00964340277777778</v>
      </c>
      <c r="M5" s="14" t="n">
        <f aca="false">IF(INDEX(選手一覧!$E$7:$E$2738,$K5)="","",INDEX(選手一覧!$E$7:$E$2738,$K5))</f>
        <v>2</v>
      </c>
      <c r="N5" s="16" t="n">
        <f aca="false">IF(INDEX(選手一覧!$H$7:$H$2738,$K5)="","",INDEX(選手一覧!$H$7:$H$2738,$K5))</f>
        <v>0.00642048611111111</v>
      </c>
      <c r="O5" s="17" t="n">
        <f aca="false">IF(INDEX(選手一覧!$I$7:$I$2738,$K5)="","",INDEX(選手一覧!$I$7:$I$2738,$K5))</f>
        <v>19</v>
      </c>
      <c r="P5" s="16" t="n">
        <f aca="false">IF(INDEX(選手一覧!$J$7:$J$2738,$K5)="","",INDEX(選手一覧!$J$7:$J$2738,$K5))</f>
        <v>0.00260451388888889</v>
      </c>
      <c r="Q5" s="17" t="n">
        <f aca="false">IF(INDEX(選手一覧!$K$7:$K$2738,$K5)="","",INDEX(選手一覧!$K$7:$K$2738,$K5))</f>
        <v>1</v>
      </c>
    </row>
    <row r="6" customFormat="false" ht="15" hidden="false" customHeight="false" outlineLevel="0" collapsed="false">
      <c r="A6" s="23" t="n">
        <v>1</v>
      </c>
      <c r="B6" s="24" t="n">
        <v>10</v>
      </c>
      <c r="C6" s="14" t="n">
        <v>3</v>
      </c>
      <c r="D6" s="25" t="n">
        <f aca="false">COUNTIFS($A$5:$A$229,A6,$E$5:$E$229,"&lt;"&amp;E6)+1</f>
        <v>2</v>
      </c>
      <c r="E6" s="26" t="n">
        <v>0.0201157407407407</v>
      </c>
      <c r="F6" s="26" t="n">
        <f aca="false">E6/B6</f>
        <v>0.00201157407407407</v>
      </c>
      <c r="G6" s="27" t="s">
        <v>4258</v>
      </c>
      <c r="H6" s="27" t="s">
        <v>4259</v>
      </c>
      <c r="I6" s="28" t="s">
        <v>4260</v>
      </c>
      <c r="J6" s="25" t="n">
        <v>3</v>
      </c>
      <c r="K6" s="25" t="n">
        <v>6</v>
      </c>
      <c r="L6" s="13" t="n">
        <f aca="false">IF(INDEX(選手一覧!$D$7:$D$2738,$K6)="","",INDEX(選手一覧!$D$7:$D$2738,$K6))</f>
        <v>0.00975914351851852</v>
      </c>
      <c r="M6" s="14" t="n">
        <f aca="false">IF(INDEX(選手一覧!$E$7:$E$2738,$K6)="","",INDEX(選手一覧!$E$7:$E$2738,$K6))</f>
        <v>6</v>
      </c>
      <c r="N6" s="16" t="n">
        <f aca="false">IF(INDEX(選手一覧!$H$7:$H$2738,$K6)="","",INDEX(選手一覧!$H$7:$H$2738,$K6))</f>
        <v>0.00626909722222222</v>
      </c>
      <c r="O6" s="17" t="n">
        <f aca="false">IF(INDEX(選手一覧!$I$7:$I$2738,$K6)="","",INDEX(選手一覧!$I$7:$I$2738,$K6))</f>
        <v>2</v>
      </c>
      <c r="P6" s="16" t="n">
        <f aca="false">IF(INDEX(選手一覧!$J$7:$J$2738,$K6)="","",INDEX(選手一覧!$J$7:$J$2738,$K6))</f>
        <v>0.00278136574074074</v>
      </c>
      <c r="Q6" s="17" t="n">
        <f aca="false">IF(INDEX(選手一覧!$K$7:$K$2738,$K6)="","",INDEX(選手一覧!$K$7:$K$2738,$K6))</f>
        <v>209</v>
      </c>
    </row>
    <row r="7" customFormat="false" ht="15" hidden="false" customHeight="false" outlineLevel="0" collapsed="false">
      <c r="A7" s="23" t="n">
        <v>1</v>
      </c>
      <c r="B7" s="24" t="n">
        <v>10</v>
      </c>
      <c r="C7" s="14" t="n">
        <v>7</v>
      </c>
      <c r="D7" s="25" t="n">
        <f aca="false">COUNTIFS($A$5:$A$229,A7,$E$5:$E$229,"&lt;"&amp;E7)+1</f>
        <v>3</v>
      </c>
      <c r="E7" s="26" t="n">
        <v>0.0202083333333333</v>
      </c>
      <c r="F7" s="26" t="n">
        <f aca="false">E7/B7</f>
        <v>0.00202083333333333</v>
      </c>
      <c r="G7" s="27" t="s">
        <v>4261</v>
      </c>
      <c r="H7" s="27" t="s">
        <v>4262</v>
      </c>
      <c r="I7" s="28" t="s">
        <v>4260</v>
      </c>
      <c r="J7" s="25" t="n">
        <v>1</v>
      </c>
      <c r="K7" s="25" t="n">
        <v>11</v>
      </c>
      <c r="L7" s="13" t="n">
        <f aca="false">IF(INDEX(選手一覧!$D$7:$D$2738,$K7)="","",INDEX(選手一覧!$D$7:$D$2738,$K7))</f>
        <v>0.00987071759259259</v>
      </c>
      <c r="M7" s="14" t="n">
        <f aca="false">IF(INDEX(選手一覧!$E$7:$E$2738,$K7)="","",INDEX(選手一覧!$E$7:$E$2738,$K7))</f>
        <v>11</v>
      </c>
      <c r="N7" s="16" t="str">
        <f aca="false">IF(INDEX(選手一覧!$H$7:$H$2738,$K7)="","",INDEX(選手一覧!$H$7:$H$2738,$K7))</f>
        <v/>
      </c>
      <c r="O7" s="17" t="str">
        <f aca="false">IF(INDEX(選手一覧!$I$7:$I$2738,$K7)="","",INDEX(選手一覧!$I$7:$I$2738,$K7))</f>
        <v/>
      </c>
      <c r="P7" s="16" t="n">
        <f aca="false">IF(INDEX(選手一覧!$J$7:$J$2738,$K7)="","",INDEX(選手一覧!$J$7:$J$2738,$K7))</f>
        <v>0.00275902777777778</v>
      </c>
      <c r="Q7" s="17" t="n">
        <f aca="false">IF(INDEX(選手一覧!$K$7:$K$2738,$K7)="","",INDEX(選手一覧!$K$7:$K$2738,$K7))</f>
        <v>132</v>
      </c>
    </row>
    <row r="8" customFormat="false" ht="15" hidden="false" customHeight="false" outlineLevel="0" collapsed="false">
      <c r="A8" s="23" t="n">
        <v>1</v>
      </c>
      <c r="B8" s="24" t="n">
        <v>10</v>
      </c>
      <c r="C8" s="14" t="n">
        <v>12</v>
      </c>
      <c r="D8" s="25" t="n">
        <f aca="false">COUNTIFS($A$5:$A$229,A8,$E$5:$E$229,"&lt;"&amp;E8)+1</f>
        <v>4</v>
      </c>
      <c r="E8" s="26" t="n">
        <v>0.0204282407407407</v>
      </c>
      <c r="F8" s="26" t="n">
        <f aca="false">E8/B8</f>
        <v>0.00204282407407407</v>
      </c>
      <c r="G8" s="27" t="s">
        <v>4263</v>
      </c>
      <c r="H8" s="27" t="s">
        <v>4264</v>
      </c>
      <c r="I8" s="28" t="s">
        <v>4265</v>
      </c>
      <c r="J8" s="25" t="n">
        <v>11</v>
      </c>
      <c r="K8" s="25" t="n">
        <v>43</v>
      </c>
      <c r="L8" s="13" t="n">
        <f aca="false">IF(INDEX(選手一覧!$D$7:$D$2738,$K8)="","",INDEX(選手一覧!$D$7:$D$2738,$K8))</f>
        <v>0.010080787037037</v>
      </c>
      <c r="M8" s="14" t="n">
        <f aca="false">IF(INDEX(選手一覧!$E$7:$E$2738,$K8)="","",INDEX(選手一覧!$E$7:$E$2738,$K8))</f>
        <v>44</v>
      </c>
      <c r="N8" s="16" t="str">
        <f aca="false">IF(INDEX(選手一覧!$H$7:$H$2738,$K8)="","",INDEX(選手一覧!$H$7:$H$2738,$K8))</f>
        <v/>
      </c>
      <c r="O8" s="17" t="str">
        <f aca="false">IF(INDEX(選手一覧!$I$7:$I$2738,$K8)="","",INDEX(選手一覧!$I$7:$I$2738,$K8))</f>
        <v/>
      </c>
      <c r="P8" s="16" t="n">
        <f aca="false">IF(INDEX(選手一覧!$J$7:$J$2738,$K8)="","",INDEX(選手一覧!$J$7:$J$2738,$K8))</f>
        <v>0.00285601851851852</v>
      </c>
      <c r="Q8" s="17" t="n">
        <f aca="false">IF(INDEX(選手一覧!$K$7:$K$2738,$K8)="","",INDEX(選手一覧!$K$7:$K$2738,$K8))</f>
        <v>608</v>
      </c>
    </row>
    <row r="9" customFormat="false" ht="15" hidden="false" customHeight="false" outlineLevel="0" collapsed="false">
      <c r="A9" s="23" t="n">
        <v>1</v>
      </c>
      <c r="B9" s="24" t="n">
        <v>10</v>
      </c>
      <c r="C9" s="14" t="n">
        <v>13</v>
      </c>
      <c r="D9" s="25" t="n">
        <f aca="false">COUNTIFS($A$5:$A$229,A9,$E$5:$E$229,"&lt;"&amp;E9)+1</f>
        <v>5</v>
      </c>
      <c r="E9" s="26" t="n">
        <v>0.0204398148148148</v>
      </c>
      <c r="F9" s="26" t="n">
        <f aca="false">E9/B9</f>
        <v>0.00204398148148148</v>
      </c>
      <c r="G9" s="27" t="s">
        <v>4266</v>
      </c>
      <c r="H9" s="27" t="s">
        <v>4267</v>
      </c>
      <c r="I9" s="28" t="s">
        <v>4268</v>
      </c>
      <c r="J9" s="25" t="n">
        <v>6</v>
      </c>
      <c r="K9" s="25" t="n">
        <v>53</v>
      </c>
      <c r="L9" s="13" t="n">
        <f aca="false">IF(INDEX(選手一覧!$D$7:$D$2738,$K9)="","",INDEX(選手一覧!$D$7:$D$2738,$K9))</f>
        <v>0.0101061342592593</v>
      </c>
      <c r="M9" s="14" t="n">
        <f aca="false">IF(INDEX(選手一覧!$E$7:$E$2738,$K9)="","",INDEX(選手一覧!$E$7:$E$2738,$K9))</f>
        <v>54</v>
      </c>
      <c r="N9" s="16" t="str">
        <f aca="false">IF(INDEX(選手一覧!$H$7:$H$2738,$K9)="","",INDEX(選手一覧!$H$7:$H$2738,$K9))</f>
        <v/>
      </c>
      <c r="O9" s="17" t="str">
        <f aca="false">IF(INDEX(選手一覧!$I$7:$I$2738,$K9)="","",INDEX(選手一覧!$I$7:$I$2738,$K9))</f>
        <v/>
      </c>
      <c r="P9" s="16" t="n">
        <f aca="false">IF(INDEX(選手一覧!$J$7:$J$2738,$K9)="","",INDEX(選手一覧!$J$7:$J$2738,$K9))</f>
        <v>0.00276990740740741</v>
      </c>
      <c r="Q9" s="17" t="n">
        <f aca="false">IF(INDEX(選手一覧!$K$7:$K$2738,$K9)="","",INDEX(選手一覧!$K$7:$K$2738,$K9))</f>
        <v>161</v>
      </c>
    </row>
    <row r="10" customFormat="false" ht="15" hidden="false" customHeight="false" outlineLevel="0" collapsed="false">
      <c r="A10" s="23" t="n">
        <v>1</v>
      </c>
      <c r="B10" s="24" t="n">
        <v>10</v>
      </c>
      <c r="C10" s="14" t="n">
        <v>18</v>
      </c>
      <c r="D10" s="25" t="n">
        <f aca="false">COUNTIFS($A$5:$A$229,A10,$E$5:$E$229,"&lt;"&amp;E10)+1</f>
        <v>6</v>
      </c>
      <c r="E10" s="26" t="n">
        <v>0.0205787037037037</v>
      </c>
      <c r="F10" s="26" t="n">
        <f aca="false">E10/B10</f>
        <v>0.00205787037037037</v>
      </c>
      <c r="G10" s="27" t="s">
        <v>4269</v>
      </c>
      <c r="H10" s="27" t="s">
        <v>4270</v>
      </c>
      <c r="I10" s="28" t="s">
        <v>4271</v>
      </c>
      <c r="J10" s="25" t="n">
        <v>37</v>
      </c>
      <c r="K10" s="25" t="n">
        <v>168</v>
      </c>
      <c r="L10" s="13" t="n">
        <f aca="false">IF(INDEX(選手一覧!$D$7:$D$2738,$K10)="","",INDEX(選手一覧!$D$7:$D$2738,$K10))</f>
        <v>0.0103164351851852</v>
      </c>
      <c r="M10" s="14" t="n">
        <f aca="false">IF(INDEX(選手一覧!$E$7:$E$2738,$K10)="","",INDEX(選手一覧!$E$7:$E$2738,$K10))</f>
        <v>169</v>
      </c>
      <c r="N10" s="16" t="str">
        <f aca="false">IF(INDEX(選手一覧!$H$7:$H$2738,$K10)="","",INDEX(選手一覧!$H$7:$H$2738,$K10))</f>
        <v/>
      </c>
      <c r="O10" s="17" t="str">
        <f aca="false">IF(INDEX(選手一覧!$I$7:$I$2738,$K10)="","",INDEX(選手一覧!$I$7:$I$2738,$K10))</f>
        <v/>
      </c>
      <c r="P10" s="16" t="n">
        <f aca="false">IF(INDEX(選手一覧!$J$7:$J$2738,$K10)="","",INDEX(選手一覧!$J$7:$J$2738,$K10))</f>
        <v>0.00283576388888889</v>
      </c>
      <c r="Q10" s="17" t="n">
        <f aca="false">IF(INDEX(選手一覧!$K$7:$K$2738,$K10)="","",INDEX(選手一覧!$K$7:$K$2738,$K10))</f>
        <v>468</v>
      </c>
    </row>
    <row r="11" customFormat="false" ht="15" hidden="false" customHeight="false" outlineLevel="0" collapsed="false">
      <c r="A11" s="23" t="n">
        <v>1</v>
      </c>
      <c r="B11" s="24" t="n">
        <v>10</v>
      </c>
      <c r="C11" s="14" t="n">
        <v>20</v>
      </c>
      <c r="D11" s="25" t="n">
        <f aca="false">COUNTIFS($A$5:$A$229,A11,$E$5:$E$229,"&lt;"&amp;E11)+1</f>
        <v>7</v>
      </c>
      <c r="E11" s="26" t="n">
        <v>0.0206597222222222</v>
      </c>
      <c r="F11" s="26" t="n">
        <f aca="false">E11/B11</f>
        <v>0.00206597222222222</v>
      </c>
      <c r="G11" s="27" t="s">
        <v>4272</v>
      </c>
      <c r="H11" s="27" t="s">
        <v>4273</v>
      </c>
      <c r="I11" s="28" t="s">
        <v>4274</v>
      </c>
      <c r="J11" s="25" t="n">
        <v>10</v>
      </c>
      <c r="K11" s="25" t="n">
        <v>114</v>
      </c>
      <c r="L11" s="13" t="n">
        <f aca="false">IF(INDEX(選手一覧!$D$7:$D$2738,$K11)="","",INDEX(選手一覧!$D$7:$D$2738,$K11))</f>
        <v>0.0102358796296296</v>
      </c>
      <c r="M11" s="14" t="n">
        <f aca="false">IF(INDEX(選手一覧!$E$7:$E$2738,$K11)="","",INDEX(選手一覧!$E$7:$E$2738,$K11))</f>
        <v>115</v>
      </c>
      <c r="N11" s="16" t="str">
        <f aca="false">IF(INDEX(選手一覧!$H$7:$H$2738,$K11)="","",INDEX(選手一覧!$H$7:$H$2738,$K11))</f>
        <v/>
      </c>
      <c r="O11" s="17" t="str">
        <f aca="false">IF(INDEX(選手一覧!$I$7:$I$2738,$K11)="","",INDEX(選手一覧!$I$7:$I$2738,$K11))</f>
        <v/>
      </c>
      <c r="P11" s="16" t="n">
        <f aca="false">IF(INDEX(選手一覧!$J$7:$J$2738,$K11)="","",INDEX(選手一覧!$J$7:$J$2738,$K11))</f>
        <v>0.0029318287037037</v>
      </c>
      <c r="Q11" s="17" t="n">
        <f aca="false">IF(INDEX(選手一覧!$K$7:$K$2738,$K11)="","",INDEX(選手一覧!$K$7:$K$2738,$K11))</f>
        <v>1177</v>
      </c>
    </row>
    <row r="12" customFormat="false" ht="15" hidden="false" customHeight="false" outlineLevel="0" collapsed="false">
      <c r="A12" s="23" t="n">
        <v>1</v>
      </c>
      <c r="B12" s="24" t="n">
        <v>10</v>
      </c>
      <c r="C12" s="14" t="n">
        <v>22</v>
      </c>
      <c r="D12" s="25" t="n">
        <f aca="false">COUNTIFS($A$5:$A$229,A12,$E$5:$E$229,"&lt;"&amp;E12)+1</f>
        <v>8</v>
      </c>
      <c r="E12" s="26" t="n">
        <v>0.0206828703703704</v>
      </c>
      <c r="F12" s="26" t="n">
        <f aca="false">E12/B12</f>
        <v>0.00206828703703704</v>
      </c>
      <c r="G12" s="27" t="s">
        <v>4275</v>
      </c>
      <c r="H12" s="27" t="s">
        <v>4276</v>
      </c>
      <c r="I12" s="28" t="s">
        <v>4277</v>
      </c>
      <c r="J12" s="25" t="n">
        <v>8</v>
      </c>
      <c r="K12" s="25" t="n">
        <v>13</v>
      </c>
      <c r="L12" s="13" t="n">
        <f aca="false">IF(INDEX(選手一覧!$D$7:$D$2738,$K12)="","",INDEX(選手一覧!$D$7:$D$2738,$K12))</f>
        <v>0.00990069444444445</v>
      </c>
      <c r="M12" s="14" t="n">
        <f aca="false">IF(INDEX(選手一覧!$E$7:$E$2738,$K12)="","",INDEX(選手一覧!$E$7:$E$2738,$K12))</f>
        <v>14</v>
      </c>
      <c r="N12" s="16" t="str">
        <f aca="false">IF(INDEX(選手一覧!$H$7:$H$2738,$K12)="","",INDEX(選手一覧!$H$7:$H$2738,$K12))</f>
        <v/>
      </c>
      <c r="O12" s="17" t="str">
        <f aca="false">IF(INDEX(選手一覧!$I$7:$I$2738,$K12)="","",INDEX(選手一覧!$I$7:$I$2738,$K12))</f>
        <v/>
      </c>
      <c r="P12" s="16" t="n">
        <f aca="false">IF(INDEX(選手一覧!$J$7:$J$2738,$K12)="","",INDEX(選手一覧!$J$7:$J$2738,$K12))</f>
        <v>0.00268946759259259</v>
      </c>
      <c r="Q12" s="17" t="n">
        <f aca="false">IF(INDEX(選手一覧!$K$7:$K$2738,$K12)="","",INDEX(選手一覧!$K$7:$K$2738,$K12))</f>
        <v>18</v>
      </c>
    </row>
    <row r="13" customFormat="false" ht="15" hidden="false" customHeight="false" outlineLevel="0" collapsed="false">
      <c r="A13" s="23" t="n">
        <v>1</v>
      </c>
      <c r="B13" s="24" t="n">
        <v>10</v>
      </c>
      <c r="C13" s="14" t="n">
        <v>26</v>
      </c>
      <c r="D13" s="25" t="n">
        <f aca="false">COUNTIFS($A$5:$A$229,A13,$E$5:$E$229,"&lt;"&amp;E13)+1</f>
        <v>9</v>
      </c>
      <c r="E13" s="26" t="n">
        <v>0.0207175925925926</v>
      </c>
      <c r="F13" s="26" t="n">
        <f aca="false">E13/B13</f>
        <v>0.00207175925925926</v>
      </c>
      <c r="G13" s="27" t="s">
        <v>4278</v>
      </c>
      <c r="H13" s="27" t="s">
        <v>4279</v>
      </c>
      <c r="I13" s="28" t="s">
        <v>4280</v>
      </c>
      <c r="J13" s="25" t="n">
        <v>38</v>
      </c>
      <c r="K13" s="25" t="n">
        <v>110</v>
      </c>
      <c r="L13" s="13" t="n">
        <f aca="false">IF(INDEX(選手一覧!$D$7:$D$2738,$K13)="","",INDEX(選手一覧!$D$7:$D$2738,$K13))</f>
        <v>0.0102291666666667</v>
      </c>
      <c r="M13" s="14" t="n">
        <f aca="false">IF(INDEX(選手一覧!$E$7:$E$2738,$K13)="","",INDEX(選手一覧!$E$7:$E$2738,$K13))</f>
        <v>111</v>
      </c>
      <c r="N13" s="16" t="str">
        <f aca="false">IF(INDEX(選手一覧!$H$7:$H$2738,$K13)="","",INDEX(選手一覧!$H$7:$H$2738,$K13))</f>
        <v/>
      </c>
      <c r="O13" s="17" t="str">
        <f aca="false">IF(INDEX(選手一覧!$I$7:$I$2738,$K13)="","",INDEX(選手一覧!$I$7:$I$2738,$K13))</f>
        <v/>
      </c>
      <c r="P13" s="16" t="n">
        <f aca="false">IF(INDEX(選手一覧!$J$7:$J$2738,$K13)="","",INDEX(選手一覧!$J$7:$J$2738,$K13))</f>
        <v>0.00281643518518519</v>
      </c>
      <c r="Q13" s="17" t="n">
        <f aca="false">IF(INDEX(選手一覧!$K$7:$K$2738,$K13)="","",INDEX(選手一覧!$K$7:$K$2738,$K13))</f>
        <v>346</v>
      </c>
    </row>
    <row r="14" customFormat="false" ht="15" hidden="false" customHeight="false" outlineLevel="0" collapsed="false">
      <c r="A14" s="23" t="n">
        <v>1</v>
      </c>
      <c r="B14" s="24" t="n">
        <v>10</v>
      </c>
      <c r="C14" s="14" t="n">
        <v>30</v>
      </c>
      <c r="D14" s="25" t="n">
        <f aca="false">COUNTIFS($A$5:$A$229,A14,$E$5:$E$229,"&lt;"&amp;E14)+1</f>
        <v>10</v>
      </c>
      <c r="E14" s="26" t="n">
        <v>0.0208680555555556</v>
      </c>
      <c r="F14" s="26" t="n">
        <f aca="false">E14/B14</f>
        <v>0.00208680555555556</v>
      </c>
      <c r="G14" s="27" t="s">
        <v>4281</v>
      </c>
      <c r="H14" s="27" t="s">
        <v>4282</v>
      </c>
      <c r="I14" s="28" t="s">
        <v>4257</v>
      </c>
      <c r="J14" s="25" t="n">
        <v>23</v>
      </c>
      <c r="K14" s="25" t="n">
        <v>79</v>
      </c>
      <c r="L14" s="13" t="n">
        <f aca="false">IF(INDEX(選手一覧!$D$7:$D$2738,$K14)="","",INDEX(選手一覧!$D$7:$D$2738,$K14))</f>
        <v>0.0101733796296296</v>
      </c>
      <c r="M14" s="14" t="n">
        <f aca="false">IF(INDEX(選手一覧!$E$7:$E$2738,$K14)="","",INDEX(選手一覧!$E$7:$E$2738,$K14))</f>
        <v>80</v>
      </c>
      <c r="N14" s="16" t="str">
        <f aca="false">IF(INDEX(選手一覧!$H$7:$H$2738,$K14)="","",INDEX(選手一覧!$H$7:$H$2738,$K14))</f>
        <v/>
      </c>
      <c r="O14" s="17" t="str">
        <f aca="false">IF(INDEX(選手一覧!$I$7:$I$2738,$K14)="","",INDEX(選手一覧!$I$7:$I$2738,$K14))</f>
        <v/>
      </c>
      <c r="P14" s="16" t="str">
        <f aca="false">IF(INDEX(選手一覧!$J$7:$J$2738,$K14)="","",INDEX(選手一覧!$J$7:$J$2738,$K14))</f>
        <v/>
      </c>
      <c r="Q14" s="17" t="str">
        <f aca="false">IF(INDEX(選手一覧!$K$7:$K$2738,$K14)="","",INDEX(選手一覧!$K$7:$K$2738,$K14))</f>
        <v/>
      </c>
    </row>
    <row r="15" customFormat="false" ht="15" hidden="false" customHeight="false" outlineLevel="0" collapsed="false">
      <c r="A15" s="23" t="n">
        <v>1</v>
      </c>
      <c r="B15" s="24" t="n">
        <v>10</v>
      </c>
      <c r="C15" s="14" t="n">
        <v>32</v>
      </c>
      <c r="D15" s="25" t="n">
        <f aca="false">COUNTIFS($A$5:$A$229,A15,$E$5:$E$229,"&lt;"&amp;E15)+1</f>
        <v>11</v>
      </c>
      <c r="E15" s="26" t="n">
        <v>0.0209027777777778</v>
      </c>
      <c r="F15" s="26" t="n">
        <f aca="false">E15/B15</f>
        <v>0.00209027777777778</v>
      </c>
      <c r="G15" s="27" t="s">
        <v>4283</v>
      </c>
      <c r="H15" s="27" t="s">
        <v>4284</v>
      </c>
      <c r="I15" s="28" t="s">
        <v>4284</v>
      </c>
      <c r="J15" s="25" t="n">
        <v>29</v>
      </c>
      <c r="K15" s="25" t="n">
        <v>222</v>
      </c>
      <c r="L15" s="13" t="n">
        <f aca="false">IF(INDEX(選手一覧!$D$7:$D$2738,$K15)="","",INDEX(選手一覧!$D$7:$D$2738,$K15))</f>
        <v>0.0103679398148148</v>
      </c>
      <c r="M15" s="14" t="n">
        <f aca="false">IF(INDEX(選手一覧!$E$7:$E$2738,$K15)="","",INDEX(選手一覧!$E$7:$E$2738,$K15))</f>
        <v>223</v>
      </c>
      <c r="N15" s="16" t="str">
        <f aca="false">IF(INDEX(選手一覧!$H$7:$H$2738,$K15)="","",INDEX(選手一覧!$H$7:$H$2738,$K15))</f>
        <v/>
      </c>
      <c r="O15" s="17" t="str">
        <f aca="false">IF(INDEX(選手一覧!$I$7:$I$2738,$K15)="","",INDEX(選手一覧!$I$7:$I$2738,$K15))</f>
        <v/>
      </c>
      <c r="P15" s="16" t="n">
        <f aca="false">IF(INDEX(選手一覧!$J$7:$J$2738,$K15)="","",INDEX(選手一覧!$J$7:$J$2738,$K15))</f>
        <v>0.00287696759259259</v>
      </c>
      <c r="Q15" s="17" t="n">
        <f aca="false">IF(INDEX(選手一覧!$K$7:$K$2738,$K15)="","",INDEX(選手一覧!$K$7:$K$2738,$K15))</f>
        <v>747</v>
      </c>
    </row>
    <row r="16" customFormat="false" ht="15" hidden="false" customHeight="false" outlineLevel="0" collapsed="false">
      <c r="A16" s="23" t="n">
        <v>1</v>
      </c>
      <c r="B16" s="24" t="n">
        <v>10</v>
      </c>
      <c r="C16" s="14" t="n">
        <v>33</v>
      </c>
      <c r="D16" s="25" t="n">
        <f aca="false">COUNTIFS($A$5:$A$229,A16,$E$5:$E$229,"&lt;"&amp;E16)+1</f>
        <v>12</v>
      </c>
      <c r="E16" s="26" t="n">
        <v>0.0209259259259259</v>
      </c>
      <c r="F16" s="26" t="n">
        <f aca="false">E16/B16</f>
        <v>0.00209259259259259</v>
      </c>
      <c r="G16" s="27" t="s">
        <v>4285</v>
      </c>
      <c r="H16" s="27" t="s">
        <v>4286</v>
      </c>
      <c r="I16" s="28" t="s">
        <v>4257</v>
      </c>
      <c r="J16" s="25" t="n">
        <v>31</v>
      </c>
      <c r="K16" s="25" t="n">
        <v>473</v>
      </c>
      <c r="L16" s="13" t="n">
        <f aca="false">IF(INDEX(選手一覧!$D$7:$D$2738,$K16)="","",INDEX(選手一覧!$D$7:$D$2738,$K16))</f>
        <v>0.0106086805555556</v>
      </c>
      <c r="M16" s="14" t="n">
        <f aca="false">IF(INDEX(選手一覧!$E$7:$E$2738,$K16)="","",INDEX(選手一覧!$E$7:$E$2738,$K16))</f>
        <v>474</v>
      </c>
      <c r="N16" s="16" t="n">
        <f aca="false">IF(INDEX(選手一覧!$H$7:$H$2738,$K16)="","",INDEX(選手一覧!$H$7:$H$2738,$K16))</f>
        <v>0.00698622685185185</v>
      </c>
      <c r="O16" s="17" t="n">
        <f aca="false">IF(INDEX(選手一覧!$I$7:$I$2738,$K16)="","",INDEX(選手一覧!$I$7:$I$2738,$K16))</f>
        <v>321</v>
      </c>
      <c r="P16" s="16" t="n">
        <f aca="false">IF(INDEX(選手一覧!$J$7:$J$2738,$K16)="","",INDEX(選手一覧!$J$7:$J$2738,$K16))</f>
        <v>0.00279756944444445</v>
      </c>
      <c r="Q16" s="17" t="n">
        <f aca="false">IF(INDEX(選手一覧!$K$7:$K$2738,$K16)="","",INDEX(選手一覧!$K$7:$K$2738,$K16))</f>
        <v>272</v>
      </c>
    </row>
    <row r="17" customFormat="false" ht="15" hidden="false" customHeight="false" outlineLevel="0" collapsed="false">
      <c r="A17" s="23" t="n">
        <v>1</v>
      </c>
      <c r="B17" s="24" t="n">
        <v>10</v>
      </c>
      <c r="C17" s="14" t="n">
        <v>34</v>
      </c>
      <c r="D17" s="25" t="n">
        <f aca="false">COUNTIFS($A$5:$A$229,A17,$E$5:$E$229,"&lt;"&amp;E17)+1</f>
        <v>13</v>
      </c>
      <c r="E17" s="26" t="n">
        <v>0.0209606481481482</v>
      </c>
      <c r="F17" s="26" t="n">
        <f aca="false">E17/B17</f>
        <v>0.00209606481481482</v>
      </c>
      <c r="G17" s="27" t="s">
        <v>4287</v>
      </c>
      <c r="H17" s="27" t="s">
        <v>4288</v>
      </c>
      <c r="I17" s="28" t="s">
        <v>4289</v>
      </c>
      <c r="J17" s="25" t="n">
        <v>34</v>
      </c>
      <c r="K17" s="25" t="n">
        <v>156</v>
      </c>
      <c r="L17" s="13" t="n">
        <f aca="false">IF(INDEX(選手一覧!$D$7:$D$2738,$K17)="","",INDEX(選手一覧!$D$7:$D$2738,$K17))</f>
        <v>0.0102939814814815</v>
      </c>
      <c r="M17" s="14" t="n">
        <f aca="false">IF(INDEX(選手一覧!$E$7:$E$2738,$K17)="","",INDEX(選手一覧!$E$7:$E$2738,$K17))</f>
        <v>157</v>
      </c>
      <c r="N17" s="16" t="str">
        <f aca="false">IF(INDEX(選手一覧!$H$7:$H$2738,$K17)="","",INDEX(選手一覧!$H$7:$H$2738,$K17))</f>
        <v/>
      </c>
      <c r="O17" s="17" t="str">
        <f aca="false">IF(INDEX(選手一覧!$I$7:$I$2738,$K17)="","",INDEX(選手一覧!$I$7:$I$2738,$K17))</f>
        <v/>
      </c>
      <c r="P17" s="16" t="n">
        <f aca="false">IF(INDEX(選手一覧!$J$7:$J$2738,$K17)="","",INDEX(選手一覧!$J$7:$J$2738,$K17))</f>
        <v>0.00268113425925926</v>
      </c>
      <c r="Q17" s="17" t="n">
        <f aca="false">IF(INDEX(選手一覧!$K$7:$K$2738,$K17)="","",INDEX(選手一覧!$K$7:$K$2738,$K17))</f>
        <v>14</v>
      </c>
    </row>
    <row r="18" customFormat="false" ht="15" hidden="false" customHeight="false" outlineLevel="0" collapsed="false">
      <c r="A18" s="23" t="n">
        <v>1</v>
      </c>
      <c r="B18" s="24" t="n">
        <v>10</v>
      </c>
      <c r="C18" s="14" t="n">
        <v>36</v>
      </c>
      <c r="D18" s="25" t="n">
        <f aca="false">COUNTIFS($A$5:$A$229,A18,$E$5:$E$229,"&lt;"&amp;E18)+1</f>
        <v>14</v>
      </c>
      <c r="E18" s="26" t="n">
        <v>0.0209837962962963</v>
      </c>
      <c r="F18" s="26" t="n">
        <f aca="false">E18/B18</f>
        <v>0.00209837962962963</v>
      </c>
      <c r="G18" s="27" t="s">
        <v>4290</v>
      </c>
      <c r="H18" s="27" t="s">
        <v>4291</v>
      </c>
      <c r="I18" s="28" t="s">
        <v>4292</v>
      </c>
      <c r="J18" s="25" t="n">
        <v>16</v>
      </c>
      <c r="K18" s="25" t="n">
        <v>72</v>
      </c>
      <c r="L18" s="13" t="n">
        <f aca="false">IF(INDEX(選手一覧!$D$7:$D$2738,$K18)="","",INDEX(選手一覧!$D$7:$D$2738,$K18))</f>
        <v>0.0101539351851852</v>
      </c>
      <c r="M18" s="14" t="n">
        <f aca="false">IF(INDEX(選手一覧!$E$7:$E$2738,$K18)="","",INDEX(選手一覧!$E$7:$E$2738,$K18))</f>
        <v>73</v>
      </c>
      <c r="N18" s="16" t="str">
        <f aca="false">IF(INDEX(選手一覧!$H$7:$H$2738,$K18)="","",INDEX(選手一覧!$H$7:$H$2738,$K18))</f>
        <v/>
      </c>
      <c r="O18" s="17" t="str">
        <f aca="false">IF(INDEX(選手一覧!$I$7:$I$2738,$K18)="","",INDEX(選手一覧!$I$7:$I$2738,$K18))</f>
        <v/>
      </c>
      <c r="P18" s="16" t="str">
        <f aca="false">IF(INDEX(選手一覧!$J$7:$J$2738,$K18)="","",INDEX(選手一覧!$J$7:$J$2738,$K18))</f>
        <v/>
      </c>
      <c r="Q18" s="17" t="str">
        <f aca="false">IF(INDEX(選手一覧!$K$7:$K$2738,$K18)="","",INDEX(選手一覧!$K$7:$K$2738,$K18))</f>
        <v/>
      </c>
    </row>
    <row r="19" customFormat="false" ht="15" hidden="false" customHeight="false" outlineLevel="0" collapsed="false">
      <c r="A19" s="23" t="n">
        <v>1</v>
      </c>
      <c r="B19" s="24" t="n">
        <v>10</v>
      </c>
      <c r="C19" s="14" t="n">
        <v>37</v>
      </c>
      <c r="D19" s="25" t="n">
        <f aca="false">COUNTIFS($A$5:$A$229,A19,$E$5:$E$229,"&lt;"&amp;E19)+1</f>
        <v>15</v>
      </c>
      <c r="E19" s="26" t="n">
        <v>0.0210069444444445</v>
      </c>
      <c r="F19" s="26" t="n">
        <f aca="false">E19/B19</f>
        <v>0.00210069444444445</v>
      </c>
      <c r="G19" s="27" t="s">
        <v>4293</v>
      </c>
      <c r="H19" s="27" t="s">
        <v>4294</v>
      </c>
      <c r="I19" s="28" t="s">
        <v>4295</v>
      </c>
      <c r="J19" s="25" t="n">
        <v>33</v>
      </c>
      <c r="K19" s="25" t="n">
        <v>119</v>
      </c>
      <c r="L19" s="13" t="n">
        <f aca="false">IF(INDEX(選手一覧!$D$7:$D$2738,$K19)="","",INDEX(選手一覧!$D$7:$D$2738,$K19))</f>
        <v>0.0102403935185185</v>
      </c>
      <c r="M19" s="14" t="n">
        <f aca="false">IF(INDEX(選手一覧!$E$7:$E$2738,$K19)="","",INDEX(選手一覧!$E$7:$E$2738,$K19))</f>
        <v>120</v>
      </c>
      <c r="N19" s="16" t="str">
        <f aca="false">IF(INDEX(選手一覧!$H$7:$H$2738,$K19)="","",INDEX(選手一覧!$H$7:$H$2738,$K19))</f>
        <v/>
      </c>
      <c r="O19" s="17" t="str">
        <f aca="false">IF(INDEX(選手一覧!$I$7:$I$2738,$K19)="","",INDEX(選手一覧!$I$7:$I$2738,$K19))</f>
        <v/>
      </c>
      <c r="P19" s="16" t="n">
        <f aca="false">IF(INDEX(選手一覧!$J$7:$J$2738,$K19)="","",INDEX(選手一覧!$J$7:$J$2738,$K19))</f>
        <v>0.00279675925925926</v>
      </c>
      <c r="Q19" s="17" t="n">
        <f aca="false">IF(INDEX(選手一覧!$K$7:$K$2738,$K19)="","",INDEX(選手一覧!$K$7:$K$2738,$K19))</f>
        <v>268</v>
      </c>
    </row>
    <row r="20" customFormat="false" ht="15" hidden="false" customHeight="false" outlineLevel="0" collapsed="false">
      <c r="A20" s="23" t="n">
        <v>1</v>
      </c>
      <c r="B20" s="24" t="n">
        <v>10</v>
      </c>
      <c r="C20" s="14" t="n">
        <v>38</v>
      </c>
      <c r="D20" s="25" t="n">
        <f aca="false">COUNTIFS($A$5:$A$229,A20,$E$5:$E$229,"&lt;"&amp;E20)+1</f>
        <v>16</v>
      </c>
      <c r="E20" s="26" t="n">
        <v>0.0210416666666667</v>
      </c>
      <c r="F20" s="26" t="n">
        <f aca="false">E20/B20</f>
        <v>0.00210416666666667</v>
      </c>
      <c r="G20" s="27" t="s">
        <v>4296</v>
      </c>
      <c r="H20" s="27" t="s">
        <v>4297</v>
      </c>
      <c r="I20" s="28" t="s">
        <v>4298</v>
      </c>
      <c r="J20" s="25" t="n">
        <v>59</v>
      </c>
      <c r="K20" s="25" t="n">
        <v>125</v>
      </c>
      <c r="L20" s="13" t="n">
        <f aca="false">IF(INDEX(選手一覧!$D$7:$D$2738,$K20)="","",INDEX(選手一覧!$D$7:$D$2738,$K20))</f>
        <v>0.0102458333333333</v>
      </c>
      <c r="M20" s="14" t="n">
        <f aca="false">IF(INDEX(選手一覧!$E$7:$E$2738,$K20)="","",INDEX(選手一覧!$E$7:$E$2738,$K20))</f>
        <v>126</v>
      </c>
      <c r="N20" s="16" t="n">
        <f aca="false">IF(INDEX(選手一覧!$H$7:$H$2738,$K20)="","",INDEX(選手一覧!$H$7:$H$2738,$K20))</f>
        <v>0.00804594907407407</v>
      </c>
      <c r="O20" s="17" t="n">
        <f aca="false">IF(INDEX(選手一覧!$I$7:$I$2738,$K20)="","",INDEX(選手一覧!$I$7:$I$2738,$K20))</f>
        <v>1199</v>
      </c>
      <c r="P20" s="16" t="n">
        <f aca="false">IF(INDEX(選手一覧!$J$7:$J$2738,$K20)="","",INDEX(選手一覧!$J$7:$J$2738,$K20))</f>
        <v>0.00271724537037037</v>
      </c>
      <c r="Q20" s="17" t="n">
        <f aca="false">IF(INDEX(選手一覧!$K$7:$K$2738,$K20)="","",INDEX(選手一覧!$K$7:$K$2738,$K20))</f>
        <v>44</v>
      </c>
    </row>
    <row r="21" customFormat="false" ht="15" hidden="false" customHeight="false" outlineLevel="0" collapsed="false">
      <c r="A21" s="23" t="n">
        <v>1</v>
      </c>
      <c r="B21" s="24" t="n">
        <v>10</v>
      </c>
      <c r="C21" s="14" t="n">
        <v>39</v>
      </c>
      <c r="D21" s="25" t="n">
        <f aca="false">COUNTIFS($A$5:$A$229,A21,$E$5:$E$229,"&lt;"&amp;E21)+1</f>
        <v>16</v>
      </c>
      <c r="E21" s="26" t="n">
        <v>0.0210416666666667</v>
      </c>
      <c r="F21" s="26" t="n">
        <f aca="false">E21/B21</f>
        <v>0.00210416666666667</v>
      </c>
      <c r="G21" s="27" t="s">
        <v>4299</v>
      </c>
      <c r="H21" s="27" t="s">
        <v>4300</v>
      </c>
      <c r="I21" s="28" t="s">
        <v>4301</v>
      </c>
      <c r="J21" s="25" t="n">
        <v>19</v>
      </c>
      <c r="K21" s="25" t="n">
        <v>194</v>
      </c>
      <c r="L21" s="13" t="n">
        <f aca="false">IF(INDEX(選手一覧!$D$7:$D$2738,$K21)="","",INDEX(選手一覧!$D$7:$D$2738,$K21))</f>
        <v>0.0103414351851852</v>
      </c>
      <c r="M21" s="14" t="n">
        <f aca="false">IF(INDEX(選手一覧!$E$7:$E$2738,$K21)="","",INDEX(選手一覧!$E$7:$E$2738,$K21))</f>
        <v>195</v>
      </c>
      <c r="N21" s="16" t="str">
        <f aca="false">IF(INDEX(選手一覧!$H$7:$H$2738,$K21)="","",INDEX(選手一覧!$H$7:$H$2738,$K21))</f>
        <v/>
      </c>
      <c r="O21" s="17" t="str">
        <f aca="false">IF(INDEX(選手一覧!$I$7:$I$2738,$K21)="","",INDEX(選手一覧!$I$7:$I$2738,$K21))</f>
        <v/>
      </c>
      <c r="P21" s="16" t="n">
        <f aca="false">IF(INDEX(選手一覧!$J$7:$J$2738,$K21)="","",INDEX(選手一覧!$J$7:$J$2738,$K21))</f>
        <v>0.00285347222222222</v>
      </c>
      <c r="Q21" s="17" t="n">
        <f aca="false">IF(INDEX(選手一覧!$K$7:$K$2738,$K21)="","",INDEX(選手一覧!$K$7:$K$2738,$K21))</f>
        <v>588</v>
      </c>
    </row>
    <row r="22" customFormat="false" ht="15" hidden="false" customHeight="false" outlineLevel="0" collapsed="false">
      <c r="A22" s="23" t="n">
        <v>1</v>
      </c>
      <c r="B22" s="24" t="n">
        <v>10</v>
      </c>
      <c r="C22" s="14" t="n">
        <v>41</v>
      </c>
      <c r="D22" s="25" t="n">
        <f aca="false">COUNTIFS($A$5:$A$229,A22,$E$5:$E$229,"&lt;"&amp;E22)+1</f>
        <v>18</v>
      </c>
      <c r="E22" s="26" t="n">
        <v>0.0210648148148148</v>
      </c>
      <c r="F22" s="26" t="n">
        <f aca="false">E22/B22</f>
        <v>0.00210648148148148</v>
      </c>
      <c r="G22" s="27" t="s">
        <v>4302</v>
      </c>
      <c r="H22" s="27" t="s">
        <v>4303</v>
      </c>
      <c r="I22" s="28" t="s">
        <v>4257</v>
      </c>
      <c r="J22" s="25" t="n">
        <v>41</v>
      </c>
      <c r="K22" s="25" t="n">
        <v>460</v>
      </c>
      <c r="L22" s="13" t="n">
        <f aca="false">IF(INDEX(選手一覧!$D$7:$D$2738,$K22)="","",INDEX(選手一覧!$D$7:$D$2738,$K22))</f>
        <v>0.0105988425925926</v>
      </c>
      <c r="M22" s="14" t="n">
        <f aca="false">IF(INDEX(選手一覧!$E$7:$E$2738,$K22)="","",INDEX(選手一覧!$E$7:$E$2738,$K22))</f>
        <v>461</v>
      </c>
      <c r="N22" s="16" t="str">
        <f aca="false">IF(INDEX(選手一覧!$H$7:$H$2738,$K22)="","",INDEX(選手一覧!$H$7:$H$2738,$K22))</f>
        <v/>
      </c>
      <c r="O22" s="17" t="str">
        <f aca="false">IF(INDEX(選手一覧!$I$7:$I$2738,$K22)="","",INDEX(選手一覧!$I$7:$I$2738,$K22))</f>
        <v/>
      </c>
      <c r="P22" s="16" t="n">
        <f aca="false">IF(INDEX(選手一覧!$J$7:$J$2738,$K22)="","",INDEX(選手一覧!$J$7:$J$2738,$K22))</f>
        <v>0.00270983796296296</v>
      </c>
      <c r="Q22" s="17" t="n">
        <f aca="false">IF(INDEX(選手一覧!$K$7:$K$2738,$K22)="","",INDEX(選手一覧!$K$7:$K$2738,$K22))</f>
        <v>35</v>
      </c>
    </row>
    <row r="23" customFormat="false" ht="15" hidden="false" customHeight="false" outlineLevel="0" collapsed="false">
      <c r="A23" s="23" t="n">
        <v>1</v>
      </c>
      <c r="B23" s="24" t="n">
        <v>10</v>
      </c>
      <c r="C23" s="14" t="n">
        <v>42</v>
      </c>
      <c r="D23" s="25" t="n">
        <f aca="false">COUNTIFS($A$5:$A$229,A23,$E$5:$E$229,"&lt;"&amp;E23)+1</f>
        <v>19</v>
      </c>
      <c r="E23" s="26" t="n">
        <v>0.0210763888888889</v>
      </c>
      <c r="F23" s="26" t="n">
        <f aca="false">E23/B23</f>
        <v>0.00210763888888889</v>
      </c>
      <c r="G23" s="27" t="s">
        <v>4304</v>
      </c>
      <c r="H23" s="27" t="s">
        <v>4305</v>
      </c>
      <c r="I23" s="28" t="s">
        <v>4306</v>
      </c>
      <c r="J23" s="25" t="n">
        <v>14</v>
      </c>
      <c r="K23" s="25" t="n">
        <v>47</v>
      </c>
      <c r="L23" s="13" t="n">
        <f aca="false">IF(INDEX(選手一覧!$D$7:$D$2738,$K23)="","",INDEX(選手一覧!$D$7:$D$2738,$K23))</f>
        <v>0.0100947916666667</v>
      </c>
      <c r="M23" s="14" t="n">
        <f aca="false">IF(INDEX(選手一覧!$E$7:$E$2738,$K23)="","",INDEX(選手一覧!$E$7:$E$2738,$K23))</f>
        <v>48</v>
      </c>
      <c r="N23" s="16" t="str">
        <f aca="false">IF(INDEX(選手一覧!$H$7:$H$2738,$K23)="","",INDEX(選手一覧!$H$7:$H$2738,$K23))</f>
        <v/>
      </c>
      <c r="O23" s="17" t="str">
        <f aca="false">IF(INDEX(選手一覧!$I$7:$I$2738,$K23)="","",INDEX(選手一覧!$I$7:$I$2738,$K23))</f>
        <v/>
      </c>
      <c r="P23" s="16" t="n">
        <f aca="false">IF(INDEX(選手一覧!$J$7:$J$2738,$K23)="","",INDEX(選手一覧!$J$7:$J$2738,$K23))</f>
        <v>0.00276203703703704</v>
      </c>
      <c r="Q23" s="17" t="n">
        <f aca="false">IF(INDEX(選手一覧!$K$7:$K$2738,$K23)="","",INDEX(選手一覧!$K$7:$K$2738,$K23))</f>
        <v>139</v>
      </c>
    </row>
    <row r="24" customFormat="false" ht="15" hidden="false" customHeight="false" outlineLevel="0" collapsed="false">
      <c r="A24" s="23" t="n">
        <v>1</v>
      </c>
      <c r="B24" s="24" t="n">
        <v>10</v>
      </c>
      <c r="C24" s="14" t="n">
        <v>43</v>
      </c>
      <c r="D24" s="25" t="n">
        <f aca="false">COUNTIFS($A$5:$A$229,A24,$E$5:$E$229,"&lt;"&amp;E24)+1</f>
        <v>20</v>
      </c>
      <c r="E24" s="26" t="n">
        <v>0.021087962962963</v>
      </c>
      <c r="F24" s="26" t="n">
        <f aca="false">E24/B24</f>
        <v>0.0021087962962963</v>
      </c>
      <c r="G24" s="27" t="s">
        <v>4307</v>
      </c>
      <c r="H24" s="27" t="s">
        <v>4308</v>
      </c>
      <c r="I24" s="28" t="s">
        <v>4257</v>
      </c>
      <c r="J24" s="25" t="n">
        <v>88</v>
      </c>
      <c r="K24" s="25" t="n">
        <v>229</v>
      </c>
      <c r="L24" s="13" t="n">
        <f aca="false">IF(INDEX(選手一覧!$D$7:$D$2738,$K24)="","",INDEX(選手一覧!$D$7:$D$2738,$K24))</f>
        <v>0.0103746527777778</v>
      </c>
      <c r="M24" s="14" t="n">
        <f aca="false">IF(INDEX(選手一覧!$E$7:$E$2738,$K24)="","",INDEX(選手一覧!$E$7:$E$2738,$K24))</f>
        <v>230</v>
      </c>
      <c r="N24" s="16" t="str">
        <f aca="false">IF(INDEX(選手一覧!$H$7:$H$2738,$K24)="","",INDEX(選手一覧!$H$7:$H$2738,$K24))</f>
        <v/>
      </c>
      <c r="O24" s="17" t="str">
        <f aca="false">IF(INDEX(選手一覧!$I$7:$I$2738,$K24)="","",INDEX(選手一覧!$I$7:$I$2738,$K24))</f>
        <v/>
      </c>
      <c r="P24" s="16" t="n">
        <f aca="false">IF(INDEX(選手一覧!$J$7:$J$2738,$K24)="","",INDEX(選手一覧!$J$7:$J$2738,$K24))</f>
        <v>0.00280636574074074</v>
      </c>
      <c r="Q24" s="17" t="n">
        <f aca="false">IF(INDEX(選手一覧!$K$7:$K$2738,$K24)="","",INDEX(選手一覧!$K$7:$K$2738,$K24))</f>
        <v>308</v>
      </c>
    </row>
    <row r="25" customFormat="false" ht="15" hidden="false" customHeight="false" outlineLevel="0" collapsed="false">
      <c r="A25" s="23" t="n">
        <v>1</v>
      </c>
      <c r="B25" s="24" t="n">
        <v>10</v>
      </c>
      <c r="C25" s="14" t="n">
        <v>45</v>
      </c>
      <c r="D25" s="25" t="n">
        <f aca="false">COUNTIFS($A$5:$A$229,A25,$E$5:$E$229,"&lt;"&amp;E25)+1</f>
        <v>20</v>
      </c>
      <c r="E25" s="26" t="n">
        <v>0.021087962962963</v>
      </c>
      <c r="F25" s="26" t="n">
        <f aca="false">E25/B25</f>
        <v>0.0021087962962963</v>
      </c>
      <c r="G25" s="27" t="s">
        <v>4309</v>
      </c>
      <c r="H25" s="27" t="s">
        <v>4310</v>
      </c>
      <c r="I25" s="28" t="s">
        <v>4284</v>
      </c>
      <c r="J25" s="25" t="n">
        <v>17</v>
      </c>
      <c r="K25" s="25" t="n">
        <v>352</v>
      </c>
      <c r="L25" s="13" t="n">
        <f aca="false">IF(INDEX(選手一覧!$D$7:$D$2738,$K25)="","",INDEX(選手一覧!$D$7:$D$2738,$K25))</f>
        <v>0.0105118055555556</v>
      </c>
      <c r="M25" s="14" t="n">
        <f aca="false">IF(INDEX(選手一覧!$E$7:$E$2738,$K25)="","",INDEX(選手一覧!$E$7:$E$2738,$K25))</f>
        <v>353</v>
      </c>
      <c r="N25" s="16" t="str">
        <f aca="false">IF(INDEX(選手一覧!$H$7:$H$2738,$K25)="","",INDEX(選手一覧!$H$7:$H$2738,$K25))</f>
        <v/>
      </c>
      <c r="O25" s="17" t="str">
        <f aca="false">IF(INDEX(選手一覧!$I$7:$I$2738,$K25)="","",INDEX(選手一覧!$I$7:$I$2738,$K25))</f>
        <v/>
      </c>
      <c r="P25" s="16" t="n">
        <f aca="false">IF(INDEX(選手一覧!$J$7:$J$2738,$K25)="","",INDEX(選手一覧!$J$7:$J$2738,$K25))</f>
        <v>0.00279097222222222</v>
      </c>
      <c r="Q25" s="17" t="n">
        <f aca="false">IF(INDEX(選手一覧!$K$7:$K$2738,$K25)="","",INDEX(選手一覧!$K$7:$K$2738,$K25))</f>
        <v>244</v>
      </c>
    </row>
    <row r="26" customFormat="false" ht="15" hidden="false" customHeight="false" outlineLevel="0" collapsed="false">
      <c r="A26" s="23" t="n">
        <v>1</v>
      </c>
      <c r="B26" s="24" t="n">
        <v>10</v>
      </c>
      <c r="C26" s="14" t="n">
        <v>53</v>
      </c>
      <c r="D26" s="25" t="n">
        <f aca="false">COUNTIFS($A$5:$A$229,A26,$E$5:$E$229,"&lt;"&amp;E26)+1</f>
        <v>22</v>
      </c>
      <c r="E26" s="26" t="n">
        <v>0.02125</v>
      </c>
      <c r="F26" s="26" t="n">
        <f aca="false">E26/B26</f>
        <v>0.002125</v>
      </c>
      <c r="G26" s="27" t="s">
        <v>4311</v>
      </c>
      <c r="H26" s="27" t="s">
        <v>4312</v>
      </c>
      <c r="I26" s="28" t="s">
        <v>4313</v>
      </c>
      <c r="J26" s="25" t="n">
        <v>40</v>
      </c>
      <c r="K26" s="25" t="n">
        <v>340</v>
      </c>
      <c r="L26" s="13" t="n">
        <f aca="false">IF(INDEX(選手一覧!$D$7:$D$2738,$K26)="","",INDEX(選手一覧!$D$7:$D$2738,$K26))</f>
        <v>0.010500462962963</v>
      </c>
      <c r="M26" s="14" t="n">
        <f aca="false">IF(INDEX(選手一覧!$E$7:$E$2738,$K26)="","",INDEX(選手一覧!$E$7:$E$2738,$K26))</f>
        <v>341</v>
      </c>
      <c r="N26" s="16" t="n">
        <f aca="false">IF(INDEX(選手一覧!$H$7:$H$2738,$K26)="","",INDEX(選手一覧!$H$7:$H$2738,$K26))</f>
        <v>0.00697106481481481</v>
      </c>
      <c r="O26" s="17" t="n">
        <f aca="false">IF(INDEX(選手一覧!$I$7:$I$2738,$K26)="","",INDEX(選手一覧!$I$7:$I$2738,$K26))</f>
        <v>306</v>
      </c>
      <c r="P26" s="16" t="str">
        <f aca="false">IF(INDEX(選手一覧!$J$7:$J$2738,$K26)="","",INDEX(選手一覧!$J$7:$J$2738,$K26))</f>
        <v/>
      </c>
      <c r="Q26" s="17" t="str">
        <f aca="false">IF(INDEX(選手一覧!$K$7:$K$2738,$K26)="","",INDEX(選手一覧!$K$7:$K$2738,$K26))</f>
        <v/>
      </c>
    </row>
    <row r="27" customFormat="false" ht="15" hidden="false" customHeight="false" outlineLevel="0" collapsed="false">
      <c r="A27" s="23" t="n">
        <v>1</v>
      </c>
      <c r="B27" s="24" t="n">
        <v>10</v>
      </c>
      <c r="C27" s="14" t="n">
        <v>57</v>
      </c>
      <c r="D27" s="25" t="n">
        <f aca="false">COUNTIFS($A$5:$A$229,A27,$E$5:$E$229,"&lt;"&amp;E27)+1</f>
        <v>23</v>
      </c>
      <c r="E27" s="26" t="n">
        <v>0.0213194444444444</v>
      </c>
      <c r="F27" s="26" t="n">
        <f aca="false">E27/B27</f>
        <v>0.00213194444444444</v>
      </c>
      <c r="G27" s="27" t="s">
        <v>4314</v>
      </c>
      <c r="H27" s="27" t="s">
        <v>4315</v>
      </c>
      <c r="I27" s="28" t="s">
        <v>4257</v>
      </c>
      <c r="J27" s="25" t="n">
        <v>83</v>
      </c>
      <c r="K27" s="25" t="n">
        <v>291</v>
      </c>
      <c r="L27" s="13" t="n">
        <f aca="false">IF(INDEX(選手一覧!$D$7:$D$2738,$K27)="","",INDEX(選手一覧!$D$7:$D$2738,$K27))</f>
        <v>0.0104265046296296</v>
      </c>
      <c r="M27" s="14" t="n">
        <f aca="false">IF(INDEX(選手一覧!$E$7:$E$2738,$K27)="","",INDEX(選手一覧!$E$7:$E$2738,$K27))</f>
        <v>292</v>
      </c>
      <c r="N27" s="16" t="str">
        <f aca="false">IF(INDEX(選手一覧!$H$7:$H$2738,$K27)="","",INDEX(選手一覧!$H$7:$H$2738,$K27))</f>
        <v/>
      </c>
      <c r="O27" s="17" t="str">
        <f aca="false">IF(INDEX(選手一覧!$I$7:$I$2738,$K27)="","",INDEX(選手一覧!$I$7:$I$2738,$K27))</f>
        <v/>
      </c>
      <c r="P27" s="16" t="n">
        <f aca="false">IF(INDEX(選手一覧!$J$7:$J$2738,$K27)="","",INDEX(選手一覧!$J$7:$J$2738,$K27))</f>
        <v>0.00276736111111111</v>
      </c>
      <c r="Q27" s="17" t="n">
        <f aca="false">IF(INDEX(選手一覧!$K$7:$K$2738,$K27)="","",INDEX(選手一覧!$K$7:$K$2738,$K27))</f>
        <v>156</v>
      </c>
    </row>
    <row r="28" customFormat="false" ht="15" hidden="false" customHeight="false" outlineLevel="0" collapsed="false">
      <c r="A28" s="23" t="n">
        <v>1</v>
      </c>
      <c r="B28" s="24" t="n">
        <v>10</v>
      </c>
      <c r="C28" s="14" t="n">
        <v>59</v>
      </c>
      <c r="D28" s="25" t="n">
        <f aca="false">COUNTIFS($A$5:$A$229,A28,$E$5:$E$229,"&lt;"&amp;E28)+1</f>
        <v>24</v>
      </c>
      <c r="E28" s="26" t="n">
        <v>0.0213657407407407</v>
      </c>
      <c r="F28" s="26" t="n">
        <f aca="false">E28/B28</f>
        <v>0.00213657407407407</v>
      </c>
      <c r="G28" s="27" t="s">
        <v>4316</v>
      </c>
      <c r="H28" s="27" t="s">
        <v>4317</v>
      </c>
      <c r="I28" s="28" t="s">
        <v>4313</v>
      </c>
      <c r="J28" s="25" t="n">
        <v>62</v>
      </c>
      <c r="K28" s="25" t="n">
        <v>354</v>
      </c>
      <c r="L28" s="13" t="n">
        <f aca="false">IF(INDEX(選手一覧!$D$7:$D$2738,$K28)="","",INDEX(選手一覧!$D$7:$D$2738,$K28))</f>
        <v>0.0105134259259259</v>
      </c>
      <c r="M28" s="14" t="n">
        <f aca="false">IF(INDEX(選手一覧!$E$7:$E$2738,$K28)="","",INDEX(選手一覧!$E$7:$E$2738,$K28))</f>
        <v>355</v>
      </c>
      <c r="N28" s="16" t="str">
        <f aca="false">IF(INDEX(選手一覧!$H$7:$H$2738,$K28)="","",INDEX(選手一覧!$H$7:$H$2738,$K28))</f>
        <v/>
      </c>
      <c r="O28" s="17" t="str">
        <f aca="false">IF(INDEX(選手一覧!$I$7:$I$2738,$K28)="","",INDEX(選手一覧!$I$7:$I$2738,$K28))</f>
        <v/>
      </c>
      <c r="P28" s="16" t="n">
        <f aca="false">IF(INDEX(選手一覧!$J$7:$J$2738,$K28)="","",INDEX(選手一覧!$J$7:$J$2738,$K28))</f>
        <v>0.00275243055555556</v>
      </c>
      <c r="Q28" s="17" t="n">
        <f aca="false">IF(INDEX(選手一覧!$K$7:$K$2738,$K28)="","",INDEX(選手一覧!$K$7:$K$2738,$K28))</f>
        <v>109</v>
      </c>
    </row>
    <row r="29" customFormat="false" ht="15" hidden="false" customHeight="false" outlineLevel="0" collapsed="false">
      <c r="A29" s="23" t="n">
        <v>1</v>
      </c>
      <c r="B29" s="24" t="n">
        <v>10</v>
      </c>
      <c r="C29" s="14" t="n">
        <v>63</v>
      </c>
      <c r="D29" s="25" t="n">
        <f aca="false">COUNTIFS($A$5:$A$229,A29,$E$5:$E$229,"&lt;"&amp;E29)+1</f>
        <v>25</v>
      </c>
      <c r="E29" s="26" t="n">
        <v>0.0214467592592593</v>
      </c>
      <c r="F29" s="26" t="n">
        <f aca="false">E29/B29</f>
        <v>0.00214467592592593</v>
      </c>
      <c r="G29" s="27" t="s">
        <v>4318</v>
      </c>
      <c r="H29" s="27" t="s">
        <v>4319</v>
      </c>
      <c r="I29" s="28" t="s">
        <v>4268</v>
      </c>
      <c r="J29" s="25" t="n">
        <v>36</v>
      </c>
      <c r="K29" s="25" t="n">
        <v>237</v>
      </c>
      <c r="L29" s="13" t="n">
        <f aca="false">IF(INDEX(選手一覧!$D$7:$D$2738,$K29)="","",INDEX(選手一覧!$D$7:$D$2738,$K29))</f>
        <v>0.0103774305555556</v>
      </c>
      <c r="M29" s="14" t="n">
        <f aca="false">IF(INDEX(選手一覧!$E$7:$E$2738,$K29)="","",INDEX(選手一覧!$E$7:$E$2738,$K29))</f>
        <v>238</v>
      </c>
      <c r="N29" s="16" t="n">
        <f aca="false">IF(INDEX(選手一覧!$H$7:$H$2738,$K29)="","",INDEX(選手一覧!$H$7:$H$2738,$K29))</f>
        <v>0.006659375</v>
      </c>
      <c r="O29" s="17" t="n">
        <f aca="false">IF(INDEX(選手一覧!$I$7:$I$2738,$K29)="","",INDEX(選手一覧!$I$7:$I$2738,$K29))</f>
        <v>88</v>
      </c>
      <c r="P29" s="16" t="n">
        <f aca="false">IF(INDEX(選手一覧!$J$7:$J$2738,$K29)="","",INDEX(選手一覧!$J$7:$J$2738,$K29))</f>
        <v>0.00296747685185185</v>
      </c>
      <c r="Q29" s="17" t="n">
        <f aca="false">IF(INDEX(選手一覧!$K$7:$K$2738,$K29)="","",INDEX(選手一覧!$K$7:$K$2738,$K29))</f>
        <v>1300</v>
      </c>
    </row>
    <row r="30" customFormat="false" ht="15" hidden="false" customHeight="false" outlineLevel="0" collapsed="false">
      <c r="A30" s="23" t="n">
        <v>1</v>
      </c>
      <c r="B30" s="24" t="n">
        <v>10</v>
      </c>
      <c r="C30" s="14" t="n">
        <v>64</v>
      </c>
      <c r="D30" s="25" t="n">
        <f aca="false">COUNTIFS($A$5:$A$229,A30,$E$5:$E$229,"&lt;"&amp;E30)+1</f>
        <v>26</v>
      </c>
      <c r="E30" s="26" t="n">
        <v>0.0214583333333333</v>
      </c>
      <c r="F30" s="26" t="n">
        <f aca="false">E30/B30</f>
        <v>0.00214583333333333</v>
      </c>
      <c r="G30" s="27" t="s">
        <v>4320</v>
      </c>
      <c r="H30" s="27" t="s">
        <v>4321</v>
      </c>
      <c r="I30" s="28" t="s">
        <v>4257</v>
      </c>
      <c r="J30" s="25" t="n">
        <v>49</v>
      </c>
      <c r="K30" s="25" t="n">
        <v>299</v>
      </c>
      <c r="L30" s="13" t="n">
        <f aca="false">IF(INDEX(選手一覧!$D$7:$D$2738,$K30)="","",INDEX(選手一覧!$D$7:$D$2738,$K30))</f>
        <v>0.0104451388888889</v>
      </c>
      <c r="M30" s="14" t="n">
        <f aca="false">IF(INDEX(選手一覧!$E$7:$E$2738,$K30)="","",INDEX(選手一覧!$E$7:$E$2738,$K30))</f>
        <v>300</v>
      </c>
      <c r="N30" s="16" t="str">
        <f aca="false">IF(INDEX(選手一覧!$H$7:$H$2738,$K30)="","",INDEX(選手一覧!$H$7:$H$2738,$K30))</f>
        <v/>
      </c>
      <c r="O30" s="17" t="str">
        <f aca="false">IF(INDEX(選手一覧!$I$7:$I$2738,$K30)="","",INDEX(選手一覧!$I$7:$I$2738,$K30))</f>
        <v/>
      </c>
      <c r="P30" s="16" t="n">
        <f aca="false">IF(INDEX(選手一覧!$J$7:$J$2738,$K30)="","",INDEX(選手一覧!$J$7:$J$2738,$K30))</f>
        <v>0.00283518518518519</v>
      </c>
      <c r="Q30" s="17" t="n">
        <f aca="false">IF(INDEX(選手一覧!$K$7:$K$2738,$K30)="","",INDEX(選手一覧!$K$7:$K$2738,$K30))</f>
        <v>462</v>
      </c>
    </row>
    <row r="31" customFormat="false" ht="15" hidden="false" customHeight="false" outlineLevel="0" collapsed="false">
      <c r="A31" s="23" t="n">
        <v>1</v>
      </c>
      <c r="B31" s="24" t="n">
        <v>10</v>
      </c>
      <c r="C31" s="14" t="n">
        <v>65</v>
      </c>
      <c r="D31" s="25" t="n">
        <f aca="false">COUNTIFS($A$5:$A$229,A31,$E$5:$E$229,"&lt;"&amp;E31)+1</f>
        <v>26</v>
      </c>
      <c r="E31" s="26" t="n">
        <v>0.0214583333333333</v>
      </c>
      <c r="F31" s="26" t="n">
        <f aca="false">E31/B31</f>
        <v>0.00214583333333333</v>
      </c>
      <c r="G31" s="27" t="s">
        <v>4322</v>
      </c>
      <c r="H31" s="27" t="s">
        <v>4323</v>
      </c>
      <c r="I31" s="28" t="s">
        <v>4324</v>
      </c>
      <c r="J31" s="25" t="n">
        <v>20</v>
      </c>
      <c r="K31" s="25" t="n">
        <v>357</v>
      </c>
      <c r="L31" s="13" t="n">
        <f aca="false">IF(INDEX(選手一覧!$D$7:$D$2738,$K31)="","",INDEX(選手一覧!$D$7:$D$2738,$K31))</f>
        <v>0.0105153935185185</v>
      </c>
      <c r="M31" s="14" t="n">
        <f aca="false">IF(INDEX(選手一覧!$E$7:$E$2738,$K31)="","",INDEX(選手一覧!$E$7:$E$2738,$K31))</f>
        <v>358</v>
      </c>
      <c r="N31" s="16" t="str">
        <f aca="false">IF(INDEX(選手一覧!$H$7:$H$2738,$K31)="","",INDEX(選手一覧!$H$7:$H$2738,$K31))</f>
        <v/>
      </c>
      <c r="O31" s="17" t="str">
        <f aca="false">IF(INDEX(選手一覧!$I$7:$I$2738,$K31)="","",INDEX(選手一覧!$I$7:$I$2738,$K31))</f>
        <v/>
      </c>
      <c r="P31" s="16" t="n">
        <f aca="false">IF(INDEX(選手一覧!$J$7:$J$2738,$K31)="","",INDEX(選手一覧!$J$7:$J$2738,$K31))</f>
        <v>0.00281076388888889</v>
      </c>
      <c r="Q31" s="17" t="n">
        <f aca="false">IF(INDEX(選手一覧!$K$7:$K$2738,$K31)="","",INDEX(選手一覧!$K$7:$K$2738,$K31))</f>
        <v>326</v>
      </c>
    </row>
    <row r="32" customFormat="false" ht="15" hidden="false" customHeight="false" outlineLevel="0" collapsed="false">
      <c r="A32" s="23" t="n">
        <v>1</v>
      </c>
      <c r="B32" s="24" t="n">
        <v>10</v>
      </c>
      <c r="C32" s="14" t="n">
        <v>66</v>
      </c>
      <c r="D32" s="25" t="n">
        <f aca="false">COUNTIFS($A$5:$A$229,A32,$E$5:$E$229,"&lt;"&amp;E32)+1</f>
        <v>28</v>
      </c>
      <c r="E32" s="26" t="n">
        <v>0.0214814814814815</v>
      </c>
      <c r="F32" s="26" t="n">
        <f aca="false">E32/B32</f>
        <v>0.00214814814814815</v>
      </c>
      <c r="G32" s="27" t="s">
        <v>4325</v>
      </c>
      <c r="H32" s="27" t="s">
        <v>4326</v>
      </c>
      <c r="I32" s="28" t="s">
        <v>4327</v>
      </c>
      <c r="J32" s="25" t="n">
        <v>64</v>
      </c>
      <c r="K32" s="25" t="n">
        <v>516</v>
      </c>
      <c r="L32" s="13" t="n">
        <f aca="false">IF(INDEX(選手一覧!$D$7:$D$2738,$K32)="","",INDEX(選手一覧!$D$7:$D$2738,$K32))</f>
        <v>0.0106440972222222</v>
      </c>
      <c r="M32" s="14" t="n">
        <f aca="false">IF(INDEX(選手一覧!$E$7:$E$2738,$K32)="","",INDEX(選手一覧!$E$7:$E$2738,$K32))</f>
        <v>517</v>
      </c>
      <c r="N32" s="16" t="n">
        <f aca="false">IF(INDEX(選手一覧!$H$7:$H$2738,$K32)="","",INDEX(選手一覧!$H$7:$H$2738,$K32))</f>
        <v>0.00677175925925926</v>
      </c>
      <c r="O32" s="17" t="n">
        <f aca="false">IF(INDEX(選手一覧!$I$7:$I$2738,$K32)="","",INDEX(選手一覧!$I$7:$I$2738,$K32))</f>
        <v>149</v>
      </c>
      <c r="P32" s="16" t="str">
        <f aca="false">IF(INDEX(選手一覧!$J$7:$J$2738,$K32)="","",INDEX(選手一覧!$J$7:$J$2738,$K32))</f>
        <v/>
      </c>
      <c r="Q32" s="17" t="str">
        <f aca="false">IF(INDEX(選手一覧!$K$7:$K$2738,$K32)="","",INDEX(選手一覧!$K$7:$K$2738,$K32))</f>
        <v/>
      </c>
    </row>
    <row r="33" customFormat="false" ht="15" hidden="false" customHeight="false" outlineLevel="0" collapsed="false">
      <c r="A33" s="23" t="n">
        <v>1</v>
      </c>
      <c r="B33" s="24" t="n">
        <v>10</v>
      </c>
      <c r="C33" s="14" t="n">
        <v>71</v>
      </c>
      <c r="D33" s="25" t="n">
        <f aca="false">COUNTIFS($A$5:$A$229,A33,$E$5:$E$229,"&lt;"&amp;E33)+1</f>
        <v>29</v>
      </c>
      <c r="E33" s="26" t="n">
        <v>0.0215740740740741</v>
      </c>
      <c r="F33" s="26" t="n">
        <f aca="false">E33/B33</f>
        <v>0.00215740740740741</v>
      </c>
      <c r="G33" s="27" t="s">
        <v>4328</v>
      </c>
      <c r="H33" s="27" t="s">
        <v>4329</v>
      </c>
      <c r="I33" s="28" t="s">
        <v>4257</v>
      </c>
      <c r="J33" s="25" t="n">
        <v>81</v>
      </c>
      <c r="K33" s="25" t="n">
        <v>370</v>
      </c>
      <c r="L33" s="13" t="n">
        <f aca="false">IF(INDEX(選手一覧!$D$7:$D$2738,$K33)="","",INDEX(選手一覧!$D$7:$D$2738,$K33))</f>
        <v>0.0105298611111111</v>
      </c>
      <c r="M33" s="14" t="n">
        <f aca="false">IF(INDEX(選手一覧!$E$7:$E$2738,$K33)="","",INDEX(選手一覧!$E$7:$E$2738,$K33))</f>
        <v>371</v>
      </c>
      <c r="N33" s="16" t="str">
        <f aca="false">IF(INDEX(選手一覧!$H$7:$H$2738,$K33)="","",INDEX(選手一覧!$H$7:$H$2738,$K33))</f>
        <v/>
      </c>
      <c r="O33" s="17" t="str">
        <f aca="false">IF(INDEX(選手一覧!$I$7:$I$2738,$K33)="","",INDEX(選手一覧!$I$7:$I$2738,$K33))</f>
        <v/>
      </c>
      <c r="P33" s="16" t="n">
        <f aca="false">IF(INDEX(選手一覧!$J$7:$J$2738,$K33)="","",INDEX(選手一覧!$J$7:$J$2738,$K33))</f>
        <v>0.00278726851851852</v>
      </c>
      <c r="Q33" s="17" t="n">
        <f aca="false">IF(INDEX(選手一覧!$K$7:$K$2738,$K33)="","",INDEX(選手一覧!$K$7:$K$2738,$K33))</f>
        <v>231</v>
      </c>
    </row>
    <row r="34" customFormat="false" ht="15" hidden="false" customHeight="false" outlineLevel="0" collapsed="false">
      <c r="A34" s="23" t="n">
        <v>1</v>
      </c>
      <c r="B34" s="24" t="n">
        <v>10</v>
      </c>
      <c r="C34" s="14" t="n">
        <v>72</v>
      </c>
      <c r="D34" s="25" t="n">
        <f aca="false">COUNTIFS($A$5:$A$229,A34,$E$5:$E$229,"&lt;"&amp;E34)+1</f>
        <v>30</v>
      </c>
      <c r="E34" s="26" t="n">
        <v>0.0216087962962963</v>
      </c>
      <c r="F34" s="26" t="n">
        <f aca="false">E34/B34</f>
        <v>0.00216087962962963</v>
      </c>
      <c r="G34" s="27" t="s">
        <v>4330</v>
      </c>
      <c r="H34" s="27" t="s">
        <v>4331</v>
      </c>
      <c r="I34" s="28" t="s">
        <v>4332</v>
      </c>
      <c r="J34" s="25" t="n">
        <v>82</v>
      </c>
      <c r="K34" s="25" t="n">
        <v>175</v>
      </c>
      <c r="L34" s="13" t="n">
        <f aca="false">IF(INDEX(選手一覧!$D$7:$D$2738,$K34)="","",INDEX(選手一覧!$D$7:$D$2738,$K34))</f>
        <v>0.0103251157407407</v>
      </c>
      <c r="M34" s="14" t="n">
        <f aca="false">IF(INDEX(選手一覧!$E$7:$E$2738,$K34)="","",INDEX(選手一覧!$E$7:$E$2738,$K34))</f>
        <v>176</v>
      </c>
      <c r="N34" s="16" t="str">
        <f aca="false">IF(INDEX(選手一覧!$H$7:$H$2738,$K34)="","",INDEX(選手一覧!$H$7:$H$2738,$K34))</f>
        <v/>
      </c>
      <c r="O34" s="17" t="str">
        <f aca="false">IF(INDEX(選手一覧!$I$7:$I$2738,$K34)="","",INDEX(選手一覧!$I$7:$I$2738,$K34))</f>
        <v/>
      </c>
      <c r="P34" s="16" t="n">
        <f aca="false">IF(INDEX(選手一覧!$J$7:$J$2738,$K34)="","",INDEX(選手一覧!$J$7:$J$2738,$K34))</f>
        <v>0.00282268518518519</v>
      </c>
      <c r="Q34" s="17" t="n">
        <f aca="false">IF(INDEX(選手一覧!$K$7:$K$2738,$K34)="","",INDEX(選手一覧!$K$7:$K$2738,$K34))</f>
        <v>379</v>
      </c>
    </row>
    <row r="35" customFormat="false" ht="15" hidden="false" customHeight="false" outlineLevel="0" collapsed="false">
      <c r="A35" s="23" t="n">
        <v>1</v>
      </c>
      <c r="B35" s="24" t="n">
        <v>10</v>
      </c>
      <c r="C35" s="14" t="n">
        <v>74</v>
      </c>
      <c r="D35" s="25" t="n">
        <f aca="false">COUNTIFS($A$5:$A$229,A35,$E$5:$E$229,"&lt;"&amp;E35)+1</f>
        <v>31</v>
      </c>
      <c r="E35" s="26" t="n">
        <v>0.0216203703703704</v>
      </c>
      <c r="F35" s="26" t="n">
        <f aca="false">E35/B35</f>
        <v>0.00216203703703704</v>
      </c>
      <c r="G35" s="27" t="s">
        <v>4333</v>
      </c>
      <c r="H35" s="27" t="s">
        <v>4334</v>
      </c>
      <c r="I35" s="28" t="s">
        <v>4335</v>
      </c>
      <c r="J35" s="25" t="n">
        <v>61</v>
      </c>
      <c r="K35" s="25" t="n">
        <v>277</v>
      </c>
      <c r="L35" s="13" t="n">
        <f aca="false">IF(INDEX(選手一覧!$D$7:$D$2738,$K35)="","",INDEX(選手一覧!$D$7:$D$2738,$K35))</f>
        <v>0.0104116898148148</v>
      </c>
      <c r="M35" s="14" t="n">
        <f aca="false">IF(INDEX(選手一覧!$E$7:$E$2738,$K35)="","",INDEX(選手一覧!$E$7:$E$2738,$K35))</f>
        <v>278</v>
      </c>
      <c r="N35" s="16" t="str">
        <f aca="false">IF(INDEX(選手一覧!$H$7:$H$2738,$K35)="","",INDEX(選手一覧!$H$7:$H$2738,$K35))</f>
        <v/>
      </c>
      <c r="O35" s="17" t="str">
        <f aca="false">IF(INDEX(選手一覧!$I$7:$I$2738,$K35)="","",INDEX(選手一覧!$I$7:$I$2738,$K35))</f>
        <v/>
      </c>
      <c r="P35" s="16" t="n">
        <f aca="false">IF(INDEX(選手一覧!$J$7:$J$2738,$K35)="","",INDEX(選手一覧!$J$7:$J$2738,$K35))</f>
        <v>0.00276064814814815</v>
      </c>
      <c r="Q35" s="17" t="n">
        <f aca="false">IF(INDEX(選手一覧!$K$7:$K$2738,$K35)="","",INDEX(選手一覧!$K$7:$K$2738,$K35))</f>
        <v>138</v>
      </c>
    </row>
    <row r="36" customFormat="false" ht="15" hidden="false" customHeight="false" outlineLevel="0" collapsed="false">
      <c r="A36" s="23" t="n">
        <v>1</v>
      </c>
      <c r="B36" s="24" t="n">
        <v>10</v>
      </c>
      <c r="C36" s="14" t="n">
        <v>75</v>
      </c>
      <c r="D36" s="25" t="n">
        <f aca="false">COUNTIFS($A$5:$A$229,A36,$E$5:$E$229,"&lt;"&amp;E36)+1</f>
        <v>32</v>
      </c>
      <c r="E36" s="26" t="n">
        <v>0.0216550925925926</v>
      </c>
      <c r="F36" s="26" t="n">
        <f aca="false">E36/B36</f>
        <v>0.00216550925925926</v>
      </c>
      <c r="G36" s="27" t="s">
        <v>4336</v>
      </c>
      <c r="H36" s="27" t="s">
        <v>4337</v>
      </c>
      <c r="I36" s="28" t="s">
        <v>4265</v>
      </c>
      <c r="J36" s="25" t="n">
        <v>105</v>
      </c>
      <c r="K36" s="25" t="n">
        <v>823</v>
      </c>
      <c r="L36" s="13" t="n">
        <f aca="false">IF(INDEX(選手一覧!$D$7:$D$2738,$K36)="","",INDEX(選手一覧!$D$7:$D$2738,$K36))</f>
        <v>0.0108440972222222</v>
      </c>
      <c r="M36" s="14" t="n">
        <f aca="false">IF(INDEX(選手一覧!$E$7:$E$2738,$K36)="","",INDEX(選手一覧!$E$7:$E$2738,$K36))</f>
        <v>824</v>
      </c>
      <c r="N36" s="16" t="str">
        <f aca="false">IF(INDEX(選手一覧!$H$7:$H$2738,$K36)="","",INDEX(選手一覧!$H$7:$H$2738,$K36))</f>
        <v/>
      </c>
      <c r="O36" s="17" t="str">
        <f aca="false">IF(INDEX(選手一覧!$I$7:$I$2738,$K36)="","",INDEX(選手一覧!$I$7:$I$2738,$K36))</f>
        <v/>
      </c>
      <c r="P36" s="16" t="n">
        <f aca="false">IF(INDEX(選手一覧!$J$7:$J$2738,$K36)="","",INDEX(選手一覧!$J$7:$J$2738,$K36))</f>
        <v>0.00291481481481482</v>
      </c>
      <c r="Q36" s="17" t="n">
        <f aca="false">IF(INDEX(選手一覧!$K$7:$K$2738,$K36)="","",INDEX(選手一覧!$K$7:$K$2738,$K36))</f>
        <v>1053</v>
      </c>
    </row>
    <row r="37" customFormat="false" ht="15" hidden="false" customHeight="false" outlineLevel="0" collapsed="false">
      <c r="A37" s="23" t="n">
        <v>1</v>
      </c>
      <c r="B37" s="24" t="n">
        <v>10</v>
      </c>
      <c r="C37" s="14" t="n">
        <v>76</v>
      </c>
      <c r="D37" s="25" t="n">
        <f aca="false">COUNTIFS($A$5:$A$229,A37,$E$5:$E$229,"&lt;"&amp;E37)+1</f>
        <v>33</v>
      </c>
      <c r="E37" s="26" t="n">
        <v>0.0216782407407407</v>
      </c>
      <c r="F37" s="26" t="n">
        <f aca="false">E37/B37</f>
        <v>0.00216782407407407</v>
      </c>
      <c r="G37" s="27" t="s">
        <v>4338</v>
      </c>
      <c r="H37" s="27" t="s">
        <v>4339</v>
      </c>
      <c r="I37" s="28" t="s">
        <v>4295</v>
      </c>
      <c r="J37" s="25" t="n">
        <v>79</v>
      </c>
      <c r="K37" s="25" t="n">
        <v>439</v>
      </c>
      <c r="L37" s="13" t="n">
        <f aca="false">IF(INDEX(選手一覧!$D$7:$D$2738,$K37)="","",INDEX(選手一覧!$D$7:$D$2738,$K37))</f>
        <v>0.0105834490740741</v>
      </c>
      <c r="M37" s="14" t="n">
        <f aca="false">IF(INDEX(選手一覧!$E$7:$E$2738,$K37)="","",INDEX(選手一覧!$E$7:$E$2738,$K37))</f>
        <v>440</v>
      </c>
      <c r="N37" s="16" t="str">
        <f aca="false">IF(INDEX(選手一覧!$H$7:$H$2738,$K37)="","",INDEX(選手一覧!$H$7:$H$2738,$K37))</f>
        <v/>
      </c>
      <c r="O37" s="17" t="str">
        <f aca="false">IF(INDEX(選手一覧!$I$7:$I$2738,$K37)="","",INDEX(選手一覧!$I$7:$I$2738,$K37))</f>
        <v/>
      </c>
      <c r="P37" s="16" t="n">
        <f aca="false">IF(INDEX(選手一覧!$J$7:$J$2738,$K37)="","",INDEX(選手一覧!$J$7:$J$2738,$K37))</f>
        <v>0.0028287037037037</v>
      </c>
      <c r="Q37" s="17" t="n">
        <f aca="false">IF(INDEX(選手一覧!$K$7:$K$2738,$K37)="","",INDEX(選手一覧!$K$7:$K$2738,$K37))</f>
        <v>416</v>
      </c>
    </row>
    <row r="38" customFormat="false" ht="15" hidden="false" customHeight="false" outlineLevel="0" collapsed="false">
      <c r="A38" s="23" t="n">
        <v>1</v>
      </c>
      <c r="B38" s="24" t="n">
        <v>10</v>
      </c>
      <c r="C38" s="14" t="n">
        <v>81</v>
      </c>
      <c r="D38" s="25" t="n">
        <f aca="false">COUNTIFS($A$5:$A$229,A38,$E$5:$E$229,"&lt;"&amp;E38)+1</f>
        <v>34</v>
      </c>
      <c r="E38" s="26" t="n">
        <v>0.0217361111111111</v>
      </c>
      <c r="F38" s="26" t="n">
        <f aca="false">E38/B38</f>
        <v>0.00217361111111111</v>
      </c>
      <c r="G38" s="27" t="s">
        <v>4340</v>
      </c>
      <c r="H38" s="27" t="s">
        <v>4341</v>
      </c>
      <c r="I38" s="28" t="s">
        <v>4298</v>
      </c>
      <c r="J38" s="25" t="n">
        <v>57</v>
      </c>
      <c r="K38" s="25" t="n">
        <v>318</v>
      </c>
      <c r="L38" s="13" t="n">
        <f aca="false">IF(INDEX(選手一覧!$D$7:$D$2738,$K38)="","",INDEX(選手一覧!$D$7:$D$2738,$K38))</f>
        <v>0.0104733796296296</v>
      </c>
      <c r="M38" s="14" t="n">
        <f aca="false">IF(INDEX(選手一覧!$E$7:$E$2738,$K38)="","",INDEX(選手一覧!$E$7:$E$2738,$K38))</f>
        <v>319</v>
      </c>
      <c r="N38" s="16" t="str">
        <f aca="false">IF(INDEX(選手一覧!$H$7:$H$2738,$K38)="","",INDEX(選手一覧!$H$7:$H$2738,$K38))</f>
        <v/>
      </c>
      <c r="O38" s="17" t="str">
        <f aca="false">IF(INDEX(選手一覧!$I$7:$I$2738,$K38)="","",INDEX(選手一覧!$I$7:$I$2738,$K38))</f>
        <v/>
      </c>
      <c r="P38" s="16" t="n">
        <f aca="false">IF(INDEX(選手一覧!$J$7:$J$2738,$K38)="","",INDEX(選手一覧!$J$7:$J$2738,$K38))</f>
        <v>0.00274976851851852</v>
      </c>
      <c r="Q38" s="17" t="n">
        <f aca="false">IF(INDEX(選手一覧!$K$7:$K$2738,$K38)="","",INDEX(選手一覧!$K$7:$K$2738,$K38))</f>
        <v>103</v>
      </c>
    </row>
    <row r="39" customFormat="false" ht="15" hidden="false" customHeight="false" outlineLevel="0" collapsed="false">
      <c r="A39" s="23" t="n">
        <v>1</v>
      </c>
      <c r="B39" s="24" t="n">
        <v>10</v>
      </c>
      <c r="C39" s="14" t="n">
        <v>83</v>
      </c>
      <c r="D39" s="25" t="n">
        <f aca="false">COUNTIFS($A$5:$A$229,A39,$E$5:$E$229,"&lt;"&amp;E39)+1</f>
        <v>35</v>
      </c>
      <c r="E39" s="26" t="n">
        <v>0.0217824074074074</v>
      </c>
      <c r="F39" s="26" t="n">
        <f aca="false">E39/B39</f>
        <v>0.00217824074074074</v>
      </c>
      <c r="G39" s="27" t="s">
        <v>4342</v>
      </c>
      <c r="H39" s="27" t="s">
        <v>4343</v>
      </c>
      <c r="I39" s="28" t="s">
        <v>4327</v>
      </c>
      <c r="J39" s="25" t="n">
        <v>68</v>
      </c>
      <c r="K39" s="25" t="n">
        <v>225</v>
      </c>
      <c r="L39" s="13" t="n">
        <f aca="false">IF(INDEX(選手一覧!$D$7:$D$2738,$K39)="","",INDEX(選手一覧!$D$7:$D$2738,$K39))</f>
        <v>0.0103711805555556</v>
      </c>
      <c r="M39" s="14" t="n">
        <f aca="false">IF(INDEX(選手一覧!$E$7:$E$2738,$K39)="","",INDEX(選手一覧!$E$7:$E$2738,$K39))</f>
        <v>226</v>
      </c>
      <c r="N39" s="16" t="str">
        <f aca="false">IF(INDEX(選手一覧!$H$7:$H$2738,$K39)="","",INDEX(選手一覧!$H$7:$H$2738,$K39))</f>
        <v/>
      </c>
      <c r="O39" s="17" t="str">
        <f aca="false">IF(INDEX(選手一覧!$I$7:$I$2738,$K39)="","",INDEX(選手一覧!$I$7:$I$2738,$K39))</f>
        <v/>
      </c>
      <c r="P39" s="16" t="n">
        <f aca="false">IF(INDEX(選手一覧!$J$7:$J$2738,$K39)="","",INDEX(選手一覧!$J$7:$J$2738,$K39))</f>
        <v>0.0026662037037037</v>
      </c>
      <c r="Q39" s="17" t="n">
        <f aca="false">IF(INDEX(選手一覧!$K$7:$K$2738,$K39)="","",INDEX(選手一覧!$K$7:$K$2738,$K39))</f>
        <v>6</v>
      </c>
    </row>
    <row r="40" customFormat="false" ht="15" hidden="false" customHeight="false" outlineLevel="0" collapsed="false">
      <c r="A40" s="23" t="n">
        <v>1</v>
      </c>
      <c r="B40" s="24" t="n">
        <v>10</v>
      </c>
      <c r="C40" s="14" t="n">
        <v>88</v>
      </c>
      <c r="D40" s="25" t="n">
        <f aca="false">COUNTIFS($A$5:$A$229,A40,$E$5:$E$229,"&lt;"&amp;E40)+1</f>
        <v>36</v>
      </c>
      <c r="E40" s="26" t="n">
        <v>0.0219560185185185</v>
      </c>
      <c r="F40" s="26" t="n">
        <f aca="false">E40/B40</f>
        <v>0.00219560185185185</v>
      </c>
      <c r="G40" s="27" t="s">
        <v>4344</v>
      </c>
      <c r="H40" s="27" t="s">
        <v>4345</v>
      </c>
      <c r="I40" s="28" t="s">
        <v>4268</v>
      </c>
      <c r="J40" s="25" t="n">
        <v>92</v>
      </c>
      <c r="K40" s="25" t="n">
        <v>1774</v>
      </c>
      <c r="L40" s="13" t="str">
        <f aca="false">IF(INDEX(選手一覧!$D$7:$D$2738,$K40)="","",INDEX(選手一覧!$D$7:$D$2738,$K40))</f>
        <v/>
      </c>
      <c r="M40" s="14" t="str">
        <f aca="false">IF(INDEX(選手一覧!$E$7:$E$2738,$K40)="","",INDEX(選手一覧!$E$7:$E$2738,$K40))</f>
        <v/>
      </c>
      <c r="N40" s="16" t="str">
        <f aca="false">IF(INDEX(選手一覧!$H$7:$H$2738,$K40)="","",INDEX(選手一覧!$H$7:$H$2738,$K40))</f>
        <v/>
      </c>
      <c r="O40" s="17" t="str">
        <f aca="false">IF(INDEX(選手一覧!$I$7:$I$2738,$K40)="","",INDEX(選手一覧!$I$7:$I$2738,$K40))</f>
        <v/>
      </c>
      <c r="P40" s="16" t="n">
        <f aca="false">IF(INDEX(選手一覧!$J$7:$J$2738,$K40)="","",INDEX(選手一覧!$J$7:$J$2738,$K40))</f>
        <v>0.00286643518518519</v>
      </c>
      <c r="Q40" s="17" t="n">
        <f aca="false">IF(INDEX(選手一覧!$K$7:$K$2738,$K40)="","",INDEX(選手一覧!$K$7:$K$2738,$K40))</f>
        <v>672</v>
      </c>
    </row>
    <row r="41" customFormat="false" ht="15" hidden="false" customHeight="false" outlineLevel="0" collapsed="false">
      <c r="A41" s="23" t="n">
        <v>1</v>
      </c>
      <c r="B41" s="24" t="n">
        <v>10</v>
      </c>
      <c r="C41" s="14" t="n">
        <v>93</v>
      </c>
      <c r="D41" s="25" t="n">
        <f aca="false">COUNTIFS($A$5:$A$229,A41,$E$5:$E$229,"&lt;"&amp;E41)+1</f>
        <v>37</v>
      </c>
      <c r="E41" s="26" t="n">
        <v>0.0222106481481482</v>
      </c>
      <c r="F41" s="26" t="n">
        <f aca="false">E41/B41</f>
        <v>0.00222106481481482</v>
      </c>
      <c r="G41" s="27" t="s">
        <v>4346</v>
      </c>
      <c r="H41" s="27" t="s">
        <v>4347</v>
      </c>
      <c r="I41" s="28" t="s">
        <v>4348</v>
      </c>
      <c r="J41" s="25" t="n">
        <v>102</v>
      </c>
      <c r="K41" s="25" t="n">
        <v>1584</v>
      </c>
      <c r="L41" s="13" t="str">
        <f aca="false">IF(INDEX(選手一覧!$D$7:$D$2738,$K41)="","",INDEX(選手一覧!$D$7:$D$2738,$K41))</f>
        <v/>
      </c>
      <c r="M41" s="14" t="str">
        <f aca="false">IF(INDEX(選手一覧!$E$7:$E$2738,$K41)="","",INDEX(選手一覧!$E$7:$E$2738,$K41))</f>
        <v/>
      </c>
      <c r="N41" s="16" t="n">
        <f aca="false">IF(INDEX(選手一覧!$H$7:$H$2738,$K41)="","",INDEX(選手一覧!$H$7:$H$2738,$K41))</f>
        <v>0.00741527777777778</v>
      </c>
      <c r="O41" s="17" t="n">
        <f aca="false">IF(INDEX(選手一覧!$I$7:$I$2738,$K41)="","",INDEX(選手一覧!$I$7:$I$2738,$K41))</f>
        <v>788</v>
      </c>
      <c r="P41" s="16" t="n">
        <f aca="false">IF(INDEX(選手一覧!$J$7:$J$2738,$K41)="","",INDEX(選手一覧!$J$7:$J$2738,$K41))</f>
        <v>0.00283912037037037</v>
      </c>
      <c r="Q41" s="17" t="n">
        <f aca="false">IF(INDEX(選手一覧!$K$7:$K$2738,$K41)="","",INDEX(選手一覧!$K$7:$K$2738,$K41))</f>
        <v>489</v>
      </c>
    </row>
    <row r="42" customFormat="false" ht="15" hidden="false" customHeight="false" outlineLevel="0" collapsed="false">
      <c r="A42" s="23" t="n">
        <v>1</v>
      </c>
      <c r="B42" s="24" t="n">
        <v>10</v>
      </c>
      <c r="C42" s="14" t="n">
        <v>96</v>
      </c>
      <c r="D42" s="25" t="n">
        <f aca="false">COUNTIFS($A$5:$A$229,A42,$E$5:$E$229,"&lt;"&amp;E42)+1</f>
        <v>38</v>
      </c>
      <c r="E42" s="26" t="n">
        <v>0.0224768518518519</v>
      </c>
      <c r="F42" s="26" t="n">
        <f aca="false">E42/B42</f>
        <v>0.00224768518518519</v>
      </c>
      <c r="G42" s="27" t="s">
        <v>4349</v>
      </c>
      <c r="H42" s="27" t="s">
        <v>4350</v>
      </c>
      <c r="I42" s="28" t="s">
        <v>4280</v>
      </c>
      <c r="J42" s="25" t="n">
        <v>98</v>
      </c>
      <c r="K42" s="25" t="n">
        <v>1333</v>
      </c>
      <c r="L42" s="13" t="str">
        <f aca="false">IF(INDEX(選手一覧!$D$7:$D$2738,$K42)="","",INDEX(選手一覧!$D$7:$D$2738,$K42))</f>
        <v/>
      </c>
      <c r="M42" s="14" t="str">
        <f aca="false">IF(INDEX(選手一覧!$E$7:$E$2738,$K42)="","",INDEX(選手一覧!$E$7:$E$2738,$K42))</f>
        <v/>
      </c>
      <c r="N42" s="16" t="n">
        <f aca="false">IF(INDEX(選手一覧!$H$7:$H$2738,$K42)="","",INDEX(選手一覧!$H$7:$H$2738,$K42))</f>
        <v>0.00680416666666667</v>
      </c>
      <c r="O42" s="17" t="n">
        <f aca="false">IF(INDEX(選手一覧!$I$7:$I$2738,$K42)="","",INDEX(選手一覧!$I$7:$I$2738,$K42))</f>
        <v>175</v>
      </c>
      <c r="P42" s="16" t="n">
        <f aca="false">IF(INDEX(選手一覧!$J$7:$J$2738,$K42)="","",INDEX(選手一覧!$J$7:$J$2738,$K42))</f>
        <v>0.00291759259259259</v>
      </c>
      <c r="Q42" s="17" t="n">
        <f aca="false">IF(INDEX(選手一覧!$K$7:$K$2738,$K42)="","",INDEX(選手一覧!$K$7:$K$2738,$K42))</f>
        <v>1071</v>
      </c>
    </row>
    <row r="43" customFormat="false" ht="15" hidden="false" customHeight="false" outlineLevel="0" collapsed="false">
      <c r="A43" s="23" t="n">
        <v>1</v>
      </c>
      <c r="B43" s="24" t="n">
        <v>10</v>
      </c>
      <c r="C43" s="14" t="n">
        <v>97</v>
      </c>
      <c r="D43" s="25" t="n">
        <f aca="false">COUNTIFS($A$5:$A$229,A43,$E$5:$E$229,"&lt;"&amp;E43)+1</f>
        <v>39</v>
      </c>
      <c r="E43" s="26" t="n">
        <v>0.0225925925925926</v>
      </c>
      <c r="F43" s="26" t="n">
        <f aca="false">E43/B43</f>
        <v>0.00225925925925926</v>
      </c>
      <c r="G43" s="27" t="s">
        <v>4351</v>
      </c>
      <c r="H43" s="27" t="s">
        <v>4352</v>
      </c>
      <c r="I43" s="28" t="s">
        <v>4353</v>
      </c>
      <c r="J43" s="25" t="n">
        <v>93</v>
      </c>
      <c r="K43" s="25" t="n">
        <v>510</v>
      </c>
      <c r="L43" s="13" t="n">
        <f aca="false">IF(INDEX(選手一覧!$D$7:$D$2738,$K43)="","",INDEX(選手一覧!$D$7:$D$2738,$K43))</f>
        <v>0.0106412037037037</v>
      </c>
      <c r="M43" s="14" t="n">
        <f aca="false">IF(INDEX(選手一覧!$E$7:$E$2738,$K43)="","",INDEX(選手一覧!$E$7:$E$2738,$K43))</f>
        <v>511</v>
      </c>
      <c r="N43" s="16" t="n">
        <f aca="false">IF(INDEX(選手一覧!$H$7:$H$2738,$K43)="","",INDEX(選手一覧!$H$7:$H$2738,$K43))</f>
        <v>0.00674803240740741</v>
      </c>
      <c r="O43" s="17" t="n">
        <f aca="false">IF(INDEX(選手一覧!$I$7:$I$2738,$K43)="","",INDEX(選手一覧!$I$7:$I$2738,$K43))</f>
        <v>126</v>
      </c>
      <c r="P43" s="16" t="n">
        <f aca="false">IF(INDEX(選手一覧!$J$7:$J$2738,$K43)="","",INDEX(選手一覧!$J$7:$J$2738,$K43))</f>
        <v>0.00282048611111111</v>
      </c>
      <c r="Q43" s="17" t="n">
        <f aca="false">IF(INDEX(選手一覧!$K$7:$K$2738,$K43)="","",INDEX(選手一覧!$K$7:$K$2738,$K43))</f>
        <v>364</v>
      </c>
    </row>
    <row r="44" customFormat="false" ht="15" hidden="false" customHeight="false" outlineLevel="0" collapsed="false">
      <c r="A44" s="23" t="n">
        <v>1</v>
      </c>
      <c r="B44" s="24" t="n">
        <v>10</v>
      </c>
      <c r="C44" s="14" t="n">
        <v>102</v>
      </c>
      <c r="D44" s="25" t="n">
        <f aca="false">COUNTIFS($A$5:$A$229,A44,$E$5:$E$229,"&lt;"&amp;E44)+1</f>
        <v>40</v>
      </c>
      <c r="E44" s="26" t="n">
        <v>0.0229513888888889</v>
      </c>
      <c r="F44" s="26" t="n">
        <f aca="false">E44/B44</f>
        <v>0.00229513888888889</v>
      </c>
      <c r="G44" s="27" t="s">
        <v>4354</v>
      </c>
      <c r="H44" s="27" t="s">
        <v>4355</v>
      </c>
      <c r="I44" s="28" t="s">
        <v>4257</v>
      </c>
      <c r="J44" s="25" t="n">
        <v>103</v>
      </c>
      <c r="K44" s="25" t="n">
        <v>1117</v>
      </c>
      <c r="L44" s="13" t="n">
        <f aca="false">IF(INDEX(選手一覧!$D$7:$D$2738,$K44)="","",INDEX(選手一覧!$D$7:$D$2738,$K44))</f>
        <v>0.011015162037037</v>
      </c>
      <c r="M44" s="14" t="n">
        <f aca="false">IF(INDEX(選手一覧!$E$7:$E$2738,$K44)="","",INDEX(選手一覧!$E$7:$E$2738,$K44))</f>
        <v>1118</v>
      </c>
      <c r="N44" s="16" t="n">
        <f aca="false">IF(INDEX(選手一覧!$H$7:$H$2738,$K44)="","",INDEX(選手一覧!$H$7:$H$2738,$K44))</f>
        <v>0.00704675925925926</v>
      </c>
      <c r="O44" s="17" t="n">
        <f aca="false">IF(INDEX(選手一覧!$I$7:$I$2738,$K44)="","",INDEX(選手一覧!$I$7:$I$2738,$K44))</f>
        <v>387</v>
      </c>
      <c r="P44" s="16" t="n">
        <f aca="false">IF(INDEX(選手一覧!$J$7:$J$2738,$K44)="","",INDEX(選手一覧!$J$7:$J$2738,$K44))</f>
        <v>0.00292349537037037</v>
      </c>
      <c r="Q44" s="17" t="n">
        <f aca="false">IF(INDEX(選手一覧!$K$7:$K$2738,$K44)="","",INDEX(選手一覧!$K$7:$K$2738,$K44))</f>
        <v>1133</v>
      </c>
    </row>
    <row r="45" customFormat="false" ht="15" hidden="false" customHeight="false" outlineLevel="0" collapsed="false">
      <c r="A45" s="23" t="n">
        <v>1</v>
      </c>
      <c r="B45" s="24" t="n">
        <v>10</v>
      </c>
      <c r="C45" s="14" t="n">
        <v>103</v>
      </c>
      <c r="D45" s="25" t="n">
        <f aca="false">COUNTIFS($A$5:$A$229,A45,$E$5:$E$229,"&lt;"&amp;E45)+1</f>
        <v>41</v>
      </c>
      <c r="E45" s="26" t="n">
        <v>0.0230324074074074</v>
      </c>
      <c r="F45" s="26" t="n">
        <f aca="false">E45/B45</f>
        <v>0.00230324074074074</v>
      </c>
      <c r="G45" s="27" t="s">
        <v>4356</v>
      </c>
      <c r="H45" s="27" t="s">
        <v>4357</v>
      </c>
      <c r="I45" s="28" t="s">
        <v>4295</v>
      </c>
      <c r="J45" s="25" t="n">
        <v>95</v>
      </c>
      <c r="K45" s="25" t="n">
        <v>1349</v>
      </c>
      <c r="L45" s="13" t="str">
        <f aca="false">IF(INDEX(選手一覧!$D$7:$D$2738,$K45)="","",INDEX(選手一覧!$D$7:$D$2738,$K45))</f>
        <v/>
      </c>
      <c r="M45" s="14" t="str">
        <f aca="false">IF(INDEX(選手一覧!$E$7:$E$2738,$K45)="","",INDEX(選手一覧!$E$7:$E$2738,$K45))</f>
        <v/>
      </c>
      <c r="N45" s="16" t="n">
        <f aca="false">IF(INDEX(選手一覧!$H$7:$H$2738,$K45)="","",INDEX(選手一覧!$H$7:$H$2738,$K45))</f>
        <v>0.00684768518518519</v>
      </c>
      <c r="O45" s="17" t="n">
        <f aca="false">IF(INDEX(選手一覧!$I$7:$I$2738,$K45)="","",INDEX(選手一覧!$I$7:$I$2738,$K45))</f>
        <v>202</v>
      </c>
      <c r="P45" s="16" t="str">
        <f aca="false">IF(INDEX(選手一覧!$J$7:$J$2738,$K45)="","",INDEX(選手一覧!$J$7:$J$2738,$K45))</f>
        <v/>
      </c>
      <c r="Q45" s="17" t="str">
        <f aca="false">IF(INDEX(選手一覧!$K$7:$K$2738,$K45)="","",INDEX(選手一覧!$K$7:$K$2738,$K45))</f>
        <v/>
      </c>
    </row>
    <row r="46" customFormat="false" ht="15" hidden="false" customHeight="false" outlineLevel="0" collapsed="false">
      <c r="A46" s="23" t="n">
        <v>1</v>
      </c>
      <c r="B46" s="24" t="n">
        <v>10</v>
      </c>
      <c r="C46" s="14" t="n">
        <v>107</v>
      </c>
      <c r="D46" s="25" t="n">
        <f aca="false">COUNTIFS($A$5:$A$229,A46,$E$5:$E$229,"&lt;"&amp;E46)+1</f>
        <v>42</v>
      </c>
      <c r="E46" s="26" t="n">
        <v>0.0237268518518519</v>
      </c>
      <c r="F46" s="26" t="n">
        <f aca="false">E46/B46</f>
        <v>0.00237268518518519</v>
      </c>
      <c r="G46" s="27" t="s">
        <v>4358</v>
      </c>
      <c r="H46" s="27" t="s">
        <v>4359</v>
      </c>
      <c r="I46" s="28" t="s">
        <v>4268</v>
      </c>
      <c r="J46" s="25" t="n">
        <v>108</v>
      </c>
      <c r="K46" s="25" t="n">
        <v>1119</v>
      </c>
      <c r="L46" s="13" t="n">
        <f aca="false">IF(INDEX(選手一覧!$D$7:$D$2738,$K46)="","",INDEX(選手一覧!$D$7:$D$2738,$K46))</f>
        <v>0.0110162037037037</v>
      </c>
      <c r="M46" s="14" t="n">
        <f aca="false">IF(INDEX(選手一覧!$E$7:$E$2738,$K46)="","",INDEX(選手一覧!$E$7:$E$2738,$K46))</f>
        <v>1120</v>
      </c>
      <c r="N46" s="16" t="n">
        <f aca="false">IF(INDEX(選手一覧!$H$7:$H$2738,$K46)="","",INDEX(選手一覧!$H$7:$H$2738,$K46))</f>
        <v>0.00754918981481482</v>
      </c>
      <c r="O46" s="17" t="n">
        <f aca="false">IF(INDEX(選手一覧!$I$7:$I$2738,$K46)="","",INDEX(選手一覧!$I$7:$I$2738,$K46))</f>
        <v>957</v>
      </c>
      <c r="P46" s="16" t="str">
        <f aca="false">IF(INDEX(選手一覧!$J$7:$J$2738,$K46)="","",INDEX(選手一覧!$J$7:$J$2738,$K46))</f>
        <v/>
      </c>
      <c r="Q46" s="17" t="str">
        <f aca="false">IF(INDEX(選手一覧!$K$7:$K$2738,$K46)="","",INDEX(選手一覧!$K$7:$K$2738,$K46))</f>
        <v/>
      </c>
    </row>
    <row r="47" customFormat="false" ht="15" hidden="false" customHeight="false" outlineLevel="0" collapsed="false">
      <c r="A47" s="29" t="n">
        <v>2</v>
      </c>
      <c r="B47" s="30" t="n">
        <v>3</v>
      </c>
      <c r="C47" s="14" t="n">
        <v>1</v>
      </c>
      <c r="D47" s="17" t="n">
        <f aca="false">COUNTIFS($A$5:$A$229,A47,$E$5:$E$229,"&lt;"&amp;E47)+1</f>
        <v>1</v>
      </c>
      <c r="E47" s="31" t="n">
        <v>0.005625</v>
      </c>
      <c r="F47" s="31" t="n">
        <f aca="false">E47/B47</f>
        <v>0.001875</v>
      </c>
      <c r="G47" s="12" t="s">
        <v>4360</v>
      </c>
      <c r="H47" s="12" t="s">
        <v>4361</v>
      </c>
      <c r="I47" s="32" t="s">
        <v>4335</v>
      </c>
      <c r="J47" s="17" t="n">
        <v>12</v>
      </c>
      <c r="K47" s="17" t="n">
        <v>5</v>
      </c>
      <c r="L47" s="13" t="n">
        <f aca="false">IF(INDEX(選手一覧!$D$7:$D$2738,$K47)="","",INDEX(選手一覧!$D$7:$D$2738,$K47))</f>
        <v>0.00974224537037037</v>
      </c>
      <c r="M47" s="14" t="n">
        <f aca="false">IF(INDEX(選手一覧!$E$7:$E$2738,$K47)="","",INDEX(選手一覧!$E$7:$E$2738,$K47))</f>
        <v>5</v>
      </c>
      <c r="N47" s="16" t="str">
        <f aca="false">IF(INDEX(選手一覧!$H$7:$H$2738,$K47)="","",INDEX(選手一覧!$H$7:$H$2738,$K47))</f>
        <v/>
      </c>
      <c r="O47" s="17" t="str">
        <f aca="false">IF(INDEX(選手一覧!$I$7:$I$2738,$K47)="","",INDEX(選手一覧!$I$7:$I$2738,$K47))</f>
        <v/>
      </c>
      <c r="P47" s="16" t="n">
        <f aca="false">IF(INDEX(選手一覧!$J$7:$J$2738,$K47)="","",INDEX(選手一覧!$J$7:$J$2738,$K47))</f>
        <v>0.00267881944444444</v>
      </c>
      <c r="Q47" s="17" t="n">
        <f aca="false">IF(INDEX(選手一覧!$K$7:$K$2738,$K47)="","",INDEX(選手一覧!$K$7:$K$2738,$K47))</f>
        <v>13</v>
      </c>
    </row>
    <row r="48" customFormat="false" ht="15" hidden="false" customHeight="false" outlineLevel="0" collapsed="false">
      <c r="A48" s="29" t="n">
        <v>2</v>
      </c>
      <c r="B48" s="30" t="n">
        <v>3</v>
      </c>
      <c r="C48" s="14" t="n">
        <v>3</v>
      </c>
      <c r="D48" s="17" t="n">
        <f aca="false">COUNTIFS($A$5:$A$229,A48,$E$5:$E$229,"&lt;"&amp;E48)+1</f>
        <v>2</v>
      </c>
      <c r="E48" s="31" t="n">
        <v>0.00572916666666667</v>
      </c>
      <c r="F48" s="31" t="n">
        <f aca="false">E48/B48</f>
        <v>0.00190972222222222</v>
      </c>
      <c r="G48" s="12" t="s">
        <v>4362</v>
      </c>
      <c r="H48" s="12" t="s">
        <v>4363</v>
      </c>
      <c r="I48" s="32" t="s">
        <v>4348</v>
      </c>
      <c r="J48" s="17" t="n">
        <v>48</v>
      </c>
      <c r="K48" s="17" t="n">
        <v>384</v>
      </c>
      <c r="L48" s="13" t="n">
        <f aca="false">IF(INDEX(選手一覧!$D$7:$D$2738,$K48)="","",INDEX(選手一覧!$D$7:$D$2738,$K48))</f>
        <v>0.0105398148148148</v>
      </c>
      <c r="M48" s="14" t="n">
        <f aca="false">IF(INDEX(選手一覧!$E$7:$E$2738,$K48)="","",INDEX(選手一覧!$E$7:$E$2738,$K48))</f>
        <v>385</v>
      </c>
      <c r="N48" s="16" t="n">
        <f aca="false">IF(INDEX(選手一覧!$H$7:$H$2738,$K48)="","",INDEX(選手一覧!$H$7:$H$2738,$K48))</f>
        <v>0.00639525462962963</v>
      </c>
      <c r="O48" s="17" t="n">
        <f aca="false">IF(INDEX(選手一覧!$I$7:$I$2738,$K48)="","",INDEX(選手一覧!$I$7:$I$2738,$K48))</f>
        <v>14</v>
      </c>
      <c r="P48" s="16" t="n">
        <f aca="false">IF(INDEX(選手一覧!$J$7:$J$2738,$K48)="","",INDEX(選手一覧!$J$7:$J$2738,$K48))</f>
        <v>0.00272905092592593</v>
      </c>
      <c r="Q48" s="17" t="n">
        <f aca="false">IF(INDEX(選手一覧!$K$7:$K$2738,$K48)="","",INDEX(選手一覧!$K$7:$K$2738,$K48))</f>
        <v>63</v>
      </c>
    </row>
    <row r="49" customFormat="false" ht="15" hidden="false" customHeight="false" outlineLevel="0" collapsed="false">
      <c r="A49" s="29" t="n">
        <v>2</v>
      </c>
      <c r="B49" s="30" t="n">
        <v>3</v>
      </c>
      <c r="C49" s="14" t="n">
        <v>4</v>
      </c>
      <c r="D49" s="17" t="n">
        <f aca="false">COUNTIFS($A$5:$A$229,A49,$E$5:$E$229,"&lt;"&amp;E49)+1</f>
        <v>3</v>
      </c>
      <c r="E49" s="31" t="n">
        <v>0.00577546296296296</v>
      </c>
      <c r="F49" s="31" t="n">
        <f aca="false">E49/B49</f>
        <v>0.00192515432098765</v>
      </c>
      <c r="G49" s="12" t="s">
        <v>4364</v>
      </c>
      <c r="H49" s="12" t="s">
        <v>4259</v>
      </c>
      <c r="I49" s="32" t="s">
        <v>4260</v>
      </c>
      <c r="J49" s="17" t="n">
        <v>3</v>
      </c>
      <c r="K49" s="17" t="n">
        <v>41</v>
      </c>
      <c r="L49" s="13" t="n">
        <f aca="false">IF(INDEX(選手一覧!$D$7:$D$2738,$K49)="","",INDEX(選手一覧!$D$7:$D$2738,$K49))</f>
        <v>0.0100759259259259</v>
      </c>
      <c r="M49" s="14" t="n">
        <f aca="false">IF(INDEX(選手一覧!$E$7:$E$2738,$K49)="","",INDEX(選手一覧!$E$7:$E$2738,$K49))</f>
        <v>42</v>
      </c>
      <c r="N49" s="16" t="str">
        <f aca="false">IF(INDEX(選手一覧!$H$7:$H$2738,$K49)="","",INDEX(選手一覧!$H$7:$H$2738,$K49))</f>
        <v/>
      </c>
      <c r="O49" s="17" t="str">
        <f aca="false">IF(INDEX(選手一覧!$I$7:$I$2738,$K49)="","",INDEX(選手一覧!$I$7:$I$2738,$K49))</f>
        <v/>
      </c>
      <c r="P49" s="16" t="n">
        <f aca="false">IF(INDEX(選手一覧!$J$7:$J$2738,$K49)="","",INDEX(選手一覧!$J$7:$J$2738,$K49))</f>
        <v>0.00279201388888889</v>
      </c>
      <c r="Q49" s="17" t="n">
        <f aca="false">IF(INDEX(選手一覧!$K$7:$K$2738,$K49)="","",INDEX(選手一覧!$K$7:$K$2738,$K49))</f>
        <v>249</v>
      </c>
    </row>
    <row r="50" customFormat="false" ht="15" hidden="false" customHeight="false" outlineLevel="0" collapsed="false">
      <c r="A50" s="29" t="n">
        <v>2</v>
      </c>
      <c r="B50" s="30" t="n">
        <v>3</v>
      </c>
      <c r="C50" s="14" t="n">
        <v>6</v>
      </c>
      <c r="D50" s="17" t="n">
        <f aca="false">COUNTIFS($A$5:$A$229,A50,$E$5:$E$229,"&lt;"&amp;E50)+1</f>
        <v>4</v>
      </c>
      <c r="E50" s="31" t="n">
        <v>0.00582175925925926</v>
      </c>
      <c r="F50" s="31" t="n">
        <f aca="false">E50/B50</f>
        <v>0.00194058641975309</v>
      </c>
      <c r="G50" s="12" t="s">
        <v>4365</v>
      </c>
      <c r="H50" s="12" t="s">
        <v>4366</v>
      </c>
      <c r="I50" s="32" t="s">
        <v>4348</v>
      </c>
      <c r="J50" s="17" t="n">
        <v>9</v>
      </c>
      <c r="K50" s="17" t="n">
        <v>101</v>
      </c>
      <c r="L50" s="13" t="n">
        <f aca="false">IF(INDEX(選手一覧!$D$7:$D$2738,$K50)="","",INDEX(選手一覧!$D$7:$D$2738,$K50))</f>
        <v>0.0102140046296296</v>
      </c>
      <c r="M50" s="14" t="n">
        <f aca="false">IF(INDEX(選手一覧!$E$7:$E$2738,$K50)="","",INDEX(選手一覧!$E$7:$E$2738,$K50))</f>
        <v>102</v>
      </c>
      <c r="N50" s="16" t="n">
        <f aca="false">IF(INDEX(選手一覧!$H$7:$H$2738,$K50)="","",INDEX(選手一覧!$H$7:$H$2738,$K50))</f>
        <v>0.00633553240740741</v>
      </c>
      <c r="O50" s="17" t="n">
        <f aca="false">IF(INDEX(選手一覧!$I$7:$I$2738,$K50)="","",INDEX(選手一覧!$I$7:$I$2738,$K50))</f>
        <v>6</v>
      </c>
      <c r="P50" s="16" t="n">
        <f aca="false">IF(INDEX(選手一覧!$J$7:$J$2738,$K50)="","",INDEX(選手一覧!$J$7:$J$2738,$K50))</f>
        <v>0.00285925925925926</v>
      </c>
      <c r="Q50" s="17" t="n">
        <f aca="false">IF(INDEX(選手一覧!$K$7:$K$2738,$K50)="","",INDEX(選手一覧!$K$7:$K$2738,$K50))</f>
        <v>630</v>
      </c>
    </row>
    <row r="51" customFormat="false" ht="15" hidden="false" customHeight="false" outlineLevel="0" collapsed="false">
      <c r="A51" s="29" t="n">
        <v>2</v>
      </c>
      <c r="B51" s="30" t="n">
        <v>3</v>
      </c>
      <c r="C51" s="14" t="n">
        <v>9</v>
      </c>
      <c r="D51" s="17" t="n">
        <f aca="false">COUNTIFS($A$5:$A$229,A51,$E$5:$E$229,"&lt;"&amp;E51)+1</f>
        <v>5</v>
      </c>
      <c r="E51" s="31" t="n">
        <v>0.00584490740740741</v>
      </c>
      <c r="F51" s="31" t="n">
        <f aca="false">E51/B51</f>
        <v>0.0019483024691358</v>
      </c>
      <c r="G51" s="12" t="s">
        <v>4367</v>
      </c>
      <c r="H51" s="12" t="s">
        <v>4368</v>
      </c>
      <c r="I51" s="32" t="s">
        <v>4257</v>
      </c>
      <c r="J51" s="17" t="n">
        <v>21</v>
      </c>
      <c r="K51" s="17" t="n">
        <v>577</v>
      </c>
      <c r="L51" s="13" t="n">
        <f aca="false">IF(INDEX(選手一覧!$D$7:$D$2738,$K51)="","",INDEX(選手一覧!$D$7:$D$2738,$K51))</f>
        <v>0.0106987268518519</v>
      </c>
      <c r="M51" s="14" t="n">
        <f aca="false">IF(INDEX(選手一覧!$E$7:$E$2738,$K51)="","",INDEX(選手一覧!$E$7:$E$2738,$K51))</f>
        <v>578</v>
      </c>
      <c r="N51" s="16" t="str">
        <f aca="false">IF(INDEX(選手一覧!$H$7:$H$2738,$K51)="","",INDEX(選手一覧!$H$7:$H$2738,$K51))</f>
        <v/>
      </c>
      <c r="O51" s="17" t="str">
        <f aca="false">IF(INDEX(選手一覧!$I$7:$I$2738,$K51)="","",INDEX(選手一覧!$I$7:$I$2738,$K51))</f>
        <v/>
      </c>
      <c r="P51" s="16" t="n">
        <f aca="false">IF(INDEX(選手一覧!$J$7:$J$2738,$K51)="","",INDEX(選手一覧!$J$7:$J$2738,$K51))</f>
        <v>0.00272337962962963</v>
      </c>
      <c r="Q51" s="17" t="n">
        <f aca="false">IF(INDEX(選手一覧!$K$7:$K$2738,$K51)="","",INDEX(選手一覧!$K$7:$K$2738,$K51))</f>
        <v>54</v>
      </c>
    </row>
    <row r="52" customFormat="false" ht="15" hidden="false" customHeight="false" outlineLevel="0" collapsed="false">
      <c r="A52" s="29" t="n">
        <v>2</v>
      </c>
      <c r="B52" s="30" t="n">
        <v>3</v>
      </c>
      <c r="C52" s="14" t="n">
        <v>15</v>
      </c>
      <c r="D52" s="17" t="n">
        <f aca="false">COUNTIFS($A$5:$A$229,A52,$E$5:$E$229,"&lt;"&amp;E52)+1</f>
        <v>6</v>
      </c>
      <c r="E52" s="31" t="n">
        <v>0.0058912037037037</v>
      </c>
      <c r="F52" s="31" t="n">
        <f aca="false">E52/B52</f>
        <v>0.00196373456790123</v>
      </c>
      <c r="G52" s="12" t="s">
        <v>4369</v>
      </c>
      <c r="H52" s="12" t="s">
        <v>4370</v>
      </c>
      <c r="I52" s="32" t="s">
        <v>4348</v>
      </c>
      <c r="J52" s="17" t="n">
        <v>13</v>
      </c>
      <c r="K52" s="17" t="n">
        <v>97</v>
      </c>
      <c r="L52" s="13" t="n">
        <f aca="false">IF(INDEX(選手一覧!$D$7:$D$2738,$K52)="","",INDEX(選手一覧!$D$7:$D$2738,$K52))</f>
        <v>0.0102041666666667</v>
      </c>
      <c r="M52" s="14" t="n">
        <f aca="false">IF(INDEX(選手一覧!$E$7:$E$2738,$K52)="","",INDEX(選手一覧!$E$7:$E$2738,$K52))</f>
        <v>98</v>
      </c>
      <c r="N52" s="16" t="str">
        <f aca="false">IF(INDEX(選手一覧!$H$7:$H$2738,$K52)="","",INDEX(選手一覧!$H$7:$H$2738,$K52))</f>
        <v/>
      </c>
      <c r="O52" s="17" t="str">
        <f aca="false">IF(INDEX(選手一覧!$I$7:$I$2738,$K52)="","",INDEX(選手一覧!$I$7:$I$2738,$K52))</f>
        <v/>
      </c>
      <c r="P52" s="16" t="n">
        <f aca="false">IF(INDEX(選手一覧!$J$7:$J$2738,$K52)="","",INDEX(選手一覧!$J$7:$J$2738,$K52))</f>
        <v>0.00267743055555556</v>
      </c>
      <c r="Q52" s="17" t="n">
        <f aca="false">IF(INDEX(選手一覧!$K$7:$K$2738,$K52)="","",INDEX(選手一覧!$K$7:$K$2738,$K52))</f>
        <v>11</v>
      </c>
    </row>
    <row r="53" customFormat="false" ht="15" hidden="false" customHeight="false" outlineLevel="0" collapsed="false">
      <c r="A53" s="29" t="n">
        <v>2</v>
      </c>
      <c r="B53" s="30" t="n">
        <v>3</v>
      </c>
      <c r="C53" s="14" t="n">
        <v>15</v>
      </c>
      <c r="D53" s="17" t="n">
        <f aca="false">COUNTIFS($A$5:$A$229,A53,$E$5:$E$229,"&lt;"&amp;E53)+1</f>
        <v>6</v>
      </c>
      <c r="E53" s="31" t="n">
        <v>0.0058912037037037</v>
      </c>
      <c r="F53" s="31" t="n">
        <f aca="false">E53/B53</f>
        <v>0.00196373456790123</v>
      </c>
      <c r="G53" s="12" t="s">
        <v>4371</v>
      </c>
      <c r="H53" s="12" t="s">
        <v>4312</v>
      </c>
      <c r="I53" s="32" t="s">
        <v>4313</v>
      </c>
      <c r="J53" s="17" t="n">
        <v>40</v>
      </c>
      <c r="K53" s="17" t="n">
        <v>1416</v>
      </c>
      <c r="L53" s="13" t="str">
        <f aca="false">IF(INDEX(選手一覧!$D$7:$D$2738,$K53)="","",INDEX(選手一覧!$D$7:$D$2738,$K53))</f>
        <v/>
      </c>
      <c r="M53" s="14" t="str">
        <f aca="false">IF(INDEX(選手一覧!$E$7:$E$2738,$K53)="","",INDEX(選手一覧!$E$7:$E$2738,$K53))</f>
        <v/>
      </c>
      <c r="N53" s="16" t="str">
        <f aca="false">IF(INDEX(選手一覧!$H$7:$H$2738,$K53)="","",INDEX(選手一覧!$H$7:$H$2738,$K53))</f>
        <v/>
      </c>
      <c r="O53" s="17" t="str">
        <f aca="false">IF(INDEX(選手一覧!$I$7:$I$2738,$K53)="","",INDEX(選手一覧!$I$7:$I$2738,$K53))</f>
        <v/>
      </c>
      <c r="P53" s="16" t="n">
        <f aca="false">IF(INDEX(選手一覧!$J$7:$J$2738,$K53)="","",INDEX(選手一覧!$J$7:$J$2738,$K53))</f>
        <v>0.00280243055555556</v>
      </c>
      <c r="Q53" s="17" t="n">
        <f aca="false">IF(INDEX(選手一覧!$K$7:$K$2738,$K53)="","",INDEX(選手一覧!$K$7:$K$2738,$K53))</f>
        <v>292</v>
      </c>
    </row>
    <row r="54" customFormat="false" ht="15" hidden="false" customHeight="false" outlineLevel="0" collapsed="false">
      <c r="A54" s="29" t="n">
        <v>2</v>
      </c>
      <c r="B54" s="30" t="n">
        <v>3</v>
      </c>
      <c r="C54" s="14" t="n">
        <v>29</v>
      </c>
      <c r="D54" s="17" t="n">
        <f aca="false">COUNTIFS($A$5:$A$229,A54,$E$5:$E$229,"&lt;"&amp;E54)+1</f>
        <v>8</v>
      </c>
      <c r="E54" s="31" t="n">
        <v>0.00597222222222222</v>
      </c>
      <c r="F54" s="31" t="n">
        <f aca="false">E54/B54</f>
        <v>0.00199074074074074</v>
      </c>
      <c r="G54" s="12" t="s">
        <v>4372</v>
      </c>
      <c r="H54" s="12" t="s">
        <v>4279</v>
      </c>
      <c r="I54" s="32" t="s">
        <v>4280</v>
      </c>
      <c r="J54" s="17" t="n">
        <v>38</v>
      </c>
      <c r="K54" s="17" t="n">
        <v>432</v>
      </c>
      <c r="L54" s="13" t="n">
        <f aca="false">IF(INDEX(選手一覧!$D$7:$D$2738,$K54)="","",INDEX(選手一覧!$D$7:$D$2738,$K54))</f>
        <v>0.0105804398148148</v>
      </c>
      <c r="M54" s="14" t="n">
        <f aca="false">IF(INDEX(選手一覧!$E$7:$E$2738,$K54)="","",INDEX(選手一覧!$E$7:$E$2738,$K54))</f>
        <v>433</v>
      </c>
      <c r="N54" s="16" t="n">
        <f aca="false">IF(INDEX(選手一覧!$H$7:$H$2738,$K54)="","",INDEX(選手一覧!$H$7:$H$2738,$K54))</f>
        <v>0.00656412037037037</v>
      </c>
      <c r="O54" s="17" t="n">
        <f aca="false">IF(INDEX(選手一覧!$I$7:$I$2738,$K54)="","",INDEX(選手一覧!$I$7:$I$2738,$K54))</f>
        <v>53</v>
      </c>
      <c r="P54" s="16" t="n">
        <f aca="false">IF(INDEX(選手一覧!$J$7:$J$2738,$K54)="","",INDEX(選手一覧!$J$7:$J$2738,$K54))</f>
        <v>0.00287986111111111</v>
      </c>
      <c r="Q54" s="17" t="n">
        <f aca="false">IF(INDEX(選手一覧!$K$7:$K$2738,$K54)="","",INDEX(選手一覧!$K$7:$K$2738,$K54))</f>
        <v>769</v>
      </c>
    </row>
    <row r="55" customFormat="false" ht="15" hidden="false" customHeight="false" outlineLevel="0" collapsed="false">
      <c r="A55" s="29" t="n">
        <v>2</v>
      </c>
      <c r="B55" s="30" t="n">
        <v>3</v>
      </c>
      <c r="C55" s="14" t="n">
        <v>32</v>
      </c>
      <c r="D55" s="17" t="n">
        <f aca="false">COUNTIFS($A$5:$A$229,A55,$E$5:$E$229,"&lt;"&amp;E55)+1</f>
        <v>9</v>
      </c>
      <c r="E55" s="31" t="n">
        <v>0.00599537037037037</v>
      </c>
      <c r="F55" s="31" t="n">
        <f aca="false">E55/B55</f>
        <v>0.00199845679012346</v>
      </c>
      <c r="G55" s="12" t="s">
        <v>4373</v>
      </c>
      <c r="H55" s="12" t="s">
        <v>4294</v>
      </c>
      <c r="I55" s="32" t="s">
        <v>4295</v>
      </c>
      <c r="J55" s="17" t="n">
        <v>33</v>
      </c>
      <c r="K55" s="17" t="n">
        <v>502</v>
      </c>
      <c r="L55" s="13" t="n">
        <f aca="false">IF(INDEX(選手一覧!$D$7:$D$2738,$K55)="","",INDEX(選手一覧!$D$7:$D$2738,$K55))</f>
        <v>0.0106248842592593</v>
      </c>
      <c r="M55" s="14" t="n">
        <f aca="false">IF(INDEX(選手一覧!$E$7:$E$2738,$K55)="","",INDEX(選手一覧!$E$7:$E$2738,$K55))</f>
        <v>503</v>
      </c>
      <c r="N55" s="16" t="str">
        <f aca="false">IF(INDEX(選手一覧!$H$7:$H$2738,$K55)="","",INDEX(選手一覧!$H$7:$H$2738,$K55))</f>
        <v/>
      </c>
      <c r="O55" s="17" t="str">
        <f aca="false">IF(INDEX(選手一覧!$I$7:$I$2738,$K55)="","",INDEX(選手一覧!$I$7:$I$2738,$K55))</f>
        <v/>
      </c>
      <c r="P55" s="16" t="n">
        <f aca="false">IF(INDEX(選手一覧!$J$7:$J$2738,$K55)="","",INDEX(選手一覧!$J$7:$J$2738,$K55))</f>
        <v>0.00290821759259259</v>
      </c>
      <c r="Q55" s="17" t="n">
        <f aca="false">IF(INDEX(選手一覧!$K$7:$K$2738,$K55)="","",INDEX(選手一覧!$K$7:$K$2738,$K55))</f>
        <v>1003</v>
      </c>
    </row>
    <row r="56" customFormat="false" ht="15" hidden="false" customHeight="false" outlineLevel="0" collapsed="false">
      <c r="A56" s="29" t="n">
        <v>2</v>
      </c>
      <c r="B56" s="30" t="n">
        <v>3</v>
      </c>
      <c r="C56" s="14" t="n">
        <v>32</v>
      </c>
      <c r="D56" s="17" t="n">
        <f aca="false">COUNTIFS($A$5:$A$229,A56,$E$5:$E$229,"&lt;"&amp;E56)+1</f>
        <v>9</v>
      </c>
      <c r="E56" s="31" t="n">
        <v>0.00599537037037037</v>
      </c>
      <c r="F56" s="31" t="n">
        <f aca="false">E56/B56</f>
        <v>0.00199845679012346</v>
      </c>
      <c r="G56" s="12" t="s">
        <v>4374</v>
      </c>
      <c r="H56" s="12" t="s">
        <v>4303</v>
      </c>
      <c r="I56" s="32" t="s">
        <v>4257</v>
      </c>
      <c r="J56" s="17" t="n">
        <v>41</v>
      </c>
      <c r="K56" s="17" t="n">
        <v>1031</v>
      </c>
      <c r="L56" s="13" t="n">
        <f aca="false">IF(INDEX(選手一覧!$D$7:$D$2738,$K56)="","",INDEX(選手一覧!$D$7:$D$2738,$K56))</f>
        <v>0.0109680555555556</v>
      </c>
      <c r="M56" s="14" t="n">
        <f aca="false">IF(INDEX(選手一覧!$E$7:$E$2738,$K56)="","",INDEX(選手一覧!$E$7:$E$2738,$K56))</f>
        <v>1032</v>
      </c>
      <c r="N56" s="16" t="str">
        <f aca="false">IF(INDEX(選手一覧!$H$7:$H$2738,$K56)="","",INDEX(選手一覧!$H$7:$H$2738,$K56))</f>
        <v/>
      </c>
      <c r="O56" s="17" t="str">
        <f aca="false">IF(INDEX(選手一覧!$I$7:$I$2738,$K56)="","",INDEX(選手一覧!$I$7:$I$2738,$K56))</f>
        <v/>
      </c>
      <c r="P56" s="16" t="n">
        <f aca="false">IF(INDEX(選手一覧!$J$7:$J$2738,$K56)="","",INDEX(選手一覧!$J$7:$J$2738,$K56))</f>
        <v>0.00282372685185185</v>
      </c>
      <c r="Q56" s="17" t="n">
        <f aca="false">IF(INDEX(選手一覧!$K$7:$K$2738,$K56)="","",INDEX(選手一覧!$K$7:$K$2738,$K56))</f>
        <v>385</v>
      </c>
    </row>
    <row r="57" customFormat="false" ht="15" hidden="false" customHeight="false" outlineLevel="0" collapsed="false">
      <c r="A57" s="29" t="n">
        <v>2</v>
      </c>
      <c r="B57" s="30" t="n">
        <v>3</v>
      </c>
      <c r="C57" s="14" t="n">
        <v>34</v>
      </c>
      <c r="D57" s="17" t="n">
        <f aca="false">COUNTIFS($A$5:$A$229,A57,$E$5:$E$229,"&lt;"&amp;E57)+1</f>
        <v>11</v>
      </c>
      <c r="E57" s="31" t="n">
        <v>0.00600694444444444</v>
      </c>
      <c r="F57" s="31" t="n">
        <f aca="false">E57/B57</f>
        <v>0.00200231481481482</v>
      </c>
      <c r="G57" s="12" t="s">
        <v>4375</v>
      </c>
      <c r="H57" s="12" t="s">
        <v>4300</v>
      </c>
      <c r="I57" s="32" t="s">
        <v>4301</v>
      </c>
      <c r="J57" s="17" t="n">
        <v>19</v>
      </c>
      <c r="K57" s="17" t="n">
        <v>159</v>
      </c>
      <c r="L57" s="13" t="n">
        <f aca="false">IF(INDEX(選手一覧!$D$7:$D$2738,$K57)="","",INDEX(選手一覧!$D$7:$D$2738,$K57))</f>
        <v>0.0103002314814815</v>
      </c>
      <c r="M57" s="14" t="n">
        <f aca="false">IF(INDEX(選手一覧!$E$7:$E$2738,$K57)="","",INDEX(選手一覧!$E$7:$E$2738,$K57))</f>
        <v>160</v>
      </c>
      <c r="N57" s="16" t="n">
        <f aca="false">IF(INDEX(選手一覧!$H$7:$H$2738,$K57)="","",INDEX(選手一覧!$H$7:$H$2738,$K57))</f>
        <v>0.00701736111111111</v>
      </c>
      <c r="O57" s="17" t="n">
        <f aca="false">IF(INDEX(選手一覧!$I$7:$I$2738,$K57)="","",INDEX(選手一覧!$I$7:$I$2738,$K57))</f>
        <v>354</v>
      </c>
      <c r="P57" s="16" t="n">
        <f aca="false">IF(INDEX(選手一覧!$J$7:$J$2738,$K57)="","",INDEX(選手一覧!$J$7:$J$2738,$K57))</f>
        <v>0.0028443287037037</v>
      </c>
      <c r="Q57" s="17" t="n">
        <f aca="false">IF(INDEX(選手一覧!$K$7:$K$2738,$K57)="","",INDEX(選手一覧!$K$7:$K$2738,$K57))</f>
        <v>529</v>
      </c>
    </row>
    <row r="58" customFormat="false" ht="15" hidden="false" customHeight="false" outlineLevel="0" collapsed="false">
      <c r="A58" s="29" t="n">
        <v>2</v>
      </c>
      <c r="B58" s="30" t="n">
        <v>3</v>
      </c>
      <c r="C58" s="14" t="n">
        <v>34</v>
      </c>
      <c r="D58" s="17" t="n">
        <f aca="false">COUNTIFS($A$5:$A$229,A58,$E$5:$E$229,"&lt;"&amp;E58)+1</f>
        <v>11</v>
      </c>
      <c r="E58" s="31" t="n">
        <v>0.00600694444444444</v>
      </c>
      <c r="F58" s="31" t="n">
        <f aca="false">E58/B58</f>
        <v>0.00200231481481482</v>
      </c>
      <c r="G58" s="12" t="s">
        <v>4376</v>
      </c>
      <c r="H58" s="12" t="s">
        <v>4377</v>
      </c>
      <c r="I58" s="32" t="s">
        <v>4378</v>
      </c>
      <c r="J58" s="17" t="n">
        <v>53</v>
      </c>
      <c r="K58" s="17" t="n">
        <v>1370</v>
      </c>
      <c r="L58" s="13" t="str">
        <f aca="false">IF(INDEX(選手一覧!$D$7:$D$2738,$K58)="","",INDEX(選手一覧!$D$7:$D$2738,$K58))</f>
        <v/>
      </c>
      <c r="M58" s="14" t="str">
        <f aca="false">IF(INDEX(選手一覧!$E$7:$E$2738,$K58)="","",INDEX(選手一覧!$E$7:$E$2738,$K58))</f>
        <v/>
      </c>
      <c r="N58" s="16" t="n">
        <f aca="false">IF(INDEX(選手一覧!$H$7:$H$2738,$K58)="","",INDEX(選手一覧!$H$7:$H$2738,$K58))</f>
        <v>0.00695833333333333</v>
      </c>
      <c r="O58" s="17" t="n">
        <f aca="false">IF(INDEX(選手一覧!$I$7:$I$2738,$K58)="","",INDEX(選手一覧!$I$7:$I$2738,$K58))</f>
        <v>291</v>
      </c>
      <c r="P58" s="16" t="n">
        <f aca="false">IF(INDEX(選手一覧!$J$7:$J$2738,$K58)="","",INDEX(選手一覧!$J$7:$J$2738,$K58))</f>
        <v>0.00278819444444445</v>
      </c>
      <c r="Q58" s="17" t="n">
        <f aca="false">IF(INDEX(選手一覧!$K$7:$K$2738,$K58)="","",INDEX(選手一覧!$K$7:$K$2738,$K58))</f>
        <v>234</v>
      </c>
    </row>
    <row r="59" customFormat="false" ht="15" hidden="false" customHeight="false" outlineLevel="0" collapsed="false">
      <c r="A59" s="29" t="n">
        <v>2</v>
      </c>
      <c r="B59" s="30" t="n">
        <v>3</v>
      </c>
      <c r="C59" s="14" t="n">
        <v>43</v>
      </c>
      <c r="D59" s="17" t="n">
        <f aca="false">COUNTIFS($A$5:$A$229,A59,$E$5:$E$229,"&lt;"&amp;E59)+1</f>
        <v>13</v>
      </c>
      <c r="E59" s="31" t="n">
        <v>0.00605324074074074</v>
      </c>
      <c r="F59" s="31" t="n">
        <f aca="false">E59/B59</f>
        <v>0.00201774691358025</v>
      </c>
      <c r="G59" s="12" t="s">
        <v>4379</v>
      </c>
      <c r="H59" s="12" t="s">
        <v>4380</v>
      </c>
      <c r="I59" s="32" t="s">
        <v>4284</v>
      </c>
      <c r="J59" s="17" t="n">
        <v>43</v>
      </c>
      <c r="K59" s="17" t="n">
        <v>870</v>
      </c>
      <c r="L59" s="13" t="n">
        <f aca="false">IF(INDEX(選手一覧!$D$7:$D$2738,$K59)="","",INDEX(選手一覧!$D$7:$D$2738,$K59))</f>
        <v>0.0108703703703704</v>
      </c>
      <c r="M59" s="14" t="n">
        <f aca="false">IF(INDEX(選手一覧!$E$7:$E$2738,$K59)="","",INDEX(選手一覧!$E$7:$E$2738,$K59))</f>
        <v>871</v>
      </c>
      <c r="N59" s="16" t="str">
        <f aca="false">IF(INDEX(選手一覧!$H$7:$H$2738,$K59)="","",INDEX(選手一覧!$H$7:$H$2738,$K59))</f>
        <v/>
      </c>
      <c r="O59" s="17" t="str">
        <f aca="false">IF(INDEX(選手一覧!$I$7:$I$2738,$K59)="","",INDEX(選手一覧!$I$7:$I$2738,$K59))</f>
        <v/>
      </c>
      <c r="P59" s="16" t="n">
        <f aca="false">IF(INDEX(選手一覧!$J$7:$J$2738,$K59)="","",INDEX(選手一覧!$J$7:$J$2738,$K59))</f>
        <v>0.00287152777777778</v>
      </c>
      <c r="Q59" s="17" t="n">
        <f aca="false">IF(INDEX(選手一覧!$K$7:$K$2738,$K59)="","",INDEX(選手一覧!$K$7:$K$2738,$K59))</f>
        <v>712</v>
      </c>
    </row>
    <row r="60" customFormat="false" ht="15" hidden="false" customHeight="false" outlineLevel="0" collapsed="false">
      <c r="A60" s="29" t="n">
        <v>2</v>
      </c>
      <c r="B60" s="30" t="n">
        <v>3</v>
      </c>
      <c r="C60" s="14" t="n">
        <v>55</v>
      </c>
      <c r="D60" s="17" t="n">
        <f aca="false">COUNTIFS($A$5:$A$229,A60,$E$5:$E$229,"&lt;"&amp;E60)+1</f>
        <v>14</v>
      </c>
      <c r="E60" s="31" t="n">
        <v>0.00613425925925926</v>
      </c>
      <c r="F60" s="31" t="n">
        <f aca="false">E60/B60</f>
        <v>0.00204475308641975</v>
      </c>
      <c r="G60" s="12" t="s">
        <v>4381</v>
      </c>
      <c r="H60" s="12" t="s">
        <v>4317</v>
      </c>
      <c r="I60" s="32" t="s">
        <v>4313</v>
      </c>
      <c r="J60" s="17" t="n">
        <v>62</v>
      </c>
      <c r="K60" s="17" t="n">
        <v>917</v>
      </c>
      <c r="L60" s="13" t="n">
        <f aca="false">IF(INDEX(選手一覧!$D$7:$D$2738,$K60)="","",INDEX(選手一覧!$D$7:$D$2738,$K60))</f>
        <v>0.0108980324074074</v>
      </c>
      <c r="M60" s="14" t="n">
        <f aca="false">IF(INDEX(選手一覧!$E$7:$E$2738,$K60)="","",INDEX(選手一覧!$E$7:$E$2738,$K60))</f>
        <v>918</v>
      </c>
      <c r="N60" s="16" t="str">
        <f aca="false">IF(INDEX(選手一覧!$H$7:$H$2738,$K60)="","",INDEX(選手一覧!$H$7:$H$2738,$K60))</f>
        <v/>
      </c>
      <c r="O60" s="17" t="str">
        <f aca="false">IF(INDEX(選手一覧!$I$7:$I$2738,$K60)="","",INDEX(選手一覧!$I$7:$I$2738,$K60))</f>
        <v/>
      </c>
      <c r="P60" s="16" t="n">
        <f aca="false">IF(INDEX(選手一覧!$J$7:$J$2738,$K60)="","",INDEX(選手一覧!$J$7:$J$2738,$K60))</f>
        <v>0.00284930555555556</v>
      </c>
      <c r="Q60" s="17" t="n">
        <f aca="false">IF(INDEX(選手一覧!$K$7:$K$2738,$K60)="","",INDEX(選手一覧!$K$7:$K$2738,$K60))</f>
        <v>567</v>
      </c>
    </row>
    <row r="61" customFormat="false" ht="15" hidden="false" customHeight="false" outlineLevel="0" collapsed="false">
      <c r="A61" s="29" t="n">
        <v>2</v>
      </c>
      <c r="B61" s="30" t="n">
        <v>3</v>
      </c>
      <c r="C61" s="14" t="n">
        <v>56</v>
      </c>
      <c r="D61" s="17" t="n">
        <f aca="false">COUNTIFS($A$5:$A$229,A61,$E$5:$E$229,"&lt;"&amp;E61)+1</f>
        <v>15</v>
      </c>
      <c r="E61" s="31" t="n">
        <v>0.00614583333333333</v>
      </c>
      <c r="F61" s="31" t="n">
        <f aca="false">E61/B61</f>
        <v>0.00204861111111111</v>
      </c>
      <c r="G61" s="12" t="s">
        <v>4382</v>
      </c>
      <c r="H61" s="12" t="s">
        <v>4341</v>
      </c>
      <c r="I61" s="32" t="s">
        <v>4298</v>
      </c>
      <c r="J61" s="17" t="n">
        <v>57</v>
      </c>
      <c r="K61" s="17" t="n">
        <v>685</v>
      </c>
      <c r="L61" s="13" t="n">
        <f aca="false">IF(INDEX(選手一覧!$D$7:$D$2738,$K61)="","",INDEX(選手一覧!$D$7:$D$2738,$K61))</f>
        <v>0.0107627314814815</v>
      </c>
      <c r="M61" s="14" t="n">
        <f aca="false">IF(INDEX(選手一覧!$E$7:$E$2738,$K61)="","",INDEX(選手一覧!$E$7:$E$2738,$K61))</f>
        <v>686</v>
      </c>
      <c r="N61" s="16" t="str">
        <f aca="false">IF(INDEX(選手一覧!$H$7:$H$2738,$K61)="","",INDEX(選手一覧!$H$7:$H$2738,$K61))</f>
        <v/>
      </c>
      <c r="O61" s="17" t="str">
        <f aca="false">IF(INDEX(選手一覧!$I$7:$I$2738,$K61)="","",INDEX(選手一覧!$I$7:$I$2738,$K61))</f>
        <v/>
      </c>
      <c r="P61" s="16" t="n">
        <f aca="false">IF(INDEX(選手一覧!$J$7:$J$2738,$K61)="","",INDEX(選手一覧!$J$7:$J$2738,$K61))</f>
        <v>0.00278125</v>
      </c>
      <c r="Q61" s="17" t="n">
        <f aca="false">IF(INDEX(選手一覧!$K$7:$K$2738,$K61)="","",INDEX(選手一覧!$K$7:$K$2738,$K61))</f>
        <v>207</v>
      </c>
    </row>
    <row r="62" customFormat="false" ht="15" hidden="false" customHeight="false" outlineLevel="0" collapsed="false">
      <c r="A62" s="29" t="n">
        <v>2</v>
      </c>
      <c r="B62" s="30" t="n">
        <v>3</v>
      </c>
      <c r="C62" s="14" t="n">
        <v>58</v>
      </c>
      <c r="D62" s="17" t="n">
        <f aca="false">COUNTIFS($A$5:$A$229,A62,$E$5:$E$229,"&lt;"&amp;E62)+1</f>
        <v>16</v>
      </c>
      <c r="E62" s="31" t="n">
        <v>0.00615740740740741</v>
      </c>
      <c r="F62" s="31" t="n">
        <f aca="false">E62/B62</f>
        <v>0.00205246913580247</v>
      </c>
      <c r="G62" s="12" t="s">
        <v>4383</v>
      </c>
      <c r="H62" s="12" t="s">
        <v>4384</v>
      </c>
      <c r="I62" s="32" t="s">
        <v>4385</v>
      </c>
      <c r="J62" s="17" t="n">
        <v>46</v>
      </c>
      <c r="K62" s="17" t="n">
        <v>1080</v>
      </c>
      <c r="L62" s="13" t="n">
        <f aca="false">IF(INDEX(選手一覧!$D$7:$D$2738,$K62)="","",INDEX(選手一覧!$D$7:$D$2738,$K62))</f>
        <v>0.0109909722222222</v>
      </c>
      <c r="M62" s="14" t="n">
        <f aca="false">IF(INDEX(選手一覧!$E$7:$E$2738,$K62)="","",INDEX(選手一覧!$E$7:$E$2738,$K62))</f>
        <v>1081</v>
      </c>
      <c r="N62" s="16" t="n">
        <f aca="false">IF(INDEX(選手一覧!$H$7:$H$2738,$K62)="","",INDEX(選手一覧!$H$7:$H$2738,$K62))</f>
        <v>0.00721296296296296</v>
      </c>
      <c r="O62" s="17" t="n">
        <f aca="false">IF(INDEX(選手一覧!$I$7:$I$2738,$K62)="","",INDEX(選手一覧!$I$7:$I$2738,$K62))</f>
        <v>550</v>
      </c>
      <c r="P62" s="16" t="str">
        <f aca="false">IF(INDEX(選手一覧!$J$7:$J$2738,$K62)="","",INDEX(選手一覧!$J$7:$J$2738,$K62))</f>
        <v/>
      </c>
      <c r="Q62" s="17" t="str">
        <f aca="false">IF(INDEX(選手一覧!$K$7:$K$2738,$K62)="","",INDEX(選手一覧!$K$7:$K$2738,$K62))</f>
        <v/>
      </c>
    </row>
    <row r="63" customFormat="false" ht="15" hidden="false" customHeight="false" outlineLevel="0" collapsed="false">
      <c r="A63" s="29" t="n">
        <v>2</v>
      </c>
      <c r="B63" s="30" t="n">
        <v>3</v>
      </c>
      <c r="C63" s="14" t="n">
        <v>67</v>
      </c>
      <c r="D63" s="17" t="n">
        <f aca="false">COUNTIFS($A$5:$A$229,A63,$E$5:$E$229,"&lt;"&amp;E63)+1</f>
        <v>17</v>
      </c>
      <c r="E63" s="31" t="n">
        <v>0.00623842592592593</v>
      </c>
      <c r="F63" s="31" t="n">
        <f aca="false">E63/B63</f>
        <v>0.00207947530864198</v>
      </c>
      <c r="G63" s="12" t="s">
        <v>4386</v>
      </c>
      <c r="H63" s="12" t="s">
        <v>4387</v>
      </c>
      <c r="I63" s="32" t="s">
        <v>4385</v>
      </c>
      <c r="J63" s="17" t="n">
        <v>30</v>
      </c>
      <c r="K63" s="17" t="n">
        <v>625</v>
      </c>
      <c r="L63" s="13" t="n">
        <f aca="false">IF(INDEX(選手一覧!$D$7:$D$2738,$K63)="","",INDEX(選手一覧!$D$7:$D$2738,$K63))</f>
        <v>0.0107274305555556</v>
      </c>
      <c r="M63" s="14" t="n">
        <f aca="false">IF(INDEX(選手一覧!$E$7:$E$2738,$K63)="","",INDEX(選手一覧!$E$7:$E$2738,$K63))</f>
        <v>626</v>
      </c>
      <c r="N63" s="16" t="n">
        <f aca="false">IF(INDEX(選手一覧!$H$7:$H$2738,$K63)="","",INDEX(選手一覧!$H$7:$H$2738,$K63))</f>
        <v>0.00674560185185185</v>
      </c>
      <c r="O63" s="17" t="n">
        <f aca="false">IF(INDEX(選手一覧!$I$7:$I$2738,$K63)="","",INDEX(選手一覧!$I$7:$I$2738,$K63))</f>
        <v>124</v>
      </c>
      <c r="P63" s="16" t="str">
        <f aca="false">IF(INDEX(選手一覧!$J$7:$J$2738,$K63)="","",INDEX(選手一覧!$J$7:$J$2738,$K63))</f>
        <v/>
      </c>
      <c r="Q63" s="17" t="str">
        <f aca="false">IF(INDEX(選手一覧!$K$7:$K$2738,$K63)="","",INDEX(選手一覧!$K$7:$K$2738,$K63))</f>
        <v/>
      </c>
    </row>
    <row r="64" customFormat="false" ht="15" hidden="false" customHeight="false" outlineLevel="0" collapsed="false">
      <c r="A64" s="29" t="n">
        <v>2</v>
      </c>
      <c r="B64" s="30" t="n">
        <v>3</v>
      </c>
      <c r="C64" s="14" t="n">
        <v>69</v>
      </c>
      <c r="D64" s="17" t="n">
        <f aca="false">COUNTIFS($A$5:$A$229,A64,$E$5:$E$229,"&lt;"&amp;E64)+1</f>
        <v>18</v>
      </c>
      <c r="E64" s="31" t="n">
        <v>0.00627314814814815</v>
      </c>
      <c r="F64" s="31" t="n">
        <f aca="false">E64/B64</f>
        <v>0.00209104938271605</v>
      </c>
      <c r="G64" s="12" t="s">
        <v>4388</v>
      </c>
      <c r="H64" s="12" t="s">
        <v>4389</v>
      </c>
      <c r="I64" s="32" t="s">
        <v>4268</v>
      </c>
      <c r="J64" s="17" t="n">
        <v>77</v>
      </c>
      <c r="K64" s="17" t="n">
        <v>926</v>
      </c>
      <c r="L64" s="13" t="n">
        <f aca="false">IF(INDEX(選手一覧!$D$7:$D$2738,$K64)="","",INDEX(選手一覧!$D$7:$D$2738,$K64))</f>
        <v>0.0109045138888889</v>
      </c>
      <c r="M64" s="14" t="n">
        <f aca="false">IF(INDEX(選手一覧!$E$7:$E$2738,$K64)="","",INDEX(選手一覧!$E$7:$E$2738,$K64))</f>
        <v>927</v>
      </c>
      <c r="N64" s="16" t="str">
        <f aca="false">IF(INDEX(選手一覧!$H$7:$H$2738,$K64)="","",INDEX(選手一覧!$H$7:$H$2738,$K64))</f>
        <v/>
      </c>
      <c r="O64" s="17" t="str">
        <f aca="false">IF(INDEX(選手一覧!$I$7:$I$2738,$K64)="","",INDEX(選手一覧!$I$7:$I$2738,$K64))</f>
        <v/>
      </c>
      <c r="P64" s="16" t="n">
        <f aca="false">IF(INDEX(選手一覧!$J$7:$J$2738,$K64)="","",INDEX(選手一覧!$J$7:$J$2738,$K64))</f>
        <v>0.00282511574074074</v>
      </c>
      <c r="Q64" s="17" t="n">
        <f aca="false">IF(INDEX(選手一覧!$K$7:$K$2738,$K64)="","",INDEX(選手一覧!$K$7:$K$2738,$K64))</f>
        <v>394</v>
      </c>
    </row>
    <row r="65" customFormat="false" ht="15" hidden="false" customHeight="false" outlineLevel="0" collapsed="false">
      <c r="A65" s="29" t="n">
        <v>2</v>
      </c>
      <c r="B65" s="30" t="n">
        <v>3</v>
      </c>
      <c r="C65" s="14" t="n">
        <v>70</v>
      </c>
      <c r="D65" s="17" t="n">
        <f aca="false">COUNTIFS($A$5:$A$229,A65,$E$5:$E$229,"&lt;"&amp;E65)+1</f>
        <v>19</v>
      </c>
      <c r="E65" s="31" t="n">
        <v>0.00628472222222222</v>
      </c>
      <c r="F65" s="31" t="n">
        <f aca="false">E65/B65</f>
        <v>0.00209490740740741</v>
      </c>
      <c r="G65" s="12" t="s">
        <v>4390</v>
      </c>
      <c r="H65" s="12" t="s">
        <v>4343</v>
      </c>
      <c r="I65" s="32" t="s">
        <v>4327</v>
      </c>
      <c r="J65" s="17" t="n">
        <v>68</v>
      </c>
      <c r="K65" s="17" t="n">
        <v>949</v>
      </c>
      <c r="L65" s="13" t="n">
        <f aca="false">IF(INDEX(選手一覧!$D$7:$D$2738,$K65)="","",INDEX(選手一覧!$D$7:$D$2738,$K65))</f>
        <v>0.0109190972222222</v>
      </c>
      <c r="M65" s="14" t="n">
        <f aca="false">IF(INDEX(選手一覧!$E$7:$E$2738,$K65)="","",INDEX(選手一覧!$E$7:$E$2738,$K65))</f>
        <v>950</v>
      </c>
      <c r="N65" s="16" t="str">
        <f aca="false">IF(INDEX(選手一覧!$H$7:$H$2738,$K65)="","",INDEX(選手一覧!$H$7:$H$2738,$K65))</f>
        <v/>
      </c>
      <c r="O65" s="17" t="str">
        <f aca="false">IF(INDEX(選手一覧!$I$7:$I$2738,$K65)="","",INDEX(選手一覧!$I$7:$I$2738,$K65))</f>
        <v/>
      </c>
      <c r="P65" s="16" t="n">
        <f aca="false">IF(INDEX(選手一覧!$J$7:$J$2738,$K65)="","",INDEX(選手一覧!$J$7:$J$2738,$K65))</f>
        <v>0.0028875</v>
      </c>
      <c r="Q65" s="17" t="n">
        <f aca="false">IF(INDEX(選手一覧!$K$7:$K$2738,$K65)="","",INDEX(選手一覧!$K$7:$K$2738,$K65))</f>
        <v>839</v>
      </c>
    </row>
    <row r="66" customFormat="false" ht="15" hidden="false" customHeight="false" outlineLevel="0" collapsed="false">
      <c r="A66" s="29" t="n">
        <v>2</v>
      </c>
      <c r="B66" s="30" t="n">
        <v>3</v>
      </c>
      <c r="C66" s="14" t="n">
        <v>70</v>
      </c>
      <c r="D66" s="17" t="n">
        <f aca="false">COUNTIFS($A$5:$A$229,A66,$E$5:$E$229,"&lt;"&amp;E66)+1</f>
        <v>19</v>
      </c>
      <c r="E66" s="31" t="n">
        <v>0.00628472222222222</v>
      </c>
      <c r="F66" s="31" t="n">
        <f aca="false">E66/B66</f>
        <v>0.00209490740740741</v>
      </c>
      <c r="G66" s="12" t="s">
        <v>4391</v>
      </c>
      <c r="H66" s="12" t="s">
        <v>4352</v>
      </c>
      <c r="I66" s="32" t="s">
        <v>4353</v>
      </c>
      <c r="J66" s="17" t="n">
        <v>93</v>
      </c>
      <c r="K66" s="17" t="n">
        <v>1489</v>
      </c>
      <c r="L66" s="13" t="str">
        <f aca="false">IF(INDEX(選手一覧!$D$7:$D$2738,$K66)="","",INDEX(選手一覧!$D$7:$D$2738,$K66))</f>
        <v/>
      </c>
      <c r="M66" s="14" t="str">
        <f aca="false">IF(INDEX(選手一覧!$E$7:$E$2738,$K66)="","",INDEX(選手一覧!$E$7:$E$2738,$K66))</f>
        <v/>
      </c>
      <c r="N66" s="16" t="str">
        <f aca="false">IF(INDEX(選手一覧!$H$7:$H$2738,$K66)="","",INDEX(選手一覧!$H$7:$H$2738,$K66))</f>
        <v/>
      </c>
      <c r="O66" s="17" t="str">
        <f aca="false">IF(INDEX(選手一覧!$I$7:$I$2738,$K66)="","",INDEX(選手一覧!$I$7:$I$2738,$K66))</f>
        <v/>
      </c>
      <c r="P66" s="16" t="n">
        <f aca="false">IF(INDEX(選手一覧!$J$7:$J$2738,$K66)="","",INDEX(選手一覧!$J$7:$J$2738,$K66))</f>
        <v>0.00282407407407407</v>
      </c>
      <c r="Q66" s="17" t="n">
        <f aca="false">IF(INDEX(選手一覧!$K$7:$K$2738,$K66)="","",INDEX(選手一覧!$K$7:$K$2738,$K66))</f>
        <v>388</v>
      </c>
    </row>
    <row r="67" customFormat="false" ht="15" hidden="false" customHeight="false" outlineLevel="0" collapsed="false">
      <c r="A67" s="29" t="n">
        <v>2</v>
      </c>
      <c r="B67" s="30" t="n">
        <v>3</v>
      </c>
      <c r="C67" s="14" t="n">
        <v>72</v>
      </c>
      <c r="D67" s="17" t="n">
        <f aca="false">COUNTIFS($A$5:$A$229,A67,$E$5:$E$229,"&lt;"&amp;E67)+1</f>
        <v>21</v>
      </c>
      <c r="E67" s="31" t="n">
        <v>0.0062962962962963</v>
      </c>
      <c r="F67" s="31" t="n">
        <f aca="false">E67/B67</f>
        <v>0.00209876543209877</v>
      </c>
      <c r="G67" s="12" t="s">
        <v>4392</v>
      </c>
      <c r="H67" s="12" t="s">
        <v>4357</v>
      </c>
      <c r="I67" s="32" t="s">
        <v>4295</v>
      </c>
      <c r="J67" s="17" t="n">
        <v>95</v>
      </c>
      <c r="K67" s="17" t="n">
        <v>1724</v>
      </c>
      <c r="L67" s="13" t="str">
        <f aca="false">IF(INDEX(選手一覧!$D$7:$D$2738,$K67)="","",INDEX(選手一覧!$D$7:$D$2738,$K67))</f>
        <v/>
      </c>
      <c r="M67" s="14" t="str">
        <f aca="false">IF(INDEX(選手一覧!$E$7:$E$2738,$K67)="","",INDEX(選手一覧!$E$7:$E$2738,$K67))</f>
        <v/>
      </c>
      <c r="N67" s="16" t="str">
        <f aca="false">IF(INDEX(選手一覧!$H$7:$H$2738,$K67)="","",INDEX(選手一覧!$H$7:$H$2738,$K67))</f>
        <v/>
      </c>
      <c r="O67" s="17" t="str">
        <f aca="false">IF(INDEX(選手一覧!$I$7:$I$2738,$K67)="","",INDEX(選手一覧!$I$7:$I$2738,$K67))</f>
        <v/>
      </c>
      <c r="P67" s="16" t="n">
        <f aca="false">IF(INDEX(選手一覧!$J$7:$J$2738,$K67)="","",INDEX(選手一覧!$J$7:$J$2738,$K67))</f>
        <v>0.0028587962962963</v>
      </c>
      <c r="Q67" s="17" t="n">
        <f aca="false">IF(INDEX(選手一覧!$K$7:$K$2738,$K67)="","",INDEX(選手一覧!$K$7:$K$2738,$K67))</f>
        <v>626</v>
      </c>
    </row>
    <row r="68" customFormat="false" ht="15" hidden="false" customHeight="false" outlineLevel="0" collapsed="false">
      <c r="A68" s="29" t="n">
        <v>2</v>
      </c>
      <c r="B68" s="30" t="n">
        <v>3</v>
      </c>
      <c r="C68" s="14" t="n">
        <v>76</v>
      </c>
      <c r="D68" s="17" t="n">
        <f aca="false">COUNTIFS($A$5:$A$229,A68,$E$5:$E$229,"&lt;"&amp;E68)+1</f>
        <v>22</v>
      </c>
      <c r="E68" s="31" t="n">
        <v>0.00636574074074074</v>
      </c>
      <c r="F68" s="31" t="n">
        <f aca="false">E68/B68</f>
        <v>0.00212191358024691</v>
      </c>
      <c r="G68" s="12" t="s">
        <v>4393</v>
      </c>
      <c r="H68" s="12" t="s">
        <v>4394</v>
      </c>
      <c r="I68" s="32" t="s">
        <v>4348</v>
      </c>
      <c r="J68" s="17" t="n">
        <v>65</v>
      </c>
      <c r="K68" s="17" t="n">
        <v>1894</v>
      </c>
      <c r="L68" s="13" t="str">
        <f aca="false">IF(INDEX(選手一覧!$D$7:$D$2738,$K68)="","",INDEX(選手一覧!$D$7:$D$2738,$K68))</f>
        <v/>
      </c>
      <c r="M68" s="14" t="str">
        <f aca="false">IF(INDEX(選手一覧!$E$7:$E$2738,$K68)="","",INDEX(選手一覧!$E$7:$E$2738,$K68))</f>
        <v/>
      </c>
      <c r="N68" s="16" t="str">
        <f aca="false">IF(INDEX(選手一覧!$H$7:$H$2738,$K68)="","",INDEX(選手一覧!$H$7:$H$2738,$K68))</f>
        <v/>
      </c>
      <c r="O68" s="17" t="str">
        <f aca="false">IF(INDEX(選手一覧!$I$7:$I$2738,$K68)="","",INDEX(選手一覧!$I$7:$I$2738,$K68))</f>
        <v/>
      </c>
      <c r="P68" s="16" t="n">
        <f aca="false">IF(INDEX(選手一覧!$J$7:$J$2738,$K68)="","",INDEX(選手一覧!$J$7:$J$2738,$K68))</f>
        <v>0.00287974537037037</v>
      </c>
      <c r="Q68" s="17" t="n">
        <f aca="false">IF(INDEX(選手一覧!$K$7:$K$2738,$K68)="","",INDEX(選手一覧!$K$7:$K$2738,$K68))</f>
        <v>767</v>
      </c>
    </row>
    <row r="69" customFormat="false" ht="15" hidden="false" customHeight="false" outlineLevel="0" collapsed="false">
      <c r="A69" s="29" t="n">
        <v>2</v>
      </c>
      <c r="B69" s="30" t="n">
        <v>3</v>
      </c>
      <c r="C69" s="14" t="n">
        <v>77</v>
      </c>
      <c r="D69" s="17" t="n">
        <f aca="false">COUNTIFS($A$5:$A$229,A69,$E$5:$E$229,"&lt;"&amp;E69)+1</f>
        <v>23</v>
      </c>
      <c r="E69" s="31" t="n">
        <v>0.00637731481481482</v>
      </c>
      <c r="F69" s="31" t="n">
        <f aca="false">E69/B69</f>
        <v>0.00212577160493827</v>
      </c>
      <c r="G69" s="12" t="s">
        <v>4395</v>
      </c>
      <c r="H69" s="12" t="s">
        <v>4355</v>
      </c>
      <c r="I69" s="32" t="s">
        <v>4257</v>
      </c>
      <c r="J69" s="17" t="n">
        <v>103</v>
      </c>
      <c r="K69" s="17" t="n">
        <v>1821</v>
      </c>
      <c r="L69" s="13" t="str">
        <f aca="false">IF(INDEX(選手一覧!$D$7:$D$2738,$K69)="","",INDEX(選手一覧!$D$7:$D$2738,$K69))</f>
        <v/>
      </c>
      <c r="M69" s="14" t="str">
        <f aca="false">IF(INDEX(選手一覧!$E$7:$E$2738,$K69)="","",INDEX(選手一覧!$E$7:$E$2738,$K69))</f>
        <v/>
      </c>
      <c r="N69" s="16" t="n">
        <f aca="false">IF(INDEX(選手一覧!$H$7:$H$2738,$K69)="","",INDEX(選手一覧!$H$7:$H$2738,$K69))</f>
        <v>0.00735289351851852</v>
      </c>
      <c r="O69" s="17" t="n">
        <f aca="false">IF(INDEX(選手一覧!$I$7:$I$2738,$K69)="","",INDEX(選手一覧!$I$7:$I$2738,$K69))</f>
        <v>713</v>
      </c>
      <c r="P69" s="16" t="n">
        <f aca="false">IF(INDEX(選手一覧!$J$7:$J$2738,$K69)="","",INDEX(選手一覧!$J$7:$J$2738,$K69))</f>
        <v>0.00287974537037037</v>
      </c>
      <c r="Q69" s="17" t="n">
        <f aca="false">IF(INDEX(選手一覧!$K$7:$K$2738,$K69)="","",INDEX(選手一覧!$K$7:$K$2738,$K69))</f>
        <v>768</v>
      </c>
    </row>
    <row r="70" customFormat="false" ht="15" hidden="false" customHeight="false" outlineLevel="0" collapsed="false">
      <c r="A70" s="29" t="n">
        <v>2</v>
      </c>
      <c r="B70" s="30" t="n">
        <v>3</v>
      </c>
      <c r="C70" s="14" t="n">
        <v>79</v>
      </c>
      <c r="D70" s="17" t="n">
        <f aca="false">COUNTIFS($A$5:$A$229,A70,$E$5:$E$229,"&lt;"&amp;E70)+1</f>
        <v>24</v>
      </c>
      <c r="E70" s="31" t="n">
        <v>0.00640046296296296</v>
      </c>
      <c r="F70" s="31" t="n">
        <f aca="false">E70/B70</f>
        <v>0.00213348765432099</v>
      </c>
      <c r="G70" s="12" t="s">
        <v>4396</v>
      </c>
      <c r="H70" s="12" t="s">
        <v>4348</v>
      </c>
      <c r="I70" s="32" t="s">
        <v>4348</v>
      </c>
      <c r="J70" s="17" t="n">
        <v>42</v>
      </c>
      <c r="K70" s="17" t="n">
        <v>417</v>
      </c>
      <c r="L70" s="13" t="n">
        <f aca="false">IF(INDEX(選手一覧!$D$7:$D$2738,$K70)="","",INDEX(選手一覧!$D$7:$D$2738,$K70))</f>
        <v>0.0105646990740741</v>
      </c>
      <c r="M70" s="14" t="n">
        <f aca="false">IF(INDEX(選手一覧!$E$7:$E$2738,$K70)="","",INDEX(選手一覧!$E$7:$E$2738,$K70))</f>
        <v>418</v>
      </c>
      <c r="N70" s="16" t="n">
        <f aca="false">IF(INDEX(選手一覧!$H$7:$H$2738,$K70)="","",INDEX(選手一覧!$H$7:$H$2738,$K70))</f>
        <v>0.00742060185185185</v>
      </c>
      <c r="O70" s="17" t="n">
        <f aca="false">IF(INDEX(選手一覧!$I$7:$I$2738,$K70)="","",INDEX(選手一覧!$I$7:$I$2738,$K70))</f>
        <v>795</v>
      </c>
      <c r="P70" s="16" t="str">
        <f aca="false">IF(INDEX(選手一覧!$J$7:$J$2738,$K70)="","",INDEX(選手一覧!$J$7:$J$2738,$K70))</f>
        <v/>
      </c>
      <c r="Q70" s="17" t="str">
        <f aca="false">IF(INDEX(選手一覧!$K$7:$K$2738,$K70)="","",INDEX(選手一覧!$K$7:$K$2738,$K70))</f>
        <v/>
      </c>
    </row>
    <row r="71" customFormat="false" ht="15" hidden="false" customHeight="false" outlineLevel="0" collapsed="false">
      <c r="A71" s="29" t="n">
        <v>2</v>
      </c>
      <c r="B71" s="30" t="n">
        <v>3</v>
      </c>
      <c r="C71" s="14" t="n">
        <v>85</v>
      </c>
      <c r="D71" s="17" t="n">
        <f aca="false">COUNTIFS($A$5:$A$229,A71,$E$5:$E$229,"&lt;"&amp;E71)+1</f>
        <v>25</v>
      </c>
      <c r="E71" s="31" t="n">
        <v>0.00643518518518519</v>
      </c>
      <c r="F71" s="31" t="n">
        <f aca="false">E71/B71</f>
        <v>0.00214506172839506</v>
      </c>
      <c r="G71" s="12" t="s">
        <v>4397</v>
      </c>
      <c r="H71" s="12" t="s">
        <v>4398</v>
      </c>
      <c r="I71" s="32" t="s">
        <v>4271</v>
      </c>
      <c r="J71" s="17" t="n">
        <v>87</v>
      </c>
      <c r="K71" s="17" t="n">
        <v>690</v>
      </c>
      <c r="L71" s="13" t="n">
        <f aca="false">IF(INDEX(選手一覧!$D$7:$D$2738,$K71)="","",INDEX(選手一覧!$D$7:$D$2738,$K71))</f>
        <v>0.010765162037037</v>
      </c>
      <c r="M71" s="14" t="n">
        <f aca="false">IF(INDEX(選手一覧!$E$7:$E$2738,$K71)="","",INDEX(選手一覧!$E$7:$E$2738,$K71))</f>
        <v>691</v>
      </c>
      <c r="N71" s="16" t="str">
        <f aca="false">IF(INDEX(選手一覧!$H$7:$H$2738,$K71)="","",INDEX(選手一覧!$H$7:$H$2738,$K71))</f>
        <v/>
      </c>
      <c r="O71" s="17" t="str">
        <f aca="false">IF(INDEX(選手一覧!$I$7:$I$2738,$K71)="","",INDEX(選手一覧!$I$7:$I$2738,$K71))</f>
        <v/>
      </c>
      <c r="P71" s="16" t="n">
        <f aca="false">IF(INDEX(選手一覧!$J$7:$J$2738,$K71)="","",INDEX(選手一覧!$J$7:$J$2738,$K71))</f>
        <v>0.00282233796296296</v>
      </c>
      <c r="Q71" s="17" t="n">
        <f aca="false">IF(INDEX(選手一覧!$K$7:$K$2738,$K71)="","",INDEX(選手一覧!$K$7:$K$2738,$K71))</f>
        <v>376</v>
      </c>
    </row>
    <row r="72" customFormat="false" ht="15" hidden="false" customHeight="false" outlineLevel="0" collapsed="false">
      <c r="A72" s="29" t="n">
        <v>2</v>
      </c>
      <c r="B72" s="30" t="n">
        <v>3</v>
      </c>
      <c r="C72" s="14" t="n">
        <v>88</v>
      </c>
      <c r="D72" s="17" t="n">
        <f aca="false">COUNTIFS($A$5:$A$229,A72,$E$5:$E$229,"&lt;"&amp;E72)+1</f>
        <v>26</v>
      </c>
      <c r="E72" s="31" t="n">
        <v>0.00646990740740741</v>
      </c>
      <c r="F72" s="31" t="n">
        <f aca="false">E72/B72</f>
        <v>0.00215663580246914</v>
      </c>
      <c r="G72" s="12" t="s">
        <v>4399</v>
      </c>
      <c r="H72" s="12" t="s">
        <v>4400</v>
      </c>
      <c r="I72" s="32" t="s">
        <v>4271</v>
      </c>
      <c r="J72" s="17" t="n">
        <v>71</v>
      </c>
      <c r="K72" s="17" t="n">
        <v>1829</v>
      </c>
      <c r="L72" s="13" t="str">
        <f aca="false">IF(INDEX(選手一覧!$D$7:$D$2738,$K72)="","",INDEX(選手一覧!$D$7:$D$2738,$K72))</f>
        <v/>
      </c>
      <c r="M72" s="14" t="str">
        <f aca="false">IF(INDEX(選手一覧!$E$7:$E$2738,$K72)="","",INDEX(選手一覧!$E$7:$E$2738,$K72))</f>
        <v/>
      </c>
      <c r="N72" s="16" t="str">
        <f aca="false">IF(INDEX(選手一覧!$H$7:$H$2738,$K72)="","",INDEX(選手一覧!$H$7:$H$2738,$K72))</f>
        <v/>
      </c>
      <c r="O72" s="17" t="str">
        <f aca="false">IF(INDEX(選手一覧!$I$7:$I$2738,$K72)="","",INDEX(選手一覧!$I$7:$I$2738,$K72))</f>
        <v/>
      </c>
      <c r="P72" s="16" t="n">
        <f aca="false">IF(INDEX(選手一覧!$J$7:$J$2738,$K72)="","",INDEX(選手一覧!$J$7:$J$2738,$K72))</f>
        <v>0.00287303240740741</v>
      </c>
      <c r="Q72" s="17" t="n">
        <f aca="false">IF(INDEX(選手一覧!$K$7:$K$2738,$K72)="","",INDEX(選手一覧!$K$7:$K$2738,$K72))</f>
        <v>722</v>
      </c>
    </row>
    <row r="73" customFormat="false" ht="15" hidden="false" customHeight="false" outlineLevel="0" collapsed="false">
      <c r="A73" s="23" t="n">
        <v>3</v>
      </c>
      <c r="B73" s="24" t="n">
        <v>8.1075</v>
      </c>
      <c r="C73" s="14" t="n">
        <v>8</v>
      </c>
      <c r="D73" s="25" t="n">
        <f aca="false">COUNTIFS($A$5:$A$229,A73,$E$5:$E$229,"&lt;"&amp;E73)+1</f>
        <v>1</v>
      </c>
      <c r="E73" s="26" t="n">
        <v>0.0165740740740741</v>
      </c>
      <c r="F73" s="26" t="n">
        <f aca="false">E73/B73</f>
        <v>0.00204428912415345</v>
      </c>
      <c r="G73" s="27" t="s">
        <v>4401</v>
      </c>
      <c r="H73" s="27" t="s">
        <v>4259</v>
      </c>
      <c r="I73" s="28" t="s">
        <v>4260</v>
      </c>
      <c r="J73" s="25" t="n">
        <v>3</v>
      </c>
      <c r="K73" s="25" t="n">
        <v>32</v>
      </c>
      <c r="L73" s="13" t="n">
        <f aca="false">IF(INDEX(選手一覧!$D$7:$D$2738,$K73)="","",INDEX(選手一覧!$D$7:$D$2738,$K73))</f>
        <v>0.0100454861111111</v>
      </c>
      <c r="M73" s="14" t="n">
        <f aca="false">IF(INDEX(選手一覧!$E$7:$E$2738,$K73)="","",INDEX(選手一覧!$E$7:$E$2738,$K73))</f>
        <v>33</v>
      </c>
      <c r="N73" s="16" t="str">
        <f aca="false">IF(INDEX(選手一覧!$H$7:$H$2738,$K73)="","",INDEX(選手一覧!$H$7:$H$2738,$K73))</f>
        <v/>
      </c>
      <c r="O73" s="17" t="str">
        <f aca="false">IF(INDEX(選手一覧!$I$7:$I$2738,$K73)="","",INDEX(選手一覧!$I$7:$I$2738,$K73))</f>
        <v/>
      </c>
      <c r="P73" s="16" t="n">
        <f aca="false">IF(INDEX(選手一覧!$J$7:$J$2738,$K73)="","",INDEX(選手一覧!$J$7:$J$2738,$K73))</f>
        <v>0.00273946759259259</v>
      </c>
      <c r="Q73" s="17" t="n">
        <f aca="false">IF(INDEX(選手一覧!$K$7:$K$2738,$K73)="","",INDEX(選手一覧!$K$7:$K$2738,$K73))</f>
        <v>84</v>
      </c>
    </row>
    <row r="74" customFormat="false" ht="15" hidden="false" customHeight="false" outlineLevel="0" collapsed="false">
      <c r="A74" s="23" t="n">
        <v>3</v>
      </c>
      <c r="B74" s="24" t="n">
        <v>8.1075</v>
      </c>
      <c r="C74" s="14" t="n">
        <v>9</v>
      </c>
      <c r="D74" s="25" t="n">
        <f aca="false">COUNTIFS($A$5:$A$229,A74,$E$5:$E$229,"&lt;"&amp;E74)+1</f>
        <v>2</v>
      </c>
      <c r="E74" s="26" t="n">
        <v>0.0165856481481482</v>
      </c>
      <c r="F74" s="26" t="n">
        <f aca="false">E74/B74</f>
        <v>0.00204571670035747</v>
      </c>
      <c r="G74" s="27" t="s">
        <v>4402</v>
      </c>
      <c r="H74" s="27" t="s">
        <v>4264</v>
      </c>
      <c r="I74" s="28" t="s">
        <v>4265</v>
      </c>
      <c r="J74" s="25" t="n">
        <v>11</v>
      </c>
      <c r="K74" s="25" t="n">
        <v>34</v>
      </c>
      <c r="L74" s="13" t="n">
        <f aca="false">IF(INDEX(選手一覧!$D$7:$D$2738,$K74)="","",INDEX(選手一覧!$D$7:$D$2738,$K74))</f>
        <v>0.0100494212962963</v>
      </c>
      <c r="M74" s="14" t="n">
        <f aca="false">IF(INDEX(選手一覧!$E$7:$E$2738,$K74)="","",INDEX(選手一覧!$E$7:$E$2738,$K74))</f>
        <v>35</v>
      </c>
      <c r="N74" s="16" t="str">
        <f aca="false">IF(INDEX(選手一覧!$H$7:$H$2738,$K74)="","",INDEX(選手一覧!$H$7:$H$2738,$K74))</f>
        <v/>
      </c>
      <c r="O74" s="17" t="str">
        <f aca="false">IF(INDEX(選手一覧!$I$7:$I$2738,$K74)="","",INDEX(選手一覧!$I$7:$I$2738,$K74))</f>
        <v/>
      </c>
      <c r="P74" s="16" t="n">
        <f aca="false">IF(INDEX(選手一覧!$J$7:$J$2738,$K74)="","",INDEX(選手一覧!$J$7:$J$2738,$K74))</f>
        <v>0.00274490740740741</v>
      </c>
      <c r="Q74" s="17" t="n">
        <f aca="false">IF(INDEX(選手一覧!$K$7:$K$2738,$K74)="","",INDEX(選手一覧!$K$7:$K$2738,$K74))</f>
        <v>90</v>
      </c>
    </row>
    <row r="75" customFormat="false" ht="15" hidden="false" customHeight="false" outlineLevel="0" collapsed="false">
      <c r="A75" s="23" t="n">
        <v>3</v>
      </c>
      <c r="B75" s="24" t="n">
        <v>8.1075</v>
      </c>
      <c r="C75" s="14" t="n">
        <v>13</v>
      </c>
      <c r="D75" s="25" t="n">
        <f aca="false">COUNTIFS($A$5:$A$229,A75,$E$5:$E$229,"&lt;"&amp;E75)+1</f>
        <v>3</v>
      </c>
      <c r="E75" s="26" t="n">
        <v>0.0166782407407407</v>
      </c>
      <c r="F75" s="26" t="n">
        <f aca="false">E75/B75</f>
        <v>0.00205713730998961</v>
      </c>
      <c r="G75" s="27" t="s">
        <v>4403</v>
      </c>
      <c r="H75" s="27" t="s">
        <v>4361</v>
      </c>
      <c r="I75" s="28" t="s">
        <v>4335</v>
      </c>
      <c r="J75" s="25" t="n">
        <v>12</v>
      </c>
      <c r="K75" s="25" t="n">
        <v>84</v>
      </c>
      <c r="L75" s="13" t="n">
        <f aca="false">IF(INDEX(選手一覧!$D$7:$D$2738,$K75)="","",INDEX(選手一覧!$D$7:$D$2738,$K75))</f>
        <v>0.0101798611111111</v>
      </c>
      <c r="M75" s="14" t="n">
        <f aca="false">IF(INDEX(選手一覧!$E$7:$E$2738,$K75)="","",INDEX(選手一覧!$E$7:$E$2738,$K75))</f>
        <v>85</v>
      </c>
      <c r="N75" s="16" t="str">
        <f aca="false">IF(INDEX(選手一覧!$H$7:$H$2738,$K75)="","",INDEX(選手一覧!$H$7:$H$2738,$K75))</f>
        <v/>
      </c>
      <c r="O75" s="17" t="str">
        <f aca="false">IF(INDEX(選手一覧!$I$7:$I$2738,$K75)="","",INDEX(選手一覧!$I$7:$I$2738,$K75))</f>
        <v/>
      </c>
      <c r="P75" s="16" t="n">
        <f aca="false">IF(INDEX(選手一覧!$J$7:$J$2738,$K75)="","",INDEX(選手一覧!$J$7:$J$2738,$K75))</f>
        <v>0.002865625</v>
      </c>
      <c r="Q75" s="17" t="n">
        <f aca="false">IF(INDEX(選手一覧!$K$7:$K$2738,$K75)="","",INDEX(選手一覧!$K$7:$K$2738,$K75))</f>
        <v>668</v>
      </c>
    </row>
    <row r="76" customFormat="false" ht="15" hidden="false" customHeight="false" outlineLevel="0" collapsed="false">
      <c r="A76" s="23" t="n">
        <v>3</v>
      </c>
      <c r="B76" s="24" t="n">
        <v>8.1075</v>
      </c>
      <c r="C76" s="14" t="n">
        <v>21</v>
      </c>
      <c r="D76" s="25" t="n">
        <f aca="false">COUNTIFS($A$5:$A$229,A76,$E$5:$E$229,"&lt;"&amp;E76)+1</f>
        <v>4</v>
      </c>
      <c r="E76" s="26" t="n">
        <v>0.0169097222222222</v>
      </c>
      <c r="F76" s="26" t="n">
        <f aca="false">E76/B76</f>
        <v>0.00208568883406996</v>
      </c>
      <c r="G76" s="27" t="s">
        <v>4404</v>
      </c>
      <c r="H76" s="27" t="s">
        <v>4288</v>
      </c>
      <c r="I76" s="28" t="s">
        <v>4289</v>
      </c>
      <c r="J76" s="25" t="n">
        <v>34</v>
      </c>
      <c r="K76" s="25" t="n">
        <v>150</v>
      </c>
      <c r="L76" s="13" t="n">
        <f aca="false">IF(INDEX(選手一覧!$D$7:$D$2738,$K76)="","",INDEX(選手一覧!$D$7:$D$2738,$K76))</f>
        <v>0.0102822916666667</v>
      </c>
      <c r="M76" s="14" t="n">
        <f aca="false">IF(INDEX(選手一覧!$E$7:$E$2738,$K76)="","",INDEX(選手一覧!$E$7:$E$2738,$K76))</f>
        <v>151</v>
      </c>
      <c r="N76" s="16" t="str">
        <f aca="false">IF(INDEX(選手一覧!$H$7:$H$2738,$K76)="","",INDEX(選手一覧!$H$7:$H$2738,$K76))</f>
        <v/>
      </c>
      <c r="O76" s="17" t="str">
        <f aca="false">IF(INDEX(選手一覧!$I$7:$I$2738,$K76)="","",INDEX(選手一覧!$I$7:$I$2738,$K76))</f>
        <v/>
      </c>
      <c r="P76" s="16" t="n">
        <f aca="false">IF(INDEX(選手一覧!$J$7:$J$2738,$K76)="","",INDEX(選手一覧!$J$7:$J$2738,$K76))</f>
        <v>0.00278773148148148</v>
      </c>
      <c r="Q76" s="17" t="n">
        <f aca="false">IF(INDEX(選手一覧!$K$7:$K$2738,$K76)="","",INDEX(選手一覧!$K$7:$K$2738,$K76))</f>
        <v>233</v>
      </c>
    </row>
    <row r="77" customFormat="false" ht="15" hidden="false" customHeight="false" outlineLevel="0" collapsed="false">
      <c r="A77" s="23" t="n">
        <v>3</v>
      </c>
      <c r="B77" s="24" t="n">
        <v>8.1075</v>
      </c>
      <c r="C77" s="14" t="n">
        <v>23</v>
      </c>
      <c r="D77" s="25" t="n">
        <f aca="false">COUNTIFS($A$5:$A$229,A77,$E$5:$E$229,"&lt;"&amp;E77)+1</f>
        <v>5</v>
      </c>
      <c r="E77" s="26" t="n">
        <v>0.0169791666666667</v>
      </c>
      <c r="F77" s="26" t="n">
        <f aca="false">E77/B77</f>
        <v>0.00209425429129407</v>
      </c>
      <c r="G77" s="27" t="s">
        <v>4405</v>
      </c>
      <c r="H77" s="27" t="s">
        <v>4380</v>
      </c>
      <c r="I77" s="28" t="s">
        <v>4284</v>
      </c>
      <c r="J77" s="25" t="n">
        <v>43</v>
      </c>
      <c r="K77" s="25" t="n">
        <v>141</v>
      </c>
      <c r="L77" s="13" t="n">
        <f aca="false">IF(INDEX(選手一覧!$D$7:$D$2738,$K77)="","",INDEX(選手一覧!$D$7:$D$2738,$K77))</f>
        <v>0.0102767361111111</v>
      </c>
      <c r="M77" s="14" t="n">
        <f aca="false">IF(INDEX(選手一覧!$E$7:$E$2738,$K77)="","",INDEX(選手一覧!$E$7:$E$2738,$K77))</f>
        <v>142</v>
      </c>
      <c r="N77" s="16" t="str">
        <f aca="false">IF(INDEX(選手一覧!$H$7:$H$2738,$K77)="","",INDEX(選手一覧!$H$7:$H$2738,$K77))</f>
        <v/>
      </c>
      <c r="O77" s="17" t="str">
        <f aca="false">IF(INDEX(選手一覧!$I$7:$I$2738,$K77)="","",INDEX(選手一覧!$I$7:$I$2738,$K77))</f>
        <v/>
      </c>
      <c r="P77" s="16" t="n">
        <f aca="false">IF(INDEX(選手一覧!$J$7:$J$2738,$K77)="","",INDEX(選手一覧!$J$7:$J$2738,$K77))</f>
        <v>0.00282476851851852</v>
      </c>
      <c r="Q77" s="17" t="n">
        <f aca="false">IF(INDEX(選手一覧!$K$7:$K$2738,$K77)="","",INDEX(選手一覧!$K$7:$K$2738,$K77))</f>
        <v>391</v>
      </c>
    </row>
    <row r="78" customFormat="false" ht="15" hidden="false" customHeight="false" outlineLevel="0" collapsed="false">
      <c r="A78" s="23" t="n">
        <v>3</v>
      </c>
      <c r="B78" s="24" t="n">
        <v>8.1075</v>
      </c>
      <c r="C78" s="14" t="n">
        <v>27</v>
      </c>
      <c r="D78" s="25" t="n">
        <f aca="false">COUNTIFS($A$5:$A$229,A78,$E$5:$E$229,"&lt;"&amp;E78)+1</f>
        <v>6</v>
      </c>
      <c r="E78" s="26" t="n">
        <v>0.0170833333333333</v>
      </c>
      <c r="F78" s="26" t="n">
        <f aca="false">E78/B78</f>
        <v>0.00210710247713023</v>
      </c>
      <c r="G78" s="27" t="s">
        <v>4406</v>
      </c>
      <c r="H78" s="27" t="s">
        <v>4407</v>
      </c>
      <c r="I78" s="28" t="s">
        <v>4268</v>
      </c>
      <c r="J78" s="25" t="n">
        <v>44</v>
      </c>
      <c r="K78" s="25" t="n">
        <v>193</v>
      </c>
      <c r="L78" s="13" t="n">
        <f aca="false">IF(INDEX(選手一覧!$D$7:$D$2738,$K78)="","",INDEX(選手一覧!$D$7:$D$2738,$K78))</f>
        <v>0.010341087962963</v>
      </c>
      <c r="M78" s="14" t="n">
        <f aca="false">IF(INDEX(選手一覧!$E$7:$E$2738,$K78)="","",INDEX(選手一覧!$E$7:$E$2738,$K78))</f>
        <v>194</v>
      </c>
      <c r="N78" s="16" t="str">
        <f aca="false">IF(INDEX(選手一覧!$H$7:$H$2738,$K78)="","",INDEX(選手一覧!$H$7:$H$2738,$K78))</f>
        <v/>
      </c>
      <c r="O78" s="17" t="str">
        <f aca="false">IF(INDEX(選手一覧!$I$7:$I$2738,$K78)="","",INDEX(選手一覧!$I$7:$I$2738,$K78))</f>
        <v/>
      </c>
      <c r="P78" s="16" t="str">
        <f aca="false">IF(INDEX(選手一覧!$J$7:$J$2738,$K78)="","",INDEX(選手一覧!$J$7:$J$2738,$K78))</f>
        <v/>
      </c>
      <c r="Q78" s="17" t="str">
        <f aca="false">IF(INDEX(選手一覧!$K$7:$K$2738,$K78)="","",INDEX(選手一覧!$K$7:$K$2738,$K78))</f>
        <v/>
      </c>
    </row>
    <row r="79" customFormat="false" ht="15" hidden="false" customHeight="false" outlineLevel="0" collapsed="false">
      <c r="A79" s="23" t="n">
        <v>3</v>
      </c>
      <c r="B79" s="24" t="n">
        <v>8.1075</v>
      </c>
      <c r="C79" s="14" t="n">
        <v>31</v>
      </c>
      <c r="D79" s="25" t="n">
        <f aca="false">COUNTIFS($A$5:$A$229,A79,$E$5:$E$229,"&lt;"&amp;E79)+1</f>
        <v>7</v>
      </c>
      <c r="E79" s="26" t="n">
        <v>0.0171643518518519</v>
      </c>
      <c r="F79" s="26" t="n">
        <f aca="false">E79/B79</f>
        <v>0.00211709551055835</v>
      </c>
      <c r="G79" s="27" t="s">
        <v>4408</v>
      </c>
      <c r="H79" s="27" t="s">
        <v>4409</v>
      </c>
      <c r="I79" s="28" t="s">
        <v>4289</v>
      </c>
      <c r="J79" s="25" t="n">
        <v>15</v>
      </c>
      <c r="K79" s="25" t="n">
        <v>227</v>
      </c>
      <c r="L79" s="13" t="n">
        <f aca="false">IF(INDEX(選手一覧!$D$7:$D$2738,$K79)="","",INDEX(選手一覧!$D$7:$D$2738,$K79))</f>
        <v>0.0103738425925926</v>
      </c>
      <c r="M79" s="14" t="n">
        <f aca="false">IF(INDEX(選手一覧!$E$7:$E$2738,$K79)="","",INDEX(選手一覧!$E$7:$E$2738,$K79))</f>
        <v>228</v>
      </c>
      <c r="N79" s="16" t="str">
        <f aca="false">IF(INDEX(選手一覧!$H$7:$H$2738,$K79)="","",INDEX(選手一覧!$H$7:$H$2738,$K79))</f>
        <v/>
      </c>
      <c r="O79" s="17" t="str">
        <f aca="false">IF(INDEX(選手一覧!$I$7:$I$2738,$K79)="","",INDEX(選手一覧!$I$7:$I$2738,$K79))</f>
        <v/>
      </c>
      <c r="P79" s="16" t="n">
        <f aca="false">IF(INDEX(選手一覧!$J$7:$J$2738,$K79)="","",INDEX(選手一覧!$J$7:$J$2738,$K79))</f>
        <v>0.00296898148148148</v>
      </c>
      <c r="Q79" s="17" t="n">
        <f aca="false">IF(INDEX(選手一覧!$K$7:$K$2738,$K79)="","",INDEX(選手一覧!$K$7:$K$2738,$K79))</f>
        <v>1305</v>
      </c>
    </row>
    <row r="80" customFormat="false" ht="15" hidden="false" customHeight="false" outlineLevel="0" collapsed="false">
      <c r="A80" s="23" t="n">
        <v>3</v>
      </c>
      <c r="B80" s="24" t="n">
        <v>8.1075</v>
      </c>
      <c r="C80" s="14" t="n">
        <v>33</v>
      </c>
      <c r="D80" s="25" t="n">
        <f aca="false">COUNTIFS($A$5:$A$229,A80,$E$5:$E$229,"&lt;"&amp;E80)+1</f>
        <v>8</v>
      </c>
      <c r="E80" s="26" t="n">
        <v>0.0171759259259259</v>
      </c>
      <c r="F80" s="26" t="n">
        <f aca="false">E80/B80</f>
        <v>0.00211852308676237</v>
      </c>
      <c r="G80" s="27" t="s">
        <v>4410</v>
      </c>
      <c r="H80" s="27" t="s">
        <v>4282</v>
      </c>
      <c r="I80" s="28" t="s">
        <v>4257</v>
      </c>
      <c r="J80" s="25" t="n">
        <v>23</v>
      </c>
      <c r="K80" s="25" t="n">
        <v>83</v>
      </c>
      <c r="L80" s="13" t="n">
        <f aca="false">IF(INDEX(選手一覧!$D$7:$D$2738,$K80)="","",INDEX(選手一覧!$D$7:$D$2738,$K80))</f>
        <v>0.0101787037037037</v>
      </c>
      <c r="M80" s="14" t="n">
        <f aca="false">IF(INDEX(選手一覧!$E$7:$E$2738,$K80)="","",INDEX(選手一覧!$E$7:$E$2738,$K80))</f>
        <v>84</v>
      </c>
      <c r="N80" s="16" t="n">
        <f aca="false">IF(INDEX(選手一覧!$H$7:$H$2738,$K80)="","",INDEX(選手一覧!$H$7:$H$2738,$K80))</f>
        <v>0.00635891203703704</v>
      </c>
      <c r="O80" s="17" t="n">
        <f aca="false">IF(INDEX(選手一覧!$I$7:$I$2738,$K80)="","",INDEX(選手一覧!$I$7:$I$2738,$K80))</f>
        <v>10</v>
      </c>
      <c r="P80" s="16" t="str">
        <f aca="false">IF(INDEX(選手一覧!$J$7:$J$2738,$K80)="","",INDEX(選手一覧!$J$7:$J$2738,$K80))</f>
        <v/>
      </c>
      <c r="Q80" s="17" t="str">
        <f aca="false">IF(INDEX(選手一覧!$K$7:$K$2738,$K80)="","",INDEX(選手一覧!$K$7:$K$2738,$K80))</f>
        <v/>
      </c>
    </row>
    <row r="81" customFormat="false" ht="15" hidden="false" customHeight="false" outlineLevel="0" collapsed="false">
      <c r="A81" s="23" t="n">
        <v>3</v>
      </c>
      <c r="B81" s="24" t="n">
        <v>8.1075</v>
      </c>
      <c r="C81" s="14" t="n">
        <v>33</v>
      </c>
      <c r="D81" s="25" t="n">
        <f aca="false">COUNTIFS($A$5:$A$229,A81,$E$5:$E$229,"&lt;"&amp;E81)+1</f>
        <v>8</v>
      </c>
      <c r="E81" s="26" t="n">
        <v>0.0171759259259259</v>
      </c>
      <c r="F81" s="26" t="n">
        <f aca="false">E81/B81</f>
        <v>0.00211852308676237</v>
      </c>
      <c r="G81" s="27" t="s">
        <v>4411</v>
      </c>
      <c r="H81" s="27" t="s">
        <v>4412</v>
      </c>
      <c r="I81" s="28" t="s">
        <v>4306</v>
      </c>
      <c r="J81" s="25" t="n">
        <v>25</v>
      </c>
      <c r="K81" s="25" t="n">
        <v>78</v>
      </c>
      <c r="L81" s="13" t="n">
        <f aca="false">IF(INDEX(選手一覧!$D$7:$D$2738,$K81)="","",INDEX(選手一覧!$D$7:$D$2738,$K81))</f>
        <v>0.0101675925925926</v>
      </c>
      <c r="M81" s="14" t="n">
        <f aca="false">IF(INDEX(選手一覧!$E$7:$E$2738,$K81)="","",INDEX(選手一覧!$E$7:$E$2738,$K81))</f>
        <v>79</v>
      </c>
      <c r="N81" s="16" t="str">
        <f aca="false">IF(INDEX(選手一覧!$H$7:$H$2738,$K81)="","",INDEX(選手一覧!$H$7:$H$2738,$K81))</f>
        <v/>
      </c>
      <c r="O81" s="17" t="str">
        <f aca="false">IF(INDEX(選手一覧!$I$7:$I$2738,$K81)="","",INDEX(選手一覧!$I$7:$I$2738,$K81))</f>
        <v/>
      </c>
      <c r="P81" s="16" t="n">
        <f aca="false">IF(INDEX(選手一覧!$J$7:$J$2738,$K81)="","",INDEX(選手一覧!$J$7:$J$2738,$K81))</f>
        <v>0.00288171296296296</v>
      </c>
      <c r="Q81" s="17" t="n">
        <f aca="false">IF(INDEX(選手一覧!$K$7:$K$2738,$K81)="","",INDEX(選手一覧!$K$7:$K$2738,$K81))</f>
        <v>785</v>
      </c>
    </row>
    <row r="82" customFormat="false" ht="15" hidden="false" customHeight="false" outlineLevel="0" collapsed="false">
      <c r="A82" s="23" t="n">
        <v>3</v>
      </c>
      <c r="B82" s="24" t="n">
        <v>8.1075</v>
      </c>
      <c r="C82" s="14" t="n">
        <v>37</v>
      </c>
      <c r="D82" s="25" t="n">
        <f aca="false">COUNTIFS($A$5:$A$229,A82,$E$5:$E$229,"&lt;"&amp;E82)+1</f>
        <v>10</v>
      </c>
      <c r="E82" s="26" t="n">
        <v>0.0172916666666667</v>
      </c>
      <c r="F82" s="26" t="n">
        <f aca="false">E82/B82</f>
        <v>0.00213279884880255</v>
      </c>
      <c r="G82" s="27" t="s">
        <v>4413</v>
      </c>
      <c r="H82" s="27" t="s">
        <v>4286</v>
      </c>
      <c r="I82" s="28" t="s">
        <v>4257</v>
      </c>
      <c r="J82" s="25" t="n">
        <v>31</v>
      </c>
      <c r="K82" s="25" t="n">
        <v>1072</v>
      </c>
      <c r="L82" s="13" t="n">
        <f aca="false">IF(INDEX(選手一覧!$D$7:$D$2738,$K82)="","",INDEX(選手一覧!$D$7:$D$2738,$K82))</f>
        <v>0.0109865740740741</v>
      </c>
      <c r="M82" s="14" t="n">
        <f aca="false">IF(INDEX(選手一覧!$E$7:$E$2738,$K82)="","",INDEX(選手一覧!$E$7:$E$2738,$K82))</f>
        <v>1073</v>
      </c>
      <c r="N82" s="16" t="n">
        <f aca="false">IF(INDEX(選手一覧!$H$7:$H$2738,$K82)="","",INDEX(選手一覧!$H$7:$H$2738,$K82))</f>
        <v>0.00661006944444444</v>
      </c>
      <c r="O82" s="17" t="n">
        <f aca="false">IF(INDEX(選手一覧!$I$7:$I$2738,$K82)="","",INDEX(選手一覧!$I$7:$I$2738,$K82))</f>
        <v>70</v>
      </c>
      <c r="P82" s="16" t="n">
        <f aca="false">IF(INDEX(選手一覧!$J$7:$J$2738,$K82)="","",INDEX(選手一覧!$J$7:$J$2738,$K82))</f>
        <v>0.00288993055555556</v>
      </c>
      <c r="Q82" s="17" t="n">
        <f aca="false">IF(INDEX(選手一覧!$K$7:$K$2738,$K82)="","",INDEX(選手一覧!$K$7:$K$2738,$K82))</f>
        <v>864</v>
      </c>
    </row>
    <row r="83" customFormat="false" ht="15" hidden="false" customHeight="false" outlineLevel="0" collapsed="false">
      <c r="A83" s="23" t="n">
        <v>3</v>
      </c>
      <c r="B83" s="24" t="n">
        <v>8.1075</v>
      </c>
      <c r="C83" s="14" t="n">
        <v>38</v>
      </c>
      <c r="D83" s="25" t="n">
        <f aca="false">COUNTIFS($A$5:$A$229,A83,$E$5:$E$229,"&lt;"&amp;E83)+1</f>
        <v>11</v>
      </c>
      <c r="E83" s="26" t="n">
        <v>0.0173032407407407</v>
      </c>
      <c r="F83" s="26" t="n">
        <f aca="false">E83/B83</f>
        <v>0.00213422642500657</v>
      </c>
      <c r="G83" s="27" t="s">
        <v>4414</v>
      </c>
      <c r="H83" s="27" t="s">
        <v>4415</v>
      </c>
      <c r="I83" s="28" t="s">
        <v>4306</v>
      </c>
      <c r="J83" s="25" t="n">
        <v>28</v>
      </c>
      <c r="K83" s="25" t="n">
        <v>475</v>
      </c>
      <c r="L83" s="13" t="n">
        <f aca="false">IF(INDEX(選手一覧!$D$7:$D$2738,$K83)="","",INDEX(選手一覧!$D$7:$D$2738,$K83))</f>
        <v>0.0106106481481482</v>
      </c>
      <c r="M83" s="14" t="n">
        <f aca="false">IF(INDEX(選手一覧!$E$7:$E$2738,$K83)="","",INDEX(選手一覧!$E$7:$E$2738,$K83))</f>
        <v>476</v>
      </c>
      <c r="N83" s="16" t="str">
        <f aca="false">IF(INDEX(選手一覧!$H$7:$H$2738,$K83)="","",INDEX(選手一覧!$H$7:$H$2738,$K83))</f>
        <v/>
      </c>
      <c r="O83" s="17" t="str">
        <f aca="false">IF(INDEX(選手一覧!$I$7:$I$2738,$K83)="","",INDEX(選手一覧!$I$7:$I$2738,$K83))</f>
        <v/>
      </c>
      <c r="P83" s="16" t="n">
        <f aca="false">IF(INDEX(選手一覧!$J$7:$J$2738,$K83)="","",INDEX(選手一覧!$J$7:$J$2738,$K83))</f>
        <v>0.00281331018518519</v>
      </c>
      <c r="Q83" s="17" t="n">
        <f aca="false">IF(INDEX(選手一覧!$K$7:$K$2738,$K83)="","",INDEX(選手一覧!$K$7:$K$2738,$K83))</f>
        <v>337</v>
      </c>
    </row>
    <row r="84" customFormat="false" ht="15" hidden="false" customHeight="false" outlineLevel="0" collapsed="false">
      <c r="A84" s="23" t="n">
        <v>3</v>
      </c>
      <c r="B84" s="24" t="n">
        <v>8.1075</v>
      </c>
      <c r="C84" s="14" t="n">
        <v>42</v>
      </c>
      <c r="D84" s="25" t="n">
        <f aca="false">COUNTIFS($A$5:$A$229,A84,$E$5:$E$229,"&lt;"&amp;E84)+1</f>
        <v>12</v>
      </c>
      <c r="E84" s="26" t="n">
        <v>0.0173842592592593</v>
      </c>
      <c r="F84" s="26" t="n">
        <f aca="false">E84/B84</f>
        <v>0.00214421945843469</v>
      </c>
      <c r="G84" s="27" t="s">
        <v>4416</v>
      </c>
      <c r="H84" s="27" t="s">
        <v>4319</v>
      </c>
      <c r="I84" s="28" t="s">
        <v>4268</v>
      </c>
      <c r="J84" s="25" t="n">
        <v>36</v>
      </c>
      <c r="K84" s="25" t="n">
        <v>177</v>
      </c>
      <c r="L84" s="13" t="n">
        <f aca="false">IF(INDEX(選手一覧!$D$7:$D$2738,$K84)="","",INDEX(選手一覧!$D$7:$D$2738,$K84))</f>
        <v>0.0103260416666667</v>
      </c>
      <c r="M84" s="14" t="n">
        <f aca="false">IF(INDEX(選手一覧!$E$7:$E$2738,$K84)="","",INDEX(選手一覧!$E$7:$E$2738,$K84))</f>
        <v>178</v>
      </c>
      <c r="N84" s="16" t="str">
        <f aca="false">IF(INDEX(選手一覧!$H$7:$H$2738,$K84)="","",INDEX(選手一覧!$H$7:$H$2738,$K84))</f>
        <v/>
      </c>
      <c r="O84" s="17" t="str">
        <f aca="false">IF(INDEX(選手一覧!$I$7:$I$2738,$K84)="","",INDEX(選手一覧!$I$7:$I$2738,$K84))</f>
        <v/>
      </c>
      <c r="P84" s="16" t="n">
        <f aca="false">IF(INDEX(選手一覧!$J$7:$J$2738,$K84)="","",INDEX(選手一覧!$J$7:$J$2738,$K84))</f>
        <v>0.00282430555555556</v>
      </c>
      <c r="Q84" s="17" t="n">
        <f aca="false">IF(INDEX(選手一覧!$K$7:$K$2738,$K84)="","",INDEX(選手一覧!$K$7:$K$2738,$K84))</f>
        <v>389</v>
      </c>
    </row>
    <row r="85" customFormat="false" ht="15" hidden="false" customHeight="false" outlineLevel="0" collapsed="false">
      <c r="A85" s="23" t="n">
        <v>3</v>
      </c>
      <c r="B85" s="24" t="n">
        <v>8.1075</v>
      </c>
      <c r="C85" s="14" t="n">
        <v>43</v>
      </c>
      <c r="D85" s="25" t="n">
        <f aca="false">COUNTIFS($A$5:$A$229,A85,$E$5:$E$229,"&lt;"&amp;E85)+1</f>
        <v>13</v>
      </c>
      <c r="E85" s="26" t="n">
        <v>0.0174074074074074</v>
      </c>
      <c r="F85" s="26" t="n">
        <f aca="false">E85/B85</f>
        <v>0.00214707461084273</v>
      </c>
      <c r="G85" s="27" t="s">
        <v>4417</v>
      </c>
      <c r="H85" s="27" t="s">
        <v>4334</v>
      </c>
      <c r="I85" s="28" t="s">
        <v>4335</v>
      </c>
      <c r="J85" s="25" t="n">
        <v>61</v>
      </c>
      <c r="K85" s="25" t="n">
        <v>696</v>
      </c>
      <c r="L85" s="13" t="n">
        <f aca="false">IF(INDEX(選手一覧!$D$7:$D$2738,$K85)="","",INDEX(選手一覧!$D$7:$D$2738,$K85))</f>
        <v>0.0107707175925926</v>
      </c>
      <c r="M85" s="14" t="n">
        <f aca="false">IF(INDEX(選手一覧!$E$7:$E$2738,$K85)="","",INDEX(選手一覧!$E$7:$E$2738,$K85))</f>
        <v>697</v>
      </c>
      <c r="N85" s="16" t="str">
        <f aca="false">IF(INDEX(選手一覧!$H$7:$H$2738,$K85)="","",INDEX(選手一覧!$H$7:$H$2738,$K85))</f>
        <v/>
      </c>
      <c r="O85" s="17" t="str">
        <f aca="false">IF(INDEX(選手一覧!$I$7:$I$2738,$K85)="","",INDEX(選手一覧!$I$7:$I$2738,$K85))</f>
        <v/>
      </c>
      <c r="P85" s="16" t="n">
        <f aca="false">IF(INDEX(選手一覧!$J$7:$J$2738,$K85)="","",INDEX(選手一覧!$J$7:$J$2738,$K85))</f>
        <v>0.00276678240740741</v>
      </c>
      <c r="Q85" s="17" t="n">
        <f aca="false">IF(INDEX(選手一覧!$K$7:$K$2738,$K85)="","",INDEX(選手一覧!$K$7:$K$2738,$K85))</f>
        <v>155</v>
      </c>
    </row>
    <row r="86" customFormat="false" ht="15" hidden="false" customHeight="false" outlineLevel="0" collapsed="false">
      <c r="A86" s="23" t="n">
        <v>3</v>
      </c>
      <c r="B86" s="24" t="n">
        <v>8.1075</v>
      </c>
      <c r="C86" s="14" t="n">
        <v>43</v>
      </c>
      <c r="D86" s="25" t="n">
        <f aca="false">COUNTIFS($A$5:$A$229,A86,$E$5:$E$229,"&lt;"&amp;E86)+1</f>
        <v>13</v>
      </c>
      <c r="E86" s="26" t="n">
        <v>0.0174074074074074</v>
      </c>
      <c r="F86" s="26" t="n">
        <f aca="false">E86/B86</f>
        <v>0.00214707461084273</v>
      </c>
      <c r="G86" s="27" t="s">
        <v>4418</v>
      </c>
      <c r="H86" s="27" t="s">
        <v>4419</v>
      </c>
      <c r="I86" s="28" t="s">
        <v>4284</v>
      </c>
      <c r="J86" s="25" t="n">
        <v>73</v>
      </c>
      <c r="K86" s="25" t="n">
        <v>427</v>
      </c>
      <c r="L86" s="13" t="n">
        <f aca="false">IF(INDEX(選手一覧!$D$7:$D$2738,$K86)="","",INDEX(選手一覧!$D$7:$D$2738,$K86))</f>
        <v>0.0105734953703704</v>
      </c>
      <c r="M86" s="14" t="n">
        <f aca="false">IF(INDEX(選手一覧!$E$7:$E$2738,$K86)="","",INDEX(選手一覧!$E$7:$E$2738,$K86))</f>
        <v>428</v>
      </c>
      <c r="N86" s="16" t="str">
        <f aca="false">IF(INDEX(選手一覧!$H$7:$H$2738,$K86)="","",INDEX(選手一覧!$H$7:$H$2738,$K86))</f>
        <v/>
      </c>
      <c r="O86" s="17" t="str">
        <f aca="false">IF(INDEX(選手一覧!$I$7:$I$2738,$K86)="","",INDEX(選手一覧!$I$7:$I$2738,$K86))</f>
        <v/>
      </c>
      <c r="P86" s="16" t="n">
        <f aca="false">IF(INDEX(選手一覧!$J$7:$J$2738,$K86)="","",INDEX(選手一覧!$J$7:$J$2738,$K86))</f>
        <v>0.00283784722222222</v>
      </c>
      <c r="Q86" s="17" t="n">
        <f aca="false">IF(INDEX(選手一覧!$K$7:$K$2738,$K86)="","",INDEX(選手一覧!$K$7:$K$2738,$K86))</f>
        <v>482</v>
      </c>
    </row>
    <row r="87" customFormat="false" ht="15" hidden="false" customHeight="false" outlineLevel="0" collapsed="false">
      <c r="A87" s="23" t="n">
        <v>3</v>
      </c>
      <c r="B87" s="24" t="n">
        <v>8.1075</v>
      </c>
      <c r="C87" s="14" t="n">
        <v>45</v>
      </c>
      <c r="D87" s="25" t="n">
        <f aca="false">COUNTIFS($A$5:$A$229,A87,$E$5:$E$229,"&lt;"&amp;E87)+1</f>
        <v>15</v>
      </c>
      <c r="E87" s="26" t="n">
        <v>0.0174305555555556</v>
      </c>
      <c r="F87" s="26" t="n">
        <f aca="false">E87/B87</f>
        <v>0.00214992976325076</v>
      </c>
      <c r="G87" s="27" t="s">
        <v>4420</v>
      </c>
      <c r="H87" s="27" t="s">
        <v>4421</v>
      </c>
      <c r="I87" s="28" t="s">
        <v>4280</v>
      </c>
      <c r="J87" s="25" t="n">
        <v>35</v>
      </c>
      <c r="K87" s="25" t="n">
        <v>81</v>
      </c>
      <c r="L87" s="13" t="n">
        <f aca="false">IF(INDEX(選手一覧!$D$7:$D$2738,$K87)="","",INDEX(選手一覧!$D$7:$D$2738,$K87))</f>
        <v>0.0101737268518519</v>
      </c>
      <c r="M87" s="14" t="n">
        <f aca="false">IF(INDEX(選手一覧!$E$7:$E$2738,$K87)="","",INDEX(選手一覧!$E$7:$E$2738,$K87))</f>
        <v>82</v>
      </c>
      <c r="N87" s="16" t="str">
        <f aca="false">IF(INDEX(選手一覧!$H$7:$H$2738,$K87)="","",INDEX(選手一覧!$H$7:$H$2738,$K87))</f>
        <v/>
      </c>
      <c r="O87" s="17" t="str">
        <f aca="false">IF(INDEX(選手一覧!$I$7:$I$2738,$K87)="","",INDEX(選手一覧!$I$7:$I$2738,$K87))</f>
        <v/>
      </c>
      <c r="P87" s="16" t="n">
        <f aca="false">IF(INDEX(選手一覧!$J$7:$J$2738,$K87)="","",INDEX(選手一覧!$J$7:$J$2738,$K87))</f>
        <v>0.00268391203703704</v>
      </c>
      <c r="Q87" s="17" t="n">
        <f aca="false">IF(INDEX(選手一覧!$K$7:$K$2738,$K87)="","",INDEX(選手一覧!$K$7:$K$2738,$K87))</f>
        <v>15</v>
      </c>
    </row>
    <row r="88" customFormat="false" ht="15" hidden="false" customHeight="false" outlineLevel="0" collapsed="false">
      <c r="A88" s="23" t="n">
        <v>3</v>
      </c>
      <c r="B88" s="24" t="n">
        <v>8.1075</v>
      </c>
      <c r="C88" s="14" t="n">
        <v>48</v>
      </c>
      <c r="D88" s="25" t="n">
        <f aca="false">COUNTIFS($A$5:$A$229,A88,$E$5:$E$229,"&lt;"&amp;E88)+1</f>
        <v>16</v>
      </c>
      <c r="E88" s="26" t="n">
        <v>0.0174884259259259</v>
      </c>
      <c r="F88" s="26" t="n">
        <f aca="false">E88/B88</f>
        <v>0.00215706764427085</v>
      </c>
      <c r="G88" s="27" t="s">
        <v>4422</v>
      </c>
      <c r="H88" s="27" t="s">
        <v>4348</v>
      </c>
      <c r="I88" s="28" t="s">
        <v>4348</v>
      </c>
      <c r="J88" s="25" t="n">
        <v>42</v>
      </c>
      <c r="K88" s="25" t="n">
        <v>203</v>
      </c>
      <c r="L88" s="13" t="n">
        <f aca="false">IF(INDEX(選手一覧!$D$7:$D$2738,$K88)="","",INDEX(選手一覧!$D$7:$D$2738,$K88))</f>
        <v>0.0103506944444444</v>
      </c>
      <c r="M88" s="14" t="n">
        <f aca="false">IF(INDEX(選手一覧!$E$7:$E$2738,$K88)="","",INDEX(選手一覧!$E$7:$E$2738,$K88))</f>
        <v>204</v>
      </c>
      <c r="N88" s="16" t="str">
        <f aca="false">IF(INDEX(選手一覧!$H$7:$H$2738,$K88)="","",INDEX(選手一覧!$H$7:$H$2738,$K88))</f>
        <v/>
      </c>
      <c r="O88" s="17" t="str">
        <f aca="false">IF(INDEX(選手一覧!$I$7:$I$2738,$K88)="","",INDEX(選手一覧!$I$7:$I$2738,$K88))</f>
        <v/>
      </c>
      <c r="P88" s="16" t="n">
        <f aca="false">IF(INDEX(選手一覧!$J$7:$J$2738,$K88)="","",INDEX(選手一覧!$J$7:$J$2738,$K88))</f>
        <v>0.0028349537037037</v>
      </c>
      <c r="Q88" s="17" t="n">
        <f aca="false">IF(INDEX(選手一覧!$K$7:$K$2738,$K88)="","",INDEX(選手一覧!$K$7:$K$2738,$K88))</f>
        <v>461</v>
      </c>
    </row>
    <row r="89" customFormat="false" ht="15" hidden="false" customHeight="false" outlineLevel="0" collapsed="false">
      <c r="A89" s="23" t="n">
        <v>3</v>
      </c>
      <c r="B89" s="24" t="n">
        <v>8.1075</v>
      </c>
      <c r="C89" s="14" t="n">
        <v>52</v>
      </c>
      <c r="D89" s="25" t="n">
        <f aca="false">COUNTIFS($A$5:$A$229,A89,$E$5:$E$229,"&lt;"&amp;E89)+1</f>
        <v>17</v>
      </c>
      <c r="E89" s="26" t="n">
        <v>0.0175347222222222</v>
      </c>
      <c r="F89" s="26" t="n">
        <f aca="false">E89/B89</f>
        <v>0.00216277794908692</v>
      </c>
      <c r="G89" s="27" t="s">
        <v>4423</v>
      </c>
      <c r="H89" s="27" t="s">
        <v>4424</v>
      </c>
      <c r="I89" s="28" t="s">
        <v>4327</v>
      </c>
      <c r="J89" s="25" t="n">
        <v>52</v>
      </c>
      <c r="K89" s="25" t="n">
        <v>905</v>
      </c>
      <c r="L89" s="13" t="n">
        <f aca="false">IF(INDEX(選手一覧!$D$7:$D$2738,$K89)="","",INDEX(選手一覧!$D$7:$D$2738,$K89))</f>
        <v>0.0108916666666667</v>
      </c>
      <c r="M89" s="14" t="n">
        <f aca="false">IF(INDEX(選手一覧!$E$7:$E$2738,$K89)="","",INDEX(選手一覧!$E$7:$E$2738,$K89))</f>
        <v>906</v>
      </c>
      <c r="N89" s="16" t="str">
        <f aca="false">IF(INDEX(選手一覧!$H$7:$H$2738,$K89)="","",INDEX(選手一覧!$H$7:$H$2738,$K89))</f>
        <v/>
      </c>
      <c r="O89" s="17" t="str">
        <f aca="false">IF(INDEX(選手一覧!$I$7:$I$2738,$K89)="","",INDEX(選手一覧!$I$7:$I$2738,$K89))</f>
        <v/>
      </c>
      <c r="P89" s="16" t="n">
        <f aca="false">IF(INDEX(選手一覧!$J$7:$J$2738,$K89)="","",INDEX(選手一覧!$J$7:$J$2738,$K89))</f>
        <v>0.0028349537037037</v>
      </c>
      <c r="Q89" s="17" t="n">
        <f aca="false">IF(INDEX(選手一覧!$K$7:$K$2738,$K89)="","",INDEX(選手一覧!$K$7:$K$2738,$K89))</f>
        <v>460</v>
      </c>
    </row>
    <row r="90" customFormat="false" ht="15" hidden="false" customHeight="false" outlineLevel="0" collapsed="false">
      <c r="A90" s="23" t="n">
        <v>3</v>
      </c>
      <c r="B90" s="24" t="n">
        <v>8.1075</v>
      </c>
      <c r="C90" s="14" t="n">
        <v>54</v>
      </c>
      <c r="D90" s="25" t="n">
        <f aca="false">COUNTIFS($A$5:$A$229,A90,$E$5:$E$229,"&lt;"&amp;E90)+1</f>
        <v>18</v>
      </c>
      <c r="E90" s="26" t="n">
        <v>0.0175578703703704</v>
      </c>
      <c r="F90" s="26" t="n">
        <f aca="false">E90/B90</f>
        <v>0.00216563310149496</v>
      </c>
      <c r="G90" s="27" t="s">
        <v>4425</v>
      </c>
      <c r="H90" s="27" t="s">
        <v>4343</v>
      </c>
      <c r="I90" s="28" t="s">
        <v>4327</v>
      </c>
      <c r="J90" s="25" t="n">
        <v>68</v>
      </c>
      <c r="K90" s="25" t="n">
        <v>618</v>
      </c>
      <c r="L90" s="13" t="n">
        <f aca="false">IF(INDEX(選手一覧!$D$7:$D$2738,$K90)="","",INDEX(選手一覧!$D$7:$D$2738,$K90))</f>
        <v>0.0107232638888889</v>
      </c>
      <c r="M90" s="14" t="n">
        <f aca="false">IF(INDEX(選手一覧!$E$7:$E$2738,$K90)="","",INDEX(選手一覧!$E$7:$E$2738,$K90))</f>
        <v>619</v>
      </c>
      <c r="N90" s="16" t="n">
        <f aca="false">IF(INDEX(選手一覧!$H$7:$H$2738,$K90)="","",INDEX(選手一覧!$H$7:$H$2738,$K90))</f>
        <v>0.00677303240740741</v>
      </c>
      <c r="O90" s="17" t="n">
        <f aca="false">IF(INDEX(選手一覧!$I$7:$I$2738,$K90)="","",INDEX(選手一覧!$I$7:$I$2738,$K90))</f>
        <v>150</v>
      </c>
      <c r="P90" s="16" t="n">
        <f aca="false">IF(INDEX(選手一覧!$J$7:$J$2738,$K90)="","",INDEX(選手一覧!$J$7:$J$2738,$K90))</f>
        <v>0.00282118055555556</v>
      </c>
      <c r="Q90" s="17" t="n">
        <f aca="false">IF(INDEX(選手一覧!$K$7:$K$2738,$K90)="","",INDEX(選手一覧!$K$7:$K$2738,$K90))</f>
        <v>370</v>
      </c>
    </row>
    <row r="91" customFormat="false" ht="15" hidden="false" customHeight="false" outlineLevel="0" collapsed="false">
      <c r="A91" s="23" t="n">
        <v>3</v>
      </c>
      <c r="B91" s="24" t="n">
        <v>8.1075</v>
      </c>
      <c r="C91" s="14" t="n">
        <v>58</v>
      </c>
      <c r="D91" s="25" t="n">
        <f aca="false">COUNTIFS($A$5:$A$229,A91,$E$5:$E$229,"&lt;"&amp;E91)+1</f>
        <v>19</v>
      </c>
      <c r="E91" s="26" t="n">
        <v>0.0175925925925926</v>
      </c>
      <c r="F91" s="26" t="n">
        <f aca="false">E91/B91</f>
        <v>0.00216991583010701</v>
      </c>
      <c r="G91" s="27" t="s">
        <v>4426</v>
      </c>
      <c r="H91" s="27" t="s">
        <v>4394</v>
      </c>
      <c r="I91" s="28" t="s">
        <v>4348</v>
      </c>
      <c r="J91" s="25" t="n">
        <v>65</v>
      </c>
      <c r="K91" s="25" t="n">
        <v>497</v>
      </c>
      <c r="L91" s="13" t="n">
        <f aca="false">IF(INDEX(選手一覧!$D$7:$D$2738,$K91)="","",INDEX(選手一覧!$D$7:$D$2738,$K91))</f>
        <v>0.0106210648148148</v>
      </c>
      <c r="M91" s="14" t="n">
        <f aca="false">IF(INDEX(選手一覧!$E$7:$E$2738,$K91)="","",INDEX(選手一覧!$E$7:$E$2738,$K91))</f>
        <v>498</v>
      </c>
      <c r="N91" s="16" t="str">
        <f aca="false">IF(INDEX(選手一覧!$H$7:$H$2738,$K91)="","",INDEX(選手一覧!$H$7:$H$2738,$K91))</f>
        <v/>
      </c>
      <c r="O91" s="17" t="str">
        <f aca="false">IF(INDEX(選手一覧!$I$7:$I$2738,$K91)="","",INDEX(選手一覧!$I$7:$I$2738,$K91))</f>
        <v/>
      </c>
      <c r="P91" s="16" t="n">
        <f aca="false">IF(INDEX(選手一覧!$J$7:$J$2738,$K91)="","",INDEX(選手一覧!$J$7:$J$2738,$K91))</f>
        <v>0.00283263888888889</v>
      </c>
      <c r="Q91" s="17" t="n">
        <f aca="false">IF(INDEX(選手一覧!$K$7:$K$2738,$K91)="","",INDEX(選手一覧!$K$7:$K$2738,$K91))</f>
        <v>444</v>
      </c>
    </row>
    <row r="92" customFormat="false" ht="15" hidden="false" customHeight="false" outlineLevel="0" collapsed="false">
      <c r="A92" s="23" t="n">
        <v>3</v>
      </c>
      <c r="B92" s="24" t="n">
        <v>8.1075</v>
      </c>
      <c r="C92" s="14" t="n">
        <v>61</v>
      </c>
      <c r="D92" s="25" t="n">
        <f aca="false">COUNTIFS($A$5:$A$229,A92,$E$5:$E$229,"&lt;"&amp;E92)+1</f>
        <v>20</v>
      </c>
      <c r="E92" s="26" t="n">
        <v>0.0176273148148148</v>
      </c>
      <c r="F92" s="26" t="n">
        <f aca="false">E92/B92</f>
        <v>0.00217419855871906</v>
      </c>
      <c r="G92" s="27" t="s">
        <v>4427</v>
      </c>
      <c r="H92" s="27" t="s">
        <v>4428</v>
      </c>
      <c r="I92" s="28" t="s">
        <v>4284</v>
      </c>
      <c r="J92" s="25" t="n">
        <v>39</v>
      </c>
      <c r="K92" s="25" t="n">
        <v>202</v>
      </c>
      <c r="L92" s="13" t="n">
        <f aca="false">IF(INDEX(選手一覧!$D$7:$D$2738,$K92)="","",INDEX(選手一覧!$D$7:$D$2738,$K92))</f>
        <v>0.0103505787037037</v>
      </c>
      <c r="M92" s="14" t="n">
        <f aca="false">IF(INDEX(選手一覧!$E$7:$E$2738,$K92)="","",INDEX(選手一覧!$E$7:$E$2738,$K92))</f>
        <v>203</v>
      </c>
      <c r="N92" s="16" t="n">
        <f aca="false">IF(INDEX(選手一覧!$H$7:$H$2738,$K92)="","",INDEX(選手一覧!$H$7:$H$2738,$K92))</f>
        <v>0.00669953703703704</v>
      </c>
      <c r="O92" s="17" t="n">
        <f aca="false">IF(INDEX(選手一覧!$I$7:$I$2738,$K92)="","",INDEX(選手一覧!$I$7:$I$2738,$K92))</f>
        <v>107</v>
      </c>
      <c r="P92" s="16" t="n">
        <f aca="false">IF(INDEX(選手一覧!$J$7:$J$2738,$K92)="","",INDEX(選手一覧!$J$7:$J$2738,$K92))</f>
        <v>0.00276481481481482</v>
      </c>
      <c r="Q92" s="17" t="n">
        <f aca="false">IF(INDEX(選手一覧!$K$7:$K$2738,$K92)="","",INDEX(選手一覧!$K$7:$K$2738,$K92))</f>
        <v>149</v>
      </c>
    </row>
    <row r="93" customFormat="false" ht="15" hidden="false" customHeight="false" outlineLevel="0" collapsed="false">
      <c r="A93" s="23" t="n">
        <v>3</v>
      </c>
      <c r="B93" s="24" t="n">
        <v>8.1075</v>
      </c>
      <c r="C93" s="14" t="n">
        <v>61</v>
      </c>
      <c r="D93" s="25" t="n">
        <f aca="false">COUNTIFS($A$5:$A$229,A93,$E$5:$E$229,"&lt;"&amp;E93)+1</f>
        <v>20</v>
      </c>
      <c r="E93" s="26" t="n">
        <v>0.0176273148148148</v>
      </c>
      <c r="F93" s="26" t="n">
        <f aca="false">E93/B93</f>
        <v>0.00217419855871906</v>
      </c>
      <c r="G93" s="27" t="s">
        <v>4429</v>
      </c>
      <c r="H93" s="27" t="s">
        <v>4321</v>
      </c>
      <c r="I93" s="28" t="s">
        <v>4257</v>
      </c>
      <c r="J93" s="25" t="n">
        <v>49</v>
      </c>
      <c r="K93" s="25" t="n">
        <v>795</v>
      </c>
      <c r="L93" s="13" t="n">
        <f aca="false">IF(INDEX(選手一覧!$D$7:$D$2738,$K93)="","",INDEX(選手一覧!$D$7:$D$2738,$K93))</f>
        <v>0.0108318287037037</v>
      </c>
      <c r="M93" s="14" t="n">
        <f aca="false">IF(INDEX(選手一覧!$E$7:$E$2738,$K93)="","",INDEX(選手一覧!$E$7:$E$2738,$K93))</f>
        <v>796</v>
      </c>
      <c r="N93" s="16" t="str">
        <f aca="false">IF(INDEX(選手一覧!$H$7:$H$2738,$K93)="","",INDEX(選手一覧!$H$7:$H$2738,$K93))</f>
        <v/>
      </c>
      <c r="O93" s="17" t="str">
        <f aca="false">IF(INDEX(選手一覧!$I$7:$I$2738,$K93)="","",INDEX(選手一覧!$I$7:$I$2738,$K93))</f>
        <v/>
      </c>
      <c r="P93" s="16" t="n">
        <f aca="false">IF(INDEX(選手一覧!$J$7:$J$2738,$K93)="","",INDEX(選手一覧!$J$7:$J$2738,$K93))</f>
        <v>0.00286180555555556</v>
      </c>
      <c r="Q93" s="17" t="n">
        <f aca="false">IF(INDEX(選手一覧!$K$7:$K$2738,$K93)="","",INDEX(選手一覧!$K$7:$K$2738,$K93))</f>
        <v>644</v>
      </c>
    </row>
    <row r="94" customFormat="false" ht="15" hidden="false" customHeight="false" outlineLevel="0" collapsed="false">
      <c r="A94" s="23" t="n">
        <v>3</v>
      </c>
      <c r="B94" s="24" t="n">
        <v>8.1075</v>
      </c>
      <c r="C94" s="14" t="n">
        <v>63</v>
      </c>
      <c r="D94" s="25" t="n">
        <f aca="false">COUNTIFS($A$5:$A$229,A94,$E$5:$E$229,"&lt;"&amp;E94)+1</f>
        <v>22</v>
      </c>
      <c r="E94" s="26" t="n">
        <v>0.0176388888888889</v>
      </c>
      <c r="F94" s="26" t="n">
        <f aca="false">E94/B94</f>
        <v>0.00217562613492308</v>
      </c>
      <c r="G94" s="27" t="s">
        <v>4430</v>
      </c>
      <c r="H94" s="27" t="s">
        <v>4341</v>
      </c>
      <c r="I94" s="28" t="s">
        <v>4298</v>
      </c>
      <c r="J94" s="25" t="n">
        <v>57</v>
      </c>
      <c r="K94" s="25" t="n">
        <v>373</v>
      </c>
      <c r="L94" s="13" t="n">
        <f aca="false">IF(INDEX(選手一覧!$D$7:$D$2738,$K94)="","",INDEX(選手一覧!$D$7:$D$2738,$K94))</f>
        <v>0.0105324074074074</v>
      </c>
      <c r="M94" s="14" t="n">
        <f aca="false">IF(INDEX(選手一覧!$E$7:$E$2738,$K94)="","",INDEX(選手一覧!$E$7:$E$2738,$K94))</f>
        <v>374</v>
      </c>
      <c r="N94" s="16" t="str">
        <f aca="false">IF(INDEX(選手一覧!$H$7:$H$2738,$K94)="","",INDEX(選手一覧!$H$7:$H$2738,$K94))</f>
        <v/>
      </c>
      <c r="O94" s="17" t="str">
        <f aca="false">IF(INDEX(選手一覧!$I$7:$I$2738,$K94)="","",INDEX(選手一覧!$I$7:$I$2738,$K94))</f>
        <v/>
      </c>
      <c r="P94" s="16" t="str">
        <f aca="false">IF(INDEX(選手一覧!$J$7:$J$2738,$K94)="","",INDEX(選手一覧!$J$7:$J$2738,$K94))</f>
        <v/>
      </c>
      <c r="Q94" s="17" t="str">
        <f aca="false">IF(INDEX(選手一覧!$K$7:$K$2738,$K94)="","",INDEX(選手一覧!$K$7:$K$2738,$K94))</f>
        <v/>
      </c>
    </row>
    <row r="95" customFormat="false" ht="15" hidden="false" customHeight="false" outlineLevel="0" collapsed="false">
      <c r="A95" s="23" t="n">
        <v>3</v>
      </c>
      <c r="B95" s="24" t="n">
        <v>8.1075</v>
      </c>
      <c r="C95" s="14" t="n">
        <v>65</v>
      </c>
      <c r="D95" s="25" t="n">
        <f aca="false">COUNTIFS($A$5:$A$229,A95,$E$5:$E$229,"&lt;"&amp;E95)+1</f>
        <v>23</v>
      </c>
      <c r="E95" s="26" t="n">
        <v>0.0177083333333333</v>
      </c>
      <c r="F95" s="26" t="n">
        <f aca="false">E95/B95</f>
        <v>0.00218419159214719</v>
      </c>
      <c r="G95" s="27" t="s">
        <v>4431</v>
      </c>
      <c r="H95" s="27" t="s">
        <v>4432</v>
      </c>
      <c r="I95" s="28" t="s">
        <v>4313</v>
      </c>
      <c r="J95" s="25" t="n">
        <v>51</v>
      </c>
      <c r="K95" s="25" t="n">
        <v>289</v>
      </c>
      <c r="L95" s="13" t="n">
        <f aca="false">IF(INDEX(選手一覧!$D$7:$D$2738,$K95)="","",INDEX(選手一覧!$D$7:$D$2738,$K95))</f>
        <v>0.0104258101851852</v>
      </c>
      <c r="M95" s="14" t="n">
        <f aca="false">IF(INDEX(選手一覧!$E$7:$E$2738,$K95)="","",INDEX(選手一覧!$E$7:$E$2738,$K95))</f>
        <v>290</v>
      </c>
      <c r="N95" s="16" t="str">
        <f aca="false">IF(INDEX(選手一覧!$H$7:$H$2738,$K95)="","",INDEX(選手一覧!$H$7:$H$2738,$K95))</f>
        <v/>
      </c>
      <c r="O95" s="17" t="str">
        <f aca="false">IF(INDEX(選手一覧!$I$7:$I$2738,$K95)="","",INDEX(選手一覧!$I$7:$I$2738,$K95))</f>
        <v/>
      </c>
      <c r="P95" s="16" t="str">
        <f aca="false">IF(INDEX(選手一覧!$J$7:$J$2738,$K95)="","",INDEX(選手一覧!$J$7:$J$2738,$K95))</f>
        <v/>
      </c>
      <c r="Q95" s="17" t="str">
        <f aca="false">IF(INDEX(選手一覧!$K$7:$K$2738,$K95)="","",INDEX(選手一覧!$K$7:$K$2738,$K95))</f>
        <v/>
      </c>
    </row>
    <row r="96" customFormat="false" ht="15" hidden="false" customHeight="false" outlineLevel="0" collapsed="false">
      <c r="A96" s="23" t="n">
        <v>3</v>
      </c>
      <c r="B96" s="24" t="n">
        <v>8.1075</v>
      </c>
      <c r="C96" s="14" t="n">
        <v>66</v>
      </c>
      <c r="D96" s="25" t="n">
        <f aca="false">COUNTIFS($A$5:$A$229,A96,$E$5:$E$229,"&lt;"&amp;E96)+1</f>
        <v>24</v>
      </c>
      <c r="E96" s="26" t="n">
        <v>0.0177314814814815</v>
      </c>
      <c r="F96" s="26" t="n">
        <f aca="false">E96/B96</f>
        <v>0.00218704674455522</v>
      </c>
      <c r="G96" s="27" t="s">
        <v>4433</v>
      </c>
      <c r="H96" s="27" t="s">
        <v>4317</v>
      </c>
      <c r="I96" s="28" t="s">
        <v>4313</v>
      </c>
      <c r="J96" s="25" t="n">
        <v>62</v>
      </c>
      <c r="K96" s="25" t="n">
        <v>485</v>
      </c>
      <c r="L96" s="13" t="n">
        <f aca="false">IF(INDEX(選手一覧!$D$7:$D$2738,$K96)="","",INDEX(選手一覧!$D$7:$D$2738,$K96))</f>
        <v>0.010615625</v>
      </c>
      <c r="M96" s="14" t="n">
        <f aca="false">IF(INDEX(選手一覧!$E$7:$E$2738,$K96)="","",INDEX(選手一覧!$E$7:$E$2738,$K96))</f>
        <v>486</v>
      </c>
      <c r="N96" s="16" t="str">
        <f aca="false">IF(INDEX(選手一覧!$H$7:$H$2738,$K96)="","",INDEX(選手一覧!$H$7:$H$2738,$K96))</f>
        <v/>
      </c>
      <c r="O96" s="17" t="str">
        <f aca="false">IF(INDEX(選手一覧!$I$7:$I$2738,$K96)="","",INDEX(選手一覧!$I$7:$I$2738,$K96))</f>
        <v/>
      </c>
      <c r="P96" s="16" t="n">
        <f aca="false">IF(INDEX(選手一覧!$J$7:$J$2738,$K96)="","",INDEX(選手一覧!$J$7:$J$2738,$K96))</f>
        <v>0.00279027777777778</v>
      </c>
      <c r="Q96" s="17" t="n">
        <f aca="false">IF(INDEX(選手一覧!$K$7:$K$2738,$K96)="","",INDEX(選手一覧!$K$7:$K$2738,$K96))</f>
        <v>239</v>
      </c>
    </row>
    <row r="97" customFormat="false" ht="15" hidden="false" customHeight="false" outlineLevel="0" collapsed="false">
      <c r="A97" s="23" t="n">
        <v>3</v>
      </c>
      <c r="B97" s="24" t="n">
        <v>8.1075</v>
      </c>
      <c r="C97" s="14" t="n">
        <v>69</v>
      </c>
      <c r="D97" s="25" t="n">
        <f aca="false">COUNTIFS($A$5:$A$229,A97,$E$5:$E$229,"&lt;"&amp;E97)+1</f>
        <v>25</v>
      </c>
      <c r="E97" s="26" t="n">
        <v>0.0177777777777778</v>
      </c>
      <c r="F97" s="26" t="n">
        <f aca="false">E97/B97</f>
        <v>0.0021927570493713</v>
      </c>
      <c r="G97" s="27" t="s">
        <v>4434</v>
      </c>
      <c r="H97" s="27" t="s">
        <v>4435</v>
      </c>
      <c r="I97" s="28" t="s">
        <v>4295</v>
      </c>
      <c r="J97" s="25" t="n">
        <v>69</v>
      </c>
      <c r="K97" s="25" t="n">
        <v>879</v>
      </c>
      <c r="L97" s="13" t="n">
        <f aca="false">IF(INDEX(選手一覧!$D$7:$D$2738,$K97)="","",INDEX(選手一覧!$D$7:$D$2738,$K97))</f>
        <v>0.0108746527777778</v>
      </c>
      <c r="M97" s="14" t="n">
        <f aca="false">IF(INDEX(選手一覧!$E$7:$E$2738,$K97)="","",INDEX(選手一覧!$E$7:$E$2738,$K97))</f>
        <v>880</v>
      </c>
      <c r="N97" s="16" t="str">
        <f aca="false">IF(INDEX(選手一覧!$H$7:$H$2738,$K97)="","",INDEX(選手一覧!$H$7:$H$2738,$K97))</f>
        <v/>
      </c>
      <c r="O97" s="17" t="str">
        <f aca="false">IF(INDEX(選手一覧!$I$7:$I$2738,$K97)="","",INDEX(選手一覧!$I$7:$I$2738,$K97))</f>
        <v/>
      </c>
      <c r="P97" s="16" t="n">
        <f aca="false">IF(INDEX(選手一覧!$J$7:$J$2738,$K97)="","",INDEX(選手一覧!$J$7:$J$2738,$K97))</f>
        <v>0.00290520833333333</v>
      </c>
      <c r="Q97" s="17" t="n">
        <f aca="false">IF(INDEX(選手一覧!$K$7:$K$2738,$K97)="","",INDEX(選手一覧!$K$7:$K$2738,$K97))</f>
        <v>985</v>
      </c>
    </row>
    <row r="98" customFormat="false" ht="15" hidden="false" customHeight="false" outlineLevel="0" collapsed="false">
      <c r="A98" s="23" t="n">
        <v>3</v>
      </c>
      <c r="B98" s="24" t="n">
        <v>8.1075</v>
      </c>
      <c r="C98" s="14" t="n">
        <v>71</v>
      </c>
      <c r="D98" s="25" t="n">
        <f aca="false">COUNTIFS($A$5:$A$229,A98,$E$5:$E$229,"&lt;"&amp;E98)+1</f>
        <v>26</v>
      </c>
      <c r="E98" s="26" t="n">
        <v>0.0178587962962963</v>
      </c>
      <c r="F98" s="26" t="n">
        <f aca="false">E98/B98</f>
        <v>0.00220275008279942</v>
      </c>
      <c r="G98" s="27" t="s">
        <v>4436</v>
      </c>
      <c r="H98" s="27" t="s">
        <v>4437</v>
      </c>
      <c r="I98" s="28" t="s">
        <v>4306</v>
      </c>
      <c r="J98" s="25" t="n">
        <v>54</v>
      </c>
      <c r="K98" s="25" t="n">
        <v>670</v>
      </c>
      <c r="L98" s="13" t="n">
        <f aca="false">IF(INDEX(選手一覧!$D$7:$D$2738,$K98)="","",INDEX(選手一覧!$D$7:$D$2738,$K98))</f>
        <v>0.010752662037037</v>
      </c>
      <c r="M98" s="14" t="n">
        <f aca="false">IF(INDEX(選手一覧!$E$7:$E$2738,$K98)="","",INDEX(選手一覧!$E$7:$E$2738,$K98))</f>
        <v>671</v>
      </c>
      <c r="N98" s="16" t="str">
        <f aca="false">IF(INDEX(選手一覧!$H$7:$H$2738,$K98)="","",INDEX(選手一覧!$H$7:$H$2738,$K98))</f>
        <v/>
      </c>
      <c r="O98" s="17" t="str">
        <f aca="false">IF(INDEX(選手一覧!$I$7:$I$2738,$K98)="","",INDEX(選手一覧!$I$7:$I$2738,$K98))</f>
        <v/>
      </c>
      <c r="P98" s="16" t="n">
        <f aca="false">IF(INDEX(選手一覧!$J$7:$J$2738,$K98)="","",INDEX(選手一覧!$J$7:$J$2738,$K98))</f>
        <v>0.00284027777777778</v>
      </c>
      <c r="Q98" s="17" t="n">
        <f aca="false">IF(INDEX(選手一覧!$K$7:$K$2738,$K98)="","",INDEX(選手一覧!$K$7:$K$2738,$K98))</f>
        <v>499</v>
      </c>
    </row>
    <row r="99" customFormat="false" ht="15" hidden="false" customHeight="false" outlineLevel="0" collapsed="false">
      <c r="A99" s="23" t="n">
        <v>3</v>
      </c>
      <c r="B99" s="24" t="n">
        <v>8.1075</v>
      </c>
      <c r="C99" s="14" t="n">
        <v>72</v>
      </c>
      <c r="D99" s="25" t="n">
        <f aca="false">COUNTIFS($A$5:$A$229,A99,$E$5:$E$229,"&lt;"&amp;E99)+1</f>
        <v>27</v>
      </c>
      <c r="E99" s="26" t="n">
        <v>0.0178703703703704</v>
      </c>
      <c r="F99" s="26" t="n">
        <f aca="false">E99/B99</f>
        <v>0.00220417765900344</v>
      </c>
      <c r="G99" s="27" t="s">
        <v>4438</v>
      </c>
      <c r="H99" s="27" t="s">
        <v>4439</v>
      </c>
      <c r="I99" s="28" t="s">
        <v>4265</v>
      </c>
      <c r="J99" s="25" t="n">
        <v>85</v>
      </c>
      <c r="K99" s="25" t="n">
        <v>584</v>
      </c>
      <c r="L99" s="13" t="n">
        <f aca="false">IF(INDEX(選手一覧!$D$7:$D$2738,$K99)="","",INDEX(選手一覧!$D$7:$D$2738,$K99))</f>
        <v>0.0107009259259259</v>
      </c>
      <c r="M99" s="14" t="n">
        <f aca="false">IF(INDEX(選手一覧!$E$7:$E$2738,$K99)="","",INDEX(選手一覧!$E$7:$E$2738,$K99))</f>
        <v>585</v>
      </c>
      <c r="N99" s="16" t="str">
        <f aca="false">IF(INDEX(選手一覧!$H$7:$H$2738,$K99)="","",INDEX(選手一覧!$H$7:$H$2738,$K99))</f>
        <v/>
      </c>
      <c r="O99" s="17" t="str">
        <f aca="false">IF(INDEX(選手一覧!$I$7:$I$2738,$K99)="","",INDEX(選手一覧!$I$7:$I$2738,$K99))</f>
        <v/>
      </c>
      <c r="P99" s="16" t="n">
        <f aca="false">IF(INDEX(選手一覧!$J$7:$J$2738,$K99)="","",INDEX(選手一覧!$J$7:$J$2738,$K99))</f>
        <v>0.00283611111111111</v>
      </c>
      <c r="Q99" s="17" t="n">
        <f aca="false">IF(INDEX(選手一覧!$K$7:$K$2738,$K99)="","",INDEX(選手一覧!$K$7:$K$2738,$K99))</f>
        <v>471</v>
      </c>
    </row>
    <row r="100" customFormat="false" ht="15" hidden="false" customHeight="false" outlineLevel="0" collapsed="false">
      <c r="A100" s="23" t="n">
        <v>3</v>
      </c>
      <c r="B100" s="24" t="n">
        <v>8.1075</v>
      </c>
      <c r="C100" s="14" t="n">
        <v>74</v>
      </c>
      <c r="D100" s="25" t="n">
        <f aca="false">COUNTIFS($A$5:$A$229,A100,$E$5:$E$229,"&lt;"&amp;E100)+1</f>
        <v>28</v>
      </c>
      <c r="E100" s="26" t="n">
        <v>0.0179282407407407</v>
      </c>
      <c r="F100" s="26" t="n">
        <f aca="false">E100/B100</f>
        <v>0.00221131554002353</v>
      </c>
      <c r="G100" s="27" t="s">
        <v>4440</v>
      </c>
      <c r="H100" s="27" t="s">
        <v>4441</v>
      </c>
      <c r="I100" s="28" t="s">
        <v>4332</v>
      </c>
      <c r="J100" s="25" t="n">
        <v>72</v>
      </c>
      <c r="K100" s="25" t="n">
        <v>1954</v>
      </c>
      <c r="L100" s="13" t="str">
        <f aca="false">IF(INDEX(選手一覧!$D$7:$D$2738,$K100)="","",INDEX(選手一覧!$D$7:$D$2738,$K100))</f>
        <v/>
      </c>
      <c r="M100" s="14" t="str">
        <f aca="false">IF(INDEX(選手一覧!$E$7:$E$2738,$K100)="","",INDEX(選手一覧!$E$7:$E$2738,$K100))</f>
        <v/>
      </c>
      <c r="N100" s="16" t="str">
        <f aca="false">IF(INDEX(選手一覧!$H$7:$H$2738,$K100)="","",INDEX(選手一覧!$H$7:$H$2738,$K100))</f>
        <v/>
      </c>
      <c r="O100" s="17" t="str">
        <f aca="false">IF(INDEX(選手一覧!$I$7:$I$2738,$K100)="","",INDEX(選手一覧!$I$7:$I$2738,$K100))</f>
        <v/>
      </c>
      <c r="P100" s="16" t="n">
        <f aca="false">IF(INDEX(選手一覧!$J$7:$J$2738,$K100)="","",INDEX(選手一覧!$J$7:$J$2738,$K100))</f>
        <v>0.00288506944444444</v>
      </c>
      <c r="Q100" s="17" t="n">
        <f aca="false">IF(INDEX(選手一覧!$K$7:$K$2738,$K100)="","",INDEX(選手一覧!$K$7:$K$2738,$K100))</f>
        <v>816</v>
      </c>
    </row>
    <row r="101" customFormat="false" ht="15" hidden="false" customHeight="false" outlineLevel="0" collapsed="false">
      <c r="A101" s="23" t="n">
        <v>3</v>
      </c>
      <c r="B101" s="24" t="n">
        <v>8.1075</v>
      </c>
      <c r="C101" s="14" t="n">
        <v>82</v>
      </c>
      <c r="D101" s="25" t="n">
        <f aca="false">COUNTIFS($A$5:$A$229,A101,$E$5:$E$229,"&lt;"&amp;E101)+1</f>
        <v>29</v>
      </c>
      <c r="E101" s="26" t="n">
        <v>0.0181828703703704</v>
      </c>
      <c r="F101" s="26" t="n">
        <f aca="false">E101/B101</f>
        <v>0.00224272221651192</v>
      </c>
      <c r="G101" s="27" t="s">
        <v>4442</v>
      </c>
      <c r="H101" s="27" t="s">
        <v>4443</v>
      </c>
      <c r="I101" s="28" t="s">
        <v>4271</v>
      </c>
      <c r="J101" s="25" t="n">
        <v>76</v>
      </c>
      <c r="K101" s="25" t="n">
        <v>1827</v>
      </c>
      <c r="L101" s="13" t="str">
        <f aca="false">IF(INDEX(選手一覧!$D$7:$D$2738,$K101)="","",INDEX(選手一覧!$D$7:$D$2738,$K101))</f>
        <v/>
      </c>
      <c r="M101" s="14" t="str">
        <f aca="false">IF(INDEX(選手一覧!$E$7:$E$2738,$K101)="","",INDEX(選手一覧!$E$7:$E$2738,$K101))</f>
        <v/>
      </c>
      <c r="N101" s="16" t="n">
        <f aca="false">IF(INDEX(選手一覧!$H$7:$H$2738,$K101)="","",INDEX(選手一覧!$H$7:$H$2738,$K101))</f>
        <v>0.00736087962962963</v>
      </c>
      <c r="O101" s="17" t="n">
        <f aca="false">IF(INDEX(選手一覧!$I$7:$I$2738,$K101)="","",INDEX(選手一覧!$I$7:$I$2738,$K101))</f>
        <v>721</v>
      </c>
      <c r="P101" s="16" t="str">
        <f aca="false">IF(INDEX(選手一覧!$J$7:$J$2738,$K101)="","",INDEX(選手一覧!$J$7:$J$2738,$K101))</f>
        <v/>
      </c>
      <c r="Q101" s="17" t="str">
        <f aca="false">IF(INDEX(選手一覧!$K$7:$K$2738,$K101)="","",INDEX(選手一覧!$K$7:$K$2738,$K101))</f>
        <v/>
      </c>
    </row>
    <row r="102" customFormat="false" ht="15" hidden="false" customHeight="false" outlineLevel="0" collapsed="false">
      <c r="A102" s="23" t="n">
        <v>3</v>
      </c>
      <c r="B102" s="24" t="n">
        <v>8.1075</v>
      </c>
      <c r="C102" s="14" t="n">
        <v>88</v>
      </c>
      <c r="D102" s="25" t="n">
        <f aca="false">COUNTIFS($A$5:$A$229,A102,$E$5:$E$229,"&lt;"&amp;E102)+1</f>
        <v>30</v>
      </c>
      <c r="E102" s="26" t="n">
        <v>0.0183101851851852</v>
      </c>
      <c r="F102" s="26" t="n">
        <f aca="false">E102/B102</f>
        <v>0.00225842555475611</v>
      </c>
      <c r="G102" s="27" t="s">
        <v>4444</v>
      </c>
      <c r="H102" s="27" t="s">
        <v>4315</v>
      </c>
      <c r="I102" s="28" t="s">
        <v>4257</v>
      </c>
      <c r="J102" s="25" t="n">
        <v>83</v>
      </c>
      <c r="K102" s="25" t="n">
        <v>1249</v>
      </c>
      <c r="L102" s="13" t="n">
        <f aca="false">IF(INDEX(選手一覧!$D$7:$D$2738,$K102)="","",INDEX(選手一覧!$D$7:$D$2738,$K102))</f>
        <v>0.0110797453703704</v>
      </c>
      <c r="M102" s="14" t="n">
        <f aca="false">IF(INDEX(選手一覧!$E$7:$E$2738,$K102)="","",INDEX(選手一覧!$E$7:$E$2738,$K102))</f>
        <v>1250</v>
      </c>
      <c r="N102" s="16" t="n">
        <f aca="false">IF(INDEX(選手一覧!$H$7:$H$2738,$K102)="","",INDEX(選手一覧!$H$7:$H$2738,$K102))</f>
        <v>0.00815219907407407</v>
      </c>
      <c r="O102" s="17" t="n">
        <f aca="false">IF(INDEX(選手一覧!$I$7:$I$2738,$K102)="","",INDEX(選手一覧!$I$7:$I$2738,$K102))</f>
        <v>1219</v>
      </c>
      <c r="P102" s="16" t="str">
        <f aca="false">IF(INDEX(選手一覧!$J$7:$J$2738,$K102)="","",INDEX(選手一覧!$J$7:$J$2738,$K102))</f>
        <v/>
      </c>
      <c r="Q102" s="17" t="str">
        <f aca="false">IF(INDEX(選手一覧!$K$7:$K$2738,$K102)="","",INDEX(選手一覧!$K$7:$K$2738,$K102))</f>
        <v/>
      </c>
    </row>
    <row r="103" customFormat="false" ht="15" hidden="false" customHeight="false" outlineLevel="0" collapsed="false">
      <c r="A103" s="23" t="n">
        <v>3</v>
      </c>
      <c r="B103" s="24" t="n">
        <v>8.1075</v>
      </c>
      <c r="C103" s="14" t="n">
        <v>90</v>
      </c>
      <c r="D103" s="25" t="n">
        <f aca="false">COUNTIFS($A$5:$A$229,A103,$E$5:$E$229,"&lt;"&amp;E103)+1</f>
        <v>31</v>
      </c>
      <c r="E103" s="26" t="n">
        <v>0.0183564814814815</v>
      </c>
      <c r="F103" s="26" t="n">
        <f aca="false">E103/B103</f>
        <v>0.00226413585957218</v>
      </c>
      <c r="G103" s="27" t="s">
        <v>4445</v>
      </c>
      <c r="H103" s="27" t="s">
        <v>4398</v>
      </c>
      <c r="I103" s="28" t="s">
        <v>4271</v>
      </c>
      <c r="J103" s="25" t="n">
        <v>87</v>
      </c>
      <c r="K103" s="25" t="n">
        <v>1839</v>
      </c>
      <c r="L103" s="13" t="str">
        <f aca="false">IF(INDEX(選手一覧!$D$7:$D$2738,$K103)="","",INDEX(選手一覧!$D$7:$D$2738,$K103))</f>
        <v/>
      </c>
      <c r="M103" s="14" t="str">
        <f aca="false">IF(INDEX(選手一覧!$E$7:$E$2738,$K103)="","",INDEX(選手一覧!$E$7:$E$2738,$K103))</f>
        <v/>
      </c>
      <c r="N103" s="16" t="str">
        <f aca="false">IF(INDEX(選手一覧!$H$7:$H$2738,$K103)="","",INDEX(選手一覧!$H$7:$H$2738,$K103))</f>
        <v/>
      </c>
      <c r="O103" s="17" t="str">
        <f aca="false">IF(INDEX(選手一覧!$I$7:$I$2738,$K103)="","",INDEX(選手一覧!$I$7:$I$2738,$K103))</f>
        <v/>
      </c>
      <c r="P103" s="16" t="n">
        <f aca="false">IF(INDEX(選手一覧!$J$7:$J$2738,$K103)="","",INDEX(選手一覧!$J$7:$J$2738,$K103))</f>
        <v>0.00287430555555556</v>
      </c>
      <c r="Q103" s="17" t="n">
        <f aca="false">IF(INDEX(選手一覧!$K$7:$K$2738,$K103)="","",INDEX(選手一覧!$K$7:$K$2738,$K103))</f>
        <v>729</v>
      </c>
    </row>
    <row r="104" customFormat="false" ht="15" hidden="false" customHeight="false" outlineLevel="0" collapsed="false">
      <c r="A104" s="23" t="n">
        <v>3</v>
      </c>
      <c r="B104" s="24" t="n">
        <v>8.1075</v>
      </c>
      <c r="C104" s="14" t="n">
        <v>95</v>
      </c>
      <c r="D104" s="25" t="n">
        <f aca="false">COUNTIFS($A$5:$A$229,A104,$E$5:$E$229,"&lt;"&amp;E104)+1</f>
        <v>32</v>
      </c>
      <c r="E104" s="26" t="n">
        <v>0.0186111111111111</v>
      </c>
      <c r="F104" s="26" t="n">
        <f aca="false">E104/B104</f>
        <v>0.00229554253606057</v>
      </c>
      <c r="G104" s="27" t="s">
        <v>4446</v>
      </c>
      <c r="H104" s="27" t="s">
        <v>4447</v>
      </c>
      <c r="I104" s="28" t="s">
        <v>4268</v>
      </c>
      <c r="J104" s="25" t="n">
        <v>75</v>
      </c>
      <c r="K104" s="25" t="n">
        <v>2407</v>
      </c>
      <c r="L104" s="13" t="str">
        <f aca="false">IF(INDEX(選手一覧!$D$7:$D$2738,$K104)="","",INDEX(選手一覧!$D$7:$D$2738,$K104))</f>
        <v/>
      </c>
      <c r="M104" s="14" t="str">
        <f aca="false">IF(INDEX(選手一覧!$E$7:$E$2738,$K104)="","",INDEX(選手一覧!$E$7:$E$2738,$K104))</f>
        <v/>
      </c>
      <c r="N104" s="16" t="n">
        <f aca="false">IF(INDEX(選手一覧!$H$7:$H$2738,$K104)="","",INDEX(選手一覧!$H$7:$H$2738,$K104))</f>
        <v>0.00784780092592593</v>
      </c>
      <c r="O104" s="17" t="n">
        <f aca="false">IF(INDEX(選手一覧!$I$7:$I$2738,$K104)="","",INDEX(選手一覧!$I$7:$I$2738,$K104))</f>
        <v>1149</v>
      </c>
      <c r="P104" s="16" t="str">
        <f aca="false">IF(INDEX(選手一覧!$J$7:$J$2738,$K104)="","",INDEX(選手一覧!$J$7:$J$2738,$K104))</f>
        <v/>
      </c>
      <c r="Q104" s="17" t="str">
        <f aca="false">IF(INDEX(選手一覧!$K$7:$K$2738,$K104)="","",INDEX(選手一覧!$K$7:$K$2738,$K104))</f>
        <v/>
      </c>
    </row>
    <row r="105" customFormat="false" ht="15" hidden="false" customHeight="false" outlineLevel="0" collapsed="false">
      <c r="A105" s="23" t="n">
        <v>3</v>
      </c>
      <c r="B105" s="24" t="n">
        <v>8.1075</v>
      </c>
      <c r="C105" s="14" t="n">
        <v>98</v>
      </c>
      <c r="D105" s="25" t="n">
        <f aca="false">COUNTIFS($A$5:$A$229,A105,$E$5:$E$229,"&lt;"&amp;E105)+1</f>
        <v>33</v>
      </c>
      <c r="E105" s="26" t="n">
        <v>0.0188310185185185</v>
      </c>
      <c r="F105" s="26" t="n">
        <f aca="false">E105/B105</f>
        <v>0.00232266648393691</v>
      </c>
      <c r="G105" s="27" t="s">
        <v>4448</v>
      </c>
      <c r="H105" s="27" t="s">
        <v>4449</v>
      </c>
      <c r="I105" s="28" t="s">
        <v>4268</v>
      </c>
      <c r="J105" s="25" t="n">
        <v>99</v>
      </c>
      <c r="K105" s="25" t="n">
        <v>2530</v>
      </c>
      <c r="L105" s="13" t="str">
        <f aca="false">IF(INDEX(選手一覧!$D$7:$D$2738,$K105)="","",INDEX(選手一覧!$D$7:$D$2738,$K105))</f>
        <v/>
      </c>
      <c r="M105" s="14" t="str">
        <f aca="false">IF(INDEX(選手一覧!$E$7:$E$2738,$K105)="","",INDEX(選手一覧!$E$7:$E$2738,$K105))</f>
        <v/>
      </c>
      <c r="N105" s="16" t="str">
        <f aca="false">IF(INDEX(選手一覧!$H$7:$H$2738,$K105)="","",INDEX(選手一覧!$H$7:$H$2738,$K105))</f>
        <v/>
      </c>
      <c r="O105" s="17" t="str">
        <f aca="false">IF(INDEX(選手一覧!$I$7:$I$2738,$K105)="","",INDEX(選手一覧!$I$7:$I$2738,$K105))</f>
        <v/>
      </c>
      <c r="P105" s="16" t="n">
        <f aca="false">IF(INDEX(選手一覧!$J$7:$J$2738,$K105)="","",INDEX(選手一覧!$J$7:$J$2738,$K105))</f>
        <v>0.00294907407407407</v>
      </c>
      <c r="Q105" s="17" t="n">
        <f aca="false">IF(INDEX(選手一覧!$K$7:$K$2738,$K105)="","",INDEX(選手一覧!$K$7:$K$2738,$K105))</f>
        <v>1233</v>
      </c>
    </row>
    <row r="106" customFormat="false" ht="15" hidden="false" customHeight="false" outlineLevel="0" collapsed="false">
      <c r="A106" s="23" t="n">
        <v>3</v>
      </c>
      <c r="B106" s="24" t="n">
        <v>8.1075</v>
      </c>
      <c r="C106" s="14" t="n">
        <v>100</v>
      </c>
      <c r="D106" s="25" t="n">
        <f aca="false">COUNTIFS($A$5:$A$229,A106,$E$5:$E$229,"&lt;"&amp;E106)+1</f>
        <v>34</v>
      </c>
      <c r="E106" s="26" t="n">
        <v>0.0188425925925926</v>
      </c>
      <c r="F106" s="26" t="n">
        <f aca="false">E106/B106</f>
        <v>0.00232409406014093</v>
      </c>
      <c r="G106" s="27" t="s">
        <v>4450</v>
      </c>
      <c r="H106" s="27" t="s">
        <v>4451</v>
      </c>
      <c r="I106" s="28" t="s">
        <v>4257</v>
      </c>
      <c r="J106" s="25" t="n">
        <v>91</v>
      </c>
      <c r="K106" s="25" t="n">
        <v>2058</v>
      </c>
      <c r="L106" s="13" t="str">
        <f aca="false">IF(INDEX(選手一覧!$D$7:$D$2738,$K106)="","",INDEX(選手一覧!$D$7:$D$2738,$K106))</f>
        <v/>
      </c>
      <c r="M106" s="14" t="str">
        <f aca="false">IF(INDEX(選手一覧!$E$7:$E$2738,$K106)="","",INDEX(選手一覧!$E$7:$E$2738,$K106))</f>
        <v/>
      </c>
      <c r="N106" s="16" t="str">
        <f aca="false">IF(INDEX(選手一覧!$H$7:$H$2738,$K106)="","",INDEX(選手一覧!$H$7:$H$2738,$K106))</f>
        <v/>
      </c>
      <c r="O106" s="17" t="str">
        <f aca="false">IF(INDEX(選手一覧!$I$7:$I$2738,$K106)="","",INDEX(選手一覧!$I$7:$I$2738,$K106))</f>
        <v/>
      </c>
      <c r="P106" s="16" t="n">
        <f aca="false">IF(INDEX(選手一覧!$J$7:$J$2738,$K106)="","",INDEX(選手一覧!$J$7:$J$2738,$K106))</f>
        <v>0.00289247685185185</v>
      </c>
      <c r="Q106" s="17" t="n">
        <f aca="false">IF(INDEX(選手一覧!$K$7:$K$2738,$K106)="","",INDEX(選手一覧!$K$7:$K$2738,$K106))</f>
        <v>894</v>
      </c>
    </row>
    <row r="107" customFormat="false" ht="15" hidden="false" customHeight="false" outlineLevel="0" collapsed="false">
      <c r="A107" s="23" t="n">
        <v>3</v>
      </c>
      <c r="B107" s="24" t="n">
        <v>8.1075</v>
      </c>
      <c r="C107" s="14" t="n">
        <v>103</v>
      </c>
      <c r="D107" s="25" t="n">
        <f aca="false">COUNTIFS($A$5:$A$229,A107,$E$5:$E$229,"&lt;"&amp;E107)+1</f>
        <v>35</v>
      </c>
      <c r="E107" s="26" t="n">
        <v>0.0190162037037037</v>
      </c>
      <c r="F107" s="26" t="n">
        <f aca="false">E107/B107</f>
        <v>0.0023455077032012</v>
      </c>
      <c r="G107" s="27" t="s">
        <v>4452</v>
      </c>
      <c r="H107" s="27" t="s">
        <v>4453</v>
      </c>
      <c r="I107" s="28" t="s">
        <v>4265</v>
      </c>
      <c r="J107" s="25" t="n">
        <v>96</v>
      </c>
      <c r="K107" s="25" t="n">
        <v>2032</v>
      </c>
      <c r="L107" s="13" t="str">
        <f aca="false">IF(INDEX(選手一覧!$D$7:$D$2738,$K107)="","",INDEX(選手一覧!$D$7:$D$2738,$K107))</f>
        <v/>
      </c>
      <c r="M107" s="14" t="str">
        <f aca="false">IF(INDEX(選手一覧!$E$7:$E$2738,$K107)="","",INDEX(選手一覧!$E$7:$E$2738,$K107))</f>
        <v/>
      </c>
      <c r="N107" s="16" t="n">
        <f aca="false">IF(INDEX(選手一覧!$H$7:$H$2738,$K107)="","",INDEX(選手一覧!$H$7:$H$2738,$K107))</f>
        <v>0.00748391203703704</v>
      </c>
      <c r="O107" s="17" t="n">
        <f aca="false">IF(INDEX(選手一覧!$I$7:$I$2738,$K107)="","",INDEX(選手一覧!$I$7:$I$2738,$K107))</f>
        <v>875</v>
      </c>
      <c r="P107" s="16" t="str">
        <f aca="false">IF(INDEX(選手一覧!$J$7:$J$2738,$K107)="","",INDEX(選手一覧!$J$7:$J$2738,$K107))</f>
        <v/>
      </c>
      <c r="Q107" s="17" t="str">
        <f aca="false">IF(INDEX(選手一覧!$K$7:$K$2738,$K107)="","",INDEX(選手一覧!$K$7:$K$2738,$K107))</f>
        <v/>
      </c>
    </row>
    <row r="108" customFormat="false" ht="15" hidden="false" customHeight="false" outlineLevel="0" collapsed="false">
      <c r="A108" s="23" t="n">
        <v>3</v>
      </c>
      <c r="B108" s="24" t="n">
        <v>8.1075</v>
      </c>
      <c r="C108" s="14" t="n">
        <v>104</v>
      </c>
      <c r="D108" s="25" t="n">
        <f aca="false">COUNTIFS($A$5:$A$229,A108,$E$5:$E$229,"&lt;"&amp;E108)+1</f>
        <v>36</v>
      </c>
      <c r="E108" s="26" t="n">
        <v>0.0190393518518519</v>
      </c>
      <c r="F108" s="26" t="n">
        <f aca="false">E108/B108</f>
        <v>0.00234836285560923</v>
      </c>
      <c r="G108" s="27" t="s">
        <v>4454</v>
      </c>
      <c r="H108" s="27" t="s">
        <v>4455</v>
      </c>
      <c r="I108" s="28" t="s">
        <v>4268</v>
      </c>
      <c r="J108" s="25" t="n">
        <v>107</v>
      </c>
      <c r="K108" s="25" t="n">
        <v>1817</v>
      </c>
      <c r="L108" s="13" t="str">
        <f aca="false">IF(INDEX(選手一覧!$D$7:$D$2738,$K108)="","",INDEX(選手一覧!$D$7:$D$2738,$K108))</f>
        <v/>
      </c>
      <c r="M108" s="14" t="str">
        <f aca="false">IF(INDEX(選手一覧!$E$7:$E$2738,$K108)="","",INDEX(選手一覧!$E$7:$E$2738,$K108))</f>
        <v/>
      </c>
      <c r="N108" s="16" t="n">
        <f aca="false">IF(INDEX(選手一覧!$H$7:$H$2738,$K108)="","",INDEX(選手一覧!$H$7:$H$2738,$K108))</f>
        <v>0.00734918981481482</v>
      </c>
      <c r="O108" s="17" t="n">
        <f aca="false">IF(INDEX(選手一覧!$I$7:$I$2738,$K108)="","",INDEX(選手一覧!$I$7:$I$2738,$K108))</f>
        <v>710</v>
      </c>
      <c r="P108" s="16" t="str">
        <f aca="false">IF(INDEX(選手一覧!$J$7:$J$2738,$K108)="","",INDEX(選手一覧!$J$7:$J$2738,$K108))</f>
        <v/>
      </c>
      <c r="Q108" s="17" t="str">
        <f aca="false">IF(INDEX(選手一覧!$K$7:$K$2738,$K108)="","",INDEX(選手一覧!$K$7:$K$2738,$K108))</f>
        <v/>
      </c>
    </row>
    <row r="109" customFormat="false" ht="15" hidden="false" customHeight="false" outlineLevel="0" collapsed="false">
      <c r="A109" s="29" t="n">
        <v>4</v>
      </c>
      <c r="B109" s="30" t="n">
        <v>8.0875</v>
      </c>
      <c r="C109" s="14" t="n">
        <v>7</v>
      </c>
      <c r="D109" s="17" t="n">
        <f aca="false">COUNTIFS($A$5:$A$229,A109,$E$5:$E$229,"&lt;"&amp;E109)+1</f>
        <v>1</v>
      </c>
      <c r="E109" s="31" t="n">
        <v>0.0169097222222222</v>
      </c>
      <c r="F109" s="31" t="n">
        <f aca="false">E109/B109</f>
        <v>0.00209084664262408</v>
      </c>
      <c r="G109" s="12" t="s">
        <v>4456</v>
      </c>
      <c r="H109" s="12" t="s">
        <v>4366</v>
      </c>
      <c r="I109" s="32" t="s">
        <v>4348</v>
      </c>
      <c r="J109" s="17" t="n">
        <v>9</v>
      </c>
      <c r="K109" s="17" t="n">
        <v>68</v>
      </c>
      <c r="L109" s="13" t="n">
        <f aca="false">IF(INDEX(選手一覧!$D$7:$D$2738,$K109)="","",INDEX(選手一覧!$D$7:$D$2738,$K109))</f>
        <v>0.0101414351851852</v>
      </c>
      <c r="M109" s="14" t="n">
        <f aca="false">IF(INDEX(選手一覧!$E$7:$E$2738,$K109)="","",INDEX(選手一覧!$E$7:$E$2738,$K109))</f>
        <v>69</v>
      </c>
      <c r="N109" s="16" t="str">
        <f aca="false">IF(INDEX(選手一覧!$H$7:$H$2738,$K109)="","",INDEX(選手一覧!$H$7:$H$2738,$K109))</f>
        <v/>
      </c>
      <c r="O109" s="17" t="str">
        <f aca="false">IF(INDEX(選手一覧!$I$7:$I$2738,$K109)="","",INDEX(選手一覧!$I$7:$I$2738,$K109))</f>
        <v/>
      </c>
      <c r="P109" s="16" t="n">
        <f aca="false">IF(INDEX(選手一覧!$J$7:$J$2738,$K109)="","",INDEX(選手一覧!$J$7:$J$2738,$K109))</f>
        <v>0.00285590277777778</v>
      </c>
      <c r="Q109" s="17" t="n">
        <f aca="false">IF(INDEX(選手一覧!$K$7:$K$2738,$K109)="","",INDEX(選手一覧!$K$7:$K$2738,$K109))</f>
        <v>607</v>
      </c>
    </row>
    <row r="110" customFormat="false" ht="15" hidden="false" customHeight="false" outlineLevel="0" collapsed="false">
      <c r="A110" s="29" t="n">
        <v>4</v>
      </c>
      <c r="B110" s="30" t="n">
        <v>8.0875</v>
      </c>
      <c r="C110" s="14" t="n">
        <v>9</v>
      </c>
      <c r="D110" s="17" t="n">
        <f aca="false">COUNTIFS($A$5:$A$229,A110,$E$5:$E$229,"&lt;"&amp;E110)+1</f>
        <v>2</v>
      </c>
      <c r="E110" s="31" t="n">
        <v>0.0170138888888889</v>
      </c>
      <c r="F110" s="31" t="n">
        <f aca="false">E110/B110</f>
        <v>0.00210372660140821</v>
      </c>
      <c r="G110" s="12" t="s">
        <v>4457</v>
      </c>
      <c r="H110" s="12" t="s">
        <v>4264</v>
      </c>
      <c r="I110" s="32" t="s">
        <v>4265</v>
      </c>
      <c r="J110" s="17" t="n">
        <v>11</v>
      </c>
      <c r="K110" s="17" t="n">
        <v>62</v>
      </c>
      <c r="L110" s="13" t="n">
        <f aca="false">IF(INDEX(選手一覧!$D$7:$D$2738,$K110)="","",INDEX(選手一覧!$D$7:$D$2738,$K110))</f>
        <v>0.0101351851851852</v>
      </c>
      <c r="M110" s="14" t="n">
        <f aca="false">IF(INDEX(選手一覧!$E$7:$E$2738,$K110)="","",INDEX(選手一覧!$E$7:$E$2738,$K110))</f>
        <v>63</v>
      </c>
      <c r="N110" s="16" t="str">
        <f aca="false">IF(INDEX(選手一覧!$H$7:$H$2738,$K110)="","",INDEX(選手一覧!$H$7:$H$2738,$K110))</f>
        <v/>
      </c>
      <c r="O110" s="17" t="str">
        <f aca="false">IF(INDEX(選手一覧!$I$7:$I$2738,$K110)="","",INDEX(選手一覧!$I$7:$I$2738,$K110))</f>
        <v/>
      </c>
      <c r="P110" s="16" t="n">
        <f aca="false">IF(INDEX(選手一覧!$J$7:$J$2738,$K110)="","",INDEX(選手一覧!$J$7:$J$2738,$K110))</f>
        <v>0.0028431712962963</v>
      </c>
      <c r="Q110" s="17" t="n">
        <f aca="false">IF(INDEX(選手一覧!$K$7:$K$2738,$K110)="","",INDEX(選手一覧!$K$7:$K$2738,$K110))</f>
        <v>517</v>
      </c>
    </row>
    <row r="111" customFormat="false" ht="15" hidden="false" customHeight="false" outlineLevel="0" collapsed="false">
      <c r="A111" s="29" t="n">
        <v>4</v>
      </c>
      <c r="B111" s="30" t="n">
        <v>8.0875</v>
      </c>
      <c r="C111" s="14" t="n">
        <v>10</v>
      </c>
      <c r="D111" s="17" t="n">
        <f aca="false">COUNTIFS($A$5:$A$229,A111,$E$5:$E$229,"&lt;"&amp;E111)+1</f>
        <v>3</v>
      </c>
      <c r="E111" s="31" t="n">
        <v>0.017025462962963</v>
      </c>
      <c r="F111" s="31" t="n">
        <f aca="false">E111/B111</f>
        <v>0.00210515770793978</v>
      </c>
      <c r="G111" s="12" t="s">
        <v>4458</v>
      </c>
      <c r="H111" s="12" t="s">
        <v>4259</v>
      </c>
      <c r="I111" s="32" t="s">
        <v>4260</v>
      </c>
      <c r="J111" s="17" t="n">
        <v>3</v>
      </c>
      <c r="K111" s="17" t="n">
        <v>23</v>
      </c>
      <c r="L111" s="13" t="n">
        <f aca="false">IF(INDEX(選手一覧!$D$7:$D$2738,$K111)="","",INDEX(選手一覧!$D$7:$D$2738,$K111))</f>
        <v>0.0100170138888889</v>
      </c>
      <c r="M111" s="14" t="n">
        <f aca="false">IF(INDEX(選手一覧!$E$7:$E$2738,$K111)="","",INDEX(選手一覧!$E$7:$E$2738,$K111))</f>
        <v>24</v>
      </c>
      <c r="N111" s="16" t="n">
        <f aca="false">IF(INDEX(選手一覧!$H$7:$H$2738,$K111)="","",INDEX(選手一覧!$H$7:$H$2738,$K111))</f>
        <v>0.00636747685185185</v>
      </c>
      <c r="O111" s="17" t="n">
        <f aca="false">IF(INDEX(選手一覧!$I$7:$I$2738,$K111)="","",INDEX(選手一覧!$I$7:$I$2738,$K111))</f>
        <v>11</v>
      </c>
      <c r="P111" s="16" t="n">
        <f aca="false">IF(INDEX(選手一覧!$J$7:$J$2738,$K111)="","",INDEX(選手一覧!$J$7:$J$2738,$K111))</f>
        <v>0.00280856481481482</v>
      </c>
      <c r="Q111" s="17" t="n">
        <f aca="false">IF(INDEX(選手一覧!$K$7:$K$2738,$K111)="","",INDEX(選手一覧!$K$7:$K$2738,$K111))</f>
        <v>320</v>
      </c>
    </row>
    <row r="112" customFormat="false" ht="15" hidden="false" customHeight="false" outlineLevel="0" collapsed="false">
      <c r="A112" s="29" t="n">
        <v>4</v>
      </c>
      <c r="B112" s="30" t="n">
        <v>8.0875</v>
      </c>
      <c r="C112" s="14" t="n">
        <v>10</v>
      </c>
      <c r="D112" s="17" t="n">
        <f aca="false">COUNTIFS($A$5:$A$229,A112,$E$5:$E$229,"&lt;"&amp;E112)+1</f>
        <v>3</v>
      </c>
      <c r="E112" s="31" t="n">
        <v>0.017025462962963</v>
      </c>
      <c r="F112" s="31" t="n">
        <f aca="false">E112/B112</f>
        <v>0.00210515770793978</v>
      </c>
      <c r="G112" s="12" t="s">
        <v>4459</v>
      </c>
      <c r="H112" s="12" t="s">
        <v>4267</v>
      </c>
      <c r="I112" s="32" t="s">
        <v>4268</v>
      </c>
      <c r="J112" s="17" t="n">
        <v>6</v>
      </c>
      <c r="K112" s="17" t="n">
        <v>50</v>
      </c>
      <c r="L112" s="13" t="n">
        <f aca="false">IF(INDEX(選手一覧!$D$7:$D$2738,$K112)="","",INDEX(選手一覧!$D$7:$D$2738,$K112))</f>
        <v>0.0100986111111111</v>
      </c>
      <c r="M112" s="14" t="n">
        <f aca="false">IF(INDEX(選手一覧!$E$7:$E$2738,$K112)="","",INDEX(選手一覧!$E$7:$E$2738,$K112))</f>
        <v>51</v>
      </c>
      <c r="N112" s="16" t="str">
        <f aca="false">IF(INDEX(選手一覧!$H$7:$H$2738,$K112)="","",INDEX(選手一覧!$H$7:$H$2738,$K112))</f>
        <v/>
      </c>
      <c r="O112" s="17" t="str">
        <f aca="false">IF(INDEX(選手一覧!$I$7:$I$2738,$K112)="","",INDEX(選手一覧!$I$7:$I$2738,$K112))</f>
        <v/>
      </c>
      <c r="P112" s="16" t="str">
        <f aca="false">IF(INDEX(選手一覧!$J$7:$J$2738,$K112)="","",INDEX(選手一覧!$J$7:$J$2738,$K112))</f>
        <v/>
      </c>
      <c r="Q112" s="17" t="str">
        <f aca="false">IF(INDEX(選手一覧!$K$7:$K$2738,$K112)="","",INDEX(選手一覧!$K$7:$K$2738,$K112))</f>
        <v/>
      </c>
    </row>
    <row r="113" customFormat="false" ht="15" hidden="false" customHeight="false" outlineLevel="0" collapsed="false">
      <c r="A113" s="29" t="n">
        <v>4</v>
      </c>
      <c r="B113" s="30" t="n">
        <v>8.0875</v>
      </c>
      <c r="C113" s="14" t="n">
        <v>10</v>
      </c>
      <c r="D113" s="17" t="n">
        <f aca="false">COUNTIFS($A$5:$A$229,A113,$E$5:$E$229,"&lt;"&amp;E113)+1</f>
        <v>3</v>
      </c>
      <c r="E113" s="31" t="n">
        <v>0.017025462962963</v>
      </c>
      <c r="F113" s="31" t="n">
        <f aca="false">E113/B113</f>
        <v>0.00210515770793978</v>
      </c>
      <c r="G113" s="12" t="s">
        <v>4460</v>
      </c>
      <c r="H113" s="12" t="s">
        <v>4276</v>
      </c>
      <c r="I113" s="32" t="s">
        <v>4277</v>
      </c>
      <c r="J113" s="17" t="n">
        <v>8</v>
      </c>
      <c r="K113" s="17" t="n">
        <v>142</v>
      </c>
      <c r="L113" s="13" t="n">
        <f aca="false">IF(INDEX(選手一覧!$D$7:$D$2738,$K113)="","",INDEX(選手一覧!$D$7:$D$2738,$K113))</f>
        <v>0.0102770833333333</v>
      </c>
      <c r="M113" s="14" t="n">
        <f aca="false">IF(INDEX(選手一覧!$E$7:$E$2738,$K113)="","",INDEX(選手一覧!$E$7:$E$2738,$K113))</f>
        <v>143</v>
      </c>
      <c r="N113" s="16" t="str">
        <f aca="false">IF(INDEX(選手一覧!$H$7:$H$2738,$K113)="","",INDEX(選手一覧!$H$7:$H$2738,$K113))</f>
        <v/>
      </c>
      <c r="O113" s="17" t="str">
        <f aca="false">IF(INDEX(選手一覧!$I$7:$I$2738,$K113)="","",INDEX(選手一覧!$I$7:$I$2738,$K113))</f>
        <v/>
      </c>
      <c r="P113" s="16" t="n">
        <f aca="false">IF(INDEX(選手一覧!$J$7:$J$2738,$K113)="","",INDEX(選手一覧!$J$7:$J$2738,$K113))</f>
        <v>0.00292951388888889</v>
      </c>
      <c r="Q113" s="17" t="n">
        <f aca="false">IF(INDEX(選手一覧!$K$7:$K$2738,$K113)="","",INDEX(選手一覧!$K$7:$K$2738,$K113))</f>
        <v>1173</v>
      </c>
    </row>
    <row r="114" customFormat="false" ht="15" hidden="false" customHeight="false" outlineLevel="0" collapsed="false">
      <c r="A114" s="29" t="n">
        <v>4</v>
      </c>
      <c r="B114" s="30" t="n">
        <v>8.0875</v>
      </c>
      <c r="C114" s="14" t="n">
        <v>13</v>
      </c>
      <c r="D114" s="17" t="n">
        <f aca="false">COUNTIFS($A$5:$A$229,A114,$E$5:$E$229,"&lt;"&amp;E114)+1</f>
        <v>6</v>
      </c>
      <c r="E114" s="31" t="n">
        <v>0.017037037037037</v>
      </c>
      <c r="F114" s="31" t="n">
        <f aca="false">E114/B114</f>
        <v>0.00210658881447135</v>
      </c>
      <c r="G114" s="12" t="s">
        <v>4461</v>
      </c>
      <c r="H114" s="12" t="s">
        <v>4462</v>
      </c>
      <c r="I114" s="32" t="s">
        <v>4292</v>
      </c>
      <c r="J114" s="17" t="n">
        <v>5</v>
      </c>
      <c r="K114" s="17" t="n">
        <v>73</v>
      </c>
      <c r="L114" s="13" t="n">
        <f aca="false">IF(INDEX(選手一覧!$D$7:$D$2738,$K114)="","",INDEX(選手一覧!$D$7:$D$2738,$K114))</f>
        <v>0.0101585648148148</v>
      </c>
      <c r="M114" s="14" t="n">
        <f aca="false">IF(INDEX(選手一覧!$E$7:$E$2738,$K114)="","",INDEX(選手一覧!$E$7:$E$2738,$K114))</f>
        <v>74</v>
      </c>
      <c r="N114" s="16" t="n">
        <f aca="false">IF(INDEX(選手一覧!$H$7:$H$2738,$K114)="","",INDEX(選手一覧!$H$7:$H$2738,$K114))</f>
        <v>0.00647060185185185</v>
      </c>
      <c r="O114" s="17" t="n">
        <f aca="false">IF(INDEX(選手一覧!$I$7:$I$2738,$K114)="","",INDEX(選手一覧!$I$7:$I$2738,$K114))</f>
        <v>29</v>
      </c>
      <c r="P114" s="16" t="str">
        <f aca="false">IF(INDEX(選手一覧!$J$7:$J$2738,$K114)="","",INDEX(選手一覧!$J$7:$J$2738,$K114))</f>
        <v/>
      </c>
      <c r="Q114" s="17" t="str">
        <f aca="false">IF(INDEX(選手一覧!$K$7:$K$2738,$K114)="","",INDEX(選手一覧!$K$7:$K$2738,$K114))</f>
        <v/>
      </c>
    </row>
    <row r="115" customFormat="false" ht="15" hidden="false" customHeight="false" outlineLevel="0" collapsed="false">
      <c r="A115" s="29" t="n">
        <v>4</v>
      </c>
      <c r="B115" s="30" t="n">
        <v>8.0875</v>
      </c>
      <c r="C115" s="14" t="n">
        <v>16</v>
      </c>
      <c r="D115" s="17" t="n">
        <f aca="false">COUNTIFS($A$5:$A$229,A115,$E$5:$E$229,"&lt;"&amp;E115)+1</f>
        <v>7</v>
      </c>
      <c r="E115" s="31" t="n">
        <v>0.0171990740740741</v>
      </c>
      <c r="F115" s="31" t="n">
        <f aca="false">E115/B115</f>
        <v>0.00212662430591333</v>
      </c>
      <c r="G115" s="12" t="s">
        <v>4463</v>
      </c>
      <c r="H115" s="12" t="s">
        <v>4319</v>
      </c>
      <c r="I115" s="32" t="s">
        <v>4268</v>
      </c>
      <c r="J115" s="17" t="n">
        <v>36</v>
      </c>
      <c r="K115" s="17" t="n">
        <v>248</v>
      </c>
      <c r="L115" s="13" t="n">
        <f aca="false">IF(INDEX(選手一覧!$D$7:$D$2738,$K115)="","",INDEX(選手一覧!$D$7:$D$2738,$K115))</f>
        <v>0.0103880787037037</v>
      </c>
      <c r="M115" s="14" t="n">
        <f aca="false">IF(INDEX(選手一覧!$E$7:$E$2738,$K115)="","",INDEX(選手一覧!$E$7:$E$2738,$K115))</f>
        <v>249</v>
      </c>
      <c r="N115" s="16" t="str">
        <f aca="false">IF(INDEX(選手一覧!$H$7:$H$2738,$K115)="","",INDEX(選手一覧!$H$7:$H$2738,$K115))</f>
        <v/>
      </c>
      <c r="O115" s="17" t="str">
        <f aca="false">IF(INDEX(選手一覧!$I$7:$I$2738,$K115)="","",INDEX(選手一覧!$I$7:$I$2738,$K115))</f>
        <v/>
      </c>
      <c r="P115" s="16" t="n">
        <f aca="false">IF(INDEX(選手一覧!$J$7:$J$2738,$K115)="","",INDEX(選手一覧!$J$7:$J$2738,$K115))</f>
        <v>0.00288842592592593</v>
      </c>
      <c r="Q115" s="17" t="n">
        <f aca="false">IF(INDEX(選手一覧!$K$7:$K$2738,$K115)="","",INDEX(選手一覧!$K$7:$K$2738,$K115))</f>
        <v>852</v>
      </c>
    </row>
    <row r="116" customFormat="false" ht="15" hidden="false" customHeight="false" outlineLevel="0" collapsed="false">
      <c r="A116" s="29" t="n">
        <v>4</v>
      </c>
      <c r="B116" s="30" t="n">
        <v>8.0875</v>
      </c>
      <c r="C116" s="14" t="n">
        <v>17</v>
      </c>
      <c r="D116" s="17" t="n">
        <f aca="false">COUNTIFS($A$5:$A$229,A116,$E$5:$E$229,"&lt;"&amp;E116)+1</f>
        <v>8</v>
      </c>
      <c r="E116" s="31" t="n">
        <v>0.0172106481481482</v>
      </c>
      <c r="F116" s="31" t="n">
        <f aca="false">E116/B116</f>
        <v>0.0021280554124449</v>
      </c>
      <c r="G116" s="12" t="s">
        <v>4464</v>
      </c>
      <c r="H116" s="12" t="s">
        <v>4323</v>
      </c>
      <c r="I116" s="32" t="s">
        <v>4324</v>
      </c>
      <c r="J116" s="17" t="n">
        <v>20</v>
      </c>
      <c r="K116" s="17" t="n">
        <v>165</v>
      </c>
      <c r="L116" s="13" t="n">
        <f aca="false">IF(INDEX(選手一覧!$D$7:$D$2738,$K116)="","",INDEX(選手一覧!$D$7:$D$2738,$K116))</f>
        <v>0.0103112268518519</v>
      </c>
      <c r="M116" s="14" t="n">
        <f aca="false">IF(INDEX(選手一覧!$E$7:$E$2738,$K116)="","",INDEX(選手一覧!$E$7:$E$2738,$K116))</f>
        <v>166</v>
      </c>
      <c r="N116" s="16" t="str">
        <f aca="false">IF(INDEX(選手一覧!$H$7:$H$2738,$K116)="","",INDEX(選手一覧!$H$7:$H$2738,$K116))</f>
        <v/>
      </c>
      <c r="O116" s="17" t="str">
        <f aca="false">IF(INDEX(選手一覧!$I$7:$I$2738,$K116)="","",INDEX(選手一覧!$I$7:$I$2738,$K116))</f>
        <v/>
      </c>
      <c r="P116" s="16" t="n">
        <f aca="false">IF(INDEX(選手一覧!$J$7:$J$2738,$K116)="","",INDEX(選手一覧!$J$7:$J$2738,$K116))</f>
        <v>0.00283043981481482</v>
      </c>
      <c r="Q116" s="17" t="n">
        <f aca="false">IF(INDEX(選手一覧!$K$7:$K$2738,$K116)="","",INDEX(選手一覧!$K$7:$K$2738,$K116))</f>
        <v>429</v>
      </c>
    </row>
    <row r="117" customFormat="false" ht="15" hidden="false" customHeight="false" outlineLevel="0" collapsed="false">
      <c r="A117" s="29" t="n">
        <v>4</v>
      </c>
      <c r="B117" s="30" t="n">
        <v>8.0875</v>
      </c>
      <c r="C117" s="14" t="n">
        <v>19</v>
      </c>
      <c r="D117" s="17" t="n">
        <f aca="false">COUNTIFS($A$5:$A$229,A117,$E$5:$E$229,"&lt;"&amp;E117)+1</f>
        <v>9</v>
      </c>
      <c r="E117" s="31" t="n">
        <v>0.0172222222222222</v>
      </c>
      <c r="F117" s="31" t="n">
        <f aca="false">E117/B117</f>
        <v>0.00212948651897647</v>
      </c>
      <c r="G117" s="12" t="s">
        <v>4465</v>
      </c>
      <c r="H117" s="12" t="s">
        <v>4284</v>
      </c>
      <c r="I117" s="32" t="s">
        <v>4284</v>
      </c>
      <c r="J117" s="17" t="n">
        <v>29</v>
      </c>
      <c r="K117" s="17" t="n">
        <v>244</v>
      </c>
      <c r="L117" s="13" t="n">
        <f aca="false">IF(INDEX(選手一覧!$D$7:$D$2738,$K117)="","",INDEX(選手一覧!$D$7:$D$2738,$K117))</f>
        <v>0.0103844907407407</v>
      </c>
      <c r="M117" s="14" t="n">
        <f aca="false">IF(INDEX(選手一覧!$E$7:$E$2738,$K117)="","",INDEX(選手一覧!$E$7:$E$2738,$K117))</f>
        <v>245</v>
      </c>
      <c r="N117" s="16" t="n">
        <f aca="false">IF(INDEX(選手一覧!$H$7:$H$2738,$K117)="","",INDEX(選手一覧!$H$7:$H$2738,$K117))</f>
        <v>0.0072037037037037</v>
      </c>
      <c r="O117" s="17" t="n">
        <f aca="false">IF(INDEX(選手一覧!$I$7:$I$2738,$K117)="","",INDEX(選手一覧!$I$7:$I$2738,$K117))</f>
        <v>541</v>
      </c>
      <c r="P117" s="16" t="n">
        <f aca="false">IF(INDEX(選手一覧!$J$7:$J$2738,$K117)="","",INDEX(選手一覧!$J$7:$J$2738,$K117))</f>
        <v>0.00296643518518519</v>
      </c>
      <c r="Q117" s="17" t="n">
        <f aca="false">IF(INDEX(選手一覧!$K$7:$K$2738,$K117)="","",INDEX(選手一覧!$K$7:$K$2738,$K117))</f>
        <v>1297</v>
      </c>
    </row>
    <row r="118" customFormat="false" ht="15" hidden="false" customHeight="false" outlineLevel="0" collapsed="false">
      <c r="A118" s="29" t="n">
        <v>4</v>
      </c>
      <c r="B118" s="30" t="n">
        <v>8.0875</v>
      </c>
      <c r="C118" s="14" t="n">
        <v>23</v>
      </c>
      <c r="D118" s="17" t="n">
        <f aca="false">COUNTIFS($A$5:$A$229,A118,$E$5:$E$229,"&lt;"&amp;E118)+1</f>
        <v>10</v>
      </c>
      <c r="E118" s="31" t="n">
        <v>0.0172800925925926</v>
      </c>
      <c r="F118" s="31" t="n">
        <f aca="false">E118/B118</f>
        <v>0.00213664205163432</v>
      </c>
      <c r="G118" s="12" t="s">
        <v>4466</v>
      </c>
      <c r="H118" s="12" t="s">
        <v>4273</v>
      </c>
      <c r="I118" s="32" t="s">
        <v>4274</v>
      </c>
      <c r="J118" s="17" t="n">
        <v>10</v>
      </c>
      <c r="K118" s="17" t="n">
        <v>734</v>
      </c>
      <c r="L118" s="13" t="n">
        <f aca="false">IF(INDEX(選手一覧!$D$7:$D$2738,$K118)="","",INDEX(選手一覧!$D$7:$D$2738,$K118))</f>
        <v>0.0107954861111111</v>
      </c>
      <c r="M118" s="14" t="n">
        <f aca="false">IF(INDEX(選手一覧!$E$7:$E$2738,$K118)="","",INDEX(選手一覧!$E$7:$E$2738,$K118))</f>
        <v>735</v>
      </c>
      <c r="N118" s="16" t="n">
        <f aca="false">IF(INDEX(選手一覧!$H$7:$H$2738,$K118)="","",INDEX(選手一覧!$H$7:$H$2738,$K118))</f>
        <v>0.00638576388888889</v>
      </c>
      <c r="O118" s="17" t="n">
        <f aca="false">IF(INDEX(選手一覧!$I$7:$I$2738,$K118)="","",INDEX(選手一覧!$I$7:$I$2738,$K118))</f>
        <v>13</v>
      </c>
      <c r="P118" s="16" t="n">
        <f aca="false">IF(INDEX(選手一覧!$J$7:$J$2738,$K118)="","",INDEX(選手一覧!$J$7:$J$2738,$K118))</f>
        <v>0.00290115740740741</v>
      </c>
      <c r="Q118" s="17" t="n">
        <f aca="false">IF(INDEX(選手一覧!$K$7:$K$2738,$K118)="","",INDEX(選手一覧!$K$7:$K$2738,$K118))</f>
        <v>956</v>
      </c>
    </row>
    <row r="119" customFormat="false" ht="15" hidden="false" customHeight="false" outlineLevel="0" collapsed="false">
      <c r="A119" s="29" t="n">
        <v>4</v>
      </c>
      <c r="B119" s="30" t="n">
        <v>8.0875</v>
      </c>
      <c r="C119" s="14" t="n">
        <v>23</v>
      </c>
      <c r="D119" s="17" t="n">
        <f aca="false">COUNTIFS($A$5:$A$229,A119,$E$5:$E$229,"&lt;"&amp;E119)+1</f>
        <v>10</v>
      </c>
      <c r="E119" s="31" t="n">
        <v>0.0172800925925926</v>
      </c>
      <c r="F119" s="31" t="n">
        <f aca="false">E119/B119</f>
        <v>0.00213664205163432</v>
      </c>
      <c r="G119" s="12" t="s">
        <v>4467</v>
      </c>
      <c r="H119" s="12" t="s">
        <v>4415</v>
      </c>
      <c r="I119" s="32" t="s">
        <v>4306</v>
      </c>
      <c r="J119" s="17" t="n">
        <v>28</v>
      </c>
      <c r="K119" s="17" t="n">
        <v>493</v>
      </c>
      <c r="L119" s="13" t="n">
        <f aca="false">IF(INDEX(選手一覧!$D$7:$D$2738,$K119)="","",INDEX(選手一覧!$D$7:$D$2738,$K119))</f>
        <v>0.0106181712962963</v>
      </c>
      <c r="M119" s="14" t="n">
        <f aca="false">IF(INDEX(選手一覧!$E$7:$E$2738,$K119)="","",INDEX(選手一覧!$E$7:$E$2738,$K119))</f>
        <v>494</v>
      </c>
      <c r="N119" s="16" t="str">
        <f aca="false">IF(INDEX(選手一覧!$H$7:$H$2738,$K119)="","",INDEX(選手一覧!$H$7:$H$2738,$K119))</f>
        <v/>
      </c>
      <c r="O119" s="17" t="str">
        <f aca="false">IF(INDEX(選手一覧!$I$7:$I$2738,$K119)="","",INDEX(選手一覧!$I$7:$I$2738,$K119))</f>
        <v/>
      </c>
      <c r="P119" s="16" t="n">
        <f aca="false">IF(INDEX(選手一覧!$J$7:$J$2738,$K119)="","",INDEX(選手一覧!$J$7:$J$2738,$K119))</f>
        <v>0.00287581018518519</v>
      </c>
      <c r="Q119" s="17" t="n">
        <f aca="false">IF(INDEX(選手一覧!$K$7:$K$2738,$K119)="","",INDEX(選手一覧!$K$7:$K$2738,$K119))</f>
        <v>738</v>
      </c>
    </row>
    <row r="120" customFormat="false" ht="15" hidden="false" customHeight="false" outlineLevel="0" collapsed="false">
      <c r="A120" s="29" t="n">
        <v>4</v>
      </c>
      <c r="B120" s="30" t="n">
        <v>8.0875</v>
      </c>
      <c r="C120" s="14" t="n">
        <v>26</v>
      </c>
      <c r="D120" s="17" t="n">
        <f aca="false">COUNTIFS($A$5:$A$229,A120,$E$5:$E$229,"&lt;"&amp;E120)+1</f>
        <v>12</v>
      </c>
      <c r="E120" s="31" t="n">
        <v>0.0173263888888889</v>
      </c>
      <c r="F120" s="31" t="n">
        <f aca="false">E120/B120</f>
        <v>0.0021423664777606</v>
      </c>
      <c r="G120" s="12" t="s">
        <v>4468</v>
      </c>
      <c r="H120" s="12" t="s">
        <v>4469</v>
      </c>
      <c r="I120" s="32" t="s">
        <v>4470</v>
      </c>
      <c r="J120" s="17" t="n">
        <v>32</v>
      </c>
      <c r="K120" s="17" t="n">
        <v>92</v>
      </c>
      <c r="L120" s="13" t="n">
        <f aca="false">IF(INDEX(選手一覧!$D$7:$D$2738,$K120)="","",INDEX(選手一覧!$D$7:$D$2738,$K120))</f>
        <v>0.0101918981481482</v>
      </c>
      <c r="M120" s="14" t="n">
        <f aca="false">IF(INDEX(選手一覧!$E$7:$E$2738,$K120)="","",INDEX(選手一覧!$E$7:$E$2738,$K120))</f>
        <v>93</v>
      </c>
      <c r="N120" s="16" t="str">
        <f aca="false">IF(INDEX(選手一覧!$H$7:$H$2738,$K120)="","",INDEX(選手一覧!$H$7:$H$2738,$K120))</f>
        <v/>
      </c>
      <c r="O120" s="17" t="str">
        <f aca="false">IF(INDEX(選手一覧!$I$7:$I$2738,$K120)="","",INDEX(選手一覧!$I$7:$I$2738,$K120))</f>
        <v/>
      </c>
      <c r="P120" s="16" t="n">
        <f aca="false">IF(INDEX(選手一覧!$J$7:$J$2738,$K120)="","",INDEX(選手一覧!$J$7:$J$2738,$K120))</f>
        <v>0.00282222222222222</v>
      </c>
      <c r="Q120" s="17" t="n">
        <f aca="false">IF(INDEX(選手一覧!$K$7:$K$2738,$K120)="","",INDEX(選手一覧!$K$7:$K$2738,$K120))</f>
        <v>375</v>
      </c>
    </row>
    <row r="121" customFormat="false" ht="15" hidden="false" customHeight="false" outlineLevel="0" collapsed="false">
      <c r="A121" s="29" t="n">
        <v>4</v>
      </c>
      <c r="B121" s="30" t="n">
        <v>8.0875</v>
      </c>
      <c r="C121" s="14" t="n">
        <v>28</v>
      </c>
      <c r="D121" s="17" t="n">
        <f aca="false">COUNTIFS($A$5:$A$229,A121,$E$5:$E$229,"&lt;"&amp;E121)+1</f>
        <v>13</v>
      </c>
      <c r="E121" s="31" t="n">
        <v>0.0173726851851852</v>
      </c>
      <c r="F121" s="31" t="n">
        <f aca="false">E121/B121</f>
        <v>0.00214809090388689</v>
      </c>
      <c r="G121" s="12" t="s">
        <v>4471</v>
      </c>
      <c r="H121" s="12" t="s">
        <v>4294</v>
      </c>
      <c r="I121" s="32" t="s">
        <v>4295</v>
      </c>
      <c r="J121" s="17" t="n">
        <v>33</v>
      </c>
      <c r="K121" s="17" t="n">
        <v>423</v>
      </c>
      <c r="L121" s="13" t="n">
        <f aca="false">IF(INDEX(選手一覧!$D$7:$D$2738,$K121)="","",INDEX(選手一覧!$D$7:$D$2738,$K121))</f>
        <v>0.0105699074074074</v>
      </c>
      <c r="M121" s="14" t="n">
        <f aca="false">IF(INDEX(選手一覧!$E$7:$E$2738,$K121)="","",INDEX(選手一覧!$E$7:$E$2738,$K121))</f>
        <v>424</v>
      </c>
      <c r="N121" s="16" t="n">
        <f aca="false">IF(INDEX(選手一覧!$H$7:$H$2738,$K121)="","",INDEX(選手一覧!$H$7:$H$2738,$K121))</f>
        <v>0.00740578703703704</v>
      </c>
      <c r="O121" s="17" t="n">
        <f aca="false">IF(INDEX(選手一覧!$I$7:$I$2738,$K121)="","",INDEX(選手一覧!$I$7:$I$2738,$K121))</f>
        <v>781</v>
      </c>
      <c r="P121" s="16" t="str">
        <f aca="false">IF(INDEX(選手一覧!$J$7:$J$2738,$K121)="","",INDEX(選手一覧!$J$7:$J$2738,$K121))</f>
        <v/>
      </c>
      <c r="Q121" s="17" t="str">
        <f aca="false">IF(INDEX(選手一覧!$K$7:$K$2738,$K121)="","",INDEX(選手一覧!$K$7:$K$2738,$K121))</f>
        <v/>
      </c>
    </row>
    <row r="122" customFormat="false" ht="15" hidden="false" customHeight="false" outlineLevel="0" collapsed="false">
      <c r="A122" s="29" t="n">
        <v>4</v>
      </c>
      <c r="B122" s="30" t="n">
        <v>8.0875</v>
      </c>
      <c r="C122" s="14" t="n">
        <v>30</v>
      </c>
      <c r="D122" s="17" t="n">
        <f aca="false">COUNTIFS($A$5:$A$229,A122,$E$5:$E$229,"&lt;"&amp;E122)+1</f>
        <v>14</v>
      </c>
      <c r="E122" s="31" t="n">
        <v>0.0173958333333333</v>
      </c>
      <c r="F122" s="31" t="n">
        <f aca="false">E122/B122</f>
        <v>0.00215095311695003</v>
      </c>
      <c r="G122" s="12" t="s">
        <v>4472</v>
      </c>
      <c r="H122" s="12" t="s">
        <v>4421</v>
      </c>
      <c r="I122" s="32" t="s">
        <v>4280</v>
      </c>
      <c r="J122" s="17" t="n">
        <v>35</v>
      </c>
      <c r="K122" s="17" t="n">
        <v>221</v>
      </c>
      <c r="L122" s="13" t="n">
        <f aca="false">IF(INDEX(選手一覧!$D$7:$D$2738,$K122)="","",INDEX(選手一覧!$D$7:$D$2738,$K122))</f>
        <v>0.0103675925925926</v>
      </c>
      <c r="M122" s="14" t="n">
        <f aca="false">IF(INDEX(選手一覧!$E$7:$E$2738,$K122)="","",INDEX(選手一覧!$E$7:$E$2738,$K122))</f>
        <v>222</v>
      </c>
      <c r="N122" s="16" t="n">
        <f aca="false">IF(INDEX(選手一覧!$H$7:$H$2738,$K122)="","",INDEX(選手一覧!$H$7:$H$2738,$K122))</f>
        <v>0.0064625</v>
      </c>
      <c r="O122" s="17" t="n">
        <f aca="false">IF(INDEX(選手一覧!$I$7:$I$2738,$K122)="","",INDEX(選手一覧!$I$7:$I$2738,$K122))</f>
        <v>26</v>
      </c>
      <c r="P122" s="16" t="n">
        <f aca="false">IF(INDEX(選手一覧!$J$7:$J$2738,$K122)="","",INDEX(選手一覧!$J$7:$J$2738,$K122))</f>
        <v>0.00275833333333333</v>
      </c>
      <c r="Q122" s="17" t="n">
        <f aca="false">IF(INDEX(選手一覧!$K$7:$K$2738,$K122)="","",INDEX(選手一覧!$K$7:$K$2738,$K122))</f>
        <v>130</v>
      </c>
    </row>
    <row r="123" customFormat="false" ht="15" hidden="false" customHeight="false" outlineLevel="0" collapsed="false">
      <c r="A123" s="29" t="n">
        <v>4</v>
      </c>
      <c r="B123" s="30" t="n">
        <v>8.0875</v>
      </c>
      <c r="C123" s="14" t="n">
        <v>35</v>
      </c>
      <c r="D123" s="17" t="n">
        <f aca="false">COUNTIFS($A$5:$A$229,A123,$E$5:$E$229,"&lt;"&amp;E123)+1</f>
        <v>15</v>
      </c>
      <c r="E123" s="31" t="n">
        <v>0.0174884259259259</v>
      </c>
      <c r="F123" s="31" t="n">
        <f aca="false">E123/B123</f>
        <v>0.00216240196920259</v>
      </c>
      <c r="G123" s="12" t="s">
        <v>4473</v>
      </c>
      <c r="H123" s="12" t="s">
        <v>4368</v>
      </c>
      <c r="I123" s="32" t="s">
        <v>4257</v>
      </c>
      <c r="J123" s="17" t="n">
        <v>21</v>
      </c>
      <c r="K123" s="17" t="n">
        <v>338</v>
      </c>
      <c r="L123" s="13" t="n">
        <f aca="false">IF(INDEX(選手一覧!$D$7:$D$2738,$K123)="","",INDEX(選手一覧!$D$7:$D$2738,$K123))</f>
        <v>0.0104969907407407</v>
      </c>
      <c r="M123" s="14" t="n">
        <f aca="false">IF(INDEX(選手一覧!$E$7:$E$2738,$K123)="","",INDEX(選手一覧!$E$7:$E$2738,$K123))</f>
        <v>339</v>
      </c>
      <c r="N123" s="16" t="str">
        <f aca="false">IF(INDEX(選手一覧!$H$7:$H$2738,$K123)="","",INDEX(選手一覧!$H$7:$H$2738,$K123))</f>
        <v/>
      </c>
      <c r="O123" s="17" t="str">
        <f aca="false">IF(INDEX(選手一覧!$I$7:$I$2738,$K123)="","",INDEX(選手一覧!$I$7:$I$2738,$K123))</f>
        <v/>
      </c>
      <c r="P123" s="16" t="n">
        <f aca="false">IF(INDEX(選手一覧!$J$7:$J$2738,$K123)="","",INDEX(選手一覧!$J$7:$J$2738,$K123))</f>
        <v>0.00287488425925926</v>
      </c>
      <c r="Q123" s="17" t="n">
        <f aca="false">IF(INDEX(選手一覧!$K$7:$K$2738,$K123)="","",INDEX(選手一覧!$K$7:$K$2738,$K123))</f>
        <v>734</v>
      </c>
    </row>
    <row r="124" customFormat="false" ht="15" hidden="false" customHeight="false" outlineLevel="0" collapsed="false">
      <c r="A124" s="29" t="n">
        <v>4</v>
      </c>
      <c r="B124" s="30" t="n">
        <v>8.0875</v>
      </c>
      <c r="C124" s="14" t="n">
        <v>37</v>
      </c>
      <c r="D124" s="17" t="n">
        <f aca="false">COUNTIFS($A$5:$A$229,A124,$E$5:$E$229,"&lt;"&amp;E124)+1</f>
        <v>16</v>
      </c>
      <c r="E124" s="31" t="n">
        <v>0.0175115740740741</v>
      </c>
      <c r="F124" s="31" t="n">
        <f aca="false">E124/B124</f>
        <v>0.00216526418226573</v>
      </c>
      <c r="G124" s="12" t="s">
        <v>4474</v>
      </c>
      <c r="H124" s="12" t="s">
        <v>4412</v>
      </c>
      <c r="I124" s="32" t="s">
        <v>4306</v>
      </c>
      <c r="J124" s="17" t="n">
        <v>25</v>
      </c>
      <c r="K124" s="17" t="n">
        <v>173</v>
      </c>
      <c r="L124" s="13" t="n">
        <f aca="false">IF(INDEX(選手一覧!$D$7:$D$2738,$K124)="","",INDEX(選手一覧!$D$7:$D$2738,$K124))</f>
        <v>0.0103224537037037</v>
      </c>
      <c r="M124" s="14" t="n">
        <f aca="false">IF(INDEX(選手一覧!$E$7:$E$2738,$K124)="","",INDEX(選手一覧!$E$7:$E$2738,$K124))</f>
        <v>174</v>
      </c>
      <c r="N124" s="16" t="str">
        <f aca="false">IF(INDEX(選手一覧!$H$7:$H$2738,$K124)="","",INDEX(選手一覧!$H$7:$H$2738,$K124))</f>
        <v/>
      </c>
      <c r="O124" s="17" t="str">
        <f aca="false">IF(INDEX(選手一覧!$I$7:$I$2738,$K124)="","",INDEX(選手一覧!$I$7:$I$2738,$K124))</f>
        <v/>
      </c>
      <c r="P124" s="16" t="n">
        <f aca="false">IF(INDEX(選手一覧!$J$7:$J$2738,$K124)="","",INDEX(選手一覧!$J$7:$J$2738,$K124))</f>
        <v>0.00290902777777778</v>
      </c>
      <c r="Q124" s="17" t="n">
        <f aca="false">IF(INDEX(選手一覧!$K$7:$K$2738,$K124)="","",INDEX(選手一覧!$K$7:$K$2738,$K124))</f>
        <v>1009</v>
      </c>
    </row>
    <row r="125" customFormat="false" ht="15" hidden="false" customHeight="false" outlineLevel="0" collapsed="false">
      <c r="A125" s="29" t="n">
        <v>4</v>
      </c>
      <c r="B125" s="30" t="n">
        <v>8.0875</v>
      </c>
      <c r="C125" s="14" t="n">
        <v>44</v>
      </c>
      <c r="D125" s="17" t="n">
        <f aca="false">COUNTIFS($A$5:$A$229,A125,$E$5:$E$229,"&lt;"&amp;E125)+1</f>
        <v>17</v>
      </c>
      <c r="E125" s="31" t="n">
        <v>0.017650462962963</v>
      </c>
      <c r="F125" s="31" t="n">
        <f aca="false">E125/B125</f>
        <v>0.00218243746064457</v>
      </c>
      <c r="G125" s="12" t="s">
        <v>4475</v>
      </c>
      <c r="H125" s="12" t="s">
        <v>4380</v>
      </c>
      <c r="I125" s="32" t="s">
        <v>4284</v>
      </c>
      <c r="J125" s="17" t="n">
        <v>43</v>
      </c>
      <c r="K125" s="17" t="n">
        <v>495</v>
      </c>
      <c r="L125" s="13" t="n">
        <f aca="false">IF(INDEX(選手一覧!$D$7:$D$2738,$K125)="","",INDEX(選手一覧!$D$7:$D$2738,$K125))</f>
        <v>0.0106185185185185</v>
      </c>
      <c r="M125" s="14" t="n">
        <f aca="false">IF(INDEX(選手一覧!$E$7:$E$2738,$K125)="","",INDEX(選手一覧!$E$7:$E$2738,$K125))</f>
        <v>496</v>
      </c>
      <c r="N125" s="16" t="str">
        <f aca="false">IF(INDEX(選手一覧!$H$7:$H$2738,$K125)="","",INDEX(選手一覧!$H$7:$H$2738,$K125))</f>
        <v/>
      </c>
      <c r="O125" s="17" t="str">
        <f aca="false">IF(INDEX(選手一覧!$I$7:$I$2738,$K125)="","",INDEX(選手一覧!$I$7:$I$2738,$K125))</f>
        <v/>
      </c>
      <c r="P125" s="16" t="n">
        <f aca="false">IF(INDEX(選手一覧!$J$7:$J$2738,$K125)="","",INDEX(選手一覧!$J$7:$J$2738,$K125))</f>
        <v>0.00283831018518519</v>
      </c>
      <c r="Q125" s="17" t="n">
        <f aca="false">IF(INDEX(選手一覧!$K$7:$K$2738,$K125)="","",INDEX(選手一覧!$K$7:$K$2738,$K125))</f>
        <v>486</v>
      </c>
    </row>
    <row r="126" customFormat="false" ht="15" hidden="false" customHeight="false" outlineLevel="0" collapsed="false">
      <c r="A126" s="29" t="n">
        <v>4</v>
      </c>
      <c r="B126" s="30" t="n">
        <v>8.0875</v>
      </c>
      <c r="C126" s="14" t="n">
        <v>46</v>
      </c>
      <c r="D126" s="17" t="n">
        <f aca="false">COUNTIFS($A$5:$A$229,A126,$E$5:$E$229,"&lt;"&amp;E126)+1</f>
        <v>18</v>
      </c>
      <c r="E126" s="31" t="n">
        <v>0.0177777777777778</v>
      </c>
      <c r="F126" s="31" t="n">
        <f aca="false">E126/B126</f>
        <v>0.00219817963249184</v>
      </c>
      <c r="G126" s="12" t="s">
        <v>4476</v>
      </c>
      <c r="H126" s="12" t="s">
        <v>4377</v>
      </c>
      <c r="I126" s="32" t="s">
        <v>4378</v>
      </c>
      <c r="J126" s="17" t="n">
        <v>53</v>
      </c>
      <c r="K126" s="17" t="n">
        <v>409</v>
      </c>
      <c r="L126" s="13" t="n">
        <f aca="false">IF(INDEX(選手一覧!$D$7:$D$2738,$K126)="","",INDEX(選手一覧!$D$7:$D$2738,$K126))</f>
        <v>0.0105601851851852</v>
      </c>
      <c r="M126" s="14" t="n">
        <f aca="false">IF(INDEX(選手一覧!$E$7:$E$2738,$K126)="","",INDEX(選手一覧!$E$7:$E$2738,$K126))</f>
        <v>410</v>
      </c>
      <c r="N126" s="16" t="str">
        <f aca="false">IF(INDEX(選手一覧!$H$7:$H$2738,$K126)="","",INDEX(選手一覧!$H$7:$H$2738,$K126))</f>
        <v/>
      </c>
      <c r="O126" s="17" t="str">
        <f aca="false">IF(INDEX(選手一覧!$I$7:$I$2738,$K126)="","",INDEX(選手一覧!$I$7:$I$2738,$K126))</f>
        <v/>
      </c>
      <c r="P126" s="16" t="n">
        <f aca="false">IF(INDEX(選手一覧!$J$7:$J$2738,$K126)="","",INDEX(選手一覧!$J$7:$J$2738,$K126))</f>
        <v>0.00274479166666667</v>
      </c>
      <c r="Q126" s="17" t="n">
        <f aca="false">IF(INDEX(選手一覧!$K$7:$K$2738,$K126)="","",INDEX(選手一覧!$K$7:$K$2738,$K126))</f>
        <v>89</v>
      </c>
    </row>
    <row r="127" customFormat="false" ht="15" hidden="false" customHeight="false" outlineLevel="0" collapsed="false">
      <c r="A127" s="29" t="n">
        <v>4</v>
      </c>
      <c r="B127" s="30" t="n">
        <v>8.0875</v>
      </c>
      <c r="C127" s="14" t="n">
        <v>46</v>
      </c>
      <c r="D127" s="17" t="n">
        <f aca="false">COUNTIFS($A$5:$A$229,A127,$E$5:$E$229,"&lt;"&amp;E127)+1</f>
        <v>18</v>
      </c>
      <c r="E127" s="31" t="n">
        <v>0.0177777777777778</v>
      </c>
      <c r="F127" s="31" t="n">
        <f aca="false">E127/B127</f>
        <v>0.00219817963249184</v>
      </c>
      <c r="G127" s="12" t="s">
        <v>4477</v>
      </c>
      <c r="H127" s="12" t="s">
        <v>4437</v>
      </c>
      <c r="I127" s="32" t="s">
        <v>4306</v>
      </c>
      <c r="J127" s="17" t="n">
        <v>54</v>
      </c>
      <c r="K127" s="17" t="n">
        <v>702</v>
      </c>
      <c r="L127" s="13" t="n">
        <f aca="false">IF(INDEX(選手一覧!$D$7:$D$2738,$K127)="","",INDEX(選手一覧!$D$7:$D$2738,$K127))</f>
        <v>0.0107763888888889</v>
      </c>
      <c r="M127" s="14" t="n">
        <f aca="false">IF(INDEX(選手一覧!$E$7:$E$2738,$K127)="","",INDEX(選手一覧!$E$7:$E$2738,$K127))</f>
        <v>703</v>
      </c>
      <c r="N127" s="16" t="str">
        <f aca="false">IF(INDEX(選手一覧!$H$7:$H$2738,$K127)="","",INDEX(選手一覧!$H$7:$H$2738,$K127))</f>
        <v/>
      </c>
      <c r="O127" s="17" t="str">
        <f aca="false">IF(INDEX(選手一覧!$I$7:$I$2738,$K127)="","",INDEX(選手一覧!$I$7:$I$2738,$K127))</f>
        <v/>
      </c>
      <c r="P127" s="16" t="str">
        <f aca="false">IF(INDEX(選手一覧!$J$7:$J$2738,$K127)="","",INDEX(選手一覧!$J$7:$J$2738,$K127))</f>
        <v/>
      </c>
      <c r="Q127" s="17" t="str">
        <f aca="false">IF(INDEX(選手一覧!$K$7:$K$2738,$K127)="","",INDEX(選手一覧!$K$7:$K$2738,$K127))</f>
        <v/>
      </c>
    </row>
    <row r="128" customFormat="false" ht="15" hidden="false" customHeight="false" outlineLevel="0" collapsed="false">
      <c r="A128" s="29" t="n">
        <v>4</v>
      </c>
      <c r="B128" s="30" t="n">
        <v>8.0875</v>
      </c>
      <c r="C128" s="14" t="n">
        <v>51</v>
      </c>
      <c r="D128" s="17" t="n">
        <f aca="false">COUNTIFS($A$5:$A$229,A128,$E$5:$E$229,"&lt;"&amp;E128)+1</f>
        <v>20</v>
      </c>
      <c r="E128" s="31" t="n">
        <v>0.0178125</v>
      </c>
      <c r="F128" s="31" t="n">
        <f aca="false">E128/B128</f>
        <v>0.00220247295208655</v>
      </c>
      <c r="G128" s="12" t="s">
        <v>4478</v>
      </c>
      <c r="H128" s="12" t="s">
        <v>4479</v>
      </c>
      <c r="I128" s="32" t="s">
        <v>4274</v>
      </c>
      <c r="J128" s="17" t="n">
        <v>45</v>
      </c>
      <c r="K128" s="17" t="n">
        <v>334</v>
      </c>
      <c r="L128" s="13" t="n">
        <f aca="false">IF(INDEX(選手一覧!$D$7:$D$2738,$K128)="","",INDEX(選手一覧!$D$7:$D$2738,$K128))</f>
        <v>0.0104908564814815</v>
      </c>
      <c r="M128" s="14" t="n">
        <f aca="false">IF(INDEX(選手一覧!$E$7:$E$2738,$K128)="","",INDEX(選手一覧!$E$7:$E$2738,$K128))</f>
        <v>335</v>
      </c>
      <c r="N128" s="16" t="str">
        <f aca="false">IF(INDEX(選手一覧!$H$7:$H$2738,$K128)="","",INDEX(選手一覧!$H$7:$H$2738,$K128))</f>
        <v/>
      </c>
      <c r="O128" s="17" t="str">
        <f aca="false">IF(INDEX(選手一覧!$I$7:$I$2738,$K128)="","",INDEX(選手一覧!$I$7:$I$2738,$K128))</f>
        <v/>
      </c>
      <c r="P128" s="16" t="n">
        <f aca="false">IF(INDEX(選手一覧!$J$7:$J$2738,$K128)="","",INDEX(選手一覧!$J$7:$J$2738,$K128))</f>
        <v>0.00284085648148148</v>
      </c>
      <c r="Q128" s="17" t="n">
        <f aca="false">IF(INDEX(選手一覧!$K$7:$K$2738,$K128)="","",INDEX(選手一覧!$K$7:$K$2738,$K128))</f>
        <v>505</v>
      </c>
    </row>
    <row r="129" customFormat="false" ht="15" hidden="false" customHeight="false" outlineLevel="0" collapsed="false">
      <c r="A129" s="29" t="n">
        <v>4</v>
      </c>
      <c r="B129" s="30" t="n">
        <v>8.0875</v>
      </c>
      <c r="C129" s="14" t="n">
        <v>52</v>
      </c>
      <c r="D129" s="17" t="n">
        <f aca="false">COUNTIFS($A$5:$A$229,A129,$E$5:$E$229,"&lt;"&amp;E129)+1</f>
        <v>21</v>
      </c>
      <c r="E129" s="31" t="n">
        <v>0.0178703703703704</v>
      </c>
      <c r="F129" s="31" t="n">
        <f aca="false">E129/B129</f>
        <v>0.0022096284847444</v>
      </c>
      <c r="G129" s="12" t="s">
        <v>4480</v>
      </c>
      <c r="H129" s="12" t="s">
        <v>4303</v>
      </c>
      <c r="I129" s="32" t="s">
        <v>4257</v>
      </c>
      <c r="J129" s="17" t="n">
        <v>41</v>
      </c>
      <c r="K129" s="17" t="n">
        <v>316</v>
      </c>
      <c r="L129" s="13" t="n">
        <f aca="false">IF(INDEX(選手一覧!$D$7:$D$2738,$K129)="","",INDEX(選手一覧!$D$7:$D$2738,$K129))</f>
        <v>0.0104688657407407</v>
      </c>
      <c r="M129" s="14" t="n">
        <f aca="false">IF(INDEX(選手一覧!$E$7:$E$2738,$K129)="","",INDEX(選手一覧!$E$7:$E$2738,$K129))</f>
        <v>317</v>
      </c>
      <c r="N129" s="16" t="str">
        <f aca="false">IF(INDEX(選手一覧!$H$7:$H$2738,$K129)="","",INDEX(選手一覧!$H$7:$H$2738,$K129))</f>
        <v/>
      </c>
      <c r="O129" s="17" t="str">
        <f aca="false">IF(INDEX(選手一覧!$I$7:$I$2738,$K129)="","",INDEX(選手一覧!$I$7:$I$2738,$K129))</f>
        <v/>
      </c>
      <c r="P129" s="16" t="n">
        <f aca="false">IF(INDEX(選手一覧!$J$7:$J$2738,$K129)="","",INDEX(選手一覧!$J$7:$J$2738,$K129))</f>
        <v>0.00282638888888889</v>
      </c>
      <c r="Q129" s="17" t="n">
        <f aca="false">IF(INDEX(選手一覧!$K$7:$K$2738,$K129)="","",INDEX(選手一覧!$K$7:$K$2738,$K129))</f>
        <v>401</v>
      </c>
    </row>
    <row r="130" customFormat="false" ht="15" hidden="false" customHeight="false" outlineLevel="0" collapsed="false">
      <c r="A130" s="29" t="n">
        <v>4</v>
      </c>
      <c r="B130" s="30" t="n">
        <v>8.0875</v>
      </c>
      <c r="C130" s="14" t="n">
        <v>54</v>
      </c>
      <c r="D130" s="17" t="n">
        <f aca="false">COUNTIFS($A$5:$A$229,A130,$E$5:$E$229,"&lt;"&amp;E130)+1</f>
        <v>22</v>
      </c>
      <c r="E130" s="31" t="n">
        <v>0.0178935185185185</v>
      </c>
      <c r="F130" s="31" t="n">
        <f aca="false">E130/B130</f>
        <v>0.00221249069780755</v>
      </c>
      <c r="G130" s="12" t="s">
        <v>4481</v>
      </c>
      <c r="H130" s="12" t="s">
        <v>4482</v>
      </c>
      <c r="I130" s="32" t="s">
        <v>4284</v>
      </c>
      <c r="J130" s="17" t="n">
        <v>24</v>
      </c>
      <c r="K130" s="17" t="n">
        <v>367</v>
      </c>
      <c r="L130" s="13" t="n">
        <f aca="false">IF(INDEX(選手一覧!$D$7:$D$2738,$K130)="","",INDEX(選手一覧!$D$7:$D$2738,$K130))</f>
        <v>0.0105259259259259</v>
      </c>
      <c r="M130" s="14" t="n">
        <f aca="false">IF(INDEX(選手一覧!$E$7:$E$2738,$K130)="","",INDEX(選手一覧!$E$7:$E$2738,$K130))</f>
        <v>368</v>
      </c>
      <c r="N130" s="16" t="str">
        <f aca="false">IF(INDEX(選手一覧!$H$7:$H$2738,$K130)="","",INDEX(選手一覧!$H$7:$H$2738,$K130))</f>
        <v/>
      </c>
      <c r="O130" s="17" t="str">
        <f aca="false">IF(INDEX(選手一覧!$I$7:$I$2738,$K130)="","",INDEX(選手一覧!$I$7:$I$2738,$K130))</f>
        <v/>
      </c>
      <c r="P130" s="16" t="n">
        <f aca="false">IF(INDEX(選手一覧!$J$7:$J$2738,$K130)="","",INDEX(選手一覧!$J$7:$J$2738,$K130))</f>
        <v>0.00289212962962963</v>
      </c>
      <c r="Q130" s="17" t="n">
        <f aca="false">IF(INDEX(選手一覧!$K$7:$K$2738,$K130)="","",INDEX(選手一覧!$K$7:$K$2738,$K130))</f>
        <v>891</v>
      </c>
    </row>
    <row r="131" customFormat="false" ht="15" hidden="false" customHeight="false" outlineLevel="0" collapsed="false">
      <c r="A131" s="29" t="n">
        <v>4</v>
      </c>
      <c r="B131" s="30" t="n">
        <v>8.0875</v>
      </c>
      <c r="C131" s="14" t="n">
        <v>56</v>
      </c>
      <c r="D131" s="17" t="n">
        <f aca="false">COUNTIFS($A$5:$A$229,A131,$E$5:$E$229,"&lt;"&amp;E131)+1</f>
        <v>23</v>
      </c>
      <c r="E131" s="31" t="n">
        <v>0.0179398148148148</v>
      </c>
      <c r="F131" s="31" t="n">
        <f aca="false">E131/B131</f>
        <v>0.00221821512393383</v>
      </c>
      <c r="G131" s="12" t="s">
        <v>4483</v>
      </c>
      <c r="H131" s="12" t="s">
        <v>4432</v>
      </c>
      <c r="I131" s="32" t="s">
        <v>4313</v>
      </c>
      <c r="J131" s="17" t="n">
        <v>51</v>
      </c>
      <c r="K131" s="17" t="n">
        <v>394</v>
      </c>
      <c r="L131" s="13" t="n">
        <f aca="false">IF(INDEX(選手一覧!$D$7:$D$2738,$K131)="","",INDEX(選手一覧!$D$7:$D$2738,$K131))</f>
        <v>0.0105478009259259</v>
      </c>
      <c r="M131" s="14" t="n">
        <f aca="false">IF(INDEX(選手一覧!$E$7:$E$2738,$K131)="","",INDEX(選手一覧!$E$7:$E$2738,$K131))</f>
        <v>395</v>
      </c>
      <c r="N131" s="16" t="n">
        <f aca="false">IF(INDEX(選手一覧!$H$7:$H$2738,$K131)="","",INDEX(選手一覧!$H$7:$H$2738,$K131))</f>
        <v>0.00705462962962963</v>
      </c>
      <c r="O131" s="17" t="n">
        <f aca="false">IF(INDEX(選手一覧!$I$7:$I$2738,$K131)="","",INDEX(選手一覧!$I$7:$I$2738,$K131))</f>
        <v>394</v>
      </c>
      <c r="P131" s="16" t="n">
        <f aca="false">IF(INDEX(選手一覧!$J$7:$J$2738,$K131)="","",INDEX(選手一覧!$J$7:$J$2738,$K131))</f>
        <v>0.00281296296296296</v>
      </c>
      <c r="Q131" s="17" t="n">
        <f aca="false">IF(INDEX(選手一覧!$K$7:$K$2738,$K131)="","",INDEX(選手一覧!$K$7:$K$2738,$K131))</f>
        <v>333</v>
      </c>
    </row>
    <row r="132" customFormat="false" ht="15" hidden="false" customHeight="false" outlineLevel="0" collapsed="false">
      <c r="A132" s="29" t="n">
        <v>4</v>
      </c>
      <c r="B132" s="30" t="n">
        <v>8.0875</v>
      </c>
      <c r="C132" s="14" t="n">
        <v>57</v>
      </c>
      <c r="D132" s="17" t="n">
        <f aca="false">COUNTIFS($A$5:$A$229,A132,$E$5:$E$229,"&lt;"&amp;E132)+1</f>
        <v>24</v>
      </c>
      <c r="E132" s="31" t="n">
        <v>0.017962962962963</v>
      </c>
      <c r="F132" s="31" t="n">
        <f aca="false">E132/B132</f>
        <v>0.00222107733699697</v>
      </c>
      <c r="G132" s="12" t="s">
        <v>4484</v>
      </c>
      <c r="H132" s="12" t="s">
        <v>4485</v>
      </c>
      <c r="I132" s="32" t="s">
        <v>4280</v>
      </c>
      <c r="J132" s="17" t="n">
        <v>55</v>
      </c>
      <c r="K132" s="17" t="n">
        <v>506</v>
      </c>
      <c r="L132" s="13" t="n">
        <f aca="false">IF(INDEX(選手一覧!$D$7:$D$2738,$K132)="","",INDEX(選手一覧!$D$7:$D$2738,$K132))</f>
        <v>0.0106331018518519</v>
      </c>
      <c r="M132" s="14" t="n">
        <f aca="false">IF(INDEX(選手一覧!$E$7:$E$2738,$K132)="","",INDEX(選手一覧!$E$7:$E$2738,$K132))</f>
        <v>507</v>
      </c>
      <c r="N132" s="16" t="str">
        <f aca="false">IF(INDEX(選手一覧!$H$7:$H$2738,$K132)="","",INDEX(選手一覧!$H$7:$H$2738,$K132))</f>
        <v/>
      </c>
      <c r="O132" s="17" t="str">
        <f aca="false">IF(INDEX(選手一覧!$I$7:$I$2738,$K132)="","",INDEX(選手一覧!$I$7:$I$2738,$K132))</f>
        <v/>
      </c>
      <c r="P132" s="16" t="n">
        <f aca="false">IF(INDEX(選手一覧!$J$7:$J$2738,$K132)="","",INDEX(選手一覧!$J$7:$J$2738,$K132))</f>
        <v>0.00285717592592593</v>
      </c>
      <c r="Q132" s="17" t="n">
        <f aca="false">IF(INDEX(選手一覧!$K$7:$K$2738,$K132)="","",INDEX(選手一覧!$K$7:$K$2738,$K132))</f>
        <v>616</v>
      </c>
    </row>
    <row r="133" customFormat="false" ht="15" hidden="false" customHeight="false" outlineLevel="0" collapsed="false">
      <c r="A133" s="29" t="n">
        <v>4</v>
      </c>
      <c r="B133" s="30" t="n">
        <v>8.0875</v>
      </c>
      <c r="C133" s="14" t="n">
        <v>57</v>
      </c>
      <c r="D133" s="17" t="n">
        <f aca="false">COUNTIFS($A$5:$A$229,A133,$E$5:$E$229,"&lt;"&amp;E133)+1</f>
        <v>24</v>
      </c>
      <c r="E133" s="31" t="n">
        <v>0.017962962962963</v>
      </c>
      <c r="F133" s="31" t="n">
        <f aca="false">E133/B133</f>
        <v>0.00222107733699697</v>
      </c>
      <c r="G133" s="12" t="s">
        <v>4486</v>
      </c>
      <c r="H133" s="12" t="s">
        <v>4341</v>
      </c>
      <c r="I133" s="32" t="s">
        <v>4298</v>
      </c>
      <c r="J133" s="17" t="n">
        <v>57</v>
      </c>
      <c r="K133" s="17" t="n">
        <v>616</v>
      </c>
      <c r="L133" s="13" t="n">
        <f aca="false">IF(INDEX(選手一覧!$D$7:$D$2738,$K133)="","",INDEX(選手一覧!$D$7:$D$2738,$K133))</f>
        <v>0.0107229166666667</v>
      </c>
      <c r="M133" s="14" t="n">
        <f aca="false">IF(INDEX(選手一覧!$E$7:$E$2738,$K133)="","",INDEX(選手一覧!$E$7:$E$2738,$K133))</f>
        <v>617</v>
      </c>
      <c r="N133" s="16" t="n">
        <f aca="false">IF(INDEX(選手一覧!$H$7:$H$2738,$K133)="","",INDEX(選手一覧!$H$7:$H$2738,$K133))</f>
        <v>0.00666805555555556</v>
      </c>
      <c r="O133" s="17" t="n">
        <f aca="false">IF(INDEX(選手一覧!$I$7:$I$2738,$K133)="","",INDEX(選手一覧!$I$7:$I$2738,$K133))</f>
        <v>91</v>
      </c>
      <c r="P133" s="16" t="n">
        <f aca="false">IF(INDEX(選手一覧!$J$7:$J$2738,$K133)="","",INDEX(選手一覧!$J$7:$J$2738,$K133))</f>
        <v>0.00291608796296296</v>
      </c>
      <c r="Q133" s="17" t="n">
        <f aca="false">IF(INDEX(選手一覧!$K$7:$K$2738,$K133)="","",INDEX(選手一覧!$K$7:$K$2738,$K133))</f>
        <v>1059</v>
      </c>
    </row>
    <row r="134" customFormat="false" ht="15" hidden="false" customHeight="false" outlineLevel="0" collapsed="false">
      <c r="A134" s="29" t="n">
        <v>4</v>
      </c>
      <c r="B134" s="30" t="n">
        <v>8.0875</v>
      </c>
      <c r="C134" s="14" t="n">
        <v>63</v>
      </c>
      <c r="D134" s="17" t="n">
        <f aca="false">COUNTIFS($A$5:$A$229,A134,$E$5:$E$229,"&lt;"&amp;E134)+1</f>
        <v>26</v>
      </c>
      <c r="E134" s="31" t="n">
        <v>0.0180439814814815</v>
      </c>
      <c r="F134" s="31" t="n">
        <f aca="false">E134/B134</f>
        <v>0.00223109508271796</v>
      </c>
      <c r="G134" s="12" t="s">
        <v>4487</v>
      </c>
      <c r="H134" s="12" t="s">
        <v>4317</v>
      </c>
      <c r="I134" s="32" t="s">
        <v>4313</v>
      </c>
      <c r="J134" s="17" t="n">
        <v>62</v>
      </c>
      <c r="K134" s="17" t="n">
        <v>975</v>
      </c>
      <c r="L134" s="13" t="n">
        <f aca="false">IF(INDEX(選手一覧!$D$7:$D$2738,$K134)="","",INDEX(選手一覧!$D$7:$D$2738,$K134))</f>
        <v>0.0109353009259259</v>
      </c>
      <c r="M134" s="14" t="n">
        <f aca="false">IF(INDEX(選手一覧!$E$7:$E$2738,$K134)="","",INDEX(選手一覧!$E$7:$E$2738,$K134))</f>
        <v>976</v>
      </c>
      <c r="N134" s="16" t="n">
        <f aca="false">IF(INDEX(選手一覧!$H$7:$H$2738,$K134)="","",INDEX(選手一覧!$H$7:$H$2738,$K134))</f>
        <v>0.00680972222222222</v>
      </c>
      <c r="O134" s="17" t="n">
        <f aca="false">IF(INDEX(選手一覧!$I$7:$I$2738,$K134)="","",INDEX(選手一覧!$I$7:$I$2738,$K134))</f>
        <v>180</v>
      </c>
      <c r="P134" s="16" t="n">
        <f aca="false">IF(INDEX(選手一覧!$J$7:$J$2738,$K134)="","",INDEX(選手一覧!$J$7:$J$2738,$K134))</f>
        <v>0.00288136574074074</v>
      </c>
      <c r="Q134" s="17" t="n">
        <f aca="false">IF(INDEX(選手一覧!$K$7:$K$2738,$K134)="","",INDEX(選手一覧!$K$7:$K$2738,$K134))</f>
        <v>781</v>
      </c>
    </row>
    <row r="135" customFormat="false" ht="15" hidden="false" customHeight="false" outlineLevel="0" collapsed="false">
      <c r="A135" s="29" t="n">
        <v>4</v>
      </c>
      <c r="B135" s="30" t="n">
        <v>8.0875</v>
      </c>
      <c r="C135" s="14" t="n">
        <v>65</v>
      </c>
      <c r="D135" s="17" t="n">
        <f aca="false">COUNTIFS($A$5:$A$229,A135,$E$5:$E$229,"&lt;"&amp;E135)+1</f>
        <v>27</v>
      </c>
      <c r="E135" s="31" t="n">
        <v>0.0181018518518519</v>
      </c>
      <c r="F135" s="31" t="n">
        <f aca="false">E135/B135</f>
        <v>0.00223825061537581</v>
      </c>
      <c r="G135" s="12" t="s">
        <v>4488</v>
      </c>
      <c r="H135" s="12" t="s">
        <v>4326</v>
      </c>
      <c r="I135" s="32" t="s">
        <v>4327</v>
      </c>
      <c r="J135" s="17" t="n">
        <v>64</v>
      </c>
      <c r="K135" s="17" t="n">
        <v>990</v>
      </c>
      <c r="L135" s="13" t="n">
        <f aca="false">IF(INDEX(選手一覧!$D$7:$D$2738,$K135)="","",INDEX(選手一覧!$D$7:$D$2738,$K135))</f>
        <v>0.0109445601851852</v>
      </c>
      <c r="M135" s="14" t="n">
        <f aca="false">IF(INDEX(選手一覧!$E$7:$E$2738,$K135)="","",INDEX(選手一覧!$E$7:$E$2738,$K135))</f>
        <v>991</v>
      </c>
      <c r="N135" s="16" t="str">
        <f aca="false">IF(INDEX(選手一覧!$H$7:$H$2738,$K135)="","",INDEX(選手一覧!$H$7:$H$2738,$K135))</f>
        <v/>
      </c>
      <c r="O135" s="17" t="str">
        <f aca="false">IF(INDEX(選手一覧!$I$7:$I$2738,$K135)="","",INDEX(選手一覧!$I$7:$I$2738,$K135))</f>
        <v/>
      </c>
      <c r="P135" s="16" t="str">
        <f aca="false">IF(INDEX(選手一覧!$J$7:$J$2738,$K135)="","",INDEX(選手一覧!$J$7:$J$2738,$K135))</f>
        <v/>
      </c>
      <c r="Q135" s="17" t="str">
        <f aca="false">IF(INDEX(選手一覧!$K$7:$K$2738,$K135)="","",INDEX(選手一覧!$K$7:$K$2738,$K135))</f>
        <v/>
      </c>
    </row>
    <row r="136" customFormat="false" ht="15" hidden="false" customHeight="false" outlineLevel="0" collapsed="false">
      <c r="A136" s="29" t="n">
        <v>4</v>
      </c>
      <c r="B136" s="30" t="n">
        <v>8.0875</v>
      </c>
      <c r="C136" s="14" t="n">
        <v>66</v>
      </c>
      <c r="D136" s="17" t="n">
        <f aca="false">COUNTIFS($A$5:$A$229,A136,$E$5:$E$229,"&lt;"&amp;E136)+1</f>
        <v>28</v>
      </c>
      <c r="E136" s="31" t="n">
        <v>0.018125</v>
      </c>
      <c r="F136" s="31" t="n">
        <f aca="false">E136/B136</f>
        <v>0.00224111282843895</v>
      </c>
      <c r="G136" s="12" t="s">
        <v>4489</v>
      </c>
      <c r="H136" s="12" t="s">
        <v>4394</v>
      </c>
      <c r="I136" s="32" t="s">
        <v>4348</v>
      </c>
      <c r="J136" s="17" t="n">
        <v>65</v>
      </c>
      <c r="K136" s="17" t="n">
        <v>1439</v>
      </c>
      <c r="L136" s="13" t="str">
        <f aca="false">IF(INDEX(選手一覧!$D$7:$D$2738,$K136)="","",INDEX(選手一覧!$D$7:$D$2738,$K136))</f>
        <v/>
      </c>
      <c r="M136" s="14" t="str">
        <f aca="false">IF(INDEX(選手一覧!$E$7:$E$2738,$K136)="","",INDEX(選手一覧!$E$7:$E$2738,$K136))</f>
        <v/>
      </c>
      <c r="N136" s="16" t="str">
        <f aca="false">IF(INDEX(選手一覧!$H$7:$H$2738,$K136)="","",INDEX(選手一覧!$H$7:$H$2738,$K136))</f>
        <v/>
      </c>
      <c r="O136" s="17" t="str">
        <f aca="false">IF(INDEX(選手一覧!$I$7:$I$2738,$K136)="","",INDEX(選手一覧!$I$7:$I$2738,$K136))</f>
        <v/>
      </c>
      <c r="P136" s="16" t="n">
        <f aca="false">IF(INDEX(選手一覧!$J$7:$J$2738,$K136)="","",INDEX(選手一覧!$J$7:$J$2738,$K136))</f>
        <v>0.00281273148148148</v>
      </c>
      <c r="Q136" s="17" t="n">
        <f aca="false">IF(INDEX(選手一覧!$K$7:$K$2738,$K136)="","",INDEX(選手一覧!$K$7:$K$2738,$K136))</f>
        <v>331</v>
      </c>
    </row>
    <row r="137" customFormat="false" ht="15" hidden="false" customHeight="false" outlineLevel="0" collapsed="false">
      <c r="A137" s="29" t="n">
        <v>4</v>
      </c>
      <c r="B137" s="30" t="n">
        <v>8.0875</v>
      </c>
      <c r="C137" s="14" t="n">
        <v>70</v>
      </c>
      <c r="D137" s="17" t="n">
        <f aca="false">COUNTIFS($A$5:$A$229,A137,$E$5:$E$229,"&lt;"&amp;E137)+1</f>
        <v>29</v>
      </c>
      <c r="E137" s="31" t="n">
        <v>0.0182291666666667</v>
      </c>
      <c r="F137" s="31" t="n">
        <f aca="false">E137/B137</f>
        <v>0.00225399278722308</v>
      </c>
      <c r="G137" s="12" t="s">
        <v>4490</v>
      </c>
      <c r="H137" s="12" t="s">
        <v>4491</v>
      </c>
      <c r="I137" s="32" t="s">
        <v>4492</v>
      </c>
      <c r="J137" s="17" t="n">
        <v>58</v>
      </c>
      <c r="K137" s="17" t="n">
        <v>339</v>
      </c>
      <c r="L137" s="13" t="n">
        <f aca="false">IF(INDEX(選手一覧!$D$7:$D$2738,$K137)="","",INDEX(選手一覧!$D$7:$D$2738,$K137))</f>
        <v>0.010499537037037</v>
      </c>
      <c r="M137" s="14" t="n">
        <f aca="false">IF(INDEX(選手一覧!$E$7:$E$2738,$K137)="","",INDEX(選手一覧!$E$7:$E$2738,$K137))</f>
        <v>340</v>
      </c>
      <c r="N137" s="16" t="n">
        <f aca="false">IF(INDEX(選手一覧!$H$7:$H$2738,$K137)="","",INDEX(選手一覧!$H$7:$H$2738,$K137))</f>
        <v>0.00748032407407407</v>
      </c>
      <c r="O137" s="17" t="n">
        <f aca="false">IF(INDEX(選手一覧!$I$7:$I$2738,$K137)="","",INDEX(選手一覧!$I$7:$I$2738,$K137))</f>
        <v>869</v>
      </c>
      <c r="P137" s="16" t="n">
        <f aca="false">IF(INDEX(選手一覧!$J$7:$J$2738,$K137)="","",INDEX(選手一覧!$J$7:$J$2738,$K137))</f>
        <v>0.00282233796296296</v>
      </c>
      <c r="Q137" s="17" t="n">
        <f aca="false">IF(INDEX(選手一覧!$K$7:$K$2738,$K137)="","",INDEX(選手一覧!$K$7:$K$2738,$K137))</f>
        <v>378</v>
      </c>
    </row>
    <row r="138" customFormat="false" ht="15" hidden="false" customHeight="false" outlineLevel="0" collapsed="false">
      <c r="A138" s="29" t="n">
        <v>4</v>
      </c>
      <c r="B138" s="30" t="n">
        <v>8.0875</v>
      </c>
      <c r="C138" s="14" t="n">
        <v>71</v>
      </c>
      <c r="D138" s="17" t="n">
        <f aca="false">COUNTIFS($A$5:$A$229,A138,$E$5:$E$229,"&lt;"&amp;E138)+1</f>
        <v>30</v>
      </c>
      <c r="E138" s="31" t="n">
        <v>0.0182407407407407</v>
      </c>
      <c r="F138" s="31" t="n">
        <f aca="false">E138/B138</f>
        <v>0.00225542389375465</v>
      </c>
      <c r="G138" s="12" t="s">
        <v>4493</v>
      </c>
      <c r="H138" s="12" t="s">
        <v>4435</v>
      </c>
      <c r="I138" s="32" t="s">
        <v>4295</v>
      </c>
      <c r="J138" s="17" t="n">
        <v>69</v>
      </c>
      <c r="K138" s="17" t="n">
        <v>1111</v>
      </c>
      <c r="L138" s="13" t="n">
        <f aca="false">IF(INDEX(選手一覧!$D$7:$D$2738,$K138)="","",INDEX(選手一覧!$D$7:$D$2738,$K138))</f>
        <v>0.0110112268518519</v>
      </c>
      <c r="M138" s="14" t="n">
        <f aca="false">IF(INDEX(選手一覧!$E$7:$E$2738,$K138)="","",INDEX(選手一覧!$E$7:$E$2738,$K138))</f>
        <v>1112</v>
      </c>
      <c r="N138" s="16" t="n">
        <f aca="false">IF(INDEX(選手一覧!$H$7:$H$2738,$K138)="","",INDEX(選手一覧!$H$7:$H$2738,$K138))</f>
        <v>0.00706909722222222</v>
      </c>
      <c r="O138" s="17" t="n">
        <f aca="false">IF(INDEX(選手一覧!$I$7:$I$2738,$K138)="","",INDEX(選手一覧!$I$7:$I$2738,$K138))</f>
        <v>413</v>
      </c>
      <c r="P138" s="16" t="n">
        <f aca="false">IF(INDEX(選手一覧!$J$7:$J$2738,$K138)="","",INDEX(選手一覧!$J$7:$J$2738,$K138))</f>
        <v>0.00289837962962963</v>
      </c>
      <c r="Q138" s="17" t="n">
        <f aca="false">IF(INDEX(選手一覧!$K$7:$K$2738,$K138)="","",INDEX(選手一覧!$K$7:$K$2738,$K138))</f>
        <v>935</v>
      </c>
    </row>
    <row r="139" customFormat="false" ht="15" hidden="false" customHeight="false" outlineLevel="0" collapsed="false">
      <c r="A139" s="29" t="n">
        <v>4</v>
      </c>
      <c r="B139" s="30" t="n">
        <v>8.0875</v>
      </c>
      <c r="C139" s="14" t="n">
        <v>74</v>
      </c>
      <c r="D139" s="17" t="n">
        <f aca="false">COUNTIFS($A$5:$A$229,A139,$E$5:$E$229,"&lt;"&amp;E139)+1</f>
        <v>31</v>
      </c>
      <c r="E139" s="31" t="n">
        <v>0.0183333333333333</v>
      </c>
      <c r="F139" s="31" t="n">
        <f aca="false">E139/B139</f>
        <v>0.00226687274600721</v>
      </c>
      <c r="G139" s="12" t="s">
        <v>4494</v>
      </c>
      <c r="H139" s="12" t="s">
        <v>4495</v>
      </c>
      <c r="I139" s="32" t="s">
        <v>4257</v>
      </c>
      <c r="J139" s="17" t="n">
        <v>86</v>
      </c>
      <c r="K139" s="17" t="n">
        <v>845</v>
      </c>
      <c r="L139" s="13" t="n">
        <f aca="false">IF(INDEX(選手一覧!$D$7:$D$2738,$K139)="","",INDEX(選手一覧!$D$7:$D$2738,$K139))</f>
        <v>0.0108591435185185</v>
      </c>
      <c r="M139" s="14" t="n">
        <f aca="false">IF(INDEX(選手一覧!$E$7:$E$2738,$K139)="","",INDEX(選手一覧!$E$7:$E$2738,$K139))</f>
        <v>846</v>
      </c>
      <c r="N139" s="16" t="str">
        <f aca="false">IF(INDEX(選手一覧!$H$7:$H$2738,$K139)="","",INDEX(選手一覧!$H$7:$H$2738,$K139))</f>
        <v/>
      </c>
      <c r="O139" s="17" t="str">
        <f aca="false">IF(INDEX(選手一覧!$I$7:$I$2738,$K139)="","",INDEX(選手一覧!$I$7:$I$2738,$K139))</f>
        <v/>
      </c>
      <c r="P139" s="16" t="str">
        <f aca="false">IF(INDEX(選手一覧!$J$7:$J$2738,$K139)="","",INDEX(選手一覧!$J$7:$J$2738,$K139))</f>
        <v/>
      </c>
      <c r="Q139" s="17" t="str">
        <f aca="false">IF(INDEX(選手一覧!$K$7:$K$2738,$K139)="","",INDEX(選手一覧!$K$7:$K$2738,$K139))</f>
        <v/>
      </c>
    </row>
    <row r="140" customFormat="false" ht="15" hidden="false" customHeight="false" outlineLevel="0" collapsed="false">
      <c r="A140" s="29" t="n">
        <v>4</v>
      </c>
      <c r="B140" s="30" t="n">
        <v>8.0875</v>
      </c>
      <c r="C140" s="14" t="n">
        <v>81</v>
      </c>
      <c r="D140" s="17" t="n">
        <f aca="false">COUNTIFS($A$5:$A$229,A140,$E$5:$E$229,"&lt;"&amp;E140)+1</f>
        <v>32</v>
      </c>
      <c r="E140" s="31" t="n">
        <v>0.0186226851851852</v>
      </c>
      <c r="F140" s="31" t="n">
        <f aca="false">E140/B140</f>
        <v>0.00230265040929647</v>
      </c>
      <c r="G140" s="12" t="s">
        <v>4496</v>
      </c>
      <c r="H140" s="12" t="s">
        <v>4443</v>
      </c>
      <c r="I140" s="32" t="s">
        <v>4271</v>
      </c>
      <c r="J140" s="17" t="n">
        <v>76</v>
      </c>
      <c r="K140" s="17" t="n">
        <v>846</v>
      </c>
      <c r="L140" s="13" t="n">
        <f aca="false">IF(INDEX(選手一覧!$D$7:$D$2738,$K140)="","",INDEX(選手一覧!$D$7:$D$2738,$K140))</f>
        <v>0.0108596064814815</v>
      </c>
      <c r="M140" s="14" t="n">
        <f aca="false">IF(INDEX(選手一覧!$E$7:$E$2738,$K140)="","",INDEX(選手一覧!$E$7:$E$2738,$K140))</f>
        <v>847</v>
      </c>
      <c r="N140" s="16" t="n">
        <f aca="false">IF(INDEX(選手一覧!$H$7:$H$2738,$K140)="","",INDEX(選手一覧!$H$7:$H$2738,$K140))</f>
        <v>0.00684479166666667</v>
      </c>
      <c r="O140" s="17" t="n">
        <f aca="false">IF(INDEX(選手一覧!$I$7:$I$2738,$K140)="","",INDEX(選手一覧!$I$7:$I$2738,$K140))</f>
        <v>200</v>
      </c>
      <c r="P140" s="16" t="n">
        <f aca="false">IF(INDEX(選手一覧!$J$7:$J$2738,$K140)="","",INDEX(選手一覧!$J$7:$J$2738,$K140))</f>
        <v>0.00286238425925926</v>
      </c>
      <c r="Q140" s="17" t="n">
        <f aca="false">IF(INDEX(選手一覧!$K$7:$K$2738,$K140)="","",INDEX(選手一覧!$K$7:$K$2738,$K140))</f>
        <v>650</v>
      </c>
    </row>
    <row r="141" customFormat="false" ht="15" hidden="false" customHeight="false" outlineLevel="0" collapsed="false">
      <c r="A141" s="29" t="n">
        <v>4</v>
      </c>
      <c r="B141" s="30" t="n">
        <v>8.0875</v>
      </c>
      <c r="C141" s="14" t="n">
        <v>86</v>
      </c>
      <c r="D141" s="17" t="n">
        <f aca="false">COUNTIFS($A$5:$A$229,A141,$E$5:$E$229,"&lt;"&amp;E141)+1</f>
        <v>33</v>
      </c>
      <c r="E141" s="31" t="n">
        <v>0.0187384259259259</v>
      </c>
      <c r="F141" s="31" t="n">
        <f aca="false">E141/B141</f>
        <v>0.00231696147461217</v>
      </c>
      <c r="G141" s="12" t="s">
        <v>4497</v>
      </c>
      <c r="H141" s="12" t="s">
        <v>4449</v>
      </c>
      <c r="I141" s="32" t="s">
        <v>4268</v>
      </c>
      <c r="J141" s="17" t="n">
        <v>99</v>
      </c>
      <c r="K141" s="17" t="n">
        <v>1041</v>
      </c>
      <c r="L141" s="13" t="n">
        <f aca="false">IF(INDEX(選手一覧!$D$7:$D$2738,$K141)="","",INDEX(選手一覧!$D$7:$D$2738,$K141))</f>
        <v>0.0109711805555556</v>
      </c>
      <c r="M141" s="14" t="n">
        <f aca="false">IF(INDEX(選手一覧!$E$7:$E$2738,$K141)="","",INDEX(選手一覧!$E$7:$E$2738,$K141))</f>
        <v>1042</v>
      </c>
      <c r="N141" s="16" t="str">
        <f aca="false">IF(INDEX(選手一覧!$H$7:$H$2738,$K141)="","",INDEX(選手一覧!$H$7:$H$2738,$K141))</f>
        <v/>
      </c>
      <c r="O141" s="17" t="str">
        <f aca="false">IF(INDEX(選手一覧!$I$7:$I$2738,$K141)="","",INDEX(選手一覧!$I$7:$I$2738,$K141))</f>
        <v/>
      </c>
      <c r="P141" s="16" t="str">
        <f aca="false">IF(INDEX(選手一覧!$J$7:$J$2738,$K141)="","",INDEX(選手一覧!$J$7:$J$2738,$K141))</f>
        <v/>
      </c>
      <c r="Q141" s="17" t="str">
        <f aca="false">IF(INDEX(選手一覧!$K$7:$K$2738,$K141)="","",INDEX(選手一覧!$K$7:$K$2738,$K141))</f>
        <v/>
      </c>
    </row>
    <row r="142" customFormat="false" ht="15" hidden="false" customHeight="false" outlineLevel="0" collapsed="false">
      <c r="A142" s="29" t="n">
        <v>4</v>
      </c>
      <c r="B142" s="30" t="n">
        <v>8.0875</v>
      </c>
      <c r="C142" s="14" t="n">
        <v>88</v>
      </c>
      <c r="D142" s="17" t="n">
        <f aca="false">COUNTIFS($A$5:$A$229,A142,$E$5:$E$229,"&lt;"&amp;E142)+1</f>
        <v>34</v>
      </c>
      <c r="E142" s="31" t="n">
        <v>0.0187847222222222</v>
      </c>
      <c r="F142" s="31" t="n">
        <f aca="false">E142/B142</f>
        <v>0.00232268590073845</v>
      </c>
      <c r="G142" s="12" t="s">
        <v>4498</v>
      </c>
      <c r="H142" s="12" t="s">
        <v>4337</v>
      </c>
      <c r="I142" s="32" t="s">
        <v>4265</v>
      </c>
      <c r="J142" s="17" t="n">
        <v>105</v>
      </c>
      <c r="K142" s="17" t="n">
        <v>1153</v>
      </c>
      <c r="L142" s="13" t="n">
        <f aca="false">IF(INDEX(選手一覧!$D$7:$D$2738,$K142)="","",INDEX(選手一覧!$D$7:$D$2738,$K142))</f>
        <v>0.0110311342592593</v>
      </c>
      <c r="M142" s="14" t="n">
        <f aca="false">IF(INDEX(選手一覧!$E$7:$E$2738,$K142)="","",INDEX(選手一覧!$E$7:$E$2738,$K142))</f>
        <v>1154</v>
      </c>
      <c r="N142" s="16" t="n">
        <f aca="false">IF(INDEX(選手一覧!$H$7:$H$2738,$K142)="","",INDEX(選手一覧!$H$7:$H$2738,$K142))</f>
        <v>0.00716990740740741</v>
      </c>
      <c r="O142" s="17" t="n">
        <f aca="false">IF(INDEX(選手一覧!$I$7:$I$2738,$K142)="","",INDEX(選手一覧!$I$7:$I$2738,$K142))</f>
        <v>509</v>
      </c>
      <c r="P142" s="16" t="str">
        <f aca="false">IF(INDEX(選手一覧!$J$7:$J$2738,$K142)="","",INDEX(選手一覧!$J$7:$J$2738,$K142))</f>
        <v/>
      </c>
      <c r="Q142" s="17" t="str">
        <f aca="false">IF(INDEX(選手一覧!$K$7:$K$2738,$K142)="","",INDEX(選手一覧!$K$7:$K$2738,$K142))</f>
        <v/>
      </c>
    </row>
    <row r="143" customFormat="false" ht="15" hidden="false" customHeight="false" outlineLevel="0" collapsed="false">
      <c r="A143" s="29" t="n">
        <v>4</v>
      </c>
      <c r="B143" s="30" t="n">
        <v>8.0875</v>
      </c>
      <c r="C143" s="14" t="n">
        <v>89</v>
      </c>
      <c r="D143" s="17" t="n">
        <f aca="false">COUNTIFS($A$5:$A$229,A143,$E$5:$E$229,"&lt;"&amp;E143)+1</f>
        <v>35</v>
      </c>
      <c r="E143" s="31" t="n">
        <v>0.0187962962962963</v>
      </c>
      <c r="F143" s="31" t="n">
        <f aca="false">E143/B143</f>
        <v>0.00232411700727002</v>
      </c>
      <c r="G143" s="12" t="s">
        <v>4499</v>
      </c>
      <c r="H143" s="12" t="s">
        <v>4500</v>
      </c>
      <c r="I143" s="32" t="s">
        <v>4257</v>
      </c>
      <c r="J143" s="17" t="n">
        <v>94</v>
      </c>
      <c r="K143" s="17" t="n">
        <v>1681</v>
      </c>
      <c r="L143" s="13" t="str">
        <f aca="false">IF(INDEX(選手一覧!$D$7:$D$2738,$K143)="","",INDEX(選手一覧!$D$7:$D$2738,$K143))</f>
        <v/>
      </c>
      <c r="M143" s="14" t="str">
        <f aca="false">IF(INDEX(選手一覧!$E$7:$E$2738,$K143)="","",INDEX(選手一覧!$E$7:$E$2738,$K143))</f>
        <v/>
      </c>
      <c r="N143" s="16" t="n">
        <f aca="false">IF(INDEX(選手一覧!$H$7:$H$2738,$K143)="","",INDEX(選手一覧!$H$7:$H$2738,$K143))</f>
        <v>0.00723854166666667</v>
      </c>
      <c r="O143" s="17" t="n">
        <f aca="false">IF(INDEX(選手一覧!$I$7:$I$2738,$K143)="","",INDEX(選手一覧!$I$7:$I$2738,$K143))</f>
        <v>585</v>
      </c>
      <c r="P143" s="16" t="str">
        <f aca="false">IF(INDEX(選手一覧!$J$7:$J$2738,$K143)="","",INDEX(選手一覧!$J$7:$J$2738,$K143))</f>
        <v/>
      </c>
      <c r="Q143" s="17" t="str">
        <f aca="false">IF(INDEX(選手一覧!$K$7:$K$2738,$K143)="","",INDEX(選手一覧!$K$7:$K$2738,$K143))</f>
        <v/>
      </c>
    </row>
    <row r="144" customFormat="false" ht="15" hidden="false" customHeight="false" outlineLevel="0" collapsed="false">
      <c r="A144" s="29" t="n">
        <v>4</v>
      </c>
      <c r="B144" s="30" t="n">
        <v>8.0875</v>
      </c>
      <c r="C144" s="14" t="n">
        <v>90</v>
      </c>
      <c r="D144" s="17" t="n">
        <f aca="false">COUNTIFS($A$5:$A$229,A144,$E$5:$E$229,"&lt;"&amp;E144)+1</f>
        <v>36</v>
      </c>
      <c r="E144" s="31" t="n">
        <v>0.0188310185185185</v>
      </c>
      <c r="F144" s="31" t="n">
        <f aca="false">E144/B144</f>
        <v>0.00232841032686473</v>
      </c>
      <c r="G144" s="12" t="s">
        <v>4501</v>
      </c>
      <c r="H144" s="12" t="s">
        <v>4439</v>
      </c>
      <c r="I144" s="32" t="s">
        <v>4265</v>
      </c>
      <c r="J144" s="17" t="n">
        <v>85</v>
      </c>
      <c r="K144" s="17" t="n">
        <v>1124</v>
      </c>
      <c r="L144" s="13" t="n">
        <f aca="false">IF(INDEX(選手一覧!$D$7:$D$2738,$K144)="","",INDEX(選手一覧!$D$7:$D$2738,$K144))</f>
        <v>0.0110180555555556</v>
      </c>
      <c r="M144" s="14" t="n">
        <f aca="false">IF(INDEX(選手一覧!$E$7:$E$2738,$K144)="","",INDEX(選手一覧!$E$7:$E$2738,$K144))</f>
        <v>1125</v>
      </c>
      <c r="N144" s="16" t="n">
        <f aca="false">IF(INDEX(選手一覧!$H$7:$H$2738,$K144)="","",INDEX(選手一覧!$H$7:$H$2738,$K144))</f>
        <v>0.00719201388888889</v>
      </c>
      <c r="O144" s="17" t="n">
        <f aca="false">IF(INDEX(選手一覧!$I$7:$I$2738,$K144)="","",INDEX(選手一覧!$I$7:$I$2738,$K144))</f>
        <v>531</v>
      </c>
      <c r="P144" s="16" t="str">
        <f aca="false">IF(INDEX(選手一覧!$J$7:$J$2738,$K144)="","",INDEX(選手一覧!$J$7:$J$2738,$K144))</f>
        <v/>
      </c>
      <c r="Q144" s="17" t="str">
        <f aca="false">IF(INDEX(選手一覧!$K$7:$K$2738,$K144)="","",INDEX(選手一覧!$K$7:$K$2738,$K144))</f>
        <v/>
      </c>
    </row>
    <row r="145" customFormat="false" ht="15" hidden="false" customHeight="false" outlineLevel="0" collapsed="false">
      <c r="A145" s="29" t="n">
        <v>4</v>
      </c>
      <c r="B145" s="30" t="n">
        <v>8.0875</v>
      </c>
      <c r="C145" s="14" t="n">
        <v>92</v>
      </c>
      <c r="D145" s="17" t="n">
        <f aca="false">COUNTIFS($A$5:$A$229,A145,$E$5:$E$229,"&lt;"&amp;E145)+1</f>
        <v>37</v>
      </c>
      <c r="E145" s="31" t="n">
        <v>0.0188773148148148</v>
      </c>
      <c r="F145" s="31" t="n">
        <f aca="false">E145/B145</f>
        <v>0.00233413475299101</v>
      </c>
      <c r="G145" s="12" t="s">
        <v>4502</v>
      </c>
      <c r="H145" s="12" t="s">
        <v>4503</v>
      </c>
      <c r="I145" s="32" t="s">
        <v>4284</v>
      </c>
      <c r="J145" s="17" t="n">
        <v>70</v>
      </c>
      <c r="K145" s="17" t="n">
        <v>1177</v>
      </c>
      <c r="L145" s="13" t="n">
        <f aca="false">IF(INDEX(選手一覧!$D$7:$D$2738,$K145)="","",INDEX(選手一覧!$D$7:$D$2738,$K145))</f>
        <v>0.0110403935185185</v>
      </c>
      <c r="M145" s="14" t="n">
        <f aca="false">IF(INDEX(選手一覧!$E$7:$E$2738,$K145)="","",INDEX(選手一覧!$E$7:$E$2738,$K145))</f>
        <v>1178</v>
      </c>
      <c r="N145" s="16" t="str">
        <f aca="false">IF(INDEX(選手一覧!$H$7:$H$2738,$K145)="","",INDEX(選手一覧!$H$7:$H$2738,$K145))</f>
        <v/>
      </c>
      <c r="O145" s="17" t="str">
        <f aca="false">IF(INDEX(選手一覧!$I$7:$I$2738,$K145)="","",INDEX(選手一覧!$I$7:$I$2738,$K145))</f>
        <v/>
      </c>
      <c r="P145" s="16" t="n">
        <f aca="false">IF(INDEX(選手一覧!$J$7:$J$2738,$K145)="","",INDEX(選手一覧!$J$7:$J$2738,$K145))</f>
        <v>0.00285289351851852</v>
      </c>
      <c r="Q145" s="17" t="n">
        <f aca="false">IF(INDEX(選手一覧!$K$7:$K$2738,$K145)="","",INDEX(選手一覧!$K$7:$K$2738,$K145))</f>
        <v>585</v>
      </c>
    </row>
    <row r="146" customFormat="false" ht="15" hidden="false" customHeight="false" outlineLevel="0" collapsed="false">
      <c r="A146" s="29" t="n">
        <v>4</v>
      </c>
      <c r="B146" s="30" t="n">
        <v>8.0875</v>
      </c>
      <c r="C146" s="14" t="n">
        <v>100</v>
      </c>
      <c r="D146" s="17" t="n">
        <f aca="false">COUNTIFS($A$5:$A$229,A146,$E$5:$E$229,"&lt;"&amp;E146)+1</f>
        <v>38</v>
      </c>
      <c r="E146" s="31" t="n">
        <v>0.0191203703703704</v>
      </c>
      <c r="F146" s="31" t="n">
        <f aca="false">E146/B146</f>
        <v>0.00236418799015399</v>
      </c>
      <c r="G146" s="12" t="s">
        <v>4504</v>
      </c>
      <c r="H146" s="12" t="s">
        <v>4398</v>
      </c>
      <c r="I146" s="32" t="s">
        <v>4271</v>
      </c>
      <c r="J146" s="17" t="n">
        <v>87</v>
      </c>
      <c r="K146" s="17" t="n">
        <v>1350</v>
      </c>
      <c r="L146" s="13" t="str">
        <f aca="false">IF(INDEX(選手一覧!$D$7:$D$2738,$K146)="","",INDEX(選手一覧!$D$7:$D$2738,$K146))</f>
        <v/>
      </c>
      <c r="M146" s="14" t="str">
        <f aca="false">IF(INDEX(選手一覧!$E$7:$E$2738,$K146)="","",INDEX(選手一覧!$E$7:$E$2738,$K146))</f>
        <v/>
      </c>
      <c r="N146" s="16" t="n">
        <f aca="false">IF(INDEX(選手一覧!$H$7:$H$2738,$K146)="","",INDEX(選手一覧!$H$7:$H$2738,$K146))</f>
        <v>0.00685393518518518</v>
      </c>
      <c r="O146" s="17" t="n">
        <f aca="false">IF(INDEX(選手一覧!$I$7:$I$2738,$K146)="","",INDEX(選手一覧!$I$7:$I$2738,$K146))</f>
        <v>204</v>
      </c>
      <c r="P146" s="16" t="str">
        <f aca="false">IF(INDEX(選手一覧!$J$7:$J$2738,$K146)="","",INDEX(選手一覧!$J$7:$J$2738,$K146))</f>
        <v/>
      </c>
      <c r="Q146" s="17" t="str">
        <f aca="false">IF(INDEX(選手一覧!$K$7:$K$2738,$K146)="","",INDEX(選手一覧!$K$7:$K$2738,$K146))</f>
        <v/>
      </c>
    </row>
    <row r="147" customFormat="false" ht="15" hidden="false" customHeight="false" outlineLevel="0" collapsed="false">
      <c r="A147" s="29" t="n">
        <v>4</v>
      </c>
      <c r="B147" s="30" t="n">
        <v>8.0875</v>
      </c>
      <c r="C147" s="14" t="n">
        <v>102</v>
      </c>
      <c r="D147" s="17" t="n">
        <f aca="false">COUNTIFS($A$5:$A$229,A147,$E$5:$E$229,"&lt;"&amp;E147)+1</f>
        <v>39</v>
      </c>
      <c r="E147" s="31" t="n">
        <v>0.019224537037037</v>
      </c>
      <c r="F147" s="31" t="n">
        <f aca="false">E147/B147</f>
        <v>0.00237706794893812</v>
      </c>
      <c r="G147" s="12" t="s">
        <v>4505</v>
      </c>
      <c r="H147" s="12" t="s">
        <v>4329</v>
      </c>
      <c r="I147" s="32" t="s">
        <v>4257</v>
      </c>
      <c r="J147" s="17" t="n">
        <v>81</v>
      </c>
      <c r="K147" s="17" t="n">
        <v>1943</v>
      </c>
      <c r="L147" s="13" t="str">
        <f aca="false">IF(INDEX(選手一覧!$D$7:$D$2738,$K147)="","",INDEX(選手一覧!$D$7:$D$2738,$K147))</f>
        <v/>
      </c>
      <c r="M147" s="14" t="str">
        <f aca="false">IF(INDEX(選手一覧!$E$7:$E$2738,$K147)="","",INDEX(選手一覧!$E$7:$E$2738,$K147))</f>
        <v/>
      </c>
      <c r="N147" s="16" t="str">
        <f aca="false">IF(INDEX(選手一覧!$H$7:$H$2738,$K147)="","",INDEX(選手一覧!$H$7:$H$2738,$K147))</f>
        <v/>
      </c>
      <c r="O147" s="17" t="str">
        <f aca="false">IF(INDEX(選手一覧!$I$7:$I$2738,$K147)="","",INDEX(選手一覧!$I$7:$I$2738,$K147))</f>
        <v/>
      </c>
      <c r="P147" s="16" t="n">
        <f aca="false">IF(INDEX(選手一覧!$J$7:$J$2738,$K147)="","",INDEX(選手一覧!$J$7:$J$2738,$K147))</f>
        <v>0.00288391203703704</v>
      </c>
      <c r="Q147" s="17" t="n">
        <f aca="false">IF(INDEX(選手一覧!$K$7:$K$2738,$K147)="","",INDEX(選手一覧!$K$7:$K$2738,$K147))</f>
        <v>807</v>
      </c>
    </row>
    <row r="148" customFormat="false" ht="15" hidden="false" customHeight="false" outlineLevel="0" collapsed="false">
      <c r="A148" s="23" t="n">
        <v>5</v>
      </c>
      <c r="B148" s="24" t="n">
        <v>3.1</v>
      </c>
      <c r="C148" s="14" t="n">
        <v>2</v>
      </c>
      <c r="D148" s="25" t="n">
        <f aca="false">COUNTIFS($A$5:$A$229,A148,$E$5:$E$229,"&lt;"&amp;E148)+1</f>
        <v>1</v>
      </c>
      <c r="E148" s="26" t="n">
        <v>0.00633101851851852</v>
      </c>
      <c r="F148" s="26" t="n">
        <f aca="false">E148/B148</f>
        <v>0.00204226403823178</v>
      </c>
      <c r="G148" s="27" t="s">
        <v>4506</v>
      </c>
      <c r="H148" s="27" t="s">
        <v>4259</v>
      </c>
      <c r="I148" s="28" t="s">
        <v>4260</v>
      </c>
      <c r="J148" s="25" t="n">
        <v>3</v>
      </c>
      <c r="K148" s="25" t="n">
        <v>77</v>
      </c>
      <c r="L148" s="13" t="n">
        <f aca="false">IF(INDEX(選手一覧!$D$7:$D$2738,$K148)="","",INDEX(選手一覧!$D$7:$D$2738,$K148))</f>
        <v>0.0101642361111111</v>
      </c>
      <c r="M148" s="14" t="n">
        <f aca="false">IF(INDEX(選手一覧!$E$7:$E$2738,$K148)="","",INDEX(選手一覧!$E$7:$E$2738,$K148))</f>
        <v>78</v>
      </c>
      <c r="N148" s="16" t="n">
        <f aca="false">IF(INDEX(選手一覧!$H$7:$H$2738,$K148)="","",INDEX(選手一覧!$H$7:$H$2738,$K148))</f>
        <v>0.00702662037037037</v>
      </c>
      <c r="O148" s="17" t="n">
        <f aca="false">IF(INDEX(選手一覧!$I$7:$I$2738,$K148)="","",INDEX(選手一覧!$I$7:$I$2738,$K148))</f>
        <v>360</v>
      </c>
      <c r="P148" s="16" t="n">
        <f aca="false">IF(INDEX(選手一覧!$J$7:$J$2738,$K148)="","",INDEX(選手一覧!$J$7:$J$2738,$K148))</f>
        <v>0.00284363425925926</v>
      </c>
      <c r="Q148" s="17" t="n">
        <f aca="false">IF(INDEX(選手一覧!$K$7:$K$2738,$K148)="","",INDEX(選手一覧!$K$7:$K$2738,$K148))</f>
        <v>522</v>
      </c>
    </row>
    <row r="149" customFormat="false" ht="15" hidden="false" customHeight="false" outlineLevel="0" collapsed="false">
      <c r="A149" s="23" t="n">
        <v>5</v>
      </c>
      <c r="B149" s="24" t="n">
        <v>3.1</v>
      </c>
      <c r="C149" s="14" t="n">
        <v>3</v>
      </c>
      <c r="D149" s="25" t="n">
        <f aca="false">COUNTIFS($A$5:$A$229,A149,$E$5:$E$229,"&lt;"&amp;E149)+1</f>
        <v>2</v>
      </c>
      <c r="E149" s="26" t="n">
        <v>0.00635416666666667</v>
      </c>
      <c r="F149" s="26" t="n">
        <f aca="false">E149/B149</f>
        <v>0.0020497311827957</v>
      </c>
      <c r="G149" s="27" t="s">
        <v>4507</v>
      </c>
      <c r="H149" s="27" t="s">
        <v>4412</v>
      </c>
      <c r="I149" s="28" t="s">
        <v>4306</v>
      </c>
      <c r="J149" s="25" t="n">
        <v>25</v>
      </c>
      <c r="K149" s="25" t="n">
        <v>783</v>
      </c>
      <c r="L149" s="13" t="n">
        <f aca="false">IF(INDEX(選手一覧!$D$7:$D$2738,$K149)="","",INDEX(選手一覧!$D$7:$D$2738,$K149))</f>
        <v>0.0108256944444445</v>
      </c>
      <c r="M149" s="14" t="n">
        <f aca="false">IF(INDEX(選手一覧!$E$7:$E$2738,$K149)="","",INDEX(選手一覧!$E$7:$E$2738,$K149))</f>
        <v>784</v>
      </c>
      <c r="N149" s="16" t="str">
        <f aca="false">IF(INDEX(選手一覧!$H$7:$H$2738,$K149)="","",INDEX(選手一覧!$H$7:$H$2738,$K149))</f>
        <v/>
      </c>
      <c r="O149" s="17" t="str">
        <f aca="false">IF(INDEX(選手一覧!$I$7:$I$2738,$K149)="","",INDEX(選手一覧!$I$7:$I$2738,$K149))</f>
        <v/>
      </c>
      <c r="P149" s="16" t="n">
        <f aca="false">IF(INDEX(選手一覧!$J$7:$J$2738,$K149)="","",INDEX(選手一覧!$J$7:$J$2738,$K149))</f>
        <v>0.00266215277777778</v>
      </c>
      <c r="Q149" s="17" t="n">
        <f aca="false">IF(INDEX(選手一覧!$K$7:$K$2738,$K149)="","",INDEX(選手一覧!$K$7:$K$2738,$K149))</f>
        <v>5</v>
      </c>
    </row>
    <row r="150" customFormat="false" ht="15" hidden="false" customHeight="false" outlineLevel="0" collapsed="false">
      <c r="A150" s="23" t="n">
        <v>5</v>
      </c>
      <c r="B150" s="24" t="n">
        <v>3.1</v>
      </c>
      <c r="C150" s="14" t="n">
        <v>7</v>
      </c>
      <c r="D150" s="25" t="n">
        <f aca="false">COUNTIFS($A$5:$A$229,A150,$E$5:$E$229,"&lt;"&amp;E150)+1</f>
        <v>3</v>
      </c>
      <c r="E150" s="26" t="n">
        <v>0.00643518518518519</v>
      </c>
      <c r="F150" s="26" t="n">
        <f aca="false">E150/B150</f>
        <v>0.00207586618876941</v>
      </c>
      <c r="G150" s="27" t="s">
        <v>4508</v>
      </c>
      <c r="H150" s="27" t="s">
        <v>4370</v>
      </c>
      <c r="I150" s="28" t="s">
        <v>4348</v>
      </c>
      <c r="J150" s="25" t="n">
        <v>13</v>
      </c>
      <c r="K150" s="25" t="n">
        <v>166</v>
      </c>
      <c r="L150" s="13" t="n">
        <f aca="false">IF(INDEX(選手一覧!$D$7:$D$2738,$K150)="","",INDEX(選手一覧!$D$7:$D$2738,$K150))</f>
        <v>0.0103144675925926</v>
      </c>
      <c r="M150" s="14" t="n">
        <f aca="false">IF(INDEX(選手一覧!$E$7:$E$2738,$K150)="","",INDEX(選手一覧!$E$7:$E$2738,$K150))</f>
        <v>167</v>
      </c>
      <c r="N150" s="16" t="n">
        <f aca="false">IF(INDEX(選手一覧!$H$7:$H$2738,$K150)="","",INDEX(選手一覧!$H$7:$H$2738,$K150))</f>
        <v>0.00674305555555556</v>
      </c>
      <c r="O150" s="17" t="n">
        <f aca="false">IF(INDEX(選手一覧!$I$7:$I$2738,$K150)="","",INDEX(選手一覧!$I$7:$I$2738,$K150))</f>
        <v>123</v>
      </c>
      <c r="P150" s="16" t="n">
        <f aca="false">IF(INDEX(選手一覧!$J$7:$J$2738,$K150)="","",INDEX(選手一覧!$J$7:$J$2738,$K150))</f>
        <v>0.00277951388888889</v>
      </c>
      <c r="Q150" s="17" t="n">
        <f aca="false">IF(INDEX(選手一覧!$K$7:$K$2738,$K150)="","",INDEX(選手一覧!$K$7:$K$2738,$K150))</f>
        <v>199</v>
      </c>
    </row>
    <row r="151" customFormat="false" ht="15" hidden="false" customHeight="false" outlineLevel="0" collapsed="false">
      <c r="A151" s="23" t="n">
        <v>5</v>
      </c>
      <c r="B151" s="24" t="n">
        <v>3.1</v>
      </c>
      <c r="C151" s="14" t="n">
        <v>12</v>
      </c>
      <c r="D151" s="25" t="n">
        <f aca="false">COUNTIFS($A$5:$A$229,A151,$E$5:$E$229,"&lt;"&amp;E151)+1</f>
        <v>4</v>
      </c>
      <c r="E151" s="26" t="n">
        <v>0.00649305555555556</v>
      </c>
      <c r="F151" s="26" t="n">
        <f aca="false">E151/B151</f>
        <v>0.00209453405017921</v>
      </c>
      <c r="G151" s="27" t="s">
        <v>4509</v>
      </c>
      <c r="H151" s="27" t="s">
        <v>4409</v>
      </c>
      <c r="I151" s="28" t="s">
        <v>4289</v>
      </c>
      <c r="J151" s="25" t="n">
        <v>15</v>
      </c>
      <c r="K151" s="25" t="n">
        <v>1002</v>
      </c>
      <c r="L151" s="13" t="n">
        <f aca="false">IF(INDEX(選手一覧!$D$7:$D$2738,$K151)="","",INDEX(選手一覧!$D$7:$D$2738,$K151))</f>
        <v>0.0109517361111111</v>
      </c>
      <c r="M151" s="14" t="n">
        <f aca="false">IF(INDEX(選手一覧!$E$7:$E$2738,$K151)="","",INDEX(選手一覧!$E$7:$E$2738,$K151))</f>
        <v>1003</v>
      </c>
      <c r="N151" s="16" t="n">
        <f aca="false">IF(INDEX(選手一覧!$H$7:$H$2738,$K151)="","",INDEX(選手一覧!$H$7:$H$2738,$K151))</f>
        <v>0.00680671296296296</v>
      </c>
      <c r="O151" s="17" t="n">
        <f aca="false">IF(INDEX(選手一覧!$I$7:$I$2738,$K151)="","",INDEX(選手一覧!$I$7:$I$2738,$K151))</f>
        <v>177</v>
      </c>
      <c r="P151" s="16" t="str">
        <f aca="false">IF(INDEX(選手一覧!$J$7:$J$2738,$K151)="","",INDEX(選手一覧!$J$7:$J$2738,$K151))</f>
        <v/>
      </c>
      <c r="Q151" s="17" t="str">
        <f aca="false">IF(INDEX(選手一覧!$K$7:$K$2738,$K151)="","",INDEX(選手一覧!$K$7:$K$2738,$K151))</f>
        <v/>
      </c>
    </row>
    <row r="152" customFormat="false" ht="15" hidden="false" customHeight="false" outlineLevel="0" collapsed="false">
      <c r="A152" s="23" t="n">
        <v>5</v>
      </c>
      <c r="B152" s="24" t="n">
        <v>3.1</v>
      </c>
      <c r="C152" s="14" t="n">
        <v>12</v>
      </c>
      <c r="D152" s="25" t="n">
        <f aca="false">COUNTIFS($A$5:$A$229,A152,$E$5:$E$229,"&lt;"&amp;E152)+1</f>
        <v>4</v>
      </c>
      <c r="E152" s="26" t="n">
        <v>0.00649305555555556</v>
      </c>
      <c r="F152" s="26" t="n">
        <f aca="false">E152/B152</f>
        <v>0.00209453405017921</v>
      </c>
      <c r="G152" s="27" t="s">
        <v>4510</v>
      </c>
      <c r="H152" s="27" t="s">
        <v>4270</v>
      </c>
      <c r="I152" s="28" t="s">
        <v>4271</v>
      </c>
      <c r="J152" s="25" t="n">
        <v>37</v>
      </c>
      <c r="K152" s="25" t="n">
        <v>278</v>
      </c>
      <c r="L152" s="13" t="n">
        <f aca="false">IF(INDEX(選手一覧!$D$7:$D$2738,$K152)="","",INDEX(選手一覧!$D$7:$D$2738,$K152))</f>
        <v>0.0104118055555556</v>
      </c>
      <c r="M152" s="14" t="n">
        <f aca="false">IF(INDEX(選手一覧!$E$7:$E$2738,$K152)="","",INDEX(選手一覧!$E$7:$E$2738,$K152))</f>
        <v>279</v>
      </c>
      <c r="N152" s="16" t="n">
        <f aca="false">IF(INDEX(選手一覧!$H$7:$H$2738,$K152)="","",INDEX(選手一覧!$H$7:$H$2738,$K152))</f>
        <v>0.00650740740740741</v>
      </c>
      <c r="O152" s="17" t="n">
        <f aca="false">IF(INDEX(選手一覧!$I$7:$I$2738,$K152)="","",INDEX(選手一覧!$I$7:$I$2738,$K152))</f>
        <v>38</v>
      </c>
      <c r="P152" s="16" t="n">
        <f aca="false">IF(INDEX(選手一覧!$J$7:$J$2738,$K152)="","",INDEX(選手一覧!$J$7:$J$2738,$K152))</f>
        <v>0.00278425925925926</v>
      </c>
      <c r="Q152" s="17" t="n">
        <f aca="false">IF(INDEX(選手一覧!$K$7:$K$2738,$K152)="","",INDEX(選手一覧!$K$7:$K$2738,$K152))</f>
        <v>217</v>
      </c>
    </row>
    <row r="153" customFormat="false" ht="15" hidden="false" customHeight="false" outlineLevel="0" collapsed="false">
      <c r="A153" s="23" t="n">
        <v>5</v>
      </c>
      <c r="B153" s="24" t="n">
        <v>3.1</v>
      </c>
      <c r="C153" s="14" t="n">
        <v>16</v>
      </c>
      <c r="D153" s="25" t="n">
        <f aca="false">COUNTIFS($A$5:$A$229,A153,$E$5:$E$229,"&lt;"&amp;E153)+1</f>
        <v>6</v>
      </c>
      <c r="E153" s="26" t="n">
        <v>0.00652777777777778</v>
      </c>
      <c r="F153" s="26" t="n">
        <f aca="false">E153/B153</f>
        <v>0.00210573476702509</v>
      </c>
      <c r="G153" s="27" t="s">
        <v>4511</v>
      </c>
      <c r="H153" s="27" t="s">
        <v>4282</v>
      </c>
      <c r="I153" s="28" t="s">
        <v>4257</v>
      </c>
      <c r="J153" s="25" t="n">
        <v>23</v>
      </c>
      <c r="K153" s="25" t="n">
        <v>267</v>
      </c>
      <c r="L153" s="13" t="n">
        <f aca="false">IF(INDEX(選手一覧!$D$7:$D$2738,$K153)="","",INDEX(選手一覧!$D$7:$D$2738,$K153))</f>
        <v>0.0104017361111111</v>
      </c>
      <c r="M153" s="14" t="n">
        <f aca="false">IF(INDEX(選手一覧!$E$7:$E$2738,$K153)="","",INDEX(選手一覧!$E$7:$E$2738,$K153))</f>
        <v>268</v>
      </c>
      <c r="N153" s="16" t="n">
        <f aca="false">IF(INDEX(選手一覧!$H$7:$H$2738,$K153)="","",INDEX(選手一覧!$H$7:$H$2738,$K153))</f>
        <v>0.00663773148148148</v>
      </c>
      <c r="O153" s="17" t="n">
        <f aca="false">IF(INDEX(選手一覧!$I$7:$I$2738,$K153)="","",INDEX(選手一覧!$I$7:$I$2738,$K153))</f>
        <v>77</v>
      </c>
      <c r="P153" s="16" t="str">
        <f aca="false">IF(INDEX(選手一覧!$J$7:$J$2738,$K153)="","",INDEX(選手一覧!$J$7:$J$2738,$K153))</f>
        <v/>
      </c>
      <c r="Q153" s="17" t="str">
        <f aca="false">IF(INDEX(選手一覧!$K$7:$K$2738,$K153)="","",INDEX(選手一覧!$K$7:$K$2738,$K153))</f>
        <v/>
      </c>
    </row>
    <row r="154" customFormat="false" ht="15" hidden="false" customHeight="false" outlineLevel="0" collapsed="false">
      <c r="A154" s="23" t="n">
        <v>5</v>
      </c>
      <c r="B154" s="24" t="n">
        <v>3.1</v>
      </c>
      <c r="C154" s="14" t="n">
        <v>23</v>
      </c>
      <c r="D154" s="25" t="n">
        <f aca="false">COUNTIFS($A$5:$A$229,A154,$E$5:$E$229,"&lt;"&amp;E154)+1</f>
        <v>7</v>
      </c>
      <c r="E154" s="26" t="n">
        <v>0.00659722222222222</v>
      </c>
      <c r="F154" s="26" t="n">
        <f aca="false">E154/B154</f>
        <v>0.00212813620071685</v>
      </c>
      <c r="G154" s="27" t="s">
        <v>4512</v>
      </c>
      <c r="H154" s="27" t="s">
        <v>4366</v>
      </c>
      <c r="I154" s="28" t="s">
        <v>4348</v>
      </c>
      <c r="J154" s="25" t="n">
        <v>9</v>
      </c>
      <c r="K154" s="25" t="n">
        <v>247</v>
      </c>
      <c r="L154" s="13" t="n">
        <f aca="false">IF(INDEX(選手一覧!$D$7:$D$2738,$K154)="","",INDEX(選手一覧!$D$7:$D$2738,$K154))</f>
        <v>0.010387962962963</v>
      </c>
      <c r="M154" s="14" t="n">
        <f aca="false">IF(INDEX(選手一覧!$E$7:$E$2738,$K154)="","",INDEX(選手一覧!$E$7:$E$2738,$K154))</f>
        <v>248</v>
      </c>
      <c r="N154" s="16" t="n">
        <f aca="false">IF(INDEX(選手一覧!$H$7:$H$2738,$K154)="","",INDEX(選手一覧!$H$7:$H$2738,$K154))</f>
        <v>0.00696041666666667</v>
      </c>
      <c r="O154" s="17" t="n">
        <f aca="false">IF(INDEX(選手一覧!$I$7:$I$2738,$K154)="","",INDEX(選手一覧!$I$7:$I$2738,$K154))</f>
        <v>294</v>
      </c>
      <c r="P154" s="16" t="n">
        <f aca="false">IF(INDEX(選手一覧!$J$7:$J$2738,$K154)="","",INDEX(選手一覧!$J$7:$J$2738,$K154))</f>
        <v>0.00292326388888889</v>
      </c>
      <c r="Q154" s="17" t="n">
        <f aca="false">IF(INDEX(選手一覧!$K$7:$K$2738,$K154)="","",INDEX(選手一覧!$K$7:$K$2738,$K154))</f>
        <v>1129</v>
      </c>
    </row>
    <row r="155" customFormat="false" ht="15" hidden="false" customHeight="false" outlineLevel="0" collapsed="false">
      <c r="A155" s="23" t="n">
        <v>5</v>
      </c>
      <c r="B155" s="24" t="n">
        <v>3.1</v>
      </c>
      <c r="C155" s="14" t="n">
        <v>23</v>
      </c>
      <c r="D155" s="25" t="n">
        <f aca="false">COUNTIFS($A$5:$A$229,A155,$E$5:$E$229,"&lt;"&amp;E155)+1</f>
        <v>7</v>
      </c>
      <c r="E155" s="26" t="n">
        <v>0.00659722222222222</v>
      </c>
      <c r="F155" s="26" t="n">
        <f aca="false">E155/B155</f>
        <v>0.00212813620071685</v>
      </c>
      <c r="G155" s="27" t="s">
        <v>4513</v>
      </c>
      <c r="H155" s="27" t="s">
        <v>4310</v>
      </c>
      <c r="I155" s="28" t="s">
        <v>4284</v>
      </c>
      <c r="J155" s="25" t="n">
        <v>17</v>
      </c>
      <c r="K155" s="25" t="n">
        <v>597</v>
      </c>
      <c r="L155" s="13" t="n">
        <f aca="false">IF(INDEX(選手一覧!$D$7:$D$2738,$K155)="","",INDEX(選手一覧!$D$7:$D$2738,$K155))</f>
        <v>0.010708912037037</v>
      </c>
      <c r="M155" s="14" t="n">
        <f aca="false">IF(INDEX(選手一覧!$E$7:$E$2738,$K155)="","",INDEX(選手一覧!$E$7:$E$2738,$K155))</f>
        <v>598</v>
      </c>
      <c r="N155" s="16" t="str">
        <f aca="false">IF(INDEX(選手一覧!$H$7:$H$2738,$K155)="","",INDEX(選手一覧!$H$7:$H$2738,$K155))</f>
        <v/>
      </c>
      <c r="O155" s="17" t="str">
        <f aca="false">IF(INDEX(選手一覧!$I$7:$I$2738,$K155)="","",INDEX(選手一覧!$I$7:$I$2738,$K155))</f>
        <v/>
      </c>
      <c r="P155" s="16" t="n">
        <f aca="false">IF(INDEX(選手一覧!$J$7:$J$2738,$K155)="","",INDEX(選手一覧!$J$7:$J$2738,$K155))</f>
        <v>0.00287673611111111</v>
      </c>
      <c r="Q155" s="17" t="n">
        <f aca="false">IF(INDEX(選手一覧!$K$7:$K$2738,$K155)="","",INDEX(選手一覧!$K$7:$K$2738,$K155))</f>
        <v>745</v>
      </c>
    </row>
    <row r="156" customFormat="false" ht="15" hidden="false" customHeight="false" outlineLevel="0" collapsed="false">
      <c r="A156" s="23" t="n">
        <v>5</v>
      </c>
      <c r="B156" s="24" t="n">
        <v>3.1</v>
      </c>
      <c r="C156" s="14" t="n">
        <v>25</v>
      </c>
      <c r="D156" s="25" t="n">
        <f aca="false">COUNTIFS($A$5:$A$229,A156,$E$5:$E$229,"&lt;"&amp;E156)+1</f>
        <v>9</v>
      </c>
      <c r="E156" s="26" t="n">
        <v>0.0066087962962963</v>
      </c>
      <c r="F156" s="26" t="n">
        <f aca="false">E156/B156</f>
        <v>0.00213186977299881</v>
      </c>
      <c r="G156" s="27" t="s">
        <v>4514</v>
      </c>
      <c r="H156" s="27" t="s">
        <v>4363</v>
      </c>
      <c r="I156" s="28" t="s">
        <v>4348</v>
      </c>
      <c r="J156" s="25" t="n">
        <v>48</v>
      </c>
      <c r="K156" s="25" t="n">
        <v>1856</v>
      </c>
      <c r="L156" s="13" t="str">
        <f aca="false">IF(INDEX(選手一覧!$D$7:$D$2738,$K156)="","",INDEX(選手一覧!$D$7:$D$2738,$K156))</f>
        <v/>
      </c>
      <c r="M156" s="14" t="str">
        <f aca="false">IF(INDEX(選手一覧!$E$7:$E$2738,$K156)="","",INDEX(選手一覧!$E$7:$E$2738,$K156))</f>
        <v/>
      </c>
      <c r="N156" s="16" t="str">
        <f aca="false">IF(INDEX(選手一覧!$H$7:$H$2738,$K156)="","",INDEX(選手一覧!$H$7:$H$2738,$K156))</f>
        <v/>
      </c>
      <c r="O156" s="17" t="str">
        <f aca="false">IF(INDEX(選手一覧!$I$7:$I$2738,$K156)="","",INDEX(選手一覧!$I$7:$I$2738,$K156))</f>
        <v/>
      </c>
      <c r="P156" s="16" t="n">
        <f aca="false">IF(INDEX(選手一覧!$J$7:$J$2738,$K156)="","",INDEX(選手一覧!$J$7:$J$2738,$K156))</f>
        <v>0.00287592592592593</v>
      </c>
      <c r="Q156" s="17" t="n">
        <f aca="false">IF(INDEX(選手一覧!$K$7:$K$2738,$K156)="","",INDEX(選手一覧!$K$7:$K$2738,$K156))</f>
        <v>740</v>
      </c>
    </row>
    <row r="157" customFormat="false" ht="15" hidden="false" customHeight="false" outlineLevel="0" collapsed="false">
      <c r="A157" s="23" t="n">
        <v>5</v>
      </c>
      <c r="B157" s="24" t="n">
        <v>3.1</v>
      </c>
      <c r="C157" s="14" t="n">
        <v>25</v>
      </c>
      <c r="D157" s="25" t="n">
        <f aca="false">COUNTIFS($A$5:$A$229,A157,$E$5:$E$229,"&lt;"&amp;E157)+1</f>
        <v>9</v>
      </c>
      <c r="E157" s="26" t="n">
        <v>0.0066087962962963</v>
      </c>
      <c r="F157" s="26" t="n">
        <f aca="false">E157/B157</f>
        <v>0.00213186977299881</v>
      </c>
      <c r="G157" s="27" t="s">
        <v>4515</v>
      </c>
      <c r="H157" s="27" t="s">
        <v>4394</v>
      </c>
      <c r="I157" s="28" t="s">
        <v>4348</v>
      </c>
      <c r="J157" s="25" t="n">
        <v>65</v>
      </c>
      <c r="K157" s="25" t="n">
        <v>589</v>
      </c>
      <c r="L157" s="13" t="n">
        <f aca="false">IF(INDEX(選手一覧!$D$7:$D$2738,$K157)="","",INDEX(選手一覧!$D$7:$D$2738,$K157))</f>
        <v>0.01070625</v>
      </c>
      <c r="M157" s="14" t="n">
        <f aca="false">IF(INDEX(選手一覧!$E$7:$E$2738,$K157)="","",INDEX(選手一覧!$E$7:$E$2738,$K157))</f>
        <v>590</v>
      </c>
      <c r="N157" s="16" t="str">
        <f aca="false">IF(INDEX(選手一覧!$H$7:$H$2738,$K157)="","",INDEX(選手一覧!$H$7:$H$2738,$K157))</f>
        <v/>
      </c>
      <c r="O157" s="17" t="str">
        <f aca="false">IF(INDEX(選手一覧!$I$7:$I$2738,$K157)="","",INDEX(選手一覧!$I$7:$I$2738,$K157))</f>
        <v/>
      </c>
      <c r="P157" s="16" t="n">
        <f aca="false">IF(INDEX(選手一覧!$J$7:$J$2738,$K157)="","",INDEX(選手一覧!$J$7:$J$2738,$K157))</f>
        <v>0.00276585648148148</v>
      </c>
      <c r="Q157" s="17" t="n">
        <f aca="false">IF(INDEX(選手一覧!$K$7:$K$2738,$K157)="","",INDEX(選手一覧!$K$7:$K$2738,$K157))</f>
        <v>151</v>
      </c>
    </row>
    <row r="158" customFormat="false" ht="15" hidden="false" customHeight="false" outlineLevel="0" collapsed="false">
      <c r="A158" s="23" t="n">
        <v>5</v>
      </c>
      <c r="B158" s="24" t="n">
        <v>3.1</v>
      </c>
      <c r="C158" s="14" t="n">
        <v>28</v>
      </c>
      <c r="D158" s="25" t="n">
        <f aca="false">COUNTIFS($A$5:$A$229,A158,$E$5:$E$229,"&lt;"&amp;E158)+1</f>
        <v>11</v>
      </c>
      <c r="E158" s="26" t="n">
        <v>0.00662037037037037</v>
      </c>
      <c r="F158" s="26" t="n">
        <f aca="false">E158/B158</f>
        <v>0.00213560334528076</v>
      </c>
      <c r="G158" s="27" t="s">
        <v>4516</v>
      </c>
      <c r="H158" s="27" t="s">
        <v>4421</v>
      </c>
      <c r="I158" s="28" t="s">
        <v>4280</v>
      </c>
      <c r="J158" s="25" t="n">
        <v>35</v>
      </c>
      <c r="K158" s="25" t="n">
        <v>467</v>
      </c>
      <c r="L158" s="13" t="n">
        <f aca="false">IF(INDEX(選手一覧!$D$7:$D$2738,$K158)="","",INDEX(選手一覧!$D$7:$D$2738,$K158))</f>
        <v>0.0106052083333333</v>
      </c>
      <c r="M158" s="14" t="n">
        <f aca="false">IF(INDEX(選手一覧!$E$7:$E$2738,$K158)="","",INDEX(選手一覧!$E$7:$E$2738,$K158))</f>
        <v>468</v>
      </c>
      <c r="N158" s="16" t="n">
        <f aca="false">IF(INDEX(選手一覧!$H$7:$H$2738,$K158)="","",INDEX(選手一覧!$H$7:$H$2738,$K158))</f>
        <v>0.00659479166666667</v>
      </c>
      <c r="O158" s="17" t="n">
        <f aca="false">IF(INDEX(選手一覧!$I$7:$I$2738,$K158)="","",INDEX(選手一覧!$I$7:$I$2738,$K158))</f>
        <v>67</v>
      </c>
      <c r="P158" s="16" t="n">
        <f aca="false">IF(INDEX(選手一覧!$J$7:$J$2738,$K158)="","",INDEX(選手一覧!$J$7:$J$2738,$K158))</f>
        <v>0.0027806712962963</v>
      </c>
      <c r="Q158" s="17" t="n">
        <f aca="false">IF(INDEX(選手一覧!$K$7:$K$2738,$K158)="","",INDEX(選手一覧!$K$7:$K$2738,$K158))</f>
        <v>205</v>
      </c>
    </row>
    <row r="159" customFormat="false" ht="15" hidden="false" customHeight="false" outlineLevel="0" collapsed="false">
      <c r="A159" s="23" t="n">
        <v>5</v>
      </c>
      <c r="B159" s="24" t="n">
        <v>3.1</v>
      </c>
      <c r="C159" s="14" t="n">
        <v>30</v>
      </c>
      <c r="D159" s="25" t="n">
        <f aca="false">COUNTIFS($A$5:$A$229,A159,$E$5:$E$229,"&lt;"&amp;E159)+1</f>
        <v>12</v>
      </c>
      <c r="E159" s="26" t="n">
        <v>0.00663194444444445</v>
      </c>
      <c r="F159" s="26" t="n">
        <f aca="false">E159/B159</f>
        <v>0.00213933691756272</v>
      </c>
      <c r="G159" s="27" t="s">
        <v>4517</v>
      </c>
      <c r="H159" s="27" t="s">
        <v>4428</v>
      </c>
      <c r="I159" s="28" t="s">
        <v>4284</v>
      </c>
      <c r="J159" s="25" t="n">
        <v>39</v>
      </c>
      <c r="K159" s="25" t="n">
        <v>572</v>
      </c>
      <c r="L159" s="13" t="n">
        <f aca="false">IF(INDEX(選手一覧!$D$7:$D$2738,$K159)="","",INDEX(選手一覧!$D$7:$D$2738,$K159))</f>
        <v>0.0106957175925926</v>
      </c>
      <c r="M159" s="14" t="n">
        <f aca="false">IF(INDEX(選手一覧!$E$7:$E$2738,$K159)="","",INDEX(選手一覧!$E$7:$E$2738,$K159))</f>
        <v>573</v>
      </c>
      <c r="N159" s="16" t="n">
        <f aca="false">IF(INDEX(選手一覧!$H$7:$H$2738,$K159)="","",INDEX(選手一覧!$H$7:$H$2738,$K159))</f>
        <v>0.0064099537037037</v>
      </c>
      <c r="O159" s="17" t="n">
        <f aca="false">IF(INDEX(選手一覧!$I$7:$I$2738,$K159)="","",INDEX(選手一覧!$I$7:$I$2738,$K159))</f>
        <v>16</v>
      </c>
      <c r="P159" s="16" t="n">
        <f aca="false">IF(INDEX(選手一覧!$J$7:$J$2738,$K159)="","",INDEX(選手一覧!$J$7:$J$2738,$K159))</f>
        <v>0.00277777777777778</v>
      </c>
      <c r="Q159" s="17" t="n">
        <f aca="false">IF(INDEX(選手一覧!$K$7:$K$2738,$K159)="","",INDEX(選手一覧!$K$7:$K$2738,$K159))</f>
        <v>189</v>
      </c>
    </row>
    <row r="160" customFormat="false" ht="15" hidden="false" customHeight="false" outlineLevel="0" collapsed="false">
      <c r="A160" s="23" t="n">
        <v>5</v>
      </c>
      <c r="B160" s="24" t="n">
        <v>3.1</v>
      </c>
      <c r="C160" s="14" t="n">
        <v>35</v>
      </c>
      <c r="D160" s="25" t="n">
        <f aca="false">COUNTIFS($A$5:$A$229,A160,$E$5:$E$229,"&lt;"&amp;E160)+1</f>
        <v>13</v>
      </c>
      <c r="E160" s="26" t="n">
        <v>0.00668981481481482</v>
      </c>
      <c r="F160" s="26" t="n">
        <f aca="false">E160/B160</f>
        <v>0.00215800477897252</v>
      </c>
      <c r="G160" s="27" t="s">
        <v>4518</v>
      </c>
      <c r="H160" s="27" t="s">
        <v>4485</v>
      </c>
      <c r="I160" s="28" t="s">
        <v>4280</v>
      </c>
      <c r="J160" s="25" t="n">
        <v>55</v>
      </c>
      <c r="K160" s="25" t="n">
        <v>1384</v>
      </c>
      <c r="L160" s="13" t="str">
        <f aca="false">IF(INDEX(選手一覧!$D$7:$D$2738,$K160)="","",INDEX(選手一覧!$D$7:$D$2738,$K160))</f>
        <v/>
      </c>
      <c r="M160" s="14" t="str">
        <f aca="false">IF(INDEX(選手一覧!$E$7:$E$2738,$K160)="","",INDEX(選手一覧!$E$7:$E$2738,$K160))</f>
        <v/>
      </c>
      <c r="N160" s="16" t="str">
        <f aca="false">IF(INDEX(選手一覧!$H$7:$H$2738,$K160)="","",INDEX(選手一覧!$H$7:$H$2738,$K160))</f>
        <v/>
      </c>
      <c r="O160" s="17" t="str">
        <f aca="false">IF(INDEX(選手一覧!$I$7:$I$2738,$K160)="","",INDEX(選手一覧!$I$7:$I$2738,$K160))</f>
        <v/>
      </c>
      <c r="P160" s="16" t="n">
        <f aca="false">IF(INDEX(選手一覧!$J$7:$J$2738,$K160)="","",INDEX(選手一覧!$J$7:$J$2738,$K160))</f>
        <v>0.00279409722222222</v>
      </c>
      <c r="Q160" s="17" t="n">
        <f aca="false">IF(INDEX(選手一覧!$K$7:$K$2738,$K160)="","",INDEX(選手一覧!$K$7:$K$2738,$K160))</f>
        <v>254</v>
      </c>
    </row>
    <row r="161" customFormat="false" ht="15" hidden="false" customHeight="false" outlineLevel="0" collapsed="false">
      <c r="A161" s="23" t="n">
        <v>5</v>
      </c>
      <c r="B161" s="24" t="n">
        <v>3.1</v>
      </c>
      <c r="C161" s="14" t="n">
        <v>42</v>
      </c>
      <c r="D161" s="25" t="n">
        <f aca="false">COUNTIFS($A$5:$A$229,A161,$E$5:$E$229,"&lt;"&amp;E161)+1</f>
        <v>14</v>
      </c>
      <c r="E161" s="26" t="n">
        <v>0.00672453703703704</v>
      </c>
      <c r="F161" s="26" t="n">
        <f aca="false">E161/B161</f>
        <v>0.0021692054958184</v>
      </c>
      <c r="G161" s="27" t="s">
        <v>4519</v>
      </c>
      <c r="H161" s="27" t="s">
        <v>4437</v>
      </c>
      <c r="I161" s="28" t="s">
        <v>4306</v>
      </c>
      <c r="J161" s="25" t="n">
        <v>54</v>
      </c>
      <c r="K161" s="25" t="n">
        <v>762</v>
      </c>
      <c r="L161" s="13" t="n">
        <f aca="false">IF(INDEX(選手一覧!$D$7:$D$2738,$K161)="","",INDEX(選手一覧!$D$7:$D$2738,$K161))</f>
        <v>0.0108096064814815</v>
      </c>
      <c r="M161" s="14" t="n">
        <f aca="false">IF(INDEX(選手一覧!$E$7:$E$2738,$K161)="","",INDEX(選手一覧!$E$7:$E$2738,$K161))</f>
        <v>763</v>
      </c>
      <c r="N161" s="16" t="str">
        <f aca="false">IF(INDEX(選手一覧!$H$7:$H$2738,$K161)="","",INDEX(選手一覧!$H$7:$H$2738,$K161))</f>
        <v/>
      </c>
      <c r="O161" s="17" t="str">
        <f aca="false">IF(INDEX(選手一覧!$I$7:$I$2738,$K161)="","",INDEX(選手一覧!$I$7:$I$2738,$K161))</f>
        <v/>
      </c>
      <c r="P161" s="16" t="str">
        <f aca="false">IF(INDEX(選手一覧!$J$7:$J$2738,$K161)="","",INDEX(選手一覧!$J$7:$J$2738,$K161))</f>
        <v/>
      </c>
      <c r="Q161" s="17" t="str">
        <f aca="false">IF(INDEX(選手一覧!$K$7:$K$2738,$K161)="","",INDEX(選手一覧!$K$7:$K$2738,$K161))</f>
        <v/>
      </c>
    </row>
    <row r="162" customFormat="false" ht="15" hidden="false" customHeight="false" outlineLevel="0" collapsed="false">
      <c r="A162" s="23" t="n">
        <v>5</v>
      </c>
      <c r="B162" s="24" t="n">
        <v>3.1</v>
      </c>
      <c r="C162" s="14" t="n">
        <v>43</v>
      </c>
      <c r="D162" s="25" t="n">
        <f aca="false">COUNTIFS($A$5:$A$229,A162,$E$5:$E$229,"&lt;"&amp;E162)+1</f>
        <v>15</v>
      </c>
      <c r="E162" s="26" t="n">
        <v>0.00674768518518519</v>
      </c>
      <c r="F162" s="26" t="n">
        <f aca="false">E162/B162</f>
        <v>0.00217667264038232</v>
      </c>
      <c r="G162" s="27" t="s">
        <v>4520</v>
      </c>
      <c r="H162" s="27" t="s">
        <v>4521</v>
      </c>
      <c r="I162" s="28" t="s">
        <v>4313</v>
      </c>
      <c r="J162" s="25" t="n">
        <v>50</v>
      </c>
      <c r="K162" s="25" t="n">
        <v>816</v>
      </c>
      <c r="L162" s="13" t="n">
        <f aca="false">IF(INDEX(選手一覧!$D$7:$D$2738,$K162)="","",INDEX(選手一覧!$D$7:$D$2738,$K162))</f>
        <v>0.0108423611111111</v>
      </c>
      <c r="M162" s="14" t="n">
        <f aca="false">IF(INDEX(選手一覧!$E$7:$E$2738,$K162)="","",INDEX(選手一覧!$E$7:$E$2738,$K162))</f>
        <v>817</v>
      </c>
      <c r="N162" s="16" t="str">
        <f aca="false">IF(INDEX(選手一覧!$H$7:$H$2738,$K162)="","",INDEX(選手一覧!$H$7:$H$2738,$K162))</f>
        <v/>
      </c>
      <c r="O162" s="17" t="str">
        <f aca="false">IF(INDEX(選手一覧!$I$7:$I$2738,$K162)="","",INDEX(選手一覧!$I$7:$I$2738,$K162))</f>
        <v/>
      </c>
      <c r="P162" s="16" t="str">
        <f aca="false">IF(INDEX(選手一覧!$J$7:$J$2738,$K162)="","",INDEX(選手一覧!$J$7:$J$2738,$K162))</f>
        <v/>
      </c>
      <c r="Q162" s="17" t="str">
        <f aca="false">IF(INDEX(選手一覧!$K$7:$K$2738,$K162)="","",INDEX(選手一覧!$K$7:$K$2738,$K162))</f>
        <v/>
      </c>
    </row>
    <row r="163" customFormat="false" ht="15" hidden="false" customHeight="false" outlineLevel="0" collapsed="false">
      <c r="A163" s="23" t="n">
        <v>5</v>
      </c>
      <c r="B163" s="24" t="n">
        <v>3.1</v>
      </c>
      <c r="C163" s="14" t="n">
        <v>43</v>
      </c>
      <c r="D163" s="25" t="n">
        <f aca="false">COUNTIFS($A$5:$A$229,A163,$E$5:$E$229,"&lt;"&amp;E163)+1</f>
        <v>15</v>
      </c>
      <c r="E163" s="26" t="n">
        <v>0.00674768518518519</v>
      </c>
      <c r="F163" s="26" t="n">
        <f aca="false">E163/B163</f>
        <v>0.00217667264038232</v>
      </c>
      <c r="G163" s="27" t="s">
        <v>4522</v>
      </c>
      <c r="H163" s="27" t="s">
        <v>4491</v>
      </c>
      <c r="I163" s="28" t="s">
        <v>4492</v>
      </c>
      <c r="J163" s="25" t="n">
        <v>58</v>
      </c>
      <c r="K163" s="25" t="n">
        <v>704</v>
      </c>
      <c r="L163" s="13" t="n">
        <f aca="false">IF(INDEX(選手一覧!$D$7:$D$2738,$K163)="","",INDEX(選手一覧!$D$7:$D$2738,$K163))</f>
        <v>0.0107778935185185</v>
      </c>
      <c r="M163" s="14" t="n">
        <f aca="false">IF(INDEX(選手一覧!$E$7:$E$2738,$K163)="","",INDEX(選手一覧!$E$7:$E$2738,$K163))</f>
        <v>705</v>
      </c>
      <c r="N163" s="16" t="n">
        <f aca="false">IF(INDEX(選手一覧!$H$7:$H$2738,$K163)="","",INDEX(選手一覧!$H$7:$H$2738,$K163))</f>
        <v>0.0066275462962963</v>
      </c>
      <c r="O163" s="17" t="n">
        <f aca="false">IF(INDEX(選手一覧!$I$7:$I$2738,$K163)="","",INDEX(選手一覧!$I$7:$I$2738,$K163))</f>
        <v>73</v>
      </c>
      <c r="P163" s="16" t="n">
        <f aca="false">IF(INDEX(選手一覧!$J$7:$J$2738,$K163)="","",INDEX(選手一覧!$J$7:$J$2738,$K163))</f>
        <v>0.00289895833333333</v>
      </c>
      <c r="Q163" s="17" t="n">
        <f aca="false">IF(INDEX(選手一覧!$K$7:$K$2738,$K163)="","",INDEX(選手一覧!$K$7:$K$2738,$K163))</f>
        <v>938</v>
      </c>
    </row>
    <row r="164" customFormat="false" ht="15" hidden="false" customHeight="false" outlineLevel="0" collapsed="false">
      <c r="A164" s="23" t="n">
        <v>5</v>
      </c>
      <c r="B164" s="24" t="n">
        <v>3.1</v>
      </c>
      <c r="C164" s="14" t="n">
        <v>46</v>
      </c>
      <c r="D164" s="25" t="n">
        <f aca="false">COUNTIFS($A$5:$A$229,A164,$E$5:$E$229,"&lt;"&amp;E164)+1</f>
        <v>17</v>
      </c>
      <c r="E164" s="26" t="n">
        <v>0.00677083333333333</v>
      </c>
      <c r="F164" s="26" t="n">
        <f aca="false">E164/B164</f>
        <v>0.00218413978494624</v>
      </c>
      <c r="G164" s="27" t="s">
        <v>4523</v>
      </c>
      <c r="H164" s="27" t="s">
        <v>4479</v>
      </c>
      <c r="I164" s="28" t="s">
        <v>4274</v>
      </c>
      <c r="J164" s="25" t="n">
        <v>45</v>
      </c>
      <c r="K164" s="25" t="n">
        <v>717</v>
      </c>
      <c r="L164" s="13" t="n">
        <f aca="false">IF(INDEX(選手一覧!$D$7:$D$2738,$K164)="","",INDEX(選手一覧!$D$7:$D$2738,$K164))</f>
        <v>0.0107881944444444</v>
      </c>
      <c r="M164" s="14" t="n">
        <f aca="false">IF(INDEX(選手一覧!$E$7:$E$2738,$K164)="","",INDEX(選手一覧!$E$7:$E$2738,$K164))</f>
        <v>718</v>
      </c>
      <c r="N164" s="16" t="n">
        <f aca="false">IF(INDEX(選手一覧!$H$7:$H$2738,$K164)="","",INDEX(選手一覧!$H$7:$H$2738,$K164))</f>
        <v>0.00738912037037037</v>
      </c>
      <c r="O164" s="17" t="n">
        <f aca="false">IF(INDEX(選手一覧!$I$7:$I$2738,$K164)="","",INDEX(選手一覧!$I$7:$I$2738,$K164))</f>
        <v>760</v>
      </c>
      <c r="P164" s="16" t="n">
        <f aca="false">IF(INDEX(選手一覧!$J$7:$J$2738,$K164)="","",INDEX(選手一覧!$J$7:$J$2738,$K164))</f>
        <v>0.00278356481481482</v>
      </c>
      <c r="Q164" s="17" t="n">
        <f aca="false">IF(INDEX(選手一覧!$K$7:$K$2738,$K164)="","",INDEX(選手一覧!$K$7:$K$2738,$K164))</f>
        <v>214</v>
      </c>
    </row>
    <row r="165" customFormat="false" ht="15" hidden="false" customHeight="false" outlineLevel="0" collapsed="false">
      <c r="A165" s="23" t="n">
        <v>5</v>
      </c>
      <c r="B165" s="24" t="n">
        <v>3.1</v>
      </c>
      <c r="C165" s="14" t="n">
        <v>46</v>
      </c>
      <c r="D165" s="25" t="n">
        <f aca="false">COUNTIFS($A$5:$A$229,A165,$E$5:$E$229,"&lt;"&amp;E165)+1</f>
        <v>17</v>
      </c>
      <c r="E165" s="26" t="n">
        <v>0.00677083333333333</v>
      </c>
      <c r="F165" s="26" t="n">
        <f aca="false">E165/B165</f>
        <v>0.00218413978494624</v>
      </c>
      <c r="G165" s="27" t="s">
        <v>4524</v>
      </c>
      <c r="H165" s="27" t="s">
        <v>4341</v>
      </c>
      <c r="I165" s="28" t="s">
        <v>4298</v>
      </c>
      <c r="J165" s="25" t="n">
        <v>57</v>
      </c>
      <c r="K165" s="25" t="n">
        <v>785</v>
      </c>
      <c r="L165" s="13" t="n">
        <f aca="false">IF(INDEX(選手一覧!$D$7:$D$2738,$K165)="","",INDEX(選手一覧!$D$7:$D$2738,$K165))</f>
        <v>0.0108262731481482</v>
      </c>
      <c r="M165" s="14" t="n">
        <f aca="false">IF(INDEX(選手一覧!$E$7:$E$2738,$K165)="","",INDEX(選手一覧!$E$7:$E$2738,$K165))</f>
        <v>786</v>
      </c>
      <c r="N165" s="16" t="str">
        <f aca="false">IF(INDEX(選手一覧!$H$7:$H$2738,$K165)="","",INDEX(選手一覧!$H$7:$H$2738,$K165))</f>
        <v/>
      </c>
      <c r="O165" s="17" t="str">
        <f aca="false">IF(INDEX(選手一覧!$I$7:$I$2738,$K165)="","",INDEX(選手一覧!$I$7:$I$2738,$K165))</f>
        <v/>
      </c>
      <c r="P165" s="16" t="n">
        <f aca="false">IF(INDEX(選手一覧!$J$7:$J$2738,$K165)="","",INDEX(選手一覧!$J$7:$J$2738,$K165))</f>
        <v>0.00283958333333333</v>
      </c>
      <c r="Q165" s="17" t="n">
        <f aca="false">IF(INDEX(選手一覧!$K$7:$K$2738,$K165)="","",INDEX(選手一覧!$K$7:$K$2738,$K165))</f>
        <v>494</v>
      </c>
    </row>
    <row r="166" customFormat="false" ht="15" hidden="false" customHeight="false" outlineLevel="0" collapsed="false">
      <c r="A166" s="23" t="n">
        <v>5</v>
      </c>
      <c r="B166" s="24" t="n">
        <v>3.1</v>
      </c>
      <c r="C166" s="14" t="n">
        <v>60</v>
      </c>
      <c r="D166" s="25" t="n">
        <f aca="false">COUNTIFS($A$5:$A$229,A166,$E$5:$E$229,"&lt;"&amp;E166)+1</f>
        <v>19</v>
      </c>
      <c r="E166" s="26" t="n">
        <v>0.00689814814814815</v>
      </c>
      <c r="F166" s="26" t="n">
        <f aca="false">E166/B166</f>
        <v>0.00222520908004779</v>
      </c>
      <c r="G166" s="27" t="s">
        <v>4525</v>
      </c>
      <c r="H166" s="27" t="s">
        <v>4526</v>
      </c>
      <c r="I166" s="28" t="s">
        <v>4257</v>
      </c>
      <c r="J166" s="25" t="n">
        <v>63</v>
      </c>
      <c r="K166" s="25" t="n">
        <v>2098</v>
      </c>
      <c r="L166" s="13" t="str">
        <f aca="false">IF(INDEX(選手一覧!$D$7:$D$2738,$K166)="","",INDEX(選手一覧!$D$7:$D$2738,$K166))</f>
        <v/>
      </c>
      <c r="M166" s="14" t="str">
        <f aca="false">IF(INDEX(選手一覧!$E$7:$E$2738,$K166)="","",INDEX(選手一覧!$E$7:$E$2738,$K166))</f>
        <v/>
      </c>
      <c r="N166" s="16" t="str">
        <f aca="false">IF(INDEX(選手一覧!$H$7:$H$2738,$K166)="","",INDEX(選手一覧!$H$7:$H$2738,$K166))</f>
        <v/>
      </c>
      <c r="O166" s="17" t="str">
        <f aca="false">IF(INDEX(選手一覧!$I$7:$I$2738,$K166)="","",INDEX(選手一覧!$I$7:$I$2738,$K166))</f>
        <v/>
      </c>
      <c r="P166" s="16" t="n">
        <f aca="false">IF(INDEX(選手一覧!$J$7:$J$2738,$K166)="","",INDEX(選手一覧!$J$7:$J$2738,$K166))</f>
        <v>0.00289618055555556</v>
      </c>
      <c r="Q166" s="17" t="n">
        <f aca="false">IF(INDEX(選手一覧!$K$7:$K$2738,$K166)="","",INDEX(選手一覧!$K$7:$K$2738,$K166))</f>
        <v>923</v>
      </c>
    </row>
    <row r="167" customFormat="false" ht="15" hidden="false" customHeight="false" outlineLevel="0" collapsed="false">
      <c r="A167" s="23" t="n">
        <v>5</v>
      </c>
      <c r="B167" s="24" t="n">
        <v>3.1</v>
      </c>
      <c r="C167" s="14" t="n">
        <v>79</v>
      </c>
      <c r="D167" s="25" t="n">
        <f aca="false">COUNTIFS($A$5:$A$229,A167,$E$5:$E$229,"&lt;"&amp;E167)+1</f>
        <v>20</v>
      </c>
      <c r="E167" s="26" t="n">
        <v>0.00710648148148148</v>
      </c>
      <c r="F167" s="26" t="n">
        <f aca="false">E167/B167</f>
        <v>0.00229241338112306</v>
      </c>
      <c r="G167" s="27" t="s">
        <v>4527</v>
      </c>
      <c r="H167" s="27" t="s">
        <v>4329</v>
      </c>
      <c r="I167" s="28" t="s">
        <v>4257</v>
      </c>
      <c r="J167" s="25" t="n">
        <v>81</v>
      </c>
      <c r="K167" s="25" t="n">
        <v>1749</v>
      </c>
      <c r="L167" s="13" t="str">
        <f aca="false">IF(INDEX(選手一覧!$D$7:$D$2738,$K167)="","",INDEX(選手一覧!$D$7:$D$2738,$K167))</f>
        <v/>
      </c>
      <c r="M167" s="14" t="str">
        <f aca="false">IF(INDEX(選手一覧!$E$7:$E$2738,$K167)="","",INDEX(選手一覧!$E$7:$E$2738,$K167))</f>
        <v/>
      </c>
      <c r="N167" s="16" t="n">
        <f aca="false">IF(INDEX(選手一覧!$H$7:$H$2738,$K167)="","",INDEX(選手一覧!$H$7:$H$2738,$K167))</f>
        <v>0.00729988425925926</v>
      </c>
      <c r="O167" s="17" t="n">
        <f aca="false">IF(INDEX(選手一覧!$I$7:$I$2738,$K167)="","",INDEX(選手一覧!$I$7:$I$2738,$K167))</f>
        <v>647</v>
      </c>
      <c r="P167" s="16" t="str">
        <f aca="false">IF(INDEX(選手一覧!$J$7:$J$2738,$K167)="","",INDEX(選手一覧!$J$7:$J$2738,$K167))</f>
        <v/>
      </c>
      <c r="Q167" s="17" t="str">
        <f aca="false">IF(INDEX(選手一覧!$K$7:$K$2738,$K167)="","",INDEX(選手一覧!$K$7:$K$2738,$K167))</f>
        <v/>
      </c>
    </row>
    <row r="168" customFormat="false" ht="15" hidden="false" customHeight="false" outlineLevel="0" collapsed="false">
      <c r="A168" s="23" t="n">
        <v>5</v>
      </c>
      <c r="B168" s="24" t="n">
        <v>3.1</v>
      </c>
      <c r="C168" s="14" t="n">
        <v>80</v>
      </c>
      <c r="D168" s="25" t="n">
        <f aca="false">COUNTIFS($A$5:$A$229,A168,$E$5:$E$229,"&lt;"&amp;E168)+1</f>
        <v>21</v>
      </c>
      <c r="E168" s="26" t="n">
        <v>0.00711805555555556</v>
      </c>
      <c r="F168" s="26" t="n">
        <f aca="false">E168/B168</f>
        <v>0.00229614695340502</v>
      </c>
      <c r="G168" s="27" t="s">
        <v>4528</v>
      </c>
      <c r="H168" s="27" t="s">
        <v>4529</v>
      </c>
      <c r="I168" s="28" t="s">
        <v>4332</v>
      </c>
      <c r="J168" s="25" t="n">
        <v>101</v>
      </c>
      <c r="K168" s="25" t="n">
        <v>2385</v>
      </c>
      <c r="L168" s="13" t="str">
        <f aca="false">IF(INDEX(選手一覧!$D$7:$D$2738,$K168)="","",INDEX(選手一覧!$D$7:$D$2738,$K168))</f>
        <v/>
      </c>
      <c r="M168" s="14" t="str">
        <f aca="false">IF(INDEX(選手一覧!$E$7:$E$2738,$K168)="","",INDEX(選手一覧!$E$7:$E$2738,$K168))</f>
        <v/>
      </c>
      <c r="N168" s="16" t="str">
        <f aca="false">IF(INDEX(選手一覧!$H$7:$H$2738,$K168)="","",INDEX(選手一覧!$H$7:$H$2738,$K168))</f>
        <v/>
      </c>
      <c r="O168" s="17" t="str">
        <f aca="false">IF(INDEX(選手一覧!$I$7:$I$2738,$K168)="","",INDEX(選手一覧!$I$7:$I$2738,$K168))</f>
        <v/>
      </c>
      <c r="P168" s="16" t="n">
        <f aca="false">IF(INDEX(選手一覧!$J$7:$J$2738,$K168)="","",INDEX(選手一覧!$J$7:$J$2738,$K168))</f>
        <v>0.00292326388888889</v>
      </c>
      <c r="Q168" s="17" t="n">
        <f aca="false">IF(INDEX(選手一覧!$K$7:$K$2738,$K168)="","",INDEX(選手一覧!$K$7:$K$2738,$K168))</f>
        <v>1131</v>
      </c>
    </row>
    <row r="169" customFormat="false" ht="15" hidden="false" customHeight="false" outlineLevel="0" collapsed="false">
      <c r="A169" s="29" t="n">
        <v>6</v>
      </c>
      <c r="B169" s="30" t="n">
        <v>4.9</v>
      </c>
      <c r="C169" s="14" t="n">
        <v>4</v>
      </c>
      <c r="D169" s="17" t="n">
        <f aca="false">COUNTIFS($A$5:$A$229,A169,$E$5:$E$229,"&lt;"&amp;E169)+1</f>
        <v>1</v>
      </c>
      <c r="E169" s="31" t="n">
        <v>0.0100462962962963</v>
      </c>
      <c r="F169" s="31" t="n">
        <f aca="false">E169/B169</f>
        <v>0.00205026455026455</v>
      </c>
      <c r="G169" s="12" t="s">
        <v>4530</v>
      </c>
      <c r="H169" s="12" t="s">
        <v>4462</v>
      </c>
      <c r="I169" s="32" t="s">
        <v>4292</v>
      </c>
      <c r="J169" s="17" t="n">
        <v>5</v>
      </c>
      <c r="K169" s="17" t="n">
        <v>64</v>
      </c>
      <c r="L169" s="13" t="n">
        <f aca="false">IF(INDEX(選手一覧!$D$7:$D$2738,$K169)="","",INDEX(選手一覧!$D$7:$D$2738,$K169))</f>
        <v>0.0101371527777778</v>
      </c>
      <c r="M169" s="14" t="n">
        <f aca="false">IF(INDEX(選手一覧!$E$7:$E$2738,$K169)="","",INDEX(選手一覧!$E$7:$E$2738,$K169))</f>
        <v>65</v>
      </c>
      <c r="N169" s="16" t="str">
        <f aca="false">IF(INDEX(選手一覧!$H$7:$H$2738,$K169)="","",INDEX(選手一覧!$H$7:$H$2738,$K169))</f>
        <v/>
      </c>
      <c r="O169" s="17" t="str">
        <f aca="false">IF(INDEX(選手一覧!$I$7:$I$2738,$K169)="","",INDEX(選手一覧!$I$7:$I$2738,$K169))</f>
        <v/>
      </c>
      <c r="P169" s="16" t="n">
        <f aca="false">IF(INDEX(選手一覧!$J$7:$J$2738,$K169)="","",INDEX(選手一覧!$J$7:$J$2738,$K169))</f>
        <v>0.00269143518518519</v>
      </c>
      <c r="Q169" s="17" t="n">
        <f aca="false">IF(INDEX(選手一覧!$K$7:$K$2738,$K169)="","",INDEX(選手一覧!$K$7:$K$2738,$K169))</f>
        <v>19</v>
      </c>
    </row>
    <row r="170" customFormat="false" ht="15" hidden="false" customHeight="false" outlineLevel="0" collapsed="false">
      <c r="A170" s="29" t="n">
        <v>6</v>
      </c>
      <c r="B170" s="30" t="n">
        <v>4.9</v>
      </c>
      <c r="C170" s="14" t="n">
        <v>10</v>
      </c>
      <c r="D170" s="17" t="n">
        <f aca="false">COUNTIFS($A$5:$A$229,A170,$E$5:$E$229,"&lt;"&amp;E170)+1</f>
        <v>2</v>
      </c>
      <c r="E170" s="31" t="n">
        <v>0.0100925925925926</v>
      </c>
      <c r="F170" s="31" t="n">
        <f aca="false">E170/B170</f>
        <v>0.00205971277399849</v>
      </c>
      <c r="G170" s="12" t="s">
        <v>4531</v>
      </c>
      <c r="H170" s="12" t="s">
        <v>4273</v>
      </c>
      <c r="I170" s="32" t="s">
        <v>4274</v>
      </c>
      <c r="J170" s="17" t="n">
        <v>10</v>
      </c>
      <c r="K170" s="17" t="n">
        <v>260</v>
      </c>
      <c r="L170" s="13" t="n">
        <f aca="false">IF(INDEX(選手一覧!$D$7:$D$2738,$K170)="","",INDEX(選手一覧!$D$7:$D$2738,$K170))</f>
        <v>0.0103976851851852</v>
      </c>
      <c r="M170" s="14" t="n">
        <f aca="false">IF(INDEX(選手一覧!$E$7:$E$2738,$K170)="","",INDEX(選手一覧!$E$7:$E$2738,$K170))</f>
        <v>261</v>
      </c>
      <c r="N170" s="16" t="str">
        <f aca="false">IF(INDEX(選手一覧!$H$7:$H$2738,$K170)="","",INDEX(選手一覧!$H$7:$H$2738,$K170))</f>
        <v/>
      </c>
      <c r="O170" s="17" t="str">
        <f aca="false">IF(INDEX(選手一覧!$I$7:$I$2738,$K170)="","",INDEX(選手一覧!$I$7:$I$2738,$K170))</f>
        <v/>
      </c>
      <c r="P170" s="16" t="n">
        <f aca="false">IF(INDEX(選手一覧!$J$7:$J$2738,$K170)="","",INDEX(選手一覧!$J$7:$J$2738,$K170))</f>
        <v>0.00282592592592593</v>
      </c>
      <c r="Q170" s="17" t="n">
        <f aca="false">IF(INDEX(選手一覧!$K$7:$K$2738,$K170)="","",INDEX(選手一覧!$K$7:$K$2738,$K170))</f>
        <v>398</v>
      </c>
    </row>
    <row r="171" customFormat="false" ht="15" hidden="false" customHeight="false" outlineLevel="0" collapsed="false">
      <c r="A171" s="29" t="n">
        <v>6</v>
      </c>
      <c r="B171" s="30" t="n">
        <v>4.9</v>
      </c>
      <c r="C171" s="14" t="n">
        <v>15</v>
      </c>
      <c r="D171" s="17" t="n">
        <f aca="false">COUNTIFS($A$5:$A$229,A171,$E$5:$E$229,"&lt;"&amp;E171)+1</f>
        <v>3</v>
      </c>
      <c r="E171" s="31" t="n">
        <v>0.0101388888888889</v>
      </c>
      <c r="F171" s="31" t="n">
        <f aca="false">E171/B171</f>
        <v>0.00206916099773243</v>
      </c>
      <c r="G171" s="12" t="s">
        <v>4532</v>
      </c>
      <c r="H171" s="12" t="s">
        <v>4300</v>
      </c>
      <c r="I171" s="32" t="s">
        <v>4301</v>
      </c>
      <c r="J171" s="17" t="n">
        <v>19</v>
      </c>
      <c r="K171" s="17" t="n">
        <v>259</v>
      </c>
      <c r="L171" s="13" t="n">
        <f aca="false">IF(INDEX(選手一覧!$D$7:$D$2738,$K171)="","",INDEX(選手一覧!$D$7:$D$2738,$K171))</f>
        <v>0.0103972222222222</v>
      </c>
      <c r="M171" s="14" t="n">
        <f aca="false">IF(INDEX(選手一覧!$E$7:$E$2738,$K171)="","",INDEX(選手一覧!$E$7:$E$2738,$K171))</f>
        <v>260</v>
      </c>
      <c r="N171" s="16" t="str">
        <f aca="false">IF(INDEX(選手一覧!$H$7:$H$2738,$K171)="","",INDEX(選手一覧!$H$7:$H$2738,$K171))</f>
        <v/>
      </c>
      <c r="O171" s="17" t="str">
        <f aca="false">IF(INDEX(選手一覧!$I$7:$I$2738,$K171)="","",INDEX(選手一覧!$I$7:$I$2738,$K171))</f>
        <v/>
      </c>
      <c r="P171" s="16" t="n">
        <f aca="false">IF(INDEX(選手一覧!$J$7:$J$2738,$K171)="","",INDEX(選手一覧!$J$7:$J$2738,$K171))</f>
        <v>0.0028130787037037</v>
      </c>
      <c r="Q171" s="17" t="n">
        <f aca="false">IF(INDEX(選手一覧!$K$7:$K$2738,$K171)="","",INDEX(選手一覧!$K$7:$K$2738,$K171))</f>
        <v>334</v>
      </c>
    </row>
    <row r="172" customFormat="false" ht="15" hidden="false" customHeight="false" outlineLevel="0" collapsed="false">
      <c r="A172" s="29" t="n">
        <v>6</v>
      </c>
      <c r="B172" s="30" t="n">
        <v>4.9</v>
      </c>
      <c r="C172" s="14" t="n">
        <v>18</v>
      </c>
      <c r="D172" s="17" t="n">
        <f aca="false">COUNTIFS($A$5:$A$229,A172,$E$5:$E$229,"&lt;"&amp;E172)+1</f>
        <v>4</v>
      </c>
      <c r="E172" s="31" t="n">
        <v>0.0101851851851852</v>
      </c>
      <c r="F172" s="31" t="n">
        <f aca="false">E172/B172</f>
        <v>0.00207860922146637</v>
      </c>
      <c r="G172" s="12" t="s">
        <v>4533</v>
      </c>
      <c r="H172" s="12" t="s">
        <v>4534</v>
      </c>
      <c r="I172" s="32" t="s">
        <v>4298</v>
      </c>
      <c r="J172" s="17" t="n">
        <v>27</v>
      </c>
      <c r="K172" s="17" t="n">
        <v>377</v>
      </c>
      <c r="L172" s="13" t="n">
        <f aca="false">IF(INDEX(選手一覧!$D$7:$D$2738,$K172)="","",INDEX(選手一覧!$D$7:$D$2738,$K172))</f>
        <v>0.0105351851851852</v>
      </c>
      <c r="M172" s="14" t="n">
        <f aca="false">IF(INDEX(選手一覧!$E$7:$E$2738,$K172)="","",INDEX(選手一覧!$E$7:$E$2738,$K172))</f>
        <v>378</v>
      </c>
      <c r="N172" s="16" t="str">
        <f aca="false">IF(INDEX(選手一覧!$H$7:$H$2738,$K172)="","",INDEX(選手一覧!$H$7:$H$2738,$K172))</f>
        <v/>
      </c>
      <c r="O172" s="17" t="str">
        <f aca="false">IF(INDEX(選手一覧!$I$7:$I$2738,$K172)="","",INDEX(選手一覧!$I$7:$I$2738,$K172))</f>
        <v/>
      </c>
      <c r="P172" s="16" t="n">
        <f aca="false">IF(INDEX(選手一覧!$J$7:$J$2738,$K172)="","",INDEX(選手一覧!$J$7:$J$2738,$K172))</f>
        <v>0.00287175925925926</v>
      </c>
      <c r="Q172" s="17" t="n">
        <f aca="false">IF(INDEX(選手一覧!$K$7:$K$2738,$K172)="","",INDEX(選手一覧!$K$7:$K$2738,$K172))</f>
        <v>715</v>
      </c>
    </row>
    <row r="173" customFormat="false" ht="15" hidden="false" customHeight="false" outlineLevel="0" collapsed="false">
      <c r="A173" s="29" t="n">
        <v>6</v>
      </c>
      <c r="B173" s="30" t="n">
        <v>4.9</v>
      </c>
      <c r="C173" s="14" t="n">
        <v>23</v>
      </c>
      <c r="D173" s="17" t="n">
        <f aca="false">COUNTIFS($A$5:$A$229,A173,$E$5:$E$229,"&lt;"&amp;E173)+1</f>
        <v>6</v>
      </c>
      <c r="E173" s="31" t="n">
        <v>0.0102430555555556</v>
      </c>
      <c r="F173" s="31" t="n">
        <f aca="false">E173/B173</f>
        <v>0.00209041950113379</v>
      </c>
      <c r="G173" s="12" t="s">
        <v>4535</v>
      </c>
      <c r="H173" s="12" t="s">
        <v>4428</v>
      </c>
      <c r="I173" s="32" t="s">
        <v>4284</v>
      </c>
      <c r="J173" s="17" t="n">
        <v>39</v>
      </c>
      <c r="K173" s="17" t="n">
        <v>372</v>
      </c>
      <c r="L173" s="13" t="n">
        <f aca="false">IF(INDEX(選手一覧!$D$7:$D$2738,$K173)="","",INDEX(選手一覧!$D$7:$D$2738,$K173))</f>
        <v>0.0105304398148148</v>
      </c>
      <c r="M173" s="14" t="n">
        <f aca="false">IF(INDEX(選手一覧!$E$7:$E$2738,$K173)="","",INDEX(選手一覧!$E$7:$E$2738,$K173))</f>
        <v>373</v>
      </c>
      <c r="N173" s="16" t="str">
        <f aca="false">IF(INDEX(選手一覧!$H$7:$H$2738,$K173)="","",INDEX(選手一覧!$H$7:$H$2738,$K173))</f>
        <v/>
      </c>
      <c r="O173" s="17" t="str">
        <f aca="false">IF(INDEX(選手一覧!$I$7:$I$2738,$K173)="","",INDEX(選手一覧!$I$7:$I$2738,$K173))</f>
        <v/>
      </c>
      <c r="P173" s="16" t="n">
        <f aca="false">IF(INDEX(選手一覧!$J$7:$J$2738,$K173)="","",INDEX(選手一覧!$J$7:$J$2738,$K173))</f>
        <v>0.00277627314814815</v>
      </c>
      <c r="Q173" s="17" t="n">
        <f aca="false">IF(INDEX(選手一覧!$K$7:$K$2738,$K173)="","",INDEX(選手一覧!$K$7:$K$2738,$K173))</f>
        <v>183</v>
      </c>
    </row>
    <row r="174" customFormat="false" ht="15" hidden="false" customHeight="false" outlineLevel="0" collapsed="false">
      <c r="A174" s="29" t="n">
        <v>6</v>
      </c>
      <c r="B174" s="30" t="n">
        <v>4.9</v>
      </c>
      <c r="C174" s="14" t="n">
        <v>26</v>
      </c>
      <c r="D174" s="17" t="n">
        <f aca="false">COUNTIFS($A$5:$A$229,A174,$E$5:$E$229,"&lt;"&amp;E174)+1</f>
        <v>7</v>
      </c>
      <c r="E174" s="31" t="n">
        <v>0.0102893518518519</v>
      </c>
      <c r="F174" s="31" t="n">
        <f aca="false">E174/B174</f>
        <v>0.00209986772486772</v>
      </c>
      <c r="G174" s="12" t="s">
        <v>4536</v>
      </c>
      <c r="H174" s="12" t="s">
        <v>4319</v>
      </c>
      <c r="I174" s="32" t="s">
        <v>4268</v>
      </c>
      <c r="J174" s="17" t="n">
        <v>36</v>
      </c>
      <c r="K174" s="17" t="n">
        <v>479</v>
      </c>
      <c r="L174" s="13" t="n">
        <f aca="false">IF(INDEX(選手一覧!$D$7:$D$2738,$K174)="","",INDEX(選手一覧!$D$7:$D$2738,$K174))</f>
        <v>0.0106119212962963</v>
      </c>
      <c r="M174" s="14" t="n">
        <f aca="false">IF(INDEX(選手一覧!$E$7:$E$2738,$K174)="","",INDEX(選手一覧!$E$7:$E$2738,$K174))</f>
        <v>480</v>
      </c>
      <c r="N174" s="16" t="str">
        <f aca="false">IF(INDEX(選手一覧!$H$7:$H$2738,$K174)="","",INDEX(選手一覧!$H$7:$H$2738,$K174))</f>
        <v/>
      </c>
      <c r="O174" s="17" t="str">
        <f aca="false">IF(INDEX(選手一覧!$I$7:$I$2738,$K174)="","",INDEX(選手一覧!$I$7:$I$2738,$K174))</f>
        <v/>
      </c>
      <c r="P174" s="16" t="n">
        <f aca="false">IF(INDEX(選手一覧!$J$7:$J$2738,$K174)="","",INDEX(選手一覧!$J$7:$J$2738,$K174))</f>
        <v>0.00273506944444444</v>
      </c>
      <c r="Q174" s="17" t="n">
        <f aca="false">IF(INDEX(選手一覧!$K$7:$K$2738,$K174)="","",INDEX(選手一覧!$K$7:$K$2738,$K174))</f>
        <v>72</v>
      </c>
    </row>
    <row r="175" customFormat="false" ht="15" hidden="false" customHeight="false" outlineLevel="0" collapsed="false">
      <c r="A175" s="29" t="n">
        <v>6</v>
      </c>
      <c r="B175" s="30" t="n">
        <v>4.9</v>
      </c>
      <c r="C175" s="14" t="n">
        <v>28</v>
      </c>
      <c r="D175" s="17" t="n">
        <f aca="false">COUNTIFS($A$5:$A$229,A175,$E$5:$E$229,"&lt;"&amp;E175)+1</f>
        <v>7</v>
      </c>
      <c r="E175" s="31" t="n">
        <v>0.0103240740740741</v>
      </c>
      <c r="F175" s="31" t="n">
        <f aca="false">E175/B175</f>
        <v>0.00210695389266818</v>
      </c>
      <c r="G175" s="12" t="s">
        <v>4537</v>
      </c>
      <c r="H175" s="12" t="s">
        <v>4267</v>
      </c>
      <c r="I175" s="32" t="s">
        <v>4268</v>
      </c>
      <c r="J175" s="17" t="n">
        <v>6</v>
      </c>
      <c r="K175" s="17" t="n">
        <v>410</v>
      </c>
      <c r="L175" s="13" t="n">
        <f aca="false">IF(INDEX(選手一覧!$D$7:$D$2738,$K175)="","",INDEX(選手一覧!$D$7:$D$2738,$K175))</f>
        <v>0.0105601851851852</v>
      </c>
      <c r="M175" s="14" t="n">
        <f aca="false">IF(INDEX(選手一覧!$E$7:$E$2738,$K175)="","",INDEX(選手一覧!$E$7:$E$2738,$K175))</f>
        <v>411</v>
      </c>
      <c r="N175" s="16" t="n">
        <f aca="false">IF(INDEX(選手一覧!$H$7:$H$2738,$K175)="","",INDEX(選手一覧!$H$7:$H$2738,$K175))</f>
        <v>0.00656631944444445</v>
      </c>
      <c r="O175" s="17" t="n">
        <f aca="false">IF(INDEX(選手一覧!$I$7:$I$2738,$K175)="","",INDEX(選手一覧!$I$7:$I$2738,$K175))</f>
        <v>54</v>
      </c>
      <c r="P175" s="16" t="n">
        <f aca="false">IF(INDEX(選手一覧!$J$7:$J$2738,$K175)="","",INDEX(選手一覧!$J$7:$J$2738,$K175))</f>
        <v>0.00290775462962963</v>
      </c>
      <c r="Q175" s="17" t="n">
        <f aca="false">IF(INDEX(選手一覧!$K$7:$K$2738,$K175)="","",INDEX(選手一覧!$K$7:$K$2738,$K175))</f>
        <v>999</v>
      </c>
    </row>
    <row r="176" customFormat="false" ht="15" hidden="false" customHeight="false" outlineLevel="0" collapsed="false">
      <c r="A176" s="29" t="n">
        <v>6</v>
      </c>
      <c r="B176" s="30" t="n">
        <v>4.9</v>
      </c>
      <c r="C176" s="14" t="n">
        <v>30</v>
      </c>
      <c r="D176" s="17" t="n">
        <f aca="false">COUNTIFS($A$5:$A$229,A176,$E$5:$E$229,"&lt;"&amp;E176)+1</f>
        <v>9</v>
      </c>
      <c r="E176" s="31" t="n">
        <v>0.0103356481481482</v>
      </c>
      <c r="F176" s="31" t="n">
        <f aca="false">E176/B176</f>
        <v>0.00210931594860166</v>
      </c>
      <c r="G176" s="12" t="s">
        <v>4538</v>
      </c>
      <c r="H176" s="12" t="s">
        <v>4407</v>
      </c>
      <c r="I176" s="32" t="s">
        <v>4268</v>
      </c>
      <c r="J176" s="17" t="n">
        <v>44</v>
      </c>
      <c r="K176" s="17" t="n">
        <v>395</v>
      </c>
      <c r="L176" s="13" t="n">
        <f aca="false">IF(INDEX(選手一覧!$D$7:$D$2738,$K176)="","",INDEX(選手一覧!$D$7:$D$2738,$K176))</f>
        <v>0.0105479166666667</v>
      </c>
      <c r="M176" s="14" t="n">
        <f aca="false">IF(INDEX(選手一覧!$E$7:$E$2738,$K176)="","",INDEX(選手一覧!$E$7:$E$2738,$K176))</f>
        <v>396</v>
      </c>
      <c r="N176" s="16" t="str">
        <f aca="false">IF(INDEX(選手一覧!$H$7:$H$2738,$K176)="","",INDEX(選手一覧!$H$7:$H$2738,$K176))</f>
        <v/>
      </c>
      <c r="O176" s="17" t="str">
        <f aca="false">IF(INDEX(選手一覧!$I$7:$I$2738,$K176)="","",INDEX(選手一覧!$I$7:$I$2738,$K176))</f>
        <v/>
      </c>
      <c r="P176" s="16" t="n">
        <f aca="false">IF(INDEX(選手一覧!$J$7:$J$2738,$K176)="","",INDEX(選手一覧!$J$7:$J$2738,$K176))</f>
        <v>0.0028087962962963</v>
      </c>
      <c r="Q176" s="17" t="n">
        <f aca="false">IF(INDEX(選手一覧!$K$7:$K$2738,$K176)="","",INDEX(選手一覧!$K$7:$K$2738,$K176))</f>
        <v>321</v>
      </c>
    </row>
    <row r="177" customFormat="false" ht="15" hidden="false" customHeight="false" outlineLevel="0" collapsed="false">
      <c r="A177" s="29" t="n">
        <v>6</v>
      </c>
      <c r="B177" s="30" t="n">
        <v>4.9</v>
      </c>
      <c r="C177" s="14" t="n">
        <v>32</v>
      </c>
      <c r="D177" s="17" t="n">
        <f aca="false">COUNTIFS($A$5:$A$229,A177,$E$5:$E$229,"&lt;"&amp;E177)+1</f>
        <v>9</v>
      </c>
      <c r="E177" s="31" t="n">
        <v>0.0103472222222222</v>
      </c>
      <c r="F177" s="31" t="n">
        <f aca="false">E177/B177</f>
        <v>0.00211167800453515</v>
      </c>
      <c r="G177" s="12" t="s">
        <v>4539</v>
      </c>
      <c r="H177" s="12" t="s">
        <v>4421</v>
      </c>
      <c r="I177" s="32" t="s">
        <v>4280</v>
      </c>
      <c r="J177" s="17" t="n">
        <v>35</v>
      </c>
      <c r="K177" s="17" t="n">
        <v>526</v>
      </c>
      <c r="L177" s="13" t="n">
        <f aca="false">IF(INDEX(選手一覧!$D$7:$D$2738,$K177)="","",INDEX(選手一覧!$D$7:$D$2738,$K177))</f>
        <v>0.0106516203703704</v>
      </c>
      <c r="M177" s="14" t="n">
        <f aca="false">IF(INDEX(選手一覧!$E$7:$E$2738,$K177)="","",INDEX(選手一覧!$E$7:$E$2738,$K177))</f>
        <v>527</v>
      </c>
      <c r="N177" s="16" t="str">
        <f aca="false">IF(INDEX(選手一覧!$H$7:$H$2738,$K177)="","",INDEX(選手一覧!$H$7:$H$2738,$K177))</f>
        <v/>
      </c>
      <c r="O177" s="17" t="str">
        <f aca="false">IF(INDEX(選手一覧!$I$7:$I$2738,$K177)="","",INDEX(選手一覧!$I$7:$I$2738,$K177))</f>
        <v/>
      </c>
      <c r="P177" s="16" t="n">
        <f aca="false">IF(INDEX(選手一覧!$J$7:$J$2738,$K177)="","",INDEX(選手一覧!$J$7:$J$2738,$K177))</f>
        <v>0.00281875</v>
      </c>
      <c r="Q177" s="17" t="n">
        <f aca="false">IF(INDEX(選手一覧!$K$7:$K$2738,$K177)="","",INDEX(選手一覧!$K$7:$K$2738,$K177))</f>
        <v>357</v>
      </c>
    </row>
    <row r="178" customFormat="false" ht="15" hidden="false" customHeight="false" outlineLevel="0" collapsed="false">
      <c r="A178" s="29" t="n">
        <v>6</v>
      </c>
      <c r="B178" s="30" t="n">
        <v>4.9</v>
      </c>
      <c r="C178" s="14" t="n">
        <v>33</v>
      </c>
      <c r="D178" s="17" t="n">
        <f aca="false">COUNTIFS($A$5:$A$229,A178,$E$5:$E$229,"&lt;"&amp;E178)+1</f>
        <v>10</v>
      </c>
      <c r="E178" s="31" t="n">
        <v>0.0103587962962963</v>
      </c>
      <c r="F178" s="31" t="n">
        <f aca="false">E178/B178</f>
        <v>0.00211404006046863</v>
      </c>
      <c r="G178" s="12" t="s">
        <v>4540</v>
      </c>
      <c r="H178" s="12" t="s">
        <v>4541</v>
      </c>
      <c r="I178" s="32" t="s">
        <v>4292</v>
      </c>
      <c r="J178" s="17" t="n">
        <v>47</v>
      </c>
      <c r="K178" s="17" t="n">
        <v>612</v>
      </c>
      <c r="L178" s="13" t="n">
        <f aca="false">IF(INDEX(選手一覧!$D$7:$D$2738,$K178)="","",INDEX(選手一覧!$D$7:$D$2738,$K178))</f>
        <v>0.0107209490740741</v>
      </c>
      <c r="M178" s="14" t="n">
        <f aca="false">IF(INDEX(選手一覧!$E$7:$E$2738,$K178)="","",INDEX(選手一覧!$E$7:$E$2738,$K178))</f>
        <v>613</v>
      </c>
      <c r="N178" s="16" t="str">
        <f aca="false">IF(INDEX(選手一覧!$H$7:$H$2738,$K178)="","",INDEX(選手一覧!$H$7:$H$2738,$K178))</f>
        <v/>
      </c>
      <c r="O178" s="17" t="str">
        <f aca="false">IF(INDEX(選手一覧!$I$7:$I$2738,$K178)="","",INDEX(選手一覧!$I$7:$I$2738,$K178))</f>
        <v/>
      </c>
      <c r="P178" s="16" t="n">
        <f aca="false">IF(INDEX(選手一覧!$J$7:$J$2738,$K178)="","",INDEX(選手一覧!$J$7:$J$2738,$K178))</f>
        <v>0.0027568287037037</v>
      </c>
      <c r="Q178" s="17" t="n">
        <f aca="false">IF(INDEX(選手一覧!$K$7:$K$2738,$K178)="","",INDEX(選手一覧!$K$7:$K$2738,$K178))</f>
        <v>126</v>
      </c>
    </row>
    <row r="179" customFormat="false" ht="15" hidden="false" customHeight="false" outlineLevel="0" collapsed="false">
      <c r="A179" s="29" t="n">
        <v>6</v>
      </c>
      <c r="B179" s="30" t="n">
        <v>4.9</v>
      </c>
      <c r="C179" s="14" t="n">
        <v>35</v>
      </c>
      <c r="D179" s="17" t="n">
        <f aca="false">COUNTIFS($A$5:$A$229,A179,$E$5:$E$229,"&lt;"&amp;E179)+1</f>
        <v>11</v>
      </c>
      <c r="E179" s="31" t="n">
        <v>0.0103819444444444</v>
      </c>
      <c r="F179" s="31" t="n">
        <f aca="false">E179/B179</f>
        <v>0.0021187641723356</v>
      </c>
      <c r="G179" s="12" t="s">
        <v>4542</v>
      </c>
      <c r="H179" s="12" t="s">
        <v>4368</v>
      </c>
      <c r="I179" s="32" t="s">
        <v>4257</v>
      </c>
      <c r="J179" s="17" t="n">
        <v>21</v>
      </c>
      <c r="K179" s="17" t="n">
        <v>524</v>
      </c>
      <c r="L179" s="13" t="n">
        <f aca="false">IF(INDEX(選手一覧!$D$7:$D$2738,$K179)="","",INDEX(選手一覧!$D$7:$D$2738,$K179))</f>
        <v>0.0106498842592593</v>
      </c>
      <c r="M179" s="14" t="n">
        <f aca="false">IF(INDEX(選手一覧!$E$7:$E$2738,$K179)="","",INDEX(選手一覧!$E$7:$E$2738,$K179))</f>
        <v>525</v>
      </c>
      <c r="N179" s="16" t="n">
        <f aca="false">IF(INDEX(選手一覧!$H$7:$H$2738,$K179)="","",INDEX(選手一覧!$H$7:$H$2738,$K179))</f>
        <v>0.006834375</v>
      </c>
      <c r="O179" s="17" t="n">
        <f aca="false">IF(INDEX(選手一覧!$I$7:$I$2738,$K179)="","",INDEX(選手一覧!$I$7:$I$2738,$K179))</f>
        <v>196</v>
      </c>
      <c r="P179" s="16" t="n">
        <f aca="false">IF(INDEX(選手一覧!$J$7:$J$2738,$K179)="","",INDEX(選手一覧!$J$7:$J$2738,$K179))</f>
        <v>0.00289097222222222</v>
      </c>
      <c r="Q179" s="17" t="n">
        <f aca="false">IF(INDEX(選手一覧!$K$7:$K$2738,$K179)="","",INDEX(選手一覧!$K$7:$K$2738,$K179))</f>
        <v>875</v>
      </c>
    </row>
    <row r="180" customFormat="false" ht="15" hidden="false" customHeight="false" outlineLevel="0" collapsed="false">
      <c r="A180" s="29" t="n">
        <v>6</v>
      </c>
      <c r="B180" s="30" t="n">
        <v>4.9</v>
      </c>
      <c r="C180" s="14" t="n">
        <v>37</v>
      </c>
      <c r="D180" s="17" t="n">
        <f aca="false">COUNTIFS($A$5:$A$229,A180,$E$5:$E$229,"&lt;"&amp;E180)+1</f>
        <v>12</v>
      </c>
      <c r="E180" s="31" t="n">
        <v>0.0104166666666667</v>
      </c>
      <c r="F180" s="31" t="n">
        <f aca="false">E180/B180</f>
        <v>0.00212585034013606</v>
      </c>
      <c r="G180" s="12" t="s">
        <v>4543</v>
      </c>
      <c r="H180" s="12" t="s">
        <v>4264</v>
      </c>
      <c r="I180" s="32" t="s">
        <v>4265</v>
      </c>
      <c r="J180" s="17" t="n">
        <v>11</v>
      </c>
      <c r="K180" s="17" t="n">
        <v>551</v>
      </c>
      <c r="L180" s="13" t="n">
        <f aca="false">IF(INDEX(選手一覧!$D$7:$D$2738,$K180)="","",INDEX(選手一覧!$D$7:$D$2738,$K180))</f>
        <v>0.0106728009259259</v>
      </c>
      <c r="M180" s="14" t="n">
        <f aca="false">IF(INDEX(選手一覧!$E$7:$E$2738,$K180)="","",INDEX(選手一覧!$E$7:$E$2738,$K180))</f>
        <v>552</v>
      </c>
      <c r="N180" s="16" t="n">
        <f aca="false">IF(INDEX(選手一覧!$H$7:$H$2738,$K180)="","",INDEX(選手一覧!$H$7:$H$2738,$K180))</f>
        <v>0.00665798611111111</v>
      </c>
      <c r="O180" s="17" t="n">
        <f aca="false">IF(INDEX(選手一覧!$I$7:$I$2738,$K180)="","",INDEX(選手一覧!$I$7:$I$2738,$K180))</f>
        <v>86</v>
      </c>
      <c r="P180" s="16" t="n">
        <f aca="false">IF(INDEX(選手一覧!$J$7:$J$2738,$K180)="","",INDEX(選手一覧!$J$7:$J$2738,$K180))</f>
        <v>0.00286006944444445</v>
      </c>
      <c r="Q180" s="17" t="n">
        <f aca="false">IF(INDEX(選手一覧!$K$7:$K$2738,$K180)="","",INDEX(選手一覧!$K$7:$K$2738,$K180))</f>
        <v>636</v>
      </c>
    </row>
    <row r="181" customFormat="false" ht="15" hidden="false" customHeight="false" outlineLevel="0" collapsed="false">
      <c r="A181" s="29" t="n">
        <v>6</v>
      </c>
      <c r="B181" s="30" t="n">
        <v>4.9</v>
      </c>
      <c r="C181" s="14" t="n">
        <v>39</v>
      </c>
      <c r="D181" s="17" t="n">
        <f aca="false">COUNTIFS($A$5:$A$229,A181,$E$5:$E$229,"&lt;"&amp;E181)+1</f>
        <v>13</v>
      </c>
      <c r="E181" s="31" t="n">
        <v>0.0104513888888889</v>
      </c>
      <c r="F181" s="31" t="n">
        <f aca="false">E181/B181</f>
        <v>0.00213293650793651</v>
      </c>
      <c r="G181" s="12" t="s">
        <v>4544</v>
      </c>
      <c r="H181" s="12" t="s">
        <v>4348</v>
      </c>
      <c r="I181" s="32" t="s">
        <v>4348</v>
      </c>
      <c r="J181" s="17" t="n">
        <v>42</v>
      </c>
      <c r="K181" s="17" t="n">
        <v>433</v>
      </c>
      <c r="L181" s="13" t="n">
        <f aca="false">IF(INDEX(選手一覧!$D$7:$D$2738,$K181)="","",INDEX(選手一覧!$D$7:$D$2738,$K181))</f>
        <v>0.010580787037037</v>
      </c>
      <c r="M181" s="14" t="n">
        <f aca="false">IF(INDEX(選手一覧!$E$7:$E$2738,$K181)="","",INDEX(選手一覧!$E$7:$E$2738,$K181))</f>
        <v>434</v>
      </c>
      <c r="N181" s="16" t="str">
        <f aca="false">IF(INDEX(選手一覧!$H$7:$H$2738,$K181)="","",INDEX(選手一覧!$H$7:$H$2738,$K181))</f>
        <v/>
      </c>
      <c r="O181" s="17" t="str">
        <f aca="false">IF(INDEX(選手一覧!$I$7:$I$2738,$K181)="","",INDEX(選手一覧!$I$7:$I$2738,$K181))</f>
        <v/>
      </c>
      <c r="P181" s="16" t="n">
        <f aca="false">IF(INDEX(選手一覧!$J$7:$J$2738,$K181)="","",INDEX(選手一覧!$J$7:$J$2738,$K181))</f>
        <v>0.00290289351851852</v>
      </c>
      <c r="Q181" s="17" t="n">
        <f aca="false">IF(INDEX(選手一覧!$K$7:$K$2738,$K181)="","",INDEX(選手一覧!$K$7:$K$2738,$K181))</f>
        <v>970</v>
      </c>
    </row>
    <row r="182" customFormat="false" ht="15" hidden="false" customHeight="false" outlineLevel="0" collapsed="false">
      <c r="A182" s="29" t="n">
        <v>6</v>
      </c>
      <c r="B182" s="30" t="n">
        <v>4.9</v>
      </c>
      <c r="C182" s="14" t="n">
        <v>41</v>
      </c>
      <c r="D182" s="17" t="n">
        <f aca="false">COUNTIFS($A$5:$A$229,A182,$E$5:$E$229,"&lt;"&amp;E182)+1</f>
        <v>16</v>
      </c>
      <c r="E182" s="31" t="n">
        <v>0.0105555555555556</v>
      </c>
      <c r="F182" s="31" t="n">
        <f aca="false">E182/B182</f>
        <v>0.00215419501133787</v>
      </c>
      <c r="G182" s="12" t="s">
        <v>4545</v>
      </c>
      <c r="H182" s="12" t="s">
        <v>4363</v>
      </c>
      <c r="I182" s="32" t="s">
        <v>4348</v>
      </c>
      <c r="J182" s="17" t="n">
        <v>48</v>
      </c>
      <c r="K182" s="17" t="n">
        <v>1139</v>
      </c>
      <c r="L182" s="13" t="n">
        <f aca="false">IF(INDEX(選手一覧!$D$7:$D$2738,$K182)="","",INDEX(選手一覧!$D$7:$D$2738,$K182))</f>
        <v>0.0110256944444444</v>
      </c>
      <c r="M182" s="14" t="n">
        <f aca="false">IF(INDEX(選手一覧!$E$7:$E$2738,$K182)="","",INDEX(選手一覧!$E$7:$E$2738,$K182))</f>
        <v>1140</v>
      </c>
      <c r="N182" s="16" t="n">
        <f aca="false">IF(INDEX(選手一覧!$H$7:$H$2738,$K182)="","",INDEX(選手一覧!$H$7:$H$2738,$K182))</f>
        <v>0.00750810185185185</v>
      </c>
      <c r="O182" s="17" t="n">
        <f aca="false">IF(INDEX(選手一覧!$I$7:$I$2738,$K182)="","",INDEX(選手一覧!$I$7:$I$2738,$K182))</f>
        <v>897</v>
      </c>
      <c r="P182" s="16" t="n">
        <f aca="false">IF(INDEX(選手一覧!$J$7:$J$2738,$K182)="","",INDEX(選手一覧!$J$7:$J$2738,$K182))</f>
        <v>0.00280104166666667</v>
      </c>
      <c r="Q182" s="17" t="n">
        <f aca="false">IF(INDEX(選手一覧!$K$7:$K$2738,$K182)="","",INDEX(選手一覧!$K$7:$K$2738,$K182))</f>
        <v>287</v>
      </c>
    </row>
    <row r="183" customFormat="false" ht="15" hidden="false" customHeight="false" outlineLevel="0" collapsed="false">
      <c r="A183" s="29" t="n">
        <v>6</v>
      </c>
      <c r="B183" s="30" t="n">
        <v>4.9</v>
      </c>
      <c r="C183" s="14" t="n">
        <v>41</v>
      </c>
      <c r="D183" s="17" t="n">
        <f aca="false">COUNTIFS($A$5:$A$229,A183,$E$5:$E$229,"&lt;"&amp;E183)+1</f>
        <v>16</v>
      </c>
      <c r="E183" s="31" t="n">
        <v>0.0105555555555556</v>
      </c>
      <c r="F183" s="31" t="n">
        <f aca="false">E183/B183</f>
        <v>0.00215419501133787</v>
      </c>
      <c r="G183" s="12" t="s">
        <v>4546</v>
      </c>
      <c r="H183" s="12" t="s">
        <v>4547</v>
      </c>
      <c r="I183" s="32" t="s">
        <v>4268</v>
      </c>
      <c r="J183" s="17" t="n">
        <v>56</v>
      </c>
      <c r="K183" s="17" t="n">
        <v>719</v>
      </c>
      <c r="L183" s="13" t="n">
        <f aca="false">IF(INDEX(選手一覧!$D$7:$D$2738,$K183)="","",INDEX(選手一覧!$D$7:$D$2738,$K183))</f>
        <v>0.0107890046296296</v>
      </c>
      <c r="M183" s="14" t="n">
        <f aca="false">IF(INDEX(選手一覧!$E$7:$E$2738,$K183)="","",INDEX(選手一覧!$E$7:$E$2738,$K183))</f>
        <v>720</v>
      </c>
      <c r="N183" s="16" t="str">
        <f aca="false">IF(INDEX(選手一覧!$H$7:$H$2738,$K183)="","",INDEX(選手一覧!$H$7:$H$2738,$K183))</f>
        <v/>
      </c>
      <c r="O183" s="17" t="str">
        <f aca="false">IF(INDEX(選手一覧!$I$7:$I$2738,$K183)="","",INDEX(選手一覧!$I$7:$I$2738,$K183))</f>
        <v/>
      </c>
      <c r="P183" s="16" t="n">
        <f aca="false">IF(INDEX(選手一覧!$J$7:$J$2738,$K183)="","",INDEX(選手一覧!$J$7:$J$2738,$K183))</f>
        <v>0.00283587962962963</v>
      </c>
      <c r="Q183" s="17" t="n">
        <f aca="false">IF(INDEX(選手一覧!$K$7:$K$2738,$K183)="","",INDEX(選手一覧!$K$7:$K$2738,$K183))</f>
        <v>470</v>
      </c>
    </row>
    <row r="184" customFormat="false" ht="15" hidden="false" customHeight="false" outlineLevel="0" collapsed="false">
      <c r="A184" s="29" t="n">
        <v>6</v>
      </c>
      <c r="B184" s="30" t="n">
        <v>4.9</v>
      </c>
      <c r="C184" s="14" t="n">
        <v>48</v>
      </c>
      <c r="D184" s="17" t="n">
        <f aca="false">COUNTIFS($A$5:$A$229,A184,$E$5:$E$229,"&lt;"&amp;E184)+1</f>
        <v>16</v>
      </c>
      <c r="E184" s="31" t="n">
        <v>0.010625</v>
      </c>
      <c r="F184" s="31" t="n">
        <f aca="false">E184/B184</f>
        <v>0.00216836734693878</v>
      </c>
      <c r="G184" s="12" t="s">
        <v>4548</v>
      </c>
      <c r="H184" s="12" t="s">
        <v>4288</v>
      </c>
      <c r="I184" s="32" t="s">
        <v>4289</v>
      </c>
      <c r="J184" s="17" t="n">
        <v>34</v>
      </c>
      <c r="K184" s="17" t="n">
        <v>1372</v>
      </c>
      <c r="L184" s="13" t="str">
        <f aca="false">IF(INDEX(選手一覧!$D$7:$D$2738,$K184)="","",INDEX(選手一覧!$D$7:$D$2738,$K184))</f>
        <v/>
      </c>
      <c r="M184" s="14" t="str">
        <f aca="false">IF(INDEX(選手一覧!$E$7:$E$2738,$K184)="","",INDEX(選手一覧!$E$7:$E$2738,$K184))</f>
        <v/>
      </c>
      <c r="N184" s="16" t="n">
        <f aca="false">IF(INDEX(選手一覧!$H$7:$H$2738,$K184)="","",INDEX(選手一覧!$H$7:$H$2738,$K184))</f>
        <v>0.00689525462962963</v>
      </c>
      <c r="O184" s="17" t="n">
        <f aca="false">IF(INDEX(選手一覧!$I$7:$I$2738,$K184)="","",INDEX(選手一覧!$I$7:$I$2738,$K184))</f>
        <v>237</v>
      </c>
      <c r="P184" s="16" t="str">
        <f aca="false">IF(INDEX(選手一覧!$J$7:$J$2738,$K184)="","",INDEX(選手一覧!$J$7:$J$2738,$K184))</f>
        <v/>
      </c>
      <c r="Q184" s="17" t="str">
        <f aca="false">IF(INDEX(選手一覧!$K$7:$K$2738,$K184)="","",INDEX(選手一覧!$K$7:$K$2738,$K184))</f>
        <v/>
      </c>
    </row>
    <row r="185" customFormat="false" ht="15" hidden="false" customHeight="false" outlineLevel="0" collapsed="false">
      <c r="A185" s="29" t="n">
        <v>6</v>
      </c>
      <c r="B185" s="30" t="n">
        <v>4.9</v>
      </c>
      <c r="C185" s="14" t="n">
        <v>48</v>
      </c>
      <c r="D185" s="17" t="n">
        <f aca="false">COUNTIFS($A$5:$A$229,A185,$E$5:$E$229,"&lt;"&amp;E185)+1</f>
        <v>16</v>
      </c>
      <c r="E185" s="31" t="n">
        <v>0.010625</v>
      </c>
      <c r="F185" s="31" t="n">
        <f aca="false">E185/B185</f>
        <v>0.00216836734693878</v>
      </c>
      <c r="G185" s="12" t="s">
        <v>4549</v>
      </c>
      <c r="H185" s="12" t="s">
        <v>4321</v>
      </c>
      <c r="I185" s="32" t="s">
        <v>4257</v>
      </c>
      <c r="J185" s="17" t="n">
        <v>49</v>
      </c>
      <c r="K185" s="17" t="n">
        <v>806</v>
      </c>
      <c r="L185" s="13" t="n">
        <f aca="false">IF(INDEX(選手一覧!$D$7:$D$2738,$K185)="","",INDEX(選手一覧!$D$7:$D$2738,$K185))</f>
        <v>0.0108380787037037</v>
      </c>
      <c r="M185" s="14" t="n">
        <f aca="false">IF(INDEX(選手一覧!$E$7:$E$2738,$K185)="","",INDEX(選手一覧!$E$7:$E$2738,$K185))</f>
        <v>807</v>
      </c>
      <c r="N185" s="16" t="str">
        <f aca="false">IF(INDEX(選手一覧!$H$7:$H$2738,$K185)="","",INDEX(選手一覧!$H$7:$H$2738,$K185))</f>
        <v/>
      </c>
      <c r="O185" s="17" t="str">
        <f aca="false">IF(INDEX(選手一覧!$I$7:$I$2738,$K185)="","",INDEX(選手一覧!$I$7:$I$2738,$K185))</f>
        <v/>
      </c>
      <c r="P185" s="16" t="str">
        <f aca="false">IF(INDEX(選手一覧!$J$7:$J$2738,$K185)="","",INDEX(選手一覧!$J$7:$J$2738,$K185))</f>
        <v/>
      </c>
      <c r="Q185" s="17" t="str">
        <f aca="false">IF(INDEX(選手一覧!$K$7:$K$2738,$K185)="","",INDEX(選手一覧!$K$7:$K$2738,$K185))</f>
        <v/>
      </c>
    </row>
    <row r="186" customFormat="false" ht="15" hidden="false" customHeight="false" outlineLevel="0" collapsed="false">
      <c r="A186" s="29" t="n">
        <v>6</v>
      </c>
      <c r="B186" s="30" t="n">
        <v>4.9</v>
      </c>
      <c r="C186" s="14" t="n">
        <v>52</v>
      </c>
      <c r="D186" s="17" t="n">
        <f aca="false">COUNTIFS($A$5:$A$229,A186,$E$5:$E$229,"&lt;"&amp;E186)+1</f>
        <v>18</v>
      </c>
      <c r="E186" s="31" t="n">
        <v>0.0106944444444444</v>
      </c>
      <c r="F186" s="31" t="n">
        <f aca="false">E186/B186</f>
        <v>0.00218253968253968</v>
      </c>
      <c r="G186" s="12" t="s">
        <v>4550</v>
      </c>
      <c r="H186" s="12" t="s">
        <v>4377</v>
      </c>
      <c r="I186" s="32" t="s">
        <v>4378</v>
      </c>
      <c r="J186" s="17" t="n">
        <v>53</v>
      </c>
      <c r="K186" s="17" t="n">
        <v>663</v>
      </c>
      <c r="L186" s="13" t="n">
        <f aca="false">IF(INDEX(選手一覧!$D$7:$D$2738,$K186)="","",INDEX(選手一覧!$D$7:$D$2738,$K186))</f>
        <v>0.0107466435185185</v>
      </c>
      <c r="M186" s="14" t="n">
        <f aca="false">IF(INDEX(選手一覧!$E$7:$E$2738,$K186)="","",INDEX(選手一覧!$E$7:$E$2738,$K186))</f>
        <v>664</v>
      </c>
      <c r="N186" s="16" t="str">
        <f aca="false">IF(INDEX(選手一覧!$H$7:$H$2738,$K186)="","",INDEX(選手一覧!$H$7:$H$2738,$K186))</f>
        <v/>
      </c>
      <c r="O186" s="17" t="str">
        <f aca="false">IF(INDEX(選手一覧!$I$7:$I$2738,$K186)="","",INDEX(選手一覧!$I$7:$I$2738,$K186))</f>
        <v/>
      </c>
      <c r="P186" s="16" t="n">
        <f aca="false">IF(INDEX(選手一覧!$J$7:$J$2738,$K186)="","",INDEX(選手一覧!$J$7:$J$2738,$K186))</f>
        <v>0.00274930555555556</v>
      </c>
      <c r="Q186" s="17" t="n">
        <f aca="false">IF(INDEX(選手一覧!$K$7:$K$2738,$K186)="","",INDEX(選手一覧!$K$7:$K$2738,$K186))</f>
        <v>102</v>
      </c>
    </row>
    <row r="187" customFormat="false" ht="15" hidden="false" customHeight="false" outlineLevel="0" collapsed="false">
      <c r="A187" s="29" t="n">
        <v>6</v>
      </c>
      <c r="B187" s="30" t="n">
        <v>4.9</v>
      </c>
      <c r="C187" s="14" t="n">
        <v>54</v>
      </c>
      <c r="D187" s="17" t="n">
        <f aca="false">COUNTIFS($A$5:$A$229,A187,$E$5:$E$229,"&lt;"&amp;E187)+1</f>
        <v>19</v>
      </c>
      <c r="E187" s="31" t="n">
        <v>0.0107175925925926</v>
      </c>
      <c r="F187" s="31" t="n">
        <f aca="false">E187/B187</f>
        <v>0.00218726379440665</v>
      </c>
      <c r="G187" s="12" t="s">
        <v>4551</v>
      </c>
      <c r="H187" s="12" t="s">
        <v>4485</v>
      </c>
      <c r="I187" s="32" t="s">
        <v>4280</v>
      </c>
      <c r="J187" s="17" t="n">
        <v>55</v>
      </c>
      <c r="K187" s="17" t="n">
        <v>411</v>
      </c>
      <c r="L187" s="13" t="n">
        <f aca="false">IF(INDEX(選手一覧!$D$7:$D$2738,$K187)="","",INDEX(選手一覧!$D$7:$D$2738,$K187))</f>
        <v>0.0105601851851852</v>
      </c>
      <c r="M187" s="14" t="n">
        <f aca="false">IF(INDEX(選手一覧!$E$7:$E$2738,$K187)="","",INDEX(選手一覧!$E$7:$E$2738,$K187))</f>
        <v>412</v>
      </c>
      <c r="N187" s="16" t="str">
        <f aca="false">IF(INDEX(選手一覧!$H$7:$H$2738,$K187)="","",INDEX(選手一覧!$H$7:$H$2738,$K187))</f>
        <v/>
      </c>
      <c r="O187" s="17" t="str">
        <f aca="false">IF(INDEX(選手一覧!$I$7:$I$2738,$K187)="","",INDEX(選手一覧!$I$7:$I$2738,$K187))</f>
        <v/>
      </c>
      <c r="P187" s="16" t="n">
        <f aca="false">IF(INDEX(選手一覧!$J$7:$J$2738,$K187)="","",INDEX(選手一覧!$J$7:$J$2738,$K187))</f>
        <v>0.00284988425925926</v>
      </c>
      <c r="Q187" s="17" t="n">
        <f aca="false">IF(INDEX(選手一覧!$K$7:$K$2738,$K187)="","",INDEX(選手一覧!$K$7:$K$2738,$K187))</f>
        <v>570</v>
      </c>
    </row>
    <row r="188" customFormat="false" ht="15" hidden="false" customHeight="false" outlineLevel="0" collapsed="false">
      <c r="A188" s="29" t="n">
        <v>6</v>
      </c>
      <c r="B188" s="30" t="n">
        <v>4.9</v>
      </c>
      <c r="C188" s="14" t="n">
        <v>54</v>
      </c>
      <c r="D188" s="17" t="n">
        <f aca="false">COUNTIFS($A$5:$A$229,A188,$E$5:$E$229,"&lt;"&amp;E188)+1</f>
        <v>19</v>
      </c>
      <c r="E188" s="31" t="n">
        <v>0.0107175925925926</v>
      </c>
      <c r="F188" s="31" t="n">
        <f aca="false">E188/B188</f>
        <v>0.00218726379440665</v>
      </c>
      <c r="G188" s="12" t="s">
        <v>4552</v>
      </c>
      <c r="H188" s="12" t="s">
        <v>4400</v>
      </c>
      <c r="I188" s="32" t="s">
        <v>4271</v>
      </c>
      <c r="J188" s="17" t="n">
        <v>71</v>
      </c>
      <c r="K188" s="17" t="n">
        <v>1028</v>
      </c>
      <c r="L188" s="13" t="n">
        <f aca="false">IF(INDEX(選手一覧!$D$7:$D$2738,$K188)="","",INDEX(選手一覧!$D$7:$D$2738,$K188))</f>
        <v>0.0109672453703704</v>
      </c>
      <c r="M188" s="14" t="n">
        <f aca="false">IF(INDEX(選手一覧!$E$7:$E$2738,$K188)="","",INDEX(選手一覧!$E$7:$E$2738,$K188))</f>
        <v>1029</v>
      </c>
      <c r="N188" s="16" t="n">
        <f aca="false">IF(INDEX(選手一覧!$H$7:$H$2738,$K188)="","",INDEX(選手一覧!$H$7:$H$2738,$K188))</f>
        <v>0.00675219907407407</v>
      </c>
      <c r="O188" s="17" t="n">
        <f aca="false">IF(INDEX(選手一覧!$I$7:$I$2738,$K188)="","",INDEX(選手一覧!$I$7:$I$2738,$K188))</f>
        <v>130</v>
      </c>
      <c r="P188" s="16" t="n">
        <f aca="false">IF(INDEX(選手一覧!$J$7:$J$2738,$K188)="","",INDEX(選手一覧!$J$7:$J$2738,$K188))</f>
        <v>0.0029099537037037</v>
      </c>
      <c r="Q188" s="17" t="n">
        <f aca="false">IF(INDEX(選手一覧!$K$7:$K$2738,$K188)="","",INDEX(選手一覧!$K$7:$K$2738,$K188))</f>
        <v>1019</v>
      </c>
    </row>
    <row r="189" customFormat="false" ht="15" hidden="false" customHeight="false" outlineLevel="0" collapsed="false">
      <c r="A189" s="29" t="n">
        <v>6</v>
      </c>
      <c r="B189" s="30" t="n">
        <v>4.9</v>
      </c>
      <c r="C189" s="14" t="n">
        <v>56</v>
      </c>
      <c r="D189" s="17" t="n">
        <f aca="false">COUNTIFS($A$5:$A$229,A189,$E$5:$E$229,"&lt;"&amp;E189)+1</f>
        <v>21</v>
      </c>
      <c r="E189" s="31" t="n">
        <v>0.0107407407407407</v>
      </c>
      <c r="F189" s="31" t="n">
        <f aca="false">E189/B189</f>
        <v>0.00219198790627362</v>
      </c>
      <c r="G189" s="12" t="s">
        <v>4553</v>
      </c>
      <c r="H189" s="12" t="s">
        <v>4380</v>
      </c>
      <c r="I189" s="32" t="s">
        <v>4284</v>
      </c>
      <c r="J189" s="17" t="n">
        <v>43</v>
      </c>
      <c r="K189" s="17" t="n">
        <v>832</v>
      </c>
      <c r="L189" s="13" t="n">
        <f aca="false">IF(INDEX(選手一覧!$D$7:$D$2738,$K189)="","",INDEX(選手一覧!$D$7:$D$2738,$K189))</f>
        <v>0.0108482638888889</v>
      </c>
      <c r="M189" s="14" t="n">
        <f aca="false">IF(INDEX(選手一覧!$E$7:$E$2738,$K189)="","",INDEX(選手一覧!$E$7:$E$2738,$K189))</f>
        <v>833</v>
      </c>
      <c r="N189" s="16" t="str">
        <f aca="false">IF(INDEX(選手一覧!$H$7:$H$2738,$K189)="","",INDEX(選手一覧!$H$7:$H$2738,$K189))</f>
        <v/>
      </c>
      <c r="O189" s="17" t="str">
        <f aca="false">IF(INDEX(選手一覧!$I$7:$I$2738,$K189)="","",INDEX(選手一覧!$I$7:$I$2738,$K189))</f>
        <v/>
      </c>
      <c r="P189" s="16" t="str">
        <f aca="false">IF(INDEX(選手一覧!$J$7:$J$2738,$K189)="","",INDEX(選手一覧!$J$7:$J$2738,$K189))</f>
        <v/>
      </c>
      <c r="Q189" s="17" t="str">
        <f aca="false">IF(INDEX(選手一覧!$K$7:$K$2738,$K189)="","",INDEX(選手一覧!$K$7:$K$2738,$K189))</f>
        <v/>
      </c>
    </row>
    <row r="190" customFormat="false" ht="15" hidden="false" customHeight="false" outlineLevel="0" collapsed="false">
      <c r="A190" s="29" t="n">
        <v>6</v>
      </c>
      <c r="B190" s="30" t="n">
        <v>4.9</v>
      </c>
      <c r="C190" s="14" t="n">
        <v>61</v>
      </c>
      <c r="D190" s="17" t="n">
        <f aca="false">COUNTIFS($A$5:$A$229,A190,$E$5:$E$229,"&lt;"&amp;E190)+1</f>
        <v>22</v>
      </c>
      <c r="E190" s="31" t="n">
        <v>0.0108101851851852</v>
      </c>
      <c r="F190" s="31" t="n">
        <f aca="false">E190/B190</f>
        <v>0.00220616024187453</v>
      </c>
      <c r="G190" s="12" t="s">
        <v>4554</v>
      </c>
      <c r="H190" s="12" t="s">
        <v>4334</v>
      </c>
      <c r="I190" s="32" t="s">
        <v>4335</v>
      </c>
      <c r="J190" s="17" t="n">
        <v>61</v>
      </c>
      <c r="K190" s="17" t="n">
        <v>916</v>
      </c>
      <c r="L190" s="13" t="n">
        <f aca="false">IF(INDEX(選手一覧!$D$7:$D$2738,$K190)="","",INDEX(選手一覧!$D$7:$D$2738,$K190))</f>
        <v>0.010896875</v>
      </c>
      <c r="M190" s="14" t="n">
        <f aca="false">IF(INDEX(選手一覧!$E$7:$E$2738,$K190)="","",INDEX(選手一覧!$E$7:$E$2738,$K190))</f>
        <v>917</v>
      </c>
      <c r="N190" s="16" t="n">
        <f aca="false">IF(INDEX(選手一覧!$H$7:$H$2738,$K190)="","",INDEX(選手一覧!$H$7:$H$2738,$K190))</f>
        <v>0.00691886574074074</v>
      </c>
      <c r="O190" s="17" t="n">
        <f aca="false">IF(INDEX(選手一覧!$I$7:$I$2738,$K190)="","",INDEX(選手一覧!$I$7:$I$2738,$K190))</f>
        <v>254</v>
      </c>
      <c r="P190" s="16" t="str">
        <f aca="false">IF(INDEX(選手一覧!$J$7:$J$2738,$K190)="","",INDEX(選手一覧!$J$7:$J$2738,$K190))</f>
        <v/>
      </c>
      <c r="Q190" s="17" t="str">
        <f aca="false">IF(INDEX(選手一覧!$K$7:$K$2738,$K190)="","",INDEX(選手一覧!$K$7:$K$2738,$K190))</f>
        <v/>
      </c>
    </row>
    <row r="191" customFormat="false" ht="15" hidden="false" customHeight="false" outlineLevel="0" collapsed="false">
      <c r="A191" s="29" t="n">
        <v>6</v>
      </c>
      <c r="B191" s="30" t="n">
        <v>4.9</v>
      </c>
      <c r="C191" s="14" t="n">
        <v>63</v>
      </c>
      <c r="D191" s="17" t="n">
        <f aca="false">COUNTIFS($A$5:$A$229,A191,$E$5:$E$229,"&lt;"&amp;E191)+1</f>
        <v>23</v>
      </c>
      <c r="E191" s="31" t="n">
        <v>0.0108564814814815</v>
      </c>
      <c r="F191" s="31" t="n">
        <f aca="false">E191/B191</f>
        <v>0.00221560846560847</v>
      </c>
      <c r="G191" s="12" t="s">
        <v>4555</v>
      </c>
      <c r="H191" s="12" t="s">
        <v>4469</v>
      </c>
      <c r="I191" s="32" t="s">
        <v>4470</v>
      </c>
      <c r="J191" s="17" t="n">
        <v>32</v>
      </c>
      <c r="K191" s="17" t="n">
        <v>1739</v>
      </c>
      <c r="L191" s="13" t="str">
        <f aca="false">IF(INDEX(選手一覧!$D$7:$D$2738,$K191)="","",INDEX(選手一覧!$D$7:$D$2738,$K191))</f>
        <v/>
      </c>
      <c r="M191" s="14" t="str">
        <f aca="false">IF(INDEX(選手一覧!$E$7:$E$2738,$K191)="","",INDEX(選手一覧!$E$7:$E$2738,$K191))</f>
        <v/>
      </c>
      <c r="N191" s="16" t="str">
        <f aca="false">IF(INDEX(選手一覧!$H$7:$H$2738,$K191)="","",INDEX(選手一覧!$H$7:$H$2738,$K191))</f>
        <v/>
      </c>
      <c r="O191" s="17" t="str">
        <f aca="false">IF(INDEX(選手一覧!$I$7:$I$2738,$K191)="","",INDEX(選手一覧!$I$7:$I$2738,$K191))</f>
        <v/>
      </c>
      <c r="P191" s="16" t="n">
        <f aca="false">IF(INDEX(選手一覧!$J$7:$J$2738,$K191)="","",INDEX(選手一覧!$J$7:$J$2738,$K191))</f>
        <v>0.00286099537037037</v>
      </c>
      <c r="Q191" s="17" t="n">
        <f aca="false">IF(INDEX(選手一覧!$K$7:$K$2738,$K191)="","",INDEX(選手一覧!$K$7:$K$2738,$K191))</f>
        <v>639</v>
      </c>
    </row>
    <row r="192" customFormat="false" ht="15" hidden="false" customHeight="false" outlineLevel="0" collapsed="false">
      <c r="A192" s="29" t="n">
        <v>6</v>
      </c>
      <c r="B192" s="30" t="n">
        <v>4.9</v>
      </c>
      <c r="C192" s="14" t="n">
        <v>70</v>
      </c>
      <c r="D192" s="17" t="n">
        <f aca="false">COUNTIFS($A$5:$A$229,A192,$E$5:$E$229,"&lt;"&amp;E192)+1</f>
        <v>24</v>
      </c>
      <c r="E192" s="31" t="n">
        <v>0.0109722222222222</v>
      </c>
      <c r="F192" s="31" t="n">
        <f aca="false">E192/B192</f>
        <v>0.00223922902494331</v>
      </c>
      <c r="G192" s="12" t="s">
        <v>4556</v>
      </c>
      <c r="H192" s="12" t="s">
        <v>4441</v>
      </c>
      <c r="I192" s="32" t="s">
        <v>4332</v>
      </c>
      <c r="J192" s="17" t="n">
        <v>72</v>
      </c>
      <c r="K192" s="17" t="n">
        <v>1415</v>
      </c>
      <c r="L192" s="13" t="str">
        <f aca="false">IF(INDEX(選手一覧!$D$7:$D$2738,$K192)="","",INDEX(選手一覧!$D$7:$D$2738,$K192))</f>
        <v/>
      </c>
      <c r="M192" s="14" t="str">
        <f aca="false">IF(INDEX(選手一覧!$E$7:$E$2738,$K192)="","",INDEX(選手一覧!$E$7:$E$2738,$K192))</f>
        <v/>
      </c>
      <c r="N192" s="16" t="n">
        <f aca="false">IF(INDEX(選手一覧!$H$7:$H$2738,$K192)="","",INDEX(選手一覧!$H$7:$H$2738,$K192))</f>
        <v>0.00695972222222222</v>
      </c>
      <c r="O192" s="17" t="n">
        <f aca="false">IF(INDEX(選手一覧!$I$7:$I$2738,$K192)="","",INDEX(選手一覧!$I$7:$I$2738,$K192))</f>
        <v>292</v>
      </c>
      <c r="P192" s="16" t="str">
        <f aca="false">IF(INDEX(選手一覧!$J$7:$J$2738,$K192)="","",INDEX(選手一覧!$J$7:$J$2738,$K192))</f>
        <v/>
      </c>
      <c r="Q192" s="17" t="str">
        <f aca="false">IF(INDEX(選手一覧!$K$7:$K$2738,$K192)="","",INDEX(選手一覧!$K$7:$K$2738,$K192))</f>
        <v/>
      </c>
    </row>
    <row r="193" customFormat="false" ht="15" hidden="false" customHeight="false" outlineLevel="0" collapsed="false">
      <c r="A193" s="29" t="n">
        <v>6</v>
      </c>
      <c r="B193" s="30" t="n">
        <v>4.9</v>
      </c>
      <c r="C193" s="14" t="n">
        <v>70</v>
      </c>
      <c r="D193" s="17" t="n">
        <f aca="false">COUNTIFS($A$5:$A$229,A193,$E$5:$E$229,"&lt;"&amp;E193)+1</f>
        <v>24</v>
      </c>
      <c r="E193" s="31" t="n">
        <v>0.0109722222222222</v>
      </c>
      <c r="F193" s="31" t="n">
        <f aca="false">E193/B193</f>
        <v>0.00223922902494331</v>
      </c>
      <c r="G193" s="12" t="s">
        <v>4557</v>
      </c>
      <c r="H193" s="12" t="s">
        <v>4558</v>
      </c>
      <c r="I193" s="32" t="s">
        <v>4257</v>
      </c>
      <c r="J193" s="17" t="n">
        <v>78</v>
      </c>
      <c r="K193" s="17" t="n">
        <v>1132</v>
      </c>
      <c r="L193" s="13" t="n">
        <f aca="false">IF(INDEX(選手一覧!$D$7:$D$2738,$K193)="","",INDEX(選手一覧!$D$7:$D$2738,$K193))</f>
        <v>0.011021875</v>
      </c>
      <c r="M193" s="14" t="n">
        <f aca="false">IF(INDEX(選手一覧!$E$7:$E$2738,$K193)="","",INDEX(選手一覧!$E$7:$E$2738,$K193))</f>
        <v>1133</v>
      </c>
      <c r="N193" s="16" t="str">
        <f aca="false">IF(INDEX(選手一覧!$H$7:$H$2738,$K193)="","",INDEX(選手一覧!$H$7:$H$2738,$K193))</f>
        <v/>
      </c>
      <c r="O193" s="17" t="str">
        <f aca="false">IF(INDEX(選手一覧!$I$7:$I$2738,$K193)="","",INDEX(選手一覧!$I$7:$I$2738,$K193))</f>
        <v/>
      </c>
      <c r="P193" s="16" t="str">
        <f aca="false">IF(INDEX(選手一覧!$J$7:$J$2738,$K193)="","",INDEX(選手一覧!$J$7:$J$2738,$K193))</f>
        <v/>
      </c>
      <c r="Q193" s="17" t="str">
        <f aca="false">IF(INDEX(選手一覧!$K$7:$K$2738,$K193)="","",INDEX(選手一覧!$K$7:$K$2738,$K193))</f>
        <v/>
      </c>
    </row>
    <row r="194" customFormat="false" ht="15" hidden="false" customHeight="false" outlineLevel="0" collapsed="false">
      <c r="A194" s="29" t="n">
        <v>6</v>
      </c>
      <c r="B194" s="30" t="n">
        <v>4.9</v>
      </c>
      <c r="C194" s="14" t="n">
        <v>75</v>
      </c>
      <c r="D194" s="17" t="n">
        <f aca="false">COUNTIFS($A$5:$A$229,A194,$E$5:$E$229,"&lt;"&amp;E194)+1</f>
        <v>26</v>
      </c>
      <c r="E194" s="31" t="n">
        <v>0.0110532407407407</v>
      </c>
      <c r="F194" s="31" t="n">
        <f aca="false">E194/B194</f>
        <v>0.0022557634164777</v>
      </c>
      <c r="G194" s="12" t="s">
        <v>4559</v>
      </c>
      <c r="H194" s="12" t="s">
        <v>4447</v>
      </c>
      <c r="I194" s="32" t="s">
        <v>4268</v>
      </c>
      <c r="J194" s="17" t="n">
        <v>75</v>
      </c>
      <c r="K194" s="17" t="n">
        <v>1435</v>
      </c>
      <c r="L194" s="13" t="str">
        <f aca="false">IF(INDEX(選手一覧!$D$7:$D$2738,$K194)="","",INDEX(選手一覧!$D$7:$D$2738,$K194))</f>
        <v/>
      </c>
      <c r="M194" s="14" t="str">
        <f aca="false">IF(INDEX(選手一覧!$E$7:$E$2738,$K194)="","",INDEX(選手一覧!$E$7:$E$2738,$K194))</f>
        <v/>
      </c>
      <c r="N194" s="16" t="n">
        <f aca="false">IF(INDEX(選手一覧!$H$7:$H$2738,$K194)="","",INDEX(選手一覧!$H$7:$H$2738,$K194))</f>
        <v>0.00699039351851852</v>
      </c>
      <c r="O194" s="17" t="n">
        <f aca="false">IF(INDEX(選手一覧!$I$7:$I$2738,$K194)="","",INDEX(選手一覧!$I$7:$I$2738,$K194))</f>
        <v>324</v>
      </c>
      <c r="P194" s="16" t="str">
        <f aca="false">IF(INDEX(選手一覧!$J$7:$J$2738,$K194)="","",INDEX(選手一覧!$J$7:$J$2738,$K194))</f>
        <v/>
      </c>
      <c r="Q194" s="17" t="str">
        <f aca="false">IF(INDEX(選手一覧!$K$7:$K$2738,$K194)="","",INDEX(選手一覧!$K$7:$K$2738,$K194))</f>
        <v/>
      </c>
    </row>
    <row r="195" customFormat="false" ht="15" hidden="false" customHeight="false" outlineLevel="0" collapsed="false">
      <c r="A195" s="29" t="n">
        <v>6</v>
      </c>
      <c r="B195" s="30" t="n">
        <v>4.9</v>
      </c>
      <c r="C195" s="14" t="n">
        <v>80</v>
      </c>
      <c r="D195" s="17" t="n">
        <f aca="false">COUNTIFS($A$5:$A$229,A195,$E$5:$E$229,"&lt;"&amp;E195)+1</f>
        <v>27</v>
      </c>
      <c r="E195" s="31" t="n">
        <v>0.0111574074074074</v>
      </c>
      <c r="F195" s="31" t="n">
        <f aca="false">E195/B195</f>
        <v>0.00227702191987906</v>
      </c>
      <c r="G195" s="12" t="s">
        <v>4560</v>
      </c>
      <c r="H195" s="12" t="s">
        <v>4355</v>
      </c>
      <c r="I195" s="32" t="s">
        <v>4257</v>
      </c>
      <c r="J195" s="17" t="n">
        <v>103</v>
      </c>
      <c r="K195" s="17" t="n">
        <v>2029</v>
      </c>
      <c r="L195" s="13" t="str">
        <f aca="false">IF(INDEX(選手一覧!$D$7:$D$2738,$K195)="","",INDEX(選手一覧!$D$7:$D$2738,$K195))</f>
        <v/>
      </c>
      <c r="M195" s="14" t="str">
        <f aca="false">IF(INDEX(選手一覧!$E$7:$E$2738,$K195)="","",INDEX(選手一覧!$E$7:$E$2738,$K195))</f>
        <v/>
      </c>
      <c r="N195" s="16" t="str">
        <f aca="false">IF(INDEX(選手一覧!$H$7:$H$2738,$K195)="","",INDEX(選手一覧!$H$7:$H$2738,$K195))</f>
        <v/>
      </c>
      <c r="O195" s="17" t="str">
        <f aca="false">IF(INDEX(選手一覧!$I$7:$I$2738,$K195)="","",INDEX(選手一覧!$I$7:$I$2738,$K195))</f>
        <v/>
      </c>
      <c r="P195" s="16" t="n">
        <f aca="false">IF(INDEX(選手一覧!$J$7:$J$2738,$K195)="","",INDEX(選手一覧!$J$7:$J$2738,$K195))</f>
        <v>0.00289085648148148</v>
      </c>
      <c r="Q195" s="17" t="n">
        <f aca="false">IF(INDEX(選手一覧!$K$7:$K$2738,$K195)="","",INDEX(選手一覧!$K$7:$K$2738,$K195))</f>
        <v>873</v>
      </c>
    </row>
    <row r="196" customFormat="false" ht="15" hidden="false" customHeight="false" outlineLevel="0" collapsed="false">
      <c r="A196" s="29" t="n">
        <v>6</v>
      </c>
      <c r="B196" s="30" t="n">
        <v>4.9</v>
      </c>
      <c r="C196" s="14" t="n">
        <v>82</v>
      </c>
      <c r="D196" s="17" t="n">
        <f aca="false">COUNTIFS($A$5:$A$229,A196,$E$5:$E$229,"&lt;"&amp;E196)+1</f>
        <v>29</v>
      </c>
      <c r="E196" s="31" t="n">
        <v>0.0112268518518519</v>
      </c>
      <c r="F196" s="31" t="n">
        <f aca="false">E196/B196</f>
        <v>0.00229119425547997</v>
      </c>
      <c r="G196" s="12" t="s">
        <v>4561</v>
      </c>
      <c r="H196" s="12" t="s">
        <v>4394</v>
      </c>
      <c r="I196" s="32" t="s">
        <v>4348</v>
      </c>
      <c r="J196" s="17" t="n">
        <v>65</v>
      </c>
      <c r="K196" s="17" t="n">
        <v>1599</v>
      </c>
      <c r="L196" s="13" t="str">
        <f aca="false">IF(INDEX(選手一覧!$D$7:$D$2738,$K196)="","",INDEX(選手一覧!$D$7:$D$2738,$K196))</f>
        <v/>
      </c>
      <c r="M196" s="14" t="str">
        <f aca="false">IF(INDEX(選手一覧!$E$7:$E$2738,$K196)="","",INDEX(選手一覧!$E$7:$E$2738,$K196))</f>
        <v/>
      </c>
      <c r="N196" s="16" t="n">
        <f aca="false">IF(INDEX(選手一覧!$H$7:$H$2738,$K196)="","",INDEX(選手一覧!$H$7:$H$2738,$K196))</f>
        <v>0.00716898148148148</v>
      </c>
      <c r="O196" s="17" t="n">
        <f aca="false">IF(INDEX(選手一覧!$I$7:$I$2738,$K196)="","",INDEX(選手一覧!$I$7:$I$2738,$K196))</f>
        <v>507</v>
      </c>
      <c r="P196" s="16" t="str">
        <f aca="false">IF(INDEX(選手一覧!$J$7:$J$2738,$K196)="","",INDEX(選手一覧!$J$7:$J$2738,$K196))</f>
        <v/>
      </c>
      <c r="Q196" s="17" t="str">
        <f aca="false">IF(INDEX(選手一覧!$K$7:$K$2738,$K196)="","",INDEX(選手一覧!$K$7:$K$2738,$K196))</f>
        <v/>
      </c>
    </row>
    <row r="197" customFormat="false" ht="15" hidden="false" customHeight="false" outlineLevel="0" collapsed="false">
      <c r="A197" s="29" t="n">
        <v>6</v>
      </c>
      <c r="B197" s="30" t="n">
        <v>4.9</v>
      </c>
      <c r="C197" s="14" t="n">
        <v>90</v>
      </c>
      <c r="D197" s="17" t="n">
        <f aca="false">COUNTIFS($A$5:$A$229,A197,$E$5:$E$229,"&lt;"&amp;E197)+1</f>
        <v>29</v>
      </c>
      <c r="E197" s="31" t="n">
        <v>0.0114351851851852</v>
      </c>
      <c r="F197" s="31" t="n">
        <f aca="false">E197/B197</f>
        <v>0.00233371126228269</v>
      </c>
      <c r="G197" s="12" t="s">
        <v>4562</v>
      </c>
      <c r="H197" s="12" t="s">
        <v>4526</v>
      </c>
      <c r="I197" s="32" t="s">
        <v>4257</v>
      </c>
      <c r="J197" s="17" t="n">
        <v>63</v>
      </c>
      <c r="K197" s="17" t="n">
        <v>857</v>
      </c>
      <c r="L197" s="13" t="n">
        <f aca="false">IF(INDEX(選手一覧!$D$7:$D$2738,$K197)="","",INDEX(選手一覧!$D$7:$D$2738,$K197))</f>
        <v>0.0108633101851852</v>
      </c>
      <c r="M197" s="14" t="n">
        <f aca="false">IF(INDEX(選手一覧!$E$7:$E$2738,$K197)="","",INDEX(選手一覧!$E$7:$E$2738,$K197))</f>
        <v>858</v>
      </c>
      <c r="N197" s="16" t="str">
        <f aca="false">IF(INDEX(選手一覧!$H$7:$H$2738,$K197)="","",INDEX(選手一覧!$H$7:$H$2738,$K197))</f>
        <v/>
      </c>
      <c r="O197" s="17" t="str">
        <f aca="false">IF(INDEX(選手一覧!$I$7:$I$2738,$K197)="","",INDEX(選手一覧!$I$7:$I$2738,$K197))</f>
        <v/>
      </c>
      <c r="P197" s="16" t="n">
        <f aca="false">IF(INDEX(選手一覧!$J$7:$J$2738,$K197)="","",INDEX(選手一覧!$J$7:$J$2738,$K197))</f>
        <v>0.00289016203703704</v>
      </c>
      <c r="Q197" s="17" t="n">
        <f aca="false">IF(INDEX(選手一覧!$K$7:$K$2738,$K197)="","",INDEX(選手一覧!$K$7:$K$2738,$K197))</f>
        <v>866</v>
      </c>
    </row>
    <row r="198" customFormat="false" ht="15" hidden="false" customHeight="false" outlineLevel="0" collapsed="false">
      <c r="A198" s="29" t="n">
        <v>6</v>
      </c>
      <c r="B198" s="30" t="n">
        <v>4.9</v>
      </c>
      <c r="C198" s="14" t="n">
        <v>100</v>
      </c>
      <c r="D198" s="17" t="n">
        <f aca="false">COUNTIFS($A$5:$A$229,A198,$E$5:$E$229,"&lt;"&amp;E198)+1</f>
        <v>30</v>
      </c>
      <c r="E198" s="31" t="n">
        <v>0.0116666666666667</v>
      </c>
      <c r="F198" s="31" t="n">
        <f aca="false">E198/B198</f>
        <v>0.00238095238095238</v>
      </c>
      <c r="G198" s="12" t="s">
        <v>4563</v>
      </c>
      <c r="H198" s="12" t="s">
        <v>4453</v>
      </c>
      <c r="I198" s="32" t="s">
        <v>4265</v>
      </c>
      <c r="J198" s="17" t="n">
        <v>96</v>
      </c>
      <c r="K198" s="17" t="n">
        <v>2068</v>
      </c>
      <c r="L198" s="13" t="str">
        <f aca="false">IF(INDEX(選手一覧!$D$7:$D$2738,$K198)="","",INDEX(選手一覧!$D$7:$D$2738,$K198))</f>
        <v/>
      </c>
      <c r="M198" s="14" t="str">
        <f aca="false">IF(INDEX(選手一覧!$E$7:$E$2738,$K198)="","",INDEX(選手一覧!$E$7:$E$2738,$K198))</f>
        <v/>
      </c>
      <c r="N198" s="16" t="n">
        <f aca="false">IF(INDEX(選手一覧!$H$7:$H$2738,$K198)="","",INDEX(選手一覧!$H$7:$H$2738,$K198))</f>
        <v>0.00751053240740741</v>
      </c>
      <c r="O198" s="17" t="n">
        <f aca="false">IF(INDEX(選手一覧!$I$7:$I$2738,$K198)="","",INDEX(選手一覧!$I$7:$I$2738,$K198))</f>
        <v>902</v>
      </c>
      <c r="P198" s="16" t="str">
        <f aca="false">IF(INDEX(選手一覧!$J$7:$J$2738,$K198)="","",INDEX(選手一覧!$J$7:$J$2738,$K198))</f>
        <v/>
      </c>
      <c r="Q198" s="17" t="str">
        <f aca="false">IF(INDEX(選手一覧!$K$7:$K$2738,$K198)="","",INDEX(選手一覧!$K$7:$K$2738,$K198))</f>
        <v/>
      </c>
    </row>
    <row r="199" customFormat="false" ht="15" hidden="false" customHeight="false" outlineLevel="0" collapsed="false">
      <c r="A199" s="29" t="n">
        <v>6</v>
      </c>
      <c r="B199" s="30" t="n">
        <v>4.9</v>
      </c>
      <c r="C199" s="14" t="n">
        <v>101</v>
      </c>
      <c r="D199" s="17" t="n">
        <f aca="false">COUNTIFS($A$5:$A$229,A199,$E$5:$E$229,"&lt;"&amp;E199)+1</f>
        <v>31</v>
      </c>
      <c r="E199" s="31" t="n">
        <v>0.0117592592592593</v>
      </c>
      <c r="F199" s="31" t="n">
        <f aca="false">E199/B199</f>
        <v>0.00239984882842026</v>
      </c>
      <c r="G199" s="12" t="s">
        <v>4564</v>
      </c>
      <c r="H199" s="12" t="s">
        <v>4337</v>
      </c>
      <c r="I199" s="32" t="s">
        <v>4265</v>
      </c>
      <c r="J199" s="17" t="n">
        <v>105</v>
      </c>
      <c r="K199" s="17" t="n">
        <v>2181</v>
      </c>
      <c r="L199" s="13" t="str">
        <f aca="false">IF(INDEX(選手一覧!$D$7:$D$2738,$K199)="","",INDEX(選手一覧!$D$7:$D$2738,$K199))</f>
        <v/>
      </c>
      <c r="M199" s="14" t="str">
        <f aca="false">IF(INDEX(選手一覧!$E$7:$E$2738,$K199)="","",INDEX(選手一覧!$E$7:$E$2738,$K199))</f>
        <v/>
      </c>
      <c r="N199" s="16" t="n">
        <f aca="false">IF(INDEX(選手一覧!$H$7:$H$2738,$K199)="","",INDEX(選手一覧!$H$7:$H$2738,$K199))</f>
        <v>0.00759097222222222</v>
      </c>
      <c r="O199" s="17" t="n">
        <f aca="false">IF(INDEX(選手一覧!$I$7:$I$2738,$K199)="","",INDEX(選手一覧!$I$7:$I$2738,$K199))</f>
        <v>987</v>
      </c>
      <c r="P199" s="16" t="str">
        <f aca="false">IF(INDEX(選手一覧!$J$7:$J$2738,$K199)="","",INDEX(選手一覧!$J$7:$J$2738,$K199))</f>
        <v/>
      </c>
      <c r="Q199" s="17" t="str">
        <f aca="false">IF(INDEX(選手一覧!$K$7:$K$2738,$K199)="","",INDEX(選手一覧!$K$7:$K$2738,$K199))</f>
        <v/>
      </c>
    </row>
    <row r="200" customFormat="false" ht="15" hidden="false" customHeight="false" outlineLevel="0" collapsed="false">
      <c r="A200" s="29" t="n">
        <v>6</v>
      </c>
      <c r="B200" s="30" t="n">
        <v>4.9</v>
      </c>
      <c r="C200" s="14" t="n">
        <v>106</v>
      </c>
      <c r="D200" s="17" t="n">
        <f aca="false">COUNTIFS($A$5:$A$229,A200,$E$5:$E$229,"&lt;"&amp;E200)+1</f>
        <v>33</v>
      </c>
      <c r="E200" s="31" t="n">
        <v>0.0122569444444445</v>
      </c>
      <c r="F200" s="31" t="n">
        <f aca="false">E200/B200</f>
        <v>0.00250141723356009</v>
      </c>
      <c r="G200" s="12" t="s">
        <v>4565</v>
      </c>
      <c r="H200" s="12" t="s">
        <v>4347</v>
      </c>
      <c r="I200" s="32" t="s">
        <v>4348</v>
      </c>
      <c r="J200" s="17" t="n">
        <v>102</v>
      </c>
      <c r="K200" s="17" t="n">
        <v>1472</v>
      </c>
      <c r="L200" s="13" t="str">
        <f aca="false">IF(INDEX(選手一覧!$D$7:$D$2738,$K200)="","",INDEX(選手一覧!$D$7:$D$2738,$K200))</f>
        <v/>
      </c>
      <c r="M200" s="14" t="str">
        <f aca="false">IF(INDEX(選手一覧!$E$7:$E$2738,$K200)="","",INDEX(選手一覧!$E$7:$E$2738,$K200))</f>
        <v/>
      </c>
      <c r="N200" s="16" t="n">
        <f aca="false">IF(INDEX(選手一覧!$H$7:$H$2738,$K200)="","",INDEX(選手一覧!$H$7:$H$2738,$K200))</f>
        <v>0.00703854166666667</v>
      </c>
      <c r="O200" s="17" t="n">
        <f aca="false">IF(INDEX(選手一覧!$I$7:$I$2738,$K200)="","",INDEX(選手一覧!$I$7:$I$2738,$K200))</f>
        <v>372</v>
      </c>
      <c r="P200" s="16" t="str">
        <f aca="false">IF(INDEX(選手一覧!$J$7:$J$2738,$K200)="","",INDEX(選手一覧!$J$7:$J$2738,$K200))</f>
        <v/>
      </c>
      <c r="Q200" s="17" t="str">
        <f aca="false">IF(INDEX(選手一覧!$K$7:$K$2738,$K200)="","",INDEX(選手一覧!$K$7:$K$2738,$K200))</f>
        <v/>
      </c>
    </row>
    <row r="201" customFormat="false" ht="15" hidden="false" customHeight="false" outlineLevel="0" collapsed="false">
      <c r="A201" s="23" t="n">
        <v>7</v>
      </c>
      <c r="B201" s="24" t="n">
        <v>5</v>
      </c>
      <c r="C201" s="14" t="n">
        <v>2</v>
      </c>
      <c r="D201" s="25" t="n">
        <f aca="false">COUNTIFS($A$5:$A$229,A201,$E$5:$E$229,"&lt;"&amp;E201)+1</f>
        <v>1</v>
      </c>
      <c r="E201" s="26" t="n">
        <v>0.0100462962962963</v>
      </c>
      <c r="F201" s="26" t="n">
        <f aca="false">E201/B201</f>
        <v>0.00200925925925926</v>
      </c>
      <c r="G201" s="27" t="s">
        <v>4566</v>
      </c>
      <c r="H201" s="27" t="s">
        <v>4256</v>
      </c>
      <c r="I201" s="28" t="s">
        <v>4257</v>
      </c>
      <c r="J201" s="25" t="n">
        <v>2</v>
      </c>
      <c r="K201" s="25" t="n">
        <v>3</v>
      </c>
      <c r="L201" s="13" t="n">
        <f aca="false">IF(INDEX(選手一覧!$D$7:$D$2738,$K201)="","",INDEX(選手一覧!$D$7:$D$2738,$K201))</f>
        <v>0.00968773148148148</v>
      </c>
      <c r="M201" s="14" t="n">
        <f aca="false">IF(INDEX(選手一覧!$E$7:$E$2738,$K201)="","",INDEX(選手一覧!$E$7:$E$2738,$K201))</f>
        <v>3</v>
      </c>
      <c r="N201" s="16" t="str">
        <f aca="false">IF(INDEX(選手一覧!$H$7:$H$2738,$K201)="","",INDEX(選手一覧!$H$7:$H$2738,$K201))</f>
        <v/>
      </c>
      <c r="O201" s="17" t="str">
        <f aca="false">IF(INDEX(選手一覧!$I$7:$I$2738,$K201)="","",INDEX(選手一覧!$I$7:$I$2738,$K201))</f>
        <v/>
      </c>
      <c r="P201" s="16" t="n">
        <f aca="false">IF(INDEX(選手一覧!$J$7:$J$2738,$K201)="","",INDEX(選手一覧!$J$7:$J$2738,$K201))</f>
        <v>0.00262800925925926</v>
      </c>
      <c r="Q201" s="17" t="n">
        <f aca="false">IF(INDEX(選手一覧!$K$7:$K$2738,$K201)="","",INDEX(選手一覧!$K$7:$K$2738,$K201))</f>
        <v>2</v>
      </c>
    </row>
    <row r="202" customFormat="false" ht="15" hidden="false" customHeight="false" outlineLevel="0" collapsed="false">
      <c r="A202" s="23" t="n">
        <v>7</v>
      </c>
      <c r="B202" s="24" t="n">
        <v>5</v>
      </c>
      <c r="C202" s="14" t="n">
        <v>7</v>
      </c>
      <c r="D202" s="25" t="n">
        <f aca="false">COUNTIFS($A$5:$A$229,A202,$E$5:$E$229,"&lt;"&amp;E202)+1</f>
        <v>2</v>
      </c>
      <c r="E202" s="26" t="n">
        <v>0.0102314814814815</v>
      </c>
      <c r="F202" s="26" t="n">
        <f aca="false">E202/B202</f>
        <v>0.0020462962962963</v>
      </c>
      <c r="G202" s="27" t="s">
        <v>4567</v>
      </c>
      <c r="H202" s="27" t="s">
        <v>4267</v>
      </c>
      <c r="I202" s="28" t="s">
        <v>4268</v>
      </c>
      <c r="J202" s="25" t="n">
        <v>6</v>
      </c>
      <c r="K202" s="25" t="n">
        <v>195</v>
      </c>
      <c r="L202" s="13" t="n">
        <f aca="false">IF(INDEX(選手一覧!$D$7:$D$2738,$K202)="","",INDEX(選手一覧!$D$7:$D$2738,$K202))</f>
        <v>0.0103417824074074</v>
      </c>
      <c r="M202" s="14" t="n">
        <f aca="false">IF(INDEX(選手一覧!$E$7:$E$2738,$K202)="","",INDEX(選手一覧!$E$7:$E$2738,$K202))</f>
        <v>196</v>
      </c>
      <c r="N202" s="16" t="str">
        <f aca="false">IF(INDEX(選手一覧!$H$7:$H$2738,$K202)="","",INDEX(選手一覧!$H$7:$H$2738,$K202))</f>
        <v/>
      </c>
      <c r="O202" s="17" t="str">
        <f aca="false">IF(INDEX(選手一覧!$I$7:$I$2738,$K202)="","",INDEX(選手一覧!$I$7:$I$2738,$K202))</f>
        <v/>
      </c>
      <c r="P202" s="16" t="n">
        <f aca="false">IF(INDEX(選手一覧!$J$7:$J$2738,$K202)="","",INDEX(選手一覧!$J$7:$J$2738,$K202))</f>
        <v>0.00290543981481482</v>
      </c>
      <c r="Q202" s="17" t="n">
        <f aca="false">IF(INDEX(選手一覧!$K$7:$K$2738,$K202)="","",INDEX(選手一覧!$K$7:$K$2738,$K202))</f>
        <v>986</v>
      </c>
    </row>
    <row r="203" customFormat="false" ht="15" hidden="false" customHeight="false" outlineLevel="0" collapsed="false">
      <c r="A203" s="23" t="n">
        <v>7</v>
      </c>
      <c r="B203" s="24" t="n">
        <v>5</v>
      </c>
      <c r="C203" s="14" t="n">
        <v>8</v>
      </c>
      <c r="D203" s="25" t="n">
        <f aca="false">COUNTIFS($A$5:$A$229,A203,$E$5:$E$229,"&lt;"&amp;E203)+1</f>
        <v>3</v>
      </c>
      <c r="E203" s="26" t="n">
        <v>0.0102546296296296</v>
      </c>
      <c r="F203" s="26" t="n">
        <f aca="false">E203/B203</f>
        <v>0.00205092592592593</v>
      </c>
      <c r="G203" s="27" t="s">
        <v>4568</v>
      </c>
      <c r="H203" s="27" t="s">
        <v>4569</v>
      </c>
      <c r="I203" s="28" t="s">
        <v>4257</v>
      </c>
      <c r="J203" s="25" t="n">
        <v>7</v>
      </c>
      <c r="K203" s="25" t="n">
        <v>87</v>
      </c>
      <c r="L203" s="13" t="n">
        <f aca="false">IF(INDEX(選手一覧!$D$7:$D$2738,$K203)="","",INDEX(選手一覧!$D$7:$D$2738,$K203))</f>
        <v>0.0101863425925926</v>
      </c>
      <c r="M203" s="14" t="n">
        <f aca="false">IF(INDEX(選手一覧!$E$7:$E$2738,$K203)="","",INDEX(選手一覧!$E$7:$E$2738,$K203))</f>
        <v>88</v>
      </c>
      <c r="N203" s="16" t="str">
        <f aca="false">IF(INDEX(選手一覧!$H$7:$H$2738,$K203)="","",INDEX(選手一覧!$H$7:$H$2738,$K203))</f>
        <v/>
      </c>
      <c r="O203" s="17" t="str">
        <f aca="false">IF(INDEX(選手一覧!$I$7:$I$2738,$K203)="","",INDEX(選手一覧!$I$7:$I$2738,$K203))</f>
        <v/>
      </c>
      <c r="P203" s="16" t="n">
        <f aca="false">IF(INDEX(選手一覧!$J$7:$J$2738,$K203)="","",INDEX(選手一覧!$J$7:$J$2738,$K203))</f>
        <v>0.00270231481481482</v>
      </c>
      <c r="Q203" s="17" t="n">
        <f aca="false">IF(INDEX(選手一覧!$K$7:$K$2738,$K203)="","",INDEX(選手一覧!$K$7:$K$2738,$K203))</f>
        <v>27</v>
      </c>
    </row>
    <row r="204" customFormat="false" ht="15" hidden="false" customHeight="false" outlineLevel="0" collapsed="false">
      <c r="A204" s="23" t="n">
        <v>7</v>
      </c>
      <c r="B204" s="24" t="n">
        <v>5</v>
      </c>
      <c r="C204" s="14" t="n">
        <v>11</v>
      </c>
      <c r="D204" s="25" t="n">
        <f aca="false">COUNTIFS($A$5:$A$229,A204,$E$5:$E$229,"&lt;"&amp;E204)+1</f>
        <v>4</v>
      </c>
      <c r="E204" s="26" t="n">
        <v>0.0103472222222222</v>
      </c>
      <c r="F204" s="26" t="n">
        <f aca="false">E204/B204</f>
        <v>0.00206944444444444</v>
      </c>
      <c r="G204" s="27" t="s">
        <v>4570</v>
      </c>
      <c r="H204" s="27" t="s">
        <v>4291</v>
      </c>
      <c r="I204" s="28" t="s">
        <v>4292</v>
      </c>
      <c r="J204" s="25" t="n">
        <v>16</v>
      </c>
      <c r="K204" s="25" t="n">
        <v>268</v>
      </c>
      <c r="L204" s="13" t="n">
        <f aca="false">IF(INDEX(選手一覧!$D$7:$D$2738,$K204)="","",INDEX(選手一覧!$D$7:$D$2738,$K204))</f>
        <v>0.0104037037037037</v>
      </c>
      <c r="M204" s="14" t="n">
        <f aca="false">IF(INDEX(選手一覧!$E$7:$E$2738,$K204)="","",INDEX(選手一覧!$E$7:$E$2738,$K204))</f>
        <v>269</v>
      </c>
      <c r="N204" s="16" t="str">
        <f aca="false">IF(INDEX(選手一覧!$H$7:$H$2738,$K204)="","",INDEX(選手一覧!$H$7:$H$2738,$K204))</f>
        <v/>
      </c>
      <c r="O204" s="17" t="str">
        <f aca="false">IF(INDEX(選手一覧!$I$7:$I$2738,$K204)="","",INDEX(選手一覧!$I$7:$I$2738,$K204))</f>
        <v/>
      </c>
      <c r="P204" s="16" t="n">
        <f aca="false">IF(INDEX(選手一覧!$J$7:$J$2738,$K204)="","",INDEX(選手一覧!$J$7:$J$2738,$K204))</f>
        <v>0.002796875</v>
      </c>
      <c r="Q204" s="17" t="n">
        <f aca="false">IF(INDEX(選手一覧!$K$7:$K$2738,$K204)="","",INDEX(選手一覧!$K$7:$K$2738,$K204))</f>
        <v>269</v>
      </c>
    </row>
    <row r="205" customFormat="false" ht="15" hidden="false" customHeight="false" outlineLevel="0" collapsed="false">
      <c r="A205" s="23" t="n">
        <v>7</v>
      </c>
      <c r="B205" s="24" t="n">
        <v>5</v>
      </c>
      <c r="C205" s="14" t="n">
        <v>17</v>
      </c>
      <c r="D205" s="25" t="n">
        <f aca="false">COUNTIFS($A$5:$A$229,A205,$E$5:$E$229,"&lt;"&amp;E205)+1</f>
        <v>5</v>
      </c>
      <c r="E205" s="26" t="n">
        <v>0.0103819444444444</v>
      </c>
      <c r="F205" s="26" t="n">
        <f aca="false">E205/B205</f>
        <v>0.00207638888888889</v>
      </c>
      <c r="G205" s="27" t="s">
        <v>4571</v>
      </c>
      <c r="H205" s="27" t="s">
        <v>4270</v>
      </c>
      <c r="I205" s="28" t="s">
        <v>4271</v>
      </c>
      <c r="J205" s="25" t="n">
        <v>37</v>
      </c>
      <c r="K205" s="25" t="n">
        <v>596</v>
      </c>
      <c r="L205" s="13" t="n">
        <f aca="false">IF(INDEX(選手一覧!$D$7:$D$2738,$K205)="","",INDEX(選手一覧!$D$7:$D$2738,$K205))</f>
        <v>0.0107082175925926</v>
      </c>
      <c r="M205" s="14" t="n">
        <f aca="false">IF(INDEX(選手一覧!$E$7:$E$2738,$K205)="","",INDEX(選手一覧!$E$7:$E$2738,$K205))</f>
        <v>597</v>
      </c>
      <c r="N205" s="16" t="str">
        <f aca="false">IF(INDEX(選手一覧!$H$7:$H$2738,$K205)="","",INDEX(選手一覧!$H$7:$H$2738,$K205))</f>
        <v/>
      </c>
      <c r="O205" s="17" t="str">
        <f aca="false">IF(INDEX(選手一覧!$I$7:$I$2738,$K205)="","",INDEX(選手一覧!$I$7:$I$2738,$K205))</f>
        <v/>
      </c>
      <c r="P205" s="16" t="n">
        <f aca="false">IF(INDEX(選手一覧!$J$7:$J$2738,$K205)="","",INDEX(選手一覧!$J$7:$J$2738,$K205))</f>
        <v>0.00273611111111111</v>
      </c>
      <c r="Q205" s="17" t="n">
        <f aca="false">IF(INDEX(選手一覧!$K$7:$K$2738,$K205)="","",INDEX(選手一覧!$K$7:$K$2738,$K205))</f>
        <v>77</v>
      </c>
    </row>
    <row r="206" customFormat="false" ht="15" hidden="false" customHeight="false" outlineLevel="0" collapsed="false">
      <c r="A206" s="23" t="n">
        <v>7</v>
      </c>
      <c r="B206" s="24" t="n">
        <v>5</v>
      </c>
      <c r="C206" s="14" t="n">
        <v>25</v>
      </c>
      <c r="D206" s="25" t="n">
        <f aca="false">COUNTIFS($A$5:$A$229,A206,$E$5:$E$229,"&lt;"&amp;E206)+1</f>
        <v>6</v>
      </c>
      <c r="E206" s="26" t="n">
        <v>0.0104861111111111</v>
      </c>
      <c r="F206" s="26" t="n">
        <f aca="false">E206/B206</f>
        <v>0.00209722222222222</v>
      </c>
      <c r="G206" s="27" t="s">
        <v>4572</v>
      </c>
      <c r="H206" s="27" t="s">
        <v>4300</v>
      </c>
      <c r="I206" s="28" t="s">
        <v>4301</v>
      </c>
      <c r="J206" s="25" t="n">
        <v>19</v>
      </c>
      <c r="K206" s="25" t="n">
        <v>351</v>
      </c>
      <c r="L206" s="13" t="n">
        <f aca="false">IF(INDEX(選手一覧!$D$7:$D$2738,$K206)="","",INDEX(選手一覧!$D$7:$D$2738,$K206))</f>
        <v>0.0105116898148148</v>
      </c>
      <c r="M206" s="14" t="n">
        <f aca="false">IF(INDEX(選手一覧!$E$7:$E$2738,$K206)="","",INDEX(選手一覧!$E$7:$E$2738,$K206))</f>
        <v>352</v>
      </c>
      <c r="N206" s="16" t="n">
        <f aca="false">IF(INDEX(選手一覧!$H$7:$H$2738,$K206)="","",INDEX(選手一覧!$H$7:$H$2738,$K206))</f>
        <v>0.00655925925925926</v>
      </c>
      <c r="O206" s="17" t="n">
        <f aca="false">IF(INDEX(選手一覧!$I$7:$I$2738,$K206)="","",INDEX(選手一覧!$I$7:$I$2738,$K206))</f>
        <v>46</v>
      </c>
      <c r="P206" s="16" t="n">
        <f aca="false">IF(INDEX(選手一覧!$J$7:$J$2738,$K206)="","",INDEX(選手一覧!$J$7:$J$2738,$K206))</f>
        <v>0.00283414351851852</v>
      </c>
      <c r="Q206" s="17" t="n">
        <f aca="false">IF(INDEX(選手一覧!$K$7:$K$2738,$K206)="","",INDEX(選手一覧!$K$7:$K$2738,$K206))</f>
        <v>451</v>
      </c>
    </row>
    <row r="207" customFormat="false" ht="15" hidden="false" customHeight="false" outlineLevel="0" collapsed="false">
      <c r="A207" s="23" t="n">
        <v>7</v>
      </c>
      <c r="B207" s="24" t="n">
        <v>5</v>
      </c>
      <c r="C207" s="14" t="n">
        <v>35</v>
      </c>
      <c r="D207" s="25" t="n">
        <f aca="false">COUNTIFS($A$5:$A$229,A207,$E$5:$E$229,"&lt;"&amp;E207)+1</f>
        <v>7</v>
      </c>
      <c r="E207" s="26" t="n">
        <v>0.0105787037037037</v>
      </c>
      <c r="F207" s="26" t="n">
        <f aca="false">E207/B207</f>
        <v>0.00211574074074074</v>
      </c>
      <c r="G207" s="27" t="s">
        <v>4573</v>
      </c>
      <c r="H207" s="27" t="s">
        <v>4432</v>
      </c>
      <c r="I207" s="28" t="s">
        <v>4313</v>
      </c>
      <c r="J207" s="25" t="n">
        <v>51</v>
      </c>
      <c r="K207" s="25" t="n">
        <v>365</v>
      </c>
      <c r="L207" s="13" t="n">
        <f aca="false">IF(INDEX(選手一覧!$D$7:$D$2738,$K207)="","",INDEX(選手一覧!$D$7:$D$2738,$K207))</f>
        <v>0.0105252314814815</v>
      </c>
      <c r="M207" s="14" t="n">
        <f aca="false">IF(INDEX(選手一覧!$E$7:$E$2738,$K207)="","",INDEX(選手一覧!$E$7:$E$2738,$K207))</f>
        <v>366</v>
      </c>
      <c r="N207" s="16" t="n">
        <f aca="false">IF(INDEX(選手一覧!$H$7:$H$2738,$K207)="","",INDEX(選手一覧!$H$7:$H$2738,$K207))</f>
        <v>0.00732141203703704</v>
      </c>
      <c r="O207" s="17" t="n">
        <f aca="false">IF(INDEX(選手一覧!$I$7:$I$2738,$K207)="","",INDEX(選手一覧!$I$7:$I$2738,$K207))</f>
        <v>671</v>
      </c>
      <c r="P207" s="16" t="n">
        <f aca="false">IF(INDEX(選手一覧!$J$7:$J$2738,$K207)="","",INDEX(選手一覧!$J$7:$J$2738,$K207))</f>
        <v>0.00289467592592593</v>
      </c>
      <c r="Q207" s="17" t="n">
        <f aca="false">IF(INDEX(選手一覧!$K$7:$K$2738,$K207)="","",INDEX(選手一覧!$K$7:$K$2738,$K207))</f>
        <v>910</v>
      </c>
    </row>
    <row r="208" customFormat="false" ht="15" hidden="false" customHeight="false" outlineLevel="0" collapsed="false">
      <c r="A208" s="23" t="n">
        <v>7</v>
      </c>
      <c r="B208" s="24" t="n">
        <v>5</v>
      </c>
      <c r="C208" s="14" t="n">
        <v>36</v>
      </c>
      <c r="D208" s="25" t="n">
        <f aca="false">COUNTIFS($A$5:$A$229,A208,$E$5:$E$229,"&lt;"&amp;E208)+1</f>
        <v>8</v>
      </c>
      <c r="E208" s="26" t="n">
        <v>0.0106134259259259</v>
      </c>
      <c r="F208" s="26" t="n">
        <f aca="false">E208/B208</f>
        <v>0.00212268518518519</v>
      </c>
      <c r="G208" s="27" t="s">
        <v>4574</v>
      </c>
      <c r="H208" s="27" t="s">
        <v>4303</v>
      </c>
      <c r="I208" s="28" t="s">
        <v>4257</v>
      </c>
      <c r="J208" s="25" t="n">
        <v>41</v>
      </c>
      <c r="K208" s="25" t="n">
        <v>418</v>
      </c>
      <c r="L208" s="13" t="n">
        <f aca="false">IF(INDEX(選手一覧!$D$7:$D$2738,$K208)="","",INDEX(選手一覧!$D$7:$D$2738,$K208))</f>
        <v>0.0105650462962963</v>
      </c>
      <c r="M208" s="14" t="n">
        <f aca="false">IF(INDEX(選手一覧!$E$7:$E$2738,$K208)="","",INDEX(選手一覧!$E$7:$E$2738,$K208))</f>
        <v>419</v>
      </c>
      <c r="N208" s="16" t="str">
        <f aca="false">IF(INDEX(選手一覧!$H$7:$H$2738,$K208)="","",INDEX(選手一覧!$H$7:$H$2738,$K208))</f>
        <v/>
      </c>
      <c r="O208" s="17" t="str">
        <f aca="false">IF(INDEX(選手一覧!$I$7:$I$2738,$K208)="","",INDEX(選手一覧!$I$7:$I$2738,$K208))</f>
        <v/>
      </c>
      <c r="P208" s="16" t="str">
        <f aca="false">IF(INDEX(選手一覧!$J$7:$J$2738,$K208)="","",INDEX(選手一覧!$J$7:$J$2738,$K208))</f>
        <v/>
      </c>
      <c r="Q208" s="17" t="str">
        <f aca="false">IF(INDEX(選手一覧!$K$7:$K$2738,$K208)="","",INDEX(選手一覧!$K$7:$K$2738,$K208))</f>
        <v/>
      </c>
    </row>
    <row r="209" customFormat="false" ht="15" hidden="false" customHeight="false" outlineLevel="0" collapsed="false">
      <c r="A209" s="23" t="n">
        <v>7</v>
      </c>
      <c r="B209" s="24" t="n">
        <v>5</v>
      </c>
      <c r="C209" s="14" t="n">
        <v>40</v>
      </c>
      <c r="D209" s="25" t="n">
        <f aca="false">COUNTIFS($A$5:$A$229,A209,$E$5:$E$229,"&lt;"&amp;E209)+1</f>
        <v>9</v>
      </c>
      <c r="E209" s="26" t="n">
        <v>0.0106712962962963</v>
      </c>
      <c r="F209" s="26" t="n">
        <f aca="false">E209/B209</f>
        <v>0.00213425925925926</v>
      </c>
      <c r="G209" s="27" t="s">
        <v>4575</v>
      </c>
      <c r="H209" s="27" t="s">
        <v>4334</v>
      </c>
      <c r="I209" s="28" t="s">
        <v>4335</v>
      </c>
      <c r="J209" s="25" t="n">
        <v>61</v>
      </c>
      <c r="K209" s="25" t="n">
        <v>672</v>
      </c>
      <c r="L209" s="13" t="n">
        <f aca="false">IF(INDEX(選手一覧!$D$7:$D$2738,$K209)="","",INDEX(選手一覧!$D$7:$D$2738,$K209))</f>
        <v>0.0107538194444444</v>
      </c>
      <c r="M209" s="14" t="n">
        <f aca="false">IF(INDEX(選手一覧!$E$7:$E$2738,$K209)="","",INDEX(選手一覧!$E$7:$E$2738,$K209))</f>
        <v>673</v>
      </c>
      <c r="N209" s="16" t="n">
        <f aca="false">IF(INDEX(選手一覧!$H$7:$H$2738,$K209)="","",INDEX(選手一覧!$H$7:$H$2738,$K209))</f>
        <v>0.007290625</v>
      </c>
      <c r="O209" s="17" t="n">
        <f aca="false">IF(INDEX(選手一覧!$I$7:$I$2738,$K209)="","",INDEX(選手一覧!$I$7:$I$2738,$K209))</f>
        <v>630</v>
      </c>
      <c r="P209" s="16" t="str">
        <f aca="false">IF(INDEX(選手一覧!$J$7:$J$2738,$K209)="","",INDEX(選手一覧!$J$7:$J$2738,$K209))</f>
        <v/>
      </c>
      <c r="Q209" s="17" t="str">
        <f aca="false">IF(INDEX(選手一覧!$K$7:$K$2738,$K209)="","",INDEX(選手一覧!$K$7:$K$2738,$K209))</f>
        <v/>
      </c>
    </row>
    <row r="210" customFormat="false" ht="15" hidden="false" customHeight="false" outlineLevel="0" collapsed="false">
      <c r="A210" s="23" t="n">
        <v>7</v>
      </c>
      <c r="B210" s="24" t="n">
        <v>5</v>
      </c>
      <c r="C210" s="14" t="n">
        <v>46</v>
      </c>
      <c r="D210" s="25" t="n">
        <f aca="false">COUNTIFS($A$5:$A$229,A210,$E$5:$E$229,"&lt;"&amp;E210)+1</f>
        <v>10</v>
      </c>
      <c r="E210" s="26" t="n">
        <v>0.0107986111111111</v>
      </c>
      <c r="F210" s="26" t="n">
        <f aca="false">E210/B210</f>
        <v>0.00215972222222222</v>
      </c>
      <c r="G210" s="27" t="s">
        <v>4576</v>
      </c>
      <c r="H210" s="27" t="s">
        <v>4363</v>
      </c>
      <c r="I210" s="28" t="s">
        <v>4348</v>
      </c>
      <c r="J210" s="25" t="n">
        <v>48</v>
      </c>
      <c r="K210" s="25" t="n">
        <v>851</v>
      </c>
      <c r="L210" s="13" t="n">
        <f aca="false">IF(INDEX(選手一覧!$D$7:$D$2738,$K210)="","",INDEX(選手一覧!$D$7:$D$2738,$K210))</f>
        <v>0.0108613425925926</v>
      </c>
      <c r="M210" s="14" t="n">
        <f aca="false">IF(INDEX(選手一覧!$E$7:$E$2738,$K210)="","",INDEX(選手一覧!$E$7:$E$2738,$K210))</f>
        <v>852</v>
      </c>
      <c r="N210" s="16" t="n">
        <f aca="false">IF(INDEX(選手一覧!$H$7:$H$2738,$K210)="","",INDEX(選手一覧!$H$7:$H$2738,$K210))</f>
        <v>0.00705833333333333</v>
      </c>
      <c r="O210" s="17" t="n">
        <f aca="false">IF(INDEX(選手一覧!$I$7:$I$2738,$K210)="","",INDEX(選手一覧!$I$7:$I$2738,$K210))</f>
        <v>399</v>
      </c>
      <c r="P210" s="16" t="n">
        <f aca="false">IF(INDEX(選手一覧!$J$7:$J$2738,$K210)="","",INDEX(選手一覧!$J$7:$J$2738,$K210))</f>
        <v>0.00287476851851852</v>
      </c>
      <c r="Q210" s="17" t="n">
        <f aca="false">IF(INDEX(選手一覧!$K$7:$K$2738,$K210)="","",INDEX(選手一覧!$K$7:$K$2738,$K210))</f>
        <v>733</v>
      </c>
    </row>
    <row r="211" customFormat="false" ht="15" hidden="false" customHeight="false" outlineLevel="0" collapsed="false">
      <c r="A211" s="23" t="n">
        <v>7</v>
      </c>
      <c r="B211" s="24" t="n">
        <v>5</v>
      </c>
      <c r="C211" s="14" t="n">
        <v>51</v>
      </c>
      <c r="D211" s="25" t="n">
        <f aca="false">COUNTIFS($A$5:$A$229,A211,$E$5:$E$229,"&lt;"&amp;E211)+1</f>
        <v>13</v>
      </c>
      <c r="E211" s="26" t="n">
        <v>0.0108217592592593</v>
      </c>
      <c r="F211" s="26" t="n">
        <f aca="false">E211/B211</f>
        <v>0.00216435185185185</v>
      </c>
      <c r="G211" s="27" t="s">
        <v>4577</v>
      </c>
      <c r="H211" s="27" t="s">
        <v>4284</v>
      </c>
      <c r="I211" s="28" t="s">
        <v>4284</v>
      </c>
      <c r="J211" s="25" t="n">
        <v>29</v>
      </c>
      <c r="K211" s="25" t="n">
        <v>862</v>
      </c>
      <c r="L211" s="13" t="n">
        <f aca="false">IF(INDEX(選手一覧!$D$7:$D$2738,$K211)="","",INDEX(選手一覧!$D$7:$D$2738,$K211))</f>
        <v>0.0108665509259259</v>
      </c>
      <c r="M211" s="14" t="n">
        <f aca="false">IF(INDEX(選手一覧!$E$7:$E$2738,$K211)="","",INDEX(選手一覧!$E$7:$E$2738,$K211))</f>
        <v>863</v>
      </c>
      <c r="N211" s="16" t="str">
        <f aca="false">IF(INDEX(選手一覧!$H$7:$H$2738,$K211)="","",INDEX(選手一覧!$H$7:$H$2738,$K211))</f>
        <v/>
      </c>
      <c r="O211" s="17" t="str">
        <f aca="false">IF(INDEX(選手一覧!$I$7:$I$2738,$K211)="","",INDEX(選手一覧!$I$7:$I$2738,$K211))</f>
        <v/>
      </c>
      <c r="P211" s="16" t="n">
        <f aca="false">IF(INDEX(選手一覧!$J$7:$J$2738,$K211)="","",INDEX(選手一覧!$J$7:$J$2738,$K211))</f>
        <v>0.002834375</v>
      </c>
      <c r="Q211" s="17" t="n">
        <f aca="false">IF(INDEX(選手一覧!$K$7:$K$2738,$K211)="","",INDEX(選手一覧!$K$7:$K$2738,$K211))</f>
        <v>452</v>
      </c>
    </row>
    <row r="212" customFormat="false" ht="15" hidden="false" customHeight="false" outlineLevel="0" collapsed="false">
      <c r="A212" s="23" t="n">
        <v>7</v>
      </c>
      <c r="B212" s="24" t="n">
        <v>5</v>
      </c>
      <c r="C212" s="14" t="n">
        <v>51</v>
      </c>
      <c r="D212" s="25" t="n">
        <f aca="false">COUNTIFS($A$5:$A$229,A212,$E$5:$E$229,"&lt;"&amp;E212)+1</f>
        <v>13</v>
      </c>
      <c r="E212" s="26" t="n">
        <v>0.0108217592592593</v>
      </c>
      <c r="F212" s="26" t="n">
        <f aca="false">E212/B212</f>
        <v>0.00216435185185185</v>
      </c>
      <c r="G212" s="27" t="s">
        <v>4578</v>
      </c>
      <c r="H212" s="27" t="s">
        <v>4312</v>
      </c>
      <c r="I212" s="28" t="s">
        <v>4313</v>
      </c>
      <c r="J212" s="25" t="n">
        <v>40</v>
      </c>
      <c r="K212" s="25" t="n">
        <v>1065</v>
      </c>
      <c r="L212" s="13" t="n">
        <f aca="false">IF(INDEX(選手一覧!$D$7:$D$2738,$K212)="","",INDEX(選手一覧!$D$7:$D$2738,$K212))</f>
        <v>0.0109842592592593</v>
      </c>
      <c r="M212" s="14" t="n">
        <f aca="false">IF(INDEX(選手一覧!$E$7:$E$2738,$K212)="","",INDEX(選手一覧!$E$7:$E$2738,$K212))</f>
        <v>1066</v>
      </c>
      <c r="N212" s="16" t="n">
        <f aca="false">IF(INDEX(選手一覧!$H$7:$H$2738,$K212)="","",INDEX(選手一覧!$H$7:$H$2738,$K212))</f>
        <v>0.006828125</v>
      </c>
      <c r="O212" s="17" t="n">
        <f aca="false">IF(INDEX(選手一覧!$I$7:$I$2738,$K212)="","",INDEX(選手一覧!$I$7:$I$2738,$K212))</f>
        <v>192</v>
      </c>
      <c r="P212" s="16" t="str">
        <f aca="false">IF(INDEX(選手一覧!$J$7:$J$2738,$K212)="","",INDEX(選手一覧!$J$7:$J$2738,$K212))</f>
        <v/>
      </c>
      <c r="Q212" s="17" t="str">
        <f aca="false">IF(INDEX(選手一覧!$K$7:$K$2738,$K212)="","",INDEX(選手一覧!$K$7:$K$2738,$K212))</f>
        <v/>
      </c>
    </row>
    <row r="213" customFormat="false" ht="15" hidden="false" customHeight="false" outlineLevel="0" collapsed="false">
      <c r="A213" s="23" t="n">
        <v>7</v>
      </c>
      <c r="B213" s="24" t="n">
        <v>5</v>
      </c>
      <c r="C213" s="14" t="n">
        <v>54</v>
      </c>
      <c r="D213" s="25" t="n">
        <f aca="false">COUNTIFS($A$5:$A$229,A213,$E$5:$E$229,"&lt;"&amp;E213)+1</f>
        <v>13</v>
      </c>
      <c r="E213" s="26" t="n">
        <v>0.0108564814814815</v>
      </c>
      <c r="F213" s="26" t="n">
        <f aca="false">E213/B213</f>
        <v>0.0021712962962963</v>
      </c>
      <c r="G213" s="27" t="s">
        <v>4579</v>
      </c>
      <c r="H213" s="27" t="s">
        <v>4469</v>
      </c>
      <c r="I213" s="28" t="s">
        <v>4470</v>
      </c>
      <c r="J213" s="25" t="n">
        <v>32</v>
      </c>
      <c r="K213" s="25" t="n">
        <v>766</v>
      </c>
      <c r="L213" s="13" t="n">
        <f aca="false">IF(INDEX(選手一覧!$D$7:$D$2738,$K213)="","",INDEX(選手一覧!$D$7:$D$2738,$K213))</f>
        <v>0.0108128472222222</v>
      </c>
      <c r="M213" s="14" t="n">
        <f aca="false">IF(INDEX(選手一覧!$E$7:$E$2738,$K213)="","",INDEX(選手一覧!$E$7:$E$2738,$K213))</f>
        <v>767</v>
      </c>
      <c r="N213" s="16" t="str">
        <f aca="false">IF(INDEX(選手一覧!$H$7:$H$2738,$K213)="","",INDEX(選手一覧!$H$7:$H$2738,$K213))</f>
        <v/>
      </c>
      <c r="O213" s="17" t="str">
        <f aca="false">IF(INDEX(選手一覧!$I$7:$I$2738,$K213)="","",INDEX(選手一覧!$I$7:$I$2738,$K213))</f>
        <v/>
      </c>
      <c r="P213" s="16" t="str">
        <f aca="false">IF(INDEX(選手一覧!$J$7:$J$2738,$K213)="","",INDEX(選手一覧!$J$7:$J$2738,$K213))</f>
        <v/>
      </c>
      <c r="Q213" s="17" t="str">
        <f aca="false">IF(INDEX(選手一覧!$K$7:$K$2738,$K213)="","",INDEX(選手一覧!$K$7:$K$2738,$K213))</f>
        <v/>
      </c>
    </row>
    <row r="214" customFormat="false" ht="15" hidden="false" customHeight="false" outlineLevel="0" collapsed="false">
      <c r="A214" s="23" t="n">
        <v>7</v>
      </c>
      <c r="B214" s="24" t="n">
        <v>5</v>
      </c>
      <c r="C214" s="14" t="n">
        <v>55</v>
      </c>
      <c r="D214" s="25" t="n">
        <f aca="false">COUNTIFS($A$5:$A$229,A214,$E$5:$E$229,"&lt;"&amp;E214)+1</f>
        <v>14</v>
      </c>
      <c r="E214" s="26" t="n">
        <v>0.0108796296296296</v>
      </c>
      <c r="F214" s="26" t="n">
        <f aca="false">E214/B214</f>
        <v>0.00217592592592593</v>
      </c>
      <c r="G214" s="27" t="s">
        <v>4580</v>
      </c>
      <c r="H214" s="27" t="s">
        <v>4297</v>
      </c>
      <c r="I214" s="28" t="s">
        <v>4298</v>
      </c>
      <c r="J214" s="25" t="n">
        <v>59</v>
      </c>
      <c r="K214" s="25" t="n">
        <v>869</v>
      </c>
      <c r="L214" s="13" t="n">
        <f aca="false">IF(INDEX(選手一覧!$D$7:$D$2738,$K214)="","",INDEX(選手一覧!$D$7:$D$2738,$K214))</f>
        <v>0.0108693287037037</v>
      </c>
      <c r="M214" s="14" t="n">
        <f aca="false">IF(INDEX(選手一覧!$E$7:$E$2738,$K214)="","",INDEX(選手一覧!$E$7:$E$2738,$K214))</f>
        <v>870</v>
      </c>
      <c r="N214" s="16" t="str">
        <f aca="false">IF(INDEX(選手一覧!$H$7:$H$2738,$K214)="","",INDEX(選手一覧!$H$7:$H$2738,$K214))</f>
        <v/>
      </c>
      <c r="O214" s="17" t="str">
        <f aca="false">IF(INDEX(選手一覧!$I$7:$I$2738,$K214)="","",INDEX(選手一覧!$I$7:$I$2738,$K214))</f>
        <v/>
      </c>
      <c r="P214" s="16" t="n">
        <f aca="false">IF(INDEX(選手一覧!$J$7:$J$2738,$K214)="","",INDEX(選手一覧!$J$7:$J$2738,$K214))</f>
        <v>0.00290625</v>
      </c>
      <c r="Q214" s="17" t="n">
        <f aca="false">IF(INDEX(選手一覧!$K$7:$K$2738,$K214)="","",INDEX(選手一覧!$K$7:$K$2738,$K214))</f>
        <v>991</v>
      </c>
    </row>
    <row r="215" customFormat="false" ht="15" hidden="false" customHeight="false" outlineLevel="0" collapsed="false">
      <c r="A215" s="23" t="n">
        <v>7</v>
      </c>
      <c r="B215" s="24" t="n">
        <v>5</v>
      </c>
      <c r="C215" s="14" t="n">
        <v>59</v>
      </c>
      <c r="D215" s="25" t="n">
        <f aca="false">COUNTIFS($A$5:$A$229,A215,$E$5:$E$229,"&lt;"&amp;E215)+1</f>
        <v>16</v>
      </c>
      <c r="E215" s="26" t="n">
        <v>0.0109143518518519</v>
      </c>
      <c r="F215" s="26" t="n">
        <f aca="false">E215/B215</f>
        <v>0.00218287037037037</v>
      </c>
      <c r="G215" s="27" t="s">
        <v>4581</v>
      </c>
      <c r="H215" s="27" t="s">
        <v>4582</v>
      </c>
      <c r="I215" s="28" t="s">
        <v>4348</v>
      </c>
      <c r="J215" s="25" t="n">
        <v>60</v>
      </c>
      <c r="K215" s="25" t="n">
        <v>843</v>
      </c>
      <c r="L215" s="13" t="n">
        <f aca="false">IF(INDEX(選手一覧!$D$7:$D$2738,$K215)="","",INDEX(選手一覧!$D$7:$D$2738,$K215))</f>
        <v>0.01085625</v>
      </c>
      <c r="M215" s="14" t="n">
        <f aca="false">IF(INDEX(選手一覧!$E$7:$E$2738,$K215)="","",INDEX(選手一覧!$E$7:$E$2738,$K215))</f>
        <v>844</v>
      </c>
      <c r="N215" s="16" t="n">
        <f aca="false">IF(INDEX(選手一覧!$H$7:$H$2738,$K215)="","",INDEX(選手一覧!$H$7:$H$2738,$K215))</f>
        <v>0.00656909722222222</v>
      </c>
      <c r="O215" s="17" t="n">
        <f aca="false">IF(INDEX(選手一覧!$I$7:$I$2738,$K215)="","",INDEX(選手一覧!$I$7:$I$2738,$K215))</f>
        <v>58</v>
      </c>
      <c r="P215" s="16" t="n">
        <f aca="false">IF(INDEX(選手一覧!$J$7:$J$2738,$K215)="","",INDEX(選手一覧!$J$7:$J$2738,$K215))</f>
        <v>0.00284525462962963</v>
      </c>
      <c r="Q215" s="17" t="n">
        <f aca="false">IF(INDEX(選手一覧!$K$7:$K$2738,$K215)="","",INDEX(選手一覧!$K$7:$K$2738,$K215))</f>
        <v>538</v>
      </c>
    </row>
    <row r="216" customFormat="false" ht="15" hidden="false" customHeight="false" outlineLevel="0" collapsed="false">
      <c r="A216" s="23" t="n">
        <v>7</v>
      </c>
      <c r="B216" s="24" t="n">
        <v>5</v>
      </c>
      <c r="C216" s="14" t="n">
        <v>63</v>
      </c>
      <c r="D216" s="25" t="n">
        <f aca="false">COUNTIFS($A$5:$A$229,A216,$E$5:$E$229,"&lt;"&amp;E216)+1</f>
        <v>16</v>
      </c>
      <c r="E216" s="26" t="n">
        <v>0.0109837962962963</v>
      </c>
      <c r="F216" s="26" t="n">
        <f aca="false">E216/B216</f>
        <v>0.00219675925925926</v>
      </c>
      <c r="G216" s="27" t="s">
        <v>4583</v>
      </c>
      <c r="H216" s="27" t="s">
        <v>4415</v>
      </c>
      <c r="I216" s="28" t="s">
        <v>4306</v>
      </c>
      <c r="J216" s="25" t="n">
        <v>28</v>
      </c>
      <c r="K216" s="25" t="n">
        <v>565</v>
      </c>
      <c r="L216" s="13" t="n">
        <f aca="false">IF(INDEX(選手一覧!$D$7:$D$2738,$K216)="","",INDEX(選手一覧!$D$7:$D$2738,$K216))</f>
        <v>0.0106886574074074</v>
      </c>
      <c r="M216" s="14" t="n">
        <f aca="false">IF(INDEX(選手一覧!$E$7:$E$2738,$K216)="","",INDEX(選手一覧!$E$7:$E$2738,$K216))</f>
        <v>566</v>
      </c>
      <c r="N216" s="16" t="n">
        <f aca="false">IF(INDEX(選手一覧!$H$7:$H$2738,$K216)="","",INDEX(選手一覧!$H$7:$H$2738,$K216))</f>
        <v>0.00705543981481482</v>
      </c>
      <c r="O216" s="17" t="n">
        <f aca="false">IF(INDEX(選手一覧!$I$7:$I$2738,$K216)="","",INDEX(選手一覧!$I$7:$I$2738,$K216))</f>
        <v>396</v>
      </c>
      <c r="P216" s="16" t="str">
        <f aca="false">IF(INDEX(選手一覧!$J$7:$J$2738,$K216)="","",INDEX(選手一覧!$J$7:$J$2738,$K216))</f>
        <v/>
      </c>
      <c r="Q216" s="17" t="str">
        <f aca="false">IF(INDEX(選手一覧!$K$7:$K$2738,$K216)="","",INDEX(選手一覧!$K$7:$K$2738,$K216))</f>
        <v/>
      </c>
    </row>
    <row r="217" customFormat="false" ht="15" hidden="false" customHeight="false" outlineLevel="0" collapsed="false">
      <c r="A217" s="23" t="n">
        <v>7</v>
      </c>
      <c r="B217" s="24" t="n">
        <v>5</v>
      </c>
      <c r="C217" s="14" t="n">
        <v>66</v>
      </c>
      <c r="D217" s="25" t="n">
        <f aca="false">COUNTIFS($A$5:$A$229,A217,$E$5:$E$229,"&lt;"&amp;E217)+1</f>
        <v>17</v>
      </c>
      <c r="E217" s="26" t="n">
        <v>0.0110300925925926</v>
      </c>
      <c r="F217" s="26" t="n">
        <f aca="false">E217/B217</f>
        <v>0.00220601851851852</v>
      </c>
      <c r="G217" s="27" t="s">
        <v>4584</v>
      </c>
      <c r="H217" s="27" t="s">
        <v>4585</v>
      </c>
      <c r="I217" s="28" t="s">
        <v>4268</v>
      </c>
      <c r="J217" s="25" t="n">
        <v>67</v>
      </c>
      <c r="K217" s="25" t="n">
        <v>1096</v>
      </c>
      <c r="L217" s="13" t="n">
        <f aca="false">IF(INDEX(選手一覧!$D$7:$D$2738,$K217)="","",INDEX(選手一覧!$D$7:$D$2738,$K217))</f>
        <v>0.0110001157407407</v>
      </c>
      <c r="M217" s="14" t="n">
        <f aca="false">IF(INDEX(選手一覧!$E$7:$E$2738,$K217)="","",INDEX(選手一覧!$E$7:$E$2738,$K217))</f>
        <v>1097</v>
      </c>
      <c r="N217" s="16" t="n">
        <f aca="false">IF(INDEX(選手一覧!$H$7:$H$2738,$K217)="","",INDEX(選手一覧!$H$7:$H$2738,$K217))</f>
        <v>0.00709780092592593</v>
      </c>
      <c r="O217" s="17" t="n">
        <f aca="false">IF(INDEX(選手一覧!$I$7:$I$2738,$K217)="","",INDEX(選手一覧!$I$7:$I$2738,$K217))</f>
        <v>447</v>
      </c>
      <c r="P217" s="16" t="str">
        <f aca="false">IF(INDEX(選手一覧!$J$7:$J$2738,$K217)="","",INDEX(選手一覧!$J$7:$J$2738,$K217))</f>
        <v/>
      </c>
      <c r="Q217" s="17" t="str">
        <f aca="false">IF(INDEX(選手一覧!$K$7:$K$2738,$K217)="","",INDEX(選手一覧!$K$7:$K$2738,$K217))</f>
        <v/>
      </c>
    </row>
    <row r="218" customFormat="false" ht="15" hidden="false" customHeight="false" outlineLevel="0" collapsed="false">
      <c r="A218" s="23" t="n">
        <v>7</v>
      </c>
      <c r="B218" s="24" t="n">
        <v>5</v>
      </c>
      <c r="C218" s="14" t="n">
        <v>68</v>
      </c>
      <c r="D218" s="25" t="n">
        <f aca="false">COUNTIFS($A$5:$A$229,A218,$E$5:$E$229,"&lt;"&amp;E218)+1</f>
        <v>18</v>
      </c>
      <c r="E218" s="26" t="n">
        <v>0.0110648148148148</v>
      </c>
      <c r="F218" s="26" t="n">
        <f aca="false">E218/B218</f>
        <v>0.00221296296296296</v>
      </c>
      <c r="G218" s="27" t="s">
        <v>4586</v>
      </c>
      <c r="H218" s="27" t="s">
        <v>4439</v>
      </c>
      <c r="I218" s="28" t="s">
        <v>4265</v>
      </c>
      <c r="J218" s="25" t="n">
        <v>85</v>
      </c>
      <c r="K218" s="25" t="n">
        <v>160</v>
      </c>
      <c r="L218" s="13" t="n">
        <f aca="false">IF(INDEX(選手一覧!$D$7:$D$2738,$K218)="","",INDEX(選手一覧!$D$7:$D$2738,$K218))</f>
        <v>0.0103003472222222</v>
      </c>
      <c r="M218" s="14" t="n">
        <f aca="false">IF(INDEX(選手一覧!$E$7:$E$2738,$K218)="","",INDEX(選手一覧!$E$7:$E$2738,$K218))</f>
        <v>161</v>
      </c>
      <c r="N218" s="16" t="n">
        <f aca="false">IF(INDEX(選手一覧!$H$7:$H$2738,$K218)="","",INDEX(選手一覧!$H$7:$H$2738,$K218))</f>
        <v>0.0070880787037037</v>
      </c>
      <c r="O218" s="17" t="n">
        <f aca="false">IF(INDEX(選手一覧!$I$7:$I$2738,$K218)="","",INDEX(選手一覧!$I$7:$I$2738,$K218))</f>
        <v>437</v>
      </c>
      <c r="P218" s="16" t="n">
        <f aca="false">IF(INDEX(選手一覧!$J$7:$J$2738,$K218)="","",INDEX(選手一覧!$J$7:$J$2738,$K218))</f>
        <v>0.00275381944444445</v>
      </c>
      <c r="Q218" s="17" t="n">
        <f aca="false">IF(INDEX(選手一覧!$K$7:$K$2738,$K218)="","",INDEX(選手一覧!$K$7:$K$2738,$K218))</f>
        <v>113</v>
      </c>
    </row>
    <row r="219" customFormat="false" ht="15" hidden="false" customHeight="false" outlineLevel="0" collapsed="false">
      <c r="A219" s="23" t="n">
        <v>7</v>
      </c>
      <c r="B219" s="24" t="n">
        <v>5</v>
      </c>
      <c r="C219" s="14" t="n">
        <v>69</v>
      </c>
      <c r="D219" s="25" t="n">
        <f aca="false">COUNTIFS($A$5:$A$229,A219,$E$5:$E$229,"&lt;"&amp;E219)+1</f>
        <v>20</v>
      </c>
      <c r="E219" s="26" t="n">
        <v>0.011087962962963</v>
      </c>
      <c r="F219" s="26" t="n">
        <f aca="false">E219/B219</f>
        <v>0.00221759259259259</v>
      </c>
      <c r="G219" s="27" t="s">
        <v>4587</v>
      </c>
      <c r="H219" s="27" t="s">
        <v>4407</v>
      </c>
      <c r="I219" s="28" t="s">
        <v>4268</v>
      </c>
      <c r="J219" s="25" t="n">
        <v>44</v>
      </c>
      <c r="K219" s="25" t="n">
        <v>1376</v>
      </c>
      <c r="L219" s="13" t="str">
        <f aca="false">IF(INDEX(選手一覧!$D$7:$D$2738,$K219)="","",INDEX(選手一覧!$D$7:$D$2738,$K219))</f>
        <v/>
      </c>
      <c r="M219" s="14" t="str">
        <f aca="false">IF(INDEX(選手一覧!$E$7:$E$2738,$K219)="","",INDEX(選手一覧!$E$7:$E$2738,$K219))</f>
        <v/>
      </c>
      <c r="N219" s="16" t="n">
        <f aca="false">IF(INDEX(選手一覧!$H$7:$H$2738,$K219)="","",INDEX(選手一覧!$H$7:$H$2738,$K219))</f>
        <v>0.00690069444444445</v>
      </c>
      <c r="O219" s="17" t="n">
        <f aca="false">IF(INDEX(選手一覧!$I$7:$I$2738,$K219)="","",INDEX(選手一覧!$I$7:$I$2738,$K219))</f>
        <v>242</v>
      </c>
      <c r="P219" s="16" t="str">
        <f aca="false">IF(INDEX(選手一覧!$J$7:$J$2738,$K219)="","",INDEX(選手一覧!$J$7:$J$2738,$K219))</f>
        <v/>
      </c>
      <c r="Q219" s="17" t="str">
        <f aca="false">IF(INDEX(選手一覧!$K$7:$K$2738,$K219)="","",INDEX(選手一覧!$K$7:$K$2738,$K219))</f>
        <v/>
      </c>
    </row>
    <row r="220" customFormat="false" ht="15" hidden="false" customHeight="false" outlineLevel="0" collapsed="false">
      <c r="A220" s="23" t="n">
        <v>7</v>
      </c>
      <c r="B220" s="24" t="n">
        <v>5</v>
      </c>
      <c r="C220" s="14" t="n">
        <v>71</v>
      </c>
      <c r="D220" s="25" t="n">
        <f aca="false">COUNTIFS($A$5:$A$229,A220,$E$5:$E$229,"&lt;"&amp;E220)+1</f>
        <v>21</v>
      </c>
      <c r="E220" s="26" t="n">
        <v>0.0111342592592593</v>
      </c>
      <c r="F220" s="26" t="n">
        <f aca="false">E220/B220</f>
        <v>0.00222685185185185</v>
      </c>
      <c r="G220" s="27" t="s">
        <v>4588</v>
      </c>
      <c r="H220" s="27" t="s">
        <v>4437</v>
      </c>
      <c r="I220" s="28" t="s">
        <v>4306</v>
      </c>
      <c r="J220" s="25" t="n">
        <v>54</v>
      </c>
      <c r="K220" s="25" t="n">
        <v>1021</v>
      </c>
      <c r="L220" s="13" t="n">
        <f aca="false">IF(INDEX(選手一覧!$D$7:$D$2738,$K220)="","",INDEX(選手一覧!$D$7:$D$2738,$K220))</f>
        <v>0.0109625</v>
      </c>
      <c r="M220" s="14" t="n">
        <f aca="false">IF(INDEX(選手一覧!$E$7:$E$2738,$K220)="","",INDEX(選手一覧!$E$7:$E$2738,$K220))</f>
        <v>1022</v>
      </c>
      <c r="N220" s="16" t="n">
        <f aca="false">IF(INDEX(選手一覧!$H$7:$H$2738,$K220)="","",INDEX(選手一覧!$H$7:$H$2738,$K220))</f>
        <v>0.00737592592592593</v>
      </c>
      <c r="O220" s="17" t="n">
        <f aca="false">IF(INDEX(選手一覧!$I$7:$I$2738,$K220)="","",INDEX(選手一覧!$I$7:$I$2738,$K220))</f>
        <v>743</v>
      </c>
      <c r="P220" s="16" t="str">
        <f aca="false">IF(INDEX(選手一覧!$J$7:$J$2738,$K220)="","",INDEX(選手一覧!$J$7:$J$2738,$K220))</f>
        <v/>
      </c>
      <c r="Q220" s="17" t="str">
        <f aca="false">IF(INDEX(選手一覧!$K$7:$K$2738,$K220)="","",INDEX(選手一覧!$K$7:$K$2738,$K220))</f>
        <v/>
      </c>
    </row>
    <row r="221" customFormat="false" ht="15" hidden="false" customHeight="false" outlineLevel="0" collapsed="false">
      <c r="A221" s="23" t="n">
        <v>7</v>
      </c>
      <c r="B221" s="24" t="n">
        <v>5</v>
      </c>
      <c r="C221" s="14" t="n">
        <v>72</v>
      </c>
      <c r="D221" s="25" t="n">
        <f aca="false">COUNTIFS($A$5:$A$229,A221,$E$5:$E$229,"&lt;"&amp;E221)+1</f>
        <v>21</v>
      </c>
      <c r="E221" s="26" t="n">
        <v>0.0111458333333333</v>
      </c>
      <c r="F221" s="26" t="n">
        <f aca="false">E221/B221</f>
        <v>0.00222916666666667</v>
      </c>
      <c r="G221" s="27" t="s">
        <v>4589</v>
      </c>
      <c r="H221" s="27" t="s">
        <v>4398</v>
      </c>
      <c r="I221" s="28" t="s">
        <v>4271</v>
      </c>
      <c r="J221" s="25" t="n">
        <v>87</v>
      </c>
      <c r="K221" s="25" t="n">
        <v>1012</v>
      </c>
      <c r="L221" s="13" t="n">
        <f aca="false">IF(INDEX(選手一覧!$D$7:$D$2738,$K221)="","",INDEX(選手一覧!$D$7:$D$2738,$K221))</f>
        <v>0.0109548611111111</v>
      </c>
      <c r="M221" s="14" t="n">
        <f aca="false">IF(INDEX(選手一覧!$E$7:$E$2738,$K221)="","",INDEX(選手一覧!$E$7:$E$2738,$K221))</f>
        <v>1013</v>
      </c>
      <c r="N221" s="16" t="str">
        <f aca="false">IF(INDEX(選手一覧!$H$7:$H$2738,$K221)="","",INDEX(選手一覧!$H$7:$H$2738,$K221))</f>
        <v/>
      </c>
      <c r="O221" s="17" t="str">
        <f aca="false">IF(INDEX(選手一覧!$I$7:$I$2738,$K221)="","",INDEX(選手一覧!$I$7:$I$2738,$K221))</f>
        <v/>
      </c>
      <c r="P221" s="16" t="n">
        <f aca="false">IF(INDEX(選手一覧!$J$7:$J$2738,$K221)="","",INDEX(選手一覧!$J$7:$J$2738,$K221))</f>
        <v>0.00297916666666667</v>
      </c>
      <c r="Q221" s="17" t="n">
        <f aca="false">IF(INDEX(選手一覧!$K$7:$K$2738,$K221)="","",INDEX(選手一覧!$K$7:$K$2738,$K221))</f>
        <v>1349</v>
      </c>
    </row>
    <row r="222" customFormat="false" ht="15" hidden="false" customHeight="false" outlineLevel="0" collapsed="false">
      <c r="A222" s="23" t="n">
        <v>7</v>
      </c>
      <c r="B222" s="24" t="n">
        <v>5</v>
      </c>
      <c r="C222" s="14" t="n">
        <v>73</v>
      </c>
      <c r="D222" s="25" t="n">
        <f aca="false">COUNTIFS($A$5:$A$229,A222,$E$5:$E$229,"&lt;"&amp;E222)+1</f>
        <v>22</v>
      </c>
      <c r="E222" s="26" t="n">
        <v>0.0111574074074074</v>
      </c>
      <c r="F222" s="26" t="n">
        <f aca="false">E222/B222</f>
        <v>0.00223148148148148</v>
      </c>
      <c r="G222" s="27" t="s">
        <v>4590</v>
      </c>
      <c r="H222" s="27" t="s">
        <v>4400</v>
      </c>
      <c r="I222" s="28" t="s">
        <v>4271</v>
      </c>
      <c r="J222" s="25" t="n">
        <v>71</v>
      </c>
      <c r="K222" s="25" t="n">
        <v>918</v>
      </c>
      <c r="L222" s="13" t="n">
        <f aca="false">IF(INDEX(選手一覧!$D$7:$D$2738,$K222)="","",INDEX(選手一覧!$D$7:$D$2738,$K222))</f>
        <v>0.0108982638888889</v>
      </c>
      <c r="M222" s="14" t="n">
        <f aca="false">IF(INDEX(選手一覧!$E$7:$E$2738,$K222)="","",INDEX(選手一覧!$E$7:$E$2738,$K222))</f>
        <v>919</v>
      </c>
      <c r="N222" s="16" t="str">
        <f aca="false">IF(INDEX(選手一覧!$H$7:$H$2738,$K222)="","",INDEX(選手一覧!$H$7:$H$2738,$K222))</f>
        <v/>
      </c>
      <c r="O222" s="17" t="str">
        <f aca="false">IF(INDEX(選手一覧!$I$7:$I$2738,$K222)="","",INDEX(選手一覧!$I$7:$I$2738,$K222))</f>
        <v/>
      </c>
      <c r="P222" s="16" t="n">
        <f aca="false">IF(INDEX(選手一覧!$J$7:$J$2738,$K222)="","",INDEX(選手一覧!$J$7:$J$2738,$K222))</f>
        <v>0.00288506944444444</v>
      </c>
      <c r="Q222" s="17" t="n">
        <f aca="false">IF(INDEX(選手一覧!$K$7:$K$2738,$K222)="","",INDEX(選手一覧!$K$7:$K$2738,$K222))</f>
        <v>817</v>
      </c>
    </row>
    <row r="223" customFormat="false" ht="15" hidden="false" customHeight="false" outlineLevel="0" collapsed="false">
      <c r="A223" s="23" t="n">
        <v>7</v>
      </c>
      <c r="B223" s="24" t="n">
        <v>5</v>
      </c>
      <c r="C223" s="14" t="n">
        <v>78</v>
      </c>
      <c r="D223" s="25" t="n">
        <f aca="false">COUNTIFS($A$5:$A$229,A223,$E$5:$E$229,"&lt;"&amp;E223)+1</f>
        <v>23</v>
      </c>
      <c r="E223" s="26" t="n">
        <v>0.0113194444444444</v>
      </c>
      <c r="F223" s="26" t="n">
        <f aca="false">E223/B223</f>
        <v>0.00226388888888889</v>
      </c>
      <c r="G223" s="27" t="s">
        <v>4591</v>
      </c>
      <c r="H223" s="27" t="s">
        <v>4592</v>
      </c>
      <c r="I223" s="28" t="s">
        <v>4271</v>
      </c>
      <c r="J223" s="25" t="n">
        <v>90</v>
      </c>
      <c r="K223" s="25" t="n">
        <v>1020</v>
      </c>
      <c r="L223" s="13" t="n">
        <f aca="false">IF(INDEX(選手一覧!$D$7:$D$2738,$K223)="","",INDEX(選手一覧!$D$7:$D$2738,$K223))</f>
        <v>0.0109608796296296</v>
      </c>
      <c r="M223" s="14" t="n">
        <f aca="false">IF(INDEX(選手一覧!$E$7:$E$2738,$K223)="","",INDEX(選手一覧!$E$7:$E$2738,$K223))</f>
        <v>1021</v>
      </c>
      <c r="N223" s="16" t="n">
        <f aca="false">IF(INDEX(選手一覧!$H$7:$H$2738,$K223)="","",INDEX(選手一覧!$H$7:$H$2738,$K223))</f>
        <v>0.00672141203703704</v>
      </c>
      <c r="O223" s="17" t="n">
        <f aca="false">IF(INDEX(選手一覧!$I$7:$I$2738,$K223)="","",INDEX(選手一覧!$I$7:$I$2738,$K223))</f>
        <v>114</v>
      </c>
      <c r="P223" s="16" t="str">
        <f aca="false">IF(INDEX(選手一覧!$J$7:$J$2738,$K223)="","",INDEX(選手一覧!$J$7:$J$2738,$K223))</f>
        <v/>
      </c>
      <c r="Q223" s="17" t="str">
        <f aca="false">IF(INDEX(選手一覧!$K$7:$K$2738,$K223)="","",INDEX(選手一覧!$K$7:$K$2738,$K223))</f>
        <v/>
      </c>
    </row>
    <row r="224" customFormat="false" ht="15" hidden="false" customHeight="false" outlineLevel="0" collapsed="false">
      <c r="A224" s="23" t="n">
        <v>7</v>
      </c>
      <c r="B224" s="24" t="n">
        <v>5</v>
      </c>
      <c r="C224" s="14" t="n">
        <v>84</v>
      </c>
      <c r="D224" s="25" t="n">
        <f aca="false">COUNTIFS($A$5:$A$229,A224,$E$5:$E$229,"&lt;"&amp;E224)+1</f>
        <v>24</v>
      </c>
      <c r="E224" s="26" t="n">
        <v>0.0114467592592593</v>
      </c>
      <c r="F224" s="26" t="n">
        <f aca="false">E224/B224</f>
        <v>0.00228935185185185</v>
      </c>
      <c r="G224" s="27" t="s">
        <v>4593</v>
      </c>
      <c r="H224" s="27" t="s">
        <v>4500</v>
      </c>
      <c r="I224" s="28" t="s">
        <v>4257</v>
      </c>
      <c r="J224" s="25" t="n">
        <v>94</v>
      </c>
      <c r="K224" s="25" t="n">
        <v>1767</v>
      </c>
      <c r="L224" s="13" t="str">
        <f aca="false">IF(INDEX(選手一覧!$D$7:$D$2738,$K224)="","",INDEX(選手一覧!$D$7:$D$2738,$K224))</f>
        <v/>
      </c>
      <c r="M224" s="14" t="str">
        <f aca="false">IF(INDEX(選手一覧!$E$7:$E$2738,$K224)="","",INDEX(選手一覧!$E$7:$E$2738,$K224))</f>
        <v/>
      </c>
      <c r="N224" s="16" t="n">
        <f aca="false">IF(INDEX(選手一覧!$H$7:$H$2738,$K224)="","",INDEX(選手一覧!$H$7:$H$2738,$K224))</f>
        <v>0.00731724537037037</v>
      </c>
      <c r="O224" s="17" t="n">
        <f aca="false">IF(INDEX(選手一覧!$I$7:$I$2738,$K224)="","",INDEX(選手一覧!$I$7:$I$2738,$K224))</f>
        <v>666</v>
      </c>
      <c r="P224" s="16" t="str">
        <f aca="false">IF(INDEX(選手一覧!$J$7:$J$2738,$K224)="","",INDEX(選手一覧!$J$7:$J$2738,$K224))</f>
        <v/>
      </c>
      <c r="Q224" s="17" t="str">
        <f aca="false">IF(INDEX(選手一覧!$K$7:$K$2738,$K224)="","",INDEX(選手一覧!$K$7:$K$2738,$K224))</f>
        <v/>
      </c>
    </row>
    <row r="225" customFormat="false" ht="15" hidden="false" customHeight="false" outlineLevel="0" collapsed="false">
      <c r="A225" s="23" t="n">
        <v>7</v>
      </c>
      <c r="B225" s="24" t="n">
        <v>5</v>
      </c>
      <c r="C225" s="14" t="n">
        <v>91</v>
      </c>
      <c r="D225" s="25" t="n">
        <f aca="false">COUNTIFS($A$5:$A$229,A225,$E$5:$E$229,"&lt;"&amp;E225)+1</f>
        <v>25</v>
      </c>
      <c r="E225" s="26" t="n">
        <v>0.0117013888888889</v>
      </c>
      <c r="F225" s="26" t="n">
        <f aca="false">E225/B225</f>
        <v>0.00234027777777778</v>
      </c>
      <c r="G225" s="27" t="s">
        <v>4594</v>
      </c>
      <c r="H225" s="27" t="s">
        <v>4449</v>
      </c>
      <c r="I225" s="28" t="s">
        <v>4268</v>
      </c>
      <c r="J225" s="25" t="n">
        <v>99</v>
      </c>
      <c r="K225" s="25" t="n">
        <v>1746</v>
      </c>
      <c r="L225" s="13" t="str">
        <f aca="false">IF(INDEX(選手一覧!$D$7:$D$2738,$K225)="","",INDEX(選手一覧!$D$7:$D$2738,$K225))</f>
        <v/>
      </c>
      <c r="M225" s="14" t="str">
        <f aca="false">IF(INDEX(選手一覧!$E$7:$E$2738,$K225)="","",INDEX(選手一覧!$E$7:$E$2738,$K225))</f>
        <v/>
      </c>
      <c r="N225" s="16" t="n">
        <f aca="false">IF(INDEX(選手一覧!$H$7:$H$2738,$K225)="","",INDEX(選手一覧!$H$7:$H$2738,$K225))</f>
        <v>0.00729930555555556</v>
      </c>
      <c r="O225" s="17" t="n">
        <f aca="false">IF(INDEX(選手一覧!$I$7:$I$2738,$K225)="","",INDEX(選手一覧!$I$7:$I$2738,$K225))</f>
        <v>645</v>
      </c>
      <c r="P225" s="16" t="str">
        <f aca="false">IF(INDEX(選手一覧!$J$7:$J$2738,$K225)="","",INDEX(選手一覧!$J$7:$J$2738,$K225))</f>
        <v/>
      </c>
      <c r="Q225" s="17" t="str">
        <f aca="false">IF(INDEX(選手一覧!$K$7:$K$2738,$K225)="","",INDEX(選手一覧!$K$7:$K$2738,$K225))</f>
        <v/>
      </c>
    </row>
    <row r="226" customFormat="false" ht="15" hidden="false" customHeight="false" outlineLevel="0" collapsed="false">
      <c r="A226" s="23" t="n">
        <v>7</v>
      </c>
      <c r="B226" s="24" t="n">
        <v>5</v>
      </c>
      <c r="C226" s="14" t="n">
        <v>92</v>
      </c>
      <c r="D226" s="25" t="n">
        <f aca="false">COUNTIFS($A$5:$A$229,A226,$E$5:$E$229,"&lt;"&amp;E226)+1</f>
        <v>26</v>
      </c>
      <c r="E226" s="26" t="n">
        <v>0.011712962962963</v>
      </c>
      <c r="F226" s="26" t="n">
        <f aca="false">E226/B226</f>
        <v>0.00234259259259259</v>
      </c>
      <c r="G226" s="27" t="s">
        <v>4595</v>
      </c>
      <c r="H226" s="27" t="s">
        <v>4596</v>
      </c>
      <c r="I226" s="28" t="s">
        <v>4348</v>
      </c>
      <c r="J226" s="25" t="n">
        <v>89</v>
      </c>
      <c r="K226" s="25" t="n">
        <v>2355</v>
      </c>
      <c r="L226" s="13" t="str">
        <f aca="false">IF(INDEX(選手一覧!$D$7:$D$2738,$K226)="","",INDEX(選手一覧!$D$7:$D$2738,$K226))</f>
        <v/>
      </c>
      <c r="M226" s="14" t="str">
        <f aca="false">IF(INDEX(選手一覧!$E$7:$E$2738,$K226)="","",INDEX(選手一覧!$E$7:$E$2738,$K226))</f>
        <v/>
      </c>
      <c r="N226" s="16" t="str">
        <f aca="false">IF(INDEX(選手一覧!$H$7:$H$2738,$K226)="","",INDEX(選手一覧!$H$7:$H$2738,$K226))</f>
        <v/>
      </c>
      <c r="O226" s="17" t="str">
        <f aca="false">IF(INDEX(選手一覧!$I$7:$I$2738,$K226)="","",INDEX(選手一覧!$I$7:$I$2738,$K226))</f>
        <v/>
      </c>
      <c r="P226" s="16" t="n">
        <f aca="false">IF(INDEX(選手一覧!$J$7:$J$2738,$K226)="","",INDEX(選手一覧!$J$7:$J$2738,$K226))</f>
        <v>0.00292141203703704</v>
      </c>
      <c r="Q226" s="17" t="n">
        <f aca="false">IF(INDEX(選手一覧!$K$7:$K$2738,$K226)="","",INDEX(選手一覧!$K$7:$K$2738,$K226))</f>
        <v>1110</v>
      </c>
    </row>
    <row r="227" customFormat="false" ht="15" hidden="false" customHeight="false" outlineLevel="0" collapsed="false">
      <c r="A227" s="23" t="n">
        <v>7</v>
      </c>
      <c r="B227" s="24" t="n">
        <v>5</v>
      </c>
      <c r="C227" s="14" t="n">
        <v>95</v>
      </c>
      <c r="D227" s="25" t="n">
        <f aca="false">COUNTIFS($A$5:$A$229,A227,$E$5:$E$229,"&lt;"&amp;E227)+1</f>
        <v>27</v>
      </c>
      <c r="E227" s="26" t="n">
        <v>0.0117592592592593</v>
      </c>
      <c r="F227" s="26" t="n">
        <f aca="false">E227/B227</f>
        <v>0.00235185185185185</v>
      </c>
      <c r="G227" s="27" t="s">
        <v>4597</v>
      </c>
      <c r="H227" s="27" t="s">
        <v>4329</v>
      </c>
      <c r="I227" s="28" t="s">
        <v>4257</v>
      </c>
      <c r="J227" s="25" t="n">
        <v>81</v>
      </c>
      <c r="K227" s="25" t="n">
        <v>1755</v>
      </c>
      <c r="L227" s="13" t="str">
        <f aca="false">IF(INDEX(選手一覧!$D$7:$D$2738,$K227)="","",INDEX(選手一覧!$D$7:$D$2738,$K227))</f>
        <v/>
      </c>
      <c r="M227" s="14" t="str">
        <f aca="false">IF(INDEX(選手一覧!$E$7:$E$2738,$K227)="","",INDEX(選手一覧!$E$7:$E$2738,$K227))</f>
        <v/>
      </c>
      <c r="N227" s="16" t="n">
        <f aca="false">IF(INDEX(選手一覧!$H$7:$H$2738,$K227)="","",INDEX(選手一覧!$H$7:$H$2738,$K227))</f>
        <v>0.0073068287037037</v>
      </c>
      <c r="O227" s="17" t="n">
        <f aca="false">IF(INDEX(選手一覧!$I$7:$I$2738,$K227)="","",INDEX(選手一覧!$I$7:$I$2738,$K227))</f>
        <v>656</v>
      </c>
      <c r="P227" s="16" t="str">
        <f aca="false">IF(INDEX(選手一覧!$J$7:$J$2738,$K227)="","",INDEX(選手一覧!$J$7:$J$2738,$K227))</f>
        <v/>
      </c>
      <c r="Q227" s="17" t="str">
        <f aca="false">IF(INDEX(選手一覧!$K$7:$K$2738,$K227)="","",INDEX(選手一覧!$K$7:$K$2738,$K227))</f>
        <v/>
      </c>
    </row>
    <row r="228" customFormat="false" ht="15" hidden="false" customHeight="false" outlineLevel="0" collapsed="false">
      <c r="A228" s="23" t="n">
        <v>7</v>
      </c>
      <c r="B228" s="24" t="n">
        <v>5</v>
      </c>
      <c r="C228" s="14" t="n">
        <v>97</v>
      </c>
      <c r="D228" s="25" t="n">
        <f aca="false">COUNTIFS($A$5:$A$229,A228,$E$5:$E$229,"&lt;"&amp;E228)+1</f>
        <v>28</v>
      </c>
      <c r="E228" s="26" t="n">
        <v>0.0119675925925926</v>
      </c>
      <c r="F228" s="26" t="n">
        <f aca="false">E228/B228</f>
        <v>0.00239351851851852</v>
      </c>
      <c r="G228" s="27" t="s">
        <v>4598</v>
      </c>
      <c r="H228" s="27" t="s">
        <v>4347</v>
      </c>
      <c r="I228" s="28" t="s">
        <v>4348</v>
      </c>
      <c r="J228" s="25" t="n">
        <v>102</v>
      </c>
      <c r="K228" s="25" t="n">
        <v>2359</v>
      </c>
      <c r="L228" s="13" t="str">
        <f aca="false">IF(INDEX(選手一覧!$D$7:$D$2738,$K228)="","",INDEX(選手一覧!$D$7:$D$2738,$K228))</f>
        <v/>
      </c>
      <c r="M228" s="14" t="str">
        <f aca="false">IF(INDEX(選手一覧!$E$7:$E$2738,$K228)="","",INDEX(選手一覧!$E$7:$E$2738,$K228))</f>
        <v/>
      </c>
      <c r="N228" s="16" t="n">
        <f aca="false">IF(INDEX(選手一覧!$H$7:$H$2738,$K228)="","",INDEX(選手一覧!$H$7:$H$2738,$K228))</f>
        <v>0.00775231481481481</v>
      </c>
      <c r="O228" s="17" t="n">
        <f aca="false">IF(INDEX(選手一覧!$I$7:$I$2738,$K228)="","",INDEX(選手一覧!$I$7:$I$2738,$K228))</f>
        <v>1114</v>
      </c>
      <c r="P228" s="16" t="str">
        <f aca="false">IF(INDEX(選手一覧!$J$7:$J$2738,$K228)="","",INDEX(選手一覧!$J$7:$J$2738,$K228))</f>
        <v/>
      </c>
      <c r="Q228" s="17" t="str">
        <f aca="false">IF(INDEX(選手一覧!$K$7:$K$2738,$K228)="","",INDEX(選手一覧!$K$7:$K$2738,$K228))</f>
        <v/>
      </c>
    </row>
    <row r="229" customFormat="false" ht="15" hidden="false" customHeight="false" outlineLevel="0" collapsed="false">
      <c r="A229" s="23" t="n">
        <v>7</v>
      </c>
      <c r="B229" s="24" t="n">
        <v>5</v>
      </c>
      <c r="C229" s="14" t="n">
        <v>98</v>
      </c>
      <c r="D229" s="25" t="n">
        <f aca="false">COUNTIFS($A$5:$A$229,A229,$E$5:$E$229,"&lt;"&amp;E229)+1</f>
        <v>29</v>
      </c>
      <c r="E229" s="26" t="n">
        <v>0.0120138888888889</v>
      </c>
      <c r="F229" s="26" t="n">
        <f aca="false">E229/B229</f>
        <v>0.00240277777777778</v>
      </c>
      <c r="G229" s="27" t="s">
        <v>4599</v>
      </c>
      <c r="H229" s="27" t="s">
        <v>4352</v>
      </c>
      <c r="I229" s="28" t="s">
        <v>4353</v>
      </c>
      <c r="J229" s="25" t="n">
        <v>93</v>
      </c>
      <c r="K229" s="25" t="n">
        <v>1495</v>
      </c>
      <c r="L229" s="13" t="str">
        <f aca="false">IF(INDEX(選手一覧!$D$7:$D$2738,$K229)="","",INDEX(選手一覧!$D$7:$D$2738,$K229))</f>
        <v/>
      </c>
      <c r="M229" s="14" t="str">
        <f aca="false">IF(INDEX(選手一覧!$E$7:$E$2738,$K229)="","",INDEX(選手一覧!$E$7:$E$2738,$K229))</f>
        <v/>
      </c>
      <c r="N229" s="16" t="n">
        <f aca="false">IF(INDEX(選手一覧!$H$7:$H$2738,$K229)="","",INDEX(選手一覧!$H$7:$H$2738,$K229))</f>
        <v>0.00705462962962963</v>
      </c>
      <c r="O229" s="17" t="n">
        <f aca="false">IF(INDEX(選手一覧!$I$7:$I$2738,$K229)="","",INDEX(選手一覧!$I$7:$I$2738,$K229))</f>
        <v>395</v>
      </c>
      <c r="P229" s="16" t="str">
        <f aca="false">IF(INDEX(選手一覧!$J$7:$J$2738,$K229)="","",INDEX(選手一覧!$J$7:$J$2738,$K229))</f>
        <v/>
      </c>
      <c r="Q229" s="17" t="str">
        <f aca="false">IF(INDEX(選手一覧!$K$7:$K$2738,$K229)="","",INDEX(選手一覧!$K$7:$K$2738,$K229))</f>
        <v/>
      </c>
    </row>
  </sheetData>
  <autoFilter ref="A4:Q229"/>
  <conditionalFormatting sqref="C5:C229">
    <cfRule type="cellIs" priority="2" operator="lessThanOrEqual" aboveAverage="0" equalAverage="0" bottom="0" percent="0" rank="0" text="" dxfId="9">
      <formula>3</formula>
    </cfRule>
    <cfRule type="cellIs" priority="3" operator="lessThanOrEqual" aboveAverage="0" equalAverage="0" bottom="0" percent="0" rank="0" text="" dxfId="10">
      <formula>10</formula>
    </cfRule>
    <cfRule type="cellIs" priority="4" operator="lessThanOrEqual" aboveAverage="0" equalAverage="0" bottom="0" percent="0" rank="0" text="" dxfId="11">
      <formula>30</formula>
    </cfRule>
  </conditionalFormatting>
  <conditionalFormatting sqref="M5:M229 O5:O229 Q5:Q229">
    <cfRule type="cellIs" priority="5" operator="lessThanOrEqual" aboveAverage="0" equalAverage="0" bottom="0" percent="0" rank="0" text="" dxfId="9">
      <formula>10</formula>
    </cfRule>
    <cfRule type="cellIs" priority="6" operator="lessThanOrEqual" aboveAverage="0" equalAverage="0" bottom="0" percent="0" rank="0" text="" dxfId="10">
      <formula>50</formula>
    </cfRule>
    <cfRule type="cellIs" priority="7" operator="lessThanOrEqual" aboveAverage="0" equalAverage="0" bottom="0" percent="0" rank="0" text="" dxfId="11">
      <formula>100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1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7" ySplit="4" topLeftCell="H5" activePane="bottomRight" state="frozen"/>
      <selection pane="topLeft" activeCell="A1" activeCellId="0" sqref="A1"/>
      <selection pane="topRight" activeCell="H1" activeCellId="0" sqref="H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8"/>
    <col collapsed="false" customWidth="true" hidden="false" outlineLevel="0" max="3" min="3" style="0" width="7"/>
    <col collapsed="false" customWidth="true" hidden="false" outlineLevel="0" max="4" min="4" style="0" width="8"/>
    <col collapsed="false" customWidth="true" hidden="false" outlineLevel="0" max="5" min="5" style="0" width="10"/>
    <col collapsed="false" customWidth="true" hidden="false" outlineLevel="0" max="6" min="6" style="0" width="8"/>
    <col collapsed="false" customWidth="true" hidden="false" outlineLevel="0" max="7" min="7" style="0" width="18"/>
    <col collapsed="false" customWidth="true" hidden="false" outlineLevel="0" max="8" min="8" style="0" width="20"/>
    <col collapsed="false" customWidth="true" hidden="true" outlineLevel="0" max="9" min="9" style="0" width="9"/>
    <col collapsed="false" customWidth="true" hidden="false" outlineLevel="0" max="10" min="10" style="0" width="8"/>
    <col collapsed="false" customWidth="true" hidden="false" outlineLevel="0" max="11" min="11" style="0" width="6"/>
    <col collapsed="false" customWidth="true" hidden="false" outlineLevel="0" max="12" min="12" style="0" width="11"/>
    <col collapsed="false" customWidth="true" hidden="false" outlineLevel="0" max="13" min="13" style="0" width="8"/>
    <col collapsed="false" customWidth="true" hidden="false" outlineLevel="0" max="14" min="14" style="0" width="10"/>
    <col collapsed="false" customWidth="true" hidden="false" outlineLevel="0" max="15" min="15" style="0" width="8"/>
    <col collapsed="false" customWidth="true" hidden="false" outlineLevel="0" max="16" min="16" style="0" width="10"/>
    <col collapsed="false" customWidth="true" hidden="false" outlineLevel="0" max="17" min="17" style="0" width="8"/>
  </cols>
  <sheetData>
    <row r="1" customFormat="false" ht="19.4" hidden="false" customHeight="false" outlineLevel="0" collapsed="false">
      <c r="A1" s="21" t="s">
        <v>4600</v>
      </c>
    </row>
    <row r="2" customFormat="false" ht="15" hidden="false" customHeight="false" outlineLevel="0" collapsed="false">
      <c r="A2" s="2" t="s">
        <v>4245</v>
      </c>
    </row>
    <row r="4" customFormat="false" ht="33.75" hidden="false" customHeight="true" outlineLevel="0" collapsed="false">
      <c r="A4" s="8" t="s">
        <v>4246</v>
      </c>
      <c r="B4" s="8" t="s">
        <v>4247</v>
      </c>
      <c r="C4" s="8" t="s">
        <v>4248</v>
      </c>
      <c r="D4" s="7" t="s">
        <v>4249</v>
      </c>
      <c r="E4" s="8" t="s">
        <v>4250</v>
      </c>
      <c r="F4" s="7" t="s">
        <v>4251</v>
      </c>
      <c r="G4" s="8" t="s">
        <v>8</v>
      </c>
      <c r="H4" s="8" t="s">
        <v>4252</v>
      </c>
      <c r="I4" s="8" t="s">
        <v>4253</v>
      </c>
      <c r="J4" s="8" t="s">
        <v>4254</v>
      </c>
      <c r="K4" s="7" t="s">
        <v>7</v>
      </c>
      <c r="L4" s="9" t="s">
        <v>10</v>
      </c>
      <c r="M4" s="9" t="s">
        <v>11</v>
      </c>
      <c r="N4" s="7" t="s">
        <v>14</v>
      </c>
      <c r="O4" s="7" t="s">
        <v>15</v>
      </c>
      <c r="P4" s="7" t="s">
        <v>16</v>
      </c>
      <c r="Q4" s="7" t="s">
        <v>17</v>
      </c>
    </row>
    <row r="5" customFormat="false" ht="15" hidden="false" customHeight="false" outlineLevel="0" collapsed="false">
      <c r="A5" s="23" t="n">
        <v>1</v>
      </c>
      <c r="B5" s="24" t="n">
        <v>10</v>
      </c>
      <c r="C5" s="14" t="n">
        <v>6</v>
      </c>
      <c r="D5" s="25" t="n">
        <f aca="false">COUNTIFS($A$5:$A$115,A5,$E$5:$E$115,"&lt;"&amp;E5)+1</f>
        <v>1</v>
      </c>
      <c r="E5" s="26" t="n">
        <v>0.0206828703703704</v>
      </c>
      <c r="F5" s="26" t="n">
        <f aca="false">E5/B5</f>
        <v>0.00206828703703704</v>
      </c>
      <c r="G5" s="27" t="s">
        <v>4601</v>
      </c>
      <c r="H5" s="27" t="s">
        <v>4602</v>
      </c>
      <c r="I5" s="28"/>
      <c r="J5" s="25" t="n">
        <v>16</v>
      </c>
      <c r="K5" s="25" t="n">
        <v>40</v>
      </c>
      <c r="L5" s="13" t="n">
        <f aca="false">IF(INDEX(選手一覧!$D$7:$D$2738,$K5)="","",INDEX(選手一覧!$D$7:$D$2738,$K5))</f>
        <v>0.0100755787037037</v>
      </c>
      <c r="M5" s="14" t="n">
        <f aca="false">IF(INDEX(選手一覧!$E$7:$E$2738,$K5)="","",INDEX(選手一覧!$E$7:$E$2738,$K5))</f>
        <v>41</v>
      </c>
      <c r="N5" s="16" t="str">
        <f aca="false">IF(INDEX(選手一覧!$H$7:$H$2738,$K5)="","",INDEX(選手一覧!$H$7:$H$2738,$K5))</f>
        <v/>
      </c>
      <c r="O5" s="17" t="str">
        <f aca="false">IF(INDEX(選手一覧!$I$7:$I$2738,$K5)="","",INDEX(選手一覧!$I$7:$I$2738,$K5))</f>
        <v/>
      </c>
      <c r="P5" s="16" t="n">
        <f aca="false">IF(INDEX(選手一覧!$J$7:$J$2738,$K5)="","",INDEX(選手一覧!$J$7:$J$2738,$K5))</f>
        <v>0.00276655092592593</v>
      </c>
      <c r="Q5" s="17" t="n">
        <f aca="false">IF(INDEX(選手一覧!$K$7:$K$2738,$K5)="","",INDEX(選手一覧!$K$7:$K$2738,$K5))</f>
        <v>153</v>
      </c>
    </row>
    <row r="6" customFormat="false" ht="15" hidden="false" customHeight="false" outlineLevel="0" collapsed="false">
      <c r="A6" s="23" t="n">
        <v>1</v>
      </c>
      <c r="B6" s="24" t="n">
        <v>10</v>
      </c>
      <c r="C6" s="14" t="n">
        <v>7</v>
      </c>
      <c r="D6" s="25" t="n">
        <f aca="false">COUNTIFS($A$5:$A$115,A6,$E$5:$E$115,"&lt;"&amp;E6)+1</f>
        <v>2</v>
      </c>
      <c r="E6" s="26" t="n">
        <v>0.0207175925925926</v>
      </c>
      <c r="F6" s="26" t="n">
        <f aca="false">E6/B6</f>
        <v>0.00207175925925926</v>
      </c>
      <c r="G6" s="27" t="s">
        <v>4603</v>
      </c>
      <c r="H6" s="27" t="s">
        <v>4604</v>
      </c>
      <c r="I6" s="28"/>
      <c r="J6" s="25" t="n">
        <v>4</v>
      </c>
      <c r="K6" s="25" t="n">
        <v>24</v>
      </c>
      <c r="L6" s="13" t="n">
        <f aca="false">IF(INDEX(選手一覧!$D$7:$D$2738,$K6)="","",INDEX(選手一覧!$D$7:$D$2738,$K6))</f>
        <v>0.0100194444444444</v>
      </c>
      <c r="M6" s="14" t="n">
        <f aca="false">IF(INDEX(選手一覧!$E$7:$E$2738,$K6)="","",INDEX(選手一覧!$E$7:$E$2738,$K6))</f>
        <v>25</v>
      </c>
      <c r="N6" s="16" t="str">
        <f aca="false">IF(INDEX(選手一覧!$H$7:$H$2738,$K6)="","",INDEX(選手一覧!$H$7:$H$2738,$K6))</f>
        <v/>
      </c>
      <c r="O6" s="17" t="str">
        <f aca="false">IF(INDEX(選手一覧!$I$7:$I$2738,$K6)="","",INDEX(選手一覧!$I$7:$I$2738,$K6))</f>
        <v/>
      </c>
      <c r="P6" s="16" t="n">
        <f aca="false">IF(INDEX(選手一覧!$J$7:$J$2738,$K6)="","",INDEX(選手一覧!$J$7:$J$2738,$K6))</f>
        <v>0.00267650462962963</v>
      </c>
      <c r="Q6" s="17" t="n">
        <f aca="false">IF(INDEX(選手一覧!$K$7:$K$2738,$K6)="","",INDEX(選手一覧!$K$7:$K$2738,$K6))</f>
        <v>9</v>
      </c>
    </row>
    <row r="7" customFormat="false" ht="15" hidden="false" customHeight="false" outlineLevel="0" collapsed="false">
      <c r="A7" s="23" t="n">
        <v>1</v>
      </c>
      <c r="B7" s="24" t="n">
        <v>10</v>
      </c>
      <c r="C7" s="14" t="n">
        <v>12</v>
      </c>
      <c r="D7" s="25" t="n">
        <f aca="false">COUNTIFS($A$5:$A$115,A7,$E$5:$E$115,"&lt;"&amp;E7)+1</f>
        <v>3</v>
      </c>
      <c r="E7" s="26" t="n">
        <v>0.0209606481481482</v>
      </c>
      <c r="F7" s="26" t="n">
        <f aca="false">E7/B7</f>
        <v>0.00209606481481482</v>
      </c>
      <c r="G7" s="27" t="s">
        <v>4605</v>
      </c>
      <c r="H7" s="27" t="s">
        <v>4606</v>
      </c>
      <c r="I7" s="28"/>
      <c r="J7" s="25" t="n">
        <v>17</v>
      </c>
      <c r="K7" s="25" t="n">
        <v>51</v>
      </c>
      <c r="L7" s="13" t="n">
        <f aca="false">IF(INDEX(選手一覧!$D$7:$D$2738,$K7)="","",INDEX(選手一覧!$D$7:$D$2738,$K7))</f>
        <v>0.0101003472222222</v>
      </c>
      <c r="M7" s="14" t="n">
        <f aca="false">IF(INDEX(選手一覧!$E$7:$E$2738,$K7)="","",INDEX(選手一覧!$E$7:$E$2738,$K7))</f>
        <v>52</v>
      </c>
      <c r="N7" s="16" t="str">
        <f aca="false">IF(INDEX(選手一覧!$H$7:$H$2738,$K7)="","",INDEX(選手一覧!$H$7:$H$2738,$K7))</f>
        <v/>
      </c>
      <c r="O7" s="17" t="str">
        <f aca="false">IF(INDEX(選手一覧!$I$7:$I$2738,$K7)="","",INDEX(選手一覧!$I$7:$I$2738,$K7))</f>
        <v/>
      </c>
      <c r="P7" s="16" t="n">
        <f aca="false">IF(INDEX(選手一覧!$J$7:$J$2738,$K7)="","",INDEX(選手一覧!$J$7:$J$2738,$K7))</f>
        <v>0.00271296296296296</v>
      </c>
      <c r="Q7" s="17" t="n">
        <f aca="false">IF(INDEX(選手一覧!$K$7:$K$2738,$K7)="","",INDEX(選手一覧!$K$7:$K$2738,$K7))</f>
        <v>39</v>
      </c>
    </row>
    <row r="8" customFormat="false" ht="15" hidden="false" customHeight="false" outlineLevel="0" collapsed="false">
      <c r="A8" s="23" t="n">
        <v>1</v>
      </c>
      <c r="B8" s="24" t="n">
        <v>10</v>
      </c>
      <c r="C8" s="14" t="n">
        <v>19</v>
      </c>
      <c r="D8" s="25" t="n">
        <f aca="false">COUNTIFS($A$5:$A$115,A8,$E$5:$E$115,"&lt;"&amp;E8)+1</f>
        <v>4</v>
      </c>
      <c r="E8" s="26" t="n">
        <v>0.0211805555555556</v>
      </c>
      <c r="F8" s="26" t="n">
        <f aca="false">E8/B8</f>
        <v>0.00211805555555556</v>
      </c>
      <c r="G8" s="27" t="s">
        <v>4607</v>
      </c>
      <c r="H8" s="27" t="s">
        <v>4608</v>
      </c>
      <c r="I8" s="28"/>
      <c r="J8" s="25" t="n">
        <v>26</v>
      </c>
      <c r="K8" s="25" t="n">
        <v>135</v>
      </c>
      <c r="L8" s="13" t="n">
        <f aca="false">IF(INDEX(選手一覧!$D$7:$D$2738,$K8)="","",INDEX(選手一覧!$D$7:$D$2738,$K8))</f>
        <v>0.0102678240740741</v>
      </c>
      <c r="M8" s="14" t="n">
        <f aca="false">IF(INDEX(選手一覧!$E$7:$E$2738,$K8)="","",INDEX(選手一覧!$E$7:$E$2738,$K8))</f>
        <v>136</v>
      </c>
      <c r="N8" s="16" t="str">
        <f aca="false">IF(INDEX(選手一覧!$H$7:$H$2738,$K8)="","",INDEX(選手一覧!$H$7:$H$2738,$K8))</f>
        <v/>
      </c>
      <c r="O8" s="17" t="str">
        <f aca="false">IF(INDEX(選手一覧!$I$7:$I$2738,$K8)="","",INDEX(選手一覧!$I$7:$I$2738,$K8))</f>
        <v/>
      </c>
      <c r="P8" s="16" t="str">
        <f aca="false">IF(INDEX(選手一覧!$J$7:$J$2738,$K8)="","",INDEX(選手一覧!$J$7:$J$2738,$K8))</f>
        <v/>
      </c>
      <c r="Q8" s="17" t="str">
        <f aca="false">IF(INDEX(選手一覧!$K$7:$K$2738,$K8)="","",INDEX(選手一覧!$K$7:$K$2738,$K8))</f>
        <v/>
      </c>
    </row>
    <row r="9" customFormat="false" ht="15" hidden="false" customHeight="false" outlineLevel="0" collapsed="false">
      <c r="A9" s="23" t="n">
        <v>1</v>
      </c>
      <c r="B9" s="24" t="n">
        <v>10</v>
      </c>
      <c r="C9" s="14" t="n">
        <v>22</v>
      </c>
      <c r="D9" s="25" t="n">
        <f aca="false">COUNTIFS($A$5:$A$115,A9,$E$5:$E$115,"&lt;"&amp;E9)+1</f>
        <v>5</v>
      </c>
      <c r="E9" s="26" t="n">
        <v>0.0214699074074074</v>
      </c>
      <c r="F9" s="26" t="n">
        <f aca="false">E9/B9</f>
        <v>0.00214699074074074</v>
      </c>
      <c r="G9" s="27" t="s">
        <v>4609</v>
      </c>
      <c r="H9" s="27" t="s">
        <v>4610</v>
      </c>
      <c r="I9" s="28"/>
      <c r="J9" s="25" t="n">
        <v>12</v>
      </c>
      <c r="K9" s="25" t="n">
        <v>230</v>
      </c>
      <c r="L9" s="13" t="n">
        <f aca="false">IF(INDEX(選手一覧!$D$7:$D$2738,$K9)="","",INDEX(選手一覧!$D$7:$D$2738,$K9))</f>
        <v>0.0103753472222222</v>
      </c>
      <c r="M9" s="14" t="n">
        <f aca="false">IF(INDEX(選手一覧!$E$7:$E$2738,$K9)="","",INDEX(選手一覧!$E$7:$E$2738,$K9))</f>
        <v>231</v>
      </c>
      <c r="N9" s="16" t="str">
        <f aca="false">IF(INDEX(選手一覧!$H$7:$H$2738,$K9)="","",INDEX(選手一覧!$H$7:$H$2738,$K9))</f>
        <v/>
      </c>
      <c r="O9" s="17" t="str">
        <f aca="false">IF(INDEX(選手一覧!$I$7:$I$2738,$K9)="","",INDEX(選手一覧!$I$7:$I$2738,$K9))</f>
        <v/>
      </c>
      <c r="P9" s="16" t="n">
        <f aca="false">IF(INDEX(選手一覧!$J$7:$J$2738,$K9)="","",INDEX(選手一覧!$J$7:$J$2738,$K9))</f>
        <v>0.0027912037037037</v>
      </c>
      <c r="Q9" s="17" t="n">
        <f aca="false">IF(INDEX(選手一覧!$K$7:$K$2738,$K9)="","",INDEX(選手一覧!$K$7:$K$2738,$K9))</f>
        <v>246</v>
      </c>
    </row>
    <row r="10" customFormat="false" ht="15" hidden="false" customHeight="false" outlineLevel="0" collapsed="false">
      <c r="A10" s="23" t="n">
        <v>1</v>
      </c>
      <c r="B10" s="24" t="n">
        <v>10</v>
      </c>
      <c r="C10" s="14" t="n">
        <v>24</v>
      </c>
      <c r="D10" s="25" t="n">
        <f aca="false">COUNTIFS($A$5:$A$115,A10,$E$5:$E$115,"&lt;"&amp;E10)+1</f>
        <v>6</v>
      </c>
      <c r="E10" s="26" t="n">
        <v>0.0216203703703704</v>
      </c>
      <c r="F10" s="26" t="n">
        <f aca="false">E10/B10</f>
        <v>0.00216203703703704</v>
      </c>
      <c r="G10" s="27" t="s">
        <v>4611</v>
      </c>
      <c r="H10" s="27" t="s">
        <v>4612</v>
      </c>
      <c r="I10" s="28"/>
      <c r="J10" s="25" t="n">
        <v>34</v>
      </c>
      <c r="K10" s="25" t="n">
        <v>153</v>
      </c>
      <c r="L10" s="13" t="n">
        <f aca="false">IF(INDEX(選手一覧!$D$7:$D$2738,$K10)="","",INDEX(選手一覧!$D$7:$D$2738,$K10))</f>
        <v>0.0102885416666667</v>
      </c>
      <c r="M10" s="14" t="n">
        <f aca="false">IF(INDEX(選手一覧!$E$7:$E$2738,$K10)="","",INDEX(選手一覧!$E$7:$E$2738,$K10))</f>
        <v>154</v>
      </c>
      <c r="N10" s="16" t="str">
        <f aca="false">IF(INDEX(選手一覧!$H$7:$H$2738,$K10)="","",INDEX(選手一覧!$H$7:$H$2738,$K10))</f>
        <v/>
      </c>
      <c r="O10" s="17" t="str">
        <f aca="false">IF(INDEX(選手一覧!$I$7:$I$2738,$K10)="","",INDEX(選手一覧!$I$7:$I$2738,$K10))</f>
        <v/>
      </c>
      <c r="P10" s="16" t="n">
        <f aca="false">IF(INDEX(選手一覧!$J$7:$J$2738,$K10)="","",INDEX(選手一覧!$J$7:$J$2738,$K10))</f>
        <v>0.00280694444444444</v>
      </c>
      <c r="Q10" s="17" t="n">
        <f aca="false">IF(INDEX(選手一覧!$K$7:$K$2738,$K10)="","",INDEX(選手一覧!$K$7:$K$2738,$K10))</f>
        <v>313</v>
      </c>
    </row>
    <row r="11" customFormat="false" ht="15" hidden="false" customHeight="false" outlineLevel="0" collapsed="false">
      <c r="A11" s="23" t="n">
        <v>1</v>
      </c>
      <c r="B11" s="24" t="n">
        <v>10</v>
      </c>
      <c r="C11" s="14" t="n">
        <v>28</v>
      </c>
      <c r="D11" s="25" t="n">
        <f aca="false">COUNTIFS($A$5:$A$115,A11,$E$5:$E$115,"&lt;"&amp;E11)+1</f>
        <v>7</v>
      </c>
      <c r="E11" s="26" t="n">
        <v>0.0217824074074074</v>
      </c>
      <c r="F11" s="26" t="n">
        <f aca="false">E11/B11</f>
        <v>0.00217824074074074</v>
      </c>
      <c r="G11" s="27" t="s">
        <v>4613</v>
      </c>
      <c r="H11" s="27" t="s">
        <v>4614</v>
      </c>
      <c r="I11" s="28"/>
      <c r="J11" s="25" t="n">
        <v>24</v>
      </c>
      <c r="K11" s="25" t="n">
        <v>459</v>
      </c>
      <c r="L11" s="13" t="n">
        <f aca="false">IF(INDEX(選手一覧!$D$7:$D$2738,$K11)="","",INDEX(選手一覧!$D$7:$D$2738,$K11))</f>
        <v>0.0105972222222222</v>
      </c>
      <c r="M11" s="14" t="n">
        <f aca="false">IF(INDEX(選手一覧!$E$7:$E$2738,$K11)="","",INDEX(選手一覧!$E$7:$E$2738,$K11))</f>
        <v>460</v>
      </c>
      <c r="N11" s="16" t="str">
        <f aca="false">IF(INDEX(選手一覧!$H$7:$H$2738,$K11)="","",INDEX(選手一覧!$H$7:$H$2738,$K11))</f>
        <v/>
      </c>
      <c r="O11" s="17" t="str">
        <f aca="false">IF(INDEX(選手一覧!$I$7:$I$2738,$K11)="","",INDEX(選手一覧!$I$7:$I$2738,$K11))</f>
        <v/>
      </c>
      <c r="P11" s="16" t="n">
        <f aca="false">IF(INDEX(選手一覧!$J$7:$J$2738,$K11)="","",INDEX(選手一覧!$J$7:$J$2738,$K11))</f>
        <v>0.0028568287037037</v>
      </c>
      <c r="Q11" s="17" t="n">
        <f aca="false">IF(INDEX(選手一覧!$K$7:$K$2738,$K11)="","",INDEX(選手一覧!$K$7:$K$2738,$K11))</f>
        <v>614</v>
      </c>
    </row>
    <row r="12" customFormat="false" ht="15" hidden="false" customHeight="false" outlineLevel="0" collapsed="false">
      <c r="A12" s="23" t="n">
        <v>1</v>
      </c>
      <c r="B12" s="24" t="n">
        <v>10</v>
      </c>
      <c r="C12" s="14" t="n">
        <v>30</v>
      </c>
      <c r="D12" s="25" t="n">
        <f aca="false">COUNTIFS($A$5:$A$115,A12,$E$5:$E$115,"&lt;"&amp;E12)+1</f>
        <v>8</v>
      </c>
      <c r="E12" s="26" t="n">
        <v>0.0219907407407407</v>
      </c>
      <c r="F12" s="26" t="n">
        <f aca="false">E12/B12</f>
        <v>0.00219907407407407</v>
      </c>
      <c r="G12" s="27" t="s">
        <v>4615</v>
      </c>
      <c r="H12" s="27" t="s">
        <v>4616</v>
      </c>
      <c r="I12" s="28"/>
      <c r="J12" s="25" t="n">
        <v>20</v>
      </c>
      <c r="K12" s="25" t="n">
        <v>183</v>
      </c>
      <c r="L12" s="13" t="n">
        <f aca="false">IF(INDEX(選手一覧!$D$7:$D$2738,$K12)="","",INDEX(選手一覧!$D$7:$D$2738,$K12))</f>
        <v>0.0103328703703704</v>
      </c>
      <c r="M12" s="14" t="n">
        <f aca="false">IF(INDEX(選手一覧!$E$7:$E$2738,$K12)="","",INDEX(選手一覧!$E$7:$E$2738,$K12))</f>
        <v>184</v>
      </c>
      <c r="N12" s="16" t="str">
        <f aca="false">IF(INDEX(選手一覧!$H$7:$H$2738,$K12)="","",INDEX(選手一覧!$H$7:$H$2738,$K12))</f>
        <v/>
      </c>
      <c r="O12" s="17" t="str">
        <f aca="false">IF(INDEX(選手一覧!$I$7:$I$2738,$K12)="","",INDEX(選手一覧!$I$7:$I$2738,$K12))</f>
        <v/>
      </c>
      <c r="P12" s="16" t="n">
        <f aca="false">IF(INDEX(選手一覧!$J$7:$J$2738,$K12)="","",INDEX(選手一覧!$J$7:$J$2738,$K12))</f>
        <v>0.00282314814814815</v>
      </c>
      <c r="Q12" s="17" t="n">
        <f aca="false">IF(INDEX(選手一覧!$K$7:$K$2738,$K12)="","",INDEX(選手一覧!$K$7:$K$2738,$K12))</f>
        <v>382</v>
      </c>
    </row>
    <row r="13" customFormat="false" ht="15" hidden="false" customHeight="false" outlineLevel="0" collapsed="false">
      <c r="A13" s="23" t="n">
        <v>1</v>
      </c>
      <c r="B13" s="24" t="n">
        <v>10</v>
      </c>
      <c r="C13" s="14" t="n">
        <v>31</v>
      </c>
      <c r="D13" s="25" t="n">
        <f aca="false">COUNTIFS($A$5:$A$115,A13,$E$5:$E$115,"&lt;"&amp;E13)+1</f>
        <v>9</v>
      </c>
      <c r="E13" s="26" t="n">
        <v>0.0220023148148148</v>
      </c>
      <c r="F13" s="26" t="n">
        <f aca="false">E13/B13</f>
        <v>0.00220023148148148</v>
      </c>
      <c r="G13" s="27" t="s">
        <v>4617</v>
      </c>
      <c r="H13" s="27" t="s">
        <v>4618</v>
      </c>
      <c r="I13" s="28"/>
      <c r="J13" s="25" t="n">
        <v>28</v>
      </c>
      <c r="K13" s="25" t="n">
        <v>355</v>
      </c>
      <c r="L13" s="13" t="n">
        <f aca="false">IF(INDEX(選手一覧!$D$7:$D$2738,$K13)="","",INDEX(選手一覧!$D$7:$D$2738,$K13))</f>
        <v>0.0105146990740741</v>
      </c>
      <c r="M13" s="14" t="n">
        <f aca="false">IF(INDEX(選手一覧!$E$7:$E$2738,$K13)="","",INDEX(選手一覧!$E$7:$E$2738,$K13))</f>
        <v>356</v>
      </c>
      <c r="N13" s="16" t="str">
        <f aca="false">IF(INDEX(選手一覧!$H$7:$H$2738,$K13)="","",INDEX(選手一覧!$H$7:$H$2738,$K13))</f>
        <v/>
      </c>
      <c r="O13" s="17" t="str">
        <f aca="false">IF(INDEX(選手一覧!$I$7:$I$2738,$K13)="","",INDEX(選手一覧!$I$7:$I$2738,$K13))</f>
        <v/>
      </c>
      <c r="P13" s="16" t="str">
        <f aca="false">IF(INDEX(選手一覧!$J$7:$J$2738,$K13)="","",INDEX(選手一覧!$J$7:$J$2738,$K13))</f>
        <v/>
      </c>
      <c r="Q13" s="17" t="str">
        <f aca="false">IF(INDEX(選手一覧!$K$7:$K$2738,$K13)="","",INDEX(選手一覧!$K$7:$K$2738,$K13))</f>
        <v/>
      </c>
    </row>
    <row r="14" customFormat="false" ht="15" hidden="false" customHeight="false" outlineLevel="0" collapsed="false">
      <c r="A14" s="23" t="n">
        <v>1</v>
      </c>
      <c r="B14" s="24" t="n">
        <v>10</v>
      </c>
      <c r="C14" s="14" t="n">
        <v>36</v>
      </c>
      <c r="D14" s="25" t="n">
        <f aca="false">COUNTIFS($A$5:$A$115,A14,$E$5:$E$115,"&lt;"&amp;E14)+1</f>
        <v>10</v>
      </c>
      <c r="E14" s="26" t="n">
        <v>0.0221759259259259</v>
      </c>
      <c r="F14" s="26" t="n">
        <f aca="false">E14/B14</f>
        <v>0.00221759259259259</v>
      </c>
      <c r="G14" s="27" t="s">
        <v>4619</v>
      </c>
      <c r="H14" s="27" t="s">
        <v>4620</v>
      </c>
      <c r="I14" s="28"/>
      <c r="J14" s="25" t="n">
        <v>29</v>
      </c>
      <c r="K14" s="25" t="n">
        <v>236</v>
      </c>
      <c r="L14" s="13" t="n">
        <f aca="false">IF(INDEX(選手一覧!$D$7:$D$2738,$K14)="","",INDEX(選手一覧!$D$7:$D$2738,$K14))</f>
        <v>0.0103766203703704</v>
      </c>
      <c r="M14" s="14" t="n">
        <f aca="false">IF(INDEX(選手一覧!$E$7:$E$2738,$K14)="","",INDEX(選手一覧!$E$7:$E$2738,$K14))</f>
        <v>237</v>
      </c>
      <c r="N14" s="16" t="str">
        <f aca="false">IF(INDEX(選手一覧!$H$7:$H$2738,$K14)="","",INDEX(選手一覧!$H$7:$H$2738,$K14))</f>
        <v/>
      </c>
      <c r="O14" s="17" t="str">
        <f aca="false">IF(INDEX(選手一覧!$I$7:$I$2738,$K14)="","",INDEX(選手一覧!$I$7:$I$2738,$K14))</f>
        <v/>
      </c>
      <c r="P14" s="16" t="n">
        <f aca="false">IF(INDEX(選手一覧!$J$7:$J$2738,$K14)="","",INDEX(選手一覧!$J$7:$J$2738,$K14))</f>
        <v>0.00276319444444444</v>
      </c>
      <c r="Q14" s="17" t="n">
        <f aca="false">IF(INDEX(選手一覧!$K$7:$K$2738,$K14)="","",INDEX(選手一覧!$K$7:$K$2738,$K14))</f>
        <v>143</v>
      </c>
    </row>
    <row r="15" customFormat="false" ht="15" hidden="false" customHeight="false" outlineLevel="0" collapsed="false">
      <c r="A15" s="23" t="n">
        <v>1</v>
      </c>
      <c r="B15" s="24" t="n">
        <v>10</v>
      </c>
      <c r="C15" s="14" t="n">
        <v>38</v>
      </c>
      <c r="D15" s="25" t="n">
        <f aca="false">COUNTIFS($A$5:$A$115,A15,$E$5:$E$115,"&lt;"&amp;E15)+1</f>
        <v>11</v>
      </c>
      <c r="E15" s="26" t="n">
        <v>0.0222685185185185</v>
      </c>
      <c r="F15" s="26" t="n">
        <f aca="false">E15/B15</f>
        <v>0.00222685185185185</v>
      </c>
      <c r="G15" s="27" t="s">
        <v>4621</v>
      </c>
      <c r="H15" s="27" t="s">
        <v>4622</v>
      </c>
      <c r="I15" s="28"/>
      <c r="J15" s="25" t="n">
        <v>33</v>
      </c>
      <c r="K15" s="25" t="n">
        <v>747</v>
      </c>
      <c r="L15" s="13" t="n">
        <f aca="false">IF(INDEX(選手一覧!$D$7:$D$2738,$K15)="","",INDEX(選手一覧!$D$7:$D$2738,$K15))</f>
        <v>0.0108025462962963</v>
      </c>
      <c r="M15" s="14" t="n">
        <f aca="false">IF(INDEX(選手一覧!$E$7:$E$2738,$K15)="","",INDEX(選手一覧!$E$7:$E$2738,$K15))</f>
        <v>748</v>
      </c>
      <c r="N15" s="16" t="str">
        <f aca="false">IF(INDEX(選手一覧!$H$7:$H$2738,$K15)="","",INDEX(選手一覧!$H$7:$H$2738,$K15))</f>
        <v/>
      </c>
      <c r="O15" s="17" t="str">
        <f aca="false">IF(INDEX(選手一覧!$I$7:$I$2738,$K15)="","",INDEX(選手一覧!$I$7:$I$2738,$K15))</f>
        <v/>
      </c>
      <c r="P15" s="16" t="str">
        <f aca="false">IF(INDEX(選手一覧!$J$7:$J$2738,$K15)="","",INDEX(選手一覧!$J$7:$J$2738,$K15))</f>
        <v/>
      </c>
      <c r="Q15" s="17" t="str">
        <f aca="false">IF(INDEX(選手一覧!$K$7:$K$2738,$K15)="","",INDEX(選手一覧!$K$7:$K$2738,$K15))</f>
        <v/>
      </c>
    </row>
    <row r="16" customFormat="false" ht="15" hidden="false" customHeight="false" outlineLevel="0" collapsed="false">
      <c r="A16" s="23" t="n">
        <v>1</v>
      </c>
      <c r="B16" s="24" t="n">
        <v>10</v>
      </c>
      <c r="C16" s="14" t="n">
        <v>38</v>
      </c>
      <c r="D16" s="25" t="n">
        <f aca="false">COUNTIFS($A$5:$A$115,A16,$E$5:$E$115,"&lt;"&amp;E16)+1</f>
        <v>11</v>
      </c>
      <c r="E16" s="26" t="n">
        <v>0.0222685185185185</v>
      </c>
      <c r="F16" s="26" t="n">
        <f aca="false">E16/B16</f>
        <v>0.00222685185185185</v>
      </c>
      <c r="G16" s="27" t="s">
        <v>4623</v>
      </c>
      <c r="H16" s="27" t="s">
        <v>4624</v>
      </c>
      <c r="I16" s="28"/>
      <c r="J16" s="25" t="n">
        <v>42</v>
      </c>
      <c r="K16" s="25" t="n">
        <v>556</v>
      </c>
      <c r="L16" s="13" t="n">
        <f aca="false">IF(INDEX(選手一覧!$D$7:$D$2738,$K16)="","",INDEX(選手一覧!$D$7:$D$2738,$K16))</f>
        <v>0.0106783564814815</v>
      </c>
      <c r="M16" s="14" t="n">
        <f aca="false">IF(INDEX(選手一覧!$E$7:$E$2738,$K16)="","",INDEX(選手一覧!$E$7:$E$2738,$K16))</f>
        <v>557</v>
      </c>
      <c r="N16" s="16" t="str">
        <f aca="false">IF(INDEX(選手一覧!$H$7:$H$2738,$K16)="","",INDEX(選手一覧!$H$7:$H$2738,$K16))</f>
        <v/>
      </c>
      <c r="O16" s="17" t="str">
        <f aca="false">IF(INDEX(選手一覧!$I$7:$I$2738,$K16)="","",INDEX(選手一覧!$I$7:$I$2738,$K16))</f>
        <v/>
      </c>
      <c r="P16" s="16" t="str">
        <f aca="false">IF(INDEX(選手一覧!$J$7:$J$2738,$K16)="","",INDEX(選手一覧!$J$7:$J$2738,$K16))</f>
        <v/>
      </c>
      <c r="Q16" s="17" t="str">
        <f aca="false">IF(INDEX(選手一覧!$K$7:$K$2738,$K16)="","",INDEX(選手一覧!$K$7:$K$2738,$K16))</f>
        <v/>
      </c>
    </row>
    <row r="17" customFormat="false" ht="15" hidden="false" customHeight="false" outlineLevel="0" collapsed="false">
      <c r="A17" s="23" t="n">
        <v>1</v>
      </c>
      <c r="B17" s="24" t="n">
        <v>10</v>
      </c>
      <c r="C17" s="14" t="n">
        <v>40</v>
      </c>
      <c r="D17" s="25" t="n">
        <f aca="false">COUNTIFS($A$5:$A$115,A17,$E$5:$E$115,"&lt;"&amp;E17)+1</f>
        <v>13</v>
      </c>
      <c r="E17" s="26" t="n">
        <v>0.0223263888888889</v>
      </c>
      <c r="F17" s="26" t="n">
        <f aca="false">E17/B17</f>
        <v>0.00223263888888889</v>
      </c>
      <c r="G17" s="27" t="s">
        <v>4625</v>
      </c>
      <c r="H17" s="27" t="s">
        <v>4626</v>
      </c>
      <c r="I17" s="28"/>
      <c r="J17" s="25" t="n">
        <v>45</v>
      </c>
      <c r="K17" s="25" t="n">
        <v>689</v>
      </c>
      <c r="L17" s="13" t="n">
        <f aca="false">IF(INDEX(選手一覧!$D$7:$D$2738,$K17)="","",INDEX(選手一覧!$D$7:$D$2738,$K17))</f>
        <v>0.0107650462962963</v>
      </c>
      <c r="M17" s="14" t="n">
        <f aca="false">IF(INDEX(選手一覧!$E$7:$E$2738,$K17)="","",INDEX(選手一覧!$E$7:$E$2738,$K17))</f>
        <v>690</v>
      </c>
      <c r="N17" s="16" t="str">
        <f aca="false">IF(INDEX(選手一覧!$H$7:$H$2738,$K17)="","",INDEX(選手一覧!$H$7:$H$2738,$K17))</f>
        <v/>
      </c>
      <c r="O17" s="17" t="str">
        <f aca="false">IF(INDEX(選手一覧!$I$7:$I$2738,$K17)="","",INDEX(選手一覧!$I$7:$I$2738,$K17))</f>
        <v/>
      </c>
      <c r="P17" s="16" t="str">
        <f aca="false">IF(INDEX(選手一覧!$J$7:$J$2738,$K17)="","",INDEX(選手一覧!$J$7:$J$2738,$K17))</f>
        <v/>
      </c>
      <c r="Q17" s="17" t="str">
        <f aca="false">IF(INDEX(選手一覧!$K$7:$K$2738,$K17)="","",INDEX(選手一覧!$K$7:$K$2738,$K17))</f>
        <v/>
      </c>
    </row>
    <row r="18" customFormat="false" ht="15" hidden="false" customHeight="false" outlineLevel="0" collapsed="false">
      <c r="A18" s="23" t="n">
        <v>1</v>
      </c>
      <c r="B18" s="24" t="n">
        <v>10</v>
      </c>
      <c r="C18" s="14" t="n">
        <v>41</v>
      </c>
      <c r="D18" s="25" t="n">
        <f aca="false">COUNTIFS($A$5:$A$115,A18,$E$5:$E$115,"&lt;"&amp;E18)+1</f>
        <v>14</v>
      </c>
      <c r="E18" s="26" t="n">
        <v>0.022337962962963</v>
      </c>
      <c r="F18" s="26" t="n">
        <f aca="false">E18/B18</f>
        <v>0.0022337962962963</v>
      </c>
      <c r="G18" s="27" t="s">
        <v>4627</v>
      </c>
      <c r="H18" s="27" t="s">
        <v>4628</v>
      </c>
      <c r="I18" s="28"/>
      <c r="J18" s="25" t="n">
        <v>43</v>
      </c>
      <c r="K18" s="25" t="n">
        <v>431</v>
      </c>
      <c r="L18" s="13" t="n">
        <f aca="false">IF(INDEX(選手一覧!$D$7:$D$2738,$K18)="","",INDEX(選手一覧!$D$7:$D$2738,$K18))</f>
        <v>0.0105770833333333</v>
      </c>
      <c r="M18" s="14" t="n">
        <f aca="false">IF(INDEX(選手一覧!$E$7:$E$2738,$K18)="","",INDEX(選手一覧!$E$7:$E$2738,$K18))</f>
        <v>432</v>
      </c>
      <c r="N18" s="16" t="str">
        <f aca="false">IF(INDEX(選手一覧!$H$7:$H$2738,$K18)="","",INDEX(選手一覧!$H$7:$H$2738,$K18))</f>
        <v/>
      </c>
      <c r="O18" s="17" t="str">
        <f aca="false">IF(INDEX(選手一覧!$I$7:$I$2738,$K18)="","",INDEX(選手一覧!$I$7:$I$2738,$K18))</f>
        <v/>
      </c>
      <c r="P18" s="16" t="n">
        <f aca="false">IF(INDEX(選手一覧!$J$7:$J$2738,$K18)="","",INDEX(選手一覧!$J$7:$J$2738,$K18))</f>
        <v>0.00285173611111111</v>
      </c>
      <c r="Q18" s="17" t="n">
        <f aca="false">IF(INDEX(選手一覧!$K$7:$K$2738,$K18)="","",INDEX(選手一覧!$K$7:$K$2738,$K18))</f>
        <v>579</v>
      </c>
    </row>
    <row r="19" customFormat="false" ht="15" hidden="false" customHeight="false" outlineLevel="0" collapsed="false">
      <c r="A19" s="23" t="n">
        <v>1</v>
      </c>
      <c r="B19" s="24" t="n">
        <v>10</v>
      </c>
      <c r="C19" s="14" t="n">
        <v>54</v>
      </c>
      <c r="D19" s="25" t="n">
        <f aca="false">COUNTIFS($A$5:$A$115,A19,$E$5:$E$115,"&lt;"&amp;E19)+1</f>
        <v>15</v>
      </c>
      <c r="E19" s="26" t="n">
        <v>0.0240740740740741</v>
      </c>
      <c r="F19" s="26" t="n">
        <f aca="false">E19/B19</f>
        <v>0.00240740740740741</v>
      </c>
      <c r="G19" s="27" t="s">
        <v>4629</v>
      </c>
      <c r="H19" s="27" t="s">
        <v>4630</v>
      </c>
      <c r="I19" s="28"/>
      <c r="J19" s="25" t="n">
        <v>52</v>
      </c>
      <c r="K19" s="25" t="n">
        <v>974</v>
      </c>
      <c r="L19" s="13" t="n">
        <f aca="false">IF(INDEX(選手一覧!$D$7:$D$2738,$K19)="","",INDEX(選手一覧!$D$7:$D$2738,$K19))</f>
        <v>0.0109340277777778</v>
      </c>
      <c r="M19" s="14" t="n">
        <f aca="false">IF(INDEX(選手一覧!$E$7:$E$2738,$K19)="","",INDEX(選手一覧!$E$7:$E$2738,$K19))</f>
        <v>975</v>
      </c>
      <c r="N19" s="16" t="str">
        <f aca="false">IF(INDEX(選手一覧!$H$7:$H$2738,$K19)="","",INDEX(選手一覧!$H$7:$H$2738,$K19))</f>
        <v/>
      </c>
      <c r="O19" s="17" t="str">
        <f aca="false">IF(INDEX(選手一覧!$I$7:$I$2738,$K19)="","",INDEX(選手一覧!$I$7:$I$2738,$K19))</f>
        <v/>
      </c>
      <c r="P19" s="16" t="str">
        <f aca="false">IF(INDEX(選手一覧!$J$7:$J$2738,$K19)="","",INDEX(選手一覧!$J$7:$J$2738,$K19))</f>
        <v/>
      </c>
      <c r="Q19" s="17" t="str">
        <f aca="false">IF(INDEX(選手一覧!$K$7:$K$2738,$K19)="","",INDEX(選手一覧!$K$7:$K$2738,$K19))</f>
        <v/>
      </c>
    </row>
    <row r="20" customFormat="false" ht="15" hidden="false" customHeight="false" outlineLevel="0" collapsed="false">
      <c r="A20" s="29" t="n">
        <v>2</v>
      </c>
      <c r="B20" s="30" t="n">
        <v>3</v>
      </c>
      <c r="C20" s="14" t="n">
        <v>1</v>
      </c>
      <c r="D20" s="17" t="n">
        <f aca="false">COUNTIFS($A$5:$A$115,A20,$E$5:$E$115,"&lt;"&amp;E20)+1</f>
        <v>1</v>
      </c>
      <c r="E20" s="31" t="n">
        <v>0.00572916666666667</v>
      </c>
      <c r="F20" s="31" t="n">
        <f aca="false">E20/B20</f>
        <v>0.00190972222222222</v>
      </c>
      <c r="G20" s="12" t="s">
        <v>4631</v>
      </c>
      <c r="H20" s="12" t="s">
        <v>4632</v>
      </c>
      <c r="I20" s="10"/>
      <c r="J20" s="17" t="n">
        <v>1</v>
      </c>
      <c r="K20" s="17" t="n">
        <v>146</v>
      </c>
      <c r="L20" s="13" t="n">
        <f aca="false">IF(INDEX(選手一覧!$D$7:$D$2738,$K20)="","",INDEX(選手一覧!$D$7:$D$2738,$K20))</f>
        <v>0.0102784722222222</v>
      </c>
      <c r="M20" s="14" t="n">
        <f aca="false">IF(INDEX(選手一覧!$E$7:$E$2738,$K20)="","",INDEX(選手一覧!$E$7:$E$2738,$K20))</f>
        <v>147</v>
      </c>
      <c r="N20" s="16" t="n">
        <f aca="false">IF(INDEX(選手一覧!$H$7:$H$2738,$K20)="","",INDEX(選手一覧!$H$7:$H$2738,$K20))</f>
        <v>0.00638402777777778</v>
      </c>
      <c r="O20" s="17" t="n">
        <f aca="false">IF(INDEX(選手一覧!$I$7:$I$2738,$K20)="","",INDEX(選手一覧!$I$7:$I$2738,$K20))</f>
        <v>12</v>
      </c>
      <c r="P20" s="16" t="n">
        <f aca="false">IF(INDEX(選手一覧!$J$7:$J$2738,$K20)="","",INDEX(選手一覧!$J$7:$J$2738,$K20))</f>
        <v>0.0027630787037037</v>
      </c>
      <c r="Q20" s="17" t="n">
        <f aca="false">IF(INDEX(選手一覧!$K$7:$K$2738,$K20)="","",INDEX(選手一覧!$K$7:$K$2738,$K20))</f>
        <v>142</v>
      </c>
    </row>
    <row r="21" customFormat="false" ht="15" hidden="false" customHeight="false" outlineLevel="0" collapsed="false">
      <c r="A21" s="29" t="n">
        <v>2</v>
      </c>
      <c r="B21" s="30" t="n">
        <v>3</v>
      </c>
      <c r="C21" s="14" t="n">
        <v>2</v>
      </c>
      <c r="D21" s="17" t="n">
        <f aca="false">COUNTIFS($A$5:$A$115,A21,$E$5:$E$115,"&lt;"&amp;E21)+1</f>
        <v>2</v>
      </c>
      <c r="E21" s="31" t="n">
        <v>0.00574074074074074</v>
      </c>
      <c r="F21" s="31" t="n">
        <f aca="false">E21/B21</f>
        <v>0.00191358024691358</v>
      </c>
      <c r="G21" s="12" t="s">
        <v>4633</v>
      </c>
      <c r="H21" s="12" t="s">
        <v>4634</v>
      </c>
      <c r="I21" s="10"/>
      <c r="J21" s="17" t="n">
        <v>22</v>
      </c>
      <c r="K21" s="17" t="n">
        <v>8</v>
      </c>
      <c r="L21" s="13" t="n">
        <f aca="false">IF(INDEX(選手一覧!$D$7:$D$2738,$K21)="","",INDEX(選手一覧!$D$7:$D$2738,$K21))</f>
        <v>0.00981168981481482</v>
      </c>
      <c r="M21" s="14" t="n">
        <f aca="false">IF(INDEX(選手一覧!$E$7:$E$2738,$K21)="","",INDEX(選手一覧!$E$7:$E$2738,$K21))</f>
        <v>8</v>
      </c>
      <c r="N21" s="16" t="str">
        <f aca="false">IF(INDEX(選手一覧!$H$7:$H$2738,$K21)="","",INDEX(選手一覧!$H$7:$H$2738,$K21))</f>
        <v/>
      </c>
      <c r="O21" s="17" t="str">
        <f aca="false">IF(INDEX(選手一覧!$I$7:$I$2738,$K21)="","",INDEX(選手一覧!$I$7:$I$2738,$K21))</f>
        <v/>
      </c>
      <c r="P21" s="16" t="n">
        <f aca="false">IF(INDEX(選手一覧!$J$7:$J$2738,$K21)="","",INDEX(選手一覧!$J$7:$J$2738,$K21))</f>
        <v>0.00269803240740741</v>
      </c>
      <c r="Q21" s="17" t="n">
        <f aca="false">IF(INDEX(選手一覧!$K$7:$K$2738,$K21)="","",INDEX(選手一覧!$K$7:$K$2738,$K21))</f>
        <v>24</v>
      </c>
    </row>
    <row r="22" customFormat="false" ht="15" hidden="false" customHeight="false" outlineLevel="0" collapsed="false">
      <c r="A22" s="29" t="n">
        <v>2</v>
      </c>
      <c r="B22" s="30" t="n">
        <v>3</v>
      </c>
      <c r="C22" s="14" t="n">
        <v>4</v>
      </c>
      <c r="D22" s="17" t="n">
        <f aca="false">COUNTIFS($A$5:$A$115,A22,$E$5:$E$115,"&lt;"&amp;E22)+1</f>
        <v>3</v>
      </c>
      <c r="E22" s="31" t="n">
        <v>0.00586805555555556</v>
      </c>
      <c r="F22" s="31" t="n">
        <f aca="false">E22/B22</f>
        <v>0.00195601851851852</v>
      </c>
      <c r="G22" s="12" t="s">
        <v>4635</v>
      </c>
      <c r="H22" s="12" t="s">
        <v>4636</v>
      </c>
      <c r="I22" s="10"/>
      <c r="J22" s="17" t="n">
        <v>13</v>
      </c>
      <c r="K22" s="17" t="n">
        <v>161</v>
      </c>
      <c r="L22" s="13" t="n">
        <f aca="false">IF(INDEX(選手一覧!$D$7:$D$2738,$K22)="","",INDEX(選手一覧!$D$7:$D$2738,$K22))</f>
        <v>0.0103006944444444</v>
      </c>
      <c r="M22" s="14" t="n">
        <f aca="false">IF(INDEX(選手一覧!$E$7:$E$2738,$K22)="","",INDEX(選手一覧!$E$7:$E$2738,$K22))</f>
        <v>162</v>
      </c>
      <c r="N22" s="16" t="str">
        <f aca="false">IF(INDEX(選手一覧!$H$7:$H$2738,$K22)="","",INDEX(選手一覧!$H$7:$H$2738,$K22))</f>
        <v/>
      </c>
      <c r="O22" s="17" t="str">
        <f aca="false">IF(INDEX(選手一覧!$I$7:$I$2738,$K22)="","",INDEX(選手一覧!$I$7:$I$2738,$K22))</f>
        <v/>
      </c>
      <c r="P22" s="16" t="n">
        <f aca="false">IF(INDEX(選手一覧!$J$7:$J$2738,$K22)="","",INDEX(選手一覧!$J$7:$J$2738,$K22))</f>
        <v>0.00268900462962963</v>
      </c>
      <c r="Q22" s="17" t="n">
        <f aca="false">IF(INDEX(選手一覧!$K$7:$K$2738,$K22)="","",INDEX(選手一覧!$K$7:$K$2738,$K22))</f>
        <v>17</v>
      </c>
    </row>
    <row r="23" customFormat="false" ht="15" hidden="false" customHeight="false" outlineLevel="0" collapsed="false">
      <c r="A23" s="29" t="n">
        <v>2</v>
      </c>
      <c r="B23" s="30" t="n">
        <v>3</v>
      </c>
      <c r="C23" s="14" t="n">
        <v>9</v>
      </c>
      <c r="D23" s="17" t="n">
        <f aca="false">COUNTIFS($A$5:$A$115,A23,$E$5:$E$115,"&lt;"&amp;E23)+1</f>
        <v>4</v>
      </c>
      <c r="E23" s="31" t="n">
        <v>0.00597222222222222</v>
      </c>
      <c r="F23" s="31" t="n">
        <f aca="false">E23/B23</f>
        <v>0.00199074074074074</v>
      </c>
      <c r="G23" s="12" t="s">
        <v>4637</v>
      </c>
      <c r="H23" s="12" t="s">
        <v>4638</v>
      </c>
      <c r="I23" s="10"/>
      <c r="J23" s="17" t="n">
        <v>15</v>
      </c>
      <c r="K23" s="17" t="n">
        <v>514</v>
      </c>
      <c r="L23" s="13" t="n">
        <f aca="false">IF(INDEX(選手一覧!$D$7:$D$2738,$K23)="","",INDEX(選手一覧!$D$7:$D$2738,$K23))</f>
        <v>0.0106431712962963</v>
      </c>
      <c r="M23" s="14" t="n">
        <f aca="false">IF(INDEX(選手一覧!$E$7:$E$2738,$K23)="","",INDEX(選手一覧!$E$7:$E$2738,$K23))</f>
        <v>515</v>
      </c>
      <c r="N23" s="16" t="str">
        <f aca="false">IF(INDEX(選手一覧!$H$7:$H$2738,$K23)="","",INDEX(選手一覧!$H$7:$H$2738,$K23))</f>
        <v/>
      </c>
      <c r="O23" s="17" t="str">
        <f aca="false">IF(INDEX(選手一覧!$I$7:$I$2738,$K23)="","",INDEX(選手一覧!$I$7:$I$2738,$K23))</f>
        <v/>
      </c>
      <c r="P23" s="16" t="n">
        <f aca="false">IF(INDEX(選手一覧!$J$7:$J$2738,$K23)="","",INDEX(選手一覧!$J$7:$J$2738,$K23))</f>
        <v>0.0028369212962963</v>
      </c>
      <c r="Q23" s="17" t="n">
        <f aca="false">IF(INDEX(選手一覧!$K$7:$K$2738,$K23)="","",INDEX(選手一覧!$K$7:$K$2738,$K23))</f>
        <v>478</v>
      </c>
    </row>
    <row r="24" customFormat="false" ht="15" hidden="false" customHeight="false" outlineLevel="0" collapsed="false">
      <c r="A24" s="29" t="n">
        <v>2</v>
      </c>
      <c r="B24" s="30" t="n">
        <v>3</v>
      </c>
      <c r="C24" s="14" t="n">
        <v>9</v>
      </c>
      <c r="D24" s="17" t="n">
        <f aca="false">COUNTIFS($A$5:$A$115,A24,$E$5:$E$115,"&lt;"&amp;E24)+1</f>
        <v>4</v>
      </c>
      <c r="E24" s="31" t="n">
        <v>0.00597222222222222</v>
      </c>
      <c r="F24" s="31" t="n">
        <f aca="false">E24/B24</f>
        <v>0.00199074074074074</v>
      </c>
      <c r="G24" s="12" t="s">
        <v>4639</v>
      </c>
      <c r="H24" s="12" t="s">
        <v>4622</v>
      </c>
      <c r="I24" s="10"/>
      <c r="J24" s="17" t="n">
        <v>33</v>
      </c>
      <c r="K24" s="17" t="n">
        <v>7</v>
      </c>
      <c r="L24" s="13" t="n">
        <f aca="false">IF(INDEX(選手一覧!$D$7:$D$2738,$K24)="","",INDEX(選手一覧!$D$7:$D$2738,$K24))</f>
        <v>0.00977974537037037</v>
      </c>
      <c r="M24" s="14" t="n">
        <f aca="false">IF(INDEX(選手一覧!$E$7:$E$2738,$K24)="","",INDEX(選手一覧!$E$7:$E$2738,$K24))</f>
        <v>7</v>
      </c>
      <c r="N24" s="16" t="str">
        <f aca="false">IF(INDEX(選手一覧!$H$7:$H$2738,$K24)="","",INDEX(選手一覧!$H$7:$H$2738,$K24))</f>
        <v/>
      </c>
      <c r="O24" s="17" t="str">
        <f aca="false">IF(INDEX(選手一覧!$I$7:$I$2738,$K24)="","",INDEX(選手一覧!$I$7:$I$2738,$K24))</f>
        <v/>
      </c>
      <c r="P24" s="16" t="str">
        <f aca="false">IF(INDEX(選手一覧!$J$7:$J$2738,$K24)="","",INDEX(選手一覧!$J$7:$J$2738,$K24))</f>
        <v/>
      </c>
      <c r="Q24" s="17" t="str">
        <f aca="false">IF(INDEX(選手一覧!$K$7:$K$2738,$K24)="","",INDEX(選手一覧!$K$7:$K$2738,$K24))</f>
        <v/>
      </c>
    </row>
    <row r="25" customFormat="false" ht="15" hidden="false" customHeight="false" outlineLevel="0" collapsed="false">
      <c r="A25" s="29" t="n">
        <v>2</v>
      </c>
      <c r="B25" s="30" t="n">
        <v>3</v>
      </c>
      <c r="C25" s="14" t="n">
        <v>13</v>
      </c>
      <c r="D25" s="17" t="n">
        <f aca="false">COUNTIFS($A$5:$A$115,A25,$E$5:$E$115,"&lt;"&amp;E25)+1</f>
        <v>6</v>
      </c>
      <c r="E25" s="31" t="n">
        <v>0.00599537037037037</v>
      </c>
      <c r="F25" s="31" t="n">
        <f aca="false">E25/B25</f>
        <v>0.00199845679012346</v>
      </c>
      <c r="G25" s="12" t="s">
        <v>4640</v>
      </c>
      <c r="H25" s="12" t="s">
        <v>4641</v>
      </c>
      <c r="I25" s="10"/>
      <c r="J25" s="17" t="n">
        <v>2</v>
      </c>
      <c r="K25" s="17" t="n">
        <v>147</v>
      </c>
      <c r="L25" s="13" t="n">
        <f aca="false">IF(INDEX(選手一覧!$D$7:$D$2738,$K25)="","",INDEX(選手一覧!$D$7:$D$2738,$K25))</f>
        <v>0.0102799768518519</v>
      </c>
      <c r="M25" s="14" t="n">
        <f aca="false">IF(INDEX(選手一覧!$E$7:$E$2738,$K25)="","",INDEX(選手一覧!$E$7:$E$2738,$K25))</f>
        <v>148</v>
      </c>
      <c r="N25" s="16" t="str">
        <f aca="false">IF(INDEX(選手一覧!$H$7:$H$2738,$K25)="","",INDEX(選手一覧!$H$7:$H$2738,$K25))</f>
        <v/>
      </c>
      <c r="O25" s="17" t="str">
        <f aca="false">IF(INDEX(選手一覧!$I$7:$I$2738,$K25)="","",INDEX(選手一覧!$I$7:$I$2738,$K25))</f>
        <v/>
      </c>
      <c r="P25" s="16" t="n">
        <f aca="false">IF(INDEX(選手一覧!$J$7:$J$2738,$K25)="","",INDEX(選手一覧!$J$7:$J$2738,$K25))</f>
        <v>0.00274988425925926</v>
      </c>
      <c r="Q25" s="17" t="n">
        <f aca="false">IF(INDEX(選手一覧!$K$7:$K$2738,$K25)="","",INDEX(選手一覧!$K$7:$K$2738,$K25))</f>
        <v>104</v>
      </c>
    </row>
    <row r="26" customFormat="false" ht="15" hidden="false" customHeight="false" outlineLevel="0" collapsed="false">
      <c r="A26" s="29" t="n">
        <v>2</v>
      </c>
      <c r="B26" s="30" t="n">
        <v>3</v>
      </c>
      <c r="C26" s="14" t="n">
        <v>13</v>
      </c>
      <c r="D26" s="17" t="n">
        <f aca="false">COUNTIFS($A$5:$A$115,A26,$E$5:$E$115,"&lt;"&amp;E26)+1</f>
        <v>6</v>
      </c>
      <c r="E26" s="31" t="n">
        <v>0.00599537037037037</v>
      </c>
      <c r="F26" s="31" t="n">
        <f aca="false">E26/B26</f>
        <v>0.00199845679012346</v>
      </c>
      <c r="G26" s="12" t="s">
        <v>4642</v>
      </c>
      <c r="H26" s="12" t="s">
        <v>4643</v>
      </c>
      <c r="I26" s="10"/>
      <c r="J26" s="17" t="n">
        <v>41</v>
      </c>
      <c r="K26" s="17" t="n">
        <v>642</v>
      </c>
      <c r="L26" s="13" t="n">
        <f aca="false">IF(INDEX(選手一覧!$D$7:$D$2738,$K26)="","",INDEX(選手一覧!$D$7:$D$2738,$K26))</f>
        <v>0.0107357638888889</v>
      </c>
      <c r="M26" s="14" t="n">
        <f aca="false">IF(INDEX(選手一覧!$E$7:$E$2738,$K26)="","",INDEX(選手一覧!$E$7:$E$2738,$K26))</f>
        <v>643</v>
      </c>
      <c r="N26" s="16" t="str">
        <f aca="false">IF(INDEX(選手一覧!$H$7:$H$2738,$K26)="","",INDEX(選手一覧!$H$7:$H$2738,$K26))</f>
        <v/>
      </c>
      <c r="O26" s="17" t="str">
        <f aca="false">IF(INDEX(選手一覧!$I$7:$I$2738,$K26)="","",INDEX(選手一覧!$I$7:$I$2738,$K26))</f>
        <v/>
      </c>
      <c r="P26" s="16" t="n">
        <f aca="false">IF(INDEX(選手一覧!$J$7:$J$2738,$K26)="","",INDEX(選手一覧!$J$7:$J$2738,$K26))</f>
        <v>0.00276481481481482</v>
      </c>
      <c r="Q26" s="17" t="n">
        <f aca="false">IF(INDEX(選手一覧!$K$7:$K$2738,$K26)="","",INDEX(選手一覧!$K$7:$K$2738,$K26))</f>
        <v>148</v>
      </c>
    </row>
    <row r="27" customFormat="false" ht="15" hidden="false" customHeight="false" outlineLevel="0" collapsed="false">
      <c r="A27" s="29" t="n">
        <v>2</v>
      </c>
      <c r="B27" s="30" t="n">
        <v>3</v>
      </c>
      <c r="C27" s="14" t="n">
        <v>15</v>
      </c>
      <c r="D27" s="17" t="n">
        <f aca="false">COUNTIFS($A$5:$A$115,A27,$E$5:$E$115,"&lt;"&amp;E27)+1</f>
        <v>8</v>
      </c>
      <c r="E27" s="31" t="n">
        <v>0.00601851851851852</v>
      </c>
      <c r="F27" s="31" t="n">
        <f aca="false">E27/B27</f>
        <v>0.00200617283950617</v>
      </c>
      <c r="G27" s="12" t="s">
        <v>4644</v>
      </c>
      <c r="H27" s="12" t="s">
        <v>4645</v>
      </c>
      <c r="I27" s="10"/>
      <c r="J27" s="17" t="n">
        <v>7</v>
      </c>
      <c r="K27" s="17" t="n">
        <v>106</v>
      </c>
      <c r="L27" s="13" t="n">
        <f aca="false">IF(INDEX(選手一覧!$D$7:$D$2738,$K27)="","",INDEX(選手一覧!$D$7:$D$2738,$K27))</f>
        <v>0.0102170138888889</v>
      </c>
      <c r="M27" s="14" t="n">
        <f aca="false">IF(INDEX(選手一覧!$E$7:$E$2738,$K27)="","",INDEX(選手一覧!$E$7:$E$2738,$K27))</f>
        <v>107</v>
      </c>
      <c r="N27" s="16" t="str">
        <f aca="false">IF(INDEX(選手一覧!$H$7:$H$2738,$K27)="","",INDEX(選手一覧!$H$7:$H$2738,$K27))</f>
        <v/>
      </c>
      <c r="O27" s="17" t="str">
        <f aca="false">IF(INDEX(選手一覧!$I$7:$I$2738,$K27)="","",INDEX(選手一覧!$I$7:$I$2738,$K27))</f>
        <v/>
      </c>
      <c r="P27" s="16" t="n">
        <f aca="false">IF(INDEX(選手一覧!$J$7:$J$2738,$K27)="","",INDEX(選手一覧!$J$7:$J$2738,$K27))</f>
        <v>0.00274849537037037</v>
      </c>
      <c r="Q27" s="17" t="n">
        <f aca="false">IF(INDEX(選手一覧!$K$7:$K$2738,$K27)="","",INDEX(選手一覧!$K$7:$K$2738,$K27))</f>
        <v>97</v>
      </c>
    </row>
    <row r="28" customFormat="false" ht="15" hidden="false" customHeight="false" outlineLevel="0" collapsed="false">
      <c r="A28" s="29" t="n">
        <v>2</v>
      </c>
      <c r="B28" s="30" t="n">
        <v>3</v>
      </c>
      <c r="C28" s="14" t="n">
        <v>18</v>
      </c>
      <c r="D28" s="17" t="n">
        <f aca="false">COUNTIFS($A$5:$A$115,A28,$E$5:$E$115,"&lt;"&amp;E28)+1</f>
        <v>9</v>
      </c>
      <c r="E28" s="31" t="n">
        <v>0.00607638888888889</v>
      </c>
      <c r="F28" s="31" t="n">
        <f aca="false">E28/B28</f>
        <v>0.00202546296296296</v>
      </c>
      <c r="G28" s="12" t="s">
        <v>4646</v>
      </c>
      <c r="H28" s="12" t="s">
        <v>4616</v>
      </c>
      <c r="I28" s="10"/>
      <c r="J28" s="17" t="n">
        <v>20</v>
      </c>
      <c r="K28" s="17" t="n">
        <v>977</v>
      </c>
      <c r="L28" s="13" t="n">
        <f aca="false">IF(INDEX(選手一覧!$D$7:$D$2738,$K28)="","",INDEX(選手一覧!$D$7:$D$2738,$K28))</f>
        <v>0.0109368055555556</v>
      </c>
      <c r="M28" s="14" t="n">
        <f aca="false">IF(INDEX(選手一覧!$E$7:$E$2738,$K28)="","",INDEX(選手一覧!$E$7:$E$2738,$K28))</f>
        <v>978</v>
      </c>
      <c r="N28" s="16" t="str">
        <f aca="false">IF(INDEX(選手一覧!$H$7:$H$2738,$K28)="","",INDEX(選手一覧!$H$7:$H$2738,$K28))</f>
        <v/>
      </c>
      <c r="O28" s="17" t="str">
        <f aca="false">IF(INDEX(選手一覧!$I$7:$I$2738,$K28)="","",INDEX(選手一覧!$I$7:$I$2738,$K28))</f>
        <v/>
      </c>
      <c r="P28" s="16" t="n">
        <f aca="false">IF(INDEX(選手一覧!$J$7:$J$2738,$K28)="","",INDEX(選手一覧!$J$7:$J$2738,$K28))</f>
        <v>0.00283229166666667</v>
      </c>
      <c r="Q28" s="17" t="n">
        <f aca="false">IF(INDEX(選手一覧!$K$7:$K$2738,$K28)="","",INDEX(選手一覧!$K$7:$K$2738,$K28))</f>
        <v>441</v>
      </c>
    </row>
    <row r="29" customFormat="false" ht="15" hidden="false" customHeight="false" outlineLevel="0" collapsed="false">
      <c r="A29" s="29" t="n">
        <v>2</v>
      </c>
      <c r="B29" s="30" t="n">
        <v>3</v>
      </c>
      <c r="C29" s="14" t="n">
        <v>20</v>
      </c>
      <c r="D29" s="17" t="n">
        <f aca="false">COUNTIFS($A$5:$A$115,A29,$E$5:$E$115,"&lt;"&amp;E29)+1</f>
        <v>10</v>
      </c>
      <c r="E29" s="31" t="n">
        <v>0.00611111111111111</v>
      </c>
      <c r="F29" s="31" t="n">
        <f aca="false">E29/B29</f>
        <v>0.00203703703703704</v>
      </c>
      <c r="G29" s="12" t="s">
        <v>4647</v>
      </c>
      <c r="H29" s="12" t="s">
        <v>4648</v>
      </c>
      <c r="I29" s="10"/>
      <c r="J29" s="17" t="n">
        <v>14</v>
      </c>
      <c r="K29" s="17" t="n">
        <v>508</v>
      </c>
      <c r="L29" s="13" t="n">
        <f aca="false">IF(INDEX(選手一覧!$D$7:$D$2738,$K29)="","",INDEX(選手一覧!$D$7:$D$2738,$K29))</f>
        <v>0.0106396990740741</v>
      </c>
      <c r="M29" s="14" t="n">
        <f aca="false">IF(INDEX(選手一覧!$E$7:$E$2738,$K29)="","",INDEX(選手一覧!$E$7:$E$2738,$K29))</f>
        <v>509</v>
      </c>
      <c r="N29" s="16" t="n">
        <f aca="false">IF(INDEX(選手一覧!$H$7:$H$2738,$K29)="","",INDEX(選手一覧!$H$7:$H$2738,$K29))</f>
        <v>0.00661840277777778</v>
      </c>
      <c r="O29" s="17" t="n">
        <f aca="false">IF(INDEX(選手一覧!$I$7:$I$2738,$K29)="","",INDEX(選手一覧!$I$7:$I$2738,$K29))</f>
        <v>71</v>
      </c>
      <c r="P29" s="16" t="n">
        <f aca="false">IF(INDEX(選手一覧!$J$7:$J$2738,$K29)="","",INDEX(選手一覧!$J$7:$J$2738,$K29))</f>
        <v>0.002884375</v>
      </c>
      <c r="Q29" s="17" t="n">
        <f aca="false">IF(INDEX(選手一覧!$K$7:$K$2738,$K29)="","",INDEX(選手一覧!$K$7:$K$2738,$K29))</f>
        <v>811</v>
      </c>
    </row>
    <row r="30" customFormat="false" ht="15" hidden="false" customHeight="false" outlineLevel="0" collapsed="false">
      <c r="A30" s="29" t="n">
        <v>2</v>
      </c>
      <c r="B30" s="30" t="n">
        <v>3</v>
      </c>
      <c r="C30" s="14" t="n">
        <v>21</v>
      </c>
      <c r="D30" s="17" t="n">
        <f aca="false">COUNTIFS($A$5:$A$115,A30,$E$5:$E$115,"&lt;"&amp;E30)+1</f>
        <v>11</v>
      </c>
      <c r="E30" s="31" t="n">
        <v>0.00614583333333333</v>
      </c>
      <c r="F30" s="31" t="n">
        <f aca="false">E30/B30</f>
        <v>0.00204861111111111</v>
      </c>
      <c r="G30" s="12" t="s">
        <v>4649</v>
      </c>
      <c r="H30" s="12" t="s">
        <v>4650</v>
      </c>
      <c r="I30" s="10"/>
      <c r="J30" s="17" t="n">
        <v>19</v>
      </c>
      <c r="K30" s="17" t="n">
        <v>531</v>
      </c>
      <c r="L30" s="13" t="n">
        <f aca="false">IF(INDEX(選手一覧!$D$7:$D$2738,$K30)="","",INDEX(選手一覧!$D$7:$D$2738,$K30))</f>
        <v>0.0106579861111111</v>
      </c>
      <c r="M30" s="14" t="n">
        <f aca="false">IF(INDEX(選手一覧!$E$7:$E$2738,$K30)="","",INDEX(選手一覧!$E$7:$E$2738,$K30))</f>
        <v>532</v>
      </c>
      <c r="N30" s="16" t="str">
        <f aca="false">IF(INDEX(選手一覧!$H$7:$H$2738,$K30)="","",INDEX(選手一覧!$H$7:$H$2738,$K30))</f>
        <v/>
      </c>
      <c r="O30" s="17" t="str">
        <f aca="false">IF(INDEX(選手一覧!$I$7:$I$2738,$K30)="","",INDEX(選手一覧!$I$7:$I$2738,$K30))</f>
        <v/>
      </c>
      <c r="P30" s="16" t="n">
        <f aca="false">IF(INDEX(選手一覧!$J$7:$J$2738,$K30)="","",INDEX(選手一覧!$J$7:$J$2738,$K30))</f>
        <v>0.00285520833333333</v>
      </c>
      <c r="Q30" s="17" t="n">
        <f aca="false">IF(INDEX(選手一覧!$K$7:$K$2738,$K30)="","",INDEX(選手一覧!$K$7:$K$2738,$K30))</f>
        <v>597</v>
      </c>
    </row>
    <row r="31" customFormat="false" ht="15" hidden="false" customHeight="false" outlineLevel="0" collapsed="false">
      <c r="A31" s="29" t="n">
        <v>2</v>
      </c>
      <c r="B31" s="30" t="n">
        <v>3</v>
      </c>
      <c r="C31" s="14" t="n">
        <v>23</v>
      </c>
      <c r="D31" s="17" t="n">
        <f aca="false">COUNTIFS($A$5:$A$115,A31,$E$5:$E$115,"&lt;"&amp;E31)+1</f>
        <v>12</v>
      </c>
      <c r="E31" s="31" t="n">
        <v>0.00616898148148148</v>
      </c>
      <c r="F31" s="31" t="n">
        <f aca="false">E31/B31</f>
        <v>0.00205632716049383</v>
      </c>
      <c r="G31" s="12" t="s">
        <v>4651</v>
      </c>
      <c r="H31" s="12" t="s">
        <v>4652</v>
      </c>
      <c r="I31" s="10"/>
      <c r="J31" s="17" t="n">
        <v>47</v>
      </c>
      <c r="K31" s="17" t="n">
        <v>826</v>
      </c>
      <c r="L31" s="13" t="n">
        <f aca="false">IF(INDEX(選手一覧!$D$7:$D$2738,$K31)="","",INDEX(選手一覧!$D$7:$D$2738,$K31))</f>
        <v>0.010846412037037</v>
      </c>
      <c r="M31" s="14" t="n">
        <f aca="false">IF(INDEX(選手一覧!$E$7:$E$2738,$K31)="","",INDEX(選手一覧!$E$7:$E$2738,$K31))</f>
        <v>827</v>
      </c>
      <c r="N31" s="16" t="n">
        <f aca="false">IF(INDEX(選手一覧!$H$7:$H$2738,$K31)="","",INDEX(選手一覧!$H$7:$H$2738,$K31))</f>
        <v>0.0066087962962963</v>
      </c>
      <c r="O31" s="17" t="n">
        <f aca="false">IF(INDEX(選手一覧!$I$7:$I$2738,$K31)="","",INDEX(選手一覧!$I$7:$I$2738,$K31))</f>
        <v>69</v>
      </c>
      <c r="P31" s="16" t="n">
        <f aca="false">IF(INDEX(選手一覧!$J$7:$J$2738,$K31)="","",INDEX(選手一覧!$J$7:$J$2738,$K31))</f>
        <v>0.00290763888888889</v>
      </c>
      <c r="Q31" s="17" t="n">
        <f aca="false">IF(INDEX(選手一覧!$K$7:$K$2738,$K31)="","",INDEX(選手一覧!$K$7:$K$2738,$K31))</f>
        <v>997</v>
      </c>
    </row>
    <row r="32" customFormat="false" ht="15" hidden="false" customHeight="false" outlineLevel="0" collapsed="false">
      <c r="A32" s="29" t="n">
        <v>2</v>
      </c>
      <c r="B32" s="30" t="n">
        <v>3</v>
      </c>
      <c r="C32" s="14" t="n">
        <v>24</v>
      </c>
      <c r="D32" s="17" t="n">
        <f aca="false">COUNTIFS($A$5:$A$115,A32,$E$5:$E$115,"&lt;"&amp;E32)+1</f>
        <v>13</v>
      </c>
      <c r="E32" s="31" t="n">
        <v>0.00621527777777778</v>
      </c>
      <c r="F32" s="31" t="n">
        <f aca="false">E32/B32</f>
        <v>0.00207175925925926</v>
      </c>
      <c r="G32" s="12" t="s">
        <v>4653</v>
      </c>
      <c r="H32" s="12" t="s">
        <v>4654</v>
      </c>
      <c r="I32" s="10"/>
      <c r="J32" s="17" t="n">
        <v>32</v>
      </c>
      <c r="K32" s="17" t="n">
        <v>477</v>
      </c>
      <c r="L32" s="13" t="n">
        <f aca="false">IF(INDEX(選手一覧!$D$7:$D$2738,$K32)="","",INDEX(選手一覧!$D$7:$D$2738,$K32))</f>
        <v>0.0106114583333333</v>
      </c>
      <c r="M32" s="14" t="n">
        <f aca="false">IF(INDEX(選手一覧!$E$7:$E$2738,$K32)="","",INDEX(選手一覧!$E$7:$E$2738,$K32))</f>
        <v>478</v>
      </c>
      <c r="N32" s="16" t="str">
        <f aca="false">IF(INDEX(選手一覧!$H$7:$H$2738,$K32)="","",INDEX(選手一覧!$H$7:$H$2738,$K32))</f>
        <v/>
      </c>
      <c r="O32" s="17" t="str">
        <f aca="false">IF(INDEX(選手一覧!$I$7:$I$2738,$K32)="","",INDEX(選手一覧!$I$7:$I$2738,$K32))</f>
        <v/>
      </c>
      <c r="P32" s="16" t="n">
        <f aca="false">IF(INDEX(選手一覧!$J$7:$J$2738,$K32)="","",INDEX(選手一覧!$J$7:$J$2738,$K32))</f>
        <v>0.00285543981481482</v>
      </c>
      <c r="Q32" s="17" t="n">
        <f aca="false">IF(INDEX(選手一覧!$K$7:$K$2738,$K32)="","",INDEX(選手一覧!$K$7:$K$2738,$K32))</f>
        <v>599</v>
      </c>
    </row>
    <row r="33" customFormat="false" ht="15" hidden="false" customHeight="false" outlineLevel="0" collapsed="false">
      <c r="A33" s="29" t="n">
        <v>2</v>
      </c>
      <c r="B33" s="30" t="n">
        <v>3</v>
      </c>
      <c r="C33" s="14" t="n">
        <v>27</v>
      </c>
      <c r="D33" s="17" t="n">
        <f aca="false">COUNTIFS($A$5:$A$115,A33,$E$5:$E$115,"&lt;"&amp;E33)+1</f>
        <v>14</v>
      </c>
      <c r="E33" s="31" t="n">
        <v>0.00622685185185185</v>
      </c>
      <c r="F33" s="31" t="n">
        <f aca="false">E33/B33</f>
        <v>0.00207561728395062</v>
      </c>
      <c r="G33" s="12" t="s">
        <v>4655</v>
      </c>
      <c r="H33" s="12" t="s">
        <v>4612</v>
      </c>
      <c r="I33" s="10"/>
      <c r="J33" s="17" t="n">
        <v>34</v>
      </c>
      <c r="K33" s="17" t="n">
        <v>2141</v>
      </c>
      <c r="L33" s="13" t="str">
        <f aca="false">IF(INDEX(選手一覧!$D$7:$D$2738,$K33)="","",INDEX(選手一覧!$D$7:$D$2738,$K33))</f>
        <v/>
      </c>
      <c r="M33" s="14" t="str">
        <f aca="false">IF(INDEX(選手一覧!$E$7:$E$2738,$K33)="","",INDEX(選手一覧!$E$7:$E$2738,$K33))</f>
        <v/>
      </c>
      <c r="N33" s="16" t="str">
        <f aca="false">IF(INDEX(選手一覧!$H$7:$H$2738,$K33)="","",INDEX(選手一覧!$H$7:$H$2738,$K33))</f>
        <v/>
      </c>
      <c r="O33" s="17" t="str">
        <f aca="false">IF(INDEX(選手一覧!$I$7:$I$2738,$K33)="","",INDEX(選手一覧!$I$7:$I$2738,$K33))</f>
        <v/>
      </c>
      <c r="P33" s="16" t="n">
        <f aca="false">IF(INDEX(選手一覧!$J$7:$J$2738,$K33)="","",INDEX(選手一覧!$J$7:$J$2738,$K33))</f>
        <v>0.00290138888888889</v>
      </c>
      <c r="Q33" s="17" t="n">
        <f aca="false">IF(INDEX(選手一覧!$K$7:$K$2738,$K33)="","",INDEX(選手一覧!$K$7:$K$2738,$K33))</f>
        <v>957</v>
      </c>
    </row>
    <row r="34" customFormat="false" ht="15" hidden="false" customHeight="false" outlineLevel="0" collapsed="false">
      <c r="A34" s="29" t="n">
        <v>2</v>
      </c>
      <c r="B34" s="30" t="n">
        <v>3</v>
      </c>
      <c r="C34" s="14" t="n">
        <v>28</v>
      </c>
      <c r="D34" s="17" t="n">
        <f aca="false">COUNTIFS($A$5:$A$115,A34,$E$5:$E$115,"&lt;"&amp;E34)+1</f>
        <v>15</v>
      </c>
      <c r="E34" s="31" t="n">
        <v>0.00623842592592593</v>
      </c>
      <c r="F34" s="31" t="n">
        <f aca="false">E34/B34</f>
        <v>0.00207947530864198</v>
      </c>
      <c r="G34" s="12" t="s">
        <v>4656</v>
      </c>
      <c r="H34" s="12" t="s">
        <v>4618</v>
      </c>
      <c r="I34" s="10"/>
      <c r="J34" s="17" t="n">
        <v>28</v>
      </c>
      <c r="K34" s="17" t="n">
        <v>898</v>
      </c>
      <c r="L34" s="13" t="n">
        <f aca="false">IF(INDEX(選手一覧!$D$7:$D$2738,$K34)="","",INDEX(選手一覧!$D$7:$D$2738,$K34))</f>
        <v>0.0108835648148148</v>
      </c>
      <c r="M34" s="14" t="n">
        <f aca="false">IF(INDEX(選手一覧!$E$7:$E$2738,$K34)="","",INDEX(選手一覧!$E$7:$E$2738,$K34))</f>
        <v>899</v>
      </c>
      <c r="N34" s="16" t="n">
        <f aca="false">IF(INDEX(選手一覧!$H$7:$H$2738,$K34)="","",INDEX(選手一覧!$H$7:$H$2738,$K34))</f>
        <v>0.00708460648148148</v>
      </c>
      <c r="O34" s="17" t="n">
        <f aca="false">IF(INDEX(選手一覧!$I$7:$I$2738,$K34)="","",INDEX(選手一覧!$I$7:$I$2738,$K34))</f>
        <v>432</v>
      </c>
      <c r="P34" s="16" t="n">
        <f aca="false">IF(INDEX(選手一覧!$J$7:$J$2738,$K34)="","",INDEX(選手一覧!$J$7:$J$2738,$K34))</f>
        <v>0.00284363425925926</v>
      </c>
      <c r="Q34" s="17" t="n">
        <f aca="false">IF(INDEX(選手一覧!$K$7:$K$2738,$K34)="","",INDEX(選手一覧!$K$7:$K$2738,$K34))</f>
        <v>521</v>
      </c>
    </row>
    <row r="35" customFormat="false" ht="15" hidden="false" customHeight="false" outlineLevel="0" collapsed="false">
      <c r="A35" s="29" t="n">
        <v>2</v>
      </c>
      <c r="B35" s="30" t="n">
        <v>3</v>
      </c>
      <c r="C35" s="14" t="n">
        <v>30</v>
      </c>
      <c r="D35" s="17" t="n">
        <f aca="false">COUNTIFS($A$5:$A$115,A35,$E$5:$E$115,"&lt;"&amp;E35)+1</f>
        <v>16</v>
      </c>
      <c r="E35" s="31" t="n">
        <v>0.00625</v>
      </c>
      <c r="F35" s="31" t="n">
        <f aca="false">E35/B35</f>
        <v>0.00208333333333333</v>
      </c>
      <c r="G35" s="12" t="s">
        <v>4657</v>
      </c>
      <c r="H35" s="12" t="s">
        <v>4610</v>
      </c>
      <c r="I35" s="10"/>
      <c r="J35" s="17" t="n">
        <v>12</v>
      </c>
      <c r="K35" s="17" t="n">
        <v>1248</v>
      </c>
      <c r="L35" s="13" t="n">
        <f aca="false">IF(INDEX(選手一覧!$D$7:$D$2738,$K35)="","",INDEX(選手一覧!$D$7:$D$2738,$K35))</f>
        <v>0.0110791666666667</v>
      </c>
      <c r="M35" s="14" t="n">
        <f aca="false">IF(INDEX(選手一覧!$E$7:$E$2738,$K35)="","",INDEX(選手一覧!$E$7:$E$2738,$K35))</f>
        <v>1249</v>
      </c>
      <c r="N35" s="16" t="n">
        <f aca="false">IF(INDEX(選手一覧!$H$7:$H$2738,$K35)="","",INDEX(選手一覧!$H$7:$H$2738,$K35))</f>
        <v>0.00676053240740741</v>
      </c>
      <c r="O35" s="17" t="n">
        <f aca="false">IF(INDEX(選手一覧!$I$7:$I$2738,$K35)="","",INDEX(選手一覧!$I$7:$I$2738,$K35))</f>
        <v>135</v>
      </c>
      <c r="P35" s="16" t="n">
        <f aca="false">IF(INDEX(選手一覧!$J$7:$J$2738,$K35)="","",INDEX(選手一覧!$J$7:$J$2738,$K35))</f>
        <v>0.00285729166666667</v>
      </c>
      <c r="Q35" s="17" t="n">
        <f aca="false">IF(INDEX(選手一覧!$K$7:$K$2738,$K35)="","",INDEX(選手一覧!$K$7:$K$2738,$K35))</f>
        <v>617</v>
      </c>
    </row>
    <row r="36" customFormat="false" ht="15" hidden="false" customHeight="false" outlineLevel="0" collapsed="false">
      <c r="A36" s="29" t="n">
        <v>2</v>
      </c>
      <c r="B36" s="30" t="n">
        <v>3</v>
      </c>
      <c r="C36" s="14" t="n">
        <v>36</v>
      </c>
      <c r="D36" s="17" t="n">
        <f aca="false">COUNTIFS($A$5:$A$115,A36,$E$5:$E$115,"&lt;"&amp;E36)+1</f>
        <v>17</v>
      </c>
      <c r="E36" s="31" t="n">
        <v>0.00631944444444444</v>
      </c>
      <c r="F36" s="31" t="n">
        <f aca="false">E36/B36</f>
        <v>0.00210648148148148</v>
      </c>
      <c r="G36" s="12" t="s">
        <v>4658</v>
      </c>
      <c r="H36" s="12" t="s">
        <v>4659</v>
      </c>
      <c r="I36" s="10"/>
      <c r="J36" s="17" t="n">
        <v>31</v>
      </c>
      <c r="K36" s="17" t="n">
        <v>2201</v>
      </c>
      <c r="L36" s="13" t="str">
        <f aca="false">IF(INDEX(選手一覧!$D$7:$D$2738,$K36)="","",INDEX(選手一覧!$D$7:$D$2738,$K36))</f>
        <v/>
      </c>
      <c r="M36" s="14" t="str">
        <f aca="false">IF(INDEX(選手一覧!$E$7:$E$2738,$K36)="","",INDEX(選手一覧!$E$7:$E$2738,$K36))</f>
        <v/>
      </c>
      <c r="N36" s="16" t="str">
        <f aca="false">IF(INDEX(選手一覧!$H$7:$H$2738,$K36)="","",INDEX(選手一覧!$H$7:$H$2738,$K36))</f>
        <v/>
      </c>
      <c r="O36" s="17" t="str">
        <f aca="false">IF(INDEX(選手一覧!$I$7:$I$2738,$K36)="","",INDEX(選手一覧!$I$7:$I$2738,$K36))</f>
        <v/>
      </c>
      <c r="P36" s="16" t="n">
        <f aca="false">IF(INDEX(選手一覧!$J$7:$J$2738,$K36)="","",INDEX(選手一覧!$J$7:$J$2738,$K36))</f>
        <v>0.00290821759259259</v>
      </c>
      <c r="Q36" s="17" t="n">
        <f aca="false">IF(INDEX(選手一覧!$K$7:$K$2738,$K36)="","",INDEX(選手一覧!$K$7:$K$2738,$K36))</f>
        <v>1002</v>
      </c>
    </row>
    <row r="37" customFormat="false" ht="15" hidden="false" customHeight="false" outlineLevel="0" collapsed="false">
      <c r="A37" s="29" t="n">
        <v>2</v>
      </c>
      <c r="B37" s="30" t="n">
        <v>3</v>
      </c>
      <c r="C37" s="14" t="n">
        <v>37</v>
      </c>
      <c r="D37" s="17" t="n">
        <f aca="false">COUNTIFS($A$5:$A$115,A37,$E$5:$E$115,"&lt;"&amp;E37)+1</f>
        <v>18</v>
      </c>
      <c r="E37" s="31" t="n">
        <v>0.00633101851851852</v>
      </c>
      <c r="F37" s="31" t="n">
        <f aca="false">E37/B37</f>
        <v>0.00211033950617284</v>
      </c>
      <c r="G37" s="12" t="s">
        <v>4660</v>
      </c>
      <c r="H37" s="12" t="s">
        <v>4661</v>
      </c>
      <c r="I37" s="10"/>
      <c r="J37" s="17" t="n">
        <v>30</v>
      </c>
      <c r="K37" s="17" t="n">
        <v>2021</v>
      </c>
      <c r="L37" s="13" t="str">
        <f aca="false">IF(INDEX(選手一覧!$D$7:$D$2738,$K37)="","",INDEX(選手一覧!$D$7:$D$2738,$K37))</f>
        <v/>
      </c>
      <c r="M37" s="14" t="str">
        <f aca="false">IF(INDEX(選手一覧!$E$7:$E$2738,$K37)="","",INDEX(選手一覧!$E$7:$E$2738,$K37))</f>
        <v/>
      </c>
      <c r="N37" s="16" t="str">
        <f aca="false">IF(INDEX(選手一覧!$H$7:$H$2738,$K37)="","",INDEX(選手一覧!$H$7:$H$2738,$K37))</f>
        <v/>
      </c>
      <c r="O37" s="17" t="str">
        <f aca="false">IF(INDEX(選手一覧!$I$7:$I$2738,$K37)="","",INDEX(選手一覧!$I$7:$I$2738,$K37))</f>
        <v/>
      </c>
      <c r="P37" s="16" t="n">
        <f aca="false">IF(INDEX(選手一覧!$J$7:$J$2738,$K37)="","",INDEX(選手一覧!$J$7:$J$2738,$K37))</f>
        <v>0.00289016203703704</v>
      </c>
      <c r="Q37" s="17" t="n">
        <f aca="false">IF(INDEX(選手一覧!$K$7:$K$2738,$K37)="","",INDEX(選手一覧!$K$7:$K$2738,$K37))</f>
        <v>867</v>
      </c>
    </row>
    <row r="38" customFormat="false" ht="15" hidden="false" customHeight="false" outlineLevel="0" collapsed="false">
      <c r="A38" s="29" t="n">
        <v>2</v>
      </c>
      <c r="B38" s="30" t="n">
        <v>3</v>
      </c>
      <c r="C38" s="14" t="n">
        <v>50</v>
      </c>
      <c r="D38" s="17" t="n">
        <f aca="false">COUNTIFS($A$5:$A$115,A38,$E$5:$E$115,"&lt;"&amp;E38)+1</f>
        <v>19</v>
      </c>
      <c r="E38" s="31" t="n">
        <v>0.00665509259259259</v>
      </c>
      <c r="F38" s="31" t="n">
        <f aca="false">E38/B38</f>
        <v>0.00221836419753086</v>
      </c>
      <c r="G38" s="12" t="s">
        <v>4662</v>
      </c>
      <c r="H38" s="12" t="s">
        <v>4630</v>
      </c>
      <c r="I38" s="10"/>
      <c r="J38" s="17" t="n">
        <v>52</v>
      </c>
      <c r="K38" s="17" t="n">
        <v>2126</v>
      </c>
      <c r="L38" s="13" t="str">
        <f aca="false">IF(INDEX(選手一覧!$D$7:$D$2738,$K38)="","",INDEX(選手一覧!$D$7:$D$2738,$K38))</f>
        <v/>
      </c>
      <c r="M38" s="14" t="str">
        <f aca="false">IF(INDEX(選手一覧!$E$7:$E$2738,$K38)="","",INDEX(選手一覧!$E$7:$E$2738,$K38))</f>
        <v/>
      </c>
      <c r="N38" s="16" t="str">
        <f aca="false">IF(INDEX(選手一覧!$H$7:$H$2738,$K38)="","",INDEX(選手一覧!$H$7:$H$2738,$K38))</f>
        <v/>
      </c>
      <c r="O38" s="17" t="str">
        <f aca="false">IF(INDEX(選手一覧!$I$7:$I$2738,$K38)="","",INDEX(選手一覧!$I$7:$I$2738,$K38))</f>
        <v/>
      </c>
      <c r="P38" s="16" t="n">
        <f aca="false">IF(INDEX(選手一覧!$J$7:$J$2738,$K38)="","",INDEX(選手一覧!$J$7:$J$2738,$K38))</f>
        <v>0.00289988425925926</v>
      </c>
      <c r="Q38" s="17" t="n">
        <f aca="false">IF(INDEX(選手一覧!$K$7:$K$2738,$K38)="","",INDEX(選手一覧!$K$7:$K$2738,$K38))</f>
        <v>945</v>
      </c>
    </row>
    <row r="39" customFormat="false" ht="15" hidden="false" customHeight="false" outlineLevel="0" collapsed="false">
      <c r="A39" s="23" t="n">
        <v>3</v>
      </c>
      <c r="B39" s="24" t="n">
        <v>8.25</v>
      </c>
      <c r="C39" s="14" t="n">
        <v>3</v>
      </c>
      <c r="D39" s="25" t="n">
        <f aca="false">COUNTIFS($A$5:$A$115,A39,$E$5:$E$115,"&lt;"&amp;E39)+1</f>
        <v>1</v>
      </c>
      <c r="E39" s="26" t="n">
        <v>0.0165972222222222</v>
      </c>
      <c r="F39" s="26" t="n">
        <f aca="false">E39/B39</f>
        <v>0.00201178451178451</v>
      </c>
      <c r="G39" s="27" t="s">
        <v>4663</v>
      </c>
      <c r="H39" s="27" t="s">
        <v>4632</v>
      </c>
      <c r="I39" s="28"/>
      <c r="J39" s="25" t="n">
        <v>1</v>
      </c>
      <c r="K39" s="25" t="n">
        <v>14</v>
      </c>
      <c r="L39" s="13" t="n">
        <f aca="false">IF(INDEX(選手一覧!$D$7:$D$2738,$K39)="","",INDEX(選手一覧!$D$7:$D$2738,$K39))</f>
        <v>0.00990787037037037</v>
      </c>
      <c r="M39" s="14" t="n">
        <f aca="false">IF(INDEX(選手一覧!$E$7:$E$2738,$K39)="","",INDEX(選手一覧!$E$7:$E$2738,$K39))</f>
        <v>15</v>
      </c>
      <c r="N39" s="16" t="str">
        <f aca="false">IF(INDEX(選手一覧!$H$7:$H$2738,$K39)="","",INDEX(選手一覧!$H$7:$H$2738,$K39))</f>
        <v/>
      </c>
      <c r="O39" s="17" t="str">
        <f aca="false">IF(INDEX(選手一覧!$I$7:$I$2738,$K39)="","",INDEX(選手一覧!$I$7:$I$2738,$K39))</f>
        <v/>
      </c>
      <c r="P39" s="16" t="n">
        <f aca="false">IF(INDEX(選手一覧!$J$7:$J$2738,$K39)="","",INDEX(選手一覧!$J$7:$J$2738,$K39))</f>
        <v>0.00283935185185185</v>
      </c>
      <c r="Q39" s="17" t="n">
        <f aca="false">IF(INDEX(選手一覧!$K$7:$K$2738,$K39)="","",INDEX(選手一覧!$K$7:$K$2738,$K39))</f>
        <v>491</v>
      </c>
    </row>
    <row r="40" customFormat="false" ht="15" hidden="false" customHeight="false" outlineLevel="0" collapsed="false">
      <c r="A40" s="23" t="n">
        <v>3</v>
      </c>
      <c r="B40" s="24" t="n">
        <v>8.25</v>
      </c>
      <c r="C40" s="14" t="n">
        <v>7</v>
      </c>
      <c r="D40" s="25" t="n">
        <f aca="false">COUNTIFS($A$5:$A$115,A40,$E$5:$E$115,"&lt;"&amp;E40)+1</f>
        <v>2</v>
      </c>
      <c r="E40" s="26" t="n">
        <v>0.0169560185185185</v>
      </c>
      <c r="F40" s="26" t="n">
        <f aca="false">E40/B40</f>
        <v>0.00205527497194164</v>
      </c>
      <c r="G40" s="27" t="s">
        <v>4664</v>
      </c>
      <c r="H40" s="27" t="s">
        <v>4645</v>
      </c>
      <c r="I40" s="28"/>
      <c r="J40" s="25" t="n">
        <v>7</v>
      </c>
      <c r="K40" s="25" t="n">
        <v>205</v>
      </c>
      <c r="L40" s="13" t="n">
        <f aca="false">IF(INDEX(選手一覧!$D$7:$D$2738,$K40)="","",INDEX(選手一覧!$D$7:$D$2738,$K40))</f>
        <v>0.0103516203703704</v>
      </c>
      <c r="M40" s="14" t="n">
        <f aca="false">IF(INDEX(選手一覧!$E$7:$E$2738,$K40)="","",INDEX(選手一覧!$E$7:$E$2738,$K40))</f>
        <v>206</v>
      </c>
      <c r="N40" s="16" t="str">
        <f aca="false">IF(INDEX(選手一覧!$H$7:$H$2738,$K40)="","",INDEX(選手一覧!$H$7:$H$2738,$K40))</f>
        <v/>
      </c>
      <c r="O40" s="17" t="str">
        <f aca="false">IF(INDEX(選手一覧!$I$7:$I$2738,$K40)="","",INDEX(選手一覧!$I$7:$I$2738,$K40))</f>
        <v/>
      </c>
      <c r="P40" s="16" t="n">
        <f aca="false">IF(INDEX(選手一覧!$J$7:$J$2738,$K40)="","",INDEX(選手一覧!$J$7:$J$2738,$K40))</f>
        <v>0.00282152777777778</v>
      </c>
      <c r="Q40" s="17" t="n">
        <f aca="false">IF(INDEX(選手一覧!$K$7:$K$2738,$K40)="","",INDEX(選手一覧!$K$7:$K$2738,$K40))</f>
        <v>372</v>
      </c>
    </row>
    <row r="41" customFormat="false" ht="15" hidden="false" customHeight="false" outlineLevel="0" collapsed="false">
      <c r="A41" s="23" t="n">
        <v>3</v>
      </c>
      <c r="B41" s="24" t="n">
        <v>8.25</v>
      </c>
      <c r="C41" s="14" t="n">
        <v>10</v>
      </c>
      <c r="D41" s="25" t="n">
        <f aca="false">COUNTIFS($A$5:$A$115,A41,$E$5:$E$115,"&lt;"&amp;E41)+1</f>
        <v>3</v>
      </c>
      <c r="E41" s="26" t="n">
        <v>0.0172337962962963</v>
      </c>
      <c r="F41" s="26" t="n">
        <f aca="false">E41/B41</f>
        <v>0.00208894500561167</v>
      </c>
      <c r="G41" s="27" t="s">
        <v>4665</v>
      </c>
      <c r="H41" s="27" t="s">
        <v>4610</v>
      </c>
      <c r="I41" s="28"/>
      <c r="J41" s="25" t="n">
        <v>12</v>
      </c>
      <c r="K41" s="25" t="n">
        <v>713</v>
      </c>
      <c r="L41" s="13" t="n">
        <f aca="false">IF(INDEX(選手一覧!$D$7:$D$2738,$K41)="","",INDEX(選手一覧!$D$7:$D$2738,$K41))</f>
        <v>0.0107869212962963</v>
      </c>
      <c r="M41" s="14" t="n">
        <f aca="false">IF(INDEX(選手一覧!$E$7:$E$2738,$K41)="","",INDEX(選手一覧!$E$7:$E$2738,$K41))</f>
        <v>714</v>
      </c>
      <c r="N41" s="16" t="str">
        <f aca="false">IF(INDEX(選手一覧!$H$7:$H$2738,$K41)="","",INDEX(選手一覧!$H$7:$H$2738,$K41))</f>
        <v/>
      </c>
      <c r="O41" s="17" t="str">
        <f aca="false">IF(INDEX(選手一覧!$I$7:$I$2738,$K41)="","",INDEX(選手一覧!$I$7:$I$2738,$K41))</f>
        <v/>
      </c>
      <c r="P41" s="16" t="n">
        <f aca="false">IF(INDEX(選手一覧!$J$7:$J$2738,$K41)="","",INDEX(選手一覧!$J$7:$J$2738,$K41))</f>
        <v>0.00276516203703704</v>
      </c>
      <c r="Q41" s="17" t="n">
        <f aca="false">IF(INDEX(選手一覧!$K$7:$K$2738,$K41)="","",INDEX(選手一覧!$K$7:$K$2738,$K41))</f>
        <v>150</v>
      </c>
    </row>
    <row r="42" customFormat="false" ht="15" hidden="false" customHeight="false" outlineLevel="0" collapsed="false">
      <c r="A42" s="23" t="n">
        <v>3</v>
      </c>
      <c r="B42" s="24" t="n">
        <v>8.25</v>
      </c>
      <c r="C42" s="14" t="n">
        <v>12</v>
      </c>
      <c r="D42" s="25" t="n">
        <f aca="false">COUNTIFS($A$5:$A$115,A42,$E$5:$E$115,"&lt;"&amp;E42)+1</f>
        <v>4</v>
      </c>
      <c r="E42" s="26" t="n">
        <v>0.0172453703703704</v>
      </c>
      <c r="F42" s="26" t="n">
        <f aca="false">E42/B42</f>
        <v>0.00209034792368126</v>
      </c>
      <c r="G42" s="27" t="s">
        <v>4666</v>
      </c>
      <c r="H42" s="27" t="s">
        <v>4667</v>
      </c>
      <c r="I42" s="28"/>
      <c r="J42" s="25" t="n">
        <v>11</v>
      </c>
      <c r="K42" s="25" t="n">
        <v>124</v>
      </c>
      <c r="L42" s="13" t="n">
        <f aca="false">IF(INDEX(選手一覧!$D$7:$D$2738,$K42)="","",INDEX(選手一覧!$D$7:$D$2738,$K42))</f>
        <v>0.0102445601851852</v>
      </c>
      <c r="M42" s="14" t="n">
        <f aca="false">IF(INDEX(選手一覧!$E$7:$E$2738,$K42)="","",INDEX(選手一覧!$E$7:$E$2738,$K42))</f>
        <v>125</v>
      </c>
      <c r="N42" s="16" t="str">
        <f aca="false">IF(INDEX(選手一覧!$H$7:$H$2738,$K42)="","",INDEX(選手一覧!$H$7:$H$2738,$K42))</f>
        <v/>
      </c>
      <c r="O42" s="17" t="str">
        <f aca="false">IF(INDEX(選手一覧!$I$7:$I$2738,$K42)="","",INDEX(選手一覧!$I$7:$I$2738,$K42))</f>
        <v/>
      </c>
      <c r="P42" s="16" t="n">
        <f aca="false">IF(INDEX(選手一覧!$J$7:$J$2738,$K42)="","",INDEX(選手一覧!$J$7:$J$2738,$K42))</f>
        <v>0.00285393518518519</v>
      </c>
      <c r="Q42" s="17" t="n">
        <f aca="false">IF(INDEX(選手一覧!$K$7:$K$2738,$K42)="","",INDEX(選手一覧!$K$7:$K$2738,$K42))</f>
        <v>593</v>
      </c>
    </row>
    <row r="43" customFormat="false" ht="15" hidden="false" customHeight="false" outlineLevel="0" collapsed="false">
      <c r="A43" s="23" t="n">
        <v>3</v>
      </c>
      <c r="B43" s="24" t="n">
        <v>8.25</v>
      </c>
      <c r="C43" s="14" t="n">
        <v>18</v>
      </c>
      <c r="D43" s="25" t="n">
        <f aca="false">COUNTIFS($A$5:$A$115,A43,$E$5:$E$115,"&lt;"&amp;E43)+1</f>
        <v>5</v>
      </c>
      <c r="E43" s="26" t="n">
        <v>0.0175462962962963</v>
      </c>
      <c r="F43" s="26" t="n">
        <f aca="false">E43/B43</f>
        <v>0.00212682379349046</v>
      </c>
      <c r="G43" s="27" t="s">
        <v>4668</v>
      </c>
      <c r="H43" s="27" t="s">
        <v>4669</v>
      </c>
      <c r="I43" s="28"/>
      <c r="J43" s="25" t="n">
        <v>21</v>
      </c>
      <c r="K43" s="25" t="n">
        <v>155</v>
      </c>
      <c r="L43" s="13" t="n">
        <f aca="false">IF(INDEX(選手一覧!$D$7:$D$2738,$K43)="","",INDEX(選手一覧!$D$7:$D$2738,$K43))</f>
        <v>0.0102929398148148</v>
      </c>
      <c r="M43" s="14" t="n">
        <f aca="false">IF(INDEX(選手一覧!$E$7:$E$2738,$K43)="","",INDEX(選手一覧!$E$7:$E$2738,$K43))</f>
        <v>156</v>
      </c>
      <c r="N43" s="16" t="n">
        <f aca="false">IF(INDEX(選手一覧!$H$7:$H$2738,$K43)="","",INDEX(選手一覧!$H$7:$H$2738,$K43))</f>
        <v>0.00667303240740741</v>
      </c>
      <c r="O43" s="17" t="n">
        <f aca="false">IF(INDEX(選手一覧!$I$7:$I$2738,$K43)="","",INDEX(選手一覧!$I$7:$I$2738,$K43))</f>
        <v>92</v>
      </c>
      <c r="P43" s="16" t="n">
        <f aca="false">IF(INDEX(選手一覧!$J$7:$J$2738,$K43)="","",INDEX(選手一覧!$J$7:$J$2738,$K43))</f>
        <v>0.00289953703703704</v>
      </c>
      <c r="Q43" s="17" t="n">
        <f aca="false">IF(INDEX(選手一覧!$K$7:$K$2738,$K43)="","",INDEX(選手一覧!$K$7:$K$2738,$K43))</f>
        <v>941</v>
      </c>
    </row>
    <row r="44" customFormat="false" ht="15" hidden="false" customHeight="false" outlineLevel="0" collapsed="false">
      <c r="A44" s="23" t="n">
        <v>3</v>
      </c>
      <c r="B44" s="24" t="n">
        <v>8.25</v>
      </c>
      <c r="C44" s="14" t="n">
        <v>23</v>
      </c>
      <c r="D44" s="25" t="n">
        <f aca="false">COUNTIFS($A$5:$A$115,A44,$E$5:$E$115,"&lt;"&amp;E44)+1</f>
        <v>6</v>
      </c>
      <c r="E44" s="26" t="n">
        <v>0.0177314814814815</v>
      </c>
      <c r="F44" s="26" t="n">
        <f aca="false">E44/B44</f>
        <v>0.00214927048260382</v>
      </c>
      <c r="G44" s="27" t="s">
        <v>4670</v>
      </c>
      <c r="H44" s="27" t="s">
        <v>4634</v>
      </c>
      <c r="I44" s="28"/>
      <c r="J44" s="25" t="n">
        <v>22</v>
      </c>
      <c r="K44" s="25" t="n">
        <v>273</v>
      </c>
      <c r="L44" s="13" t="n">
        <f aca="false">IF(INDEX(選手一覧!$D$7:$D$2738,$K44)="","",INDEX(選手一覧!$D$7:$D$2738,$K44))</f>
        <v>0.010409375</v>
      </c>
      <c r="M44" s="14" t="n">
        <f aca="false">IF(INDEX(選手一覧!$E$7:$E$2738,$K44)="","",INDEX(選手一覧!$E$7:$E$2738,$K44))</f>
        <v>274</v>
      </c>
      <c r="N44" s="16" t="str">
        <f aca="false">IF(INDEX(選手一覧!$H$7:$H$2738,$K44)="","",INDEX(選手一覧!$H$7:$H$2738,$K44))</f>
        <v/>
      </c>
      <c r="O44" s="17" t="str">
        <f aca="false">IF(INDEX(選手一覧!$I$7:$I$2738,$K44)="","",INDEX(選手一覧!$I$7:$I$2738,$K44))</f>
        <v/>
      </c>
      <c r="P44" s="16" t="n">
        <f aca="false">IF(INDEX(選手一覧!$J$7:$J$2738,$K44)="","",INDEX(選手一覧!$J$7:$J$2738,$K44))</f>
        <v>0.0028974537037037</v>
      </c>
      <c r="Q44" s="17" t="n">
        <f aca="false">IF(INDEX(選手一覧!$K$7:$K$2738,$K44)="","",INDEX(選手一覧!$K$7:$K$2738,$K44))</f>
        <v>932</v>
      </c>
    </row>
    <row r="45" customFormat="false" ht="15" hidden="false" customHeight="false" outlineLevel="0" collapsed="false">
      <c r="A45" s="23" t="n">
        <v>3</v>
      </c>
      <c r="B45" s="24" t="n">
        <v>8.25</v>
      </c>
      <c r="C45" s="14" t="n">
        <v>25</v>
      </c>
      <c r="D45" s="25" t="n">
        <f aca="false">COUNTIFS($A$5:$A$115,A45,$E$5:$E$115,"&lt;"&amp;E45)+1</f>
        <v>7</v>
      </c>
      <c r="E45" s="26" t="n">
        <v>0.0177777777777778</v>
      </c>
      <c r="F45" s="26" t="n">
        <f aca="false">E45/B45</f>
        <v>0.00215488215488216</v>
      </c>
      <c r="G45" s="27" t="s">
        <v>4671</v>
      </c>
      <c r="H45" s="27" t="s">
        <v>4602</v>
      </c>
      <c r="I45" s="28"/>
      <c r="J45" s="25" t="n">
        <v>16</v>
      </c>
      <c r="K45" s="25" t="n">
        <v>282</v>
      </c>
      <c r="L45" s="13" t="n">
        <f aca="false">IF(INDEX(選手一覧!$D$7:$D$2738,$K45)="","",INDEX(選手一覧!$D$7:$D$2738,$K45))</f>
        <v>0.0104184027777778</v>
      </c>
      <c r="M45" s="14" t="n">
        <f aca="false">IF(INDEX(選手一覧!$E$7:$E$2738,$K45)="","",INDEX(選手一覧!$E$7:$E$2738,$K45))</f>
        <v>283</v>
      </c>
      <c r="N45" s="16" t="n">
        <f aca="false">IF(INDEX(選手一覧!$H$7:$H$2738,$K45)="","",INDEX(選手一覧!$H$7:$H$2738,$K45))</f>
        <v>0.00663900462962963</v>
      </c>
      <c r="O45" s="17" t="n">
        <f aca="false">IF(INDEX(選手一覧!$I$7:$I$2738,$K45)="","",INDEX(選手一覧!$I$7:$I$2738,$K45))</f>
        <v>78</v>
      </c>
      <c r="P45" s="16" t="n">
        <f aca="false">IF(INDEX(選手一覧!$J$7:$J$2738,$K45)="","",INDEX(選手一覧!$J$7:$J$2738,$K45))</f>
        <v>0.00285671296296296</v>
      </c>
      <c r="Q45" s="17" t="n">
        <f aca="false">IF(INDEX(選手一覧!$K$7:$K$2738,$K45)="","",INDEX(選手一覧!$K$7:$K$2738,$K45))</f>
        <v>612</v>
      </c>
    </row>
    <row r="46" customFormat="false" ht="15" hidden="false" customHeight="false" outlineLevel="0" collapsed="false">
      <c r="A46" s="23" t="n">
        <v>3</v>
      </c>
      <c r="B46" s="24" t="n">
        <v>8.25</v>
      </c>
      <c r="C46" s="14" t="n">
        <v>26</v>
      </c>
      <c r="D46" s="25" t="n">
        <f aca="false">COUNTIFS($A$5:$A$115,A46,$E$5:$E$115,"&lt;"&amp;E46)+1</f>
        <v>8</v>
      </c>
      <c r="E46" s="26" t="n">
        <v>0.0177893518518519</v>
      </c>
      <c r="F46" s="26" t="n">
        <f aca="false">E46/B46</f>
        <v>0.00215628507295174</v>
      </c>
      <c r="G46" s="27" t="s">
        <v>4672</v>
      </c>
      <c r="H46" s="27" t="s">
        <v>4612</v>
      </c>
      <c r="I46" s="28"/>
      <c r="J46" s="25" t="n">
        <v>34</v>
      </c>
      <c r="K46" s="25" t="n">
        <v>639</v>
      </c>
      <c r="L46" s="13" t="n">
        <f aca="false">IF(INDEX(選手一覧!$D$7:$D$2738,$K46)="","",INDEX(選手一覧!$D$7:$D$2738,$K46))</f>
        <v>0.0107333333333333</v>
      </c>
      <c r="M46" s="14" t="n">
        <f aca="false">IF(INDEX(選手一覧!$E$7:$E$2738,$K46)="","",INDEX(選手一覧!$E$7:$E$2738,$K46))</f>
        <v>640</v>
      </c>
      <c r="N46" s="16" t="n">
        <f aca="false">IF(INDEX(選手一覧!$H$7:$H$2738,$K46)="","",INDEX(選手一覧!$H$7:$H$2738,$K46))</f>
        <v>0.00676458333333333</v>
      </c>
      <c r="O46" s="17" t="n">
        <f aca="false">IF(INDEX(選手一覧!$I$7:$I$2738,$K46)="","",INDEX(選手一覧!$I$7:$I$2738,$K46))</f>
        <v>142</v>
      </c>
      <c r="P46" s="16" t="str">
        <f aca="false">IF(INDEX(選手一覧!$J$7:$J$2738,$K46)="","",INDEX(選手一覧!$J$7:$J$2738,$K46))</f>
        <v/>
      </c>
      <c r="Q46" s="17" t="str">
        <f aca="false">IF(INDEX(選手一覧!$K$7:$K$2738,$K46)="","",INDEX(選手一覧!$K$7:$K$2738,$K46))</f>
        <v/>
      </c>
    </row>
    <row r="47" customFormat="false" ht="15" hidden="false" customHeight="false" outlineLevel="0" collapsed="false">
      <c r="A47" s="23" t="n">
        <v>3</v>
      </c>
      <c r="B47" s="24" t="n">
        <v>8.25</v>
      </c>
      <c r="C47" s="14" t="n">
        <v>30</v>
      </c>
      <c r="D47" s="25" t="n">
        <f aca="false">COUNTIFS($A$5:$A$115,A47,$E$5:$E$115,"&lt;"&amp;E47)+1</f>
        <v>9</v>
      </c>
      <c r="E47" s="26" t="n">
        <v>0.0179282407407407</v>
      </c>
      <c r="F47" s="26" t="n">
        <f aca="false">E47/B47</f>
        <v>0.00217312008978676</v>
      </c>
      <c r="G47" s="27" t="s">
        <v>4673</v>
      </c>
      <c r="H47" s="27" t="s">
        <v>4674</v>
      </c>
      <c r="I47" s="28"/>
      <c r="J47" s="25" t="n">
        <v>50</v>
      </c>
      <c r="K47" s="25" t="n">
        <v>580</v>
      </c>
      <c r="L47" s="13" t="n">
        <f aca="false">IF(INDEX(選手一覧!$D$7:$D$2738,$K47)="","",INDEX(選手一覧!$D$7:$D$2738,$K47))</f>
        <v>0.0106994212962963</v>
      </c>
      <c r="M47" s="14" t="n">
        <f aca="false">IF(INDEX(選手一覧!$E$7:$E$2738,$K47)="","",INDEX(選手一覧!$E$7:$E$2738,$K47))</f>
        <v>581</v>
      </c>
      <c r="N47" s="16" t="str">
        <f aca="false">IF(INDEX(選手一覧!$H$7:$H$2738,$K47)="","",INDEX(選手一覧!$H$7:$H$2738,$K47))</f>
        <v/>
      </c>
      <c r="O47" s="17" t="str">
        <f aca="false">IF(INDEX(選手一覧!$I$7:$I$2738,$K47)="","",INDEX(選手一覧!$I$7:$I$2738,$K47))</f>
        <v/>
      </c>
      <c r="P47" s="16" t="n">
        <f aca="false">IF(INDEX(選手一覧!$J$7:$J$2738,$K47)="","",INDEX(選手一覧!$J$7:$J$2738,$K47))</f>
        <v>0.00272546296296296</v>
      </c>
      <c r="Q47" s="17" t="n">
        <f aca="false">IF(INDEX(選手一覧!$K$7:$K$2738,$K47)="","",INDEX(選手一覧!$K$7:$K$2738,$K47))</f>
        <v>59</v>
      </c>
    </row>
    <row r="48" customFormat="false" ht="15" hidden="false" customHeight="false" outlineLevel="0" collapsed="false">
      <c r="A48" s="23" t="n">
        <v>3</v>
      </c>
      <c r="B48" s="24" t="n">
        <v>8.25</v>
      </c>
      <c r="C48" s="14" t="n">
        <v>33</v>
      </c>
      <c r="D48" s="25" t="n">
        <f aca="false">COUNTIFS($A$5:$A$115,A48,$E$5:$E$115,"&lt;"&amp;E48)+1</f>
        <v>10</v>
      </c>
      <c r="E48" s="26" t="n">
        <v>0.0179976851851852</v>
      </c>
      <c r="F48" s="26" t="n">
        <f aca="false">E48/B48</f>
        <v>0.00218153759820427</v>
      </c>
      <c r="G48" s="27" t="s">
        <v>4675</v>
      </c>
      <c r="H48" s="27" t="s">
        <v>4676</v>
      </c>
      <c r="I48" s="28"/>
      <c r="J48" s="25" t="n">
        <v>38</v>
      </c>
      <c r="K48" s="25" t="n">
        <v>656</v>
      </c>
      <c r="L48" s="13" t="n">
        <f aca="false">IF(INDEX(選手一覧!$D$7:$D$2738,$K48)="","",INDEX(選手一覧!$D$7:$D$2738,$K48))</f>
        <v>0.0107427083333333</v>
      </c>
      <c r="M48" s="14" t="n">
        <f aca="false">IF(INDEX(選手一覧!$E$7:$E$2738,$K48)="","",INDEX(選手一覧!$E$7:$E$2738,$K48))</f>
        <v>657</v>
      </c>
      <c r="N48" s="16" t="n">
        <f aca="false">IF(INDEX(選手一覧!$H$7:$H$2738,$K48)="","",INDEX(選手一覧!$H$7:$H$2738,$K48))</f>
        <v>0.00656342592592593</v>
      </c>
      <c r="O48" s="17" t="n">
        <f aca="false">IF(INDEX(選手一覧!$I$7:$I$2738,$K48)="","",INDEX(選手一覧!$I$7:$I$2738,$K48))</f>
        <v>49</v>
      </c>
      <c r="P48" s="16" t="n">
        <f aca="false">IF(INDEX(選手一覧!$J$7:$J$2738,$K48)="","",INDEX(選手一覧!$J$7:$J$2738,$K48))</f>
        <v>0.00286423611111111</v>
      </c>
      <c r="Q48" s="17" t="n">
        <f aca="false">IF(INDEX(選手一覧!$K$7:$K$2738,$K48)="","",INDEX(選手一覧!$K$7:$K$2738,$K48))</f>
        <v>661</v>
      </c>
    </row>
    <row r="49" customFormat="false" ht="15" hidden="false" customHeight="false" outlineLevel="0" collapsed="false">
      <c r="A49" s="23" t="n">
        <v>3</v>
      </c>
      <c r="B49" s="24" t="n">
        <v>8.25</v>
      </c>
      <c r="C49" s="14" t="n">
        <v>36</v>
      </c>
      <c r="D49" s="25" t="n">
        <f aca="false">COUNTIFS($A$5:$A$115,A49,$E$5:$E$115,"&lt;"&amp;E49)+1</f>
        <v>11</v>
      </c>
      <c r="E49" s="26" t="n">
        <v>0.0181018518518519</v>
      </c>
      <c r="F49" s="26" t="n">
        <f aca="false">E49/B49</f>
        <v>0.00219416386083053</v>
      </c>
      <c r="G49" s="27" t="s">
        <v>4677</v>
      </c>
      <c r="H49" s="27" t="s">
        <v>4678</v>
      </c>
      <c r="I49" s="28"/>
      <c r="J49" s="25" t="n">
        <v>18</v>
      </c>
      <c r="K49" s="25" t="n">
        <v>413</v>
      </c>
      <c r="L49" s="13" t="n">
        <f aca="false">IF(INDEX(選手一覧!$D$7:$D$2738,$K49)="","",INDEX(選手一覧!$D$7:$D$2738,$K49))</f>
        <v>0.010562962962963</v>
      </c>
      <c r="M49" s="14" t="n">
        <f aca="false">IF(INDEX(選手一覧!$E$7:$E$2738,$K49)="","",INDEX(選手一覧!$E$7:$E$2738,$K49))</f>
        <v>414</v>
      </c>
      <c r="N49" s="16" t="str">
        <f aca="false">IF(INDEX(選手一覧!$H$7:$H$2738,$K49)="","",INDEX(選手一覧!$H$7:$H$2738,$K49))</f>
        <v/>
      </c>
      <c r="O49" s="17" t="str">
        <f aca="false">IF(INDEX(選手一覧!$I$7:$I$2738,$K49)="","",INDEX(選手一覧!$I$7:$I$2738,$K49))</f>
        <v/>
      </c>
      <c r="P49" s="16" t="n">
        <f aca="false">IF(INDEX(選手一覧!$J$7:$J$2738,$K49)="","",INDEX(選手一覧!$J$7:$J$2738,$K49))</f>
        <v>0.00275613425925926</v>
      </c>
      <c r="Q49" s="17" t="n">
        <f aca="false">IF(INDEX(選手一覧!$K$7:$K$2738,$K49)="","",INDEX(選手一覧!$K$7:$K$2738,$K49))</f>
        <v>124</v>
      </c>
    </row>
    <row r="50" customFormat="false" ht="15" hidden="false" customHeight="false" outlineLevel="0" collapsed="false">
      <c r="A50" s="23" t="n">
        <v>3</v>
      </c>
      <c r="B50" s="24" t="n">
        <v>8.25</v>
      </c>
      <c r="C50" s="14" t="n">
        <v>38</v>
      </c>
      <c r="D50" s="25" t="n">
        <f aca="false">COUNTIFS($A$5:$A$115,A50,$E$5:$E$115,"&lt;"&amp;E50)+1</f>
        <v>12</v>
      </c>
      <c r="E50" s="26" t="n">
        <v>0.0182060185185185</v>
      </c>
      <c r="F50" s="26" t="n">
        <f aca="false">E50/B50</f>
        <v>0.00220679012345679</v>
      </c>
      <c r="G50" s="27" t="s">
        <v>4679</v>
      </c>
      <c r="H50" s="27" t="s">
        <v>4643</v>
      </c>
      <c r="I50" s="28"/>
      <c r="J50" s="25" t="n">
        <v>41</v>
      </c>
      <c r="K50" s="25" t="n">
        <v>863</v>
      </c>
      <c r="L50" s="13" t="n">
        <f aca="false">IF(INDEX(選手一覧!$D$7:$D$2738,$K50)="","",INDEX(選手一覧!$D$7:$D$2738,$K50))</f>
        <v>0.0108673611111111</v>
      </c>
      <c r="M50" s="14" t="n">
        <f aca="false">IF(INDEX(選手一覧!$E$7:$E$2738,$K50)="","",INDEX(選手一覧!$E$7:$E$2738,$K50))</f>
        <v>864</v>
      </c>
      <c r="N50" s="16" t="str">
        <f aca="false">IF(INDEX(選手一覧!$H$7:$H$2738,$K50)="","",INDEX(選手一覧!$H$7:$H$2738,$K50))</f>
        <v/>
      </c>
      <c r="O50" s="17" t="str">
        <f aca="false">IF(INDEX(選手一覧!$I$7:$I$2738,$K50)="","",INDEX(選手一覧!$I$7:$I$2738,$K50))</f>
        <v/>
      </c>
      <c r="P50" s="16" t="str">
        <f aca="false">IF(INDEX(選手一覧!$J$7:$J$2738,$K50)="","",INDEX(選手一覧!$J$7:$J$2738,$K50))</f>
        <v/>
      </c>
      <c r="Q50" s="17" t="str">
        <f aca="false">IF(INDEX(選手一覧!$K$7:$K$2738,$K50)="","",INDEX(選手一覧!$K$7:$K$2738,$K50))</f>
        <v/>
      </c>
    </row>
    <row r="51" customFormat="false" ht="15" hidden="false" customHeight="false" outlineLevel="0" collapsed="false">
      <c r="A51" s="23" t="n">
        <v>3</v>
      </c>
      <c r="B51" s="24" t="n">
        <v>8.25</v>
      </c>
      <c r="C51" s="14" t="n">
        <v>42</v>
      </c>
      <c r="D51" s="25" t="n">
        <f aca="false">COUNTIFS($A$5:$A$115,A51,$E$5:$E$115,"&lt;"&amp;E51)+1</f>
        <v>13</v>
      </c>
      <c r="E51" s="26" t="n">
        <v>0.0183796296296296</v>
      </c>
      <c r="F51" s="26" t="n">
        <f aca="false">E51/B51</f>
        <v>0.00222783389450056</v>
      </c>
      <c r="G51" s="27" t="s">
        <v>4680</v>
      </c>
      <c r="H51" s="27" t="s">
        <v>4681</v>
      </c>
      <c r="I51" s="28"/>
      <c r="J51" s="25" t="n">
        <v>37</v>
      </c>
      <c r="K51" s="25" t="n">
        <v>997</v>
      </c>
      <c r="L51" s="13" t="n">
        <f aca="false">IF(INDEX(選手一覧!$D$7:$D$2738,$K51)="","",INDEX(選手一覧!$D$7:$D$2738,$K51))</f>
        <v>0.0109494212962963</v>
      </c>
      <c r="M51" s="14" t="n">
        <f aca="false">IF(INDEX(選手一覧!$E$7:$E$2738,$K51)="","",INDEX(選手一覧!$E$7:$E$2738,$K51))</f>
        <v>998</v>
      </c>
      <c r="N51" s="16" t="str">
        <f aca="false">IF(INDEX(選手一覧!$H$7:$H$2738,$K51)="","",INDEX(選手一覧!$H$7:$H$2738,$K51))</f>
        <v/>
      </c>
      <c r="O51" s="17" t="str">
        <f aca="false">IF(INDEX(選手一覧!$I$7:$I$2738,$K51)="","",INDEX(選手一覧!$I$7:$I$2738,$K51))</f>
        <v/>
      </c>
      <c r="P51" s="16" t="str">
        <f aca="false">IF(INDEX(選手一覧!$J$7:$J$2738,$K51)="","",INDEX(選手一覧!$J$7:$J$2738,$K51))</f>
        <v/>
      </c>
      <c r="Q51" s="17" t="str">
        <f aca="false">IF(INDEX(選手一覧!$K$7:$K$2738,$K51)="","",INDEX(選手一覧!$K$7:$K$2738,$K51))</f>
        <v/>
      </c>
    </row>
    <row r="52" customFormat="false" ht="15" hidden="false" customHeight="false" outlineLevel="0" collapsed="false">
      <c r="A52" s="23" t="n">
        <v>3</v>
      </c>
      <c r="B52" s="24" t="n">
        <v>8.25</v>
      </c>
      <c r="C52" s="14" t="n">
        <v>46</v>
      </c>
      <c r="D52" s="25" t="n">
        <f aca="false">COUNTIFS($A$5:$A$115,A52,$E$5:$E$115,"&lt;"&amp;E52)+1</f>
        <v>14</v>
      </c>
      <c r="E52" s="26" t="n">
        <v>0.0188541666666667</v>
      </c>
      <c r="F52" s="26" t="n">
        <f aca="false">E52/B52</f>
        <v>0.00228535353535354</v>
      </c>
      <c r="G52" s="27" t="s">
        <v>4682</v>
      </c>
      <c r="H52" s="27" t="s">
        <v>4683</v>
      </c>
      <c r="I52" s="28"/>
      <c r="J52" s="25" t="n">
        <v>46</v>
      </c>
      <c r="K52" s="25" t="n">
        <v>1570</v>
      </c>
      <c r="L52" s="13" t="str">
        <f aca="false">IF(INDEX(選手一覧!$D$7:$D$2738,$K52)="","",INDEX(選手一覧!$D$7:$D$2738,$K52))</f>
        <v/>
      </c>
      <c r="M52" s="14" t="str">
        <f aca="false">IF(INDEX(選手一覧!$E$7:$E$2738,$K52)="","",INDEX(選手一覧!$E$7:$E$2738,$K52))</f>
        <v/>
      </c>
      <c r="N52" s="16" t="n">
        <f aca="false">IF(INDEX(選手一覧!$H$7:$H$2738,$K52)="","",INDEX(選手一覧!$H$7:$H$2738,$K52))</f>
        <v>0.00713900462962963</v>
      </c>
      <c r="O52" s="17" t="n">
        <f aca="false">IF(INDEX(選手一覧!$I$7:$I$2738,$K52)="","",INDEX(選手一覧!$I$7:$I$2738,$K52))</f>
        <v>479</v>
      </c>
      <c r="P52" s="16" t="str">
        <f aca="false">IF(INDEX(選手一覧!$J$7:$J$2738,$K52)="","",INDEX(選手一覧!$J$7:$J$2738,$K52))</f>
        <v/>
      </c>
      <c r="Q52" s="17" t="str">
        <f aca="false">IF(INDEX(選手一覧!$K$7:$K$2738,$K52)="","",INDEX(選手一覧!$K$7:$K$2738,$K52))</f>
        <v/>
      </c>
    </row>
    <row r="53" customFormat="false" ht="15" hidden="false" customHeight="false" outlineLevel="0" collapsed="false">
      <c r="A53" s="23" t="n">
        <v>3</v>
      </c>
      <c r="B53" s="24" t="n">
        <v>8.25</v>
      </c>
      <c r="C53" s="14" t="n">
        <v>48</v>
      </c>
      <c r="D53" s="25" t="n">
        <f aca="false">COUNTIFS($A$5:$A$115,A53,$E$5:$E$115,"&lt;"&amp;E53)+1</f>
        <v>15</v>
      </c>
      <c r="E53" s="26" t="n">
        <v>0.0190972222222222</v>
      </c>
      <c r="F53" s="26" t="n">
        <f aca="false">E53/B53</f>
        <v>0.00231481481481481</v>
      </c>
      <c r="G53" s="27" t="s">
        <v>4684</v>
      </c>
      <c r="H53" s="27" t="s">
        <v>4685</v>
      </c>
      <c r="I53" s="28"/>
      <c r="J53" s="25" t="n">
        <v>49</v>
      </c>
      <c r="K53" s="25" t="n">
        <v>1063</v>
      </c>
      <c r="L53" s="13" t="n">
        <f aca="false">IF(INDEX(選手一覧!$D$7:$D$2738,$K53)="","",INDEX(選手一覧!$D$7:$D$2738,$K53))</f>
        <v>0.0109837962962963</v>
      </c>
      <c r="M53" s="14" t="n">
        <f aca="false">IF(INDEX(選手一覧!$E$7:$E$2738,$K53)="","",INDEX(選手一覧!$E$7:$E$2738,$K53))</f>
        <v>1064</v>
      </c>
      <c r="N53" s="16" t="n">
        <f aca="false">IF(INDEX(選手一覧!$H$7:$H$2738,$K53)="","",INDEX(選手一覧!$H$7:$H$2738,$K53))</f>
        <v>0.00699490740740741</v>
      </c>
      <c r="O53" s="17" t="n">
        <f aca="false">IF(INDEX(選手一覧!$I$7:$I$2738,$K53)="","",INDEX(選手一覧!$I$7:$I$2738,$K53))</f>
        <v>328</v>
      </c>
      <c r="P53" s="16" t="str">
        <f aca="false">IF(INDEX(選手一覧!$J$7:$J$2738,$K53)="","",INDEX(選手一覧!$J$7:$J$2738,$K53))</f>
        <v/>
      </c>
      <c r="Q53" s="17" t="str">
        <f aca="false">IF(INDEX(選手一覧!$K$7:$K$2738,$K53)="","",INDEX(選手一覧!$K$7:$K$2738,$K53))</f>
        <v/>
      </c>
    </row>
    <row r="54" customFormat="false" ht="15" hidden="false" customHeight="false" outlineLevel="0" collapsed="false">
      <c r="A54" s="23" t="n">
        <v>3</v>
      </c>
      <c r="B54" s="24" t="n">
        <v>8.25</v>
      </c>
      <c r="C54" s="14" t="n">
        <v>53</v>
      </c>
      <c r="D54" s="25" t="n">
        <f aca="false">COUNTIFS($A$5:$A$115,A54,$E$5:$E$115,"&lt;"&amp;E54)+1</f>
        <v>16</v>
      </c>
      <c r="E54" s="26" t="n">
        <v>0.0197453703703704</v>
      </c>
      <c r="F54" s="26" t="n">
        <f aca="false">E54/B54</f>
        <v>0.00239337822671156</v>
      </c>
      <c r="G54" s="27" t="s">
        <v>4686</v>
      </c>
      <c r="H54" s="27" t="s">
        <v>4687</v>
      </c>
      <c r="I54" s="28"/>
      <c r="J54" s="25" t="n">
        <v>51</v>
      </c>
      <c r="K54" s="25" t="n">
        <v>1174</v>
      </c>
      <c r="L54" s="13" t="n">
        <f aca="false">IF(INDEX(選手一覧!$D$7:$D$2738,$K54)="","",INDEX(選手一覧!$D$7:$D$2738,$K54))</f>
        <v>0.0110388888888889</v>
      </c>
      <c r="M54" s="14" t="n">
        <f aca="false">IF(INDEX(選手一覧!$E$7:$E$2738,$K54)="","",INDEX(選手一覧!$E$7:$E$2738,$K54))</f>
        <v>1175</v>
      </c>
      <c r="N54" s="16" t="n">
        <f aca="false">IF(INDEX(選手一覧!$H$7:$H$2738,$K54)="","",INDEX(選手一覧!$H$7:$H$2738,$K54))</f>
        <v>0.00679861111111111</v>
      </c>
      <c r="O54" s="17" t="n">
        <f aca="false">IF(INDEX(選手一覧!$I$7:$I$2738,$K54)="","",INDEX(選手一覧!$I$7:$I$2738,$K54))</f>
        <v>169</v>
      </c>
      <c r="P54" s="16" t="str">
        <f aca="false">IF(INDEX(選手一覧!$J$7:$J$2738,$K54)="","",INDEX(選手一覧!$J$7:$J$2738,$K54))</f>
        <v/>
      </c>
      <c r="Q54" s="17" t="str">
        <f aca="false">IF(INDEX(選手一覧!$K$7:$K$2738,$K54)="","",INDEX(選手一覧!$K$7:$K$2738,$K54))</f>
        <v/>
      </c>
    </row>
    <row r="55" customFormat="false" ht="15" hidden="false" customHeight="false" outlineLevel="0" collapsed="false">
      <c r="A55" s="29" t="n">
        <v>4</v>
      </c>
      <c r="B55" s="30" t="n">
        <v>7.9</v>
      </c>
      <c r="C55" s="14" t="n">
        <v>3</v>
      </c>
      <c r="D55" s="17" t="n">
        <f aca="false">COUNTIFS($A$5:$A$115,A55,$E$5:$E$115,"&lt;"&amp;E55)+1</f>
        <v>1</v>
      </c>
      <c r="E55" s="31" t="n">
        <v>0.0166203703703704</v>
      </c>
      <c r="F55" s="31" t="n">
        <f aca="false">E55/B55</f>
        <v>0.00210384435067979</v>
      </c>
      <c r="G55" s="12" t="s">
        <v>4688</v>
      </c>
      <c r="H55" s="12" t="s">
        <v>4604</v>
      </c>
      <c r="I55" s="10"/>
      <c r="J55" s="17" t="n">
        <v>4</v>
      </c>
      <c r="K55" s="17" t="n">
        <v>28</v>
      </c>
      <c r="L55" s="13" t="n">
        <f aca="false">IF(INDEX(選手一覧!$D$7:$D$2738,$K55)="","",INDEX(選手一覧!$D$7:$D$2738,$K55))</f>
        <v>0.0100400462962963</v>
      </c>
      <c r="M55" s="14" t="n">
        <f aca="false">IF(INDEX(選手一覧!$E$7:$E$2738,$K55)="","",INDEX(選手一覧!$E$7:$E$2738,$K55))</f>
        <v>29</v>
      </c>
      <c r="N55" s="16" t="n">
        <f aca="false">IF(INDEX(選手一覧!$H$7:$H$2738,$K55)="","",INDEX(選手一覧!$H$7:$H$2738,$K55))</f>
        <v>0.00702037037037037</v>
      </c>
      <c r="O55" s="17" t="n">
        <f aca="false">IF(INDEX(選手一覧!$I$7:$I$2738,$K55)="","",INDEX(選手一覧!$I$7:$I$2738,$K55))</f>
        <v>355</v>
      </c>
      <c r="P55" s="16" t="n">
        <f aca="false">IF(INDEX(選手一覧!$J$7:$J$2738,$K55)="","",INDEX(選手一覧!$J$7:$J$2738,$K55))</f>
        <v>0.00270590277777778</v>
      </c>
      <c r="Q55" s="17" t="n">
        <f aca="false">IF(INDEX(選手一覧!$K$7:$K$2738,$K55)="","",INDEX(選手一覧!$K$7:$K$2738,$K55))</f>
        <v>29</v>
      </c>
    </row>
    <row r="56" customFormat="false" ht="15" hidden="false" customHeight="false" outlineLevel="0" collapsed="false">
      <c r="A56" s="29" t="n">
        <v>4</v>
      </c>
      <c r="B56" s="30" t="n">
        <v>7.9</v>
      </c>
      <c r="C56" s="14" t="n">
        <v>4</v>
      </c>
      <c r="D56" s="17" t="n">
        <f aca="false">COUNTIFS($A$5:$A$115,A56,$E$5:$E$115,"&lt;"&amp;E56)+1</f>
        <v>2</v>
      </c>
      <c r="E56" s="31" t="n">
        <v>0.016724537037037</v>
      </c>
      <c r="F56" s="31" t="n">
        <f aca="false">E56/B56</f>
        <v>0.00211703000468823</v>
      </c>
      <c r="G56" s="12" t="s">
        <v>4689</v>
      </c>
      <c r="H56" s="12" t="s">
        <v>4645</v>
      </c>
      <c r="I56" s="10"/>
      <c r="J56" s="17" t="n">
        <v>7</v>
      </c>
      <c r="K56" s="17" t="n">
        <v>139</v>
      </c>
      <c r="L56" s="13" t="n">
        <f aca="false">IF(INDEX(選手一覧!$D$7:$D$2738,$K56)="","",INDEX(選手一覧!$D$7:$D$2738,$K56))</f>
        <v>0.0102734953703704</v>
      </c>
      <c r="M56" s="14" t="n">
        <f aca="false">IF(INDEX(選手一覧!$E$7:$E$2738,$K56)="","",INDEX(選手一覧!$E$7:$E$2738,$K56))</f>
        <v>140</v>
      </c>
      <c r="N56" s="16" t="str">
        <f aca="false">IF(INDEX(選手一覧!$H$7:$H$2738,$K56)="","",INDEX(選手一覧!$H$7:$H$2738,$K56))</f>
        <v/>
      </c>
      <c r="O56" s="17" t="str">
        <f aca="false">IF(INDEX(選手一覧!$I$7:$I$2738,$K56)="","",INDEX(選手一覧!$I$7:$I$2738,$K56))</f>
        <v/>
      </c>
      <c r="P56" s="16" t="n">
        <f aca="false">IF(INDEX(選手一覧!$J$7:$J$2738,$K56)="","",INDEX(選手一覧!$J$7:$J$2738,$K56))</f>
        <v>0.00287731481481482</v>
      </c>
      <c r="Q56" s="17" t="n">
        <f aca="false">IF(INDEX(選手一覧!$K$7:$K$2738,$K56)="","",INDEX(選手一覧!$K$7:$K$2738,$K56))</f>
        <v>749</v>
      </c>
    </row>
    <row r="57" customFormat="false" ht="15" hidden="false" customHeight="false" outlineLevel="0" collapsed="false">
      <c r="A57" s="29" t="n">
        <v>4</v>
      </c>
      <c r="B57" s="30" t="n">
        <v>7.9</v>
      </c>
      <c r="C57" s="14" t="n">
        <v>5</v>
      </c>
      <c r="D57" s="17" t="n">
        <f aca="false">COUNTIFS($A$5:$A$115,A57,$E$5:$E$115,"&lt;"&amp;E57)+1</f>
        <v>3</v>
      </c>
      <c r="E57" s="31" t="n">
        <v>0.0167708333333333</v>
      </c>
      <c r="F57" s="31" t="n">
        <f aca="false">E57/B57</f>
        <v>0.00212289029535865</v>
      </c>
      <c r="G57" s="12" t="s">
        <v>4690</v>
      </c>
      <c r="H57" s="12" t="s">
        <v>4606</v>
      </c>
      <c r="I57" s="10"/>
      <c r="J57" s="17" t="n">
        <v>17</v>
      </c>
      <c r="K57" s="17" t="n">
        <v>309</v>
      </c>
      <c r="L57" s="13" t="n">
        <f aca="false">IF(INDEX(選手一覧!$D$7:$D$2738,$K57)="","",INDEX(選手一覧!$D$7:$D$2738,$K57))</f>
        <v>0.010459375</v>
      </c>
      <c r="M57" s="14" t="n">
        <f aca="false">IF(INDEX(選手一覧!$E$7:$E$2738,$K57)="","",INDEX(選手一覧!$E$7:$E$2738,$K57))</f>
        <v>310</v>
      </c>
      <c r="N57" s="16" t="str">
        <f aca="false">IF(INDEX(選手一覧!$H$7:$H$2738,$K57)="","",INDEX(選手一覧!$H$7:$H$2738,$K57))</f>
        <v/>
      </c>
      <c r="O57" s="17" t="str">
        <f aca="false">IF(INDEX(選手一覧!$I$7:$I$2738,$K57)="","",INDEX(選手一覧!$I$7:$I$2738,$K57))</f>
        <v/>
      </c>
      <c r="P57" s="16" t="str">
        <f aca="false">IF(INDEX(選手一覧!$J$7:$J$2738,$K57)="","",INDEX(選手一覧!$J$7:$J$2738,$K57))</f>
        <v/>
      </c>
      <c r="Q57" s="17" t="str">
        <f aca="false">IF(INDEX(選手一覧!$K$7:$K$2738,$K57)="","",INDEX(選手一覧!$K$7:$K$2738,$K57))</f>
        <v/>
      </c>
    </row>
    <row r="58" customFormat="false" ht="15" hidden="false" customHeight="false" outlineLevel="0" collapsed="false">
      <c r="A58" s="29" t="n">
        <v>4</v>
      </c>
      <c r="B58" s="30" t="n">
        <v>7.9</v>
      </c>
      <c r="C58" s="14" t="n">
        <v>10</v>
      </c>
      <c r="D58" s="17" t="n">
        <f aca="false">COUNTIFS($A$5:$A$115,A58,$E$5:$E$115,"&lt;"&amp;E58)+1</f>
        <v>4</v>
      </c>
      <c r="E58" s="31" t="n">
        <v>0.0169444444444445</v>
      </c>
      <c r="F58" s="31" t="n">
        <f aca="false">E58/B58</f>
        <v>0.00214486638537272</v>
      </c>
      <c r="G58" s="12" t="s">
        <v>4691</v>
      </c>
      <c r="H58" s="12" t="s">
        <v>4602</v>
      </c>
      <c r="I58" s="10"/>
      <c r="J58" s="17" t="n">
        <v>16</v>
      </c>
      <c r="K58" s="17" t="n">
        <v>376</v>
      </c>
      <c r="L58" s="13" t="n">
        <f aca="false">IF(INDEX(選手一覧!$D$7:$D$2738,$K58)="","",INDEX(選手一覧!$D$7:$D$2738,$K58))</f>
        <v>0.0105350694444444</v>
      </c>
      <c r="M58" s="14" t="n">
        <f aca="false">IF(INDEX(選手一覧!$E$7:$E$2738,$K58)="","",INDEX(選手一覧!$E$7:$E$2738,$K58))</f>
        <v>377</v>
      </c>
      <c r="N58" s="16" t="str">
        <f aca="false">IF(INDEX(選手一覧!$H$7:$H$2738,$K58)="","",INDEX(選手一覧!$H$7:$H$2738,$K58))</f>
        <v/>
      </c>
      <c r="O58" s="17" t="str">
        <f aca="false">IF(INDEX(選手一覧!$I$7:$I$2738,$K58)="","",INDEX(選手一覧!$I$7:$I$2738,$K58))</f>
        <v/>
      </c>
      <c r="P58" s="16" t="n">
        <f aca="false">IF(INDEX(選手一覧!$J$7:$J$2738,$K58)="","",INDEX(選手一覧!$J$7:$J$2738,$K58))</f>
        <v>0.00281574074074074</v>
      </c>
      <c r="Q58" s="17" t="n">
        <f aca="false">IF(INDEX(選手一覧!$K$7:$K$2738,$K58)="","",INDEX(選手一覧!$K$7:$K$2738,$K58))</f>
        <v>344</v>
      </c>
    </row>
    <row r="59" customFormat="false" ht="15" hidden="false" customHeight="false" outlineLevel="0" collapsed="false">
      <c r="A59" s="29" t="n">
        <v>4</v>
      </c>
      <c r="B59" s="30" t="n">
        <v>7.9</v>
      </c>
      <c r="C59" s="14" t="n">
        <v>13</v>
      </c>
      <c r="D59" s="17" t="n">
        <f aca="false">COUNTIFS($A$5:$A$115,A59,$E$5:$E$115,"&lt;"&amp;E59)+1</f>
        <v>5</v>
      </c>
      <c r="E59" s="31" t="n">
        <v>0.0171180555555556</v>
      </c>
      <c r="F59" s="31" t="n">
        <f aca="false">E59/B59</f>
        <v>0.00216684247538678</v>
      </c>
      <c r="G59" s="12" t="s">
        <v>4692</v>
      </c>
      <c r="H59" s="12" t="s">
        <v>4648</v>
      </c>
      <c r="I59" s="10"/>
      <c r="J59" s="17" t="n">
        <v>14</v>
      </c>
      <c r="K59" s="17" t="n">
        <v>594</v>
      </c>
      <c r="L59" s="13" t="n">
        <f aca="false">IF(INDEX(選手一覧!$D$7:$D$2738,$K59)="","",INDEX(選手一覧!$D$7:$D$2738,$K59))</f>
        <v>0.0107081018518519</v>
      </c>
      <c r="M59" s="14" t="n">
        <f aca="false">IF(INDEX(選手一覧!$E$7:$E$2738,$K59)="","",INDEX(選手一覧!$E$7:$E$2738,$K59))</f>
        <v>595</v>
      </c>
      <c r="N59" s="16" t="str">
        <f aca="false">IF(INDEX(選手一覧!$H$7:$H$2738,$K59)="","",INDEX(選手一覧!$H$7:$H$2738,$K59))</f>
        <v/>
      </c>
      <c r="O59" s="17" t="str">
        <f aca="false">IF(INDEX(選手一覧!$I$7:$I$2738,$K59)="","",INDEX(選手一覧!$I$7:$I$2738,$K59))</f>
        <v/>
      </c>
      <c r="P59" s="16" t="n">
        <f aca="false">IF(INDEX(選手一覧!$J$7:$J$2738,$K59)="","",INDEX(選手一覧!$J$7:$J$2738,$K59))</f>
        <v>0.00285115740740741</v>
      </c>
      <c r="Q59" s="17" t="n">
        <f aca="false">IF(INDEX(選手一覧!$K$7:$K$2738,$K59)="","",INDEX(選手一覧!$K$7:$K$2738,$K59))</f>
        <v>576</v>
      </c>
    </row>
    <row r="60" customFormat="false" ht="15" hidden="false" customHeight="false" outlineLevel="0" collapsed="false">
      <c r="A60" s="29" t="n">
        <v>4</v>
      </c>
      <c r="B60" s="30" t="n">
        <v>7.9</v>
      </c>
      <c r="C60" s="14" t="n">
        <v>16</v>
      </c>
      <c r="D60" s="17" t="n">
        <f aca="false">COUNTIFS($A$5:$A$115,A60,$E$5:$E$115,"&lt;"&amp;E60)+1</f>
        <v>6</v>
      </c>
      <c r="E60" s="31" t="n">
        <v>0.0172337962962963</v>
      </c>
      <c r="F60" s="31" t="n">
        <f aca="false">E60/B60</f>
        <v>0.00218149320206282</v>
      </c>
      <c r="G60" s="12" t="s">
        <v>4693</v>
      </c>
      <c r="H60" s="12" t="s">
        <v>4669</v>
      </c>
      <c r="I60" s="10"/>
      <c r="J60" s="17" t="n">
        <v>21</v>
      </c>
      <c r="K60" s="17" t="n">
        <v>537</v>
      </c>
      <c r="L60" s="13" t="n">
        <f aca="false">IF(INDEX(選手一覧!$D$7:$D$2738,$K60)="","",INDEX(選手一覧!$D$7:$D$2738,$K60))</f>
        <v>0.0106627314814815</v>
      </c>
      <c r="M60" s="14" t="n">
        <f aca="false">IF(INDEX(選手一覧!$E$7:$E$2738,$K60)="","",INDEX(選手一覧!$E$7:$E$2738,$K60))</f>
        <v>538</v>
      </c>
      <c r="N60" s="16" t="str">
        <f aca="false">IF(INDEX(選手一覧!$H$7:$H$2738,$K60)="","",INDEX(選手一覧!$H$7:$H$2738,$K60))</f>
        <v/>
      </c>
      <c r="O60" s="17" t="str">
        <f aca="false">IF(INDEX(選手一覧!$I$7:$I$2738,$K60)="","",INDEX(選手一覧!$I$7:$I$2738,$K60))</f>
        <v/>
      </c>
      <c r="P60" s="16" t="str">
        <f aca="false">IF(INDEX(選手一覧!$J$7:$J$2738,$K60)="","",INDEX(選手一覧!$J$7:$J$2738,$K60))</f>
        <v/>
      </c>
      <c r="Q60" s="17" t="str">
        <f aca="false">IF(INDEX(選手一覧!$K$7:$K$2738,$K60)="","",INDEX(選手一覧!$K$7:$K$2738,$K60))</f>
        <v/>
      </c>
    </row>
    <row r="61" customFormat="false" ht="15" hidden="false" customHeight="false" outlineLevel="0" collapsed="false">
      <c r="A61" s="29" t="n">
        <v>4</v>
      </c>
      <c r="B61" s="30" t="n">
        <v>7.9</v>
      </c>
      <c r="C61" s="14" t="n">
        <v>17</v>
      </c>
      <c r="D61" s="17" t="n">
        <f aca="false">COUNTIFS($A$5:$A$115,A61,$E$5:$E$115,"&lt;"&amp;E61)+1</f>
        <v>7</v>
      </c>
      <c r="E61" s="31" t="n">
        <v>0.0172800925925926</v>
      </c>
      <c r="F61" s="31" t="n">
        <f aca="false">E61/B61</f>
        <v>0.00218735349273324</v>
      </c>
      <c r="G61" s="12" t="s">
        <v>4694</v>
      </c>
      <c r="H61" s="12" t="s">
        <v>4678</v>
      </c>
      <c r="I61" s="10"/>
      <c r="J61" s="17" t="n">
        <v>18</v>
      </c>
      <c r="K61" s="17" t="n">
        <v>302</v>
      </c>
      <c r="L61" s="13" t="n">
        <f aca="false">IF(INDEX(選手一覧!$D$7:$D$2738,$K61)="","",INDEX(選手一覧!$D$7:$D$2738,$K61))</f>
        <v>0.0104486111111111</v>
      </c>
      <c r="M61" s="14" t="n">
        <f aca="false">IF(INDEX(選手一覧!$E$7:$E$2738,$K61)="","",INDEX(選手一覧!$E$7:$E$2738,$K61))</f>
        <v>303</v>
      </c>
      <c r="N61" s="16" t="n">
        <f aca="false">IF(INDEX(選手一覧!$H$7:$H$2738,$K61)="","",INDEX(選手一覧!$H$7:$H$2738,$K61))</f>
        <v>0.00772731481481481</v>
      </c>
      <c r="O61" s="17" t="n">
        <f aca="false">IF(INDEX(選手一覧!$I$7:$I$2738,$K61)="","",INDEX(選手一覧!$I$7:$I$2738,$K61))</f>
        <v>1094</v>
      </c>
      <c r="P61" s="16" t="n">
        <f aca="false">IF(INDEX(選手一覧!$J$7:$J$2738,$K61)="","",INDEX(選手一覧!$J$7:$J$2738,$K61))</f>
        <v>0.00287083333333333</v>
      </c>
      <c r="Q61" s="17" t="n">
        <f aca="false">IF(INDEX(選手一覧!$K$7:$K$2738,$K61)="","",INDEX(選手一覧!$K$7:$K$2738,$K61))</f>
        <v>703</v>
      </c>
    </row>
    <row r="62" customFormat="false" ht="15" hidden="false" customHeight="false" outlineLevel="0" collapsed="false">
      <c r="A62" s="29" t="n">
        <v>4</v>
      </c>
      <c r="B62" s="30" t="n">
        <v>7.9</v>
      </c>
      <c r="C62" s="14" t="n">
        <v>18</v>
      </c>
      <c r="D62" s="17" t="n">
        <f aca="false">COUNTIFS($A$5:$A$115,A62,$E$5:$E$115,"&lt;"&amp;E62)+1</f>
        <v>8</v>
      </c>
      <c r="E62" s="31" t="n">
        <v>0.0173032407407407</v>
      </c>
      <c r="F62" s="31" t="n">
        <f aca="false">E62/B62</f>
        <v>0.00219028363806845</v>
      </c>
      <c r="G62" s="12" t="s">
        <v>4695</v>
      </c>
      <c r="H62" s="12" t="s">
        <v>4634</v>
      </c>
      <c r="I62" s="10"/>
      <c r="J62" s="17" t="n">
        <v>22</v>
      </c>
      <c r="K62" s="17" t="n">
        <v>614</v>
      </c>
      <c r="L62" s="13" t="n">
        <f aca="false">IF(INDEX(選手一覧!$D$7:$D$2738,$K62)="","",INDEX(選手一覧!$D$7:$D$2738,$K62))</f>
        <v>0.0107228009259259</v>
      </c>
      <c r="M62" s="14" t="n">
        <f aca="false">IF(INDEX(選手一覧!$E$7:$E$2738,$K62)="","",INDEX(選手一覧!$E$7:$E$2738,$K62))</f>
        <v>615</v>
      </c>
      <c r="N62" s="16" t="n">
        <f aca="false">IF(INDEX(選手一覧!$H$7:$H$2738,$K62)="","",INDEX(選手一覧!$H$7:$H$2738,$K62))</f>
        <v>0.00667372685185185</v>
      </c>
      <c r="O62" s="17" t="n">
        <f aca="false">IF(INDEX(選手一覧!$I$7:$I$2738,$K62)="","",INDEX(選手一覧!$I$7:$I$2738,$K62))</f>
        <v>93</v>
      </c>
      <c r="P62" s="16" t="n">
        <f aca="false">IF(INDEX(選手一覧!$J$7:$J$2738,$K62)="","",INDEX(選手一覧!$J$7:$J$2738,$K62))</f>
        <v>0.00285810185185185</v>
      </c>
      <c r="Q62" s="17" t="n">
        <f aca="false">IF(INDEX(選手一覧!$K$7:$K$2738,$K62)="","",INDEX(選手一覧!$K$7:$K$2738,$K62))</f>
        <v>622</v>
      </c>
    </row>
    <row r="63" customFormat="false" ht="15" hidden="false" customHeight="false" outlineLevel="0" collapsed="false">
      <c r="A63" s="29" t="n">
        <v>4</v>
      </c>
      <c r="B63" s="30" t="n">
        <v>7.9</v>
      </c>
      <c r="C63" s="14" t="n">
        <v>20</v>
      </c>
      <c r="D63" s="17" t="n">
        <f aca="false">COUNTIFS($A$5:$A$115,A63,$E$5:$E$115,"&lt;"&amp;E63)+1</f>
        <v>9</v>
      </c>
      <c r="E63" s="31" t="n">
        <v>0.0174305555555556</v>
      </c>
      <c r="F63" s="31" t="n">
        <f aca="false">E63/B63</f>
        <v>0.0022063994374121</v>
      </c>
      <c r="G63" s="12" t="s">
        <v>4696</v>
      </c>
      <c r="H63" s="12" t="s">
        <v>4610</v>
      </c>
      <c r="I63" s="10"/>
      <c r="J63" s="17" t="n">
        <v>12</v>
      </c>
      <c r="K63" s="17" t="n">
        <v>162</v>
      </c>
      <c r="L63" s="13" t="n">
        <f aca="false">IF(INDEX(選手一覧!$D$7:$D$2738,$K63)="","",INDEX(選手一覧!$D$7:$D$2738,$K63))</f>
        <v>0.0103019675925926</v>
      </c>
      <c r="M63" s="14" t="n">
        <f aca="false">IF(INDEX(選手一覧!$E$7:$E$2738,$K63)="","",INDEX(選手一覧!$E$7:$E$2738,$K63))</f>
        <v>163</v>
      </c>
      <c r="N63" s="16" t="n">
        <f aca="false">IF(INDEX(選手一覧!$H$7:$H$2738,$K63)="","",INDEX(選手一覧!$H$7:$H$2738,$K63))</f>
        <v>0.00693576388888889</v>
      </c>
      <c r="O63" s="17" t="n">
        <f aca="false">IF(INDEX(選手一覧!$I$7:$I$2738,$K63)="","",INDEX(選手一覧!$I$7:$I$2738,$K63))</f>
        <v>278</v>
      </c>
      <c r="P63" s="16" t="n">
        <f aca="false">IF(INDEX(選手一覧!$J$7:$J$2738,$K63)="","",INDEX(選手一覧!$J$7:$J$2738,$K63))</f>
        <v>0.00278275462962963</v>
      </c>
      <c r="Q63" s="17" t="n">
        <f aca="false">IF(INDEX(選手一覧!$K$7:$K$2738,$K63)="","",INDEX(選手一覧!$K$7:$K$2738,$K63))</f>
        <v>212</v>
      </c>
    </row>
    <row r="64" customFormat="false" ht="15" hidden="false" customHeight="false" outlineLevel="0" collapsed="false">
      <c r="A64" s="29" t="n">
        <v>4</v>
      </c>
      <c r="B64" s="30" t="n">
        <v>7.9</v>
      </c>
      <c r="C64" s="14" t="n">
        <v>25</v>
      </c>
      <c r="D64" s="17" t="n">
        <f aca="false">COUNTIFS($A$5:$A$115,A64,$E$5:$E$115,"&lt;"&amp;E64)+1</f>
        <v>10</v>
      </c>
      <c r="E64" s="31" t="n">
        <v>0.0176157407407407</v>
      </c>
      <c r="F64" s="31" t="n">
        <f aca="false">E64/B64</f>
        <v>0.00222984060009376</v>
      </c>
      <c r="G64" s="12" t="s">
        <v>4697</v>
      </c>
      <c r="H64" s="12" t="s">
        <v>4698</v>
      </c>
      <c r="I64" s="10"/>
      <c r="J64" s="17" t="n">
        <v>27</v>
      </c>
      <c r="K64" s="17" t="n">
        <v>896</v>
      </c>
      <c r="L64" s="13" t="n">
        <f aca="false">IF(INDEX(選手一覧!$D$7:$D$2738,$K64)="","",INDEX(選手一覧!$D$7:$D$2738,$K64))</f>
        <v>0.0108834490740741</v>
      </c>
      <c r="M64" s="14" t="n">
        <f aca="false">IF(INDEX(選手一覧!$E$7:$E$2738,$K64)="","",INDEX(選手一覧!$E$7:$E$2738,$K64))</f>
        <v>897</v>
      </c>
      <c r="N64" s="16" t="str">
        <f aca="false">IF(INDEX(選手一覧!$H$7:$H$2738,$K64)="","",INDEX(選手一覧!$H$7:$H$2738,$K64))</f>
        <v/>
      </c>
      <c r="O64" s="17" t="str">
        <f aca="false">IF(INDEX(選手一覧!$I$7:$I$2738,$K64)="","",INDEX(選手一覧!$I$7:$I$2738,$K64))</f>
        <v/>
      </c>
      <c r="P64" s="16" t="n">
        <f aca="false">IF(INDEX(選手一覧!$J$7:$J$2738,$K64)="","",INDEX(選手一覧!$J$7:$J$2738,$K64))</f>
        <v>0.00288657407407407</v>
      </c>
      <c r="Q64" s="17" t="n">
        <f aca="false">IF(INDEX(選手一覧!$K$7:$K$2738,$K64)="","",INDEX(選手一覧!$K$7:$K$2738,$K64))</f>
        <v>828</v>
      </c>
    </row>
    <row r="65" customFormat="false" ht="15" hidden="false" customHeight="false" outlineLevel="0" collapsed="false">
      <c r="A65" s="29" t="n">
        <v>4</v>
      </c>
      <c r="B65" s="30" t="n">
        <v>7.9</v>
      </c>
      <c r="C65" s="14" t="n">
        <v>28</v>
      </c>
      <c r="D65" s="17" t="n">
        <f aca="false">COUNTIFS($A$5:$A$115,A65,$E$5:$E$115,"&lt;"&amp;E65)+1</f>
        <v>11</v>
      </c>
      <c r="E65" s="31" t="n">
        <v>0.0176736111111111</v>
      </c>
      <c r="F65" s="31" t="n">
        <f aca="false">E65/B65</f>
        <v>0.00223716596343179</v>
      </c>
      <c r="G65" s="12" t="s">
        <v>4699</v>
      </c>
      <c r="H65" s="12" t="s">
        <v>4700</v>
      </c>
      <c r="I65" s="10"/>
      <c r="J65" s="17" t="n">
        <v>36</v>
      </c>
      <c r="K65" s="17" t="n">
        <v>492</v>
      </c>
      <c r="L65" s="13" t="n">
        <f aca="false">IF(INDEX(選手一覧!$D$7:$D$2738,$K65)="","",INDEX(選手一覧!$D$7:$D$2738,$K65))</f>
        <v>0.0106174768518519</v>
      </c>
      <c r="M65" s="14" t="n">
        <f aca="false">IF(INDEX(選手一覧!$E$7:$E$2738,$K65)="","",INDEX(選手一覧!$E$7:$E$2738,$K65))</f>
        <v>493</v>
      </c>
      <c r="N65" s="16" t="str">
        <f aca="false">IF(INDEX(選手一覧!$H$7:$H$2738,$K65)="","",INDEX(選手一覧!$H$7:$H$2738,$K65))</f>
        <v/>
      </c>
      <c r="O65" s="17" t="str">
        <f aca="false">IF(INDEX(選手一覧!$I$7:$I$2738,$K65)="","",INDEX(選手一覧!$I$7:$I$2738,$K65))</f>
        <v/>
      </c>
      <c r="P65" s="16" t="str">
        <f aca="false">IF(INDEX(選手一覧!$J$7:$J$2738,$K65)="","",INDEX(選手一覧!$J$7:$J$2738,$K65))</f>
        <v/>
      </c>
      <c r="Q65" s="17" t="str">
        <f aca="false">IF(INDEX(選手一覧!$K$7:$K$2738,$K65)="","",INDEX(選手一覧!$K$7:$K$2738,$K65))</f>
        <v/>
      </c>
    </row>
    <row r="66" customFormat="false" ht="15" hidden="false" customHeight="false" outlineLevel="0" collapsed="false">
      <c r="A66" s="29" t="n">
        <v>4</v>
      </c>
      <c r="B66" s="30" t="n">
        <v>7.9</v>
      </c>
      <c r="C66" s="14" t="n">
        <v>31</v>
      </c>
      <c r="D66" s="17" t="n">
        <f aca="false">COUNTIFS($A$5:$A$115,A66,$E$5:$E$115,"&lt;"&amp;E66)+1</f>
        <v>12</v>
      </c>
      <c r="E66" s="31" t="n">
        <v>0.0177083333333333</v>
      </c>
      <c r="F66" s="31" t="n">
        <f aca="false">E66/B66</f>
        <v>0.0022415611814346</v>
      </c>
      <c r="G66" s="12" t="s">
        <v>4701</v>
      </c>
      <c r="H66" s="12" t="s">
        <v>4620</v>
      </c>
      <c r="I66" s="10"/>
      <c r="J66" s="17" t="n">
        <v>29</v>
      </c>
      <c r="K66" s="17" t="n">
        <v>481</v>
      </c>
      <c r="L66" s="13" t="n">
        <f aca="false">IF(INDEX(選手一覧!$D$7:$D$2738,$K66)="","",INDEX(選手一覧!$D$7:$D$2738,$K66))</f>
        <v>0.0106128472222222</v>
      </c>
      <c r="M66" s="14" t="n">
        <f aca="false">IF(INDEX(選手一覧!$E$7:$E$2738,$K66)="","",INDEX(選手一覧!$E$7:$E$2738,$K66))</f>
        <v>482</v>
      </c>
      <c r="N66" s="16" t="n">
        <f aca="false">IF(INDEX(選手一覧!$H$7:$H$2738,$K66)="","",INDEX(選手一覧!$H$7:$H$2738,$K66))</f>
        <v>0.00723171296296296</v>
      </c>
      <c r="O66" s="17" t="n">
        <f aca="false">IF(INDEX(選手一覧!$I$7:$I$2738,$K66)="","",INDEX(選手一覧!$I$7:$I$2738,$K66))</f>
        <v>576</v>
      </c>
      <c r="P66" s="16" t="n">
        <f aca="false">IF(INDEX(選手一覧!$J$7:$J$2738,$K66)="","",INDEX(選手一覧!$J$7:$J$2738,$K66))</f>
        <v>0.00281458333333333</v>
      </c>
      <c r="Q66" s="17" t="n">
        <f aca="false">IF(INDEX(選手一覧!$K$7:$K$2738,$K66)="","",INDEX(選手一覧!$K$7:$K$2738,$K66))</f>
        <v>341</v>
      </c>
    </row>
    <row r="67" customFormat="false" ht="15" hidden="false" customHeight="false" outlineLevel="0" collapsed="false">
      <c r="A67" s="29" t="n">
        <v>4</v>
      </c>
      <c r="B67" s="30" t="n">
        <v>7.9</v>
      </c>
      <c r="C67" s="14" t="n">
        <v>33</v>
      </c>
      <c r="D67" s="17" t="n">
        <f aca="false">COUNTIFS($A$5:$A$115,A67,$E$5:$E$115,"&lt;"&amp;E67)+1</f>
        <v>13</v>
      </c>
      <c r="E67" s="31" t="n">
        <v>0.0178819444444444</v>
      </c>
      <c r="F67" s="31" t="n">
        <f aca="false">E67/B67</f>
        <v>0.00226353727144866</v>
      </c>
      <c r="G67" s="12" t="s">
        <v>4702</v>
      </c>
      <c r="H67" s="12" t="s">
        <v>4659</v>
      </c>
      <c r="I67" s="10"/>
      <c r="J67" s="17" t="n">
        <v>31</v>
      </c>
      <c r="K67" s="17" t="n">
        <v>630</v>
      </c>
      <c r="L67" s="13" t="n">
        <f aca="false">IF(INDEX(選手一覧!$D$7:$D$2738,$K67)="","",INDEX(選手一覧!$D$7:$D$2738,$K67))</f>
        <v>0.0107291666666667</v>
      </c>
      <c r="M67" s="14" t="n">
        <f aca="false">IF(INDEX(選手一覧!$E$7:$E$2738,$K67)="","",INDEX(選手一覧!$E$7:$E$2738,$K67))</f>
        <v>631</v>
      </c>
      <c r="N67" s="16" t="str">
        <f aca="false">IF(INDEX(選手一覧!$H$7:$H$2738,$K67)="","",INDEX(選手一覧!$H$7:$H$2738,$K67))</f>
        <v/>
      </c>
      <c r="O67" s="17" t="str">
        <f aca="false">IF(INDEX(選手一覧!$I$7:$I$2738,$K67)="","",INDEX(選手一覧!$I$7:$I$2738,$K67))</f>
        <v/>
      </c>
      <c r="P67" s="16" t="n">
        <f aca="false">IF(INDEX(選手一覧!$J$7:$J$2738,$K67)="","",INDEX(選手一覧!$J$7:$J$2738,$K67))</f>
        <v>0.0029412037037037</v>
      </c>
      <c r="Q67" s="17" t="n">
        <f aca="false">IF(INDEX(選手一覧!$K$7:$K$2738,$K67)="","",INDEX(選手一覧!$K$7:$K$2738,$K67))</f>
        <v>1203</v>
      </c>
    </row>
    <row r="68" customFormat="false" ht="15" hidden="false" customHeight="false" outlineLevel="0" collapsed="false">
      <c r="A68" s="29" t="n">
        <v>4</v>
      </c>
      <c r="B68" s="30" t="n">
        <v>7.9</v>
      </c>
      <c r="C68" s="14" t="n">
        <v>38</v>
      </c>
      <c r="D68" s="17" t="n">
        <f aca="false">COUNTIFS($A$5:$A$115,A68,$E$5:$E$115,"&lt;"&amp;E68)+1</f>
        <v>14</v>
      </c>
      <c r="E68" s="31" t="n">
        <v>0.0180092592592593</v>
      </c>
      <c r="F68" s="31" t="n">
        <f aca="false">E68/B68</f>
        <v>0.00227965307079231</v>
      </c>
      <c r="G68" s="12" t="s">
        <v>4703</v>
      </c>
      <c r="H68" s="12" t="s">
        <v>4624</v>
      </c>
      <c r="I68" s="10"/>
      <c r="J68" s="17" t="n">
        <v>42</v>
      </c>
      <c r="K68" s="17" t="n">
        <v>800</v>
      </c>
      <c r="L68" s="13" t="n">
        <f aca="false">IF(INDEX(選手一覧!$D$7:$D$2738,$K68)="","",INDEX(選手一覧!$D$7:$D$2738,$K68))</f>
        <v>0.0108334490740741</v>
      </c>
      <c r="M68" s="14" t="n">
        <f aca="false">IF(INDEX(選手一覧!$E$7:$E$2738,$K68)="","",INDEX(選手一覧!$E$7:$E$2738,$K68))</f>
        <v>801</v>
      </c>
      <c r="N68" s="16" t="str">
        <f aca="false">IF(INDEX(選手一覧!$H$7:$H$2738,$K68)="","",INDEX(選手一覧!$H$7:$H$2738,$K68))</f>
        <v/>
      </c>
      <c r="O68" s="17" t="str">
        <f aca="false">IF(INDEX(選手一覧!$I$7:$I$2738,$K68)="","",INDEX(選手一覧!$I$7:$I$2738,$K68))</f>
        <v/>
      </c>
      <c r="P68" s="16" t="n">
        <f aca="false">IF(INDEX(選手一覧!$J$7:$J$2738,$K68)="","",INDEX(選手一覧!$J$7:$J$2738,$K68))</f>
        <v>0.00292476851851852</v>
      </c>
      <c r="Q68" s="17" t="n">
        <f aca="false">IF(INDEX(選手一覧!$K$7:$K$2738,$K68)="","",INDEX(選手一覧!$K$7:$K$2738,$K68))</f>
        <v>1144</v>
      </c>
    </row>
    <row r="69" customFormat="false" ht="15" hidden="false" customHeight="false" outlineLevel="0" collapsed="false">
      <c r="A69" s="29" t="n">
        <v>4</v>
      </c>
      <c r="B69" s="30" t="n">
        <v>7.9</v>
      </c>
      <c r="C69" s="14" t="n">
        <v>40</v>
      </c>
      <c r="D69" s="17" t="n">
        <f aca="false">COUNTIFS($A$5:$A$115,A69,$E$5:$E$115,"&lt;"&amp;E69)+1</f>
        <v>15</v>
      </c>
      <c r="E69" s="31" t="n">
        <v>0.018125</v>
      </c>
      <c r="F69" s="31" t="n">
        <f aca="false">E69/B69</f>
        <v>0.00229430379746835</v>
      </c>
      <c r="G69" s="12" t="s">
        <v>4704</v>
      </c>
      <c r="H69" s="12" t="s">
        <v>4705</v>
      </c>
      <c r="I69" s="10"/>
      <c r="J69" s="17" t="n">
        <v>35</v>
      </c>
      <c r="K69" s="17" t="n">
        <v>798</v>
      </c>
      <c r="L69" s="13" t="n">
        <f aca="false">IF(INDEX(選手一覧!$D$7:$D$2738,$K69)="","",INDEX(選手一覧!$D$7:$D$2738,$K69))</f>
        <v>0.0108329861111111</v>
      </c>
      <c r="M69" s="14" t="n">
        <f aca="false">IF(INDEX(選手一覧!$E$7:$E$2738,$K69)="","",INDEX(選手一覧!$E$7:$E$2738,$K69))</f>
        <v>799</v>
      </c>
      <c r="N69" s="16" t="n">
        <f aca="false">IF(INDEX(選手一覧!$H$7:$H$2738,$K69)="","",INDEX(選手一覧!$H$7:$H$2738,$K69))</f>
        <v>0.00678356481481482</v>
      </c>
      <c r="O69" s="17" t="n">
        <f aca="false">IF(INDEX(選手一覧!$I$7:$I$2738,$K69)="","",INDEX(選手一覧!$I$7:$I$2738,$K69))</f>
        <v>158</v>
      </c>
      <c r="P69" s="16" t="n">
        <f aca="false">IF(INDEX(選手一覧!$J$7:$J$2738,$K69)="","",INDEX(選手一覧!$J$7:$J$2738,$K69))</f>
        <v>0.00286273148148148</v>
      </c>
      <c r="Q69" s="17" t="n">
        <f aca="false">IF(INDEX(選手一覧!$K$7:$K$2738,$K69)="","",INDEX(選手一覧!$K$7:$K$2738,$K69))</f>
        <v>655</v>
      </c>
    </row>
    <row r="70" customFormat="false" ht="15" hidden="false" customHeight="false" outlineLevel="0" collapsed="false">
      <c r="A70" s="29" t="n">
        <v>4</v>
      </c>
      <c r="B70" s="30" t="n">
        <v>7.9</v>
      </c>
      <c r="C70" s="14" t="n">
        <v>46</v>
      </c>
      <c r="D70" s="17" t="n">
        <f aca="false">COUNTIFS($A$5:$A$115,A70,$E$5:$E$115,"&lt;"&amp;E70)+1</f>
        <v>16</v>
      </c>
      <c r="E70" s="31" t="n">
        <v>0.0184375</v>
      </c>
      <c r="F70" s="31" t="n">
        <f aca="false">E70/B70</f>
        <v>0.00233386075949367</v>
      </c>
      <c r="G70" s="12" t="s">
        <v>4706</v>
      </c>
      <c r="H70" s="12" t="s">
        <v>4630</v>
      </c>
      <c r="I70" s="10"/>
      <c r="J70" s="17" t="n">
        <v>52</v>
      </c>
      <c r="K70" s="17" t="n">
        <v>1100</v>
      </c>
      <c r="L70" s="13" t="n">
        <f aca="false">IF(INDEX(選手一覧!$D$7:$D$2738,$K70)="","",INDEX(選手一覧!$D$7:$D$2738,$K70))</f>
        <v>0.0110046296296296</v>
      </c>
      <c r="M70" s="14" t="n">
        <f aca="false">IF(INDEX(選手一覧!$E$7:$E$2738,$K70)="","",INDEX(選手一覧!$E$7:$E$2738,$K70))</f>
        <v>1101</v>
      </c>
      <c r="N70" s="16" t="str">
        <f aca="false">IF(INDEX(選手一覧!$H$7:$H$2738,$K70)="","",INDEX(選手一覧!$H$7:$H$2738,$K70))</f>
        <v/>
      </c>
      <c r="O70" s="17" t="str">
        <f aca="false">IF(INDEX(選手一覧!$I$7:$I$2738,$K70)="","",INDEX(選手一覧!$I$7:$I$2738,$K70))</f>
        <v/>
      </c>
      <c r="P70" s="16" t="n">
        <f aca="false">IF(INDEX(選手一覧!$J$7:$J$2738,$K70)="","",INDEX(選手一覧!$J$7:$J$2738,$K70))</f>
        <v>0.0028599537037037</v>
      </c>
      <c r="Q70" s="17" t="n">
        <f aca="false">IF(INDEX(選手一覧!$K$7:$K$2738,$K70)="","",INDEX(選手一覧!$K$7:$K$2738,$K70))</f>
        <v>634</v>
      </c>
    </row>
    <row r="71" customFormat="false" ht="15" hidden="false" customHeight="false" outlineLevel="0" collapsed="false">
      <c r="A71" s="29" t="n">
        <v>4</v>
      </c>
      <c r="B71" s="30" t="n">
        <v>7.9</v>
      </c>
      <c r="C71" s="14" t="n">
        <v>49</v>
      </c>
      <c r="D71" s="17" t="n">
        <f aca="false">COUNTIFS($A$5:$A$115,A71,$E$5:$E$115,"&lt;"&amp;E71)+1</f>
        <v>17</v>
      </c>
      <c r="E71" s="31" t="n">
        <v>0.0185300925925926</v>
      </c>
      <c r="F71" s="31" t="n">
        <f aca="false">E71/B71</f>
        <v>0.00234558134083451</v>
      </c>
      <c r="G71" s="12" t="s">
        <v>4707</v>
      </c>
      <c r="H71" s="12" t="s">
        <v>4683</v>
      </c>
      <c r="I71" s="10"/>
      <c r="J71" s="17" t="n">
        <v>46</v>
      </c>
      <c r="K71" s="17" t="n">
        <v>801</v>
      </c>
      <c r="L71" s="13" t="n">
        <f aca="false">IF(INDEX(選手一覧!$D$7:$D$2738,$K71)="","",INDEX(選手一覧!$D$7:$D$2738,$K71))</f>
        <v>0.0108364583333333</v>
      </c>
      <c r="M71" s="14" t="n">
        <f aca="false">IF(INDEX(選手一覧!$E$7:$E$2738,$K71)="","",INDEX(選手一覧!$E$7:$E$2738,$K71))</f>
        <v>802</v>
      </c>
      <c r="N71" s="16" t="str">
        <f aca="false">IF(INDEX(選手一覧!$H$7:$H$2738,$K71)="","",INDEX(選手一覧!$H$7:$H$2738,$K71))</f>
        <v/>
      </c>
      <c r="O71" s="17" t="str">
        <f aca="false">IF(INDEX(選手一覧!$I$7:$I$2738,$K71)="","",INDEX(選手一覧!$I$7:$I$2738,$K71))</f>
        <v/>
      </c>
      <c r="P71" s="16" t="str">
        <f aca="false">IF(INDEX(選手一覧!$J$7:$J$2738,$K71)="","",INDEX(選手一覧!$J$7:$J$2738,$K71))</f>
        <v/>
      </c>
      <c r="Q71" s="17" t="str">
        <f aca="false">IF(INDEX(選手一覧!$K$7:$K$2738,$K71)="","",INDEX(選手一覧!$K$7:$K$2738,$K71))</f>
        <v/>
      </c>
    </row>
    <row r="72" customFormat="false" ht="15" hidden="false" customHeight="false" outlineLevel="0" collapsed="false">
      <c r="A72" s="29" t="n">
        <v>4</v>
      </c>
      <c r="B72" s="30" t="n">
        <v>7.9</v>
      </c>
      <c r="C72" s="14" t="n">
        <v>51</v>
      </c>
      <c r="D72" s="17" t="n">
        <f aca="false">COUNTIFS($A$5:$A$115,A72,$E$5:$E$115,"&lt;"&amp;E72)+1</f>
        <v>18</v>
      </c>
      <c r="E72" s="31" t="n">
        <v>0.0188541666666667</v>
      </c>
      <c r="F72" s="31" t="n">
        <f aca="false">E72/B72</f>
        <v>0.00238660337552743</v>
      </c>
      <c r="G72" s="12" t="s">
        <v>4708</v>
      </c>
      <c r="H72" s="12" t="s">
        <v>4709</v>
      </c>
      <c r="I72" s="10"/>
      <c r="J72" s="17" t="n">
        <v>40</v>
      </c>
      <c r="K72" s="17" t="n">
        <v>1280</v>
      </c>
      <c r="L72" s="13" t="n">
        <f aca="false">IF(INDEX(選手一覧!$D$7:$D$2738,$K72)="","",INDEX(選手一覧!$D$7:$D$2738,$K72))</f>
        <v>0.0111152777777778</v>
      </c>
      <c r="M72" s="14" t="n">
        <f aca="false">IF(INDEX(選手一覧!$E$7:$E$2738,$K72)="","",INDEX(選手一覧!$E$7:$E$2738,$K72))</f>
        <v>1281</v>
      </c>
      <c r="N72" s="16" t="str">
        <f aca="false">IF(INDEX(選手一覧!$H$7:$H$2738,$K72)="","",INDEX(選手一覧!$H$7:$H$2738,$K72))</f>
        <v/>
      </c>
      <c r="O72" s="17" t="str">
        <f aca="false">IF(INDEX(選手一覧!$I$7:$I$2738,$K72)="","",INDEX(選手一覧!$I$7:$I$2738,$K72))</f>
        <v/>
      </c>
      <c r="P72" s="16" t="n">
        <f aca="false">IF(INDEX(選手一覧!$J$7:$J$2738,$K72)="","",INDEX(選手一覧!$J$7:$J$2738,$K72))</f>
        <v>0.00296331018518519</v>
      </c>
      <c r="Q72" s="17" t="n">
        <f aca="false">IF(INDEX(選手一覧!$K$7:$K$2738,$K72)="","",INDEX(選手一覧!$K$7:$K$2738,$K72))</f>
        <v>1284</v>
      </c>
    </row>
    <row r="73" customFormat="false" ht="15" hidden="false" customHeight="false" outlineLevel="0" collapsed="false">
      <c r="A73" s="23" t="n">
        <v>5</v>
      </c>
      <c r="B73" s="24" t="n">
        <v>3</v>
      </c>
      <c r="C73" s="14" t="n">
        <v>3</v>
      </c>
      <c r="D73" s="25" t="n">
        <f aca="false">COUNTIFS($A$5:$A$115,A73,$E$5:$E$115,"&lt;"&amp;E73)+1</f>
        <v>1</v>
      </c>
      <c r="E73" s="26" t="n">
        <v>0.00585648148148148</v>
      </c>
      <c r="F73" s="26" t="n">
        <f aca="false">E73/B73</f>
        <v>0.00195216049382716</v>
      </c>
      <c r="G73" s="27" t="s">
        <v>4710</v>
      </c>
      <c r="H73" s="27" t="s">
        <v>4632</v>
      </c>
      <c r="I73" s="28"/>
      <c r="J73" s="25" t="n">
        <v>1</v>
      </c>
      <c r="K73" s="25" t="n">
        <v>45</v>
      </c>
      <c r="L73" s="13" t="n">
        <f aca="false">IF(INDEX(選手一覧!$D$7:$D$2738,$K73)="","",INDEX(選手一覧!$D$7:$D$2738,$K73))</f>
        <v>0.0100895833333333</v>
      </c>
      <c r="M73" s="14" t="n">
        <f aca="false">IF(INDEX(選手一覧!$E$7:$E$2738,$K73)="","",INDEX(選手一覧!$E$7:$E$2738,$K73))</f>
        <v>46</v>
      </c>
      <c r="N73" s="16" t="str">
        <f aca="false">IF(INDEX(選手一覧!$H$7:$H$2738,$K73)="","",INDEX(選手一覧!$H$7:$H$2738,$K73))</f>
        <v/>
      </c>
      <c r="O73" s="17" t="str">
        <f aca="false">IF(INDEX(選手一覧!$I$7:$I$2738,$K73)="","",INDEX(選手一覧!$I$7:$I$2738,$K73))</f>
        <v/>
      </c>
      <c r="P73" s="16" t="n">
        <f aca="false">IF(INDEX(選手一覧!$J$7:$J$2738,$K73)="","",INDEX(選手一覧!$J$7:$J$2738,$K73))</f>
        <v>0.00271238425925926</v>
      </c>
      <c r="Q73" s="17" t="n">
        <f aca="false">IF(INDEX(選手一覧!$K$7:$K$2738,$K73)="","",INDEX(選手一覧!$K$7:$K$2738,$K73))</f>
        <v>38</v>
      </c>
    </row>
    <row r="74" customFormat="false" ht="15" hidden="false" customHeight="false" outlineLevel="0" collapsed="false">
      <c r="A74" s="23" t="n">
        <v>5</v>
      </c>
      <c r="B74" s="24" t="n">
        <v>3</v>
      </c>
      <c r="C74" s="14" t="n">
        <v>4</v>
      </c>
      <c r="D74" s="25" t="n">
        <f aca="false">COUNTIFS($A$5:$A$115,A74,$E$5:$E$115,"&lt;"&amp;E74)+1</f>
        <v>2</v>
      </c>
      <c r="E74" s="26" t="n">
        <v>0.00587962962962963</v>
      </c>
      <c r="F74" s="26" t="n">
        <f aca="false">E74/B74</f>
        <v>0.00195987654320988</v>
      </c>
      <c r="G74" s="27" t="s">
        <v>4711</v>
      </c>
      <c r="H74" s="27" t="s">
        <v>4610</v>
      </c>
      <c r="I74" s="28"/>
      <c r="J74" s="25" t="n">
        <v>12</v>
      </c>
      <c r="K74" s="25" t="n">
        <v>213</v>
      </c>
      <c r="L74" s="13" t="n">
        <f aca="false">IF(INDEX(選手一覧!$D$7:$D$2738,$K74)="","",INDEX(選手一覧!$D$7:$D$2738,$K74))</f>
        <v>0.0103591435185185</v>
      </c>
      <c r="M74" s="14" t="n">
        <f aca="false">IF(INDEX(選手一覧!$E$7:$E$2738,$K74)="","",INDEX(選手一覧!$E$7:$E$2738,$K74))</f>
        <v>214</v>
      </c>
      <c r="N74" s="16" t="str">
        <f aca="false">IF(INDEX(選手一覧!$H$7:$H$2738,$K74)="","",INDEX(選手一覧!$H$7:$H$2738,$K74))</f>
        <v/>
      </c>
      <c r="O74" s="17" t="str">
        <f aca="false">IF(INDEX(選手一覧!$I$7:$I$2738,$K74)="","",INDEX(選手一覧!$I$7:$I$2738,$K74))</f>
        <v/>
      </c>
      <c r="P74" s="16" t="n">
        <f aca="false">IF(INDEX(選手一覧!$J$7:$J$2738,$K74)="","",INDEX(選手一覧!$J$7:$J$2738,$K74))</f>
        <v>0.00284479166666667</v>
      </c>
      <c r="Q74" s="17" t="n">
        <f aca="false">IF(INDEX(選手一覧!$K$7:$K$2738,$K74)="","",INDEX(選手一覧!$K$7:$K$2738,$K74))</f>
        <v>533</v>
      </c>
    </row>
    <row r="75" customFormat="false" ht="15" hidden="false" customHeight="false" outlineLevel="0" collapsed="false">
      <c r="A75" s="23" t="n">
        <v>5</v>
      </c>
      <c r="B75" s="24" t="n">
        <v>3</v>
      </c>
      <c r="C75" s="14" t="n">
        <v>9</v>
      </c>
      <c r="D75" s="25" t="n">
        <f aca="false">COUNTIFS($A$5:$A$115,A75,$E$5:$E$115,"&lt;"&amp;E75)+1</f>
        <v>3</v>
      </c>
      <c r="E75" s="26" t="n">
        <v>0.00605324074074074</v>
      </c>
      <c r="F75" s="26" t="n">
        <f aca="false">E75/B75</f>
        <v>0.00201774691358025</v>
      </c>
      <c r="G75" s="27" t="s">
        <v>4712</v>
      </c>
      <c r="H75" s="27" t="s">
        <v>4713</v>
      </c>
      <c r="I75" s="28"/>
      <c r="J75" s="25" t="n">
        <v>3</v>
      </c>
      <c r="K75" s="25" t="n">
        <v>133</v>
      </c>
      <c r="L75" s="13" t="n">
        <f aca="false">IF(INDEX(選手一覧!$D$7:$D$2738,$K75)="","",INDEX(選手一覧!$D$7:$D$2738,$K75))</f>
        <v>0.0102667824074074</v>
      </c>
      <c r="M75" s="14" t="n">
        <f aca="false">IF(INDEX(選手一覧!$E$7:$E$2738,$K75)="","",INDEX(選手一覧!$E$7:$E$2738,$K75))</f>
        <v>134</v>
      </c>
      <c r="N75" s="16" t="str">
        <f aca="false">IF(INDEX(選手一覧!$H$7:$H$2738,$K75)="","",INDEX(選手一覧!$H$7:$H$2738,$K75))</f>
        <v/>
      </c>
      <c r="O75" s="17" t="str">
        <f aca="false">IF(INDEX(選手一覧!$I$7:$I$2738,$K75)="","",INDEX(選手一覧!$I$7:$I$2738,$K75))</f>
        <v/>
      </c>
      <c r="P75" s="16" t="str">
        <f aca="false">IF(INDEX(選手一覧!$J$7:$J$2738,$K75)="","",INDEX(選手一覧!$J$7:$J$2738,$K75))</f>
        <v/>
      </c>
      <c r="Q75" s="17" t="str">
        <f aca="false">IF(INDEX(選手一覧!$K$7:$K$2738,$K75)="","",INDEX(選手一覧!$K$7:$K$2738,$K75))</f>
        <v/>
      </c>
    </row>
    <row r="76" customFormat="false" ht="15" hidden="false" customHeight="false" outlineLevel="0" collapsed="false">
      <c r="A76" s="23" t="n">
        <v>5</v>
      </c>
      <c r="B76" s="24" t="n">
        <v>3</v>
      </c>
      <c r="C76" s="14" t="n">
        <v>11</v>
      </c>
      <c r="D76" s="25" t="n">
        <f aca="false">COUNTIFS($A$5:$A$115,A76,$E$5:$E$115,"&lt;"&amp;E76)+1</f>
        <v>4</v>
      </c>
      <c r="E76" s="26" t="n">
        <v>0.00608796296296296</v>
      </c>
      <c r="F76" s="26" t="n">
        <f aca="false">E76/B76</f>
        <v>0.00202932098765432</v>
      </c>
      <c r="G76" s="27" t="s">
        <v>4714</v>
      </c>
      <c r="H76" s="27" t="s">
        <v>4622</v>
      </c>
      <c r="I76" s="28"/>
      <c r="J76" s="25" t="n">
        <v>33</v>
      </c>
      <c r="K76" s="25" t="n">
        <v>684</v>
      </c>
      <c r="L76" s="13" t="n">
        <f aca="false">IF(INDEX(選手一覧!$D$7:$D$2738,$K76)="","",INDEX(選手一覧!$D$7:$D$2738,$K76))</f>
        <v>0.0107623842592593</v>
      </c>
      <c r="M76" s="14" t="n">
        <f aca="false">IF(INDEX(選手一覧!$E$7:$E$2738,$K76)="","",INDEX(選手一覧!$E$7:$E$2738,$K76))</f>
        <v>685</v>
      </c>
      <c r="N76" s="16" t="str">
        <f aca="false">IF(INDEX(選手一覧!$H$7:$H$2738,$K76)="","",INDEX(選手一覧!$H$7:$H$2738,$K76))</f>
        <v/>
      </c>
      <c r="O76" s="17" t="str">
        <f aca="false">IF(INDEX(選手一覧!$I$7:$I$2738,$K76)="","",INDEX(選手一覧!$I$7:$I$2738,$K76))</f>
        <v/>
      </c>
      <c r="P76" s="16" t="n">
        <f aca="false">IF(INDEX(選手一覧!$J$7:$J$2738,$K76)="","",INDEX(選手一覧!$J$7:$J$2738,$K76))</f>
        <v>0.00273078703703704</v>
      </c>
      <c r="Q76" s="17" t="n">
        <f aca="false">IF(INDEX(選手一覧!$K$7:$K$2738,$K76)="","",INDEX(選手一覧!$K$7:$K$2738,$K76))</f>
        <v>66</v>
      </c>
    </row>
    <row r="77" customFormat="false" ht="15" hidden="false" customHeight="false" outlineLevel="0" collapsed="false">
      <c r="A77" s="23" t="n">
        <v>5</v>
      </c>
      <c r="B77" s="24" t="n">
        <v>3</v>
      </c>
      <c r="C77" s="14" t="n">
        <v>13</v>
      </c>
      <c r="D77" s="25" t="n">
        <f aca="false">COUNTIFS($A$5:$A$115,A77,$E$5:$E$115,"&lt;"&amp;E77)+1</f>
        <v>5</v>
      </c>
      <c r="E77" s="26" t="n">
        <v>0.00609953703703704</v>
      </c>
      <c r="F77" s="26" t="n">
        <f aca="false">E77/B77</f>
        <v>0.00203317901234568</v>
      </c>
      <c r="G77" s="27" t="s">
        <v>4715</v>
      </c>
      <c r="H77" s="27" t="s">
        <v>4606</v>
      </c>
      <c r="I77" s="28"/>
      <c r="J77" s="25" t="n">
        <v>17</v>
      </c>
      <c r="K77" s="25" t="n">
        <v>586</v>
      </c>
      <c r="L77" s="13" t="n">
        <f aca="false">IF(INDEX(選手一覧!$D$7:$D$2738,$K77)="","",INDEX(選手一覧!$D$7:$D$2738,$K77))</f>
        <v>0.0107016203703704</v>
      </c>
      <c r="M77" s="14" t="n">
        <f aca="false">IF(INDEX(選手一覧!$E$7:$E$2738,$K77)="","",INDEX(選手一覧!$E$7:$E$2738,$K77))</f>
        <v>587</v>
      </c>
      <c r="N77" s="16" t="n">
        <f aca="false">IF(INDEX(選手一覧!$H$7:$H$2738,$K77)="","",INDEX(選手一覧!$H$7:$H$2738,$K77))</f>
        <v>0.00677569444444444</v>
      </c>
      <c r="O77" s="17" t="n">
        <f aca="false">IF(INDEX(選手一覧!$I$7:$I$2738,$K77)="","",INDEX(選手一覧!$I$7:$I$2738,$K77))</f>
        <v>152</v>
      </c>
      <c r="P77" s="16" t="n">
        <f aca="false">IF(INDEX(選手一覧!$J$7:$J$2738,$K77)="","",INDEX(選手一覧!$J$7:$J$2738,$K77))</f>
        <v>0.00289988425925926</v>
      </c>
      <c r="Q77" s="17" t="n">
        <f aca="false">IF(INDEX(選手一覧!$K$7:$K$2738,$K77)="","",INDEX(選手一覧!$K$7:$K$2738,$K77))</f>
        <v>946</v>
      </c>
    </row>
    <row r="78" customFormat="false" ht="15" hidden="false" customHeight="false" outlineLevel="0" collapsed="false">
      <c r="A78" s="23" t="n">
        <v>5</v>
      </c>
      <c r="B78" s="24" t="n">
        <v>3</v>
      </c>
      <c r="C78" s="14" t="n">
        <v>16</v>
      </c>
      <c r="D78" s="25" t="n">
        <f aca="false">COUNTIFS($A$5:$A$115,A78,$E$5:$E$115,"&lt;"&amp;E78)+1</f>
        <v>6</v>
      </c>
      <c r="E78" s="26" t="n">
        <v>0.00611111111111111</v>
      </c>
      <c r="F78" s="26" t="n">
        <f aca="false">E78/B78</f>
        <v>0.00203703703703704</v>
      </c>
      <c r="G78" s="27" t="s">
        <v>4716</v>
      </c>
      <c r="H78" s="27" t="s">
        <v>4667</v>
      </c>
      <c r="I78" s="28"/>
      <c r="J78" s="25" t="n">
        <v>11</v>
      </c>
      <c r="K78" s="25" t="n">
        <v>781</v>
      </c>
      <c r="L78" s="13" t="n">
        <f aca="false">IF(INDEX(選手一覧!$D$7:$D$2738,$K78)="","",INDEX(選手一覧!$D$7:$D$2738,$K78))</f>
        <v>0.0108236111111111</v>
      </c>
      <c r="M78" s="14" t="n">
        <f aca="false">IF(INDEX(選手一覧!$E$7:$E$2738,$K78)="","",INDEX(選手一覧!$E$7:$E$2738,$K78))</f>
        <v>782</v>
      </c>
      <c r="N78" s="16" t="str">
        <f aca="false">IF(INDEX(選手一覧!$H$7:$H$2738,$K78)="","",INDEX(選手一覧!$H$7:$H$2738,$K78))</f>
        <v/>
      </c>
      <c r="O78" s="17" t="str">
        <f aca="false">IF(INDEX(選手一覧!$I$7:$I$2738,$K78)="","",INDEX(選手一覧!$I$7:$I$2738,$K78))</f>
        <v/>
      </c>
      <c r="P78" s="16" t="n">
        <f aca="false">IF(INDEX(選手一覧!$J$7:$J$2738,$K78)="","",INDEX(選手一覧!$J$7:$J$2738,$K78))</f>
        <v>0.00287025462962963</v>
      </c>
      <c r="Q78" s="17" t="n">
        <f aca="false">IF(INDEX(選手一覧!$K$7:$K$2738,$K78)="","",INDEX(選手一覧!$K$7:$K$2738,$K78))</f>
        <v>698</v>
      </c>
    </row>
    <row r="79" customFormat="false" ht="15" hidden="false" customHeight="false" outlineLevel="0" collapsed="false">
      <c r="A79" s="23" t="n">
        <v>5</v>
      </c>
      <c r="B79" s="24" t="n">
        <v>3</v>
      </c>
      <c r="C79" s="14" t="n">
        <v>17</v>
      </c>
      <c r="D79" s="25" t="n">
        <f aca="false">COUNTIFS($A$5:$A$115,A79,$E$5:$E$115,"&lt;"&amp;E79)+1</f>
        <v>7</v>
      </c>
      <c r="E79" s="26" t="n">
        <v>0.00613425925925926</v>
      </c>
      <c r="F79" s="26" t="n">
        <f aca="false">E79/B79</f>
        <v>0.00204475308641975</v>
      </c>
      <c r="G79" s="27" t="s">
        <v>4717</v>
      </c>
      <c r="H79" s="27" t="s">
        <v>4661</v>
      </c>
      <c r="I79" s="28"/>
      <c r="J79" s="25" t="n">
        <v>30</v>
      </c>
      <c r="K79" s="25" t="n">
        <v>745</v>
      </c>
      <c r="L79" s="13" t="n">
        <f aca="false">IF(INDEX(選手一覧!$D$7:$D$2738,$K79)="","",INDEX(選手一覧!$D$7:$D$2738,$K79))</f>
        <v>0.0108021990740741</v>
      </c>
      <c r="M79" s="14" t="n">
        <f aca="false">IF(INDEX(選手一覧!$E$7:$E$2738,$K79)="","",INDEX(選手一覧!$E$7:$E$2738,$K79))</f>
        <v>746</v>
      </c>
      <c r="N79" s="16" t="str">
        <f aca="false">IF(INDEX(選手一覧!$H$7:$H$2738,$K79)="","",INDEX(選手一覧!$H$7:$H$2738,$K79))</f>
        <v/>
      </c>
      <c r="O79" s="17" t="str">
        <f aca="false">IF(INDEX(選手一覧!$I$7:$I$2738,$K79)="","",INDEX(選手一覧!$I$7:$I$2738,$K79))</f>
        <v/>
      </c>
      <c r="P79" s="16" t="n">
        <f aca="false">IF(INDEX(選手一覧!$J$7:$J$2738,$K79)="","",INDEX(選手一覧!$J$7:$J$2738,$K79))</f>
        <v>0.00288425925925926</v>
      </c>
      <c r="Q79" s="17" t="n">
        <f aca="false">IF(INDEX(選手一覧!$K$7:$K$2738,$K79)="","",INDEX(選手一覧!$K$7:$K$2738,$K79))</f>
        <v>810</v>
      </c>
    </row>
    <row r="80" customFormat="false" ht="15" hidden="false" customHeight="false" outlineLevel="0" collapsed="false">
      <c r="A80" s="23" t="n">
        <v>5</v>
      </c>
      <c r="B80" s="24" t="n">
        <v>3</v>
      </c>
      <c r="C80" s="14" t="n">
        <v>21</v>
      </c>
      <c r="D80" s="25" t="n">
        <f aca="false">COUNTIFS($A$5:$A$115,A80,$E$5:$E$115,"&lt;"&amp;E80)+1</f>
        <v>8</v>
      </c>
      <c r="E80" s="26" t="n">
        <v>0.00621527777777778</v>
      </c>
      <c r="F80" s="26" t="n">
        <f aca="false">E80/B80</f>
        <v>0.00207175925925926</v>
      </c>
      <c r="G80" s="27" t="s">
        <v>4718</v>
      </c>
      <c r="H80" s="27" t="s">
        <v>4648</v>
      </c>
      <c r="I80" s="28"/>
      <c r="J80" s="25" t="n">
        <v>14</v>
      </c>
      <c r="K80" s="25" t="n">
        <v>735</v>
      </c>
      <c r="L80" s="13" t="n">
        <f aca="false">IF(INDEX(選手一覧!$D$7:$D$2738,$K80)="","",INDEX(選手一覧!$D$7:$D$2738,$K80))</f>
        <v>0.010796875</v>
      </c>
      <c r="M80" s="14" t="n">
        <f aca="false">IF(INDEX(選手一覧!$E$7:$E$2738,$K80)="","",INDEX(選手一覧!$E$7:$E$2738,$K80))</f>
        <v>736</v>
      </c>
      <c r="N80" s="16" t="str">
        <f aca="false">IF(INDEX(選手一覧!$H$7:$H$2738,$K80)="","",INDEX(選手一覧!$H$7:$H$2738,$K80))</f>
        <v/>
      </c>
      <c r="O80" s="17" t="str">
        <f aca="false">IF(INDEX(選手一覧!$I$7:$I$2738,$K80)="","",INDEX(選手一覧!$I$7:$I$2738,$K80))</f>
        <v/>
      </c>
      <c r="P80" s="16" t="n">
        <f aca="false">IF(INDEX(選手一覧!$J$7:$J$2738,$K80)="","",INDEX(選手一覧!$J$7:$J$2738,$K80))</f>
        <v>0.0028587962962963</v>
      </c>
      <c r="Q80" s="17" t="n">
        <f aca="false">IF(INDEX(選手一覧!$K$7:$K$2738,$K80)="","",INDEX(選手一覧!$K$7:$K$2738,$K80))</f>
        <v>628</v>
      </c>
    </row>
    <row r="81" customFormat="false" ht="15" hidden="false" customHeight="false" outlineLevel="0" collapsed="false">
      <c r="A81" s="23" t="n">
        <v>5</v>
      </c>
      <c r="B81" s="24" t="n">
        <v>3</v>
      </c>
      <c r="C81" s="14" t="n">
        <v>29</v>
      </c>
      <c r="D81" s="25" t="n">
        <f aca="false">COUNTIFS($A$5:$A$115,A81,$E$5:$E$115,"&lt;"&amp;E81)+1</f>
        <v>9</v>
      </c>
      <c r="E81" s="26" t="n">
        <v>0.00634259259259259</v>
      </c>
      <c r="F81" s="26" t="n">
        <f aca="false">E81/B81</f>
        <v>0.0021141975308642</v>
      </c>
      <c r="G81" s="27" t="s">
        <v>4719</v>
      </c>
      <c r="H81" s="27" t="s">
        <v>4683</v>
      </c>
      <c r="I81" s="28"/>
      <c r="J81" s="25" t="n">
        <v>46</v>
      </c>
      <c r="K81" s="25" t="n">
        <v>1186</v>
      </c>
      <c r="L81" s="13" t="n">
        <f aca="false">IF(INDEX(選手一覧!$D$7:$D$2738,$K81)="","",INDEX(選手一覧!$D$7:$D$2738,$K81))</f>
        <v>0.0110439814814815</v>
      </c>
      <c r="M81" s="14" t="n">
        <f aca="false">IF(INDEX(選手一覧!$E$7:$E$2738,$K81)="","",INDEX(選手一覧!$E$7:$E$2738,$K81))</f>
        <v>1187</v>
      </c>
      <c r="N81" s="16" t="n">
        <f aca="false">IF(INDEX(選手一覧!$H$7:$H$2738,$K81)="","",INDEX(選手一覧!$H$7:$H$2738,$K81))</f>
        <v>0.00698113425925926</v>
      </c>
      <c r="O81" s="17" t="n">
        <f aca="false">IF(INDEX(選手一覧!$I$7:$I$2738,$K81)="","",INDEX(選手一覧!$I$7:$I$2738,$K81))</f>
        <v>315</v>
      </c>
      <c r="P81" s="16" t="str">
        <f aca="false">IF(INDEX(選手一覧!$J$7:$J$2738,$K81)="","",INDEX(選手一覧!$J$7:$J$2738,$K81))</f>
        <v/>
      </c>
      <c r="Q81" s="17" t="str">
        <f aca="false">IF(INDEX(選手一覧!$K$7:$K$2738,$K81)="","",INDEX(選手一覧!$K$7:$K$2738,$K81))</f>
        <v/>
      </c>
    </row>
    <row r="82" customFormat="false" ht="15" hidden="false" customHeight="false" outlineLevel="0" collapsed="false">
      <c r="A82" s="23" t="n">
        <v>5</v>
      </c>
      <c r="B82" s="24" t="n">
        <v>3</v>
      </c>
      <c r="C82" s="14" t="n">
        <v>34</v>
      </c>
      <c r="D82" s="25" t="n">
        <f aca="false">COUNTIFS($A$5:$A$115,A82,$E$5:$E$115,"&lt;"&amp;E82)+1</f>
        <v>10</v>
      </c>
      <c r="E82" s="26" t="n">
        <v>0.00637731481481482</v>
      </c>
      <c r="F82" s="26" t="n">
        <f aca="false">E82/B82</f>
        <v>0.00212577160493827</v>
      </c>
      <c r="G82" s="27" t="s">
        <v>4720</v>
      </c>
      <c r="H82" s="27" t="s">
        <v>4709</v>
      </c>
      <c r="I82" s="28"/>
      <c r="J82" s="25" t="n">
        <v>40</v>
      </c>
      <c r="K82" s="25" t="n">
        <v>2424</v>
      </c>
      <c r="L82" s="13" t="str">
        <f aca="false">IF(INDEX(選手一覧!$D$7:$D$2738,$K82)="","",INDEX(選手一覧!$D$7:$D$2738,$K82))</f>
        <v/>
      </c>
      <c r="M82" s="14" t="str">
        <f aca="false">IF(INDEX(選手一覧!$E$7:$E$2738,$K82)="","",INDEX(選手一覧!$E$7:$E$2738,$K82))</f>
        <v/>
      </c>
      <c r="N82" s="16" t="str">
        <f aca="false">IF(INDEX(選手一覧!$H$7:$H$2738,$K82)="","",INDEX(選手一覧!$H$7:$H$2738,$K82))</f>
        <v/>
      </c>
      <c r="O82" s="17" t="str">
        <f aca="false">IF(INDEX(選手一覧!$I$7:$I$2738,$K82)="","",INDEX(選手一覧!$I$7:$I$2738,$K82))</f>
        <v/>
      </c>
      <c r="P82" s="16" t="n">
        <f aca="false">IF(INDEX(選手一覧!$J$7:$J$2738,$K82)="","",INDEX(選手一覧!$J$7:$J$2738,$K82))</f>
        <v>0.00292627314814815</v>
      </c>
      <c r="Q82" s="17" t="n">
        <f aca="false">IF(INDEX(選手一覧!$K$7:$K$2738,$K82)="","",INDEX(選手一覧!$K$7:$K$2738,$K82))</f>
        <v>1160</v>
      </c>
    </row>
    <row r="83" customFormat="false" ht="15" hidden="false" customHeight="false" outlineLevel="0" collapsed="false">
      <c r="A83" s="23" t="n">
        <v>5</v>
      </c>
      <c r="B83" s="24" t="n">
        <v>3</v>
      </c>
      <c r="C83" s="14" t="n">
        <v>48</v>
      </c>
      <c r="D83" s="25" t="n">
        <f aca="false">COUNTIFS($A$5:$A$115,A83,$E$5:$E$115,"&lt;"&amp;E83)+1</f>
        <v>11</v>
      </c>
      <c r="E83" s="26" t="n">
        <v>0.00667824074074074</v>
      </c>
      <c r="F83" s="26" t="n">
        <f aca="false">E83/B83</f>
        <v>0.00222608024691358</v>
      </c>
      <c r="G83" s="27" t="s">
        <v>4721</v>
      </c>
      <c r="H83" s="27" t="s">
        <v>4722</v>
      </c>
      <c r="I83" s="28"/>
      <c r="J83" s="25" t="n">
        <v>54</v>
      </c>
      <c r="K83" s="25" t="n">
        <v>1531</v>
      </c>
      <c r="L83" s="13" t="str">
        <f aca="false">IF(INDEX(選手一覧!$D$7:$D$2738,$K83)="","",INDEX(選手一覧!$D$7:$D$2738,$K83))</f>
        <v/>
      </c>
      <c r="M83" s="14" t="str">
        <f aca="false">IF(INDEX(選手一覧!$E$7:$E$2738,$K83)="","",INDEX(選手一覧!$E$7:$E$2738,$K83))</f>
        <v/>
      </c>
      <c r="N83" s="16" t="n">
        <f aca="false">IF(INDEX(選手一覧!$H$7:$H$2738,$K83)="","",INDEX(選手一覧!$H$7:$H$2738,$K83))</f>
        <v>0.00708622685185185</v>
      </c>
      <c r="O83" s="17" t="n">
        <f aca="false">IF(INDEX(選手一覧!$I$7:$I$2738,$K83)="","",INDEX(選手一覧!$I$7:$I$2738,$K83))</f>
        <v>434</v>
      </c>
      <c r="P83" s="16" t="str">
        <f aca="false">IF(INDEX(選手一覧!$J$7:$J$2738,$K83)="","",INDEX(選手一覧!$J$7:$J$2738,$K83))</f>
        <v/>
      </c>
      <c r="Q83" s="17" t="str">
        <f aca="false">IF(INDEX(選手一覧!$K$7:$K$2738,$K83)="","",INDEX(選手一覧!$K$7:$K$2738,$K83))</f>
        <v/>
      </c>
    </row>
    <row r="84" customFormat="false" ht="15" hidden="false" customHeight="false" outlineLevel="0" collapsed="false">
      <c r="A84" s="23" t="n">
        <v>5</v>
      </c>
      <c r="B84" s="24" t="n">
        <v>3</v>
      </c>
      <c r="C84" s="14" t="n">
        <v>53</v>
      </c>
      <c r="D84" s="25" t="n">
        <f aca="false">COUNTIFS($A$5:$A$115,A84,$E$5:$E$115,"&lt;"&amp;E84)+1</f>
        <v>12</v>
      </c>
      <c r="E84" s="26" t="n">
        <v>0.00685185185185185</v>
      </c>
      <c r="F84" s="26" t="n">
        <f aca="false">E84/B84</f>
        <v>0.00228395061728395</v>
      </c>
      <c r="G84" s="27" t="s">
        <v>4723</v>
      </c>
      <c r="H84" s="27" t="s">
        <v>4685</v>
      </c>
      <c r="I84" s="28"/>
      <c r="J84" s="25" t="n">
        <v>49</v>
      </c>
      <c r="K84" s="25" t="n">
        <v>1695</v>
      </c>
      <c r="L84" s="13" t="str">
        <f aca="false">IF(INDEX(選手一覧!$D$7:$D$2738,$K84)="","",INDEX(選手一覧!$D$7:$D$2738,$K84))</f>
        <v/>
      </c>
      <c r="M84" s="14" t="str">
        <f aca="false">IF(INDEX(選手一覧!$E$7:$E$2738,$K84)="","",INDEX(選手一覧!$E$7:$E$2738,$K84))</f>
        <v/>
      </c>
      <c r="N84" s="16" t="n">
        <f aca="false">IF(INDEX(選手一覧!$H$7:$H$2738,$K84)="","",INDEX(選手一覧!$H$7:$H$2738,$K84))</f>
        <v>0.00725393518518519</v>
      </c>
      <c r="O84" s="17" t="n">
        <f aca="false">IF(INDEX(選手一覧!$I$7:$I$2738,$K84)="","",INDEX(選手一覧!$I$7:$I$2738,$K84))</f>
        <v>600</v>
      </c>
      <c r="P84" s="16" t="str">
        <f aca="false">IF(INDEX(選手一覧!$J$7:$J$2738,$K84)="","",INDEX(選手一覧!$J$7:$J$2738,$K84))</f>
        <v/>
      </c>
      <c r="Q84" s="17" t="str">
        <f aca="false">IF(INDEX(選手一覧!$K$7:$K$2738,$K84)="","",INDEX(選手一覧!$K$7:$K$2738,$K84))</f>
        <v/>
      </c>
    </row>
    <row r="85" customFormat="false" ht="15" hidden="false" customHeight="false" outlineLevel="0" collapsed="false">
      <c r="A85" s="29" t="n">
        <v>6</v>
      </c>
      <c r="B85" s="30" t="n">
        <v>5.2</v>
      </c>
      <c r="C85" s="14" t="n">
        <v>4</v>
      </c>
      <c r="D85" s="17" t="n">
        <f aca="false">COUNTIFS($A$5:$A$115,A85,$E$5:$E$115,"&lt;"&amp;E85)+1</f>
        <v>1</v>
      </c>
      <c r="E85" s="31" t="n">
        <v>0.0104861111111111</v>
      </c>
      <c r="F85" s="31" t="n">
        <f aca="false">E85/B85</f>
        <v>0.00201655982905983</v>
      </c>
      <c r="G85" s="12" t="s">
        <v>4724</v>
      </c>
      <c r="H85" s="12" t="s">
        <v>4610</v>
      </c>
      <c r="I85" s="10"/>
      <c r="J85" s="17" t="n">
        <v>12</v>
      </c>
      <c r="K85" s="17" t="n">
        <v>127</v>
      </c>
      <c r="L85" s="13" t="n">
        <f aca="false">IF(INDEX(選手一覧!$D$7:$D$2738,$K85)="","",INDEX(選手一覧!$D$7:$D$2738,$K85))</f>
        <v>0.0102480324074074</v>
      </c>
      <c r="M85" s="14" t="n">
        <f aca="false">IF(INDEX(選手一覧!$E$7:$E$2738,$K85)="","",INDEX(選手一覧!$E$7:$E$2738,$K85))</f>
        <v>128</v>
      </c>
      <c r="N85" s="16" t="str">
        <f aca="false">IF(INDEX(選手一覧!$H$7:$H$2738,$K85)="","",INDEX(選手一覧!$H$7:$H$2738,$K85))</f>
        <v/>
      </c>
      <c r="O85" s="17" t="str">
        <f aca="false">IF(INDEX(選手一覧!$I$7:$I$2738,$K85)="","",INDEX(選手一覧!$I$7:$I$2738,$K85))</f>
        <v/>
      </c>
      <c r="P85" s="16" t="n">
        <f aca="false">IF(INDEX(選手一覧!$J$7:$J$2738,$K85)="","",INDEX(選手一覧!$J$7:$J$2738,$K85))</f>
        <v>0.00277349537037037</v>
      </c>
      <c r="Q85" s="17" t="n">
        <f aca="false">IF(INDEX(選手一覧!$K$7:$K$2738,$K85)="","",INDEX(選手一覧!$K$7:$K$2738,$K85))</f>
        <v>170</v>
      </c>
    </row>
    <row r="86" customFormat="false" ht="15" hidden="false" customHeight="false" outlineLevel="0" collapsed="false">
      <c r="A86" s="29" t="n">
        <v>6</v>
      </c>
      <c r="B86" s="30" t="n">
        <v>5.2</v>
      </c>
      <c r="C86" s="14" t="n">
        <v>7</v>
      </c>
      <c r="D86" s="17" t="n">
        <f aca="false">COUNTIFS($A$5:$A$115,A86,$E$5:$E$115,"&lt;"&amp;E86)+1</f>
        <v>2</v>
      </c>
      <c r="E86" s="31" t="n">
        <v>0.0107291666666667</v>
      </c>
      <c r="F86" s="31" t="n">
        <f aca="false">E86/B86</f>
        <v>0.00206330128205128</v>
      </c>
      <c r="G86" s="12" t="s">
        <v>4725</v>
      </c>
      <c r="H86" s="12" t="s">
        <v>4726</v>
      </c>
      <c r="I86" s="10"/>
      <c r="J86" s="17" t="n">
        <v>9</v>
      </c>
      <c r="K86" s="17" t="n">
        <v>140</v>
      </c>
      <c r="L86" s="13" t="n">
        <f aca="false">IF(INDEX(選手一覧!$D$7:$D$2738,$K86)="","",INDEX(選手一覧!$D$7:$D$2738,$K86))</f>
        <v>0.010275462962963</v>
      </c>
      <c r="M86" s="14" t="n">
        <f aca="false">IF(INDEX(選手一覧!$E$7:$E$2738,$K86)="","",INDEX(選手一覧!$E$7:$E$2738,$K86))</f>
        <v>141</v>
      </c>
      <c r="N86" s="16" t="str">
        <f aca="false">IF(INDEX(選手一覧!$H$7:$H$2738,$K86)="","",INDEX(選手一覧!$H$7:$H$2738,$K86))</f>
        <v/>
      </c>
      <c r="O86" s="17" t="str">
        <f aca="false">IF(INDEX(選手一覧!$I$7:$I$2738,$K86)="","",INDEX(選手一覧!$I$7:$I$2738,$K86))</f>
        <v/>
      </c>
      <c r="P86" s="16" t="n">
        <f aca="false">IF(INDEX(選手一覧!$J$7:$J$2738,$K86)="","",INDEX(選手一覧!$J$7:$J$2738,$K86))</f>
        <v>0.00270763888888889</v>
      </c>
      <c r="Q86" s="17" t="n">
        <f aca="false">IF(INDEX(選手一覧!$K$7:$K$2738,$K86)="","",INDEX(選手一覧!$K$7:$K$2738,$K86))</f>
        <v>31</v>
      </c>
    </row>
    <row r="87" customFormat="false" ht="15" hidden="false" customHeight="false" outlineLevel="0" collapsed="false">
      <c r="A87" s="29" t="n">
        <v>6</v>
      </c>
      <c r="B87" s="30" t="n">
        <v>5.2</v>
      </c>
      <c r="C87" s="14" t="n">
        <v>8</v>
      </c>
      <c r="D87" s="17" t="n">
        <f aca="false">COUNTIFS($A$5:$A$115,A87,$E$5:$E$115,"&lt;"&amp;E87)+1</f>
        <v>3</v>
      </c>
      <c r="E87" s="31" t="n">
        <v>0.0107407407407407</v>
      </c>
      <c r="F87" s="31" t="n">
        <f aca="false">E87/B87</f>
        <v>0.00206552706552707</v>
      </c>
      <c r="G87" s="12" t="s">
        <v>4727</v>
      </c>
      <c r="H87" s="12" t="s">
        <v>4728</v>
      </c>
      <c r="I87" s="10"/>
      <c r="J87" s="17" t="n">
        <v>5</v>
      </c>
      <c r="K87" s="17" t="n">
        <v>404</v>
      </c>
      <c r="L87" s="13" t="n">
        <f aca="false">IF(INDEX(選手一覧!$D$7:$D$2738,$K87)="","",INDEX(選手一覧!$D$7:$D$2738,$K87))</f>
        <v>0.0105543981481482</v>
      </c>
      <c r="M87" s="14" t="n">
        <f aca="false">IF(INDEX(選手一覧!$E$7:$E$2738,$K87)="","",INDEX(選手一覧!$E$7:$E$2738,$K87))</f>
        <v>405</v>
      </c>
      <c r="N87" s="16" t="str">
        <f aca="false">IF(INDEX(選手一覧!$H$7:$H$2738,$K87)="","",INDEX(選手一覧!$H$7:$H$2738,$K87))</f>
        <v/>
      </c>
      <c r="O87" s="17" t="str">
        <f aca="false">IF(INDEX(選手一覧!$I$7:$I$2738,$K87)="","",INDEX(選手一覧!$I$7:$I$2738,$K87))</f>
        <v/>
      </c>
      <c r="P87" s="16" t="n">
        <f aca="false">IF(INDEX(選手一覧!$J$7:$J$2738,$K87)="","",INDEX(選手一覧!$J$7:$J$2738,$K87))</f>
        <v>0.00285266203703704</v>
      </c>
      <c r="Q87" s="17" t="n">
        <f aca="false">IF(INDEX(選手一覧!$K$7:$K$2738,$K87)="","",INDEX(選手一覧!$K$7:$K$2738,$K87))</f>
        <v>584</v>
      </c>
    </row>
    <row r="88" customFormat="false" ht="15" hidden="false" customHeight="false" outlineLevel="0" collapsed="false">
      <c r="A88" s="29" t="n">
        <v>6</v>
      </c>
      <c r="B88" s="30" t="n">
        <v>5.2</v>
      </c>
      <c r="C88" s="14" t="n">
        <v>10</v>
      </c>
      <c r="D88" s="17" t="n">
        <f aca="false">COUNTIFS($A$5:$A$115,A88,$E$5:$E$115,"&lt;"&amp;E88)+1</f>
        <v>5</v>
      </c>
      <c r="E88" s="31" t="n">
        <v>0.0108217592592593</v>
      </c>
      <c r="F88" s="31" t="n">
        <f aca="false">E88/B88</f>
        <v>0.00208110754985755</v>
      </c>
      <c r="G88" s="12" t="s">
        <v>4729</v>
      </c>
      <c r="H88" s="12" t="s">
        <v>4604</v>
      </c>
      <c r="I88" s="10"/>
      <c r="J88" s="17" t="n">
        <v>4</v>
      </c>
      <c r="K88" s="17" t="n">
        <v>179</v>
      </c>
      <c r="L88" s="13" t="n">
        <f aca="false">IF(INDEX(選手一覧!$D$7:$D$2738,$K88)="","",INDEX(選手一覧!$D$7:$D$2738,$K88))</f>
        <v>0.0103270833333333</v>
      </c>
      <c r="M88" s="14" t="n">
        <f aca="false">IF(INDEX(選手一覧!$E$7:$E$2738,$K88)="","",INDEX(選手一覧!$E$7:$E$2738,$K88))</f>
        <v>180</v>
      </c>
      <c r="N88" s="16" t="n">
        <f aca="false">IF(INDEX(選手一覧!$H$7:$H$2738,$K88)="","",INDEX(選手一覧!$H$7:$H$2738,$K88))</f>
        <v>0.00692604166666667</v>
      </c>
      <c r="O88" s="17" t="n">
        <f aca="false">IF(INDEX(選手一覧!$I$7:$I$2738,$K88)="","",INDEX(選手一覧!$I$7:$I$2738,$K88))</f>
        <v>266</v>
      </c>
      <c r="P88" s="16" t="n">
        <f aca="false">IF(INDEX(選手一覧!$J$7:$J$2738,$K88)="","",INDEX(選手一覧!$J$7:$J$2738,$K88))</f>
        <v>0.00286608796296296</v>
      </c>
      <c r="Q88" s="17" t="n">
        <f aca="false">IF(INDEX(選手一覧!$K$7:$K$2738,$K88)="","",INDEX(選手一覧!$K$7:$K$2738,$K88))</f>
        <v>670</v>
      </c>
    </row>
    <row r="89" customFormat="false" ht="15" hidden="false" customHeight="false" outlineLevel="0" collapsed="false">
      <c r="A89" s="29" t="n">
        <v>6</v>
      </c>
      <c r="B89" s="30" t="n">
        <v>5.2</v>
      </c>
      <c r="C89" s="14" t="n">
        <v>13</v>
      </c>
      <c r="D89" s="17" t="n">
        <f aca="false">COUNTIFS($A$5:$A$115,A89,$E$5:$E$115,"&lt;"&amp;E89)+1</f>
        <v>5</v>
      </c>
      <c r="E89" s="31" t="n">
        <v>0.0109027777777778</v>
      </c>
      <c r="F89" s="31" t="n">
        <f aca="false">E89/B89</f>
        <v>0.00209668803418803</v>
      </c>
      <c r="G89" s="12" t="s">
        <v>4730</v>
      </c>
      <c r="H89" s="12" t="s">
        <v>4636</v>
      </c>
      <c r="I89" s="10"/>
      <c r="J89" s="17" t="n">
        <v>13</v>
      </c>
      <c r="K89" s="17" t="n">
        <v>350</v>
      </c>
      <c r="L89" s="13" t="n">
        <f aca="false">IF(INDEX(選手一覧!$D$7:$D$2738,$K89)="","",INDEX(選手一覧!$D$7:$D$2738,$K89))</f>
        <v>0.0105115740740741</v>
      </c>
      <c r="M89" s="14" t="n">
        <f aca="false">IF(INDEX(選手一覧!$E$7:$E$2738,$K89)="","",INDEX(選手一覧!$E$7:$E$2738,$K89))</f>
        <v>351</v>
      </c>
      <c r="N89" s="16" t="n">
        <f aca="false">IF(INDEX(選手一覧!$H$7:$H$2738,$K89)="","",INDEX(選手一覧!$H$7:$H$2738,$K89))</f>
        <v>0.006559375</v>
      </c>
      <c r="O89" s="17" t="n">
        <f aca="false">IF(INDEX(選手一覧!$I$7:$I$2738,$K89)="","",INDEX(選手一覧!$I$7:$I$2738,$K89))</f>
        <v>47</v>
      </c>
      <c r="P89" s="16" t="n">
        <f aca="false">IF(INDEX(選手一覧!$J$7:$J$2738,$K89)="","",INDEX(選手一覧!$J$7:$J$2738,$K89))</f>
        <v>0.00293391203703704</v>
      </c>
      <c r="Q89" s="17" t="n">
        <f aca="false">IF(INDEX(選手一覧!$K$7:$K$2738,$K89)="","",INDEX(選手一覧!$K$7:$K$2738,$K89))</f>
        <v>1182</v>
      </c>
    </row>
    <row r="90" customFormat="false" ht="15" hidden="false" customHeight="false" outlineLevel="0" collapsed="false">
      <c r="A90" s="29" t="n">
        <v>6</v>
      </c>
      <c r="B90" s="30" t="n">
        <v>5.2</v>
      </c>
      <c r="C90" s="14" t="n">
        <v>17</v>
      </c>
      <c r="D90" s="17" t="n">
        <f aca="false">COUNTIFS($A$5:$A$115,A90,$E$5:$E$115,"&lt;"&amp;E90)+1</f>
        <v>6</v>
      </c>
      <c r="E90" s="31" t="n">
        <v>0.0109953703703704</v>
      </c>
      <c r="F90" s="31" t="n">
        <f aca="false">E90/B90</f>
        <v>0.0021144943019943</v>
      </c>
      <c r="G90" s="12" t="s">
        <v>4731</v>
      </c>
      <c r="H90" s="12" t="s">
        <v>4648</v>
      </c>
      <c r="I90" s="10"/>
      <c r="J90" s="17" t="n">
        <v>14</v>
      </c>
      <c r="K90" s="17" t="n">
        <v>336</v>
      </c>
      <c r="L90" s="13" t="n">
        <f aca="false">IF(INDEX(選手一覧!$D$7:$D$2738,$K90)="","",INDEX(選手一覧!$D$7:$D$2738,$K90))</f>
        <v>0.0104947916666667</v>
      </c>
      <c r="M90" s="14" t="n">
        <f aca="false">IF(INDEX(選手一覧!$E$7:$E$2738,$K90)="","",INDEX(選手一覧!$E$7:$E$2738,$K90))</f>
        <v>337</v>
      </c>
      <c r="N90" s="16" t="str">
        <f aca="false">IF(INDEX(選手一覧!$H$7:$H$2738,$K90)="","",INDEX(選手一覧!$H$7:$H$2738,$K90))</f>
        <v/>
      </c>
      <c r="O90" s="17" t="str">
        <f aca="false">IF(INDEX(選手一覧!$I$7:$I$2738,$K90)="","",INDEX(選手一覧!$I$7:$I$2738,$K90))</f>
        <v/>
      </c>
      <c r="P90" s="16" t="n">
        <f aca="false">IF(INDEX(選手一覧!$J$7:$J$2738,$K90)="","",INDEX(選手一覧!$J$7:$J$2738,$K90))</f>
        <v>0.00279537037037037</v>
      </c>
      <c r="Q90" s="17" t="n">
        <f aca="false">IF(INDEX(選手一覧!$K$7:$K$2738,$K90)="","",INDEX(選手一覧!$K$7:$K$2738,$K90))</f>
        <v>261</v>
      </c>
    </row>
    <row r="91" customFormat="false" ht="15" hidden="false" customHeight="false" outlineLevel="0" collapsed="false">
      <c r="A91" s="29" t="n">
        <v>6</v>
      </c>
      <c r="B91" s="30" t="n">
        <v>5.2</v>
      </c>
      <c r="C91" s="14" t="n">
        <v>19</v>
      </c>
      <c r="D91" s="17" t="n">
        <f aca="false">COUNTIFS($A$5:$A$115,A91,$E$5:$E$115,"&lt;"&amp;E91)+1</f>
        <v>7</v>
      </c>
      <c r="E91" s="31" t="n">
        <v>0.0110069444444444</v>
      </c>
      <c r="F91" s="31" t="n">
        <f aca="false">E91/B91</f>
        <v>0.00211672008547009</v>
      </c>
      <c r="G91" s="12" t="s">
        <v>4732</v>
      </c>
      <c r="H91" s="12" t="s">
        <v>4622</v>
      </c>
      <c r="I91" s="10"/>
      <c r="J91" s="17" t="n">
        <v>33</v>
      </c>
      <c r="K91" s="17" t="n">
        <v>403</v>
      </c>
      <c r="L91" s="13" t="n">
        <f aca="false">IF(INDEX(選手一覧!$D$7:$D$2738,$K91)="","",INDEX(選手一覧!$D$7:$D$2738,$K91))</f>
        <v>0.0105528935185185</v>
      </c>
      <c r="M91" s="14" t="n">
        <f aca="false">IF(INDEX(選手一覧!$E$7:$E$2738,$K91)="","",INDEX(選手一覧!$E$7:$E$2738,$K91))</f>
        <v>404</v>
      </c>
      <c r="N91" s="16" t="n">
        <f aca="false">IF(INDEX(選手一覧!$H$7:$H$2738,$K91)="","",INDEX(選手一覧!$H$7:$H$2738,$K91))</f>
        <v>0.00656655092592593</v>
      </c>
      <c r="O91" s="17" t="n">
        <f aca="false">IF(INDEX(選手一覧!$I$7:$I$2738,$K91)="","",INDEX(選手一覧!$I$7:$I$2738,$K91))</f>
        <v>55</v>
      </c>
      <c r="P91" s="16" t="n">
        <f aca="false">IF(INDEX(選手一覧!$J$7:$J$2738,$K91)="","",INDEX(選手一覧!$J$7:$J$2738,$K91))</f>
        <v>0.00294768518518519</v>
      </c>
      <c r="Q91" s="17" t="n">
        <f aca="false">IF(INDEX(選手一覧!$K$7:$K$2738,$K91)="","",INDEX(選手一覧!$K$7:$K$2738,$K91))</f>
        <v>1225</v>
      </c>
    </row>
    <row r="92" customFormat="false" ht="15" hidden="false" customHeight="false" outlineLevel="0" collapsed="false">
      <c r="A92" s="29" t="n">
        <v>6</v>
      </c>
      <c r="B92" s="30" t="n">
        <v>5.2</v>
      </c>
      <c r="C92" s="14" t="n">
        <v>28</v>
      </c>
      <c r="D92" s="17" t="n">
        <f aca="false">COUNTIFS($A$5:$A$115,A92,$E$5:$E$115,"&lt;"&amp;E92)+1</f>
        <v>8</v>
      </c>
      <c r="E92" s="31" t="n">
        <v>0.0111689814814815</v>
      </c>
      <c r="F92" s="31" t="n">
        <f aca="false">E92/B92</f>
        <v>0.00214788105413105</v>
      </c>
      <c r="G92" s="12" t="s">
        <v>4733</v>
      </c>
      <c r="H92" s="12" t="s">
        <v>4606</v>
      </c>
      <c r="I92" s="10"/>
      <c r="J92" s="17" t="n">
        <v>17</v>
      </c>
      <c r="K92" s="17" t="n">
        <v>323</v>
      </c>
      <c r="L92" s="13" t="n">
        <f aca="false">IF(INDEX(選手一覧!$D$7:$D$2738,$K92)="","",INDEX(選手一覧!$D$7:$D$2738,$K92))</f>
        <v>0.0104804398148148</v>
      </c>
      <c r="M92" s="14" t="n">
        <f aca="false">IF(INDEX(選手一覧!$E$7:$E$2738,$K92)="","",INDEX(選手一覧!$E$7:$E$2738,$K92))</f>
        <v>324</v>
      </c>
      <c r="N92" s="16" t="str">
        <f aca="false">IF(INDEX(選手一覧!$H$7:$H$2738,$K92)="","",INDEX(選手一覧!$H$7:$H$2738,$K92))</f>
        <v/>
      </c>
      <c r="O92" s="17" t="str">
        <f aca="false">IF(INDEX(選手一覧!$I$7:$I$2738,$K92)="","",INDEX(選手一覧!$I$7:$I$2738,$K92))</f>
        <v/>
      </c>
      <c r="P92" s="16" t="n">
        <f aca="false">IF(INDEX(選手一覧!$J$7:$J$2738,$K92)="","",INDEX(選手一覧!$J$7:$J$2738,$K92))</f>
        <v>0.00280532407407407</v>
      </c>
      <c r="Q92" s="17" t="n">
        <f aca="false">IF(INDEX(選手一覧!$K$7:$K$2738,$K92)="","",INDEX(選手一覧!$K$7:$K$2738,$K92))</f>
        <v>304</v>
      </c>
    </row>
    <row r="93" customFormat="false" ht="15" hidden="false" customHeight="false" outlineLevel="0" collapsed="false">
      <c r="A93" s="29" t="n">
        <v>6</v>
      </c>
      <c r="B93" s="30" t="n">
        <v>5.2</v>
      </c>
      <c r="C93" s="14" t="n">
        <v>32</v>
      </c>
      <c r="D93" s="17" t="n">
        <f aca="false">COUNTIFS($A$5:$A$115,A93,$E$5:$E$115,"&lt;"&amp;E93)+1</f>
        <v>9</v>
      </c>
      <c r="E93" s="31" t="n">
        <v>0.0112962962962963</v>
      </c>
      <c r="F93" s="31" t="n">
        <f aca="false">E93/B93</f>
        <v>0.00217236467236467</v>
      </c>
      <c r="G93" s="12" t="s">
        <v>4734</v>
      </c>
      <c r="H93" s="12" t="s">
        <v>4654</v>
      </c>
      <c r="I93" s="10"/>
      <c r="J93" s="17" t="n">
        <v>32</v>
      </c>
      <c r="K93" s="17" t="n">
        <v>1276</v>
      </c>
      <c r="L93" s="13" t="n">
        <f aca="false">IF(INDEX(選手一覧!$D$7:$D$2738,$K93)="","",INDEX(選手一覧!$D$7:$D$2738,$K93))</f>
        <v>0.0111061342592593</v>
      </c>
      <c r="M93" s="14" t="n">
        <f aca="false">IF(INDEX(選手一覧!$E$7:$E$2738,$K93)="","",INDEX(選手一覧!$E$7:$E$2738,$K93))</f>
        <v>1277</v>
      </c>
      <c r="N93" s="16" t="n">
        <f aca="false">IF(INDEX(選手一覧!$H$7:$H$2738,$K93)="","",INDEX(選手一覧!$H$7:$H$2738,$K93))</f>
        <v>0.00669803240740741</v>
      </c>
      <c r="O93" s="17" t="n">
        <f aca="false">IF(INDEX(選手一覧!$I$7:$I$2738,$K93)="","",INDEX(選手一覧!$I$7:$I$2738,$K93))</f>
        <v>106</v>
      </c>
      <c r="P93" s="16" t="str">
        <f aca="false">IF(INDEX(選手一覧!$J$7:$J$2738,$K93)="","",INDEX(選手一覧!$J$7:$J$2738,$K93))</f>
        <v/>
      </c>
      <c r="Q93" s="17" t="str">
        <f aca="false">IF(INDEX(選手一覧!$K$7:$K$2738,$K93)="","",INDEX(選手一覧!$K$7:$K$2738,$K93))</f>
        <v/>
      </c>
    </row>
    <row r="94" customFormat="false" ht="15" hidden="false" customHeight="false" outlineLevel="0" collapsed="false">
      <c r="A94" s="29" t="n">
        <v>6</v>
      </c>
      <c r="B94" s="30" t="n">
        <v>5.2</v>
      </c>
      <c r="C94" s="14" t="n">
        <v>33</v>
      </c>
      <c r="D94" s="17" t="n">
        <f aca="false">COUNTIFS($A$5:$A$115,A94,$E$5:$E$115,"&lt;"&amp;E94)+1</f>
        <v>10</v>
      </c>
      <c r="E94" s="31" t="n">
        <v>0.0113425925925926</v>
      </c>
      <c r="F94" s="31" t="n">
        <f aca="false">E94/B94</f>
        <v>0.00218126780626781</v>
      </c>
      <c r="G94" s="12" t="s">
        <v>4735</v>
      </c>
      <c r="H94" s="12" t="s">
        <v>4698</v>
      </c>
      <c r="I94" s="10"/>
      <c r="J94" s="17" t="n">
        <v>27</v>
      </c>
      <c r="K94" s="17" t="n">
        <v>1156</v>
      </c>
      <c r="L94" s="13" t="n">
        <f aca="false">IF(INDEX(選手一覧!$D$7:$D$2738,$K94)="","",INDEX(選手一覧!$D$7:$D$2738,$K94))</f>
        <v>0.0110321759259259</v>
      </c>
      <c r="M94" s="14" t="n">
        <f aca="false">IF(INDEX(選手一覧!$E$7:$E$2738,$K94)="","",INDEX(選手一覧!$E$7:$E$2738,$K94))</f>
        <v>1157</v>
      </c>
      <c r="N94" s="16" t="n">
        <f aca="false">IF(INDEX(選手一覧!$H$7:$H$2738,$K94)="","",INDEX(選手一覧!$H$7:$H$2738,$K94))</f>
        <v>0.00668368055555556</v>
      </c>
      <c r="O94" s="17" t="n">
        <f aca="false">IF(INDEX(選手一覧!$I$7:$I$2738,$K94)="","",INDEX(選手一覧!$I$7:$I$2738,$K94))</f>
        <v>100</v>
      </c>
      <c r="P94" s="16" t="str">
        <f aca="false">IF(INDEX(選手一覧!$J$7:$J$2738,$K94)="","",INDEX(選手一覧!$J$7:$J$2738,$K94))</f>
        <v/>
      </c>
      <c r="Q94" s="17" t="str">
        <f aca="false">IF(INDEX(選手一覧!$K$7:$K$2738,$K94)="","",INDEX(選手一覧!$K$7:$K$2738,$K94))</f>
        <v/>
      </c>
    </row>
    <row r="95" customFormat="false" ht="15" hidden="false" customHeight="false" outlineLevel="0" collapsed="false">
      <c r="A95" s="29" t="n">
        <v>6</v>
      </c>
      <c r="B95" s="30" t="n">
        <v>5.2</v>
      </c>
      <c r="C95" s="14" t="n">
        <v>46</v>
      </c>
      <c r="D95" s="17" t="n">
        <f aca="false">COUNTIFS($A$5:$A$115,A95,$E$5:$E$115,"&lt;"&amp;E95)+1</f>
        <v>11</v>
      </c>
      <c r="E95" s="31" t="n">
        <v>0.0118171296296296</v>
      </c>
      <c r="F95" s="31" t="n">
        <f aca="false">E95/B95</f>
        <v>0.00227252492877493</v>
      </c>
      <c r="G95" s="12" t="s">
        <v>4736</v>
      </c>
      <c r="H95" s="12" t="s">
        <v>4705</v>
      </c>
      <c r="I95" s="10"/>
      <c r="J95" s="17" t="n">
        <v>35</v>
      </c>
      <c r="K95" s="17" t="n">
        <v>2609</v>
      </c>
      <c r="L95" s="13" t="str">
        <f aca="false">IF(INDEX(選手一覧!$D$7:$D$2738,$K95)="","",INDEX(選手一覧!$D$7:$D$2738,$K95))</f>
        <v/>
      </c>
      <c r="M95" s="14" t="str">
        <f aca="false">IF(INDEX(選手一覧!$E$7:$E$2738,$K95)="","",INDEX(選手一覧!$E$7:$E$2738,$K95))</f>
        <v/>
      </c>
      <c r="N95" s="16" t="str">
        <f aca="false">IF(INDEX(選手一覧!$H$7:$H$2738,$K95)="","",INDEX(選手一覧!$H$7:$H$2738,$K95))</f>
        <v/>
      </c>
      <c r="O95" s="17" t="str">
        <f aca="false">IF(INDEX(選手一覧!$I$7:$I$2738,$K95)="","",INDEX(選手一覧!$I$7:$I$2738,$K95))</f>
        <v/>
      </c>
      <c r="P95" s="16" t="n">
        <f aca="false">IF(INDEX(選手一覧!$J$7:$J$2738,$K95)="","",INDEX(選手一覧!$J$7:$J$2738,$K95))</f>
        <v>0.00296388888888889</v>
      </c>
      <c r="Q95" s="17" t="n">
        <f aca="false">IF(INDEX(選手一覧!$K$7:$K$2738,$K95)="","",INDEX(選手一覧!$K$7:$K$2738,$K95))</f>
        <v>1287</v>
      </c>
    </row>
    <row r="96" customFormat="false" ht="15" hidden="false" customHeight="false" outlineLevel="0" collapsed="false">
      <c r="A96" s="29" t="n">
        <v>6</v>
      </c>
      <c r="B96" s="30" t="n">
        <v>5.2</v>
      </c>
      <c r="C96" s="14" t="n">
        <v>48</v>
      </c>
      <c r="D96" s="17" t="n">
        <f aca="false">COUNTIFS($A$5:$A$115,A96,$E$5:$E$115,"&lt;"&amp;E96)+1</f>
        <v>12</v>
      </c>
      <c r="E96" s="31" t="n">
        <v>0.012037037037037</v>
      </c>
      <c r="F96" s="31" t="n">
        <f aca="false">E96/B96</f>
        <v>0.00231481481481482</v>
      </c>
      <c r="G96" s="12" t="s">
        <v>4737</v>
      </c>
      <c r="H96" s="12" t="s">
        <v>4628</v>
      </c>
      <c r="I96" s="10"/>
      <c r="J96" s="17" t="n">
        <v>43</v>
      </c>
      <c r="K96" s="17" t="n">
        <v>671</v>
      </c>
      <c r="L96" s="13" t="n">
        <f aca="false">IF(INDEX(選手一覧!$D$7:$D$2738,$K96)="","",INDEX(選手一覧!$D$7:$D$2738,$K96))</f>
        <v>0.010753125</v>
      </c>
      <c r="M96" s="14" t="n">
        <f aca="false">IF(INDEX(選手一覧!$E$7:$E$2738,$K96)="","",INDEX(選手一覧!$E$7:$E$2738,$K96))</f>
        <v>672</v>
      </c>
      <c r="N96" s="16" t="n">
        <f aca="false">IF(INDEX(選手一覧!$H$7:$H$2738,$K96)="","",INDEX(選手一覧!$H$7:$H$2738,$K96))</f>
        <v>0.00746712962962963</v>
      </c>
      <c r="O96" s="17" t="n">
        <f aca="false">IF(INDEX(選手一覧!$I$7:$I$2738,$K96)="","",INDEX(選手一覧!$I$7:$I$2738,$K96))</f>
        <v>857</v>
      </c>
      <c r="P96" s="16" t="n">
        <f aca="false">IF(INDEX(選手一覧!$J$7:$J$2738,$K96)="","",INDEX(選手一覧!$J$7:$J$2738,$K96))</f>
        <v>0.00291041666666667</v>
      </c>
      <c r="Q96" s="17" t="n">
        <f aca="false">IF(INDEX(選手一覧!$K$7:$K$2738,$K96)="","",INDEX(選手一覧!$K$7:$K$2738,$K96))</f>
        <v>1024</v>
      </c>
    </row>
    <row r="97" customFormat="false" ht="15" hidden="false" customHeight="false" outlineLevel="0" collapsed="false">
      <c r="A97" s="29" t="n">
        <v>6</v>
      </c>
      <c r="B97" s="30" t="n">
        <v>5.2</v>
      </c>
      <c r="C97" s="14" t="n">
        <v>51</v>
      </c>
      <c r="D97" s="17" t="n">
        <f aca="false">COUNTIFS($A$5:$A$115,A97,$E$5:$E$115,"&lt;"&amp;E97)+1</f>
        <v>13</v>
      </c>
      <c r="E97" s="31" t="n">
        <v>0.0124305555555556</v>
      </c>
      <c r="F97" s="31" t="n">
        <f aca="false">E97/B97</f>
        <v>0.00239049145299145</v>
      </c>
      <c r="G97" s="12" t="s">
        <v>4738</v>
      </c>
      <c r="H97" s="12" t="s">
        <v>4630</v>
      </c>
      <c r="I97" s="10"/>
      <c r="J97" s="17" t="n">
        <v>52</v>
      </c>
      <c r="K97" s="17" t="n">
        <v>1703</v>
      </c>
      <c r="L97" s="13" t="str">
        <f aca="false">IF(INDEX(選手一覧!$D$7:$D$2738,$K97)="","",INDEX(選手一覧!$D$7:$D$2738,$K97))</f>
        <v/>
      </c>
      <c r="M97" s="14" t="str">
        <f aca="false">IF(INDEX(選手一覧!$E$7:$E$2738,$K97)="","",INDEX(選手一覧!$E$7:$E$2738,$K97))</f>
        <v/>
      </c>
      <c r="N97" s="16" t="n">
        <f aca="false">IF(INDEX(選手一覧!$H$7:$H$2738,$K97)="","",INDEX(選手一覧!$H$7:$H$2738,$K97))</f>
        <v>0.00726076388888889</v>
      </c>
      <c r="O97" s="17" t="n">
        <f aca="false">IF(INDEX(選手一覧!$I$7:$I$2738,$K97)="","",INDEX(選手一覧!$I$7:$I$2738,$K97))</f>
        <v>607</v>
      </c>
      <c r="P97" s="16" t="str">
        <f aca="false">IF(INDEX(選手一覧!$J$7:$J$2738,$K97)="","",INDEX(選手一覧!$J$7:$J$2738,$K97))</f>
        <v/>
      </c>
      <c r="Q97" s="17" t="str">
        <f aca="false">IF(INDEX(選手一覧!$K$7:$K$2738,$K97)="","",INDEX(選手一覧!$K$7:$K$2738,$K97))</f>
        <v/>
      </c>
    </row>
    <row r="98" customFormat="false" ht="15" hidden="false" customHeight="false" outlineLevel="0" collapsed="false">
      <c r="A98" s="23" t="n">
        <v>7</v>
      </c>
      <c r="B98" s="24" t="n">
        <v>4.845</v>
      </c>
      <c r="C98" s="14" t="n">
        <v>1</v>
      </c>
      <c r="D98" s="25" t="n">
        <f aca="false">COUNTIFS($A$5:$A$115,A98,$E$5:$E$115,"&lt;"&amp;E98)+1</f>
        <v>1</v>
      </c>
      <c r="E98" s="26" t="n">
        <v>0.00954861111111111</v>
      </c>
      <c r="F98" s="26" t="n">
        <f aca="false">E98/B98</f>
        <v>0.0019708175667928</v>
      </c>
      <c r="G98" s="27" t="s">
        <v>4739</v>
      </c>
      <c r="H98" s="27" t="s">
        <v>4632</v>
      </c>
      <c r="I98" s="28"/>
      <c r="J98" s="25" t="n">
        <v>1</v>
      </c>
      <c r="K98" s="25" t="n">
        <v>12</v>
      </c>
      <c r="L98" s="13" t="n">
        <f aca="false">IF(INDEX(選手一覧!$D$7:$D$2738,$K98)="","",INDEX(選手一覧!$D$7:$D$2738,$K98))</f>
        <v>0.00987303240740741</v>
      </c>
      <c r="M98" s="14" t="n">
        <f aca="false">IF(INDEX(選手一覧!$E$7:$E$2738,$K98)="","",INDEX(選手一覧!$E$7:$E$2738,$K98))</f>
        <v>12</v>
      </c>
      <c r="N98" s="16" t="str">
        <f aca="false">IF(INDEX(選手一覧!$H$7:$H$2738,$K98)="","",INDEX(選手一覧!$H$7:$H$2738,$K98))</f>
        <v/>
      </c>
      <c r="O98" s="17" t="str">
        <f aca="false">IF(INDEX(選手一覧!$I$7:$I$2738,$K98)="","",INDEX(選手一覧!$I$7:$I$2738,$K98))</f>
        <v/>
      </c>
      <c r="P98" s="16" t="n">
        <f aca="false">IF(INDEX(選手一覧!$J$7:$J$2738,$K98)="","",INDEX(選手一覧!$J$7:$J$2738,$K98))</f>
        <v>0.00267592592592593</v>
      </c>
      <c r="Q98" s="17" t="n">
        <f aca="false">IF(INDEX(選手一覧!$K$7:$K$2738,$K98)="","",INDEX(選手一覧!$K$7:$K$2738,$K98))</f>
        <v>8</v>
      </c>
    </row>
    <row r="99" customFormat="false" ht="15" hidden="false" customHeight="false" outlineLevel="0" collapsed="false">
      <c r="A99" s="23" t="n">
        <v>7</v>
      </c>
      <c r="B99" s="24" t="n">
        <v>4.845</v>
      </c>
      <c r="C99" s="14" t="n">
        <v>2</v>
      </c>
      <c r="D99" s="25" t="n">
        <f aca="false">COUNTIFS($A$5:$A$115,A99,$E$5:$E$115,"&lt;"&amp;E99)+1</f>
        <v>2</v>
      </c>
      <c r="E99" s="26" t="n">
        <v>0.00962962962962963</v>
      </c>
      <c r="F99" s="26" t="n">
        <f aca="false">E99/B99</f>
        <v>0.00198753965523831</v>
      </c>
      <c r="G99" s="27" t="s">
        <v>4740</v>
      </c>
      <c r="H99" s="27" t="s">
        <v>4641</v>
      </c>
      <c r="I99" s="28"/>
      <c r="J99" s="25" t="n">
        <v>2</v>
      </c>
      <c r="K99" s="25" t="n">
        <v>116</v>
      </c>
      <c r="L99" s="13" t="n">
        <f aca="false">IF(INDEX(選手一覧!$D$7:$D$2738,$K99)="","",INDEX(選手一覧!$D$7:$D$2738,$K99))</f>
        <v>0.0102376157407407</v>
      </c>
      <c r="M99" s="14" t="n">
        <f aca="false">IF(INDEX(選手一覧!$E$7:$E$2738,$K99)="","",INDEX(選手一覧!$E$7:$E$2738,$K99))</f>
        <v>117</v>
      </c>
      <c r="N99" s="16" t="str">
        <f aca="false">IF(INDEX(選手一覧!$H$7:$H$2738,$K99)="","",INDEX(選手一覧!$H$7:$H$2738,$K99))</f>
        <v/>
      </c>
      <c r="O99" s="17" t="str">
        <f aca="false">IF(INDEX(選手一覧!$I$7:$I$2738,$K99)="","",INDEX(選手一覧!$I$7:$I$2738,$K99))</f>
        <v/>
      </c>
      <c r="P99" s="16" t="n">
        <f aca="false">IF(INDEX(選手一覧!$J$7:$J$2738,$K99)="","",INDEX(選手一覧!$J$7:$J$2738,$K99))</f>
        <v>0.00285590277777778</v>
      </c>
      <c r="Q99" s="17" t="n">
        <f aca="false">IF(INDEX(選手一覧!$K$7:$K$2738,$K99)="","",INDEX(選手一覧!$K$7:$K$2738,$K99))</f>
        <v>605</v>
      </c>
    </row>
    <row r="100" customFormat="false" ht="15" hidden="false" customHeight="false" outlineLevel="0" collapsed="false">
      <c r="A100" s="23" t="n">
        <v>7</v>
      </c>
      <c r="B100" s="24" t="n">
        <v>4.845</v>
      </c>
      <c r="C100" s="14" t="n">
        <v>5</v>
      </c>
      <c r="D100" s="25" t="n">
        <f aca="false">COUNTIFS($A$5:$A$115,A100,$E$5:$E$115,"&lt;"&amp;E100)+1</f>
        <v>3</v>
      </c>
      <c r="E100" s="26" t="n">
        <v>0.00969907407407407</v>
      </c>
      <c r="F100" s="26" t="n">
        <f aca="false">E100/B100</f>
        <v>0.0020018728739059</v>
      </c>
      <c r="G100" s="27" t="s">
        <v>4741</v>
      </c>
      <c r="H100" s="27" t="s">
        <v>4650</v>
      </c>
      <c r="I100" s="28"/>
      <c r="J100" s="25" t="n">
        <v>19</v>
      </c>
      <c r="K100" s="25" t="n">
        <v>122</v>
      </c>
      <c r="L100" s="13" t="n">
        <f aca="false">IF(INDEX(選手一覧!$D$7:$D$2738,$K100)="","",INDEX(選手一覧!$D$7:$D$2738,$K100))</f>
        <v>0.0102435185185185</v>
      </c>
      <c r="M100" s="14" t="n">
        <f aca="false">IF(INDEX(選手一覧!$E$7:$E$2738,$K100)="","",INDEX(選手一覧!$E$7:$E$2738,$K100))</f>
        <v>123</v>
      </c>
      <c r="N100" s="16" t="str">
        <f aca="false">IF(INDEX(選手一覧!$H$7:$H$2738,$K100)="","",INDEX(選手一覧!$H$7:$H$2738,$K100))</f>
        <v/>
      </c>
      <c r="O100" s="17" t="str">
        <f aca="false">IF(INDEX(選手一覧!$I$7:$I$2738,$K100)="","",INDEX(選手一覧!$I$7:$I$2738,$K100))</f>
        <v/>
      </c>
      <c r="P100" s="16" t="n">
        <f aca="false">IF(INDEX(選手一覧!$J$7:$J$2738,$K100)="","",INDEX(選手一覧!$J$7:$J$2738,$K100))</f>
        <v>0.00274872685185185</v>
      </c>
      <c r="Q100" s="17" t="n">
        <f aca="false">IF(INDEX(選手一覧!$K$7:$K$2738,$K100)="","",INDEX(選手一覧!$K$7:$K$2738,$K100))</f>
        <v>99</v>
      </c>
    </row>
    <row r="101" customFormat="false" ht="15" hidden="false" customHeight="false" outlineLevel="0" collapsed="false">
      <c r="A101" s="23" t="n">
        <v>7</v>
      </c>
      <c r="B101" s="24" t="n">
        <v>4.845</v>
      </c>
      <c r="C101" s="14" t="n">
        <v>7</v>
      </c>
      <c r="D101" s="25" t="n">
        <f aca="false">COUNTIFS($A$5:$A$115,A101,$E$5:$E$115,"&lt;"&amp;E101)+1</f>
        <v>4</v>
      </c>
      <c r="E101" s="26" t="n">
        <v>0.00976851851851852</v>
      </c>
      <c r="F101" s="26" t="n">
        <f aca="false">E101/B101</f>
        <v>0.00201620609257348</v>
      </c>
      <c r="G101" s="27" t="s">
        <v>4742</v>
      </c>
      <c r="H101" s="27" t="s">
        <v>4728</v>
      </c>
      <c r="I101" s="28"/>
      <c r="J101" s="25" t="n">
        <v>5</v>
      </c>
      <c r="K101" s="25" t="n">
        <v>528</v>
      </c>
      <c r="L101" s="13" t="n">
        <f aca="false">IF(INDEX(選手一覧!$D$7:$D$2738,$K101)="","",INDEX(選手一覧!$D$7:$D$2738,$K101))</f>
        <v>0.0106528935185185</v>
      </c>
      <c r="M101" s="14" t="n">
        <f aca="false">IF(INDEX(選手一覧!$E$7:$E$2738,$K101)="","",INDEX(選手一覧!$E$7:$E$2738,$K101))</f>
        <v>529</v>
      </c>
      <c r="N101" s="16" t="str">
        <f aca="false">IF(INDEX(選手一覧!$H$7:$H$2738,$K101)="","",INDEX(選手一覧!$H$7:$H$2738,$K101))</f>
        <v/>
      </c>
      <c r="O101" s="17" t="str">
        <f aca="false">IF(INDEX(選手一覧!$I$7:$I$2738,$K101)="","",INDEX(選手一覧!$I$7:$I$2738,$K101))</f>
        <v/>
      </c>
      <c r="P101" s="16" t="n">
        <f aca="false">IF(INDEX(選手一覧!$J$7:$J$2738,$K101)="","",INDEX(選手一覧!$J$7:$J$2738,$K101))</f>
        <v>0.00286041666666667</v>
      </c>
      <c r="Q101" s="17" t="n">
        <f aca="false">IF(INDEX(選手一覧!$K$7:$K$2738,$K101)="","",INDEX(選手一覧!$K$7:$K$2738,$K101))</f>
        <v>637</v>
      </c>
    </row>
    <row r="102" customFormat="false" ht="15" hidden="false" customHeight="false" outlineLevel="0" collapsed="false">
      <c r="A102" s="23" t="n">
        <v>7</v>
      </c>
      <c r="B102" s="24" t="n">
        <v>4.845</v>
      </c>
      <c r="C102" s="14" t="n">
        <v>7</v>
      </c>
      <c r="D102" s="25" t="n">
        <f aca="false">COUNTIFS($A$5:$A$115,A102,$E$5:$E$115,"&lt;"&amp;E102)+1</f>
        <v>4</v>
      </c>
      <c r="E102" s="26" t="n">
        <v>0.00976851851851852</v>
      </c>
      <c r="F102" s="26" t="n">
        <f aca="false">E102/B102</f>
        <v>0.00201620609257348</v>
      </c>
      <c r="G102" s="27" t="s">
        <v>4743</v>
      </c>
      <c r="H102" s="27" t="s">
        <v>4726</v>
      </c>
      <c r="I102" s="28"/>
      <c r="J102" s="25" t="n">
        <v>9</v>
      </c>
      <c r="K102" s="25" t="n">
        <v>424</v>
      </c>
      <c r="L102" s="13" t="n">
        <f aca="false">IF(INDEX(選手一覧!$D$7:$D$2738,$K102)="","",INDEX(選手一覧!$D$7:$D$2738,$K102))</f>
        <v>0.0105715277777778</v>
      </c>
      <c r="M102" s="14" t="n">
        <f aca="false">IF(INDEX(選手一覧!$E$7:$E$2738,$K102)="","",INDEX(選手一覧!$E$7:$E$2738,$K102))</f>
        <v>425</v>
      </c>
      <c r="N102" s="16" t="n">
        <f aca="false">IF(INDEX(選手一覧!$H$7:$H$2738,$K102)="","",INDEX(選手一覧!$H$7:$H$2738,$K102))</f>
        <v>0.00665925925925926</v>
      </c>
      <c r="O102" s="17" t="n">
        <f aca="false">IF(INDEX(選手一覧!$I$7:$I$2738,$K102)="","",INDEX(選手一覧!$I$7:$I$2738,$K102))</f>
        <v>87</v>
      </c>
      <c r="P102" s="16" t="str">
        <f aca="false">IF(INDEX(選手一覧!$J$7:$J$2738,$K102)="","",INDEX(選手一覧!$J$7:$J$2738,$K102))</f>
        <v/>
      </c>
      <c r="Q102" s="17" t="str">
        <f aca="false">IF(INDEX(選手一覧!$K$7:$K$2738,$K102)="","",INDEX(選手一覧!$K$7:$K$2738,$K102))</f>
        <v/>
      </c>
    </row>
    <row r="103" customFormat="false" ht="15" hidden="false" customHeight="false" outlineLevel="0" collapsed="false">
      <c r="A103" s="23" t="n">
        <v>7</v>
      </c>
      <c r="B103" s="24" t="n">
        <v>4.845</v>
      </c>
      <c r="C103" s="14" t="n">
        <v>9</v>
      </c>
      <c r="D103" s="25" t="n">
        <f aca="false">COUNTIFS($A$5:$A$115,A103,$E$5:$E$115,"&lt;"&amp;E103)+1</f>
        <v>6</v>
      </c>
      <c r="E103" s="26" t="n">
        <v>0.00980324074074074</v>
      </c>
      <c r="F103" s="26" t="n">
        <f aca="false">E103/B103</f>
        <v>0.00202337270190727</v>
      </c>
      <c r="G103" s="27" t="s">
        <v>4744</v>
      </c>
      <c r="H103" s="27" t="s">
        <v>4610</v>
      </c>
      <c r="I103" s="28"/>
      <c r="J103" s="25" t="n">
        <v>12</v>
      </c>
      <c r="K103" s="25" t="n">
        <v>71</v>
      </c>
      <c r="L103" s="13" t="n">
        <f aca="false">IF(INDEX(選手一覧!$D$7:$D$2738,$K103)="","",INDEX(選手一覧!$D$7:$D$2738,$K103))</f>
        <v>0.0101538194444444</v>
      </c>
      <c r="M103" s="14" t="n">
        <f aca="false">IF(INDEX(選手一覧!$E$7:$E$2738,$K103)="","",INDEX(選手一覧!$E$7:$E$2738,$K103))</f>
        <v>72</v>
      </c>
      <c r="N103" s="16" t="str">
        <f aca="false">IF(INDEX(選手一覧!$H$7:$H$2738,$K103)="","",INDEX(選手一覧!$H$7:$H$2738,$K103))</f>
        <v/>
      </c>
      <c r="O103" s="17" t="str">
        <f aca="false">IF(INDEX(選手一覧!$I$7:$I$2738,$K103)="","",INDEX(選手一覧!$I$7:$I$2738,$K103))</f>
        <v/>
      </c>
      <c r="P103" s="16" t="n">
        <f aca="false">IF(INDEX(選手一覧!$J$7:$J$2738,$K103)="","",INDEX(選手一覧!$J$7:$J$2738,$K103))</f>
        <v>0.00274097222222222</v>
      </c>
      <c r="Q103" s="17" t="n">
        <f aca="false">IF(INDEX(選手一覧!$K$7:$K$2738,$K103)="","",INDEX(選手一覧!$K$7:$K$2738,$K103))</f>
        <v>86</v>
      </c>
    </row>
    <row r="104" customFormat="false" ht="15" hidden="false" customHeight="false" outlineLevel="0" collapsed="false">
      <c r="A104" s="23" t="n">
        <v>7</v>
      </c>
      <c r="B104" s="24" t="n">
        <v>4.845</v>
      </c>
      <c r="C104" s="14" t="n">
        <v>10</v>
      </c>
      <c r="D104" s="25" t="n">
        <f aca="false">COUNTIFS($A$5:$A$115,A104,$E$5:$E$115,"&lt;"&amp;E104)+1</f>
        <v>7</v>
      </c>
      <c r="E104" s="26" t="n">
        <v>0.00983796296296296</v>
      </c>
      <c r="F104" s="26" t="n">
        <f aca="false">E104/B104</f>
        <v>0.00203053931124107</v>
      </c>
      <c r="G104" s="27" t="s">
        <v>4745</v>
      </c>
      <c r="H104" s="27" t="s">
        <v>4606</v>
      </c>
      <c r="I104" s="28"/>
      <c r="J104" s="25" t="n">
        <v>17</v>
      </c>
      <c r="K104" s="25" t="n">
        <v>80</v>
      </c>
      <c r="L104" s="13" t="n">
        <f aca="false">IF(INDEX(選手一覧!$D$7:$D$2738,$K104)="","",INDEX(選手一覧!$D$7:$D$2738,$K104))</f>
        <v>0.0101733796296296</v>
      </c>
      <c r="M104" s="14" t="n">
        <f aca="false">IF(INDEX(選手一覧!$E$7:$E$2738,$K104)="","",INDEX(選手一覧!$E$7:$E$2738,$K104))</f>
        <v>81</v>
      </c>
      <c r="N104" s="16" t="str">
        <f aca="false">IF(INDEX(選手一覧!$H$7:$H$2738,$K104)="","",INDEX(選手一覧!$H$7:$H$2738,$K104))</f>
        <v/>
      </c>
      <c r="O104" s="17" t="str">
        <f aca="false">IF(INDEX(選手一覧!$I$7:$I$2738,$K104)="","",INDEX(選手一覧!$I$7:$I$2738,$K104))</f>
        <v/>
      </c>
      <c r="P104" s="16" t="n">
        <f aca="false">IF(INDEX(選手一覧!$J$7:$J$2738,$K104)="","",INDEX(選手一覧!$J$7:$J$2738,$K104))</f>
        <v>0.00274398148148148</v>
      </c>
      <c r="Q104" s="17" t="n">
        <f aca="false">IF(INDEX(選手一覧!$K$7:$K$2738,$K104)="","",INDEX(選手一覧!$K$7:$K$2738,$K104))</f>
        <v>87</v>
      </c>
    </row>
    <row r="105" customFormat="false" ht="15" hidden="false" customHeight="false" outlineLevel="0" collapsed="false">
      <c r="A105" s="23" t="n">
        <v>7</v>
      </c>
      <c r="B105" s="24" t="n">
        <v>4.845</v>
      </c>
      <c r="C105" s="14" t="n">
        <v>13</v>
      </c>
      <c r="D105" s="25" t="n">
        <f aca="false">COUNTIFS($A$5:$A$115,A105,$E$5:$E$115,"&lt;"&amp;E105)+1</f>
        <v>8</v>
      </c>
      <c r="E105" s="26" t="n">
        <v>0.00987268518518519</v>
      </c>
      <c r="F105" s="26" t="n">
        <f aca="false">E105/B105</f>
        <v>0.00203770592057486</v>
      </c>
      <c r="G105" s="27" t="s">
        <v>4746</v>
      </c>
      <c r="H105" s="27" t="s">
        <v>4638</v>
      </c>
      <c r="I105" s="28"/>
      <c r="J105" s="25" t="n">
        <v>15</v>
      </c>
      <c r="K105" s="25" t="n">
        <v>169</v>
      </c>
      <c r="L105" s="13" t="n">
        <f aca="false">IF(INDEX(選手一覧!$D$7:$D$2738,$K105)="","",INDEX(選手一覧!$D$7:$D$2738,$K105))</f>
        <v>0.0103172453703704</v>
      </c>
      <c r="M105" s="14" t="n">
        <f aca="false">IF(INDEX(選手一覧!$E$7:$E$2738,$K105)="","",INDEX(選手一覧!$E$7:$E$2738,$K105))</f>
        <v>170</v>
      </c>
      <c r="N105" s="16" t="n">
        <f aca="false">IF(INDEX(選手一覧!$H$7:$H$2738,$K105)="","",INDEX(選手一覧!$H$7:$H$2738,$K105))</f>
        <v>0.00654826388888889</v>
      </c>
      <c r="O105" s="17" t="n">
        <f aca="false">IF(INDEX(選手一覧!$I$7:$I$2738,$K105)="","",INDEX(選手一覧!$I$7:$I$2738,$K105))</f>
        <v>45</v>
      </c>
      <c r="P105" s="16" t="n">
        <f aca="false">IF(INDEX(選手一覧!$J$7:$J$2738,$K105)="","",INDEX(選手一覧!$J$7:$J$2738,$K105))</f>
        <v>0.00278391203703704</v>
      </c>
      <c r="Q105" s="17" t="n">
        <f aca="false">IF(INDEX(選手一覧!$K$7:$K$2738,$K105)="","",INDEX(選手一覧!$K$7:$K$2738,$K105))</f>
        <v>216</v>
      </c>
    </row>
    <row r="106" customFormat="false" ht="15" hidden="false" customHeight="false" outlineLevel="0" collapsed="false">
      <c r="A106" s="23" t="n">
        <v>7</v>
      </c>
      <c r="B106" s="24" t="n">
        <v>4.845</v>
      </c>
      <c r="C106" s="14" t="n">
        <v>15</v>
      </c>
      <c r="D106" s="25" t="n">
        <f aca="false">COUNTIFS($A$5:$A$115,A106,$E$5:$E$115,"&lt;"&amp;E106)+1</f>
        <v>9</v>
      </c>
      <c r="E106" s="26" t="n">
        <v>0.00997685185185185</v>
      </c>
      <c r="F106" s="26" t="n">
        <f aca="false">E106/B106</f>
        <v>0.00205920574857623</v>
      </c>
      <c r="G106" s="27" t="s">
        <v>4747</v>
      </c>
      <c r="H106" s="27" t="s">
        <v>4748</v>
      </c>
      <c r="I106" s="28"/>
      <c r="J106" s="25" t="n">
        <v>23</v>
      </c>
      <c r="K106" s="25" t="n">
        <v>558</v>
      </c>
      <c r="L106" s="13" t="n">
        <f aca="false">IF(INDEX(選手一覧!$D$7:$D$2738,$K106)="","",INDEX(選手一覧!$D$7:$D$2738,$K106))</f>
        <v>0.0106834490740741</v>
      </c>
      <c r="M106" s="14" t="n">
        <f aca="false">IF(INDEX(選手一覧!$E$7:$E$2738,$K106)="","",INDEX(選手一覧!$E$7:$E$2738,$K106))</f>
        <v>559</v>
      </c>
      <c r="N106" s="16" t="str">
        <f aca="false">IF(INDEX(選手一覧!$H$7:$H$2738,$K106)="","",INDEX(選手一覧!$H$7:$H$2738,$K106))</f>
        <v/>
      </c>
      <c r="O106" s="17" t="str">
        <f aca="false">IF(INDEX(選手一覧!$I$7:$I$2738,$K106)="","",INDEX(選手一覧!$I$7:$I$2738,$K106))</f>
        <v/>
      </c>
      <c r="P106" s="16" t="n">
        <f aca="false">IF(INDEX(選手一覧!$J$7:$J$2738,$K106)="","",INDEX(選手一覧!$J$7:$J$2738,$K106))</f>
        <v>0.00283483796296296</v>
      </c>
      <c r="Q106" s="17" t="n">
        <f aca="false">IF(INDEX(選手一覧!$K$7:$K$2738,$K106)="","",INDEX(選手一覧!$K$7:$K$2738,$K106))</f>
        <v>459</v>
      </c>
    </row>
    <row r="107" customFormat="false" ht="15" hidden="false" customHeight="false" outlineLevel="0" collapsed="false">
      <c r="A107" s="23" t="n">
        <v>7</v>
      </c>
      <c r="B107" s="24" t="n">
        <v>4.845</v>
      </c>
      <c r="C107" s="14" t="n">
        <v>16</v>
      </c>
      <c r="D107" s="25" t="n">
        <f aca="false">COUNTIFS($A$5:$A$115,A107,$E$5:$E$115,"&lt;"&amp;E107)+1</f>
        <v>10</v>
      </c>
      <c r="E107" s="26" t="n">
        <v>0.00998842592592593</v>
      </c>
      <c r="F107" s="26" t="n">
        <f aca="false">E107/B107</f>
        <v>0.00206159461835416</v>
      </c>
      <c r="G107" s="27" t="s">
        <v>4749</v>
      </c>
      <c r="H107" s="27" t="s">
        <v>4645</v>
      </c>
      <c r="I107" s="28"/>
      <c r="J107" s="25" t="n">
        <v>7</v>
      </c>
      <c r="K107" s="25" t="n">
        <v>398</v>
      </c>
      <c r="L107" s="13" t="n">
        <f aca="false">IF(INDEX(選手一覧!$D$7:$D$2738,$K107)="","",INDEX(選手一覧!$D$7:$D$2738,$K107))</f>
        <v>0.0105503472222222</v>
      </c>
      <c r="M107" s="14" t="n">
        <f aca="false">IF(INDEX(選手一覧!$E$7:$E$2738,$K107)="","",INDEX(選手一覧!$E$7:$E$2738,$K107))</f>
        <v>399</v>
      </c>
      <c r="N107" s="16" t="n">
        <f aca="false">IF(INDEX(選手一覧!$H$7:$H$2738,$K107)="","",INDEX(選手一覧!$H$7:$H$2738,$K107))</f>
        <v>0.00646284722222222</v>
      </c>
      <c r="O107" s="17" t="n">
        <f aca="false">IF(INDEX(選手一覧!$I$7:$I$2738,$K107)="","",INDEX(選手一覧!$I$7:$I$2738,$K107))</f>
        <v>27</v>
      </c>
      <c r="P107" s="16" t="n">
        <f aca="false">IF(INDEX(選手一覧!$J$7:$J$2738,$K107)="","",INDEX(選手一覧!$J$7:$J$2738,$K107))</f>
        <v>0.00287256944444445</v>
      </c>
      <c r="Q107" s="17" t="n">
        <f aca="false">IF(INDEX(選手一覧!$K$7:$K$2738,$K107)="","",INDEX(選手一覧!$K$7:$K$2738,$K107))</f>
        <v>719</v>
      </c>
    </row>
    <row r="108" customFormat="false" ht="15" hidden="false" customHeight="false" outlineLevel="0" collapsed="false">
      <c r="A108" s="23" t="n">
        <v>7</v>
      </c>
      <c r="B108" s="24" t="n">
        <v>4.845</v>
      </c>
      <c r="C108" s="14" t="n">
        <v>21</v>
      </c>
      <c r="D108" s="25" t="n">
        <f aca="false">COUNTIFS($A$5:$A$115,A108,$E$5:$E$115,"&lt;"&amp;E108)+1</f>
        <v>11</v>
      </c>
      <c r="E108" s="26" t="n">
        <v>0.0101388888888889</v>
      </c>
      <c r="F108" s="26" t="n">
        <f aca="false">E108/B108</f>
        <v>0.00209264992546726</v>
      </c>
      <c r="G108" s="27" t="s">
        <v>4750</v>
      </c>
      <c r="H108" s="27" t="s">
        <v>4659</v>
      </c>
      <c r="I108" s="28"/>
      <c r="J108" s="25" t="n">
        <v>31</v>
      </c>
      <c r="K108" s="25" t="n">
        <v>535</v>
      </c>
      <c r="L108" s="13" t="n">
        <f aca="false">IF(INDEX(選手一覧!$D$7:$D$2738,$K108)="","",INDEX(選手一覧!$D$7:$D$2738,$K108))</f>
        <v>0.0106615740740741</v>
      </c>
      <c r="M108" s="14" t="n">
        <f aca="false">IF(INDEX(選手一覧!$E$7:$E$2738,$K108)="","",INDEX(選手一覧!$E$7:$E$2738,$K108))</f>
        <v>536</v>
      </c>
      <c r="N108" s="16" t="str">
        <f aca="false">IF(INDEX(選手一覧!$H$7:$H$2738,$K108)="","",INDEX(選手一覧!$H$7:$H$2738,$K108))</f>
        <v/>
      </c>
      <c r="O108" s="17" t="str">
        <f aca="false">IF(INDEX(選手一覧!$I$7:$I$2738,$K108)="","",INDEX(選手一覧!$I$7:$I$2738,$K108))</f>
        <v/>
      </c>
      <c r="P108" s="16" t="n">
        <f aca="false">IF(INDEX(選手一覧!$J$7:$J$2738,$K108)="","",INDEX(選手一覧!$J$7:$J$2738,$K108))</f>
        <v>0.00294699074074074</v>
      </c>
      <c r="Q108" s="17" t="n">
        <f aca="false">IF(INDEX(選手一覧!$K$7:$K$2738,$K108)="","",INDEX(選手一覧!$K$7:$K$2738,$K108))</f>
        <v>1223</v>
      </c>
    </row>
    <row r="109" customFormat="false" ht="15" hidden="false" customHeight="false" outlineLevel="0" collapsed="false">
      <c r="A109" s="23" t="n">
        <v>7</v>
      </c>
      <c r="B109" s="24" t="n">
        <v>4.845</v>
      </c>
      <c r="C109" s="14" t="n">
        <v>30</v>
      </c>
      <c r="D109" s="25" t="n">
        <f aca="false">COUNTIFS($A$5:$A$115,A109,$E$5:$E$115,"&lt;"&amp;E109)+1</f>
        <v>12</v>
      </c>
      <c r="E109" s="26" t="n">
        <v>0.0102083333333333</v>
      </c>
      <c r="F109" s="26" t="n">
        <f aca="false">E109/B109</f>
        <v>0.00210698314413485</v>
      </c>
      <c r="G109" s="27" t="s">
        <v>4751</v>
      </c>
      <c r="H109" s="27" t="s">
        <v>4752</v>
      </c>
      <c r="I109" s="28"/>
      <c r="J109" s="25" t="n">
        <v>44</v>
      </c>
      <c r="K109" s="25" t="n">
        <v>877</v>
      </c>
      <c r="L109" s="13" t="n">
        <f aca="false">IF(INDEX(選手一覧!$D$7:$D$2738,$K109)="","",INDEX(選手一覧!$D$7:$D$2738,$K109))</f>
        <v>0.0108737268518519</v>
      </c>
      <c r="M109" s="14" t="n">
        <f aca="false">IF(INDEX(選手一覧!$E$7:$E$2738,$K109)="","",INDEX(選手一覧!$E$7:$E$2738,$K109))</f>
        <v>878</v>
      </c>
      <c r="N109" s="16" t="str">
        <f aca="false">IF(INDEX(選手一覧!$H$7:$H$2738,$K109)="","",INDEX(選手一覧!$H$7:$H$2738,$K109))</f>
        <v/>
      </c>
      <c r="O109" s="17" t="str">
        <f aca="false">IF(INDEX(選手一覧!$I$7:$I$2738,$K109)="","",INDEX(選手一覧!$I$7:$I$2738,$K109))</f>
        <v/>
      </c>
      <c r="P109" s="16" t="n">
        <f aca="false">IF(INDEX(選手一覧!$J$7:$J$2738,$K109)="","",INDEX(選手一覧!$J$7:$J$2738,$K109))</f>
        <v>0.00273611111111111</v>
      </c>
      <c r="Q109" s="17" t="n">
        <f aca="false">IF(INDEX(選手一覧!$K$7:$K$2738,$K109)="","",INDEX(選手一覧!$K$7:$K$2738,$K109))</f>
        <v>76</v>
      </c>
    </row>
    <row r="110" customFormat="false" ht="15" hidden="false" customHeight="false" outlineLevel="0" collapsed="false">
      <c r="A110" s="23" t="n">
        <v>7</v>
      </c>
      <c r="B110" s="24" t="n">
        <v>4.845</v>
      </c>
      <c r="C110" s="14" t="n">
        <v>32</v>
      </c>
      <c r="D110" s="25" t="n">
        <f aca="false">COUNTIFS($A$5:$A$115,A110,$E$5:$E$115,"&lt;"&amp;E110)+1</f>
        <v>14</v>
      </c>
      <c r="E110" s="26" t="n">
        <v>0.0102430555555556</v>
      </c>
      <c r="F110" s="26" t="n">
        <f aca="false">E110/B110</f>
        <v>0.00211414975346864</v>
      </c>
      <c r="G110" s="27" t="s">
        <v>4753</v>
      </c>
      <c r="H110" s="27" t="s">
        <v>4616</v>
      </c>
      <c r="I110" s="28"/>
      <c r="J110" s="25" t="n">
        <v>20</v>
      </c>
      <c r="K110" s="25" t="n">
        <v>749</v>
      </c>
      <c r="L110" s="13" t="n">
        <f aca="false">IF(INDEX(選手一覧!$D$7:$D$2738,$K110)="","",INDEX(選手一覧!$D$7:$D$2738,$K110))</f>
        <v>0.0108045138888889</v>
      </c>
      <c r="M110" s="14" t="n">
        <f aca="false">IF(INDEX(選手一覧!$E$7:$E$2738,$K110)="","",INDEX(選手一覧!$E$7:$E$2738,$K110))</f>
        <v>750</v>
      </c>
      <c r="N110" s="16" t="str">
        <f aca="false">IF(INDEX(選手一覧!$H$7:$H$2738,$K110)="","",INDEX(選手一覧!$H$7:$H$2738,$K110))</f>
        <v/>
      </c>
      <c r="O110" s="17" t="str">
        <f aca="false">IF(INDEX(選手一覧!$I$7:$I$2738,$K110)="","",INDEX(選手一覧!$I$7:$I$2738,$K110))</f>
        <v/>
      </c>
      <c r="P110" s="16" t="n">
        <f aca="false">IF(INDEX(選手一覧!$J$7:$J$2738,$K110)="","",INDEX(選手一覧!$J$7:$J$2738,$K110))</f>
        <v>0.0028556712962963</v>
      </c>
      <c r="Q110" s="17" t="n">
        <f aca="false">IF(INDEX(選手一覧!$K$7:$K$2738,$K110)="","",INDEX(選手一覧!$K$7:$K$2738,$K110))</f>
        <v>602</v>
      </c>
    </row>
    <row r="111" customFormat="false" ht="15" hidden="false" customHeight="false" outlineLevel="0" collapsed="false">
      <c r="A111" s="23" t="n">
        <v>7</v>
      </c>
      <c r="B111" s="24" t="n">
        <v>4.845</v>
      </c>
      <c r="C111" s="14" t="n">
        <v>42</v>
      </c>
      <c r="D111" s="25" t="n">
        <f aca="false">COUNTIFS($A$5:$A$115,A111,$E$5:$E$115,"&lt;"&amp;E111)+1</f>
        <v>14</v>
      </c>
      <c r="E111" s="26" t="n">
        <v>0.0105902777777778</v>
      </c>
      <c r="F111" s="26" t="n">
        <f aca="false">E111/B111</f>
        <v>0.00218581584680656</v>
      </c>
      <c r="G111" s="27" t="s">
        <v>4754</v>
      </c>
      <c r="H111" s="27" t="s">
        <v>4608</v>
      </c>
      <c r="I111" s="28"/>
      <c r="J111" s="25" t="n">
        <v>26</v>
      </c>
      <c r="K111" s="25" t="n">
        <v>1338</v>
      </c>
      <c r="L111" s="13" t="str">
        <f aca="false">IF(INDEX(選手一覧!$D$7:$D$2738,$K111)="","",INDEX(選手一覧!$D$7:$D$2738,$K111))</f>
        <v/>
      </c>
      <c r="M111" s="14" t="str">
        <f aca="false">IF(INDEX(選手一覧!$E$7:$E$2738,$K111)="","",INDEX(選手一覧!$E$7:$E$2738,$K111))</f>
        <v/>
      </c>
      <c r="N111" s="16" t="n">
        <f aca="false">IF(INDEX(選手一覧!$H$7:$H$2738,$K111)="","",INDEX(選手一覧!$H$7:$H$2738,$K111))</f>
        <v>0.00681712962962963</v>
      </c>
      <c r="O111" s="17" t="n">
        <f aca="false">IF(INDEX(選手一覧!$I$7:$I$2738,$K111)="","",INDEX(選手一覧!$I$7:$I$2738,$K111))</f>
        <v>185</v>
      </c>
      <c r="P111" s="16" t="str">
        <f aca="false">IF(INDEX(選手一覧!$J$7:$J$2738,$K111)="","",INDEX(選手一覧!$J$7:$J$2738,$K111))</f>
        <v/>
      </c>
      <c r="Q111" s="17" t="str">
        <f aca="false">IF(INDEX(選手一覧!$K$7:$K$2738,$K111)="","",INDEX(選手一覧!$K$7:$K$2738,$K111))</f>
        <v/>
      </c>
    </row>
    <row r="112" customFormat="false" ht="15" hidden="false" customHeight="false" outlineLevel="0" collapsed="false">
      <c r="A112" s="23" t="n">
        <v>7</v>
      </c>
      <c r="B112" s="24" t="n">
        <v>4.845</v>
      </c>
      <c r="C112" s="14" t="n">
        <v>43</v>
      </c>
      <c r="D112" s="25" t="n">
        <f aca="false">COUNTIFS($A$5:$A$115,A112,$E$5:$E$115,"&lt;"&amp;E112)+1</f>
        <v>16</v>
      </c>
      <c r="E112" s="26" t="n">
        <v>0.0106018518518519</v>
      </c>
      <c r="F112" s="26" t="n">
        <f aca="false">E112/B112</f>
        <v>0.00218820471658449</v>
      </c>
      <c r="G112" s="27" t="s">
        <v>4755</v>
      </c>
      <c r="H112" s="27" t="s">
        <v>4685</v>
      </c>
      <c r="I112" s="28"/>
      <c r="J112" s="25" t="n">
        <v>49</v>
      </c>
      <c r="K112" s="25" t="n">
        <v>1768</v>
      </c>
      <c r="L112" s="13" t="str">
        <f aca="false">IF(INDEX(選手一覧!$D$7:$D$2738,$K112)="","",INDEX(選手一覧!$D$7:$D$2738,$K112))</f>
        <v/>
      </c>
      <c r="M112" s="14" t="str">
        <f aca="false">IF(INDEX(選手一覧!$E$7:$E$2738,$K112)="","",INDEX(選手一覧!$E$7:$E$2738,$K112))</f>
        <v/>
      </c>
      <c r="N112" s="16" t="n">
        <f aca="false">IF(INDEX(選手一覧!$H$7:$H$2738,$K112)="","",INDEX(選手一覧!$H$7:$H$2738,$K112))</f>
        <v>0.00731782407407407</v>
      </c>
      <c r="O112" s="17" t="n">
        <f aca="false">IF(INDEX(選手一覧!$I$7:$I$2738,$K112)="","",INDEX(選手一覧!$I$7:$I$2738,$K112))</f>
        <v>667</v>
      </c>
      <c r="P112" s="16" t="n">
        <f aca="false">IF(INDEX(選手一覧!$J$7:$J$2738,$K112)="","",INDEX(選手一覧!$J$7:$J$2738,$K112))</f>
        <v>0.0028869212962963</v>
      </c>
      <c r="Q112" s="17" t="n">
        <f aca="false">IF(INDEX(選手一覧!$K$7:$K$2738,$K112)="","",INDEX(選手一覧!$K$7:$K$2738,$K112))</f>
        <v>832</v>
      </c>
    </row>
    <row r="113" customFormat="false" ht="15" hidden="false" customHeight="false" outlineLevel="0" collapsed="false">
      <c r="A113" s="23" t="n">
        <v>7</v>
      </c>
      <c r="B113" s="24" t="n">
        <v>4.845</v>
      </c>
      <c r="C113" s="14" t="n">
        <v>49</v>
      </c>
      <c r="D113" s="25" t="n">
        <f aca="false">COUNTIFS($A$5:$A$115,A113,$E$5:$E$115,"&lt;"&amp;E113)+1</f>
        <v>17</v>
      </c>
      <c r="E113" s="26" t="n">
        <v>0.0108680555555556</v>
      </c>
      <c r="F113" s="26" t="n">
        <f aca="false">E113/B113</f>
        <v>0.0022431487214769</v>
      </c>
      <c r="G113" s="27" t="s">
        <v>4756</v>
      </c>
      <c r="H113" s="27" t="s">
        <v>4705</v>
      </c>
      <c r="I113" s="28"/>
      <c r="J113" s="25" t="n">
        <v>35</v>
      </c>
      <c r="K113" s="25" t="n">
        <v>2166</v>
      </c>
      <c r="L113" s="13" t="str">
        <f aca="false">IF(INDEX(選手一覧!$D$7:$D$2738,$K113)="","",INDEX(選手一覧!$D$7:$D$2738,$K113))</f>
        <v/>
      </c>
      <c r="M113" s="14" t="str">
        <f aca="false">IF(INDEX(選手一覧!$E$7:$E$2738,$K113)="","",INDEX(選手一覧!$E$7:$E$2738,$K113))</f>
        <v/>
      </c>
      <c r="N113" s="16" t="str">
        <f aca="false">IF(INDEX(選手一覧!$H$7:$H$2738,$K113)="","",INDEX(選手一覧!$H$7:$H$2738,$K113))</f>
        <v/>
      </c>
      <c r="O113" s="17" t="str">
        <f aca="false">IF(INDEX(選手一覧!$I$7:$I$2738,$K113)="","",INDEX(選手一覧!$I$7:$I$2738,$K113))</f>
        <v/>
      </c>
      <c r="P113" s="16" t="n">
        <f aca="false">IF(INDEX(選手一覧!$J$7:$J$2738,$K113)="","",INDEX(選手一覧!$J$7:$J$2738,$K113))</f>
        <v>0.00290335648148148</v>
      </c>
      <c r="Q113" s="17" t="n">
        <f aca="false">IF(INDEX(選手一覧!$K$7:$K$2738,$K113)="","",INDEX(選手一覧!$K$7:$K$2738,$K113))</f>
        <v>974</v>
      </c>
    </row>
    <row r="114" customFormat="false" ht="15" hidden="false" customHeight="false" outlineLevel="0" collapsed="false">
      <c r="A114" s="23" t="n">
        <v>7</v>
      </c>
      <c r="B114" s="24" t="n">
        <v>4.845</v>
      </c>
      <c r="C114" s="14" t="n">
        <v>50</v>
      </c>
      <c r="D114" s="25" t="n">
        <f aca="false">COUNTIFS($A$5:$A$115,A114,$E$5:$E$115,"&lt;"&amp;E114)+1</f>
        <v>17</v>
      </c>
      <c r="E114" s="26" t="n">
        <v>0.0108796296296296</v>
      </c>
      <c r="F114" s="26" t="n">
        <f aca="false">E114/B114</f>
        <v>0.00224553759125483</v>
      </c>
      <c r="G114" s="27" t="s">
        <v>4757</v>
      </c>
      <c r="H114" s="27" t="s">
        <v>4700</v>
      </c>
      <c r="I114" s="28"/>
      <c r="J114" s="25" t="n">
        <v>36</v>
      </c>
      <c r="K114" s="25" t="n">
        <v>1561</v>
      </c>
      <c r="L114" s="13" t="str">
        <f aca="false">IF(INDEX(選手一覧!$D$7:$D$2738,$K114)="","",INDEX(選手一覧!$D$7:$D$2738,$K114))</f>
        <v/>
      </c>
      <c r="M114" s="14" t="str">
        <f aca="false">IF(INDEX(選手一覧!$E$7:$E$2738,$K114)="","",INDEX(選手一覧!$E$7:$E$2738,$K114))</f>
        <v/>
      </c>
      <c r="N114" s="16" t="n">
        <f aca="false">IF(INDEX(選手一覧!$H$7:$H$2738,$K114)="","",INDEX(選手一覧!$H$7:$H$2738,$K114))</f>
        <v>0.00712511574074074</v>
      </c>
      <c r="O114" s="17" t="n">
        <f aca="false">IF(INDEX(選手一覧!$I$7:$I$2738,$K114)="","",INDEX(選手一覧!$I$7:$I$2738,$K114))</f>
        <v>470</v>
      </c>
      <c r="P114" s="16" t="str">
        <f aca="false">IF(INDEX(選手一覧!$J$7:$J$2738,$K114)="","",INDEX(選手一覧!$J$7:$J$2738,$K114))</f>
        <v/>
      </c>
      <c r="Q114" s="17" t="str">
        <f aca="false">IF(INDEX(選手一覧!$K$7:$K$2738,$K114)="","",INDEX(選手一覧!$K$7:$K$2738,$K114))</f>
        <v/>
      </c>
    </row>
    <row r="115" customFormat="false" ht="15" hidden="false" customHeight="false" outlineLevel="0" collapsed="false">
      <c r="A115" s="23" t="n">
        <v>7</v>
      </c>
      <c r="B115" s="24" t="n">
        <v>4.845</v>
      </c>
      <c r="C115" s="14" t="n">
        <v>51</v>
      </c>
      <c r="D115" s="25" t="n">
        <f aca="false">COUNTIFS($A$5:$A$115,A115,$E$5:$E$115,"&lt;"&amp;E115)+1</f>
        <v>18</v>
      </c>
      <c r="E115" s="26" t="n">
        <v>0.0110185185185185</v>
      </c>
      <c r="F115" s="26" t="n">
        <f aca="false">E115/B115</f>
        <v>0.00227420402858999</v>
      </c>
      <c r="G115" s="27" t="s">
        <v>4758</v>
      </c>
      <c r="H115" s="27" t="s">
        <v>4630</v>
      </c>
      <c r="I115" s="28"/>
      <c r="J115" s="25" t="n">
        <v>52</v>
      </c>
      <c r="K115" s="25" t="n">
        <v>2292</v>
      </c>
      <c r="L115" s="13" t="str">
        <f aca="false">IF(INDEX(選手一覧!$D$7:$D$2738,$K115)="","",INDEX(選手一覧!$D$7:$D$2738,$K115))</f>
        <v/>
      </c>
      <c r="M115" s="14" t="str">
        <f aca="false">IF(INDEX(選手一覧!$E$7:$E$2738,$K115)="","",INDEX(選手一覧!$E$7:$E$2738,$K115))</f>
        <v/>
      </c>
      <c r="N115" s="16" t="n">
        <f aca="false">IF(INDEX(選手一覧!$H$7:$H$2738,$K115)="","",INDEX(選手一覧!$H$7:$H$2738,$K115))</f>
        <v>0.0077005787037037</v>
      </c>
      <c r="O115" s="17" t="n">
        <f aca="false">IF(INDEX(選手一覧!$I$7:$I$2738,$K115)="","",INDEX(選手一覧!$I$7:$I$2738,$K115))</f>
        <v>1066</v>
      </c>
      <c r="P115" s="16" t="str">
        <f aca="false">IF(INDEX(選手一覧!$J$7:$J$2738,$K115)="","",INDEX(選手一覧!$J$7:$J$2738,$K115))</f>
        <v/>
      </c>
      <c r="Q115" s="17" t="str">
        <f aca="false">IF(INDEX(選手一覧!$K$7:$K$2738,$K115)="","",INDEX(選手一覧!$K$7:$K$2738,$K115))</f>
        <v/>
      </c>
    </row>
  </sheetData>
  <autoFilter ref="A4:Q115"/>
  <conditionalFormatting sqref="C5:C115">
    <cfRule type="cellIs" priority="2" operator="lessThanOrEqual" aboveAverage="0" equalAverage="0" bottom="0" percent="0" rank="0" text="" dxfId="9">
      <formula>3</formula>
    </cfRule>
    <cfRule type="cellIs" priority="3" operator="lessThanOrEqual" aboveAverage="0" equalAverage="0" bottom="0" percent="0" rank="0" text="" dxfId="10">
      <formula>10</formula>
    </cfRule>
    <cfRule type="cellIs" priority="4" operator="lessThanOrEqual" aboveAverage="0" equalAverage="0" bottom="0" percent="0" rank="0" text="" dxfId="11">
      <formula>30</formula>
    </cfRule>
  </conditionalFormatting>
  <conditionalFormatting sqref="M5:M115 O5:O115 Q5:Q115">
    <cfRule type="cellIs" priority="5" operator="lessThanOrEqual" aboveAverage="0" equalAverage="0" bottom="0" percent="0" rank="0" text="" dxfId="9">
      <formula>10</formula>
    </cfRule>
    <cfRule type="cellIs" priority="6" operator="lessThanOrEqual" aboveAverage="0" equalAverage="0" bottom="0" percent="0" rank="0" text="" dxfId="10">
      <formula>50</formula>
    </cfRule>
    <cfRule type="cellIs" priority="7" operator="lessThanOrEqual" aboveAverage="0" equalAverage="0" bottom="0" percent="0" rank="0" text="" dxfId="11">
      <formula>100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38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4" min="4" style="0" width="10"/>
    <col collapsed="false" customWidth="true" hidden="false" outlineLevel="0" max="5" min="5" style="0" width="9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8"/>
    <col collapsed="false" customWidth="true" hidden="false" outlineLevel="0" max="9" min="9" style="0" width="10"/>
    <col collapsed="false" customWidth="true" hidden="false" outlineLevel="0" max="10" min="10" style="0" width="8"/>
  </cols>
  <sheetData>
    <row r="1" customFormat="false" ht="19.4" hidden="false" customHeight="false" outlineLevel="0" collapsed="false">
      <c r="A1" s="1" t="s">
        <v>4759</v>
      </c>
    </row>
    <row r="2" customFormat="false" ht="15" hidden="false" customHeight="false" outlineLevel="0" collapsed="false">
      <c r="A2" s="2" t="s">
        <v>4760</v>
      </c>
    </row>
    <row r="4" customFormat="false" ht="33.75" hidden="false" customHeight="true" outlineLevel="0" collapsed="false">
      <c r="A4" s="8" t="s">
        <v>4168</v>
      </c>
      <c r="B4" s="8" t="s">
        <v>8</v>
      </c>
      <c r="C4" s="8" t="s">
        <v>9</v>
      </c>
      <c r="D4" s="8" t="s">
        <v>4169</v>
      </c>
      <c r="E4" s="8" t="s">
        <v>4170</v>
      </c>
      <c r="F4" s="7" t="s">
        <v>7</v>
      </c>
      <c r="G4" s="7" t="s">
        <v>4761</v>
      </c>
      <c r="H4" s="7" t="s">
        <v>4762</v>
      </c>
      <c r="I4" s="7" t="s">
        <v>16</v>
      </c>
      <c r="J4" s="7" t="s">
        <v>17</v>
      </c>
    </row>
    <row r="5" customFormat="false" ht="15" hidden="false" customHeight="false" outlineLevel="0" collapsed="false">
      <c r="A5" s="17" t="n">
        <v>1</v>
      </c>
      <c r="B5" s="12" t="s">
        <v>224</v>
      </c>
      <c r="C5" s="12" t="s">
        <v>61</v>
      </c>
      <c r="D5" s="16" t="n">
        <v>0.00623865740740741</v>
      </c>
      <c r="E5" s="15" t="n">
        <f aca="false">ROUND((D5-$D$5)*86400,2)</f>
        <v>0</v>
      </c>
      <c r="F5" s="17" t="n">
        <v>103</v>
      </c>
      <c r="G5" s="16" t="n">
        <f aca="false">IF(INDEX(選手一覧!$D$7:$D$2738,$F5)="","",INDEX(選手一覧!$D$7:$D$2738,$F5))</f>
        <v>0.0102148148148148</v>
      </c>
      <c r="H5" s="17" t="n">
        <f aca="false">IF(INDEX(選手一覧!$E$7:$E$2738,$F5)="","",INDEX(選手一覧!$E$7:$E$2738,$F5))</f>
        <v>104</v>
      </c>
      <c r="I5" s="16" t="n">
        <f aca="false">IF(INDEX(選手一覧!$J$7:$J$2738,$F5)="","",INDEX(選手一覧!$J$7:$J$2738,$F5))</f>
        <v>0.00286273148148148</v>
      </c>
      <c r="J5" s="17" t="n">
        <f aca="false">IF(INDEX(選手一覧!$K$7:$K$2738,$F5)="","",INDEX(選手一覧!$K$7:$K$2738,$F5))</f>
        <v>654</v>
      </c>
    </row>
    <row r="6" customFormat="false" ht="15" hidden="false" customHeight="false" outlineLevel="0" collapsed="false">
      <c r="A6" s="17" t="n">
        <v>2</v>
      </c>
      <c r="B6" s="12" t="s">
        <v>36</v>
      </c>
      <c r="C6" s="12" t="s">
        <v>37</v>
      </c>
      <c r="D6" s="16" t="n">
        <v>0.00626909722222222</v>
      </c>
      <c r="E6" s="15" t="n">
        <f aca="false">ROUND((D6-$D$5)*86400,2)</f>
        <v>2.63</v>
      </c>
      <c r="F6" s="17" t="n">
        <v>6</v>
      </c>
      <c r="G6" s="16" t="n">
        <f aca="false">IF(INDEX(選手一覧!$D$7:$D$2738,$F6)="","",INDEX(選手一覧!$D$7:$D$2738,$F6))</f>
        <v>0.00975914351851852</v>
      </c>
      <c r="H6" s="17" t="n">
        <f aca="false">IF(INDEX(選手一覧!$E$7:$E$2738,$F6)="","",INDEX(選手一覧!$E$7:$E$2738,$F6))</f>
        <v>6</v>
      </c>
      <c r="I6" s="16" t="n">
        <f aca="false">IF(INDEX(選手一覧!$J$7:$J$2738,$F6)="","",INDEX(選手一覧!$J$7:$J$2738,$F6))</f>
        <v>0.00278136574074074</v>
      </c>
      <c r="J6" s="17" t="n">
        <f aca="false">IF(INDEX(選手一覧!$K$7:$K$2738,$F6)="","",INDEX(選手一覧!$K$7:$K$2738,$F6))</f>
        <v>209</v>
      </c>
    </row>
    <row r="7" customFormat="false" ht="15" hidden="false" customHeight="false" outlineLevel="0" collapsed="false">
      <c r="A7" s="17" t="n">
        <v>3</v>
      </c>
      <c r="B7" s="12" t="s">
        <v>304</v>
      </c>
      <c r="C7" s="12" t="s">
        <v>219</v>
      </c>
      <c r="D7" s="16" t="n">
        <v>0.00627025462962963</v>
      </c>
      <c r="E7" s="15" t="n">
        <f aca="false">ROUND((D7-$D$5)*86400,2)</f>
        <v>2.73</v>
      </c>
      <c r="F7" s="17" t="n">
        <v>145</v>
      </c>
      <c r="G7" s="16" t="n">
        <f aca="false">IF(INDEX(選手一覧!$D$7:$D$2738,$F7)="","",INDEX(選手一覧!$D$7:$D$2738,$F7))</f>
        <v>0.0102784722222222</v>
      </c>
      <c r="H7" s="17" t="n">
        <f aca="false">IF(INDEX(選手一覧!$E$7:$E$2738,$F7)="","",INDEX(選手一覧!$E$7:$E$2738,$F7))</f>
        <v>146</v>
      </c>
      <c r="I7" s="16" t="n">
        <f aca="false">IF(INDEX(選手一覧!$J$7:$J$2738,$F7)="","",INDEX(選手一覧!$J$7:$J$2738,$F7))</f>
        <v>0.0029193287037037</v>
      </c>
      <c r="J7" s="17" t="n">
        <f aca="false">IF(INDEX(選手一覧!$K$7:$K$2738,$F7)="","",INDEX(選手一覧!$K$7:$K$2738,$F7))</f>
        <v>1088</v>
      </c>
    </row>
    <row r="8" customFormat="false" ht="15" hidden="false" customHeight="false" outlineLevel="0" collapsed="false">
      <c r="A8" s="17" t="n">
        <v>4</v>
      </c>
      <c r="B8" s="12" t="s">
        <v>400</v>
      </c>
      <c r="C8" s="12" t="s">
        <v>401</v>
      </c>
      <c r="D8" s="16" t="n">
        <v>0.00630729166666667</v>
      </c>
      <c r="E8" s="15" t="n">
        <f aca="false">ROUND((D8-$D$5)*86400,2)</f>
        <v>5.93</v>
      </c>
      <c r="F8" s="17" t="n">
        <v>200</v>
      </c>
      <c r="G8" s="16" t="n">
        <f aca="false">IF(INDEX(選手一覧!$D$7:$D$2738,$F8)="","",INDEX(選手一覧!$D$7:$D$2738,$F8))</f>
        <v>0.0103481481481482</v>
      </c>
      <c r="H8" s="17" t="n">
        <f aca="false">IF(INDEX(選手一覧!$E$7:$E$2738,$F8)="","",INDEX(選手一覧!$E$7:$E$2738,$F8))</f>
        <v>201</v>
      </c>
      <c r="I8" s="16" t="n">
        <f aca="false">IF(INDEX(選手一覧!$J$7:$J$2738,$F8)="","",INDEX(選手一覧!$J$7:$J$2738,$F8))</f>
        <v>0.00273877314814815</v>
      </c>
      <c r="J8" s="17" t="n">
        <f aca="false">IF(INDEX(選手一覧!$K$7:$K$2738,$F8)="","",INDEX(選手一覧!$K$7:$K$2738,$F8))</f>
        <v>82</v>
      </c>
    </row>
    <row r="9" customFormat="false" ht="15" hidden="false" customHeight="false" outlineLevel="0" collapsed="false">
      <c r="A9" s="17" t="n">
        <v>5</v>
      </c>
      <c r="B9" s="12" t="s">
        <v>322</v>
      </c>
      <c r="C9" s="12" t="s">
        <v>323</v>
      </c>
      <c r="D9" s="16" t="n">
        <v>0.00632650462962963</v>
      </c>
      <c r="E9" s="15" t="n">
        <f aca="false">ROUND((D9-$D$5)*86400,2)</f>
        <v>7.59</v>
      </c>
      <c r="F9" s="17" t="n">
        <v>154</v>
      </c>
      <c r="G9" s="16" t="n">
        <f aca="false">IF(INDEX(選手一覧!$D$7:$D$2738,$F9)="","",INDEX(選手一覧!$D$7:$D$2738,$F9))</f>
        <v>0.0102916666666667</v>
      </c>
      <c r="H9" s="17" t="n">
        <f aca="false">IF(INDEX(選手一覧!$E$7:$E$2738,$F9)="","",INDEX(選手一覧!$E$7:$E$2738,$F9))</f>
        <v>155</v>
      </c>
      <c r="I9" s="16" t="n">
        <f aca="false">IF(INDEX(選手一覧!$J$7:$J$2738,$F9)="","",INDEX(選手一覧!$J$7:$J$2738,$F9))</f>
        <v>0.00284988425925926</v>
      </c>
      <c r="J9" s="17" t="n">
        <f aca="false">IF(INDEX(選手一覧!$K$7:$K$2738,$F9)="","",INDEX(選手一覧!$K$7:$K$2738,$F9))</f>
        <v>569</v>
      </c>
    </row>
    <row r="10" customFormat="false" ht="15" hidden="false" customHeight="false" outlineLevel="0" collapsed="false">
      <c r="A10" s="17" t="n">
        <v>6</v>
      </c>
      <c r="B10" s="12" t="s">
        <v>221</v>
      </c>
      <c r="C10" s="12" t="s">
        <v>161</v>
      </c>
      <c r="D10" s="16" t="n">
        <v>0.00633553240740741</v>
      </c>
      <c r="E10" s="15" t="n">
        <f aca="false">ROUND((D10-$D$5)*86400,2)</f>
        <v>8.37</v>
      </c>
      <c r="F10" s="17" t="n">
        <v>101</v>
      </c>
      <c r="G10" s="16" t="n">
        <f aca="false">IF(INDEX(選手一覧!$D$7:$D$2738,$F10)="","",INDEX(選手一覧!$D$7:$D$2738,$F10))</f>
        <v>0.0102140046296296</v>
      </c>
      <c r="H10" s="17" t="n">
        <f aca="false">IF(INDEX(選手一覧!$E$7:$E$2738,$F10)="","",INDEX(選手一覧!$E$7:$E$2738,$F10))</f>
        <v>102</v>
      </c>
      <c r="I10" s="16" t="n">
        <f aca="false">IF(INDEX(選手一覧!$J$7:$J$2738,$F10)="","",INDEX(選手一覧!$J$7:$J$2738,$F10))</f>
        <v>0.00285925925925926</v>
      </c>
      <c r="J10" s="17" t="n">
        <f aca="false">IF(INDEX(選手一覧!$K$7:$K$2738,$F10)="","",INDEX(選手一覧!$K$7:$K$2738,$F10))</f>
        <v>630</v>
      </c>
    </row>
    <row r="11" customFormat="false" ht="15" hidden="false" customHeight="false" outlineLevel="0" collapsed="false">
      <c r="A11" s="17" t="n">
        <v>7</v>
      </c>
      <c r="B11" s="12" t="s">
        <v>156</v>
      </c>
      <c r="C11" s="12" t="s">
        <v>157</v>
      </c>
      <c r="D11" s="16" t="n">
        <v>0.00634039351851852</v>
      </c>
      <c r="E11" s="15" t="n">
        <f aca="false">ROUND((D11-$D$5)*86400,2)</f>
        <v>8.79</v>
      </c>
      <c r="F11" s="17" t="n">
        <v>66</v>
      </c>
      <c r="G11" s="16" t="n">
        <f aca="false">IF(INDEX(選手一覧!$D$7:$D$2738,$F11)="","",INDEX(選手一覧!$D$7:$D$2738,$F11))</f>
        <v>0.0101377314814815</v>
      </c>
      <c r="H11" s="17" t="n">
        <f aca="false">IF(INDEX(選手一覧!$E$7:$E$2738,$F11)="","",INDEX(選手一覧!$E$7:$E$2738,$F11))</f>
        <v>67</v>
      </c>
      <c r="I11" s="16" t="n">
        <f aca="false">IF(INDEX(選手一覧!$J$7:$J$2738,$F11)="","",INDEX(選手一覧!$J$7:$J$2738,$F11))</f>
        <v>0.0028818287037037</v>
      </c>
      <c r="J11" s="17" t="n">
        <f aca="false">IF(INDEX(選手一覧!$K$7:$K$2738,$F11)="","",INDEX(選手一覧!$K$7:$K$2738,$F11))</f>
        <v>787</v>
      </c>
    </row>
    <row r="12" customFormat="false" ht="15" hidden="false" customHeight="false" outlineLevel="0" collapsed="false">
      <c r="A12" s="17" t="n">
        <v>8</v>
      </c>
      <c r="B12" s="12" t="s">
        <v>428</v>
      </c>
      <c r="C12" s="12" t="s">
        <v>288</v>
      </c>
      <c r="D12" s="16" t="n">
        <v>0.00634456018518519</v>
      </c>
      <c r="E12" s="15" t="n">
        <f aca="false">ROUND((D12-$D$5)*86400,2)</f>
        <v>9.15</v>
      </c>
      <c r="F12" s="17" t="n">
        <v>219</v>
      </c>
      <c r="G12" s="16" t="n">
        <f aca="false">IF(INDEX(選手一覧!$D$7:$D$2738,$F12)="","",INDEX(選手一覧!$D$7:$D$2738,$F12))</f>
        <v>0.0103640046296296</v>
      </c>
      <c r="H12" s="17" t="n">
        <f aca="false">IF(INDEX(選手一覧!$E$7:$E$2738,$F12)="","",INDEX(選手一覧!$E$7:$E$2738,$F12))</f>
        <v>220</v>
      </c>
      <c r="I12" s="16" t="str">
        <f aca="false">IF(INDEX(選手一覧!$J$7:$J$2738,$F12)="","",INDEX(選手一覧!$J$7:$J$2738,$F12))</f>
        <v/>
      </c>
      <c r="J12" s="17" t="str">
        <f aca="false">IF(INDEX(選手一覧!$K$7:$K$2738,$F12)="","",INDEX(選手一覧!$K$7:$K$2738,$F12))</f>
        <v/>
      </c>
    </row>
    <row r="13" customFormat="false" ht="15" hidden="false" customHeight="false" outlineLevel="0" collapsed="false">
      <c r="A13" s="17" t="n">
        <v>9</v>
      </c>
      <c r="B13" s="12" t="s">
        <v>1042</v>
      </c>
      <c r="C13" s="12" t="s">
        <v>193</v>
      </c>
      <c r="D13" s="16" t="n">
        <v>0.00634525462962963</v>
      </c>
      <c r="E13" s="15" t="n">
        <f aca="false">ROUND((D13-$D$5)*86400,2)</f>
        <v>9.21</v>
      </c>
      <c r="F13" s="17" t="n">
        <v>607</v>
      </c>
      <c r="G13" s="16" t="n">
        <f aca="false">IF(INDEX(選手一覧!$D$7:$D$2738,$F13)="","",INDEX(選手一覧!$D$7:$D$2738,$F13))</f>
        <v>0.010716087962963</v>
      </c>
      <c r="H13" s="17" t="n">
        <f aca="false">IF(INDEX(選手一覧!$E$7:$E$2738,$F13)="","",INDEX(選手一覧!$E$7:$E$2738,$F13))</f>
        <v>608</v>
      </c>
      <c r="I13" s="16" t="n">
        <f aca="false">IF(INDEX(選手一覧!$J$7:$J$2738,$F13)="","",INDEX(選手一覧!$J$7:$J$2738,$F13))</f>
        <v>0.00277592592592593</v>
      </c>
      <c r="J13" s="17" t="n">
        <f aca="false">IF(INDEX(選手一覧!$K$7:$K$2738,$F13)="","",INDEX(選手一覧!$K$7:$K$2738,$F13))</f>
        <v>180</v>
      </c>
    </row>
    <row r="14" customFormat="false" ht="15" hidden="false" customHeight="false" outlineLevel="0" collapsed="false">
      <c r="A14" s="17" t="n">
        <v>10</v>
      </c>
      <c r="B14" s="12" t="s">
        <v>189</v>
      </c>
      <c r="C14" s="12" t="s">
        <v>27</v>
      </c>
      <c r="D14" s="16" t="n">
        <v>0.00635891203703704</v>
      </c>
      <c r="E14" s="15" t="n">
        <f aca="false">ROUND((D14-$D$5)*86400,2)</f>
        <v>10.39</v>
      </c>
      <c r="F14" s="17" t="n">
        <v>83</v>
      </c>
      <c r="G14" s="16" t="n">
        <f aca="false">IF(INDEX(選手一覧!$D$7:$D$2738,$F14)="","",INDEX(選手一覧!$D$7:$D$2738,$F14))</f>
        <v>0.0101787037037037</v>
      </c>
      <c r="H14" s="17" t="n">
        <f aca="false">IF(INDEX(選手一覧!$E$7:$E$2738,$F14)="","",INDEX(選手一覧!$E$7:$E$2738,$F14))</f>
        <v>84</v>
      </c>
      <c r="I14" s="16" t="str">
        <f aca="false">IF(INDEX(選手一覧!$J$7:$J$2738,$F14)="","",INDEX(選手一覧!$J$7:$J$2738,$F14))</f>
        <v/>
      </c>
      <c r="J14" s="17" t="str">
        <f aca="false">IF(INDEX(選手一覧!$K$7:$K$2738,$F14)="","",INDEX(選手一覧!$K$7:$K$2738,$F14))</f>
        <v/>
      </c>
    </row>
    <row r="15" customFormat="false" ht="15" hidden="false" customHeight="false" outlineLevel="0" collapsed="false">
      <c r="A15" s="17" t="n">
        <v>11</v>
      </c>
      <c r="B15" s="12" t="s">
        <v>74</v>
      </c>
      <c r="C15" s="12" t="s">
        <v>37</v>
      </c>
      <c r="D15" s="16" t="n">
        <v>0.00636747685185185</v>
      </c>
      <c r="E15" s="15" t="n">
        <f aca="false">ROUND((D15-$D$5)*86400,2)</f>
        <v>11.13</v>
      </c>
      <c r="F15" s="17" t="n">
        <v>23</v>
      </c>
      <c r="G15" s="16" t="n">
        <f aca="false">IF(INDEX(選手一覧!$D$7:$D$2738,$F15)="","",INDEX(選手一覧!$D$7:$D$2738,$F15))</f>
        <v>0.0100170138888889</v>
      </c>
      <c r="H15" s="17" t="n">
        <f aca="false">IF(INDEX(選手一覧!$E$7:$E$2738,$F15)="","",INDEX(選手一覧!$E$7:$E$2738,$F15))</f>
        <v>24</v>
      </c>
      <c r="I15" s="16" t="n">
        <f aca="false">IF(INDEX(選手一覧!$J$7:$J$2738,$F15)="","",INDEX(選手一覧!$J$7:$J$2738,$F15))</f>
        <v>0.00280856481481482</v>
      </c>
      <c r="J15" s="17" t="n">
        <f aca="false">IF(INDEX(選手一覧!$K$7:$K$2738,$F15)="","",INDEX(選手一覧!$K$7:$K$2738,$F15))</f>
        <v>320</v>
      </c>
    </row>
    <row r="16" customFormat="false" ht="15" hidden="false" customHeight="false" outlineLevel="0" collapsed="false">
      <c r="A16" s="17" t="n">
        <v>12</v>
      </c>
      <c r="B16" s="12" t="s">
        <v>305</v>
      </c>
      <c r="C16" s="12" t="s">
        <v>51</v>
      </c>
      <c r="D16" s="16" t="n">
        <v>0.00638402777777778</v>
      </c>
      <c r="E16" s="15" t="n">
        <f aca="false">ROUND((D16-$D$5)*86400,2)</f>
        <v>12.56</v>
      </c>
      <c r="F16" s="17" t="n">
        <v>146</v>
      </c>
      <c r="G16" s="16" t="n">
        <f aca="false">IF(INDEX(選手一覧!$D$7:$D$2738,$F16)="","",INDEX(選手一覧!$D$7:$D$2738,$F16))</f>
        <v>0.0102784722222222</v>
      </c>
      <c r="H16" s="17" t="n">
        <f aca="false">IF(INDEX(選手一覧!$E$7:$E$2738,$F16)="","",INDEX(選手一覧!$E$7:$E$2738,$F16))</f>
        <v>147</v>
      </c>
      <c r="I16" s="16" t="n">
        <f aca="false">IF(INDEX(選手一覧!$J$7:$J$2738,$F16)="","",INDEX(選手一覧!$J$7:$J$2738,$F16))</f>
        <v>0.0027630787037037</v>
      </c>
      <c r="J16" s="17" t="n">
        <f aca="false">IF(INDEX(選手一覧!$K$7:$K$2738,$F16)="","",INDEX(選手一覧!$K$7:$K$2738,$F16))</f>
        <v>142</v>
      </c>
    </row>
    <row r="17" customFormat="false" ht="15" hidden="false" customHeight="false" outlineLevel="0" collapsed="false">
      <c r="A17" s="17" t="n">
        <v>13</v>
      </c>
      <c r="B17" s="12" t="s">
        <v>1233</v>
      </c>
      <c r="C17" s="12" t="s">
        <v>240</v>
      </c>
      <c r="D17" s="16" t="n">
        <v>0.00638576388888889</v>
      </c>
      <c r="E17" s="15" t="n">
        <f aca="false">ROUND((D17-$D$5)*86400,2)</f>
        <v>12.71</v>
      </c>
      <c r="F17" s="17" t="n">
        <v>734</v>
      </c>
      <c r="G17" s="16" t="n">
        <f aca="false">IF(INDEX(選手一覧!$D$7:$D$2738,$F17)="","",INDEX(選手一覧!$D$7:$D$2738,$F17))</f>
        <v>0.0107954861111111</v>
      </c>
      <c r="H17" s="17" t="n">
        <f aca="false">IF(INDEX(選手一覧!$E$7:$E$2738,$F17)="","",INDEX(選手一覧!$E$7:$E$2738,$F17))</f>
        <v>735</v>
      </c>
      <c r="I17" s="16" t="n">
        <f aca="false">IF(INDEX(選手一覧!$J$7:$J$2738,$F17)="","",INDEX(選手一覧!$J$7:$J$2738,$F17))</f>
        <v>0.00290115740740741</v>
      </c>
      <c r="J17" s="17" t="n">
        <f aca="false">IF(INDEX(選手一覧!$K$7:$K$2738,$F17)="","",INDEX(選手一覧!$K$7:$K$2738,$F17))</f>
        <v>956</v>
      </c>
    </row>
    <row r="18" customFormat="false" ht="15" hidden="false" customHeight="false" outlineLevel="0" collapsed="false">
      <c r="A18" s="17" t="n">
        <v>14</v>
      </c>
      <c r="B18" s="12" t="s">
        <v>697</v>
      </c>
      <c r="C18" s="12" t="s">
        <v>698</v>
      </c>
      <c r="D18" s="16" t="n">
        <v>0.00639525462962963</v>
      </c>
      <c r="E18" s="15" t="n">
        <f aca="false">ROUND((D18-$D$5)*86400,2)</f>
        <v>13.53</v>
      </c>
      <c r="F18" s="17" t="n">
        <v>384</v>
      </c>
      <c r="G18" s="16" t="n">
        <f aca="false">IF(INDEX(選手一覧!$D$7:$D$2738,$F18)="","",INDEX(選手一覧!$D$7:$D$2738,$F18))</f>
        <v>0.0105398148148148</v>
      </c>
      <c r="H18" s="17" t="n">
        <f aca="false">IF(INDEX(選手一覧!$E$7:$E$2738,$F18)="","",INDEX(選手一覧!$E$7:$E$2738,$F18))</f>
        <v>385</v>
      </c>
      <c r="I18" s="16" t="n">
        <f aca="false">IF(INDEX(選手一覧!$J$7:$J$2738,$F18)="","",INDEX(選手一覧!$J$7:$J$2738,$F18))</f>
        <v>0.00272905092592593</v>
      </c>
      <c r="J18" s="17" t="n">
        <f aca="false">IF(INDEX(選手一覧!$K$7:$K$2738,$F18)="","",INDEX(選手一覧!$K$7:$K$2738,$F18))</f>
        <v>63</v>
      </c>
    </row>
    <row r="19" customFormat="false" ht="15" hidden="false" customHeight="false" outlineLevel="0" collapsed="false">
      <c r="A19" s="17" t="n">
        <v>15</v>
      </c>
      <c r="B19" s="12" t="s">
        <v>606</v>
      </c>
      <c r="C19" s="12" t="s">
        <v>157</v>
      </c>
      <c r="D19" s="16" t="n">
        <v>0.00640497685185185</v>
      </c>
      <c r="E19" s="15" t="n">
        <f aca="false">ROUND((D19-$D$5)*86400,2)</f>
        <v>14.37</v>
      </c>
      <c r="F19" s="17" t="n">
        <v>325</v>
      </c>
      <c r="G19" s="16" t="n">
        <f aca="false">IF(INDEX(選手一覧!$D$7:$D$2738,$F19)="","",INDEX(選手一覧!$D$7:$D$2738,$F19))</f>
        <v>0.0104841435185185</v>
      </c>
      <c r="H19" s="17" t="n">
        <f aca="false">IF(INDEX(選手一覧!$E$7:$E$2738,$F19)="","",INDEX(選手一覧!$E$7:$E$2738,$F19))</f>
        <v>326</v>
      </c>
      <c r="I19" s="16" t="str">
        <f aca="false">IF(INDEX(選手一覧!$J$7:$J$2738,$F19)="","",INDEX(選手一覧!$J$7:$J$2738,$F19))</f>
        <v/>
      </c>
      <c r="J19" s="17" t="str">
        <f aca="false">IF(INDEX(選手一覧!$K$7:$K$2738,$F19)="","",INDEX(選手一覧!$K$7:$K$2738,$F19))</f>
        <v/>
      </c>
    </row>
    <row r="20" customFormat="false" ht="15" hidden="false" customHeight="false" outlineLevel="0" collapsed="false">
      <c r="A20" s="17" t="n">
        <v>16</v>
      </c>
      <c r="B20" s="12" t="s">
        <v>993</v>
      </c>
      <c r="C20" s="12" t="s">
        <v>290</v>
      </c>
      <c r="D20" s="16" t="n">
        <v>0.0064099537037037</v>
      </c>
      <c r="E20" s="15" t="n">
        <f aca="false">ROUND((D20-$D$5)*86400,2)</f>
        <v>14.8</v>
      </c>
      <c r="F20" s="17" t="n">
        <v>572</v>
      </c>
      <c r="G20" s="16" t="n">
        <f aca="false">IF(INDEX(選手一覧!$D$7:$D$2738,$F20)="","",INDEX(選手一覧!$D$7:$D$2738,$F20))</f>
        <v>0.0106957175925926</v>
      </c>
      <c r="H20" s="17" t="n">
        <f aca="false">IF(INDEX(選手一覧!$E$7:$E$2738,$F20)="","",INDEX(選手一覧!$E$7:$E$2738,$F20))</f>
        <v>573</v>
      </c>
      <c r="I20" s="16" t="n">
        <f aca="false">IF(INDEX(選手一覧!$J$7:$J$2738,$F20)="","",INDEX(選手一覧!$J$7:$J$2738,$F20))</f>
        <v>0.00277777777777778</v>
      </c>
      <c r="J20" s="17" t="n">
        <f aca="false">IF(INDEX(選手一覧!$K$7:$K$2738,$F20)="","",INDEX(選手一覧!$K$7:$K$2738,$F20))</f>
        <v>189</v>
      </c>
    </row>
    <row r="21" customFormat="false" ht="15" hidden="false" customHeight="false" outlineLevel="0" collapsed="false">
      <c r="A21" s="17" t="n">
        <v>17</v>
      </c>
      <c r="B21" s="12" t="s">
        <v>1258</v>
      </c>
      <c r="C21" s="12" t="s">
        <v>1259</v>
      </c>
      <c r="D21" s="16" t="n">
        <v>0.00641087962962963</v>
      </c>
      <c r="E21" s="15" t="n">
        <f aca="false">ROUND((D21-$D$5)*86400,2)</f>
        <v>14.88</v>
      </c>
      <c r="F21" s="17" t="n">
        <v>750</v>
      </c>
      <c r="G21" s="16" t="n">
        <f aca="false">IF(INDEX(選手一覧!$D$7:$D$2738,$F21)="","",INDEX(選手一覧!$D$7:$D$2738,$F21))</f>
        <v>0.0108052083333333</v>
      </c>
      <c r="H21" s="17" t="n">
        <f aca="false">IF(INDEX(選手一覧!$E$7:$E$2738,$F21)="","",INDEX(選手一覧!$E$7:$E$2738,$F21))</f>
        <v>751</v>
      </c>
      <c r="I21" s="16" t="n">
        <f aca="false">IF(INDEX(選手一覧!$J$7:$J$2738,$F21)="","",INDEX(選手一覧!$J$7:$J$2738,$F21))</f>
        <v>0.00279456018518519</v>
      </c>
      <c r="J21" s="17" t="n">
        <f aca="false">IF(INDEX(選手一覧!$K$7:$K$2738,$F21)="","",INDEX(選手一覧!$K$7:$K$2738,$F21))</f>
        <v>257</v>
      </c>
    </row>
    <row r="22" customFormat="false" ht="15" hidden="false" customHeight="false" outlineLevel="0" collapsed="false">
      <c r="A22" s="17" t="n">
        <v>18</v>
      </c>
      <c r="B22" s="12" t="s">
        <v>801</v>
      </c>
      <c r="C22" s="12" t="s">
        <v>802</v>
      </c>
      <c r="D22" s="16" t="n">
        <v>0.00641585648148148</v>
      </c>
      <c r="E22" s="15" t="n">
        <f aca="false">ROUND((D22-$D$5)*86400,2)</f>
        <v>15.31</v>
      </c>
      <c r="F22" s="17" t="n">
        <v>450</v>
      </c>
      <c r="G22" s="16" t="n">
        <f aca="false">IF(INDEX(選手一覧!$D$7:$D$2738,$F22)="","",INDEX(選手一覧!$D$7:$D$2738,$F22))</f>
        <v>0.0105877314814815</v>
      </c>
      <c r="H22" s="17" t="n">
        <f aca="false">IF(INDEX(選手一覧!$E$7:$E$2738,$F22)="","",INDEX(選手一覧!$E$7:$E$2738,$F22))</f>
        <v>451</v>
      </c>
      <c r="I22" s="16" t="n">
        <f aca="false">IF(INDEX(選手一覧!$J$7:$J$2738,$F22)="","",INDEX(選手一覧!$J$7:$J$2738,$F22))</f>
        <v>0.00284467592592593</v>
      </c>
      <c r="J22" s="17" t="n">
        <f aca="false">IF(INDEX(選手一覧!$K$7:$K$2738,$F22)="","",INDEX(選手一覧!$K$7:$K$2738,$F22))</f>
        <v>532</v>
      </c>
    </row>
    <row r="23" customFormat="false" ht="15" hidden="false" customHeight="false" outlineLevel="0" collapsed="false">
      <c r="A23" s="17" t="n">
        <v>19</v>
      </c>
      <c r="B23" s="12" t="s">
        <v>26</v>
      </c>
      <c r="C23" s="12" t="s">
        <v>27</v>
      </c>
      <c r="D23" s="16" t="n">
        <v>0.00642048611111111</v>
      </c>
      <c r="E23" s="15" t="n">
        <f aca="false">ROUND((D23-$D$5)*86400,2)</f>
        <v>15.71</v>
      </c>
      <c r="F23" s="17" t="n">
        <v>2</v>
      </c>
      <c r="G23" s="16" t="n">
        <f aca="false">IF(INDEX(選手一覧!$D$7:$D$2738,$F23)="","",INDEX(選手一覧!$D$7:$D$2738,$F23))</f>
        <v>0.00964340277777778</v>
      </c>
      <c r="H23" s="17" t="n">
        <f aca="false">IF(INDEX(選手一覧!$E$7:$E$2738,$F23)="","",INDEX(選手一覧!$E$7:$E$2738,$F23))</f>
        <v>2</v>
      </c>
      <c r="I23" s="16" t="n">
        <f aca="false">IF(INDEX(選手一覧!$J$7:$J$2738,$F23)="","",INDEX(選手一覧!$J$7:$J$2738,$F23))</f>
        <v>0.00260451388888889</v>
      </c>
      <c r="J23" s="17" t="n">
        <f aca="false">IF(INDEX(選手一覧!$K$7:$K$2738,$F23)="","",INDEX(選手一覧!$K$7:$K$2738,$F23))</f>
        <v>1</v>
      </c>
    </row>
    <row r="24" customFormat="false" ht="15" hidden="false" customHeight="false" outlineLevel="0" collapsed="false">
      <c r="A24" s="17" t="n">
        <v>20</v>
      </c>
      <c r="B24" s="12" t="s">
        <v>671</v>
      </c>
      <c r="C24" s="12" t="s">
        <v>61</v>
      </c>
      <c r="D24" s="16" t="n">
        <v>0.00642326388888889</v>
      </c>
      <c r="E24" s="15" t="n">
        <f aca="false">ROUND((D24-$D$5)*86400,2)</f>
        <v>15.95</v>
      </c>
      <c r="F24" s="17" t="n">
        <v>368</v>
      </c>
      <c r="G24" s="16" t="n">
        <f aca="false">IF(INDEX(選手一覧!$D$7:$D$2738,$F24)="","",INDEX(選手一覧!$D$7:$D$2738,$F24))</f>
        <v>0.0105289351851852</v>
      </c>
      <c r="H24" s="17" t="n">
        <f aca="false">IF(INDEX(選手一覧!$E$7:$E$2738,$F24)="","",INDEX(選手一覧!$E$7:$E$2738,$F24))</f>
        <v>369</v>
      </c>
      <c r="I24" s="16" t="str">
        <f aca="false">IF(INDEX(選手一覧!$J$7:$J$2738,$F24)="","",INDEX(選手一覧!$J$7:$J$2738,$F24))</f>
        <v/>
      </c>
      <c r="J24" s="17" t="str">
        <f aca="false">IF(INDEX(選手一覧!$K$7:$K$2738,$F24)="","",INDEX(選手一覧!$K$7:$K$2738,$F24))</f>
        <v/>
      </c>
    </row>
    <row r="25" customFormat="false" ht="15" hidden="false" customHeight="false" outlineLevel="0" collapsed="false">
      <c r="A25" s="17" t="n">
        <v>21</v>
      </c>
      <c r="B25" s="12" t="s">
        <v>598</v>
      </c>
      <c r="C25" s="12" t="s">
        <v>599</v>
      </c>
      <c r="D25" s="16" t="n">
        <v>0.0064306712962963</v>
      </c>
      <c r="E25" s="15" t="n">
        <f aca="false">ROUND((D25-$D$5)*86400,2)</f>
        <v>16.59</v>
      </c>
      <c r="F25" s="17" t="n">
        <v>320</v>
      </c>
      <c r="G25" s="16" t="n">
        <f aca="false">IF(INDEX(選手一覧!$D$7:$D$2738,$F25)="","",INDEX(選手一覧!$D$7:$D$2738,$F25))</f>
        <v>0.0104758101851852</v>
      </c>
      <c r="H25" s="17" t="n">
        <f aca="false">IF(INDEX(選手一覧!$E$7:$E$2738,$F25)="","",INDEX(選手一覧!$E$7:$E$2738,$F25))</f>
        <v>321</v>
      </c>
      <c r="I25" s="16" t="n">
        <f aca="false">IF(INDEX(選手一覧!$J$7:$J$2738,$F25)="","",INDEX(選手一覧!$J$7:$J$2738,$F25))</f>
        <v>0.00282106481481482</v>
      </c>
      <c r="J25" s="17" t="n">
        <f aca="false">IF(INDEX(選手一覧!$K$7:$K$2738,$F25)="","",INDEX(選手一覧!$K$7:$K$2738,$F25))</f>
        <v>369</v>
      </c>
    </row>
    <row r="26" customFormat="false" ht="15" hidden="false" customHeight="false" outlineLevel="0" collapsed="false">
      <c r="A26" s="17" t="n">
        <v>22</v>
      </c>
      <c r="B26" s="12" t="s">
        <v>315</v>
      </c>
      <c r="C26" s="12" t="s">
        <v>316</v>
      </c>
      <c r="D26" s="16" t="n">
        <v>0.00644189814814815</v>
      </c>
      <c r="E26" s="15" t="n">
        <f aca="false">ROUND((D26-$D$5)*86400,2)</f>
        <v>17.56</v>
      </c>
      <c r="F26" s="17" t="n">
        <v>151</v>
      </c>
      <c r="G26" s="16" t="n">
        <f aca="false">IF(INDEX(選手一覧!$D$7:$D$2738,$F26)="","",INDEX(選手一覧!$D$7:$D$2738,$F26))</f>
        <v>0.0102828703703704</v>
      </c>
      <c r="H26" s="17" t="n">
        <f aca="false">IF(INDEX(選手一覧!$E$7:$E$2738,$F26)="","",INDEX(選手一覧!$E$7:$E$2738,$F26))</f>
        <v>152</v>
      </c>
      <c r="I26" s="16" t="n">
        <f aca="false">IF(INDEX(選手一覧!$J$7:$J$2738,$F26)="","",INDEX(選手一覧!$J$7:$J$2738,$F26))</f>
        <v>0.00278020833333333</v>
      </c>
      <c r="J26" s="17" t="n">
        <f aca="false">IF(INDEX(選手一覧!$K$7:$K$2738,$F26)="","",INDEX(選手一覧!$K$7:$K$2738,$F26))</f>
        <v>201</v>
      </c>
    </row>
    <row r="27" customFormat="false" ht="15" hidden="false" customHeight="false" outlineLevel="0" collapsed="false">
      <c r="A27" s="17" t="n">
        <v>23</v>
      </c>
      <c r="B27" s="12" t="s">
        <v>855</v>
      </c>
      <c r="C27" s="12" t="s">
        <v>711</v>
      </c>
      <c r="D27" s="16" t="n">
        <v>0.00645543981481482</v>
      </c>
      <c r="E27" s="15" t="n">
        <f aca="false">ROUND((D27-$D$5)*86400,2)</f>
        <v>18.73</v>
      </c>
      <c r="F27" s="17" t="n">
        <v>486</v>
      </c>
      <c r="G27" s="16" t="n">
        <f aca="false">IF(INDEX(選手一覧!$D$7:$D$2738,$F27)="","",INDEX(選手一覧!$D$7:$D$2738,$F27))</f>
        <v>0.0106157407407407</v>
      </c>
      <c r="H27" s="17" t="n">
        <f aca="false">IF(INDEX(選手一覧!$E$7:$E$2738,$F27)="","",INDEX(選手一覧!$E$7:$E$2738,$F27))</f>
        <v>487</v>
      </c>
      <c r="I27" s="16" t="n">
        <f aca="false">IF(INDEX(選手一覧!$J$7:$J$2738,$F27)="","",INDEX(選手一覧!$J$7:$J$2738,$F27))</f>
        <v>0.00290162037037037</v>
      </c>
      <c r="J27" s="17" t="n">
        <f aca="false">IF(INDEX(選手一覧!$K$7:$K$2738,$F27)="","",INDEX(選手一覧!$K$7:$K$2738,$F27))</f>
        <v>960</v>
      </c>
    </row>
    <row r="28" customFormat="false" ht="15" hidden="false" customHeight="false" outlineLevel="0" collapsed="false">
      <c r="A28" s="17" t="n">
        <v>24</v>
      </c>
      <c r="B28" s="12" t="s">
        <v>1620</v>
      </c>
      <c r="C28" s="12" t="s">
        <v>1371</v>
      </c>
      <c r="D28" s="16" t="n">
        <v>0.00645844907407407</v>
      </c>
      <c r="E28" s="15" t="n">
        <f aca="false">ROUND((D28-$D$5)*86400,2)</f>
        <v>18.99</v>
      </c>
      <c r="F28" s="17" t="n">
        <v>995</v>
      </c>
      <c r="G28" s="16" t="n">
        <f aca="false">IF(INDEX(選手一覧!$D$7:$D$2738,$F28)="","",INDEX(選手一覧!$D$7:$D$2738,$F28))</f>
        <v>0.0109490740740741</v>
      </c>
      <c r="H28" s="17" t="n">
        <f aca="false">IF(INDEX(選手一覧!$E$7:$E$2738,$F28)="","",INDEX(選手一覧!$E$7:$E$2738,$F28))</f>
        <v>996</v>
      </c>
      <c r="I28" s="16" t="n">
        <f aca="false">IF(INDEX(選手一覧!$J$7:$J$2738,$F28)="","",INDEX(選手一覧!$J$7:$J$2738,$F28))</f>
        <v>0.00285740740740741</v>
      </c>
      <c r="J28" s="17" t="n">
        <f aca="false">IF(INDEX(選手一覧!$K$7:$K$2738,$F28)="","",INDEX(選手一覧!$K$7:$K$2738,$F28))</f>
        <v>618</v>
      </c>
    </row>
    <row r="29" customFormat="false" ht="15" hidden="false" customHeight="false" outlineLevel="0" collapsed="false">
      <c r="A29" s="17" t="n">
        <v>25</v>
      </c>
      <c r="B29" s="12" t="s">
        <v>487</v>
      </c>
      <c r="C29" s="12" t="s">
        <v>488</v>
      </c>
      <c r="D29" s="16" t="n">
        <v>0.00646053240740741</v>
      </c>
      <c r="E29" s="15" t="n">
        <f aca="false">ROUND((D29-$D$5)*86400,2)</f>
        <v>19.17</v>
      </c>
      <c r="F29" s="17" t="n">
        <v>251</v>
      </c>
      <c r="G29" s="16" t="n">
        <f aca="false">IF(INDEX(選手一覧!$D$7:$D$2738,$F29)="","",INDEX(選手一覧!$D$7:$D$2738,$F29))</f>
        <v>0.0103917824074074</v>
      </c>
      <c r="H29" s="17" t="n">
        <f aca="false">IF(INDEX(選手一覧!$E$7:$E$2738,$F29)="","",INDEX(選手一覧!$E$7:$E$2738,$F29))</f>
        <v>252</v>
      </c>
      <c r="I29" s="16" t="n">
        <f aca="false">IF(INDEX(選手一覧!$J$7:$J$2738,$F29)="","",INDEX(選手一覧!$J$7:$J$2738,$F29))</f>
        <v>0.00286458333333333</v>
      </c>
      <c r="J29" s="17" t="n">
        <f aca="false">IF(INDEX(選手一覧!$K$7:$K$2738,$F29)="","",INDEX(選手一覧!$K$7:$K$2738,$F29))</f>
        <v>663</v>
      </c>
    </row>
    <row r="30" customFormat="false" ht="15" hidden="false" customHeight="false" outlineLevel="0" collapsed="false">
      <c r="A30" s="17" t="n">
        <v>26</v>
      </c>
      <c r="B30" s="12" t="s">
        <v>431</v>
      </c>
      <c r="C30" s="12" t="s">
        <v>186</v>
      </c>
      <c r="D30" s="16" t="n">
        <v>0.0064625</v>
      </c>
      <c r="E30" s="15" t="n">
        <f aca="false">ROUND((D30-$D$5)*86400,2)</f>
        <v>19.34</v>
      </c>
      <c r="F30" s="17" t="n">
        <v>221</v>
      </c>
      <c r="G30" s="16" t="n">
        <f aca="false">IF(INDEX(選手一覧!$D$7:$D$2738,$F30)="","",INDEX(選手一覧!$D$7:$D$2738,$F30))</f>
        <v>0.0103675925925926</v>
      </c>
      <c r="H30" s="17" t="n">
        <f aca="false">IF(INDEX(選手一覧!$E$7:$E$2738,$F30)="","",INDEX(選手一覧!$E$7:$E$2738,$F30))</f>
        <v>222</v>
      </c>
      <c r="I30" s="16" t="n">
        <f aca="false">IF(INDEX(選手一覧!$J$7:$J$2738,$F30)="","",INDEX(選手一覧!$J$7:$J$2738,$F30))</f>
        <v>0.00275833333333333</v>
      </c>
      <c r="J30" s="17" t="n">
        <f aca="false">IF(INDEX(選手一覧!$K$7:$K$2738,$F30)="","",INDEX(選手一覧!$K$7:$K$2738,$F30))</f>
        <v>130</v>
      </c>
    </row>
    <row r="31" customFormat="false" ht="15" hidden="false" customHeight="false" outlineLevel="0" collapsed="false">
      <c r="A31" s="17" t="n">
        <v>27</v>
      </c>
      <c r="B31" s="12" t="s">
        <v>718</v>
      </c>
      <c r="C31" s="12" t="s">
        <v>228</v>
      </c>
      <c r="D31" s="16" t="n">
        <v>0.00646284722222222</v>
      </c>
      <c r="E31" s="15" t="n">
        <f aca="false">ROUND((D31-$D$5)*86400,2)</f>
        <v>19.37</v>
      </c>
      <c r="F31" s="17" t="n">
        <v>398</v>
      </c>
      <c r="G31" s="16" t="n">
        <f aca="false">IF(INDEX(選手一覧!$D$7:$D$2738,$F31)="","",INDEX(選手一覧!$D$7:$D$2738,$F31))</f>
        <v>0.0105503472222222</v>
      </c>
      <c r="H31" s="17" t="n">
        <f aca="false">IF(INDEX(選手一覧!$E$7:$E$2738,$F31)="","",INDEX(選手一覧!$E$7:$E$2738,$F31))</f>
        <v>399</v>
      </c>
      <c r="I31" s="16" t="n">
        <f aca="false">IF(INDEX(選手一覧!$J$7:$J$2738,$F31)="","",INDEX(選手一覧!$J$7:$J$2738,$F31))</f>
        <v>0.00287256944444445</v>
      </c>
      <c r="J31" s="17" t="n">
        <f aca="false">IF(INDEX(選手一覧!$K$7:$K$2738,$F31)="","",INDEX(選手一覧!$K$7:$K$2738,$F31))</f>
        <v>719</v>
      </c>
    </row>
    <row r="32" customFormat="false" ht="15" hidden="false" customHeight="false" outlineLevel="0" collapsed="false">
      <c r="A32" s="17" t="n">
        <v>28</v>
      </c>
      <c r="B32" s="12" t="s">
        <v>964</v>
      </c>
      <c r="C32" s="12" t="s">
        <v>965</v>
      </c>
      <c r="D32" s="16" t="n">
        <v>0.00646342592592593</v>
      </c>
      <c r="E32" s="15" t="n">
        <f aca="false">ROUND((D32-$D$5)*86400,2)</f>
        <v>19.42</v>
      </c>
      <c r="F32" s="17" t="n">
        <v>552</v>
      </c>
      <c r="G32" s="16" t="n">
        <f aca="false">IF(INDEX(選手一覧!$D$7:$D$2738,$F32)="","",INDEX(選手一覧!$D$7:$D$2738,$F32))</f>
        <v>0.0106737268518519</v>
      </c>
      <c r="H32" s="17" t="n">
        <f aca="false">IF(INDEX(選手一覧!$E$7:$E$2738,$F32)="","",INDEX(選手一覧!$E$7:$E$2738,$F32))</f>
        <v>553</v>
      </c>
      <c r="I32" s="16" t="n">
        <f aca="false">IF(INDEX(選手一覧!$J$7:$J$2738,$F32)="","",INDEX(選手一覧!$J$7:$J$2738,$F32))</f>
        <v>0.00288541666666667</v>
      </c>
      <c r="J32" s="17" t="n">
        <f aca="false">IF(INDEX(選手一覧!$K$7:$K$2738,$F32)="","",INDEX(選手一覧!$K$7:$K$2738,$F32))</f>
        <v>821</v>
      </c>
    </row>
    <row r="33" customFormat="false" ht="15" hidden="false" customHeight="false" outlineLevel="0" collapsed="false">
      <c r="A33" s="17" t="n">
        <v>29</v>
      </c>
      <c r="B33" s="12" t="s">
        <v>171</v>
      </c>
      <c r="C33" s="12" t="s">
        <v>152</v>
      </c>
      <c r="D33" s="16" t="n">
        <v>0.00647060185185185</v>
      </c>
      <c r="E33" s="15" t="n">
        <f aca="false">ROUND((D33-$D$5)*86400,2)</f>
        <v>20.04</v>
      </c>
      <c r="F33" s="17" t="n">
        <v>73</v>
      </c>
      <c r="G33" s="16" t="n">
        <f aca="false">IF(INDEX(選手一覧!$D$7:$D$2738,$F33)="","",INDEX(選手一覧!$D$7:$D$2738,$F33))</f>
        <v>0.0101585648148148</v>
      </c>
      <c r="H33" s="17" t="n">
        <f aca="false">IF(INDEX(選手一覧!$E$7:$E$2738,$F33)="","",INDEX(選手一覧!$E$7:$E$2738,$F33))</f>
        <v>74</v>
      </c>
      <c r="I33" s="16" t="str">
        <f aca="false">IF(INDEX(選手一覧!$J$7:$J$2738,$F33)="","",INDEX(選手一覧!$J$7:$J$2738,$F33))</f>
        <v/>
      </c>
      <c r="J33" s="17" t="str">
        <f aca="false">IF(INDEX(選手一覧!$K$7:$K$2738,$F33)="","",INDEX(選手一覧!$K$7:$K$2738,$F33))</f>
        <v/>
      </c>
    </row>
    <row r="34" customFormat="false" ht="15" hidden="false" customHeight="false" outlineLevel="0" collapsed="false">
      <c r="A34" s="17" t="n">
        <v>30</v>
      </c>
      <c r="B34" s="12" t="s">
        <v>358</v>
      </c>
      <c r="C34" s="12" t="s">
        <v>323</v>
      </c>
      <c r="D34" s="16" t="n">
        <v>0.00648136574074074</v>
      </c>
      <c r="E34" s="15" t="n">
        <f aca="false">ROUND((D34-$D$5)*86400,2)</f>
        <v>20.97</v>
      </c>
      <c r="F34" s="17" t="n">
        <v>174</v>
      </c>
      <c r="G34" s="16" t="n">
        <f aca="false">IF(INDEX(選手一覧!$D$7:$D$2738,$F34)="","",INDEX(選手一覧!$D$7:$D$2738,$F34))</f>
        <v>0.0103246527777778</v>
      </c>
      <c r="H34" s="17" t="n">
        <f aca="false">IF(INDEX(選手一覧!$E$7:$E$2738,$F34)="","",INDEX(選手一覧!$E$7:$E$2738,$F34))</f>
        <v>175</v>
      </c>
      <c r="I34" s="16" t="n">
        <f aca="false">IF(INDEX(選手一覧!$J$7:$J$2738,$F34)="","",INDEX(選手一覧!$J$7:$J$2738,$F34))</f>
        <v>0.00279930555555556</v>
      </c>
      <c r="J34" s="17" t="n">
        <f aca="false">IF(INDEX(選手一覧!$K$7:$K$2738,$F34)="","",INDEX(選手一覧!$K$7:$K$2738,$F34))</f>
        <v>279</v>
      </c>
    </row>
    <row r="35" customFormat="false" ht="15" hidden="false" customHeight="false" outlineLevel="0" collapsed="false">
      <c r="A35" s="17" t="n">
        <v>31</v>
      </c>
      <c r="B35" s="12" t="s">
        <v>211</v>
      </c>
      <c r="C35" s="12" t="s">
        <v>212</v>
      </c>
      <c r="D35" s="16" t="n">
        <v>0.00648483796296296</v>
      </c>
      <c r="E35" s="15" t="n">
        <f aca="false">ROUND((D35-$D$5)*86400,2)</f>
        <v>21.27</v>
      </c>
      <c r="F35" s="17" t="n">
        <v>96</v>
      </c>
      <c r="G35" s="16" t="n">
        <f aca="false">IF(INDEX(選手一覧!$D$7:$D$2738,$F35)="","",INDEX(選手一覧!$D$7:$D$2738,$F35))</f>
        <v>0.0102012731481482</v>
      </c>
      <c r="H35" s="17" t="n">
        <f aca="false">IF(INDEX(選手一覧!$E$7:$E$2738,$F35)="","",INDEX(選手一覧!$E$7:$E$2738,$F35))</f>
        <v>97</v>
      </c>
      <c r="I35" s="16" t="n">
        <f aca="false">IF(INDEX(選手一覧!$J$7:$J$2738,$F35)="","",INDEX(選手一覧!$J$7:$J$2738,$F35))</f>
        <v>0.00275451388888889</v>
      </c>
      <c r="J35" s="17" t="n">
        <f aca="false">IF(INDEX(選手一覧!$K$7:$K$2738,$F35)="","",INDEX(選手一覧!$K$7:$K$2738,$F35))</f>
        <v>120</v>
      </c>
    </row>
    <row r="36" customFormat="false" ht="15" hidden="false" customHeight="false" outlineLevel="0" collapsed="false">
      <c r="A36" s="17" t="n">
        <v>32</v>
      </c>
      <c r="B36" s="12" t="s">
        <v>952</v>
      </c>
      <c r="C36" s="12" t="s">
        <v>953</v>
      </c>
      <c r="D36" s="16" t="n">
        <v>0.00648645833333333</v>
      </c>
      <c r="E36" s="15" t="n">
        <f aca="false">ROUND((D36-$D$5)*86400,2)</f>
        <v>21.41</v>
      </c>
      <c r="F36" s="17" t="n">
        <v>543</v>
      </c>
      <c r="G36" s="16" t="n">
        <f aca="false">IF(INDEX(選手一覧!$D$7:$D$2738,$F36)="","",INDEX(選手一覧!$D$7:$D$2738,$F36))</f>
        <v>0.0106686342592593</v>
      </c>
      <c r="H36" s="17" t="n">
        <f aca="false">IF(INDEX(選手一覧!$E$7:$E$2738,$F36)="","",INDEX(選手一覧!$E$7:$E$2738,$F36))</f>
        <v>544</v>
      </c>
      <c r="I36" s="16" t="n">
        <f aca="false">IF(INDEX(選手一覧!$J$7:$J$2738,$F36)="","",INDEX(選手一覧!$J$7:$J$2738,$F36))</f>
        <v>0.00273206018518519</v>
      </c>
      <c r="J36" s="17" t="n">
        <f aca="false">IF(INDEX(選手一覧!$K$7:$K$2738,$F36)="","",INDEX(選手一覧!$K$7:$K$2738,$F36))</f>
        <v>68</v>
      </c>
    </row>
    <row r="37" customFormat="false" ht="15" hidden="false" customHeight="false" outlineLevel="0" collapsed="false">
      <c r="A37" s="17" t="n">
        <v>33</v>
      </c>
      <c r="B37" s="12" t="s">
        <v>868</v>
      </c>
      <c r="C37" s="12" t="s">
        <v>869</v>
      </c>
      <c r="D37" s="16" t="n">
        <v>0.00649166666666667</v>
      </c>
      <c r="E37" s="15" t="n">
        <f aca="false">ROUND((D37-$D$5)*86400,2)</f>
        <v>21.86</v>
      </c>
      <c r="F37" s="17" t="n">
        <v>494</v>
      </c>
      <c r="G37" s="16" t="n">
        <f aca="false">IF(INDEX(選手一覧!$D$7:$D$2738,$F37)="","",INDEX(選手一覧!$D$7:$D$2738,$F37))</f>
        <v>0.0106184027777778</v>
      </c>
      <c r="H37" s="17" t="n">
        <f aca="false">IF(INDEX(選手一覧!$E$7:$E$2738,$F37)="","",INDEX(選手一覧!$E$7:$E$2738,$F37))</f>
        <v>495</v>
      </c>
      <c r="I37" s="16" t="n">
        <f aca="false">IF(INDEX(選手一覧!$J$7:$J$2738,$F37)="","",INDEX(選手一覧!$J$7:$J$2738,$F37))</f>
        <v>0.0028912037037037</v>
      </c>
      <c r="J37" s="17" t="n">
        <f aca="false">IF(INDEX(選手一覧!$K$7:$K$2738,$F37)="","",INDEX(選手一覧!$K$7:$K$2738,$F37))</f>
        <v>878</v>
      </c>
    </row>
    <row r="38" customFormat="false" ht="15" hidden="false" customHeight="false" outlineLevel="0" collapsed="false">
      <c r="A38" s="17" t="n">
        <v>34</v>
      </c>
      <c r="B38" s="12" t="s">
        <v>608</v>
      </c>
      <c r="C38" s="12" t="s">
        <v>609</v>
      </c>
      <c r="D38" s="16" t="n">
        <v>0.00649502314814815</v>
      </c>
      <c r="E38" s="15" t="n">
        <f aca="false">ROUND((D38-$D$5)*86400,2)</f>
        <v>22.15</v>
      </c>
      <c r="F38" s="17" t="n">
        <v>327</v>
      </c>
      <c r="G38" s="16" t="n">
        <f aca="false">IF(INDEX(選手一覧!$D$7:$D$2738,$F38)="","",INDEX(選手一覧!$D$7:$D$2738,$F38))</f>
        <v>0.0104847222222222</v>
      </c>
      <c r="H38" s="17" t="n">
        <f aca="false">IF(INDEX(選手一覧!$E$7:$E$2738,$F38)="","",INDEX(選手一覧!$E$7:$E$2738,$F38))</f>
        <v>328</v>
      </c>
      <c r="I38" s="16" t="n">
        <f aca="false">IF(INDEX(選手一覧!$J$7:$J$2738,$F38)="","",INDEX(選手一覧!$J$7:$J$2738,$F38))</f>
        <v>0.00281458333333333</v>
      </c>
      <c r="J38" s="17" t="n">
        <f aca="false">IF(INDEX(選手一覧!$K$7:$K$2738,$F38)="","",INDEX(選手一覧!$K$7:$K$2738,$F38))</f>
        <v>342</v>
      </c>
    </row>
    <row r="39" customFormat="false" ht="15" hidden="false" customHeight="false" outlineLevel="0" collapsed="false">
      <c r="A39" s="17" t="n">
        <v>35</v>
      </c>
      <c r="B39" s="12" t="s">
        <v>1755</v>
      </c>
      <c r="C39" s="12" t="s">
        <v>1756</v>
      </c>
      <c r="D39" s="16" t="n">
        <v>0.00649803240740741</v>
      </c>
      <c r="E39" s="15" t="n">
        <f aca="false">ROUND((D39-$D$5)*86400,2)</f>
        <v>22.41</v>
      </c>
      <c r="F39" s="17" t="n">
        <v>1085</v>
      </c>
      <c r="G39" s="16" t="n">
        <f aca="false">IF(INDEX(選手一覧!$D$7:$D$2738,$F39)="","",INDEX(選手一覧!$D$7:$D$2738,$F39))</f>
        <v>0.0109936342592593</v>
      </c>
      <c r="H39" s="17" t="n">
        <f aca="false">IF(INDEX(選手一覧!$E$7:$E$2738,$F39)="","",INDEX(選手一覧!$E$7:$E$2738,$F39))</f>
        <v>1086</v>
      </c>
      <c r="I39" s="16" t="n">
        <f aca="false">IF(INDEX(選手一覧!$J$7:$J$2738,$F39)="","",INDEX(選手一覧!$J$7:$J$2738,$F39))</f>
        <v>0.00290150462962963</v>
      </c>
      <c r="J39" s="17" t="n">
        <f aca="false">IF(INDEX(選手一覧!$K$7:$K$2738,$F39)="","",INDEX(選手一覧!$K$7:$K$2738,$F39))</f>
        <v>958</v>
      </c>
    </row>
    <row r="40" customFormat="false" ht="15" hidden="false" customHeight="false" outlineLevel="0" collapsed="false">
      <c r="A40" s="17" t="n">
        <v>36</v>
      </c>
      <c r="B40" s="12" t="s">
        <v>553</v>
      </c>
      <c r="C40" s="12" t="s">
        <v>438</v>
      </c>
      <c r="D40" s="16" t="n">
        <v>0.00650046296296296</v>
      </c>
      <c r="E40" s="15" t="n">
        <f aca="false">ROUND((D40-$D$5)*86400,2)</f>
        <v>22.62</v>
      </c>
      <c r="F40" s="17" t="n">
        <v>294</v>
      </c>
      <c r="G40" s="16" t="n">
        <f aca="false">IF(INDEX(選手一覧!$D$7:$D$2738,$F40)="","",INDEX(選手一覧!$D$7:$D$2738,$F40))</f>
        <v>0.0104319444444445</v>
      </c>
      <c r="H40" s="17" t="n">
        <f aca="false">IF(INDEX(選手一覧!$E$7:$E$2738,$F40)="","",INDEX(選手一覧!$E$7:$E$2738,$F40))</f>
        <v>295</v>
      </c>
      <c r="I40" s="16" t="n">
        <f aca="false">IF(INDEX(選手一覧!$J$7:$J$2738,$F40)="","",INDEX(選手一覧!$J$7:$J$2738,$F40))</f>
        <v>0.00285821759259259</v>
      </c>
      <c r="J40" s="17" t="n">
        <f aca="false">IF(INDEX(選手一覧!$K$7:$K$2738,$F40)="","",INDEX(選手一覧!$K$7:$K$2738,$F40))</f>
        <v>623</v>
      </c>
    </row>
    <row r="41" customFormat="false" ht="15" hidden="false" customHeight="false" outlineLevel="0" collapsed="false">
      <c r="A41" s="17" t="n">
        <v>37</v>
      </c>
      <c r="B41" s="12" t="s">
        <v>446</v>
      </c>
      <c r="C41" s="12" t="s">
        <v>447</v>
      </c>
      <c r="D41" s="16" t="n">
        <v>0.00650520833333333</v>
      </c>
      <c r="E41" s="15" t="n">
        <f aca="false">ROUND((D41-$D$5)*86400,2)</f>
        <v>23.03</v>
      </c>
      <c r="F41" s="17" t="n">
        <v>228</v>
      </c>
      <c r="G41" s="16" t="n">
        <f aca="false">IF(INDEX(選手一覧!$D$7:$D$2738,$F41)="","",INDEX(選手一覧!$D$7:$D$2738,$F41))</f>
        <v>0.0103741898148148</v>
      </c>
      <c r="H41" s="17" t="n">
        <f aca="false">IF(INDEX(選手一覧!$E$7:$E$2738,$F41)="","",INDEX(選手一覧!$E$7:$E$2738,$F41))</f>
        <v>229</v>
      </c>
      <c r="I41" s="16" t="n">
        <f aca="false">IF(INDEX(選手一覧!$J$7:$J$2738,$F41)="","",INDEX(選手一覧!$J$7:$J$2738,$F41))</f>
        <v>0.00288148148148148</v>
      </c>
      <c r="J41" s="17" t="n">
        <f aca="false">IF(INDEX(選手一覧!$K$7:$K$2738,$F41)="","",INDEX(選手一覧!$K$7:$K$2738,$F41))</f>
        <v>784</v>
      </c>
    </row>
    <row r="42" customFormat="false" ht="15" hidden="false" customHeight="false" outlineLevel="0" collapsed="false">
      <c r="A42" s="17" t="n">
        <v>38</v>
      </c>
      <c r="B42" s="12" t="s">
        <v>527</v>
      </c>
      <c r="C42" s="12" t="s">
        <v>348</v>
      </c>
      <c r="D42" s="16" t="n">
        <v>0.00650740740740741</v>
      </c>
      <c r="E42" s="15" t="n">
        <f aca="false">ROUND((D42-$D$5)*86400,2)</f>
        <v>23.22</v>
      </c>
      <c r="F42" s="17" t="n">
        <v>278</v>
      </c>
      <c r="G42" s="16" t="n">
        <f aca="false">IF(INDEX(選手一覧!$D$7:$D$2738,$F42)="","",INDEX(選手一覧!$D$7:$D$2738,$F42))</f>
        <v>0.0104118055555556</v>
      </c>
      <c r="H42" s="17" t="n">
        <f aca="false">IF(INDEX(選手一覧!$E$7:$E$2738,$F42)="","",INDEX(選手一覧!$E$7:$E$2738,$F42))</f>
        <v>279</v>
      </c>
      <c r="I42" s="16" t="n">
        <f aca="false">IF(INDEX(選手一覧!$J$7:$J$2738,$F42)="","",INDEX(選手一覧!$J$7:$J$2738,$F42))</f>
        <v>0.00278425925925926</v>
      </c>
      <c r="J42" s="17" t="n">
        <f aca="false">IF(INDEX(選手一覧!$K$7:$K$2738,$F42)="","",INDEX(選手一覧!$K$7:$K$2738,$F42))</f>
        <v>217</v>
      </c>
    </row>
    <row r="43" customFormat="false" ht="15" hidden="false" customHeight="false" outlineLevel="0" collapsed="false">
      <c r="A43" s="17" t="n">
        <v>39</v>
      </c>
      <c r="B43" s="12" t="s">
        <v>493</v>
      </c>
      <c r="C43" s="12" t="s">
        <v>214</v>
      </c>
      <c r="D43" s="16" t="n">
        <v>0.00652337962962963</v>
      </c>
      <c r="E43" s="15" t="n">
        <f aca="false">ROUND((D43-$D$5)*86400,2)</f>
        <v>24.6</v>
      </c>
      <c r="F43" s="17" t="n">
        <v>255</v>
      </c>
      <c r="G43" s="16" t="n">
        <f aca="false">IF(INDEX(選手一覧!$D$7:$D$2738,$F43)="","",INDEX(選手一覧!$D$7:$D$2738,$F43))</f>
        <v>0.010396412037037</v>
      </c>
      <c r="H43" s="17" t="n">
        <f aca="false">IF(INDEX(選手一覧!$E$7:$E$2738,$F43)="","",INDEX(選手一覧!$E$7:$E$2738,$F43))</f>
        <v>256</v>
      </c>
      <c r="I43" s="16" t="n">
        <f aca="false">IF(INDEX(選手一覧!$J$7:$J$2738,$F43)="","",INDEX(選手一覧!$J$7:$J$2738,$F43))</f>
        <v>0.00278912037037037</v>
      </c>
      <c r="J43" s="17" t="n">
        <f aca="false">IF(INDEX(選手一覧!$K$7:$K$2738,$F43)="","",INDEX(選手一覧!$K$7:$K$2738,$F43))</f>
        <v>237</v>
      </c>
    </row>
    <row r="44" customFormat="false" ht="15" hidden="false" customHeight="false" outlineLevel="0" collapsed="false">
      <c r="A44" s="17" t="n">
        <v>40</v>
      </c>
      <c r="B44" s="12" t="s">
        <v>602</v>
      </c>
      <c r="C44" s="12" t="s">
        <v>430</v>
      </c>
      <c r="D44" s="16" t="n">
        <v>0.00652893518518519</v>
      </c>
      <c r="E44" s="15" t="n">
        <f aca="false">ROUND((D44-$D$5)*86400,2)</f>
        <v>25.08</v>
      </c>
      <c r="F44" s="17" t="n">
        <v>322</v>
      </c>
      <c r="G44" s="16" t="n">
        <f aca="false">IF(INDEX(選手一覧!$D$7:$D$2738,$F44)="","",INDEX(選手一覧!$D$7:$D$2738,$F44))</f>
        <v>0.0104782407407407</v>
      </c>
      <c r="H44" s="17" t="n">
        <f aca="false">IF(INDEX(選手一覧!$E$7:$E$2738,$F44)="","",INDEX(選手一覧!$E$7:$E$2738,$F44))</f>
        <v>323</v>
      </c>
      <c r="I44" s="16" t="str">
        <f aca="false">IF(INDEX(選手一覧!$J$7:$J$2738,$F44)="","",INDEX(選手一覧!$J$7:$J$2738,$F44))</f>
        <v/>
      </c>
      <c r="J44" s="17" t="str">
        <f aca="false">IF(INDEX(選手一覧!$K$7:$K$2738,$F44)="","",INDEX(選手一覧!$K$7:$K$2738,$F44))</f>
        <v/>
      </c>
    </row>
    <row r="45" customFormat="false" ht="15" hidden="false" customHeight="false" outlineLevel="0" collapsed="false">
      <c r="A45" s="17" t="n">
        <v>41</v>
      </c>
      <c r="B45" s="12" t="s">
        <v>1080</v>
      </c>
      <c r="C45" s="12" t="s">
        <v>77</v>
      </c>
      <c r="D45" s="16" t="n">
        <v>0.00653611111111111</v>
      </c>
      <c r="E45" s="15" t="n">
        <f aca="false">ROUND((D45-$D$5)*86400,2)</f>
        <v>25.7</v>
      </c>
      <c r="F45" s="17" t="n">
        <v>635</v>
      </c>
      <c r="G45" s="16" t="n">
        <f aca="false">IF(INDEX(選手一覧!$D$7:$D$2738,$F45)="","",INDEX(選手一覧!$D$7:$D$2738,$F45))</f>
        <v>0.0107318287037037</v>
      </c>
      <c r="H45" s="17" t="n">
        <f aca="false">IF(INDEX(選手一覧!$E$7:$E$2738,$F45)="","",INDEX(選手一覧!$E$7:$E$2738,$F45))</f>
        <v>636</v>
      </c>
      <c r="I45" s="16" t="n">
        <f aca="false">IF(INDEX(選手一覧!$J$7:$J$2738,$F45)="","",INDEX(選手一覧!$J$7:$J$2738,$F45))</f>
        <v>0.00287986111111111</v>
      </c>
      <c r="J45" s="17" t="n">
        <f aca="false">IF(INDEX(選手一覧!$K$7:$K$2738,$F45)="","",INDEX(選手一覧!$K$7:$K$2738,$F45))</f>
        <v>770</v>
      </c>
    </row>
    <row r="46" customFormat="false" ht="15" hidden="false" customHeight="false" outlineLevel="0" collapsed="false">
      <c r="A46" s="17" t="n">
        <v>42</v>
      </c>
      <c r="B46" s="12" t="s">
        <v>1073</v>
      </c>
      <c r="C46" s="12" t="s">
        <v>243</v>
      </c>
      <c r="D46" s="16" t="n">
        <v>0.00653715277777778</v>
      </c>
      <c r="E46" s="15" t="n">
        <f aca="false">ROUND((D46-$D$5)*86400,2)</f>
        <v>25.79</v>
      </c>
      <c r="F46" s="17" t="n">
        <v>629</v>
      </c>
      <c r="G46" s="16" t="n">
        <f aca="false">IF(INDEX(選手一覧!$D$7:$D$2738,$F46)="","",INDEX(選手一覧!$D$7:$D$2738,$F46))</f>
        <v>0.0107283564814815</v>
      </c>
      <c r="H46" s="17" t="n">
        <f aca="false">IF(INDEX(選手一覧!$E$7:$E$2738,$F46)="","",INDEX(選手一覧!$E$7:$E$2738,$F46))</f>
        <v>630</v>
      </c>
      <c r="I46" s="16" t="str">
        <f aca="false">IF(INDEX(選手一覧!$J$7:$J$2738,$F46)="","",INDEX(選手一覧!$J$7:$J$2738,$F46))</f>
        <v/>
      </c>
      <c r="J46" s="17" t="str">
        <f aca="false">IF(INDEX(選手一覧!$K$7:$K$2738,$F46)="","",INDEX(選手一覧!$K$7:$K$2738,$F46))</f>
        <v/>
      </c>
    </row>
    <row r="47" customFormat="false" ht="15" hidden="false" customHeight="false" outlineLevel="0" collapsed="false">
      <c r="A47" s="17" t="n">
        <v>43</v>
      </c>
      <c r="B47" s="12" t="s">
        <v>354</v>
      </c>
      <c r="C47" s="12" t="s">
        <v>303</v>
      </c>
      <c r="D47" s="16" t="n">
        <v>0.006540625</v>
      </c>
      <c r="E47" s="15" t="n">
        <f aca="false">ROUND((D47-$D$5)*86400,2)</f>
        <v>26.09</v>
      </c>
      <c r="F47" s="17" t="n">
        <v>171</v>
      </c>
      <c r="G47" s="16" t="n">
        <f aca="false">IF(INDEX(選手一覧!$D$7:$D$2738,$F47)="","",INDEX(選手一覧!$D$7:$D$2738,$F47))</f>
        <v>0.0103181712962963</v>
      </c>
      <c r="H47" s="17" t="n">
        <f aca="false">IF(INDEX(選手一覧!$E$7:$E$2738,$F47)="","",INDEX(選手一覧!$E$7:$E$2738,$F47))</f>
        <v>172</v>
      </c>
      <c r="I47" s="16" t="n">
        <f aca="false">IF(INDEX(選手一覧!$J$7:$J$2738,$F47)="","",INDEX(選手一覧!$J$7:$J$2738,$F47))</f>
        <v>0.00277326388888889</v>
      </c>
      <c r="J47" s="17" t="n">
        <f aca="false">IF(INDEX(選手一覧!$K$7:$K$2738,$F47)="","",INDEX(選手一覧!$K$7:$K$2738,$F47))</f>
        <v>168</v>
      </c>
    </row>
    <row r="48" customFormat="false" ht="15" hidden="false" customHeight="false" outlineLevel="0" collapsed="false">
      <c r="A48" s="17" t="n">
        <v>44</v>
      </c>
      <c r="B48" s="12" t="s">
        <v>1640</v>
      </c>
      <c r="C48" s="12" t="s">
        <v>1641</v>
      </c>
      <c r="D48" s="16" t="n">
        <v>0.00654305555555556</v>
      </c>
      <c r="E48" s="15" t="n">
        <f aca="false">ROUND((D48-$D$5)*86400,2)</f>
        <v>26.3</v>
      </c>
      <c r="F48" s="17" t="n">
        <v>1009</v>
      </c>
      <c r="G48" s="16" t="n">
        <f aca="false">IF(INDEX(選手一覧!$D$7:$D$2738,$F48)="","",INDEX(選手一覧!$D$7:$D$2738,$F48))</f>
        <v>0.0109534722222222</v>
      </c>
      <c r="H48" s="17" t="n">
        <f aca="false">IF(INDEX(選手一覧!$E$7:$E$2738,$F48)="","",INDEX(選手一覧!$E$7:$E$2738,$F48))</f>
        <v>1010</v>
      </c>
      <c r="I48" s="16" t="str">
        <f aca="false">IF(INDEX(選手一覧!$J$7:$J$2738,$F48)="","",INDEX(選手一覧!$J$7:$J$2738,$F48))</f>
        <v/>
      </c>
      <c r="J48" s="17" t="str">
        <f aca="false">IF(INDEX(選手一覧!$K$7:$K$2738,$F48)="","",INDEX(選手一覧!$K$7:$K$2738,$F48))</f>
        <v/>
      </c>
    </row>
    <row r="49" customFormat="false" ht="15" hidden="false" customHeight="false" outlineLevel="0" collapsed="false">
      <c r="A49" s="17" t="n">
        <v>45</v>
      </c>
      <c r="B49" s="12" t="s">
        <v>350</v>
      </c>
      <c r="C49" s="12" t="s">
        <v>351</v>
      </c>
      <c r="D49" s="16" t="n">
        <v>0.00654826388888889</v>
      </c>
      <c r="E49" s="15" t="n">
        <f aca="false">ROUND((D49-$D$5)*86400,2)</f>
        <v>26.75</v>
      </c>
      <c r="F49" s="17" t="n">
        <v>169</v>
      </c>
      <c r="G49" s="16" t="n">
        <f aca="false">IF(INDEX(選手一覧!$D$7:$D$2738,$F49)="","",INDEX(選手一覧!$D$7:$D$2738,$F49))</f>
        <v>0.0103172453703704</v>
      </c>
      <c r="H49" s="17" t="n">
        <f aca="false">IF(INDEX(選手一覧!$E$7:$E$2738,$F49)="","",INDEX(選手一覧!$E$7:$E$2738,$F49))</f>
        <v>170</v>
      </c>
      <c r="I49" s="16" t="n">
        <f aca="false">IF(INDEX(選手一覧!$J$7:$J$2738,$F49)="","",INDEX(選手一覧!$J$7:$J$2738,$F49))</f>
        <v>0.00278391203703704</v>
      </c>
      <c r="J49" s="17" t="n">
        <f aca="false">IF(INDEX(選手一覧!$K$7:$K$2738,$F49)="","",INDEX(選手一覧!$K$7:$K$2738,$F49))</f>
        <v>216</v>
      </c>
    </row>
    <row r="50" customFormat="false" ht="15" hidden="false" customHeight="false" outlineLevel="0" collapsed="false">
      <c r="A50" s="17" t="n">
        <v>46</v>
      </c>
      <c r="B50" s="12" t="s">
        <v>645</v>
      </c>
      <c r="C50" s="12" t="s">
        <v>245</v>
      </c>
      <c r="D50" s="16" t="n">
        <v>0.00655925925925926</v>
      </c>
      <c r="E50" s="15" t="n">
        <f aca="false">ROUND((D50-$D$5)*86400,2)</f>
        <v>27.7</v>
      </c>
      <c r="F50" s="17" t="n">
        <v>351</v>
      </c>
      <c r="G50" s="16" t="n">
        <f aca="false">IF(INDEX(選手一覧!$D$7:$D$2738,$F50)="","",INDEX(選手一覧!$D$7:$D$2738,$F50))</f>
        <v>0.0105116898148148</v>
      </c>
      <c r="H50" s="17" t="n">
        <f aca="false">IF(INDEX(選手一覧!$E$7:$E$2738,$F50)="","",INDEX(選手一覧!$E$7:$E$2738,$F50))</f>
        <v>352</v>
      </c>
      <c r="I50" s="16" t="n">
        <f aca="false">IF(INDEX(選手一覧!$J$7:$J$2738,$F50)="","",INDEX(選手一覧!$J$7:$J$2738,$F50))</f>
        <v>0.00283414351851852</v>
      </c>
      <c r="J50" s="17" t="n">
        <f aca="false">IF(INDEX(選手一覧!$K$7:$K$2738,$F50)="","",INDEX(選手一覧!$K$7:$K$2738,$F50))</f>
        <v>451</v>
      </c>
    </row>
    <row r="51" customFormat="false" ht="15" hidden="false" customHeight="false" outlineLevel="0" collapsed="false">
      <c r="A51" s="17" t="n">
        <v>47</v>
      </c>
      <c r="B51" s="12" t="s">
        <v>643</v>
      </c>
      <c r="C51" s="12" t="s">
        <v>77</v>
      </c>
      <c r="D51" s="16" t="n">
        <v>0.006559375</v>
      </c>
      <c r="E51" s="15" t="n">
        <f aca="false">ROUND((D51-$D$5)*86400,2)</f>
        <v>27.71</v>
      </c>
      <c r="F51" s="17" t="n">
        <v>350</v>
      </c>
      <c r="G51" s="16" t="n">
        <f aca="false">IF(INDEX(選手一覧!$D$7:$D$2738,$F51)="","",INDEX(選手一覧!$D$7:$D$2738,$F51))</f>
        <v>0.0105115740740741</v>
      </c>
      <c r="H51" s="17" t="n">
        <f aca="false">IF(INDEX(選手一覧!$E$7:$E$2738,$F51)="","",INDEX(選手一覧!$E$7:$E$2738,$F51))</f>
        <v>351</v>
      </c>
      <c r="I51" s="16" t="n">
        <f aca="false">IF(INDEX(選手一覧!$J$7:$J$2738,$F51)="","",INDEX(選手一覧!$J$7:$J$2738,$F51))</f>
        <v>0.00293391203703704</v>
      </c>
      <c r="J51" s="17" t="n">
        <f aca="false">IF(INDEX(選手一覧!$K$7:$K$2738,$F51)="","",INDEX(選手一覧!$K$7:$K$2738,$F51))</f>
        <v>1182</v>
      </c>
    </row>
    <row r="52" customFormat="false" ht="15" hidden="false" customHeight="false" outlineLevel="0" collapsed="false">
      <c r="A52" s="17" t="n">
        <v>48</v>
      </c>
      <c r="B52" s="12" t="s">
        <v>881</v>
      </c>
      <c r="C52" s="12" t="s">
        <v>460</v>
      </c>
      <c r="D52" s="16" t="n">
        <v>0.00656226851851852</v>
      </c>
      <c r="E52" s="15" t="n">
        <f aca="false">ROUND((D52-$D$5)*86400,2)</f>
        <v>27.96</v>
      </c>
      <c r="F52" s="17" t="n">
        <v>501</v>
      </c>
      <c r="G52" s="16" t="n">
        <f aca="false">IF(INDEX(選手一覧!$D$7:$D$2738,$F52)="","",INDEX(選手一覧!$D$7:$D$2738,$F52))</f>
        <v>0.0106239583333333</v>
      </c>
      <c r="H52" s="17" t="n">
        <f aca="false">IF(INDEX(選手一覧!$E$7:$E$2738,$F52)="","",INDEX(選手一覧!$E$7:$E$2738,$F52))</f>
        <v>502</v>
      </c>
      <c r="I52" s="16" t="n">
        <f aca="false">IF(INDEX(選手一覧!$J$7:$J$2738,$F52)="","",INDEX(選手一覧!$J$7:$J$2738,$F52))</f>
        <v>0.00275960648148148</v>
      </c>
      <c r="J52" s="17" t="n">
        <f aca="false">IF(INDEX(選手一覧!$K$7:$K$2738,$F52)="","",INDEX(選手一覧!$K$7:$K$2738,$F52))</f>
        <v>135</v>
      </c>
    </row>
    <row r="53" customFormat="false" ht="15" hidden="false" customHeight="false" outlineLevel="0" collapsed="false">
      <c r="A53" s="17" t="n">
        <v>49</v>
      </c>
      <c r="B53" s="12" t="s">
        <v>1108</v>
      </c>
      <c r="C53" s="12" t="s">
        <v>351</v>
      </c>
      <c r="D53" s="16" t="n">
        <v>0.00656342592592593</v>
      </c>
      <c r="E53" s="15" t="n">
        <f aca="false">ROUND((D53-$D$5)*86400,2)</f>
        <v>28.06</v>
      </c>
      <c r="F53" s="17" t="n">
        <v>656</v>
      </c>
      <c r="G53" s="16" t="n">
        <f aca="false">IF(INDEX(選手一覧!$D$7:$D$2738,$F53)="","",INDEX(選手一覧!$D$7:$D$2738,$F53))</f>
        <v>0.0107427083333333</v>
      </c>
      <c r="H53" s="17" t="n">
        <f aca="false">IF(INDEX(選手一覧!$E$7:$E$2738,$F53)="","",INDEX(選手一覧!$E$7:$E$2738,$F53))</f>
        <v>657</v>
      </c>
      <c r="I53" s="16" t="n">
        <f aca="false">IF(INDEX(選手一覧!$J$7:$J$2738,$F53)="","",INDEX(選手一覧!$J$7:$J$2738,$F53))</f>
        <v>0.00286423611111111</v>
      </c>
      <c r="J53" s="17" t="n">
        <f aca="false">IF(INDEX(選手一覧!$K$7:$K$2738,$F53)="","",INDEX(選手一覧!$K$7:$K$2738,$F53))</f>
        <v>661</v>
      </c>
    </row>
    <row r="54" customFormat="false" ht="15" hidden="false" customHeight="false" outlineLevel="0" collapsed="false">
      <c r="A54" s="17" t="n">
        <v>50</v>
      </c>
      <c r="B54" s="12" t="s">
        <v>238</v>
      </c>
      <c r="C54" s="12" t="s">
        <v>155</v>
      </c>
      <c r="D54" s="16" t="n">
        <v>0.00656354166666667</v>
      </c>
      <c r="E54" s="15" t="n">
        <f aca="false">ROUND((D54-$D$5)*86400,2)</f>
        <v>28.07</v>
      </c>
      <c r="F54" s="17" t="n">
        <v>113</v>
      </c>
      <c r="G54" s="16" t="n">
        <f aca="false">IF(INDEX(選手一覧!$D$7:$D$2738,$F54)="","",INDEX(選手一覧!$D$7:$D$2738,$F54))</f>
        <v>0.0102357638888889</v>
      </c>
      <c r="H54" s="17" t="n">
        <f aca="false">IF(INDEX(選手一覧!$E$7:$E$2738,$F54)="","",INDEX(選手一覧!$E$7:$E$2738,$F54))</f>
        <v>114</v>
      </c>
      <c r="I54" s="16" t="n">
        <f aca="false">IF(INDEX(選手一覧!$J$7:$J$2738,$F54)="","",INDEX(選手一覧!$J$7:$J$2738,$F54))</f>
        <v>0.00269826388888889</v>
      </c>
      <c r="J54" s="17" t="n">
        <f aca="false">IF(INDEX(選手一覧!$K$7:$K$2738,$F54)="","",INDEX(選手一覧!$K$7:$K$2738,$F54))</f>
        <v>25</v>
      </c>
    </row>
    <row r="55" customFormat="false" ht="15" hidden="false" customHeight="false" outlineLevel="0" collapsed="false">
      <c r="A55" s="17" t="n">
        <v>51</v>
      </c>
      <c r="B55" s="12" t="s">
        <v>857</v>
      </c>
      <c r="C55" s="12" t="s">
        <v>858</v>
      </c>
      <c r="D55" s="16" t="n">
        <v>0.00656377314814815</v>
      </c>
      <c r="E55" s="15" t="n">
        <f aca="false">ROUND((D55-$D$5)*86400,2)</f>
        <v>28.09</v>
      </c>
      <c r="F55" s="17" t="n">
        <v>488</v>
      </c>
      <c r="G55" s="16" t="n">
        <f aca="false">IF(INDEX(選手一覧!$D$7:$D$2738,$F55)="","",INDEX(選手一覧!$D$7:$D$2738,$F55))</f>
        <v>0.0106162037037037</v>
      </c>
      <c r="H55" s="17" t="n">
        <f aca="false">IF(INDEX(選手一覧!$E$7:$E$2738,$F55)="","",INDEX(選手一覧!$E$7:$E$2738,$F55))</f>
        <v>489</v>
      </c>
      <c r="I55" s="16" t="n">
        <f aca="false">IF(INDEX(選手一覧!$J$7:$J$2738,$F55)="","",INDEX(選手一覧!$J$7:$J$2738,$F55))</f>
        <v>0.00284421296296296</v>
      </c>
      <c r="J55" s="17" t="n">
        <f aca="false">IF(INDEX(選手一覧!$K$7:$K$2738,$F55)="","",INDEX(選手一覧!$K$7:$K$2738,$F55))</f>
        <v>528</v>
      </c>
    </row>
    <row r="56" customFormat="false" ht="15" hidden="false" customHeight="false" outlineLevel="0" collapsed="false">
      <c r="A56" s="17" t="n">
        <v>52</v>
      </c>
      <c r="B56" s="12" t="s">
        <v>1122</v>
      </c>
      <c r="C56" s="12" t="s">
        <v>1123</v>
      </c>
      <c r="D56" s="16" t="n">
        <v>0.00656388888888889</v>
      </c>
      <c r="E56" s="15" t="n">
        <f aca="false">ROUND((D56-$D$5)*86400,2)</f>
        <v>28.1</v>
      </c>
      <c r="F56" s="17" t="n">
        <v>665</v>
      </c>
      <c r="G56" s="16" t="n">
        <f aca="false">IF(INDEX(選手一覧!$D$7:$D$2738,$F56)="","",INDEX(選手一覧!$D$7:$D$2738,$F56))</f>
        <v>0.0107493055555556</v>
      </c>
      <c r="H56" s="17" t="n">
        <f aca="false">IF(INDEX(選手一覧!$E$7:$E$2738,$F56)="","",INDEX(選手一覧!$E$7:$E$2738,$F56))</f>
        <v>666</v>
      </c>
      <c r="I56" s="16" t="str">
        <f aca="false">IF(INDEX(選手一覧!$J$7:$J$2738,$F56)="","",INDEX(選手一覧!$J$7:$J$2738,$F56))</f>
        <v/>
      </c>
      <c r="J56" s="17" t="str">
        <f aca="false">IF(INDEX(選手一覧!$K$7:$K$2738,$F56)="","",INDEX(選手一覧!$K$7:$K$2738,$F56))</f>
        <v/>
      </c>
    </row>
    <row r="57" customFormat="false" ht="15" hidden="false" customHeight="false" outlineLevel="0" collapsed="false">
      <c r="A57" s="17" t="n">
        <v>53</v>
      </c>
      <c r="B57" s="12" t="s">
        <v>774</v>
      </c>
      <c r="C57" s="12" t="s">
        <v>123</v>
      </c>
      <c r="D57" s="16" t="n">
        <v>0.00656412037037037</v>
      </c>
      <c r="E57" s="15" t="n">
        <f aca="false">ROUND((D57-$D$5)*86400,2)</f>
        <v>28.12</v>
      </c>
      <c r="F57" s="17" t="n">
        <v>432</v>
      </c>
      <c r="G57" s="16" t="n">
        <f aca="false">IF(INDEX(選手一覧!$D$7:$D$2738,$F57)="","",INDEX(選手一覧!$D$7:$D$2738,$F57))</f>
        <v>0.0105804398148148</v>
      </c>
      <c r="H57" s="17" t="n">
        <f aca="false">IF(INDEX(選手一覧!$E$7:$E$2738,$F57)="","",INDEX(選手一覧!$E$7:$E$2738,$F57))</f>
        <v>433</v>
      </c>
      <c r="I57" s="16" t="n">
        <f aca="false">IF(INDEX(選手一覧!$J$7:$J$2738,$F57)="","",INDEX(選手一覧!$J$7:$J$2738,$F57))</f>
        <v>0.00287986111111111</v>
      </c>
      <c r="J57" s="17" t="n">
        <f aca="false">IF(INDEX(選手一覧!$K$7:$K$2738,$F57)="","",INDEX(選手一覧!$K$7:$K$2738,$F57))</f>
        <v>769</v>
      </c>
    </row>
    <row r="58" customFormat="false" ht="15" hidden="false" customHeight="false" outlineLevel="0" collapsed="false">
      <c r="A58" s="17" t="n">
        <v>54</v>
      </c>
      <c r="B58" s="12" t="s">
        <v>739</v>
      </c>
      <c r="C58" s="12" t="s">
        <v>127</v>
      </c>
      <c r="D58" s="16" t="n">
        <v>0.00656631944444445</v>
      </c>
      <c r="E58" s="15" t="n">
        <f aca="false">ROUND((D58-$D$5)*86400,2)</f>
        <v>28.31</v>
      </c>
      <c r="F58" s="17" t="n">
        <v>410</v>
      </c>
      <c r="G58" s="16" t="n">
        <f aca="false">IF(INDEX(選手一覧!$D$7:$D$2738,$F58)="","",INDEX(選手一覧!$D$7:$D$2738,$F58))</f>
        <v>0.0105601851851852</v>
      </c>
      <c r="H58" s="17" t="n">
        <f aca="false">IF(INDEX(選手一覧!$E$7:$E$2738,$F58)="","",INDEX(選手一覧!$E$7:$E$2738,$F58))</f>
        <v>411</v>
      </c>
      <c r="I58" s="16" t="n">
        <f aca="false">IF(INDEX(選手一覧!$J$7:$J$2738,$F58)="","",INDEX(選手一覧!$J$7:$J$2738,$F58))</f>
        <v>0.00290775462962963</v>
      </c>
      <c r="J58" s="17" t="n">
        <f aca="false">IF(INDEX(選手一覧!$K$7:$K$2738,$F58)="","",INDEX(選手一覧!$K$7:$K$2738,$F58))</f>
        <v>999</v>
      </c>
    </row>
    <row r="59" customFormat="false" ht="15" hidden="false" customHeight="false" outlineLevel="0" collapsed="false">
      <c r="A59" s="17" t="n">
        <v>55</v>
      </c>
      <c r="B59" s="12" t="s">
        <v>725</v>
      </c>
      <c r="C59" s="12" t="s">
        <v>40</v>
      </c>
      <c r="D59" s="16" t="n">
        <v>0.00656655092592593</v>
      </c>
      <c r="E59" s="15" t="n">
        <f aca="false">ROUND((D59-$D$5)*86400,2)</f>
        <v>28.33</v>
      </c>
      <c r="F59" s="17" t="n">
        <v>403</v>
      </c>
      <c r="G59" s="16" t="n">
        <f aca="false">IF(INDEX(選手一覧!$D$7:$D$2738,$F59)="","",INDEX(選手一覧!$D$7:$D$2738,$F59))</f>
        <v>0.0105528935185185</v>
      </c>
      <c r="H59" s="17" t="n">
        <f aca="false">IF(INDEX(選手一覧!$E$7:$E$2738,$F59)="","",INDEX(選手一覧!$E$7:$E$2738,$F59))</f>
        <v>404</v>
      </c>
      <c r="I59" s="16" t="n">
        <f aca="false">IF(INDEX(選手一覧!$J$7:$J$2738,$F59)="","",INDEX(選手一覧!$J$7:$J$2738,$F59))</f>
        <v>0.00294768518518519</v>
      </c>
      <c r="J59" s="17" t="n">
        <f aca="false">IF(INDEX(選手一覧!$K$7:$K$2738,$F59)="","",INDEX(選手一覧!$K$7:$K$2738,$F59))</f>
        <v>1225</v>
      </c>
    </row>
    <row r="60" customFormat="false" ht="15" hidden="false" customHeight="false" outlineLevel="0" collapsed="false">
      <c r="A60" s="17" t="n">
        <v>56</v>
      </c>
      <c r="B60" s="12" t="s">
        <v>2044</v>
      </c>
      <c r="C60" s="12" t="s">
        <v>2045</v>
      </c>
      <c r="D60" s="16" t="n">
        <v>0.00656701388888889</v>
      </c>
      <c r="E60" s="15" t="n">
        <f aca="false">ROUND((D60-$D$5)*86400,2)</f>
        <v>28.37</v>
      </c>
      <c r="F60" s="17" t="n">
        <v>1294</v>
      </c>
      <c r="G60" s="16" t="str">
        <f aca="false">IF(INDEX(選手一覧!$D$7:$D$2738,$F60)="","",INDEX(選手一覧!$D$7:$D$2738,$F60))</f>
        <v/>
      </c>
      <c r="H60" s="17" t="str">
        <f aca="false">IF(INDEX(選手一覧!$E$7:$E$2738,$F60)="","",INDEX(選手一覧!$E$7:$E$2738,$F60))</f>
        <v/>
      </c>
      <c r="I60" s="16" t="n">
        <f aca="false">IF(INDEX(選手一覧!$J$7:$J$2738,$F60)="","",INDEX(選手一覧!$J$7:$J$2738,$F60))</f>
        <v>0.0028380787037037</v>
      </c>
      <c r="J60" s="17" t="n">
        <f aca="false">IF(INDEX(選手一覧!$K$7:$K$2738,$F60)="","",INDEX(選手一覧!$K$7:$K$2738,$F60))</f>
        <v>483</v>
      </c>
    </row>
    <row r="61" customFormat="false" ht="15" hidden="false" customHeight="false" outlineLevel="0" collapsed="false">
      <c r="A61" s="17" t="n">
        <v>57</v>
      </c>
      <c r="B61" s="12" t="s">
        <v>593</v>
      </c>
      <c r="C61" s="12" t="s">
        <v>532</v>
      </c>
      <c r="D61" s="16" t="n">
        <v>0.00656898148148148</v>
      </c>
      <c r="E61" s="15" t="n">
        <f aca="false">ROUND((D61-$D$5)*86400,2)</f>
        <v>28.54</v>
      </c>
      <c r="F61" s="17" t="n">
        <v>317</v>
      </c>
      <c r="G61" s="16" t="n">
        <f aca="false">IF(INDEX(選手一覧!$D$7:$D$2738,$F61)="","",INDEX(選手一覧!$D$7:$D$2738,$F61))</f>
        <v>0.0104730324074074</v>
      </c>
      <c r="H61" s="17" t="n">
        <f aca="false">IF(INDEX(選手一覧!$E$7:$E$2738,$F61)="","",INDEX(選手一覧!$E$7:$E$2738,$F61))</f>
        <v>318</v>
      </c>
      <c r="I61" s="16" t="n">
        <f aca="false">IF(INDEX(選手一覧!$J$7:$J$2738,$F61)="","",INDEX(選手一覧!$J$7:$J$2738,$F61))</f>
        <v>0.00279351851851852</v>
      </c>
      <c r="J61" s="17" t="n">
        <f aca="false">IF(INDEX(選手一覧!$K$7:$K$2738,$F61)="","",INDEX(選手一覧!$K$7:$K$2738,$F61))</f>
        <v>251</v>
      </c>
    </row>
    <row r="62" customFormat="false" ht="15" hidden="false" customHeight="false" outlineLevel="0" collapsed="false">
      <c r="A62" s="17" t="n">
        <v>58</v>
      </c>
      <c r="B62" s="12" t="s">
        <v>1391</v>
      </c>
      <c r="C62" s="12" t="s">
        <v>1392</v>
      </c>
      <c r="D62" s="16" t="n">
        <v>0.00656909722222222</v>
      </c>
      <c r="E62" s="15" t="n">
        <f aca="false">ROUND((D62-$D$5)*86400,2)</f>
        <v>28.55</v>
      </c>
      <c r="F62" s="17" t="n">
        <v>843</v>
      </c>
      <c r="G62" s="16" t="n">
        <f aca="false">IF(INDEX(選手一覧!$D$7:$D$2738,$F62)="","",INDEX(選手一覧!$D$7:$D$2738,$F62))</f>
        <v>0.01085625</v>
      </c>
      <c r="H62" s="17" t="n">
        <f aca="false">IF(INDEX(選手一覧!$E$7:$E$2738,$F62)="","",INDEX(選手一覧!$E$7:$E$2738,$F62))</f>
        <v>844</v>
      </c>
      <c r="I62" s="16" t="n">
        <f aca="false">IF(INDEX(選手一覧!$J$7:$J$2738,$F62)="","",INDEX(選手一覧!$J$7:$J$2738,$F62))</f>
        <v>0.00284525462962963</v>
      </c>
      <c r="J62" s="17" t="n">
        <f aca="false">IF(INDEX(選手一覧!$K$7:$K$2738,$F62)="","",INDEX(選手一覧!$K$7:$K$2738,$F62))</f>
        <v>538</v>
      </c>
    </row>
    <row r="63" customFormat="false" ht="15" hidden="false" customHeight="false" outlineLevel="0" collapsed="false">
      <c r="A63" s="17" t="n">
        <v>59</v>
      </c>
      <c r="B63" s="12" t="s">
        <v>563</v>
      </c>
      <c r="C63" s="12" t="s">
        <v>125</v>
      </c>
      <c r="D63" s="16" t="n">
        <v>0.00657083333333333</v>
      </c>
      <c r="E63" s="15" t="n">
        <f aca="false">ROUND((D63-$D$5)*86400,2)</f>
        <v>28.7</v>
      </c>
      <c r="F63" s="17" t="n">
        <v>300</v>
      </c>
      <c r="G63" s="16" t="n">
        <f aca="false">IF(INDEX(選手一覧!$D$7:$D$2738,$F63)="","",INDEX(選手一覧!$D$7:$D$2738,$F63))</f>
        <v>0.0104480324074074</v>
      </c>
      <c r="H63" s="17" t="n">
        <f aca="false">IF(INDEX(選手一覧!$E$7:$E$2738,$F63)="","",INDEX(選手一覧!$E$7:$E$2738,$F63))</f>
        <v>301</v>
      </c>
      <c r="I63" s="16" t="n">
        <f aca="false">IF(INDEX(選手一覧!$J$7:$J$2738,$F63)="","",INDEX(選手一覧!$J$7:$J$2738,$F63))</f>
        <v>0.00284861111111111</v>
      </c>
      <c r="J63" s="17" t="n">
        <f aca="false">IF(INDEX(選手一覧!$K$7:$K$2738,$F63)="","",INDEX(選手一覧!$K$7:$K$2738,$F63))</f>
        <v>559</v>
      </c>
    </row>
    <row r="64" customFormat="false" ht="15" hidden="false" customHeight="false" outlineLevel="0" collapsed="false">
      <c r="A64" s="17" t="n">
        <v>60</v>
      </c>
      <c r="B64" s="12" t="s">
        <v>747</v>
      </c>
      <c r="C64" s="12" t="s">
        <v>71</v>
      </c>
      <c r="D64" s="16" t="n">
        <v>0.00657152777777778</v>
      </c>
      <c r="E64" s="15" t="n">
        <f aca="false">ROUND((D64-$D$5)*86400,2)</f>
        <v>28.76</v>
      </c>
      <c r="F64" s="17" t="n">
        <v>414</v>
      </c>
      <c r="G64" s="16" t="n">
        <f aca="false">IF(INDEX(選手一覧!$D$7:$D$2738,$F64)="","",INDEX(選手一覧!$D$7:$D$2738,$F64))</f>
        <v>0.0105637731481482</v>
      </c>
      <c r="H64" s="17" t="n">
        <f aca="false">IF(INDEX(選手一覧!$E$7:$E$2738,$F64)="","",INDEX(選手一覧!$E$7:$E$2738,$F64))</f>
        <v>415</v>
      </c>
      <c r="I64" s="16" t="str">
        <f aca="false">IF(INDEX(選手一覧!$J$7:$J$2738,$F64)="","",INDEX(選手一覧!$J$7:$J$2738,$F64))</f>
        <v/>
      </c>
      <c r="J64" s="17" t="str">
        <f aca="false">IF(INDEX(選手一覧!$K$7:$K$2738,$F64)="","",INDEX(選手一覧!$K$7:$K$2738,$F64))</f>
        <v/>
      </c>
    </row>
    <row r="65" customFormat="false" ht="15" hidden="false" customHeight="false" outlineLevel="0" collapsed="false">
      <c r="A65" s="17" t="n">
        <v>61</v>
      </c>
      <c r="B65" s="12" t="s">
        <v>1902</v>
      </c>
      <c r="C65" s="12" t="s">
        <v>348</v>
      </c>
      <c r="D65" s="16" t="n">
        <v>0.006571875</v>
      </c>
      <c r="E65" s="15" t="n">
        <f aca="false">ROUND((D65-$D$5)*86400,2)</f>
        <v>28.79</v>
      </c>
      <c r="F65" s="17" t="n">
        <v>1185</v>
      </c>
      <c r="G65" s="16" t="n">
        <f aca="false">IF(INDEX(選手一覧!$D$7:$D$2738,$F65)="","",INDEX(選手一覧!$D$7:$D$2738,$F65))</f>
        <v>0.0110438657407407</v>
      </c>
      <c r="H65" s="17" t="n">
        <f aca="false">IF(INDEX(選手一覧!$E$7:$E$2738,$F65)="","",INDEX(選手一覧!$E$7:$E$2738,$F65))</f>
        <v>1186</v>
      </c>
      <c r="I65" s="16" t="str">
        <f aca="false">IF(INDEX(選手一覧!$J$7:$J$2738,$F65)="","",INDEX(選手一覧!$J$7:$J$2738,$F65))</f>
        <v/>
      </c>
      <c r="J65" s="17" t="str">
        <f aca="false">IF(INDEX(選手一覧!$K$7:$K$2738,$F65)="","",INDEX(選手一覧!$K$7:$K$2738,$F65))</f>
        <v/>
      </c>
    </row>
    <row r="66" customFormat="false" ht="15" hidden="false" customHeight="false" outlineLevel="0" collapsed="false">
      <c r="A66" s="17" t="n">
        <v>62</v>
      </c>
      <c r="B66" s="12" t="s">
        <v>1230</v>
      </c>
      <c r="C66" s="12" t="s">
        <v>1231</v>
      </c>
      <c r="D66" s="16" t="n">
        <v>0.00658078703703704</v>
      </c>
      <c r="E66" s="15" t="n">
        <f aca="false">ROUND((D66-$D$5)*86400,2)</f>
        <v>29.56</v>
      </c>
      <c r="F66" s="17" t="n">
        <v>732</v>
      </c>
      <c r="G66" s="16" t="n">
        <f aca="false">IF(INDEX(選手一覧!$D$7:$D$2738,$F66)="","",INDEX(選手一覧!$D$7:$D$2738,$F66))</f>
        <v>0.010794212962963</v>
      </c>
      <c r="H66" s="17" t="n">
        <f aca="false">IF(INDEX(選手一覧!$E$7:$E$2738,$F66)="","",INDEX(選手一覧!$E$7:$E$2738,$F66))</f>
        <v>733</v>
      </c>
      <c r="I66" s="16" t="n">
        <f aca="false">IF(INDEX(選手一覧!$J$7:$J$2738,$F66)="","",INDEX(選手一覧!$J$7:$J$2738,$F66))</f>
        <v>0.00291354166666667</v>
      </c>
      <c r="J66" s="17" t="n">
        <f aca="false">IF(INDEX(選手一覧!$K$7:$K$2738,$F66)="","",INDEX(選手一覧!$K$7:$K$2738,$F66))</f>
        <v>1046</v>
      </c>
    </row>
    <row r="67" customFormat="false" ht="15" hidden="false" customHeight="false" outlineLevel="0" collapsed="false">
      <c r="A67" s="17" t="n">
        <v>63</v>
      </c>
      <c r="B67" s="12" t="s">
        <v>2046</v>
      </c>
      <c r="C67" s="12" t="s">
        <v>2047</v>
      </c>
      <c r="D67" s="16" t="n">
        <v>0.00658125</v>
      </c>
      <c r="E67" s="15" t="n">
        <f aca="false">ROUND((D67-$D$5)*86400,2)</f>
        <v>29.6</v>
      </c>
      <c r="F67" s="17" t="n">
        <v>1295</v>
      </c>
      <c r="G67" s="16" t="str">
        <f aca="false">IF(INDEX(選手一覧!$D$7:$D$2738,$F67)="","",INDEX(選手一覧!$D$7:$D$2738,$F67))</f>
        <v/>
      </c>
      <c r="H67" s="17" t="str">
        <f aca="false">IF(INDEX(選手一覧!$E$7:$E$2738,$F67)="","",INDEX(選手一覧!$E$7:$E$2738,$F67))</f>
        <v/>
      </c>
      <c r="I67" s="16" t="n">
        <f aca="false">IF(INDEX(選手一覧!$J$7:$J$2738,$F67)="","",INDEX(選手一覧!$J$7:$J$2738,$F67))</f>
        <v>0.00282916666666667</v>
      </c>
      <c r="J67" s="17" t="n">
        <f aca="false">IF(INDEX(選手一覧!$K$7:$K$2738,$F67)="","",INDEX(選手一覧!$K$7:$K$2738,$F67))</f>
        <v>421</v>
      </c>
    </row>
    <row r="68" customFormat="false" ht="15" hidden="false" customHeight="false" outlineLevel="0" collapsed="false">
      <c r="A68" s="17" t="n">
        <v>64</v>
      </c>
      <c r="B68" s="12" t="s">
        <v>2048</v>
      </c>
      <c r="C68" s="12" t="s">
        <v>1861</v>
      </c>
      <c r="D68" s="16" t="n">
        <v>0.00658298611111111</v>
      </c>
      <c r="E68" s="15" t="n">
        <f aca="false">ROUND((D68-$D$5)*86400,2)</f>
        <v>29.75</v>
      </c>
      <c r="F68" s="17" t="n">
        <v>1296</v>
      </c>
      <c r="G68" s="16" t="str">
        <f aca="false">IF(INDEX(選手一覧!$D$7:$D$2738,$F68)="","",INDEX(選手一覧!$D$7:$D$2738,$F68))</f>
        <v/>
      </c>
      <c r="H68" s="17" t="str">
        <f aca="false">IF(INDEX(選手一覧!$E$7:$E$2738,$F68)="","",INDEX(選手一覧!$E$7:$E$2738,$F68))</f>
        <v/>
      </c>
      <c r="I68" s="16" t="str">
        <f aca="false">IF(INDEX(選手一覧!$J$7:$J$2738,$F68)="","",INDEX(選手一覧!$J$7:$J$2738,$F68))</f>
        <v/>
      </c>
      <c r="J68" s="17" t="str">
        <f aca="false">IF(INDEX(選手一覧!$K$7:$K$2738,$F68)="","",INDEX(選手一覧!$K$7:$K$2738,$F68))</f>
        <v/>
      </c>
    </row>
    <row r="69" customFormat="false" ht="15" hidden="false" customHeight="false" outlineLevel="0" collapsed="false">
      <c r="A69" s="17" t="n">
        <v>65</v>
      </c>
      <c r="B69" s="12" t="s">
        <v>2049</v>
      </c>
      <c r="C69" s="12" t="s">
        <v>2050</v>
      </c>
      <c r="D69" s="16" t="n">
        <v>0.00658587962962963</v>
      </c>
      <c r="E69" s="15" t="n">
        <f aca="false">ROUND((D69-$D$5)*86400,2)</f>
        <v>30</v>
      </c>
      <c r="F69" s="17" t="n">
        <v>1297</v>
      </c>
      <c r="G69" s="16" t="str">
        <f aca="false">IF(INDEX(選手一覧!$D$7:$D$2738,$F69)="","",INDEX(選手一覧!$D$7:$D$2738,$F69))</f>
        <v/>
      </c>
      <c r="H69" s="17" t="str">
        <f aca="false">IF(INDEX(選手一覧!$E$7:$E$2738,$F69)="","",INDEX(選手一覧!$E$7:$E$2738,$F69))</f>
        <v/>
      </c>
      <c r="I69" s="16" t="str">
        <f aca="false">IF(INDEX(選手一覧!$J$7:$J$2738,$F69)="","",INDEX(選手一覧!$J$7:$J$2738,$F69))</f>
        <v/>
      </c>
      <c r="J69" s="17" t="str">
        <f aca="false">IF(INDEX(選手一覧!$K$7:$K$2738,$F69)="","",INDEX(選手一覧!$K$7:$K$2738,$F69))</f>
        <v/>
      </c>
    </row>
    <row r="70" customFormat="false" ht="15" hidden="false" customHeight="false" outlineLevel="0" collapsed="false">
      <c r="A70" s="17" t="n">
        <v>66</v>
      </c>
      <c r="B70" s="12" t="s">
        <v>941</v>
      </c>
      <c r="C70" s="12" t="s">
        <v>316</v>
      </c>
      <c r="D70" s="16" t="n">
        <v>0.00659155092592593</v>
      </c>
      <c r="E70" s="15" t="n">
        <f aca="false">ROUND((D70-$D$5)*86400,2)</f>
        <v>30.49</v>
      </c>
      <c r="F70" s="17" t="n">
        <v>536</v>
      </c>
      <c r="G70" s="16" t="n">
        <f aca="false">IF(INDEX(選手一覧!$D$7:$D$2738,$F70)="","",INDEX(選手一覧!$D$7:$D$2738,$F70))</f>
        <v>0.0106621527777778</v>
      </c>
      <c r="H70" s="17" t="n">
        <f aca="false">IF(INDEX(選手一覧!$E$7:$E$2738,$F70)="","",INDEX(選手一覧!$E$7:$E$2738,$F70))</f>
        <v>537</v>
      </c>
      <c r="I70" s="16" t="str">
        <f aca="false">IF(INDEX(選手一覧!$J$7:$J$2738,$F70)="","",INDEX(選手一覧!$J$7:$J$2738,$F70))</f>
        <v/>
      </c>
      <c r="J70" s="17" t="str">
        <f aca="false">IF(INDEX(選手一覧!$K$7:$K$2738,$F70)="","",INDEX(選手一覧!$K$7:$K$2738,$F70))</f>
        <v/>
      </c>
    </row>
    <row r="71" customFormat="false" ht="15" hidden="false" customHeight="false" outlineLevel="0" collapsed="false">
      <c r="A71" s="17" t="n">
        <v>67</v>
      </c>
      <c r="B71" s="12" t="s">
        <v>826</v>
      </c>
      <c r="C71" s="12" t="s">
        <v>186</v>
      </c>
      <c r="D71" s="16" t="n">
        <v>0.00659479166666667</v>
      </c>
      <c r="E71" s="15" t="n">
        <f aca="false">ROUND((D71-$D$5)*86400,2)</f>
        <v>30.77</v>
      </c>
      <c r="F71" s="17" t="n">
        <v>467</v>
      </c>
      <c r="G71" s="16" t="n">
        <f aca="false">IF(INDEX(選手一覧!$D$7:$D$2738,$F71)="","",INDEX(選手一覧!$D$7:$D$2738,$F71))</f>
        <v>0.0106052083333333</v>
      </c>
      <c r="H71" s="17" t="n">
        <f aca="false">IF(INDEX(選手一覧!$E$7:$E$2738,$F71)="","",INDEX(選手一覧!$E$7:$E$2738,$F71))</f>
        <v>468</v>
      </c>
      <c r="I71" s="16" t="n">
        <f aca="false">IF(INDEX(選手一覧!$J$7:$J$2738,$F71)="","",INDEX(選手一覧!$J$7:$J$2738,$F71))</f>
        <v>0.0027806712962963</v>
      </c>
      <c r="J71" s="17" t="n">
        <f aca="false">IF(INDEX(選手一覧!$K$7:$K$2738,$F71)="","",INDEX(選手一覧!$K$7:$K$2738,$F71))</f>
        <v>205</v>
      </c>
    </row>
    <row r="72" customFormat="false" ht="15" hidden="false" customHeight="false" outlineLevel="0" collapsed="false">
      <c r="A72" s="17" t="n">
        <v>68</v>
      </c>
      <c r="B72" s="12" t="s">
        <v>717</v>
      </c>
      <c r="C72" s="12" t="s">
        <v>323</v>
      </c>
      <c r="D72" s="16" t="n">
        <v>0.00659895833333333</v>
      </c>
      <c r="E72" s="15" t="n">
        <f aca="false">ROUND((D72-$D$5)*86400,2)</f>
        <v>31.13</v>
      </c>
      <c r="F72" s="17" t="n">
        <v>397</v>
      </c>
      <c r="G72" s="16" t="n">
        <f aca="false">IF(INDEX(選手一覧!$D$7:$D$2738,$F72)="","",INDEX(選手一覧!$D$7:$D$2738,$F72))</f>
        <v>0.0105496527777778</v>
      </c>
      <c r="H72" s="17" t="n">
        <f aca="false">IF(INDEX(選手一覧!$E$7:$E$2738,$F72)="","",INDEX(選手一覧!$E$7:$E$2738,$F72))</f>
        <v>398</v>
      </c>
      <c r="I72" s="16" t="n">
        <f aca="false">IF(INDEX(選手一覧!$J$7:$J$2738,$F72)="","",INDEX(選手一覧!$J$7:$J$2738,$F72))</f>
        <v>0.00293402777777778</v>
      </c>
      <c r="J72" s="17" t="n">
        <f aca="false">IF(INDEX(選手一覧!$K$7:$K$2738,$F72)="","",INDEX(選手一覧!$K$7:$K$2738,$F72))</f>
        <v>1183</v>
      </c>
    </row>
    <row r="73" customFormat="false" ht="15" hidden="false" customHeight="false" outlineLevel="0" collapsed="false">
      <c r="A73" s="17" t="n">
        <v>69</v>
      </c>
      <c r="B73" s="12" t="s">
        <v>1368</v>
      </c>
      <c r="C73" s="12" t="s">
        <v>947</v>
      </c>
      <c r="D73" s="16" t="n">
        <v>0.0066087962962963</v>
      </c>
      <c r="E73" s="15" t="n">
        <f aca="false">ROUND((D73-$D$5)*86400,2)</f>
        <v>31.98</v>
      </c>
      <c r="F73" s="17" t="n">
        <v>826</v>
      </c>
      <c r="G73" s="16" t="n">
        <f aca="false">IF(INDEX(選手一覧!$D$7:$D$2738,$F73)="","",INDEX(選手一覧!$D$7:$D$2738,$F73))</f>
        <v>0.010846412037037</v>
      </c>
      <c r="H73" s="17" t="n">
        <f aca="false">IF(INDEX(選手一覧!$E$7:$E$2738,$F73)="","",INDEX(選手一覧!$E$7:$E$2738,$F73))</f>
        <v>827</v>
      </c>
      <c r="I73" s="16" t="n">
        <f aca="false">IF(INDEX(選手一覧!$J$7:$J$2738,$F73)="","",INDEX(選手一覧!$J$7:$J$2738,$F73))</f>
        <v>0.00290763888888889</v>
      </c>
      <c r="J73" s="17" t="n">
        <f aca="false">IF(INDEX(選手一覧!$K$7:$K$2738,$F73)="","",INDEX(選手一覧!$K$7:$K$2738,$F73))</f>
        <v>997</v>
      </c>
    </row>
    <row r="74" customFormat="false" ht="15" hidden="false" customHeight="false" outlineLevel="0" collapsed="false">
      <c r="A74" s="17" t="n">
        <v>70</v>
      </c>
      <c r="B74" s="12" t="s">
        <v>1735</v>
      </c>
      <c r="C74" s="12" t="s">
        <v>67</v>
      </c>
      <c r="D74" s="16" t="n">
        <v>0.00661006944444444</v>
      </c>
      <c r="E74" s="15" t="n">
        <f aca="false">ROUND((D74-$D$5)*86400,2)</f>
        <v>32.09</v>
      </c>
      <c r="F74" s="17" t="n">
        <v>1072</v>
      </c>
      <c r="G74" s="16" t="n">
        <f aca="false">IF(INDEX(選手一覧!$D$7:$D$2738,$F74)="","",INDEX(選手一覧!$D$7:$D$2738,$F74))</f>
        <v>0.0109865740740741</v>
      </c>
      <c r="H74" s="17" t="n">
        <f aca="false">IF(INDEX(選手一覧!$E$7:$E$2738,$F74)="","",INDEX(選手一覧!$E$7:$E$2738,$F74))</f>
        <v>1073</v>
      </c>
      <c r="I74" s="16" t="n">
        <f aca="false">IF(INDEX(選手一覧!$J$7:$J$2738,$F74)="","",INDEX(選手一覧!$J$7:$J$2738,$F74))</f>
        <v>0.00288993055555556</v>
      </c>
      <c r="J74" s="17" t="n">
        <f aca="false">IF(INDEX(選手一覧!$K$7:$K$2738,$F74)="","",INDEX(選手一覧!$K$7:$K$2738,$F74))</f>
        <v>864</v>
      </c>
    </row>
    <row r="75" customFormat="false" ht="15" hidden="false" customHeight="false" outlineLevel="0" collapsed="false">
      <c r="A75" s="17" t="n">
        <v>71</v>
      </c>
      <c r="B75" s="12" t="s">
        <v>894</v>
      </c>
      <c r="C75" s="12" t="s">
        <v>623</v>
      </c>
      <c r="D75" s="16" t="n">
        <v>0.00661840277777778</v>
      </c>
      <c r="E75" s="15" t="n">
        <f aca="false">ROUND((D75-$D$5)*86400,2)</f>
        <v>32.81</v>
      </c>
      <c r="F75" s="17" t="n">
        <v>508</v>
      </c>
      <c r="G75" s="16" t="n">
        <f aca="false">IF(INDEX(選手一覧!$D$7:$D$2738,$F75)="","",INDEX(選手一覧!$D$7:$D$2738,$F75))</f>
        <v>0.0106396990740741</v>
      </c>
      <c r="H75" s="17" t="n">
        <f aca="false">IF(INDEX(選手一覧!$E$7:$E$2738,$F75)="","",INDEX(選手一覧!$E$7:$E$2738,$F75))</f>
        <v>509</v>
      </c>
      <c r="I75" s="16" t="n">
        <f aca="false">IF(INDEX(選手一覧!$J$7:$J$2738,$F75)="","",INDEX(選手一覧!$J$7:$J$2738,$F75))</f>
        <v>0.002884375</v>
      </c>
      <c r="J75" s="17" t="n">
        <f aca="false">IF(INDEX(選手一覧!$K$7:$K$2738,$F75)="","",INDEX(選手一覧!$K$7:$K$2738,$F75))</f>
        <v>811</v>
      </c>
    </row>
    <row r="76" customFormat="false" ht="15" hidden="false" customHeight="false" outlineLevel="0" collapsed="false">
      <c r="A76" s="17" t="n">
        <v>72</v>
      </c>
      <c r="B76" s="12" t="s">
        <v>2053</v>
      </c>
      <c r="C76" s="12" t="s">
        <v>2054</v>
      </c>
      <c r="D76" s="16" t="n">
        <v>0.00662453703703704</v>
      </c>
      <c r="E76" s="15" t="n">
        <f aca="false">ROUND((D76-$D$5)*86400,2)</f>
        <v>33.34</v>
      </c>
      <c r="F76" s="17" t="n">
        <v>1299</v>
      </c>
      <c r="G76" s="16" t="str">
        <f aca="false">IF(INDEX(選手一覧!$D$7:$D$2738,$F76)="","",INDEX(選手一覧!$D$7:$D$2738,$F76))</f>
        <v/>
      </c>
      <c r="H76" s="17" t="str">
        <f aca="false">IF(INDEX(選手一覧!$E$7:$E$2738,$F76)="","",INDEX(選手一覧!$E$7:$E$2738,$F76))</f>
        <v/>
      </c>
      <c r="I76" s="16" t="str">
        <f aca="false">IF(INDEX(選手一覧!$J$7:$J$2738,$F76)="","",INDEX(選手一覧!$J$7:$J$2738,$F76))</f>
        <v/>
      </c>
      <c r="J76" s="17" t="str">
        <f aca="false">IF(INDEX(選手一覧!$K$7:$K$2738,$F76)="","",INDEX(選手一覧!$K$7:$K$2738,$F76))</f>
        <v/>
      </c>
    </row>
    <row r="77" customFormat="false" ht="15" hidden="false" customHeight="false" outlineLevel="0" collapsed="false">
      <c r="A77" s="17" t="n">
        <v>73</v>
      </c>
      <c r="B77" s="12" t="s">
        <v>1185</v>
      </c>
      <c r="C77" s="12" t="s">
        <v>629</v>
      </c>
      <c r="D77" s="16" t="n">
        <v>0.0066275462962963</v>
      </c>
      <c r="E77" s="15" t="n">
        <f aca="false">ROUND((D77-$D$5)*86400,2)</f>
        <v>33.6</v>
      </c>
      <c r="F77" s="17" t="n">
        <v>704</v>
      </c>
      <c r="G77" s="16" t="n">
        <f aca="false">IF(INDEX(選手一覧!$D$7:$D$2738,$F77)="","",INDEX(選手一覧!$D$7:$D$2738,$F77))</f>
        <v>0.0107778935185185</v>
      </c>
      <c r="H77" s="17" t="n">
        <f aca="false">IF(INDEX(選手一覧!$E$7:$E$2738,$F77)="","",INDEX(選手一覧!$E$7:$E$2738,$F77))</f>
        <v>705</v>
      </c>
      <c r="I77" s="16" t="n">
        <f aca="false">IF(INDEX(選手一覧!$J$7:$J$2738,$F77)="","",INDEX(選手一覧!$J$7:$J$2738,$F77))</f>
        <v>0.00289895833333333</v>
      </c>
      <c r="J77" s="17" t="n">
        <f aca="false">IF(INDEX(選手一覧!$K$7:$K$2738,$F77)="","",INDEX(選手一覧!$K$7:$K$2738,$F77))</f>
        <v>938</v>
      </c>
    </row>
    <row r="78" customFormat="false" ht="15" hidden="false" customHeight="false" outlineLevel="0" collapsed="false">
      <c r="A78" s="17" t="n">
        <v>74</v>
      </c>
      <c r="B78" s="12" t="s">
        <v>1142</v>
      </c>
      <c r="C78" s="12" t="s">
        <v>137</v>
      </c>
      <c r="D78" s="16" t="n">
        <v>0.00663287037037037</v>
      </c>
      <c r="E78" s="15" t="n">
        <f aca="false">ROUND((D78-$D$5)*86400,2)</f>
        <v>34.06</v>
      </c>
      <c r="F78" s="17" t="n">
        <v>676</v>
      </c>
      <c r="G78" s="16" t="n">
        <f aca="false">IF(INDEX(選手一覧!$D$7:$D$2738,$F78)="","",INDEX(選手一覧!$D$7:$D$2738,$F78))</f>
        <v>0.01075625</v>
      </c>
      <c r="H78" s="17" t="n">
        <f aca="false">IF(INDEX(選手一覧!$E$7:$E$2738,$F78)="","",INDEX(選手一覧!$E$7:$E$2738,$F78))</f>
        <v>677</v>
      </c>
      <c r="I78" s="16" t="str">
        <f aca="false">IF(INDEX(選手一覧!$J$7:$J$2738,$F78)="","",INDEX(選手一覧!$J$7:$J$2738,$F78))</f>
        <v/>
      </c>
      <c r="J78" s="17" t="str">
        <f aca="false">IF(INDEX(選手一覧!$K$7:$K$2738,$F78)="","",INDEX(選手一覧!$K$7:$K$2738,$F78))</f>
        <v/>
      </c>
    </row>
    <row r="79" customFormat="false" ht="15" hidden="false" customHeight="false" outlineLevel="0" collapsed="false">
      <c r="A79" s="17" t="n">
        <v>75</v>
      </c>
      <c r="B79" s="12" t="s">
        <v>1493</v>
      </c>
      <c r="C79" s="12" t="s">
        <v>1494</v>
      </c>
      <c r="D79" s="16" t="n">
        <v>0.0066337962962963</v>
      </c>
      <c r="E79" s="15" t="n">
        <f aca="false">ROUND((D79-$D$5)*86400,2)</f>
        <v>34.14</v>
      </c>
      <c r="F79" s="17" t="n">
        <v>908</v>
      </c>
      <c r="G79" s="16" t="n">
        <f aca="false">IF(INDEX(選手一覧!$D$7:$D$2738,$F79)="","",INDEX(選手一覧!$D$7:$D$2738,$F79))</f>
        <v>0.0108936342592593</v>
      </c>
      <c r="H79" s="17" t="n">
        <f aca="false">IF(INDEX(選手一覧!$E$7:$E$2738,$F79)="","",INDEX(選手一覧!$E$7:$E$2738,$F79))</f>
        <v>909</v>
      </c>
      <c r="I79" s="16" t="str">
        <f aca="false">IF(INDEX(選手一覧!$J$7:$J$2738,$F79)="","",INDEX(選手一覧!$J$7:$J$2738,$F79))</f>
        <v/>
      </c>
      <c r="J79" s="17" t="str">
        <f aca="false">IF(INDEX(選手一覧!$K$7:$K$2738,$F79)="","",INDEX(選手一覧!$K$7:$K$2738,$F79))</f>
        <v/>
      </c>
    </row>
    <row r="80" customFormat="false" ht="15" hidden="false" customHeight="false" outlineLevel="0" collapsed="false">
      <c r="A80" s="17" t="n">
        <v>76</v>
      </c>
      <c r="B80" s="12" t="s">
        <v>625</v>
      </c>
      <c r="C80" s="12" t="s">
        <v>214</v>
      </c>
      <c r="D80" s="16" t="n">
        <v>0.00663680555555556</v>
      </c>
      <c r="E80" s="15" t="n">
        <f aca="false">ROUND((D80-$D$5)*86400,2)</f>
        <v>34.4</v>
      </c>
      <c r="F80" s="17" t="n">
        <v>337</v>
      </c>
      <c r="G80" s="16" t="n">
        <f aca="false">IF(INDEX(選手一覧!$D$7:$D$2738,$F80)="","",INDEX(選手一覧!$D$7:$D$2738,$F80))</f>
        <v>0.0104962962962963</v>
      </c>
      <c r="H80" s="17" t="n">
        <f aca="false">IF(INDEX(選手一覧!$E$7:$E$2738,$F80)="","",INDEX(選手一覧!$E$7:$E$2738,$F80))</f>
        <v>338</v>
      </c>
      <c r="I80" s="16" t="n">
        <f aca="false">IF(INDEX(選手一覧!$J$7:$J$2738,$F80)="","",INDEX(選手一覧!$J$7:$J$2738,$F80))</f>
        <v>0.00287071759259259</v>
      </c>
      <c r="J80" s="17" t="n">
        <f aca="false">IF(INDEX(選手一覧!$K$7:$K$2738,$F80)="","",INDEX(選手一覧!$K$7:$K$2738,$F80))</f>
        <v>701</v>
      </c>
    </row>
    <row r="81" customFormat="false" ht="15" hidden="false" customHeight="false" outlineLevel="0" collapsed="false">
      <c r="A81" s="17" t="n">
        <v>77</v>
      </c>
      <c r="B81" s="12" t="s">
        <v>509</v>
      </c>
      <c r="C81" s="12" t="s">
        <v>27</v>
      </c>
      <c r="D81" s="16" t="n">
        <v>0.00663773148148148</v>
      </c>
      <c r="E81" s="15" t="n">
        <f aca="false">ROUND((D81-$D$5)*86400,2)</f>
        <v>34.48</v>
      </c>
      <c r="F81" s="17" t="n">
        <v>267</v>
      </c>
      <c r="G81" s="16" t="n">
        <f aca="false">IF(INDEX(選手一覧!$D$7:$D$2738,$F81)="","",INDEX(選手一覧!$D$7:$D$2738,$F81))</f>
        <v>0.0104017361111111</v>
      </c>
      <c r="H81" s="17" t="n">
        <f aca="false">IF(INDEX(選手一覧!$E$7:$E$2738,$F81)="","",INDEX(選手一覧!$E$7:$E$2738,$F81))</f>
        <v>268</v>
      </c>
      <c r="I81" s="16" t="str">
        <f aca="false">IF(INDEX(選手一覧!$J$7:$J$2738,$F81)="","",INDEX(選手一覧!$J$7:$J$2738,$F81))</f>
        <v/>
      </c>
      <c r="J81" s="17" t="str">
        <f aca="false">IF(INDEX(選手一覧!$K$7:$K$2738,$F81)="","",INDEX(選手一覧!$K$7:$K$2738,$F81))</f>
        <v/>
      </c>
    </row>
    <row r="82" customFormat="false" ht="15" hidden="false" customHeight="false" outlineLevel="0" collapsed="false">
      <c r="A82" s="17" t="n">
        <v>78</v>
      </c>
      <c r="B82" s="12" t="s">
        <v>534</v>
      </c>
      <c r="C82" s="12" t="s">
        <v>107</v>
      </c>
      <c r="D82" s="16" t="n">
        <v>0.00663900462962963</v>
      </c>
      <c r="E82" s="15" t="n">
        <f aca="false">ROUND((D82-$D$5)*86400,2)</f>
        <v>34.59</v>
      </c>
      <c r="F82" s="17" t="n">
        <v>282</v>
      </c>
      <c r="G82" s="16" t="n">
        <f aca="false">IF(INDEX(選手一覧!$D$7:$D$2738,$F82)="","",INDEX(選手一覧!$D$7:$D$2738,$F82))</f>
        <v>0.0104184027777778</v>
      </c>
      <c r="H82" s="17" t="n">
        <f aca="false">IF(INDEX(選手一覧!$E$7:$E$2738,$F82)="","",INDEX(選手一覧!$E$7:$E$2738,$F82))</f>
        <v>283</v>
      </c>
      <c r="I82" s="16" t="n">
        <f aca="false">IF(INDEX(選手一覧!$J$7:$J$2738,$F82)="","",INDEX(選手一覧!$J$7:$J$2738,$F82))</f>
        <v>0.00285671296296296</v>
      </c>
      <c r="J82" s="17" t="n">
        <f aca="false">IF(INDEX(選手一覧!$K$7:$K$2738,$F82)="","",INDEX(選手一覧!$K$7:$K$2738,$F82))</f>
        <v>612</v>
      </c>
    </row>
    <row r="83" customFormat="false" ht="15" hidden="false" customHeight="false" outlineLevel="0" collapsed="false">
      <c r="A83" s="17" t="n">
        <v>79</v>
      </c>
      <c r="B83" s="12" t="s">
        <v>414</v>
      </c>
      <c r="C83" s="12" t="s">
        <v>415</v>
      </c>
      <c r="D83" s="16" t="n">
        <v>0.0066412037037037</v>
      </c>
      <c r="E83" s="15" t="n">
        <f aca="false">ROUND((D83-$D$5)*86400,2)</f>
        <v>34.78</v>
      </c>
      <c r="F83" s="17" t="n">
        <v>208</v>
      </c>
      <c r="G83" s="16" t="n">
        <f aca="false">IF(INDEX(選手一覧!$D$7:$D$2738,$F83)="","",INDEX(選手一覧!$D$7:$D$2738,$F83))</f>
        <v>0.0103547453703704</v>
      </c>
      <c r="H83" s="17" t="n">
        <f aca="false">IF(INDEX(選手一覧!$E$7:$E$2738,$F83)="","",INDEX(選手一覧!$E$7:$E$2738,$F83))</f>
        <v>209</v>
      </c>
      <c r="I83" s="16" t="n">
        <f aca="false">IF(INDEX(選手一覧!$J$7:$J$2738,$F83)="","",INDEX(選手一覧!$J$7:$J$2738,$F83))</f>
        <v>0.00275543981481482</v>
      </c>
      <c r="J83" s="17" t="n">
        <f aca="false">IF(INDEX(選手一覧!$K$7:$K$2738,$F83)="","",INDEX(選手一覧!$K$7:$K$2738,$F83))</f>
        <v>121</v>
      </c>
    </row>
    <row r="84" customFormat="false" ht="15" hidden="false" customHeight="false" outlineLevel="0" collapsed="false">
      <c r="A84" s="17" t="n">
        <v>80</v>
      </c>
      <c r="B84" s="12" t="s">
        <v>1685</v>
      </c>
      <c r="C84" s="12" t="s">
        <v>893</v>
      </c>
      <c r="D84" s="16" t="n">
        <v>0.00664293981481482</v>
      </c>
      <c r="E84" s="15" t="n">
        <f aca="false">ROUND((D84-$D$5)*86400,2)</f>
        <v>34.93</v>
      </c>
      <c r="F84" s="17" t="n">
        <v>1039</v>
      </c>
      <c r="G84" s="16" t="n">
        <f aca="false">IF(INDEX(選手一覧!$D$7:$D$2738,$F84)="","",INDEX(選手一覧!$D$7:$D$2738,$F84))</f>
        <v>0.0109703703703704</v>
      </c>
      <c r="H84" s="17" t="n">
        <f aca="false">IF(INDEX(選手一覧!$E$7:$E$2738,$F84)="","",INDEX(選手一覧!$E$7:$E$2738,$F84))</f>
        <v>1040</v>
      </c>
      <c r="I84" s="16" t="n">
        <f aca="false">IF(INDEX(選手一覧!$J$7:$J$2738,$F84)="","",INDEX(選手一覧!$J$7:$J$2738,$F84))</f>
        <v>0.00283680555555556</v>
      </c>
      <c r="J84" s="17" t="n">
        <f aca="false">IF(INDEX(選手一覧!$K$7:$K$2738,$F84)="","",INDEX(選手一覧!$K$7:$K$2738,$F84))</f>
        <v>476</v>
      </c>
    </row>
    <row r="85" customFormat="false" ht="15" hidden="false" customHeight="false" outlineLevel="0" collapsed="false">
      <c r="A85" s="17" t="n">
        <v>81</v>
      </c>
      <c r="B85" s="12" t="s">
        <v>1502</v>
      </c>
      <c r="C85" s="12" t="s">
        <v>1503</v>
      </c>
      <c r="D85" s="16" t="n">
        <v>0.0066474537037037</v>
      </c>
      <c r="E85" s="15" t="n">
        <f aca="false">ROUND((D85-$D$5)*86400,2)</f>
        <v>35.32</v>
      </c>
      <c r="F85" s="17" t="n">
        <v>914</v>
      </c>
      <c r="G85" s="16" t="n">
        <f aca="false">IF(INDEX(選手一覧!$D$7:$D$2738,$F85)="","",INDEX(選手一覧!$D$7:$D$2738,$F85))</f>
        <v>0.0108959490740741</v>
      </c>
      <c r="H85" s="17" t="n">
        <f aca="false">IF(INDEX(選手一覧!$E$7:$E$2738,$F85)="","",INDEX(選手一覧!$E$7:$E$2738,$F85))</f>
        <v>915</v>
      </c>
      <c r="I85" s="16" t="n">
        <f aca="false">IF(INDEX(選手一覧!$J$7:$J$2738,$F85)="","",INDEX(選手一覧!$J$7:$J$2738,$F85))</f>
        <v>0.00277650462962963</v>
      </c>
      <c r="J85" s="17" t="n">
        <f aca="false">IF(INDEX(選手一覧!$K$7:$K$2738,$F85)="","",INDEX(選手一覧!$K$7:$K$2738,$F85))</f>
        <v>184</v>
      </c>
    </row>
    <row r="86" customFormat="false" ht="15" hidden="false" customHeight="false" outlineLevel="0" collapsed="false">
      <c r="A86" s="17" t="n">
        <v>82</v>
      </c>
      <c r="B86" s="12" t="s">
        <v>587</v>
      </c>
      <c r="C86" s="12" t="s">
        <v>4763</v>
      </c>
      <c r="D86" s="16" t="n">
        <v>0.00664930555555556</v>
      </c>
      <c r="E86" s="15" t="n">
        <f aca="false">ROUND((D86-$D$5)*86400,2)</f>
        <v>35.48</v>
      </c>
      <c r="F86" s="17" t="n">
        <v>314</v>
      </c>
      <c r="G86" s="16" t="n">
        <f aca="false">IF(INDEX(選手一覧!$D$7:$D$2738,$F86)="","",INDEX(選手一覧!$D$7:$D$2738,$F86))</f>
        <v>0.010465162037037</v>
      </c>
      <c r="H86" s="17" t="n">
        <f aca="false">IF(INDEX(選手一覧!$E$7:$E$2738,$F86)="","",INDEX(選手一覧!$E$7:$E$2738,$F86))</f>
        <v>315</v>
      </c>
      <c r="I86" s="16" t="n">
        <f aca="false">IF(INDEX(選手一覧!$J$7:$J$2738,$F86)="","",INDEX(選手一覧!$J$7:$J$2738,$F86))</f>
        <v>0.00282824074074074</v>
      </c>
      <c r="J86" s="17" t="n">
        <f aca="false">IF(INDEX(選手一覧!$K$7:$K$2738,$F86)="","",INDEX(選手一覧!$K$7:$K$2738,$F86))</f>
        <v>413</v>
      </c>
    </row>
    <row r="87" customFormat="false" ht="15" hidden="false" customHeight="false" outlineLevel="0" collapsed="false">
      <c r="A87" s="17" t="n">
        <v>83</v>
      </c>
      <c r="B87" s="12" t="s">
        <v>1238</v>
      </c>
      <c r="C87" s="12" t="s">
        <v>150</v>
      </c>
      <c r="D87" s="16" t="n">
        <v>0.00665</v>
      </c>
      <c r="E87" s="15" t="n">
        <f aca="false">ROUND((D87-$D$5)*86400,2)</f>
        <v>35.54</v>
      </c>
      <c r="F87" s="17" t="n">
        <v>737</v>
      </c>
      <c r="G87" s="16" t="n">
        <f aca="false">IF(INDEX(選手一覧!$D$7:$D$2738,$F87)="","",INDEX(選手一覧!$D$7:$D$2738,$F87))</f>
        <v>0.0107975694444444</v>
      </c>
      <c r="H87" s="17" t="n">
        <f aca="false">IF(INDEX(選手一覧!$E$7:$E$2738,$F87)="","",INDEX(選手一覧!$E$7:$E$2738,$F87))</f>
        <v>738</v>
      </c>
      <c r="I87" s="16" t="n">
        <f aca="false">IF(INDEX(選手一覧!$J$7:$J$2738,$F87)="","",INDEX(選手一覧!$J$7:$J$2738,$F87))</f>
        <v>0.00279027777777778</v>
      </c>
      <c r="J87" s="17" t="n">
        <f aca="false">IF(INDEX(選手一覧!$K$7:$K$2738,$F87)="","",INDEX(選手一覧!$K$7:$K$2738,$F87))</f>
        <v>241</v>
      </c>
    </row>
    <row r="88" customFormat="false" ht="15" hidden="false" customHeight="false" outlineLevel="0" collapsed="false">
      <c r="A88" s="17" t="n">
        <v>84</v>
      </c>
      <c r="B88" s="12" t="s">
        <v>201</v>
      </c>
      <c r="C88" s="12" t="s">
        <v>199</v>
      </c>
      <c r="D88" s="16" t="n">
        <v>0.00665277777777778</v>
      </c>
      <c r="E88" s="15" t="n">
        <f aca="false">ROUND((D88-$D$5)*86400,2)</f>
        <v>35.78</v>
      </c>
      <c r="F88" s="17" t="n">
        <v>90</v>
      </c>
      <c r="G88" s="16" t="n">
        <f aca="false">IF(INDEX(選手一覧!$D$7:$D$2738,$F88)="","",INDEX(選手一覧!$D$7:$D$2738,$F88))</f>
        <v>0.0101881944444444</v>
      </c>
      <c r="H88" s="17" t="n">
        <f aca="false">IF(INDEX(選手一覧!$E$7:$E$2738,$F88)="","",INDEX(選手一覧!$E$7:$E$2738,$F88))</f>
        <v>91</v>
      </c>
      <c r="I88" s="16" t="n">
        <f aca="false">IF(INDEX(選手一覧!$J$7:$J$2738,$F88)="","",INDEX(選手一覧!$J$7:$J$2738,$F88))</f>
        <v>0.00280810185185185</v>
      </c>
      <c r="J88" s="17" t="n">
        <f aca="false">IF(INDEX(選手一覧!$K$7:$K$2738,$F88)="","",INDEX(選手一覧!$K$7:$K$2738,$F88))</f>
        <v>317</v>
      </c>
    </row>
    <row r="89" customFormat="false" ht="15" hidden="false" customHeight="false" outlineLevel="0" collapsed="false">
      <c r="A89" s="17" t="n">
        <v>85</v>
      </c>
      <c r="B89" s="12" t="s">
        <v>911</v>
      </c>
      <c r="C89" s="12" t="s">
        <v>912</v>
      </c>
      <c r="D89" s="16" t="n">
        <v>0.00665532407407407</v>
      </c>
      <c r="E89" s="15" t="n">
        <f aca="false">ROUND((D89-$D$5)*86400,2)</f>
        <v>36</v>
      </c>
      <c r="F89" s="17" t="n">
        <v>518</v>
      </c>
      <c r="G89" s="16" t="n">
        <f aca="false">IF(INDEX(選手一覧!$D$7:$D$2738,$F89)="","",INDEX(選手一覧!$D$7:$D$2738,$F89))</f>
        <v>0.010646875</v>
      </c>
      <c r="H89" s="17" t="n">
        <f aca="false">IF(INDEX(選手一覧!$E$7:$E$2738,$F89)="","",INDEX(選手一覧!$E$7:$E$2738,$F89))</f>
        <v>519</v>
      </c>
      <c r="I89" s="16" t="n">
        <f aca="false">IF(INDEX(選手一覧!$J$7:$J$2738,$F89)="","",INDEX(選手一覧!$J$7:$J$2738,$F89))</f>
        <v>0.00282071759259259</v>
      </c>
      <c r="J89" s="17" t="n">
        <f aca="false">IF(INDEX(選手一覧!$K$7:$K$2738,$F89)="","",INDEX(選手一覧!$K$7:$K$2738,$F89))</f>
        <v>365</v>
      </c>
    </row>
    <row r="90" customFormat="false" ht="15" hidden="false" customHeight="false" outlineLevel="0" collapsed="false">
      <c r="A90" s="17" t="n">
        <v>86</v>
      </c>
      <c r="B90" s="12" t="s">
        <v>962</v>
      </c>
      <c r="C90" s="12" t="s">
        <v>96</v>
      </c>
      <c r="D90" s="16" t="n">
        <v>0.00665798611111111</v>
      </c>
      <c r="E90" s="15" t="n">
        <f aca="false">ROUND((D90-$D$5)*86400,2)</f>
        <v>36.23</v>
      </c>
      <c r="F90" s="17" t="n">
        <v>551</v>
      </c>
      <c r="G90" s="16" t="n">
        <f aca="false">IF(INDEX(選手一覧!$D$7:$D$2738,$F90)="","",INDEX(選手一覧!$D$7:$D$2738,$F90))</f>
        <v>0.0106728009259259</v>
      </c>
      <c r="H90" s="17" t="n">
        <f aca="false">IF(INDEX(選手一覧!$E$7:$E$2738,$F90)="","",INDEX(選手一覧!$E$7:$E$2738,$F90))</f>
        <v>552</v>
      </c>
      <c r="I90" s="16" t="n">
        <f aca="false">IF(INDEX(選手一覧!$J$7:$J$2738,$F90)="","",INDEX(選手一覧!$J$7:$J$2738,$F90))</f>
        <v>0.00286006944444445</v>
      </c>
      <c r="J90" s="17" t="n">
        <f aca="false">IF(INDEX(選手一覧!$K$7:$K$2738,$F90)="","",INDEX(選手一覧!$K$7:$K$2738,$F90))</f>
        <v>636</v>
      </c>
    </row>
    <row r="91" customFormat="false" ht="15" hidden="false" customHeight="false" outlineLevel="0" collapsed="false">
      <c r="A91" s="17" t="n">
        <v>87</v>
      </c>
      <c r="B91" s="12" t="s">
        <v>762</v>
      </c>
      <c r="C91" s="12" t="s">
        <v>40</v>
      </c>
      <c r="D91" s="16" t="n">
        <v>0.00665925925925926</v>
      </c>
      <c r="E91" s="15" t="n">
        <f aca="false">ROUND((D91-$D$5)*86400,2)</f>
        <v>36.34</v>
      </c>
      <c r="F91" s="17" t="n">
        <v>424</v>
      </c>
      <c r="G91" s="16" t="n">
        <f aca="false">IF(INDEX(選手一覧!$D$7:$D$2738,$F91)="","",INDEX(選手一覧!$D$7:$D$2738,$F91))</f>
        <v>0.0105715277777778</v>
      </c>
      <c r="H91" s="17" t="n">
        <f aca="false">IF(INDEX(選手一覧!$E$7:$E$2738,$F91)="","",INDEX(選手一覧!$E$7:$E$2738,$F91))</f>
        <v>425</v>
      </c>
      <c r="I91" s="16" t="str">
        <f aca="false">IF(INDEX(選手一覧!$J$7:$J$2738,$F91)="","",INDEX(選手一覧!$J$7:$J$2738,$F91))</f>
        <v/>
      </c>
      <c r="J91" s="17" t="str">
        <f aca="false">IF(INDEX(選手一覧!$K$7:$K$2738,$F91)="","",INDEX(選手一覧!$K$7:$K$2738,$F91))</f>
        <v/>
      </c>
    </row>
    <row r="92" customFormat="false" ht="15" hidden="false" customHeight="false" outlineLevel="0" collapsed="false">
      <c r="A92" s="17" t="n">
        <v>88</v>
      </c>
      <c r="B92" s="12" t="s">
        <v>465</v>
      </c>
      <c r="C92" s="12" t="s">
        <v>127</v>
      </c>
      <c r="D92" s="16" t="n">
        <v>0.006659375</v>
      </c>
      <c r="E92" s="15" t="n">
        <f aca="false">ROUND((D92-$D$5)*86400,2)</f>
        <v>36.35</v>
      </c>
      <c r="F92" s="17" t="n">
        <v>237</v>
      </c>
      <c r="G92" s="16" t="n">
        <f aca="false">IF(INDEX(選手一覧!$D$7:$D$2738,$F92)="","",INDEX(選手一覧!$D$7:$D$2738,$F92))</f>
        <v>0.0103774305555556</v>
      </c>
      <c r="H92" s="17" t="n">
        <f aca="false">IF(INDEX(選手一覧!$E$7:$E$2738,$F92)="","",INDEX(選手一覧!$E$7:$E$2738,$F92))</f>
        <v>238</v>
      </c>
      <c r="I92" s="16" t="n">
        <f aca="false">IF(INDEX(選手一覧!$J$7:$J$2738,$F92)="","",INDEX(選手一覧!$J$7:$J$2738,$F92))</f>
        <v>0.00296747685185185</v>
      </c>
      <c r="J92" s="17" t="n">
        <f aca="false">IF(INDEX(選手一覧!$K$7:$K$2738,$F92)="","",INDEX(選手一覧!$K$7:$K$2738,$F92))</f>
        <v>1300</v>
      </c>
    </row>
    <row r="93" customFormat="false" ht="15" hidden="false" customHeight="false" outlineLevel="0" collapsed="false">
      <c r="A93" s="17" t="n">
        <v>89</v>
      </c>
      <c r="B93" s="12" t="s">
        <v>662</v>
      </c>
      <c r="C93" s="12" t="s">
        <v>65</v>
      </c>
      <c r="D93" s="16" t="n">
        <v>0.00666423611111111</v>
      </c>
      <c r="E93" s="15" t="n">
        <f aca="false">ROUND((D93-$D$5)*86400,2)</f>
        <v>36.77</v>
      </c>
      <c r="F93" s="17" t="n">
        <v>362</v>
      </c>
      <c r="G93" s="16" t="n">
        <f aca="false">IF(INDEX(選手一覧!$D$7:$D$2738,$F93)="","",INDEX(選手一覧!$D$7:$D$2738,$F93))</f>
        <v>0.0105200231481482</v>
      </c>
      <c r="H93" s="17" t="n">
        <f aca="false">IF(INDEX(選手一覧!$E$7:$E$2738,$F93)="","",INDEX(選手一覧!$E$7:$E$2738,$F93))</f>
        <v>363</v>
      </c>
      <c r="I93" s="16" t="n">
        <f aca="false">IF(INDEX(選手一覧!$J$7:$J$2738,$F93)="","",INDEX(選手一覧!$J$7:$J$2738,$F93))</f>
        <v>0.00283993055555556</v>
      </c>
      <c r="J93" s="17" t="n">
        <f aca="false">IF(INDEX(選手一覧!$K$7:$K$2738,$F93)="","",INDEX(選手一覧!$K$7:$K$2738,$F93))</f>
        <v>496</v>
      </c>
    </row>
    <row r="94" customFormat="false" ht="15" hidden="false" customHeight="false" outlineLevel="0" collapsed="false">
      <c r="A94" s="17" t="n">
        <v>90</v>
      </c>
      <c r="B94" s="12" t="s">
        <v>950</v>
      </c>
      <c r="C94" s="12" t="s">
        <v>951</v>
      </c>
      <c r="D94" s="16" t="n">
        <v>0.00666493055555556</v>
      </c>
      <c r="E94" s="15" t="n">
        <f aca="false">ROUND((D94-$D$5)*86400,2)</f>
        <v>36.83</v>
      </c>
      <c r="F94" s="17" t="n">
        <v>542</v>
      </c>
      <c r="G94" s="16" t="n">
        <f aca="false">IF(INDEX(選手一覧!$D$7:$D$2738,$F94)="","",INDEX(選手一覧!$D$7:$D$2738,$F94))</f>
        <v>0.0106671296296296</v>
      </c>
      <c r="H94" s="17" t="n">
        <f aca="false">IF(INDEX(選手一覧!$E$7:$E$2738,$F94)="","",INDEX(選手一覧!$E$7:$E$2738,$F94))</f>
        <v>543</v>
      </c>
      <c r="I94" s="16" t="str">
        <f aca="false">IF(INDEX(選手一覧!$J$7:$J$2738,$F94)="","",INDEX(選手一覧!$J$7:$J$2738,$F94))</f>
        <v/>
      </c>
      <c r="J94" s="17" t="str">
        <f aca="false">IF(INDEX(選手一覧!$K$7:$K$2738,$F94)="","",INDEX(選手一覧!$K$7:$K$2738,$F94))</f>
        <v/>
      </c>
    </row>
    <row r="95" customFormat="false" ht="15" hidden="false" customHeight="false" outlineLevel="0" collapsed="false">
      <c r="A95" s="17" t="n">
        <v>91</v>
      </c>
      <c r="B95" s="12" t="s">
        <v>1055</v>
      </c>
      <c r="C95" s="12" t="s">
        <v>595</v>
      </c>
      <c r="D95" s="16" t="n">
        <v>0.00666805555555556</v>
      </c>
      <c r="E95" s="15" t="n">
        <f aca="false">ROUND((D95-$D$5)*86400,2)</f>
        <v>37.1</v>
      </c>
      <c r="F95" s="17" t="n">
        <v>616</v>
      </c>
      <c r="G95" s="16" t="n">
        <f aca="false">IF(INDEX(選手一覧!$D$7:$D$2738,$F95)="","",INDEX(選手一覧!$D$7:$D$2738,$F95))</f>
        <v>0.0107229166666667</v>
      </c>
      <c r="H95" s="17" t="n">
        <f aca="false">IF(INDEX(選手一覧!$E$7:$E$2738,$F95)="","",INDEX(選手一覧!$E$7:$E$2738,$F95))</f>
        <v>617</v>
      </c>
      <c r="I95" s="16" t="n">
        <f aca="false">IF(INDEX(選手一覧!$J$7:$J$2738,$F95)="","",INDEX(選手一覧!$J$7:$J$2738,$F95))</f>
        <v>0.00291608796296296</v>
      </c>
      <c r="J95" s="17" t="n">
        <f aca="false">IF(INDEX(選手一覧!$K$7:$K$2738,$F95)="","",INDEX(選手一覧!$K$7:$K$2738,$F95))</f>
        <v>1059</v>
      </c>
    </row>
    <row r="96" customFormat="false" ht="15" hidden="false" customHeight="false" outlineLevel="0" collapsed="false">
      <c r="A96" s="17" t="n">
        <v>92</v>
      </c>
      <c r="B96" s="12" t="s">
        <v>324</v>
      </c>
      <c r="C96" s="12" t="s">
        <v>320</v>
      </c>
      <c r="D96" s="16" t="n">
        <v>0.00667303240740741</v>
      </c>
      <c r="E96" s="15" t="n">
        <f aca="false">ROUND((D96-$D$5)*86400,2)</f>
        <v>37.53</v>
      </c>
      <c r="F96" s="17" t="n">
        <v>155</v>
      </c>
      <c r="G96" s="16" t="n">
        <f aca="false">IF(INDEX(選手一覧!$D$7:$D$2738,$F96)="","",INDEX(選手一覧!$D$7:$D$2738,$F96))</f>
        <v>0.0102929398148148</v>
      </c>
      <c r="H96" s="17" t="n">
        <f aca="false">IF(INDEX(選手一覧!$E$7:$E$2738,$F96)="","",INDEX(選手一覧!$E$7:$E$2738,$F96))</f>
        <v>156</v>
      </c>
      <c r="I96" s="16" t="n">
        <f aca="false">IF(INDEX(選手一覧!$J$7:$J$2738,$F96)="","",INDEX(選手一覧!$J$7:$J$2738,$F96))</f>
        <v>0.00289953703703704</v>
      </c>
      <c r="J96" s="17" t="n">
        <f aca="false">IF(INDEX(選手一覧!$K$7:$K$2738,$F96)="","",INDEX(選手一覧!$K$7:$K$2738,$F96))</f>
        <v>941</v>
      </c>
    </row>
    <row r="97" customFormat="false" ht="15" hidden="false" customHeight="false" outlineLevel="0" collapsed="false">
      <c r="A97" s="17" t="n">
        <v>93</v>
      </c>
      <c r="B97" s="12" t="s">
        <v>1052</v>
      </c>
      <c r="C97" s="12" t="s">
        <v>43</v>
      </c>
      <c r="D97" s="16" t="n">
        <v>0.00667372685185185</v>
      </c>
      <c r="E97" s="15" t="n">
        <f aca="false">ROUND((D97-$D$5)*86400,2)</f>
        <v>37.59</v>
      </c>
      <c r="F97" s="17" t="n">
        <v>614</v>
      </c>
      <c r="G97" s="16" t="n">
        <f aca="false">IF(INDEX(選手一覧!$D$7:$D$2738,$F97)="","",INDEX(選手一覧!$D$7:$D$2738,$F97))</f>
        <v>0.0107228009259259</v>
      </c>
      <c r="H97" s="17" t="n">
        <f aca="false">IF(INDEX(選手一覧!$E$7:$E$2738,$F97)="","",INDEX(選手一覧!$E$7:$E$2738,$F97))</f>
        <v>615</v>
      </c>
      <c r="I97" s="16" t="n">
        <f aca="false">IF(INDEX(選手一覧!$J$7:$J$2738,$F97)="","",INDEX(選手一覧!$J$7:$J$2738,$F97))</f>
        <v>0.00285810185185185</v>
      </c>
      <c r="J97" s="17" t="n">
        <f aca="false">IF(INDEX(選手一覧!$K$7:$K$2738,$F97)="","",INDEX(選手一覧!$K$7:$K$2738,$F97))</f>
        <v>622</v>
      </c>
    </row>
    <row r="98" customFormat="false" ht="15" hidden="false" customHeight="false" outlineLevel="0" collapsed="false">
      <c r="A98" s="17" t="n">
        <v>94</v>
      </c>
      <c r="B98" s="12" t="s">
        <v>1115</v>
      </c>
      <c r="C98" s="12" t="s">
        <v>71</v>
      </c>
      <c r="D98" s="16" t="n">
        <v>0.0066755787037037</v>
      </c>
      <c r="E98" s="15" t="n">
        <f aca="false">ROUND((D98-$D$5)*86400,2)</f>
        <v>37.75</v>
      </c>
      <c r="F98" s="17" t="n">
        <v>661</v>
      </c>
      <c r="G98" s="16" t="n">
        <f aca="false">IF(INDEX(選手一覧!$D$7:$D$2738,$F98)="","",INDEX(選手一覧!$D$7:$D$2738,$F98))</f>
        <v>0.0107457175925926</v>
      </c>
      <c r="H98" s="17" t="n">
        <f aca="false">IF(INDEX(選手一覧!$E$7:$E$2738,$F98)="","",INDEX(選手一覧!$E$7:$E$2738,$F98))</f>
        <v>662</v>
      </c>
      <c r="I98" s="16" t="str">
        <f aca="false">IF(INDEX(選手一覧!$J$7:$J$2738,$F98)="","",INDEX(選手一覧!$J$7:$J$2738,$F98))</f>
        <v/>
      </c>
      <c r="J98" s="17" t="str">
        <f aca="false">IF(INDEX(選手一覧!$K$7:$K$2738,$F98)="","",INDEX(選手一覧!$K$7:$K$2738,$F98))</f>
        <v/>
      </c>
    </row>
    <row r="99" customFormat="false" ht="15" hidden="false" customHeight="false" outlineLevel="0" collapsed="false">
      <c r="A99" s="17" t="n">
        <v>95</v>
      </c>
      <c r="B99" s="12" t="s">
        <v>1378</v>
      </c>
      <c r="C99" s="12" t="s">
        <v>686</v>
      </c>
      <c r="D99" s="16" t="n">
        <v>0.00667592592592593</v>
      </c>
      <c r="E99" s="15" t="n">
        <f aca="false">ROUND((D99-$D$5)*86400,2)</f>
        <v>37.78</v>
      </c>
      <c r="F99" s="17" t="n">
        <v>833</v>
      </c>
      <c r="G99" s="16" t="n">
        <f aca="false">IF(INDEX(選手一覧!$D$7:$D$2738,$F99)="","",INDEX(選手一覧!$D$7:$D$2738,$F99))</f>
        <v>0.0108484953703704</v>
      </c>
      <c r="H99" s="17" t="n">
        <f aca="false">IF(INDEX(選手一覧!$E$7:$E$2738,$F99)="","",INDEX(選手一覧!$E$7:$E$2738,$F99))</f>
        <v>834</v>
      </c>
      <c r="I99" s="16" t="n">
        <f aca="false">IF(INDEX(選手一覧!$J$7:$J$2738,$F99)="","",INDEX(選手一覧!$J$7:$J$2738,$F99))</f>
        <v>0.00277916666666667</v>
      </c>
      <c r="J99" s="17" t="n">
        <f aca="false">IF(INDEX(選手一覧!$K$7:$K$2738,$F99)="","",INDEX(選手一覧!$K$7:$K$2738,$F99))</f>
        <v>196</v>
      </c>
    </row>
    <row r="100" customFormat="false" ht="15" hidden="false" customHeight="false" outlineLevel="0" collapsed="false">
      <c r="A100" s="17" t="n">
        <v>96</v>
      </c>
      <c r="B100" s="12" t="s">
        <v>839</v>
      </c>
      <c r="C100" s="12" t="s">
        <v>54</v>
      </c>
      <c r="D100" s="16" t="n">
        <v>0.00667673611111111</v>
      </c>
      <c r="E100" s="15" t="n">
        <f aca="false">ROUND((D100-$D$5)*86400,2)</f>
        <v>37.85</v>
      </c>
      <c r="F100" s="17" t="n">
        <v>476</v>
      </c>
      <c r="G100" s="16" t="n">
        <f aca="false">IF(INDEX(選手一覧!$D$7:$D$2738,$F100)="","",INDEX(選手一覧!$D$7:$D$2738,$F100))</f>
        <v>0.0106108796296296</v>
      </c>
      <c r="H100" s="17" t="n">
        <f aca="false">IF(INDEX(選手一覧!$E$7:$E$2738,$F100)="","",INDEX(選手一覧!$E$7:$E$2738,$F100))</f>
        <v>477</v>
      </c>
      <c r="I100" s="16" t="n">
        <f aca="false">IF(INDEX(選手一覧!$J$7:$J$2738,$F100)="","",INDEX(選手一覧!$J$7:$J$2738,$F100))</f>
        <v>0.00289733796296296</v>
      </c>
      <c r="J100" s="17" t="n">
        <f aca="false">IF(INDEX(選手一覧!$K$7:$K$2738,$F100)="","",INDEX(選手一覧!$K$7:$K$2738,$F100))</f>
        <v>929</v>
      </c>
    </row>
    <row r="101" customFormat="false" ht="15" hidden="false" customHeight="false" outlineLevel="0" collapsed="false">
      <c r="A101" s="17" t="n">
        <v>97</v>
      </c>
      <c r="B101" s="12" t="s">
        <v>1145</v>
      </c>
      <c r="C101" s="12" t="s">
        <v>1146</v>
      </c>
      <c r="D101" s="16" t="n">
        <v>0.00667858796296296</v>
      </c>
      <c r="E101" s="15" t="n">
        <f aca="false">ROUND((D101-$D$5)*86400,2)</f>
        <v>38.01</v>
      </c>
      <c r="F101" s="17" t="n">
        <v>678</v>
      </c>
      <c r="G101" s="16" t="n">
        <f aca="false">IF(INDEX(選手一覧!$D$7:$D$2738,$F101)="","",INDEX(選手一覧!$D$7:$D$2738,$F101))</f>
        <v>0.0107601851851852</v>
      </c>
      <c r="H101" s="17" t="n">
        <f aca="false">IF(INDEX(選手一覧!$E$7:$E$2738,$F101)="","",INDEX(選手一覧!$E$7:$E$2738,$F101))</f>
        <v>679</v>
      </c>
      <c r="I101" s="16" t="n">
        <f aca="false">IF(INDEX(選手一覧!$J$7:$J$2738,$F101)="","",INDEX(選手一覧!$J$7:$J$2738,$F101))</f>
        <v>0.00279768518518519</v>
      </c>
      <c r="J101" s="17" t="n">
        <f aca="false">IF(INDEX(選手一覧!$K$7:$K$2738,$F101)="","",INDEX(選手一覧!$K$7:$K$2738,$F101))</f>
        <v>273</v>
      </c>
    </row>
    <row r="102" customFormat="false" ht="15" hidden="false" customHeight="false" outlineLevel="0" collapsed="false">
      <c r="A102" s="17" t="n">
        <v>98</v>
      </c>
      <c r="B102" s="12" t="s">
        <v>226</v>
      </c>
      <c r="C102" s="12" t="s">
        <v>199</v>
      </c>
      <c r="D102" s="16" t="n">
        <v>0.00668009259259259</v>
      </c>
      <c r="E102" s="15" t="n">
        <f aca="false">ROUND((D102-$D$5)*86400,2)</f>
        <v>38.14</v>
      </c>
      <c r="F102" s="17" t="n">
        <v>105</v>
      </c>
      <c r="G102" s="16" t="n">
        <f aca="false">IF(INDEX(選手一覧!$D$7:$D$2738,$F102)="","",INDEX(選手一覧!$D$7:$D$2738,$F102))</f>
        <v>0.0102157407407407</v>
      </c>
      <c r="H102" s="17" t="n">
        <f aca="false">IF(INDEX(選手一覧!$E$7:$E$2738,$F102)="","",INDEX(選手一覧!$E$7:$E$2738,$F102))</f>
        <v>106</v>
      </c>
      <c r="I102" s="16" t="str">
        <f aca="false">IF(INDEX(選手一覧!$J$7:$J$2738,$F102)="","",INDEX(選手一覧!$J$7:$J$2738,$F102))</f>
        <v/>
      </c>
      <c r="J102" s="17" t="str">
        <f aca="false">IF(INDEX(選手一覧!$K$7:$K$2738,$F102)="","",INDEX(選手一覧!$K$7:$K$2738,$F102))</f>
        <v/>
      </c>
    </row>
    <row r="103" customFormat="false" ht="15" hidden="false" customHeight="false" outlineLevel="0" collapsed="false">
      <c r="A103" s="17" t="n">
        <v>99</v>
      </c>
      <c r="B103" s="12" t="s">
        <v>2059</v>
      </c>
      <c r="C103" s="12" t="s">
        <v>2060</v>
      </c>
      <c r="D103" s="16" t="n">
        <v>0.00668229166666667</v>
      </c>
      <c r="E103" s="15" t="n">
        <f aca="false">ROUND((D103-$D$5)*86400,2)</f>
        <v>38.33</v>
      </c>
      <c r="F103" s="17" t="n">
        <v>1304</v>
      </c>
      <c r="G103" s="16" t="str">
        <f aca="false">IF(INDEX(選手一覧!$D$7:$D$2738,$F103)="","",INDEX(選手一覧!$D$7:$D$2738,$F103))</f>
        <v/>
      </c>
      <c r="H103" s="17" t="str">
        <f aca="false">IF(INDEX(選手一覧!$E$7:$E$2738,$F103)="","",INDEX(選手一覧!$E$7:$E$2738,$F103))</f>
        <v/>
      </c>
      <c r="I103" s="16" t="n">
        <f aca="false">IF(INDEX(選手一覧!$J$7:$J$2738,$F103)="","",INDEX(選手一覧!$J$7:$J$2738,$F103))</f>
        <v>0.00280578703703704</v>
      </c>
      <c r="J103" s="17" t="n">
        <f aca="false">IF(INDEX(選手一覧!$K$7:$K$2738,$F103)="","",INDEX(選手一覧!$K$7:$K$2738,$F103))</f>
        <v>305</v>
      </c>
    </row>
    <row r="104" customFormat="false" ht="15" hidden="false" customHeight="false" outlineLevel="0" collapsed="false">
      <c r="A104" s="17" t="n">
        <v>100</v>
      </c>
      <c r="B104" s="12" t="s">
        <v>1862</v>
      </c>
      <c r="C104" s="12" t="s">
        <v>1476</v>
      </c>
      <c r="D104" s="16" t="n">
        <v>0.00668368055555556</v>
      </c>
      <c r="E104" s="15" t="n">
        <f aca="false">ROUND((D104-$D$5)*86400,2)</f>
        <v>38.45</v>
      </c>
      <c r="F104" s="17" t="n">
        <v>1156</v>
      </c>
      <c r="G104" s="16" t="n">
        <f aca="false">IF(INDEX(選手一覧!$D$7:$D$2738,$F104)="","",INDEX(選手一覧!$D$7:$D$2738,$F104))</f>
        <v>0.0110321759259259</v>
      </c>
      <c r="H104" s="17" t="n">
        <f aca="false">IF(INDEX(選手一覧!$E$7:$E$2738,$F104)="","",INDEX(選手一覧!$E$7:$E$2738,$F104))</f>
        <v>1157</v>
      </c>
      <c r="I104" s="16" t="str">
        <f aca="false">IF(INDEX(選手一覧!$J$7:$J$2738,$F104)="","",INDEX(選手一覧!$J$7:$J$2738,$F104))</f>
        <v/>
      </c>
      <c r="J104" s="17" t="str">
        <f aca="false">IF(INDEX(選手一覧!$K$7:$K$2738,$F104)="","",INDEX(選手一覧!$K$7:$K$2738,$F104))</f>
        <v/>
      </c>
    </row>
    <row r="105" customFormat="false" ht="15" hidden="false" customHeight="false" outlineLevel="0" collapsed="false">
      <c r="A105" s="17" t="n">
        <v>101</v>
      </c>
      <c r="B105" s="12" t="s">
        <v>1168</v>
      </c>
      <c r="C105" s="12" t="s">
        <v>155</v>
      </c>
      <c r="D105" s="16" t="n">
        <v>0.00668391203703704</v>
      </c>
      <c r="E105" s="15" t="n">
        <f aca="false">ROUND((D105-$D$5)*86400,2)</f>
        <v>38.47</v>
      </c>
      <c r="F105" s="17" t="n">
        <v>691</v>
      </c>
      <c r="G105" s="16" t="n">
        <f aca="false">IF(INDEX(選手一覧!$D$7:$D$2738,$F105)="","",INDEX(選手一覧!$D$7:$D$2738,$F105))</f>
        <v>0.0107659722222222</v>
      </c>
      <c r="H105" s="17" t="n">
        <f aca="false">IF(INDEX(選手一覧!$E$7:$E$2738,$F105)="","",INDEX(選手一覧!$E$7:$E$2738,$F105))</f>
        <v>692</v>
      </c>
      <c r="I105" s="16" t="n">
        <f aca="false">IF(INDEX(選手一覧!$J$7:$J$2738,$F105)="","",INDEX(選手一覧!$J$7:$J$2738,$F105))</f>
        <v>0.00280405092592593</v>
      </c>
      <c r="J105" s="17" t="n">
        <f aca="false">IF(INDEX(選手一覧!$K$7:$K$2738,$F105)="","",INDEX(選手一覧!$K$7:$K$2738,$F105))</f>
        <v>300</v>
      </c>
    </row>
    <row r="106" customFormat="false" ht="15" hidden="false" customHeight="false" outlineLevel="0" collapsed="false">
      <c r="A106" s="17" t="n">
        <v>102</v>
      </c>
      <c r="B106" s="12" t="s">
        <v>149</v>
      </c>
      <c r="C106" s="12" t="s">
        <v>150</v>
      </c>
      <c r="D106" s="16" t="n">
        <v>0.00668483796296296</v>
      </c>
      <c r="E106" s="15" t="n">
        <f aca="false">ROUND((D106-$D$5)*86400,2)</f>
        <v>38.55</v>
      </c>
      <c r="F106" s="17" t="n">
        <v>63</v>
      </c>
      <c r="G106" s="16" t="n">
        <f aca="false">IF(INDEX(選手一覧!$D$7:$D$2738,$F106)="","",INDEX(選手一覧!$D$7:$D$2738,$F106))</f>
        <v>0.0101362268518519</v>
      </c>
      <c r="H106" s="17" t="n">
        <f aca="false">IF(INDEX(選手一覧!$E$7:$E$2738,$F106)="","",INDEX(選手一覧!$E$7:$E$2738,$F106))</f>
        <v>64</v>
      </c>
      <c r="I106" s="16" t="n">
        <f aca="false">IF(INDEX(選手一覧!$J$7:$J$2738,$F106)="","",INDEX(選手一覧!$J$7:$J$2738,$F106))</f>
        <v>0.0028724537037037</v>
      </c>
      <c r="J106" s="17" t="n">
        <f aca="false">IF(INDEX(選手一覧!$K$7:$K$2738,$F106)="","",INDEX(選手一覧!$K$7:$K$2738,$F106))</f>
        <v>718</v>
      </c>
    </row>
    <row r="107" customFormat="false" ht="15" hidden="false" customHeight="false" outlineLevel="0" collapsed="false">
      <c r="A107" s="17" t="n">
        <v>103</v>
      </c>
      <c r="B107" s="12" t="s">
        <v>175</v>
      </c>
      <c r="C107" s="12" t="s">
        <v>25</v>
      </c>
      <c r="D107" s="16" t="n">
        <v>0.00668576388888889</v>
      </c>
      <c r="E107" s="15" t="n">
        <f aca="false">ROUND((D107-$D$5)*86400,2)</f>
        <v>38.63</v>
      </c>
      <c r="F107" s="17" t="n">
        <v>76</v>
      </c>
      <c r="G107" s="16" t="n">
        <f aca="false">IF(INDEX(選手一覧!$D$7:$D$2738,$F107)="","",INDEX(選手一覧!$D$7:$D$2738,$F107))</f>
        <v>0.0101636574074074</v>
      </c>
      <c r="H107" s="17" t="n">
        <f aca="false">IF(INDEX(選手一覧!$E$7:$E$2738,$F107)="","",INDEX(選手一覧!$E$7:$E$2738,$F107))</f>
        <v>77</v>
      </c>
      <c r="I107" s="16" t="n">
        <f aca="false">IF(INDEX(選手一覧!$J$7:$J$2738,$F107)="","",INDEX(選手一覧!$J$7:$J$2738,$F107))</f>
        <v>0.00296979166666667</v>
      </c>
      <c r="J107" s="17" t="n">
        <f aca="false">IF(INDEX(選手一覧!$K$7:$K$2738,$F107)="","",INDEX(選手一覧!$K$7:$K$2738,$F107))</f>
        <v>1310</v>
      </c>
    </row>
    <row r="108" customFormat="false" ht="15" hidden="false" customHeight="false" outlineLevel="0" collapsed="false">
      <c r="A108" s="17" t="n">
        <v>104</v>
      </c>
      <c r="B108" s="12" t="s">
        <v>1098</v>
      </c>
      <c r="C108" s="12" t="s">
        <v>115</v>
      </c>
      <c r="D108" s="16" t="n">
        <v>0.00668634259259259</v>
      </c>
      <c r="E108" s="15" t="n">
        <f aca="false">ROUND((D108-$D$5)*86400,2)</f>
        <v>38.68</v>
      </c>
      <c r="F108" s="17" t="n">
        <v>648</v>
      </c>
      <c r="G108" s="16" t="n">
        <f aca="false">IF(INDEX(選手一覧!$D$7:$D$2738,$F108)="","",INDEX(選手一覧!$D$7:$D$2738,$F108))</f>
        <v>0.0107376157407407</v>
      </c>
      <c r="H108" s="17" t="n">
        <f aca="false">IF(INDEX(選手一覧!$E$7:$E$2738,$F108)="","",INDEX(選手一覧!$E$7:$E$2738,$F108))</f>
        <v>649</v>
      </c>
      <c r="I108" s="16" t="str">
        <f aca="false">IF(INDEX(選手一覧!$J$7:$J$2738,$F108)="","",INDEX(選手一覧!$J$7:$J$2738,$F108))</f>
        <v/>
      </c>
      <c r="J108" s="17" t="str">
        <f aca="false">IF(INDEX(選手一覧!$K$7:$K$2738,$F108)="","",INDEX(選手一覧!$K$7:$K$2738,$F108))</f>
        <v/>
      </c>
    </row>
    <row r="109" customFormat="false" ht="15" hidden="false" customHeight="false" outlineLevel="0" collapsed="false">
      <c r="A109" s="17" t="n">
        <v>105</v>
      </c>
      <c r="B109" s="12" t="s">
        <v>2063</v>
      </c>
      <c r="C109" s="12" t="s">
        <v>2064</v>
      </c>
      <c r="D109" s="16" t="n">
        <v>0.00669270833333333</v>
      </c>
      <c r="E109" s="15" t="n">
        <f aca="false">ROUND((D109-$D$5)*86400,2)</f>
        <v>39.23</v>
      </c>
      <c r="F109" s="17" t="n">
        <v>1307</v>
      </c>
      <c r="G109" s="16" t="str">
        <f aca="false">IF(INDEX(選手一覧!$D$7:$D$2738,$F109)="","",INDEX(選手一覧!$D$7:$D$2738,$F109))</f>
        <v/>
      </c>
      <c r="H109" s="17" t="str">
        <f aca="false">IF(INDEX(選手一覧!$E$7:$E$2738,$F109)="","",INDEX(選手一覧!$E$7:$E$2738,$F109))</f>
        <v/>
      </c>
      <c r="I109" s="16" t="n">
        <f aca="false">IF(INDEX(選手一覧!$J$7:$J$2738,$F109)="","",INDEX(選手一覧!$J$7:$J$2738,$F109))</f>
        <v>0.00284722222222222</v>
      </c>
      <c r="J109" s="17" t="n">
        <f aca="false">IF(INDEX(選手一覧!$K$7:$K$2738,$F109)="","",INDEX(選手一覧!$K$7:$K$2738,$F109))</f>
        <v>553</v>
      </c>
    </row>
    <row r="110" customFormat="false" ht="15" hidden="false" customHeight="false" outlineLevel="0" collapsed="false">
      <c r="A110" s="17" t="n">
        <v>106</v>
      </c>
      <c r="B110" s="12" t="s">
        <v>2021</v>
      </c>
      <c r="C110" s="12" t="s">
        <v>728</v>
      </c>
      <c r="D110" s="16" t="n">
        <v>0.00669803240740741</v>
      </c>
      <c r="E110" s="15" t="n">
        <f aca="false">ROUND((D110-$D$5)*86400,2)</f>
        <v>39.69</v>
      </c>
      <c r="F110" s="17" t="n">
        <v>1276</v>
      </c>
      <c r="G110" s="16" t="n">
        <f aca="false">IF(INDEX(選手一覧!$D$7:$D$2738,$F110)="","",INDEX(選手一覧!$D$7:$D$2738,$F110))</f>
        <v>0.0111061342592593</v>
      </c>
      <c r="H110" s="17" t="n">
        <f aca="false">IF(INDEX(選手一覧!$E$7:$E$2738,$F110)="","",INDEX(選手一覧!$E$7:$E$2738,$F110))</f>
        <v>1277</v>
      </c>
      <c r="I110" s="16" t="str">
        <f aca="false">IF(INDEX(選手一覧!$J$7:$J$2738,$F110)="","",INDEX(選手一覧!$J$7:$J$2738,$F110))</f>
        <v/>
      </c>
      <c r="J110" s="17" t="str">
        <f aca="false">IF(INDEX(選手一覧!$K$7:$K$2738,$F110)="","",INDEX(選手一覧!$K$7:$K$2738,$F110))</f>
        <v/>
      </c>
    </row>
    <row r="111" customFormat="false" ht="15" hidden="false" customHeight="false" outlineLevel="0" collapsed="false">
      <c r="A111" s="17" t="n">
        <v>107</v>
      </c>
      <c r="B111" s="12" t="s">
        <v>403</v>
      </c>
      <c r="C111" s="12" t="s">
        <v>290</v>
      </c>
      <c r="D111" s="16" t="n">
        <v>0.00669953703703704</v>
      </c>
      <c r="E111" s="15" t="n">
        <f aca="false">ROUND((D111-$D$5)*86400,2)</f>
        <v>39.82</v>
      </c>
      <c r="F111" s="17" t="n">
        <v>202</v>
      </c>
      <c r="G111" s="16" t="n">
        <f aca="false">IF(INDEX(選手一覧!$D$7:$D$2738,$F111)="","",INDEX(選手一覧!$D$7:$D$2738,$F111))</f>
        <v>0.0103505787037037</v>
      </c>
      <c r="H111" s="17" t="n">
        <f aca="false">IF(INDEX(選手一覧!$E$7:$E$2738,$F111)="","",INDEX(選手一覧!$E$7:$E$2738,$F111))</f>
        <v>203</v>
      </c>
      <c r="I111" s="16" t="n">
        <f aca="false">IF(INDEX(選手一覧!$J$7:$J$2738,$F111)="","",INDEX(選手一覧!$J$7:$J$2738,$F111))</f>
        <v>0.00276481481481482</v>
      </c>
      <c r="J111" s="17" t="n">
        <f aca="false">IF(INDEX(選手一覧!$K$7:$K$2738,$F111)="","",INDEX(選手一覧!$K$7:$K$2738,$F111))</f>
        <v>149</v>
      </c>
    </row>
    <row r="112" customFormat="false" ht="15" hidden="false" customHeight="false" outlineLevel="0" collapsed="false">
      <c r="A112" s="17" t="n">
        <v>108</v>
      </c>
      <c r="B112" s="12" t="s">
        <v>2065</v>
      </c>
      <c r="C112" s="12" t="s">
        <v>27</v>
      </c>
      <c r="D112" s="16" t="n">
        <v>0.00669976851851852</v>
      </c>
      <c r="E112" s="15" t="n">
        <f aca="false">ROUND((D112-$D$5)*86400,2)</f>
        <v>39.84</v>
      </c>
      <c r="F112" s="17" t="n">
        <v>1308</v>
      </c>
      <c r="G112" s="16" t="str">
        <f aca="false">IF(INDEX(選手一覧!$D$7:$D$2738,$F112)="","",INDEX(選手一覧!$D$7:$D$2738,$F112))</f>
        <v/>
      </c>
      <c r="H112" s="17" t="str">
        <f aca="false">IF(INDEX(選手一覧!$E$7:$E$2738,$F112)="","",INDEX(選手一覧!$E$7:$E$2738,$F112))</f>
        <v/>
      </c>
      <c r="I112" s="16" t="str">
        <f aca="false">IF(INDEX(選手一覧!$J$7:$J$2738,$F112)="","",INDEX(選手一覧!$J$7:$J$2738,$F112))</f>
        <v/>
      </c>
      <c r="J112" s="17" t="str">
        <f aca="false">IF(INDEX(選手一覧!$K$7:$K$2738,$F112)="","",INDEX(選手一覧!$K$7:$K$2738,$F112))</f>
        <v/>
      </c>
    </row>
    <row r="113" customFormat="false" ht="15" hidden="false" customHeight="false" outlineLevel="0" collapsed="false">
      <c r="A113" s="17" t="n">
        <v>109</v>
      </c>
      <c r="B113" s="12" t="s">
        <v>935</v>
      </c>
      <c r="C113" s="12" t="s">
        <v>936</v>
      </c>
      <c r="D113" s="16" t="n">
        <v>0.00670185185185185</v>
      </c>
      <c r="E113" s="15" t="n">
        <f aca="false">ROUND((D113-$D$5)*86400,2)</f>
        <v>40.02</v>
      </c>
      <c r="F113" s="17" t="n">
        <v>533</v>
      </c>
      <c r="G113" s="16" t="n">
        <f aca="false">IF(INDEX(選手一覧!$D$7:$D$2738,$F113)="","",INDEX(選手一覧!$D$7:$D$2738,$F113))</f>
        <v>0.0106591435185185</v>
      </c>
      <c r="H113" s="17" t="n">
        <f aca="false">IF(INDEX(選手一覧!$E$7:$E$2738,$F113)="","",INDEX(選手一覧!$E$7:$E$2738,$F113))</f>
        <v>534</v>
      </c>
      <c r="I113" s="16" t="n">
        <f aca="false">IF(INDEX(選手一覧!$J$7:$J$2738,$F113)="","",INDEX(選手一覧!$J$7:$J$2738,$F113))</f>
        <v>0.00288518518518519</v>
      </c>
      <c r="J113" s="17" t="n">
        <f aca="false">IF(INDEX(選手一覧!$K$7:$K$2738,$F113)="","",INDEX(選手一覧!$K$7:$K$2738,$F113))</f>
        <v>820</v>
      </c>
    </row>
    <row r="114" customFormat="false" ht="15" hidden="false" customHeight="false" outlineLevel="0" collapsed="false">
      <c r="A114" s="17" t="n">
        <v>110</v>
      </c>
      <c r="B114" s="12" t="s">
        <v>2066</v>
      </c>
      <c r="C114" s="12" t="s">
        <v>2067</v>
      </c>
      <c r="D114" s="16" t="n">
        <v>0.00670486111111111</v>
      </c>
      <c r="E114" s="15" t="n">
        <f aca="false">ROUND((D114-$D$5)*86400,2)</f>
        <v>40.28</v>
      </c>
      <c r="F114" s="17" t="n">
        <v>1309</v>
      </c>
      <c r="G114" s="16" t="str">
        <f aca="false">IF(INDEX(選手一覧!$D$7:$D$2738,$F114)="","",INDEX(選手一覧!$D$7:$D$2738,$F114))</f>
        <v/>
      </c>
      <c r="H114" s="17" t="str">
        <f aca="false">IF(INDEX(選手一覧!$E$7:$E$2738,$F114)="","",INDEX(選手一覧!$E$7:$E$2738,$F114))</f>
        <v/>
      </c>
      <c r="I114" s="16" t="n">
        <f aca="false">IF(INDEX(選手一覧!$J$7:$J$2738,$F114)="","",INDEX(選手一覧!$J$7:$J$2738,$F114))</f>
        <v>0.00292025462962963</v>
      </c>
      <c r="J114" s="17" t="n">
        <f aca="false">IF(INDEX(選手一覧!$K$7:$K$2738,$F114)="","",INDEX(選手一覧!$K$7:$K$2738,$F114))</f>
        <v>1102</v>
      </c>
    </row>
    <row r="115" customFormat="false" ht="15" hidden="false" customHeight="false" outlineLevel="0" collapsed="false">
      <c r="A115" s="17" t="n">
        <v>111</v>
      </c>
      <c r="B115" s="12" t="s">
        <v>616</v>
      </c>
      <c r="C115" s="12" t="s">
        <v>565</v>
      </c>
      <c r="D115" s="16" t="n">
        <v>0.00670543981481482</v>
      </c>
      <c r="E115" s="15" t="n">
        <f aca="false">ROUND((D115-$D$5)*86400,2)</f>
        <v>40.33</v>
      </c>
      <c r="F115" s="17" t="n">
        <v>332</v>
      </c>
      <c r="G115" s="16" t="n">
        <f aca="false">IF(INDEX(選手一覧!$D$7:$D$2738,$F115)="","",INDEX(選手一覧!$D$7:$D$2738,$F115))</f>
        <v>0.0104903935185185</v>
      </c>
      <c r="H115" s="17" t="n">
        <f aca="false">IF(INDEX(選手一覧!$E$7:$E$2738,$F115)="","",INDEX(選手一覧!$E$7:$E$2738,$F115))</f>
        <v>333</v>
      </c>
      <c r="I115" s="16" t="n">
        <f aca="false">IF(INDEX(選手一覧!$J$7:$J$2738,$F115)="","",INDEX(選手一覧!$J$7:$J$2738,$F115))</f>
        <v>0.00282905092592593</v>
      </c>
      <c r="J115" s="17" t="n">
        <f aca="false">IF(INDEX(選手一覧!$K$7:$K$2738,$F115)="","",INDEX(選手一覧!$K$7:$K$2738,$F115))</f>
        <v>419</v>
      </c>
    </row>
    <row r="116" customFormat="false" ht="15" hidden="false" customHeight="false" outlineLevel="0" collapsed="false">
      <c r="A116" s="17" t="n">
        <v>112</v>
      </c>
      <c r="B116" s="12" t="s">
        <v>659</v>
      </c>
      <c r="C116" s="12" t="s">
        <v>397</v>
      </c>
      <c r="D116" s="16" t="n">
        <v>0.00671261574074074</v>
      </c>
      <c r="E116" s="15" t="n">
        <f aca="false">ROUND((D116-$D$5)*86400,2)</f>
        <v>40.95</v>
      </c>
      <c r="F116" s="17" t="n">
        <v>359</v>
      </c>
      <c r="G116" s="16" t="n">
        <f aca="false">IF(INDEX(選手一覧!$D$7:$D$2738,$F116)="","",INDEX(選手一覧!$D$7:$D$2738,$F116))</f>
        <v>0.0105166666666667</v>
      </c>
      <c r="H116" s="17" t="n">
        <f aca="false">IF(INDEX(選手一覧!$E$7:$E$2738,$F116)="","",INDEX(選手一覧!$E$7:$E$2738,$F116))</f>
        <v>360</v>
      </c>
      <c r="I116" s="16" t="n">
        <f aca="false">IF(INDEX(選手一覧!$J$7:$J$2738,$F116)="","",INDEX(選手一覧!$J$7:$J$2738,$F116))</f>
        <v>0.00284456018518519</v>
      </c>
      <c r="J116" s="17" t="n">
        <f aca="false">IF(INDEX(選手一覧!$K$7:$K$2738,$F116)="","",INDEX(選手一覧!$K$7:$K$2738,$F116))</f>
        <v>531</v>
      </c>
    </row>
    <row r="117" customFormat="false" ht="15" hidden="false" customHeight="false" outlineLevel="0" collapsed="false">
      <c r="A117" s="17" t="n">
        <v>113</v>
      </c>
      <c r="B117" s="12" t="s">
        <v>1018</v>
      </c>
      <c r="C117" s="12" t="s">
        <v>406</v>
      </c>
      <c r="D117" s="16" t="n">
        <v>0.00671666666666667</v>
      </c>
      <c r="E117" s="15" t="n">
        <f aca="false">ROUND((D117-$D$5)*86400,2)</f>
        <v>41.3</v>
      </c>
      <c r="F117" s="17" t="n">
        <v>588</v>
      </c>
      <c r="G117" s="16" t="n">
        <f aca="false">IF(INDEX(選手一覧!$D$7:$D$2738,$F117)="","",INDEX(選手一覧!$D$7:$D$2738,$F117))</f>
        <v>0.010703587962963</v>
      </c>
      <c r="H117" s="17" t="n">
        <f aca="false">IF(INDEX(選手一覧!$E$7:$E$2738,$F117)="","",INDEX(選手一覧!$E$7:$E$2738,$F117))</f>
        <v>589</v>
      </c>
      <c r="I117" s="16" t="str">
        <f aca="false">IF(INDEX(選手一覧!$J$7:$J$2738,$F117)="","",INDEX(選手一覧!$J$7:$J$2738,$F117))</f>
        <v/>
      </c>
      <c r="J117" s="17" t="str">
        <f aca="false">IF(INDEX(選手一覧!$K$7:$K$2738,$F117)="","",INDEX(選手一覧!$K$7:$K$2738,$F117))</f>
        <v/>
      </c>
    </row>
    <row r="118" customFormat="false" ht="15" hidden="false" customHeight="false" outlineLevel="0" collapsed="false">
      <c r="A118" s="17" t="n">
        <v>114</v>
      </c>
      <c r="B118" s="12" t="s">
        <v>1655</v>
      </c>
      <c r="C118" s="12" t="s">
        <v>1656</v>
      </c>
      <c r="D118" s="16" t="n">
        <v>0.00672141203703704</v>
      </c>
      <c r="E118" s="15" t="n">
        <f aca="false">ROUND((D118-$D$5)*86400,2)</f>
        <v>41.71</v>
      </c>
      <c r="F118" s="17" t="n">
        <v>1020</v>
      </c>
      <c r="G118" s="16" t="n">
        <f aca="false">IF(INDEX(選手一覧!$D$7:$D$2738,$F118)="","",INDEX(選手一覧!$D$7:$D$2738,$F118))</f>
        <v>0.0109608796296296</v>
      </c>
      <c r="H118" s="17" t="n">
        <f aca="false">IF(INDEX(選手一覧!$E$7:$E$2738,$F118)="","",INDEX(選手一覧!$E$7:$E$2738,$F118))</f>
        <v>1021</v>
      </c>
      <c r="I118" s="16" t="str">
        <f aca="false">IF(INDEX(選手一覧!$J$7:$J$2738,$F118)="","",INDEX(選手一覧!$J$7:$J$2738,$F118))</f>
        <v/>
      </c>
      <c r="J118" s="17" t="str">
        <f aca="false">IF(INDEX(選手一覧!$K$7:$K$2738,$F118)="","",INDEX(選手一覧!$K$7:$K$2738,$F118))</f>
        <v/>
      </c>
    </row>
    <row r="119" customFormat="false" ht="15" hidden="false" customHeight="false" outlineLevel="0" collapsed="false">
      <c r="A119" s="17" t="n">
        <v>115</v>
      </c>
      <c r="B119" s="12" t="s">
        <v>734</v>
      </c>
      <c r="C119" s="12" t="s">
        <v>123</v>
      </c>
      <c r="D119" s="16" t="n">
        <v>0.006721875</v>
      </c>
      <c r="E119" s="15" t="n">
        <f aca="false">ROUND((D119-$D$5)*86400,2)</f>
        <v>41.75</v>
      </c>
      <c r="F119" s="17" t="n">
        <v>407</v>
      </c>
      <c r="G119" s="16" t="n">
        <f aca="false">IF(INDEX(選手一覧!$D$7:$D$2738,$F119)="","",INDEX(選手一覧!$D$7:$D$2738,$F119))</f>
        <v>0.010559375</v>
      </c>
      <c r="H119" s="17" t="n">
        <f aca="false">IF(INDEX(選手一覧!$E$7:$E$2738,$F119)="","",INDEX(選手一覧!$E$7:$E$2738,$F119))</f>
        <v>408</v>
      </c>
      <c r="I119" s="16" t="n">
        <f aca="false">IF(INDEX(選手一覧!$J$7:$J$2738,$F119)="","",INDEX(選手一覧!$J$7:$J$2738,$F119))</f>
        <v>0.00281990740740741</v>
      </c>
      <c r="J119" s="17" t="n">
        <f aca="false">IF(INDEX(選手一覧!$K$7:$K$2738,$F119)="","",INDEX(選手一覧!$K$7:$K$2738,$F119))</f>
        <v>362</v>
      </c>
    </row>
    <row r="120" customFormat="false" ht="15" hidden="false" customHeight="false" outlineLevel="0" collapsed="false">
      <c r="A120" s="17" t="n">
        <v>116</v>
      </c>
      <c r="B120" s="12" t="s">
        <v>1288</v>
      </c>
      <c r="C120" s="12" t="s">
        <v>165</v>
      </c>
      <c r="D120" s="16" t="n">
        <v>0.00672430555555556</v>
      </c>
      <c r="E120" s="15" t="n">
        <f aca="false">ROUND((D120-$D$5)*86400,2)</f>
        <v>41.96</v>
      </c>
      <c r="F120" s="17" t="n">
        <v>770</v>
      </c>
      <c r="G120" s="16" t="n">
        <f aca="false">IF(INDEX(選手一覧!$D$7:$D$2738,$F120)="","",INDEX(選手一覧!$D$7:$D$2738,$F120))</f>
        <v>0.010816087962963</v>
      </c>
      <c r="H120" s="17" t="n">
        <f aca="false">IF(INDEX(選手一覧!$E$7:$E$2738,$F120)="","",INDEX(選手一覧!$E$7:$E$2738,$F120))</f>
        <v>771</v>
      </c>
      <c r="I120" s="16" t="str">
        <f aca="false">IF(INDEX(選手一覧!$J$7:$J$2738,$F120)="","",INDEX(選手一覧!$J$7:$J$2738,$F120))</f>
        <v/>
      </c>
      <c r="J120" s="17" t="str">
        <f aca="false">IF(INDEX(選手一覧!$K$7:$K$2738,$F120)="","",INDEX(選手一覧!$K$7:$K$2738,$F120))</f>
        <v/>
      </c>
    </row>
    <row r="121" customFormat="false" ht="15" hidden="false" customHeight="false" outlineLevel="0" collapsed="false">
      <c r="A121" s="17" t="n">
        <v>117</v>
      </c>
      <c r="B121" s="12" t="s">
        <v>2069</v>
      </c>
      <c r="C121" s="12" t="s">
        <v>795</v>
      </c>
      <c r="D121" s="16" t="n">
        <v>0.00672592592592593</v>
      </c>
      <c r="E121" s="15" t="n">
        <f aca="false">ROUND((D121-$D$5)*86400,2)</f>
        <v>42.1</v>
      </c>
      <c r="F121" s="17" t="n">
        <v>1311</v>
      </c>
      <c r="G121" s="16" t="str">
        <f aca="false">IF(INDEX(選手一覧!$D$7:$D$2738,$F121)="","",INDEX(選手一覧!$D$7:$D$2738,$F121))</f>
        <v/>
      </c>
      <c r="H121" s="17" t="str">
        <f aca="false">IF(INDEX(選手一覧!$E$7:$E$2738,$F121)="","",INDEX(選手一覧!$E$7:$E$2738,$F121))</f>
        <v/>
      </c>
      <c r="I121" s="16" t="n">
        <f aca="false">IF(INDEX(選手一覧!$J$7:$J$2738,$F121)="","",INDEX(選手一覧!$J$7:$J$2738,$F121))</f>
        <v>0.00285335648148148</v>
      </c>
      <c r="J121" s="17" t="n">
        <f aca="false">IF(INDEX(選手一覧!$K$7:$K$2738,$F121)="","",INDEX(選手一覧!$K$7:$K$2738,$F121))</f>
        <v>587</v>
      </c>
    </row>
    <row r="122" customFormat="false" ht="15" hidden="false" customHeight="false" outlineLevel="0" collapsed="false">
      <c r="A122" s="17" t="n">
        <v>118</v>
      </c>
      <c r="B122" s="12" t="s">
        <v>796</v>
      </c>
      <c r="C122" s="12" t="s">
        <v>67</v>
      </c>
      <c r="D122" s="16" t="n">
        <v>0.00672800925925926</v>
      </c>
      <c r="E122" s="15" t="n">
        <f aca="false">ROUND((D122-$D$5)*86400,2)</f>
        <v>42.28</v>
      </c>
      <c r="F122" s="17" t="n">
        <v>446</v>
      </c>
      <c r="G122" s="16" t="n">
        <f aca="false">IF(INDEX(選手一覧!$D$7:$D$2738,$F122)="","",INDEX(選手一覧!$D$7:$D$2738,$F122))</f>
        <v>0.0105856481481482</v>
      </c>
      <c r="H122" s="17" t="n">
        <f aca="false">IF(INDEX(選手一覧!$E$7:$E$2738,$F122)="","",INDEX(選手一覧!$E$7:$E$2738,$F122))</f>
        <v>447</v>
      </c>
      <c r="I122" s="16" t="n">
        <f aca="false">IF(INDEX(選手一覧!$J$7:$J$2738,$F122)="","",INDEX(選手一覧!$J$7:$J$2738,$F122))</f>
        <v>0.00275428240740741</v>
      </c>
      <c r="J122" s="17" t="n">
        <f aca="false">IF(INDEX(選手一覧!$K$7:$K$2738,$F122)="","",INDEX(選手一覧!$K$7:$K$2738,$F122))</f>
        <v>115</v>
      </c>
    </row>
    <row r="123" customFormat="false" ht="15" hidden="false" customHeight="false" outlineLevel="0" collapsed="false">
      <c r="A123" s="17" t="n">
        <v>119</v>
      </c>
      <c r="B123" s="12" t="s">
        <v>588</v>
      </c>
      <c r="C123" s="12" t="s">
        <v>589</v>
      </c>
      <c r="D123" s="16" t="n">
        <v>0.00672824074074074</v>
      </c>
      <c r="E123" s="15" t="n">
        <f aca="false">ROUND((D123-$D$5)*86400,2)</f>
        <v>42.3</v>
      </c>
      <c r="F123" s="17" t="n">
        <v>315</v>
      </c>
      <c r="G123" s="16" t="n">
        <f aca="false">IF(INDEX(選手一覧!$D$7:$D$2738,$F123)="","",INDEX(選手一覧!$D$7:$D$2738,$F123))</f>
        <v>0.0104655092592593</v>
      </c>
      <c r="H123" s="17" t="n">
        <f aca="false">IF(INDEX(選手一覧!$E$7:$E$2738,$F123)="","",INDEX(選手一覧!$E$7:$E$2738,$F123))</f>
        <v>316</v>
      </c>
      <c r="I123" s="16" t="n">
        <f aca="false">IF(INDEX(選手一覧!$J$7:$J$2738,$F123)="","",INDEX(選手一覧!$J$7:$J$2738,$F123))</f>
        <v>0.00280833333333333</v>
      </c>
      <c r="J123" s="17" t="n">
        <f aca="false">IF(INDEX(選手一覧!$K$7:$K$2738,$F123)="","",INDEX(選手一覧!$K$7:$K$2738,$F123))</f>
        <v>318</v>
      </c>
    </row>
    <row r="124" customFormat="false" ht="15" hidden="false" customHeight="false" outlineLevel="0" collapsed="false">
      <c r="A124" s="17" t="n">
        <v>120</v>
      </c>
      <c r="B124" s="12" t="s">
        <v>1239</v>
      </c>
      <c r="C124" s="12" t="s">
        <v>150</v>
      </c>
      <c r="D124" s="16" t="n">
        <v>0.00673020833333333</v>
      </c>
      <c r="E124" s="15" t="n">
        <f aca="false">ROUND((D124-$D$5)*86400,2)</f>
        <v>42.47</v>
      </c>
      <c r="F124" s="17" t="n">
        <v>738</v>
      </c>
      <c r="G124" s="16" t="n">
        <f aca="false">IF(INDEX(選手一覧!$D$7:$D$2738,$F124)="","",INDEX(選手一覧!$D$7:$D$2738,$F124))</f>
        <v>0.0107994212962963</v>
      </c>
      <c r="H124" s="17" t="n">
        <f aca="false">IF(INDEX(選手一覧!$E$7:$E$2738,$F124)="","",INDEX(選手一覧!$E$7:$E$2738,$F124))</f>
        <v>739</v>
      </c>
      <c r="I124" s="16" t="n">
        <f aca="false">IF(INDEX(選手一覧!$J$7:$J$2738,$F124)="","",INDEX(選手一覧!$J$7:$J$2738,$F124))</f>
        <v>0.00282962962962963</v>
      </c>
      <c r="J124" s="17" t="n">
        <f aca="false">IF(INDEX(選手一覧!$K$7:$K$2738,$F124)="","",INDEX(選手一覧!$K$7:$K$2738,$F124))</f>
        <v>424</v>
      </c>
    </row>
    <row r="125" customFormat="false" ht="15" hidden="false" customHeight="false" outlineLevel="0" collapsed="false">
      <c r="A125" s="17" t="n">
        <v>121</v>
      </c>
      <c r="B125" s="12" t="s">
        <v>1060</v>
      </c>
      <c r="C125" s="12" t="s">
        <v>27</v>
      </c>
      <c r="D125" s="16" t="n">
        <v>0.00673368055555556</v>
      </c>
      <c r="E125" s="15" t="n">
        <f aca="false">ROUND((D125-$D$5)*86400,2)</f>
        <v>42.77</v>
      </c>
      <c r="F125" s="17" t="n">
        <v>620</v>
      </c>
      <c r="G125" s="16" t="n">
        <f aca="false">IF(INDEX(選手一覧!$D$7:$D$2738,$F125)="","",INDEX(選手一覧!$D$7:$D$2738,$F125))</f>
        <v>0.0107247685185185</v>
      </c>
      <c r="H125" s="17" t="n">
        <f aca="false">IF(INDEX(選手一覧!$E$7:$E$2738,$F125)="","",INDEX(選手一覧!$E$7:$E$2738,$F125))</f>
        <v>621</v>
      </c>
      <c r="I125" s="16" t="str">
        <f aca="false">IF(INDEX(選手一覧!$J$7:$J$2738,$F125)="","",INDEX(選手一覧!$J$7:$J$2738,$F125))</f>
        <v/>
      </c>
      <c r="J125" s="17" t="str">
        <f aca="false">IF(INDEX(選手一覧!$K$7:$K$2738,$F125)="","",INDEX(選手一覧!$K$7:$K$2738,$F125))</f>
        <v/>
      </c>
    </row>
    <row r="126" customFormat="false" ht="15" hidden="false" customHeight="false" outlineLevel="0" collapsed="false">
      <c r="A126" s="17" t="n">
        <v>122</v>
      </c>
      <c r="B126" s="12" t="s">
        <v>508</v>
      </c>
      <c r="C126" s="12" t="s">
        <v>245</v>
      </c>
      <c r="D126" s="16" t="n">
        <v>0.00673564814814815</v>
      </c>
      <c r="E126" s="15" t="n">
        <f aca="false">ROUND((D126-$D$5)*86400,2)</f>
        <v>42.94</v>
      </c>
      <c r="F126" s="17" t="n">
        <v>266</v>
      </c>
      <c r="G126" s="16" t="n">
        <f aca="false">IF(INDEX(選手一覧!$D$7:$D$2738,$F126)="","",INDEX(選手一覧!$D$7:$D$2738,$F126))</f>
        <v>0.0104005787037037</v>
      </c>
      <c r="H126" s="17" t="n">
        <f aca="false">IF(INDEX(選手一覧!$E$7:$E$2738,$F126)="","",INDEX(選手一覧!$E$7:$E$2738,$F126))</f>
        <v>267</v>
      </c>
      <c r="I126" s="16" t="n">
        <f aca="false">IF(INDEX(選手一覧!$J$7:$J$2738,$F126)="","",INDEX(選手一覧!$J$7:$J$2738,$F126))</f>
        <v>0.00283460648148148</v>
      </c>
      <c r="J126" s="17" t="n">
        <f aca="false">IF(INDEX(選手一覧!$K$7:$K$2738,$F126)="","",INDEX(選手一覧!$K$7:$K$2738,$F126))</f>
        <v>456</v>
      </c>
    </row>
    <row r="127" customFormat="false" ht="15" hidden="false" customHeight="false" outlineLevel="0" collapsed="false">
      <c r="A127" s="17" t="n">
        <v>123</v>
      </c>
      <c r="B127" s="12" t="s">
        <v>344</v>
      </c>
      <c r="C127" s="12" t="s">
        <v>214</v>
      </c>
      <c r="D127" s="16" t="n">
        <v>0.00674305555555556</v>
      </c>
      <c r="E127" s="15" t="n">
        <f aca="false">ROUND((D127-$D$5)*86400,2)</f>
        <v>43.58</v>
      </c>
      <c r="F127" s="17" t="n">
        <v>166</v>
      </c>
      <c r="G127" s="16" t="n">
        <f aca="false">IF(INDEX(選手一覧!$D$7:$D$2738,$F127)="","",INDEX(選手一覧!$D$7:$D$2738,$F127))</f>
        <v>0.0103144675925926</v>
      </c>
      <c r="H127" s="17" t="n">
        <f aca="false">IF(INDEX(選手一覧!$E$7:$E$2738,$F127)="","",INDEX(選手一覧!$E$7:$E$2738,$F127))</f>
        <v>167</v>
      </c>
      <c r="I127" s="16" t="n">
        <f aca="false">IF(INDEX(選手一覧!$J$7:$J$2738,$F127)="","",INDEX(選手一覧!$J$7:$J$2738,$F127))</f>
        <v>0.00277951388888889</v>
      </c>
      <c r="J127" s="17" t="n">
        <f aca="false">IF(INDEX(選手一覧!$K$7:$K$2738,$F127)="","",INDEX(選手一覧!$K$7:$K$2738,$F127))</f>
        <v>199</v>
      </c>
    </row>
    <row r="128" customFormat="false" ht="15" hidden="false" customHeight="false" outlineLevel="0" collapsed="false">
      <c r="A128" s="17" t="n">
        <v>124</v>
      </c>
      <c r="B128" s="12" t="s">
        <v>1066</v>
      </c>
      <c r="C128" s="12" t="s">
        <v>382</v>
      </c>
      <c r="D128" s="16" t="n">
        <v>0.00674560185185185</v>
      </c>
      <c r="E128" s="15" t="n">
        <f aca="false">ROUND((D128-$D$5)*86400,2)</f>
        <v>43.8</v>
      </c>
      <c r="F128" s="17" t="n">
        <v>625</v>
      </c>
      <c r="G128" s="16" t="n">
        <f aca="false">IF(INDEX(選手一覧!$D$7:$D$2738,$F128)="","",INDEX(選手一覧!$D$7:$D$2738,$F128))</f>
        <v>0.0107274305555556</v>
      </c>
      <c r="H128" s="17" t="n">
        <f aca="false">IF(INDEX(選手一覧!$E$7:$E$2738,$F128)="","",INDEX(選手一覧!$E$7:$E$2738,$F128))</f>
        <v>626</v>
      </c>
      <c r="I128" s="16" t="str">
        <f aca="false">IF(INDEX(選手一覧!$J$7:$J$2738,$F128)="","",INDEX(選手一覧!$J$7:$J$2738,$F128))</f>
        <v/>
      </c>
      <c r="J128" s="17" t="str">
        <f aca="false">IF(INDEX(選手一覧!$K$7:$K$2738,$F128)="","",INDEX(選手一覧!$K$7:$K$2738,$F128))</f>
        <v/>
      </c>
    </row>
    <row r="129" customFormat="false" ht="15" hidden="false" customHeight="false" outlineLevel="0" collapsed="false">
      <c r="A129" s="17" t="n">
        <v>125</v>
      </c>
      <c r="B129" s="12" t="s">
        <v>2070</v>
      </c>
      <c r="C129" s="12" t="s">
        <v>1344</v>
      </c>
      <c r="D129" s="16" t="n">
        <v>0.00674641203703704</v>
      </c>
      <c r="E129" s="15" t="n">
        <f aca="false">ROUND((D129-$D$5)*86400,2)</f>
        <v>43.87</v>
      </c>
      <c r="F129" s="17" t="n">
        <v>1312</v>
      </c>
      <c r="G129" s="16" t="str">
        <f aca="false">IF(INDEX(選手一覧!$D$7:$D$2738,$F129)="","",INDEX(選手一覧!$D$7:$D$2738,$F129))</f>
        <v/>
      </c>
      <c r="H129" s="17" t="str">
        <f aca="false">IF(INDEX(選手一覧!$E$7:$E$2738,$F129)="","",INDEX(選手一覧!$E$7:$E$2738,$F129))</f>
        <v/>
      </c>
      <c r="I129" s="16" t="n">
        <f aca="false">IF(INDEX(選手一覧!$J$7:$J$2738,$F129)="","",INDEX(選手一覧!$J$7:$J$2738,$F129))</f>
        <v>0.00295428240740741</v>
      </c>
      <c r="J129" s="17" t="n">
        <f aca="false">IF(INDEX(選手一覧!$K$7:$K$2738,$F129)="","",INDEX(選手一覧!$K$7:$K$2738,$F129))</f>
        <v>1251</v>
      </c>
    </row>
    <row r="130" customFormat="false" ht="15" hidden="false" customHeight="false" outlineLevel="0" collapsed="false">
      <c r="A130" s="17" t="n">
        <v>126</v>
      </c>
      <c r="B130" s="12" t="s">
        <v>897</v>
      </c>
      <c r="C130" s="12" t="s">
        <v>898</v>
      </c>
      <c r="D130" s="16" t="n">
        <v>0.00674803240740741</v>
      </c>
      <c r="E130" s="15" t="n">
        <f aca="false">ROUND((D130-$D$5)*86400,2)</f>
        <v>44.01</v>
      </c>
      <c r="F130" s="17" t="n">
        <v>510</v>
      </c>
      <c r="G130" s="16" t="n">
        <f aca="false">IF(INDEX(選手一覧!$D$7:$D$2738,$F130)="","",INDEX(選手一覧!$D$7:$D$2738,$F130))</f>
        <v>0.0106412037037037</v>
      </c>
      <c r="H130" s="17" t="n">
        <f aca="false">IF(INDEX(選手一覧!$E$7:$E$2738,$F130)="","",INDEX(選手一覧!$E$7:$E$2738,$F130))</f>
        <v>511</v>
      </c>
      <c r="I130" s="16" t="n">
        <f aca="false">IF(INDEX(選手一覧!$J$7:$J$2738,$F130)="","",INDEX(選手一覧!$J$7:$J$2738,$F130))</f>
        <v>0.00282048611111111</v>
      </c>
      <c r="J130" s="17" t="n">
        <f aca="false">IF(INDEX(選手一覧!$K$7:$K$2738,$F130)="","",INDEX(選手一覧!$K$7:$K$2738,$F130))</f>
        <v>364</v>
      </c>
    </row>
    <row r="131" customFormat="false" ht="15" hidden="false" customHeight="false" outlineLevel="0" collapsed="false">
      <c r="A131" s="17" t="n">
        <v>127</v>
      </c>
      <c r="B131" s="12" t="s">
        <v>1059</v>
      </c>
      <c r="C131" s="12" t="s">
        <v>99</v>
      </c>
      <c r="D131" s="16" t="n">
        <v>0.00674884259259259</v>
      </c>
      <c r="E131" s="15" t="n">
        <f aca="false">ROUND((D131-$D$5)*86400,2)</f>
        <v>44.08</v>
      </c>
      <c r="F131" s="17" t="n">
        <v>619</v>
      </c>
      <c r="G131" s="16" t="n">
        <f aca="false">IF(INDEX(選手一覧!$D$7:$D$2738,$F131)="","",INDEX(選手一覧!$D$7:$D$2738,$F131))</f>
        <v>0.0107236111111111</v>
      </c>
      <c r="H131" s="17" t="n">
        <f aca="false">IF(INDEX(選手一覧!$E$7:$E$2738,$F131)="","",INDEX(選手一覧!$E$7:$E$2738,$F131))</f>
        <v>620</v>
      </c>
      <c r="I131" s="16" t="n">
        <f aca="false">IF(INDEX(選手一覧!$J$7:$J$2738,$F131)="","",INDEX(選手一覧!$J$7:$J$2738,$F131))</f>
        <v>0.00295983796296296</v>
      </c>
      <c r="J131" s="17" t="n">
        <f aca="false">IF(INDEX(選手一覧!$K$7:$K$2738,$F131)="","",INDEX(選手一覧!$K$7:$K$2738,$F131))</f>
        <v>1271</v>
      </c>
    </row>
    <row r="132" customFormat="false" ht="15" hidden="false" customHeight="false" outlineLevel="0" collapsed="false">
      <c r="A132" s="17" t="n">
        <v>128</v>
      </c>
      <c r="B132" s="12" t="s">
        <v>2071</v>
      </c>
      <c r="C132" s="12" t="s">
        <v>285</v>
      </c>
      <c r="D132" s="16" t="n">
        <v>0.00674988425925926</v>
      </c>
      <c r="E132" s="15" t="n">
        <f aca="false">ROUND((D132-$D$5)*86400,2)</f>
        <v>44.17</v>
      </c>
      <c r="F132" s="17" t="n">
        <v>1313</v>
      </c>
      <c r="G132" s="16" t="str">
        <f aca="false">IF(INDEX(選手一覧!$D$7:$D$2738,$F132)="","",INDEX(選手一覧!$D$7:$D$2738,$F132))</f>
        <v/>
      </c>
      <c r="H132" s="17" t="str">
        <f aca="false">IF(INDEX(選手一覧!$E$7:$E$2738,$F132)="","",INDEX(選手一覧!$E$7:$E$2738,$F132))</f>
        <v/>
      </c>
      <c r="I132" s="16" t="str">
        <f aca="false">IF(INDEX(選手一覧!$J$7:$J$2738,$F132)="","",INDEX(選手一覧!$J$7:$J$2738,$F132))</f>
        <v/>
      </c>
      <c r="J132" s="17" t="str">
        <f aca="false">IF(INDEX(選手一覧!$K$7:$K$2738,$F132)="","",INDEX(選手一覧!$K$7:$K$2738,$F132))</f>
        <v/>
      </c>
    </row>
    <row r="133" customFormat="false" ht="15" hidden="false" customHeight="false" outlineLevel="0" collapsed="false">
      <c r="A133" s="17" t="n">
        <v>129</v>
      </c>
      <c r="B133" s="12" t="s">
        <v>1723</v>
      </c>
      <c r="C133" s="12" t="s">
        <v>1724</v>
      </c>
      <c r="D133" s="16" t="n">
        <v>0.00675092592592593</v>
      </c>
      <c r="E133" s="15" t="n">
        <f aca="false">ROUND((D133-$D$5)*86400,2)</f>
        <v>44.26</v>
      </c>
      <c r="F133" s="17" t="n">
        <v>1064</v>
      </c>
      <c r="G133" s="16" t="n">
        <f aca="false">IF(INDEX(選手一覧!$D$7:$D$2738,$F133)="","",INDEX(選手一覧!$D$7:$D$2738,$F133))</f>
        <v>0.0109840277777778</v>
      </c>
      <c r="H133" s="17" t="n">
        <f aca="false">IF(INDEX(選手一覧!$E$7:$E$2738,$F133)="","",INDEX(選手一覧!$E$7:$E$2738,$F133))</f>
        <v>1065</v>
      </c>
      <c r="I133" s="16" t="n">
        <f aca="false">IF(INDEX(選手一覧!$J$7:$J$2738,$F133)="","",INDEX(選手一覧!$J$7:$J$2738,$F133))</f>
        <v>0.00298101851851852</v>
      </c>
      <c r="J133" s="17" t="n">
        <f aca="false">IF(INDEX(選手一覧!$K$7:$K$2738,$F133)="","",INDEX(選手一覧!$K$7:$K$2738,$F133))</f>
        <v>1356</v>
      </c>
    </row>
    <row r="134" customFormat="false" ht="15" hidden="false" customHeight="false" outlineLevel="0" collapsed="false">
      <c r="A134" s="17" t="n">
        <v>130</v>
      </c>
      <c r="B134" s="12" t="s">
        <v>1669</v>
      </c>
      <c r="C134" s="12" t="s">
        <v>1510</v>
      </c>
      <c r="D134" s="16" t="n">
        <v>0.00675219907407407</v>
      </c>
      <c r="E134" s="15" t="n">
        <f aca="false">ROUND((D134-$D$5)*86400,2)</f>
        <v>44.37</v>
      </c>
      <c r="F134" s="17" t="n">
        <v>1028</v>
      </c>
      <c r="G134" s="16" t="n">
        <f aca="false">IF(INDEX(選手一覧!$D$7:$D$2738,$F134)="","",INDEX(選手一覧!$D$7:$D$2738,$F134))</f>
        <v>0.0109672453703704</v>
      </c>
      <c r="H134" s="17" t="n">
        <f aca="false">IF(INDEX(選手一覧!$E$7:$E$2738,$F134)="","",INDEX(選手一覧!$E$7:$E$2738,$F134))</f>
        <v>1029</v>
      </c>
      <c r="I134" s="16" t="n">
        <f aca="false">IF(INDEX(選手一覧!$J$7:$J$2738,$F134)="","",INDEX(選手一覧!$J$7:$J$2738,$F134))</f>
        <v>0.0029099537037037</v>
      </c>
      <c r="J134" s="17" t="n">
        <f aca="false">IF(INDEX(選手一覧!$K$7:$K$2738,$F134)="","",INDEX(選手一覧!$K$7:$K$2738,$F134))</f>
        <v>1019</v>
      </c>
    </row>
    <row r="135" customFormat="false" ht="15" hidden="false" customHeight="false" outlineLevel="0" collapsed="false">
      <c r="A135" s="17" t="n">
        <v>131</v>
      </c>
      <c r="B135" s="12" t="s">
        <v>2072</v>
      </c>
      <c r="C135" s="12" t="s">
        <v>2073</v>
      </c>
      <c r="D135" s="16" t="n">
        <v>0.00675428240740741</v>
      </c>
      <c r="E135" s="15" t="n">
        <f aca="false">ROUND((D135-$D$5)*86400,2)</f>
        <v>44.55</v>
      </c>
      <c r="F135" s="17" t="n">
        <v>1314</v>
      </c>
      <c r="G135" s="16" t="str">
        <f aca="false">IF(INDEX(選手一覧!$D$7:$D$2738,$F135)="","",INDEX(選手一覧!$D$7:$D$2738,$F135))</f>
        <v/>
      </c>
      <c r="H135" s="17" t="str">
        <f aca="false">IF(INDEX(選手一覧!$E$7:$E$2738,$F135)="","",INDEX(選手一覧!$E$7:$E$2738,$F135))</f>
        <v/>
      </c>
      <c r="I135" s="16" t="n">
        <f aca="false">IF(INDEX(選手一覧!$J$7:$J$2738,$F135)="","",INDEX(選手一覧!$J$7:$J$2738,$F135))</f>
        <v>0.0028306712962963</v>
      </c>
      <c r="J135" s="17" t="n">
        <f aca="false">IF(INDEX(選手一覧!$K$7:$K$2738,$F135)="","",INDEX(選手一覧!$K$7:$K$2738,$F135))</f>
        <v>430</v>
      </c>
    </row>
    <row r="136" customFormat="false" ht="15" hidden="false" customHeight="false" outlineLevel="0" collapsed="false">
      <c r="A136" s="17" t="n">
        <v>132</v>
      </c>
      <c r="B136" s="12" t="s">
        <v>1079</v>
      </c>
      <c r="C136" s="12" t="s">
        <v>99</v>
      </c>
      <c r="D136" s="16" t="n">
        <v>0.00675474537037037</v>
      </c>
      <c r="E136" s="15" t="n">
        <f aca="false">ROUND((D136-$D$5)*86400,2)</f>
        <v>44.59</v>
      </c>
      <c r="F136" s="17" t="n">
        <v>634</v>
      </c>
      <c r="G136" s="16" t="n">
        <f aca="false">IF(INDEX(選手一覧!$D$7:$D$2738,$F136)="","",INDEX(選手一覧!$D$7:$D$2738,$F136))</f>
        <v>0.010731712962963</v>
      </c>
      <c r="H136" s="17" t="n">
        <f aca="false">IF(INDEX(選手一覧!$E$7:$E$2738,$F136)="","",INDEX(選手一覧!$E$7:$E$2738,$F136))</f>
        <v>635</v>
      </c>
      <c r="I136" s="16" t="n">
        <f aca="false">IF(INDEX(選手一覧!$J$7:$J$2738,$F136)="","",INDEX(選手一覧!$J$7:$J$2738,$F136))</f>
        <v>0.00289351851851852</v>
      </c>
      <c r="J136" s="17" t="n">
        <f aca="false">IF(INDEX(選手一覧!$K$7:$K$2738,$F136)="","",INDEX(選手一覧!$K$7:$K$2738,$F136))</f>
        <v>901</v>
      </c>
    </row>
    <row r="137" customFormat="false" ht="15" hidden="false" customHeight="false" outlineLevel="0" collapsed="false">
      <c r="A137" s="17" t="n">
        <v>133</v>
      </c>
      <c r="B137" s="12" t="s">
        <v>1600</v>
      </c>
      <c r="C137" s="12" t="s">
        <v>256</v>
      </c>
      <c r="D137" s="16" t="n">
        <v>0.0067556712962963</v>
      </c>
      <c r="E137" s="15" t="n">
        <f aca="false">ROUND((D137-$D$5)*86400,2)</f>
        <v>44.67</v>
      </c>
      <c r="F137" s="17" t="n">
        <v>979</v>
      </c>
      <c r="G137" s="16" t="n">
        <f aca="false">IF(INDEX(選手一覧!$D$7:$D$2738,$F137)="","",INDEX(選手一覧!$D$7:$D$2738,$F137))</f>
        <v>0.0109390046296296</v>
      </c>
      <c r="H137" s="17" t="n">
        <f aca="false">IF(INDEX(選手一覧!$E$7:$E$2738,$F137)="","",INDEX(選手一覧!$E$7:$E$2738,$F137))</f>
        <v>980</v>
      </c>
      <c r="I137" s="16" t="n">
        <f aca="false">IF(INDEX(選手一覧!$J$7:$J$2738,$F137)="","",INDEX(選手一覧!$J$7:$J$2738,$F137))</f>
        <v>0.00283229166666667</v>
      </c>
      <c r="J137" s="17" t="n">
        <f aca="false">IF(INDEX(選手一覧!$K$7:$K$2738,$F137)="","",INDEX(選手一覧!$K$7:$K$2738,$F137))</f>
        <v>442</v>
      </c>
    </row>
    <row r="138" customFormat="false" ht="15" hidden="false" customHeight="false" outlineLevel="0" collapsed="false">
      <c r="A138" s="17" t="n">
        <v>134</v>
      </c>
      <c r="B138" s="12" t="s">
        <v>995</v>
      </c>
      <c r="C138" s="12" t="s">
        <v>996</v>
      </c>
      <c r="D138" s="16" t="n">
        <v>0.00675868055555556</v>
      </c>
      <c r="E138" s="15" t="n">
        <f aca="false">ROUND((D138-$D$5)*86400,2)</f>
        <v>44.93</v>
      </c>
      <c r="F138" s="17" t="n">
        <v>573</v>
      </c>
      <c r="G138" s="16" t="n">
        <f aca="false">IF(INDEX(選手一覧!$D$7:$D$2738,$F138)="","",INDEX(選手一覧!$D$7:$D$2738,$F138))</f>
        <v>0.0106959490740741</v>
      </c>
      <c r="H138" s="17" t="n">
        <f aca="false">IF(INDEX(選手一覧!$E$7:$E$2738,$F138)="","",INDEX(選手一覧!$E$7:$E$2738,$F138))</f>
        <v>574</v>
      </c>
      <c r="I138" s="16" t="n">
        <f aca="false">IF(INDEX(選手一覧!$J$7:$J$2738,$F138)="","",INDEX(選手一覧!$J$7:$J$2738,$F138))</f>
        <v>0.00285069444444445</v>
      </c>
      <c r="J138" s="17" t="n">
        <f aca="false">IF(INDEX(選手一覧!$K$7:$K$2738,$F138)="","",INDEX(選手一覧!$K$7:$K$2738,$F138))</f>
        <v>574</v>
      </c>
    </row>
    <row r="139" customFormat="false" ht="15" hidden="false" customHeight="false" outlineLevel="0" collapsed="false">
      <c r="A139" s="17" t="n">
        <v>135</v>
      </c>
      <c r="B139" s="12" t="s">
        <v>1988</v>
      </c>
      <c r="C139" s="12" t="s">
        <v>167</v>
      </c>
      <c r="D139" s="16" t="n">
        <v>0.00676053240740741</v>
      </c>
      <c r="E139" s="15" t="n">
        <f aca="false">ROUND((D139-$D$5)*86400,2)</f>
        <v>45.09</v>
      </c>
      <c r="F139" s="17" t="n">
        <v>1248</v>
      </c>
      <c r="G139" s="16" t="n">
        <f aca="false">IF(INDEX(選手一覧!$D$7:$D$2738,$F139)="","",INDEX(選手一覧!$D$7:$D$2738,$F139))</f>
        <v>0.0110791666666667</v>
      </c>
      <c r="H139" s="17" t="n">
        <f aca="false">IF(INDEX(選手一覧!$E$7:$E$2738,$F139)="","",INDEX(選手一覧!$E$7:$E$2738,$F139))</f>
        <v>1249</v>
      </c>
      <c r="I139" s="16" t="n">
        <f aca="false">IF(INDEX(選手一覧!$J$7:$J$2738,$F139)="","",INDEX(選手一覧!$J$7:$J$2738,$F139))</f>
        <v>0.00285729166666667</v>
      </c>
      <c r="J139" s="17" t="n">
        <f aca="false">IF(INDEX(選手一覧!$K$7:$K$2738,$F139)="","",INDEX(選手一覧!$K$7:$K$2738,$F139))</f>
        <v>617</v>
      </c>
    </row>
    <row r="140" customFormat="false" ht="15" hidden="false" customHeight="false" outlineLevel="0" collapsed="false">
      <c r="A140" s="17" t="n">
        <v>136</v>
      </c>
      <c r="B140" s="12" t="s">
        <v>1923</v>
      </c>
      <c r="C140" s="12" t="s">
        <v>737</v>
      </c>
      <c r="D140" s="16" t="n">
        <v>0.00676064814814815</v>
      </c>
      <c r="E140" s="15" t="n">
        <f aca="false">ROUND((D140-$D$5)*86400,2)</f>
        <v>45.1</v>
      </c>
      <c r="F140" s="17" t="n">
        <v>1201</v>
      </c>
      <c r="G140" s="16" t="n">
        <f aca="false">IF(INDEX(選手一覧!$D$7:$D$2738,$F140)="","",INDEX(選手一覧!$D$7:$D$2738,$F140))</f>
        <v>0.0110524305555556</v>
      </c>
      <c r="H140" s="17" t="n">
        <f aca="false">IF(INDEX(選手一覧!$E$7:$E$2738,$F140)="","",INDEX(選手一覧!$E$7:$E$2738,$F140))</f>
        <v>1202</v>
      </c>
      <c r="I140" s="16" t="n">
        <f aca="false">IF(INDEX(選手一覧!$J$7:$J$2738,$F140)="","",INDEX(選手一覧!$J$7:$J$2738,$F140))</f>
        <v>0.00297037037037037</v>
      </c>
      <c r="J140" s="17" t="n">
        <f aca="false">IF(INDEX(選手一覧!$K$7:$K$2738,$F140)="","",INDEX(選手一覧!$K$7:$K$2738,$F140))</f>
        <v>1311</v>
      </c>
    </row>
    <row r="141" customFormat="false" ht="15" hidden="false" customHeight="false" outlineLevel="0" collapsed="false">
      <c r="A141" s="17" t="n">
        <v>137</v>
      </c>
      <c r="B141" s="12" t="s">
        <v>635</v>
      </c>
      <c r="C141" s="12" t="s">
        <v>135</v>
      </c>
      <c r="D141" s="16" t="n">
        <v>0.00676122685185185</v>
      </c>
      <c r="E141" s="15" t="n">
        <f aca="false">ROUND((D141-$D$5)*86400,2)</f>
        <v>45.15</v>
      </c>
      <c r="F141" s="17" t="n">
        <v>342</v>
      </c>
      <c r="G141" s="16" t="n">
        <f aca="false">IF(INDEX(選手一覧!$D$7:$D$2738,$F141)="","",INDEX(選手一覧!$D$7:$D$2738,$F141))</f>
        <v>0.0105037037037037</v>
      </c>
      <c r="H141" s="17" t="n">
        <f aca="false">IF(INDEX(選手一覧!$E$7:$E$2738,$F141)="","",INDEX(選手一覧!$E$7:$E$2738,$F141))</f>
        <v>343</v>
      </c>
      <c r="I141" s="16" t="n">
        <f aca="false">IF(INDEX(選手一覧!$J$7:$J$2738,$F141)="","",INDEX(選手一覧!$J$7:$J$2738,$F141))</f>
        <v>0.00281898148148148</v>
      </c>
      <c r="J141" s="17" t="n">
        <f aca="false">IF(INDEX(選手一覧!$K$7:$K$2738,$F141)="","",INDEX(選手一覧!$K$7:$K$2738,$F141))</f>
        <v>359</v>
      </c>
    </row>
    <row r="142" customFormat="false" ht="15" hidden="false" customHeight="false" outlineLevel="0" collapsed="false">
      <c r="A142" s="17" t="n">
        <v>138</v>
      </c>
      <c r="B142" s="12" t="s">
        <v>1272</v>
      </c>
      <c r="C142" s="12" t="s">
        <v>256</v>
      </c>
      <c r="D142" s="16" t="n">
        <v>0.00676238425925926</v>
      </c>
      <c r="E142" s="15" t="n">
        <f aca="false">ROUND((D142-$D$5)*86400,2)</f>
        <v>45.25</v>
      </c>
      <c r="F142" s="17" t="n">
        <v>759</v>
      </c>
      <c r="G142" s="16" t="n">
        <f aca="false">IF(INDEX(選手一覧!$D$7:$D$2738,$F142)="","",INDEX(選手一覧!$D$7:$D$2738,$F142))</f>
        <v>0.0108078703703704</v>
      </c>
      <c r="H142" s="17" t="n">
        <f aca="false">IF(INDEX(選手一覧!$E$7:$E$2738,$F142)="","",INDEX(選手一覧!$E$7:$E$2738,$F142))</f>
        <v>760</v>
      </c>
      <c r="I142" s="16" t="str">
        <f aca="false">IF(INDEX(選手一覧!$J$7:$J$2738,$F142)="","",INDEX(選手一覧!$J$7:$J$2738,$F142))</f>
        <v/>
      </c>
      <c r="J142" s="17" t="str">
        <f aca="false">IF(INDEX(選手一覧!$K$7:$K$2738,$F142)="","",INDEX(選手一覧!$K$7:$K$2738,$F142))</f>
        <v/>
      </c>
    </row>
    <row r="143" customFormat="false" ht="15" hidden="false" customHeight="false" outlineLevel="0" collapsed="false">
      <c r="A143" s="17" t="n">
        <v>139</v>
      </c>
      <c r="B143" s="12" t="s">
        <v>1394</v>
      </c>
      <c r="C143" s="12" t="s">
        <v>1141</v>
      </c>
      <c r="D143" s="16" t="n">
        <v>0.00676296296296296</v>
      </c>
      <c r="E143" s="15" t="n">
        <f aca="false">ROUND((D143-$D$5)*86400,2)</f>
        <v>45.3</v>
      </c>
      <c r="F143" s="17" t="n">
        <v>844</v>
      </c>
      <c r="G143" s="16" t="n">
        <f aca="false">IF(INDEX(選手一覧!$D$7:$D$2738,$F143)="","",INDEX(選手一覧!$D$7:$D$2738,$F143))</f>
        <v>0.0108568287037037</v>
      </c>
      <c r="H143" s="17" t="n">
        <f aca="false">IF(INDEX(選手一覧!$E$7:$E$2738,$F143)="","",INDEX(選手一覧!$E$7:$E$2738,$F143))</f>
        <v>845</v>
      </c>
      <c r="I143" s="16" t="str">
        <f aca="false">IF(INDEX(選手一覧!$J$7:$J$2738,$F143)="","",INDEX(選手一覧!$J$7:$J$2738,$F143))</f>
        <v/>
      </c>
      <c r="J143" s="17" t="str">
        <f aca="false">IF(INDEX(選手一覧!$K$7:$K$2738,$F143)="","",INDEX(選手一覧!$K$7:$K$2738,$F143))</f>
        <v/>
      </c>
    </row>
    <row r="144" customFormat="false" ht="15" hidden="false" customHeight="false" outlineLevel="0" collapsed="false">
      <c r="A144" s="17" t="n">
        <v>140</v>
      </c>
      <c r="B144" s="12" t="s">
        <v>1434</v>
      </c>
      <c r="C144" s="12" t="s">
        <v>478</v>
      </c>
      <c r="D144" s="16" t="n">
        <v>0.00676365740740741</v>
      </c>
      <c r="E144" s="15" t="n">
        <f aca="false">ROUND((D144-$D$5)*86400,2)</f>
        <v>45.36</v>
      </c>
      <c r="F144" s="17" t="n">
        <v>868</v>
      </c>
      <c r="G144" s="16" t="n">
        <f aca="false">IF(INDEX(選手一覧!$D$7:$D$2738,$F144)="","",INDEX(選手一覧!$D$7:$D$2738,$F144))</f>
        <v>0.0108684027777778</v>
      </c>
      <c r="H144" s="17" t="n">
        <f aca="false">IF(INDEX(選手一覧!$E$7:$E$2738,$F144)="","",INDEX(選手一覧!$E$7:$E$2738,$F144))</f>
        <v>869</v>
      </c>
      <c r="I144" s="16" t="str">
        <f aca="false">IF(INDEX(選手一覧!$J$7:$J$2738,$F144)="","",INDEX(選手一覧!$J$7:$J$2738,$F144))</f>
        <v/>
      </c>
      <c r="J144" s="17" t="str">
        <f aca="false">IF(INDEX(選手一覧!$K$7:$K$2738,$F144)="","",INDEX(選手一覧!$K$7:$K$2738,$F144))</f>
        <v/>
      </c>
    </row>
    <row r="145" customFormat="false" ht="15" hidden="false" customHeight="false" outlineLevel="0" collapsed="false">
      <c r="A145" s="17" t="n">
        <v>141</v>
      </c>
      <c r="B145" s="12" t="s">
        <v>278</v>
      </c>
      <c r="C145" s="12" t="s">
        <v>228</v>
      </c>
      <c r="D145" s="16" t="n">
        <v>0.00676458333333333</v>
      </c>
      <c r="E145" s="15" t="n">
        <f aca="false">ROUND((D145-$D$5)*86400,2)</f>
        <v>45.44</v>
      </c>
      <c r="F145" s="17" t="n">
        <v>131</v>
      </c>
      <c r="G145" s="16" t="n">
        <f aca="false">IF(INDEX(選手一覧!$D$7:$D$2738,$F145)="","",INDEX(選手一覧!$D$7:$D$2738,$F145))</f>
        <v>0.0102657407407407</v>
      </c>
      <c r="H145" s="17" t="n">
        <f aca="false">IF(INDEX(選手一覧!$E$7:$E$2738,$F145)="","",INDEX(選手一覧!$E$7:$E$2738,$F145))</f>
        <v>132</v>
      </c>
      <c r="I145" s="16" t="n">
        <f aca="false">IF(INDEX(選手一覧!$J$7:$J$2738,$F145)="","",INDEX(選手一覧!$J$7:$J$2738,$F145))</f>
        <v>0.00273703703703704</v>
      </c>
      <c r="J145" s="17" t="n">
        <f aca="false">IF(INDEX(選手一覧!$K$7:$K$2738,$F145)="","",INDEX(選手一覧!$K$7:$K$2738,$F145))</f>
        <v>79</v>
      </c>
    </row>
    <row r="146" customFormat="false" ht="15" hidden="false" customHeight="false" outlineLevel="0" collapsed="false">
      <c r="A146" s="17" t="n">
        <v>142</v>
      </c>
      <c r="B146" s="12" t="s">
        <v>1085</v>
      </c>
      <c r="C146" s="12" t="s">
        <v>320</v>
      </c>
      <c r="D146" s="16" t="n">
        <v>0.00676458333333333</v>
      </c>
      <c r="E146" s="15" t="n">
        <f aca="false">ROUND((D146-$D$5)*86400,2)</f>
        <v>45.44</v>
      </c>
      <c r="F146" s="17" t="n">
        <v>639</v>
      </c>
      <c r="G146" s="16" t="n">
        <f aca="false">IF(INDEX(選手一覧!$D$7:$D$2738,$F146)="","",INDEX(選手一覧!$D$7:$D$2738,$F146))</f>
        <v>0.0107333333333333</v>
      </c>
      <c r="H146" s="17" t="n">
        <f aca="false">IF(INDEX(選手一覧!$E$7:$E$2738,$F146)="","",INDEX(選手一覧!$E$7:$E$2738,$F146))</f>
        <v>640</v>
      </c>
      <c r="I146" s="16" t="str">
        <f aca="false">IF(INDEX(選手一覧!$J$7:$J$2738,$F146)="","",INDEX(選手一覧!$J$7:$J$2738,$F146))</f>
        <v/>
      </c>
      <c r="J146" s="17" t="str">
        <f aca="false">IF(INDEX(選手一覧!$K$7:$K$2738,$F146)="","",INDEX(選手一覧!$K$7:$K$2738,$F146))</f>
        <v/>
      </c>
    </row>
    <row r="147" customFormat="false" ht="15" hidden="false" customHeight="false" outlineLevel="0" collapsed="false">
      <c r="A147" s="17" t="n">
        <v>143</v>
      </c>
      <c r="B147" s="12" t="s">
        <v>2076</v>
      </c>
      <c r="C147" s="12" t="s">
        <v>2077</v>
      </c>
      <c r="D147" s="16" t="n">
        <v>0.00676597222222222</v>
      </c>
      <c r="E147" s="15" t="n">
        <f aca="false">ROUND((D147-$D$5)*86400,2)</f>
        <v>45.56</v>
      </c>
      <c r="F147" s="17" t="n">
        <v>1316</v>
      </c>
      <c r="G147" s="16" t="str">
        <f aca="false">IF(INDEX(選手一覧!$D$7:$D$2738,$F147)="","",INDEX(選手一覧!$D$7:$D$2738,$F147))</f>
        <v/>
      </c>
      <c r="H147" s="17" t="str">
        <f aca="false">IF(INDEX(選手一覧!$E$7:$E$2738,$F147)="","",INDEX(選手一覧!$E$7:$E$2738,$F147))</f>
        <v/>
      </c>
      <c r="I147" s="16" t="n">
        <f aca="false">IF(INDEX(選手一覧!$J$7:$J$2738,$F147)="","",INDEX(選手一覧!$J$7:$J$2738,$F147))</f>
        <v>0.00289074074074074</v>
      </c>
      <c r="J147" s="17" t="n">
        <f aca="false">IF(INDEX(選手一覧!$K$7:$K$2738,$F147)="","",INDEX(選手一覧!$K$7:$K$2738,$F147))</f>
        <v>872</v>
      </c>
    </row>
    <row r="148" customFormat="false" ht="15" hidden="false" customHeight="false" outlineLevel="0" collapsed="false">
      <c r="A148" s="17" t="n">
        <v>144</v>
      </c>
      <c r="B148" s="12" t="s">
        <v>4175</v>
      </c>
      <c r="C148" s="12" t="s">
        <v>1510</v>
      </c>
      <c r="D148" s="16" t="n">
        <v>0.00676724537037037</v>
      </c>
      <c r="E148" s="15" t="n">
        <f aca="false">ROUND((D148-$D$5)*86400,2)</f>
        <v>45.67</v>
      </c>
      <c r="F148" s="17" t="n">
        <v>1028</v>
      </c>
      <c r="G148" s="16" t="n">
        <f aca="false">IF(INDEX(選手一覧!$D$7:$D$2738,$F148)="","",INDEX(選手一覧!$D$7:$D$2738,$F148))</f>
        <v>0.0109672453703704</v>
      </c>
      <c r="H148" s="17" t="n">
        <f aca="false">IF(INDEX(選手一覧!$E$7:$E$2738,$F148)="","",INDEX(選手一覧!$E$7:$E$2738,$F148))</f>
        <v>1029</v>
      </c>
      <c r="I148" s="16" t="n">
        <f aca="false">IF(INDEX(選手一覧!$J$7:$J$2738,$F148)="","",INDEX(選手一覧!$J$7:$J$2738,$F148))</f>
        <v>0.0029099537037037</v>
      </c>
      <c r="J148" s="17" t="n">
        <f aca="false">IF(INDEX(選手一覧!$K$7:$K$2738,$F148)="","",INDEX(選手一覧!$K$7:$K$2738,$F148))</f>
        <v>1019</v>
      </c>
    </row>
    <row r="149" customFormat="false" ht="15" hidden="false" customHeight="false" outlineLevel="0" collapsed="false">
      <c r="A149" s="17" t="n">
        <v>145</v>
      </c>
      <c r="B149" s="12" t="s">
        <v>2080</v>
      </c>
      <c r="C149" s="12" t="s">
        <v>397</v>
      </c>
      <c r="D149" s="16" t="n">
        <v>0.00676759259259259</v>
      </c>
      <c r="E149" s="15" t="n">
        <f aca="false">ROUND((D149-$D$5)*86400,2)</f>
        <v>45.7</v>
      </c>
      <c r="F149" s="17" t="n">
        <v>1318</v>
      </c>
      <c r="G149" s="16" t="str">
        <f aca="false">IF(INDEX(選手一覧!$D$7:$D$2738,$F149)="","",INDEX(選手一覧!$D$7:$D$2738,$F149))</f>
        <v/>
      </c>
      <c r="H149" s="17" t="str">
        <f aca="false">IF(INDEX(選手一覧!$E$7:$E$2738,$F149)="","",INDEX(選手一覧!$E$7:$E$2738,$F149))</f>
        <v/>
      </c>
      <c r="I149" s="16" t="str">
        <f aca="false">IF(INDEX(選手一覧!$J$7:$J$2738,$F149)="","",INDEX(選手一覧!$J$7:$J$2738,$F149))</f>
        <v/>
      </c>
      <c r="J149" s="17" t="str">
        <f aca="false">IF(INDEX(選手一覧!$K$7:$K$2738,$F149)="","",INDEX(選手一覧!$K$7:$K$2738,$F149))</f>
        <v/>
      </c>
    </row>
    <row r="150" customFormat="false" ht="15" hidden="false" customHeight="false" outlineLevel="0" collapsed="false">
      <c r="A150" s="17" t="n">
        <v>146</v>
      </c>
      <c r="B150" s="12" t="s">
        <v>1584</v>
      </c>
      <c r="C150" s="12" t="s">
        <v>159</v>
      </c>
      <c r="D150" s="16" t="n">
        <v>0.00676782407407408</v>
      </c>
      <c r="E150" s="15" t="n">
        <f aca="false">ROUND((D150-$D$5)*86400,2)</f>
        <v>45.72</v>
      </c>
      <c r="F150" s="17" t="n">
        <v>970</v>
      </c>
      <c r="G150" s="16" t="n">
        <f aca="false">IF(INDEX(選手一覧!$D$7:$D$2738,$F150)="","",INDEX(選手一覧!$D$7:$D$2738,$F150))</f>
        <v>0.0109322916666667</v>
      </c>
      <c r="H150" s="17" t="n">
        <f aca="false">IF(INDEX(選手一覧!$E$7:$E$2738,$F150)="","",INDEX(選手一覧!$E$7:$E$2738,$F150))</f>
        <v>971</v>
      </c>
      <c r="I150" s="16" t="n">
        <f aca="false">IF(INDEX(選手一覧!$J$7:$J$2738,$F150)="","",INDEX(選手一覧!$J$7:$J$2738,$F150))</f>
        <v>0.0028806712962963</v>
      </c>
      <c r="J150" s="17" t="n">
        <f aca="false">IF(INDEX(選手一覧!$K$7:$K$2738,$F150)="","",INDEX(選手一覧!$K$7:$K$2738,$F150))</f>
        <v>775</v>
      </c>
    </row>
    <row r="151" customFormat="false" ht="15" hidden="false" customHeight="false" outlineLevel="0" collapsed="false">
      <c r="A151" s="17" t="n">
        <v>147</v>
      </c>
      <c r="B151" s="12" t="s">
        <v>1730</v>
      </c>
      <c r="C151" s="12" t="s">
        <v>1146</v>
      </c>
      <c r="D151" s="16" t="n">
        <v>0.00677037037037037</v>
      </c>
      <c r="E151" s="15" t="n">
        <f aca="false">ROUND((D151-$D$5)*86400,2)</f>
        <v>45.94</v>
      </c>
      <c r="F151" s="17" t="n">
        <v>1069</v>
      </c>
      <c r="G151" s="16" t="n">
        <f aca="false">IF(INDEX(選手一覧!$D$7:$D$2738,$F151)="","",INDEX(選手一覧!$D$7:$D$2738,$F151))</f>
        <v>0.0109861111111111</v>
      </c>
      <c r="H151" s="17" t="n">
        <f aca="false">IF(INDEX(選手一覧!$E$7:$E$2738,$F151)="","",INDEX(選手一覧!$E$7:$E$2738,$F151))</f>
        <v>1070</v>
      </c>
      <c r="I151" s="16" t="str">
        <f aca="false">IF(INDEX(選手一覧!$J$7:$J$2738,$F151)="","",INDEX(選手一覧!$J$7:$J$2738,$F151))</f>
        <v/>
      </c>
      <c r="J151" s="17" t="str">
        <f aca="false">IF(INDEX(選手一覧!$K$7:$K$2738,$F151)="","",INDEX(選手一覧!$K$7:$K$2738,$F151))</f>
        <v/>
      </c>
    </row>
    <row r="152" customFormat="false" ht="15" hidden="false" customHeight="false" outlineLevel="0" collapsed="false">
      <c r="A152" s="17" t="n">
        <v>148</v>
      </c>
      <c r="B152" s="12" t="s">
        <v>1610</v>
      </c>
      <c r="C152" s="12" t="s">
        <v>1346</v>
      </c>
      <c r="D152" s="16" t="n">
        <v>0.00677060185185185</v>
      </c>
      <c r="E152" s="15" t="n">
        <f aca="false">ROUND((D152-$D$5)*86400,2)</f>
        <v>45.96</v>
      </c>
      <c r="F152" s="17" t="n">
        <v>987</v>
      </c>
      <c r="G152" s="16" t="n">
        <f aca="false">IF(INDEX(選手一覧!$D$7:$D$2738,$F152)="","",INDEX(選手一覧!$D$7:$D$2738,$F152))</f>
        <v>0.0109428240740741</v>
      </c>
      <c r="H152" s="17" t="n">
        <f aca="false">IF(INDEX(選手一覧!$E$7:$E$2738,$F152)="","",INDEX(選手一覧!$E$7:$E$2738,$F152))</f>
        <v>988</v>
      </c>
      <c r="I152" s="16" t="str">
        <f aca="false">IF(INDEX(選手一覧!$J$7:$J$2738,$F152)="","",INDEX(選手一覧!$J$7:$J$2738,$F152))</f>
        <v/>
      </c>
      <c r="J152" s="17" t="str">
        <f aca="false">IF(INDEX(選手一覧!$K$7:$K$2738,$F152)="","",INDEX(選手一覧!$K$7:$K$2738,$F152))</f>
        <v/>
      </c>
    </row>
    <row r="153" customFormat="false" ht="15" hidden="false" customHeight="false" outlineLevel="0" collapsed="false">
      <c r="A153" s="17" t="n">
        <v>149</v>
      </c>
      <c r="B153" s="12" t="s">
        <v>906</v>
      </c>
      <c r="C153" s="12" t="s">
        <v>907</v>
      </c>
      <c r="D153" s="16" t="n">
        <v>0.00677175925925926</v>
      </c>
      <c r="E153" s="15" t="n">
        <f aca="false">ROUND((D153-$D$5)*86400,2)</f>
        <v>46.06</v>
      </c>
      <c r="F153" s="17" t="n">
        <v>516</v>
      </c>
      <c r="G153" s="16" t="n">
        <f aca="false">IF(INDEX(選手一覧!$D$7:$D$2738,$F153)="","",INDEX(選手一覧!$D$7:$D$2738,$F153))</f>
        <v>0.0106440972222222</v>
      </c>
      <c r="H153" s="17" t="n">
        <f aca="false">IF(INDEX(選手一覧!$E$7:$E$2738,$F153)="","",INDEX(選手一覧!$E$7:$E$2738,$F153))</f>
        <v>517</v>
      </c>
      <c r="I153" s="16" t="str">
        <f aca="false">IF(INDEX(選手一覧!$J$7:$J$2738,$F153)="","",INDEX(選手一覧!$J$7:$J$2738,$F153))</f>
        <v/>
      </c>
      <c r="J153" s="17" t="str">
        <f aca="false">IF(INDEX(選手一覧!$K$7:$K$2738,$F153)="","",INDEX(選手一覧!$K$7:$K$2738,$F153))</f>
        <v/>
      </c>
    </row>
    <row r="154" customFormat="false" ht="15" hidden="false" customHeight="false" outlineLevel="0" collapsed="false">
      <c r="A154" s="17" t="n">
        <v>150</v>
      </c>
      <c r="B154" s="12" t="s">
        <v>1057</v>
      </c>
      <c r="C154" s="12" t="s">
        <v>440</v>
      </c>
      <c r="D154" s="16" t="n">
        <v>0.00677303240740741</v>
      </c>
      <c r="E154" s="15" t="n">
        <f aca="false">ROUND((D154-$D$5)*86400,2)</f>
        <v>46.17</v>
      </c>
      <c r="F154" s="17" t="n">
        <v>618</v>
      </c>
      <c r="G154" s="16" t="n">
        <f aca="false">IF(INDEX(選手一覧!$D$7:$D$2738,$F154)="","",INDEX(選手一覧!$D$7:$D$2738,$F154))</f>
        <v>0.0107232638888889</v>
      </c>
      <c r="H154" s="17" t="n">
        <f aca="false">IF(INDEX(選手一覧!$E$7:$E$2738,$F154)="","",INDEX(選手一覧!$E$7:$E$2738,$F154))</f>
        <v>619</v>
      </c>
      <c r="I154" s="16" t="n">
        <f aca="false">IF(INDEX(選手一覧!$J$7:$J$2738,$F154)="","",INDEX(選手一覧!$J$7:$J$2738,$F154))</f>
        <v>0.00282118055555556</v>
      </c>
      <c r="J154" s="17" t="n">
        <f aca="false">IF(INDEX(選手一覧!$K$7:$K$2738,$F154)="","",INDEX(選手一覧!$K$7:$K$2738,$F154))</f>
        <v>370</v>
      </c>
    </row>
    <row r="155" customFormat="false" ht="15" hidden="false" customHeight="false" outlineLevel="0" collapsed="false">
      <c r="A155" s="17" t="n">
        <v>151</v>
      </c>
      <c r="B155" s="12" t="s">
        <v>2081</v>
      </c>
      <c r="C155" s="12" t="s">
        <v>491</v>
      </c>
      <c r="D155" s="16" t="n">
        <v>0.00677511574074074</v>
      </c>
      <c r="E155" s="15" t="n">
        <f aca="false">ROUND((D155-$D$5)*86400,2)</f>
        <v>46.35</v>
      </c>
      <c r="F155" s="17" t="n">
        <v>1319</v>
      </c>
      <c r="G155" s="16" t="str">
        <f aca="false">IF(INDEX(選手一覧!$D$7:$D$2738,$F155)="","",INDEX(選手一覧!$D$7:$D$2738,$F155))</f>
        <v/>
      </c>
      <c r="H155" s="17" t="str">
        <f aca="false">IF(INDEX(選手一覧!$E$7:$E$2738,$F155)="","",INDEX(選手一覧!$E$7:$E$2738,$F155))</f>
        <v/>
      </c>
      <c r="I155" s="16" t="str">
        <f aca="false">IF(INDEX(選手一覧!$J$7:$J$2738,$F155)="","",INDEX(選手一覧!$J$7:$J$2738,$F155))</f>
        <v/>
      </c>
      <c r="J155" s="17" t="str">
        <f aca="false">IF(INDEX(選手一覧!$K$7:$K$2738,$F155)="","",INDEX(選手一覧!$K$7:$K$2738,$F155))</f>
        <v/>
      </c>
    </row>
    <row r="156" customFormat="false" ht="15" hidden="false" customHeight="false" outlineLevel="0" collapsed="false">
      <c r="A156" s="17" t="n">
        <v>152</v>
      </c>
      <c r="B156" s="12" t="s">
        <v>1015</v>
      </c>
      <c r="C156" s="12" t="s">
        <v>129</v>
      </c>
      <c r="D156" s="16" t="n">
        <v>0.00677569444444444</v>
      </c>
      <c r="E156" s="15" t="n">
        <f aca="false">ROUND((D156-$D$5)*86400,2)</f>
        <v>46.4</v>
      </c>
      <c r="F156" s="17" t="n">
        <v>586</v>
      </c>
      <c r="G156" s="16" t="n">
        <f aca="false">IF(INDEX(選手一覧!$D$7:$D$2738,$F156)="","",INDEX(選手一覧!$D$7:$D$2738,$F156))</f>
        <v>0.0107016203703704</v>
      </c>
      <c r="H156" s="17" t="n">
        <f aca="false">IF(INDEX(選手一覧!$E$7:$E$2738,$F156)="","",INDEX(選手一覧!$E$7:$E$2738,$F156))</f>
        <v>587</v>
      </c>
      <c r="I156" s="16" t="n">
        <f aca="false">IF(INDEX(選手一覧!$J$7:$J$2738,$F156)="","",INDEX(選手一覧!$J$7:$J$2738,$F156))</f>
        <v>0.00289988425925926</v>
      </c>
      <c r="J156" s="17" t="n">
        <f aca="false">IF(INDEX(選手一覧!$K$7:$K$2738,$F156)="","",INDEX(選手一覧!$K$7:$K$2738,$F156))</f>
        <v>946</v>
      </c>
    </row>
    <row r="157" customFormat="false" ht="15" hidden="false" customHeight="false" outlineLevel="0" collapsed="false">
      <c r="A157" s="17" t="n">
        <v>153</v>
      </c>
      <c r="B157" s="12" t="s">
        <v>1817</v>
      </c>
      <c r="C157" s="12" t="s">
        <v>417</v>
      </c>
      <c r="D157" s="16" t="n">
        <v>0.00677627314814815</v>
      </c>
      <c r="E157" s="15" t="n">
        <f aca="false">ROUND((D157-$D$5)*86400,2)</f>
        <v>46.45</v>
      </c>
      <c r="F157" s="17" t="n">
        <v>1125</v>
      </c>
      <c r="G157" s="16" t="n">
        <f aca="false">IF(INDEX(選手一覧!$D$7:$D$2738,$F157)="","",INDEX(選手一覧!$D$7:$D$2738,$F157))</f>
        <v>0.011018287037037</v>
      </c>
      <c r="H157" s="17" t="n">
        <f aca="false">IF(INDEX(選手一覧!$E$7:$E$2738,$F157)="","",INDEX(選手一覧!$E$7:$E$2738,$F157))</f>
        <v>1126</v>
      </c>
      <c r="I157" s="16" t="str">
        <f aca="false">IF(INDEX(選手一覧!$J$7:$J$2738,$F157)="","",INDEX(選手一覧!$J$7:$J$2738,$F157))</f>
        <v/>
      </c>
      <c r="J157" s="17" t="str">
        <f aca="false">IF(INDEX(選手一覧!$K$7:$K$2738,$F157)="","",INDEX(選手一覧!$K$7:$K$2738,$F157))</f>
        <v/>
      </c>
    </row>
    <row r="158" customFormat="false" ht="15" hidden="false" customHeight="false" outlineLevel="0" collapsed="false">
      <c r="A158" s="17" t="n">
        <v>154</v>
      </c>
      <c r="B158" s="12" t="s">
        <v>1331</v>
      </c>
      <c r="C158" s="12" t="s">
        <v>1332</v>
      </c>
      <c r="D158" s="16" t="n">
        <v>0.00677928240740741</v>
      </c>
      <c r="E158" s="15" t="n">
        <f aca="false">ROUND((D158-$D$5)*86400,2)</f>
        <v>46.71</v>
      </c>
      <c r="F158" s="17" t="n">
        <v>803</v>
      </c>
      <c r="G158" s="16" t="n">
        <f aca="false">IF(INDEX(選手一覧!$D$7:$D$2738,$F158)="","",INDEX(選手一覧!$D$7:$D$2738,$F158))</f>
        <v>0.0108369212962963</v>
      </c>
      <c r="H158" s="17" t="n">
        <f aca="false">IF(INDEX(選手一覧!$E$7:$E$2738,$F158)="","",INDEX(選手一覧!$E$7:$E$2738,$F158))</f>
        <v>804</v>
      </c>
      <c r="I158" s="16" t="str">
        <f aca="false">IF(INDEX(選手一覧!$J$7:$J$2738,$F158)="","",INDEX(選手一覧!$J$7:$J$2738,$F158))</f>
        <v/>
      </c>
      <c r="J158" s="17" t="str">
        <f aca="false">IF(INDEX(選手一覧!$K$7:$K$2738,$F158)="","",INDEX(選手一覧!$K$7:$K$2738,$F158))</f>
        <v/>
      </c>
    </row>
    <row r="159" customFormat="false" ht="15" hidden="false" customHeight="false" outlineLevel="0" collapsed="false">
      <c r="A159" s="17" t="n">
        <v>155</v>
      </c>
      <c r="B159" s="12" t="s">
        <v>2082</v>
      </c>
      <c r="C159" s="12" t="s">
        <v>953</v>
      </c>
      <c r="D159" s="16" t="n">
        <v>0.00677997685185185</v>
      </c>
      <c r="E159" s="15" t="n">
        <f aca="false">ROUND((D159-$D$5)*86400,2)</f>
        <v>46.77</v>
      </c>
      <c r="F159" s="17" t="n">
        <v>1320</v>
      </c>
      <c r="G159" s="16" t="str">
        <f aca="false">IF(INDEX(選手一覧!$D$7:$D$2738,$F159)="","",INDEX(選手一覧!$D$7:$D$2738,$F159))</f>
        <v/>
      </c>
      <c r="H159" s="17" t="str">
        <f aca="false">IF(INDEX(選手一覧!$E$7:$E$2738,$F159)="","",INDEX(選手一覧!$E$7:$E$2738,$F159))</f>
        <v/>
      </c>
      <c r="I159" s="16" t="n">
        <f aca="false">IF(INDEX(選手一覧!$J$7:$J$2738,$F159)="","",INDEX(選手一覧!$J$7:$J$2738,$F159))</f>
        <v>0.00287476851851852</v>
      </c>
      <c r="J159" s="17" t="n">
        <f aca="false">IF(INDEX(選手一覧!$K$7:$K$2738,$F159)="","",INDEX(選手一覧!$K$7:$K$2738,$F159))</f>
        <v>732</v>
      </c>
    </row>
    <row r="160" customFormat="false" ht="15" hidden="false" customHeight="false" outlineLevel="0" collapsed="false">
      <c r="A160" s="17" t="n">
        <v>156</v>
      </c>
      <c r="B160" s="12" t="s">
        <v>1635</v>
      </c>
      <c r="C160" s="12" t="s">
        <v>43</v>
      </c>
      <c r="D160" s="16" t="n">
        <v>0.00678148148148148</v>
      </c>
      <c r="E160" s="15" t="n">
        <f aca="false">ROUND((D160-$D$5)*86400,2)</f>
        <v>46.9</v>
      </c>
      <c r="F160" s="17" t="n">
        <v>1006</v>
      </c>
      <c r="G160" s="16" t="n">
        <f aca="false">IF(INDEX(選手一覧!$D$7:$D$2738,$F160)="","",INDEX(選手一覧!$D$7:$D$2738,$F160))</f>
        <v>0.0109530092592593</v>
      </c>
      <c r="H160" s="17" t="n">
        <f aca="false">IF(INDEX(選手一覧!$E$7:$E$2738,$F160)="","",INDEX(選手一覧!$E$7:$E$2738,$F160))</f>
        <v>1007</v>
      </c>
      <c r="I160" s="16" t="str">
        <f aca="false">IF(INDEX(選手一覧!$J$7:$J$2738,$F160)="","",INDEX(選手一覧!$J$7:$J$2738,$F160))</f>
        <v/>
      </c>
      <c r="J160" s="17" t="str">
        <f aca="false">IF(INDEX(選手一覧!$K$7:$K$2738,$F160)="","",INDEX(選手一覧!$K$7:$K$2738,$F160))</f>
        <v/>
      </c>
    </row>
    <row r="161" customFormat="false" ht="15" hidden="false" customHeight="false" outlineLevel="0" collapsed="false">
      <c r="A161" s="17" t="n">
        <v>157</v>
      </c>
      <c r="B161" s="12" t="s">
        <v>1998</v>
      </c>
      <c r="C161" s="12" t="s">
        <v>1334</v>
      </c>
      <c r="D161" s="16" t="n">
        <v>0.00678206018518519</v>
      </c>
      <c r="E161" s="15" t="n">
        <f aca="false">ROUND((D161-$D$5)*86400,2)</f>
        <v>46.95</v>
      </c>
      <c r="F161" s="17" t="n">
        <v>1254</v>
      </c>
      <c r="G161" s="16" t="n">
        <f aca="false">IF(INDEX(選手一覧!$D$7:$D$2738,$F161)="","",INDEX(選手一覧!$D$7:$D$2738,$F161))</f>
        <v>0.0110810185185185</v>
      </c>
      <c r="H161" s="17" t="n">
        <f aca="false">IF(INDEX(選手一覧!$E$7:$E$2738,$F161)="","",INDEX(選手一覧!$E$7:$E$2738,$F161))</f>
        <v>1255</v>
      </c>
      <c r="I161" s="16" t="n">
        <f aca="false">IF(INDEX(選手一覧!$J$7:$J$2738,$F161)="","",INDEX(選手一覧!$J$7:$J$2738,$F161))</f>
        <v>0.00290636574074074</v>
      </c>
      <c r="J161" s="17" t="n">
        <f aca="false">IF(INDEX(選手一覧!$K$7:$K$2738,$F161)="","",INDEX(選手一覧!$K$7:$K$2738,$F161))</f>
        <v>993</v>
      </c>
    </row>
    <row r="162" customFormat="false" ht="15" hidden="false" customHeight="false" outlineLevel="0" collapsed="false">
      <c r="A162" s="17" t="n">
        <v>158</v>
      </c>
      <c r="B162" s="12" t="s">
        <v>1322</v>
      </c>
      <c r="C162" s="12" t="s">
        <v>864</v>
      </c>
      <c r="D162" s="16" t="n">
        <v>0.00678356481481482</v>
      </c>
      <c r="E162" s="15" t="n">
        <f aca="false">ROUND((D162-$D$5)*86400,2)</f>
        <v>47.08</v>
      </c>
      <c r="F162" s="17" t="n">
        <v>798</v>
      </c>
      <c r="G162" s="16" t="n">
        <f aca="false">IF(INDEX(選手一覧!$D$7:$D$2738,$F162)="","",INDEX(選手一覧!$D$7:$D$2738,$F162))</f>
        <v>0.0108329861111111</v>
      </c>
      <c r="H162" s="17" t="n">
        <f aca="false">IF(INDEX(選手一覧!$E$7:$E$2738,$F162)="","",INDEX(選手一覧!$E$7:$E$2738,$F162))</f>
        <v>799</v>
      </c>
      <c r="I162" s="16" t="n">
        <f aca="false">IF(INDEX(選手一覧!$J$7:$J$2738,$F162)="","",INDEX(選手一覧!$J$7:$J$2738,$F162))</f>
        <v>0.00286273148148148</v>
      </c>
      <c r="J162" s="17" t="n">
        <f aca="false">IF(INDEX(選手一覧!$K$7:$K$2738,$F162)="","",INDEX(選手一覧!$K$7:$K$2738,$F162))</f>
        <v>655</v>
      </c>
    </row>
    <row r="163" customFormat="false" ht="15" hidden="false" customHeight="false" outlineLevel="0" collapsed="false">
      <c r="A163" s="17" t="n">
        <v>159</v>
      </c>
      <c r="B163" s="12" t="s">
        <v>2084</v>
      </c>
      <c r="C163" s="12" t="s">
        <v>2085</v>
      </c>
      <c r="D163" s="16" t="n">
        <v>0.00678368055555556</v>
      </c>
      <c r="E163" s="15" t="n">
        <f aca="false">ROUND((D163-$D$5)*86400,2)</f>
        <v>47.09</v>
      </c>
      <c r="F163" s="17" t="n">
        <v>1322</v>
      </c>
      <c r="G163" s="16" t="str">
        <f aca="false">IF(INDEX(選手一覧!$D$7:$D$2738,$F163)="","",INDEX(選手一覧!$D$7:$D$2738,$F163))</f>
        <v/>
      </c>
      <c r="H163" s="17" t="str">
        <f aca="false">IF(INDEX(選手一覧!$E$7:$E$2738,$F163)="","",INDEX(選手一覧!$E$7:$E$2738,$F163))</f>
        <v/>
      </c>
      <c r="I163" s="16" t="n">
        <f aca="false">IF(INDEX(選手一覧!$J$7:$J$2738,$F163)="","",INDEX(選手一覧!$J$7:$J$2738,$F163))</f>
        <v>0.00281643518518519</v>
      </c>
      <c r="J163" s="17" t="n">
        <f aca="false">IF(INDEX(選手一覧!$K$7:$K$2738,$F163)="","",INDEX(選手一覧!$K$7:$K$2738,$F163))</f>
        <v>347</v>
      </c>
    </row>
    <row r="164" customFormat="false" ht="15" hidden="false" customHeight="false" outlineLevel="0" collapsed="false">
      <c r="A164" s="17" t="n">
        <v>160</v>
      </c>
      <c r="B164" s="12" t="s">
        <v>1770</v>
      </c>
      <c r="C164" s="12" t="s">
        <v>377</v>
      </c>
      <c r="D164" s="16" t="n">
        <v>0.006784375</v>
      </c>
      <c r="E164" s="15" t="n">
        <f aca="false">ROUND((D164-$D$5)*86400,2)</f>
        <v>47.15</v>
      </c>
      <c r="F164" s="17" t="n">
        <v>1095</v>
      </c>
      <c r="G164" s="16" t="n">
        <f aca="false">IF(INDEX(選手一覧!$D$7:$D$2738,$F164)="","",INDEX(選手一覧!$D$7:$D$2738,$F164))</f>
        <v>0.010999537037037</v>
      </c>
      <c r="H164" s="17" t="n">
        <f aca="false">IF(INDEX(選手一覧!$E$7:$E$2738,$F164)="","",INDEX(選手一覧!$E$7:$E$2738,$F164))</f>
        <v>1096</v>
      </c>
      <c r="I164" s="16" t="str">
        <f aca="false">IF(INDEX(選手一覧!$J$7:$J$2738,$F164)="","",INDEX(選手一覧!$J$7:$J$2738,$F164))</f>
        <v/>
      </c>
      <c r="J164" s="17" t="str">
        <f aca="false">IF(INDEX(選手一覧!$K$7:$K$2738,$F164)="","",INDEX(選手一覧!$K$7:$K$2738,$F164))</f>
        <v/>
      </c>
    </row>
    <row r="165" customFormat="false" ht="15" hidden="false" customHeight="false" outlineLevel="0" collapsed="false">
      <c r="A165" s="17" t="n">
        <v>161</v>
      </c>
      <c r="B165" s="12" t="s">
        <v>2087</v>
      </c>
      <c r="C165" s="12" t="s">
        <v>619</v>
      </c>
      <c r="D165" s="16" t="n">
        <v>0.00678472222222222</v>
      </c>
      <c r="E165" s="15" t="n">
        <f aca="false">ROUND((D165-$D$5)*86400,2)</f>
        <v>47.18</v>
      </c>
      <c r="F165" s="17" t="n">
        <v>1324</v>
      </c>
      <c r="G165" s="16" t="str">
        <f aca="false">IF(INDEX(選手一覧!$D$7:$D$2738,$F165)="","",INDEX(選手一覧!$D$7:$D$2738,$F165))</f>
        <v/>
      </c>
      <c r="H165" s="17" t="str">
        <f aca="false">IF(INDEX(選手一覧!$E$7:$E$2738,$F165)="","",INDEX(選手一覧!$E$7:$E$2738,$F165))</f>
        <v/>
      </c>
      <c r="I165" s="16" t="n">
        <f aca="false">IF(INDEX(選手一覧!$J$7:$J$2738,$F165)="","",INDEX(選手一覧!$J$7:$J$2738,$F165))</f>
        <v>0.00283680555555556</v>
      </c>
      <c r="J165" s="17" t="n">
        <f aca="false">IF(INDEX(選手一覧!$K$7:$K$2738,$F165)="","",INDEX(選手一覧!$K$7:$K$2738,$F165))</f>
        <v>475</v>
      </c>
    </row>
    <row r="166" customFormat="false" ht="15" hidden="false" customHeight="false" outlineLevel="0" collapsed="false">
      <c r="A166" s="17" t="n">
        <v>162</v>
      </c>
      <c r="B166" s="12" t="s">
        <v>2088</v>
      </c>
      <c r="C166" s="12" t="s">
        <v>1154</v>
      </c>
      <c r="D166" s="16" t="n">
        <v>0.00678715277777778</v>
      </c>
      <c r="E166" s="15" t="n">
        <f aca="false">ROUND((D166-$D$5)*86400,2)</f>
        <v>47.39</v>
      </c>
      <c r="F166" s="17" t="n">
        <v>1325</v>
      </c>
      <c r="G166" s="16" t="str">
        <f aca="false">IF(INDEX(選手一覧!$D$7:$D$2738,$F166)="","",INDEX(選手一覧!$D$7:$D$2738,$F166))</f>
        <v/>
      </c>
      <c r="H166" s="17" t="str">
        <f aca="false">IF(INDEX(選手一覧!$E$7:$E$2738,$F166)="","",INDEX(選手一覧!$E$7:$E$2738,$F166))</f>
        <v/>
      </c>
      <c r="I166" s="16" t="str">
        <f aca="false">IF(INDEX(選手一覧!$J$7:$J$2738,$F166)="","",INDEX(選手一覧!$J$7:$J$2738,$F166))</f>
        <v/>
      </c>
      <c r="J166" s="17" t="str">
        <f aca="false">IF(INDEX(選手一覧!$K$7:$K$2738,$F166)="","",INDEX(選手一覧!$K$7:$K$2738,$F166))</f>
        <v/>
      </c>
    </row>
    <row r="167" customFormat="false" ht="15" hidden="false" customHeight="false" outlineLevel="0" collapsed="false">
      <c r="A167" s="17" t="n">
        <v>163</v>
      </c>
      <c r="B167" s="12" t="s">
        <v>1790</v>
      </c>
      <c r="C167" s="12" t="s">
        <v>236</v>
      </c>
      <c r="D167" s="16" t="n">
        <v>0.00679131944444444</v>
      </c>
      <c r="E167" s="15" t="n">
        <f aca="false">ROUND((D167-$D$5)*86400,2)</f>
        <v>47.75</v>
      </c>
      <c r="F167" s="17" t="n">
        <v>1109</v>
      </c>
      <c r="G167" s="16" t="n">
        <f aca="false">IF(INDEX(選手一覧!$D$7:$D$2738,$F167)="","",INDEX(選手一覧!$D$7:$D$2738,$F167))</f>
        <v>0.0110097222222222</v>
      </c>
      <c r="H167" s="17" t="n">
        <f aca="false">IF(INDEX(選手一覧!$E$7:$E$2738,$F167)="","",INDEX(選手一覧!$E$7:$E$2738,$F167))</f>
        <v>1110</v>
      </c>
      <c r="I167" s="16" t="str">
        <f aca="false">IF(INDEX(選手一覧!$J$7:$J$2738,$F167)="","",INDEX(選手一覧!$J$7:$J$2738,$F167))</f>
        <v/>
      </c>
      <c r="J167" s="17" t="str">
        <f aca="false">IF(INDEX(選手一覧!$K$7:$K$2738,$F167)="","",INDEX(選手一覧!$K$7:$K$2738,$F167))</f>
        <v/>
      </c>
    </row>
    <row r="168" customFormat="false" ht="15" hidden="false" customHeight="false" outlineLevel="0" collapsed="false">
      <c r="A168" s="17" t="n">
        <v>164</v>
      </c>
      <c r="B168" s="12" t="s">
        <v>1543</v>
      </c>
      <c r="C168" s="12" t="s">
        <v>214</v>
      </c>
      <c r="D168" s="16" t="n">
        <v>0.00679247685185185</v>
      </c>
      <c r="E168" s="15" t="n">
        <f aca="false">ROUND((D168-$D$5)*86400,2)</f>
        <v>47.85</v>
      </c>
      <c r="F168" s="17" t="n">
        <v>941</v>
      </c>
      <c r="G168" s="16" t="n">
        <f aca="false">IF(INDEX(選手一覧!$D$7:$D$2738,$F168)="","",INDEX(選手一覧!$D$7:$D$2738,$F168))</f>
        <v>0.0109127314814815</v>
      </c>
      <c r="H168" s="17" t="n">
        <f aca="false">IF(INDEX(選手一覧!$E$7:$E$2738,$F168)="","",INDEX(選手一覧!$E$7:$E$2738,$F168))</f>
        <v>942</v>
      </c>
      <c r="I168" s="16" t="n">
        <f aca="false">IF(INDEX(選手一覧!$J$7:$J$2738,$F168)="","",INDEX(選手一覧!$J$7:$J$2738,$F168))</f>
        <v>0.00288148148148148</v>
      </c>
      <c r="J168" s="17" t="n">
        <f aca="false">IF(INDEX(選手一覧!$K$7:$K$2738,$F168)="","",INDEX(選手一覧!$K$7:$K$2738,$F168))</f>
        <v>783</v>
      </c>
    </row>
    <row r="169" customFormat="false" ht="15" hidden="false" customHeight="false" outlineLevel="0" collapsed="false">
      <c r="A169" s="17" t="n">
        <v>165</v>
      </c>
      <c r="B169" s="12" t="s">
        <v>1616</v>
      </c>
      <c r="C169" s="12" t="s">
        <v>4310</v>
      </c>
      <c r="D169" s="16" t="n">
        <v>0.00679340277777778</v>
      </c>
      <c r="E169" s="15" t="n">
        <f aca="false">ROUND((D169-$D$5)*86400,2)</f>
        <v>47.93</v>
      </c>
      <c r="F169" s="17" t="n">
        <v>992</v>
      </c>
      <c r="G169" s="16" t="n">
        <f aca="false">IF(INDEX(選手一覧!$D$7:$D$2738,$F169)="","",INDEX(選手一覧!$D$7:$D$2738,$F169))</f>
        <v>0.0109480324074074</v>
      </c>
      <c r="H169" s="17" t="n">
        <f aca="false">IF(INDEX(選手一覧!$E$7:$E$2738,$F169)="","",INDEX(選手一覧!$E$7:$E$2738,$F169))</f>
        <v>993</v>
      </c>
      <c r="I169" s="16" t="n">
        <f aca="false">IF(INDEX(選手一覧!$J$7:$J$2738,$F169)="","",INDEX(選手一覧!$J$7:$J$2738,$F169))</f>
        <v>0.00291875</v>
      </c>
      <c r="J169" s="17" t="n">
        <f aca="false">IF(INDEX(選手一覧!$K$7:$K$2738,$F169)="","",INDEX(選手一覧!$K$7:$K$2738,$F169))</f>
        <v>1081</v>
      </c>
    </row>
    <row r="170" customFormat="false" ht="15" hidden="false" customHeight="false" outlineLevel="0" collapsed="false">
      <c r="A170" s="17" t="n">
        <v>166</v>
      </c>
      <c r="B170" s="12" t="s">
        <v>902</v>
      </c>
      <c r="C170" s="12" t="s">
        <v>903</v>
      </c>
      <c r="D170" s="16" t="n">
        <v>0.00679351851851852</v>
      </c>
      <c r="E170" s="15" t="n">
        <f aca="false">ROUND((D170-$D$5)*86400,2)</f>
        <v>47.94</v>
      </c>
      <c r="F170" s="17" t="n">
        <v>513</v>
      </c>
      <c r="G170" s="16" t="n">
        <f aca="false">IF(INDEX(選手一覧!$D$7:$D$2738,$F170)="","",INDEX(選手一覧!$D$7:$D$2738,$F170))</f>
        <v>0.0106417824074074</v>
      </c>
      <c r="H170" s="17" t="n">
        <f aca="false">IF(INDEX(選手一覧!$E$7:$E$2738,$F170)="","",INDEX(選手一覧!$E$7:$E$2738,$F170))</f>
        <v>514</v>
      </c>
      <c r="I170" s="16" t="str">
        <f aca="false">IF(INDEX(選手一覧!$J$7:$J$2738,$F170)="","",INDEX(選手一覧!$J$7:$J$2738,$F170))</f>
        <v/>
      </c>
      <c r="J170" s="17" t="str">
        <f aca="false">IF(INDEX(選手一覧!$K$7:$K$2738,$F170)="","",INDEX(選手一覧!$K$7:$K$2738,$F170))</f>
        <v/>
      </c>
    </row>
    <row r="171" customFormat="false" ht="15" hidden="false" customHeight="false" outlineLevel="0" collapsed="false">
      <c r="A171" s="17" t="n">
        <v>167</v>
      </c>
      <c r="B171" s="12" t="s">
        <v>1432</v>
      </c>
      <c r="C171" s="12" t="s">
        <v>1433</v>
      </c>
      <c r="D171" s="16" t="n">
        <v>0.00679560185185185</v>
      </c>
      <c r="E171" s="15" t="n">
        <f aca="false">ROUND((D171-$D$5)*86400,2)</f>
        <v>48.12</v>
      </c>
      <c r="F171" s="17" t="n">
        <v>867</v>
      </c>
      <c r="G171" s="16" t="n">
        <f aca="false">IF(INDEX(選手一覧!$D$7:$D$2738,$F171)="","",INDEX(選手一覧!$D$7:$D$2738,$F171))</f>
        <v>0.0108678240740741</v>
      </c>
      <c r="H171" s="17" t="n">
        <f aca="false">IF(INDEX(選手一覧!$E$7:$E$2738,$F171)="","",INDEX(選手一覧!$E$7:$E$2738,$F171))</f>
        <v>868</v>
      </c>
      <c r="I171" s="16" t="str">
        <f aca="false">IF(INDEX(選手一覧!$J$7:$J$2738,$F171)="","",INDEX(選手一覧!$J$7:$J$2738,$F171))</f>
        <v/>
      </c>
      <c r="J171" s="17" t="str">
        <f aca="false">IF(INDEX(選手一覧!$K$7:$K$2738,$F171)="","",INDEX(選手一覧!$K$7:$K$2738,$F171))</f>
        <v/>
      </c>
    </row>
    <row r="172" customFormat="false" ht="15" hidden="false" customHeight="false" outlineLevel="0" collapsed="false">
      <c r="A172" s="17" t="n">
        <v>168</v>
      </c>
      <c r="B172" s="12" t="s">
        <v>928</v>
      </c>
      <c r="C172" s="12" t="s">
        <v>929</v>
      </c>
      <c r="D172" s="16" t="n">
        <v>0.00679710648148148</v>
      </c>
      <c r="E172" s="15" t="n">
        <f aca="false">ROUND((D172-$D$5)*86400,2)</f>
        <v>48.25</v>
      </c>
      <c r="F172" s="17" t="n">
        <v>530</v>
      </c>
      <c r="G172" s="16" t="n">
        <f aca="false">IF(INDEX(選手一覧!$D$7:$D$2738,$F172)="","",INDEX(選手一覧!$D$7:$D$2738,$F172))</f>
        <v>0.0106542824074074</v>
      </c>
      <c r="H172" s="17" t="n">
        <f aca="false">IF(INDEX(選手一覧!$E$7:$E$2738,$F172)="","",INDEX(選手一覧!$E$7:$E$2738,$F172))</f>
        <v>531</v>
      </c>
      <c r="I172" s="16" t="n">
        <f aca="false">IF(INDEX(選手一覧!$J$7:$J$2738,$F172)="","",INDEX(選手一覧!$J$7:$J$2738,$F172))</f>
        <v>0.0028880787037037</v>
      </c>
      <c r="J172" s="17" t="n">
        <f aca="false">IF(INDEX(選手一覧!$K$7:$K$2738,$F172)="","",INDEX(選手一覧!$K$7:$K$2738,$F172))</f>
        <v>848</v>
      </c>
    </row>
    <row r="173" customFormat="false" ht="15" hidden="false" customHeight="false" outlineLevel="0" collapsed="false">
      <c r="A173" s="17" t="n">
        <v>169</v>
      </c>
      <c r="B173" s="12" t="s">
        <v>1887</v>
      </c>
      <c r="C173" s="12" t="s">
        <v>707</v>
      </c>
      <c r="D173" s="16" t="n">
        <v>0.00679861111111111</v>
      </c>
      <c r="E173" s="15" t="n">
        <f aca="false">ROUND((D173-$D$5)*86400,2)</f>
        <v>48.38</v>
      </c>
      <c r="F173" s="17" t="n">
        <v>1174</v>
      </c>
      <c r="G173" s="16" t="n">
        <f aca="false">IF(INDEX(選手一覧!$D$7:$D$2738,$F173)="","",INDEX(選手一覧!$D$7:$D$2738,$F173))</f>
        <v>0.0110388888888889</v>
      </c>
      <c r="H173" s="17" t="n">
        <f aca="false">IF(INDEX(選手一覧!$E$7:$E$2738,$F173)="","",INDEX(選手一覧!$E$7:$E$2738,$F173))</f>
        <v>1175</v>
      </c>
      <c r="I173" s="16" t="str">
        <f aca="false">IF(INDEX(選手一覧!$J$7:$J$2738,$F173)="","",INDEX(選手一覧!$J$7:$J$2738,$F173))</f>
        <v/>
      </c>
      <c r="J173" s="17" t="str">
        <f aca="false">IF(INDEX(選手一覧!$K$7:$K$2738,$F173)="","",INDEX(選手一覧!$K$7:$K$2738,$F173))</f>
        <v/>
      </c>
    </row>
    <row r="174" customFormat="false" ht="15" hidden="false" customHeight="false" outlineLevel="0" collapsed="false">
      <c r="A174" s="17" t="n">
        <v>170</v>
      </c>
      <c r="B174" s="12" t="s">
        <v>1389</v>
      </c>
      <c r="C174" s="12" t="s">
        <v>401</v>
      </c>
      <c r="D174" s="16" t="n">
        <v>0.0068</v>
      </c>
      <c r="E174" s="15" t="n">
        <f aca="false">ROUND((D174-$D$5)*86400,2)</f>
        <v>48.5</v>
      </c>
      <c r="F174" s="17" t="n">
        <v>841</v>
      </c>
      <c r="G174" s="16" t="n">
        <f aca="false">IF(INDEX(選手一覧!$D$7:$D$2738,$F174)="","",INDEX(選手一覧!$D$7:$D$2738,$F174))</f>
        <v>0.0108527777777778</v>
      </c>
      <c r="H174" s="17" t="n">
        <f aca="false">IF(INDEX(選手一覧!$E$7:$E$2738,$F174)="","",INDEX(選手一覧!$E$7:$E$2738,$F174))</f>
        <v>842</v>
      </c>
      <c r="I174" s="16" t="str">
        <f aca="false">IF(INDEX(選手一覧!$J$7:$J$2738,$F174)="","",INDEX(選手一覧!$J$7:$J$2738,$F174))</f>
        <v/>
      </c>
      <c r="J174" s="17" t="str">
        <f aca="false">IF(INDEX(選手一覧!$K$7:$K$2738,$F174)="","",INDEX(選手一覧!$K$7:$K$2738,$F174))</f>
        <v/>
      </c>
    </row>
    <row r="175" customFormat="false" ht="15" hidden="false" customHeight="false" outlineLevel="0" collapsed="false">
      <c r="A175" s="17" t="n">
        <v>171</v>
      </c>
      <c r="B175" s="12" t="s">
        <v>672</v>
      </c>
      <c r="C175" s="12" t="s">
        <v>281</v>
      </c>
      <c r="D175" s="16" t="n">
        <v>0.0068</v>
      </c>
      <c r="E175" s="15" t="n">
        <f aca="false">ROUND((D175-$D$5)*86400,2)</f>
        <v>48.5</v>
      </c>
      <c r="F175" s="17" t="n">
        <v>369</v>
      </c>
      <c r="G175" s="16" t="n">
        <f aca="false">IF(INDEX(選手一覧!$D$7:$D$2738,$F175)="","",INDEX(選手一覧!$D$7:$D$2738,$F175))</f>
        <v>0.0105296296296296</v>
      </c>
      <c r="H175" s="17" t="n">
        <f aca="false">IF(INDEX(選手一覧!$E$7:$E$2738,$F175)="","",INDEX(選手一覧!$E$7:$E$2738,$F175))</f>
        <v>370</v>
      </c>
      <c r="I175" s="16" t="str">
        <f aca="false">IF(INDEX(選手一覧!$J$7:$J$2738,$F175)="","",INDEX(選手一覧!$J$7:$J$2738,$F175))</f>
        <v/>
      </c>
      <c r="J175" s="17" t="str">
        <f aca="false">IF(INDEX(選手一覧!$K$7:$K$2738,$F175)="","",INDEX(選手一覧!$K$7:$K$2738,$F175))</f>
        <v/>
      </c>
    </row>
    <row r="176" customFormat="false" ht="15" hidden="false" customHeight="false" outlineLevel="0" collapsed="false">
      <c r="A176" s="17" t="n">
        <v>172</v>
      </c>
      <c r="B176" s="12" t="s">
        <v>1668</v>
      </c>
      <c r="C176" s="12" t="s">
        <v>115</v>
      </c>
      <c r="D176" s="16" t="n">
        <v>0.00680034722222222</v>
      </c>
      <c r="E176" s="15" t="n">
        <f aca="false">ROUND((D176-$D$5)*86400,2)</f>
        <v>48.53</v>
      </c>
      <c r="F176" s="17" t="n">
        <v>1027</v>
      </c>
      <c r="G176" s="16" t="n">
        <f aca="false">IF(INDEX(選手一覧!$D$7:$D$2738,$F176)="","",INDEX(選手一覧!$D$7:$D$2738,$F176))</f>
        <v>0.0109670138888889</v>
      </c>
      <c r="H176" s="17" t="n">
        <f aca="false">IF(INDEX(選手一覧!$E$7:$E$2738,$F176)="","",INDEX(選手一覧!$E$7:$E$2738,$F176))</f>
        <v>1028</v>
      </c>
      <c r="I176" s="16" t="str">
        <f aca="false">IF(INDEX(選手一覧!$J$7:$J$2738,$F176)="","",INDEX(選手一覧!$J$7:$J$2738,$F176))</f>
        <v/>
      </c>
      <c r="J176" s="17" t="str">
        <f aca="false">IF(INDEX(選手一覧!$K$7:$K$2738,$F176)="","",INDEX(選手一覧!$K$7:$K$2738,$F176))</f>
        <v/>
      </c>
    </row>
    <row r="177" customFormat="false" ht="15" hidden="false" customHeight="false" outlineLevel="0" collapsed="false">
      <c r="A177" s="17" t="n">
        <v>173</v>
      </c>
      <c r="B177" s="12" t="s">
        <v>1800</v>
      </c>
      <c r="C177" s="12" t="s">
        <v>1801</v>
      </c>
      <c r="D177" s="16" t="n">
        <v>0.00680150462962963</v>
      </c>
      <c r="E177" s="15" t="n">
        <f aca="false">ROUND((D177-$D$5)*86400,2)</f>
        <v>48.63</v>
      </c>
      <c r="F177" s="17" t="n">
        <v>1116</v>
      </c>
      <c r="G177" s="16" t="n">
        <f aca="false">IF(INDEX(選手一覧!$D$7:$D$2738,$F177)="","",INDEX(選手一覧!$D$7:$D$2738,$F177))</f>
        <v>0.0110141203703704</v>
      </c>
      <c r="H177" s="17" t="n">
        <f aca="false">IF(INDEX(選手一覧!$E$7:$E$2738,$F177)="","",INDEX(選手一覧!$E$7:$E$2738,$F177))</f>
        <v>1117</v>
      </c>
      <c r="I177" s="16" t="str">
        <f aca="false">IF(INDEX(選手一覧!$J$7:$J$2738,$F177)="","",INDEX(選手一覧!$J$7:$J$2738,$F177))</f>
        <v/>
      </c>
      <c r="J177" s="17" t="str">
        <f aca="false">IF(INDEX(選手一覧!$K$7:$K$2738,$F177)="","",INDEX(選手一覧!$K$7:$K$2738,$F177))</f>
        <v/>
      </c>
    </row>
    <row r="178" customFormat="false" ht="15" hidden="false" customHeight="false" outlineLevel="0" collapsed="false">
      <c r="A178" s="17" t="n">
        <v>174</v>
      </c>
      <c r="B178" s="12" t="s">
        <v>2095</v>
      </c>
      <c r="C178" s="12" t="s">
        <v>2096</v>
      </c>
      <c r="D178" s="16" t="n">
        <v>0.00680185185185185</v>
      </c>
      <c r="E178" s="15" t="n">
        <f aca="false">ROUND((D178-$D$5)*86400,2)</f>
        <v>48.66</v>
      </c>
      <c r="F178" s="17" t="n">
        <v>1331</v>
      </c>
      <c r="G178" s="16" t="str">
        <f aca="false">IF(INDEX(選手一覧!$D$7:$D$2738,$F178)="","",INDEX(選手一覧!$D$7:$D$2738,$F178))</f>
        <v/>
      </c>
      <c r="H178" s="17" t="str">
        <f aca="false">IF(INDEX(選手一覧!$E$7:$E$2738,$F178)="","",INDEX(選手一覧!$E$7:$E$2738,$F178))</f>
        <v/>
      </c>
      <c r="I178" s="16" t="n">
        <f aca="false">IF(INDEX(選手一覧!$J$7:$J$2738,$F178)="","",INDEX(選手一覧!$J$7:$J$2738,$F178))</f>
        <v>0.0029025462962963</v>
      </c>
      <c r="J178" s="17" t="n">
        <f aca="false">IF(INDEX(選手一覧!$K$7:$K$2738,$F178)="","",INDEX(選手一覧!$K$7:$K$2738,$F178))</f>
        <v>967</v>
      </c>
    </row>
    <row r="179" customFormat="false" ht="15" hidden="false" customHeight="false" outlineLevel="0" collapsed="false">
      <c r="A179" s="17" t="n">
        <v>175</v>
      </c>
      <c r="B179" s="12" t="s">
        <v>2098</v>
      </c>
      <c r="C179" s="12" t="s">
        <v>2099</v>
      </c>
      <c r="D179" s="16" t="n">
        <v>0.00680416666666667</v>
      </c>
      <c r="E179" s="15" t="n">
        <f aca="false">ROUND((D179-$D$5)*86400,2)</f>
        <v>48.86</v>
      </c>
      <c r="F179" s="17" t="n">
        <v>1333</v>
      </c>
      <c r="G179" s="16" t="str">
        <f aca="false">IF(INDEX(選手一覧!$D$7:$D$2738,$F179)="","",INDEX(選手一覧!$D$7:$D$2738,$F179))</f>
        <v/>
      </c>
      <c r="H179" s="17" t="str">
        <f aca="false">IF(INDEX(選手一覧!$E$7:$E$2738,$F179)="","",INDEX(選手一覧!$E$7:$E$2738,$F179))</f>
        <v/>
      </c>
      <c r="I179" s="16" t="n">
        <f aca="false">IF(INDEX(選手一覧!$J$7:$J$2738,$F179)="","",INDEX(選手一覧!$J$7:$J$2738,$F179))</f>
        <v>0.00291759259259259</v>
      </c>
      <c r="J179" s="17" t="n">
        <f aca="false">IF(INDEX(選手一覧!$K$7:$K$2738,$F179)="","",INDEX(選手一覧!$K$7:$K$2738,$F179))</f>
        <v>1071</v>
      </c>
    </row>
    <row r="180" customFormat="false" ht="15" hidden="false" customHeight="false" outlineLevel="0" collapsed="false">
      <c r="A180" s="17" t="n">
        <v>176</v>
      </c>
      <c r="B180" s="12" t="s">
        <v>2101</v>
      </c>
      <c r="C180" s="12" t="s">
        <v>2102</v>
      </c>
      <c r="D180" s="16" t="n">
        <v>0.00680648148148148</v>
      </c>
      <c r="E180" s="15" t="n">
        <f aca="false">ROUND((D180-$D$5)*86400,2)</f>
        <v>49.06</v>
      </c>
      <c r="F180" s="17" t="n">
        <v>1334</v>
      </c>
      <c r="G180" s="16" t="str">
        <f aca="false">IF(INDEX(選手一覧!$D$7:$D$2738,$F180)="","",INDEX(選手一覧!$D$7:$D$2738,$F180))</f>
        <v/>
      </c>
      <c r="H180" s="17" t="str">
        <f aca="false">IF(INDEX(選手一覧!$E$7:$E$2738,$F180)="","",INDEX(選手一覧!$E$7:$E$2738,$F180))</f>
        <v/>
      </c>
      <c r="I180" s="16" t="str">
        <f aca="false">IF(INDEX(選手一覧!$J$7:$J$2738,$F180)="","",INDEX(選手一覧!$J$7:$J$2738,$F180))</f>
        <v/>
      </c>
      <c r="J180" s="17" t="str">
        <f aca="false">IF(INDEX(選手一覧!$K$7:$K$2738,$F180)="","",INDEX(選手一覧!$K$7:$K$2738,$F180))</f>
        <v/>
      </c>
    </row>
    <row r="181" customFormat="false" ht="15" hidden="false" customHeight="false" outlineLevel="0" collapsed="false">
      <c r="A181" s="17" t="n">
        <v>177</v>
      </c>
      <c r="B181" s="12" t="s">
        <v>1631</v>
      </c>
      <c r="C181" s="12" t="s">
        <v>444</v>
      </c>
      <c r="D181" s="16" t="n">
        <v>0.00680671296296296</v>
      </c>
      <c r="E181" s="15" t="n">
        <f aca="false">ROUND((D181-$D$5)*86400,2)</f>
        <v>49.08</v>
      </c>
      <c r="F181" s="17" t="n">
        <v>1002</v>
      </c>
      <c r="G181" s="16" t="n">
        <f aca="false">IF(INDEX(選手一覧!$D$7:$D$2738,$F181)="","",INDEX(選手一覧!$D$7:$D$2738,$F181))</f>
        <v>0.0109517361111111</v>
      </c>
      <c r="H181" s="17" t="n">
        <f aca="false">IF(INDEX(選手一覧!$E$7:$E$2738,$F181)="","",INDEX(選手一覧!$E$7:$E$2738,$F181))</f>
        <v>1003</v>
      </c>
      <c r="I181" s="16" t="str">
        <f aca="false">IF(INDEX(選手一覧!$J$7:$J$2738,$F181)="","",INDEX(選手一覧!$J$7:$J$2738,$F181))</f>
        <v/>
      </c>
      <c r="J181" s="17" t="str">
        <f aca="false">IF(INDEX(選手一覧!$K$7:$K$2738,$F181)="","",INDEX(選手一覧!$K$7:$K$2738,$F181))</f>
        <v/>
      </c>
    </row>
    <row r="182" customFormat="false" ht="15" hidden="false" customHeight="false" outlineLevel="0" collapsed="false">
      <c r="A182" s="17" t="n">
        <v>178</v>
      </c>
      <c r="B182" s="12" t="s">
        <v>1002</v>
      </c>
      <c r="C182" s="12" t="s">
        <v>4428</v>
      </c>
      <c r="D182" s="16" t="n">
        <v>0.00680717592592593</v>
      </c>
      <c r="E182" s="15" t="n">
        <f aca="false">ROUND((D182-$D$5)*86400,2)</f>
        <v>49.12</v>
      </c>
      <c r="F182" s="17" t="n">
        <v>578</v>
      </c>
      <c r="G182" s="16" t="n">
        <f aca="false">IF(INDEX(選手一覧!$D$7:$D$2738,$F182)="","",INDEX(選手一覧!$D$7:$D$2738,$F182))</f>
        <v>0.0106987268518519</v>
      </c>
      <c r="H182" s="17" t="n">
        <f aca="false">IF(INDEX(選手一覧!$E$7:$E$2738,$F182)="","",INDEX(選手一覧!$E$7:$E$2738,$F182))</f>
        <v>579</v>
      </c>
      <c r="I182" s="16" t="n">
        <f aca="false">IF(INDEX(選手一覧!$J$7:$J$2738,$F182)="","",INDEX(選手一覧!$J$7:$J$2738,$F182))</f>
        <v>0.00288356481481481</v>
      </c>
      <c r="J182" s="17" t="n">
        <f aca="false">IF(INDEX(選手一覧!$K$7:$K$2738,$F182)="","",INDEX(選手一覧!$K$7:$K$2738,$F182))</f>
        <v>803</v>
      </c>
    </row>
    <row r="183" customFormat="false" ht="15" hidden="false" customHeight="false" outlineLevel="0" collapsed="false">
      <c r="A183" s="17" t="n">
        <v>179</v>
      </c>
      <c r="B183" s="12" t="s">
        <v>1054</v>
      </c>
      <c r="C183" s="12" t="s">
        <v>532</v>
      </c>
      <c r="D183" s="16" t="n">
        <v>0.00680914351851852</v>
      </c>
      <c r="E183" s="15" t="n">
        <f aca="false">ROUND((D183-$D$5)*86400,2)</f>
        <v>49.29</v>
      </c>
      <c r="F183" s="17" t="n">
        <v>615</v>
      </c>
      <c r="G183" s="16" t="n">
        <f aca="false">IF(INDEX(選手一覧!$D$7:$D$2738,$F183)="","",INDEX(選手一覧!$D$7:$D$2738,$F183))</f>
        <v>0.0107228009259259</v>
      </c>
      <c r="H183" s="17" t="n">
        <f aca="false">IF(INDEX(選手一覧!$E$7:$E$2738,$F183)="","",INDEX(選手一覧!$E$7:$E$2738,$F183))</f>
        <v>616</v>
      </c>
      <c r="I183" s="16" t="n">
        <f aca="false">IF(INDEX(選手一覧!$J$7:$J$2738,$F183)="","",INDEX(選手一覧!$J$7:$J$2738,$F183))</f>
        <v>0.00292210648148148</v>
      </c>
      <c r="J183" s="17" t="n">
        <f aca="false">IF(INDEX(選手一覧!$K$7:$K$2738,$F183)="","",INDEX(選手一覧!$K$7:$K$2738,$F183))</f>
        <v>1115</v>
      </c>
    </row>
    <row r="184" customFormat="false" ht="15" hidden="false" customHeight="false" outlineLevel="0" collapsed="false">
      <c r="A184" s="17" t="n">
        <v>180</v>
      </c>
      <c r="B184" s="12" t="s">
        <v>1592</v>
      </c>
      <c r="C184" s="12" t="s">
        <v>103</v>
      </c>
      <c r="D184" s="16" t="n">
        <v>0.00680972222222222</v>
      </c>
      <c r="E184" s="15" t="n">
        <f aca="false">ROUND((D184-$D$5)*86400,2)</f>
        <v>49.34</v>
      </c>
      <c r="F184" s="17" t="n">
        <v>975</v>
      </c>
      <c r="G184" s="16" t="n">
        <f aca="false">IF(INDEX(選手一覧!$D$7:$D$2738,$F184)="","",INDEX(選手一覧!$D$7:$D$2738,$F184))</f>
        <v>0.0109353009259259</v>
      </c>
      <c r="H184" s="17" t="n">
        <f aca="false">IF(INDEX(選手一覧!$E$7:$E$2738,$F184)="","",INDEX(選手一覧!$E$7:$E$2738,$F184))</f>
        <v>976</v>
      </c>
      <c r="I184" s="16" t="n">
        <f aca="false">IF(INDEX(選手一覧!$J$7:$J$2738,$F184)="","",INDEX(選手一覧!$J$7:$J$2738,$F184))</f>
        <v>0.00288136574074074</v>
      </c>
      <c r="J184" s="17" t="n">
        <f aca="false">IF(INDEX(選手一覧!$K$7:$K$2738,$F184)="","",INDEX(選手一覧!$K$7:$K$2738,$F184))</f>
        <v>781</v>
      </c>
    </row>
    <row r="185" customFormat="false" ht="15" hidden="false" customHeight="false" outlineLevel="0" collapsed="false">
      <c r="A185" s="17" t="n">
        <v>181</v>
      </c>
      <c r="B185" s="12" t="s">
        <v>2036</v>
      </c>
      <c r="C185" s="12" t="s">
        <v>2037</v>
      </c>
      <c r="D185" s="16" t="n">
        <v>0.00681215277777778</v>
      </c>
      <c r="E185" s="15" t="n">
        <f aca="false">ROUND((D185-$D$5)*86400,2)</f>
        <v>49.55</v>
      </c>
      <c r="F185" s="17" t="n">
        <v>1287</v>
      </c>
      <c r="G185" s="16" t="n">
        <f aca="false">IF(INDEX(選手一覧!$D$7:$D$2738,$F185)="","",INDEX(選手一覧!$D$7:$D$2738,$F185))</f>
        <v>0.0111204861111111</v>
      </c>
      <c r="H185" s="17" t="n">
        <f aca="false">IF(INDEX(選手一覧!$E$7:$E$2738,$F185)="","",INDEX(選手一覧!$E$7:$E$2738,$F185))</f>
        <v>1288</v>
      </c>
      <c r="I185" s="16" t="str">
        <f aca="false">IF(INDEX(選手一覧!$J$7:$J$2738,$F185)="","",INDEX(選手一覧!$J$7:$J$2738,$F185))</f>
        <v/>
      </c>
      <c r="J185" s="17" t="str">
        <f aca="false">IF(INDEX(選手一覧!$K$7:$K$2738,$F185)="","",INDEX(選手一覧!$K$7:$K$2738,$F185))</f>
        <v/>
      </c>
    </row>
    <row r="186" customFormat="false" ht="15" hidden="false" customHeight="false" outlineLevel="0" collapsed="false">
      <c r="A186" s="17" t="n">
        <v>182</v>
      </c>
      <c r="B186" s="12" t="s">
        <v>2104</v>
      </c>
      <c r="C186" s="12" t="s">
        <v>2105</v>
      </c>
      <c r="D186" s="16" t="n">
        <v>0.0068150462962963</v>
      </c>
      <c r="E186" s="15" t="n">
        <f aca="false">ROUND((D186-$D$5)*86400,2)</f>
        <v>49.8</v>
      </c>
      <c r="F186" s="17" t="n">
        <v>1336</v>
      </c>
      <c r="G186" s="16" t="str">
        <f aca="false">IF(INDEX(選手一覧!$D$7:$D$2738,$F186)="","",INDEX(選手一覧!$D$7:$D$2738,$F186))</f>
        <v/>
      </c>
      <c r="H186" s="17" t="str">
        <f aca="false">IF(INDEX(選手一覧!$E$7:$E$2738,$F186)="","",INDEX(選手一覧!$E$7:$E$2738,$F186))</f>
        <v/>
      </c>
      <c r="I186" s="16" t="n">
        <f aca="false">IF(INDEX(選手一覧!$J$7:$J$2738,$F186)="","",INDEX(選手一覧!$J$7:$J$2738,$F186))</f>
        <v>0.00288391203703704</v>
      </c>
      <c r="J186" s="17" t="n">
        <f aca="false">IF(INDEX(選手一覧!$K$7:$K$2738,$F186)="","",INDEX(選手一覧!$K$7:$K$2738,$F186))</f>
        <v>808</v>
      </c>
    </row>
    <row r="187" customFormat="false" ht="15" hidden="false" customHeight="false" outlineLevel="0" collapsed="false">
      <c r="A187" s="17" t="n">
        <v>183</v>
      </c>
      <c r="B187" s="12" t="s">
        <v>1099</v>
      </c>
      <c r="C187" s="12" t="s">
        <v>585</v>
      </c>
      <c r="D187" s="16" t="n">
        <v>0.00681689814814815</v>
      </c>
      <c r="E187" s="15" t="n">
        <f aca="false">ROUND((D187-$D$5)*86400,2)</f>
        <v>49.96</v>
      </c>
      <c r="F187" s="17" t="n">
        <v>649</v>
      </c>
      <c r="G187" s="16" t="n">
        <f aca="false">IF(INDEX(選手一覧!$D$7:$D$2738,$F187)="","",INDEX(選手一覧!$D$7:$D$2738,$F187))</f>
        <v>0.0107380787037037</v>
      </c>
      <c r="H187" s="17" t="n">
        <f aca="false">IF(INDEX(選手一覧!$E$7:$E$2738,$F187)="","",INDEX(選手一覧!$E$7:$E$2738,$F187))</f>
        <v>650</v>
      </c>
      <c r="I187" s="16" t="n">
        <f aca="false">IF(INDEX(選手一覧!$J$7:$J$2738,$F187)="","",INDEX(選手一覧!$J$7:$J$2738,$F187))</f>
        <v>0.00282615740740741</v>
      </c>
      <c r="J187" s="17" t="n">
        <f aca="false">IF(INDEX(選手一覧!$K$7:$K$2738,$F187)="","",INDEX(選手一覧!$K$7:$K$2738,$F187))</f>
        <v>399</v>
      </c>
    </row>
    <row r="188" customFormat="false" ht="15" hidden="false" customHeight="false" outlineLevel="0" collapsed="false">
      <c r="A188" s="17" t="n">
        <v>184</v>
      </c>
      <c r="B188" s="12" t="s">
        <v>1329</v>
      </c>
      <c r="C188" s="12" t="s">
        <v>1330</v>
      </c>
      <c r="D188" s="16" t="n">
        <v>0.00681701388888889</v>
      </c>
      <c r="E188" s="15" t="n">
        <f aca="false">ROUND((D188-$D$5)*86400,2)</f>
        <v>49.97</v>
      </c>
      <c r="F188" s="17" t="n">
        <v>802</v>
      </c>
      <c r="G188" s="16" t="n">
        <f aca="false">IF(INDEX(選手一覧!$D$7:$D$2738,$F188)="","",INDEX(選手一覧!$D$7:$D$2738,$F188))</f>
        <v>0.0108366898148148</v>
      </c>
      <c r="H188" s="17" t="n">
        <f aca="false">IF(INDEX(選手一覧!$E$7:$E$2738,$F188)="","",INDEX(選手一覧!$E$7:$E$2738,$F188))</f>
        <v>803</v>
      </c>
      <c r="I188" s="16" t="str">
        <f aca="false">IF(INDEX(選手一覧!$J$7:$J$2738,$F188)="","",INDEX(選手一覧!$J$7:$J$2738,$F188))</f>
        <v/>
      </c>
      <c r="J188" s="17" t="str">
        <f aca="false">IF(INDEX(選手一覧!$K$7:$K$2738,$F188)="","",INDEX(選手一覧!$K$7:$K$2738,$F188))</f>
        <v/>
      </c>
    </row>
    <row r="189" customFormat="false" ht="15" hidden="false" customHeight="false" outlineLevel="0" collapsed="false">
      <c r="A189" s="17" t="n">
        <v>185</v>
      </c>
      <c r="B189" s="12" t="s">
        <v>2107</v>
      </c>
      <c r="C189" s="12" t="s">
        <v>285</v>
      </c>
      <c r="D189" s="16" t="n">
        <v>0.00681712962962963</v>
      </c>
      <c r="E189" s="15" t="n">
        <f aca="false">ROUND((D189-$D$5)*86400,2)</f>
        <v>49.98</v>
      </c>
      <c r="F189" s="17" t="n">
        <v>1338</v>
      </c>
      <c r="G189" s="16" t="str">
        <f aca="false">IF(INDEX(選手一覧!$D$7:$D$2738,$F189)="","",INDEX(選手一覧!$D$7:$D$2738,$F189))</f>
        <v/>
      </c>
      <c r="H189" s="17" t="str">
        <f aca="false">IF(INDEX(選手一覧!$E$7:$E$2738,$F189)="","",INDEX(選手一覧!$E$7:$E$2738,$F189))</f>
        <v/>
      </c>
      <c r="I189" s="16" t="str">
        <f aca="false">IF(INDEX(選手一覧!$J$7:$J$2738,$F189)="","",INDEX(選手一覧!$J$7:$J$2738,$F189))</f>
        <v/>
      </c>
      <c r="J189" s="17" t="str">
        <f aca="false">IF(INDEX(選手一覧!$K$7:$K$2738,$F189)="","",INDEX(選手一覧!$K$7:$K$2738,$F189))</f>
        <v/>
      </c>
    </row>
    <row r="190" customFormat="false" ht="15" hidden="false" customHeight="false" outlineLevel="0" collapsed="false">
      <c r="A190" s="17" t="n">
        <v>186</v>
      </c>
      <c r="B190" s="12" t="s">
        <v>2109</v>
      </c>
      <c r="C190" s="12" t="s">
        <v>370</v>
      </c>
      <c r="D190" s="16" t="n">
        <v>0.00681759259259259</v>
      </c>
      <c r="E190" s="15" t="n">
        <f aca="false">ROUND((D190-$D$5)*86400,2)</f>
        <v>50.02</v>
      </c>
      <c r="F190" s="17" t="n">
        <v>1339</v>
      </c>
      <c r="G190" s="16" t="str">
        <f aca="false">IF(INDEX(選手一覧!$D$7:$D$2738,$F190)="","",INDEX(選手一覧!$D$7:$D$2738,$F190))</f>
        <v/>
      </c>
      <c r="H190" s="17" t="str">
        <f aca="false">IF(INDEX(選手一覧!$E$7:$E$2738,$F190)="","",INDEX(選手一覧!$E$7:$E$2738,$F190))</f>
        <v/>
      </c>
      <c r="I190" s="16" t="str">
        <f aca="false">IF(INDEX(選手一覧!$J$7:$J$2738,$F190)="","",INDEX(選手一覧!$J$7:$J$2738,$F190))</f>
        <v/>
      </c>
      <c r="J190" s="17" t="str">
        <f aca="false">IF(INDEX(選手一覧!$K$7:$K$2738,$F190)="","",INDEX(選手一覧!$K$7:$K$2738,$F190))</f>
        <v/>
      </c>
    </row>
    <row r="191" customFormat="false" ht="15" hidden="false" customHeight="false" outlineLevel="0" collapsed="false">
      <c r="A191" s="17" t="n">
        <v>187</v>
      </c>
      <c r="B191" s="12" t="s">
        <v>2110</v>
      </c>
      <c r="C191" s="12" t="s">
        <v>1500</v>
      </c>
      <c r="D191" s="16" t="n">
        <v>0.00682222222222222</v>
      </c>
      <c r="E191" s="15" t="n">
        <f aca="false">ROUND((D191-$D$5)*86400,2)</f>
        <v>50.42</v>
      </c>
      <c r="F191" s="17" t="n">
        <v>1340</v>
      </c>
      <c r="G191" s="16" t="str">
        <f aca="false">IF(INDEX(選手一覧!$D$7:$D$2738,$F191)="","",INDEX(選手一覧!$D$7:$D$2738,$F191))</f>
        <v/>
      </c>
      <c r="H191" s="17" t="str">
        <f aca="false">IF(INDEX(選手一覧!$E$7:$E$2738,$F191)="","",INDEX(選手一覧!$E$7:$E$2738,$F191))</f>
        <v/>
      </c>
      <c r="I191" s="16" t="str">
        <f aca="false">IF(INDEX(選手一覧!$J$7:$J$2738,$F191)="","",INDEX(選手一覧!$J$7:$J$2738,$F191))</f>
        <v/>
      </c>
      <c r="J191" s="17" t="str">
        <f aca="false">IF(INDEX(選手一覧!$K$7:$K$2738,$F191)="","",INDEX(選手一覧!$K$7:$K$2738,$F191))</f>
        <v/>
      </c>
    </row>
    <row r="192" customFormat="false" ht="15" hidden="false" customHeight="false" outlineLevel="0" collapsed="false">
      <c r="A192" s="17" t="n">
        <v>188</v>
      </c>
      <c r="B192" s="12" t="s">
        <v>2111</v>
      </c>
      <c r="C192" s="12" t="s">
        <v>2112</v>
      </c>
      <c r="D192" s="16" t="n">
        <v>0.00682488425925926</v>
      </c>
      <c r="E192" s="15" t="n">
        <f aca="false">ROUND((D192-$D$5)*86400,2)</f>
        <v>50.65</v>
      </c>
      <c r="F192" s="17" t="n">
        <v>1341</v>
      </c>
      <c r="G192" s="16" t="str">
        <f aca="false">IF(INDEX(選手一覧!$D$7:$D$2738,$F192)="","",INDEX(選手一覧!$D$7:$D$2738,$F192))</f>
        <v/>
      </c>
      <c r="H192" s="17" t="str">
        <f aca="false">IF(INDEX(選手一覧!$E$7:$E$2738,$F192)="","",INDEX(選手一覧!$E$7:$E$2738,$F192))</f>
        <v/>
      </c>
      <c r="I192" s="16" t="str">
        <f aca="false">IF(INDEX(選手一覧!$J$7:$J$2738,$F192)="","",INDEX(選手一覧!$J$7:$J$2738,$F192))</f>
        <v/>
      </c>
      <c r="J192" s="17" t="str">
        <f aca="false">IF(INDEX(選手一覧!$K$7:$K$2738,$F192)="","",INDEX(選手一覧!$K$7:$K$2738,$F192))</f>
        <v/>
      </c>
    </row>
    <row r="193" customFormat="false" ht="15" hidden="false" customHeight="false" outlineLevel="0" collapsed="false">
      <c r="A193" s="17" t="n">
        <v>189</v>
      </c>
      <c r="B193" s="12" t="s">
        <v>2113</v>
      </c>
      <c r="C193" s="12" t="s">
        <v>2114</v>
      </c>
      <c r="D193" s="16" t="n">
        <v>0.00682673611111111</v>
      </c>
      <c r="E193" s="15" t="n">
        <f aca="false">ROUND((D193-$D$5)*86400,2)</f>
        <v>50.81</v>
      </c>
      <c r="F193" s="17" t="n">
        <v>1342</v>
      </c>
      <c r="G193" s="16" t="str">
        <f aca="false">IF(INDEX(選手一覧!$D$7:$D$2738,$F193)="","",INDEX(選手一覧!$D$7:$D$2738,$F193))</f>
        <v/>
      </c>
      <c r="H193" s="17" t="str">
        <f aca="false">IF(INDEX(選手一覧!$E$7:$E$2738,$F193)="","",INDEX(選手一覧!$E$7:$E$2738,$F193))</f>
        <v/>
      </c>
      <c r="I193" s="16" t="n">
        <f aca="false">IF(INDEX(選手一覧!$J$7:$J$2738,$F193)="","",INDEX(選手一覧!$J$7:$J$2738,$F193))</f>
        <v>0.00289930555555556</v>
      </c>
      <c r="J193" s="17" t="n">
        <f aca="false">IF(INDEX(選手一覧!$K$7:$K$2738,$F193)="","",INDEX(選手一覧!$K$7:$K$2738,$F193))</f>
        <v>939</v>
      </c>
    </row>
    <row r="194" customFormat="false" ht="15" hidden="false" customHeight="false" outlineLevel="0" collapsed="false">
      <c r="A194" s="17" t="n">
        <v>190</v>
      </c>
      <c r="B194" s="12" t="s">
        <v>384</v>
      </c>
      <c r="C194" s="12" t="s">
        <v>99</v>
      </c>
      <c r="D194" s="16" t="n">
        <v>0.00682673611111111</v>
      </c>
      <c r="E194" s="15" t="n">
        <f aca="false">ROUND((D194-$D$5)*86400,2)</f>
        <v>50.81</v>
      </c>
      <c r="F194" s="17" t="n">
        <v>189</v>
      </c>
      <c r="G194" s="16" t="n">
        <f aca="false">IF(INDEX(選手一覧!$D$7:$D$2738,$F194)="","",INDEX(選手一覧!$D$7:$D$2738,$F194))</f>
        <v>0.0103393518518519</v>
      </c>
      <c r="H194" s="17" t="n">
        <f aca="false">IF(INDEX(選手一覧!$E$7:$E$2738,$F194)="","",INDEX(選手一覧!$E$7:$E$2738,$F194))</f>
        <v>190</v>
      </c>
      <c r="I194" s="16" t="n">
        <f aca="false">IF(INDEX(選手一覧!$J$7:$J$2738,$F194)="","",INDEX(選手一覧!$J$7:$J$2738,$F194))</f>
        <v>0.0028119212962963</v>
      </c>
      <c r="J194" s="17" t="n">
        <f aca="false">IF(INDEX(選手一覧!$K$7:$K$2738,$F194)="","",INDEX(選手一覧!$K$7:$K$2738,$F194))</f>
        <v>329</v>
      </c>
    </row>
    <row r="195" customFormat="false" ht="15" hidden="false" customHeight="false" outlineLevel="0" collapsed="false">
      <c r="A195" s="17" t="n">
        <v>191</v>
      </c>
      <c r="B195" s="12" t="s">
        <v>1945</v>
      </c>
      <c r="C195" s="12" t="s">
        <v>297</v>
      </c>
      <c r="D195" s="16" t="n">
        <v>0.00682800925925926</v>
      </c>
      <c r="E195" s="15" t="n">
        <f aca="false">ROUND((D195-$D$5)*86400,2)</f>
        <v>50.92</v>
      </c>
      <c r="F195" s="17" t="n">
        <v>1216</v>
      </c>
      <c r="G195" s="16" t="n">
        <f aca="false">IF(INDEX(選手一覧!$D$7:$D$2738,$F195)="","",INDEX(選手一覧!$D$7:$D$2738,$F195))</f>
        <v>0.0110608796296296</v>
      </c>
      <c r="H195" s="17" t="n">
        <f aca="false">IF(INDEX(選手一覧!$E$7:$E$2738,$F195)="","",INDEX(選手一覧!$E$7:$E$2738,$F195))</f>
        <v>1217</v>
      </c>
      <c r="I195" s="16" t="str">
        <f aca="false">IF(INDEX(選手一覧!$J$7:$J$2738,$F195)="","",INDEX(選手一覧!$J$7:$J$2738,$F195))</f>
        <v/>
      </c>
      <c r="J195" s="17" t="str">
        <f aca="false">IF(INDEX(選手一覧!$K$7:$K$2738,$F195)="","",INDEX(選手一覧!$K$7:$K$2738,$F195))</f>
        <v/>
      </c>
    </row>
    <row r="196" customFormat="false" ht="15" hidden="false" customHeight="false" outlineLevel="0" collapsed="false">
      <c r="A196" s="17" t="n">
        <v>192</v>
      </c>
      <c r="B196" s="12" t="s">
        <v>1725</v>
      </c>
      <c r="C196" s="12" t="s">
        <v>632</v>
      </c>
      <c r="D196" s="16" t="n">
        <v>0.006828125</v>
      </c>
      <c r="E196" s="15" t="n">
        <f aca="false">ROUND((D196-$D$5)*86400,2)</f>
        <v>50.93</v>
      </c>
      <c r="F196" s="17" t="n">
        <v>1065</v>
      </c>
      <c r="G196" s="16" t="n">
        <f aca="false">IF(INDEX(選手一覧!$D$7:$D$2738,$F196)="","",INDEX(選手一覧!$D$7:$D$2738,$F196))</f>
        <v>0.0109842592592593</v>
      </c>
      <c r="H196" s="17" t="n">
        <f aca="false">IF(INDEX(選手一覧!$E$7:$E$2738,$F196)="","",INDEX(選手一覧!$E$7:$E$2738,$F196))</f>
        <v>1066</v>
      </c>
      <c r="I196" s="16" t="str">
        <f aca="false">IF(INDEX(選手一覧!$J$7:$J$2738,$F196)="","",INDEX(選手一覧!$J$7:$J$2738,$F196))</f>
        <v/>
      </c>
      <c r="J196" s="17" t="str">
        <f aca="false">IF(INDEX(選手一覧!$K$7:$K$2738,$F196)="","",INDEX(選手一覧!$K$7:$K$2738,$F196))</f>
        <v/>
      </c>
    </row>
    <row r="197" customFormat="false" ht="15" hidden="false" customHeight="false" outlineLevel="0" collapsed="false">
      <c r="A197" s="17" t="n">
        <v>193</v>
      </c>
      <c r="B197" s="12" t="s">
        <v>2116</v>
      </c>
      <c r="C197" s="12" t="s">
        <v>2117</v>
      </c>
      <c r="D197" s="16" t="n">
        <v>0.00682905092592593</v>
      </c>
      <c r="E197" s="15" t="n">
        <f aca="false">ROUND((D197-$D$5)*86400,2)</f>
        <v>51.01</v>
      </c>
      <c r="F197" s="17" t="n">
        <v>1344</v>
      </c>
      <c r="G197" s="16" t="str">
        <f aca="false">IF(INDEX(選手一覧!$D$7:$D$2738,$F197)="","",INDEX(選手一覧!$D$7:$D$2738,$F197))</f>
        <v/>
      </c>
      <c r="H197" s="17" t="str">
        <f aca="false">IF(INDEX(選手一覧!$E$7:$E$2738,$F197)="","",INDEX(選手一覧!$E$7:$E$2738,$F197))</f>
        <v/>
      </c>
      <c r="I197" s="16" t="n">
        <f aca="false">IF(INDEX(選手一覧!$J$7:$J$2738,$F197)="","",INDEX(選手一覧!$J$7:$J$2738,$F197))</f>
        <v>0.00291747685185185</v>
      </c>
      <c r="J197" s="17" t="n">
        <f aca="false">IF(INDEX(選手一覧!$K$7:$K$2738,$F197)="","",INDEX(選手一覧!$K$7:$K$2738,$F197))</f>
        <v>1070</v>
      </c>
    </row>
    <row r="198" customFormat="false" ht="15" hidden="false" customHeight="false" outlineLevel="0" collapsed="false">
      <c r="A198" s="17" t="n">
        <v>194</v>
      </c>
      <c r="B198" s="12" t="s">
        <v>1023</v>
      </c>
      <c r="C198" s="12" t="s">
        <v>63</v>
      </c>
      <c r="D198" s="16" t="n">
        <v>0.00683229166666667</v>
      </c>
      <c r="E198" s="15" t="n">
        <f aca="false">ROUND((D198-$D$5)*86400,2)</f>
        <v>51.29</v>
      </c>
      <c r="F198" s="17" t="n">
        <v>592</v>
      </c>
      <c r="G198" s="16" t="n">
        <f aca="false">IF(INDEX(選手一覧!$D$7:$D$2738,$F198)="","",INDEX(選手一覧!$D$7:$D$2738,$F198))</f>
        <v>0.0107074074074074</v>
      </c>
      <c r="H198" s="17" t="n">
        <f aca="false">IF(INDEX(選手一覧!$E$7:$E$2738,$F198)="","",INDEX(選手一覧!$E$7:$E$2738,$F198))</f>
        <v>593</v>
      </c>
      <c r="I198" s="16" t="str">
        <f aca="false">IF(INDEX(選手一覧!$J$7:$J$2738,$F198)="","",INDEX(選手一覧!$J$7:$J$2738,$F198))</f>
        <v/>
      </c>
      <c r="J198" s="17" t="str">
        <f aca="false">IF(INDEX(選手一覧!$K$7:$K$2738,$F198)="","",INDEX(選手一覧!$K$7:$K$2738,$F198))</f>
        <v/>
      </c>
    </row>
    <row r="199" customFormat="false" ht="15" hidden="false" customHeight="false" outlineLevel="0" collapsed="false">
      <c r="A199" s="17" t="n">
        <v>195</v>
      </c>
      <c r="B199" s="12" t="s">
        <v>1671</v>
      </c>
      <c r="C199" s="12" t="s">
        <v>503</v>
      </c>
      <c r="D199" s="16" t="n">
        <v>0.0068337962962963</v>
      </c>
      <c r="E199" s="15" t="n">
        <f aca="false">ROUND((D199-$D$5)*86400,2)</f>
        <v>51.42</v>
      </c>
      <c r="F199" s="17" t="n">
        <v>1029</v>
      </c>
      <c r="G199" s="16" t="n">
        <f aca="false">IF(INDEX(選手一覧!$D$7:$D$2738,$F199)="","",INDEX(選手一覧!$D$7:$D$2738,$F199))</f>
        <v>0.0109677083333333</v>
      </c>
      <c r="H199" s="17" t="n">
        <f aca="false">IF(INDEX(選手一覧!$E$7:$E$2738,$F199)="","",INDEX(選手一覧!$E$7:$E$2738,$F199))</f>
        <v>1030</v>
      </c>
      <c r="I199" s="16" t="str">
        <f aca="false">IF(INDEX(選手一覧!$J$7:$J$2738,$F199)="","",INDEX(選手一覧!$J$7:$J$2738,$F199))</f>
        <v/>
      </c>
      <c r="J199" s="17" t="str">
        <f aca="false">IF(INDEX(選手一覧!$K$7:$K$2738,$F199)="","",INDEX(選手一覧!$K$7:$K$2738,$F199))</f>
        <v/>
      </c>
    </row>
    <row r="200" customFormat="false" ht="15" hidden="false" customHeight="false" outlineLevel="0" collapsed="false">
      <c r="A200" s="17" t="n">
        <v>196</v>
      </c>
      <c r="B200" s="12" t="s">
        <v>920</v>
      </c>
      <c r="C200" s="12" t="s">
        <v>561</v>
      </c>
      <c r="D200" s="16" t="n">
        <v>0.006834375</v>
      </c>
      <c r="E200" s="15" t="n">
        <f aca="false">ROUND((D200-$D$5)*86400,2)</f>
        <v>51.47</v>
      </c>
      <c r="F200" s="17" t="n">
        <v>524</v>
      </c>
      <c r="G200" s="16" t="n">
        <f aca="false">IF(INDEX(選手一覧!$D$7:$D$2738,$F200)="","",INDEX(選手一覧!$D$7:$D$2738,$F200))</f>
        <v>0.0106498842592593</v>
      </c>
      <c r="H200" s="17" t="n">
        <f aca="false">IF(INDEX(選手一覧!$E$7:$E$2738,$F200)="","",INDEX(選手一覧!$E$7:$E$2738,$F200))</f>
        <v>525</v>
      </c>
      <c r="I200" s="16" t="n">
        <f aca="false">IF(INDEX(選手一覧!$J$7:$J$2738,$F200)="","",INDEX(選手一覧!$J$7:$J$2738,$F200))</f>
        <v>0.00289097222222222</v>
      </c>
      <c r="J200" s="17" t="n">
        <f aca="false">IF(INDEX(選手一覧!$K$7:$K$2738,$F200)="","",INDEX(選手一覧!$K$7:$K$2738,$F200))</f>
        <v>875</v>
      </c>
    </row>
    <row r="201" customFormat="false" ht="15" hidden="false" customHeight="false" outlineLevel="0" collapsed="false">
      <c r="A201" s="17" t="n">
        <v>197</v>
      </c>
      <c r="B201" s="12" t="s">
        <v>992</v>
      </c>
      <c r="C201" s="12" t="s">
        <v>316</v>
      </c>
      <c r="D201" s="16" t="n">
        <v>0.00684027777777778</v>
      </c>
      <c r="E201" s="15" t="n">
        <f aca="false">ROUND((D201-$D$5)*86400,2)</f>
        <v>51.98</v>
      </c>
      <c r="F201" s="17" t="n">
        <v>571</v>
      </c>
      <c r="G201" s="16" t="n">
        <f aca="false">IF(INDEX(選手一覧!$D$7:$D$2738,$F201)="","",INDEX(選手一覧!$D$7:$D$2738,$F201))</f>
        <v>0.0106954861111111</v>
      </c>
      <c r="H201" s="17" t="n">
        <f aca="false">IF(INDEX(選手一覧!$E$7:$E$2738,$F201)="","",INDEX(選手一覧!$E$7:$E$2738,$F201))</f>
        <v>572</v>
      </c>
      <c r="I201" s="16" t="str">
        <f aca="false">IF(INDEX(選手一覧!$J$7:$J$2738,$F201)="","",INDEX(選手一覧!$J$7:$J$2738,$F201))</f>
        <v/>
      </c>
      <c r="J201" s="17" t="str">
        <f aca="false">IF(INDEX(選手一覧!$K$7:$K$2738,$F201)="","",INDEX(選手一覧!$K$7:$K$2738,$F201))</f>
        <v/>
      </c>
    </row>
    <row r="202" customFormat="false" ht="15" hidden="false" customHeight="false" outlineLevel="0" collapsed="false">
      <c r="A202" s="17" t="n">
        <v>198</v>
      </c>
      <c r="B202" s="12" t="s">
        <v>2122</v>
      </c>
      <c r="C202" s="12" t="s">
        <v>285</v>
      </c>
      <c r="D202" s="16" t="n">
        <v>0.00684363425925926</v>
      </c>
      <c r="E202" s="15" t="n">
        <f aca="false">ROUND((D202-$D$5)*86400,2)</f>
        <v>52.27</v>
      </c>
      <c r="F202" s="17" t="n">
        <v>1347</v>
      </c>
      <c r="G202" s="16" t="str">
        <f aca="false">IF(INDEX(選手一覧!$D$7:$D$2738,$F202)="","",INDEX(選手一覧!$D$7:$D$2738,$F202))</f>
        <v/>
      </c>
      <c r="H202" s="17" t="str">
        <f aca="false">IF(INDEX(選手一覧!$E$7:$E$2738,$F202)="","",INDEX(選手一覧!$E$7:$E$2738,$F202))</f>
        <v/>
      </c>
      <c r="I202" s="16" t="str">
        <f aca="false">IF(INDEX(選手一覧!$J$7:$J$2738,$F202)="","",INDEX(選手一覧!$J$7:$J$2738,$F202))</f>
        <v/>
      </c>
      <c r="J202" s="17" t="str">
        <f aca="false">IF(INDEX(選手一覧!$K$7:$K$2738,$F202)="","",INDEX(選手一覧!$K$7:$K$2738,$F202))</f>
        <v/>
      </c>
    </row>
    <row r="203" customFormat="false" ht="15" hidden="false" customHeight="false" outlineLevel="0" collapsed="false">
      <c r="A203" s="17" t="n">
        <v>199</v>
      </c>
      <c r="B203" s="12" t="s">
        <v>2123</v>
      </c>
      <c r="C203" s="12" t="s">
        <v>288</v>
      </c>
      <c r="D203" s="16" t="n">
        <v>0.00684398148148148</v>
      </c>
      <c r="E203" s="15" t="n">
        <f aca="false">ROUND((D203-$D$5)*86400,2)</f>
        <v>52.3</v>
      </c>
      <c r="F203" s="17" t="n">
        <v>1348</v>
      </c>
      <c r="G203" s="16" t="str">
        <f aca="false">IF(INDEX(選手一覧!$D$7:$D$2738,$F203)="","",INDEX(選手一覧!$D$7:$D$2738,$F203))</f>
        <v/>
      </c>
      <c r="H203" s="17" t="str">
        <f aca="false">IF(INDEX(選手一覧!$E$7:$E$2738,$F203)="","",INDEX(選手一覧!$E$7:$E$2738,$F203))</f>
        <v/>
      </c>
      <c r="I203" s="16" t="str">
        <f aca="false">IF(INDEX(選手一覧!$J$7:$J$2738,$F203)="","",INDEX(選手一覧!$J$7:$J$2738,$F203))</f>
        <v/>
      </c>
      <c r="J203" s="17" t="str">
        <f aca="false">IF(INDEX(選手一覧!$K$7:$K$2738,$F203)="","",INDEX(選手一覧!$K$7:$K$2738,$F203))</f>
        <v/>
      </c>
    </row>
    <row r="204" customFormat="false" ht="15" hidden="false" customHeight="false" outlineLevel="0" collapsed="false">
      <c r="A204" s="17" t="n">
        <v>200</v>
      </c>
      <c r="B204" s="12" t="s">
        <v>1398</v>
      </c>
      <c r="C204" s="12" t="s">
        <v>1399</v>
      </c>
      <c r="D204" s="16" t="n">
        <v>0.00684479166666667</v>
      </c>
      <c r="E204" s="15" t="n">
        <f aca="false">ROUND((D204-$D$5)*86400,2)</f>
        <v>52.37</v>
      </c>
      <c r="F204" s="17" t="n">
        <v>846</v>
      </c>
      <c r="G204" s="16" t="n">
        <f aca="false">IF(INDEX(選手一覧!$D$7:$D$2738,$F204)="","",INDEX(選手一覧!$D$7:$D$2738,$F204))</f>
        <v>0.0108596064814815</v>
      </c>
      <c r="H204" s="17" t="n">
        <f aca="false">IF(INDEX(選手一覧!$E$7:$E$2738,$F204)="","",INDEX(選手一覧!$E$7:$E$2738,$F204))</f>
        <v>847</v>
      </c>
      <c r="I204" s="16" t="n">
        <f aca="false">IF(INDEX(選手一覧!$J$7:$J$2738,$F204)="","",INDEX(選手一覧!$J$7:$J$2738,$F204))</f>
        <v>0.00286238425925926</v>
      </c>
      <c r="J204" s="17" t="n">
        <f aca="false">IF(INDEX(選手一覧!$K$7:$K$2738,$F204)="","",INDEX(選手一覧!$K$7:$K$2738,$F204))</f>
        <v>650</v>
      </c>
    </row>
    <row r="205" customFormat="false" ht="15" hidden="false" customHeight="false" outlineLevel="0" collapsed="false">
      <c r="A205" s="17" t="n">
        <v>201</v>
      </c>
      <c r="B205" s="12" t="s">
        <v>1187</v>
      </c>
      <c r="C205" s="12" t="s">
        <v>1188</v>
      </c>
      <c r="D205" s="16" t="n">
        <v>0.00684710648148148</v>
      </c>
      <c r="E205" s="15" t="n">
        <f aca="false">ROUND((D205-$D$5)*86400,2)</f>
        <v>52.57</v>
      </c>
      <c r="F205" s="17" t="n">
        <v>705</v>
      </c>
      <c r="G205" s="16" t="n">
        <f aca="false">IF(INDEX(選手一覧!$D$7:$D$2738,$F205)="","",INDEX(選手一覧!$D$7:$D$2738,$F205))</f>
        <v>0.0107795138888889</v>
      </c>
      <c r="H205" s="17" t="n">
        <f aca="false">IF(INDEX(選手一覧!$E$7:$E$2738,$F205)="","",INDEX(選手一覧!$E$7:$E$2738,$F205))</f>
        <v>706</v>
      </c>
      <c r="I205" s="16" t="n">
        <f aca="false">IF(INDEX(選手一覧!$J$7:$J$2738,$F205)="","",INDEX(選手一覧!$J$7:$J$2738,$F205))</f>
        <v>0.00284722222222222</v>
      </c>
      <c r="J205" s="17" t="n">
        <f aca="false">IF(INDEX(選手一覧!$K$7:$K$2738,$F205)="","",INDEX(選手一覧!$K$7:$K$2738,$F205))</f>
        <v>552</v>
      </c>
    </row>
    <row r="206" customFormat="false" ht="15" hidden="false" customHeight="false" outlineLevel="0" collapsed="false">
      <c r="A206" s="17" t="n">
        <v>202</v>
      </c>
      <c r="B206" s="12" t="s">
        <v>2124</v>
      </c>
      <c r="C206" s="12" t="s">
        <v>2125</v>
      </c>
      <c r="D206" s="16" t="n">
        <v>0.00684768518518519</v>
      </c>
      <c r="E206" s="15" t="n">
        <f aca="false">ROUND((D206-$D$5)*86400,2)</f>
        <v>52.62</v>
      </c>
      <c r="F206" s="17" t="n">
        <v>1349</v>
      </c>
      <c r="G206" s="16" t="str">
        <f aca="false">IF(INDEX(選手一覧!$D$7:$D$2738,$F206)="","",INDEX(選手一覧!$D$7:$D$2738,$F206))</f>
        <v/>
      </c>
      <c r="H206" s="17" t="str">
        <f aca="false">IF(INDEX(選手一覧!$E$7:$E$2738,$F206)="","",INDEX(選手一覧!$E$7:$E$2738,$F206))</f>
        <v/>
      </c>
      <c r="I206" s="16" t="str">
        <f aca="false">IF(INDEX(選手一覧!$J$7:$J$2738,$F206)="","",INDEX(選手一覧!$J$7:$J$2738,$F206))</f>
        <v/>
      </c>
      <c r="J206" s="17" t="str">
        <f aca="false">IF(INDEX(選手一覧!$K$7:$K$2738,$F206)="","",INDEX(選手一覧!$K$7:$K$2738,$F206))</f>
        <v/>
      </c>
    </row>
    <row r="207" customFormat="false" ht="15" hidden="false" customHeight="false" outlineLevel="0" collapsed="false">
      <c r="A207" s="17" t="n">
        <v>203</v>
      </c>
      <c r="B207" s="12" t="s">
        <v>1419</v>
      </c>
      <c r="C207" s="12" t="s">
        <v>1420</v>
      </c>
      <c r="D207" s="16" t="n">
        <v>0.00684953703703704</v>
      </c>
      <c r="E207" s="15" t="n">
        <f aca="false">ROUND((D207-$D$5)*86400,2)</f>
        <v>52.78</v>
      </c>
      <c r="F207" s="17" t="n">
        <v>859</v>
      </c>
      <c r="G207" s="16" t="n">
        <f aca="false">IF(INDEX(選手一覧!$D$7:$D$2738,$F207)="","",INDEX(選手一覧!$D$7:$D$2738,$F207))</f>
        <v>0.0108645833333333</v>
      </c>
      <c r="H207" s="17" t="n">
        <f aca="false">IF(INDEX(選手一覧!$E$7:$E$2738,$F207)="","",INDEX(選手一覧!$E$7:$E$2738,$F207))</f>
        <v>860</v>
      </c>
      <c r="I207" s="16" t="n">
        <f aca="false">IF(INDEX(選手一覧!$J$7:$J$2738,$F207)="","",INDEX(選手一覧!$J$7:$J$2738,$F207))</f>
        <v>0.00284097222222222</v>
      </c>
      <c r="J207" s="17" t="n">
        <f aca="false">IF(INDEX(選手一覧!$K$7:$K$2738,$F207)="","",INDEX(選手一覧!$K$7:$K$2738,$F207))</f>
        <v>506</v>
      </c>
    </row>
    <row r="208" customFormat="false" ht="15" hidden="false" customHeight="false" outlineLevel="0" collapsed="false">
      <c r="A208" s="17" t="n">
        <v>204</v>
      </c>
      <c r="B208" s="12" t="s">
        <v>2127</v>
      </c>
      <c r="C208" s="12" t="s">
        <v>1166</v>
      </c>
      <c r="D208" s="16" t="n">
        <v>0.00685393518518518</v>
      </c>
      <c r="E208" s="15" t="n">
        <f aca="false">ROUND((D208-$D$5)*86400,2)</f>
        <v>53.16</v>
      </c>
      <c r="F208" s="17" t="n">
        <v>1350</v>
      </c>
      <c r="G208" s="16" t="str">
        <f aca="false">IF(INDEX(選手一覧!$D$7:$D$2738,$F208)="","",INDEX(選手一覧!$D$7:$D$2738,$F208))</f>
        <v/>
      </c>
      <c r="H208" s="17" t="str">
        <f aca="false">IF(INDEX(選手一覧!$E$7:$E$2738,$F208)="","",INDEX(選手一覧!$E$7:$E$2738,$F208))</f>
        <v/>
      </c>
      <c r="I208" s="16" t="str">
        <f aca="false">IF(INDEX(選手一覧!$J$7:$J$2738,$F208)="","",INDEX(選手一覧!$J$7:$J$2738,$F208))</f>
        <v/>
      </c>
      <c r="J208" s="17" t="str">
        <f aca="false">IF(INDEX(選手一覧!$K$7:$K$2738,$F208)="","",INDEX(選手一覧!$K$7:$K$2738,$F208))</f>
        <v/>
      </c>
    </row>
    <row r="209" customFormat="false" ht="15" hidden="false" customHeight="false" outlineLevel="0" collapsed="false">
      <c r="A209" s="17" t="n">
        <v>205</v>
      </c>
      <c r="B209" s="12" t="s">
        <v>1754</v>
      </c>
      <c r="C209" s="12" t="s">
        <v>846</v>
      </c>
      <c r="D209" s="16" t="n">
        <v>0.0068556712962963</v>
      </c>
      <c r="E209" s="15" t="n">
        <f aca="false">ROUND((D209-$D$5)*86400,2)</f>
        <v>53.31</v>
      </c>
      <c r="F209" s="17" t="n">
        <v>1084</v>
      </c>
      <c r="G209" s="16" t="n">
        <f aca="false">IF(INDEX(選手一覧!$D$7:$D$2738,$F209)="","",INDEX(選手一覧!$D$7:$D$2738,$F209))</f>
        <v>0.0109927083333333</v>
      </c>
      <c r="H209" s="17" t="n">
        <f aca="false">IF(INDEX(選手一覧!$E$7:$E$2738,$F209)="","",INDEX(選手一覧!$E$7:$E$2738,$F209))</f>
        <v>1085</v>
      </c>
      <c r="I209" s="16" t="str">
        <f aca="false">IF(INDEX(選手一覧!$J$7:$J$2738,$F209)="","",INDEX(選手一覧!$J$7:$J$2738,$F209))</f>
        <v/>
      </c>
      <c r="J209" s="17" t="str">
        <f aca="false">IF(INDEX(選手一覧!$K$7:$K$2738,$F209)="","",INDEX(選手一覧!$K$7:$K$2738,$F209))</f>
        <v/>
      </c>
    </row>
    <row r="210" customFormat="false" ht="15" hidden="false" customHeight="false" outlineLevel="0" collapsed="false">
      <c r="A210" s="17" t="n">
        <v>206</v>
      </c>
      <c r="B210" s="12" t="s">
        <v>1373</v>
      </c>
      <c r="C210" s="12" t="s">
        <v>167</v>
      </c>
      <c r="D210" s="16" t="n">
        <v>0.00685613425925926</v>
      </c>
      <c r="E210" s="15" t="n">
        <f aca="false">ROUND((D210-$D$5)*86400,2)</f>
        <v>53.35</v>
      </c>
      <c r="F210" s="17" t="n">
        <v>829</v>
      </c>
      <c r="G210" s="16" t="n">
        <f aca="false">IF(INDEX(選手一覧!$D$7:$D$2738,$F210)="","",INDEX(選手一覧!$D$7:$D$2738,$F210))</f>
        <v>0.0108479166666667</v>
      </c>
      <c r="H210" s="17" t="n">
        <f aca="false">IF(INDEX(選手一覧!$E$7:$E$2738,$F210)="","",INDEX(選手一覧!$E$7:$E$2738,$F210))</f>
        <v>830</v>
      </c>
      <c r="I210" s="16" t="n">
        <f aca="false">IF(INDEX(選手一覧!$J$7:$J$2738,$F210)="","",INDEX(選手一覧!$J$7:$J$2738,$F210))</f>
        <v>0.00282800925925926</v>
      </c>
      <c r="J210" s="17" t="n">
        <f aca="false">IF(INDEX(選手一覧!$K$7:$K$2738,$F210)="","",INDEX(選手一覧!$K$7:$K$2738,$F210))</f>
        <v>410</v>
      </c>
    </row>
    <row r="211" customFormat="false" ht="15" hidden="false" customHeight="false" outlineLevel="0" collapsed="false">
      <c r="A211" s="17" t="n">
        <v>207</v>
      </c>
      <c r="B211" s="12" t="s">
        <v>1407</v>
      </c>
      <c r="C211" s="12" t="s">
        <v>415</v>
      </c>
      <c r="D211" s="16" t="n">
        <v>0.00685671296296296</v>
      </c>
      <c r="E211" s="15" t="n">
        <f aca="false">ROUND((D211-$D$5)*86400,2)</f>
        <v>53.4</v>
      </c>
      <c r="F211" s="17" t="n">
        <v>852</v>
      </c>
      <c r="G211" s="16" t="n">
        <f aca="false">IF(INDEX(選手一覧!$D$7:$D$2738,$F211)="","",INDEX(選手一覧!$D$7:$D$2738,$F211))</f>
        <v>0.0108614583333333</v>
      </c>
      <c r="H211" s="17" t="n">
        <f aca="false">IF(INDEX(選手一覧!$E$7:$E$2738,$F211)="","",INDEX(選手一覧!$E$7:$E$2738,$F211))</f>
        <v>853</v>
      </c>
      <c r="I211" s="16" t="str">
        <f aca="false">IF(INDEX(選手一覧!$J$7:$J$2738,$F211)="","",INDEX(選手一覧!$J$7:$J$2738,$F211))</f>
        <v/>
      </c>
      <c r="J211" s="17" t="str">
        <f aca="false">IF(INDEX(選手一覧!$K$7:$K$2738,$F211)="","",INDEX(選手一覧!$K$7:$K$2738,$F211))</f>
        <v/>
      </c>
    </row>
    <row r="212" customFormat="false" ht="15" hidden="false" customHeight="false" outlineLevel="0" collapsed="false">
      <c r="A212" s="17" t="n">
        <v>208</v>
      </c>
      <c r="B212" s="12" t="s">
        <v>2131</v>
      </c>
      <c r="C212" s="12" t="s">
        <v>2132</v>
      </c>
      <c r="D212" s="16" t="n">
        <v>0.00685810185185185</v>
      </c>
      <c r="E212" s="15" t="n">
        <f aca="false">ROUND((D212-$D$5)*86400,2)</f>
        <v>53.52</v>
      </c>
      <c r="F212" s="17" t="n">
        <v>1352</v>
      </c>
      <c r="G212" s="16" t="str">
        <f aca="false">IF(INDEX(選手一覧!$D$7:$D$2738,$F212)="","",INDEX(選手一覧!$D$7:$D$2738,$F212))</f>
        <v/>
      </c>
      <c r="H212" s="17" t="str">
        <f aca="false">IF(INDEX(選手一覧!$E$7:$E$2738,$F212)="","",INDEX(選手一覧!$E$7:$E$2738,$F212))</f>
        <v/>
      </c>
      <c r="I212" s="16" t="str">
        <f aca="false">IF(INDEX(選手一覧!$J$7:$J$2738,$F212)="","",INDEX(選手一覧!$J$7:$J$2738,$F212))</f>
        <v/>
      </c>
      <c r="J212" s="17" t="str">
        <f aca="false">IF(INDEX(選手一覧!$K$7:$K$2738,$F212)="","",INDEX(選手一覧!$K$7:$K$2738,$F212))</f>
        <v/>
      </c>
    </row>
    <row r="213" customFormat="false" ht="15" hidden="false" customHeight="false" outlineLevel="0" collapsed="false">
      <c r="A213" s="17" t="n">
        <v>209</v>
      </c>
      <c r="B213" s="12" t="s">
        <v>1529</v>
      </c>
      <c r="C213" s="12" t="s">
        <v>910</v>
      </c>
      <c r="D213" s="16" t="n">
        <v>0.00685810185185185</v>
      </c>
      <c r="E213" s="15" t="n">
        <f aca="false">ROUND((D213-$D$5)*86400,2)</f>
        <v>53.52</v>
      </c>
      <c r="F213" s="17" t="n">
        <v>930</v>
      </c>
      <c r="G213" s="16" t="n">
        <f aca="false">IF(INDEX(選手一覧!$D$7:$D$2738,$F213)="","",INDEX(選手一覧!$D$7:$D$2738,$F213))</f>
        <v>0.0109069444444444</v>
      </c>
      <c r="H213" s="17" t="n">
        <f aca="false">IF(INDEX(選手一覧!$E$7:$E$2738,$F213)="","",INDEX(選手一覧!$E$7:$E$2738,$F213))</f>
        <v>931</v>
      </c>
      <c r="I213" s="16" t="n">
        <f aca="false">IF(INDEX(選手一覧!$J$7:$J$2738,$F213)="","",INDEX(選手一覧!$J$7:$J$2738,$F213))</f>
        <v>0.00278680555555556</v>
      </c>
      <c r="J213" s="17" t="n">
        <f aca="false">IF(INDEX(選手一覧!$K$7:$K$2738,$F213)="","",INDEX(選手一覧!$K$7:$K$2738,$F213))</f>
        <v>229</v>
      </c>
    </row>
    <row r="214" customFormat="false" ht="15" hidden="false" customHeight="false" outlineLevel="0" collapsed="false">
      <c r="A214" s="17" t="n">
        <v>210</v>
      </c>
      <c r="B214" s="12" t="s">
        <v>1361</v>
      </c>
      <c r="C214" s="12" t="s">
        <v>559</v>
      </c>
      <c r="D214" s="16" t="n">
        <v>0.00686076388888889</v>
      </c>
      <c r="E214" s="15" t="n">
        <f aca="false">ROUND((D214-$D$5)*86400,2)</f>
        <v>53.75</v>
      </c>
      <c r="F214" s="17" t="n">
        <v>822</v>
      </c>
      <c r="G214" s="16" t="n">
        <f aca="false">IF(INDEX(選手一覧!$D$7:$D$2738,$F214)="","",INDEX(選手一覧!$D$7:$D$2738,$F214))</f>
        <v>0.0108439814814815</v>
      </c>
      <c r="H214" s="17" t="n">
        <f aca="false">IF(INDEX(選手一覧!$E$7:$E$2738,$F214)="","",INDEX(選手一覧!$E$7:$E$2738,$F214))</f>
        <v>823</v>
      </c>
      <c r="I214" s="16" t="n">
        <f aca="false">IF(INDEX(選手一覧!$J$7:$J$2738,$F214)="","",INDEX(選手一覧!$J$7:$J$2738,$F214))</f>
        <v>0.00279305555555556</v>
      </c>
      <c r="J214" s="17" t="n">
        <f aca="false">IF(INDEX(選手一覧!$K$7:$K$2738,$F214)="","",INDEX(選手一覧!$K$7:$K$2738,$F214))</f>
        <v>250</v>
      </c>
    </row>
    <row r="215" customFormat="false" ht="15" hidden="false" customHeight="false" outlineLevel="0" collapsed="false">
      <c r="A215" s="17" t="n">
        <v>211</v>
      </c>
      <c r="B215" s="12" t="s">
        <v>513</v>
      </c>
      <c r="C215" s="12" t="s">
        <v>25</v>
      </c>
      <c r="D215" s="16" t="n">
        <v>0.00686087962962963</v>
      </c>
      <c r="E215" s="15" t="n">
        <f aca="false">ROUND((D215-$D$5)*86400,2)</f>
        <v>53.76</v>
      </c>
      <c r="F215" s="17" t="n">
        <v>269</v>
      </c>
      <c r="G215" s="16" t="n">
        <f aca="false">IF(INDEX(選手一覧!$D$7:$D$2738,$F215)="","",INDEX(選手一覧!$D$7:$D$2738,$F215))</f>
        <v>0.01040625</v>
      </c>
      <c r="H215" s="17" t="n">
        <f aca="false">IF(INDEX(選手一覧!$E$7:$E$2738,$F215)="","",INDEX(選手一覧!$E$7:$E$2738,$F215))</f>
        <v>270</v>
      </c>
      <c r="I215" s="16" t="n">
        <f aca="false">IF(INDEX(選手一覧!$J$7:$J$2738,$F215)="","",INDEX(選手一覧!$J$7:$J$2738,$F215))</f>
        <v>0.00291875</v>
      </c>
      <c r="J215" s="17" t="n">
        <f aca="false">IF(INDEX(選手一覧!$K$7:$K$2738,$F215)="","",INDEX(選手一覧!$K$7:$K$2738,$F215))</f>
        <v>1080</v>
      </c>
    </row>
    <row r="216" customFormat="false" ht="15" hidden="false" customHeight="false" outlineLevel="0" collapsed="false">
      <c r="A216" s="17" t="n">
        <v>212</v>
      </c>
      <c r="B216" s="12" t="s">
        <v>676</v>
      </c>
      <c r="C216" s="12" t="s">
        <v>115</v>
      </c>
      <c r="D216" s="16" t="n">
        <v>0.0068619212962963</v>
      </c>
      <c r="E216" s="15" t="n">
        <f aca="false">ROUND((D216-$D$5)*86400,2)</f>
        <v>53.85</v>
      </c>
      <c r="F216" s="17" t="n">
        <v>371</v>
      </c>
      <c r="G216" s="16" t="n">
        <f aca="false">IF(INDEX(選手一覧!$D$7:$D$2738,$F216)="","",INDEX(選手一覧!$D$7:$D$2738,$F216))</f>
        <v>0.0105300925925926</v>
      </c>
      <c r="H216" s="17" t="n">
        <f aca="false">IF(INDEX(選手一覧!$E$7:$E$2738,$F216)="","",INDEX(選手一覧!$E$7:$E$2738,$F216))</f>
        <v>372</v>
      </c>
      <c r="I216" s="16" t="n">
        <f aca="false">IF(INDEX(選手一覧!$J$7:$J$2738,$F216)="","",INDEX(選手一覧!$J$7:$J$2738,$F216))</f>
        <v>0.00280393518518519</v>
      </c>
      <c r="J216" s="17" t="n">
        <f aca="false">IF(INDEX(選手一覧!$K$7:$K$2738,$F216)="","",INDEX(選手一覧!$K$7:$K$2738,$F216))</f>
        <v>299</v>
      </c>
    </row>
    <row r="217" customFormat="false" ht="15" hidden="false" customHeight="false" outlineLevel="0" collapsed="false">
      <c r="A217" s="17" t="n">
        <v>213</v>
      </c>
      <c r="B217" s="12" t="s">
        <v>2134</v>
      </c>
      <c r="C217" s="12" t="s">
        <v>2135</v>
      </c>
      <c r="D217" s="16" t="n">
        <v>0.00686296296296296</v>
      </c>
      <c r="E217" s="15" t="n">
        <f aca="false">ROUND((D217-$D$5)*86400,2)</f>
        <v>53.94</v>
      </c>
      <c r="F217" s="17" t="n">
        <v>1354</v>
      </c>
      <c r="G217" s="16" t="str">
        <f aca="false">IF(INDEX(選手一覧!$D$7:$D$2738,$F217)="","",INDEX(選手一覧!$D$7:$D$2738,$F217))</f>
        <v/>
      </c>
      <c r="H217" s="17" t="str">
        <f aca="false">IF(INDEX(選手一覧!$E$7:$E$2738,$F217)="","",INDEX(選手一覧!$E$7:$E$2738,$F217))</f>
        <v/>
      </c>
      <c r="I217" s="16" t="str">
        <f aca="false">IF(INDEX(選手一覧!$J$7:$J$2738,$F217)="","",INDEX(選手一覧!$J$7:$J$2738,$F217))</f>
        <v/>
      </c>
      <c r="J217" s="17" t="str">
        <f aca="false">IF(INDEX(選手一覧!$K$7:$K$2738,$F217)="","",INDEX(選手一覧!$K$7:$K$2738,$F217))</f>
        <v/>
      </c>
    </row>
    <row r="218" customFormat="false" ht="15" hidden="false" customHeight="false" outlineLevel="0" collapsed="false">
      <c r="A218" s="17" t="n">
        <v>214</v>
      </c>
      <c r="B218" s="12" t="s">
        <v>954</v>
      </c>
      <c r="C218" s="12" t="s">
        <v>537</v>
      </c>
      <c r="D218" s="16" t="n">
        <v>0.0068630787037037</v>
      </c>
      <c r="E218" s="15" t="n">
        <f aca="false">ROUND((D218-$D$5)*86400,2)</f>
        <v>53.95</v>
      </c>
      <c r="F218" s="17" t="n">
        <v>544</v>
      </c>
      <c r="G218" s="16" t="n">
        <f aca="false">IF(INDEX(選手一覧!$D$7:$D$2738,$F218)="","",INDEX(選手一覧!$D$7:$D$2738,$F218))</f>
        <v>0.0106689814814815</v>
      </c>
      <c r="H218" s="17" t="n">
        <f aca="false">IF(INDEX(選手一覧!$E$7:$E$2738,$F218)="","",INDEX(選手一覧!$E$7:$E$2738,$F218))</f>
        <v>545</v>
      </c>
      <c r="I218" s="16" t="n">
        <f aca="false">IF(INDEX(選手一覧!$J$7:$J$2738,$F218)="","",INDEX(選手一覧!$J$7:$J$2738,$F218))</f>
        <v>0.0028525462962963</v>
      </c>
      <c r="J218" s="17" t="n">
        <f aca="false">IF(INDEX(選手一覧!$K$7:$K$2738,$F218)="","",INDEX(選手一覧!$K$7:$K$2738,$F218))</f>
        <v>583</v>
      </c>
    </row>
    <row r="219" customFormat="false" ht="15" hidden="false" customHeight="false" outlineLevel="0" collapsed="false">
      <c r="A219" s="17" t="n">
        <v>215</v>
      </c>
      <c r="B219" s="12" t="s">
        <v>1940</v>
      </c>
      <c r="C219" s="12" t="s">
        <v>380</v>
      </c>
      <c r="D219" s="16" t="n">
        <v>0.00686655092592593</v>
      </c>
      <c r="E219" s="15" t="n">
        <f aca="false">ROUND((D219-$D$5)*86400,2)</f>
        <v>54.25</v>
      </c>
      <c r="F219" s="17" t="n">
        <v>1212</v>
      </c>
      <c r="G219" s="16" t="n">
        <f aca="false">IF(INDEX(選手一覧!$D$7:$D$2738,$F219)="","",INDEX(選手一覧!$D$7:$D$2738,$F219))</f>
        <v>0.0110579861111111</v>
      </c>
      <c r="H219" s="17" t="n">
        <f aca="false">IF(INDEX(選手一覧!$E$7:$E$2738,$F219)="","",INDEX(選手一覧!$E$7:$E$2738,$F219))</f>
        <v>1213</v>
      </c>
      <c r="I219" s="16" t="str">
        <f aca="false">IF(INDEX(選手一覧!$J$7:$J$2738,$F219)="","",INDEX(選手一覧!$J$7:$J$2738,$F219))</f>
        <v/>
      </c>
      <c r="J219" s="17" t="str">
        <f aca="false">IF(INDEX(選手一覧!$K$7:$K$2738,$F219)="","",INDEX(選手一覧!$K$7:$K$2738,$F219))</f>
        <v/>
      </c>
    </row>
    <row r="220" customFormat="false" ht="15" hidden="false" customHeight="false" outlineLevel="0" collapsed="false">
      <c r="A220" s="17" t="n">
        <v>216</v>
      </c>
      <c r="B220" s="12" t="s">
        <v>2136</v>
      </c>
      <c r="C220" s="12" t="s">
        <v>2137</v>
      </c>
      <c r="D220" s="16" t="n">
        <v>0.00686701388888889</v>
      </c>
      <c r="E220" s="15" t="n">
        <f aca="false">ROUND((D220-$D$5)*86400,2)</f>
        <v>54.29</v>
      </c>
      <c r="F220" s="17" t="n">
        <v>1355</v>
      </c>
      <c r="G220" s="16" t="str">
        <f aca="false">IF(INDEX(選手一覧!$D$7:$D$2738,$F220)="","",INDEX(選手一覧!$D$7:$D$2738,$F220))</f>
        <v/>
      </c>
      <c r="H220" s="17" t="str">
        <f aca="false">IF(INDEX(選手一覧!$E$7:$E$2738,$F220)="","",INDEX(選手一覧!$E$7:$E$2738,$F220))</f>
        <v/>
      </c>
      <c r="I220" s="16" t="str">
        <f aca="false">IF(INDEX(選手一覧!$J$7:$J$2738,$F220)="","",INDEX(選手一覧!$J$7:$J$2738,$F220))</f>
        <v/>
      </c>
      <c r="J220" s="17" t="str">
        <f aca="false">IF(INDEX(選手一覧!$K$7:$K$2738,$F220)="","",INDEX(選手一覧!$K$7:$K$2738,$F220))</f>
        <v/>
      </c>
    </row>
    <row r="221" customFormat="false" ht="15" hidden="false" customHeight="false" outlineLevel="0" collapsed="false">
      <c r="A221" s="17" t="n">
        <v>217</v>
      </c>
      <c r="B221" s="12" t="s">
        <v>2138</v>
      </c>
      <c r="C221" s="12" t="s">
        <v>2139</v>
      </c>
      <c r="D221" s="16" t="n">
        <v>0.00686840277777778</v>
      </c>
      <c r="E221" s="15" t="n">
        <f aca="false">ROUND((D221-$D$5)*86400,2)</f>
        <v>54.41</v>
      </c>
      <c r="F221" s="17" t="n">
        <v>1356</v>
      </c>
      <c r="G221" s="16" t="str">
        <f aca="false">IF(INDEX(選手一覧!$D$7:$D$2738,$F221)="","",INDEX(選手一覧!$D$7:$D$2738,$F221))</f>
        <v/>
      </c>
      <c r="H221" s="17" t="str">
        <f aca="false">IF(INDEX(選手一覧!$E$7:$E$2738,$F221)="","",INDEX(選手一覧!$E$7:$E$2738,$F221))</f>
        <v/>
      </c>
      <c r="I221" s="16" t="str">
        <f aca="false">IF(INDEX(選手一覧!$J$7:$J$2738,$F221)="","",INDEX(選手一覧!$J$7:$J$2738,$F221))</f>
        <v/>
      </c>
      <c r="J221" s="17" t="str">
        <f aca="false">IF(INDEX(選手一覧!$K$7:$K$2738,$F221)="","",INDEX(選手一覧!$K$7:$K$2738,$F221))</f>
        <v/>
      </c>
    </row>
    <row r="222" customFormat="false" ht="15" hidden="false" customHeight="false" outlineLevel="0" collapsed="false">
      <c r="A222" s="17" t="n">
        <v>218</v>
      </c>
      <c r="B222" s="12" t="s">
        <v>1928</v>
      </c>
      <c r="C222" s="12" t="s">
        <v>1929</v>
      </c>
      <c r="D222" s="16" t="n">
        <v>0.00686990740740741</v>
      </c>
      <c r="E222" s="15" t="n">
        <f aca="false">ROUND((D222-$D$5)*86400,2)</f>
        <v>54.54</v>
      </c>
      <c r="F222" s="17" t="n">
        <v>1205</v>
      </c>
      <c r="G222" s="16" t="n">
        <f aca="false">IF(INDEX(選手一覧!$D$7:$D$2738,$F222)="","",INDEX(選手一覧!$D$7:$D$2738,$F222))</f>
        <v>0.0110537037037037</v>
      </c>
      <c r="H222" s="17" t="n">
        <f aca="false">IF(INDEX(選手一覧!$E$7:$E$2738,$F222)="","",INDEX(選手一覧!$E$7:$E$2738,$F222))</f>
        <v>1206</v>
      </c>
      <c r="I222" s="16" t="str">
        <f aca="false">IF(INDEX(選手一覧!$J$7:$J$2738,$F222)="","",INDEX(選手一覧!$J$7:$J$2738,$F222))</f>
        <v/>
      </c>
      <c r="J222" s="17" t="str">
        <f aca="false">IF(INDEX(選手一覧!$K$7:$K$2738,$F222)="","",INDEX(選手一覧!$K$7:$K$2738,$F222))</f>
        <v/>
      </c>
    </row>
    <row r="223" customFormat="false" ht="15" hidden="false" customHeight="false" outlineLevel="0" collapsed="false">
      <c r="A223" s="17" t="n">
        <v>219</v>
      </c>
      <c r="B223" s="12" t="s">
        <v>836</v>
      </c>
      <c r="C223" s="12" t="s">
        <v>281</v>
      </c>
      <c r="D223" s="16" t="n">
        <v>0.0068724537037037</v>
      </c>
      <c r="E223" s="15" t="n">
        <f aca="false">ROUND((D223-$D$5)*86400,2)</f>
        <v>54.76</v>
      </c>
      <c r="F223" s="17" t="n">
        <v>474</v>
      </c>
      <c r="G223" s="16" t="n">
        <f aca="false">IF(INDEX(選手一覧!$D$7:$D$2738,$F223)="","",INDEX(選手一覧!$D$7:$D$2738,$F223))</f>
        <v>0.0106106481481482</v>
      </c>
      <c r="H223" s="17" t="n">
        <f aca="false">IF(INDEX(選手一覧!$E$7:$E$2738,$F223)="","",INDEX(選手一覧!$E$7:$E$2738,$F223))</f>
        <v>475</v>
      </c>
      <c r="I223" s="16" t="str">
        <f aca="false">IF(INDEX(選手一覧!$J$7:$J$2738,$F223)="","",INDEX(選手一覧!$J$7:$J$2738,$F223))</f>
        <v/>
      </c>
      <c r="J223" s="17" t="str">
        <f aca="false">IF(INDEX(選手一覧!$K$7:$K$2738,$F223)="","",INDEX(選手一覧!$K$7:$K$2738,$F223))</f>
        <v/>
      </c>
    </row>
    <row r="224" customFormat="false" ht="15" hidden="false" customHeight="false" outlineLevel="0" collapsed="false">
      <c r="A224" s="17" t="n">
        <v>220</v>
      </c>
      <c r="B224" s="12" t="s">
        <v>1537</v>
      </c>
      <c r="C224" s="12" t="s">
        <v>1538</v>
      </c>
      <c r="D224" s="16" t="n">
        <v>0.00687256944444444</v>
      </c>
      <c r="E224" s="15" t="n">
        <f aca="false">ROUND((D224-$D$5)*86400,2)</f>
        <v>54.77</v>
      </c>
      <c r="F224" s="17" t="n">
        <v>937</v>
      </c>
      <c r="G224" s="16" t="n">
        <f aca="false">IF(INDEX(選手一覧!$D$7:$D$2738,$F224)="","",INDEX(選手一覧!$D$7:$D$2738,$F224))</f>
        <v>0.0109100694444444</v>
      </c>
      <c r="H224" s="17" t="n">
        <f aca="false">IF(INDEX(選手一覧!$E$7:$E$2738,$F224)="","",INDEX(選手一覧!$E$7:$E$2738,$F224))</f>
        <v>938</v>
      </c>
      <c r="I224" s="16" t="n">
        <f aca="false">IF(INDEX(選手一覧!$J$7:$J$2738,$F224)="","",INDEX(選手一覧!$J$7:$J$2738,$F224))</f>
        <v>0.00297164351851852</v>
      </c>
      <c r="J224" s="17" t="n">
        <f aca="false">IF(INDEX(選手一覧!$K$7:$K$2738,$F224)="","",INDEX(選手一覧!$K$7:$K$2738,$F224))</f>
        <v>1316</v>
      </c>
    </row>
    <row r="225" customFormat="false" ht="15" hidden="false" customHeight="false" outlineLevel="0" collapsed="false">
      <c r="A225" s="17" t="n">
        <v>221</v>
      </c>
      <c r="B225" s="12" t="s">
        <v>887</v>
      </c>
      <c r="C225" s="12" t="s">
        <v>888</v>
      </c>
      <c r="D225" s="16" t="n">
        <v>0.00687268518518519</v>
      </c>
      <c r="E225" s="15" t="n">
        <f aca="false">ROUND((D225-$D$5)*86400,2)</f>
        <v>54.78</v>
      </c>
      <c r="F225" s="17" t="n">
        <v>504</v>
      </c>
      <c r="G225" s="16" t="n">
        <f aca="false">IF(INDEX(選手一覧!$D$7:$D$2738,$F225)="","",INDEX(選手一覧!$D$7:$D$2738,$F225))</f>
        <v>0.01063125</v>
      </c>
      <c r="H225" s="17" t="n">
        <f aca="false">IF(INDEX(選手一覧!$E$7:$E$2738,$F225)="","",INDEX(選手一覧!$E$7:$E$2738,$F225))</f>
        <v>505</v>
      </c>
      <c r="I225" s="16" t="n">
        <f aca="false">IF(INDEX(選手一覧!$J$7:$J$2738,$F225)="","",INDEX(選手一覧!$J$7:$J$2738,$F225))</f>
        <v>0.00285983796296296</v>
      </c>
      <c r="J225" s="17" t="n">
        <f aca="false">IF(INDEX(選手一覧!$K$7:$K$2738,$F225)="","",INDEX(選手一覧!$K$7:$K$2738,$F225))</f>
        <v>633</v>
      </c>
    </row>
    <row r="226" customFormat="false" ht="15" hidden="false" customHeight="false" outlineLevel="0" collapsed="false">
      <c r="A226" s="17" t="n">
        <v>222</v>
      </c>
      <c r="B226" s="12" t="s">
        <v>2141</v>
      </c>
      <c r="C226" s="12" t="s">
        <v>1138</v>
      </c>
      <c r="D226" s="16" t="n">
        <v>0.00687916666666667</v>
      </c>
      <c r="E226" s="15" t="n">
        <f aca="false">ROUND((D226-$D$5)*86400,2)</f>
        <v>55.34</v>
      </c>
      <c r="F226" s="17" t="n">
        <v>1358</v>
      </c>
      <c r="G226" s="16" t="str">
        <f aca="false">IF(INDEX(選手一覧!$D$7:$D$2738,$F226)="","",INDEX(選手一覧!$D$7:$D$2738,$F226))</f>
        <v/>
      </c>
      <c r="H226" s="17" t="str">
        <f aca="false">IF(INDEX(選手一覧!$E$7:$E$2738,$F226)="","",INDEX(選手一覧!$E$7:$E$2738,$F226))</f>
        <v/>
      </c>
      <c r="I226" s="16" t="n">
        <f aca="false">IF(INDEX(選手一覧!$J$7:$J$2738,$F226)="","",INDEX(選手一覧!$J$7:$J$2738,$F226))</f>
        <v>0.00286956018518519</v>
      </c>
      <c r="J226" s="17" t="n">
        <f aca="false">IF(INDEX(選手一覧!$K$7:$K$2738,$F226)="","",INDEX(選手一覧!$K$7:$K$2738,$F226))</f>
        <v>692</v>
      </c>
    </row>
    <row r="227" customFormat="false" ht="15" hidden="false" customHeight="false" outlineLevel="0" collapsed="false">
      <c r="A227" s="17" t="n">
        <v>223</v>
      </c>
      <c r="B227" s="12" t="s">
        <v>2142</v>
      </c>
      <c r="C227" s="12" t="s">
        <v>1458</v>
      </c>
      <c r="D227" s="16" t="n">
        <v>0.00688032407407407</v>
      </c>
      <c r="E227" s="15" t="n">
        <f aca="false">ROUND((D227-$D$5)*86400,2)</f>
        <v>55.44</v>
      </c>
      <c r="F227" s="17" t="n">
        <v>1359</v>
      </c>
      <c r="G227" s="16" t="str">
        <f aca="false">IF(INDEX(選手一覧!$D$7:$D$2738,$F227)="","",INDEX(選手一覧!$D$7:$D$2738,$F227))</f>
        <v/>
      </c>
      <c r="H227" s="17" t="str">
        <f aca="false">IF(INDEX(選手一覧!$E$7:$E$2738,$F227)="","",INDEX(選手一覧!$E$7:$E$2738,$F227))</f>
        <v/>
      </c>
      <c r="I227" s="16" t="n">
        <f aca="false">IF(INDEX(選手一覧!$J$7:$J$2738,$F227)="","",INDEX(選手一覧!$J$7:$J$2738,$F227))</f>
        <v>0.00295289351851852</v>
      </c>
      <c r="J227" s="17" t="n">
        <f aca="false">IF(INDEX(選手一覧!$K$7:$K$2738,$F227)="","",INDEX(選手一覧!$K$7:$K$2738,$F227))</f>
        <v>1248</v>
      </c>
    </row>
    <row r="228" customFormat="false" ht="15" hidden="false" customHeight="false" outlineLevel="0" collapsed="false">
      <c r="A228" s="17" t="n">
        <v>224</v>
      </c>
      <c r="B228" s="12" t="s">
        <v>2143</v>
      </c>
      <c r="C228" s="12" t="s">
        <v>2144</v>
      </c>
      <c r="D228" s="16" t="n">
        <v>0.00688159722222222</v>
      </c>
      <c r="E228" s="15" t="n">
        <f aca="false">ROUND((D228-$D$5)*86400,2)</f>
        <v>55.55</v>
      </c>
      <c r="F228" s="17" t="n">
        <v>1360</v>
      </c>
      <c r="G228" s="16" t="str">
        <f aca="false">IF(INDEX(選手一覧!$D$7:$D$2738,$F228)="","",INDEX(選手一覧!$D$7:$D$2738,$F228))</f>
        <v/>
      </c>
      <c r="H228" s="17" t="str">
        <f aca="false">IF(INDEX(選手一覧!$E$7:$E$2738,$F228)="","",INDEX(選手一覧!$E$7:$E$2738,$F228))</f>
        <v/>
      </c>
      <c r="I228" s="16" t="n">
        <f aca="false">IF(INDEX(選手一覧!$J$7:$J$2738,$F228)="","",INDEX(選手一覧!$J$7:$J$2738,$F228))</f>
        <v>0.00295532407407407</v>
      </c>
      <c r="J228" s="17" t="n">
        <f aca="false">IF(INDEX(選手一覧!$K$7:$K$2738,$F228)="","",INDEX(選手一覧!$K$7:$K$2738,$F228))</f>
        <v>1254</v>
      </c>
    </row>
    <row r="229" customFormat="false" ht="15" hidden="false" customHeight="false" outlineLevel="0" collapsed="false">
      <c r="A229" s="17" t="n">
        <v>225</v>
      </c>
      <c r="B229" s="12" t="s">
        <v>2147</v>
      </c>
      <c r="C229" s="12" t="s">
        <v>690</v>
      </c>
      <c r="D229" s="16" t="n">
        <v>0.00688541666666667</v>
      </c>
      <c r="E229" s="15" t="n">
        <f aca="false">ROUND((D229-$D$5)*86400,2)</f>
        <v>55.88</v>
      </c>
      <c r="F229" s="17" t="n">
        <v>1363</v>
      </c>
      <c r="G229" s="16" t="str">
        <f aca="false">IF(INDEX(選手一覧!$D$7:$D$2738,$F229)="","",INDEX(選手一覧!$D$7:$D$2738,$F229))</f>
        <v/>
      </c>
      <c r="H229" s="17" t="str">
        <f aca="false">IF(INDEX(選手一覧!$E$7:$E$2738,$F229)="","",INDEX(選手一覧!$E$7:$E$2738,$F229))</f>
        <v/>
      </c>
      <c r="I229" s="16" t="str">
        <f aca="false">IF(INDEX(選手一覧!$J$7:$J$2738,$F229)="","",INDEX(選手一覧!$J$7:$J$2738,$F229))</f>
        <v/>
      </c>
      <c r="J229" s="17" t="str">
        <f aca="false">IF(INDEX(選手一覧!$K$7:$K$2738,$F229)="","",INDEX(選手一覧!$K$7:$K$2738,$F229))</f>
        <v/>
      </c>
    </row>
    <row r="230" customFormat="false" ht="15" hidden="false" customHeight="false" outlineLevel="0" collapsed="false">
      <c r="A230" s="17" t="n">
        <v>226</v>
      </c>
      <c r="B230" s="12" t="s">
        <v>1100</v>
      </c>
      <c r="C230" s="12" t="s">
        <v>380</v>
      </c>
      <c r="D230" s="16" t="n">
        <v>0.00688576388888889</v>
      </c>
      <c r="E230" s="15" t="n">
        <f aca="false">ROUND((D230-$D$5)*86400,2)</f>
        <v>55.91</v>
      </c>
      <c r="F230" s="17" t="n">
        <v>650</v>
      </c>
      <c r="G230" s="16" t="n">
        <f aca="false">IF(INDEX(選手一覧!$D$7:$D$2738,$F230)="","",INDEX(選手一覧!$D$7:$D$2738,$F230))</f>
        <v>0.0107394675925926</v>
      </c>
      <c r="H230" s="17" t="n">
        <f aca="false">IF(INDEX(選手一覧!$E$7:$E$2738,$F230)="","",INDEX(選手一覧!$E$7:$E$2738,$F230))</f>
        <v>651</v>
      </c>
      <c r="I230" s="16" t="n">
        <f aca="false">IF(INDEX(選手一覧!$J$7:$J$2738,$F230)="","",INDEX(選手一覧!$J$7:$J$2738,$F230))</f>
        <v>0.00286828703703704</v>
      </c>
      <c r="J230" s="17" t="n">
        <f aca="false">IF(INDEX(選手一覧!$K$7:$K$2738,$F230)="","",INDEX(選手一覧!$K$7:$K$2738,$F230))</f>
        <v>684</v>
      </c>
    </row>
    <row r="231" customFormat="false" ht="15" hidden="false" customHeight="false" outlineLevel="0" collapsed="false">
      <c r="A231" s="17" t="n">
        <v>227</v>
      </c>
      <c r="B231" s="12" t="s">
        <v>1514</v>
      </c>
      <c r="C231" s="12" t="s">
        <v>1515</v>
      </c>
      <c r="D231" s="16" t="n">
        <v>0.00688599537037037</v>
      </c>
      <c r="E231" s="15" t="n">
        <f aca="false">ROUND((D231-$D$5)*86400,2)</f>
        <v>55.93</v>
      </c>
      <c r="F231" s="17" t="n">
        <v>920</v>
      </c>
      <c r="G231" s="16" t="n">
        <f aca="false">IF(INDEX(選手一覧!$D$7:$D$2738,$F231)="","",INDEX(選手一覧!$D$7:$D$2738,$F231))</f>
        <v>0.0108997685185185</v>
      </c>
      <c r="H231" s="17" t="n">
        <f aca="false">IF(INDEX(選手一覧!$E$7:$E$2738,$F231)="","",INDEX(選手一覧!$E$7:$E$2738,$F231))</f>
        <v>921</v>
      </c>
      <c r="I231" s="16" t="str">
        <f aca="false">IF(INDEX(選手一覧!$J$7:$J$2738,$F231)="","",INDEX(選手一覧!$J$7:$J$2738,$F231))</f>
        <v/>
      </c>
      <c r="J231" s="17" t="str">
        <f aca="false">IF(INDEX(選手一覧!$K$7:$K$2738,$F231)="","",INDEX(選手一覧!$K$7:$K$2738,$F231))</f>
        <v/>
      </c>
    </row>
    <row r="232" customFormat="false" ht="15" hidden="false" customHeight="false" outlineLevel="0" collapsed="false">
      <c r="A232" s="17" t="n">
        <v>228</v>
      </c>
      <c r="B232" s="12" t="s">
        <v>2152</v>
      </c>
      <c r="C232" s="12" t="s">
        <v>1192</v>
      </c>
      <c r="D232" s="16" t="n">
        <v>0.00688715277777778</v>
      </c>
      <c r="E232" s="15" t="n">
        <f aca="false">ROUND((D232-$D$5)*86400,2)</f>
        <v>56.03</v>
      </c>
      <c r="F232" s="17" t="n">
        <v>1366</v>
      </c>
      <c r="G232" s="16" t="str">
        <f aca="false">IF(INDEX(選手一覧!$D$7:$D$2738,$F232)="","",INDEX(選手一覧!$D$7:$D$2738,$F232))</f>
        <v/>
      </c>
      <c r="H232" s="17" t="str">
        <f aca="false">IF(INDEX(選手一覧!$E$7:$E$2738,$F232)="","",INDEX(選手一覧!$E$7:$E$2738,$F232))</f>
        <v/>
      </c>
      <c r="I232" s="16" t="str">
        <f aca="false">IF(INDEX(選手一覧!$J$7:$J$2738,$F232)="","",INDEX(選手一覧!$J$7:$J$2738,$F232))</f>
        <v/>
      </c>
      <c r="J232" s="17" t="str">
        <f aca="false">IF(INDEX(選手一覧!$K$7:$K$2738,$F232)="","",INDEX(選手一覧!$K$7:$K$2738,$F232))</f>
        <v/>
      </c>
    </row>
    <row r="233" customFormat="false" ht="15" hidden="false" customHeight="false" outlineLevel="0" collapsed="false">
      <c r="A233" s="17" t="n">
        <v>229</v>
      </c>
      <c r="B233" s="12" t="s">
        <v>716</v>
      </c>
      <c r="C233" s="12" t="s">
        <v>157</v>
      </c>
      <c r="D233" s="16" t="n">
        <v>0.00688796296296296</v>
      </c>
      <c r="E233" s="15" t="n">
        <f aca="false">ROUND((D233-$D$5)*86400,2)</f>
        <v>56.1</v>
      </c>
      <c r="F233" s="17" t="n">
        <v>396</v>
      </c>
      <c r="G233" s="16" t="n">
        <f aca="false">IF(INDEX(選手一覧!$D$7:$D$2738,$F233)="","",INDEX(選手一覧!$D$7:$D$2738,$F233))</f>
        <v>0.0105482638888889</v>
      </c>
      <c r="H233" s="17" t="n">
        <f aca="false">IF(INDEX(選手一覧!$E$7:$E$2738,$F233)="","",INDEX(選手一覧!$E$7:$E$2738,$F233))</f>
        <v>397</v>
      </c>
      <c r="I233" s="16" t="str">
        <f aca="false">IF(INDEX(選手一覧!$J$7:$J$2738,$F233)="","",INDEX(選手一覧!$J$7:$J$2738,$F233))</f>
        <v/>
      </c>
      <c r="J233" s="17" t="str">
        <f aca="false">IF(INDEX(選手一覧!$K$7:$K$2738,$F233)="","",INDEX(選手一覧!$K$7:$K$2738,$F233))</f>
        <v/>
      </c>
    </row>
    <row r="234" customFormat="false" ht="15" hidden="false" customHeight="false" outlineLevel="0" collapsed="false">
      <c r="A234" s="17" t="n">
        <v>230</v>
      </c>
      <c r="B234" s="12" t="s">
        <v>531</v>
      </c>
      <c r="C234" s="12" t="s">
        <v>532</v>
      </c>
      <c r="D234" s="16" t="n">
        <v>0.00688854166666667</v>
      </c>
      <c r="E234" s="15" t="n">
        <f aca="false">ROUND((D234-$D$5)*86400,2)</f>
        <v>56.15</v>
      </c>
      <c r="F234" s="17" t="n">
        <v>280</v>
      </c>
      <c r="G234" s="16" t="n">
        <f aca="false">IF(INDEX(選手一覧!$D$7:$D$2738,$F234)="","",INDEX(選手一覧!$D$7:$D$2738,$F234))</f>
        <v>0.0104148148148148</v>
      </c>
      <c r="H234" s="17" t="n">
        <f aca="false">IF(INDEX(選手一覧!$E$7:$E$2738,$F234)="","",INDEX(選手一覧!$E$7:$E$2738,$F234))</f>
        <v>281</v>
      </c>
      <c r="I234" s="16" t="n">
        <f aca="false">IF(INDEX(選手一覧!$J$7:$J$2738,$F234)="","",INDEX(選手一覧!$J$7:$J$2738,$F234))</f>
        <v>0.00287662037037037</v>
      </c>
      <c r="J234" s="17" t="n">
        <f aca="false">IF(INDEX(選手一覧!$K$7:$K$2738,$F234)="","",INDEX(選手一覧!$K$7:$K$2738,$F234))</f>
        <v>743</v>
      </c>
    </row>
    <row r="235" customFormat="false" ht="15" hidden="false" customHeight="false" outlineLevel="0" collapsed="false">
      <c r="A235" s="17" t="n">
        <v>231</v>
      </c>
      <c r="B235" s="12" t="s">
        <v>2153</v>
      </c>
      <c r="C235" s="12" t="s">
        <v>2154</v>
      </c>
      <c r="D235" s="16" t="n">
        <v>0.00689131944444444</v>
      </c>
      <c r="E235" s="15" t="n">
        <f aca="false">ROUND((D235-$D$5)*86400,2)</f>
        <v>56.39</v>
      </c>
      <c r="F235" s="17" t="n">
        <v>1367</v>
      </c>
      <c r="G235" s="16" t="str">
        <f aca="false">IF(INDEX(選手一覧!$D$7:$D$2738,$F235)="","",INDEX(選手一覧!$D$7:$D$2738,$F235))</f>
        <v/>
      </c>
      <c r="H235" s="17" t="str">
        <f aca="false">IF(INDEX(選手一覧!$E$7:$E$2738,$F235)="","",INDEX(選手一覧!$E$7:$E$2738,$F235))</f>
        <v/>
      </c>
      <c r="I235" s="16" t="n">
        <f aca="false">IF(INDEX(選手一覧!$J$7:$J$2738,$F235)="","",INDEX(選手一覧!$J$7:$J$2738,$F235))</f>
        <v>0.00291990740740741</v>
      </c>
      <c r="J235" s="17" t="n">
        <f aca="false">IF(INDEX(選手一覧!$K$7:$K$2738,$F235)="","",INDEX(選手一覧!$K$7:$K$2738,$F235))</f>
        <v>1095</v>
      </c>
    </row>
    <row r="236" customFormat="false" ht="15" hidden="false" customHeight="false" outlineLevel="0" collapsed="false">
      <c r="A236" s="17" t="n">
        <v>232</v>
      </c>
      <c r="B236" s="12" t="s">
        <v>2155</v>
      </c>
      <c r="C236" s="12" t="s">
        <v>370</v>
      </c>
      <c r="D236" s="16" t="n">
        <v>0.00689178240740741</v>
      </c>
      <c r="E236" s="15" t="n">
        <f aca="false">ROUND((D236-$D$5)*86400,2)</f>
        <v>56.43</v>
      </c>
      <c r="F236" s="17" t="n">
        <v>1368</v>
      </c>
      <c r="G236" s="16" t="str">
        <f aca="false">IF(INDEX(選手一覧!$D$7:$D$2738,$F236)="","",INDEX(選手一覧!$D$7:$D$2738,$F236))</f>
        <v/>
      </c>
      <c r="H236" s="17" t="str">
        <f aca="false">IF(INDEX(選手一覧!$E$7:$E$2738,$F236)="","",INDEX(選手一覧!$E$7:$E$2738,$F236))</f>
        <v/>
      </c>
      <c r="I236" s="16" t="str">
        <f aca="false">IF(INDEX(選手一覧!$J$7:$J$2738,$F236)="","",INDEX(選手一覧!$J$7:$J$2738,$F236))</f>
        <v/>
      </c>
      <c r="J236" s="17" t="str">
        <f aca="false">IF(INDEX(選手一覧!$K$7:$K$2738,$F236)="","",INDEX(選手一覧!$K$7:$K$2738,$F236))</f>
        <v/>
      </c>
    </row>
    <row r="237" customFormat="false" ht="15" hidden="false" customHeight="false" outlineLevel="0" collapsed="false">
      <c r="A237" s="17" t="n">
        <v>233</v>
      </c>
      <c r="B237" s="12" t="s">
        <v>2156</v>
      </c>
      <c r="C237" s="12" t="s">
        <v>737</v>
      </c>
      <c r="D237" s="16" t="n">
        <v>0.00689236111111111</v>
      </c>
      <c r="E237" s="15" t="n">
        <f aca="false">ROUND((D237-$D$5)*86400,2)</f>
        <v>56.48</v>
      </c>
      <c r="F237" s="17" t="n">
        <v>1369</v>
      </c>
      <c r="G237" s="16" t="str">
        <f aca="false">IF(INDEX(選手一覧!$D$7:$D$2738,$F237)="","",INDEX(選手一覧!$D$7:$D$2738,$F237))</f>
        <v/>
      </c>
      <c r="H237" s="17" t="str">
        <f aca="false">IF(INDEX(選手一覧!$E$7:$E$2738,$F237)="","",INDEX(選手一覧!$E$7:$E$2738,$F237))</f>
        <v/>
      </c>
      <c r="I237" s="16" t="n">
        <f aca="false">IF(INDEX(選手一覧!$J$7:$J$2738,$F237)="","",INDEX(選手一覧!$J$7:$J$2738,$F237))</f>
        <v>0.0029693287037037</v>
      </c>
      <c r="J237" s="17" t="n">
        <f aca="false">IF(INDEX(選手一覧!$K$7:$K$2738,$F237)="","",INDEX(選手一覧!$K$7:$K$2738,$F237))</f>
        <v>1307</v>
      </c>
    </row>
    <row r="238" customFormat="false" ht="15" hidden="false" customHeight="false" outlineLevel="0" collapsed="false">
      <c r="A238" s="17" t="n">
        <v>234</v>
      </c>
      <c r="B238" s="12" t="s">
        <v>1949</v>
      </c>
      <c r="C238" s="12" t="s">
        <v>1950</v>
      </c>
      <c r="D238" s="16" t="n">
        <v>0.00689340277777778</v>
      </c>
      <c r="E238" s="15" t="n">
        <f aca="false">ROUND((D238-$D$5)*86400,2)</f>
        <v>56.57</v>
      </c>
      <c r="F238" s="17" t="n">
        <v>1219</v>
      </c>
      <c r="G238" s="16" t="n">
        <f aca="false">IF(INDEX(選手一覧!$D$7:$D$2738,$F238)="","",INDEX(選手一覧!$D$7:$D$2738,$F238))</f>
        <v>0.0110612268518519</v>
      </c>
      <c r="H238" s="17" t="n">
        <f aca="false">IF(INDEX(選手一覧!$E$7:$E$2738,$F238)="","",INDEX(選手一覧!$E$7:$E$2738,$F238))</f>
        <v>1220</v>
      </c>
      <c r="I238" s="16" t="n">
        <f aca="false">IF(INDEX(選手一覧!$J$7:$J$2738,$F238)="","",INDEX(選手一覧!$J$7:$J$2738,$F238))</f>
        <v>0.00296643518518519</v>
      </c>
      <c r="J238" s="17" t="n">
        <f aca="false">IF(INDEX(選手一覧!$K$7:$K$2738,$F238)="","",INDEX(選手一覧!$K$7:$K$2738,$F238))</f>
        <v>1298</v>
      </c>
    </row>
    <row r="239" customFormat="false" ht="15" hidden="false" customHeight="false" outlineLevel="0" collapsed="false">
      <c r="A239" s="17" t="n">
        <v>235</v>
      </c>
      <c r="B239" s="12" t="s">
        <v>1773</v>
      </c>
      <c r="C239" s="12" t="s">
        <v>127</v>
      </c>
      <c r="D239" s="16" t="n">
        <v>0.00689513888888889</v>
      </c>
      <c r="E239" s="15" t="n">
        <f aca="false">ROUND((D239-$D$5)*86400,2)</f>
        <v>56.72</v>
      </c>
      <c r="F239" s="17" t="n">
        <v>1097</v>
      </c>
      <c r="G239" s="16" t="n">
        <f aca="false">IF(INDEX(選手一覧!$D$7:$D$2738,$F239)="","",INDEX(選手一覧!$D$7:$D$2738,$F239))</f>
        <v>0.0110020833333333</v>
      </c>
      <c r="H239" s="17" t="n">
        <f aca="false">IF(INDEX(選手一覧!$E$7:$E$2738,$F239)="","",INDEX(選手一覧!$E$7:$E$2738,$F239))</f>
        <v>1098</v>
      </c>
      <c r="I239" s="16" t="n">
        <f aca="false">IF(INDEX(選手一覧!$J$7:$J$2738,$F239)="","",INDEX(選手一覧!$J$7:$J$2738,$F239))</f>
        <v>0.00285775462962963</v>
      </c>
      <c r="J239" s="17" t="n">
        <f aca="false">IF(INDEX(選手一覧!$K$7:$K$2738,$F239)="","",INDEX(選手一覧!$K$7:$K$2738,$F239))</f>
        <v>621</v>
      </c>
    </row>
    <row r="240" customFormat="false" ht="15" hidden="false" customHeight="false" outlineLevel="0" collapsed="false">
      <c r="A240" s="17" t="n">
        <v>236</v>
      </c>
      <c r="B240" s="12" t="s">
        <v>842</v>
      </c>
      <c r="C240" s="12" t="s">
        <v>71</v>
      </c>
      <c r="D240" s="16" t="n">
        <v>0.00689525462962963</v>
      </c>
      <c r="E240" s="15" t="n">
        <f aca="false">ROUND((D240-$D$5)*86400,2)</f>
        <v>56.73</v>
      </c>
      <c r="F240" s="17" t="n">
        <v>478</v>
      </c>
      <c r="G240" s="16" t="n">
        <f aca="false">IF(INDEX(選手一覧!$D$7:$D$2738,$F240)="","",INDEX(選手一覧!$D$7:$D$2738,$F240))</f>
        <v>0.0106119212962963</v>
      </c>
      <c r="H240" s="17" t="n">
        <f aca="false">IF(INDEX(選手一覧!$E$7:$E$2738,$F240)="","",INDEX(選手一覧!$E$7:$E$2738,$F240))</f>
        <v>479</v>
      </c>
      <c r="I240" s="16" t="str">
        <f aca="false">IF(INDEX(選手一覧!$J$7:$J$2738,$F240)="","",INDEX(選手一覧!$J$7:$J$2738,$F240))</f>
        <v/>
      </c>
      <c r="J240" s="17" t="str">
        <f aca="false">IF(INDEX(選手一覧!$K$7:$K$2738,$F240)="","",INDEX(選手一覧!$K$7:$K$2738,$F240))</f>
        <v/>
      </c>
    </row>
    <row r="241" customFormat="false" ht="15" hidden="false" customHeight="false" outlineLevel="0" collapsed="false">
      <c r="A241" s="17" t="n">
        <v>237</v>
      </c>
      <c r="B241" s="12" t="s">
        <v>2159</v>
      </c>
      <c r="C241" s="12" t="s">
        <v>313</v>
      </c>
      <c r="D241" s="16" t="n">
        <v>0.00689525462962963</v>
      </c>
      <c r="E241" s="15" t="n">
        <f aca="false">ROUND((D241-$D$5)*86400,2)</f>
        <v>56.73</v>
      </c>
      <c r="F241" s="17" t="n">
        <v>1372</v>
      </c>
      <c r="G241" s="16" t="str">
        <f aca="false">IF(INDEX(選手一覧!$D$7:$D$2738,$F241)="","",INDEX(選手一覧!$D$7:$D$2738,$F241))</f>
        <v/>
      </c>
      <c r="H241" s="17" t="str">
        <f aca="false">IF(INDEX(選手一覧!$E$7:$E$2738,$F241)="","",INDEX(選手一覧!$E$7:$E$2738,$F241))</f>
        <v/>
      </c>
      <c r="I241" s="16" t="str">
        <f aca="false">IF(INDEX(選手一覧!$J$7:$J$2738,$F241)="","",INDEX(選手一覧!$J$7:$J$2738,$F241))</f>
        <v/>
      </c>
      <c r="J241" s="17" t="str">
        <f aca="false">IF(INDEX(選手一覧!$K$7:$K$2738,$F241)="","",INDEX(選手一覧!$K$7:$K$2738,$F241))</f>
        <v/>
      </c>
    </row>
    <row r="242" customFormat="false" ht="15" hidden="false" customHeight="false" outlineLevel="0" collapsed="false">
      <c r="A242" s="17" t="n">
        <v>238</v>
      </c>
      <c r="B242" s="12" t="s">
        <v>2160</v>
      </c>
      <c r="C242" s="12" t="s">
        <v>2161</v>
      </c>
      <c r="D242" s="16" t="n">
        <v>0.00689710648148148</v>
      </c>
      <c r="E242" s="15" t="n">
        <f aca="false">ROUND((D242-$D$5)*86400,2)</f>
        <v>56.89</v>
      </c>
      <c r="F242" s="17" t="n">
        <v>1373</v>
      </c>
      <c r="G242" s="16" t="str">
        <f aca="false">IF(INDEX(選手一覧!$D$7:$D$2738,$F242)="","",INDEX(選手一覧!$D$7:$D$2738,$F242))</f>
        <v/>
      </c>
      <c r="H242" s="17" t="str">
        <f aca="false">IF(INDEX(選手一覧!$E$7:$E$2738,$F242)="","",INDEX(選手一覧!$E$7:$E$2738,$F242))</f>
        <v/>
      </c>
      <c r="I242" s="16" t="n">
        <f aca="false">IF(INDEX(選手一覧!$J$7:$J$2738,$F242)="","",INDEX(選手一覧!$J$7:$J$2738,$F242))</f>
        <v>0.00291215277777778</v>
      </c>
      <c r="J242" s="17" t="n">
        <f aca="false">IF(INDEX(選手一覧!$K$7:$K$2738,$F242)="","",INDEX(選手一覧!$K$7:$K$2738,$F242))</f>
        <v>1038</v>
      </c>
    </row>
    <row r="243" customFormat="false" ht="15" hidden="false" customHeight="false" outlineLevel="0" collapsed="false">
      <c r="A243" s="17" t="n">
        <v>239</v>
      </c>
      <c r="B243" s="12" t="s">
        <v>1577</v>
      </c>
      <c r="C243" s="12" t="s">
        <v>515</v>
      </c>
      <c r="D243" s="16" t="n">
        <v>0.00689884259259259</v>
      </c>
      <c r="E243" s="15" t="n">
        <f aca="false">ROUND((D243-$D$5)*86400,2)</f>
        <v>57.04</v>
      </c>
      <c r="F243" s="17" t="n">
        <v>965</v>
      </c>
      <c r="G243" s="16" t="n">
        <f aca="false">IF(INDEX(選手一覧!$D$7:$D$2738,$F243)="","",INDEX(選手一覧!$D$7:$D$2738,$F243))</f>
        <v>0.0109295138888889</v>
      </c>
      <c r="H243" s="17" t="n">
        <f aca="false">IF(INDEX(選手一覧!$E$7:$E$2738,$F243)="","",INDEX(選手一覧!$E$7:$E$2738,$F243))</f>
        <v>966</v>
      </c>
      <c r="I243" s="16" t="n">
        <f aca="false">IF(INDEX(選手一覧!$J$7:$J$2738,$F243)="","",INDEX(選手一覧!$J$7:$J$2738,$F243))</f>
        <v>0.00297673611111111</v>
      </c>
      <c r="J243" s="17" t="n">
        <f aca="false">IF(INDEX(選手一覧!$K$7:$K$2738,$F243)="","",INDEX(選手一覧!$K$7:$K$2738,$F243))</f>
        <v>1337</v>
      </c>
    </row>
    <row r="244" customFormat="false" ht="15" hidden="false" customHeight="false" outlineLevel="0" collapsed="false">
      <c r="A244" s="17" t="n">
        <v>240</v>
      </c>
      <c r="B244" s="12" t="s">
        <v>1750</v>
      </c>
      <c r="C244" s="12" t="s">
        <v>1751</v>
      </c>
      <c r="D244" s="16" t="n">
        <v>0.00689988425925926</v>
      </c>
      <c r="E244" s="15" t="n">
        <f aca="false">ROUND((D244-$D$5)*86400,2)</f>
        <v>57.13</v>
      </c>
      <c r="F244" s="17" t="n">
        <v>1081</v>
      </c>
      <c r="G244" s="16" t="n">
        <f aca="false">IF(INDEX(選手一覧!$D$7:$D$2738,$F244)="","",INDEX(選手一覧!$D$7:$D$2738,$F244))</f>
        <v>0.0109918981481482</v>
      </c>
      <c r="H244" s="17" t="n">
        <f aca="false">IF(INDEX(選手一覧!$E$7:$E$2738,$F244)="","",INDEX(選手一覧!$E$7:$E$2738,$F244))</f>
        <v>1082</v>
      </c>
      <c r="I244" s="16" t="str">
        <f aca="false">IF(INDEX(選手一覧!$J$7:$J$2738,$F244)="","",INDEX(選手一覧!$J$7:$J$2738,$F244))</f>
        <v/>
      </c>
      <c r="J244" s="17" t="str">
        <f aca="false">IF(INDEX(選手一覧!$K$7:$K$2738,$F244)="","",INDEX(選手一覧!$K$7:$K$2738,$F244))</f>
        <v/>
      </c>
    </row>
    <row r="245" customFormat="false" ht="15" hidden="false" customHeight="false" outlineLevel="0" collapsed="false">
      <c r="A245" s="17" t="n">
        <v>241</v>
      </c>
      <c r="B245" s="12" t="s">
        <v>997</v>
      </c>
      <c r="C245" s="12" t="s">
        <v>157</v>
      </c>
      <c r="D245" s="16" t="n">
        <v>0.00690034722222222</v>
      </c>
      <c r="E245" s="15" t="n">
        <f aca="false">ROUND((D245-$D$5)*86400,2)</f>
        <v>57.17</v>
      </c>
      <c r="F245" s="17" t="n">
        <v>574</v>
      </c>
      <c r="G245" s="16" t="n">
        <f aca="false">IF(INDEX(選手一覧!$D$7:$D$2738,$F245)="","",INDEX(選手一覧!$D$7:$D$2738,$F245))</f>
        <v>0.0106959490740741</v>
      </c>
      <c r="H245" s="17" t="n">
        <f aca="false">IF(INDEX(選手一覧!$E$7:$E$2738,$F245)="","",INDEX(選手一覧!$E$7:$E$2738,$F245))</f>
        <v>575</v>
      </c>
      <c r="I245" s="16" t="str">
        <f aca="false">IF(INDEX(選手一覧!$J$7:$J$2738,$F245)="","",INDEX(選手一覧!$J$7:$J$2738,$F245))</f>
        <v/>
      </c>
      <c r="J245" s="17" t="str">
        <f aca="false">IF(INDEX(選手一覧!$K$7:$K$2738,$F245)="","",INDEX(選手一覧!$K$7:$K$2738,$F245))</f>
        <v/>
      </c>
    </row>
    <row r="246" customFormat="false" ht="15" hidden="false" customHeight="false" outlineLevel="0" collapsed="false">
      <c r="A246" s="17" t="n">
        <v>242</v>
      </c>
      <c r="B246" s="12" t="s">
        <v>2164</v>
      </c>
      <c r="C246" s="12" t="s">
        <v>389</v>
      </c>
      <c r="D246" s="16" t="n">
        <v>0.00690069444444445</v>
      </c>
      <c r="E246" s="15" t="n">
        <f aca="false">ROUND((D246-$D$5)*86400,2)</f>
        <v>57.2</v>
      </c>
      <c r="F246" s="17" t="n">
        <v>1376</v>
      </c>
      <c r="G246" s="16" t="str">
        <f aca="false">IF(INDEX(選手一覧!$D$7:$D$2738,$F246)="","",INDEX(選手一覧!$D$7:$D$2738,$F246))</f>
        <v/>
      </c>
      <c r="H246" s="17" t="str">
        <f aca="false">IF(INDEX(選手一覧!$E$7:$E$2738,$F246)="","",INDEX(選手一覧!$E$7:$E$2738,$F246))</f>
        <v/>
      </c>
      <c r="I246" s="16" t="str">
        <f aca="false">IF(INDEX(選手一覧!$J$7:$J$2738,$F246)="","",INDEX(選手一覧!$J$7:$J$2738,$F246))</f>
        <v/>
      </c>
      <c r="J246" s="17" t="str">
        <f aca="false">IF(INDEX(選手一覧!$K$7:$K$2738,$F246)="","",INDEX(選手一覧!$K$7:$K$2738,$F246))</f>
        <v/>
      </c>
    </row>
    <row r="247" customFormat="false" ht="15" hidden="false" customHeight="false" outlineLevel="0" collapsed="false">
      <c r="A247" s="17" t="n">
        <v>243</v>
      </c>
      <c r="B247" s="12" t="s">
        <v>2167</v>
      </c>
      <c r="C247" s="12" t="s">
        <v>2168</v>
      </c>
      <c r="D247" s="16" t="n">
        <v>0.00690162037037037</v>
      </c>
      <c r="E247" s="15" t="n">
        <f aca="false">ROUND((D247-$D$5)*86400,2)</f>
        <v>57.28</v>
      </c>
      <c r="F247" s="17" t="n">
        <v>1378</v>
      </c>
      <c r="G247" s="16" t="str">
        <f aca="false">IF(INDEX(選手一覧!$D$7:$D$2738,$F247)="","",INDEX(選手一覧!$D$7:$D$2738,$F247))</f>
        <v/>
      </c>
      <c r="H247" s="17" t="str">
        <f aca="false">IF(INDEX(選手一覧!$E$7:$E$2738,$F247)="","",INDEX(選手一覧!$E$7:$E$2738,$F247))</f>
        <v/>
      </c>
      <c r="I247" s="16" t="str">
        <f aca="false">IF(INDEX(選手一覧!$J$7:$J$2738,$F247)="","",INDEX(選手一覧!$J$7:$J$2738,$F247))</f>
        <v/>
      </c>
      <c r="J247" s="17" t="str">
        <f aca="false">IF(INDEX(選手一覧!$K$7:$K$2738,$F247)="","",INDEX(選手一覧!$K$7:$K$2738,$F247))</f>
        <v/>
      </c>
    </row>
    <row r="248" customFormat="false" ht="15" hidden="false" customHeight="false" outlineLevel="0" collapsed="false">
      <c r="A248" s="17" t="n">
        <v>244</v>
      </c>
      <c r="B248" s="12" t="s">
        <v>1885</v>
      </c>
      <c r="C248" s="12" t="s">
        <v>507</v>
      </c>
      <c r="D248" s="16" t="n">
        <v>0.00690173611111111</v>
      </c>
      <c r="E248" s="15" t="n">
        <f aca="false">ROUND((D248-$D$5)*86400,2)</f>
        <v>57.29</v>
      </c>
      <c r="F248" s="17" t="n">
        <v>1172</v>
      </c>
      <c r="G248" s="16" t="n">
        <f aca="false">IF(INDEX(選手一覧!$D$7:$D$2738,$F248)="","",INDEX(選手一覧!$D$7:$D$2738,$F248))</f>
        <v>0.0110377314814815</v>
      </c>
      <c r="H248" s="17" t="n">
        <f aca="false">IF(INDEX(選手一覧!$E$7:$E$2738,$F248)="","",INDEX(選手一覧!$E$7:$E$2738,$F248))</f>
        <v>1173</v>
      </c>
      <c r="I248" s="16" t="str">
        <f aca="false">IF(INDEX(選手一覧!$J$7:$J$2738,$F248)="","",INDEX(選手一覧!$J$7:$J$2738,$F248))</f>
        <v/>
      </c>
      <c r="J248" s="17" t="str">
        <f aca="false">IF(INDEX(選手一覧!$K$7:$K$2738,$F248)="","",INDEX(選手一覧!$K$7:$K$2738,$F248))</f>
        <v/>
      </c>
    </row>
    <row r="249" customFormat="false" ht="15" hidden="false" customHeight="false" outlineLevel="0" collapsed="false">
      <c r="A249" s="17" t="n">
        <v>245</v>
      </c>
      <c r="B249" s="12" t="s">
        <v>617</v>
      </c>
      <c r="C249" s="12" t="s">
        <v>599</v>
      </c>
      <c r="D249" s="16" t="n">
        <v>0.00690219907407407</v>
      </c>
      <c r="E249" s="15" t="n">
        <f aca="false">ROUND((D249-$D$5)*86400,2)</f>
        <v>57.33</v>
      </c>
      <c r="F249" s="17" t="n">
        <v>333</v>
      </c>
      <c r="G249" s="16" t="n">
        <f aca="false">IF(INDEX(選手一覧!$D$7:$D$2738,$F249)="","",INDEX(選手一覧!$D$7:$D$2738,$F249))</f>
        <v>0.0104907407407407</v>
      </c>
      <c r="H249" s="17" t="n">
        <f aca="false">IF(INDEX(選手一覧!$E$7:$E$2738,$F249)="","",INDEX(選手一覧!$E$7:$E$2738,$F249))</f>
        <v>334</v>
      </c>
      <c r="I249" s="16" t="n">
        <f aca="false">IF(INDEX(選手一覧!$J$7:$J$2738,$F249)="","",INDEX(選手一覧!$J$7:$J$2738,$F249))</f>
        <v>0.00289733796296296</v>
      </c>
      <c r="J249" s="17" t="n">
        <f aca="false">IF(INDEX(選手一覧!$K$7:$K$2738,$F249)="","",INDEX(選手一覧!$K$7:$K$2738,$F249))</f>
        <v>928</v>
      </c>
    </row>
    <row r="250" customFormat="false" ht="15" hidden="false" customHeight="false" outlineLevel="0" collapsed="false">
      <c r="A250" s="17" t="n">
        <v>246</v>
      </c>
      <c r="B250" s="12" t="s">
        <v>2170</v>
      </c>
      <c r="C250" s="12" t="s">
        <v>2117</v>
      </c>
      <c r="D250" s="16" t="n">
        <v>0.00690555555555556</v>
      </c>
      <c r="E250" s="15" t="n">
        <f aca="false">ROUND((D250-$D$5)*86400,2)</f>
        <v>57.62</v>
      </c>
      <c r="F250" s="17" t="n">
        <v>1380</v>
      </c>
      <c r="G250" s="16" t="str">
        <f aca="false">IF(INDEX(選手一覧!$D$7:$D$2738,$F250)="","",INDEX(選手一覧!$D$7:$D$2738,$F250))</f>
        <v/>
      </c>
      <c r="H250" s="17" t="str">
        <f aca="false">IF(INDEX(選手一覧!$E$7:$E$2738,$F250)="","",INDEX(選手一覧!$E$7:$E$2738,$F250))</f>
        <v/>
      </c>
      <c r="I250" s="16" t="str">
        <f aca="false">IF(INDEX(選手一覧!$J$7:$J$2738,$F250)="","",INDEX(選手一覧!$J$7:$J$2738,$F250))</f>
        <v/>
      </c>
      <c r="J250" s="17" t="str">
        <f aca="false">IF(INDEX(選手一覧!$K$7:$K$2738,$F250)="","",INDEX(選手一覧!$K$7:$K$2738,$F250))</f>
        <v/>
      </c>
    </row>
    <row r="251" customFormat="false" ht="15" hidden="false" customHeight="false" outlineLevel="0" collapsed="false">
      <c r="A251" s="17" t="n">
        <v>247</v>
      </c>
      <c r="B251" s="12" t="s">
        <v>663</v>
      </c>
      <c r="C251" s="12" t="s">
        <v>145</v>
      </c>
      <c r="D251" s="16" t="n">
        <v>0.00690613425925926</v>
      </c>
      <c r="E251" s="15" t="n">
        <f aca="false">ROUND((D251-$D$5)*86400,2)</f>
        <v>57.67</v>
      </c>
      <c r="F251" s="17" t="n">
        <v>363</v>
      </c>
      <c r="G251" s="16" t="n">
        <f aca="false">IF(INDEX(選手一覧!$D$7:$D$2738,$F251)="","",INDEX(選手一覧!$D$7:$D$2738,$F251))</f>
        <v>0.0105216435185185</v>
      </c>
      <c r="H251" s="17" t="n">
        <f aca="false">IF(INDEX(選手一覧!$E$7:$E$2738,$F251)="","",INDEX(選手一覧!$E$7:$E$2738,$F251))</f>
        <v>364</v>
      </c>
      <c r="I251" s="16" t="n">
        <f aca="false">IF(INDEX(選手一覧!$J$7:$J$2738,$F251)="","",INDEX(選手一覧!$J$7:$J$2738,$F251))</f>
        <v>0.00287407407407407</v>
      </c>
      <c r="J251" s="17" t="n">
        <f aca="false">IF(INDEX(選手一覧!$K$7:$K$2738,$F251)="","",INDEX(選手一覧!$K$7:$K$2738,$F251))</f>
        <v>728</v>
      </c>
    </row>
    <row r="252" customFormat="false" ht="15" hidden="false" customHeight="false" outlineLevel="0" collapsed="false">
      <c r="A252" s="17" t="n">
        <v>248</v>
      </c>
      <c r="B252" s="12" t="s">
        <v>1713</v>
      </c>
      <c r="C252" s="12" t="s">
        <v>1245</v>
      </c>
      <c r="D252" s="16" t="n">
        <v>0.00690625</v>
      </c>
      <c r="E252" s="15" t="n">
        <f aca="false">ROUND((D252-$D$5)*86400,2)</f>
        <v>57.68</v>
      </c>
      <c r="F252" s="17" t="n">
        <v>1057</v>
      </c>
      <c r="G252" s="16" t="n">
        <f aca="false">IF(INDEX(選手一覧!$D$7:$D$2738,$F252)="","",INDEX(選手一覧!$D$7:$D$2738,$F252))</f>
        <v>0.0109810185185185</v>
      </c>
      <c r="H252" s="17" t="n">
        <f aca="false">IF(INDEX(選手一覧!$E$7:$E$2738,$F252)="","",INDEX(選手一覧!$E$7:$E$2738,$F252))</f>
        <v>1058</v>
      </c>
      <c r="I252" s="16" t="str">
        <f aca="false">IF(INDEX(選手一覧!$J$7:$J$2738,$F252)="","",INDEX(選手一覧!$J$7:$J$2738,$F252))</f>
        <v/>
      </c>
      <c r="J252" s="17" t="str">
        <f aca="false">IF(INDEX(選手一覧!$K$7:$K$2738,$F252)="","",INDEX(選手一覧!$K$7:$K$2738,$F252))</f>
        <v/>
      </c>
    </row>
    <row r="253" customFormat="false" ht="15" hidden="false" customHeight="false" outlineLevel="0" collapsed="false">
      <c r="A253" s="17" t="n">
        <v>249</v>
      </c>
      <c r="B253" s="12" t="s">
        <v>2171</v>
      </c>
      <c r="C253" s="12" t="s">
        <v>2172</v>
      </c>
      <c r="D253" s="16" t="n">
        <v>0.00690659722222222</v>
      </c>
      <c r="E253" s="15" t="n">
        <f aca="false">ROUND((D253-$D$5)*86400,2)</f>
        <v>57.71</v>
      </c>
      <c r="F253" s="17" t="n">
        <v>1381</v>
      </c>
      <c r="G253" s="16" t="str">
        <f aca="false">IF(INDEX(選手一覧!$D$7:$D$2738,$F253)="","",INDEX(選手一覧!$D$7:$D$2738,$F253))</f>
        <v/>
      </c>
      <c r="H253" s="17" t="str">
        <f aca="false">IF(INDEX(選手一覧!$E$7:$E$2738,$F253)="","",INDEX(選手一覧!$E$7:$E$2738,$F253))</f>
        <v/>
      </c>
      <c r="I253" s="16" t="n">
        <f aca="false">IF(INDEX(選手一覧!$J$7:$J$2738,$F253)="","",INDEX(選手一覧!$J$7:$J$2738,$F253))</f>
        <v>0.00287303240740741</v>
      </c>
      <c r="J253" s="17" t="n">
        <f aca="false">IF(INDEX(選手一覧!$K$7:$K$2738,$F253)="","",INDEX(選手一覧!$K$7:$K$2738,$F253))</f>
        <v>721</v>
      </c>
    </row>
    <row r="254" customFormat="false" ht="15" hidden="false" customHeight="false" outlineLevel="0" collapsed="false">
      <c r="A254" s="17" t="n">
        <v>250</v>
      </c>
      <c r="B254" s="12" t="s">
        <v>2173</v>
      </c>
      <c r="C254" s="12" t="s">
        <v>2174</v>
      </c>
      <c r="D254" s="16" t="n">
        <v>0.00691018518518519</v>
      </c>
      <c r="E254" s="15" t="n">
        <f aca="false">ROUND((D254-$D$5)*86400,2)</f>
        <v>58.02</v>
      </c>
      <c r="F254" s="17" t="n">
        <v>1382</v>
      </c>
      <c r="G254" s="16" t="str">
        <f aca="false">IF(INDEX(選手一覧!$D$7:$D$2738,$F254)="","",INDEX(選手一覧!$D$7:$D$2738,$F254))</f>
        <v/>
      </c>
      <c r="H254" s="17" t="str">
        <f aca="false">IF(INDEX(選手一覧!$E$7:$E$2738,$F254)="","",INDEX(選手一覧!$E$7:$E$2738,$F254))</f>
        <v/>
      </c>
      <c r="I254" s="16" t="str">
        <f aca="false">IF(INDEX(選手一覧!$J$7:$J$2738,$F254)="","",INDEX(選手一覧!$J$7:$J$2738,$F254))</f>
        <v/>
      </c>
      <c r="J254" s="17" t="str">
        <f aca="false">IF(INDEX(選手一覧!$K$7:$K$2738,$F254)="","",INDEX(選手一覧!$K$7:$K$2738,$F254))</f>
        <v/>
      </c>
    </row>
    <row r="255" customFormat="false" ht="15" hidden="false" customHeight="false" outlineLevel="0" collapsed="false">
      <c r="A255" s="17" t="n">
        <v>251</v>
      </c>
      <c r="B255" s="12" t="s">
        <v>2150</v>
      </c>
      <c r="C255" s="12" t="s">
        <v>2151</v>
      </c>
      <c r="D255" s="16" t="n">
        <v>0.006915625</v>
      </c>
      <c r="E255" s="15" t="n">
        <f aca="false">ROUND((D255-$D$5)*86400,2)</f>
        <v>58.49</v>
      </c>
      <c r="F255" s="17" t="n">
        <v>1365</v>
      </c>
      <c r="G255" s="16" t="str">
        <f aca="false">IF(INDEX(選手一覧!$D$7:$D$2738,$F255)="","",INDEX(選手一覧!$D$7:$D$2738,$F255))</f>
        <v/>
      </c>
      <c r="H255" s="17" t="str">
        <f aca="false">IF(INDEX(選手一覧!$E$7:$E$2738,$F255)="","",INDEX(選手一覧!$E$7:$E$2738,$F255))</f>
        <v/>
      </c>
      <c r="I255" s="16" t="n">
        <f aca="false">IF(INDEX(選手一覧!$J$7:$J$2738,$F255)="","",INDEX(選手一覧!$J$7:$J$2738,$F255))</f>
        <v>0.00278680555555556</v>
      </c>
      <c r="J255" s="17" t="n">
        <f aca="false">IF(INDEX(選手一覧!$K$7:$K$2738,$F255)="","",INDEX(選手一覧!$K$7:$K$2738,$F255))</f>
        <v>228</v>
      </c>
    </row>
    <row r="256" customFormat="false" ht="15" hidden="false" customHeight="false" outlineLevel="0" collapsed="false">
      <c r="A256" s="17" t="n">
        <v>252</v>
      </c>
      <c r="B256" s="12" t="s">
        <v>1643</v>
      </c>
      <c r="C256" s="12" t="s">
        <v>591</v>
      </c>
      <c r="D256" s="16" t="n">
        <v>0.0069162037037037</v>
      </c>
      <c r="E256" s="15" t="n">
        <f aca="false">ROUND((D256-$D$5)*86400,2)</f>
        <v>58.54</v>
      </c>
      <c r="F256" s="17" t="n">
        <v>1011</v>
      </c>
      <c r="G256" s="16" t="n">
        <f aca="false">IF(INDEX(選手一覧!$D$7:$D$2738,$F256)="","",INDEX(選手一覧!$D$7:$D$2738,$F256))</f>
        <v>0.0109541666666667</v>
      </c>
      <c r="H256" s="17" t="n">
        <f aca="false">IF(INDEX(選手一覧!$E$7:$E$2738,$F256)="","",INDEX(選手一覧!$E$7:$E$2738,$F256))</f>
        <v>1012</v>
      </c>
      <c r="I256" s="16" t="n">
        <f aca="false">IF(INDEX(選手一覧!$J$7:$J$2738,$F256)="","",INDEX(選手一覧!$J$7:$J$2738,$F256))</f>
        <v>0.00285138888888889</v>
      </c>
      <c r="J256" s="17" t="n">
        <f aca="false">IF(INDEX(選手一覧!$K$7:$K$2738,$F256)="","",INDEX(選手一覧!$K$7:$K$2738,$F256))</f>
        <v>578</v>
      </c>
    </row>
    <row r="257" customFormat="false" ht="15" hidden="false" customHeight="false" outlineLevel="0" collapsed="false">
      <c r="A257" s="17" t="n">
        <v>253</v>
      </c>
      <c r="B257" s="12" t="s">
        <v>2175</v>
      </c>
      <c r="C257" s="12" t="s">
        <v>2176</v>
      </c>
      <c r="D257" s="16" t="n">
        <v>0.00691747685185185</v>
      </c>
      <c r="E257" s="15" t="n">
        <f aca="false">ROUND((D257-$D$5)*86400,2)</f>
        <v>58.65</v>
      </c>
      <c r="F257" s="17" t="n">
        <v>1383</v>
      </c>
      <c r="G257" s="16" t="str">
        <f aca="false">IF(INDEX(選手一覧!$D$7:$D$2738,$F257)="","",INDEX(選手一覧!$D$7:$D$2738,$F257))</f>
        <v/>
      </c>
      <c r="H257" s="17" t="str">
        <f aca="false">IF(INDEX(選手一覧!$E$7:$E$2738,$F257)="","",INDEX(選手一覧!$E$7:$E$2738,$F257))</f>
        <v/>
      </c>
      <c r="I257" s="16" t="n">
        <f aca="false">IF(INDEX(選手一覧!$J$7:$J$2738,$F257)="","",INDEX(選手一覧!$J$7:$J$2738,$F257))</f>
        <v>0.00288518518518519</v>
      </c>
      <c r="J257" s="17" t="n">
        <f aca="false">IF(INDEX(選手一覧!$K$7:$K$2738,$F257)="","",INDEX(選手一覧!$K$7:$K$2738,$F257))</f>
        <v>819</v>
      </c>
    </row>
    <row r="258" customFormat="false" ht="15" hidden="false" customHeight="false" outlineLevel="0" collapsed="false">
      <c r="A258" s="17" t="n">
        <v>254</v>
      </c>
      <c r="B258" s="12" t="s">
        <v>1505</v>
      </c>
      <c r="C258" s="12" t="s">
        <v>525</v>
      </c>
      <c r="D258" s="16" t="n">
        <v>0.00691886574074074</v>
      </c>
      <c r="E258" s="15" t="n">
        <f aca="false">ROUND((D258-$D$5)*86400,2)</f>
        <v>58.77</v>
      </c>
      <c r="F258" s="17" t="n">
        <v>916</v>
      </c>
      <c r="G258" s="16" t="n">
        <f aca="false">IF(INDEX(選手一覧!$D$7:$D$2738,$F258)="","",INDEX(選手一覧!$D$7:$D$2738,$F258))</f>
        <v>0.010896875</v>
      </c>
      <c r="H258" s="17" t="n">
        <f aca="false">IF(INDEX(選手一覧!$E$7:$E$2738,$F258)="","",INDEX(選手一覧!$E$7:$E$2738,$F258))</f>
        <v>917</v>
      </c>
      <c r="I258" s="16" t="str">
        <f aca="false">IF(INDEX(選手一覧!$J$7:$J$2738,$F258)="","",INDEX(選手一覧!$J$7:$J$2738,$F258))</f>
        <v/>
      </c>
      <c r="J258" s="17" t="str">
        <f aca="false">IF(INDEX(選手一覧!$K$7:$K$2738,$F258)="","",INDEX(選手一覧!$K$7:$K$2738,$F258))</f>
        <v/>
      </c>
    </row>
    <row r="259" customFormat="false" ht="15" hidden="false" customHeight="false" outlineLevel="0" collapsed="false">
      <c r="A259" s="17" t="n">
        <v>255</v>
      </c>
      <c r="B259" s="12" t="s">
        <v>2179</v>
      </c>
      <c r="C259" s="12" t="s">
        <v>1094</v>
      </c>
      <c r="D259" s="16" t="n">
        <v>0.0069193287037037</v>
      </c>
      <c r="E259" s="15" t="n">
        <f aca="false">ROUND((D259-$D$5)*86400,2)</f>
        <v>58.81</v>
      </c>
      <c r="F259" s="17" t="n">
        <v>1385</v>
      </c>
      <c r="G259" s="16" t="str">
        <f aca="false">IF(INDEX(選手一覧!$D$7:$D$2738,$F259)="","",INDEX(選手一覧!$D$7:$D$2738,$F259))</f>
        <v/>
      </c>
      <c r="H259" s="17" t="str">
        <f aca="false">IF(INDEX(選手一覧!$E$7:$E$2738,$F259)="","",INDEX(選手一覧!$E$7:$E$2738,$F259))</f>
        <v/>
      </c>
      <c r="I259" s="16" t="n">
        <f aca="false">IF(INDEX(選手一覧!$J$7:$J$2738,$F259)="","",INDEX(選手一覧!$J$7:$J$2738,$F259))</f>
        <v>0.0028662037037037</v>
      </c>
      <c r="J259" s="17" t="n">
        <f aca="false">IF(INDEX(選手一覧!$K$7:$K$2738,$F259)="","",INDEX(選手一覧!$K$7:$K$2738,$F259))</f>
        <v>671</v>
      </c>
    </row>
    <row r="260" customFormat="false" ht="15" hidden="false" customHeight="false" outlineLevel="0" collapsed="false">
      <c r="A260" s="17" t="n">
        <v>256</v>
      </c>
      <c r="B260" s="12" t="s">
        <v>2181</v>
      </c>
      <c r="C260" s="12" t="s">
        <v>2182</v>
      </c>
      <c r="D260" s="16" t="n">
        <v>0.00692048611111111</v>
      </c>
      <c r="E260" s="15" t="n">
        <f aca="false">ROUND((D260-$D$5)*86400,2)</f>
        <v>58.91</v>
      </c>
      <c r="F260" s="17" t="n">
        <v>1387</v>
      </c>
      <c r="G260" s="16" t="str">
        <f aca="false">IF(INDEX(選手一覧!$D$7:$D$2738,$F260)="","",INDEX(選手一覧!$D$7:$D$2738,$F260))</f>
        <v/>
      </c>
      <c r="H260" s="17" t="str">
        <f aca="false">IF(INDEX(選手一覧!$E$7:$E$2738,$F260)="","",INDEX(選手一覧!$E$7:$E$2738,$F260))</f>
        <v/>
      </c>
      <c r="I260" s="16" t="str">
        <f aca="false">IF(INDEX(選手一覧!$J$7:$J$2738,$F260)="","",INDEX(選手一覧!$J$7:$J$2738,$F260))</f>
        <v/>
      </c>
      <c r="J260" s="17" t="str">
        <f aca="false">IF(INDEX(選手一覧!$K$7:$K$2738,$F260)="","",INDEX(選手一覧!$K$7:$K$2738,$F260))</f>
        <v/>
      </c>
    </row>
    <row r="261" customFormat="false" ht="15" hidden="false" customHeight="false" outlineLevel="0" collapsed="false">
      <c r="A261" s="17" t="n">
        <v>257</v>
      </c>
      <c r="B261" s="12" t="s">
        <v>1837</v>
      </c>
      <c r="C261" s="12" t="s">
        <v>965</v>
      </c>
      <c r="D261" s="16" t="n">
        <v>0.00692083333333333</v>
      </c>
      <c r="E261" s="15" t="n">
        <f aca="false">ROUND((D261-$D$5)*86400,2)</f>
        <v>58.94</v>
      </c>
      <c r="F261" s="17" t="n">
        <v>1140</v>
      </c>
      <c r="G261" s="16" t="n">
        <f aca="false">IF(INDEX(選手一覧!$D$7:$D$2738,$F261)="","",INDEX(選手一覧!$D$7:$D$2738,$F261))</f>
        <v>0.0110261574074074</v>
      </c>
      <c r="H261" s="17" t="n">
        <f aca="false">IF(INDEX(選手一覧!$E$7:$E$2738,$F261)="","",INDEX(選手一覧!$E$7:$E$2738,$F261))</f>
        <v>1141</v>
      </c>
      <c r="I261" s="16" t="str">
        <f aca="false">IF(INDEX(選手一覧!$J$7:$J$2738,$F261)="","",INDEX(選手一覧!$J$7:$J$2738,$F261))</f>
        <v/>
      </c>
      <c r="J261" s="17" t="str">
        <f aca="false">IF(INDEX(選手一覧!$K$7:$K$2738,$F261)="","",INDEX(選手一覧!$K$7:$K$2738,$F261))</f>
        <v/>
      </c>
    </row>
    <row r="262" customFormat="false" ht="15" hidden="false" customHeight="false" outlineLevel="0" collapsed="false">
      <c r="A262" s="17" t="n">
        <v>258</v>
      </c>
      <c r="B262" s="12" t="s">
        <v>2184</v>
      </c>
      <c r="C262" s="12" t="s">
        <v>2119</v>
      </c>
      <c r="D262" s="16" t="n">
        <v>0.00692094907407407</v>
      </c>
      <c r="E262" s="15" t="n">
        <f aca="false">ROUND((D262-$D$5)*86400,2)</f>
        <v>58.95</v>
      </c>
      <c r="F262" s="17" t="n">
        <v>1389</v>
      </c>
      <c r="G262" s="16" t="str">
        <f aca="false">IF(INDEX(選手一覧!$D$7:$D$2738,$F262)="","",INDEX(選手一覧!$D$7:$D$2738,$F262))</f>
        <v/>
      </c>
      <c r="H262" s="17" t="str">
        <f aca="false">IF(INDEX(選手一覧!$E$7:$E$2738,$F262)="","",INDEX(選手一覧!$E$7:$E$2738,$F262))</f>
        <v/>
      </c>
      <c r="I262" s="16" t="str">
        <f aca="false">IF(INDEX(選手一覧!$J$7:$J$2738,$F262)="","",INDEX(選手一覧!$J$7:$J$2738,$F262))</f>
        <v/>
      </c>
      <c r="J262" s="17" t="str">
        <f aca="false">IF(INDEX(選手一覧!$K$7:$K$2738,$F262)="","",INDEX(選手一覧!$K$7:$K$2738,$F262))</f>
        <v/>
      </c>
    </row>
    <row r="263" customFormat="false" ht="15" hidden="false" customHeight="false" outlineLevel="0" collapsed="false">
      <c r="A263" s="17" t="n">
        <v>259</v>
      </c>
      <c r="B263" s="12" t="s">
        <v>1536</v>
      </c>
      <c r="C263" s="12" t="s">
        <v>101</v>
      </c>
      <c r="D263" s="16" t="n">
        <v>0.0069212962962963</v>
      </c>
      <c r="E263" s="15" t="n">
        <f aca="false">ROUND((D263-$D$5)*86400,2)</f>
        <v>58.98</v>
      </c>
      <c r="F263" s="17" t="n">
        <v>936</v>
      </c>
      <c r="G263" s="16" t="n">
        <f aca="false">IF(INDEX(選手一覧!$D$7:$D$2738,$F263)="","",INDEX(選手一覧!$D$7:$D$2738,$F263))</f>
        <v>0.0109090277777778</v>
      </c>
      <c r="H263" s="17" t="n">
        <f aca="false">IF(INDEX(選手一覧!$E$7:$E$2738,$F263)="","",INDEX(選手一覧!$E$7:$E$2738,$F263))</f>
        <v>937</v>
      </c>
      <c r="I263" s="16" t="n">
        <f aca="false">IF(INDEX(選手一覧!$J$7:$J$2738,$F263)="","",INDEX(選手一覧!$J$7:$J$2738,$F263))</f>
        <v>0.00285833333333333</v>
      </c>
      <c r="J263" s="17" t="n">
        <f aca="false">IF(INDEX(選手一覧!$K$7:$K$2738,$F263)="","",INDEX(選手一覧!$K$7:$K$2738,$F263))</f>
        <v>624</v>
      </c>
    </row>
    <row r="264" customFormat="false" ht="15" hidden="false" customHeight="false" outlineLevel="0" collapsed="false">
      <c r="A264" s="17" t="n">
        <v>260</v>
      </c>
      <c r="B264" s="12" t="s">
        <v>2186</v>
      </c>
      <c r="C264" s="12" t="s">
        <v>2052</v>
      </c>
      <c r="D264" s="16" t="n">
        <v>0.00692233796296296</v>
      </c>
      <c r="E264" s="15" t="n">
        <f aca="false">ROUND((D264-$D$5)*86400,2)</f>
        <v>59.07</v>
      </c>
      <c r="F264" s="17" t="n">
        <v>1391</v>
      </c>
      <c r="G264" s="16" t="str">
        <f aca="false">IF(INDEX(選手一覧!$D$7:$D$2738,$F264)="","",INDEX(選手一覧!$D$7:$D$2738,$F264))</f>
        <v/>
      </c>
      <c r="H264" s="17" t="str">
        <f aca="false">IF(INDEX(選手一覧!$E$7:$E$2738,$F264)="","",INDEX(選手一覧!$E$7:$E$2738,$F264))</f>
        <v/>
      </c>
      <c r="I264" s="16" t="str">
        <f aca="false">IF(INDEX(選手一覧!$J$7:$J$2738,$F264)="","",INDEX(選手一覧!$J$7:$J$2738,$F264))</f>
        <v/>
      </c>
      <c r="J264" s="17" t="str">
        <f aca="false">IF(INDEX(選手一覧!$K$7:$K$2738,$F264)="","",INDEX(選手一覧!$K$7:$K$2738,$F264))</f>
        <v/>
      </c>
    </row>
    <row r="265" customFormat="false" ht="15" hidden="false" customHeight="false" outlineLevel="0" collapsed="false">
      <c r="A265" s="17" t="n">
        <v>261</v>
      </c>
      <c r="B265" s="12" t="s">
        <v>2187</v>
      </c>
      <c r="C265" s="12" t="s">
        <v>2188</v>
      </c>
      <c r="D265" s="16" t="n">
        <v>0.00692268518518519</v>
      </c>
      <c r="E265" s="15" t="n">
        <f aca="false">ROUND((D265-$D$5)*86400,2)</f>
        <v>59.1</v>
      </c>
      <c r="F265" s="17" t="n">
        <v>1392</v>
      </c>
      <c r="G265" s="16" t="str">
        <f aca="false">IF(INDEX(選手一覧!$D$7:$D$2738,$F265)="","",INDEX(選手一覧!$D$7:$D$2738,$F265))</f>
        <v/>
      </c>
      <c r="H265" s="17" t="str">
        <f aca="false">IF(INDEX(選手一覧!$E$7:$E$2738,$F265)="","",INDEX(選手一覧!$E$7:$E$2738,$F265))</f>
        <v/>
      </c>
      <c r="I265" s="16" t="n">
        <f aca="false">IF(INDEX(選手一覧!$J$7:$J$2738,$F265)="","",INDEX(選手一覧!$J$7:$J$2738,$F265))</f>
        <v>0.00291805555555556</v>
      </c>
      <c r="J265" s="17" t="n">
        <f aca="false">IF(INDEX(選手一覧!$K$7:$K$2738,$F265)="","",INDEX(選手一覧!$K$7:$K$2738,$F265))</f>
        <v>1076</v>
      </c>
    </row>
    <row r="266" customFormat="false" ht="15" hidden="false" customHeight="false" outlineLevel="0" collapsed="false">
      <c r="A266" s="17" t="n">
        <v>262</v>
      </c>
      <c r="B266" s="12" t="s">
        <v>2189</v>
      </c>
      <c r="C266" s="12" t="s">
        <v>1346</v>
      </c>
      <c r="D266" s="16" t="n">
        <v>0.00692280092592593</v>
      </c>
      <c r="E266" s="15" t="n">
        <f aca="false">ROUND((D266-$D$5)*86400,2)</f>
        <v>59.11</v>
      </c>
      <c r="F266" s="17" t="n">
        <v>1393</v>
      </c>
      <c r="G266" s="16" t="str">
        <f aca="false">IF(INDEX(選手一覧!$D$7:$D$2738,$F266)="","",INDEX(選手一覧!$D$7:$D$2738,$F266))</f>
        <v/>
      </c>
      <c r="H266" s="17" t="str">
        <f aca="false">IF(INDEX(選手一覧!$E$7:$E$2738,$F266)="","",INDEX(選手一覧!$E$7:$E$2738,$F266))</f>
        <v/>
      </c>
      <c r="I266" s="16" t="str">
        <f aca="false">IF(INDEX(選手一覧!$J$7:$J$2738,$F266)="","",INDEX(選手一覧!$J$7:$J$2738,$F266))</f>
        <v/>
      </c>
      <c r="J266" s="17" t="str">
        <f aca="false">IF(INDEX(選手一覧!$K$7:$K$2738,$F266)="","",INDEX(選手一覧!$K$7:$K$2738,$F266))</f>
        <v/>
      </c>
    </row>
    <row r="267" customFormat="false" ht="15" hidden="false" customHeight="false" outlineLevel="0" collapsed="false">
      <c r="A267" s="17" t="n">
        <v>263</v>
      </c>
      <c r="B267" s="12" t="s">
        <v>2190</v>
      </c>
      <c r="C267" s="12" t="s">
        <v>1692</v>
      </c>
      <c r="D267" s="16" t="n">
        <v>0.00692361111111111</v>
      </c>
      <c r="E267" s="15" t="n">
        <f aca="false">ROUND((D267-$D$5)*86400,2)</f>
        <v>59.18</v>
      </c>
      <c r="F267" s="17" t="n">
        <v>1394</v>
      </c>
      <c r="G267" s="16" t="str">
        <f aca="false">IF(INDEX(選手一覧!$D$7:$D$2738,$F267)="","",INDEX(選手一覧!$D$7:$D$2738,$F267))</f>
        <v/>
      </c>
      <c r="H267" s="17" t="str">
        <f aca="false">IF(INDEX(選手一覧!$E$7:$E$2738,$F267)="","",INDEX(選手一覧!$E$7:$E$2738,$F267))</f>
        <v/>
      </c>
      <c r="I267" s="16" t="str">
        <f aca="false">IF(INDEX(選手一覧!$J$7:$J$2738,$F267)="","",INDEX(選手一覧!$J$7:$J$2738,$F267))</f>
        <v/>
      </c>
      <c r="J267" s="17" t="str">
        <f aca="false">IF(INDEX(選手一覧!$K$7:$K$2738,$F267)="","",INDEX(選手一覧!$K$7:$K$2738,$F267))</f>
        <v/>
      </c>
    </row>
    <row r="268" customFormat="false" ht="15" hidden="false" customHeight="false" outlineLevel="0" collapsed="false">
      <c r="A268" s="17" t="n">
        <v>264</v>
      </c>
      <c r="B268" s="12" t="s">
        <v>2191</v>
      </c>
      <c r="C268" s="12" t="s">
        <v>2192</v>
      </c>
      <c r="D268" s="16" t="n">
        <v>0.00692488425925926</v>
      </c>
      <c r="E268" s="15" t="n">
        <f aca="false">ROUND((D268-$D$5)*86400,2)</f>
        <v>59.29</v>
      </c>
      <c r="F268" s="17" t="n">
        <v>1395</v>
      </c>
      <c r="G268" s="16" t="str">
        <f aca="false">IF(INDEX(選手一覧!$D$7:$D$2738,$F268)="","",INDEX(選手一覧!$D$7:$D$2738,$F268))</f>
        <v/>
      </c>
      <c r="H268" s="17" t="str">
        <f aca="false">IF(INDEX(選手一覧!$E$7:$E$2738,$F268)="","",INDEX(選手一覧!$E$7:$E$2738,$F268))</f>
        <v/>
      </c>
      <c r="I268" s="16" t="str">
        <f aca="false">IF(INDEX(選手一覧!$J$7:$J$2738,$F268)="","",INDEX(選手一覧!$J$7:$J$2738,$F268))</f>
        <v/>
      </c>
      <c r="J268" s="17" t="str">
        <f aca="false">IF(INDEX(選手一覧!$K$7:$K$2738,$F268)="","",INDEX(選手一覧!$K$7:$K$2738,$F268))</f>
        <v/>
      </c>
    </row>
    <row r="269" customFormat="false" ht="15" hidden="false" customHeight="false" outlineLevel="0" collapsed="false">
      <c r="A269" s="17" t="n">
        <v>265</v>
      </c>
      <c r="B269" s="12" t="s">
        <v>2193</v>
      </c>
      <c r="C269" s="12" t="s">
        <v>2194</v>
      </c>
      <c r="D269" s="16" t="n">
        <v>0.00692604166666667</v>
      </c>
      <c r="E269" s="15" t="n">
        <f aca="false">ROUND((D269-$D$5)*86400,2)</f>
        <v>59.39</v>
      </c>
      <c r="F269" s="17" t="n">
        <v>1396</v>
      </c>
      <c r="G269" s="16" t="str">
        <f aca="false">IF(INDEX(選手一覧!$D$7:$D$2738,$F269)="","",INDEX(選手一覧!$D$7:$D$2738,$F269))</f>
        <v/>
      </c>
      <c r="H269" s="17" t="str">
        <f aca="false">IF(INDEX(選手一覧!$E$7:$E$2738,$F269)="","",INDEX(選手一覧!$E$7:$E$2738,$F269))</f>
        <v/>
      </c>
      <c r="I269" s="16" t="str">
        <f aca="false">IF(INDEX(選手一覧!$J$7:$J$2738,$F269)="","",INDEX(選手一覧!$J$7:$J$2738,$F269))</f>
        <v/>
      </c>
      <c r="J269" s="17" t="str">
        <f aca="false">IF(INDEX(選手一覧!$K$7:$K$2738,$F269)="","",INDEX(選手一覧!$K$7:$K$2738,$F269))</f>
        <v/>
      </c>
    </row>
    <row r="270" customFormat="false" ht="15" hidden="false" customHeight="false" outlineLevel="0" collapsed="false">
      <c r="A270" s="17" t="n">
        <v>266</v>
      </c>
      <c r="B270" s="12" t="s">
        <v>366</v>
      </c>
      <c r="C270" s="12" t="s">
        <v>77</v>
      </c>
      <c r="D270" s="16" t="n">
        <v>0.00692604166666667</v>
      </c>
      <c r="E270" s="15" t="n">
        <f aca="false">ROUND((D270-$D$5)*86400,2)</f>
        <v>59.39</v>
      </c>
      <c r="F270" s="17" t="n">
        <v>179</v>
      </c>
      <c r="G270" s="16" t="n">
        <f aca="false">IF(INDEX(選手一覧!$D$7:$D$2738,$F270)="","",INDEX(選手一覧!$D$7:$D$2738,$F270))</f>
        <v>0.0103270833333333</v>
      </c>
      <c r="H270" s="17" t="n">
        <f aca="false">IF(INDEX(選手一覧!$E$7:$E$2738,$F270)="","",INDEX(選手一覧!$E$7:$E$2738,$F270))</f>
        <v>180</v>
      </c>
      <c r="I270" s="16" t="n">
        <f aca="false">IF(INDEX(選手一覧!$J$7:$J$2738,$F270)="","",INDEX(選手一覧!$J$7:$J$2738,$F270))</f>
        <v>0.00286608796296296</v>
      </c>
      <c r="J270" s="17" t="n">
        <f aca="false">IF(INDEX(選手一覧!$K$7:$K$2738,$F270)="","",INDEX(選手一覧!$K$7:$K$2738,$F270))</f>
        <v>670</v>
      </c>
    </row>
    <row r="271" customFormat="false" ht="15" hidden="false" customHeight="false" outlineLevel="0" collapsed="false">
      <c r="A271" s="17" t="n">
        <v>267</v>
      </c>
      <c r="B271" s="12" t="s">
        <v>1541</v>
      </c>
      <c r="C271" s="12" t="s">
        <v>478</v>
      </c>
      <c r="D271" s="16" t="n">
        <v>0.00692696759259259</v>
      </c>
      <c r="E271" s="15" t="n">
        <f aca="false">ROUND((D271-$D$5)*86400,2)</f>
        <v>59.47</v>
      </c>
      <c r="F271" s="17" t="n">
        <v>939</v>
      </c>
      <c r="G271" s="16" t="n">
        <f aca="false">IF(INDEX(選手一覧!$D$7:$D$2738,$F271)="","",INDEX(選手一覧!$D$7:$D$2738,$F271))</f>
        <v>0.0109114583333333</v>
      </c>
      <c r="H271" s="17" t="n">
        <f aca="false">IF(INDEX(選手一覧!$E$7:$E$2738,$F271)="","",INDEX(選手一覧!$E$7:$E$2738,$F271))</f>
        <v>940</v>
      </c>
      <c r="I271" s="16" t="n">
        <f aca="false">IF(INDEX(選手一覧!$J$7:$J$2738,$F271)="","",INDEX(選手一覧!$J$7:$J$2738,$F271))</f>
        <v>0.00289166666666667</v>
      </c>
      <c r="J271" s="17" t="n">
        <f aca="false">IF(INDEX(選手一覧!$K$7:$K$2738,$F271)="","",INDEX(選手一覧!$K$7:$K$2738,$F271))</f>
        <v>884</v>
      </c>
    </row>
    <row r="272" customFormat="false" ht="15" hidden="false" customHeight="false" outlineLevel="0" collapsed="false">
      <c r="A272" s="17" t="n">
        <v>268</v>
      </c>
      <c r="B272" s="12" t="s">
        <v>2197</v>
      </c>
      <c r="C272" s="12" t="s">
        <v>199</v>
      </c>
      <c r="D272" s="16" t="n">
        <v>0.0069275462962963</v>
      </c>
      <c r="E272" s="15" t="n">
        <f aca="false">ROUND((D272-$D$5)*86400,2)</f>
        <v>59.52</v>
      </c>
      <c r="F272" s="17" t="n">
        <v>1398</v>
      </c>
      <c r="G272" s="16" t="str">
        <f aca="false">IF(INDEX(選手一覧!$D$7:$D$2738,$F272)="","",INDEX(選手一覧!$D$7:$D$2738,$F272))</f>
        <v/>
      </c>
      <c r="H272" s="17" t="str">
        <f aca="false">IF(INDEX(選手一覧!$E$7:$E$2738,$F272)="","",INDEX(選手一覧!$E$7:$E$2738,$F272))</f>
        <v/>
      </c>
      <c r="I272" s="16" t="str">
        <f aca="false">IF(INDEX(選手一覧!$J$7:$J$2738,$F272)="","",INDEX(選手一覧!$J$7:$J$2738,$F272))</f>
        <v/>
      </c>
      <c r="J272" s="17" t="str">
        <f aca="false">IF(INDEX(選手一覧!$K$7:$K$2738,$F272)="","",INDEX(選手一覧!$K$7:$K$2738,$F272))</f>
        <v/>
      </c>
    </row>
    <row r="273" customFormat="false" ht="15" hidden="false" customHeight="false" outlineLevel="0" collapsed="false">
      <c r="A273" s="17" t="n">
        <v>269</v>
      </c>
      <c r="B273" s="12" t="s">
        <v>2198</v>
      </c>
      <c r="C273" s="12" t="s">
        <v>917</v>
      </c>
      <c r="D273" s="16" t="n">
        <v>0.0069287037037037</v>
      </c>
      <c r="E273" s="15" t="n">
        <f aca="false">ROUND((D273-$D$5)*86400,2)</f>
        <v>59.62</v>
      </c>
      <c r="F273" s="17" t="n">
        <v>1399</v>
      </c>
      <c r="G273" s="16" t="str">
        <f aca="false">IF(INDEX(選手一覧!$D$7:$D$2738,$F273)="","",INDEX(選手一覧!$D$7:$D$2738,$F273))</f>
        <v/>
      </c>
      <c r="H273" s="17" t="str">
        <f aca="false">IF(INDEX(選手一覧!$E$7:$E$2738,$F273)="","",INDEX(選手一覧!$E$7:$E$2738,$F273))</f>
        <v/>
      </c>
      <c r="I273" s="16" t="str">
        <f aca="false">IF(INDEX(選手一覧!$J$7:$J$2738,$F273)="","",INDEX(選手一覧!$J$7:$J$2738,$F273))</f>
        <v/>
      </c>
      <c r="J273" s="17" t="str">
        <f aca="false">IF(INDEX(選手一覧!$K$7:$K$2738,$F273)="","",INDEX(選手一覧!$K$7:$K$2738,$F273))</f>
        <v/>
      </c>
    </row>
    <row r="274" customFormat="false" ht="15" hidden="false" customHeight="false" outlineLevel="0" collapsed="false">
      <c r="A274" s="17" t="n">
        <v>270</v>
      </c>
      <c r="B274" s="12" t="s">
        <v>2199</v>
      </c>
      <c r="C274" s="12" t="s">
        <v>1833</v>
      </c>
      <c r="D274" s="16" t="n">
        <v>0.00692916666666667</v>
      </c>
      <c r="E274" s="15" t="n">
        <f aca="false">ROUND((D274-$D$5)*86400,2)</f>
        <v>59.66</v>
      </c>
      <c r="F274" s="17" t="n">
        <v>1400</v>
      </c>
      <c r="G274" s="16" t="str">
        <f aca="false">IF(INDEX(選手一覧!$D$7:$D$2738,$F274)="","",INDEX(選手一覧!$D$7:$D$2738,$F274))</f>
        <v/>
      </c>
      <c r="H274" s="17" t="str">
        <f aca="false">IF(INDEX(選手一覧!$E$7:$E$2738,$F274)="","",INDEX(選手一覧!$E$7:$E$2738,$F274))</f>
        <v/>
      </c>
      <c r="I274" s="16" t="str">
        <f aca="false">IF(INDEX(選手一覧!$J$7:$J$2738,$F274)="","",INDEX(選手一覧!$J$7:$J$2738,$F274))</f>
        <v/>
      </c>
      <c r="J274" s="17" t="str">
        <f aca="false">IF(INDEX(選手一覧!$K$7:$K$2738,$F274)="","",INDEX(選手一覧!$K$7:$K$2738,$F274))</f>
        <v/>
      </c>
    </row>
    <row r="275" customFormat="false" ht="15" hidden="false" customHeight="false" outlineLevel="0" collapsed="false">
      <c r="A275" s="17" t="n">
        <v>271</v>
      </c>
      <c r="B275" s="12" t="s">
        <v>2140</v>
      </c>
      <c r="C275" s="12" t="s">
        <v>1503</v>
      </c>
      <c r="D275" s="16" t="n">
        <v>0.00692916666666667</v>
      </c>
      <c r="E275" s="15" t="n">
        <f aca="false">ROUND((D275-$D$5)*86400,2)</f>
        <v>59.66</v>
      </c>
      <c r="F275" s="17" t="n">
        <v>1357</v>
      </c>
      <c r="G275" s="16" t="str">
        <f aca="false">IF(INDEX(選手一覧!$D$7:$D$2738,$F275)="","",INDEX(選手一覧!$D$7:$D$2738,$F275))</f>
        <v/>
      </c>
      <c r="H275" s="17" t="str">
        <f aca="false">IF(INDEX(選手一覧!$E$7:$E$2738,$F275)="","",INDEX(選手一覧!$E$7:$E$2738,$F275))</f>
        <v/>
      </c>
      <c r="I275" s="16" t="n">
        <f aca="false">IF(INDEX(選手一覧!$J$7:$J$2738,$F275)="","",INDEX(選手一覧!$J$7:$J$2738,$F275))</f>
        <v>0.00278564814814815</v>
      </c>
      <c r="J275" s="17" t="n">
        <f aca="false">IF(INDEX(選手一覧!$K$7:$K$2738,$F275)="","",INDEX(選手一覧!$K$7:$K$2738,$F275))</f>
        <v>220</v>
      </c>
    </row>
    <row r="276" customFormat="false" ht="15" hidden="false" customHeight="false" outlineLevel="0" collapsed="false">
      <c r="A276" s="17" t="n">
        <v>272</v>
      </c>
      <c r="B276" s="12" t="s">
        <v>2202</v>
      </c>
      <c r="C276" s="12" t="s">
        <v>2203</v>
      </c>
      <c r="D276" s="16" t="n">
        <v>0.00692986111111111</v>
      </c>
      <c r="E276" s="15" t="n">
        <f aca="false">ROUND((D276-$D$5)*86400,2)</f>
        <v>59.72</v>
      </c>
      <c r="F276" s="17" t="n">
        <v>1402</v>
      </c>
      <c r="G276" s="16" t="str">
        <f aca="false">IF(INDEX(選手一覧!$D$7:$D$2738,$F276)="","",INDEX(選手一覧!$D$7:$D$2738,$F276))</f>
        <v/>
      </c>
      <c r="H276" s="17" t="str">
        <f aca="false">IF(INDEX(選手一覧!$E$7:$E$2738,$F276)="","",INDEX(選手一覧!$E$7:$E$2738,$F276))</f>
        <v/>
      </c>
      <c r="I276" s="16" t="str">
        <f aca="false">IF(INDEX(選手一覧!$J$7:$J$2738,$F276)="","",INDEX(選手一覧!$J$7:$J$2738,$F276))</f>
        <v/>
      </c>
      <c r="J276" s="17" t="str">
        <f aca="false">IF(INDEX(選手一覧!$K$7:$K$2738,$F276)="","",INDEX(選手一覧!$K$7:$K$2738,$F276))</f>
        <v/>
      </c>
    </row>
    <row r="277" customFormat="false" ht="15" hidden="false" customHeight="false" outlineLevel="0" collapsed="false">
      <c r="A277" s="17" t="n">
        <v>273</v>
      </c>
      <c r="B277" s="12" t="s">
        <v>1252</v>
      </c>
      <c r="C277" s="12" t="s">
        <v>214</v>
      </c>
      <c r="D277" s="16" t="n">
        <v>0.00692986111111111</v>
      </c>
      <c r="E277" s="15" t="n">
        <f aca="false">ROUND((D277-$D$5)*86400,2)</f>
        <v>59.72</v>
      </c>
      <c r="F277" s="17" t="n">
        <v>746</v>
      </c>
      <c r="G277" s="16" t="n">
        <f aca="false">IF(INDEX(選手一覧!$D$7:$D$2738,$F277)="","",INDEX(選手一覧!$D$7:$D$2738,$F277))</f>
        <v>0.0108023148148148</v>
      </c>
      <c r="H277" s="17" t="n">
        <f aca="false">IF(INDEX(選手一覧!$E$7:$E$2738,$F277)="","",INDEX(選手一覧!$E$7:$E$2738,$F277))</f>
        <v>747</v>
      </c>
      <c r="I277" s="16" t="n">
        <f aca="false">IF(INDEX(選手一覧!$J$7:$J$2738,$F277)="","",INDEX(選手一覧!$J$7:$J$2738,$F277))</f>
        <v>0.00288194444444444</v>
      </c>
      <c r="J277" s="17" t="n">
        <f aca="false">IF(INDEX(選手一覧!$K$7:$K$2738,$F277)="","",INDEX(選手一覧!$K$7:$K$2738,$F277))</f>
        <v>791</v>
      </c>
    </row>
    <row r="278" customFormat="false" ht="15" hidden="false" customHeight="false" outlineLevel="0" collapsed="false">
      <c r="A278" s="17" t="n">
        <v>274</v>
      </c>
      <c r="B278" s="12" t="s">
        <v>379</v>
      </c>
      <c r="C278" s="12" t="s">
        <v>380</v>
      </c>
      <c r="D278" s="16" t="n">
        <v>0.00693090277777778</v>
      </c>
      <c r="E278" s="15" t="n">
        <f aca="false">ROUND((D278-$D$5)*86400,2)</f>
        <v>59.81</v>
      </c>
      <c r="F278" s="17" t="n">
        <v>186</v>
      </c>
      <c r="G278" s="16" t="n">
        <f aca="false">IF(INDEX(選手一覧!$D$7:$D$2738,$F278)="","",INDEX(選手一覧!$D$7:$D$2738,$F278))</f>
        <v>0.0103375</v>
      </c>
      <c r="H278" s="17" t="n">
        <f aca="false">IF(INDEX(選手一覧!$E$7:$E$2738,$F278)="","",INDEX(選手一覧!$E$7:$E$2738,$F278))</f>
        <v>187</v>
      </c>
      <c r="I278" s="16" t="n">
        <f aca="false">IF(INDEX(選手一覧!$J$7:$J$2738,$F278)="","",INDEX(選手一覧!$J$7:$J$2738,$F278))</f>
        <v>0.00290196759259259</v>
      </c>
      <c r="J278" s="17" t="n">
        <f aca="false">IF(INDEX(選手一覧!$K$7:$K$2738,$F278)="","",INDEX(選手一覧!$K$7:$K$2738,$F278))</f>
        <v>964</v>
      </c>
    </row>
    <row r="279" customFormat="false" ht="15" hidden="false" customHeight="false" outlineLevel="0" collapsed="false">
      <c r="A279" s="17" t="n">
        <v>275</v>
      </c>
      <c r="B279" s="12" t="s">
        <v>2204</v>
      </c>
      <c r="C279" s="12" t="s">
        <v>989</v>
      </c>
      <c r="D279" s="16" t="n">
        <v>0.00693159722222222</v>
      </c>
      <c r="E279" s="15" t="n">
        <f aca="false">ROUND((D279-$D$5)*86400,2)</f>
        <v>59.87</v>
      </c>
      <c r="F279" s="17" t="n">
        <v>1403</v>
      </c>
      <c r="G279" s="16" t="str">
        <f aca="false">IF(INDEX(選手一覧!$D$7:$D$2738,$F279)="","",INDEX(選手一覧!$D$7:$D$2738,$F279))</f>
        <v/>
      </c>
      <c r="H279" s="17" t="str">
        <f aca="false">IF(INDEX(選手一覧!$E$7:$E$2738,$F279)="","",INDEX(選手一覧!$E$7:$E$2738,$F279))</f>
        <v/>
      </c>
      <c r="I279" s="16" t="str">
        <f aca="false">IF(INDEX(選手一覧!$J$7:$J$2738,$F279)="","",INDEX(選手一覧!$J$7:$J$2738,$F279))</f>
        <v/>
      </c>
      <c r="J279" s="17" t="str">
        <f aca="false">IF(INDEX(選手一覧!$K$7:$K$2738,$F279)="","",INDEX(選手一覧!$K$7:$K$2738,$F279))</f>
        <v/>
      </c>
    </row>
    <row r="280" customFormat="false" ht="15" hidden="false" customHeight="false" outlineLevel="0" collapsed="false">
      <c r="A280" s="17" t="n">
        <v>276</v>
      </c>
      <c r="B280" s="12" t="s">
        <v>2205</v>
      </c>
      <c r="C280" s="12" t="s">
        <v>1121</v>
      </c>
      <c r="D280" s="16" t="n">
        <v>0.00693333333333333</v>
      </c>
      <c r="E280" s="15" t="n">
        <f aca="false">ROUND((D280-$D$5)*86400,2)</f>
        <v>60.02</v>
      </c>
      <c r="F280" s="17" t="n">
        <v>1404</v>
      </c>
      <c r="G280" s="16" t="str">
        <f aca="false">IF(INDEX(選手一覧!$D$7:$D$2738,$F280)="","",INDEX(選手一覧!$D$7:$D$2738,$F280))</f>
        <v/>
      </c>
      <c r="H280" s="17" t="str">
        <f aca="false">IF(INDEX(選手一覧!$E$7:$E$2738,$F280)="","",INDEX(選手一覧!$E$7:$E$2738,$F280))</f>
        <v/>
      </c>
      <c r="I280" s="16" t="str">
        <f aca="false">IF(INDEX(選手一覧!$J$7:$J$2738,$F280)="","",INDEX(選手一覧!$J$7:$J$2738,$F280))</f>
        <v/>
      </c>
      <c r="J280" s="17" t="str">
        <f aca="false">IF(INDEX(選手一覧!$K$7:$K$2738,$F280)="","",INDEX(選手一覧!$K$7:$K$2738,$F280))</f>
        <v/>
      </c>
    </row>
    <row r="281" customFormat="false" ht="15" hidden="false" customHeight="false" outlineLevel="0" collapsed="false">
      <c r="A281" s="17" t="n">
        <v>277</v>
      </c>
      <c r="B281" s="12" t="s">
        <v>2206</v>
      </c>
      <c r="C281" s="12" t="s">
        <v>2207</v>
      </c>
      <c r="D281" s="16" t="n">
        <v>0.00693425925925926</v>
      </c>
      <c r="E281" s="15" t="n">
        <f aca="false">ROUND((D281-$D$5)*86400,2)</f>
        <v>60.1</v>
      </c>
      <c r="F281" s="17" t="n">
        <v>1405</v>
      </c>
      <c r="G281" s="16" t="str">
        <f aca="false">IF(INDEX(選手一覧!$D$7:$D$2738,$F281)="","",INDEX(選手一覧!$D$7:$D$2738,$F281))</f>
        <v/>
      </c>
      <c r="H281" s="17" t="str">
        <f aca="false">IF(INDEX(選手一覧!$E$7:$E$2738,$F281)="","",INDEX(選手一覧!$E$7:$E$2738,$F281))</f>
        <v/>
      </c>
      <c r="I281" s="16" t="str">
        <f aca="false">IF(INDEX(選手一覧!$J$7:$J$2738,$F281)="","",INDEX(選手一覧!$J$7:$J$2738,$F281))</f>
        <v/>
      </c>
      <c r="J281" s="17" t="str">
        <f aca="false">IF(INDEX(選手一覧!$K$7:$K$2738,$F281)="","",INDEX(選手一覧!$K$7:$K$2738,$F281))</f>
        <v/>
      </c>
    </row>
    <row r="282" customFormat="false" ht="15" hidden="false" customHeight="false" outlineLevel="0" collapsed="false">
      <c r="A282" s="17" t="n">
        <v>278</v>
      </c>
      <c r="B282" s="12" t="s">
        <v>337</v>
      </c>
      <c r="C282" s="12" t="s">
        <v>167</v>
      </c>
      <c r="D282" s="16" t="n">
        <v>0.00693576388888889</v>
      </c>
      <c r="E282" s="15" t="n">
        <f aca="false">ROUND((D282-$D$5)*86400,2)</f>
        <v>60.23</v>
      </c>
      <c r="F282" s="17" t="n">
        <v>162</v>
      </c>
      <c r="G282" s="16" t="n">
        <f aca="false">IF(INDEX(選手一覧!$D$7:$D$2738,$F282)="","",INDEX(選手一覧!$D$7:$D$2738,$F282))</f>
        <v>0.0103019675925926</v>
      </c>
      <c r="H282" s="17" t="n">
        <f aca="false">IF(INDEX(選手一覧!$E$7:$E$2738,$F282)="","",INDEX(選手一覧!$E$7:$E$2738,$F282))</f>
        <v>163</v>
      </c>
      <c r="I282" s="16" t="n">
        <f aca="false">IF(INDEX(選手一覧!$J$7:$J$2738,$F282)="","",INDEX(選手一覧!$J$7:$J$2738,$F282))</f>
        <v>0.00278275462962963</v>
      </c>
      <c r="J282" s="17" t="n">
        <f aca="false">IF(INDEX(選手一覧!$K$7:$K$2738,$F282)="","",INDEX(選手一覧!$K$7:$K$2738,$F282))</f>
        <v>212</v>
      </c>
    </row>
    <row r="283" customFormat="false" ht="15" hidden="false" customHeight="false" outlineLevel="0" collapsed="false">
      <c r="A283" s="17" t="n">
        <v>279</v>
      </c>
      <c r="B283" s="12" t="s">
        <v>2208</v>
      </c>
      <c r="C283" s="12" t="s">
        <v>397</v>
      </c>
      <c r="D283" s="16" t="n">
        <v>0.00693668981481482</v>
      </c>
      <c r="E283" s="15" t="n">
        <f aca="false">ROUND((D283-$D$5)*86400,2)</f>
        <v>60.31</v>
      </c>
      <c r="F283" s="17" t="n">
        <v>1406</v>
      </c>
      <c r="G283" s="16" t="str">
        <f aca="false">IF(INDEX(選手一覧!$D$7:$D$2738,$F283)="","",INDEX(選手一覧!$D$7:$D$2738,$F283))</f>
        <v/>
      </c>
      <c r="H283" s="17" t="str">
        <f aca="false">IF(INDEX(選手一覧!$E$7:$E$2738,$F283)="","",INDEX(選手一覧!$E$7:$E$2738,$F283))</f>
        <v/>
      </c>
      <c r="I283" s="16" t="str">
        <f aca="false">IF(INDEX(選手一覧!$J$7:$J$2738,$F283)="","",INDEX(選手一覧!$J$7:$J$2738,$F283))</f>
        <v/>
      </c>
      <c r="J283" s="17" t="str">
        <f aca="false">IF(INDEX(選手一覧!$K$7:$K$2738,$F283)="","",INDEX(選手一覧!$K$7:$K$2738,$F283))</f>
        <v/>
      </c>
    </row>
    <row r="284" customFormat="false" ht="15" hidden="false" customHeight="false" outlineLevel="0" collapsed="false">
      <c r="A284" s="17" t="n">
        <v>280</v>
      </c>
      <c r="B284" s="12" t="s">
        <v>309</v>
      </c>
      <c r="C284" s="12" t="s">
        <v>207</v>
      </c>
      <c r="D284" s="16" t="n">
        <v>0.00693680555555556</v>
      </c>
      <c r="E284" s="15" t="n">
        <f aca="false">ROUND((D284-$D$5)*86400,2)</f>
        <v>60.32</v>
      </c>
      <c r="F284" s="17" t="n">
        <v>148</v>
      </c>
      <c r="G284" s="16" t="n">
        <f aca="false">IF(INDEX(選手一覧!$D$7:$D$2738,$F284)="","",INDEX(選手一覧!$D$7:$D$2738,$F284))</f>
        <v>0.0102820601851852</v>
      </c>
      <c r="H284" s="17" t="n">
        <f aca="false">IF(INDEX(選手一覧!$E$7:$E$2738,$F284)="","",INDEX(選手一覧!$E$7:$E$2738,$F284))</f>
        <v>149</v>
      </c>
      <c r="I284" s="16" t="n">
        <f aca="false">IF(INDEX(選手一覧!$J$7:$J$2738,$F284)="","",INDEX(選手一覧!$J$7:$J$2738,$F284))</f>
        <v>0.00288113425925926</v>
      </c>
      <c r="J284" s="17" t="n">
        <f aca="false">IF(INDEX(選手一覧!$K$7:$K$2738,$F284)="","",INDEX(選手一覧!$K$7:$K$2738,$F284))</f>
        <v>778</v>
      </c>
    </row>
    <row r="285" customFormat="false" ht="15" hidden="false" customHeight="false" outlineLevel="0" collapsed="false">
      <c r="A285" s="17" t="n">
        <v>281</v>
      </c>
      <c r="B285" s="12" t="s">
        <v>2210</v>
      </c>
      <c r="C285" s="12" t="s">
        <v>80</v>
      </c>
      <c r="D285" s="16" t="n">
        <v>0.00693865740740741</v>
      </c>
      <c r="E285" s="15" t="n">
        <f aca="false">ROUND((D285-$D$5)*86400,2)</f>
        <v>60.48</v>
      </c>
      <c r="F285" s="17" t="n">
        <v>1408</v>
      </c>
      <c r="G285" s="16" t="str">
        <f aca="false">IF(INDEX(選手一覧!$D$7:$D$2738,$F285)="","",INDEX(選手一覧!$D$7:$D$2738,$F285))</f>
        <v/>
      </c>
      <c r="H285" s="17" t="str">
        <f aca="false">IF(INDEX(選手一覧!$E$7:$E$2738,$F285)="","",INDEX(選手一覧!$E$7:$E$2738,$F285))</f>
        <v/>
      </c>
      <c r="I285" s="16" t="n">
        <f aca="false">IF(INDEX(選手一覧!$J$7:$J$2738,$F285)="","",INDEX(選手一覧!$J$7:$J$2738,$F285))</f>
        <v>0.00288761574074074</v>
      </c>
      <c r="J285" s="17" t="n">
        <f aca="false">IF(INDEX(選手一覧!$K$7:$K$2738,$F285)="","",INDEX(選手一覧!$K$7:$K$2738,$F285))</f>
        <v>840</v>
      </c>
    </row>
    <row r="286" customFormat="false" ht="15" hidden="false" customHeight="false" outlineLevel="0" collapsed="false">
      <c r="A286" s="17" t="n">
        <v>282</v>
      </c>
      <c r="B286" s="12" t="s">
        <v>2211</v>
      </c>
      <c r="C286" s="12" t="s">
        <v>2212</v>
      </c>
      <c r="D286" s="16" t="n">
        <v>0.00693888888888889</v>
      </c>
      <c r="E286" s="15" t="n">
        <f aca="false">ROUND((D286-$D$5)*86400,2)</f>
        <v>60.5</v>
      </c>
      <c r="F286" s="17" t="n">
        <v>1409</v>
      </c>
      <c r="G286" s="16" t="str">
        <f aca="false">IF(INDEX(選手一覧!$D$7:$D$2738,$F286)="","",INDEX(選手一覧!$D$7:$D$2738,$F286))</f>
        <v/>
      </c>
      <c r="H286" s="17" t="str">
        <f aca="false">IF(INDEX(選手一覧!$E$7:$E$2738,$F286)="","",INDEX(選手一覧!$E$7:$E$2738,$F286))</f>
        <v/>
      </c>
      <c r="I286" s="16" t="n">
        <f aca="false">IF(INDEX(選手一覧!$J$7:$J$2738,$F286)="","",INDEX(選手一覧!$J$7:$J$2738,$F286))</f>
        <v>0.00292488425925926</v>
      </c>
      <c r="J286" s="17" t="n">
        <f aca="false">IF(INDEX(選手一覧!$K$7:$K$2738,$F286)="","",INDEX(選手一覧!$K$7:$K$2738,$F286))</f>
        <v>1146</v>
      </c>
    </row>
    <row r="287" customFormat="false" ht="15" hidden="false" customHeight="false" outlineLevel="0" collapsed="false">
      <c r="A287" s="17" t="n">
        <v>283</v>
      </c>
      <c r="B287" s="12" t="s">
        <v>2213</v>
      </c>
      <c r="C287" s="12" t="s">
        <v>2214</v>
      </c>
      <c r="D287" s="16" t="n">
        <v>0.00694189814814815</v>
      </c>
      <c r="E287" s="15" t="n">
        <f aca="false">ROUND((D287-$D$5)*86400,2)</f>
        <v>60.76</v>
      </c>
      <c r="F287" s="17" t="n">
        <v>1410</v>
      </c>
      <c r="G287" s="16" t="str">
        <f aca="false">IF(INDEX(選手一覧!$D$7:$D$2738,$F287)="","",INDEX(選手一覧!$D$7:$D$2738,$F287))</f>
        <v/>
      </c>
      <c r="H287" s="17" t="str">
        <f aca="false">IF(INDEX(選手一覧!$E$7:$E$2738,$F287)="","",INDEX(選手一覧!$E$7:$E$2738,$F287))</f>
        <v/>
      </c>
      <c r="I287" s="16" t="str">
        <f aca="false">IF(INDEX(選手一覧!$J$7:$J$2738,$F287)="","",INDEX(選手一覧!$J$7:$J$2738,$F287))</f>
        <v/>
      </c>
      <c r="J287" s="17" t="str">
        <f aca="false">IF(INDEX(選手一覧!$K$7:$K$2738,$F287)="","",INDEX(選手一覧!$K$7:$K$2738,$F287))</f>
        <v/>
      </c>
    </row>
    <row r="288" customFormat="false" ht="15" hidden="false" customHeight="false" outlineLevel="0" collapsed="false">
      <c r="A288" s="17" t="n">
        <v>284</v>
      </c>
      <c r="B288" s="12" t="s">
        <v>2215</v>
      </c>
      <c r="C288" s="12" t="s">
        <v>101</v>
      </c>
      <c r="D288" s="16" t="n">
        <v>0.00694768518518519</v>
      </c>
      <c r="E288" s="15" t="n">
        <f aca="false">ROUND((D288-$D$5)*86400,2)</f>
        <v>61.26</v>
      </c>
      <c r="F288" s="17" t="n">
        <v>1411</v>
      </c>
      <c r="G288" s="16" t="str">
        <f aca="false">IF(INDEX(選手一覧!$D$7:$D$2738,$F288)="","",INDEX(選手一覧!$D$7:$D$2738,$F288))</f>
        <v/>
      </c>
      <c r="H288" s="17" t="str">
        <f aca="false">IF(INDEX(選手一覧!$E$7:$E$2738,$F288)="","",INDEX(選手一覧!$E$7:$E$2738,$F288))</f>
        <v/>
      </c>
      <c r="I288" s="16" t="str">
        <f aca="false">IF(INDEX(選手一覧!$J$7:$J$2738,$F288)="","",INDEX(選手一覧!$J$7:$J$2738,$F288))</f>
        <v/>
      </c>
      <c r="J288" s="17" t="str">
        <f aca="false">IF(INDEX(選手一覧!$K$7:$K$2738,$F288)="","",INDEX(選手一覧!$K$7:$K$2738,$F288))</f>
        <v/>
      </c>
    </row>
    <row r="289" customFormat="false" ht="15" hidden="false" customHeight="false" outlineLevel="0" collapsed="false">
      <c r="A289" s="17" t="n">
        <v>285</v>
      </c>
      <c r="B289" s="12" t="s">
        <v>1619</v>
      </c>
      <c r="C289" s="12" t="s">
        <v>949</v>
      </c>
      <c r="D289" s="16" t="n">
        <v>0.00695023148148148</v>
      </c>
      <c r="E289" s="15" t="n">
        <f aca="false">ROUND((D289-$D$5)*86400,2)</f>
        <v>61.48</v>
      </c>
      <c r="F289" s="17" t="n">
        <v>994</v>
      </c>
      <c r="G289" s="16" t="n">
        <f aca="false">IF(INDEX(選手一覧!$D$7:$D$2738,$F289)="","",INDEX(選手一覧!$D$7:$D$2738,$F289))</f>
        <v>0.0109489583333333</v>
      </c>
      <c r="H289" s="17" t="n">
        <f aca="false">IF(INDEX(選手一覧!$E$7:$E$2738,$F289)="","",INDEX(選手一覧!$E$7:$E$2738,$F289))</f>
        <v>995</v>
      </c>
      <c r="I289" s="16" t="str">
        <f aca="false">IF(INDEX(選手一覧!$J$7:$J$2738,$F289)="","",INDEX(選手一覧!$J$7:$J$2738,$F289))</f>
        <v/>
      </c>
      <c r="J289" s="17" t="str">
        <f aca="false">IF(INDEX(選手一覧!$K$7:$K$2738,$F289)="","",INDEX(選手一覧!$K$7:$K$2738,$F289))</f>
        <v/>
      </c>
    </row>
    <row r="290" customFormat="false" ht="15" hidden="false" customHeight="false" outlineLevel="0" collapsed="false">
      <c r="A290" s="17" t="n">
        <v>286</v>
      </c>
      <c r="B290" s="12" t="s">
        <v>2216</v>
      </c>
      <c r="C290" s="12" t="s">
        <v>2217</v>
      </c>
      <c r="D290" s="16" t="n">
        <v>0.00695127314814815</v>
      </c>
      <c r="E290" s="15" t="n">
        <f aca="false">ROUND((D290-$D$5)*86400,2)</f>
        <v>61.57</v>
      </c>
      <c r="F290" s="17" t="n">
        <v>1412</v>
      </c>
      <c r="G290" s="16" t="str">
        <f aca="false">IF(INDEX(選手一覧!$D$7:$D$2738,$F290)="","",INDEX(選手一覧!$D$7:$D$2738,$F290))</f>
        <v/>
      </c>
      <c r="H290" s="17" t="str">
        <f aca="false">IF(INDEX(選手一覧!$E$7:$E$2738,$F290)="","",INDEX(選手一覧!$E$7:$E$2738,$F290))</f>
        <v/>
      </c>
      <c r="I290" s="16" t="n">
        <f aca="false">IF(INDEX(選手一覧!$J$7:$J$2738,$F290)="","",INDEX(選手一覧!$J$7:$J$2738,$F290))</f>
        <v>0.00286909722222222</v>
      </c>
      <c r="J290" s="17" t="n">
        <f aca="false">IF(INDEX(選手一覧!$K$7:$K$2738,$F290)="","",INDEX(選手一覧!$K$7:$K$2738,$F290))</f>
        <v>688</v>
      </c>
    </row>
    <row r="291" customFormat="false" ht="15" hidden="false" customHeight="false" outlineLevel="0" collapsed="false">
      <c r="A291" s="17" t="n">
        <v>287</v>
      </c>
      <c r="B291" s="12" t="s">
        <v>1959</v>
      </c>
      <c r="C291" s="12" t="s">
        <v>795</v>
      </c>
      <c r="D291" s="16" t="n">
        <v>0.0069525462962963</v>
      </c>
      <c r="E291" s="15" t="n">
        <f aca="false">ROUND((D291-$D$5)*86400,2)</f>
        <v>61.68</v>
      </c>
      <c r="F291" s="17" t="n">
        <v>1226</v>
      </c>
      <c r="G291" s="16" t="n">
        <f aca="false">IF(INDEX(選手一覧!$D$7:$D$2738,$F291)="","",INDEX(選手一覧!$D$7:$D$2738,$F291))</f>
        <v>0.011066087962963</v>
      </c>
      <c r="H291" s="17" t="n">
        <f aca="false">IF(INDEX(選手一覧!$E$7:$E$2738,$F291)="","",INDEX(選手一覧!$E$7:$E$2738,$F291))</f>
        <v>1227</v>
      </c>
      <c r="I291" s="16" t="str">
        <f aca="false">IF(INDEX(選手一覧!$J$7:$J$2738,$F291)="","",INDEX(選手一覧!$J$7:$J$2738,$F291))</f>
        <v/>
      </c>
      <c r="J291" s="17" t="str">
        <f aca="false">IF(INDEX(選手一覧!$K$7:$K$2738,$F291)="","",INDEX(選手一覧!$K$7:$K$2738,$F291))</f>
        <v/>
      </c>
    </row>
    <row r="292" customFormat="false" ht="15" hidden="false" customHeight="false" outlineLevel="0" collapsed="false">
      <c r="A292" s="17" t="n">
        <v>288</v>
      </c>
      <c r="B292" s="12" t="s">
        <v>1556</v>
      </c>
      <c r="C292" s="12" t="s">
        <v>565</v>
      </c>
      <c r="D292" s="16" t="n">
        <v>0.00695462962962963</v>
      </c>
      <c r="E292" s="15" t="n">
        <f aca="false">ROUND((D292-$D$5)*86400,2)</f>
        <v>61.86</v>
      </c>
      <c r="F292" s="17" t="n">
        <v>951</v>
      </c>
      <c r="G292" s="16" t="n">
        <f aca="false">IF(INDEX(選手一覧!$D$7:$D$2738,$F292)="","",INDEX(選手一覧!$D$7:$D$2738,$F292))</f>
        <v>0.0109219907407407</v>
      </c>
      <c r="H292" s="17" t="n">
        <f aca="false">IF(INDEX(選手一覧!$E$7:$E$2738,$F292)="","",INDEX(選手一覧!$E$7:$E$2738,$F292))</f>
        <v>952</v>
      </c>
      <c r="I292" s="16" t="n">
        <f aca="false">IF(INDEX(選手一覧!$J$7:$J$2738,$F292)="","",INDEX(選手一覧!$J$7:$J$2738,$F292))</f>
        <v>0.00287835648148148</v>
      </c>
      <c r="J292" s="17" t="n">
        <f aca="false">IF(INDEX(選手一覧!$K$7:$K$2738,$F292)="","",INDEX(選手一覧!$K$7:$K$2738,$F292))</f>
        <v>755</v>
      </c>
    </row>
    <row r="293" customFormat="false" ht="15" hidden="false" customHeight="false" outlineLevel="0" collapsed="false">
      <c r="A293" s="17" t="n">
        <v>289</v>
      </c>
      <c r="B293" s="12" t="s">
        <v>1718</v>
      </c>
      <c r="C293" s="12" t="s">
        <v>1184</v>
      </c>
      <c r="D293" s="16" t="n">
        <v>0.00695462962962963</v>
      </c>
      <c r="E293" s="15" t="n">
        <f aca="false">ROUND((D293-$D$5)*86400,2)</f>
        <v>61.86</v>
      </c>
      <c r="F293" s="17" t="n">
        <v>1061</v>
      </c>
      <c r="G293" s="16" t="n">
        <f aca="false">IF(INDEX(選手一覧!$D$7:$D$2738,$F293)="","",INDEX(選手一覧!$D$7:$D$2738,$F293))</f>
        <v>0.0109819444444445</v>
      </c>
      <c r="H293" s="17" t="n">
        <f aca="false">IF(INDEX(選手一覧!$E$7:$E$2738,$F293)="","",INDEX(選手一覧!$E$7:$E$2738,$F293))</f>
        <v>1062</v>
      </c>
      <c r="I293" s="16" t="n">
        <f aca="false">IF(INDEX(選手一覧!$J$7:$J$2738,$F293)="","",INDEX(選手一覧!$J$7:$J$2738,$F293))</f>
        <v>0.00284421296296296</v>
      </c>
      <c r="J293" s="17" t="n">
        <f aca="false">IF(INDEX(選手一覧!$K$7:$K$2738,$F293)="","",INDEX(選手一覧!$K$7:$K$2738,$F293))</f>
        <v>527</v>
      </c>
    </row>
    <row r="294" customFormat="false" ht="15" hidden="false" customHeight="false" outlineLevel="0" collapsed="false">
      <c r="A294" s="17" t="n">
        <v>290</v>
      </c>
      <c r="B294" s="12" t="s">
        <v>2219</v>
      </c>
      <c r="C294" s="12" t="s">
        <v>2220</v>
      </c>
      <c r="D294" s="16" t="n">
        <v>0.00695752314814815</v>
      </c>
      <c r="E294" s="15" t="n">
        <f aca="false">ROUND((D294-$D$5)*86400,2)</f>
        <v>62.11</v>
      </c>
      <c r="F294" s="17" t="n">
        <v>1414</v>
      </c>
      <c r="G294" s="16" t="str">
        <f aca="false">IF(INDEX(選手一覧!$D$7:$D$2738,$F294)="","",INDEX(選手一覧!$D$7:$D$2738,$F294))</f>
        <v/>
      </c>
      <c r="H294" s="17" t="str">
        <f aca="false">IF(INDEX(選手一覧!$E$7:$E$2738,$F294)="","",INDEX(選手一覧!$E$7:$E$2738,$F294))</f>
        <v/>
      </c>
      <c r="I294" s="16" t="n">
        <f aca="false">IF(INDEX(選手一覧!$J$7:$J$2738,$F294)="","",INDEX(選手一覧!$J$7:$J$2738,$F294))</f>
        <v>0.00296608796296296</v>
      </c>
      <c r="J294" s="17" t="n">
        <f aca="false">IF(INDEX(選手一覧!$K$7:$K$2738,$F294)="","",INDEX(選手一覧!$K$7:$K$2738,$F294))</f>
        <v>1295</v>
      </c>
    </row>
    <row r="295" customFormat="false" ht="15" hidden="false" customHeight="false" outlineLevel="0" collapsed="false">
      <c r="A295" s="17" t="n">
        <v>291</v>
      </c>
      <c r="B295" s="12" t="s">
        <v>2157</v>
      </c>
      <c r="C295" s="12" t="s">
        <v>737</v>
      </c>
      <c r="D295" s="16" t="n">
        <v>0.00695833333333333</v>
      </c>
      <c r="E295" s="15" t="n">
        <f aca="false">ROUND((D295-$D$5)*86400,2)</f>
        <v>62.18</v>
      </c>
      <c r="F295" s="17" t="n">
        <v>1370</v>
      </c>
      <c r="G295" s="16" t="str">
        <f aca="false">IF(INDEX(選手一覧!$D$7:$D$2738,$F295)="","",INDEX(選手一覧!$D$7:$D$2738,$F295))</f>
        <v/>
      </c>
      <c r="H295" s="17" t="str">
        <f aca="false">IF(INDEX(選手一覧!$E$7:$E$2738,$F295)="","",INDEX(選手一覧!$E$7:$E$2738,$F295))</f>
        <v/>
      </c>
      <c r="I295" s="16" t="n">
        <f aca="false">IF(INDEX(選手一覧!$J$7:$J$2738,$F295)="","",INDEX(選手一覧!$J$7:$J$2738,$F295))</f>
        <v>0.00278819444444445</v>
      </c>
      <c r="J295" s="17" t="n">
        <f aca="false">IF(INDEX(選手一覧!$K$7:$K$2738,$F295)="","",INDEX(選手一覧!$K$7:$K$2738,$F295))</f>
        <v>234</v>
      </c>
    </row>
    <row r="296" customFormat="false" ht="15" hidden="false" customHeight="false" outlineLevel="0" collapsed="false">
      <c r="A296" s="17" t="n">
        <v>292</v>
      </c>
      <c r="B296" s="12" t="s">
        <v>2221</v>
      </c>
      <c r="C296" s="12" t="s">
        <v>2222</v>
      </c>
      <c r="D296" s="16" t="n">
        <v>0.00695972222222222</v>
      </c>
      <c r="E296" s="15" t="n">
        <f aca="false">ROUND((D296-$D$5)*86400,2)</f>
        <v>62.3</v>
      </c>
      <c r="F296" s="17" t="n">
        <v>1415</v>
      </c>
      <c r="G296" s="16" t="str">
        <f aca="false">IF(INDEX(選手一覧!$D$7:$D$2738,$F296)="","",INDEX(選手一覧!$D$7:$D$2738,$F296))</f>
        <v/>
      </c>
      <c r="H296" s="17" t="str">
        <f aca="false">IF(INDEX(選手一覧!$E$7:$E$2738,$F296)="","",INDEX(選手一覧!$E$7:$E$2738,$F296))</f>
        <v/>
      </c>
      <c r="I296" s="16" t="str">
        <f aca="false">IF(INDEX(選手一覧!$J$7:$J$2738,$F296)="","",INDEX(選手一覧!$J$7:$J$2738,$F296))</f>
        <v/>
      </c>
      <c r="J296" s="17" t="str">
        <f aca="false">IF(INDEX(選手一覧!$K$7:$K$2738,$F296)="","",INDEX(選手一覧!$K$7:$K$2738,$F296))</f>
        <v/>
      </c>
    </row>
    <row r="297" customFormat="false" ht="15" hidden="false" customHeight="false" outlineLevel="0" collapsed="false">
      <c r="A297" s="17" t="n">
        <v>293</v>
      </c>
      <c r="B297" s="12" t="s">
        <v>1101</v>
      </c>
      <c r="C297" s="12" t="s">
        <v>695</v>
      </c>
      <c r="D297" s="16" t="n">
        <v>0.00695972222222222</v>
      </c>
      <c r="E297" s="15" t="n">
        <f aca="false">ROUND((D297-$D$5)*86400,2)</f>
        <v>62.3</v>
      </c>
      <c r="F297" s="17" t="n">
        <v>651</v>
      </c>
      <c r="G297" s="16" t="n">
        <f aca="false">IF(INDEX(選手一覧!$D$7:$D$2738,$F297)="","",INDEX(選手一覧!$D$7:$D$2738,$F297))</f>
        <v>0.0107398148148148</v>
      </c>
      <c r="H297" s="17" t="n">
        <f aca="false">IF(INDEX(選手一覧!$E$7:$E$2738,$F297)="","",INDEX(選手一覧!$E$7:$E$2738,$F297))</f>
        <v>652</v>
      </c>
      <c r="I297" s="16" t="n">
        <f aca="false">IF(INDEX(選手一覧!$J$7:$J$2738,$F297)="","",INDEX(選手一覧!$J$7:$J$2738,$F297))</f>
        <v>0.00288784722222222</v>
      </c>
      <c r="J297" s="17" t="n">
        <f aca="false">IF(INDEX(選手一覧!$K$7:$K$2738,$F297)="","",INDEX(選手一覧!$K$7:$K$2738,$F297))</f>
        <v>845</v>
      </c>
    </row>
    <row r="298" customFormat="false" ht="15" hidden="false" customHeight="false" outlineLevel="0" collapsed="false">
      <c r="A298" s="17" t="n">
        <v>294</v>
      </c>
      <c r="B298" s="12" t="s">
        <v>479</v>
      </c>
      <c r="C298" s="12" t="s">
        <v>161</v>
      </c>
      <c r="D298" s="16" t="n">
        <v>0.00696041666666667</v>
      </c>
      <c r="E298" s="15" t="n">
        <f aca="false">ROUND((D298-$D$5)*86400,2)</f>
        <v>62.36</v>
      </c>
      <c r="F298" s="17" t="n">
        <v>247</v>
      </c>
      <c r="G298" s="16" t="n">
        <f aca="false">IF(INDEX(選手一覧!$D$7:$D$2738,$F298)="","",INDEX(選手一覧!$D$7:$D$2738,$F298))</f>
        <v>0.010387962962963</v>
      </c>
      <c r="H298" s="17" t="n">
        <f aca="false">IF(INDEX(選手一覧!$E$7:$E$2738,$F298)="","",INDEX(選手一覧!$E$7:$E$2738,$F298))</f>
        <v>248</v>
      </c>
      <c r="I298" s="16" t="n">
        <f aca="false">IF(INDEX(選手一覧!$J$7:$J$2738,$F298)="","",INDEX(選手一覧!$J$7:$J$2738,$F298))</f>
        <v>0.00292326388888889</v>
      </c>
      <c r="J298" s="17" t="n">
        <f aca="false">IF(INDEX(選手一覧!$K$7:$K$2738,$F298)="","",INDEX(選手一覧!$K$7:$K$2738,$F298))</f>
        <v>1129</v>
      </c>
    </row>
    <row r="299" customFormat="false" ht="15" hidden="false" customHeight="false" outlineLevel="0" collapsed="false">
      <c r="A299" s="17" t="n">
        <v>295</v>
      </c>
      <c r="B299" s="12" t="s">
        <v>1297</v>
      </c>
      <c r="C299" s="12" t="s">
        <v>207</v>
      </c>
      <c r="D299" s="16" t="n">
        <v>0.00696180555555556</v>
      </c>
      <c r="E299" s="15" t="n">
        <f aca="false">ROUND((D299-$D$5)*86400,2)</f>
        <v>62.48</v>
      </c>
      <c r="F299" s="17" t="n">
        <v>778</v>
      </c>
      <c r="G299" s="16" t="n">
        <f aca="false">IF(INDEX(選手一覧!$D$7:$D$2738,$F299)="","",INDEX(選手一覧!$D$7:$D$2738,$F299))</f>
        <v>0.0108225694444445</v>
      </c>
      <c r="H299" s="17" t="n">
        <f aca="false">IF(INDEX(選手一覧!$E$7:$E$2738,$F299)="","",INDEX(選手一覧!$E$7:$E$2738,$F299))</f>
        <v>779</v>
      </c>
      <c r="I299" s="16" t="str">
        <f aca="false">IF(INDEX(選手一覧!$J$7:$J$2738,$F299)="","",INDEX(選手一覧!$J$7:$J$2738,$F299))</f>
        <v/>
      </c>
      <c r="J299" s="17" t="str">
        <f aca="false">IF(INDEX(選手一覧!$K$7:$K$2738,$F299)="","",INDEX(選手一覧!$K$7:$K$2738,$F299))</f>
        <v/>
      </c>
    </row>
    <row r="300" customFormat="false" ht="15" hidden="false" customHeight="false" outlineLevel="0" collapsed="false">
      <c r="A300" s="17" t="n">
        <v>296</v>
      </c>
      <c r="B300" s="12" t="s">
        <v>758</v>
      </c>
      <c r="C300" s="12" t="s">
        <v>96</v>
      </c>
      <c r="D300" s="16" t="n">
        <v>0.00696284722222222</v>
      </c>
      <c r="E300" s="15" t="n">
        <f aca="false">ROUND((D300-$D$5)*86400,2)</f>
        <v>62.57</v>
      </c>
      <c r="F300" s="17" t="n">
        <v>421</v>
      </c>
      <c r="G300" s="16" t="n">
        <f aca="false">IF(INDEX(選手一覧!$D$7:$D$2738,$F300)="","",INDEX(選手一覧!$D$7:$D$2738,$F300))</f>
        <v>0.0105697916666667</v>
      </c>
      <c r="H300" s="17" t="n">
        <f aca="false">IF(INDEX(選手一覧!$E$7:$E$2738,$F300)="","",INDEX(選手一覧!$E$7:$E$2738,$F300))</f>
        <v>422</v>
      </c>
      <c r="I300" s="16" t="str">
        <f aca="false">IF(INDEX(選手一覧!$J$7:$J$2738,$F300)="","",INDEX(選手一覧!$J$7:$J$2738,$F300))</f>
        <v/>
      </c>
      <c r="J300" s="17" t="str">
        <f aca="false">IF(INDEX(選手一覧!$K$7:$K$2738,$F300)="","",INDEX(選手一覧!$K$7:$K$2738,$F300))</f>
        <v/>
      </c>
    </row>
    <row r="301" customFormat="false" ht="15" hidden="false" customHeight="false" outlineLevel="0" collapsed="false">
      <c r="A301" s="17" t="n">
        <v>297</v>
      </c>
      <c r="B301" s="12" t="s">
        <v>1992</v>
      </c>
      <c r="C301" s="12" t="s">
        <v>1993</v>
      </c>
      <c r="D301" s="16" t="n">
        <v>0.00696331018518519</v>
      </c>
      <c r="E301" s="15" t="n">
        <f aca="false">ROUND((D301-$D$5)*86400,2)</f>
        <v>62.61</v>
      </c>
      <c r="F301" s="17" t="n">
        <v>1250</v>
      </c>
      <c r="G301" s="16" t="n">
        <f aca="false">IF(INDEX(選手一覧!$D$7:$D$2738,$F301)="","",INDEX(選手一覧!$D$7:$D$2738,$F301))</f>
        <v>0.0110798611111111</v>
      </c>
      <c r="H301" s="17" t="n">
        <f aca="false">IF(INDEX(選手一覧!$E$7:$E$2738,$F301)="","",INDEX(選手一覧!$E$7:$E$2738,$F301))</f>
        <v>1251</v>
      </c>
      <c r="I301" s="16" t="n">
        <f aca="false">IF(INDEX(選手一覧!$J$7:$J$2738,$F301)="","",INDEX(選手一覧!$J$7:$J$2738,$F301))</f>
        <v>0.00297743055555556</v>
      </c>
      <c r="J301" s="17" t="n">
        <f aca="false">IF(INDEX(選手一覧!$K$7:$K$2738,$F301)="","",INDEX(選手一覧!$K$7:$K$2738,$F301))</f>
        <v>1343</v>
      </c>
    </row>
    <row r="302" customFormat="false" ht="15" hidden="false" customHeight="false" outlineLevel="0" collapsed="false">
      <c r="A302" s="17" t="n">
        <v>298</v>
      </c>
      <c r="B302" s="12" t="s">
        <v>2224</v>
      </c>
      <c r="C302" s="12" t="s">
        <v>873</v>
      </c>
      <c r="D302" s="16" t="n">
        <v>0.00696608796296296</v>
      </c>
      <c r="E302" s="15" t="n">
        <f aca="false">ROUND((D302-$D$5)*86400,2)</f>
        <v>62.85</v>
      </c>
      <c r="F302" s="17" t="n">
        <v>1417</v>
      </c>
      <c r="G302" s="16" t="str">
        <f aca="false">IF(INDEX(選手一覧!$D$7:$D$2738,$F302)="","",INDEX(選手一覧!$D$7:$D$2738,$F302))</f>
        <v/>
      </c>
      <c r="H302" s="17" t="str">
        <f aca="false">IF(INDEX(選手一覧!$E$7:$E$2738,$F302)="","",INDEX(選手一覧!$E$7:$E$2738,$F302))</f>
        <v/>
      </c>
      <c r="I302" s="16" t="str">
        <f aca="false">IF(INDEX(選手一覧!$J$7:$J$2738,$F302)="","",INDEX(選手一覧!$J$7:$J$2738,$F302))</f>
        <v/>
      </c>
      <c r="J302" s="17" t="str">
        <f aca="false">IF(INDEX(選手一覧!$K$7:$K$2738,$F302)="","",INDEX(選手一覧!$K$7:$K$2738,$F302))</f>
        <v/>
      </c>
    </row>
    <row r="303" customFormat="false" ht="15" hidden="false" customHeight="false" outlineLevel="0" collapsed="false">
      <c r="A303" s="17" t="n">
        <v>299</v>
      </c>
      <c r="B303" s="12" t="s">
        <v>2227</v>
      </c>
      <c r="C303" s="12" t="s">
        <v>1125</v>
      </c>
      <c r="D303" s="16" t="n">
        <v>0.00696678240740741</v>
      </c>
      <c r="E303" s="15" t="n">
        <f aca="false">ROUND((D303-$D$5)*86400,2)</f>
        <v>62.91</v>
      </c>
      <c r="F303" s="17" t="n">
        <v>1419</v>
      </c>
      <c r="G303" s="16" t="str">
        <f aca="false">IF(INDEX(選手一覧!$D$7:$D$2738,$F303)="","",INDEX(選手一覧!$D$7:$D$2738,$F303))</f>
        <v/>
      </c>
      <c r="H303" s="17" t="str">
        <f aca="false">IF(INDEX(選手一覧!$E$7:$E$2738,$F303)="","",INDEX(選手一覧!$E$7:$E$2738,$F303))</f>
        <v/>
      </c>
      <c r="I303" s="16" t="n">
        <f aca="false">IF(INDEX(選手一覧!$J$7:$J$2738,$F303)="","",INDEX(選手一覧!$J$7:$J$2738,$F303))</f>
        <v>0.00283912037037037</v>
      </c>
      <c r="J303" s="17" t="n">
        <f aca="false">IF(INDEX(選手一覧!$K$7:$K$2738,$F303)="","",INDEX(選手一覧!$K$7:$K$2738,$F303))</f>
        <v>488</v>
      </c>
    </row>
    <row r="304" customFormat="false" ht="15" hidden="false" customHeight="false" outlineLevel="0" collapsed="false">
      <c r="A304" s="17" t="n">
        <v>300</v>
      </c>
      <c r="B304" s="12" t="s">
        <v>1520</v>
      </c>
      <c r="C304" s="12" t="s">
        <v>1216</v>
      </c>
      <c r="D304" s="16" t="n">
        <v>0.00696736111111111</v>
      </c>
      <c r="E304" s="15" t="n">
        <f aca="false">ROUND((D304-$D$5)*86400,2)</f>
        <v>62.96</v>
      </c>
      <c r="F304" s="17" t="n">
        <v>925</v>
      </c>
      <c r="G304" s="16" t="n">
        <f aca="false">IF(INDEX(選手一覧!$D$7:$D$2738,$F304)="","",INDEX(選手一覧!$D$7:$D$2738,$F304))</f>
        <v>0.0109041666666667</v>
      </c>
      <c r="H304" s="17" t="n">
        <f aca="false">IF(INDEX(選手一覧!$E$7:$E$2738,$F304)="","",INDEX(選手一覧!$E$7:$E$2738,$F304))</f>
        <v>926</v>
      </c>
      <c r="I304" s="16" t="str">
        <f aca="false">IF(INDEX(選手一覧!$J$7:$J$2738,$F304)="","",INDEX(選手一覧!$J$7:$J$2738,$F304))</f>
        <v/>
      </c>
      <c r="J304" s="17" t="str">
        <f aca="false">IF(INDEX(選手一覧!$K$7:$K$2738,$F304)="","",INDEX(選手一覧!$K$7:$K$2738,$F304))</f>
        <v/>
      </c>
    </row>
    <row r="305" customFormat="false" ht="15" hidden="false" customHeight="false" outlineLevel="0" collapsed="false">
      <c r="A305" s="17" t="n">
        <v>301</v>
      </c>
      <c r="B305" s="12" t="s">
        <v>2230</v>
      </c>
      <c r="C305" s="12" t="s">
        <v>209</v>
      </c>
      <c r="D305" s="16" t="n">
        <v>0.00696840277777778</v>
      </c>
      <c r="E305" s="15" t="n">
        <f aca="false">ROUND((D305-$D$5)*86400,2)</f>
        <v>63.05</v>
      </c>
      <c r="F305" s="17" t="n">
        <v>1420</v>
      </c>
      <c r="G305" s="16" t="str">
        <f aca="false">IF(INDEX(選手一覧!$D$7:$D$2738,$F305)="","",INDEX(選手一覧!$D$7:$D$2738,$F305))</f>
        <v/>
      </c>
      <c r="H305" s="17" t="str">
        <f aca="false">IF(INDEX(選手一覧!$E$7:$E$2738,$F305)="","",INDEX(選手一覧!$E$7:$E$2738,$F305))</f>
        <v/>
      </c>
      <c r="I305" s="16" t="str">
        <f aca="false">IF(INDEX(選手一覧!$J$7:$J$2738,$F305)="","",INDEX(選手一覧!$J$7:$J$2738,$F305))</f>
        <v/>
      </c>
      <c r="J305" s="17" t="str">
        <f aca="false">IF(INDEX(選手一覧!$K$7:$K$2738,$F305)="","",INDEX(選手一覧!$K$7:$K$2738,$F305))</f>
        <v/>
      </c>
    </row>
    <row r="306" customFormat="false" ht="15" hidden="false" customHeight="false" outlineLevel="0" collapsed="false">
      <c r="A306" s="17" t="n">
        <v>302</v>
      </c>
      <c r="B306" s="12" t="s">
        <v>2231</v>
      </c>
      <c r="C306" s="12" t="s">
        <v>1346</v>
      </c>
      <c r="D306" s="16" t="n">
        <v>0.00696851851851852</v>
      </c>
      <c r="E306" s="15" t="n">
        <f aca="false">ROUND((D306-$D$5)*86400,2)</f>
        <v>63.06</v>
      </c>
      <c r="F306" s="17" t="n">
        <v>1421</v>
      </c>
      <c r="G306" s="16" t="str">
        <f aca="false">IF(INDEX(選手一覧!$D$7:$D$2738,$F306)="","",INDEX(選手一覧!$D$7:$D$2738,$F306))</f>
        <v/>
      </c>
      <c r="H306" s="17" t="str">
        <f aca="false">IF(INDEX(選手一覧!$E$7:$E$2738,$F306)="","",INDEX(選手一覧!$E$7:$E$2738,$F306))</f>
        <v/>
      </c>
      <c r="I306" s="16" t="str">
        <f aca="false">IF(INDEX(選手一覧!$J$7:$J$2738,$F306)="","",INDEX(選手一覧!$J$7:$J$2738,$F306))</f>
        <v/>
      </c>
      <c r="J306" s="17" t="str">
        <f aca="false">IF(INDEX(選手一覧!$K$7:$K$2738,$F306)="","",INDEX(選手一覧!$K$7:$K$2738,$F306))</f>
        <v/>
      </c>
    </row>
    <row r="307" customFormat="false" ht="15" hidden="false" customHeight="false" outlineLevel="0" collapsed="false">
      <c r="A307" s="17" t="n">
        <v>303</v>
      </c>
      <c r="B307" s="12" t="s">
        <v>1982</v>
      </c>
      <c r="C307" s="12" t="s">
        <v>1983</v>
      </c>
      <c r="D307" s="16" t="n">
        <v>0.00696886574074074</v>
      </c>
      <c r="E307" s="15" t="n">
        <f aca="false">ROUND((D307-$D$5)*86400,2)</f>
        <v>63.09</v>
      </c>
      <c r="F307" s="17" t="n">
        <v>1244</v>
      </c>
      <c r="G307" s="16" t="n">
        <f aca="false">IF(INDEX(選手一覧!$D$7:$D$2738,$F307)="","",INDEX(選手一覧!$D$7:$D$2738,$F307))</f>
        <v>0.0110770833333333</v>
      </c>
      <c r="H307" s="17" t="n">
        <f aca="false">IF(INDEX(選手一覧!$E$7:$E$2738,$F307)="","",INDEX(選手一覧!$E$7:$E$2738,$F307))</f>
        <v>1245</v>
      </c>
      <c r="I307" s="16" t="n">
        <f aca="false">IF(INDEX(選手一覧!$J$7:$J$2738,$F307)="","",INDEX(選手一覧!$J$7:$J$2738,$F307))</f>
        <v>0.0028494212962963</v>
      </c>
      <c r="J307" s="17" t="n">
        <f aca="false">IF(INDEX(選手一覧!$K$7:$K$2738,$F307)="","",INDEX(選手一覧!$K$7:$K$2738,$F307))</f>
        <v>568</v>
      </c>
    </row>
    <row r="308" customFormat="false" ht="15" hidden="false" customHeight="false" outlineLevel="0" collapsed="false">
      <c r="A308" s="17" t="n">
        <v>304</v>
      </c>
      <c r="B308" s="12" t="s">
        <v>1897</v>
      </c>
      <c r="C308" s="12" t="s">
        <v>559</v>
      </c>
      <c r="D308" s="16" t="n">
        <v>0.00696898148148148</v>
      </c>
      <c r="E308" s="15" t="n">
        <f aca="false">ROUND((D308-$D$5)*86400,2)</f>
        <v>63.1</v>
      </c>
      <c r="F308" s="17" t="n">
        <v>1180</v>
      </c>
      <c r="G308" s="16" t="n">
        <f aca="false">IF(INDEX(選手一覧!$D$7:$D$2738,$F308)="","",INDEX(選手一覧!$D$7:$D$2738,$F308))</f>
        <v>0.011041087962963</v>
      </c>
      <c r="H308" s="17" t="n">
        <f aca="false">IF(INDEX(選手一覧!$E$7:$E$2738,$F308)="","",INDEX(選手一覧!$E$7:$E$2738,$F308))</f>
        <v>1181</v>
      </c>
      <c r="I308" s="16" t="n">
        <f aca="false">IF(INDEX(選手一覧!$J$7:$J$2738,$F308)="","",INDEX(選手一覧!$J$7:$J$2738,$F308))</f>
        <v>0.00283356481481482</v>
      </c>
      <c r="J308" s="17" t="n">
        <f aca="false">IF(INDEX(選手一覧!$K$7:$K$2738,$F308)="","",INDEX(選手一覧!$K$7:$K$2738,$F308))</f>
        <v>447</v>
      </c>
    </row>
    <row r="309" customFormat="false" ht="15" hidden="false" customHeight="false" outlineLevel="0" collapsed="false">
      <c r="A309" s="17" t="n">
        <v>305</v>
      </c>
      <c r="B309" s="12" t="s">
        <v>1715</v>
      </c>
      <c r="C309" s="12" t="s">
        <v>1716</v>
      </c>
      <c r="D309" s="16" t="n">
        <v>0.00697002314814815</v>
      </c>
      <c r="E309" s="15" t="n">
        <f aca="false">ROUND((D309-$D$5)*86400,2)</f>
        <v>63.19</v>
      </c>
      <c r="F309" s="17" t="n">
        <v>1059</v>
      </c>
      <c r="G309" s="16" t="n">
        <f aca="false">IF(INDEX(選手一覧!$D$7:$D$2738,$F309)="","",INDEX(選手一覧!$D$7:$D$2738,$F309))</f>
        <v>0.01098125</v>
      </c>
      <c r="H309" s="17" t="n">
        <f aca="false">IF(INDEX(選手一覧!$E$7:$E$2738,$F309)="","",INDEX(選手一覧!$E$7:$E$2738,$F309))</f>
        <v>1060</v>
      </c>
      <c r="I309" s="16" t="n">
        <f aca="false">IF(INDEX(選手一覧!$J$7:$J$2738,$F309)="","",INDEX(選手一覧!$J$7:$J$2738,$F309))</f>
        <v>0.00291550925925926</v>
      </c>
      <c r="J309" s="17" t="n">
        <f aca="false">IF(INDEX(選手一覧!$K$7:$K$2738,$F309)="","",INDEX(選手一覧!$K$7:$K$2738,$F309))</f>
        <v>1055</v>
      </c>
    </row>
    <row r="310" customFormat="false" ht="15" hidden="false" customHeight="false" outlineLevel="0" collapsed="false">
      <c r="A310" s="17" t="n">
        <v>306</v>
      </c>
      <c r="B310" s="12" t="s">
        <v>631</v>
      </c>
      <c r="C310" s="12" t="s">
        <v>632</v>
      </c>
      <c r="D310" s="16" t="n">
        <v>0.00697106481481481</v>
      </c>
      <c r="E310" s="15" t="n">
        <f aca="false">ROUND((D310-$D$5)*86400,2)</f>
        <v>63.28</v>
      </c>
      <c r="F310" s="17" t="n">
        <v>340</v>
      </c>
      <c r="G310" s="16" t="n">
        <f aca="false">IF(INDEX(選手一覧!$D$7:$D$2738,$F310)="","",INDEX(選手一覧!$D$7:$D$2738,$F310))</f>
        <v>0.010500462962963</v>
      </c>
      <c r="H310" s="17" t="n">
        <f aca="false">IF(INDEX(選手一覧!$E$7:$E$2738,$F310)="","",INDEX(選手一覧!$E$7:$E$2738,$F310))</f>
        <v>341</v>
      </c>
      <c r="I310" s="16" t="str">
        <f aca="false">IF(INDEX(選手一覧!$J$7:$J$2738,$F310)="","",INDEX(選手一覧!$J$7:$J$2738,$F310))</f>
        <v/>
      </c>
      <c r="J310" s="17" t="str">
        <f aca="false">IF(INDEX(選手一覧!$K$7:$K$2738,$F310)="","",INDEX(選手一覧!$K$7:$K$2738,$F310))</f>
        <v/>
      </c>
    </row>
    <row r="311" customFormat="false" ht="15" hidden="false" customHeight="false" outlineLevel="0" collapsed="false">
      <c r="A311" s="17" t="n">
        <v>307</v>
      </c>
      <c r="B311" s="12" t="s">
        <v>2233</v>
      </c>
      <c r="C311" s="12" t="s">
        <v>2234</v>
      </c>
      <c r="D311" s="16" t="n">
        <v>0.0069712962962963</v>
      </c>
      <c r="E311" s="15" t="n">
        <f aca="false">ROUND((D311-$D$5)*86400,2)</f>
        <v>63.3</v>
      </c>
      <c r="F311" s="17" t="n">
        <v>1423</v>
      </c>
      <c r="G311" s="16" t="str">
        <f aca="false">IF(INDEX(選手一覧!$D$7:$D$2738,$F311)="","",INDEX(選手一覧!$D$7:$D$2738,$F311))</f>
        <v/>
      </c>
      <c r="H311" s="17" t="str">
        <f aca="false">IF(INDEX(選手一覧!$E$7:$E$2738,$F311)="","",INDEX(選手一覧!$E$7:$E$2738,$F311))</f>
        <v/>
      </c>
      <c r="I311" s="16" t="n">
        <f aca="false">IF(INDEX(選手一覧!$J$7:$J$2738,$F311)="","",INDEX(選手一覧!$J$7:$J$2738,$F311))</f>
        <v>0.002840625</v>
      </c>
      <c r="J311" s="17" t="n">
        <f aca="false">IF(INDEX(選手一覧!$K$7:$K$2738,$F311)="","",INDEX(選手一覧!$K$7:$K$2738,$F311))</f>
        <v>502</v>
      </c>
    </row>
    <row r="312" customFormat="false" ht="15" hidden="false" customHeight="false" outlineLevel="0" collapsed="false">
      <c r="A312" s="17" t="n">
        <v>308</v>
      </c>
      <c r="B312" s="12" t="s">
        <v>283</v>
      </c>
      <c r="C312" s="12" t="s">
        <v>135</v>
      </c>
      <c r="D312" s="16" t="n">
        <v>0.00697407407407407</v>
      </c>
      <c r="E312" s="15" t="n">
        <f aca="false">ROUND((D312-$D$5)*86400,2)</f>
        <v>63.54</v>
      </c>
      <c r="F312" s="17" t="n">
        <v>134</v>
      </c>
      <c r="G312" s="16" t="n">
        <f aca="false">IF(INDEX(選手一覧!$D$7:$D$2738,$F312)="","",INDEX(選手一覧!$D$7:$D$2738,$F312))</f>
        <v>0.0102670138888889</v>
      </c>
      <c r="H312" s="17" t="n">
        <f aca="false">IF(INDEX(選手一覧!$E$7:$E$2738,$F312)="","",INDEX(選手一覧!$E$7:$E$2738,$F312))</f>
        <v>135</v>
      </c>
      <c r="I312" s="16" t="n">
        <f aca="false">IF(INDEX(選手一覧!$J$7:$J$2738,$F312)="","",INDEX(選手一覧!$J$7:$J$2738,$F312))</f>
        <v>0.00291087962962963</v>
      </c>
      <c r="J312" s="17" t="n">
        <f aca="false">IF(INDEX(選手一覧!$K$7:$K$2738,$F312)="","",INDEX(選手一覧!$K$7:$K$2738,$F312))</f>
        <v>1028</v>
      </c>
    </row>
    <row r="313" customFormat="false" ht="15" hidden="false" customHeight="false" outlineLevel="0" collapsed="false">
      <c r="A313" s="17" t="n">
        <v>309</v>
      </c>
      <c r="B313" s="12" t="s">
        <v>2235</v>
      </c>
      <c r="C313" s="12" t="s">
        <v>2236</v>
      </c>
      <c r="D313" s="16" t="n">
        <v>0.00697789351851852</v>
      </c>
      <c r="E313" s="15" t="n">
        <f aca="false">ROUND((D313-$D$5)*86400,2)</f>
        <v>63.87</v>
      </c>
      <c r="F313" s="17" t="n">
        <v>1424</v>
      </c>
      <c r="G313" s="16" t="str">
        <f aca="false">IF(INDEX(選手一覧!$D$7:$D$2738,$F313)="","",INDEX(選手一覧!$D$7:$D$2738,$F313))</f>
        <v/>
      </c>
      <c r="H313" s="17" t="str">
        <f aca="false">IF(INDEX(選手一覧!$E$7:$E$2738,$F313)="","",INDEX(選手一覧!$E$7:$E$2738,$F313))</f>
        <v/>
      </c>
      <c r="I313" s="16" t="str">
        <f aca="false">IF(INDEX(選手一覧!$J$7:$J$2738,$F313)="","",INDEX(選手一覧!$J$7:$J$2738,$F313))</f>
        <v/>
      </c>
      <c r="J313" s="17" t="str">
        <f aca="false">IF(INDEX(選手一覧!$K$7:$K$2738,$F313)="","",INDEX(選手一覧!$K$7:$K$2738,$F313))</f>
        <v/>
      </c>
    </row>
    <row r="314" customFormat="false" ht="15" hidden="false" customHeight="false" outlineLevel="0" collapsed="false">
      <c r="A314" s="17" t="n">
        <v>310</v>
      </c>
      <c r="B314" s="12" t="s">
        <v>2237</v>
      </c>
      <c r="C314" s="12" t="s">
        <v>94</v>
      </c>
      <c r="D314" s="16" t="n">
        <v>0.00697835648148148</v>
      </c>
      <c r="E314" s="15" t="n">
        <f aca="false">ROUND((D314-$D$5)*86400,2)</f>
        <v>63.91</v>
      </c>
      <c r="F314" s="17" t="n">
        <v>1425</v>
      </c>
      <c r="G314" s="16" t="str">
        <f aca="false">IF(INDEX(選手一覧!$D$7:$D$2738,$F314)="","",INDEX(選手一覧!$D$7:$D$2738,$F314))</f>
        <v/>
      </c>
      <c r="H314" s="17" t="str">
        <f aca="false">IF(INDEX(選手一覧!$E$7:$E$2738,$F314)="","",INDEX(選手一覧!$E$7:$E$2738,$F314))</f>
        <v/>
      </c>
      <c r="I314" s="16" t="str">
        <f aca="false">IF(INDEX(選手一覧!$J$7:$J$2738,$F314)="","",INDEX(選手一覧!$J$7:$J$2738,$F314))</f>
        <v/>
      </c>
      <c r="J314" s="17" t="str">
        <f aca="false">IF(INDEX(選手一覧!$K$7:$K$2738,$F314)="","",INDEX(選手一覧!$K$7:$K$2738,$F314))</f>
        <v/>
      </c>
    </row>
    <row r="315" customFormat="false" ht="15" hidden="false" customHeight="false" outlineLevel="0" collapsed="false">
      <c r="A315" s="17" t="n">
        <v>311</v>
      </c>
      <c r="B315" s="12" t="s">
        <v>909</v>
      </c>
      <c r="C315" s="12" t="s">
        <v>910</v>
      </c>
      <c r="D315" s="16" t="n">
        <v>0.00697905092592593</v>
      </c>
      <c r="E315" s="15" t="n">
        <f aca="false">ROUND((D315-$D$5)*86400,2)</f>
        <v>63.97</v>
      </c>
      <c r="F315" s="17" t="n">
        <v>517</v>
      </c>
      <c r="G315" s="16" t="n">
        <f aca="false">IF(INDEX(選手一覧!$D$7:$D$2738,$F315)="","",INDEX(選手一覧!$D$7:$D$2738,$F315))</f>
        <v>0.0106444444444444</v>
      </c>
      <c r="H315" s="17" t="n">
        <f aca="false">IF(INDEX(選手一覧!$E$7:$E$2738,$F315)="","",INDEX(選手一覧!$E$7:$E$2738,$F315))</f>
        <v>518</v>
      </c>
      <c r="I315" s="16" t="n">
        <f aca="false">IF(INDEX(選手一覧!$J$7:$J$2738,$F315)="","",INDEX(選手一覧!$J$7:$J$2738,$F315))</f>
        <v>0.00278333333333333</v>
      </c>
      <c r="J315" s="17" t="n">
        <f aca="false">IF(INDEX(選手一覧!$K$7:$K$2738,$F315)="","",INDEX(選手一覧!$K$7:$K$2738,$F315))</f>
        <v>213</v>
      </c>
    </row>
    <row r="316" customFormat="false" ht="15" hidden="false" customHeight="false" outlineLevel="0" collapsed="false">
      <c r="A316" s="17" t="n">
        <v>312</v>
      </c>
      <c r="B316" s="12" t="s">
        <v>2240</v>
      </c>
      <c r="C316" s="12" t="s">
        <v>195</v>
      </c>
      <c r="D316" s="16" t="n">
        <v>0.00697939814814815</v>
      </c>
      <c r="E316" s="15" t="n">
        <f aca="false">ROUND((D316-$D$5)*86400,2)</f>
        <v>64</v>
      </c>
      <c r="F316" s="17" t="n">
        <v>1427</v>
      </c>
      <c r="G316" s="16" t="str">
        <f aca="false">IF(INDEX(選手一覧!$D$7:$D$2738,$F316)="","",INDEX(選手一覧!$D$7:$D$2738,$F316))</f>
        <v/>
      </c>
      <c r="H316" s="17" t="str">
        <f aca="false">IF(INDEX(選手一覧!$E$7:$E$2738,$F316)="","",INDEX(選手一覧!$E$7:$E$2738,$F316))</f>
        <v/>
      </c>
      <c r="I316" s="16" t="str">
        <f aca="false">IF(INDEX(選手一覧!$J$7:$J$2738,$F316)="","",INDEX(選手一覧!$J$7:$J$2738,$F316))</f>
        <v/>
      </c>
      <c r="J316" s="17" t="str">
        <f aca="false">IF(INDEX(選手一覧!$K$7:$K$2738,$F316)="","",INDEX(選手一覧!$K$7:$K$2738,$F316))</f>
        <v/>
      </c>
    </row>
    <row r="317" customFormat="false" ht="15" hidden="false" customHeight="false" outlineLevel="0" collapsed="false">
      <c r="A317" s="17" t="n">
        <v>313</v>
      </c>
      <c r="B317" s="12" t="s">
        <v>1979</v>
      </c>
      <c r="C317" s="12" t="s">
        <v>125</v>
      </c>
      <c r="D317" s="16" t="n">
        <v>0.00698055555555556</v>
      </c>
      <c r="E317" s="15" t="n">
        <f aca="false">ROUND((D317-$D$5)*86400,2)</f>
        <v>64.1</v>
      </c>
      <c r="F317" s="17" t="n">
        <v>1241</v>
      </c>
      <c r="G317" s="16" t="n">
        <f aca="false">IF(INDEX(選手一覧!$D$7:$D$2738,$F317)="","",INDEX(選手一覧!$D$7:$D$2738,$F317))</f>
        <v>0.0110730324074074</v>
      </c>
      <c r="H317" s="17" t="n">
        <f aca="false">IF(INDEX(選手一覧!$E$7:$E$2738,$F317)="","",INDEX(選手一覧!$E$7:$E$2738,$F317))</f>
        <v>1242</v>
      </c>
      <c r="I317" s="16" t="str">
        <f aca="false">IF(INDEX(選手一覧!$J$7:$J$2738,$F317)="","",INDEX(選手一覧!$J$7:$J$2738,$F317))</f>
        <v/>
      </c>
      <c r="J317" s="17" t="str">
        <f aca="false">IF(INDEX(選手一覧!$K$7:$K$2738,$F317)="","",INDEX(選手一覧!$K$7:$K$2738,$F317))</f>
        <v/>
      </c>
    </row>
    <row r="318" customFormat="false" ht="15" hidden="false" customHeight="false" outlineLevel="0" collapsed="false">
      <c r="A318" s="17" t="n">
        <v>314</v>
      </c>
      <c r="B318" s="12" t="s">
        <v>1044</v>
      </c>
      <c r="C318" s="12" t="s">
        <v>674</v>
      </c>
      <c r="D318" s="16" t="n">
        <v>0.00698078703703704</v>
      </c>
      <c r="E318" s="15" t="n">
        <f aca="false">ROUND((D318-$D$5)*86400,2)</f>
        <v>64.12</v>
      </c>
      <c r="F318" s="17" t="n">
        <v>609</v>
      </c>
      <c r="G318" s="16" t="n">
        <f aca="false">IF(INDEX(選手一覧!$D$7:$D$2738,$F318)="","",INDEX(選手一覧!$D$7:$D$2738,$F318))</f>
        <v>0.0107172453703704</v>
      </c>
      <c r="H318" s="17" t="n">
        <f aca="false">IF(INDEX(選手一覧!$E$7:$E$2738,$F318)="","",INDEX(選手一覧!$E$7:$E$2738,$F318))</f>
        <v>610</v>
      </c>
      <c r="I318" s="16" t="str">
        <f aca="false">IF(INDEX(選手一覧!$J$7:$J$2738,$F318)="","",INDEX(選手一覧!$J$7:$J$2738,$F318))</f>
        <v/>
      </c>
      <c r="J318" s="17" t="str">
        <f aca="false">IF(INDEX(選手一覧!$K$7:$K$2738,$F318)="","",INDEX(選手一覧!$K$7:$K$2738,$F318))</f>
        <v/>
      </c>
    </row>
    <row r="319" customFormat="false" ht="15" hidden="false" customHeight="false" outlineLevel="0" collapsed="false">
      <c r="A319" s="17" t="n">
        <v>315</v>
      </c>
      <c r="B319" s="12" t="s">
        <v>1903</v>
      </c>
      <c r="C319" s="12" t="s">
        <v>463</v>
      </c>
      <c r="D319" s="16" t="n">
        <v>0.00698113425925926</v>
      </c>
      <c r="E319" s="15" t="n">
        <f aca="false">ROUND((D319-$D$5)*86400,2)</f>
        <v>64.15</v>
      </c>
      <c r="F319" s="17" t="n">
        <v>1186</v>
      </c>
      <c r="G319" s="16" t="n">
        <f aca="false">IF(INDEX(選手一覧!$D$7:$D$2738,$F319)="","",INDEX(選手一覧!$D$7:$D$2738,$F319))</f>
        <v>0.0110439814814815</v>
      </c>
      <c r="H319" s="17" t="n">
        <f aca="false">IF(INDEX(選手一覧!$E$7:$E$2738,$F319)="","",INDEX(選手一覧!$E$7:$E$2738,$F319))</f>
        <v>1187</v>
      </c>
      <c r="I319" s="16" t="str">
        <f aca="false">IF(INDEX(選手一覧!$J$7:$J$2738,$F319)="","",INDEX(選手一覧!$J$7:$J$2738,$F319))</f>
        <v/>
      </c>
      <c r="J319" s="17" t="str">
        <f aca="false">IF(INDEX(選手一覧!$K$7:$K$2738,$F319)="","",INDEX(選手一覧!$K$7:$K$2738,$F319))</f>
        <v/>
      </c>
    </row>
    <row r="320" customFormat="false" ht="15" hidden="false" customHeight="false" outlineLevel="0" collapsed="false">
      <c r="A320" s="17" t="n">
        <v>316</v>
      </c>
      <c r="B320" s="12" t="s">
        <v>2243</v>
      </c>
      <c r="C320" s="12" t="s">
        <v>2244</v>
      </c>
      <c r="D320" s="16" t="n">
        <v>0.00698125</v>
      </c>
      <c r="E320" s="15" t="n">
        <f aca="false">ROUND((D320-$D$5)*86400,2)</f>
        <v>64.16</v>
      </c>
      <c r="F320" s="17" t="n">
        <v>1429</v>
      </c>
      <c r="G320" s="16" t="str">
        <f aca="false">IF(INDEX(選手一覧!$D$7:$D$2738,$F320)="","",INDEX(選手一覧!$D$7:$D$2738,$F320))</f>
        <v/>
      </c>
      <c r="H320" s="17" t="str">
        <f aca="false">IF(INDEX(選手一覧!$E$7:$E$2738,$F320)="","",INDEX(選手一覧!$E$7:$E$2738,$F320))</f>
        <v/>
      </c>
      <c r="I320" s="16" t="str">
        <f aca="false">IF(INDEX(選手一覧!$J$7:$J$2738,$F320)="","",INDEX(選手一覧!$J$7:$J$2738,$F320))</f>
        <v/>
      </c>
      <c r="J320" s="17" t="str">
        <f aca="false">IF(INDEX(選手一覧!$K$7:$K$2738,$F320)="","",INDEX(選手一覧!$K$7:$K$2738,$F320))</f>
        <v/>
      </c>
    </row>
    <row r="321" customFormat="false" ht="15" hidden="false" customHeight="false" outlineLevel="0" collapsed="false">
      <c r="A321" s="17" t="n">
        <v>317</v>
      </c>
      <c r="B321" s="12" t="s">
        <v>2245</v>
      </c>
      <c r="C321" s="12" t="s">
        <v>2246</v>
      </c>
      <c r="D321" s="16" t="n">
        <v>0.00698229166666667</v>
      </c>
      <c r="E321" s="15" t="n">
        <f aca="false">ROUND((D321-$D$5)*86400,2)</f>
        <v>64.25</v>
      </c>
      <c r="F321" s="17" t="n">
        <v>1430</v>
      </c>
      <c r="G321" s="16" t="str">
        <f aca="false">IF(INDEX(選手一覧!$D$7:$D$2738,$F321)="","",INDEX(選手一覧!$D$7:$D$2738,$F321))</f>
        <v/>
      </c>
      <c r="H321" s="17" t="str">
        <f aca="false">IF(INDEX(選手一覧!$E$7:$E$2738,$F321)="","",INDEX(選手一覧!$E$7:$E$2738,$F321))</f>
        <v/>
      </c>
      <c r="I321" s="16" t="str">
        <f aca="false">IF(INDEX(選手一覧!$J$7:$J$2738,$F321)="","",INDEX(選手一覧!$J$7:$J$2738,$F321))</f>
        <v/>
      </c>
      <c r="J321" s="17" t="str">
        <f aca="false">IF(INDEX(選手一覧!$K$7:$K$2738,$F321)="","",INDEX(選手一覧!$K$7:$K$2738,$F321))</f>
        <v/>
      </c>
    </row>
    <row r="322" customFormat="false" ht="15" hidden="false" customHeight="false" outlineLevel="0" collapsed="false">
      <c r="A322" s="17" t="n">
        <v>318</v>
      </c>
      <c r="B322" s="12" t="s">
        <v>2247</v>
      </c>
      <c r="C322" s="12" t="s">
        <v>2248</v>
      </c>
      <c r="D322" s="16" t="n">
        <v>0.00698252314814815</v>
      </c>
      <c r="E322" s="15" t="n">
        <f aca="false">ROUND((D322-$D$5)*86400,2)</f>
        <v>64.27</v>
      </c>
      <c r="F322" s="17" t="n">
        <v>1431</v>
      </c>
      <c r="G322" s="16" t="str">
        <f aca="false">IF(INDEX(選手一覧!$D$7:$D$2738,$F322)="","",INDEX(選手一覧!$D$7:$D$2738,$F322))</f>
        <v/>
      </c>
      <c r="H322" s="17" t="str">
        <f aca="false">IF(INDEX(選手一覧!$E$7:$E$2738,$F322)="","",INDEX(選手一覧!$E$7:$E$2738,$F322))</f>
        <v/>
      </c>
      <c r="I322" s="16" t="str">
        <f aca="false">IF(INDEX(選手一覧!$J$7:$J$2738,$F322)="","",INDEX(選手一覧!$J$7:$J$2738,$F322))</f>
        <v/>
      </c>
      <c r="J322" s="17" t="str">
        <f aca="false">IF(INDEX(選手一覧!$K$7:$K$2738,$F322)="","",INDEX(選手一覧!$K$7:$K$2738,$F322))</f>
        <v/>
      </c>
    </row>
    <row r="323" customFormat="false" ht="15" hidden="false" customHeight="false" outlineLevel="0" collapsed="false">
      <c r="A323" s="17" t="n">
        <v>319</v>
      </c>
      <c r="B323" s="12" t="s">
        <v>2249</v>
      </c>
      <c r="C323" s="12" t="s">
        <v>159</v>
      </c>
      <c r="D323" s="16" t="n">
        <v>0.00698356481481482</v>
      </c>
      <c r="E323" s="15" t="n">
        <f aca="false">ROUND((D323-$D$5)*86400,2)</f>
        <v>64.36</v>
      </c>
      <c r="F323" s="17" t="n">
        <v>1432</v>
      </c>
      <c r="G323" s="16" t="str">
        <f aca="false">IF(INDEX(選手一覧!$D$7:$D$2738,$F323)="","",INDEX(選手一覧!$D$7:$D$2738,$F323))</f>
        <v/>
      </c>
      <c r="H323" s="17" t="str">
        <f aca="false">IF(INDEX(選手一覧!$E$7:$E$2738,$F323)="","",INDEX(選手一覧!$E$7:$E$2738,$F323))</f>
        <v/>
      </c>
      <c r="I323" s="16" t="n">
        <f aca="false">IF(INDEX(選手一覧!$J$7:$J$2738,$F323)="","",INDEX(選手一覧!$J$7:$J$2738,$F323))</f>
        <v>0.00283460648148148</v>
      </c>
      <c r="J323" s="17" t="n">
        <f aca="false">IF(INDEX(選手一覧!$K$7:$K$2738,$F323)="","",INDEX(選手一覧!$K$7:$K$2738,$F323))</f>
        <v>454</v>
      </c>
    </row>
    <row r="324" customFormat="false" ht="15" hidden="false" customHeight="false" outlineLevel="0" collapsed="false">
      <c r="A324" s="17" t="n">
        <v>320</v>
      </c>
      <c r="B324" s="12" t="s">
        <v>781</v>
      </c>
      <c r="C324" s="12" t="s">
        <v>515</v>
      </c>
      <c r="D324" s="16" t="n">
        <v>0.00698576388888889</v>
      </c>
      <c r="E324" s="15" t="n">
        <f aca="false">ROUND((D324-$D$5)*86400,2)</f>
        <v>64.55</v>
      </c>
      <c r="F324" s="17" t="n">
        <v>436</v>
      </c>
      <c r="G324" s="16" t="n">
        <f aca="false">IF(INDEX(選手一覧!$D$7:$D$2738,$F324)="","",INDEX(選手一覧!$D$7:$D$2738,$F324))</f>
        <v>0.0105821759259259</v>
      </c>
      <c r="H324" s="17" t="n">
        <f aca="false">IF(INDEX(選手一覧!$E$7:$E$2738,$F324)="","",INDEX(選手一覧!$E$7:$E$2738,$F324))</f>
        <v>437</v>
      </c>
      <c r="I324" s="16" t="n">
        <f aca="false">IF(INDEX(選手一覧!$J$7:$J$2738,$F324)="","",INDEX(選手一覧!$J$7:$J$2738,$F324))</f>
        <v>0.00285243055555556</v>
      </c>
      <c r="J324" s="17" t="n">
        <f aca="false">IF(INDEX(選手一覧!$K$7:$K$2738,$F324)="","",INDEX(選手一覧!$K$7:$K$2738,$F324))</f>
        <v>582</v>
      </c>
    </row>
    <row r="325" customFormat="false" ht="15" hidden="false" customHeight="false" outlineLevel="0" collapsed="false">
      <c r="A325" s="17" t="n">
        <v>321</v>
      </c>
      <c r="B325" s="12" t="s">
        <v>834</v>
      </c>
      <c r="C325" s="12" t="s">
        <v>67</v>
      </c>
      <c r="D325" s="16" t="n">
        <v>0.00698622685185185</v>
      </c>
      <c r="E325" s="15" t="n">
        <f aca="false">ROUND((D325-$D$5)*86400,2)</f>
        <v>64.59</v>
      </c>
      <c r="F325" s="17" t="n">
        <v>473</v>
      </c>
      <c r="G325" s="16" t="n">
        <f aca="false">IF(INDEX(選手一覧!$D$7:$D$2738,$F325)="","",INDEX(選手一覧!$D$7:$D$2738,$F325))</f>
        <v>0.0106086805555556</v>
      </c>
      <c r="H325" s="17" t="n">
        <f aca="false">IF(INDEX(選手一覧!$E$7:$E$2738,$F325)="","",INDEX(選手一覧!$E$7:$E$2738,$F325))</f>
        <v>474</v>
      </c>
      <c r="I325" s="16" t="n">
        <f aca="false">IF(INDEX(選手一覧!$J$7:$J$2738,$F325)="","",INDEX(選手一覧!$J$7:$J$2738,$F325))</f>
        <v>0.00279756944444445</v>
      </c>
      <c r="J325" s="17" t="n">
        <f aca="false">IF(INDEX(選手一覧!$K$7:$K$2738,$F325)="","",INDEX(選手一覧!$K$7:$K$2738,$F325))</f>
        <v>272</v>
      </c>
    </row>
    <row r="326" customFormat="false" ht="15" hidden="false" customHeight="false" outlineLevel="0" collapsed="false">
      <c r="A326" s="17" t="n">
        <v>322</v>
      </c>
      <c r="B326" s="12" t="s">
        <v>1824</v>
      </c>
      <c r="C326" s="12" t="s">
        <v>599</v>
      </c>
      <c r="D326" s="16" t="n">
        <v>0.00698761574074074</v>
      </c>
      <c r="E326" s="15" t="n">
        <f aca="false">ROUND((D326-$D$5)*86400,2)</f>
        <v>64.71</v>
      </c>
      <c r="F326" s="17" t="n">
        <v>1130</v>
      </c>
      <c r="G326" s="16" t="n">
        <f aca="false">IF(INDEX(選手一覧!$D$7:$D$2738,$F326)="","",INDEX(選手一覧!$D$7:$D$2738,$F326))</f>
        <v>0.0110209490740741</v>
      </c>
      <c r="H326" s="17" t="n">
        <f aca="false">IF(INDEX(選手一覧!$E$7:$E$2738,$F326)="","",INDEX(選手一覧!$E$7:$E$2738,$F326))</f>
        <v>1131</v>
      </c>
      <c r="I326" s="16" t="n">
        <f aca="false">IF(INDEX(選手一覧!$J$7:$J$2738,$F326)="","",INDEX(選手一覧!$J$7:$J$2738,$F326))</f>
        <v>0.00286261574074074</v>
      </c>
      <c r="J326" s="17" t="n">
        <f aca="false">IF(INDEX(選手一覧!$K$7:$K$2738,$F326)="","",INDEX(選手一覧!$K$7:$K$2738,$F326))</f>
        <v>653</v>
      </c>
    </row>
    <row r="327" customFormat="false" ht="15" hidden="false" customHeight="false" outlineLevel="0" collapsed="false">
      <c r="A327" s="17" t="n">
        <v>323</v>
      </c>
      <c r="B327" s="12" t="s">
        <v>164</v>
      </c>
      <c r="C327" s="12" t="s">
        <v>165</v>
      </c>
      <c r="D327" s="16" t="n">
        <v>0.00698865740740741</v>
      </c>
      <c r="E327" s="15" t="n">
        <f aca="false">ROUND((D327-$D$5)*86400,2)</f>
        <v>64.8</v>
      </c>
      <c r="F327" s="17" t="n">
        <v>70</v>
      </c>
      <c r="G327" s="16" t="n">
        <f aca="false">IF(INDEX(選手一覧!$D$7:$D$2738,$F327)="","",INDEX(選手一覧!$D$7:$D$2738,$F327))</f>
        <v>0.0101478009259259</v>
      </c>
      <c r="H327" s="17" t="n">
        <f aca="false">IF(INDEX(選手一覧!$E$7:$E$2738,$F327)="","",INDEX(選手一覧!$E$7:$E$2738,$F327))</f>
        <v>71</v>
      </c>
      <c r="I327" s="16" t="n">
        <f aca="false">IF(INDEX(選手一覧!$J$7:$J$2738,$F327)="","",INDEX(選手一覧!$J$7:$J$2738,$F327))</f>
        <v>0.00275729166666667</v>
      </c>
      <c r="J327" s="17" t="n">
        <f aca="false">IF(INDEX(選手一覧!$K$7:$K$2738,$F327)="","",INDEX(選手一覧!$K$7:$K$2738,$F327))</f>
        <v>128</v>
      </c>
    </row>
    <row r="328" customFormat="false" ht="15" hidden="false" customHeight="false" outlineLevel="0" collapsed="false">
      <c r="A328" s="17" t="n">
        <v>324</v>
      </c>
      <c r="B328" s="12" t="s">
        <v>2253</v>
      </c>
      <c r="C328" s="12" t="s">
        <v>2254</v>
      </c>
      <c r="D328" s="16" t="n">
        <v>0.00699039351851852</v>
      </c>
      <c r="E328" s="15" t="n">
        <f aca="false">ROUND((D328-$D$5)*86400,2)</f>
        <v>64.95</v>
      </c>
      <c r="F328" s="17" t="n">
        <v>1435</v>
      </c>
      <c r="G328" s="16" t="str">
        <f aca="false">IF(INDEX(選手一覧!$D$7:$D$2738,$F328)="","",INDEX(選手一覧!$D$7:$D$2738,$F328))</f>
        <v/>
      </c>
      <c r="H328" s="17" t="str">
        <f aca="false">IF(INDEX(選手一覧!$E$7:$E$2738,$F328)="","",INDEX(選手一覧!$E$7:$E$2738,$F328))</f>
        <v/>
      </c>
      <c r="I328" s="16" t="str">
        <f aca="false">IF(INDEX(選手一覧!$J$7:$J$2738,$F328)="","",INDEX(選手一覧!$J$7:$J$2738,$F328))</f>
        <v/>
      </c>
      <c r="J328" s="17" t="str">
        <f aca="false">IF(INDEX(選手一覧!$K$7:$K$2738,$F328)="","",INDEX(選手一覧!$K$7:$K$2738,$F328))</f>
        <v/>
      </c>
    </row>
    <row r="329" customFormat="false" ht="15" hidden="false" customHeight="false" outlineLevel="0" collapsed="false">
      <c r="A329" s="17" t="n">
        <v>325</v>
      </c>
      <c r="B329" s="12" t="s">
        <v>1387</v>
      </c>
      <c r="C329" s="12" t="s">
        <v>54</v>
      </c>
      <c r="D329" s="16" t="n">
        <v>0.00699039351851852</v>
      </c>
      <c r="E329" s="15" t="n">
        <f aca="false">ROUND((D329-$D$5)*86400,2)</f>
        <v>64.95</v>
      </c>
      <c r="F329" s="17" t="n">
        <v>839</v>
      </c>
      <c r="G329" s="16" t="n">
        <f aca="false">IF(INDEX(選手一覧!$D$7:$D$2738,$F329)="","",INDEX(選手一覧!$D$7:$D$2738,$F329))</f>
        <v>0.0108520833333333</v>
      </c>
      <c r="H329" s="17" t="n">
        <f aca="false">IF(INDEX(選手一覧!$E$7:$E$2738,$F329)="","",INDEX(選手一覧!$E$7:$E$2738,$F329))</f>
        <v>840</v>
      </c>
      <c r="I329" s="16" t="str">
        <f aca="false">IF(INDEX(選手一覧!$J$7:$J$2738,$F329)="","",INDEX(選手一覧!$J$7:$J$2738,$F329))</f>
        <v/>
      </c>
      <c r="J329" s="17" t="str">
        <f aca="false">IF(INDEX(選手一覧!$K$7:$K$2738,$F329)="","",INDEX(選手一覧!$K$7:$K$2738,$F329))</f>
        <v/>
      </c>
    </row>
    <row r="330" customFormat="false" ht="15" hidden="false" customHeight="false" outlineLevel="0" collapsed="false">
      <c r="A330" s="17" t="n">
        <v>326</v>
      </c>
      <c r="B330" s="12" t="s">
        <v>1753</v>
      </c>
      <c r="C330" s="12" t="s">
        <v>1049</v>
      </c>
      <c r="D330" s="16" t="n">
        <v>0.00699201388888889</v>
      </c>
      <c r="E330" s="15" t="n">
        <f aca="false">ROUND((D330-$D$5)*86400,2)</f>
        <v>65.09</v>
      </c>
      <c r="F330" s="17" t="n">
        <v>1083</v>
      </c>
      <c r="G330" s="16" t="n">
        <f aca="false">IF(INDEX(選手一覧!$D$7:$D$2738,$F330)="","",INDEX(選手一覧!$D$7:$D$2738,$F330))</f>
        <v>0.0109925925925926</v>
      </c>
      <c r="H330" s="17" t="n">
        <f aca="false">IF(INDEX(選手一覧!$E$7:$E$2738,$F330)="","",INDEX(選手一覧!$E$7:$E$2738,$F330))</f>
        <v>1084</v>
      </c>
      <c r="I330" s="16" t="n">
        <f aca="false">IF(INDEX(選手一覧!$J$7:$J$2738,$F330)="","",INDEX(選手一覧!$J$7:$J$2738,$F330))</f>
        <v>0.00289224537037037</v>
      </c>
      <c r="J330" s="17" t="n">
        <f aca="false">IF(INDEX(選手一覧!$K$7:$K$2738,$F330)="","",INDEX(選手一覧!$K$7:$K$2738,$F330))</f>
        <v>893</v>
      </c>
    </row>
    <row r="331" customFormat="false" ht="15" hidden="false" customHeight="false" outlineLevel="0" collapsed="false">
      <c r="A331" s="17" t="n">
        <v>327</v>
      </c>
      <c r="B331" s="12" t="s">
        <v>2256</v>
      </c>
      <c r="C331" s="12" t="s">
        <v>2257</v>
      </c>
      <c r="D331" s="16" t="n">
        <v>0.00699490740740741</v>
      </c>
      <c r="E331" s="15" t="n">
        <f aca="false">ROUND((D331-$D$5)*86400,2)</f>
        <v>65.34</v>
      </c>
      <c r="F331" s="17" t="n">
        <v>1436</v>
      </c>
      <c r="G331" s="16" t="str">
        <f aca="false">IF(INDEX(選手一覧!$D$7:$D$2738,$F331)="","",INDEX(選手一覧!$D$7:$D$2738,$F331))</f>
        <v/>
      </c>
      <c r="H331" s="17" t="str">
        <f aca="false">IF(INDEX(選手一覧!$E$7:$E$2738,$F331)="","",INDEX(選手一覧!$E$7:$E$2738,$F331))</f>
        <v/>
      </c>
      <c r="I331" s="16" t="str">
        <f aca="false">IF(INDEX(選手一覧!$J$7:$J$2738,$F331)="","",INDEX(選手一覧!$J$7:$J$2738,$F331))</f>
        <v/>
      </c>
      <c r="J331" s="17" t="str">
        <f aca="false">IF(INDEX(選手一覧!$K$7:$K$2738,$F331)="","",INDEX(選手一覧!$K$7:$K$2738,$F331))</f>
        <v/>
      </c>
    </row>
    <row r="332" customFormat="false" ht="15" hidden="false" customHeight="false" outlineLevel="0" collapsed="false">
      <c r="A332" s="17" t="n">
        <v>328</v>
      </c>
      <c r="B332" s="12" t="s">
        <v>1720</v>
      </c>
      <c r="C332" s="12" t="s">
        <v>1721</v>
      </c>
      <c r="D332" s="16" t="n">
        <v>0.00699490740740741</v>
      </c>
      <c r="E332" s="15" t="n">
        <f aca="false">ROUND((D332-$D$5)*86400,2)</f>
        <v>65.34</v>
      </c>
      <c r="F332" s="17" t="n">
        <v>1063</v>
      </c>
      <c r="G332" s="16" t="n">
        <f aca="false">IF(INDEX(選手一覧!$D$7:$D$2738,$F332)="","",INDEX(選手一覧!$D$7:$D$2738,$F332))</f>
        <v>0.0109837962962963</v>
      </c>
      <c r="H332" s="17" t="n">
        <f aca="false">IF(INDEX(選手一覧!$E$7:$E$2738,$F332)="","",INDEX(選手一覧!$E$7:$E$2738,$F332))</f>
        <v>1064</v>
      </c>
      <c r="I332" s="16" t="str">
        <f aca="false">IF(INDEX(選手一覧!$J$7:$J$2738,$F332)="","",INDEX(選手一覧!$J$7:$J$2738,$F332))</f>
        <v/>
      </c>
      <c r="J332" s="17" t="str">
        <f aca="false">IF(INDEX(選手一覧!$K$7:$K$2738,$F332)="","",INDEX(選手一覧!$K$7:$K$2738,$F332))</f>
        <v/>
      </c>
    </row>
    <row r="333" customFormat="false" ht="15" hidden="false" customHeight="false" outlineLevel="0" collapsed="false">
      <c r="A333" s="17" t="n">
        <v>329</v>
      </c>
      <c r="B333" s="12" t="s">
        <v>2258</v>
      </c>
      <c r="C333" s="12" t="s">
        <v>2259</v>
      </c>
      <c r="D333" s="16" t="n">
        <v>0.00699513888888889</v>
      </c>
      <c r="E333" s="15" t="n">
        <f aca="false">ROUND((D333-$D$5)*86400,2)</f>
        <v>65.36</v>
      </c>
      <c r="F333" s="17" t="n">
        <v>1437</v>
      </c>
      <c r="G333" s="16" t="str">
        <f aca="false">IF(INDEX(選手一覧!$D$7:$D$2738,$F333)="","",INDEX(選手一覧!$D$7:$D$2738,$F333))</f>
        <v/>
      </c>
      <c r="H333" s="17" t="str">
        <f aca="false">IF(INDEX(選手一覧!$E$7:$E$2738,$F333)="","",INDEX(選手一覧!$E$7:$E$2738,$F333))</f>
        <v/>
      </c>
      <c r="I333" s="16" t="str">
        <f aca="false">IF(INDEX(選手一覧!$J$7:$J$2738,$F333)="","",INDEX(選手一覧!$J$7:$J$2738,$F333))</f>
        <v/>
      </c>
      <c r="J333" s="17" t="str">
        <f aca="false">IF(INDEX(選手一覧!$K$7:$K$2738,$F333)="","",INDEX(選手一覧!$K$7:$K$2738,$F333))</f>
        <v/>
      </c>
    </row>
    <row r="334" customFormat="false" ht="15" hidden="false" customHeight="false" outlineLevel="0" collapsed="false">
      <c r="A334" s="17" t="n">
        <v>330</v>
      </c>
      <c r="B334" s="12" t="s">
        <v>2023</v>
      </c>
      <c r="C334" s="12" t="s">
        <v>939</v>
      </c>
      <c r="D334" s="16" t="n">
        <v>0.00699606481481482</v>
      </c>
      <c r="E334" s="15" t="n">
        <f aca="false">ROUND((D334-$D$5)*86400,2)</f>
        <v>65.44</v>
      </c>
      <c r="F334" s="17" t="n">
        <v>1277</v>
      </c>
      <c r="G334" s="16" t="n">
        <f aca="false">IF(INDEX(選手一覧!$D$7:$D$2738,$F334)="","",INDEX(選手一覧!$D$7:$D$2738,$F334))</f>
        <v>0.0111101851851852</v>
      </c>
      <c r="H334" s="17" t="n">
        <f aca="false">IF(INDEX(選手一覧!$E$7:$E$2738,$F334)="","",INDEX(選手一覧!$E$7:$E$2738,$F334))</f>
        <v>1278</v>
      </c>
      <c r="I334" s="16" t="str">
        <f aca="false">IF(INDEX(選手一覧!$J$7:$J$2738,$F334)="","",INDEX(選手一覧!$J$7:$J$2738,$F334))</f>
        <v/>
      </c>
      <c r="J334" s="17" t="str">
        <f aca="false">IF(INDEX(選手一覧!$K$7:$K$2738,$F334)="","",INDEX(選手一覧!$K$7:$K$2738,$F334))</f>
        <v/>
      </c>
    </row>
    <row r="335" customFormat="false" ht="15" hidden="false" customHeight="false" outlineLevel="0" collapsed="false">
      <c r="A335" s="17" t="n">
        <v>331</v>
      </c>
      <c r="B335" s="12" t="s">
        <v>2260</v>
      </c>
      <c r="C335" s="12" t="s">
        <v>2261</v>
      </c>
      <c r="D335" s="16" t="n">
        <v>0.00699652777777778</v>
      </c>
      <c r="E335" s="15" t="n">
        <f aca="false">ROUND((D335-$D$5)*86400,2)</f>
        <v>65.48</v>
      </c>
      <c r="F335" s="17" t="n">
        <v>1438</v>
      </c>
      <c r="G335" s="16" t="str">
        <f aca="false">IF(INDEX(選手一覧!$D$7:$D$2738,$F335)="","",INDEX(選手一覧!$D$7:$D$2738,$F335))</f>
        <v/>
      </c>
      <c r="H335" s="17" t="str">
        <f aca="false">IF(INDEX(選手一覧!$E$7:$E$2738,$F335)="","",INDEX(選手一覧!$E$7:$E$2738,$F335))</f>
        <v/>
      </c>
      <c r="I335" s="16" t="str">
        <f aca="false">IF(INDEX(選手一覧!$J$7:$J$2738,$F335)="","",INDEX(選手一覧!$J$7:$J$2738,$F335))</f>
        <v/>
      </c>
      <c r="J335" s="17" t="str">
        <f aca="false">IF(INDEX(選手一覧!$K$7:$K$2738,$F335)="","",INDEX(選手一覧!$K$7:$K$2738,$F335))</f>
        <v/>
      </c>
    </row>
    <row r="336" customFormat="false" ht="15" hidden="false" customHeight="false" outlineLevel="0" collapsed="false">
      <c r="A336" s="17" t="n">
        <v>332</v>
      </c>
      <c r="B336" s="12" t="s">
        <v>2264</v>
      </c>
      <c r="C336" s="12" t="s">
        <v>382</v>
      </c>
      <c r="D336" s="16" t="n">
        <v>0.00699675925925926</v>
      </c>
      <c r="E336" s="15" t="n">
        <f aca="false">ROUND((D336-$D$5)*86400,2)</f>
        <v>65.5</v>
      </c>
      <c r="F336" s="17" t="n">
        <v>1440</v>
      </c>
      <c r="G336" s="16" t="str">
        <f aca="false">IF(INDEX(選手一覧!$D$7:$D$2738,$F336)="","",INDEX(選手一覧!$D$7:$D$2738,$F336))</f>
        <v/>
      </c>
      <c r="H336" s="17" t="str">
        <f aca="false">IF(INDEX(選手一覧!$E$7:$E$2738,$F336)="","",INDEX(選手一覧!$E$7:$E$2738,$F336))</f>
        <v/>
      </c>
      <c r="I336" s="16" t="n">
        <f aca="false">IF(INDEX(選手一覧!$J$7:$J$2738,$F336)="","",INDEX(選手一覧!$J$7:$J$2738,$F336))</f>
        <v>0.00294293981481482</v>
      </c>
      <c r="J336" s="17" t="n">
        <f aca="false">IF(INDEX(選手一覧!$K$7:$K$2738,$F336)="","",INDEX(選手一覧!$K$7:$K$2738,$F336))</f>
        <v>1210</v>
      </c>
    </row>
    <row r="337" customFormat="false" ht="15" hidden="false" customHeight="false" outlineLevel="0" collapsed="false">
      <c r="A337" s="17" t="n">
        <v>333</v>
      </c>
      <c r="B337" s="12" t="s">
        <v>2265</v>
      </c>
      <c r="C337" s="12" t="s">
        <v>2266</v>
      </c>
      <c r="D337" s="16" t="n">
        <v>0.00699722222222222</v>
      </c>
      <c r="E337" s="15" t="n">
        <f aca="false">ROUND((D337-$D$5)*86400,2)</f>
        <v>65.54</v>
      </c>
      <c r="F337" s="17" t="n">
        <v>1441</v>
      </c>
      <c r="G337" s="16" t="str">
        <f aca="false">IF(INDEX(選手一覧!$D$7:$D$2738,$F337)="","",INDEX(選手一覧!$D$7:$D$2738,$F337))</f>
        <v/>
      </c>
      <c r="H337" s="17" t="str">
        <f aca="false">IF(INDEX(選手一覧!$E$7:$E$2738,$F337)="","",INDEX(選手一覧!$E$7:$E$2738,$F337))</f>
        <v/>
      </c>
      <c r="I337" s="16" t="n">
        <f aca="false">IF(INDEX(選手一覧!$J$7:$J$2738,$F337)="","",INDEX(選手一覧!$J$7:$J$2738,$F337))</f>
        <v>0.00292199074074074</v>
      </c>
      <c r="J337" s="17" t="n">
        <f aca="false">IF(INDEX(選手一覧!$K$7:$K$2738,$F337)="","",INDEX(選手一覧!$K$7:$K$2738,$F337))</f>
        <v>1113</v>
      </c>
    </row>
    <row r="338" customFormat="false" ht="15" hidden="false" customHeight="false" outlineLevel="0" collapsed="false">
      <c r="A338" s="17" t="n">
        <v>334</v>
      </c>
      <c r="B338" s="12" t="s">
        <v>1350</v>
      </c>
      <c r="C338" s="12" t="s">
        <v>240</v>
      </c>
      <c r="D338" s="16" t="n">
        <v>0.00699918981481482</v>
      </c>
      <c r="E338" s="15" t="n">
        <f aca="false">ROUND((D338-$D$5)*86400,2)</f>
        <v>65.71</v>
      </c>
      <c r="F338" s="17" t="n">
        <v>814</v>
      </c>
      <c r="G338" s="16" t="n">
        <f aca="false">IF(INDEX(選手一覧!$D$7:$D$2738,$F338)="","",INDEX(選手一覧!$D$7:$D$2738,$F338))</f>
        <v>0.0108413194444445</v>
      </c>
      <c r="H338" s="17" t="n">
        <f aca="false">IF(INDEX(選手一覧!$E$7:$E$2738,$F338)="","",INDEX(選手一覧!$E$7:$E$2738,$F338))</f>
        <v>815</v>
      </c>
      <c r="I338" s="16" t="n">
        <f aca="false">IF(INDEX(選手一覧!$J$7:$J$2738,$F338)="","",INDEX(選手一覧!$J$7:$J$2738,$F338))</f>
        <v>0.002828125</v>
      </c>
      <c r="J338" s="17" t="n">
        <f aca="false">IF(INDEX(選手一覧!$K$7:$K$2738,$F338)="","",INDEX(選手一覧!$K$7:$K$2738,$F338))</f>
        <v>412</v>
      </c>
    </row>
    <row r="339" customFormat="false" ht="15" hidden="false" customHeight="false" outlineLevel="0" collapsed="false">
      <c r="A339" s="17" t="n">
        <v>335</v>
      </c>
      <c r="B339" s="12" t="s">
        <v>2267</v>
      </c>
      <c r="C339" s="12" t="s">
        <v>2268</v>
      </c>
      <c r="D339" s="16" t="n">
        <v>0.00699965277777778</v>
      </c>
      <c r="E339" s="15" t="n">
        <f aca="false">ROUND((D339-$D$5)*86400,2)</f>
        <v>65.75</v>
      </c>
      <c r="F339" s="17" t="n">
        <v>1442</v>
      </c>
      <c r="G339" s="16" t="str">
        <f aca="false">IF(INDEX(選手一覧!$D$7:$D$2738,$F339)="","",INDEX(選手一覧!$D$7:$D$2738,$F339))</f>
        <v/>
      </c>
      <c r="H339" s="17" t="str">
        <f aca="false">IF(INDEX(選手一覧!$E$7:$E$2738,$F339)="","",INDEX(選手一覧!$E$7:$E$2738,$F339))</f>
        <v/>
      </c>
      <c r="I339" s="16" t="str">
        <f aca="false">IF(INDEX(選手一覧!$J$7:$J$2738,$F339)="","",INDEX(選手一覧!$J$7:$J$2738,$F339))</f>
        <v/>
      </c>
      <c r="J339" s="17" t="str">
        <f aca="false">IF(INDEX(選手一覧!$K$7:$K$2738,$F339)="","",INDEX(選手一覧!$K$7:$K$2738,$F339))</f>
        <v/>
      </c>
    </row>
    <row r="340" customFormat="false" ht="15" hidden="false" customHeight="false" outlineLevel="0" collapsed="false">
      <c r="A340" s="17" t="n">
        <v>336</v>
      </c>
      <c r="B340" s="12" t="s">
        <v>1911</v>
      </c>
      <c r="C340" s="12" t="s">
        <v>37</v>
      </c>
      <c r="D340" s="16" t="n">
        <v>0.007</v>
      </c>
      <c r="E340" s="15" t="n">
        <f aca="false">ROUND((D340-$D$5)*86400,2)</f>
        <v>65.78</v>
      </c>
      <c r="F340" s="17" t="n">
        <v>1191</v>
      </c>
      <c r="G340" s="16" t="n">
        <f aca="false">IF(INDEX(選手一覧!$D$7:$D$2738,$F340)="","",INDEX(選手一覧!$D$7:$D$2738,$F340))</f>
        <v>0.0110459490740741</v>
      </c>
      <c r="H340" s="17" t="n">
        <f aca="false">IF(INDEX(選手一覧!$E$7:$E$2738,$F340)="","",INDEX(選手一覧!$E$7:$E$2738,$F340))</f>
        <v>1192</v>
      </c>
      <c r="I340" s="16" t="str">
        <f aca="false">IF(INDEX(選手一覧!$J$7:$J$2738,$F340)="","",INDEX(選手一覧!$J$7:$J$2738,$F340))</f>
        <v/>
      </c>
      <c r="J340" s="17" t="str">
        <f aca="false">IF(INDEX(選手一覧!$K$7:$K$2738,$F340)="","",INDEX(選手一覧!$K$7:$K$2738,$F340))</f>
        <v/>
      </c>
    </row>
    <row r="341" customFormat="false" ht="15" hidden="false" customHeight="false" outlineLevel="0" collapsed="false">
      <c r="A341" s="17" t="n">
        <v>337</v>
      </c>
      <c r="B341" s="12" t="s">
        <v>2269</v>
      </c>
      <c r="C341" s="12" t="s">
        <v>2270</v>
      </c>
      <c r="D341" s="16" t="n">
        <v>0.00700046296296296</v>
      </c>
      <c r="E341" s="15" t="n">
        <f aca="false">ROUND((D341-$D$5)*86400,2)</f>
        <v>65.82</v>
      </c>
      <c r="F341" s="17" t="n">
        <v>1443</v>
      </c>
      <c r="G341" s="16" t="str">
        <f aca="false">IF(INDEX(選手一覧!$D$7:$D$2738,$F341)="","",INDEX(選手一覧!$D$7:$D$2738,$F341))</f>
        <v/>
      </c>
      <c r="H341" s="17" t="str">
        <f aca="false">IF(INDEX(選手一覧!$E$7:$E$2738,$F341)="","",INDEX(選手一覧!$E$7:$E$2738,$F341))</f>
        <v/>
      </c>
      <c r="I341" s="16" t="str">
        <f aca="false">IF(INDEX(選手一覧!$J$7:$J$2738,$F341)="","",INDEX(選手一覧!$J$7:$J$2738,$F341))</f>
        <v/>
      </c>
      <c r="J341" s="17" t="str">
        <f aca="false">IF(INDEX(選手一覧!$K$7:$K$2738,$F341)="","",INDEX(選手一覧!$K$7:$K$2738,$F341))</f>
        <v/>
      </c>
    </row>
    <row r="342" customFormat="false" ht="15" hidden="false" customHeight="false" outlineLevel="0" collapsed="false">
      <c r="A342" s="17" t="n">
        <v>338</v>
      </c>
      <c r="B342" s="12" t="s">
        <v>1037</v>
      </c>
      <c r="C342" s="12" t="s">
        <v>4428</v>
      </c>
      <c r="D342" s="16" t="n">
        <v>0.00700081018518519</v>
      </c>
      <c r="E342" s="15" t="n">
        <f aca="false">ROUND((D342-$D$5)*86400,2)</f>
        <v>65.85</v>
      </c>
      <c r="F342" s="17" t="n">
        <v>602</v>
      </c>
      <c r="G342" s="16" t="n">
        <f aca="false">IF(INDEX(選手一覧!$D$7:$D$2738,$F342)="","",INDEX(選手一覧!$D$7:$D$2738,$F342))</f>
        <v>0.0107142361111111</v>
      </c>
      <c r="H342" s="17" t="n">
        <f aca="false">IF(INDEX(選手一覧!$E$7:$E$2738,$F342)="","",INDEX(選手一覧!$E$7:$E$2738,$F342))</f>
        <v>603</v>
      </c>
      <c r="I342" s="16" t="n">
        <f aca="false">IF(INDEX(選手一覧!$J$7:$J$2738,$F342)="","",INDEX(選手一覧!$J$7:$J$2738,$F342))</f>
        <v>0.00286875</v>
      </c>
      <c r="J342" s="17" t="n">
        <f aca="false">IF(INDEX(選手一覧!$K$7:$K$2738,$F342)="","",INDEX(選手一覧!$K$7:$K$2738,$F342))</f>
        <v>686</v>
      </c>
    </row>
    <row r="343" customFormat="false" ht="15" hidden="false" customHeight="false" outlineLevel="0" collapsed="false">
      <c r="A343" s="17" t="n">
        <v>339</v>
      </c>
      <c r="B343" s="12" t="s">
        <v>2271</v>
      </c>
      <c r="C343" s="12" t="s">
        <v>2272</v>
      </c>
      <c r="D343" s="16" t="n">
        <v>0.00700324074074074</v>
      </c>
      <c r="E343" s="15" t="n">
        <f aca="false">ROUND((D343-$D$5)*86400,2)</f>
        <v>66.06</v>
      </c>
      <c r="F343" s="17" t="n">
        <v>1444</v>
      </c>
      <c r="G343" s="16" t="str">
        <f aca="false">IF(INDEX(選手一覧!$D$7:$D$2738,$F343)="","",INDEX(選手一覧!$D$7:$D$2738,$F343))</f>
        <v/>
      </c>
      <c r="H343" s="17" t="str">
        <f aca="false">IF(INDEX(選手一覧!$E$7:$E$2738,$F343)="","",INDEX(選手一覧!$E$7:$E$2738,$F343))</f>
        <v/>
      </c>
      <c r="I343" s="16" t="str">
        <f aca="false">IF(INDEX(選手一覧!$J$7:$J$2738,$F343)="","",INDEX(選手一覧!$J$7:$J$2738,$F343))</f>
        <v/>
      </c>
      <c r="J343" s="17" t="str">
        <f aca="false">IF(INDEX(選手一覧!$K$7:$K$2738,$F343)="","",INDEX(選手一覧!$K$7:$K$2738,$F343))</f>
        <v/>
      </c>
    </row>
    <row r="344" customFormat="false" ht="15" hidden="false" customHeight="false" outlineLevel="0" collapsed="false">
      <c r="A344" s="17" t="n">
        <v>340</v>
      </c>
      <c r="B344" s="12" t="s">
        <v>1571</v>
      </c>
      <c r="C344" s="12" t="s">
        <v>71</v>
      </c>
      <c r="D344" s="16" t="n">
        <v>0.00700451388888889</v>
      </c>
      <c r="E344" s="15" t="n">
        <f aca="false">ROUND((D344-$D$5)*86400,2)</f>
        <v>66.17</v>
      </c>
      <c r="F344" s="17" t="n">
        <v>961</v>
      </c>
      <c r="G344" s="16" t="n">
        <f aca="false">IF(INDEX(選手一覧!$D$7:$D$2738,$F344)="","",INDEX(選手一覧!$D$7:$D$2738,$F344))</f>
        <v>0.0109270833333333</v>
      </c>
      <c r="H344" s="17" t="n">
        <f aca="false">IF(INDEX(選手一覧!$E$7:$E$2738,$F344)="","",INDEX(選手一覧!$E$7:$E$2738,$F344))</f>
        <v>962</v>
      </c>
      <c r="I344" s="16" t="str">
        <f aca="false">IF(INDEX(選手一覧!$J$7:$J$2738,$F344)="","",INDEX(選手一覧!$J$7:$J$2738,$F344))</f>
        <v/>
      </c>
      <c r="J344" s="17" t="str">
        <f aca="false">IF(INDEX(選手一覧!$K$7:$K$2738,$F344)="","",INDEX(選手一覧!$K$7:$K$2738,$F344))</f>
        <v/>
      </c>
    </row>
    <row r="345" customFormat="false" ht="15" hidden="false" customHeight="false" outlineLevel="0" collapsed="false">
      <c r="A345" s="17" t="n">
        <v>341</v>
      </c>
      <c r="B345" s="12" t="s">
        <v>1081</v>
      </c>
      <c r="C345" s="12" t="s">
        <v>61</v>
      </c>
      <c r="D345" s="16" t="n">
        <v>0.00700451388888889</v>
      </c>
      <c r="E345" s="15" t="n">
        <f aca="false">ROUND((D345-$D$5)*86400,2)</f>
        <v>66.17</v>
      </c>
      <c r="F345" s="17" t="n">
        <v>636</v>
      </c>
      <c r="G345" s="16" t="n">
        <f aca="false">IF(INDEX(選手一覧!$D$7:$D$2738,$F345)="","",INDEX(選手一覧!$D$7:$D$2738,$F345))</f>
        <v>0.0107318287037037</v>
      </c>
      <c r="H345" s="17" t="n">
        <f aca="false">IF(INDEX(選手一覧!$E$7:$E$2738,$F345)="","",INDEX(選手一覧!$E$7:$E$2738,$F345))</f>
        <v>637</v>
      </c>
      <c r="I345" s="16" t="n">
        <f aca="false">IF(INDEX(選手一覧!$J$7:$J$2738,$F345)="","",INDEX(選手一覧!$J$7:$J$2738,$F345))</f>
        <v>0.00283530092592593</v>
      </c>
      <c r="J345" s="17" t="n">
        <f aca="false">IF(INDEX(選手一覧!$K$7:$K$2738,$F345)="","",INDEX(選手一覧!$K$7:$K$2738,$F345))</f>
        <v>464</v>
      </c>
    </row>
    <row r="346" customFormat="false" ht="15" hidden="false" customHeight="false" outlineLevel="0" collapsed="false">
      <c r="A346" s="17" t="n">
        <v>342</v>
      </c>
      <c r="B346" s="12" t="s">
        <v>2273</v>
      </c>
      <c r="C346" s="12" t="s">
        <v>204</v>
      </c>
      <c r="D346" s="16" t="n">
        <v>0.00700497685185185</v>
      </c>
      <c r="E346" s="15" t="n">
        <f aca="false">ROUND((D346-$D$5)*86400,2)</f>
        <v>66.21</v>
      </c>
      <c r="F346" s="17" t="n">
        <v>1445</v>
      </c>
      <c r="G346" s="16" t="str">
        <f aca="false">IF(INDEX(選手一覧!$D$7:$D$2738,$F346)="","",INDEX(選手一覧!$D$7:$D$2738,$F346))</f>
        <v/>
      </c>
      <c r="H346" s="17" t="str">
        <f aca="false">IF(INDEX(選手一覧!$E$7:$E$2738,$F346)="","",INDEX(選手一覧!$E$7:$E$2738,$F346))</f>
        <v/>
      </c>
      <c r="I346" s="16" t="str">
        <f aca="false">IF(INDEX(選手一覧!$J$7:$J$2738,$F346)="","",INDEX(選手一覧!$J$7:$J$2738,$F346))</f>
        <v/>
      </c>
      <c r="J346" s="17" t="str">
        <f aca="false">IF(INDEX(選手一覧!$K$7:$K$2738,$F346)="","",INDEX(選手一覧!$K$7:$K$2738,$F346))</f>
        <v/>
      </c>
    </row>
    <row r="347" customFormat="false" ht="15" hidden="false" customHeight="false" outlineLevel="0" collapsed="false">
      <c r="A347" s="17" t="n">
        <v>343</v>
      </c>
      <c r="B347" s="12" t="s">
        <v>2275</v>
      </c>
      <c r="C347" s="12" t="s">
        <v>1348</v>
      </c>
      <c r="D347" s="16" t="n">
        <v>0.00700509259259259</v>
      </c>
      <c r="E347" s="15" t="n">
        <f aca="false">ROUND((D347-$D$5)*86400,2)</f>
        <v>66.22</v>
      </c>
      <c r="F347" s="17" t="n">
        <v>1447</v>
      </c>
      <c r="G347" s="16" t="str">
        <f aca="false">IF(INDEX(選手一覧!$D$7:$D$2738,$F347)="","",INDEX(選手一覧!$D$7:$D$2738,$F347))</f>
        <v/>
      </c>
      <c r="H347" s="17" t="str">
        <f aca="false">IF(INDEX(選手一覧!$E$7:$E$2738,$F347)="","",INDEX(選手一覧!$E$7:$E$2738,$F347))</f>
        <v/>
      </c>
      <c r="I347" s="16" t="str">
        <f aca="false">IF(INDEX(選手一覧!$J$7:$J$2738,$F347)="","",INDEX(選手一覧!$J$7:$J$2738,$F347))</f>
        <v/>
      </c>
      <c r="J347" s="17" t="str">
        <f aca="false">IF(INDEX(選手一覧!$K$7:$K$2738,$F347)="","",INDEX(選手一覧!$K$7:$K$2738,$F347))</f>
        <v/>
      </c>
    </row>
    <row r="348" customFormat="false" ht="15" hidden="false" customHeight="false" outlineLevel="0" collapsed="false">
      <c r="A348" s="17" t="n">
        <v>344</v>
      </c>
      <c r="B348" s="12" t="s">
        <v>2276</v>
      </c>
      <c r="C348" s="12" t="s">
        <v>2277</v>
      </c>
      <c r="D348" s="16" t="n">
        <v>0.00700601851851852</v>
      </c>
      <c r="E348" s="15" t="n">
        <f aca="false">ROUND((D348-$D$5)*86400,2)</f>
        <v>66.3</v>
      </c>
      <c r="F348" s="17" t="n">
        <v>1448</v>
      </c>
      <c r="G348" s="16" t="str">
        <f aca="false">IF(INDEX(選手一覧!$D$7:$D$2738,$F348)="","",INDEX(選手一覧!$D$7:$D$2738,$F348))</f>
        <v/>
      </c>
      <c r="H348" s="17" t="str">
        <f aca="false">IF(INDEX(選手一覧!$E$7:$E$2738,$F348)="","",INDEX(選手一覧!$E$7:$E$2738,$F348))</f>
        <v/>
      </c>
      <c r="I348" s="16" t="str">
        <f aca="false">IF(INDEX(選手一覧!$J$7:$J$2738,$F348)="","",INDEX(選手一覧!$J$7:$J$2738,$F348))</f>
        <v/>
      </c>
      <c r="J348" s="17" t="str">
        <f aca="false">IF(INDEX(選手一覧!$K$7:$K$2738,$F348)="","",INDEX(選手一覧!$K$7:$K$2738,$F348))</f>
        <v/>
      </c>
    </row>
    <row r="349" customFormat="false" ht="15" hidden="false" customHeight="false" outlineLevel="0" collapsed="false">
      <c r="A349" s="17" t="n">
        <v>345</v>
      </c>
      <c r="B349" s="12" t="s">
        <v>1024</v>
      </c>
      <c r="C349" s="12" t="s">
        <v>240</v>
      </c>
      <c r="D349" s="16" t="n">
        <v>0.00700706018518519</v>
      </c>
      <c r="E349" s="15" t="n">
        <f aca="false">ROUND((D349-$D$5)*86400,2)</f>
        <v>66.39</v>
      </c>
      <c r="F349" s="17" t="n">
        <v>593</v>
      </c>
      <c r="G349" s="16" t="n">
        <f aca="false">IF(INDEX(選手一覧!$D$7:$D$2738,$F349)="","",INDEX(選手一覧!$D$7:$D$2738,$F349))</f>
        <v>0.0107076388888889</v>
      </c>
      <c r="H349" s="17" t="n">
        <f aca="false">IF(INDEX(選手一覧!$E$7:$E$2738,$F349)="","",INDEX(選手一覧!$E$7:$E$2738,$F349))</f>
        <v>594</v>
      </c>
      <c r="I349" s="16" t="n">
        <f aca="false">IF(INDEX(選手一覧!$J$7:$J$2738,$F349)="","",INDEX(選手一覧!$J$7:$J$2738,$F349))</f>
        <v>0.00293472222222222</v>
      </c>
      <c r="J349" s="17" t="n">
        <f aca="false">IF(INDEX(選手一覧!$K$7:$K$2738,$F349)="","",INDEX(選手一覧!$K$7:$K$2738,$F349))</f>
        <v>1185</v>
      </c>
    </row>
    <row r="350" customFormat="false" ht="15" hidden="false" customHeight="false" outlineLevel="0" collapsed="false">
      <c r="A350" s="17" t="n">
        <v>346</v>
      </c>
      <c r="B350" s="12" t="s">
        <v>2280</v>
      </c>
      <c r="C350" s="12" t="s">
        <v>2281</v>
      </c>
      <c r="D350" s="16" t="n">
        <v>0.00700949074074074</v>
      </c>
      <c r="E350" s="15" t="n">
        <f aca="false">ROUND((D350-$D$5)*86400,2)</f>
        <v>66.6</v>
      </c>
      <c r="F350" s="17" t="n">
        <v>1450</v>
      </c>
      <c r="G350" s="16" t="str">
        <f aca="false">IF(INDEX(選手一覧!$D$7:$D$2738,$F350)="","",INDEX(選手一覧!$D$7:$D$2738,$F350))</f>
        <v/>
      </c>
      <c r="H350" s="17" t="str">
        <f aca="false">IF(INDEX(選手一覧!$E$7:$E$2738,$F350)="","",INDEX(選手一覧!$E$7:$E$2738,$F350))</f>
        <v/>
      </c>
      <c r="I350" s="16" t="str">
        <f aca="false">IF(INDEX(選手一覧!$J$7:$J$2738,$F350)="","",INDEX(選手一覧!$J$7:$J$2738,$F350))</f>
        <v/>
      </c>
      <c r="J350" s="17" t="str">
        <f aca="false">IF(INDEX(選手一覧!$K$7:$K$2738,$F350)="","",INDEX(選手一覧!$K$7:$K$2738,$F350))</f>
        <v/>
      </c>
    </row>
    <row r="351" customFormat="false" ht="15" hidden="false" customHeight="false" outlineLevel="0" collapsed="false">
      <c r="A351" s="17" t="n">
        <v>347</v>
      </c>
      <c r="B351" s="12" t="s">
        <v>2282</v>
      </c>
      <c r="C351" s="12" t="s">
        <v>2283</v>
      </c>
      <c r="D351" s="16" t="n">
        <v>0.00701053240740741</v>
      </c>
      <c r="E351" s="15" t="n">
        <f aca="false">ROUND((D351-$D$5)*86400,2)</f>
        <v>66.69</v>
      </c>
      <c r="F351" s="17" t="n">
        <v>1451</v>
      </c>
      <c r="G351" s="16" t="str">
        <f aca="false">IF(INDEX(選手一覧!$D$7:$D$2738,$F351)="","",INDEX(選手一覧!$D$7:$D$2738,$F351))</f>
        <v/>
      </c>
      <c r="H351" s="17" t="str">
        <f aca="false">IF(INDEX(選手一覧!$E$7:$E$2738,$F351)="","",INDEX(選手一覧!$E$7:$E$2738,$F351))</f>
        <v/>
      </c>
      <c r="I351" s="16" t="str">
        <f aca="false">IF(INDEX(選手一覧!$J$7:$J$2738,$F351)="","",INDEX(選手一覧!$J$7:$J$2738,$F351))</f>
        <v/>
      </c>
      <c r="J351" s="17" t="str">
        <f aca="false">IF(INDEX(選手一覧!$K$7:$K$2738,$F351)="","",INDEX(選手一覧!$K$7:$K$2738,$F351))</f>
        <v/>
      </c>
    </row>
    <row r="352" customFormat="false" ht="15" hidden="false" customHeight="false" outlineLevel="0" collapsed="false">
      <c r="A352" s="17" t="n">
        <v>348</v>
      </c>
      <c r="B352" s="12" t="s">
        <v>2284</v>
      </c>
      <c r="C352" s="12" t="s">
        <v>2285</v>
      </c>
      <c r="D352" s="16" t="n">
        <v>0.00701053240740741</v>
      </c>
      <c r="E352" s="15" t="n">
        <f aca="false">ROUND((D352-$D$5)*86400,2)</f>
        <v>66.69</v>
      </c>
      <c r="F352" s="17" t="n">
        <v>1452</v>
      </c>
      <c r="G352" s="16" t="str">
        <f aca="false">IF(INDEX(選手一覧!$D$7:$D$2738,$F352)="","",INDEX(選手一覧!$D$7:$D$2738,$F352))</f>
        <v/>
      </c>
      <c r="H352" s="17" t="str">
        <f aca="false">IF(INDEX(選手一覧!$E$7:$E$2738,$F352)="","",INDEX(選手一覧!$E$7:$E$2738,$F352))</f>
        <v/>
      </c>
      <c r="I352" s="16" t="str">
        <f aca="false">IF(INDEX(選手一覧!$J$7:$J$2738,$F352)="","",INDEX(選手一覧!$J$7:$J$2738,$F352))</f>
        <v/>
      </c>
      <c r="J352" s="17" t="str">
        <f aca="false">IF(INDEX(選手一覧!$K$7:$K$2738,$F352)="","",INDEX(選手一覧!$K$7:$K$2738,$F352))</f>
        <v/>
      </c>
    </row>
    <row r="353" customFormat="false" ht="15" hidden="false" customHeight="false" outlineLevel="0" collapsed="false">
      <c r="A353" s="17" t="n">
        <v>349</v>
      </c>
      <c r="B353" s="12" t="s">
        <v>2286</v>
      </c>
      <c r="C353" s="12" t="s">
        <v>2287</v>
      </c>
      <c r="D353" s="16" t="n">
        <v>0.00701215277777778</v>
      </c>
      <c r="E353" s="15" t="n">
        <f aca="false">ROUND((D353-$D$5)*86400,2)</f>
        <v>66.83</v>
      </c>
      <c r="F353" s="17" t="n">
        <v>1453</v>
      </c>
      <c r="G353" s="16" t="str">
        <f aca="false">IF(INDEX(選手一覧!$D$7:$D$2738,$F353)="","",INDEX(選手一覧!$D$7:$D$2738,$F353))</f>
        <v/>
      </c>
      <c r="H353" s="17" t="str">
        <f aca="false">IF(INDEX(選手一覧!$E$7:$E$2738,$F353)="","",INDEX(選手一覧!$E$7:$E$2738,$F353))</f>
        <v/>
      </c>
      <c r="I353" s="16" t="str">
        <f aca="false">IF(INDEX(選手一覧!$J$7:$J$2738,$F353)="","",INDEX(選手一覧!$J$7:$J$2738,$F353))</f>
        <v/>
      </c>
      <c r="J353" s="17" t="str">
        <f aca="false">IF(INDEX(選手一覧!$K$7:$K$2738,$F353)="","",INDEX(選手一覧!$K$7:$K$2738,$F353))</f>
        <v/>
      </c>
    </row>
    <row r="354" customFormat="false" ht="15" hidden="false" customHeight="false" outlineLevel="0" collapsed="false">
      <c r="A354" s="17" t="n">
        <v>350</v>
      </c>
      <c r="B354" s="12" t="s">
        <v>2290</v>
      </c>
      <c r="C354" s="12" t="s">
        <v>2291</v>
      </c>
      <c r="D354" s="16" t="n">
        <v>0.00701273148148148</v>
      </c>
      <c r="E354" s="15" t="n">
        <f aca="false">ROUND((D354-$D$5)*86400,2)</f>
        <v>66.88</v>
      </c>
      <c r="F354" s="17" t="n">
        <v>1455</v>
      </c>
      <c r="G354" s="16" t="str">
        <f aca="false">IF(INDEX(選手一覧!$D$7:$D$2738,$F354)="","",INDEX(選手一覧!$D$7:$D$2738,$F354))</f>
        <v/>
      </c>
      <c r="H354" s="17" t="str">
        <f aca="false">IF(INDEX(選手一覧!$E$7:$E$2738,$F354)="","",INDEX(選手一覧!$E$7:$E$2738,$F354))</f>
        <v/>
      </c>
      <c r="I354" s="16" t="str">
        <f aca="false">IF(INDEX(選手一覧!$J$7:$J$2738,$F354)="","",INDEX(選手一覧!$J$7:$J$2738,$F354))</f>
        <v/>
      </c>
      <c r="J354" s="17" t="str">
        <f aca="false">IF(INDEX(選手一覧!$K$7:$K$2738,$F354)="","",INDEX(選手一覧!$K$7:$K$2738,$F354))</f>
        <v/>
      </c>
    </row>
    <row r="355" customFormat="false" ht="15" hidden="false" customHeight="false" outlineLevel="0" collapsed="false">
      <c r="A355" s="17" t="n">
        <v>351</v>
      </c>
      <c r="B355" s="12" t="s">
        <v>2293</v>
      </c>
      <c r="C355" s="12" t="s">
        <v>2294</v>
      </c>
      <c r="D355" s="16" t="n">
        <v>0.00701516203703704</v>
      </c>
      <c r="E355" s="15" t="n">
        <f aca="false">ROUND((D355-$D$5)*86400,2)</f>
        <v>67.09</v>
      </c>
      <c r="F355" s="17" t="n">
        <v>1457</v>
      </c>
      <c r="G355" s="16" t="str">
        <f aca="false">IF(INDEX(選手一覧!$D$7:$D$2738,$F355)="","",INDEX(選手一覧!$D$7:$D$2738,$F355))</f>
        <v/>
      </c>
      <c r="H355" s="17" t="str">
        <f aca="false">IF(INDEX(選手一覧!$E$7:$E$2738,$F355)="","",INDEX(選手一覧!$E$7:$E$2738,$F355))</f>
        <v/>
      </c>
      <c r="I355" s="16" t="str">
        <f aca="false">IF(INDEX(選手一覧!$J$7:$J$2738,$F355)="","",INDEX(選手一覧!$J$7:$J$2738,$F355))</f>
        <v/>
      </c>
      <c r="J355" s="17" t="str">
        <f aca="false">IF(INDEX(選手一覧!$K$7:$K$2738,$F355)="","",INDEX(選手一覧!$K$7:$K$2738,$F355))</f>
        <v/>
      </c>
    </row>
    <row r="356" customFormat="false" ht="15" hidden="false" customHeight="false" outlineLevel="0" collapsed="false">
      <c r="A356" s="17" t="n">
        <v>352</v>
      </c>
      <c r="B356" s="12" t="s">
        <v>2295</v>
      </c>
      <c r="C356" s="12" t="s">
        <v>1121</v>
      </c>
      <c r="D356" s="16" t="n">
        <v>0.00701574074074074</v>
      </c>
      <c r="E356" s="15" t="n">
        <f aca="false">ROUND((D356-$D$5)*86400,2)</f>
        <v>67.14</v>
      </c>
      <c r="F356" s="17" t="n">
        <v>1458</v>
      </c>
      <c r="G356" s="16" t="str">
        <f aca="false">IF(INDEX(選手一覧!$D$7:$D$2738,$F356)="","",INDEX(選手一覧!$D$7:$D$2738,$F356))</f>
        <v/>
      </c>
      <c r="H356" s="17" t="str">
        <f aca="false">IF(INDEX(選手一覧!$E$7:$E$2738,$F356)="","",INDEX(選手一覧!$E$7:$E$2738,$F356))</f>
        <v/>
      </c>
      <c r="I356" s="16" t="str">
        <f aca="false">IF(INDEX(選手一覧!$J$7:$J$2738,$F356)="","",INDEX(選手一覧!$J$7:$J$2738,$F356))</f>
        <v/>
      </c>
      <c r="J356" s="17" t="str">
        <f aca="false">IF(INDEX(選手一覧!$K$7:$K$2738,$F356)="","",INDEX(選手一覧!$K$7:$K$2738,$F356))</f>
        <v/>
      </c>
    </row>
    <row r="357" customFormat="false" ht="15" hidden="false" customHeight="false" outlineLevel="0" collapsed="false">
      <c r="A357" s="17" t="n">
        <v>353</v>
      </c>
      <c r="B357" s="12" t="s">
        <v>1706</v>
      </c>
      <c r="C357" s="12" t="s">
        <v>1707</v>
      </c>
      <c r="D357" s="16" t="n">
        <v>0.00701643518518519</v>
      </c>
      <c r="E357" s="15" t="n">
        <f aca="false">ROUND((D357-$D$5)*86400,2)</f>
        <v>67.2</v>
      </c>
      <c r="F357" s="17" t="n">
        <v>1052</v>
      </c>
      <c r="G357" s="16" t="n">
        <f aca="false">IF(INDEX(選手一覧!$D$7:$D$2738,$F357)="","",INDEX(選手一覧!$D$7:$D$2738,$F357))</f>
        <v>0.010978587962963</v>
      </c>
      <c r="H357" s="17" t="n">
        <f aca="false">IF(INDEX(選手一覧!$E$7:$E$2738,$F357)="","",INDEX(選手一覧!$E$7:$E$2738,$F357))</f>
        <v>1053</v>
      </c>
      <c r="I357" s="16" t="str">
        <f aca="false">IF(INDEX(選手一覧!$J$7:$J$2738,$F357)="","",INDEX(選手一覧!$J$7:$J$2738,$F357))</f>
        <v/>
      </c>
      <c r="J357" s="17" t="str">
        <f aca="false">IF(INDEX(選手一覧!$K$7:$K$2738,$F357)="","",INDEX(選手一覧!$K$7:$K$2738,$F357))</f>
        <v/>
      </c>
    </row>
    <row r="358" customFormat="false" ht="15" hidden="false" customHeight="false" outlineLevel="0" collapsed="false">
      <c r="A358" s="17" t="n">
        <v>354</v>
      </c>
      <c r="B358" s="12" t="s">
        <v>330</v>
      </c>
      <c r="C358" s="12" t="s">
        <v>245</v>
      </c>
      <c r="D358" s="16" t="n">
        <v>0.00701736111111111</v>
      </c>
      <c r="E358" s="15" t="n">
        <f aca="false">ROUND((D358-$D$5)*86400,2)</f>
        <v>67.28</v>
      </c>
      <c r="F358" s="17" t="n">
        <v>159</v>
      </c>
      <c r="G358" s="16" t="n">
        <f aca="false">IF(INDEX(選手一覧!$D$7:$D$2738,$F358)="","",INDEX(選手一覧!$D$7:$D$2738,$F358))</f>
        <v>0.0103002314814815</v>
      </c>
      <c r="H358" s="17" t="n">
        <f aca="false">IF(INDEX(選手一覧!$E$7:$E$2738,$F358)="","",INDEX(選手一覧!$E$7:$E$2738,$F358))</f>
        <v>160</v>
      </c>
      <c r="I358" s="16" t="n">
        <f aca="false">IF(INDEX(選手一覧!$J$7:$J$2738,$F358)="","",INDEX(選手一覧!$J$7:$J$2738,$F358))</f>
        <v>0.0028443287037037</v>
      </c>
      <c r="J358" s="17" t="n">
        <f aca="false">IF(INDEX(選手一覧!$K$7:$K$2738,$F358)="","",INDEX(選手一覧!$K$7:$K$2738,$F358))</f>
        <v>529</v>
      </c>
    </row>
    <row r="359" customFormat="false" ht="15" hidden="false" customHeight="false" outlineLevel="0" collapsed="false">
      <c r="A359" s="17" t="n">
        <v>355</v>
      </c>
      <c r="B359" s="12" t="s">
        <v>84</v>
      </c>
      <c r="C359" s="12" t="s">
        <v>77</v>
      </c>
      <c r="D359" s="16" t="n">
        <v>0.00702037037037037</v>
      </c>
      <c r="E359" s="15" t="n">
        <f aca="false">ROUND((D359-$D$5)*86400,2)</f>
        <v>67.54</v>
      </c>
      <c r="F359" s="17" t="n">
        <v>28</v>
      </c>
      <c r="G359" s="16" t="n">
        <f aca="false">IF(INDEX(選手一覧!$D$7:$D$2738,$F359)="","",INDEX(選手一覧!$D$7:$D$2738,$F359))</f>
        <v>0.0100400462962963</v>
      </c>
      <c r="H359" s="17" t="n">
        <f aca="false">IF(INDEX(選手一覧!$E$7:$E$2738,$F359)="","",INDEX(選手一覧!$E$7:$E$2738,$F359))</f>
        <v>29</v>
      </c>
      <c r="I359" s="16" t="n">
        <f aca="false">IF(INDEX(選手一覧!$J$7:$J$2738,$F359)="","",INDEX(選手一覧!$J$7:$J$2738,$F359))</f>
        <v>0.00270590277777778</v>
      </c>
      <c r="J359" s="17" t="n">
        <f aca="false">IF(INDEX(選手一覧!$K$7:$K$2738,$F359)="","",INDEX(選手一覧!$K$7:$K$2738,$F359))</f>
        <v>29</v>
      </c>
    </row>
    <row r="360" customFormat="false" ht="15" hidden="false" customHeight="false" outlineLevel="0" collapsed="false">
      <c r="A360" s="17" t="n">
        <v>356</v>
      </c>
      <c r="B360" s="12" t="s">
        <v>2297</v>
      </c>
      <c r="C360" s="12" t="s">
        <v>2298</v>
      </c>
      <c r="D360" s="16" t="n">
        <v>0.0070224537037037</v>
      </c>
      <c r="E360" s="15" t="n">
        <f aca="false">ROUND((D360-$D$5)*86400,2)</f>
        <v>67.72</v>
      </c>
      <c r="F360" s="17" t="n">
        <v>1460</v>
      </c>
      <c r="G360" s="16" t="str">
        <f aca="false">IF(INDEX(選手一覧!$D$7:$D$2738,$F360)="","",INDEX(選手一覧!$D$7:$D$2738,$F360))</f>
        <v/>
      </c>
      <c r="H360" s="17" t="str">
        <f aca="false">IF(INDEX(選手一覧!$E$7:$E$2738,$F360)="","",INDEX(選手一覧!$E$7:$E$2738,$F360))</f>
        <v/>
      </c>
      <c r="I360" s="16" t="str">
        <f aca="false">IF(INDEX(選手一覧!$J$7:$J$2738,$F360)="","",INDEX(選手一覧!$J$7:$J$2738,$F360))</f>
        <v/>
      </c>
      <c r="J360" s="17" t="str">
        <f aca="false">IF(INDEX(選手一覧!$K$7:$K$2738,$F360)="","",INDEX(選手一覧!$K$7:$K$2738,$F360))</f>
        <v/>
      </c>
    </row>
    <row r="361" customFormat="false" ht="15" hidden="false" customHeight="false" outlineLevel="0" collapsed="false">
      <c r="A361" s="17" t="n">
        <v>357</v>
      </c>
      <c r="B361" s="12" t="s">
        <v>2301</v>
      </c>
      <c r="C361" s="12" t="s">
        <v>2302</v>
      </c>
      <c r="D361" s="16" t="n">
        <v>0.00702291666666667</v>
      </c>
      <c r="E361" s="15" t="n">
        <f aca="false">ROUND((D361-$D$5)*86400,2)</f>
        <v>67.76</v>
      </c>
      <c r="F361" s="17" t="n">
        <v>1462</v>
      </c>
      <c r="G361" s="16" t="str">
        <f aca="false">IF(INDEX(選手一覧!$D$7:$D$2738,$F361)="","",INDEX(選手一覧!$D$7:$D$2738,$F361))</f>
        <v/>
      </c>
      <c r="H361" s="17" t="str">
        <f aca="false">IF(INDEX(選手一覧!$E$7:$E$2738,$F361)="","",INDEX(選手一覧!$E$7:$E$2738,$F361))</f>
        <v/>
      </c>
      <c r="I361" s="16" t="str">
        <f aca="false">IF(INDEX(選手一覧!$J$7:$J$2738,$F361)="","",INDEX(選手一覧!$J$7:$J$2738,$F361))</f>
        <v/>
      </c>
      <c r="J361" s="17" t="str">
        <f aca="false">IF(INDEX(選手一覧!$K$7:$K$2738,$F361)="","",INDEX(選手一覧!$K$7:$K$2738,$F361))</f>
        <v/>
      </c>
    </row>
    <row r="362" customFormat="false" ht="15" hidden="false" customHeight="false" outlineLevel="0" collapsed="false">
      <c r="A362" s="17" t="n">
        <v>358</v>
      </c>
      <c r="B362" s="12" t="s">
        <v>2303</v>
      </c>
      <c r="C362" s="12" t="s">
        <v>2304</v>
      </c>
      <c r="D362" s="16" t="n">
        <v>0.00702291666666667</v>
      </c>
      <c r="E362" s="15" t="n">
        <f aca="false">ROUND((D362-$D$5)*86400,2)</f>
        <v>67.76</v>
      </c>
      <c r="F362" s="17" t="n">
        <v>1463</v>
      </c>
      <c r="G362" s="16" t="str">
        <f aca="false">IF(INDEX(選手一覧!$D$7:$D$2738,$F362)="","",INDEX(選手一覧!$D$7:$D$2738,$F362))</f>
        <v/>
      </c>
      <c r="H362" s="17" t="str">
        <f aca="false">IF(INDEX(選手一覧!$E$7:$E$2738,$F362)="","",INDEX(選手一覧!$E$7:$E$2738,$F362))</f>
        <v/>
      </c>
      <c r="I362" s="16" t="str">
        <f aca="false">IF(INDEX(選手一覧!$J$7:$J$2738,$F362)="","",INDEX(選手一覧!$J$7:$J$2738,$F362))</f>
        <v/>
      </c>
      <c r="J362" s="17" t="str">
        <f aca="false">IF(INDEX(選手一覧!$K$7:$K$2738,$F362)="","",INDEX(選手一覧!$K$7:$K$2738,$F362))</f>
        <v/>
      </c>
    </row>
    <row r="363" customFormat="false" ht="15" hidden="false" customHeight="false" outlineLevel="0" collapsed="false">
      <c r="A363" s="17" t="n">
        <v>359</v>
      </c>
      <c r="B363" s="12" t="s">
        <v>1784</v>
      </c>
      <c r="C363" s="12" t="s">
        <v>417</v>
      </c>
      <c r="D363" s="16" t="n">
        <v>0.00702592592592593</v>
      </c>
      <c r="E363" s="15" t="n">
        <f aca="false">ROUND((D363-$D$5)*86400,2)</f>
        <v>68.02</v>
      </c>
      <c r="F363" s="17" t="n">
        <v>1103</v>
      </c>
      <c r="G363" s="16" t="n">
        <f aca="false">IF(INDEX(選手一覧!$D$7:$D$2738,$F363)="","",INDEX(選手一覧!$D$7:$D$2738,$F363))</f>
        <v>0.011006712962963</v>
      </c>
      <c r="H363" s="17" t="n">
        <f aca="false">IF(INDEX(選手一覧!$E$7:$E$2738,$F363)="","",INDEX(選手一覧!$E$7:$E$2738,$F363))</f>
        <v>1104</v>
      </c>
      <c r="I363" s="16" t="str">
        <f aca="false">IF(INDEX(選手一覧!$J$7:$J$2738,$F363)="","",INDEX(選手一覧!$J$7:$J$2738,$F363))</f>
        <v/>
      </c>
      <c r="J363" s="17" t="str">
        <f aca="false">IF(INDEX(選手一覧!$K$7:$K$2738,$F363)="","",INDEX(選手一覧!$K$7:$K$2738,$F363))</f>
        <v/>
      </c>
    </row>
    <row r="364" customFormat="false" ht="15" hidden="false" customHeight="false" outlineLevel="0" collapsed="false">
      <c r="A364" s="17" t="n">
        <v>360</v>
      </c>
      <c r="B364" s="12" t="s">
        <v>176</v>
      </c>
      <c r="C364" s="12" t="s">
        <v>37</v>
      </c>
      <c r="D364" s="16" t="n">
        <v>0.00702662037037037</v>
      </c>
      <c r="E364" s="15" t="n">
        <f aca="false">ROUND((D364-$D$5)*86400,2)</f>
        <v>68.08</v>
      </c>
      <c r="F364" s="17" t="n">
        <v>77</v>
      </c>
      <c r="G364" s="16" t="n">
        <f aca="false">IF(INDEX(選手一覧!$D$7:$D$2738,$F364)="","",INDEX(選手一覧!$D$7:$D$2738,$F364))</f>
        <v>0.0101642361111111</v>
      </c>
      <c r="H364" s="17" t="n">
        <f aca="false">IF(INDEX(選手一覧!$E$7:$E$2738,$F364)="","",INDEX(選手一覧!$E$7:$E$2738,$F364))</f>
        <v>78</v>
      </c>
      <c r="I364" s="16" t="n">
        <f aca="false">IF(INDEX(選手一覧!$J$7:$J$2738,$F364)="","",INDEX(選手一覧!$J$7:$J$2738,$F364))</f>
        <v>0.00284363425925926</v>
      </c>
      <c r="J364" s="17" t="n">
        <f aca="false">IF(INDEX(選手一覧!$K$7:$K$2738,$F364)="","",INDEX(選手一覧!$K$7:$K$2738,$F364))</f>
        <v>522</v>
      </c>
    </row>
    <row r="365" customFormat="false" ht="15" hidden="false" customHeight="false" outlineLevel="0" collapsed="false">
      <c r="A365" s="17" t="n">
        <v>361</v>
      </c>
      <c r="B365" s="12" t="s">
        <v>2305</v>
      </c>
      <c r="C365" s="12" t="s">
        <v>311</v>
      </c>
      <c r="D365" s="16" t="n">
        <v>0.00702662037037037</v>
      </c>
      <c r="E365" s="15" t="n">
        <f aca="false">ROUND((D365-$D$5)*86400,2)</f>
        <v>68.08</v>
      </c>
      <c r="F365" s="17" t="n">
        <v>1464</v>
      </c>
      <c r="G365" s="16" t="str">
        <f aca="false">IF(INDEX(選手一覧!$D$7:$D$2738,$F365)="","",INDEX(選手一覧!$D$7:$D$2738,$F365))</f>
        <v/>
      </c>
      <c r="H365" s="17" t="str">
        <f aca="false">IF(INDEX(選手一覧!$E$7:$E$2738,$F365)="","",INDEX(選手一覧!$E$7:$E$2738,$F365))</f>
        <v/>
      </c>
      <c r="I365" s="16" t="str">
        <f aca="false">IF(INDEX(選手一覧!$J$7:$J$2738,$F365)="","",INDEX(選手一覧!$J$7:$J$2738,$F365))</f>
        <v/>
      </c>
      <c r="J365" s="17" t="str">
        <f aca="false">IF(INDEX(選手一覧!$K$7:$K$2738,$F365)="","",INDEX(選手一覧!$K$7:$K$2738,$F365))</f>
        <v/>
      </c>
    </row>
    <row r="366" customFormat="false" ht="15" hidden="false" customHeight="false" outlineLevel="0" collapsed="false">
      <c r="A366" s="17" t="n">
        <v>362</v>
      </c>
      <c r="B366" s="12" t="s">
        <v>2306</v>
      </c>
      <c r="C366" s="12" t="s">
        <v>2307</v>
      </c>
      <c r="D366" s="16" t="n">
        <v>0.00702708333333333</v>
      </c>
      <c r="E366" s="15" t="n">
        <f aca="false">ROUND((D366-$D$5)*86400,2)</f>
        <v>68.12</v>
      </c>
      <c r="F366" s="17" t="n">
        <v>1465</v>
      </c>
      <c r="G366" s="16" t="str">
        <f aca="false">IF(INDEX(選手一覧!$D$7:$D$2738,$F366)="","",INDEX(選手一覧!$D$7:$D$2738,$F366))</f>
        <v/>
      </c>
      <c r="H366" s="17" t="str">
        <f aca="false">IF(INDEX(選手一覧!$E$7:$E$2738,$F366)="","",INDEX(選手一覧!$E$7:$E$2738,$F366))</f>
        <v/>
      </c>
      <c r="I366" s="16" t="n">
        <f aca="false">IF(INDEX(選手一覧!$J$7:$J$2738,$F366)="","",INDEX(選手一覧!$J$7:$J$2738,$F366))</f>
        <v>0.00290983796296296</v>
      </c>
      <c r="J366" s="17" t="n">
        <f aca="false">IF(INDEX(選手一覧!$K$7:$K$2738,$F366)="","",INDEX(選手一覧!$K$7:$K$2738,$F366))</f>
        <v>1018</v>
      </c>
    </row>
    <row r="367" customFormat="false" ht="15" hidden="false" customHeight="false" outlineLevel="0" collapsed="false">
      <c r="A367" s="17" t="n">
        <v>363</v>
      </c>
      <c r="B367" s="12" t="s">
        <v>2308</v>
      </c>
      <c r="C367" s="12" t="s">
        <v>1255</v>
      </c>
      <c r="D367" s="16" t="n">
        <v>0.00702962962962963</v>
      </c>
      <c r="E367" s="15" t="n">
        <f aca="false">ROUND((D367-$D$5)*86400,2)</f>
        <v>68.34</v>
      </c>
      <c r="F367" s="17" t="n">
        <v>1466</v>
      </c>
      <c r="G367" s="16" t="str">
        <f aca="false">IF(INDEX(選手一覧!$D$7:$D$2738,$F367)="","",INDEX(選手一覧!$D$7:$D$2738,$F367))</f>
        <v/>
      </c>
      <c r="H367" s="17" t="str">
        <f aca="false">IF(INDEX(選手一覧!$E$7:$E$2738,$F367)="","",INDEX(選手一覧!$E$7:$E$2738,$F367))</f>
        <v/>
      </c>
      <c r="I367" s="16" t="str">
        <f aca="false">IF(INDEX(選手一覧!$J$7:$J$2738,$F367)="","",INDEX(選手一覧!$J$7:$J$2738,$F367))</f>
        <v/>
      </c>
      <c r="J367" s="17" t="str">
        <f aca="false">IF(INDEX(選手一覧!$K$7:$K$2738,$F367)="","",INDEX(選手一覧!$K$7:$K$2738,$F367))</f>
        <v/>
      </c>
    </row>
    <row r="368" customFormat="false" ht="15" hidden="false" customHeight="false" outlineLevel="0" collapsed="false">
      <c r="A368" s="17" t="n">
        <v>364</v>
      </c>
      <c r="B368" s="12" t="s">
        <v>2309</v>
      </c>
      <c r="C368" s="12" t="s">
        <v>2310</v>
      </c>
      <c r="D368" s="16" t="n">
        <v>0.00703206018518519</v>
      </c>
      <c r="E368" s="15" t="n">
        <f aca="false">ROUND((D368-$D$5)*86400,2)</f>
        <v>68.55</v>
      </c>
      <c r="F368" s="17" t="n">
        <v>1467</v>
      </c>
      <c r="G368" s="16" t="str">
        <f aca="false">IF(INDEX(選手一覧!$D$7:$D$2738,$F368)="","",INDEX(選手一覧!$D$7:$D$2738,$F368))</f>
        <v/>
      </c>
      <c r="H368" s="17" t="str">
        <f aca="false">IF(INDEX(選手一覧!$E$7:$E$2738,$F368)="","",INDEX(選手一覧!$E$7:$E$2738,$F368))</f>
        <v/>
      </c>
      <c r="I368" s="16" t="str">
        <f aca="false">IF(INDEX(選手一覧!$J$7:$J$2738,$F368)="","",INDEX(選手一覧!$J$7:$J$2738,$F368))</f>
        <v/>
      </c>
      <c r="J368" s="17" t="str">
        <f aca="false">IF(INDEX(選手一覧!$K$7:$K$2738,$F368)="","",INDEX(選手一覧!$K$7:$K$2738,$F368))</f>
        <v/>
      </c>
    </row>
    <row r="369" customFormat="false" ht="15" hidden="false" customHeight="false" outlineLevel="0" collapsed="false">
      <c r="A369" s="17" t="n">
        <v>365</v>
      </c>
      <c r="B369" s="12" t="s">
        <v>2311</v>
      </c>
      <c r="C369" s="12" t="s">
        <v>2312</v>
      </c>
      <c r="D369" s="16" t="n">
        <v>0.00703449074074074</v>
      </c>
      <c r="E369" s="15" t="n">
        <f aca="false">ROUND((D369-$D$5)*86400,2)</f>
        <v>68.76</v>
      </c>
      <c r="F369" s="17" t="n">
        <v>1468</v>
      </c>
      <c r="G369" s="16" t="str">
        <f aca="false">IF(INDEX(選手一覧!$D$7:$D$2738,$F369)="","",INDEX(選手一覧!$D$7:$D$2738,$F369))</f>
        <v/>
      </c>
      <c r="H369" s="17" t="str">
        <f aca="false">IF(INDEX(選手一覧!$E$7:$E$2738,$F369)="","",INDEX(選手一覧!$E$7:$E$2738,$F369))</f>
        <v/>
      </c>
      <c r="I369" s="16" t="str">
        <f aca="false">IF(INDEX(選手一覧!$J$7:$J$2738,$F369)="","",INDEX(選手一覧!$J$7:$J$2738,$F369))</f>
        <v/>
      </c>
      <c r="J369" s="17" t="str">
        <f aca="false">IF(INDEX(選手一覧!$K$7:$K$2738,$F369)="","",INDEX(選手一覧!$K$7:$K$2738,$F369))</f>
        <v/>
      </c>
    </row>
    <row r="370" customFormat="false" ht="15" hidden="false" customHeight="false" outlineLevel="0" collapsed="false">
      <c r="A370" s="17" t="n">
        <v>366</v>
      </c>
      <c r="B370" s="12" t="s">
        <v>2313</v>
      </c>
      <c r="C370" s="12" t="s">
        <v>248</v>
      </c>
      <c r="D370" s="16" t="n">
        <v>0.00703483796296296</v>
      </c>
      <c r="E370" s="15" t="n">
        <f aca="false">ROUND((D370-$D$5)*86400,2)</f>
        <v>68.79</v>
      </c>
      <c r="F370" s="17" t="n">
        <v>1469</v>
      </c>
      <c r="G370" s="16" t="str">
        <f aca="false">IF(INDEX(選手一覧!$D$7:$D$2738,$F370)="","",INDEX(選手一覧!$D$7:$D$2738,$F370))</f>
        <v/>
      </c>
      <c r="H370" s="17" t="str">
        <f aca="false">IF(INDEX(選手一覧!$E$7:$E$2738,$F370)="","",INDEX(選手一覧!$E$7:$E$2738,$F370))</f>
        <v/>
      </c>
      <c r="I370" s="16" t="str">
        <f aca="false">IF(INDEX(選手一覧!$J$7:$J$2738,$F370)="","",INDEX(選手一覧!$J$7:$J$2738,$F370))</f>
        <v/>
      </c>
      <c r="J370" s="17" t="str">
        <f aca="false">IF(INDEX(選手一覧!$K$7:$K$2738,$F370)="","",INDEX(選手一覧!$K$7:$K$2738,$F370))</f>
        <v/>
      </c>
    </row>
    <row r="371" customFormat="false" ht="15" hidden="false" customHeight="false" outlineLevel="0" collapsed="false">
      <c r="A371" s="17" t="n">
        <v>367</v>
      </c>
      <c r="B371" s="12" t="s">
        <v>642</v>
      </c>
      <c r="C371" s="12" t="s">
        <v>87</v>
      </c>
      <c r="D371" s="16" t="n">
        <v>0.00703599537037037</v>
      </c>
      <c r="E371" s="15" t="n">
        <f aca="false">ROUND((D371-$D$5)*86400,2)</f>
        <v>68.89</v>
      </c>
      <c r="F371" s="17" t="n">
        <v>349</v>
      </c>
      <c r="G371" s="16" t="n">
        <f aca="false">IF(INDEX(選手一覧!$D$7:$D$2738,$F371)="","",INDEX(選手一覧!$D$7:$D$2738,$F371))</f>
        <v>0.0105109953703704</v>
      </c>
      <c r="H371" s="17" t="n">
        <f aca="false">IF(INDEX(選手一覧!$E$7:$E$2738,$F371)="","",INDEX(選手一覧!$E$7:$E$2738,$F371))</f>
        <v>350</v>
      </c>
      <c r="I371" s="16" t="str">
        <f aca="false">IF(INDEX(選手一覧!$J$7:$J$2738,$F371)="","",INDEX(選手一覧!$J$7:$J$2738,$F371))</f>
        <v/>
      </c>
      <c r="J371" s="17" t="str">
        <f aca="false">IF(INDEX(選手一覧!$K$7:$K$2738,$F371)="","",INDEX(選手一覧!$K$7:$K$2738,$F371))</f>
        <v/>
      </c>
    </row>
    <row r="372" customFormat="false" ht="15" hidden="false" customHeight="false" outlineLevel="0" collapsed="false">
      <c r="A372" s="17" t="n">
        <v>368</v>
      </c>
      <c r="B372" s="12" t="s">
        <v>896</v>
      </c>
      <c r="C372" s="12" t="s">
        <v>4763</v>
      </c>
      <c r="D372" s="16" t="n">
        <v>0.00703703703703704</v>
      </c>
      <c r="E372" s="15" t="n">
        <f aca="false">ROUND((D372-$D$5)*86400,2)</f>
        <v>68.98</v>
      </c>
      <c r="F372" s="17" t="n">
        <v>509</v>
      </c>
      <c r="G372" s="16" t="n">
        <f aca="false">IF(INDEX(選手一覧!$D$7:$D$2738,$F372)="","",INDEX(選手一覧!$D$7:$D$2738,$F372))</f>
        <v>0.0106398148148148</v>
      </c>
      <c r="H372" s="17" t="n">
        <f aca="false">IF(INDEX(選手一覧!$E$7:$E$2738,$F372)="","",INDEX(選手一覧!$E$7:$E$2738,$F372))</f>
        <v>510</v>
      </c>
      <c r="I372" s="16" t="n">
        <f aca="false">IF(INDEX(選手一覧!$J$7:$J$2738,$F372)="","",INDEX(選手一覧!$J$7:$J$2738,$F372))</f>
        <v>0.00286574074074074</v>
      </c>
      <c r="J372" s="17" t="n">
        <f aca="false">IF(INDEX(選手一覧!$K$7:$K$2738,$F372)="","",INDEX(選手一覧!$K$7:$K$2738,$F372))</f>
        <v>669</v>
      </c>
    </row>
    <row r="373" customFormat="false" ht="15" hidden="false" customHeight="false" outlineLevel="0" collapsed="false">
      <c r="A373" s="17" t="n">
        <v>369</v>
      </c>
      <c r="B373" s="12" t="s">
        <v>2316</v>
      </c>
      <c r="C373" s="12" t="s">
        <v>69</v>
      </c>
      <c r="D373" s="16" t="n">
        <v>0.00703738425925926</v>
      </c>
      <c r="E373" s="15" t="n">
        <f aca="false">ROUND((D373-$D$5)*86400,2)</f>
        <v>69.01</v>
      </c>
      <c r="F373" s="17" t="n">
        <v>1471</v>
      </c>
      <c r="G373" s="16" t="str">
        <f aca="false">IF(INDEX(選手一覧!$D$7:$D$2738,$F373)="","",INDEX(選手一覧!$D$7:$D$2738,$F373))</f>
        <v/>
      </c>
      <c r="H373" s="17" t="str">
        <f aca="false">IF(INDEX(選手一覧!$E$7:$E$2738,$F373)="","",INDEX(選手一覧!$E$7:$E$2738,$F373))</f>
        <v/>
      </c>
      <c r="I373" s="16" t="n">
        <f aca="false">IF(INDEX(選手一覧!$J$7:$J$2738,$F373)="","",INDEX(選手一覧!$J$7:$J$2738,$F373))</f>
        <v>0.00290023148148148</v>
      </c>
      <c r="J373" s="17" t="n">
        <f aca="false">IF(INDEX(選手一覧!$K$7:$K$2738,$F373)="","",INDEX(選手一覧!$K$7:$K$2738,$F373))</f>
        <v>948</v>
      </c>
    </row>
    <row r="374" customFormat="false" ht="15" hidden="false" customHeight="false" outlineLevel="0" collapsed="false">
      <c r="A374" s="17" t="n">
        <v>370</v>
      </c>
      <c r="B374" s="12" t="s">
        <v>1758</v>
      </c>
      <c r="C374" s="12" t="s">
        <v>1269</v>
      </c>
      <c r="D374" s="16" t="n">
        <v>0.00703831018518519</v>
      </c>
      <c r="E374" s="15" t="n">
        <f aca="false">ROUND((D374-$D$5)*86400,2)</f>
        <v>69.09</v>
      </c>
      <c r="F374" s="17" t="n">
        <v>1087</v>
      </c>
      <c r="G374" s="16" t="n">
        <f aca="false">IF(INDEX(選手一覧!$D$7:$D$2738,$F374)="","",INDEX(選手一覧!$D$7:$D$2738,$F374))</f>
        <v>0.0109949074074074</v>
      </c>
      <c r="H374" s="17" t="n">
        <f aca="false">IF(INDEX(選手一覧!$E$7:$E$2738,$F374)="","",INDEX(選手一覧!$E$7:$E$2738,$F374))</f>
        <v>1088</v>
      </c>
      <c r="I374" s="16" t="n">
        <f aca="false">IF(INDEX(選手一覧!$J$7:$J$2738,$F374)="","",INDEX(選手一覧!$J$7:$J$2738,$F374))</f>
        <v>0.00291365740740741</v>
      </c>
      <c r="J374" s="17" t="n">
        <f aca="false">IF(INDEX(選手一覧!$K$7:$K$2738,$F374)="","",INDEX(選手一覧!$K$7:$K$2738,$F374))</f>
        <v>1048</v>
      </c>
    </row>
    <row r="375" customFormat="false" ht="15" hidden="false" customHeight="false" outlineLevel="0" collapsed="false">
      <c r="A375" s="17" t="n">
        <v>371</v>
      </c>
      <c r="B375" s="12" t="s">
        <v>983</v>
      </c>
      <c r="C375" s="12" t="s">
        <v>301</v>
      </c>
      <c r="D375" s="16" t="n">
        <v>0.00703842592592593</v>
      </c>
      <c r="E375" s="15" t="n">
        <f aca="false">ROUND((D375-$D$5)*86400,2)</f>
        <v>69.1</v>
      </c>
      <c r="F375" s="17" t="n">
        <v>564</v>
      </c>
      <c r="G375" s="16" t="n">
        <f aca="false">IF(INDEX(選手一覧!$D$7:$D$2738,$F375)="","",INDEX(選手一覧!$D$7:$D$2738,$F375))</f>
        <v>0.0106880787037037</v>
      </c>
      <c r="H375" s="17" t="n">
        <f aca="false">IF(INDEX(選手一覧!$E$7:$E$2738,$F375)="","",INDEX(選手一覧!$E$7:$E$2738,$F375))</f>
        <v>565</v>
      </c>
      <c r="I375" s="16" t="n">
        <f aca="false">IF(INDEX(選手一覧!$J$7:$J$2738,$F375)="","",INDEX(選手一覧!$J$7:$J$2738,$F375))</f>
        <v>0.00291388888888889</v>
      </c>
      <c r="J375" s="17" t="n">
        <f aca="false">IF(INDEX(選手一覧!$K$7:$K$2738,$F375)="","",INDEX(選手一覧!$K$7:$K$2738,$F375))</f>
        <v>1050</v>
      </c>
    </row>
    <row r="376" customFormat="false" ht="15" hidden="false" customHeight="false" outlineLevel="0" collapsed="false">
      <c r="A376" s="17" t="n">
        <v>372</v>
      </c>
      <c r="B376" s="12" t="s">
        <v>2317</v>
      </c>
      <c r="C376" s="12" t="s">
        <v>2318</v>
      </c>
      <c r="D376" s="16" t="n">
        <v>0.00703854166666667</v>
      </c>
      <c r="E376" s="15" t="n">
        <f aca="false">ROUND((D376-$D$5)*86400,2)</f>
        <v>69.11</v>
      </c>
      <c r="F376" s="17" t="n">
        <v>1472</v>
      </c>
      <c r="G376" s="16" t="str">
        <f aca="false">IF(INDEX(選手一覧!$D$7:$D$2738,$F376)="","",INDEX(選手一覧!$D$7:$D$2738,$F376))</f>
        <v/>
      </c>
      <c r="H376" s="17" t="str">
        <f aca="false">IF(INDEX(選手一覧!$E$7:$E$2738,$F376)="","",INDEX(選手一覧!$E$7:$E$2738,$F376))</f>
        <v/>
      </c>
      <c r="I376" s="16" t="str">
        <f aca="false">IF(INDEX(選手一覧!$J$7:$J$2738,$F376)="","",INDEX(選手一覧!$J$7:$J$2738,$F376))</f>
        <v/>
      </c>
      <c r="J376" s="17" t="str">
        <f aca="false">IF(INDEX(選手一覧!$K$7:$K$2738,$F376)="","",INDEX(選手一覧!$K$7:$K$2738,$F376))</f>
        <v/>
      </c>
    </row>
    <row r="377" customFormat="false" ht="15" hidden="false" customHeight="false" outlineLevel="0" collapsed="false">
      <c r="A377" s="17" t="n">
        <v>373</v>
      </c>
      <c r="B377" s="12" t="s">
        <v>2320</v>
      </c>
      <c r="C377" s="12" t="s">
        <v>1697</v>
      </c>
      <c r="D377" s="16" t="n">
        <v>0.00703935185185185</v>
      </c>
      <c r="E377" s="15" t="n">
        <f aca="false">ROUND((D377-$D$5)*86400,2)</f>
        <v>69.18</v>
      </c>
      <c r="F377" s="17" t="n">
        <v>1473</v>
      </c>
      <c r="G377" s="16" t="str">
        <f aca="false">IF(INDEX(選手一覧!$D$7:$D$2738,$F377)="","",INDEX(選手一覧!$D$7:$D$2738,$F377))</f>
        <v/>
      </c>
      <c r="H377" s="17" t="str">
        <f aca="false">IF(INDEX(選手一覧!$E$7:$E$2738,$F377)="","",INDEX(選手一覧!$E$7:$E$2738,$F377))</f>
        <v/>
      </c>
      <c r="I377" s="16" t="n">
        <f aca="false">IF(INDEX(選手一覧!$J$7:$J$2738,$F377)="","",INDEX(選手一覧!$J$7:$J$2738,$F377))</f>
        <v>0.00291840277777778</v>
      </c>
      <c r="J377" s="17" t="n">
        <f aca="false">IF(INDEX(選手一覧!$K$7:$K$2738,$F377)="","",INDEX(選手一覧!$K$7:$K$2738,$F377))</f>
        <v>1078</v>
      </c>
    </row>
    <row r="378" customFormat="false" ht="15" hidden="false" customHeight="false" outlineLevel="0" collapsed="false">
      <c r="A378" s="17" t="n">
        <v>374</v>
      </c>
      <c r="B378" s="12" t="s">
        <v>2321</v>
      </c>
      <c r="C378" s="12" t="s">
        <v>2322</v>
      </c>
      <c r="D378" s="16" t="n">
        <v>0.00703935185185185</v>
      </c>
      <c r="E378" s="15" t="n">
        <f aca="false">ROUND((D378-$D$5)*86400,2)</f>
        <v>69.18</v>
      </c>
      <c r="F378" s="17" t="n">
        <v>1474</v>
      </c>
      <c r="G378" s="16" t="str">
        <f aca="false">IF(INDEX(選手一覧!$D$7:$D$2738,$F378)="","",INDEX(選手一覧!$D$7:$D$2738,$F378))</f>
        <v/>
      </c>
      <c r="H378" s="17" t="str">
        <f aca="false">IF(INDEX(選手一覧!$E$7:$E$2738,$F378)="","",INDEX(選手一覧!$E$7:$E$2738,$F378))</f>
        <v/>
      </c>
      <c r="I378" s="16" t="str">
        <f aca="false">IF(INDEX(選手一覧!$J$7:$J$2738,$F378)="","",INDEX(選手一覧!$J$7:$J$2738,$F378))</f>
        <v/>
      </c>
      <c r="J378" s="17" t="str">
        <f aca="false">IF(INDEX(選手一覧!$K$7:$K$2738,$F378)="","",INDEX(選手一覧!$K$7:$K$2738,$F378))</f>
        <v/>
      </c>
    </row>
    <row r="379" customFormat="false" ht="15" hidden="false" customHeight="false" outlineLevel="0" collapsed="false">
      <c r="A379" s="17" t="n">
        <v>375</v>
      </c>
      <c r="B379" s="12" t="s">
        <v>1891</v>
      </c>
      <c r="C379" s="12" t="s">
        <v>1892</v>
      </c>
      <c r="D379" s="16" t="n">
        <v>0.00704016203703704</v>
      </c>
      <c r="E379" s="15" t="n">
        <f aca="false">ROUND((D379-$D$5)*86400,2)</f>
        <v>69.25</v>
      </c>
      <c r="F379" s="17" t="n">
        <v>1176</v>
      </c>
      <c r="G379" s="16" t="n">
        <f aca="false">IF(INDEX(選手一覧!$D$7:$D$2738,$F379)="","",INDEX(選手一覧!$D$7:$D$2738,$F379))</f>
        <v>0.0110396990740741</v>
      </c>
      <c r="H379" s="17" t="n">
        <f aca="false">IF(INDEX(選手一覧!$E$7:$E$2738,$F379)="","",INDEX(選手一覧!$E$7:$E$2738,$F379))</f>
        <v>1177</v>
      </c>
      <c r="I379" s="16" t="n">
        <f aca="false">IF(INDEX(選手一覧!$J$7:$J$2738,$F379)="","",INDEX(選手一覧!$J$7:$J$2738,$F379))</f>
        <v>0.00289143518518519</v>
      </c>
      <c r="J379" s="17" t="n">
        <f aca="false">IF(INDEX(選手一覧!$K$7:$K$2738,$F379)="","",INDEX(選手一覧!$K$7:$K$2738,$F379))</f>
        <v>880</v>
      </c>
    </row>
    <row r="380" customFormat="false" ht="15" hidden="false" customHeight="false" outlineLevel="0" collapsed="false">
      <c r="A380" s="17" t="n">
        <v>376</v>
      </c>
      <c r="B380" s="12" t="s">
        <v>2324</v>
      </c>
      <c r="C380" s="12" t="s">
        <v>236</v>
      </c>
      <c r="D380" s="16" t="n">
        <v>0.00704027777777778</v>
      </c>
      <c r="E380" s="15" t="n">
        <f aca="false">ROUND((D380-$D$5)*86400,2)</f>
        <v>69.26</v>
      </c>
      <c r="F380" s="17" t="n">
        <v>1476</v>
      </c>
      <c r="G380" s="16" t="str">
        <f aca="false">IF(INDEX(選手一覧!$D$7:$D$2738,$F380)="","",INDEX(選手一覧!$D$7:$D$2738,$F380))</f>
        <v/>
      </c>
      <c r="H380" s="17" t="str">
        <f aca="false">IF(INDEX(選手一覧!$E$7:$E$2738,$F380)="","",INDEX(選手一覧!$E$7:$E$2738,$F380))</f>
        <v/>
      </c>
      <c r="I380" s="16" t="str">
        <f aca="false">IF(INDEX(選手一覧!$J$7:$J$2738,$F380)="","",INDEX(選手一覧!$J$7:$J$2738,$F380))</f>
        <v/>
      </c>
      <c r="J380" s="17" t="str">
        <f aca="false">IF(INDEX(選手一覧!$K$7:$K$2738,$F380)="","",INDEX(選手一覧!$K$7:$K$2738,$F380))</f>
        <v/>
      </c>
    </row>
    <row r="381" customFormat="false" ht="15" hidden="false" customHeight="false" outlineLevel="0" collapsed="false">
      <c r="A381" s="17" t="n">
        <v>377</v>
      </c>
      <c r="B381" s="12" t="s">
        <v>1225</v>
      </c>
      <c r="C381" s="12" t="s">
        <v>515</v>
      </c>
      <c r="D381" s="16" t="n">
        <v>0.00704074074074074</v>
      </c>
      <c r="E381" s="15" t="n">
        <f aca="false">ROUND((D381-$D$5)*86400,2)</f>
        <v>69.3</v>
      </c>
      <c r="F381" s="17" t="n">
        <v>729</v>
      </c>
      <c r="G381" s="16" t="n">
        <f aca="false">IF(INDEX(選手一覧!$D$7:$D$2738,$F381)="","",INDEX(選手一覧!$D$7:$D$2738,$F381))</f>
        <v>0.0107921296296296</v>
      </c>
      <c r="H381" s="17" t="n">
        <f aca="false">IF(INDEX(選手一覧!$E$7:$E$2738,$F381)="","",INDEX(選手一覧!$E$7:$E$2738,$F381))</f>
        <v>730</v>
      </c>
      <c r="I381" s="16" t="n">
        <f aca="false">IF(INDEX(選手一覧!$J$7:$J$2738,$F381)="","",INDEX(選手一覧!$J$7:$J$2738,$F381))</f>
        <v>0.00287094907407407</v>
      </c>
      <c r="J381" s="17" t="n">
        <f aca="false">IF(INDEX(選手一覧!$K$7:$K$2738,$F381)="","",INDEX(選手一覧!$K$7:$K$2738,$F381))</f>
        <v>704</v>
      </c>
    </row>
    <row r="382" customFormat="false" ht="15" hidden="false" customHeight="false" outlineLevel="0" collapsed="false">
      <c r="A382" s="17" t="n">
        <v>378</v>
      </c>
      <c r="B382" s="12" t="s">
        <v>369</v>
      </c>
      <c r="C382" s="12" t="s">
        <v>370</v>
      </c>
      <c r="D382" s="16" t="n">
        <v>0.00704131944444445</v>
      </c>
      <c r="E382" s="15" t="n">
        <f aca="false">ROUND((D382-$D$5)*86400,2)</f>
        <v>69.35</v>
      </c>
      <c r="F382" s="17" t="n">
        <v>181</v>
      </c>
      <c r="G382" s="16" t="n">
        <f aca="false">IF(INDEX(選手一覧!$D$7:$D$2738,$F382)="","",INDEX(選手一覧!$D$7:$D$2738,$F382))</f>
        <v>0.0103303240740741</v>
      </c>
      <c r="H382" s="17" t="n">
        <f aca="false">IF(INDEX(選手一覧!$E$7:$E$2738,$F382)="","",INDEX(選手一覧!$E$7:$E$2738,$F382))</f>
        <v>182</v>
      </c>
      <c r="I382" s="16" t="n">
        <f aca="false">IF(INDEX(選手一覧!$J$7:$J$2738,$F382)="","",INDEX(選手一覧!$J$7:$J$2738,$F382))</f>
        <v>0.00277731481481482</v>
      </c>
      <c r="J382" s="17" t="n">
        <f aca="false">IF(INDEX(選手一覧!$K$7:$K$2738,$F382)="","",INDEX(選手一覧!$K$7:$K$2738,$F382))</f>
        <v>187</v>
      </c>
    </row>
    <row r="383" customFormat="false" ht="15" hidden="false" customHeight="false" outlineLevel="0" collapsed="false">
      <c r="A383" s="17" t="n">
        <v>379</v>
      </c>
      <c r="B383" s="12" t="s">
        <v>2326</v>
      </c>
      <c r="C383" s="12" t="s">
        <v>2327</v>
      </c>
      <c r="D383" s="16" t="n">
        <v>0.00704143518518519</v>
      </c>
      <c r="E383" s="15" t="n">
        <f aca="false">ROUND((D383-$D$5)*86400,2)</f>
        <v>69.36</v>
      </c>
      <c r="F383" s="17" t="n">
        <v>1478</v>
      </c>
      <c r="G383" s="16" t="str">
        <f aca="false">IF(INDEX(選手一覧!$D$7:$D$2738,$F383)="","",INDEX(選手一覧!$D$7:$D$2738,$F383))</f>
        <v/>
      </c>
      <c r="H383" s="17" t="str">
        <f aca="false">IF(INDEX(選手一覧!$E$7:$E$2738,$F383)="","",INDEX(選手一覧!$E$7:$E$2738,$F383))</f>
        <v/>
      </c>
      <c r="I383" s="16" t="n">
        <f aca="false">IF(INDEX(選手一覧!$J$7:$J$2738,$F383)="","",INDEX(選手一覧!$J$7:$J$2738,$F383))</f>
        <v>0.0029400462962963</v>
      </c>
      <c r="J383" s="17" t="n">
        <f aca="false">IF(INDEX(選手一覧!$K$7:$K$2738,$F383)="","",INDEX(選手一覧!$K$7:$K$2738,$F383))</f>
        <v>1200</v>
      </c>
    </row>
    <row r="384" customFormat="false" ht="15" hidden="false" customHeight="false" outlineLevel="0" collapsed="false">
      <c r="A384" s="17" t="n">
        <v>380</v>
      </c>
      <c r="B384" s="12" t="s">
        <v>2328</v>
      </c>
      <c r="C384" s="12" t="s">
        <v>2329</v>
      </c>
      <c r="D384" s="16" t="n">
        <v>0.00704282407407407</v>
      </c>
      <c r="E384" s="15" t="n">
        <f aca="false">ROUND((D384-$D$5)*86400,2)</f>
        <v>69.48</v>
      </c>
      <c r="F384" s="17" t="n">
        <v>1479</v>
      </c>
      <c r="G384" s="16" t="str">
        <f aca="false">IF(INDEX(選手一覧!$D$7:$D$2738,$F384)="","",INDEX(選手一覧!$D$7:$D$2738,$F384))</f>
        <v/>
      </c>
      <c r="H384" s="17" t="str">
        <f aca="false">IF(INDEX(選手一覧!$E$7:$E$2738,$F384)="","",INDEX(選手一覧!$E$7:$E$2738,$F384))</f>
        <v/>
      </c>
      <c r="I384" s="16" t="str">
        <f aca="false">IF(INDEX(選手一覧!$J$7:$J$2738,$F384)="","",INDEX(選手一覧!$J$7:$J$2738,$F384))</f>
        <v/>
      </c>
      <c r="J384" s="17" t="str">
        <f aca="false">IF(INDEX(選手一覧!$K$7:$K$2738,$F384)="","",INDEX(選手一覧!$K$7:$K$2738,$F384))</f>
        <v/>
      </c>
    </row>
    <row r="385" customFormat="false" ht="15" hidden="false" customHeight="false" outlineLevel="0" collapsed="false">
      <c r="A385" s="17" t="n">
        <v>381</v>
      </c>
      <c r="B385" s="12" t="s">
        <v>2331</v>
      </c>
      <c r="C385" s="12" t="s">
        <v>1993</v>
      </c>
      <c r="D385" s="16" t="n">
        <v>0.00704282407407407</v>
      </c>
      <c r="E385" s="15" t="n">
        <f aca="false">ROUND((D385-$D$5)*86400,2)</f>
        <v>69.48</v>
      </c>
      <c r="F385" s="17" t="n">
        <v>1481</v>
      </c>
      <c r="G385" s="16" t="str">
        <f aca="false">IF(INDEX(選手一覧!$D$7:$D$2738,$F385)="","",INDEX(選手一覧!$D$7:$D$2738,$F385))</f>
        <v/>
      </c>
      <c r="H385" s="17" t="str">
        <f aca="false">IF(INDEX(選手一覧!$E$7:$E$2738,$F385)="","",INDEX(選手一覧!$E$7:$E$2738,$F385))</f>
        <v/>
      </c>
      <c r="I385" s="16" t="str">
        <f aca="false">IF(INDEX(選手一覧!$J$7:$J$2738,$F385)="","",INDEX(選手一覧!$J$7:$J$2738,$F385))</f>
        <v/>
      </c>
      <c r="J385" s="17" t="str">
        <f aca="false">IF(INDEX(選手一覧!$K$7:$K$2738,$F385)="","",INDEX(選手一覧!$K$7:$K$2738,$F385))</f>
        <v/>
      </c>
    </row>
    <row r="386" customFormat="false" ht="15" hidden="false" customHeight="false" outlineLevel="0" collapsed="false">
      <c r="A386" s="17" t="n">
        <v>382</v>
      </c>
      <c r="B386" s="12" t="s">
        <v>2332</v>
      </c>
      <c r="C386" s="12" t="s">
        <v>2333</v>
      </c>
      <c r="D386" s="16" t="n">
        <v>0.00704305555555556</v>
      </c>
      <c r="E386" s="15" t="n">
        <f aca="false">ROUND((D386-$D$5)*86400,2)</f>
        <v>69.5</v>
      </c>
      <c r="F386" s="17" t="n">
        <v>1482</v>
      </c>
      <c r="G386" s="16" t="str">
        <f aca="false">IF(INDEX(選手一覧!$D$7:$D$2738,$F386)="","",INDEX(選手一覧!$D$7:$D$2738,$F386))</f>
        <v/>
      </c>
      <c r="H386" s="17" t="str">
        <f aca="false">IF(INDEX(選手一覧!$E$7:$E$2738,$F386)="","",INDEX(選手一覧!$E$7:$E$2738,$F386))</f>
        <v/>
      </c>
      <c r="I386" s="16" t="str">
        <f aca="false">IF(INDEX(選手一覧!$J$7:$J$2738,$F386)="","",INDEX(選手一覧!$J$7:$J$2738,$F386))</f>
        <v/>
      </c>
      <c r="J386" s="17" t="str">
        <f aca="false">IF(INDEX(選手一覧!$K$7:$K$2738,$F386)="","",INDEX(選手一覧!$K$7:$K$2738,$F386))</f>
        <v/>
      </c>
    </row>
    <row r="387" customFormat="false" ht="15" hidden="false" customHeight="false" outlineLevel="0" collapsed="false">
      <c r="A387" s="17" t="n">
        <v>383</v>
      </c>
      <c r="B387" s="12" t="s">
        <v>1531</v>
      </c>
      <c r="C387" s="12" t="s">
        <v>1532</v>
      </c>
      <c r="D387" s="16" t="n">
        <v>0.00704351851851852</v>
      </c>
      <c r="E387" s="15" t="n">
        <f aca="false">ROUND((D387-$D$5)*86400,2)</f>
        <v>69.54</v>
      </c>
      <c r="F387" s="17" t="n">
        <v>932</v>
      </c>
      <c r="G387" s="16" t="n">
        <f aca="false">IF(INDEX(選手一覧!$D$7:$D$2738,$F387)="","",INDEX(選手一覧!$D$7:$D$2738,$F387))</f>
        <v>0.0109077546296296</v>
      </c>
      <c r="H387" s="17" t="n">
        <f aca="false">IF(INDEX(選手一覧!$E$7:$E$2738,$F387)="","",INDEX(選手一覧!$E$7:$E$2738,$F387))</f>
        <v>933</v>
      </c>
      <c r="I387" s="16" t="str">
        <f aca="false">IF(INDEX(選手一覧!$J$7:$J$2738,$F387)="","",INDEX(選手一覧!$J$7:$J$2738,$F387))</f>
        <v/>
      </c>
      <c r="J387" s="17" t="str">
        <f aca="false">IF(INDEX(選手一覧!$K$7:$K$2738,$F387)="","",INDEX(選手一覧!$K$7:$K$2738,$F387))</f>
        <v/>
      </c>
    </row>
    <row r="388" customFormat="false" ht="15" hidden="false" customHeight="false" outlineLevel="0" collapsed="false">
      <c r="A388" s="17" t="n">
        <v>384</v>
      </c>
      <c r="B388" s="12" t="s">
        <v>2336</v>
      </c>
      <c r="C388" s="12" t="s">
        <v>2337</v>
      </c>
      <c r="D388" s="16" t="n">
        <v>0.00704444444444444</v>
      </c>
      <c r="E388" s="15" t="n">
        <f aca="false">ROUND((D388-$D$5)*86400,2)</f>
        <v>69.62</v>
      </c>
      <c r="F388" s="17" t="n">
        <v>1484</v>
      </c>
      <c r="G388" s="16" t="str">
        <f aca="false">IF(INDEX(選手一覧!$D$7:$D$2738,$F388)="","",INDEX(選手一覧!$D$7:$D$2738,$F388))</f>
        <v/>
      </c>
      <c r="H388" s="17" t="str">
        <f aca="false">IF(INDEX(選手一覧!$E$7:$E$2738,$F388)="","",INDEX(選手一覧!$E$7:$E$2738,$F388))</f>
        <v/>
      </c>
      <c r="I388" s="16" t="str">
        <f aca="false">IF(INDEX(選手一覧!$J$7:$J$2738,$F388)="","",INDEX(選手一覧!$J$7:$J$2738,$F388))</f>
        <v/>
      </c>
      <c r="J388" s="17" t="str">
        <f aca="false">IF(INDEX(選手一覧!$K$7:$K$2738,$F388)="","",INDEX(選手一覧!$K$7:$K$2738,$F388))</f>
        <v/>
      </c>
    </row>
    <row r="389" customFormat="false" ht="15" hidden="false" customHeight="false" outlineLevel="0" collapsed="false">
      <c r="A389" s="17" t="n">
        <v>385</v>
      </c>
      <c r="B389" s="12" t="s">
        <v>2339</v>
      </c>
      <c r="C389" s="12" t="s">
        <v>1360</v>
      </c>
      <c r="D389" s="16" t="n">
        <v>0.00704467592592593</v>
      </c>
      <c r="E389" s="15" t="n">
        <f aca="false">ROUND((D389-$D$5)*86400,2)</f>
        <v>69.64</v>
      </c>
      <c r="F389" s="17" t="n">
        <v>1486</v>
      </c>
      <c r="G389" s="16" t="str">
        <f aca="false">IF(INDEX(選手一覧!$D$7:$D$2738,$F389)="","",INDEX(選手一覧!$D$7:$D$2738,$F389))</f>
        <v/>
      </c>
      <c r="H389" s="17" t="str">
        <f aca="false">IF(INDEX(選手一覧!$E$7:$E$2738,$F389)="","",INDEX(選手一覧!$E$7:$E$2738,$F389))</f>
        <v/>
      </c>
      <c r="I389" s="16" t="str">
        <f aca="false">IF(INDEX(選手一覧!$J$7:$J$2738,$F389)="","",INDEX(選手一覧!$J$7:$J$2738,$F389))</f>
        <v/>
      </c>
      <c r="J389" s="17" t="str">
        <f aca="false">IF(INDEX(選手一覧!$K$7:$K$2738,$F389)="","",INDEX(選手一覧!$K$7:$K$2738,$F389))</f>
        <v/>
      </c>
    </row>
    <row r="390" customFormat="false" ht="15" hidden="false" customHeight="false" outlineLevel="0" collapsed="false">
      <c r="A390" s="17" t="n">
        <v>386</v>
      </c>
      <c r="B390" s="12" t="s">
        <v>2340</v>
      </c>
      <c r="C390" s="12" t="s">
        <v>907</v>
      </c>
      <c r="D390" s="16" t="n">
        <v>0.00704675925925926</v>
      </c>
      <c r="E390" s="15" t="n">
        <f aca="false">ROUND((D390-$D$5)*86400,2)</f>
        <v>69.82</v>
      </c>
      <c r="F390" s="17" t="n">
        <v>1487</v>
      </c>
      <c r="G390" s="16" t="str">
        <f aca="false">IF(INDEX(選手一覧!$D$7:$D$2738,$F390)="","",INDEX(選手一覧!$D$7:$D$2738,$F390))</f>
        <v/>
      </c>
      <c r="H390" s="17" t="str">
        <f aca="false">IF(INDEX(選手一覧!$E$7:$E$2738,$F390)="","",INDEX(選手一覧!$E$7:$E$2738,$F390))</f>
        <v/>
      </c>
      <c r="I390" s="16" t="str">
        <f aca="false">IF(INDEX(選手一覧!$J$7:$J$2738,$F390)="","",INDEX(選手一覧!$J$7:$J$2738,$F390))</f>
        <v/>
      </c>
      <c r="J390" s="17" t="str">
        <f aca="false">IF(INDEX(選手一覧!$K$7:$K$2738,$F390)="","",INDEX(選手一覧!$K$7:$K$2738,$F390))</f>
        <v/>
      </c>
    </row>
    <row r="391" customFormat="false" ht="15" hidden="false" customHeight="false" outlineLevel="0" collapsed="false">
      <c r="A391" s="17" t="n">
        <v>387</v>
      </c>
      <c r="B391" s="12" t="s">
        <v>1802</v>
      </c>
      <c r="C391" s="12" t="s">
        <v>1803</v>
      </c>
      <c r="D391" s="16" t="n">
        <v>0.00704675925925926</v>
      </c>
      <c r="E391" s="15" t="n">
        <f aca="false">ROUND((D391-$D$5)*86400,2)</f>
        <v>69.82</v>
      </c>
      <c r="F391" s="17" t="n">
        <v>1117</v>
      </c>
      <c r="G391" s="16" t="n">
        <f aca="false">IF(INDEX(選手一覧!$D$7:$D$2738,$F391)="","",INDEX(選手一覧!$D$7:$D$2738,$F391))</f>
        <v>0.011015162037037</v>
      </c>
      <c r="H391" s="17" t="n">
        <f aca="false">IF(INDEX(選手一覧!$E$7:$E$2738,$F391)="","",INDEX(選手一覧!$E$7:$E$2738,$F391))</f>
        <v>1118</v>
      </c>
      <c r="I391" s="16" t="n">
        <f aca="false">IF(INDEX(選手一覧!$J$7:$J$2738,$F391)="","",INDEX(選手一覧!$J$7:$J$2738,$F391))</f>
        <v>0.00292349537037037</v>
      </c>
      <c r="J391" s="17" t="n">
        <f aca="false">IF(INDEX(選手一覧!$K$7:$K$2738,$F391)="","",INDEX(選手一覧!$K$7:$K$2738,$F391))</f>
        <v>1133</v>
      </c>
    </row>
    <row r="392" customFormat="false" ht="15" hidden="false" customHeight="false" outlineLevel="0" collapsed="false">
      <c r="A392" s="17" t="n">
        <v>388</v>
      </c>
      <c r="B392" s="12" t="s">
        <v>2341</v>
      </c>
      <c r="C392" s="12" t="s">
        <v>1339</v>
      </c>
      <c r="D392" s="16" t="n">
        <v>0.00704699074074074</v>
      </c>
      <c r="E392" s="15" t="n">
        <f aca="false">ROUND((D392-$D$5)*86400,2)</f>
        <v>69.84</v>
      </c>
      <c r="F392" s="17" t="n">
        <v>1488</v>
      </c>
      <c r="G392" s="16" t="str">
        <f aca="false">IF(INDEX(選手一覧!$D$7:$D$2738,$F392)="","",INDEX(選手一覧!$D$7:$D$2738,$F392))</f>
        <v/>
      </c>
      <c r="H392" s="17" t="str">
        <f aca="false">IF(INDEX(選手一覧!$E$7:$E$2738,$F392)="","",INDEX(選手一覧!$E$7:$E$2738,$F392))</f>
        <v/>
      </c>
      <c r="I392" s="16" t="str">
        <f aca="false">IF(INDEX(選手一覧!$J$7:$J$2738,$F392)="","",INDEX(選手一覧!$J$7:$J$2738,$F392))</f>
        <v/>
      </c>
      <c r="J392" s="17" t="str">
        <f aca="false">IF(INDEX(選手一覧!$K$7:$K$2738,$F392)="","",INDEX(選手一覧!$K$7:$K$2738,$F392))</f>
        <v/>
      </c>
    </row>
    <row r="393" customFormat="false" ht="15" hidden="false" customHeight="false" outlineLevel="0" collapsed="false">
      <c r="A393" s="17" t="n">
        <v>389</v>
      </c>
      <c r="B393" s="12" t="s">
        <v>1462</v>
      </c>
      <c r="C393" s="12" t="s">
        <v>1463</v>
      </c>
      <c r="D393" s="16" t="n">
        <v>0.00704988425925926</v>
      </c>
      <c r="E393" s="15" t="n">
        <f aca="false">ROUND((D393-$D$5)*86400,2)</f>
        <v>70.09</v>
      </c>
      <c r="F393" s="17" t="n">
        <v>886</v>
      </c>
      <c r="G393" s="16" t="n">
        <f aca="false">IF(INDEX(選手一覧!$D$7:$D$2738,$F393)="","",INDEX(選手一覧!$D$7:$D$2738,$F393))</f>
        <v>0.0108793981481482</v>
      </c>
      <c r="H393" s="17" t="n">
        <f aca="false">IF(INDEX(選手一覧!$E$7:$E$2738,$F393)="","",INDEX(選手一覧!$E$7:$E$2738,$F393))</f>
        <v>887</v>
      </c>
      <c r="I393" s="16" t="str">
        <f aca="false">IF(INDEX(選手一覧!$J$7:$J$2738,$F393)="","",INDEX(選手一覧!$J$7:$J$2738,$F393))</f>
        <v/>
      </c>
      <c r="J393" s="17" t="str">
        <f aca="false">IF(INDEX(選手一覧!$K$7:$K$2738,$F393)="","",INDEX(選手一覧!$K$7:$K$2738,$F393))</f>
        <v/>
      </c>
    </row>
    <row r="394" customFormat="false" ht="15" hidden="false" customHeight="false" outlineLevel="0" collapsed="false">
      <c r="A394" s="17" t="n">
        <v>390</v>
      </c>
      <c r="B394" s="12" t="s">
        <v>2343</v>
      </c>
      <c r="C394" s="12" t="s">
        <v>204</v>
      </c>
      <c r="D394" s="16" t="n">
        <v>0.00705023148148148</v>
      </c>
      <c r="E394" s="15" t="n">
        <f aca="false">ROUND((D394-$D$5)*86400,2)</f>
        <v>70.12</v>
      </c>
      <c r="F394" s="17" t="n">
        <v>1490</v>
      </c>
      <c r="G394" s="16" t="str">
        <f aca="false">IF(INDEX(選手一覧!$D$7:$D$2738,$F394)="","",INDEX(選手一覧!$D$7:$D$2738,$F394))</f>
        <v/>
      </c>
      <c r="H394" s="17" t="str">
        <f aca="false">IF(INDEX(選手一覧!$E$7:$E$2738,$F394)="","",INDEX(選手一覧!$E$7:$E$2738,$F394))</f>
        <v/>
      </c>
      <c r="I394" s="16" t="str">
        <f aca="false">IF(INDEX(選手一覧!$J$7:$J$2738,$F394)="","",INDEX(選手一覧!$J$7:$J$2738,$F394))</f>
        <v/>
      </c>
      <c r="J394" s="17" t="str">
        <f aca="false">IF(INDEX(選手一覧!$K$7:$K$2738,$F394)="","",INDEX(選手一覧!$K$7:$K$2738,$F394))</f>
        <v/>
      </c>
    </row>
    <row r="395" customFormat="false" ht="15" hidden="false" customHeight="false" outlineLevel="0" collapsed="false">
      <c r="A395" s="17" t="n">
        <v>391</v>
      </c>
      <c r="B395" s="12" t="s">
        <v>2344</v>
      </c>
      <c r="C395" s="12" t="s">
        <v>143</v>
      </c>
      <c r="D395" s="16" t="n">
        <v>0.00705046296296296</v>
      </c>
      <c r="E395" s="15" t="n">
        <f aca="false">ROUND((D395-$D$5)*86400,2)</f>
        <v>70.14</v>
      </c>
      <c r="F395" s="17" t="n">
        <v>1491</v>
      </c>
      <c r="G395" s="16" t="str">
        <f aca="false">IF(INDEX(選手一覧!$D$7:$D$2738,$F395)="","",INDEX(選手一覧!$D$7:$D$2738,$F395))</f>
        <v/>
      </c>
      <c r="H395" s="17" t="str">
        <f aca="false">IF(INDEX(選手一覧!$E$7:$E$2738,$F395)="","",INDEX(選手一覧!$E$7:$E$2738,$F395))</f>
        <v/>
      </c>
      <c r="I395" s="16" t="str">
        <f aca="false">IF(INDEX(選手一覧!$J$7:$J$2738,$F395)="","",INDEX(選手一覧!$J$7:$J$2738,$F395))</f>
        <v/>
      </c>
      <c r="J395" s="17" t="str">
        <f aca="false">IF(INDEX(選手一覧!$K$7:$K$2738,$F395)="","",INDEX(選手一覧!$K$7:$K$2738,$F395))</f>
        <v/>
      </c>
    </row>
    <row r="396" customFormat="false" ht="15" hidden="false" customHeight="false" outlineLevel="0" collapsed="false">
      <c r="A396" s="17" t="n">
        <v>392</v>
      </c>
      <c r="B396" s="12" t="s">
        <v>2345</v>
      </c>
      <c r="C396" s="12" t="s">
        <v>817</v>
      </c>
      <c r="D396" s="16" t="n">
        <v>0.00705092592592593</v>
      </c>
      <c r="E396" s="15" t="n">
        <f aca="false">ROUND((D396-$D$5)*86400,2)</f>
        <v>70.18</v>
      </c>
      <c r="F396" s="17" t="n">
        <v>1492</v>
      </c>
      <c r="G396" s="16" t="str">
        <f aca="false">IF(INDEX(選手一覧!$D$7:$D$2738,$F396)="","",INDEX(選手一覧!$D$7:$D$2738,$F396))</f>
        <v/>
      </c>
      <c r="H396" s="17" t="str">
        <f aca="false">IF(INDEX(選手一覧!$E$7:$E$2738,$F396)="","",INDEX(選手一覧!$E$7:$E$2738,$F396))</f>
        <v/>
      </c>
      <c r="I396" s="16" t="str">
        <f aca="false">IF(INDEX(選手一覧!$J$7:$J$2738,$F396)="","",INDEX(選手一覧!$J$7:$J$2738,$F396))</f>
        <v/>
      </c>
      <c r="J396" s="17" t="str">
        <f aca="false">IF(INDEX(選手一覧!$K$7:$K$2738,$F396)="","",INDEX(選手一覧!$K$7:$K$2738,$F396))</f>
        <v/>
      </c>
    </row>
    <row r="397" customFormat="false" ht="15" hidden="false" customHeight="false" outlineLevel="0" collapsed="false">
      <c r="A397" s="17" t="n">
        <v>393</v>
      </c>
      <c r="B397" s="12" t="s">
        <v>2348</v>
      </c>
      <c r="C397" s="12" t="s">
        <v>2349</v>
      </c>
      <c r="D397" s="16" t="n">
        <v>0.00705416666666667</v>
      </c>
      <c r="E397" s="15" t="n">
        <f aca="false">ROUND((D397-$D$5)*86400,2)</f>
        <v>70.46</v>
      </c>
      <c r="F397" s="17" t="n">
        <v>1494</v>
      </c>
      <c r="G397" s="16" t="str">
        <f aca="false">IF(INDEX(選手一覧!$D$7:$D$2738,$F397)="","",INDEX(選手一覧!$D$7:$D$2738,$F397))</f>
        <v/>
      </c>
      <c r="H397" s="17" t="str">
        <f aca="false">IF(INDEX(選手一覧!$E$7:$E$2738,$F397)="","",INDEX(選手一覧!$E$7:$E$2738,$F397))</f>
        <v/>
      </c>
      <c r="I397" s="16" t="n">
        <f aca="false">IF(INDEX(選手一覧!$J$7:$J$2738,$F397)="","",INDEX(選手一覧!$J$7:$J$2738,$F397))</f>
        <v>0.00295925925925926</v>
      </c>
      <c r="J397" s="17" t="n">
        <f aca="false">IF(INDEX(選手一覧!$K$7:$K$2738,$F397)="","",INDEX(選手一覧!$K$7:$K$2738,$F397))</f>
        <v>1266</v>
      </c>
    </row>
    <row r="398" customFormat="false" ht="15" hidden="false" customHeight="false" outlineLevel="0" collapsed="false">
      <c r="A398" s="17" t="n">
        <v>394</v>
      </c>
      <c r="B398" s="12" t="s">
        <v>712</v>
      </c>
      <c r="C398" s="12" t="s">
        <v>544</v>
      </c>
      <c r="D398" s="16" t="n">
        <v>0.00705462962962963</v>
      </c>
      <c r="E398" s="15" t="n">
        <f aca="false">ROUND((D398-$D$5)*86400,2)</f>
        <v>70.5</v>
      </c>
      <c r="F398" s="17" t="n">
        <v>394</v>
      </c>
      <c r="G398" s="16" t="n">
        <f aca="false">IF(INDEX(選手一覧!$D$7:$D$2738,$F398)="","",INDEX(選手一覧!$D$7:$D$2738,$F398))</f>
        <v>0.0105478009259259</v>
      </c>
      <c r="H398" s="17" t="n">
        <f aca="false">IF(INDEX(選手一覧!$E$7:$E$2738,$F398)="","",INDEX(選手一覧!$E$7:$E$2738,$F398))</f>
        <v>395</v>
      </c>
      <c r="I398" s="16" t="n">
        <f aca="false">IF(INDEX(選手一覧!$J$7:$J$2738,$F398)="","",INDEX(選手一覧!$J$7:$J$2738,$F398))</f>
        <v>0.00281296296296296</v>
      </c>
      <c r="J398" s="17" t="n">
        <f aca="false">IF(INDEX(選手一覧!$K$7:$K$2738,$F398)="","",INDEX(選手一覧!$K$7:$K$2738,$F398))</f>
        <v>333</v>
      </c>
    </row>
    <row r="399" customFormat="false" ht="15" hidden="false" customHeight="false" outlineLevel="0" collapsed="false">
      <c r="A399" s="17" t="n">
        <v>395</v>
      </c>
      <c r="B399" s="12" t="s">
        <v>2350</v>
      </c>
      <c r="C399" s="12" t="s">
        <v>898</v>
      </c>
      <c r="D399" s="16" t="n">
        <v>0.00705462962962963</v>
      </c>
      <c r="E399" s="15" t="n">
        <f aca="false">ROUND((D399-$D$5)*86400,2)</f>
        <v>70.5</v>
      </c>
      <c r="F399" s="17" t="n">
        <v>1495</v>
      </c>
      <c r="G399" s="16" t="str">
        <f aca="false">IF(INDEX(選手一覧!$D$7:$D$2738,$F399)="","",INDEX(選手一覧!$D$7:$D$2738,$F399))</f>
        <v/>
      </c>
      <c r="H399" s="17" t="str">
        <f aca="false">IF(INDEX(選手一覧!$E$7:$E$2738,$F399)="","",INDEX(選手一覧!$E$7:$E$2738,$F399))</f>
        <v/>
      </c>
      <c r="I399" s="16" t="str">
        <f aca="false">IF(INDEX(選手一覧!$J$7:$J$2738,$F399)="","",INDEX(選手一覧!$J$7:$J$2738,$F399))</f>
        <v/>
      </c>
      <c r="J399" s="17" t="str">
        <f aca="false">IF(INDEX(選手一覧!$K$7:$K$2738,$F399)="","",INDEX(選手一覧!$K$7:$K$2738,$F399))</f>
        <v/>
      </c>
    </row>
    <row r="400" customFormat="false" ht="15" hidden="false" customHeight="false" outlineLevel="0" collapsed="false">
      <c r="A400" s="17" t="n">
        <v>396</v>
      </c>
      <c r="B400" s="12" t="s">
        <v>984</v>
      </c>
      <c r="C400" s="12" t="s">
        <v>179</v>
      </c>
      <c r="D400" s="16" t="n">
        <v>0.00705543981481482</v>
      </c>
      <c r="E400" s="15" t="n">
        <f aca="false">ROUND((D400-$D$5)*86400,2)</f>
        <v>70.57</v>
      </c>
      <c r="F400" s="17" t="n">
        <v>565</v>
      </c>
      <c r="G400" s="16" t="n">
        <f aca="false">IF(INDEX(選手一覧!$D$7:$D$2738,$F400)="","",INDEX(選手一覧!$D$7:$D$2738,$F400))</f>
        <v>0.0106886574074074</v>
      </c>
      <c r="H400" s="17" t="n">
        <f aca="false">IF(INDEX(選手一覧!$E$7:$E$2738,$F400)="","",INDEX(選手一覧!$E$7:$E$2738,$F400))</f>
        <v>566</v>
      </c>
      <c r="I400" s="16" t="str">
        <f aca="false">IF(INDEX(選手一覧!$J$7:$J$2738,$F400)="","",INDEX(選手一覧!$J$7:$J$2738,$F400))</f>
        <v/>
      </c>
      <c r="J400" s="17" t="str">
        <f aca="false">IF(INDEX(選手一覧!$K$7:$K$2738,$F400)="","",INDEX(選手一覧!$K$7:$K$2738,$F400))</f>
        <v/>
      </c>
    </row>
    <row r="401" customFormat="false" ht="15" hidden="false" customHeight="false" outlineLevel="0" collapsed="false">
      <c r="A401" s="17" t="n">
        <v>397</v>
      </c>
      <c r="B401" s="12" t="s">
        <v>2029</v>
      </c>
      <c r="C401" s="12" t="s">
        <v>1209</v>
      </c>
      <c r="D401" s="16" t="n">
        <v>0.00705625</v>
      </c>
      <c r="E401" s="15" t="n">
        <f aca="false">ROUND((D401-$D$5)*86400,2)</f>
        <v>70.64</v>
      </c>
      <c r="F401" s="17" t="n">
        <v>1281</v>
      </c>
      <c r="G401" s="16" t="n">
        <f aca="false">IF(INDEX(選手一覧!$D$7:$D$2738,$F401)="","",INDEX(選手一覧!$D$7:$D$2738,$F401))</f>
        <v>0.0111162037037037</v>
      </c>
      <c r="H401" s="17" t="n">
        <f aca="false">IF(INDEX(選手一覧!$E$7:$E$2738,$F401)="","",INDEX(選手一覧!$E$7:$E$2738,$F401))</f>
        <v>1282</v>
      </c>
      <c r="I401" s="16" t="str">
        <f aca="false">IF(INDEX(選手一覧!$J$7:$J$2738,$F401)="","",INDEX(選手一覧!$J$7:$J$2738,$F401))</f>
        <v/>
      </c>
      <c r="J401" s="17" t="str">
        <f aca="false">IF(INDEX(選手一覧!$K$7:$K$2738,$F401)="","",INDEX(選手一覧!$K$7:$K$2738,$F401))</f>
        <v/>
      </c>
    </row>
    <row r="402" customFormat="false" ht="15" hidden="false" customHeight="false" outlineLevel="0" collapsed="false">
      <c r="A402" s="17" t="n">
        <v>398</v>
      </c>
      <c r="B402" s="12" t="s">
        <v>2353</v>
      </c>
      <c r="C402" s="12" t="s">
        <v>790</v>
      </c>
      <c r="D402" s="16" t="n">
        <v>0.00705648148148148</v>
      </c>
      <c r="E402" s="15" t="n">
        <f aca="false">ROUND((D402-$D$5)*86400,2)</f>
        <v>70.66</v>
      </c>
      <c r="F402" s="17" t="n">
        <v>1497</v>
      </c>
      <c r="G402" s="16" t="str">
        <f aca="false">IF(INDEX(選手一覧!$D$7:$D$2738,$F402)="","",INDEX(選手一覧!$D$7:$D$2738,$F402))</f>
        <v/>
      </c>
      <c r="H402" s="17" t="str">
        <f aca="false">IF(INDEX(選手一覧!$E$7:$E$2738,$F402)="","",INDEX(選手一覧!$E$7:$E$2738,$F402))</f>
        <v/>
      </c>
      <c r="I402" s="16" t="str">
        <f aca="false">IF(INDEX(選手一覧!$J$7:$J$2738,$F402)="","",INDEX(選手一覧!$J$7:$J$2738,$F402))</f>
        <v/>
      </c>
      <c r="J402" s="17" t="str">
        <f aca="false">IF(INDEX(選手一覧!$K$7:$K$2738,$F402)="","",INDEX(選手一覧!$K$7:$K$2738,$F402))</f>
        <v/>
      </c>
    </row>
    <row r="403" customFormat="false" ht="15" hidden="false" customHeight="false" outlineLevel="0" collapsed="false">
      <c r="A403" s="17" t="n">
        <v>399</v>
      </c>
      <c r="B403" s="12" t="s">
        <v>1405</v>
      </c>
      <c r="C403" s="12" t="s">
        <v>698</v>
      </c>
      <c r="D403" s="16" t="n">
        <v>0.00705833333333333</v>
      </c>
      <c r="E403" s="15" t="n">
        <f aca="false">ROUND((D403-$D$5)*86400,2)</f>
        <v>70.82</v>
      </c>
      <c r="F403" s="17" t="n">
        <v>851</v>
      </c>
      <c r="G403" s="16" t="n">
        <f aca="false">IF(INDEX(選手一覧!$D$7:$D$2738,$F403)="","",INDEX(選手一覧!$D$7:$D$2738,$F403))</f>
        <v>0.0108613425925926</v>
      </c>
      <c r="H403" s="17" t="n">
        <f aca="false">IF(INDEX(選手一覧!$E$7:$E$2738,$F403)="","",INDEX(選手一覧!$E$7:$E$2738,$F403))</f>
        <v>852</v>
      </c>
      <c r="I403" s="16" t="n">
        <f aca="false">IF(INDEX(選手一覧!$J$7:$J$2738,$F403)="","",INDEX(選手一覧!$J$7:$J$2738,$F403))</f>
        <v>0.00287476851851852</v>
      </c>
      <c r="J403" s="17" t="n">
        <f aca="false">IF(INDEX(選手一覧!$K$7:$K$2738,$F403)="","",INDEX(選手一覧!$K$7:$K$2738,$F403))</f>
        <v>733</v>
      </c>
    </row>
    <row r="404" customFormat="false" ht="15" hidden="false" customHeight="false" outlineLevel="0" collapsed="false">
      <c r="A404" s="17" t="n">
        <v>400</v>
      </c>
      <c r="B404" s="12" t="s">
        <v>2354</v>
      </c>
      <c r="C404" s="12" t="s">
        <v>1716</v>
      </c>
      <c r="D404" s="16" t="n">
        <v>0.00705925925925926</v>
      </c>
      <c r="E404" s="15" t="n">
        <f aca="false">ROUND((D404-$D$5)*86400,2)</f>
        <v>70.9</v>
      </c>
      <c r="F404" s="17" t="n">
        <v>1498</v>
      </c>
      <c r="G404" s="16" t="str">
        <f aca="false">IF(INDEX(選手一覧!$D$7:$D$2738,$F404)="","",INDEX(選手一覧!$D$7:$D$2738,$F404))</f>
        <v/>
      </c>
      <c r="H404" s="17" t="str">
        <f aca="false">IF(INDEX(選手一覧!$E$7:$E$2738,$F404)="","",INDEX(選手一覧!$E$7:$E$2738,$F404))</f>
        <v/>
      </c>
      <c r="I404" s="16" t="n">
        <f aca="false">IF(INDEX(選手一覧!$J$7:$J$2738,$F404)="","",INDEX(選手一覧!$J$7:$J$2738,$F404))</f>
        <v>0.00286956018518519</v>
      </c>
      <c r="J404" s="17" t="n">
        <f aca="false">IF(INDEX(選手一覧!$K$7:$K$2738,$F404)="","",INDEX(選手一覧!$K$7:$K$2738,$F404))</f>
        <v>690</v>
      </c>
    </row>
    <row r="405" customFormat="false" ht="15" hidden="false" customHeight="false" outlineLevel="0" collapsed="false">
      <c r="A405" s="17" t="n">
        <v>401</v>
      </c>
      <c r="B405" s="12" t="s">
        <v>2356</v>
      </c>
      <c r="C405" s="12" t="s">
        <v>1769</v>
      </c>
      <c r="D405" s="16" t="n">
        <v>0.00705949074074074</v>
      </c>
      <c r="E405" s="15" t="n">
        <f aca="false">ROUND((D405-$D$5)*86400,2)</f>
        <v>70.92</v>
      </c>
      <c r="F405" s="17" t="n">
        <v>1500</v>
      </c>
      <c r="G405" s="16" t="str">
        <f aca="false">IF(INDEX(選手一覧!$D$7:$D$2738,$F405)="","",INDEX(選手一覧!$D$7:$D$2738,$F405))</f>
        <v/>
      </c>
      <c r="H405" s="17" t="str">
        <f aca="false">IF(INDEX(選手一覧!$E$7:$E$2738,$F405)="","",INDEX(選手一覧!$E$7:$E$2738,$F405))</f>
        <v/>
      </c>
      <c r="I405" s="16" t="str">
        <f aca="false">IF(INDEX(選手一覧!$J$7:$J$2738,$F405)="","",INDEX(選手一覧!$J$7:$J$2738,$F405))</f>
        <v/>
      </c>
      <c r="J405" s="17" t="str">
        <f aca="false">IF(INDEX(選手一覧!$K$7:$K$2738,$F405)="","",INDEX(選手一覧!$K$7:$K$2738,$F405))</f>
        <v/>
      </c>
    </row>
    <row r="406" customFormat="false" ht="15" hidden="false" customHeight="false" outlineLevel="0" collapsed="false">
      <c r="A406" s="17" t="n">
        <v>402</v>
      </c>
      <c r="B406" s="12" t="s">
        <v>2357</v>
      </c>
      <c r="C406" s="12" t="s">
        <v>2358</v>
      </c>
      <c r="D406" s="16" t="n">
        <v>0.00706284722222222</v>
      </c>
      <c r="E406" s="15" t="n">
        <f aca="false">ROUND((D406-$D$5)*86400,2)</f>
        <v>71.21</v>
      </c>
      <c r="F406" s="17" t="n">
        <v>1501</v>
      </c>
      <c r="G406" s="16" t="str">
        <f aca="false">IF(INDEX(選手一覧!$D$7:$D$2738,$F406)="","",INDEX(選手一覧!$D$7:$D$2738,$F406))</f>
        <v/>
      </c>
      <c r="H406" s="17" t="str">
        <f aca="false">IF(INDEX(選手一覧!$E$7:$E$2738,$F406)="","",INDEX(選手一覧!$E$7:$E$2738,$F406))</f>
        <v/>
      </c>
      <c r="I406" s="16" t="n">
        <f aca="false">IF(INDEX(選手一覧!$J$7:$J$2738,$F406)="","",INDEX(選手一覧!$J$7:$J$2738,$F406))</f>
        <v>0.00284606481481482</v>
      </c>
      <c r="J406" s="17" t="n">
        <f aca="false">IF(INDEX(選手一覧!$K$7:$K$2738,$F406)="","",INDEX(選手一覧!$K$7:$K$2738,$F406))</f>
        <v>544</v>
      </c>
    </row>
    <row r="407" customFormat="false" ht="15" hidden="false" customHeight="false" outlineLevel="0" collapsed="false">
      <c r="A407" s="17" t="n">
        <v>403</v>
      </c>
      <c r="B407" s="12" t="s">
        <v>2359</v>
      </c>
      <c r="C407" s="12" t="s">
        <v>2360</v>
      </c>
      <c r="D407" s="16" t="n">
        <v>0.0070630787037037</v>
      </c>
      <c r="E407" s="15" t="n">
        <f aca="false">ROUND((D407-$D$5)*86400,2)</f>
        <v>71.23</v>
      </c>
      <c r="F407" s="17" t="n">
        <v>1502</v>
      </c>
      <c r="G407" s="16" t="str">
        <f aca="false">IF(INDEX(選手一覧!$D$7:$D$2738,$F407)="","",INDEX(選手一覧!$D$7:$D$2738,$F407))</f>
        <v/>
      </c>
      <c r="H407" s="17" t="str">
        <f aca="false">IF(INDEX(選手一覧!$E$7:$E$2738,$F407)="","",INDEX(選手一覧!$E$7:$E$2738,$F407))</f>
        <v/>
      </c>
      <c r="I407" s="16" t="str">
        <f aca="false">IF(INDEX(選手一覧!$J$7:$J$2738,$F407)="","",INDEX(選手一覧!$J$7:$J$2738,$F407))</f>
        <v/>
      </c>
      <c r="J407" s="17" t="str">
        <f aca="false">IF(INDEX(選手一覧!$K$7:$K$2738,$F407)="","",INDEX(選手一覧!$K$7:$K$2738,$F407))</f>
        <v/>
      </c>
    </row>
    <row r="408" customFormat="false" ht="15" hidden="false" customHeight="false" outlineLevel="0" collapsed="false">
      <c r="A408" s="17" t="n">
        <v>404</v>
      </c>
      <c r="B408" s="12" t="s">
        <v>658</v>
      </c>
      <c r="C408" s="12" t="s">
        <v>94</v>
      </c>
      <c r="D408" s="16" t="n">
        <v>0.00706319444444444</v>
      </c>
      <c r="E408" s="15" t="n">
        <f aca="false">ROUND((D408-$D$5)*86400,2)</f>
        <v>71.24</v>
      </c>
      <c r="F408" s="17" t="n">
        <v>358</v>
      </c>
      <c r="G408" s="16" t="n">
        <f aca="false">IF(INDEX(選手一覧!$D$7:$D$2738,$F408)="","",INDEX(選手一覧!$D$7:$D$2738,$F408))</f>
        <v>0.0105157407407407</v>
      </c>
      <c r="H408" s="17" t="n">
        <f aca="false">IF(INDEX(選手一覧!$E$7:$E$2738,$F408)="","",INDEX(選手一覧!$E$7:$E$2738,$F408))</f>
        <v>359</v>
      </c>
      <c r="I408" s="16" t="str">
        <f aca="false">IF(INDEX(選手一覧!$J$7:$J$2738,$F408)="","",INDEX(選手一覧!$J$7:$J$2738,$F408))</f>
        <v/>
      </c>
      <c r="J408" s="17" t="str">
        <f aca="false">IF(INDEX(選手一覧!$K$7:$K$2738,$F408)="","",INDEX(選手一覧!$K$7:$K$2738,$F408))</f>
        <v/>
      </c>
    </row>
    <row r="409" customFormat="false" ht="15" hidden="false" customHeight="false" outlineLevel="0" collapsed="false">
      <c r="A409" s="17" t="n">
        <v>405</v>
      </c>
      <c r="B409" s="12" t="s">
        <v>2363</v>
      </c>
      <c r="C409" s="12" t="s">
        <v>767</v>
      </c>
      <c r="D409" s="16" t="n">
        <v>0.00706331018518519</v>
      </c>
      <c r="E409" s="15" t="n">
        <f aca="false">ROUND((D409-$D$5)*86400,2)</f>
        <v>71.25</v>
      </c>
      <c r="F409" s="17" t="n">
        <v>1504</v>
      </c>
      <c r="G409" s="16" t="str">
        <f aca="false">IF(INDEX(選手一覧!$D$7:$D$2738,$F409)="","",INDEX(選手一覧!$D$7:$D$2738,$F409))</f>
        <v/>
      </c>
      <c r="H409" s="17" t="str">
        <f aca="false">IF(INDEX(選手一覧!$E$7:$E$2738,$F409)="","",INDEX(選手一覧!$E$7:$E$2738,$F409))</f>
        <v/>
      </c>
      <c r="I409" s="16" t="str">
        <f aca="false">IF(INDEX(選手一覧!$J$7:$J$2738,$F409)="","",INDEX(選手一覧!$J$7:$J$2738,$F409))</f>
        <v/>
      </c>
      <c r="J409" s="17" t="str">
        <f aca="false">IF(INDEX(選手一覧!$K$7:$K$2738,$F409)="","",INDEX(選手一覧!$K$7:$K$2738,$F409))</f>
        <v/>
      </c>
    </row>
    <row r="410" customFormat="false" ht="15" hidden="false" customHeight="false" outlineLevel="0" collapsed="false">
      <c r="A410" s="17" t="n">
        <v>406</v>
      </c>
      <c r="B410" s="12" t="s">
        <v>1228</v>
      </c>
      <c r="C410" s="12" t="s">
        <v>1229</v>
      </c>
      <c r="D410" s="16" t="n">
        <v>0.00706365740740741</v>
      </c>
      <c r="E410" s="15" t="n">
        <f aca="false">ROUND((D410-$D$5)*86400,2)</f>
        <v>71.28</v>
      </c>
      <c r="F410" s="17" t="n">
        <v>731</v>
      </c>
      <c r="G410" s="16" t="n">
        <f aca="false">IF(INDEX(選手一覧!$D$7:$D$2738,$F410)="","",INDEX(選手一覧!$D$7:$D$2738,$F410))</f>
        <v>0.0107929398148148</v>
      </c>
      <c r="H410" s="17" t="n">
        <f aca="false">IF(INDEX(選手一覧!$E$7:$E$2738,$F410)="","",INDEX(選手一覧!$E$7:$E$2738,$F410))</f>
        <v>732</v>
      </c>
      <c r="I410" s="16" t="n">
        <f aca="false">IF(INDEX(選手一覧!$J$7:$J$2738,$F410)="","",INDEX(選手一覧!$J$7:$J$2738,$F410))</f>
        <v>0.00288356481481481</v>
      </c>
      <c r="J410" s="17" t="n">
        <f aca="false">IF(INDEX(選手一覧!$K$7:$K$2738,$F410)="","",INDEX(選手一覧!$K$7:$K$2738,$F410))</f>
        <v>804</v>
      </c>
    </row>
    <row r="411" customFormat="false" ht="15" hidden="false" customHeight="false" outlineLevel="0" collapsed="false">
      <c r="A411" s="17" t="n">
        <v>407</v>
      </c>
      <c r="B411" s="12" t="s">
        <v>1338</v>
      </c>
      <c r="C411" s="12" t="s">
        <v>1339</v>
      </c>
      <c r="D411" s="16" t="n">
        <v>0.00706446759259259</v>
      </c>
      <c r="E411" s="15" t="n">
        <f aca="false">ROUND((D411-$D$5)*86400,2)</f>
        <v>71.35</v>
      </c>
      <c r="F411" s="17" t="n">
        <v>807</v>
      </c>
      <c r="G411" s="16" t="n">
        <f aca="false">IF(INDEX(選手一覧!$D$7:$D$2738,$F411)="","",INDEX(選手一覧!$D$7:$D$2738,$F411))</f>
        <v>0.0108384259259259</v>
      </c>
      <c r="H411" s="17" t="n">
        <f aca="false">IF(INDEX(選手一覧!$E$7:$E$2738,$F411)="","",INDEX(選手一覧!$E$7:$E$2738,$F411))</f>
        <v>808</v>
      </c>
      <c r="I411" s="16" t="n">
        <f aca="false">IF(INDEX(選手一覧!$J$7:$J$2738,$F411)="","",INDEX(選手一覧!$J$7:$J$2738,$F411))</f>
        <v>0.00285393518518519</v>
      </c>
      <c r="J411" s="17" t="n">
        <f aca="false">IF(INDEX(選手一覧!$K$7:$K$2738,$F411)="","",INDEX(選手一覧!$K$7:$K$2738,$F411))</f>
        <v>592</v>
      </c>
    </row>
    <row r="412" customFormat="false" ht="15" hidden="false" customHeight="false" outlineLevel="0" collapsed="false">
      <c r="A412" s="17" t="n">
        <v>408</v>
      </c>
      <c r="B412" s="12" t="s">
        <v>2366</v>
      </c>
      <c r="C412" s="12" t="s">
        <v>219</v>
      </c>
      <c r="D412" s="16" t="n">
        <v>0.0070650462962963</v>
      </c>
      <c r="E412" s="15" t="n">
        <f aca="false">ROUND((D412-$D$5)*86400,2)</f>
        <v>71.4</v>
      </c>
      <c r="F412" s="17" t="n">
        <v>1506</v>
      </c>
      <c r="G412" s="16" t="str">
        <f aca="false">IF(INDEX(選手一覧!$D$7:$D$2738,$F412)="","",INDEX(選手一覧!$D$7:$D$2738,$F412))</f>
        <v/>
      </c>
      <c r="H412" s="17" t="str">
        <f aca="false">IF(INDEX(選手一覧!$E$7:$E$2738,$F412)="","",INDEX(選手一覧!$E$7:$E$2738,$F412))</f>
        <v/>
      </c>
      <c r="I412" s="16" t="str">
        <f aca="false">IF(INDEX(選手一覧!$J$7:$J$2738,$F412)="","",INDEX(選手一覧!$J$7:$J$2738,$F412))</f>
        <v/>
      </c>
      <c r="J412" s="17" t="str">
        <f aca="false">IF(INDEX(選手一覧!$K$7:$K$2738,$F412)="","",INDEX(選手一覧!$K$7:$K$2738,$F412))</f>
        <v/>
      </c>
    </row>
    <row r="413" customFormat="false" ht="15" hidden="false" customHeight="false" outlineLevel="0" collapsed="false">
      <c r="A413" s="17" t="n">
        <v>409</v>
      </c>
      <c r="B413" s="12" t="s">
        <v>2369</v>
      </c>
      <c r="C413" s="12" t="s">
        <v>2370</v>
      </c>
      <c r="D413" s="16" t="n">
        <v>0.00706539351851852</v>
      </c>
      <c r="E413" s="15" t="n">
        <f aca="false">ROUND((D413-$D$5)*86400,2)</f>
        <v>71.43</v>
      </c>
      <c r="F413" s="17" t="n">
        <v>1508</v>
      </c>
      <c r="G413" s="16" t="str">
        <f aca="false">IF(INDEX(選手一覧!$D$7:$D$2738,$F413)="","",INDEX(選手一覧!$D$7:$D$2738,$F413))</f>
        <v/>
      </c>
      <c r="H413" s="17" t="str">
        <f aca="false">IF(INDEX(選手一覧!$E$7:$E$2738,$F413)="","",INDEX(選手一覧!$E$7:$E$2738,$F413))</f>
        <v/>
      </c>
      <c r="I413" s="16" t="str">
        <f aca="false">IF(INDEX(選手一覧!$J$7:$J$2738,$F413)="","",INDEX(選手一覧!$J$7:$J$2738,$F413))</f>
        <v/>
      </c>
      <c r="J413" s="17" t="str">
        <f aca="false">IF(INDEX(選手一覧!$K$7:$K$2738,$F413)="","",INDEX(選手一覧!$K$7:$K$2738,$F413))</f>
        <v/>
      </c>
    </row>
    <row r="414" customFormat="false" ht="15" hidden="false" customHeight="false" outlineLevel="0" collapsed="false">
      <c r="A414" s="17" t="n">
        <v>410</v>
      </c>
      <c r="B414" s="12" t="s">
        <v>945</v>
      </c>
      <c r="C414" s="12" t="s">
        <v>152</v>
      </c>
      <c r="D414" s="16" t="n">
        <v>0.00706574074074074</v>
      </c>
      <c r="E414" s="15" t="n">
        <f aca="false">ROUND((D414-$D$5)*86400,2)</f>
        <v>71.46</v>
      </c>
      <c r="F414" s="17" t="n">
        <v>539</v>
      </c>
      <c r="G414" s="16" t="n">
        <f aca="false">IF(INDEX(選手一覧!$D$7:$D$2738,$F414)="","",INDEX(選手一覧!$D$7:$D$2738,$F414))</f>
        <v>0.0106653935185185</v>
      </c>
      <c r="H414" s="17" t="n">
        <f aca="false">IF(INDEX(選手一覧!$E$7:$E$2738,$F414)="","",INDEX(選手一覧!$E$7:$E$2738,$F414))</f>
        <v>540</v>
      </c>
      <c r="I414" s="16" t="str">
        <f aca="false">IF(INDEX(選手一覧!$J$7:$J$2738,$F414)="","",INDEX(選手一覧!$J$7:$J$2738,$F414))</f>
        <v/>
      </c>
      <c r="J414" s="17" t="str">
        <f aca="false">IF(INDEX(選手一覧!$K$7:$K$2738,$F414)="","",INDEX(選手一覧!$K$7:$K$2738,$F414))</f>
        <v/>
      </c>
    </row>
    <row r="415" customFormat="false" ht="15" hidden="false" customHeight="false" outlineLevel="0" collapsed="false">
      <c r="A415" s="17" t="n">
        <v>411</v>
      </c>
      <c r="B415" s="12" t="s">
        <v>2371</v>
      </c>
      <c r="C415" s="12" t="s">
        <v>2372</v>
      </c>
      <c r="D415" s="16" t="n">
        <v>0.00706574074074074</v>
      </c>
      <c r="E415" s="15" t="n">
        <f aca="false">ROUND((D415-$D$5)*86400,2)</f>
        <v>71.46</v>
      </c>
      <c r="F415" s="17" t="n">
        <v>1509</v>
      </c>
      <c r="G415" s="16" t="str">
        <f aca="false">IF(INDEX(選手一覧!$D$7:$D$2738,$F415)="","",INDEX(選手一覧!$D$7:$D$2738,$F415))</f>
        <v/>
      </c>
      <c r="H415" s="17" t="str">
        <f aca="false">IF(INDEX(選手一覧!$E$7:$E$2738,$F415)="","",INDEX(選手一覧!$E$7:$E$2738,$F415))</f>
        <v/>
      </c>
      <c r="I415" s="16" t="str">
        <f aca="false">IF(INDEX(選手一覧!$J$7:$J$2738,$F415)="","",INDEX(選手一覧!$J$7:$J$2738,$F415))</f>
        <v/>
      </c>
      <c r="J415" s="17" t="str">
        <f aca="false">IF(INDEX(選手一覧!$K$7:$K$2738,$F415)="","",INDEX(選手一覧!$K$7:$K$2738,$F415))</f>
        <v/>
      </c>
    </row>
    <row r="416" customFormat="false" ht="15" hidden="false" customHeight="false" outlineLevel="0" collapsed="false">
      <c r="A416" s="17" t="n">
        <v>412</v>
      </c>
      <c r="B416" s="12" t="s">
        <v>2375</v>
      </c>
      <c r="C416" s="12" t="s">
        <v>1315</v>
      </c>
      <c r="D416" s="16" t="n">
        <v>0.00706863425925926</v>
      </c>
      <c r="E416" s="15" t="n">
        <f aca="false">ROUND((D416-$D$5)*86400,2)</f>
        <v>71.71</v>
      </c>
      <c r="F416" s="17" t="n">
        <v>1511</v>
      </c>
      <c r="G416" s="16" t="str">
        <f aca="false">IF(INDEX(選手一覧!$D$7:$D$2738,$F416)="","",INDEX(選手一覧!$D$7:$D$2738,$F416))</f>
        <v/>
      </c>
      <c r="H416" s="17" t="str">
        <f aca="false">IF(INDEX(選手一覧!$E$7:$E$2738,$F416)="","",INDEX(選手一覧!$E$7:$E$2738,$F416))</f>
        <v/>
      </c>
      <c r="I416" s="16" t="str">
        <f aca="false">IF(INDEX(選手一覧!$J$7:$J$2738,$F416)="","",INDEX(選手一覧!$J$7:$J$2738,$F416))</f>
        <v/>
      </c>
      <c r="J416" s="17" t="str">
        <f aca="false">IF(INDEX(選手一覧!$K$7:$K$2738,$F416)="","",INDEX(選手一覧!$K$7:$K$2738,$F416))</f>
        <v/>
      </c>
    </row>
    <row r="417" customFormat="false" ht="15" hidden="false" customHeight="false" outlineLevel="0" collapsed="false">
      <c r="A417" s="17" t="n">
        <v>413</v>
      </c>
      <c r="B417" s="12" t="s">
        <v>1792</v>
      </c>
      <c r="C417" s="12" t="s">
        <v>1450</v>
      </c>
      <c r="D417" s="16" t="n">
        <v>0.00706909722222222</v>
      </c>
      <c r="E417" s="15" t="n">
        <f aca="false">ROUND((D417-$D$5)*86400,2)</f>
        <v>71.75</v>
      </c>
      <c r="F417" s="17" t="n">
        <v>1111</v>
      </c>
      <c r="G417" s="16" t="n">
        <f aca="false">IF(INDEX(選手一覧!$D$7:$D$2738,$F417)="","",INDEX(選手一覧!$D$7:$D$2738,$F417))</f>
        <v>0.0110112268518519</v>
      </c>
      <c r="H417" s="17" t="n">
        <f aca="false">IF(INDEX(選手一覧!$E$7:$E$2738,$F417)="","",INDEX(選手一覧!$E$7:$E$2738,$F417))</f>
        <v>1112</v>
      </c>
      <c r="I417" s="16" t="n">
        <f aca="false">IF(INDEX(選手一覧!$J$7:$J$2738,$F417)="","",INDEX(選手一覧!$J$7:$J$2738,$F417))</f>
        <v>0.00289837962962963</v>
      </c>
      <c r="J417" s="17" t="n">
        <f aca="false">IF(INDEX(選手一覧!$K$7:$K$2738,$F417)="","",INDEX(選手一覧!$K$7:$K$2738,$F417))</f>
        <v>935</v>
      </c>
    </row>
    <row r="418" customFormat="false" ht="15" hidden="false" customHeight="false" outlineLevel="0" collapsed="false">
      <c r="A418" s="17" t="n">
        <v>414</v>
      </c>
      <c r="B418" s="12" t="s">
        <v>2376</v>
      </c>
      <c r="C418" s="12" t="s">
        <v>1469</v>
      </c>
      <c r="D418" s="16" t="n">
        <v>0.00706967592592593</v>
      </c>
      <c r="E418" s="15" t="n">
        <f aca="false">ROUND((D418-$D$5)*86400,2)</f>
        <v>71.8</v>
      </c>
      <c r="F418" s="17" t="n">
        <v>1512</v>
      </c>
      <c r="G418" s="16" t="str">
        <f aca="false">IF(INDEX(選手一覧!$D$7:$D$2738,$F418)="","",INDEX(選手一覧!$D$7:$D$2738,$F418))</f>
        <v/>
      </c>
      <c r="H418" s="17" t="str">
        <f aca="false">IF(INDEX(選手一覧!$E$7:$E$2738,$F418)="","",INDEX(選手一覧!$E$7:$E$2738,$F418))</f>
        <v/>
      </c>
      <c r="I418" s="16" t="str">
        <f aca="false">IF(INDEX(選手一覧!$J$7:$J$2738,$F418)="","",INDEX(選手一覧!$J$7:$J$2738,$F418))</f>
        <v/>
      </c>
      <c r="J418" s="17" t="str">
        <f aca="false">IF(INDEX(選手一覧!$K$7:$K$2738,$F418)="","",INDEX(選手一覧!$K$7:$K$2738,$F418))</f>
        <v/>
      </c>
    </row>
    <row r="419" customFormat="false" ht="15" hidden="false" customHeight="false" outlineLevel="0" collapsed="false">
      <c r="A419" s="17" t="n">
        <v>415</v>
      </c>
      <c r="B419" s="12" t="s">
        <v>2377</v>
      </c>
      <c r="C419" s="12" t="s">
        <v>2312</v>
      </c>
      <c r="D419" s="16" t="n">
        <v>0.00707071759259259</v>
      </c>
      <c r="E419" s="15" t="n">
        <f aca="false">ROUND((D419-$D$5)*86400,2)</f>
        <v>71.89</v>
      </c>
      <c r="F419" s="17" t="n">
        <v>1513</v>
      </c>
      <c r="G419" s="16" t="str">
        <f aca="false">IF(INDEX(選手一覧!$D$7:$D$2738,$F419)="","",INDEX(選手一覧!$D$7:$D$2738,$F419))</f>
        <v/>
      </c>
      <c r="H419" s="17" t="str">
        <f aca="false">IF(INDEX(選手一覧!$E$7:$E$2738,$F419)="","",INDEX(選手一覧!$E$7:$E$2738,$F419))</f>
        <v/>
      </c>
      <c r="I419" s="16" t="str">
        <f aca="false">IF(INDEX(選手一覧!$J$7:$J$2738,$F419)="","",INDEX(選手一覧!$J$7:$J$2738,$F419))</f>
        <v/>
      </c>
      <c r="J419" s="17" t="str">
        <f aca="false">IF(INDEX(選手一覧!$K$7:$K$2738,$F419)="","",INDEX(選手一覧!$K$7:$K$2738,$F419))</f>
        <v/>
      </c>
    </row>
    <row r="420" customFormat="false" ht="15" hidden="false" customHeight="false" outlineLevel="0" collapsed="false">
      <c r="A420" s="17" t="n">
        <v>416</v>
      </c>
      <c r="B420" s="12" t="s">
        <v>2380</v>
      </c>
      <c r="C420" s="12" t="s">
        <v>2381</v>
      </c>
      <c r="D420" s="16" t="n">
        <v>0.00707083333333333</v>
      </c>
      <c r="E420" s="15" t="n">
        <f aca="false">ROUND((D420-$D$5)*86400,2)</f>
        <v>71.9</v>
      </c>
      <c r="F420" s="17" t="n">
        <v>1515</v>
      </c>
      <c r="G420" s="16" t="str">
        <f aca="false">IF(INDEX(選手一覧!$D$7:$D$2738,$F420)="","",INDEX(選手一覧!$D$7:$D$2738,$F420))</f>
        <v/>
      </c>
      <c r="H420" s="17" t="str">
        <f aca="false">IF(INDEX(選手一覧!$E$7:$E$2738,$F420)="","",INDEX(選手一覧!$E$7:$E$2738,$F420))</f>
        <v/>
      </c>
      <c r="I420" s="16" t="n">
        <f aca="false">IF(INDEX(選手一覧!$J$7:$J$2738,$F420)="","",INDEX(選手一覧!$J$7:$J$2738,$F420))</f>
        <v>0.00288923611111111</v>
      </c>
      <c r="J420" s="17" t="n">
        <f aca="false">IF(INDEX(選手一覧!$K$7:$K$2738,$F420)="","",INDEX(選手一覧!$K$7:$K$2738,$F420))</f>
        <v>857</v>
      </c>
    </row>
    <row r="421" customFormat="false" ht="15" hidden="false" customHeight="false" outlineLevel="0" collapsed="false">
      <c r="A421" s="17" t="n">
        <v>417</v>
      </c>
      <c r="B421" s="12" t="s">
        <v>2382</v>
      </c>
      <c r="C421" s="12" t="s">
        <v>2383</v>
      </c>
      <c r="D421" s="16" t="n">
        <v>0.00707233796296296</v>
      </c>
      <c r="E421" s="15" t="n">
        <f aca="false">ROUND((D421-$D$5)*86400,2)</f>
        <v>72.03</v>
      </c>
      <c r="F421" s="17" t="n">
        <v>1516</v>
      </c>
      <c r="G421" s="16" t="str">
        <f aca="false">IF(INDEX(選手一覧!$D$7:$D$2738,$F421)="","",INDEX(選手一覧!$D$7:$D$2738,$F421))</f>
        <v/>
      </c>
      <c r="H421" s="17" t="str">
        <f aca="false">IF(INDEX(選手一覧!$E$7:$E$2738,$F421)="","",INDEX(選手一覧!$E$7:$E$2738,$F421))</f>
        <v/>
      </c>
      <c r="I421" s="16" t="str">
        <f aca="false">IF(INDEX(選手一覧!$J$7:$J$2738,$F421)="","",INDEX(選手一覧!$J$7:$J$2738,$F421))</f>
        <v/>
      </c>
      <c r="J421" s="17" t="str">
        <f aca="false">IF(INDEX(選手一覧!$K$7:$K$2738,$F421)="","",INDEX(選手一覧!$K$7:$K$2738,$F421))</f>
        <v/>
      </c>
    </row>
    <row r="422" customFormat="false" ht="15" hidden="false" customHeight="false" outlineLevel="0" collapsed="false">
      <c r="A422" s="17" t="n">
        <v>418</v>
      </c>
      <c r="B422" s="12" t="s">
        <v>1825</v>
      </c>
      <c r="C422" s="12" t="s">
        <v>463</v>
      </c>
      <c r="D422" s="16" t="n">
        <v>0.00707256944444445</v>
      </c>
      <c r="E422" s="15" t="n">
        <f aca="false">ROUND((D422-$D$5)*86400,2)</f>
        <v>72.05</v>
      </c>
      <c r="F422" s="17" t="n">
        <v>1131</v>
      </c>
      <c r="G422" s="16" t="n">
        <f aca="false">IF(INDEX(選手一覧!$D$7:$D$2738,$F422)="","",INDEX(選手一覧!$D$7:$D$2738,$F422))</f>
        <v>0.0110216435185185</v>
      </c>
      <c r="H422" s="17" t="n">
        <f aca="false">IF(INDEX(選手一覧!$E$7:$E$2738,$F422)="","",INDEX(選手一覧!$E$7:$E$2738,$F422))</f>
        <v>1132</v>
      </c>
      <c r="I422" s="16" t="str">
        <f aca="false">IF(INDEX(選手一覧!$J$7:$J$2738,$F422)="","",INDEX(選手一覧!$J$7:$J$2738,$F422))</f>
        <v/>
      </c>
      <c r="J422" s="17" t="str">
        <f aca="false">IF(INDEX(選手一覧!$K$7:$K$2738,$F422)="","",INDEX(選手一覧!$K$7:$K$2738,$F422))</f>
        <v/>
      </c>
    </row>
    <row r="423" customFormat="false" ht="15" hidden="false" customHeight="false" outlineLevel="0" collapsed="false">
      <c r="A423" s="17" t="n">
        <v>419</v>
      </c>
      <c r="B423" s="12" t="s">
        <v>2386</v>
      </c>
      <c r="C423" s="12" t="s">
        <v>907</v>
      </c>
      <c r="D423" s="16" t="n">
        <v>0.00707407407407408</v>
      </c>
      <c r="E423" s="15" t="n">
        <f aca="false">ROUND((D423-$D$5)*86400,2)</f>
        <v>72.18</v>
      </c>
      <c r="F423" s="17" t="n">
        <v>1518</v>
      </c>
      <c r="G423" s="16" t="str">
        <f aca="false">IF(INDEX(選手一覧!$D$7:$D$2738,$F423)="","",INDEX(選手一覧!$D$7:$D$2738,$F423))</f>
        <v/>
      </c>
      <c r="H423" s="17" t="str">
        <f aca="false">IF(INDEX(選手一覧!$E$7:$E$2738,$F423)="","",INDEX(選手一覧!$E$7:$E$2738,$F423))</f>
        <v/>
      </c>
      <c r="I423" s="16" t="str">
        <f aca="false">IF(INDEX(選手一覧!$J$7:$J$2738,$F423)="","",INDEX(選手一覧!$J$7:$J$2738,$F423))</f>
        <v/>
      </c>
      <c r="J423" s="17" t="str">
        <f aca="false">IF(INDEX(選手一覧!$K$7:$K$2738,$F423)="","",INDEX(選手一覧!$K$7:$K$2738,$F423))</f>
        <v/>
      </c>
    </row>
    <row r="424" customFormat="false" ht="15" hidden="false" customHeight="false" outlineLevel="0" collapsed="false">
      <c r="A424" s="17" t="n">
        <v>420</v>
      </c>
      <c r="B424" s="12" t="s">
        <v>1345</v>
      </c>
      <c r="C424" s="12" t="s">
        <v>1346</v>
      </c>
      <c r="D424" s="16" t="n">
        <v>0.00707430555555556</v>
      </c>
      <c r="E424" s="15" t="n">
        <f aca="false">ROUND((D424-$D$5)*86400,2)</f>
        <v>72.2</v>
      </c>
      <c r="F424" s="17" t="n">
        <v>811</v>
      </c>
      <c r="G424" s="16" t="n">
        <f aca="false">IF(INDEX(選手一覧!$D$7:$D$2738,$F424)="","",INDEX(選手一覧!$D$7:$D$2738,$F424))</f>
        <v>0.0108391203703704</v>
      </c>
      <c r="H424" s="17" t="n">
        <f aca="false">IF(INDEX(選手一覧!$E$7:$E$2738,$F424)="","",INDEX(選手一覧!$E$7:$E$2738,$F424))</f>
        <v>812</v>
      </c>
      <c r="I424" s="16" t="n">
        <f aca="false">IF(INDEX(選手一覧!$J$7:$J$2738,$F424)="","",INDEX(選手一覧!$J$7:$J$2738,$F424))</f>
        <v>0.00292395833333333</v>
      </c>
      <c r="J424" s="17" t="n">
        <f aca="false">IF(INDEX(選手一覧!$K$7:$K$2738,$F424)="","",INDEX(選手一覧!$K$7:$K$2738,$F424))</f>
        <v>1136</v>
      </c>
    </row>
    <row r="425" customFormat="false" ht="15" hidden="false" customHeight="false" outlineLevel="0" collapsed="false">
      <c r="A425" s="17" t="n">
        <v>421</v>
      </c>
      <c r="B425" s="12" t="s">
        <v>1525</v>
      </c>
      <c r="C425" s="12" t="s">
        <v>1265</v>
      </c>
      <c r="D425" s="16" t="n">
        <v>0.00707465277777778</v>
      </c>
      <c r="E425" s="15" t="n">
        <f aca="false">ROUND((D425-$D$5)*86400,2)</f>
        <v>72.23</v>
      </c>
      <c r="F425" s="17" t="n">
        <v>927</v>
      </c>
      <c r="G425" s="16" t="n">
        <f aca="false">IF(INDEX(選手一覧!$D$7:$D$2738,$F425)="","",INDEX(選手一覧!$D$7:$D$2738,$F425))</f>
        <v>0.0109045138888889</v>
      </c>
      <c r="H425" s="17" t="n">
        <f aca="false">IF(INDEX(選手一覧!$E$7:$E$2738,$F425)="","",INDEX(選手一覧!$E$7:$E$2738,$F425))</f>
        <v>928</v>
      </c>
      <c r="I425" s="16" t="str">
        <f aca="false">IF(INDEX(選手一覧!$J$7:$J$2738,$F425)="","",INDEX(選手一覧!$J$7:$J$2738,$F425))</f>
        <v/>
      </c>
      <c r="J425" s="17" t="str">
        <f aca="false">IF(INDEX(選手一覧!$K$7:$K$2738,$F425)="","",INDEX(選手一覧!$K$7:$K$2738,$F425))</f>
        <v/>
      </c>
    </row>
    <row r="426" customFormat="false" ht="15" hidden="false" customHeight="false" outlineLevel="0" collapsed="false">
      <c r="A426" s="17" t="n">
        <v>422</v>
      </c>
      <c r="B426" s="12" t="s">
        <v>2387</v>
      </c>
      <c r="C426" s="12" t="s">
        <v>503</v>
      </c>
      <c r="D426" s="16" t="n">
        <v>0.00707604166666667</v>
      </c>
      <c r="E426" s="15" t="n">
        <f aca="false">ROUND((D426-$D$5)*86400,2)</f>
        <v>72.35</v>
      </c>
      <c r="F426" s="17" t="n">
        <v>1519</v>
      </c>
      <c r="G426" s="16" t="str">
        <f aca="false">IF(INDEX(選手一覧!$D$7:$D$2738,$F426)="","",INDEX(選手一覧!$D$7:$D$2738,$F426))</f>
        <v/>
      </c>
      <c r="H426" s="17" t="str">
        <f aca="false">IF(INDEX(選手一覧!$E$7:$E$2738,$F426)="","",INDEX(選手一覧!$E$7:$E$2738,$F426))</f>
        <v/>
      </c>
      <c r="I426" s="16" t="str">
        <f aca="false">IF(INDEX(選手一覧!$J$7:$J$2738,$F426)="","",INDEX(選手一覧!$J$7:$J$2738,$F426))</f>
        <v/>
      </c>
      <c r="J426" s="17" t="str">
        <f aca="false">IF(INDEX(選手一覧!$K$7:$K$2738,$F426)="","",INDEX(選手一覧!$K$7:$K$2738,$F426))</f>
        <v/>
      </c>
    </row>
    <row r="427" customFormat="false" ht="15" hidden="false" customHeight="false" outlineLevel="0" collapsed="false">
      <c r="A427" s="17" t="n">
        <v>423</v>
      </c>
      <c r="B427" s="12" t="s">
        <v>2390</v>
      </c>
      <c r="C427" s="12" t="s">
        <v>2391</v>
      </c>
      <c r="D427" s="16" t="n">
        <v>0.00707673611111111</v>
      </c>
      <c r="E427" s="15" t="n">
        <f aca="false">ROUND((D427-$D$5)*86400,2)</f>
        <v>72.41</v>
      </c>
      <c r="F427" s="17" t="n">
        <v>1522</v>
      </c>
      <c r="G427" s="16" t="str">
        <f aca="false">IF(INDEX(選手一覧!$D$7:$D$2738,$F427)="","",INDEX(選手一覧!$D$7:$D$2738,$F427))</f>
        <v/>
      </c>
      <c r="H427" s="17" t="str">
        <f aca="false">IF(INDEX(選手一覧!$E$7:$E$2738,$F427)="","",INDEX(選手一覧!$E$7:$E$2738,$F427))</f>
        <v/>
      </c>
      <c r="I427" s="16" t="str">
        <f aca="false">IF(INDEX(選手一覧!$J$7:$J$2738,$F427)="","",INDEX(選手一覧!$J$7:$J$2738,$F427))</f>
        <v/>
      </c>
      <c r="J427" s="17" t="str">
        <f aca="false">IF(INDEX(選手一覧!$K$7:$K$2738,$F427)="","",INDEX(選手一覧!$K$7:$K$2738,$F427))</f>
        <v/>
      </c>
    </row>
    <row r="428" customFormat="false" ht="15" hidden="false" customHeight="false" outlineLevel="0" collapsed="false">
      <c r="A428" s="17" t="n">
        <v>424</v>
      </c>
      <c r="B428" s="12" t="s">
        <v>2392</v>
      </c>
      <c r="C428" s="12" t="s">
        <v>103</v>
      </c>
      <c r="D428" s="16" t="n">
        <v>0.00707731481481482</v>
      </c>
      <c r="E428" s="15" t="n">
        <f aca="false">ROUND((D428-$D$5)*86400,2)</f>
        <v>72.46</v>
      </c>
      <c r="F428" s="17" t="n">
        <v>1523</v>
      </c>
      <c r="G428" s="16" t="str">
        <f aca="false">IF(INDEX(選手一覧!$D$7:$D$2738,$F428)="","",INDEX(選手一覧!$D$7:$D$2738,$F428))</f>
        <v/>
      </c>
      <c r="H428" s="17" t="str">
        <f aca="false">IF(INDEX(選手一覧!$E$7:$E$2738,$F428)="","",INDEX(選手一覧!$E$7:$E$2738,$F428))</f>
        <v/>
      </c>
      <c r="I428" s="16" t="str">
        <f aca="false">IF(INDEX(選手一覧!$J$7:$J$2738,$F428)="","",INDEX(選手一覧!$J$7:$J$2738,$F428))</f>
        <v/>
      </c>
      <c r="J428" s="17" t="str">
        <f aca="false">IF(INDEX(選手一覧!$K$7:$K$2738,$F428)="","",INDEX(選手一覧!$K$7:$K$2738,$F428))</f>
        <v/>
      </c>
    </row>
    <row r="429" customFormat="false" ht="15" hidden="false" customHeight="false" outlineLevel="0" collapsed="false">
      <c r="A429" s="17" t="n">
        <v>425</v>
      </c>
      <c r="B429" s="12" t="s">
        <v>2393</v>
      </c>
      <c r="C429" s="12" t="s">
        <v>69</v>
      </c>
      <c r="D429" s="16" t="n">
        <v>0.00707777777777778</v>
      </c>
      <c r="E429" s="15" t="n">
        <f aca="false">ROUND((D429-$D$5)*86400,2)</f>
        <v>72.5</v>
      </c>
      <c r="F429" s="17" t="n">
        <v>1524</v>
      </c>
      <c r="G429" s="16" t="str">
        <f aca="false">IF(INDEX(選手一覧!$D$7:$D$2738,$F429)="","",INDEX(選手一覧!$D$7:$D$2738,$F429))</f>
        <v/>
      </c>
      <c r="H429" s="17" t="str">
        <f aca="false">IF(INDEX(選手一覧!$E$7:$E$2738,$F429)="","",INDEX(選手一覧!$E$7:$E$2738,$F429))</f>
        <v/>
      </c>
      <c r="I429" s="16" t="n">
        <f aca="false">IF(INDEX(選手一覧!$J$7:$J$2738,$F429)="","",INDEX(選手一覧!$J$7:$J$2738,$F429))</f>
        <v>0.00283368055555556</v>
      </c>
      <c r="J429" s="17" t="n">
        <f aca="false">IF(INDEX(選手一覧!$K$7:$K$2738,$F429)="","",INDEX(選手一覧!$K$7:$K$2738,$F429))</f>
        <v>448</v>
      </c>
    </row>
    <row r="430" customFormat="false" ht="15" hidden="false" customHeight="false" outlineLevel="0" collapsed="false">
      <c r="A430" s="17" t="n">
        <v>426</v>
      </c>
      <c r="B430" s="12" t="s">
        <v>2396</v>
      </c>
      <c r="C430" s="12" t="s">
        <v>2397</v>
      </c>
      <c r="D430" s="16" t="n">
        <v>0.00707916666666667</v>
      </c>
      <c r="E430" s="15" t="n">
        <f aca="false">ROUND((D430-$D$5)*86400,2)</f>
        <v>72.62</v>
      </c>
      <c r="F430" s="17" t="n">
        <v>1526</v>
      </c>
      <c r="G430" s="16" t="str">
        <f aca="false">IF(INDEX(選手一覧!$D$7:$D$2738,$F430)="","",INDEX(選手一覧!$D$7:$D$2738,$F430))</f>
        <v/>
      </c>
      <c r="H430" s="17" t="str">
        <f aca="false">IF(INDEX(選手一覧!$E$7:$E$2738,$F430)="","",INDEX(選手一覧!$E$7:$E$2738,$F430))</f>
        <v/>
      </c>
      <c r="I430" s="16" t="str">
        <f aca="false">IF(INDEX(選手一覧!$J$7:$J$2738,$F430)="","",INDEX(選手一覧!$J$7:$J$2738,$F430))</f>
        <v/>
      </c>
      <c r="J430" s="17" t="str">
        <f aca="false">IF(INDEX(選手一覧!$K$7:$K$2738,$F430)="","",INDEX(選手一覧!$K$7:$K$2738,$F430))</f>
        <v/>
      </c>
    </row>
    <row r="431" customFormat="false" ht="15" hidden="false" customHeight="false" outlineLevel="0" collapsed="false">
      <c r="A431" s="17" t="n">
        <v>427</v>
      </c>
      <c r="B431" s="12" t="s">
        <v>1840</v>
      </c>
      <c r="C431" s="12" t="s">
        <v>478</v>
      </c>
      <c r="D431" s="16" t="n">
        <v>0.00707962962962963</v>
      </c>
      <c r="E431" s="15" t="n">
        <f aca="false">ROUND((D431-$D$5)*86400,2)</f>
        <v>72.66</v>
      </c>
      <c r="F431" s="17" t="n">
        <v>1142</v>
      </c>
      <c r="G431" s="16" t="n">
        <f aca="false">IF(INDEX(選手一覧!$D$7:$D$2738,$F431)="","",INDEX(選手一覧!$D$7:$D$2738,$F431))</f>
        <v>0.0110262731481482</v>
      </c>
      <c r="H431" s="17" t="n">
        <f aca="false">IF(INDEX(選手一覧!$E$7:$E$2738,$F431)="","",INDEX(選手一覧!$E$7:$E$2738,$F431))</f>
        <v>1143</v>
      </c>
      <c r="I431" s="16" t="n">
        <f aca="false">IF(INDEX(選手一覧!$J$7:$J$2738,$F431)="","",INDEX(選手一覧!$J$7:$J$2738,$F431))</f>
        <v>0.00292569444444444</v>
      </c>
      <c r="J431" s="17" t="n">
        <f aca="false">IF(INDEX(選手一覧!$K$7:$K$2738,$F431)="","",INDEX(選手一覧!$K$7:$K$2738,$F431))</f>
        <v>1155</v>
      </c>
    </row>
    <row r="432" customFormat="false" ht="15" hidden="false" customHeight="false" outlineLevel="0" collapsed="false">
      <c r="A432" s="17" t="n">
        <v>428</v>
      </c>
      <c r="B432" s="12" t="s">
        <v>2398</v>
      </c>
      <c r="C432" s="12" t="s">
        <v>2399</v>
      </c>
      <c r="D432" s="16" t="n">
        <v>0.00708009259259259</v>
      </c>
      <c r="E432" s="15" t="n">
        <f aca="false">ROUND((D432-$D$5)*86400,2)</f>
        <v>72.7</v>
      </c>
      <c r="F432" s="17" t="n">
        <v>1527</v>
      </c>
      <c r="G432" s="16" t="str">
        <f aca="false">IF(INDEX(選手一覧!$D$7:$D$2738,$F432)="","",INDEX(選手一覧!$D$7:$D$2738,$F432))</f>
        <v/>
      </c>
      <c r="H432" s="17" t="str">
        <f aca="false">IF(INDEX(選手一覧!$E$7:$E$2738,$F432)="","",INDEX(選手一覧!$E$7:$E$2738,$F432))</f>
        <v/>
      </c>
      <c r="I432" s="16" t="str">
        <f aca="false">IF(INDEX(選手一覧!$J$7:$J$2738,$F432)="","",INDEX(選手一覧!$J$7:$J$2738,$F432))</f>
        <v/>
      </c>
      <c r="J432" s="17" t="str">
        <f aca="false">IF(INDEX(選手一覧!$K$7:$K$2738,$F432)="","",INDEX(選手一覧!$K$7:$K$2738,$F432))</f>
        <v/>
      </c>
    </row>
    <row r="433" customFormat="false" ht="15" hidden="false" customHeight="false" outlineLevel="0" collapsed="false">
      <c r="A433" s="17" t="n">
        <v>429</v>
      </c>
      <c r="B433" s="12" t="s">
        <v>2400</v>
      </c>
      <c r="C433" s="12" t="s">
        <v>737</v>
      </c>
      <c r="D433" s="16" t="n">
        <v>0.00708217592592593</v>
      </c>
      <c r="E433" s="15" t="n">
        <f aca="false">ROUND((D433-$D$5)*86400,2)</f>
        <v>72.88</v>
      </c>
      <c r="F433" s="17" t="n">
        <v>1528</v>
      </c>
      <c r="G433" s="16" t="str">
        <f aca="false">IF(INDEX(選手一覧!$D$7:$D$2738,$F433)="","",INDEX(選手一覧!$D$7:$D$2738,$F433))</f>
        <v/>
      </c>
      <c r="H433" s="17" t="str">
        <f aca="false">IF(INDEX(選手一覧!$E$7:$E$2738,$F433)="","",INDEX(選手一覧!$E$7:$E$2738,$F433))</f>
        <v/>
      </c>
      <c r="I433" s="16" t="str">
        <f aca="false">IF(INDEX(選手一覧!$J$7:$J$2738,$F433)="","",INDEX(選手一覧!$J$7:$J$2738,$F433))</f>
        <v/>
      </c>
      <c r="J433" s="17" t="str">
        <f aca="false">IF(INDEX(選手一覧!$K$7:$K$2738,$F433)="","",INDEX(選手一覧!$K$7:$K$2738,$F433))</f>
        <v/>
      </c>
    </row>
    <row r="434" customFormat="false" ht="15" hidden="false" customHeight="false" outlineLevel="0" collapsed="false">
      <c r="A434" s="17" t="n">
        <v>430</v>
      </c>
      <c r="B434" s="12" t="s">
        <v>1886</v>
      </c>
      <c r="C434" s="12" t="s">
        <v>415</v>
      </c>
      <c r="D434" s="16" t="n">
        <v>0.00708252314814815</v>
      </c>
      <c r="E434" s="15" t="n">
        <f aca="false">ROUND((D434-$D$5)*86400,2)</f>
        <v>72.91</v>
      </c>
      <c r="F434" s="17" t="n">
        <v>1173</v>
      </c>
      <c r="G434" s="16" t="n">
        <f aca="false">IF(INDEX(選手一覧!$D$7:$D$2738,$F434)="","",INDEX(選手一覧!$D$7:$D$2738,$F434))</f>
        <v>0.0110377314814815</v>
      </c>
      <c r="H434" s="17" t="n">
        <f aca="false">IF(INDEX(選手一覧!$E$7:$E$2738,$F434)="","",INDEX(選手一覧!$E$7:$E$2738,$F434))</f>
        <v>1174</v>
      </c>
      <c r="I434" s="16" t="str">
        <f aca="false">IF(INDEX(選手一覧!$J$7:$J$2738,$F434)="","",INDEX(選手一覧!$J$7:$J$2738,$F434))</f>
        <v/>
      </c>
      <c r="J434" s="17" t="str">
        <f aca="false">IF(INDEX(選手一覧!$K$7:$K$2738,$F434)="","",INDEX(選手一覧!$K$7:$K$2738,$F434))</f>
        <v/>
      </c>
    </row>
    <row r="435" customFormat="false" ht="15" hidden="false" customHeight="false" outlineLevel="0" collapsed="false">
      <c r="A435" s="17" t="n">
        <v>431</v>
      </c>
      <c r="B435" s="12" t="s">
        <v>2401</v>
      </c>
      <c r="C435" s="12" t="s">
        <v>1131</v>
      </c>
      <c r="D435" s="16" t="n">
        <v>0.00708263888888889</v>
      </c>
      <c r="E435" s="15" t="n">
        <f aca="false">ROUND((D435-$D$5)*86400,2)</f>
        <v>72.92</v>
      </c>
      <c r="F435" s="17" t="n">
        <v>1529</v>
      </c>
      <c r="G435" s="16" t="str">
        <f aca="false">IF(INDEX(選手一覧!$D$7:$D$2738,$F435)="","",INDEX(選手一覧!$D$7:$D$2738,$F435))</f>
        <v/>
      </c>
      <c r="H435" s="17" t="str">
        <f aca="false">IF(INDEX(選手一覧!$E$7:$E$2738,$F435)="","",INDEX(選手一覧!$E$7:$E$2738,$F435))</f>
        <v/>
      </c>
      <c r="I435" s="16" t="str">
        <f aca="false">IF(INDEX(選手一覧!$J$7:$J$2738,$F435)="","",INDEX(選手一覧!$J$7:$J$2738,$F435))</f>
        <v/>
      </c>
      <c r="J435" s="17" t="str">
        <f aca="false">IF(INDEX(選手一覧!$K$7:$K$2738,$F435)="","",INDEX(選手一覧!$K$7:$K$2738,$F435))</f>
        <v/>
      </c>
    </row>
    <row r="436" customFormat="false" ht="15" hidden="false" customHeight="false" outlineLevel="0" collapsed="false">
      <c r="A436" s="17" t="n">
        <v>432</v>
      </c>
      <c r="B436" s="12" t="s">
        <v>1479</v>
      </c>
      <c r="C436" s="12" t="s">
        <v>96</v>
      </c>
      <c r="D436" s="16" t="n">
        <v>0.00708460648148148</v>
      </c>
      <c r="E436" s="15" t="n">
        <f aca="false">ROUND((D436-$D$5)*86400,2)</f>
        <v>73.09</v>
      </c>
      <c r="F436" s="17" t="n">
        <v>898</v>
      </c>
      <c r="G436" s="16" t="n">
        <f aca="false">IF(INDEX(選手一覧!$D$7:$D$2738,$F436)="","",INDEX(選手一覧!$D$7:$D$2738,$F436))</f>
        <v>0.0108835648148148</v>
      </c>
      <c r="H436" s="17" t="n">
        <f aca="false">IF(INDEX(選手一覧!$E$7:$E$2738,$F436)="","",INDEX(選手一覧!$E$7:$E$2738,$F436))</f>
        <v>899</v>
      </c>
      <c r="I436" s="16" t="n">
        <f aca="false">IF(INDEX(選手一覧!$J$7:$J$2738,$F436)="","",INDEX(選手一覧!$J$7:$J$2738,$F436))</f>
        <v>0.00284363425925926</v>
      </c>
      <c r="J436" s="17" t="n">
        <f aca="false">IF(INDEX(選手一覧!$K$7:$K$2738,$F436)="","",INDEX(選手一覧!$K$7:$K$2738,$F436))</f>
        <v>521</v>
      </c>
    </row>
    <row r="437" customFormat="false" ht="15" hidden="false" customHeight="false" outlineLevel="0" collapsed="false">
      <c r="A437" s="17" t="n">
        <v>433</v>
      </c>
      <c r="B437" s="12" t="s">
        <v>2106</v>
      </c>
      <c r="C437" s="12" t="s">
        <v>301</v>
      </c>
      <c r="D437" s="16" t="n">
        <v>0.00708506944444444</v>
      </c>
      <c r="E437" s="15" t="n">
        <f aca="false">ROUND((D437-$D$5)*86400,2)</f>
        <v>73.13</v>
      </c>
      <c r="F437" s="17" t="n">
        <v>1337</v>
      </c>
      <c r="G437" s="16" t="str">
        <f aca="false">IF(INDEX(選手一覧!$D$7:$D$2738,$F437)="","",INDEX(選手一覧!$D$7:$D$2738,$F437))</f>
        <v/>
      </c>
      <c r="H437" s="17" t="str">
        <f aca="false">IF(INDEX(選手一覧!$E$7:$E$2738,$F437)="","",INDEX(選手一覧!$E$7:$E$2738,$F437))</f>
        <v/>
      </c>
      <c r="I437" s="16" t="n">
        <f aca="false">IF(INDEX(選手一覧!$J$7:$J$2738,$F437)="","",INDEX(選手一覧!$J$7:$J$2738,$F437))</f>
        <v>0.00277673611111111</v>
      </c>
      <c r="J437" s="17" t="n">
        <f aca="false">IF(INDEX(選手一覧!$K$7:$K$2738,$F437)="","",INDEX(選手一覧!$K$7:$K$2738,$F437))</f>
        <v>185</v>
      </c>
    </row>
    <row r="438" customFormat="false" ht="15" hidden="false" customHeight="false" outlineLevel="0" collapsed="false">
      <c r="A438" s="17" t="n">
        <v>434</v>
      </c>
      <c r="B438" s="12" t="s">
        <v>2403</v>
      </c>
      <c r="C438" s="12" t="s">
        <v>1476</v>
      </c>
      <c r="D438" s="16" t="n">
        <v>0.00708622685185185</v>
      </c>
      <c r="E438" s="15" t="n">
        <f aca="false">ROUND((D438-$D$5)*86400,2)</f>
        <v>73.23</v>
      </c>
      <c r="F438" s="17" t="n">
        <v>1531</v>
      </c>
      <c r="G438" s="16" t="str">
        <f aca="false">IF(INDEX(選手一覧!$D$7:$D$2738,$F438)="","",INDEX(選手一覧!$D$7:$D$2738,$F438))</f>
        <v/>
      </c>
      <c r="H438" s="17" t="str">
        <f aca="false">IF(INDEX(選手一覧!$E$7:$E$2738,$F438)="","",INDEX(選手一覧!$E$7:$E$2738,$F438))</f>
        <v/>
      </c>
      <c r="I438" s="16" t="str">
        <f aca="false">IF(INDEX(選手一覧!$J$7:$J$2738,$F438)="","",INDEX(選手一覧!$J$7:$J$2738,$F438))</f>
        <v/>
      </c>
      <c r="J438" s="17" t="str">
        <f aca="false">IF(INDEX(選手一覧!$K$7:$K$2738,$F438)="","",INDEX(選手一覧!$K$7:$K$2738,$F438))</f>
        <v/>
      </c>
    </row>
    <row r="439" customFormat="false" ht="15" hidden="false" customHeight="false" outlineLevel="0" collapsed="false">
      <c r="A439" s="17" t="n">
        <v>435</v>
      </c>
      <c r="B439" s="12" t="s">
        <v>1709</v>
      </c>
      <c r="C439" s="12" t="s">
        <v>1710</v>
      </c>
      <c r="D439" s="16" t="n">
        <v>0.00708622685185185</v>
      </c>
      <c r="E439" s="15" t="n">
        <f aca="false">ROUND((D439-$D$5)*86400,2)</f>
        <v>73.23</v>
      </c>
      <c r="F439" s="17" t="n">
        <v>1054</v>
      </c>
      <c r="G439" s="16" t="n">
        <f aca="false">IF(INDEX(選手一覧!$D$7:$D$2738,$F439)="","",INDEX(選手一覧!$D$7:$D$2738,$F439))</f>
        <v>0.0109792824074074</v>
      </c>
      <c r="H439" s="17" t="n">
        <f aca="false">IF(INDEX(選手一覧!$E$7:$E$2738,$F439)="","",INDEX(選手一覧!$E$7:$E$2738,$F439))</f>
        <v>1055</v>
      </c>
      <c r="I439" s="16" t="str">
        <f aca="false">IF(INDEX(選手一覧!$J$7:$J$2738,$F439)="","",INDEX(選手一覧!$J$7:$J$2738,$F439))</f>
        <v/>
      </c>
      <c r="J439" s="17" t="str">
        <f aca="false">IF(INDEX(選手一覧!$K$7:$K$2738,$F439)="","",INDEX(選手一覧!$K$7:$K$2738,$F439))</f>
        <v/>
      </c>
    </row>
    <row r="440" customFormat="false" ht="15" hidden="false" customHeight="false" outlineLevel="0" collapsed="false">
      <c r="A440" s="17" t="n">
        <v>436</v>
      </c>
      <c r="B440" s="12" t="s">
        <v>2406</v>
      </c>
      <c r="C440" s="12" t="s">
        <v>179</v>
      </c>
      <c r="D440" s="16" t="n">
        <v>0.0070869212962963</v>
      </c>
      <c r="E440" s="15" t="n">
        <f aca="false">ROUND((D440-$D$5)*86400,2)</f>
        <v>73.29</v>
      </c>
      <c r="F440" s="17" t="n">
        <v>1533</v>
      </c>
      <c r="G440" s="16" t="str">
        <f aca="false">IF(INDEX(選手一覧!$D$7:$D$2738,$F440)="","",INDEX(選手一覧!$D$7:$D$2738,$F440))</f>
        <v/>
      </c>
      <c r="H440" s="17" t="str">
        <f aca="false">IF(INDEX(選手一覧!$E$7:$E$2738,$F440)="","",INDEX(選手一覧!$E$7:$E$2738,$F440))</f>
        <v/>
      </c>
      <c r="I440" s="16" t="str">
        <f aca="false">IF(INDEX(選手一覧!$J$7:$J$2738,$F440)="","",INDEX(選手一覧!$J$7:$J$2738,$F440))</f>
        <v/>
      </c>
      <c r="J440" s="17" t="str">
        <f aca="false">IF(INDEX(選手一覧!$K$7:$K$2738,$F440)="","",INDEX(選手一覧!$K$7:$K$2738,$F440))</f>
        <v/>
      </c>
    </row>
    <row r="441" customFormat="false" ht="15" hidden="false" customHeight="false" outlineLevel="0" collapsed="false">
      <c r="A441" s="17" t="n">
        <v>437</v>
      </c>
      <c r="B441" s="12" t="s">
        <v>332</v>
      </c>
      <c r="C441" s="12" t="s">
        <v>333</v>
      </c>
      <c r="D441" s="16" t="n">
        <v>0.0070880787037037</v>
      </c>
      <c r="E441" s="15" t="n">
        <f aca="false">ROUND((D441-$D$5)*86400,2)</f>
        <v>73.39</v>
      </c>
      <c r="F441" s="17" t="n">
        <v>160</v>
      </c>
      <c r="G441" s="16" t="n">
        <f aca="false">IF(INDEX(選手一覧!$D$7:$D$2738,$F441)="","",INDEX(選手一覧!$D$7:$D$2738,$F441))</f>
        <v>0.0103003472222222</v>
      </c>
      <c r="H441" s="17" t="n">
        <f aca="false">IF(INDEX(選手一覧!$E$7:$E$2738,$F441)="","",INDEX(選手一覧!$E$7:$E$2738,$F441))</f>
        <v>161</v>
      </c>
      <c r="I441" s="16" t="n">
        <f aca="false">IF(INDEX(選手一覧!$J$7:$J$2738,$F441)="","",INDEX(選手一覧!$J$7:$J$2738,$F441))</f>
        <v>0.00275381944444445</v>
      </c>
      <c r="J441" s="17" t="n">
        <f aca="false">IF(INDEX(選手一覧!$K$7:$K$2738,$F441)="","",INDEX(選手一覧!$K$7:$K$2738,$F441))</f>
        <v>113</v>
      </c>
    </row>
    <row r="442" customFormat="false" ht="15" hidden="false" customHeight="false" outlineLevel="0" collapsed="false">
      <c r="A442" s="17" t="n">
        <v>438</v>
      </c>
      <c r="B442" s="12" t="s">
        <v>2407</v>
      </c>
      <c r="C442" s="12" t="s">
        <v>248</v>
      </c>
      <c r="D442" s="16" t="n">
        <v>0.00709085648148148</v>
      </c>
      <c r="E442" s="15" t="n">
        <f aca="false">ROUND((D442-$D$5)*86400,2)</f>
        <v>73.63</v>
      </c>
      <c r="F442" s="17" t="n">
        <v>1534</v>
      </c>
      <c r="G442" s="16" t="str">
        <f aca="false">IF(INDEX(選手一覧!$D$7:$D$2738,$F442)="","",INDEX(選手一覧!$D$7:$D$2738,$F442))</f>
        <v/>
      </c>
      <c r="H442" s="17" t="str">
        <f aca="false">IF(INDEX(選手一覧!$E$7:$E$2738,$F442)="","",INDEX(選手一覧!$E$7:$E$2738,$F442))</f>
        <v/>
      </c>
      <c r="I442" s="16" t="str">
        <f aca="false">IF(INDEX(選手一覧!$J$7:$J$2738,$F442)="","",INDEX(選手一覧!$J$7:$J$2738,$F442))</f>
        <v/>
      </c>
      <c r="J442" s="17" t="str">
        <f aca="false">IF(INDEX(選手一覧!$K$7:$K$2738,$F442)="","",INDEX(選手一覧!$K$7:$K$2738,$F442))</f>
        <v/>
      </c>
    </row>
    <row r="443" customFormat="false" ht="15" hidden="false" customHeight="false" outlineLevel="0" collapsed="false">
      <c r="A443" s="17" t="n">
        <v>439</v>
      </c>
      <c r="B443" s="12" t="s">
        <v>2409</v>
      </c>
      <c r="C443" s="12" t="s">
        <v>1342</v>
      </c>
      <c r="D443" s="16" t="n">
        <v>0.00709201388888889</v>
      </c>
      <c r="E443" s="15" t="n">
        <f aca="false">ROUND((D443-$D$5)*86400,2)</f>
        <v>73.73</v>
      </c>
      <c r="F443" s="17" t="n">
        <v>1536</v>
      </c>
      <c r="G443" s="16" t="str">
        <f aca="false">IF(INDEX(選手一覧!$D$7:$D$2738,$F443)="","",INDEX(選手一覧!$D$7:$D$2738,$F443))</f>
        <v/>
      </c>
      <c r="H443" s="17" t="str">
        <f aca="false">IF(INDEX(選手一覧!$E$7:$E$2738,$F443)="","",INDEX(選手一覧!$E$7:$E$2738,$F443))</f>
        <v/>
      </c>
      <c r="I443" s="16" t="str">
        <f aca="false">IF(INDEX(選手一覧!$J$7:$J$2738,$F443)="","",INDEX(選手一覧!$J$7:$J$2738,$F443))</f>
        <v/>
      </c>
      <c r="J443" s="17" t="str">
        <f aca="false">IF(INDEX(選手一覧!$K$7:$K$2738,$F443)="","",INDEX(選手一覧!$K$7:$K$2738,$F443))</f>
        <v/>
      </c>
    </row>
    <row r="444" customFormat="false" ht="15" hidden="false" customHeight="false" outlineLevel="0" collapsed="false">
      <c r="A444" s="17" t="n">
        <v>440</v>
      </c>
      <c r="B444" s="12" t="s">
        <v>2411</v>
      </c>
      <c r="C444" s="12" t="s">
        <v>1310</v>
      </c>
      <c r="D444" s="16" t="n">
        <v>0.00709409722222222</v>
      </c>
      <c r="E444" s="15" t="n">
        <f aca="false">ROUND((D444-$D$5)*86400,2)</f>
        <v>73.91</v>
      </c>
      <c r="F444" s="17" t="n">
        <v>1538</v>
      </c>
      <c r="G444" s="16" t="str">
        <f aca="false">IF(INDEX(選手一覧!$D$7:$D$2738,$F444)="","",INDEX(選手一覧!$D$7:$D$2738,$F444))</f>
        <v/>
      </c>
      <c r="H444" s="17" t="str">
        <f aca="false">IF(INDEX(選手一覧!$E$7:$E$2738,$F444)="","",INDEX(選手一覧!$E$7:$E$2738,$F444))</f>
        <v/>
      </c>
      <c r="I444" s="16" t="str">
        <f aca="false">IF(INDEX(選手一覧!$J$7:$J$2738,$F444)="","",INDEX(選手一覧!$J$7:$J$2738,$F444))</f>
        <v/>
      </c>
      <c r="J444" s="17" t="str">
        <f aca="false">IF(INDEX(選手一覧!$K$7:$K$2738,$F444)="","",INDEX(選手一覧!$K$7:$K$2738,$F444))</f>
        <v/>
      </c>
    </row>
    <row r="445" customFormat="false" ht="15" hidden="false" customHeight="false" outlineLevel="0" collapsed="false">
      <c r="A445" s="17" t="n">
        <v>441</v>
      </c>
      <c r="B445" s="12" t="s">
        <v>2413</v>
      </c>
      <c r="C445" s="12" t="s">
        <v>2414</v>
      </c>
      <c r="D445" s="16" t="n">
        <v>0.0070943287037037</v>
      </c>
      <c r="E445" s="15" t="n">
        <f aca="false">ROUND((D445-$D$5)*86400,2)</f>
        <v>73.93</v>
      </c>
      <c r="F445" s="17" t="n">
        <v>1540</v>
      </c>
      <c r="G445" s="16" t="str">
        <f aca="false">IF(INDEX(選手一覧!$D$7:$D$2738,$F445)="","",INDEX(選手一覧!$D$7:$D$2738,$F445))</f>
        <v/>
      </c>
      <c r="H445" s="17" t="str">
        <f aca="false">IF(INDEX(選手一覧!$E$7:$E$2738,$F445)="","",INDEX(選手一覧!$E$7:$E$2738,$F445))</f>
        <v/>
      </c>
      <c r="I445" s="16" t="str">
        <f aca="false">IF(INDEX(選手一覧!$J$7:$J$2738,$F445)="","",INDEX(選手一覧!$J$7:$J$2738,$F445))</f>
        <v/>
      </c>
      <c r="J445" s="17" t="str">
        <f aca="false">IF(INDEX(選手一覧!$K$7:$K$2738,$F445)="","",INDEX(選手一覧!$K$7:$K$2738,$F445))</f>
        <v/>
      </c>
    </row>
    <row r="446" customFormat="false" ht="15" hidden="false" customHeight="false" outlineLevel="0" collapsed="false">
      <c r="A446" s="17" t="n">
        <v>442</v>
      </c>
      <c r="B446" s="12" t="s">
        <v>1810</v>
      </c>
      <c r="C446" s="12" t="s">
        <v>65</v>
      </c>
      <c r="D446" s="16" t="n">
        <v>0.00709490740740741</v>
      </c>
      <c r="E446" s="15" t="n">
        <f aca="false">ROUND((D446-$D$5)*86400,2)</f>
        <v>73.98</v>
      </c>
      <c r="F446" s="17" t="n">
        <v>1121</v>
      </c>
      <c r="G446" s="16" t="n">
        <f aca="false">IF(INDEX(選手一覧!$D$7:$D$2738,$F446)="","",INDEX(選手一覧!$D$7:$D$2738,$F446))</f>
        <v>0.0110171296296296</v>
      </c>
      <c r="H446" s="17" t="n">
        <f aca="false">IF(INDEX(選手一覧!$E$7:$E$2738,$F446)="","",INDEX(選手一覧!$E$7:$E$2738,$F446))</f>
        <v>1122</v>
      </c>
      <c r="I446" s="16" t="n">
        <f aca="false">IF(INDEX(選手一覧!$J$7:$J$2738,$F446)="","",INDEX(選手一覧!$J$7:$J$2738,$F446))</f>
        <v>0.00297152777777778</v>
      </c>
      <c r="J446" s="17" t="n">
        <f aca="false">IF(INDEX(選手一覧!$K$7:$K$2738,$F446)="","",INDEX(選手一覧!$K$7:$K$2738,$F446))</f>
        <v>1315</v>
      </c>
    </row>
    <row r="447" customFormat="false" ht="15" hidden="false" customHeight="false" outlineLevel="0" collapsed="false">
      <c r="A447" s="17" t="n">
        <v>443</v>
      </c>
      <c r="B447" s="12" t="s">
        <v>1848</v>
      </c>
      <c r="C447" s="12" t="s">
        <v>406</v>
      </c>
      <c r="D447" s="16" t="n">
        <v>0.00709537037037037</v>
      </c>
      <c r="E447" s="15" t="n">
        <f aca="false">ROUND((D447-$D$5)*86400,2)</f>
        <v>74.02</v>
      </c>
      <c r="F447" s="17" t="n">
        <v>1147</v>
      </c>
      <c r="G447" s="16" t="n">
        <f aca="false">IF(INDEX(選手一覧!$D$7:$D$2738,$F447)="","",INDEX(選手一覧!$D$7:$D$2738,$F447))</f>
        <v>0.0110284722222222</v>
      </c>
      <c r="H447" s="17" t="n">
        <f aca="false">IF(INDEX(選手一覧!$E$7:$E$2738,$F447)="","",INDEX(選手一覧!$E$7:$E$2738,$F447))</f>
        <v>1148</v>
      </c>
      <c r="I447" s="16" t="n">
        <f aca="false">IF(INDEX(選手一覧!$J$7:$J$2738,$F447)="","",INDEX(選手一覧!$J$7:$J$2738,$F447))</f>
        <v>0.00282037037037037</v>
      </c>
      <c r="J447" s="17" t="n">
        <f aca="false">IF(INDEX(選手一覧!$K$7:$K$2738,$F447)="","",INDEX(選手一覧!$K$7:$K$2738,$F447))</f>
        <v>363</v>
      </c>
    </row>
    <row r="448" customFormat="false" ht="15" hidden="false" customHeight="false" outlineLevel="0" collapsed="false">
      <c r="A448" s="17" t="n">
        <v>444</v>
      </c>
      <c r="B448" s="12" t="s">
        <v>402</v>
      </c>
      <c r="C448" s="12" t="s">
        <v>32</v>
      </c>
      <c r="D448" s="16" t="n">
        <v>0.00709699074074074</v>
      </c>
      <c r="E448" s="15" t="n">
        <f aca="false">ROUND((D448-$D$5)*86400,2)</f>
        <v>74.16</v>
      </c>
      <c r="F448" s="17" t="n">
        <v>201</v>
      </c>
      <c r="G448" s="16" t="n">
        <f aca="false">IF(INDEX(選手一覧!$D$7:$D$2738,$F448)="","",INDEX(選手一覧!$D$7:$D$2738,$F448))</f>
        <v>0.0103487268518519</v>
      </c>
      <c r="H448" s="17" t="n">
        <f aca="false">IF(INDEX(選手一覧!$E$7:$E$2738,$F448)="","",INDEX(選手一覧!$E$7:$E$2738,$F448))</f>
        <v>202</v>
      </c>
      <c r="I448" s="16" t="n">
        <f aca="false">IF(INDEX(選手一覧!$J$7:$J$2738,$F448)="","",INDEX(選手一覧!$J$7:$J$2738,$F448))</f>
        <v>0.0028431712962963</v>
      </c>
      <c r="J448" s="17" t="n">
        <f aca="false">IF(INDEX(選手一覧!$K$7:$K$2738,$F448)="","",INDEX(選手一覧!$K$7:$K$2738,$F448))</f>
        <v>518</v>
      </c>
    </row>
    <row r="449" customFormat="false" ht="15" hidden="false" customHeight="false" outlineLevel="0" collapsed="false">
      <c r="A449" s="17" t="n">
        <v>445</v>
      </c>
      <c r="B449" s="12" t="s">
        <v>2415</v>
      </c>
      <c r="C449" s="12" t="s">
        <v>61</v>
      </c>
      <c r="D449" s="16" t="n">
        <v>0.00709722222222222</v>
      </c>
      <c r="E449" s="15" t="n">
        <f aca="false">ROUND((D449-$D$5)*86400,2)</f>
        <v>74.18</v>
      </c>
      <c r="F449" s="17" t="n">
        <v>1541</v>
      </c>
      <c r="G449" s="16" t="str">
        <f aca="false">IF(INDEX(選手一覧!$D$7:$D$2738,$F449)="","",INDEX(選手一覧!$D$7:$D$2738,$F449))</f>
        <v/>
      </c>
      <c r="H449" s="17" t="str">
        <f aca="false">IF(INDEX(選手一覧!$E$7:$E$2738,$F449)="","",INDEX(選手一覧!$E$7:$E$2738,$F449))</f>
        <v/>
      </c>
      <c r="I449" s="16" t="n">
        <f aca="false">IF(INDEX(選手一覧!$J$7:$J$2738,$F449)="","",INDEX(選手一覧!$J$7:$J$2738,$F449))</f>
        <v>0.00292361111111111</v>
      </c>
      <c r="J449" s="17" t="n">
        <f aca="false">IF(INDEX(選手一覧!$K$7:$K$2738,$F449)="","",INDEX(選手一覧!$K$7:$K$2738,$F449))</f>
        <v>1134</v>
      </c>
    </row>
    <row r="450" customFormat="false" ht="15" hidden="false" customHeight="false" outlineLevel="0" collapsed="false">
      <c r="A450" s="17" t="n">
        <v>446</v>
      </c>
      <c r="B450" s="12" t="s">
        <v>2417</v>
      </c>
      <c r="C450" s="12" t="s">
        <v>2418</v>
      </c>
      <c r="D450" s="16" t="n">
        <v>0.00709733796296296</v>
      </c>
      <c r="E450" s="15" t="n">
        <f aca="false">ROUND((D450-$D$5)*86400,2)</f>
        <v>74.19</v>
      </c>
      <c r="F450" s="17" t="n">
        <v>1543</v>
      </c>
      <c r="G450" s="16" t="str">
        <f aca="false">IF(INDEX(選手一覧!$D$7:$D$2738,$F450)="","",INDEX(選手一覧!$D$7:$D$2738,$F450))</f>
        <v/>
      </c>
      <c r="H450" s="17" t="str">
        <f aca="false">IF(INDEX(選手一覧!$E$7:$E$2738,$F450)="","",INDEX(選手一覧!$E$7:$E$2738,$F450))</f>
        <v/>
      </c>
      <c r="I450" s="16" t="str">
        <f aca="false">IF(INDEX(選手一覧!$J$7:$J$2738,$F450)="","",INDEX(選手一覧!$J$7:$J$2738,$F450))</f>
        <v/>
      </c>
      <c r="J450" s="17" t="str">
        <f aca="false">IF(INDEX(選手一覧!$K$7:$K$2738,$F450)="","",INDEX(選手一覧!$K$7:$K$2738,$F450))</f>
        <v/>
      </c>
    </row>
    <row r="451" customFormat="false" ht="15" hidden="false" customHeight="false" outlineLevel="0" collapsed="false">
      <c r="A451" s="17" t="n">
        <v>447</v>
      </c>
      <c r="B451" s="12" t="s">
        <v>1771</v>
      </c>
      <c r="C451" s="12" t="s">
        <v>1409</v>
      </c>
      <c r="D451" s="16" t="n">
        <v>0.00709780092592593</v>
      </c>
      <c r="E451" s="15" t="n">
        <f aca="false">ROUND((D451-$D$5)*86400,2)</f>
        <v>74.23</v>
      </c>
      <c r="F451" s="17" t="n">
        <v>1096</v>
      </c>
      <c r="G451" s="16" t="n">
        <f aca="false">IF(INDEX(選手一覧!$D$7:$D$2738,$F451)="","",INDEX(選手一覧!$D$7:$D$2738,$F451))</f>
        <v>0.0110001157407407</v>
      </c>
      <c r="H451" s="17" t="n">
        <f aca="false">IF(INDEX(選手一覧!$E$7:$E$2738,$F451)="","",INDEX(選手一覧!$E$7:$E$2738,$F451))</f>
        <v>1097</v>
      </c>
      <c r="I451" s="16" t="str">
        <f aca="false">IF(INDEX(選手一覧!$J$7:$J$2738,$F451)="","",INDEX(選手一覧!$J$7:$J$2738,$F451))</f>
        <v/>
      </c>
      <c r="J451" s="17" t="str">
        <f aca="false">IF(INDEX(選手一覧!$K$7:$K$2738,$F451)="","",INDEX(選手一覧!$K$7:$K$2738,$F451))</f>
        <v/>
      </c>
    </row>
    <row r="452" customFormat="false" ht="15" hidden="false" customHeight="false" outlineLevel="0" collapsed="false">
      <c r="A452" s="17" t="n">
        <v>448</v>
      </c>
      <c r="B452" s="12" t="s">
        <v>2419</v>
      </c>
      <c r="C452" s="12" t="s">
        <v>1231</v>
      </c>
      <c r="D452" s="16" t="n">
        <v>0.00709780092592593</v>
      </c>
      <c r="E452" s="15" t="n">
        <f aca="false">ROUND((D452-$D$5)*86400,2)</f>
        <v>74.23</v>
      </c>
      <c r="F452" s="17" t="n">
        <v>1544</v>
      </c>
      <c r="G452" s="16" t="str">
        <f aca="false">IF(INDEX(選手一覧!$D$7:$D$2738,$F452)="","",INDEX(選手一覧!$D$7:$D$2738,$F452))</f>
        <v/>
      </c>
      <c r="H452" s="17" t="str">
        <f aca="false">IF(INDEX(選手一覧!$E$7:$E$2738,$F452)="","",INDEX(選手一覧!$E$7:$E$2738,$F452))</f>
        <v/>
      </c>
      <c r="I452" s="16" t="str">
        <f aca="false">IF(INDEX(選手一覧!$J$7:$J$2738,$F452)="","",INDEX(選手一覧!$J$7:$J$2738,$F452))</f>
        <v/>
      </c>
      <c r="J452" s="17" t="str">
        <f aca="false">IF(INDEX(選手一覧!$K$7:$K$2738,$F452)="","",INDEX(選手一覧!$K$7:$K$2738,$F452))</f>
        <v/>
      </c>
    </row>
    <row r="453" customFormat="false" ht="15" hidden="false" customHeight="false" outlineLevel="0" collapsed="false">
      <c r="A453" s="17" t="n">
        <v>449</v>
      </c>
      <c r="B453" s="12" t="s">
        <v>2420</v>
      </c>
      <c r="C453" s="12" t="s">
        <v>2119</v>
      </c>
      <c r="D453" s="16" t="n">
        <v>0.00709849537037037</v>
      </c>
      <c r="E453" s="15" t="n">
        <f aca="false">ROUND((D453-$D$5)*86400,2)</f>
        <v>74.29</v>
      </c>
      <c r="F453" s="17" t="n">
        <v>1545</v>
      </c>
      <c r="G453" s="16" t="str">
        <f aca="false">IF(INDEX(選手一覧!$D$7:$D$2738,$F453)="","",INDEX(選手一覧!$D$7:$D$2738,$F453))</f>
        <v/>
      </c>
      <c r="H453" s="17" t="str">
        <f aca="false">IF(INDEX(選手一覧!$E$7:$E$2738,$F453)="","",INDEX(選手一覧!$E$7:$E$2738,$F453))</f>
        <v/>
      </c>
      <c r="I453" s="16" t="n">
        <f aca="false">IF(INDEX(選手一覧!$J$7:$J$2738,$F453)="","",INDEX(選手一覧!$J$7:$J$2738,$F453))</f>
        <v>0.00295694444444444</v>
      </c>
      <c r="J453" s="17" t="n">
        <f aca="false">IF(INDEX(選手一覧!$K$7:$K$2738,$F453)="","",INDEX(選手一覧!$K$7:$K$2738,$F453))</f>
        <v>1259</v>
      </c>
    </row>
    <row r="454" customFormat="false" ht="15" hidden="false" customHeight="false" outlineLevel="0" collapsed="false">
      <c r="A454" s="17" t="n">
        <v>450</v>
      </c>
      <c r="B454" s="12" t="s">
        <v>2422</v>
      </c>
      <c r="C454" s="12" t="s">
        <v>1123</v>
      </c>
      <c r="D454" s="16" t="n">
        <v>0.00709872685185185</v>
      </c>
      <c r="E454" s="15" t="n">
        <f aca="false">ROUND((D454-$D$5)*86400,2)</f>
        <v>74.31</v>
      </c>
      <c r="F454" s="17" t="n">
        <v>1547</v>
      </c>
      <c r="G454" s="16" t="str">
        <f aca="false">IF(INDEX(選手一覧!$D$7:$D$2738,$F454)="","",INDEX(選手一覧!$D$7:$D$2738,$F454))</f>
        <v/>
      </c>
      <c r="H454" s="17" t="str">
        <f aca="false">IF(INDEX(選手一覧!$E$7:$E$2738,$F454)="","",INDEX(選手一覧!$E$7:$E$2738,$F454))</f>
        <v/>
      </c>
      <c r="I454" s="16" t="str">
        <f aca="false">IF(INDEX(選手一覧!$J$7:$J$2738,$F454)="","",INDEX(選手一覧!$J$7:$J$2738,$F454))</f>
        <v/>
      </c>
      <c r="J454" s="17" t="str">
        <f aca="false">IF(INDEX(選手一覧!$K$7:$K$2738,$F454)="","",INDEX(選手一覧!$K$7:$K$2738,$F454))</f>
        <v/>
      </c>
    </row>
    <row r="455" customFormat="false" ht="15" hidden="false" customHeight="false" outlineLevel="0" collapsed="false">
      <c r="A455" s="17" t="n">
        <v>451</v>
      </c>
      <c r="B455" s="12" t="s">
        <v>2424</v>
      </c>
      <c r="C455" s="12" t="s">
        <v>4764</v>
      </c>
      <c r="D455" s="16" t="n">
        <v>0.00710266203703704</v>
      </c>
      <c r="E455" s="15" t="n">
        <f aca="false">ROUND((D455-$D$5)*86400,2)</f>
        <v>74.65</v>
      </c>
      <c r="F455" s="17" t="n">
        <v>1549</v>
      </c>
      <c r="G455" s="16" t="str">
        <f aca="false">IF(INDEX(選手一覧!$D$7:$D$2738,$F455)="","",INDEX(選手一覧!$D$7:$D$2738,$F455))</f>
        <v/>
      </c>
      <c r="H455" s="17" t="str">
        <f aca="false">IF(INDEX(選手一覧!$E$7:$E$2738,$F455)="","",INDEX(選手一覧!$E$7:$E$2738,$F455))</f>
        <v/>
      </c>
      <c r="I455" s="16" t="n">
        <f aca="false">IF(INDEX(選手一覧!$J$7:$J$2738,$F455)="","",INDEX(選手一覧!$J$7:$J$2738,$F455))</f>
        <v>0.00288206018518519</v>
      </c>
      <c r="J455" s="17" t="n">
        <f aca="false">IF(INDEX(選手一覧!$K$7:$K$2738,$F455)="","",INDEX(選手一覧!$K$7:$K$2738,$F455))</f>
        <v>794</v>
      </c>
    </row>
    <row r="456" customFormat="false" ht="15" hidden="false" customHeight="false" outlineLevel="0" collapsed="false">
      <c r="A456" s="17" t="n">
        <v>452</v>
      </c>
      <c r="B456" s="12" t="s">
        <v>2427</v>
      </c>
      <c r="C456" s="12" t="s">
        <v>281</v>
      </c>
      <c r="D456" s="16" t="n">
        <v>0.00710428240740741</v>
      </c>
      <c r="E456" s="15" t="n">
        <f aca="false">ROUND((D456-$D$5)*86400,2)</f>
        <v>74.79</v>
      </c>
      <c r="F456" s="17" t="n">
        <v>1550</v>
      </c>
      <c r="G456" s="16" t="str">
        <f aca="false">IF(INDEX(選手一覧!$D$7:$D$2738,$F456)="","",INDEX(選手一覧!$D$7:$D$2738,$F456))</f>
        <v/>
      </c>
      <c r="H456" s="17" t="str">
        <f aca="false">IF(INDEX(選手一覧!$E$7:$E$2738,$F456)="","",INDEX(選手一覧!$E$7:$E$2738,$F456))</f>
        <v/>
      </c>
      <c r="I456" s="16" t="str">
        <f aca="false">IF(INDEX(選手一覧!$J$7:$J$2738,$F456)="","",INDEX(選手一覧!$J$7:$J$2738,$F456))</f>
        <v/>
      </c>
      <c r="J456" s="17" t="str">
        <f aca="false">IF(INDEX(選手一覧!$K$7:$K$2738,$F456)="","",INDEX(選手一覧!$K$7:$K$2738,$F456))</f>
        <v/>
      </c>
    </row>
    <row r="457" customFormat="false" ht="15" hidden="false" customHeight="false" outlineLevel="0" collapsed="false">
      <c r="A457" s="17" t="n">
        <v>453</v>
      </c>
      <c r="B457" s="12" t="s">
        <v>1708</v>
      </c>
      <c r="C457" s="12" t="s">
        <v>860</v>
      </c>
      <c r="D457" s="16" t="n">
        <v>0.00710462962962963</v>
      </c>
      <c r="E457" s="15" t="n">
        <f aca="false">ROUND((D457-$D$5)*86400,2)</f>
        <v>74.82</v>
      </c>
      <c r="F457" s="17" t="n">
        <v>1053</v>
      </c>
      <c r="G457" s="16" t="n">
        <f aca="false">IF(INDEX(選手一覧!$D$7:$D$2738,$F457)="","",INDEX(選手一覧!$D$7:$D$2738,$F457))</f>
        <v>0.0109790509259259</v>
      </c>
      <c r="H457" s="17" t="n">
        <f aca="false">IF(INDEX(選手一覧!$E$7:$E$2738,$F457)="","",INDEX(選手一覧!$E$7:$E$2738,$F457))</f>
        <v>1054</v>
      </c>
      <c r="I457" s="16" t="str">
        <f aca="false">IF(INDEX(選手一覧!$J$7:$J$2738,$F457)="","",INDEX(選手一覧!$J$7:$J$2738,$F457))</f>
        <v/>
      </c>
      <c r="J457" s="17" t="str">
        <f aca="false">IF(INDEX(選手一覧!$K$7:$K$2738,$F457)="","",INDEX(選手一覧!$K$7:$K$2738,$F457))</f>
        <v/>
      </c>
    </row>
    <row r="458" customFormat="false" ht="15" hidden="false" customHeight="false" outlineLevel="0" collapsed="false">
      <c r="A458" s="17" t="n">
        <v>454</v>
      </c>
      <c r="B458" s="12" t="s">
        <v>1618</v>
      </c>
      <c r="C458" s="12" t="s">
        <v>103</v>
      </c>
      <c r="D458" s="16" t="n">
        <v>0.00710578703703704</v>
      </c>
      <c r="E458" s="15" t="n">
        <f aca="false">ROUND((D458-$D$5)*86400,2)</f>
        <v>74.92</v>
      </c>
      <c r="F458" s="17" t="n">
        <v>993</v>
      </c>
      <c r="G458" s="16" t="n">
        <f aca="false">IF(INDEX(選手一覧!$D$7:$D$2738,$F458)="","",INDEX(選手一覧!$D$7:$D$2738,$F458))</f>
        <v>0.0109481481481482</v>
      </c>
      <c r="H458" s="17" t="n">
        <f aca="false">IF(INDEX(選手一覧!$E$7:$E$2738,$F458)="","",INDEX(選手一覧!$E$7:$E$2738,$F458))</f>
        <v>994</v>
      </c>
      <c r="I458" s="16" t="str">
        <f aca="false">IF(INDEX(選手一覧!$J$7:$J$2738,$F458)="","",INDEX(選手一覧!$J$7:$J$2738,$F458))</f>
        <v/>
      </c>
      <c r="J458" s="17" t="str">
        <f aca="false">IF(INDEX(選手一覧!$K$7:$K$2738,$F458)="","",INDEX(選手一覧!$K$7:$K$2738,$F458))</f>
        <v/>
      </c>
    </row>
    <row r="459" customFormat="false" ht="15" hidden="false" customHeight="false" outlineLevel="0" collapsed="false">
      <c r="A459" s="17" t="n">
        <v>455</v>
      </c>
      <c r="B459" s="12" t="s">
        <v>1555</v>
      </c>
      <c r="C459" s="12" t="s">
        <v>370</v>
      </c>
      <c r="D459" s="16" t="n">
        <v>0.00710694444444444</v>
      </c>
      <c r="E459" s="15" t="n">
        <f aca="false">ROUND((D459-$D$5)*86400,2)</f>
        <v>75.02</v>
      </c>
      <c r="F459" s="17" t="n">
        <v>950</v>
      </c>
      <c r="G459" s="16" t="n">
        <f aca="false">IF(INDEX(選手一覧!$D$7:$D$2738,$F459)="","",INDEX(選手一覧!$D$7:$D$2738,$F459))</f>
        <v>0.0109208333333333</v>
      </c>
      <c r="H459" s="17" t="n">
        <f aca="false">IF(INDEX(選手一覧!$E$7:$E$2738,$F459)="","",INDEX(選手一覧!$E$7:$E$2738,$F459))</f>
        <v>951</v>
      </c>
      <c r="I459" s="16" t="str">
        <f aca="false">IF(INDEX(選手一覧!$J$7:$J$2738,$F459)="","",INDEX(選手一覧!$J$7:$J$2738,$F459))</f>
        <v/>
      </c>
      <c r="J459" s="17" t="str">
        <f aca="false">IF(INDEX(選手一覧!$K$7:$K$2738,$F459)="","",INDEX(選手一覧!$K$7:$K$2738,$F459))</f>
        <v/>
      </c>
    </row>
    <row r="460" customFormat="false" ht="15" hidden="false" customHeight="false" outlineLevel="0" collapsed="false">
      <c r="A460" s="17" t="n">
        <v>456</v>
      </c>
      <c r="B460" s="12" t="s">
        <v>1217</v>
      </c>
      <c r="C460" s="12" t="s">
        <v>1218</v>
      </c>
      <c r="D460" s="16" t="n">
        <v>0.00711053240740741</v>
      </c>
      <c r="E460" s="15" t="n">
        <f aca="false">ROUND((D460-$D$5)*86400,2)</f>
        <v>75.33</v>
      </c>
      <c r="F460" s="17" t="n">
        <v>724</v>
      </c>
      <c r="G460" s="16" t="n">
        <f aca="false">IF(INDEX(選手一覧!$D$7:$D$2738,$F460)="","",INDEX(選手一覧!$D$7:$D$2738,$F460))</f>
        <v>0.0107909722222222</v>
      </c>
      <c r="H460" s="17" t="n">
        <f aca="false">IF(INDEX(選手一覧!$E$7:$E$2738,$F460)="","",INDEX(選手一覧!$E$7:$E$2738,$F460))</f>
        <v>725</v>
      </c>
      <c r="I460" s="16" t="n">
        <f aca="false">IF(INDEX(選手一覧!$J$7:$J$2738,$F460)="","",INDEX(選手一覧!$J$7:$J$2738,$F460))</f>
        <v>0.00284861111111111</v>
      </c>
      <c r="J460" s="17" t="n">
        <f aca="false">IF(INDEX(選手一覧!$K$7:$K$2738,$F460)="","",INDEX(選手一覧!$K$7:$K$2738,$F460))</f>
        <v>558</v>
      </c>
    </row>
    <row r="461" customFormat="false" ht="15" hidden="false" customHeight="false" outlineLevel="0" collapsed="false">
      <c r="A461" s="17" t="n">
        <v>457</v>
      </c>
      <c r="B461" s="12" t="s">
        <v>720</v>
      </c>
      <c r="C461" s="12" t="s">
        <v>503</v>
      </c>
      <c r="D461" s="16" t="n">
        <v>0.0071125</v>
      </c>
      <c r="E461" s="15" t="n">
        <f aca="false">ROUND((D461-$D$5)*86400,2)</f>
        <v>75.5</v>
      </c>
      <c r="F461" s="17" t="n">
        <v>399</v>
      </c>
      <c r="G461" s="16" t="n">
        <f aca="false">IF(INDEX(選手一覧!$D$7:$D$2738,$F461)="","",INDEX(選手一覧!$D$7:$D$2738,$F461))</f>
        <v>0.0105509259259259</v>
      </c>
      <c r="H461" s="17" t="n">
        <f aca="false">IF(INDEX(選手一覧!$E$7:$E$2738,$F461)="","",INDEX(選手一覧!$E$7:$E$2738,$F461))</f>
        <v>400</v>
      </c>
      <c r="I461" s="16" t="str">
        <f aca="false">IF(INDEX(選手一覧!$J$7:$J$2738,$F461)="","",INDEX(選手一覧!$J$7:$J$2738,$F461))</f>
        <v/>
      </c>
      <c r="J461" s="17" t="str">
        <f aca="false">IF(INDEX(選手一覧!$K$7:$K$2738,$F461)="","",INDEX(選手一覧!$K$7:$K$2738,$F461))</f>
        <v/>
      </c>
    </row>
    <row r="462" customFormat="false" ht="15" hidden="false" customHeight="false" outlineLevel="0" collapsed="false">
      <c r="A462" s="17" t="n">
        <v>458</v>
      </c>
      <c r="B462" s="12" t="s">
        <v>2428</v>
      </c>
      <c r="C462" s="12" t="s">
        <v>2429</v>
      </c>
      <c r="D462" s="16" t="n">
        <v>0.00711354166666667</v>
      </c>
      <c r="E462" s="15" t="n">
        <f aca="false">ROUND((D462-$D$5)*86400,2)</f>
        <v>75.59</v>
      </c>
      <c r="F462" s="17" t="n">
        <v>1551</v>
      </c>
      <c r="G462" s="16" t="str">
        <f aca="false">IF(INDEX(選手一覧!$D$7:$D$2738,$F462)="","",INDEX(選手一覧!$D$7:$D$2738,$F462))</f>
        <v/>
      </c>
      <c r="H462" s="17" t="str">
        <f aca="false">IF(INDEX(選手一覧!$E$7:$E$2738,$F462)="","",INDEX(選手一覧!$E$7:$E$2738,$F462))</f>
        <v/>
      </c>
      <c r="I462" s="16" t="str">
        <f aca="false">IF(INDEX(選手一覧!$J$7:$J$2738,$F462)="","",INDEX(選手一覧!$J$7:$J$2738,$F462))</f>
        <v/>
      </c>
      <c r="J462" s="17" t="str">
        <f aca="false">IF(INDEX(選手一覧!$K$7:$K$2738,$F462)="","",INDEX(選手一覧!$K$7:$K$2738,$F462))</f>
        <v/>
      </c>
    </row>
    <row r="463" customFormat="false" ht="15" hidden="false" customHeight="false" outlineLevel="0" collapsed="false">
      <c r="A463" s="17" t="n">
        <v>459</v>
      </c>
      <c r="B463" s="12" t="s">
        <v>2430</v>
      </c>
      <c r="C463" s="12" t="s">
        <v>2431</v>
      </c>
      <c r="D463" s="16" t="n">
        <v>0.00711597222222222</v>
      </c>
      <c r="E463" s="15" t="n">
        <f aca="false">ROUND((D463-$D$5)*86400,2)</f>
        <v>75.8</v>
      </c>
      <c r="F463" s="17" t="n">
        <v>1552</v>
      </c>
      <c r="G463" s="16" t="str">
        <f aca="false">IF(INDEX(選手一覧!$D$7:$D$2738,$F463)="","",INDEX(選手一覧!$D$7:$D$2738,$F463))</f>
        <v/>
      </c>
      <c r="H463" s="17" t="str">
        <f aca="false">IF(INDEX(選手一覧!$E$7:$E$2738,$F463)="","",INDEX(選手一覧!$E$7:$E$2738,$F463))</f>
        <v/>
      </c>
      <c r="I463" s="16" t="str">
        <f aca="false">IF(INDEX(選手一覧!$J$7:$J$2738,$F463)="","",INDEX(選手一覧!$J$7:$J$2738,$F463))</f>
        <v/>
      </c>
      <c r="J463" s="17" t="str">
        <f aca="false">IF(INDEX(選手一覧!$K$7:$K$2738,$F463)="","",INDEX(選手一覧!$K$7:$K$2738,$F463))</f>
        <v/>
      </c>
    </row>
    <row r="464" customFormat="false" ht="15" hidden="false" customHeight="false" outlineLevel="0" collapsed="false">
      <c r="A464" s="17" t="n">
        <v>460</v>
      </c>
      <c r="B464" s="12" t="s">
        <v>1153</v>
      </c>
      <c r="C464" s="12" t="s">
        <v>1154</v>
      </c>
      <c r="D464" s="16" t="n">
        <v>0.00711643518518519</v>
      </c>
      <c r="E464" s="15" t="n">
        <f aca="false">ROUND((D464-$D$5)*86400,2)</f>
        <v>75.84</v>
      </c>
      <c r="F464" s="17" t="n">
        <v>683</v>
      </c>
      <c r="G464" s="16" t="n">
        <f aca="false">IF(INDEX(選手一覧!$D$7:$D$2738,$F464)="","",INDEX(選手一覧!$D$7:$D$2738,$F464))</f>
        <v>0.0107622685185185</v>
      </c>
      <c r="H464" s="17" t="n">
        <f aca="false">IF(INDEX(選手一覧!$E$7:$E$2738,$F464)="","",INDEX(選手一覧!$E$7:$E$2738,$F464))</f>
        <v>684</v>
      </c>
      <c r="I464" s="16" t="n">
        <f aca="false">IF(INDEX(選手一覧!$J$7:$J$2738,$F464)="","",INDEX(選手一覧!$J$7:$J$2738,$F464))</f>
        <v>0.00296215277777778</v>
      </c>
      <c r="J464" s="17" t="n">
        <f aca="false">IF(INDEX(選手一覧!$K$7:$K$2738,$F464)="","",INDEX(選手一覧!$K$7:$K$2738,$F464))</f>
        <v>1278</v>
      </c>
    </row>
    <row r="465" customFormat="false" ht="15" hidden="false" customHeight="false" outlineLevel="0" collapsed="false">
      <c r="A465" s="17" t="n">
        <v>461</v>
      </c>
      <c r="B465" s="12" t="s">
        <v>2432</v>
      </c>
      <c r="C465" s="12" t="s">
        <v>1212</v>
      </c>
      <c r="D465" s="16" t="n">
        <v>0.00711643518518519</v>
      </c>
      <c r="E465" s="15" t="n">
        <f aca="false">ROUND((D465-$D$5)*86400,2)</f>
        <v>75.84</v>
      </c>
      <c r="F465" s="17" t="n">
        <v>1553</v>
      </c>
      <c r="G465" s="16" t="str">
        <f aca="false">IF(INDEX(選手一覧!$D$7:$D$2738,$F465)="","",INDEX(選手一覧!$D$7:$D$2738,$F465))</f>
        <v/>
      </c>
      <c r="H465" s="17" t="str">
        <f aca="false">IF(INDEX(選手一覧!$E$7:$E$2738,$F465)="","",INDEX(選手一覧!$E$7:$E$2738,$F465))</f>
        <v/>
      </c>
      <c r="I465" s="16" t="n">
        <f aca="false">IF(INDEX(選手一覧!$J$7:$J$2738,$F465)="","",INDEX(選手一覧!$J$7:$J$2738,$F465))</f>
        <v>0.00290520833333333</v>
      </c>
      <c r="J465" s="17" t="n">
        <f aca="false">IF(INDEX(選手一覧!$K$7:$K$2738,$F465)="","",INDEX(選手一覧!$K$7:$K$2738,$F465))</f>
        <v>984</v>
      </c>
    </row>
    <row r="466" customFormat="false" ht="15" hidden="false" customHeight="false" outlineLevel="0" collapsed="false">
      <c r="A466" s="17" t="n">
        <v>462</v>
      </c>
      <c r="B466" s="12" t="s">
        <v>2433</v>
      </c>
      <c r="C466" s="12" t="s">
        <v>2434</v>
      </c>
      <c r="D466" s="16" t="n">
        <v>0.00711678240740741</v>
      </c>
      <c r="E466" s="15" t="n">
        <f aca="false">ROUND((D466-$D$5)*86400,2)</f>
        <v>75.87</v>
      </c>
      <c r="F466" s="17" t="n">
        <v>1554</v>
      </c>
      <c r="G466" s="16" t="str">
        <f aca="false">IF(INDEX(選手一覧!$D$7:$D$2738,$F466)="","",INDEX(選手一覧!$D$7:$D$2738,$F466))</f>
        <v/>
      </c>
      <c r="H466" s="17" t="str">
        <f aca="false">IF(INDEX(選手一覧!$E$7:$E$2738,$F466)="","",INDEX(選手一覧!$E$7:$E$2738,$F466))</f>
        <v/>
      </c>
      <c r="I466" s="16" t="str">
        <f aca="false">IF(INDEX(選手一覧!$J$7:$J$2738,$F466)="","",INDEX(選手一覧!$J$7:$J$2738,$F466))</f>
        <v/>
      </c>
      <c r="J466" s="17" t="str">
        <f aca="false">IF(INDEX(選手一覧!$K$7:$K$2738,$F466)="","",INDEX(選手一覧!$K$7:$K$2738,$F466))</f>
        <v/>
      </c>
    </row>
    <row r="467" customFormat="false" ht="15" hidden="false" customHeight="false" outlineLevel="0" collapsed="false">
      <c r="A467" s="17" t="n">
        <v>463</v>
      </c>
      <c r="B467" s="12" t="s">
        <v>2274</v>
      </c>
      <c r="C467" s="12" t="s">
        <v>316</v>
      </c>
      <c r="D467" s="16" t="n">
        <v>0.00711736111111111</v>
      </c>
      <c r="E467" s="15" t="n">
        <f aca="false">ROUND((D467-$D$5)*86400,2)</f>
        <v>75.92</v>
      </c>
      <c r="F467" s="17" t="n">
        <v>1446</v>
      </c>
      <c r="G467" s="16" t="str">
        <f aca="false">IF(INDEX(選手一覧!$D$7:$D$2738,$F467)="","",INDEX(選手一覧!$D$7:$D$2738,$F467))</f>
        <v/>
      </c>
      <c r="H467" s="17" t="str">
        <f aca="false">IF(INDEX(選手一覧!$E$7:$E$2738,$F467)="","",INDEX(選手一覧!$E$7:$E$2738,$F467))</f>
        <v/>
      </c>
      <c r="I467" s="16" t="n">
        <f aca="false">IF(INDEX(選手一覧!$J$7:$J$2738,$F467)="","",INDEX(選手一覧!$J$7:$J$2738,$F467))</f>
        <v>0.00281493055555556</v>
      </c>
      <c r="J467" s="17" t="n">
        <f aca="false">IF(INDEX(選手一覧!$K$7:$K$2738,$F467)="","",INDEX(選手一覧!$K$7:$K$2738,$F467))</f>
        <v>343</v>
      </c>
    </row>
    <row r="468" customFormat="false" ht="15" hidden="false" customHeight="false" outlineLevel="0" collapsed="false">
      <c r="A468" s="17" t="n">
        <v>464</v>
      </c>
      <c r="B468" s="12" t="s">
        <v>1333</v>
      </c>
      <c r="C468" s="12" t="s">
        <v>1334</v>
      </c>
      <c r="D468" s="16" t="n">
        <v>0.00711782407407407</v>
      </c>
      <c r="E468" s="15" t="n">
        <f aca="false">ROUND((D468-$D$5)*86400,2)</f>
        <v>75.96</v>
      </c>
      <c r="F468" s="17" t="n">
        <v>804</v>
      </c>
      <c r="G468" s="16" t="n">
        <f aca="false">IF(INDEX(選手一覧!$D$7:$D$2738,$F468)="","",INDEX(選手一覧!$D$7:$D$2738,$F468))</f>
        <v>0.0108373842592593</v>
      </c>
      <c r="H468" s="17" t="n">
        <f aca="false">IF(INDEX(選手一覧!$E$7:$E$2738,$F468)="","",INDEX(選手一覧!$E$7:$E$2738,$F468))</f>
        <v>805</v>
      </c>
      <c r="I468" s="16" t="n">
        <f aca="false">IF(INDEX(選手一覧!$J$7:$J$2738,$F468)="","",INDEX(選手一覧!$J$7:$J$2738,$F468))</f>
        <v>0.002925</v>
      </c>
      <c r="J468" s="17" t="n">
        <f aca="false">IF(INDEX(選手一覧!$K$7:$K$2738,$F468)="","",INDEX(選手一覧!$K$7:$K$2738,$F468))</f>
        <v>1149</v>
      </c>
    </row>
    <row r="469" customFormat="false" ht="15" hidden="false" customHeight="false" outlineLevel="0" collapsed="false">
      <c r="A469" s="17" t="n">
        <v>465</v>
      </c>
      <c r="B469" s="12" t="s">
        <v>1126</v>
      </c>
      <c r="C469" s="12" t="s">
        <v>1127</v>
      </c>
      <c r="D469" s="16" t="n">
        <v>0.00711990740740741</v>
      </c>
      <c r="E469" s="15" t="n">
        <f aca="false">ROUND((D469-$D$5)*86400,2)</f>
        <v>76.14</v>
      </c>
      <c r="F469" s="17" t="n">
        <v>667</v>
      </c>
      <c r="G469" s="16" t="n">
        <f aca="false">IF(INDEX(選手一覧!$D$7:$D$2738,$F469)="","",INDEX(選手一覧!$D$7:$D$2738,$F469))</f>
        <v>0.0107510416666667</v>
      </c>
      <c r="H469" s="17" t="n">
        <f aca="false">IF(INDEX(選手一覧!$E$7:$E$2738,$F469)="","",INDEX(選手一覧!$E$7:$E$2738,$F469))</f>
        <v>668</v>
      </c>
      <c r="I469" s="16" t="n">
        <f aca="false">IF(INDEX(選手一覧!$J$7:$J$2738,$F469)="","",INDEX(選手一覧!$J$7:$J$2738,$F469))</f>
        <v>0.00285555555555556</v>
      </c>
      <c r="J469" s="17" t="n">
        <f aca="false">IF(INDEX(選手一覧!$K$7:$K$2738,$F469)="","",INDEX(選手一覧!$K$7:$K$2738,$F469))</f>
        <v>600</v>
      </c>
    </row>
    <row r="470" customFormat="false" ht="15" hidden="false" customHeight="false" outlineLevel="0" collapsed="false">
      <c r="A470" s="17" t="n">
        <v>466</v>
      </c>
      <c r="B470" s="12" t="s">
        <v>2437</v>
      </c>
      <c r="C470" s="12" t="s">
        <v>2438</v>
      </c>
      <c r="D470" s="16" t="n">
        <v>0.00712094907407407</v>
      </c>
      <c r="E470" s="15" t="n">
        <f aca="false">ROUND((D470-$D$5)*86400,2)</f>
        <v>76.23</v>
      </c>
      <c r="F470" s="17" t="n">
        <v>1556</v>
      </c>
      <c r="G470" s="16" t="str">
        <f aca="false">IF(INDEX(選手一覧!$D$7:$D$2738,$F470)="","",INDEX(選手一覧!$D$7:$D$2738,$F470))</f>
        <v/>
      </c>
      <c r="H470" s="17" t="str">
        <f aca="false">IF(INDEX(選手一覧!$E$7:$E$2738,$F470)="","",INDEX(選手一覧!$E$7:$E$2738,$F470))</f>
        <v/>
      </c>
      <c r="I470" s="16" t="str">
        <f aca="false">IF(INDEX(選手一覧!$J$7:$J$2738,$F470)="","",INDEX(選手一覧!$J$7:$J$2738,$F470))</f>
        <v/>
      </c>
      <c r="J470" s="17" t="str">
        <f aca="false">IF(INDEX(選手一覧!$K$7:$K$2738,$F470)="","",INDEX(選手一覧!$K$7:$K$2738,$F470))</f>
        <v/>
      </c>
    </row>
    <row r="471" customFormat="false" ht="15" hidden="false" customHeight="false" outlineLevel="0" collapsed="false">
      <c r="A471" s="17" t="n">
        <v>467</v>
      </c>
      <c r="B471" s="12" t="s">
        <v>2439</v>
      </c>
      <c r="C471" s="12" t="s">
        <v>2440</v>
      </c>
      <c r="D471" s="16" t="n">
        <v>0.0071224537037037</v>
      </c>
      <c r="E471" s="15" t="n">
        <f aca="false">ROUND((D471-$D$5)*86400,2)</f>
        <v>76.36</v>
      </c>
      <c r="F471" s="17" t="n">
        <v>1557</v>
      </c>
      <c r="G471" s="16" t="str">
        <f aca="false">IF(INDEX(選手一覧!$D$7:$D$2738,$F471)="","",INDEX(選手一覧!$D$7:$D$2738,$F471))</f>
        <v/>
      </c>
      <c r="H471" s="17" t="str">
        <f aca="false">IF(INDEX(選手一覧!$E$7:$E$2738,$F471)="","",INDEX(選手一覧!$E$7:$E$2738,$F471))</f>
        <v/>
      </c>
      <c r="I471" s="16" t="str">
        <f aca="false">IF(INDEX(選手一覧!$J$7:$J$2738,$F471)="","",INDEX(選手一覧!$J$7:$J$2738,$F471))</f>
        <v/>
      </c>
      <c r="J471" s="17" t="str">
        <f aca="false">IF(INDEX(選手一覧!$K$7:$K$2738,$F471)="","",INDEX(選手一覧!$K$7:$K$2738,$F471))</f>
        <v/>
      </c>
    </row>
    <row r="472" customFormat="false" ht="15" hidden="false" customHeight="false" outlineLevel="0" collapsed="false">
      <c r="A472" s="17" t="n">
        <v>468</v>
      </c>
      <c r="B472" s="12" t="s">
        <v>2443</v>
      </c>
      <c r="C472" s="12" t="s">
        <v>2444</v>
      </c>
      <c r="D472" s="16" t="n">
        <v>0.00712291666666667</v>
      </c>
      <c r="E472" s="15" t="n">
        <f aca="false">ROUND((D472-$D$5)*86400,2)</f>
        <v>76.4</v>
      </c>
      <c r="F472" s="17" t="n">
        <v>1559</v>
      </c>
      <c r="G472" s="16" t="str">
        <f aca="false">IF(INDEX(選手一覧!$D$7:$D$2738,$F472)="","",INDEX(選手一覧!$D$7:$D$2738,$F472))</f>
        <v/>
      </c>
      <c r="H472" s="17" t="str">
        <f aca="false">IF(INDEX(選手一覧!$E$7:$E$2738,$F472)="","",INDEX(選手一覧!$E$7:$E$2738,$F472))</f>
        <v/>
      </c>
      <c r="I472" s="16" t="str">
        <f aca="false">IF(INDEX(選手一覧!$J$7:$J$2738,$F472)="","",INDEX(選手一覧!$J$7:$J$2738,$F472))</f>
        <v/>
      </c>
      <c r="J472" s="17" t="str">
        <f aca="false">IF(INDEX(選手一覧!$K$7:$K$2738,$F472)="","",INDEX(選手一覧!$K$7:$K$2738,$F472))</f>
        <v/>
      </c>
    </row>
    <row r="473" customFormat="false" ht="15" hidden="false" customHeight="false" outlineLevel="0" collapsed="false">
      <c r="A473" s="17" t="n">
        <v>469</v>
      </c>
      <c r="B473" s="12" t="s">
        <v>2445</v>
      </c>
      <c r="C473" s="12" t="s">
        <v>2446</v>
      </c>
      <c r="D473" s="16" t="n">
        <v>0.007125</v>
      </c>
      <c r="E473" s="15" t="n">
        <f aca="false">ROUND((D473-$D$5)*86400,2)</f>
        <v>76.58</v>
      </c>
      <c r="F473" s="17" t="n">
        <v>1560</v>
      </c>
      <c r="G473" s="16" t="str">
        <f aca="false">IF(INDEX(選手一覧!$D$7:$D$2738,$F473)="","",INDEX(選手一覧!$D$7:$D$2738,$F473))</f>
        <v/>
      </c>
      <c r="H473" s="17" t="str">
        <f aca="false">IF(INDEX(選手一覧!$E$7:$E$2738,$F473)="","",INDEX(選手一覧!$E$7:$E$2738,$F473))</f>
        <v/>
      </c>
      <c r="I473" s="16" t="n">
        <f aca="false">IF(INDEX(選手一覧!$J$7:$J$2738,$F473)="","",INDEX(選手一覧!$J$7:$J$2738,$F473))</f>
        <v>0.00294166666666667</v>
      </c>
      <c r="J473" s="17" t="n">
        <f aca="false">IF(INDEX(選手一覧!$K$7:$K$2738,$F473)="","",INDEX(選手一覧!$K$7:$K$2738,$F473))</f>
        <v>1207</v>
      </c>
    </row>
    <row r="474" customFormat="false" ht="15" hidden="false" customHeight="false" outlineLevel="0" collapsed="false">
      <c r="A474" s="17" t="n">
        <v>470</v>
      </c>
      <c r="B474" s="12" t="s">
        <v>2447</v>
      </c>
      <c r="C474" s="12" t="s">
        <v>864</v>
      </c>
      <c r="D474" s="16" t="n">
        <v>0.00712511574074074</v>
      </c>
      <c r="E474" s="15" t="n">
        <f aca="false">ROUND((D474-$D$5)*86400,2)</f>
        <v>76.59</v>
      </c>
      <c r="F474" s="17" t="n">
        <v>1561</v>
      </c>
      <c r="G474" s="16" t="str">
        <f aca="false">IF(INDEX(選手一覧!$D$7:$D$2738,$F474)="","",INDEX(選手一覧!$D$7:$D$2738,$F474))</f>
        <v/>
      </c>
      <c r="H474" s="17" t="str">
        <f aca="false">IF(INDEX(選手一覧!$E$7:$E$2738,$F474)="","",INDEX(選手一覧!$E$7:$E$2738,$F474))</f>
        <v/>
      </c>
      <c r="I474" s="16" t="str">
        <f aca="false">IF(INDEX(選手一覧!$J$7:$J$2738,$F474)="","",INDEX(選手一覧!$J$7:$J$2738,$F474))</f>
        <v/>
      </c>
      <c r="J474" s="17" t="str">
        <f aca="false">IF(INDEX(選手一覧!$K$7:$K$2738,$F474)="","",INDEX(選手一覧!$K$7:$K$2738,$F474))</f>
        <v/>
      </c>
    </row>
    <row r="475" customFormat="false" ht="15" hidden="false" customHeight="false" outlineLevel="0" collapsed="false">
      <c r="A475" s="17" t="n">
        <v>471</v>
      </c>
      <c r="B475" s="12" t="s">
        <v>2449</v>
      </c>
      <c r="C475" s="12" t="s">
        <v>297</v>
      </c>
      <c r="D475" s="16" t="n">
        <v>0.0071255787037037</v>
      </c>
      <c r="E475" s="15" t="n">
        <f aca="false">ROUND((D475-$D$5)*86400,2)</f>
        <v>76.63</v>
      </c>
      <c r="F475" s="17" t="n">
        <v>1562</v>
      </c>
      <c r="G475" s="16" t="str">
        <f aca="false">IF(INDEX(選手一覧!$D$7:$D$2738,$F475)="","",INDEX(選手一覧!$D$7:$D$2738,$F475))</f>
        <v/>
      </c>
      <c r="H475" s="17" t="str">
        <f aca="false">IF(INDEX(選手一覧!$E$7:$E$2738,$F475)="","",INDEX(選手一覧!$E$7:$E$2738,$F475))</f>
        <v/>
      </c>
      <c r="I475" s="16" t="str">
        <f aca="false">IF(INDEX(選手一覧!$J$7:$J$2738,$F475)="","",INDEX(選手一覧!$J$7:$J$2738,$F475))</f>
        <v/>
      </c>
      <c r="J475" s="17" t="str">
        <f aca="false">IF(INDEX(選手一覧!$K$7:$K$2738,$F475)="","",INDEX(選手一覧!$K$7:$K$2738,$F475))</f>
        <v/>
      </c>
    </row>
    <row r="476" customFormat="false" ht="15" hidden="false" customHeight="false" outlineLevel="0" collapsed="false">
      <c r="A476" s="17" t="n">
        <v>472</v>
      </c>
      <c r="B476" s="12" t="s">
        <v>2450</v>
      </c>
      <c r="C476" s="12" t="s">
        <v>2257</v>
      </c>
      <c r="D476" s="16" t="n">
        <v>0.00712685185185185</v>
      </c>
      <c r="E476" s="15" t="n">
        <f aca="false">ROUND((D476-$D$5)*86400,2)</f>
        <v>76.74</v>
      </c>
      <c r="F476" s="17" t="n">
        <v>1563</v>
      </c>
      <c r="G476" s="16" t="str">
        <f aca="false">IF(INDEX(選手一覧!$D$7:$D$2738,$F476)="","",INDEX(選手一覧!$D$7:$D$2738,$F476))</f>
        <v/>
      </c>
      <c r="H476" s="17" t="str">
        <f aca="false">IF(INDEX(選手一覧!$E$7:$E$2738,$F476)="","",INDEX(選手一覧!$E$7:$E$2738,$F476))</f>
        <v/>
      </c>
      <c r="I476" s="16" t="str">
        <f aca="false">IF(INDEX(選手一覧!$J$7:$J$2738,$F476)="","",INDEX(選手一覧!$J$7:$J$2738,$F476))</f>
        <v/>
      </c>
      <c r="J476" s="17" t="str">
        <f aca="false">IF(INDEX(選手一覧!$K$7:$K$2738,$F476)="","",INDEX(選手一覧!$K$7:$K$2738,$F476))</f>
        <v/>
      </c>
    </row>
    <row r="477" customFormat="false" ht="15" hidden="false" customHeight="false" outlineLevel="0" collapsed="false">
      <c r="A477" s="17" t="n">
        <v>473</v>
      </c>
      <c r="B477" s="12" t="s">
        <v>1714</v>
      </c>
      <c r="C477" s="12" t="s">
        <v>444</v>
      </c>
      <c r="D477" s="16" t="n">
        <v>0.00712893518518519</v>
      </c>
      <c r="E477" s="15" t="n">
        <f aca="false">ROUND((D477-$D$5)*86400,2)</f>
        <v>76.92</v>
      </c>
      <c r="F477" s="17" t="n">
        <v>1058</v>
      </c>
      <c r="G477" s="16" t="n">
        <f aca="false">IF(INDEX(選手一覧!$D$7:$D$2738,$F477)="","",INDEX(選手一覧!$D$7:$D$2738,$F477))</f>
        <v>0.0109811342592593</v>
      </c>
      <c r="H477" s="17" t="n">
        <f aca="false">IF(INDEX(選手一覧!$E$7:$E$2738,$F477)="","",INDEX(選手一覧!$E$7:$E$2738,$F477))</f>
        <v>1059</v>
      </c>
      <c r="I477" s="16" t="str">
        <f aca="false">IF(INDEX(選手一覧!$J$7:$J$2738,$F477)="","",INDEX(選手一覧!$J$7:$J$2738,$F477))</f>
        <v/>
      </c>
      <c r="J477" s="17" t="str">
        <f aca="false">IF(INDEX(選手一覧!$K$7:$K$2738,$F477)="","",INDEX(選手一覧!$K$7:$K$2738,$F477))</f>
        <v/>
      </c>
    </row>
    <row r="478" customFormat="false" ht="15" hidden="false" customHeight="false" outlineLevel="0" collapsed="false">
      <c r="A478" s="17" t="n">
        <v>474</v>
      </c>
      <c r="B478" s="12" t="s">
        <v>2452</v>
      </c>
      <c r="C478" s="12" t="s">
        <v>2453</v>
      </c>
      <c r="D478" s="16" t="n">
        <v>0.00713171296296296</v>
      </c>
      <c r="E478" s="15" t="n">
        <f aca="false">ROUND((D478-$D$5)*86400,2)</f>
        <v>77.16</v>
      </c>
      <c r="F478" s="17" t="n">
        <v>1565</v>
      </c>
      <c r="G478" s="16" t="str">
        <f aca="false">IF(INDEX(選手一覧!$D$7:$D$2738,$F478)="","",INDEX(選手一覧!$D$7:$D$2738,$F478))</f>
        <v/>
      </c>
      <c r="H478" s="17" t="str">
        <f aca="false">IF(INDEX(選手一覧!$E$7:$E$2738,$F478)="","",INDEX(選手一覧!$E$7:$E$2738,$F478))</f>
        <v/>
      </c>
      <c r="I478" s="16" t="str">
        <f aca="false">IF(INDEX(選手一覧!$J$7:$J$2738,$F478)="","",INDEX(選手一覧!$J$7:$J$2738,$F478))</f>
        <v/>
      </c>
      <c r="J478" s="17" t="str">
        <f aca="false">IF(INDEX(選手一覧!$K$7:$K$2738,$F478)="","",INDEX(選手一覧!$K$7:$K$2738,$F478))</f>
        <v/>
      </c>
    </row>
    <row r="479" customFormat="false" ht="15" hidden="false" customHeight="false" outlineLevel="0" collapsed="false">
      <c r="A479" s="17" t="n">
        <v>475</v>
      </c>
      <c r="B479" s="12" t="s">
        <v>820</v>
      </c>
      <c r="C479" s="12" t="s">
        <v>821</v>
      </c>
      <c r="D479" s="16" t="n">
        <v>0.00713217592592593</v>
      </c>
      <c r="E479" s="15" t="n">
        <f aca="false">ROUND((D479-$D$5)*86400,2)</f>
        <v>77.2</v>
      </c>
      <c r="F479" s="17" t="n">
        <v>463</v>
      </c>
      <c r="G479" s="16" t="n">
        <f aca="false">IF(INDEX(選手一覧!$D$7:$D$2738,$F479)="","",INDEX(選手一覧!$D$7:$D$2738,$F479))</f>
        <v>0.010600462962963</v>
      </c>
      <c r="H479" s="17" t="n">
        <f aca="false">IF(INDEX(選手一覧!$E$7:$E$2738,$F479)="","",INDEX(選手一覧!$E$7:$E$2738,$F479))</f>
        <v>464</v>
      </c>
      <c r="I479" s="16" t="n">
        <f aca="false">IF(INDEX(選手一覧!$J$7:$J$2738,$F479)="","",INDEX(選手一覧!$J$7:$J$2738,$F479))</f>
        <v>0.00287071759259259</v>
      </c>
      <c r="J479" s="17" t="n">
        <f aca="false">IF(INDEX(選手一覧!$K$7:$K$2738,$F479)="","",INDEX(選手一覧!$K$7:$K$2738,$F479))</f>
        <v>702</v>
      </c>
    </row>
    <row r="480" customFormat="false" ht="15" hidden="false" customHeight="false" outlineLevel="0" collapsed="false">
      <c r="A480" s="17" t="n">
        <v>476</v>
      </c>
      <c r="B480" s="12" t="s">
        <v>2454</v>
      </c>
      <c r="C480" s="12" t="s">
        <v>2455</v>
      </c>
      <c r="D480" s="16" t="n">
        <v>0.00713472222222222</v>
      </c>
      <c r="E480" s="15" t="n">
        <f aca="false">ROUND((D480-$D$5)*86400,2)</f>
        <v>77.42</v>
      </c>
      <c r="F480" s="17" t="n">
        <v>1566</v>
      </c>
      <c r="G480" s="16" t="str">
        <f aca="false">IF(INDEX(選手一覧!$D$7:$D$2738,$F480)="","",INDEX(選手一覧!$D$7:$D$2738,$F480))</f>
        <v/>
      </c>
      <c r="H480" s="17" t="str">
        <f aca="false">IF(INDEX(選手一覧!$E$7:$E$2738,$F480)="","",INDEX(選手一覧!$E$7:$E$2738,$F480))</f>
        <v/>
      </c>
      <c r="I480" s="16" t="str">
        <f aca="false">IF(INDEX(選手一覧!$J$7:$J$2738,$F480)="","",INDEX(選手一覧!$J$7:$J$2738,$F480))</f>
        <v/>
      </c>
      <c r="J480" s="17" t="str">
        <f aca="false">IF(INDEX(選手一覧!$K$7:$K$2738,$F480)="","",INDEX(選手一覧!$K$7:$K$2738,$F480))</f>
        <v/>
      </c>
    </row>
    <row r="481" customFormat="false" ht="15" hidden="false" customHeight="false" outlineLevel="0" collapsed="false">
      <c r="A481" s="17" t="n">
        <v>477</v>
      </c>
      <c r="B481" s="12" t="s">
        <v>2456</v>
      </c>
      <c r="C481" s="12" t="s">
        <v>742</v>
      </c>
      <c r="D481" s="16" t="n">
        <v>0.00713599537037037</v>
      </c>
      <c r="E481" s="15" t="n">
        <f aca="false">ROUND((D481-$D$5)*86400,2)</f>
        <v>77.53</v>
      </c>
      <c r="F481" s="17" t="n">
        <v>1567</v>
      </c>
      <c r="G481" s="16" t="str">
        <f aca="false">IF(INDEX(選手一覧!$D$7:$D$2738,$F481)="","",INDEX(選手一覧!$D$7:$D$2738,$F481))</f>
        <v/>
      </c>
      <c r="H481" s="17" t="str">
        <f aca="false">IF(INDEX(選手一覧!$E$7:$E$2738,$F481)="","",INDEX(選手一覧!$E$7:$E$2738,$F481))</f>
        <v/>
      </c>
      <c r="I481" s="16" t="str">
        <f aca="false">IF(INDEX(選手一覧!$J$7:$J$2738,$F481)="","",INDEX(選手一覧!$J$7:$J$2738,$F481))</f>
        <v/>
      </c>
      <c r="J481" s="17" t="str">
        <f aca="false">IF(INDEX(選手一覧!$K$7:$K$2738,$F481)="","",INDEX(選手一覧!$K$7:$K$2738,$F481))</f>
        <v/>
      </c>
    </row>
    <row r="482" customFormat="false" ht="15" hidden="false" customHeight="false" outlineLevel="0" collapsed="false">
      <c r="A482" s="17" t="n">
        <v>478</v>
      </c>
      <c r="B482" s="12" t="s">
        <v>2458</v>
      </c>
      <c r="C482" s="12" t="s">
        <v>589</v>
      </c>
      <c r="D482" s="16" t="n">
        <v>0.00713900462962963</v>
      </c>
      <c r="E482" s="15" t="n">
        <f aca="false">ROUND((D482-$D$5)*86400,2)</f>
        <v>77.79</v>
      </c>
      <c r="F482" s="17" t="n">
        <v>1569</v>
      </c>
      <c r="G482" s="16" t="str">
        <f aca="false">IF(INDEX(選手一覧!$D$7:$D$2738,$F482)="","",INDEX(選手一覧!$D$7:$D$2738,$F482))</f>
        <v/>
      </c>
      <c r="H482" s="17" t="str">
        <f aca="false">IF(INDEX(選手一覧!$E$7:$E$2738,$F482)="","",INDEX(選手一覧!$E$7:$E$2738,$F482))</f>
        <v/>
      </c>
      <c r="I482" s="16" t="str">
        <f aca="false">IF(INDEX(選手一覧!$J$7:$J$2738,$F482)="","",INDEX(選手一覧!$J$7:$J$2738,$F482))</f>
        <v/>
      </c>
      <c r="J482" s="17" t="str">
        <f aca="false">IF(INDEX(選手一覧!$K$7:$K$2738,$F482)="","",INDEX(選手一覧!$K$7:$K$2738,$F482))</f>
        <v/>
      </c>
    </row>
    <row r="483" customFormat="false" ht="15" hidden="false" customHeight="false" outlineLevel="0" collapsed="false">
      <c r="A483" s="17" t="n">
        <v>479</v>
      </c>
      <c r="B483" s="12" t="s">
        <v>2459</v>
      </c>
      <c r="C483" s="12" t="s">
        <v>463</v>
      </c>
      <c r="D483" s="16" t="n">
        <v>0.00713900462962963</v>
      </c>
      <c r="E483" s="15" t="n">
        <f aca="false">ROUND((D483-$D$5)*86400,2)</f>
        <v>77.79</v>
      </c>
      <c r="F483" s="17" t="n">
        <v>1570</v>
      </c>
      <c r="G483" s="16" t="str">
        <f aca="false">IF(INDEX(選手一覧!$D$7:$D$2738,$F483)="","",INDEX(選手一覧!$D$7:$D$2738,$F483))</f>
        <v/>
      </c>
      <c r="H483" s="17" t="str">
        <f aca="false">IF(INDEX(選手一覧!$E$7:$E$2738,$F483)="","",INDEX(選手一覧!$E$7:$E$2738,$F483))</f>
        <v/>
      </c>
      <c r="I483" s="16" t="str">
        <f aca="false">IF(INDEX(選手一覧!$J$7:$J$2738,$F483)="","",INDEX(選手一覧!$J$7:$J$2738,$F483))</f>
        <v/>
      </c>
      <c r="J483" s="17" t="str">
        <f aca="false">IF(INDEX(選手一覧!$K$7:$K$2738,$F483)="","",INDEX(選手一覧!$K$7:$K$2738,$F483))</f>
        <v/>
      </c>
    </row>
    <row r="484" customFormat="false" ht="15" hidden="false" customHeight="false" outlineLevel="0" collapsed="false">
      <c r="A484" s="17" t="n">
        <v>480</v>
      </c>
      <c r="B484" s="12" t="s">
        <v>2461</v>
      </c>
      <c r="C484" s="12" t="s">
        <v>2462</v>
      </c>
      <c r="D484" s="16" t="n">
        <v>0.00713969907407407</v>
      </c>
      <c r="E484" s="15" t="n">
        <f aca="false">ROUND((D484-$D$5)*86400,2)</f>
        <v>77.85</v>
      </c>
      <c r="F484" s="17" t="n">
        <v>1571</v>
      </c>
      <c r="G484" s="16" t="str">
        <f aca="false">IF(INDEX(選手一覧!$D$7:$D$2738,$F484)="","",INDEX(選手一覧!$D$7:$D$2738,$F484))</f>
        <v/>
      </c>
      <c r="H484" s="17" t="str">
        <f aca="false">IF(INDEX(選手一覧!$E$7:$E$2738,$F484)="","",INDEX(選手一覧!$E$7:$E$2738,$F484))</f>
        <v/>
      </c>
      <c r="I484" s="16" t="str">
        <f aca="false">IF(INDEX(選手一覧!$J$7:$J$2738,$F484)="","",INDEX(選手一覧!$J$7:$J$2738,$F484))</f>
        <v/>
      </c>
      <c r="J484" s="17" t="str">
        <f aca="false">IF(INDEX(選手一覧!$K$7:$K$2738,$F484)="","",INDEX(選手一覧!$K$7:$K$2738,$F484))</f>
        <v/>
      </c>
    </row>
    <row r="485" customFormat="false" ht="15" hidden="false" customHeight="false" outlineLevel="0" collapsed="false">
      <c r="A485" s="17" t="n">
        <v>481</v>
      </c>
      <c r="B485" s="12" t="s">
        <v>2464</v>
      </c>
      <c r="C485" s="12" t="s">
        <v>2465</v>
      </c>
      <c r="D485" s="16" t="n">
        <v>0.00713993055555556</v>
      </c>
      <c r="E485" s="15" t="n">
        <f aca="false">ROUND((D485-$D$5)*86400,2)</f>
        <v>77.87</v>
      </c>
      <c r="F485" s="17" t="n">
        <v>1573</v>
      </c>
      <c r="G485" s="16" t="str">
        <f aca="false">IF(INDEX(選手一覧!$D$7:$D$2738,$F485)="","",INDEX(選手一覧!$D$7:$D$2738,$F485))</f>
        <v/>
      </c>
      <c r="H485" s="17" t="str">
        <f aca="false">IF(INDEX(選手一覧!$E$7:$E$2738,$F485)="","",INDEX(選手一覧!$E$7:$E$2738,$F485))</f>
        <v/>
      </c>
      <c r="I485" s="16" t="str">
        <f aca="false">IF(INDEX(選手一覧!$J$7:$J$2738,$F485)="","",INDEX(選手一覧!$J$7:$J$2738,$F485))</f>
        <v/>
      </c>
      <c r="J485" s="17" t="str">
        <f aca="false">IF(INDEX(選手一覧!$K$7:$K$2738,$F485)="","",INDEX(選手一覧!$K$7:$K$2738,$F485))</f>
        <v/>
      </c>
    </row>
    <row r="486" customFormat="false" ht="15" hidden="false" customHeight="false" outlineLevel="0" collapsed="false">
      <c r="A486" s="17" t="n">
        <v>482</v>
      </c>
      <c r="B486" s="12" t="s">
        <v>2468</v>
      </c>
      <c r="C486" s="12" t="s">
        <v>195</v>
      </c>
      <c r="D486" s="16" t="n">
        <v>0.00714247685185185</v>
      </c>
      <c r="E486" s="15" t="n">
        <f aca="false">ROUND((D486-$D$5)*86400,2)</f>
        <v>78.09</v>
      </c>
      <c r="F486" s="17" t="n">
        <v>1575</v>
      </c>
      <c r="G486" s="16" t="str">
        <f aca="false">IF(INDEX(選手一覧!$D$7:$D$2738,$F486)="","",INDEX(選手一覧!$D$7:$D$2738,$F486))</f>
        <v/>
      </c>
      <c r="H486" s="17" t="str">
        <f aca="false">IF(INDEX(選手一覧!$E$7:$E$2738,$F486)="","",INDEX(選手一覧!$E$7:$E$2738,$F486))</f>
        <v/>
      </c>
      <c r="I486" s="16" t="str">
        <f aca="false">IF(INDEX(選手一覧!$J$7:$J$2738,$F486)="","",INDEX(選手一覧!$J$7:$J$2738,$F486))</f>
        <v/>
      </c>
      <c r="J486" s="17" t="str">
        <f aca="false">IF(INDEX(選手一覧!$K$7:$K$2738,$F486)="","",INDEX(選手一覧!$K$7:$K$2738,$F486))</f>
        <v/>
      </c>
    </row>
    <row r="487" customFormat="false" ht="15" hidden="false" customHeight="false" outlineLevel="0" collapsed="false">
      <c r="A487" s="17" t="n">
        <v>483</v>
      </c>
      <c r="B487" s="12" t="s">
        <v>2469</v>
      </c>
      <c r="C487" s="12" t="s">
        <v>2470</v>
      </c>
      <c r="D487" s="16" t="n">
        <v>0.00714467592592593</v>
      </c>
      <c r="E487" s="15" t="n">
        <f aca="false">ROUND((D487-$D$5)*86400,2)</f>
        <v>78.28</v>
      </c>
      <c r="F487" s="17" t="n">
        <v>1576</v>
      </c>
      <c r="G487" s="16" t="str">
        <f aca="false">IF(INDEX(選手一覧!$D$7:$D$2738,$F487)="","",INDEX(選手一覧!$D$7:$D$2738,$F487))</f>
        <v/>
      </c>
      <c r="H487" s="17" t="str">
        <f aca="false">IF(INDEX(選手一覧!$E$7:$E$2738,$F487)="","",INDEX(選手一覧!$E$7:$E$2738,$F487))</f>
        <v/>
      </c>
      <c r="I487" s="16" t="str">
        <f aca="false">IF(INDEX(選手一覧!$J$7:$J$2738,$F487)="","",INDEX(選手一覧!$J$7:$J$2738,$F487))</f>
        <v/>
      </c>
      <c r="J487" s="17" t="str">
        <f aca="false">IF(INDEX(選手一覧!$K$7:$K$2738,$F487)="","",INDEX(選手一覧!$K$7:$K$2738,$F487))</f>
        <v/>
      </c>
    </row>
    <row r="488" customFormat="false" ht="15" hidden="false" customHeight="false" outlineLevel="0" collapsed="false">
      <c r="A488" s="17" t="n">
        <v>484</v>
      </c>
      <c r="B488" s="12" t="s">
        <v>2471</v>
      </c>
      <c r="C488" s="12" t="s">
        <v>165</v>
      </c>
      <c r="D488" s="16" t="n">
        <v>0.0071474537037037</v>
      </c>
      <c r="E488" s="15" t="n">
        <f aca="false">ROUND((D488-$D$5)*86400,2)</f>
        <v>78.52</v>
      </c>
      <c r="F488" s="17" t="n">
        <v>1577</v>
      </c>
      <c r="G488" s="16" t="str">
        <f aca="false">IF(INDEX(選手一覧!$D$7:$D$2738,$F488)="","",INDEX(選手一覧!$D$7:$D$2738,$F488))</f>
        <v/>
      </c>
      <c r="H488" s="17" t="str">
        <f aca="false">IF(INDEX(選手一覧!$E$7:$E$2738,$F488)="","",INDEX(選手一覧!$E$7:$E$2738,$F488))</f>
        <v/>
      </c>
      <c r="I488" s="16" t="str">
        <f aca="false">IF(INDEX(選手一覧!$J$7:$J$2738,$F488)="","",INDEX(選手一覧!$J$7:$J$2738,$F488))</f>
        <v/>
      </c>
      <c r="J488" s="17" t="str">
        <f aca="false">IF(INDEX(選手一覧!$K$7:$K$2738,$F488)="","",INDEX(選手一覧!$K$7:$K$2738,$F488))</f>
        <v/>
      </c>
    </row>
    <row r="489" customFormat="false" ht="15" hidden="false" customHeight="false" outlineLevel="0" collapsed="false">
      <c r="A489" s="17" t="n">
        <v>485</v>
      </c>
      <c r="B489" s="12" t="s">
        <v>2474</v>
      </c>
      <c r="C489" s="12" t="s">
        <v>1409</v>
      </c>
      <c r="D489" s="16" t="n">
        <v>0.00714826388888889</v>
      </c>
      <c r="E489" s="15" t="n">
        <f aca="false">ROUND((D489-$D$5)*86400,2)</f>
        <v>78.59</v>
      </c>
      <c r="F489" s="17" t="n">
        <v>1579</v>
      </c>
      <c r="G489" s="16" t="str">
        <f aca="false">IF(INDEX(選手一覧!$D$7:$D$2738,$F489)="","",INDEX(選手一覧!$D$7:$D$2738,$F489))</f>
        <v/>
      </c>
      <c r="H489" s="17" t="str">
        <f aca="false">IF(INDEX(選手一覧!$E$7:$E$2738,$F489)="","",INDEX(選手一覧!$E$7:$E$2738,$F489))</f>
        <v/>
      </c>
      <c r="I489" s="16" t="str">
        <f aca="false">IF(INDEX(選手一覧!$J$7:$J$2738,$F489)="","",INDEX(選手一覧!$J$7:$J$2738,$F489))</f>
        <v/>
      </c>
      <c r="J489" s="17" t="str">
        <f aca="false">IF(INDEX(選手一覧!$K$7:$K$2738,$F489)="","",INDEX(選手一覧!$K$7:$K$2738,$F489))</f>
        <v/>
      </c>
    </row>
    <row r="490" customFormat="false" ht="15" hidden="false" customHeight="false" outlineLevel="0" collapsed="false">
      <c r="A490" s="17" t="n">
        <v>486</v>
      </c>
      <c r="B490" s="12" t="s">
        <v>2475</v>
      </c>
      <c r="C490" s="12" t="s">
        <v>195</v>
      </c>
      <c r="D490" s="16" t="n">
        <v>0.00714861111111111</v>
      </c>
      <c r="E490" s="15" t="n">
        <f aca="false">ROUND((D490-$D$5)*86400,2)</f>
        <v>78.62</v>
      </c>
      <c r="F490" s="17" t="n">
        <v>1580</v>
      </c>
      <c r="G490" s="16" t="str">
        <f aca="false">IF(INDEX(選手一覧!$D$7:$D$2738,$F490)="","",INDEX(選手一覧!$D$7:$D$2738,$F490))</f>
        <v/>
      </c>
      <c r="H490" s="17" t="str">
        <f aca="false">IF(INDEX(選手一覧!$E$7:$E$2738,$F490)="","",INDEX(選手一覧!$E$7:$E$2738,$F490))</f>
        <v/>
      </c>
      <c r="I490" s="16" t="str">
        <f aca="false">IF(INDEX(選手一覧!$J$7:$J$2738,$F490)="","",INDEX(選手一覧!$J$7:$J$2738,$F490))</f>
        <v/>
      </c>
      <c r="J490" s="17" t="str">
        <f aca="false">IF(INDEX(選手一覧!$K$7:$K$2738,$F490)="","",INDEX(選手一覧!$K$7:$K$2738,$F490))</f>
        <v/>
      </c>
    </row>
    <row r="491" customFormat="false" ht="15" hidden="false" customHeight="false" outlineLevel="0" collapsed="false">
      <c r="A491" s="17" t="n">
        <v>487</v>
      </c>
      <c r="B491" s="12" t="s">
        <v>2476</v>
      </c>
      <c r="C491" s="12" t="s">
        <v>273</v>
      </c>
      <c r="D491" s="16" t="n">
        <v>0.00714872685185185</v>
      </c>
      <c r="E491" s="15" t="n">
        <f aca="false">ROUND((D491-$D$5)*86400,2)</f>
        <v>78.63</v>
      </c>
      <c r="F491" s="17" t="n">
        <v>1581</v>
      </c>
      <c r="G491" s="16" t="str">
        <f aca="false">IF(INDEX(選手一覧!$D$7:$D$2738,$F491)="","",INDEX(選手一覧!$D$7:$D$2738,$F491))</f>
        <v/>
      </c>
      <c r="H491" s="17" t="str">
        <f aca="false">IF(INDEX(選手一覧!$E$7:$E$2738,$F491)="","",INDEX(選手一覧!$E$7:$E$2738,$F491))</f>
        <v/>
      </c>
      <c r="I491" s="16" t="str">
        <f aca="false">IF(INDEX(選手一覧!$J$7:$J$2738,$F491)="","",INDEX(選手一覧!$J$7:$J$2738,$F491))</f>
        <v/>
      </c>
      <c r="J491" s="17" t="str">
        <f aca="false">IF(INDEX(選手一覧!$K$7:$K$2738,$F491)="","",INDEX(選手一覧!$K$7:$K$2738,$F491))</f>
        <v/>
      </c>
    </row>
    <row r="492" customFormat="false" ht="15" hidden="false" customHeight="false" outlineLevel="0" collapsed="false">
      <c r="A492" s="17" t="n">
        <v>488</v>
      </c>
      <c r="B492" s="12" t="s">
        <v>2478</v>
      </c>
      <c r="C492" s="12" t="s">
        <v>2479</v>
      </c>
      <c r="D492" s="16" t="n">
        <v>0.00714895833333333</v>
      </c>
      <c r="E492" s="15" t="n">
        <f aca="false">ROUND((D492-$D$5)*86400,2)</f>
        <v>78.65</v>
      </c>
      <c r="F492" s="17" t="n">
        <v>1583</v>
      </c>
      <c r="G492" s="16" t="str">
        <f aca="false">IF(INDEX(選手一覧!$D$7:$D$2738,$F492)="","",INDEX(選手一覧!$D$7:$D$2738,$F492))</f>
        <v/>
      </c>
      <c r="H492" s="17" t="str">
        <f aca="false">IF(INDEX(選手一覧!$E$7:$E$2738,$F492)="","",INDEX(選手一覧!$E$7:$E$2738,$F492))</f>
        <v/>
      </c>
      <c r="I492" s="16" t="str">
        <f aca="false">IF(INDEX(選手一覧!$J$7:$J$2738,$F492)="","",INDEX(選手一覧!$J$7:$J$2738,$F492))</f>
        <v/>
      </c>
      <c r="J492" s="17" t="str">
        <f aca="false">IF(INDEX(選手一覧!$K$7:$K$2738,$F492)="","",INDEX(選手一覧!$K$7:$K$2738,$F492))</f>
        <v/>
      </c>
    </row>
    <row r="493" customFormat="false" ht="15" hidden="false" customHeight="false" outlineLevel="0" collapsed="false">
      <c r="A493" s="17" t="n">
        <v>489</v>
      </c>
      <c r="B493" s="12" t="s">
        <v>2482</v>
      </c>
      <c r="C493" s="12" t="s">
        <v>2483</v>
      </c>
      <c r="D493" s="16" t="n">
        <v>0.00715034722222222</v>
      </c>
      <c r="E493" s="15" t="n">
        <f aca="false">ROUND((D493-$D$5)*86400,2)</f>
        <v>78.77</v>
      </c>
      <c r="F493" s="17" t="n">
        <v>1585</v>
      </c>
      <c r="G493" s="16" t="str">
        <f aca="false">IF(INDEX(選手一覧!$D$7:$D$2738,$F493)="","",INDEX(選手一覧!$D$7:$D$2738,$F493))</f>
        <v/>
      </c>
      <c r="H493" s="17" t="str">
        <f aca="false">IF(INDEX(選手一覧!$E$7:$E$2738,$F493)="","",INDEX(選手一覧!$E$7:$E$2738,$F493))</f>
        <v/>
      </c>
      <c r="I493" s="16" t="str">
        <f aca="false">IF(INDEX(選手一覧!$J$7:$J$2738,$F493)="","",INDEX(選手一覧!$J$7:$J$2738,$F493))</f>
        <v/>
      </c>
      <c r="J493" s="17" t="str">
        <f aca="false">IF(INDEX(選手一覧!$K$7:$K$2738,$F493)="","",INDEX(選手一覧!$K$7:$K$2738,$F493))</f>
        <v/>
      </c>
    </row>
    <row r="494" customFormat="false" ht="15" hidden="false" customHeight="false" outlineLevel="0" collapsed="false">
      <c r="A494" s="17" t="n">
        <v>490</v>
      </c>
      <c r="B494" s="12" t="s">
        <v>2484</v>
      </c>
      <c r="C494" s="12" t="s">
        <v>2485</v>
      </c>
      <c r="D494" s="16" t="n">
        <v>0.00715335648148148</v>
      </c>
      <c r="E494" s="15" t="n">
        <f aca="false">ROUND((D494-$D$5)*86400,2)</f>
        <v>79.03</v>
      </c>
      <c r="F494" s="17" t="n">
        <v>1586</v>
      </c>
      <c r="G494" s="16" t="str">
        <f aca="false">IF(INDEX(選手一覧!$D$7:$D$2738,$F494)="","",INDEX(選手一覧!$D$7:$D$2738,$F494))</f>
        <v/>
      </c>
      <c r="H494" s="17" t="str">
        <f aca="false">IF(INDEX(選手一覧!$E$7:$E$2738,$F494)="","",INDEX(選手一覧!$E$7:$E$2738,$F494))</f>
        <v/>
      </c>
      <c r="I494" s="16" t="str">
        <f aca="false">IF(INDEX(選手一覧!$J$7:$J$2738,$F494)="","",INDEX(選手一覧!$J$7:$J$2738,$F494))</f>
        <v/>
      </c>
      <c r="J494" s="17" t="str">
        <f aca="false">IF(INDEX(選手一覧!$K$7:$K$2738,$F494)="","",INDEX(選手一覧!$K$7:$K$2738,$F494))</f>
        <v/>
      </c>
    </row>
    <row r="495" customFormat="false" ht="15" hidden="false" customHeight="false" outlineLevel="0" collapsed="false">
      <c r="A495" s="17" t="n">
        <v>491</v>
      </c>
      <c r="B495" s="12" t="s">
        <v>682</v>
      </c>
      <c r="C495" s="12" t="s">
        <v>532</v>
      </c>
      <c r="D495" s="16" t="n">
        <v>0.00715509259259259</v>
      </c>
      <c r="E495" s="15" t="n">
        <f aca="false">ROUND((D495-$D$5)*86400,2)</f>
        <v>79.18</v>
      </c>
      <c r="F495" s="17" t="n">
        <v>375</v>
      </c>
      <c r="G495" s="16" t="n">
        <f aca="false">IF(INDEX(選手一覧!$D$7:$D$2738,$F495)="","",INDEX(選手一覧!$D$7:$D$2738,$F495))</f>
        <v>0.0105346064814815</v>
      </c>
      <c r="H495" s="17" t="n">
        <f aca="false">IF(INDEX(選手一覧!$E$7:$E$2738,$F495)="","",INDEX(選手一覧!$E$7:$E$2738,$F495))</f>
        <v>376</v>
      </c>
      <c r="I495" s="16" t="n">
        <f aca="false">IF(INDEX(選手一覧!$J$7:$J$2738,$F495)="","",INDEX(選手一覧!$J$7:$J$2738,$F495))</f>
        <v>0.00291921296296296</v>
      </c>
      <c r="J495" s="17" t="n">
        <f aca="false">IF(INDEX(選手一覧!$K$7:$K$2738,$F495)="","",INDEX(選手一覧!$K$7:$K$2738,$F495))</f>
        <v>1085</v>
      </c>
    </row>
    <row r="496" customFormat="false" ht="15" hidden="false" customHeight="false" outlineLevel="0" collapsed="false">
      <c r="A496" s="17" t="n">
        <v>492</v>
      </c>
      <c r="B496" s="12" t="s">
        <v>2486</v>
      </c>
      <c r="C496" s="12" t="s">
        <v>2487</v>
      </c>
      <c r="D496" s="16" t="n">
        <v>0.00715613425925926</v>
      </c>
      <c r="E496" s="15" t="n">
        <f aca="false">ROUND((D496-$D$5)*86400,2)</f>
        <v>79.27</v>
      </c>
      <c r="F496" s="17" t="n">
        <v>1587</v>
      </c>
      <c r="G496" s="16" t="str">
        <f aca="false">IF(INDEX(選手一覧!$D$7:$D$2738,$F496)="","",INDEX(選手一覧!$D$7:$D$2738,$F496))</f>
        <v/>
      </c>
      <c r="H496" s="17" t="str">
        <f aca="false">IF(INDEX(選手一覧!$E$7:$E$2738,$F496)="","",INDEX(選手一覧!$E$7:$E$2738,$F496))</f>
        <v/>
      </c>
      <c r="I496" s="16" t="str">
        <f aca="false">IF(INDEX(選手一覧!$J$7:$J$2738,$F496)="","",INDEX(選手一覧!$J$7:$J$2738,$F496))</f>
        <v/>
      </c>
      <c r="J496" s="17" t="str">
        <f aca="false">IF(INDEX(選手一覧!$K$7:$K$2738,$F496)="","",INDEX(選手一覧!$K$7:$K$2738,$F496))</f>
        <v/>
      </c>
    </row>
    <row r="497" customFormat="false" ht="15" hidden="false" customHeight="false" outlineLevel="0" collapsed="false">
      <c r="A497" s="17" t="n">
        <v>493</v>
      </c>
      <c r="B497" s="12" t="s">
        <v>2488</v>
      </c>
      <c r="C497" s="12" t="s">
        <v>2489</v>
      </c>
      <c r="D497" s="16" t="n">
        <v>0.00715671296296296</v>
      </c>
      <c r="E497" s="15" t="n">
        <f aca="false">ROUND((D497-$D$5)*86400,2)</f>
        <v>79.32</v>
      </c>
      <c r="F497" s="17" t="n">
        <v>1588</v>
      </c>
      <c r="G497" s="16" t="str">
        <f aca="false">IF(INDEX(選手一覧!$D$7:$D$2738,$F497)="","",INDEX(選手一覧!$D$7:$D$2738,$F497))</f>
        <v/>
      </c>
      <c r="H497" s="17" t="str">
        <f aca="false">IF(INDEX(選手一覧!$E$7:$E$2738,$F497)="","",INDEX(選手一覧!$E$7:$E$2738,$F497))</f>
        <v/>
      </c>
      <c r="I497" s="16" t="str">
        <f aca="false">IF(INDEX(選手一覧!$J$7:$J$2738,$F497)="","",INDEX(選手一覧!$J$7:$J$2738,$F497))</f>
        <v/>
      </c>
      <c r="J497" s="17" t="str">
        <f aca="false">IF(INDEX(選手一覧!$K$7:$K$2738,$F497)="","",INDEX(選手一覧!$K$7:$K$2738,$F497))</f>
        <v/>
      </c>
    </row>
    <row r="498" customFormat="false" ht="15" hidden="false" customHeight="false" outlineLevel="0" collapsed="false">
      <c r="A498" s="17" t="n">
        <v>494</v>
      </c>
      <c r="B498" s="12" t="s">
        <v>1924</v>
      </c>
      <c r="C498" s="12" t="s">
        <v>544</v>
      </c>
      <c r="D498" s="16" t="n">
        <v>0.00715798611111111</v>
      </c>
      <c r="E498" s="15" t="n">
        <f aca="false">ROUND((D498-$D$5)*86400,2)</f>
        <v>79.43</v>
      </c>
      <c r="F498" s="17" t="n">
        <v>1202</v>
      </c>
      <c r="G498" s="16" t="n">
        <f aca="false">IF(INDEX(選手一覧!$D$7:$D$2738,$F498)="","",INDEX(選手一覧!$D$7:$D$2738,$F498))</f>
        <v>0.0110524305555556</v>
      </c>
      <c r="H498" s="17" t="n">
        <f aca="false">IF(INDEX(選手一覧!$E$7:$E$2738,$F498)="","",INDEX(選手一覧!$E$7:$E$2738,$F498))</f>
        <v>1203</v>
      </c>
      <c r="I498" s="16" t="n">
        <f aca="false">IF(INDEX(選手一覧!$J$7:$J$2738,$F498)="","",INDEX(選手一覧!$J$7:$J$2738,$F498))</f>
        <v>0.00292071759259259</v>
      </c>
      <c r="J498" s="17" t="n">
        <f aca="false">IF(INDEX(選手一覧!$K$7:$K$2738,$F498)="","",INDEX(選手一覧!$K$7:$K$2738,$F498))</f>
        <v>1107</v>
      </c>
    </row>
    <row r="499" customFormat="false" ht="15" hidden="false" customHeight="false" outlineLevel="0" collapsed="false">
      <c r="A499" s="17" t="n">
        <v>495</v>
      </c>
      <c r="B499" s="12" t="s">
        <v>1549</v>
      </c>
      <c r="C499" s="12" t="s">
        <v>1231</v>
      </c>
      <c r="D499" s="16" t="n">
        <v>0.00716053240740741</v>
      </c>
      <c r="E499" s="15" t="n">
        <f aca="false">ROUND((D499-$D$5)*86400,2)</f>
        <v>79.65</v>
      </c>
      <c r="F499" s="17" t="n">
        <v>946</v>
      </c>
      <c r="G499" s="16" t="n">
        <f aca="false">IF(INDEX(選手一覧!$D$7:$D$2738,$F499)="","",INDEX(選手一覧!$D$7:$D$2738,$F499))</f>
        <v>0.0109165509259259</v>
      </c>
      <c r="H499" s="17" t="n">
        <f aca="false">IF(INDEX(選手一覧!$E$7:$E$2738,$F499)="","",INDEX(選手一覧!$E$7:$E$2738,$F499))</f>
        <v>947</v>
      </c>
      <c r="I499" s="16" t="n">
        <f aca="false">IF(INDEX(選手一覧!$J$7:$J$2738,$F499)="","",INDEX(選手一覧!$J$7:$J$2738,$F499))</f>
        <v>0.00290625</v>
      </c>
      <c r="J499" s="17" t="n">
        <f aca="false">IF(INDEX(選手一覧!$K$7:$K$2738,$F499)="","",INDEX(選手一覧!$K$7:$K$2738,$F499))</f>
        <v>990</v>
      </c>
    </row>
    <row r="500" customFormat="false" ht="15" hidden="false" customHeight="false" outlineLevel="0" collapsed="false">
      <c r="A500" s="17" t="n">
        <v>496</v>
      </c>
      <c r="B500" s="12" t="s">
        <v>2490</v>
      </c>
      <c r="C500" s="12" t="s">
        <v>2491</v>
      </c>
      <c r="D500" s="16" t="n">
        <v>0.00716053240740741</v>
      </c>
      <c r="E500" s="15" t="n">
        <f aca="false">ROUND((D500-$D$5)*86400,2)</f>
        <v>79.65</v>
      </c>
      <c r="F500" s="17" t="n">
        <v>1589</v>
      </c>
      <c r="G500" s="16" t="str">
        <f aca="false">IF(INDEX(選手一覧!$D$7:$D$2738,$F500)="","",INDEX(選手一覧!$D$7:$D$2738,$F500))</f>
        <v/>
      </c>
      <c r="H500" s="17" t="str">
        <f aca="false">IF(INDEX(選手一覧!$E$7:$E$2738,$F500)="","",INDEX(選手一覧!$E$7:$E$2738,$F500))</f>
        <v/>
      </c>
      <c r="I500" s="16" t="str">
        <f aca="false">IF(INDEX(選手一覧!$J$7:$J$2738,$F500)="","",INDEX(選手一覧!$J$7:$J$2738,$F500))</f>
        <v/>
      </c>
      <c r="J500" s="17" t="str">
        <f aca="false">IF(INDEX(選手一覧!$K$7:$K$2738,$F500)="","",INDEX(選手一覧!$K$7:$K$2738,$F500))</f>
        <v/>
      </c>
    </row>
    <row r="501" customFormat="false" ht="15" hidden="false" customHeight="false" outlineLevel="0" collapsed="false">
      <c r="A501" s="17" t="n">
        <v>497</v>
      </c>
      <c r="B501" s="12" t="s">
        <v>1581</v>
      </c>
      <c r="C501" s="12" t="s">
        <v>757</v>
      </c>
      <c r="D501" s="16" t="n">
        <v>0.00716076388888889</v>
      </c>
      <c r="E501" s="15" t="n">
        <f aca="false">ROUND((D501-$D$5)*86400,2)</f>
        <v>79.67</v>
      </c>
      <c r="F501" s="17" t="n">
        <v>968</v>
      </c>
      <c r="G501" s="16" t="n">
        <f aca="false">IF(INDEX(選手一覧!$D$7:$D$2738,$F501)="","",INDEX(選手一覧!$D$7:$D$2738,$F501))</f>
        <v>0.0109320601851852</v>
      </c>
      <c r="H501" s="17" t="n">
        <f aca="false">IF(INDEX(選手一覧!$E$7:$E$2738,$F501)="","",INDEX(選手一覧!$E$7:$E$2738,$F501))</f>
        <v>969</v>
      </c>
      <c r="I501" s="16" t="str">
        <f aca="false">IF(INDEX(選手一覧!$J$7:$J$2738,$F501)="","",INDEX(選手一覧!$J$7:$J$2738,$F501))</f>
        <v/>
      </c>
      <c r="J501" s="17" t="str">
        <f aca="false">IF(INDEX(選手一覧!$K$7:$K$2738,$F501)="","",INDEX(選手一覧!$K$7:$K$2738,$F501))</f>
        <v/>
      </c>
    </row>
    <row r="502" customFormat="false" ht="15" hidden="false" customHeight="false" outlineLevel="0" collapsed="false">
      <c r="A502" s="17" t="n">
        <v>498</v>
      </c>
      <c r="B502" s="12" t="s">
        <v>2492</v>
      </c>
      <c r="C502" s="12" t="s">
        <v>1552</v>
      </c>
      <c r="D502" s="16" t="n">
        <v>0.0071630787037037</v>
      </c>
      <c r="E502" s="15" t="n">
        <f aca="false">ROUND((D502-$D$5)*86400,2)</f>
        <v>79.87</v>
      </c>
      <c r="F502" s="17" t="n">
        <v>1590</v>
      </c>
      <c r="G502" s="16" t="str">
        <f aca="false">IF(INDEX(選手一覧!$D$7:$D$2738,$F502)="","",INDEX(選手一覧!$D$7:$D$2738,$F502))</f>
        <v/>
      </c>
      <c r="H502" s="17" t="str">
        <f aca="false">IF(INDEX(選手一覧!$E$7:$E$2738,$F502)="","",INDEX(選手一覧!$E$7:$E$2738,$F502))</f>
        <v/>
      </c>
      <c r="I502" s="16" t="str">
        <f aca="false">IF(INDEX(選手一覧!$J$7:$J$2738,$F502)="","",INDEX(選手一覧!$J$7:$J$2738,$F502))</f>
        <v/>
      </c>
      <c r="J502" s="17" t="str">
        <f aca="false">IF(INDEX(選手一覧!$K$7:$K$2738,$F502)="","",INDEX(選手一覧!$K$7:$K$2738,$F502))</f>
        <v/>
      </c>
    </row>
    <row r="503" customFormat="false" ht="15" hidden="false" customHeight="false" outlineLevel="0" collapsed="false">
      <c r="A503" s="17" t="n">
        <v>499</v>
      </c>
      <c r="B503" s="12" t="s">
        <v>2493</v>
      </c>
      <c r="C503" s="12" t="s">
        <v>2494</v>
      </c>
      <c r="D503" s="16" t="n">
        <v>0.00716331018518519</v>
      </c>
      <c r="E503" s="15" t="n">
        <f aca="false">ROUND((D503-$D$5)*86400,2)</f>
        <v>79.89</v>
      </c>
      <c r="F503" s="17" t="n">
        <v>1591</v>
      </c>
      <c r="G503" s="16" t="str">
        <f aca="false">IF(INDEX(選手一覧!$D$7:$D$2738,$F503)="","",INDEX(選手一覧!$D$7:$D$2738,$F503))</f>
        <v/>
      </c>
      <c r="H503" s="17" t="str">
        <f aca="false">IF(INDEX(選手一覧!$E$7:$E$2738,$F503)="","",INDEX(選手一覧!$E$7:$E$2738,$F503))</f>
        <v/>
      </c>
      <c r="I503" s="16" t="str">
        <f aca="false">IF(INDEX(選手一覧!$J$7:$J$2738,$F503)="","",INDEX(選手一覧!$J$7:$J$2738,$F503))</f>
        <v/>
      </c>
      <c r="J503" s="17" t="str">
        <f aca="false">IF(INDEX(選手一覧!$K$7:$K$2738,$F503)="","",INDEX(選手一覧!$K$7:$K$2738,$F503))</f>
        <v/>
      </c>
    </row>
    <row r="504" customFormat="false" ht="15" hidden="false" customHeight="false" outlineLevel="0" collapsed="false">
      <c r="A504" s="17" t="n">
        <v>500</v>
      </c>
      <c r="B504" s="12" t="s">
        <v>2495</v>
      </c>
      <c r="C504" s="12" t="s">
        <v>2496</v>
      </c>
      <c r="D504" s="16" t="n">
        <v>0.00716354166666667</v>
      </c>
      <c r="E504" s="15" t="n">
        <f aca="false">ROUND((D504-$D$5)*86400,2)</f>
        <v>79.91</v>
      </c>
      <c r="F504" s="17" t="n">
        <v>1592</v>
      </c>
      <c r="G504" s="16" t="str">
        <f aca="false">IF(INDEX(選手一覧!$D$7:$D$2738,$F504)="","",INDEX(選手一覧!$D$7:$D$2738,$F504))</f>
        <v/>
      </c>
      <c r="H504" s="17" t="str">
        <f aca="false">IF(INDEX(選手一覧!$E$7:$E$2738,$F504)="","",INDEX(選手一覧!$E$7:$E$2738,$F504))</f>
        <v/>
      </c>
      <c r="I504" s="16" t="str">
        <f aca="false">IF(INDEX(選手一覧!$J$7:$J$2738,$F504)="","",INDEX(選手一覧!$J$7:$J$2738,$F504))</f>
        <v/>
      </c>
      <c r="J504" s="17" t="str">
        <f aca="false">IF(INDEX(選手一覧!$K$7:$K$2738,$F504)="","",INDEX(選手一覧!$K$7:$K$2738,$F504))</f>
        <v/>
      </c>
    </row>
    <row r="505" customFormat="false" ht="15" hidden="false" customHeight="false" outlineLevel="0" collapsed="false">
      <c r="A505" s="17" t="n">
        <v>501</v>
      </c>
      <c r="B505" s="12" t="s">
        <v>2497</v>
      </c>
      <c r="C505" s="12" t="s">
        <v>1491</v>
      </c>
      <c r="D505" s="16" t="n">
        <v>0.00716458333333333</v>
      </c>
      <c r="E505" s="15" t="n">
        <f aca="false">ROUND((D505-$D$5)*86400,2)</f>
        <v>80</v>
      </c>
      <c r="F505" s="17" t="n">
        <v>1593</v>
      </c>
      <c r="G505" s="16" t="str">
        <f aca="false">IF(INDEX(選手一覧!$D$7:$D$2738,$F505)="","",INDEX(選手一覧!$D$7:$D$2738,$F505))</f>
        <v/>
      </c>
      <c r="H505" s="17" t="str">
        <f aca="false">IF(INDEX(選手一覧!$E$7:$E$2738,$F505)="","",INDEX(選手一覧!$E$7:$E$2738,$F505))</f>
        <v/>
      </c>
      <c r="I505" s="16" t="str">
        <f aca="false">IF(INDEX(選手一覧!$J$7:$J$2738,$F505)="","",INDEX(選手一覧!$J$7:$J$2738,$F505))</f>
        <v/>
      </c>
      <c r="J505" s="17" t="str">
        <f aca="false">IF(INDEX(選手一覧!$K$7:$K$2738,$F505)="","",INDEX(選手一覧!$K$7:$K$2738,$F505))</f>
        <v/>
      </c>
    </row>
    <row r="506" customFormat="false" ht="15" hidden="false" customHeight="false" outlineLevel="0" collapsed="false">
      <c r="A506" s="17" t="n">
        <v>502</v>
      </c>
      <c r="B506" s="12" t="s">
        <v>2498</v>
      </c>
      <c r="C506" s="12" t="s">
        <v>1764</v>
      </c>
      <c r="D506" s="16" t="n">
        <v>0.00716724537037037</v>
      </c>
      <c r="E506" s="15" t="n">
        <f aca="false">ROUND((D506-$D$5)*86400,2)</f>
        <v>80.23</v>
      </c>
      <c r="F506" s="17" t="n">
        <v>1594</v>
      </c>
      <c r="G506" s="16" t="str">
        <f aca="false">IF(INDEX(選手一覧!$D$7:$D$2738,$F506)="","",INDEX(選手一覧!$D$7:$D$2738,$F506))</f>
        <v/>
      </c>
      <c r="H506" s="17" t="str">
        <f aca="false">IF(INDEX(選手一覧!$E$7:$E$2738,$F506)="","",INDEX(選手一覧!$E$7:$E$2738,$F506))</f>
        <v/>
      </c>
      <c r="I506" s="16" t="str">
        <f aca="false">IF(INDEX(選手一覧!$J$7:$J$2738,$F506)="","",INDEX(選手一覧!$J$7:$J$2738,$F506))</f>
        <v/>
      </c>
      <c r="J506" s="17" t="str">
        <f aca="false">IF(INDEX(選手一覧!$K$7:$K$2738,$F506)="","",INDEX(選手一覧!$K$7:$K$2738,$F506))</f>
        <v/>
      </c>
    </row>
    <row r="507" customFormat="false" ht="15" hidden="false" customHeight="false" outlineLevel="0" collapsed="false">
      <c r="A507" s="17" t="n">
        <v>503</v>
      </c>
      <c r="B507" s="12" t="s">
        <v>2499</v>
      </c>
      <c r="C507" s="12" t="s">
        <v>2500</v>
      </c>
      <c r="D507" s="16" t="n">
        <v>0.00716736111111111</v>
      </c>
      <c r="E507" s="15" t="n">
        <f aca="false">ROUND((D507-$D$5)*86400,2)</f>
        <v>80.24</v>
      </c>
      <c r="F507" s="17" t="n">
        <v>1595</v>
      </c>
      <c r="G507" s="16" t="str">
        <f aca="false">IF(INDEX(選手一覧!$D$7:$D$2738,$F507)="","",INDEX(選手一覧!$D$7:$D$2738,$F507))</f>
        <v/>
      </c>
      <c r="H507" s="17" t="str">
        <f aca="false">IF(INDEX(選手一覧!$E$7:$E$2738,$F507)="","",INDEX(選手一覧!$E$7:$E$2738,$F507))</f>
        <v/>
      </c>
      <c r="I507" s="16" t="str">
        <f aca="false">IF(INDEX(選手一覧!$J$7:$J$2738,$F507)="","",INDEX(選手一覧!$J$7:$J$2738,$F507))</f>
        <v/>
      </c>
      <c r="J507" s="17" t="str">
        <f aca="false">IF(INDEX(選手一覧!$K$7:$K$2738,$F507)="","",INDEX(選手一覧!$K$7:$K$2738,$F507))</f>
        <v/>
      </c>
    </row>
    <row r="508" customFormat="false" ht="15" hidden="false" customHeight="false" outlineLevel="0" collapsed="false">
      <c r="A508" s="17" t="n">
        <v>504</v>
      </c>
      <c r="B508" s="12" t="s">
        <v>2501</v>
      </c>
      <c r="C508" s="12" t="s">
        <v>2502</v>
      </c>
      <c r="D508" s="16" t="n">
        <v>0.00716782407407407</v>
      </c>
      <c r="E508" s="15" t="n">
        <f aca="false">ROUND((D508-$D$5)*86400,2)</f>
        <v>80.28</v>
      </c>
      <c r="F508" s="17" t="n">
        <v>1596</v>
      </c>
      <c r="G508" s="16" t="str">
        <f aca="false">IF(INDEX(選手一覧!$D$7:$D$2738,$F508)="","",INDEX(選手一覧!$D$7:$D$2738,$F508))</f>
        <v/>
      </c>
      <c r="H508" s="17" t="str">
        <f aca="false">IF(INDEX(選手一覧!$E$7:$E$2738,$F508)="","",INDEX(選手一覧!$E$7:$E$2738,$F508))</f>
        <v/>
      </c>
      <c r="I508" s="16" t="str">
        <f aca="false">IF(INDEX(選手一覧!$J$7:$J$2738,$F508)="","",INDEX(選手一覧!$J$7:$J$2738,$F508))</f>
        <v/>
      </c>
      <c r="J508" s="17" t="str">
        <f aca="false">IF(INDEX(選手一覧!$K$7:$K$2738,$F508)="","",INDEX(選手一覧!$K$7:$K$2738,$F508))</f>
        <v/>
      </c>
    </row>
    <row r="509" customFormat="false" ht="15" hidden="false" customHeight="false" outlineLevel="0" collapsed="false">
      <c r="A509" s="17" t="n">
        <v>505</v>
      </c>
      <c r="B509" s="12" t="s">
        <v>2503</v>
      </c>
      <c r="C509" s="12" t="s">
        <v>2504</v>
      </c>
      <c r="D509" s="16" t="n">
        <v>0.00716782407407407</v>
      </c>
      <c r="E509" s="15" t="n">
        <f aca="false">ROUND((D509-$D$5)*86400,2)</f>
        <v>80.28</v>
      </c>
      <c r="F509" s="17" t="n">
        <v>1597</v>
      </c>
      <c r="G509" s="16" t="str">
        <f aca="false">IF(INDEX(選手一覧!$D$7:$D$2738,$F509)="","",INDEX(選手一覧!$D$7:$D$2738,$F509))</f>
        <v/>
      </c>
      <c r="H509" s="17" t="str">
        <f aca="false">IF(INDEX(選手一覧!$E$7:$E$2738,$F509)="","",INDEX(選手一覧!$E$7:$E$2738,$F509))</f>
        <v/>
      </c>
      <c r="I509" s="16" t="str">
        <f aca="false">IF(INDEX(選手一覧!$J$7:$J$2738,$F509)="","",INDEX(選手一覧!$J$7:$J$2738,$F509))</f>
        <v/>
      </c>
      <c r="J509" s="17" t="str">
        <f aca="false">IF(INDEX(選手一覧!$K$7:$K$2738,$F509)="","",INDEX(選手一覧!$K$7:$K$2738,$F509))</f>
        <v/>
      </c>
    </row>
    <row r="510" customFormat="false" ht="15" hidden="false" customHeight="false" outlineLevel="0" collapsed="false">
      <c r="A510" s="17" t="n">
        <v>506</v>
      </c>
      <c r="B510" s="12" t="s">
        <v>2505</v>
      </c>
      <c r="C510" s="12" t="s">
        <v>1877</v>
      </c>
      <c r="D510" s="16" t="n">
        <v>0.00716886574074074</v>
      </c>
      <c r="E510" s="15" t="n">
        <f aca="false">ROUND((D510-$D$5)*86400,2)</f>
        <v>80.37</v>
      </c>
      <c r="F510" s="17" t="n">
        <v>1598</v>
      </c>
      <c r="G510" s="16" t="str">
        <f aca="false">IF(INDEX(選手一覧!$D$7:$D$2738,$F510)="","",INDEX(選手一覧!$D$7:$D$2738,$F510))</f>
        <v/>
      </c>
      <c r="H510" s="17" t="str">
        <f aca="false">IF(INDEX(選手一覧!$E$7:$E$2738,$F510)="","",INDEX(選手一覧!$E$7:$E$2738,$F510))</f>
        <v/>
      </c>
      <c r="I510" s="16" t="str">
        <f aca="false">IF(INDEX(選手一覧!$J$7:$J$2738,$F510)="","",INDEX(選手一覧!$J$7:$J$2738,$F510))</f>
        <v/>
      </c>
      <c r="J510" s="17" t="str">
        <f aca="false">IF(INDEX(選手一覧!$K$7:$K$2738,$F510)="","",INDEX(選手一覧!$K$7:$K$2738,$F510))</f>
        <v/>
      </c>
    </row>
    <row r="511" customFormat="false" ht="15" hidden="false" customHeight="false" outlineLevel="0" collapsed="false">
      <c r="A511" s="17" t="n">
        <v>507</v>
      </c>
      <c r="B511" s="12" t="s">
        <v>2506</v>
      </c>
      <c r="C511" s="12" t="s">
        <v>875</v>
      </c>
      <c r="D511" s="16" t="n">
        <v>0.00716898148148148</v>
      </c>
      <c r="E511" s="15" t="n">
        <f aca="false">ROUND((D511-$D$5)*86400,2)</f>
        <v>80.38</v>
      </c>
      <c r="F511" s="17" t="n">
        <v>1599</v>
      </c>
      <c r="G511" s="16" t="str">
        <f aca="false">IF(INDEX(選手一覧!$D$7:$D$2738,$F511)="","",INDEX(選手一覧!$D$7:$D$2738,$F511))</f>
        <v/>
      </c>
      <c r="H511" s="17" t="str">
        <f aca="false">IF(INDEX(選手一覧!$E$7:$E$2738,$F511)="","",INDEX(選手一覧!$E$7:$E$2738,$F511))</f>
        <v/>
      </c>
      <c r="I511" s="16" t="str">
        <f aca="false">IF(INDEX(選手一覧!$J$7:$J$2738,$F511)="","",INDEX(選手一覧!$J$7:$J$2738,$F511))</f>
        <v/>
      </c>
      <c r="J511" s="17" t="str">
        <f aca="false">IF(INDEX(選手一覧!$K$7:$K$2738,$F511)="","",INDEX(選手一覧!$K$7:$K$2738,$F511))</f>
        <v/>
      </c>
    </row>
    <row r="512" customFormat="false" ht="15" hidden="false" customHeight="false" outlineLevel="0" collapsed="false">
      <c r="A512" s="17" t="n">
        <v>508</v>
      </c>
      <c r="B512" s="12" t="s">
        <v>2508</v>
      </c>
      <c r="C512" s="12" t="s">
        <v>2509</v>
      </c>
      <c r="D512" s="16" t="n">
        <v>0.00716898148148148</v>
      </c>
      <c r="E512" s="15" t="n">
        <f aca="false">ROUND((D512-$D$5)*86400,2)</f>
        <v>80.38</v>
      </c>
      <c r="F512" s="17" t="n">
        <v>1600</v>
      </c>
      <c r="G512" s="16" t="str">
        <f aca="false">IF(INDEX(選手一覧!$D$7:$D$2738,$F512)="","",INDEX(選手一覧!$D$7:$D$2738,$F512))</f>
        <v/>
      </c>
      <c r="H512" s="17" t="str">
        <f aca="false">IF(INDEX(選手一覧!$E$7:$E$2738,$F512)="","",INDEX(選手一覧!$E$7:$E$2738,$F512))</f>
        <v/>
      </c>
      <c r="I512" s="16" t="str">
        <f aca="false">IF(INDEX(選手一覧!$J$7:$J$2738,$F512)="","",INDEX(選手一覧!$J$7:$J$2738,$F512))</f>
        <v/>
      </c>
      <c r="J512" s="17" t="str">
        <f aca="false">IF(INDEX(選手一覧!$K$7:$K$2738,$F512)="","",INDEX(選手一覧!$K$7:$K$2738,$F512))</f>
        <v/>
      </c>
    </row>
    <row r="513" customFormat="false" ht="15" hidden="false" customHeight="false" outlineLevel="0" collapsed="false">
      <c r="A513" s="17" t="n">
        <v>509</v>
      </c>
      <c r="B513" s="12" t="s">
        <v>1856</v>
      </c>
      <c r="C513" s="12" t="s">
        <v>1363</v>
      </c>
      <c r="D513" s="16" t="n">
        <v>0.00716990740740741</v>
      </c>
      <c r="E513" s="15" t="n">
        <f aca="false">ROUND((D513-$D$5)*86400,2)</f>
        <v>80.46</v>
      </c>
      <c r="F513" s="17" t="n">
        <v>1153</v>
      </c>
      <c r="G513" s="16" t="n">
        <f aca="false">IF(INDEX(選手一覧!$D$7:$D$2738,$F513)="","",INDEX(選手一覧!$D$7:$D$2738,$F513))</f>
        <v>0.0110311342592593</v>
      </c>
      <c r="H513" s="17" t="n">
        <f aca="false">IF(INDEX(選手一覧!$E$7:$E$2738,$F513)="","",INDEX(選手一覧!$E$7:$E$2738,$F513))</f>
        <v>1154</v>
      </c>
      <c r="I513" s="16" t="str">
        <f aca="false">IF(INDEX(選手一覧!$J$7:$J$2738,$F513)="","",INDEX(選手一覧!$J$7:$J$2738,$F513))</f>
        <v/>
      </c>
      <c r="J513" s="17" t="str">
        <f aca="false">IF(INDEX(選手一覧!$K$7:$K$2738,$F513)="","",INDEX(選手一覧!$K$7:$K$2738,$F513))</f>
        <v/>
      </c>
    </row>
    <row r="514" customFormat="false" ht="15" hidden="false" customHeight="false" outlineLevel="0" collapsed="false">
      <c r="A514" s="17" t="n">
        <v>510</v>
      </c>
      <c r="B514" s="12" t="s">
        <v>1194</v>
      </c>
      <c r="C514" s="12" t="s">
        <v>318</v>
      </c>
      <c r="D514" s="16" t="n">
        <v>0.00717002314814815</v>
      </c>
      <c r="E514" s="15" t="n">
        <f aca="false">ROUND((D514-$D$5)*86400,2)</f>
        <v>80.47</v>
      </c>
      <c r="F514" s="17" t="n">
        <v>709</v>
      </c>
      <c r="G514" s="16" t="n">
        <f aca="false">IF(INDEX(選手一覧!$D$7:$D$2738,$F514)="","",INDEX(選手一覧!$D$7:$D$2738,$F514))</f>
        <v>0.0107835648148148</v>
      </c>
      <c r="H514" s="17" t="n">
        <f aca="false">IF(INDEX(選手一覧!$E$7:$E$2738,$F514)="","",INDEX(選手一覧!$E$7:$E$2738,$F514))</f>
        <v>710</v>
      </c>
      <c r="I514" s="16" t="str">
        <f aca="false">IF(INDEX(選手一覧!$J$7:$J$2738,$F514)="","",INDEX(選手一覧!$J$7:$J$2738,$F514))</f>
        <v/>
      </c>
      <c r="J514" s="17" t="str">
        <f aca="false">IF(INDEX(選手一覧!$K$7:$K$2738,$F514)="","",INDEX(選手一覧!$K$7:$K$2738,$F514))</f>
        <v/>
      </c>
    </row>
    <row r="515" customFormat="false" ht="15" hidden="false" customHeight="false" outlineLevel="0" collapsed="false">
      <c r="A515" s="17" t="n">
        <v>511</v>
      </c>
      <c r="B515" s="12" t="s">
        <v>2511</v>
      </c>
      <c r="C515" s="12" t="s">
        <v>2512</v>
      </c>
      <c r="D515" s="16" t="n">
        <v>0.0071712962962963</v>
      </c>
      <c r="E515" s="15" t="n">
        <f aca="false">ROUND((D515-$D$5)*86400,2)</f>
        <v>80.58</v>
      </c>
      <c r="F515" s="17" t="n">
        <v>1602</v>
      </c>
      <c r="G515" s="16" t="str">
        <f aca="false">IF(INDEX(選手一覧!$D$7:$D$2738,$F515)="","",INDEX(選手一覧!$D$7:$D$2738,$F515))</f>
        <v/>
      </c>
      <c r="H515" s="17" t="str">
        <f aca="false">IF(INDEX(選手一覧!$E$7:$E$2738,$F515)="","",INDEX(選手一覧!$E$7:$E$2738,$F515))</f>
        <v/>
      </c>
      <c r="I515" s="16" t="str">
        <f aca="false">IF(INDEX(選手一覧!$J$7:$J$2738,$F515)="","",INDEX(選手一覧!$J$7:$J$2738,$F515))</f>
        <v/>
      </c>
      <c r="J515" s="17" t="str">
        <f aca="false">IF(INDEX(選手一覧!$K$7:$K$2738,$F515)="","",INDEX(選手一覧!$K$7:$K$2738,$F515))</f>
        <v/>
      </c>
    </row>
    <row r="516" customFormat="false" ht="15" hidden="false" customHeight="false" outlineLevel="0" collapsed="false">
      <c r="A516" s="17" t="n">
        <v>512</v>
      </c>
      <c r="B516" s="12" t="s">
        <v>1287</v>
      </c>
      <c r="C516" s="12" t="s">
        <v>788</v>
      </c>
      <c r="D516" s="16" t="n">
        <v>0.00717361111111111</v>
      </c>
      <c r="E516" s="15" t="n">
        <f aca="false">ROUND((D516-$D$5)*86400,2)</f>
        <v>80.78</v>
      </c>
      <c r="F516" s="17" t="n">
        <v>769</v>
      </c>
      <c r="G516" s="16" t="n">
        <f aca="false">IF(INDEX(選手一覧!$D$7:$D$2738,$F516)="","",INDEX(選手一覧!$D$7:$D$2738,$F516))</f>
        <v>0.0108146990740741</v>
      </c>
      <c r="H516" s="17" t="n">
        <f aca="false">IF(INDEX(選手一覧!$E$7:$E$2738,$F516)="","",INDEX(選手一覧!$E$7:$E$2738,$F516))</f>
        <v>770</v>
      </c>
      <c r="I516" s="16" t="str">
        <f aca="false">IF(INDEX(選手一覧!$J$7:$J$2738,$F516)="","",INDEX(選手一覧!$J$7:$J$2738,$F516))</f>
        <v/>
      </c>
      <c r="J516" s="17" t="str">
        <f aca="false">IF(INDEX(選手一覧!$K$7:$K$2738,$F516)="","",INDEX(選手一覧!$K$7:$K$2738,$F516))</f>
        <v/>
      </c>
    </row>
    <row r="517" customFormat="false" ht="15" hidden="false" customHeight="false" outlineLevel="0" collapsed="false">
      <c r="A517" s="17" t="n">
        <v>513</v>
      </c>
      <c r="B517" s="12" t="s">
        <v>2515</v>
      </c>
      <c r="C517" s="12" t="s">
        <v>1342</v>
      </c>
      <c r="D517" s="16" t="n">
        <v>0.00717604166666667</v>
      </c>
      <c r="E517" s="15" t="n">
        <f aca="false">ROUND((D517-$D$5)*86400,2)</f>
        <v>80.99</v>
      </c>
      <c r="F517" s="17" t="n">
        <v>1604</v>
      </c>
      <c r="G517" s="16" t="str">
        <f aca="false">IF(INDEX(選手一覧!$D$7:$D$2738,$F517)="","",INDEX(選手一覧!$D$7:$D$2738,$F517))</f>
        <v/>
      </c>
      <c r="H517" s="17" t="str">
        <f aca="false">IF(INDEX(選手一覧!$E$7:$E$2738,$F517)="","",INDEX(選手一覧!$E$7:$E$2738,$F517))</f>
        <v/>
      </c>
      <c r="I517" s="16" t="str">
        <f aca="false">IF(INDEX(選手一覧!$J$7:$J$2738,$F517)="","",INDEX(選手一覧!$J$7:$J$2738,$F517))</f>
        <v/>
      </c>
      <c r="J517" s="17" t="str">
        <f aca="false">IF(INDEX(選手一覧!$K$7:$K$2738,$F517)="","",INDEX(選手一覧!$K$7:$K$2738,$F517))</f>
        <v/>
      </c>
    </row>
    <row r="518" customFormat="false" ht="15" hidden="false" customHeight="false" outlineLevel="0" collapsed="false">
      <c r="A518" s="17" t="n">
        <v>514</v>
      </c>
      <c r="B518" s="12" t="s">
        <v>2516</v>
      </c>
      <c r="C518" s="12" t="s">
        <v>2517</v>
      </c>
      <c r="D518" s="16" t="n">
        <v>0.0071775462962963</v>
      </c>
      <c r="E518" s="15" t="n">
        <f aca="false">ROUND((D518-$D$5)*86400,2)</f>
        <v>81.12</v>
      </c>
      <c r="F518" s="17" t="n">
        <v>1605</v>
      </c>
      <c r="G518" s="16" t="str">
        <f aca="false">IF(INDEX(選手一覧!$D$7:$D$2738,$F518)="","",INDEX(選手一覧!$D$7:$D$2738,$F518))</f>
        <v/>
      </c>
      <c r="H518" s="17" t="str">
        <f aca="false">IF(INDEX(選手一覧!$E$7:$E$2738,$F518)="","",INDEX(選手一覧!$E$7:$E$2738,$F518))</f>
        <v/>
      </c>
      <c r="I518" s="16" t="str">
        <f aca="false">IF(INDEX(選手一覧!$J$7:$J$2738,$F518)="","",INDEX(選手一覧!$J$7:$J$2738,$F518))</f>
        <v/>
      </c>
      <c r="J518" s="17" t="str">
        <f aca="false">IF(INDEX(選手一覧!$K$7:$K$2738,$F518)="","",INDEX(選手一覧!$K$7:$K$2738,$F518))</f>
        <v/>
      </c>
    </row>
    <row r="519" customFormat="false" ht="15" hidden="false" customHeight="false" outlineLevel="0" collapsed="false">
      <c r="A519" s="17" t="n">
        <v>515</v>
      </c>
      <c r="B519" s="12" t="s">
        <v>2518</v>
      </c>
      <c r="C519" s="12" t="s">
        <v>262</v>
      </c>
      <c r="D519" s="16" t="n">
        <v>0.00717858796296296</v>
      </c>
      <c r="E519" s="15" t="n">
        <f aca="false">ROUND((D519-$D$5)*86400,2)</f>
        <v>81.21</v>
      </c>
      <c r="F519" s="17" t="n">
        <v>1606</v>
      </c>
      <c r="G519" s="16" t="str">
        <f aca="false">IF(INDEX(選手一覧!$D$7:$D$2738,$F519)="","",INDEX(選手一覧!$D$7:$D$2738,$F519))</f>
        <v/>
      </c>
      <c r="H519" s="17" t="str">
        <f aca="false">IF(INDEX(選手一覧!$E$7:$E$2738,$F519)="","",INDEX(選手一覧!$E$7:$E$2738,$F519))</f>
        <v/>
      </c>
      <c r="I519" s="16" t="str">
        <f aca="false">IF(INDEX(選手一覧!$J$7:$J$2738,$F519)="","",INDEX(選手一覧!$J$7:$J$2738,$F519))</f>
        <v/>
      </c>
      <c r="J519" s="17" t="str">
        <f aca="false">IF(INDEX(選手一覧!$K$7:$K$2738,$F519)="","",INDEX(選手一覧!$K$7:$K$2738,$F519))</f>
        <v/>
      </c>
    </row>
    <row r="520" customFormat="false" ht="15" hidden="false" customHeight="false" outlineLevel="0" collapsed="false">
      <c r="A520" s="17" t="n">
        <v>516</v>
      </c>
      <c r="B520" s="12" t="s">
        <v>2519</v>
      </c>
      <c r="C520" s="12" t="s">
        <v>2520</v>
      </c>
      <c r="D520" s="16" t="n">
        <v>0.00717962962962963</v>
      </c>
      <c r="E520" s="15" t="n">
        <f aca="false">ROUND((D520-$D$5)*86400,2)</f>
        <v>81.3</v>
      </c>
      <c r="F520" s="17" t="n">
        <v>1607</v>
      </c>
      <c r="G520" s="16" t="str">
        <f aca="false">IF(INDEX(選手一覧!$D$7:$D$2738,$F520)="","",INDEX(選手一覧!$D$7:$D$2738,$F520))</f>
        <v/>
      </c>
      <c r="H520" s="17" t="str">
        <f aca="false">IF(INDEX(選手一覧!$E$7:$E$2738,$F520)="","",INDEX(選手一覧!$E$7:$E$2738,$F520))</f>
        <v/>
      </c>
      <c r="I520" s="16" t="str">
        <f aca="false">IF(INDEX(選手一覧!$J$7:$J$2738,$F520)="","",INDEX(選手一覧!$J$7:$J$2738,$F520))</f>
        <v/>
      </c>
      <c r="J520" s="17" t="str">
        <f aca="false">IF(INDEX(選手一覧!$K$7:$K$2738,$F520)="","",INDEX(選手一覧!$K$7:$K$2738,$F520))</f>
        <v/>
      </c>
    </row>
    <row r="521" customFormat="false" ht="15" hidden="false" customHeight="false" outlineLevel="0" collapsed="false">
      <c r="A521" s="17" t="n">
        <v>517</v>
      </c>
      <c r="B521" s="12" t="s">
        <v>2521</v>
      </c>
      <c r="C521" s="12" t="s">
        <v>2522</v>
      </c>
      <c r="D521" s="16" t="n">
        <v>0.00717974537037037</v>
      </c>
      <c r="E521" s="15" t="n">
        <f aca="false">ROUND((D521-$D$5)*86400,2)</f>
        <v>81.31</v>
      </c>
      <c r="F521" s="17" t="n">
        <v>1608</v>
      </c>
      <c r="G521" s="16" t="str">
        <f aca="false">IF(INDEX(選手一覧!$D$7:$D$2738,$F521)="","",INDEX(選手一覧!$D$7:$D$2738,$F521))</f>
        <v/>
      </c>
      <c r="H521" s="17" t="str">
        <f aca="false">IF(INDEX(選手一覧!$E$7:$E$2738,$F521)="","",INDEX(選手一覧!$E$7:$E$2738,$F521))</f>
        <v/>
      </c>
      <c r="I521" s="16" t="str">
        <f aca="false">IF(INDEX(選手一覧!$J$7:$J$2738,$F521)="","",INDEX(選手一覧!$J$7:$J$2738,$F521))</f>
        <v/>
      </c>
      <c r="J521" s="17" t="str">
        <f aca="false">IF(INDEX(選手一覧!$K$7:$K$2738,$F521)="","",INDEX(選手一覧!$K$7:$K$2738,$F521))</f>
        <v/>
      </c>
    </row>
    <row r="522" customFormat="false" ht="15" hidden="false" customHeight="false" outlineLevel="0" collapsed="false">
      <c r="A522" s="17" t="n">
        <v>518</v>
      </c>
      <c r="B522" s="12" t="s">
        <v>2523</v>
      </c>
      <c r="C522" s="12" t="s">
        <v>2524</v>
      </c>
      <c r="D522" s="16" t="n">
        <v>0.00718020833333333</v>
      </c>
      <c r="E522" s="15" t="n">
        <f aca="false">ROUND((D522-$D$5)*86400,2)</f>
        <v>81.35</v>
      </c>
      <c r="F522" s="17" t="n">
        <v>1609</v>
      </c>
      <c r="G522" s="16" t="str">
        <f aca="false">IF(INDEX(選手一覧!$D$7:$D$2738,$F522)="","",INDEX(選手一覧!$D$7:$D$2738,$F522))</f>
        <v/>
      </c>
      <c r="H522" s="17" t="str">
        <f aca="false">IF(INDEX(選手一覧!$E$7:$E$2738,$F522)="","",INDEX(選手一覧!$E$7:$E$2738,$F522))</f>
        <v/>
      </c>
      <c r="I522" s="16" t="str">
        <f aca="false">IF(INDEX(選手一覧!$J$7:$J$2738,$F522)="","",INDEX(選手一覧!$J$7:$J$2738,$F522))</f>
        <v/>
      </c>
      <c r="J522" s="17" t="str">
        <f aca="false">IF(INDEX(選手一覧!$K$7:$K$2738,$F522)="","",INDEX(選手一覧!$K$7:$K$2738,$F522))</f>
        <v/>
      </c>
    </row>
    <row r="523" customFormat="false" ht="15" hidden="false" customHeight="false" outlineLevel="0" collapsed="false">
      <c r="A523" s="17" t="n">
        <v>519</v>
      </c>
      <c r="B523" s="12" t="s">
        <v>2525</v>
      </c>
      <c r="C523" s="12" t="s">
        <v>2526</v>
      </c>
      <c r="D523" s="16" t="n">
        <v>0.00718032407407407</v>
      </c>
      <c r="E523" s="15" t="n">
        <f aca="false">ROUND((D523-$D$5)*86400,2)</f>
        <v>81.36</v>
      </c>
      <c r="F523" s="17" t="n">
        <v>1610</v>
      </c>
      <c r="G523" s="16" t="str">
        <f aca="false">IF(INDEX(選手一覧!$D$7:$D$2738,$F523)="","",INDEX(選手一覧!$D$7:$D$2738,$F523))</f>
        <v/>
      </c>
      <c r="H523" s="17" t="str">
        <f aca="false">IF(INDEX(選手一覧!$E$7:$E$2738,$F523)="","",INDEX(選手一覧!$E$7:$E$2738,$F523))</f>
        <v/>
      </c>
      <c r="I523" s="16" t="n">
        <f aca="false">IF(INDEX(選手一覧!$J$7:$J$2738,$F523)="","",INDEX(選手一覧!$J$7:$J$2738,$F523))</f>
        <v>0.00292488425925926</v>
      </c>
      <c r="J523" s="17" t="n">
        <f aca="false">IF(INDEX(選手一覧!$K$7:$K$2738,$F523)="","",INDEX(選手一覧!$K$7:$K$2738,$F523))</f>
        <v>1145</v>
      </c>
    </row>
    <row r="524" customFormat="false" ht="15" hidden="false" customHeight="false" outlineLevel="0" collapsed="false">
      <c r="A524" s="17" t="n">
        <v>520</v>
      </c>
      <c r="B524" s="12" t="s">
        <v>2527</v>
      </c>
      <c r="C524" s="12" t="s">
        <v>2467</v>
      </c>
      <c r="D524" s="16" t="n">
        <v>0.0071806712962963</v>
      </c>
      <c r="E524" s="15" t="n">
        <f aca="false">ROUND((D524-$D$5)*86400,2)</f>
        <v>81.39</v>
      </c>
      <c r="F524" s="17" t="n">
        <v>1611</v>
      </c>
      <c r="G524" s="16" t="str">
        <f aca="false">IF(INDEX(選手一覧!$D$7:$D$2738,$F524)="","",INDEX(選手一覧!$D$7:$D$2738,$F524))</f>
        <v/>
      </c>
      <c r="H524" s="17" t="str">
        <f aca="false">IF(INDEX(選手一覧!$E$7:$E$2738,$F524)="","",INDEX(選手一覧!$E$7:$E$2738,$F524))</f>
        <v/>
      </c>
      <c r="I524" s="16" t="str">
        <f aca="false">IF(INDEX(選手一覧!$J$7:$J$2738,$F524)="","",INDEX(選手一覧!$J$7:$J$2738,$F524))</f>
        <v/>
      </c>
      <c r="J524" s="17" t="str">
        <f aca="false">IF(INDEX(選手一覧!$K$7:$K$2738,$F524)="","",INDEX(選手一覧!$K$7:$K$2738,$F524))</f>
        <v/>
      </c>
    </row>
    <row r="525" customFormat="false" ht="15" hidden="false" customHeight="false" outlineLevel="0" collapsed="false">
      <c r="A525" s="17" t="n">
        <v>521</v>
      </c>
      <c r="B525" s="12" t="s">
        <v>2528</v>
      </c>
      <c r="C525" s="12" t="s">
        <v>1625</v>
      </c>
      <c r="D525" s="16" t="n">
        <v>0.00718287037037037</v>
      </c>
      <c r="E525" s="15" t="n">
        <f aca="false">ROUND((D525-$D$5)*86400,2)</f>
        <v>81.58</v>
      </c>
      <c r="F525" s="17" t="n">
        <v>1612</v>
      </c>
      <c r="G525" s="16" t="str">
        <f aca="false">IF(INDEX(選手一覧!$D$7:$D$2738,$F525)="","",INDEX(選手一覧!$D$7:$D$2738,$F525))</f>
        <v/>
      </c>
      <c r="H525" s="17" t="str">
        <f aca="false">IF(INDEX(選手一覧!$E$7:$E$2738,$F525)="","",INDEX(選手一覧!$E$7:$E$2738,$F525))</f>
        <v/>
      </c>
      <c r="I525" s="16" t="str">
        <f aca="false">IF(INDEX(選手一覧!$J$7:$J$2738,$F525)="","",INDEX(選手一覧!$J$7:$J$2738,$F525))</f>
        <v/>
      </c>
      <c r="J525" s="17" t="str">
        <f aca="false">IF(INDEX(選手一覧!$K$7:$K$2738,$F525)="","",INDEX(選手一覧!$K$7:$K$2738,$F525))</f>
        <v/>
      </c>
    </row>
    <row r="526" customFormat="false" ht="15" hidden="false" customHeight="false" outlineLevel="0" collapsed="false">
      <c r="A526" s="17" t="n">
        <v>522</v>
      </c>
      <c r="B526" s="12" t="s">
        <v>2529</v>
      </c>
      <c r="C526" s="12" t="s">
        <v>2530</v>
      </c>
      <c r="D526" s="16" t="n">
        <v>0.00718333333333333</v>
      </c>
      <c r="E526" s="15" t="n">
        <f aca="false">ROUND((D526-$D$5)*86400,2)</f>
        <v>81.62</v>
      </c>
      <c r="F526" s="17" t="n">
        <v>1613</v>
      </c>
      <c r="G526" s="16" t="str">
        <f aca="false">IF(INDEX(選手一覧!$D$7:$D$2738,$F526)="","",INDEX(選手一覧!$D$7:$D$2738,$F526))</f>
        <v/>
      </c>
      <c r="H526" s="17" t="str">
        <f aca="false">IF(INDEX(選手一覧!$E$7:$E$2738,$F526)="","",INDEX(選手一覧!$E$7:$E$2738,$F526))</f>
        <v/>
      </c>
      <c r="I526" s="16" t="str">
        <f aca="false">IF(INDEX(選手一覧!$J$7:$J$2738,$F526)="","",INDEX(選手一覧!$J$7:$J$2738,$F526))</f>
        <v/>
      </c>
      <c r="J526" s="17" t="str">
        <f aca="false">IF(INDEX(選手一覧!$K$7:$K$2738,$F526)="","",INDEX(選手一覧!$K$7:$K$2738,$F526))</f>
        <v/>
      </c>
    </row>
    <row r="527" customFormat="false" ht="15" hidden="false" customHeight="false" outlineLevel="0" collapsed="false">
      <c r="A527" s="17" t="n">
        <v>523</v>
      </c>
      <c r="B527" s="12" t="s">
        <v>1358</v>
      </c>
      <c r="C527" s="12" t="s">
        <v>281</v>
      </c>
      <c r="D527" s="16" t="n">
        <v>0.00718460648148148</v>
      </c>
      <c r="E527" s="15" t="n">
        <f aca="false">ROUND((D527-$D$5)*86400,2)</f>
        <v>81.73</v>
      </c>
      <c r="F527" s="17" t="n">
        <v>820</v>
      </c>
      <c r="G527" s="16" t="n">
        <f aca="false">IF(INDEX(選手一覧!$D$7:$D$2738,$F527)="","",INDEX(選手一覧!$D$7:$D$2738,$F527))</f>
        <v>0.0108438657407407</v>
      </c>
      <c r="H527" s="17" t="n">
        <f aca="false">IF(INDEX(選手一覧!$E$7:$E$2738,$F527)="","",INDEX(選手一覧!$E$7:$E$2738,$F527))</f>
        <v>821</v>
      </c>
      <c r="I527" s="16" t="str">
        <f aca="false">IF(INDEX(選手一覧!$J$7:$J$2738,$F527)="","",INDEX(選手一覧!$J$7:$J$2738,$F527))</f>
        <v/>
      </c>
      <c r="J527" s="17" t="str">
        <f aca="false">IF(INDEX(選手一覧!$K$7:$K$2738,$F527)="","",INDEX(選手一覧!$K$7:$K$2738,$F527))</f>
        <v/>
      </c>
    </row>
    <row r="528" customFormat="false" ht="15" hidden="false" customHeight="false" outlineLevel="0" collapsed="false">
      <c r="A528" s="17" t="n">
        <v>524</v>
      </c>
      <c r="B528" s="12" t="s">
        <v>2531</v>
      </c>
      <c r="C528" s="12" t="s">
        <v>2532</v>
      </c>
      <c r="D528" s="16" t="n">
        <v>0.00718472222222222</v>
      </c>
      <c r="E528" s="15" t="n">
        <f aca="false">ROUND((D528-$D$5)*86400,2)</f>
        <v>81.74</v>
      </c>
      <c r="F528" s="17" t="n">
        <v>1614</v>
      </c>
      <c r="G528" s="16" t="str">
        <f aca="false">IF(INDEX(選手一覧!$D$7:$D$2738,$F528)="","",INDEX(選手一覧!$D$7:$D$2738,$F528))</f>
        <v/>
      </c>
      <c r="H528" s="17" t="str">
        <f aca="false">IF(INDEX(選手一覧!$E$7:$E$2738,$F528)="","",INDEX(選手一覧!$E$7:$E$2738,$F528))</f>
        <v/>
      </c>
      <c r="I528" s="16" t="n">
        <f aca="false">IF(INDEX(選手一覧!$J$7:$J$2738,$F528)="","",INDEX(選手一覧!$J$7:$J$2738,$F528))</f>
        <v>0.00292824074074074</v>
      </c>
      <c r="J528" s="17" t="n">
        <f aca="false">IF(INDEX(選手一覧!$K$7:$K$2738,$F528)="","",INDEX(選手一覧!$K$7:$K$2738,$F528))</f>
        <v>1168</v>
      </c>
    </row>
    <row r="529" customFormat="false" ht="15" hidden="false" customHeight="false" outlineLevel="0" collapsed="false">
      <c r="A529" s="17" t="n">
        <v>525</v>
      </c>
      <c r="B529" s="12" t="s">
        <v>2533</v>
      </c>
      <c r="C529" s="12" t="s">
        <v>2534</v>
      </c>
      <c r="D529" s="16" t="n">
        <v>0.00718715277777778</v>
      </c>
      <c r="E529" s="15" t="n">
        <f aca="false">ROUND((D529-$D$5)*86400,2)</f>
        <v>81.95</v>
      </c>
      <c r="F529" s="17" t="n">
        <v>1615</v>
      </c>
      <c r="G529" s="16" t="str">
        <f aca="false">IF(INDEX(選手一覧!$D$7:$D$2738,$F529)="","",INDEX(選手一覧!$D$7:$D$2738,$F529))</f>
        <v/>
      </c>
      <c r="H529" s="17" t="str">
        <f aca="false">IF(INDEX(選手一覧!$E$7:$E$2738,$F529)="","",INDEX(選手一覧!$E$7:$E$2738,$F529))</f>
        <v/>
      </c>
      <c r="I529" s="16" t="str">
        <f aca="false">IF(INDEX(選手一覧!$J$7:$J$2738,$F529)="","",INDEX(選手一覧!$J$7:$J$2738,$F529))</f>
        <v/>
      </c>
      <c r="J529" s="17" t="str">
        <f aca="false">IF(INDEX(選手一覧!$K$7:$K$2738,$F529)="","",INDEX(選手一覧!$K$7:$K$2738,$F529))</f>
        <v/>
      </c>
    </row>
    <row r="530" customFormat="false" ht="15" hidden="false" customHeight="false" outlineLevel="0" collapsed="false">
      <c r="A530" s="17" t="n">
        <v>526</v>
      </c>
      <c r="B530" s="12" t="s">
        <v>2536</v>
      </c>
      <c r="C530" s="12" t="s">
        <v>824</v>
      </c>
      <c r="D530" s="16" t="n">
        <v>0.00718784722222222</v>
      </c>
      <c r="E530" s="15" t="n">
        <f aca="false">ROUND((D530-$D$5)*86400,2)</f>
        <v>82.01</v>
      </c>
      <c r="F530" s="17" t="n">
        <v>1617</v>
      </c>
      <c r="G530" s="16" t="str">
        <f aca="false">IF(INDEX(選手一覧!$D$7:$D$2738,$F530)="","",INDEX(選手一覧!$D$7:$D$2738,$F530))</f>
        <v/>
      </c>
      <c r="H530" s="17" t="str">
        <f aca="false">IF(INDEX(選手一覧!$E$7:$E$2738,$F530)="","",INDEX(選手一覧!$E$7:$E$2738,$F530))</f>
        <v/>
      </c>
      <c r="I530" s="16" t="str">
        <f aca="false">IF(INDEX(選手一覧!$J$7:$J$2738,$F530)="","",INDEX(選手一覧!$J$7:$J$2738,$F530))</f>
        <v/>
      </c>
      <c r="J530" s="17" t="str">
        <f aca="false">IF(INDEX(選手一覧!$K$7:$K$2738,$F530)="","",INDEX(選手一覧!$K$7:$K$2738,$F530))</f>
        <v/>
      </c>
    </row>
    <row r="531" customFormat="false" ht="15" hidden="false" customHeight="false" outlineLevel="0" collapsed="false">
      <c r="A531" s="17" t="n">
        <v>527</v>
      </c>
      <c r="B531" s="12" t="s">
        <v>2537</v>
      </c>
      <c r="C531" s="12" t="s">
        <v>297</v>
      </c>
      <c r="D531" s="16" t="n">
        <v>0.00718831018518519</v>
      </c>
      <c r="E531" s="15" t="n">
        <f aca="false">ROUND((D531-$D$5)*86400,2)</f>
        <v>82.05</v>
      </c>
      <c r="F531" s="17" t="n">
        <v>1618</v>
      </c>
      <c r="G531" s="16" t="str">
        <f aca="false">IF(INDEX(選手一覧!$D$7:$D$2738,$F531)="","",INDEX(選手一覧!$D$7:$D$2738,$F531))</f>
        <v/>
      </c>
      <c r="H531" s="17" t="str">
        <f aca="false">IF(INDEX(選手一覧!$E$7:$E$2738,$F531)="","",INDEX(選手一覧!$E$7:$E$2738,$F531))</f>
        <v/>
      </c>
      <c r="I531" s="16" t="str">
        <f aca="false">IF(INDEX(選手一覧!$J$7:$J$2738,$F531)="","",INDEX(選手一覧!$J$7:$J$2738,$F531))</f>
        <v/>
      </c>
      <c r="J531" s="17" t="str">
        <f aca="false">IF(INDEX(選手一覧!$K$7:$K$2738,$F531)="","",INDEX(選手一覧!$K$7:$K$2738,$F531))</f>
        <v/>
      </c>
    </row>
    <row r="532" customFormat="false" ht="15" hidden="false" customHeight="false" outlineLevel="0" collapsed="false">
      <c r="A532" s="17" t="n">
        <v>528</v>
      </c>
      <c r="B532" s="12" t="s">
        <v>2538</v>
      </c>
      <c r="C532" s="12" t="s">
        <v>1415</v>
      </c>
      <c r="D532" s="16" t="n">
        <v>0.00719085648148148</v>
      </c>
      <c r="E532" s="15" t="n">
        <f aca="false">ROUND((D532-$D$5)*86400,2)</f>
        <v>82.27</v>
      </c>
      <c r="F532" s="17" t="n">
        <v>1619</v>
      </c>
      <c r="G532" s="16" t="str">
        <f aca="false">IF(INDEX(選手一覧!$D$7:$D$2738,$F532)="","",INDEX(選手一覧!$D$7:$D$2738,$F532))</f>
        <v/>
      </c>
      <c r="H532" s="17" t="str">
        <f aca="false">IF(INDEX(選手一覧!$E$7:$E$2738,$F532)="","",INDEX(選手一覧!$E$7:$E$2738,$F532))</f>
        <v/>
      </c>
      <c r="I532" s="16" t="str">
        <f aca="false">IF(INDEX(選手一覧!$J$7:$J$2738,$F532)="","",INDEX(選手一覧!$J$7:$J$2738,$F532))</f>
        <v/>
      </c>
      <c r="J532" s="17" t="str">
        <f aca="false">IF(INDEX(選手一覧!$K$7:$K$2738,$F532)="","",INDEX(選手一覧!$K$7:$K$2738,$F532))</f>
        <v/>
      </c>
    </row>
    <row r="533" customFormat="false" ht="15" hidden="false" customHeight="false" outlineLevel="0" collapsed="false">
      <c r="A533" s="17" t="n">
        <v>529</v>
      </c>
      <c r="B533" s="12" t="s">
        <v>1022</v>
      </c>
      <c r="C533" s="12" t="s">
        <v>137</v>
      </c>
      <c r="D533" s="16" t="n">
        <v>0.0071912037037037</v>
      </c>
      <c r="E533" s="15" t="n">
        <f aca="false">ROUND((D533-$D$5)*86400,2)</f>
        <v>82.3</v>
      </c>
      <c r="F533" s="17" t="n">
        <v>591</v>
      </c>
      <c r="G533" s="16" t="n">
        <f aca="false">IF(INDEX(選手一覧!$D$7:$D$2738,$F533)="","",INDEX(選手一覧!$D$7:$D$2738,$F533))</f>
        <v>0.0107072916666667</v>
      </c>
      <c r="H533" s="17" t="n">
        <f aca="false">IF(INDEX(選手一覧!$E$7:$E$2738,$F533)="","",INDEX(選手一覧!$E$7:$E$2738,$F533))</f>
        <v>592</v>
      </c>
      <c r="I533" s="16" t="n">
        <f aca="false">IF(INDEX(選手一覧!$J$7:$J$2738,$F533)="","",INDEX(選手一覧!$J$7:$J$2738,$F533))</f>
        <v>0.00282974537037037</v>
      </c>
      <c r="J533" s="17" t="n">
        <f aca="false">IF(INDEX(選手一覧!$K$7:$K$2738,$F533)="","",INDEX(選手一覧!$K$7:$K$2738,$F533))</f>
        <v>426</v>
      </c>
    </row>
    <row r="534" customFormat="false" ht="15" hidden="false" customHeight="false" outlineLevel="0" collapsed="false">
      <c r="A534" s="17" t="n">
        <v>530</v>
      </c>
      <c r="B534" s="12" t="s">
        <v>2539</v>
      </c>
      <c r="C534" s="12" t="s">
        <v>204</v>
      </c>
      <c r="D534" s="16" t="n">
        <v>0.00719131944444445</v>
      </c>
      <c r="E534" s="15" t="n">
        <f aca="false">ROUND((D534-$D$5)*86400,2)</f>
        <v>82.31</v>
      </c>
      <c r="F534" s="17" t="n">
        <v>1620</v>
      </c>
      <c r="G534" s="16" t="str">
        <f aca="false">IF(INDEX(選手一覧!$D$7:$D$2738,$F534)="","",INDEX(選手一覧!$D$7:$D$2738,$F534))</f>
        <v/>
      </c>
      <c r="H534" s="17" t="str">
        <f aca="false">IF(INDEX(選手一覧!$E$7:$E$2738,$F534)="","",INDEX(選手一覧!$E$7:$E$2738,$F534))</f>
        <v/>
      </c>
      <c r="I534" s="16" t="str">
        <f aca="false">IF(INDEX(選手一覧!$J$7:$J$2738,$F534)="","",INDEX(選手一覧!$J$7:$J$2738,$F534))</f>
        <v/>
      </c>
      <c r="J534" s="17" t="str">
        <f aca="false">IF(INDEX(選手一覧!$K$7:$K$2738,$F534)="","",INDEX(選手一覧!$K$7:$K$2738,$F534))</f>
        <v/>
      </c>
    </row>
    <row r="535" customFormat="false" ht="15" hidden="false" customHeight="false" outlineLevel="0" collapsed="false">
      <c r="A535" s="17" t="n">
        <v>531</v>
      </c>
      <c r="B535" s="12" t="s">
        <v>1814</v>
      </c>
      <c r="C535" s="12" t="s">
        <v>333</v>
      </c>
      <c r="D535" s="16" t="n">
        <v>0.00719201388888889</v>
      </c>
      <c r="E535" s="15" t="n">
        <f aca="false">ROUND((D535-$D$5)*86400,2)</f>
        <v>82.37</v>
      </c>
      <c r="F535" s="17" t="n">
        <v>1124</v>
      </c>
      <c r="G535" s="16" t="n">
        <f aca="false">IF(INDEX(選手一覧!$D$7:$D$2738,$F535)="","",INDEX(選手一覧!$D$7:$D$2738,$F535))</f>
        <v>0.0110180555555556</v>
      </c>
      <c r="H535" s="17" t="n">
        <f aca="false">IF(INDEX(選手一覧!$E$7:$E$2738,$F535)="","",INDEX(選手一覧!$E$7:$E$2738,$F535))</f>
        <v>1125</v>
      </c>
      <c r="I535" s="16" t="str">
        <f aca="false">IF(INDEX(選手一覧!$J$7:$J$2738,$F535)="","",INDEX(選手一覧!$J$7:$J$2738,$F535))</f>
        <v/>
      </c>
      <c r="J535" s="17" t="str">
        <f aca="false">IF(INDEX(選手一覧!$K$7:$K$2738,$F535)="","",INDEX(選手一覧!$K$7:$K$2738,$F535))</f>
        <v/>
      </c>
    </row>
    <row r="536" customFormat="false" ht="15" hidden="false" customHeight="false" outlineLevel="0" collapsed="false">
      <c r="A536" s="17" t="n">
        <v>532</v>
      </c>
      <c r="B536" s="12" t="s">
        <v>2540</v>
      </c>
      <c r="C536" s="12" t="s">
        <v>2541</v>
      </c>
      <c r="D536" s="16" t="n">
        <v>0.00719386574074074</v>
      </c>
      <c r="E536" s="15" t="n">
        <f aca="false">ROUND((D536-$D$5)*86400,2)</f>
        <v>82.53</v>
      </c>
      <c r="F536" s="17" t="n">
        <v>1621</v>
      </c>
      <c r="G536" s="16" t="str">
        <f aca="false">IF(INDEX(選手一覧!$D$7:$D$2738,$F536)="","",INDEX(選手一覧!$D$7:$D$2738,$F536))</f>
        <v/>
      </c>
      <c r="H536" s="17" t="str">
        <f aca="false">IF(INDEX(選手一覧!$E$7:$E$2738,$F536)="","",INDEX(選手一覧!$E$7:$E$2738,$F536))</f>
        <v/>
      </c>
      <c r="I536" s="16" t="str">
        <f aca="false">IF(INDEX(選手一覧!$J$7:$J$2738,$F536)="","",INDEX(選手一覧!$J$7:$J$2738,$F536))</f>
        <v/>
      </c>
      <c r="J536" s="17" t="str">
        <f aca="false">IF(INDEX(選手一覧!$K$7:$K$2738,$F536)="","",INDEX(選手一覧!$K$7:$K$2738,$F536))</f>
        <v/>
      </c>
    </row>
    <row r="537" customFormat="false" ht="15" hidden="false" customHeight="false" outlineLevel="0" collapsed="false">
      <c r="A537" s="17" t="n">
        <v>533</v>
      </c>
      <c r="B537" s="12" t="s">
        <v>2542</v>
      </c>
      <c r="C537" s="12" t="s">
        <v>1515</v>
      </c>
      <c r="D537" s="16" t="n">
        <v>0.00719618055555556</v>
      </c>
      <c r="E537" s="15" t="n">
        <f aca="false">ROUND((D537-$D$5)*86400,2)</f>
        <v>82.73</v>
      </c>
      <c r="F537" s="17" t="n">
        <v>1622</v>
      </c>
      <c r="G537" s="16" t="str">
        <f aca="false">IF(INDEX(選手一覧!$D$7:$D$2738,$F537)="","",INDEX(選手一覧!$D$7:$D$2738,$F537))</f>
        <v/>
      </c>
      <c r="H537" s="17" t="str">
        <f aca="false">IF(INDEX(選手一覧!$E$7:$E$2738,$F537)="","",INDEX(選手一覧!$E$7:$E$2738,$F537))</f>
        <v/>
      </c>
      <c r="I537" s="16" t="str">
        <f aca="false">IF(INDEX(選手一覧!$J$7:$J$2738,$F537)="","",INDEX(選手一覧!$J$7:$J$2738,$F537))</f>
        <v/>
      </c>
      <c r="J537" s="17" t="str">
        <f aca="false">IF(INDEX(選手一覧!$K$7:$K$2738,$F537)="","",INDEX(選手一覧!$K$7:$K$2738,$F537))</f>
        <v/>
      </c>
    </row>
    <row r="538" customFormat="false" ht="15" hidden="false" customHeight="false" outlineLevel="0" collapsed="false">
      <c r="A538" s="17" t="n">
        <v>534</v>
      </c>
      <c r="B538" s="12" t="s">
        <v>2543</v>
      </c>
      <c r="C538" s="12" t="s">
        <v>852</v>
      </c>
      <c r="D538" s="16" t="n">
        <v>0.00719768518518519</v>
      </c>
      <c r="E538" s="15" t="n">
        <f aca="false">ROUND((D538-$D$5)*86400,2)</f>
        <v>82.86</v>
      </c>
      <c r="F538" s="17" t="n">
        <v>1623</v>
      </c>
      <c r="G538" s="16" t="str">
        <f aca="false">IF(INDEX(選手一覧!$D$7:$D$2738,$F538)="","",INDEX(選手一覧!$D$7:$D$2738,$F538))</f>
        <v/>
      </c>
      <c r="H538" s="17" t="str">
        <f aca="false">IF(INDEX(選手一覧!$E$7:$E$2738,$F538)="","",INDEX(選手一覧!$E$7:$E$2738,$F538))</f>
        <v/>
      </c>
      <c r="I538" s="16" t="str">
        <f aca="false">IF(INDEX(選手一覧!$J$7:$J$2738,$F538)="","",INDEX(選手一覧!$J$7:$J$2738,$F538))</f>
        <v/>
      </c>
      <c r="J538" s="17" t="str">
        <f aca="false">IF(INDEX(選手一覧!$K$7:$K$2738,$F538)="","",INDEX(選手一覧!$K$7:$K$2738,$F538))</f>
        <v/>
      </c>
    </row>
    <row r="539" customFormat="false" ht="15" hidden="false" customHeight="false" outlineLevel="0" collapsed="false">
      <c r="A539" s="17" t="n">
        <v>535</v>
      </c>
      <c r="B539" s="12" t="s">
        <v>2544</v>
      </c>
      <c r="C539" s="12" t="s">
        <v>397</v>
      </c>
      <c r="D539" s="16" t="n">
        <v>0.00719884259259259</v>
      </c>
      <c r="E539" s="15" t="n">
        <f aca="false">ROUND((D539-$D$5)*86400,2)</f>
        <v>82.96</v>
      </c>
      <c r="F539" s="17" t="n">
        <v>1624</v>
      </c>
      <c r="G539" s="16" t="str">
        <f aca="false">IF(INDEX(選手一覧!$D$7:$D$2738,$F539)="","",INDEX(選手一覧!$D$7:$D$2738,$F539))</f>
        <v/>
      </c>
      <c r="H539" s="17" t="str">
        <f aca="false">IF(INDEX(選手一覧!$E$7:$E$2738,$F539)="","",INDEX(選手一覧!$E$7:$E$2738,$F539))</f>
        <v/>
      </c>
      <c r="I539" s="16" t="str">
        <f aca="false">IF(INDEX(選手一覧!$J$7:$J$2738,$F539)="","",INDEX(選手一覧!$J$7:$J$2738,$F539))</f>
        <v/>
      </c>
      <c r="J539" s="17" t="str">
        <f aca="false">IF(INDEX(選手一覧!$K$7:$K$2738,$F539)="","",INDEX(選手一覧!$K$7:$K$2738,$F539))</f>
        <v/>
      </c>
    </row>
    <row r="540" customFormat="false" ht="15" hidden="false" customHeight="false" outlineLevel="0" collapsed="false">
      <c r="A540" s="17" t="n">
        <v>536</v>
      </c>
      <c r="B540" s="12" t="s">
        <v>2545</v>
      </c>
      <c r="C540" s="12" t="s">
        <v>2546</v>
      </c>
      <c r="D540" s="16" t="n">
        <v>0.00719988425925926</v>
      </c>
      <c r="E540" s="15" t="n">
        <f aca="false">ROUND((D540-$D$5)*86400,2)</f>
        <v>83.05</v>
      </c>
      <c r="F540" s="17" t="n">
        <v>1625</v>
      </c>
      <c r="G540" s="16" t="str">
        <f aca="false">IF(INDEX(選手一覧!$D$7:$D$2738,$F540)="","",INDEX(選手一覧!$D$7:$D$2738,$F540))</f>
        <v/>
      </c>
      <c r="H540" s="17" t="str">
        <f aca="false">IF(INDEX(選手一覧!$E$7:$E$2738,$F540)="","",INDEX(選手一覧!$E$7:$E$2738,$F540))</f>
        <v/>
      </c>
      <c r="I540" s="16" t="str">
        <f aca="false">IF(INDEX(選手一覧!$J$7:$J$2738,$F540)="","",INDEX(選手一覧!$J$7:$J$2738,$F540))</f>
        <v/>
      </c>
      <c r="J540" s="17" t="str">
        <f aca="false">IF(INDEX(選手一覧!$K$7:$K$2738,$F540)="","",INDEX(選手一覧!$K$7:$K$2738,$F540))</f>
        <v/>
      </c>
    </row>
    <row r="541" customFormat="false" ht="15" hidden="false" customHeight="false" outlineLevel="0" collapsed="false">
      <c r="A541" s="17" t="n">
        <v>537</v>
      </c>
      <c r="B541" s="12" t="s">
        <v>2548</v>
      </c>
      <c r="C541" s="12" t="s">
        <v>2182</v>
      </c>
      <c r="D541" s="16" t="n">
        <v>0.00720092592592593</v>
      </c>
      <c r="E541" s="15" t="n">
        <f aca="false">ROUND((D541-$D$5)*86400,2)</f>
        <v>83.14</v>
      </c>
      <c r="F541" s="17" t="n">
        <v>1627</v>
      </c>
      <c r="G541" s="16" t="str">
        <f aca="false">IF(INDEX(選手一覧!$D$7:$D$2738,$F541)="","",INDEX(選手一覧!$D$7:$D$2738,$F541))</f>
        <v/>
      </c>
      <c r="H541" s="17" t="str">
        <f aca="false">IF(INDEX(選手一覧!$E$7:$E$2738,$F541)="","",INDEX(選手一覧!$E$7:$E$2738,$F541))</f>
        <v/>
      </c>
      <c r="I541" s="16" t="str">
        <f aca="false">IF(INDEX(選手一覧!$J$7:$J$2738,$F541)="","",INDEX(選手一覧!$J$7:$J$2738,$F541))</f>
        <v/>
      </c>
      <c r="J541" s="17" t="str">
        <f aca="false">IF(INDEX(選手一覧!$K$7:$K$2738,$F541)="","",INDEX(選手一覧!$K$7:$K$2738,$F541))</f>
        <v/>
      </c>
    </row>
    <row r="542" customFormat="false" ht="15" hidden="false" customHeight="false" outlineLevel="0" collapsed="false">
      <c r="A542" s="17" t="n">
        <v>538</v>
      </c>
      <c r="B542" s="12" t="s">
        <v>2550</v>
      </c>
      <c r="C542" s="12" t="s">
        <v>561</v>
      </c>
      <c r="D542" s="16" t="n">
        <v>0.00720127314814815</v>
      </c>
      <c r="E542" s="15" t="n">
        <f aca="false">ROUND((D542-$D$5)*86400,2)</f>
        <v>83.17</v>
      </c>
      <c r="F542" s="17" t="n">
        <v>1629</v>
      </c>
      <c r="G542" s="16" t="str">
        <f aca="false">IF(INDEX(選手一覧!$D$7:$D$2738,$F542)="","",INDEX(選手一覧!$D$7:$D$2738,$F542))</f>
        <v/>
      </c>
      <c r="H542" s="17" t="str">
        <f aca="false">IF(INDEX(選手一覧!$E$7:$E$2738,$F542)="","",INDEX(選手一覧!$E$7:$E$2738,$F542))</f>
        <v/>
      </c>
      <c r="I542" s="16" t="n">
        <f aca="false">IF(INDEX(選手一覧!$J$7:$J$2738,$F542)="","",INDEX(選手一覧!$J$7:$J$2738,$F542))</f>
        <v>0.0029755787037037</v>
      </c>
      <c r="J542" s="17" t="n">
        <f aca="false">IF(INDEX(選手一覧!$K$7:$K$2738,$F542)="","",INDEX(選手一覧!$K$7:$K$2738,$F542))</f>
        <v>1329</v>
      </c>
    </row>
    <row r="543" customFormat="false" ht="15" hidden="false" customHeight="false" outlineLevel="0" collapsed="false">
      <c r="A543" s="17" t="n">
        <v>539</v>
      </c>
      <c r="B543" s="12" t="s">
        <v>2551</v>
      </c>
      <c r="C543" s="12" t="s">
        <v>1843</v>
      </c>
      <c r="D543" s="16" t="n">
        <v>0.00720127314814815</v>
      </c>
      <c r="E543" s="15" t="n">
        <f aca="false">ROUND((D543-$D$5)*86400,2)</f>
        <v>83.17</v>
      </c>
      <c r="F543" s="17" t="n">
        <v>1630</v>
      </c>
      <c r="G543" s="16" t="str">
        <f aca="false">IF(INDEX(選手一覧!$D$7:$D$2738,$F543)="","",INDEX(選手一覧!$D$7:$D$2738,$F543))</f>
        <v/>
      </c>
      <c r="H543" s="17" t="str">
        <f aca="false">IF(INDEX(選手一覧!$E$7:$E$2738,$F543)="","",INDEX(選手一覧!$E$7:$E$2738,$F543))</f>
        <v/>
      </c>
      <c r="I543" s="16" t="str">
        <f aca="false">IF(INDEX(選手一覧!$J$7:$J$2738,$F543)="","",INDEX(選手一覧!$J$7:$J$2738,$F543))</f>
        <v/>
      </c>
      <c r="J543" s="17" t="str">
        <f aca="false">IF(INDEX(選手一覧!$K$7:$K$2738,$F543)="","",INDEX(選手一覧!$K$7:$K$2738,$F543))</f>
        <v/>
      </c>
    </row>
    <row r="544" customFormat="false" ht="15" hidden="false" customHeight="false" outlineLevel="0" collapsed="false">
      <c r="A544" s="17" t="n">
        <v>540</v>
      </c>
      <c r="B544" s="12" t="s">
        <v>2552</v>
      </c>
      <c r="C544" s="12" t="s">
        <v>2553</v>
      </c>
      <c r="D544" s="16" t="n">
        <v>0.00720138888888889</v>
      </c>
      <c r="E544" s="15" t="n">
        <f aca="false">ROUND((D544-$D$5)*86400,2)</f>
        <v>83.18</v>
      </c>
      <c r="F544" s="17" t="n">
        <v>1631</v>
      </c>
      <c r="G544" s="16" t="str">
        <f aca="false">IF(INDEX(選手一覧!$D$7:$D$2738,$F544)="","",INDEX(選手一覧!$D$7:$D$2738,$F544))</f>
        <v/>
      </c>
      <c r="H544" s="17" t="str">
        <f aca="false">IF(INDEX(選手一覧!$E$7:$E$2738,$F544)="","",INDEX(選手一覧!$E$7:$E$2738,$F544))</f>
        <v/>
      </c>
      <c r="I544" s="16" t="str">
        <f aca="false">IF(INDEX(選手一覧!$J$7:$J$2738,$F544)="","",INDEX(選手一覧!$J$7:$J$2738,$F544))</f>
        <v/>
      </c>
      <c r="J544" s="17" t="str">
        <f aca="false">IF(INDEX(選手一覧!$K$7:$K$2738,$F544)="","",INDEX(選手一覧!$K$7:$K$2738,$F544))</f>
        <v/>
      </c>
    </row>
    <row r="545" customFormat="false" ht="15" hidden="false" customHeight="false" outlineLevel="0" collapsed="false">
      <c r="A545" s="17" t="n">
        <v>541</v>
      </c>
      <c r="B545" s="12" t="s">
        <v>474</v>
      </c>
      <c r="C545" s="12" t="s">
        <v>434</v>
      </c>
      <c r="D545" s="16" t="n">
        <v>0.0072037037037037</v>
      </c>
      <c r="E545" s="15" t="n">
        <f aca="false">ROUND((D545-$D$5)*86400,2)</f>
        <v>83.38</v>
      </c>
      <c r="F545" s="17" t="n">
        <v>244</v>
      </c>
      <c r="G545" s="16" t="n">
        <f aca="false">IF(INDEX(選手一覧!$D$7:$D$2738,$F545)="","",INDEX(選手一覧!$D$7:$D$2738,$F545))</f>
        <v>0.0103844907407407</v>
      </c>
      <c r="H545" s="17" t="n">
        <f aca="false">IF(INDEX(選手一覧!$E$7:$E$2738,$F545)="","",INDEX(選手一覧!$E$7:$E$2738,$F545))</f>
        <v>245</v>
      </c>
      <c r="I545" s="16" t="n">
        <f aca="false">IF(INDEX(選手一覧!$J$7:$J$2738,$F545)="","",INDEX(選手一覧!$J$7:$J$2738,$F545))</f>
        <v>0.00296643518518519</v>
      </c>
      <c r="J545" s="17" t="n">
        <f aca="false">IF(INDEX(選手一覧!$K$7:$K$2738,$F545)="","",INDEX(選手一覧!$K$7:$K$2738,$F545))</f>
        <v>1297</v>
      </c>
    </row>
    <row r="546" customFormat="false" ht="15" hidden="false" customHeight="false" outlineLevel="0" collapsed="false">
      <c r="A546" s="17" t="n">
        <v>542</v>
      </c>
      <c r="B546" s="12" t="s">
        <v>2558</v>
      </c>
      <c r="C546" s="12" t="s">
        <v>1510</v>
      </c>
      <c r="D546" s="16" t="n">
        <v>0.00720474537037037</v>
      </c>
      <c r="E546" s="15" t="n">
        <f aca="false">ROUND((D546-$D$5)*86400,2)</f>
        <v>83.47</v>
      </c>
      <c r="F546" s="17" t="n">
        <v>1634</v>
      </c>
      <c r="G546" s="16" t="str">
        <f aca="false">IF(INDEX(選手一覧!$D$7:$D$2738,$F546)="","",INDEX(選手一覧!$D$7:$D$2738,$F546))</f>
        <v/>
      </c>
      <c r="H546" s="17" t="str">
        <f aca="false">IF(INDEX(選手一覧!$E$7:$E$2738,$F546)="","",INDEX(選手一覧!$E$7:$E$2738,$F546))</f>
        <v/>
      </c>
      <c r="I546" s="16" t="n">
        <f aca="false">IF(INDEX(選手一覧!$J$7:$J$2738,$F546)="","",INDEX(選手一覧!$J$7:$J$2738,$F546))</f>
        <v>0.00292210648148148</v>
      </c>
      <c r="J546" s="17" t="n">
        <f aca="false">IF(INDEX(選手一覧!$K$7:$K$2738,$F546)="","",INDEX(選手一覧!$K$7:$K$2738,$F546))</f>
        <v>1114</v>
      </c>
    </row>
    <row r="547" customFormat="false" ht="15" hidden="false" customHeight="false" outlineLevel="0" collapsed="false">
      <c r="A547" s="17" t="n">
        <v>543</v>
      </c>
      <c r="B547" s="12" t="s">
        <v>2559</v>
      </c>
      <c r="C547" s="12" t="s">
        <v>2560</v>
      </c>
      <c r="D547" s="16" t="n">
        <v>0.00720555555555556</v>
      </c>
      <c r="E547" s="15" t="n">
        <f aca="false">ROUND((D547-$D$5)*86400,2)</f>
        <v>83.54</v>
      </c>
      <c r="F547" s="17" t="n">
        <v>1635</v>
      </c>
      <c r="G547" s="16" t="str">
        <f aca="false">IF(INDEX(選手一覧!$D$7:$D$2738,$F547)="","",INDEX(選手一覧!$D$7:$D$2738,$F547))</f>
        <v/>
      </c>
      <c r="H547" s="17" t="str">
        <f aca="false">IF(INDEX(選手一覧!$E$7:$E$2738,$F547)="","",INDEX(選手一覧!$E$7:$E$2738,$F547))</f>
        <v/>
      </c>
      <c r="I547" s="16" t="str">
        <f aca="false">IF(INDEX(選手一覧!$J$7:$J$2738,$F547)="","",INDEX(選手一覧!$J$7:$J$2738,$F547))</f>
        <v/>
      </c>
      <c r="J547" s="17" t="str">
        <f aca="false">IF(INDEX(選手一覧!$K$7:$K$2738,$F547)="","",INDEX(選手一覧!$K$7:$K$2738,$F547))</f>
        <v/>
      </c>
    </row>
    <row r="548" customFormat="false" ht="15" hidden="false" customHeight="false" outlineLevel="0" collapsed="false">
      <c r="A548" s="17" t="n">
        <v>544</v>
      </c>
      <c r="B548" s="12" t="s">
        <v>2561</v>
      </c>
      <c r="C548" s="12" t="s">
        <v>2562</v>
      </c>
      <c r="D548" s="16" t="n">
        <v>0.00720856481481482</v>
      </c>
      <c r="E548" s="15" t="n">
        <f aca="false">ROUND((D548-$D$5)*86400,2)</f>
        <v>83.8</v>
      </c>
      <c r="F548" s="17" t="n">
        <v>1636</v>
      </c>
      <c r="G548" s="16" t="str">
        <f aca="false">IF(INDEX(選手一覧!$D$7:$D$2738,$F548)="","",INDEX(選手一覧!$D$7:$D$2738,$F548))</f>
        <v/>
      </c>
      <c r="H548" s="17" t="str">
        <f aca="false">IF(INDEX(選手一覧!$E$7:$E$2738,$F548)="","",INDEX(選手一覧!$E$7:$E$2738,$F548))</f>
        <v/>
      </c>
      <c r="I548" s="16" t="n">
        <f aca="false">IF(INDEX(選手一覧!$J$7:$J$2738,$F548)="","",INDEX(選手一覧!$J$7:$J$2738,$F548))</f>
        <v>0.00297523148148148</v>
      </c>
      <c r="J548" s="17" t="n">
        <f aca="false">IF(INDEX(選手一覧!$K$7:$K$2738,$F548)="","",INDEX(選手一覧!$K$7:$K$2738,$F548))</f>
        <v>1326</v>
      </c>
    </row>
    <row r="549" customFormat="false" ht="15" hidden="false" customHeight="false" outlineLevel="0" collapsed="false">
      <c r="A549" s="17" t="n">
        <v>545</v>
      </c>
      <c r="B549" s="12" t="s">
        <v>1561</v>
      </c>
      <c r="C549" s="12" t="s">
        <v>323</v>
      </c>
      <c r="D549" s="16" t="n">
        <v>0.00720891203703704</v>
      </c>
      <c r="E549" s="15" t="n">
        <f aca="false">ROUND((D549-$D$5)*86400,2)</f>
        <v>83.83</v>
      </c>
      <c r="F549" s="17" t="n">
        <v>954</v>
      </c>
      <c r="G549" s="16" t="n">
        <f aca="false">IF(INDEX(選手一覧!$D$7:$D$2738,$F549)="","",INDEX(選手一覧!$D$7:$D$2738,$F549))</f>
        <v>0.0109229166666667</v>
      </c>
      <c r="H549" s="17" t="n">
        <f aca="false">IF(INDEX(選手一覧!$E$7:$E$2738,$F549)="","",INDEX(選手一覧!$E$7:$E$2738,$F549))</f>
        <v>955</v>
      </c>
      <c r="I549" s="16" t="n">
        <f aca="false">IF(INDEX(選手一覧!$J$7:$J$2738,$F549)="","",INDEX(選手一覧!$J$7:$J$2738,$F549))</f>
        <v>0.00281759259259259</v>
      </c>
      <c r="J549" s="17" t="n">
        <f aca="false">IF(INDEX(選手一覧!$K$7:$K$2738,$F549)="","",INDEX(選手一覧!$K$7:$K$2738,$F549))</f>
        <v>353</v>
      </c>
    </row>
    <row r="550" customFormat="false" ht="15" hidden="false" customHeight="false" outlineLevel="0" collapsed="false">
      <c r="A550" s="17" t="n">
        <v>546</v>
      </c>
      <c r="B550" s="12" t="s">
        <v>859</v>
      </c>
      <c r="C550" s="12" t="s">
        <v>860</v>
      </c>
      <c r="D550" s="16" t="n">
        <v>0.00720949074074074</v>
      </c>
      <c r="E550" s="15" t="n">
        <f aca="false">ROUND((D550-$D$5)*86400,2)</f>
        <v>83.88</v>
      </c>
      <c r="F550" s="17" t="n">
        <v>489</v>
      </c>
      <c r="G550" s="16" t="n">
        <f aca="false">IF(INDEX(選手一覧!$D$7:$D$2738,$F550)="","",INDEX(選手一覧!$D$7:$D$2738,$F550))</f>
        <v>0.0106164351851852</v>
      </c>
      <c r="H550" s="17" t="n">
        <f aca="false">IF(INDEX(選手一覧!$E$7:$E$2738,$F550)="","",INDEX(選手一覧!$E$7:$E$2738,$F550))</f>
        <v>490</v>
      </c>
      <c r="I550" s="16" t="n">
        <f aca="false">IF(INDEX(選手一覧!$J$7:$J$2738,$F550)="","",INDEX(選手一覧!$J$7:$J$2738,$F550))</f>
        <v>0.00291678240740741</v>
      </c>
      <c r="J550" s="17" t="n">
        <f aca="false">IF(INDEX(選手一覧!$K$7:$K$2738,$F550)="","",INDEX(選手一覧!$K$7:$K$2738,$F550))</f>
        <v>1064</v>
      </c>
    </row>
    <row r="551" customFormat="false" ht="15" hidden="false" customHeight="false" outlineLevel="0" collapsed="false">
      <c r="A551" s="17" t="n">
        <v>547</v>
      </c>
      <c r="B551" s="12" t="s">
        <v>2563</v>
      </c>
      <c r="C551" s="12" t="s">
        <v>2564</v>
      </c>
      <c r="D551" s="16" t="n">
        <v>0.00721018518518519</v>
      </c>
      <c r="E551" s="15" t="n">
        <f aca="false">ROUND((D551-$D$5)*86400,2)</f>
        <v>83.94</v>
      </c>
      <c r="F551" s="17" t="n">
        <v>1637</v>
      </c>
      <c r="G551" s="16" t="str">
        <f aca="false">IF(INDEX(選手一覧!$D$7:$D$2738,$F551)="","",INDEX(選手一覧!$D$7:$D$2738,$F551))</f>
        <v/>
      </c>
      <c r="H551" s="17" t="str">
        <f aca="false">IF(INDEX(選手一覧!$E$7:$E$2738,$F551)="","",INDEX(選手一覧!$E$7:$E$2738,$F551))</f>
        <v/>
      </c>
      <c r="I551" s="16" t="str">
        <f aca="false">IF(INDEX(選手一覧!$J$7:$J$2738,$F551)="","",INDEX(選手一覧!$J$7:$J$2738,$F551))</f>
        <v/>
      </c>
      <c r="J551" s="17" t="str">
        <f aca="false">IF(INDEX(選手一覧!$K$7:$K$2738,$F551)="","",INDEX(選手一覧!$K$7:$K$2738,$F551))</f>
        <v/>
      </c>
    </row>
    <row r="552" customFormat="false" ht="15" hidden="false" customHeight="false" outlineLevel="0" collapsed="false">
      <c r="A552" s="17" t="n">
        <v>548</v>
      </c>
      <c r="B552" s="12" t="s">
        <v>2566</v>
      </c>
      <c r="C552" s="12" t="s">
        <v>875</v>
      </c>
      <c r="D552" s="16" t="n">
        <v>0.00721053240740741</v>
      </c>
      <c r="E552" s="15" t="n">
        <f aca="false">ROUND((D552-$D$5)*86400,2)</f>
        <v>83.97</v>
      </c>
      <c r="F552" s="17" t="n">
        <v>1639</v>
      </c>
      <c r="G552" s="16" t="str">
        <f aca="false">IF(INDEX(選手一覧!$D$7:$D$2738,$F552)="","",INDEX(選手一覧!$D$7:$D$2738,$F552))</f>
        <v/>
      </c>
      <c r="H552" s="17" t="str">
        <f aca="false">IF(INDEX(選手一覧!$E$7:$E$2738,$F552)="","",INDEX(選手一覧!$E$7:$E$2738,$F552))</f>
        <v/>
      </c>
      <c r="I552" s="16" t="str">
        <f aca="false">IF(INDEX(選手一覧!$J$7:$J$2738,$F552)="","",INDEX(選手一覧!$J$7:$J$2738,$F552))</f>
        <v/>
      </c>
      <c r="J552" s="17" t="str">
        <f aca="false">IF(INDEX(選手一覧!$K$7:$K$2738,$F552)="","",INDEX(選手一覧!$K$7:$K$2738,$F552))</f>
        <v/>
      </c>
    </row>
    <row r="553" customFormat="false" ht="15" hidden="false" customHeight="false" outlineLevel="0" collapsed="false">
      <c r="A553" s="17" t="n">
        <v>549</v>
      </c>
      <c r="B553" s="12" t="s">
        <v>2569</v>
      </c>
      <c r="C553" s="12" t="s">
        <v>2570</v>
      </c>
      <c r="D553" s="16" t="n">
        <v>0.00721134259259259</v>
      </c>
      <c r="E553" s="15" t="n">
        <f aca="false">ROUND((D553-$D$5)*86400,2)</f>
        <v>84.04</v>
      </c>
      <c r="F553" s="17" t="n">
        <v>1641</v>
      </c>
      <c r="G553" s="16" t="str">
        <f aca="false">IF(INDEX(選手一覧!$D$7:$D$2738,$F553)="","",INDEX(選手一覧!$D$7:$D$2738,$F553))</f>
        <v/>
      </c>
      <c r="H553" s="17" t="str">
        <f aca="false">IF(INDEX(選手一覧!$E$7:$E$2738,$F553)="","",INDEX(選手一覧!$E$7:$E$2738,$F553))</f>
        <v/>
      </c>
      <c r="I553" s="16" t="str">
        <f aca="false">IF(INDEX(選手一覧!$J$7:$J$2738,$F553)="","",INDEX(選手一覧!$J$7:$J$2738,$F553))</f>
        <v/>
      </c>
      <c r="J553" s="17" t="str">
        <f aca="false">IF(INDEX(選手一覧!$K$7:$K$2738,$F553)="","",INDEX(選手一覧!$K$7:$K$2738,$F553))</f>
        <v/>
      </c>
    </row>
    <row r="554" customFormat="false" ht="15" hidden="false" customHeight="false" outlineLevel="0" collapsed="false">
      <c r="A554" s="17" t="n">
        <v>550</v>
      </c>
      <c r="B554" s="12" t="s">
        <v>1747</v>
      </c>
      <c r="C554" s="12" t="s">
        <v>1748</v>
      </c>
      <c r="D554" s="16" t="n">
        <v>0.00721296296296296</v>
      </c>
      <c r="E554" s="15" t="n">
        <f aca="false">ROUND((D554-$D$5)*86400,2)</f>
        <v>84.18</v>
      </c>
      <c r="F554" s="17" t="n">
        <v>1080</v>
      </c>
      <c r="G554" s="16" t="n">
        <f aca="false">IF(INDEX(選手一覧!$D$7:$D$2738,$F554)="","",INDEX(選手一覧!$D$7:$D$2738,$F554))</f>
        <v>0.0109909722222222</v>
      </c>
      <c r="H554" s="17" t="n">
        <f aca="false">IF(INDEX(選手一覧!$E$7:$E$2738,$F554)="","",INDEX(選手一覧!$E$7:$E$2738,$F554))</f>
        <v>1081</v>
      </c>
      <c r="I554" s="16" t="str">
        <f aca="false">IF(INDEX(選手一覧!$J$7:$J$2738,$F554)="","",INDEX(選手一覧!$J$7:$J$2738,$F554))</f>
        <v/>
      </c>
      <c r="J554" s="17" t="str">
        <f aca="false">IF(INDEX(選手一覧!$K$7:$K$2738,$F554)="","",INDEX(選手一覧!$K$7:$K$2738,$F554))</f>
        <v/>
      </c>
    </row>
    <row r="555" customFormat="false" ht="15" hidden="false" customHeight="false" outlineLevel="0" collapsed="false">
      <c r="A555" s="17" t="n">
        <v>551</v>
      </c>
      <c r="B555" s="12" t="s">
        <v>2575</v>
      </c>
      <c r="C555" s="12" t="s">
        <v>380</v>
      </c>
      <c r="D555" s="16" t="n">
        <v>0.00721342592592593</v>
      </c>
      <c r="E555" s="15" t="n">
        <f aca="false">ROUND((D555-$D$5)*86400,2)</f>
        <v>84.22</v>
      </c>
      <c r="F555" s="17" t="n">
        <v>1644</v>
      </c>
      <c r="G555" s="16" t="str">
        <f aca="false">IF(INDEX(選手一覧!$D$7:$D$2738,$F555)="","",INDEX(選手一覧!$D$7:$D$2738,$F555))</f>
        <v/>
      </c>
      <c r="H555" s="17" t="str">
        <f aca="false">IF(INDEX(選手一覧!$E$7:$E$2738,$F555)="","",INDEX(選手一覧!$E$7:$E$2738,$F555))</f>
        <v/>
      </c>
      <c r="I555" s="16" t="str">
        <f aca="false">IF(INDEX(選手一覧!$J$7:$J$2738,$F555)="","",INDEX(選手一覧!$J$7:$J$2738,$F555))</f>
        <v/>
      </c>
      <c r="J555" s="17" t="str">
        <f aca="false">IF(INDEX(選手一覧!$K$7:$K$2738,$F555)="","",INDEX(選手一覧!$K$7:$K$2738,$F555))</f>
        <v/>
      </c>
    </row>
    <row r="556" customFormat="false" ht="15" hidden="false" customHeight="false" outlineLevel="0" collapsed="false">
      <c r="A556" s="17" t="n">
        <v>552</v>
      </c>
      <c r="B556" s="12" t="s">
        <v>2576</v>
      </c>
      <c r="C556" s="12" t="s">
        <v>2577</v>
      </c>
      <c r="D556" s="16" t="n">
        <v>0.00721365740740741</v>
      </c>
      <c r="E556" s="15" t="n">
        <f aca="false">ROUND((D556-$D$5)*86400,2)</f>
        <v>84.24</v>
      </c>
      <c r="F556" s="17" t="n">
        <v>1645</v>
      </c>
      <c r="G556" s="16" t="str">
        <f aca="false">IF(INDEX(選手一覧!$D$7:$D$2738,$F556)="","",INDEX(選手一覧!$D$7:$D$2738,$F556))</f>
        <v/>
      </c>
      <c r="H556" s="17" t="str">
        <f aca="false">IF(INDEX(選手一覧!$E$7:$E$2738,$F556)="","",INDEX(選手一覧!$E$7:$E$2738,$F556))</f>
        <v/>
      </c>
      <c r="I556" s="16" t="str">
        <f aca="false">IF(INDEX(選手一覧!$J$7:$J$2738,$F556)="","",INDEX(選手一覧!$J$7:$J$2738,$F556))</f>
        <v/>
      </c>
      <c r="J556" s="17" t="str">
        <f aca="false">IF(INDEX(選手一覧!$K$7:$K$2738,$F556)="","",INDEX(選手一覧!$K$7:$K$2738,$F556))</f>
        <v/>
      </c>
    </row>
    <row r="557" customFormat="false" ht="15" hidden="false" customHeight="false" outlineLevel="0" collapsed="false">
      <c r="A557" s="17" t="n">
        <v>553</v>
      </c>
      <c r="B557" s="12" t="s">
        <v>2578</v>
      </c>
      <c r="C557" s="12" t="s">
        <v>2579</v>
      </c>
      <c r="D557" s="16" t="n">
        <v>0.00721435185185185</v>
      </c>
      <c r="E557" s="15" t="n">
        <f aca="false">ROUND((D557-$D$5)*86400,2)</f>
        <v>84.3</v>
      </c>
      <c r="F557" s="17" t="n">
        <v>1646</v>
      </c>
      <c r="G557" s="16" t="str">
        <f aca="false">IF(INDEX(選手一覧!$D$7:$D$2738,$F557)="","",INDEX(選手一覧!$D$7:$D$2738,$F557))</f>
        <v/>
      </c>
      <c r="H557" s="17" t="str">
        <f aca="false">IF(INDEX(選手一覧!$E$7:$E$2738,$F557)="","",INDEX(選手一覧!$E$7:$E$2738,$F557))</f>
        <v/>
      </c>
      <c r="I557" s="16" t="str">
        <f aca="false">IF(INDEX(選手一覧!$J$7:$J$2738,$F557)="","",INDEX(選手一覧!$J$7:$J$2738,$F557))</f>
        <v/>
      </c>
      <c r="J557" s="17" t="str">
        <f aca="false">IF(INDEX(選手一覧!$K$7:$K$2738,$F557)="","",INDEX(選手一覧!$K$7:$K$2738,$F557))</f>
        <v/>
      </c>
    </row>
    <row r="558" customFormat="false" ht="15" hidden="false" customHeight="false" outlineLevel="0" collapsed="false">
      <c r="A558" s="17" t="n">
        <v>554</v>
      </c>
      <c r="B558" s="12" t="s">
        <v>2580</v>
      </c>
      <c r="C558" s="12" t="s">
        <v>2581</v>
      </c>
      <c r="D558" s="16" t="n">
        <v>0.00721539351851852</v>
      </c>
      <c r="E558" s="15" t="n">
        <f aca="false">ROUND((D558-$D$5)*86400,2)</f>
        <v>84.39</v>
      </c>
      <c r="F558" s="17" t="n">
        <v>1647</v>
      </c>
      <c r="G558" s="16" t="str">
        <f aca="false">IF(INDEX(選手一覧!$D$7:$D$2738,$F558)="","",INDEX(選手一覧!$D$7:$D$2738,$F558))</f>
        <v/>
      </c>
      <c r="H558" s="17" t="str">
        <f aca="false">IF(INDEX(選手一覧!$E$7:$E$2738,$F558)="","",INDEX(選手一覧!$E$7:$E$2738,$F558))</f>
        <v/>
      </c>
      <c r="I558" s="16" t="str">
        <f aca="false">IF(INDEX(選手一覧!$J$7:$J$2738,$F558)="","",INDEX(選手一覧!$J$7:$J$2738,$F558))</f>
        <v/>
      </c>
      <c r="J558" s="17" t="str">
        <f aca="false">IF(INDEX(選手一覧!$K$7:$K$2738,$F558)="","",INDEX(選手一覧!$K$7:$K$2738,$F558))</f>
        <v/>
      </c>
    </row>
    <row r="559" customFormat="false" ht="15" hidden="false" customHeight="false" outlineLevel="0" collapsed="false">
      <c r="A559" s="17" t="n">
        <v>555</v>
      </c>
      <c r="B559" s="12" t="s">
        <v>2582</v>
      </c>
      <c r="C559" s="12" t="s">
        <v>2583</v>
      </c>
      <c r="D559" s="16" t="n">
        <v>0.00721608796296296</v>
      </c>
      <c r="E559" s="15" t="n">
        <f aca="false">ROUND((D559-$D$5)*86400,2)</f>
        <v>84.45</v>
      </c>
      <c r="F559" s="17" t="n">
        <v>1648</v>
      </c>
      <c r="G559" s="16" t="str">
        <f aca="false">IF(INDEX(選手一覧!$D$7:$D$2738,$F559)="","",INDEX(選手一覧!$D$7:$D$2738,$F559))</f>
        <v/>
      </c>
      <c r="H559" s="17" t="str">
        <f aca="false">IF(INDEX(選手一覧!$E$7:$E$2738,$F559)="","",INDEX(選手一覧!$E$7:$E$2738,$F559))</f>
        <v/>
      </c>
      <c r="I559" s="16" t="str">
        <f aca="false">IF(INDEX(選手一覧!$J$7:$J$2738,$F559)="","",INDEX(選手一覧!$J$7:$J$2738,$F559))</f>
        <v/>
      </c>
      <c r="J559" s="17" t="str">
        <f aca="false">IF(INDEX(選手一覧!$K$7:$K$2738,$F559)="","",INDEX(選手一覧!$K$7:$K$2738,$F559))</f>
        <v/>
      </c>
    </row>
    <row r="560" customFormat="false" ht="15" hidden="false" customHeight="false" outlineLevel="0" collapsed="false">
      <c r="A560" s="17" t="n">
        <v>556</v>
      </c>
      <c r="B560" s="12" t="s">
        <v>2584</v>
      </c>
      <c r="C560" s="12" t="s">
        <v>2385</v>
      </c>
      <c r="D560" s="16" t="n">
        <v>0.00721655092592593</v>
      </c>
      <c r="E560" s="15" t="n">
        <f aca="false">ROUND((D560-$D$5)*86400,2)</f>
        <v>84.49</v>
      </c>
      <c r="F560" s="17" t="n">
        <v>1649</v>
      </c>
      <c r="G560" s="16" t="str">
        <f aca="false">IF(INDEX(選手一覧!$D$7:$D$2738,$F560)="","",INDEX(選手一覧!$D$7:$D$2738,$F560))</f>
        <v/>
      </c>
      <c r="H560" s="17" t="str">
        <f aca="false">IF(INDEX(選手一覧!$E$7:$E$2738,$F560)="","",INDEX(選手一覧!$E$7:$E$2738,$F560))</f>
        <v/>
      </c>
      <c r="I560" s="16" t="str">
        <f aca="false">IF(INDEX(選手一覧!$J$7:$J$2738,$F560)="","",INDEX(選手一覧!$J$7:$J$2738,$F560))</f>
        <v/>
      </c>
      <c r="J560" s="17" t="str">
        <f aca="false">IF(INDEX(選手一覧!$K$7:$K$2738,$F560)="","",INDEX(選手一覧!$K$7:$K$2738,$F560))</f>
        <v/>
      </c>
    </row>
    <row r="561" customFormat="false" ht="15" hidden="false" customHeight="false" outlineLevel="0" collapsed="false">
      <c r="A561" s="17" t="n">
        <v>557</v>
      </c>
      <c r="B561" s="12" t="s">
        <v>1882</v>
      </c>
      <c r="C561" s="12" t="s">
        <v>1883</v>
      </c>
      <c r="D561" s="16" t="n">
        <v>0.00721666666666667</v>
      </c>
      <c r="E561" s="15" t="n">
        <f aca="false">ROUND((D561-$D$5)*86400,2)</f>
        <v>84.5</v>
      </c>
      <c r="F561" s="17" t="n">
        <v>1170</v>
      </c>
      <c r="G561" s="16" t="n">
        <f aca="false">IF(INDEX(選手一覧!$D$7:$D$2738,$F561)="","",INDEX(選手一覧!$D$7:$D$2738,$F561))</f>
        <v>0.0110373842592593</v>
      </c>
      <c r="H561" s="17" t="n">
        <f aca="false">IF(INDEX(選手一覧!$E$7:$E$2738,$F561)="","",INDEX(選手一覧!$E$7:$E$2738,$F561))</f>
        <v>1171</v>
      </c>
      <c r="I561" s="16" t="n">
        <f aca="false">IF(INDEX(選手一覧!$J$7:$J$2738,$F561)="","",INDEX(選手一覧!$J$7:$J$2738,$F561))</f>
        <v>0.00294166666666667</v>
      </c>
      <c r="J561" s="17" t="n">
        <f aca="false">IF(INDEX(選手一覧!$K$7:$K$2738,$F561)="","",INDEX(選手一覧!$K$7:$K$2738,$F561))</f>
        <v>1206</v>
      </c>
    </row>
    <row r="562" customFormat="false" ht="15" hidden="false" customHeight="false" outlineLevel="0" collapsed="false">
      <c r="A562" s="17" t="n">
        <v>558</v>
      </c>
      <c r="B562" s="12" t="s">
        <v>2586</v>
      </c>
      <c r="C562" s="12" t="s">
        <v>2587</v>
      </c>
      <c r="D562" s="16" t="n">
        <v>0.00721712962962963</v>
      </c>
      <c r="E562" s="15" t="n">
        <f aca="false">ROUND((D562-$D$5)*86400,2)</f>
        <v>84.54</v>
      </c>
      <c r="F562" s="17" t="n">
        <v>1651</v>
      </c>
      <c r="G562" s="16" t="str">
        <f aca="false">IF(INDEX(選手一覧!$D$7:$D$2738,$F562)="","",INDEX(選手一覧!$D$7:$D$2738,$F562))</f>
        <v/>
      </c>
      <c r="H562" s="17" t="str">
        <f aca="false">IF(INDEX(選手一覧!$E$7:$E$2738,$F562)="","",INDEX(選手一覧!$E$7:$E$2738,$F562))</f>
        <v/>
      </c>
      <c r="I562" s="16" t="str">
        <f aca="false">IF(INDEX(選手一覧!$J$7:$J$2738,$F562)="","",INDEX(選手一覧!$J$7:$J$2738,$F562))</f>
        <v/>
      </c>
      <c r="J562" s="17" t="str">
        <f aca="false">IF(INDEX(選手一覧!$K$7:$K$2738,$F562)="","",INDEX(選手一覧!$K$7:$K$2738,$F562))</f>
        <v/>
      </c>
    </row>
    <row r="563" customFormat="false" ht="15" hidden="false" customHeight="false" outlineLevel="0" collapsed="false">
      <c r="A563" s="17" t="n">
        <v>559</v>
      </c>
      <c r="B563" s="12" t="s">
        <v>2588</v>
      </c>
      <c r="C563" s="12" t="s">
        <v>2589</v>
      </c>
      <c r="D563" s="16" t="n">
        <v>0.00722013888888889</v>
      </c>
      <c r="E563" s="15" t="n">
        <f aca="false">ROUND((D563-$D$5)*86400,2)</f>
        <v>84.8</v>
      </c>
      <c r="F563" s="17" t="n">
        <v>1652</v>
      </c>
      <c r="G563" s="16" t="str">
        <f aca="false">IF(INDEX(選手一覧!$D$7:$D$2738,$F563)="","",INDEX(選手一覧!$D$7:$D$2738,$F563))</f>
        <v/>
      </c>
      <c r="H563" s="17" t="str">
        <f aca="false">IF(INDEX(選手一覧!$E$7:$E$2738,$F563)="","",INDEX(選手一覧!$E$7:$E$2738,$F563))</f>
        <v/>
      </c>
      <c r="I563" s="16" t="str">
        <f aca="false">IF(INDEX(選手一覧!$J$7:$J$2738,$F563)="","",INDEX(選手一覧!$J$7:$J$2738,$F563))</f>
        <v/>
      </c>
      <c r="J563" s="17" t="str">
        <f aca="false">IF(INDEX(選手一覧!$K$7:$K$2738,$F563)="","",INDEX(選手一覧!$K$7:$K$2738,$F563))</f>
        <v/>
      </c>
    </row>
    <row r="564" customFormat="false" ht="15" hidden="false" customHeight="false" outlineLevel="0" collapsed="false">
      <c r="A564" s="17" t="n">
        <v>560</v>
      </c>
      <c r="B564" s="12" t="s">
        <v>2590</v>
      </c>
      <c r="C564" s="12" t="s">
        <v>2312</v>
      </c>
      <c r="D564" s="16" t="n">
        <v>0.00722094907407407</v>
      </c>
      <c r="E564" s="15" t="n">
        <f aca="false">ROUND((D564-$D$5)*86400,2)</f>
        <v>84.87</v>
      </c>
      <c r="F564" s="17" t="n">
        <v>1653</v>
      </c>
      <c r="G564" s="16" t="str">
        <f aca="false">IF(INDEX(選手一覧!$D$7:$D$2738,$F564)="","",INDEX(選手一覧!$D$7:$D$2738,$F564))</f>
        <v/>
      </c>
      <c r="H564" s="17" t="str">
        <f aca="false">IF(INDEX(選手一覧!$E$7:$E$2738,$F564)="","",INDEX(選手一覧!$E$7:$E$2738,$F564))</f>
        <v/>
      </c>
      <c r="I564" s="16" t="str">
        <f aca="false">IF(INDEX(選手一覧!$J$7:$J$2738,$F564)="","",INDEX(選手一覧!$J$7:$J$2738,$F564))</f>
        <v/>
      </c>
      <c r="J564" s="17" t="str">
        <f aca="false">IF(INDEX(選手一覧!$K$7:$K$2738,$F564)="","",INDEX(選手一覧!$K$7:$K$2738,$F564))</f>
        <v/>
      </c>
    </row>
    <row r="565" customFormat="false" ht="15" hidden="false" customHeight="false" outlineLevel="0" collapsed="false">
      <c r="A565" s="17" t="n">
        <v>561</v>
      </c>
      <c r="B565" s="12" t="s">
        <v>2591</v>
      </c>
      <c r="C565" s="12" t="s">
        <v>1315</v>
      </c>
      <c r="D565" s="16" t="n">
        <v>0.00722106481481482</v>
      </c>
      <c r="E565" s="15" t="n">
        <f aca="false">ROUND((D565-$D$5)*86400,2)</f>
        <v>84.88</v>
      </c>
      <c r="F565" s="17" t="n">
        <v>1654</v>
      </c>
      <c r="G565" s="16" t="str">
        <f aca="false">IF(INDEX(選手一覧!$D$7:$D$2738,$F565)="","",INDEX(選手一覧!$D$7:$D$2738,$F565))</f>
        <v/>
      </c>
      <c r="H565" s="17" t="str">
        <f aca="false">IF(INDEX(選手一覧!$E$7:$E$2738,$F565)="","",INDEX(選手一覧!$E$7:$E$2738,$F565))</f>
        <v/>
      </c>
      <c r="I565" s="16" t="n">
        <f aca="false">IF(INDEX(選手一覧!$J$7:$J$2738,$F565)="","",INDEX(選手一覧!$J$7:$J$2738,$F565))</f>
        <v>0.00289560185185185</v>
      </c>
      <c r="J565" s="17" t="n">
        <f aca="false">IF(INDEX(選手一覧!$K$7:$K$2738,$F565)="","",INDEX(選手一覧!$K$7:$K$2738,$F565))</f>
        <v>916</v>
      </c>
    </row>
    <row r="566" customFormat="false" ht="15" hidden="false" customHeight="false" outlineLevel="0" collapsed="false">
      <c r="A566" s="17" t="n">
        <v>562</v>
      </c>
      <c r="B566" s="12" t="s">
        <v>2592</v>
      </c>
      <c r="C566" s="12" t="s">
        <v>2188</v>
      </c>
      <c r="D566" s="16" t="n">
        <v>0.007221875</v>
      </c>
      <c r="E566" s="15" t="n">
        <f aca="false">ROUND((D566-$D$5)*86400,2)</f>
        <v>84.95</v>
      </c>
      <c r="F566" s="17" t="n">
        <v>1655</v>
      </c>
      <c r="G566" s="16" t="str">
        <f aca="false">IF(INDEX(選手一覧!$D$7:$D$2738,$F566)="","",INDEX(選手一覧!$D$7:$D$2738,$F566))</f>
        <v/>
      </c>
      <c r="H566" s="17" t="str">
        <f aca="false">IF(INDEX(選手一覧!$E$7:$E$2738,$F566)="","",INDEX(選手一覧!$E$7:$E$2738,$F566))</f>
        <v/>
      </c>
      <c r="I566" s="16" t="str">
        <f aca="false">IF(INDEX(選手一覧!$J$7:$J$2738,$F566)="","",INDEX(選手一覧!$J$7:$J$2738,$F566))</f>
        <v/>
      </c>
      <c r="J566" s="17" t="str">
        <f aca="false">IF(INDEX(選手一覧!$K$7:$K$2738,$F566)="","",INDEX(選手一覧!$K$7:$K$2738,$F566))</f>
        <v/>
      </c>
    </row>
    <row r="567" customFormat="false" ht="15" hidden="false" customHeight="false" outlineLevel="0" collapsed="false">
      <c r="A567" s="17" t="n">
        <v>563</v>
      </c>
      <c r="B567" s="12" t="s">
        <v>2595</v>
      </c>
      <c r="C567" s="12" t="s">
        <v>2596</v>
      </c>
      <c r="D567" s="16" t="n">
        <v>0.00722326388888889</v>
      </c>
      <c r="E567" s="15" t="n">
        <f aca="false">ROUND((D567-$D$5)*86400,2)</f>
        <v>85.07</v>
      </c>
      <c r="F567" s="17" t="n">
        <v>1657</v>
      </c>
      <c r="G567" s="16" t="str">
        <f aca="false">IF(INDEX(選手一覧!$D$7:$D$2738,$F567)="","",INDEX(選手一覧!$D$7:$D$2738,$F567))</f>
        <v/>
      </c>
      <c r="H567" s="17" t="str">
        <f aca="false">IF(INDEX(選手一覧!$E$7:$E$2738,$F567)="","",INDEX(選手一覧!$E$7:$E$2738,$F567))</f>
        <v/>
      </c>
      <c r="I567" s="16" t="str">
        <f aca="false">IF(INDEX(選手一覧!$J$7:$J$2738,$F567)="","",INDEX(選手一覧!$J$7:$J$2738,$F567))</f>
        <v/>
      </c>
      <c r="J567" s="17" t="str">
        <f aca="false">IF(INDEX(選手一覧!$K$7:$K$2738,$F567)="","",INDEX(選手一覧!$K$7:$K$2738,$F567))</f>
        <v/>
      </c>
    </row>
    <row r="568" customFormat="false" ht="15" hidden="false" customHeight="false" outlineLevel="0" collapsed="false">
      <c r="A568" s="17" t="n">
        <v>564</v>
      </c>
      <c r="B568" s="12" t="s">
        <v>2599</v>
      </c>
      <c r="C568" s="12" t="s">
        <v>2600</v>
      </c>
      <c r="D568" s="16" t="n">
        <v>0.00722395833333333</v>
      </c>
      <c r="E568" s="15" t="n">
        <f aca="false">ROUND((D568-$D$5)*86400,2)</f>
        <v>85.13</v>
      </c>
      <c r="F568" s="17" t="n">
        <v>1659</v>
      </c>
      <c r="G568" s="16" t="str">
        <f aca="false">IF(INDEX(選手一覧!$D$7:$D$2738,$F568)="","",INDEX(選手一覧!$D$7:$D$2738,$F568))</f>
        <v/>
      </c>
      <c r="H568" s="17" t="str">
        <f aca="false">IF(INDEX(選手一覧!$E$7:$E$2738,$F568)="","",INDEX(選手一覧!$E$7:$E$2738,$F568))</f>
        <v/>
      </c>
      <c r="I568" s="16" t="str">
        <f aca="false">IF(INDEX(選手一覧!$J$7:$J$2738,$F568)="","",INDEX(選手一覧!$J$7:$J$2738,$F568))</f>
        <v/>
      </c>
      <c r="J568" s="17" t="str">
        <f aca="false">IF(INDEX(選手一覧!$K$7:$K$2738,$F568)="","",INDEX(選手一覧!$K$7:$K$2738,$F568))</f>
        <v/>
      </c>
    </row>
    <row r="569" customFormat="false" ht="15" hidden="false" customHeight="false" outlineLevel="0" collapsed="false">
      <c r="A569" s="17" t="n">
        <v>565</v>
      </c>
      <c r="B569" s="12" t="s">
        <v>1232</v>
      </c>
      <c r="C569" s="12" t="s">
        <v>1049</v>
      </c>
      <c r="D569" s="16" t="n">
        <v>0.00722488425925926</v>
      </c>
      <c r="E569" s="15" t="n">
        <f aca="false">ROUND((D569-$D$5)*86400,2)</f>
        <v>85.21</v>
      </c>
      <c r="F569" s="17" t="n">
        <v>733</v>
      </c>
      <c r="G569" s="16" t="n">
        <f aca="false">IF(INDEX(選手一覧!$D$7:$D$2738,$F569)="","",INDEX(選手一覧!$D$7:$D$2738,$F569))</f>
        <v>0.0107952546296296</v>
      </c>
      <c r="H569" s="17" t="n">
        <f aca="false">IF(INDEX(選手一覧!$E$7:$E$2738,$F569)="","",INDEX(選手一覧!$E$7:$E$2738,$F569))</f>
        <v>734</v>
      </c>
      <c r="I569" s="16" t="n">
        <f aca="false">IF(INDEX(選手一覧!$J$7:$J$2738,$F569)="","",INDEX(選手一覧!$J$7:$J$2738,$F569))</f>
        <v>0.00296493055555556</v>
      </c>
      <c r="J569" s="17" t="n">
        <f aca="false">IF(INDEX(選手一覧!$K$7:$K$2738,$F569)="","",INDEX(選手一覧!$K$7:$K$2738,$F569))</f>
        <v>1290</v>
      </c>
    </row>
    <row r="570" customFormat="false" ht="15" hidden="false" customHeight="false" outlineLevel="0" collapsed="false">
      <c r="A570" s="17" t="n">
        <v>566</v>
      </c>
      <c r="B570" s="12" t="s">
        <v>2602</v>
      </c>
      <c r="C570" s="12" t="s">
        <v>996</v>
      </c>
      <c r="D570" s="16" t="n">
        <v>0.00722581018518519</v>
      </c>
      <c r="E570" s="15" t="n">
        <f aca="false">ROUND((D570-$D$5)*86400,2)</f>
        <v>85.29</v>
      </c>
      <c r="F570" s="17" t="n">
        <v>1661</v>
      </c>
      <c r="G570" s="16" t="str">
        <f aca="false">IF(INDEX(選手一覧!$D$7:$D$2738,$F570)="","",INDEX(選手一覧!$D$7:$D$2738,$F570))</f>
        <v/>
      </c>
      <c r="H570" s="17" t="str">
        <f aca="false">IF(INDEX(選手一覧!$E$7:$E$2738,$F570)="","",INDEX(選手一覧!$E$7:$E$2738,$F570))</f>
        <v/>
      </c>
      <c r="I570" s="16" t="str">
        <f aca="false">IF(INDEX(選手一覧!$J$7:$J$2738,$F570)="","",INDEX(選手一覧!$J$7:$J$2738,$F570))</f>
        <v/>
      </c>
      <c r="J570" s="17" t="str">
        <f aca="false">IF(INDEX(選手一覧!$K$7:$K$2738,$F570)="","",INDEX(選手一覧!$K$7:$K$2738,$F570))</f>
        <v/>
      </c>
    </row>
    <row r="571" customFormat="false" ht="15" hidden="false" customHeight="false" outlineLevel="0" collapsed="false">
      <c r="A571" s="17" t="n">
        <v>567</v>
      </c>
      <c r="B571" s="12" t="s">
        <v>2604</v>
      </c>
      <c r="C571" s="12" t="s">
        <v>259</v>
      </c>
      <c r="D571" s="16" t="n">
        <v>0.00722604166666667</v>
      </c>
      <c r="E571" s="15" t="n">
        <f aca="false">ROUND((D571-$D$5)*86400,2)</f>
        <v>85.31</v>
      </c>
      <c r="F571" s="17" t="n">
        <v>1663</v>
      </c>
      <c r="G571" s="16" t="str">
        <f aca="false">IF(INDEX(選手一覧!$D$7:$D$2738,$F571)="","",INDEX(選手一覧!$D$7:$D$2738,$F571))</f>
        <v/>
      </c>
      <c r="H571" s="17" t="str">
        <f aca="false">IF(INDEX(選手一覧!$E$7:$E$2738,$F571)="","",INDEX(選手一覧!$E$7:$E$2738,$F571))</f>
        <v/>
      </c>
      <c r="I571" s="16" t="str">
        <f aca="false">IF(INDEX(選手一覧!$J$7:$J$2738,$F571)="","",INDEX(選手一覧!$J$7:$J$2738,$F571))</f>
        <v/>
      </c>
      <c r="J571" s="17" t="str">
        <f aca="false">IF(INDEX(選手一覧!$K$7:$K$2738,$F571)="","",INDEX(選手一覧!$K$7:$K$2738,$F571))</f>
        <v/>
      </c>
    </row>
    <row r="572" customFormat="false" ht="15" hidden="false" customHeight="false" outlineLevel="0" collapsed="false">
      <c r="A572" s="17" t="n">
        <v>568</v>
      </c>
      <c r="B572" s="12" t="s">
        <v>2605</v>
      </c>
      <c r="C572" s="12" t="s">
        <v>1503</v>
      </c>
      <c r="D572" s="16" t="n">
        <v>0.00722638888888889</v>
      </c>
      <c r="E572" s="15" t="n">
        <f aca="false">ROUND((D572-$D$5)*86400,2)</f>
        <v>85.34</v>
      </c>
      <c r="F572" s="17" t="n">
        <v>1664</v>
      </c>
      <c r="G572" s="16" t="str">
        <f aca="false">IF(INDEX(選手一覧!$D$7:$D$2738,$F572)="","",INDEX(選手一覧!$D$7:$D$2738,$F572))</f>
        <v/>
      </c>
      <c r="H572" s="17" t="str">
        <f aca="false">IF(INDEX(選手一覧!$E$7:$E$2738,$F572)="","",INDEX(選手一覧!$E$7:$E$2738,$F572))</f>
        <v/>
      </c>
      <c r="I572" s="16" t="str">
        <f aca="false">IF(INDEX(選手一覧!$J$7:$J$2738,$F572)="","",INDEX(選手一覧!$J$7:$J$2738,$F572))</f>
        <v/>
      </c>
      <c r="J572" s="17" t="str">
        <f aca="false">IF(INDEX(選手一覧!$K$7:$K$2738,$F572)="","",INDEX(選手一覧!$K$7:$K$2738,$F572))</f>
        <v/>
      </c>
    </row>
    <row r="573" customFormat="false" ht="15" hidden="false" customHeight="false" outlineLevel="0" collapsed="false">
      <c r="A573" s="17" t="n">
        <v>569</v>
      </c>
      <c r="B573" s="12" t="s">
        <v>2606</v>
      </c>
      <c r="C573" s="12" t="s">
        <v>2607</v>
      </c>
      <c r="D573" s="16" t="n">
        <v>0.00722743055555556</v>
      </c>
      <c r="E573" s="15" t="n">
        <f aca="false">ROUND((D573-$D$5)*86400,2)</f>
        <v>85.43</v>
      </c>
      <c r="F573" s="17" t="n">
        <v>1665</v>
      </c>
      <c r="G573" s="16" t="str">
        <f aca="false">IF(INDEX(選手一覧!$D$7:$D$2738,$F573)="","",INDEX(選手一覧!$D$7:$D$2738,$F573))</f>
        <v/>
      </c>
      <c r="H573" s="17" t="str">
        <f aca="false">IF(INDEX(選手一覧!$E$7:$E$2738,$F573)="","",INDEX(選手一覧!$E$7:$E$2738,$F573))</f>
        <v/>
      </c>
      <c r="I573" s="16" t="str">
        <f aca="false">IF(INDEX(選手一覧!$J$7:$J$2738,$F573)="","",INDEX(選手一覧!$J$7:$J$2738,$F573))</f>
        <v/>
      </c>
      <c r="J573" s="17" t="str">
        <f aca="false">IF(INDEX(選手一覧!$K$7:$K$2738,$F573)="","",INDEX(選手一覧!$K$7:$K$2738,$F573))</f>
        <v/>
      </c>
    </row>
    <row r="574" customFormat="false" ht="15" hidden="false" customHeight="false" outlineLevel="0" collapsed="false">
      <c r="A574" s="17" t="n">
        <v>570</v>
      </c>
      <c r="B574" s="12" t="s">
        <v>2608</v>
      </c>
      <c r="C574" s="12" t="s">
        <v>2609</v>
      </c>
      <c r="D574" s="16" t="n">
        <v>0.00722881944444445</v>
      </c>
      <c r="E574" s="15" t="n">
        <f aca="false">ROUND((D574-$D$5)*86400,2)</f>
        <v>85.55</v>
      </c>
      <c r="F574" s="17" t="n">
        <v>1666</v>
      </c>
      <c r="G574" s="16" t="str">
        <f aca="false">IF(INDEX(選手一覧!$D$7:$D$2738,$F574)="","",INDEX(選手一覧!$D$7:$D$2738,$F574))</f>
        <v/>
      </c>
      <c r="H574" s="17" t="str">
        <f aca="false">IF(INDEX(選手一覧!$E$7:$E$2738,$F574)="","",INDEX(選手一覧!$E$7:$E$2738,$F574))</f>
        <v/>
      </c>
      <c r="I574" s="16" t="str">
        <f aca="false">IF(INDEX(選手一覧!$J$7:$J$2738,$F574)="","",INDEX(選手一覧!$J$7:$J$2738,$F574))</f>
        <v/>
      </c>
      <c r="J574" s="17" t="str">
        <f aca="false">IF(INDEX(選手一覧!$K$7:$K$2738,$F574)="","",INDEX(選手一覧!$K$7:$K$2738,$F574))</f>
        <v/>
      </c>
    </row>
    <row r="575" customFormat="false" ht="15" hidden="false" customHeight="false" outlineLevel="0" collapsed="false">
      <c r="A575" s="17" t="n">
        <v>571</v>
      </c>
      <c r="B575" s="12" t="s">
        <v>2610</v>
      </c>
      <c r="C575" s="12" t="s">
        <v>1927</v>
      </c>
      <c r="D575" s="16" t="n">
        <v>0.00722905092592593</v>
      </c>
      <c r="E575" s="15" t="n">
        <f aca="false">ROUND((D575-$D$5)*86400,2)</f>
        <v>85.57</v>
      </c>
      <c r="F575" s="17" t="n">
        <v>1667</v>
      </c>
      <c r="G575" s="16" t="str">
        <f aca="false">IF(INDEX(選手一覧!$D$7:$D$2738,$F575)="","",INDEX(選手一覧!$D$7:$D$2738,$F575))</f>
        <v/>
      </c>
      <c r="H575" s="17" t="str">
        <f aca="false">IF(INDEX(選手一覧!$E$7:$E$2738,$F575)="","",INDEX(選手一覧!$E$7:$E$2738,$F575))</f>
        <v/>
      </c>
      <c r="I575" s="16" t="str">
        <f aca="false">IF(INDEX(選手一覧!$J$7:$J$2738,$F575)="","",INDEX(選手一覧!$J$7:$J$2738,$F575))</f>
        <v/>
      </c>
      <c r="J575" s="17" t="str">
        <f aca="false">IF(INDEX(選手一覧!$K$7:$K$2738,$F575)="","",INDEX(選手一覧!$K$7:$K$2738,$F575))</f>
        <v/>
      </c>
    </row>
    <row r="576" customFormat="false" ht="15" hidden="false" customHeight="false" outlineLevel="0" collapsed="false">
      <c r="A576" s="17" t="n">
        <v>572</v>
      </c>
      <c r="B576" s="12" t="s">
        <v>2611</v>
      </c>
      <c r="C576" s="12" t="s">
        <v>2612</v>
      </c>
      <c r="D576" s="16" t="n">
        <v>0.00722916666666667</v>
      </c>
      <c r="E576" s="15" t="n">
        <f aca="false">ROUND((D576-$D$5)*86400,2)</f>
        <v>85.58</v>
      </c>
      <c r="F576" s="17" t="n">
        <v>1668</v>
      </c>
      <c r="G576" s="16" t="str">
        <f aca="false">IF(INDEX(選手一覧!$D$7:$D$2738,$F576)="","",INDEX(選手一覧!$D$7:$D$2738,$F576))</f>
        <v/>
      </c>
      <c r="H576" s="17" t="str">
        <f aca="false">IF(INDEX(選手一覧!$E$7:$E$2738,$F576)="","",INDEX(選手一覧!$E$7:$E$2738,$F576))</f>
        <v/>
      </c>
      <c r="I576" s="16" t="str">
        <f aca="false">IF(INDEX(選手一覧!$J$7:$J$2738,$F576)="","",INDEX(選手一覧!$J$7:$J$2738,$F576))</f>
        <v/>
      </c>
      <c r="J576" s="17" t="str">
        <f aca="false">IF(INDEX(選手一覧!$K$7:$K$2738,$F576)="","",INDEX(選手一覧!$K$7:$K$2738,$F576))</f>
        <v/>
      </c>
    </row>
    <row r="577" customFormat="false" ht="15" hidden="false" customHeight="false" outlineLevel="0" collapsed="false">
      <c r="A577" s="17" t="n">
        <v>573</v>
      </c>
      <c r="B577" s="12" t="s">
        <v>2613</v>
      </c>
      <c r="C577" s="12" t="s">
        <v>1049</v>
      </c>
      <c r="D577" s="16" t="n">
        <v>0.00722951388888889</v>
      </c>
      <c r="E577" s="15" t="n">
        <f aca="false">ROUND((D577-$D$5)*86400,2)</f>
        <v>85.61</v>
      </c>
      <c r="F577" s="17" t="n">
        <v>1669</v>
      </c>
      <c r="G577" s="16" t="str">
        <f aca="false">IF(INDEX(選手一覧!$D$7:$D$2738,$F577)="","",INDEX(選手一覧!$D$7:$D$2738,$F577))</f>
        <v/>
      </c>
      <c r="H577" s="17" t="str">
        <f aca="false">IF(INDEX(選手一覧!$E$7:$E$2738,$F577)="","",INDEX(選手一覧!$E$7:$E$2738,$F577))</f>
        <v/>
      </c>
      <c r="I577" s="16" t="n">
        <f aca="false">IF(INDEX(選手一覧!$J$7:$J$2738,$F577)="","",INDEX(選手一覧!$J$7:$J$2738,$F577))</f>
        <v>0.00286990740740741</v>
      </c>
      <c r="J577" s="17" t="n">
        <f aca="false">IF(INDEX(選手一覧!$K$7:$K$2738,$F577)="","",INDEX(選手一覧!$K$7:$K$2738,$F577))</f>
        <v>695</v>
      </c>
    </row>
    <row r="578" customFormat="false" ht="15" hidden="false" customHeight="false" outlineLevel="0" collapsed="false">
      <c r="A578" s="17" t="n">
        <v>574</v>
      </c>
      <c r="B578" s="12" t="s">
        <v>564</v>
      </c>
      <c r="C578" s="12" t="s">
        <v>565</v>
      </c>
      <c r="D578" s="16" t="n">
        <v>0.00723009259259259</v>
      </c>
      <c r="E578" s="15" t="n">
        <f aca="false">ROUND((D578-$D$5)*86400,2)</f>
        <v>85.66</v>
      </c>
      <c r="F578" s="17" t="n">
        <v>301</v>
      </c>
      <c r="G578" s="16" t="n">
        <f aca="false">IF(INDEX(選手一覧!$D$7:$D$2738,$F578)="","",INDEX(選手一覧!$D$7:$D$2738,$F578))</f>
        <v>0.0104483796296296</v>
      </c>
      <c r="H578" s="17" t="n">
        <f aca="false">IF(INDEX(選手一覧!$E$7:$E$2738,$F578)="","",INDEX(選手一覧!$E$7:$E$2738,$F578))</f>
        <v>302</v>
      </c>
      <c r="I578" s="16" t="n">
        <f aca="false">IF(INDEX(選手一覧!$J$7:$J$2738,$F578)="","",INDEX(選手一覧!$J$7:$J$2738,$F578))</f>
        <v>0.00286956018518519</v>
      </c>
      <c r="J578" s="17" t="n">
        <f aca="false">IF(INDEX(選手一覧!$K$7:$K$2738,$F578)="","",INDEX(選手一覧!$K$7:$K$2738,$F578))</f>
        <v>691</v>
      </c>
    </row>
    <row r="579" customFormat="false" ht="15" hidden="false" customHeight="false" outlineLevel="0" collapsed="false">
      <c r="A579" s="17" t="n">
        <v>575</v>
      </c>
      <c r="B579" s="12" t="s">
        <v>1737</v>
      </c>
      <c r="C579" s="12" t="s">
        <v>1738</v>
      </c>
      <c r="D579" s="16" t="n">
        <v>0.00723148148148148</v>
      </c>
      <c r="E579" s="15" t="n">
        <f aca="false">ROUND((D579-$D$5)*86400,2)</f>
        <v>85.78</v>
      </c>
      <c r="F579" s="17" t="n">
        <v>1073</v>
      </c>
      <c r="G579" s="16" t="n">
        <f aca="false">IF(INDEX(選手一覧!$D$7:$D$2738,$F579)="","",INDEX(選手一覧!$D$7:$D$2738,$F579))</f>
        <v>0.0109866898148148</v>
      </c>
      <c r="H579" s="17" t="n">
        <f aca="false">IF(INDEX(選手一覧!$E$7:$E$2738,$F579)="","",INDEX(選手一覧!$E$7:$E$2738,$F579))</f>
        <v>1074</v>
      </c>
      <c r="I579" s="16" t="n">
        <f aca="false">IF(INDEX(選手一覧!$J$7:$J$2738,$F579)="","",INDEX(選手一覧!$J$7:$J$2738,$F579))</f>
        <v>0.00285983796296296</v>
      </c>
      <c r="J579" s="17" t="n">
        <f aca="false">IF(INDEX(選手一覧!$K$7:$K$2738,$F579)="","",INDEX(選手一覧!$K$7:$K$2738,$F579))</f>
        <v>632</v>
      </c>
    </row>
    <row r="580" customFormat="false" ht="15" hidden="false" customHeight="false" outlineLevel="0" collapsed="false">
      <c r="A580" s="17" t="n">
        <v>576</v>
      </c>
      <c r="B580" s="12" t="s">
        <v>847</v>
      </c>
      <c r="C580" s="12" t="s">
        <v>463</v>
      </c>
      <c r="D580" s="16" t="n">
        <v>0.00723171296296296</v>
      </c>
      <c r="E580" s="15" t="n">
        <f aca="false">ROUND((D580-$D$5)*86400,2)</f>
        <v>85.8</v>
      </c>
      <c r="F580" s="17" t="n">
        <v>481</v>
      </c>
      <c r="G580" s="16" t="n">
        <f aca="false">IF(INDEX(選手一覧!$D$7:$D$2738,$F580)="","",INDEX(選手一覧!$D$7:$D$2738,$F580))</f>
        <v>0.0106128472222222</v>
      </c>
      <c r="H580" s="17" t="n">
        <f aca="false">IF(INDEX(選手一覧!$E$7:$E$2738,$F580)="","",INDEX(選手一覧!$E$7:$E$2738,$F580))</f>
        <v>482</v>
      </c>
      <c r="I580" s="16" t="n">
        <f aca="false">IF(INDEX(選手一覧!$J$7:$J$2738,$F580)="","",INDEX(選手一覧!$J$7:$J$2738,$F580))</f>
        <v>0.00281458333333333</v>
      </c>
      <c r="J580" s="17" t="n">
        <f aca="false">IF(INDEX(選手一覧!$K$7:$K$2738,$F580)="","",INDEX(選手一覧!$K$7:$K$2738,$F580))</f>
        <v>341</v>
      </c>
    </row>
    <row r="581" customFormat="false" ht="15" hidden="false" customHeight="false" outlineLevel="0" collapsed="false">
      <c r="A581" s="17" t="n">
        <v>577</v>
      </c>
      <c r="B581" s="12" t="s">
        <v>2617</v>
      </c>
      <c r="C581" s="12" t="s">
        <v>674</v>
      </c>
      <c r="D581" s="16" t="n">
        <v>0.00723217592592593</v>
      </c>
      <c r="E581" s="15" t="n">
        <f aca="false">ROUND((D581-$D$5)*86400,2)</f>
        <v>85.84</v>
      </c>
      <c r="F581" s="17" t="n">
        <v>1672</v>
      </c>
      <c r="G581" s="16" t="str">
        <f aca="false">IF(INDEX(選手一覧!$D$7:$D$2738,$F581)="","",INDEX(選手一覧!$D$7:$D$2738,$F581))</f>
        <v/>
      </c>
      <c r="H581" s="17" t="str">
        <f aca="false">IF(INDEX(選手一覧!$E$7:$E$2738,$F581)="","",INDEX(選手一覧!$E$7:$E$2738,$F581))</f>
        <v/>
      </c>
      <c r="I581" s="16" t="str">
        <f aca="false">IF(INDEX(選手一覧!$J$7:$J$2738,$F581)="","",INDEX(選手一覧!$J$7:$J$2738,$F581))</f>
        <v/>
      </c>
      <c r="J581" s="17" t="str">
        <f aca="false">IF(INDEX(選手一覧!$K$7:$K$2738,$F581)="","",INDEX(選手一覧!$K$7:$K$2738,$F581))</f>
        <v/>
      </c>
    </row>
    <row r="582" customFormat="false" ht="15" hidden="false" customHeight="false" outlineLevel="0" collapsed="false">
      <c r="A582" s="17" t="n">
        <v>578</v>
      </c>
      <c r="B582" s="12" t="s">
        <v>2620</v>
      </c>
      <c r="C582" s="12" t="s">
        <v>2621</v>
      </c>
      <c r="D582" s="16" t="n">
        <v>0.00723321759259259</v>
      </c>
      <c r="E582" s="15" t="n">
        <f aca="false">ROUND((D582-$D$5)*86400,2)</f>
        <v>85.93</v>
      </c>
      <c r="F582" s="17" t="n">
        <v>1674</v>
      </c>
      <c r="G582" s="16" t="str">
        <f aca="false">IF(INDEX(選手一覧!$D$7:$D$2738,$F582)="","",INDEX(選手一覧!$D$7:$D$2738,$F582))</f>
        <v/>
      </c>
      <c r="H582" s="17" t="str">
        <f aca="false">IF(INDEX(選手一覧!$E$7:$E$2738,$F582)="","",INDEX(選手一覧!$E$7:$E$2738,$F582))</f>
        <v/>
      </c>
      <c r="I582" s="16" t="str">
        <f aca="false">IF(INDEX(選手一覧!$J$7:$J$2738,$F582)="","",INDEX(選手一覧!$J$7:$J$2738,$F582))</f>
        <v/>
      </c>
      <c r="J582" s="17" t="str">
        <f aca="false">IF(INDEX(選手一覧!$K$7:$K$2738,$F582)="","",INDEX(選手一覧!$K$7:$K$2738,$F582))</f>
        <v/>
      </c>
    </row>
    <row r="583" customFormat="false" ht="15" hidden="false" customHeight="false" outlineLevel="0" collapsed="false">
      <c r="A583" s="17" t="n">
        <v>579</v>
      </c>
      <c r="B583" s="12" t="s">
        <v>2622</v>
      </c>
      <c r="C583" s="12" t="s">
        <v>846</v>
      </c>
      <c r="D583" s="16" t="n">
        <v>0.0072337962962963</v>
      </c>
      <c r="E583" s="15" t="n">
        <f aca="false">ROUND((D583-$D$5)*86400,2)</f>
        <v>85.98</v>
      </c>
      <c r="F583" s="17" t="n">
        <v>1675</v>
      </c>
      <c r="G583" s="16" t="str">
        <f aca="false">IF(INDEX(選手一覧!$D$7:$D$2738,$F583)="","",INDEX(選手一覧!$D$7:$D$2738,$F583))</f>
        <v/>
      </c>
      <c r="H583" s="17" t="str">
        <f aca="false">IF(INDEX(選手一覧!$E$7:$E$2738,$F583)="","",INDEX(選手一覧!$E$7:$E$2738,$F583))</f>
        <v/>
      </c>
      <c r="I583" s="16" t="str">
        <f aca="false">IF(INDEX(選手一覧!$J$7:$J$2738,$F583)="","",INDEX(選手一覧!$J$7:$J$2738,$F583))</f>
        <v/>
      </c>
      <c r="J583" s="17" t="str">
        <f aca="false">IF(INDEX(選手一覧!$K$7:$K$2738,$F583)="","",INDEX(選手一覧!$K$7:$K$2738,$F583))</f>
        <v/>
      </c>
    </row>
    <row r="584" customFormat="false" ht="15" hidden="false" customHeight="false" outlineLevel="0" collapsed="false">
      <c r="A584" s="17" t="n">
        <v>580</v>
      </c>
      <c r="B584" s="12" t="s">
        <v>2623</v>
      </c>
      <c r="C584" s="12" t="s">
        <v>2624</v>
      </c>
      <c r="D584" s="16" t="n">
        <v>0.00723460648148148</v>
      </c>
      <c r="E584" s="15" t="n">
        <f aca="false">ROUND((D584-$D$5)*86400,2)</f>
        <v>86.05</v>
      </c>
      <c r="F584" s="17" t="n">
        <v>1676</v>
      </c>
      <c r="G584" s="16" t="str">
        <f aca="false">IF(INDEX(選手一覧!$D$7:$D$2738,$F584)="","",INDEX(選手一覧!$D$7:$D$2738,$F584))</f>
        <v/>
      </c>
      <c r="H584" s="17" t="str">
        <f aca="false">IF(INDEX(選手一覧!$E$7:$E$2738,$F584)="","",INDEX(選手一覧!$E$7:$E$2738,$F584))</f>
        <v/>
      </c>
      <c r="I584" s="16" t="str">
        <f aca="false">IF(INDEX(選手一覧!$J$7:$J$2738,$F584)="","",INDEX(選手一覧!$J$7:$J$2738,$F584))</f>
        <v/>
      </c>
      <c r="J584" s="17" t="str">
        <f aca="false">IF(INDEX(選手一覧!$K$7:$K$2738,$F584)="","",INDEX(選手一覧!$K$7:$K$2738,$F584))</f>
        <v/>
      </c>
    </row>
    <row r="585" customFormat="false" ht="15" hidden="false" customHeight="false" outlineLevel="0" collapsed="false">
      <c r="A585" s="17" t="n">
        <v>581</v>
      </c>
      <c r="B585" s="12" t="s">
        <v>1674</v>
      </c>
      <c r="C585" s="12" t="s">
        <v>1675</v>
      </c>
      <c r="D585" s="16" t="n">
        <v>0.00723611111111111</v>
      </c>
      <c r="E585" s="15" t="n">
        <f aca="false">ROUND((D585-$D$5)*86400,2)</f>
        <v>86.18</v>
      </c>
      <c r="F585" s="17" t="n">
        <v>1032</v>
      </c>
      <c r="G585" s="16" t="n">
        <f aca="false">IF(INDEX(選手一覧!$D$7:$D$2738,$F585)="","",INDEX(選手一覧!$D$7:$D$2738,$F585))</f>
        <v>0.0109680555555556</v>
      </c>
      <c r="H585" s="17" t="n">
        <f aca="false">IF(INDEX(選手一覧!$E$7:$E$2738,$F585)="","",INDEX(選手一覧!$E$7:$E$2738,$F585))</f>
        <v>1033</v>
      </c>
      <c r="I585" s="16" t="n">
        <f aca="false">IF(INDEX(選手一覧!$J$7:$J$2738,$F585)="","",INDEX(選手一覧!$J$7:$J$2738,$F585))</f>
        <v>0.00288900462962963</v>
      </c>
      <c r="J585" s="17" t="n">
        <f aca="false">IF(INDEX(選手一覧!$K$7:$K$2738,$F585)="","",INDEX(選手一覧!$K$7:$K$2738,$F585))</f>
        <v>855</v>
      </c>
    </row>
    <row r="586" customFormat="false" ht="15" hidden="false" customHeight="false" outlineLevel="0" collapsed="false">
      <c r="A586" s="17" t="n">
        <v>582</v>
      </c>
      <c r="B586" s="12" t="s">
        <v>2626</v>
      </c>
      <c r="C586" s="12" t="s">
        <v>1154</v>
      </c>
      <c r="D586" s="16" t="n">
        <v>0.00723634259259259</v>
      </c>
      <c r="E586" s="15" t="n">
        <f aca="false">ROUND((D586-$D$5)*86400,2)</f>
        <v>86.2</v>
      </c>
      <c r="F586" s="17" t="n">
        <v>1678</v>
      </c>
      <c r="G586" s="16" t="str">
        <f aca="false">IF(INDEX(選手一覧!$D$7:$D$2738,$F586)="","",INDEX(選手一覧!$D$7:$D$2738,$F586))</f>
        <v/>
      </c>
      <c r="H586" s="17" t="str">
        <f aca="false">IF(INDEX(選手一覧!$E$7:$E$2738,$F586)="","",INDEX(選手一覧!$E$7:$E$2738,$F586))</f>
        <v/>
      </c>
      <c r="I586" s="16" t="str">
        <f aca="false">IF(INDEX(選手一覧!$J$7:$J$2738,$F586)="","",INDEX(選手一覧!$J$7:$J$2738,$F586))</f>
        <v/>
      </c>
      <c r="J586" s="17" t="str">
        <f aca="false">IF(INDEX(選手一覧!$K$7:$K$2738,$F586)="","",INDEX(選手一覧!$K$7:$K$2738,$F586))</f>
        <v/>
      </c>
    </row>
    <row r="587" customFormat="false" ht="15" hidden="false" customHeight="false" outlineLevel="0" collapsed="false">
      <c r="A587" s="17" t="n">
        <v>583</v>
      </c>
      <c r="B587" s="12" t="s">
        <v>2627</v>
      </c>
      <c r="C587" s="12" t="s">
        <v>2628</v>
      </c>
      <c r="D587" s="16" t="n">
        <v>0.00723761574074074</v>
      </c>
      <c r="E587" s="15" t="n">
        <f aca="false">ROUND((D587-$D$5)*86400,2)</f>
        <v>86.31</v>
      </c>
      <c r="F587" s="17" t="n">
        <v>1679</v>
      </c>
      <c r="G587" s="16" t="str">
        <f aca="false">IF(INDEX(選手一覧!$D$7:$D$2738,$F587)="","",INDEX(選手一覧!$D$7:$D$2738,$F587))</f>
        <v/>
      </c>
      <c r="H587" s="17" t="str">
        <f aca="false">IF(INDEX(選手一覧!$E$7:$E$2738,$F587)="","",INDEX(選手一覧!$E$7:$E$2738,$F587))</f>
        <v/>
      </c>
      <c r="I587" s="16" t="str">
        <f aca="false">IF(INDEX(選手一覧!$J$7:$J$2738,$F587)="","",INDEX(選手一覧!$J$7:$J$2738,$F587))</f>
        <v/>
      </c>
      <c r="J587" s="17" t="str">
        <f aca="false">IF(INDEX(選手一覧!$K$7:$K$2738,$F587)="","",INDEX(選手一覧!$K$7:$K$2738,$F587))</f>
        <v/>
      </c>
    </row>
    <row r="588" customFormat="false" ht="15" hidden="false" customHeight="false" outlineLevel="0" collapsed="false">
      <c r="A588" s="17" t="n">
        <v>584</v>
      </c>
      <c r="B588" s="12" t="s">
        <v>2629</v>
      </c>
      <c r="C588" s="12" t="s">
        <v>1092</v>
      </c>
      <c r="D588" s="16" t="n">
        <v>0.0072380787037037</v>
      </c>
      <c r="E588" s="15" t="n">
        <f aca="false">ROUND((D588-$D$5)*86400,2)</f>
        <v>86.35</v>
      </c>
      <c r="F588" s="17" t="n">
        <v>1680</v>
      </c>
      <c r="G588" s="16" t="str">
        <f aca="false">IF(INDEX(選手一覧!$D$7:$D$2738,$F588)="","",INDEX(選手一覧!$D$7:$D$2738,$F588))</f>
        <v/>
      </c>
      <c r="H588" s="17" t="str">
        <f aca="false">IF(INDEX(選手一覧!$E$7:$E$2738,$F588)="","",INDEX(選手一覧!$E$7:$E$2738,$F588))</f>
        <v/>
      </c>
      <c r="I588" s="16" t="str">
        <f aca="false">IF(INDEX(選手一覧!$J$7:$J$2738,$F588)="","",INDEX(選手一覧!$J$7:$J$2738,$F588))</f>
        <v/>
      </c>
      <c r="J588" s="17" t="str">
        <f aca="false">IF(INDEX(選手一覧!$K$7:$K$2738,$F588)="","",INDEX(選手一覧!$K$7:$K$2738,$F588))</f>
        <v/>
      </c>
    </row>
    <row r="589" customFormat="false" ht="15" hidden="false" customHeight="false" outlineLevel="0" collapsed="false">
      <c r="A589" s="17" t="n">
        <v>585</v>
      </c>
      <c r="B589" s="12" t="s">
        <v>2630</v>
      </c>
      <c r="C589" s="12" t="s">
        <v>2631</v>
      </c>
      <c r="D589" s="16" t="n">
        <v>0.00723854166666667</v>
      </c>
      <c r="E589" s="15" t="n">
        <f aca="false">ROUND((D589-$D$5)*86400,2)</f>
        <v>86.39</v>
      </c>
      <c r="F589" s="17" t="n">
        <v>1681</v>
      </c>
      <c r="G589" s="16" t="str">
        <f aca="false">IF(INDEX(選手一覧!$D$7:$D$2738,$F589)="","",INDEX(選手一覧!$D$7:$D$2738,$F589))</f>
        <v/>
      </c>
      <c r="H589" s="17" t="str">
        <f aca="false">IF(INDEX(選手一覧!$E$7:$E$2738,$F589)="","",INDEX(選手一覧!$E$7:$E$2738,$F589))</f>
        <v/>
      </c>
      <c r="I589" s="16" t="str">
        <f aca="false">IF(INDEX(選手一覧!$J$7:$J$2738,$F589)="","",INDEX(選手一覧!$J$7:$J$2738,$F589))</f>
        <v/>
      </c>
      <c r="J589" s="17" t="str">
        <f aca="false">IF(INDEX(選手一覧!$K$7:$K$2738,$F589)="","",INDEX(選手一覧!$K$7:$K$2738,$F589))</f>
        <v/>
      </c>
    </row>
    <row r="590" customFormat="false" ht="15" hidden="false" customHeight="false" outlineLevel="0" collapsed="false">
      <c r="A590" s="17" t="n">
        <v>586</v>
      </c>
      <c r="B590" s="12" t="s">
        <v>1851</v>
      </c>
      <c r="C590" s="12" t="s">
        <v>1852</v>
      </c>
      <c r="D590" s="16" t="n">
        <v>0.00723888888888889</v>
      </c>
      <c r="E590" s="15" t="n">
        <f aca="false">ROUND((D590-$D$5)*86400,2)</f>
        <v>86.42</v>
      </c>
      <c r="F590" s="17" t="n">
        <v>1150</v>
      </c>
      <c r="G590" s="16" t="n">
        <f aca="false">IF(INDEX(選手一覧!$D$7:$D$2738,$F590)="","",INDEX(選手一覧!$D$7:$D$2738,$F590))</f>
        <v>0.0110297453703704</v>
      </c>
      <c r="H590" s="17" t="n">
        <f aca="false">IF(INDEX(選手一覧!$E$7:$E$2738,$F590)="","",INDEX(選手一覧!$E$7:$E$2738,$F590))</f>
        <v>1151</v>
      </c>
      <c r="I590" s="16" t="n">
        <f aca="false">IF(INDEX(選手一覧!$J$7:$J$2738,$F590)="","",INDEX(選手一覧!$J$7:$J$2738,$F590))</f>
        <v>0.00292025462962963</v>
      </c>
      <c r="J590" s="17" t="n">
        <f aca="false">IF(INDEX(選手一覧!$K$7:$K$2738,$F590)="","",INDEX(選手一覧!$K$7:$K$2738,$F590))</f>
        <v>1100</v>
      </c>
    </row>
    <row r="591" customFormat="false" ht="15" hidden="false" customHeight="false" outlineLevel="0" collapsed="false">
      <c r="A591" s="17" t="n">
        <v>587</v>
      </c>
      <c r="B591" s="12" t="s">
        <v>2633</v>
      </c>
      <c r="C591" s="12" t="s">
        <v>522</v>
      </c>
      <c r="D591" s="16" t="n">
        <v>0.00724212962962963</v>
      </c>
      <c r="E591" s="15" t="n">
        <f aca="false">ROUND((D591-$D$5)*86400,2)</f>
        <v>86.7</v>
      </c>
      <c r="F591" s="17" t="n">
        <v>1682</v>
      </c>
      <c r="G591" s="16" t="str">
        <f aca="false">IF(INDEX(選手一覧!$D$7:$D$2738,$F591)="","",INDEX(選手一覧!$D$7:$D$2738,$F591))</f>
        <v/>
      </c>
      <c r="H591" s="17" t="str">
        <f aca="false">IF(INDEX(選手一覧!$E$7:$E$2738,$F591)="","",INDEX(選手一覧!$E$7:$E$2738,$F591))</f>
        <v/>
      </c>
      <c r="I591" s="16" t="str">
        <f aca="false">IF(INDEX(選手一覧!$J$7:$J$2738,$F591)="","",INDEX(選手一覧!$J$7:$J$2738,$F591))</f>
        <v/>
      </c>
      <c r="J591" s="17" t="str">
        <f aca="false">IF(INDEX(選手一覧!$K$7:$K$2738,$F591)="","",INDEX(選手一覧!$K$7:$K$2738,$F591))</f>
        <v/>
      </c>
    </row>
    <row r="592" customFormat="false" ht="15" hidden="false" customHeight="false" outlineLevel="0" collapsed="false">
      <c r="A592" s="17" t="n">
        <v>588</v>
      </c>
      <c r="B592" s="12" t="s">
        <v>1152</v>
      </c>
      <c r="C592" s="12" t="s">
        <v>824</v>
      </c>
      <c r="D592" s="16" t="n">
        <v>0.00724259259259259</v>
      </c>
      <c r="E592" s="15" t="n">
        <f aca="false">ROUND((D592-$D$5)*86400,2)</f>
        <v>86.74</v>
      </c>
      <c r="F592" s="17" t="n">
        <v>682</v>
      </c>
      <c r="G592" s="16" t="n">
        <f aca="false">IF(INDEX(選手一覧!$D$7:$D$2738,$F592)="","",INDEX(選手一覧!$D$7:$D$2738,$F592))</f>
        <v>0.0107611111111111</v>
      </c>
      <c r="H592" s="17" t="n">
        <f aca="false">IF(INDEX(選手一覧!$E$7:$E$2738,$F592)="","",INDEX(選手一覧!$E$7:$E$2738,$F592))</f>
        <v>683</v>
      </c>
      <c r="I592" s="16" t="n">
        <f aca="false">IF(INDEX(選手一覧!$J$7:$J$2738,$F592)="","",INDEX(選手一覧!$J$7:$J$2738,$F592))</f>
        <v>0.00284027777777778</v>
      </c>
      <c r="J592" s="17" t="n">
        <f aca="false">IF(INDEX(選手一覧!$K$7:$K$2738,$F592)="","",INDEX(選手一覧!$K$7:$K$2738,$F592))</f>
        <v>498</v>
      </c>
    </row>
    <row r="593" customFormat="false" ht="15" hidden="false" customHeight="false" outlineLevel="0" collapsed="false">
      <c r="A593" s="17" t="n">
        <v>589</v>
      </c>
      <c r="B593" s="12" t="s">
        <v>2634</v>
      </c>
      <c r="C593" s="12" t="s">
        <v>1971</v>
      </c>
      <c r="D593" s="16" t="n">
        <v>0.00724328703703704</v>
      </c>
      <c r="E593" s="15" t="n">
        <f aca="false">ROUND((D593-$D$5)*86400,2)</f>
        <v>86.8</v>
      </c>
      <c r="F593" s="17" t="n">
        <v>1683</v>
      </c>
      <c r="G593" s="16" t="str">
        <f aca="false">IF(INDEX(選手一覧!$D$7:$D$2738,$F593)="","",INDEX(選手一覧!$D$7:$D$2738,$F593))</f>
        <v/>
      </c>
      <c r="H593" s="17" t="str">
        <f aca="false">IF(INDEX(選手一覧!$E$7:$E$2738,$F593)="","",INDEX(選手一覧!$E$7:$E$2738,$F593))</f>
        <v/>
      </c>
      <c r="I593" s="16" t="str">
        <f aca="false">IF(INDEX(選手一覧!$J$7:$J$2738,$F593)="","",INDEX(選手一覧!$J$7:$J$2738,$F593))</f>
        <v/>
      </c>
      <c r="J593" s="17" t="str">
        <f aca="false">IF(INDEX(選手一覧!$K$7:$K$2738,$F593)="","",INDEX(選手一覧!$K$7:$K$2738,$F593))</f>
        <v/>
      </c>
    </row>
    <row r="594" customFormat="false" ht="15" hidden="false" customHeight="false" outlineLevel="0" collapsed="false">
      <c r="A594" s="17" t="n">
        <v>590</v>
      </c>
      <c r="B594" s="12" t="s">
        <v>2635</v>
      </c>
      <c r="C594" s="12" t="s">
        <v>2047</v>
      </c>
      <c r="D594" s="16" t="n">
        <v>0.00724328703703704</v>
      </c>
      <c r="E594" s="15" t="n">
        <f aca="false">ROUND((D594-$D$5)*86400,2)</f>
        <v>86.8</v>
      </c>
      <c r="F594" s="17" t="n">
        <v>1684</v>
      </c>
      <c r="G594" s="16" t="str">
        <f aca="false">IF(INDEX(選手一覧!$D$7:$D$2738,$F594)="","",INDEX(選手一覧!$D$7:$D$2738,$F594))</f>
        <v/>
      </c>
      <c r="H594" s="17" t="str">
        <f aca="false">IF(INDEX(選手一覧!$E$7:$E$2738,$F594)="","",INDEX(選手一覧!$E$7:$E$2738,$F594))</f>
        <v/>
      </c>
      <c r="I594" s="16" t="str">
        <f aca="false">IF(INDEX(選手一覧!$J$7:$J$2738,$F594)="","",INDEX(選手一覧!$J$7:$J$2738,$F594))</f>
        <v/>
      </c>
      <c r="J594" s="17" t="str">
        <f aca="false">IF(INDEX(選手一覧!$K$7:$K$2738,$F594)="","",INDEX(選手一覧!$K$7:$K$2738,$F594))</f>
        <v/>
      </c>
    </row>
    <row r="595" customFormat="false" ht="15" hidden="false" customHeight="false" outlineLevel="0" collapsed="false">
      <c r="A595" s="17" t="n">
        <v>591</v>
      </c>
      <c r="B595" s="12" t="s">
        <v>2636</v>
      </c>
      <c r="C595" s="12" t="s">
        <v>1740</v>
      </c>
      <c r="D595" s="16" t="n">
        <v>0.0072443287037037</v>
      </c>
      <c r="E595" s="15" t="n">
        <f aca="false">ROUND((D595-$D$5)*86400,2)</f>
        <v>86.89</v>
      </c>
      <c r="F595" s="17" t="n">
        <v>1685</v>
      </c>
      <c r="G595" s="16" t="str">
        <f aca="false">IF(INDEX(選手一覧!$D$7:$D$2738,$F595)="","",INDEX(選手一覧!$D$7:$D$2738,$F595))</f>
        <v/>
      </c>
      <c r="H595" s="17" t="str">
        <f aca="false">IF(INDEX(選手一覧!$E$7:$E$2738,$F595)="","",INDEX(選手一覧!$E$7:$E$2738,$F595))</f>
        <v/>
      </c>
      <c r="I595" s="16" t="str">
        <f aca="false">IF(INDEX(選手一覧!$J$7:$J$2738,$F595)="","",INDEX(選手一覧!$J$7:$J$2738,$F595))</f>
        <v/>
      </c>
      <c r="J595" s="17" t="str">
        <f aca="false">IF(INDEX(選手一覧!$K$7:$K$2738,$F595)="","",INDEX(選手一覧!$K$7:$K$2738,$F595))</f>
        <v/>
      </c>
    </row>
    <row r="596" customFormat="false" ht="15" hidden="false" customHeight="false" outlineLevel="0" collapsed="false">
      <c r="A596" s="17" t="n">
        <v>592</v>
      </c>
      <c r="B596" s="12" t="s">
        <v>2637</v>
      </c>
      <c r="C596" s="12" t="s">
        <v>2638</v>
      </c>
      <c r="D596" s="16" t="n">
        <v>0.00724618055555556</v>
      </c>
      <c r="E596" s="15" t="n">
        <f aca="false">ROUND((D596-$D$5)*86400,2)</f>
        <v>87.05</v>
      </c>
      <c r="F596" s="17" t="n">
        <v>1686</v>
      </c>
      <c r="G596" s="16" t="str">
        <f aca="false">IF(INDEX(選手一覧!$D$7:$D$2738,$F596)="","",INDEX(選手一覧!$D$7:$D$2738,$F596))</f>
        <v/>
      </c>
      <c r="H596" s="17" t="str">
        <f aca="false">IF(INDEX(選手一覧!$E$7:$E$2738,$F596)="","",INDEX(選手一覧!$E$7:$E$2738,$F596))</f>
        <v/>
      </c>
      <c r="I596" s="16" t="str">
        <f aca="false">IF(INDEX(選手一覧!$J$7:$J$2738,$F596)="","",INDEX(選手一覧!$J$7:$J$2738,$F596))</f>
        <v/>
      </c>
      <c r="J596" s="17" t="str">
        <f aca="false">IF(INDEX(選手一覧!$K$7:$K$2738,$F596)="","",INDEX(選手一覧!$K$7:$K$2738,$F596))</f>
        <v/>
      </c>
    </row>
    <row r="597" customFormat="false" ht="15" hidden="false" customHeight="false" outlineLevel="0" collapsed="false">
      <c r="A597" s="17" t="n">
        <v>593</v>
      </c>
      <c r="B597" s="12" t="s">
        <v>2639</v>
      </c>
      <c r="C597" s="12" t="s">
        <v>2161</v>
      </c>
      <c r="D597" s="16" t="n">
        <v>0.00724722222222222</v>
      </c>
      <c r="E597" s="15" t="n">
        <f aca="false">ROUND((D597-$D$5)*86400,2)</f>
        <v>87.14</v>
      </c>
      <c r="F597" s="17" t="n">
        <v>1687</v>
      </c>
      <c r="G597" s="16" t="str">
        <f aca="false">IF(INDEX(選手一覧!$D$7:$D$2738,$F597)="","",INDEX(選手一覧!$D$7:$D$2738,$F597))</f>
        <v/>
      </c>
      <c r="H597" s="17" t="str">
        <f aca="false">IF(INDEX(選手一覧!$E$7:$E$2738,$F597)="","",INDEX(選手一覧!$E$7:$E$2738,$F597))</f>
        <v/>
      </c>
      <c r="I597" s="16" t="str">
        <f aca="false">IF(INDEX(選手一覧!$J$7:$J$2738,$F597)="","",INDEX(選手一覧!$J$7:$J$2738,$F597))</f>
        <v/>
      </c>
      <c r="J597" s="17" t="str">
        <f aca="false">IF(INDEX(選手一覧!$K$7:$K$2738,$F597)="","",INDEX(選手一覧!$K$7:$K$2738,$F597))</f>
        <v/>
      </c>
    </row>
    <row r="598" customFormat="false" ht="15" hidden="false" customHeight="false" outlineLevel="0" collapsed="false">
      <c r="A598" s="17" t="n">
        <v>594</v>
      </c>
      <c r="B598" s="12" t="s">
        <v>2640</v>
      </c>
      <c r="C598" s="12" t="s">
        <v>1455</v>
      </c>
      <c r="D598" s="16" t="n">
        <v>0.0072474537037037</v>
      </c>
      <c r="E598" s="15" t="n">
        <f aca="false">ROUND((D598-$D$5)*86400,2)</f>
        <v>87.16</v>
      </c>
      <c r="F598" s="17" t="n">
        <v>1688</v>
      </c>
      <c r="G598" s="16" t="str">
        <f aca="false">IF(INDEX(選手一覧!$D$7:$D$2738,$F598)="","",INDEX(選手一覧!$D$7:$D$2738,$F598))</f>
        <v/>
      </c>
      <c r="H598" s="17" t="str">
        <f aca="false">IF(INDEX(選手一覧!$E$7:$E$2738,$F598)="","",INDEX(選手一覧!$E$7:$E$2738,$F598))</f>
        <v/>
      </c>
      <c r="I598" s="16" t="str">
        <f aca="false">IF(INDEX(選手一覧!$J$7:$J$2738,$F598)="","",INDEX(選手一覧!$J$7:$J$2738,$F598))</f>
        <v/>
      </c>
      <c r="J598" s="17" t="str">
        <f aca="false">IF(INDEX(選手一覧!$K$7:$K$2738,$F598)="","",INDEX(選手一覧!$K$7:$K$2738,$F598))</f>
        <v/>
      </c>
    </row>
    <row r="599" customFormat="false" ht="15" hidden="false" customHeight="false" outlineLevel="0" collapsed="false">
      <c r="A599" s="17" t="n">
        <v>595</v>
      </c>
      <c r="B599" s="12" t="s">
        <v>2643</v>
      </c>
      <c r="C599" s="12" t="s">
        <v>2644</v>
      </c>
      <c r="D599" s="16" t="n">
        <v>0.00724768518518519</v>
      </c>
      <c r="E599" s="15" t="n">
        <f aca="false">ROUND((D599-$D$5)*86400,2)</f>
        <v>87.18</v>
      </c>
      <c r="F599" s="17" t="n">
        <v>1690</v>
      </c>
      <c r="G599" s="16" t="str">
        <f aca="false">IF(INDEX(選手一覧!$D$7:$D$2738,$F599)="","",INDEX(選手一覧!$D$7:$D$2738,$F599))</f>
        <v/>
      </c>
      <c r="H599" s="17" t="str">
        <f aca="false">IF(INDEX(選手一覧!$E$7:$E$2738,$F599)="","",INDEX(選手一覧!$E$7:$E$2738,$F599))</f>
        <v/>
      </c>
      <c r="I599" s="16" t="str">
        <f aca="false">IF(INDEX(選手一覧!$J$7:$J$2738,$F599)="","",INDEX(選手一覧!$J$7:$J$2738,$F599))</f>
        <v/>
      </c>
      <c r="J599" s="17" t="str">
        <f aca="false">IF(INDEX(選手一覧!$K$7:$K$2738,$F599)="","",INDEX(選手一覧!$K$7:$K$2738,$F599))</f>
        <v/>
      </c>
    </row>
    <row r="600" customFormat="false" ht="15" hidden="false" customHeight="false" outlineLevel="0" collapsed="false">
      <c r="A600" s="17" t="n">
        <v>596</v>
      </c>
      <c r="B600" s="12" t="s">
        <v>2647</v>
      </c>
      <c r="C600" s="12" t="s">
        <v>1697</v>
      </c>
      <c r="D600" s="16" t="n">
        <v>0.00724826388888889</v>
      </c>
      <c r="E600" s="15" t="n">
        <f aca="false">ROUND((D600-$D$5)*86400,2)</f>
        <v>87.23</v>
      </c>
      <c r="F600" s="17" t="n">
        <v>1692</v>
      </c>
      <c r="G600" s="16" t="str">
        <f aca="false">IF(INDEX(選手一覧!$D$7:$D$2738,$F600)="","",INDEX(選手一覧!$D$7:$D$2738,$F600))</f>
        <v/>
      </c>
      <c r="H600" s="17" t="str">
        <f aca="false">IF(INDEX(選手一覧!$E$7:$E$2738,$F600)="","",INDEX(選手一覧!$E$7:$E$2738,$F600))</f>
        <v/>
      </c>
      <c r="I600" s="16" t="n">
        <f aca="false">IF(INDEX(選手一覧!$J$7:$J$2738,$F600)="","",INDEX(選手一覧!$J$7:$J$2738,$F600))</f>
        <v>0.00290162037037037</v>
      </c>
      <c r="J600" s="17" t="n">
        <f aca="false">IF(INDEX(選手一覧!$K$7:$K$2738,$F600)="","",INDEX(選手一覧!$K$7:$K$2738,$F600))</f>
        <v>961</v>
      </c>
    </row>
    <row r="601" customFormat="false" ht="15" hidden="false" customHeight="false" outlineLevel="0" collapsed="false">
      <c r="A601" s="17" t="n">
        <v>597</v>
      </c>
      <c r="B601" s="12" t="s">
        <v>791</v>
      </c>
      <c r="C601" s="12" t="s">
        <v>585</v>
      </c>
      <c r="D601" s="16" t="n">
        <v>0.00725046296296296</v>
      </c>
      <c r="E601" s="15" t="n">
        <f aca="false">ROUND((D601-$D$5)*86400,2)</f>
        <v>87.42</v>
      </c>
      <c r="F601" s="17" t="n">
        <v>442</v>
      </c>
      <c r="G601" s="16" t="n">
        <f aca="false">IF(INDEX(選手一覧!$D$7:$D$2738,$F601)="","",INDEX(選手一覧!$D$7:$D$2738,$F601))</f>
        <v>0.0105847222222222</v>
      </c>
      <c r="H601" s="17" t="n">
        <f aca="false">IF(INDEX(選手一覧!$E$7:$E$2738,$F601)="","",INDEX(選手一覧!$E$7:$E$2738,$F601))</f>
        <v>443</v>
      </c>
      <c r="I601" s="16" t="n">
        <f aca="false">IF(INDEX(選手一覧!$J$7:$J$2738,$F601)="","",INDEX(選手一覧!$J$7:$J$2738,$F601))</f>
        <v>0.00297615740740741</v>
      </c>
      <c r="J601" s="17" t="n">
        <f aca="false">IF(INDEX(選手一覧!$K$7:$K$2738,$F601)="","",INDEX(選手一覧!$K$7:$K$2738,$F601))</f>
        <v>1335</v>
      </c>
    </row>
    <row r="602" customFormat="false" ht="15" hidden="false" customHeight="false" outlineLevel="0" collapsed="false">
      <c r="A602" s="17" t="n">
        <v>598</v>
      </c>
      <c r="B602" s="12" t="s">
        <v>2648</v>
      </c>
      <c r="C602" s="12" t="s">
        <v>2649</v>
      </c>
      <c r="D602" s="16" t="n">
        <v>0.00725219907407407</v>
      </c>
      <c r="E602" s="15" t="n">
        <f aca="false">ROUND((D602-$D$5)*86400,2)</f>
        <v>87.57</v>
      </c>
      <c r="F602" s="17" t="n">
        <v>1693</v>
      </c>
      <c r="G602" s="16" t="str">
        <f aca="false">IF(INDEX(選手一覧!$D$7:$D$2738,$F602)="","",INDEX(選手一覧!$D$7:$D$2738,$F602))</f>
        <v/>
      </c>
      <c r="H602" s="17" t="str">
        <f aca="false">IF(INDEX(選手一覧!$E$7:$E$2738,$F602)="","",INDEX(選手一覧!$E$7:$E$2738,$F602))</f>
        <v/>
      </c>
      <c r="I602" s="16" t="str">
        <f aca="false">IF(INDEX(選手一覧!$J$7:$J$2738,$F602)="","",INDEX(選手一覧!$J$7:$J$2738,$F602))</f>
        <v/>
      </c>
      <c r="J602" s="17" t="str">
        <f aca="false">IF(INDEX(選手一覧!$K$7:$K$2738,$F602)="","",INDEX(選手一覧!$K$7:$K$2738,$F602))</f>
        <v/>
      </c>
    </row>
    <row r="603" customFormat="false" ht="15" hidden="false" customHeight="false" outlineLevel="0" collapsed="false">
      <c r="A603" s="17" t="n">
        <v>599</v>
      </c>
      <c r="B603" s="12" t="s">
        <v>2650</v>
      </c>
      <c r="C603" s="12" t="s">
        <v>2651</v>
      </c>
      <c r="D603" s="16" t="n">
        <v>0.0072525462962963</v>
      </c>
      <c r="E603" s="15" t="n">
        <f aca="false">ROUND((D603-$D$5)*86400,2)</f>
        <v>87.6</v>
      </c>
      <c r="F603" s="17" t="n">
        <v>1694</v>
      </c>
      <c r="G603" s="16" t="str">
        <f aca="false">IF(INDEX(選手一覧!$D$7:$D$2738,$F603)="","",INDEX(選手一覧!$D$7:$D$2738,$F603))</f>
        <v/>
      </c>
      <c r="H603" s="17" t="str">
        <f aca="false">IF(INDEX(選手一覧!$E$7:$E$2738,$F603)="","",INDEX(選手一覧!$E$7:$E$2738,$F603))</f>
        <v/>
      </c>
      <c r="I603" s="16" t="str">
        <f aca="false">IF(INDEX(選手一覧!$J$7:$J$2738,$F603)="","",INDEX(選手一覧!$J$7:$J$2738,$F603))</f>
        <v/>
      </c>
      <c r="J603" s="17" t="str">
        <f aca="false">IF(INDEX(選手一覧!$K$7:$K$2738,$F603)="","",INDEX(選手一覧!$K$7:$K$2738,$F603))</f>
        <v/>
      </c>
    </row>
    <row r="604" customFormat="false" ht="15" hidden="false" customHeight="false" outlineLevel="0" collapsed="false">
      <c r="A604" s="17" t="n">
        <v>600</v>
      </c>
      <c r="B604" s="12" t="s">
        <v>2652</v>
      </c>
      <c r="C604" s="12" t="s">
        <v>1721</v>
      </c>
      <c r="D604" s="16" t="n">
        <v>0.00725393518518519</v>
      </c>
      <c r="E604" s="15" t="n">
        <f aca="false">ROUND((D604-$D$5)*86400,2)</f>
        <v>87.72</v>
      </c>
      <c r="F604" s="17" t="n">
        <v>1695</v>
      </c>
      <c r="G604" s="16" t="str">
        <f aca="false">IF(INDEX(選手一覧!$D$7:$D$2738,$F604)="","",INDEX(選手一覧!$D$7:$D$2738,$F604))</f>
        <v/>
      </c>
      <c r="H604" s="17" t="str">
        <f aca="false">IF(INDEX(選手一覧!$E$7:$E$2738,$F604)="","",INDEX(選手一覧!$E$7:$E$2738,$F604))</f>
        <v/>
      </c>
      <c r="I604" s="16" t="str">
        <f aca="false">IF(INDEX(選手一覧!$J$7:$J$2738,$F604)="","",INDEX(選手一覧!$J$7:$J$2738,$F604))</f>
        <v/>
      </c>
      <c r="J604" s="17" t="str">
        <f aca="false">IF(INDEX(選手一覧!$K$7:$K$2738,$F604)="","",INDEX(選手一覧!$K$7:$K$2738,$F604))</f>
        <v/>
      </c>
    </row>
    <row r="605" customFormat="false" ht="15" hidden="false" customHeight="false" outlineLevel="0" collapsed="false">
      <c r="A605" s="17" t="n">
        <v>601</v>
      </c>
      <c r="B605" s="12" t="s">
        <v>2654</v>
      </c>
      <c r="C605" s="12" t="s">
        <v>2279</v>
      </c>
      <c r="D605" s="16" t="n">
        <v>0.00725497685185185</v>
      </c>
      <c r="E605" s="15" t="n">
        <f aca="false">ROUND((D605-$D$5)*86400,2)</f>
        <v>87.81</v>
      </c>
      <c r="F605" s="17" t="n">
        <v>1696</v>
      </c>
      <c r="G605" s="16" t="str">
        <f aca="false">IF(INDEX(選手一覧!$D$7:$D$2738,$F605)="","",INDEX(選手一覧!$D$7:$D$2738,$F605))</f>
        <v/>
      </c>
      <c r="H605" s="17" t="str">
        <f aca="false">IF(INDEX(選手一覧!$E$7:$E$2738,$F605)="","",INDEX(選手一覧!$E$7:$E$2738,$F605))</f>
        <v/>
      </c>
      <c r="I605" s="16" t="str">
        <f aca="false">IF(INDEX(選手一覧!$J$7:$J$2738,$F605)="","",INDEX(選手一覧!$J$7:$J$2738,$F605))</f>
        <v/>
      </c>
      <c r="J605" s="17" t="str">
        <f aca="false">IF(INDEX(選手一覧!$K$7:$K$2738,$F605)="","",INDEX(選手一覧!$K$7:$K$2738,$F605))</f>
        <v/>
      </c>
    </row>
    <row r="606" customFormat="false" ht="15" hidden="false" customHeight="false" outlineLevel="0" collapsed="false">
      <c r="A606" s="17" t="n">
        <v>602</v>
      </c>
      <c r="B606" s="12" t="s">
        <v>2655</v>
      </c>
      <c r="C606" s="12" t="s">
        <v>1181</v>
      </c>
      <c r="D606" s="16" t="n">
        <v>0.00725659722222222</v>
      </c>
      <c r="E606" s="15" t="n">
        <f aca="false">ROUND((D606-$D$5)*86400,2)</f>
        <v>87.95</v>
      </c>
      <c r="F606" s="17" t="n">
        <v>1697</v>
      </c>
      <c r="G606" s="16" t="str">
        <f aca="false">IF(INDEX(選手一覧!$D$7:$D$2738,$F606)="","",INDEX(選手一覧!$D$7:$D$2738,$F606))</f>
        <v/>
      </c>
      <c r="H606" s="17" t="str">
        <f aca="false">IF(INDEX(選手一覧!$E$7:$E$2738,$F606)="","",INDEX(選手一覧!$E$7:$E$2738,$F606))</f>
        <v/>
      </c>
      <c r="I606" s="16" t="str">
        <f aca="false">IF(INDEX(選手一覧!$J$7:$J$2738,$F606)="","",INDEX(選手一覧!$J$7:$J$2738,$F606))</f>
        <v/>
      </c>
      <c r="J606" s="17" t="str">
        <f aca="false">IF(INDEX(選手一覧!$K$7:$K$2738,$F606)="","",INDEX(選手一覧!$K$7:$K$2738,$F606))</f>
        <v/>
      </c>
    </row>
    <row r="607" customFormat="false" ht="15" hidden="false" customHeight="false" outlineLevel="0" collapsed="false">
      <c r="A607" s="17" t="n">
        <v>603</v>
      </c>
      <c r="B607" s="12" t="s">
        <v>2656</v>
      </c>
      <c r="C607" s="12" t="s">
        <v>2467</v>
      </c>
      <c r="D607" s="16" t="n">
        <v>0.00725891203703704</v>
      </c>
      <c r="E607" s="15" t="n">
        <f aca="false">ROUND((D607-$D$5)*86400,2)</f>
        <v>88.15</v>
      </c>
      <c r="F607" s="17" t="n">
        <v>1698</v>
      </c>
      <c r="G607" s="16" t="str">
        <f aca="false">IF(INDEX(選手一覧!$D$7:$D$2738,$F607)="","",INDEX(選手一覧!$D$7:$D$2738,$F607))</f>
        <v/>
      </c>
      <c r="H607" s="17" t="str">
        <f aca="false">IF(INDEX(選手一覧!$E$7:$E$2738,$F607)="","",INDEX(選手一覧!$E$7:$E$2738,$F607))</f>
        <v/>
      </c>
      <c r="I607" s="16" t="str">
        <f aca="false">IF(INDEX(選手一覧!$J$7:$J$2738,$F607)="","",INDEX(選手一覧!$J$7:$J$2738,$F607))</f>
        <v/>
      </c>
      <c r="J607" s="17" t="str">
        <f aca="false">IF(INDEX(選手一覧!$K$7:$K$2738,$F607)="","",INDEX(選手一覧!$K$7:$K$2738,$F607))</f>
        <v/>
      </c>
    </row>
    <row r="608" customFormat="false" ht="15" hidden="false" customHeight="false" outlineLevel="0" collapsed="false">
      <c r="A608" s="17" t="n">
        <v>604</v>
      </c>
      <c r="B608" s="12" t="s">
        <v>2657</v>
      </c>
      <c r="C608" s="12" t="s">
        <v>1429</v>
      </c>
      <c r="D608" s="16" t="n">
        <v>0.00725925925925926</v>
      </c>
      <c r="E608" s="15" t="n">
        <f aca="false">ROUND((D608-$D$5)*86400,2)</f>
        <v>88.18</v>
      </c>
      <c r="F608" s="17" t="n">
        <v>1699</v>
      </c>
      <c r="G608" s="16" t="str">
        <f aca="false">IF(INDEX(選手一覧!$D$7:$D$2738,$F608)="","",INDEX(選手一覧!$D$7:$D$2738,$F608))</f>
        <v/>
      </c>
      <c r="H608" s="17" t="str">
        <f aca="false">IF(INDEX(選手一覧!$E$7:$E$2738,$F608)="","",INDEX(選手一覧!$E$7:$E$2738,$F608))</f>
        <v/>
      </c>
      <c r="I608" s="16" t="str">
        <f aca="false">IF(INDEX(選手一覧!$J$7:$J$2738,$F608)="","",INDEX(選手一覧!$J$7:$J$2738,$F608))</f>
        <v/>
      </c>
      <c r="J608" s="17" t="str">
        <f aca="false">IF(INDEX(選手一覧!$K$7:$K$2738,$F608)="","",INDEX(選手一覧!$K$7:$K$2738,$F608))</f>
        <v/>
      </c>
    </row>
    <row r="609" customFormat="false" ht="15" hidden="false" customHeight="false" outlineLevel="0" collapsed="false">
      <c r="A609" s="17" t="n">
        <v>605</v>
      </c>
      <c r="B609" s="12" t="s">
        <v>2658</v>
      </c>
      <c r="C609" s="12" t="s">
        <v>2035</v>
      </c>
      <c r="D609" s="16" t="n">
        <v>0.00726006944444444</v>
      </c>
      <c r="E609" s="15" t="n">
        <f aca="false">ROUND((D609-$D$5)*86400,2)</f>
        <v>88.25</v>
      </c>
      <c r="F609" s="17" t="n">
        <v>1700</v>
      </c>
      <c r="G609" s="16" t="str">
        <f aca="false">IF(INDEX(選手一覧!$D$7:$D$2738,$F609)="","",INDEX(選手一覧!$D$7:$D$2738,$F609))</f>
        <v/>
      </c>
      <c r="H609" s="17" t="str">
        <f aca="false">IF(INDEX(選手一覧!$E$7:$E$2738,$F609)="","",INDEX(選手一覧!$E$7:$E$2738,$F609))</f>
        <v/>
      </c>
      <c r="I609" s="16" t="str">
        <f aca="false">IF(INDEX(選手一覧!$J$7:$J$2738,$F609)="","",INDEX(選手一覧!$J$7:$J$2738,$F609))</f>
        <v/>
      </c>
      <c r="J609" s="17" t="str">
        <f aca="false">IF(INDEX(選手一覧!$K$7:$K$2738,$F609)="","",INDEX(選手一覧!$K$7:$K$2738,$F609))</f>
        <v/>
      </c>
    </row>
    <row r="610" customFormat="false" ht="15" hidden="false" customHeight="false" outlineLevel="0" collapsed="false">
      <c r="A610" s="17" t="n">
        <v>606</v>
      </c>
      <c r="B610" s="12" t="s">
        <v>2659</v>
      </c>
      <c r="C610" s="12" t="s">
        <v>1734</v>
      </c>
      <c r="D610" s="16" t="n">
        <v>0.00726018518518519</v>
      </c>
      <c r="E610" s="15" t="n">
        <f aca="false">ROUND((D610-$D$5)*86400,2)</f>
        <v>88.26</v>
      </c>
      <c r="F610" s="17" t="n">
        <v>1701</v>
      </c>
      <c r="G610" s="16" t="str">
        <f aca="false">IF(INDEX(選手一覧!$D$7:$D$2738,$F610)="","",INDEX(選手一覧!$D$7:$D$2738,$F610))</f>
        <v/>
      </c>
      <c r="H610" s="17" t="str">
        <f aca="false">IF(INDEX(選手一覧!$E$7:$E$2738,$F610)="","",INDEX(選手一覧!$E$7:$E$2738,$F610))</f>
        <v/>
      </c>
      <c r="I610" s="16" t="str">
        <f aca="false">IF(INDEX(選手一覧!$J$7:$J$2738,$F610)="","",INDEX(選手一覧!$J$7:$J$2738,$F610))</f>
        <v/>
      </c>
      <c r="J610" s="17" t="str">
        <f aca="false">IF(INDEX(選手一覧!$K$7:$K$2738,$F610)="","",INDEX(選手一覧!$K$7:$K$2738,$F610))</f>
        <v/>
      </c>
    </row>
    <row r="611" customFormat="false" ht="15" hidden="false" customHeight="false" outlineLevel="0" collapsed="false">
      <c r="A611" s="17" t="n">
        <v>607</v>
      </c>
      <c r="B611" s="12" t="s">
        <v>2661</v>
      </c>
      <c r="C611" s="12" t="s">
        <v>1590</v>
      </c>
      <c r="D611" s="16" t="n">
        <v>0.00726076388888889</v>
      </c>
      <c r="E611" s="15" t="n">
        <f aca="false">ROUND((D611-$D$5)*86400,2)</f>
        <v>88.31</v>
      </c>
      <c r="F611" s="17" t="n">
        <v>1703</v>
      </c>
      <c r="G611" s="16" t="str">
        <f aca="false">IF(INDEX(選手一覧!$D$7:$D$2738,$F611)="","",INDEX(選手一覧!$D$7:$D$2738,$F611))</f>
        <v/>
      </c>
      <c r="H611" s="17" t="str">
        <f aca="false">IF(INDEX(選手一覧!$E$7:$E$2738,$F611)="","",INDEX(選手一覧!$E$7:$E$2738,$F611))</f>
        <v/>
      </c>
      <c r="I611" s="16" t="str">
        <f aca="false">IF(INDEX(選手一覧!$J$7:$J$2738,$F611)="","",INDEX(選手一覧!$J$7:$J$2738,$F611))</f>
        <v/>
      </c>
      <c r="J611" s="17" t="str">
        <f aca="false">IF(INDEX(選手一覧!$K$7:$K$2738,$F611)="","",INDEX(選手一覧!$K$7:$K$2738,$F611))</f>
        <v/>
      </c>
    </row>
    <row r="612" customFormat="false" ht="15" hidden="false" customHeight="false" outlineLevel="0" collapsed="false">
      <c r="A612" s="17" t="n">
        <v>608</v>
      </c>
      <c r="B612" s="12" t="s">
        <v>2663</v>
      </c>
      <c r="C612" s="12" t="s">
        <v>2119</v>
      </c>
      <c r="D612" s="16" t="n">
        <v>0.00726273148148148</v>
      </c>
      <c r="E612" s="15" t="n">
        <f aca="false">ROUND((D612-$D$5)*86400,2)</f>
        <v>88.48</v>
      </c>
      <c r="F612" s="17" t="n">
        <v>1704</v>
      </c>
      <c r="G612" s="16" t="str">
        <f aca="false">IF(INDEX(選手一覧!$D$7:$D$2738,$F612)="","",INDEX(選手一覧!$D$7:$D$2738,$F612))</f>
        <v/>
      </c>
      <c r="H612" s="17" t="str">
        <f aca="false">IF(INDEX(選手一覧!$E$7:$E$2738,$F612)="","",INDEX(選手一覧!$E$7:$E$2738,$F612))</f>
        <v/>
      </c>
      <c r="I612" s="16" t="str">
        <f aca="false">IF(INDEX(選手一覧!$J$7:$J$2738,$F612)="","",INDEX(選手一覧!$J$7:$J$2738,$F612))</f>
        <v/>
      </c>
      <c r="J612" s="17" t="str">
        <f aca="false">IF(INDEX(選手一覧!$K$7:$K$2738,$F612)="","",INDEX(選手一覧!$K$7:$K$2738,$F612))</f>
        <v/>
      </c>
    </row>
    <row r="613" customFormat="false" ht="15" hidden="false" customHeight="false" outlineLevel="0" collapsed="false">
      <c r="A613" s="17" t="n">
        <v>609</v>
      </c>
      <c r="B613" s="12" t="s">
        <v>2664</v>
      </c>
      <c r="C613" s="12" t="s">
        <v>2665</v>
      </c>
      <c r="D613" s="16" t="n">
        <v>0.00726284722222222</v>
      </c>
      <c r="E613" s="15" t="n">
        <f aca="false">ROUND((D613-$D$5)*86400,2)</f>
        <v>88.49</v>
      </c>
      <c r="F613" s="17" t="n">
        <v>1705</v>
      </c>
      <c r="G613" s="16" t="str">
        <f aca="false">IF(INDEX(選手一覧!$D$7:$D$2738,$F613)="","",INDEX(選手一覧!$D$7:$D$2738,$F613))</f>
        <v/>
      </c>
      <c r="H613" s="17" t="str">
        <f aca="false">IF(INDEX(選手一覧!$E$7:$E$2738,$F613)="","",INDEX(選手一覧!$E$7:$E$2738,$F613))</f>
        <v/>
      </c>
      <c r="I613" s="16" t="str">
        <f aca="false">IF(INDEX(選手一覧!$J$7:$J$2738,$F613)="","",INDEX(選手一覧!$J$7:$J$2738,$F613))</f>
        <v/>
      </c>
      <c r="J613" s="17" t="str">
        <f aca="false">IF(INDEX(選手一覧!$K$7:$K$2738,$F613)="","",INDEX(選手一覧!$K$7:$K$2738,$F613))</f>
        <v/>
      </c>
    </row>
    <row r="614" customFormat="false" ht="15" hidden="false" customHeight="false" outlineLevel="0" collapsed="false">
      <c r="A614" s="17" t="n">
        <v>610</v>
      </c>
      <c r="B614" s="12" t="s">
        <v>2666</v>
      </c>
      <c r="C614" s="12" t="s">
        <v>2667</v>
      </c>
      <c r="D614" s="16" t="n">
        <v>0.00726354166666667</v>
      </c>
      <c r="E614" s="15" t="n">
        <f aca="false">ROUND((D614-$D$5)*86400,2)</f>
        <v>88.55</v>
      </c>
      <c r="F614" s="17" t="n">
        <v>1706</v>
      </c>
      <c r="G614" s="16" t="str">
        <f aca="false">IF(INDEX(選手一覧!$D$7:$D$2738,$F614)="","",INDEX(選手一覧!$D$7:$D$2738,$F614))</f>
        <v/>
      </c>
      <c r="H614" s="17" t="str">
        <f aca="false">IF(INDEX(選手一覧!$E$7:$E$2738,$F614)="","",INDEX(選手一覧!$E$7:$E$2738,$F614))</f>
        <v/>
      </c>
      <c r="I614" s="16" t="str">
        <f aca="false">IF(INDEX(選手一覧!$J$7:$J$2738,$F614)="","",INDEX(選手一覧!$J$7:$J$2738,$F614))</f>
        <v/>
      </c>
      <c r="J614" s="17" t="str">
        <f aca="false">IF(INDEX(選手一覧!$K$7:$K$2738,$F614)="","",INDEX(選手一覧!$K$7:$K$2738,$F614))</f>
        <v/>
      </c>
    </row>
    <row r="615" customFormat="false" ht="15" hidden="false" customHeight="false" outlineLevel="0" collapsed="false">
      <c r="A615" s="17" t="n">
        <v>611</v>
      </c>
      <c r="B615" s="12" t="s">
        <v>2668</v>
      </c>
      <c r="C615" s="12" t="s">
        <v>2669</v>
      </c>
      <c r="D615" s="16" t="n">
        <v>0.00726585648148148</v>
      </c>
      <c r="E615" s="15" t="n">
        <f aca="false">ROUND((D615-$D$5)*86400,2)</f>
        <v>88.75</v>
      </c>
      <c r="F615" s="17" t="n">
        <v>1707</v>
      </c>
      <c r="G615" s="16" t="str">
        <f aca="false">IF(INDEX(選手一覧!$D$7:$D$2738,$F615)="","",INDEX(選手一覧!$D$7:$D$2738,$F615))</f>
        <v/>
      </c>
      <c r="H615" s="17" t="str">
        <f aca="false">IF(INDEX(選手一覧!$E$7:$E$2738,$F615)="","",INDEX(選手一覧!$E$7:$E$2738,$F615))</f>
        <v/>
      </c>
      <c r="I615" s="16" t="str">
        <f aca="false">IF(INDEX(選手一覧!$J$7:$J$2738,$F615)="","",INDEX(選手一覧!$J$7:$J$2738,$F615))</f>
        <v/>
      </c>
      <c r="J615" s="17" t="str">
        <f aca="false">IF(INDEX(選手一覧!$K$7:$K$2738,$F615)="","",INDEX(選手一覧!$K$7:$K$2738,$F615))</f>
        <v/>
      </c>
    </row>
    <row r="616" customFormat="false" ht="15" hidden="false" customHeight="false" outlineLevel="0" collapsed="false">
      <c r="A616" s="17" t="n">
        <v>612</v>
      </c>
      <c r="B616" s="12" t="s">
        <v>2670</v>
      </c>
      <c r="C616" s="12" t="s">
        <v>2671</v>
      </c>
      <c r="D616" s="16" t="n">
        <v>0.00726747685185185</v>
      </c>
      <c r="E616" s="15" t="n">
        <f aca="false">ROUND((D616-$D$5)*86400,2)</f>
        <v>88.89</v>
      </c>
      <c r="F616" s="17" t="n">
        <v>1708</v>
      </c>
      <c r="G616" s="16" t="str">
        <f aca="false">IF(INDEX(選手一覧!$D$7:$D$2738,$F616)="","",INDEX(選手一覧!$D$7:$D$2738,$F616))</f>
        <v/>
      </c>
      <c r="H616" s="17" t="str">
        <f aca="false">IF(INDEX(選手一覧!$E$7:$E$2738,$F616)="","",INDEX(選手一覧!$E$7:$E$2738,$F616))</f>
        <v/>
      </c>
      <c r="I616" s="16" t="str">
        <f aca="false">IF(INDEX(選手一覧!$J$7:$J$2738,$F616)="","",INDEX(選手一覧!$J$7:$J$2738,$F616))</f>
        <v/>
      </c>
      <c r="J616" s="17" t="str">
        <f aca="false">IF(INDEX(選手一覧!$K$7:$K$2738,$F616)="","",INDEX(選手一覧!$K$7:$K$2738,$F616))</f>
        <v/>
      </c>
    </row>
    <row r="617" customFormat="false" ht="15" hidden="false" customHeight="false" outlineLevel="0" collapsed="false">
      <c r="A617" s="17" t="n">
        <v>613</v>
      </c>
      <c r="B617" s="12" t="s">
        <v>2672</v>
      </c>
      <c r="C617" s="12" t="s">
        <v>1764</v>
      </c>
      <c r="D617" s="16" t="n">
        <v>0.00726851851851852</v>
      </c>
      <c r="E617" s="15" t="n">
        <f aca="false">ROUND((D617-$D$5)*86400,2)</f>
        <v>88.98</v>
      </c>
      <c r="F617" s="17" t="n">
        <v>1709</v>
      </c>
      <c r="G617" s="16" t="str">
        <f aca="false">IF(INDEX(選手一覧!$D$7:$D$2738,$F617)="","",INDEX(選手一覧!$D$7:$D$2738,$F617))</f>
        <v/>
      </c>
      <c r="H617" s="17" t="str">
        <f aca="false">IF(INDEX(選手一覧!$E$7:$E$2738,$F617)="","",INDEX(選手一覧!$E$7:$E$2738,$F617))</f>
        <v/>
      </c>
      <c r="I617" s="16" t="str">
        <f aca="false">IF(INDEX(選手一覧!$J$7:$J$2738,$F617)="","",INDEX(選手一覧!$J$7:$J$2738,$F617))</f>
        <v/>
      </c>
      <c r="J617" s="17" t="str">
        <f aca="false">IF(INDEX(選手一覧!$K$7:$K$2738,$F617)="","",INDEX(選手一覧!$K$7:$K$2738,$F617))</f>
        <v/>
      </c>
    </row>
    <row r="618" customFormat="false" ht="15" hidden="false" customHeight="false" outlineLevel="0" collapsed="false">
      <c r="A618" s="17" t="n">
        <v>614</v>
      </c>
      <c r="B618" s="12" t="s">
        <v>2673</v>
      </c>
      <c r="C618" s="12" t="s">
        <v>2174</v>
      </c>
      <c r="D618" s="16" t="n">
        <v>0.00726851851851852</v>
      </c>
      <c r="E618" s="15" t="n">
        <f aca="false">ROUND((D618-$D$5)*86400,2)</f>
        <v>88.98</v>
      </c>
      <c r="F618" s="17" t="n">
        <v>1710</v>
      </c>
      <c r="G618" s="16" t="str">
        <f aca="false">IF(INDEX(選手一覧!$D$7:$D$2738,$F618)="","",INDEX(選手一覧!$D$7:$D$2738,$F618))</f>
        <v/>
      </c>
      <c r="H618" s="17" t="str">
        <f aca="false">IF(INDEX(選手一覧!$E$7:$E$2738,$F618)="","",INDEX(選手一覧!$E$7:$E$2738,$F618))</f>
        <v/>
      </c>
      <c r="I618" s="16" t="str">
        <f aca="false">IF(INDEX(選手一覧!$J$7:$J$2738,$F618)="","",INDEX(選手一覧!$J$7:$J$2738,$F618))</f>
        <v/>
      </c>
      <c r="J618" s="17" t="str">
        <f aca="false">IF(INDEX(選手一覧!$K$7:$K$2738,$F618)="","",INDEX(選手一覧!$K$7:$K$2738,$F618))</f>
        <v/>
      </c>
    </row>
    <row r="619" customFormat="false" ht="15" hidden="false" customHeight="false" outlineLevel="0" collapsed="false">
      <c r="A619" s="17" t="n">
        <v>615</v>
      </c>
      <c r="B619" s="12" t="s">
        <v>2674</v>
      </c>
      <c r="C619" s="12" t="s">
        <v>2675</v>
      </c>
      <c r="D619" s="16" t="n">
        <v>0.00726886574074074</v>
      </c>
      <c r="E619" s="15" t="n">
        <f aca="false">ROUND((D619-$D$5)*86400,2)</f>
        <v>89.01</v>
      </c>
      <c r="F619" s="17" t="n">
        <v>1711</v>
      </c>
      <c r="G619" s="16" t="str">
        <f aca="false">IF(INDEX(選手一覧!$D$7:$D$2738,$F619)="","",INDEX(選手一覧!$D$7:$D$2738,$F619))</f>
        <v/>
      </c>
      <c r="H619" s="17" t="str">
        <f aca="false">IF(INDEX(選手一覧!$E$7:$E$2738,$F619)="","",INDEX(選手一覧!$E$7:$E$2738,$F619))</f>
        <v/>
      </c>
      <c r="I619" s="16" t="str">
        <f aca="false">IF(INDEX(選手一覧!$J$7:$J$2738,$F619)="","",INDEX(選手一覧!$J$7:$J$2738,$F619))</f>
        <v/>
      </c>
      <c r="J619" s="17" t="str">
        <f aca="false">IF(INDEX(選手一覧!$K$7:$K$2738,$F619)="","",INDEX(選手一覧!$K$7:$K$2738,$F619))</f>
        <v/>
      </c>
    </row>
    <row r="620" customFormat="false" ht="15" hidden="false" customHeight="false" outlineLevel="0" collapsed="false">
      <c r="A620" s="17" t="n">
        <v>616</v>
      </c>
      <c r="B620" s="12" t="s">
        <v>2677</v>
      </c>
      <c r="C620" s="12" t="s">
        <v>2678</v>
      </c>
      <c r="D620" s="16" t="n">
        <v>0.00727002314814815</v>
      </c>
      <c r="E620" s="15" t="n">
        <f aca="false">ROUND((D620-$D$5)*86400,2)</f>
        <v>89.11</v>
      </c>
      <c r="F620" s="17" t="n">
        <v>1713</v>
      </c>
      <c r="G620" s="16" t="str">
        <f aca="false">IF(INDEX(選手一覧!$D$7:$D$2738,$F620)="","",INDEX(選手一覧!$D$7:$D$2738,$F620))</f>
        <v/>
      </c>
      <c r="H620" s="17" t="str">
        <f aca="false">IF(INDEX(選手一覧!$E$7:$E$2738,$F620)="","",INDEX(選手一覧!$E$7:$E$2738,$F620))</f>
        <v/>
      </c>
      <c r="I620" s="16" t="str">
        <f aca="false">IF(INDEX(選手一覧!$J$7:$J$2738,$F620)="","",INDEX(選手一覧!$J$7:$J$2738,$F620))</f>
        <v/>
      </c>
      <c r="J620" s="17" t="str">
        <f aca="false">IF(INDEX(選手一覧!$K$7:$K$2738,$F620)="","",INDEX(選手一覧!$K$7:$K$2738,$F620))</f>
        <v/>
      </c>
    </row>
    <row r="621" customFormat="false" ht="15" hidden="false" customHeight="false" outlineLevel="0" collapsed="false">
      <c r="A621" s="17" t="n">
        <v>617</v>
      </c>
      <c r="B621" s="12" t="s">
        <v>2679</v>
      </c>
      <c r="C621" s="12" t="s">
        <v>2680</v>
      </c>
      <c r="D621" s="16" t="n">
        <v>0.00727025462962963</v>
      </c>
      <c r="E621" s="15" t="n">
        <f aca="false">ROUND((D621-$D$5)*86400,2)</f>
        <v>89.13</v>
      </c>
      <c r="F621" s="17" t="n">
        <v>1714</v>
      </c>
      <c r="G621" s="16" t="str">
        <f aca="false">IF(INDEX(選手一覧!$D$7:$D$2738,$F621)="","",INDEX(選手一覧!$D$7:$D$2738,$F621))</f>
        <v/>
      </c>
      <c r="H621" s="17" t="str">
        <f aca="false">IF(INDEX(選手一覧!$E$7:$E$2738,$F621)="","",INDEX(選手一覧!$E$7:$E$2738,$F621))</f>
        <v/>
      </c>
      <c r="I621" s="16" t="n">
        <f aca="false">IF(INDEX(選手一覧!$J$7:$J$2738,$F621)="","",INDEX(選手一覧!$J$7:$J$2738,$F621))</f>
        <v>0.002909375</v>
      </c>
      <c r="J621" s="17" t="n">
        <f aca="false">IF(INDEX(選手一覧!$K$7:$K$2738,$F621)="","",INDEX(選手一覧!$K$7:$K$2738,$F621))</f>
        <v>1012</v>
      </c>
    </row>
    <row r="622" customFormat="false" ht="15" hidden="false" customHeight="false" outlineLevel="0" collapsed="false">
      <c r="A622" s="17" t="n">
        <v>618</v>
      </c>
      <c r="B622" s="12" t="s">
        <v>2681</v>
      </c>
      <c r="C622" s="12" t="s">
        <v>1094</v>
      </c>
      <c r="D622" s="16" t="n">
        <v>0.00727291666666667</v>
      </c>
      <c r="E622" s="15" t="n">
        <f aca="false">ROUND((D622-$D$5)*86400,2)</f>
        <v>89.36</v>
      </c>
      <c r="F622" s="17" t="n">
        <v>1715</v>
      </c>
      <c r="G622" s="16" t="str">
        <f aca="false">IF(INDEX(選手一覧!$D$7:$D$2738,$F622)="","",INDEX(選手一覧!$D$7:$D$2738,$F622))</f>
        <v/>
      </c>
      <c r="H622" s="17" t="str">
        <f aca="false">IF(INDEX(選手一覧!$E$7:$E$2738,$F622)="","",INDEX(選手一覧!$E$7:$E$2738,$F622))</f>
        <v/>
      </c>
      <c r="I622" s="16" t="str">
        <f aca="false">IF(INDEX(選手一覧!$J$7:$J$2738,$F622)="","",INDEX(選手一覧!$J$7:$J$2738,$F622))</f>
        <v/>
      </c>
      <c r="J622" s="17" t="str">
        <f aca="false">IF(INDEX(選手一覧!$K$7:$K$2738,$F622)="","",INDEX(選手一覧!$K$7:$K$2738,$F622))</f>
        <v/>
      </c>
    </row>
    <row r="623" customFormat="false" ht="15" hidden="false" customHeight="false" outlineLevel="0" collapsed="false">
      <c r="A623" s="17" t="n">
        <v>619</v>
      </c>
      <c r="B623" s="12" t="s">
        <v>2682</v>
      </c>
      <c r="C623" s="12" t="s">
        <v>2683</v>
      </c>
      <c r="D623" s="16" t="n">
        <v>0.007278125</v>
      </c>
      <c r="E623" s="15" t="n">
        <f aca="false">ROUND((D623-$D$5)*86400,2)</f>
        <v>89.81</v>
      </c>
      <c r="F623" s="17" t="n">
        <v>1716</v>
      </c>
      <c r="G623" s="16" t="str">
        <f aca="false">IF(INDEX(選手一覧!$D$7:$D$2738,$F623)="","",INDEX(選手一覧!$D$7:$D$2738,$F623))</f>
        <v/>
      </c>
      <c r="H623" s="17" t="str">
        <f aca="false">IF(INDEX(選手一覧!$E$7:$E$2738,$F623)="","",INDEX(選手一覧!$E$7:$E$2738,$F623))</f>
        <v/>
      </c>
      <c r="I623" s="16" t="n">
        <f aca="false">IF(INDEX(選手一覧!$J$7:$J$2738,$F623)="","",INDEX(選手一覧!$J$7:$J$2738,$F623))</f>
        <v>0.00296631944444445</v>
      </c>
      <c r="J623" s="17" t="n">
        <f aca="false">IF(INDEX(選手一覧!$K$7:$K$2738,$F623)="","",INDEX(選手一覧!$K$7:$K$2738,$F623))</f>
        <v>1296</v>
      </c>
    </row>
    <row r="624" customFormat="false" ht="15" hidden="false" customHeight="false" outlineLevel="0" collapsed="false">
      <c r="A624" s="17" t="n">
        <v>620</v>
      </c>
      <c r="B624" s="12" t="s">
        <v>2687</v>
      </c>
      <c r="C624" s="12" t="s">
        <v>2688</v>
      </c>
      <c r="D624" s="16" t="n">
        <v>0.00727893518518519</v>
      </c>
      <c r="E624" s="15" t="n">
        <f aca="false">ROUND((D624-$D$5)*86400,2)</f>
        <v>89.88</v>
      </c>
      <c r="F624" s="17" t="n">
        <v>1718</v>
      </c>
      <c r="G624" s="16" t="str">
        <f aca="false">IF(INDEX(選手一覧!$D$7:$D$2738,$F624)="","",INDEX(選手一覧!$D$7:$D$2738,$F624))</f>
        <v/>
      </c>
      <c r="H624" s="17" t="str">
        <f aca="false">IF(INDEX(選手一覧!$E$7:$E$2738,$F624)="","",INDEX(選手一覧!$E$7:$E$2738,$F624))</f>
        <v/>
      </c>
      <c r="I624" s="16" t="str">
        <f aca="false">IF(INDEX(選手一覧!$J$7:$J$2738,$F624)="","",INDEX(選手一覧!$J$7:$J$2738,$F624))</f>
        <v/>
      </c>
      <c r="J624" s="17" t="str">
        <f aca="false">IF(INDEX(選手一覧!$K$7:$K$2738,$F624)="","",INDEX(選手一覧!$K$7:$K$2738,$F624))</f>
        <v/>
      </c>
    </row>
    <row r="625" customFormat="false" ht="15" hidden="false" customHeight="false" outlineLevel="0" collapsed="false">
      <c r="A625" s="17" t="n">
        <v>621</v>
      </c>
      <c r="B625" s="12" t="s">
        <v>1516</v>
      </c>
      <c r="C625" s="12" t="s">
        <v>585</v>
      </c>
      <c r="D625" s="16" t="n">
        <v>0.00728148148148148</v>
      </c>
      <c r="E625" s="15" t="n">
        <f aca="false">ROUND((D625-$D$5)*86400,2)</f>
        <v>90.1</v>
      </c>
      <c r="F625" s="17" t="n">
        <v>921</v>
      </c>
      <c r="G625" s="16" t="n">
        <f aca="false">IF(INDEX(選手一覧!$D$7:$D$2738,$F625)="","",INDEX(選手一覧!$D$7:$D$2738,$F625))</f>
        <v>0.0109021990740741</v>
      </c>
      <c r="H625" s="17" t="n">
        <f aca="false">IF(INDEX(選手一覧!$E$7:$E$2738,$F625)="","",INDEX(選手一覧!$E$7:$E$2738,$F625))</f>
        <v>922</v>
      </c>
      <c r="I625" s="16" t="str">
        <f aca="false">IF(INDEX(選手一覧!$J$7:$J$2738,$F625)="","",INDEX(選手一覧!$J$7:$J$2738,$F625))</f>
        <v/>
      </c>
      <c r="J625" s="17" t="str">
        <f aca="false">IF(INDEX(選手一覧!$K$7:$K$2738,$F625)="","",INDEX(選手一覧!$K$7:$K$2738,$F625))</f>
        <v/>
      </c>
    </row>
    <row r="626" customFormat="false" ht="15" hidden="false" customHeight="false" outlineLevel="0" collapsed="false">
      <c r="A626" s="17" t="n">
        <v>622</v>
      </c>
      <c r="B626" s="12" t="s">
        <v>2689</v>
      </c>
      <c r="C626" s="12" t="s">
        <v>129</v>
      </c>
      <c r="D626" s="16" t="n">
        <v>0.0072818287037037</v>
      </c>
      <c r="E626" s="15" t="n">
        <f aca="false">ROUND((D626-$D$5)*86400,2)</f>
        <v>90.13</v>
      </c>
      <c r="F626" s="17" t="n">
        <v>1719</v>
      </c>
      <c r="G626" s="16" t="str">
        <f aca="false">IF(INDEX(選手一覧!$D$7:$D$2738,$F626)="","",INDEX(選手一覧!$D$7:$D$2738,$F626))</f>
        <v/>
      </c>
      <c r="H626" s="17" t="str">
        <f aca="false">IF(INDEX(選手一覧!$E$7:$E$2738,$F626)="","",INDEX(選手一覧!$E$7:$E$2738,$F626))</f>
        <v/>
      </c>
      <c r="I626" s="16" t="str">
        <f aca="false">IF(INDEX(選手一覧!$J$7:$J$2738,$F626)="","",INDEX(選手一覧!$J$7:$J$2738,$F626))</f>
        <v/>
      </c>
      <c r="J626" s="17" t="str">
        <f aca="false">IF(INDEX(選手一覧!$K$7:$K$2738,$F626)="","",INDEX(選手一覧!$K$7:$K$2738,$F626))</f>
        <v/>
      </c>
    </row>
    <row r="627" customFormat="false" ht="15" hidden="false" customHeight="false" outlineLevel="0" collapsed="false">
      <c r="A627" s="17" t="n">
        <v>623</v>
      </c>
      <c r="B627" s="12" t="s">
        <v>1976</v>
      </c>
      <c r="C627" s="12" t="s">
        <v>430</v>
      </c>
      <c r="D627" s="16" t="n">
        <v>0.00728298611111111</v>
      </c>
      <c r="E627" s="15" t="n">
        <f aca="false">ROUND((D627-$D$5)*86400,2)</f>
        <v>90.23</v>
      </c>
      <c r="F627" s="17" t="n">
        <v>1238</v>
      </c>
      <c r="G627" s="16" t="n">
        <f aca="false">IF(INDEX(選手一覧!$D$7:$D$2738,$F627)="","",INDEX(選手一覧!$D$7:$D$2738,$F627))</f>
        <v>0.0110722222222222</v>
      </c>
      <c r="H627" s="17" t="n">
        <f aca="false">IF(INDEX(選手一覧!$E$7:$E$2738,$F627)="","",INDEX(選手一覧!$E$7:$E$2738,$F627))</f>
        <v>1239</v>
      </c>
      <c r="I627" s="16" t="str">
        <f aca="false">IF(INDEX(選手一覧!$J$7:$J$2738,$F627)="","",INDEX(選手一覧!$J$7:$J$2738,$F627))</f>
        <v/>
      </c>
      <c r="J627" s="17" t="str">
        <f aca="false">IF(INDEX(選手一覧!$K$7:$K$2738,$F627)="","",INDEX(選手一覧!$K$7:$K$2738,$F627))</f>
        <v/>
      </c>
    </row>
    <row r="628" customFormat="false" ht="15" hidden="false" customHeight="false" outlineLevel="0" collapsed="false">
      <c r="A628" s="17" t="n">
        <v>624</v>
      </c>
      <c r="B628" s="12" t="s">
        <v>2690</v>
      </c>
      <c r="C628" s="12" t="s">
        <v>2381</v>
      </c>
      <c r="D628" s="16" t="n">
        <v>0.00728321759259259</v>
      </c>
      <c r="E628" s="15" t="n">
        <f aca="false">ROUND((D628-$D$5)*86400,2)</f>
        <v>90.25</v>
      </c>
      <c r="F628" s="17" t="n">
        <v>1720</v>
      </c>
      <c r="G628" s="16" t="str">
        <f aca="false">IF(INDEX(選手一覧!$D$7:$D$2738,$F628)="","",INDEX(選手一覧!$D$7:$D$2738,$F628))</f>
        <v/>
      </c>
      <c r="H628" s="17" t="str">
        <f aca="false">IF(INDEX(選手一覧!$E$7:$E$2738,$F628)="","",INDEX(選手一覧!$E$7:$E$2738,$F628))</f>
        <v/>
      </c>
      <c r="I628" s="16" t="str">
        <f aca="false">IF(INDEX(選手一覧!$J$7:$J$2738,$F628)="","",INDEX(選手一覧!$J$7:$J$2738,$F628))</f>
        <v/>
      </c>
      <c r="J628" s="17" t="str">
        <f aca="false">IF(INDEX(選手一覧!$K$7:$K$2738,$F628)="","",INDEX(選手一覧!$K$7:$K$2738,$F628))</f>
        <v/>
      </c>
    </row>
    <row r="629" customFormat="false" ht="15" hidden="false" customHeight="false" outlineLevel="0" collapsed="false">
      <c r="A629" s="17" t="n">
        <v>625</v>
      </c>
      <c r="B629" s="12" t="s">
        <v>2691</v>
      </c>
      <c r="C629" s="12" t="s">
        <v>2692</v>
      </c>
      <c r="D629" s="16" t="n">
        <v>0.00728344907407407</v>
      </c>
      <c r="E629" s="15" t="n">
        <f aca="false">ROUND((D629-$D$5)*86400,2)</f>
        <v>90.27</v>
      </c>
      <c r="F629" s="17" t="n">
        <v>1721</v>
      </c>
      <c r="G629" s="16" t="str">
        <f aca="false">IF(INDEX(選手一覧!$D$7:$D$2738,$F629)="","",INDEX(選手一覧!$D$7:$D$2738,$F629))</f>
        <v/>
      </c>
      <c r="H629" s="17" t="str">
        <f aca="false">IF(INDEX(選手一覧!$E$7:$E$2738,$F629)="","",INDEX(選手一覧!$E$7:$E$2738,$F629))</f>
        <v/>
      </c>
      <c r="I629" s="16" t="str">
        <f aca="false">IF(INDEX(選手一覧!$J$7:$J$2738,$F629)="","",INDEX(選手一覧!$J$7:$J$2738,$F629))</f>
        <v/>
      </c>
      <c r="J629" s="17" t="str">
        <f aca="false">IF(INDEX(選手一覧!$K$7:$K$2738,$F629)="","",INDEX(選手一覧!$K$7:$K$2738,$F629))</f>
        <v/>
      </c>
    </row>
    <row r="630" customFormat="false" ht="15" hidden="false" customHeight="false" outlineLevel="0" collapsed="false">
      <c r="A630" s="17" t="n">
        <v>626</v>
      </c>
      <c r="B630" s="12" t="s">
        <v>2694</v>
      </c>
      <c r="C630" s="12" t="s">
        <v>256</v>
      </c>
      <c r="D630" s="16" t="n">
        <v>0.00728356481481481</v>
      </c>
      <c r="E630" s="15" t="n">
        <f aca="false">ROUND((D630-$D$5)*86400,2)</f>
        <v>90.28</v>
      </c>
      <c r="F630" s="17" t="n">
        <v>1723</v>
      </c>
      <c r="G630" s="16" t="str">
        <f aca="false">IF(INDEX(選手一覧!$D$7:$D$2738,$F630)="","",INDEX(選手一覧!$D$7:$D$2738,$F630))</f>
        <v/>
      </c>
      <c r="H630" s="17" t="str">
        <f aca="false">IF(INDEX(選手一覧!$E$7:$E$2738,$F630)="","",INDEX(選手一覧!$E$7:$E$2738,$F630))</f>
        <v/>
      </c>
      <c r="I630" s="16" t="str">
        <f aca="false">IF(INDEX(選手一覧!$J$7:$J$2738,$F630)="","",INDEX(選手一覧!$J$7:$J$2738,$F630))</f>
        <v/>
      </c>
      <c r="J630" s="17" t="str">
        <f aca="false">IF(INDEX(選手一覧!$K$7:$K$2738,$F630)="","",INDEX(選手一覧!$K$7:$K$2738,$F630))</f>
        <v/>
      </c>
    </row>
    <row r="631" customFormat="false" ht="15" hidden="false" customHeight="false" outlineLevel="0" collapsed="false">
      <c r="A631" s="17" t="n">
        <v>627</v>
      </c>
      <c r="B631" s="12" t="s">
        <v>2697</v>
      </c>
      <c r="C631" s="12" t="s">
        <v>2688</v>
      </c>
      <c r="D631" s="16" t="n">
        <v>0.00728414351851852</v>
      </c>
      <c r="E631" s="15" t="n">
        <f aca="false">ROUND((D631-$D$5)*86400,2)</f>
        <v>90.33</v>
      </c>
      <c r="F631" s="17" t="n">
        <v>1725</v>
      </c>
      <c r="G631" s="16" t="str">
        <f aca="false">IF(INDEX(選手一覧!$D$7:$D$2738,$F631)="","",INDEX(選手一覧!$D$7:$D$2738,$F631))</f>
        <v/>
      </c>
      <c r="H631" s="17" t="str">
        <f aca="false">IF(INDEX(選手一覧!$E$7:$E$2738,$F631)="","",INDEX(選手一覧!$E$7:$E$2738,$F631))</f>
        <v/>
      </c>
      <c r="I631" s="16" t="str">
        <f aca="false">IF(INDEX(選手一覧!$J$7:$J$2738,$F631)="","",INDEX(選手一覧!$J$7:$J$2738,$F631))</f>
        <v/>
      </c>
      <c r="J631" s="17" t="str">
        <f aca="false">IF(INDEX(選手一覧!$K$7:$K$2738,$F631)="","",INDEX(選手一覧!$K$7:$K$2738,$F631))</f>
        <v/>
      </c>
    </row>
    <row r="632" customFormat="false" ht="15" hidden="false" customHeight="false" outlineLevel="0" collapsed="false">
      <c r="A632" s="17" t="n">
        <v>628</v>
      </c>
      <c r="B632" s="12" t="s">
        <v>981</v>
      </c>
      <c r="C632" s="12" t="s">
        <v>982</v>
      </c>
      <c r="D632" s="16" t="n">
        <v>0.00728587962962963</v>
      </c>
      <c r="E632" s="15" t="n">
        <f aca="false">ROUND((D632-$D$5)*86400,2)</f>
        <v>90.48</v>
      </c>
      <c r="F632" s="17" t="n">
        <v>563</v>
      </c>
      <c r="G632" s="16" t="n">
        <f aca="false">IF(INDEX(選手一覧!$D$7:$D$2738,$F632)="","",INDEX(選手一覧!$D$7:$D$2738,$F632))</f>
        <v>0.0106871527777778</v>
      </c>
      <c r="H632" s="17" t="n">
        <f aca="false">IF(INDEX(選手一覧!$E$7:$E$2738,$F632)="","",INDEX(選手一覧!$E$7:$E$2738,$F632))</f>
        <v>564</v>
      </c>
      <c r="I632" s="16" t="n">
        <f aca="false">IF(INDEX(選手一覧!$J$7:$J$2738,$F632)="","",INDEX(選手一覧!$J$7:$J$2738,$F632))</f>
        <v>0.00288969907407407</v>
      </c>
      <c r="J632" s="17" t="n">
        <f aca="false">IF(INDEX(選手一覧!$K$7:$K$2738,$F632)="","",INDEX(選手一覧!$K$7:$K$2738,$F632))</f>
        <v>862</v>
      </c>
    </row>
    <row r="633" customFormat="false" ht="15" hidden="false" customHeight="false" outlineLevel="0" collapsed="false">
      <c r="A633" s="17" t="n">
        <v>629</v>
      </c>
      <c r="B633" s="12" t="s">
        <v>2698</v>
      </c>
      <c r="C633" s="12" t="s">
        <v>1548</v>
      </c>
      <c r="D633" s="16" t="n">
        <v>0.00728912037037037</v>
      </c>
      <c r="E633" s="15" t="n">
        <f aca="false">ROUND((D633-$D$5)*86400,2)</f>
        <v>90.76</v>
      </c>
      <c r="F633" s="17" t="n">
        <v>1726</v>
      </c>
      <c r="G633" s="16" t="str">
        <f aca="false">IF(INDEX(選手一覧!$D$7:$D$2738,$F633)="","",INDEX(選手一覧!$D$7:$D$2738,$F633))</f>
        <v/>
      </c>
      <c r="H633" s="17" t="str">
        <f aca="false">IF(INDEX(選手一覧!$E$7:$E$2738,$F633)="","",INDEX(選手一覧!$E$7:$E$2738,$F633))</f>
        <v/>
      </c>
      <c r="I633" s="16" t="str">
        <f aca="false">IF(INDEX(選手一覧!$J$7:$J$2738,$F633)="","",INDEX(選手一覧!$J$7:$J$2738,$F633))</f>
        <v/>
      </c>
      <c r="J633" s="17" t="str">
        <f aca="false">IF(INDEX(選手一覧!$K$7:$K$2738,$F633)="","",INDEX(選手一覧!$K$7:$K$2738,$F633))</f>
        <v/>
      </c>
    </row>
    <row r="634" customFormat="false" ht="15" hidden="false" customHeight="false" outlineLevel="0" collapsed="false">
      <c r="A634" s="17" t="n">
        <v>630</v>
      </c>
      <c r="B634" s="12" t="s">
        <v>1135</v>
      </c>
      <c r="C634" s="12" t="s">
        <v>525</v>
      </c>
      <c r="D634" s="16" t="n">
        <v>0.007290625</v>
      </c>
      <c r="E634" s="15" t="n">
        <f aca="false">ROUND((D634-$D$5)*86400,2)</f>
        <v>90.89</v>
      </c>
      <c r="F634" s="17" t="n">
        <v>672</v>
      </c>
      <c r="G634" s="16" t="n">
        <f aca="false">IF(INDEX(選手一覧!$D$7:$D$2738,$F634)="","",INDEX(選手一覧!$D$7:$D$2738,$F634))</f>
        <v>0.0107538194444444</v>
      </c>
      <c r="H634" s="17" t="n">
        <f aca="false">IF(INDEX(選手一覧!$E$7:$E$2738,$F634)="","",INDEX(選手一覧!$E$7:$E$2738,$F634))</f>
        <v>673</v>
      </c>
      <c r="I634" s="16" t="str">
        <f aca="false">IF(INDEX(選手一覧!$J$7:$J$2738,$F634)="","",INDEX(選手一覧!$J$7:$J$2738,$F634))</f>
        <v/>
      </c>
      <c r="J634" s="17" t="str">
        <f aca="false">IF(INDEX(選手一覧!$K$7:$K$2738,$F634)="","",INDEX(選手一覧!$K$7:$K$2738,$F634))</f>
        <v/>
      </c>
    </row>
    <row r="635" customFormat="false" ht="15" hidden="false" customHeight="false" outlineLevel="0" collapsed="false">
      <c r="A635" s="17" t="n">
        <v>631</v>
      </c>
      <c r="B635" s="12" t="s">
        <v>2700</v>
      </c>
      <c r="C635" s="12" t="s">
        <v>2701</v>
      </c>
      <c r="D635" s="16" t="n">
        <v>0.00729085648148148</v>
      </c>
      <c r="E635" s="15" t="n">
        <f aca="false">ROUND((D635-$D$5)*86400,2)</f>
        <v>90.91</v>
      </c>
      <c r="F635" s="17" t="n">
        <v>1728</v>
      </c>
      <c r="G635" s="16" t="str">
        <f aca="false">IF(INDEX(選手一覧!$D$7:$D$2738,$F635)="","",INDEX(選手一覧!$D$7:$D$2738,$F635))</f>
        <v/>
      </c>
      <c r="H635" s="17" t="str">
        <f aca="false">IF(INDEX(選手一覧!$E$7:$E$2738,$F635)="","",INDEX(選手一覧!$E$7:$E$2738,$F635))</f>
        <v/>
      </c>
      <c r="I635" s="16" t="n">
        <f aca="false">IF(INDEX(選手一覧!$J$7:$J$2738,$F635)="","",INDEX(選手一覧!$J$7:$J$2738,$F635))</f>
        <v>0.00291111111111111</v>
      </c>
      <c r="J635" s="17" t="n">
        <f aca="false">IF(INDEX(選手一覧!$K$7:$K$2738,$F635)="","",INDEX(選手一覧!$K$7:$K$2738,$F635))</f>
        <v>1030</v>
      </c>
    </row>
    <row r="636" customFormat="false" ht="15" hidden="false" customHeight="false" outlineLevel="0" collapsed="false">
      <c r="A636" s="17" t="n">
        <v>632</v>
      </c>
      <c r="B636" s="12" t="s">
        <v>2703</v>
      </c>
      <c r="C636" s="12" t="s">
        <v>2704</v>
      </c>
      <c r="D636" s="16" t="n">
        <v>0.00729189814814815</v>
      </c>
      <c r="E636" s="15" t="n">
        <f aca="false">ROUND((D636-$D$5)*86400,2)</f>
        <v>91</v>
      </c>
      <c r="F636" s="17" t="n">
        <v>1730</v>
      </c>
      <c r="G636" s="16" t="str">
        <f aca="false">IF(INDEX(選手一覧!$D$7:$D$2738,$F636)="","",INDEX(選手一覧!$D$7:$D$2738,$F636))</f>
        <v/>
      </c>
      <c r="H636" s="17" t="str">
        <f aca="false">IF(INDEX(選手一覧!$E$7:$E$2738,$F636)="","",INDEX(選手一覧!$E$7:$E$2738,$F636))</f>
        <v/>
      </c>
      <c r="I636" s="16" t="str">
        <f aca="false">IF(INDEX(選手一覧!$J$7:$J$2738,$F636)="","",INDEX(選手一覧!$J$7:$J$2738,$F636))</f>
        <v/>
      </c>
      <c r="J636" s="17" t="str">
        <f aca="false">IF(INDEX(選手一覧!$K$7:$K$2738,$F636)="","",INDEX(選手一覧!$K$7:$K$2738,$F636))</f>
        <v/>
      </c>
    </row>
    <row r="637" customFormat="false" ht="15" hidden="false" customHeight="false" outlineLevel="0" collapsed="false">
      <c r="A637" s="17" t="n">
        <v>633</v>
      </c>
      <c r="B637" s="12" t="s">
        <v>2705</v>
      </c>
      <c r="C637" s="12" t="s">
        <v>2102</v>
      </c>
      <c r="D637" s="16" t="n">
        <v>0.00729236111111111</v>
      </c>
      <c r="E637" s="15" t="n">
        <f aca="false">ROUND((D637-$D$5)*86400,2)</f>
        <v>91.04</v>
      </c>
      <c r="F637" s="17" t="n">
        <v>1731</v>
      </c>
      <c r="G637" s="16" t="str">
        <f aca="false">IF(INDEX(選手一覧!$D$7:$D$2738,$F637)="","",INDEX(選手一覧!$D$7:$D$2738,$F637))</f>
        <v/>
      </c>
      <c r="H637" s="17" t="str">
        <f aca="false">IF(INDEX(選手一覧!$E$7:$E$2738,$F637)="","",INDEX(選手一覧!$E$7:$E$2738,$F637))</f>
        <v/>
      </c>
      <c r="I637" s="16" t="str">
        <f aca="false">IF(INDEX(選手一覧!$J$7:$J$2738,$F637)="","",INDEX(選手一覧!$J$7:$J$2738,$F637))</f>
        <v/>
      </c>
      <c r="J637" s="17" t="str">
        <f aca="false">IF(INDEX(選手一覧!$K$7:$K$2738,$F637)="","",INDEX(選手一覧!$K$7:$K$2738,$F637))</f>
        <v/>
      </c>
    </row>
    <row r="638" customFormat="false" ht="15" hidden="false" customHeight="false" outlineLevel="0" collapsed="false">
      <c r="A638" s="17" t="n">
        <v>634</v>
      </c>
      <c r="B638" s="12" t="s">
        <v>2706</v>
      </c>
      <c r="C638" s="12" t="s">
        <v>2212</v>
      </c>
      <c r="D638" s="16" t="n">
        <v>0.00729236111111111</v>
      </c>
      <c r="E638" s="15" t="n">
        <f aca="false">ROUND((D638-$D$5)*86400,2)</f>
        <v>91.04</v>
      </c>
      <c r="F638" s="17" t="n">
        <v>1732</v>
      </c>
      <c r="G638" s="16" t="str">
        <f aca="false">IF(INDEX(選手一覧!$D$7:$D$2738,$F638)="","",INDEX(選手一覧!$D$7:$D$2738,$F638))</f>
        <v/>
      </c>
      <c r="H638" s="17" t="str">
        <f aca="false">IF(INDEX(選手一覧!$E$7:$E$2738,$F638)="","",INDEX(選手一覧!$E$7:$E$2738,$F638))</f>
        <v/>
      </c>
      <c r="I638" s="16" t="str">
        <f aca="false">IF(INDEX(選手一覧!$J$7:$J$2738,$F638)="","",INDEX(選手一覧!$J$7:$J$2738,$F638))</f>
        <v/>
      </c>
      <c r="J638" s="17" t="str">
        <f aca="false">IF(INDEX(選手一覧!$K$7:$K$2738,$F638)="","",INDEX(選手一覧!$K$7:$K$2738,$F638))</f>
        <v/>
      </c>
    </row>
    <row r="639" customFormat="false" ht="15" hidden="false" customHeight="false" outlineLevel="0" collapsed="false">
      <c r="A639" s="17" t="n">
        <v>635</v>
      </c>
      <c r="B639" s="12" t="s">
        <v>2707</v>
      </c>
      <c r="C639" s="12" t="s">
        <v>1707</v>
      </c>
      <c r="D639" s="16" t="n">
        <v>0.00729409722222222</v>
      </c>
      <c r="E639" s="15" t="n">
        <f aca="false">ROUND((D639-$D$5)*86400,2)</f>
        <v>91.19</v>
      </c>
      <c r="F639" s="17" t="n">
        <v>1733</v>
      </c>
      <c r="G639" s="16" t="str">
        <f aca="false">IF(INDEX(選手一覧!$D$7:$D$2738,$F639)="","",INDEX(選手一覧!$D$7:$D$2738,$F639))</f>
        <v/>
      </c>
      <c r="H639" s="17" t="str">
        <f aca="false">IF(INDEX(選手一覧!$E$7:$E$2738,$F639)="","",INDEX(選手一覧!$E$7:$E$2738,$F639))</f>
        <v/>
      </c>
      <c r="I639" s="16" t="str">
        <f aca="false">IF(INDEX(選手一覧!$J$7:$J$2738,$F639)="","",INDEX(選手一覧!$J$7:$J$2738,$F639))</f>
        <v/>
      </c>
      <c r="J639" s="17" t="str">
        <f aca="false">IF(INDEX(選手一覧!$K$7:$K$2738,$F639)="","",INDEX(選手一覧!$K$7:$K$2738,$F639))</f>
        <v/>
      </c>
    </row>
    <row r="640" customFormat="false" ht="15" hidden="false" customHeight="false" outlineLevel="0" collapsed="false">
      <c r="A640" s="17" t="n">
        <v>636</v>
      </c>
      <c r="B640" s="12" t="s">
        <v>2708</v>
      </c>
      <c r="C640" s="12" t="s">
        <v>2709</v>
      </c>
      <c r="D640" s="16" t="n">
        <v>0.00729421296296296</v>
      </c>
      <c r="E640" s="15" t="n">
        <f aca="false">ROUND((D640-$D$5)*86400,2)</f>
        <v>91.2</v>
      </c>
      <c r="F640" s="17" t="n">
        <v>1734</v>
      </c>
      <c r="G640" s="16" t="str">
        <f aca="false">IF(INDEX(選手一覧!$D$7:$D$2738,$F640)="","",INDEX(選手一覧!$D$7:$D$2738,$F640))</f>
        <v/>
      </c>
      <c r="H640" s="17" t="str">
        <f aca="false">IF(INDEX(選手一覧!$E$7:$E$2738,$F640)="","",INDEX(選手一覧!$E$7:$E$2738,$F640))</f>
        <v/>
      </c>
      <c r="I640" s="16" t="str">
        <f aca="false">IF(INDEX(選手一覧!$J$7:$J$2738,$F640)="","",INDEX(選手一覧!$J$7:$J$2738,$F640))</f>
        <v/>
      </c>
      <c r="J640" s="17" t="str">
        <f aca="false">IF(INDEX(選手一覧!$K$7:$K$2738,$F640)="","",INDEX(選手一覧!$K$7:$K$2738,$F640))</f>
        <v/>
      </c>
    </row>
    <row r="641" customFormat="false" ht="15" hidden="false" customHeight="false" outlineLevel="0" collapsed="false">
      <c r="A641" s="17" t="n">
        <v>637</v>
      </c>
      <c r="B641" s="12" t="s">
        <v>2710</v>
      </c>
      <c r="C641" s="12" t="s">
        <v>2711</v>
      </c>
      <c r="D641" s="16" t="n">
        <v>0.00729444444444445</v>
      </c>
      <c r="E641" s="15" t="n">
        <f aca="false">ROUND((D641-$D$5)*86400,2)</f>
        <v>91.22</v>
      </c>
      <c r="F641" s="17" t="n">
        <v>1735</v>
      </c>
      <c r="G641" s="16" t="str">
        <f aca="false">IF(INDEX(選手一覧!$D$7:$D$2738,$F641)="","",INDEX(選手一覧!$D$7:$D$2738,$F641))</f>
        <v/>
      </c>
      <c r="H641" s="17" t="str">
        <f aca="false">IF(INDEX(選手一覧!$E$7:$E$2738,$F641)="","",INDEX(選手一覧!$E$7:$E$2738,$F641))</f>
        <v/>
      </c>
      <c r="I641" s="16" t="str">
        <f aca="false">IF(INDEX(選手一覧!$J$7:$J$2738,$F641)="","",INDEX(選手一覧!$J$7:$J$2738,$F641))</f>
        <v/>
      </c>
      <c r="J641" s="17" t="str">
        <f aca="false">IF(INDEX(選手一覧!$K$7:$K$2738,$F641)="","",INDEX(選手一覧!$K$7:$K$2738,$F641))</f>
        <v/>
      </c>
    </row>
    <row r="642" customFormat="false" ht="15" hidden="false" customHeight="false" outlineLevel="0" collapsed="false">
      <c r="A642" s="17" t="n">
        <v>638</v>
      </c>
      <c r="B642" s="12" t="s">
        <v>2712</v>
      </c>
      <c r="C642" s="12" t="s">
        <v>728</v>
      </c>
      <c r="D642" s="16" t="n">
        <v>0.00729456018518519</v>
      </c>
      <c r="E642" s="15" t="n">
        <f aca="false">ROUND((D642-$D$5)*86400,2)</f>
        <v>91.23</v>
      </c>
      <c r="F642" s="17" t="n">
        <v>1736</v>
      </c>
      <c r="G642" s="16" t="str">
        <f aca="false">IF(INDEX(選手一覧!$D$7:$D$2738,$F642)="","",INDEX(選手一覧!$D$7:$D$2738,$F642))</f>
        <v/>
      </c>
      <c r="H642" s="17" t="str">
        <f aca="false">IF(INDEX(選手一覧!$E$7:$E$2738,$F642)="","",INDEX(選手一覧!$E$7:$E$2738,$F642))</f>
        <v/>
      </c>
      <c r="I642" s="16" t="str">
        <f aca="false">IF(INDEX(選手一覧!$J$7:$J$2738,$F642)="","",INDEX(選手一覧!$J$7:$J$2738,$F642))</f>
        <v/>
      </c>
      <c r="J642" s="17" t="str">
        <f aca="false">IF(INDEX(選手一覧!$K$7:$K$2738,$F642)="","",INDEX(選手一覧!$K$7:$K$2738,$F642))</f>
        <v/>
      </c>
    </row>
    <row r="643" customFormat="false" ht="15" hidden="false" customHeight="false" outlineLevel="0" collapsed="false">
      <c r="A643" s="17" t="n">
        <v>639</v>
      </c>
      <c r="B643" s="12" t="s">
        <v>2714</v>
      </c>
      <c r="C643" s="12" t="s">
        <v>2577</v>
      </c>
      <c r="D643" s="16" t="n">
        <v>0.00729537037037037</v>
      </c>
      <c r="E643" s="15" t="n">
        <f aca="false">ROUND((D643-$D$5)*86400,2)</f>
        <v>91.3</v>
      </c>
      <c r="F643" s="17" t="n">
        <v>1738</v>
      </c>
      <c r="G643" s="16" t="str">
        <f aca="false">IF(INDEX(選手一覧!$D$7:$D$2738,$F643)="","",INDEX(選手一覧!$D$7:$D$2738,$F643))</f>
        <v/>
      </c>
      <c r="H643" s="17" t="str">
        <f aca="false">IF(INDEX(選手一覧!$E$7:$E$2738,$F643)="","",INDEX(選手一覧!$E$7:$E$2738,$F643))</f>
        <v/>
      </c>
      <c r="I643" s="16" t="str">
        <f aca="false">IF(INDEX(選手一覧!$J$7:$J$2738,$F643)="","",INDEX(選手一覧!$J$7:$J$2738,$F643))</f>
        <v/>
      </c>
      <c r="J643" s="17" t="str">
        <f aca="false">IF(INDEX(選手一覧!$K$7:$K$2738,$F643)="","",INDEX(選手一覧!$K$7:$K$2738,$F643))</f>
        <v/>
      </c>
    </row>
    <row r="644" customFormat="false" ht="15" hidden="false" customHeight="false" outlineLevel="0" collapsed="false">
      <c r="A644" s="17" t="n">
        <v>640</v>
      </c>
      <c r="B644" s="12" t="s">
        <v>2717</v>
      </c>
      <c r="C644" s="12" t="s">
        <v>2718</v>
      </c>
      <c r="D644" s="16" t="n">
        <v>0.00729664351851852</v>
      </c>
      <c r="E644" s="15" t="n">
        <f aca="false">ROUND((D644-$D$5)*86400,2)</f>
        <v>91.41</v>
      </c>
      <c r="F644" s="17" t="n">
        <v>1740</v>
      </c>
      <c r="G644" s="16" t="str">
        <f aca="false">IF(INDEX(選手一覧!$D$7:$D$2738,$F644)="","",INDEX(選手一覧!$D$7:$D$2738,$F644))</f>
        <v/>
      </c>
      <c r="H644" s="17" t="str">
        <f aca="false">IF(INDEX(選手一覧!$E$7:$E$2738,$F644)="","",INDEX(選手一覧!$E$7:$E$2738,$F644))</f>
        <v/>
      </c>
      <c r="I644" s="16" t="str">
        <f aca="false">IF(INDEX(選手一覧!$J$7:$J$2738,$F644)="","",INDEX(選手一覧!$J$7:$J$2738,$F644))</f>
        <v/>
      </c>
      <c r="J644" s="17" t="str">
        <f aca="false">IF(INDEX(選手一覧!$K$7:$K$2738,$F644)="","",INDEX(選手一覧!$K$7:$K$2738,$F644))</f>
        <v/>
      </c>
    </row>
    <row r="645" customFormat="false" ht="15" hidden="false" customHeight="false" outlineLevel="0" collapsed="false">
      <c r="A645" s="17" t="n">
        <v>641</v>
      </c>
      <c r="B645" s="12" t="s">
        <v>2719</v>
      </c>
      <c r="C645" s="12" t="s">
        <v>2720</v>
      </c>
      <c r="D645" s="16" t="n">
        <v>0.00729849537037037</v>
      </c>
      <c r="E645" s="15" t="n">
        <f aca="false">ROUND((D645-$D$5)*86400,2)</f>
        <v>91.57</v>
      </c>
      <c r="F645" s="17" t="n">
        <v>1741</v>
      </c>
      <c r="G645" s="16" t="str">
        <f aca="false">IF(INDEX(選手一覧!$D$7:$D$2738,$F645)="","",INDEX(選手一覧!$D$7:$D$2738,$F645))</f>
        <v/>
      </c>
      <c r="H645" s="17" t="str">
        <f aca="false">IF(INDEX(選手一覧!$E$7:$E$2738,$F645)="","",INDEX(選手一覧!$E$7:$E$2738,$F645))</f>
        <v/>
      </c>
      <c r="I645" s="16" t="str">
        <f aca="false">IF(INDEX(選手一覧!$J$7:$J$2738,$F645)="","",INDEX(選手一覧!$J$7:$J$2738,$F645))</f>
        <v/>
      </c>
      <c r="J645" s="17" t="str">
        <f aca="false">IF(INDEX(選手一覧!$K$7:$K$2738,$F645)="","",INDEX(選手一覧!$K$7:$K$2738,$F645))</f>
        <v/>
      </c>
    </row>
    <row r="646" customFormat="false" ht="15" hidden="false" customHeight="false" outlineLevel="0" collapsed="false">
      <c r="A646" s="17" t="n">
        <v>642</v>
      </c>
      <c r="B646" s="12" t="s">
        <v>2721</v>
      </c>
      <c r="C646" s="12" t="s">
        <v>101</v>
      </c>
      <c r="D646" s="16" t="n">
        <v>0.00729849537037037</v>
      </c>
      <c r="E646" s="15" t="n">
        <f aca="false">ROUND((D646-$D$5)*86400,2)</f>
        <v>91.57</v>
      </c>
      <c r="F646" s="17" t="n">
        <v>1742</v>
      </c>
      <c r="G646" s="16" t="str">
        <f aca="false">IF(INDEX(選手一覧!$D$7:$D$2738,$F646)="","",INDEX(選手一覧!$D$7:$D$2738,$F646))</f>
        <v/>
      </c>
      <c r="H646" s="17" t="str">
        <f aca="false">IF(INDEX(選手一覧!$E$7:$E$2738,$F646)="","",INDEX(選手一覧!$E$7:$E$2738,$F646))</f>
        <v/>
      </c>
      <c r="I646" s="16" t="str">
        <f aca="false">IF(INDEX(選手一覧!$J$7:$J$2738,$F646)="","",INDEX(選手一覧!$J$7:$J$2738,$F646))</f>
        <v/>
      </c>
      <c r="J646" s="17" t="str">
        <f aca="false">IF(INDEX(選手一覧!$K$7:$K$2738,$F646)="","",INDEX(選手一覧!$K$7:$K$2738,$F646))</f>
        <v/>
      </c>
    </row>
    <row r="647" customFormat="false" ht="15" hidden="false" customHeight="false" outlineLevel="0" collapsed="false">
      <c r="A647" s="17" t="n">
        <v>643</v>
      </c>
      <c r="B647" s="12" t="s">
        <v>2724</v>
      </c>
      <c r="C647" s="12" t="s">
        <v>2651</v>
      </c>
      <c r="D647" s="16" t="n">
        <v>0.00729872685185185</v>
      </c>
      <c r="E647" s="15" t="n">
        <f aca="false">ROUND((D647-$D$5)*86400,2)</f>
        <v>91.59</v>
      </c>
      <c r="F647" s="17" t="n">
        <v>1744</v>
      </c>
      <c r="G647" s="16" t="str">
        <f aca="false">IF(INDEX(選手一覧!$D$7:$D$2738,$F647)="","",INDEX(選手一覧!$D$7:$D$2738,$F647))</f>
        <v/>
      </c>
      <c r="H647" s="17" t="str">
        <f aca="false">IF(INDEX(選手一覧!$E$7:$E$2738,$F647)="","",INDEX(選手一覧!$E$7:$E$2738,$F647))</f>
        <v/>
      </c>
      <c r="I647" s="16" t="str">
        <f aca="false">IF(INDEX(選手一覧!$J$7:$J$2738,$F647)="","",INDEX(選手一覧!$J$7:$J$2738,$F647))</f>
        <v/>
      </c>
      <c r="J647" s="17" t="str">
        <f aca="false">IF(INDEX(選手一覧!$K$7:$K$2738,$F647)="","",INDEX(選手一覧!$K$7:$K$2738,$F647))</f>
        <v/>
      </c>
    </row>
    <row r="648" customFormat="false" ht="15" hidden="false" customHeight="false" outlineLevel="0" collapsed="false">
      <c r="A648" s="17" t="n">
        <v>644</v>
      </c>
      <c r="B648" s="12" t="s">
        <v>2725</v>
      </c>
      <c r="C648" s="12" t="s">
        <v>2726</v>
      </c>
      <c r="D648" s="16" t="n">
        <v>0.00729884259259259</v>
      </c>
      <c r="E648" s="15" t="n">
        <f aca="false">ROUND((D648-$D$5)*86400,2)</f>
        <v>91.6</v>
      </c>
      <c r="F648" s="17" t="n">
        <v>1745</v>
      </c>
      <c r="G648" s="16" t="str">
        <f aca="false">IF(INDEX(選手一覧!$D$7:$D$2738,$F648)="","",INDEX(選手一覧!$D$7:$D$2738,$F648))</f>
        <v/>
      </c>
      <c r="H648" s="17" t="str">
        <f aca="false">IF(INDEX(選手一覧!$E$7:$E$2738,$F648)="","",INDEX(選手一覧!$E$7:$E$2738,$F648))</f>
        <v/>
      </c>
      <c r="I648" s="16" t="str">
        <f aca="false">IF(INDEX(選手一覧!$J$7:$J$2738,$F648)="","",INDEX(選手一覧!$J$7:$J$2738,$F648))</f>
        <v/>
      </c>
      <c r="J648" s="17" t="str">
        <f aca="false">IF(INDEX(選手一覧!$K$7:$K$2738,$F648)="","",INDEX(選手一覧!$K$7:$K$2738,$F648))</f>
        <v/>
      </c>
    </row>
    <row r="649" customFormat="false" ht="15" hidden="false" customHeight="false" outlineLevel="0" collapsed="false">
      <c r="A649" s="17" t="n">
        <v>645</v>
      </c>
      <c r="B649" s="12" t="s">
        <v>2727</v>
      </c>
      <c r="C649" s="12" t="s">
        <v>1688</v>
      </c>
      <c r="D649" s="16" t="n">
        <v>0.00729930555555556</v>
      </c>
      <c r="E649" s="15" t="n">
        <f aca="false">ROUND((D649-$D$5)*86400,2)</f>
        <v>91.64</v>
      </c>
      <c r="F649" s="17" t="n">
        <v>1746</v>
      </c>
      <c r="G649" s="16" t="str">
        <f aca="false">IF(INDEX(選手一覧!$D$7:$D$2738,$F649)="","",INDEX(選手一覧!$D$7:$D$2738,$F649))</f>
        <v/>
      </c>
      <c r="H649" s="17" t="str">
        <f aca="false">IF(INDEX(選手一覧!$E$7:$E$2738,$F649)="","",INDEX(選手一覧!$E$7:$E$2738,$F649))</f>
        <v/>
      </c>
      <c r="I649" s="16" t="str">
        <f aca="false">IF(INDEX(選手一覧!$J$7:$J$2738,$F649)="","",INDEX(選手一覧!$J$7:$J$2738,$F649))</f>
        <v/>
      </c>
      <c r="J649" s="17" t="str">
        <f aca="false">IF(INDEX(選手一覧!$K$7:$K$2738,$F649)="","",INDEX(選手一覧!$K$7:$K$2738,$F649))</f>
        <v/>
      </c>
    </row>
    <row r="650" customFormat="false" ht="15" hidden="false" customHeight="false" outlineLevel="0" collapsed="false">
      <c r="A650" s="17" t="n">
        <v>646</v>
      </c>
      <c r="B650" s="12" t="s">
        <v>1197</v>
      </c>
      <c r="C650" s="12" t="s">
        <v>77</v>
      </c>
      <c r="D650" s="16" t="n">
        <v>0.0072994212962963</v>
      </c>
      <c r="E650" s="15" t="n">
        <f aca="false">ROUND((D650-$D$5)*86400,2)</f>
        <v>91.65</v>
      </c>
      <c r="F650" s="17" t="n">
        <v>711</v>
      </c>
      <c r="G650" s="16" t="n">
        <f aca="false">IF(INDEX(選手一覧!$D$7:$D$2738,$F650)="","",INDEX(選手一覧!$D$7:$D$2738,$F650))</f>
        <v>0.0107847222222222</v>
      </c>
      <c r="H650" s="17" t="n">
        <f aca="false">IF(INDEX(選手一覧!$E$7:$E$2738,$F650)="","",INDEX(選手一覧!$E$7:$E$2738,$F650))</f>
        <v>712</v>
      </c>
      <c r="I650" s="16" t="n">
        <f aca="false">IF(INDEX(選手一覧!$J$7:$J$2738,$F650)="","",INDEX(選手一覧!$J$7:$J$2738,$F650))</f>
        <v>0.00289733796296296</v>
      </c>
      <c r="J650" s="17" t="n">
        <f aca="false">IF(INDEX(選手一覧!$K$7:$K$2738,$F650)="","",INDEX(選手一覧!$K$7:$K$2738,$F650))</f>
        <v>927</v>
      </c>
    </row>
    <row r="651" customFormat="false" ht="15" hidden="false" customHeight="false" outlineLevel="0" collapsed="false">
      <c r="A651" s="17" t="n">
        <v>647</v>
      </c>
      <c r="B651" s="12" t="s">
        <v>2732</v>
      </c>
      <c r="C651" s="12" t="s">
        <v>674</v>
      </c>
      <c r="D651" s="16" t="n">
        <v>0.00729988425925926</v>
      </c>
      <c r="E651" s="15" t="n">
        <f aca="false">ROUND((D651-$D$5)*86400,2)</f>
        <v>91.69</v>
      </c>
      <c r="F651" s="17" t="n">
        <v>1749</v>
      </c>
      <c r="G651" s="16" t="str">
        <f aca="false">IF(INDEX(選手一覧!$D$7:$D$2738,$F651)="","",INDEX(選手一覧!$D$7:$D$2738,$F651))</f>
        <v/>
      </c>
      <c r="H651" s="17" t="str">
        <f aca="false">IF(INDEX(選手一覧!$E$7:$E$2738,$F651)="","",INDEX(選手一覧!$E$7:$E$2738,$F651))</f>
        <v/>
      </c>
      <c r="I651" s="16" t="str">
        <f aca="false">IF(INDEX(選手一覧!$J$7:$J$2738,$F651)="","",INDEX(選手一覧!$J$7:$J$2738,$F651))</f>
        <v/>
      </c>
      <c r="J651" s="17" t="str">
        <f aca="false">IF(INDEX(選手一覧!$K$7:$K$2738,$F651)="","",INDEX(選手一覧!$K$7:$K$2738,$F651))</f>
        <v/>
      </c>
    </row>
    <row r="652" customFormat="false" ht="15" hidden="false" customHeight="false" outlineLevel="0" collapsed="false">
      <c r="A652" s="17" t="n">
        <v>648</v>
      </c>
      <c r="B652" s="12" t="s">
        <v>2734</v>
      </c>
      <c r="C652" s="12" t="s">
        <v>2735</v>
      </c>
      <c r="D652" s="16" t="n">
        <v>0.0073005787037037</v>
      </c>
      <c r="E652" s="15" t="n">
        <f aca="false">ROUND((D652-$D$5)*86400,2)</f>
        <v>91.75</v>
      </c>
      <c r="F652" s="17" t="n">
        <v>1750</v>
      </c>
      <c r="G652" s="16" t="str">
        <f aca="false">IF(INDEX(選手一覧!$D$7:$D$2738,$F652)="","",INDEX(選手一覧!$D$7:$D$2738,$F652))</f>
        <v/>
      </c>
      <c r="H652" s="17" t="str">
        <f aca="false">IF(INDEX(選手一覧!$E$7:$E$2738,$F652)="","",INDEX(選手一覧!$E$7:$E$2738,$F652))</f>
        <v/>
      </c>
      <c r="I652" s="16" t="str">
        <f aca="false">IF(INDEX(選手一覧!$J$7:$J$2738,$F652)="","",INDEX(選手一覧!$J$7:$J$2738,$F652))</f>
        <v/>
      </c>
      <c r="J652" s="17" t="str">
        <f aca="false">IF(INDEX(選手一覧!$K$7:$K$2738,$F652)="","",INDEX(選手一覧!$K$7:$K$2738,$F652))</f>
        <v/>
      </c>
    </row>
    <row r="653" customFormat="false" ht="15" hidden="false" customHeight="false" outlineLevel="0" collapsed="false">
      <c r="A653" s="17" t="n">
        <v>649</v>
      </c>
      <c r="B653" s="12" t="s">
        <v>2736</v>
      </c>
      <c r="C653" s="12" t="s">
        <v>1697</v>
      </c>
      <c r="D653" s="16" t="n">
        <v>0.00730069444444444</v>
      </c>
      <c r="E653" s="15" t="n">
        <f aca="false">ROUND((D653-$D$5)*86400,2)</f>
        <v>91.76</v>
      </c>
      <c r="F653" s="17" t="n">
        <v>1751</v>
      </c>
      <c r="G653" s="16" t="str">
        <f aca="false">IF(INDEX(選手一覧!$D$7:$D$2738,$F653)="","",INDEX(選手一覧!$D$7:$D$2738,$F653))</f>
        <v/>
      </c>
      <c r="H653" s="17" t="str">
        <f aca="false">IF(INDEX(選手一覧!$E$7:$E$2738,$F653)="","",INDEX(選手一覧!$E$7:$E$2738,$F653))</f>
        <v/>
      </c>
      <c r="I653" s="16" t="str">
        <f aca="false">IF(INDEX(選手一覧!$J$7:$J$2738,$F653)="","",INDEX(選手一覧!$J$7:$J$2738,$F653))</f>
        <v/>
      </c>
      <c r="J653" s="17" t="str">
        <f aca="false">IF(INDEX(選手一覧!$K$7:$K$2738,$F653)="","",INDEX(選手一覧!$K$7:$K$2738,$F653))</f>
        <v/>
      </c>
    </row>
    <row r="654" customFormat="false" ht="15" hidden="false" customHeight="false" outlineLevel="0" collapsed="false">
      <c r="A654" s="17" t="n">
        <v>650</v>
      </c>
      <c r="B654" s="12" t="s">
        <v>1113</v>
      </c>
      <c r="C654" s="12" t="s">
        <v>25</v>
      </c>
      <c r="D654" s="16" t="n">
        <v>0.00730231481481481</v>
      </c>
      <c r="E654" s="15" t="n">
        <f aca="false">ROUND((D654-$D$5)*86400,2)</f>
        <v>91.9</v>
      </c>
      <c r="F654" s="17" t="n">
        <v>659</v>
      </c>
      <c r="G654" s="16" t="n">
        <f aca="false">IF(INDEX(選手一覧!$D$7:$D$2738,$F654)="","",INDEX(選手一覧!$D$7:$D$2738,$F654))</f>
        <v>0.0107447916666667</v>
      </c>
      <c r="H654" s="17" t="n">
        <f aca="false">IF(INDEX(選手一覧!$E$7:$E$2738,$F654)="","",INDEX(選手一覧!$E$7:$E$2738,$F654))</f>
        <v>660</v>
      </c>
      <c r="I654" s="16" t="str">
        <f aca="false">IF(INDEX(選手一覧!$J$7:$J$2738,$F654)="","",INDEX(選手一覧!$J$7:$J$2738,$F654))</f>
        <v/>
      </c>
      <c r="J654" s="17" t="str">
        <f aca="false">IF(INDEX(選手一覧!$K$7:$K$2738,$F654)="","",INDEX(選手一覧!$K$7:$K$2738,$F654))</f>
        <v/>
      </c>
    </row>
    <row r="655" customFormat="false" ht="15" hidden="false" customHeight="false" outlineLevel="0" collapsed="false">
      <c r="A655" s="17" t="n">
        <v>651</v>
      </c>
      <c r="B655" s="12" t="s">
        <v>1759</v>
      </c>
      <c r="C655" s="12" t="s">
        <v>1760</v>
      </c>
      <c r="D655" s="16" t="n">
        <v>0.00730405092592593</v>
      </c>
      <c r="E655" s="15" t="n">
        <f aca="false">ROUND((D655-$D$5)*86400,2)</f>
        <v>92.05</v>
      </c>
      <c r="F655" s="17" t="n">
        <v>1088</v>
      </c>
      <c r="G655" s="16" t="n">
        <f aca="false">IF(INDEX(選手一覧!$D$7:$D$2738,$F655)="","",INDEX(選手一覧!$D$7:$D$2738,$F655))</f>
        <v>0.0109954861111111</v>
      </c>
      <c r="H655" s="17" t="n">
        <f aca="false">IF(INDEX(選手一覧!$E$7:$E$2738,$F655)="","",INDEX(選手一覧!$E$7:$E$2738,$F655))</f>
        <v>1089</v>
      </c>
      <c r="I655" s="16" t="str">
        <f aca="false">IF(INDEX(選手一覧!$J$7:$J$2738,$F655)="","",INDEX(選手一覧!$J$7:$J$2738,$F655))</f>
        <v/>
      </c>
      <c r="J655" s="17" t="str">
        <f aca="false">IF(INDEX(選手一覧!$K$7:$K$2738,$F655)="","",INDEX(選手一覧!$K$7:$K$2738,$F655))</f>
        <v/>
      </c>
    </row>
    <row r="656" customFormat="false" ht="15" hidden="false" customHeight="false" outlineLevel="0" collapsed="false">
      <c r="A656" s="17" t="n">
        <v>652</v>
      </c>
      <c r="B656" s="12" t="s">
        <v>1601</v>
      </c>
      <c r="C656" s="12" t="s">
        <v>1602</v>
      </c>
      <c r="D656" s="16" t="n">
        <v>0.00730428240740741</v>
      </c>
      <c r="E656" s="15" t="n">
        <f aca="false">ROUND((D656-$D$5)*86400,2)</f>
        <v>92.07</v>
      </c>
      <c r="F656" s="17" t="n">
        <v>980</v>
      </c>
      <c r="G656" s="16" t="n">
        <f aca="false">IF(INDEX(選手一覧!$D$7:$D$2738,$F656)="","",INDEX(選手一覧!$D$7:$D$2738,$F656))</f>
        <v>0.0109394675925926</v>
      </c>
      <c r="H656" s="17" t="n">
        <f aca="false">IF(INDEX(選手一覧!$E$7:$E$2738,$F656)="","",INDEX(選手一覧!$E$7:$E$2738,$F656))</f>
        <v>981</v>
      </c>
      <c r="I656" s="16" t="n">
        <f aca="false">IF(INDEX(選手一覧!$J$7:$J$2738,$F656)="","",INDEX(選手一覧!$J$7:$J$2738,$F656))</f>
        <v>0.00287407407407407</v>
      </c>
      <c r="J656" s="17" t="n">
        <f aca="false">IF(INDEX(選手一覧!$K$7:$K$2738,$F656)="","",INDEX(選手一覧!$K$7:$K$2738,$F656))</f>
        <v>727</v>
      </c>
    </row>
    <row r="657" customFormat="false" ht="15" hidden="false" customHeight="false" outlineLevel="0" collapsed="false">
      <c r="A657" s="17" t="n">
        <v>653</v>
      </c>
      <c r="B657" s="12" t="s">
        <v>2737</v>
      </c>
      <c r="C657" s="12" t="s">
        <v>1218</v>
      </c>
      <c r="D657" s="16" t="n">
        <v>0.00730439814814815</v>
      </c>
      <c r="E657" s="15" t="n">
        <f aca="false">ROUND((D657-$D$5)*86400,2)</f>
        <v>92.08</v>
      </c>
      <c r="F657" s="17" t="n">
        <v>1752</v>
      </c>
      <c r="G657" s="16" t="str">
        <f aca="false">IF(INDEX(選手一覧!$D$7:$D$2738,$F657)="","",INDEX(選手一覧!$D$7:$D$2738,$F657))</f>
        <v/>
      </c>
      <c r="H657" s="17" t="str">
        <f aca="false">IF(INDEX(選手一覧!$E$7:$E$2738,$F657)="","",INDEX(選手一覧!$E$7:$E$2738,$F657))</f>
        <v/>
      </c>
      <c r="I657" s="16" t="str">
        <f aca="false">IF(INDEX(選手一覧!$J$7:$J$2738,$F657)="","",INDEX(選手一覧!$J$7:$J$2738,$F657))</f>
        <v/>
      </c>
      <c r="J657" s="17" t="str">
        <f aca="false">IF(INDEX(選手一覧!$K$7:$K$2738,$F657)="","",INDEX(選手一覧!$K$7:$K$2738,$F657))</f>
        <v/>
      </c>
    </row>
    <row r="658" customFormat="false" ht="15" hidden="false" customHeight="false" outlineLevel="0" collapsed="false">
      <c r="A658" s="17" t="n">
        <v>654</v>
      </c>
      <c r="B658" s="12" t="s">
        <v>2738</v>
      </c>
      <c r="C658" s="12" t="s">
        <v>2739</v>
      </c>
      <c r="D658" s="16" t="n">
        <v>0.00730578703703704</v>
      </c>
      <c r="E658" s="15" t="n">
        <f aca="false">ROUND((D658-$D$5)*86400,2)</f>
        <v>92.2</v>
      </c>
      <c r="F658" s="17" t="n">
        <v>1753</v>
      </c>
      <c r="G658" s="16" t="str">
        <f aca="false">IF(INDEX(選手一覧!$D$7:$D$2738,$F658)="","",INDEX(選手一覧!$D$7:$D$2738,$F658))</f>
        <v/>
      </c>
      <c r="H658" s="17" t="str">
        <f aca="false">IF(INDEX(選手一覧!$E$7:$E$2738,$F658)="","",INDEX(選手一覧!$E$7:$E$2738,$F658))</f>
        <v/>
      </c>
      <c r="I658" s="16" t="str">
        <f aca="false">IF(INDEX(選手一覧!$J$7:$J$2738,$F658)="","",INDEX(選手一覧!$J$7:$J$2738,$F658))</f>
        <v/>
      </c>
      <c r="J658" s="17" t="str">
        <f aca="false">IF(INDEX(選手一覧!$K$7:$K$2738,$F658)="","",INDEX(選手一覧!$K$7:$K$2738,$F658))</f>
        <v/>
      </c>
    </row>
    <row r="659" customFormat="false" ht="15" hidden="false" customHeight="false" outlineLevel="0" collapsed="false">
      <c r="A659" s="17" t="n">
        <v>655</v>
      </c>
      <c r="B659" s="12" t="s">
        <v>2740</v>
      </c>
      <c r="C659" s="12" t="s">
        <v>2741</v>
      </c>
      <c r="D659" s="16" t="n">
        <v>0.00730578703703704</v>
      </c>
      <c r="E659" s="15" t="n">
        <f aca="false">ROUND((D659-$D$5)*86400,2)</f>
        <v>92.2</v>
      </c>
      <c r="F659" s="17" t="n">
        <v>1754</v>
      </c>
      <c r="G659" s="16" t="str">
        <f aca="false">IF(INDEX(選手一覧!$D$7:$D$2738,$F659)="","",INDEX(選手一覧!$D$7:$D$2738,$F659))</f>
        <v/>
      </c>
      <c r="H659" s="17" t="str">
        <f aca="false">IF(INDEX(選手一覧!$E$7:$E$2738,$F659)="","",INDEX(選手一覧!$E$7:$E$2738,$F659))</f>
        <v/>
      </c>
      <c r="I659" s="16" t="str">
        <f aca="false">IF(INDEX(選手一覧!$J$7:$J$2738,$F659)="","",INDEX(選手一覧!$J$7:$J$2738,$F659))</f>
        <v/>
      </c>
      <c r="J659" s="17" t="str">
        <f aca="false">IF(INDEX(選手一覧!$K$7:$K$2738,$F659)="","",INDEX(選手一覧!$K$7:$K$2738,$F659))</f>
        <v/>
      </c>
    </row>
    <row r="660" customFormat="false" ht="15" hidden="false" customHeight="false" outlineLevel="0" collapsed="false">
      <c r="A660" s="17" t="n">
        <v>656</v>
      </c>
      <c r="B660" s="12" t="s">
        <v>2742</v>
      </c>
      <c r="C660" s="12" t="s">
        <v>674</v>
      </c>
      <c r="D660" s="16" t="n">
        <v>0.0073068287037037</v>
      </c>
      <c r="E660" s="15" t="n">
        <f aca="false">ROUND((D660-$D$5)*86400,2)</f>
        <v>92.29</v>
      </c>
      <c r="F660" s="17" t="n">
        <v>1755</v>
      </c>
      <c r="G660" s="16" t="str">
        <f aca="false">IF(INDEX(選手一覧!$D$7:$D$2738,$F660)="","",INDEX(選手一覧!$D$7:$D$2738,$F660))</f>
        <v/>
      </c>
      <c r="H660" s="17" t="str">
        <f aca="false">IF(INDEX(選手一覧!$E$7:$E$2738,$F660)="","",INDEX(選手一覧!$E$7:$E$2738,$F660))</f>
        <v/>
      </c>
      <c r="I660" s="16" t="str">
        <f aca="false">IF(INDEX(選手一覧!$J$7:$J$2738,$F660)="","",INDEX(選手一覧!$J$7:$J$2738,$F660))</f>
        <v/>
      </c>
      <c r="J660" s="17" t="str">
        <f aca="false">IF(INDEX(選手一覧!$K$7:$K$2738,$F660)="","",INDEX(選手一覧!$K$7:$K$2738,$F660))</f>
        <v/>
      </c>
    </row>
    <row r="661" customFormat="false" ht="15" hidden="false" customHeight="false" outlineLevel="0" collapsed="false">
      <c r="A661" s="17" t="n">
        <v>657</v>
      </c>
      <c r="B661" s="12" t="s">
        <v>1951</v>
      </c>
      <c r="C661" s="12" t="s">
        <v>1952</v>
      </c>
      <c r="D661" s="16" t="n">
        <v>0.00730798611111111</v>
      </c>
      <c r="E661" s="15" t="n">
        <f aca="false">ROUND((D661-$D$5)*86400,2)</f>
        <v>92.39</v>
      </c>
      <c r="F661" s="17" t="n">
        <v>1220</v>
      </c>
      <c r="G661" s="16" t="n">
        <f aca="false">IF(INDEX(選手一覧!$D$7:$D$2738,$F661)="","",INDEX(選手一覧!$D$7:$D$2738,$F661))</f>
        <v>0.0110622685185185</v>
      </c>
      <c r="H661" s="17" t="n">
        <f aca="false">IF(INDEX(選手一覧!$E$7:$E$2738,$F661)="","",INDEX(選手一覧!$E$7:$E$2738,$F661))</f>
        <v>1221</v>
      </c>
      <c r="I661" s="16" t="str">
        <f aca="false">IF(INDEX(選手一覧!$J$7:$J$2738,$F661)="","",INDEX(選手一覧!$J$7:$J$2738,$F661))</f>
        <v/>
      </c>
      <c r="J661" s="17" t="str">
        <f aca="false">IF(INDEX(選手一覧!$K$7:$K$2738,$F661)="","",INDEX(選手一覧!$K$7:$K$2738,$F661))</f>
        <v/>
      </c>
    </row>
    <row r="662" customFormat="false" ht="15" hidden="false" customHeight="false" outlineLevel="0" collapsed="false">
      <c r="A662" s="17" t="n">
        <v>658</v>
      </c>
      <c r="B662" s="12" t="s">
        <v>2745</v>
      </c>
      <c r="C662" s="12" t="s">
        <v>1385</v>
      </c>
      <c r="D662" s="16" t="n">
        <v>0.00730821759259259</v>
      </c>
      <c r="E662" s="15" t="n">
        <f aca="false">ROUND((D662-$D$5)*86400,2)</f>
        <v>92.41</v>
      </c>
      <c r="F662" s="17" t="n">
        <v>1757</v>
      </c>
      <c r="G662" s="16" t="str">
        <f aca="false">IF(INDEX(選手一覧!$D$7:$D$2738,$F662)="","",INDEX(選手一覧!$D$7:$D$2738,$F662))</f>
        <v/>
      </c>
      <c r="H662" s="17" t="str">
        <f aca="false">IF(INDEX(選手一覧!$E$7:$E$2738,$F662)="","",INDEX(選手一覧!$E$7:$E$2738,$F662))</f>
        <v/>
      </c>
      <c r="I662" s="16" t="str">
        <f aca="false">IF(INDEX(選手一覧!$J$7:$J$2738,$F662)="","",INDEX(選手一覧!$J$7:$J$2738,$F662))</f>
        <v/>
      </c>
      <c r="J662" s="17" t="str">
        <f aca="false">IF(INDEX(選手一覧!$K$7:$K$2738,$F662)="","",INDEX(選手一覧!$K$7:$K$2738,$F662))</f>
        <v/>
      </c>
    </row>
    <row r="663" customFormat="false" ht="15" hidden="false" customHeight="false" outlineLevel="0" collapsed="false">
      <c r="A663" s="17" t="n">
        <v>659</v>
      </c>
      <c r="B663" s="12" t="s">
        <v>2746</v>
      </c>
      <c r="C663" s="12" t="s">
        <v>1843</v>
      </c>
      <c r="D663" s="16" t="n">
        <v>0.00731238425925926</v>
      </c>
      <c r="E663" s="15" t="n">
        <f aca="false">ROUND((D663-$D$5)*86400,2)</f>
        <v>92.77</v>
      </c>
      <c r="F663" s="17" t="n">
        <v>1758</v>
      </c>
      <c r="G663" s="16" t="str">
        <f aca="false">IF(INDEX(選手一覧!$D$7:$D$2738,$F663)="","",INDEX(選手一覧!$D$7:$D$2738,$F663))</f>
        <v/>
      </c>
      <c r="H663" s="17" t="str">
        <f aca="false">IF(INDEX(選手一覧!$E$7:$E$2738,$F663)="","",INDEX(選手一覧!$E$7:$E$2738,$F663))</f>
        <v/>
      </c>
      <c r="I663" s="16" t="str">
        <f aca="false">IF(INDEX(選手一覧!$J$7:$J$2738,$F663)="","",INDEX(選手一覧!$J$7:$J$2738,$F663))</f>
        <v/>
      </c>
      <c r="J663" s="17" t="str">
        <f aca="false">IF(INDEX(選手一覧!$K$7:$K$2738,$F663)="","",INDEX(選手一覧!$K$7:$K$2738,$F663))</f>
        <v/>
      </c>
    </row>
    <row r="664" customFormat="false" ht="15" hidden="false" customHeight="false" outlineLevel="0" collapsed="false">
      <c r="A664" s="17" t="n">
        <v>660</v>
      </c>
      <c r="B664" s="12" t="s">
        <v>2747</v>
      </c>
      <c r="C664" s="12" t="s">
        <v>1418</v>
      </c>
      <c r="D664" s="16" t="n">
        <v>0.00731354166666667</v>
      </c>
      <c r="E664" s="15" t="n">
        <f aca="false">ROUND((D664-$D$5)*86400,2)</f>
        <v>92.87</v>
      </c>
      <c r="F664" s="17" t="n">
        <v>1759</v>
      </c>
      <c r="G664" s="16" t="str">
        <f aca="false">IF(INDEX(選手一覧!$D$7:$D$2738,$F664)="","",INDEX(選手一覧!$D$7:$D$2738,$F664))</f>
        <v/>
      </c>
      <c r="H664" s="17" t="str">
        <f aca="false">IF(INDEX(選手一覧!$E$7:$E$2738,$F664)="","",INDEX(選手一覧!$E$7:$E$2738,$F664))</f>
        <v/>
      </c>
      <c r="I664" s="16" t="str">
        <f aca="false">IF(INDEX(選手一覧!$J$7:$J$2738,$F664)="","",INDEX(選手一覧!$J$7:$J$2738,$F664))</f>
        <v/>
      </c>
      <c r="J664" s="17" t="str">
        <f aca="false">IF(INDEX(選手一覧!$K$7:$K$2738,$F664)="","",INDEX(選手一覧!$K$7:$K$2738,$F664))</f>
        <v/>
      </c>
    </row>
    <row r="665" customFormat="false" ht="15" hidden="false" customHeight="false" outlineLevel="0" collapsed="false">
      <c r="A665" s="17" t="n">
        <v>661</v>
      </c>
      <c r="B665" s="12" t="s">
        <v>2749</v>
      </c>
      <c r="C665" s="12" t="s">
        <v>2726</v>
      </c>
      <c r="D665" s="16" t="n">
        <v>0.00731400462962963</v>
      </c>
      <c r="E665" s="15" t="n">
        <f aca="false">ROUND((D665-$D$5)*86400,2)</f>
        <v>92.91</v>
      </c>
      <c r="F665" s="17" t="n">
        <v>1761</v>
      </c>
      <c r="G665" s="16" t="str">
        <f aca="false">IF(INDEX(選手一覧!$D$7:$D$2738,$F665)="","",INDEX(選手一覧!$D$7:$D$2738,$F665))</f>
        <v/>
      </c>
      <c r="H665" s="17" t="str">
        <f aca="false">IF(INDEX(選手一覧!$E$7:$E$2738,$F665)="","",INDEX(選手一覧!$E$7:$E$2738,$F665))</f>
        <v/>
      </c>
      <c r="I665" s="16" t="n">
        <f aca="false">IF(INDEX(選手一覧!$J$7:$J$2738,$F665)="","",INDEX(選手一覧!$J$7:$J$2738,$F665))</f>
        <v>0.00290173611111111</v>
      </c>
      <c r="J665" s="17" t="n">
        <f aca="false">IF(INDEX(選手一覧!$K$7:$K$2738,$F665)="","",INDEX(選手一覧!$K$7:$K$2738,$F665))</f>
        <v>962</v>
      </c>
    </row>
    <row r="666" customFormat="false" ht="15" hidden="false" customHeight="false" outlineLevel="0" collapsed="false">
      <c r="A666" s="17" t="n">
        <v>662</v>
      </c>
      <c r="B666" s="12" t="s">
        <v>2750</v>
      </c>
      <c r="C666" s="12" t="s">
        <v>2751</v>
      </c>
      <c r="D666" s="16" t="n">
        <v>0.0073150462962963</v>
      </c>
      <c r="E666" s="15" t="n">
        <f aca="false">ROUND((D666-$D$5)*86400,2)</f>
        <v>93</v>
      </c>
      <c r="F666" s="17" t="n">
        <v>1762</v>
      </c>
      <c r="G666" s="16" t="str">
        <f aca="false">IF(INDEX(選手一覧!$D$7:$D$2738,$F666)="","",INDEX(選手一覧!$D$7:$D$2738,$F666))</f>
        <v/>
      </c>
      <c r="H666" s="17" t="str">
        <f aca="false">IF(INDEX(選手一覧!$E$7:$E$2738,$F666)="","",INDEX(選手一覧!$E$7:$E$2738,$F666))</f>
        <v/>
      </c>
      <c r="I666" s="16" t="str">
        <f aca="false">IF(INDEX(選手一覧!$J$7:$J$2738,$F666)="","",INDEX(選手一覧!$J$7:$J$2738,$F666))</f>
        <v/>
      </c>
      <c r="J666" s="17" t="str">
        <f aca="false">IF(INDEX(選手一覧!$K$7:$K$2738,$F666)="","",INDEX(選手一覧!$K$7:$K$2738,$F666))</f>
        <v/>
      </c>
    </row>
    <row r="667" customFormat="false" ht="15" hidden="false" customHeight="false" outlineLevel="0" collapsed="false">
      <c r="A667" s="17" t="n">
        <v>663</v>
      </c>
      <c r="B667" s="12" t="s">
        <v>2753</v>
      </c>
      <c r="C667" s="12" t="s">
        <v>1934</v>
      </c>
      <c r="D667" s="16" t="n">
        <v>0.00731655092592593</v>
      </c>
      <c r="E667" s="15" t="n">
        <f aca="false">ROUND((D667-$D$5)*86400,2)</f>
        <v>93.13</v>
      </c>
      <c r="F667" s="17" t="n">
        <v>1764</v>
      </c>
      <c r="G667" s="16" t="str">
        <f aca="false">IF(INDEX(選手一覧!$D$7:$D$2738,$F667)="","",INDEX(選手一覧!$D$7:$D$2738,$F667))</f>
        <v/>
      </c>
      <c r="H667" s="17" t="str">
        <f aca="false">IF(INDEX(選手一覧!$E$7:$E$2738,$F667)="","",INDEX(選手一覧!$E$7:$E$2738,$F667))</f>
        <v/>
      </c>
      <c r="I667" s="16" t="str">
        <f aca="false">IF(INDEX(選手一覧!$J$7:$J$2738,$F667)="","",INDEX(選手一覧!$J$7:$J$2738,$F667))</f>
        <v/>
      </c>
      <c r="J667" s="17" t="str">
        <f aca="false">IF(INDEX(選手一覧!$K$7:$K$2738,$F667)="","",INDEX(選手一覧!$K$7:$K$2738,$F667))</f>
        <v/>
      </c>
    </row>
    <row r="668" customFormat="false" ht="15" hidden="false" customHeight="false" outlineLevel="0" collapsed="false">
      <c r="A668" s="17" t="n">
        <v>664</v>
      </c>
      <c r="B668" s="12" t="s">
        <v>1454</v>
      </c>
      <c r="C668" s="12" t="s">
        <v>1455</v>
      </c>
      <c r="D668" s="16" t="n">
        <v>0.00731689814814815</v>
      </c>
      <c r="E668" s="15" t="n">
        <f aca="false">ROUND((D668-$D$5)*86400,2)</f>
        <v>93.16</v>
      </c>
      <c r="F668" s="17" t="n">
        <v>881</v>
      </c>
      <c r="G668" s="16" t="n">
        <f aca="false">IF(INDEX(選手一覧!$D$7:$D$2738,$F668)="","",INDEX(選手一覧!$D$7:$D$2738,$F668))</f>
        <v>0.010875462962963</v>
      </c>
      <c r="H668" s="17" t="n">
        <f aca="false">IF(INDEX(選手一覧!$E$7:$E$2738,$F668)="","",INDEX(選手一覧!$E$7:$E$2738,$F668))</f>
        <v>882</v>
      </c>
      <c r="I668" s="16" t="n">
        <f aca="false">IF(INDEX(選手一覧!$J$7:$J$2738,$F668)="","",INDEX(選手一覧!$J$7:$J$2738,$F668))</f>
        <v>0.00277581018518519</v>
      </c>
      <c r="J668" s="17" t="n">
        <f aca="false">IF(INDEX(選手一覧!$K$7:$K$2738,$F668)="","",INDEX(選手一覧!$K$7:$K$2738,$F668))</f>
        <v>179</v>
      </c>
    </row>
    <row r="669" customFormat="false" ht="15" hidden="false" customHeight="false" outlineLevel="0" collapsed="false">
      <c r="A669" s="17" t="n">
        <v>665</v>
      </c>
      <c r="B669" s="12" t="s">
        <v>2754</v>
      </c>
      <c r="C669" s="12" t="s">
        <v>1190</v>
      </c>
      <c r="D669" s="16" t="n">
        <v>0.00731689814814815</v>
      </c>
      <c r="E669" s="15" t="n">
        <f aca="false">ROUND((D669-$D$5)*86400,2)</f>
        <v>93.16</v>
      </c>
      <c r="F669" s="17" t="n">
        <v>1765</v>
      </c>
      <c r="G669" s="16" t="str">
        <f aca="false">IF(INDEX(選手一覧!$D$7:$D$2738,$F669)="","",INDEX(選手一覧!$D$7:$D$2738,$F669))</f>
        <v/>
      </c>
      <c r="H669" s="17" t="str">
        <f aca="false">IF(INDEX(選手一覧!$E$7:$E$2738,$F669)="","",INDEX(選手一覧!$E$7:$E$2738,$F669))</f>
        <v/>
      </c>
      <c r="I669" s="16" t="str">
        <f aca="false">IF(INDEX(選手一覧!$J$7:$J$2738,$F669)="","",INDEX(選手一覧!$J$7:$J$2738,$F669))</f>
        <v/>
      </c>
      <c r="J669" s="17" t="str">
        <f aca="false">IF(INDEX(選手一覧!$K$7:$K$2738,$F669)="","",INDEX(選手一覧!$K$7:$K$2738,$F669))</f>
        <v/>
      </c>
    </row>
    <row r="670" customFormat="false" ht="15" hidden="false" customHeight="false" outlineLevel="0" collapsed="false">
      <c r="A670" s="17" t="n">
        <v>666</v>
      </c>
      <c r="B670" s="12" t="s">
        <v>2757</v>
      </c>
      <c r="C670" s="12" t="s">
        <v>2631</v>
      </c>
      <c r="D670" s="16" t="n">
        <v>0.00731724537037037</v>
      </c>
      <c r="E670" s="15" t="n">
        <f aca="false">ROUND((D670-$D$5)*86400,2)</f>
        <v>93.19</v>
      </c>
      <c r="F670" s="17" t="n">
        <v>1767</v>
      </c>
      <c r="G670" s="16" t="str">
        <f aca="false">IF(INDEX(選手一覧!$D$7:$D$2738,$F670)="","",INDEX(選手一覧!$D$7:$D$2738,$F670))</f>
        <v/>
      </c>
      <c r="H670" s="17" t="str">
        <f aca="false">IF(INDEX(選手一覧!$E$7:$E$2738,$F670)="","",INDEX(選手一覧!$E$7:$E$2738,$F670))</f>
        <v/>
      </c>
      <c r="I670" s="16" t="str">
        <f aca="false">IF(INDEX(選手一覧!$J$7:$J$2738,$F670)="","",INDEX(選手一覧!$J$7:$J$2738,$F670))</f>
        <v/>
      </c>
      <c r="J670" s="17" t="str">
        <f aca="false">IF(INDEX(選手一覧!$K$7:$K$2738,$F670)="","",INDEX(選手一覧!$K$7:$K$2738,$F670))</f>
        <v/>
      </c>
    </row>
    <row r="671" customFormat="false" ht="15" hidden="false" customHeight="false" outlineLevel="0" collapsed="false">
      <c r="A671" s="17" t="n">
        <v>667</v>
      </c>
      <c r="B671" s="12" t="s">
        <v>2759</v>
      </c>
      <c r="C671" s="12" t="s">
        <v>1721</v>
      </c>
      <c r="D671" s="16" t="n">
        <v>0.00731782407407407</v>
      </c>
      <c r="E671" s="15" t="n">
        <f aca="false">ROUND((D671-$D$5)*86400,2)</f>
        <v>93.24</v>
      </c>
      <c r="F671" s="17" t="n">
        <v>1768</v>
      </c>
      <c r="G671" s="16" t="str">
        <f aca="false">IF(INDEX(選手一覧!$D$7:$D$2738,$F671)="","",INDEX(選手一覧!$D$7:$D$2738,$F671))</f>
        <v/>
      </c>
      <c r="H671" s="17" t="str">
        <f aca="false">IF(INDEX(選手一覧!$E$7:$E$2738,$F671)="","",INDEX(選手一覧!$E$7:$E$2738,$F671))</f>
        <v/>
      </c>
      <c r="I671" s="16" t="n">
        <f aca="false">IF(INDEX(選手一覧!$J$7:$J$2738,$F671)="","",INDEX(選手一覧!$J$7:$J$2738,$F671))</f>
        <v>0.0028869212962963</v>
      </c>
      <c r="J671" s="17" t="n">
        <f aca="false">IF(INDEX(選手一覧!$K$7:$K$2738,$F671)="","",INDEX(選手一覧!$K$7:$K$2738,$F671))</f>
        <v>832</v>
      </c>
    </row>
    <row r="672" customFormat="false" ht="15" hidden="false" customHeight="false" outlineLevel="0" collapsed="false">
      <c r="A672" s="17" t="n">
        <v>668</v>
      </c>
      <c r="B672" s="12" t="s">
        <v>1247</v>
      </c>
      <c r="C672" s="12" t="s">
        <v>2762</v>
      </c>
      <c r="D672" s="16" t="n">
        <v>0.00731805555555556</v>
      </c>
      <c r="E672" s="15" t="n">
        <f aca="false">ROUND((D672-$D$5)*86400,2)</f>
        <v>93.26</v>
      </c>
      <c r="F672" s="17" t="n">
        <v>1770</v>
      </c>
      <c r="G672" s="16" t="str">
        <f aca="false">IF(INDEX(選手一覧!$D$7:$D$2738,$F672)="","",INDEX(選手一覧!$D$7:$D$2738,$F672))</f>
        <v/>
      </c>
      <c r="H672" s="17" t="str">
        <f aca="false">IF(INDEX(選手一覧!$E$7:$E$2738,$F672)="","",INDEX(選手一覧!$E$7:$E$2738,$F672))</f>
        <v/>
      </c>
      <c r="I672" s="16" t="str">
        <f aca="false">IF(INDEX(選手一覧!$J$7:$J$2738,$F672)="","",INDEX(選手一覧!$J$7:$J$2738,$F672))</f>
        <v/>
      </c>
      <c r="J672" s="17" t="str">
        <f aca="false">IF(INDEX(選手一覧!$K$7:$K$2738,$F672)="","",INDEX(選手一覧!$K$7:$K$2738,$F672))</f>
        <v/>
      </c>
    </row>
    <row r="673" customFormat="false" ht="15" hidden="false" customHeight="false" outlineLevel="0" collapsed="false">
      <c r="A673" s="17" t="n">
        <v>669</v>
      </c>
      <c r="B673" s="12" t="s">
        <v>2764</v>
      </c>
      <c r="C673" s="12" t="s">
        <v>2765</v>
      </c>
      <c r="D673" s="16" t="n">
        <v>0.00731840277777778</v>
      </c>
      <c r="E673" s="15" t="n">
        <f aca="false">ROUND((D673-$D$5)*86400,2)</f>
        <v>93.29</v>
      </c>
      <c r="F673" s="17" t="n">
        <v>1771</v>
      </c>
      <c r="G673" s="16" t="str">
        <f aca="false">IF(INDEX(選手一覧!$D$7:$D$2738,$F673)="","",INDEX(選手一覧!$D$7:$D$2738,$F673))</f>
        <v/>
      </c>
      <c r="H673" s="17" t="str">
        <f aca="false">IF(INDEX(選手一覧!$E$7:$E$2738,$F673)="","",INDEX(選手一覧!$E$7:$E$2738,$F673))</f>
        <v/>
      </c>
      <c r="I673" s="16" t="str">
        <f aca="false">IF(INDEX(選手一覧!$J$7:$J$2738,$F673)="","",INDEX(選手一覧!$J$7:$J$2738,$F673))</f>
        <v/>
      </c>
      <c r="J673" s="17" t="str">
        <f aca="false">IF(INDEX(選手一覧!$K$7:$K$2738,$F673)="","",INDEX(選手一覧!$K$7:$K$2738,$F673))</f>
        <v/>
      </c>
    </row>
    <row r="674" customFormat="false" ht="15" hidden="false" customHeight="false" outlineLevel="0" collapsed="false">
      <c r="A674" s="17" t="n">
        <v>670</v>
      </c>
      <c r="B674" s="12" t="s">
        <v>2766</v>
      </c>
      <c r="C674" s="12" t="s">
        <v>2372</v>
      </c>
      <c r="D674" s="16" t="n">
        <v>0.00731956018518519</v>
      </c>
      <c r="E674" s="15" t="n">
        <f aca="false">ROUND((D674-$D$5)*86400,2)</f>
        <v>93.39</v>
      </c>
      <c r="F674" s="17" t="n">
        <v>1772</v>
      </c>
      <c r="G674" s="16" t="str">
        <f aca="false">IF(INDEX(選手一覧!$D$7:$D$2738,$F674)="","",INDEX(選手一覧!$D$7:$D$2738,$F674))</f>
        <v/>
      </c>
      <c r="H674" s="17" t="str">
        <f aca="false">IF(INDEX(選手一覧!$E$7:$E$2738,$F674)="","",INDEX(選手一覧!$E$7:$E$2738,$F674))</f>
        <v/>
      </c>
      <c r="I674" s="16" t="str">
        <f aca="false">IF(INDEX(選手一覧!$J$7:$J$2738,$F674)="","",INDEX(選手一覧!$J$7:$J$2738,$F674))</f>
        <v/>
      </c>
      <c r="J674" s="17" t="str">
        <f aca="false">IF(INDEX(選手一覧!$K$7:$K$2738,$F674)="","",INDEX(選手一覧!$K$7:$K$2738,$F674))</f>
        <v/>
      </c>
    </row>
    <row r="675" customFormat="false" ht="15" hidden="false" customHeight="false" outlineLevel="0" collapsed="false">
      <c r="A675" s="17" t="n">
        <v>671</v>
      </c>
      <c r="B675" s="12" t="s">
        <v>665</v>
      </c>
      <c r="C675" s="12" t="s">
        <v>544</v>
      </c>
      <c r="D675" s="16" t="n">
        <v>0.00732141203703704</v>
      </c>
      <c r="E675" s="15" t="n">
        <f aca="false">ROUND((D675-$D$5)*86400,2)</f>
        <v>93.55</v>
      </c>
      <c r="F675" s="17" t="n">
        <v>365</v>
      </c>
      <c r="G675" s="16" t="n">
        <f aca="false">IF(INDEX(選手一覧!$D$7:$D$2738,$F675)="","",INDEX(選手一覧!$D$7:$D$2738,$F675))</f>
        <v>0.0105252314814815</v>
      </c>
      <c r="H675" s="17" t="n">
        <f aca="false">IF(INDEX(選手一覧!$E$7:$E$2738,$F675)="","",INDEX(選手一覧!$E$7:$E$2738,$F675))</f>
        <v>366</v>
      </c>
      <c r="I675" s="16" t="n">
        <f aca="false">IF(INDEX(選手一覧!$J$7:$J$2738,$F675)="","",INDEX(選手一覧!$J$7:$J$2738,$F675))</f>
        <v>0.00289467592592593</v>
      </c>
      <c r="J675" s="17" t="n">
        <f aca="false">IF(INDEX(選手一覧!$K$7:$K$2738,$F675)="","",INDEX(選手一覧!$K$7:$K$2738,$F675))</f>
        <v>910</v>
      </c>
    </row>
    <row r="676" customFormat="false" ht="15" hidden="false" customHeight="false" outlineLevel="0" collapsed="false">
      <c r="A676" s="17" t="n">
        <v>672</v>
      </c>
      <c r="B676" s="12" t="s">
        <v>2767</v>
      </c>
      <c r="C676" s="12" t="s">
        <v>2370</v>
      </c>
      <c r="D676" s="16" t="n">
        <v>0.00732141203703704</v>
      </c>
      <c r="E676" s="15" t="n">
        <f aca="false">ROUND((D676-$D$5)*86400,2)</f>
        <v>93.55</v>
      </c>
      <c r="F676" s="17" t="n">
        <v>1773</v>
      </c>
      <c r="G676" s="16" t="str">
        <f aca="false">IF(INDEX(選手一覧!$D$7:$D$2738,$F676)="","",INDEX(選手一覧!$D$7:$D$2738,$F676))</f>
        <v/>
      </c>
      <c r="H676" s="17" t="str">
        <f aca="false">IF(INDEX(選手一覧!$E$7:$E$2738,$F676)="","",INDEX(選手一覧!$E$7:$E$2738,$F676))</f>
        <v/>
      </c>
      <c r="I676" s="16" t="n">
        <f aca="false">IF(INDEX(選手一覧!$J$7:$J$2738,$F676)="","",INDEX(選手一覧!$J$7:$J$2738,$F676))</f>
        <v>0.00292604166666667</v>
      </c>
      <c r="J676" s="17" t="n">
        <f aca="false">IF(INDEX(選手一覧!$K$7:$K$2738,$F676)="","",INDEX(選手一覧!$K$7:$K$2738,$F676))</f>
        <v>1158</v>
      </c>
    </row>
    <row r="677" customFormat="false" ht="15" hidden="false" customHeight="false" outlineLevel="0" collapsed="false">
      <c r="A677" s="17" t="n">
        <v>673</v>
      </c>
      <c r="B677" s="12" t="s">
        <v>2771</v>
      </c>
      <c r="C677" s="12" t="s">
        <v>2121</v>
      </c>
      <c r="D677" s="16" t="n">
        <v>0.00732152777777778</v>
      </c>
      <c r="E677" s="15" t="n">
        <f aca="false">ROUND((D677-$D$5)*86400,2)</f>
        <v>93.56</v>
      </c>
      <c r="F677" s="17" t="n">
        <v>1775</v>
      </c>
      <c r="G677" s="16" t="str">
        <f aca="false">IF(INDEX(選手一覧!$D$7:$D$2738,$F677)="","",INDEX(選手一覧!$D$7:$D$2738,$F677))</f>
        <v/>
      </c>
      <c r="H677" s="17" t="str">
        <f aca="false">IF(INDEX(選手一覧!$E$7:$E$2738,$F677)="","",INDEX(選手一覧!$E$7:$E$2738,$F677))</f>
        <v/>
      </c>
      <c r="I677" s="16" t="str">
        <f aca="false">IF(INDEX(選手一覧!$J$7:$J$2738,$F677)="","",INDEX(選手一覧!$J$7:$J$2738,$F677))</f>
        <v/>
      </c>
      <c r="J677" s="17" t="str">
        <f aca="false">IF(INDEX(選手一覧!$K$7:$K$2738,$F677)="","",INDEX(選手一覧!$K$7:$K$2738,$F677))</f>
        <v/>
      </c>
    </row>
    <row r="678" customFormat="false" ht="15" hidden="false" customHeight="false" outlineLevel="0" collapsed="false">
      <c r="A678" s="17" t="n">
        <v>674</v>
      </c>
      <c r="B678" s="12" t="s">
        <v>2772</v>
      </c>
      <c r="C678" s="12" t="s">
        <v>2773</v>
      </c>
      <c r="D678" s="16" t="n">
        <v>0.00732175925925926</v>
      </c>
      <c r="E678" s="15" t="n">
        <f aca="false">ROUND((D678-$D$5)*86400,2)</f>
        <v>93.58</v>
      </c>
      <c r="F678" s="17" t="n">
        <v>1776</v>
      </c>
      <c r="G678" s="16" t="str">
        <f aca="false">IF(INDEX(選手一覧!$D$7:$D$2738,$F678)="","",INDEX(選手一覧!$D$7:$D$2738,$F678))</f>
        <v/>
      </c>
      <c r="H678" s="17" t="str">
        <f aca="false">IF(INDEX(選手一覧!$E$7:$E$2738,$F678)="","",INDEX(選手一覧!$E$7:$E$2738,$F678))</f>
        <v/>
      </c>
      <c r="I678" s="16" t="str">
        <f aca="false">IF(INDEX(選手一覧!$J$7:$J$2738,$F678)="","",INDEX(選手一覧!$J$7:$J$2738,$F678))</f>
        <v/>
      </c>
      <c r="J678" s="17" t="str">
        <f aca="false">IF(INDEX(選手一覧!$K$7:$K$2738,$F678)="","",INDEX(選手一覧!$K$7:$K$2738,$F678))</f>
        <v/>
      </c>
    </row>
    <row r="679" customFormat="false" ht="15" hidden="false" customHeight="false" outlineLevel="0" collapsed="false">
      <c r="A679" s="17" t="n">
        <v>675</v>
      </c>
      <c r="B679" s="12" t="s">
        <v>2775</v>
      </c>
      <c r="C679" s="12" t="s">
        <v>2776</v>
      </c>
      <c r="D679" s="16" t="n">
        <v>0.00732361111111111</v>
      </c>
      <c r="E679" s="15" t="n">
        <f aca="false">ROUND((D679-$D$5)*86400,2)</f>
        <v>93.74</v>
      </c>
      <c r="F679" s="17" t="n">
        <v>1778</v>
      </c>
      <c r="G679" s="16" t="str">
        <f aca="false">IF(INDEX(選手一覧!$D$7:$D$2738,$F679)="","",INDEX(選手一覧!$D$7:$D$2738,$F679))</f>
        <v/>
      </c>
      <c r="H679" s="17" t="str">
        <f aca="false">IF(INDEX(選手一覧!$E$7:$E$2738,$F679)="","",INDEX(選手一覧!$E$7:$E$2738,$F679))</f>
        <v/>
      </c>
      <c r="I679" s="16" t="str">
        <f aca="false">IF(INDEX(選手一覧!$J$7:$J$2738,$F679)="","",INDEX(選手一覧!$J$7:$J$2738,$F679))</f>
        <v/>
      </c>
      <c r="J679" s="17" t="str">
        <f aca="false">IF(INDEX(選手一覧!$K$7:$K$2738,$F679)="","",INDEX(選手一覧!$K$7:$K$2738,$F679))</f>
        <v/>
      </c>
    </row>
    <row r="680" customFormat="false" ht="15" hidden="false" customHeight="false" outlineLevel="0" collapsed="false">
      <c r="A680" s="17" t="n">
        <v>676</v>
      </c>
      <c r="B680" s="12" t="s">
        <v>2779</v>
      </c>
      <c r="C680" s="12" t="s">
        <v>2780</v>
      </c>
      <c r="D680" s="16" t="n">
        <v>0.00732384259259259</v>
      </c>
      <c r="E680" s="15" t="n">
        <f aca="false">ROUND((D680-$D$5)*86400,2)</f>
        <v>93.76</v>
      </c>
      <c r="F680" s="17" t="n">
        <v>1780</v>
      </c>
      <c r="G680" s="16" t="str">
        <f aca="false">IF(INDEX(選手一覧!$D$7:$D$2738,$F680)="","",INDEX(選手一覧!$D$7:$D$2738,$F680))</f>
        <v/>
      </c>
      <c r="H680" s="17" t="str">
        <f aca="false">IF(INDEX(選手一覧!$E$7:$E$2738,$F680)="","",INDEX(選手一覧!$E$7:$E$2738,$F680))</f>
        <v/>
      </c>
      <c r="I680" s="16" t="str">
        <f aca="false">IF(INDEX(選手一覧!$J$7:$J$2738,$F680)="","",INDEX(選手一覧!$J$7:$J$2738,$F680))</f>
        <v/>
      </c>
      <c r="J680" s="17" t="str">
        <f aca="false">IF(INDEX(選手一覧!$K$7:$K$2738,$F680)="","",INDEX(選手一覧!$K$7:$K$2738,$F680))</f>
        <v/>
      </c>
    </row>
    <row r="681" customFormat="false" ht="15" hidden="false" customHeight="false" outlineLevel="0" collapsed="false">
      <c r="A681" s="17" t="n">
        <v>677</v>
      </c>
      <c r="B681" s="12" t="s">
        <v>2781</v>
      </c>
      <c r="C681" s="12" t="s">
        <v>2782</v>
      </c>
      <c r="D681" s="16" t="n">
        <v>0.00732453703703704</v>
      </c>
      <c r="E681" s="15" t="n">
        <f aca="false">ROUND((D681-$D$5)*86400,2)</f>
        <v>93.82</v>
      </c>
      <c r="F681" s="17" t="n">
        <v>1781</v>
      </c>
      <c r="G681" s="16" t="str">
        <f aca="false">IF(INDEX(選手一覧!$D$7:$D$2738,$F681)="","",INDEX(選手一覧!$D$7:$D$2738,$F681))</f>
        <v/>
      </c>
      <c r="H681" s="17" t="str">
        <f aca="false">IF(INDEX(選手一覧!$E$7:$E$2738,$F681)="","",INDEX(選手一覧!$E$7:$E$2738,$F681))</f>
        <v/>
      </c>
      <c r="I681" s="16" t="str">
        <f aca="false">IF(INDEX(選手一覧!$J$7:$J$2738,$F681)="","",INDEX(選手一覧!$J$7:$J$2738,$F681))</f>
        <v/>
      </c>
      <c r="J681" s="17" t="str">
        <f aca="false">IF(INDEX(選手一覧!$K$7:$K$2738,$F681)="","",INDEX(選手一覧!$K$7:$K$2738,$F681))</f>
        <v/>
      </c>
    </row>
    <row r="682" customFormat="false" ht="15" hidden="false" customHeight="false" outlineLevel="0" collapsed="false">
      <c r="A682" s="17" t="n">
        <v>678</v>
      </c>
      <c r="B682" s="12" t="s">
        <v>2784</v>
      </c>
      <c r="C682" s="12" t="s">
        <v>2785</v>
      </c>
      <c r="D682" s="16" t="n">
        <v>0.007325</v>
      </c>
      <c r="E682" s="15" t="n">
        <f aca="false">ROUND((D682-$D$5)*86400,2)</f>
        <v>93.86</v>
      </c>
      <c r="F682" s="17" t="n">
        <v>1783</v>
      </c>
      <c r="G682" s="16" t="str">
        <f aca="false">IF(INDEX(選手一覧!$D$7:$D$2738,$F682)="","",INDEX(選手一覧!$D$7:$D$2738,$F682))</f>
        <v/>
      </c>
      <c r="H682" s="17" t="str">
        <f aca="false">IF(INDEX(選手一覧!$E$7:$E$2738,$F682)="","",INDEX(選手一覧!$E$7:$E$2738,$F682))</f>
        <v/>
      </c>
      <c r="I682" s="16" t="str">
        <f aca="false">IF(INDEX(選手一覧!$J$7:$J$2738,$F682)="","",INDEX(選手一覧!$J$7:$J$2738,$F682))</f>
        <v/>
      </c>
      <c r="J682" s="17" t="str">
        <f aca="false">IF(INDEX(選手一覧!$K$7:$K$2738,$F682)="","",INDEX(選手一覧!$K$7:$K$2738,$F682))</f>
        <v/>
      </c>
    </row>
    <row r="683" customFormat="false" ht="15" hidden="false" customHeight="false" outlineLevel="0" collapsed="false">
      <c r="A683" s="17" t="n">
        <v>679</v>
      </c>
      <c r="B683" s="12" t="s">
        <v>2788</v>
      </c>
      <c r="C683" s="12" t="s">
        <v>2067</v>
      </c>
      <c r="D683" s="16" t="n">
        <v>0.00732719907407408</v>
      </c>
      <c r="E683" s="15" t="n">
        <f aca="false">ROUND((D683-$D$5)*86400,2)</f>
        <v>94.05</v>
      </c>
      <c r="F683" s="17" t="n">
        <v>1785</v>
      </c>
      <c r="G683" s="16" t="str">
        <f aca="false">IF(INDEX(選手一覧!$D$7:$D$2738,$F683)="","",INDEX(選手一覧!$D$7:$D$2738,$F683))</f>
        <v/>
      </c>
      <c r="H683" s="17" t="str">
        <f aca="false">IF(INDEX(選手一覧!$E$7:$E$2738,$F683)="","",INDEX(選手一覧!$E$7:$E$2738,$F683))</f>
        <v/>
      </c>
      <c r="I683" s="16" t="n">
        <f aca="false">IF(INDEX(選手一覧!$J$7:$J$2738,$F683)="","",INDEX(選手一覧!$J$7:$J$2738,$F683))</f>
        <v>0.00296273148148148</v>
      </c>
      <c r="J683" s="17" t="n">
        <f aca="false">IF(INDEX(選手一覧!$K$7:$K$2738,$F683)="","",INDEX(選手一覧!$K$7:$K$2738,$F683))</f>
        <v>1282</v>
      </c>
    </row>
    <row r="684" customFormat="false" ht="15" hidden="false" customHeight="false" outlineLevel="0" collapsed="false">
      <c r="A684" s="17" t="n">
        <v>680</v>
      </c>
      <c r="B684" s="12" t="s">
        <v>2789</v>
      </c>
      <c r="C684" s="12" t="s">
        <v>236</v>
      </c>
      <c r="D684" s="16" t="n">
        <v>0.00732893518518519</v>
      </c>
      <c r="E684" s="15" t="n">
        <f aca="false">ROUND((D684-$D$5)*86400,2)</f>
        <v>94.2</v>
      </c>
      <c r="F684" s="17" t="n">
        <v>1786</v>
      </c>
      <c r="G684" s="16" t="str">
        <f aca="false">IF(INDEX(選手一覧!$D$7:$D$2738,$F684)="","",INDEX(選手一覧!$D$7:$D$2738,$F684))</f>
        <v/>
      </c>
      <c r="H684" s="17" t="str">
        <f aca="false">IF(INDEX(選手一覧!$E$7:$E$2738,$F684)="","",INDEX(選手一覧!$E$7:$E$2738,$F684))</f>
        <v/>
      </c>
      <c r="I684" s="16" t="str">
        <f aca="false">IF(INDEX(選手一覧!$J$7:$J$2738,$F684)="","",INDEX(選手一覧!$J$7:$J$2738,$F684))</f>
        <v/>
      </c>
      <c r="J684" s="17" t="str">
        <f aca="false">IF(INDEX(選手一覧!$K$7:$K$2738,$F684)="","",INDEX(選手一覧!$K$7:$K$2738,$F684))</f>
        <v/>
      </c>
    </row>
    <row r="685" customFormat="false" ht="15" hidden="false" customHeight="false" outlineLevel="0" collapsed="false">
      <c r="A685" s="17" t="n">
        <v>681</v>
      </c>
      <c r="B685" s="12" t="s">
        <v>1654</v>
      </c>
      <c r="C685" s="12" t="s">
        <v>63</v>
      </c>
      <c r="D685" s="16" t="n">
        <v>0.00732905092592593</v>
      </c>
      <c r="E685" s="15" t="n">
        <f aca="false">ROUND((D685-$D$5)*86400,2)</f>
        <v>94.21</v>
      </c>
      <c r="F685" s="17" t="n">
        <v>1019</v>
      </c>
      <c r="G685" s="16" t="n">
        <f aca="false">IF(INDEX(選手一覧!$D$7:$D$2738,$F685)="","",INDEX(選手一覧!$D$7:$D$2738,$F685))</f>
        <v>0.0109596064814815</v>
      </c>
      <c r="H685" s="17" t="n">
        <f aca="false">IF(INDEX(選手一覧!$E$7:$E$2738,$F685)="","",INDEX(選手一覧!$E$7:$E$2738,$F685))</f>
        <v>1020</v>
      </c>
      <c r="I685" s="16" t="str">
        <f aca="false">IF(INDEX(選手一覧!$J$7:$J$2738,$F685)="","",INDEX(選手一覧!$J$7:$J$2738,$F685))</f>
        <v/>
      </c>
      <c r="J685" s="17" t="str">
        <f aca="false">IF(INDEX(選手一覧!$K$7:$K$2738,$F685)="","",INDEX(選手一覧!$K$7:$K$2738,$F685))</f>
        <v/>
      </c>
    </row>
    <row r="686" customFormat="false" ht="15" hidden="false" customHeight="false" outlineLevel="0" collapsed="false">
      <c r="A686" s="17" t="n">
        <v>682</v>
      </c>
      <c r="B686" s="12" t="s">
        <v>2792</v>
      </c>
      <c r="C686" s="12" t="s">
        <v>2793</v>
      </c>
      <c r="D686" s="16" t="n">
        <v>0.00732962962962963</v>
      </c>
      <c r="E686" s="15" t="n">
        <f aca="false">ROUND((D686-$D$5)*86400,2)</f>
        <v>94.26</v>
      </c>
      <c r="F686" s="17" t="n">
        <v>1788</v>
      </c>
      <c r="G686" s="16" t="str">
        <f aca="false">IF(INDEX(選手一覧!$D$7:$D$2738,$F686)="","",INDEX(選手一覧!$D$7:$D$2738,$F686))</f>
        <v/>
      </c>
      <c r="H686" s="17" t="str">
        <f aca="false">IF(INDEX(選手一覧!$E$7:$E$2738,$F686)="","",INDEX(選手一覧!$E$7:$E$2738,$F686))</f>
        <v/>
      </c>
      <c r="I686" s="16" t="str">
        <f aca="false">IF(INDEX(選手一覧!$J$7:$J$2738,$F686)="","",INDEX(選手一覧!$J$7:$J$2738,$F686))</f>
        <v/>
      </c>
      <c r="J686" s="17" t="str">
        <f aca="false">IF(INDEX(選手一覧!$K$7:$K$2738,$F686)="","",INDEX(選手一覧!$K$7:$K$2738,$F686))</f>
        <v/>
      </c>
    </row>
    <row r="687" customFormat="false" ht="15" hidden="false" customHeight="false" outlineLevel="0" collapsed="false">
      <c r="A687" s="17" t="n">
        <v>683</v>
      </c>
      <c r="B687" s="12" t="s">
        <v>2794</v>
      </c>
      <c r="C687" s="12" t="s">
        <v>2391</v>
      </c>
      <c r="D687" s="16" t="n">
        <v>0.00733078703703704</v>
      </c>
      <c r="E687" s="15" t="n">
        <f aca="false">ROUND((D687-$D$5)*86400,2)</f>
        <v>94.36</v>
      </c>
      <c r="F687" s="17" t="n">
        <v>1789</v>
      </c>
      <c r="G687" s="16" t="str">
        <f aca="false">IF(INDEX(選手一覧!$D$7:$D$2738,$F687)="","",INDEX(選手一覧!$D$7:$D$2738,$F687))</f>
        <v/>
      </c>
      <c r="H687" s="17" t="str">
        <f aca="false">IF(INDEX(選手一覧!$E$7:$E$2738,$F687)="","",INDEX(選手一覧!$E$7:$E$2738,$F687))</f>
        <v/>
      </c>
      <c r="I687" s="16" t="str">
        <f aca="false">IF(INDEX(選手一覧!$J$7:$J$2738,$F687)="","",INDEX(選手一覧!$J$7:$J$2738,$F687))</f>
        <v/>
      </c>
      <c r="J687" s="17" t="str">
        <f aca="false">IF(INDEX(選手一覧!$K$7:$K$2738,$F687)="","",INDEX(選手一覧!$K$7:$K$2738,$F687))</f>
        <v/>
      </c>
    </row>
    <row r="688" customFormat="false" ht="15" hidden="false" customHeight="false" outlineLevel="0" collapsed="false">
      <c r="A688" s="17" t="n">
        <v>684</v>
      </c>
      <c r="B688" s="12" t="s">
        <v>2796</v>
      </c>
      <c r="C688" s="12" t="s">
        <v>2196</v>
      </c>
      <c r="D688" s="16" t="n">
        <v>0.00733136574074074</v>
      </c>
      <c r="E688" s="15" t="n">
        <f aca="false">ROUND((D688-$D$5)*86400,2)</f>
        <v>94.41</v>
      </c>
      <c r="F688" s="17" t="n">
        <v>1791</v>
      </c>
      <c r="G688" s="16" t="str">
        <f aca="false">IF(INDEX(選手一覧!$D$7:$D$2738,$F688)="","",INDEX(選手一覧!$D$7:$D$2738,$F688))</f>
        <v/>
      </c>
      <c r="H688" s="17" t="str">
        <f aca="false">IF(INDEX(選手一覧!$E$7:$E$2738,$F688)="","",INDEX(選手一覧!$E$7:$E$2738,$F688))</f>
        <v/>
      </c>
      <c r="I688" s="16" t="str">
        <f aca="false">IF(INDEX(選手一覧!$J$7:$J$2738,$F688)="","",INDEX(選手一覧!$J$7:$J$2738,$F688))</f>
        <v/>
      </c>
      <c r="J688" s="17" t="str">
        <f aca="false">IF(INDEX(選手一覧!$K$7:$K$2738,$F688)="","",INDEX(選手一覧!$K$7:$K$2738,$F688))</f>
        <v/>
      </c>
    </row>
    <row r="689" customFormat="false" ht="15" hidden="false" customHeight="false" outlineLevel="0" collapsed="false">
      <c r="A689" s="17" t="n">
        <v>685</v>
      </c>
      <c r="B689" s="12" t="s">
        <v>2797</v>
      </c>
      <c r="C689" s="12" t="s">
        <v>2798</v>
      </c>
      <c r="D689" s="16" t="n">
        <v>0.00733229166666667</v>
      </c>
      <c r="E689" s="15" t="n">
        <f aca="false">ROUND((D689-$D$5)*86400,2)</f>
        <v>94.49</v>
      </c>
      <c r="F689" s="17" t="n">
        <v>1792</v>
      </c>
      <c r="G689" s="16" t="str">
        <f aca="false">IF(INDEX(選手一覧!$D$7:$D$2738,$F689)="","",INDEX(選手一覧!$D$7:$D$2738,$F689))</f>
        <v/>
      </c>
      <c r="H689" s="17" t="str">
        <f aca="false">IF(INDEX(選手一覧!$E$7:$E$2738,$F689)="","",INDEX(選手一覧!$E$7:$E$2738,$F689))</f>
        <v/>
      </c>
      <c r="I689" s="16" t="str">
        <f aca="false">IF(INDEX(選手一覧!$J$7:$J$2738,$F689)="","",INDEX(選手一覧!$J$7:$J$2738,$F689))</f>
        <v/>
      </c>
      <c r="J689" s="17" t="str">
        <f aca="false">IF(INDEX(選手一覧!$K$7:$K$2738,$F689)="","",INDEX(選手一覧!$K$7:$K$2738,$F689))</f>
        <v/>
      </c>
    </row>
    <row r="690" customFormat="false" ht="15" hidden="false" customHeight="false" outlineLevel="0" collapsed="false">
      <c r="A690" s="17" t="n">
        <v>686</v>
      </c>
      <c r="B690" s="12" t="s">
        <v>2799</v>
      </c>
      <c r="C690" s="12" t="s">
        <v>440</v>
      </c>
      <c r="D690" s="16" t="n">
        <v>0.0073337962962963</v>
      </c>
      <c r="E690" s="15" t="n">
        <f aca="false">ROUND((D690-$D$5)*86400,2)</f>
        <v>94.62</v>
      </c>
      <c r="F690" s="17" t="n">
        <v>1793</v>
      </c>
      <c r="G690" s="16" t="str">
        <f aca="false">IF(INDEX(選手一覧!$D$7:$D$2738,$F690)="","",INDEX(選手一覧!$D$7:$D$2738,$F690))</f>
        <v/>
      </c>
      <c r="H690" s="17" t="str">
        <f aca="false">IF(INDEX(選手一覧!$E$7:$E$2738,$F690)="","",INDEX(選手一覧!$E$7:$E$2738,$F690))</f>
        <v/>
      </c>
      <c r="I690" s="16" t="str">
        <f aca="false">IF(INDEX(選手一覧!$J$7:$J$2738,$F690)="","",INDEX(選手一覧!$J$7:$J$2738,$F690))</f>
        <v/>
      </c>
      <c r="J690" s="17" t="str">
        <f aca="false">IF(INDEX(選手一覧!$K$7:$K$2738,$F690)="","",INDEX(選手一覧!$K$7:$K$2738,$F690))</f>
        <v/>
      </c>
    </row>
    <row r="691" customFormat="false" ht="15" hidden="false" customHeight="false" outlineLevel="0" collapsed="false">
      <c r="A691" s="17" t="n">
        <v>687</v>
      </c>
      <c r="B691" s="12" t="s">
        <v>2800</v>
      </c>
      <c r="C691" s="12" t="s">
        <v>1570</v>
      </c>
      <c r="D691" s="16" t="n">
        <v>0.00733449074074074</v>
      </c>
      <c r="E691" s="15" t="n">
        <f aca="false">ROUND((D691-$D$5)*86400,2)</f>
        <v>94.68</v>
      </c>
      <c r="F691" s="17" t="n">
        <v>1794</v>
      </c>
      <c r="G691" s="16" t="str">
        <f aca="false">IF(INDEX(選手一覧!$D$7:$D$2738,$F691)="","",INDEX(選手一覧!$D$7:$D$2738,$F691))</f>
        <v/>
      </c>
      <c r="H691" s="17" t="str">
        <f aca="false">IF(INDEX(選手一覧!$E$7:$E$2738,$F691)="","",INDEX(選手一覧!$E$7:$E$2738,$F691))</f>
        <v/>
      </c>
      <c r="I691" s="16" t="str">
        <f aca="false">IF(INDEX(選手一覧!$J$7:$J$2738,$F691)="","",INDEX(選手一覧!$J$7:$J$2738,$F691))</f>
        <v/>
      </c>
      <c r="J691" s="17" t="str">
        <f aca="false">IF(INDEX(選手一覧!$K$7:$K$2738,$F691)="","",INDEX(選手一覧!$K$7:$K$2738,$F691))</f>
        <v/>
      </c>
    </row>
    <row r="692" customFormat="false" ht="15" hidden="false" customHeight="false" outlineLevel="0" collapsed="false">
      <c r="A692" s="17" t="n">
        <v>688</v>
      </c>
      <c r="B692" s="12" t="s">
        <v>2801</v>
      </c>
      <c r="C692" s="12" t="s">
        <v>2802</v>
      </c>
      <c r="D692" s="16" t="n">
        <v>0.00733680555555556</v>
      </c>
      <c r="E692" s="15" t="n">
        <f aca="false">ROUND((D692-$D$5)*86400,2)</f>
        <v>94.88</v>
      </c>
      <c r="F692" s="17" t="n">
        <v>1795</v>
      </c>
      <c r="G692" s="16" t="str">
        <f aca="false">IF(INDEX(選手一覧!$D$7:$D$2738,$F692)="","",INDEX(選手一覧!$D$7:$D$2738,$F692))</f>
        <v/>
      </c>
      <c r="H692" s="17" t="str">
        <f aca="false">IF(INDEX(選手一覧!$E$7:$E$2738,$F692)="","",INDEX(選手一覧!$E$7:$E$2738,$F692))</f>
        <v/>
      </c>
      <c r="I692" s="16" t="str">
        <f aca="false">IF(INDEX(選手一覧!$J$7:$J$2738,$F692)="","",INDEX(選手一覧!$J$7:$J$2738,$F692))</f>
        <v/>
      </c>
      <c r="J692" s="17" t="str">
        <f aca="false">IF(INDEX(選手一覧!$K$7:$K$2738,$F692)="","",INDEX(選手一覧!$K$7:$K$2738,$F692))</f>
        <v/>
      </c>
    </row>
    <row r="693" customFormat="false" ht="15" hidden="false" customHeight="false" outlineLevel="0" collapsed="false">
      <c r="A693" s="17" t="n">
        <v>689</v>
      </c>
      <c r="B693" s="12" t="s">
        <v>2803</v>
      </c>
      <c r="C693" s="12" t="s">
        <v>204</v>
      </c>
      <c r="D693" s="16" t="n">
        <v>0.0073375</v>
      </c>
      <c r="E693" s="15" t="n">
        <f aca="false">ROUND((D693-$D$5)*86400,2)</f>
        <v>94.94</v>
      </c>
      <c r="F693" s="17" t="n">
        <v>1796</v>
      </c>
      <c r="G693" s="16" t="str">
        <f aca="false">IF(INDEX(選手一覧!$D$7:$D$2738,$F693)="","",INDEX(選手一覧!$D$7:$D$2738,$F693))</f>
        <v/>
      </c>
      <c r="H693" s="17" t="str">
        <f aca="false">IF(INDEX(選手一覧!$E$7:$E$2738,$F693)="","",INDEX(選手一覧!$E$7:$E$2738,$F693))</f>
        <v/>
      </c>
      <c r="I693" s="16" t="str">
        <f aca="false">IF(INDEX(選手一覧!$J$7:$J$2738,$F693)="","",INDEX(選手一覧!$J$7:$J$2738,$F693))</f>
        <v/>
      </c>
      <c r="J693" s="17" t="str">
        <f aca="false">IF(INDEX(選手一覧!$K$7:$K$2738,$F693)="","",INDEX(選手一覧!$K$7:$K$2738,$F693))</f>
        <v/>
      </c>
    </row>
    <row r="694" customFormat="false" ht="15" hidden="false" customHeight="false" outlineLevel="0" collapsed="false">
      <c r="A694" s="17" t="n">
        <v>690</v>
      </c>
      <c r="B694" s="12" t="s">
        <v>1652</v>
      </c>
      <c r="C694" s="12" t="s">
        <v>1094</v>
      </c>
      <c r="D694" s="16" t="n">
        <v>0.00733819444444444</v>
      </c>
      <c r="E694" s="15" t="n">
        <f aca="false">ROUND((D694-$D$5)*86400,2)</f>
        <v>95</v>
      </c>
      <c r="F694" s="17" t="n">
        <v>1017</v>
      </c>
      <c r="G694" s="16" t="n">
        <f aca="false">IF(INDEX(選手一覧!$D$7:$D$2738,$F694)="","",INDEX(選手一覧!$D$7:$D$2738,$F694))</f>
        <v>0.0109578703703704</v>
      </c>
      <c r="H694" s="17" t="n">
        <f aca="false">IF(INDEX(選手一覧!$E$7:$E$2738,$F694)="","",INDEX(選手一覧!$E$7:$E$2738,$F694))</f>
        <v>1018</v>
      </c>
      <c r="I694" s="16" t="str">
        <f aca="false">IF(INDEX(選手一覧!$J$7:$J$2738,$F694)="","",INDEX(選手一覧!$J$7:$J$2738,$F694))</f>
        <v/>
      </c>
      <c r="J694" s="17" t="str">
        <f aca="false">IF(INDEX(選手一覧!$K$7:$K$2738,$F694)="","",INDEX(選手一覧!$K$7:$K$2738,$F694))</f>
        <v/>
      </c>
    </row>
    <row r="695" customFormat="false" ht="15" hidden="false" customHeight="false" outlineLevel="0" collapsed="false">
      <c r="A695" s="17" t="n">
        <v>691</v>
      </c>
      <c r="B695" s="12" t="s">
        <v>2804</v>
      </c>
      <c r="C695" s="12" t="s">
        <v>2805</v>
      </c>
      <c r="D695" s="16" t="n">
        <v>0.00733819444444444</v>
      </c>
      <c r="E695" s="15" t="n">
        <f aca="false">ROUND((D695-$D$5)*86400,2)</f>
        <v>95</v>
      </c>
      <c r="F695" s="17" t="n">
        <v>1797</v>
      </c>
      <c r="G695" s="16" t="str">
        <f aca="false">IF(INDEX(選手一覧!$D$7:$D$2738,$F695)="","",INDEX(選手一覧!$D$7:$D$2738,$F695))</f>
        <v/>
      </c>
      <c r="H695" s="17" t="str">
        <f aca="false">IF(INDEX(選手一覧!$E$7:$E$2738,$F695)="","",INDEX(選手一覧!$E$7:$E$2738,$F695))</f>
        <v/>
      </c>
      <c r="I695" s="16" t="str">
        <f aca="false">IF(INDEX(選手一覧!$J$7:$J$2738,$F695)="","",INDEX(選手一覧!$J$7:$J$2738,$F695))</f>
        <v/>
      </c>
      <c r="J695" s="17" t="str">
        <f aca="false">IF(INDEX(選手一覧!$K$7:$K$2738,$F695)="","",INDEX(選手一覧!$K$7:$K$2738,$F695))</f>
        <v/>
      </c>
    </row>
    <row r="696" customFormat="false" ht="15" hidden="false" customHeight="false" outlineLevel="0" collapsed="false">
      <c r="A696" s="17" t="n">
        <v>692</v>
      </c>
      <c r="B696" s="12" t="s">
        <v>1662</v>
      </c>
      <c r="C696" s="12" t="s">
        <v>1127</v>
      </c>
      <c r="D696" s="16" t="n">
        <v>0.00733854166666667</v>
      </c>
      <c r="E696" s="15" t="n">
        <f aca="false">ROUND((D696-$D$5)*86400,2)</f>
        <v>95.03</v>
      </c>
      <c r="F696" s="17" t="n">
        <v>1023</v>
      </c>
      <c r="G696" s="16" t="n">
        <f aca="false">IF(INDEX(選手一覧!$D$7:$D$2738,$F696)="","",INDEX(選手一覧!$D$7:$D$2738,$F696))</f>
        <v>0.0109635416666667</v>
      </c>
      <c r="H696" s="17" t="n">
        <f aca="false">IF(INDEX(選手一覧!$E$7:$E$2738,$F696)="","",INDEX(選手一覧!$E$7:$E$2738,$F696))</f>
        <v>1024</v>
      </c>
      <c r="I696" s="16" t="n">
        <f aca="false">IF(INDEX(選手一覧!$J$7:$J$2738,$F696)="","",INDEX(選手一覧!$J$7:$J$2738,$F696))</f>
        <v>0.00294328703703704</v>
      </c>
      <c r="J696" s="17" t="n">
        <f aca="false">IF(INDEX(選手一覧!$K$7:$K$2738,$F696)="","",INDEX(選手一覧!$K$7:$K$2738,$F696))</f>
        <v>1213</v>
      </c>
    </row>
    <row r="697" customFormat="false" ht="15" hidden="false" customHeight="false" outlineLevel="0" collapsed="false">
      <c r="A697" s="17" t="n">
        <v>693</v>
      </c>
      <c r="B697" s="12" t="s">
        <v>2808</v>
      </c>
      <c r="C697" s="12" t="s">
        <v>2114</v>
      </c>
      <c r="D697" s="16" t="n">
        <v>0.00733969907407407</v>
      </c>
      <c r="E697" s="15" t="n">
        <f aca="false">ROUND((D697-$D$5)*86400,2)</f>
        <v>95.13</v>
      </c>
      <c r="F697" s="17" t="n">
        <v>1799</v>
      </c>
      <c r="G697" s="16" t="str">
        <f aca="false">IF(INDEX(選手一覧!$D$7:$D$2738,$F697)="","",INDEX(選手一覧!$D$7:$D$2738,$F697))</f>
        <v/>
      </c>
      <c r="H697" s="17" t="str">
        <f aca="false">IF(INDEX(選手一覧!$E$7:$E$2738,$F697)="","",INDEX(選手一覧!$E$7:$E$2738,$F697))</f>
        <v/>
      </c>
      <c r="I697" s="16" t="str">
        <f aca="false">IF(INDEX(選手一覧!$J$7:$J$2738,$F697)="","",INDEX(選手一覧!$J$7:$J$2738,$F697))</f>
        <v/>
      </c>
      <c r="J697" s="17" t="str">
        <f aca="false">IF(INDEX(選手一覧!$K$7:$K$2738,$F697)="","",INDEX(選手一覧!$K$7:$K$2738,$F697))</f>
        <v/>
      </c>
    </row>
    <row r="698" customFormat="false" ht="15" hidden="false" customHeight="false" outlineLevel="0" collapsed="false">
      <c r="A698" s="17" t="n">
        <v>694</v>
      </c>
      <c r="B698" s="12" t="s">
        <v>2809</v>
      </c>
      <c r="C698" s="12" t="s">
        <v>2594</v>
      </c>
      <c r="D698" s="16" t="n">
        <v>0.00733981481481482</v>
      </c>
      <c r="E698" s="15" t="n">
        <f aca="false">ROUND((D698-$D$5)*86400,2)</f>
        <v>95.14</v>
      </c>
      <c r="F698" s="17" t="n">
        <v>1800</v>
      </c>
      <c r="G698" s="16" t="str">
        <f aca="false">IF(INDEX(選手一覧!$D$7:$D$2738,$F698)="","",INDEX(選手一覧!$D$7:$D$2738,$F698))</f>
        <v/>
      </c>
      <c r="H698" s="17" t="str">
        <f aca="false">IF(INDEX(選手一覧!$E$7:$E$2738,$F698)="","",INDEX(選手一覧!$E$7:$E$2738,$F698))</f>
        <v/>
      </c>
      <c r="I698" s="16" t="str">
        <f aca="false">IF(INDEX(選手一覧!$J$7:$J$2738,$F698)="","",INDEX(選手一覧!$J$7:$J$2738,$F698))</f>
        <v/>
      </c>
      <c r="J698" s="17" t="str">
        <f aca="false">IF(INDEX(選手一覧!$K$7:$K$2738,$F698)="","",INDEX(選手一覧!$K$7:$K$2738,$F698))</f>
        <v/>
      </c>
    </row>
    <row r="699" customFormat="false" ht="15" hidden="false" customHeight="false" outlineLevel="0" collapsed="false">
      <c r="A699" s="17" t="n">
        <v>695</v>
      </c>
      <c r="B699" s="12" t="s">
        <v>2810</v>
      </c>
      <c r="C699" s="12" t="s">
        <v>2811</v>
      </c>
      <c r="D699" s="16" t="n">
        <v>0.00733981481481482</v>
      </c>
      <c r="E699" s="15" t="n">
        <f aca="false">ROUND((D699-$D$5)*86400,2)</f>
        <v>95.14</v>
      </c>
      <c r="F699" s="17" t="n">
        <v>1801</v>
      </c>
      <c r="G699" s="16" t="str">
        <f aca="false">IF(INDEX(選手一覧!$D$7:$D$2738,$F699)="","",INDEX(選手一覧!$D$7:$D$2738,$F699))</f>
        <v/>
      </c>
      <c r="H699" s="17" t="str">
        <f aca="false">IF(INDEX(選手一覧!$E$7:$E$2738,$F699)="","",INDEX(選手一覧!$E$7:$E$2738,$F699))</f>
        <v/>
      </c>
      <c r="I699" s="16" t="str">
        <f aca="false">IF(INDEX(選手一覧!$J$7:$J$2738,$F699)="","",INDEX(選手一覧!$J$7:$J$2738,$F699))</f>
        <v/>
      </c>
      <c r="J699" s="17" t="str">
        <f aca="false">IF(INDEX(選手一覧!$K$7:$K$2738,$F699)="","",INDEX(選手一覧!$K$7:$K$2738,$F699))</f>
        <v/>
      </c>
    </row>
    <row r="700" customFormat="false" ht="15" hidden="false" customHeight="false" outlineLevel="0" collapsed="false">
      <c r="A700" s="17" t="n">
        <v>696</v>
      </c>
      <c r="B700" s="12" t="s">
        <v>2812</v>
      </c>
      <c r="C700" s="12" t="s">
        <v>2616</v>
      </c>
      <c r="D700" s="16" t="n">
        <v>0.00734085648148148</v>
      </c>
      <c r="E700" s="15" t="n">
        <f aca="false">ROUND((D700-$D$5)*86400,2)</f>
        <v>95.23</v>
      </c>
      <c r="F700" s="17" t="n">
        <v>1802</v>
      </c>
      <c r="G700" s="16" t="str">
        <f aca="false">IF(INDEX(選手一覧!$D$7:$D$2738,$F700)="","",INDEX(選手一覧!$D$7:$D$2738,$F700))</f>
        <v/>
      </c>
      <c r="H700" s="17" t="str">
        <f aca="false">IF(INDEX(選手一覧!$E$7:$E$2738,$F700)="","",INDEX(選手一覧!$E$7:$E$2738,$F700))</f>
        <v/>
      </c>
      <c r="I700" s="16" t="str">
        <f aca="false">IF(INDEX(選手一覧!$J$7:$J$2738,$F700)="","",INDEX(選手一覧!$J$7:$J$2738,$F700))</f>
        <v/>
      </c>
      <c r="J700" s="17" t="str">
        <f aca="false">IF(INDEX(選手一覧!$K$7:$K$2738,$F700)="","",INDEX(選手一覧!$K$7:$K$2738,$F700))</f>
        <v/>
      </c>
    </row>
    <row r="701" customFormat="false" ht="15" hidden="false" customHeight="false" outlineLevel="0" collapsed="false">
      <c r="A701" s="17" t="n">
        <v>697</v>
      </c>
      <c r="B701" s="12" t="s">
        <v>2815</v>
      </c>
      <c r="C701" s="12" t="s">
        <v>2816</v>
      </c>
      <c r="D701" s="16" t="n">
        <v>0.00734131944444444</v>
      </c>
      <c r="E701" s="15" t="n">
        <f aca="false">ROUND((D701-$D$5)*86400,2)</f>
        <v>95.27</v>
      </c>
      <c r="F701" s="17" t="n">
        <v>1804</v>
      </c>
      <c r="G701" s="16" t="str">
        <f aca="false">IF(INDEX(選手一覧!$D$7:$D$2738,$F701)="","",INDEX(選手一覧!$D$7:$D$2738,$F701))</f>
        <v/>
      </c>
      <c r="H701" s="17" t="str">
        <f aca="false">IF(INDEX(選手一覧!$E$7:$E$2738,$F701)="","",INDEX(選手一覧!$E$7:$E$2738,$F701))</f>
        <v/>
      </c>
      <c r="I701" s="16" t="str">
        <f aca="false">IF(INDEX(選手一覧!$J$7:$J$2738,$F701)="","",INDEX(選手一覧!$J$7:$J$2738,$F701))</f>
        <v/>
      </c>
      <c r="J701" s="17" t="str">
        <f aca="false">IF(INDEX(選手一覧!$K$7:$K$2738,$F701)="","",INDEX(選手一覧!$K$7:$K$2738,$F701))</f>
        <v/>
      </c>
    </row>
    <row r="702" customFormat="false" ht="15" hidden="false" customHeight="false" outlineLevel="0" collapsed="false">
      <c r="A702" s="17" t="n">
        <v>698</v>
      </c>
      <c r="B702" s="12" t="s">
        <v>2806</v>
      </c>
      <c r="C702" s="12" t="s">
        <v>2807</v>
      </c>
      <c r="D702" s="16" t="n">
        <v>0.00734178240740741</v>
      </c>
      <c r="E702" s="15" t="n">
        <f aca="false">ROUND((D702-$D$5)*86400,2)</f>
        <v>95.31</v>
      </c>
      <c r="F702" s="17" t="n">
        <v>1798</v>
      </c>
      <c r="G702" s="16" t="str">
        <f aca="false">IF(INDEX(選手一覧!$D$7:$D$2738,$F702)="","",INDEX(選手一覧!$D$7:$D$2738,$F702))</f>
        <v/>
      </c>
      <c r="H702" s="17" t="str">
        <f aca="false">IF(INDEX(選手一覧!$E$7:$E$2738,$F702)="","",INDEX(選手一覧!$E$7:$E$2738,$F702))</f>
        <v/>
      </c>
      <c r="I702" s="16" t="n">
        <f aca="false">IF(INDEX(選手一覧!$J$7:$J$2738,$F702)="","",INDEX(選手一覧!$J$7:$J$2738,$F702))</f>
        <v>0.00286956018518519</v>
      </c>
      <c r="J702" s="17" t="n">
        <f aca="false">IF(INDEX(選手一覧!$K$7:$K$2738,$F702)="","",INDEX(選手一覧!$K$7:$K$2738,$F702))</f>
        <v>693</v>
      </c>
    </row>
    <row r="703" customFormat="false" ht="15" hidden="false" customHeight="false" outlineLevel="0" collapsed="false">
      <c r="A703" s="17" t="n">
        <v>699</v>
      </c>
      <c r="B703" s="12" t="s">
        <v>1559</v>
      </c>
      <c r="C703" s="12" t="s">
        <v>1560</v>
      </c>
      <c r="D703" s="16" t="n">
        <v>0.00734189814814815</v>
      </c>
      <c r="E703" s="15" t="n">
        <f aca="false">ROUND((D703-$D$5)*86400,2)</f>
        <v>95.32</v>
      </c>
      <c r="F703" s="17" t="n">
        <v>953</v>
      </c>
      <c r="G703" s="16" t="n">
        <f aca="false">IF(INDEX(選手一覧!$D$7:$D$2738,$F703)="","",INDEX(選手一覧!$D$7:$D$2738,$F703))</f>
        <v>0.0109225694444444</v>
      </c>
      <c r="H703" s="17" t="n">
        <f aca="false">IF(INDEX(選手一覧!$E$7:$E$2738,$F703)="","",INDEX(選手一覧!$E$7:$E$2738,$F703))</f>
        <v>954</v>
      </c>
      <c r="I703" s="16" t="n">
        <f aca="false">IF(INDEX(選手一覧!$J$7:$J$2738,$F703)="","",INDEX(選手一覧!$J$7:$J$2738,$F703))</f>
        <v>0.00295</v>
      </c>
      <c r="J703" s="17" t="n">
        <f aca="false">IF(INDEX(選手一覧!$K$7:$K$2738,$F703)="","",INDEX(選手一覧!$K$7:$K$2738,$F703))</f>
        <v>1237</v>
      </c>
    </row>
    <row r="704" customFormat="false" ht="15" hidden="false" customHeight="false" outlineLevel="0" collapsed="false">
      <c r="A704" s="17" t="n">
        <v>700</v>
      </c>
      <c r="B704" s="12" t="s">
        <v>1728</v>
      </c>
      <c r="C704" s="12" t="s">
        <v>1729</v>
      </c>
      <c r="D704" s="16" t="n">
        <v>0.00734363425925926</v>
      </c>
      <c r="E704" s="15" t="n">
        <f aca="false">ROUND((D704-$D$5)*86400,2)</f>
        <v>95.47</v>
      </c>
      <c r="F704" s="17" t="n">
        <v>1068</v>
      </c>
      <c r="G704" s="16" t="n">
        <f aca="false">IF(INDEX(選手一覧!$D$7:$D$2738,$F704)="","",INDEX(選手一覧!$D$7:$D$2738,$F704))</f>
        <v>0.0109855324074074</v>
      </c>
      <c r="H704" s="17" t="n">
        <f aca="false">IF(INDEX(選手一覧!$E$7:$E$2738,$F704)="","",INDEX(選手一覧!$E$7:$E$2738,$F704))</f>
        <v>1069</v>
      </c>
      <c r="I704" s="16" t="n">
        <f aca="false">IF(INDEX(選手一覧!$J$7:$J$2738,$F704)="","",INDEX(選手一覧!$J$7:$J$2738,$F704))</f>
        <v>0.0028556712962963</v>
      </c>
      <c r="J704" s="17" t="n">
        <f aca="false">IF(INDEX(選手一覧!$K$7:$K$2738,$F704)="","",INDEX(選手一覧!$K$7:$K$2738,$F704))</f>
        <v>601</v>
      </c>
    </row>
    <row r="705" customFormat="false" ht="15" hidden="false" customHeight="false" outlineLevel="0" collapsed="false">
      <c r="A705" s="17" t="n">
        <v>701</v>
      </c>
      <c r="B705" s="12" t="s">
        <v>2821</v>
      </c>
      <c r="C705" s="12" t="s">
        <v>2822</v>
      </c>
      <c r="D705" s="16" t="n">
        <v>0.00734363425925926</v>
      </c>
      <c r="E705" s="15" t="n">
        <f aca="false">ROUND((D705-$D$5)*86400,2)</f>
        <v>95.47</v>
      </c>
      <c r="F705" s="17" t="n">
        <v>1807</v>
      </c>
      <c r="G705" s="16" t="str">
        <f aca="false">IF(INDEX(選手一覧!$D$7:$D$2738,$F705)="","",INDEX(選手一覧!$D$7:$D$2738,$F705))</f>
        <v/>
      </c>
      <c r="H705" s="17" t="str">
        <f aca="false">IF(INDEX(選手一覧!$E$7:$E$2738,$F705)="","",INDEX(選手一覧!$E$7:$E$2738,$F705))</f>
        <v/>
      </c>
      <c r="I705" s="16" t="str">
        <f aca="false">IF(INDEX(選手一覧!$J$7:$J$2738,$F705)="","",INDEX(選手一覧!$J$7:$J$2738,$F705))</f>
        <v/>
      </c>
      <c r="J705" s="17" t="str">
        <f aca="false">IF(INDEX(選手一覧!$K$7:$K$2738,$F705)="","",INDEX(選手一覧!$K$7:$K$2738,$F705))</f>
        <v/>
      </c>
    </row>
    <row r="706" customFormat="false" ht="15" hidden="false" customHeight="false" outlineLevel="0" collapsed="false">
      <c r="A706" s="17" t="n">
        <v>702</v>
      </c>
      <c r="B706" s="12" t="s">
        <v>2823</v>
      </c>
      <c r="C706" s="12" t="s">
        <v>577</v>
      </c>
      <c r="D706" s="16" t="n">
        <v>0.00734363425925926</v>
      </c>
      <c r="E706" s="15" t="n">
        <f aca="false">ROUND((D706-$D$5)*86400,2)</f>
        <v>95.47</v>
      </c>
      <c r="F706" s="17" t="n">
        <v>1808</v>
      </c>
      <c r="G706" s="16" t="str">
        <f aca="false">IF(INDEX(選手一覧!$D$7:$D$2738,$F706)="","",INDEX(選手一覧!$D$7:$D$2738,$F706))</f>
        <v/>
      </c>
      <c r="H706" s="17" t="str">
        <f aca="false">IF(INDEX(選手一覧!$E$7:$E$2738,$F706)="","",INDEX(選手一覧!$E$7:$E$2738,$F706))</f>
        <v/>
      </c>
      <c r="I706" s="16" t="str">
        <f aca="false">IF(INDEX(選手一覧!$J$7:$J$2738,$F706)="","",INDEX(選手一覧!$J$7:$J$2738,$F706))</f>
        <v/>
      </c>
      <c r="J706" s="17" t="str">
        <f aca="false">IF(INDEX(選手一覧!$K$7:$K$2738,$F706)="","",INDEX(選手一覧!$K$7:$K$2738,$F706))</f>
        <v/>
      </c>
    </row>
    <row r="707" customFormat="false" ht="15" hidden="false" customHeight="false" outlineLevel="0" collapsed="false">
      <c r="A707" s="17" t="n">
        <v>703</v>
      </c>
      <c r="B707" s="12" t="s">
        <v>1930</v>
      </c>
      <c r="C707" s="12" t="s">
        <v>1931</v>
      </c>
      <c r="D707" s="16" t="n">
        <v>0.00734479166666667</v>
      </c>
      <c r="E707" s="15" t="n">
        <f aca="false">ROUND((D707-$D$5)*86400,2)</f>
        <v>95.57</v>
      </c>
      <c r="F707" s="17" t="n">
        <v>1206</v>
      </c>
      <c r="G707" s="16" t="n">
        <f aca="false">IF(INDEX(選手一覧!$D$7:$D$2738,$F707)="","",INDEX(選手一覧!$D$7:$D$2738,$F707))</f>
        <v>0.0110538194444444</v>
      </c>
      <c r="H707" s="17" t="n">
        <f aca="false">IF(INDEX(選手一覧!$E$7:$E$2738,$F707)="","",INDEX(選手一覧!$E$7:$E$2738,$F707))</f>
        <v>1207</v>
      </c>
      <c r="I707" s="16" t="str">
        <f aca="false">IF(INDEX(選手一覧!$J$7:$J$2738,$F707)="","",INDEX(選手一覧!$J$7:$J$2738,$F707))</f>
        <v/>
      </c>
      <c r="J707" s="17" t="str">
        <f aca="false">IF(INDEX(選手一覧!$K$7:$K$2738,$F707)="","",INDEX(選手一覧!$K$7:$K$2738,$F707))</f>
        <v/>
      </c>
    </row>
    <row r="708" customFormat="false" ht="15" hidden="false" customHeight="false" outlineLevel="0" collapsed="false">
      <c r="A708" s="17" t="n">
        <v>704</v>
      </c>
      <c r="B708" s="12" t="s">
        <v>2824</v>
      </c>
      <c r="C708" s="12" t="s">
        <v>2524</v>
      </c>
      <c r="D708" s="16" t="n">
        <v>0.00734502314814815</v>
      </c>
      <c r="E708" s="15" t="n">
        <f aca="false">ROUND((D708-$D$5)*86400,2)</f>
        <v>95.59</v>
      </c>
      <c r="F708" s="17" t="n">
        <v>1809</v>
      </c>
      <c r="G708" s="16" t="str">
        <f aca="false">IF(INDEX(選手一覧!$D$7:$D$2738,$F708)="","",INDEX(選手一覧!$D$7:$D$2738,$F708))</f>
        <v/>
      </c>
      <c r="H708" s="17" t="str">
        <f aca="false">IF(INDEX(選手一覧!$E$7:$E$2738,$F708)="","",INDEX(選手一覧!$E$7:$E$2738,$F708))</f>
        <v/>
      </c>
      <c r="I708" s="16" t="str">
        <f aca="false">IF(INDEX(選手一覧!$J$7:$J$2738,$F708)="","",INDEX(選手一覧!$J$7:$J$2738,$F708))</f>
        <v/>
      </c>
      <c r="J708" s="17" t="str">
        <f aca="false">IF(INDEX(選手一覧!$K$7:$K$2738,$F708)="","",INDEX(選手一覧!$K$7:$K$2738,$F708))</f>
        <v/>
      </c>
    </row>
    <row r="709" customFormat="false" ht="15" hidden="false" customHeight="false" outlineLevel="0" collapsed="false">
      <c r="A709" s="17" t="n">
        <v>705</v>
      </c>
      <c r="B709" s="12" t="s">
        <v>2825</v>
      </c>
      <c r="C709" s="12" t="s">
        <v>2826</v>
      </c>
      <c r="D709" s="16" t="n">
        <v>0.00734513888888889</v>
      </c>
      <c r="E709" s="15" t="n">
        <f aca="false">ROUND((D709-$D$5)*86400,2)</f>
        <v>95.6</v>
      </c>
      <c r="F709" s="17" t="n">
        <v>1810</v>
      </c>
      <c r="G709" s="16" t="str">
        <f aca="false">IF(INDEX(選手一覧!$D$7:$D$2738,$F709)="","",INDEX(選手一覧!$D$7:$D$2738,$F709))</f>
        <v/>
      </c>
      <c r="H709" s="17" t="str">
        <f aca="false">IF(INDEX(選手一覧!$E$7:$E$2738,$F709)="","",INDEX(選手一覧!$E$7:$E$2738,$F709))</f>
        <v/>
      </c>
      <c r="I709" s="16" t="str">
        <f aca="false">IF(INDEX(選手一覧!$J$7:$J$2738,$F709)="","",INDEX(選手一覧!$J$7:$J$2738,$F709))</f>
        <v/>
      </c>
      <c r="J709" s="17" t="str">
        <f aca="false">IF(INDEX(選手一覧!$K$7:$K$2738,$F709)="","",INDEX(選手一覧!$K$7:$K$2738,$F709))</f>
        <v/>
      </c>
    </row>
    <row r="710" customFormat="false" ht="15" hidden="false" customHeight="false" outlineLevel="0" collapsed="false">
      <c r="A710" s="17" t="n">
        <v>706</v>
      </c>
      <c r="B710" s="12" t="s">
        <v>1921</v>
      </c>
      <c r="C710" s="12" t="s">
        <v>1764</v>
      </c>
      <c r="D710" s="16" t="n">
        <v>0.00734594907407408</v>
      </c>
      <c r="E710" s="15" t="n">
        <f aca="false">ROUND((D710-$D$5)*86400,2)</f>
        <v>95.67</v>
      </c>
      <c r="F710" s="17" t="n">
        <v>1199</v>
      </c>
      <c r="G710" s="16" t="n">
        <f aca="false">IF(INDEX(選手一覧!$D$7:$D$2738,$F710)="","",INDEX(選手一覧!$D$7:$D$2738,$F710))</f>
        <v>0.0110517361111111</v>
      </c>
      <c r="H710" s="17" t="n">
        <f aca="false">IF(INDEX(選手一覧!$E$7:$E$2738,$F710)="","",INDEX(選手一覧!$E$7:$E$2738,$F710))</f>
        <v>1200</v>
      </c>
      <c r="I710" s="16" t="n">
        <f aca="false">IF(INDEX(選手一覧!$J$7:$J$2738,$F710)="","",INDEX(選手一覧!$J$7:$J$2738,$F710))</f>
        <v>0.00288194444444444</v>
      </c>
      <c r="J710" s="17" t="n">
        <f aca="false">IF(INDEX(選手一覧!$K$7:$K$2738,$F710)="","",INDEX(選手一覧!$K$7:$K$2738,$F710))</f>
        <v>790</v>
      </c>
    </row>
    <row r="711" customFormat="false" ht="15" hidden="false" customHeight="false" outlineLevel="0" collapsed="false">
      <c r="A711" s="17" t="n">
        <v>707</v>
      </c>
      <c r="B711" s="12" t="s">
        <v>2828</v>
      </c>
      <c r="C711" s="12" t="s">
        <v>917</v>
      </c>
      <c r="D711" s="16" t="n">
        <v>0.00734606481481482</v>
      </c>
      <c r="E711" s="15" t="n">
        <f aca="false">ROUND((D711-$D$5)*86400,2)</f>
        <v>95.68</v>
      </c>
      <c r="F711" s="17" t="n">
        <v>1812</v>
      </c>
      <c r="G711" s="16" t="str">
        <f aca="false">IF(INDEX(選手一覧!$D$7:$D$2738,$F711)="","",INDEX(選手一覧!$D$7:$D$2738,$F711))</f>
        <v/>
      </c>
      <c r="H711" s="17" t="str">
        <f aca="false">IF(INDEX(選手一覧!$E$7:$E$2738,$F711)="","",INDEX(選手一覧!$E$7:$E$2738,$F711))</f>
        <v/>
      </c>
      <c r="I711" s="16" t="str">
        <f aca="false">IF(INDEX(選手一覧!$J$7:$J$2738,$F711)="","",INDEX(選手一覧!$J$7:$J$2738,$F711))</f>
        <v/>
      </c>
      <c r="J711" s="17" t="str">
        <f aca="false">IF(INDEX(選手一覧!$K$7:$K$2738,$F711)="","",INDEX(選手一覧!$K$7:$K$2738,$F711))</f>
        <v/>
      </c>
    </row>
    <row r="712" customFormat="false" ht="15" hidden="false" customHeight="false" outlineLevel="0" collapsed="false">
      <c r="A712" s="17" t="n">
        <v>708</v>
      </c>
      <c r="B712" s="12" t="s">
        <v>2830</v>
      </c>
      <c r="C712" s="12" t="s">
        <v>2381</v>
      </c>
      <c r="D712" s="16" t="n">
        <v>0.00734837962962963</v>
      </c>
      <c r="E712" s="15" t="n">
        <f aca="false">ROUND((D712-$D$5)*86400,2)</f>
        <v>95.88</v>
      </c>
      <c r="F712" s="17" t="n">
        <v>1814</v>
      </c>
      <c r="G712" s="16" t="str">
        <f aca="false">IF(INDEX(選手一覧!$D$7:$D$2738,$F712)="","",INDEX(選手一覧!$D$7:$D$2738,$F712))</f>
        <v/>
      </c>
      <c r="H712" s="17" t="str">
        <f aca="false">IF(INDEX(選手一覧!$E$7:$E$2738,$F712)="","",INDEX(選手一覧!$E$7:$E$2738,$F712))</f>
        <v/>
      </c>
      <c r="I712" s="16" t="str">
        <f aca="false">IF(INDEX(選手一覧!$J$7:$J$2738,$F712)="","",INDEX(選手一覧!$J$7:$J$2738,$F712))</f>
        <v/>
      </c>
      <c r="J712" s="17" t="str">
        <f aca="false">IF(INDEX(選手一覧!$K$7:$K$2738,$F712)="","",INDEX(選手一覧!$K$7:$K$2738,$F712))</f>
        <v/>
      </c>
    </row>
    <row r="713" customFormat="false" ht="15" hidden="false" customHeight="false" outlineLevel="0" collapsed="false">
      <c r="A713" s="17" t="n">
        <v>709</v>
      </c>
      <c r="B713" s="12" t="s">
        <v>2832</v>
      </c>
      <c r="C713" s="12" t="s">
        <v>1491</v>
      </c>
      <c r="D713" s="16" t="n">
        <v>0.00734884259259259</v>
      </c>
      <c r="E713" s="15" t="n">
        <f aca="false">ROUND((D713-$D$5)*86400,2)</f>
        <v>95.92</v>
      </c>
      <c r="F713" s="17" t="n">
        <v>1816</v>
      </c>
      <c r="G713" s="16" t="str">
        <f aca="false">IF(INDEX(選手一覧!$D$7:$D$2738,$F713)="","",INDEX(選手一覧!$D$7:$D$2738,$F713))</f>
        <v/>
      </c>
      <c r="H713" s="17" t="str">
        <f aca="false">IF(INDEX(選手一覧!$E$7:$E$2738,$F713)="","",INDEX(選手一覧!$E$7:$E$2738,$F713))</f>
        <v/>
      </c>
      <c r="I713" s="16" t="str">
        <f aca="false">IF(INDEX(選手一覧!$J$7:$J$2738,$F713)="","",INDEX(選手一覧!$J$7:$J$2738,$F713))</f>
        <v/>
      </c>
      <c r="J713" s="17" t="str">
        <f aca="false">IF(INDEX(選手一覧!$K$7:$K$2738,$F713)="","",INDEX(選手一覧!$K$7:$K$2738,$F713))</f>
        <v/>
      </c>
    </row>
    <row r="714" customFormat="false" ht="15" hidden="false" customHeight="false" outlineLevel="0" collapsed="false">
      <c r="A714" s="17" t="n">
        <v>710</v>
      </c>
      <c r="B714" s="12" t="s">
        <v>2833</v>
      </c>
      <c r="C714" s="12" t="s">
        <v>2834</v>
      </c>
      <c r="D714" s="16" t="n">
        <v>0.00734918981481482</v>
      </c>
      <c r="E714" s="15" t="n">
        <f aca="false">ROUND((D714-$D$5)*86400,2)</f>
        <v>95.95</v>
      </c>
      <c r="F714" s="17" t="n">
        <v>1817</v>
      </c>
      <c r="G714" s="16" t="str">
        <f aca="false">IF(INDEX(選手一覧!$D$7:$D$2738,$F714)="","",INDEX(選手一覧!$D$7:$D$2738,$F714))</f>
        <v/>
      </c>
      <c r="H714" s="17" t="str">
        <f aca="false">IF(INDEX(選手一覧!$E$7:$E$2738,$F714)="","",INDEX(選手一覧!$E$7:$E$2738,$F714))</f>
        <v/>
      </c>
      <c r="I714" s="16" t="str">
        <f aca="false">IF(INDEX(選手一覧!$J$7:$J$2738,$F714)="","",INDEX(選手一覧!$J$7:$J$2738,$F714))</f>
        <v/>
      </c>
      <c r="J714" s="17" t="str">
        <f aca="false">IF(INDEX(選手一覧!$K$7:$K$2738,$F714)="","",INDEX(選手一覧!$K$7:$K$2738,$F714))</f>
        <v/>
      </c>
    </row>
    <row r="715" customFormat="false" ht="15" hidden="false" customHeight="false" outlineLevel="0" collapsed="false">
      <c r="A715" s="17" t="n">
        <v>711</v>
      </c>
      <c r="B715" s="12" t="s">
        <v>2837</v>
      </c>
      <c r="C715" s="12" t="s">
        <v>2838</v>
      </c>
      <c r="D715" s="16" t="n">
        <v>0.00735208333333333</v>
      </c>
      <c r="E715" s="15" t="n">
        <f aca="false">ROUND((D715-$D$5)*86400,2)</f>
        <v>96.2</v>
      </c>
      <c r="F715" s="17" t="n">
        <v>1819</v>
      </c>
      <c r="G715" s="16" t="str">
        <f aca="false">IF(INDEX(選手一覧!$D$7:$D$2738,$F715)="","",INDEX(選手一覧!$D$7:$D$2738,$F715))</f>
        <v/>
      </c>
      <c r="H715" s="17" t="str">
        <f aca="false">IF(INDEX(選手一覧!$E$7:$E$2738,$F715)="","",INDEX(選手一覧!$E$7:$E$2738,$F715))</f>
        <v/>
      </c>
      <c r="I715" s="16" t="str">
        <f aca="false">IF(INDEX(選手一覧!$J$7:$J$2738,$F715)="","",INDEX(選手一覧!$J$7:$J$2738,$F715))</f>
        <v/>
      </c>
      <c r="J715" s="17" t="str">
        <f aca="false">IF(INDEX(選手一覧!$K$7:$K$2738,$F715)="","",INDEX(選手一覧!$K$7:$K$2738,$F715))</f>
        <v/>
      </c>
    </row>
    <row r="716" customFormat="false" ht="15" hidden="false" customHeight="false" outlineLevel="0" collapsed="false">
      <c r="A716" s="17" t="n">
        <v>712</v>
      </c>
      <c r="B716" s="12" t="s">
        <v>1864</v>
      </c>
      <c r="C716" s="12" t="s">
        <v>1220</v>
      </c>
      <c r="D716" s="16" t="n">
        <v>0.00735243055555556</v>
      </c>
      <c r="E716" s="15" t="n">
        <f aca="false">ROUND((D716-$D$5)*86400,2)</f>
        <v>96.23</v>
      </c>
      <c r="F716" s="17" t="n">
        <v>1820</v>
      </c>
      <c r="G716" s="16" t="str">
        <f aca="false">IF(INDEX(選手一覧!$D$7:$D$2738,$F716)="","",INDEX(選手一覧!$D$7:$D$2738,$F716))</f>
        <v/>
      </c>
      <c r="H716" s="17" t="str">
        <f aca="false">IF(INDEX(選手一覧!$E$7:$E$2738,$F716)="","",INDEX(選手一覧!$E$7:$E$2738,$F716))</f>
        <v/>
      </c>
      <c r="I716" s="16" t="str">
        <f aca="false">IF(INDEX(選手一覧!$J$7:$J$2738,$F716)="","",INDEX(選手一覧!$J$7:$J$2738,$F716))</f>
        <v/>
      </c>
      <c r="J716" s="17" t="str">
        <f aca="false">IF(INDEX(選手一覧!$K$7:$K$2738,$F716)="","",INDEX(選手一覧!$K$7:$K$2738,$F716))</f>
        <v/>
      </c>
    </row>
    <row r="717" customFormat="false" ht="15" hidden="false" customHeight="false" outlineLevel="0" collapsed="false">
      <c r="A717" s="17" t="n">
        <v>713</v>
      </c>
      <c r="B717" s="12" t="s">
        <v>2840</v>
      </c>
      <c r="C717" s="12" t="s">
        <v>1803</v>
      </c>
      <c r="D717" s="16" t="n">
        <v>0.00735289351851852</v>
      </c>
      <c r="E717" s="15" t="n">
        <f aca="false">ROUND((D717-$D$5)*86400,2)</f>
        <v>96.27</v>
      </c>
      <c r="F717" s="17" t="n">
        <v>1821</v>
      </c>
      <c r="G717" s="16" t="str">
        <f aca="false">IF(INDEX(選手一覧!$D$7:$D$2738,$F717)="","",INDEX(選手一覧!$D$7:$D$2738,$F717))</f>
        <v/>
      </c>
      <c r="H717" s="17" t="str">
        <f aca="false">IF(INDEX(選手一覧!$E$7:$E$2738,$F717)="","",INDEX(選手一覧!$E$7:$E$2738,$F717))</f>
        <v/>
      </c>
      <c r="I717" s="16" t="n">
        <f aca="false">IF(INDEX(選手一覧!$J$7:$J$2738,$F717)="","",INDEX(選手一覧!$J$7:$J$2738,$F717))</f>
        <v>0.00287974537037037</v>
      </c>
      <c r="J717" s="17" t="n">
        <f aca="false">IF(INDEX(選手一覧!$K$7:$K$2738,$F717)="","",INDEX(選手一覧!$K$7:$K$2738,$F717))</f>
        <v>768</v>
      </c>
    </row>
    <row r="718" customFormat="false" ht="15" hidden="false" customHeight="false" outlineLevel="0" collapsed="false">
      <c r="A718" s="17" t="n">
        <v>714</v>
      </c>
      <c r="B718" s="12" t="s">
        <v>1430</v>
      </c>
      <c r="C718" s="12" t="s">
        <v>1431</v>
      </c>
      <c r="D718" s="16" t="n">
        <v>0.00735300925925926</v>
      </c>
      <c r="E718" s="15" t="n">
        <f aca="false">ROUND((D718-$D$5)*86400,2)</f>
        <v>96.28</v>
      </c>
      <c r="F718" s="17" t="n">
        <v>866</v>
      </c>
      <c r="G718" s="16" t="n">
        <f aca="false">IF(INDEX(選手一覧!$D$7:$D$2738,$F718)="","",INDEX(選手一覧!$D$7:$D$2738,$F718))</f>
        <v>0.0108677083333333</v>
      </c>
      <c r="H718" s="17" t="n">
        <f aca="false">IF(INDEX(選手一覧!$E$7:$E$2738,$F718)="","",INDEX(選手一覧!$E$7:$E$2738,$F718))</f>
        <v>867</v>
      </c>
      <c r="I718" s="16" t="n">
        <f aca="false">IF(INDEX(選手一覧!$J$7:$J$2738,$F718)="","",INDEX(選手一覧!$J$7:$J$2738,$F718))</f>
        <v>0.00290034722222222</v>
      </c>
      <c r="J718" s="17" t="n">
        <f aca="false">IF(INDEX(選手一覧!$K$7:$K$2738,$F718)="","",INDEX(選手一覧!$K$7:$K$2738,$F718))</f>
        <v>950</v>
      </c>
    </row>
    <row r="719" customFormat="false" ht="15" hidden="false" customHeight="false" outlineLevel="0" collapsed="false">
      <c r="A719" s="17" t="n">
        <v>715</v>
      </c>
      <c r="B719" s="12" t="s">
        <v>1606</v>
      </c>
      <c r="C719" s="12" t="s">
        <v>204</v>
      </c>
      <c r="D719" s="16" t="n">
        <v>0.00735509259259259</v>
      </c>
      <c r="E719" s="15" t="n">
        <f aca="false">ROUND((D719-$D$5)*86400,2)</f>
        <v>96.46</v>
      </c>
      <c r="F719" s="17" t="n">
        <v>983</v>
      </c>
      <c r="G719" s="16" t="n">
        <f aca="false">IF(INDEX(選手一覧!$D$7:$D$2738,$F719)="","",INDEX(選手一覧!$D$7:$D$2738,$F719))</f>
        <v>0.0109420138888889</v>
      </c>
      <c r="H719" s="17" t="n">
        <f aca="false">IF(INDEX(選手一覧!$E$7:$E$2738,$F719)="","",INDEX(選手一覧!$E$7:$E$2738,$F719))</f>
        <v>984</v>
      </c>
      <c r="I719" s="16" t="str">
        <f aca="false">IF(INDEX(選手一覧!$J$7:$J$2738,$F719)="","",INDEX(選手一覧!$J$7:$J$2738,$F719))</f>
        <v/>
      </c>
      <c r="J719" s="17" t="str">
        <f aca="false">IF(INDEX(選手一覧!$K$7:$K$2738,$F719)="","",INDEX(選手一覧!$K$7:$K$2738,$F719))</f>
        <v/>
      </c>
    </row>
    <row r="720" customFormat="false" ht="15" hidden="false" customHeight="false" outlineLevel="0" collapsed="false">
      <c r="A720" s="17" t="n">
        <v>716</v>
      </c>
      <c r="B720" s="12" t="s">
        <v>2006</v>
      </c>
      <c r="C720" s="12" t="s">
        <v>515</v>
      </c>
      <c r="D720" s="16" t="n">
        <v>0.0073556712962963</v>
      </c>
      <c r="E720" s="15" t="n">
        <f aca="false">ROUND((D720-$D$5)*86400,2)</f>
        <v>96.51</v>
      </c>
      <c r="F720" s="17" t="n">
        <v>1261</v>
      </c>
      <c r="G720" s="16" t="n">
        <f aca="false">IF(INDEX(選手一覧!$D$7:$D$2738,$F720)="","",INDEX(選手一覧!$D$7:$D$2738,$F720))</f>
        <v>0.0110917824074074</v>
      </c>
      <c r="H720" s="17" t="n">
        <f aca="false">IF(INDEX(選手一覧!$E$7:$E$2738,$F720)="","",INDEX(選手一覧!$E$7:$E$2738,$F720))</f>
        <v>1262</v>
      </c>
      <c r="I720" s="16" t="str">
        <f aca="false">IF(INDEX(選手一覧!$J$7:$J$2738,$F720)="","",INDEX(選手一覧!$J$7:$J$2738,$F720))</f>
        <v/>
      </c>
      <c r="J720" s="17" t="str">
        <f aca="false">IF(INDEX(選手一覧!$K$7:$K$2738,$F720)="","",INDEX(選手一覧!$K$7:$K$2738,$F720))</f>
        <v/>
      </c>
    </row>
    <row r="721" customFormat="false" ht="15" hidden="false" customHeight="false" outlineLevel="0" collapsed="false">
      <c r="A721" s="17" t="n">
        <v>717</v>
      </c>
      <c r="B721" s="12" t="s">
        <v>2843</v>
      </c>
      <c r="C721" s="12" t="s">
        <v>2844</v>
      </c>
      <c r="D721" s="16" t="n">
        <v>0.00735601851851852</v>
      </c>
      <c r="E721" s="15" t="n">
        <f aca="false">ROUND((D721-$D$5)*86400,2)</f>
        <v>96.54</v>
      </c>
      <c r="F721" s="17" t="n">
        <v>1823</v>
      </c>
      <c r="G721" s="16" t="str">
        <f aca="false">IF(INDEX(選手一覧!$D$7:$D$2738,$F721)="","",INDEX(選手一覧!$D$7:$D$2738,$F721))</f>
        <v/>
      </c>
      <c r="H721" s="17" t="str">
        <f aca="false">IF(INDEX(選手一覧!$E$7:$E$2738,$F721)="","",INDEX(選手一覧!$E$7:$E$2738,$F721))</f>
        <v/>
      </c>
      <c r="I721" s="16" t="str">
        <f aca="false">IF(INDEX(選手一覧!$J$7:$J$2738,$F721)="","",INDEX(選手一覧!$J$7:$J$2738,$F721))</f>
        <v/>
      </c>
      <c r="J721" s="17" t="str">
        <f aca="false">IF(INDEX(選手一覧!$K$7:$K$2738,$F721)="","",INDEX(選手一覧!$K$7:$K$2738,$F721))</f>
        <v/>
      </c>
    </row>
    <row r="722" customFormat="false" ht="15" hidden="false" customHeight="false" outlineLevel="0" collapsed="false">
      <c r="A722" s="17" t="n">
        <v>718</v>
      </c>
      <c r="B722" s="12" t="s">
        <v>2845</v>
      </c>
      <c r="C722" s="12" t="s">
        <v>2434</v>
      </c>
      <c r="D722" s="16" t="n">
        <v>0.00736041666666667</v>
      </c>
      <c r="E722" s="15" t="n">
        <f aca="false">ROUND((D722-$D$5)*86400,2)</f>
        <v>96.92</v>
      </c>
      <c r="F722" s="17" t="n">
        <v>1824</v>
      </c>
      <c r="G722" s="16" t="str">
        <f aca="false">IF(INDEX(選手一覧!$D$7:$D$2738,$F722)="","",INDEX(選手一覧!$D$7:$D$2738,$F722))</f>
        <v/>
      </c>
      <c r="H722" s="17" t="str">
        <f aca="false">IF(INDEX(選手一覧!$E$7:$E$2738,$F722)="","",INDEX(選手一覧!$E$7:$E$2738,$F722))</f>
        <v/>
      </c>
      <c r="I722" s="16" t="str">
        <f aca="false">IF(INDEX(選手一覧!$J$7:$J$2738,$F722)="","",INDEX(選手一覧!$J$7:$J$2738,$F722))</f>
        <v/>
      </c>
      <c r="J722" s="17" t="str">
        <f aca="false">IF(INDEX(選手一覧!$K$7:$K$2738,$F722)="","",INDEX(選手一覧!$K$7:$K$2738,$F722))</f>
        <v/>
      </c>
    </row>
    <row r="723" customFormat="false" ht="15" hidden="false" customHeight="false" outlineLevel="0" collapsed="false">
      <c r="A723" s="17" t="n">
        <v>719</v>
      </c>
      <c r="B723" s="12" t="s">
        <v>2846</v>
      </c>
      <c r="C723" s="12" t="s">
        <v>2847</v>
      </c>
      <c r="D723" s="16" t="n">
        <v>0.00736041666666667</v>
      </c>
      <c r="E723" s="15" t="n">
        <f aca="false">ROUND((D723-$D$5)*86400,2)</f>
        <v>96.92</v>
      </c>
      <c r="F723" s="17" t="n">
        <v>1825</v>
      </c>
      <c r="G723" s="16" t="str">
        <f aca="false">IF(INDEX(選手一覧!$D$7:$D$2738,$F723)="","",INDEX(選手一覧!$D$7:$D$2738,$F723))</f>
        <v/>
      </c>
      <c r="H723" s="17" t="str">
        <f aca="false">IF(INDEX(選手一覧!$E$7:$E$2738,$F723)="","",INDEX(選手一覧!$E$7:$E$2738,$F723))</f>
        <v/>
      </c>
      <c r="I723" s="16" t="str">
        <f aca="false">IF(INDEX(選手一覧!$J$7:$J$2738,$F723)="","",INDEX(選手一覧!$J$7:$J$2738,$F723))</f>
        <v/>
      </c>
      <c r="J723" s="17" t="str">
        <f aca="false">IF(INDEX(選手一覧!$K$7:$K$2738,$F723)="","",INDEX(選手一覧!$K$7:$K$2738,$F723))</f>
        <v/>
      </c>
    </row>
    <row r="724" customFormat="false" ht="15" hidden="false" customHeight="false" outlineLevel="0" collapsed="false">
      <c r="A724" s="17" t="n">
        <v>720</v>
      </c>
      <c r="B724" s="12" t="s">
        <v>2848</v>
      </c>
      <c r="C724" s="12" t="s">
        <v>415</v>
      </c>
      <c r="D724" s="16" t="n">
        <v>0.00736053240740741</v>
      </c>
      <c r="E724" s="15" t="n">
        <f aca="false">ROUND((D724-$D$5)*86400,2)</f>
        <v>96.93</v>
      </c>
      <c r="F724" s="17" t="n">
        <v>1826</v>
      </c>
      <c r="G724" s="16" t="str">
        <f aca="false">IF(INDEX(選手一覧!$D$7:$D$2738,$F724)="","",INDEX(選手一覧!$D$7:$D$2738,$F724))</f>
        <v/>
      </c>
      <c r="H724" s="17" t="str">
        <f aca="false">IF(INDEX(選手一覧!$E$7:$E$2738,$F724)="","",INDEX(選手一覧!$E$7:$E$2738,$F724))</f>
        <v/>
      </c>
      <c r="I724" s="16" t="str">
        <f aca="false">IF(INDEX(選手一覧!$J$7:$J$2738,$F724)="","",INDEX(選手一覧!$J$7:$J$2738,$F724))</f>
        <v/>
      </c>
      <c r="J724" s="17" t="str">
        <f aca="false">IF(INDEX(選手一覧!$K$7:$K$2738,$F724)="","",INDEX(選手一覧!$K$7:$K$2738,$F724))</f>
        <v/>
      </c>
    </row>
    <row r="725" customFormat="false" ht="15" hidden="false" customHeight="false" outlineLevel="0" collapsed="false">
      <c r="A725" s="17" t="n">
        <v>721</v>
      </c>
      <c r="B725" s="12" t="s">
        <v>2849</v>
      </c>
      <c r="C725" s="12" t="s">
        <v>1399</v>
      </c>
      <c r="D725" s="16" t="n">
        <v>0.00736087962962963</v>
      </c>
      <c r="E725" s="15" t="n">
        <f aca="false">ROUND((D725-$D$5)*86400,2)</f>
        <v>96.96</v>
      </c>
      <c r="F725" s="17" t="n">
        <v>1827</v>
      </c>
      <c r="G725" s="16" t="str">
        <f aca="false">IF(INDEX(選手一覧!$D$7:$D$2738,$F725)="","",INDEX(選手一覧!$D$7:$D$2738,$F725))</f>
        <v/>
      </c>
      <c r="H725" s="17" t="str">
        <f aca="false">IF(INDEX(選手一覧!$E$7:$E$2738,$F725)="","",INDEX(選手一覧!$E$7:$E$2738,$F725))</f>
        <v/>
      </c>
      <c r="I725" s="16" t="str">
        <f aca="false">IF(INDEX(選手一覧!$J$7:$J$2738,$F725)="","",INDEX(選手一覧!$J$7:$J$2738,$F725))</f>
        <v/>
      </c>
      <c r="J725" s="17" t="str">
        <f aca="false">IF(INDEX(選手一覧!$K$7:$K$2738,$F725)="","",INDEX(選手一覧!$K$7:$K$2738,$F725))</f>
        <v/>
      </c>
    </row>
    <row r="726" customFormat="false" ht="15" hidden="false" customHeight="false" outlineLevel="0" collapsed="false">
      <c r="A726" s="17" t="n">
        <v>722</v>
      </c>
      <c r="B726" s="12" t="s">
        <v>2851</v>
      </c>
      <c r="C726" s="12" t="s">
        <v>2852</v>
      </c>
      <c r="D726" s="16" t="n">
        <v>0.00736157407407407</v>
      </c>
      <c r="E726" s="15" t="n">
        <f aca="false">ROUND((D726-$D$5)*86400,2)</f>
        <v>97.02</v>
      </c>
      <c r="F726" s="17" t="n">
        <v>1828</v>
      </c>
      <c r="G726" s="16" t="str">
        <f aca="false">IF(INDEX(選手一覧!$D$7:$D$2738,$F726)="","",INDEX(選手一覧!$D$7:$D$2738,$F726))</f>
        <v/>
      </c>
      <c r="H726" s="17" t="str">
        <f aca="false">IF(INDEX(選手一覧!$E$7:$E$2738,$F726)="","",INDEX(選手一覧!$E$7:$E$2738,$F726))</f>
        <v/>
      </c>
      <c r="I726" s="16" t="str">
        <f aca="false">IF(INDEX(選手一覧!$J$7:$J$2738,$F726)="","",INDEX(選手一覧!$J$7:$J$2738,$F726))</f>
        <v/>
      </c>
      <c r="J726" s="17" t="str">
        <f aca="false">IF(INDEX(選手一覧!$K$7:$K$2738,$F726)="","",INDEX(選手一覧!$K$7:$K$2738,$F726))</f>
        <v/>
      </c>
    </row>
    <row r="727" customFormat="false" ht="15" hidden="false" customHeight="false" outlineLevel="0" collapsed="false">
      <c r="A727" s="17" t="n">
        <v>723</v>
      </c>
      <c r="B727" s="12" t="s">
        <v>2855</v>
      </c>
      <c r="C727" s="12" t="s">
        <v>1586</v>
      </c>
      <c r="D727" s="16" t="n">
        <v>0.00736273148148148</v>
      </c>
      <c r="E727" s="15" t="n">
        <f aca="false">ROUND((D727-$D$5)*86400,2)</f>
        <v>97.12</v>
      </c>
      <c r="F727" s="17" t="n">
        <v>1830</v>
      </c>
      <c r="G727" s="16" t="str">
        <f aca="false">IF(INDEX(選手一覧!$D$7:$D$2738,$F727)="","",INDEX(選手一覧!$D$7:$D$2738,$F727))</f>
        <v/>
      </c>
      <c r="H727" s="17" t="str">
        <f aca="false">IF(INDEX(選手一覧!$E$7:$E$2738,$F727)="","",INDEX(選手一覧!$E$7:$E$2738,$F727))</f>
        <v/>
      </c>
      <c r="I727" s="16" t="str">
        <f aca="false">IF(INDEX(選手一覧!$J$7:$J$2738,$F727)="","",INDEX(選手一覧!$J$7:$J$2738,$F727))</f>
        <v/>
      </c>
      <c r="J727" s="17" t="str">
        <f aca="false">IF(INDEX(選手一覧!$K$7:$K$2738,$F727)="","",INDEX(選手一覧!$K$7:$K$2738,$F727))</f>
        <v/>
      </c>
    </row>
    <row r="728" customFormat="false" ht="15" hidden="false" customHeight="false" outlineLevel="0" collapsed="false">
      <c r="A728" s="17" t="n">
        <v>724</v>
      </c>
      <c r="B728" s="12" t="s">
        <v>2857</v>
      </c>
      <c r="C728" s="12" t="s">
        <v>2858</v>
      </c>
      <c r="D728" s="16" t="n">
        <v>0.00736273148148148</v>
      </c>
      <c r="E728" s="15" t="n">
        <f aca="false">ROUND((D728-$D$5)*86400,2)</f>
        <v>97.12</v>
      </c>
      <c r="F728" s="17" t="n">
        <v>1832</v>
      </c>
      <c r="G728" s="16" t="str">
        <f aca="false">IF(INDEX(選手一覧!$D$7:$D$2738,$F728)="","",INDEX(選手一覧!$D$7:$D$2738,$F728))</f>
        <v/>
      </c>
      <c r="H728" s="17" t="str">
        <f aca="false">IF(INDEX(選手一覧!$E$7:$E$2738,$F728)="","",INDEX(選手一覧!$E$7:$E$2738,$F728))</f>
        <v/>
      </c>
      <c r="I728" s="16" t="str">
        <f aca="false">IF(INDEX(選手一覧!$J$7:$J$2738,$F728)="","",INDEX(選手一覧!$J$7:$J$2738,$F728))</f>
        <v/>
      </c>
      <c r="J728" s="17" t="str">
        <f aca="false">IF(INDEX(選手一覧!$K$7:$K$2738,$F728)="","",INDEX(選手一覧!$K$7:$K$2738,$F728))</f>
        <v/>
      </c>
    </row>
    <row r="729" customFormat="false" ht="15" hidden="false" customHeight="false" outlineLevel="0" collapsed="false">
      <c r="A729" s="17" t="n">
        <v>725</v>
      </c>
      <c r="B729" s="12" t="s">
        <v>958</v>
      </c>
      <c r="C729" s="12" t="s">
        <v>63</v>
      </c>
      <c r="D729" s="16" t="n">
        <v>0.00736342592592593</v>
      </c>
      <c r="E729" s="15" t="n">
        <f aca="false">ROUND((D729-$D$5)*86400,2)</f>
        <v>97.18</v>
      </c>
      <c r="F729" s="17" t="n">
        <v>548</v>
      </c>
      <c r="G729" s="16" t="n">
        <f aca="false">IF(INDEX(選手一覧!$D$7:$D$2738,$F729)="","",INDEX(選手一覧!$D$7:$D$2738,$F729))</f>
        <v>0.0106704861111111</v>
      </c>
      <c r="H729" s="17" t="n">
        <f aca="false">IF(INDEX(選手一覧!$E$7:$E$2738,$F729)="","",INDEX(選手一覧!$E$7:$E$2738,$F729))</f>
        <v>549</v>
      </c>
      <c r="I729" s="16" t="n">
        <f aca="false">IF(INDEX(選手一覧!$J$7:$J$2738,$F729)="","",INDEX(選手一覧!$J$7:$J$2738,$F729))</f>
        <v>0.00291284722222222</v>
      </c>
      <c r="J729" s="17" t="n">
        <f aca="false">IF(INDEX(選手一覧!$K$7:$K$2738,$F729)="","",INDEX(選手一覧!$K$7:$K$2738,$F729))</f>
        <v>1042</v>
      </c>
    </row>
    <row r="730" customFormat="false" ht="15" hidden="false" customHeight="false" outlineLevel="0" collapsed="false">
      <c r="A730" s="17" t="n">
        <v>726</v>
      </c>
      <c r="B730" s="12" t="s">
        <v>2861</v>
      </c>
      <c r="C730" s="12" t="s">
        <v>1855</v>
      </c>
      <c r="D730" s="16" t="n">
        <v>0.00736400462962963</v>
      </c>
      <c r="E730" s="15" t="n">
        <f aca="false">ROUND((D730-$D$5)*86400,2)</f>
        <v>97.23</v>
      </c>
      <c r="F730" s="17" t="n">
        <v>1834</v>
      </c>
      <c r="G730" s="16" t="str">
        <f aca="false">IF(INDEX(選手一覧!$D$7:$D$2738,$F730)="","",INDEX(選手一覧!$D$7:$D$2738,$F730))</f>
        <v/>
      </c>
      <c r="H730" s="17" t="str">
        <f aca="false">IF(INDEX(選手一覧!$E$7:$E$2738,$F730)="","",INDEX(選手一覧!$E$7:$E$2738,$F730))</f>
        <v/>
      </c>
      <c r="I730" s="16" t="str">
        <f aca="false">IF(INDEX(選手一覧!$J$7:$J$2738,$F730)="","",INDEX(選手一覧!$J$7:$J$2738,$F730))</f>
        <v/>
      </c>
      <c r="J730" s="17" t="str">
        <f aca="false">IF(INDEX(選手一覧!$K$7:$K$2738,$F730)="","",INDEX(選手一覧!$K$7:$K$2738,$F730))</f>
        <v/>
      </c>
    </row>
    <row r="731" customFormat="false" ht="15" hidden="false" customHeight="false" outlineLevel="0" collapsed="false">
      <c r="A731" s="17" t="n">
        <v>727</v>
      </c>
      <c r="B731" s="12" t="s">
        <v>2863</v>
      </c>
      <c r="C731" s="12" t="s">
        <v>1069</v>
      </c>
      <c r="D731" s="16" t="n">
        <v>0.00736446759259259</v>
      </c>
      <c r="E731" s="15" t="n">
        <f aca="false">ROUND((D731-$D$5)*86400,2)</f>
        <v>97.27</v>
      </c>
      <c r="F731" s="17" t="n">
        <v>1836</v>
      </c>
      <c r="G731" s="16" t="str">
        <f aca="false">IF(INDEX(選手一覧!$D$7:$D$2738,$F731)="","",INDEX(選手一覧!$D$7:$D$2738,$F731))</f>
        <v/>
      </c>
      <c r="H731" s="17" t="str">
        <f aca="false">IF(INDEX(選手一覧!$E$7:$E$2738,$F731)="","",INDEX(選手一覧!$E$7:$E$2738,$F731))</f>
        <v/>
      </c>
      <c r="I731" s="16" t="n">
        <f aca="false">IF(INDEX(選手一覧!$J$7:$J$2738,$F731)="","",INDEX(選手一覧!$J$7:$J$2738,$F731))</f>
        <v>0.00290729166666667</v>
      </c>
      <c r="J731" s="17" t="n">
        <f aca="false">IF(INDEX(選手一覧!$K$7:$K$2738,$F731)="","",INDEX(選手一覧!$K$7:$K$2738,$F731))</f>
        <v>995</v>
      </c>
    </row>
    <row r="732" customFormat="false" ht="15" hidden="false" customHeight="false" outlineLevel="0" collapsed="false">
      <c r="A732" s="17" t="n">
        <v>728</v>
      </c>
      <c r="B732" s="12" t="s">
        <v>2864</v>
      </c>
      <c r="C732" s="12" t="s">
        <v>2865</v>
      </c>
      <c r="D732" s="16" t="n">
        <v>0.00736469907407407</v>
      </c>
      <c r="E732" s="15" t="n">
        <f aca="false">ROUND((D732-$D$5)*86400,2)</f>
        <v>97.29</v>
      </c>
      <c r="F732" s="17" t="n">
        <v>1837</v>
      </c>
      <c r="G732" s="16" t="str">
        <f aca="false">IF(INDEX(選手一覧!$D$7:$D$2738,$F732)="","",INDEX(選手一覧!$D$7:$D$2738,$F732))</f>
        <v/>
      </c>
      <c r="H732" s="17" t="str">
        <f aca="false">IF(INDEX(選手一覧!$E$7:$E$2738,$F732)="","",INDEX(選手一覧!$E$7:$E$2738,$F732))</f>
        <v/>
      </c>
      <c r="I732" s="16" t="str">
        <f aca="false">IF(INDEX(選手一覧!$J$7:$J$2738,$F732)="","",INDEX(選手一覧!$J$7:$J$2738,$F732))</f>
        <v/>
      </c>
      <c r="J732" s="17" t="str">
        <f aca="false">IF(INDEX(選手一覧!$K$7:$K$2738,$F732)="","",INDEX(選手一覧!$K$7:$K$2738,$F732))</f>
        <v/>
      </c>
    </row>
    <row r="733" customFormat="false" ht="15" hidden="false" customHeight="false" outlineLevel="0" collapsed="false">
      <c r="A733" s="17" t="n">
        <v>729</v>
      </c>
      <c r="B733" s="12" t="s">
        <v>2866</v>
      </c>
      <c r="C733" s="12" t="s">
        <v>2867</v>
      </c>
      <c r="D733" s="16" t="n">
        <v>0.00736527777777778</v>
      </c>
      <c r="E733" s="15" t="n">
        <f aca="false">ROUND((D733-$D$5)*86400,2)</f>
        <v>97.34</v>
      </c>
      <c r="F733" s="17" t="n">
        <v>1838</v>
      </c>
      <c r="G733" s="16" t="str">
        <f aca="false">IF(INDEX(選手一覧!$D$7:$D$2738,$F733)="","",INDEX(選手一覧!$D$7:$D$2738,$F733))</f>
        <v/>
      </c>
      <c r="H733" s="17" t="str">
        <f aca="false">IF(INDEX(選手一覧!$E$7:$E$2738,$F733)="","",INDEX(選手一覧!$E$7:$E$2738,$F733))</f>
        <v/>
      </c>
      <c r="I733" s="16" t="str">
        <f aca="false">IF(INDEX(選手一覧!$J$7:$J$2738,$F733)="","",INDEX(選手一覧!$J$7:$J$2738,$F733))</f>
        <v/>
      </c>
      <c r="J733" s="17" t="str">
        <f aca="false">IF(INDEX(選手一覧!$K$7:$K$2738,$F733)="","",INDEX(選手一覧!$K$7:$K$2738,$F733))</f>
        <v/>
      </c>
    </row>
    <row r="734" customFormat="false" ht="15" hidden="false" customHeight="false" outlineLevel="0" collapsed="false">
      <c r="A734" s="17" t="n">
        <v>730</v>
      </c>
      <c r="B734" s="12" t="s">
        <v>2872</v>
      </c>
      <c r="C734" s="12" t="s">
        <v>2873</v>
      </c>
      <c r="D734" s="16" t="n">
        <v>0.00736747685185185</v>
      </c>
      <c r="E734" s="15" t="n">
        <f aca="false">ROUND((D734-$D$5)*86400,2)</f>
        <v>97.53</v>
      </c>
      <c r="F734" s="17" t="n">
        <v>1841</v>
      </c>
      <c r="G734" s="16" t="str">
        <f aca="false">IF(INDEX(選手一覧!$D$7:$D$2738,$F734)="","",INDEX(選手一覧!$D$7:$D$2738,$F734))</f>
        <v/>
      </c>
      <c r="H734" s="17" t="str">
        <f aca="false">IF(INDEX(選手一覧!$E$7:$E$2738,$F734)="","",INDEX(選手一覧!$E$7:$E$2738,$F734))</f>
        <v/>
      </c>
      <c r="I734" s="16" t="str">
        <f aca="false">IF(INDEX(選手一覧!$J$7:$J$2738,$F734)="","",INDEX(選手一覧!$J$7:$J$2738,$F734))</f>
        <v/>
      </c>
      <c r="J734" s="17" t="str">
        <f aca="false">IF(INDEX(選手一覧!$K$7:$K$2738,$F734)="","",INDEX(選手一覧!$K$7:$K$2738,$F734))</f>
        <v/>
      </c>
    </row>
    <row r="735" customFormat="false" ht="15" hidden="false" customHeight="false" outlineLevel="0" collapsed="false">
      <c r="A735" s="17" t="n">
        <v>731</v>
      </c>
      <c r="B735" s="12" t="s">
        <v>2874</v>
      </c>
      <c r="C735" s="12" t="s">
        <v>2875</v>
      </c>
      <c r="D735" s="16" t="n">
        <v>0.00736921296296296</v>
      </c>
      <c r="E735" s="15" t="n">
        <f aca="false">ROUND((D735-$D$5)*86400,2)</f>
        <v>97.68</v>
      </c>
      <c r="F735" s="17" t="n">
        <v>1842</v>
      </c>
      <c r="G735" s="16" t="str">
        <f aca="false">IF(INDEX(選手一覧!$D$7:$D$2738,$F735)="","",INDEX(選手一覧!$D$7:$D$2738,$F735))</f>
        <v/>
      </c>
      <c r="H735" s="17" t="str">
        <f aca="false">IF(INDEX(選手一覧!$E$7:$E$2738,$F735)="","",INDEX(選手一覧!$E$7:$E$2738,$F735))</f>
        <v/>
      </c>
      <c r="I735" s="16" t="str">
        <f aca="false">IF(INDEX(選手一覧!$J$7:$J$2738,$F735)="","",INDEX(選手一覧!$J$7:$J$2738,$F735))</f>
        <v/>
      </c>
      <c r="J735" s="17" t="str">
        <f aca="false">IF(INDEX(選手一覧!$K$7:$K$2738,$F735)="","",INDEX(選手一覧!$K$7:$K$2738,$F735))</f>
        <v/>
      </c>
    </row>
    <row r="736" customFormat="false" ht="15" hidden="false" customHeight="false" outlineLevel="0" collapsed="false">
      <c r="A736" s="17" t="n">
        <v>732</v>
      </c>
      <c r="B736" s="12" t="s">
        <v>2877</v>
      </c>
      <c r="C736" s="12" t="s">
        <v>2686</v>
      </c>
      <c r="D736" s="16" t="n">
        <v>0.0073693287037037</v>
      </c>
      <c r="E736" s="15" t="n">
        <f aca="false">ROUND((D736-$D$5)*86400,2)</f>
        <v>97.69</v>
      </c>
      <c r="F736" s="17" t="n">
        <v>1844</v>
      </c>
      <c r="G736" s="16" t="str">
        <f aca="false">IF(INDEX(選手一覧!$D$7:$D$2738,$F736)="","",INDEX(選手一覧!$D$7:$D$2738,$F736))</f>
        <v/>
      </c>
      <c r="H736" s="17" t="str">
        <f aca="false">IF(INDEX(選手一覧!$E$7:$E$2738,$F736)="","",INDEX(選手一覧!$E$7:$E$2738,$F736))</f>
        <v/>
      </c>
      <c r="I736" s="16" t="str">
        <f aca="false">IF(INDEX(選手一覧!$J$7:$J$2738,$F736)="","",INDEX(選手一覧!$J$7:$J$2738,$F736))</f>
        <v/>
      </c>
      <c r="J736" s="17" t="str">
        <f aca="false">IF(INDEX(選手一覧!$K$7:$K$2738,$F736)="","",INDEX(選手一覧!$K$7:$K$2738,$F736))</f>
        <v/>
      </c>
    </row>
    <row r="737" customFormat="false" ht="15" hidden="false" customHeight="false" outlineLevel="0" collapsed="false">
      <c r="A737" s="17" t="n">
        <v>733</v>
      </c>
      <c r="B737" s="12" t="s">
        <v>2878</v>
      </c>
      <c r="C737" s="12" t="s">
        <v>982</v>
      </c>
      <c r="D737" s="16" t="n">
        <v>0.00736979166666667</v>
      </c>
      <c r="E737" s="15" t="n">
        <f aca="false">ROUND((D737-$D$5)*86400,2)</f>
        <v>97.73</v>
      </c>
      <c r="F737" s="17" t="n">
        <v>1845</v>
      </c>
      <c r="G737" s="16" t="str">
        <f aca="false">IF(INDEX(選手一覧!$D$7:$D$2738,$F737)="","",INDEX(選手一覧!$D$7:$D$2738,$F737))</f>
        <v/>
      </c>
      <c r="H737" s="17" t="str">
        <f aca="false">IF(INDEX(選手一覧!$E$7:$E$2738,$F737)="","",INDEX(選手一覧!$E$7:$E$2738,$F737))</f>
        <v/>
      </c>
      <c r="I737" s="16" t="str">
        <f aca="false">IF(INDEX(選手一覧!$J$7:$J$2738,$F737)="","",INDEX(選手一覧!$J$7:$J$2738,$F737))</f>
        <v/>
      </c>
      <c r="J737" s="17" t="str">
        <f aca="false">IF(INDEX(選手一覧!$K$7:$K$2738,$F737)="","",INDEX(選手一覧!$K$7:$K$2738,$F737))</f>
        <v/>
      </c>
    </row>
    <row r="738" customFormat="false" ht="15" hidden="false" customHeight="false" outlineLevel="0" collapsed="false">
      <c r="A738" s="17" t="n">
        <v>734</v>
      </c>
      <c r="B738" s="12" t="s">
        <v>2879</v>
      </c>
      <c r="C738" s="12" t="s">
        <v>2414</v>
      </c>
      <c r="D738" s="16" t="n">
        <v>0.00737002314814815</v>
      </c>
      <c r="E738" s="15" t="n">
        <f aca="false">ROUND((D738-$D$5)*86400,2)</f>
        <v>97.75</v>
      </c>
      <c r="F738" s="17" t="n">
        <v>1846</v>
      </c>
      <c r="G738" s="16" t="str">
        <f aca="false">IF(INDEX(選手一覧!$D$7:$D$2738,$F738)="","",INDEX(選手一覧!$D$7:$D$2738,$F738))</f>
        <v/>
      </c>
      <c r="H738" s="17" t="str">
        <f aca="false">IF(INDEX(選手一覧!$E$7:$E$2738,$F738)="","",INDEX(選手一覧!$E$7:$E$2738,$F738))</f>
        <v/>
      </c>
      <c r="I738" s="16" t="str">
        <f aca="false">IF(INDEX(選手一覧!$J$7:$J$2738,$F738)="","",INDEX(選手一覧!$J$7:$J$2738,$F738))</f>
        <v/>
      </c>
      <c r="J738" s="17" t="str">
        <f aca="false">IF(INDEX(選手一覧!$K$7:$K$2738,$F738)="","",INDEX(選手一覧!$K$7:$K$2738,$F738))</f>
        <v/>
      </c>
    </row>
    <row r="739" customFormat="false" ht="15" hidden="false" customHeight="false" outlineLevel="0" collapsed="false">
      <c r="A739" s="17" t="n">
        <v>735</v>
      </c>
      <c r="B739" s="12" t="s">
        <v>2880</v>
      </c>
      <c r="C739" s="12" t="s">
        <v>2871</v>
      </c>
      <c r="D739" s="16" t="n">
        <v>0.00737037037037037</v>
      </c>
      <c r="E739" s="15" t="n">
        <f aca="false">ROUND((D739-$D$5)*86400,2)</f>
        <v>97.78</v>
      </c>
      <c r="F739" s="17" t="n">
        <v>1847</v>
      </c>
      <c r="G739" s="16" t="str">
        <f aca="false">IF(INDEX(選手一覧!$D$7:$D$2738,$F739)="","",INDEX(選手一覧!$D$7:$D$2738,$F739))</f>
        <v/>
      </c>
      <c r="H739" s="17" t="str">
        <f aca="false">IF(INDEX(選手一覧!$E$7:$E$2738,$F739)="","",INDEX(選手一覧!$E$7:$E$2738,$F739))</f>
        <v/>
      </c>
      <c r="I739" s="16" t="str">
        <f aca="false">IF(INDEX(選手一覧!$J$7:$J$2738,$F739)="","",INDEX(選手一覧!$J$7:$J$2738,$F739))</f>
        <v/>
      </c>
      <c r="J739" s="17" t="str">
        <f aca="false">IF(INDEX(選手一覧!$K$7:$K$2738,$F739)="","",INDEX(選手一覧!$K$7:$K$2738,$F739))</f>
        <v/>
      </c>
    </row>
    <row r="740" customFormat="false" ht="15" hidden="false" customHeight="false" outlineLevel="0" collapsed="false">
      <c r="A740" s="17" t="n">
        <v>736</v>
      </c>
      <c r="B740" s="12" t="s">
        <v>2882</v>
      </c>
      <c r="C740" s="12" t="s">
        <v>2883</v>
      </c>
      <c r="D740" s="16" t="n">
        <v>0.00737210648148148</v>
      </c>
      <c r="E740" s="15" t="n">
        <f aca="false">ROUND((D740-$D$5)*86400,2)</f>
        <v>97.93</v>
      </c>
      <c r="F740" s="17" t="n">
        <v>1849</v>
      </c>
      <c r="G740" s="16" t="str">
        <f aca="false">IF(INDEX(選手一覧!$D$7:$D$2738,$F740)="","",INDEX(選手一覧!$D$7:$D$2738,$F740))</f>
        <v/>
      </c>
      <c r="H740" s="17" t="str">
        <f aca="false">IF(INDEX(選手一覧!$E$7:$E$2738,$F740)="","",INDEX(選手一覧!$E$7:$E$2738,$F740))</f>
        <v/>
      </c>
      <c r="I740" s="16" t="str">
        <f aca="false">IF(INDEX(選手一覧!$J$7:$J$2738,$F740)="","",INDEX(選手一覧!$J$7:$J$2738,$F740))</f>
        <v/>
      </c>
      <c r="J740" s="17" t="str">
        <f aca="false">IF(INDEX(選手一覧!$K$7:$K$2738,$F740)="","",INDEX(選手一覧!$K$7:$K$2738,$F740))</f>
        <v/>
      </c>
    </row>
    <row r="741" customFormat="false" ht="15" hidden="false" customHeight="false" outlineLevel="0" collapsed="false">
      <c r="A741" s="17" t="n">
        <v>737</v>
      </c>
      <c r="B741" s="12" t="s">
        <v>1794</v>
      </c>
      <c r="C741" s="12" t="s">
        <v>103</v>
      </c>
      <c r="D741" s="16" t="n">
        <v>0.0073724537037037</v>
      </c>
      <c r="E741" s="15" t="n">
        <f aca="false">ROUND((D741-$D$5)*86400,2)</f>
        <v>97.96</v>
      </c>
      <c r="F741" s="17" t="n">
        <v>1112</v>
      </c>
      <c r="G741" s="16" t="n">
        <f aca="false">IF(INDEX(選手一覧!$D$7:$D$2738,$F741)="","",INDEX(選手一覧!$D$7:$D$2738,$F741))</f>
        <v>0.0110116898148148</v>
      </c>
      <c r="H741" s="17" t="n">
        <f aca="false">IF(INDEX(選手一覧!$E$7:$E$2738,$F741)="","",INDEX(選手一覧!$E$7:$E$2738,$F741))</f>
        <v>1113</v>
      </c>
      <c r="I741" s="16" t="n">
        <f aca="false">IF(INDEX(選手一覧!$J$7:$J$2738,$F741)="","",INDEX(選手一覧!$J$7:$J$2738,$F741))</f>
        <v>0.00294918981481482</v>
      </c>
      <c r="J741" s="17" t="n">
        <f aca="false">IF(INDEX(選手一覧!$K$7:$K$2738,$F741)="","",INDEX(選手一覧!$K$7:$K$2738,$F741))</f>
        <v>1234</v>
      </c>
    </row>
    <row r="742" customFormat="false" ht="15" hidden="false" customHeight="false" outlineLevel="0" collapsed="false">
      <c r="A742" s="17" t="n">
        <v>738</v>
      </c>
      <c r="B742" s="12" t="s">
        <v>2887</v>
      </c>
      <c r="C742" s="12" t="s">
        <v>589</v>
      </c>
      <c r="D742" s="16" t="n">
        <v>0.00737280092592593</v>
      </c>
      <c r="E742" s="15" t="n">
        <f aca="false">ROUND((D742-$D$5)*86400,2)</f>
        <v>97.99</v>
      </c>
      <c r="F742" s="17" t="n">
        <v>1852</v>
      </c>
      <c r="G742" s="16" t="str">
        <f aca="false">IF(INDEX(選手一覧!$D$7:$D$2738,$F742)="","",INDEX(選手一覧!$D$7:$D$2738,$F742))</f>
        <v/>
      </c>
      <c r="H742" s="17" t="str">
        <f aca="false">IF(INDEX(選手一覧!$E$7:$E$2738,$F742)="","",INDEX(選手一覧!$E$7:$E$2738,$F742))</f>
        <v/>
      </c>
      <c r="I742" s="16" t="str">
        <f aca="false">IF(INDEX(選手一覧!$J$7:$J$2738,$F742)="","",INDEX(選手一覧!$J$7:$J$2738,$F742))</f>
        <v/>
      </c>
      <c r="J742" s="17" t="str">
        <f aca="false">IF(INDEX(選手一覧!$K$7:$K$2738,$F742)="","",INDEX(選手一覧!$K$7:$K$2738,$F742))</f>
        <v/>
      </c>
    </row>
    <row r="743" customFormat="false" ht="15" hidden="false" customHeight="false" outlineLevel="0" collapsed="false">
      <c r="A743" s="17" t="n">
        <v>739</v>
      </c>
      <c r="B743" s="12" t="s">
        <v>2888</v>
      </c>
      <c r="C743" s="12" t="s">
        <v>1661</v>
      </c>
      <c r="D743" s="16" t="n">
        <v>0.00737337962962963</v>
      </c>
      <c r="E743" s="15" t="n">
        <f aca="false">ROUND((D743-$D$5)*86400,2)</f>
        <v>98.04</v>
      </c>
      <c r="F743" s="17" t="n">
        <v>1853</v>
      </c>
      <c r="G743" s="16" t="str">
        <f aca="false">IF(INDEX(選手一覧!$D$7:$D$2738,$F743)="","",INDEX(選手一覧!$D$7:$D$2738,$F743))</f>
        <v/>
      </c>
      <c r="H743" s="17" t="str">
        <f aca="false">IF(INDEX(選手一覧!$E$7:$E$2738,$F743)="","",INDEX(選手一覧!$E$7:$E$2738,$F743))</f>
        <v/>
      </c>
      <c r="I743" s="16" t="str">
        <f aca="false">IF(INDEX(選手一覧!$J$7:$J$2738,$F743)="","",INDEX(選手一覧!$J$7:$J$2738,$F743))</f>
        <v/>
      </c>
      <c r="J743" s="17" t="str">
        <f aca="false">IF(INDEX(選手一覧!$K$7:$K$2738,$F743)="","",INDEX(選手一覧!$K$7:$K$2738,$F743))</f>
        <v/>
      </c>
    </row>
    <row r="744" customFormat="false" ht="15" hidden="false" customHeight="false" outlineLevel="0" collapsed="false">
      <c r="A744" s="17" t="n">
        <v>740</v>
      </c>
      <c r="B744" s="12" t="s">
        <v>2891</v>
      </c>
      <c r="C744" s="12" t="s">
        <v>2892</v>
      </c>
      <c r="D744" s="16" t="n">
        <v>0.00737361111111111</v>
      </c>
      <c r="E744" s="15" t="n">
        <f aca="false">ROUND((D744-$D$5)*86400,2)</f>
        <v>98.06</v>
      </c>
      <c r="F744" s="17" t="n">
        <v>1855</v>
      </c>
      <c r="G744" s="16" t="str">
        <f aca="false">IF(INDEX(選手一覧!$D$7:$D$2738,$F744)="","",INDEX(選手一覧!$D$7:$D$2738,$F744))</f>
        <v/>
      </c>
      <c r="H744" s="17" t="str">
        <f aca="false">IF(INDEX(選手一覧!$E$7:$E$2738,$F744)="","",INDEX(選手一覧!$E$7:$E$2738,$F744))</f>
        <v/>
      </c>
      <c r="I744" s="16" t="str">
        <f aca="false">IF(INDEX(選手一覧!$J$7:$J$2738,$F744)="","",INDEX(選手一覧!$J$7:$J$2738,$F744))</f>
        <v/>
      </c>
      <c r="J744" s="17" t="str">
        <f aca="false">IF(INDEX(選手一覧!$K$7:$K$2738,$F744)="","",INDEX(選手一覧!$K$7:$K$2738,$F744))</f>
        <v/>
      </c>
    </row>
    <row r="745" customFormat="false" ht="15" hidden="false" customHeight="false" outlineLevel="0" collapsed="false">
      <c r="A745" s="17" t="n">
        <v>741</v>
      </c>
      <c r="B745" s="12" t="s">
        <v>2895</v>
      </c>
      <c r="C745" s="12" t="s">
        <v>1063</v>
      </c>
      <c r="D745" s="16" t="n">
        <v>0.00737418981481482</v>
      </c>
      <c r="E745" s="15" t="n">
        <f aca="false">ROUND((D745-$D$5)*86400,2)</f>
        <v>98.11</v>
      </c>
      <c r="F745" s="17" t="n">
        <v>1857</v>
      </c>
      <c r="G745" s="16" t="str">
        <f aca="false">IF(INDEX(選手一覧!$D$7:$D$2738,$F745)="","",INDEX(選手一覧!$D$7:$D$2738,$F745))</f>
        <v/>
      </c>
      <c r="H745" s="17" t="str">
        <f aca="false">IF(INDEX(選手一覧!$E$7:$E$2738,$F745)="","",INDEX(選手一覧!$E$7:$E$2738,$F745))</f>
        <v/>
      </c>
      <c r="I745" s="16" t="str">
        <f aca="false">IF(INDEX(選手一覧!$J$7:$J$2738,$F745)="","",INDEX(選手一覧!$J$7:$J$2738,$F745))</f>
        <v/>
      </c>
      <c r="J745" s="17" t="str">
        <f aca="false">IF(INDEX(選手一覧!$K$7:$K$2738,$F745)="","",INDEX(選手一覧!$K$7:$K$2738,$F745))</f>
        <v/>
      </c>
    </row>
    <row r="746" customFormat="false" ht="15" hidden="false" customHeight="false" outlineLevel="0" collapsed="false">
      <c r="A746" s="17" t="n">
        <v>742</v>
      </c>
      <c r="B746" s="12" t="s">
        <v>2896</v>
      </c>
      <c r="C746" s="12" t="s">
        <v>2897</v>
      </c>
      <c r="D746" s="16" t="n">
        <v>0.00737453703703704</v>
      </c>
      <c r="E746" s="15" t="n">
        <f aca="false">ROUND((D746-$D$5)*86400,2)</f>
        <v>98.14</v>
      </c>
      <c r="F746" s="17" t="n">
        <v>1858</v>
      </c>
      <c r="G746" s="16" t="str">
        <f aca="false">IF(INDEX(選手一覧!$D$7:$D$2738,$F746)="","",INDEX(選手一覧!$D$7:$D$2738,$F746))</f>
        <v/>
      </c>
      <c r="H746" s="17" t="str">
        <f aca="false">IF(INDEX(選手一覧!$E$7:$E$2738,$F746)="","",INDEX(選手一覧!$E$7:$E$2738,$F746))</f>
        <v/>
      </c>
      <c r="I746" s="16" t="str">
        <f aca="false">IF(INDEX(選手一覧!$J$7:$J$2738,$F746)="","",INDEX(選手一覧!$J$7:$J$2738,$F746))</f>
        <v/>
      </c>
      <c r="J746" s="17" t="str">
        <f aca="false">IF(INDEX(選手一覧!$K$7:$K$2738,$F746)="","",INDEX(選手一覧!$K$7:$K$2738,$F746))</f>
        <v/>
      </c>
    </row>
    <row r="747" customFormat="false" ht="15" hidden="false" customHeight="false" outlineLevel="0" collapsed="false">
      <c r="A747" s="17" t="n">
        <v>743</v>
      </c>
      <c r="B747" s="12" t="s">
        <v>1658</v>
      </c>
      <c r="C747" s="12" t="s">
        <v>1131</v>
      </c>
      <c r="D747" s="16" t="n">
        <v>0.00737592592592593</v>
      </c>
      <c r="E747" s="15" t="n">
        <f aca="false">ROUND((D747-$D$5)*86400,2)</f>
        <v>98.26</v>
      </c>
      <c r="F747" s="17" t="n">
        <v>1021</v>
      </c>
      <c r="G747" s="16" t="n">
        <f aca="false">IF(INDEX(選手一覧!$D$7:$D$2738,$F747)="","",INDEX(選手一覧!$D$7:$D$2738,$F747))</f>
        <v>0.0109625</v>
      </c>
      <c r="H747" s="17" t="n">
        <f aca="false">IF(INDEX(選手一覧!$E$7:$E$2738,$F747)="","",INDEX(選手一覧!$E$7:$E$2738,$F747))</f>
        <v>1022</v>
      </c>
      <c r="I747" s="16" t="str">
        <f aca="false">IF(INDEX(選手一覧!$J$7:$J$2738,$F747)="","",INDEX(選手一覧!$J$7:$J$2738,$F747))</f>
        <v/>
      </c>
      <c r="J747" s="17" t="str">
        <f aca="false">IF(INDEX(選手一覧!$K$7:$K$2738,$F747)="","",INDEX(選手一覧!$K$7:$K$2738,$F747))</f>
        <v/>
      </c>
    </row>
    <row r="748" customFormat="false" ht="15" hidden="false" customHeight="false" outlineLevel="0" collapsed="false">
      <c r="A748" s="17" t="n">
        <v>744</v>
      </c>
      <c r="B748" s="12" t="s">
        <v>2900</v>
      </c>
      <c r="C748" s="12" t="s">
        <v>2901</v>
      </c>
      <c r="D748" s="16" t="n">
        <v>0.00737662037037037</v>
      </c>
      <c r="E748" s="15" t="n">
        <f aca="false">ROUND((D748-$D$5)*86400,2)</f>
        <v>98.32</v>
      </c>
      <c r="F748" s="17" t="n">
        <v>1860</v>
      </c>
      <c r="G748" s="16" t="str">
        <f aca="false">IF(INDEX(選手一覧!$D$7:$D$2738,$F748)="","",INDEX(選手一覧!$D$7:$D$2738,$F748))</f>
        <v/>
      </c>
      <c r="H748" s="17" t="str">
        <f aca="false">IF(INDEX(選手一覧!$E$7:$E$2738,$F748)="","",INDEX(選手一覧!$E$7:$E$2738,$F748))</f>
        <v/>
      </c>
      <c r="I748" s="16" t="str">
        <f aca="false">IF(INDEX(選手一覧!$J$7:$J$2738,$F748)="","",INDEX(選手一覧!$J$7:$J$2738,$F748))</f>
        <v/>
      </c>
      <c r="J748" s="17" t="str">
        <f aca="false">IF(INDEX(選手一覧!$K$7:$K$2738,$F748)="","",INDEX(選手一覧!$K$7:$K$2738,$F748))</f>
        <v/>
      </c>
    </row>
    <row r="749" customFormat="false" ht="15" hidden="false" customHeight="false" outlineLevel="0" collapsed="false">
      <c r="A749" s="17" t="n">
        <v>745</v>
      </c>
      <c r="B749" s="12" t="s">
        <v>2904</v>
      </c>
      <c r="C749" s="12" t="s">
        <v>323</v>
      </c>
      <c r="D749" s="16" t="n">
        <v>0.00737662037037037</v>
      </c>
      <c r="E749" s="15" t="n">
        <f aca="false">ROUND((D749-$D$5)*86400,2)</f>
        <v>98.32</v>
      </c>
      <c r="F749" s="17" t="n">
        <v>1862</v>
      </c>
      <c r="G749" s="16" t="str">
        <f aca="false">IF(INDEX(選手一覧!$D$7:$D$2738,$F749)="","",INDEX(選手一覧!$D$7:$D$2738,$F749))</f>
        <v/>
      </c>
      <c r="H749" s="17" t="str">
        <f aca="false">IF(INDEX(選手一覧!$E$7:$E$2738,$F749)="","",INDEX(選手一覧!$E$7:$E$2738,$F749))</f>
        <v/>
      </c>
      <c r="I749" s="16" t="str">
        <f aca="false">IF(INDEX(選手一覧!$J$7:$J$2738,$F749)="","",INDEX(選手一覧!$J$7:$J$2738,$F749))</f>
        <v/>
      </c>
      <c r="J749" s="17" t="str">
        <f aca="false">IF(INDEX(選手一覧!$K$7:$K$2738,$F749)="","",INDEX(選手一覧!$K$7:$K$2738,$F749))</f>
        <v/>
      </c>
    </row>
    <row r="750" customFormat="false" ht="15" hidden="false" customHeight="false" outlineLevel="0" collapsed="false">
      <c r="A750" s="17" t="n">
        <v>746</v>
      </c>
      <c r="B750" s="12" t="s">
        <v>2905</v>
      </c>
      <c r="C750" s="12" t="s">
        <v>2906</v>
      </c>
      <c r="D750" s="16" t="n">
        <v>0.00737673611111111</v>
      </c>
      <c r="E750" s="15" t="n">
        <f aca="false">ROUND((D750-$D$5)*86400,2)</f>
        <v>98.33</v>
      </c>
      <c r="F750" s="17" t="n">
        <v>1863</v>
      </c>
      <c r="G750" s="16" t="str">
        <f aca="false">IF(INDEX(選手一覧!$D$7:$D$2738,$F750)="","",INDEX(選手一覧!$D$7:$D$2738,$F750))</f>
        <v/>
      </c>
      <c r="H750" s="17" t="str">
        <f aca="false">IF(INDEX(選手一覧!$E$7:$E$2738,$F750)="","",INDEX(選手一覧!$E$7:$E$2738,$F750))</f>
        <v/>
      </c>
      <c r="I750" s="16" t="str">
        <f aca="false">IF(INDEX(選手一覧!$J$7:$J$2738,$F750)="","",INDEX(選手一覧!$J$7:$J$2738,$F750))</f>
        <v/>
      </c>
      <c r="J750" s="17" t="str">
        <f aca="false">IF(INDEX(選手一覧!$K$7:$K$2738,$F750)="","",INDEX(選手一覧!$K$7:$K$2738,$F750))</f>
        <v/>
      </c>
    </row>
    <row r="751" customFormat="false" ht="15" hidden="false" customHeight="false" outlineLevel="0" collapsed="false">
      <c r="A751" s="17" t="n">
        <v>747</v>
      </c>
      <c r="B751" s="12" t="s">
        <v>2907</v>
      </c>
      <c r="C751" s="12" t="s">
        <v>488</v>
      </c>
      <c r="D751" s="16" t="n">
        <v>0.00737824074074074</v>
      </c>
      <c r="E751" s="15" t="n">
        <f aca="false">ROUND((D751-$D$5)*86400,2)</f>
        <v>98.46</v>
      </c>
      <c r="F751" s="17" t="n">
        <v>1864</v>
      </c>
      <c r="G751" s="16" t="str">
        <f aca="false">IF(INDEX(選手一覧!$D$7:$D$2738,$F751)="","",INDEX(選手一覧!$D$7:$D$2738,$F751))</f>
        <v/>
      </c>
      <c r="H751" s="17" t="str">
        <f aca="false">IF(INDEX(選手一覧!$E$7:$E$2738,$F751)="","",INDEX(選手一覧!$E$7:$E$2738,$F751))</f>
        <v/>
      </c>
      <c r="I751" s="16" t="str">
        <f aca="false">IF(INDEX(選手一覧!$J$7:$J$2738,$F751)="","",INDEX(選手一覧!$J$7:$J$2738,$F751))</f>
        <v/>
      </c>
      <c r="J751" s="17" t="str">
        <f aca="false">IF(INDEX(選手一覧!$K$7:$K$2738,$F751)="","",INDEX(選手一覧!$K$7:$K$2738,$F751))</f>
        <v/>
      </c>
    </row>
    <row r="752" customFormat="false" ht="15" hidden="false" customHeight="false" outlineLevel="0" collapsed="false">
      <c r="A752" s="17" t="n">
        <v>748</v>
      </c>
      <c r="B752" s="12" t="s">
        <v>2908</v>
      </c>
      <c r="C752" s="12" t="s">
        <v>2909</v>
      </c>
      <c r="D752" s="16" t="n">
        <v>0.00737824074074074</v>
      </c>
      <c r="E752" s="15" t="n">
        <f aca="false">ROUND((D752-$D$5)*86400,2)</f>
        <v>98.46</v>
      </c>
      <c r="F752" s="17" t="n">
        <v>1865</v>
      </c>
      <c r="G752" s="16" t="str">
        <f aca="false">IF(INDEX(選手一覧!$D$7:$D$2738,$F752)="","",INDEX(選手一覧!$D$7:$D$2738,$F752))</f>
        <v/>
      </c>
      <c r="H752" s="17" t="str">
        <f aca="false">IF(INDEX(選手一覧!$E$7:$E$2738,$F752)="","",INDEX(選手一覧!$E$7:$E$2738,$F752))</f>
        <v/>
      </c>
      <c r="I752" s="16" t="str">
        <f aca="false">IF(INDEX(選手一覧!$J$7:$J$2738,$F752)="","",INDEX(選手一覧!$J$7:$J$2738,$F752))</f>
        <v/>
      </c>
      <c r="J752" s="17" t="str">
        <f aca="false">IF(INDEX(選手一覧!$K$7:$K$2738,$F752)="","",INDEX(選手一覧!$K$7:$K$2738,$F752))</f>
        <v/>
      </c>
    </row>
    <row r="753" customFormat="false" ht="15" hidden="false" customHeight="false" outlineLevel="0" collapsed="false">
      <c r="A753" s="17" t="n">
        <v>749</v>
      </c>
      <c r="B753" s="12" t="s">
        <v>2912</v>
      </c>
      <c r="C753" s="12" t="s">
        <v>389</v>
      </c>
      <c r="D753" s="16" t="n">
        <v>0.00737881944444444</v>
      </c>
      <c r="E753" s="15" t="n">
        <f aca="false">ROUND((D753-$D$5)*86400,2)</f>
        <v>98.51</v>
      </c>
      <c r="F753" s="17" t="n">
        <v>1867</v>
      </c>
      <c r="G753" s="16" t="str">
        <f aca="false">IF(INDEX(選手一覧!$D$7:$D$2738,$F753)="","",INDEX(選手一覧!$D$7:$D$2738,$F753))</f>
        <v/>
      </c>
      <c r="H753" s="17" t="str">
        <f aca="false">IF(INDEX(選手一覧!$E$7:$E$2738,$F753)="","",INDEX(選手一覧!$E$7:$E$2738,$F753))</f>
        <v/>
      </c>
      <c r="I753" s="16" t="str">
        <f aca="false">IF(INDEX(選手一覧!$J$7:$J$2738,$F753)="","",INDEX(選手一覧!$J$7:$J$2738,$F753))</f>
        <v/>
      </c>
      <c r="J753" s="17" t="str">
        <f aca="false">IF(INDEX(選手一覧!$K$7:$K$2738,$F753)="","",INDEX(選手一覧!$K$7:$K$2738,$F753))</f>
        <v/>
      </c>
    </row>
    <row r="754" customFormat="false" ht="15" hidden="false" customHeight="false" outlineLevel="0" collapsed="false">
      <c r="A754" s="17" t="n">
        <v>750</v>
      </c>
      <c r="B754" s="12" t="s">
        <v>2913</v>
      </c>
      <c r="C754" s="12" t="s">
        <v>2914</v>
      </c>
      <c r="D754" s="16" t="n">
        <v>0.00737939814814815</v>
      </c>
      <c r="E754" s="15" t="n">
        <f aca="false">ROUND((D754-$D$5)*86400,2)</f>
        <v>98.56</v>
      </c>
      <c r="F754" s="17" t="n">
        <v>1868</v>
      </c>
      <c r="G754" s="16" t="str">
        <f aca="false">IF(INDEX(選手一覧!$D$7:$D$2738,$F754)="","",INDEX(選手一覧!$D$7:$D$2738,$F754))</f>
        <v/>
      </c>
      <c r="H754" s="17" t="str">
        <f aca="false">IF(INDEX(選手一覧!$E$7:$E$2738,$F754)="","",INDEX(選手一覧!$E$7:$E$2738,$F754))</f>
        <v/>
      </c>
      <c r="I754" s="16" t="str">
        <f aca="false">IF(INDEX(選手一覧!$J$7:$J$2738,$F754)="","",INDEX(選手一覧!$J$7:$J$2738,$F754))</f>
        <v/>
      </c>
      <c r="J754" s="17" t="str">
        <f aca="false">IF(INDEX(選手一覧!$K$7:$K$2738,$F754)="","",INDEX(選手一覧!$K$7:$K$2738,$F754))</f>
        <v/>
      </c>
    </row>
    <row r="755" customFormat="false" ht="15" hidden="false" customHeight="false" outlineLevel="0" collapsed="false">
      <c r="A755" s="17" t="n">
        <v>751</v>
      </c>
      <c r="B755" s="12" t="s">
        <v>2917</v>
      </c>
      <c r="C755" s="12" t="s">
        <v>2918</v>
      </c>
      <c r="D755" s="16" t="n">
        <v>0.00737986111111111</v>
      </c>
      <c r="E755" s="15" t="n">
        <f aca="false">ROUND((D755-$D$5)*86400,2)</f>
        <v>98.6</v>
      </c>
      <c r="F755" s="17" t="n">
        <v>1870</v>
      </c>
      <c r="G755" s="16" t="str">
        <f aca="false">IF(INDEX(選手一覧!$D$7:$D$2738,$F755)="","",INDEX(選手一覧!$D$7:$D$2738,$F755))</f>
        <v/>
      </c>
      <c r="H755" s="17" t="str">
        <f aca="false">IF(INDEX(選手一覧!$E$7:$E$2738,$F755)="","",INDEX(選手一覧!$E$7:$E$2738,$F755))</f>
        <v/>
      </c>
      <c r="I755" s="16" t="str">
        <f aca="false">IF(INDEX(選手一覧!$J$7:$J$2738,$F755)="","",INDEX(選手一覧!$J$7:$J$2738,$F755))</f>
        <v/>
      </c>
      <c r="J755" s="17" t="str">
        <f aca="false">IF(INDEX(選手一覧!$K$7:$K$2738,$F755)="","",INDEX(選手一覧!$K$7:$K$2738,$F755))</f>
        <v/>
      </c>
    </row>
    <row r="756" customFormat="false" ht="15" hidden="false" customHeight="false" outlineLevel="0" collapsed="false">
      <c r="A756" s="17" t="n">
        <v>752</v>
      </c>
      <c r="B756" s="12" t="s">
        <v>2919</v>
      </c>
      <c r="C756" s="12" t="s">
        <v>1775</v>
      </c>
      <c r="D756" s="16" t="n">
        <v>0.00738032407407407</v>
      </c>
      <c r="E756" s="15" t="n">
        <f aca="false">ROUND((D756-$D$5)*86400,2)</f>
        <v>98.64</v>
      </c>
      <c r="F756" s="17" t="n">
        <v>1871</v>
      </c>
      <c r="G756" s="16" t="str">
        <f aca="false">IF(INDEX(選手一覧!$D$7:$D$2738,$F756)="","",INDEX(選手一覧!$D$7:$D$2738,$F756))</f>
        <v/>
      </c>
      <c r="H756" s="17" t="str">
        <f aca="false">IF(INDEX(選手一覧!$E$7:$E$2738,$F756)="","",INDEX(選手一覧!$E$7:$E$2738,$F756))</f>
        <v/>
      </c>
      <c r="I756" s="16" t="n">
        <f aca="false">IF(INDEX(選手一覧!$J$7:$J$2738,$F756)="","",INDEX(選手一覧!$J$7:$J$2738,$F756))</f>
        <v>0.00289409722222222</v>
      </c>
      <c r="J756" s="17" t="n">
        <f aca="false">IF(INDEX(選手一覧!$K$7:$K$2738,$F756)="","",INDEX(選手一覧!$K$7:$K$2738,$F756))</f>
        <v>905</v>
      </c>
    </row>
    <row r="757" customFormat="false" ht="15" hidden="false" customHeight="false" outlineLevel="0" collapsed="false">
      <c r="A757" s="17" t="n">
        <v>753</v>
      </c>
      <c r="B757" s="12" t="s">
        <v>2922</v>
      </c>
      <c r="C757" s="12" t="s">
        <v>2923</v>
      </c>
      <c r="D757" s="16" t="n">
        <v>0.00738055555555556</v>
      </c>
      <c r="E757" s="15" t="n">
        <f aca="false">ROUND((D757-$D$5)*86400,2)</f>
        <v>98.66</v>
      </c>
      <c r="F757" s="17" t="n">
        <v>1873</v>
      </c>
      <c r="G757" s="16" t="str">
        <f aca="false">IF(INDEX(選手一覧!$D$7:$D$2738,$F757)="","",INDEX(選手一覧!$D$7:$D$2738,$F757))</f>
        <v/>
      </c>
      <c r="H757" s="17" t="str">
        <f aca="false">IF(INDEX(選手一覧!$E$7:$E$2738,$F757)="","",INDEX(選手一覧!$E$7:$E$2738,$F757))</f>
        <v/>
      </c>
      <c r="I757" s="16" t="str">
        <f aca="false">IF(INDEX(選手一覧!$J$7:$J$2738,$F757)="","",INDEX(選手一覧!$J$7:$J$2738,$F757))</f>
        <v/>
      </c>
      <c r="J757" s="17" t="str">
        <f aca="false">IF(INDEX(選手一覧!$K$7:$K$2738,$F757)="","",INDEX(選手一覧!$K$7:$K$2738,$F757))</f>
        <v/>
      </c>
    </row>
    <row r="758" customFormat="false" ht="15" hidden="false" customHeight="false" outlineLevel="0" collapsed="false">
      <c r="A758" s="17" t="n">
        <v>754</v>
      </c>
      <c r="B758" s="12" t="s">
        <v>2924</v>
      </c>
      <c r="C758" s="12" t="s">
        <v>2925</v>
      </c>
      <c r="D758" s="16" t="n">
        <v>0.00738090277777778</v>
      </c>
      <c r="E758" s="15" t="n">
        <f aca="false">ROUND((D758-$D$5)*86400,2)</f>
        <v>98.69</v>
      </c>
      <c r="F758" s="17" t="n">
        <v>1874</v>
      </c>
      <c r="G758" s="16" t="str">
        <f aca="false">IF(INDEX(選手一覧!$D$7:$D$2738,$F758)="","",INDEX(選手一覧!$D$7:$D$2738,$F758))</f>
        <v/>
      </c>
      <c r="H758" s="17" t="str">
        <f aca="false">IF(INDEX(選手一覧!$E$7:$E$2738,$F758)="","",INDEX(選手一覧!$E$7:$E$2738,$F758))</f>
        <v/>
      </c>
      <c r="I758" s="16" t="str">
        <f aca="false">IF(INDEX(選手一覧!$J$7:$J$2738,$F758)="","",INDEX(選手一覧!$J$7:$J$2738,$F758))</f>
        <v/>
      </c>
      <c r="J758" s="17" t="str">
        <f aca="false">IF(INDEX(選手一覧!$K$7:$K$2738,$F758)="","",INDEX(選手一覧!$K$7:$K$2738,$F758))</f>
        <v/>
      </c>
    </row>
    <row r="759" customFormat="false" ht="15" hidden="false" customHeight="false" outlineLevel="0" collapsed="false">
      <c r="A759" s="17" t="n">
        <v>755</v>
      </c>
      <c r="B759" s="12" t="s">
        <v>2928</v>
      </c>
      <c r="C759" s="12" t="s">
        <v>575</v>
      </c>
      <c r="D759" s="16" t="n">
        <v>0.00738402777777778</v>
      </c>
      <c r="E759" s="15" t="n">
        <f aca="false">ROUND((D759-$D$5)*86400,2)</f>
        <v>98.96</v>
      </c>
      <c r="F759" s="17" t="n">
        <v>1876</v>
      </c>
      <c r="G759" s="16" t="str">
        <f aca="false">IF(INDEX(選手一覧!$D$7:$D$2738,$F759)="","",INDEX(選手一覧!$D$7:$D$2738,$F759))</f>
        <v/>
      </c>
      <c r="H759" s="17" t="str">
        <f aca="false">IF(INDEX(選手一覧!$E$7:$E$2738,$F759)="","",INDEX(選手一覧!$E$7:$E$2738,$F759))</f>
        <v/>
      </c>
      <c r="I759" s="16" t="str">
        <f aca="false">IF(INDEX(選手一覧!$J$7:$J$2738,$F759)="","",INDEX(選手一覧!$J$7:$J$2738,$F759))</f>
        <v/>
      </c>
      <c r="J759" s="17" t="str">
        <f aca="false">IF(INDEX(選手一覧!$K$7:$K$2738,$F759)="","",INDEX(選手一覧!$K$7:$K$2738,$F759))</f>
        <v/>
      </c>
    </row>
    <row r="760" customFormat="false" ht="15" hidden="false" customHeight="false" outlineLevel="0" collapsed="false">
      <c r="A760" s="17" t="n">
        <v>756</v>
      </c>
      <c r="B760" s="12" t="s">
        <v>2929</v>
      </c>
      <c r="C760" s="12" t="s">
        <v>2930</v>
      </c>
      <c r="D760" s="16" t="n">
        <v>0.00738414351851852</v>
      </c>
      <c r="E760" s="15" t="n">
        <f aca="false">ROUND((D760-$D$5)*86400,2)</f>
        <v>98.97</v>
      </c>
      <c r="F760" s="17" t="n">
        <v>1877</v>
      </c>
      <c r="G760" s="16" t="str">
        <f aca="false">IF(INDEX(選手一覧!$D$7:$D$2738,$F760)="","",INDEX(選手一覧!$D$7:$D$2738,$F760))</f>
        <v/>
      </c>
      <c r="H760" s="17" t="str">
        <f aca="false">IF(INDEX(選手一覧!$E$7:$E$2738,$F760)="","",INDEX(選手一覧!$E$7:$E$2738,$F760))</f>
        <v/>
      </c>
      <c r="I760" s="16" t="str">
        <f aca="false">IF(INDEX(選手一覧!$J$7:$J$2738,$F760)="","",INDEX(選手一覧!$J$7:$J$2738,$F760))</f>
        <v/>
      </c>
      <c r="J760" s="17" t="str">
        <f aca="false">IF(INDEX(選手一覧!$K$7:$K$2738,$F760)="","",INDEX(選手一覧!$K$7:$K$2738,$F760))</f>
        <v/>
      </c>
    </row>
    <row r="761" customFormat="false" ht="15" hidden="false" customHeight="false" outlineLevel="0" collapsed="false">
      <c r="A761" s="17" t="n">
        <v>757</v>
      </c>
      <c r="B761" s="12" t="s">
        <v>2931</v>
      </c>
      <c r="C761" s="12" t="s">
        <v>2932</v>
      </c>
      <c r="D761" s="16" t="n">
        <v>0.00739236111111111</v>
      </c>
      <c r="E761" s="15" t="n">
        <f aca="false">ROUND((D761-$D$5)*86400,2)</f>
        <v>99.68</v>
      </c>
      <c r="F761" s="17" t="n">
        <v>1878</v>
      </c>
      <c r="G761" s="16" t="str">
        <f aca="false">IF(INDEX(選手一覧!$D$7:$D$2738,$F761)="","",INDEX(選手一覧!$D$7:$D$2738,$F761))</f>
        <v/>
      </c>
      <c r="H761" s="17" t="str">
        <f aca="false">IF(INDEX(選手一覧!$E$7:$E$2738,$F761)="","",INDEX(選手一覧!$E$7:$E$2738,$F761))</f>
        <v/>
      </c>
      <c r="I761" s="16" t="str">
        <f aca="false">IF(INDEX(選手一覧!$J$7:$J$2738,$F761)="","",INDEX(選手一覧!$J$7:$J$2738,$F761))</f>
        <v/>
      </c>
      <c r="J761" s="17" t="str">
        <f aca="false">IF(INDEX(選手一覧!$K$7:$K$2738,$F761)="","",INDEX(選手一覧!$K$7:$K$2738,$F761))</f>
        <v/>
      </c>
    </row>
    <row r="762" customFormat="false" ht="15" hidden="false" customHeight="false" outlineLevel="0" collapsed="false">
      <c r="A762" s="17" t="n">
        <v>758</v>
      </c>
      <c r="B762" s="12" t="s">
        <v>2934</v>
      </c>
      <c r="C762" s="12" t="s">
        <v>2467</v>
      </c>
      <c r="D762" s="16" t="n">
        <v>0.00738599537037037</v>
      </c>
      <c r="E762" s="15" t="n">
        <f aca="false">ROUND((D762-$D$5)*86400,2)</f>
        <v>99.13</v>
      </c>
      <c r="F762" s="17" t="n">
        <v>1879</v>
      </c>
      <c r="G762" s="16" t="str">
        <f aca="false">IF(INDEX(選手一覧!$D$7:$D$2738,$F762)="","",INDEX(選手一覧!$D$7:$D$2738,$F762))</f>
        <v/>
      </c>
      <c r="H762" s="17" t="str">
        <f aca="false">IF(INDEX(選手一覧!$E$7:$E$2738,$F762)="","",INDEX(選手一覧!$E$7:$E$2738,$F762))</f>
        <v/>
      </c>
      <c r="I762" s="16" t="str">
        <f aca="false">IF(INDEX(選手一覧!$J$7:$J$2738,$F762)="","",INDEX(選手一覧!$J$7:$J$2738,$F762))</f>
        <v/>
      </c>
      <c r="J762" s="17" t="str">
        <f aca="false">IF(INDEX(選手一覧!$K$7:$K$2738,$F762)="","",INDEX(選手一覧!$K$7:$K$2738,$F762))</f>
        <v/>
      </c>
    </row>
    <row r="763" customFormat="false" ht="15" hidden="false" customHeight="false" outlineLevel="0" collapsed="false">
      <c r="A763" s="17" t="n">
        <v>759</v>
      </c>
      <c r="B763" s="12" t="s">
        <v>2937</v>
      </c>
      <c r="C763" s="12" t="s">
        <v>2938</v>
      </c>
      <c r="D763" s="16" t="n">
        <v>0.00738912037037037</v>
      </c>
      <c r="E763" s="15" t="n">
        <f aca="false">ROUND((D763-$D$5)*86400,2)</f>
        <v>99.4</v>
      </c>
      <c r="F763" s="17" t="n">
        <v>1881</v>
      </c>
      <c r="G763" s="16" t="str">
        <f aca="false">IF(INDEX(選手一覧!$D$7:$D$2738,$F763)="","",INDEX(選手一覧!$D$7:$D$2738,$F763))</f>
        <v/>
      </c>
      <c r="H763" s="17" t="str">
        <f aca="false">IF(INDEX(選手一覧!$E$7:$E$2738,$F763)="","",INDEX(選手一覧!$E$7:$E$2738,$F763))</f>
        <v/>
      </c>
      <c r="I763" s="16" t="str">
        <f aca="false">IF(INDEX(選手一覧!$J$7:$J$2738,$F763)="","",INDEX(選手一覧!$J$7:$J$2738,$F763))</f>
        <v/>
      </c>
      <c r="J763" s="17" t="str">
        <f aca="false">IF(INDEX(選手一覧!$K$7:$K$2738,$F763)="","",INDEX(選手一覧!$K$7:$K$2738,$F763))</f>
        <v/>
      </c>
    </row>
    <row r="764" customFormat="false" ht="15" hidden="false" customHeight="false" outlineLevel="0" collapsed="false">
      <c r="A764" s="17" t="n">
        <v>760</v>
      </c>
      <c r="B764" s="12" t="s">
        <v>1205</v>
      </c>
      <c r="C764" s="12" t="s">
        <v>619</v>
      </c>
      <c r="D764" s="16" t="n">
        <v>0.00738912037037037</v>
      </c>
      <c r="E764" s="15" t="n">
        <f aca="false">ROUND((D764-$D$5)*86400,2)</f>
        <v>99.4</v>
      </c>
      <c r="F764" s="17" t="n">
        <v>717</v>
      </c>
      <c r="G764" s="16" t="n">
        <f aca="false">IF(INDEX(選手一覧!$D$7:$D$2738,$F764)="","",INDEX(選手一覧!$D$7:$D$2738,$F764))</f>
        <v>0.0107881944444444</v>
      </c>
      <c r="H764" s="17" t="n">
        <f aca="false">IF(INDEX(選手一覧!$E$7:$E$2738,$F764)="","",INDEX(選手一覧!$E$7:$E$2738,$F764))</f>
        <v>718</v>
      </c>
      <c r="I764" s="16" t="n">
        <f aca="false">IF(INDEX(選手一覧!$J$7:$J$2738,$F764)="","",INDEX(選手一覧!$J$7:$J$2738,$F764))</f>
        <v>0.00278356481481482</v>
      </c>
      <c r="J764" s="17" t="n">
        <f aca="false">IF(INDEX(選手一覧!$K$7:$K$2738,$F764)="","",INDEX(選手一覧!$K$7:$K$2738,$F764))</f>
        <v>214</v>
      </c>
    </row>
    <row r="765" customFormat="false" ht="15" hidden="false" customHeight="false" outlineLevel="0" collapsed="false">
      <c r="A765" s="17" t="n">
        <v>761</v>
      </c>
      <c r="B765" s="12" t="s">
        <v>2941</v>
      </c>
      <c r="C765" s="12" t="s">
        <v>2154</v>
      </c>
      <c r="D765" s="16" t="n">
        <v>0.00738958333333333</v>
      </c>
      <c r="E765" s="15" t="n">
        <f aca="false">ROUND((D765-$D$5)*86400,2)</f>
        <v>99.44</v>
      </c>
      <c r="F765" s="17" t="n">
        <v>1883</v>
      </c>
      <c r="G765" s="16" t="str">
        <f aca="false">IF(INDEX(選手一覧!$D$7:$D$2738,$F765)="","",INDEX(選手一覧!$D$7:$D$2738,$F765))</f>
        <v/>
      </c>
      <c r="H765" s="17" t="str">
        <f aca="false">IF(INDEX(選手一覧!$E$7:$E$2738,$F765)="","",INDEX(選手一覧!$E$7:$E$2738,$F765))</f>
        <v/>
      </c>
      <c r="I765" s="16" t="str">
        <f aca="false">IF(INDEX(選手一覧!$J$7:$J$2738,$F765)="","",INDEX(選手一覧!$J$7:$J$2738,$F765))</f>
        <v/>
      </c>
      <c r="J765" s="17" t="str">
        <f aca="false">IF(INDEX(選手一覧!$K$7:$K$2738,$F765)="","",INDEX(選手一覧!$K$7:$K$2738,$F765))</f>
        <v/>
      </c>
    </row>
    <row r="766" customFormat="false" ht="15" hidden="false" customHeight="false" outlineLevel="0" collapsed="false">
      <c r="A766" s="17" t="n">
        <v>762</v>
      </c>
      <c r="B766" s="12" t="s">
        <v>2942</v>
      </c>
      <c r="C766" s="12" t="s">
        <v>486</v>
      </c>
      <c r="D766" s="16" t="n">
        <v>0.00738969907407408</v>
      </c>
      <c r="E766" s="15" t="n">
        <f aca="false">ROUND((D766-$D$5)*86400,2)</f>
        <v>99.45</v>
      </c>
      <c r="F766" s="17" t="n">
        <v>1884</v>
      </c>
      <c r="G766" s="16" t="str">
        <f aca="false">IF(INDEX(選手一覧!$D$7:$D$2738,$F766)="","",INDEX(選手一覧!$D$7:$D$2738,$F766))</f>
        <v/>
      </c>
      <c r="H766" s="17" t="str">
        <f aca="false">IF(INDEX(選手一覧!$E$7:$E$2738,$F766)="","",INDEX(選手一覧!$E$7:$E$2738,$F766))</f>
        <v/>
      </c>
      <c r="I766" s="16" t="n">
        <f aca="false">IF(INDEX(選手一覧!$J$7:$J$2738,$F766)="","",INDEX(選手一覧!$J$7:$J$2738,$F766))</f>
        <v>0.00297581018518519</v>
      </c>
      <c r="J766" s="17" t="n">
        <f aca="false">IF(INDEX(選手一覧!$K$7:$K$2738,$F766)="","",INDEX(選手一覧!$K$7:$K$2738,$F766))</f>
        <v>1333</v>
      </c>
    </row>
    <row r="767" customFormat="false" ht="15" hidden="false" customHeight="false" outlineLevel="0" collapsed="false">
      <c r="A767" s="17" t="n">
        <v>763</v>
      </c>
      <c r="B767" s="12" t="s">
        <v>2944</v>
      </c>
      <c r="C767" s="12" t="s">
        <v>2945</v>
      </c>
      <c r="D767" s="16" t="n">
        <v>0.00739143518518519</v>
      </c>
      <c r="E767" s="15" t="n">
        <f aca="false">ROUND((D767-$D$5)*86400,2)</f>
        <v>99.6</v>
      </c>
      <c r="F767" s="17" t="n">
        <v>1886</v>
      </c>
      <c r="G767" s="16" t="str">
        <f aca="false">IF(INDEX(選手一覧!$D$7:$D$2738,$F767)="","",INDEX(選手一覧!$D$7:$D$2738,$F767))</f>
        <v/>
      </c>
      <c r="H767" s="17" t="str">
        <f aca="false">IF(INDEX(選手一覧!$E$7:$E$2738,$F767)="","",INDEX(選手一覧!$E$7:$E$2738,$F767))</f>
        <v/>
      </c>
      <c r="I767" s="16" t="str">
        <f aca="false">IF(INDEX(選手一覧!$J$7:$J$2738,$F767)="","",INDEX(選手一覧!$J$7:$J$2738,$F767))</f>
        <v/>
      </c>
      <c r="J767" s="17" t="str">
        <f aca="false">IF(INDEX(選手一覧!$K$7:$K$2738,$F767)="","",INDEX(選手一覧!$K$7:$K$2738,$F767))</f>
        <v/>
      </c>
    </row>
    <row r="768" customFormat="false" ht="15" hidden="false" customHeight="false" outlineLevel="0" collapsed="false">
      <c r="A768" s="17" t="n">
        <v>764</v>
      </c>
      <c r="B768" s="12" t="s">
        <v>2947</v>
      </c>
      <c r="C768" s="12" t="s">
        <v>779</v>
      </c>
      <c r="D768" s="16" t="n">
        <v>0.00739247685185185</v>
      </c>
      <c r="E768" s="15" t="n">
        <f aca="false">ROUND((D768-$D$5)*86400,2)</f>
        <v>99.69</v>
      </c>
      <c r="F768" s="17" t="n">
        <v>1888</v>
      </c>
      <c r="G768" s="16" t="str">
        <f aca="false">IF(INDEX(選手一覧!$D$7:$D$2738,$F768)="","",INDEX(選手一覧!$D$7:$D$2738,$F768))</f>
        <v/>
      </c>
      <c r="H768" s="17" t="str">
        <f aca="false">IF(INDEX(選手一覧!$E$7:$E$2738,$F768)="","",INDEX(選手一覧!$E$7:$E$2738,$F768))</f>
        <v/>
      </c>
      <c r="I768" s="16" t="str">
        <f aca="false">IF(INDEX(選手一覧!$J$7:$J$2738,$F768)="","",INDEX(選手一覧!$J$7:$J$2738,$F768))</f>
        <v/>
      </c>
      <c r="J768" s="17" t="str">
        <f aca="false">IF(INDEX(選手一覧!$K$7:$K$2738,$F768)="","",INDEX(選手一覧!$K$7:$K$2738,$F768))</f>
        <v/>
      </c>
    </row>
    <row r="769" customFormat="false" ht="15" hidden="false" customHeight="false" outlineLevel="0" collapsed="false">
      <c r="A769" s="17" t="n">
        <v>765</v>
      </c>
      <c r="B769" s="12" t="s">
        <v>376</v>
      </c>
      <c r="C769" s="12" t="s">
        <v>377</v>
      </c>
      <c r="D769" s="16" t="n">
        <v>0.00739351851851852</v>
      </c>
      <c r="E769" s="15" t="n">
        <f aca="false">ROUND((D769-$D$5)*86400,2)</f>
        <v>99.78</v>
      </c>
      <c r="F769" s="17" t="n">
        <v>185</v>
      </c>
      <c r="G769" s="16" t="n">
        <f aca="false">IF(INDEX(選手一覧!$D$7:$D$2738,$F769)="","",INDEX(選手一覧!$D$7:$D$2738,$F769))</f>
        <v>0.0103365740740741</v>
      </c>
      <c r="H769" s="17" t="n">
        <f aca="false">IF(INDEX(選手一覧!$E$7:$E$2738,$F769)="","",INDEX(選手一覧!$E$7:$E$2738,$F769))</f>
        <v>186</v>
      </c>
      <c r="I769" s="16" t="n">
        <f aca="false">IF(INDEX(選手一覧!$J$7:$J$2738,$F769)="","",INDEX(選手一覧!$J$7:$J$2738,$F769))</f>
        <v>0.002790625</v>
      </c>
      <c r="J769" s="17" t="n">
        <f aca="false">IF(INDEX(選手一覧!$K$7:$K$2738,$F769)="","",INDEX(選手一覧!$K$7:$K$2738,$F769))</f>
        <v>243</v>
      </c>
    </row>
    <row r="770" customFormat="false" ht="15" hidden="false" customHeight="false" outlineLevel="0" collapsed="false">
      <c r="A770" s="17" t="n">
        <v>766</v>
      </c>
      <c r="B770" s="12" t="s">
        <v>2950</v>
      </c>
      <c r="C770" s="12" t="s">
        <v>2951</v>
      </c>
      <c r="D770" s="16" t="n">
        <v>0.00739409722222222</v>
      </c>
      <c r="E770" s="15" t="n">
        <f aca="false">ROUND((D770-$D$5)*86400,2)</f>
        <v>99.83</v>
      </c>
      <c r="F770" s="17" t="n">
        <v>1891</v>
      </c>
      <c r="G770" s="16" t="str">
        <f aca="false">IF(INDEX(選手一覧!$D$7:$D$2738,$F770)="","",INDEX(選手一覧!$D$7:$D$2738,$F770))</f>
        <v/>
      </c>
      <c r="H770" s="17" t="str">
        <f aca="false">IF(INDEX(選手一覧!$E$7:$E$2738,$F770)="","",INDEX(選手一覧!$E$7:$E$2738,$F770))</f>
        <v/>
      </c>
      <c r="I770" s="16" t="str">
        <f aca="false">IF(INDEX(選手一覧!$J$7:$J$2738,$F770)="","",INDEX(選手一覧!$J$7:$J$2738,$F770))</f>
        <v/>
      </c>
      <c r="J770" s="17" t="str">
        <f aca="false">IF(INDEX(選手一覧!$K$7:$K$2738,$F770)="","",INDEX(選手一覧!$K$7:$K$2738,$F770))</f>
        <v/>
      </c>
    </row>
    <row r="771" customFormat="false" ht="15" hidden="false" customHeight="false" outlineLevel="0" collapsed="false">
      <c r="A771" s="17" t="n">
        <v>767</v>
      </c>
      <c r="B771" s="12" t="s">
        <v>2953</v>
      </c>
      <c r="C771" s="12" t="s">
        <v>749</v>
      </c>
      <c r="D771" s="16" t="n">
        <v>0.00739548611111111</v>
      </c>
      <c r="E771" s="15" t="n">
        <f aca="false">ROUND((D771-$D$5)*86400,2)</f>
        <v>99.95</v>
      </c>
      <c r="F771" s="17" t="n">
        <v>1893</v>
      </c>
      <c r="G771" s="16" t="str">
        <f aca="false">IF(INDEX(選手一覧!$D$7:$D$2738,$F771)="","",INDEX(選手一覧!$D$7:$D$2738,$F771))</f>
        <v/>
      </c>
      <c r="H771" s="17" t="str">
        <f aca="false">IF(INDEX(選手一覧!$E$7:$E$2738,$F771)="","",INDEX(選手一覧!$E$7:$E$2738,$F771))</f>
        <v/>
      </c>
      <c r="I771" s="16" t="str">
        <f aca="false">IF(INDEX(選手一覧!$J$7:$J$2738,$F771)="","",INDEX(選手一覧!$J$7:$J$2738,$F771))</f>
        <v/>
      </c>
      <c r="J771" s="17" t="str">
        <f aca="false">IF(INDEX(選手一覧!$K$7:$K$2738,$F771)="","",INDEX(選手一覧!$K$7:$K$2738,$F771))</f>
        <v/>
      </c>
    </row>
    <row r="772" customFormat="false" ht="15" hidden="false" customHeight="false" outlineLevel="0" collapsed="false">
      <c r="A772" s="17" t="n">
        <v>768</v>
      </c>
      <c r="B772" s="12" t="s">
        <v>2956</v>
      </c>
      <c r="C772" s="12" t="s">
        <v>2957</v>
      </c>
      <c r="D772" s="16" t="n">
        <v>0.00739571759259259</v>
      </c>
      <c r="E772" s="15" t="n">
        <f aca="false">ROUND((D772-$D$5)*86400,2)</f>
        <v>99.97</v>
      </c>
      <c r="F772" s="17" t="n">
        <v>1895</v>
      </c>
      <c r="G772" s="16" t="str">
        <f aca="false">IF(INDEX(選手一覧!$D$7:$D$2738,$F772)="","",INDEX(選手一覧!$D$7:$D$2738,$F772))</f>
        <v/>
      </c>
      <c r="H772" s="17" t="str">
        <f aca="false">IF(INDEX(選手一覧!$E$7:$E$2738,$F772)="","",INDEX(選手一覧!$E$7:$E$2738,$F772))</f>
        <v/>
      </c>
      <c r="I772" s="16" t="str">
        <f aca="false">IF(INDEX(選手一覧!$J$7:$J$2738,$F772)="","",INDEX(選手一覧!$J$7:$J$2738,$F772))</f>
        <v/>
      </c>
      <c r="J772" s="17" t="str">
        <f aca="false">IF(INDEX(選手一覧!$K$7:$K$2738,$F772)="","",INDEX(選手一覧!$K$7:$K$2738,$F772))</f>
        <v/>
      </c>
    </row>
    <row r="773" customFormat="false" ht="15" hidden="false" customHeight="false" outlineLevel="0" collapsed="false">
      <c r="A773" s="17" t="n">
        <v>769</v>
      </c>
      <c r="B773" s="12" t="s">
        <v>2958</v>
      </c>
      <c r="C773" s="12" t="s">
        <v>2959</v>
      </c>
      <c r="D773" s="16" t="n">
        <v>0.007396875</v>
      </c>
      <c r="E773" s="15" t="n">
        <f aca="false">ROUND((D773-$D$5)*86400,2)</f>
        <v>100.07</v>
      </c>
      <c r="F773" s="17" t="n">
        <v>1896</v>
      </c>
      <c r="G773" s="16" t="str">
        <f aca="false">IF(INDEX(選手一覧!$D$7:$D$2738,$F773)="","",INDEX(選手一覧!$D$7:$D$2738,$F773))</f>
        <v/>
      </c>
      <c r="H773" s="17" t="str">
        <f aca="false">IF(INDEX(選手一覧!$E$7:$E$2738,$F773)="","",INDEX(選手一覧!$E$7:$E$2738,$F773))</f>
        <v/>
      </c>
      <c r="I773" s="16" t="str">
        <f aca="false">IF(INDEX(選手一覧!$J$7:$J$2738,$F773)="","",INDEX(選手一覧!$J$7:$J$2738,$F773))</f>
        <v/>
      </c>
      <c r="J773" s="17" t="str">
        <f aca="false">IF(INDEX(選手一覧!$K$7:$K$2738,$F773)="","",INDEX(選手一覧!$K$7:$K$2738,$F773))</f>
        <v/>
      </c>
    </row>
    <row r="774" customFormat="false" ht="15" hidden="false" customHeight="false" outlineLevel="0" collapsed="false">
      <c r="A774" s="17" t="n">
        <v>770</v>
      </c>
      <c r="B774" s="12" t="s">
        <v>2960</v>
      </c>
      <c r="C774" s="12" t="s">
        <v>2434</v>
      </c>
      <c r="D774" s="16" t="n">
        <v>0.00739780092592593</v>
      </c>
      <c r="E774" s="15" t="n">
        <f aca="false">ROUND((D774-$D$5)*86400,2)</f>
        <v>100.15</v>
      </c>
      <c r="F774" s="17" t="n">
        <v>1897</v>
      </c>
      <c r="G774" s="16" t="str">
        <f aca="false">IF(INDEX(選手一覧!$D$7:$D$2738,$F774)="","",INDEX(選手一覧!$D$7:$D$2738,$F774))</f>
        <v/>
      </c>
      <c r="H774" s="17" t="str">
        <f aca="false">IF(INDEX(選手一覧!$E$7:$E$2738,$F774)="","",INDEX(選手一覧!$E$7:$E$2738,$F774))</f>
        <v/>
      </c>
      <c r="I774" s="16" t="str">
        <f aca="false">IF(INDEX(選手一覧!$J$7:$J$2738,$F774)="","",INDEX(選手一覧!$J$7:$J$2738,$F774))</f>
        <v/>
      </c>
      <c r="J774" s="17" t="str">
        <f aca="false">IF(INDEX(選手一覧!$K$7:$K$2738,$F774)="","",INDEX(選手一覧!$K$7:$K$2738,$F774))</f>
        <v/>
      </c>
    </row>
    <row r="775" customFormat="false" ht="15" hidden="false" customHeight="false" outlineLevel="0" collapsed="false">
      <c r="A775" s="17" t="n">
        <v>771</v>
      </c>
      <c r="B775" s="12" t="s">
        <v>2961</v>
      </c>
      <c r="C775" s="12" t="s">
        <v>2883</v>
      </c>
      <c r="D775" s="16" t="n">
        <v>0.00739988425925926</v>
      </c>
      <c r="E775" s="15" t="n">
        <f aca="false">ROUND((D775-$D$5)*86400,2)</f>
        <v>100.33</v>
      </c>
      <c r="F775" s="17" t="n">
        <v>1898</v>
      </c>
      <c r="G775" s="16" t="str">
        <f aca="false">IF(INDEX(選手一覧!$D$7:$D$2738,$F775)="","",INDEX(選手一覧!$D$7:$D$2738,$F775))</f>
        <v/>
      </c>
      <c r="H775" s="17" t="str">
        <f aca="false">IF(INDEX(選手一覧!$E$7:$E$2738,$F775)="","",INDEX(選手一覧!$E$7:$E$2738,$F775))</f>
        <v/>
      </c>
      <c r="I775" s="16" t="str">
        <f aca="false">IF(INDEX(選手一覧!$J$7:$J$2738,$F775)="","",INDEX(選手一覧!$J$7:$J$2738,$F775))</f>
        <v/>
      </c>
      <c r="J775" s="17" t="str">
        <f aca="false">IF(INDEX(選手一覧!$K$7:$K$2738,$F775)="","",INDEX(選手一覧!$K$7:$K$2738,$F775))</f>
        <v/>
      </c>
    </row>
    <row r="776" customFormat="false" ht="15" hidden="false" customHeight="false" outlineLevel="0" collapsed="false">
      <c r="A776" s="17" t="n">
        <v>772</v>
      </c>
      <c r="B776" s="12" t="s">
        <v>2962</v>
      </c>
      <c r="C776" s="12" t="s">
        <v>1342</v>
      </c>
      <c r="D776" s="16" t="n">
        <v>0.00740138888888889</v>
      </c>
      <c r="E776" s="15" t="n">
        <f aca="false">ROUND((D776-$D$5)*86400,2)</f>
        <v>100.46</v>
      </c>
      <c r="F776" s="17" t="n">
        <v>1899</v>
      </c>
      <c r="G776" s="16" t="str">
        <f aca="false">IF(INDEX(選手一覧!$D$7:$D$2738,$F776)="","",INDEX(選手一覧!$D$7:$D$2738,$F776))</f>
        <v/>
      </c>
      <c r="H776" s="17" t="str">
        <f aca="false">IF(INDEX(選手一覧!$E$7:$E$2738,$F776)="","",INDEX(選手一覧!$E$7:$E$2738,$F776))</f>
        <v/>
      </c>
      <c r="I776" s="16" t="str">
        <f aca="false">IF(INDEX(選手一覧!$J$7:$J$2738,$F776)="","",INDEX(選手一覧!$J$7:$J$2738,$F776))</f>
        <v/>
      </c>
      <c r="J776" s="17" t="str">
        <f aca="false">IF(INDEX(選手一覧!$K$7:$K$2738,$F776)="","",INDEX(選手一覧!$K$7:$K$2738,$F776))</f>
        <v/>
      </c>
    </row>
    <row r="777" customFormat="false" ht="15" hidden="false" customHeight="false" outlineLevel="0" collapsed="false">
      <c r="A777" s="17" t="n">
        <v>773</v>
      </c>
      <c r="B777" s="12" t="s">
        <v>1853</v>
      </c>
      <c r="C777" s="12" t="s">
        <v>1231</v>
      </c>
      <c r="D777" s="16" t="n">
        <v>0.00740162037037037</v>
      </c>
      <c r="E777" s="15" t="n">
        <f aca="false">ROUND((D777-$D$5)*86400,2)</f>
        <v>100.48</v>
      </c>
      <c r="F777" s="17" t="n">
        <v>1151</v>
      </c>
      <c r="G777" s="16" t="n">
        <f aca="false">IF(INDEX(選手一覧!$D$7:$D$2738,$F777)="","",INDEX(選手一覧!$D$7:$D$2738,$F777))</f>
        <v>0.011030787037037</v>
      </c>
      <c r="H777" s="17" t="n">
        <f aca="false">IF(INDEX(選手一覧!$E$7:$E$2738,$F777)="","",INDEX(選手一覧!$E$7:$E$2738,$F777))</f>
        <v>1152</v>
      </c>
      <c r="I777" s="16" t="str">
        <f aca="false">IF(INDEX(選手一覧!$J$7:$J$2738,$F777)="","",INDEX(選手一覧!$J$7:$J$2738,$F777))</f>
        <v/>
      </c>
      <c r="J777" s="17" t="str">
        <f aca="false">IF(INDEX(選手一覧!$K$7:$K$2738,$F777)="","",INDEX(選手一覧!$K$7:$K$2738,$F777))</f>
        <v/>
      </c>
    </row>
    <row r="778" customFormat="false" ht="15" hidden="false" customHeight="false" outlineLevel="0" collapsed="false">
      <c r="A778" s="17" t="n">
        <v>774</v>
      </c>
      <c r="B778" s="12" t="s">
        <v>2966</v>
      </c>
      <c r="C778" s="12" t="s">
        <v>2967</v>
      </c>
      <c r="D778" s="16" t="n">
        <v>0.00740173611111111</v>
      </c>
      <c r="E778" s="15" t="n">
        <f aca="false">ROUND((D778-$D$5)*86400,2)</f>
        <v>100.49</v>
      </c>
      <c r="F778" s="17" t="n">
        <v>1902</v>
      </c>
      <c r="G778" s="16" t="str">
        <f aca="false">IF(INDEX(選手一覧!$D$7:$D$2738,$F778)="","",INDEX(選手一覧!$D$7:$D$2738,$F778))</f>
        <v/>
      </c>
      <c r="H778" s="17" t="str">
        <f aca="false">IF(INDEX(選手一覧!$E$7:$E$2738,$F778)="","",INDEX(選手一覧!$E$7:$E$2738,$F778))</f>
        <v/>
      </c>
      <c r="I778" s="16" t="str">
        <f aca="false">IF(INDEX(選手一覧!$J$7:$J$2738,$F778)="","",INDEX(選手一覧!$J$7:$J$2738,$F778))</f>
        <v/>
      </c>
      <c r="J778" s="17" t="str">
        <f aca="false">IF(INDEX(選手一覧!$K$7:$K$2738,$F778)="","",INDEX(選手一覧!$K$7:$K$2738,$F778))</f>
        <v/>
      </c>
    </row>
    <row r="779" customFormat="false" ht="15" hidden="false" customHeight="false" outlineLevel="0" collapsed="false">
      <c r="A779" s="17" t="n">
        <v>775</v>
      </c>
      <c r="B779" s="12" t="s">
        <v>2969</v>
      </c>
      <c r="C779" s="12" t="s">
        <v>2970</v>
      </c>
      <c r="D779" s="16" t="n">
        <v>0.00740243055555556</v>
      </c>
      <c r="E779" s="15" t="n">
        <f aca="false">ROUND((D779-$D$5)*86400,2)</f>
        <v>100.55</v>
      </c>
      <c r="F779" s="17" t="n">
        <v>1904</v>
      </c>
      <c r="G779" s="16" t="str">
        <f aca="false">IF(INDEX(選手一覧!$D$7:$D$2738,$F779)="","",INDEX(選手一覧!$D$7:$D$2738,$F779))</f>
        <v/>
      </c>
      <c r="H779" s="17" t="str">
        <f aca="false">IF(INDEX(選手一覧!$E$7:$E$2738,$F779)="","",INDEX(選手一覧!$E$7:$E$2738,$F779))</f>
        <v/>
      </c>
      <c r="I779" s="16" t="str">
        <f aca="false">IF(INDEX(選手一覧!$J$7:$J$2738,$F779)="","",INDEX(選手一覧!$J$7:$J$2738,$F779))</f>
        <v/>
      </c>
      <c r="J779" s="17" t="str">
        <f aca="false">IF(INDEX(選手一覧!$K$7:$K$2738,$F779)="","",INDEX(選手一覧!$K$7:$K$2738,$F779))</f>
        <v/>
      </c>
    </row>
    <row r="780" customFormat="false" ht="15" hidden="false" customHeight="false" outlineLevel="0" collapsed="false">
      <c r="A780" s="17" t="n">
        <v>776</v>
      </c>
      <c r="B780" s="12" t="s">
        <v>2971</v>
      </c>
      <c r="C780" s="12" t="s">
        <v>2283</v>
      </c>
      <c r="D780" s="16" t="n">
        <v>0.00740381944444445</v>
      </c>
      <c r="E780" s="15" t="n">
        <f aca="false">ROUND((D780-$D$5)*86400,2)</f>
        <v>100.67</v>
      </c>
      <c r="F780" s="17" t="n">
        <v>1905</v>
      </c>
      <c r="G780" s="16" t="str">
        <f aca="false">IF(INDEX(選手一覧!$D$7:$D$2738,$F780)="","",INDEX(選手一覧!$D$7:$D$2738,$F780))</f>
        <v/>
      </c>
      <c r="H780" s="17" t="str">
        <f aca="false">IF(INDEX(選手一覧!$E$7:$E$2738,$F780)="","",INDEX(選手一覧!$E$7:$E$2738,$F780))</f>
        <v/>
      </c>
      <c r="I780" s="16" t="str">
        <f aca="false">IF(INDEX(選手一覧!$J$7:$J$2738,$F780)="","",INDEX(選手一覧!$J$7:$J$2738,$F780))</f>
        <v/>
      </c>
      <c r="J780" s="17" t="str">
        <f aca="false">IF(INDEX(選手一覧!$K$7:$K$2738,$F780)="","",INDEX(選手一覧!$K$7:$K$2738,$F780))</f>
        <v/>
      </c>
    </row>
    <row r="781" customFormat="false" ht="15" hidden="false" customHeight="false" outlineLevel="0" collapsed="false">
      <c r="A781" s="17" t="n">
        <v>777</v>
      </c>
      <c r="B781" s="12" t="s">
        <v>1741</v>
      </c>
      <c r="C781" s="12" t="s">
        <v>145</v>
      </c>
      <c r="D781" s="16" t="n">
        <v>0.00740451388888889</v>
      </c>
      <c r="E781" s="15" t="n">
        <f aca="false">ROUND((D781-$D$5)*86400,2)</f>
        <v>100.73</v>
      </c>
      <c r="F781" s="17" t="n">
        <v>1075</v>
      </c>
      <c r="G781" s="16" t="n">
        <f aca="false">IF(INDEX(選手一覧!$D$7:$D$2738,$F781)="","",INDEX(選手一覧!$D$7:$D$2738,$F781))</f>
        <v>0.0109872685185185</v>
      </c>
      <c r="H781" s="17" t="n">
        <f aca="false">IF(INDEX(選手一覧!$E$7:$E$2738,$F781)="","",INDEX(選手一覧!$E$7:$E$2738,$F781))</f>
        <v>1076</v>
      </c>
      <c r="I781" s="16" t="n">
        <f aca="false">IF(INDEX(選手一覧!$J$7:$J$2738,$F781)="","",INDEX(選手一覧!$J$7:$J$2738,$F781))</f>
        <v>0.00289212962962963</v>
      </c>
      <c r="J781" s="17" t="n">
        <f aca="false">IF(INDEX(選手一覧!$K$7:$K$2738,$F781)="","",INDEX(選手一覧!$K$7:$K$2738,$F781))</f>
        <v>892</v>
      </c>
    </row>
    <row r="782" customFormat="false" ht="15" hidden="false" customHeight="false" outlineLevel="0" collapsed="false">
      <c r="A782" s="17" t="n">
        <v>778</v>
      </c>
      <c r="B782" s="12" t="s">
        <v>2973</v>
      </c>
      <c r="C782" s="12" t="s">
        <v>161</v>
      </c>
      <c r="D782" s="16" t="n">
        <v>0.00740474537037037</v>
      </c>
      <c r="E782" s="15" t="n">
        <f aca="false">ROUND((D782-$D$5)*86400,2)</f>
        <v>100.75</v>
      </c>
      <c r="F782" s="17" t="n">
        <v>1907</v>
      </c>
      <c r="G782" s="16" t="str">
        <f aca="false">IF(INDEX(選手一覧!$D$7:$D$2738,$F782)="","",INDEX(選手一覧!$D$7:$D$2738,$F782))</f>
        <v/>
      </c>
      <c r="H782" s="17" t="str">
        <f aca="false">IF(INDEX(選手一覧!$E$7:$E$2738,$F782)="","",INDEX(選手一覧!$E$7:$E$2738,$F782))</f>
        <v/>
      </c>
      <c r="I782" s="16" t="str">
        <f aca="false">IF(INDEX(選手一覧!$J$7:$J$2738,$F782)="","",INDEX(選手一覧!$J$7:$J$2738,$F782))</f>
        <v/>
      </c>
      <c r="J782" s="17" t="str">
        <f aca="false">IF(INDEX(選手一覧!$K$7:$K$2738,$F782)="","",INDEX(選手一覧!$K$7:$K$2738,$F782))</f>
        <v/>
      </c>
    </row>
    <row r="783" customFormat="false" ht="15" hidden="false" customHeight="false" outlineLevel="0" collapsed="false">
      <c r="A783" s="17" t="n">
        <v>779</v>
      </c>
      <c r="B783" s="12" t="s">
        <v>2974</v>
      </c>
      <c r="C783" s="12" t="s">
        <v>2975</v>
      </c>
      <c r="D783" s="16" t="n">
        <v>0.00740509259259259</v>
      </c>
      <c r="E783" s="15" t="n">
        <f aca="false">ROUND((D783-$D$5)*86400,2)</f>
        <v>100.78</v>
      </c>
      <c r="F783" s="17" t="n">
        <v>1908</v>
      </c>
      <c r="G783" s="16" t="str">
        <f aca="false">IF(INDEX(選手一覧!$D$7:$D$2738,$F783)="","",INDEX(選手一覧!$D$7:$D$2738,$F783))</f>
        <v/>
      </c>
      <c r="H783" s="17" t="str">
        <f aca="false">IF(INDEX(選手一覧!$E$7:$E$2738,$F783)="","",INDEX(選手一覧!$E$7:$E$2738,$F783))</f>
        <v/>
      </c>
      <c r="I783" s="16" t="str">
        <f aca="false">IF(INDEX(選手一覧!$J$7:$J$2738,$F783)="","",INDEX(選手一覧!$J$7:$J$2738,$F783))</f>
        <v/>
      </c>
      <c r="J783" s="17" t="str">
        <f aca="false">IF(INDEX(選手一覧!$K$7:$K$2738,$F783)="","",INDEX(選手一覧!$K$7:$K$2738,$F783))</f>
        <v/>
      </c>
    </row>
    <row r="784" customFormat="false" ht="15" hidden="false" customHeight="false" outlineLevel="0" collapsed="false">
      <c r="A784" s="17" t="n">
        <v>780</v>
      </c>
      <c r="B784" s="12" t="s">
        <v>2977</v>
      </c>
      <c r="C784" s="12" t="s">
        <v>1392</v>
      </c>
      <c r="D784" s="16" t="n">
        <v>0.00740555555555556</v>
      </c>
      <c r="E784" s="15" t="n">
        <f aca="false">ROUND((D784-$D$5)*86400,2)</f>
        <v>100.82</v>
      </c>
      <c r="F784" s="17" t="n">
        <v>1910</v>
      </c>
      <c r="G784" s="16" t="str">
        <f aca="false">IF(INDEX(選手一覧!$D$7:$D$2738,$F784)="","",INDEX(選手一覧!$D$7:$D$2738,$F784))</f>
        <v/>
      </c>
      <c r="H784" s="17" t="str">
        <f aca="false">IF(INDEX(選手一覧!$E$7:$E$2738,$F784)="","",INDEX(選手一覧!$E$7:$E$2738,$F784))</f>
        <v/>
      </c>
      <c r="I784" s="16" t="str">
        <f aca="false">IF(INDEX(選手一覧!$J$7:$J$2738,$F784)="","",INDEX(選手一覧!$J$7:$J$2738,$F784))</f>
        <v/>
      </c>
      <c r="J784" s="17" t="str">
        <f aca="false">IF(INDEX(選手一覧!$K$7:$K$2738,$F784)="","",INDEX(選手一覧!$K$7:$K$2738,$F784))</f>
        <v/>
      </c>
    </row>
    <row r="785" customFormat="false" ht="15" hidden="false" customHeight="false" outlineLevel="0" collapsed="false">
      <c r="A785" s="17" t="n">
        <v>781</v>
      </c>
      <c r="B785" s="12" t="s">
        <v>760</v>
      </c>
      <c r="C785" s="12" t="s">
        <v>253</v>
      </c>
      <c r="D785" s="16" t="n">
        <v>0.00740578703703704</v>
      </c>
      <c r="E785" s="15" t="n">
        <f aca="false">ROUND((D785-$D$5)*86400,2)</f>
        <v>100.84</v>
      </c>
      <c r="F785" s="17" t="n">
        <v>423</v>
      </c>
      <c r="G785" s="16" t="n">
        <f aca="false">IF(INDEX(選手一覧!$D$7:$D$2738,$F785)="","",INDEX(選手一覧!$D$7:$D$2738,$F785))</f>
        <v>0.0105699074074074</v>
      </c>
      <c r="H785" s="17" t="n">
        <f aca="false">IF(INDEX(選手一覧!$E$7:$E$2738,$F785)="","",INDEX(選手一覧!$E$7:$E$2738,$F785))</f>
        <v>424</v>
      </c>
      <c r="I785" s="16" t="str">
        <f aca="false">IF(INDEX(選手一覧!$J$7:$J$2738,$F785)="","",INDEX(選手一覧!$J$7:$J$2738,$F785))</f>
        <v/>
      </c>
      <c r="J785" s="17" t="str">
        <f aca="false">IF(INDEX(選手一覧!$K$7:$K$2738,$F785)="","",INDEX(選手一覧!$K$7:$K$2738,$F785))</f>
        <v/>
      </c>
    </row>
    <row r="786" customFormat="false" ht="15" hidden="false" customHeight="false" outlineLevel="0" collapsed="false">
      <c r="A786" s="17" t="n">
        <v>782</v>
      </c>
      <c r="B786" s="12" t="s">
        <v>2979</v>
      </c>
      <c r="C786" s="12" t="s">
        <v>968</v>
      </c>
      <c r="D786" s="16" t="n">
        <v>0.00740868055555556</v>
      </c>
      <c r="E786" s="15" t="n">
        <f aca="false">ROUND((D786-$D$5)*86400,2)</f>
        <v>101.09</v>
      </c>
      <c r="F786" s="17" t="n">
        <v>1912</v>
      </c>
      <c r="G786" s="16" t="str">
        <f aca="false">IF(INDEX(選手一覧!$D$7:$D$2738,$F786)="","",INDEX(選手一覧!$D$7:$D$2738,$F786))</f>
        <v/>
      </c>
      <c r="H786" s="17" t="str">
        <f aca="false">IF(INDEX(選手一覧!$E$7:$E$2738,$F786)="","",INDEX(選手一覧!$E$7:$E$2738,$F786))</f>
        <v/>
      </c>
      <c r="I786" s="16" t="str">
        <f aca="false">IF(INDEX(選手一覧!$J$7:$J$2738,$F786)="","",INDEX(選手一覧!$J$7:$J$2738,$F786))</f>
        <v/>
      </c>
      <c r="J786" s="17" t="str">
        <f aca="false">IF(INDEX(選手一覧!$K$7:$K$2738,$F786)="","",INDEX(選手一覧!$K$7:$K$2738,$F786))</f>
        <v/>
      </c>
    </row>
    <row r="787" customFormat="false" ht="15" hidden="false" customHeight="false" outlineLevel="0" collapsed="false">
      <c r="A787" s="17" t="n">
        <v>783</v>
      </c>
      <c r="B787" s="12" t="s">
        <v>2981</v>
      </c>
      <c r="C787" s="12" t="s">
        <v>2982</v>
      </c>
      <c r="D787" s="16" t="n">
        <v>0.00740949074074074</v>
      </c>
      <c r="E787" s="15" t="n">
        <f aca="false">ROUND((D787-$D$5)*86400,2)</f>
        <v>101.16</v>
      </c>
      <c r="F787" s="17" t="n">
        <v>1914</v>
      </c>
      <c r="G787" s="16" t="str">
        <f aca="false">IF(INDEX(選手一覧!$D$7:$D$2738,$F787)="","",INDEX(選手一覧!$D$7:$D$2738,$F787))</f>
        <v/>
      </c>
      <c r="H787" s="17" t="str">
        <f aca="false">IF(INDEX(選手一覧!$E$7:$E$2738,$F787)="","",INDEX(選手一覧!$E$7:$E$2738,$F787))</f>
        <v/>
      </c>
      <c r="I787" s="16" t="str">
        <f aca="false">IF(INDEX(選手一覧!$J$7:$J$2738,$F787)="","",INDEX(選手一覧!$J$7:$J$2738,$F787))</f>
        <v/>
      </c>
      <c r="J787" s="17" t="str">
        <f aca="false">IF(INDEX(選手一覧!$K$7:$K$2738,$F787)="","",INDEX(選手一覧!$K$7:$K$2738,$F787))</f>
        <v/>
      </c>
    </row>
    <row r="788" customFormat="false" ht="15" hidden="false" customHeight="false" outlineLevel="0" collapsed="false">
      <c r="A788" s="17" t="n">
        <v>784</v>
      </c>
      <c r="B788" s="12" t="s">
        <v>2983</v>
      </c>
      <c r="C788" s="12" t="s">
        <v>2649</v>
      </c>
      <c r="D788" s="16" t="n">
        <v>0.00741122685185185</v>
      </c>
      <c r="E788" s="15" t="n">
        <f aca="false">ROUND((D788-$D$5)*86400,2)</f>
        <v>101.31</v>
      </c>
      <c r="F788" s="17" t="n">
        <v>1915</v>
      </c>
      <c r="G788" s="16" t="str">
        <f aca="false">IF(INDEX(選手一覧!$D$7:$D$2738,$F788)="","",INDEX(選手一覧!$D$7:$D$2738,$F788))</f>
        <v/>
      </c>
      <c r="H788" s="17" t="str">
        <f aca="false">IF(INDEX(選手一覧!$E$7:$E$2738,$F788)="","",INDEX(選手一覧!$E$7:$E$2738,$F788))</f>
        <v/>
      </c>
      <c r="I788" s="16" t="str">
        <f aca="false">IF(INDEX(選手一覧!$J$7:$J$2738,$F788)="","",INDEX(選手一覧!$J$7:$J$2738,$F788))</f>
        <v/>
      </c>
      <c r="J788" s="17" t="str">
        <f aca="false">IF(INDEX(選手一覧!$K$7:$K$2738,$F788)="","",INDEX(選手一覧!$K$7:$K$2738,$F788))</f>
        <v/>
      </c>
    </row>
    <row r="789" customFormat="false" ht="15" hidden="false" customHeight="false" outlineLevel="0" collapsed="false">
      <c r="A789" s="17" t="n">
        <v>785</v>
      </c>
      <c r="B789" s="12" t="s">
        <v>2984</v>
      </c>
      <c r="C789" s="12" t="s">
        <v>2587</v>
      </c>
      <c r="D789" s="16" t="n">
        <v>0.00741226851851852</v>
      </c>
      <c r="E789" s="15" t="n">
        <f aca="false">ROUND((D789-$D$5)*86400,2)</f>
        <v>101.4</v>
      </c>
      <c r="F789" s="17" t="n">
        <v>1916</v>
      </c>
      <c r="G789" s="16" t="str">
        <f aca="false">IF(INDEX(選手一覧!$D$7:$D$2738,$F789)="","",INDEX(選手一覧!$D$7:$D$2738,$F789))</f>
        <v/>
      </c>
      <c r="H789" s="17" t="str">
        <f aca="false">IF(INDEX(選手一覧!$E$7:$E$2738,$F789)="","",INDEX(選手一覧!$E$7:$E$2738,$F789))</f>
        <v/>
      </c>
      <c r="I789" s="16" t="str">
        <f aca="false">IF(INDEX(選手一覧!$J$7:$J$2738,$F789)="","",INDEX(選手一覧!$J$7:$J$2738,$F789))</f>
        <v/>
      </c>
      <c r="J789" s="17" t="str">
        <f aca="false">IF(INDEX(選手一覧!$K$7:$K$2738,$F789)="","",INDEX(選手一覧!$K$7:$K$2738,$F789))</f>
        <v/>
      </c>
    </row>
    <row r="790" customFormat="false" ht="15" hidden="false" customHeight="false" outlineLevel="0" collapsed="false">
      <c r="A790" s="17" t="n">
        <v>786</v>
      </c>
      <c r="B790" s="12" t="s">
        <v>1812</v>
      </c>
      <c r="C790" s="12" t="s">
        <v>1813</v>
      </c>
      <c r="D790" s="16" t="n">
        <v>0.00741400462962963</v>
      </c>
      <c r="E790" s="15" t="n">
        <f aca="false">ROUND((D790-$D$5)*86400,2)</f>
        <v>101.55</v>
      </c>
      <c r="F790" s="17" t="n">
        <v>1123</v>
      </c>
      <c r="G790" s="16" t="n">
        <f aca="false">IF(INDEX(選手一覧!$D$7:$D$2738,$F790)="","",INDEX(選手一覧!$D$7:$D$2738,$F790))</f>
        <v>0.0110175925925926</v>
      </c>
      <c r="H790" s="17" t="n">
        <f aca="false">IF(INDEX(選手一覧!$E$7:$E$2738,$F790)="","",INDEX(選手一覧!$E$7:$E$2738,$F790))</f>
        <v>1124</v>
      </c>
      <c r="I790" s="16" t="n">
        <f aca="false">IF(INDEX(選手一覧!$J$7:$J$2738,$F790)="","",INDEX(選手一覧!$J$7:$J$2738,$F790))</f>
        <v>0.00284386574074074</v>
      </c>
      <c r="J790" s="17" t="n">
        <f aca="false">IF(INDEX(選手一覧!$K$7:$K$2738,$F790)="","",INDEX(選手一覧!$K$7:$K$2738,$F790))</f>
        <v>523</v>
      </c>
    </row>
    <row r="791" customFormat="false" ht="15" hidden="false" customHeight="false" outlineLevel="0" collapsed="false">
      <c r="A791" s="17" t="n">
        <v>787</v>
      </c>
      <c r="B791" s="12" t="s">
        <v>2986</v>
      </c>
      <c r="C791" s="12" t="s">
        <v>1265</v>
      </c>
      <c r="D791" s="16" t="n">
        <v>0.00741493055555556</v>
      </c>
      <c r="E791" s="15" t="n">
        <f aca="false">ROUND((D791-$D$5)*86400,2)</f>
        <v>101.63</v>
      </c>
      <c r="F791" s="17" t="n">
        <v>1918</v>
      </c>
      <c r="G791" s="16" t="str">
        <f aca="false">IF(INDEX(選手一覧!$D$7:$D$2738,$F791)="","",INDEX(選手一覧!$D$7:$D$2738,$F791))</f>
        <v/>
      </c>
      <c r="H791" s="17" t="str">
        <f aca="false">IF(INDEX(選手一覧!$E$7:$E$2738,$F791)="","",INDEX(選手一覧!$E$7:$E$2738,$F791))</f>
        <v/>
      </c>
      <c r="I791" s="16" t="str">
        <f aca="false">IF(INDEX(選手一覧!$J$7:$J$2738,$F791)="","",INDEX(選手一覧!$J$7:$J$2738,$F791))</f>
        <v/>
      </c>
      <c r="J791" s="17" t="str">
        <f aca="false">IF(INDEX(選手一覧!$K$7:$K$2738,$F791)="","",INDEX(選手一覧!$K$7:$K$2738,$F791))</f>
        <v/>
      </c>
    </row>
    <row r="792" customFormat="false" ht="15" hidden="false" customHeight="false" outlineLevel="0" collapsed="false">
      <c r="A792" s="17" t="n">
        <v>788</v>
      </c>
      <c r="B792" s="12" t="s">
        <v>2480</v>
      </c>
      <c r="C792" s="12" t="s">
        <v>2318</v>
      </c>
      <c r="D792" s="16" t="n">
        <v>0.00741527777777778</v>
      </c>
      <c r="E792" s="15" t="n">
        <f aca="false">ROUND((D792-$D$5)*86400,2)</f>
        <v>101.66</v>
      </c>
      <c r="F792" s="17" t="n">
        <v>1584</v>
      </c>
      <c r="G792" s="16" t="str">
        <f aca="false">IF(INDEX(選手一覧!$D$7:$D$2738,$F792)="","",INDEX(選手一覧!$D$7:$D$2738,$F792))</f>
        <v/>
      </c>
      <c r="H792" s="17" t="str">
        <f aca="false">IF(INDEX(選手一覧!$E$7:$E$2738,$F792)="","",INDEX(選手一覧!$E$7:$E$2738,$F792))</f>
        <v/>
      </c>
      <c r="I792" s="16" t="n">
        <f aca="false">IF(INDEX(選手一覧!$J$7:$J$2738,$F792)="","",INDEX(選手一覧!$J$7:$J$2738,$F792))</f>
        <v>0.00283912037037037</v>
      </c>
      <c r="J792" s="17" t="n">
        <f aca="false">IF(INDEX(選手一覧!$K$7:$K$2738,$F792)="","",INDEX(選手一覧!$K$7:$K$2738,$F792))</f>
        <v>489</v>
      </c>
    </row>
    <row r="793" customFormat="false" ht="15" hidden="false" customHeight="false" outlineLevel="0" collapsed="false">
      <c r="A793" s="17" t="n">
        <v>789</v>
      </c>
      <c r="B793" s="12" t="s">
        <v>2989</v>
      </c>
      <c r="C793" s="12" t="s">
        <v>591</v>
      </c>
      <c r="D793" s="16" t="n">
        <v>0.00741678240740741</v>
      </c>
      <c r="E793" s="15" t="n">
        <f aca="false">ROUND((D793-$D$5)*86400,2)</f>
        <v>101.79</v>
      </c>
      <c r="F793" s="17" t="n">
        <v>1920</v>
      </c>
      <c r="G793" s="16" t="str">
        <f aca="false">IF(INDEX(選手一覧!$D$7:$D$2738,$F793)="","",INDEX(選手一覧!$D$7:$D$2738,$F793))</f>
        <v/>
      </c>
      <c r="H793" s="17" t="str">
        <f aca="false">IF(INDEX(選手一覧!$E$7:$E$2738,$F793)="","",INDEX(選手一覧!$E$7:$E$2738,$F793))</f>
        <v/>
      </c>
      <c r="I793" s="16" t="str">
        <f aca="false">IF(INDEX(選手一覧!$J$7:$J$2738,$F793)="","",INDEX(選手一覧!$J$7:$J$2738,$F793))</f>
        <v/>
      </c>
      <c r="J793" s="17" t="str">
        <f aca="false">IF(INDEX(選手一覧!$K$7:$K$2738,$F793)="","",INDEX(選手一覧!$K$7:$K$2738,$F793))</f>
        <v/>
      </c>
    </row>
    <row r="794" customFormat="false" ht="15" hidden="false" customHeight="false" outlineLevel="0" collapsed="false">
      <c r="A794" s="17" t="n">
        <v>790</v>
      </c>
      <c r="B794" s="12" t="s">
        <v>2991</v>
      </c>
      <c r="C794" s="12" t="s">
        <v>2992</v>
      </c>
      <c r="D794" s="16" t="n">
        <v>0.00741724537037037</v>
      </c>
      <c r="E794" s="15" t="n">
        <f aca="false">ROUND((D794-$D$5)*86400,2)</f>
        <v>101.83</v>
      </c>
      <c r="F794" s="17" t="n">
        <v>1922</v>
      </c>
      <c r="G794" s="16" t="str">
        <f aca="false">IF(INDEX(選手一覧!$D$7:$D$2738,$F794)="","",INDEX(選手一覧!$D$7:$D$2738,$F794))</f>
        <v/>
      </c>
      <c r="H794" s="17" t="str">
        <f aca="false">IF(INDEX(選手一覧!$E$7:$E$2738,$F794)="","",INDEX(選手一覧!$E$7:$E$2738,$F794))</f>
        <v/>
      </c>
      <c r="I794" s="16" t="str">
        <f aca="false">IF(INDEX(選手一覧!$J$7:$J$2738,$F794)="","",INDEX(選手一覧!$J$7:$J$2738,$F794))</f>
        <v/>
      </c>
      <c r="J794" s="17" t="str">
        <f aca="false">IF(INDEX(選手一覧!$K$7:$K$2738,$F794)="","",INDEX(選手一覧!$K$7:$K$2738,$F794))</f>
        <v/>
      </c>
    </row>
    <row r="795" customFormat="false" ht="15" hidden="false" customHeight="false" outlineLevel="0" collapsed="false">
      <c r="A795" s="17" t="n">
        <v>791</v>
      </c>
      <c r="B795" s="12" t="s">
        <v>2993</v>
      </c>
      <c r="C795" s="12" t="s">
        <v>1049</v>
      </c>
      <c r="D795" s="16" t="n">
        <v>0.00741736111111111</v>
      </c>
      <c r="E795" s="15" t="n">
        <f aca="false">ROUND((D795-$D$5)*86400,2)</f>
        <v>101.84</v>
      </c>
      <c r="F795" s="17" t="n">
        <v>1923</v>
      </c>
      <c r="G795" s="16" t="str">
        <f aca="false">IF(INDEX(選手一覧!$D$7:$D$2738,$F795)="","",INDEX(選手一覧!$D$7:$D$2738,$F795))</f>
        <v/>
      </c>
      <c r="H795" s="17" t="str">
        <f aca="false">IF(INDEX(選手一覧!$E$7:$E$2738,$F795)="","",INDEX(選手一覧!$E$7:$E$2738,$F795))</f>
        <v/>
      </c>
      <c r="I795" s="16" t="str">
        <f aca="false">IF(INDEX(選手一覧!$J$7:$J$2738,$F795)="","",INDEX(選手一覧!$J$7:$J$2738,$F795))</f>
        <v/>
      </c>
      <c r="J795" s="17" t="str">
        <f aca="false">IF(INDEX(選手一覧!$K$7:$K$2738,$F795)="","",INDEX(選手一覧!$K$7:$K$2738,$F795))</f>
        <v/>
      </c>
    </row>
    <row r="796" customFormat="false" ht="15" hidden="false" customHeight="false" outlineLevel="0" collapsed="false">
      <c r="A796" s="17" t="n">
        <v>792</v>
      </c>
      <c r="B796" s="12" t="s">
        <v>2994</v>
      </c>
      <c r="C796" s="12" t="s">
        <v>1035</v>
      </c>
      <c r="D796" s="16" t="n">
        <v>0.00741747685185185</v>
      </c>
      <c r="E796" s="15" t="n">
        <f aca="false">ROUND((D796-$D$5)*86400,2)</f>
        <v>101.85</v>
      </c>
      <c r="F796" s="17" t="n">
        <v>1924</v>
      </c>
      <c r="G796" s="16" t="str">
        <f aca="false">IF(INDEX(選手一覧!$D$7:$D$2738,$F796)="","",INDEX(選手一覧!$D$7:$D$2738,$F796))</f>
        <v/>
      </c>
      <c r="H796" s="17" t="str">
        <f aca="false">IF(INDEX(選手一覧!$E$7:$E$2738,$F796)="","",INDEX(選手一覧!$E$7:$E$2738,$F796))</f>
        <v/>
      </c>
      <c r="I796" s="16" t="str">
        <f aca="false">IF(INDEX(選手一覧!$J$7:$J$2738,$F796)="","",INDEX(選手一覧!$J$7:$J$2738,$F796))</f>
        <v/>
      </c>
      <c r="J796" s="17" t="str">
        <f aca="false">IF(INDEX(選手一覧!$K$7:$K$2738,$F796)="","",INDEX(選手一覧!$K$7:$K$2738,$F796))</f>
        <v/>
      </c>
    </row>
    <row r="797" customFormat="false" ht="15" hidden="false" customHeight="false" outlineLevel="0" collapsed="false">
      <c r="A797" s="17" t="n">
        <v>793</v>
      </c>
      <c r="B797" s="12" t="s">
        <v>2996</v>
      </c>
      <c r="C797" s="12" t="s">
        <v>1684</v>
      </c>
      <c r="D797" s="16" t="n">
        <v>0.00741886574074074</v>
      </c>
      <c r="E797" s="15" t="n">
        <f aca="false">ROUND((D797-$D$5)*86400,2)</f>
        <v>101.97</v>
      </c>
      <c r="F797" s="17" t="n">
        <v>1926</v>
      </c>
      <c r="G797" s="16" t="str">
        <f aca="false">IF(INDEX(選手一覧!$D$7:$D$2738,$F797)="","",INDEX(選手一覧!$D$7:$D$2738,$F797))</f>
        <v/>
      </c>
      <c r="H797" s="17" t="str">
        <f aca="false">IF(INDEX(選手一覧!$E$7:$E$2738,$F797)="","",INDEX(選手一覧!$E$7:$E$2738,$F797))</f>
        <v/>
      </c>
      <c r="I797" s="16" t="str">
        <f aca="false">IF(INDEX(選手一覧!$J$7:$J$2738,$F797)="","",INDEX(選手一覧!$J$7:$J$2738,$F797))</f>
        <v/>
      </c>
      <c r="J797" s="17" t="str">
        <f aca="false">IF(INDEX(選手一覧!$K$7:$K$2738,$F797)="","",INDEX(選手一覧!$K$7:$K$2738,$F797))</f>
        <v/>
      </c>
    </row>
    <row r="798" customFormat="false" ht="15" hidden="false" customHeight="false" outlineLevel="0" collapsed="false">
      <c r="A798" s="17" t="n">
        <v>794</v>
      </c>
      <c r="B798" s="12" t="s">
        <v>2997</v>
      </c>
      <c r="C798" s="12" t="s">
        <v>2998</v>
      </c>
      <c r="D798" s="16" t="n">
        <v>0.00742025462962963</v>
      </c>
      <c r="E798" s="15" t="n">
        <f aca="false">ROUND((D798-$D$5)*86400,2)</f>
        <v>102.09</v>
      </c>
      <c r="F798" s="17" t="n">
        <v>1927</v>
      </c>
      <c r="G798" s="16" t="str">
        <f aca="false">IF(INDEX(選手一覧!$D$7:$D$2738,$F798)="","",INDEX(選手一覧!$D$7:$D$2738,$F798))</f>
        <v/>
      </c>
      <c r="H798" s="17" t="str">
        <f aca="false">IF(INDEX(選手一覧!$E$7:$E$2738,$F798)="","",INDEX(選手一覧!$E$7:$E$2738,$F798))</f>
        <v/>
      </c>
      <c r="I798" s="16" t="str">
        <f aca="false">IF(INDEX(選手一覧!$J$7:$J$2738,$F798)="","",INDEX(選手一覧!$J$7:$J$2738,$F798))</f>
        <v/>
      </c>
      <c r="J798" s="17" t="str">
        <f aca="false">IF(INDEX(選手一覧!$K$7:$K$2738,$F798)="","",INDEX(選手一覧!$K$7:$K$2738,$F798))</f>
        <v/>
      </c>
    </row>
    <row r="799" customFormat="false" ht="15" hidden="false" customHeight="false" outlineLevel="0" collapsed="false">
      <c r="A799" s="17" t="n">
        <v>795</v>
      </c>
      <c r="B799" s="12" t="s">
        <v>751</v>
      </c>
      <c r="C799" s="12" t="s">
        <v>406</v>
      </c>
      <c r="D799" s="16" t="n">
        <v>0.00742060185185185</v>
      </c>
      <c r="E799" s="15" t="n">
        <f aca="false">ROUND((D799-$D$5)*86400,2)</f>
        <v>102.12</v>
      </c>
      <c r="F799" s="17" t="n">
        <v>417</v>
      </c>
      <c r="G799" s="16" t="n">
        <f aca="false">IF(INDEX(選手一覧!$D$7:$D$2738,$F799)="","",INDEX(選手一覧!$D$7:$D$2738,$F799))</f>
        <v>0.0105646990740741</v>
      </c>
      <c r="H799" s="17" t="n">
        <f aca="false">IF(INDEX(選手一覧!$E$7:$E$2738,$F799)="","",INDEX(選手一覧!$E$7:$E$2738,$F799))</f>
        <v>418</v>
      </c>
      <c r="I799" s="16" t="str">
        <f aca="false">IF(INDEX(選手一覧!$J$7:$J$2738,$F799)="","",INDEX(選手一覧!$J$7:$J$2738,$F799))</f>
        <v/>
      </c>
      <c r="J799" s="17" t="str">
        <f aca="false">IF(INDEX(選手一覧!$K$7:$K$2738,$F799)="","",INDEX(選手一覧!$K$7:$K$2738,$F799))</f>
        <v/>
      </c>
    </row>
    <row r="800" customFormat="false" ht="15" hidden="false" customHeight="false" outlineLevel="0" collapsed="false">
      <c r="A800" s="17" t="n">
        <v>796</v>
      </c>
      <c r="B800" s="12" t="s">
        <v>3000</v>
      </c>
      <c r="C800" s="12" t="s">
        <v>1677</v>
      </c>
      <c r="D800" s="16" t="n">
        <v>0.00742118055555556</v>
      </c>
      <c r="E800" s="15" t="n">
        <f aca="false">ROUND((D800-$D$5)*86400,2)</f>
        <v>102.17</v>
      </c>
      <c r="F800" s="17" t="n">
        <v>1929</v>
      </c>
      <c r="G800" s="16" t="str">
        <f aca="false">IF(INDEX(選手一覧!$D$7:$D$2738,$F800)="","",INDEX(選手一覧!$D$7:$D$2738,$F800))</f>
        <v/>
      </c>
      <c r="H800" s="17" t="str">
        <f aca="false">IF(INDEX(選手一覧!$E$7:$E$2738,$F800)="","",INDEX(選手一覧!$E$7:$E$2738,$F800))</f>
        <v/>
      </c>
      <c r="I800" s="16" t="str">
        <f aca="false">IF(INDEX(選手一覧!$J$7:$J$2738,$F800)="","",INDEX(選手一覧!$J$7:$J$2738,$F800))</f>
        <v/>
      </c>
      <c r="J800" s="17" t="str">
        <f aca="false">IF(INDEX(選手一覧!$K$7:$K$2738,$F800)="","",INDEX(選手一覧!$K$7:$K$2738,$F800))</f>
        <v/>
      </c>
    </row>
    <row r="801" customFormat="false" ht="15" hidden="false" customHeight="false" outlineLevel="0" collapsed="false">
      <c r="A801" s="17" t="n">
        <v>797</v>
      </c>
      <c r="B801" s="12" t="s">
        <v>1347</v>
      </c>
      <c r="C801" s="12" t="s">
        <v>1348</v>
      </c>
      <c r="D801" s="16" t="n">
        <v>0.00742210648148148</v>
      </c>
      <c r="E801" s="15" t="n">
        <f aca="false">ROUND((D801-$D$5)*86400,2)</f>
        <v>102.25</v>
      </c>
      <c r="F801" s="17" t="n">
        <v>812</v>
      </c>
      <c r="G801" s="16" t="n">
        <f aca="false">IF(INDEX(選手一覧!$D$7:$D$2738,$F801)="","",INDEX(選手一覧!$D$7:$D$2738,$F801))</f>
        <v>0.0108391203703704</v>
      </c>
      <c r="H801" s="17" t="n">
        <f aca="false">IF(INDEX(選手一覧!$E$7:$E$2738,$F801)="","",INDEX(選手一覧!$E$7:$E$2738,$F801))</f>
        <v>813</v>
      </c>
      <c r="I801" s="16" t="str">
        <f aca="false">IF(INDEX(選手一覧!$J$7:$J$2738,$F801)="","",INDEX(選手一覧!$J$7:$J$2738,$F801))</f>
        <v/>
      </c>
      <c r="J801" s="17" t="str">
        <f aca="false">IF(INDEX(選手一覧!$K$7:$K$2738,$F801)="","",INDEX(選手一覧!$K$7:$K$2738,$F801))</f>
        <v/>
      </c>
    </row>
    <row r="802" customFormat="false" ht="15" hidden="false" customHeight="false" outlineLevel="0" collapsed="false">
      <c r="A802" s="17" t="n">
        <v>798</v>
      </c>
      <c r="B802" s="12" t="s">
        <v>3002</v>
      </c>
      <c r="C802" s="12" t="s">
        <v>817</v>
      </c>
      <c r="D802" s="16" t="n">
        <v>0.00742372685185185</v>
      </c>
      <c r="E802" s="15" t="n">
        <f aca="false">ROUND((D802-$D$5)*86400,2)</f>
        <v>102.39</v>
      </c>
      <c r="F802" s="17" t="n">
        <v>1931</v>
      </c>
      <c r="G802" s="16" t="str">
        <f aca="false">IF(INDEX(選手一覧!$D$7:$D$2738,$F802)="","",INDEX(選手一覧!$D$7:$D$2738,$F802))</f>
        <v/>
      </c>
      <c r="H802" s="17" t="str">
        <f aca="false">IF(INDEX(選手一覧!$E$7:$E$2738,$F802)="","",INDEX(選手一覧!$E$7:$E$2738,$F802))</f>
        <v/>
      </c>
      <c r="I802" s="16" t="str">
        <f aca="false">IF(INDEX(選手一覧!$J$7:$J$2738,$F802)="","",INDEX(選手一覧!$J$7:$J$2738,$F802))</f>
        <v/>
      </c>
      <c r="J802" s="17" t="str">
        <f aca="false">IF(INDEX(選手一覧!$K$7:$K$2738,$F802)="","",INDEX(選手一覧!$K$7:$K$2738,$F802))</f>
        <v/>
      </c>
    </row>
    <row r="803" customFormat="false" ht="15" hidden="false" customHeight="false" outlineLevel="0" collapsed="false">
      <c r="A803" s="17" t="n">
        <v>799</v>
      </c>
      <c r="B803" s="12" t="s">
        <v>3004</v>
      </c>
      <c r="C803" s="12" t="s">
        <v>613</v>
      </c>
      <c r="D803" s="16" t="n">
        <v>0.0074244212962963</v>
      </c>
      <c r="E803" s="15" t="n">
        <f aca="false">ROUND((D803-$D$5)*86400,2)</f>
        <v>102.45</v>
      </c>
      <c r="F803" s="17" t="n">
        <v>1933</v>
      </c>
      <c r="G803" s="16" t="str">
        <f aca="false">IF(INDEX(選手一覧!$D$7:$D$2738,$F803)="","",INDEX(選手一覧!$D$7:$D$2738,$F803))</f>
        <v/>
      </c>
      <c r="H803" s="17" t="str">
        <f aca="false">IF(INDEX(選手一覧!$E$7:$E$2738,$F803)="","",INDEX(選手一覧!$E$7:$E$2738,$F803))</f>
        <v/>
      </c>
      <c r="I803" s="16" t="str">
        <f aca="false">IF(INDEX(選手一覧!$J$7:$J$2738,$F803)="","",INDEX(選手一覧!$J$7:$J$2738,$F803))</f>
        <v/>
      </c>
      <c r="J803" s="17" t="str">
        <f aca="false">IF(INDEX(選手一覧!$K$7:$K$2738,$F803)="","",INDEX(選手一覧!$K$7:$K$2738,$F803))</f>
        <v/>
      </c>
    </row>
    <row r="804" customFormat="false" ht="15" hidden="false" customHeight="false" outlineLevel="0" collapsed="false">
      <c r="A804" s="17" t="n">
        <v>800</v>
      </c>
      <c r="B804" s="12" t="s">
        <v>3005</v>
      </c>
      <c r="C804" s="12" t="s">
        <v>3006</v>
      </c>
      <c r="D804" s="16" t="n">
        <v>0.00742638888888889</v>
      </c>
      <c r="E804" s="15" t="n">
        <f aca="false">ROUND((D804-$D$5)*86400,2)</f>
        <v>102.62</v>
      </c>
      <c r="F804" s="17" t="n">
        <v>1934</v>
      </c>
      <c r="G804" s="16" t="str">
        <f aca="false">IF(INDEX(選手一覧!$D$7:$D$2738,$F804)="","",INDEX(選手一覧!$D$7:$D$2738,$F804))</f>
        <v/>
      </c>
      <c r="H804" s="17" t="str">
        <f aca="false">IF(INDEX(選手一覧!$E$7:$E$2738,$F804)="","",INDEX(選手一覧!$E$7:$E$2738,$F804))</f>
        <v/>
      </c>
      <c r="I804" s="16" t="str">
        <f aca="false">IF(INDEX(選手一覧!$J$7:$J$2738,$F804)="","",INDEX(選手一覧!$J$7:$J$2738,$F804))</f>
        <v/>
      </c>
      <c r="J804" s="17" t="str">
        <f aca="false">IF(INDEX(選手一覧!$K$7:$K$2738,$F804)="","",INDEX(選手一覧!$K$7:$K$2738,$F804))</f>
        <v/>
      </c>
    </row>
    <row r="805" customFormat="false" ht="15" hidden="false" customHeight="false" outlineLevel="0" collapsed="false">
      <c r="A805" s="17" t="n">
        <v>801</v>
      </c>
      <c r="B805" s="12" t="s">
        <v>3008</v>
      </c>
      <c r="C805" s="12" t="s">
        <v>3009</v>
      </c>
      <c r="D805" s="16" t="n">
        <v>0.00742743055555556</v>
      </c>
      <c r="E805" s="15" t="n">
        <f aca="false">ROUND((D805-$D$5)*86400,2)</f>
        <v>102.71</v>
      </c>
      <c r="F805" s="17" t="n">
        <v>1936</v>
      </c>
      <c r="G805" s="16" t="str">
        <f aca="false">IF(INDEX(選手一覧!$D$7:$D$2738,$F805)="","",INDEX(選手一覧!$D$7:$D$2738,$F805))</f>
        <v/>
      </c>
      <c r="H805" s="17" t="str">
        <f aca="false">IF(INDEX(選手一覧!$E$7:$E$2738,$F805)="","",INDEX(選手一覧!$E$7:$E$2738,$F805))</f>
        <v/>
      </c>
      <c r="I805" s="16" t="str">
        <f aca="false">IF(INDEX(選手一覧!$J$7:$J$2738,$F805)="","",INDEX(選手一覧!$J$7:$J$2738,$F805))</f>
        <v/>
      </c>
      <c r="J805" s="17" t="str">
        <f aca="false">IF(INDEX(選手一覧!$K$7:$K$2738,$F805)="","",INDEX(選手一覧!$K$7:$K$2738,$F805))</f>
        <v/>
      </c>
    </row>
    <row r="806" customFormat="false" ht="15" hidden="false" customHeight="false" outlineLevel="0" collapsed="false">
      <c r="A806" s="17" t="n">
        <v>802</v>
      </c>
      <c r="B806" s="12" t="s">
        <v>3010</v>
      </c>
      <c r="C806" s="12" t="s">
        <v>953</v>
      </c>
      <c r="D806" s="16" t="n">
        <v>0.00742905092592593</v>
      </c>
      <c r="E806" s="15" t="n">
        <f aca="false">ROUND((D806-$D$5)*86400,2)</f>
        <v>102.85</v>
      </c>
      <c r="F806" s="17" t="n">
        <v>1937</v>
      </c>
      <c r="G806" s="16" t="str">
        <f aca="false">IF(INDEX(選手一覧!$D$7:$D$2738,$F806)="","",INDEX(選手一覧!$D$7:$D$2738,$F806))</f>
        <v/>
      </c>
      <c r="H806" s="17" t="str">
        <f aca="false">IF(INDEX(選手一覧!$E$7:$E$2738,$F806)="","",INDEX(選手一覧!$E$7:$E$2738,$F806))</f>
        <v/>
      </c>
      <c r="I806" s="16" t="str">
        <f aca="false">IF(INDEX(選手一覧!$J$7:$J$2738,$F806)="","",INDEX(選手一覧!$J$7:$J$2738,$F806))</f>
        <v/>
      </c>
      <c r="J806" s="17" t="str">
        <f aca="false">IF(INDEX(選手一覧!$K$7:$K$2738,$F806)="","",INDEX(選手一覧!$K$7:$K$2738,$F806))</f>
        <v/>
      </c>
    </row>
    <row r="807" customFormat="false" ht="15" hidden="false" customHeight="false" outlineLevel="0" collapsed="false">
      <c r="A807" s="17" t="n">
        <v>803</v>
      </c>
      <c r="B807" s="12" t="s">
        <v>3011</v>
      </c>
      <c r="C807" s="12" t="s">
        <v>3012</v>
      </c>
      <c r="D807" s="16" t="n">
        <v>0.00742916666666667</v>
      </c>
      <c r="E807" s="15" t="n">
        <f aca="false">ROUND((D807-$D$5)*86400,2)</f>
        <v>102.86</v>
      </c>
      <c r="F807" s="17" t="n">
        <v>1938</v>
      </c>
      <c r="G807" s="16" t="str">
        <f aca="false">IF(INDEX(選手一覧!$D$7:$D$2738,$F807)="","",INDEX(選手一覧!$D$7:$D$2738,$F807))</f>
        <v/>
      </c>
      <c r="H807" s="17" t="str">
        <f aca="false">IF(INDEX(選手一覧!$E$7:$E$2738,$F807)="","",INDEX(選手一覧!$E$7:$E$2738,$F807))</f>
        <v/>
      </c>
      <c r="I807" s="16" t="str">
        <f aca="false">IF(INDEX(選手一覧!$J$7:$J$2738,$F807)="","",INDEX(選手一覧!$J$7:$J$2738,$F807))</f>
        <v/>
      </c>
      <c r="J807" s="17" t="str">
        <f aca="false">IF(INDEX(選手一覧!$K$7:$K$2738,$F807)="","",INDEX(選手一覧!$K$7:$K$2738,$F807))</f>
        <v/>
      </c>
    </row>
    <row r="808" customFormat="false" ht="15" hidden="false" customHeight="false" outlineLevel="0" collapsed="false">
      <c r="A808" s="17" t="n">
        <v>804</v>
      </c>
      <c r="B808" s="12" t="s">
        <v>2012</v>
      </c>
      <c r="C808" s="12" t="s">
        <v>103</v>
      </c>
      <c r="D808" s="16" t="n">
        <v>0.00742951388888889</v>
      </c>
      <c r="E808" s="15" t="n">
        <f aca="false">ROUND((D808-$D$5)*86400,2)</f>
        <v>102.89</v>
      </c>
      <c r="F808" s="17" t="n">
        <v>1267</v>
      </c>
      <c r="G808" s="16" t="n">
        <f aca="false">IF(INDEX(選手一覧!$D$7:$D$2738,$F808)="","",INDEX(選手一覧!$D$7:$D$2738,$F808))</f>
        <v>0.0110979166666667</v>
      </c>
      <c r="H808" s="17" t="n">
        <f aca="false">IF(INDEX(選手一覧!$E$7:$E$2738,$F808)="","",INDEX(選手一覧!$E$7:$E$2738,$F808))</f>
        <v>1268</v>
      </c>
      <c r="I808" s="16" t="n">
        <f aca="false">IF(INDEX(選手一覧!$J$7:$J$2738,$F808)="","",INDEX(選手一覧!$J$7:$J$2738,$F808))</f>
        <v>0.00291412037037037</v>
      </c>
      <c r="J808" s="17" t="n">
        <f aca="false">IF(INDEX(選手一覧!$K$7:$K$2738,$F808)="","",INDEX(選手一覧!$K$7:$K$2738,$F808))</f>
        <v>1051</v>
      </c>
    </row>
    <row r="809" customFormat="false" ht="15" hidden="false" customHeight="false" outlineLevel="0" collapsed="false">
      <c r="A809" s="17" t="n">
        <v>805</v>
      </c>
      <c r="B809" s="12" t="s">
        <v>1653</v>
      </c>
      <c r="C809" s="12" t="s">
        <v>1049</v>
      </c>
      <c r="D809" s="16" t="n">
        <v>0.00743009259259259</v>
      </c>
      <c r="E809" s="15" t="n">
        <f aca="false">ROUND((D809-$D$5)*86400,2)</f>
        <v>102.94</v>
      </c>
      <c r="F809" s="17" t="n">
        <v>1018</v>
      </c>
      <c r="G809" s="16" t="n">
        <f aca="false">IF(INDEX(選手一覧!$D$7:$D$2738,$F809)="","",INDEX(選手一覧!$D$7:$D$2738,$F809))</f>
        <v>0.0109579861111111</v>
      </c>
      <c r="H809" s="17" t="n">
        <f aca="false">IF(INDEX(選手一覧!$E$7:$E$2738,$F809)="","",INDEX(選手一覧!$E$7:$E$2738,$F809))</f>
        <v>1019</v>
      </c>
      <c r="I809" s="16" t="n">
        <f aca="false">IF(INDEX(選手一覧!$J$7:$J$2738,$F809)="","",INDEX(選手一覧!$J$7:$J$2738,$F809))</f>
        <v>0.0028681712962963</v>
      </c>
      <c r="J809" s="17" t="n">
        <f aca="false">IF(INDEX(選手一覧!$K$7:$K$2738,$F809)="","",INDEX(選手一覧!$K$7:$K$2738,$F809))</f>
        <v>682</v>
      </c>
    </row>
    <row r="810" customFormat="false" ht="15" hidden="false" customHeight="false" outlineLevel="0" collapsed="false">
      <c r="A810" s="17" t="n">
        <v>806</v>
      </c>
      <c r="B810" s="12" t="s">
        <v>3014</v>
      </c>
      <c r="C810" s="12" t="s">
        <v>1877</v>
      </c>
      <c r="D810" s="16" t="n">
        <v>0.00743032407407407</v>
      </c>
      <c r="E810" s="15" t="n">
        <f aca="false">ROUND((D810-$D$5)*86400,2)</f>
        <v>102.96</v>
      </c>
      <c r="F810" s="17" t="n">
        <v>1940</v>
      </c>
      <c r="G810" s="16" t="str">
        <f aca="false">IF(INDEX(選手一覧!$D$7:$D$2738,$F810)="","",INDEX(選手一覧!$D$7:$D$2738,$F810))</f>
        <v/>
      </c>
      <c r="H810" s="17" t="str">
        <f aca="false">IF(INDEX(選手一覧!$E$7:$E$2738,$F810)="","",INDEX(選手一覧!$E$7:$E$2738,$F810))</f>
        <v/>
      </c>
      <c r="I810" s="16" t="str">
        <f aca="false">IF(INDEX(選手一覧!$J$7:$J$2738,$F810)="","",INDEX(選手一覧!$J$7:$J$2738,$F810))</f>
        <v/>
      </c>
      <c r="J810" s="17" t="str">
        <f aca="false">IF(INDEX(選手一覧!$K$7:$K$2738,$F810)="","",INDEX(選手一覧!$K$7:$K$2738,$F810))</f>
        <v/>
      </c>
    </row>
    <row r="811" customFormat="false" ht="15" hidden="false" customHeight="false" outlineLevel="0" collapsed="false">
      <c r="A811" s="17" t="n">
        <v>807</v>
      </c>
      <c r="B811" s="12" t="s">
        <v>3017</v>
      </c>
      <c r="C811" s="12" t="s">
        <v>3018</v>
      </c>
      <c r="D811" s="16" t="n">
        <v>0.00743148148148148</v>
      </c>
      <c r="E811" s="15" t="n">
        <f aca="false">ROUND((D811-$D$5)*86400,2)</f>
        <v>103.06</v>
      </c>
      <c r="F811" s="17" t="n">
        <v>1942</v>
      </c>
      <c r="G811" s="16" t="str">
        <f aca="false">IF(INDEX(選手一覧!$D$7:$D$2738,$F811)="","",INDEX(選手一覧!$D$7:$D$2738,$F811))</f>
        <v/>
      </c>
      <c r="H811" s="17" t="str">
        <f aca="false">IF(INDEX(選手一覧!$E$7:$E$2738,$F811)="","",INDEX(選手一覧!$E$7:$E$2738,$F811))</f>
        <v/>
      </c>
      <c r="I811" s="16" t="str">
        <f aca="false">IF(INDEX(選手一覧!$J$7:$J$2738,$F811)="","",INDEX(選手一覧!$J$7:$J$2738,$F811))</f>
        <v/>
      </c>
      <c r="J811" s="17" t="str">
        <f aca="false">IF(INDEX(選手一覧!$K$7:$K$2738,$F811)="","",INDEX(選手一覧!$K$7:$K$2738,$F811))</f>
        <v/>
      </c>
    </row>
    <row r="812" customFormat="false" ht="15" hidden="false" customHeight="false" outlineLevel="0" collapsed="false">
      <c r="A812" s="17" t="n">
        <v>808</v>
      </c>
      <c r="B812" s="12" t="s">
        <v>3021</v>
      </c>
      <c r="C812" s="12" t="s">
        <v>3022</v>
      </c>
      <c r="D812" s="16" t="n">
        <v>0.00743240740740741</v>
      </c>
      <c r="E812" s="15" t="n">
        <f aca="false">ROUND((D812-$D$5)*86400,2)</f>
        <v>103.14</v>
      </c>
      <c r="F812" s="17" t="n">
        <v>1944</v>
      </c>
      <c r="G812" s="16" t="str">
        <f aca="false">IF(INDEX(選手一覧!$D$7:$D$2738,$F812)="","",INDEX(選手一覧!$D$7:$D$2738,$F812))</f>
        <v/>
      </c>
      <c r="H812" s="17" t="str">
        <f aca="false">IF(INDEX(選手一覧!$E$7:$E$2738,$F812)="","",INDEX(選手一覧!$E$7:$E$2738,$F812))</f>
        <v/>
      </c>
      <c r="I812" s="16" t="str">
        <f aca="false">IF(INDEX(選手一覧!$J$7:$J$2738,$F812)="","",INDEX(選手一覧!$J$7:$J$2738,$F812))</f>
        <v/>
      </c>
      <c r="J812" s="17" t="str">
        <f aca="false">IF(INDEX(選手一覧!$K$7:$K$2738,$F812)="","",INDEX(選手一覧!$K$7:$K$2738,$F812))</f>
        <v/>
      </c>
    </row>
    <row r="813" customFormat="false" ht="15" hidden="false" customHeight="false" outlineLevel="0" collapsed="false">
      <c r="A813" s="17" t="n">
        <v>809</v>
      </c>
      <c r="B813" s="12" t="s">
        <v>3023</v>
      </c>
      <c r="C813" s="12" t="s">
        <v>3024</v>
      </c>
      <c r="D813" s="16" t="n">
        <v>0.00743252314814815</v>
      </c>
      <c r="E813" s="15" t="n">
        <f aca="false">ROUND((D813-$D$5)*86400,2)</f>
        <v>103.15</v>
      </c>
      <c r="F813" s="17" t="n">
        <v>1945</v>
      </c>
      <c r="G813" s="16" t="str">
        <f aca="false">IF(INDEX(選手一覧!$D$7:$D$2738,$F813)="","",INDEX(選手一覧!$D$7:$D$2738,$F813))</f>
        <v/>
      </c>
      <c r="H813" s="17" t="str">
        <f aca="false">IF(INDEX(選手一覧!$E$7:$E$2738,$F813)="","",INDEX(選手一覧!$E$7:$E$2738,$F813))</f>
        <v/>
      </c>
      <c r="I813" s="16" t="str">
        <f aca="false">IF(INDEX(選手一覧!$J$7:$J$2738,$F813)="","",INDEX(選手一覧!$J$7:$J$2738,$F813))</f>
        <v/>
      </c>
      <c r="J813" s="17" t="str">
        <f aca="false">IF(INDEX(選手一覧!$K$7:$K$2738,$F813)="","",INDEX(選手一覧!$K$7:$K$2738,$F813))</f>
        <v/>
      </c>
    </row>
    <row r="814" customFormat="false" ht="15" hidden="false" customHeight="false" outlineLevel="0" collapsed="false">
      <c r="A814" s="17" t="n">
        <v>810</v>
      </c>
      <c r="B814" s="12" t="s">
        <v>3025</v>
      </c>
      <c r="C814" s="12" t="s">
        <v>3026</v>
      </c>
      <c r="D814" s="16" t="n">
        <v>0.00743310185185185</v>
      </c>
      <c r="E814" s="15" t="n">
        <f aca="false">ROUND((D814-$D$5)*86400,2)</f>
        <v>103.2</v>
      </c>
      <c r="F814" s="17" t="n">
        <v>1946</v>
      </c>
      <c r="G814" s="16" t="str">
        <f aca="false">IF(INDEX(選手一覧!$D$7:$D$2738,$F814)="","",INDEX(選手一覧!$D$7:$D$2738,$F814))</f>
        <v/>
      </c>
      <c r="H814" s="17" t="str">
        <f aca="false">IF(INDEX(選手一覧!$E$7:$E$2738,$F814)="","",INDEX(選手一覧!$E$7:$E$2738,$F814))</f>
        <v/>
      </c>
      <c r="I814" s="16" t="str">
        <f aca="false">IF(INDEX(選手一覧!$J$7:$J$2738,$F814)="","",INDEX(選手一覧!$J$7:$J$2738,$F814))</f>
        <v/>
      </c>
      <c r="J814" s="17" t="str">
        <f aca="false">IF(INDEX(選手一覧!$K$7:$K$2738,$F814)="","",INDEX(選手一覧!$K$7:$K$2738,$F814))</f>
        <v/>
      </c>
    </row>
    <row r="815" customFormat="false" ht="15" hidden="false" customHeight="false" outlineLevel="0" collapsed="false">
      <c r="A815" s="17" t="n">
        <v>811</v>
      </c>
      <c r="B815" s="12" t="s">
        <v>3027</v>
      </c>
      <c r="C815" s="12" t="s">
        <v>3028</v>
      </c>
      <c r="D815" s="16" t="n">
        <v>0.00743321759259259</v>
      </c>
      <c r="E815" s="15" t="n">
        <f aca="false">ROUND((D815-$D$5)*86400,2)</f>
        <v>103.21</v>
      </c>
      <c r="F815" s="17" t="n">
        <v>1947</v>
      </c>
      <c r="G815" s="16" t="str">
        <f aca="false">IF(INDEX(選手一覧!$D$7:$D$2738,$F815)="","",INDEX(選手一覧!$D$7:$D$2738,$F815))</f>
        <v/>
      </c>
      <c r="H815" s="17" t="str">
        <f aca="false">IF(INDEX(選手一覧!$E$7:$E$2738,$F815)="","",INDEX(選手一覧!$E$7:$E$2738,$F815))</f>
        <v/>
      </c>
      <c r="I815" s="16" t="str">
        <f aca="false">IF(INDEX(選手一覧!$J$7:$J$2738,$F815)="","",INDEX(選手一覧!$J$7:$J$2738,$F815))</f>
        <v/>
      </c>
      <c r="J815" s="17" t="str">
        <f aca="false">IF(INDEX(選手一覧!$K$7:$K$2738,$F815)="","",INDEX(選手一覧!$K$7:$K$2738,$F815))</f>
        <v/>
      </c>
    </row>
    <row r="816" customFormat="false" ht="15" hidden="false" customHeight="false" outlineLevel="0" collapsed="false">
      <c r="A816" s="17" t="n">
        <v>812</v>
      </c>
      <c r="B816" s="12" t="s">
        <v>3029</v>
      </c>
      <c r="C816" s="12" t="s">
        <v>2798</v>
      </c>
      <c r="D816" s="16" t="n">
        <v>0.00743333333333333</v>
      </c>
      <c r="E816" s="15" t="n">
        <f aca="false">ROUND((D816-$D$5)*86400,2)</f>
        <v>103.22</v>
      </c>
      <c r="F816" s="17" t="n">
        <v>1948</v>
      </c>
      <c r="G816" s="16" t="str">
        <f aca="false">IF(INDEX(選手一覧!$D$7:$D$2738,$F816)="","",INDEX(選手一覧!$D$7:$D$2738,$F816))</f>
        <v/>
      </c>
      <c r="H816" s="17" t="str">
        <f aca="false">IF(INDEX(選手一覧!$E$7:$E$2738,$F816)="","",INDEX(選手一覧!$E$7:$E$2738,$F816))</f>
        <v/>
      </c>
      <c r="I816" s="16" t="str">
        <f aca="false">IF(INDEX(選手一覧!$J$7:$J$2738,$F816)="","",INDEX(選手一覧!$J$7:$J$2738,$F816))</f>
        <v/>
      </c>
      <c r="J816" s="17" t="str">
        <f aca="false">IF(INDEX(選手一覧!$K$7:$K$2738,$F816)="","",INDEX(選手一覧!$K$7:$K$2738,$F816))</f>
        <v/>
      </c>
    </row>
    <row r="817" customFormat="false" ht="15" hidden="false" customHeight="false" outlineLevel="0" collapsed="false">
      <c r="A817" s="17" t="n">
        <v>813</v>
      </c>
      <c r="B817" s="12" t="s">
        <v>1379</v>
      </c>
      <c r="C817" s="12" t="s">
        <v>1843</v>
      </c>
      <c r="D817" s="16" t="n">
        <v>0.00743541666666667</v>
      </c>
      <c r="E817" s="15" t="n">
        <f aca="false">ROUND((D817-$D$5)*86400,2)</f>
        <v>103.4</v>
      </c>
      <c r="F817" s="17" t="n">
        <v>1950</v>
      </c>
      <c r="G817" s="16" t="str">
        <f aca="false">IF(INDEX(選手一覧!$D$7:$D$2738,$F817)="","",INDEX(選手一覧!$D$7:$D$2738,$F817))</f>
        <v/>
      </c>
      <c r="H817" s="17" t="str">
        <f aca="false">IF(INDEX(選手一覧!$E$7:$E$2738,$F817)="","",INDEX(選手一覧!$E$7:$E$2738,$F817))</f>
        <v/>
      </c>
      <c r="I817" s="16" t="str">
        <f aca="false">IF(INDEX(選手一覧!$J$7:$J$2738,$F817)="","",INDEX(選手一覧!$J$7:$J$2738,$F817))</f>
        <v/>
      </c>
      <c r="J817" s="17" t="str">
        <f aca="false">IF(INDEX(選手一覧!$K$7:$K$2738,$F817)="","",INDEX(選手一覧!$K$7:$K$2738,$F817))</f>
        <v/>
      </c>
    </row>
    <row r="818" customFormat="false" ht="15" hidden="false" customHeight="false" outlineLevel="0" collapsed="false">
      <c r="A818" s="17" t="n">
        <v>814</v>
      </c>
      <c r="B818" s="12" t="s">
        <v>3032</v>
      </c>
      <c r="C818" s="12" t="s">
        <v>80</v>
      </c>
      <c r="D818" s="16" t="n">
        <v>0.00743738425925926</v>
      </c>
      <c r="E818" s="15" t="n">
        <f aca="false">ROUND((D818-$D$5)*86400,2)</f>
        <v>103.57</v>
      </c>
      <c r="F818" s="17" t="n">
        <v>1951</v>
      </c>
      <c r="G818" s="16" t="str">
        <f aca="false">IF(INDEX(選手一覧!$D$7:$D$2738,$F818)="","",INDEX(選手一覧!$D$7:$D$2738,$F818))</f>
        <v/>
      </c>
      <c r="H818" s="17" t="str">
        <f aca="false">IF(INDEX(選手一覧!$E$7:$E$2738,$F818)="","",INDEX(選手一覧!$E$7:$E$2738,$F818))</f>
        <v/>
      </c>
      <c r="I818" s="16" t="str">
        <f aca="false">IF(INDEX(選手一覧!$J$7:$J$2738,$F818)="","",INDEX(選手一覧!$J$7:$J$2738,$F818))</f>
        <v/>
      </c>
      <c r="J818" s="17" t="str">
        <f aca="false">IF(INDEX(選手一覧!$K$7:$K$2738,$F818)="","",INDEX(選手一覧!$K$7:$K$2738,$F818))</f>
        <v/>
      </c>
    </row>
    <row r="819" customFormat="false" ht="15" hidden="false" customHeight="false" outlineLevel="0" collapsed="false">
      <c r="A819" s="17" t="n">
        <v>815</v>
      </c>
      <c r="B819" s="12" t="s">
        <v>3033</v>
      </c>
      <c r="C819" s="12" t="s">
        <v>3034</v>
      </c>
      <c r="D819" s="16" t="n">
        <v>0.00743738425925926</v>
      </c>
      <c r="E819" s="15" t="n">
        <f aca="false">ROUND((D819-$D$5)*86400,2)</f>
        <v>103.57</v>
      </c>
      <c r="F819" s="17" t="n">
        <v>1952</v>
      </c>
      <c r="G819" s="16" t="str">
        <f aca="false">IF(INDEX(選手一覧!$D$7:$D$2738,$F819)="","",INDEX(選手一覧!$D$7:$D$2738,$F819))</f>
        <v/>
      </c>
      <c r="H819" s="17" t="str">
        <f aca="false">IF(INDEX(選手一覧!$E$7:$E$2738,$F819)="","",INDEX(選手一覧!$E$7:$E$2738,$F819))</f>
        <v/>
      </c>
      <c r="I819" s="16" t="str">
        <f aca="false">IF(INDEX(選手一覧!$J$7:$J$2738,$F819)="","",INDEX(選手一覧!$J$7:$J$2738,$F819))</f>
        <v/>
      </c>
      <c r="J819" s="17" t="str">
        <f aca="false">IF(INDEX(選手一覧!$K$7:$K$2738,$F819)="","",INDEX(選手一覧!$K$7:$K$2738,$F819))</f>
        <v/>
      </c>
    </row>
    <row r="820" customFormat="false" ht="15" hidden="false" customHeight="false" outlineLevel="0" collapsed="false">
      <c r="A820" s="17" t="n">
        <v>816</v>
      </c>
      <c r="B820" s="12" t="s">
        <v>3035</v>
      </c>
      <c r="C820" s="12" t="s">
        <v>311</v>
      </c>
      <c r="D820" s="16" t="n">
        <v>0.00743819444444444</v>
      </c>
      <c r="E820" s="15" t="n">
        <f aca="false">ROUND((D820-$D$5)*86400,2)</f>
        <v>103.64</v>
      </c>
      <c r="F820" s="17" t="n">
        <v>1953</v>
      </c>
      <c r="G820" s="16" t="str">
        <f aca="false">IF(INDEX(選手一覧!$D$7:$D$2738,$F820)="","",INDEX(選手一覧!$D$7:$D$2738,$F820))</f>
        <v/>
      </c>
      <c r="H820" s="17" t="str">
        <f aca="false">IF(INDEX(選手一覧!$E$7:$E$2738,$F820)="","",INDEX(選手一覧!$E$7:$E$2738,$F820))</f>
        <v/>
      </c>
      <c r="I820" s="16" t="str">
        <f aca="false">IF(INDEX(選手一覧!$J$7:$J$2738,$F820)="","",INDEX(選手一覧!$J$7:$J$2738,$F820))</f>
        <v/>
      </c>
      <c r="J820" s="17" t="str">
        <f aca="false">IF(INDEX(選手一覧!$K$7:$K$2738,$F820)="","",INDEX(選手一覧!$K$7:$K$2738,$F820))</f>
        <v/>
      </c>
    </row>
    <row r="821" customFormat="false" ht="15" hidden="false" customHeight="false" outlineLevel="0" collapsed="false">
      <c r="A821" s="17" t="n">
        <v>817</v>
      </c>
      <c r="B821" s="12" t="s">
        <v>3038</v>
      </c>
      <c r="C821" s="12" t="s">
        <v>1216</v>
      </c>
      <c r="D821" s="16" t="n">
        <v>0.00743900462962963</v>
      </c>
      <c r="E821" s="15" t="n">
        <f aca="false">ROUND((D821-$D$5)*86400,2)</f>
        <v>103.71</v>
      </c>
      <c r="F821" s="17" t="n">
        <v>1955</v>
      </c>
      <c r="G821" s="16" t="str">
        <f aca="false">IF(INDEX(選手一覧!$D$7:$D$2738,$F821)="","",INDEX(選手一覧!$D$7:$D$2738,$F821))</f>
        <v/>
      </c>
      <c r="H821" s="17" t="str">
        <f aca="false">IF(INDEX(選手一覧!$E$7:$E$2738,$F821)="","",INDEX(選手一覧!$E$7:$E$2738,$F821))</f>
        <v/>
      </c>
      <c r="I821" s="16" t="str">
        <f aca="false">IF(INDEX(選手一覧!$J$7:$J$2738,$F821)="","",INDEX(選手一覧!$J$7:$J$2738,$F821))</f>
        <v/>
      </c>
      <c r="J821" s="17" t="str">
        <f aca="false">IF(INDEX(選手一覧!$K$7:$K$2738,$F821)="","",INDEX(選手一覧!$K$7:$K$2738,$F821))</f>
        <v/>
      </c>
    </row>
    <row r="822" customFormat="false" ht="15" hidden="false" customHeight="false" outlineLevel="0" collapsed="false">
      <c r="A822" s="17" t="n">
        <v>818</v>
      </c>
      <c r="B822" s="12" t="s">
        <v>3039</v>
      </c>
      <c r="C822" s="12" t="s">
        <v>3040</v>
      </c>
      <c r="D822" s="16" t="n">
        <v>0.00744016203703704</v>
      </c>
      <c r="E822" s="15" t="n">
        <f aca="false">ROUND((D822-$D$5)*86400,2)</f>
        <v>103.81</v>
      </c>
      <c r="F822" s="17" t="n">
        <v>1956</v>
      </c>
      <c r="G822" s="16" t="str">
        <f aca="false">IF(INDEX(選手一覧!$D$7:$D$2738,$F822)="","",INDEX(選手一覧!$D$7:$D$2738,$F822))</f>
        <v/>
      </c>
      <c r="H822" s="17" t="str">
        <f aca="false">IF(INDEX(選手一覧!$E$7:$E$2738,$F822)="","",INDEX(選手一覧!$E$7:$E$2738,$F822))</f>
        <v/>
      </c>
      <c r="I822" s="16" t="str">
        <f aca="false">IF(INDEX(選手一覧!$J$7:$J$2738,$F822)="","",INDEX(選手一覧!$J$7:$J$2738,$F822))</f>
        <v/>
      </c>
      <c r="J822" s="17" t="str">
        <f aca="false">IF(INDEX(選手一覧!$K$7:$K$2738,$F822)="","",INDEX(選手一覧!$K$7:$K$2738,$F822))</f>
        <v/>
      </c>
    </row>
    <row r="823" customFormat="false" ht="15" hidden="false" customHeight="false" outlineLevel="0" collapsed="false">
      <c r="A823" s="17" t="n">
        <v>819</v>
      </c>
      <c r="B823" s="12" t="s">
        <v>3042</v>
      </c>
      <c r="C823" s="12" t="s">
        <v>3043</v>
      </c>
      <c r="D823" s="16" t="n">
        <v>0.00744039351851852</v>
      </c>
      <c r="E823" s="15" t="n">
        <f aca="false">ROUND((D823-$D$5)*86400,2)</f>
        <v>103.83</v>
      </c>
      <c r="F823" s="17" t="n">
        <v>1958</v>
      </c>
      <c r="G823" s="16" t="str">
        <f aca="false">IF(INDEX(選手一覧!$D$7:$D$2738,$F823)="","",INDEX(選手一覧!$D$7:$D$2738,$F823))</f>
        <v/>
      </c>
      <c r="H823" s="17" t="str">
        <f aca="false">IF(INDEX(選手一覧!$E$7:$E$2738,$F823)="","",INDEX(選手一覧!$E$7:$E$2738,$F823))</f>
        <v/>
      </c>
      <c r="I823" s="16" t="str">
        <f aca="false">IF(INDEX(選手一覧!$J$7:$J$2738,$F823)="","",INDEX(選手一覧!$J$7:$J$2738,$F823))</f>
        <v/>
      </c>
      <c r="J823" s="17" t="str">
        <f aca="false">IF(INDEX(選手一覧!$K$7:$K$2738,$F823)="","",INDEX(選手一覧!$K$7:$K$2738,$F823))</f>
        <v/>
      </c>
    </row>
    <row r="824" customFormat="false" ht="15" hidden="false" customHeight="false" outlineLevel="0" collapsed="false">
      <c r="A824" s="17" t="n">
        <v>820</v>
      </c>
      <c r="B824" s="12" t="s">
        <v>3044</v>
      </c>
      <c r="C824" s="12" t="s">
        <v>2182</v>
      </c>
      <c r="D824" s="16" t="n">
        <v>0.00744305555555556</v>
      </c>
      <c r="E824" s="15" t="n">
        <f aca="false">ROUND((D824-$D$5)*86400,2)</f>
        <v>104.06</v>
      </c>
      <c r="F824" s="17" t="n">
        <v>1959</v>
      </c>
      <c r="G824" s="16" t="str">
        <f aca="false">IF(INDEX(選手一覧!$D$7:$D$2738,$F824)="","",INDEX(選手一覧!$D$7:$D$2738,$F824))</f>
        <v/>
      </c>
      <c r="H824" s="17" t="str">
        <f aca="false">IF(INDEX(選手一覧!$E$7:$E$2738,$F824)="","",INDEX(選手一覧!$E$7:$E$2738,$F824))</f>
        <v/>
      </c>
      <c r="I824" s="16" t="str">
        <f aca="false">IF(INDEX(選手一覧!$J$7:$J$2738,$F824)="","",INDEX(選手一覧!$J$7:$J$2738,$F824))</f>
        <v/>
      </c>
      <c r="J824" s="17" t="str">
        <f aca="false">IF(INDEX(選手一覧!$K$7:$K$2738,$F824)="","",INDEX(選手一覧!$K$7:$K$2738,$F824))</f>
        <v/>
      </c>
    </row>
    <row r="825" customFormat="false" ht="15" hidden="false" customHeight="false" outlineLevel="0" collapsed="false">
      <c r="A825" s="17" t="n">
        <v>821</v>
      </c>
      <c r="B825" s="12" t="s">
        <v>3045</v>
      </c>
      <c r="C825" s="12" t="s">
        <v>2453</v>
      </c>
      <c r="D825" s="16" t="n">
        <v>0.00744328703703704</v>
      </c>
      <c r="E825" s="15" t="n">
        <f aca="false">ROUND((D825-$D$5)*86400,2)</f>
        <v>104.08</v>
      </c>
      <c r="F825" s="17" t="n">
        <v>1960</v>
      </c>
      <c r="G825" s="16" t="str">
        <f aca="false">IF(INDEX(選手一覧!$D$7:$D$2738,$F825)="","",INDEX(選手一覧!$D$7:$D$2738,$F825))</f>
        <v/>
      </c>
      <c r="H825" s="17" t="str">
        <f aca="false">IF(INDEX(選手一覧!$E$7:$E$2738,$F825)="","",INDEX(選手一覧!$E$7:$E$2738,$F825))</f>
        <v/>
      </c>
      <c r="I825" s="16" t="str">
        <f aca="false">IF(INDEX(選手一覧!$J$7:$J$2738,$F825)="","",INDEX(選手一覧!$J$7:$J$2738,$F825))</f>
        <v/>
      </c>
      <c r="J825" s="17" t="str">
        <f aca="false">IF(INDEX(選手一覧!$K$7:$K$2738,$F825)="","",INDEX(選手一覧!$K$7:$K$2738,$F825))</f>
        <v/>
      </c>
    </row>
    <row r="826" customFormat="false" ht="15" hidden="false" customHeight="false" outlineLevel="0" collapsed="false">
      <c r="A826" s="17" t="n">
        <v>822</v>
      </c>
      <c r="B826" s="12" t="s">
        <v>3046</v>
      </c>
      <c r="C826" s="12" t="s">
        <v>3047</v>
      </c>
      <c r="D826" s="16" t="n">
        <v>0.00744490740740741</v>
      </c>
      <c r="E826" s="15" t="n">
        <f aca="false">ROUND((D826-$D$5)*86400,2)</f>
        <v>104.22</v>
      </c>
      <c r="F826" s="17" t="n">
        <v>1961</v>
      </c>
      <c r="G826" s="16" t="str">
        <f aca="false">IF(INDEX(選手一覧!$D$7:$D$2738,$F826)="","",INDEX(選手一覧!$D$7:$D$2738,$F826))</f>
        <v/>
      </c>
      <c r="H826" s="17" t="str">
        <f aca="false">IF(INDEX(選手一覧!$E$7:$E$2738,$F826)="","",INDEX(選手一覧!$E$7:$E$2738,$F826))</f>
        <v/>
      </c>
      <c r="I826" s="16" t="str">
        <f aca="false">IF(INDEX(選手一覧!$J$7:$J$2738,$F826)="","",INDEX(選手一覧!$J$7:$J$2738,$F826))</f>
        <v/>
      </c>
      <c r="J826" s="17" t="str">
        <f aca="false">IF(INDEX(選手一覧!$K$7:$K$2738,$F826)="","",INDEX(選手一覧!$K$7:$K$2738,$F826))</f>
        <v/>
      </c>
    </row>
    <row r="827" customFormat="false" ht="15" hidden="false" customHeight="false" outlineLevel="0" collapsed="false">
      <c r="A827" s="17" t="n">
        <v>823</v>
      </c>
      <c r="B827" s="12" t="s">
        <v>3048</v>
      </c>
      <c r="C827" s="12" t="s">
        <v>1641</v>
      </c>
      <c r="D827" s="16" t="n">
        <v>0.00744571759259259</v>
      </c>
      <c r="E827" s="15" t="n">
        <f aca="false">ROUND((D827-$D$5)*86400,2)</f>
        <v>104.29</v>
      </c>
      <c r="F827" s="17" t="n">
        <v>1962</v>
      </c>
      <c r="G827" s="16" t="str">
        <f aca="false">IF(INDEX(選手一覧!$D$7:$D$2738,$F827)="","",INDEX(選手一覧!$D$7:$D$2738,$F827))</f>
        <v/>
      </c>
      <c r="H827" s="17" t="str">
        <f aca="false">IF(INDEX(選手一覧!$E$7:$E$2738,$F827)="","",INDEX(選手一覧!$E$7:$E$2738,$F827))</f>
        <v/>
      </c>
      <c r="I827" s="16" t="str">
        <f aca="false">IF(INDEX(選手一覧!$J$7:$J$2738,$F827)="","",INDEX(選手一覧!$J$7:$J$2738,$F827))</f>
        <v/>
      </c>
      <c r="J827" s="17" t="str">
        <f aca="false">IF(INDEX(選手一覧!$K$7:$K$2738,$F827)="","",INDEX(選手一覧!$K$7:$K$2738,$F827))</f>
        <v/>
      </c>
    </row>
    <row r="828" customFormat="false" ht="15" hidden="false" customHeight="false" outlineLevel="0" collapsed="false">
      <c r="A828" s="17" t="n">
        <v>824</v>
      </c>
      <c r="B828" s="12" t="s">
        <v>3049</v>
      </c>
      <c r="C828" s="12" t="s">
        <v>2927</v>
      </c>
      <c r="D828" s="16" t="n">
        <v>0.00744675925925926</v>
      </c>
      <c r="E828" s="15" t="n">
        <f aca="false">ROUND((D828-$D$5)*86400,2)</f>
        <v>104.38</v>
      </c>
      <c r="F828" s="17" t="n">
        <v>1963</v>
      </c>
      <c r="G828" s="16" t="str">
        <f aca="false">IF(INDEX(選手一覧!$D$7:$D$2738,$F828)="","",INDEX(選手一覧!$D$7:$D$2738,$F828))</f>
        <v/>
      </c>
      <c r="H828" s="17" t="str">
        <f aca="false">IF(INDEX(選手一覧!$E$7:$E$2738,$F828)="","",INDEX(選手一覧!$E$7:$E$2738,$F828))</f>
        <v/>
      </c>
      <c r="I828" s="16" t="str">
        <f aca="false">IF(INDEX(選手一覧!$J$7:$J$2738,$F828)="","",INDEX(選手一覧!$J$7:$J$2738,$F828))</f>
        <v/>
      </c>
      <c r="J828" s="17" t="str">
        <f aca="false">IF(INDEX(選手一覧!$K$7:$K$2738,$F828)="","",INDEX(選手一覧!$K$7:$K$2738,$F828))</f>
        <v/>
      </c>
    </row>
    <row r="829" customFormat="false" ht="15" hidden="false" customHeight="false" outlineLevel="0" collapsed="false">
      <c r="A829" s="17" t="n">
        <v>825</v>
      </c>
      <c r="B829" s="12" t="s">
        <v>3050</v>
      </c>
      <c r="C829" s="12" t="s">
        <v>1209</v>
      </c>
      <c r="D829" s="16" t="n">
        <v>0.00744768518518519</v>
      </c>
      <c r="E829" s="15" t="n">
        <f aca="false">ROUND((D829-$D$5)*86400,2)</f>
        <v>104.46</v>
      </c>
      <c r="F829" s="17" t="n">
        <v>1964</v>
      </c>
      <c r="G829" s="16" t="str">
        <f aca="false">IF(INDEX(選手一覧!$D$7:$D$2738,$F829)="","",INDEX(選手一覧!$D$7:$D$2738,$F829))</f>
        <v/>
      </c>
      <c r="H829" s="17" t="str">
        <f aca="false">IF(INDEX(選手一覧!$E$7:$E$2738,$F829)="","",INDEX(選手一覧!$E$7:$E$2738,$F829))</f>
        <v/>
      </c>
      <c r="I829" s="16" t="str">
        <f aca="false">IF(INDEX(選手一覧!$J$7:$J$2738,$F829)="","",INDEX(選手一覧!$J$7:$J$2738,$F829))</f>
        <v/>
      </c>
      <c r="J829" s="17" t="str">
        <f aca="false">IF(INDEX(選手一覧!$K$7:$K$2738,$F829)="","",INDEX(選手一覧!$K$7:$K$2738,$F829))</f>
        <v/>
      </c>
    </row>
    <row r="830" customFormat="false" ht="15" hidden="false" customHeight="false" outlineLevel="0" collapsed="false">
      <c r="A830" s="17" t="n">
        <v>826</v>
      </c>
      <c r="B830" s="12" t="s">
        <v>3052</v>
      </c>
      <c r="C830" s="12" t="s">
        <v>1334</v>
      </c>
      <c r="D830" s="16" t="n">
        <v>0.00744791666666667</v>
      </c>
      <c r="E830" s="15" t="n">
        <f aca="false">ROUND((D830-$D$5)*86400,2)</f>
        <v>104.48</v>
      </c>
      <c r="F830" s="17" t="n">
        <v>1966</v>
      </c>
      <c r="G830" s="16" t="str">
        <f aca="false">IF(INDEX(選手一覧!$D$7:$D$2738,$F830)="","",INDEX(選手一覧!$D$7:$D$2738,$F830))</f>
        <v/>
      </c>
      <c r="H830" s="17" t="str">
        <f aca="false">IF(INDEX(選手一覧!$E$7:$E$2738,$F830)="","",INDEX(選手一覧!$E$7:$E$2738,$F830))</f>
        <v/>
      </c>
      <c r="I830" s="16" t="str">
        <f aca="false">IF(INDEX(選手一覧!$J$7:$J$2738,$F830)="","",INDEX(選手一覧!$J$7:$J$2738,$F830))</f>
        <v/>
      </c>
      <c r="J830" s="17" t="str">
        <f aca="false">IF(INDEX(選手一覧!$K$7:$K$2738,$F830)="","",INDEX(選手一覧!$K$7:$K$2738,$F830))</f>
        <v/>
      </c>
    </row>
    <row r="831" customFormat="false" ht="15" hidden="false" customHeight="false" outlineLevel="0" collapsed="false">
      <c r="A831" s="17" t="n">
        <v>827</v>
      </c>
      <c r="B831" s="12" t="s">
        <v>3054</v>
      </c>
      <c r="C831" s="12" t="s">
        <v>3055</v>
      </c>
      <c r="D831" s="16" t="n">
        <v>0.00744826388888889</v>
      </c>
      <c r="E831" s="15" t="n">
        <f aca="false">ROUND((D831-$D$5)*86400,2)</f>
        <v>104.51</v>
      </c>
      <c r="F831" s="17" t="n">
        <v>1968</v>
      </c>
      <c r="G831" s="16" t="str">
        <f aca="false">IF(INDEX(選手一覧!$D$7:$D$2738,$F831)="","",INDEX(選手一覧!$D$7:$D$2738,$F831))</f>
        <v/>
      </c>
      <c r="H831" s="17" t="str">
        <f aca="false">IF(INDEX(選手一覧!$E$7:$E$2738,$F831)="","",INDEX(選手一覧!$E$7:$E$2738,$F831))</f>
        <v/>
      </c>
      <c r="I831" s="16" t="str">
        <f aca="false">IF(INDEX(選手一覧!$J$7:$J$2738,$F831)="","",INDEX(選手一覧!$J$7:$J$2738,$F831))</f>
        <v/>
      </c>
      <c r="J831" s="17" t="str">
        <f aca="false">IF(INDEX(選手一覧!$K$7:$K$2738,$F831)="","",INDEX(選手一覧!$K$7:$K$2738,$F831))</f>
        <v/>
      </c>
    </row>
    <row r="832" customFormat="false" ht="15" hidden="false" customHeight="false" outlineLevel="0" collapsed="false">
      <c r="A832" s="17" t="n">
        <v>828</v>
      </c>
      <c r="B832" s="12" t="s">
        <v>3056</v>
      </c>
      <c r="C832" s="12" t="s">
        <v>3057</v>
      </c>
      <c r="D832" s="16" t="n">
        <v>0.00744872685185185</v>
      </c>
      <c r="E832" s="15" t="n">
        <f aca="false">ROUND((D832-$D$5)*86400,2)</f>
        <v>104.55</v>
      </c>
      <c r="F832" s="17" t="n">
        <v>1969</v>
      </c>
      <c r="G832" s="16" t="str">
        <f aca="false">IF(INDEX(選手一覧!$D$7:$D$2738,$F832)="","",INDEX(選手一覧!$D$7:$D$2738,$F832))</f>
        <v/>
      </c>
      <c r="H832" s="17" t="str">
        <f aca="false">IF(INDEX(選手一覧!$E$7:$E$2738,$F832)="","",INDEX(選手一覧!$E$7:$E$2738,$F832))</f>
        <v/>
      </c>
      <c r="I832" s="16" t="n">
        <f aca="false">IF(INDEX(選手一覧!$J$7:$J$2738,$F832)="","",INDEX(選手一覧!$J$7:$J$2738,$F832))</f>
        <v>0.00295092592592593</v>
      </c>
      <c r="J832" s="17" t="n">
        <f aca="false">IF(INDEX(選手一覧!$K$7:$K$2738,$F832)="","",INDEX(選手一覧!$K$7:$K$2738,$F832))</f>
        <v>1243</v>
      </c>
    </row>
    <row r="833" customFormat="false" ht="15" hidden="false" customHeight="false" outlineLevel="0" collapsed="false">
      <c r="A833" s="17" t="n">
        <v>829</v>
      </c>
      <c r="B833" s="12" t="s">
        <v>3058</v>
      </c>
      <c r="C833" s="12" t="s">
        <v>3059</v>
      </c>
      <c r="D833" s="16" t="n">
        <v>0.00744953703703704</v>
      </c>
      <c r="E833" s="15" t="n">
        <f aca="false">ROUND((D833-$D$5)*86400,2)</f>
        <v>104.62</v>
      </c>
      <c r="F833" s="17" t="n">
        <v>1970</v>
      </c>
      <c r="G833" s="16" t="str">
        <f aca="false">IF(INDEX(選手一覧!$D$7:$D$2738,$F833)="","",INDEX(選手一覧!$D$7:$D$2738,$F833))</f>
        <v/>
      </c>
      <c r="H833" s="17" t="str">
        <f aca="false">IF(INDEX(選手一覧!$E$7:$E$2738,$F833)="","",INDEX(選手一覧!$E$7:$E$2738,$F833))</f>
        <v/>
      </c>
      <c r="I833" s="16" t="str">
        <f aca="false">IF(INDEX(選手一覧!$J$7:$J$2738,$F833)="","",INDEX(選手一覧!$J$7:$J$2738,$F833))</f>
        <v/>
      </c>
      <c r="J833" s="17" t="str">
        <f aca="false">IF(INDEX(選手一覧!$K$7:$K$2738,$F833)="","",INDEX(選手一覧!$K$7:$K$2738,$F833))</f>
        <v/>
      </c>
    </row>
    <row r="834" customFormat="false" ht="15" hidden="false" customHeight="false" outlineLevel="0" collapsed="false">
      <c r="A834" s="17" t="n">
        <v>830</v>
      </c>
      <c r="B834" s="12" t="s">
        <v>3060</v>
      </c>
      <c r="C834" s="12" t="s">
        <v>2811</v>
      </c>
      <c r="D834" s="16" t="n">
        <v>0.00745011574074074</v>
      </c>
      <c r="E834" s="15" t="n">
        <f aca="false">ROUND((D834-$D$5)*86400,2)</f>
        <v>104.67</v>
      </c>
      <c r="F834" s="17" t="n">
        <v>1971</v>
      </c>
      <c r="G834" s="16" t="str">
        <f aca="false">IF(INDEX(選手一覧!$D$7:$D$2738,$F834)="","",INDEX(選手一覧!$D$7:$D$2738,$F834))</f>
        <v/>
      </c>
      <c r="H834" s="17" t="str">
        <f aca="false">IF(INDEX(選手一覧!$E$7:$E$2738,$F834)="","",INDEX(選手一覧!$E$7:$E$2738,$F834))</f>
        <v/>
      </c>
      <c r="I834" s="16" t="str">
        <f aca="false">IF(INDEX(選手一覧!$J$7:$J$2738,$F834)="","",INDEX(選手一覧!$J$7:$J$2738,$F834))</f>
        <v/>
      </c>
      <c r="J834" s="17" t="str">
        <f aca="false">IF(INDEX(選手一覧!$K$7:$K$2738,$F834)="","",INDEX(選手一覧!$K$7:$K$2738,$F834))</f>
        <v/>
      </c>
    </row>
    <row r="835" customFormat="false" ht="15" hidden="false" customHeight="false" outlineLevel="0" collapsed="false">
      <c r="A835" s="17" t="n">
        <v>831</v>
      </c>
      <c r="B835" s="12" t="s">
        <v>3063</v>
      </c>
      <c r="C835" s="12" t="s">
        <v>3064</v>
      </c>
      <c r="D835" s="16" t="n">
        <v>0.00745162037037037</v>
      </c>
      <c r="E835" s="15" t="n">
        <f aca="false">ROUND((D835-$D$5)*86400,2)</f>
        <v>104.8</v>
      </c>
      <c r="F835" s="17" t="n">
        <v>1973</v>
      </c>
      <c r="G835" s="16" t="str">
        <f aca="false">IF(INDEX(選手一覧!$D$7:$D$2738,$F835)="","",INDEX(選手一覧!$D$7:$D$2738,$F835))</f>
        <v/>
      </c>
      <c r="H835" s="17" t="str">
        <f aca="false">IF(INDEX(選手一覧!$E$7:$E$2738,$F835)="","",INDEX(選手一覧!$E$7:$E$2738,$F835))</f>
        <v/>
      </c>
      <c r="I835" s="16" t="str">
        <f aca="false">IF(INDEX(選手一覧!$J$7:$J$2738,$F835)="","",INDEX(選手一覧!$J$7:$J$2738,$F835))</f>
        <v/>
      </c>
      <c r="J835" s="17" t="str">
        <f aca="false">IF(INDEX(選手一覧!$K$7:$K$2738,$F835)="","",INDEX(選手一覧!$K$7:$K$2738,$F835))</f>
        <v/>
      </c>
    </row>
    <row r="836" customFormat="false" ht="15" hidden="false" customHeight="false" outlineLevel="0" collapsed="false">
      <c r="A836" s="17" t="n">
        <v>832</v>
      </c>
      <c r="B836" s="12" t="s">
        <v>3066</v>
      </c>
      <c r="C836" s="12" t="s">
        <v>858</v>
      </c>
      <c r="D836" s="16" t="n">
        <v>0.0074525462962963</v>
      </c>
      <c r="E836" s="15" t="n">
        <f aca="false">ROUND((D836-$D$5)*86400,2)</f>
        <v>104.88</v>
      </c>
      <c r="F836" s="17" t="n">
        <v>1975</v>
      </c>
      <c r="G836" s="16" t="str">
        <f aca="false">IF(INDEX(選手一覧!$D$7:$D$2738,$F836)="","",INDEX(選手一覧!$D$7:$D$2738,$F836))</f>
        <v/>
      </c>
      <c r="H836" s="17" t="str">
        <f aca="false">IF(INDEX(選手一覧!$E$7:$E$2738,$F836)="","",INDEX(選手一覧!$E$7:$E$2738,$F836))</f>
        <v/>
      </c>
      <c r="I836" s="16" t="str">
        <f aca="false">IF(INDEX(選手一覧!$J$7:$J$2738,$F836)="","",INDEX(選手一覧!$J$7:$J$2738,$F836))</f>
        <v/>
      </c>
      <c r="J836" s="17" t="str">
        <f aca="false">IF(INDEX(選手一覧!$K$7:$K$2738,$F836)="","",INDEX(選手一覧!$K$7:$K$2738,$F836))</f>
        <v/>
      </c>
    </row>
    <row r="837" customFormat="false" ht="15" hidden="false" customHeight="false" outlineLevel="0" collapsed="false">
      <c r="A837" s="17" t="n">
        <v>833</v>
      </c>
      <c r="B837" s="12" t="s">
        <v>3067</v>
      </c>
      <c r="C837" s="12" t="s">
        <v>2272</v>
      </c>
      <c r="D837" s="16" t="n">
        <v>0.00745277777777778</v>
      </c>
      <c r="E837" s="15" t="n">
        <f aca="false">ROUND((D837-$D$5)*86400,2)</f>
        <v>104.9</v>
      </c>
      <c r="F837" s="17" t="n">
        <v>1976</v>
      </c>
      <c r="G837" s="16" t="str">
        <f aca="false">IF(INDEX(選手一覧!$D$7:$D$2738,$F837)="","",INDEX(選手一覧!$D$7:$D$2738,$F837))</f>
        <v/>
      </c>
      <c r="H837" s="17" t="str">
        <f aca="false">IF(INDEX(選手一覧!$E$7:$E$2738,$F837)="","",INDEX(選手一覧!$E$7:$E$2738,$F837))</f>
        <v/>
      </c>
      <c r="I837" s="16" t="str">
        <f aca="false">IF(INDEX(選手一覧!$J$7:$J$2738,$F837)="","",INDEX(選手一覧!$J$7:$J$2738,$F837))</f>
        <v/>
      </c>
      <c r="J837" s="17" t="str">
        <f aca="false">IF(INDEX(選手一覧!$K$7:$K$2738,$F837)="","",INDEX(選手一覧!$K$7:$K$2738,$F837))</f>
        <v/>
      </c>
    </row>
    <row r="838" customFormat="false" ht="15" hidden="false" customHeight="false" outlineLevel="0" collapsed="false">
      <c r="A838" s="17" t="n">
        <v>834</v>
      </c>
      <c r="B838" s="12" t="s">
        <v>3068</v>
      </c>
      <c r="C838" s="12" t="s">
        <v>3069</v>
      </c>
      <c r="D838" s="16" t="n">
        <v>0.00745289351851852</v>
      </c>
      <c r="E838" s="15" t="n">
        <f aca="false">ROUND((D838-$D$5)*86400,2)</f>
        <v>104.91</v>
      </c>
      <c r="F838" s="17" t="n">
        <v>1977</v>
      </c>
      <c r="G838" s="16" t="str">
        <f aca="false">IF(INDEX(選手一覧!$D$7:$D$2738,$F838)="","",INDEX(選手一覧!$D$7:$D$2738,$F838))</f>
        <v/>
      </c>
      <c r="H838" s="17" t="str">
        <f aca="false">IF(INDEX(選手一覧!$E$7:$E$2738,$F838)="","",INDEX(選手一覧!$E$7:$E$2738,$F838))</f>
        <v/>
      </c>
      <c r="I838" s="16" t="str">
        <f aca="false">IF(INDEX(選手一覧!$J$7:$J$2738,$F838)="","",INDEX(選手一覧!$J$7:$J$2738,$F838))</f>
        <v/>
      </c>
      <c r="J838" s="17" t="str">
        <f aca="false">IF(INDEX(選手一覧!$K$7:$K$2738,$F838)="","",INDEX(選手一覧!$K$7:$K$2738,$F838))</f>
        <v/>
      </c>
    </row>
    <row r="839" customFormat="false" ht="15" hidden="false" customHeight="false" outlineLevel="0" collapsed="false">
      <c r="A839" s="17" t="n">
        <v>835</v>
      </c>
      <c r="B839" s="12" t="s">
        <v>3071</v>
      </c>
      <c r="C839" s="12" t="s">
        <v>2560</v>
      </c>
      <c r="D839" s="16" t="n">
        <v>0.00745289351851852</v>
      </c>
      <c r="E839" s="15" t="n">
        <f aca="false">ROUND((D839-$D$5)*86400,2)</f>
        <v>104.91</v>
      </c>
      <c r="F839" s="17" t="n">
        <v>1979</v>
      </c>
      <c r="G839" s="16" t="str">
        <f aca="false">IF(INDEX(選手一覧!$D$7:$D$2738,$F839)="","",INDEX(選手一覧!$D$7:$D$2738,$F839))</f>
        <v/>
      </c>
      <c r="H839" s="17" t="str">
        <f aca="false">IF(INDEX(選手一覧!$E$7:$E$2738,$F839)="","",INDEX(選手一覧!$E$7:$E$2738,$F839))</f>
        <v/>
      </c>
      <c r="I839" s="16" t="str">
        <f aca="false">IF(INDEX(選手一覧!$J$7:$J$2738,$F839)="","",INDEX(選手一覧!$J$7:$J$2738,$F839))</f>
        <v/>
      </c>
      <c r="J839" s="17" t="str">
        <f aca="false">IF(INDEX(選手一覧!$K$7:$K$2738,$F839)="","",INDEX(選手一覧!$K$7:$K$2738,$F839))</f>
        <v/>
      </c>
    </row>
    <row r="840" customFormat="false" ht="15" hidden="false" customHeight="false" outlineLevel="0" collapsed="false">
      <c r="A840" s="17" t="n">
        <v>836</v>
      </c>
      <c r="B840" s="12" t="s">
        <v>3072</v>
      </c>
      <c r="C840" s="12" t="s">
        <v>3073</v>
      </c>
      <c r="D840" s="16" t="n">
        <v>0.00745347222222222</v>
      </c>
      <c r="E840" s="15" t="n">
        <f aca="false">ROUND((D840-$D$5)*86400,2)</f>
        <v>104.96</v>
      </c>
      <c r="F840" s="17" t="n">
        <v>1980</v>
      </c>
      <c r="G840" s="16" t="str">
        <f aca="false">IF(INDEX(選手一覧!$D$7:$D$2738,$F840)="","",INDEX(選手一覧!$D$7:$D$2738,$F840))</f>
        <v/>
      </c>
      <c r="H840" s="17" t="str">
        <f aca="false">IF(INDEX(選手一覧!$E$7:$E$2738,$F840)="","",INDEX(選手一覧!$E$7:$E$2738,$F840))</f>
        <v/>
      </c>
      <c r="I840" s="16" t="str">
        <f aca="false">IF(INDEX(選手一覧!$J$7:$J$2738,$F840)="","",INDEX(選手一覧!$J$7:$J$2738,$F840))</f>
        <v/>
      </c>
      <c r="J840" s="17" t="str">
        <f aca="false">IF(INDEX(選手一覧!$K$7:$K$2738,$F840)="","",INDEX(選手一覧!$K$7:$K$2738,$F840))</f>
        <v/>
      </c>
    </row>
    <row r="841" customFormat="false" ht="15" hidden="false" customHeight="false" outlineLevel="0" collapsed="false">
      <c r="A841" s="17" t="n">
        <v>837</v>
      </c>
      <c r="B841" s="12" t="s">
        <v>3075</v>
      </c>
      <c r="C841" s="12" t="s">
        <v>3076</v>
      </c>
      <c r="D841" s="16" t="n">
        <v>0.00745405092592593</v>
      </c>
      <c r="E841" s="15" t="n">
        <f aca="false">ROUND((D841-$D$5)*86400,2)</f>
        <v>105.01</v>
      </c>
      <c r="F841" s="17" t="n">
        <v>1982</v>
      </c>
      <c r="G841" s="16" t="str">
        <f aca="false">IF(INDEX(選手一覧!$D$7:$D$2738,$F841)="","",INDEX(選手一覧!$D$7:$D$2738,$F841))</f>
        <v/>
      </c>
      <c r="H841" s="17" t="str">
        <f aca="false">IF(INDEX(選手一覧!$E$7:$E$2738,$F841)="","",INDEX(選手一覧!$E$7:$E$2738,$F841))</f>
        <v/>
      </c>
      <c r="I841" s="16" t="str">
        <f aca="false">IF(INDEX(選手一覧!$J$7:$J$2738,$F841)="","",INDEX(選手一覧!$J$7:$J$2738,$F841))</f>
        <v/>
      </c>
      <c r="J841" s="17" t="str">
        <f aca="false">IF(INDEX(選手一覧!$K$7:$K$2738,$F841)="","",INDEX(選手一覧!$K$7:$K$2738,$F841))</f>
        <v/>
      </c>
    </row>
    <row r="842" customFormat="false" ht="15" hidden="false" customHeight="false" outlineLevel="0" collapsed="false">
      <c r="A842" s="17" t="n">
        <v>838</v>
      </c>
      <c r="B842" s="12" t="s">
        <v>3077</v>
      </c>
      <c r="C842" s="12" t="s">
        <v>3078</v>
      </c>
      <c r="D842" s="16" t="n">
        <v>0.00745451388888889</v>
      </c>
      <c r="E842" s="15" t="n">
        <f aca="false">ROUND((D842-$D$5)*86400,2)</f>
        <v>105.05</v>
      </c>
      <c r="F842" s="17" t="n">
        <v>1983</v>
      </c>
      <c r="G842" s="16" t="str">
        <f aca="false">IF(INDEX(選手一覧!$D$7:$D$2738,$F842)="","",INDEX(選手一覧!$D$7:$D$2738,$F842))</f>
        <v/>
      </c>
      <c r="H842" s="17" t="str">
        <f aca="false">IF(INDEX(選手一覧!$E$7:$E$2738,$F842)="","",INDEX(選手一覧!$E$7:$E$2738,$F842))</f>
        <v/>
      </c>
      <c r="I842" s="16" t="str">
        <f aca="false">IF(INDEX(選手一覧!$J$7:$J$2738,$F842)="","",INDEX(選手一覧!$J$7:$J$2738,$F842))</f>
        <v/>
      </c>
      <c r="J842" s="17" t="str">
        <f aca="false">IF(INDEX(選手一覧!$K$7:$K$2738,$F842)="","",INDEX(選手一覧!$K$7:$K$2738,$F842))</f>
        <v/>
      </c>
    </row>
    <row r="843" customFormat="false" ht="15" hidden="false" customHeight="false" outlineLevel="0" collapsed="false">
      <c r="A843" s="17" t="n">
        <v>839</v>
      </c>
      <c r="B843" s="12" t="s">
        <v>3080</v>
      </c>
      <c r="C843" s="12" t="s">
        <v>3081</v>
      </c>
      <c r="D843" s="16" t="n">
        <v>0.00745520833333333</v>
      </c>
      <c r="E843" s="15" t="n">
        <f aca="false">ROUND((D843-$D$5)*86400,2)</f>
        <v>105.11</v>
      </c>
      <c r="F843" s="17" t="n">
        <v>1985</v>
      </c>
      <c r="G843" s="16" t="str">
        <f aca="false">IF(INDEX(選手一覧!$D$7:$D$2738,$F843)="","",INDEX(選手一覧!$D$7:$D$2738,$F843))</f>
        <v/>
      </c>
      <c r="H843" s="17" t="str">
        <f aca="false">IF(INDEX(選手一覧!$E$7:$E$2738,$F843)="","",INDEX(選手一覧!$E$7:$E$2738,$F843))</f>
        <v/>
      </c>
      <c r="I843" s="16" t="str">
        <f aca="false">IF(INDEX(選手一覧!$J$7:$J$2738,$F843)="","",INDEX(選手一覧!$J$7:$J$2738,$F843))</f>
        <v/>
      </c>
      <c r="J843" s="17" t="str">
        <f aca="false">IF(INDEX(選手一覧!$K$7:$K$2738,$F843)="","",INDEX(選手一覧!$K$7:$K$2738,$F843))</f>
        <v/>
      </c>
    </row>
    <row r="844" customFormat="false" ht="15" hidden="false" customHeight="false" outlineLevel="0" collapsed="false">
      <c r="A844" s="17" t="n">
        <v>840</v>
      </c>
      <c r="B844" s="12" t="s">
        <v>2033</v>
      </c>
      <c r="C844" s="12" t="s">
        <v>1127</v>
      </c>
      <c r="D844" s="16" t="n">
        <v>0.00745601851851852</v>
      </c>
      <c r="E844" s="15" t="n">
        <f aca="false">ROUND((D844-$D$5)*86400,2)</f>
        <v>105.18</v>
      </c>
      <c r="F844" s="17" t="n">
        <v>1285</v>
      </c>
      <c r="G844" s="16" t="n">
        <f aca="false">IF(INDEX(選手一覧!$D$7:$D$2738,$F844)="","",INDEX(選手一覧!$D$7:$D$2738,$F844))</f>
        <v>0.0111196759259259</v>
      </c>
      <c r="H844" s="17" t="n">
        <f aca="false">IF(INDEX(選手一覧!$E$7:$E$2738,$F844)="","",INDEX(選手一覧!$E$7:$E$2738,$F844))</f>
        <v>1286</v>
      </c>
      <c r="I844" s="16" t="str">
        <f aca="false">IF(INDEX(選手一覧!$J$7:$J$2738,$F844)="","",INDEX(選手一覧!$J$7:$J$2738,$F844))</f>
        <v/>
      </c>
      <c r="J844" s="17" t="str">
        <f aca="false">IF(INDEX(選手一覧!$K$7:$K$2738,$F844)="","",INDEX(選手一覧!$K$7:$K$2738,$F844))</f>
        <v/>
      </c>
    </row>
    <row r="845" customFormat="false" ht="15" hidden="false" customHeight="false" outlineLevel="0" collapsed="false">
      <c r="A845" s="17" t="n">
        <v>841</v>
      </c>
      <c r="B845" s="12" t="s">
        <v>1546</v>
      </c>
      <c r="C845" s="12" t="s">
        <v>240</v>
      </c>
      <c r="D845" s="16" t="n">
        <v>0.00745625</v>
      </c>
      <c r="E845" s="15" t="n">
        <f aca="false">ROUND((D845-$D$5)*86400,2)</f>
        <v>105.2</v>
      </c>
      <c r="F845" s="17" t="n">
        <v>944</v>
      </c>
      <c r="G845" s="16" t="n">
        <f aca="false">IF(INDEX(選手一覧!$D$7:$D$2738,$F845)="","",INDEX(選手一覧!$D$7:$D$2738,$F845))</f>
        <v>0.0109134259259259</v>
      </c>
      <c r="H845" s="17" t="n">
        <f aca="false">IF(INDEX(選手一覧!$E$7:$E$2738,$F845)="","",INDEX(選手一覧!$E$7:$E$2738,$F845))</f>
        <v>945</v>
      </c>
      <c r="I845" s="16" t="str">
        <f aca="false">IF(INDEX(選手一覧!$J$7:$J$2738,$F845)="","",INDEX(選手一覧!$J$7:$J$2738,$F845))</f>
        <v/>
      </c>
      <c r="J845" s="17" t="str">
        <f aca="false">IF(INDEX(選手一覧!$K$7:$K$2738,$F845)="","",INDEX(選手一覧!$K$7:$K$2738,$F845))</f>
        <v/>
      </c>
    </row>
    <row r="846" customFormat="false" ht="15" hidden="false" customHeight="false" outlineLevel="0" collapsed="false">
      <c r="A846" s="17" t="n">
        <v>842</v>
      </c>
      <c r="B846" s="12" t="s">
        <v>3082</v>
      </c>
      <c r="C846" s="12" t="s">
        <v>3083</v>
      </c>
      <c r="D846" s="16" t="n">
        <v>0.00745717592592593</v>
      </c>
      <c r="E846" s="15" t="n">
        <f aca="false">ROUND((D846-$D$5)*86400,2)</f>
        <v>105.28</v>
      </c>
      <c r="F846" s="17" t="n">
        <v>1986</v>
      </c>
      <c r="G846" s="16" t="str">
        <f aca="false">IF(INDEX(選手一覧!$D$7:$D$2738,$F846)="","",INDEX(選手一覧!$D$7:$D$2738,$F846))</f>
        <v/>
      </c>
      <c r="H846" s="17" t="str">
        <f aca="false">IF(INDEX(選手一覧!$E$7:$E$2738,$F846)="","",INDEX(選手一覧!$E$7:$E$2738,$F846))</f>
        <v/>
      </c>
      <c r="I846" s="16" t="str">
        <f aca="false">IF(INDEX(選手一覧!$J$7:$J$2738,$F846)="","",INDEX(選手一覧!$J$7:$J$2738,$F846))</f>
        <v/>
      </c>
      <c r="J846" s="17" t="str">
        <f aca="false">IF(INDEX(選手一覧!$K$7:$K$2738,$F846)="","",INDEX(選手一覧!$K$7:$K$2738,$F846))</f>
        <v/>
      </c>
    </row>
    <row r="847" customFormat="false" ht="15" hidden="false" customHeight="false" outlineLevel="0" collapsed="false">
      <c r="A847" s="17" t="n">
        <v>843</v>
      </c>
      <c r="B847" s="12" t="s">
        <v>3085</v>
      </c>
      <c r="C847" s="12" t="s">
        <v>454</v>
      </c>
      <c r="D847" s="16" t="n">
        <v>0.00745833333333333</v>
      </c>
      <c r="E847" s="15" t="n">
        <f aca="false">ROUND((D847-$D$5)*86400,2)</f>
        <v>105.38</v>
      </c>
      <c r="F847" s="17" t="n">
        <v>1988</v>
      </c>
      <c r="G847" s="16" t="str">
        <f aca="false">IF(INDEX(選手一覧!$D$7:$D$2738,$F847)="","",INDEX(選手一覧!$D$7:$D$2738,$F847))</f>
        <v/>
      </c>
      <c r="H847" s="17" t="str">
        <f aca="false">IF(INDEX(選手一覧!$E$7:$E$2738,$F847)="","",INDEX(選手一覧!$E$7:$E$2738,$F847))</f>
        <v/>
      </c>
      <c r="I847" s="16" t="str">
        <f aca="false">IF(INDEX(選手一覧!$J$7:$J$2738,$F847)="","",INDEX(選手一覧!$J$7:$J$2738,$F847))</f>
        <v/>
      </c>
      <c r="J847" s="17" t="str">
        <f aca="false">IF(INDEX(選手一覧!$K$7:$K$2738,$F847)="","",INDEX(選手一覧!$K$7:$K$2738,$F847))</f>
        <v/>
      </c>
    </row>
    <row r="848" customFormat="false" ht="15" hidden="false" customHeight="false" outlineLevel="0" collapsed="false">
      <c r="A848" s="17" t="n">
        <v>844</v>
      </c>
      <c r="B848" s="12" t="s">
        <v>3088</v>
      </c>
      <c r="C848" s="12" t="s">
        <v>1548</v>
      </c>
      <c r="D848" s="16" t="n">
        <v>0.00745972222222222</v>
      </c>
      <c r="E848" s="15" t="n">
        <f aca="false">ROUND((D848-$D$5)*86400,2)</f>
        <v>105.5</v>
      </c>
      <c r="F848" s="17" t="n">
        <v>1990</v>
      </c>
      <c r="G848" s="16" t="str">
        <f aca="false">IF(INDEX(選手一覧!$D$7:$D$2738,$F848)="","",INDEX(選手一覧!$D$7:$D$2738,$F848))</f>
        <v/>
      </c>
      <c r="H848" s="17" t="str">
        <f aca="false">IF(INDEX(選手一覧!$E$7:$E$2738,$F848)="","",INDEX(選手一覧!$E$7:$E$2738,$F848))</f>
        <v/>
      </c>
      <c r="I848" s="16" t="str">
        <f aca="false">IF(INDEX(選手一覧!$J$7:$J$2738,$F848)="","",INDEX(選手一覧!$J$7:$J$2738,$F848))</f>
        <v/>
      </c>
      <c r="J848" s="17" t="str">
        <f aca="false">IF(INDEX(選手一覧!$K$7:$K$2738,$F848)="","",INDEX(選手一覧!$K$7:$K$2738,$F848))</f>
        <v/>
      </c>
    </row>
    <row r="849" customFormat="false" ht="15" hidden="false" customHeight="false" outlineLevel="0" collapsed="false">
      <c r="A849" s="17" t="n">
        <v>845</v>
      </c>
      <c r="B849" s="12" t="s">
        <v>3089</v>
      </c>
      <c r="C849" s="12" t="s">
        <v>3090</v>
      </c>
      <c r="D849" s="16" t="n">
        <v>0.00746041666666667</v>
      </c>
      <c r="E849" s="15" t="n">
        <f aca="false">ROUND((D849-$D$5)*86400,2)</f>
        <v>105.56</v>
      </c>
      <c r="F849" s="17" t="n">
        <v>1991</v>
      </c>
      <c r="G849" s="16" t="str">
        <f aca="false">IF(INDEX(選手一覧!$D$7:$D$2738,$F849)="","",INDEX(選手一覧!$D$7:$D$2738,$F849))</f>
        <v/>
      </c>
      <c r="H849" s="17" t="str">
        <f aca="false">IF(INDEX(選手一覧!$E$7:$E$2738,$F849)="","",INDEX(選手一覧!$E$7:$E$2738,$F849))</f>
        <v/>
      </c>
      <c r="I849" s="16" t="str">
        <f aca="false">IF(INDEX(選手一覧!$J$7:$J$2738,$F849)="","",INDEX(選手一覧!$J$7:$J$2738,$F849))</f>
        <v/>
      </c>
      <c r="J849" s="17" t="str">
        <f aca="false">IF(INDEX(選手一覧!$K$7:$K$2738,$F849)="","",INDEX(選手一覧!$K$7:$K$2738,$F849))</f>
        <v/>
      </c>
    </row>
    <row r="850" customFormat="false" ht="15" hidden="false" customHeight="false" outlineLevel="0" collapsed="false">
      <c r="A850" s="17" t="n">
        <v>846</v>
      </c>
      <c r="B850" s="12" t="s">
        <v>3091</v>
      </c>
      <c r="C850" s="12" t="s">
        <v>1255</v>
      </c>
      <c r="D850" s="16" t="n">
        <v>0.00746122685185185</v>
      </c>
      <c r="E850" s="15" t="n">
        <f aca="false">ROUND((D850-$D$5)*86400,2)</f>
        <v>105.63</v>
      </c>
      <c r="F850" s="17" t="n">
        <v>1992</v>
      </c>
      <c r="G850" s="16" t="str">
        <f aca="false">IF(INDEX(選手一覧!$D$7:$D$2738,$F850)="","",INDEX(選手一覧!$D$7:$D$2738,$F850))</f>
        <v/>
      </c>
      <c r="H850" s="17" t="str">
        <f aca="false">IF(INDEX(選手一覧!$E$7:$E$2738,$F850)="","",INDEX(選手一覧!$E$7:$E$2738,$F850))</f>
        <v/>
      </c>
      <c r="I850" s="16" t="str">
        <f aca="false">IF(INDEX(選手一覧!$J$7:$J$2738,$F850)="","",INDEX(選手一覧!$J$7:$J$2738,$F850))</f>
        <v/>
      </c>
      <c r="J850" s="17" t="str">
        <f aca="false">IF(INDEX(選手一覧!$K$7:$K$2738,$F850)="","",INDEX(選手一覧!$K$7:$K$2738,$F850))</f>
        <v/>
      </c>
    </row>
    <row r="851" customFormat="false" ht="15" hidden="false" customHeight="false" outlineLevel="0" collapsed="false">
      <c r="A851" s="17" t="n">
        <v>847</v>
      </c>
      <c r="B851" s="12" t="s">
        <v>3093</v>
      </c>
      <c r="C851" s="12" t="s">
        <v>3094</v>
      </c>
      <c r="D851" s="16" t="n">
        <v>0.0074619212962963</v>
      </c>
      <c r="E851" s="15" t="n">
        <f aca="false">ROUND((D851-$D$5)*86400,2)</f>
        <v>105.69</v>
      </c>
      <c r="F851" s="17" t="n">
        <v>1994</v>
      </c>
      <c r="G851" s="16" t="str">
        <f aca="false">IF(INDEX(選手一覧!$D$7:$D$2738,$F851)="","",INDEX(選手一覧!$D$7:$D$2738,$F851))</f>
        <v/>
      </c>
      <c r="H851" s="17" t="str">
        <f aca="false">IF(INDEX(選手一覧!$E$7:$E$2738,$F851)="","",INDEX(選手一覧!$E$7:$E$2738,$F851))</f>
        <v/>
      </c>
      <c r="I851" s="16" t="str">
        <f aca="false">IF(INDEX(選手一覧!$J$7:$J$2738,$F851)="","",INDEX(選手一覧!$J$7:$J$2738,$F851))</f>
        <v/>
      </c>
      <c r="J851" s="17" t="str">
        <f aca="false">IF(INDEX(選手一覧!$K$7:$K$2738,$F851)="","",INDEX(選手一覧!$K$7:$K$2738,$F851))</f>
        <v/>
      </c>
    </row>
    <row r="852" customFormat="false" ht="15" hidden="false" customHeight="false" outlineLevel="0" collapsed="false">
      <c r="A852" s="17" t="n">
        <v>848</v>
      </c>
      <c r="B852" s="12" t="s">
        <v>3095</v>
      </c>
      <c r="C852" s="12" t="s">
        <v>3096</v>
      </c>
      <c r="D852" s="16" t="n">
        <v>0.00746203703703704</v>
      </c>
      <c r="E852" s="15" t="n">
        <f aca="false">ROUND((D852-$D$5)*86400,2)</f>
        <v>105.7</v>
      </c>
      <c r="F852" s="17" t="n">
        <v>1995</v>
      </c>
      <c r="G852" s="16" t="str">
        <f aca="false">IF(INDEX(選手一覧!$D$7:$D$2738,$F852)="","",INDEX(選手一覧!$D$7:$D$2738,$F852))</f>
        <v/>
      </c>
      <c r="H852" s="17" t="str">
        <f aca="false">IF(INDEX(選手一覧!$E$7:$E$2738,$F852)="","",INDEX(選手一覧!$E$7:$E$2738,$F852))</f>
        <v/>
      </c>
      <c r="I852" s="16" t="str">
        <f aca="false">IF(INDEX(選手一覧!$J$7:$J$2738,$F852)="","",INDEX(選手一覧!$J$7:$J$2738,$F852))</f>
        <v/>
      </c>
      <c r="J852" s="17" t="str">
        <f aca="false">IF(INDEX(選手一覧!$K$7:$K$2738,$F852)="","",INDEX(選手一覧!$K$7:$K$2738,$F852))</f>
        <v/>
      </c>
    </row>
    <row r="853" customFormat="false" ht="15" hidden="false" customHeight="false" outlineLevel="0" collapsed="false">
      <c r="A853" s="17" t="n">
        <v>849</v>
      </c>
      <c r="B853" s="12" t="s">
        <v>3097</v>
      </c>
      <c r="C853" s="12" t="s">
        <v>3098</v>
      </c>
      <c r="D853" s="16" t="n">
        <v>0.0074625</v>
      </c>
      <c r="E853" s="15" t="n">
        <f aca="false">ROUND((D853-$D$5)*86400,2)</f>
        <v>105.74</v>
      </c>
      <c r="F853" s="17" t="n">
        <v>1996</v>
      </c>
      <c r="G853" s="16" t="str">
        <f aca="false">IF(INDEX(選手一覧!$D$7:$D$2738,$F853)="","",INDEX(選手一覧!$D$7:$D$2738,$F853))</f>
        <v/>
      </c>
      <c r="H853" s="17" t="str">
        <f aca="false">IF(INDEX(選手一覧!$E$7:$E$2738,$F853)="","",INDEX(選手一覧!$E$7:$E$2738,$F853))</f>
        <v/>
      </c>
      <c r="I853" s="16" t="str">
        <f aca="false">IF(INDEX(選手一覧!$J$7:$J$2738,$F853)="","",INDEX(選手一覧!$J$7:$J$2738,$F853))</f>
        <v/>
      </c>
      <c r="J853" s="17" t="str">
        <f aca="false">IF(INDEX(選手一覧!$K$7:$K$2738,$F853)="","",INDEX(選手一覧!$K$7:$K$2738,$F853))</f>
        <v/>
      </c>
    </row>
    <row r="854" customFormat="false" ht="15" hidden="false" customHeight="false" outlineLevel="0" collapsed="false">
      <c r="A854" s="17" t="n">
        <v>850</v>
      </c>
      <c r="B854" s="12" t="s">
        <v>3100</v>
      </c>
      <c r="C854" s="12" t="s">
        <v>2298</v>
      </c>
      <c r="D854" s="16" t="n">
        <v>0.0074625</v>
      </c>
      <c r="E854" s="15" t="n">
        <f aca="false">ROUND((D854-$D$5)*86400,2)</f>
        <v>105.74</v>
      </c>
      <c r="F854" s="17" t="n">
        <v>1998</v>
      </c>
      <c r="G854" s="16" t="str">
        <f aca="false">IF(INDEX(選手一覧!$D$7:$D$2738,$F854)="","",INDEX(選手一覧!$D$7:$D$2738,$F854))</f>
        <v/>
      </c>
      <c r="H854" s="17" t="str">
        <f aca="false">IF(INDEX(選手一覧!$E$7:$E$2738,$F854)="","",INDEX(選手一覧!$E$7:$E$2738,$F854))</f>
        <v/>
      </c>
      <c r="I854" s="16" t="str">
        <f aca="false">IF(INDEX(選手一覧!$J$7:$J$2738,$F854)="","",INDEX(選手一覧!$J$7:$J$2738,$F854))</f>
        <v/>
      </c>
      <c r="J854" s="17" t="str">
        <f aca="false">IF(INDEX(選手一覧!$K$7:$K$2738,$F854)="","",INDEX(選手一覧!$K$7:$K$2738,$F854))</f>
        <v/>
      </c>
    </row>
    <row r="855" customFormat="false" ht="15" hidden="false" customHeight="false" outlineLevel="0" collapsed="false">
      <c r="A855" s="17" t="n">
        <v>851</v>
      </c>
      <c r="B855" s="12" t="s">
        <v>3103</v>
      </c>
      <c r="C855" s="12" t="s">
        <v>3104</v>
      </c>
      <c r="D855" s="16" t="n">
        <v>0.0074630787037037</v>
      </c>
      <c r="E855" s="15" t="n">
        <f aca="false">ROUND((D855-$D$5)*86400,2)</f>
        <v>105.79</v>
      </c>
      <c r="F855" s="17" t="n">
        <v>2000</v>
      </c>
      <c r="G855" s="16" t="str">
        <f aca="false">IF(INDEX(選手一覧!$D$7:$D$2738,$F855)="","",INDEX(選手一覧!$D$7:$D$2738,$F855))</f>
        <v/>
      </c>
      <c r="H855" s="17" t="str">
        <f aca="false">IF(INDEX(選手一覧!$E$7:$E$2738,$F855)="","",INDEX(選手一覧!$E$7:$E$2738,$F855))</f>
        <v/>
      </c>
      <c r="I855" s="16" t="str">
        <f aca="false">IF(INDEX(選手一覧!$J$7:$J$2738,$F855)="","",INDEX(選手一覧!$J$7:$J$2738,$F855))</f>
        <v/>
      </c>
      <c r="J855" s="17" t="str">
        <f aca="false">IF(INDEX(選手一覧!$K$7:$K$2738,$F855)="","",INDEX(選手一覧!$K$7:$K$2738,$F855))</f>
        <v/>
      </c>
    </row>
    <row r="856" customFormat="false" ht="15" hidden="false" customHeight="false" outlineLevel="0" collapsed="false">
      <c r="A856" s="17" t="n">
        <v>852</v>
      </c>
      <c r="B856" s="12" t="s">
        <v>3105</v>
      </c>
      <c r="C856" s="12" t="s">
        <v>1527</v>
      </c>
      <c r="D856" s="16" t="n">
        <v>0.00746377314814815</v>
      </c>
      <c r="E856" s="15" t="n">
        <f aca="false">ROUND((D856-$D$5)*86400,2)</f>
        <v>105.85</v>
      </c>
      <c r="F856" s="17" t="n">
        <v>2001</v>
      </c>
      <c r="G856" s="16" t="str">
        <f aca="false">IF(INDEX(選手一覧!$D$7:$D$2738,$F856)="","",INDEX(選手一覧!$D$7:$D$2738,$F856))</f>
        <v/>
      </c>
      <c r="H856" s="17" t="str">
        <f aca="false">IF(INDEX(選手一覧!$E$7:$E$2738,$F856)="","",INDEX(選手一覧!$E$7:$E$2738,$F856))</f>
        <v/>
      </c>
      <c r="I856" s="16" t="str">
        <f aca="false">IF(INDEX(選手一覧!$J$7:$J$2738,$F856)="","",INDEX(選手一覧!$J$7:$J$2738,$F856))</f>
        <v/>
      </c>
      <c r="J856" s="17" t="str">
        <f aca="false">IF(INDEX(選手一覧!$K$7:$K$2738,$F856)="","",INDEX(選手一覧!$K$7:$K$2738,$F856))</f>
        <v/>
      </c>
    </row>
    <row r="857" customFormat="false" ht="15" hidden="false" customHeight="false" outlineLevel="0" collapsed="false">
      <c r="A857" s="17" t="n">
        <v>853</v>
      </c>
      <c r="B857" s="12" t="s">
        <v>3106</v>
      </c>
      <c r="C857" s="12" t="s">
        <v>3107</v>
      </c>
      <c r="D857" s="16" t="n">
        <v>0.00746412037037037</v>
      </c>
      <c r="E857" s="15" t="n">
        <f aca="false">ROUND((D857-$D$5)*86400,2)</f>
        <v>105.88</v>
      </c>
      <c r="F857" s="17" t="n">
        <v>2002</v>
      </c>
      <c r="G857" s="16" t="str">
        <f aca="false">IF(INDEX(選手一覧!$D$7:$D$2738,$F857)="","",INDEX(選手一覧!$D$7:$D$2738,$F857))</f>
        <v/>
      </c>
      <c r="H857" s="17" t="str">
        <f aca="false">IF(INDEX(選手一覧!$E$7:$E$2738,$F857)="","",INDEX(選手一覧!$E$7:$E$2738,$F857))</f>
        <v/>
      </c>
      <c r="I857" s="16" t="str">
        <f aca="false">IF(INDEX(選手一覧!$J$7:$J$2738,$F857)="","",INDEX(選手一覧!$J$7:$J$2738,$F857))</f>
        <v/>
      </c>
      <c r="J857" s="17" t="str">
        <f aca="false">IF(INDEX(選手一覧!$K$7:$K$2738,$F857)="","",INDEX(選手一覧!$K$7:$K$2738,$F857))</f>
        <v/>
      </c>
    </row>
    <row r="858" customFormat="false" ht="15" hidden="false" customHeight="false" outlineLevel="0" collapsed="false">
      <c r="A858" s="17" t="n">
        <v>854</v>
      </c>
      <c r="B858" s="12" t="s">
        <v>3108</v>
      </c>
      <c r="C858" s="12" t="s">
        <v>3109</v>
      </c>
      <c r="D858" s="16" t="n">
        <v>0.00746412037037037</v>
      </c>
      <c r="E858" s="15" t="n">
        <f aca="false">ROUND((D858-$D$5)*86400,2)</f>
        <v>105.88</v>
      </c>
      <c r="F858" s="17" t="n">
        <v>2003</v>
      </c>
      <c r="G858" s="16" t="str">
        <f aca="false">IF(INDEX(選手一覧!$D$7:$D$2738,$F858)="","",INDEX(選手一覧!$D$7:$D$2738,$F858))</f>
        <v/>
      </c>
      <c r="H858" s="17" t="str">
        <f aca="false">IF(INDEX(選手一覧!$E$7:$E$2738,$F858)="","",INDEX(選手一覧!$E$7:$E$2738,$F858))</f>
        <v/>
      </c>
      <c r="I858" s="16" t="str">
        <f aca="false">IF(INDEX(選手一覧!$J$7:$J$2738,$F858)="","",INDEX(選手一覧!$J$7:$J$2738,$F858))</f>
        <v/>
      </c>
      <c r="J858" s="17" t="str">
        <f aca="false">IF(INDEX(選手一覧!$K$7:$K$2738,$F858)="","",INDEX(選手一覧!$K$7:$K$2738,$F858))</f>
        <v/>
      </c>
    </row>
    <row r="859" customFormat="false" ht="15" hidden="false" customHeight="false" outlineLevel="0" collapsed="false">
      <c r="A859" s="17" t="n">
        <v>855</v>
      </c>
      <c r="B859" s="12" t="s">
        <v>3110</v>
      </c>
      <c r="C859" s="12" t="s">
        <v>1769</v>
      </c>
      <c r="D859" s="16" t="n">
        <v>0.00746527777777778</v>
      </c>
      <c r="E859" s="15" t="n">
        <f aca="false">ROUND((D859-$D$5)*86400,2)</f>
        <v>105.98</v>
      </c>
      <c r="F859" s="17" t="n">
        <v>2004</v>
      </c>
      <c r="G859" s="16" t="str">
        <f aca="false">IF(INDEX(選手一覧!$D$7:$D$2738,$F859)="","",INDEX(選手一覧!$D$7:$D$2738,$F859))</f>
        <v/>
      </c>
      <c r="H859" s="17" t="str">
        <f aca="false">IF(INDEX(選手一覧!$E$7:$E$2738,$F859)="","",INDEX(選手一覧!$E$7:$E$2738,$F859))</f>
        <v/>
      </c>
      <c r="I859" s="16" t="str">
        <f aca="false">IF(INDEX(選手一覧!$J$7:$J$2738,$F859)="","",INDEX(選手一覧!$J$7:$J$2738,$F859))</f>
        <v/>
      </c>
      <c r="J859" s="17" t="str">
        <f aca="false">IF(INDEX(選手一覧!$K$7:$K$2738,$F859)="","",INDEX(選手一覧!$K$7:$K$2738,$F859))</f>
        <v/>
      </c>
    </row>
    <row r="860" customFormat="false" ht="15" hidden="false" customHeight="false" outlineLevel="0" collapsed="false">
      <c r="A860" s="17" t="n">
        <v>856</v>
      </c>
      <c r="B860" s="12" t="s">
        <v>3111</v>
      </c>
      <c r="C860" s="12" t="s">
        <v>873</v>
      </c>
      <c r="D860" s="16" t="n">
        <v>0.00746666666666667</v>
      </c>
      <c r="E860" s="15" t="n">
        <f aca="false">ROUND((D860-$D$5)*86400,2)</f>
        <v>106.1</v>
      </c>
      <c r="F860" s="17" t="n">
        <v>2005</v>
      </c>
      <c r="G860" s="16" t="str">
        <f aca="false">IF(INDEX(選手一覧!$D$7:$D$2738,$F860)="","",INDEX(選手一覧!$D$7:$D$2738,$F860))</f>
        <v/>
      </c>
      <c r="H860" s="17" t="str">
        <f aca="false">IF(INDEX(選手一覧!$E$7:$E$2738,$F860)="","",INDEX(選手一覧!$E$7:$E$2738,$F860))</f>
        <v/>
      </c>
      <c r="I860" s="16" t="str">
        <f aca="false">IF(INDEX(選手一覧!$J$7:$J$2738,$F860)="","",INDEX(選手一覧!$J$7:$J$2738,$F860))</f>
        <v/>
      </c>
      <c r="J860" s="17" t="str">
        <f aca="false">IF(INDEX(選手一覧!$K$7:$K$2738,$F860)="","",INDEX(選手一覧!$K$7:$K$2738,$F860))</f>
        <v/>
      </c>
    </row>
    <row r="861" customFormat="false" ht="15" hidden="false" customHeight="false" outlineLevel="0" collapsed="false">
      <c r="A861" s="17" t="n">
        <v>857</v>
      </c>
      <c r="B861" s="12" t="s">
        <v>1133</v>
      </c>
      <c r="C861" s="12" t="s">
        <v>351</v>
      </c>
      <c r="D861" s="16" t="n">
        <v>0.00746712962962963</v>
      </c>
      <c r="E861" s="15" t="n">
        <f aca="false">ROUND((D861-$D$5)*86400,2)</f>
        <v>106.14</v>
      </c>
      <c r="F861" s="17" t="n">
        <v>671</v>
      </c>
      <c r="G861" s="16" t="n">
        <f aca="false">IF(INDEX(選手一覧!$D$7:$D$2738,$F861)="","",INDEX(選手一覧!$D$7:$D$2738,$F861))</f>
        <v>0.010753125</v>
      </c>
      <c r="H861" s="17" t="n">
        <f aca="false">IF(INDEX(選手一覧!$E$7:$E$2738,$F861)="","",INDEX(選手一覧!$E$7:$E$2738,$F861))</f>
        <v>672</v>
      </c>
      <c r="I861" s="16" t="n">
        <f aca="false">IF(INDEX(選手一覧!$J$7:$J$2738,$F861)="","",INDEX(選手一覧!$J$7:$J$2738,$F861))</f>
        <v>0.00291041666666667</v>
      </c>
      <c r="J861" s="17" t="n">
        <f aca="false">IF(INDEX(選手一覧!$K$7:$K$2738,$F861)="","",INDEX(選手一覧!$K$7:$K$2738,$F861))</f>
        <v>1024</v>
      </c>
    </row>
    <row r="862" customFormat="false" ht="15" hidden="false" customHeight="false" outlineLevel="0" collapsed="false">
      <c r="A862" s="17" t="n">
        <v>858</v>
      </c>
      <c r="B862" s="12" t="s">
        <v>3114</v>
      </c>
      <c r="C862" s="12" t="s">
        <v>1123</v>
      </c>
      <c r="D862" s="16" t="n">
        <v>0.00746793981481482</v>
      </c>
      <c r="E862" s="15" t="n">
        <f aca="false">ROUND((D862-$D$5)*86400,2)</f>
        <v>106.21</v>
      </c>
      <c r="F862" s="17" t="n">
        <v>2007</v>
      </c>
      <c r="G862" s="16" t="str">
        <f aca="false">IF(INDEX(選手一覧!$D$7:$D$2738,$F862)="","",INDEX(選手一覧!$D$7:$D$2738,$F862))</f>
        <v/>
      </c>
      <c r="H862" s="17" t="str">
        <f aca="false">IF(INDEX(選手一覧!$E$7:$E$2738,$F862)="","",INDEX(選手一覧!$E$7:$E$2738,$F862))</f>
        <v/>
      </c>
      <c r="I862" s="16" t="str">
        <f aca="false">IF(INDEX(選手一覧!$J$7:$J$2738,$F862)="","",INDEX(選手一覧!$J$7:$J$2738,$F862))</f>
        <v/>
      </c>
      <c r="J862" s="17" t="str">
        <f aca="false">IF(INDEX(選手一覧!$K$7:$K$2738,$F862)="","",INDEX(選手一覧!$K$7:$K$2738,$F862))</f>
        <v/>
      </c>
    </row>
    <row r="863" customFormat="false" ht="15" hidden="false" customHeight="false" outlineLevel="0" collapsed="false">
      <c r="A863" s="17" t="n">
        <v>859</v>
      </c>
      <c r="B863" s="12" t="s">
        <v>3115</v>
      </c>
      <c r="C863" s="12" t="s">
        <v>929</v>
      </c>
      <c r="D863" s="16" t="n">
        <v>0.00746956018518519</v>
      </c>
      <c r="E863" s="15" t="n">
        <f aca="false">ROUND((D863-$D$5)*86400,2)</f>
        <v>106.35</v>
      </c>
      <c r="F863" s="17" t="n">
        <v>2008</v>
      </c>
      <c r="G863" s="16" t="str">
        <f aca="false">IF(INDEX(選手一覧!$D$7:$D$2738,$F863)="","",INDEX(選手一覧!$D$7:$D$2738,$F863))</f>
        <v/>
      </c>
      <c r="H863" s="17" t="str">
        <f aca="false">IF(INDEX(選手一覧!$E$7:$E$2738,$F863)="","",INDEX(選手一覧!$E$7:$E$2738,$F863))</f>
        <v/>
      </c>
      <c r="I863" s="16" t="str">
        <f aca="false">IF(INDEX(選手一覧!$J$7:$J$2738,$F863)="","",INDEX(選手一覧!$J$7:$J$2738,$F863))</f>
        <v/>
      </c>
      <c r="J863" s="17" t="str">
        <f aca="false">IF(INDEX(選手一覧!$K$7:$K$2738,$F863)="","",INDEX(選手一覧!$K$7:$K$2738,$F863))</f>
        <v/>
      </c>
    </row>
    <row r="864" customFormat="false" ht="15" hidden="false" customHeight="false" outlineLevel="0" collapsed="false">
      <c r="A864" s="17" t="n">
        <v>860</v>
      </c>
      <c r="B864" s="12" t="s">
        <v>3116</v>
      </c>
      <c r="C864" s="12" t="s">
        <v>2203</v>
      </c>
      <c r="D864" s="16" t="n">
        <v>0.00747141203703704</v>
      </c>
      <c r="E864" s="15" t="n">
        <f aca="false">ROUND((D864-$D$5)*86400,2)</f>
        <v>106.51</v>
      </c>
      <c r="F864" s="17" t="n">
        <v>2009</v>
      </c>
      <c r="G864" s="16" t="str">
        <f aca="false">IF(INDEX(選手一覧!$D$7:$D$2738,$F864)="","",INDEX(選手一覧!$D$7:$D$2738,$F864))</f>
        <v/>
      </c>
      <c r="H864" s="17" t="str">
        <f aca="false">IF(INDEX(選手一覧!$E$7:$E$2738,$F864)="","",INDEX(選手一覧!$E$7:$E$2738,$F864))</f>
        <v/>
      </c>
      <c r="I864" s="16" t="n">
        <f aca="false">IF(INDEX(選手一覧!$J$7:$J$2738,$F864)="","",INDEX(選手一覧!$J$7:$J$2738,$F864))</f>
        <v>0.00292881944444444</v>
      </c>
      <c r="J864" s="17" t="n">
        <f aca="false">IF(INDEX(選手一覧!$K$7:$K$2738,$F864)="","",INDEX(選手一覧!$K$7:$K$2738,$F864))</f>
        <v>1170</v>
      </c>
    </row>
    <row r="865" customFormat="false" ht="15" hidden="false" customHeight="false" outlineLevel="0" collapsed="false">
      <c r="A865" s="17" t="n">
        <v>861</v>
      </c>
      <c r="B865" s="12" t="s">
        <v>3118</v>
      </c>
      <c r="C865" s="12" t="s">
        <v>1677</v>
      </c>
      <c r="D865" s="16" t="n">
        <v>0.00747418981481482</v>
      </c>
      <c r="E865" s="15" t="n">
        <f aca="false">ROUND((D865-$D$5)*86400,2)</f>
        <v>106.75</v>
      </c>
      <c r="F865" s="17" t="n">
        <v>2011</v>
      </c>
      <c r="G865" s="16" t="str">
        <f aca="false">IF(INDEX(選手一覧!$D$7:$D$2738,$F865)="","",INDEX(選手一覧!$D$7:$D$2738,$F865))</f>
        <v/>
      </c>
      <c r="H865" s="17" t="str">
        <f aca="false">IF(INDEX(選手一覧!$E$7:$E$2738,$F865)="","",INDEX(選手一覧!$E$7:$E$2738,$F865))</f>
        <v/>
      </c>
      <c r="I865" s="16" t="str">
        <f aca="false">IF(INDEX(選手一覧!$J$7:$J$2738,$F865)="","",INDEX(選手一覧!$J$7:$J$2738,$F865))</f>
        <v/>
      </c>
      <c r="J865" s="17" t="str">
        <f aca="false">IF(INDEX(選手一覧!$K$7:$K$2738,$F865)="","",INDEX(選手一覧!$K$7:$K$2738,$F865))</f>
        <v/>
      </c>
    </row>
    <row r="866" customFormat="false" ht="15" hidden="false" customHeight="false" outlineLevel="0" collapsed="false">
      <c r="A866" s="17" t="n">
        <v>862</v>
      </c>
      <c r="B866" s="12" t="s">
        <v>3120</v>
      </c>
      <c r="C866" s="12" t="s">
        <v>3121</v>
      </c>
      <c r="D866" s="16" t="n">
        <v>0.0074744212962963</v>
      </c>
      <c r="E866" s="15" t="n">
        <f aca="false">ROUND((D866-$D$5)*86400,2)</f>
        <v>106.77</v>
      </c>
      <c r="F866" s="17" t="n">
        <v>2013</v>
      </c>
      <c r="G866" s="16" t="str">
        <f aca="false">IF(INDEX(選手一覧!$D$7:$D$2738,$F866)="","",INDEX(選手一覧!$D$7:$D$2738,$F866))</f>
        <v/>
      </c>
      <c r="H866" s="17" t="str">
        <f aca="false">IF(INDEX(選手一覧!$E$7:$E$2738,$F866)="","",INDEX(選手一覧!$E$7:$E$2738,$F866))</f>
        <v/>
      </c>
      <c r="I866" s="16" t="str">
        <f aca="false">IF(INDEX(選手一覧!$J$7:$J$2738,$F866)="","",INDEX(選手一覧!$J$7:$J$2738,$F866))</f>
        <v/>
      </c>
      <c r="J866" s="17" t="str">
        <f aca="false">IF(INDEX(選手一覧!$K$7:$K$2738,$F866)="","",INDEX(選手一覧!$K$7:$K$2738,$F866))</f>
        <v/>
      </c>
    </row>
    <row r="867" customFormat="false" ht="15" hidden="false" customHeight="false" outlineLevel="0" collapsed="false">
      <c r="A867" s="17" t="n">
        <v>863</v>
      </c>
      <c r="B867" s="12" t="s">
        <v>3122</v>
      </c>
      <c r="C867" s="12" t="s">
        <v>623</v>
      </c>
      <c r="D867" s="16" t="n">
        <v>0.00747476851851852</v>
      </c>
      <c r="E867" s="15" t="n">
        <f aca="false">ROUND((D867-$D$5)*86400,2)</f>
        <v>106.8</v>
      </c>
      <c r="F867" s="17" t="n">
        <v>2014</v>
      </c>
      <c r="G867" s="16" t="str">
        <f aca="false">IF(INDEX(選手一覧!$D$7:$D$2738,$F867)="","",INDEX(選手一覧!$D$7:$D$2738,$F867))</f>
        <v/>
      </c>
      <c r="H867" s="17" t="str">
        <f aca="false">IF(INDEX(選手一覧!$E$7:$E$2738,$F867)="","",INDEX(選手一覧!$E$7:$E$2738,$F867))</f>
        <v/>
      </c>
      <c r="I867" s="16" t="str">
        <f aca="false">IF(INDEX(選手一覧!$J$7:$J$2738,$F867)="","",INDEX(選手一覧!$J$7:$J$2738,$F867))</f>
        <v/>
      </c>
      <c r="J867" s="17" t="str">
        <f aca="false">IF(INDEX(選手一覧!$K$7:$K$2738,$F867)="","",INDEX(選手一覧!$K$7:$K$2738,$F867))</f>
        <v/>
      </c>
    </row>
    <row r="868" customFormat="false" ht="15" hidden="false" customHeight="false" outlineLevel="0" collapsed="false">
      <c r="A868" s="17" t="n">
        <v>864</v>
      </c>
      <c r="B868" s="12" t="s">
        <v>3124</v>
      </c>
      <c r="C868" s="12" t="s">
        <v>2037</v>
      </c>
      <c r="D868" s="16" t="n">
        <v>0.007475</v>
      </c>
      <c r="E868" s="15" t="n">
        <f aca="false">ROUND((D868-$D$5)*86400,2)</f>
        <v>106.82</v>
      </c>
      <c r="F868" s="17" t="n">
        <v>2016</v>
      </c>
      <c r="G868" s="16" t="str">
        <f aca="false">IF(INDEX(選手一覧!$D$7:$D$2738,$F868)="","",INDEX(選手一覧!$D$7:$D$2738,$F868))</f>
        <v/>
      </c>
      <c r="H868" s="17" t="str">
        <f aca="false">IF(INDEX(選手一覧!$E$7:$E$2738,$F868)="","",INDEX(選手一覧!$E$7:$E$2738,$F868))</f>
        <v/>
      </c>
      <c r="I868" s="16" t="str">
        <f aca="false">IF(INDEX(選手一覧!$J$7:$J$2738,$F868)="","",INDEX(選手一覧!$J$7:$J$2738,$F868))</f>
        <v/>
      </c>
      <c r="J868" s="17" t="str">
        <f aca="false">IF(INDEX(選手一覧!$K$7:$K$2738,$F868)="","",INDEX(選手一覧!$K$7:$K$2738,$F868))</f>
        <v/>
      </c>
    </row>
    <row r="869" customFormat="false" ht="15" hidden="false" customHeight="false" outlineLevel="0" collapsed="false">
      <c r="A869" s="17" t="n">
        <v>865</v>
      </c>
      <c r="B869" s="12" t="s">
        <v>3125</v>
      </c>
      <c r="C869" s="12" t="s">
        <v>486</v>
      </c>
      <c r="D869" s="16" t="n">
        <v>0.00747627314814815</v>
      </c>
      <c r="E869" s="15" t="n">
        <f aca="false">ROUND((D869-$D$5)*86400,2)</f>
        <v>106.93</v>
      </c>
      <c r="F869" s="17" t="n">
        <v>2017</v>
      </c>
      <c r="G869" s="16" t="str">
        <f aca="false">IF(INDEX(選手一覧!$D$7:$D$2738,$F869)="","",INDEX(選手一覧!$D$7:$D$2738,$F869))</f>
        <v/>
      </c>
      <c r="H869" s="17" t="str">
        <f aca="false">IF(INDEX(選手一覧!$E$7:$E$2738,$F869)="","",INDEX(選手一覧!$E$7:$E$2738,$F869))</f>
        <v/>
      </c>
      <c r="I869" s="16" t="str">
        <f aca="false">IF(INDEX(選手一覧!$J$7:$J$2738,$F869)="","",INDEX(選手一覧!$J$7:$J$2738,$F869))</f>
        <v/>
      </c>
      <c r="J869" s="17" t="str">
        <f aca="false">IF(INDEX(選手一覧!$K$7:$K$2738,$F869)="","",INDEX(選手一覧!$K$7:$K$2738,$F869))</f>
        <v/>
      </c>
    </row>
    <row r="870" customFormat="false" ht="15" hidden="false" customHeight="false" outlineLevel="0" collapsed="false">
      <c r="A870" s="17" t="n">
        <v>866</v>
      </c>
      <c r="B870" s="12" t="s">
        <v>3127</v>
      </c>
      <c r="C870" s="12" t="s">
        <v>3128</v>
      </c>
      <c r="D870" s="16" t="n">
        <v>0.00747708333333333</v>
      </c>
      <c r="E870" s="15" t="n">
        <f aca="false">ROUND((D870-$D$5)*86400,2)</f>
        <v>107</v>
      </c>
      <c r="F870" s="17" t="n">
        <v>2019</v>
      </c>
      <c r="G870" s="16" t="str">
        <f aca="false">IF(INDEX(選手一覧!$D$7:$D$2738,$F870)="","",INDEX(選手一覧!$D$7:$D$2738,$F870))</f>
        <v/>
      </c>
      <c r="H870" s="17" t="str">
        <f aca="false">IF(INDEX(選手一覧!$E$7:$E$2738,$F870)="","",INDEX(選手一覧!$E$7:$E$2738,$F870))</f>
        <v/>
      </c>
      <c r="I870" s="16" t="str">
        <f aca="false">IF(INDEX(選手一覧!$J$7:$J$2738,$F870)="","",INDEX(選手一覧!$J$7:$J$2738,$F870))</f>
        <v/>
      </c>
      <c r="J870" s="17" t="str">
        <f aca="false">IF(INDEX(選手一覧!$K$7:$K$2738,$F870)="","",INDEX(選手一覧!$K$7:$K$2738,$F870))</f>
        <v/>
      </c>
    </row>
    <row r="871" customFormat="false" ht="15" hidden="false" customHeight="false" outlineLevel="0" collapsed="false">
      <c r="A871" s="17" t="n">
        <v>867</v>
      </c>
      <c r="B871" s="12" t="s">
        <v>3129</v>
      </c>
      <c r="C871" s="12" t="s">
        <v>3057</v>
      </c>
      <c r="D871" s="16" t="n">
        <v>0.00747708333333333</v>
      </c>
      <c r="E871" s="15" t="n">
        <f aca="false">ROUND((D871-$D$5)*86400,2)</f>
        <v>107</v>
      </c>
      <c r="F871" s="17" t="n">
        <v>2020</v>
      </c>
      <c r="G871" s="16" t="str">
        <f aca="false">IF(INDEX(選手一覧!$D$7:$D$2738,$F871)="","",INDEX(選手一覧!$D$7:$D$2738,$F871))</f>
        <v/>
      </c>
      <c r="H871" s="17" t="str">
        <f aca="false">IF(INDEX(選手一覧!$E$7:$E$2738,$F871)="","",INDEX(選手一覧!$E$7:$E$2738,$F871))</f>
        <v/>
      </c>
      <c r="I871" s="16" t="str">
        <f aca="false">IF(INDEX(選手一覧!$J$7:$J$2738,$F871)="","",INDEX(選手一覧!$J$7:$J$2738,$F871))</f>
        <v/>
      </c>
      <c r="J871" s="17" t="str">
        <f aca="false">IF(INDEX(選手一覧!$K$7:$K$2738,$F871)="","",INDEX(選手一覧!$K$7:$K$2738,$F871))</f>
        <v/>
      </c>
    </row>
    <row r="872" customFormat="false" ht="15" hidden="false" customHeight="false" outlineLevel="0" collapsed="false">
      <c r="A872" s="17" t="n">
        <v>868</v>
      </c>
      <c r="B872" s="12" t="s">
        <v>3132</v>
      </c>
      <c r="C872" s="12" t="s">
        <v>3133</v>
      </c>
      <c r="D872" s="16" t="n">
        <v>0.0074775462962963</v>
      </c>
      <c r="E872" s="15" t="n">
        <f aca="false">ROUND((D872-$D$5)*86400,2)</f>
        <v>107.04</v>
      </c>
      <c r="F872" s="17" t="n">
        <v>2022</v>
      </c>
      <c r="G872" s="16" t="str">
        <f aca="false">IF(INDEX(選手一覧!$D$7:$D$2738,$F872)="","",INDEX(選手一覧!$D$7:$D$2738,$F872))</f>
        <v/>
      </c>
      <c r="H872" s="17" t="str">
        <f aca="false">IF(INDEX(選手一覧!$E$7:$E$2738,$F872)="","",INDEX(選手一覧!$E$7:$E$2738,$F872))</f>
        <v/>
      </c>
      <c r="I872" s="16" t="str">
        <f aca="false">IF(INDEX(選手一覧!$J$7:$J$2738,$F872)="","",INDEX(選手一覧!$J$7:$J$2738,$F872))</f>
        <v/>
      </c>
      <c r="J872" s="17" t="str">
        <f aca="false">IF(INDEX(選手一覧!$K$7:$K$2738,$F872)="","",INDEX(選手一覧!$K$7:$K$2738,$F872))</f>
        <v/>
      </c>
    </row>
    <row r="873" customFormat="false" ht="15" hidden="false" customHeight="false" outlineLevel="0" collapsed="false">
      <c r="A873" s="17" t="n">
        <v>869</v>
      </c>
      <c r="B873" s="12" t="s">
        <v>628</v>
      </c>
      <c r="C873" s="12" t="s">
        <v>629</v>
      </c>
      <c r="D873" s="16" t="n">
        <v>0.00748032407407407</v>
      </c>
      <c r="E873" s="15" t="n">
        <f aca="false">ROUND((D873-$D$5)*86400,2)</f>
        <v>107.28</v>
      </c>
      <c r="F873" s="17" t="n">
        <v>339</v>
      </c>
      <c r="G873" s="16" t="n">
        <f aca="false">IF(INDEX(選手一覧!$D$7:$D$2738,$F873)="","",INDEX(選手一覧!$D$7:$D$2738,$F873))</f>
        <v>0.010499537037037</v>
      </c>
      <c r="H873" s="17" t="n">
        <f aca="false">IF(INDEX(選手一覧!$E$7:$E$2738,$F873)="","",INDEX(選手一覧!$E$7:$E$2738,$F873))</f>
        <v>340</v>
      </c>
      <c r="I873" s="16" t="n">
        <f aca="false">IF(INDEX(選手一覧!$J$7:$J$2738,$F873)="","",INDEX(選手一覧!$J$7:$J$2738,$F873))</f>
        <v>0.00282233796296296</v>
      </c>
      <c r="J873" s="17" t="n">
        <f aca="false">IF(INDEX(選手一覧!$K$7:$K$2738,$F873)="","",INDEX(選手一覧!$K$7:$K$2738,$F873))</f>
        <v>378</v>
      </c>
    </row>
    <row r="874" customFormat="false" ht="15" hidden="false" customHeight="false" outlineLevel="0" collapsed="false">
      <c r="A874" s="17" t="n">
        <v>870</v>
      </c>
      <c r="B874" s="12" t="s">
        <v>3136</v>
      </c>
      <c r="C874" s="12" t="s">
        <v>3137</v>
      </c>
      <c r="D874" s="16" t="n">
        <v>0.00748043981481481</v>
      </c>
      <c r="E874" s="15" t="n">
        <f aca="false">ROUND((D874-$D$5)*86400,2)</f>
        <v>107.29</v>
      </c>
      <c r="F874" s="17" t="n">
        <v>2024</v>
      </c>
      <c r="G874" s="16" t="str">
        <f aca="false">IF(INDEX(選手一覧!$D$7:$D$2738,$F874)="","",INDEX(選手一覧!$D$7:$D$2738,$F874))</f>
        <v/>
      </c>
      <c r="H874" s="17" t="str">
        <f aca="false">IF(INDEX(選手一覧!$E$7:$E$2738,$F874)="","",INDEX(選手一覧!$E$7:$E$2738,$F874))</f>
        <v/>
      </c>
      <c r="I874" s="16" t="str">
        <f aca="false">IF(INDEX(選手一覧!$J$7:$J$2738,$F874)="","",INDEX(選手一覧!$J$7:$J$2738,$F874))</f>
        <v/>
      </c>
      <c r="J874" s="17" t="str">
        <f aca="false">IF(INDEX(選手一覧!$K$7:$K$2738,$F874)="","",INDEX(選手一覧!$K$7:$K$2738,$F874))</f>
        <v/>
      </c>
    </row>
    <row r="875" customFormat="false" ht="15" hidden="false" customHeight="false" outlineLevel="0" collapsed="false">
      <c r="A875" s="17" t="n">
        <v>871</v>
      </c>
      <c r="B875" s="12" t="s">
        <v>3139</v>
      </c>
      <c r="C875" s="12" t="s">
        <v>3140</v>
      </c>
      <c r="D875" s="16" t="n">
        <v>0.00748101851851852</v>
      </c>
      <c r="E875" s="15" t="n">
        <f aca="false">ROUND((D875-$D$5)*86400,2)</f>
        <v>107.34</v>
      </c>
      <c r="F875" s="17" t="n">
        <v>2026</v>
      </c>
      <c r="G875" s="16" t="str">
        <f aca="false">IF(INDEX(選手一覧!$D$7:$D$2738,$F875)="","",INDEX(選手一覧!$D$7:$D$2738,$F875))</f>
        <v/>
      </c>
      <c r="H875" s="17" t="str">
        <f aca="false">IF(INDEX(選手一覧!$E$7:$E$2738,$F875)="","",INDEX(選手一覧!$E$7:$E$2738,$F875))</f>
        <v/>
      </c>
      <c r="I875" s="16" t="str">
        <f aca="false">IF(INDEX(選手一覧!$J$7:$J$2738,$F875)="","",INDEX(選手一覧!$J$7:$J$2738,$F875))</f>
        <v/>
      </c>
      <c r="J875" s="17" t="str">
        <f aca="false">IF(INDEX(選手一覧!$K$7:$K$2738,$F875)="","",INDEX(選手一覧!$K$7:$K$2738,$F875))</f>
        <v/>
      </c>
    </row>
    <row r="876" customFormat="false" ht="15" hidden="false" customHeight="false" outlineLevel="0" collapsed="false">
      <c r="A876" s="17" t="n">
        <v>872</v>
      </c>
      <c r="B876" s="12" t="s">
        <v>3141</v>
      </c>
      <c r="C876" s="12" t="s">
        <v>3142</v>
      </c>
      <c r="D876" s="16" t="n">
        <v>0.00748101851851852</v>
      </c>
      <c r="E876" s="15" t="n">
        <f aca="false">ROUND((D876-$D$5)*86400,2)</f>
        <v>107.34</v>
      </c>
      <c r="F876" s="17" t="n">
        <v>2027</v>
      </c>
      <c r="G876" s="16" t="str">
        <f aca="false">IF(INDEX(選手一覧!$D$7:$D$2738,$F876)="","",INDEX(選手一覧!$D$7:$D$2738,$F876))</f>
        <v/>
      </c>
      <c r="H876" s="17" t="str">
        <f aca="false">IF(INDEX(選手一覧!$E$7:$E$2738,$F876)="","",INDEX(選手一覧!$E$7:$E$2738,$F876))</f>
        <v/>
      </c>
      <c r="I876" s="16" t="str">
        <f aca="false">IF(INDEX(選手一覧!$J$7:$J$2738,$F876)="","",INDEX(選手一覧!$J$7:$J$2738,$F876))</f>
        <v/>
      </c>
      <c r="J876" s="17" t="str">
        <f aca="false">IF(INDEX(選手一覧!$K$7:$K$2738,$F876)="","",INDEX(選手一覧!$K$7:$K$2738,$F876))</f>
        <v/>
      </c>
    </row>
    <row r="877" customFormat="false" ht="15" hidden="false" customHeight="false" outlineLevel="0" collapsed="false">
      <c r="A877" s="17" t="n">
        <v>873</v>
      </c>
      <c r="B877" s="12" t="s">
        <v>3143</v>
      </c>
      <c r="C877" s="12" t="s">
        <v>3144</v>
      </c>
      <c r="D877" s="16" t="n">
        <v>0.0074818287037037</v>
      </c>
      <c r="E877" s="15" t="n">
        <f aca="false">ROUND((D877-$D$5)*86400,2)</f>
        <v>107.41</v>
      </c>
      <c r="F877" s="17" t="n">
        <v>2028</v>
      </c>
      <c r="G877" s="16" t="str">
        <f aca="false">IF(INDEX(選手一覧!$D$7:$D$2738,$F877)="","",INDEX(選手一覧!$D$7:$D$2738,$F877))</f>
        <v/>
      </c>
      <c r="H877" s="17" t="str">
        <f aca="false">IF(INDEX(選手一覧!$E$7:$E$2738,$F877)="","",INDEX(選手一覧!$E$7:$E$2738,$F877))</f>
        <v/>
      </c>
      <c r="I877" s="16" t="str">
        <f aca="false">IF(INDEX(選手一覧!$J$7:$J$2738,$F877)="","",INDEX(選手一覧!$J$7:$J$2738,$F877))</f>
        <v/>
      </c>
      <c r="J877" s="17" t="str">
        <f aca="false">IF(INDEX(選手一覧!$K$7:$K$2738,$F877)="","",INDEX(選手一覧!$K$7:$K$2738,$F877))</f>
        <v/>
      </c>
    </row>
    <row r="878" customFormat="false" ht="15" hidden="false" customHeight="false" outlineLevel="0" collapsed="false">
      <c r="A878" s="17" t="n">
        <v>874</v>
      </c>
      <c r="B878" s="12" t="s">
        <v>3147</v>
      </c>
      <c r="C878" s="12" t="s">
        <v>3148</v>
      </c>
      <c r="D878" s="16" t="n">
        <v>0.00748194444444445</v>
      </c>
      <c r="E878" s="15" t="n">
        <f aca="false">ROUND((D878-$D$5)*86400,2)</f>
        <v>107.42</v>
      </c>
      <c r="F878" s="17" t="n">
        <v>2030</v>
      </c>
      <c r="G878" s="16" t="str">
        <f aca="false">IF(INDEX(選手一覧!$D$7:$D$2738,$F878)="","",INDEX(選手一覧!$D$7:$D$2738,$F878))</f>
        <v/>
      </c>
      <c r="H878" s="17" t="str">
        <f aca="false">IF(INDEX(選手一覧!$E$7:$E$2738,$F878)="","",INDEX(選手一覧!$E$7:$E$2738,$F878))</f>
        <v/>
      </c>
      <c r="I878" s="16" t="str">
        <f aca="false">IF(INDEX(選手一覧!$J$7:$J$2738,$F878)="","",INDEX(選手一覧!$J$7:$J$2738,$F878))</f>
        <v/>
      </c>
      <c r="J878" s="17" t="str">
        <f aca="false">IF(INDEX(選手一覧!$K$7:$K$2738,$F878)="","",INDEX(選手一覧!$K$7:$K$2738,$F878))</f>
        <v/>
      </c>
    </row>
    <row r="879" customFormat="false" ht="15" hidden="false" customHeight="false" outlineLevel="0" collapsed="false">
      <c r="A879" s="17" t="n">
        <v>875</v>
      </c>
      <c r="B879" s="12" t="s">
        <v>3150</v>
      </c>
      <c r="C879" s="12" t="s">
        <v>3151</v>
      </c>
      <c r="D879" s="16" t="n">
        <v>0.00748391203703704</v>
      </c>
      <c r="E879" s="15" t="n">
        <f aca="false">ROUND((D879-$D$5)*86400,2)</f>
        <v>107.59</v>
      </c>
      <c r="F879" s="17" t="n">
        <v>2032</v>
      </c>
      <c r="G879" s="16" t="str">
        <f aca="false">IF(INDEX(選手一覧!$D$7:$D$2738,$F879)="","",INDEX(選手一覧!$D$7:$D$2738,$F879))</f>
        <v/>
      </c>
      <c r="H879" s="17" t="str">
        <f aca="false">IF(INDEX(選手一覧!$E$7:$E$2738,$F879)="","",INDEX(選手一覧!$E$7:$E$2738,$F879))</f>
        <v/>
      </c>
      <c r="I879" s="16" t="str">
        <f aca="false">IF(INDEX(選手一覧!$J$7:$J$2738,$F879)="","",INDEX(選手一覧!$J$7:$J$2738,$F879))</f>
        <v/>
      </c>
      <c r="J879" s="17" t="str">
        <f aca="false">IF(INDEX(選手一覧!$K$7:$K$2738,$F879)="","",INDEX(選手一覧!$K$7:$K$2738,$F879))</f>
        <v/>
      </c>
    </row>
    <row r="880" customFormat="false" ht="15" hidden="false" customHeight="false" outlineLevel="0" collapsed="false">
      <c r="A880" s="17" t="n">
        <v>876</v>
      </c>
      <c r="B880" s="12" t="s">
        <v>3153</v>
      </c>
      <c r="C880" s="12" t="s">
        <v>3154</v>
      </c>
      <c r="D880" s="16" t="n">
        <v>0.00748449074074074</v>
      </c>
      <c r="E880" s="15" t="n">
        <f aca="false">ROUND((D880-$D$5)*86400,2)</f>
        <v>107.64</v>
      </c>
      <c r="F880" s="17" t="n">
        <v>2033</v>
      </c>
      <c r="G880" s="16" t="str">
        <f aca="false">IF(INDEX(選手一覧!$D$7:$D$2738,$F880)="","",INDEX(選手一覧!$D$7:$D$2738,$F880))</f>
        <v/>
      </c>
      <c r="H880" s="17" t="str">
        <f aca="false">IF(INDEX(選手一覧!$E$7:$E$2738,$F880)="","",INDEX(選手一覧!$E$7:$E$2738,$F880))</f>
        <v/>
      </c>
      <c r="I880" s="16" t="str">
        <f aca="false">IF(INDEX(選手一覧!$J$7:$J$2738,$F880)="","",INDEX(選手一覧!$J$7:$J$2738,$F880))</f>
        <v/>
      </c>
      <c r="J880" s="17" t="str">
        <f aca="false">IF(INDEX(選手一覧!$K$7:$K$2738,$F880)="","",INDEX(選手一覧!$K$7:$K$2738,$F880))</f>
        <v/>
      </c>
    </row>
    <row r="881" customFormat="false" ht="15" hidden="false" customHeight="false" outlineLevel="0" collapsed="false">
      <c r="A881" s="17" t="n">
        <v>877</v>
      </c>
      <c r="B881" s="12" t="s">
        <v>3156</v>
      </c>
      <c r="C881" s="12" t="s">
        <v>3157</v>
      </c>
      <c r="D881" s="16" t="n">
        <v>0.00748564814814815</v>
      </c>
      <c r="E881" s="15" t="n">
        <f aca="false">ROUND((D881-$D$5)*86400,2)</f>
        <v>107.74</v>
      </c>
      <c r="F881" s="17" t="n">
        <v>2035</v>
      </c>
      <c r="G881" s="16" t="str">
        <f aca="false">IF(INDEX(選手一覧!$D$7:$D$2738,$F881)="","",INDEX(選手一覧!$D$7:$D$2738,$F881))</f>
        <v/>
      </c>
      <c r="H881" s="17" t="str">
        <f aca="false">IF(INDEX(選手一覧!$E$7:$E$2738,$F881)="","",INDEX(選手一覧!$E$7:$E$2738,$F881))</f>
        <v/>
      </c>
      <c r="I881" s="16" t="str">
        <f aca="false">IF(INDEX(選手一覧!$J$7:$J$2738,$F881)="","",INDEX(選手一覧!$J$7:$J$2738,$F881))</f>
        <v/>
      </c>
      <c r="J881" s="17" t="str">
        <f aca="false">IF(INDEX(選手一覧!$K$7:$K$2738,$F881)="","",INDEX(選手一覧!$K$7:$K$2738,$F881))</f>
        <v/>
      </c>
    </row>
    <row r="882" customFormat="false" ht="15" hidden="false" customHeight="false" outlineLevel="0" collapsed="false">
      <c r="A882" s="17" t="n">
        <v>878</v>
      </c>
      <c r="B882" s="12" t="s">
        <v>3160</v>
      </c>
      <c r="C882" s="12" t="s">
        <v>3161</v>
      </c>
      <c r="D882" s="16" t="n">
        <v>0.00748726851851852</v>
      </c>
      <c r="E882" s="15" t="n">
        <f aca="false">ROUND((D882-$D$5)*86400,2)</f>
        <v>107.88</v>
      </c>
      <c r="F882" s="17" t="n">
        <v>2037</v>
      </c>
      <c r="G882" s="16" t="str">
        <f aca="false">IF(INDEX(選手一覧!$D$7:$D$2738,$F882)="","",INDEX(選手一覧!$D$7:$D$2738,$F882))</f>
        <v/>
      </c>
      <c r="H882" s="17" t="str">
        <f aca="false">IF(INDEX(選手一覧!$E$7:$E$2738,$F882)="","",INDEX(選手一覧!$E$7:$E$2738,$F882))</f>
        <v/>
      </c>
      <c r="I882" s="16" t="str">
        <f aca="false">IF(INDEX(選手一覧!$J$7:$J$2738,$F882)="","",INDEX(選手一覧!$J$7:$J$2738,$F882))</f>
        <v/>
      </c>
      <c r="J882" s="17" t="str">
        <f aca="false">IF(INDEX(選手一覧!$K$7:$K$2738,$F882)="","",INDEX(選手一覧!$K$7:$K$2738,$F882))</f>
        <v/>
      </c>
    </row>
    <row r="883" customFormat="false" ht="15" hidden="false" customHeight="false" outlineLevel="0" collapsed="false">
      <c r="A883" s="17" t="n">
        <v>879</v>
      </c>
      <c r="B883" s="12" t="s">
        <v>3162</v>
      </c>
      <c r="C883" s="12" t="s">
        <v>2502</v>
      </c>
      <c r="D883" s="16" t="n">
        <v>0.00748738425925926</v>
      </c>
      <c r="E883" s="15" t="n">
        <f aca="false">ROUND((D883-$D$5)*86400,2)</f>
        <v>107.89</v>
      </c>
      <c r="F883" s="17" t="n">
        <v>2038</v>
      </c>
      <c r="G883" s="16" t="str">
        <f aca="false">IF(INDEX(選手一覧!$D$7:$D$2738,$F883)="","",INDEX(選手一覧!$D$7:$D$2738,$F883))</f>
        <v/>
      </c>
      <c r="H883" s="17" t="str">
        <f aca="false">IF(INDEX(選手一覧!$E$7:$E$2738,$F883)="","",INDEX(選手一覧!$E$7:$E$2738,$F883))</f>
        <v/>
      </c>
      <c r="I883" s="16" t="str">
        <f aca="false">IF(INDEX(選手一覧!$J$7:$J$2738,$F883)="","",INDEX(選手一覧!$J$7:$J$2738,$F883))</f>
        <v/>
      </c>
      <c r="J883" s="17" t="str">
        <f aca="false">IF(INDEX(選手一覧!$K$7:$K$2738,$F883)="","",INDEX(選手一覧!$K$7:$K$2738,$F883))</f>
        <v/>
      </c>
    </row>
    <row r="884" customFormat="false" ht="15" hidden="false" customHeight="false" outlineLevel="0" collapsed="false">
      <c r="A884" s="17" t="n">
        <v>880</v>
      </c>
      <c r="B884" s="12" t="s">
        <v>3163</v>
      </c>
      <c r="C884" s="12" t="s">
        <v>3164</v>
      </c>
      <c r="D884" s="16" t="n">
        <v>0.00749016203703704</v>
      </c>
      <c r="E884" s="15" t="n">
        <f aca="false">ROUND((D884-$D$5)*86400,2)</f>
        <v>108.13</v>
      </c>
      <c r="F884" s="17" t="n">
        <v>2039</v>
      </c>
      <c r="G884" s="16" t="str">
        <f aca="false">IF(INDEX(選手一覧!$D$7:$D$2738,$F884)="","",INDEX(選手一覧!$D$7:$D$2738,$F884))</f>
        <v/>
      </c>
      <c r="H884" s="17" t="str">
        <f aca="false">IF(INDEX(選手一覧!$E$7:$E$2738,$F884)="","",INDEX(選手一覧!$E$7:$E$2738,$F884))</f>
        <v/>
      </c>
      <c r="I884" s="16" t="str">
        <f aca="false">IF(INDEX(選手一覧!$J$7:$J$2738,$F884)="","",INDEX(選手一覧!$J$7:$J$2738,$F884))</f>
        <v/>
      </c>
      <c r="J884" s="17" t="str">
        <f aca="false">IF(INDEX(選手一覧!$K$7:$K$2738,$F884)="","",INDEX(選手一覧!$K$7:$K$2738,$F884))</f>
        <v/>
      </c>
    </row>
    <row r="885" customFormat="false" ht="15" hidden="false" customHeight="false" outlineLevel="0" collapsed="false">
      <c r="A885" s="17" t="n">
        <v>881</v>
      </c>
      <c r="B885" s="12" t="s">
        <v>3165</v>
      </c>
      <c r="C885" s="12" t="s">
        <v>2414</v>
      </c>
      <c r="D885" s="16" t="n">
        <v>0.00749016203703704</v>
      </c>
      <c r="E885" s="15" t="n">
        <f aca="false">ROUND((D885-$D$5)*86400,2)</f>
        <v>108.13</v>
      </c>
      <c r="F885" s="17" t="n">
        <v>2040</v>
      </c>
      <c r="G885" s="16" t="str">
        <f aca="false">IF(INDEX(選手一覧!$D$7:$D$2738,$F885)="","",INDEX(選手一覧!$D$7:$D$2738,$F885))</f>
        <v/>
      </c>
      <c r="H885" s="17" t="str">
        <f aca="false">IF(INDEX(選手一覧!$E$7:$E$2738,$F885)="","",INDEX(選手一覧!$E$7:$E$2738,$F885))</f>
        <v/>
      </c>
      <c r="I885" s="16" t="str">
        <f aca="false">IF(INDEX(選手一覧!$J$7:$J$2738,$F885)="","",INDEX(選手一覧!$J$7:$J$2738,$F885))</f>
        <v/>
      </c>
      <c r="J885" s="17" t="str">
        <f aca="false">IF(INDEX(選手一覧!$K$7:$K$2738,$F885)="","",INDEX(選手一覧!$K$7:$K$2738,$F885))</f>
        <v/>
      </c>
    </row>
    <row r="886" customFormat="false" ht="15" hidden="false" customHeight="false" outlineLevel="0" collapsed="false">
      <c r="A886" s="17" t="n">
        <v>882</v>
      </c>
      <c r="B886" s="12" t="s">
        <v>3166</v>
      </c>
      <c r="C886" s="12" t="s">
        <v>3167</v>
      </c>
      <c r="D886" s="16" t="n">
        <v>0.00749189814814815</v>
      </c>
      <c r="E886" s="15" t="n">
        <f aca="false">ROUND((D886-$D$5)*86400,2)</f>
        <v>108.28</v>
      </c>
      <c r="F886" s="17" t="n">
        <v>2041</v>
      </c>
      <c r="G886" s="16" t="str">
        <f aca="false">IF(INDEX(選手一覧!$D$7:$D$2738,$F886)="","",INDEX(選手一覧!$D$7:$D$2738,$F886))</f>
        <v/>
      </c>
      <c r="H886" s="17" t="str">
        <f aca="false">IF(INDEX(選手一覧!$E$7:$E$2738,$F886)="","",INDEX(選手一覧!$E$7:$E$2738,$F886))</f>
        <v/>
      </c>
      <c r="I886" s="16" t="str">
        <f aca="false">IF(INDEX(選手一覧!$J$7:$J$2738,$F886)="","",INDEX(選手一覧!$J$7:$J$2738,$F886))</f>
        <v/>
      </c>
      <c r="J886" s="17" t="str">
        <f aca="false">IF(INDEX(選手一覧!$K$7:$K$2738,$F886)="","",INDEX(選手一覧!$K$7:$K$2738,$F886))</f>
        <v/>
      </c>
    </row>
    <row r="887" customFormat="false" ht="15" hidden="false" customHeight="false" outlineLevel="0" collapsed="false">
      <c r="A887" s="17" t="n">
        <v>883</v>
      </c>
      <c r="B887" s="12" t="s">
        <v>3169</v>
      </c>
      <c r="C887" s="12" t="s">
        <v>3144</v>
      </c>
      <c r="D887" s="16" t="n">
        <v>0.00749212962962963</v>
      </c>
      <c r="E887" s="15" t="n">
        <f aca="false">ROUND((D887-$D$5)*86400,2)</f>
        <v>108.3</v>
      </c>
      <c r="F887" s="17" t="n">
        <v>2043</v>
      </c>
      <c r="G887" s="16" t="str">
        <f aca="false">IF(INDEX(選手一覧!$D$7:$D$2738,$F887)="","",INDEX(選手一覧!$D$7:$D$2738,$F887))</f>
        <v/>
      </c>
      <c r="H887" s="17" t="str">
        <f aca="false">IF(INDEX(選手一覧!$E$7:$E$2738,$F887)="","",INDEX(選手一覧!$E$7:$E$2738,$F887))</f>
        <v/>
      </c>
      <c r="I887" s="16" t="str">
        <f aca="false">IF(INDEX(選手一覧!$J$7:$J$2738,$F887)="","",INDEX(選手一覧!$J$7:$J$2738,$F887))</f>
        <v/>
      </c>
      <c r="J887" s="17" t="str">
        <f aca="false">IF(INDEX(選手一覧!$K$7:$K$2738,$F887)="","",INDEX(選手一覧!$K$7:$K$2738,$F887))</f>
        <v/>
      </c>
    </row>
    <row r="888" customFormat="false" ht="15" hidden="false" customHeight="false" outlineLevel="0" collapsed="false">
      <c r="A888" s="17" t="n">
        <v>884</v>
      </c>
      <c r="B888" s="12" t="s">
        <v>3170</v>
      </c>
      <c r="C888" s="12" t="s">
        <v>59</v>
      </c>
      <c r="D888" s="16" t="n">
        <v>0.00749490740740741</v>
      </c>
      <c r="E888" s="15" t="n">
        <f aca="false">ROUND((D888-$D$5)*86400,2)</f>
        <v>108.54</v>
      </c>
      <c r="F888" s="17" t="n">
        <v>2044</v>
      </c>
      <c r="G888" s="16" t="str">
        <f aca="false">IF(INDEX(選手一覧!$D$7:$D$2738,$F888)="","",INDEX(選手一覧!$D$7:$D$2738,$F888))</f>
        <v/>
      </c>
      <c r="H888" s="17" t="str">
        <f aca="false">IF(INDEX(選手一覧!$E$7:$E$2738,$F888)="","",INDEX(選手一覧!$E$7:$E$2738,$F888))</f>
        <v/>
      </c>
      <c r="I888" s="16" t="str">
        <f aca="false">IF(INDEX(選手一覧!$J$7:$J$2738,$F888)="","",INDEX(選手一覧!$J$7:$J$2738,$F888))</f>
        <v/>
      </c>
      <c r="J888" s="17" t="str">
        <f aca="false">IF(INDEX(選手一覧!$K$7:$K$2738,$F888)="","",INDEX(選手一覧!$K$7:$K$2738,$F888))</f>
        <v/>
      </c>
    </row>
    <row r="889" customFormat="false" ht="15" hidden="false" customHeight="false" outlineLevel="0" collapsed="false">
      <c r="A889" s="17" t="n">
        <v>885</v>
      </c>
      <c r="B889" s="12" t="s">
        <v>3171</v>
      </c>
      <c r="C889" s="12" t="s">
        <v>3172</v>
      </c>
      <c r="D889" s="16" t="n">
        <v>0.00749675925925926</v>
      </c>
      <c r="E889" s="15" t="n">
        <f aca="false">ROUND((D889-$D$5)*86400,2)</f>
        <v>108.7</v>
      </c>
      <c r="F889" s="17" t="n">
        <v>2045</v>
      </c>
      <c r="G889" s="16" t="str">
        <f aca="false">IF(INDEX(選手一覧!$D$7:$D$2738,$F889)="","",INDEX(選手一覧!$D$7:$D$2738,$F889))</f>
        <v/>
      </c>
      <c r="H889" s="17" t="str">
        <f aca="false">IF(INDEX(選手一覧!$E$7:$E$2738,$F889)="","",INDEX(選手一覧!$E$7:$E$2738,$F889))</f>
        <v/>
      </c>
      <c r="I889" s="16" t="str">
        <f aca="false">IF(INDEX(選手一覧!$J$7:$J$2738,$F889)="","",INDEX(選手一覧!$J$7:$J$2738,$F889))</f>
        <v/>
      </c>
      <c r="J889" s="17" t="str">
        <f aca="false">IF(INDEX(選手一覧!$K$7:$K$2738,$F889)="","",INDEX(選手一覧!$K$7:$K$2738,$F889))</f>
        <v/>
      </c>
    </row>
    <row r="890" customFormat="false" ht="15" hidden="false" customHeight="false" outlineLevel="0" collapsed="false">
      <c r="A890" s="17" t="n">
        <v>886</v>
      </c>
      <c r="B890" s="12" t="s">
        <v>3175</v>
      </c>
      <c r="C890" s="12" t="s">
        <v>2132</v>
      </c>
      <c r="D890" s="16" t="n">
        <v>0.00750069444444444</v>
      </c>
      <c r="E890" s="15" t="n">
        <f aca="false">ROUND((D890-$D$5)*86400,2)</f>
        <v>109.04</v>
      </c>
      <c r="F890" s="17" t="n">
        <v>2047</v>
      </c>
      <c r="G890" s="16" t="str">
        <f aca="false">IF(INDEX(選手一覧!$D$7:$D$2738,$F890)="","",INDEX(選手一覧!$D$7:$D$2738,$F890))</f>
        <v/>
      </c>
      <c r="H890" s="17" t="str">
        <f aca="false">IF(INDEX(選手一覧!$E$7:$E$2738,$F890)="","",INDEX(選手一覧!$E$7:$E$2738,$F890))</f>
        <v/>
      </c>
      <c r="I890" s="16" t="str">
        <f aca="false">IF(INDEX(選手一覧!$J$7:$J$2738,$F890)="","",INDEX(選手一覧!$J$7:$J$2738,$F890))</f>
        <v/>
      </c>
      <c r="J890" s="17" t="str">
        <f aca="false">IF(INDEX(選手一覧!$K$7:$K$2738,$F890)="","",INDEX(選手一覧!$K$7:$K$2738,$F890))</f>
        <v/>
      </c>
    </row>
    <row r="891" customFormat="false" ht="15" hidden="false" customHeight="false" outlineLevel="0" collapsed="false">
      <c r="A891" s="17" t="n">
        <v>887</v>
      </c>
      <c r="B891" s="12" t="s">
        <v>3176</v>
      </c>
      <c r="C891" s="12" t="s">
        <v>2381</v>
      </c>
      <c r="D891" s="16" t="n">
        <v>0.00750208333333333</v>
      </c>
      <c r="E891" s="15" t="n">
        <f aca="false">ROUND((D891-$D$5)*86400,2)</f>
        <v>109.16</v>
      </c>
      <c r="F891" s="17" t="n">
        <v>2048</v>
      </c>
      <c r="G891" s="16" t="str">
        <f aca="false">IF(INDEX(選手一覧!$D$7:$D$2738,$F891)="","",INDEX(選手一覧!$D$7:$D$2738,$F891))</f>
        <v/>
      </c>
      <c r="H891" s="17" t="str">
        <f aca="false">IF(INDEX(選手一覧!$E$7:$E$2738,$F891)="","",INDEX(選手一覧!$E$7:$E$2738,$F891))</f>
        <v/>
      </c>
      <c r="I891" s="16" t="str">
        <f aca="false">IF(INDEX(選手一覧!$J$7:$J$2738,$F891)="","",INDEX(選手一覧!$J$7:$J$2738,$F891))</f>
        <v/>
      </c>
      <c r="J891" s="17" t="str">
        <f aca="false">IF(INDEX(選手一覧!$K$7:$K$2738,$F891)="","",INDEX(選手一覧!$K$7:$K$2738,$F891))</f>
        <v/>
      </c>
    </row>
    <row r="892" customFormat="false" ht="15" hidden="false" customHeight="false" outlineLevel="0" collapsed="false">
      <c r="A892" s="17" t="n">
        <v>888</v>
      </c>
      <c r="B892" s="12" t="s">
        <v>3177</v>
      </c>
      <c r="C892" s="12" t="s">
        <v>2194</v>
      </c>
      <c r="D892" s="16" t="n">
        <v>0.00750451388888889</v>
      </c>
      <c r="E892" s="15" t="n">
        <f aca="false">ROUND((D892-$D$5)*86400,2)</f>
        <v>109.37</v>
      </c>
      <c r="F892" s="17" t="n">
        <v>2049</v>
      </c>
      <c r="G892" s="16" t="str">
        <f aca="false">IF(INDEX(選手一覧!$D$7:$D$2738,$F892)="","",INDEX(選手一覧!$D$7:$D$2738,$F892))</f>
        <v/>
      </c>
      <c r="H892" s="17" t="str">
        <f aca="false">IF(INDEX(選手一覧!$E$7:$E$2738,$F892)="","",INDEX(選手一覧!$E$7:$E$2738,$F892))</f>
        <v/>
      </c>
      <c r="I892" s="16" t="str">
        <f aca="false">IF(INDEX(選手一覧!$J$7:$J$2738,$F892)="","",INDEX(選手一覧!$J$7:$J$2738,$F892))</f>
        <v/>
      </c>
      <c r="J892" s="17" t="str">
        <f aca="false">IF(INDEX(選手一覧!$K$7:$K$2738,$F892)="","",INDEX(選手一覧!$K$7:$K$2738,$F892))</f>
        <v/>
      </c>
    </row>
    <row r="893" customFormat="false" ht="15" hidden="false" customHeight="false" outlineLevel="0" collapsed="false">
      <c r="A893" s="17" t="n">
        <v>889</v>
      </c>
      <c r="B893" s="12" t="s">
        <v>3179</v>
      </c>
      <c r="C893" s="12" t="s">
        <v>2773</v>
      </c>
      <c r="D893" s="16" t="n">
        <v>0.00750462962962963</v>
      </c>
      <c r="E893" s="15" t="n">
        <f aca="false">ROUND((D893-$D$5)*86400,2)</f>
        <v>109.38</v>
      </c>
      <c r="F893" s="17" t="n">
        <v>2051</v>
      </c>
      <c r="G893" s="16" t="str">
        <f aca="false">IF(INDEX(選手一覧!$D$7:$D$2738,$F893)="","",INDEX(選手一覧!$D$7:$D$2738,$F893))</f>
        <v/>
      </c>
      <c r="H893" s="17" t="str">
        <f aca="false">IF(INDEX(選手一覧!$E$7:$E$2738,$F893)="","",INDEX(選手一覧!$E$7:$E$2738,$F893))</f>
        <v/>
      </c>
      <c r="I893" s="16" t="str">
        <f aca="false">IF(INDEX(選手一覧!$J$7:$J$2738,$F893)="","",INDEX(選手一覧!$J$7:$J$2738,$F893))</f>
        <v/>
      </c>
      <c r="J893" s="17" t="str">
        <f aca="false">IF(INDEX(選手一覧!$K$7:$K$2738,$F893)="","",INDEX(選手一覧!$K$7:$K$2738,$F893))</f>
        <v/>
      </c>
    </row>
    <row r="894" customFormat="false" ht="15" hidden="false" customHeight="false" outlineLevel="0" collapsed="false">
      <c r="A894" s="17" t="n">
        <v>890</v>
      </c>
      <c r="B894" s="12" t="s">
        <v>3182</v>
      </c>
      <c r="C894" s="12" t="s">
        <v>3183</v>
      </c>
      <c r="D894" s="16" t="n">
        <v>0.00750520833333333</v>
      </c>
      <c r="E894" s="15" t="n">
        <f aca="false">ROUND((D894-$D$5)*86400,2)</f>
        <v>109.43</v>
      </c>
      <c r="F894" s="17" t="n">
        <v>2053</v>
      </c>
      <c r="G894" s="16" t="str">
        <f aca="false">IF(INDEX(選手一覧!$D$7:$D$2738,$F894)="","",INDEX(選手一覧!$D$7:$D$2738,$F894))</f>
        <v/>
      </c>
      <c r="H894" s="17" t="str">
        <f aca="false">IF(INDEX(選手一覧!$E$7:$E$2738,$F894)="","",INDEX(選手一覧!$E$7:$E$2738,$F894))</f>
        <v/>
      </c>
      <c r="I894" s="16" t="str">
        <f aca="false">IF(INDEX(選手一覧!$J$7:$J$2738,$F894)="","",INDEX(選手一覧!$J$7:$J$2738,$F894))</f>
        <v/>
      </c>
      <c r="J894" s="17" t="str">
        <f aca="false">IF(INDEX(選手一覧!$K$7:$K$2738,$F894)="","",INDEX(選手一覧!$K$7:$K$2738,$F894))</f>
        <v/>
      </c>
    </row>
    <row r="895" customFormat="false" ht="15" hidden="false" customHeight="false" outlineLevel="0" collapsed="false">
      <c r="A895" s="17" t="n">
        <v>891</v>
      </c>
      <c r="B895" s="12" t="s">
        <v>3184</v>
      </c>
      <c r="C895" s="12" t="s">
        <v>2161</v>
      </c>
      <c r="D895" s="16" t="n">
        <v>0.00750625</v>
      </c>
      <c r="E895" s="15" t="n">
        <f aca="false">ROUND((D895-$D$5)*86400,2)</f>
        <v>109.52</v>
      </c>
      <c r="F895" s="17" t="n">
        <v>2054</v>
      </c>
      <c r="G895" s="16" t="str">
        <f aca="false">IF(INDEX(選手一覧!$D$7:$D$2738,$F895)="","",INDEX(選手一覧!$D$7:$D$2738,$F895))</f>
        <v/>
      </c>
      <c r="H895" s="17" t="str">
        <f aca="false">IF(INDEX(選手一覧!$E$7:$E$2738,$F895)="","",INDEX(選手一覧!$E$7:$E$2738,$F895))</f>
        <v/>
      </c>
      <c r="I895" s="16" t="str">
        <f aca="false">IF(INDEX(選手一覧!$J$7:$J$2738,$F895)="","",INDEX(選手一覧!$J$7:$J$2738,$F895))</f>
        <v/>
      </c>
      <c r="J895" s="17" t="str">
        <f aca="false">IF(INDEX(選手一覧!$K$7:$K$2738,$F895)="","",INDEX(選手一覧!$K$7:$K$2738,$F895))</f>
        <v/>
      </c>
    </row>
    <row r="896" customFormat="false" ht="15" hidden="false" customHeight="false" outlineLevel="0" collapsed="false">
      <c r="A896" s="17" t="n">
        <v>892</v>
      </c>
      <c r="B896" s="12" t="s">
        <v>3185</v>
      </c>
      <c r="C896" s="12" t="s">
        <v>601</v>
      </c>
      <c r="D896" s="16" t="n">
        <v>0.00750636574074074</v>
      </c>
      <c r="E896" s="15" t="n">
        <f aca="false">ROUND((D896-$D$5)*86400,2)</f>
        <v>109.53</v>
      </c>
      <c r="F896" s="17" t="n">
        <v>2055</v>
      </c>
      <c r="G896" s="16" t="str">
        <f aca="false">IF(INDEX(選手一覧!$D$7:$D$2738,$F896)="","",INDEX(選手一覧!$D$7:$D$2738,$F896))</f>
        <v/>
      </c>
      <c r="H896" s="17" t="str">
        <f aca="false">IF(INDEX(選手一覧!$E$7:$E$2738,$F896)="","",INDEX(選手一覧!$E$7:$E$2738,$F896))</f>
        <v/>
      </c>
      <c r="I896" s="16" t="str">
        <f aca="false">IF(INDEX(選手一覧!$J$7:$J$2738,$F896)="","",INDEX(選手一覧!$J$7:$J$2738,$F896))</f>
        <v/>
      </c>
      <c r="J896" s="17" t="str">
        <f aca="false">IF(INDEX(選手一覧!$K$7:$K$2738,$F896)="","",INDEX(選手一覧!$K$7:$K$2738,$F896))</f>
        <v/>
      </c>
    </row>
    <row r="897" customFormat="false" ht="15" hidden="false" customHeight="false" outlineLevel="0" collapsed="false">
      <c r="A897" s="17" t="n">
        <v>893</v>
      </c>
      <c r="B897" s="12" t="s">
        <v>3186</v>
      </c>
      <c r="C897" s="12" t="s">
        <v>690</v>
      </c>
      <c r="D897" s="16" t="n">
        <v>0.00750729166666667</v>
      </c>
      <c r="E897" s="15" t="n">
        <f aca="false">ROUND((D897-$D$5)*86400,2)</f>
        <v>109.61</v>
      </c>
      <c r="F897" s="17" t="n">
        <v>2056</v>
      </c>
      <c r="G897" s="16" t="str">
        <f aca="false">IF(INDEX(選手一覧!$D$7:$D$2738,$F897)="","",INDEX(選手一覧!$D$7:$D$2738,$F897))</f>
        <v/>
      </c>
      <c r="H897" s="17" t="str">
        <f aca="false">IF(INDEX(選手一覧!$E$7:$E$2738,$F897)="","",INDEX(選手一覧!$E$7:$E$2738,$F897))</f>
        <v/>
      </c>
      <c r="I897" s="16" t="str">
        <f aca="false">IF(INDEX(選手一覧!$J$7:$J$2738,$F897)="","",INDEX(選手一覧!$J$7:$J$2738,$F897))</f>
        <v/>
      </c>
      <c r="J897" s="17" t="str">
        <f aca="false">IF(INDEX(選手一覧!$K$7:$K$2738,$F897)="","",INDEX(選手一覧!$K$7:$K$2738,$F897))</f>
        <v/>
      </c>
    </row>
    <row r="898" customFormat="false" ht="15" hidden="false" customHeight="false" outlineLevel="0" collapsed="false">
      <c r="A898" s="17" t="n">
        <v>894</v>
      </c>
      <c r="B898" s="12" t="s">
        <v>3187</v>
      </c>
      <c r="C898" s="12" t="s">
        <v>3188</v>
      </c>
      <c r="D898" s="16" t="n">
        <v>0.00750740740740741</v>
      </c>
      <c r="E898" s="15" t="n">
        <f aca="false">ROUND((D898-$D$5)*86400,2)</f>
        <v>109.62</v>
      </c>
      <c r="F898" s="17" t="n">
        <v>2057</v>
      </c>
      <c r="G898" s="16" t="str">
        <f aca="false">IF(INDEX(選手一覧!$D$7:$D$2738,$F898)="","",INDEX(選手一覧!$D$7:$D$2738,$F898))</f>
        <v/>
      </c>
      <c r="H898" s="17" t="str">
        <f aca="false">IF(INDEX(選手一覧!$E$7:$E$2738,$F898)="","",INDEX(選手一覧!$E$7:$E$2738,$F898))</f>
        <v/>
      </c>
      <c r="I898" s="16" t="str">
        <f aca="false">IF(INDEX(選手一覧!$J$7:$J$2738,$F898)="","",INDEX(選手一覧!$J$7:$J$2738,$F898))</f>
        <v/>
      </c>
      <c r="J898" s="17" t="str">
        <f aca="false">IF(INDEX(選手一覧!$K$7:$K$2738,$F898)="","",INDEX(選手一覧!$K$7:$K$2738,$F898))</f>
        <v/>
      </c>
    </row>
    <row r="899" customFormat="false" ht="15" hidden="false" customHeight="false" outlineLevel="0" collapsed="false">
      <c r="A899" s="17" t="n">
        <v>895</v>
      </c>
      <c r="B899" s="12" t="s">
        <v>3192</v>
      </c>
      <c r="C899" s="12" t="s">
        <v>3193</v>
      </c>
      <c r="D899" s="16" t="n">
        <v>0.00750763888888889</v>
      </c>
      <c r="E899" s="15" t="n">
        <f aca="false">ROUND((D899-$D$5)*86400,2)</f>
        <v>109.64</v>
      </c>
      <c r="F899" s="17" t="n">
        <v>2059</v>
      </c>
      <c r="G899" s="16" t="str">
        <f aca="false">IF(INDEX(選手一覧!$D$7:$D$2738,$F899)="","",INDEX(選手一覧!$D$7:$D$2738,$F899))</f>
        <v/>
      </c>
      <c r="H899" s="17" t="str">
        <f aca="false">IF(INDEX(選手一覧!$E$7:$E$2738,$F899)="","",INDEX(選手一覧!$E$7:$E$2738,$F899))</f>
        <v/>
      </c>
      <c r="I899" s="16" t="str">
        <f aca="false">IF(INDEX(選手一覧!$J$7:$J$2738,$F899)="","",INDEX(選手一覧!$J$7:$J$2738,$F899))</f>
        <v/>
      </c>
      <c r="J899" s="17" t="str">
        <f aca="false">IF(INDEX(選手一覧!$K$7:$K$2738,$F899)="","",INDEX(選手一覧!$K$7:$K$2738,$F899))</f>
        <v/>
      </c>
    </row>
    <row r="900" customFormat="false" ht="15" hidden="false" customHeight="false" outlineLevel="0" collapsed="false">
      <c r="A900" s="17" t="n">
        <v>896</v>
      </c>
      <c r="B900" s="12" t="s">
        <v>3194</v>
      </c>
      <c r="C900" s="12" t="s">
        <v>2135</v>
      </c>
      <c r="D900" s="16" t="n">
        <v>0.00750798611111111</v>
      </c>
      <c r="E900" s="15" t="n">
        <f aca="false">ROUND((D900-$D$5)*86400,2)</f>
        <v>109.67</v>
      </c>
      <c r="F900" s="17" t="n">
        <v>2060</v>
      </c>
      <c r="G900" s="16" t="str">
        <f aca="false">IF(INDEX(選手一覧!$D$7:$D$2738,$F900)="","",INDEX(選手一覧!$D$7:$D$2738,$F900))</f>
        <v/>
      </c>
      <c r="H900" s="17" t="str">
        <f aca="false">IF(INDEX(選手一覧!$E$7:$E$2738,$F900)="","",INDEX(選手一覧!$E$7:$E$2738,$F900))</f>
        <v/>
      </c>
      <c r="I900" s="16" t="str">
        <f aca="false">IF(INDEX(選手一覧!$J$7:$J$2738,$F900)="","",INDEX(選手一覧!$J$7:$J$2738,$F900))</f>
        <v/>
      </c>
      <c r="J900" s="17" t="str">
        <f aca="false">IF(INDEX(選手一覧!$K$7:$K$2738,$F900)="","",INDEX(選手一覧!$K$7:$K$2738,$F900))</f>
        <v/>
      </c>
    </row>
    <row r="901" customFormat="false" ht="15" hidden="false" customHeight="false" outlineLevel="0" collapsed="false">
      <c r="A901" s="17" t="n">
        <v>897</v>
      </c>
      <c r="B901" s="12" t="s">
        <v>1836</v>
      </c>
      <c r="C901" s="12" t="s">
        <v>698</v>
      </c>
      <c r="D901" s="16" t="n">
        <v>0.00750810185185185</v>
      </c>
      <c r="E901" s="15" t="n">
        <f aca="false">ROUND((D901-$D$5)*86400,2)</f>
        <v>109.68</v>
      </c>
      <c r="F901" s="17" t="n">
        <v>1139</v>
      </c>
      <c r="G901" s="16" t="n">
        <f aca="false">IF(INDEX(選手一覧!$D$7:$D$2738,$F901)="","",INDEX(選手一覧!$D$7:$D$2738,$F901))</f>
        <v>0.0110256944444444</v>
      </c>
      <c r="H901" s="17" t="n">
        <f aca="false">IF(INDEX(選手一覧!$E$7:$E$2738,$F901)="","",INDEX(選手一覧!$E$7:$E$2738,$F901))</f>
        <v>1140</v>
      </c>
      <c r="I901" s="16" t="n">
        <f aca="false">IF(INDEX(選手一覧!$J$7:$J$2738,$F901)="","",INDEX(選手一覧!$J$7:$J$2738,$F901))</f>
        <v>0.00280104166666667</v>
      </c>
      <c r="J901" s="17" t="n">
        <f aca="false">IF(INDEX(選手一覧!$K$7:$K$2738,$F901)="","",INDEX(選手一覧!$K$7:$K$2738,$F901))</f>
        <v>287</v>
      </c>
    </row>
    <row r="902" customFormat="false" ht="15" hidden="false" customHeight="false" outlineLevel="0" collapsed="false">
      <c r="A902" s="17" t="n">
        <v>898</v>
      </c>
      <c r="B902" s="12" t="s">
        <v>3198</v>
      </c>
      <c r="C902" s="12" t="s">
        <v>440</v>
      </c>
      <c r="D902" s="16" t="n">
        <v>0.00750821759259259</v>
      </c>
      <c r="E902" s="15" t="n">
        <f aca="false">ROUND((D902-$D$5)*86400,2)</f>
        <v>109.69</v>
      </c>
      <c r="F902" s="17" t="n">
        <v>2063</v>
      </c>
      <c r="G902" s="16" t="str">
        <f aca="false">IF(INDEX(選手一覧!$D$7:$D$2738,$F902)="","",INDEX(選手一覧!$D$7:$D$2738,$F902))</f>
        <v/>
      </c>
      <c r="H902" s="17" t="str">
        <f aca="false">IF(INDEX(選手一覧!$E$7:$E$2738,$F902)="","",INDEX(選手一覧!$E$7:$E$2738,$F902))</f>
        <v/>
      </c>
      <c r="I902" s="16" t="str">
        <f aca="false">IF(INDEX(選手一覧!$J$7:$J$2738,$F902)="","",INDEX(選手一覧!$J$7:$J$2738,$F902))</f>
        <v/>
      </c>
      <c r="J902" s="17" t="str">
        <f aca="false">IF(INDEX(選手一覧!$K$7:$K$2738,$F902)="","",INDEX(選手一覧!$K$7:$K$2738,$F902))</f>
        <v/>
      </c>
    </row>
    <row r="903" customFormat="false" ht="15" hidden="false" customHeight="false" outlineLevel="0" collapsed="false">
      <c r="A903" s="17" t="n">
        <v>899</v>
      </c>
      <c r="B903" s="12" t="s">
        <v>3199</v>
      </c>
      <c r="C903" s="12" t="s">
        <v>3200</v>
      </c>
      <c r="D903" s="16" t="n">
        <v>0.00750833333333333</v>
      </c>
      <c r="E903" s="15" t="n">
        <f aca="false">ROUND((D903-$D$5)*86400,2)</f>
        <v>109.7</v>
      </c>
      <c r="F903" s="17" t="n">
        <v>2064</v>
      </c>
      <c r="G903" s="16" t="str">
        <f aca="false">IF(INDEX(選手一覧!$D$7:$D$2738,$F903)="","",INDEX(選手一覧!$D$7:$D$2738,$F903))</f>
        <v/>
      </c>
      <c r="H903" s="17" t="str">
        <f aca="false">IF(INDEX(選手一覧!$E$7:$E$2738,$F903)="","",INDEX(選手一覧!$E$7:$E$2738,$F903))</f>
        <v/>
      </c>
      <c r="I903" s="16" t="str">
        <f aca="false">IF(INDEX(選手一覧!$J$7:$J$2738,$F903)="","",INDEX(選手一覧!$J$7:$J$2738,$F903))</f>
        <v/>
      </c>
      <c r="J903" s="17" t="str">
        <f aca="false">IF(INDEX(選手一覧!$K$7:$K$2738,$F903)="","",INDEX(選手一覧!$K$7:$K$2738,$F903))</f>
        <v/>
      </c>
    </row>
    <row r="904" customFormat="false" ht="15" hidden="false" customHeight="false" outlineLevel="0" collapsed="false">
      <c r="A904" s="17" t="n">
        <v>900</v>
      </c>
      <c r="B904" s="12" t="s">
        <v>3201</v>
      </c>
      <c r="C904" s="12" t="s">
        <v>3202</v>
      </c>
      <c r="D904" s="16" t="n">
        <v>0.0075099537037037</v>
      </c>
      <c r="E904" s="15" t="n">
        <f aca="false">ROUND((D904-$D$5)*86400,2)</f>
        <v>109.84</v>
      </c>
      <c r="F904" s="17" t="n">
        <v>2065</v>
      </c>
      <c r="G904" s="16" t="str">
        <f aca="false">IF(INDEX(選手一覧!$D$7:$D$2738,$F904)="","",INDEX(選手一覧!$D$7:$D$2738,$F904))</f>
        <v/>
      </c>
      <c r="H904" s="17" t="str">
        <f aca="false">IF(INDEX(選手一覧!$E$7:$E$2738,$F904)="","",INDEX(選手一覧!$E$7:$E$2738,$F904))</f>
        <v/>
      </c>
      <c r="I904" s="16" t="str">
        <f aca="false">IF(INDEX(選手一覧!$J$7:$J$2738,$F904)="","",INDEX(選手一覧!$J$7:$J$2738,$F904))</f>
        <v/>
      </c>
      <c r="J904" s="17" t="str">
        <f aca="false">IF(INDEX(選手一覧!$K$7:$K$2738,$F904)="","",INDEX(選手一覧!$K$7:$K$2738,$F904))</f>
        <v/>
      </c>
    </row>
    <row r="905" customFormat="false" ht="15" hidden="false" customHeight="false" outlineLevel="0" collapsed="false">
      <c r="A905" s="17" t="n">
        <v>901</v>
      </c>
      <c r="B905" s="12" t="s">
        <v>3205</v>
      </c>
      <c r="C905" s="12" t="s">
        <v>3206</v>
      </c>
      <c r="D905" s="16" t="n">
        <v>0.00751018518518519</v>
      </c>
      <c r="E905" s="15" t="n">
        <f aca="false">ROUND((D905-$D$5)*86400,2)</f>
        <v>109.86</v>
      </c>
      <c r="F905" s="17" t="n">
        <v>2067</v>
      </c>
      <c r="G905" s="16" t="str">
        <f aca="false">IF(INDEX(選手一覧!$D$7:$D$2738,$F905)="","",INDEX(選手一覧!$D$7:$D$2738,$F905))</f>
        <v/>
      </c>
      <c r="H905" s="17" t="str">
        <f aca="false">IF(INDEX(選手一覧!$E$7:$E$2738,$F905)="","",INDEX(選手一覧!$E$7:$E$2738,$F905))</f>
        <v/>
      </c>
      <c r="I905" s="16" t="str">
        <f aca="false">IF(INDEX(選手一覧!$J$7:$J$2738,$F905)="","",INDEX(選手一覧!$J$7:$J$2738,$F905))</f>
        <v/>
      </c>
      <c r="J905" s="17" t="str">
        <f aca="false">IF(INDEX(選手一覧!$K$7:$K$2738,$F905)="","",INDEX(選手一覧!$K$7:$K$2738,$F905))</f>
        <v/>
      </c>
    </row>
    <row r="906" customFormat="false" ht="15" hidden="false" customHeight="false" outlineLevel="0" collapsed="false">
      <c r="A906" s="17" t="n">
        <v>902</v>
      </c>
      <c r="B906" s="12" t="s">
        <v>3207</v>
      </c>
      <c r="C906" s="12" t="s">
        <v>3151</v>
      </c>
      <c r="D906" s="16" t="n">
        <v>0.00751053240740741</v>
      </c>
      <c r="E906" s="15" t="n">
        <f aca="false">ROUND((D906-$D$5)*86400,2)</f>
        <v>109.89</v>
      </c>
      <c r="F906" s="17" t="n">
        <v>2068</v>
      </c>
      <c r="G906" s="16" t="str">
        <f aca="false">IF(INDEX(選手一覧!$D$7:$D$2738,$F906)="","",INDEX(選手一覧!$D$7:$D$2738,$F906))</f>
        <v/>
      </c>
      <c r="H906" s="17" t="str">
        <f aca="false">IF(INDEX(選手一覧!$E$7:$E$2738,$F906)="","",INDEX(選手一覧!$E$7:$E$2738,$F906))</f>
        <v/>
      </c>
      <c r="I906" s="16" t="str">
        <f aca="false">IF(INDEX(選手一覧!$J$7:$J$2738,$F906)="","",INDEX(選手一覧!$J$7:$J$2738,$F906))</f>
        <v/>
      </c>
      <c r="J906" s="17" t="str">
        <f aca="false">IF(INDEX(選手一覧!$K$7:$K$2738,$F906)="","",INDEX(選手一覧!$K$7:$K$2738,$F906))</f>
        <v/>
      </c>
    </row>
    <row r="907" customFormat="false" ht="15" hidden="false" customHeight="false" outlineLevel="0" collapsed="false">
      <c r="A907" s="17" t="n">
        <v>903</v>
      </c>
      <c r="B907" s="12" t="s">
        <v>3211</v>
      </c>
      <c r="C907" s="12" t="s">
        <v>1599</v>
      </c>
      <c r="D907" s="16" t="n">
        <v>0.00751099537037037</v>
      </c>
      <c r="E907" s="15" t="n">
        <f aca="false">ROUND((D907-$D$5)*86400,2)</f>
        <v>109.93</v>
      </c>
      <c r="F907" s="17" t="n">
        <v>2070</v>
      </c>
      <c r="G907" s="16" t="str">
        <f aca="false">IF(INDEX(選手一覧!$D$7:$D$2738,$F907)="","",INDEX(選手一覧!$D$7:$D$2738,$F907))</f>
        <v/>
      </c>
      <c r="H907" s="17" t="str">
        <f aca="false">IF(INDEX(選手一覧!$E$7:$E$2738,$F907)="","",INDEX(選手一覧!$E$7:$E$2738,$F907))</f>
        <v/>
      </c>
      <c r="I907" s="16" t="str">
        <f aca="false">IF(INDEX(選手一覧!$J$7:$J$2738,$F907)="","",INDEX(選手一覧!$J$7:$J$2738,$F907))</f>
        <v/>
      </c>
      <c r="J907" s="17" t="str">
        <f aca="false">IF(INDEX(選手一覧!$K$7:$K$2738,$F907)="","",INDEX(選手一覧!$K$7:$K$2738,$F907))</f>
        <v/>
      </c>
    </row>
    <row r="908" customFormat="false" ht="15" hidden="false" customHeight="false" outlineLevel="0" collapsed="false">
      <c r="A908" s="17" t="n">
        <v>904</v>
      </c>
      <c r="B908" s="12" t="s">
        <v>3215</v>
      </c>
      <c r="C908" s="12" t="s">
        <v>3216</v>
      </c>
      <c r="D908" s="16" t="n">
        <v>0.00751215277777778</v>
      </c>
      <c r="E908" s="15" t="n">
        <f aca="false">ROUND((D908-$D$5)*86400,2)</f>
        <v>110.03</v>
      </c>
      <c r="F908" s="17" t="n">
        <v>2072</v>
      </c>
      <c r="G908" s="16" t="str">
        <f aca="false">IF(INDEX(選手一覧!$D$7:$D$2738,$F908)="","",INDEX(選手一覧!$D$7:$D$2738,$F908))</f>
        <v/>
      </c>
      <c r="H908" s="17" t="str">
        <f aca="false">IF(INDEX(選手一覧!$E$7:$E$2738,$F908)="","",INDEX(選手一覧!$E$7:$E$2738,$F908))</f>
        <v/>
      </c>
      <c r="I908" s="16" t="str">
        <f aca="false">IF(INDEX(選手一覧!$J$7:$J$2738,$F908)="","",INDEX(選手一覧!$J$7:$J$2738,$F908))</f>
        <v/>
      </c>
      <c r="J908" s="17" t="str">
        <f aca="false">IF(INDEX(選手一覧!$K$7:$K$2738,$F908)="","",INDEX(選手一覧!$K$7:$K$2738,$F908))</f>
        <v/>
      </c>
    </row>
    <row r="909" customFormat="false" ht="15" hidden="false" customHeight="false" outlineLevel="0" collapsed="false">
      <c r="A909" s="17" t="n">
        <v>905</v>
      </c>
      <c r="B909" s="12" t="s">
        <v>3217</v>
      </c>
      <c r="C909" s="12" t="s">
        <v>2257</v>
      </c>
      <c r="D909" s="16" t="n">
        <v>0.00751377314814815</v>
      </c>
      <c r="E909" s="15" t="n">
        <f aca="false">ROUND((D909-$D$5)*86400,2)</f>
        <v>110.17</v>
      </c>
      <c r="F909" s="17" t="n">
        <v>2073</v>
      </c>
      <c r="G909" s="16" t="str">
        <f aca="false">IF(INDEX(選手一覧!$D$7:$D$2738,$F909)="","",INDEX(選手一覧!$D$7:$D$2738,$F909))</f>
        <v/>
      </c>
      <c r="H909" s="17" t="str">
        <f aca="false">IF(INDEX(選手一覧!$E$7:$E$2738,$F909)="","",INDEX(選手一覧!$E$7:$E$2738,$F909))</f>
        <v/>
      </c>
      <c r="I909" s="16" t="str">
        <f aca="false">IF(INDEX(選手一覧!$J$7:$J$2738,$F909)="","",INDEX(選手一覧!$J$7:$J$2738,$F909))</f>
        <v/>
      </c>
      <c r="J909" s="17" t="str">
        <f aca="false">IF(INDEX(選手一覧!$K$7:$K$2738,$F909)="","",INDEX(選手一覧!$K$7:$K$2738,$F909))</f>
        <v/>
      </c>
    </row>
    <row r="910" customFormat="false" ht="15" hidden="false" customHeight="false" outlineLevel="0" collapsed="false">
      <c r="A910" s="17" t="n">
        <v>906</v>
      </c>
      <c r="B910" s="12" t="s">
        <v>3218</v>
      </c>
      <c r="C910" s="12" t="s">
        <v>507</v>
      </c>
      <c r="D910" s="16" t="n">
        <v>0.00751435185185185</v>
      </c>
      <c r="E910" s="15" t="n">
        <f aca="false">ROUND((D910-$D$5)*86400,2)</f>
        <v>110.22</v>
      </c>
      <c r="F910" s="17" t="n">
        <v>2074</v>
      </c>
      <c r="G910" s="16" t="str">
        <f aca="false">IF(INDEX(選手一覧!$D$7:$D$2738,$F910)="","",INDEX(選手一覧!$D$7:$D$2738,$F910))</f>
        <v/>
      </c>
      <c r="H910" s="17" t="str">
        <f aca="false">IF(INDEX(選手一覧!$E$7:$E$2738,$F910)="","",INDEX(選手一覧!$E$7:$E$2738,$F910))</f>
        <v/>
      </c>
      <c r="I910" s="16" t="str">
        <f aca="false">IF(INDEX(選手一覧!$J$7:$J$2738,$F910)="","",INDEX(選手一覧!$J$7:$J$2738,$F910))</f>
        <v/>
      </c>
      <c r="J910" s="17" t="str">
        <f aca="false">IF(INDEX(選手一覧!$K$7:$K$2738,$F910)="","",INDEX(選手一覧!$K$7:$K$2738,$F910))</f>
        <v/>
      </c>
    </row>
    <row r="911" customFormat="false" ht="15" hidden="false" customHeight="false" outlineLevel="0" collapsed="false">
      <c r="A911" s="17" t="n">
        <v>907</v>
      </c>
      <c r="B911" s="12" t="s">
        <v>3219</v>
      </c>
      <c r="C911" s="12" t="s">
        <v>3220</v>
      </c>
      <c r="D911" s="16" t="n">
        <v>0.00751481481481481</v>
      </c>
      <c r="E911" s="15" t="n">
        <f aca="false">ROUND((D911-$D$5)*86400,2)</f>
        <v>110.26</v>
      </c>
      <c r="F911" s="17" t="n">
        <v>2075</v>
      </c>
      <c r="G911" s="16" t="str">
        <f aca="false">IF(INDEX(選手一覧!$D$7:$D$2738,$F911)="","",INDEX(選手一覧!$D$7:$D$2738,$F911))</f>
        <v/>
      </c>
      <c r="H911" s="17" t="str">
        <f aca="false">IF(INDEX(選手一覧!$E$7:$E$2738,$F911)="","",INDEX(選手一覧!$E$7:$E$2738,$F911))</f>
        <v/>
      </c>
      <c r="I911" s="16" t="str">
        <f aca="false">IF(INDEX(選手一覧!$J$7:$J$2738,$F911)="","",INDEX(選手一覧!$J$7:$J$2738,$F911))</f>
        <v/>
      </c>
      <c r="J911" s="17" t="str">
        <f aca="false">IF(INDEX(選手一覧!$K$7:$K$2738,$F911)="","",INDEX(選手一覧!$K$7:$K$2738,$F911))</f>
        <v/>
      </c>
    </row>
    <row r="912" customFormat="false" ht="15" hidden="false" customHeight="false" outlineLevel="0" collapsed="false">
      <c r="A912" s="17" t="n">
        <v>908</v>
      </c>
      <c r="B912" s="12" t="s">
        <v>3223</v>
      </c>
      <c r="C912" s="12" t="s">
        <v>3224</v>
      </c>
      <c r="D912" s="16" t="n">
        <v>0.00751516203703704</v>
      </c>
      <c r="E912" s="15" t="n">
        <f aca="false">ROUND((D912-$D$5)*86400,2)</f>
        <v>110.29</v>
      </c>
      <c r="F912" s="17" t="n">
        <v>2077</v>
      </c>
      <c r="G912" s="16" t="str">
        <f aca="false">IF(INDEX(選手一覧!$D$7:$D$2738,$F912)="","",INDEX(選手一覧!$D$7:$D$2738,$F912))</f>
        <v/>
      </c>
      <c r="H912" s="17" t="str">
        <f aca="false">IF(INDEX(選手一覧!$E$7:$E$2738,$F912)="","",INDEX(選手一覧!$E$7:$E$2738,$F912))</f>
        <v/>
      </c>
      <c r="I912" s="16" t="str">
        <f aca="false">IF(INDEX(選手一覧!$J$7:$J$2738,$F912)="","",INDEX(選手一覧!$J$7:$J$2738,$F912))</f>
        <v/>
      </c>
      <c r="J912" s="17" t="str">
        <f aca="false">IF(INDEX(選手一覧!$K$7:$K$2738,$F912)="","",INDEX(選手一覧!$K$7:$K$2738,$F912))</f>
        <v/>
      </c>
    </row>
    <row r="913" customFormat="false" ht="15" hidden="false" customHeight="false" outlineLevel="0" collapsed="false">
      <c r="A913" s="17" t="n">
        <v>909</v>
      </c>
      <c r="B913" s="12" t="s">
        <v>3225</v>
      </c>
      <c r="C913" s="12" t="s">
        <v>3226</v>
      </c>
      <c r="D913" s="16" t="n">
        <v>0.00751527777777778</v>
      </c>
      <c r="E913" s="15" t="n">
        <f aca="false">ROUND((D913-$D$5)*86400,2)</f>
        <v>110.3</v>
      </c>
      <c r="F913" s="17" t="n">
        <v>2078</v>
      </c>
      <c r="G913" s="16" t="str">
        <f aca="false">IF(INDEX(選手一覧!$D$7:$D$2738,$F913)="","",INDEX(選手一覧!$D$7:$D$2738,$F913))</f>
        <v/>
      </c>
      <c r="H913" s="17" t="str">
        <f aca="false">IF(INDEX(選手一覧!$E$7:$E$2738,$F913)="","",INDEX(選手一覧!$E$7:$E$2738,$F913))</f>
        <v/>
      </c>
      <c r="I913" s="16" t="str">
        <f aca="false">IF(INDEX(選手一覧!$J$7:$J$2738,$F913)="","",INDEX(選手一覧!$J$7:$J$2738,$F913))</f>
        <v/>
      </c>
      <c r="J913" s="17" t="str">
        <f aca="false">IF(INDEX(選手一覧!$K$7:$K$2738,$F913)="","",INDEX(選手一覧!$K$7:$K$2738,$F913))</f>
        <v/>
      </c>
    </row>
    <row r="914" customFormat="false" ht="15" hidden="false" customHeight="false" outlineLevel="0" collapsed="false">
      <c r="A914" s="17" t="n">
        <v>910</v>
      </c>
      <c r="B914" s="12" t="s">
        <v>3228</v>
      </c>
      <c r="C914" s="12" t="s">
        <v>313</v>
      </c>
      <c r="D914" s="16" t="n">
        <v>0.007515625</v>
      </c>
      <c r="E914" s="15" t="n">
        <f aca="false">ROUND((D914-$D$5)*86400,2)</f>
        <v>110.33</v>
      </c>
      <c r="F914" s="17" t="n">
        <v>2080</v>
      </c>
      <c r="G914" s="16" t="str">
        <f aca="false">IF(INDEX(選手一覧!$D$7:$D$2738,$F914)="","",INDEX(選手一覧!$D$7:$D$2738,$F914))</f>
        <v/>
      </c>
      <c r="H914" s="17" t="str">
        <f aca="false">IF(INDEX(選手一覧!$E$7:$E$2738,$F914)="","",INDEX(選手一覧!$E$7:$E$2738,$F914))</f>
        <v/>
      </c>
      <c r="I914" s="16" t="str">
        <f aca="false">IF(INDEX(選手一覧!$J$7:$J$2738,$F914)="","",INDEX(選手一覧!$J$7:$J$2738,$F914))</f>
        <v/>
      </c>
      <c r="J914" s="17" t="str">
        <f aca="false">IF(INDEX(選手一覧!$K$7:$K$2738,$F914)="","",INDEX(選手一覧!$K$7:$K$2738,$F914))</f>
        <v/>
      </c>
    </row>
    <row r="915" customFormat="false" ht="15" hidden="false" customHeight="false" outlineLevel="0" collapsed="false">
      <c r="A915" s="17" t="n">
        <v>911</v>
      </c>
      <c r="B915" s="12" t="s">
        <v>3229</v>
      </c>
      <c r="C915" s="12" t="s">
        <v>3083</v>
      </c>
      <c r="D915" s="16" t="n">
        <v>0.00751585648148148</v>
      </c>
      <c r="E915" s="15" t="n">
        <f aca="false">ROUND((D915-$D$5)*86400,2)</f>
        <v>110.35</v>
      </c>
      <c r="F915" s="17" t="n">
        <v>2081</v>
      </c>
      <c r="G915" s="16" t="str">
        <f aca="false">IF(INDEX(選手一覧!$D$7:$D$2738,$F915)="","",INDEX(選手一覧!$D$7:$D$2738,$F915))</f>
        <v/>
      </c>
      <c r="H915" s="17" t="str">
        <f aca="false">IF(INDEX(選手一覧!$E$7:$E$2738,$F915)="","",INDEX(選手一覧!$E$7:$E$2738,$F915))</f>
        <v/>
      </c>
      <c r="I915" s="16" t="str">
        <f aca="false">IF(INDEX(選手一覧!$J$7:$J$2738,$F915)="","",INDEX(選手一覧!$J$7:$J$2738,$F915))</f>
        <v/>
      </c>
      <c r="J915" s="17" t="str">
        <f aca="false">IF(INDEX(選手一覧!$K$7:$K$2738,$F915)="","",INDEX(選手一覧!$K$7:$K$2738,$F915))</f>
        <v/>
      </c>
    </row>
    <row r="916" customFormat="false" ht="15" hidden="false" customHeight="false" outlineLevel="0" collapsed="false">
      <c r="A916" s="17" t="n">
        <v>912</v>
      </c>
      <c r="B916" s="12" t="s">
        <v>3231</v>
      </c>
      <c r="C916" s="12" t="s">
        <v>3232</v>
      </c>
      <c r="D916" s="16" t="n">
        <v>0.00751608796296296</v>
      </c>
      <c r="E916" s="15" t="n">
        <f aca="false">ROUND((D916-$D$5)*86400,2)</f>
        <v>110.37</v>
      </c>
      <c r="F916" s="17" t="n">
        <v>2083</v>
      </c>
      <c r="G916" s="16" t="str">
        <f aca="false">IF(INDEX(選手一覧!$D$7:$D$2738,$F916)="","",INDEX(選手一覧!$D$7:$D$2738,$F916))</f>
        <v/>
      </c>
      <c r="H916" s="17" t="str">
        <f aca="false">IF(INDEX(選手一覧!$E$7:$E$2738,$F916)="","",INDEX(選手一覧!$E$7:$E$2738,$F916))</f>
        <v/>
      </c>
      <c r="I916" s="16" t="str">
        <f aca="false">IF(INDEX(選手一覧!$J$7:$J$2738,$F916)="","",INDEX(選手一覧!$J$7:$J$2738,$F916))</f>
        <v/>
      </c>
      <c r="J916" s="17" t="str">
        <f aca="false">IF(INDEX(選手一覧!$K$7:$K$2738,$F916)="","",INDEX(選手一覧!$K$7:$K$2738,$F916))</f>
        <v/>
      </c>
    </row>
    <row r="917" customFormat="false" ht="15" hidden="false" customHeight="false" outlineLevel="0" collapsed="false">
      <c r="A917" s="17" t="n">
        <v>913</v>
      </c>
      <c r="B917" s="12" t="s">
        <v>3233</v>
      </c>
      <c r="C917" s="12" t="s">
        <v>3234</v>
      </c>
      <c r="D917" s="16" t="n">
        <v>0.00751631944444444</v>
      </c>
      <c r="E917" s="15" t="n">
        <f aca="false">ROUND((D917-$D$5)*86400,2)</f>
        <v>110.39</v>
      </c>
      <c r="F917" s="17" t="n">
        <v>2084</v>
      </c>
      <c r="G917" s="16" t="str">
        <f aca="false">IF(INDEX(選手一覧!$D$7:$D$2738,$F917)="","",INDEX(選手一覧!$D$7:$D$2738,$F917))</f>
        <v/>
      </c>
      <c r="H917" s="17" t="str">
        <f aca="false">IF(INDEX(選手一覧!$E$7:$E$2738,$F917)="","",INDEX(選手一覧!$E$7:$E$2738,$F917))</f>
        <v/>
      </c>
      <c r="I917" s="16" t="str">
        <f aca="false">IF(INDEX(選手一覧!$J$7:$J$2738,$F917)="","",INDEX(選手一覧!$J$7:$J$2738,$F917))</f>
        <v/>
      </c>
      <c r="J917" s="17" t="str">
        <f aca="false">IF(INDEX(選手一覧!$K$7:$K$2738,$F917)="","",INDEX(選手一覧!$K$7:$K$2738,$F917))</f>
        <v/>
      </c>
    </row>
    <row r="918" customFormat="false" ht="15" hidden="false" customHeight="false" outlineLevel="0" collapsed="false">
      <c r="A918" s="17" t="n">
        <v>914</v>
      </c>
      <c r="B918" s="12" t="s">
        <v>3235</v>
      </c>
      <c r="C918" s="12" t="s">
        <v>846</v>
      </c>
      <c r="D918" s="16" t="n">
        <v>0.00751689814814815</v>
      </c>
      <c r="E918" s="15" t="n">
        <f aca="false">ROUND((D918-$D$5)*86400,2)</f>
        <v>110.44</v>
      </c>
      <c r="F918" s="17" t="n">
        <v>2085</v>
      </c>
      <c r="G918" s="16" t="str">
        <f aca="false">IF(INDEX(選手一覧!$D$7:$D$2738,$F918)="","",INDEX(選手一覧!$D$7:$D$2738,$F918))</f>
        <v/>
      </c>
      <c r="H918" s="17" t="str">
        <f aca="false">IF(INDEX(選手一覧!$E$7:$E$2738,$F918)="","",INDEX(選手一覧!$E$7:$E$2738,$F918))</f>
        <v/>
      </c>
      <c r="I918" s="16" t="str">
        <f aca="false">IF(INDEX(選手一覧!$J$7:$J$2738,$F918)="","",INDEX(選手一覧!$J$7:$J$2738,$F918))</f>
        <v/>
      </c>
      <c r="J918" s="17" t="str">
        <f aca="false">IF(INDEX(選手一覧!$K$7:$K$2738,$F918)="","",INDEX(選手一覧!$K$7:$K$2738,$F918))</f>
        <v/>
      </c>
    </row>
    <row r="919" customFormat="false" ht="15" hidden="false" customHeight="false" outlineLevel="0" collapsed="false">
      <c r="A919" s="17" t="n">
        <v>915</v>
      </c>
      <c r="B919" s="12" t="s">
        <v>3237</v>
      </c>
      <c r="C919" s="12" t="s">
        <v>3238</v>
      </c>
      <c r="D919" s="16" t="n">
        <v>0.00751724537037037</v>
      </c>
      <c r="E919" s="15" t="n">
        <f aca="false">ROUND((D919-$D$5)*86400,2)</f>
        <v>110.47</v>
      </c>
      <c r="F919" s="17" t="n">
        <v>2087</v>
      </c>
      <c r="G919" s="16" t="str">
        <f aca="false">IF(INDEX(選手一覧!$D$7:$D$2738,$F919)="","",INDEX(選手一覧!$D$7:$D$2738,$F919))</f>
        <v/>
      </c>
      <c r="H919" s="17" t="str">
        <f aca="false">IF(INDEX(選手一覧!$E$7:$E$2738,$F919)="","",INDEX(選手一覧!$E$7:$E$2738,$F919))</f>
        <v/>
      </c>
      <c r="I919" s="16" t="str">
        <f aca="false">IF(INDEX(選手一覧!$J$7:$J$2738,$F919)="","",INDEX(選手一覧!$J$7:$J$2738,$F919))</f>
        <v/>
      </c>
      <c r="J919" s="17" t="str">
        <f aca="false">IF(INDEX(選手一覧!$K$7:$K$2738,$F919)="","",INDEX(選手一覧!$K$7:$K$2738,$F919))</f>
        <v/>
      </c>
    </row>
    <row r="920" customFormat="false" ht="15" hidden="false" customHeight="false" outlineLevel="0" collapsed="false">
      <c r="A920" s="17" t="n">
        <v>916</v>
      </c>
      <c r="B920" s="12" t="s">
        <v>3240</v>
      </c>
      <c r="C920" s="12" t="s">
        <v>3241</v>
      </c>
      <c r="D920" s="16" t="n">
        <v>0.00751782407407407</v>
      </c>
      <c r="E920" s="15" t="n">
        <f aca="false">ROUND((D920-$D$5)*86400,2)</f>
        <v>110.52</v>
      </c>
      <c r="F920" s="17" t="n">
        <v>2089</v>
      </c>
      <c r="G920" s="16" t="str">
        <f aca="false">IF(INDEX(選手一覧!$D$7:$D$2738,$F920)="","",INDEX(選手一覧!$D$7:$D$2738,$F920))</f>
        <v/>
      </c>
      <c r="H920" s="17" t="str">
        <f aca="false">IF(INDEX(選手一覧!$E$7:$E$2738,$F920)="","",INDEX(選手一覧!$E$7:$E$2738,$F920))</f>
        <v/>
      </c>
      <c r="I920" s="16" t="str">
        <f aca="false">IF(INDEX(選手一覧!$J$7:$J$2738,$F920)="","",INDEX(選手一覧!$J$7:$J$2738,$F920))</f>
        <v/>
      </c>
      <c r="J920" s="17" t="str">
        <f aca="false">IF(INDEX(選手一覧!$K$7:$K$2738,$F920)="","",INDEX(選手一覧!$K$7:$K$2738,$F920))</f>
        <v/>
      </c>
    </row>
    <row r="921" customFormat="false" ht="15" hidden="false" customHeight="false" outlineLevel="0" collapsed="false">
      <c r="A921" s="17" t="n">
        <v>917</v>
      </c>
      <c r="B921" s="12" t="s">
        <v>3242</v>
      </c>
      <c r="C921" s="12" t="s">
        <v>3243</v>
      </c>
      <c r="D921" s="16" t="n">
        <v>0.00751793981481481</v>
      </c>
      <c r="E921" s="15" t="n">
        <f aca="false">ROUND((D921-$D$5)*86400,2)</f>
        <v>110.53</v>
      </c>
      <c r="F921" s="17" t="n">
        <v>2090</v>
      </c>
      <c r="G921" s="16" t="str">
        <f aca="false">IF(INDEX(選手一覧!$D$7:$D$2738,$F921)="","",INDEX(選手一覧!$D$7:$D$2738,$F921))</f>
        <v/>
      </c>
      <c r="H921" s="17" t="str">
        <f aca="false">IF(INDEX(選手一覧!$E$7:$E$2738,$F921)="","",INDEX(選手一覧!$E$7:$E$2738,$F921))</f>
        <v/>
      </c>
      <c r="I921" s="16" t="str">
        <f aca="false">IF(INDEX(選手一覧!$J$7:$J$2738,$F921)="","",INDEX(選手一覧!$J$7:$J$2738,$F921))</f>
        <v/>
      </c>
      <c r="J921" s="17" t="str">
        <f aca="false">IF(INDEX(選手一覧!$K$7:$K$2738,$F921)="","",INDEX(選手一覧!$K$7:$K$2738,$F921))</f>
        <v/>
      </c>
    </row>
    <row r="922" customFormat="false" ht="15" hidden="false" customHeight="false" outlineLevel="0" collapsed="false">
      <c r="A922" s="17" t="n">
        <v>918</v>
      </c>
      <c r="B922" s="12" t="s">
        <v>3245</v>
      </c>
      <c r="C922" s="12" t="s">
        <v>1354</v>
      </c>
      <c r="D922" s="16" t="n">
        <v>0.00751805555555556</v>
      </c>
      <c r="E922" s="15" t="n">
        <f aca="false">ROUND((D922-$D$5)*86400,2)</f>
        <v>110.54</v>
      </c>
      <c r="F922" s="17" t="n">
        <v>2092</v>
      </c>
      <c r="G922" s="16" t="str">
        <f aca="false">IF(INDEX(選手一覧!$D$7:$D$2738,$F922)="","",INDEX(選手一覧!$D$7:$D$2738,$F922))</f>
        <v/>
      </c>
      <c r="H922" s="17" t="str">
        <f aca="false">IF(INDEX(選手一覧!$E$7:$E$2738,$F922)="","",INDEX(選手一覧!$E$7:$E$2738,$F922))</f>
        <v/>
      </c>
      <c r="I922" s="16" t="str">
        <f aca="false">IF(INDEX(選手一覧!$J$7:$J$2738,$F922)="","",INDEX(選手一覧!$J$7:$J$2738,$F922))</f>
        <v/>
      </c>
      <c r="J922" s="17" t="str">
        <f aca="false">IF(INDEX(選手一覧!$K$7:$K$2738,$F922)="","",INDEX(選手一覧!$K$7:$K$2738,$F922))</f>
        <v/>
      </c>
    </row>
    <row r="923" customFormat="false" ht="15" hidden="false" customHeight="false" outlineLevel="0" collapsed="false">
      <c r="A923" s="17" t="n">
        <v>919</v>
      </c>
      <c r="B923" s="12" t="s">
        <v>2513</v>
      </c>
      <c r="C923" s="12" t="s">
        <v>2514</v>
      </c>
      <c r="D923" s="16" t="n">
        <v>0.00752025462962963</v>
      </c>
      <c r="E923" s="15" t="n">
        <f aca="false">ROUND((D923-$D$5)*86400,2)</f>
        <v>110.73</v>
      </c>
      <c r="F923" s="17" t="n">
        <v>1603</v>
      </c>
      <c r="G923" s="16" t="str">
        <f aca="false">IF(INDEX(選手一覧!$D$7:$D$2738,$F923)="","",INDEX(選手一覧!$D$7:$D$2738,$F923))</f>
        <v/>
      </c>
      <c r="H923" s="17" t="str">
        <f aca="false">IF(INDEX(選手一覧!$E$7:$E$2738,$F923)="","",INDEX(選手一覧!$E$7:$E$2738,$F923))</f>
        <v/>
      </c>
      <c r="I923" s="16" t="n">
        <f aca="false">IF(INDEX(選手一覧!$J$7:$J$2738,$F923)="","",INDEX(選手一覧!$J$7:$J$2738,$F923))</f>
        <v>0.00284224537037037</v>
      </c>
      <c r="J923" s="17" t="n">
        <f aca="false">IF(INDEX(選手一覧!$K$7:$K$2738,$F923)="","",INDEX(選手一覧!$K$7:$K$2738,$F923))</f>
        <v>512</v>
      </c>
    </row>
    <row r="924" customFormat="false" ht="15" hidden="false" customHeight="false" outlineLevel="0" collapsed="false">
      <c r="A924" s="17" t="n">
        <v>920</v>
      </c>
      <c r="B924" s="12" t="s">
        <v>3248</v>
      </c>
      <c r="C924" s="12" t="s">
        <v>3249</v>
      </c>
      <c r="D924" s="16" t="n">
        <v>0.00752094907407407</v>
      </c>
      <c r="E924" s="15" t="n">
        <f aca="false">ROUND((D924-$D$5)*86400,2)</f>
        <v>110.79</v>
      </c>
      <c r="F924" s="17" t="n">
        <v>2095</v>
      </c>
      <c r="G924" s="16" t="str">
        <f aca="false">IF(INDEX(選手一覧!$D$7:$D$2738,$F924)="","",INDEX(選手一覧!$D$7:$D$2738,$F924))</f>
        <v/>
      </c>
      <c r="H924" s="17" t="str">
        <f aca="false">IF(INDEX(選手一覧!$E$7:$E$2738,$F924)="","",INDEX(選手一覧!$E$7:$E$2738,$F924))</f>
        <v/>
      </c>
      <c r="I924" s="16" t="str">
        <f aca="false">IF(INDEX(選手一覧!$J$7:$J$2738,$F924)="","",INDEX(選手一覧!$J$7:$J$2738,$F924))</f>
        <v/>
      </c>
      <c r="J924" s="17" t="str">
        <f aca="false">IF(INDEX(選手一覧!$K$7:$K$2738,$F924)="","",INDEX(選手一覧!$K$7:$K$2738,$F924))</f>
        <v/>
      </c>
    </row>
    <row r="925" customFormat="false" ht="15" hidden="false" customHeight="false" outlineLevel="0" collapsed="false">
      <c r="A925" s="17" t="n">
        <v>921</v>
      </c>
      <c r="B925" s="12" t="s">
        <v>3250</v>
      </c>
      <c r="C925" s="12" t="s">
        <v>3251</v>
      </c>
      <c r="D925" s="16" t="n">
        <v>0.00752164351851852</v>
      </c>
      <c r="E925" s="15" t="n">
        <f aca="false">ROUND((D925-$D$5)*86400,2)</f>
        <v>110.85</v>
      </c>
      <c r="F925" s="17" t="n">
        <v>2096</v>
      </c>
      <c r="G925" s="16" t="str">
        <f aca="false">IF(INDEX(選手一覧!$D$7:$D$2738,$F925)="","",INDEX(選手一覧!$D$7:$D$2738,$F925))</f>
        <v/>
      </c>
      <c r="H925" s="17" t="str">
        <f aca="false">IF(INDEX(選手一覧!$E$7:$E$2738,$F925)="","",INDEX(選手一覧!$E$7:$E$2738,$F925))</f>
        <v/>
      </c>
      <c r="I925" s="16" t="str">
        <f aca="false">IF(INDEX(選手一覧!$J$7:$J$2738,$F925)="","",INDEX(選手一覧!$J$7:$J$2738,$F925))</f>
        <v/>
      </c>
      <c r="J925" s="17" t="str">
        <f aca="false">IF(INDEX(選手一覧!$K$7:$K$2738,$F925)="","",INDEX(選手一覧!$K$7:$K$2738,$F925))</f>
        <v/>
      </c>
    </row>
    <row r="926" customFormat="false" ht="15" hidden="false" customHeight="false" outlineLevel="0" collapsed="false">
      <c r="A926" s="17" t="n">
        <v>922</v>
      </c>
      <c r="B926" s="12" t="s">
        <v>3252</v>
      </c>
      <c r="C926" s="12" t="s">
        <v>3253</v>
      </c>
      <c r="D926" s="16" t="n">
        <v>0.007521875</v>
      </c>
      <c r="E926" s="15" t="n">
        <f aca="false">ROUND((D926-$D$5)*86400,2)</f>
        <v>110.87</v>
      </c>
      <c r="F926" s="17" t="n">
        <v>2097</v>
      </c>
      <c r="G926" s="16" t="str">
        <f aca="false">IF(INDEX(選手一覧!$D$7:$D$2738,$F926)="","",INDEX(選手一覧!$D$7:$D$2738,$F926))</f>
        <v/>
      </c>
      <c r="H926" s="17" t="str">
        <f aca="false">IF(INDEX(選手一覧!$E$7:$E$2738,$F926)="","",INDEX(選手一覧!$E$7:$E$2738,$F926))</f>
        <v/>
      </c>
      <c r="I926" s="16" t="str">
        <f aca="false">IF(INDEX(選手一覧!$J$7:$J$2738,$F926)="","",INDEX(選手一覧!$J$7:$J$2738,$F926))</f>
        <v/>
      </c>
      <c r="J926" s="17" t="str">
        <f aca="false">IF(INDEX(選手一覧!$K$7:$K$2738,$F926)="","",INDEX(選手一覧!$K$7:$K$2738,$F926))</f>
        <v/>
      </c>
    </row>
    <row r="927" customFormat="false" ht="15" hidden="false" customHeight="false" outlineLevel="0" collapsed="false">
      <c r="A927" s="17" t="n">
        <v>923</v>
      </c>
      <c r="B927" s="12" t="s">
        <v>1498</v>
      </c>
      <c r="C927" s="12" t="s">
        <v>503</v>
      </c>
      <c r="D927" s="16" t="n">
        <v>0.007521875</v>
      </c>
      <c r="E927" s="15" t="n">
        <f aca="false">ROUND((D927-$D$5)*86400,2)</f>
        <v>110.87</v>
      </c>
      <c r="F927" s="17" t="n">
        <v>911</v>
      </c>
      <c r="G927" s="16" t="n">
        <f aca="false">IF(INDEX(選手一覧!$D$7:$D$2738,$F927)="","",INDEX(選手一覧!$D$7:$D$2738,$F927))</f>
        <v>0.0108951388888889</v>
      </c>
      <c r="H927" s="17" t="n">
        <f aca="false">IF(INDEX(選手一覧!$E$7:$E$2738,$F927)="","",INDEX(選手一覧!$E$7:$E$2738,$F927))</f>
        <v>912</v>
      </c>
      <c r="I927" s="16" t="str">
        <f aca="false">IF(INDEX(選手一覧!$J$7:$J$2738,$F927)="","",INDEX(選手一覧!$J$7:$J$2738,$F927))</f>
        <v/>
      </c>
      <c r="J927" s="17" t="str">
        <f aca="false">IF(INDEX(選手一覧!$K$7:$K$2738,$F927)="","",INDEX(選手一覧!$K$7:$K$2738,$F927))</f>
        <v/>
      </c>
    </row>
    <row r="928" customFormat="false" ht="15" hidden="false" customHeight="false" outlineLevel="0" collapsed="false">
      <c r="A928" s="17" t="n">
        <v>924</v>
      </c>
      <c r="B928" s="12" t="s">
        <v>3256</v>
      </c>
      <c r="C928" s="12" t="s">
        <v>3257</v>
      </c>
      <c r="D928" s="16" t="n">
        <v>0.00752222222222222</v>
      </c>
      <c r="E928" s="15" t="n">
        <f aca="false">ROUND((D928-$D$5)*86400,2)</f>
        <v>110.9</v>
      </c>
      <c r="F928" s="17" t="n">
        <v>2099</v>
      </c>
      <c r="G928" s="16" t="str">
        <f aca="false">IF(INDEX(選手一覧!$D$7:$D$2738,$F928)="","",INDEX(選手一覧!$D$7:$D$2738,$F928))</f>
        <v/>
      </c>
      <c r="H928" s="17" t="str">
        <f aca="false">IF(INDEX(選手一覧!$E$7:$E$2738,$F928)="","",INDEX(選手一覧!$E$7:$E$2738,$F928))</f>
        <v/>
      </c>
      <c r="I928" s="16" t="str">
        <f aca="false">IF(INDEX(選手一覧!$J$7:$J$2738,$F928)="","",INDEX(選手一覧!$J$7:$J$2738,$F928))</f>
        <v/>
      </c>
      <c r="J928" s="17" t="str">
        <f aca="false">IF(INDEX(選手一覧!$K$7:$K$2738,$F928)="","",INDEX(選手一覧!$K$7:$K$2738,$F928))</f>
        <v/>
      </c>
    </row>
    <row r="929" customFormat="false" ht="15" hidden="false" customHeight="false" outlineLevel="0" collapsed="false">
      <c r="A929" s="17" t="n">
        <v>925</v>
      </c>
      <c r="B929" s="12" t="s">
        <v>1920</v>
      </c>
      <c r="C929" s="12" t="s">
        <v>125</v>
      </c>
      <c r="D929" s="16" t="n">
        <v>0.00752384259259259</v>
      </c>
      <c r="E929" s="15" t="n">
        <f aca="false">ROUND((D929-$D$5)*86400,2)</f>
        <v>111.04</v>
      </c>
      <c r="F929" s="17" t="n">
        <v>1198</v>
      </c>
      <c r="G929" s="16" t="n">
        <f aca="false">IF(INDEX(選手一覧!$D$7:$D$2738,$F929)="","",INDEX(選手一覧!$D$7:$D$2738,$F929))</f>
        <v>0.0110515046296296</v>
      </c>
      <c r="H929" s="17" t="n">
        <f aca="false">IF(INDEX(選手一覧!$E$7:$E$2738,$F929)="","",INDEX(選手一覧!$E$7:$E$2738,$F929))</f>
        <v>1199</v>
      </c>
      <c r="I929" s="16" t="str">
        <f aca="false">IF(INDEX(選手一覧!$J$7:$J$2738,$F929)="","",INDEX(選手一覧!$J$7:$J$2738,$F929))</f>
        <v/>
      </c>
      <c r="J929" s="17" t="str">
        <f aca="false">IF(INDEX(選手一覧!$K$7:$K$2738,$F929)="","",INDEX(選手一覧!$K$7:$K$2738,$F929))</f>
        <v/>
      </c>
    </row>
    <row r="930" customFormat="false" ht="15" hidden="false" customHeight="false" outlineLevel="0" collapsed="false">
      <c r="A930" s="17" t="n">
        <v>926</v>
      </c>
      <c r="B930" s="12" t="s">
        <v>3260</v>
      </c>
      <c r="C930" s="12" t="s">
        <v>1418</v>
      </c>
      <c r="D930" s="16" t="n">
        <v>0.00752534722222222</v>
      </c>
      <c r="E930" s="15" t="n">
        <f aca="false">ROUND((D930-$D$5)*86400,2)</f>
        <v>111.17</v>
      </c>
      <c r="F930" s="17" t="n">
        <v>2102</v>
      </c>
      <c r="G930" s="16" t="str">
        <f aca="false">IF(INDEX(選手一覧!$D$7:$D$2738,$F930)="","",INDEX(選手一覧!$D$7:$D$2738,$F930))</f>
        <v/>
      </c>
      <c r="H930" s="17" t="str">
        <f aca="false">IF(INDEX(選手一覧!$E$7:$E$2738,$F930)="","",INDEX(選手一覧!$E$7:$E$2738,$F930))</f>
        <v/>
      </c>
      <c r="I930" s="16" t="str">
        <f aca="false">IF(INDEX(選手一覧!$J$7:$J$2738,$F930)="","",INDEX(選手一覧!$J$7:$J$2738,$F930))</f>
        <v/>
      </c>
      <c r="J930" s="17" t="str">
        <f aca="false">IF(INDEX(選手一覧!$K$7:$K$2738,$F930)="","",INDEX(選手一覧!$K$7:$K$2738,$F930))</f>
        <v/>
      </c>
    </row>
    <row r="931" customFormat="false" ht="15" hidden="false" customHeight="false" outlineLevel="0" collapsed="false">
      <c r="A931" s="17" t="n">
        <v>927</v>
      </c>
      <c r="B931" s="12" t="s">
        <v>3261</v>
      </c>
      <c r="C931" s="12" t="s">
        <v>3262</v>
      </c>
      <c r="D931" s="16" t="n">
        <v>0.0075275462962963</v>
      </c>
      <c r="E931" s="15" t="n">
        <f aca="false">ROUND((D931-$D$5)*86400,2)</f>
        <v>111.36</v>
      </c>
      <c r="F931" s="17" t="n">
        <v>2103</v>
      </c>
      <c r="G931" s="16" t="str">
        <f aca="false">IF(INDEX(選手一覧!$D$7:$D$2738,$F931)="","",INDEX(選手一覧!$D$7:$D$2738,$F931))</f>
        <v/>
      </c>
      <c r="H931" s="17" t="str">
        <f aca="false">IF(INDEX(選手一覧!$E$7:$E$2738,$F931)="","",INDEX(選手一覧!$E$7:$E$2738,$F931))</f>
        <v/>
      </c>
      <c r="I931" s="16" t="str">
        <f aca="false">IF(INDEX(選手一覧!$J$7:$J$2738,$F931)="","",INDEX(選手一覧!$J$7:$J$2738,$F931))</f>
        <v/>
      </c>
      <c r="J931" s="17" t="str">
        <f aca="false">IF(INDEX(選手一覧!$K$7:$K$2738,$F931)="","",INDEX(選手一覧!$K$7:$K$2738,$F931))</f>
        <v/>
      </c>
    </row>
    <row r="932" customFormat="false" ht="15" hidden="false" customHeight="false" outlineLevel="0" collapsed="false">
      <c r="A932" s="17" t="n">
        <v>928</v>
      </c>
      <c r="B932" s="12" t="s">
        <v>1056</v>
      </c>
      <c r="C932" s="12" t="s">
        <v>648</v>
      </c>
      <c r="D932" s="16" t="n">
        <v>0.00752777777777778</v>
      </c>
      <c r="E932" s="15" t="n">
        <f aca="false">ROUND((D932-$D$5)*86400,2)</f>
        <v>111.38</v>
      </c>
      <c r="F932" s="17" t="n">
        <v>617</v>
      </c>
      <c r="G932" s="16" t="n">
        <f aca="false">IF(INDEX(選手一覧!$D$7:$D$2738,$F932)="","",INDEX(選手一覧!$D$7:$D$2738,$F932))</f>
        <v>0.0107231481481482</v>
      </c>
      <c r="H932" s="17" t="n">
        <f aca="false">IF(INDEX(選手一覧!$E$7:$E$2738,$F932)="","",INDEX(選手一覧!$E$7:$E$2738,$F932))</f>
        <v>618</v>
      </c>
      <c r="I932" s="16" t="n">
        <f aca="false">IF(INDEX(選手一覧!$J$7:$J$2738,$F932)="","",INDEX(選手一覧!$J$7:$J$2738,$F932))</f>
        <v>0.0029162037037037</v>
      </c>
      <c r="J932" s="17" t="n">
        <f aca="false">IF(INDEX(選手一覧!$K$7:$K$2738,$F932)="","",INDEX(選手一覧!$K$7:$K$2738,$F932))</f>
        <v>1060</v>
      </c>
    </row>
    <row r="933" customFormat="false" ht="15" hidden="false" customHeight="false" outlineLevel="0" collapsed="false">
      <c r="A933" s="17" t="n">
        <v>929</v>
      </c>
      <c r="B933" s="12" t="s">
        <v>3263</v>
      </c>
      <c r="C933" s="12" t="s">
        <v>2541</v>
      </c>
      <c r="D933" s="16" t="n">
        <v>0.00752858796296296</v>
      </c>
      <c r="E933" s="15" t="n">
        <f aca="false">ROUND((D933-$D$5)*86400,2)</f>
        <v>111.45</v>
      </c>
      <c r="F933" s="17" t="n">
        <v>2104</v>
      </c>
      <c r="G933" s="16" t="str">
        <f aca="false">IF(INDEX(選手一覧!$D$7:$D$2738,$F933)="","",INDEX(選手一覧!$D$7:$D$2738,$F933))</f>
        <v/>
      </c>
      <c r="H933" s="17" t="str">
        <f aca="false">IF(INDEX(選手一覧!$E$7:$E$2738,$F933)="","",INDEX(選手一覧!$E$7:$E$2738,$F933))</f>
        <v/>
      </c>
      <c r="I933" s="16" t="str">
        <f aca="false">IF(INDEX(選手一覧!$J$7:$J$2738,$F933)="","",INDEX(選手一覧!$J$7:$J$2738,$F933))</f>
        <v/>
      </c>
      <c r="J933" s="17" t="str">
        <f aca="false">IF(INDEX(選手一覧!$K$7:$K$2738,$F933)="","",INDEX(選手一覧!$K$7:$K$2738,$F933))</f>
        <v/>
      </c>
    </row>
    <row r="934" customFormat="false" ht="15" hidden="false" customHeight="false" outlineLevel="0" collapsed="false">
      <c r="A934" s="17" t="n">
        <v>930</v>
      </c>
      <c r="B934" s="12" t="s">
        <v>3264</v>
      </c>
      <c r="C934" s="12" t="s">
        <v>3241</v>
      </c>
      <c r="D934" s="16" t="n">
        <v>0.00752974537037037</v>
      </c>
      <c r="E934" s="15" t="n">
        <f aca="false">ROUND((D934-$D$5)*86400,2)</f>
        <v>111.55</v>
      </c>
      <c r="F934" s="17" t="n">
        <v>2105</v>
      </c>
      <c r="G934" s="16" t="str">
        <f aca="false">IF(INDEX(選手一覧!$D$7:$D$2738,$F934)="","",INDEX(選手一覧!$D$7:$D$2738,$F934))</f>
        <v/>
      </c>
      <c r="H934" s="17" t="str">
        <f aca="false">IF(INDEX(選手一覧!$E$7:$E$2738,$F934)="","",INDEX(選手一覧!$E$7:$E$2738,$F934))</f>
        <v/>
      </c>
      <c r="I934" s="16" t="str">
        <f aca="false">IF(INDEX(選手一覧!$J$7:$J$2738,$F934)="","",INDEX(選手一覧!$J$7:$J$2738,$F934))</f>
        <v/>
      </c>
      <c r="J934" s="17" t="str">
        <f aca="false">IF(INDEX(選手一覧!$K$7:$K$2738,$F934)="","",INDEX(選手一覧!$K$7:$K$2738,$F934))</f>
        <v/>
      </c>
    </row>
    <row r="935" customFormat="false" ht="15" hidden="false" customHeight="false" outlineLevel="0" collapsed="false">
      <c r="A935" s="17" t="n">
        <v>931</v>
      </c>
      <c r="B935" s="12" t="s">
        <v>3267</v>
      </c>
      <c r="C935" s="12" t="s">
        <v>313</v>
      </c>
      <c r="D935" s="16" t="n">
        <v>0.0075306712962963</v>
      </c>
      <c r="E935" s="15" t="n">
        <f aca="false">ROUND((D935-$D$5)*86400,2)</f>
        <v>111.63</v>
      </c>
      <c r="F935" s="17" t="n">
        <v>2107</v>
      </c>
      <c r="G935" s="16" t="str">
        <f aca="false">IF(INDEX(選手一覧!$D$7:$D$2738,$F935)="","",INDEX(選手一覧!$D$7:$D$2738,$F935))</f>
        <v/>
      </c>
      <c r="H935" s="17" t="str">
        <f aca="false">IF(INDEX(選手一覧!$E$7:$E$2738,$F935)="","",INDEX(選手一覧!$E$7:$E$2738,$F935))</f>
        <v/>
      </c>
      <c r="I935" s="16" t="str">
        <f aca="false">IF(INDEX(選手一覧!$J$7:$J$2738,$F935)="","",INDEX(選手一覧!$J$7:$J$2738,$F935))</f>
        <v/>
      </c>
      <c r="J935" s="17" t="str">
        <f aca="false">IF(INDEX(選手一覧!$K$7:$K$2738,$F935)="","",INDEX(選手一覧!$K$7:$K$2738,$F935))</f>
        <v/>
      </c>
    </row>
    <row r="936" customFormat="false" ht="15" hidden="false" customHeight="false" outlineLevel="0" collapsed="false">
      <c r="A936" s="17" t="n">
        <v>932</v>
      </c>
      <c r="B936" s="12" t="s">
        <v>3268</v>
      </c>
      <c r="C936" s="12" t="s">
        <v>3269</v>
      </c>
      <c r="D936" s="16" t="n">
        <v>0.00753159722222222</v>
      </c>
      <c r="E936" s="15" t="n">
        <f aca="false">ROUND((D936-$D$5)*86400,2)</f>
        <v>111.71</v>
      </c>
      <c r="F936" s="17" t="n">
        <v>2108</v>
      </c>
      <c r="G936" s="16" t="str">
        <f aca="false">IF(INDEX(選手一覧!$D$7:$D$2738,$F936)="","",INDEX(選手一覧!$D$7:$D$2738,$F936))</f>
        <v/>
      </c>
      <c r="H936" s="17" t="str">
        <f aca="false">IF(INDEX(選手一覧!$E$7:$E$2738,$F936)="","",INDEX(選手一覧!$E$7:$E$2738,$F936))</f>
        <v/>
      </c>
      <c r="I936" s="16" t="str">
        <f aca="false">IF(INDEX(選手一覧!$J$7:$J$2738,$F936)="","",INDEX(選手一覧!$J$7:$J$2738,$F936))</f>
        <v/>
      </c>
      <c r="J936" s="17" t="str">
        <f aca="false">IF(INDEX(選手一覧!$K$7:$K$2738,$F936)="","",INDEX(選手一覧!$K$7:$K$2738,$F936))</f>
        <v/>
      </c>
    </row>
    <row r="937" customFormat="false" ht="15" hidden="false" customHeight="false" outlineLevel="0" collapsed="false">
      <c r="A937" s="17" t="n">
        <v>933</v>
      </c>
      <c r="B937" s="12" t="s">
        <v>3270</v>
      </c>
      <c r="C937" s="12" t="s">
        <v>3271</v>
      </c>
      <c r="D937" s="16" t="n">
        <v>0.00753298611111111</v>
      </c>
      <c r="E937" s="15" t="n">
        <f aca="false">ROUND((D937-$D$5)*86400,2)</f>
        <v>111.83</v>
      </c>
      <c r="F937" s="17" t="n">
        <v>2109</v>
      </c>
      <c r="G937" s="16" t="str">
        <f aca="false">IF(INDEX(選手一覧!$D$7:$D$2738,$F937)="","",INDEX(選手一覧!$D$7:$D$2738,$F937))</f>
        <v/>
      </c>
      <c r="H937" s="17" t="str">
        <f aca="false">IF(INDEX(選手一覧!$E$7:$E$2738,$F937)="","",INDEX(選手一覧!$E$7:$E$2738,$F937))</f>
        <v/>
      </c>
      <c r="I937" s="16" t="str">
        <f aca="false">IF(INDEX(選手一覧!$J$7:$J$2738,$F937)="","",INDEX(選手一覧!$J$7:$J$2738,$F937))</f>
        <v/>
      </c>
      <c r="J937" s="17" t="str">
        <f aca="false">IF(INDEX(選手一覧!$K$7:$K$2738,$F937)="","",INDEX(選手一覧!$K$7:$K$2738,$F937))</f>
        <v/>
      </c>
    </row>
    <row r="938" customFormat="false" ht="15" hidden="false" customHeight="false" outlineLevel="0" collapsed="false">
      <c r="A938" s="17" t="n">
        <v>934</v>
      </c>
      <c r="B938" s="12" t="s">
        <v>3274</v>
      </c>
      <c r="C938" s="12" t="s">
        <v>3275</v>
      </c>
      <c r="D938" s="16" t="n">
        <v>0.00753333333333333</v>
      </c>
      <c r="E938" s="15" t="n">
        <f aca="false">ROUND((D938-$D$5)*86400,2)</f>
        <v>111.86</v>
      </c>
      <c r="F938" s="17" t="n">
        <v>2111</v>
      </c>
      <c r="G938" s="16" t="str">
        <f aca="false">IF(INDEX(選手一覧!$D$7:$D$2738,$F938)="","",INDEX(選手一覧!$D$7:$D$2738,$F938))</f>
        <v/>
      </c>
      <c r="H938" s="17" t="str">
        <f aca="false">IF(INDEX(選手一覧!$E$7:$E$2738,$F938)="","",INDEX(選手一覧!$E$7:$E$2738,$F938))</f>
        <v/>
      </c>
      <c r="I938" s="16" t="str">
        <f aca="false">IF(INDEX(選手一覧!$J$7:$J$2738,$F938)="","",INDEX(選手一覧!$J$7:$J$2738,$F938))</f>
        <v/>
      </c>
      <c r="J938" s="17" t="str">
        <f aca="false">IF(INDEX(選手一覧!$K$7:$K$2738,$F938)="","",INDEX(選手一覧!$K$7:$K$2738,$F938))</f>
        <v/>
      </c>
    </row>
    <row r="939" customFormat="false" ht="15" hidden="false" customHeight="false" outlineLevel="0" collapsed="false">
      <c r="A939" s="17" t="n">
        <v>935</v>
      </c>
      <c r="B939" s="12" t="s">
        <v>3276</v>
      </c>
      <c r="C939" s="12" t="s">
        <v>3277</v>
      </c>
      <c r="D939" s="16" t="n">
        <v>0.00753356481481482</v>
      </c>
      <c r="E939" s="15" t="n">
        <f aca="false">ROUND((D939-$D$5)*86400,2)</f>
        <v>111.88</v>
      </c>
      <c r="F939" s="17" t="n">
        <v>2112</v>
      </c>
      <c r="G939" s="16" t="str">
        <f aca="false">IF(INDEX(選手一覧!$D$7:$D$2738,$F939)="","",INDEX(選手一覧!$D$7:$D$2738,$F939))</f>
        <v/>
      </c>
      <c r="H939" s="17" t="str">
        <f aca="false">IF(INDEX(選手一覧!$E$7:$E$2738,$F939)="","",INDEX(選手一覧!$E$7:$E$2738,$F939))</f>
        <v/>
      </c>
      <c r="I939" s="16" t="str">
        <f aca="false">IF(INDEX(選手一覧!$J$7:$J$2738,$F939)="","",INDEX(選手一覧!$J$7:$J$2738,$F939))</f>
        <v/>
      </c>
      <c r="J939" s="17" t="str">
        <f aca="false">IF(INDEX(選手一覧!$K$7:$K$2738,$F939)="","",INDEX(選手一覧!$K$7:$K$2738,$F939))</f>
        <v/>
      </c>
    </row>
    <row r="940" customFormat="false" ht="15" hidden="false" customHeight="false" outlineLevel="0" collapsed="false">
      <c r="A940" s="17" t="n">
        <v>936</v>
      </c>
      <c r="B940" s="12" t="s">
        <v>3278</v>
      </c>
      <c r="C940" s="12" t="s">
        <v>2287</v>
      </c>
      <c r="D940" s="16" t="n">
        <v>0.00753518518518519</v>
      </c>
      <c r="E940" s="15" t="n">
        <f aca="false">ROUND((D940-$D$5)*86400,2)</f>
        <v>112.02</v>
      </c>
      <c r="F940" s="17" t="n">
        <v>2113</v>
      </c>
      <c r="G940" s="16" t="str">
        <f aca="false">IF(INDEX(選手一覧!$D$7:$D$2738,$F940)="","",INDEX(選手一覧!$D$7:$D$2738,$F940))</f>
        <v/>
      </c>
      <c r="H940" s="17" t="str">
        <f aca="false">IF(INDEX(選手一覧!$E$7:$E$2738,$F940)="","",INDEX(選手一覧!$E$7:$E$2738,$F940))</f>
        <v/>
      </c>
      <c r="I940" s="16" t="str">
        <f aca="false">IF(INDEX(選手一覧!$J$7:$J$2738,$F940)="","",INDEX(選手一覧!$J$7:$J$2738,$F940))</f>
        <v/>
      </c>
      <c r="J940" s="17" t="str">
        <f aca="false">IF(INDEX(選手一覧!$K$7:$K$2738,$F940)="","",INDEX(選手一覧!$K$7:$K$2738,$F940))</f>
        <v/>
      </c>
    </row>
    <row r="941" customFormat="false" ht="15" hidden="false" customHeight="false" outlineLevel="0" collapsed="false">
      <c r="A941" s="17" t="n">
        <v>937</v>
      </c>
      <c r="B941" s="12" t="s">
        <v>3281</v>
      </c>
      <c r="C941" s="12" t="s">
        <v>1595</v>
      </c>
      <c r="D941" s="16" t="n">
        <v>0.00753541666666667</v>
      </c>
      <c r="E941" s="15" t="n">
        <f aca="false">ROUND((D941-$D$5)*86400,2)</f>
        <v>112.04</v>
      </c>
      <c r="F941" s="17" t="n">
        <v>2115</v>
      </c>
      <c r="G941" s="16" t="str">
        <f aca="false">IF(INDEX(選手一覧!$D$7:$D$2738,$F941)="","",INDEX(選手一覧!$D$7:$D$2738,$F941))</f>
        <v/>
      </c>
      <c r="H941" s="17" t="str">
        <f aca="false">IF(INDEX(選手一覧!$E$7:$E$2738,$F941)="","",INDEX(選手一覧!$E$7:$E$2738,$F941))</f>
        <v/>
      </c>
      <c r="I941" s="16" t="str">
        <f aca="false">IF(INDEX(選手一覧!$J$7:$J$2738,$F941)="","",INDEX(選手一覧!$J$7:$J$2738,$F941))</f>
        <v/>
      </c>
      <c r="J941" s="17" t="str">
        <f aca="false">IF(INDEX(選手一覧!$K$7:$K$2738,$F941)="","",INDEX(選手一覧!$K$7:$K$2738,$F941))</f>
        <v/>
      </c>
    </row>
    <row r="942" customFormat="false" ht="15" hidden="false" customHeight="false" outlineLevel="0" collapsed="false">
      <c r="A942" s="17" t="n">
        <v>938</v>
      </c>
      <c r="B942" s="12" t="s">
        <v>3283</v>
      </c>
      <c r="C942" s="12" t="s">
        <v>2816</v>
      </c>
      <c r="D942" s="16" t="n">
        <v>0.00753564814814815</v>
      </c>
      <c r="E942" s="15" t="n">
        <f aca="false">ROUND((D942-$D$5)*86400,2)</f>
        <v>112.06</v>
      </c>
      <c r="F942" s="17" t="n">
        <v>2117</v>
      </c>
      <c r="G942" s="16" t="str">
        <f aca="false">IF(INDEX(選手一覧!$D$7:$D$2738,$F942)="","",INDEX(選手一覧!$D$7:$D$2738,$F942))</f>
        <v/>
      </c>
      <c r="H942" s="17" t="str">
        <f aca="false">IF(INDEX(選手一覧!$E$7:$E$2738,$F942)="","",INDEX(選手一覧!$E$7:$E$2738,$F942))</f>
        <v/>
      </c>
      <c r="I942" s="16" t="str">
        <f aca="false">IF(INDEX(選手一覧!$J$7:$J$2738,$F942)="","",INDEX(選手一覧!$J$7:$J$2738,$F942))</f>
        <v/>
      </c>
      <c r="J942" s="17" t="str">
        <f aca="false">IF(INDEX(選手一覧!$K$7:$K$2738,$F942)="","",INDEX(選手一覧!$K$7:$K$2738,$F942))</f>
        <v/>
      </c>
    </row>
    <row r="943" customFormat="false" ht="15" hidden="false" customHeight="false" outlineLevel="0" collapsed="false">
      <c r="A943" s="17" t="n">
        <v>939</v>
      </c>
      <c r="B943" s="12" t="s">
        <v>3284</v>
      </c>
      <c r="C943" s="12" t="s">
        <v>3285</v>
      </c>
      <c r="D943" s="16" t="n">
        <v>0.00753599537037037</v>
      </c>
      <c r="E943" s="15" t="n">
        <f aca="false">ROUND((D943-$D$5)*86400,2)</f>
        <v>112.09</v>
      </c>
      <c r="F943" s="17" t="n">
        <v>2118</v>
      </c>
      <c r="G943" s="16" t="str">
        <f aca="false">IF(INDEX(選手一覧!$D$7:$D$2738,$F943)="","",INDEX(選手一覧!$D$7:$D$2738,$F943))</f>
        <v/>
      </c>
      <c r="H943" s="17" t="str">
        <f aca="false">IF(INDEX(選手一覧!$E$7:$E$2738,$F943)="","",INDEX(選手一覧!$E$7:$E$2738,$F943))</f>
        <v/>
      </c>
      <c r="I943" s="16" t="str">
        <f aca="false">IF(INDEX(選手一覧!$J$7:$J$2738,$F943)="","",INDEX(選手一覧!$J$7:$J$2738,$F943))</f>
        <v/>
      </c>
      <c r="J943" s="17" t="str">
        <f aca="false">IF(INDEX(選手一覧!$K$7:$K$2738,$F943)="","",INDEX(選手一覧!$K$7:$K$2738,$F943))</f>
        <v/>
      </c>
    </row>
    <row r="944" customFormat="false" ht="15" hidden="false" customHeight="false" outlineLevel="0" collapsed="false">
      <c r="A944" s="17" t="n">
        <v>940</v>
      </c>
      <c r="B944" s="12" t="s">
        <v>1701</v>
      </c>
      <c r="C944" s="12" t="s">
        <v>320</v>
      </c>
      <c r="D944" s="16" t="n">
        <v>0.00753622685185185</v>
      </c>
      <c r="E944" s="15" t="n">
        <f aca="false">ROUND((D944-$D$5)*86400,2)</f>
        <v>112.11</v>
      </c>
      <c r="F944" s="17" t="n">
        <v>1049</v>
      </c>
      <c r="G944" s="16" t="n">
        <f aca="false">IF(INDEX(選手一覧!$D$7:$D$2738,$F944)="","",INDEX(選手一覧!$D$7:$D$2738,$F944))</f>
        <v>0.0109751157407407</v>
      </c>
      <c r="H944" s="17" t="n">
        <f aca="false">IF(INDEX(選手一覧!$E$7:$E$2738,$F944)="","",INDEX(選手一覧!$E$7:$E$2738,$F944))</f>
        <v>1050</v>
      </c>
      <c r="I944" s="16" t="str">
        <f aca="false">IF(INDEX(選手一覧!$J$7:$J$2738,$F944)="","",INDEX(選手一覧!$J$7:$J$2738,$F944))</f>
        <v/>
      </c>
      <c r="J944" s="17" t="str">
        <f aca="false">IF(INDEX(選手一覧!$K$7:$K$2738,$F944)="","",INDEX(選手一覧!$K$7:$K$2738,$F944))</f>
        <v/>
      </c>
    </row>
    <row r="945" customFormat="false" ht="15" hidden="false" customHeight="false" outlineLevel="0" collapsed="false">
      <c r="A945" s="17" t="n">
        <v>941</v>
      </c>
      <c r="B945" s="12" t="s">
        <v>3287</v>
      </c>
      <c r="C945" s="12" t="s">
        <v>3288</v>
      </c>
      <c r="D945" s="16" t="n">
        <v>0.00753657407407407</v>
      </c>
      <c r="E945" s="15" t="n">
        <f aca="false">ROUND((D945-$D$5)*86400,2)</f>
        <v>112.14</v>
      </c>
      <c r="F945" s="17" t="n">
        <v>2120</v>
      </c>
      <c r="G945" s="16" t="str">
        <f aca="false">IF(INDEX(選手一覧!$D$7:$D$2738,$F945)="","",INDEX(選手一覧!$D$7:$D$2738,$F945))</f>
        <v/>
      </c>
      <c r="H945" s="17" t="str">
        <f aca="false">IF(INDEX(選手一覧!$E$7:$E$2738,$F945)="","",INDEX(選手一覧!$E$7:$E$2738,$F945))</f>
        <v/>
      </c>
      <c r="I945" s="16" t="str">
        <f aca="false">IF(INDEX(選手一覧!$J$7:$J$2738,$F945)="","",INDEX(選手一覧!$J$7:$J$2738,$F945))</f>
        <v/>
      </c>
      <c r="J945" s="17" t="str">
        <f aca="false">IF(INDEX(選手一覧!$K$7:$K$2738,$F945)="","",INDEX(選手一覧!$K$7:$K$2738,$F945))</f>
        <v/>
      </c>
    </row>
    <row r="946" customFormat="false" ht="15" hidden="false" customHeight="false" outlineLevel="0" collapsed="false">
      <c r="A946" s="17" t="n">
        <v>942</v>
      </c>
      <c r="B946" s="12" t="s">
        <v>3289</v>
      </c>
      <c r="C946" s="12" t="s">
        <v>4765</v>
      </c>
      <c r="D946" s="16" t="n">
        <v>0.00753773148148148</v>
      </c>
      <c r="E946" s="15" t="n">
        <f aca="false">ROUND((D946-$D$5)*86400,2)</f>
        <v>112.24</v>
      </c>
      <c r="F946" s="17" t="n">
        <v>2121</v>
      </c>
      <c r="G946" s="16" t="str">
        <f aca="false">IF(INDEX(選手一覧!$D$7:$D$2738,$F946)="","",INDEX(選手一覧!$D$7:$D$2738,$F946))</f>
        <v/>
      </c>
      <c r="H946" s="17" t="str">
        <f aca="false">IF(INDEX(選手一覧!$E$7:$E$2738,$F946)="","",INDEX(選手一覧!$E$7:$E$2738,$F946))</f>
        <v/>
      </c>
      <c r="I946" s="16" t="n">
        <f aca="false">IF(INDEX(選手一覧!$J$7:$J$2738,$F946)="","",INDEX(選手一覧!$J$7:$J$2738,$F946))</f>
        <v>0.00295590277777778</v>
      </c>
      <c r="J946" s="17" t="n">
        <f aca="false">IF(INDEX(選手一覧!$K$7:$K$2738,$F946)="","",INDEX(選手一覧!$K$7:$K$2738,$F946))</f>
        <v>1257</v>
      </c>
    </row>
    <row r="947" customFormat="false" ht="15" hidden="false" customHeight="false" outlineLevel="0" collapsed="false">
      <c r="A947" s="17" t="n">
        <v>943</v>
      </c>
      <c r="B947" s="12" t="s">
        <v>3292</v>
      </c>
      <c r="C947" s="12" t="s">
        <v>1775</v>
      </c>
      <c r="D947" s="16" t="n">
        <v>0.00753854166666667</v>
      </c>
      <c r="E947" s="15" t="n">
        <f aca="false">ROUND((D947-$D$5)*86400,2)</f>
        <v>112.31</v>
      </c>
      <c r="F947" s="17" t="n">
        <v>2122</v>
      </c>
      <c r="G947" s="16" t="str">
        <f aca="false">IF(INDEX(選手一覧!$D$7:$D$2738,$F947)="","",INDEX(選手一覧!$D$7:$D$2738,$F947))</f>
        <v/>
      </c>
      <c r="H947" s="17" t="str">
        <f aca="false">IF(INDEX(選手一覧!$E$7:$E$2738,$F947)="","",INDEX(選手一覧!$E$7:$E$2738,$F947))</f>
        <v/>
      </c>
      <c r="I947" s="16" t="str">
        <f aca="false">IF(INDEX(選手一覧!$J$7:$J$2738,$F947)="","",INDEX(選手一覧!$J$7:$J$2738,$F947))</f>
        <v/>
      </c>
      <c r="J947" s="17" t="str">
        <f aca="false">IF(INDEX(選手一覧!$K$7:$K$2738,$F947)="","",INDEX(選手一覧!$K$7:$K$2738,$F947))</f>
        <v/>
      </c>
    </row>
    <row r="948" customFormat="false" ht="15" hidden="false" customHeight="false" outlineLevel="0" collapsed="false">
      <c r="A948" s="17" t="n">
        <v>944</v>
      </c>
      <c r="B948" s="12" t="s">
        <v>3295</v>
      </c>
      <c r="C948" s="12" t="s">
        <v>3296</v>
      </c>
      <c r="D948" s="16" t="n">
        <v>0.00753946759259259</v>
      </c>
      <c r="E948" s="15" t="n">
        <f aca="false">ROUND((D948-$D$5)*86400,2)</f>
        <v>112.39</v>
      </c>
      <c r="F948" s="17" t="n">
        <v>2124</v>
      </c>
      <c r="G948" s="16" t="str">
        <f aca="false">IF(INDEX(選手一覧!$D$7:$D$2738,$F948)="","",INDEX(選手一覧!$D$7:$D$2738,$F948))</f>
        <v/>
      </c>
      <c r="H948" s="17" t="str">
        <f aca="false">IF(INDEX(選手一覧!$E$7:$E$2738,$F948)="","",INDEX(選手一覧!$E$7:$E$2738,$F948))</f>
        <v/>
      </c>
      <c r="I948" s="16" t="str">
        <f aca="false">IF(INDEX(選手一覧!$J$7:$J$2738,$F948)="","",INDEX(選手一覧!$J$7:$J$2738,$F948))</f>
        <v/>
      </c>
      <c r="J948" s="17" t="str">
        <f aca="false">IF(INDEX(選手一覧!$K$7:$K$2738,$F948)="","",INDEX(選手一覧!$K$7:$K$2738,$F948))</f>
        <v/>
      </c>
    </row>
    <row r="949" customFormat="false" ht="15" hidden="false" customHeight="false" outlineLevel="0" collapsed="false">
      <c r="A949" s="17" t="n">
        <v>945</v>
      </c>
      <c r="B949" s="12" t="s">
        <v>3297</v>
      </c>
      <c r="C949" s="12" t="s">
        <v>3298</v>
      </c>
      <c r="D949" s="16" t="n">
        <v>0.00753946759259259</v>
      </c>
      <c r="E949" s="15" t="n">
        <f aca="false">ROUND((D949-$D$5)*86400,2)</f>
        <v>112.39</v>
      </c>
      <c r="F949" s="17" t="n">
        <v>2125</v>
      </c>
      <c r="G949" s="16" t="str">
        <f aca="false">IF(INDEX(選手一覧!$D$7:$D$2738,$F949)="","",INDEX(選手一覧!$D$7:$D$2738,$F949))</f>
        <v/>
      </c>
      <c r="H949" s="17" t="str">
        <f aca="false">IF(INDEX(選手一覧!$E$7:$E$2738,$F949)="","",INDEX(選手一覧!$E$7:$E$2738,$F949))</f>
        <v/>
      </c>
      <c r="I949" s="16" t="str">
        <f aca="false">IF(INDEX(選手一覧!$J$7:$J$2738,$F949)="","",INDEX(選手一覧!$J$7:$J$2738,$F949))</f>
        <v/>
      </c>
      <c r="J949" s="17" t="str">
        <f aca="false">IF(INDEX(選手一覧!$K$7:$K$2738,$F949)="","",INDEX(選手一覧!$K$7:$K$2738,$F949))</f>
        <v/>
      </c>
    </row>
    <row r="950" customFormat="false" ht="15" hidden="false" customHeight="false" outlineLevel="0" collapsed="false">
      <c r="A950" s="17" t="n">
        <v>946</v>
      </c>
      <c r="B950" s="12" t="s">
        <v>3301</v>
      </c>
      <c r="C950" s="12" t="s">
        <v>615</v>
      </c>
      <c r="D950" s="16" t="n">
        <v>0.00754155092592593</v>
      </c>
      <c r="E950" s="15" t="n">
        <f aca="false">ROUND((D950-$D$5)*86400,2)</f>
        <v>112.57</v>
      </c>
      <c r="F950" s="17" t="n">
        <v>2127</v>
      </c>
      <c r="G950" s="16" t="str">
        <f aca="false">IF(INDEX(選手一覧!$D$7:$D$2738,$F950)="","",INDEX(選手一覧!$D$7:$D$2738,$F950))</f>
        <v/>
      </c>
      <c r="H950" s="17" t="str">
        <f aca="false">IF(INDEX(選手一覧!$E$7:$E$2738,$F950)="","",INDEX(選手一覧!$E$7:$E$2738,$F950))</f>
        <v/>
      </c>
      <c r="I950" s="16" t="str">
        <f aca="false">IF(INDEX(選手一覧!$J$7:$J$2738,$F950)="","",INDEX(選手一覧!$J$7:$J$2738,$F950))</f>
        <v/>
      </c>
      <c r="J950" s="17" t="str">
        <f aca="false">IF(INDEX(選手一覧!$K$7:$K$2738,$F950)="","",INDEX(選手一覧!$K$7:$K$2738,$F950))</f>
        <v/>
      </c>
    </row>
    <row r="951" customFormat="false" ht="15" hidden="false" customHeight="false" outlineLevel="0" collapsed="false">
      <c r="A951" s="17" t="n">
        <v>947</v>
      </c>
      <c r="B951" s="12" t="s">
        <v>3302</v>
      </c>
      <c r="C951" s="12" t="s">
        <v>3303</v>
      </c>
      <c r="D951" s="16" t="n">
        <v>0.00754236111111111</v>
      </c>
      <c r="E951" s="15" t="n">
        <f aca="false">ROUND((D951-$D$5)*86400,2)</f>
        <v>112.64</v>
      </c>
      <c r="F951" s="17" t="n">
        <v>2128</v>
      </c>
      <c r="G951" s="16" t="str">
        <f aca="false">IF(INDEX(選手一覧!$D$7:$D$2738,$F951)="","",INDEX(選手一覧!$D$7:$D$2738,$F951))</f>
        <v/>
      </c>
      <c r="H951" s="17" t="str">
        <f aca="false">IF(INDEX(選手一覧!$E$7:$E$2738,$F951)="","",INDEX(選手一覧!$E$7:$E$2738,$F951))</f>
        <v/>
      </c>
      <c r="I951" s="16" t="str">
        <f aca="false">IF(INDEX(選手一覧!$J$7:$J$2738,$F951)="","",INDEX(選手一覧!$J$7:$J$2738,$F951))</f>
        <v/>
      </c>
      <c r="J951" s="17" t="str">
        <f aca="false">IF(INDEX(選手一覧!$K$7:$K$2738,$F951)="","",INDEX(選手一覧!$K$7:$K$2738,$F951))</f>
        <v/>
      </c>
    </row>
    <row r="952" customFormat="false" ht="15" hidden="false" customHeight="false" outlineLevel="0" collapsed="false">
      <c r="A952" s="17" t="n">
        <v>948</v>
      </c>
      <c r="B952" s="12" t="s">
        <v>3304</v>
      </c>
      <c r="C952" s="12" t="s">
        <v>2453</v>
      </c>
      <c r="D952" s="16" t="n">
        <v>0.00754363425925926</v>
      </c>
      <c r="E952" s="15" t="n">
        <f aca="false">ROUND((D952-$D$5)*86400,2)</f>
        <v>112.75</v>
      </c>
      <c r="F952" s="17" t="n">
        <v>2129</v>
      </c>
      <c r="G952" s="16" t="str">
        <f aca="false">IF(INDEX(選手一覧!$D$7:$D$2738,$F952)="","",INDEX(選手一覧!$D$7:$D$2738,$F952))</f>
        <v/>
      </c>
      <c r="H952" s="17" t="str">
        <f aca="false">IF(INDEX(選手一覧!$E$7:$E$2738,$F952)="","",INDEX(選手一覧!$E$7:$E$2738,$F952))</f>
        <v/>
      </c>
      <c r="I952" s="16" t="str">
        <f aca="false">IF(INDEX(選手一覧!$J$7:$J$2738,$F952)="","",INDEX(選手一覧!$J$7:$J$2738,$F952))</f>
        <v/>
      </c>
      <c r="J952" s="17" t="str">
        <f aca="false">IF(INDEX(選手一覧!$K$7:$K$2738,$F952)="","",INDEX(選手一覧!$K$7:$K$2738,$F952))</f>
        <v/>
      </c>
    </row>
    <row r="953" customFormat="false" ht="15" hidden="false" customHeight="false" outlineLevel="0" collapsed="false">
      <c r="A953" s="17" t="n">
        <v>949</v>
      </c>
      <c r="B953" s="12" t="s">
        <v>3305</v>
      </c>
      <c r="C953" s="12" t="s">
        <v>3306</v>
      </c>
      <c r="D953" s="16" t="n">
        <v>0.00754421296296296</v>
      </c>
      <c r="E953" s="15" t="n">
        <f aca="false">ROUND((D953-$D$5)*86400,2)</f>
        <v>112.8</v>
      </c>
      <c r="F953" s="17" t="n">
        <v>2130</v>
      </c>
      <c r="G953" s="16" t="str">
        <f aca="false">IF(INDEX(選手一覧!$D$7:$D$2738,$F953)="","",INDEX(選手一覧!$D$7:$D$2738,$F953))</f>
        <v/>
      </c>
      <c r="H953" s="17" t="str">
        <f aca="false">IF(INDEX(選手一覧!$E$7:$E$2738,$F953)="","",INDEX(選手一覧!$E$7:$E$2738,$F953))</f>
        <v/>
      </c>
      <c r="I953" s="16" t="str">
        <f aca="false">IF(INDEX(選手一覧!$J$7:$J$2738,$F953)="","",INDEX(選手一覧!$J$7:$J$2738,$F953))</f>
        <v/>
      </c>
      <c r="J953" s="17" t="str">
        <f aca="false">IF(INDEX(選手一覧!$K$7:$K$2738,$F953)="","",INDEX(選手一覧!$K$7:$K$2738,$F953))</f>
        <v/>
      </c>
    </row>
    <row r="954" customFormat="false" ht="15" hidden="false" customHeight="false" outlineLevel="0" collapsed="false">
      <c r="A954" s="17" t="n">
        <v>950</v>
      </c>
      <c r="B954" s="12" t="s">
        <v>3308</v>
      </c>
      <c r="C954" s="12" t="s">
        <v>1396</v>
      </c>
      <c r="D954" s="16" t="n">
        <v>0.00754513888888889</v>
      </c>
      <c r="E954" s="15" t="n">
        <f aca="false">ROUND((D954-$D$5)*86400,2)</f>
        <v>112.88</v>
      </c>
      <c r="F954" s="17" t="n">
        <v>2132</v>
      </c>
      <c r="G954" s="16" t="str">
        <f aca="false">IF(INDEX(選手一覧!$D$7:$D$2738,$F954)="","",INDEX(選手一覧!$D$7:$D$2738,$F954))</f>
        <v/>
      </c>
      <c r="H954" s="17" t="str">
        <f aca="false">IF(INDEX(選手一覧!$E$7:$E$2738,$F954)="","",INDEX(選手一覧!$E$7:$E$2738,$F954))</f>
        <v/>
      </c>
      <c r="I954" s="16" t="str">
        <f aca="false">IF(INDEX(選手一覧!$J$7:$J$2738,$F954)="","",INDEX(選手一覧!$J$7:$J$2738,$F954))</f>
        <v/>
      </c>
      <c r="J954" s="17" t="str">
        <f aca="false">IF(INDEX(選手一覧!$K$7:$K$2738,$F954)="","",INDEX(選手一覧!$K$7:$K$2738,$F954))</f>
        <v/>
      </c>
    </row>
    <row r="955" customFormat="false" ht="15" hidden="false" customHeight="false" outlineLevel="0" collapsed="false">
      <c r="A955" s="17" t="n">
        <v>951</v>
      </c>
      <c r="B955" s="12" t="s">
        <v>3309</v>
      </c>
      <c r="C955" s="12" t="s">
        <v>2649</v>
      </c>
      <c r="D955" s="16" t="n">
        <v>0.00754537037037037</v>
      </c>
      <c r="E955" s="15" t="n">
        <f aca="false">ROUND((D955-$D$5)*86400,2)</f>
        <v>112.9</v>
      </c>
      <c r="F955" s="17" t="n">
        <v>2133</v>
      </c>
      <c r="G955" s="16" t="str">
        <f aca="false">IF(INDEX(選手一覧!$D$7:$D$2738,$F955)="","",INDEX(選手一覧!$D$7:$D$2738,$F955))</f>
        <v/>
      </c>
      <c r="H955" s="17" t="str">
        <f aca="false">IF(INDEX(選手一覧!$E$7:$E$2738,$F955)="","",INDEX(選手一覧!$E$7:$E$2738,$F955))</f>
        <v/>
      </c>
      <c r="I955" s="16" t="str">
        <f aca="false">IF(INDEX(選手一覧!$J$7:$J$2738,$F955)="","",INDEX(選手一覧!$J$7:$J$2738,$F955))</f>
        <v/>
      </c>
      <c r="J955" s="17" t="str">
        <f aca="false">IF(INDEX(選手一覧!$K$7:$K$2738,$F955)="","",INDEX(選手一覧!$K$7:$K$2738,$F955))</f>
        <v/>
      </c>
    </row>
    <row r="956" customFormat="false" ht="15" hidden="false" customHeight="false" outlineLevel="0" collapsed="false">
      <c r="A956" s="17" t="n">
        <v>952</v>
      </c>
      <c r="B956" s="12" t="s">
        <v>3310</v>
      </c>
      <c r="C956" s="12" t="s">
        <v>3311</v>
      </c>
      <c r="D956" s="16" t="n">
        <v>0.00754594907407408</v>
      </c>
      <c r="E956" s="15" t="n">
        <f aca="false">ROUND((D956-$D$5)*86400,2)</f>
        <v>112.95</v>
      </c>
      <c r="F956" s="17" t="n">
        <v>2134</v>
      </c>
      <c r="G956" s="16" t="str">
        <f aca="false">IF(INDEX(選手一覧!$D$7:$D$2738,$F956)="","",INDEX(選手一覧!$D$7:$D$2738,$F956))</f>
        <v/>
      </c>
      <c r="H956" s="17" t="str">
        <f aca="false">IF(INDEX(選手一覧!$E$7:$E$2738,$F956)="","",INDEX(選手一覧!$E$7:$E$2738,$F956))</f>
        <v/>
      </c>
      <c r="I956" s="16" t="str">
        <f aca="false">IF(INDEX(選手一覧!$J$7:$J$2738,$F956)="","",INDEX(選手一覧!$J$7:$J$2738,$F956))</f>
        <v/>
      </c>
      <c r="J956" s="17" t="str">
        <f aca="false">IF(INDEX(選手一覧!$K$7:$K$2738,$F956)="","",INDEX(選手一覧!$K$7:$K$2738,$F956))</f>
        <v/>
      </c>
    </row>
    <row r="957" customFormat="false" ht="15" hidden="false" customHeight="false" outlineLevel="0" collapsed="false">
      <c r="A957" s="17" t="n">
        <v>953</v>
      </c>
      <c r="B957" s="12" t="s">
        <v>3313</v>
      </c>
      <c r="C957" s="12" t="s">
        <v>2176</v>
      </c>
      <c r="D957" s="16" t="n">
        <v>0.00754768518518519</v>
      </c>
      <c r="E957" s="15" t="n">
        <f aca="false">ROUND((D957-$D$5)*86400,2)</f>
        <v>113.1</v>
      </c>
      <c r="F957" s="17" t="n">
        <v>2136</v>
      </c>
      <c r="G957" s="16" t="str">
        <f aca="false">IF(INDEX(選手一覧!$D$7:$D$2738,$F957)="","",INDEX(選手一覧!$D$7:$D$2738,$F957))</f>
        <v/>
      </c>
      <c r="H957" s="17" t="str">
        <f aca="false">IF(INDEX(選手一覧!$E$7:$E$2738,$F957)="","",INDEX(選手一覧!$E$7:$E$2738,$F957))</f>
        <v/>
      </c>
      <c r="I957" s="16" t="str">
        <f aca="false">IF(INDEX(選手一覧!$J$7:$J$2738,$F957)="","",INDEX(選手一覧!$J$7:$J$2738,$F957))</f>
        <v/>
      </c>
      <c r="J957" s="17" t="str">
        <f aca="false">IF(INDEX(選手一覧!$K$7:$K$2738,$F957)="","",INDEX(選手一覧!$K$7:$K$2738,$F957))</f>
        <v/>
      </c>
    </row>
    <row r="958" customFormat="false" ht="15" hidden="false" customHeight="false" outlineLevel="0" collapsed="false">
      <c r="A958" s="17" t="n">
        <v>954</v>
      </c>
      <c r="B958" s="12" t="s">
        <v>3314</v>
      </c>
      <c r="C958" s="12" t="s">
        <v>1415</v>
      </c>
      <c r="D958" s="16" t="n">
        <v>0.00754861111111111</v>
      </c>
      <c r="E958" s="15" t="n">
        <f aca="false">ROUND((D958-$D$5)*86400,2)</f>
        <v>113.18</v>
      </c>
      <c r="F958" s="17" t="n">
        <v>2137</v>
      </c>
      <c r="G958" s="16" t="str">
        <f aca="false">IF(INDEX(選手一覧!$D$7:$D$2738,$F958)="","",INDEX(選手一覧!$D$7:$D$2738,$F958))</f>
        <v/>
      </c>
      <c r="H958" s="17" t="str">
        <f aca="false">IF(INDEX(選手一覧!$E$7:$E$2738,$F958)="","",INDEX(選手一覧!$E$7:$E$2738,$F958))</f>
        <v/>
      </c>
      <c r="I958" s="16" t="str">
        <f aca="false">IF(INDEX(選手一覧!$J$7:$J$2738,$F958)="","",INDEX(選手一覧!$J$7:$J$2738,$F958))</f>
        <v/>
      </c>
      <c r="J958" s="17" t="str">
        <f aca="false">IF(INDEX(選手一覧!$K$7:$K$2738,$F958)="","",INDEX(選手一覧!$K$7:$K$2738,$F958))</f>
        <v/>
      </c>
    </row>
    <row r="959" customFormat="false" ht="15" hidden="false" customHeight="false" outlineLevel="0" collapsed="false">
      <c r="A959" s="17" t="n">
        <v>955</v>
      </c>
      <c r="B959" s="12" t="s">
        <v>3315</v>
      </c>
      <c r="C959" s="12" t="s">
        <v>996</v>
      </c>
      <c r="D959" s="16" t="n">
        <v>0.00754884259259259</v>
      </c>
      <c r="E959" s="15" t="n">
        <f aca="false">ROUND((D959-$D$5)*86400,2)</f>
        <v>113.2</v>
      </c>
      <c r="F959" s="17" t="n">
        <v>2138</v>
      </c>
      <c r="G959" s="16" t="str">
        <f aca="false">IF(INDEX(選手一覧!$D$7:$D$2738,$F959)="","",INDEX(選手一覧!$D$7:$D$2738,$F959))</f>
        <v/>
      </c>
      <c r="H959" s="17" t="str">
        <f aca="false">IF(INDEX(選手一覧!$E$7:$E$2738,$F959)="","",INDEX(選手一覧!$E$7:$E$2738,$F959))</f>
        <v/>
      </c>
      <c r="I959" s="16" t="str">
        <f aca="false">IF(INDEX(選手一覧!$J$7:$J$2738,$F959)="","",INDEX(選手一覧!$J$7:$J$2738,$F959))</f>
        <v/>
      </c>
      <c r="J959" s="17" t="str">
        <f aca="false">IF(INDEX(選手一覧!$K$7:$K$2738,$F959)="","",INDEX(選手一覧!$K$7:$K$2738,$F959))</f>
        <v/>
      </c>
    </row>
    <row r="960" customFormat="false" ht="15" hidden="false" customHeight="false" outlineLevel="0" collapsed="false">
      <c r="A960" s="17" t="n">
        <v>956</v>
      </c>
      <c r="B960" s="12" t="s">
        <v>3318</v>
      </c>
      <c r="C960" s="12" t="s">
        <v>179</v>
      </c>
      <c r="D960" s="16" t="n">
        <v>0.00754907407407407</v>
      </c>
      <c r="E960" s="15" t="n">
        <f aca="false">ROUND((D960-$D$5)*86400,2)</f>
        <v>113.22</v>
      </c>
      <c r="F960" s="17" t="n">
        <v>2140</v>
      </c>
      <c r="G960" s="16" t="str">
        <f aca="false">IF(INDEX(選手一覧!$D$7:$D$2738,$F960)="","",INDEX(選手一覧!$D$7:$D$2738,$F960))</f>
        <v/>
      </c>
      <c r="H960" s="17" t="str">
        <f aca="false">IF(INDEX(選手一覧!$E$7:$E$2738,$F960)="","",INDEX(選手一覧!$E$7:$E$2738,$F960))</f>
        <v/>
      </c>
      <c r="I960" s="16" t="str">
        <f aca="false">IF(INDEX(選手一覧!$J$7:$J$2738,$F960)="","",INDEX(選手一覧!$J$7:$J$2738,$F960))</f>
        <v/>
      </c>
      <c r="J960" s="17" t="str">
        <f aca="false">IF(INDEX(選手一覧!$K$7:$K$2738,$F960)="","",INDEX(選手一覧!$K$7:$K$2738,$F960))</f>
        <v/>
      </c>
    </row>
    <row r="961" customFormat="false" ht="15" hidden="false" customHeight="false" outlineLevel="0" collapsed="false">
      <c r="A961" s="17" t="n">
        <v>957</v>
      </c>
      <c r="B961" s="12" t="s">
        <v>1806</v>
      </c>
      <c r="C961" s="12" t="s">
        <v>1807</v>
      </c>
      <c r="D961" s="16" t="n">
        <v>0.00754918981481482</v>
      </c>
      <c r="E961" s="15" t="n">
        <f aca="false">ROUND((D961-$D$5)*86400,2)</f>
        <v>113.23</v>
      </c>
      <c r="F961" s="17" t="n">
        <v>1119</v>
      </c>
      <c r="G961" s="16" t="n">
        <f aca="false">IF(INDEX(選手一覧!$D$7:$D$2738,$F961)="","",INDEX(選手一覧!$D$7:$D$2738,$F961))</f>
        <v>0.0110162037037037</v>
      </c>
      <c r="H961" s="17" t="n">
        <f aca="false">IF(INDEX(選手一覧!$E$7:$E$2738,$F961)="","",INDEX(選手一覧!$E$7:$E$2738,$F961))</f>
        <v>1120</v>
      </c>
      <c r="I961" s="16" t="str">
        <f aca="false">IF(INDEX(選手一覧!$J$7:$J$2738,$F961)="","",INDEX(選手一覧!$J$7:$J$2738,$F961))</f>
        <v/>
      </c>
      <c r="J961" s="17" t="str">
        <f aca="false">IF(INDEX(選手一覧!$K$7:$K$2738,$F961)="","",INDEX(選手一覧!$K$7:$K$2738,$F961))</f>
        <v/>
      </c>
    </row>
    <row r="962" customFormat="false" ht="15" hidden="false" customHeight="false" outlineLevel="0" collapsed="false">
      <c r="A962" s="17" t="n">
        <v>958</v>
      </c>
      <c r="B962" s="12" t="s">
        <v>3321</v>
      </c>
      <c r="C962" s="12" t="s">
        <v>3322</v>
      </c>
      <c r="D962" s="16" t="n">
        <v>0.00755219907407407</v>
      </c>
      <c r="E962" s="15" t="n">
        <f aca="false">ROUND((D962-$D$5)*86400,2)</f>
        <v>113.49</v>
      </c>
      <c r="F962" s="17" t="n">
        <v>2142</v>
      </c>
      <c r="G962" s="16" t="str">
        <f aca="false">IF(INDEX(選手一覧!$D$7:$D$2738,$F962)="","",INDEX(選手一覧!$D$7:$D$2738,$F962))</f>
        <v/>
      </c>
      <c r="H962" s="17" t="str">
        <f aca="false">IF(INDEX(選手一覧!$E$7:$E$2738,$F962)="","",INDEX(選手一覧!$E$7:$E$2738,$F962))</f>
        <v/>
      </c>
      <c r="I962" s="16" t="str">
        <f aca="false">IF(INDEX(選手一覧!$J$7:$J$2738,$F962)="","",INDEX(選手一覧!$J$7:$J$2738,$F962))</f>
        <v/>
      </c>
      <c r="J962" s="17" t="str">
        <f aca="false">IF(INDEX(選手一覧!$K$7:$K$2738,$F962)="","",INDEX(選手一覧!$K$7:$K$2738,$F962))</f>
        <v/>
      </c>
    </row>
    <row r="963" customFormat="false" ht="15" hidden="false" customHeight="false" outlineLevel="0" collapsed="false">
      <c r="A963" s="17" t="n">
        <v>959</v>
      </c>
      <c r="B963" s="12" t="s">
        <v>3323</v>
      </c>
      <c r="C963" s="12" t="s">
        <v>1852</v>
      </c>
      <c r="D963" s="16" t="n">
        <v>0.00755289351851852</v>
      </c>
      <c r="E963" s="15" t="n">
        <f aca="false">ROUND((D963-$D$5)*86400,2)</f>
        <v>113.55</v>
      </c>
      <c r="F963" s="17" t="n">
        <v>2143</v>
      </c>
      <c r="G963" s="16" t="str">
        <f aca="false">IF(INDEX(選手一覧!$D$7:$D$2738,$F963)="","",INDEX(選手一覧!$D$7:$D$2738,$F963))</f>
        <v/>
      </c>
      <c r="H963" s="17" t="str">
        <f aca="false">IF(INDEX(選手一覧!$E$7:$E$2738,$F963)="","",INDEX(選手一覧!$E$7:$E$2738,$F963))</f>
        <v/>
      </c>
      <c r="I963" s="16" t="str">
        <f aca="false">IF(INDEX(選手一覧!$J$7:$J$2738,$F963)="","",INDEX(選手一覧!$J$7:$J$2738,$F963))</f>
        <v/>
      </c>
      <c r="J963" s="17" t="str">
        <f aca="false">IF(INDEX(選手一覧!$K$7:$K$2738,$F963)="","",INDEX(選手一覧!$K$7:$K$2738,$F963))</f>
        <v/>
      </c>
    </row>
    <row r="964" customFormat="false" ht="15" hidden="false" customHeight="false" outlineLevel="0" collapsed="false">
      <c r="A964" s="17" t="n">
        <v>960</v>
      </c>
      <c r="B964" s="12" t="s">
        <v>3325</v>
      </c>
      <c r="C964" s="12" t="s">
        <v>3326</v>
      </c>
      <c r="D964" s="16" t="n">
        <v>0.00755347222222222</v>
      </c>
      <c r="E964" s="15" t="n">
        <f aca="false">ROUND((D964-$D$5)*86400,2)</f>
        <v>113.6</v>
      </c>
      <c r="F964" s="17" t="n">
        <v>2145</v>
      </c>
      <c r="G964" s="16" t="str">
        <f aca="false">IF(INDEX(選手一覧!$D$7:$D$2738,$F964)="","",INDEX(選手一覧!$D$7:$D$2738,$F964))</f>
        <v/>
      </c>
      <c r="H964" s="17" t="str">
        <f aca="false">IF(INDEX(選手一覧!$E$7:$E$2738,$F964)="","",INDEX(選手一覧!$E$7:$E$2738,$F964))</f>
        <v/>
      </c>
      <c r="I964" s="16" t="str">
        <f aca="false">IF(INDEX(選手一覧!$J$7:$J$2738,$F964)="","",INDEX(選手一覧!$J$7:$J$2738,$F964))</f>
        <v/>
      </c>
      <c r="J964" s="17" t="str">
        <f aca="false">IF(INDEX(選手一覧!$K$7:$K$2738,$F964)="","",INDEX(選手一覧!$K$7:$K$2738,$F964))</f>
        <v/>
      </c>
    </row>
    <row r="965" customFormat="false" ht="15" hidden="false" customHeight="false" outlineLevel="0" collapsed="false">
      <c r="A965" s="17" t="n">
        <v>961</v>
      </c>
      <c r="B965" s="12" t="s">
        <v>3327</v>
      </c>
      <c r="C965" s="12" t="s">
        <v>2509</v>
      </c>
      <c r="D965" s="16" t="n">
        <v>0.00755636574074074</v>
      </c>
      <c r="E965" s="15" t="n">
        <f aca="false">ROUND((D965-$D$5)*86400,2)</f>
        <v>113.85</v>
      </c>
      <c r="F965" s="17" t="n">
        <v>2146</v>
      </c>
      <c r="G965" s="16" t="str">
        <f aca="false">IF(INDEX(選手一覧!$D$7:$D$2738,$F965)="","",INDEX(選手一覧!$D$7:$D$2738,$F965))</f>
        <v/>
      </c>
      <c r="H965" s="17" t="str">
        <f aca="false">IF(INDEX(選手一覧!$E$7:$E$2738,$F965)="","",INDEX(選手一覧!$E$7:$E$2738,$F965))</f>
        <v/>
      </c>
      <c r="I965" s="16" t="str">
        <f aca="false">IF(INDEX(選手一覧!$J$7:$J$2738,$F965)="","",INDEX(選手一覧!$J$7:$J$2738,$F965))</f>
        <v/>
      </c>
      <c r="J965" s="17" t="str">
        <f aca="false">IF(INDEX(選手一覧!$K$7:$K$2738,$F965)="","",INDEX(選手一覧!$K$7:$K$2738,$F965))</f>
        <v/>
      </c>
    </row>
    <row r="966" customFormat="false" ht="15" hidden="false" customHeight="false" outlineLevel="0" collapsed="false">
      <c r="A966" s="17" t="n">
        <v>962</v>
      </c>
      <c r="B966" s="12" t="s">
        <v>3328</v>
      </c>
      <c r="C966" s="12" t="s">
        <v>2064</v>
      </c>
      <c r="D966" s="16" t="n">
        <v>0.00755798611111111</v>
      </c>
      <c r="E966" s="15" t="n">
        <f aca="false">ROUND((D966-$D$5)*86400,2)</f>
        <v>113.99</v>
      </c>
      <c r="F966" s="17" t="n">
        <v>2147</v>
      </c>
      <c r="G966" s="16" t="str">
        <f aca="false">IF(INDEX(選手一覧!$D$7:$D$2738,$F966)="","",INDEX(選手一覧!$D$7:$D$2738,$F966))</f>
        <v/>
      </c>
      <c r="H966" s="17" t="str">
        <f aca="false">IF(INDEX(選手一覧!$E$7:$E$2738,$F966)="","",INDEX(選手一覧!$E$7:$E$2738,$F966))</f>
        <v/>
      </c>
      <c r="I966" s="16" t="str">
        <f aca="false">IF(INDEX(選手一覧!$J$7:$J$2738,$F966)="","",INDEX(選手一覧!$J$7:$J$2738,$F966))</f>
        <v/>
      </c>
      <c r="J966" s="17" t="str">
        <f aca="false">IF(INDEX(選手一覧!$K$7:$K$2738,$F966)="","",INDEX(選手一覧!$K$7:$K$2738,$F966))</f>
        <v/>
      </c>
    </row>
    <row r="967" customFormat="false" ht="15" hidden="false" customHeight="false" outlineLevel="0" collapsed="false">
      <c r="A967" s="17" t="n">
        <v>963</v>
      </c>
      <c r="B967" s="12" t="s">
        <v>3329</v>
      </c>
      <c r="C967" s="12" t="s">
        <v>3330</v>
      </c>
      <c r="D967" s="16" t="n">
        <v>0.007559375</v>
      </c>
      <c r="E967" s="15" t="n">
        <f aca="false">ROUND((D967-$D$5)*86400,2)</f>
        <v>114.11</v>
      </c>
      <c r="F967" s="17" t="n">
        <v>2148</v>
      </c>
      <c r="G967" s="16" t="str">
        <f aca="false">IF(INDEX(選手一覧!$D$7:$D$2738,$F967)="","",INDEX(選手一覧!$D$7:$D$2738,$F967))</f>
        <v/>
      </c>
      <c r="H967" s="17" t="str">
        <f aca="false">IF(INDEX(選手一覧!$E$7:$E$2738,$F967)="","",INDEX(選手一覧!$E$7:$E$2738,$F967))</f>
        <v/>
      </c>
      <c r="I967" s="16" t="str">
        <f aca="false">IF(INDEX(選手一覧!$J$7:$J$2738,$F967)="","",INDEX(選手一覧!$J$7:$J$2738,$F967))</f>
        <v/>
      </c>
      <c r="J967" s="17" t="str">
        <f aca="false">IF(INDEX(選手一覧!$K$7:$K$2738,$F967)="","",INDEX(選手一覧!$K$7:$K$2738,$F967))</f>
        <v/>
      </c>
    </row>
    <row r="968" customFormat="false" ht="15" hidden="false" customHeight="false" outlineLevel="0" collapsed="false">
      <c r="A968" s="17" t="n">
        <v>964</v>
      </c>
      <c r="B968" s="12" t="s">
        <v>3333</v>
      </c>
      <c r="C968" s="12" t="s">
        <v>3334</v>
      </c>
      <c r="D968" s="16" t="n">
        <v>0.00756030092592593</v>
      </c>
      <c r="E968" s="15" t="n">
        <f aca="false">ROUND((D968-$D$5)*86400,2)</f>
        <v>114.19</v>
      </c>
      <c r="F968" s="17" t="n">
        <v>2150</v>
      </c>
      <c r="G968" s="16" t="str">
        <f aca="false">IF(INDEX(選手一覧!$D$7:$D$2738,$F968)="","",INDEX(選手一覧!$D$7:$D$2738,$F968))</f>
        <v/>
      </c>
      <c r="H968" s="17" t="str">
        <f aca="false">IF(INDEX(選手一覧!$E$7:$E$2738,$F968)="","",INDEX(選手一覧!$E$7:$E$2738,$F968))</f>
        <v/>
      </c>
      <c r="I968" s="16" t="n">
        <f aca="false">IF(INDEX(選手一覧!$J$7:$J$2738,$F968)="","",INDEX(選手一覧!$J$7:$J$2738,$F968))</f>
        <v>0.00290856481481482</v>
      </c>
      <c r="J968" s="17" t="n">
        <f aca="false">IF(INDEX(選手一覧!$K$7:$K$2738,$F968)="","",INDEX(選手一覧!$K$7:$K$2738,$F968))</f>
        <v>1005</v>
      </c>
    </row>
    <row r="969" customFormat="false" ht="15" hidden="false" customHeight="false" outlineLevel="0" collapsed="false">
      <c r="A969" s="17" t="n">
        <v>965</v>
      </c>
      <c r="B969" s="12" t="s">
        <v>3335</v>
      </c>
      <c r="C969" s="12" t="s">
        <v>434</v>
      </c>
      <c r="D969" s="16" t="n">
        <v>0.00756261574074074</v>
      </c>
      <c r="E969" s="15" t="n">
        <f aca="false">ROUND((D969-$D$5)*86400,2)</f>
        <v>114.39</v>
      </c>
      <c r="F969" s="17" t="n">
        <v>2151</v>
      </c>
      <c r="G969" s="16" t="str">
        <f aca="false">IF(INDEX(選手一覧!$D$7:$D$2738,$F969)="","",INDEX(選手一覧!$D$7:$D$2738,$F969))</f>
        <v/>
      </c>
      <c r="H969" s="17" t="str">
        <f aca="false">IF(INDEX(選手一覧!$E$7:$E$2738,$F969)="","",INDEX(選手一覧!$E$7:$E$2738,$F969))</f>
        <v/>
      </c>
      <c r="I969" s="16" t="n">
        <f aca="false">IF(INDEX(選手一覧!$J$7:$J$2738,$F969)="","",INDEX(選手一覧!$J$7:$J$2738,$F969))</f>
        <v>0.00294131944444444</v>
      </c>
      <c r="J969" s="17" t="n">
        <f aca="false">IF(INDEX(選手一覧!$K$7:$K$2738,$F969)="","",INDEX(選手一覧!$K$7:$K$2738,$F969))</f>
        <v>1204</v>
      </c>
    </row>
    <row r="970" customFormat="false" ht="15" hidden="false" customHeight="false" outlineLevel="0" collapsed="false">
      <c r="A970" s="17" t="n">
        <v>966</v>
      </c>
      <c r="B970" s="12" t="s">
        <v>3336</v>
      </c>
      <c r="C970" s="12" t="s">
        <v>3337</v>
      </c>
      <c r="D970" s="16" t="n">
        <v>0.00756273148148148</v>
      </c>
      <c r="E970" s="15" t="n">
        <f aca="false">ROUND((D970-$D$5)*86400,2)</f>
        <v>114.4</v>
      </c>
      <c r="F970" s="17" t="n">
        <v>2152</v>
      </c>
      <c r="G970" s="16" t="str">
        <f aca="false">IF(INDEX(選手一覧!$D$7:$D$2738,$F970)="","",INDEX(選手一覧!$D$7:$D$2738,$F970))</f>
        <v/>
      </c>
      <c r="H970" s="17" t="str">
        <f aca="false">IF(INDEX(選手一覧!$E$7:$E$2738,$F970)="","",INDEX(選手一覧!$E$7:$E$2738,$F970))</f>
        <v/>
      </c>
      <c r="I970" s="16" t="str">
        <f aca="false">IF(INDEX(選手一覧!$J$7:$J$2738,$F970)="","",INDEX(選手一覧!$J$7:$J$2738,$F970))</f>
        <v/>
      </c>
      <c r="J970" s="17" t="str">
        <f aca="false">IF(INDEX(選手一覧!$K$7:$K$2738,$F970)="","",INDEX(選手一覧!$K$7:$K$2738,$F970))</f>
        <v/>
      </c>
    </row>
    <row r="971" customFormat="false" ht="15" hidden="false" customHeight="false" outlineLevel="0" collapsed="false">
      <c r="A971" s="17" t="n">
        <v>967</v>
      </c>
      <c r="B971" s="12" t="s">
        <v>3339</v>
      </c>
      <c r="C971" s="12" t="s">
        <v>3340</v>
      </c>
      <c r="D971" s="16" t="n">
        <v>0.00756342592592593</v>
      </c>
      <c r="E971" s="15" t="n">
        <f aca="false">ROUND((D971-$D$5)*86400,2)</f>
        <v>114.46</v>
      </c>
      <c r="F971" s="17" t="n">
        <v>2154</v>
      </c>
      <c r="G971" s="16" t="str">
        <f aca="false">IF(INDEX(選手一覧!$D$7:$D$2738,$F971)="","",INDEX(選手一覧!$D$7:$D$2738,$F971))</f>
        <v/>
      </c>
      <c r="H971" s="17" t="str">
        <f aca="false">IF(INDEX(選手一覧!$E$7:$E$2738,$F971)="","",INDEX(選手一覧!$E$7:$E$2738,$F971))</f>
        <v/>
      </c>
      <c r="I971" s="16" t="str">
        <f aca="false">IF(INDEX(選手一覧!$J$7:$J$2738,$F971)="","",INDEX(選手一覧!$J$7:$J$2738,$F971))</f>
        <v/>
      </c>
      <c r="J971" s="17" t="str">
        <f aca="false">IF(INDEX(選手一覧!$K$7:$K$2738,$F971)="","",INDEX(選手一覧!$K$7:$K$2738,$F971))</f>
        <v/>
      </c>
    </row>
    <row r="972" customFormat="false" ht="15" hidden="false" customHeight="false" outlineLevel="0" collapsed="false">
      <c r="A972" s="17" t="n">
        <v>968</v>
      </c>
      <c r="B972" s="12" t="s">
        <v>3341</v>
      </c>
      <c r="C972" s="12" t="s">
        <v>3342</v>
      </c>
      <c r="D972" s="16" t="n">
        <v>0.00756400462962963</v>
      </c>
      <c r="E972" s="15" t="n">
        <f aca="false">ROUND((D972-$D$5)*86400,2)</f>
        <v>114.51</v>
      </c>
      <c r="F972" s="17" t="n">
        <v>2155</v>
      </c>
      <c r="G972" s="16" t="str">
        <f aca="false">IF(INDEX(選手一覧!$D$7:$D$2738,$F972)="","",INDEX(選手一覧!$D$7:$D$2738,$F972))</f>
        <v/>
      </c>
      <c r="H972" s="17" t="str">
        <f aca="false">IF(INDEX(選手一覧!$E$7:$E$2738,$F972)="","",INDEX(選手一覧!$E$7:$E$2738,$F972))</f>
        <v/>
      </c>
      <c r="I972" s="16" t="str">
        <f aca="false">IF(INDEX(選手一覧!$J$7:$J$2738,$F972)="","",INDEX(選手一覧!$J$7:$J$2738,$F972))</f>
        <v/>
      </c>
      <c r="J972" s="17" t="str">
        <f aca="false">IF(INDEX(選手一覧!$K$7:$K$2738,$F972)="","",INDEX(選手一覧!$K$7:$K$2738,$F972))</f>
        <v/>
      </c>
    </row>
    <row r="973" customFormat="false" ht="15" hidden="false" customHeight="false" outlineLevel="0" collapsed="false">
      <c r="A973" s="17" t="n">
        <v>969</v>
      </c>
      <c r="B973" s="12" t="s">
        <v>3344</v>
      </c>
      <c r="C973" s="12" t="s">
        <v>3345</v>
      </c>
      <c r="D973" s="16" t="n">
        <v>0.00756423611111111</v>
      </c>
      <c r="E973" s="15" t="n">
        <f aca="false">ROUND((D973-$D$5)*86400,2)</f>
        <v>114.53</v>
      </c>
      <c r="F973" s="17" t="n">
        <v>2157</v>
      </c>
      <c r="G973" s="16" t="str">
        <f aca="false">IF(INDEX(選手一覧!$D$7:$D$2738,$F973)="","",INDEX(選手一覧!$D$7:$D$2738,$F973))</f>
        <v/>
      </c>
      <c r="H973" s="17" t="str">
        <f aca="false">IF(INDEX(選手一覧!$E$7:$E$2738,$F973)="","",INDEX(選手一覧!$E$7:$E$2738,$F973))</f>
        <v/>
      </c>
      <c r="I973" s="16" t="str">
        <f aca="false">IF(INDEX(選手一覧!$J$7:$J$2738,$F973)="","",INDEX(選手一覧!$J$7:$J$2738,$F973))</f>
        <v/>
      </c>
      <c r="J973" s="17" t="str">
        <f aca="false">IF(INDEX(選手一覧!$K$7:$K$2738,$F973)="","",INDEX(選手一覧!$K$7:$K$2738,$F973))</f>
        <v/>
      </c>
    </row>
    <row r="974" customFormat="false" ht="15" hidden="false" customHeight="false" outlineLevel="0" collapsed="false">
      <c r="A974" s="17" t="n">
        <v>970</v>
      </c>
      <c r="B974" s="12" t="s">
        <v>3348</v>
      </c>
      <c r="C974" s="12" t="s">
        <v>3349</v>
      </c>
      <c r="D974" s="16" t="n">
        <v>0.00756446759259259</v>
      </c>
      <c r="E974" s="15" t="n">
        <f aca="false">ROUND((D974-$D$5)*86400,2)</f>
        <v>114.55</v>
      </c>
      <c r="F974" s="17" t="n">
        <v>2159</v>
      </c>
      <c r="G974" s="16" t="str">
        <f aca="false">IF(INDEX(選手一覧!$D$7:$D$2738,$F974)="","",INDEX(選手一覧!$D$7:$D$2738,$F974))</f>
        <v/>
      </c>
      <c r="H974" s="17" t="str">
        <f aca="false">IF(INDEX(選手一覧!$E$7:$E$2738,$F974)="","",INDEX(選手一覧!$E$7:$E$2738,$F974))</f>
        <v/>
      </c>
      <c r="I974" s="16" t="str">
        <f aca="false">IF(INDEX(選手一覧!$J$7:$J$2738,$F974)="","",INDEX(選手一覧!$J$7:$J$2738,$F974))</f>
        <v/>
      </c>
      <c r="J974" s="17" t="str">
        <f aca="false">IF(INDEX(選手一覧!$K$7:$K$2738,$F974)="","",INDEX(選手一覧!$K$7:$K$2738,$F974))</f>
        <v/>
      </c>
    </row>
    <row r="975" customFormat="false" ht="15" hidden="false" customHeight="false" outlineLevel="0" collapsed="false">
      <c r="A975" s="17" t="n">
        <v>971</v>
      </c>
      <c r="B975" s="12" t="s">
        <v>1417</v>
      </c>
      <c r="C975" s="12" t="s">
        <v>1418</v>
      </c>
      <c r="D975" s="16" t="n">
        <v>0.00756539351851852</v>
      </c>
      <c r="E975" s="15" t="n">
        <f aca="false">ROUND((D975-$D$5)*86400,2)</f>
        <v>114.63</v>
      </c>
      <c r="F975" s="17" t="n">
        <v>858</v>
      </c>
      <c r="G975" s="16" t="n">
        <f aca="false">IF(INDEX(選手一覧!$D$7:$D$2738,$F975)="","",INDEX(選手一覧!$D$7:$D$2738,$F975))</f>
        <v>0.0108643518518519</v>
      </c>
      <c r="H975" s="17" t="n">
        <f aca="false">IF(INDEX(選手一覧!$E$7:$E$2738,$F975)="","",INDEX(選手一覧!$E$7:$E$2738,$F975))</f>
        <v>859</v>
      </c>
      <c r="I975" s="16" t="n">
        <f aca="false">IF(INDEX(選手一覧!$J$7:$J$2738,$F975)="","",INDEX(選手一覧!$J$7:$J$2738,$F975))</f>
        <v>0.0028556712962963</v>
      </c>
      <c r="J975" s="17" t="n">
        <f aca="false">IF(INDEX(選手一覧!$K$7:$K$2738,$F975)="","",INDEX(選手一覧!$K$7:$K$2738,$F975))</f>
        <v>603</v>
      </c>
    </row>
    <row r="976" customFormat="false" ht="15" hidden="false" customHeight="false" outlineLevel="0" collapsed="false">
      <c r="A976" s="17" t="n">
        <v>972</v>
      </c>
      <c r="B976" s="12" t="s">
        <v>3351</v>
      </c>
      <c r="C976" s="12" t="s">
        <v>2119</v>
      </c>
      <c r="D976" s="16" t="n">
        <v>0.00756678240740741</v>
      </c>
      <c r="E976" s="15" t="n">
        <f aca="false">ROUND((D976-$D$5)*86400,2)</f>
        <v>114.75</v>
      </c>
      <c r="F976" s="17" t="n">
        <v>2161</v>
      </c>
      <c r="G976" s="16" t="str">
        <f aca="false">IF(INDEX(選手一覧!$D$7:$D$2738,$F976)="","",INDEX(選手一覧!$D$7:$D$2738,$F976))</f>
        <v/>
      </c>
      <c r="H976" s="17" t="str">
        <f aca="false">IF(INDEX(選手一覧!$E$7:$E$2738,$F976)="","",INDEX(選手一覧!$E$7:$E$2738,$F976))</f>
        <v/>
      </c>
      <c r="I976" s="16" t="str">
        <f aca="false">IF(INDEX(選手一覧!$J$7:$J$2738,$F976)="","",INDEX(選手一覧!$J$7:$J$2738,$F976))</f>
        <v/>
      </c>
      <c r="J976" s="17" t="str">
        <f aca="false">IF(INDEX(選手一覧!$K$7:$K$2738,$F976)="","",INDEX(選手一覧!$K$7:$K$2738,$F976))</f>
        <v/>
      </c>
    </row>
    <row r="977" customFormat="false" ht="15" hidden="false" customHeight="false" outlineLevel="0" collapsed="false">
      <c r="A977" s="17" t="n">
        <v>973</v>
      </c>
      <c r="B977" s="12" t="s">
        <v>3353</v>
      </c>
      <c r="C977" s="12" t="s">
        <v>1950</v>
      </c>
      <c r="D977" s="16" t="n">
        <v>0.00757106481481481</v>
      </c>
      <c r="E977" s="15" t="n">
        <f aca="false">ROUND((D977-$D$5)*86400,2)</f>
        <v>115.12</v>
      </c>
      <c r="F977" s="17" t="n">
        <v>2163</v>
      </c>
      <c r="G977" s="16" t="str">
        <f aca="false">IF(INDEX(選手一覧!$D$7:$D$2738,$F977)="","",INDEX(選手一覧!$D$7:$D$2738,$F977))</f>
        <v/>
      </c>
      <c r="H977" s="17" t="str">
        <f aca="false">IF(INDEX(選手一覧!$E$7:$E$2738,$F977)="","",INDEX(選手一覧!$E$7:$E$2738,$F977))</f>
        <v/>
      </c>
      <c r="I977" s="16" t="str">
        <f aca="false">IF(INDEX(選手一覧!$J$7:$J$2738,$F977)="","",INDEX(選手一覧!$J$7:$J$2738,$F977))</f>
        <v/>
      </c>
      <c r="J977" s="17" t="str">
        <f aca="false">IF(INDEX(選手一覧!$K$7:$K$2738,$F977)="","",INDEX(選手一覧!$K$7:$K$2738,$F977))</f>
        <v/>
      </c>
    </row>
    <row r="978" customFormat="false" ht="15" hidden="false" customHeight="false" outlineLevel="0" collapsed="false">
      <c r="A978" s="17" t="n">
        <v>974</v>
      </c>
      <c r="B978" s="12" t="s">
        <v>3355</v>
      </c>
      <c r="C978" s="12" t="s">
        <v>1127</v>
      </c>
      <c r="D978" s="16" t="n">
        <v>0.00757141203703704</v>
      </c>
      <c r="E978" s="15" t="n">
        <f aca="false">ROUND((D978-$D$5)*86400,2)</f>
        <v>115.15</v>
      </c>
      <c r="F978" s="17" t="n">
        <v>2165</v>
      </c>
      <c r="G978" s="16" t="str">
        <f aca="false">IF(INDEX(選手一覧!$D$7:$D$2738,$F978)="","",INDEX(選手一覧!$D$7:$D$2738,$F978))</f>
        <v/>
      </c>
      <c r="H978" s="17" t="str">
        <f aca="false">IF(INDEX(選手一覧!$E$7:$E$2738,$F978)="","",INDEX(選手一覧!$E$7:$E$2738,$F978))</f>
        <v/>
      </c>
      <c r="I978" s="16" t="str">
        <f aca="false">IF(INDEX(選手一覧!$J$7:$J$2738,$F978)="","",INDEX(選手一覧!$J$7:$J$2738,$F978))</f>
        <v/>
      </c>
      <c r="J978" s="17" t="str">
        <f aca="false">IF(INDEX(選手一覧!$K$7:$K$2738,$F978)="","",INDEX(選手一覧!$K$7:$K$2738,$F978))</f>
        <v/>
      </c>
    </row>
    <row r="979" customFormat="false" ht="15" hidden="false" customHeight="false" outlineLevel="0" collapsed="false">
      <c r="A979" s="17" t="n">
        <v>975</v>
      </c>
      <c r="B979" s="12" t="s">
        <v>3358</v>
      </c>
      <c r="C979" s="12" t="s">
        <v>1184</v>
      </c>
      <c r="D979" s="16" t="n">
        <v>0.00757326388888889</v>
      </c>
      <c r="E979" s="15" t="n">
        <f aca="false">ROUND((D979-$D$5)*86400,2)</f>
        <v>115.31</v>
      </c>
      <c r="F979" s="17" t="n">
        <v>2167</v>
      </c>
      <c r="G979" s="16" t="str">
        <f aca="false">IF(INDEX(選手一覧!$D$7:$D$2738,$F979)="","",INDEX(選手一覧!$D$7:$D$2738,$F979))</f>
        <v/>
      </c>
      <c r="H979" s="17" t="str">
        <f aca="false">IF(INDEX(選手一覧!$E$7:$E$2738,$F979)="","",INDEX(選手一覧!$E$7:$E$2738,$F979))</f>
        <v/>
      </c>
      <c r="I979" s="16" t="str">
        <f aca="false">IF(INDEX(選手一覧!$J$7:$J$2738,$F979)="","",INDEX(選手一覧!$J$7:$J$2738,$F979))</f>
        <v/>
      </c>
      <c r="J979" s="17" t="str">
        <f aca="false">IF(INDEX(選手一覧!$K$7:$K$2738,$F979)="","",INDEX(選手一覧!$K$7:$K$2738,$F979))</f>
        <v/>
      </c>
    </row>
    <row r="980" customFormat="false" ht="15" hidden="false" customHeight="false" outlineLevel="0" collapsed="false">
      <c r="A980" s="17" t="n">
        <v>976</v>
      </c>
      <c r="B980" s="12" t="s">
        <v>3359</v>
      </c>
      <c r="C980" s="12" t="s">
        <v>440</v>
      </c>
      <c r="D980" s="16" t="n">
        <v>0.00757337962962963</v>
      </c>
      <c r="E980" s="15" t="n">
        <f aca="false">ROUND((D980-$D$5)*86400,2)</f>
        <v>115.32</v>
      </c>
      <c r="F980" s="17" t="n">
        <v>2168</v>
      </c>
      <c r="G980" s="16" t="str">
        <f aca="false">IF(INDEX(選手一覧!$D$7:$D$2738,$F980)="","",INDEX(選手一覧!$D$7:$D$2738,$F980))</f>
        <v/>
      </c>
      <c r="H980" s="17" t="str">
        <f aca="false">IF(INDEX(選手一覧!$E$7:$E$2738,$F980)="","",INDEX(選手一覧!$E$7:$E$2738,$F980))</f>
        <v/>
      </c>
      <c r="I980" s="16" t="str">
        <f aca="false">IF(INDEX(選手一覧!$J$7:$J$2738,$F980)="","",INDEX(選手一覧!$J$7:$J$2738,$F980))</f>
        <v/>
      </c>
      <c r="J980" s="17" t="str">
        <f aca="false">IF(INDEX(選手一覧!$K$7:$K$2738,$F980)="","",INDEX(選手一覧!$K$7:$K$2738,$F980))</f>
        <v/>
      </c>
    </row>
    <row r="981" customFormat="false" ht="15" hidden="false" customHeight="false" outlineLevel="0" collapsed="false">
      <c r="A981" s="17" t="n">
        <v>977</v>
      </c>
      <c r="B981" s="12" t="s">
        <v>3360</v>
      </c>
      <c r="C981" s="12" t="s">
        <v>199</v>
      </c>
      <c r="D981" s="16" t="n">
        <v>0.00757511574074074</v>
      </c>
      <c r="E981" s="15" t="n">
        <f aca="false">ROUND((D981-$D$5)*86400,2)</f>
        <v>115.47</v>
      </c>
      <c r="F981" s="17" t="n">
        <v>2169</v>
      </c>
      <c r="G981" s="16" t="str">
        <f aca="false">IF(INDEX(選手一覧!$D$7:$D$2738,$F981)="","",INDEX(選手一覧!$D$7:$D$2738,$F981))</f>
        <v/>
      </c>
      <c r="H981" s="17" t="str">
        <f aca="false">IF(INDEX(選手一覧!$E$7:$E$2738,$F981)="","",INDEX(選手一覧!$E$7:$E$2738,$F981))</f>
        <v/>
      </c>
      <c r="I981" s="16" t="str">
        <f aca="false">IF(INDEX(選手一覧!$J$7:$J$2738,$F981)="","",INDEX(選手一覧!$J$7:$J$2738,$F981))</f>
        <v/>
      </c>
      <c r="J981" s="17" t="str">
        <f aca="false">IF(INDEX(選手一覧!$K$7:$K$2738,$F981)="","",INDEX(選手一覧!$K$7:$K$2738,$F981))</f>
        <v/>
      </c>
    </row>
    <row r="982" customFormat="false" ht="15" hidden="false" customHeight="false" outlineLevel="0" collapsed="false">
      <c r="A982" s="17" t="n">
        <v>978</v>
      </c>
      <c r="B982" s="12" t="s">
        <v>3363</v>
      </c>
      <c r="C982" s="12" t="s">
        <v>1049</v>
      </c>
      <c r="D982" s="16" t="n">
        <v>0.00757627314814815</v>
      </c>
      <c r="E982" s="15" t="n">
        <f aca="false">ROUND((D982-$D$5)*86400,2)</f>
        <v>115.57</v>
      </c>
      <c r="F982" s="17" t="n">
        <v>2171</v>
      </c>
      <c r="G982" s="16" t="str">
        <f aca="false">IF(INDEX(選手一覧!$D$7:$D$2738,$F982)="","",INDEX(選手一覧!$D$7:$D$2738,$F982))</f>
        <v/>
      </c>
      <c r="H982" s="17" t="str">
        <f aca="false">IF(INDEX(選手一覧!$E$7:$E$2738,$F982)="","",INDEX(選手一覧!$E$7:$E$2738,$F982))</f>
        <v/>
      </c>
      <c r="I982" s="16" t="n">
        <f aca="false">IF(INDEX(選手一覧!$J$7:$J$2738,$F982)="","",INDEX(選手一覧!$J$7:$J$2738,$F982))</f>
        <v>0.00295902777777778</v>
      </c>
      <c r="J982" s="17" t="n">
        <f aca="false">IF(INDEX(選手一覧!$K$7:$K$2738,$F982)="","",INDEX(選手一覧!$K$7:$K$2738,$F982))</f>
        <v>1264</v>
      </c>
    </row>
    <row r="983" customFormat="false" ht="15" hidden="false" customHeight="false" outlineLevel="0" collapsed="false">
      <c r="A983" s="17" t="n">
        <v>979</v>
      </c>
      <c r="B983" s="12" t="s">
        <v>3365</v>
      </c>
      <c r="C983" s="12" t="s">
        <v>3366</v>
      </c>
      <c r="D983" s="16" t="n">
        <v>0.00757916666666667</v>
      </c>
      <c r="E983" s="15" t="n">
        <f aca="false">ROUND((D983-$D$5)*86400,2)</f>
        <v>115.82</v>
      </c>
      <c r="F983" s="17" t="n">
        <v>2173</v>
      </c>
      <c r="G983" s="16" t="str">
        <f aca="false">IF(INDEX(選手一覧!$D$7:$D$2738,$F983)="","",INDEX(選手一覧!$D$7:$D$2738,$F983))</f>
        <v/>
      </c>
      <c r="H983" s="17" t="str">
        <f aca="false">IF(INDEX(選手一覧!$E$7:$E$2738,$F983)="","",INDEX(選手一覧!$E$7:$E$2738,$F983))</f>
        <v/>
      </c>
      <c r="I983" s="16" t="str">
        <f aca="false">IF(INDEX(選手一覧!$J$7:$J$2738,$F983)="","",INDEX(選手一覧!$J$7:$J$2738,$F983))</f>
        <v/>
      </c>
      <c r="J983" s="17" t="str">
        <f aca="false">IF(INDEX(選手一覧!$K$7:$K$2738,$F983)="","",INDEX(選手一覧!$K$7:$K$2738,$F983))</f>
        <v/>
      </c>
    </row>
    <row r="984" customFormat="false" ht="15" hidden="false" customHeight="false" outlineLevel="0" collapsed="false">
      <c r="A984" s="17" t="n">
        <v>980</v>
      </c>
      <c r="B984" s="12" t="s">
        <v>3368</v>
      </c>
      <c r="C984" s="12" t="s">
        <v>1707</v>
      </c>
      <c r="D984" s="16" t="n">
        <v>0.00757939814814815</v>
      </c>
      <c r="E984" s="15" t="n">
        <f aca="false">ROUND((D984-$D$5)*86400,2)</f>
        <v>115.84</v>
      </c>
      <c r="F984" s="17" t="n">
        <v>2175</v>
      </c>
      <c r="G984" s="16" t="str">
        <f aca="false">IF(INDEX(選手一覧!$D$7:$D$2738,$F984)="","",INDEX(選手一覧!$D$7:$D$2738,$F984))</f>
        <v/>
      </c>
      <c r="H984" s="17" t="str">
        <f aca="false">IF(INDEX(選手一覧!$E$7:$E$2738,$F984)="","",INDEX(選手一覧!$E$7:$E$2738,$F984))</f>
        <v/>
      </c>
      <c r="I984" s="16" t="str">
        <f aca="false">IF(INDEX(選手一覧!$J$7:$J$2738,$F984)="","",INDEX(選手一覧!$J$7:$J$2738,$F984))</f>
        <v/>
      </c>
      <c r="J984" s="17" t="str">
        <f aca="false">IF(INDEX(選手一覧!$K$7:$K$2738,$F984)="","",INDEX(選手一覧!$K$7:$K$2738,$F984))</f>
        <v/>
      </c>
    </row>
    <row r="985" customFormat="false" ht="15" hidden="false" customHeight="false" outlineLevel="0" collapsed="false">
      <c r="A985" s="17" t="n">
        <v>981</v>
      </c>
      <c r="B985" s="12" t="s">
        <v>1984</v>
      </c>
      <c r="C985" s="12" t="s">
        <v>1985</v>
      </c>
      <c r="D985" s="16" t="n">
        <v>0.00757974537037037</v>
      </c>
      <c r="E985" s="15" t="n">
        <f aca="false">ROUND((D985-$D$5)*86400,2)</f>
        <v>115.87</v>
      </c>
      <c r="F985" s="17" t="n">
        <v>1245</v>
      </c>
      <c r="G985" s="16" t="n">
        <f aca="false">IF(INDEX(選手一覧!$D$7:$D$2738,$F985)="","",INDEX(選手一覧!$D$7:$D$2738,$F985))</f>
        <v>0.011078125</v>
      </c>
      <c r="H985" s="17" t="n">
        <f aca="false">IF(INDEX(選手一覧!$E$7:$E$2738,$F985)="","",INDEX(選手一覧!$E$7:$E$2738,$F985))</f>
        <v>1246</v>
      </c>
      <c r="I985" s="16" t="str">
        <f aca="false">IF(INDEX(選手一覧!$J$7:$J$2738,$F985)="","",INDEX(選手一覧!$J$7:$J$2738,$F985))</f>
        <v/>
      </c>
      <c r="J985" s="17" t="str">
        <f aca="false">IF(INDEX(選手一覧!$K$7:$K$2738,$F985)="","",INDEX(選手一覧!$K$7:$K$2738,$F985))</f>
        <v/>
      </c>
    </row>
    <row r="986" customFormat="false" ht="15" hidden="false" customHeight="false" outlineLevel="0" collapsed="false">
      <c r="A986" s="17" t="n">
        <v>982</v>
      </c>
      <c r="B986" s="12" t="s">
        <v>3369</v>
      </c>
      <c r="C986" s="12" t="s">
        <v>3104</v>
      </c>
      <c r="D986" s="16" t="n">
        <v>0.00757997685185185</v>
      </c>
      <c r="E986" s="15" t="n">
        <f aca="false">ROUND((D986-$D$5)*86400,2)</f>
        <v>115.89</v>
      </c>
      <c r="F986" s="17" t="n">
        <v>2176</v>
      </c>
      <c r="G986" s="16" t="str">
        <f aca="false">IF(INDEX(選手一覧!$D$7:$D$2738,$F986)="","",INDEX(選手一覧!$D$7:$D$2738,$F986))</f>
        <v/>
      </c>
      <c r="H986" s="17" t="str">
        <f aca="false">IF(INDEX(選手一覧!$E$7:$E$2738,$F986)="","",INDEX(選手一覧!$E$7:$E$2738,$F986))</f>
        <v/>
      </c>
      <c r="I986" s="16" t="str">
        <f aca="false">IF(INDEX(選手一覧!$J$7:$J$2738,$F986)="","",INDEX(選手一覧!$J$7:$J$2738,$F986))</f>
        <v/>
      </c>
      <c r="J986" s="17" t="str">
        <f aca="false">IF(INDEX(選手一覧!$K$7:$K$2738,$F986)="","",INDEX(選手一覧!$K$7:$K$2738,$F986))</f>
        <v/>
      </c>
    </row>
    <row r="987" customFormat="false" ht="15" hidden="false" customHeight="false" outlineLevel="0" collapsed="false">
      <c r="A987" s="17" t="n">
        <v>983</v>
      </c>
      <c r="B987" s="12" t="s">
        <v>3370</v>
      </c>
      <c r="C987" s="12" t="s">
        <v>2667</v>
      </c>
      <c r="D987" s="16" t="n">
        <v>0.00758136574074074</v>
      </c>
      <c r="E987" s="15" t="n">
        <f aca="false">ROUND((D987-$D$5)*86400,2)</f>
        <v>116.01</v>
      </c>
      <c r="F987" s="17" t="n">
        <v>2177</v>
      </c>
      <c r="G987" s="16" t="str">
        <f aca="false">IF(INDEX(選手一覧!$D$7:$D$2738,$F987)="","",INDEX(選手一覧!$D$7:$D$2738,$F987))</f>
        <v/>
      </c>
      <c r="H987" s="17" t="str">
        <f aca="false">IF(INDEX(選手一覧!$E$7:$E$2738,$F987)="","",INDEX(選手一覧!$E$7:$E$2738,$F987))</f>
        <v/>
      </c>
      <c r="I987" s="16" t="str">
        <f aca="false">IF(INDEX(選手一覧!$J$7:$J$2738,$F987)="","",INDEX(選手一覧!$J$7:$J$2738,$F987))</f>
        <v/>
      </c>
      <c r="J987" s="17" t="str">
        <f aca="false">IF(INDEX(選手一覧!$K$7:$K$2738,$F987)="","",INDEX(選手一覧!$K$7:$K$2738,$F987))</f>
        <v/>
      </c>
    </row>
    <row r="988" customFormat="false" ht="15" hidden="false" customHeight="false" outlineLevel="0" collapsed="false">
      <c r="A988" s="17" t="n">
        <v>984</v>
      </c>
      <c r="B988" s="12" t="s">
        <v>3371</v>
      </c>
      <c r="C988" s="12" t="s">
        <v>3372</v>
      </c>
      <c r="D988" s="16" t="n">
        <v>0.00758541666666667</v>
      </c>
      <c r="E988" s="15" t="n">
        <f aca="false">ROUND((D988-$D$5)*86400,2)</f>
        <v>116.36</v>
      </c>
      <c r="F988" s="17" t="n">
        <v>2178</v>
      </c>
      <c r="G988" s="16" t="str">
        <f aca="false">IF(INDEX(選手一覧!$D$7:$D$2738,$F988)="","",INDEX(選手一覧!$D$7:$D$2738,$F988))</f>
        <v/>
      </c>
      <c r="H988" s="17" t="str">
        <f aca="false">IF(INDEX(選手一覧!$E$7:$E$2738,$F988)="","",INDEX(選手一覧!$E$7:$E$2738,$F988))</f>
        <v/>
      </c>
      <c r="I988" s="16" t="str">
        <f aca="false">IF(INDEX(選手一覧!$J$7:$J$2738,$F988)="","",INDEX(選手一覧!$J$7:$J$2738,$F988))</f>
        <v/>
      </c>
      <c r="J988" s="17" t="str">
        <f aca="false">IF(INDEX(選手一覧!$K$7:$K$2738,$F988)="","",INDEX(選手一覧!$K$7:$K$2738,$F988))</f>
        <v/>
      </c>
    </row>
    <row r="989" customFormat="false" ht="15" hidden="false" customHeight="false" outlineLevel="0" collapsed="false">
      <c r="A989" s="17" t="n">
        <v>985</v>
      </c>
      <c r="B989" s="12" t="s">
        <v>3373</v>
      </c>
      <c r="C989" s="12" t="s">
        <v>2546</v>
      </c>
      <c r="D989" s="16" t="n">
        <v>0.00758645833333333</v>
      </c>
      <c r="E989" s="15" t="n">
        <f aca="false">ROUND((D989-$D$5)*86400,2)</f>
        <v>116.45</v>
      </c>
      <c r="F989" s="17" t="n">
        <v>2179</v>
      </c>
      <c r="G989" s="16" t="str">
        <f aca="false">IF(INDEX(選手一覧!$D$7:$D$2738,$F989)="","",INDEX(選手一覧!$D$7:$D$2738,$F989))</f>
        <v/>
      </c>
      <c r="H989" s="17" t="str">
        <f aca="false">IF(INDEX(選手一覧!$E$7:$E$2738,$F989)="","",INDEX(選手一覧!$E$7:$E$2738,$F989))</f>
        <v/>
      </c>
      <c r="I989" s="16" t="str">
        <f aca="false">IF(INDEX(選手一覧!$J$7:$J$2738,$F989)="","",INDEX(選手一覧!$J$7:$J$2738,$F989))</f>
        <v/>
      </c>
      <c r="J989" s="17" t="str">
        <f aca="false">IF(INDEX(選手一覧!$K$7:$K$2738,$F989)="","",INDEX(選手一覧!$K$7:$K$2738,$F989))</f>
        <v/>
      </c>
    </row>
    <row r="990" customFormat="false" ht="15" hidden="false" customHeight="false" outlineLevel="0" collapsed="false">
      <c r="A990" s="17" t="n">
        <v>986</v>
      </c>
      <c r="B990" s="12" t="s">
        <v>3374</v>
      </c>
      <c r="C990" s="12" t="s">
        <v>707</v>
      </c>
      <c r="D990" s="16" t="n">
        <v>0.00758900462962963</v>
      </c>
      <c r="E990" s="15" t="n">
        <f aca="false">ROUND((D990-$D$5)*86400,2)</f>
        <v>116.67</v>
      </c>
      <c r="F990" s="17" t="n">
        <v>2180</v>
      </c>
      <c r="G990" s="16" t="str">
        <f aca="false">IF(INDEX(選手一覧!$D$7:$D$2738,$F990)="","",INDEX(選手一覧!$D$7:$D$2738,$F990))</f>
        <v/>
      </c>
      <c r="H990" s="17" t="str">
        <f aca="false">IF(INDEX(選手一覧!$E$7:$E$2738,$F990)="","",INDEX(選手一覧!$E$7:$E$2738,$F990))</f>
        <v/>
      </c>
      <c r="I990" s="16" t="str">
        <f aca="false">IF(INDEX(選手一覧!$J$7:$J$2738,$F990)="","",INDEX(選手一覧!$J$7:$J$2738,$F990))</f>
        <v/>
      </c>
      <c r="J990" s="17" t="str">
        <f aca="false">IF(INDEX(選手一覧!$K$7:$K$2738,$F990)="","",INDEX(選手一覧!$K$7:$K$2738,$F990))</f>
        <v/>
      </c>
    </row>
    <row r="991" customFormat="false" ht="15" hidden="false" customHeight="false" outlineLevel="0" collapsed="false">
      <c r="A991" s="17" t="n">
        <v>987</v>
      </c>
      <c r="B991" s="12" t="s">
        <v>3375</v>
      </c>
      <c r="C991" s="12" t="s">
        <v>1363</v>
      </c>
      <c r="D991" s="16" t="n">
        <v>0.00759097222222222</v>
      </c>
      <c r="E991" s="15" t="n">
        <f aca="false">ROUND((D991-$D$5)*86400,2)</f>
        <v>116.84</v>
      </c>
      <c r="F991" s="17" t="n">
        <v>2181</v>
      </c>
      <c r="G991" s="16" t="str">
        <f aca="false">IF(INDEX(選手一覧!$D$7:$D$2738,$F991)="","",INDEX(選手一覧!$D$7:$D$2738,$F991))</f>
        <v/>
      </c>
      <c r="H991" s="17" t="str">
        <f aca="false">IF(INDEX(選手一覧!$E$7:$E$2738,$F991)="","",INDEX(選手一覧!$E$7:$E$2738,$F991))</f>
        <v/>
      </c>
      <c r="I991" s="16" t="str">
        <f aca="false">IF(INDEX(選手一覧!$J$7:$J$2738,$F991)="","",INDEX(選手一覧!$J$7:$J$2738,$F991))</f>
        <v/>
      </c>
      <c r="J991" s="17" t="str">
        <f aca="false">IF(INDEX(選手一覧!$K$7:$K$2738,$F991)="","",INDEX(選手一覧!$K$7:$K$2738,$F991))</f>
        <v/>
      </c>
    </row>
    <row r="992" customFormat="false" ht="15" hidden="false" customHeight="false" outlineLevel="0" collapsed="false">
      <c r="A992" s="17" t="n">
        <v>988</v>
      </c>
      <c r="B992" s="12" t="s">
        <v>3378</v>
      </c>
      <c r="C992" s="12" t="s">
        <v>3379</v>
      </c>
      <c r="D992" s="16" t="n">
        <v>0.00759189814814815</v>
      </c>
      <c r="E992" s="15" t="n">
        <f aca="false">ROUND((D992-$D$5)*86400,2)</f>
        <v>116.92</v>
      </c>
      <c r="F992" s="17" t="n">
        <v>2183</v>
      </c>
      <c r="G992" s="16" t="str">
        <f aca="false">IF(INDEX(選手一覧!$D$7:$D$2738,$F992)="","",INDEX(選手一覧!$D$7:$D$2738,$F992))</f>
        <v/>
      </c>
      <c r="H992" s="17" t="str">
        <f aca="false">IF(INDEX(選手一覧!$E$7:$E$2738,$F992)="","",INDEX(選手一覧!$E$7:$E$2738,$F992))</f>
        <v/>
      </c>
      <c r="I992" s="16" t="str">
        <f aca="false">IF(INDEX(選手一覧!$J$7:$J$2738,$F992)="","",INDEX(選手一覧!$J$7:$J$2738,$F992))</f>
        <v/>
      </c>
      <c r="J992" s="17" t="str">
        <f aca="false">IF(INDEX(選手一覧!$K$7:$K$2738,$F992)="","",INDEX(選手一覧!$K$7:$K$2738,$F992))</f>
        <v/>
      </c>
    </row>
    <row r="993" customFormat="false" ht="15" hidden="false" customHeight="false" outlineLevel="0" collapsed="false">
      <c r="A993" s="17" t="n">
        <v>989</v>
      </c>
      <c r="B993" s="12" t="s">
        <v>3380</v>
      </c>
      <c r="C993" s="12" t="s">
        <v>3381</v>
      </c>
      <c r="D993" s="16" t="n">
        <v>0.00759305555555556</v>
      </c>
      <c r="E993" s="15" t="n">
        <f aca="false">ROUND((D993-$D$5)*86400,2)</f>
        <v>117.02</v>
      </c>
      <c r="F993" s="17" t="n">
        <v>2184</v>
      </c>
      <c r="G993" s="16" t="str">
        <f aca="false">IF(INDEX(選手一覧!$D$7:$D$2738,$F993)="","",INDEX(選手一覧!$D$7:$D$2738,$F993))</f>
        <v/>
      </c>
      <c r="H993" s="17" t="str">
        <f aca="false">IF(INDEX(選手一覧!$E$7:$E$2738,$F993)="","",INDEX(選手一覧!$E$7:$E$2738,$F993))</f>
        <v/>
      </c>
      <c r="I993" s="16" t="str">
        <f aca="false">IF(INDEX(選手一覧!$J$7:$J$2738,$F993)="","",INDEX(選手一覧!$J$7:$J$2738,$F993))</f>
        <v/>
      </c>
      <c r="J993" s="17" t="str">
        <f aca="false">IF(INDEX(選手一覧!$K$7:$K$2738,$F993)="","",INDEX(選手一覧!$K$7:$K$2738,$F993))</f>
        <v/>
      </c>
    </row>
    <row r="994" customFormat="false" ht="15" hidden="false" customHeight="false" outlineLevel="0" collapsed="false">
      <c r="A994" s="17" t="n">
        <v>990</v>
      </c>
      <c r="B994" s="12" t="s">
        <v>3384</v>
      </c>
      <c r="C994" s="12" t="s">
        <v>3385</v>
      </c>
      <c r="D994" s="16" t="n">
        <v>0.0075931712962963</v>
      </c>
      <c r="E994" s="15" t="n">
        <f aca="false">ROUND((D994-$D$5)*86400,2)</f>
        <v>117.03</v>
      </c>
      <c r="F994" s="17" t="n">
        <v>2186</v>
      </c>
      <c r="G994" s="16" t="str">
        <f aca="false">IF(INDEX(選手一覧!$D$7:$D$2738,$F994)="","",INDEX(選手一覧!$D$7:$D$2738,$F994))</f>
        <v/>
      </c>
      <c r="H994" s="17" t="str">
        <f aca="false">IF(INDEX(選手一覧!$E$7:$E$2738,$F994)="","",INDEX(選手一覧!$E$7:$E$2738,$F994))</f>
        <v/>
      </c>
      <c r="I994" s="16" t="str">
        <f aca="false">IF(INDEX(選手一覧!$J$7:$J$2738,$F994)="","",INDEX(選手一覧!$J$7:$J$2738,$F994))</f>
        <v/>
      </c>
      <c r="J994" s="17" t="str">
        <f aca="false">IF(INDEX(選手一覧!$K$7:$K$2738,$F994)="","",INDEX(選手一覧!$K$7:$K$2738,$F994))</f>
        <v/>
      </c>
    </row>
    <row r="995" customFormat="false" ht="15" hidden="false" customHeight="false" outlineLevel="0" collapsed="false">
      <c r="A995" s="17" t="n">
        <v>991</v>
      </c>
      <c r="B995" s="12" t="s">
        <v>3386</v>
      </c>
      <c r="C995" s="12" t="s">
        <v>3387</v>
      </c>
      <c r="D995" s="16" t="n">
        <v>0.00759328703703704</v>
      </c>
      <c r="E995" s="15" t="n">
        <f aca="false">ROUND((D995-$D$5)*86400,2)</f>
        <v>117.04</v>
      </c>
      <c r="F995" s="17" t="n">
        <v>2187</v>
      </c>
      <c r="G995" s="16" t="str">
        <f aca="false">IF(INDEX(選手一覧!$D$7:$D$2738,$F995)="","",INDEX(選手一覧!$D$7:$D$2738,$F995))</f>
        <v/>
      </c>
      <c r="H995" s="17" t="str">
        <f aca="false">IF(INDEX(選手一覧!$E$7:$E$2738,$F995)="","",INDEX(選手一覧!$E$7:$E$2738,$F995))</f>
        <v/>
      </c>
      <c r="I995" s="16" t="str">
        <f aca="false">IF(INDEX(選手一覧!$J$7:$J$2738,$F995)="","",INDEX(選手一覧!$J$7:$J$2738,$F995))</f>
        <v/>
      </c>
      <c r="J995" s="17" t="str">
        <f aca="false">IF(INDEX(選手一覧!$K$7:$K$2738,$F995)="","",INDEX(選手一覧!$K$7:$K$2738,$F995))</f>
        <v/>
      </c>
    </row>
    <row r="996" customFormat="false" ht="15" hidden="false" customHeight="false" outlineLevel="0" collapsed="false">
      <c r="A996" s="17" t="n">
        <v>992</v>
      </c>
      <c r="B996" s="12" t="s">
        <v>3388</v>
      </c>
      <c r="C996" s="12" t="s">
        <v>3389</v>
      </c>
      <c r="D996" s="16" t="n">
        <v>0.00759328703703704</v>
      </c>
      <c r="E996" s="15" t="n">
        <f aca="false">ROUND((D996-$D$5)*86400,2)</f>
        <v>117.04</v>
      </c>
      <c r="F996" s="17" t="n">
        <v>2188</v>
      </c>
      <c r="G996" s="16" t="str">
        <f aca="false">IF(INDEX(選手一覧!$D$7:$D$2738,$F996)="","",INDEX(選手一覧!$D$7:$D$2738,$F996))</f>
        <v/>
      </c>
      <c r="H996" s="17" t="str">
        <f aca="false">IF(INDEX(選手一覧!$E$7:$E$2738,$F996)="","",INDEX(選手一覧!$E$7:$E$2738,$F996))</f>
        <v/>
      </c>
      <c r="I996" s="16" t="str">
        <f aca="false">IF(INDEX(選手一覧!$J$7:$J$2738,$F996)="","",INDEX(選手一覧!$J$7:$J$2738,$F996))</f>
        <v/>
      </c>
      <c r="J996" s="17" t="str">
        <f aca="false">IF(INDEX(選手一覧!$K$7:$K$2738,$F996)="","",INDEX(選手一覧!$K$7:$K$2738,$F996))</f>
        <v/>
      </c>
    </row>
    <row r="997" customFormat="false" ht="15" hidden="false" customHeight="false" outlineLevel="0" collapsed="false">
      <c r="A997" s="17" t="n">
        <v>993</v>
      </c>
      <c r="B997" s="12" t="s">
        <v>3390</v>
      </c>
      <c r="C997" s="12" t="s">
        <v>3391</v>
      </c>
      <c r="D997" s="16" t="n">
        <v>0.00759479166666667</v>
      </c>
      <c r="E997" s="15" t="n">
        <f aca="false">ROUND((D997-$D$5)*86400,2)</f>
        <v>117.17</v>
      </c>
      <c r="F997" s="17" t="n">
        <v>2189</v>
      </c>
      <c r="G997" s="16" t="str">
        <f aca="false">IF(INDEX(選手一覧!$D$7:$D$2738,$F997)="","",INDEX(選手一覧!$D$7:$D$2738,$F997))</f>
        <v/>
      </c>
      <c r="H997" s="17" t="str">
        <f aca="false">IF(INDEX(選手一覧!$E$7:$E$2738,$F997)="","",INDEX(選手一覧!$E$7:$E$2738,$F997))</f>
        <v/>
      </c>
      <c r="I997" s="16" t="str">
        <f aca="false">IF(INDEX(選手一覧!$J$7:$J$2738,$F997)="","",INDEX(選手一覧!$J$7:$J$2738,$F997))</f>
        <v/>
      </c>
      <c r="J997" s="17" t="str">
        <f aca="false">IF(INDEX(選手一覧!$K$7:$K$2738,$F997)="","",INDEX(選手一覧!$K$7:$K$2738,$F997))</f>
        <v/>
      </c>
    </row>
    <row r="998" customFormat="false" ht="15" hidden="false" customHeight="false" outlineLevel="0" collapsed="false">
      <c r="A998" s="17" t="n">
        <v>994</v>
      </c>
      <c r="B998" s="12" t="s">
        <v>3392</v>
      </c>
      <c r="C998" s="12" t="s">
        <v>3393</v>
      </c>
      <c r="D998" s="16" t="n">
        <v>0.00759895833333333</v>
      </c>
      <c r="E998" s="15" t="n">
        <f aca="false">ROUND((D998-$D$5)*86400,2)</f>
        <v>117.53</v>
      </c>
      <c r="F998" s="17" t="n">
        <v>2190</v>
      </c>
      <c r="G998" s="16" t="str">
        <f aca="false">IF(INDEX(選手一覧!$D$7:$D$2738,$F998)="","",INDEX(選手一覧!$D$7:$D$2738,$F998))</f>
        <v/>
      </c>
      <c r="H998" s="17" t="str">
        <f aca="false">IF(INDEX(選手一覧!$E$7:$E$2738,$F998)="","",INDEX(選手一覧!$E$7:$E$2738,$F998))</f>
        <v/>
      </c>
      <c r="I998" s="16" t="str">
        <f aca="false">IF(INDEX(選手一覧!$J$7:$J$2738,$F998)="","",INDEX(選手一覧!$J$7:$J$2738,$F998))</f>
        <v/>
      </c>
      <c r="J998" s="17" t="str">
        <f aca="false">IF(INDEX(選手一覧!$K$7:$K$2738,$F998)="","",INDEX(選手一覧!$K$7:$K$2738,$F998))</f>
        <v/>
      </c>
    </row>
    <row r="999" customFormat="false" ht="15" hidden="false" customHeight="false" outlineLevel="0" collapsed="false">
      <c r="A999" s="17" t="n">
        <v>995</v>
      </c>
      <c r="B999" s="12" t="s">
        <v>3396</v>
      </c>
      <c r="C999" s="12" t="s">
        <v>3397</v>
      </c>
      <c r="D999" s="16" t="n">
        <v>0.00759953703703704</v>
      </c>
      <c r="E999" s="15" t="n">
        <f aca="false">ROUND((D999-$D$5)*86400,2)</f>
        <v>117.58</v>
      </c>
      <c r="F999" s="17" t="n">
        <v>2192</v>
      </c>
      <c r="G999" s="16" t="str">
        <f aca="false">IF(INDEX(選手一覧!$D$7:$D$2738,$F999)="","",INDEX(選手一覧!$D$7:$D$2738,$F999))</f>
        <v/>
      </c>
      <c r="H999" s="17" t="str">
        <f aca="false">IF(INDEX(選手一覧!$E$7:$E$2738,$F999)="","",INDEX(選手一覧!$E$7:$E$2738,$F999))</f>
        <v/>
      </c>
      <c r="I999" s="16" t="str">
        <f aca="false">IF(INDEX(選手一覧!$J$7:$J$2738,$F999)="","",INDEX(選手一覧!$J$7:$J$2738,$F999))</f>
        <v/>
      </c>
      <c r="J999" s="17" t="str">
        <f aca="false">IF(INDEX(選手一覧!$K$7:$K$2738,$F999)="","",INDEX(選手一覧!$K$7:$K$2738,$F999))</f>
        <v/>
      </c>
    </row>
    <row r="1000" customFormat="false" ht="15" hidden="false" customHeight="false" outlineLevel="0" collapsed="false">
      <c r="A1000" s="17" t="n">
        <v>996</v>
      </c>
      <c r="B1000" s="12" t="s">
        <v>3398</v>
      </c>
      <c r="C1000" s="12" t="s">
        <v>2938</v>
      </c>
      <c r="D1000" s="16" t="n">
        <v>0.00760289351851852</v>
      </c>
      <c r="E1000" s="15" t="n">
        <f aca="false">ROUND((D1000-$D$5)*86400,2)</f>
        <v>117.87</v>
      </c>
      <c r="F1000" s="17" t="n">
        <v>2193</v>
      </c>
      <c r="G1000" s="16" t="str">
        <f aca="false">IF(INDEX(選手一覧!$D$7:$D$2738,$F1000)="","",INDEX(選手一覧!$D$7:$D$2738,$F1000))</f>
        <v/>
      </c>
      <c r="H1000" s="17" t="str">
        <f aca="false">IF(INDEX(選手一覧!$E$7:$E$2738,$F1000)="","",INDEX(選手一覧!$E$7:$E$2738,$F1000))</f>
        <v/>
      </c>
      <c r="I1000" s="16" t="str">
        <f aca="false">IF(INDEX(選手一覧!$J$7:$J$2738,$F1000)="","",INDEX(選手一覧!$J$7:$J$2738,$F1000))</f>
        <v/>
      </c>
      <c r="J1000" s="17" t="str">
        <f aca="false">IF(INDEX(選手一覧!$K$7:$K$2738,$F1000)="","",INDEX(選手一覧!$K$7:$K$2738,$F1000))</f>
        <v/>
      </c>
    </row>
    <row r="1001" customFormat="false" ht="15" hidden="false" customHeight="false" outlineLevel="0" collapsed="false">
      <c r="A1001" s="17" t="n">
        <v>997</v>
      </c>
      <c r="B1001" s="12" t="s">
        <v>3399</v>
      </c>
      <c r="C1001" s="12" t="s">
        <v>1463</v>
      </c>
      <c r="D1001" s="16" t="n">
        <v>0.00760613425925926</v>
      </c>
      <c r="E1001" s="15" t="n">
        <f aca="false">ROUND((D1001-$D$5)*86400,2)</f>
        <v>118.15</v>
      </c>
      <c r="F1001" s="17" t="n">
        <v>2194</v>
      </c>
      <c r="G1001" s="16" t="str">
        <f aca="false">IF(INDEX(選手一覧!$D$7:$D$2738,$F1001)="","",INDEX(選手一覧!$D$7:$D$2738,$F1001))</f>
        <v/>
      </c>
      <c r="H1001" s="17" t="str">
        <f aca="false">IF(INDEX(選手一覧!$E$7:$E$2738,$F1001)="","",INDEX(選手一覧!$E$7:$E$2738,$F1001))</f>
        <v/>
      </c>
      <c r="I1001" s="16" t="str">
        <f aca="false">IF(INDEX(選手一覧!$J$7:$J$2738,$F1001)="","",INDEX(選手一覧!$J$7:$J$2738,$F1001))</f>
        <v/>
      </c>
      <c r="J1001" s="17" t="str">
        <f aca="false">IF(INDEX(選手一覧!$K$7:$K$2738,$F1001)="","",INDEX(選手一覧!$K$7:$K$2738,$F1001))</f>
        <v/>
      </c>
    </row>
    <row r="1002" customFormat="false" ht="15" hidden="false" customHeight="false" outlineLevel="0" collapsed="false">
      <c r="A1002" s="17" t="n">
        <v>998</v>
      </c>
      <c r="B1002" s="12" t="s">
        <v>3400</v>
      </c>
      <c r="C1002" s="12" t="s">
        <v>1199</v>
      </c>
      <c r="D1002" s="16" t="n">
        <v>0.0076068287037037</v>
      </c>
      <c r="E1002" s="15" t="n">
        <f aca="false">ROUND((D1002-$D$5)*86400,2)</f>
        <v>118.21</v>
      </c>
      <c r="F1002" s="17" t="n">
        <v>2195</v>
      </c>
      <c r="G1002" s="16" t="str">
        <f aca="false">IF(INDEX(選手一覧!$D$7:$D$2738,$F1002)="","",INDEX(選手一覧!$D$7:$D$2738,$F1002))</f>
        <v/>
      </c>
      <c r="H1002" s="17" t="str">
        <f aca="false">IF(INDEX(選手一覧!$E$7:$E$2738,$F1002)="","",INDEX(選手一覧!$E$7:$E$2738,$F1002))</f>
        <v/>
      </c>
      <c r="I1002" s="16" t="str">
        <f aca="false">IF(INDEX(選手一覧!$J$7:$J$2738,$F1002)="","",INDEX(選手一覧!$J$7:$J$2738,$F1002))</f>
        <v/>
      </c>
      <c r="J1002" s="17" t="str">
        <f aca="false">IF(INDEX(選手一覧!$K$7:$K$2738,$F1002)="","",INDEX(選手一覧!$K$7:$K$2738,$F1002))</f>
        <v/>
      </c>
    </row>
    <row r="1003" customFormat="false" ht="15" hidden="false" customHeight="false" outlineLevel="0" collapsed="false">
      <c r="A1003" s="17" t="n">
        <v>999</v>
      </c>
      <c r="B1003" s="12" t="s">
        <v>3401</v>
      </c>
      <c r="C1003" s="12" t="s">
        <v>2395</v>
      </c>
      <c r="D1003" s="16" t="n">
        <v>0.00760740740740741</v>
      </c>
      <c r="E1003" s="15" t="n">
        <f aca="false">ROUND((D1003-$D$5)*86400,2)</f>
        <v>118.26</v>
      </c>
      <c r="F1003" s="17" t="n">
        <v>2196</v>
      </c>
      <c r="G1003" s="16" t="str">
        <f aca="false">IF(INDEX(選手一覧!$D$7:$D$2738,$F1003)="","",INDEX(選手一覧!$D$7:$D$2738,$F1003))</f>
        <v/>
      </c>
      <c r="H1003" s="17" t="str">
        <f aca="false">IF(INDEX(選手一覧!$E$7:$E$2738,$F1003)="","",INDEX(選手一覧!$E$7:$E$2738,$F1003))</f>
        <v/>
      </c>
      <c r="I1003" s="16" t="str">
        <f aca="false">IF(INDEX(選手一覧!$J$7:$J$2738,$F1003)="","",INDEX(選手一覧!$J$7:$J$2738,$F1003))</f>
        <v/>
      </c>
      <c r="J1003" s="17" t="str">
        <f aca="false">IF(INDEX(選手一覧!$K$7:$K$2738,$F1003)="","",INDEX(選手一覧!$K$7:$K$2738,$F1003))</f>
        <v/>
      </c>
    </row>
    <row r="1004" customFormat="false" ht="15" hidden="false" customHeight="false" outlineLevel="0" collapsed="false">
      <c r="A1004" s="17" t="n">
        <v>1000</v>
      </c>
      <c r="B1004" s="12" t="s">
        <v>3402</v>
      </c>
      <c r="C1004" s="12" t="s">
        <v>179</v>
      </c>
      <c r="D1004" s="16" t="n">
        <v>0.00760763888888889</v>
      </c>
      <c r="E1004" s="15" t="n">
        <f aca="false">ROUND((D1004-$D$5)*86400,2)</f>
        <v>118.28</v>
      </c>
      <c r="F1004" s="17" t="n">
        <v>2197</v>
      </c>
      <c r="G1004" s="16" t="str">
        <f aca="false">IF(INDEX(選手一覧!$D$7:$D$2738,$F1004)="","",INDEX(選手一覧!$D$7:$D$2738,$F1004))</f>
        <v/>
      </c>
      <c r="H1004" s="17" t="str">
        <f aca="false">IF(INDEX(選手一覧!$E$7:$E$2738,$F1004)="","",INDEX(選手一覧!$E$7:$E$2738,$F1004))</f>
        <v/>
      </c>
      <c r="I1004" s="16" t="str">
        <f aca="false">IF(INDEX(選手一覧!$J$7:$J$2738,$F1004)="","",INDEX(選手一覧!$J$7:$J$2738,$F1004))</f>
        <v/>
      </c>
      <c r="J1004" s="17" t="str">
        <f aca="false">IF(INDEX(選手一覧!$K$7:$K$2738,$F1004)="","",INDEX(選手一覧!$K$7:$K$2738,$F1004))</f>
        <v/>
      </c>
    </row>
    <row r="1005" customFormat="false" ht="15" hidden="false" customHeight="false" outlineLevel="0" collapsed="false">
      <c r="A1005" s="17" t="n">
        <v>1001</v>
      </c>
      <c r="B1005" s="12" t="s">
        <v>3403</v>
      </c>
      <c r="C1005" s="12" t="s">
        <v>199</v>
      </c>
      <c r="D1005" s="16" t="n">
        <v>0.00760798611111111</v>
      </c>
      <c r="E1005" s="15" t="n">
        <f aca="false">ROUND((D1005-$D$5)*86400,2)</f>
        <v>118.31</v>
      </c>
      <c r="F1005" s="17" t="n">
        <v>2198</v>
      </c>
      <c r="G1005" s="16" t="str">
        <f aca="false">IF(INDEX(選手一覧!$D$7:$D$2738,$F1005)="","",INDEX(選手一覧!$D$7:$D$2738,$F1005))</f>
        <v/>
      </c>
      <c r="H1005" s="17" t="str">
        <f aca="false">IF(INDEX(選手一覧!$E$7:$E$2738,$F1005)="","",INDEX(選手一覧!$E$7:$E$2738,$F1005))</f>
        <v/>
      </c>
      <c r="I1005" s="16" t="str">
        <f aca="false">IF(INDEX(選手一覧!$J$7:$J$2738,$F1005)="","",INDEX(選手一覧!$J$7:$J$2738,$F1005))</f>
        <v/>
      </c>
      <c r="J1005" s="17" t="str">
        <f aca="false">IF(INDEX(選手一覧!$K$7:$K$2738,$F1005)="","",INDEX(選手一覧!$K$7:$K$2738,$F1005))</f>
        <v/>
      </c>
    </row>
    <row r="1006" customFormat="false" ht="15" hidden="false" customHeight="false" outlineLevel="0" collapsed="false">
      <c r="A1006" s="17" t="n">
        <v>1002</v>
      </c>
      <c r="B1006" s="12" t="s">
        <v>3406</v>
      </c>
      <c r="C1006" s="12" t="s">
        <v>1909</v>
      </c>
      <c r="D1006" s="16" t="n">
        <v>0.00760821759259259</v>
      </c>
      <c r="E1006" s="15" t="n">
        <f aca="false">ROUND((D1006-$D$5)*86400,2)</f>
        <v>118.33</v>
      </c>
      <c r="F1006" s="17" t="n">
        <v>2200</v>
      </c>
      <c r="G1006" s="16" t="str">
        <f aca="false">IF(INDEX(選手一覧!$D$7:$D$2738,$F1006)="","",INDEX(選手一覧!$D$7:$D$2738,$F1006))</f>
        <v/>
      </c>
      <c r="H1006" s="17" t="str">
        <f aca="false">IF(INDEX(選手一覧!$E$7:$E$2738,$F1006)="","",INDEX(選手一覧!$E$7:$E$2738,$F1006))</f>
        <v/>
      </c>
      <c r="I1006" s="16" t="str">
        <f aca="false">IF(INDEX(選手一覧!$J$7:$J$2738,$F1006)="","",INDEX(選手一覧!$J$7:$J$2738,$F1006))</f>
        <v/>
      </c>
      <c r="J1006" s="17" t="str">
        <f aca="false">IF(INDEX(選手一覧!$K$7:$K$2738,$F1006)="","",INDEX(選手一覧!$K$7:$K$2738,$F1006))</f>
        <v/>
      </c>
    </row>
    <row r="1007" customFormat="false" ht="15" hidden="false" customHeight="false" outlineLevel="0" collapsed="false">
      <c r="A1007" s="17" t="n">
        <v>1003</v>
      </c>
      <c r="B1007" s="12" t="s">
        <v>3409</v>
      </c>
      <c r="C1007" s="12" t="s">
        <v>2875</v>
      </c>
      <c r="D1007" s="16" t="n">
        <v>0.00761168981481481</v>
      </c>
      <c r="E1007" s="15" t="n">
        <f aca="false">ROUND((D1007-$D$5)*86400,2)</f>
        <v>118.63</v>
      </c>
      <c r="F1007" s="17" t="n">
        <v>2202</v>
      </c>
      <c r="G1007" s="16" t="str">
        <f aca="false">IF(INDEX(選手一覧!$D$7:$D$2738,$F1007)="","",INDEX(選手一覧!$D$7:$D$2738,$F1007))</f>
        <v/>
      </c>
      <c r="H1007" s="17" t="str">
        <f aca="false">IF(INDEX(選手一覧!$E$7:$E$2738,$F1007)="","",INDEX(選手一覧!$E$7:$E$2738,$F1007))</f>
        <v/>
      </c>
      <c r="I1007" s="16" t="str">
        <f aca="false">IF(INDEX(選手一覧!$J$7:$J$2738,$F1007)="","",INDEX(選手一覧!$J$7:$J$2738,$F1007))</f>
        <v/>
      </c>
      <c r="J1007" s="17" t="str">
        <f aca="false">IF(INDEX(選手一覧!$K$7:$K$2738,$F1007)="","",INDEX(選手一覧!$K$7:$K$2738,$F1007))</f>
        <v/>
      </c>
    </row>
    <row r="1008" customFormat="false" ht="15" hidden="false" customHeight="false" outlineLevel="0" collapsed="false">
      <c r="A1008" s="17" t="n">
        <v>1004</v>
      </c>
      <c r="B1008" s="12" t="s">
        <v>3410</v>
      </c>
      <c r="C1008" s="12" t="s">
        <v>3411</v>
      </c>
      <c r="D1008" s="16" t="n">
        <v>0.00761354166666667</v>
      </c>
      <c r="E1008" s="15" t="n">
        <f aca="false">ROUND((D1008-$D$5)*86400,2)</f>
        <v>118.79</v>
      </c>
      <c r="F1008" s="17" t="n">
        <v>2203</v>
      </c>
      <c r="G1008" s="16" t="str">
        <f aca="false">IF(INDEX(選手一覧!$D$7:$D$2738,$F1008)="","",INDEX(選手一覧!$D$7:$D$2738,$F1008))</f>
        <v/>
      </c>
      <c r="H1008" s="17" t="str">
        <f aca="false">IF(INDEX(選手一覧!$E$7:$E$2738,$F1008)="","",INDEX(選手一覧!$E$7:$E$2738,$F1008))</f>
        <v/>
      </c>
      <c r="I1008" s="16" t="str">
        <f aca="false">IF(INDEX(選手一覧!$J$7:$J$2738,$F1008)="","",INDEX(選手一覧!$J$7:$J$2738,$F1008))</f>
        <v/>
      </c>
      <c r="J1008" s="17" t="str">
        <f aca="false">IF(INDEX(選手一覧!$K$7:$K$2738,$F1008)="","",INDEX(選手一覧!$K$7:$K$2738,$F1008))</f>
        <v/>
      </c>
    </row>
    <row r="1009" customFormat="false" ht="15" hidden="false" customHeight="false" outlineLevel="0" collapsed="false">
      <c r="A1009" s="17" t="n">
        <v>1005</v>
      </c>
      <c r="B1009" s="12" t="s">
        <v>3414</v>
      </c>
      <c r="C1009" s="12" t="s">
        <v>2594</v>
      </c>
      <c r="D1009" s="16" t="n">
        <v>0.00761446759259259</v>
      </c>
      <c r="E1009" s="15" t="n">
        <f aca="false">ROUND((D1009-$D$5)*86400,2)</f>
        <v>118.87</v>
      </c>
      <c r="F1009" s="17" t="n">
        <v>2205</v>
      </c>
      <c r="G1009" s="16" t="str">
        <f aca="false">IF(INDEX(選手一覧!$D$7:$D$2738,$F1009)="","",INDEX(選手一覧!$D$7:$D$2738,$F1009))</f>
        <v/>
      </c>
      <c r="H1009" s="17" t="str">
        <f aca="false">IF(INDEX(選手一覧!$E$7:$E$2738,$F1009)="","",INDEX(選手一覧!$E$7:$E$2738,$F1009))</f>
        <v/>
      </c>
      <c r="I1009" s="16" t="str">
        <f aca="false">IF(INDEX(選手一覧!$J$7:$J$2738,$F1009)="","",INDEX(選手一覧!$J$7:$J$2738,$F1009))</f>
        <v/>
      </c>
      <c r="J1009" s="17" t="str">
        <f aca="false">IF(INDEX(選手一覧!$K$7:$K$2738,$F1009)="","",INDEX(選手一覧!$K$7:$K$2738,$F1009))</f>
        <v/>
      </c>
    </row>
    <row r="1010" customFormat="false" ht="15" hidden="false" customHeight="false" outlineLevel="0" collapsed="false">
      <c r="A1010" s="17" t="n">
        <v>1006</v>
      </c>
      <c r="B1010" s="12" t="s">
        <v>3415</v>
      </c>
      <c r="C1010" s="12" t="s">
        <v>1231</v>
      </c>
      <c r="D1010" s="16" t="n">
        <v>0.00761481481481482</v>
      </c>
      <c r="E1010" s="15" t="n">
        <f aca="false">ROUND((D1010-$D$5)*86400,2)</f>
        <v>118.9</v>
      </c>
      <c r="F1010" s="17" t="n">
        <v>2206</v>
      </c>
      <c r="G1010" s="16" t="str">
        <f aca="false">IF(INDEX(選手一覧!$D$7:$D$2738,$F1010)="","",INDEX(選手一覧!$D$7:$D$2738,$F1010))</f>
        <v/>
      </c>
      <c r="H1010" s="17" t="str">
        <f aca="false">IF(INDEX(選手一覧!$E$7:$E$2738,$F1010)="","",INDEX(選手一覧!$E$7:$E$2738,$F1010))</f>
        <v/>
      </c>
      <c r="I1010" s="16" t="str">
        <f aca="false">IF(INDEX(選手一覧!$J$7:$J$2738,$F1010)="","",INDEX(選手一覧!$J$7:$J$2738,$F1010))</f>
        <v/>
      </c>
      <c r="J1010" s="17" t="str">
        <f aca="false">IF(INDEX(選手一覧!$K$7:$K$2738,$F1010)="","",INDEX(選手一覧!$K$7:$K$2738,$F1010))</f>
        <v/>
      </c>
    </row>
    <row r="1011" customFormat="false" ht="15" hidden="false" customHeight="false" outlineLevel="0" collapsed="false">
      <c r="A1011" s="17" t="n">
        <v>1007</v>
      </c>
      <c r="B1011" s="12" t="s">
        <v>3417</v>
      </c>
      <c r="C1011" s="12" t="s">
        <v>2270</v>
      </c>
      <c r="D1011" s="16" t="n">
        <v>0.00761678240740741</v>
      </c>
      <c r="E1011" s="15" t="n">
        <f aca="false">ROUND((D1011-$D$5)*86400,2)</f>
        <v>119.07</v>
      </c>
      <c r="F1011" s="17" t="n">
        <v>2208</v>
      </c>
      <c r="G1011" s="16" t="str">
        <f aca="false">IF(INDEX(選手一覧!$D$7:$D$2738,$F1011)="","",INDEX(選手一覧!$D$7:$D$2738,$F1011))</f>
        <v/>
      </c>
      <c r="H1011" s="17" t="str">
        <f aca="false">IF(INDEX(選手一覧!$E$7:$E$2738,$F1011)="","",INDEX(選手一覧!$E$7:$E$2738,$F1011))</f>
        <v/>
      </c>
      <c r="I1011" s="16" t="str">
        <f aca="false">IF(INDEX(選手一覧!$J$7:$J$2738,$F1011)="","",INDEX(選手一覧!$J$7:$J$2738,$F1011))</f>
        <v/>
      </c>
      <c r="J1011" s="17" t="str">
        <f aca="false">IF(INDEX(選手一覧!$K$7:$K$2738,$F1011)="","",INDEX(選手一覧!$K$7:$K$2738,$F1011))</f>
        <v/>
      </c>
    </row>
    <row r="1012" customFormat="false" ht="15" hidden="false" customHeight="false" outlineLevel="0" collapsed="false">
      <c r="A1012" s="17" t="n">
        <v>1008</v>
      </c>
      <c r="B1012" s="12" t="s">
        <v>3419</v>
      </c>
      <c r="C1012" s="12" t="s">
        <v>2765</v>
      </c>
      <c r="D1012" s="16" t="n">
        <v>0.00761759259259259</v>
      </c>
      <c r="E1012" s="15" t="n">
        <f aca="false">ROUND((D1012-$D$5)*86400,2)</f>
        <v>119.14</v>
      </c>
      <c r="F1012" s="17" t="n">
        <v>2210</v>
      </c>
      <c r="G1012" s="16" t="str">
        <f aca="false">IF(INDEX(選手一覧!$D$7:$D$2738,$F1012)="","",INDEX(選手一覧!$D$7:$D$2738,$F1012))</f>
        <v/>
      </c>
      <c r="H1012" s="17" t="str">
        <f aca="false">IF(INDEX(選手一覧!$E$7:$E$2738,$F1012)="","",INDEX(選手一覧!$E$7:$E$2738,$F1012))</f>
        <v/>
      </c>
      <c r="I1012" s="16" t="str">
        <f aca="false">IF(INDEX(選手一覧!$J$7:$J$2738,$F1012)="","",INDEX(選手一覧!$J$7:$J$2738,$F1012))</f>
        <v/>
      </c>
      <c r="J1012" s="17" t="str">
        <f aca="false">IF(INDEX(選手一覧!$K$7:$K$2738,$F1012)="","",INDEX(選手一覧!$K$7:$K$2738,$F1012))</f>
        <v/>
      </c>
    </row>
    <row r="1013" customFormat="false" ht="15" hidden="false" customHeight="false" outlineLevel="0" collapsed="false">
      <c r="A1013" s="17" t="n">
        <v>1009</v>
      </c>
      <c r="B1013" s="12" t="s">
        <v>3421</v>
      </c>
      <c r="C1013" s="12" t="s">
        <v>434</v>
      </c>
      <c r="D1013" s="16" t="n">
        <v>0.00761956018518519</v>
      </c>
      <c r="E1013" s="15" t="n">
        <f aca="false">ROUND((D1013-$D$5)*86400,2)</f>
        <v>119.31</v>
      </c>
      <c r="F1013" s="17" t="n">
        <v>2212</v>
      </c>
      <c r="G1013" s="16" t="str">
        <f aca="false">IF(INDEX(選手一覧!$D$7:$D$2738,$F1013)="","",INDEX(選手一覧!$D$7:$D$2738,$F1013))</f>
        <v/>
      </c>
      <c r="H1013" s="17" t="str">
        <f aca="false">IF(INDEX(選手一覧!$E$7:$E$2738,$F1013)="","",INDEX(選手一覧!$E$7:$E$2738,$F1013))</f>
        <v/>
      </c>
      <c r="I1013" s="16" t="str">
        <f aca="false">IF(INDEX(選手一覧!$J$7:$J$2738,$F1013)="","",INDEX(選手一覧!$J$7:$J$2738,$F1013))</f>
        <v/>
      </c>
      <c r="J1013" s="17" t="str">
        <f aca="false">IF(INDEX(選手一覧!$K$7:$K$2738,$F1013)="","",INDEX(選手一覧!$K$7:$K$2738,$F1013))</f>
        <v/>
      </c>
    </row>
    <row r="1014" customFormat="false" ht="15" hidden="false" customHeight="false" outlineLevel="0" collapsed="false">
      <c r="A1014" s="17" t="n">
        <v>1010</v>
      </c>
      <c r="B1014" s="12" t="s">
        <v>3422</v>
      </c>
      <c r="C1014" s="12" t="s">
        <v>3423</v>
      </c>
      <c r="D1014" s="16" t="n">
        <v>0.00762222222222222</v>
      </c>
      <c r="E1014" s="15" t="n">
        <f aca="false">ROUND((D1014-$D$5)*86400,2)</f>
        <v>119.54</v>
      </c>
      <c r="F1014" s="17" t="n">
        <v>2213</v>
      </c>
      <c r="G1014" s="16" t="str">
        <f aca="false">IF(INDEX(選手一覧!$D$7:$D$2738,$F1014)="","",INDEX(選手一覧!$D$7:$D$2738,$F1014))</f>
        <v/>
      </c>
      <c r="H1014" s="17" t="str">
        <f aca="false">IF(INDEX(選手一覧!$E$7:$E$2738,$F1014)="","",INDEX(選手一覧!$E$7:$E$2738,$F1014))</f>
        <v/>
      </c>
      <c r="I1014" s="16" t="str">
        <f aca="false">IF(INDEX(選手一覧!$J$7:$J$2738,$F1014)="","",INDEX(選手一覧!$J$7:$J$2738,$F1014))</f>
        <v/>
      </c>
      <c r="J1014" s="17" t="str">
        <f aca="false">IF(INDEX(選手一覧!$K$7:$K$2738,$F1014)="","",INDEX(選手一覧!$K$7:$K$2738,$F1014))</f>
        <v/>
      </c>
    </row>
    <row r="1015" customFormat="false" ht="15" hidden="false" customHeight="false" outlineLevel="0" collapsed="false">
      <c r="A1015" s="17" t="n">
        <v>1011</v>
      </c>
      <c r="B1015" s="12" t="s">
        <v>3425</v>
      </c>
      <c r="C1015" s="12" t="s">
        <v>3426</v>
      </c>
      <c r="D1015" s="16" t="n">
        <v>0.00762233796296296</v>
      </c>
      <c r="E1015" s="15" t="n">
        <f aca="false">ROUND((D1015-$D$5)*86400,2)</f>
        <v>119.55</v>
      </c>
      <c r="F1015" s="17" t="n">
        <v>2215</v>
      </c>
      <c r="G1015" s="16" t="str">
        <f aca="false">IF(INDEX(選手一覧!$D$7:$D$2738,$F1015)="","",INDEX(選手一覧!$D$7:$D$2738,$F1015))</f>
        <v/>
      </c>
      <c r="H1015" s="17" t="str">
        <f aca="false">IF(INDEX(選手一覧!$E$7:$E$2738,$F1015)="","",INDEX(選手一覧!$E$7:$E$2738,$F1015))</f>
        <v/>
      </c>
      <c r="I1015" s="16" t="str">
        <f aca="false">IF(INDEX(選手一覧!$J$7:$J$2738,$F1015)="","",INDEX(選手一覧!$J$7:$J$2738,$F1015))</f>
        <v/>
      </c>
      <c r="J1015" s="17" t="str">
        <f aca="false">IF(INDEX(選手一覧!$K$7:$K$2738,$F1015)="","",INDEX(選手一覧!$K$7:$K$2738,$F1015))</f>
        <v/>
      </c>
    </row>
    <row r="1016" customFormat="false" ht="15" hidden="false" customHeight="false" outlineLevel="0" collapsed="false">
      <c r="A1016" s="17" t="n">
        <v>1012</v>
      </c>
      <c r="B1016" s="12" t="s">
        <v>3428</v>
      </c>
      <c r="C1016" s="12" t="s">
        <v>1255</v>
      </c>
      <c r="D1016" s="16" t="n">
        <v>0.00762511574074074</v>
      </c>
      <c r="E1016" s="15" t="n">
        <f aca="false">ROUND((D1016-$D$5)*86400,2)</f>
        <v>119.79</v>
      </c>
      <c r="F1016" s="17" t="n">
        <v>2217</v>
      </c>
      <c r="G1016" s="16" t="str">
        <f aca="false">IF(INDEX(選手一覧!$D$7:$D$2738,$F1016)="","",INDEX(選手一覧!$D$7:$D$2738,$F1016))</f>
        <v/>
      </c>
      <c r="H1016" s="17" t="str">
        <f aca="false">IF(INDEX(選手一覧!$E$7:$E$2738,$F1016)="","",INDEX(選手一覧!$E$7:$E$2738,$F1016))</f>
        <v/>
      </c>
      <c r="I1016" s="16" t="str">
        <f aca="false">IF(INDEX(選手一覧!$J$7:$J$2738,$F1016)="","",INDEX(選手一覧!$J$7:$J$2738,$F1016))</f>
        <v/>
      </c>
      <c r="J1016" s="17" t="str">
        <f aca="false">IF(INDEX(選手一覧!$K$7:$K$2738,$F1016)="","",INDEX(選手一覧!$K$7:$K$2738,$F1016))</f>
        <v/>
      </c>
    </row>
    <row r="1017" customFormat="false" ht="15" hidden="false" customHeight="false" outlineLevel="0" collapsed="false">
      <c r="A1017" s="17" t="n">
        <v>1013</v>
      </c>
      <c r="B1017" s="12" t="s">
        <v>3429</v>
      </c>
      <c r="C1017" s="12" t="s">
        <v>2822</v>
      </c>
      <c r="D1017" s="16" t="n">
        <v>0.00762534722222222</v>
      </c>
      <c r="E1017" s="15" t="n">
        <f aca="false">ROUND((D1017-$D$5)*86400,2)</f>
        <v>119.81</v>
      </c>
      <c r="F1017" s="17" t="n">
        <v>2218</v>
      </c>
      <c r="G1017" s="16" t="str">
        <f aca="false">IF(INDEX(選手一覧!$D$7:$D$2738,$F1017)="","",INDEX(選手一覧!$D$7:$D$2738,$F1017))</f>
        <v/>
      </c>
      <c r="H1017" s="17" t="str">
        <f aca="false">IF(INDEX(選手一覧!$E$7:$E$2738,$F1017)="","",INDEX(選手一覧!$E$7:$E$2738,$F1017))</f>
        <v/>
      </c>
      <c r="I1017" s="16" t="str">
        <f aca="false">IF(INDEX(選手一覧!$J$7:$J$2738,$F1017)="","",INDEX(選手一覧!$J$7:$J$2738,$F1017))</f>
        <v/>
      </c>
      <c r="J1017" s="17" t="str">
        <f aca="false">IF(INDEX(選手一覧!$K$7:$K$2738,$F1017)="","",INDEX(選手一覧!$K$7:$K$2738,$F1017))</f>
        <v/>
      </c>
    </row>
    <row r="1018" customFormat="false" ht="15" hidden="false" customHeight="false" outlineLevel="0" collapsed="false">
      <c r="A1018" s="17" t="n">
        <v>1014</v>
      </c>
      <c r="B1018" s="12" t="s">
        <v>3430</v>
      </c>
      <c r="C1018" s="12" t="s">
        <v>406</v>
      </c>
      <c r="D1018" s="16" t="n">
        <v>0.00762673611111111</v>
      </c>
      <c r="E1018" s="15" t="n">
        <f aca="false">ROUND((D1018-$D$5)*86400,2)</f>
        <v>119.93</v>
      </c>
      <c r="F1018" s="17" t="n">
        <v>2219</v>
      </c>
      <c r="G1018" s="16" t="str">
        <f aca="false">IF(INDEX(選手一覧!$D$7:$D$2738,$F1018)="","",INDEX(選手一覧!$D$7:$D$2738,$F1018))</f>
        <v/>
      </c>
      <c r="H1018" s="17" t="str">
        <f aca="false">IF(INDEX(選手一覧!$E$7:$E$2738,$F1018)="","",INDEX(選手一覧!$E$7:$E$2738,$F1018))</f>
        <v/>
      </c>
      <c r="I1018" s="16" t="str">
        <f aca="false">IF(INDEX(選手一覧!$J$7:$J$2738,$F1018)="","",INDEX(選手一覧!$J$7:$J$2738,$F1018))</f>
        <v/>
      </c>
      <c r="J1018" s="17" t="str">
        <f aca="false">IF(INDEX(選手一覧!$K$7:$K$2738,$F1018)="","",INDEX(選手一覧!$K$7:$K$2738,$F1018))</f>
        <v/>
      </c>
    </row>
    <row r="1019" customFormat="false" ht="15" hidden="false" customHeight="false" outlineLevel="0" collapsed="false">
      <c r="A1019" s="17" t="n">
        <v>1015</v>
      </c>
      <c r="B1019" s="12" t="s">
        <v>3433</v>
      </c>
      <c r="C1019" s="12" t="s">
        <v>2807</v>
      </c>
      <c r="D1019" s="16" t="n">
        <v>0.00762766203703704</v>
      </c>
      <c r="E1019" s="15" t="n">
        <f aca="false">ROUND((D1019-$D$5)*86400,2)</f>
        <v>120.01</v>
      </c>
      <c r="F1019" s="17" t="n">
        <v>2221</v>
      </c>
      <c r="G1019" s="16" t="str">
        <f aca="false">IF(INDEX(選手一覧!$D$7:$D$2738,$F1019)="","",INDEX(選手一覧!$D$7:$D$2738,$F1019))</f>
        <v/>
      </c>
      <c r="H1019" s="17" t="str">
        <f aca="false">IF(INDEX(選手一覧!$E$7:$E$2738,$F1019)="","",INDEX(選手一覧!$E$7:$E$2738,$F1019))</f>
        <v/>
      </c>
      <c r="I1019" s="16" t="str">
        <f aca="false">IF(INDEX(選手一覧!$J$7:$J$2738,$F1019)="","",INDEX(選手一覧!$J$7:$J$2738,$F1019))</f>
        <v/>
      </c>
      <c r="J1019" s="17" t="str">
        <f aca="false">IF(INDEX(選手一覧!$K$7:$K$2738,$F1019)="","",INDEX(選手一覧!$K$7:$K$2738,$F1019))</f>
        <v/>
      </c>
    </row>
    <row r="1020" customFormat="false" ht="15" hidden="false" customHeight="false" outlineLevel="0" collapsed="false">
      <c r="A1020" s="17" t="n">
        <v>1016</v>
      </c>
      <c r="B1020" s="12" t="s">
        <v>3434</v>
      </c>
      <c r="C1020" s="12" t="s">
        <v>3435</v>
      </c>
      <c r="D1020" s="16" t="n">
        <v>0.00762777777777778</v>
      </c>
      <c r="E1020" s="15" t="n">
        <f aca="false">ROUND((D1020-$D$5)*86400,2)</f>
        <v>120.02</v>
      </c>
      <c r="F1020" s="17" t="n">
        <v>2222</v>
      </c>
      <c r="G1020" s="16" t="str">
        <f aca="false">IF(INDEX(選手一覧!$D$7:$D$2738,$F1020)="","",INDEX(選手一覧!$D$7:$D$2738,$F1020))</f>
        <v/>
      </c>
      <c r="H1020" s="17" t="str">
        <f aca="false">IF(INDEX(選手一覧!$E$7:$E$2738,$F1020)="","",INDEX(選手一覧!$E$7:$E$2738,$F1020))</f>
        <v/>
      </c>
      <c r="I1020" s="16" t="str">
        <f aca="false">IF(INDEX(選手一覧!$J$7:$J$2738,$F1020)="","",INDEX(選手一覧!$J$7:$J$2738,$F1020))</f>
        <v/>
      </c>
      <c r="J1020" s="17" t="str">
        <f aca="false">IF(INDEX(選手一覧!$K$7:$K$2738,$F1020)="","",INDEX(選手一覧!$K$7:$K$2738,$F1020))</f>
        <v/>
      </c>
    </row>
    <row r="1021" customFormat="false" ht="15" hidden="false" customHeight="false" outlineLevel="0" collapsed="false">
      <c r="A1021" s="17" t="n">
        <v>1017</v>
      </c>
      <c r="B1021" s="12" t="s">
        <v>3438</v>
      </c>
      <c r="C1021" s="12" t="s">
        <v>3439</v>
      </c>
      <c r="D1021" s="16" t="n">
        <v>0.00762905092592593</v>
      </c>
      <c r="E1021" s="15" t="n">
        <f aca="false">ROUND((D1021-$D$5)*86400,2)</f>
        <v>120.13</v>
      </c>
      <c r="F1021" s="17" t="n">
        <v>2224</v>
      </c>
      <c r="G1021" s="16" t="str">
        <f aca="false">IF(INDEX(選手一覧!$D$7:$D$2738,$F1021)="","",INDEX(選手一覧!$D$7:$D$2738,$F1021))</f>
        <v/>
      </c>
      <c r="H1021" s="17" t="str">
        <f aca="false">IF(INDEX(選手一覧!$E$7:$E$2738,$F1021)="","",INDEX(選手一覧!$E$7:$E$2738,$F1021))</f>
        <v/>
      </c>
      <c r="I1021" s="16" t="str">
        <f aca="false">IF(INDEX(選手一覧!$J$7:$J$2738,$F1021)="","",INDEX(選手一覧!$J$7:$J$2738,$F1021))</f>
        <v/>
      </c>
      <c r="J1021" s="17" t="str">
        <f aca="false">IF(INDEX(選手一覧!$K$7:$K$2738,$F1021)="","",INDEX(選手一覧!$K$7:$K$2738,$F1021))</f>
        <v/>
      </c>
    </row>
    <row r="1022" customFormat="false" ht="15" hidden="false" customHeight="false" outlineLevel="0" collapsed="false">
      <c r="A1022" s="17" t="n">
        <v>1018</v>
      </c>
      <c r="B1022" s="12" t="s">
        <v>3441</v>
      </c>
      <c r="C1022" s="12" t="s">
        <v>3442</v>
      </c>
      <c r="D1022" s="16" t="n">
        <v>0.00762939814814815</v>
      </c>
      <c r="E1022" s="15" t="n">
        <f aca="false">ROUND((D1022-$D$5)*86400,2)</f>
        <v>120.16</v>
      </c>
      <c r="F1022" s="17" t="n">
        <v>2226</v>
      </c>
      <c r="G1022" s="16" t="str">
        <f aca="false">IF(INDEX(選手一覧!$D$7:$D$2738,$F1022)="","",INDEX(選手一覧!$D$7:$D$2738,$F1022))</f>
        <v/>
      </c>
      <c r="H1022" s="17" t="str">
        <f aca="false">IF(INDEX(選手一覧!$E$7:$E$2738,$F1022)="","",INDEX(選手一覧!$E$7:$E$2738,$F1022))</f>
        <v/>
      </c>
      <c r="I1022" s="16" t="str">
        <f aca="false">IF(INDEX(選手一覧!$J$7:$J$2738,$F1022)="","",INDEX(選手一覧!$J$7:$J$2738,$F1022))</f>
        <v/>
      </c>
      <c r="J1022" s="17" t="str">
        <f aca="false">IF(INDEX(選手一覧!$K$7:$K$2738,$F1022)="","",INDEX(選手一覧!$K$7:$K$2738,$F1022))</f>
        <v/>
      </c>
    </row>
    <row r="1023" customFormat="false" ht="15" hidden="false" customHeight="false" outlineLevel="0" collapsed="false">
      <c r="A1023" s="17" t="n">
        <v>1019</v>
      </c>
      <c r="B1023" s="12" t="s">
        <v>3443</v>
      </c>
      <c r="C1023" s="12" t="s">
        <v>3444</v>
      </c>
      <c r="D1023" s="16" t="n">
        <v>0.00762962962962963</v>
      </c>
      <c r="E1023" s="15" t="n">
        <f aca="false">ROUND((D1023-$D$5)*86400,2)</f>
        <v>120.18</v>
      </c>
      <c r="F1023" s="17" t="n">
        <v>2227</v>
      </c>
      <c r="G1023" s="16" t="str">
        <f aca="false">IF(INDEX(選手一覧!$D$7:$D$2738,$F1023)="","",INDEX(選手一覧!$D$7:$D$2738,$F1023))</f>
        <v/>
      </c>
      <c r="H1023" s="17" t="str">
        <f aca="false">IF(INDEX(選手一覧!$E$7:$E$2738,$F1023)="","",INDEX(選手一覧!$E$7:$E$2738,$F1023))</f>
        <v/>
      </c>
      <c r="I1023" s="16" t="str">
        <f aca="false">IF(INDEX(選手一覧!$J$7:$J$2738,$F1023)="","",INDEX(選手一覧!$J$7:$J$2738,$F1023))</f>
        <v/>
      </c>
      <c r="J1023" s="17" t="str">
        <f aca="false">IF(INDEX(選手一覧!$K$7:$K$2738,$F1023)="","",INDEX(選手一覧!$K$7:$K$2738,$F1023))</f>
        <v/>
      </c>
    </row>
    <row r="1024" customFormat="false" ht="15" hidden="false" customHeight="false" outlineLevel="0" collapsed="false">
      <c r="A1024" s="17" t="n">
        <v>1020</v>
      </c>
      <c r="B1024" s="12" t="s">
        <v>3445</v>
      </c>
      <c r="C1024" s="12" t="s">
        <v>3446</v>
      </c>
      <c r="D1024" s="16" t="n">
        <v>0.00763043981481482</v>
      </c>
      <c r="E1024" s="15" t="n">
        <f aca="false">ROUND((D1024-$D$5)*86400,2)</f>
        <v>120.25</v>
      </c>
      <c r="F1024" s="17" t="n">
        <v>2228</v>
      </c>
      <c r="G1024" s="16" t="str">
        <f aca="false">IF(INDEX(選手一覧!$D$7:$D$2738,$F1024)="","",INDEX(選手一覧!$D$7:$D$2738,$F1024))</f>
        <v/>
      </c>
      <c r="H1024" s="17" t="str">
        <f aca="false">IF(INDEX(選手一覧!$E$7:$E$2738,$F1024)="","",INDEX(選手一覧!$E$7:$E$2738,$F1024))</f>
        <v/>
      </c>
      <c r="I1024" s="16" t="str">
        <f aca="false">IF(INDEX(選手一覧!$J$7:$J$2738,$F1024)="","",INDEX(選手一覧!$J$7:$J$2738,$F1024))</f>
        <v/>
      </c>
      <c r="J1024" s="17" t="str">
        <f aca="false">IF(INDEX(選手一覧!$K$7:$K$2738,$F1024)="","",INDEX(選手一覧!$K$7:$K$2738,$F1024))</f>
        <v/>
      </c>
    </row>
    <row r="1025" customFormat="false" ht="15" hidden="false" customHeight="false" outlineLevel="0" collapsed="false">
      <c r="A1025" s="17" t="n">
        <v>1021</v>
      </c>
      <c r="B1025" s="12" t="s">
        <v>3448</v>
      </c>
      <c r="C1025" s="12" t="s">
        <v>790</v>
      </c>
      <c r="D1025" s="16" t="n">
        <v>0.00763333333333333</v>
      </c>
      <c r="E1025" s="15" t="n">
        <f aca="false">ROUND((D1025-$D$5)*86400,2)</f>
        <v>120.5</v>
      </c>
      <c r="F1025" s="17" t="n">
        <v>2230</v>
      </c>
      <c r="G1025" s="16" t="str">
        <f aca="false">IF(INDEX(選手一覧!$D$7:$D$2738,$F1025)="","",INDEX(選手一覧!$D$7:$D$2738,$F1025))</f>
        <v/>
      </c>
      <c r="H1025" s="17" t="str">
        <f aca="false">IF(INDEX(選手一覧!$E$7:$E$2738,$F1025)="","",INDEX(選手一覧!$E$7:$E$2738,$F1025))</f>
        <v/>
      </c>
      <c r="I1025" s="16" t="str">
        <f aca="false">IF(INDEX(選手一覧!$J$7:$J$2738,$F1025)="","",INDEX(選手一覧!$J$7:$J$2738,$F1025))</f>
        <v/>
      </c>
      <c r="J1025" s="17" t="str">
        <f aca="false">IF(INDEX(選手一覧!$K$7:$K$2738,$F1025)="","",INDEX(選手一覧!$K$7:$K$2738,$F1025))</f>
        <v/>
      </c>
    </row>
    <row r="1026" customFormat="false" ht="15" hidden="false" customHeight="false" outlineLevel="0" collapsed="false">
      <c r="A1026" s="17" t="n">
        <v>1022</v>
      </c>
      <c r="B1026" s="12" t="s">
        <v>3451</v>
      </c>
      <c r="C1026" s="12" t="s">
        <v>3452</v>
      </c>
      <c r="D1026" s="16" t="n">
        <v>0.00763344907407407</v>
      </c>
      <c r="E1026" s="15" t="n">
        <f aca="false">ROUND((D1026-$D$5)*86400,2)</f>
        <v>120.51</v>
      </c>
      <c r="F1026" s="17" t="n">
        <v>2232</v>
      </c>
      <c r="G1026" s="16" t="str">
        <f aca="false">IF(INDEX(選手一覧!$D$7:$D$2738,$F1026)="","",INDEX(選手一覧!$D$7:$D$2738,$F1026))</f>
        <v/>
      </c>
      <c r="H1026" s="17" t="str">
        <f aca="false">IF(INDEX(選手一覧!$E$7:$E$2738,$F1026)="","",INDEX(選手一覧!$E$7:$E$2738,$F1026))</f>
        <v/>
      </c>
      <c r="I1026" s="16" t="str">
        <f aca="false">IF(INDEX(選手一覧!$J$7:$J$2738,$F1026)="","",INDEX(選手一覧!$J$7:$J$2738,$F1026))</f>
        <v/>
      </c>
      <c r="J1026" s="17" t="str">
        <f aca="false">IF(INDEX(選手一覧!$K$7:$K$2738,$F1026)="","",INDEX(選手一覧!$K$7:$K$2738,$F1026))</f>
        <v/>
      </c>
    </row>
    <row r="1027" customFormat="false" ht="15" hidden="false" customHeight="false" outlineLevel="0" collapsed="false">
      <c r="A1027" s="17" t="n">
        <v>1023</v>
      </c>
      <c r="B1027" s="12" t="s">
        <v>3454</v>
      </c>
      <c r="C1027" s="12" t="s">
        <v>3455</v>
      </c>
      <c r="D1027" s="16" t="n">
        <v>0.00763449074074074</v>
      </c>
      <c r="E1027" s="15" t="n">
        <f aca="false">ROUND((D1027-$D$5)*86400,2)</f>
        <v>120.6</v>
      </c>
      <c r="F1027" s="17" t="n">
        <v>2234</v>
      </c>
      <c r="G1027" s="16" t="str">
        <f aca="false">IF(INDEX(選手一覧!$D$7:$D$2738,$F1027)="","",INDEX(選手一覧!$D$7:$D$2738,$F1027))</f>
        <v/>
      </c>
      <c r="H1027" s="17" t="str">
        <f aca="false">IF(INDEX(選手一覧!$E$7:$E$2738,$F1027)="","",INDEX(選手一覧!$E$7:$E$2738,$F1027))</f>
        <v/>
      </c>
      <c r="I1027" s="16" t="str">
        <f aca="false">IF(INDEX(選手一覧!$J$7:$J$2738,$F1027)="","",INDEX(選手一覧!$J$7:$J$2738,$F1027))</f>
        <v/>
      </c>
      <c r="J1027" s="17" t="str">
        <f aca="false">IF(INDEX(選手一覧!$K$7:$K$2738,$F1027)="","",INDEX(選手一覧!$K$7:$K$2738,$F1027))</f>
        <v/>
      </c>
    </row>
    <row r="1028" customFormat="false" ht="15" hidden="false" customHeight="false" outlineLevel="0" collapsed="false">
      <c r="A1028" s="17" t="n">
        <v>1024</v>
      </c>
      <c r="B1028" s="12" t="s">
        <v>3458</v>
      </c>
      <c r="C1028" s="12" t="s">
        <v>3459</v>
      </c>
      <c r="D1028" s="16" t="n">
        <v>0.00763564814814815</v>
      </c>
      <c r="E1028" s="15" t="n">
        <f aca="false">ROUND((D1028-$D$5)*86400,2)</f>
        <v>120.7</v>
      </c>
      <c r="F1028" s="17" t="n">
        <v>2236</v>
      </c>
      <c r="G1028" s="16" t="str">
        <f aca="false">IF(INDEX(選手一覧!$D$7:$D$2738,$F1028)="","",INDEX(選手一覧!$D$7:$D$2738,$F1028))</f>
        <v/>
      </c>
      <c r="H1028" s="17" t="str">
        <f aca="false">IF(INDEX(選手一覧!$E$7:$E$2738,$F1028)="","",INDEX(選手一覧!$E$7:$E$2738,$F1028))</f>
        <v/>
      </c>
      <c r="I1028" s="16" t="str">
        <f aca="false">IF(INDEX(選手一覧!$J$7:$J$2738,$F1028)="","",INDEX(選手一覧!$J$7:$J$2738,$F1028))</f>
        <v/>
      </c>
      <c r="J1028" s="17" t="str">
        <f aca="false">IF(INDEX(選手一覧!$K$7:$K$2738,$F1028)="","",INDEX(選手一覧!$K$7:$K$2738,$F1028))</f>
        <v/>
      </c>
    </row>
    <row r="1029" customFormat="false" ht="15" hidden="false" customHeight="false" outlineLevel="0" collapsed="false">
      <c r="A1029" s="17" t="n">
        <v>1025</v>
      </c>
      <c r="B1029" s="12" t="s">
        <v>3460</v>
      </c>
      <c r="C1029" s="12" t="s">
        <v>1558</v>
      </c>
      <c r="D1029" s="16" t="n">
        <v>0.00763576388888889</v>
      </c>
      <c r="E1029" s="15" t="n">
        <f aca="false">ROUND((D1029-$D$5)*86400,2)</f>
        <v>120.71</v>
      </c>
      <c r="F1029" s="17" t="n">
        <v>2237</v>
      </c>
      <c r="G1029" s="16" t="str">
        <f aca="false">IF(INDEX(選手一覧!$D$7:$D$2738,$F1029)="","",INDEX(選手一覧!$D$7:$D$2738,$F1029))</f>
        <v/>
      </c>
      <c r="H1029" s="17" t="str">
        <f aca="false">IF(INDEX(選手一覧!$E$7:$E$2738,$F1029)="","",INDEX(選手一覧!$E$7:$E$2738,$F1029))</f>
        <v/>
      </c>
      <c r="I1029" s="16" t="str">
        <f aca="false">IF(INDEX(選手一覧!$J$7:$J$2738,$F1029)="","",INDEX(選手一覧!$J$7:$J$2738,$F1029))</f>
        <v/>
      </c>
      <c r="J1029" s="17" t="str">
        <f aca="false">IF(INDEX(選手一覧!$K$7:$K$2738,$F1029)="","",INDEX(選手一覧!$K$7:$K$2738,$F1029))</f>
        <v/>
      </c>
    </row>
    <row r="1030" customFormat="false" ht="15" hidden="false" customHeight="false" outlineLevel="0" collapsed="false">
      <c r="A1030" s="17" t="n">
        <v>1026</v>
      </c>
      <c r="B1030" s="12" t="s">
        <v>3461</v>
      </c>
      <c r="C1030" s="12" t="s">
        <v>3462</v>
      </c>
      <c r="D1030" s="16" t="n">
        <v>0.00763831018518519</v>
      </c>
      <c r="E1030" s="15" t="n">
        <f aca="false">ROUND((D1030-$D$5)*86400,2)</f>
        <v>120.93</v>
      </c>
      <c r="F1030" s="17" t="n">
        <v>2238</v>
      </c>
      <c r="G1030" s="16" t="str">
        <f aca="false">IF(INDEX(選手一覧!$D$7:$D$2738,$F1030)="","",INDEX(選手一覧!$D$7:$D$2738,$F1030))</f>
        <v/>
      </c>
      <c r="H1030" s="17" t="str">
        <f aca="false">IF(INDEX(選手一覧!$E$7:$E$2738,$F1030)="","",INDEX(選手一覧!$E$7:$E$2738,$F1030))</f>
        <v/>
      </c>
      <c r="I1030" s="16" t="str">
        <f aca="false">IF(INDEX(選手一覧!$J$7:$J$2738,$F1030)="","",INDEX(選手一覧!$J$7:$J$2738,$F1030))</f>
        <v/>
      </c>
      <c r="J1030" s="17" t="str">
        <f aca="false">IF(INDEX(選手一覧!$K$7:$K$2738,$F1030)="","",INDEX(選手一覧!$K$7:$K$2738,$F1030))</f>
        <v/>
      </c>
    </row>
    <row r="1031" customFormat="false" ht="15" hidden="false" customHeight="false" outlineLevel="0" collapsed="false">
      <c r="A1031" s="17" t="n">
        <v>1027</v>
      </c>
      <c r="B1031" s="12" t="s">
        <v>3463</v>
      </c>
      <c r="C1031" s="12" t="s">
        <v>3464</v>
      </c>
      <c r="D1031" s="16" t="n">
        <v>0.00764224537037037</v>
      </c>
      <c r="E1031" s="15" t="n">
        <f aca="false">ROUND((D1031-$D$5)*86400,2)</f>
        <v>121.27</v>
      </c>
      <c r="F1031" s="17" t="n">
        <v>2239</v>
      </c>
      <c r="G1031" s="16" t="str">
        <f aca="false">IF(INDEX(選手一覧!$D$7:$D$2738,$F1031)="","",INDEX(選手一覧!$D$7:$D$2738,$F1031))</f>
        <v/>
      </c>
      <c r="H1031" s="17" t="str">
        <f aca="false">IF(INDEX(選手一覧!$E$7:$E$2738,$F1031)="","",INDEX(選手一覧!$E$7:$E$2738,$F1031))</f>
        <v/>
      </c>
      <c r="I1031" s="16" t="str">
        <f aca="false">IF(INDEX(選手一覧!$J$7:$J$2738,$F1031)="","",INDEX(選手一覧!$J$7:$J$2738,$F1031))</f>
        <v/>
      </c>
      <c r="J1031" s="17" t="str">
        <f aca="false">IF(INDEX(選手一覧!$K$7:$K$2738,$F1031)="","",INDEX(選手一覧!$K$7:$K$2738,$F1031))</f>
        <v/>
      </c>
    </row>
    <row r="1032" customFormat="false" ht="15" hidden="false" customHeight="false" outlineLevel="0" collapsed="false">
      <c r="A1032" s="17" t="n">
        <v>1028</v>
      </c>
      <c r="B1032" s="12" t="s">
        <v>3465</v>
      </c>
      <c r="C1032" s="12" t="s">
        <v>1035</v>
      </c>
      <c r="D1032" s="16" t="n">
        <v>0.00764247685185185</v>
      </c>
      <c r="E1032" s="15" t="n">
        <f aca="false">ROUND((D1032-$D$5)*86400,2)</f>
        <v>121.29</v>
      </c>
      <c r="F1032" s="17" t="n">
        <v>2240</v>
      </c>
      <c r="G1032" s="16" t="str">
        <f aca="false">IF(INDEX(選手一覧!$D$7:$D$2738,$F1032)="","",INDEX(選手一覧!$D$7:$D$2738,$F1032))</f>
        <v/>
      </c>
      <c r="H1032" s="17" t="str">
        <f aca="false">IF(INDEX(選手一覧!$E$7:$E$2738,$F1032)="","",INDEX(選手一覧!$E$7:$E$2738,$F1032))</f>
        <v/>
      </c>
      <c r="I1032" s="16" t="str">
        <f aca="false">IF(INDEX(選手一覧!$J$7:$J$2738,$F1032)="","",INDEX(選手一覧!$J$7:$J$2738,$F1032))</f>
        <v/>
      </c>
      <c r="J1032" s="17" t="str">
        <f aca="false">IF(INDEX(選手一覧!$K$7:$K$2738,$F1032)="","",INDEX(選手一覧!$K$7:$K$2738,$F1032))</f>
        <v/>
      </c>
    </row>
    <row r="1033" customFormat="false" ht="15" hidden="false" customHeight="false" outlineLevel="0" collapsed="false">
      <c r="A1033" s="17" t="n">
        <v>1029</v>
      </c>
      <c r="B1033" s="12" t="s">
        <v>3466</v>
      </c>
      <c r="C1033" s="12" t="s">
        <v>3467</v>
      </c>
      <c r="D1033" s="16" t="n">
        <v>0.00764270833333333</v>
      </c>
      <c r="E1033" s="15" t="n">
        <f aca="false">ROUND((D1033-$D$5)*86400,2)</f>
        <v>121.31</v>
      </c>
      <c r="F1033" s="17" t="n">
        <v>2241</v>
      </c>
      <c r="G1033" s="16" t="str">
        <f aca="false">IF(INDEX(選手一覧!$D$7:$D$2738,$F1033)="","",INDEX(選手一覧!$D$7:$D$2738,$F1033))</f>
        <v/>
      </c>
      <c r="H1033" s="17" t="str">
        <f aca="false">IF(INDEX(選手一覧!$E$7:$E$2738,$F1033)="","",INDEX(選手一覧!$E$7:$E$2738,$F1033))</f>
        <v/>
      </c>
      <c r="I1033" s="16" t="str">
        <f aca="false">IF(INDEX(選手一覧!$J$7:$J$2738,$F1033)="","",INDEX(選手一覧!$J$7:$J$2738,$F1033))</f>
        <v/>
      </c>
      <c r="J1033" s="17" t="str">
        <f aca="false">IF(INDEX(選手一覧!$K$7:$K$2738,$F1033)="","",INDEX(選手一覧!$K$7:$K$2738,$F1033))</f>
        <v/>
      </c>
    </row>
    <row r="1034" customFormat="false" ht="15" hidden="false" customHeight="false" outlineLevel="0" collapsed="false">
      <c r="A1034" s="17" t="n">
        <v>1030</v>
      </c>
      <c r="B1034" s="12" t="s">
        <v>3468</v>
      </c>
      <c r="C1034" s="12" t="s">
        <v>3469</v>
      </c>
      <c r="D1034" s="16" t="n">
        <v>0.0076443287037037</v>
      </c>
      <c r="E1034" s="15" t="n">
        <f aca="false">ROUND((D1034-$D$5)*86400,2)</f>
        <v>121.45</v>
      </c>
      <c r="F1034" s="17" t="n">
        <v>2242</v>
      </c>
      <c r="G1034" s="16" t="str">
        <f aca="false">IF(INDEX(選手一覧!$D$7:$D$2738,$F1034)="","",INDEX(選手一覧!$D$7:$D$2738,$F1034))</f>
        <v/>
      </c>
      <c r="H1034" s="17" t="str">
        <f aca="false">IF(INDEX(選手一覧!$E$7:$E$2738,$F1034)="","",INDEX(選手一覧!$E$7:$E$2738,$F1034))</f>
        <v/>
      </c>
      <c r="I1034" s="16" t="str">
        <f aca="false">IF(INDEX(選手一覧!$J$7:$J$2738,$F1034)="","",INDEX(選手一覧!$J$7:$J$2738,$F1034))</f>
        <v/>
      </c>
      <c r="J1034" s="17" t="str">
        <f aca="false">IF(INDEX(選手一覧!$K$7:$K$2738,$F1034)="","",INDEX(選手一覧!$K$7:$K$2738,$F1034))</f>
        <v/>
      </c>
    </row>
    <row r="1035" customFormat="false" ht="15" hidden="false" customHeight="false" outlineLevel="0" collapsed="false">
      <c r="A1035" s="17" t="n">
        <v>1031</v>
      </c>
      <c r="B1035" s="12" t="s">
        <v>3470</v>
      </c>
      <c r="C1035" s="12" t="s">
        <v>3471</v>
      </c>
      <c r="D1035" s="16" t="n">
        <v>0.00764456018518519</v>
      </c>
      <c r="E1035" s="15" t="n">
        <f aca="false">ROUND((D1035-$D$5)*86400,2)</f>
        <v>121.47</v>
      </c>
      <c r="F1035" s="17" t="n">
        <v>2243</v>
      </c>
      <c r="G1035" s="16" t="str">
        <f aca="false">IF(INDEX(選手一覧!$D$7:$D$2738,$F1035)="","",INDEX(選手一覧!$D$7:$D$2738,$F1035))</f>
        <v/>
      </c>
      <c r="H1035" s="17" t="str">
        <f aca="false">IF(INDEX(選手一覧!$E$7:$E$2738,$F1035)="","",INDEX(選手一覧!$E$7:$E$2738,$F1035))</f>
        <v/>
      </c>
      <c r="I1035" s="16" t="str">
        <f aca="false">IF(INDEX(選手一覧!$J$7:$J$2738,$F1035)="","",INDEX(選手一覧!$J$7:$J$2738,$F1035))</f>
        <v/>
      </c>
      <c r="J1035" s="17" t="str">
        <f aca="false">IF(INDEX(選手一覧!$K$7:$K$2738,$F1035)="","",INDEX(選手一覧!$K$7:$K$2738,$F1035))</f>
        <v/>
      </c>
    </row>
    <row r="1036" customFormat="false" ht="15" hidden="false" customHeight="false" outlineLevel="0" collapsed="false">
      <c r="A1036" s="17" t="n">
        <v>1032</v>
      </c>
      <c r="B1036" s="12" t="s">
        <v>3474</v>
      </c>
      <c r="C1036" s="12" t="s">
        <v>3475</v>
      </c>
      <c r="D1036" s="16" t="n">
        <v>0.00764571759259259</v>
      </c>
      <c r="E1036" s="15" t="n">
        <f aca="false">ROUND((D1036-$D$5)*86400,2)</f>
        <v>121.57</v>
      </c>
      <c r="F1036" s="17" t="n">
        <v>2245</v>
      </c>
      <c r="G1036" s="16" t="str">
        <f aca="false">IF(INDEX(選手一覧!$D$7:$D$2738,$F1036)="","",INDEX(選手一覧!$D$7:$D$2738,$F1036))</f>
        <v/>
      </c>
      <c r="H1036" s="17" t="str">
        <f aca="false">IF(INDEX(選手一覧!$E$7:$E$2738,$F1036)="","",INDEX(選手一覧!$E$7:$E$2738,$F1036))</f>
        <v/>
      </c>
      <c r="I1036" s="16" t="str">
        <f aca="false">IF(INDEX(選手一覧!$J$7:$J$2738,$F1036)="","",INDEX(選手一覧!$J$7:$J$2738,$F1036))</f>
        <v/>
      </c>
      <c r="J1036" s="17" t="str">
        <f aca="false">IF(INDEX(選手一覧!$K$7:$K$2738,$F1036)="","",INDEX(選手一覧!$K$7:$K$2738,$F1036))</f>
        <v/>
      </c>
    </row>
    <row r="1037" customFormat="false" ht="15" hidden="false" customHeight="false" outlineLevel="0" collapsed="false">
      <c r="A1037" s="17" t="n">
        <v>1033</v>
      </c>
      <c r="B1037" s="12" t="s">
        <v>3476</v>
      </c>
      <c r="C1037" s="12" t="s">
        <v>809</v>
      </c>
      <c r="D1037" s="16" t="n">
        <v>0.00764710648148148</v>
      </c>
      <c r="E1037" s="15" t="n">
        <f aca="false">ROUND((D1037-$D$5)*86400,2)</f>
        <v>121.69</v>
      </c>
      <c r="F1037" s="17" t="n">
        <v>2246</v>
      </c>
      <c r="G1037" s="16" t="str">
        <f aca="false">IF(INDEX(選手一覧!$D$7:$D$2738,$F1037)="","",INDEX(選手一覧!$D$7:$D$2738,$F1037))</f>
        <v/>
      </c>
      <c r="H1037" s="17" t="str">
        <f aca="false">IF(INDEX(選手一覧!$E$7:$E$2738,$F1037)="","",INDEX(選手一覧!$E$7:$E$2738,$F1037))</f>
        <v/>
      </c>
      <c r="I1037" s="16" t="str">
        <f aca="false">IF(INDEX(選手一覧!$J$7:$J$2738,$F1037)="","",INDEX(選手一覧!$J$7:$J$2738,$F1037))</f>
        <v/>
      </c>
      <c r="J1037" s="17" t="str">
        <f aca="false">IF(INDEX(選手一覧!$K$7:$K$2738,$F1037)="","",INDEX(選手一覧!$K$7:$K$2738,$F1037))</f>
        <v/>
      </c>
    </row>
    <row r="1038" customFormat="false" ht="15" hidden="false" customHeight="false" outlineLevel="0" collapsed="false">
      <c r="A1038" s="17" t="n">
        <v>1034</v>
      </c>
      <c r="B1038" s="12" t="s">
        <v>3477</v>
      </c>
      <c r="C1038" s="12" t="s">
        <v>3478</v>
      </c>
      <c r="D1038" s="16" t="n">
        <v>0.00764814814814815</v>
      </c>
      <c r="E1038" s="15" t="n">
        <f aca="false">ROUND((D1038-$D$5)*86400,2)</f>
        <v>121.78</v>
      </c>
      <c r="F1038" s="17" t="n">
        <v>2247</v>
      </c>
      <c r="G1038" s="16" t="str">
        <f aca="false">IF(INDEX(選手一覧!$D$7:$D$2738,$F1038)="","",INDEX(選手一覧!$D$7:$D$2738,$F1038))</f>
        <v/>
      </c>
      <c r="H1038" s="17" t="str">
        <f aca="false">IF(INDEX(選手一覧!$E$7:$E$2738,$F1038)="","",INDEX(選手一覧!$E$7:$E$2738,$F1038))</f>
        <v/>
      </c>
      <c r="I1038" s="16" t="str">
        <f aca="false">IF(INDEX(選手一覧!$J$7:$J$2738,$F1038)="","",INDEX(選手一覧!$J$7:$J$2738,$F1038))</f>
        <v/>
      </c>
      <c r="J1038" s="17" t="str">
        <f aca="false">IF(INDEX(選手一覧!$K$7:$K$2738,$F1038)="","",INDEX(選手一覧!$K$7:$K$2738,$F1038))</f>
        <v/>
      </c>
    </row>
    <row r="1039" customFormat="false" ht="15" hidden="false" customHeight="false" outlineLevel="0" collapsed="false">
      <c r="A1039" s="17" t="n">
        <v>1035</v>
      </c>
      <c r="B1039" s="12" t="s">
        <v>3481</v>
      </c>
      <c r="C1039" s="12" t="s">
        <v>2583</v>
      </c>
      <c r="D1039" s="16" t="n">
        <v>0.00764988425925926</v>
      </c>
      <c r="E1039" s="15" t="n">
        <f aca="false">ROUND((D1039-$D$5)*86400,2)</f>
        <v>121.93</v>
      </c>
      <c r="F1039" s="17" t="n">
        <v>2249</v>
      </c>
      <c r="G1039" s="16" t="str">
        <f aca="false">IF(INDEX(選手一覧!$D$7:$D$2738,$F1039)="","",INDEX(選手一覧!$D$7:$D$2738,$F1039))</f>
        <v/>
      </c>
      <c r="H1039" s="17" t="str">
        <f aca="false">IF(INDEX(選手一覧!$E$7:$E$2738,$F1039)="","",INDEX(選手一覧!$E$7:$E$2738,$F1039))</f>
        <v/>
      </c>
      <c r="I1039" s="16" t="str">
        <f aca="false">IF(INDEX(選手一覧!$J$7:$J$2738,$F1039)="","",INDEX(選手一覧!$J$7:$J$2738,$F1039))</f>
        <v/>
      </c>
      <c r="J1039" s="17" t="str">
        <f aca="false">IF(INDEX(選手一覧!$K$7:$K$2738,$F1039)="","",INDEX(選手一覧!$K$7:$K$2738,$F1039))</f>
        <v/>
      </c>
    </row>
    <row r="1040" customFormat="false" ht="15" hidden="false" customHeight="false" outlineLevel="0" collapsed="false">
      <c r="A1040" s="17" t="n">
        <v>1036</v>
      </c>
      <c r="B1040" s="12" t="s">
        <v>3483</v>
      </c>
      <c r="C1040" s="12" t="s">
        <v>2418</v>
      </c>
      <c r="D1040" s="16" t="n">
        <v>0.00765138888888889</v>
      </c>
      <c r="E1040" s="15" t="n">
        <f aca="false">ROUND((D1040-$D$5)*86400,2)</f>
        <v>122.06</v>
      </c>
      <c r="F1040" s="17" t="n">
        <v>2251</v>
      </c>
      <c r="G1040" s="16" t="str">
        <f aca="false">IF(INDEX(選手一覧!$D$7:$D$2738,$F1040)="","",INDEX(選手一覧!$D$7:$D$2738,$F1040))</f>
        <v/>
      </c>
      <c r="H1040" s="17" t="str">
        <f aca="false">IF(INDEX(選手一覧!$E$7:$E$2738,$F1040)="","",INDEX(選手一覧!$E$7:$E$2738,$F1040))</f>
        <v/>
      </c>
      <c r="I1040" s="16" t="str">
        <f aca="false">IF(INDEX(選手一覧!$J$7:$J$2738,$F1040)="","",INDEX(選手一覧!$J$7:$J$2738,$F1040))</f>
        <v/>
      </c>
      <c r="J1040" s="17" t="str">
        <f aca="false">IF(INDEX(選手一覧!$K$7:$K$2738,$F1040)="","",INDEX(選手一覧!$K$7:$K$2738,$F1040))</f>
        <v/>
      </c>
    </row>
    <row r="1041" customFormat="false" ht="15" hidden="false" customHeight="false" outlineLevel="0" collapsed="false">
      <c r="A1041" s="17" t="n">
        <v>1037</v>
      </c>
      <c r="B1041" s="12" t="s">
        <v>3486</v>
      </c>
      <c r="C1041" s="12" t="s">
        <v>377</v>
      </c>
      <c r="D1041" s="16" t="n">
        <v>0.00765416666666667</v>
      </c>
      <c r="E1041" s="15" t="n">
        <f aca="false">ROUND((D1041-$D$5)*86400,2)</f>
        <v>122.3</v>
      </c>
      <c r="F1041" s="17" t="n">
        <v>2253</v>
      </c>
      <c r="G1041" s="16" t="str">
        <f aca="false">IF(INDEX(選手一覧!$D$7:$D$2738,$F1041)="","",INDEX(選手一覧!$D$7:$D$2738,$F1041))</f>
        <v/>
      </c>
      <c r="H1041" s="17" t="str">
        <f aca="false">IF(INDEX(選手一覧!$E$7:$E$2738,$F1041)="","",INDEX(選手一覧!$E$7:$E$2738,$F1041))</f>
        <v/>
      </c>
      <c r="I1041" s="16" t="str">
        <f aca="false">IF(INDEX(選手一覧!$J$7:$J$2738,$F1041)="","",INDEX(選手一覧!$J$7:$J$2738,$F1041))</f>
        <v/>
      </c>
      <c r="J1041" s="17" t="str">
        <f aca="false">IF(INDEX(選手一覧!$K$7:$K$2738,$F1041)="","",INDEX(選手一覧!$K$7:$K$2738,$F1041))</f>
        <v/>
      </c>
    </row>
    <row r="1042" customFormat="false" ht="15" hidden="false" customHeight="false" outlineLevel="0" collapsed="false">
      <c r="A1042" s="17" t="n">
        <v>1038</v>
      </c>
      <c r="B1042" s="12" t="s">
        <v>3488</v>
      </c>
      <c r="C1042" s="12" t="s">
        <v>2867</v>
      </c>
      <c r="D1042" s="16" t="n">
        <v>0.00765451388888889</v>
      </c>
      <c r="E1042" s="15" t="n">
        <f aca="false">ROUND((D1042-$D$5)*86400,2)</f>
        <v>122.33</v>
      </c>
      <c r="F1042" s="17" t="n">
        <v>2255</v>
      </c>
      <c r="G1042" s="16" t="str">
        <f aca="false">IF(INDEX(選手一覧!$D$7:$D$2738,$F1042)="","",INDEX(選手一覧!$D$7:$D$2738,$F1042))</f>
        <v/>
      </c>
      <c r="H1042" s="17" t="str">
        <f aca="false">IF(INDEX(選手一覧!$E$7:$E$2738,$F1042)="","",INDEX(選手一覧!$E$7:$E$2738,$F1042))</f>
        <v/>
      </c>
      <c r="I1042" s="16" t="str">
        <f aca="false">IF(INDEX(選手一覧!$J$7:$J$2738,$F1042)="","",INDEX(選手一覧!$J$7:$J$2738,$F1042))</f>
        <v/>
      </c>
      <c r="J1042" s="17" t="str">
        <f aca="false">IF(INDEX(選手一覧!$K$7:$K$2738,$F1042)="","",INDEX(選手一覧!$K$7:$K$2738,$F1042))</f>
        <v/>
      </c>
    </row>
    <row r="1043" customFormat="false" ht="15" hidden="false" customHeight="false" outlineLevel="0" collapsed="false">
      <c r="A1043" s="17" t="n">
        <v>1039</v>
      </c>
      <c r="B1043" s="12" t="s">
        <v>3489</v>
      </c>
      <c r="C1043" s="12" t="s">
        <v>2587</v>
      </c>
      <c r="D1043" s="16" t="n">
        <v>0.00765810185185185</v>
      </c>
      <c r="E1043" s="15" t="n">
        <f aca="false">ROUND((D1043-$D$5)*86400,2)</f>
        <v>122.64</v>
      </c>
      <c r="F1043" s="17" t="n">
        <v>2256</v>
      </c>
      <c r="G1043" s="16" t="str">
        <f aca="false">IF(INDEX(選手一覧!$D$7:$D$2738,$F1043)="","",INDEX(選手一覧!$D$7:$D$2738,$F1043))</f>
        <v/>
      </c>
      <c r="H1043" s="17" t="str">
        <f aca="false">IF(INDEX(選手一覧!$E$7:$E$2738,$F1043)="","",INDEX(選手一覧!$E$7:$E$2738,$F1043))</f>
        <v/>
      </c>
      <c r="I1043" s="16" t="str">
        <f aca="false">IF(INDEX(選手一覧!$J$7:$J$2738,$F1043)="","",INDEX(選手一覧!$J$7:$J$2738,$F1043))</f>
        <v/>
      </c>
      <c r="J1043" s="17" t="str">
        <f aca="false">IF(INDEX(選手一覧!$K$7:$K$2738,$F1043)="","",INDEX(選手一覧!$K$7:$K$2738,$F1043))</f>
        <v/>
      </c>
    </row>
    <row r="1044" customFormat="false" ht="15" hidden="false" customHeight="false" outlineLevel="0" collapsed="false">
      <c r="A1044" s="17" t="n">
        <v>1040</v>
      </c>
      <c r="B1044" s="12" t="s">
        <v>3492</v>
      </c>
      <c r="C1044" s="12" t="s">
        <v>3493</v>
      </c>
      <c r="D1044" s="16" t="n">
        <v>0.00765856481481482</v>
      </c>
      <c r="E1044" s="15" t="n">
        <f aca="false">ROUND((D1044-$D$5)*86400,2)</f>
        <v>122.68</v>
      </c>
      <c r="F1044" s="17" t="n">
        <v>2258</v>
      </c>
      <c r="G1044" s="16" t="str">
        <f aca="false">IF(INDEX(選手一覧!$D$7:$D$2738,$F1044)="","",INDEX(選手一覧!$D$7:$D$2738,$F1044))</f>
        <v/>
      </c>
      <c r="H1044" s="17" t="str">
        <f aca="false">IF(INDEX(選手一覧!$E$7:$E$2738,$F1044)="","",INDEX(選手一覧!$E$7:$E$2738,$F1044))</f>
        <v/>
      </c>
      <c r="I1044" s="16" t="str">
        <f aca="false">IF(INDEX(選手一覧!$J$7:$J$2738,$F1044)="","",INDEX(選手一覧!$J$7:$J$2738,$F1044))</f>
        <v/>
      </c>
      <c r="J1044" s="17" t="str">
        <f aca="false">IF(INDEX(選手一覧!$K$7:$K$2738,$F1044)="","",INDEX(選手一覧!$K$7:$K$2738,$F1044))</f>
        <v/>
      </c>
    </row>
    <row r="1045" customFormat="false" ht="15" hidden="false" customHeight="false" outlineLevel="0" collapsed="false">
      <c r="A1045" s="17" t="n">
        <v>1041</v>
      </c>
      <c r="B1045" s="12" t="s">
        <v>3494</v>
      </c>
      <c r="C1045" s="12" t="s">
        <v>3311</v>
      </c>
      <c r="D1045" s="16" t="n">
        <v>0.00766550925925926</v>
      </c>
      <c r="E1045" s="15" t="n">
        <f aca="false">ROUND((D1045-$D$5)*86400,2)</f>
        <v>123.28</v>
      </c>
      <c r="F1045" s="17" t="n">
        <v>2259</v>
      </c>
      <c r="G1045" s="16" t="str">
        <f aca="false">IF(INDEX(選手一覧!$D$7:$D$2738,$F1045)="","",INDEX(選手一覧!$D$7:$D$2738,$F1045))</f>
        <v/>
      </c>
      <c r="H1045" s="17" t="str">
        <f aca="false">IF(INDEX(選手一覧!$E$7:$E$2738,$F1045)="","",INDEX(選手一覧!$E$7:$E$2738,$F1045))</f>
        <v/>
      </c>
      <c r="I1045" s="16" t="str">
        <f aca="false">IF(INDEX(選手一覧!$J$7:$J$2738,$F1045)="","",INDEX(選手一覧!$J$7:$J$2738,$F1045))</f>
        <v/>
      </c>
      <c r="J1045" s="17" t="str">
        <f aca="false">IF(INDEX(選手一覧!$K$7:$K$2738,$F1045)="","",INDEX(選手一覧!$K$7:$K$2738,$F1045))</f>
        <v/>
      </c>
    </row>
    <row r="1046" customFormat="false" ht="15" hidden="false" customHeight="false" outlineLevel="0" collapsed="false">
      <c r="A1046" s="17" t="n">
        <v>1042</v>
      </c>
      <c r="B1046" s="12" t="s">
        <v>3496</v>
      </c>
      <c r="C1046" s="12" t="s">
        <v>3497</v>
      </c>
      <c r="D1046" s="16" t="n">
        <v>0.00766608796296296</v>
      </c>
      <c r="E1046" s="15" t="n">
        <f aca="false">ROUND((D1046-$D$5)*86400,2)</f>
        <v>123.33</v>
      </c>
      <c r="F1046" s="17" t="n">
        <v>2261</v>
      </c>
      <c r="G1046" s="16" t="str">
        <f aca="false">IF(INDEX(選手一覧!$D$7:$D$2738,$F1046)="","",INDEX(選手一覧!$D$7:$D$2738,$F1046))</f>
        <v/>
      </c>
      <c r="H1046" s="17" t="str">
        <f aca="false">IF(INDEX(選手一覧!$E$7:$E$2738,$F1046)="","",INDEX(選手一覧!$E$7:$E$2738,$F1046))</f>
        <v/>
      </c>
      <c r="I1046" s="16" t="str">
        <f aca="false">IF(INDEX(選手一覧!$J$7:$J$2738,$F1046)="","",INDEX(選手一覧!$J$7:$J$2738,$F1046))</f>
        <v/>
      </c>
      <c r="J1046" s="17" t="str">
        <f aca="false">IF(INDEX(選手一覧!$K$7:$K$2738,$F1046)="","",INDEX(選手一覧!$K$7:$K$2738,$F1046))</f>
        <v/>
      </c>
    </row>
    <row r="1047" customFormat="false" ht="15" hidden="false" customHeight="false" outlineLevel="0" collapsed="false">
      <c r="A1047" s="17" t="n">
        <v>1043</v>
      </c>
      <c r="B1047" s="12" t="s">
        <v>3498</v>
      </c>
      <c r="C1047" s="12" t="s">
        <v>1877</v>
      </c>
      <c r="D1047" s="16" t="n">
        <v>0.00766689814814815</v>
      </c>
      <c r="E1047" s="15" t="n">
        <f aca="false">ROUND((D1047-$D$5)*86400,2)</f>
        <v>123.4</v>
      </c>
      <c r="F1047" s="17" t="n">
        <v>2262</v>
      </c>
      <c r="G1047" s="16" t="str">
        <f aca="false">IF(INDEX(選手一覧!$D$7:$D$2738,$F1047)="","",INDEX(選手一覧!$D$7:$D$2738,$F1047))</f>
        <v/>
      </c>
      <c r="H1047" s="17" t="str">
        <f aca="false">IF(INDEX(選手一覧!$E$7:$E$2738,$F1047)="","",INDEX(選手一覧!$E$7:$E$2738,$F1047))</f>
        <v/>
      </c>
      <c r="I1047" s="16" t="str">
        <f aca="false">IF(INDEX(選手一覧!$J$7:$J$2738,$F1047)="","",INDEX(選手一覧!$J$7:$J$2738,$F1047))</f>
        <v/>
      </c>
      <c r="J1047" s="17" t="str">
        <f aca="false">IF(INDEX(選手一覧!$K$7:$K$2738,$F1047)="","",INDEX(選手一覧!$K$7:$K$2738,$F1047))</f>
        <v/>
      </c>
    </row>
    <row r="1048" customFormat="false" ht="15" hidden="false" customHeight="false" outlineLevel="0" collapsed="false">
      <c r="A1048" s="17" t="n">
        <v>1044</v>
      </c>
      <c r="B1048" s="12" t="s">
        <v>3499</v>
      </c>
      <c r="C1048" s="12" t="s">
        <v>742</v>
      </c>
      <c r="D1048" s="16" t="n">
        <v>0.0076681712962963</v>
      </c>
      <c r="E1048" s="15" t="n">
        <f aca="false">ROUND((D1048-$D$5)*86400,2)</f>
        <v>123.51</v>
      </c>
      <c r="F1048" s="17" t="n">
        <v>2263</v>
      </c>
      <c r="G1048" s="16" t="str">
        <f aca="false">IF(INDEX(選手一覧!$D$7:$D$2738,$F1048)="","",INDEX(選手一覧!$D$7:$D$2738,$F1048))</f>
        <v/>
      </c>
      <c r="H1048" s="17" t="str">
        <f aca="false">IF(INDEX(選手一覧!$E$7:$E$2738,$F1048)="","",INDEX(選手一覧!$E$7:$E$2738,$F1048))</f>
        <v/>
      </c>
      <c r="I1048" s="16" t="str">
        <f aca="false">IF(INDEX(選手一覧!$J$7:$J$2738,$F1048)="","",INDEX(選手一覧!$J$7:$J$2738,$F1048))</f>
        <v/>
      </c>
      <c r="J1048" s="17" t="str">
        <f aca="false">IF(INDEX(選手一覧!$K$7:$K$2738,$F1048)="","",INDEX(選手一覧!$K$7:$K$2738,$F1048))</f>
        <v/>
      </c>
    </row>
    <row r="1049" customFormat="false" ht="15" hidden="false" customHeight="false" outlineLevel="0" collapsed="false">
      <c r="A1049" s="17" t="n">
        <v>1045</v>
      </c>
      <c r="B1049" s="12" t="s">
        <v>3501</v>
      </c>
      <c r="C1049" s="12" t="s">
        <v>3096</v>
      </c>
      <c r="D1049" s="16" t="n">
        <v>0.00767013888888889</v>
      </c>
      <c r="E1049" s="15" t="n">
        <f aca="false">ROUND((D1049-$D$5)*86400,2)</f>
        <v>123.68</v>
      </c>
      <c r="F1049" s="17" t="n">
        <v>2265</v>
      </c>
      <c r="G1049" s="16" t="str">
        <f aca="false">IF(INDEX(選手一覧!$D$7:$D$2738,$F1049)="","",INDEX(選手一覧!$D$7:$D$2738,$F1049))</f>
        <v/>
      </c>
      <c r="H1049" s="17" t="str">
        <f aca="false">IF(INDEX(選手一覧!$E$7:$E$2738,$F1049)="","",INDEX(選手一覧!$E$7:$E$2738,$F1049))</f>
        <v/>
      </c>
      <c r="I1049" s="16" t="str">
        <f aca="false">IF(INDEX(選手一覧!$J$7:$J$2738,$F1049)="","",INDEX(選手一覧!$J$7:$J$2738,$F1049))</f>
        <v/>
      </c>
      <c r="J1049" s="17" t="str">
        <f aca="false">IF(INDEX(選手一覧!$K$7:$K$2738,$F1049)="","",INDEX(選手一覧!$K$7:$K$2738,$F1049))</f>
        <v/>
      </c>
    </row>
    <row r="1050" customFormat="false" ht="15" hidden="false" customHeight="false" outlineLevel="0" collapsed="false">
      <c r="A1050" s="17" t="n">
        <v>1046</v>
      </c>
      <c r="B1050" s="12" t="s">
        <v>3503</v>
      </c>
      <c r="C1050" s="12" t="s">
        <v>3504</v>
      </c>
      <c r="D1050" s="16" t="n">
        <v>0.00767106481481482</v>
      </c>
      <c r="E1050" s="15" t="n">
        <f aca="false">ROUND((D1050-$D$5)*86400,2)</f>
        <v>123.76</v>
      </c>
      <c r="F1050" s="17" t="n">
        <v>2267</v>
      </c>
      <c r="G1050" s="16" t="str">
        <f aca="false">IF(INDEX(選手一覧!$D$7:$D$2738,$F1050)="","",INDEX(選手一覧!$D$7:$D$2738,$F1050))</f>
        <v/>
      </c>
      <c r="H1050" s="17" t="str">
        <f aca="false">IF(INDEX(選手一覧!$E$7:$E$2738,$F1050)="","",INDEX(選手一覧!$E$7:$E$2738,$F1050))</f>
        <v/>
      </c>
      <c r="I1050" s="16" t="str">
        <f aca="false">IF(INDEX(選手一覧!$J$7:$J$2738,$F1050)="","",INDEX(選手一覧!$J$7:$J$2738,$F1050))</f>
        <v/>
      </c>
      <c r="J1050" s="17" t="str">
        <f aca="false">IF(INDEX(選手一覧!$K$7:$K$2738,$F1050)="","",INDEX(選手一覧!$K$7:$K$2738,$F1050))</f>
        <v/>
      </c>
    </row>
    <row r="1051" customFormat="false" ht="15" hidden="false" customHeight="false" outlineLevel="0" collapsed="false">
      <c r="A1051" s="17" t="n">
        <v>1047</v>
      </c>
      <c r="B1051" s="12" t="s">
        <v>3505</v>
      </c>
      <c r="C1051" s="12" t="s">
        <v>3506</v>
      </c>
      <c r="D1051" s="16" t="n">
        <v>0.00767118055555556</v>
      </c>
      <c r="E1051" s="15" t="n">
        <f aca="false">ROUND((D1051-$D$5)*86400,2)</f>
        <v>123.77</v>
      </c>
      <c r="F1051" s="17" t="n">
        <v>2268</v>
      </c>
      <c r="G1051" s="16" t="str">
        <f aca="false">IF(INDEX(選手一覧!$D$7:$D$2738,$F1051)="","",INDEX(選手一覧!$D$7:$D$2738,$F1051))</f>
        <v/>
      </c>
      <c r="H1051" s="17" t="str">
        <f aca="false">IF(INDEX(選手一覧!$E$7:$E$2738,$F1051)="","",INDEX(選手一覧!$E$7:$E$2738,$F1051))</f>
        <v/>
      </c>
      <c r="I1051" s="16" t="str">
        <f aca="false">IF(INDEX(選手一覧!$J$7:$J$2738,$F1051)="","",INDEX(選手一覧!$J$7:$J$2738,$F1051))</f>
        <v/>
      </c>
      <c r="J1051" s="17" t="str">
        <f aca="false">IF(INDEX(選手一覧!$K$7:$K$2738,$F1051)="","",INDEX(選手一覧!$K$7:$K$2738,$F1051))</f>
        <v/>
      </c>
    </row>
    <row r="1052" customFormat="false" ht="15" hidden="false" customHeight="false" outlineLevel="0" collapsed="false">
      <c r="A1052" s="17" t="n">
        <v>1048</v>
      </c>
      <c r="B1052" s="12" t="s">
        <v>3508</v>
      </c>
      <c r="C1052" s="12" t="s">
        <v>454</v>
      </c>
      <c r="D1052" s="16" t="n">
        <v>0.00767199074074074</v>
      </c>
      <c r="E1052" s="15" t="n">
        <f aca="false">ROUND((D1052-$D$5)*86400,2)</f>
        <v>123.84</v>
      </c>
      <c r="F1052" s="17" t="n">
        <v>2270</v>
      </c>
      <c r="G1052" s="16" t="str">
        <f aca="false">IF(INDEX(選手一覧!$D$7:$D$2738,$F1052)="","",INDEX(選手一覧!$D$7:$D$2738,$F1052))</f>
        <v/>
      </c>
      <c r="H1052" s="17" t="str">
        <f aca="false">IF(INDEX(選手一覧!$E$7:$E$2738,$F1052)="","",INDEX(選手一覧!$E$7:$E$2738,$F1052))</f>
        <v/>
      </c>
      <c r="I1052" s="16" t="str">
        <f aca="false">IF(INDEX(選手一覧!$J$7:$J$2738,$F1052)="","",INDEX(選手一覧!$J$7:$J$2738,$F1052))</f>
        <v/>
      </c>
      <c r="J1052" s="17" t="str">
        <f aca="false">IF(INDEX(選手一覧!$K$7:$K$2738,$F1052)="","",INDEX(選手一覧!$K$7:$K$2738,$F1052))</f>
        <v/>
      </c>
    </row>
    <row r="1053" customFormat="false" ht="15" hidden="false" customHeight="false" outlineLevel="0" collapsed="false">
      <c r="A1053" s="17" t="n">
        <v>1049</v>
      </c>
      <c r="B1053" s="12" t="s">
        <v>3509</v>
      </c>
      <c r="C1053" s="12" t="s">
        <v>3510</v>
      </c>
      <c r="D1053" s="16" t="n">
        <v>0.00767210648148148</v>
      </c>
      <c r="E1053" s="15" t="n">
        <f aca="false">ROUND((D1053-$D$5)*86400,2)</f>
        <v>123.85</v>
      </c>
      <c r="F1053" s="17" t="n">
        <v>2271</v>
      </c>
      <c r="G1053" s="16" t="str">
        <f aca="false">IF(INDEX(選手一覧!$D$7:$D$2738,$F1053)="","",INDEX(選手一覧!$D$7:$D$2738,$F1053))</f>
        <v/>
      </c>
      <c r="H1053" s="17" t="str">
        <f aca="false">IF(INDEX(選手一覧!$E$7:$E$2738,$F1053)="","",INDEX(選手一覧!$E$7:$E$2738,$F1053))</f>
        <v/>
      </c>
      <c r="I1053" s="16" t="str">
        <f aca="false">IF(INDEX(選手一覧!$J$7:$J$2738,$F1053)="","",INDEX(選手一覧!$J$7:$J$2738,$F1053))</f>
        <v/>
      </c>
      <c r="J1053" s="17" t="str">
        <f aca="false">IF(INDEX(選手一覧!$K$7:$K$2738,$F1053)="","",INDEX(選手一覧!$K$7:$K$2738,$F1053))</f>
        <v/>
      </c>
    </row>
    <row r="1054" customFormat="false" ht="15" hidden="false" customHeight="false" outlineLevel="0" collapsed="false">
      <c r="A1054" s="17" t="n">
        <v>1050</v>
      </c>
      <c r="B1054" s="12" t="s">
        <v>3511</v>
      </c>
      <c r="C1054" s="12" t="s">
        <v>219</v>
      </c>
      <c r="D1054" s="16" t="n">
        <v>0.00767291666666667</v>
      </c>
      <c r="E1054" s="15" t="n">
        <f aca="false">ROUND((D1054-$D$5)*86400,2)</f>
        <v>123.92</v>
      </c>
      <c r="F1054" s="17" t="n">
        <v>2272</v>
      </c>
      <c r="G1054" s="16" t="str">
        <f aca="false">IF(INDEX(選手一覧!$D$7:$D$2738,$F1054)="","",INDEX(選手一覧!$D$7:$D$2738,$F1054))</f>
        <v/>
      </c>
      <c r="H1054" s="17" t="str">
        <f aca="false">IF(INDEX(選手一覧!$E$7:$E$2738,$F1054)="","",INDEX(選手一覧!$E$7:$E$2738,$F1054))</f>
        <v/>
      </c>
      <c r="I1054" s="16" t="str">
        <f aca="false">IF(INDEX(選手一覧!$J$7:$J$2738,$F1054)="","",INDEX(選手一覧!$J$7:$J$2738,$F1054))</f>
        <v/>
      </c>
      <c r="J1054" s="17" t="str">
        <f aca="false">IF(INDEX(選手一覧!$K$7:$K$2738,$F1054)="","",INDEX(選手一覧!$K$7:$K$2738,$F1054))</f>
        <v/>
      </c>
    </row>
    <row r="1055" customFormat="false" ht="15" hidden="false" customHeight="false" outlineLevel="0" collapsed="false">
      <c r="A1055" s="17" t="n">
        <v>1051</v>
      </c>
      <c r="B1055" s="12" t="s">
        <v>3512</v>
      </c>
      <c r="C1055" s="12" t="s">
        <v>3513</v>
      </c>
      <c r="D1055" s="16" t="n">
        <v>0.00767326388888889</v>
      </c>
      <c r="E1055" s="15" t="n">
        <f aca="false">ROUND((D1055-$D$5)*86400,2)</f>
        <v>123.95</v>
      </c>
      <c r="F1055" s="17" t="n">
        <v>2273</v>
      </c>
      <c r="G1055" s="16" t="str">
        <f aca="false">IF(INDEX(選手一覧!$D$7:$D$2738,$F1055)="","",INDEX(選手一覧!$D$7:$D$2738,$F1055))</f>
        <v/>
      </c>
      <c r="H1055" s="17" t="str">
        <f aca="false">IF(INDEX(選手一覧!$E$7:$E$2738,$F1055)="","",INDEX(選手一覧!$E$7:$E$2738,$F1055))</f>
        <v/>
      </c>
      <c r="I1055" s="16" t="str">
        <f aca="false">IF(INDEX(選手一覧!$J$7:$J$2738,$F1055)="","",INDEX(選手一覧!$J$7:$J$2738,$F1055))</f>
        <v/>
      </c>
      <c r="J1055" s="17" t="str">
        <f aca="false">IF(INDEX(選手一覧!$K$7:$K$2738,$F1055)="","",INDEX(選手一覧!$K$7:$K$2738,$F1055))</f>
        <v/>
      </c>
    </row>
    <row r="1056" customFormat="false" ht="15" hidden="false" customHeight="false" outlineLevel="0" collapsed="false">
      <c r="A1056" s="17" t="n">
        <v>1052</v>
      </c>
      <c r="B1056" s="12" t="s">
        <v>3514</v>
      </c>
      <c r="C1056" s="12" t="s">
        <v>3515</v>
      </c>
      <c r="D1056" s="16" t="n">
        <v>0.00767407407407407</v>
      </c>
      <c r="E1056" s="15" t="n">
        <f aca="false">ROUND((D1056-$D$5)*86400,2)</f>
        <v>124.02</v>
      </c>
      <c r="F1056" s="17" t="n">
        <v>2274</v>
      </c>
      <c r="G1056" s="16" t="str">
        <f aca="false">IF(INDEX(選手一覧!$D$7:$D$2738,$F1056)="","",INDEX(選手一覧!$D$7:$D$2738,$F1056))</f>
        <v/>
      </c>
      <c r="H1056" s="17" t="str">
        <f aca="false">IF(INDEX(選手一覧!$E$7:$E$2738,$F1056)="","",INDEX(選手一覧!$E$7:$E$2738,$F1056))</f>
        <v/>
      </c>
      <c r="I1056" s="16" t="str">
        <f aca="false">IF(INDEX(選手一覧!$J$7:$J$2738,$F1056)="","",INDEX(選手一覧!$J$7:$J$2738,$F1056))</f>
        <v/>
      </c>
      <c r="J1056" s="17" t="str">
        <f aca="false">IF(INDEX(選手一覧!$K$7:$K$2738,$F1056)="","",INDEX(選手一覧!$K$7:$K$2738,$F1056))</f>
        <v/>
      </c>
    </row>
    <row r="1057" customFormat="false" ht="15" hidden="false" customHeight="false" outlineLevel="0" collapsed="false">
      <c r="A1057" s="17" t="n">
        <v>1053</v>
      </c>
      <c r="B1057" s="12" t="s">
        <v>3518</v>
      </c>
      <c r="C1057" s="12" t="s">
        <v>589</v>
      </c>
      <c r="D1057" s="16" t="n">
        <v>0.00767488425925926</v>
      </c>
      <c r="E1057" s="15" t="n">
        <f aca="false">ROUND((D1057-$D$5)*86400,2)</f>
        <v>124.09</v>
      </c>
      <c r="F1057" s="17" t="n">
        <v>2276</v>
      </c>
      <c r="G1057" s="16" t="str">
        <f aca="false">IF(INDEX(選手一覧!$D$7:$D$2738,$F1057)="","",INDEX(選手一覧!$D$7:$D$2738,$F1057))</f>
        <v/>
      </c>
      <c r="H1057" s="17" t="str">
        <f aca="false">IF(INDEX(選手一覧!$E$7:$E$2738,$F1057)="","",INDEX(選手一覧!$E$7:$E$2738,$F1057))</f>
        <v/>
      </c>
      <c r="I1057" s="16" t="str">
        <f aca="false">IF(INDEX(選手一覧!$J$7:$J$2738,$F1057)="","",INDEX(選手一覧!$J$7:$J$2738,$F1057))</f>
        <v/>
      </c>
      <c r="J1057" s="17" t="str">
        <f aca="false">IF(INDEX(選手一覧!$K$7:$K$2738,$F1057)="","",INDEX(選手一覧!$K$7:$K$2738,$F1057))</f>
        <v/>
      </c>
    </row>
    <row r="1058" customFormat="false" ht="15" hidden="false" customHeight="false" outlineLevel="0" collapsed="false">
      <c r="A1058" s="17" t="n">
        <v>1054</v>
      </c>
      <c r="B1058" s="12" t="s">
        <v>3519</v>
      </c>
      <c r="C1058" s="12" t="s">
        <v>3148</v>
      </c>
      <c r="D1058" s="16" t="n">
        <v>0.00767534722222222</v>
      </c>
      <c r="E1058" s="15" t="n">
        <f aca="false">ROUND((D1058-$D$5)*86400,2)</f>
        <v>124.13</v>
      </c>
      <c r="F1058" s="17" t="n">
        <v>2277</v>
      </c>
      <c r="G1058" s="16" t="str">
        <f aca="false">IF(INDEX(選手一覧!$D$7:$D$2738,$F1058)="","",INDEX(選手一覧!$D$7:$D$2738,$F1058))</f>
        <v/>
      </c>
      <c r="H1058" s="17" t="str">
        <f aca="false">IF(INDEX(選手一覧!$E$7:$E$2738,$F1058)="","",INDEX(選手一覧!$E$7:$E$2738,$F1058))</f>
        <v/>
      </c>
      <c r="I1058" s="16" t="str">
        <f aca="false">IF(INDEX(選手一覧!$J$7:$J$2738,$F1058)="","",INDEX(選手一覧!$J$7:$J$2738,$F1058))</f>
        <v/>
      </c>
      <c r="J1058" s="17" t="str">
        <f aca="false">IF(INDEX(選手一覧!$K$7:$K$2738,$F1058)="","",INDEX(選手一覧!$K$7:$K$2738,$F1058))</f>
        <v/>
      </c>
    </row>
    <row r="1059" customFormat="false" ht="15" hidden="false" customHeight="false" outlineLevel="0" collapsed="false">
      <c r="A1059" s="17" t="n">
        <v>1055</v>
      </c>
      <c r="B1059" s="12" t="s">
        <v>3521</v>
      </c>
      <c r="C1059" s="12" t="s">
        <v>3154</v>
      </c>
      <c r="D1059" s="16" t="n">
        <v>0.00767627314814815</v>
      </c>
      <c r="E1059" s="15" t="n">
        <f aca="false">ROUND((D1059-$D$5)*86400,2)</f>
        <v>124.21</v>
      </c>
      <c r="F1059" s="17" t="n">
        <v>2279</v>
      </c>
      <c r="G1059" s="16" t="str">
        <f aca="false">IF(INDEX(選手一覧!$D$7:$D$2738,$F1059)="","",INDEX(選手一覧!$D$7:$D$2738,$F1059))</f>
        <v/>
      </c>
      <c r="H1059" s="17" t="str">
        <f aca="false">IF(INDEX(選手一覧!$E$7:$E$2738,$F1059)="","",INDEX(選手一覧!$E$7:$E$2738,$F1059))</f>
        <v/>
      </c>
      <c r="I1059" s="16" t="str">
        <f aca="false">IF(INDEX(選手一覧!$J$7:$J$2738,$F1059)="","",INDEX(選手一覧!$J$7:$J$2738,$F1059))</f>
        <v/>
      </c>
      <c r="J1059" s="17" t="str">
        <f aca="false">IF(INDEX(選手一覧!$K$7:$K$2738,$F1059)="","",INDEX(選手一覧!$K$7:$K$2738,$F1059))</f>
        <v/>
      </c>
    </row>
    <row r="1060" customFormat="false" ht="15" hidden="false" customHeight="false" outlineLevel="0" collapsed="false">
      <c r="A1060" s="17" t="n">
        <v>1056</v>
      </c>
      <c r="B1060" s="12" t="s">
        <v>1530</v>
      </c>
      <c r="C1060" s="12" t="s">
        <v>1111</v>
      </c>
      <c r="D1060" s="16" t="n">
        <v>0.0076775462962963</v>
      </c>
      <c r="E1060" s="15" t="n">
        <f aca="false">ROUND((D1060-$D$5)*86400,2)</f>
        <v>124.32</v>
      </c>
      <c r="F1060" s="17" t="n">
        <v>931</v>
      </c>
      <c r="G1060" s="16" t="n">
        <f aca="false">IF(INDEX(選手一覧!$D$7:$D$2738,$F1060)="","",INDEX(選手一覧!$D$7:$D$2738,$F1060))</f>
        <v>0.0109074074074074</v>
      </c>
      <c r="H1060" s="17" t="n">
        <f aca="false">IF(INDEX(選手一覧!$E$7:$E$2738,$F1060)="","",INDEX(選手一覧!$E$7:$E$2738,$F1060))</f>
        <v>932</v>
      </c>
      <c r="I1060" s="16" t="n">
        <f aca="false">IF(INDEX(選手一覧!$J$7:$J$2738,$F1060)="","",INDEX(選手一覧!$J$7:$J$2738,$F1060))</f>
        <v>0.00297268518518519</v>
      </c>
      <c r="J1060" s="17" t="n">
        <f aca="false">IF(INDEX(選手一覧!$K$7:$K$2738,$F1060)="","",INDEX(選手一覧!$K$7:$K$2738,$F1060))</f>
        <v>1320</v>
      </c>
    </row>
    <row r="1061" customFormat="false" ht="15" hidden="false" customHeight="false" outlineLevel="0" collapsed="false">
      <c r="A1061" s="17" t="n">
        <v>1057</v>
      </c>
      <c r="B1061" s="12" t="s">
        <v>3522</v>
      </c>
      <c r="C1061" s="12" t="s">
        <v>609</v>
      </c>
      <c r="D1061" s="16" t="n">
        <v>0.00767847222222222</v>
      </c>
      <c r="E1061" s="15" t="n">
        <f aca="false">ROUND((D1061-$D$5)*86400,2)</f>
        <v>124.4</v>
      </c>
      <c r="F1061" s="17" t="n">
        <v>2280</v>
      </c>
      <c r="G1061" s="16" t="str">
        <f aca="false">IF(INDEX(選手一覧!$D$7:$D$2738,$F1061)="","",INDEX(選手一覧!$D$7:$D$2738,$F1061))</f>
        <v/>
      </c>
      <c r="H1061" s="17" t="str">
        <f aca="false">IF(INDEX(選手一覧!$E$7:$E$2738,$F1061)="","",INDEX(選手一覧!$E$7:$E$2738,$F1061))</f>
        <v/>
      </c>
      <c r="I1061" s="16" t="str">
        <f aca="false">IF(INDEX(選手一覧!$J$7:$J$2738,$F1061)="","",INDEX(選手一覧!$J$7:$J$2738,$F1061))</f>
        <v/>
      </c>
      <c r="J1061" s="17" t="str">
        <f aca="false">IF(INDEX(選手一覧!$K$7:$K$2738,$F1061)="","",INDEX(選手一覧!$K$7:$K$2738,$F1061))</f>
        <v/>
      </c>
    </row>
    <row r="1062" customFormat="false" ht="15" hidden="false" customHeight="false" outlineLevel="0" collapsed="false">
      <c r="A1062" s="17" t="n">
        <v>1058</v>
      </c>
      <c r="B1062" s="12" t="s">
        <v>3523</v>
      </c>
      <c r="C1062" s="12" t="s">
        <v>1148</v>
      </c>
      <c r="D1062" s="16" t="n">
        <v>0.00767951388888889</v>
      </c>
      <c r="E1062" s="15" t="n">
        <f aca="false">ROUND((D1062-$D$5)*86400,2)</f>
        <v>124.49</v>
      </c>
      <c r="F1062" s="17" t="n">
        <v>2281</v>
      </c>
      <c r="G1062" s="16" t="str">
        <f aca="false">IF(INDEX(選手一覧!$D$7:$D$2738,$F1062)="","",INDEX(選手一覧!$D$7:$D$2738,$F1062))</f>
        <v/>
      </c>
      <c r="H1062" s="17" t="str">
        <f aca="false">IF(INDEX(選手一覧!$E$7:$E$2738,$F1062)="","",INDEX(選手一覧!$E$7:$E$2738,$F1062))</f>
        <v/>
      </c>
      <c r="I1062" s="16" t="str">
        <f aca="false">IF(INDEX(選手一覧!$J$7:$J$2738,$F1062)="","",INDEX(選手一覧!$J$7:$J$2738,$F1062))</f>
        <v/>
      </c>
      <c r="J1062" s="17" t="str">
        <f aca="false">IF(INDEX(選手一覧!$K$7:$K$2738,$F1062)="","",INDEX(選手一覧!$K$7:$K$2738,$F1062))</f>
        <v/>
      </c>
    </row>
    <row r="1063" customFormat="false" ht="15" hidden="false" customHeight="false" outlineLevel="0" collapsed="false">
      <c r="A1063" s="17" t="n">
        <v>1059</v>
      </c>
      <c r="B1063" s="12" t="s">
        <v>3525</v>
      </c>
      <c r="C1063" s="12" t="s">
        <v>1348</v>
      </c>
      <c r="D1063" s="16" t="n">
        <v>0.00768252314814815</v>
      </c>
      <c r="E1063" s="15" t="n">
        <f aca="false">ROUND((D1063-$D$5)*86400,2)</f>
        <v>124.75</v>
      </c>
      <c r="F1063" s="17" t="n">
        <v>2283</v>
      </c>
      <c r="G1063" s="16" t="str">
        <f aca="false">IF(INDEX(選手一覧!$D$7:$D$2738,$F1063)="","",INDEX(選手一覧!$D$7:$D$2738,$F1063))</f>
        <v/>
      </c>
      <c r="H1063" s="17" t="str">
        <f aca="false">IF(INDEX(選手一覧!$E$7:$E$2738,$F1063)="","",INDEX(選手一覧!$E$7:$E$2738,$F1063))</f>
        <v/>
      </c>
      <c r="I1063" s="16" t="str">
        <f aca="false">IF(INDEX(選手一覧!$J$7:$J$2738,$F1063)="","",INDEX(選手一覧!$J$7:$J$2738,$F1063))</f>
        <v/>
      </c>
      <c r="J1063" s="17" t="str">
        <f aca="false">IF(INDEX(選手一覧!$K$7:$K$2738,$F1063)="","",INDEX(選手一覧!$K$7:$K$2738,$F1063))</f>
        <v/>
      </c>
    </row>
    <row r="1064" customFormat="false" ht="15" hidden="false" customHeight="false" outlineLevel="0" collapsed="false">
      <c r="A1064" s="17" t="n">
        <v>1060</v>
      </c>
      <c r="B1064" s="12" t="s">
        <v>3526</v>
      </c>
      <c r="C1064" s="12" t="s">
        <v>3527</v>
      </c>
      <c r="D1064" s="16" t="n">
        <v>0.00768344907407407</v>
      </c>
      <c r="E1064" s="15" t="n">
        <f aca="false">ROUND((D1064-$D$5)*86400,2)</f>
        <v>124.83</v>
      </c>
      <c r="F1064" s="17" t="n">
        <v>2284</v>
      </c>
      <c r="G1064" s="16" t="str">
        <f aca="false">IF(INDEX(選手一覧!$D$7:$D$2738,$F1064)="","",INDEX(選手一覧!$D$7:$D$2738,$F1064))</f>
        <v/>
      </c>
      <c r="H1064" s="17" t="str">
        <f aca="false">IF(INDEX(選手一覧!$E$7:$E$2738,$F1064)="","",INDEX(選手一覧!$E$7:$E$2738,$F1064))</f>
        <v/>
      </c>
      <c r="I1064" s="16" t="str">
        <f aca="false">IF(INDEX(選手一覧!$J$7:$J$2738,$F1064)="","",INDEX(選手一覧!$J$7:$J$2738,$F1064))</f>
        <v/>
      </c>
      <c r="J1064" s="17" t="str">
        <f aca="false">IF(INDEX(選手一覧!$K$7:$K$2738,$F1064)="","",INDEX(選手一覧!$K$7:$K$2738,$F1064))</f>
        <v/>
      </c>
    </row>
    <row r="1065" customFormat="false" ht="15" hidden="false" customHeight="false" outlineLevel="0" collapsed="false">
      <c r="A1065" s="17" t="n">
        <v>1061</v>
      </c>
      <c r="B1065" s="12" t="s">
        <v>3528</v>
      </c>
      <c r="C1065" s="12" t="s">
        <v>2909</v>
      </c>
      <c r="D1065" s="16" t="n">
        <v>0.00768622685185185</v>
      </c>
      <c r="E1065" s="15" t="n">
        <f aca="false">ROUND((D1065-$D$5)*86400,2)</f>
        <v>125.07</v>
      </c>
      <c r="F1065" s="17" t="n">
        <v>2285</v>
      </c>
      <c r="G1065" s="16" t="str">
        <f aca="false">IF(INDEX(選手一覧!$D$7:$D$2738,$F1065)="","",INDEX(選手一覧!$D$7:$D$2738,$F1065))</f>
        <v/>
      </c>
      <c r="H1065" s="17" t="str">
        <f aca="false">IF(INDEX(選手一覧!$E$7:$E$2738,$F1065)="","",INDEX(選手一覧!$E$7:$E$2738,$F1065))</f>
        <v/>
      </c>
      <c r="I1065" s="16" t="str">
        <f aca="false">IF(INDEX(選手一覧!$J$7:$J$2738,$F1065)="","",INDEX(選手一覧!$J$7:$J$2738,$F1065))</f>
        <v/>
      </c>
      <c r="J1065" s="17" t="str">
        <f aca="false">IF(INDEX(選手一覧!$K$7:$K$2738,$F1065)="","",INDEX(選手一覧!$K$7:$K$2738,$F1065))</f>
        <v/>
      </c>
    </row>
    <row r="1066" customFormat="false" ht="15" hidden="false" customHeight="false" outlineLevel="0" collapsed="false">
      <c r="A1066" s="17" t="n">
        <v>1062</v>
      </c>
      <c r="B1066" s="12" t="s">
        <v>3531</v>
      </c>
      <c r="C1066" s="12" t="s">
        <v>1229</v>
      </c>
      <c r="D1066" s="16" t="n">
        <v>0.00769212962962963</v>
      </c>
      <c r="E1066" s="15" t="n">
        <f aca="false">ROUND((D1066-$D$5)*86400,2)</f>
        <v>125.58</v>
      </c>
      <c r="F1066" s="17" t="n">
        <v>2287</v>
      </c>
      <c r="G1066" s="16" t="str">
        <f aca="false">IF(INDEX(選手一覧!$D$7:$D$2738,$F1066)="","",INDEX(選手一覧!$D$7:$D$2738,$F1066))</f>
        <v/>
      </c>
      <c r="H1066" s="17" t="str">
        <f aca="false">IF(INDEX(選手一覧!$E$7:$E$2738,$F1066)="","",INDEX(選手一覧!$E$7:$E$2738,$F1066))</f>
        <v/>
      </c>
      <c r="I1066" s="16" t="str">
        <f aca="false">IF(INDEX(選手一覧!$J$7:$J$2738,$F1066)="","",INDEX(選手一覧!$J$7:$J$2738,$F1066))</f>
        <v/>
      </c>
      <c r="J1066" s="17" t="str">
        <f aca="false">IF(INDEX(選手一覧!$K$7:$K$2738,$F1066)="","",INDEX(選手一覧!$K$7:$K$2738,$F1066))</f>
        <v/>
      </c>
    </row>
    <row r="1067" customFormat="false" ht="15" hidden="false" customHeight="false" outlineLevel="0" collapsed="false">
      <c r="A1067" s="17" t="n">
        <v>1063</v>
      </c>
      <c r="B1067" s="12" t="s">
        <v>3533</v>
      </c>
      <c r="C1067" s="12" t="s">
        <v>3534</v>
      </c>
      <c r="D1067" s="16" t="n">
        <v>0.00769328703703704</v>
      </c>
      <c r="E1067" s="15" t="n">
        <f aca="false">ROUND((D1067-$D$5)*86400,2)</f>
        <v>125.68</v>
      </c>
      <c r="F1067" s="17" t="n">
        <v>2289</v>
      </c>
      <c r="G1067" s="16" t="str">
        <f aca="false">IF(INDEX(選手一覧!$D$7:$D$2738,$F1067)="","",INDEX(選手一覧!$D$7:$D$2738,$F1067))</f>
        <v/>
      </c>
      <c r="H1067" s="17" t="str">
        <f aca="false">IF(INDEX(選手一覧!$E$7:$E$2738,$F1067)="","",INDEX(選手一覧!$E$7:$E$2738,$F1067))</f>
        <v/>
      </c>
      <c r="I1067" s="16" t="str">
        <f aca="false">IF(INDEX(選手一覧!$J$7:$J$2738,$F1067)="","",INDEX(選手一覧!$J$7:$J$2738,$F1067))</f>
        <v/>
      </c>
      <c r="J1067" s="17" t="str">
        <f aca="false">IF(INDEX(選手一覧!$K$7:$K$2738,$F1067)="","",INDEX(選手一覧!$K$7:$K$2738,$F1067))</f>
        <v/>
      </c>
    </row>
    <row r="1068" customFormat="false" ht="15" hidden="false" customHeight="false" outlineLevel="0" collapsed="false">
      <c r="A1068" s="17" t="n">
        <v>1064</v>
      </c>
      <c r="B1068" s="12" t="s">
        <v>1695</v>
      </c>
      <c r="C1068" s="12" t="s">
        <v>318</v>
      </c>
      <c r="D1068" s="16" t="n">
        <v>0.00769664351851852</v>
      </c>
      <c r="E1068" s="15" t="n">
        <f aca="false">ROUND((D1068-$D$5)*86400,2)</f>
        <v>125.97</v>
      </c>
      <c r="F1068" s="17" t="n">
        <v>1045</v>
      </c>
      <c r="G1068" s="16" t="n">
        <f aca="false">IF(INDEX(選手一覧!$D$7:$D$2738,$F1068)="","",INDEX(選手一覧!$D$7:$D$2738,$F1068))</f>
        <v>0.0109732638888889</v>
      </c>
      <c r="H1068" s="17" t="n">
        <f aca="false">IF(INDEX(選手一覧!$E$7:$E$2738,$F1068)="","",INDEX(選手一覧!$E$7:$E$2738,$F1068))</f>
        <v>1046</v>
      </c>
      <c r="I1068" s="16" t="str">
        <f aca="false">IF(INDEX(選手一覧!$J$7:$J$2738,$F1068)="","",INDEX(選手一覧!$J$7:$J$2738,$F1068))</f>
        <v/>
      </c>
      <c r="J1068" s="17" t="str">
        <f aca="false">IF(INDEX(選手一覧!$K$7:$K$2738,$F1068)="","",INDEX(選手一覧!$K$7:$K$2738,$F1068))</f>
        <v/>
      </c>
    </row>
    <row r="1069" customFormat="false" ht="15" hidden="false" customHeight="false" outlineLevel="0" collapsed="false">
      <c r="A1069" s="17" t="n">
        <v>1065</v>
      </c>
      <c r="B1069" s="12" t="s">
        <v>3535</v>
      </c>
      <c r="C1069" s="12" t="s">
        <v>978</v>
      </c>
      <c r="D1069" s="16" t="n">
        <v>0.00769953703703704</v>
      </c>
      <c r="E1069" s="15" t="n">
        <f aca="false">ROUND((D1069-$D$5)*86400,2)</f>
        <v>126.22</v>
      </c>
      <c r="F1069" s="17" t="n">
        <v>2290</v>
      </c>
      <c r="G1069" s="16" t="str">
        <f aca="false">IF(INDEX(選手一覧!$D$7:$D$2738,$F1069)="","",INDEX(選手一覧!$D$7:$D$2738,$F1069))</f>
        <v/>
      </c>
      <c r="H1069" s="17" t="str">
        <f aca="false">IF(INDEX(選手一覧!$E$7:$E$2738,$F1069)="","",INDEX(選手一覧!$E$7:$E$2738,$F1069))</f>
        <v/>
      </c>
      <c r="I1069" s="16" t="str">
        <f aca="false">IF(INDEX(選手一覧!$J$7:$J$2738,$F1069)="","",INDEX(選手一覧!$J$7:$J$2738,$F1069))</f>
        <v/>
      </c>
      <c r="J1069" s="17" t="str">
        <f aca="false">IF(INDEX(選手一覧!$K$7:$K$2738,$F1069)="","",INDEX(選手一覧!$K$7:$K$2738,$F1069))</f>
        <v/>
      </c>
    </row>
    <row r="1070" customFormat="false" ht="15" hidden="false" customHeight="false" outlineLevel="0" collapsed="false">
      <c r="A1070" s="17" t="n">
        <v>1066</v>
      </c>
      <c r="B1070" s="12" t="s">
        <v>3537</v>
      </c>
      <c r="C1070" s="12" t="s">
        <v>1590</v>
      </c>
      <c r="D1070" s="16" t="n">
        <v>0.0077005787037037</v>
      </c>
      <c r="E1070" s="15" t="n">
        <f aca="false">ROUND((D1070-$D$5)*86400,2)</f>
        <v>126.31</v>
      </c>
      <c r="F1070" s="17" t="n">
        <v>2292</v>
      </c>
      <c r="G1070" s="16" t="str">
        <f aca="false">IF(INDEX(選手一覧!$D$7:$D$2738,$F1070)="","",INDEX(選手一覧!$D$7:$D$2738,$F1070))</f>
        <v/>
      </c>
      <c r="H1070" s="17" t="str">
        <f aca="false">IF(INDEX(選手一覧!$E$7:$E$2738,$F1070)="","",INDEX(選手一覧!$E$7:$E$2738,$F1070))</f>
        <v/>
      </c>
      <c r="I1070" s="16" t="str">
        <f aca="false">IF(INDEX(選手一覧!$J$7:$J$2738,$F1070)="","",INDEX(選手一覧!$J$7:$J$2738,$F1070))</f>
        <v/>
      </c>
      <c r="J1070" s="17" t="str">
        <f aca="false">IF(INDEX(選手一覧!$K$7:$K$2738,$F1070)="","",INDEX(選手一覧!$K$7:$K$2738,$F1070))</f>
        <v/>
      </c>
    </row>
    <row r="1071" customFormat="false" ht="15" hidden="false" customHeight="false" outlineLevel="0" collapsed="false">
      <c r="A1071" s="17" t="n">
        <v>1067</v>
      </c>
      <c r="B1071" s="12" t="s">
        <v>3539</v>
      </c>
      <c r="C1071" s="12" t="s">
        <v>3540</v>
      </c>
      <c r="D1071" s="16" t="n">
        <v>0.00770081018518519</v>
      </c>
      <c r="E1071" s="15" t="n">
        <f aca="false">ROUND((D1071-$D$5)*86400,2)</f>
        <v>126.33</v>
      </c>
      <c r="F1071" s="17" t="n">
        <v>2293</v>
      </c>
      <c r="G1071" s="16" t="str">
        <f aca="false">IF(INDEX(選手一覧!$D$7:$D$2738,$F1071)="","",INDEX(選手一覧!$D$7:$D$2738,$F1071))</f>
        <v/>
      </c>
      <c r="H1071" s="17" t="str">
        <f aca="false">IF(INDEX(選手一覧!$E$7:$E$2738,$F1071)="","",INDEX(選手一覧!$E$7:$E$2738,$F1071))</f>
        <v/>
      </c>
      <c r="I1071" s="16" t="str">
        <f aca="false">IF(INDEX(選手一覧!$J$7:$J$2738,$F1071)="","",INDEX(選手一覧!$J$7:$J$2738,$F1071))</f>
        <v/>
      </c>
      <c r="J1071" s="17" t="str">
        <f aca="false">IF(INDEX(選手一覧!$K$7:$K$2738,$F1071)="","",INDEX(選手一覧!$K$7:$K$2738,$F1071))</f>
        <v/>
      </c>
    </row>
    <row r="1072" customFormat="false" ht="15" hidden="false" customHeight="false" outlineLevel="0" collapsed="false">
      <c r="A1072" s="17" t="n">
        <v>1068</v>
      </c>
      <c r="B1072" s="12" t="s">
        <v>1717</v>
      </c>
      <c r="C1072" s="12" t="s">
        <v>240</v>
      </c>
      <c r="D1072" s="16" t="n">
        <v>0.00770127314814815</v>
      </c>
      <c r="E1072" s="15" t="n">
        <f aca="false">ROUND((D1072-$D$5)*86400,2)</f>
        <v>126.37</v>
      </c>
      <c r="F1072" s="17" t="n">
        <v>1060</v>
      </c>
      <c r="G1072" s="16" t="n">
        <f aca="false">IF(INDEX(選手一覧!$D$7:$D$2738,$F1072)="","",INDEX(選手一覧!$D$7:$D$2738,$F1072))</f>
        <v>0.0109813657407407</v>
      </c>
      <c r="H1072" s="17" t="n">
        <f aca="false">IF(INDEX(選手一覧!$E$7:$E$2738,$F1072)="","",INDEX(選手一覧!$E$7:$E$2738,$F1072))</f>
        <v>1061</v>
      </c>
      <c r="I1072" s="16" t="n">
        <f aca="false">IF(INDEX(選手一覧!$J$7:$J$2738,$F1072)="","",INDEX(選手一覧!$J$7:$J$2738,$F1072))</f>
        <v>0.00293321759259259</v>
      </c>
      <c r="J1072" s="17" t="n">
        <f aca="false">IF(INDEX(選手一覧!$K$7:$K$2738,$F1072)="","",INDEX(選手一覧!$K$7:$K$2738,$F1072))</f>
        <v>1181</v>
      </c>
    </row>
    <row r="1073" customFormat="false" ht="15" hidden="false" customHeight="false" outlineLevel="0" collapsed="false">
      <c r="A1073" s="17" t="n">
        <v>1069</v>
      </c>
      <c r="B1073" s="12" t="s">
        <v>3541</v>
      </c>
      <c r="C1073" s="12" t="s">
        <v>3542</v>
      </c>
      <c r="D1073" s="16" t="n">
        <v>0.0077037037037037</v>
      </c>
      <c r="E1073" s="15" t="n">
        <f aca="false">ROUND((D1073-$D$5)*86400,2)</f>
        <v>126.58</v>
      </c>
      <c r="F1073" s="17" t="n">
        <v>2294</v>
      </c>
      <c r="G1073" s="16" t="str">
        <f aca="false">IF(INDEX(選手一覧!$D$7:$D$2738,$F1073)="","",INDEX(選手一覧!$D$7:$D$2738,$F1073))</f>
        <v/>
      </c>
      <c r="H1073" s="17" t="str">
        <f aca="false">IF(INDEX(選手一覧!$E$7:$E$2738,$F1073)="","",INDEX(選手一覧!$E$7:$E$2738,$F1073))</f>
        <v/>
      </c>
      <c r="I1073" s="16" t="str">
        <f aca="false">IF(INDEX(選手一覧!$J$7:$J$2738,$F1073)="","",INDEX(選手一覧!$J$7:$J$2738,$F1073))</f>
        <v/>
      </c>
      <c r="J1073" s="17" t="str">
        <f aca="false">IF(INDEX(選手一覧!$K$7:$K$2738,$F1073)="","",INDEX(選手一覧!$K$7:$K$2738,$F1073))</f>
        <v/>
      </c>
    </row>
    <row r="1074" customFormat="false" ht="15" hidden="false" customHeight="false" outlineLevel="0" collapsed="false">
      <c r="A1074" s="17" t="n">
        <v>1070</v>
      </c>
      <c r="B1074" s="12" t="s">
        <v>3545</v>
      </c>
      <c r="C1074" s="12" t="s">
        <v>1049</v>
      </c>
      <c r="D1074" s="16" t="n">
        <v>0.00770405092592593</v>
      </c>
      <c r="E1074" s="15" t="n">
        <f aca="false">ROUND((D1074-$D$5)*86400,2)</f>
        <v>126.61</v>
      </c>
      <c r="F1074" s="17" t="n">
        <v>2296</v>
      </c>
      <c r="G1074" s="16" t="str">
        <f aca="false">IF(INDEX(選手一覧!$D$7:$D$2738,$F1074)="","",INDEX(選手一覧!$D$7:$D$2738,$F1074))</f>
        <v/>
      </c>
      <c r="H1074" s="17" t="str">
        <f aca="false">IF(INDEX(選手一覧!$E$7:$E$2738,$F1074)="","",INDEX(選手一覧!$E$7:$E$2738,$F1074))</f>
        <v/>
      </c>
      <c r="I1074" s="16" t="str">
        <f aca="false">IF(INDEX(選手一覧!$J$7:$J$2738,$F1074)="","",INDEX(選手一覧!$J$7:$J$2738,$F1074))</f>
        <v/>
      </c>
      <c r="J1074" s="17" t="str">
        <f aca="false">IF(INDEX(選手一覧!$K$7:$K$2738,$F1074)="","",INDEX(選手一覧!$K$7:$K$2738,$F1074))</f>
        <v/>
      </c>
    </row>
    <row r="1075" customFormat="false" ht="15" hidden="false" customHeight="false" outlineLevel="0" collapsed="false">
      <c r="A1075" s="17" t="n">
        <v>1071</v>
      </c>
      <c r="B1075" s="12" t="s">
        <v>3546</v>
      </c>
      <c r="C1075" s="12" t="s">
        <v>3547</v>
      </c>
      <c r="D1075" s="16" t="n">
        <v>0.00770486111111111</v>
      </c>
      <c r="E1075" s="15" t="n">
        <f aca="false">ROUND((D1075-$D$5)*86400,2)</f>
        <v>126.68</v>
      </c>
      <c r="F1075" s="17" t="n">
        <v>2297</v>
      </c>
      <c r="G1075" s="16" t="str">
        <f aca="false">IF(INDEX(選手一覧!$D$7:$D$2738,$F1075)="","",INDEX(選手一覧!$D$7:$D$2738,$F1075))</f>
        <v/>
      </c>
      <c r="H1075" s="17" t="str">
        <f aca="false">IF(INDEX(選手一覧!$E$7:$E$2738,$F1075)="","",INDEX(選手一覧!$E$7:$E$2738,$F1075))</f>
        <v/>
      </c>
      <c r="I1075" s="16" t="str">
        <f aca="false">IF(INDEX(選手一覧!$J$7:$J$2738,$F1075)="","",INDEX(選手一覧!$J$7:$J$2738,$F1075))</f>
        <v/>
      </c>
      <c r="J1075" s="17" t="str">
        <f aca="false">IF(INDEX(選手一覧!$K$7:$K$2738,$F1075)="","",INDEX(選手一覧!$K$7:$K$2738,$F1075))</f>
        <v/>
      </c>
    </row>
    <row r="1076" customFormat="false" ht="15" hidden="false" customHeight="false" outlineLevel="0" collapsed="false">
      <c r="A1076" s="17" t="n">
        <v>1072</v>
      </c>
      <c r="B1076" s="12" t="s">
        <v>3548</v>
      </c>
      <c r="C1076" s="12" t="s">
        <v>3549</v>
      </c>
      <c r="D1076" s="16" t="n">
        <v>0.00770509259259259</v>
      </c>
      <c r="E1076" s="15" t="n">
        <f aca="false">ROUND((D1076-$D$5)*86400,2)</f>
        <v>126.7</v>
      </c>
      <c r="F1076" s="17" t="n">
        <v>2298</v>
      </c>
      <c r="G1076" s="16" t="str">
        <f aca="false">IF(INDEX(選手一覧!$D$7:$D$2738,$F1076)="","",INDEX(選手一覧!$D$7:$D$2738,$F1076))</f>
        <v/>
      </c>
      <c r="H1076" s="17" t="str">
        <f aca="false">IF(INDEX(選手一覧!$E$7:$E$2738,$F1076)="","",INDEX(選手一覧!$E$7:$E$2738,$F1076))</f>
        <v/>
      </c>
      <c r="I1076" s="16" t="str">
        <f aca="false">IF(INDEX(選手一覧!$J$7:$J$2738,$F1076)="","",INDEX(選手一覧!$J$7:$J$2738,$F1076))</f>
        <v/>
      </c>
      <c r="J1076" s="17" t="str">
        <f aca="false">IF(INDEX(選手一覧!$K$7:$K$2738,$F1076)="","",INDEX(選手一覧!$K$7:$K$2738,$F1076))</f>
        <v/>
      </c>
    </row>
    <row r="1077" customFormat="false" ht="15" hidden="false" customHeight="false" outlineLevel="0" collapsed="false">
      <c r="A1077" s="17" t="n">
        <v>1073</v>
      </c>
      <c r="B1077" s="12" t="s">
        <v>3551</v>
      </c>
      <c r="C1077" s="12" t="s">
        <v>2621</v>
      </c>
      <c r="D1077" s="16" t="n">
        <v>0.00770601851851852</v>
      </c>
      <c r="E1077" s="15" t="n">
        <f aca="false">ROUND((D1077-$D$5)*86400,2)</f>
        <v>126.78</v>
      </c>
      <c r="F1077" s="17" t="n">
        <v>2300</v>
      </c>
      <c r="G1077" s="16" t="str">
        <f aca="false">IF(INDEX(選手一覧!$D$7:$D$2738,$F1077)="","",INDEX(選手一覧!$D$7:$D$2738,$F1077))</f>
        <v/>
      </c>
      <c r="H1077" s="17" t="str">
        <f aca="false">IF(INDEX(選手一覧!$E$7:$E$2738,$F1077)="","",INDEX(選手一覧!$E$7:$E$2738,$F1077))</f>
        <v/>
      </c>
      <c r="I1077" s="16" t="str">
        <f aca="false">IF(INDEX(選手一覧!$J$7:$J$2738,$F1077)="","",INDEX(選手一覧!$J$7:$J$2738,$F1077))</f>
        <v/>
      </c>
      <c r="J1077" s="17" t="str">
        <f aca="false">IF(INDEX(選手一覧!$K$7:$K$2738,$F1077)="","",INDEX(選手一覧!$K$7:$K$2738,$F1077))</f>
        <v/>
      </c>
    </row>
    <row r="1078" customFormat="false" ht="15" hidden="false" customHeight="false" outlineLevel="0" collapsed="false">
      <c r="A1078" s="17" t="n">
        <v>1074</v>
      </c>
      <c r="B1078" s="12" t="s">
        <v>3553</v>
      </c>
      <c r="C1078" s="12" t="s">
        <v>3554</v>
      </c>
      <c r="D1078" s="16" t="n">
        <v>0.00770613425925926</v>
      </c>
      <c r="E1078" s="15" t="n">
        <f aca="false">ROUND((D1078-$D$5)*86400,2)</f>
        <v>126.79</v>
      </c>
      <c r="F1078" s="17" t="n">
        <v>2302</v>
      </c>
      <c r="G1078" s="16" t="str">
        <f aca="false">IF(INDEX(選手一覧!$D$7:$D$2738,$F1078)="","",INDEX(選手一覧!$D$7:$D$2738,$F1078))</f>
        <v/>
      </c>
      <c r="H1078" s="17" t="str">
        <f aca="false">IF(INDEX(選手一覧!$E$7:$E$2738,$F1078)="","",INDEX(選手一覧!$E$7:$E$2738,$F1078))</f>
        <v/>
      </c>
      <c r="I1078" s="16" t="str">
        <f aca="false">IF(INDEX(選手一覧!$J$7:$J$2738,$F1078)="","",INDEX(選手一覧!$J$7:$J$2738,$F1078))</f>
        <v/>
      </c>
      <c r="J1078" s="17" t="str">
        <f aca="false">IF(INDEX(選手一覧!$K$7:$K$2738,$F1078)="","",INDEX(選手一覧!$K$7:$K$2738,$F1078))</f>
        <v/>
      </c>
    </row>
    <row r="1079" customFormat="false" ht="15" hidden="false" customHeight="false" outlineLevel="0" collapsed="false">
      <c r="A1079" s="17" t="n">
        <v>1075</v>
      </c>
      <c r="B1079" s="12" t="s">
        <v>3556</v>
      </c>
      <c r="C1079" s="12" t="s">
        <v>3557</v>
      </c>
      <c r="D1079" s="16" t="n">
        <v>0.00770740740740741</v>
      </c>
      <c r="E1079" s="15" t="n">
        <f aca="false">ROUND((D1079-$D$5)*86400,2)</f>
        <v>126.9</v>
      </c>
      <c r="F1079" s="17" t="n">
        <v>2304</v>
      </c>
      <c r="G1079" s="16" t="str">
        <f aca="false">IF(INDEX(選手一覧!$D$7:$D$2738,$F1079)="","",INDEX(選手一覧!$D$7:$D$2738,$F1079))</f>
        <v/>
      </c>
      <c r="H1079" s="17" t="str">
        <f aca="false">IF(INDEX(選手一覧!$E$7:$E$2738,$F1079)="","",INDEX(選手一覧!$E$7:$E$2738,$F1079))</f>
        <v/>
      </c>
      <c r="I1079" s="16" t="str">
        <f aca="false">IF(INDEX(選手一覧!$J$7:$J$2738,$F1079)="","",INDEX(選手一覧!$J$7:$J$2738,$F1079))</f>
        <v/>
      </c>
      <c r="J1079" s="17" t="str">
        <f aca="false">IF(INDEX(選手一覧!$K$7:$K$2738,$F1079)="","",INDEX(選手一覧!$K$7:$K$2738,$F1079))</f>
        <v/>
      </c>
    </row>
    <row r="1080" customFormat="false" ht="15" hidden="false" customHeight="false" outlineLevel="0" collapsed="false">
      <c r="A1080" s="17" t="n">
        <v>1076</v>
      </c>
      <c r="B1080" s="12" t="s">
        <v>3560</v>
      </c>
      <c r="C1080" s="12" t="s">
        <v>3022</v>
      </c>
      <c r="D1080" s="16" t="n">
        <v>0.00770775462962963</v>
      </c>
      <c r="E1080" s="15" t="n">
        <f aca="false">ROUND((D1080-$D$5)*86400,2)</f>
        <v>126.93</v>
      </c>
      <c r="F1080" s="17" t="n">
        <v>2306</v>
      </c>
      <c r="G1080" s="16" t="str">
        <f aca="false">IF(INDEX(選手一覧!$D$7:$D$2738,$F1080)="","",INDEX(選手一覧!$D$7:$D$2738,$F1080))</f>
        <v/>
      </c>
      <c r="H1080" s="17" t="str">
        <f aca="false">IF(INDEX(選手一覧!$E$7:$E$2738,$F1080)="","",INDEX(選手一覧!$E$7:$E$2738,$F1080))</f>
        <v/>
      </c>
      <c r="I1080" s="16" t="str">
        <f aca="false">IF(INDEX(選手一覧!$J$7:$J$2738,$F1080)="","",INDEX(選手一覧!$J$7:$J$2738,$F1080))</f>
        <v/>
      </c>
      <c r="J1080" s="17" t="str">
        <f aca="false">IF(INDEX(選手一覧!$K$7:$K$2738,$F1080)="","",INDEX(選手一覧!$K$7:$K$2738,$F1080))</f>
        <v/>
      </c>
    </row>
    <row r="1081" customFormat="false" ht="15" hidden="false" customHeight="false" outlineLevel="0" collapsed="false">
      <c r="A1081" s="17" t="n">
        <v>1077</v>
      </c>
      <c r="B1081" s="12" t="s">
        <v>3561</v>
      </c>
      <c r="C1081" s="12" t="s">
        <v>313</v>
      </c>
      <c r="D1081" s="16" t="n">
        <v>0.00770810185185185</v>
      </c>
      <c r="E1081" s="15" t="n">
        <f aca="false">ROUND((D1081-$D$5)*86400,2)</f>
        <v>126.96</v>
      </c>
      <c r="F1081" s="17" t="n">
        <v>2307</v>
      </c>
      <c r="G1081" s="16" t="str">
        <f aca="false">IF(INDEX(選手一覧!$D$7:$D$2738,$F1081)="","",INDEX(選手一覧!$D$7:$D$2738,$F1081))</f>
        <v/>
      </c>
      <c r="H1081" s="17" t="str">
        <f aca="false">IF(INDEX(選手一覧!$E$7:$E$2738,$F1081)="","",INDEX(選手一覧!$E$7:$E$2738,$F1081))</f>
        <v/>
      </c>
      <c r="I1081" s="16" t="str">
        <f aca="false">IF(INDEX(選手一覧!$J$7:$J$2738,$F1081)="","",INDEX(選手一覧!$J$7:$J$2738,$F1081))</f>
        <v/>
      </c>
      <c r="J1081" s="17" t="str">
        <f aca="false">IF(INDEX(選手一覧!$K$7:$K$2738,$F1081)="","",INDEX(選手一覧!$K$7:$K$2738,$F1081))</f>
        <v/>
      </c>
    </row>
    <row r="1082" customFormat="false" ht="15" hidden="false" customHeight="false" outlineLevel="0" collapsed="false">
      <c r="A1082" s="17" t="n">
        <v>1078</v>
      </c>
      <c r="B1082" s="12" t="s">
        <v>3563</v>
      </c>
      <c r="C1082" s="12" t="s">
        <v>3564</v>
      </c>
      <c r="D1082" s="16" t="n">
        <v>0.00770821759259259</v>
      </c>
      <c r="E1082" s="15" t="n">
        <f aca="false">ROUND((D1082-$D$5)*86400,2)</f>
        <v>126.97</v>
      </c>
      <c r="F1082" s="17" t="n">
        <v>2309</v>
      </c>
      <c r="G1082" s="16" t="str">
        <f aca="false">IF(INDEX(選手一覧!$D$7:$D$2738,$F1082)="","",INDEX(選手一覧!$D$7:$D$2738,$F1082))</f>
        <v/>
      </c>
      <c r="H1082" s="17" t="str">
        <f aca="false">IF(INDEX(選手一覧!$E$7:$E$2738,$F1082)="","",INDEX(選手一覧!$E$7:$E$2738,$F1082))</f>
        <v/>
      </c>
      <c r="I1082" s="16" t="str">
        <f aca="false">IF(INDEX(選手一覧!$J$7:$J$2738,$F1082)="","",INDEX(選手一覧!$J$7:$J$2738,$F1082))</f>
        <v/>
      </c>
      <c r="J1082" s="17" t="str">
        <f aca="false">IF(INDEX(選手一覧!$K$7:$K$2738,$F1082)="","",INDEX(選手一覧!$K$7:$K$2738,$F1082))</f>
        <v/>
      </c>
    </row>
    <row r="1083" customFormat="false" ht="15" hidden="false" customHeight="false" outlineLevel="0" collapsed="false">
      <c r="A1083" s="17" t="n">
        <v>1079</v>
      </c>
      <c r="B1083" s="12" t="s">
        <v>3565</v>
      </c>
      <c r="C1083" s="12" t="s">
        <v>159</v>
      </c>
      <c r="D1083" s="16" t="n">
        <v>0.00771157407407407</v>
      </c>
      <c r="E1083" s="15" t="n">
        <f aca="false">ROUND((D1083-$D$5)*86400,2)</f>
        <v>127.26</v>
      </c>
      <c r="F1083" s="17" t="n">
        <v>2310</v>
      </c>
      <c r="G1083" s="16" t="str">
        <f aca="false">IF(INDEX(選手一覧!$D$7:$D$2738,$F1083)="","",INDEX(選手一覧!$D$7:$D$2738,$F1083))</f>
        <v/>
      </c>
      <c r="H1083" s="17" t="str">
        <f aca="false">IF(INDEX(選手一覧!$E$7:$E$2738,$F1083)="","",INDEX(選手一覧!$E$7:$E$2738,$F1083))</f>
        <v/>
      </c>
      <c r="I1083" s="16" t="str">
        <f aca="false">IF(INDEX(選手一覧!$J$7:$J$2738,$F1083)="","",INDEX(選手一覧!$J$7:$J$2738,$F1083))</f>
        <v/>
      </c>
      <c r="J1083" s="17" t="str">
        <f aca="false">IF(INDEX(選手一覧!$K$7:$K$2738,$F1083)="","",INDEX(選手一覧!$K$7:$K$2738,$F1083))</f>
        <v/>
      </c>
    </row>
    <row r="1084" customFormat="false" ht="15" hidden="false" customHeight="false" outlineLevel="0" collapsed="false">
      <c r="A1084" s="17" t="n">
        <v>1080</v>
      </c>
      <c r="B1084" s="12" t="s">
        <v>3567</v>
      </c>
      <c r="C1084" s="12" t="s">
        <v>3568</v>
      </c>
      <c r="D1084" s="16" t="n">
        <v>0.00771215277777778</v>
      </c>
      <c r="E1084" s="15" t="n">
        <f aca="false">ROUND((D1084-$D$5)*86400,2)</f>
        <v>127.31</v>
      </c>
      <c r="F1084" s="17" t="n">
        <v>2312</v>
      </c>
      <c r="G1084" s="16" t="str">
        <f aca="false">IF(INDEX(選手一覧!$D$7:$D$2738,$F1084)="","",INDEX(選手一覧!$D$7:$D$2738,$F1084))</f>
        <v/>
      </c>
      <c r="H1084" s="17" t="str">
        <f aca="false">IF(INDEX(選手一覧!$E$7:$E$2738,$F1084)="","",INDEX(選手一覧!$E$7:$E$2738,$F1084))</f>
        <v/>
      </c>
      <c r="I1084" s="16" t="str">
        <f aca="false">IF(INDEX(選手一覧!$J$7:$J$2738,$F1084)="","",INDEX(選手一覧!$J$7:$J$2738,$F1084))</f>
        <v/>
      </c>
      <c r="J1084" s="17" t="str">
        <f aca="false">IF(INDEX(選手一覧!$K$7:$K$2738,$F1084)="","",INDEX(選手一覧!$K$7:$K$2738,$F1084))</f>
        <v/>
      </c>
    </row>
    <row r="1085" customFormat="false" ht="15" hidden="false" customHeight="false" outlineLevel="0" collapsed="false">
      <c r="A1085" s="17" t="n">
        <v>1081</v>
      </c>
      <c r="B1085" s="12" t="s">
        <v>3569</v>
      </c>
      <c r="C1085" s="12" t="s">
        <v>2137</v>
      </c>
      <c r="D1085" s="16" t="n">
        <v>0.00771261574074074</v>
      </c>
      <c r="E1085" s="15" t="n">
        <f aca="false">ROUND((D1085-$D$5)*86400,2)</f>
        <v>127.35</v>
      </c>
      <c r="F1085" s="17" t="n">
        <v>2313</v>
      </c>
      <c r="G1085" s="16" t="str">
        <f aca="false">IF(INDEX(選手一覧!$D$7:$D$2738,$F1085)="","",INDEX(選手一覧!$D$7:$D$2738,$F1085))</f>
        <v/>
      </c>
      <c r="H1085" s="17" t="str">
        <f aca="false">IF(INDEX(選手一覧!$E$7:$E$2738,$F1085)="","",INDEX(選手一覧!$E$7:$E$2738,$F1085))</f>
        <v/>
      </c>
      <c r="I1085" s="16" t="str">
        <f aca="false">IF(INDEX(選手一覧!$J$7:$J$2738,$F1085)="","",INDEX(選手一覧!$J$7:$J$2738,$F1085))</f>
        <v/>
      </c>
      <c r="J1085" s="17" t="str">
        <f aca="false">IF(INDEX(選手一覧!$K$7:$K$2738,$F1085)="","",INDEX(選手一覧!$K$7:$K$2738,$F1085))</f>
        <v/>
      </c>
    </row>
    <row r="1086" customFormat="false" ht="15" hidden="false" customHeight="false" outlineLevel="0" collapsed="false">
      <c r="A1086" s="17" t="n">
        <v>1082</v>
      </c>
      <c r="B1086" s="12" t="s">
        <v>3570</v>
      </c>
      <c r="C1086" s="12" t="s">
        <v>2967</v>
      </c>
      <c r="D1086" s="16" t="n">
        <v>0.00771331018518519</v>
      </c>
      <c r="E1086" s="15" t="n">
        <f aca="false">ROUND((D1086-$D$5)*86400,2)</f>
        <v>127.41</v>
      </c>
      <c r="F1086" s="17" t="n">
        <v>2314</v>
      </c>
      <c r="G1086" s="16" t="str">
        <f aca="false">IF(INDEX(選手一覧!$D$7:$D$2738,$F1086)="","",INDEX(選手一覧!$D$7:$D$2738,$F1086))</f>
        <v/>
      </c>
      <c r="H1086" s="17" t="str">
        <f aca="false">IF(INDEX(選手一覧!$E$7:$E$2738,$F1086)="","",INDEX(選手一覧!$E$7:$E$2738,$F1086))</f>
        <v/>
      </c>
      <c r="I1086" s="16" t="str">
        <f aca="false">IF(INDEX(選手一覧!$J$7:$J$2738,$F1086)="","",INDEX(選手一覧!$J$7:$J$2738,$F1086))</f>
        <v/>
      </c>
      <c r="J1086" s="17" t="str">
        <f aca="false">IF(INDEX(選手一覧!$K$7:$K$2738,$F1086)="","",INDEX(選手一覧!$K$7:$K$2738,$F1086))</f>
        <v/>
      </c>
    </row>
    <row r="1087" customFormat="false" ht="15" hidden="false" customHeight="false" outlineLevel="0" collapsed="false">
      <c r="A1087" s="17" t="n">
        <v>1083</v>
      </c>
      <c r="B1087" s="12" t="s">
        <v>3571</v>
      </c>
      <c r="C1087" s="12" t="s">
        <v>488</v>
      </c>
      <c r="D1087" s="16" t="n">
        <v>0.00771377314814815</v>
      </c>
      <c r="E1087" s="15" t="n">
        <f aca="false">ROUND((D1087-$D$5)*86400,2)</f>
        <v>127.45</v>
      </c>
      <c r="F1087" s="17" t="n">
        <v>2315</v>
      </c>
      <c r="G1087" s="16" t="str">
        <f aca="false">IF(INDEX(選手一覧!$D$7:$D$2738,$F1087)="","",INDEX(選手一覧!$D$7:$D$2738,$F1087))</f>
        <v/>
      </c>
      <c r="H1087" s="17" t="str">
        <f aca="false">IF(INDEX(選手一覧!$E$7:$E$2738,$F1087)="","",INDEX(選手一覧!$E$7:$E$2738,$F1087))</f>
        <v/>
      </c>
      <c r="I1087" s="16" t="str">
        <f aca="false">IF(INDEX(選手一覧!$J$7:$J$2738,$F1087)="","",INDEX(選手一覧!$J$7:$J$2738,$F1087))</f>
        <v/>
      </c>
      <c r="J1087" s="17" t="str">
        <f aca="false">IF(INDEX(選手一覧!$K$7:$K$2738,$F1087)="","",INDEX(選手一覧!$K$7:$K$2738,$F1087))</f>
        <v/>
      </c>
    </row>
    <row r="1088" customFormat="false" ht="15" hidden="false" customHeight="false" outlineLevel="0" collapsed="false">
      <c r="A1088" s="17" t="n">
        <v>1084</v>
      </c>
      <c r="B1088" s="12" t="s">
        <v>2078</v>
      </c>
      <c r="C1088" s="12" t="s">
        <v>619</v>
      </c>
      <c r="D1088" s="16" t="n">
        <v>0.00771712962962963</v>
      </c>
      <c r="E1088" s="15" t="n">
        <f aca="false">ROUND((D1088-$D$5)*86400,2)</f>
        <v>127.74</v>
      </c>
      <c r="F1088" s="17" t="n">
        <v>1317</v>
      </c>
      <c r="G1088" s="16" t="str">
        <f aca="false">IF(INDEX(選手一覧!$D$7:$D$2738,$F1088)="","",INDEX(選手一覧!$D$7:$D$2738,$F1088))</f>
        <v/>
      </c>
      <c r="H1088" s="17" t="str">
        <f aca="false">IF(INDEX(選手一覧!$E$7:$E$2738,$F1088)="","",INDEX(選手一覧!$E$7:$E$2738,$F1088))</f>
        <v/>
      </c>
      <c r="I1088" s="16" t="n">
        <f aca="false">IF(INDEX(選手一覧!$J$7:$J$2738,$F1088)="","",INDEX(選手一覧!$J$7:$J$2738,$F1088))</f>
        <v>0.00276412037037037</v>
      </c>
      <c r="J1088" s="17" t="n">
        <f aca="false">IF(INDEX(選手一覧!$K$7:$K$2738,$F1088)="","",INDEX(選手一覧!$K$7:$K$2738,$F1088))</f>
        <v>145</v>
      </c>
    </row>
    <row r="1089" customFormat="false" ht="15" hidden="false" customHeight="false" outlineLevel="0" collapsed="false">
      <c r="A1089" s="17" t="n">
        <v>1085</v>
      </c>
      <c r="B1089" s="12" t="s">
        <v>3573</v>
      </c>
      <c r="C1089" s="12" t="s">
        <v>2174</v>
      </c>
      <c r="D1089" s="16" t="n">
        <v>0.0077193287037037</v>
      </c>
      <c r="E1089" s="15" t="n">
        <f aca="false">ROUND((D1089-$D$5)*86400,2)</f>
        <v>127.93</v>
      </c>
      <c r="F1089" s="17" t="n">
        <v>2317</v>
      </c>
      <c r="G1089" s="16" t="str">
        <f aca="false">IF(INDEX(選手一覧!$D$7:$D$2738,$F1089)="","",INDEX(選手一覧!$D$7:$D$2738,$F1089))</f>
        <v/>
      </c>
      <c r="H1089" s="17" t="str">
        <f aca="false">IF(INDEX(選手一覧!$E$7:$E$2738,$F1089)="","",INDEX(選手一覧!$E$7:$E$2738,$F1089))</f>
        <v/>
      </c>
      <c r="I1089" s="16" t="n">
        <f aca="false">IF(INDEX(選手一覧!$J$7:$J$2738,$F1089)="","",INDEX(選手一覧!$J$7:$J$2738,$F1089))</f>
        <v>0.00292418981481482</v>
      </c>
      <c r="J1089" s="17" t="n">
        <f aca="false">IF(INDEX(選手一覧!$K$7:$K$2738,$F1089)="","",INDEX(選手一覧!$K$7:$K$2738,$F1089))</f>
        <v>1139</v>
      </c>
    </row>
    <row r="1090" customFormat="false" ht="15" hidden="false" customHeight="false" outlineLevel="0" collapsed="false">
      <c r="A1090" s="17" t="n">
        <v>1086</v>
      </c>
      <c r="B1090" s="12" t="s">
        <v>3574</v>
      </c>
      <c r="C1090" s="12" t="s">
        <v>2883</v>
      </c>
      <c r="D1090" s="16" t="n">
        <v>0.00771944444444445</v>
      </c>
      <c r="E1090" s="15" t="n">
        <f aca="false">ROUND((D1090-$D$5)*86400,2)</f>
        <v>127.94</v>
      </c>
      <c r="F1090" s="17" t="n">
        <v>2318</v>
      </c>
      <c r="G1090" s="16" t="str">
        <f aca="false">IF(INDEX(選手一覧!$D$7:$D$2738,$F1090)="","",INDEX(選手一覧!$D$7:$D$2738,$F1090))</f>
        <v/>
      </c>
      <c r="H1090" s="17" t="str">
        <f aca="false">IF(INDEX(選手一覧!$E$7:$E$2738,$F1090)="","",INDEX(選手一覧!$E$7:$E$2738,$F1090))</f>
        <v/>
      </c>
      <c r="I1090" s="16" t="str">
        <f aca="false">IF(INDEX(選手一覧!$J$7:$J$2738,$F1090)="","",INDEX(選手一覧!$J$7:$J$2738,$F1090))</f>
        <v/>
      </c>
      <c r="J1090" s="17" t="str">
        <f aca="false">IF(INDEX(選手一覧!$K$7:$K$2738,$F1090)="","",INDEX(選手一覧!$K$7:$K$2738,$F1090))</f>
        <v/>
      </c>
    </row>
    <row r="1091" customFormat="false" ht="15" hidden="false" customHeight="false" outlineLevel="0" collapsed="false">
      <c r="A1091" s="17" t="n">
        <v>1087</v>
      </c>
      <c r="B1091" s="12" t="s">
        <v>3577</v>
      </c>
      <c r="C1091" s="12" t="s">
        <v>3578</v>
      </c>
      <c r="D1091" s="16" t="n">
        <v>0.00772106481481482</v>
      </c>
      <c r="E1091" s="15" t="n">
        <f aca="false">ROUND((D1091-$D$5)*86400,2)</f>
        <v>128.08</v>
      </c>
      <c r="F1091" s="17" t="n">
        <v>2320</v>
      </c>
      <c r="G1091" s="16" t="str">
        <f aca="false">IF(INDEX(選手一覧!$D$7:$D$2738,$F1091)="","",INDEX(選手一覧!$D$7:$D$2738,$F1091))</f>
        <v/>
      </c>
      <c r="H1091" s="17" t="str">
        <f aca="false">IF(INDEX(選手一覧!$E$7:$E$2738,$F1091)="","",INDEX(選手一覧!$E$7:$E$2738,$F1091))</f>
        <v/>
      </c>
      <c r="I1091" s="16" t="str">
        <f aca="false">IF(INDEX(選手一覧!$J$7:$J$2738,$F1091)="","",INDEX(選手一覧!$J$7:$J$2738,$F1091))</f>
        <v/>
      </c>
      <c r="J1091" s="17" t="str">
        <f aca="false">IF(INDEX(選手一覧!$K$7:$K$2738,$F1091)="","",INDEX(選手一覧!$K$7:$K$2738,$F1091))</f>
        <v/>
      </c>
    </row>
    <row r="1092" customFormat="false" ht="15" hidden="false" customHeight="false" outlineLevel="0" collapsed="false">
      <c r="A1092" s="17" t="n">
        <v>1088</v>
      </c>
      <c r="B1092" s="12" t="s">
        <v>3580</v>
      </c>
      <c r="C1092" s="12" t="s">
        <v>1320</v>
      </c>
      <c r="D1092" s="16" t="n">
        <v>0.00772233796296296</v>
      </c>
      <c r="E1092" s="15" t="n">
        <f aca="false">ROUND((D1092-$D$5)*86400,2)</f>
        <v>128.19</v>
      </c>
      <c r="F1092" s="17" t="n">
        <v>2322</v>
      </c>
      <c r="G1092" s="16" t="str">
        <f aca="false">IF(INDEX(選手一覧!$D$7:$D$2738,$F1092)="","",INDEX(選手一覧!$D$7:$D$2738,$F1092))</f>
        <v/>
      </c>
      <c r="H1092" s="17" t="str">
        <f aca="false">IF(INDEX(選手一覧!$E$7:$E$2738,$F1092)="","",INDEX(選手一覧!$E$7:$E$2738,$F1092))</f>
        <v/>
      </c>
      <c r="I1092" s="16" t="str">
        <f aca="false">IF(INDEX(選手一覧!$J$7:$J$2738,$F1092)="","",INDEX(選手一覧!$J$7:$J$2738,$F1092))</f>
        <v/>
      </c>
      <c r="J1092" s="17" t="str">
        <f aca="false">IF(INDEX(選手一覧!$K$7:$K$2738,$F1092)="","",INDEX(選手一覧!$K$7:$K$2738,$F1092))</f>
        <v/>
      </c>
    </row>
    <row r="1093" customFormat="false" ht="15" hidden="false" customHeight="false" outlineLevel="0" collapsed="false">
      <c r="A1093" s="17" t="n">
        <v>1089</v>
      </c>
      <c r="B1093" s="12" t="s">
        <v>3581</v>
      </c>
      <c r="C1093" s="12" t="s">
        <v>3582</v>
      </c>
      <c r="D1093" s="16" t="n">
        <v>0.00772291666666667</v>
      </c>
      <c r="E1093" s="15" t="n">
        <f aca="false">ROUND((D1093-$D$5)*86400,2)</f>
        <v>128.24</v>
      </c>
      <c r="F1093" s="17" t="n">
        <v>2323</v>
      </c>
      <c r="G1093" s="16" t="str">
        <f aca="false">IF(INDEX(選手一覧!$D$7:$D$2738,$F1093)="","",INDEX(選手一覧!$D$7:$D$2738,$F1093))</f>
        <v/>
      </c>
      <c r="H1093" s="17" t="str">
        <f aca="false">IF(INDEX(選手一覧!$E$7:$E$2738,$F1093)="","",INDEX(選手一覧!$E$7:$E$2738,$F1093))</f>
        <v/>
      </c>
      <c r="I1093" s="16" t="str">
        <f aca="false">IF(INDEX(選手一覧!$J$7:$J$2738,$F1093)="","",INDEX(選手一覧!$J$7:$J$2738,$F1093))</f>
        <v/>
      </c>
      <c r="J1093" s="17" t="str">
        <f aca="false">IF(INDEX(選手一覧!$K$7:$K$2738,$F1093)="","",INDEX(選手一覧!$K$7:$K$2738,$F1093))</f>
        <v/>
      </c>
    </row>
    <row r="1094" customFormat="false" ht="15" hidden="false" customHeight="false" outlineLevel="0" collapsed="false">
      <c r="A1094" s="17" t="n">
        <v>1090</v>
      </c>
      <c r="B1094" s="12" t="s">
        <v>3585</v>
      </c>
      <c r="C1094" s="12" t="s">
        <v>3586</v>
      </c>
      <c r="D1094" s="16" t="n">
        <v>0.00772534722222222</v>
      </c>
      <c r="E1094" s="15" t="n">
        <f aca="false">ROUND((D1094-$D$5)*86400,2)</f>
        <v>128.45</v>
      </c>
      <c r="F1094" s="17" t="n">
        <v>2325</v>
      </c>
      <c r="G1094" s="16" t="str">
        <f aca="false">IF(INDEX(選手一覧!$D$7:$D$2738,$F1094)="","",INDEX(選手一覧!$D$7:$D$2738,$F1094))</f>
        <v/>
      </c>
      <c r="H1094" s="17" t="str">
        <f aca="false">IF(INDEX(選手一覧!$E$7:$E$2738,$F1094)="","",INDEX(選手一覧!$E$7:$E$2738,$F1094))</f>
        <v/>
      </c>
      <c r="I1094" s="16" t="str">
        <f aca="false">IF(INDEX(選手一覧!$J$7:$J$2738,$F1094)="","",INDEX(選手一覧!$J$7:$J$2738,$F1094))</f>
        <v/>
      </c>
      <c r="J1094" s="17" t="str">
        <f aca="false">IF(INDEX(選手一覧!$K$7:$K$2738,$F1094)="","",INDEX(選手一覧!$K$7:$K$2738,$F1094))</f>
        <v/>
      </c>
    </row>
    <row r="1095" customFormat="false" ht="15" hidden="false" customHeight="false" outlineLevel="0" collapsed="false">
      <c r="A1095" s="17" t="n">
        <v>1091</v>
      </c>
      <c r="B1095" s="12" t="s">
        <v>1942</v>
      </c>
      <c r="C1095" s="12" t="s">
        <v>1732</v>
      </c>
      <c r="D1095" s="16" t="n">
        <v>0.00772546296296296</v>
      </c>
      <c r="E1095" s="15" t="n">
        <f aca="false">ROUND((D1095-$D$5)*86400,2)</f>
        <v>128.46</v>
      </c>
      <c r="F1095" s="17" t="n">
        <v>1214</v>
      </c>
      <c r="G1095" s="16" t="n">
        <f aca="false">IF(INDEX(選手一覧!$D$7:$D$2738,$F1095)="","",INDEX(選手一覧!$D$7:$D$2738,$F1095))</f>
        <v>0.0110605324074074</v>
      </c>
      <c r="H1095" s="17" t="n">
        <f aca="false">IF(INDEX(選手一覧!$E$7:$E$2738,$F1095)="","",INDEX(選手一覧!$E$7:$E$2738,$F1095))</f>
        <v>1215</v>
      </c>
      <c r="I1095" s="16" t="str">
        <f aca="false">IF(INDEX(選手一覧!$J$7:$J$2738,$F1095)="","",INDEX(選手一覧!$J$7:$J$2738,$F1095))</f>
        <v/>
      </c>
      <c r="J1095" s="17" t="str">
        <f aca="false">IF(INDEX(選手一覧!$K$7:$K$2738,$F1095)="","",INDEX(選手一覧!$K$7:$K$2738,$F1095))</f>
        <v/>
      </c>
    </row>
    <row r="1096" customFormat="false" ht="15" hidden="false" customHeight="false" outlineLevel="0" collapsed="false">
      <c r="A1096" s="17" t="n">
        <v>1092</v>
      </c>
      <c r="B1096" s="12" t="s">
        <v>3587</v>
      </c>
      <c r="C1096" s="12" t="s">
        <v>1957</v>
      </c>
      <c r="D1096" s="16" t="n">
        <v>0.00772569444444445</v>
      </c>
      <c r="E1096" s="15" t="n">
        <f aca="false">ROUND((D1096-$D$5)*86400,2)</f>
        <v>128.48</v>
      </c>
      <c r="F1096" s="17" t="n">
        <v>2326</v>
      </c>
      <c r="G1096" s="16" t="str">
        <f aca="false">IF(INDEX(選手一覧!$D$7:$D$2738,$F1096)="","",INDEX(選手一覧!$D$7:$D$2738,$F1096))</f>
        <v/>
      </c>
      <c r="H1096" s="17" t="str">
        <f aca="false">IF(INDEX(選手一覧!$E$7:$E$2738,$F1096)="","",INDEX(選手一覧!$E$7:$E$2738,$F1096))</f>
        <v/>
      </c>
      <c r="I1096" s="16" t="str">
        <f aca="false">IF(INDEX(選手一覧!$J$7:$J$2738,$F1096)="","",INDEX(選手一覧!$J$7:$J$2738,$F1096))</f>
        <v/>
      </c>
      <c r="J1096" s="17" t="str">
        <f aca="false">IF(INDEX(選手一覧!$K$7:$K$2738,$F1096)="","",INDEX(選手一覧!$K$7:$K$2738,$F1096))</f>
        <v/>
      </c>
    </row>
    <row r="1097" customFormat="false" ht="15" hidden="false" customHeight="false" outlineLevel="0" collapsed="false">
      <c r="A1097" s="17" t="n">
        <v>1093</v>
      </c>
      <c r="B1097" s="12" t="s">
        <v>3589</v>
      </c>
      <c r="C1097" s="12" t="s">
        <v>3590</v>
      </c>
      <c r="D1097" s="16" t="n">
        <v>0.00772627314814815</v>
      </c>
      <c r="E1097" s="15" t="n">
        <f aca="false">ROUND((D1097-$D$5)*86400,2)</f>
        <v>128.53</v>
      </c>
      <c r="F1097" s="17" t="n">
        <v>2328</v>
      </c>
      <c r="G1097" s="16" t="str">
        <f aca="false">IF(INDEX(選手一覧!$D$7:$D$2738,$F1097)="","",INDEX(選手一覧!$D$7:$D$2738,$F1097))</f>
        <v/>
      </c>
      <c r="H1097" s="17" t="str">
        <f aca="false">IF(INDEX(選手一覧!$E$7:$E$2738,$F1097)="","",INDEX(選手一覧!$E$7:$E$2738,$F1097))</f>
        <v/>
      </c>
      <c r="I1097" s="16" t="str">
        <f aca="false">IF(INDEX(選手一覧!$J$7:$J$2738,$F1097)="","",INDEX(選手一覧!$J$7:$J$2738,$F1097))</f>
        <v/>
      </c>
      <c r="J1097" s="17" t="str">
        <f aca="false">IF(INDEX(選手一覧!$K$7:$K$2738,$F1097)="","",INDEX(選手一覧!$K$7:$K$2738,$F1097))</f>
        <v/>
      </c>
    </row>
    <row r="1098" customFormat="false" ht="15" hidden="false" customHeight="false" outlineLevel="0" collapsed="false">
      <c r="A1098" s="17" t="n">
        <v>1094</v>
      </c>
      <c r="B1098" s="12" t="s">
        <v>566</v>
      </c>
      <c r="C1098" s="12" t="s">
        <v>285</v>
      </c>
      <c r="D1098" s="16" t="n">
        <v>0.00772731481481481</v>
      </c>
      <c r="E1098" s="15" t="n">
        <f aca="false">ROUND((D1098-$D$5)*86400,2)</f>
        <v>128.62</v>
      </c>
      <c r="F1098" s="17" t="n">
        <v>302</v>
      </c>
      <c r="G1098" s="16" t="n">
        <f aca="false">IF(INDEX(選手一覧!$D$7:$D$2738,$F1098)="","",INDEX(選手一覧!$D$7:$D$2738,$F1098))</f>
        <v>0.0104486111111111</v>
      </c>
      <c r="H1098" s="17" t="n">
        <f aca="false">IF(INDEX(選手一覧!$E$7:$E$2738,$F1098)="","",INDEX(選手一覧!$E$7:$E$2738,$F1098))</f>
        <v>303</v>
      </c>
      <c r="I1098" s="16" t="n">
        <f aca="false">IF(INDEX(選手一覧!$J$7:$J$2738,$F1098)="","",INDEX(選手一覧!$J$7:$J$2738,$F1098))</f>
        <v>0.00287083333333333</v>
      </c>
      <c r="J1098" s="17" t="n">
        <f aca="false">IF(INDEX(選手一覧!$K$7:$K$2738,$F1098)="","",INDEX(選手一覧!$K$7:$K$2738,$F1098))</f>
        <v>703</v>
      </c>
    </row>
    <row r="1099" customFormat="false" ht="15" hidden="false" customHeight="false" outlineLevel="0" collapsed="false">
      <c r="A1099" s="17" t="n">
        <v>1095</v>
      </c>
      <c r="B1099" s="12" t="s">
        <v>3594</v>
      </c>
      <c r="C1099" s="12" t="s">
        <v>3595</v>
      </c>
      <c r="D1099" s="16" t="n">
        <v>0.0077275462962963</v>
      </c>
      <c r="E1099" s="15" t="n">
        <f aca="false">ROUND((D1099-$D$5)*86400,2)</f>
        <v>128.64</v>
      </c>
      <c r="F1099" s="17" t="n">
        <v>2331</v>
      </c>
      <c r="G1099" s="16" t="str">
        <f aca="false">IF(INDEX(選手一覧!$D$7:$D$2738,$F1099)="","",INDEX(選手一覧!$D$7:$D$2738,$F1099))</f>
        <v/>
      </c>
      <c r="H1099" s="17" t="str">
        <f aca="false">IF(INDEX(選手一覧!$E$7:$E$2738,$F1099)="","",INDEX(選手一覧!$E$7:$E$2738,$F1099))</f>
        <v/>
      </c>
      <c r="I1099" s="16" t="str">
        <f aca="false">IF(INDEX(選手一覧!$J$7:$J$2738,$F1099)="","",INDEX(選手一覧!$J$7:$J$2738,$F1099))</f>
        <v/>
      </c>
      <c r="J1099" s="17" t="str">
        <f aca="false">IF(INDEX(選手一覧!$K$7:$K$2738,$F1099)="","",INDEX(選手一覧!$K$7:$K$2738,$F1099))</f>
        <v/>
      </c>
    </row>
    <row r="1100" customFormat="false" ht="15" hidden="false" customHeight="false" outlineLevel="0" collapsed="false">
      <c r="A1100" s="17" t="n">
        <v>1096</v>
      </c>
      <c r="B1100" s="12" t="s">
        <v>3596</v>
      </c>
      <c r="C1100" s="12" t="s">
        <v>2385</v>
      </c>
      <c r="D1100" s="16" t="n">
        <v>0.00772939814814815</v>
      </c>
      <c r="E1100" s="15" t="n">
        <f aca="false">ROUND((D1100-$D$5)*86400,2)</f>
        <v>128.8</v>
      </c>
      <c r="F1100" s="17" t="n">
        <v>2332</v>
      </c>
      <c r="G1100" s="16" t="str">
        <f aca="false">IF(INDEX(選手一覧!$D$7:$D$2738,$F1100)="","",INDEX(選手一覧!$D$7:$D$2738,$F1100))</f>
        <v/>
      </c>
      <c r="H1100" s="17" t="str">
        <f aca="false">IF(INDEX(選手一覧!$E$7:$E$2738,$F1100)="","",INDEX(選手一覧!$E$7:$E$2738,$F1100))</f>
        <v/>
      </c>
      <c r="I1100" s="16" t="str">
        <f aca="false">IF(INDEX(選手一覧!$J$7:$J$2738,$F1100)="","",INDEX(選手一覧!$J$7:$J$2738,$F1100))</f>
        <v/>
      </c>
      <c r="J1100" s="17" t="str">
        <f aca="false">IF(INDEX(選手一覧!$K$7:$K$2738,$F1100)="","",INDEX(選手一覧!$K$7:$K$2738,$F1100))</f>
        <v/>
      </c>
    </row>
    <row r="1101" customFormat="false" ht="15" hidden="false" customHeight="false" outlineLevel="0" collapsed="false">
      <c r="A1101" s="17" t="n">
        <v>1097</v>
      </c>
      <c r="B1101" s="12" t="s">
        <v>3599</v>
      </c>
      <c r="C1101" s="12" t="s">
        <v>3600</v>
      </c>
      <c r="D1101" s="16" t="n">
        <v>0.00773078703703704</v>
      </c>
      <c r="E1101" s="15" t="n">
        <f aca="false">ROUND((D1101-$D$5)*86400,2)</f>
        <v>128.92</v>
      </c>
      <c r="F1101" s="17" t="n">
        <v>2334</v>
      </c>
      <c r="G1101" s="16" t="str">
        <f aca="false">IF(INDEX(選手一覧!$D$7:$D$2738,$F1101)="","",INDEX(選手一覧!$D$7:$D$2738,$F1101))</f>
        <v/>
      </c>
      <c r="H1101" s="17" t="str">
        <f aca="false">IF(INDEX(選手一覧!$E$7:$E$2738,$F1101)="","",INDEX(選手一覧!$E$7:$E$2738,$F1101))</f>
        <v/>
      </c>
      <c r="I1101" s="16" t="str">
        <f aca="false">IF(INDEX(選手一覧!$J$7:$J$2738,$F1101)="","",INDEX(選手一覧!$J$7:$J$2738,$F1101))</f>
        <v/>
      </c>
      <c r="J1101" s="17" t="str">
        <f aca="false">IF(INDEX(選手一覧!$K$7:$K$2738,$F1101)="","",INDEX(選手一覧!$K$7:$K$2738,$F1101))</f>
        <v/>
      </c>
    </row>
    <row r="1102" customFormat="false" ht="15" hidden="false" customHeight="false" outlineLevel="0" collapsed="false">
      <c r="A1102" s="17" t="n">
        <v>1098</v>
      </c>
      <c r="B1102" s="12" t="s">
        <v>3602</v>
      </c>
      <c r="C1102" s="12" t="s">
        <v>3603</v>
      </c>
      <c r="D1102" s="16" t="n">
        <v>0.00773078703703704</v>
      </c>
      <c r="E1102" s="15" t="n">
        <f aca="false">ROUND((D1102-$D$5)*86400,2)</f>
        <v>128.92</v>
      </c>
      <c r="F1102" s="17" t="n">
        <v>2336</v>
      </c>
      <c r="G1102" s="16" t="str">
        <f aca="false">IF(INDEX(選手一覧!$D$7:$D$2738,$F1102)="","",INDEX(選手一覧!$D$7:$D$2738,$F1102))</f>
        <v/>
      </c>
      <c r="H1102" s="17" t="str">
        <f aca="false">IF(INDEX(選手一覧!$E$7:$E$2738,$F1102)="","",INDEX(選手一覧!$E$7:$E$2738,$F1102))</f>
        <v/>
      </c>
      <c r="I1102" s="16" t="str">
        <f aca="false">IF(INDEX(選手一覧!$J$7:$J$2738,$F1102)="","",INDEX(選手一覧!$J$7:$J$2738,$F1102))</f>
        <v/>
      </c>
      <c r="J1102" s="17" t="str">
        <f aca="false">IF(INDEX(選手一覧!$K$7:$K$2738,$F1102)="","",INDEX(選手一覧!$K$7:$K$2738,$F1102))</f>
        <v/>
      </c>
    </row>
    <row r="1103" customFormat="false" ht="15" hidden="false" customHeight="false" outlineLevel="0" collapsed="false">
      <c r="A1103" s="17" t="n">
        <v>1099</v>
      </c>
      <c r="B1103" s="12" t="s">
        <v>3604</v>
      </c>
      <c r="C1103" s="12" t="s">
        <v>2188</v>
      </c>
      <c r="D1103" s="16" t="n">
        <v>0.00773078703703704</v>
      </c>
      <c r="E1103" s="15" t="n">
        <f aca="false">ROUND((D1103-$D$5)*86400,2)</f>
        <v>128.92</v>
      </c>
      <c r="F1103" s="17" t="n">
        <v>2337</v>
      </c>
      <c r="G1103" s="16" t="str">
        <f aca="false">IF(INDEX(選手一覧!$D$7:$D$2738,$F1103)="","",INDEX(選手一覧!$D$7:$D$2738,$F1103))</f>
        <v/>
      </c>
      <c r="H1103" s="17" t="str">
        <f aca="false">IF(INDEX(選手一覧!$E$7:$E$2738,$F1103)="","",INDEX(選手一覧!$E$7:$E$2738,$F1103))</f>
        <v/>
      </c>
      <c r="I1103" s="16" t="str">
        <f aca="false">IF(INDEX(選手一覧!$J$7:$J$2738,$F1103)="","",INDEX(選手一覧!$J$7:$J$2738,$F1103))</f>
        <v/>
      </c>
      <c r="J1103" s="17" t="str">
        <f aca="false">IF(INDEX(選手一覧!$K$7:$K$2738,$F1103)="","",INDEX(選手一覧!$K$7:$K$2738,$F1103))</f>
        <v/>
      </c>
    </row>
    <row r="1104" customFormat="false" ht="15" hidden="false" customHeight="false" outlineLevel="0" collapsed="false">
      <c r="A1104" s="17" t="n">
        <v>1100</v>
      </c>
      <c r="B1104" s="12" t="s">
        <v>3606</v>
      </c>
      <c r="C1104" s="12" t="s">
        <v>2921</v>
      </c>
      <c r="D1104" s="16" t="n">
        <v>0.0077318287037037</v>
      </c>
      <c r="E1104" s="15" t="n">
        <f aca="false">ROUND((D1104-$D$5)*86400,2)</f>
        <v>129.01</v>
      </c>
      <c r="F1104" s="17" t="n">
        <v>2339</v>
      </c>
      <c r="G1104" s="16" t="str">
        <f aca="false">IF(INDEX(選手一覧!$D$7:$D$2738,$F1104)="","",INDEX(選手一覧!$D$7:$D$2738,$F1104))</f>
        <v/>
      </c>
      <c r="H1104" s="17" t="str">
        <f aca="false">IF(INDEX(選手一覧!$E$7:$E$2738,$F1104)="","",INDEX(選手一覧!$E$7:$E$2738,$F1104))</f>
        <v/>
      </c>
      <c r="I1104" s="16" t="str">
        <f aca="false">IF(INDEX(選手一覧!$J$7:$J$2738,$F1104)="","",INDEX(選手一覧!$J$7:$J$2738,$F1104))</f>
        <v/>
      </c>
      <c r="J1104" s="17" t="str">
        <f aca="false">IF(INDEX(選手一覧!$K$7:$K$2738,$F1104)="","",INDEX(選手一覧!$K$7:$K$2738,$F1104))</f>
        <v/>
      </c>
    </row>
    <row r="1105" customFormat="false" ht="15" hidden="false" customHeight="false" outlineLevel="0" collapsed="false">
      <c r="A1105" s="17" t="n">
        <v>1101</v>
      </c>
      <c r="B1105" s="12" t="s">
        <v>3607</v>
      </c>
      <c r="C1105" s="12" t="s">
        <v>1971</v>
      </c>
      <c r="D1105" s="16" t="n">
        <v>0.00773206018518519</v>
      </c>
      <c r="E1105" s="15" t="n">
        <f aca="false">ROUND((D1105-$D$5)*86400,2)</f>
        <v>129.03</v>
      </c>
      <c r="F1105" s="17" t="n">
        <v>2340</v>
      </c>
      <c r="G1105" s="16" t="str">
        <f aca="false">IF(INDEX(選手一覧!$D$7:$D$2738,$F1105)="","",INDEX(選手一覧!$D$7:$D$2738,$F1105))</f>
        <v/>
      </c>
      <c r="H1105" s="17" t="str">
        <f aca="false">IF(INDEX(選手一覧!$E$7:$E$2738,$F1105)="","",INDEX(選手一覧!$E$7:$E$2738,$F1105))</f>
        <v/>
      </c>
      <c r="I1105" s="16" t="str">
        <f aca="false">IF(INDEX(選手一覧!$J$7:$J$2738,$F1105)="","",INDEX(選手一覧!$J$7:$J$2738,$F1105))</f>
        <v/>
      </c>
      <c r="J1105" s="17" t="str">
        <f aca="false">IF(INDEX(選手一覧!$K$7:$K$2738,$F1105)="","",INDEX(選手一覧!$K$7:$K$2738,$F1105))</f>
        <v/>
      </c>
    </row>
    <row r="1106" customFormat="false" ht="15" hidden="false" customHeight="false" outlineLevel="0" collapsed="false">
      <c r="A1106" s="17" t="n">
        <v>1102</v>
      </c>
      <c r="B1106" s="12" t="s">
        <v>3609</v>
      </c>
      <c r="C1106" s="12" t="s">
        <v>3610</v>
      </c>
      <c r="D1106" s="16" t="n">
        <v>0.00773298611111111</v>
      </c>
      <c r="E1106" s="15" t="n">
        <f aca="false">ROUND((D1106-$D$5)*86400,2)</f>
        <v>129.11</v>
      </c>
      <c r="F1106" s="17" t="n">
        <v>2342</v>
      </c>
      <c r="G1106" s="16" t="str">
        <f aca="false">IF(INDEX(選手一覧!$D$7:$D$2738,$F1106)="","",INDEX(選手一覧!$D$7:$D$2738,$F1106))</f>
        <v/>
      </c>
      <c r="H1106" s="17" t="str">
        <f aca="false">IF(INDEX(選手一覧!$E$7:$E$2738,$F1106)="","",INDEX(選手一覧!$E$7:$E$2738,$F1106))</f>
        <v/>
      </c>
      <c r="I1106" s="16" t="str">
        <f aca="false">IF(INDEX(選手一覧!$J$7:$J$2738,$F1106)="","",INDEX(選手一覧!$J$7:$J$2738,$F1106))</f>
        <v/>
      </c>
      <c r="J1106" s="17" t="str">
        <f aca="false">IF(INDEX(選手一覧!$K$7:$K$2738,$F1106)="","",INDEX(選手一覧!$K$7:$K$2738,$F1106))</f>
        <v/>
      </c>
    </row>
    <row r="1107" customFormat="false" ht="15" hidden="false" customHeight="false" outlineLevel="0" collapsed="false">
      <c r="A1107" s="17" t="n">
        <v>1103</v>
      </c>
      <c r="B1107" s="12" t="s">
        <v>3611</v>
      </c>
      <c r="C1107" s="12" t="s">
        <v>2307</v>
      </c>
      <c r="D1107" s="16" t="n">
        <v>0.00773622685185185</v>
      </c>
      <c r="E1107" s="15" t="n">
        <f aca="false">ROUND((D1107-$D$5)*86400,2)</f>
        <v>129.39</v>
      </c>
      <c r="F1107" s="17" t="n">
        <v>2343</v>
      </c>
      <c r="G1107" s="16" t="str">
        <f aca="false">IF(INDEX(選手一覧!$D$7:$D$2738,$F1107)="","",INDEX(選手一覧!$D$7:$D$2738,$F1107))</f>
        <v/>
      </c>
      <c r="H1107" s="17" t="str">
        <f aca="false">IF(INDEX(選手一覧!$E$7:$E$2738,$F1107)="","",INDEX(選手一覧!$E$7:$E$2738,$F1107))</f>
        <v/>
      </c>
      <c r="I1107" s="16" t="str">
        <f aca="false">IF(INDEX(選手一覧!$J$7:$J$2738,$F1107)="","",INDEX(選手一覧!$J$7:$J$2738,$F1107))</f>
        <v/>
      </c>
      <c r="J1107" s="17" t="str">
        <f aca="false">IF(INDEX(選手一覧!$K$7:$K$2738,$F1107)="","",INDEX(選手一覧!$K$7:$K$2738,$F1107))</f>
        <v/>
      </c>
    </row>
    <row r="1108" customFormat="false" ht="15" hidden="false" customHeight="false" outlineLevel="0" collapsed="false">
      <c r="A1108" s="17" t="n">
        <v>1104</v>
      </c>
      <c r="B1108" s="12" t="s">
        <v>3613</v>
      </c>
      <c r="C1108" s="12" t="s">
        <v>3614</v>
      </c>
      <c r="D1108" s="16" t="n">
        <v>0.00773912037037037</v>
      </c>
      <c r="E1108" s="15" t="n">
        <f aca="false">ROUND((D1108-$D$5)*86400,2)</f>
        <v>129.64</v>
      </c>
      <c r="F1108" s="17" t="n">
        <v>2345</v>
      </c>
      <c r="G1108" s="16" t="str">
        <f aca="false">IF(INDEX(選手一覧!$D$7:$D$2738,$F1108)="","",INDEX(選手一覧!$D$7:$D$2738,$F1108))</f>
        <v/>
      </c>
      <c r="H1108" s="17" t="str">
        <f aca="false">IF(INDEX(選手一覧!$E$7:$E$2738,$F1108)="","",INDEX(選手一覧!$E$7:$E$2738,$F1108))</f>
        <v/>
      </c>
      <c r="I1108" s="16" t="str">
        <f aca="false">IF(INDEX(選手一覧!$J$7:$J$2738,$F1108)="","",INDEX(選手一覧!$J$7:$J$2738,$F1108))</f>
        <v/>
      </c>
      <c r="J1108" s="17" t="str">
        <f aca="false">IF(INDEX(選手一覧!$K$7:$K$2738,$F1108)="","",INDEX(選手一覧!$K$7:$K$2738,$F1108))</f>
        <v/>
      </c>
    </row>
    <row r="1109" customFormat="false" ht="15" hidden="false" customHeight="false" outlineLevel="0" collapsed="false">
      <c r="A1109" s="17" t="n">
        <v>1105</v>
      </c>
      <c r="B1109" s="12" t="s">
        <v>3616</v>
      </c>
      <c r="C1109" s="12" t="s">
        <v>2132</v>
      </c>
      <c r="D1109" s="16" t="n">
        <v>0.00774155092592593</v>
      </c>
      <c r="E1109" s="15" t="n">
        <f aca="false">ROUND((D1109-$D$5)*86400,2)</f>
        <v>129.85</v>
      </c>
      <c r="F1109" s="17" t="n">
        <v>2347</v>
      </c>
      <c r="G1109" s="16" t="str">
        <f aca="false">IF(INDEX(選手一覧!$D$7:$D$2738,$F1109)="","",INDEX(選手一覧!$D$7:$D$2738,$F1109))</f>
        <v/>
      </c>
      <c r="H1109" s="17" t="str">
        <f aca="false">IF(INDEX(選手一覧!$E$7:$E$2738,$F1109)="","",INDEX(選手一覧!$E$7:$E$2738,$F1109))</f>
        <v/>
      </c>
      <c r="I1109" s="16" t="str">
        <f aca="false">IF(INDEX(選手一覧!$J$7:$J$2738,$F1109)="","",INDEX(選手一覧!$J$7:$J$2738,$F1109))</f>
        <v/>
      </c>
      <c r="J1109" s="17" t="str">
        <f aca="false">IF(INDEX(選手一覧!$K$7:$K$2738,$F1109)="","",INDEX(選手一覧!$K$7:$K$2738,$F1109))</f>
        <v/>
      </c>
    </row>
    <row r="1110" customFormat="false" ht="15" hidden="false" customHeight="false" outlineLevel="0" collapsed="false">
      <c r="A1110" s="17" t="n">
        <v>1106</v>
      </c>
      <c r="B1110" s="12" t="s">
        <v>3617</v>
      </c>
      <c r="C1110" s="12" t="s">
        <v>1063</v>
      </c>
      <c r="D1110" s="16" t="n">
        <v>0.00774282407407408</v>
      </c>
      <c r="E1110" s="15" t="n">
        <f aca="false">ROUND((D1110-$D$5)*86400,2)</f>
        <v>129.96</v>
      </c>
      <c r="F1110" s="17" t="n">
        <v>2348</v>
      </c>
      <c r="G1110" s="16" t="str">
        <f aca="false">IF(INDEX(選手一覧!$D$7:$D$2738,$F1110)="","",INDEX(選手一覧!$D$7:$D$2738,$F1110))</f>
        <v/>
      </c>
      <c r="H1110" s="17" t="str">
        <f aca="false">IF(INDEX(選手一覧!$E$7:$E$2738,$F1110)="","",INDEX(選手一覧!$E$7:$E$2738,$F1110))</f>
        <v/>
      </c>
      <c r="I1110" s="16" t="str">
        <f aca="false">IF(INDEX(選手一覧!$J$7:$J$2738,$F1110)="","",INDEX(選手一覧!$J$7:$J$2738,$F1110))</f>
        <v/>
      </c>
      <c r="J1110" s="17" t="str">
        <f aca="false">IF(INDEX(選手一覧!$K$7:$K$2738,$F1110)="","",INDEX(選手一覧!$K$7:$K$2738,$F1110))</f>
        <v/>
      </c>
    </row>
    <row r="1111" customFormat="false" ht="15" hidden="false" customHeight="false" outlineLevel="0" collapsed="false">
      <c r="A1111" s="17" t="n">
        <v>1107</v>
      </c>
      <c r="B1111" s="12" t="s">
        <v>3618</v>
      </c>
      <c r="C1111" s="12" t="s">
        <v>3619</v>
      </c>
      <c r="D1111" s="16" t="n">
        <v>0.00774375</v>
      </c>
      <c r="E1111" s="15" t="n">
        <f aca="false">ROUND((D1111-$D$5)*86400,2)</f>
        <v>130.04</v>
      </c>
      <c r="F1111" s="17" t="n">
        <v>2349</v>
      </c>
      <c r="G1111" s="16" t="str">
        <f aca="false">IF(INDEX(選手一覧!$D$7:$D$2738,$F1111)="","",INDEX(選手一覧!$D$7:$D$2738,$F1111))</f>
        <v/>
      </c>
      <c r="H1111" s="17" t="str">
        <f aca="false">IF(INDEX(選手一覧!$E$7:$E$2738,$F1111)="","",INDEX(選手一覧!$E$7:$E$2738,$F1111))</f>
        <v/>
      </c>
      <c r="I1111" s="16" t="str">
        <f aca="false">IF(INDEX(選手一覧!$J$7:$J$2738,$F1111)="","",INDEX(選手一覧!$J$7:$J$2738,$F1111))</f>
        <v/>
      </c>
      <c r="J1111" s="17" t="str">
        <f aca="false">IF(INDEX(選手一覧!$K$7:$K$2738,$F1111)="","",INDEX(選手一覧!$K$7:$K$2738,$F1111))</f>
        <v/>
      </c>
    </row>
    <row r="1112" customFormat="false" ht="15" hidden="false" customHeight="false" outlineLevel="0" collapsed="false">
      <c r="A1112" s="17" t="n">
        <v>1108</v>
      </c>
      <c r="B1112" s="12" t="s">
        <v>3620</v>
      </c>
      <c r="C1112" s="12" t="s">
        <v>3621</v>
      </c>
      <c r="D1112" s="16" t="n">
        <v>0.00774398148148148</v>
      </c>
      <c r="E1112" s="15" t="n">
        <f aca="false">ROUND((D1112-$D$5)*86400,2)</f>
        <v>130.06</v>
      </c>
      <c r="F1112" s="17" t="n">
        <v>2350</v>
      </c>
      <c r="G1112" s="16" t="str">
        <f aca="false">IF(INDEX(選手一覧!$D$7:$D$2738,$F1112)="","",INDEX(選手一覧!$D$7:$D$2738,$F1112))</f>
        <v/>
      </c>
      <c r="H1112" s="17" t="str">
        <f aca="false">IF(INDEX(選手一覧!$E$7:$E$2738,$F1112)="","",INDEX(選手一覧!$E$7:$E$2738,$F1112))</f>
        <v/>
      </c>
      <c r="I1112" s="16" t="str">
        <f aca="false">IF(INDEX(選手一覧!$J$7:$J$2738,$F1112)="","",INDEX(選手一覧!$J$7:$J$2738,$F1112))</f>
        <v/>
      </c>
      <c r="J1112" s="17" t="str">
        <f aca="false">IF(INDEX(選手一覧!$K$7:$K$2738,$F1112)="","",INDEX(選手一覧!$K$7:$K$2738,$F1112))</f>
        <v/>
      </c>
    </row>
    <row r="1113" customFormat="false" ht="15" hidden="false" customHeight="false" outlineLevel="0" collapsed="false">
      <c r="A1113" s="17" t="n">
        <v>1109</v>
      </c>
      <c r="B1113" s="12" t="s">
        <v>3624</v>
      </c>
      <c r="C1113" s="12" t="s">
        <v>288</v>
      </c>
      <c r="D1113" s="16" t="n">
        <v>0.00774525462962963</v>
      </c>
      <c r="E1113" s="15" t="n">
        <f aca="false">ROUND((D1113-$D$5)*86400,2)</f>
        <v>130.17</v>
      </c>
      <c r="F1113" s="17" t="n">
        <v>2352</v>
      </c>
      <c r="G1113" s="16" t="str">
        <f aca="false">IF(INDEX(選手一覧!$D$7:$D$2738,$F1113)="","",INDEX(選手一覧!$D$7:$D$2738,$F1113))</f>
        <v/>
      </c>
      <c r="H1113" s="17" t="str">
        <f aca="false">IF(INDEX(選手一覧!$E$7:$E$2738,$F1113)="","",INDEX(選手一覧!$E$7:$E$2738,$F1113))</f>
        <v/>
      </c>
      <c r="I1113" s="16" t="str">
        <f aca="false">IF(INDEX(選手一覧!$J$7:$J$2738,$F1113)="","",INDEX(選手一覧!$J$7:$J$2738,$F1113))</f>
        <v/>
      </c>
      <c r="J1113" s="17" t="str">
        <f aca="false">IF(INDEX(選手一覧!$K$7:$K$2738,$F1113)="","",INDEX(選手一覧!$K$7:$K$2738,$F1113))</f>
        <v/>
      </c>
    </row>
    <row r="1114" customFormat="false" ht="15" hidden="false" customHeight="false" outlineLevel="0" collapsed="false">
      <c r="A1114" s="17" t="n">
        <v>1110</v>
      </c>
      <c r="B1114" s="12" t="s">
        <v>3627</v>
      </c>
      <c r="C1114" s="12" t="s">
        <v>1829</v>
      </c>
      <c r="D1114" s="16" t="n">
        <v>0.00774525462962963</v>
      </c>
      <c r="E1114" s="15" t="n">
        <f aca="false">ROUND((D1114-$D$5)*86400,2)</f>
        <v>130.17</v>
      </c>
      <c r="F1114" s="17" t="n">
        <v>2354</v>
      </c>
      <c r="G1114" s="16" t="str">
        <f aca="false">IF(INDEX(選手一覧!$D$7:$D$2738,$F1114)="","",INDEX(選手一覧!$D$7:$D$2738,$F1114))</f>
        <v/>
      </c>
      <c r="H1114" s="17" t="str">
        <f aca="false">IF(INDEX(選手一覧!$E$7:$E$2738,$F1114)="","",INDEX(選手一覧!$E$7:$E$2738,$F1114))</f>
        <v/>
      </c>
      <c r="I1114" s="16" t="str">
        <f aca="false">IF(INDEX(選手一覧!$J$7:$J$2738,$F1114)="","",INDEX(選手一覧!$J$7:$J$2738,$F1114))</f>
        <v/>
      </c>
      <c r="J1114" s="17" t="str">
        <f aca="false">IF(INDEX(選手一覧!$K$7:$K$2738,$F1114)="","",INDEX(選手一覧!$K$7:$K$2738,$F1114))</f>
        <v/>
      </c>
    </row>
    <row r="1115" customFormat="false" ht="15" hidden="false" customHeight="false" outlineLevel="0" collapsed="false">
      <c r="A1115" s="17" t="n">
        <v>1111</v>
      </c>
      <c r="B1115" s="12" t="s">
        <v>3630</v>
      </c>
      <c r="C1115" s="12" t="s">
        <v>161</v>
      </c>
      <c r="D1115" s="16" t="n">
        <v>0.00774652777777778</v>
      </c>
      <c r="E1115" s="15" t="n">
        <f aca="false">ROUND((D1115-$D$5)*86400,2)</f>
        <v>130.28</v>
      </c>
      <c r="F1115" s="17" t="n">
        <v>2356</v>
      </c>
      <c r="G1115" s="16" t="str">
        <f aca="false">IF(INDEX(選手一覧!$D$7:$D$2738,$F1115)="","",INDEX(選手一覧!$D$7:$D$2738,$F1115))</f>
        <v/>
      </c>
      <c r="H1115" s="17" t="str">
        <f aca="false">IF(INDEX(選手一覧!$E$7:$E$2738,$F1115)="","",INDEX(選手一覧!$E$7:$E$2738,$F1115))</f>
        <v/>
      </c>
      <c r="I1115" s="16" t="str">
        <f aca="false">IF(INDEX(選手一覧!$J$7:$J$2738,$F1115)="","",INDEX(選手一覧!$J$7:$J$2738,$F1115))</f>
        <v/>
      </c>
      <c r="J1115" s="17" t="str">
        <f aca="false">IF(INDEX(選手一覧!$K$7:$K$2738,$F1115)="","",INDEX(選手一覧!$K$7:$K$2738,$F1115))</f>
        <v/>
      </c>
    </row>
    <row r="1116" customFormat="false" ht="15" hidden="false" customHeight="false" outlineLevel="0" collapsed="false">
      <c r="A1116" s="17" t="n">
        <v>1112</v>
      </c>
      <c r="B1116" s="12" t="s">
        <v>3631</v>
      </c>
      <c r="C1116" s="12" t="s">
        <v>695</v>
      </c>
      <c r="D1116" s="16" t="n">
        <v>0.00774930555555556</v>
      </c>
      <c r="E1116" s="15" t="n">
        <f aca="false">ROUND((D1116-$D$5)*86400,2)</f>
        <v>130.52</v>
      </c>
      <c r="F1116" s="17" t="n">
        <v>2357</v>
      </c>
      <c r="G1116" s="16" t="str">
        <f aca="false">IF(INDEX(選手一覧!$D$7:$D$2738,$F1116)="","",INDEX(選手一覧!$D$7:$D$2738,$F1116))</f>
        <v/>
      </c>
      <c r="H1116" s="17" t="str">
        <f aca="false">IF(INDEX(選手一覧!$E$7:$E$2738,$F1116)="","",INDEX(選手一覧!$E$7:$E$2738,$F1116))</f>
        <v/>
      </c>
      <c r="I1116" s="16" t="str">
        <f aca="false">IF(INDEX(選手一覧!$J$7:$J$2738,$F1116)="","",INDEX(選手一覧!$J$7:$J$2738,$F1116))</f>
        <v/>
      </c>
      <c r="J1116" s="17" t="str">
        <f aca="false">IF(INDEX(選手一覧!$K$7:$K$2738,$F1116)="","",INDEX(選手一覧!$K$7:$K$2738,$F1116))</f>
        <v/>
      </c>
    </row>
    <row r="1117" customFormat="false" ht="15" hidden="false" customHeight="false" outlineLevel="0" collapsed="false">
      <c r="A1117" s="17" t="n">
        <v>1113</v>
      </c>
      <c r="B1117" s="12" t="s">
        <v>3632</v>
      </c>
      <c r="C1117" s="12" t="s">
        <v>94</v>
      </c>
      <c r="D1117" s="16" t="n">
        <v>0.00775173611111111</v>
      </c>
      <c r="E1117" s="15" t="n">
        <f aca="false">ROUND((D1117-$D$5)*86400,2)</f>
        <v>130.73</v>
      </c>
      <c r="F1117" s="17" t="n">
        <v>2358</v>
      </c>
      <c r="G1117" s="16" t="str">
        <f aca="false">IF(INDEX(選手一覧!$D$7:$D$2738,$F1117)="","",INDEX(選手一覧!$D$7:$D$2738,$F1117))</f>
        <v/>
      </c>
      <c r="H1117" s="17" t="str">
        <f aca="false">IF(INDEX(選手一覧!$E$7:$E$2738,$F1117)="","",INDEX(選手一覧!$E$7:$E$2738,$F1117))</f>
        <v/>
      </c>
      <c r="I1117" s="16" t="str">
        <f aca="false">IF(INDEX(選手一覧!$J$7:$J$2738,$F1117)="","",INDEX(選手一覧!$J$7:$J$2738,$F1117))</f>
        <v/>
      </c>
      <c r="J1117" s="17" t="str">
        <f aca="false">IF(INDEX(選手一覧!$K$7:$K$2738,$F1117)="","",INDEX(選手一覧!$K$7:$K$2738,$F1117))</f>
        <v/>
      </c>
    </row>
    <row r="1118" customFormat="false" ht="15" hidden="false" customHeight="false" outlineLevel="0" collapsed="false">
      <c r="A1118" s="17" t="n">
        <v>1114</v>
      </c>
      <c r="B1118" s="12" t="s">
        <v>3633</v>
      </c>
      <c r="C1118" s="12" t="s">
        <v>2318</v>
      </c>
      <c r="D1118" s="16" t="n">
        <v>0.00775231481481481</v>
      </c>
      <c r="E1118" s="15" t="n">
        <f aca="false">ROUND((D1118-$D$5)*86400,2)</f>
        <v>130.78</v>
      </c>
      <c r="F1118" s="17" t="n">
        <v>2359</v>
      </c>
      <c r="G1118" s="16" t="str">
        <f aca="false">IF(INDEX(選手一覧!$D$7:$D$2738,$F1118)="","",INDEX(選手一覧!$D$7:$D$2738,$F1118))</f>
        <v/>
      </c>
      <c r="H1118" s="17" t="str">
        <f aca="false">IF(INDEX(選手一覧!$E$7:$E$2738,$F1118)="","",INDEX(選手一覧!$E$7:$E$2738,$F1118))</f>
        <v/>
      </c>
      <c r="I1118" s="16" t="str">
        <f aca="false">IF(INDEX(選手一覧!$J$7:$J$2738,$F1118)="","",INDEX(選手一覧!$J$7:$J$2738,$F1118))</f>
        <v/>
      </c>
      <c r="J1118" s="17" t="str">
        <f aca="false">IF(INDEX(選手一覧!$K$7:$K$2738,$F1118)="","",INDEX(選手一覧!$K$7:$K$2738,$F1118))</f>
        <v/>
      </c>
    </row>
    <row r="1119" customFormat="false" ht="15" hidden="false" customHeight="false" outlineLevel="0" collapsed="false">
      <c r="A1119" s="17" t="n">
        <v>1115</v>
      </c>
      <c r="B1119" s="12" t="s">
        <v>3635</v>
      </c>
      <c r="C1119" s="12" t="s">
        <v>3636</v>
      </c>
      <c r="D1119" s="16" t="n">
        <v>0.00775266203703704</v>
      </c>
      <c r="E1119" s="15" t="n">
        <f aca="false">ROUND((D1119-$D$5)*86400,2)</f>
        <v>130.81</v>
      </c>
      <c r="F1119" s="17" t="n">
        <v>2360</v>
      </c>
      <c r="G1119" s="16" t="str">
        <f aca="false">IF(INDEX(選手一覧!$D$7:$D$2738,$F1119)="","",INDEX(選手一覧!$D$7:$D$2738,$F1119))</f>
        <v/>
      </c>
      <c r="H1119" s="17" t="str">
        <f aca="false">IF(INDEX(選手一覧!$E$7:$E$2738,$F1119)="","",INDEX(選手一覧!$E$7:$E$2738,$F1119))</f>
        <v/>
      </c>
      <c r="I1119" s="16" t="str">
        <f aca="false">IF(INDEX(選手一覧!$J$7:$J$2738,$F1119)="","",INDEX(選手一覧!$J$7:$J$2738,$F1119))</f>
        <v/>
      </c>
      <c r="J1119" s="17" t="str">
        <f aca="false">IF(INDEX(選手一覧!$K$7:$K$2738,$F1119)="","",INDEX(選手一覧!$K$7:$K$2738,$F1119))</f>
        <v/>
      </c>
    </row>
    <row r="1120" customFormat="false" ht="15" hidden="false" customHeight="false" outlineLevel="0" collapsed="false">
      <c r="A1120" s="17" t="n">
        <v>1116</v>
      </c>
      <c r="B1120" s="12" t="s">
        <v>3637</v>
      </c>
      <c r="C1120" s="12" t="s">
        <v>2720</v>
      </c>
      <c r="D1120" s="16" t="n">
        <v>0.00775324074074074</v>
      </c>
      <c r="E1120" s="15" t="n">
        <f aca="false">ROUND((D1120-$D$5)*86400,2)</f>
        <v>130.86</v>
      </c>
      <c r="F1120" s="17" t="n">
        <v>2361</v>
      </c>
      <c r="G1120" s="16" t="str">
        <f aca="false">IF(INDEX(選手一覧!$D$7:$D$2738,$F1120)="","",INDEX(選手一覧!$D$7:$D$2738,$F1120))</f>
        <v/>
      </c>
      <c r="H1120" s="17" t="str">
        <f aca="false">IF(INDEX(選手一覧!$E$7:$E$2738,$F1120)="","",INDEX(選手一覧!$E$7:$E$2738,$F1120))</f>
        <v/>
      </c>
      <c r="I1120" s="16" t="str">
        <f aca="false">IF(INDEX(選手一覧!$J$7:$J$2738,$F1120)="","",INDEX(選手一覧!$J$7:$J$2738,$F1120))</f>
        <v/>
      </c>
      <c r="J1120" s="17" t="str">
        <f aca="false">IF(INDEX(選手一覧!$K$7:$K$2738,$F1120)="","",INDEX(選手一覧!$K$7:$K$2738,$F1120))</f>
        <v/>
      </c>
    </row>
    <row r="1121" customFormat="false" ht="15" hidden="false" customHeight="false" outlineLevel="0" collapsed="false">
      <c r="A1121" s="17" t="n">
        <v>1117</v>
      </c>
      <c r="B1121" s="12" t="s">
        <v>3638</v>
      </c>
      <c r="C1121" s="12" t="s">
        <v>486</v>
      </c>
      <c r="D1121" s="16" t="n">
        <v>0.00775659722222222</v>
      </c>
      <c r="E1121" s="15" t="n">
        <f aca="false">ROUND((D1121-$D$5)*86400,2)</f>
        <v>131.15</v>
      </c>
      <c r="F1121" s="17" t="n">
        <v>2362</v>
      </c>
      <c r="G1121" s="16" t="str">
        <f aca="false">IF(INDEX(選手一覧!$D$7:$D$2738,$F1121)="","",INDEX(選手一覧!$D$7:$D$2738,$F1121))</f>
        <v/>
      </c>
      <c r="H1121" s="17" t="str">
        <f aca="false">IF(INDEX(選手一覧!$E$7:$E$2738,$F1121)="","",INDEX(選手一覧!$E$7:$E$2738,$F1121))</f>
        <v/>
      </c>
      <c r="I1121" s="16" t="str">
        <f aca="false">IF(INDEX(選手一覧!$J$7:$J$2738,$F1121)="","",INDEX(選手一覧!$J$7:$J$2738,$F1121))</f>
        <v/>
      </c>
      <c r="J1121" s="17" t="str">
        <f aca="false">IF(INDEX(選手一覧!$K$7:$K$2738,$F1121)="","",INDEX(選手一覧!$K$7:$K$2738,$F1121))</f>
        <v/>
      </c>
    </row>
    <row r="1122" customFormat="false" ht="15" hidden="false" customHeight="false" outlineLevel="0" collapsed="false">
      <c r="A1122" s="17" t="n">
        <v>1118</v>
      </c>
      <c r="B1122" s="12" t="s">
        <v>3640</v>
      </c>
      <c r="C1122" s="12" t="s">
        <v>348</v>
      </c>
      <c r="D1122" s="16" t="n">
        <v>0.00775763888888889</v>
      </c>
      <c r="E1122" s="15" t="n">
        <f aca="false">ROUND((D1122-$D$5)*86400,2)</f>
        <v>131.24</v>
      </c>
      <c r="F1122" s="17" t="n">
        <v>2364</v>
      </c>
      <c r="G1122" s="16" t="str">
        <f aca="false">IF(INDEX(選手一覧!$D$7:$D$2738,$F1122)="","",INDEX(選手一覧!$D$7:$D$2738,$F1122))</f>
        <v/>
      </c>
      <c r="H1122" s="17" t="str">
        <f aca="false">IF(INDEX(選手一覧!$E$7:$E$2738,$F1122)="","",INDEX(選手一覧!$E$7:$E$2738,$F1122))</f>
        <v/>
      </c>
      <c r="I1122" s="16" t="str">
        <f aca="false">IF(INDEX(選手一覧!$J$7:$J$2738,$F1122)="","",INDEX(選手一覧!$J$7:$J$2738,$F1122))</f>
        <v/>
      </c>
      <c r="J1122" s="17" t="str">
        <f aca="false">IF(INDEX(選手一覧!$K$7:$K$2738,$F1122)="","",INDEX(選手一覧!$K$7:$K$2738,$F1122))</f>
        <v/>
      </c>
    </row>
    <row r="1123" customFormat="false" ht="15" hidden="false" customHeight="false" outlineLevel="0" collapsed="false">
      <c r="A1123" s="17" t="n">
        <v>1119</v>
      </c>
      <c r="B1123" s="12" t="s">
        <v>3643</v>
      </c>
      <c r="C1123" s="12" t="s">
        <v>3644</v>
      </c>
      <c r="D1123" s="16" t="n">
        <v>0.00775833333333333</v>
      </c>
      <c r="E1123" s="15" t="n">
        <f aca="false">ROUND((D1123-$D$5)*86400,2)</f>
        <v>131.3</v>
      </c>
      <c r="F1123" s="17" t="n">
        <v>2366</v>
      </c>
      <c r="G1123" s="16" t="str">
        <f aca="false">IF(INDEX(選手一覧!$D$7:$D$2738,$F1123)="","",INDEX(選手一覧!$D$7:$D$2738,$F1123))</f>
        <v/>
      </c>
      <c r="H1123" s="17" t="str">
        <f aca="false">IF(INDEX(選手一覧!$E$7:$E$2738,$F1123)="","",INDEX(選手一覧!$E$7:$E$2738,$F1123))</f>
        <v/>
      </c>
      <c r="I1123" s="16" t="str">
        <f aca="false">IF(INDEX(選手一覧!$J$7:$J$2738,$F1123)="","",INDEX(選手一覧!$J$7:$J$2738,$F1123))</f>
        <v/>
      </c>
      <c r="J1123" s="17" t="str">
        <f aca="false">IF(INDEX(選手一覧!$K$7:$K$2738,$F1123)="","",INDEX(選手一覧!$K$7:$K$2738,$F1123))</f>
        <v/>
      </c>
    </row>
    <row r="1124" customFormat="false" ht="15" hidden="false" customHeight="false" outlineLevel="0" collapsed="false">
      <c r="A1124" s="17" t="n">
        <v>1120</v>
      </c>
      <c r="B1124" s="12" t="s">
        <v>3645</v>
      </c>
      <c r="C1124" s="12" t="s">
        <v>3646</v>
      </c>
      <c r="D1124" s="16" t="n">
        <v>0.00776018518518519</v>
      </c>
      <c r="E1124" s="15" t="n">
        <f aca="false">ROUND((D1124-$D$5)*86400,2)</f>
        <v>131.46</v>
      </c>
      <c r="F1124" s="17" t="n">
        <v>2367</v>
      </c>
      <c r="G1124" s="16" t="str">
        <f aca="false">IF(INDEX(選手一覧!$D$7:$D$2738,$F1124)="","",INDEX(選手一覧!$D$7:$D$2738,$F1124))</f>
        <v/>
      </c>
      <c r="H1124" s="17" t="str">
        <f aca="false">IF(INDEX(選手一覧!$E$7:$E$2738,$F1124)="","",INDEX(選手一覧!$E$7:$E$2738,$F1124))</f>
        <v/>
      </c>
      <c r="I1124" s="16" t="str">
        <f aca="false">IF(INDEX(選手一覧!$J$7:$J$2738,$F1124)="","",INDEX(選手一覧!$J$7:$J$2738,$F1124))</f>
        <v/>
      </c>
      <c r="J1124" s="17" t="str">
        <f aca="false">IF(INDEX(選手一覧!$K$7:$K$2738,$F1124)="","",INDEX(選手一覧!$K$7:$K$2738,$F1124))</f>
        <v/>
      </c>
    </row>
    <row r="1125" customFormat="false" ht="15" hidden="false" customHeight="false" outlineLevel="0" collapsed="false">
      <c r="A1125" s="17" t="n">
        <v>1121</v>
      </c>
      <c r="B1125" s="12" t="s">
        <v>3649</v>
      </c>
      <c r="C1125" s="12" t="s">
        <v>3650</v>
      </c>
      <c r="D1125" s="16" t="n">
        <v>0.00776076388888889</v>
      </c>
      <c r="E1125" s="15" t="n">
        <f aca="false">ROUND((D1125-$D$5)*86400,2)</f>
        <v>131.51</v>
      </c>
      <c r="F1125" s="17" t="n">
        <v>2369</v>
      </c>
      <c r="G1125" s="16" t="str">
        <f aca="false">IF(INDEX(選手一覧!$D$7:$D$2738,$F1125)="","",INDEX(選手一覧!$D$7:$D$2738,$F1125))</f>
        <v/>
      </c>
      <c r="H1125" s="17" t="str">
        <f aca="false">IF(INDEX(選手一覧!$E$7:$E$2738,$F1125)="","",INDEX(選手一覧!$E$7:$E$2738,$F1125))</f>
        <v/>
      </c>
      <c r="I1125" s="16" t="str">
        <f aca="false">IF(INDEX(選手一覧!$J$7:$J$2738,$F1125)="","",INDEX(選手一覧!$J$7:$J$2738,$F1125))</f>
        <v/>
      </c>
      <c r="J1125" s="17" t="str">
        <f aca="false">IF(INDEX(選手一覧!$K$7:$K$2738,$F1125)="","",INDEX(選手一覧!$K$7:$K$2738,$F1125))</f>
        <v/>
      </c>
    </row>
    <row r="1126" customFormat="false" ht="15" hidden="false" customHeight="false" outlineLevel="0" collapsed="false">
      <c r="A1126" s="17" t="n">
        <v>1122</v>
      </c>
      <c r="B1126" s="12" t="s">
        <v>3653</v>
      </c>
      <c r="C1126" s="12" t="s">
        <v>2726</v>
      </c>
      <c r="D1126" s="16" t="n">
        <v>0.00776111111111111</v>
      </c>
      <c r="E1126" s="15" t="n">
        <f aca="false">ROUND((D1126-$D$5)*86400,2)</f>
        <v>131.54</v>
      </c>
      <c r="F1126" s="17" t="n">
        <v>2371</v>
      </c>
      <c r="G1126" s="16" t="str">
        <f aca="false">IF(INDEX(選手一覧!$D$7:$D$2738,$F1126)="","",INDEX(選手一覧!$D$7:$D$2738,$F1126))</f>
        <v/>
      </c>
      <c r="H1126" s="17" t="str">
        <f aca="false">IF(INDEX(選手一覧!$E$7:$E$2738,$F1126)="","",INDEX(選手一覧!$E$7:$E$2738,$F1126))</f>
        <v/>
      </c>
      <c r="I1126" s="16" t="str">
        <f aca="false">IF(INDEX(選手一覧!$J$7:$J$2738,$F1126)="","",INDEX(選手一覧!$J$7:$J$2738,$F1126))</f>
        <v/>
      </c>
      <c r="J1126" s="17" t="str">
        <f aca="false">IF(INDEX(選手一覧!$K$7:$K$2738,$F1126)="","",INDEX(選手一覧!$K$7:$K$2738,$F1126))</f>
        <v/>
      </c>
    </row>
    <row r="1127" customFormat="false" ht="15" hidden="false" customHeight="false" outlineLevel="0" collapsed="false">
      <c r="A1127" s="17" t="n">
        <v>1123</v>
      </c>
      <c r="B1127" s="12" t="s">
        <v>3656</v>
      </c>
      <c r="C1127" s="12" t="s">
        <v>3657</v>
      </c>
      <c r="D1127" s="16" t="n">
        <v>0.00776539351851852</v>
      </c>
      <c r="E1127" s="15" t="n">
        <f aca="false">ROUND((D1127-$D$5)*86400,2)</f>
        <v>131.91</v>
      </c>
      <c r="F1127" s="17" t="n">
        <v>2373</v>
      </c>
      <c r="G1127" s="16" t="str">
        <f aca="false">IF(INDEX(選手一覧!$D$7:$D$2738,$F1127)="","",INDEX(選手一覧!$D$7:$D$2738,$F1127))</f>
        <v/>
      </c>
      <c r="H1127" s="17" t="str">
        <f aca="false">IF(INDEX(選手一覧!$E$7:$E$2738,$F1127)="","",INDEX(選手一覧!$E$7:$E$2738,$F1127))</f>
        <v/>
      </c>
      <c r="I1127" s="16" t="str">
        <f aca="false">IF(INDEX(選手一覧!$J$7:$J$2738,$F1127)="","",INDEX(選手一覧!$J$7:$J$2738,$F1127))</f>
        <v/>
      </c>
      <c r="J1127" s="17" t="str">
        <f aca="false">IF(INDEX(選手一覧!$K$7:$K$2738,$F1127)="","",INDEX(選手一覧!$K$7:$K$2738,$F1127))</f>
        <v/>
      </c>
    </row>
    <row r="1128" customFormat="false" ht="15" hidden="false" customHeight="false" outlineLevel="0" collapsed="false">
      <c r="A1128" s="17" t="n">
        <v>1124</v>
      </c>
      <c r="B1128" s="12" t="s">
        <v>3658</v>
      </c>
      <c r="C1128" s="12" t="s">
        <v>3659</v>
      </c>
      <c r="D1128" s="16" t="n">
        <v>0.00776585648148148</v>
      </c>
      <c r="E1128" s="15" t="n">
        <f aca="false">ROUND((D1128-$D$5)*86400,2)</f>
        <v>131.95</v>
      </c>
      <c r="F1128" s="17" t="n">
        <v>2374</v>
      </c>
      <c r="G1128" s="16" t="str">
        <f aca="false">IF(INDEX(選手一覧!$D$7:$D$2738,$F1128)="","",INDEX(選手一覧!$D$7:$D$2738,$F1128))</f>
        <v/>
      </c>
      <c r="H1128" s="17" t="str">
        <f aca="false">IF(INDEX(選手一覧!$E$7:$E$2738,$F1128)="","",INDEX(選手一覧!$E$7:$E$2738,$F1128))</f>
        <v/>
      </c>
      <c r="I1128" s="16" t="str">
        <f aca="false">IF(INDEX(選手一覧!$J$7:$J$2738,$F1128)="","",INDEX(選手一覧!$J$7:$J$2738,$F1128))</f>
        <v/>
      </c>
      <c r="J1128" s="17" t="str">
        <f aca="false">IF(INDEX(選手一覧!$K$7:$K$2738,$F1128)="","",INDEX(選手一覧!$K$7:$K$2738,$F1128))</f>
        <v/>
      </c>
    </row>
    <row r="1129" customFormat="false" ht="15" hidden="false" customHeight="false" outlineLevel="0" collapsed="false">
      <c r="A1129" s="17" t="n">
        <v>1125</v>
      </c>
      <c r="B1129" s="12" t="s">
        <v>3660</v>
      </c>
      <c r="C1129" s="12" t="s">
        <v>3661</v>
      </c>
      <c r="D1129" s="16" t="n">
        <v>0.00776747685185185</v>
      </c>
      <c r="E1129" s="15" t="n">
        <f aca="false">ROUND((D1129-$D$5)*86400,2)</f>
        <v>132.09</v>
      </c>
      <c r="F1129" s="17" t="n">
        <v>2375</v>
      </c>
      <c r="G1129" s="16" t="str">
        <f aca="false">IF(INDEX(選手一覧!$D$7:$D$2738,$F1129)="","",INDEX(選手一覧!$D$7:$D$2738,$F1129))</f>
        <v/>
      </c>
      <c r="H1129" s="17" t="str">
        <f aca="false">IF(INDEX(選手一覧!$E$7:$E$2738,$F1129)="","",INDEX(選手一覧!$E$7:$E$2738,$F1129))</f>
        <v/>
      </c>
      <c r="I1129" s="16" t="str">
        <f aca="false">IF(INDEX(選手一覧!$J$7:$J$2738,$F1129)="","",INDEX(選手一覧!$J$7:$J$2738,$F1129))</f>
        <v/>
      </c>
      <c r="J1129" s="17" t="str">
        <f aca="false">IF(INDEX(選手一覧!$K$7:$K$2738,$F1129)="","",INDEX(選手一覧!$K$7:$K$2738,$F1129))</f>
        <v/>
      </c>
    </row>
    <row r="1130" customFormat="false" ht="15" hidden="false" customHeight="false" outlineLevel="0" collapsed="false">
      <c r="A1130" s="17" t="n">
        <v>1126</v>
      </c>
      <c r="B1130" s="12" t="s">
        <v>3663</v>
      </c>
      <c r="C1130" s="12" t="s">
        <v>3232</v>
      </c>
      <c r="D1130" s="16" t="n">
        <v>0.00776770833333333</v>
      </c>
      <c r="E1130" s="15" t="n">
        <f aca="false">ROUND((D1130-$D$5)*86400,2)</f>
        <v>132.11</v>
      </c>
      <c r="F1130" s="17" t="n">
        <v>2377</v>
      </c>
      <c r="G1130" s="16" t="str">
        <f aca="false">IF(INDEX(選手一覧!$D$7:$D$2738,$F1130)="","",INDEX(選手一覧!$D$7:$D$2738,$F1130))</f>
        <v/>
      </c>
      <c r="H1130" s="17" t="str">
        <f aca="false">IF(INDEX(選手一覧!$E$7:$E$2738,$F1130)="","",INDEX(選手一覧!$E$7:$E$2738,$F1130))</f>
        <v/>
      </c>
      <c r="I1130" s="16" t="str">
        <f aca="false">IF(INDEX(選手一覧!$J$7:$J$2738,$F1130)="","",INDEX(選手一覧!$J$7:$J$2738,$F1130))</f>
        <v/>
      </c>
      <c r="J1130" s="17" t="str">
        <f aca="false">IF(INDEX(選手一覧!$K$7:$K$2738,$F1130)="","",INDEX(選手一覧!$K$7:$K$2738,$F1130))</f>
        <v/>
      </c>
    </row>
    <row r="1131" customFormat="false" ht="15" hidden="false" customHeight="false" outlineLevel="0" collapsed="false">
      <c r="A1131" s="17" t="n">
        <v>1127</v>
      </c>
      <c r="B1131" s="12" t="s">
        <v>1198</v>
      </c>
      <c r="C1131" s="12" t="s">
        <v>1199</v>
      </c>
      <c r="D1131" s="16" t="n">
        <v>0.007771875</v>
      </c>
      <c r="E1131" s="15" t="n">
        <f aca="false">ROUND((D1131-$D$5)*86400,2)</f>
        <v>132.47</v>
      </c>
      <c r="F1131" s="17" t="n">
        <v>712</v>
      </c>
      <c r="G1131" s="16" t="n">
        <f aca="false">IF(INDEX(選手一覧!$D$7:$D$2738,$F1131)="","",INDEX(選手一覧!$D$7:$D$2738,$F1131))</f>
        <v>0.0107855324074074</v>
      </c>
      <c r="H1131" s="17" t="n">
        <f aca="false">IF(INDEX(選手一覧!$E$7:$E$2738,$F1131)="","",INDEX(選手一覧!$E$7:$E$2738,$F1131))</f>
        <v>713</v>
      </c>
      <c r="I1131" s="16" t="str">
        <f aca="false">IF(INDEX(選手一覧!$J$7:$J$2738,$F1131)="","",INDEX(選手一覧!$J$7:$J$2738,$F1131))</f>
        <v/>
      </c>
      <c r="J1131" s="17" t="str">
        <f aca="false">IF(INDEX(選手一覧!$K$7:$K$2738,$F1131)="","",INDEX(選手一覧!$K$7:$K$2738,$F1131))</f>
        <v/>
      </c>
    </row>
    <row r="1132" customFormat="false" ht="15" hidden="false" customHeight="false" outlineLevel="0" collapsed="false">
      <c r="A1132" s="17" t="n">
        <v>1128</v>
      </c>
      <c r="B1132" s="12" t="s">
        <v>3665</v>
      </c>
      <c r="C1132" s="12" t="s">
        <v>2923</v>
      </c>
      <c r="D1132" s="16" t="n">
        <v>0.00777604166666667</v>
      </c>
      <c r="E1132" s="15" t="n">
        <f aca="false">ROUND((D1132-$D$5)*86400,2)</f>
        <v>132.83</v>
      </c>
      <c r="F1132" s="17" t="n">
        <v>2379</v>
      </c>
      <c r="G1132" s="16" t="str">
        <f aca="false">IF(INDEX(選手一覧!$D$7:$D$2738,$F1132)="","",INDEX(選手一覧!$D$7:$D$2738,$F1132))</f>
        <v/>
      </c>
      <c r="H1132" s="17" t="str">
        <f aca="false">IF(INDEX(選手一覧!$E$7:$E$2738,$F1132)="","",INDEX(選手一覧!$E$7:$E$2738,$F1132))</f>
        <v/>
      </c>
      <c r="I1132" s="16" t="str">
        <f aca="false">IF(INDEX(選手一覧!$J$7:$J$2738,$F1132)="","",INDEX(選手一覧!$J$7:$J$2738,$F1132))</f>
        <v/>
      </c>
      <c r="J1132" s="17" t="str">
        <f aca="false">IF(INDEX(選手一覧!$K$7:$K$2738,$F1132)="","",INDEX(選手一覧!$K$7:$K$2738,$F1132))</f>
        <v/>
      </c>
    </row>
    <row r="1133" customFormat="false" ht="15" hidden="false" customHeight="false" outlineLevel="0" collapsed="false">
      <c r="A1133" s="17" t="n">
        <v>1129</v>
      </c>
      <c r="B1133" s="12" t="s">
        <v>3667</v>
      </c>
      <c r="C1133" s="12" t="s">
        <v>3668</v>
      </c>
      <c r="D1133" s="16" t="n">
        <v>0.00777962962962963</v>
      </c>
      <c r="E1133" s="15" t="n">
        <f aca="false">ROUND((D1133-$D$5)*86400,2)</f>
        <v>133.14</v>
      </c>
      <c r="F1133" s="17" t="n">
        <v>2381</v>
      </c>
      <c r="G1133" s="16" t="str">
        <f aca="false">IF(INDEX(選手一覧!$D$7:$D$2738,$F1133)="","",INDEX(選手一覧!$D$7:$D$2738,$F1133))</f>
        <v/>
      </c>
      <c r="H1133" s="17" t="str">
        <f aca="false">IF(INDEX(選手一覧!$E$7:$E$2738,$F1133)="","",INDEX(選手一覧!$E$7:$E$2738,$F1133))</f>
        <v/>
      </c>
      <c r="I1133" s="16" t="str">
        <f aca="false">IF(INDEX(選手一覧!$J$7:$J$2738,$F1133)="","",INDEX(選手一覧!$J$7:$J$2738,$F1133))</f>
        <v/>
      </c>
      <c r="J1133" s="17" t="str">
        <f aca="false">IF(INDEX(選手一覧!$K$7:$K$2738,$F1133)="","",INDEX(選手一覧!$K$7:$K$2738,$F1133))</f>
        <v/>
      </c>
    </row>
    <row r="1134" customFormat="false" ht="15" hidden="false" customHeight="false" outlineLevel="0" collapsed="false">
      <c r="A1134" s="17" t="n">
        <v>1130</v>
      </c>
      <c r="B1134" s="12" t="s">
        <v>3669</v>
      </c>
      <c r="C1134" s="12" t="s">
        <v>3670</v>
      </c>
      <c r="D1134" s="16" t="n">
        <v>0.00778981481481482</v>
      </c>
      <c r="E1134" s="15" t="n">
        <f aca="false">ROUND((D1134-$D$5)*86400,2)</f>
        <v>134.02</v>
      </c>
      <c r="F1134" s="17" t="n">
        <v>2382</v>
      </c>
      <c r="G1134" s="16" t="str">
        <f aca="false">IF(INDEX(選手一覧!$D$7:$D$2738,$F1134)="","",INDEX(選手一覧!$D$7:$D$2738,$F1134))</f>
        <v/>
      </c>
      <c r="H1134" s="17" t="str">
        <f aca="false">IF(INDEX(選手一覧!$E$7:$E$2738,$F1134)="","",INDEX(選手一覧!$E$7:$E$2738,$F1134))</f>
        <v/>
      </c>
      <c r="I1134" s="16" t="str">
        <f aca="false">IF(INDEX(選手一覧!$J$7:$J$2738,$F1134)="","",INDEX(選手一覧!$J$7:$J$2738,$F1134))</f>
        <v/>
      </c>
      <c r="J1134" s="17" t="str">
        <f aca="false">IF(INDEX(選手一覧!$K$7:$K$2738,$F1134)="","",INDEX(選手一覧!$K$7:$K$2738,$F1134))</f>
        <v/>
      </c>
    </row>
    <row r="1135" customFormat="false" ht="15" hidden="false" customHeight="false" outlineLevel="0" collapsed="false">
      <c r="A1135" s="17" t="n">
        <v>1131</v>
      </c>
      <c r="B1135" s="12" t="s">
        <v>3673</v>
      </c>
      <c r="C1135" s="12" t="s">
        <v>3288</v>
      </c>
      <c r="D1135" s="16" t="n">
        <v>0.00779340277777778</v>
      </c>
      <c r="E1135" s="15" t="n">
        <f aca="false">ROUND((D1135-$D$5)*86400,2)</f>
        <v>134.33</v>
      </c>
      <c r="F1135" s="17" t="n">
        <v>2384</v>
      </c>
      <c r="G1135" s="16" t="str">
        <f aca="false">IF(INDEX(選手一覧!$D$7:$D$2738,$F1135)="","",INDEX(選手一覧!$D$7:$D$2738,$F1135))</f>
        <v/>
      </c>
      <c r="H1135" s="17" t="str">
        <f aca="false">IF(INDEX(選手一覧!$E$7:$E$2738,$F1135)="","",INDEX(選手一覧!$E$7:$E$2738,$F1135))</f>
        <v/>
      </c>
      <c r="I1135" s="16" t="str">
        <f aca="false">IF(INDEX(選手一覧!$J$7:$J$2738,$F1135)="","",INDEX(選手一覧!$J$7:$J$2738,$F1135))</f>
        <v/>
      </c>
      <c r="J1135" s="17" t="str">
        <f aca="false">IF(INDEX(選手一覧!$K$7:$K$2738,$F1135)="","",INDEX(選手一覧!$K$7:$K$2738,$F1135))</f>
        <v/>
      </c>
    </row>
    <row r="1136" customFormat="false" ht="15" hidden="false" customHeight="false" outlineLevel="0" collapsed="false">
      <c r="A1136" s="17" t="n">
        <v>1132</v>
      </c>
      <c r="B1136" s="12" t="s">
        <v>3677</v>
      </c>
      <c r="C1136" s="12" t="s">
        <v>2587</v>
      </c>
      <c r="D1136" s="16" t="n">
        <v>0.00779363425925926</v>
      </c>
      <c r="E1136" s="15" t="n">
        <f aca="false">ROUND((D1136-$D$5)*86400,2)</f>
        <v>134.35</v>
      </c>
      <c r="F1136" s="17" t="n">
        <v>2386</v>
      </c>
      <c r="G1136" s="16" t="str">
        <f aca="false">IF(INDEX(選手一覧!$D$7:$D$2738,$F1136)="","",INDEX(選手一覧!$D$7:$D$2738,$F1136))</f>
        <v/>
      </c>
      <c r="H1136" s="17" t="str">
        <f aca="false">IF(INDEX(選手一覧!$E$7:$E$2738,$F1136)="","",INDEX(選手一覧!$E$7:$E$2738,$F1136))</f>
        <v/>
      </c>
      <c r="I1136" s="16" t="str">
        <f aca="false">IF(INDEX(選手一覧!$J$7:$J$2738,$F1136)="","",INDEX(選手一覧!$J$7:$J$2738,$F1136))</f>
        <v/>
      </c>
      <c r="J1136" s="17" t="str">
        <f aca="false">IF(INDEX(選手一覧!$K$7:$K$2738,$F1136)="","",INDEX(選手一覧!$K$7:$K$2738,$F1136))</f>
        <v/>
      </c>
    </row>
    <row r="1137" customFormat="false" ht="15" hidden="false" customHeight="false" outlineLevel="0" collapsed="false">
      <c r="A1137" s="17" t="n">
        <v>1133</v>
      </c>
      <c r="B1137" s="12" t="s">
        <v>3679</v>
      </c>
      <c r="C1137" s="12" t="s">
        <v>3680</v>
      </c>
      <c r="D1137" s="16" t="n">
        <v>0.00779756944444445</v>
      </c>
      <c r="E1137" s="15" t="n">
        <f aca="false">ROUND((D1137-$D$5)*86400,2)</f>
        <v>134.69</v>
      </c>
      <c r="F1137" s="17" t="n">
        <v>2388</v>
      </c>
      <c r="G1137" s="16" t="str">
        <f aca="false">IF(INDEX(選手一覧!$D$7:$D$2738,$F1137)="","",INDEX(選手一覧!$D$7:$D$2738,$F1137))</f>
        <v/>
      </c>
      <c r="H1137" s="17" t="str">
        <f aca="false">IF(INDEX(選手一覧!$E$7:$E$2738,$F1137)="","",INDEX(選手一覧!$E$7:$E$2738,$F1137))</f>
        <v/>
      </c>
      <c r="I1137" s="16" t="str">
        <f aca="false">IF(INDEX(選手一覧!$J$7:$J$2738,$F1137)="","",INDEX(選手一覧!$J$7:$J$2738,$F1137))</f>
        <v/>
      </c>
      <c r="J1137" s="17" t="str">
        <f aca="false">IF(INDEX(選手一覧!$K$7:$K$2738,$F1137)="","",INDEX(選手一覧!$K$7:$K$2738,$F1137))</f>
        <v/>
      </c>
    </row>
    <row r="1138" customFormat="false" ht="15" hidden="false" customHeight="false" outlineLevel="0" collapsed="false">
      <c r="A1138" s="17" t="n">
        <v>1134</v>
      </c>
      <c r="B1138" s="12" t="s">
        <v>3681</v>
      </c>
      <c r="C1138" s="12" t="s">
        <v>3682</v>
      </c>
      <c r="D1138" s="16" t="n">
        <v>0.00779803240740741</v>
      </c>
      <c r="E1138" s="15" t="n">
        <f aca="false">ROUND((D1138-$D$5)*86400,2)</f>
        <v>134.73</v>
      </c>
      <c r="F1138" s="17" t="n">
        <v>2389</v>
      </c>
      <c r="G1138" s="16" t="str">
        <f aca="false">IF(INDEX(選手一覧!$D$7:$D$2738,$F1138)="","",INDEX(選手一覧!$D$7:$D$2738,$F1138))</f>
        <v/>
      </c>
      <c r="H1138" s="17" t="str">
        <f aca="false">IF(INDEX(選手一覧!$E$7:$E$2738,$F1138)="","",INDEX(選手一覧!$E$7:$E$2738,$F1138))</f>
        <v/>
      </c>
      <c r="I1138" s="16" t="str">
        <f aca="false">IF(INDEX(選手一覧!$J$7:$J$2738,$F1138)="","",INDEX(選手一覧!$J$7:$J$2738,$F1138))</f>
        <v/>
      </c>
      <c r="J1138" s="17" t="str">
        <f aca="false">IF(INDEX(選手一覧!$K$7:$K$2738,$F1138)="","",INDEX(選手一覧!$K$7:$K$2738,$F1138))</f>
        <v/>
      </c>
    </row>
    <row r="1139" customFormat="false" ht="15" hidden="false" customHeight="false" outlineLevel="0" collapsed="false">
      <c r="A1139" s="17" t="n">
        <v>1135</v>
      </c>
      <c r="B1139" s="12" t="s">
        <v>3683</v>
      </c>
      <c r="C1139" s="12" t="s">
        <v>1948</v>
      </c>
      <c r="D1139" s="16" t="n">
        <v>0.00779976851851852</v>
      </c>
      <c r="E1139" s="15" t="n">
        <f aca="false">ROUND((D1139-$D$5)*86400,2)</f>
        <v>134.88</v>
      </c>
      <c r="F1139" s="17" t="n">
        <v>2390</v>
      </c>
      <c r="G1139" s="16" t="str">
        <f aca="false">IF(INDEX(選手一覧!$D$7:$D$2738,$F1139)="","",INDEX(選手一覧!$D$7:$D$2738,$F1139))</f>
        <v/>
      </c>
      <c r="H1139" s="17" t="str">
        <f aca="false">IF(INDEX(選手一覧!$E$7:$E$2738,$F1139)="","",INDEX(選手一覧!$E$7:$E$2738,$F1139))</f>
        <v/>
      </c>
      <c r="I1139" s="16" t="str">
        <f aca="false">IF(INDEX(選手一覧!$J$7:$J$2738,$F1139)="","",INDEX(選手一覧!$J$7:$J$2738,$F1139))</f>
        <v/>
      </c>
      <c r="J1139" s="17" t="str">
        <f aca="false">IF(INDEX(選手一覧!$K$7:$K$2738,$F1139)="","",INDEX(選手一覧!$K$7:$K$2738,$F1139))</f>
        <v/>
      </c>
    </row>
    <row r="1140" customFormat="false" ht="15" hidden="false" customHeight="false" outlineLevel="0" collapsed="false">
      <c r="A1140" s="17" t="n">
        <v>1136</v>
      </c>
      <c r="B1140" s="12" t="s">
        <v>610</v>
      </c>
      <c r="C1140" s="12" t="s">
        <v>143</v>
      </c>
      <c r="D1140" s="16" t="n">
        <v>0.00780393518518519</v>
      </c>
      <c r="E1140" s="15" t="n">
        <f aca="false">ROUND((D1140-$D$5)*86400,2)</f>
        <v>135.24</v>
      </c>
      <c r="F1140" s="17" t="n">
        <v>328</v>
      </c>
      <c r="G1140" s="16" t="n">
        <f aca="false">IF(INDEX(選手一覧!$D$7:$D$2738,$F1140)="","",INDEX(選手一覧!$D$7:$D$2738,$F1140))</f>
        <v>0.0104857638888889</v>
      </c>
      <c r="H1140" s="17" t="n">
        <f aca="false">IF(INDEX(選手一覧!$E$7:$E$2738,$F1140)="","",INDEX(選手一覧!$E$7:$E$2738,$F1140))</f>
        <v>329</v>
      </c>
      <c r="I1140" s="16" t="str">
        <f aca="false">IF(INDEX(選手一覧!$J$7:$J$2738,$F1140)="","",INDEX(選手一覧!$J$7:$J$2738,$F1140))</f>
        <v/>
      </c>
      <c r="J1140" s="17" t="str">
        <f aca="false">IF(INDEX(選手一覧!$K$7:$K$2738,$F1140)="","",INDEX(選手一覧!$K$7:$K$2738,$F1140))</f>
        <v/>
      </c>
    </row>
    <row r="1141" customFormat="false" ht="15" hidden="false" customHeight="false" outlineLevel="0" collapsed="false">
      <c r="A1141" s="17" t="n">
        <v>1137</v>
      </c>
      <c r="B1141" s="12" t="s">
        <v>3686</v>
      </c>
      <c r="C1141" s="12" t="s">
        <v>3687</v>
      </c>
      <c r="D1141" s="16" t="n">
        <v>0.00781087962962963</v>
      </c>
      <c r="E1141" s="15" t="n">
        <f aca="false">ROUND((D1141-$D$5)*86400,2)</f>
        <v>135.84</v>
      </c>
      <c r="F1141" s="17" t="n">
        <v>2392</v>
      </c>
      <c r="G1141" s="16" t="str">
        <f aca="false">IF(INDEX(選手一覧!$D$7:$D$2738,$F1141)="","",INDEX(選手一覧!$D$7:$D$2738,$F1141))</f>
        <v/>
      </c>
      <c r="H1141" s="17" t="str">
        <f aca="false">IF(INDEX(選手一覧!$E$7:$E$2738,$F1141)="","",INDEX(選手一覧!$E$7:$E$2738,$F1141))</f>
        <v/>
      </c>
      <c r="I1141" s="16" t="str">
        <f aca="false">IF(INDEX(選手一覧!$J$7:$J$2738,$F1141)="","",INDEX(選手一覧!$J$7:$J$2738,$F1141))</f>
        <v/>
      </c>
      <c r="J1141" s="17" t="str">
        <f aca="false">IF(INDEX(選手一覧!$K$7:$K$2738,$F1141)="","",INDEX(選手一覧!$K$7:$K$2738,$F1141))</f>
        <v/>
      </c>
    </row>
    <row r="1142" customFormat="false" ht="15" hidden="false" customHeight="false" outlineLevel="0" collapsed="false">
      <c r="A1142" s="17" t="n">
        <v>1138</v>
      </c>
      <c r="B1142" s="12" t="s">
        <v>3690</v>
      </c>
      <c r="C1142" s="12" t="s">
        <v>3691</v>
      </c>
      <c r="D1142" s="16" t="n">
        <v>0.00781099537037037</v>
      </c>
      <c r="E1142" s="15" t="n">
        <f aca="false">ROUND((D1142-$D$5)*86400,2)</f>
        <v>135.85</v>
      </c>
      <c r="F1142" s="17" t="n">
        <v>2394</v>
      </c>
      <c r="G1142" s="16" t="str">
        <f aca="false">IF(INDEX(選手一覧!$D$7:$D$2738,$F1142)="","",INDEX(選手一覧!$D$7:$D$2738,$F1142))</f>
        <v/>
      </c>
      <c r="H1142" s="17" t="str">
        <f aca="false">IF(INDEX(選手一覧!$E$7:$E$2738,$F1142)="","",INDEX(選手一覧!$E$7:$E$2738,$F1142))</f>
        <v/>
      </c>
      <c r="I1142" s="16" t="str">
        <f aca="false">IF(INDEX(選手一覧!$J$7:$J$2738,$F1142)="","",INDEX(選手一覧!$J$7:$J$2738,$F1142))</f>
        <v/>
      </c>
      <c r="J1142" s="17" t="str">
        <f aca="false">IF(INDEX(選手一覧!$K$7:$K$2738,$F1142)="","",INDEX(選手一覧!$K$7:$K$2738,$F1142))</f>
        <v/>
      </c>
    </row>
    <row r="1143" customFormat="false" ht="15" hidden="false" customHeight="false" outlineLevel="0" collapsed="false">
      <c r="A1143" s="17" t="n">
        <v>1139</v>
      </c>
      <c r="B1143" s="12" t="s">
        <v>3692</v>
      </c>
      <c r="C1143" s="12" t="s">
        <v>103</v>
      </c>
      <c r="D1143" s="16" t="n">
        <v>0.00781585648148148</v>
      </c>
      <c r="E1143" s="15" t="n">
        <f aca="false">ROUND((D1143-$D$5)*86400,2)</f>
        <v>136.27</v>
      </c>
      <c r="F1143" s="17" t="n">
        <v>2395</v>
      </c>
      <c r="G1143" s="16" t="str">
        <f aca="false">IF(INDEX(選手一覧!$D$7:$D$2738,$F1143)="","",INDEX(選手一覧!$D$7:$D$2738,$F1143))</f>
        <v/>
      </c>
      <c r="H1143" s="17" t="str">
        <f aca="false">IF(INDEX(選手一覧!$E$7:$E$2738,$F1143)="","",INDEX(選手一覧!$E$7:$E$2738,$F1143))</f>
        <v/>
      </c>
      <c r="I1143" s="16" t="str">
        <f aca="false">IF(INDEX(選手一覧!$J$7:$J$2738,$F1143)="","",INDEX(選手一覧!$J$7:$J$2738,$F1143))</f>
        <v/>
      </c>
      <c r="J1143" s="17" t="str">
        <f aca="false">IF(INDEX(選手一覧!$K$7:$K$2738,$F1143)="","",INDEX(選手一覧!$K$7:$K$2738,$F1143))</f>
        <v/>
      </c>
    </row>
    <row r="1144" customFormat="false" ht="15" hidden="false" customHeight="false" outlineLevel="0" collapsed="false">
      <c r="A1144" s="17" t="n">
        <v>1140</v>
      </c>
      <c r="B1144" s="12" t="s">
        <v>3693</v>
      </c>
      <c r="C1144" s="12" t="s">
        <v>2798</v>
      </c>
      <c r="D1144" s="16" t="n">
        <v>0.00781585648148148</v>
      </c>
      <c r="E1144" s="15" t="n">
        <f aca="false">ROUND((D1144-$D$5)*86400,2)</f>
        <v>136.27</v>
      </c>
      <c r="F1144" s="17" t="n">
        <v>2396</v>
      </c>
      <c r="G1144" s="16" t="str">
        <f aca="false">IF(INDEX(選手一覧!$D$7:$D$2738,$F1144)="","",INDEX(選手一覧!$D$7:$D$2738,$F1144))</f>
        <v/>
      </c>
      <c r="H1144" s="17" t="str">
        <f aca="false">IF(INDEX(選手一覧!$E$7:$E$2738,$F1144)="","",INDEX(選手一覧!$E$7:$E$2738,$F1144))</f>
        <v/>
      </c>
      <c r="I1144" s="16" t="str">
        <f aca="false">IF(INDEX(選手一覧!$J$7:$J$2738,$F1144)="","",INDEX(選手一覧!$J$7:$J$2738,$F1144))</f>
        <v/>
      </c>
      <c r="J1144" s="17" t="str">
        <f aca="false">IF(INDEX(選手一覧!$K$7:$K$2738,$F1144)="","",INDEX(選手一覧!$K$7:$K$2738,$F1144))</f>
        <v/>
      </c>
    </row>
    <row r="1145" customFormat="false" ht="15" hidden="false" customHeight="false" outlineLevel="0" collapsed="false">
      <c r="A1145" s="17" t="n">
        <v>1141</v>
      </c>
      <c r="B1145" s="12" t="s">
        <v>3694</v>
      </c>
      <c r="C1145" s="12" t="s">
        <v>3661</v>
      </c>
      <c r="D1145" s="16" t="n">
        <v>0.00781666666666667</v>
      </c>
      <c r="E1145" s="15" t="n">
        <f aca="false">ROUND((D1145-$D$5)*86400,2)</f>
        <v>136.34</v>
      </c>
      <c r="F1145" s="17" t="n">
        <v>2397</v>
      </c>
      <c r="G1145" s="16" t="str">
        <f aca="false">IF(INDEX(選手一覧!$D$7:$D$2738,$F1145)="","",INDEX(選手一覧!$D$7:$D$2738,$F1145))</f>
        <v/>
      </c>
      <c r="H1145" s="17" t="str">
        <f aca="false">IF(INDEX(選手一覧!$E$7:$E$2738,$F1145)="","",INDEX(選手一覧!$E$7:$E$2738,$F1145))</f>
        <v/>
      </c>
      <c r="I1145" s="16" t="str">
        <f aca="false">IF(INDEX(選手一覧!$J$7:$J$2738,$F1145)="","",INDEX(選手一覧!$J$7:$J$2738,$F1145))</f>
        <v/>
      </c>
      <c r="J1145" s="17" t="str">
        <f aca="false">IF(INDEX(選手一覧!$K$7:$K$2738,$F1145)="","",INDEX(選手一覧!$K$7:$K$2738,$F1145))</f>
        <v/>
      </c>
    </row>
    <row r="1146" customFormat="false" ht="15" hidden="false" customHeight="false" outlineLevel="0" collapsed="false">
      <c r="A1146" s="17" t="n">
        <v>1142</v>
      </c>
      <c r="B1146" s="12" t="s">
        <v>3697</v>
      </c>
      <c r="C1146" s="12" t="s">
        <v>2277</v>
      </c>
      <c r="D1146" s="16" t="n">
        <v>0.00781979166666667</v>
      </c>
      <c r="E1146" s="15" t="n">
        <f aca="false">ROUND((D1146-$D$5)*86400,2)</f>
        <v>136.61</v>
      </c>
      <c r="F1146" s="17" t="n">
        <v>2399</v>
      </c>
      <c r="G1146" s="16" t="str">
        <f aca="false">IF(INDEX(選手一覧!$D$7:$D$2738,$F1146)="","",INDEX(選手一覧!$D$7:$D$2738,$F1146))</f>
        <v/>
      </c>
      <c r="H1146" s="17" t="str">
        <f aca="false">IF(INDEX(選手一覧!$E$7:$E$2738,$F1146)="","",INDEX(選手一覧!$E$7:$E$2738,$F1146))</f>
        <v/>
      </c>
      <c r="I1146" s="16" t="str">
        <f aca="false">IF(INDEX(選手一覧!$J$7:$J$2738,$F1146)="","",INDEX(選手一覧!$J$7:$J$2738,$F1146))</f>
        <v/>
      </c>
      <c r="J1146" s="17" t="str">
        <f aca="false">IF(INDEX(選手一覧!$K$7:$K$2738,$F1146)="","",INDEX(選手一覧!$K$7:$K$2738,$F1146))</f>
        <v/>
      </c>
    </row>
    <row r="1147" customFormat="false" ht="15" hidden="false" customHeight="false" outlineLevel="0" collapsed="false">
      <c r="A1147" s="17" t="n">
        <v>1143</v>
      </c>
      <c r="B1147" s="12" t="s">
        <v>3698</v>
      </c>
      <c r="C1147" s="12" t="s">
        <v>3699</v>
      </c>
      <c r="D1147" s="16" t="n">
        <v>0.00782314814814815</v>
      </c>
      <c r="E1147" s="15" t="n">
        <f aca="false">ROUND((D1147-$D$5)*86400,2)</f>
        <v>136.9</v>
      </c>
      <c r="F1147" s="17" t="n">
        <v>2400</v>
      </c>
      <c r="G1147" s="16" t="str">
        <f aca="false">IF(INDEX(選手一覧!$D$7:$D$2738,$F1147)="","",INDEX(選手一覧!$D$7:$D$2738,$F1147))</f>
        <v/>
      </c>
      <c r="H1147" s="17" t="str">
        <f aca="false">IF(INDEX(選手一覧!$E$7:$E$2738,$F1147)="","",INDEX(選手一覧!$E$7:$E$2738,$F1147))</f>
        <v/>
      </c>
      <c r="I1147" s="16" t="str">
        <f aca="false">IF(INDEX(選手一覧!$J$7:$J$2738,$F1147)="","",INDEX(選手一覧!$J$7:$J$2738,$F1147))</f>
        <v/>
      </c>
      <c r="J1147" s="17" t="str">
        <f aca="false">IF(INDEX(選手一覧!$K$7:$K$2738,$F1147)="","",INDEX(選手一覧!$K$7:$K$2738,$F1147))</f>
        <v/>
      </c>
    </row>
    <row r="1148" customFormat="false" ht="15" hidden="false" customHeight="false" outlineLevel="0" collapsed="false">
      <c r="A1148" s="17" t="n">
        <v>1144</v>
      </c>
      <c r="B1148" s="12" t="s">
        <v>3700</v>
      </c>
      <c r="C1148" s="12" t="s">
        <v>2992</v>
      </c>
      <c r="D1148" s="16" t="n">
        <v>0.00782361111111111</v>
      </c>
      <c r="E1148" s="15" t="n">
        <f aca="false">ROUND((D1148-$D$5)*86400,2)</f>
        <v>136.94</v>
      </c>
      <c r="F1148" s="17" t="n">
        <v>2401</v>
      </c>
      <c r="G1148" s="16" t="str">
        <f aca="false">IF(INDEX(選手一覧!$D$7:$D$2738,$F1148)="","",INDEX(選手一覧!$D$7:$D$2738,$F1148))</f>
        <v/>
      </c>
      <c r="H1148" s="17" t="str">
        <f aca="false">IF(INDEX(選手一覧!$E$7:$E$2738,$F1148)="","",INDEX(選手一覧!$E$7:$E$2738,$F1148))</f>
        <v/>
      </c>
      <c r="I1148" s="16" t="str">
        <f aca="false">IF(INDEX(選手一覧!$J$7:$J$2738,$F1148)="","",INDEX(選手一覧!$J$7:$J$2738,$F1148))</f>
        <v/>
      </c>
      <c r="J1148" s="17" t="str">
        <f aca="false">IF(INDEX(選手一覧!$K$7:$K$2738,$F1148)="","",INDEX(選手一覧!$K$7:$K$2738,$F1148))</f>
        <v/>
      </c>
    </row>
    <row r="1149" customFormat="false" ht="15" hidden="false" customHeight="false" outlineLevel="0" collapsed="false">
      <c r="A1149" s="17" t="n">
        <v>1145</v>
      </c>
      <c r="B1149" s="12" t="s">
        <v>3701</v>
      </c>
      <c r="C1149" s="12" t="s">
        <v>3702</v>
      </c>
      <c r="D1149" s="16" t="n">
        <v>0.00782465277777778</v>
      </c>
      <c r="E1149" s="15" t="n">
        <f aca="false">ROUND((D1149-$D$5)*86400,2)</f>
        <v>137.03</v>
      </c>
      <c r="F1149" s="17" t="n">
        <v>2402</v>
      </c>
      <c r="G1149" s="16" t="str">
        <f aca="false">IF(INDEX(選手一覧!$D$7:$D$2738,$F1149)="","",INDEX(選手一覧!$D$7:$D$2738,$F1149))</f>
        <v/>
      </c>
      <c r="H1149" s="17" t="str">
        <f aca="false">IF(INDEX(選手一覧!$E$7:$E$2738,$F1149)="","",INDEX(選手一覧!$E$7:$E$2738,$F1149))</f>
        <v/>
      </c>
      <c r="I1149" s="16" t="str">
        <f aca="false">IF(INDEX(選手一覧!$J$7:$J$2738,$F1149)="","",INDEX(選手一覧!$J$7:$J$2738,$F1149))</f>
        <v/>
      </c>
      <c r="J1149" s="17" t="str">
        <f aca="false">IF(INDEX(選手一覧!$K$7:$K$2738,$F1149)="","",INDEX(選手一覧!$K$7:$K$2738,$F1149))</f>
        <v/>
      </c>
    </row>
    <row r="1150" customFormat="false" ht="15" hidden="false" customHeight="false" outlineLevel="0" collapsed="false">
      <c r="A1150" s="17" t="n">
        <v>1146</v>
      </c>
      <c r="B1150" s="12" t="s">
        <v>3703</v>
      </c>
      <c r="C1150" s="12" t="s">
        <v>3704</v>
      </c>
      <c r="D1150" s="16" t="n">
        <v>0.00782708333333333</v>
      </c>
      <c r="E1150" s="15" t="n">
        <f aca="false">ROUND((D1150-$D$5)*86400,2)</f>
        <v>137.24</v>
      </c>
      <c r="F1150" s="17" t="n">
        <v>2403</v>
      </c>
      <c r="G1150" s="16" t="str">
        <f aca="false">IF(INDEX(選手一覧!$D$7:$D$2738,$F1150)="","",INDEX(選手一覧!$D$7:$D$2738,$F1150))</f>
        <v/>
      </c>
      <c r="H1150" s="17" t="str">
        <f aca="false">IF(INDEX(選手一覧!$E$7:$E$2738,$F1150)="","",INDEX(選手一覧!$E$7:$E$2738,$F1150))</f>
        <v/>
      </c>
      <c r="I1150" s="16" t="str">
        <f aca="false">IF(INDEX(選手一覧!$J$7:$J$2738,$F1150)="","",INDEX(選手一覧!$J$7:$J$2738,$F1150))</f>
        <v/>
      </c>
      <c r="J1150" s="17" t="str">
        <f aca="false">IF(INDEX(選手一覧!$K$7:$K$2738,$F1150)="","",INDEX(選手一覧!$K$7:$K$2738,$F1150))</f>
        <v/>
      </c>
    </row>
    <row r="1151" customFormat="false" ht="15" hidden="false" customHeight="false" outlineLevel="0" collapsed="false">
      <c r="A1151" s="17" t="n">
        <v>1147</v>
      </c>
      <c r="B1151" s="12" t="s">
        <v>3705</v>
      </c>
      <c r="C1151" s="12" t="s">
        <v>3706</v>
      </c>
      <c r="D1151" s="16" t="n">
        <v>0.00783923611111111</v>
      </c>
      <c r="E1151" s="15" t="n">
        <f aca="false">ROUND((D1151-$D$5)*86400,2)</f>
        <v>138.29</v>
      </c>
      <c r="F1151" s="17" t="n">
        <v>2404</v>
      </c>
      <c r="G1151" s="16" t="str">
        <f aca="false">IF(INDEX(選手一覧!$D$7:$D$2738,$F1151)="","",INDEX(選手一覧!$D$7:$D$2738,$F1151))</f>
        <v/>
      </c>
      <c r="H1151" s="17" t="str">
        <f aca="false">IF(INDEX(選手一覧!$E$7:$E$2738,$F1151)="","",INDEX(選手一覧!$E$7:$E$2738,$F1151))</f>
        <v/>
      </c>
      <c r="I1151" s="16" t="str">
        <f aca="false">IF(INDEX(選手一覧!$J$7:$J$2738,$F1151)="","",INDEX(選手一覧!$J$7:$J$2738,$F1151))</f>
        <v/>
      </c>
      <c r="J1151" s="17" t="str">
        <f aca="false">IF(INDEX(選手一覧!$K$7:$K$2738,$F1151)="","",INDEX(選手一覧!$K$7:$K$2738,$F1151))</f>
        <v/>
      </c>
    </row>
    <row r="1152" customFormat="false" ht="15" hidden="false" customHeight="false" outlineLevel="0" collapsed="false">
      <c r="A1152" s="17" t="n">
        <v>1148</v>
      </c>
      <c r="B1152" s="12" t="s">
        <v>3707</v>
      </c>
      <c r="C1152" s="12" t="s">
        <v>3708</v>
      </c>
      <c r="D1152" s="16" t="n">
        <v>0.00784537037037037</v>
      </c>
      <c r="E1152" s="15" t="n">
        <f aca="false">ROUND((D1152-$D$5)*86400,2)</f>
        <v>138.82</v>
      </c>
      <c r="F1152" s="17" t="n">
        <v>2405</v>
      </c>
      <c r="G1152" s="16" t="str">
        <f aca="false">IF(INDEX(選手一覧!$D$7:$D$2738,$F1152)="","",INDEX(選手一覧!$D$7:$D$2738,$F1152))</f>
        <v/>
      </c>
      <c r="H1152" s="17" t="str">
        <f aca="false">IF(INDEX(選手一覧!$E$7:$E$2738,$F1152)="","",INDEX(選手一覧!$E$7:$E$2738,$F1152))</f>
        <v/>
      </c>
      <c r="I1152" s="16" t="str">
        <f aca="false">IF(INDEX(選手一覧!$J$7:$J$2738,$F1152)="","",INDEX(選手一覧!$J$7:$J$2738,$F1152))</f>
        <v/>
      </c>
      <c r="J1152" s="17" t="str">
        <f aca="false">IF(INDEX(選手一覧!$K$7:$K$2738,$F1152)="","",INDEX(選手一覧!$K$7:$K$2738,$F1152))</f>
        <v/>
      </c>
    </row>
    <row r="1153" customFormat="false" ht="15" hidden="false" customHeight="false" outlineLevel="0" collapsed="false">
      <c r="A1153" s="17" t="n">
        <v>1149</v>
      </c>
      <c r="B1153" s="12" t="s">
        <v>3710</v>
      </c>
      <c r="C1153" s="12" t="s">
        <v>2254</v>
      </c>
      <c r="D1153" s="16" t="n">
        <v>0.00784780092592593</v>
      </c>
      <c r="E1153" s="15" t="n">
        <f aca="false">ROUND((D1153-$D$5)*86400,2)</f>
        <v>139.03</v>
      </c>
      <c r="F1153" s="17" t="n">
        <v>2407</v>
      </c>
      <c r="G1153" s="16" t="str">
        <f aca="false">IF(INDEX(選手一覧!$D$7:$D$2738,$F1153)="","",INDEX(選手一覧!$D$7:$D$2738,$F1153))</f>
        <v/>
      </c>
      <c r="H1153" s="17" t="str">
        <f aca="false">IF(INDEX(選手一覧!$E$7:$E$2738,$F1153)="","",INDEX(選手一覧!$E$7:$E$2738,$F1153))</f>
        <v/>
      </c>
      <c r="I1153" s="16" t="str">
        <f aca="false">IF(INDEX(選手一覧!$J$7:$J$2738,$F1153)="","",INDEX(選手一覧!$J$7:$J$2738,$F1153))</f>
        <v/>
      </c>
      <c r="J1153" s="17" t="str">
        <f aca="false">IF(INDEX(選手一覧!$K$7:$K$2738,$F1153)="","",INDEX(選手一覧!$K$7:$K$2738,$F1153))</f>
        <v/>
      </c>
    </row>
    <row r="1154" customFormat="false" ht="15" hidden="false" customHeight="false" outlineLevel="0" collapsed="false">
      <c r="A1154" s="17" t="n">
        <v>1150</v>
      </c>
      <c r="B1154" s="12" t="s">
        <v>3712</v>
      </c>
      <c r="C1154" s="12" t="s">
        <v>1346</v>
      </c>
      <c r="D1154" s="16" t="n">
        <v>0.00786180555555556</v>
      </c>
      <c r="E1154" s="15" t="n">
        <f aca="false">ROUND((D1154-$D$5)*86400,2)</f>
        <v>140.24</v>
      </c>
      <c r="F1154" s="17" t="n">
        <v>2408</v>
      </c>
      <c r="G1154" s="16" t="str">
        <f aca="false">IF(INDEX(選手一覧!$D$7:$D$2738,$F1154)="","",INDEX(選手一覧!$D$7:$D$2738,$F1154))</f>
        <v/>
      </c>
      <c r="H1154" s="17" t="str">
        <f aca="false">IF(INDEX(選手一覧!$E$7:$E$2738,$F1154)="","",INDEX(選手一覧!$E$7:$E$2738,$F1154))</f>
        <v/>
      </c>
      <c r="I1154" s="16" t="str">
        <f aca="false">IF(INDEX(選手一覧!$J$7:$J$2738,$F1154)="","",INDEX(選手一覧!$J$7:$J$2738,$F1154))</f>
        <v/>
      </c>
      <c r="J1154" s="17" t="str">
        <f aca="false">IF(INDEX(選手一覧!$K$7:$K$2738,$F1154)="","",INDEX(選手一覧!$K$7:$K$2738,$F1154))</f>
        <v/>
      </c>
    </row>
    <row r="1155" customFormat="false" ht="15" hidden="false" customHeight="false" outlineLevel="0" collapsed="false">
      <c r="A1155" s="17" t="n">
        <v>1151</v>
      </c>
      <c r="B1155" s="12" t="s">
        <v>3715</v>
      </c>
      <c r="C1155" s="12" t="s">
        <v>779</v>
      </c>
      <c r="D1155" s="16" t="n">
        <v>0.00786412037037037</v>
      </c>
      <c r="E1155" s="15" t="n">
        <f aca="false">ROUND((D1155-$D$5)*86400,2)</f>
        <v>140.44</v>
      </c>
      <c r="F1155" s="17" t="n">
        <v>2410</v>
      </c>
      <c r="G1155" s="16" t="str">
        <f aca="false">IF(INDEX(選手一覧!$D$7:$D$2738,$F1155)="","",INDEX(選手一覧!$D$7:$D$2738,$F1155))</f>
        <v/>
      </c>
      <c r="H1155" s="17" t="str">
        <f aca="false">IF(INDEX(選手一覧!$E$7:$E$2738,$F1155)="","",INDEX(選手一覧!$E$7:$E$2738,$F1155))</f>
        <v/>
      </c>
      <c r="I1155" s="16" t="str">
        <f aca="false">IF(INDEX(選手一覧!$J$7:$J$2738,$F1155)="","",INDEX(選手一覧!$J$7:$J$2738,$F1155))</f>
        <v/>
      </c>
      <c r="J1155" s="17" t="str">
        <f aca="false">IF(INDEX(選手一覧!$K$7:$K$2738,$F1155)="","",INDEX(選手一覧!$K$7:$K$2738,$F1155))</f>
        <v/>
      </c>
    </row>
    <row r="1156" customFormat="false" ht="15" hidden="false" customHeight="false" outlineLevel="0" collapsed="false">
      <c r="A1156" s="17" t="n">
        <v>1152</v>
      </c>
      <c r="B1156" s="12" t="s">
        <v>3717</v>
      </c>
      <c r="C1156" s="12" t="s">
        <v>486</v>
      </c>
      <c r="D1156" s="16" t="n">
        <v>0.00786550925925926</v>
      </c>
      <c r="E1156" s="15" t="n">
        <f aca="false">ROUND((D1156-$D$5)*86400,2)</f>
        <v>140.56</v>
      </c>
      <c r="F1156" s="17" t="n">
        <v>2412</v>
      </c>
      <c r="G1156" s="16" t="str">
        <f aca="false">IF(INDEX(選手一覧!$D$7:$D$2738,$F1156)="","",INDEX(選手一覧!$D$7:$D$2738,$F1156))</f>
        <v/>
      </c>
      <c r="H1156" s="17" t="str">
        <f aca="false">IF(INDEX(選手一覧!$E$7:$E$2738,$F1156)="","",INDEX(選手一覧!$E$7:$E$2738,$F1156))</f>
        <v/>
      </c>
      <c r="I1156" s="16" t="str">
        <f aca="false">IF(INDEX(選手一覧!$J$7:$J$2738,$F1156)="","",INDEX(選手一覧!$J$7:$J$2738,$F1156))</f>
        <v/>
      </c>
      <c r="J1156" s="17" t="str">
        <f aca="false">IF(INDEX(選手一覧!$K$7:$K$2738,$F1156)="","",INDEX(選手一覧!$K$7:$K$2738,$F1156))</f>
        <v/>
      </c>
    </row>
    <row r="1157" customFormat="false" ht="15" hidden="false" customHeight="false" outlineLevel="0" collapsed="false">
      <c r="A1157" s="17" t="n">
        <v>1153</v>
      </c>
      <c r="B1157" s="12" t="s">
        <v>3718</v>
      </c>
      <c r="C1157" s="12" t="s">
        <v>3719</v>
      </c>
      <c r="D1157" s="16" t="n">
        <v>0.00787210648148148</v>
      </c>
      <c r="E1157" s="15" t="n">
        <f aca="false">ROUND((D1157-$D$5)*86400,2)</f>
        <v>141.13</v>
      </c>
      <c r="F1157" s="17" t="n">
        <v>2413</v>
      </c>
      <c r="G1157" s="16" t="str">
        <f aca="false">IF(INDEX(選手一覧!$D$7:$D$2738,$F1157)="","",INDEX(選手一覧!$D$7:$D$2738,$F1157))</f>
        <v/>
      </c>
      <c r="H1157" s="17" t="str">
        <f aca="false">IF(INDEX(選手一覧!$E$7:$E$2738,$F1157)="","",INDEX(選手一覧!$E$7:$E$2738,$F1157))</f>
        <v/>
      </c>
      <c r="I1157" s="16" t="str">
        <f aca="false">IF(INDEX(選手一覧!$J$7:$J$2738,$F1157)="","",INDEX(選手一覧!$J$7:$J$2738,$F1157))</f>
        <v/>
      </c>
      <c r="J1157" s="17" t="str">
        <f aca="false">IF(INDEX(選手一覧!$K$7:$K$2738,$F1157)="","",INDEX(選手一覧!$K$7:$K$2738,$F1157))</f>
        <v/>
      </c>
    </row>
    <row r="1158" customFormat="false" ht="15" hidden="false" customHeight="false" outlineLevel="0" collapsed="false">
      <c r="A1158" s="17" t="n">
        <v>1154</v>
      </c>
      <c r="B1158" s="12" t="s">
        <v>3720</v>
      </c>
      <c r="C1158" s="12" t="s">
        <v>3721</v>
      </c>
      <c r="D1158" s="16" t="n">
        <v>0.00787372685185185</v>
      </c>
      <c r="E1158" s="15" t="n">
        <f aca="false">ROUND((D1158-$D$5)*86400,2)</f>
        <v>141.27</v>
      </c>
      <c r="F1158" s="17" t="n">
        <v>2414</v>
      </c>
      <c r="G1158" s="16" t="str">
        <f aca="false">IF(INDEX(選手一覧!$D$7:$D$2738,$F1158)="","",INDEX(選手一覧!$D$7:$D$2738,$F1158))</f>
        <v/>
      </c>
      <c r="H1158" s="17" t="str">
        <f aca="false">IF(INDEX(選手一覧!$E$7:$E$2738,$F1158)="","",INDEX(選手一覧!$E$7:$E$2738,$F1158))</f>
        <v/>
      </c>
      <c r="I1158" s="16" t="str">
        <f aca="false">IF(INDEX(選手一覧!$J$7:$J$2738,$F1158)="","",INDEX(選手一覧!$J$7:$J$2738,$F1158))</f>
        <v/>
      </c>
      <c r="J1158" s="17" t="str">
        <f aca="false">IF(INDEX(選手一覧!$K$7:$K$2738,$F1158)="","",INDEX(選手一覧!$K$7:$K$2738,$F1158))</f>
        <v/>
      </c>
    </row>
    <row r="1159" customFormat="false" ht="15" hidden="false" customHeight="false" outlineLevel="0" collapsed="false">
      <c r="A1159" s="17" t="n">
        <v>1155</v>
      </c>
      <c r="B1159" s="12" t="s">
        <v>3723</v>
      </c>
      <c r="C1159" s="12" t="s">
        <v>3708</v>
      </c>
      <c r="D1159" s="16" t="n">
        <v>0.00787581018518519</v>
      </c>
      <c r="E1159" s="15" t="n">
        <f aca="false">ROUND((D1159-$D$5)*86400,2)</f>
        <v>141.45</v>
      </c>
      <c r="F1159" s="17" t="n">
        <v>2416</v>
      </c>
      <c r="G1159" s="16" t="str">
        <f aca="false">IF(INDEX(選手一覧!$D$7:$D$2738,$F1159)="","",INDEX(選手一覧!$D$7:$D$2738,$F1159))</f>
        <v/>
      </c>
      <c r="H1159" s="17" t="str">
        <f aca="false">IF(INDEX(選手一覧!$E$7:$E$2738,$F1159)="","",INDEX(選手一覧!$E$7:$E$2738,$F1159))</f>
        <v/>
      </c>
      <c r="I1159" s="16" t="str">
        <f aca="false">IF(INDEX(選手一覧!$J$7:$J$2738,$F1159)="","",INDEX(選手一覧!$J$7:$J$2738,$F1159))</f>
        <v/>
      </c>
      <c r="J1159" s="17" t="str">
        <f aca="false">IF(INDEX(選手一覧!$K$7:$K$2738,$F1159)="","",INDEX(選手一覧!$K$7:$K$2738,$F1159))</f>
        <v/>
      </c>
    </row>
    <row r="1160" customFormat="false" ht="15" hidden="false" customHeight="false" outlineLevel="0" collapsed="false">
      <c r="A1160" s="17" t="n">
        <v>1156</v>
      </c>
      <c r="B1160" s="12" t="s">
        <v>3724</v>
      </c>
      <c r="C1160" s="12" t="s">
        <v>3725</v>
      </c>
      <c r="D1160" s="16" t="n">
        <v>0.00787800925925926</v>
      </c>
      <c r="E1160" s="15" t="n">
        <f aca="false">ROUND((D1160-$D$5)*86400,2)</f>
        <v>141.64</v>
      </c>
      <c r="F1160" s="17" t="n">
        <v>2417</v>
      </c>
      <c r="G1160" s="16" t="str">
        <f aca="false">IF(INDEX(選手一覧!$D$7:$D$2738,$F1160)="","",INDEX(選手一覧!$D$7:$D$2738,$F1160))</f>
        <v/>
      </c>
      <c r="H1160" s="17" t="str">
        <f aca="false">IF(INDEX(選手一覧!$E$7:$E$2738,$F1160)="","",INDEX(選手一覧!$E$7:$E$2738,$F1160))</f>
        <v/>
      </c>
      <c r="I1160" s="16" t="str">
        <f aca="false">IF(INDEX(選手一覧!$J$7:$J$2738,$F1160)="","",INDEX(選手一覧!$J$7:$J$2738,$F1160))</f>
        <v/>
      </c>
      <c r="J1160" s="17" t="str">
        <f aca="false">IF(INDEX(選手一覧!$K$7:$K$2738,$F1160)="","",INDEX(選手一覧!$K$7:$K$2738,$F1160))</f>
        <v/>
      </c>
    </row>
    <row r="1161" customFormat="false" ht="15" hidden="false" customHeight="false" outlineLevel="0" collapsed="false">
      <c r="A1161" s="17" t="n">
        <v>1157</v>
      </c>
      <c r="B1161" s="12" t="s">
        <v>3726</v>
      </c>
      <c r="C1161" s="12" t="s">
        <v>809</v>
      </c>
      <c r="D1161" s="16" t="n">
        <v>0.0078787037037037</v>
      </c>
      <c r="E1161" s="15" t="n">
        <f aca="false">ROUND((D1161-$D$5)*86400,2)</f>
        <v>141.7</v>
      </c>
      <c r="F1161" s="17" t="n">
        <v>2418</v>
      </c>
      <c r="G1161" s="16" t="str">
        <f aca="false">IF(INDEX(選手一覧!$D$7:$D$2738,$F1161)="","",INDEX(選手一覧!$D$7:$D$2738,$F1161))</f>
        <v/>
      </c>
      <c r="H1161" s="17" t="str">
        <f aca="false">IF(INDEX(選手一覧!$E$7:$E$2738,$F1161)="","",INDEX(選手一覧!$E$7:$E$2738,$F1161))</f>
        <v/>
      </c>
      <c r="I1161" s="16" t="str">
        <f aca="false">IF(INDEX(選手一覧!$J$7:$J$2738,$F1161)="","",INDEX(選手一覧!$J$7:$J$2738,$F1161))</f>
        <v/>
      </c>
      <c r="J1161" s="17" t="str">
        <f aca="false">IF(INDEX(選手一覧!$K$7:$K$2738,$F1161)="","",INDEX(選手一覧!$K$7:$K$2738,$F1161))</f>
        <v/>
      </c>
    </row>
    <row r="1162" customFormat="false" ht="15" hidden="false" customHeight="false" outlineLevel="0" collapsed="false">
      <c r="A1162" s="17" t="n">
        <v>1158</v>
      </c>
      <c r="B1162" s="12" t="s">
        <v>3729</v>
      </c>
      <c r="C1162" s="12" t="s">
        <v>3730</v>
      </c>
      <c r="D1162" s="16" t="n">
        <v>0.00788101851851852</v>
      </c>
      <c r="E1162" s="15" t="n">
        <f aca="false">ROUND((D1162-$D$5)*86400,2)</f>
        <v>141.9</v>
      </c>
      <c r="F1162" s="17" t="n">
        <v>2420</v>
      </c>
      <c r="G1162" s="16" t="str">
        <f aca="false">IF(INDEX(選手一覧!$D$7:$D$2738,$F1162)="","",INDEX(選手一覧!$D$7:$D$2738,$F1162))</f>
        <v/>
      </c>
      <c r="H1162" s="17" t="str">
        <f aca="false">IF(INDEX(選手一覧!$E$7:$E$2738,$F1162)="","",INDEX(選手一覧!$E$7:$E$2738,$F1162))</f>
        <v/>
      </c>
      <c r="I1162" s="16" t="str">
        <f aca="false">IF(INDEX(選手一覧!$J$7:$J$2738,$F1162)="","",INDEX(選手一覧!$J$7:$J$2738,$F1162))</f>
        <v/>
      </c>
      <c r="J1162" s="17" t="str">
        <f aca="false">IF(INDEX(選手一覧!$K$7:$K$2738,$F1162)="","",INDEX(選手一覧!$K$7:$K$2738,$F1162))</f>
        <v/>
      </c>
    </row>
    <row r="1163" customFormat="false" ht="15" hidden="false" customHeight="false" outlineLevel="0" collapsed="false">
      <c r="A1163" s="17" t="n">
        <v>1159</v>
      </c>
      <c r="B1163" s="12" t="s">
        <v>3731</v>
      </c>
      <c r="C1163" s="12" t="s">
        <v>488</v>
      </c>
      <c r="D1163" s="16" t="n">
        <v>0.00788472222222222</v>
      </c>
      <c r="E1163" s="15" t="n">
        <f aca="false">ROUND((D1163-$D$5)*86400,2)</f>
        <v>142.22</v>
      </c>
      <c r="F1163" s="17" t="n">
        <v>2421</v>
      </c>
      <c r="G1163" s="16" t="str">
        <f aca="false">IF(INDEX(選手一覧!$D$7:$D$2738,$F1163)="","",INDEX(選手一覧!$D$7:$D$2738,$F1163))</f>
        <v/>
      </c>
      <c r="H1163" s="17" t="str">
        <f aca="false">IF(INDEX(選手一覧!$E$7:$E$2738,$F1163)="","",INDEX(選手一覧!$E$7:$E$2738,$F1163))</f>
        <v/>
      </c>
      <c r="I1163" s="16" t="str">
        <f aca="false">IF(INDEX(選手一覧!$J$7:$J$2738,$F1163)="","",INDEX(選手一覧!$J$7:$J$2738,$F1163))</f>
        <v/>
      </c>
      <c r="J1163" s="17" t="str">
        <f aca="false">IF(INDEX(選手一覧!$K$7:$K$2738,$F1163)="","",INDEX(選手一覧!$K$7:$K$2738,$F1163))</f>
        <v/>
      </c>
    </row>
    <row r="1164" customFormat="false" ht="15" hidden="false" customHeight="false" outlineLevel="0" collapsed="false">
      <c r="A1164" s="17" t="n">
        <v>1160</v>
      </c>
      <c r="B1164" s="12" t="s">
        <v>3734</v>
      </c>
      <c r="C1164" s="12" t="s">
        <v>1538</v>
      </c>
      <c r="D1164" s="16" t="n">
        <v>0.00788622685185185</v>
      </c>
      <c r="E1164" s="15" t="n">
        <f aca="false">ROUND((D1164-$D$5)*86400,2)</f>
        <v>142.35</v>
      </c>
      <c r="F1164" s="17" t="n">
        <v>2423</v>
      </c>
      <c r="G1164" s="16" t="str">
        <f aca="false">IF(INDEX(選手一覧!$D$7:$D$2738,$F1164)="","",INDEX(選手一覧!$D$7:$D$2738,$F1164))</f>
        <v/>
      </c>
      <c r="H1164" s="17" t="str">
        <f aca="false">IF(INDEX(選手一覧!$E$7:$E$2738,$F1164)="","",INDEX(選手一覧!$E$7:$E$2738,$F1164))</f>
        <v/>
      </c>
      <c r="I1164" s="16" t="str">
        <f aca="false">IF(INDEX(選手一覧!$J$7:$J$2738,$F1164)="","",INDEX(選手一覧!$J$7:$J$2738,$F1164))</f>
        <v/>
      </c>
      <c r="J1164" s="17" t="str">
        <f aca="false">IF(INDEX(選手一覧!$K$7:$K$2738,$F1164)="","",INDEX(選手一覧!$K$7:$K$2738,$F1164))</f>
        <v/>
      </c>
    </row>
    <row r="1165" customFormat="false" ht="15" hidden="false" customHeight="false" outlineLevel="0" collapsed="false">
      <c r="A1165" s="17" t="n">
        <v>1161</v>
      </c>
      <c r="B1165" s="12" t="s">
        <v>3737</v>
      </c>
      <c r="C1165" s="12" t="s">
        <v>2149</v>
      </c>
      <c r="D1165" s="16" t="n">
        <v>0.00788865740740741</v>
      </c>
      <c r="E1165" s="15" t="n">
        <f aca="false">ROUND((D1165-$D$5)*86400,2)</f>
        <v>142.56</v>
      </c>
      <c r="F1165" s="17" t="n">
        <v>2425</v>
      </c>
      <c r="G1165" s="16" t="str">
        <f aca="false">IF(INDEX(選手一覧!$D$7:$D$2738,$F1165)="","",INDEX(選手一覧!$D$7:$D$2738,$F1165))</f>
        <v/>
      </c>
      <c r="H1165" s="17" t="str">
        <f aca="false">IF(INDEX(選手一覧!$E$7:$E$2738,$F1165)="","",INDEX(選手一覧!$E$7:$E$2738,$F1165))</f>
        <v/>
      </c>
      <c r="I1165" s="16" t="str">
        <f aca="false">IF(INDEX(選手一覧!$J$7:$J$2738,$F1165)="","",INDEX(選手一覧!$J$7:$J$2738,$F1165))</f>
        <v/>
      </c>
      <c r="J1165" s="17" t="str">
        <f aca="false">IF(INDEX(選手一覧!$K$7:$K$2738,$F1165)="","",INDEX(選手一覧!$K$7:$K$2738,$F1165))</f>
        <v/>
      </c>
    </row>
    <row r="1166" customFormat="false" ht="15" hidden="false" customHeight="false" outlineLevel="0" collapsed="false">
      <c r="A1166" s="17" t="n">
        <v>1162</v>
      </c>
      <c r="B1166" s="12" t="s">
        <v>1938</v>
      </c>
      <c r="C1166" s="12" t="s">
        <v>1939</v>
      </c>
      <c r="D1166" s="16" t="n">
        <v>0.007896875</v>
      </c>
      <c r="E1166" s="15" t="n">
        <f aca="false">ROUND((D1166-$D$5)*86400,2)</f>
        <v>143.27</v>
      </c>
      <c r="F1166" s="17" t="n">
        <v>1211</v>
      </c>
      <c r="G1166" s="16" t="n">
        <f aca="false">IF(INDEX(選手一覧!$D$7:$D$2738,$F1166)="","",INDEX(選手一覧!$D$7:$D$2738,$F1166))</f>
        <v>0.0110578703703704</v>
      </c>
      <c r="H1166" s="17" t="n">
        <f aca="false">IF(INDEX(選手一覧!$E$7:$E$2738,$F1166)="","",INDEX(選手一覧!$E$7:$E$2738,$F1166))</f>
        <v>1212</v>
      </c>
      <c r="I1166" s="16" t="str">
        <f aca="false">IF(INDEX(選手一覧!$J$7:$J$2738,$F1166)="","",INDEX(選手一覧!$J$7:$J$2738,$F1166))</f>
        <v/>
      </c>
      <c r="J1166" s="17" t="str">
        <f aca="false">IF(INDEX(選手一覧!$K$7:$K$2738,$F1166)="","",INDEX(選手一覧!$K$7:$K$2738,$F1166))</f>
        <v/>
      </c>
    </row>
    <row r="1167" customFormat="false" ht="15" hidden="false" customHeight="false" outlineLevel="0" collapsed="false">
      <c r="A1167" s="17" t="n">
        <v>1163</v>
      </c>
      <c r="B1167" s="12" t="s">
        <v>3740</v>
      </c>
      <c r="C1167" s="12" t="s">
        <v>3672</v>
      </c>
      <c r="D1167" s="16" t="n">
        <v>0.00789837962962963</v>
      </c>
      <c r="E1167" s="15" t="n">
        <f aca="false">ROUND((D1167-$D$5)*86400,2)</f>
        <v>143.4</v>
      </c>
      <c r="F1167" s="17" t="n">
        <v>2427</v>
      </c>
      <c r="G1167" s="16" t="str">
        <f aca="false">IF(INDEX(選手一覧!$D$7:$D$2738,$F1167)="","",INDEX(選手一覧!$D$7:$D$2738,$F1167))</f>
        <v/>
      </c>
      <c r="H1167" s="17" t="str">
        <f aca="false">IF(INDEX(選手一覧!$E$7:$E$2738,$F1167)="","",INDEX(選手一覧!$E$7:$E$2738,$F1167))</f>
        <v/>
      </c>
      <c r="I1167" s="16" t="str">
        <f aca="false">IF(INDEX(選手一覧!$J$7:$J$2738,$F1167)="","",INDEX(選手一覧!$J$7:$J$2738,$F1167))</f>
        <v/>
      </c>
      <c r="J1167" s="17" t="str">
        <f aca="false">IF(INDEX(選手一覧!$K$7:$K$2738,$F1167)="","",INDEX(選手一覧!$K$7:$K$2738,$F1167))</f>
        <v/>
      </c>
    </row>
    <row r="1168" customFormat="false" ht="15" hidden="false" customHeight="false" outlineLevel="0" collapsed="false">
      <c r="A1168" s="17" t="n">
        <v>1164</v>
      </c>
      <c r="B1168" s="12" t="s">
        <v>3743</v>
      </c>
      <c r="C1168" s="12" t="s">
        <v>1269</v>
      </c>
      <c r="D1168" s="16" t="n">
        <v>0.00790162037037037</v>
      </c>
      <c r="E1168" s="15" t="n">
        <f aca="false">ROUND((D1168-$D$5)*86400,2)</f>
        <v>143.68</v>
      </c>
      <c r="F1168" s="17" t="n">
        <v>2429</v>
      </c>
      <c r="G1168" s="16" t="str">
        <f aca="false">IF(INDEX(選手一覧!$D$7:$D$2738,$F1168)="","",INDEX(選手一覧!$D$7:$D$2738,$F1168))</f>
        <v/>
      </c>
      <c r="H1168" s="17" t="str">
        <f aca="false">IF(INDEX(選手一覧!$E$7:$E$2738,$F1168)="","",INDEX(選手一覧!$E$7:$E$2738,$F1168))</f>
        <v/>
      </c>
      <c r="I1168" s="16" t="str">
        <f aca="false">IF(INDEX(選手一覧!$J$7:$J$2738,$F1168)="","",INDEX(選手一覧!$J$7:$J$2738,$F1168))</f>
        <v/>
      </c>
      <c r="J1168" s="17" t="str">
        <f aca="false">IF(INDEX(選手一覧!$K$7:$K$2738,$F1168)="","",INDEX(選手一覧!$K$7:$K$2738,$F1168))</f>
        <v/>
      </c>
    </row>
    <row r="1169" customFormat="false" ht="15" hidden="false" customHeight="false" outlineLevel="0" collapsed="false">
      <c r="A1169" s="17" t="n">
        <v>1165</v>
      </c>
      <c r="B1169" s="12" t="s">
        <v>3745</v>
      </c>
      <c r="C1169" s="12" t="s">
        <v>1929</v>
      </c>
      <c r="D1169" s="16" t="n">
        <v>0.007903125</v>
      </c>
      <c r="E1169" s="15" t="n">
        <f aca="false">ROUND((D1169-$D$5)*86400,2)</f>
        <v>143.81</v>
      </c>
      <c r="F1169" s="17" t="n">
        <v>2431</v>
      </c>
      <c r="G1169" s="16" t="str">
        <f aca="false">IF(INDEX(選手一覧!$D$7:$D$2738,$F1169)="","",INDEX(選手一覧!$D$7:$D$2738,$F1169))</f>
        <v/>
      </c>
      <c r="H1169" s="17" t="str">
        <f aca="false">IF(INDEX(選手一覧!$E$7:$E$2738,$F1169)="","",INDEX(選手一覧!$E$7:$E$2738,$F1169))</f>
        <v/>
      </c>
      <c r="I1169" s="16" t="str">
        <f aca="false">IF(INDEX(選手一覧!$J$7:$J$2738,$F1169)="","",INDEX(選手一覧!$J$7:$J$2738,$F1169))</f>
        <v/>
      </c>
      <c r="J1169" s="17" t="str">
        <f aca="false">IF(INDEX(選手一覧!$K$7:$K$2738,$F1169)="","",INDEX(選手一覧!$K$7:$K$2738,$F1169))</f>
        <v/>
      </c>
    </row>
    <row r="1170" customFormat="false" ht="15" hidden="false" customHeight="false" outlineLevel="0" collapsed="false">
      <c r="A1170" s="17" t="n">
        <v>1166</v>
      </c>
      <c r="B1170" s="12" t="s">
        <v>3748</v>
      </c>
      <c r="C1170" s="12" t="s">
        <v>1212</v>
      </c>
      <c r="D1170" s="16" t="n">
        <v>0.00790949074074074</v>
      </c>
      <c r="E1170" s="15" t="n">
        <f aca="false">ROUND((D1170-$D$5)*86400,2)</f>
        <v>144.36</v>
      </c>
      <c r="F1170" s="17" t="n">
        <v>2433</v>
      </c>
      <c r="G1170" s="16" t="str">
        <f aca="false">IF(INDEX(選手一覧!$D$7:$D$2738,$F1170)="","",INDEX(選手一覧!$D$7:$D$2738,$F1170))</f>
        <v/>
      </c>
      <c r="H1170" s="17" t="str">
        <f aca="false">IF(INDEX(選手一覧!$E$7:$E$2738,$F1170)="","",INDEX(選手一覧!$E$7:$E$2738,$F1170))</f>
        <v/>
      </c>
      <c r="I1170" s="16" t="str">
        <f aca="false">IF(INDEX(選手一覧!$J$7:$J$2738,$F1170)="","",INDEX(選手一覧!$J$7:$J$2738,$F1170))</f>
        <v/>
      </c>
      <c r="J1170" s="17" t="str">
        <f aca="false">IF(INDEX(選手一覧!$K$7:$K$2738,$F1170)="","",INDEX(選手一覧!$K$7:$K$2738,$F1170))</f>
        <v/>
      </c>
    </row>
    <row r="1171" customFormat="false" ht="15" hidden="false" customHeight="false" outlineLevel="0" collapsed="false">
      <c r="A1171" s="17" t="n">
        <v>1167</v>
      </c>
      <c r="B1171" s="12" t="s">
        <v>3749</v>
      </c>
      <c r="C1171" s="12" t="s">
        <v>3750</v>
      </c>
      <c r="D1171" s="16" t="n">
        <v>0.00791446759259259</v>
      </c>
      <c r="E1171" s="15" t="n">
        <f aca="false">ROUND((D1171-$D$5)*86400,2)</f>
        <v>144.79</v>
      </c>
      <c r="F1171" s="17" t="n">
        <v>2434</v>
      </c>
      <c r="G1171" s="16" t="str">
        <f aca="false">IF(INDEX(選手一覧!$D$7:$D$2738,$F1171)="","",INDEX(選手一覧!$D$7:$D$2738,$F1171))</f>
        <v/>
      </c>
      <c r="H1171" s="17" t="str">
        <f aca="false">IF(INDEX(選手一覧!$E$7:$E$2738,$F1171)="","",INDEX(選手一覧!$E$7:$E$2738,$F1171))</f>
        <v/>
      </c>
      <c r="I1171" s="16" t="str">
        <f aca="false">IF(INDEX(選手一覧!$J$7:$J$2738,$F1171)="","",INDEX(選手一覧!$J$7:$J$2738,$F1171))</f>
        <v/>
      </c>
      <c r="J1171" s="17" t="str">
        <f aca="false">IF(INDEX(選手一覧!$K$7:$K$2738,$F1171)="","",INDEX(選手一覧!$K$7:$K$2738,$F1171))</f>
        <v/>
      </c>
    </row>
    <row r="1172" customFormat="false" ht="15" hidden="false" customHeight="false" outlineLevel="0" collapsed="false">
      <c r="A1172" s="17" t="n">
        <v>1168</v>
      </c>
      <c r="B1172" s="12" t="s">
        <v>3753</v>
      </c>
      <c r="C1172" s="12" t="s">
        <v>3754</v>
      </c>
      <c r="D1172" s="16" t="n">
        <v>0.0079193287037037</v>
      </c>
      <c r="E1172" s="15" t="n">
        <f aca="false">ROUND((D1172-$D$5)*86400,2)</f>
        <v>145.21</v>
      </c>
      <c r="F1172" s="17" t="n">
        <v>2436</v>
      </c>
      <c r="G1172" s="16" t="str">
        <f aca="false">IF(INDEX(選手一覧!$D$7:$D$2738,$F1172)="","",INDEX(選手一覧!$D$7:$D$2738,$F1172))</f>
        <v/>
      </c>
      <c r="H1172" s="17" t="str">
        <f aca="false">IF(INDEX(選手一覧!$E$7:$E$2738,$F1172)="","",INDEX(選手一覧!$E$7:$E$2738,$F1172))</f>
        <v/>
      </c>
      <c r="I1172" s="16" t="str">
        <f aca="false">IF(INDEX(選手一覧!$J$7:$J$2738,$F1172)="","",INDEX(選手一覧!$J$7:$J$2738,$F1172))</f>
        <v/>
      </c>
      <c r="J1172" s="17" t="str">
        <f aca="false">IF(INDEX(選手一覧!$K$7:$K$2738,$F1172)="","",INDEX(選手一覧!$K$7:$K$2738,$F1172))</f>
        <v/>
      </c>
    </row>
    <row r="1173" customFormat="false" ht="15" hidden="false" customHeight="false" outlineLevel="0" collapsed="false">
      <c r="A1173" s="17" t="n">
        <v>1169</v>
      </c>
      <c r="B1173" s="12" t="s">
        <v>3755</v>
      </c>
      <c r="C1173" s="12" t="s">
        <v>3756</v>
      </c>
      <c r="D1173" s="16" t="n">
        <v>0.00792094907407407</v>
      </c>
      <c r="E1173" s="15" t="n">
        <f aca="false">ROUND((D1173-$D$5)*86400,2)</f>
        <v>145.35</v>
      </c>
      <c r="F1173" s="17" t="n">
        <v>2437</v>
      </c>
      <c r="G1173" s="16" t="str">
        <f aca="false">IF(INDEX(選手一覧!$D$7:$D$2738,$F1173)="","",INDEX(選手一覧!$D$7:$D$2738,$F1173))</f>
        <v/>
      </c>
      <c r="H1173" s="17" t="str">
        <f aca="false">IF(INDEX(選手一覧!$E$7:$E$2738,$F1173)="","",INDEX(選手一覧!$E$7:$E$2738,$F1173))</f>
        <v/>
      </c>
      <c r="I1173" s="16" t="str">
        <f aca="false">IF(INDEX(選手一覧!$J$7:$J$2738,$F1173)="","",INDEX(選手一覧!$J$7:$J$2738,$F1173))</f>
        <v/>
      </c>
      <c r="J1173" s="17" t="str">
        <f aca="false">IF(INDEX(選手一覧!$K$7:$K$2738,$F1173)="","",INDEX(選手一覧!$K$7:$K$2738,$F1173))</f>
        <v/>
      </c>
    </row>
    <row r="1174" customFormat="false" ht="15" hidden="false" customHeight="false" outlineLevel="0" collapsed="false">
      <c r="A1174" s="17" t="n">
        <v>1170</v>
      </c>
      <c r="B1174" s="12" t="s">
        <v>3758</v>
      </c>
      <c r="C1174" s="12" t="s">
        <v>2524</v>
      </c>
      <c r="D1174" s="16" t="n">
        <v>0.00792314814814815</v>
      </c>
      <c r="E1174" s="15" t="n">
        <f aca="false">ROUND((D1174-$D$5)*86400,2)</f>
        <v>145.54</v>
      </c>
      <c r="F1174" s="17" t="n">
        <v>2439</v>
      </c>
      <c r="G1174" s="16" t="str">
        <f aca="false">IF(INDEX(選手一覧!$D$7:$D$2738,$F1174)="","",INDEX(選手一覧!$D$7:$D$2738,$F1174))</f>
        <v/>
      </c>
      <c r="H1174" s="17" t="str">
        <f aca="false">IF(INDEX(選手一覧!$E$7:$E$2738,$F1174)="","",INDEX(選手一覧!$E$7:$E$2738,$F1174))</f>
        <v/>
      </c>
      <c r="I1174" s="16" t="str">
        <f aca="false">IF(INDEX(選手一覧!$J$7:$J$2738,$F1174)="","",INDEX(選手一覧!$J$7:$J$2738,$F1174))</f>
        <v/>
      </c>
      <c r="J1174" s="17" t="str">
        <f aca="false">IF(INDEX(選手一覧!$K$7:$K$2738,$F1174)="","",INDEX(選手一覧!$K$7:$K$2738,$F1174))</f>
        <v/>
      </c>
    </row>
    <row r="1175" customFormat="false" ht="15" hidden="false" customHeight="false" outlineLevel="0" collapsed="false">
      <c r="A1175" s="17" t="n">
        <v>1171</v>
      </c>
      <c r="B1175" s="12" t="s">
        <v>3759</v>
      </c>
      <c r="C1175" s="12" t="s">
        <v>3760</v>
      </c>
      <c r="D1175" s="16" t="n">
        <v>0.00792511574074074</v>
      </c>
      <c r="E1175" s="15" t="n">
        <f aca="false">ROUND((D1175-$D$5)*86400,2)</f>
        <v>145.71</v>
      </c>
      <c r="F1175" s="17" t="n">
        <v>2440</v>
      </c>
      <c r="G1175" s="16" t="str">
        <f aca="false">IF(INDEX(選手一覧!$D$7:$D$2738,$F1175)="","",INDEX(選手一覧!$D$7:$D$2738,$F1175))</f>
        <v/>
      </c>
      <c r="H1175" s="17" t="str">
        <f aca="false">IF(INDEX(選手一覧!$E$7:$E$2738,$F1175)="","",INDEX(選手一覧!$E$7:$E$2738,$F1175))</f>
        <v/>
      </c>
      <c r="I1175" s="16" t="str">
        <f aca="false">IF(INDEX(選手一覧!$J$7:$J$2738,$F1175)="","",INDEX(選手一覧!$J$7:$J$2738,$F1175))</f>
        <v/>
      </c>
      <c r="J1175" s="17" t="str">
        <f aca="false">IF(INDEX(選手一覧!$K$7:$K$2738,$F1175)="","",INDEX(選手一覧!$K$7:$K$2738,$F1175))</f>
        <v/>
      </c>
    </row>
    <row r="1176" customFormat="false" ht="15" hidden="false" customHeight="false" outlineLevel="0" collapsed="false">
      <c r="A1176" s="17" t="n">
        <v>1172</v>
      </c>
      <c r="B1176" s="12" t="s">
        <v>3761</v>
      </c>
      <c r="C1176" s="12" t="s">
        <v>103</v>
      </c>
      <c r="D1176" s="16" t="n">
        <v>0.00793101851851852</v>
      </c>
      <c r="E1176" s="15" t="n">
        <f aca="false">ROUND((D1176-$D$5)*86400,2)</f>
        <v>146.22</v>
      </c>
      <c r="F1176" s="17" t="n">
        <v>2441</v>
      </c>
      <c r="G1176" s="16" t="str">
        <f aca="false">IF(INDEX(選手一覧!$D$7:$D$2738,$F1176)="","",INDEX(選手一覧!$D$7:$D$2738,$F1176))</f>
        <v/>
      </c>
      <c r="H1176" s="17" t="str">
        <f aca="false">IF(INDEX(選手一覧!$E$7:$E$2738,$F1176)="","",INDEX(選手一覧!$E$7:$E$2738,$F1176))</f>
        <v/>
      </c>
      <c r="I1176" s="16" t="str">
        <f aca="false">IF(INDEX(選手一覧!$J$7:$J$2738,$F1176)="","",INDEX(選手一覧!$J$7:$J$2738,$F1176))</f>
        <v/>
      </c>
      <c r="J1176" s="17" t="str">
        <f aca="false">IF(INDEX(選手一覧!$K$7:$K$2738,$F1176)="","",INDEX(選手一覧!$K$7:$K$2738,$F1176))</f>
        <v/>
      </c>
    </row>
    <row r="1177" customFormat="false" ht="15" hidden="false" customHeight="false" outlineLevel="0" collapsed="false">
      <c r="A1177" s="17" t="n">
        <v>1173</v>
      </c>
      <c r="B1177" s="12" t="s">
        <v>3763</v>
      </c>
      <c r="C1177" s="12" t="s">
        <v>1218</v>
      </c>
      <c r="D1177" s="16" t="n">
        <v>0.00793321759259259</v>
      </c>
      <c r="E1177" s="15" t="n">
        <f aca="false">ROUND((D1177-$D$5)*86400,2)</f>
        <v>146.41</v>
      </c>
      <c r="F1177" s="17" t="n">
        <v>2443</v>
      </c>
      <c r="G1177" s="16" t="str">
        <f aca="false">IF(INDEX(選手一覧!$D$7:$D$2738,$F1177)="","",INDEX(選手一覧!$D$7:$D$2738,$F1177))</f>
        <v/>
      </c>
      <c r="H1177" s="17" t="str">
        <f aca="false">IF(INDEX(選手一覧!$E$7:$E$2738,$F1177)="","",INDEX(選手一覧!$E$7:$E$2738,$F1177))</f>
        <v/>
      </c>
      <c r="I1177" s="16" t="str">
        <f aca="false">IF(INDEX(選手一覧!$J$7:$J$2738,$F1177)="","",INDEX(選手一覧!$J$7:$J$2738,$F1177))</f>
        <v/>
      </c>
      <c r="J1177" s="17" t="str">
        <f aca="false">IF(INDEX(選手一覧!$K$7:$K$2738,$F1177)="","",INDEX(選手一覧!$K$7:$K$2738,$F1177))</f>
        <v/>
      </c>
    </row>
    <row r="1178" customFormat="false" ht="15" hidden="false" customHeight="false" outlineLevel="0" collapsed="false">
      <c r="A1178" s="17" t="n">
        <v>1174</v>
      </c>
      <c r="B1178" s="12" t="s">
        <v>2870</v>
      </c>
      <c r="C1178" s="12" t="s">
        <v>2871</v>
      </c>
      <c r="D1178" s="16" t="n">
        <v>0.00793425925925926</v>
      </c>
      <c r="E1178" s="15" t="n">
        <f aca="false">ROUND((D1178-$D$5)*86400,2)</f>
        <v>146.5</v>
      </c>
      <c r="F1178" s="17" t="n">
        <v>1840</v>
      </c>
      <c r="G1178" s="16" t="str">
        <f aca="false">IF(INDEX(選手一覧!$D$7:$D$2738,$F1178)="","",INDEX(選手一覧!$D$7:$D$2738,$F1178))</f>
        <v/>
      </c>
      <c r="H1178" s="17" t="str">
        <f aca="false">IF(INDEX(選手一覧!$E$7:$E$2738,$F1178)="","",INDEX(選手一覧!$E$7:$E$2738,$F1178))</f>
        <v/>
      </c>
      <c r="I1178" s="16" t="n">
        <f aca="false">IF(INDEX(選手一覧!$J$7:$J$2738,$F1178)="","",INDEX(選手一覧!$J$7:$J$2738,$F1178))</f>
        <v>0.00287453703703704</v>
      </c>
      <c r="J1178" s="17" t="n">
        <f aca="false">IF(INDEX(選手一覧!$K$7:$K$2738,$F1178)="","",INDEX(選手一覧!$K$7:$K$2738,$F1178))</f>
        <v>730</v>
      </c>
    </row>
    <row r="1179" customFormat="false" ht="15" hidden="false" customHeight="false" outlineLevel="0" collapsed="false">
      <c r="A1179" s="17" t="n">
        <v>1175</v>
      </c>
      <c r="B1179" s="12" t="s">
        <v>3764</v>
      </c>
      <c r="C1179" s="12" t="s">
        <v>3765</v>
      </c>
      <c r="D1179" s="16" t="n">
        <v>0.00793981481481481</v>
      </c>
      <c r="E1179" s="15" t="n">
        <f aca="false">ROUND((D1179-$D$5)*86400,2)</f>
        <v>146.98</v>
      </c>
      <c r="F1179" s="17" t="n">
        <v>2444</v>
      </c>
      <c r="G1179" s="16" t="str">
        <f aca="false">IF(INDEX(選手一覧!$D$7:$D$2738,$F1179)="","",INDEX(選手一覧!$D$7:$D$2738,$F1179))</f>
        <v/>
      </c>
      <c r="H1179" s="17" t="str">
        <f aca="false">IF(INDEX(選手一覧!$E$7:$E$2738,$F1179)="","",INDEX(選手一覧!$E$7:$E$2738,$F1179))</f>
        <v/>
      </c>
      <c r="I1179" s="16" t="str">
        <f aca="false">IF(INDEX(選手一覧!$J$7:$J$2738,$F1179)="","",INDEX(選手一覧!$J$7:$J$2738,$F1179))</f>
        <v/>
      </c>
      <c r="J1179" s="17" t="str">
        <f aca="false">IF(INDEX(選手一覧!$K$7:$K$2738,$F1179)="","",INDEX(選手一覧!$K$7:$K$2738,$F1179))</f>
        <v/>
      </c>
    </row>
    <row r="1180" customFormat="false" ht="15" hidden="false" customHeight="false" outlineLevel="0" collapsed="false">
      <c r="A1180" s="17" t="n">
        <v>1176</v>
      </c>
      <c r="B1180" s="12" t="s">
        <v>3767</v>
      </c>
      <c r="C1180" s="12" t="s">
        <v>1334</v>
      </c>
      <c r="D1180" s="16" t="n">
        <v>0.00794212962962963</v>
      </c>
      <c r="E1180" s="15" t="n">
        <f aca="false">ROUND((D1180-$D$5)*86400,2)</f>
        <v>147.18</v>
      </c>
      <c r="F1180" s="17" t="n">
        <v>2446</v>
      </c>
      <c r="G1180" s="16" t="str">
        <f aca="false">IF(INDEX(選手一覧!$D$7:$D$2738,$F1180)="","",INDEX(選手一覧!$D$7:$D$2738,$F1180))</f>
        <v/>
      </c>
      <c r="H1180" s="17" t="str">
        <f aca="false">IF(INDEX(選手一覧!$E$7:$E$2738,$F1180)="","",INDEX(選手一覧!$E$7:$E$2738,$F1180))</f>
        <v/>
      </c>
      <c r="I1180" s="16" t="str">
        <f aca="false">IF(INDEX(選手一覧!$J$7:$J$2738,$F1180)="","",INDEX(選手一覧!$J$7:$J$2738,$F1180))</f>
        <v/>
      </c>
      <c r="J1180" s="17" t="str">
        <f aca="false">IF(INDEX(選手一覧!$K$7:$K$2738,$F1180)="","",INDEX(選手一覧!$K$7:$K$2738,$F1180))</f>
        <v/>
      </c>
    </row>
    <row r="1181" customFormat="false" ht="15" hidden="false" customHeight="false" outlineLevel="0" collapsed="false">
      <c r="A1181" s="17" t="n">
        <v>1177</v>
      </c>
      <c r="B1181" s="12" t="s">
        <v>3769</v>
      </c>
      <c r="C1181" s="12" t="s">
        <v>2909</v>
      </c>
      <c r="D1181" s="16" t="n">
        <v>0.00794224537037037</v>
      </c>
      <c r="E1181" s="15" t="n">
        <f aca="false">ROUND((D1181-$D$5)*86400,2)</f>
        <v>147.19</v>
      </c>
      <c r="F1181" s="17" t="n">
        <v>2448</v>
      </c>
      <c r="G1181" s="16" t="str">
        <f aca="false">IF(INDEX(選手一覧!$D$7:$D$2738,$F1181)="","",INDEX(選手一覧!$D$7:$D$2738,$F1181))</f>
        <v/>
      </c>
      <c r="H1181" s="17" t="str">
        <f aca="false">IF(INDEX(選手一覧!$E$7:$E$2738,$F1181)="","",INDEX(選手一覧!$E$7:$E$2738,$F1181))</f>
        <v/>
      </c>
      <c r="I1181" s="16" t="str">
        <f aca="false">IF(INDEX(選手一覧!$J$7:$J$2738,$F1181)="","",INDEX(選手一覧!$J$7:$J$2738,$F1181))</f>
        <v/>
      </c>
      <c r="J1181" s="17" t="str">
        <f aca="false">IF(INDEX(選手一覧!$K$7:$K$2738,$F1181)="","",INDEX(選手一覧!$K$7:$K$2738,$F1181))</f>
        <v/>
      </c>
    </row>
    <row r="1182" customFormat="false" ht="15" hidden="false" customHeight="false" outlineLevel="0" collapsed="false">
      <c r="A1182" s="17" t="n">
        <v>1178</v>
      </c>
      <c r="B1182" s="12" t="s">
        <v>2389</v>
      </c>
      <c r="C1182" s="12" t="s">
        <v>209</v>
      </c>
      <c r="D1182" s="16" t="n">
        <v>0.00794456018518519</v>
      </c>
      <c r="E1182" s="15" t="n">
        <f aca="false">ROUND((D1182-$D$5)*86400,2)</f>
        <v>147.39</v>
      </c>
      <c r="F1182" s="17" t="n">
        <v>1521</v>
      </c>
      <c r="G1182" s="16" t="str">
        <f aca="false">IF(INDEX(選手一覧!$D$7:$D$2738,$F1182)="","",INDEX(選手一覧!$D$7:$D$2738,$F1182))</f>
        <v/>
      </c>
      <c r="H1182" s="17" t="str">
        <f aca="false">IF(INDEX(選手一覧!$E$7:$E$2738,$F1182)="","",INDEX(選手一覧!$E$7:$E$2738,$F1182))</f>
        <v/>
      </c>
      <c r="I1182" s="16" t="n">
        <f aca="false">IF(INDEX(選手一覧!$J$7:$J$2738,$F1182)="","",INDEX(選手一覧!$J$7:$J$2738,$F1182))</f>
        <v>0.00282939814814815</v>
      </c>
      <c r="J1182" s="17" t="n">
        <f aca="false">IF(INDEX(選手一覧!$K$7:$K$2738,$F1182)="","",INDEX(選手一覧!$K$7:$K$2738,$F1182))</f>
        <v>423</v>
      </c>
    </row>
    <row r="1183" customFormat="false" ht="15" hidden="false" customHeight="false" outlineLevel="0" collapsed="false">
      <c r="A1183" s="17" t="n">
        <v>1179</v>
      </c>
      <c r="B1183" s="12" t="s">
        <v>3770</v>
      </c>
      <c r="C1183" s="12" t="s">
        <v>1861</v>
      </c>
      <c r="D1183" s="16" t="n">
        <v>0.0079599537037037</v>
      </c>
      <c r="E1183" s="15" t="n">
        <f aca="false">ROUND((D1183-$D$5)*86400,2)</f>
        <v>148.72</v>
      </c>
      <c r="F1183" s="17" t="n">
        <v>2449</v>
      </c>
      <c r="G1183" s="16" t="str">
        <f aca="false">IF(INDEX(選手一覧!$D$7:$D$2738,$F1183)="","",INDEX(選手一覧!$D$7:$D$2738,$F1183))</f>
        <v/>
      </c>
      <c r="H1183" s="17" t="str">
        <f aca="false">IF(INDEX(選手一覧!$E$7:$E$2738,$F1183)="","",INDEX(選手一覧!$E$7:$E$2738,$F1183))</f>
        <v/>
      </c>
      <c r="I1183" s="16" t="str">
        <f aca="false">IF(INDEX(選手一覧!$J$7:$J$2738,$F1183)="","",INDEX(選手一覧!$J$7:$J$2738,$F1183))</f>
        <v/>
      </c>
      <c r="J1183" s="17" t="str">
        <f aca="false">IF(INDEX(選手一覧!$K$7:$K$2738,$F1183)="","",INDEX(選手一覧!$K$7:$K$2738,$F1183))</f>
        <v/>
      </c>
    </row>
    <row r="1184" customFormat="false" ht="15" hidden="false" customHeight="false" outlineLevel="0" collapsed="false">
      <c r="A1184" s="17" t="n">
        <v>1180</v>
      </c>
      <c r="B1184" s="12" t="s">
        <v>3772</v>
      </c>
      <c r="C1184" s="12" t="s">
        <v>3773</v>
      </c>
      <c r="D1184" s="16" t="n">
        <v>0.00796296296296296</v>
      </c>
      <c r="E1184" s="15" t="n">
        <f aca="false">ROUND((D1184-$D$5)*86400,2)</f>
        <v>148.98</v>
      </c>
      <c r="F1184" s="17" t="n">
        <v>2451</v>
      </c>
      <c r="G1184" s="16" t="str">
        <f aca="false">IF(INDEX(選手一覧!$D$7:$D$2738,$F1184)="","",INDEX(選手一覧!$D$7:$D$2738,$F1184))</f>
        <v/>
      </c>
      <c r="H1184" s="17" t="str">
        <f aca="false">IF(INDEX(選手一覧!$E$7:$E$2738,$F1184)="","",INDEX(選手一覧!$E$7:$E$2738,$F1184))</f>
        <v/>
      </c>
      <c r="I1184" s="16" t="str">
        <f aca="false">IF(INDEX(選手一覧!$J$7:$J$2738,$F1184)="","",INDEX(選手一覧!$J$7:$J$2738,$F1184))</f>
        <v/>
      </c>
      <c r="J1184" s="17" t="str">
        <f aca="false">IF(INDEX(選手一覧!$K$7:$K$2738,$F1184)="","",INDEX(選手一覧!$K$7:$K$2738,$F1184))</f>
        <v/>
      </c>
    </row>
    <row r="1185" customFormat="false" ht="15" hidden="false" customHeight="false" outlineLevel="0" collapsed="false">
      <c r="A1185" s="17" t="n">
        <v>1181</v>
      </c>
      <c r="B1185" s="12" t="s">
        <v>3774</v>
      </c>
      <c r="C1185" s="12" t="s">
        <v>3775</v>
      </c>
      <c r="D1185" s="16" t="n">
        <v>0.00797002314814815</v>
      </c>
      <c r="E1185" s="15" t="n">
        <f aca="false">ROUND((D1185-$D$5)*86400,2)</f>
        <v>149.59</v>
      </c>
      <c r="F1185" s="17" t="n">
        <v>2452</v>
      </c>
      <c r="G1185" s="16" t="str">
        <f aca="false">IF(INDEX(選手一覧!$D$7:$D$2738,$F1185)="","",INDEX(選手一覧!$D$7:$D$2738,$F1185))</f>
        <v/>
      </c>
      <c r="H1185" s="17" t="str">
        <f aca="false">IF(INDEX(選手一覧!$E$7:$E$2738,$F1185)="","",INDEX(選手一覧!$E$7:$E$2738,$F1185))</f>
        <v/>
      </c>
      <c r="I1185" s="16" t="str">
        <f aca="false">IF(INDEX(選手一覧!$J$7:$J$2738,$F1185)="","",INDEX(選手一覧!$J$7:$J$2738,$F1185))</f>
        <v/>
      </c>
      <c r="J1185" s="17" t="str">
        <f aca="false">IF(INDEX(選手一覧!$K$7:$K$2738,$F1185)="","",INDEX(選手一覧!$K$7:$K$2738,$F1185))</f>
        <v/>
      </c>
    </row>
    <row r="1186" customFormat="false" ht="15" hidden="false" customHeight="false" outlineLevel="0" collapsed="false">
      <c r="A1186" s="17" t="n">
        <v>1182</v>
      </c>
      <c r="B1186" s="12" t="s">
        <v>3776</v>
      </c>
      <c r="C1186" s="12" t="s">
        <v>3777</v>
      </c>
      <c r="D1186" s="16" t="n">
        <v>0.00797002314814815</v>
      </c>
      <c r="E1186" s="15" t="n">
        <f aca="false">ROUND((D1186-$D$5)*86400,2)</f>
        <v>149.59</v>
      </c>
      <c r="F1186" s="17" t="n">
        <v>2453</v>
      </c>
      <c r="G1186" s="16" t="str">
        <f aca="false">IF(INDEX(選手一覧!$D$7:$D$2738,$F1186)="","",INDEX(選手一覧!$D$7:$D$2738,$F1186))</f>
        <v/>
      </c>
      <c r="H1186" s="17" t="str">
        <f aca="false">IF(INDEX(選手一覧!$E$7:$E$2738,$F1186)="","",INDEX(選手一覧!$E$7:$E$2738,$F1186))</f>
        <v/>
      </c>
      <c r="I1186" s="16" t="str">
        <f aca="false">IF(INDEX(選手一覧!$J$7:$J$2738,$F1186)="","",INDEX(選手一覧!$J$7:$J$2738,$F1186))</f>
        <v/>
      </c>
      <c r="J1186" s="17" t="str">
        <f aca="false">IF(INDEX(選手一覧!$K$7:$K$2738,$F1186)="","",INDEX(選手一覧!$K$7:$K$2738,$F1186))</f>
        <v/>
      </c>
    </row>
    <row r="1187" customFormat="false" ht="15" hidden="false" customHeight="false" outlineLevel="0" collapsed="false">
      <c r="A1187" s="17" t="n">
        <v>1183</v>
      </c>
      <c r="B1187" s="12" t="s">
        <v>3778</v>
      </c>
      <c r="C1187" s="12" t="s">
        <v>3779</v>
      </c>
      <c r="D1187" s="16" t="n">
        <v>0.0079755787037037</v>
      </c>
      <c r="E1187" s="15" t="n">
        <f aca="false">ROUND((D1187-$D$5)*86400,2)</f>
        <v>150.07</v>
      </c>
      <c r="F1187" s="17" t="n">
        <v>2454</v>
      </c>
      <c r="G1187" s="16" t="str">
        <f aca="false">IF(INDEX(選手一覧!$D$7:$D$2738,$F1187)="","",INDEX(選手一覧!$D$7:$D$2738,$F1187))</f>
        <v/>
      </c>
      <c r="H1187" s="17" t="str">
        <f aca="false">IF(INDEX(選手一覧!$E$7:$E$2738,$F1187)="","",INDEX(選手一覧!$E$7:$E$2738,$F1187))</f>
        <v/>
      </c>
      <c r="I1187" s="16" t="str">
        <f aca="false">IF(INDEX(選手一覧!$J$7:$J$2738,$F1187)="","",INDEX(選手一覧!$J$7:$J$2738,$F1187))</f>
        <v/>
      </c>
      <c r="J1187" s="17" t="str">
        <f aca="false">IF(INDEX(選手一覧!$K$7:$K$2738,$F1187)="","",INDEX(選手一覧!$K$7:$K$2738,$F1187))</f>
        <v/>
      </c>
    </row>
    <row r="1188" customFormat="false" ht="15" hidden="false" customHeight="false" outlineLevel="0" collapsed="false">
      <c r="A1188" s="17" t="n">
        <v>1184</v>
      </c>
      <c r="B1188" s="12" t="s">
        <v>3780</v>
      </c>
      <c r="C1188" s="12" t="s">
        <v>377</v>
      </c>
      <c r="D1188" s="16" t="n">
        <v>0.00797835648148148</v>
      </c>
      <c r="E1188" s="15" t="n">
        <f aca="false">ROUND((D1188-$D$5)*86400,2)</f>
        <v>150.31</v>
      </c>
      <c r="F1188" s="17" t="n">
        <v>2455</v>
      </c>
      <c r="G1188" s="16" t="str">
        <f aca="false">IF(INDEX(選手一覧!$D$7:$D$2738,$F1188)="","",INDEX(選手一覧!$D$7:$D$2738,$F1188))</f>
        <v/>
      </c>
      <c r="H1188" s="17" t="str">
        <f aca="false">IF(INDEX(選手一覧!$E$7:$E$2738,$F1188)="","",INDEX(選手一覧!$E$7:$E$2738,$F1188))</f>
        <v/>
      </c>
      <c r="I1188" s="16" t="str">
        <f aca="false">IF(INDEX(選手一覧!$J$7:$J$2738,$F1188)="","",INDEX(選手一覧!$J$7:$J$2738,$F1188))</f>
        <v/>
      </c>
      <c r="J1188" s="17" t="str">
        <f aca="false">IF(INDEX(選手一覧!$K$7:$K$2738,$F1188)="","",INDEX(選手一覧!$K$7:$K$2738,$F1188))</f>
        <v/>
      </c>
    </row>
    <row r="1189" customFormat="false" ht="15" hidden="false" customHeight="false" outlineLevel="0" collapsed="false">
      <c r="A1189" s="17" t="n">
        <v>1185</v>
      </c>
      <c r="B1189" s="12" t="s">
        <v>3782</v>
      </c>
      <c r="C1189" s="12" t="s">
        <v>2485</v>
      </c>
      <c r="D1189" s="16" t="n">
        <v>0.00798865740740741</v>
      </c>
      <c r="E1189" s="15" t="n">
        <f aca="false">ROUND((D1189-$D$5)*86400,2)</f>
        <v>151.2</v>
      </c>
      <c r="F1189" s="17" t="n">
        <v>2457</v>
      </c>
      <c r="G1189" s="16" t="str">
        <f aca="false">IF(INDEX(選手一覧!$D$7:$D$2738,$F1189)="","",INDEX(選手一覧!$D$7:$D$2738,$F1189))</f>
        <v/>
      </c>
      <c r="H1189" s="17" t="str">
        <f aca="false">IF(INDEX(選手一覧!$E$7:$E$2738,$F1189)="","",INDEX(選手一覧!$E$7:$E$2738,$F1189))</f>
        <v/>
      </c>
      <c r="I1189" s="16" t="str">
        <f aca="false">IF(INDEX(選手一覧!$J$7:$J$2738,$F1189)="","",INDEX(選手一覧!$J$7:$J$2738,$F1189))</f>
        <v/>
      </c>
      <c r="J1189" s="17" t="str">
        <f aca="false">IF(INDEX(選手一覧!$K$7:$K$2738,$F1189)="","",INDEX(選手一覧!$K$7:$K$2738,$F1189))</f>
        <v/>
      </c>
    </row>
    <row r="1190" customFormat="false" ht="15" hidden="false" customHeight="false" outlineLevel="0" collapsed="false">
      <c r="A1190" s="17" t="n">
        <v>1186</v>
      </c>
      <c r="B1190" s="12" t="s">
        <v>3783</v>
      </c>
      <c r="C1190" s="12" t="s">
        <v>551</v>
      </c>
      <c r="D1190" s="16" t="n">
        <v>0.00799097222222222</v>
      </c>
      <c r="E1190" s="15" t="n">
        <f aca="false">ROUND((D1190-$D$5)*86400,2)</f>
        <v>151.4</v>
      </c>
      <c r="F1190" s="17" t="n">
        <v>2458</v>
      </c>
      <c r="G1190" s="16" t="str">
        <f aca="false">IF(INDEX(選手一覧!$D$7:$D$2738,$F1190)="","",INDEX(選手一覧!$D$7:$D$2738,$F1190))</f>
        <v/>
      </c>
      <c r="H1190" s="17" t="str">
        <f aca="false">IF(INDEX(選手一覧!$E$7:$E$2738,$F1190)="","",INDEX(選手一覧!$E$7:$E$2738,$F1190))</f>
        <v/>
      </c>
      <c r="I1190" s="16" t="str">
        <f aca="false">IF(INDEX(選手一覧!$J$7:$J$2738,$F1190)="","",INDEX(選手一覧!$J$7:$J$2738,$F1190))</f>
        <v/>
      </c>
      <c r="J1190" s="17" t="str">
        <f aca="false">IF(INDEX(選手一覧!$K$7:$K$2738,$F1190)="","",INDEX(選手一覧!$K$7:$K$2738,$F1190))</f>
        <v/>
      </c>
    </row>
    <row r="1191" customFormat="false" ht="15" hidden="false" customHeight="false" outlineLevel="0" collapsed="false">
      <c r="A1191" s="17" t="n">
        <v>1187</v>
      </c>
      <c r="B1191" s="12" t="s">
        <v>3785</v>
      </c>
      <c r="C1191" s="12" t="s">
        <v>3786</v>
      </c>
      <c r="D1191" s="16" t="n">
        <v>0.00799293981481482</v>
      </c>
      <c r="E1191" s="15" t="n">
        <f aca="false">ROUND((D1191-$D$5)*86400,2)</f>
        <v>151.57</v>
      </c>
      <c r="F1191" s="17" t="n">
        <v>2460</v>
      </c>
      <c r="G1191" s="16" t="str">
        <f aca="false">IF(INDEX(選手一覧!$D$7:$D$2738,$F1191)="","",INDEX(選手一覧!$D$7:$D$2738,$F1191))</f>
        <v/>
      </c>
      <c r="H1191" s="17" t="str">
        <f aca="false">IF(INDEX(選手一覧!$E$7:$E$2738,$F1191)="","",INDEX(選手一覧!$E$7:$E$2738,$F1191))</f>
        <v/>
      </c>
      <c r="I1191" s="16" t="str">
        <f aca="false">IF(INDEX(選手一覧!$J$7:$J$2738,$F1191)="","",INDEX(選手一覧!$J$7:$J$2738,$F1191))</f>
        <v/>
      </c>
      <c r="J1191" s="17" t="str">
        <f aca="false">IF(INDEX(選手一覧!$K$7:$K$2738,$F1191)="","",INDEX(選手一覧!$K$7:$K$2738,$F1191))</f>
        <v/>
      </c>
    </row>
    <row r="1192" customFormat="false" ht="15" hidden="false" customHeight="false" outlineLevel="0" collapsed="false">
      <c r="A1192" s="17" t="n">
        <v>1188</v>
      </c>
      <c r="B1192" s="12" t="s">
        <v>3789</v>
      </c>
      <c r="C1192" s="12" t="s">
        <v>3790</v>
      </c>
      <c r="D1192" s="16" t="n">
        <v>0.00799710648148148</v>
      </c>
      <c r="E1192" s="15" t="n">
        <f aca="false">ROUND((D1192-$D$5)*86400,2)</f>
        <v>151.93</v>
      </c>
      <c r="F1192" s="17" t="n">
        <v>2462</v>
      </c>
      <c r="G1192" s="16" t="str">
        <f aca="false">IF(INDEX(選手一覧!$D$7:$D$2738,$F1192)="","",INDEX(選手一覧!$D$7:$D$2738,$F1192))</f>
        <v/>
      </c>
      <c r="H1192" s="17" t="str">
        <f aca="false">IF(INDEX(選手一覧!$E$7:$E$2738,$F1192)="","",INDEX(選手一覧!$E$7:$E$2738,$F1192))</f>
        <v/>
      </c>
      <c r="I1192" s="16" t="str">
        <f aca="false">IF(INDEX(選手一覧!$J$7:$J$2738,$F1192)="","",INDEX(選手一覧!$J$7:$J$2738,$F1192))</f>
        <v/>
      </c>
      <c r="J1192" s="17" t="str">
        <f aca="false">IF(INDEX(選手一覧!$K$7:$K$2738,$F1192)="","",INDEX(選手一覧!$K$7:$K$2738,$F1192))</f>
        <v/>
      </c>
    </row>
    <row r="1193" customFormat="false" ht="15" hidden="false" customHeight="false" outlineLevel="0" collapsed="false">
      <c r="A1193" s="17" t="n">
        <v>1189</v>
      </c>
      <c r="B1193" s="12" t="s">
        <v>3793</v>
      </c>
      <c r="C1193" s="12" t="s">
        <v>2434</v>
      </c>
      <c r="D1193" s="16" t="n">
        <v>0.00800046296296296</v>
      </c>
      <c r="E1193" s="15" t="n">
        <f aca="false">ROUND((D1193-$D$5)*86400,2)</f>
        <v>152.22</v>
      </c>
      <c r="F1193" s="17" t="n">
        <v>2464</v>
      </c>
      <c r="G1193" s="16" t="str">
        <f aca="false">IF(INDEX(選手一覧!$D$7:$D$2738,$F1193)="","",INDEX(選手一覧!$D$7:$D$2738,$F1193))</f>
        <v/>
      </c>
      <c r="H1193" s="17" t="str">
        <f aca="false">IF(INDEX(選手一覧!$E$7:$E$2738,$F1193)="","",INDEX(選手一覧!$E$7:$E$2738,$F1193))</f>
        <v/>
      </c>
      <c r="I1193" s="16" t="str">
        <f aca="false">IF(INDEX(選手一覧!$J$7:$J$2738,$F1193)="","",INDEX(選手一覧!$J$7:$J$2738,$F1193))</f>
        <v/>
      </c>
      <c r="J1193" s="17" t="str">
        <f aca="false">IF(INDEX(選手一覧!$K$7:$K$2738,$F1193)="","",INDEX(選手一覧!$K$7:$K$2738,$F1193))</f>
        <v/>
      </c>
    </row>
    <row r="1194" customFormat="false" ht="15" hidden="false" customHeight="false" outlineLevel="0" collapsed="false">
      <c r="A1194" s="17" t="n">
        <v>1190</v>
      </c>
      <c r="B1194" s="12" t="s">
        <v>3795</v>
      </c>
      <c r="C1194" s="12" t="s">
        <v>2852</v>
      </c>
      <c r="D1194" s="16" t="n">
        <v>0.00800439814814815</v>
      </c>
      <c r="E1194" s="15" t="n">
        <f aca="false">ROUND((D1194-$D$5)*86400,2)</f>
        <v>152.56</v>
      </c>
      <c r="F1194" s="17" t="n">
        <v>2466</v>
      </c>
      <c r="G1194" s="16" t="str">
        <f aca="false">IF(INDEX(選手一覧!$D$7:$D$2738,$F1194)="","",INDEX(選手一覧!$D$7:$D$2738,$F1194))</f>
        <v/>
      </c>
      <c r="H1194" s="17" t="str">
        <f aca="false">IF(INDEX(選手一覧!$E$7:$E$2738,$F1194)="","",INDEX(選手一覧!$E$7:$E$2738,$F1194))</f>
        <v/>
      </c>
      <c r="I1194" s="16" t="str">
        <f aca="false">IF(INDEX(選手一覧!$J$7:$J$2738,$F1194)="","",INDEX(選手一覧!$J$7:$J$2738,$F1194))</f>
        <v/>
      </c>
      <c r="J1194" s="17" t="str">
        <f aca="false">IF(INDEX(選手一覧!$K$7:$K$2738,$F1194)="","",INDEX(選手一覧!$K$7:$K$2738,$F1194))</f>
        <v/>
      </c>
    </row>
    <row r="1195" customFormat="false" ht="15" hidden="false" customHeight="false" outlineLevel="0" collapsed="false">
      <c r="A1195" s="17" t="n">
        <v>1191</v>
      </c>
      <c r="B1195" s="12" t="s">
        <v>3798</v>
      </c>
      <c r="C1195" s="12" t="s">
        <v>2467</v>
      </c>
      <c r="D1195" s="16" t="n">
        <v>0.0080068287037037</v>
      </c>
      <c r="E1195" s="15" t="n">
        <f aca="false">ROUND((D1195-$D$5)*86400,2)</f>
        <v>152.77</v>
      </c>
      <c r="F1195" s="17" t="n">
        <v>2468</v>
      </c>
      <c r="G1195" s="16" t="str">
        <f aca="false">IF(INDEX(選手一覧!$D$7:$D$2738,$F1195)="","",INDEX(選手一覧!$D$7:$D$2738,$F1195))</f>
        <v/>
      </c>
      <c r="H1195" s="17" t="str">
        <f aca="false">IF(INDEX(選手一覧!$E$7:$E$2738,$F1195)="","",INDEX(選手一覧!$E$7:$E$2738,$F1195))</f>
        <v/>
      </c>
      <c r="I1195" s="16" t="str">
        <f aca="false">IF(INDEX(選手一覧!$J$7:$J$2738,$F1195)="","",INDEX(選手一覧!$J$7:$J$2738,$F1195))</f>
        <v/>
      </c>
      <c r="J1195" s="17" t="str">
        <f aca="false">IF(INDEX(選手一覧!$K$7:$K$2738,$F1195)="","",INDEX(選手一覧!$K$7:$K$2738,$F1195))</f>
        <v/>
      </c>
    </row>
    <row r="1196" customFormat="false" ht="15" hidden="false" customHeight="false" outlineLevel="0" collapsed="false">
      <c r="A1196" s="17" t="n">
        <v>1192</v>
      </c>
      <c r="B1196" s="12" t="s">
        <v>3800</v>
      </c>
      <c r="C1196" s="12" t="s">
        <v>3801</v>
      </c>
      <c r="D1196" s="16" t="n">
        <v>0.00801030092592593</v>
      </c>
      <c r="E1196" s="15" t="n">
        <f aca="false">ROUND((D1196-$D$5)*86400,2)</f>
        <v>153.07</v>
      </c>
      <c r="F1196" s="17" t="n">
        <v>2470</v>
      </c>
      <c r="G1196" s="16" t="str">
        <f aca="false">IF(INDEX(選手一覧!$D$7:$D$2738,$F1196)="","",INDEX(選手一覧!$D$7:$D$2738,$F1196))</f>
        <v/>
      </c>
      <c r="H1196" s="17" t="str">
        <f aca="false">IF(INDEX(選手一覧!$E$7:$E$2738,$F1196)="","",INDEX(選手一覧!$E$7:$E$2738,$F1196))</f>
        <v/>
      </c>
      <c r="I1196" s="16" t="str">
        <f aca="false">IF(INDEX(選手一覧!$J$7:$J$2738,$F1196)="","",INDEX(選手一覧!$J$7:$J$2738,$F1196))</f>
        <v/>
      </c>
      <c r="J1196" s="17" t="str">
        <f aca="false">IF(INDEX(選手一覧!$K$7:$K$2738,$F1196)="","",INDEX(選手一覧!$K$7:$K$2738,$F1196))</f>
        <v/>
      </c>
    </row>
    <row r="1197" customFormat="false" ht="15" hidden="false" customHeight="false" outlineLevel="0" collapsed="false">
      <c r="A1197" s="17" t="n">
        <v>1193</v>
      </c>
      <c r="B1197" s="12" t="s">
        <v>3803</v>
      </c>
      <c r="C1197" s="12" t="s">
        <v>3804</v>
      </c>
      <c r="D1197" s="16" t="n">
        <v>0.00801215277777778</v>
      </c>
      <c r="E1197" s="15" t="n">
        <f aca="false">ROUND((D1197-$D$5)*86400,2)</f>
        <v>153.23</v>
      </c>
      <c r="F1197" s="17" t="n">
        <v>2472</v>
      </c>
      <c r="G1197" s="16" t="str">
        <f aca="false">IF(INDEX(選手一覧!$D$7:$D$2738,$F1197)="","",INDEX(選手一覧!$D$7:$D$2738,$F1197))</f>
        <v/>
      </c>
      <c r="H1197" s="17" t="str">
        <f aca="false">IF(INDEX(選手一覧!$E$7:$E$2738,$F1197)="","",INDEX(選手一覧!$E$7:$E$2738,$F1197))</f>
        <v/>
      </c>
      <c r="I1197" s="16" t="str">
        <f aca="false">IF(INDEX(選手一覧!$J$7:$J$2738,$F1197)="","",INDEX(選手一覧!$J$7:$J$2738,$F1197))</f>
        <v/>
      </c>
      <c r="J1197" s="17" t="str">
        <f aca="false">IF(INDEX(選手一覧!$K$7:$K$2738,$F1197)="","",INDEX(選手一覧!$K$7:$K$2738,$F1197))</f>
        <v/>
      </c>
    </row>
    <row r="1198" customFormat="false" ht="15" hidden="false" customHeight="false" outlineLevel="0" collapsed="false">
      <c r="A1198" s="17" t="n">
        <v>1194</v>
      </c>
      <c r="B1198" s="12" t="s">
        <v>3806</v>
      </c>
      <c r="C1198" s="12" t="s">
        <v>2431</v>
      </c>
      <c r="D1198" s="16" t="n">
        <v>0.00801863425925926</v>
      </c>
      <c r="E1198" s="15" t="n">
        <f aca="false">ROUND((D1198-$D$5)*86400,2)</f>
        <v>153.79</v>
      </c>
      <c r="F1198" s="17" t="n">
        <v>2474</v>
      </c>
      <c r="G1198" s="16" t="str">
        <f aca="false">IF(INDEX(選手一覧!$D$7:$D$2738,$F1198)="","",INDEX(選手一覧!$D$7:$D$2738,$F1198))</f>
        <v/>
      </c>
      <c r="H1198" s="17" t="str">
        <f aca="false">IF(INDEX(選手一覧!$E$7:$E$2738,$F1198)="","",INDEX(選手一覧!$E$7:$E$2738,$F1198))</f>
        <v/>
      </c>
      <c r="I1198" s="16" t="str">
        <f aca="false">IF(INDEX(選手一覧!$J$7:$J$2738,$F1198)="","",INDEX(選手一覧!$J$7:$J$2738,$F1198))</f>
        <v/>
      </c>
      <c r="J1198" s="17" t="str">
        <f aca="false">IF(INDEX(選手一覧!$K$7:$K$2738,$F1198)="","",INDEX(選手一覧!$K$7:$K$2738,$F1198))</f>
        <v/>
      </c>
    </row>
    <row r="1199" customFormat="false" ht="15" hidden="false" customHeight="false" outlineLevel="0" collapsed="false">
      <c r="A1199" s="17" t="n">
        <v>1195</v>
      </c>
      <c r="B1199" s="12" t="s">
        <v>2146</v>
      </c>
      <c r="C1199" s="12" t="s">
        <v>1049</v>
      </c>
      <c r="D1199" s="16" t="n">
        <v>0.00802141203703704</v>
      </c>
      <c r="E1199" s="15" t="n">
        <f aca="false">ROUND((D1199-$D$5)*86400,2)</f>
        <v>154.03</v>
      </c>
      <c r="F1199" s="17" t="n">
        <v>1362</v>
      </c>
      <c r="G1199" s="16" t="str">
        <f aca="false">IF(INDEX(選手一覧!$D$7:$D$2738,$F1199)="","",INDEX(選手一覧!$D$7:$D$2738,$F1199))</f>
        <v/>
      </c>
      <c r="H1199" s="17" t="str">
        <f aca="false">IF(INDEX(選手一覧!$E$7:$E$2738,$F1199)="","",INDEX(選手一覧!$E$7:$E$2738,$F1199))</f>
        <v/>
      </c>
      <c r="I1199" s="16" t="n">
        <f aca="false">IF(INDEX(選手一覧!$J$7:$J$2738,$F1199)="","",INDEX(選手一覧!$J$7:$J$2738,$F1199))</f>
        <v>0.00278668981481482</v>
      </c>
      <c r="J1199" s="17" t="n">
        <f aca="false">IF(INDEX(選手一覧!$K$7:$K$2738,$F1199)="","",INDEX(選手一覧!$K$7:$K$2738,$F1199))</f>
        <v>225</v>
      </c>
    </row>
    <row r="1200" customFormat="false" ht="15" hidden="false" customHeight="false" outlineLevel="0" collapsed="false">
      <c r="A1200" s="17" t="n">
        <v>1196</v>
      </c>
      <c r="B1200" s="12" t="s">
        <v>3809</v>
      </c>
      <c r="C1200" s="12" t="s">
        <v>3810</v>
      </c>
      <c r="D1200" s="16" t="n">
        <v>0.00802847222222222</v>
      </c>
      <c r="E1200" s="15" t="n">
        <f aca="false">ROUND((D1200-$D$5)*86400,2)</f>
        <v>154.64</v>
      </c>
      <c r="F1200" s="17" t="n">
        <v>2476</v>
      </c>
      <c r="G1200" s="16" t="str">
        <f aca="false">IF(INDEX(選手一覧!$D$7:$D$2738,$F1200)="","",INDEX(選手一覧!$D$7:$D$2738,$F1200))</f>
        <v/>
      </c>
      <c r="H1200" s="17" t="str">
        <f aca="false">IF(INDEX(選手一覧!$E$7:$E$2738,$F1200)="","",INDEX(選手一覧!$E$7:$E$2738,$F1200))</f>
        <v/>
      </c>
      <c r="I1200" s="16" t="str">
        <f aca="false">IF(INDEX(選手一覧!$J$7:$J$2738,$F1200)="","",INDEX(選手一覧!$J$7:$J$2738,$F1200))</f>
        <v/>
      </c>
      <c r="J1200" s="17" t="str">
        <f aca="false">IF(INDEX(選手一覧!$K$7:$K$2738,$F1200)="","",INDEX(選手一覧!$K$7:$K$2738,$F1200))</f>
        <v/>
      </c>
    </row>
    <row r="1201" customFormat="false" ht="15" hidden="false" customHeight="false" outlineLevel="0" collapsed="false">
      <c r="A1201" s="17" t="n">
        <v>1197</v>
      </c>
      <c r="B1201" s="12" t="s">
        <v>3813</v>
      </c>
      <c r="C1201" s="12" t="s">
        <v>2607</v>
      </c>
      <c r="D1201" s="16" t="n">
        <v>0.00802893518518519</v>
      </c>
      <c r="E1201" s="15" t="n">
        <f aca="false">ROUND((D1201-$D$5)*86400,2)</f>
        <v>154.68</v>
      </c>
      <c r="F1201" s="17" t="n">
        <v>2478</v>
      </c>
      <c r="G1201" s="16" t="str">
        <f aca="false">IF(INDEX(選手一覧!$D$7:$D$2738,$F1201)="","",INDEX(選手一覧!$D$7:$D$2738,$F1201))</f>
        <v/>
      </c>
      <c r="H1201" s="17" t="str">
        <f aca="false">IF(INDEX(選手一覧!$E$7:$E$2738,$F1201)="","",INDEX(選手一覧!$E$7:$E$2738,$F1201))</f>
        <v/>
      </c>
      <c r="I1201" s="16" t="str">
        <f aca="false">IF(INDEX(選手一覧!$J$7:$J$2738,$F1201)="","",INDEX(選手一覧!$J$7:$J$2738,$F1201))</f>
        <v/>
      </c>
      <c r="J1201" s="17" t="str">
        <f aca="false">IF(INDEX(選手一覧!$K$7:$K$2738,$F1201)="","",INDEX(選手一覧!$K$7:$K$2738,$F1201))</f>
        <v/>
      </c>
    </row>
    <row r="1202" customFormat="false" ht="15" hidden="false" customHeight="false" outlineLevel="0" collapsed="false">
      <c r="A1202" s="17" t="n">
        <v>1198</v>
      </c>
      <c r="B1202" s="12" t="s">
        <v>3814</v>
      </c>
      <c r="C1202" s="12" t="s">
        <v>1602</v>
      </c>
      <c r="D1202" s="16" t="n">
        <v>0.00803425925925926</v>
      </c>
      <c r="E1202" s="15" t="n">
        <f aca="false">ROUND((D1202-$D$5)*86400,2)</f>
        <v>155.14</v>
      </c>
      <c r="F1202" s="17" t="n">
        <v>2479</v>
      </c>
      <c r="G1202" s="16" t="str">
        <f aca="false">IF(INDEX(選手一覧!$D$7:$D$2738,$F1202)="","",INDEX(選手一覧!$D$7:$D$2738,$F1202))</f>
        <v/>
      </c>
      <c r="H1202" s="17" t="str">
        <f aca="false">IF(INDEX(選手一覧!$E$7:$E$2738,$F1202)="","",INDEX(選手一覧!$E$7:$E$2738,$F1202))</f>
        <v/>
      </c>
      <c r="I1202" s="16" t="str">
        <f aca="false">IF(INDEX(選手一覧!$J$7:$J$2738,$F1202)="","",INDEX(選手一覧!$J$7:$J$2738,$F1202))</f>
        <v/>
      </c>
      <c r="J1202" s="17" t="str">
        <f aca="false">IF(INDEX(選手一覧!$K$7:$K$2738,$F1202)="","",INDEX(選手一覧!$K$7:$K$2738,$F1202))</f>
        <v/>
      </c>
    </row>
    <row r="1203" customFormat="false" ht="15" hidden="false" customHeight="false" outlineLevel="0" collapsed="false">
      <c r="A1203" s="17" t="n">
        <v>1199</v>
      </c>
      <c r="B1203" s="12" t="s">
        <v>265</v>
      </c>
      <c r="C1203" s="12" t="s">
        <v>266</v>
      </c>
      <c r="D1203" s="16" t="n">
        <v>0.00804594907407407</v>
      </c>
      <c r="E1203" s="15" t="n">
        <f aca="false">ROUND((D1203-$D$5)*86400,2)</f>
        <v>156.15</v>
      </c>
      <c r="F1203" s="17" t="n">
        <v>125</v>
      </c>
      <c r="G1203" s="16" t="n">
        <f aca="false">IF(INDEX(選手一覧!$D$7:$D$2738,$F1203)="","",INDEX(選手一覧!$D$7:$D$2738,$F1203))</f>
        <v>0.0102458333333333</v>
      </c>
      <c r="H1203" s="17" t="n">
        <f aca="false">IF(INDEX(選手一覧!$E$7:$E$2738,$F1203)="","",INDEX(選手一覧!$E$7:$E$2738,$F1203))</f>
        <v>126</v>
      </c>
      <c r="I1203" s="16" t="n">
        <f aca="false">IF(INDEX(選手一覧!$J$7:$J$2738,$F1203)="","",INDEX(選手一覧!$J$7:$J$2738,$F1203))</f>
        <v>0.00271724537037037</v>
      </c>
      <c r="J1203" s="17" t="n">
        <f aca="false">IF(INDEX(選手一覧!$K$7:$K$2738,$F1203)="","",INDEX(選手一覧!$K$7:$K$2738,$F1203))</f>
        <v>44</v>
      </c>
    </row>
    <row r="1204" customFormat="false" ht="15" hidden="false" customHeight="false" outlineLevel="0" collapsed="false">
      <c r="A1204" s="17" t="n">
        <v>1200</v>
      </c>
      <c r="B1204" s="12" t="s">
        <v>3816</v>
      </c>
      <c r="C1204" s="12" t="s">
        <v>2909</v>
      </c>
      <c r="D1204" s="16" t="n">
        <v>0.00805300925925926</v>
      </c>
      <c r="E1204" s="15" t="n">
        <f aca="false">ROUND((D1204-$D$5)*86400,2)</f>
        <v>156.76</v>
      </c>
      <c r="F1204" s="17" t="n">
        <v>2481</v>
      </c>
      <c r="G1204" s="16" t="str">
        <f aca="false">IF(INDEX(選手一覧!$D$7:$D$2738,$F1204)="","",INDEX(選手一覧!$D$7:$D$2738,$F1204))</f>
        <v/>
      </c>
      <c r="H1204" s="17" t="str">
        <f aca="false">IF(INDEX(選手一覧!$E$7:$E$2738,$F1204)="","",INDEX(選手一覧!$E$7:$E$2738,$F1204))</f>
        <v/>
      </c>
      <c r="I1204" s="16" t="str">
        <f aca="false">IF(INDEX(選手一覧!$J$7:$J$2738,$F1204)="","",INDEX(選手一覧!$J$7:$J$2738,$F1204))</f>
        <v/>
      </c>
      <c r="J1204" s="17" t="str">
        <f aca="false">IF(INDEX(選手一覧!$K$7:$K$2738,$F1204)="","",INDEX(選手一覧!$K$7:$K$2738,$F1204))</f>
        <v/>
      </c>
    </row>
    <row r="1205" customFormat="false" ht="15" hidden="false" customHeight="false" outlineLevel="0" collapsed="false">
      <c r="A1205" s="17" t="n">
        <v>1201</v>
      </c>
      <c r="B1205" s="12" t="s">
        <v>3817</v>
      </c>
      <c r="C1205" s="12" t="s">
        <v>2541</v>
      </c>
      <c r="D1205" s="16" t="n">
        <v>0.008059375</v>
      </c>
      <c r="E1205" s="15" t="n">
        <f aca="false">ROUND((D1205-$D$5)*86400,2)</f>
        <v>157.31</v>
      </c>
      <c r="F1205" s="17" t="n">
        <v>2482</v>
      </c>
      <c r="G1205" s="16" t="str">
        <f aca="false">IF(INDEX(選手一覧!$D$7:$D$2738,$F1205)="","",INDEX(選手一覧!$D$7:$D$2738,$F1205))</f>
        <v/>
      </c>
      <c r="H1205" s="17" t="str">
        <f aca="false">IF(INDEX(選手一覧!$E$7:$E$2738,$F1205)="","",INDEX(選手一覧!$E$7:$E$2738,$F1205))</f>
        <v/>
      </c>
      <c r="I1205" s="16" t="str">
        <f aca="false">IF(INDEX(選手一覧!$J$7:$J$2738,$F1205)="","",INDEX(選手一覧!$J$7:$J$2738,$F1205))</f>
        <v/>
      </c>
      <c r="J1205" s="17" t="str">
        <f aca="false">IF(INDEX(選手一覧!$K$7:$K$2738,$F1205)="","",INDEX(選手一覧!$K$7:$K$2738,$F1205))</f>
        <v/>
      </c>
    </row>
    <row r="1206" customFormat="false" ht="15" hidden="false" customHeight="false" outlineLevel="0" collapsed="false">
      <c r="A1206" s="17" t="n">
        <v>1202</v>
      </c>
      <c r="B1206" s="12" t="s">
        <v>3818</v>
      </c>
      <c r="C1206" s="12" t="s">
        <v>2688</v>
      </c>
      <c r="D1206" s="16" t="n">
        <v>0.00806342592592593</v>
      </c>
      <c r="E1206" s="15" t="n">
        <f aca="false">ROUND((D1206-$D$5)*86400,2)</f>
        <v>157.66</v>
      </c>
      <c r="F1206" s="17" t="n">
        <v>2483</v>
      </c>
      <c r="G1206" s="16" t="str">
        <f aca="false">IF(INDEX(選手一覧!$D$7:$D$2738,$F1206)="","",INDEX(選手一覧!$D$7:$D$2738,$F1206))</f>
        <v/>
      </c>
      <c r="H1206" s="17" t="str">
        <f aca="false">IF(INDEX(選手一覧!$E$7:$E$2738,$F1206)="","",INDEX(選手一覧!$E$7:$E$2738,$F1206))</f>
        <v/>
      </c>
      <c r="I1206" s="16" t="str">
        <f aca="false">IF(INDEX(選手一覧!$J$7:$J$2738,$F1206)="","",INDEX(選手一覧!$J$7:$J$2738,$F1206))</f>
        <v/>
      </c>
      <c r="J1206" s="17" t="str">
        <f aca="false">IF(INDEX(選手一覧!$K$7:$K$2738,$F1206)="","",INDEX(選手一覧!$K$7:$K$2738,$F1206))</f>
        <v/>
      </c>
    </row>
    <row r="1207" customFormat="false" ht="15" hidden="false" customHeight="false" outlineLevel="0" collapsed="false">
      <c r="A1207" s="17" t="n">
        <v>1203</v>
      </c>
      <c r="B1207" s="12" t="s">
        <v>3820</v>
      </c>
      <c r="C1207" s="12" t="s">
        <v>2782</v>
      </c>
      <c r="D1207" s="16" t="n">
        <v>0.00806574074074074</v>
      </c>
      <c r="E1207" s="15" t="n">
        <f aca="false">ROUND((D1207-$D$5)*86400,2)</f>
        <v>157.86</v>
      </c>
      <c r="F1207" s="17" t="n">
        <v>2485</v>
      </c>
      <c r="G1207" s="16" t="str">
        <f aca="false">IF(INDEX(選手一覧!$D$7:$D$2738,$F1207)="","",INDEX(選手一覧!$D$7:$D$2738,$F1207))</f>
        <v/>
      </c>
      <c r="H1207" s="17" t="str">
        <f aca="false">IF(INDEX(選手一覧!$E$7:$E$2738,$F1207)="","",INDEX(選手一覧!$E$7:$E$2738,$F1207))</f>
        <v/>
      </c>
      <c r="I1207" s="16" t="str">
        <f aca="false">IF(INDEX(選手一覧!$J$7:$J$2738,$F1207)="","",INDEX(選手一覧!$J$7:$J$2738,$F1207))</f>
        <v/>
      </c>
      <c r="J1207" s="17" t="str">
        <f aca="false">IF(INDEX(選手一覧!$K$7:$K$2738,$F1207)="","",INDEX(選手一覧!$K$7:$K$2738,$F1207))</f>
        <v/>
      </c>
    </row>
    <row r="1208" customFormat="false" ht="15" hidden="false" customHeight="false" outlineLevel="0" collapsed="false">
      <c r="A1208" s="17" t="n">
        <v>1204</v>
      </c>
      <c r="B1208" s="12" t="s">
        <v>3821</v>
      </c>
      <c r="C1208" s="12" t="s">
        <v>3822</v>
      </c>
      <c r="D1208" s="16" t="n">
        <v>0.00806655092592593</v>
      </c>
      <c r="E1208" s="15" t="n">
        <f aca="false">ROUND((D1208-$D$5)*86400,2)</f>
        <v>157.93</v>
      </c>
      <c r="F1208" s="17" t="n">
        <v>2486</v>
      </c>
      <c r="G1208" s="16" t="str">
        <f aca="false">IF(INDEX(選手一覧!$D$7:$D$2738,$F1208)="","",INDEX(選手一覧!$D$7:$D$2738,$F1208))</f>
        <v/>
      </c>
      <c r="H1208" s="17" t="str">
        <f aca="false">IF(INDEX(選手一覧!$E$7:$E$2738,$F1208)="","",INDEX(選手一覧!$E$7:$E$2738,$F1208))</f>
        <v/>
      </c>
      <c r="I1208" s="16" t="str">
        <f aca="false">IF(INDEX(選手一覧!$J$7:$J$2738,$F1208)="","",INDEX(選手一覧!$J$7:$J$2738,$F1208))</f>
        <v/>
      </c>
      <c r="J1208" s="17" t="str">
        <f aca="false">IF(INDEX(選手一覧!$K$7:$K$2738,$F1208)="","",INDEX(選手一覧!$K$7:$K$2738,$F1208))</f>
        <v/>
      </c>
    </row>
    <row r="1209" customFormat="false" ht="15" hidden="false" customHeight="false" outlineLevel="0" collapsed="false">
      <c r="A1209" s="17" t="n">
        <v>1205</v>
      </c>
      <c r="B1209" s="12" t="s">
        <v>3823</v>
      </c>
      <c r="C1209" s="12" t="s">
        <v>3824</v>
      </c>
      <c r="D1209" s="16" t="n">
        <v>0.00806747685185185</v>
      </c>
      <c r="E1209" s="15" t="n">
        <f aca="false">ROUND((D1209-$D$5)*86400,2)</f>
        <v>158.01</v>
      </c>
      <c r="F1209" s="17" t="n">
        <v>2487</v>
      </c>
      <c r="G1209" s="16" t="str">
        <f aca="false">IF(INDEX(選手一覧!$D$7:$D$2738,$F1209)="","",INDEX(選手一覧!$D$7:$D$2738,$F1209))</f>
        <v/>
      </c>
      <c r="H1209" s="17" t="str">
        <f aca="false">IF(INDEX(選手一覧!$E$7:$E$2738,$F1209)="","",INDEX(選手一覧!$E$7:$E$2738,$F1209))</f>
        <v/>
      </c>
      <c r="I1209" s="16" t="str">
        <f aca="false">IF(INDEX(選手一覧!$J$7:$J$2738,$F1209)="","",INDEX(選手一覧!$J$7:$J$2738,$F1209))</f>
        <v/>
      </c>
      <c r="J1209" s="17" t="str">
        <f aca="false">IF(INDEX(選手一覧!$K$7:$K$2738,$F1209)="","",INDEX(選手一覧!$K$7:$K$2738,$F1209))</f>
        <v/>
      </c>
    </row>
    <row r="1210" customFormat="false" ht="15" hidden="false" customHeight="false" outlineLevel="0" collapsed="false">
      <c r="A1210" s="17" t="n">
        <v>1206</v>
      </c>
      <c r="B1210" s="12" t="s">
        <v>3827</v>
      </c>
      <c r="C1210" s="12" t="s">
        <v>3564</v>
      </c>
      <c r="D1210" s="16" t="n">
        <v>0.00806979166666667</v>
      </c>
      <c r="E1210" s="15" t="n">
        <f aca="false">ROUND((D1210-$D$5)*86400,2)</f>
        <v>158.21</v>
      </c>
      <c r="F1210" s="17" t="n">
        <v>2489</v>
      </c>
      <c r="G1210" s="16" t="str">
        <f aca="false">IF(INDEX(選手一覧!$D$7:$D$2738,$F1210)="","",INDEX(選手一覧!$D$7:$D$2738,$F1210))</f>
        <v/>
      </c>
      <c r="H1210" s="17" t="str">
        <f aca="false">IF(INDEX(選手一覧!$E$7:$E$2738,$F1210)="","",INDEX(選手一覧!$E$7:$E$2738,$F1210))</f>
        <v/>
      </c>
      <c r="I1210" s="16" t="str">
        <f aca="false">IF(INDEX(選手一覧!$J$7:$J$2738,$F1210)="","",INDEX(選手一覧!$J$7:$J$2738,$F1210))</f>
        <v/>
      </c>
      <c r="J1210" s="17" t="str">
        <f aca="false">IF(INDEX(選手一覧!$K$7:$K$2738,$F1210)="","",INDEX(選手一覧!$K$7:$K$2738,$F1210))</f>
        <v/>
      </c>
    </row>
    <row r="1211" customFormat="false" ht="15" hidden="false" customHeight="false" outlineLevel="0" collapsed="false">
      <c r="A1211" s="17" t="n">
        <v>1207</v>
      </c>
      <c r="B1211" s="12" t="s">
        <v>3828</v>
      </c>
      <c r="C1211" s="12" t="s">
        <v>3829</v>
      </c>
      <c r="D1211" s="16" t="n">
        <v>0.00807349537037037</v>
      </c>
      <c r="E1211" s="15" t="n">
        <f aca="false">ROUND((D1211-$D$5)*86400,2)</f>
        <v>158.53</v>
      </c>
      <c r="F1211" s="17" t="n">
        <v>2490</v>
      </c>
      <c r="G1211" s="16" t="str">
        <f aca="false">IF(INDEX(選手一覧!$D$7:$D$2738,$F1211)="","",INDEX(選手一覧!$D$7:$D$2738,$F1211))</f>
        <v/>
      </c>
      <c r="H1211" s="17" t="str">
        <f aca="false">IF(INDEX(選手一覧!$E$7:$E$2738,$F1211)="","",INDEX(選手一覧!$E$7:$E$2738,$F1211))</f>
        <v/>
      </c>
      <c r="I1211" s="16" t="str">
        <f aca="false">IF(INDEX(選手一覧!$J$7:$J$2738,$F1211)="","",INDEX(選手一覧!$J$7:$J$2738,$F1211))</f>
        <v/>
      </c>
      <c r="J1211" s="17" t="str">
        <f aca="false">IF(INDEX(選手一覧!$K$7:$K$2738,$F1211)="","",INDEX(選手一覧!$K$7:$K$2738,$F1211))</f>
        <v/>
      </c>
    </row>
    <row r="1212" customFormat="false" ht="15" hidden="false" customHeight="false" outlineLevel="0" collapsed="false">
      <c r="A1212" s="17" t="n">
        <v>1208</v>
      </c>
      <c r="B1212" s="12" t="s">
        <v>3830</v>
      </c>
      <c r="C1212" s="12" t="s">
        <v>3831</v>
      </c>
      <c r="D1212" s="16" t="n">
        <v>0.00807662037037037</v>
      </c>
      <c r="E1212" s="15" t="n">
        <f aca="false">ROUND((D1212-$D$5)*86400,2)</f>
        <v>158.8</v>
      </c>
      <c r="F1212" s="17" t="n">
        <v>2491</v>
      </c>
      <c r="G1212" s="16" t="str">
        <f aca="false">IF(INDEX(選手一覧!$D$7:$D$2738,$F1212)="","",INDEX(選手一覧!$D$7:$D$2738,$F1212))</f>
        <v/>
      </c>
      <c r="H1212" s="17" t="str">
        <f aca="false">IF(INDEX(選手一覧!$E$7:$E$2738,$F1212)="","",INDEX(選手一覧!$E$7:$E$2738,$F1212))</f>
        <v/>
      </c>
      <c r="I1212" s="16" t="str">
        <f aca="false">IF(INDEX(選手一覧!$J$7:$J$2738,$F1212)="","",INDEX(選手一覧!$J$7:$J$2738,$F1212))</f>
        <v/>
      </c>
      <c r="J1212" s="17" t="str">
        <f aca="false">IF(INDEX(選手一覧!$K$7:$K$2738,$F1212)="","",INDEX(選手一覧!$K$7:$K$2738,$F1212))</f>
        <v/>
      </c>
    </row>
    <row r="1213" customFormat="false" ht="15" hidden="false" customHeight="false" outlineLevel="0" collapsed="false">
      <c r="A1213" s="17" t="n">
        <v>1209</v>
      </c>
      <c r="B1213" s="12" t="s">
        <v>3833</v>
      </c>
      <c r="C1213" s="12" t="s">
        <v>824</v>
      </c>
      <c r="D1213" s="16" t="n">
        <v>0.00808657407407407</v>
      </c>
      <c r="E1213" s="15" t="n">
        <f aca="false">ROUND((D1213-$D$5)*86400,2)</f>
        <v>159.66</v>
      </c>
      <c r="F1213" s="17" t="n">
        <v>2493</v>
      </c>
      <c r="G1213" s="16" t="str">
        <f aca="false">IF(INDEX(選手一覧!$D$7:$D$2738,$F1213)="","",INDEX(選手一覧!$D$7:$D$2738,$F1213))</f>
        <v/>
      </c>
      <c r="H1213" s="17" t="str">
        <f aca="false">IF(INDEX(選手一覧!$E$7:$E$2738,$F1213)="","",INDEX(選手一覧!$E$7:$E$2738,$F1213))</f>
        <v/>
      </c>
      <c r="I1213" s="16" t="str">
        <f aca="false">IF(INDEX(選手一覧!$J$7:$J$2738,$F1213)="","",INDEX(選手一覧!$J$7:$J$2738,$F1213))</f>
        <v/>
      </c>
      <c r="J1213" s="17" t="str">
        <f aca="false">IF(INDEX(選手一覧!$K$7:$K$2738,$F1213)="","",INDEX(選手一覧!$K$7:$K$2738,$F1213))</f>
        <v/>
      </c>
    </row>
    <row r="1214" customFormat="false" ht="15" hidden="false" customHeight="false" outlineLevel="0" collapsed="false">
      <c r="A1214" s="17" t="n">
        <v>1210</v>
      </c>
      <c r="B1214" s="12" t="s">
        <v>3835</v>
      </c>
      <c r="C1214" s="12" t="s">
        <v>2431</v>
      </c>
      <c r="D1214" s="16" t="n">
        <v>0.00809756944444444</v>
      </c>
      <c r="E1214" s="15" t="n">
        <f aca="false">ROUND((D1214-$D$5)*86400,2)</f>
        <v>160.61</v>
      </c>
      <c r="F1214" s="17" t="n">
        <v>2495</v>
      </c>
      <c r="G1214" s="16" t="str">
        <f aca="false">IF(INDEX(選手一覧!$D$7:$D$2738,$F1214)="","",INDEX(選手一覧!$D$7:$D$2738,$F1214))</f>
        <v/>
      </c>
      <c r="H1214" s="17" t="str">
        <f aca="false">IF(INDEX(選手一覧!$E$7:$E$2738,$F1214)="","",INDEX(選手一覧!$E$7:$E$2738,$F1214))</f>
        <v/>
      </c>
      <c r="I1214" s="16" t="str">
        <f aca="false">IF(INDEX(選手一覧!$J$7:$J$2738,$F1214)="","",INDEX(選手一覧!$J$7:$J$2738,$F1214))</f>
        <v/>
      </c>
      <c r="J1214" s="17" t="str">
        <f aca="false">IF(INDEX(選手一覧!$K$7:$K$2738,$F1214)="","",INDEX(選手一覧!$K$7:$K$2738,$F1214))</f>
        <v/>
      </c>
    </row>
    <row r="1215" customFormat="false" ht="15" hidden="false" customHeight="false" outlineLevel="0" collapsed="false">
      <c r="A1215" s="17" t="n">
        <v>1211</v>
      </c>
      <c r="B1215" s="12" t="s">
        <v>3836</v>
      </c>
      <c r="C1215" s="12" t="s">
        <v>3837</v>
      </c>
      <c r="D1215" s="16" t="n">
        <v>0.00809965277777778</v>
      </c>
      <c r="E1215" s="15" t="n">
        <f aca="false">ROUND((D1215-$D$5)*86400,2)</f>
        <v>160.79</v>
      </c>
      <c r="F1215" s="17" t="n">
        <v>2496</v>
      </c>
      <c r="G1215" s="16" t="str">
        <f aca="false">IF(INDEX(選手一覧!$D$7:$D$2738,$F1215)="","",INDEX(選手一覧!$D$7:$D$2738,$F1215))</f>
        <v/>
      </c>
      <c r="H1215" s="17" t="str">
        <f aca="false">IF(INDEX(選手一覧!$E$7:$E$2738,$F1215)="","",INDEX(選手一覧!$E$7:$E$2738,$F1215))</f>
        <v/>
      </c>
      <c r="I1215" s="16" t="str">
        <f aca="false">IF(INDEX(選手一覧!$J$7:$J$2738,$F1215)="","",INDEX(選手一覧!$J$7:$J$2738,$F1215))</f>
        <v/>
      </c>
      <c r="J1215" s="17" t="str">
        <f aca="false">IF(INDEX(選手一覧!$K$7:$K$2738,$F1215)="","",INDEX(選手一覧!$K$7:$K$2738,$F1215))</f>
        <v/>
      </c>
    </row>
    <row r="1216" customFormat="false" ht="15" hidden="false" customHeight="false" outlineLevel="0" collapsed="false">
      <c r="A1216" s="17" t="n">
        <v>1212</v>
      </c>
      <c r="B1216" s="12" t="s">
        <v>3839</v>
      </c>
      <c r="C1216" s="12" t="s">
        <v>1628</v>
      </c>
      <c r="D1216" s="16" t="n">
        <v>0.00810752314814815</v>
      </c>
      <c r="E1216" s="15" t="n">
        <f aca="false">ROUND((D1216-$D$5)*86400,2)</f>
        <v>161.47</v>
      </c>
      <c r="F1216" s="17" t="n">
        <v>2498</v>
      </c>
      <c r="G1216" s="16" t="str">
        <f aca="false">IF(INDEX(選手一覧!$D$7:$D$2738,$F1216)="","",INDEX(選手一覧!$D$7:$D$2738,$F1216))</f>
        <v/>
      </c>
      <c r="H1216" s="17" t="str">
        <f aca="false">IF(INDEX(選手一覧!$E$7:$E$2738,$F1216)="","",INDEX(選手一覧!$E$7:$E$2738,$F1216))</f>
        <v/>
      </c>
      <c r="I1216" s="16" t="str">
        <f aca="false">IF(INDEX(選手一覧!$J$7:$J$2738,$F1216)="","",INDEX(選手一覧!$J$7:$J$2738,$F1216))</f>
        <v/>
      </c>
      <c r="J1216" s="17" t="str">
        <f aca="false">IF(INDEX(選手一覧!$K$7:$K$2738,$F1216)="","",INDEX(選手一覧!$K$7:$K$2738,$F1216))</f>
        <v/>
      </c>
    </row>
    <row r="1217" customFormat="false" ht="15" hidden="false" customHeight="false" outlineLevel="0" collapsed="false">
      <c r="A1217" s="17" t="n">
        <v>1213</v>
      </c>
      <c r="B1217" s="12" t="s">
        <v>3841</v>
      </c>
      <c r="C1217" s="12" t="s">
        <v>1096</v>
      </c>
      <c r="D1217" s="16" t="n">
        <v>0.00812233796296296</v>
      </c>
      <c r="E1217" s="15" t="n">
        <f aca="false">ROUND((D1217-$D$5)*86400,2)</f>
        <v>162.75</v>
      </c>
      <c r="F1217" s="17" t="n">
        <v>2500</v>
      </c>
      <c r="G1217" s="16" t="str">
        <f aca="false">IF(INDEX(選手一覧!$D$7:$D$2738,$F1217)="","",INDEX(選手一覧!$D$7:$D$2738,$F1217))</f>
        <v/>
      </c>
      <c r="H1217" s="17" t="str">
        <f aca="false">IF(INDEX(選手一覧!$E$7:$E$2738,$F1217)="","",INDEX(選手一覧!$E$7:$E$2738,$F1217))</f>
        <v/>
      </c>
      <c r="I1217" s="16" t="str">
        <f aca="false">IF(INDEX(選手一覧!$J$7:$J$2738,$F1217)="","",INDEX(選手一覧!$J$7:$J$2738,$F1217))</f>
        <v/>
      </c>
      <c r="J1217" s="17" t="str">
        <f aca="false">IF(INDEX(選手一覧!$K$7:$K$2738,$F1217)="","",INDEX(選手一覧!$K$7:$K$2738,$F1217))</f>
        <v/>
      </c>
    </row>
    <row r="1218" customFormat="false" ht="15" hidden="false" customHeight="false" outlineLevel="0" collapsed="false">
      <c r="A1218" s="17" t="n">
        <v>1214</v>
      </c>
      <c r="B1218" s="12" t="s">
        <v>3842</v>
      </c>
      <c r="C1218" s="12" t="s">
        <v>2921</v>
      </c>
      <c r="D1218" s="16" t="n">
        <v>0.00812962962962963</v>
      </c>
      <c r="E1218" s="15" t="n">
        <f aca="false">ROUND((D1218-$D$5)*86400,2)</f>
        <v>163.38</v>
      </c>
      <c r="F1218" s="17" t="n">
        <v>2501</v>
      </c>
      <c r="G1218" s="16" t="str">
        <f aca="false">IF(INDEX(選手一覧!$D$7:$D$2738,$F1218)="","",INDEX(選手一覧!$D$7:$D$2738,$F1218))</f>
        <v/>
      </c>
      <c r="H1218" s="17" t="str">
        <f aca="false">IF(INDEX(選手一覧!$E$7:$E$2738,$F1218)="","",INDEX(選手一覧!$E$7:$E$2738,$F1218))</f>
        <v/>
      </c>
      <c r="I1218" s="16" t="str">
        <f aca="false">IF(INDEX(選手一覧!$J$7:$J$2738,$F1218)="","",INDEX(選手一覧!$J$7:$J$2738,$F1218))</f>
        <v/>
      </c>
      <c r="J1218" s="17" t="str">
        <f aca="false">IF(INDEX(選手一覧!$K$7:$K$2738,$F1218)="","",INDEX(選手一覧!$K$7:$K$2738,$F1218))</f>
        <v/>
      </c>
    </row>
    <row r="1219" customFormat="false" ht="15" hidden="false" customHeight="false" outlineLevel="0" collapsed="false">
      <c r="A1219" s="17" t="n">
        <v>1215</v>
      </c>
      <c r="B1219" s="12" t="s">
        <v>3843</v>
      </c>
      <c r="C1219" s="12" t="s">
        <v>3844</v>
      </c>
      <c r="D1219" s="16" t="n">
        <v>0.00813506944444445</v>
      </c>
      <c r="E1219" s="15" t="n">
        <f aca="false">ROUND((D1219-$D$5)*86400,2)</f>
        <v>163.85</v>
      </c>
      <c r="F1219" s="17" t="n">
        <v>2502</v>
      </c>
      <c r="G1219" s="16" t="str">
        <f aca="false">IF(INDEX(選手一覧!$D$7:$D$2738,$F1219)="","",INDEX(選手一覧!$D$7:$D$2738,$F1219))</f>
        <v/>
      </c>
      <c r="H1219" s="17" t="str">
        <f aca="false">IF(INDEX(選手一覧!$E$7:$E$2738,$F1219)="","",INDEX(選手一覧!$E$7:$E$2738,$F1219))</f>
        <v/>
      </c>
      <c r="I1219" s="16" t="str">
        <f aca="false">IF(INDEX(選手一覧!$J$7:$J$2738,$F1219)="","",INDEX(選手一覧!$J$7:$J$2738,$F1219))</f>
        <v/>
      </c>
      <c r="J1219" s="17" t="str">
        <f aca="false">IF(INDEX(選手一覧!$K$7:$K$2738,$F1219)="","",INDEX(選手一覧!$K$7:$K$2738,$F1219))</f>
        <v/>
      </c>
    </row>
    <row r="1220" customFormat="false" ht="15" hidden="false" customHeight="false" outlineLevel="0" collapsed="false">
      <c r="A1220" s="17" t="n">
        <v>1216</v>
      </c>
      <c r="B1220" s="12" t="s">
        <v>3846</v>
      </c>
      <c r="C1220" s="12" t="s">
        <v>2619</v>
      </c>
      <c r="D1220" s="16" t="n">
        <v>0.00813831018518518</v>
      </c>
      <c r="E1220" s="15" t="n">
        <f aca="false">ROUND((D1220-$D$5)*86400,2)</f>
        <v>164.13</v>
      </c>
      <c r="F1220" s="17" t="n">
        <v>2504</v>
      </c>
      <c r="G1220" s="16" t="str">
        <f aca="false">IF(INDEX(選手一覧!$D$7:$D$2738,$F1220)="","",INDEX(選手一覧!$D$7:$D$2738,$F1220))</f>
        <v/>
      </c>
      <c r="H1220" s="17" t="str">
        <f aca="false">IF(INDEX(選手一覧!$E$7:$E$2738,$F1220)="","",INDEX(選手一覧!$E$7:$E$2738,$F1220))</f>
        <v/>
      </c>
      <c r="I1220" s="16" t="str">
        <f aca="false">IF(INDEX(選手一覧!$J$7:$J$2738,$F1220)="","",INDEX(選手一覧!$J$7:$J$2738,$F1220))</f>
        <v/>
      </c>
      <c r="J1220" s="17" t="str">
        <f aca="false">IF(INDEX(選手一覧!$K$7:$K$2738,$F1220)="","",INDEX(選手一覧!$K$7:$K$2738,$F1220))</f>
        <v/>
      </c>
    </row>
    <row r="1221" customFormat="false" ht="15" hidden="false" customHeight="false" outlineLevel="0" collapsed="false">
      <c r="A1221" s="17" t="n">
        <v>1217</v>
      </c>
      <c r="B1221" s="12" t="s">
        <v>3847</v>
      </c>
      <c r="C1221" s="12" t="s">
        <v>1385</v>
      </c>
      <c r="D1221" s="16" t="n">
        <v>0.00813854166666667</v>
      </c>
      <c r="E1221" s="15" t="n">
        <f aca="false">ROUND((D1221-$D$5)*86400,2)</f>
        <v>164.15</v>
      </c>
      <c r="F1221" s="17" t="n">
        <v>2505</v>
      </c>
      <c r="G1221" s="16" t="str">
        <f aca="false">IF(INDEX(選手一覧!$D$7:$D$2738,$F1221)="","",INDEX(選手一覧!$D$7:$D$2738,$F1221))</f>
        <v/>
      </c>
      <c r="H1221" s="17" t="str">
        <f aca="false">IF(INDEX(選手一覧!$E$7:$E$2738,$F1221)="","",INDEX(選手一覧!$E$7:$E$2738,$F1221))</f>
        <v/>
      </c>
      <c r="I1221" s="16" t="str">
        <f aca="false">IF(INDEX(選手一覧!$J$7:$J$2738,$F1221)="","",INDEX(選手一覧!$J$7:$J$2738,$F1221))</f>
        <v/>
      </c>
      <c r="J1221" s="17" t="str">
        <f aca="false">IF(INDEX(選手一覧!$K$7:$K$2738,$F1221)="","",INDEX(選手一覧!$K$7:$K$2738,$F1221))</f>
        <v/>
      </c>
    </row>
    <row r="1222" customFormat="false" ht="15" hidden="false" customHeight="false" outlineLevel="0" collapsed="false">
      <c r="A1222" s="17" t="n">
        <v>1218</v>
      </c>
      <c r="B1222" s="12" t="s">
        <v>3849</v>
      </c>
      <c r="C1222" s="12" t="s">
        <v>3018</v>
      </c>
      <c r="D1222" s="16" t="n">
        <v>0.00814953703703704</v>
      </c>
      <c r="E1222" s="15" t="n">
        <f aca="false">ROUND((D1222-$D$5)*86400,2)</f>
        <v>165.1</v>
      </c>
      <c r="F1222" s="17" t="n">
        <v>2507</v>
      </c>
      <c r="G1222" s="16" t="str">
        <f aca="false">IF(INDEX(選手一覧!$D$7:$D$2738,$F1222)="","",INDEX(選手一覧!$D$7:$D$2738,$F1222))</f>
        <v/>
      </c>
      <c r="H1222" s="17" t="str">
        <f aca="false">IF(INDEX(選手一覧!$E$7:$E$2738,$F1222)="","",INDEX(選手一覧!$E$7:$E$2738,$F1222))</f>
        <v/>
      </c>
      <c r="I1222" s="16" t="str">
        <f aca="false">IF(INDEX(選手一覧!$J$7:$J$2738,$F1222)="","",INDEX(選手一覧!$J$7:$J$2738,$F1222))</f>
        <v/>
      </c>
      <c r="J1222" s="17" t="str">
        <f aca="false">IF(INDEX(選手一覧!$K$7:$K$2738,$F1222)="","",INDEX(選手一覧!$K$7:$K$2738,$F1222))</f>
        <v/>
      </c>
    </row>
    <row r="1223" customFormat="false" ht="15" hidden="false" customHeight="false" outlineLevel="0" collapsed="false">
      <c r="A1223" s="17" t="n">
        <v>1219</v>
      </c>
      <c r="B1223" s="12" t="s">
        <v>1990</v>
      </c>
      <c r="C1223" s="12" t="s">
        <v>548</v>
      </c>
      <c r="D1223" s="16" t="n">
        <v>0.00815219907407407</v>
      </c>
      <c r="E1223" s="15" t="n">
        <f aca="false">ROUND((D1223-$D$5)*86400,2)</f>
        <v>165.33</v>
      </c>
      <c r="F1223" s="17" t="n">
        <v>1249</v>
      </c>
      <c r="G1223" s="16" t="n">
        <f aca="false">IF(INDEX(選手一覧!$D$7:$D$2738,$F1223)="","",INDEX(選手一覧!$D$7:$D$2738,$F1223))</f>
        <v>0.0110797453703704</v>
      </c>
      <c r="H1223" s="17" t="n">
        <f aca="false">IF(INDEX(選手一覧!$E$7:$E$2738,$F1223)="","",INDEX(選手一覧!$E$7:$E$2738,$F1223))</f>
        <v>1250</v>
      </c>
      <c r="I1223" s="16" t="str">
        <f aca="false">IF(INDEX(選手一覧!$J$7:$J$2738,$F1223)="","",INDEX(選手一覧!$J$7:$J$2738,$F1223))</f>
        <v/>
      </c>
      <c r="J1223" s="17" t="str">
        <f aca="false">IF(INDEX(選手一覧!$K$7:$K$2738,$F1223)="","",INDEX(選手一覧!$K$7:$K$2738,$F1223))</f>
        <v/>
      </c>
    </row>
    <row r="1224" customFormat="false" ht="15" hidden="false" customHeight="false" outlineLevel="0" collapsed="false">
      <c r="A1224" s="17" t="n">
        <v>1220</v>
      </c>
      <c r="B1224" s="12" t="s">
        <v>3850</v>
      </c>
      <c r="C1224" s="12" t="s">
        <v>2494</v>
      </c>
      <c r="D1224" s="16" t="n">
        <v>0.00815462962962963</v>
      </c>
      <c r="E1224" s="15" t="n">
        <f aca="false">ROUND((D1224-$D$5)*86400,2)</f>
        <v>165.54</v>
      </c>
      <c r="F1224" s="17" t="n">
        <v>2508</v>
      </c>
      <c r="G1224" s="16" t="str">
        <f aca="false">IF(INDEX(選手一覧!$D$7:$D$2738,$F1224)="","",INDEX(選手一覧!$D$7:$D$2738,$F1224))</f>
        <v/>
      </c>
      <c r="H1224" s="17" t="str">
        <f aca="false">IF(INDEX(選手一覧!$E$7:$E$2738,$F1224)="","",INDEX(選手一覧!$E$7:$E$2738,$F1224))</f>
        <v/>
      </c>
      <c r="I1224" s="16" t="str">
        <f aca="false">IF(INDEX(選手一覧!$J$7:$J$2738,$F1224)="","",INDEX(選手一覧!$J$7:$J$2738,$F1224))</f>
        <v/>
      </c>
      <c r="J1224" s="17" t="str">
        <f aca="false">IF(INDEX(選手一覧!$K$7:$K$2738,$F1224)="","",INDEX(選手一覧!$K$7:$K$2738,$F1224))</f>
        <v/>
      </c>
    </row>
    <row r="1225" customFormat="false" ht="15" hidden="false" customHeight="false" outlineLevel="0" collapsed="false">
      <c r="A1225" s="17" t="n">
        <v>1221</v>
      </c>
      <c r="B1225" s="12" t="s">
        <v>3853</v>
      </c>
      <c r="C1225" s="12" t="s">
        <v>1339</v>
      </c>
      <c r="D1225" s="16" t="n">
        <v>0.00815543981481482</v>
      </c>
      <c r="E1225" s="15" t="n">
        <f aca="false">ROUND((D1225-$D$5)*86400,2)</f>
        <v>165.61</v>
      </c>
      <c r="F1225" s="17" t="n">
        <v>2510</v>
      </c>
      <c r="G1225" s="16" t="str">
        <f aca="false">IF(INDEX(選手一覧!$D$7:$D$2738,$F1225)="","",INDEX(選手一覧!$D$7:$D$2738,$F1225))</f>
        <v/>
      </c>
      <c r="H1225" s="17" t="str">
        <f aca="false">IF(INDEX(選手一覧!$E$7:$E$2738,$F1225)="","",INDEX(選手一覧!$E$7:$E$2738,$F1225))</f>
        <v/>
      </c>
      <c r="I1225" s="16" t="str">
        <f aca="false">IF(INDEX(選手一覧!$J$7:$J$2738,$F1225)="","",INDEX(選手一覧!$J$7:$J$2738,$F1225))</f>
        <v/>
      </c>
      <c r="J1225" s="17" t="str">
        <f aca="false">IF(INDEX(選手一覧!$K$7:$K$2738,$F1225)="","",INDEX(選手一覧!$K$7:$K$2738,$F1225))</f>
        <v/>
      </c>
    </row>
    <row r="1226" customFormat="false" ht="15" hidden="false" customHeight="false" outlineLevel="0" collapsed="false">
      <c r="A1226" s="17" t="n">
        <v>1222</v>
      </c>
      <c r="B1226" s="12" t="s">
        <v>3855</v>
      </c>
      <c r="C1226" s="12" t="s">
        <v>3856</v>
      </c>
      <c r="D1226" s="16" t="n">
        <v>0.00815555555555556</v>
      </c>
      <c r="E1226" s="15" t="n">
        <f aca="false">ROUND((D1226-$D$5)*86400,2)</f>
        <v>165.62</v>
      </c>
      <c r="F1226" s="17" t="n">
        <v>2512</v>
      </c>
      <c r="G1226" s="16" t="str">
        <f aca="false">IF(INDEX(選手一覧!$D$7:$D$2738,$F1226)="","",INDEX(選手一覧!$D$7:$D$2738,$F1226))</f>
        <v/>
      </c>
      <c r="H1226" s="17" t="str">
        <f aca="false">IF(INDEX(選手一覧!$E$7:$E$2738,$F1226)="","",INDEX(選手一覧!$E$7:$E$2738,$F1226))</f>
        <v/>
      </c>
      <c r="I1226" s="16" t="str">
        <f aca="false">IF(INDEX(選手一覧!$J$7:$J$2738,$F1226)="","",INDEX(選手一覧!$J$7:$J$2738,$F1226))</f>
        <v/>
      </c>
      <c r="J1226" s="17" t="str">
        <f aca="false">IF(INDEX(選手一覧!$K$7:$K$2738,$F1226)="","",INDEX(選手一覧!$K$7:$K$2738,$F1226))</f>
        <v/>
      </c>
    </row>
    <row r="1227" customFormat="false" ht="15" hidden="false" customHeight="false" outlineLevel="0" collapsed="false">
      <c r="A1227" s="17" t="n">
        <v>1223</v>
      </c>
      <c r="B1227" s="12" t="s">
        <v>1172</v>
      </c>
      <c r="C1227" s="12" t="s">
        <v>515</v>
      </c>
      <c r="D1227" s="16" t="n">
        <v>0.008159375</v>
      </c>
      <c r="E1227" s="15" t="n">
        <f aca="false">ROUND((D1227-$D$5)*86400,2)</f>
        <v>165.95</v>
      </c>
      <c r="F1227" s="17" t="n">
        <v>695</v>
      </c>
      <c r="G1227" s="16" t="n">
        <f aca="false">IF(INDEX(選手一覧!$D$7:$D$2738,$F1227)="","",INDEX(選手一覧!$D$7:$D$2738,$F1227))</f>
        <v>0.0107704861111111</v>
      </c>
      <c r="H1227" s="17" t="n">
        <f aca="false">IF(INDEX(選手一覧!$E$7:$E$2738,$F1227)="","",INDEX(選手一覧!$E$7:$E$2738,$F1227))</f>
        <v>696</v>
      </c>
      <c r="I1227" s="16" t="n">
        <f aca="false">IF(INDEX(選手一覧!$J$7:$J$2738,$F1227)="","",INDEX(選手一覧!$J$7:$J$2738,$F1227))</f>
        <v>0.00288263888888889</v>
      </c>
      <c r="J1227" s="17" t="n">
        <f aca="false">IF(INDEX(選手一覧!$K$7:$K$2738,$F1227)="","",INDEX(選手一覧!$K$7:$K$2738,$F1227))</f>
        <v>797</v>
      </c>
    </row>
    <row r="1228" customFormat="false" ht="15" hidden="false" customHeight="false" outlineLevel="0" collapsed="false">
      <c r="A1228" s="17" t="n">
        <v>1224</v>
      </c>
      <c r="B1228" s="12" t="s">
        <v>3858</v>
      </c>
      <c r="C1228" s="12" t="s">
        <v>1259</v>
      </c>
      <c r="D1228" s="16" t="n">
        <v>0.0081625</v>
      </c>
      <c r="E1228" s="15" t="n">
        <f aca="false">ROUND((D1228-$D$5)*86400,2)</f>
        <v>166.22</v>
      </c>
      <c r="F1228" s="17" t="n">
        <v>2514</v>
      </c>
      <c r="G1228" s="16" t="str">
        <f aca="false">IF(INDEX(選手一覧!$D$7:$D$2738,$F1228)="","",INDEX(選手一覧!$D$7:$D$2738,$F1228))</f>
        <v/>
      </c>
      <c r="H1228" s="17" t="str">
        <f aca="false">IF(INDEX(選手一覧!$E$7:$E$2738,$F1228)="","",INDEX(選手一覧!$E$7:$E$2738,$F1228))</f>
        <v/>
      </c>
      <c r="I1228" s="16" t="str">
        <f aca="false">IF(INDEX(選手一覧!$J$7:$J$2738,$F1228)="","",INDEX(選手一覧!$J$7:$J$2738,$F1228))</f>
        <v/>
      </c>
      <c r="J1228" s="17" t="str">
        <f aca="false">IF(INDEX(選手一覧!$K$7:$K$2738,$F1228)="","",INDEX(選手一覧!$K$7:$K$2738,$F1228))</f>
        <v/>
      </c>
    </row>
    <row r="1229" customFormat="false" ht="15" hidden="false" customHeight="false" outlineLevel="0" collapsed="false">
      <c r="A1229" s="17" t="n">
        <v>1225</v>
      </c>
      <c r="B1229" s="12" t="s">
        <v>3859</v>
      </c>
      <c r="C1229" s="12" t="s">
        <v>1491</v>
      </c>
      <c r="D1229" s="16" t="n">
        <v>0.00816331018518519</v>
      </c>
      <c r="E1229" s="15" t="n">
        <f aca="false">ROUND((D1229-$D$5)*86400,2)</f>
        <v>166.29</v>
      </c>
      <c r="F1229" s="17" t="n">
        <v>2515</v>
      </c>
      <c r="G1229" s="16" t="str">
        <f aca="false">IF(INDEX(選手一覧!$D$7:$D$2738,$F1229)="","",INDEX(選手一覧!$D$7:$D$2738,$F1229))</f>
        <v/>
      </c>
      <c r="H1229" s="17" t="str">
        <f aca="false">IF(INDEX(選手一覧!$E$7:$E$2738,$F1229)="","",INDEX(選手一覧!$E$7:$E$2738,$F1229))</f>
        <v/>
      </c>
      <c r="I1229" s="16" t="str">
        <f aca="false">IF(INDEX(選手一覧!$J$7:$J$2738,$F1229)="","",INDEX(選手一覧!$J$7:$J$2738,$F1229))</f>
        <v/>
      </c>
      <c r="J1229" s="17" t="str">
        <f aca="false">IF(INDEX(選手一覧!$K$7:$K$2738,$F1229)="","",INDEX(選手一覧!$K$7:$K$2738,$F1229))</f>
        <v/>
      </c>
    </row>
    <row r="1230" customFormat="false" ht="15" hidden="false" customHeight="false" outlineLevel="0" collapsed="false">
      <c r="A1230" s="17" t="n">
        <v>1226</v>
      </c>
      <c r="B1230" s="12" t="s">
        <v>3860</v>
      </c>
      <c r="C1230" s="12" t="s">
        <v>2785</v>
      </c>
      <c r="D1230" s="16" t="n">
        <v>0.00816354166666667</v>
      </c>
      <c r="E1230" s="15" t="n">
        <f aca="false">ROUND((D1230-$D$5)*86400,2)</f>
        <v>166.31</v>
      </c>
      <c r="F1230" s="17" t="n">
        <v>2516</v>
      </c>
      <c r="G1230" s="16" t="str">
        <f aca="false">IF(INDEX(選手一覧!$D$7:$D$2738,$F1230)="","",INDEX(選手一覧!$D$7:$D$2738,$F1230))</f>
        <v/>
      </c>
      <c r="H1230" s="17" t="str">
        <f aca="false">IF(INDEX(選手一覧!$E$7:$E$2738,$F1230)="","",INDEX(選手一覧!$E$7:$E$2738,$F1230))</f>
        <v/>
      </c>
      <c r="I1230" s="16" t="str">
        <f aca="false">IF(INDEX(選手一覧!$J$7:$J$2738,$F1230)="","",INDEX(選手一覧!$J$7:$J$2738,$F1230))</f>
        <v/>
      </c>
      <c r="J1230" s="17" t="str">
        <f aca="false">IF(INDEX(選手一覧!$K$7:$K$2738,$F1230)="","",INDEX(選手一覧!$K$7:$K$2738,$F1230))</f>
        <v/>
      </c>
    </row>
    <row r="1231" customFormat="false" ht="15" hidden="false" customHeight="false" outlineLevel="0" collapsed="false">
      <c r="A1231" s="17" t="n">
        <v>1227</v>
      </c>
      <c r="B1231" s="12" t="s">
        <v>3862</v>
      </c>
      <c r="C1231" s="12" t="s">
        <v>2112</v>
      </c>
      <c r="D1231" s="16" t="n">
        <v>0.00816655092592593</v>
      </c>
      <c r="E1231" s="15" t="n">
        <f aca="false">ROUND((D1231-$D$5)*86400,2)</f>
        <v>166.57</v>
      </c>
      <c r="F1231" s="17" t="n">
        <v>2518</v>
      </c>
      <c r="G1231" s="16" t="str">
        <f aca="false">IF(INDEX(選手一覧!$D$7:$D$2738,$F1231)="","",INDEX(選手一覧!$D$7:$D$2738,$F1231))</f>
        <v/>
      </c>
      <c r="H1231" s="17" t="str">
        <f aca="false">IF(INDEX(選手一覧!$E$7:$E$2738,$F1231)="","",INDEX(選手一覧!$E$7:$E$2738,$F1231))</f>
        <v/>
      </c>
      <c r="I1231" s="16" t="str">
        <f aca="false">IF(INDEX(選手一覧!$J$7:$J$2738,$F1231)="","",INDEX(選手一覧!$J$7:$J$2738,$F1231))</f>
        <v/>
      </c>
      <c r="J1231" s="17" t="str">
        <f aca="false">IF(INDEX(選手一覧!$K$7:$K$2738,$F1231)="","",INDEX(選手一覧!$K$7:$K$2738,$F1231))</f>
        <v/>
      </c>
    </row>
    <row r="1232" customFormat="false" ht="15" hidden="false" customHeight="false" outlineLevel="0" collapsed="false">
      <c r="A1232" s="17" t="n">
        <v>1228</v>
      </c>
      <c r="B1232" s="12" t="s">
        <v>3865</v>
      </c>
      <c r="C1232" s="12" t="s">
        <v>3087</v>
      </c>
      <c r="D1232" s="16" t="n">
        <v>0.00817581018518519</v>
      </c>
      <c r="E1232" s="15" t="n">
        <f aca="false">ROUND((D1232-$D$5)*86400,2)</f>
        <v>167.37</v>
      </c>
      <c r="F1232" s="17" t="n">
        <v>2520</v>
      </c>
      <c r="G1232" s="16" t="str">
        <f aca="false">IF(INDEX(選手一覧!$D$7:$D$2738,$F1232)="","",INDEX(選手一覧!$D$7:$D$2738,$F1232))</f>
        <v/>
      </c>
      <c r="H1232" s="17" t="str">
        <f aca="false">IF(INDEX(選手一覧!$E$7:$E$2738,$F1232)="","",INDEX(選手一覧!$E$7:$E$2738,$F1232))</f>
        <v/>
      </c>
      <c r="I1232" s="16" t="str">
        <f aca="false">IF(INDEX(選手一覧!$J$7:$J$2738,$F1232)="","",INDEX(選手一覧!$J$7:$J$2738,$F1232))</f>
        <v/>
      </c>
      <c r="J1232" s="17" t="str">
        <f aca="false">IF(INDEX(選手一覧!$K$7:$K$2738,$F1232)="","",INDEX(選手一覧!$K$7:$K$2738,$F1232))</f>
        <v/>
      </c>
    </row>
    <row r="1233" customFormat="false" ht="15" hidden="false" customHeight="false" outlineLevel="0" collapsed="false">
      <c r="A1233" s="17" t="n">
        <v>1229</v>
      </c>
      <c r="B1233" s="12" t="s">
        <v>3866</v>
      </c>
      <c r="C1233" s="12" t="s">
        <v>3867</v>
      </c>
      <c r="D1233" s="16" t="n">
        <v>0.00817731481481481</v>
      </c>
      <c r="E1233" s="15" t="n">
        <f aca="false">ROUND((D1233-$D$5)*86400,2)</f>
        <v>167.5</v>
      </c>
      <c r="F1233" s="17" t="n">
        <v>2521</v>
      </c>
      <c r="G1233" s="16" t="str">
        <f aca="false">IF(INDEX(選手一覧!$D$7:$D$2738,$F1233)="","",INDEX(選手一覧!$D$7:$D$2738,$F1233))</f>
        <v/>
      </c>
      <c r="H1233" s="17" t="str">
        <f aca="false">IF(INDEX(選手一覧!$E$7:$E$2738,$F1233)="","",INDEX(選手一覧!$E$7:$E$2738,$F1233))</f>
        <v/>
      </c>
      <c r="I1233" s="16" t="str">
        <f aca="false">IF(INDEX(選手一覧!$J$7:$J$2738,$F1233)="","",INDEX(選手一覧!$J$7:$J$2738,$F1233))</f>
        <v/>
      </c>
      <c r="J1233" s="17" t="str">
        <f aca="false">IF(INDEX(選手一覧!$K$7:$K$2738,$F1233)="","",INDEX(選手一覧!$K$7:$K$2738,$F1233))</f>
        <v/>
      </c>
    </row>
    <row r="1234" customFormat="false" ht="15" hidden="false" customHeight="false" outlineLevel="0" collapsed="false">
      <c r="A1234" s="17" t="n">
        <v>1230</v>
      </c>
      <c r="B1234" s="12" t="s">
        <v>3870</v>
      </c>
      <c r="C1234" s="12" t="s">
        <v>2826</v>
      </c>
      <c r="D1234" s="16" t="n">
        <v>0.00817974537037037</v>
      </c>
      <c r="E1234" s="15" t="n">
        <f aca="false">ROUND((D1234-$D$5)*86400,2)</f>
        <v>167.71</v>
      </c>
      <c r="F1234" s="17" t="n">
        <v>2523</v>
      </c>
      <c r="G1234" s="16" t="str">
        <f aca="false">IF(INDEX(選手一覧!$D$7:$D$2738,$F1234)="","",INDEX(選手一覧!$D$7:$D$2738,$F1234))</f>
        <v/>
      </c>
      <c r="H1234" s="17" t="str">
        <f aca="false">IF(INDEX(選手一覧!$E$7:$E$2738,$F1234)="","",INDEX(選手一覧!$E$7:$E$2738,$F1234))</f>
        <v/>
      </c>
      <c r="I1234" s="16" t="str">
        <f aca="false">IF(INDEX(選手一覧!$J$7:$J$2738,$F1234)="","",INDEX(選手一覧!$J$7:$J$2738,$F1234))</f>
        <v/>
      </c>
      <c r="J1234" s="17" t="str">
        <f aca="false">IF(INDEX(選手一覧!$K$7:$K$2738,$F1234)="","",INDEX(選手一覧!$K$7:$K$2738,$F1234))</f>
        <v/>
      </c>
    </row>
    <row r="1235" customFormat="false" ht="15" hidden="false" customHeight="false" outlineLevel="0" collapsed="false">
      <c r="A1235" s="17" t="n">
        <v>1231</v>
      </c>
      <c r="B1235" s="12" t="s">
        <v>3872</v>
      </c>
      <c r="C1235" s="12" t="s">
        <v>3873</v>
      </c>
      <c r="D1235" s="16" t="n">
        <v>0.00819131944444445</v>
      </c>
      <c r="E1235" s="15" t="n">
        <f aca="false">ROUND((D1235-$D$5)*86400,2)</f>
        <v>168.71</v>
      </c>
      <c r="F1235" s="17" t="n">
        <v>2525</v>
      </c>
      <c r="G1235" s="16" t="str">
        <f aca="false">IF(INDEX(選手一覧!$D$7:$D$2738,$F1235)="","",INDEX(選手一覧!$D$7:$D$2738,$F1235))</f>
        <v/>
      </c>
      <c r="H1235" s="17" t="str">
        <f aca="false">IF(INDEX(選手一覧!$E$7:$E$2738,$F1235)="","",INDEX(選手一覧!$E$7:$E$2738,$F1235))</f>
        <v/>
      </c>
      <c r="I1235" s="16" t="str">
        <f aca="false">IF(INDEX(選手一覧!$J$7:$J$2738,$F1235)="","",INDEX(選手一覧!$J$7:$J$2738,$F1235))</f>
        <v/>
      </c>
      <c r="J1235" s="17" t="str">
        <f aca="false">IF(INDEX(選手一覧!$K$7:$K$2738,$F1235)="","",INDEX(選手一覧!$K$7:$K$2738,$F1235))</f>
        <v/>
      </c>
    </row>
    <row r="1236" customFormat="false" ht="15" hidden="false" customHeight="false" outlineLevel="0" collapsed="false">
      <c r="A1236" s="17" t="n">
        <v>1232</v>
      </c>
      <c r="B1236" s="12" t="s">
        <v>3875</v>
      </c>
      <c r="C1236" s="12" t="s">
        <v>3876</v>
      </c>
      <c r="D1236" s="16" t="n">
        <v>0.00819965277777778</v>
      </c>
      <c r="E1236" s="15" t="n">
        <f aca="false">ROUND((D1236-$D$5)*86400,2)</f>
        <v>169.43</v>
      </c>
      <c r="F1236" s="17" t="n">
        <v>2527</v>
      </c>
      <c r="G1236" s="16" t="str">
        <f aca="false">IF(INDEX(選手一覧!$D$7:$D$2738,$F1236)="","",INDEX(選手一覧!$D$7:$D$2738,$F1236))</f>
        <v/>
      </c>
      <c r="H1236" s="17" t="str">
        <f aca="false">IF(INDEX(選手一覧!$E$7:$E$2738,$F1236)="","",INDEX(選手一覧!$E$7:$E$2738,$F1236))</f>
        <v/>
      </c>
      <c r="I1236" s="16" t="str">
        <f aca="false">IF(INDEX(選手一覧!$J$7:$J$2738,$F1236)="","",INDEX(選手一覧!$J$7:$J$2738,$F1236))</f>
        <v/>
      </c>
      <c r="J1236" s="17" t="str">
        <f aca="false">IF(INDEX(選手一覧!$K$7:$K$2738,$F1236)="","",INDEX(選手一覧!$K$7:$K$2738,$F1236))</f>
        <v/>
      </c>
    </row>
    <row r="1237" customFormat="false" ht="15" hidden="false" customHeight="false" outlineLevel="0" collapsed="false">
      <c r="A1237" s="17" t="n">
        <v>1233</v>
      </c>
      <c r="B1237" s="12" t="s">
        <v>3878</v>
      </c>
      <c r="C1237" s="12" t="s">
        <v>2762</v>
      </c>
      <c r="D1237" s="16" t="n">
        <v>0.00820150462962963</v>
      </c>
      <c r="E1237" s="15" t="n">
        <f aca="false">ROUND((D1237-$D$5)*86400,2)</f>
        <v>169.59</v>
      </c>
      <c r="F1237" s="17" t="n">
        <v>2529</v>
      </c>
      <c r="G1237" s="16" t="str">
        <f aca="false">IF(INDEX(選手一覧!$D$7:$D$2738,$F1237)="","",INDEX(選手一覧!$D$7:$D$2738,$F1237))</f>
        <v/>
      </c>
      <c r="H1237" s="17" t="str">
        <f aca="false">IF(INDEX(選手一覧!$E$7:$E$2738,$F1237)="","",INDEX(選手一覧!$E$7:$E$2738,$F1237))</f>
        <v/>
      </c>
      <c r="I1237" s="16" t="str">
        <f aca="false">IF(INDEX(選手一覧!$J$7:$J$2738,$F1237)="","",INDEX(選手一覧!$J$7:$J$2738,$F1237))</f>
        <v/>
      </c>
      <c r="J1237" s="17" t="str">
        <f aca="false">IF(INDEX(選手一覧!$K$7:$K$2738,$F1237)="","",INDEX(選手一覧!$K$7:$K$2738,$F1237))</f>
        <v/>
      </c>
    </row>
    <row r="1238" customFormat="false" ht="15" hidden="false" customHeight="false" outlineLevel="0" collapsed="false">
      <c r="A1238" s="17" t="n">
        <v>1234</v>
      </c>
      <c r="B1238" s="12" t="s">
        <v>3881</v>
      </c>
      <c r="C1238" s="12" t="s">
        <v>3882</v>
      </c>
      <c r="D1238" s="16" t="n">
        <v>0.00820150462962963</v>
      </c>
      <c r="E1238" s="15" t="n">
        <f aca="false">ROUND((D1238-$D$5)*86400,2)</f>
        <v>169.59</v>
      </c>
      <c r="F1238" s="17" t="n">
        <v>2531</v>
      </c>
      <c r="G1238" s="16" t="str">
        <f aca="false">IF(INDEX(選手一覧!$D$7:$D$2738,$F1238)="","",INDEX(選手一覧!$D$7:$D$2738,$F1238))</f>
        <v/>
      </c>
      <c r="H1238" s="17" t="str">
        <f aca="false">IF(INDEX(選手一覧!$E$7:$E$2738,$F1238)="","",INDEX(選手一覧!$E$7:$E$2738,$F1238))</f>
        <v/>
      </c>
      <c r="I1238" s="16" t="str">
        <f aca="false">IF(INDEX(選手一覧!$J$7:$J$2738,$F1238)="","",INDEX(選手一覧!$J$7:$J$2738,$F1238))</f>
        <v/>
      </c>
      <c r="J1238" s="17" t="str">
        <f aca="false">IF(INDEX(選手一覧!$K$7:$K$2738,$F1238)="","",INDEX(選手一覧!$K$7:$K$2738,$F1238))</f>
        <v/>
      </c>
    </row>
    <row r="1239" customFormat="false" ht="15" hidden="false" customHeight="false" outlineLevel="0" collapsed="false">
      <c r="A1239" s="17" t="n">
        <v>1235</v>
      </c>
      <c r="B1239" s="12" t="s">
        <v>3883</v>
      </c>
      <c r="C1239" s="12" t="s">
        <v>1469</v>
      </c>
      <c r="D1239" s="16" t="n">
        <v>0.00820231481481482</v>
      </c>
      <c r="E1239" s="15" t="n">
        <f aca="false">ROUND((D1239-$D$5)*86400,2)</f>
        <v>169.66</v>
      </c>
      <c r="F1239" s="17" t="n">
        <v>2532</v>
      </c>
      <c r="G1239" s="16" t="str">
        <f aca="false">IF(INDEX(選手一覧!$D$7:$D$2738,$F1239)="","",INDEX(選手一覧!$D$7:$D$2738,$F1239))</f>
        <v/>
      </c>
      <c r="H1239" s="17" t="str">
        <f aca="false">IF(INDEX(選手一覧!$E$7:$E$2738,$F1239)="","",INDEX(選手一覧!$E$7:$E$2738,$F1239))</f>
        <v/>
      </c>
      <c r="I1239" s="16" t="str">
        <f aca="false">IF(INDEX(選手一覧!$J$7:$J$2738,$F1239)="","",INDEX(選手一覧!$J$7:$J$2738,$F1239))</f>
        <v/>
      </c>
      <c r="J1239" s="17" t="str">
        <f aca="false">IF(INDEX(選手一覧!$K$7:$K$2738,$F1239)="","",INDEX(選手一覧!$K$7:$K$2738,$F1239))</f>
        <v/>
      </c>
    </row>
    <row r="1240" customFormat="false" ht="15" hidden="false" customHeight="false" outlineLevel="0" collapsed="false">
      <c r="A1240" s="17" t="n">
        <v>1236</v>
      </c>
      <c r="B1240" s="12" t="s">
        <v>3886</v>
      </c>
      <c r="C1240" s="12" t="s">
        <v>3887</v>
      </c>
      <c r="D1240" s="16" t="n">
        <v>0.00820717592592593</v>
      </c>
      <c r="E1240" s="15" t="n">
        <f aca="false">ROUND((D1240-$D$5)*86400,2)</f>
        <v>170.08</v>
      </c>
      <c r="F1240" s="17" t="n">
        <v>2534</v>
      </c>
      <c r="G1240" s="16" t="str">
        <f aca="false">IF(INDEX(選手一覧!$D$7:$D$2738,$F1240)="","",INDEX(選手一覧!$D$7:$D$2738,$F1240))</f>
        <v/>
      </c>
      <c r="H1240" s="17" t="str">
        <f aca="false">IF(INDEX(選手一覧!$E$7:$E$2738,$F1240)="","",INDEX(選手一覧!$E$7:$E$2738,$F1240))</f>
        <v/>
      </c>
      <c r="I1240" s="16" t="str">
        <f aca="false">IF(INDEX(選手一覧!$J$7:$J$2738,$F1240)="","",INDEX(選手一覧!$J$7:$J$2738,$F1240))</f>
        <v/>
      </c>
      <c r="J1240" s="17" t="str">
        <f aca="false">IF(INDEX(選手一覧!$K$7:$K$2738,$F1240)="","",INDEX(選手一覧!$K$7:$K$2738,$F1240))</f>
        <v/>
      </c>
    </row>
    <row r="1241" customFormat="false" ht="15" hidden="false" customHeight="false" outlineLevel="0" collapsed="false">
      <c r="A1241" s="17" t="n">
        <v>1237</v>
      </c>
      <c r="B1241" s="12" t="s">
        <v>3890</v>
      </c>
      <c r="C1241" s="12" t="s">
        <v>2594</v>
      </c>
      <c r="D1241" s="16" t="n">
        <v>0.00821180555555556</v>
      </c>
      <c r="E1241" s="15" t="n">
        <f aca="false">ROUND((D1241-$D$5)*86400,2)</f>
        <v>170.48</v>
      </c>
      <c r="F1241" s="17" t="n">
        <v>2536</v>
      </c>
      <c r="G1241" s="16" t="str">
        <f aca="false">IF(INDEX(選手一覧!$D$7:$D$2738,$F1241)="","",INDEX(選手一覧!$D$7:$D$2738,$F1241))</f>
        <v/>
      </c>
      <c r="H1241" s="17" t="str">
        <f aca="false">IF(INDEX(選手一覧!$E$7:$E$2738,$F1241)="","",INDEX(選手一覧!$E$7:$E$2738,$F1241))</f>
        <v/>
      </c>
      <c r="I1241" s="16" t="str">
        <f aca="false">IF(INDEX(選手一覧!$J$7:$J$2738,$F1241)="","",INDEX(選手一覧!$J$7:$J$2738,$F1241))</f>
        <v/>
      </c>
      <c r="J1241" s="17" t="str">
        <f aca="false">IF(INDEX(選手一覧!$K$7:$K$2738,$F1241)="","",INDEX(選手一覧!$K$7:$K$2738,$F1241))</f>
        <v/>
      </c>
    </row>
    <row r="1242" customFormat="false" ht="15" hidden="false" customHeight="false" outlineLevel="0" collapsed="false">
      <c r="A1242" s="17" t="n">
        <v>1238</v>
      </c>
      <c r="B1242" s="12" t="s">
        <v>3891</v>
      </c>
      <c r="C1242" s="12" t="s">
        <v>3892</v>
      </c>
      <c r="D1242" s="16" t="n">
        <v>0.0082125</v>
      </c>
      <c r="E1242" s="15" t="n">
        <f aca="false">ROUND((D1242-$D$5)*86400,2)</f>
        <v>170.54</v>
      </c>
      <c r="F1242" s="17" t="n">
        <v>2537</v>
      </c>
      <c r="G1242" s="16" t="str">
        <f aca="false">IF(INDEX(選手一覧!$D$7:$D$2738,$F1242)="","",INDEX(選手一覧!$D$7:$D$2738,$F1242))</f>
        <v/>
      </c>
      <c r="H1242" s="17" t="str">
        <f aca="false">IF(INDEX(選手一覧!$E$7:$E$2738,$F1242)="","",INDEX(選手一覧!$E$7:$E$2738,$F1242))</f>
        <v/>
      </c>
      <c r="I1242" s="16" t="str">
        <f aca="false">IF(INDEX(選手一覧!$J$7:$J$2738,$F1242)="","",INDEX(選手一覧!$J$7:$J$2738,$F1242))</f>
        <v/>
      </c>
      <c r="J1242" s="17" t="str">
        <f aca="false">IF(INDEX(選手一覧!$K$7:$K$2738,$F1242)="","",INDEX(選手一覧!$K$7:$K$2738,$F1242))</f>
        <v/>
      </c>
    </row>
    <row r="1243" customFormat="false" ht="15" hidden="false" customHeight="false" outlineLevel="0" collapsed="false">
      <c r="A1243" s="17" t="n">
        <v>1239</v>
      </c>
      <c r="B1243" s="12" t="s">
        <v>3894</v>
      </c>
      <c r="C1243" s="12" t="s">
        <v>3895</v>
      </c>
      <c r="D1243" s="16" t="n">
        <v>0.00821261574074074</v>
      </c>
      <c r="E1243" s="15" t="n">
        <f aca="false">ROUND((D1243-$D$5)*86400,2)</f>
        <v>170.55</v>
      </c>
      <c r="F1243" s="17" t="n">
        <v>2539</v>
      </c>
      <c r="G1243" s="16" t="str">
        <f aca="false">IF(INDEX(選手一覧!$D$7:$D$2738,$F1243)="","",INDEX(選手一覧!$D$7:$D$2738,$F1243))</f>
        <v/>
      </c>
      <c r="H1243" s="17" t="str">
        <f aca="false">IF(INDEX(選手一覧!$E$7:$E$2738,$F1243)="","",INDEX(選手一覧!$E$7:$E$2738,$F1243))</f>
        <v/>
      </c>
      <c r="I1243" s="16" t="str">
        <f aca="false">IF(INDEX(選手一覧!$J$7:$J$2738,$F1243)="","",INDEX(選手一覧!$J$7:$J$2738,$F1243))</f>
        <v/>
      </c>
      <c r="J1243" s="17" t="str">
        <f aca="false">IF(INDEX(選手一覧!$K$7:$K$2738,$F1243)="","",INDEX(選手一覧!$K$7:$K$2738,$F1243))</f>
        <v/>
      </c>
    </row>
    <row r="1244" customFormat="false" ht="15" hidden="false" customHeight="false" outlineLevel="0" collapsed="false">
      <c r="A1244" s="17" t="n">
        <v>1240</v>
      </c>
      <c r="B1244" s="12" t="s">
        <v>3896</v>
      </c>
      <c r="C1244" s="12" t="s">
        <v>3897</v>
      </c>
      <c r="D1244" s="16" t="n">
        <v>0.00821331018518519</v>
      </c>
      <c r="E1244" s="15" t="n">
        <f aca="false">ROUND((D1244-$D$5)*86400,2)</f>
        <v>170.61</v>
      </c>
      <c r="F1244" s="17" t="n">
        <v>2540</v>
      </c>
      <c r="G1244" s="16" t="str">
        <f aca="false">IF(INDEX(選手一覧!$D$7:$D$2738,$F1244)="","",INDEX(選手一覧!$D$7:$D$2738,$F1244))</f>
        <v/>
      </c>
      <c r="H1244" s="17" t="str">
        <f aca="false">IF(INDEX(選手一覧!$E$7:$E$2738,$F1244)="","",INDEX(選手一覧!$E$7:$E$2738,$F1244))</f>
        <v/>
      </c>
      <c r="I1244" s="16" t="str">
        <f aca="false">IF(INDEX(選手一覧!$J$7:$J$2738,$F1244)="","",INDEX(選手一覧!$J$7:$J$2738,$F1244))</f>
        <v/>
      </c>
      <c r="J1244" s="17" t="str">
        <f aca="false">IF(INDEX(選手一覧!$K$7:$K$2738,$F1244)="","",INDEX(選手一覧!$K$7:$K$2738,$F1244))</f>
        <v/>
      </c>
    </row>
    <row r="1245" customFormat="false" ht="15" hidden="false" customHeight="false" outlineLevel="0" collapsed="false">
      <c r="A1245" s="17" t="n">
        <v>1241</v>
      </c>
      <c r="B1245" s="12" t="s">
        <v>3899</v>
      </c>
      <c r="C1245" s="12" t="s">
        <v>3900</v>
      </c>
      <c r="D1245" s="16" t="n">
        <v>0.00821377314814815</v>
      </c>
      <c r="E1245" s="15" t="n">
        <f aca="false">ROUND((D1245-$D$5)*86400,2)</f>
        <v>170.65</v>
      </c>
      <c r="F1245" s="17" t="n">
        <v>2542</v>
      </c>
      <c r="G1245" s="16" t="str">
        <f aca="false">IF(INDEX(選手一覧!$D$7:$D$2738,$F1245)="","",INDEX(選手一覧!$D$7:$D$2738,$F1245))</f>
        <v/>
      </c>
      <c r="H1245" s="17" t="str">
        <f aca="false">IF(INDEX(選手一覧!$E$7:$E$2738,$F1245)="","",INDEX(選手一覧!$E$7:$E$2738,$F1245))</f>
        <v/>
      </c>
      <c r="I1245" s="16" t="str">
        <f aca="false">IF(INDEX(選手一覧!$J$7:$J$2738,$F1245)="","",INDEX(選手一覧!$J$7:$J$2738,$F1245))</f>
        <v/>
      </c>
      <c r="J1245" s="17" t="str">
        <f aca="false">IF(INDEX(選手一覧!$K$7:$K$2738,$F1245)="","",INDEX(選手一覧!$K$7:$K$2738,$F1245))</f>
        <v/>
      </c>
    </row>
    <row r="1246" customFormat="false" ht="15" hidden="false" customHeight="false" outlineLevel="0" collapsed="false">
      <c r="A1246" s="17" t="n">
        <v>1242</v>
      </c>
      <c r="B1246" s="12" t="s">
        <v>3902</v>
      </c>
      <c r="C1246" s="12" t="s">
        <v>2524</v>
      </c>
      <c r="D1246" s="16" t="n">
        <v>0.00822893518518519</v>
      </c>
      <c r="E1246" s="15" t="n">
        <f aca="false">ROUND((D1246-$D$5)*86400,2)</f>
        <v>171.96</v>
      </c>
      <c r="F1246" s="17" t="n">
        <v>2544</v>
      </c>
      <c r="G1246" s="16" t="str">
        <f aca="false">IF(INDEX(選手一覧!$D$7:$D$2738,$F1246)="","",INDEX(選手一覧!$D$7:$D$2738,$F1246))</f>
        <v/>
      </c>
      <c r="H1246" s="17" t="str">
        <f aca="false">IF(INDEX(選手一覧!$E$7:$E$2738,$F1246)="","",INDEX(選手一覧!$E$7:$E$2738,$F1246))</f>
        <v/>
      </c>
      <c r="I1246" s="16" t="str">
        <f aca="false">IF(INDEX(選手一覧!$J$7:$J$2738,$F1246)="","",INDEX(選手一覧!$J$7:$J$2738,$F1246))</f>
        <v/>
      </c>
      <c r="J1246" s="17" t="str">
        <f aca="false">IF(INDEX(選手一覧!$K$7:$K$2738,$F1246)="","",INDEX(選手一覧!$K$7:$K$2738,$F1246))</f>
        <v/>
      </c>
    </row>
    <row r="1247" customFormat="false" ht="15" hidden="false" customHeight="false" outlineLevel="0" collapsed="false">
      <c r="A1247" s="17" t="n">
        <v>1243</v>
      </c>
      <c r="B1247" s="12" t="s">
        <v>3905</v>
      </c>
      <c r="C1247" s="12" t="s">
        <v>3756</v>
      </c>
      <c r="D1247" s="16" t="n">
        <v>0.00823472222222222</v>
      </c>
      <c r="E1247" s="15" t="n">
        <f aca="false">ROUND((D1247-$D$5)*86400,2)</f>
        <v>172.46</v>
      </c>
      <c r="F1247" s="17" t="n">
        <v>2546</v>
      </c>
      <c r="G1247" s="16" t="str">
        <f aca="false">IF(INDEX(選手一覧!$D$7:$D$2738,$F1247)="","",INDEX(選手一覧!$D$7:$D$2738,$F1247))</f>
        <v/>
      </c>
      <c r="H1247" s="17" t="str">
        <f aca="false">IF(INDEX(選手一覧!$E$7:$E$2738,$F1247)="","",INDEX(選手一覧!$E$7:$E$2738,$F1247))</f>
        <v/>
      </c>
      <c r="I1247" s="16" t="str">
        <f aca="false">IF(INDEX(選手一覧!$J$7:$J$2738,$F1247)="","",INDEX(選手一覧!$J$7:$J$2738,$F1247))</f>
        <v/>
      </c>
      <c r="J1247" s="17" t="str">
        <f aca="false">IF(INDEX(選手一覧!$K$7:$K$2738,$F1247)="","",INDEX(選手一覧!$K$7:$K$2738,$F1247))</f>
        <v/>
      </c>
    </row>
    <row r="1248" customFormat="false" ht="15" hidden="false" customHeight="false" outlineLevel="0" collapsed="false">
      <c r="A1248" s="17" t="n">
        <v>1244</v>
      </c>
      <c r="B1248" s="12" t="s">
        <v>3053</v>
      </c>
      <c r="C1248" s="12" t="s">
        <v>2114</v>
      </c>
      <c r="D1248" s="16" t="n">
        <v>0.00825486111111111</v>
      </c>
      <c r="E1248" s="15" t="n">
        <f aca="false">ROUND((D1248-$D$5)*86400,2)</f>
        <v>174.2</v>
      </c>
      <c r="F1248" s="17" t="n">
        <v>1967</v>
      </c>
      <c r="G1248" s="16" t="str">
        <f aca="false">IF(INDEX(選手一覧!$D$7:$D$2738,$F1248)="","",INDEX(選手一覧!$D$7:$D$2738,$F1248))</f>
        <v/>
      </c>
      <c r="H1248" s="17" t="str">
        <f aca="false">IF(INDEX(選手一覧!$E$7:$E$2738,$F1248)="","",INDEX(選手一覧!$E$7:$E$2738,$F1248))</f>
        <v/>
      </c>
      <c r="I1248" s="16" t="n">
        <f aca="false">IF(INDEX(選手一覧!$J$7:$J$2738,$F1248)="","",INDEX(選手一覧!$J$7:$J$2738,$F1248))</f>
        <v>0.00288657407407407</v>
      </c>
      <c r="J1248" s="17" t="n">
        <f aca="false">IF(INDEX(選手一覧!$K$7:$K$2738,$F1248)="","",INDEX(選手一覧!$K$7:$K$2738,$F1248))</f>
        <v>827</v>
      </c>
    </row>
    <row r="1249" customFormat="false" ht="15" hidden="false" customHeight="false" outlineLevel="0" collapsed="false">
      <c r="A1249" s="17" t="n">
        <v>1245</v>
      </c>
      <c r="B1249" s="12" t="s">
        <v>3906</v>
      </c>
      <c r="C1249" s="12" t="s">
        <v>1151</v>
      </c>
      <c r="D1249" s="16" t="n">
        <v>0.00826087962962963</v>
      </c>
      <c r="E1249" s="15" t="n">
        <f aca="false">ROUND((D1249-$D$5)*86400,2)</f>
        <v>174.72</v>
      </c>
      <c r="F1249" s="17" t="n">
        <v>2547</v>
      </c>
      <c r="G1249" s="16" t="str">
        <f aca="false">IF(INDEX(選手一覧!$D$7:$D$2738,$F1249)="","",INDEX(選手一覧!$D$7:$D$2738,$F1249))</f>
        <v/>
      </c>
      <c r="H1249" s="17" t="str">
        <f aca="false">IF(INDEX(選手一覧!$E$7:$E$2738,$F1249)="","",INDEX(選手一覧!$E$7:$E$2738,$F1249))</f>
        <v/>
      </c>
      <c r="I1249" s="16" t="str">
        <f aca="false">IF(INDEX(選手一覧!$J$7:$J$2738,$F1249)="","",INDEX(選手一覧!$J$7:$J$2738,$F1249))</f>
        <v/>
      </c>
      <c r="J1249" s="17" t="str">
        <f aca="false">IF(INDEX(選手一覧!$K$7:$K$2738,$F1249)="","",INDEX(選手一覧!$K$7:$K$2738,$F1249))</f>
        <v/>
      </c>
    </row>
    <row r="1250" customFormat="false" ht="15" hidden="false" customHeight="false" outlineLevel="0" collapsed="false">
      <c r="A1250" s="17" t="n">
        <v>1246</v>
      </c>
      <c r="B1250" s="12" t="s">
        <v>3909</v>
      </c>
      <c r="C1250" s="12" t="s">
        <v>1151</v>
      </c>
      <c r="D1250" s="16" t="n">
        <v>0.00826087962962963</v>
      </c>
      <c r="E1250" s="15" t="n">
        <f aca="false">ROUND((D1250-$D$5)*86400,2)</f>
        <v>174.72</v>
      </c>
      <c r="F1250" s="17" t="n">
        <v>2549</v>
      </c>
      <c r="G1250" s="16" t="str">
        <f aca="false">IF(INDEX(選手一覧!$D$7:$D$2738,$F1250)="","",INDEX(選手一覧!$D$7:$D$2738,$F1250))</f>
        <v/>
      </c>
      <c r="H1250" s="17" t="str">
        <f aca="false">IF(INDEX(選手一覧!$E$7:$E$2738,$F1250)="","",INDEX(選手一覧!$E$7:$E$2738,$F1250))</f>
        <v/>
      </c>
      <c r="I1250" s="16" t="str">
        <f aca="false">IF(INDEX(選手一覧!$J$7:$J$2738,$F1250)="","",INDEX(選手一覧!$J$7:$J$2738,$F1250))</f>
        <v/>
      </c>
      <c r="J1250" s="17" t="str">
        <f aca="false">IF(INDEX(選手一覧!$K$7:$K$2738,$F1250)="","",INDEX(選手一覧!$K$7:$K$2738,$F1250))</f>
        <v/>
      </c>
    </row>
    <row r="1251" customFormat="false" ht="15" hidden="false" customHeight="false" outlineLevel="0" collapsed="false">
      <c r="A1251" s="17" t="n">
        <v>1247</v>
      </c>
      <c r="B1251" s="12" t="s">
        <v>3911</v>
      </c>
      <c r="C1251" s="12" t="s">
        <v>3912</v>
      </c>
      <c r="D1251" s="16" t="n">
        <v>0.00826678240740741</v>
      </c>
      <c r="E1251" s="15" t="n">
        <f aca="false">ROUND((D1251-$D$5)*86400,2)</f>
        <v>175.23</v>
      </c>
      <c r="F1251" s="17" t="n">
        <v>2551</v>
      </c>
      <c r="G1251" s="16" t="str">
        <f aca="false">IF(INDEX(選手一覧!$D$7:$D$2738,$F1251)="","",INDEX(選手一覧!$D$7:$D$2738,$F1251))</f>
        <v/>
      </c>
      <c r="H1251" s="17" t="str">
        <f aca="false">IF(INDEX(選手一覧!$E$7:$E$2738,$F1251)="","",INDEX(選手一覧!$E$7:$E$2738,$F1251))</f>
        <v/>
      </c>
      <c r="I1251" s="16" t="str">
        <f aca="false">IF(INDEX(選手一覧!$J$7:$J$2738,$F1251)="","",INDEX(選手一覧!$J$7:$J$2738,$F1251))</f>
        <v/>
      </c>
      <c r="J1251" s="17" t="str">
        <f aca="false">IF(INDEX(選手一覧!$K$7:$K$2738,$F1251)="","",INDEX(選手一覧!$K$7:$K$2738,$F1251))</f>
        <v/>
      </c>
    </row>
    <row r="1252" customFormat="false" ht="15" hidden="false" customHeight="false" outlineLevel="0" collapsed="false">
      <c r="A1252" s="17" t="n">
        <v>1248</v>
      </c>
      <c r="B1252" s="12" t="s">
        <v>3914</v>
      </c>
      <c r="C1252" s="12" t="s">
        <v>2945</v>
      </c>
      <c r="D1252" s="16" t="n">
        <v>0.00828194444444444</v>
      </c>
      <c r="E1252" s="15" t="n">
        <f aca="false">ROUND((D1252-$D$5)*86400,2)</f>
        <v>176.54</v>
      </c>
      <c r="F1252" s="17" t="n">
        <v>2553</v>
      </c>
      <c r="G1252" s="16" t="str">
        <f aca="false">IF(INDEX(選手一覧!$D$7:$D$2738,$F1252)="","",INDEX(選手一覧!$D$7:$D$2738,$F1252))</f>
        <v/>
      </c>
      <c r="H1252" s="17" t="str">
        <f aca="false">IF(INDEX(選手一覧!$E$7:$E$2738,$F1252)="","",INDEX(選手一覧!$E$7:$E$2738,$F1252))</f>
        <v/>
      </c>
      <c r="I1252" s="16" t="str">
        <f aca="false">IF(INDEX(選手一覧!$J$7:$J$2738,$F1252)="","",INDEX(選手一覧!$J$7:$J$2738,$F1252))</f>
        <v/>
      </c>
      <c r="J1252" s="17" t="str">
        <f aca="false">IF(INDEX(選手一覧!$K$7:$K$2738,$F1252)="","",INDEX(選手一覧!$K$7:$K$2738,$F1252))</f>
        <v/>
      </c>
    </row>
    <row r="1253" customFormat="false" ht="15" hidden="false" customHeight="false" outlineLevel="0" collapsed="false">
      <c r="A1253" s="17" t="n">
        <v>1249</v>
      </c>
      <c r="B1253" s="12" t="s">
        <v>3915</v>
      </c>
      <c r="C1253" s="12" t="s">
        <v>3018</v>
      </c>
      <c r="D1253" s="16" t="n">
        <v>0.00828912037037037</v>
      </c>
      <c r="E1253" s="15" t="n">
        <f aca="false">ROUND((D1253-$D$5)*86400,2)</f>
        <v>177.16</v>
      </c>
      <c r="F1253" s="17" t="n">
        <v>2554</v>
      </c>
      <c r="G1253" s="16" t="str">
        <f aca="false">IF(INDEX(選手一覧!$D$7:$D$2738,$F1253)="","",INDEX(選手一覧!$D$7:$D$2738,$F1253))</f>
        <v/>
      </c>
      <c r="H1253" s="17" t="str">
        <f aca="false">IF(INDEX(選手一覧!$E$7:$E$2738,$F1253)="","",INDEX(選手一覧!$E$7:$E$2738,$F1253))</f>
        <v/>
      </c>
      <c r="I1253" s="16" t="str">
        <f aca="false">IF(INDEX(選手一覧!$J$7:$J$2738,$F1253)="","",INDEX(選手一覧!$J$7:$J$2738,$F1253))</f>
        <v/>
      </c>
      <c r="J1253" s="17" t="str">
        <f aca="false">IF(INDEX(選手一覧!$K$7:$K$2738,$F1253)="","",INDEX(選手一覧!$K$7:$K$2738,$F1253))</f>
        <v/>
      </c>
    </row>
    <row r="1254" customFormat="false" ht="15" hidden="false" customHeight="false" outlineLevel="0" collapsed="false">
      <c r="A1254" s="17" t="n">
        <v>1250</v>
      </c>
      <c r="B1254" s="12" t="s">
        <v>3917</v>
      </c>
      <c r="C1254" s="12" t="s">
        <v>3918</v>
      </c>
      <c r="D1254" s="16" t="n">
        <v>0.00829201388888889</v>
      </c>
      <c r="E1254" s="15" t="n">
        <f aca="false">ROUND((D1254-$D$5)*86400,2)</f>
        <v>177.41</v>
      </c>
      <c r="F1254" s="17" t="n">
        <v>2556</v>
      </c>
      <c r="G1254" s="16" t="str">
        <f aca="false">IF(INDEX(選手一覧!$D$7:$D$2738,$F1254)="","",INDEX(選手一覧!$D$7:$D$2738,$F1254))</f>
        <v/>
      </c>
      <c r="H1254" s="17" t="str">
        <f aca="false">IF(INDEX(選手一覧!$E$7:$E$2738,$F1254)="","",INDEX(選手一覧!$E$7:$E$2738,$F1254))</f>
        <v/>
      </c>
      <c r="I1254" s="16" t="str">
        <f aca="false">IF(INDEX(選手一覧!$J$7:$J$2738,$F1254)="","",INDEX(選手一覧!$J$7:$J$2738,$F1254))</f>
        <v/>
      </c>
      <c r="J1254" s="17" t="str">
        <f aca="false">IF(INDEX(選手一覧!$K$7:$K$2738,$F1254)="","",INDEX(選手一覧!$K$7:$K$2738,$F1254))</f>
        <v/>
      </c>
    </row>
    <row r="1255" customFormat="false" ht="15" hidden="false" customHeight="false" outlineLevel="0" collapsed="false">
      <c r="A1255" s="17" t="n">
        <v>1251</v>
      </c>
      <c r="B1255" s="12" t="s">
        <v>3920</v>
      </c>
      <c r="C1255" s="12" t="s">
        <v>3921</v>
      </c>
      <c r="D1255" s="16" t="n">
        <v>0.00829212962962963</v>
      </c>
      <c r="E1255" s="15" t="n">
        <f aca="false">ROUND((D1255-$D$5)*86400,2)</f>
        <v>177.42</v>
      </c>
      <c r="F1255" s="17" t="n">
        <v>2558</v>
      </c>
      <c r="G1255" s="16" t="str">
        <f aca="false">IF(INDEX(選手一覧!$D$7:$D$2738,$F1255)="","",INDEX(選手一覧!$D$7:$D$2738,$F1255))</f>
        <v/>
      </c>
      <c r="H1255" s="17" t="str">
        <f aca="false">IF(INDEX(選手一覧!$E$7:$E$2738,$F1255)="","",INDEX(選手一覧!$E$7:$E$2738,$F1255))</f>
        <v/>
      </c>
      <c r="I1255" s="16" t="str">
        <f aca="false">IF(INDEX(選手一覧!$J$7:$J$2738,$F1255)="","",INDEX(選手一覧!$J$7:$J$2738,$F1255))</f>
        <v/>
      </c>
      <c r="J1255" s="17" t="str">
        <f aca="false">IF(INDEX(選手一覧!$K$7:$K$2738,$F1255)="","",INDEX(選手一覧!$K$7:$K$2738,$F1255))</f>
        <v/>
      </c>
    </row>
    <row r="1256" customFormat="false" ht="15" hidden="false" customHeight="false" outlineLevel="0" collapsed="false">
      <c r="A1256" s="17" t="n">
        <v>1252</v>
      </c>
      <c r="B1256" s="12" t="s">
        <v>3922</v>
      </c>
      <c r="C1256" s="12" t="s">
        <v>3923</v>
      </c>
      <c r="D1256" s="16" t="n">
        <v>0.00829351851851852</v>
      </c>
      <c r="E1256" s="15" t="n">
        <f aca="false">ROUND((D1256-$D$5)*86400,2)</f>
        <v>177.54</v>
      </c>
      <c r="F1256" s="17" t="n">
        <v>2559</v>
      </c>
      <c r="G1256" s="16" t="str">
        <f aca="false">IF(INDEX(選手一覧!$D$7:$D$2738,$F1256)="","",INDEX(選手一覧!$D$7:$D$2738,$F1256))</f>
        <v/>
      </c>
      <c r="H1256" s="17" t="str">
        <f aca="false">IF(INDEX(選手一覧!$E$7:$E$2738,$F1256)="","",INDEX(選手一覧!$E$7:$E$2738,$F1256))</f>
        <v/>
      </c>
      <c r="I1256" s="16" t="str">
        <f aca="false">IF(INDEX(選手一覧!$J$7:$J$2738,$F1256)="","",INDEX(選手一覧!$J$7:$J$2738,$F1256))</f>
        <v/>
      </c>
      <c r="J1256" s="17" t="str">
        <f aca="false">IF(INDEX(選手一覧!$K$7:$K$2738,$F1256)="","",INDEX(選手一覧!$K$7:$K$2738,$F1256))</f>
        <v/>
      </c>
    </row>
    <row r="1257" customFormat="false" ht="15" hidden="false" customHeight="false" outlineLevel="0" collapsed="false">
      <c r="A1257" s="17" t="n">
        <v>1253</v>
      </c>
      <c r="B1257" s="12" t="s">
        <v>3924</v>
      </c>
      <c r="C1257" s="12" t="s">
        <v>236</v>
      </c>
      <c r="D1257" s="16" t="n">
        <v>0.00829710648148148</v>
      </c>
      <c r="E1257" s="15" t="n">
        <f aca="false">ROUND((D1257-$D$5)*86400,2)</f>
        <v>177.85</v>
      </c>
      <c r="F1257" s="17" t="n">
        <v>2560</v>
      </c>
      <c r="G1257" s="16" t="str">
        <f aca="false">IF(INDEX(選手一覧!$D$7:$D$2738,$F1257)="","",INDEX(選手一覧!$D$7:$D$2738,$F1257))</f>
        <v/>
      </c>
      <c r="H1257" s="17" t="str">
        <f aca="false">IF(INDEX(選手一覧!$E$7:$E$2738,$F1257)="","",INDEX(選手一覧!$E$7:$E$2738,$F1257))</f>
        <v/>
      </c>
      <c r="I1257" s="16" t="str">
        <f aca="false">IF(INDEX(選手一覧!$J$7:$J$2738,$F1257)="","",INDEX(選手一覧!$J$7:$J$2738,$F1257))</f>
        <v/>
      </c>
      <c r="J1257" s="17" t="str">
        <f aca="false">IF(INDEX(選手一覧!$K$7:$K$2738,$F1257)="","",INDEX(選手一覧!$K$7:$K$2738,$F1257))</f>
        <v/>
      </c>
    </row>
    <row r="1258" customFormat="false" ht="15" hidden="false" customHeight="false" outlineLevel="0" collapsed="false">
      <c r="A1258" s="17" t="n">
        <v>1254</v>
      </c>
      <c r="B1258" s="12" t="s">
        <v>3927</v>
      </c>
      <c r="C1258" s="12" t="s">
        <v>2704</v>
      </c>
      <c r="D1258" s="16" t="n">
        <v>0.00830578703703704</v>
      </c>
      <c r="E1258" s="15" t="n">
        <f aca="false">ROUND((D1258-$D$5)*86400,2)</f>
        <v>178.6</v>
      </c>
      <c r="F1258" s="17" t="n">
        <v>2562</v>
      </c>
      <c r="G1258" s="16" t="str">
        <f aca="false">IF(INDEX(選手一覧!$D$7:$D$2738,$F1258)="","",INDEX(選手一覧!$D$7:$D$2738,$F1258))</f>
        <v/>
      </c>
      <c r="H1258" s="17" t="str">
        <f aca="false">IF(INDEX(選手一覧!$E$7:$E$2738,$F1258)="","",INDEX(選手一覧!$E$7:$E$2738,$F1258))</f>
        <v/>
      </c>
      <c r="I1258" s="16" t="str">
        <f aca="false">IF(INDEX(選手一覧!$J$7:$J$2738,$F1258)="","",INDEX(選手一覧!$J$7:$J$2738,$F1258))</f>
        <v/>
      </c>
      <c r="J1258" s="17" t="str">
        <f aca="false">IF(INDEX(選手一覧!$K$7:$K$2738,$F1258)="","",INDEX(選手一覧!$K$7:$K$2738,$F1258))</f>
        <v/>
      </c>
    </row>
    <row r="1259" customFormat="false" ht="15" hidden="false" customHeight="false" outlineLevel="0" collapsed="false">
      <c r="A1259" s="17" t="n">
        <v>1255</v>
      </c>
      <c r="B1259" s="12" t="s">
        <v>3928</v>
      </c>
      <c r="C1259" s="12" t="s">
        <v>3929</v>
      </c>
      <c r="D1259" s="16" t="n">
        <v>0.00830706018518519</v>
      </c>
      <c r="E1259" s="15" t="n">
        <f aca="false">ROUND((D1259-$D$5)*86400,2)</f>
        <v>178.71</v>
      </c>
      <c r="F1259" s="17" t="n">
        <v>2563</v>
      </c>
      <c r="G1259" s="16" t="str">
        <f aca="false">IF(INDEX(選手一覧!$D$7:$D$2738,$F1259)="","",INDEX(選手一覧!$D$7:$D$2738,$F1259))</f>
        <v/>
      </c>
      <c r="H1259" s="17" t="str">
        <f aca="false">IF(INDEX(選手一覧!$E$7:$E$2738,$F1259)="","",INDEX(選手一覧!$E$7:$E$2738,$F1259))</f>
        <v/>
      </c>
      <c r="I1259" s="16" t="str">
        <f aca="false">IF(INDEX(選手一覧!$J$7:$J$2738,$F1259)="","",INDEX(選手一覧!$J$7:$J$2738,$F1259))</f>
        <v/>
      </c>
      <c r="J1259" s="17" t="str">
        <f aca="false">IF(INDEX(選手一覧!$K$7:$K$2738,$F1259)="","",INDEX(選手一覧!$K$7:$K$2738,$F1259))</f>
        <v/>
      </c>
    </row>
    <row r="1260" customFormat="false" ht="15" hidden="false" customHeight="false" outlineLevel="0" collapsed="false">
      <c r="A1260" s="17" t="n">
        <v>1256</v>
      </c>
      <c r="B1260" s="12" t="s">
        <v>3931</v>
      </c>
      <c r="C1260" s="12" t="s">
        <v>161</v>
      </c>
      <c r="D1260" s="16" t="n">
        <v>0.00830821759259259</v>
      </c>
      <c r="E1260" s="15" t="n">
        <f aca="false">ROUND((D1260-$D$5)*86400,2)</f>
        <v>178.81</v>
      </c>
      <c r="F1260" s="17" t="n">
        <v>2565</v>
      </c>
      <c r="G1260" s="16" t="str">
        <f aca="false">IF(INDEX(選手一覧!$D$7:$D$2738,$F1260)="","",INDEX(選手一覧!$D$7:$D$2738,$F1260))</f>
        <v/>
      </c>
      <c r="H1260" s="17" t="str">
        <f aca="false">IF(INDEX(選手一覧!$E$7:$E$2738,$F1260)="","",INDEX(選手一覧!$E$7:$E$2738,$F1260))</f>
        <v/>
      </c>
      <c r="I1260" s="16" t="str">
        <f aca="false">IF(INDEX(選手一覧!$J$7:$J$2738,$F1260)="","",INDEX(選手一覧!$J$7:$J$2738,$F1260))</f>
        <v/>
      </c>
      <c r="J1260" s="17" t="str">
        <f aca="false">IF(INDEX(選手一覧!$K$7:$K$2738,$F1260)="","",INDEX(選手一覧!$K$7:$K$2738,$F1260))</f>
        <v/>
      </c>
    </row>
    <row r="1261" customFormat="false" ht="15" hidden="false" customHeight="false" outlineLevel="0" collapsed="false">
      <c r="A1261" s="17" t="n">
        <v>1257</v>
      </c>
      <c r="B1261" s="12" t="s">
        <v>3933</v>
      </c>
      <c r="C1261" s="12" t="s">
        <v>1127</v>
      </c>
      <c r="D1261" s="16" t="n">
        <v>0.00832083333333333</v>
      </c>
      <c r="E1261" s="15" t="n">
        <f aca="false">ROUND((D1261-$D$5)*86400,2)</f>
        <v>179.9</v>
      </c>
      <c r="F1261" s="17" t="n">
        <v>2567</v>
      </c>
      <c r="G1261" s="16" t="str">
        <f aca="false">IF(INDEX(選手一覧!$D$7:$D$2738,$F1261)="","",INDEX(選手一覧!$D$7:$D$2738,$F1261))</f>
        <v/>
      </c>
      <c r="H1261" s="17" t="str">
        <f aca="false">IF(INDEX(選手一覧!$E$7:$E$2738,$F1261)="","",INDEX(選手一覧!$E$7:$E$2738,$F1261))</f>
        <v/>
      </c>
      <c r="I1261" s="16" t="str">
        <f aca="false">IF(INDEX(選手一覧!$J$7:$J$2738,$F1261)="","",INDEX(選手一覧!$J$7:$J$2738,$F1261))</f>
        <v/>
      </c>
      <c r="J1261" s="17" t="str">
        <f aca="false">IF(INDEX(選手一覧!$K$7:$K$2738,$F1261)="","",INDEX(選手一覧!$K$7:$K$2738,$F1261))</f>
        <v/>
      </c>
    </row>
    <row r="1262" customFormat="false" ht="15" hidden="false" customHeight="false" outlineLevel="0" collapsed="false">
      <c r="A1262" s="17" t="n">
        <v>1258</v>
      </c>
      <c r="B1262" s="12" t="s">
        <v>3934</v>
      </c>
      <c r="C1262" s="12" t="s">
        <v>3935</v>
      </c>
      <c r="D1262" s="16" t="n">
        <v>0.00832164351851852</v>
      </c>
      <c r="E1262" s="15" t="n">
        <f aca="false">ROUND((D1262-$D$5)*86400,2)</f>
        <v>179.97</v>
      </c>
      <c r="F1262" s="17" t="n">
        <v>2568</v>
      </c>
      <c r="G1262" s="16" t="str">
        <f aca="false">IF(INDEX(選手一覧!$D$7:$D$2738,$F1262)="","",INDEX(選手一覧!$D$7:$D$2738,$F1262))</f>
        <v/>
      </c>
      <c r="H1262" s="17" t="str">
        <f aca="false">IF(INDEX(選手一覧!$E$7:$E$2738,$F1262)="","",INDEX(選手一覧!$E$7:$E$2738,$F1262))</f>
        <v/>
      </c>
      <c r="I1262" s="16" t="str">
        <f aca="false">IF(INDEX(選手一覧!$J$7:$J$2738,$F1262)="","",INDEX(選手一覧!$J$7:$J$2738,$F1262))</f>
        <v/>
      </c>
      <c r="J1262" s="17" t="str">
        <f aca="false">IF(INDEX(選手一覧!$K$7:$K$2738,$F1262)="","",INDEX(選手一覧!$K$7:$K$2738,$F1262))</f>
        <v/>
      </c>
    </row>
    <row r="1263" customFormat="false" ht="15" hidden="false" customHeight="false" outlineLevel="0" collapsed="false">
      <c r="A1263" s="17" t="n">
        <v>1259</v>
      </c>
      <c r="B1263" s="12" t="s">
        <v>3936</v>
      </c>
      <c r="C1263" s="12" t="s">
        <v>3882</v>
      </c>
      <c r="D1263" s="16" t="n">
        <v>0.00832314814814815</v>
      </c>
      <c r="E1263" s="15" t="n">
        <f aca="false">ROUND((D1263-$D$5)*86400,2)</f>
        <v>180.1</v>
      </c>
      <c r="F1263" s="17" t="n">
        <v>2569</v>
      </c>
      <c r="G1263" s="16" t="str">
        <f aca="false">IF(INDEX(選手一覧!$D$7:$D$2738,$F1263)="","",INDEX(選手一覧!$D$7:$D$2738,$F1263))</f>
        <v/>
      </c>
      <c r="H1263" s="17" t="str">
        <f aca="false">IF(INDEX(選手一覧!$E$7:$E$2738,$F1263)="","",INDEX(選手一覧!$E$7:$E$2738,$F1263))</f>
        <v/>
      </c>
      <c r="I1263" s="16" t="str">
        <f aca="false">IF(INDEX(選手一覧!$J$7:$J$2738,$F1263)="","",INDEX(選手一覧!$J$7:$J$2738,$F1263))</f>
        <v/>
      </c>
      <c r="J1263" s="17" t="str">
        <f aca="false">IF(INDEX(選手一覧!$K$7:$K$2738,$F1263)="","",INDEX(選手一覧!$K$7:$K$2738,$F1263))</f>
        <v/>
      </c>
    </row>
    <row r="1264" customFormat="false" ht="15" hidden="false" customHeight="false" outlineLevel="0" collapsed="false">
      <c r="A1264" s="17" t="n">
        <v>1260</v>
      </c>
      <c r="B1264" s="12" t="s">
        <v>3937</v>
      </c>
      <c r="C1264" s="12" t="s">
        <v>1540</v>
      </c>
      <c r="D1264" s="16" t="n">
        <v>0.00833148148148148</v>
      </c>
      <c r="E1264" s="15" t="n">
        <f aca="false">ROUND((D1264-$D$5)*86400,2)</f>
        <v>180.82</v>
      </c>
      <c r="F1264" s="17" t="n">
        <v>2570</v>
      </c>
      <c r="G1264" s="16" t="str">
        <f aca="false">IF(INDEX(選手一覧!$D$7:$D$2738,$F1264)="","",INDEX(選手一覧!$D$7:$D$2738,$F1264))</f>
        <v/>
      </c>
      <c r="H1264" s="17" t="str">
        <f aca="false">IF(INDEX(選手一覧!$E$7:$E$2738,$F1264)="","",INDEX(選手一覧!$E$7:$E$2738,$F1264))</f>
        <v/>
      </c>
      <c r="I1264" s="16" t="str">
        <f aca="false">IF(INDEX(選手一覧!$J$7:$J$2738,$F1264)="","",INDEX(選手一覧!$J$7:$J$2738,$F1264))</f>
        <v/>
      </c>
      <c r="J1264" s="17" t="str">
        <f aca="false">IF(INDEX(選手一覧!$K$7:$K$2738,$F1264)="","",INDEX(選手一覧!$K$7:$K$2738,$F1264))</f>
        <v/>
      </c>
    </row>
    <row r="1265" customFormat="false" ht="15" hidden="false" customHeight="false" outlineLevel="0" collapsed="false">
      <c r="A1265" s="17" t="n">
        <v>1261</v>
      </c>
      <c r="B1265" s="12" t="s">
        <v>3939</v>
      </c>
      <c r="C1265" s="12" t="s">
        <v>1494</v>
      </c>
      <c r="D1265" s="16" t="n">
        <v>0.00833194444444444</v>
      </c>
      <c r="E1265" s="15" t="n">
        <f aca="false">ROUND((D1265-$D$5)*86400,2)</f>
        <v>180.86</v>
      </c>
      <c r="F1265" s="17" t="n">
        <v>2572</v>
      </c>
      <c r="G1265" s="16" t="str">
        <f aca="false">IF(INDEX(選手一覧!$D$7:$D$2738,$F1265)="","",INDEX(選手一覧!$D$7:$D$2738,$F1265))</f>
        <v/>
      </c>
      <c r="H1265" s="17" t="str">
        <f aca="false">IF(INDEX(選手一覧!$E$7:$E$2738,$F1265)="","",INDEX(選手一覧!$E$7:$E$2738,$F1265))</f>
        <v/>
      </c>
      <c r="I1265" s="16" t="str">
        <f aca="false">IF(INDEX(選手一覧!$J$7:$J$2738,$F1265)="","",INDEX(選手一覧!$J$7:$J$2738,$F1265))</f>
        <v/>
      </c>
      <c r="J1265" s="17" t="str">
        <f aca="false">IF(INDEX(選手一覧!$K$7:$K$2738,$F1265)="","",INDEX(選手一覧!$K$7:$K$2738,$F1265))</f>
        <v/>
      </c>
    </row>
    <row r="1266" customFormat="false" ht="15" hidden="false" customHeight="false" outlineLevel="0" collapsed="false">
      <c r="A1266" s="17" t="n">
        <v>1262</v>
      </c>
      <c r="B1266" s="12" t="s">
        <v>3941</v>
      </c>
      <c r="C1266" s="12" t="s">
        <v>3942</v>
      </c>
      <c r="D1266" s="16" t="n">
        <v>0.00833576388888889</v>
      </c>
      <c r="E1266" s="15" t="n">
        <f aca="false">ROUND((D1266-$D$5)*86400,2)</f>
        <v>181.19</v>
      </c>
      <c r="F1266" s="17" t="n">
        <v>2574</v>
      </c>
      <c r="G1266" s="16" t="str">
        <f aca="false">IF(INDEX(選手一覧!$D$7:$D$2738,$F1266)="","",INDEX(選手一覧!$D$7:$D$2738,$F1266))</f>
        <v/>
      </c>
      <c r="H1266" s="17" t="str">
        <f aca="false">IF(INDEX(選手一覧!$E$7:$E$2738,$F1266)="","",INDEX(選手一覧!$E$7:$E$2738,$F1266))</f>
        <v/>
      </c>
      <c r="I1266" s="16" t="str">
        <f aca="false">IF(INDEX(選手一覧!$J$7:$J$2738,$F1266)="","",INDEX(選手一覧!$J$7:$J$2738,$F1266))</f>
        <v/>
      </c>
      <c r="J1266" s="17" t="str">
        <f aca="false">IF(INDEX(選手一覧!$K$7:$K$2738,$F1266)="","",INDEX(選手一覧!$K$7:$K$2738,$F1266))</f>
        <v/>
      </c>
    </row>
    <row r="1267" customFormat="false" ht="15" hidden="false" customHeight="false" outlineLevel="0" collapsed="false">
      <c r="A1267" s="17" t="n">
        <v>1263</v>
      </c>
      <c r="B1267" s="12" t="s">
        <v>3943</v>
      </c>
      <c r="C1267" s="12" t="s">
        <v>3944</v>
      </c>
      <c r="D1267" s="16" t="n">
        <v>0.00833946759259259</v>
      </c>
      <c r="E1267" s="15" t="n">
        <f aca="false">ROUND((D1267-$D$5)*86400,2)</f>
        <v>181.51</v>
      </c>
      <c r="F1267" s="17" t="n">
        <v>2575</v>
      </c>
      <c r="G1267" s="16" t="str">
        <f aca="false">IF(INDEX(選手一覧!$D$7:$D$2738,$F1267)="","",INDEX(選手一覧!$D$7:$D$2738,$F1267))</f>
        <v/>
      </c>
      <c r="H1267" s="17" t="str">
        <f aca="false">IF(INDEX(選手一覧!$E$7:$E$2738,$F1267)="","",INDEX(選手一覧!$E$7:$E$2738,$F1267))</f>
        <v/>
      </c>
      <c r="I1267" s="16" t="str">
        <f aca="false">IF(INDEX(選手一覧!$J$7:$J$2738,$F1267)="","",INDEX(選手一覧!$J$7:$J$2738,$F1267))</f>
        <v/>
      </c>
      <c r="J1267" s="17" t="str">
        <f aca="false">IF(INDEX(選手一覧!$K$7:$K$2738,$F1267)="","",INDEX(選手一覧!$K$7:$K$2738,$F1267))</f>
        <v/>
      </c>
    </row>
    <row r="1268" customFormat="false" ht="15" hidden="false" customHeight="false" outlineLevel="0" collapsed="false">
      <c r="A1268" s="17" t="n">
        <v>1264</v>
      </c>
      <c r="B1268" s="12" t="s">
        <v>3945</v>
      </c>
      <c r="C1268" s="12" t="s">
        <v>1127</v>
      </c>
      <c r="D1268" s="16" t="n">
        <v>0.0083431712962963</v>
      </c>
      <c r="E1268" s="15" t="n">
        <f aca="false">ROUND((D1268-$D$5)*86400,2)</f>
        <v>181.83</v>
      </c>
      <c r="F1268" s="17" t="n">
        <v>2576</v>
      </c>
      <c r="G1268" s="16" t="str">
        <f aca="false">IF(INDEX(選手一覧!$D$7:$D$2738,$F1268)="","",INDEX(選手一覧!$D$7:$D$2738,$F1268))</f>
        <v/>
      </c>
      <c r="H1268" s="17" t="str">
        <f aca="false">IF(INDEX(選手一覧!$E$7:$E$2738,$F1268)="","",INDEX(選手一覧!$E$7:$E$2738,$F1268))</f>
        <v/>
      </c>
      <c r="I1268" s="16" t="str">
        <f aca="false">IF(INDEX(選手一覧!$J$7:$J$2738,$F1268)="","",INDEX(選手一覧!$J$7:$J$2738,$F1268))</f>
        <v/>
      </c>
      <c r="J1268" s="17" t="str">
        <f aca="false">IF(INDEX(選手一覧!$K$7:$K$2738,$F1268)="","",INDEX(選手一覧!$K$7:$K$2738,$F1268))</f>
        <v/>
      </c>
    </row>
    <row r="1269" customFormat="false" ht="15" hidden="false" customHeight="false" outlineLevel="0" collapsed="false">
      <c r="A1269" s="17" t="n">
        <v>1265</v>
      </c>
      <c r="B1269" s="12" t="s">
        <v>3946</v>
      </c>
      <c r="C1269" s="12" t="s">
        <v>3895</v>
      </c>
      <c r="D1269" s="16" t="n">
        <v>0.0083494212962963</v>
      </c>
      <c r="E1269" s="15" t="n">
        <f aca="false">ROUND((D1269-$D$5)*86400,2)</f>
        <v>182.37</v>
      </c>
      <c r="F1269" s="17" t="n">
        <v>2577</v>
      </c>
      <c r="G1269" s="16" t="str">
        <f aca="false">IF(INDEX(選手一覧!$D$7:$D$2738,$F1269)="","",INDEX(選手一覧!$D$7:$D$2738,$F1269))</f>
        <v/>
      </c>
      <c r="H1269" s="17" t="str">
        <f aca="false">IF(INDEX(選手一覧!$E$7:$E$2738,$F1269)="","",INDEX(選手一覧!$E$7:$E$2738,$F1269))</f>
        <v/>
      </c>
      <c r="I1269" s="16" t="str">
        <f aca="false">IF(INDEX(選手一覧!$J$7:$J$2738,$F1269)="","",INDEX(選手一覧!$J$7:$J$2738,$F1269))</f>
        <v/>
      </c>
      <c r="J1269" s="17" t="str">
        <f aca="false">IF(INDEX(選手一覧!$K$7:$K$2738,$F1269)="","",INDEX(選手一覧!$K$7:$K$2738,$F1269))</f>
        <v/>
      </c>
    </row>
    <row r="1270" customFormat="false" ht="15" hidden="false" customHeight="false" outlineLevel="0" collapsed="false">
      <c r="A1270" s="17" t="n">
        <v>1266</v>
      </c>
      <c r="B1270" s="12" t="s">
        <v>3948</v>
      </c>
      <c r="C1270" s="12" t="s">
        <v>3949</v>
      </c>
      <c r="D1270" s="16" t="n">
        <v>0.00835069444444445</v>
      </c>
      <c r="E1270" s="15" t="n">
        <f aca="false">ROUND((D1270-$D$5)*86400,2)</f>
        <v>182.48</v>
      </c>
      <c r="F1270" s="17" t="n">
        <v>2579</v>
      </c>
      <c r="G1270" s="16" t="str">
        <f aca="false">IF(INDEX(選手一覧!$D$7:$D$2738,$F1270)="","",INDEX(選手一覧!$D$7:$D$2738,$F1270))</f>
        <v/>
      </c>
      <c r="H1270" s="17" t="str">
        <f aca="false">IF(INDEX(選手一覧!$E$7:$E$2738,$F1270)="","",INDEX(選手一覧!$E$7:$E$2738,$F1270))</f>
        <v/>
      </c>
      <c r="I1270" s="16" t="str">
        <f aca="false">IF(INDEX(選手一覧!$J$7:$J$2738,$F1270)="","",INDEX(選手一覧!$J$7:$J$2738,$F1270))</f>
        <v/>
      </c>
      <c r="J1270" s="17" t="str">
        <f aca="false">IF(INDEX(選手一覧!$K$7:$K$2738,$F1270)="","",INDEX(選手一覧!$K$7:$K$2738,$F1270))</f>
        <v/>
      </c>
    </row>
    <row r="1271" customFormat="false" ht="15" hidden="false" customHeight="false" outlineLevel="0" collapsed="false">
      <c r="A1271" s="17" t="n">
        <v>1267</v>
      </c>
      <c r="B1271" s="12" t="s">
        <v>3950</v>
      </c>
      <c r="C1271" s="12" t="s">
        <v>3951</v>
      </c>
      <c r="D1271" s="16" t="n">
        <v>0.00835092592592593</v>
      </c>
      <c r="E1271" s="15" t="n">
        <f aca="false">ROUND((D1271-$D$5)*86400,2)</f>
        <v>182.5</v>
      </c>
      <c r="F1271" s="17" t="n">
        <v>2580</v>
      </c>
      <c r="G1271" s="16" t="str">
        <f aca="false">IF(INDEX(選手一覧!$D$7:$D$2738,$F1271)="","",INDEX(選手一覧!$D$7:$D$2738,$F1271))</f>
        <v/>
      </c>
      <c r="H1271" s="17" t="str">
        <f aca="false">IF(INDEX(選手一覧!$E$7:$E$2738,$F1271)="","",INDEX(選手一覧!$E$7:$E$2738,$F1271))</f>
        <v/>
      </c>
      <c r="I1271" s="16" t="str">
        <f aca="false">IF(INDEX(選手一覧!$J$7:$J$2738,$F1271)="","",INDEX(選手一覧!$J$7:$J$2738,$F1271))</f>
        <v/>
      </c>
      <c r="J1271" s="17" t="str">
        <f aca="false">IF(INDEX(選手一覧!$K$7:$K$2738,$F1271)="","",INDEX(選手一覧!$K$7:$K$2738,$F1271))</f>
        <v/>
      </c>
    </row>
    <row r="1272" customFormat="false" ht="15" hidden="false" customHeight="false" outlineLevel="0" collapsed="false">
      <c r="A1272" s="17" t="n">
        <v>1268</v>
      </c>
      <c r="B1272" s="12" t="s">
        <v>3953</v>
      </c>
      <c r="C1272" s="12" t="s">
        <v>3754</v>
      </c>
      <c r="D1272" s="16" t="n">
        <v>0.00835196759259259</v>
      </c>
      <c r="E1272" s="15" t="n">
        <f aca="false">ROUND((D1272-$D$5)*86400,2)</f>
        <v>182.59</v>
      </c>
      <c r="F1272" s="17" t="n">
        <v>2582</v>
      </c>
      <c r="G1272" s="16" t="str">
        <f aca="false">IF(INDEX(選手一覧!$D$7:$D$2738,$F1272)="","",INDEX(選手一覧!$D$7:$D$2738,$F1272))</f>
        <v/>
      </c>
      <c r="H1272" s="17" t="str">
        <f aca="false">IF(INDEX(選手一覧!$E$7:$E$2738,$F1272)="","",INDEX(選手一覧!$E$7:$E$2738,$F1272))</f>
        <v/>
      </c>
      <c r="I1272" s="16" t="str">
        <f aca="false">IF(INDEX(選手一覧!$J$7:$J$2738,$F1272)="","",INDEX(選手一覧!$J$7:$J$2738,$F1272))</f>
        <v/>
      </c>
      <c r="J1272" s="17" t="str">
        <f aca="false">IF(INDEX(選手一覧!$K$7:$K$2738,$F1272)="","",INDEX(選手一覧!$K$7:$K$2738,$F1272))</f>
        <v/>
      </c>
    </row>
    <row r="1273" customFormat="false" ht="15" hidden="false" customHeight="false" outlineLevel="0" collapsed="false">
      <c r="A1273" s="17" t="n">
        <v>1269</v>
      </c>
      <c r="B1273" s="12" t="s">
        <v>3956</v>
      </c>
      <c r="C1273" s="12" t="s">
        <v>2114</v>
      </c>
      <c r="D1273" s="16" t="n">
        <v>0.00835763888888889</v>
      </c>
      <c r="E1273" s="15" t="n">
        <f aca="false">ROUND((D1273-$D$5)*86400,2)</f>
        <v>183.08</v>
      </c>
      <c r="F1273" s="17" t="n">
        <v>2584</v>
      </c>
      <c r="G1273" s="16" t="str">
        <f aca="false">IF(INDEX(選手一覧!$D$7:$D$2738,$F1273)="","",INDEX(選手一覧!$D$7:$D$2738,$F1273))</f>
        <v/>
      </c>
      <c r="H1273" s="17" t="str">
        <f aca="false">IF(INDEX(選手一覧!$E$7:$E$2738,$F1273)="","",INDEX(選手一覧!$E$7:$E$2738,$F1273))</f>
        <v/>
      </c>
      <c r="I1273" s="16" t="str">
        <f aca="false">IF(INDEX(選手一覧!$J$7:$J$2738,$F1273)="","",INDEX(選手一覧!$J$7:$J$2738,$F1273))</f>
        <v/>
      </c>
      <c r="J1273" s="17" t="str">
        <f aca="false">IF(INDEX(選手一覧!$K$7:$K$2738,$F1273)="","",INDEX(選手一覧!$K$7:$K$2738,$F1273))</f>
        <v/>
      </c>
    </row>
    <row r="1274" customFormat="false" ht="15" hidden="false" customHeight="false" outlineLevel="0" collapsed="false">
      <c r="A1274" s="17" t="n">
        <v>1270</v>
      </c>
      <c r="B1274" s="12" t="s">
        <v>3958</v>
      </c>
      <c r="C1274" s="12" t="s">
        <v>873</v>
      </c>
      <c r="D1274" s="16" t="n">
        <v>0.00836458333333333</v>
      </c>
      <c r="E1274" s="15" t="n">
        <f aca="false">ROUND((D1274-$D$5)*86400,2)</f>
        <v>183.68</v>
      </c>
      <c r="F1274" s="17" t="n">
        <v>2586</v>
      </c>
      <c r="G1274" s="16" t="str">
        <f aca="false">IF(INDEX(選手一覧!$D$7:$D$2738,$F1274)="","",INDEX(選手一覧!$D$7:$D$2738,$F1274))</f>
        <v/>
      </c>
      <c r="H1274" s="17" t="str">
        <f aca="false">IF(INDEX(選手一覧!$E$7:$E$2738,$F1274)="","",INDEX(選手一覧!$E$7:$E$2738,$F1274))</f>
        <v/>
      </c>
      <c r="I1274" s="16" t="str">
        <f aca="false">IF(INDEX(選手一覧!$J$7:$J$2738,$F1274)="","",INDEX(選手一覧!$J$7:$J$2738,$F1274))</f>
        <v/>
      </c>
      <c r="J1274" s="17" t="str">
        <f aca="false">IF(INDEX(選手一覧!$K$7:$K$2738,$F1274)="","",INDEX(選手一覧!$K$7:$K$2738,$F1274))</f>
        <v/>
      </c>
    </row>
    <row r="1275" customFormat="false" ht="15" hidden="false" customHeight="false" outlineLevel="0" collapsed="false">
      <c r="A1275" s="17" t="n">
        <v>1271</v>
      </c>
      <c r="B1275" s="12" t="s">
        <v>3959</v>
      </c>
      <c r="C1275" s="12" t="s">
        <v>3034</v>
      </c>
      <c r="D1275" s="16" t="n">
        <v>0.00836678240740741</v>
      </c>
      <c r="E1275" s="15" t="n">
        <f aca="false">ROUND((D1275-$D$5)*86400,2)</f>
        <v>183.87</v>
      </c>
      <c r="F1275" s="17" t="n">
        <v>2587</v>
      </c>
      <c r="G1275" s="16" t="str">
        <f aca="false">IF(INDEX(選手一覧!$D$7:$D$2738,$F1275)="","",INDEX(選手一覧!$D$7:$D$2738,$F1275))</f>
        <v/>
      </c>
      <c r="H1275" s="17" t="str">
        <f aca="false">IF(INDEX(選手一覧!$E$7:$E$2738,$F1275)="","",INDEX(選手一覧!$E$7:$E$2738,$F1275))</f>
        <v/>
      </c>
      <c r="I1275" s="16" t="str">
        <f aca="false">IF(INDEX(選手一覧!$J$7:$J$2738,$F1275)="","",INDEX(選手一覧!$J$7:$J$2738,$F1275))</f>
        <v/>
      </c>
      <c r="J1275" s="17" t="str">
        <f aca="false">IF(INDEX(選手一覧!$K$7:$K$2738,$F1275)="","",INDEX(選手一覧!$K$7:$K$2738,$F1275))</f>
        <v/>
      </c>
    </row>
    <row r="1276" customFormat="false" ht="15" hidden="false" customHeight="false" outlineLevel="0" collapsed="false">
      <c r="A1276" s="17" t="n">
        <v>1272</v>
      </c>
      <c r="B1276" s="12" t="s">
        <v>3960</v>
      </c>
      <c r="C1276" s="12" t="s">
        <v>3961</v>
      </c>
      <c r="D1276" s="16" t="n">
        <v>0.00837384259259259</v>
      </c>
      <c r="E1276" s="15" t="n">
        <f aca="false">ROUND((D1276-$D$5)*86400,2)</f>
        <v>184.48</v>
      </c>
      <c r="F1276" s="17" t="n">
        <v>2588</v>
      </c>
      <c r="G1276" s="16" t="str">
        <f aca="false">IF(INDEX(選手一覧!$D$7:$D$2738,$F1276)="","",INDEX(選手一覧!$D$7:$D$2738,$F1276))</f>
        <v/>
      </c>
      <c r="H1276" s="17" t="str">
        <f aca="false">IF(INDEX(選手一覧!$E$7:$E$2738,$F1276)="","",INDEX(選手一覧!$E$7:$E$2738,$F1276))</f>
        <v/>
      </c>
      <c r="I1276" s="16" t="str">
        <f aca="false">IF(INDEX(選手一覧!$J$7:$J$2738,$F1276)="","",INDEX(選手一覧!$J$7:$J$2738,$F1276))</f>
        <v/>
      </c>
      <c r="J1276" s="17" t="str">
        <f aca="false">IF(INDEX(選手一覧!$K$7:$K$2738,$F1276)="","",INDEX(選手一覧!$K$7:$K$2738,$F1276))</f>
        <v/>
      </c>
    </row>
    <row r="1277" customFormat="false" ht="15" hidden="false" customHeight="false" outlineLevel="0" collapsed="false">
      <c r="A1277" s="17" t="n">
        <v>1273</v>
      </c>
      <c r="B1277" s="12" t="s">
        <v>3963</v>
      </c>
      <c r="C1277" s="12" t="s">
        <v>3603</v>
      </c>
      <c r="D1277" s="16" t="n">
        <v>0.00837731481481482</v>
      </c>
      <c r="E1277" s="15" t="n">
        <f aca="false">ROUND((D1277-$D$5)*86400,2)</f>
        <v>184.78</v>
      </c>
      <c r="F1277" s="17" t="n">
        <v>2590</v>
      </c>
      <c r="G1277" s="16" t="str">
        <f aca="false">IF(INDEX(選手一覧!$D$7:$D$2738,$F1277)="","",INDEX(選手一覧!$D$7:$D$2738,$F1277))</f>
        <v/>
      </c>
      <c r="H1277" s="17" t="str">
        <f aca="false">IF(INDEX(選手一覧!$E$7:$E$2738,$F1277)="","",INDEX(選手一覧!$E$7:$E$2738,$F1277))</f>
        <v/>
      </c>
      <c r="I1277" s="16" t="str">
        <f aca="false">IF(INDEX(選手一覧!$J$7:$J$2738,$F1277)="","",INDEX(選手一覧!$J$7:$J$2738,$F1277))</f>
        <v/>
      </c>
      <c r="J1277" s="17" t="str">
        <f aca="false">IF(INDEX(選手一覧!$K$7:$K$2738,$F1277)="","",INDEX(選手一覧!$K$7:$K$2738,$F1277))</f>
        <v/>
      </c>
    </row>
    <row r="1278" customFormat="false" ht="15" hidden="false" customHeight="false" outlineLevel="0" collapsed="false">
      <c r="A1278" s="17" t="n">
        <v>1274</v>
      </c>
      <c r="B1278" s="12" t="s">
        <v>3964</v>
      </c>
      <c r="C1278" s="12" t="s">
        <v>3965</v>
      </c>
      <c r="D1278" s="16" t="n">
        <v>0.00838032407407407</v>
      </c>
      <c r="E1278" s="15" t="n">
        <f aca="false">ROUND((D1278-$D$5)*86400,2)</f>
        <v>185.04</v>
      </c>
      <c r="F1278" s="17" t="n">
        <v>2591</v>
      </c>
      <c r="G1278" s="16" t="str">
        <f aca="false">IF(INDEX(選手一覧!$D$7:$D$2738,$F1278)="","",INDEX(選手一覧!$D$7:$D$2738,$F1278))</f>
        <v/>
      </c>
      <c r="H1278" s="17" t="str">
        <f aca="false">IF(INDEX(選手一覧!$E$7:$E$2738,$F1278)="","",INDEX(選手一覧!$E$7:$E$2738,$F1278))</f>
        <v/>
      </c>
      <c r="I1278" s="16" t="str">
        <f aca="false">IF(INDEX(選手一覧!$J$7:$J$2738,$F1278)="","",INDEX(選手一覧!$J$7:$J$2738,$F1278))</f>
        <v/>
      </c>
      <c r="J1278" s="17" t="str">
        <f aca="false">IF(INDEX(選手一覧!$K$7:$K$2738,$F1278)="","",INDEX(選手一覧!$K$7:$K$2738,$F1278))</f>
        <v/>
      </c>
    </row>
    <row r="1279" customFormat="false" ht="15" hidden="false" customHeight="false" outlineLevel="0" collapsed="false">
      <c r="A1279" s="17" t="n">
        <v>1275</v>
      </c>
      <c r="B1279" s="12" t="s">
        <v>3966</v>
      </c>
      <c r="C1279" s="12" t="s">
        <v>3967</v>
      </c>
      <c r="D1279" s="16" t="n">
        <v>0.00838055555555556</v>
      </c>
      <c r="E1279" s="15" t="n">
        <f aca="false">ROUND((D1279-$D$5)*86400,2)</f>
        <v>185.06</v>
      </c>
      <c r="F1279" s="17" t="n">
        <v>2592</v>
      </c>
      <c r="G1279" s="16" t="str">
        <f aca="false">IF(INDEX(選手一覧!$D$7:$D$2738,$F1279)="","",INDEX(選手一覧!$D$7:$D$2738,$F1279))</f>
        <v/>
      </c>
      <c r="H1279" s="17" t="str">
        <f aca="false">IF(INDEX(選手一覧!$E$7:$E$2738,$F1279)="","",INDEX(選手一覧!$E$7:$E$2738,$F1279))</f>
        <v/>
      </c>
      <c r="I1279" s="16" t="str">
        <f aca="false">IF(INDEX(選手一覧!$J$7:$J$2738,$F1279)="","",INDEX(選手一覧!$J$7:$J$2738,$F1279))</f>
        <v/>
      </c>
      <c r="J1279" s="17" t="str">
        <f aca="false">IF(INDEX(選手一覧!$K$7:$K$2738,$F1279)="","",INDEX(選手一覧!$K$7:$K$2738,$F1279))</f>
        <v/>
      </c>
    </row>
    <row r="1280" customFormat="false" ht="15" hidden="false" customHeight="false" outlineLevel="0" collapsed="false">
      <c r="A1280" s="17" t="n">
        <v>1276</v>
      </c>
      <c r="B1280" s="12" t="s">
        <v>3969</v>
      </c>
      <c r="C1280" s="12" t="s">
        <v>1096</v>
      </c>
      <c r="D1280" s="16" t="n">
        <v>0.00838773148148148</v>
      </c>
      <c r="E1280" s="15" t="n">
        <f aca="false">ROUND((D1280-$D$5)*86400,2)</f>
        <v>185.68</v>
      </c>
      <c r="F1280" s="17" t="n">
        <v>2594</v>
      </c>
      <c r="G1280" s="16" t="str">
        <f aca="false">IF(INDEX(選手一覧!$D$7:$D$2738,$F1280)="","",INDEX(選手一覧!$D$7:$D$2738,$F1280))</f>
        <v/>
      </c>
      <c r="H1280" s="17" t="str">
        <f aca="false">IF(INDEX(選手一覧!$E$7:$E$2738,$F1280)="","",INDEX(選手一覧!$E$7:$E$2738,$F1280))</f>
        <v/>
      </c>
      <c r="I1280" s="16" t="str">
        <f aca="false">IF(INDEX(選手一覧!$J$7:$J$2738,$F1280)="","",INDEX(選手一覧!$J$7:$J$2738,$F1280))</f>
        <v/>
      </c>
      <c r="J1280" s="17" t="str">
        <f aca="false">IF(INDEX(選手一覧!$K$7:$K$2738,$F1280)="","",INDEX(選手一覧!$K$7:$K$2738,$F1280))</f>
        <v/>
      </c>
    </row>
    <row r="1281" customFormat="false" ht="15" hidden="false" customHeight="false" outlineLevel="0" collapsed="false">
      <c r="A1281" s="17" t="n">
        <v>1277</v>
      </c>
      <c r="B1281" s="12" t="s">
        <v>3971</v>
      </c>
      <c r="C1281" s="12" t="s">
        <v>3972</v>
      </c>
      <c r="D1281" s="16" t="n">
        <v>0.00838796296296296</v>
      </c>
      <c r="E1281" s="15" t="n">
        <f aca="false">ROUND((D1281-$D$5)*86400,2)</f>
        <v>185.7</v>
      </c>
      <c r="F1281" s="17" t="n">
        <v>2596</v>
      </c>
      <c r="G1281" s="16" t="str">
        <f aca="false">IF(INDEX(選手一覧!$D$7:$D$2738,$F1281)="","",INDEX(選手一覧!$D$7:$D$2738,$F1281))</f>
        <v/>
      </c>
      <c r="H1281" s="17" t="str">
        <f aca="false">IF(INDEX(選手一覧!$E$7:$E$2738,$F1281)="","",INDEX(選手一覧!$E$7:$E$2738,$F1281))</f>
        <v/>
      </c>
      <c r="I1281" s="16" t="str">
        <f aca="false">IF(INDEX(選手一覧!$J$7:$J$2738,$F1281)="","",INDEX(選手一覧!$J$7:$J$2738,$F1281))</f>
        <v/>
      </c>
      <c r="J1281" s="17" t="str">
        <f aca="false">IF(INDEX(選手一覧!$K$7:$K$2738,$F1281)="","",INDEX(選手一覧!$K$7:$K$2738,$F1281))</f>
        <v/>
      </c>
    </row>
    <row r="1282" customFormat="false" ht="15" hidden="false" customHeight="false" outlineLevel="0" collapsed="false">
      <c r="A1282" s="17" t="n">
        <v>1278</v>
      </c>
      <c r="B1282" s="12" t="s">
        <v>3973</v>
      </c>
      <c r="C1282" s="12" t="s">
        <v>3389</v>
      </c>
      <c r="D1282" s="16" t="n">
        <v>0.00839259259259259</v>
      </c>
      <c r="E1282" s="15" t="n">
        <f aca="false">ROUND((D1282-$D$5)*86400,2)</f>
        <v>186.1</v>
      </c>
      <c r="F1282" s="17" t="n">
        <v>2597</v>
      </c>
      <c r="G1282" s="16" t="str">
        <f aca="false">IF(INDEX(選手一覧!$D$7:$D$2738,$F1282)="","",INDEX(選手一覧!$D$7:$D$2738,$F1282))</f>
        <v/>
      </c>
      <c r="H1282" s="17" t="str">
        <f aca="false">IF(INDEX(選手一覧!$E$7:$E$2738,$F1282)="","",INDEX(選手一覧!$E$7:$E$2738,$F1282))</f>
        <v/>
      </c>
      <c r="I1282" s="16" t="str">
        <f aca="false">IF(INDEX(選手一覧!$J$7:$J$2738,$F1282)="","",INDEX(選手一覧!$J$7:$J$2738,$F1282))</f>
        <v/>
      </c>
      <c r="J1282" s="17" t="str">
        <f aca="false">IF(INDEX(選手一覧!$K$7:$K$2738,$F1282)="","",INDEX(選手一覧!$K$7:$K$2738,$F1282))</f>
        <v/>
      </c>
    </row>
    <row r="1283" customFormat="false" ht="15" hidden="false" customHeight="false" outlineLevel="0" collapsed="false">
      <c r="A1283" s="17" t="n">
        <v>1279</v>
      </c>
      <c r="B1283" s="12" t="s">
        <v>3974</v>
      </c>
      <c r="C1283" s="12" t="s">
        <v>3975</v>
      </c>
      <c r="D1283" s="16" t="n">
        <v>0.00840277777777778</v>
      </c>
      <c r="E1283" s="15" t="n">
        <f aca="false">ROUND((D1283-$D$5)*86400,2)</f>
        <v>186.98</v>
      </c>
      <c r="F1283" s="17" t="n">
        <v>2598</v>
      </c>
      <c r="G1283" s="16" t="str">
        <f aca="false">IF(INDEX(選手一覧!$D$7:$D$2738,$F1283)="","",INDEX(選手一覧!$D$7:$D$2738,$F1283))</f>
        <v/>
      </c>
      <c r="H1283" s="17" t="str">
        <f aca="false">IF(INDEX(選手一覧!$E$7:$E$2738,$F1283)="","",INDEX(選手一覧!$E$7:$E$2738,$F1283))</f>
        <v/>
      </c>
      <c r="I1283" s="16" t="str">
        <f aca="false">IF(INDEX(選手一覧!$J$7:$J$2738,$F1283)="","",INDEX(選手一覧!$J$7:$J$2738,$F1283))</f>
        <v/>
      </c>
      <c r="J1283" s="17" t="str">
        <f aca="false">IF(INDEX(選手一覧!$K$7:$K$2738,$F1283)="","",INDEX(選手一覧!$K$7:$K$2738,$F1283))</f>
        <v/>
      </c>
    </row>
    <row r="1284" customFormat="false" ht="15" hidden="false" customHeight="false" outlineLevel="0" collapsed="false">
      <c r="A1284" s="17" t="n">
        <v>1280</v>
      </c>
      <c r="B1284" s="12" t="s">
        <v>3977</v>
      </c>
      <c r="C1284" s="12" t="s">
        <v>3978</v>
      </c>
      <c r="D1284" s="16" t="n">
        <v>0.00840300925925926</v>
      </c>
      <c r="E1284" s="15" t="n">
        <f aca="false">ROUND((D1284-$D$5)*86400,2)</f>
        <v>187</v>
      </c>
      <c r="F1284" s="17" t="n">
        <v>2600</v>
      </c>
      <c r="G1284" s="16" t="str">
        <f aca="false">IF(INDEX(選手一覧!$D$7:$D$2738,$F1284)="","",INDEX(選手一覧!$D$7:$D$2738,$F1284))</f>
        <v/>
      </c>
      <c r="H1284" s="17" t="str">
        <f aca="false">IF(INDEX(選手一覧!$E$7:$E$2738,$F1284)="","",INDEX(選手一覧!$E$7:$E$2738,$F1284))</f>
        <v/>
      </c>
      <c r="I1284" s="16" t="str">
        <f aca="false">IF(INDEX(選手一覧!$J$7:$J$2738,$F1284)="","",INDEX(選手一覧!$J$7:$J$2738,$F1284))</f>
        <v/>
      </c>
      <c r="J1284" s="17" t="str">
        <f aca="false">IF(INDEX(選手一覧!$K$7:$K$2738,$F1284)="","",INDEX(選手一覧!$K$7:$K$2738,$F1284))</f>
        <v/>
      </c>
    </row>
    <row r="1285" customFormat="false" ht="15" hidden="false" customHeight="false" outlineLevel="0" collapsed="false">
      <c r="A1285" s="17" t="n">
        <v>1281</v>
      </c>
      <c r="B1285" s="12" t="s">
        <v>3979</v>
      </c>
      <c r="C1285" s="12" t="s">
        <v>3980</v>
      </c>
      <c r="D1285" s="16" t="n">
        <v>0.00840636574074074</v>
      </c>
      <c r="E1285" s="15" t="n">
        <f aca="false">ROUND((D1285-$D$5)*86400,2)</f>
        <v>187.29</v>
      </c>
      <c r="F1285" s="17" t="n">
        <v>2601</v>
      </c>
      <c r="G1285" s="16" t="str">
        <f aca="false">IF(INDEX(選手一覧!$D$7:$D$2738,$F1285)="","",INDEX(選手一覧!$D$7:$D$2738,$F1285))</f>
        <v/>
      </c>
      <c r="H1285" s="17" t="str">
        <f aca="false">IF(INDEX(選手一覧!$E$7:$E$2738,$F1285)="","",INDEX(選手一覧!$E$7:$E$2738,$F1285))</f>
        <v/>
      </c>
      <c r="I1285" s="16" t="str">
        <f aca="false">IF(INDEX(選手一覧!$J$7:$J$2738,$F1285)="","",INDEX(選手一覧!$J$7:$J$2738,$F1285))</f>
        <v/>
      </c>
      <c r="J1285" s="17" t="str">
        <f aca="false">IF(INDEX(選手一覧!$K$7:$K$2738,$F1285)="","",INDEX(選手一覧!$K$7:$K$2738,$F1285))</f>
        <v/>
      </c>
    </row>
    <row r="1286" customFormat="false" ht="15" hidden="false" customHeight="false" outlineLevel="0" collapsed="false">
      <c r="A1286" s="17" t="n">
        <v>1282</v>
      </c>
      <c r="B1286" s="12" t="s">
        <v>1672</v>
      </c>
      <c r="C1286" s="12" t="s">
        <v>1127</v>
      </c>
      <c r="D1286" s="16" t="n">
        <v>0.00840659722222222</v>
      </c>
      <c r="E1286" s="15" t="n">
        <f aca="false">ROUND((D1286-$D$5)*86400,2)</f>
        <v>187.31</v>
      </c>
      <c r="F1286" s="17" t="n">
        <v>1030</v>
      </c>
      <c r="G1286" s="16" t="n">
        <f aca="false">IF(INDEX(選手一覧!$D$7:$D$2738,$F1286)="","",INDEX(選手一覧!$D$7:$D$2738,$F1286))</f>
        <v>0.0109677083333333</v>
      </c>
      <c r="H1286" s="17" t="n">
        <f aca="false">IF(INDEX(選手一覧!$E$7:$E$2738,$F1286)="","",INDEX(選手一覧!$E$7:$E$2738,$F1286))</f>
        <v>1031</v>
      </c>
      <c r="I1286" s="16" t="str">
        <f aca="false">IF(INDEX(選手一覧!$J$7:$J$2738,$F1286)="","",INDEX(選手一覧!$J$7:$J$2738,$F1286))</f>
        <v/>
      </c>
      <c r="J1286" s="17" t="str">
        <f aca="false">IF(INDEX(選手一覧!$K$7:$K$2738,$F1286)="","",INDEX(選手一覧!$K$7:$K$2738,$F1286))</f>
        <v/>
      </c>
    </row>
    <row r="1287" customFormat="false" ht="15" hidden="false" customHeight="false" outlineLevel="0" collapsed="false">
      <c r="A1287" s="17" t="n">
        <v>1283</v>
      </c>
      <c r="B1287" s="12" t="s">
        <v>3982</v>
      </c>
      <c r="C1287" s="12" t="s">
        <v>1227</v>
      </c>
      <c r="D1287" s="16" t="n">
        <v>0.00840972222222222</v>
      </c>
      <c r="E1287" s="15" t="n">
        <f aca="false">ROUND((D1287-$D$5)*86400,2)</f>
        <v>187.58</v>
      </c>
      <c r="F1287" s="17" t="n">
        <v>2603</v>
      </c>
      <c r="G1287" s="16" t="str">
        <f aca="false">IF(INDEX(選手一覧!$D$7:$D$2738,$F1287)="","",INDEX(選手一覧!$D$7:$D$2738,$F1287))</f>
        <v/>
      </c>
      <c r="H1287" s="17" t="str">
        <f aca="false">IF(INDEX(選手一覧!$E$7:$E$2738,$F1287)="","",INDEX(選手一覧!$E$7:$E$2738,$F1287))</f>
        <v/>
      </c>
      <c r="I1287" s="16" t="str">
        <f aca="false">IF(INDEX(選手一覧!$J$7:$J$2738,$F1287)="","",INDEX(選手一覧!$J$7:$J$2738,$F1287))</f>
        <v/>
      </c>
      <c r="J1287" s="17" t="str">
        <f aca="false">IF(INDEX(選手一覧!$K$7:$K$2738,$F1287)="","",INDEX(選手一覧!$K$7:$K$2738,$F1287))</f>
        <v/>
      </c>
    </row>
    <row r="1288" customFormat="false" ht="15" hidden="false" customHeight="false" outlineLevel="0" collapsed="false">
      <c r="A1288" s="17" t="n">
        <v>1284</v>
      </c>
      <c r="B1288" s="12" t="s">
        <v>3983</v>
      </c>
      <c r="C1288" s="12" t="s">
        <v>1570</v>
      </c>
      <c r="D1288" s="16" t="n">
        <v>0.00841435185185185</v>
      </c>
      <c r="E1288" s="15" t="n">
        <f aca="false">ROUND((D1288-$D$5)*86400,2)</f>
        <v>187.98</v>
      </c>
      <c r="F1288" s="17" t="n">
        <v>2604</v>
      </c>
      <c r="G1288" s="16" t="str">
        <f aca="false">IF(INDEX(選手一覧!$D$7:$D$2738,$F1288)="","",INDEX(選手一覧!$D$7:$D$2738,$F1288))</f>
        <v/>
      </c>
      <c r="H1288" s="17" t="str">
        <f aca="false">IF(INDEX(選手一覧!$E$7:$E$2738,$F1288)="","",INDEX(選手一覧!$E$7:$E$2738,$F1288))</f>
        <v/>
      </c>
      <c r="I1288" s="16" t="str">
        <f aca="false">IF(INDEX(選手一覧!$J$7:$J$2738,$F1288)="","",INDEX(選手一覧!$J$7:$J$2738,$F1288))</f>
        <v/>
      </c>
      <c r="J1288" s="17" t="str">
        <f aca="false">IF(INDEX(選手一覧!$K$7:$K$2738,$F1288)="","",INDEX(選手一覧!$K$7:$K$2738,$F1288))</f>
        <v/>
      </c>
    </row>
    <row r="1289" customFormat="false" ht="15" hidden="false" customHeight="false" outlineLevel="0" collapsed="false">
      <c r="A1289" s="17" t="n">
        <v>1285</v>
      </c>
      <c r="B1289" s="12" t="s">
        <v>3984</v>
      </c>
      <c r="C1289" s="12" t="s">
        <v>3810</v>
      </c>
      <c r="D1289" s="16" t="n">
        <v>0.00842025462962963</v>
      </c>
      <c r="E1289" s="15" t="n">
        <f aca="false">ROUND((D1289-$D$5)*86400,2)</f>
        <v>188.49</v>
      </c>
      <c r="F1289" s="17" t="n">
        <v>2605</v>
      </c>
      <c r="G1289" s="16" t="str">
        <f aca="false">IF(INDEX(選手一覧!$D$7:$D$2738,$F1289)="","",INDEX(選手一覧!$D$7:$D$2738,$F1289))</f>
        <v/>
      </c>
      <c r="H1289" s="17" t="str">
        <f aca="false">IF(INDEX(選手一覧!$E$7:$E$2738,$F1289)="","",INDEX(選手一覧!$E$7:$E$2738,$F1289))</f>
        <v/>
      </c>
      <c r="I1289" s="16" t="str">
        <f aca="false">IF(INDEX(選手一覧!$J$7:$J$2738,$F1289)="","",INDEX(選手一覧!$J$7:$J$2738,$F1289))</f>
        <v/>
      </c>
      <c r="J1289" s="17" t="str">
        <f aca="false">IF(INDEX(選手一覧!$K$7:$K$2738,$F1289)="","",INDEX(選手一覧!$K$7:$K$2738,$F1289))</f>
        <v/>
      </c>
    </row>
    <row r="1290" customFormat="false" ht="15" hidden="false" customHeight="false" outlineLevel="0" collapsed="false">
      <c r="A1290" s="17" t="n">
        <v>1286</v>
      </c>
      <c r="B1290" s="12" t="s">
        <v>3986</v>
      </c>
      <c r="C1290" s="12" t="s">
        <v>3987</v>
      </c>
      <c r="D1290" s="16" t="n">
        <v>0.00843078703703704</v>
      </c>
      <c r="E1290" s="15" t="n">
        <f aca="false">ROUND((D1290-$D$5)*86400,2)</f>
        <v>189.4</v>
      </c>
      <c r="F1290" s="17" t="n">
        <v>2607</v>
      </c>
      <c r="G1290" s="16" t="str">
        <f aca="false">IF(INDEX(選手一覧!$D$7:$D$2738,$F1290)="","",INDEX(選手一覧!$D$7:$D$2738,$F1290))</f>
        <v/>
      </c>
      <c r="H1290" s="17" t="str">
        <f aca="false">IF(INDEX(選手一覧!$E$7:$E$2738,$F1290)="","",INDEX(選手一覧!$E$7:$E$2738,$F1290))</f>
        <v/>
      </c>
      <c r="I1290" s="16" t="str">
        <f aca="false">IF(INDEX(選手一覧!$J$7:$J$2738,$F1290)="","",INDEX(選手一覧!$J$7:$J$2738,$F1290))</f>
        <v/>
      </c>
      <c r="J1290" s="17" t="str">
        <f aca="false">IF(INDEX(選手一覧!$K$7:$K$2738,$F1290)="","",INDEX(選手一覧!$K$7:$K$2738,$F1290))</f>
        <v/>
      </c>
    </row>
    <row r="1291" customFormat="false" ht="15" hidden="false" customHeight="false" outlineLevel="0" collapsed="false">
      <c r="A1291" s="17" t="n">
        <v>1287</v>
      </c>
      <c r="B1291" s="12" t="s">
        <v>3988</v>
      </c>
      <c r="C1291" s="12" t="s">
        <v>2391</v>
      </c>
      <c r="D1291" s="16" t="n">
        <v>0.00843171296296296</v>
      </c>
      <c r="E1291" s="15" t="n">
        <f aca="false">ROUND((D1291-$D$5)*86400,2)</f>
        <v>189.48</v>
      </c>
      <c r="F1291" s="17" t="n">
        <v>2608</v>
      </c>
      <c r="G1291" s="16" t="str">
        <f aca="false">IF(INDEX(選手一覧!$D$7:$D$2738,$F1291)="","",INDEX(選手一覧!$D$7:$D$2738,$F1291))</f>
        <v/>
      </c>
      <c r="H1291" s="17" t="str">
        <f aca="false">IF(INDEX(選手一覧!$E$7:$E$2738,$F1291)="","",INDEX(選手一覧!$E$7:$E$2738,$F1291))</f>
        <v/>
      </c>
      <c r="I1291" s="16" t="str">
        <f aca="false">IF(INDEX(選手一覧!$J$7:$J$2738,$F1291)="","",INDEX(選手一覧!$J$7:$J$2738,$F1291))</f>
        <v/>
      </c>
      <c r="J1291" s="17" t="str">
        <f aca="false">IF(INDEX(選手一覧!$K$7:$K$2738,$F1291)="","",INDEX(選手一覧!$K$7:$K$2738,$F1291))</f>
        <v/>
      </c>
    </row>
    <row r="1292" customFormat="false" ht="15" hidden="false" customHeight="false" outlineLevel="0" collapsed="false">
      <c r="A1292" s="17" t="n">
        <v>1288</v>
      </c>
      <c r="B1292" s="12" t="s">
        <v>3991</v>
      </c>
      <c r="C1292" s="12" t="s">
        <v>3992</v>
      </c>
      <c r="D1292" s="16" t="n">
        <v>0.00843275462962963</v>
      </c>
      <c r="E1292" s="15" t="n">
        <f aca="false">ROUND((D1292-$D$5)*86400,2)</f>
        <v>189.57</v>
      </c>
      <c r="F1292" s="17" t="n">
        <v>2610</v>
      </c>
      <c r="G1292" s="16" t="str">
        <f aca="false">IF(INDEX(選手一覧!$D$7:$D$2738,$F1292)="","",INDEX(選手一覧!$D$7:$D$2738,$F1292))</f>
        <v/>
      </c>
      <c r="H1292" s="17" t="str">
        <f aca="false">IF(INDEX(選手一覧!$E$7:$E$2738,$F1292)="","",INDEX(選手一覧!$E$7:$E$2738,$F1292))</f>
        <v/>
      </c>
      <c r="I1292" s="16" t="str">
        <f aca="false">IF(INDEX(選手一覧!$J$7:$J$2738,$F1292)="","",INDEX(選手一覧!$J$7:$J$2738,$F1292))</f>
        <v/>
      </c>
      <c r="J1292" s="17" t="str">
        <f aca="false">IF(INDEX(選手一覧!$K$7:$K$2738,$F1292)="","",INDEX(選手一覧!$K$7:$K$2738,$F1292))</f>
        <v/>
      </c>
    </row>
    <row r="1293" customFormat="false" ht="15" hidden="false" customHeight="false" outlineLevel="0" collapsed="false">
      <c r="A1293" s="17" t="n">
        <v>1289</v>
      </c>
      <c r="B1293" s="12" t="s">
        <v>3994</v>
      </c>
      <c r="C1293" s="12" t="s">
        <v>3006</v>
      </c>
      <c r="D1293" s="16" t="n">
        <v>0.00843541666666667</v>
      </c>
      <c r="E1293" s="15" t="n">
        <f aca="false">ROUND((D1293-$D$5)*86400,2)</f>
        <v>189.8</v>
      </c>
      <c r="F1293" s="17" t="n">
        <v>2612</v>
      </c>
      <c r="G1293" s="16" t="str">
        <f aca="false">IF(INDEX(選手一覧!$D$7:$D$2738,$F1293)="","",INDEX(選手一覧!$D$7:$D$2738,$F1293))</f>
        <v/>
      </c>
      <c r="H1293" s="17" t="str">
        <f aca="false">IF(INDEX(選手一覧!$E$7:$E$2738,$F1293)="","",INDEX(選手一覧!$E$7:$E$2738,$F1293))</f>
        <v/>
      </c>
      <c r="I1293" s="16" t="str">
        <f aca="false">IF(INDEX(選手一覧!$J$7:$J$2738,$F1293)="","",INDEX(選手一覧!$J$7:$J$2738,$F1293))</f>
        <v/>
      </c>
      <c r="J1293" s="17" t="str">
        <f aca="false">IF(INDEX(選手一覧!$K$7:$K$2738,$F1293)="","",INDEX(選手一覧!$K$7:$K$2738,$F1293))</f>
        <v/>
      </c>
    </row>
    <row r="1294" customFormat="false" ht="15" hidden="false" customHeight="false" outlineLevel="0" collapsed="false">
      <c r="A1294" s="17" t="n">
        <v>1290</v>
      </c>
      <c r="B1294" s="12" t="s">
        <v>3995</v>
      </c>
      <c r="C1294" s="12" t="s">
        <v>2226</v>
      </c>
      <c r="D1294" s="16" t="n">
        <v>0.00844826388888889</v>
      </c>
      <c r="E1294" s="15" t="n">
        <f aca="false">ROUND((D1294-$D$5)*86400,2)</f>
        <v>190.91</v>
      </c>
      <c r="F1294" s="17" t="n">
        <v>2613</v>
      </c>
      <c r="G1294" s="16" t="str">
        <f aca="false">IF(INDEX(選手一覧!$D$7:$D$2738,$F1294)="","",INDEX(選手一覧!$D$7:$D$2738,$F1294))</f>
        <v/>
      </c>
      <c r="H1294" s="17" t="str">
        <f aca="false">IF(INDEX(選手一覧!$E$7:$E$2738,$F1294)="","",INDEX(選手一覧!$E$7:$E$2738,$F1294))</f>
        <v/>
      </c>
      <c r="I1294" s="16" t="str">
        <f aca="false">IF(INDEX(選手一覧!$J$7:$J$2738,$F1294)="","",INDEX(選手一覧!$J$7:$J$2738,$F1294))</f>
        <v/>
      </c>
      <c r="J1294" s="17" t="str">
        <f aca="false">IF(INDEX(選手一覧!$K$7:$K$2738,$F1294)="","",INDEX(選手一覧!$K$7:$K$2738,$F1294))</f>
        <v/>
      </c>
    </row>
    <row r="1295" customFormat="false" ht="15" hidden="false" customHeight="false" outlineLevel="0" collapsed="false">
      <c r="A1295" s="17" t="n">
        <v>1291</v>
      </c>
      <c r="B1295" s="12" t="s">
        <v>3996</v>
      </c>
      <c r="C1295" s="12" t="s">
        <v>3997</v>
      </c>
      <c r="D1295" s="16" t="n">
        <v>0.00844872685185185</v>
      </c>
      <c r="E1295" s="15" t="n">
        <f aca="false">ROUND((D1295-$D$5)*86400,2)</f>
        <v>190.95</v>
      </c>
      <c r="F1295" s="17" t="n">
        <v>2614</v>
      </c>
      <c r="G1295" s="16" t="str">
        <f aca="false">IF(INDEX(選手一覧!$D$7:$D$2738,$F1295)="","",INDEX(選手一覧!$D$7:$D$2738,$F1295))</f>
        <v/>
      </c>
      <c r="H1295" s="17" t="str">
        <f aca="false">IF(INDEX(選手一覧!$E$7:$E$2738,$F1295)="","",INDEX(選手一覧!$E$7:$E$2738,$F1295))</f>
        <v/>
      </c>
      <c r="I1295" s="16" t="str">
        <f aca="false">IF(INDEX(選手一覧!$J$7:$J$2738,$F1295)="","",INDEX(選手一覧!$J$7:$J$2738,$F1295))</f>
        <v/>
      </c>
      <c r="J1295" s="17" t="str">
        <f aca="false">IF(INDEX(選手一覧!$K$7:$K$2738,$F1295)="","",INDEX(選手一覧!$K$7:$K$2738,$F1295))</f>
        <v/>
      </c>
    </row>
    <row r="1296" customFormat="false" ht="15" hidden="false" customHeight="false" outlineLevel="0" collapsed="false">
      <c r="A1296" s="17" t="n">
        <v>1292</v>
      </c>
      <c r="B1296" s="12" t="s">
        <v>3999</v>
      </c>
      <c r="C1296" s="12" t="s">
        <v>4000</v>
      </c>
      <c r="D1296" s="16" t="n">
        <v>0.00845428240740741</v>
      </c>
      <c r="E1296" s="15" t="n">
        <f aca="false">ROUND((D1296-$D$5)*86400,2)</f>
        <v>191.43</v>
      </c>
      <c r="F1296" s="17" t="n">
        <v>2616</v>
      </c>
      <c r="G1296" s="16" t="str">
        <f aca="false">IF(INDEX(選手一覧!$D$7:$D$2738,$F1296)="","",INDEX(選手一覧!$D$7:$D$2738,$F1296))</f>
        <v/>
      </c>
      <c r="H1296" s="17" t="str">
        <f aca="false">IF(INDEX(選手一覧!$E$7:$E$2738,$F1296)="","",INDEX(選手一覧!$E$7:$E$2738,$F1296))</f>
        <v/>
      </c>
      <c r="I1296" s="16" t="str">
        <f aca="false">IF(INDEX(選手一覧!$J$7:$J$2738,$F1296)="","",INDEX(選手一覧!$J$7:$J$2738,$F1296))</f>
        <v/>
      </c>
      <c r="J1296" s="17" t="str">
        <f aca="false">IF(INDEX(選手一覧!$K$7:$K$2738,$F1296)="","",INDEX(選手一覧!$K$7:$K$2738,$F1296))</f>
        <v/>
      </c>
    </row>
    <row r="1297" customFormat="false" ht="15" hidden="false" customHeight="false" outlineLevel="0" collapsed="false">
      <c r="A1297" s="17" t="n">
        <v>1293</v>
      </c>
      <c r="B1297" s="12" t="s">
        <v>4002</v>
      </c>
      <c r="C1297" s="12" t="s">
        <v>2060</v>
      </c>
      <c r="D1297" s="16" t="n">
        <v>0.00846331018518519</v>
      </c>
      <c r="E1297" s="15" t="n">
        <f aca="false">ROUND((D1297-$D$5)*86400,2)</f>
        <v>192.21</v>
      </c>
      <c r="F1297" s="17" t="n">
        <v>2618</v>
      </c>
      <c r="G1297" s="16" t="str">
        <f aca="false">IF(INDEX(選手一覧!$D$7:$D$2738,$F1297)="","",INDEX(選手一覧!$D$7:$D$2738,$F1297))</f>
        <v/>
      </c>
      <c r="H1297" s="17" t="str">
        <f aca="false">IF(INDEX(選手一覧!$E$7:$E$2738,$F1297)="","",INDEX(選手一覧!$E$7:$E$2738,$F1297))</f>
        <v/>
      </c>
      <c r="I1297" s="16" t="str">
        <f aca="false">IF(INDEX(選手一覧!$J$7:$J$2738,$F1297)="","",INDEX(選手一覧!$J$7:$J$2738,$F1297))</f>
        <v/>
      </c>
      <c r="J1297" s="17" t="str">
        <f aca="false">IF(INDEX(選手一覧!$K$7:$K$2738,$F1297)="","",INDEX(選手一覧!$K$7:$K$2738,$F1297))</f>
        <v/>
      </c>
    </row>
    <row r="1298" customFormat="false" ht="15" hidden="false" customHeight="false" outlineLevel="0" collapsed="false">
      <c r="A1298" s="17" t="n">
        <v>1294</v>
      </c>
      <c r="B1298" s="12" t="s">
        <v>4004</v>
      </c>
      <c r="C1298" s="12" t="s">
        <v>2112</v>
      </c>
      <c r="D1298" s="16" t="n">
        <v>0.00846493055555556</v>
      </c>
      <c r="E1298" s="15" t="n">
        <f aca="false">ROUND((D1298-$D$5)*86400,2)</f>
        <v>192.35</v>
      </c>
      <c r="F1298" s="17" t="n">
        <v>2620</v>
      </c>
      <c r="G1298" s="16" t="str">
        <f aca="false">IF(INDEX(選手一覧!$D$7:$D$2738,$F1298)="","",INDEX(選手一覧!$D$7:$D$2738,$F1298))</f>
        <v/>
      </c>
      <c r="H1298" s="17" t="str">
        <f aca="false">IF(INDEX(選手一覧!$E$7:$E$2738,$F1298)="","",INDEX(選手一覧!$E$7:$E$2738,$F1298))</f>
        <v/>
      </c>
      <c r="I1298" s="16" t="str">
        <f aca="false">IF(INDEX(選手一覧!$J$7:$J$2738,$F1298)="","",INDEX(選手一覧!$J$7:$J$2738,$F1298))</f>
        <v/>
      </c>
      <c r="J1298" s="17" t="str">
        <f aca="false">IF(INDEX(選手一覧!$K$7:$K$2738,$F1298)="","",INDEX(選手一覧!$K$7:$K$2738,$F1298))</f>
        <v/>
      </c>
    </row>
    <row r="1299" customFormat="false" ht="15" hidden="false" customHeight="false" outlineLevel="0" collapsed="false">
      <c r="A1299" s="17" t="n">
        <v>1295</v>
      </c>
      <c r="B1299" s="12" t="s">
        <v>4005</v>
      </c>
      <c r="C1299" s="12" t="s">
        <v>1259</v>
      </c>
      <c r="D1299" s="16" t="n">
        <v>0.00847916666666667</v>
      </c>
      <c r="E1299" s="15" t="n">
        <f aca="false">ROUND((D1299-$D$5)*86400,2)</f>
        <v>193.58</v>
      </c>
      <c r="F1299" s="17" t="n">
        <v>2621</v>
      </c>
      <c r="G1299" s="16" t="str">
        <f aca="false">IF(INDEX(選手一覧!$D$7:$D$2738,$F1299)="","",INDEX(選手一覧!$D$7:$D$2738,$F1299))</f>
        <v/>
      </c>
      <c r="H1299" s="17" t="str">
        <f aca="false">IF(INDEX(選手一覧!$E$7:$E$2738,$F1299)="","",INDEX(選手一覧!$E$7:$E$2738,$F1299))</f>
        <v/>
      </c>
      <c r="I1299" s="16" t="str">
        <f aca="false">IF(INDEX(選手一覧!$J$7:$J$2738,$F1299)="","",INDEX(選手一覧!$J$7:$J$2738,$F1299))</f>
        <v/>
      </c>
      <c r="J1299" s="17" t="str">
        <f aca="false">IF(INDEX(選手一覧!$K$7:$K$2738,$F1299)="","",INDEX(選手一覧!$K$7:$K$2738,$F1299))</f>
        <v/>
      </c>
    </row>
    <row r="1300" customFormat="false" ht="15" hidden="false" customHeight="false" outlineLevel="0" collapsed="false">
      <c r="A1300" s="17" t="n">
        <v>1296</v>
      </c>
      <c r="B1300" s="12" t="s">
        <v>4006</v>
      </c>
      <c r="C1300" s="12" t="s">
        <v>3028</v>
      </c>
      <c r="D1300" s="16" t="n">
        <v>0.0084880787037037</v>
      </c>
      <c r="E1300" s="15" t="n">
        <f aca="false">ROUND((D1300-$D$5)*86400,2)</f>
        <v>194.35</v>
      </c>
      <c r="F1300" s="17" t="n">
        <v>2622</v>
      </c>
      <c r="G1300" s="16" t="str">
        <f aca="false">IF(INDEX(選手一覧!$D$7:$D$2738,$F1300)="","",INDEX(選手一覧!$D$7:$D$2738,$F1300))</f>
        <v/>
      </c>
      <c r="H1300" s="17" t="str">
        <f aca="false">IF(INDEX(選手一覧!$E$7:$E$2738,$F1300)="","",INDEX(選手一覧!$E$7:$E$2738,$F1300))</f>
        <v/>
      </c>
      <c r="I1300" s="16" t="str">
        <f aca="false">IF(INDEX(選手一覧!$J$7:$J$2738,$F1300)="","",INDEX(選手一覧!$J$7:$J$2738,$F1300))</f>
        <v/>
      </c>
      <c r="J1300" s="17" t="str">
        <f aca="false">IF(INDEX(選手一覧!$K$7:$K$2738,$F1300)="","",INDEX(選手一覧!$K$7:$K$2738,$F1300))</f>
        <v/>
      </c>
    </row>
    <row r="1301" customFormat="false" ht="15" hidden="false" customHeight="false" outlineLevel="0" collapsed="false">
      <c r="A1301" s="17" t="n">
        <v>1297</v>
      </c>
      <c r="B1301" s="12" t="s">
        <v>4007</v>
      </c>
      <c r="C1301" s="12" t="s">
        <v>3980</v>
      </c>
      <c r="D1301" s="16" t="n">
        <v>0.0084880787037037</v>
      </c>
      <c r="E1301" s="15" t="n">
        <f aca="false">ROUND((D1301-$D$5)*86400,2)</f>
        <v>194.35</v>
      </c>
      <c r="F1301" s="17" t="n">
        <v>2623</v>
      </c>
      <c r="G1301" s="16" t="str">
        <f aca="false">IF(INDEX(選手一覧!$D$7:$D$2738,$F1301)="","",INDEX(選手一覧!$D$7:$D$2738,$F1301))</f>
        <v/>
      </c>
      <c r="H1301" s="17" t="str">
        <f aca="false">IF(INDEX(選手一覧!$E$7:$E$2738,$F1301)="","",INDEX(選手一覧!$E$7:$E$2738,$F1301))</f>
        <v/>
      </c>
      <c r="I1301" s="16" t="str">
        <f aca="false">IF(INDEX(選手一覧!$J$7:$J$2738,$F1301)="","",INDEX(選手一覧!$J$7:$J$2738,$F1301))</f>
        <v/>
      </c>
      <c r="J1301" s="17" t="str">
        <f aca="false">IF(INDEX(選手一覧!$K$7:$K$2738,$F1301)="","",INDEX(選手一覧!$K$7:$K$2738,$F1301))</f>
        <v/>
      </c>
    </row>
    <row r="1302" customFormat="false" ht="15" hidden="false" customHeight="false" outlineLevel="0" collapsed="false">
      <c r="A1302" s="17" t="n">
        <v>1298</v>
      </c>
      <c r="B1302" s="12" t="s">
        <v>4008</v>
      </c>
      <c r="C1302" s="12" t="s">
        <v>4009</v>
      </c>
      <c r="D1302" s="16" t="n">
        <v>0.0084931712962963</v>
      </c>
      <c r="E1302" s="15" t="n">
        <f aca="false">ROUND((D1302-$D$5)*86400,2)</f>
        <v>194.79</v>
      </c>
      <c r="F1302" s="17" t="n">
        <v>2624</v>
      </c>
      <c r="G1302" s="16" t="str">
        <f aca="false">IF(INDEX(選手一覧!$D$7:$D$2738,$F1302)="","",INDEX(選手一覧!$D$7:$D$2738,$F1302))</f>
        <v/>
      </c>
      <c r="H1302" s="17" t="str">
        <f aca="false">IF(INDEX(選手一覧!$E$7:$E$2738,$F1302)="","",INDEX(選手一覧!$E$7:$E$2738,$F1302))</f>
        <v/>
      </c>
      <c r="I1302" s="16" t="str">
        <f aca="false">IF(INDEX(選手一覧!$J$7:$J$2738,$F1302)="","",INDEX(選手一覧!$J$7:$J$2738,$F1302))</f>
        <v/>
      </c>
      <c r="J1302" s="17" t="str">
        <f aca="false">IF(INDEX(選手一覧!$K$7:$K$2738,$F1302)="","",INDEX(選手一覧!$K$7:$K$2738,$F1302))</f>
        <v/>
      </c>
    </row>
    <row r="1303" customFormat="false" ht="15" hidden="false" customHeight="false" outlineLevel="0" collapsed="false">
      <c r="A1303" s="17" t="n">
        <v>1299</v>
      </c>
      <c r="B1303" s="12" t="s">
        <v>4010</v>
      </c>
      <c r="C1303" s="12" t="s">
        <v>824</v>
      </c>
      <c r="D1303" s="16" t="n">
        <v>0.00849803240740741</v>
      </c>
      <c r="E1303" s="15" t="n">
        <f aca="false">ROUND((D1303-$D$5)*86400,2)</f>
        <v>195.21</v>
      </c>
      <c r="F1303" s="17" t="n">
        <v>2625</v>
      </c>
      <c r="G1303" s="16" t="str">
        <f aca="false">IF(INDEX(選手一覧!$D$7:$D$2738,$F1303)="","",INDEX(選手一覧!$D$7:$D$2738,$F1303))</f>
        <v/>
      </c>
      <c r="H1303" s="17" t="str">
        <f aca="false">IF(INDEX(選手一覧!$E$7:$E$2738,$F1303)="","",INDEX(選手一覧!$E$7:$E$2738,$F1303))</f>
        <v/>
      </c>
      <c r="I1303" s="16" t="str">
        <f aca="false">IF(INDEX(選手一覧!$J$7:$J$2738,$F1303)="","",INDEX(選手一覧!$J$7:$J$2738,$F1303))</f>
        <v/>
      </c>
      <c r="J1303" s="17" t="str">
        <f aca="false">IF(INDEX(選手一覧!$K$7:$K$2738,$F1303)="","",INDEX(選手一覧!$K$7:$K$2738,$F1303))</f>
        <v/>
      </c>
    </row>
    <row r="1304" customFormat="false" ht="15" hidden="false" customHeight="false" outlineLevel="0" collapsed="false">
      <c r="A1304" s="17" t="n">
        <v>1300</v>
      </c>
      <c r="B1304" s="12" t="s">
        <v>4012</v>
      </c>
      <c r="C1304" s="12" t="s">
        <v>4013</v>
      </c>
      <c r="D1304" s="16" t="n">
        <v>0.00849953703703704</v>
      </c>
      <c r="E1304" s="15" t="n">
        <f aca="false">ROUND((D1304-$D$5)*86400,2)</f>
        <v>195.34</v>
      </c>
      <c r="F1304" s="17" t="n">
        <v>2627</v>
      </c>
      <c r="G1304" s="16" t="str">
        <f aca="false">IF(INDEX(選手一覧!$D$7:$D$2738,$F1304)="","",INDEX(選手一覧!$D$7:$D$2738,$F1304))</f>
        <v/>
      </c>
      <c r="H1304" s="17" t="str">
        <f aca="false">IF(INDEX(選手一覧!$E$7:$E$2738,$F1304)="","",INDEX(選手一覧!$E$7:$E$2738,$F1304))</f>
        <v/>
      </c>
      <c r="I1304" s="16" t="str">
        <f aca="false">IF(INDEX(選手一覧!$J$7:$J$2738,$F1304)="","",INDEX(選手一覧!$J$7:$J$2738,$F1304))</f>
        <v/>
      </c>
      <c r="J1304" s="17" t="str">
        <f aca="false">IF(INDEX(選手一覧!$K$7:$K$2738,$F1304)="","",INDEX(選手一覧!$K$7:$K$2738,$F1304))</f>
        <v/>
      </c>
    </row>
    <row r="1305" customFormat="false" ht="15" hidden="false" customHeight="false" outlineLevel="0" collapsed="false">
      <c r="A1305" s="17" t="n">
        <v>1301</v>
      </c>
      <c r="B1305" s="12" t="s">
        <v>4014</v>
      </c>
      <c r="C1305" s="12" t="s">
        <v>4015</v>
      </c>
      <c r="D1305" s="16" t="n">
        <v>0.00851365740740741</v>
      </c>
      <c r="E1305" s="15" t="n">
        <f aca="false">ROUND((D1305-$D$5)*86400,2)</f>
        <v>196.56</v>
      </c>
      <c r="F1305" s="17" t="n">
        <v>2628</v>
      </c>
      <c r="G1305" s="16" t="str">
        <f aca="false">IF(INDEX(選手一覧!$D$7:$D$2738,$F1305)="","",INDEX(選手一覧!$D$7:$D$2738,$F1305))</f>
        <v/>
      </c>
      <c r="H1305" s="17" t="str">
        <f aca="false">IF(INDEX(選手一覧!$E$7:$E$2738,$F1305)="","",INDEX(選手一覧!$E$7:$E$2738,$F1305))</f>
        <v/>
      </c>
      <c r="I1305" s="16" t="str">
        <f aca="false">IF(INDEX(選手一覧!$J$7:$J$2738,$F1305)="","",INDEX(選手一覧!$J$7:$J$2738,$F1305))</f>
        <v/>
      </c>
      <c r="J1305" s="17" t="str">
        <f aca="false">IF(INDEX(選手一覧!$K$7:$K$2738,$F1305)="","",INDEX(選手一覧!$K$7:$K$2738,$F1305))</f>
        <v/>
      </c>
    </row>
    <row r="1306" customFormat="false" ht="15" hidden="false" customHeight="false" outlineLevel="0" collapsed="false">
      <c r="A1306" s="17" t="n">
        <v>1302</v>
      </c>
      <c r="B1306" s="12" t="s">
        <v>4017</v>
      </c>
      <c r="C1306" s="12" t="s">
        <v>4018</v>
      </c>
      <c r="D1306" s="16" t="n">
        <v>0.00853715277777778</v>
      </c>
      <c r="E1306" s="15" t="n">
        <f aca="false">ROUND((D1306-$D$5)*86400,2)</f>
        <v>198.59</v>
      </c>
      <c r="F1306" s="17" t="n">
        <v>2630</v>
      </c>
      <c r="G1306" s="16" t="str">
        <f aca="false">IF(INDEX(選手一覧!$D$7:$D$2738,$F1306)="","",INDEX(選手一覧!$D$7:$D$2738,$F1306))</f>
        <v/>
      </c>
      <c r="H1306" s="17" t="str">
        <f aca="false">IF(INDEX(選手一覧!$E$7:$E$2738,$F1306)="","",INDEX(選手一覧!$E$7:$E$2738,$F1306))</f>
        <v/>
      </c>
      <c r="I1306" s="16" t="str">
        <f aca="false">IF(INDEX(選手一覧!$J$7:$J$2738,$F1306)="","",INDEX(選手一覧!$J$7:$J$2738,$F1306))</f>
        <v/>
      </c>
      <c r="J1306" s="17" t="str">
        <f aca="false">IF(INDEX(選手一覧!$K$7:$K$2738,$F1306)="","",INDEX(選手一覧!$K$7:$K$2738,$F1306))</f>
        <v/>
      </c>
    </row>
    <row r="1307" customFormat="false" ht="15" hidden="false" customHeight="false" outlineLevel="0" collapsed="false">
      <c r="A1307" s="17" t="n">
        <v>1303</v>
      </c>
      <c r="B1307" s="12" t="s">
        <v>4020</v>
      </c>
      <c r="C1307" s="12" t="s">
        <v>4021</v>
      </c>
      <c r="D1307" s="16" t="n">
        <v>0.0085380787037037</v>
      </c>
      <c r="E1307" s="15" t="n">
        <f aca="false">ROUND((D1307-$D$5)*86400,2)</f>
        <v>198.67</v>
      </c>
      <c r="F1307" s="17" t="n">
        <v>2632</v>
      </c>
      <c r="G1307" s="16" t="str">
        <f aca="false">IF(INDEX(選手一覧!$D$7:$D$2738,$F1307)="","",INDEX(選手一覧!$D$7:$D$2738,$F1307))</f>
        <v/>
      </c>
      <c r="H1307" s="17" t="str">
        <f aca="false">IF(INDEX(選手一覧!$E$7:$E$2738,$F1307)="","",INDEX(選手一覧!$E$7:$E$2738,$F1307))</f>
        <v/>
      </c>
      <c r="I1307" s="16" t="str">
        <f aca="false">IF(INDEX(選手一覧!$J$7:$J$2738,$F1307)="","",INDEX(選手一覧!$J$7:$J$2738,$F1307))</f>
        <v/>
      </c>
      <c r="J1307" s="17" t="str">
        <f aca="false">IF(INDEX(選手一覧!$K$7:$K$2738,$F1307)="","",INDEX(選手一覧!$K$7:$K$2738,$F1307))</f>
        <v/>
      </c>
    </row>
    <row r="1308" customFormat="false" ht="15" hidden="false" customHeight="false" outlineLevel="0" collapsed="false">
      <c r="A1308" s="17" t="n">
        <v>1304</v>
      </c>
      <c r="B1308" s="12" t="s">
        <v>4024</v>
      </c>
      <c r="C1308" s="12" t="s">
        <v>4025</v>
      </c>
      <c r="D1308" s="16" t="n">
        <v>0.00854097222222222</v>
      </c>
      <c r="E1308" s="15" t="n">
        <f aca="false">ROUND((D1308-$D$5)*86400,2)</f>
        <v>198.92</v>
      </c>
      <c r="F1308" s="17" t="n">
        <v>2634</v>
      </c>
      <c r="G1308" s="16" t="str">
        <f aca="false">IF(INDEX(選手一覧!$D$7:$D$2738,$F1308)="","",INDEX(選手一覧!$D$7:$D$2738,$F1308))</f>
        <v/>
      </c>
      <c r="H1308" s="17" t="str">
        <f aca="false">IF(INDEX(選手一覧!$E$7:$E$2738,$F1308)="","",INDEX(選手一覧!$E$7:$E$2738,$F1308))</f>
        <v/>
      </c>
      <c r="I1308" s="16" t="str">
        <f aca="false">IF(INDEX(選手一覧!$J$7:$J$2738,$F1308)="","",INDEX(選手一覧!$J$7:$J$2738,$F1308))</f>
        <v/>
      </c>
      <c r="J1308" s="17" t="str">
        <f aca="false">IF(INDEX(選手一覧!$K$7:$K$2738,$F1308)="","",INDEX(選手一覧!$K$7:$K$2738,$F1308))</f>
        <v/>
      </c>
    </row>
    <row r="1309" customFormat="false" ht="15" hidden="false" customHeight="false" outlineLevel="0" collapsed="false">
      <c r="A1309" s="17" t="n">
        <v>1305</v>
      </c>
      <c r="B1309" s="12" t="s">
        <v>4028</v>
      </c>
      <c r="C1309" s="12" t="s">
        <v>4029</v>
      </c>
      <c r="D1309" s="16" t="n">
        <v>0.00855069444444444</v>
      </c>
      <c r="E1309" s="15" t="n">
        <f aca="false">ROUND((D1309-$D$5)*86400,2)</f>
        <v>199.76</v>
      </c>
      <c r="F1309" s="17" t="n">
        <v>2636</v>
      </c>
      <c r="G1309" s="16" t="str">
        <f aca="false">IF(INDEX(選手一覧!$D$7:$D$2738,$F1309)="","",INDEX(選手一覧!$D$7:$D$2738,$F1309))</f>
        <v/>
      </c>
      <c r="H1309" s="17" t="str">
        <f aca="false">IF(INDEX(選手一覧!$E$7:$E$2738,$F1309)="","",INDEX(選手一覧!$E$7:$E$2738,$F1309))</f>
        <v/>
      </c>
      <c r="I1309" s="16" t="str">
        <f aca="false">IF(INDEX(選手一覧!$J$7:$J$2738,$F1309)="","",INDEX(選手一覧!$J$7:$J$2738,$F1309))</f>
        <v/>
      </c>
      <c r="J1309" s="17" t="str">
        <f aca="false">IF(INDEX(選手一覧!$K$7:$K$2738,$F1309)="","",INDEX(選手一覧!$K$7:$K$2738,$F1309))</f>
        <v/>
      </c>
    </row>
    <row r="1310" customFormat="false" ht="15" hidden="false" customHeight="false" outlineLevel="0" collapsed="false">
      <c r="A1310" s="17" t="n">
        <v>1306</v>
      </c>
      <c r="B1310" s="12" t="s">
        <v>4030</v>
      </c>
      <c r="C1310" s="12" t="s">
        <v>4018</v>
      </c>
      <c r="D1310" s="16" t="n">
        <v>0.00856365740740741</v>
      </c>
      <c r="E1310" s="15" t="n">
        <f aca="false">ROUND((D1310-$D$5)*86400,2)</f>
        <v>200.88</v>
      </c>
      <c r="F1310" s="17" t="n">
        <v>2637</v>
      </c>
      <c r="G1310" s="16" t="str">
        <f aca="false">IF(INDEX(選手一覧!$D$7:$D$2738,$F1310)="","",INDEX(選手一覧!$D$7:$D$2738,$F1310))</f>
        <v/>
      </c>
      <c r="H1310" s="17" t="str">
        <f aca="false">IF(INDEX(選手一覧!$E$7:$E$2738,$F1310)="","",INDEX(選手一覧!$E$7:$E$2738,$F1310))</f>
        <v/>
      </c>
      <c r="I1310" s="16" t="str">
        <f aca="false">IF(INDEX(選手一覧!$J$7:$J$2738,$F1310)="","",INDEX(選手一覧!$J$7:$J$2738,$F1310))</f>
        <v/>
      </c>
      <c r="J1310" s="17" t="str">
        <f aca="false">IF(INDEX(選手一覧!$K$7:$K$2738,$F1310)="","",INDEX(選手一覧!$K$7:$K$2738,$F1310))</f>
        <v/>
      </c>
    </row>
    <row r="1311" customFormat="false" ht="15" hidden="false" customHeight="false" outlineLevel="0" collapsed="false">
      <c r="A1311" s="17" t="n">
        <v>1307</v>
      </c>
      <c r="B1311" s="12" t="s">
        <v>4033</v>
      </c>
      <c r="C1311" s="12" t="s">
        <v>4034</v>
      </c>
      <c r="D1311" s="16" t="n">
        <v>0.00856388888888889</v>
      </c>
      <c r="E1311" s="15" t="n">
        <f aca="false">ROUND((D1311-$D$5)*86400,2)</f>
        <v>200.9</v>
      </c>
      <c r="F1311" s="17" t="n">
        <v>2639</v>
      </c>
      <c r="G1311" s="16" t="str">
        <f aca="false">IF(INDEX(選手一覧!$D$7:$D$2738,$F1311)="","",INDEX(選手一覧!$D$7:$D$2738,$F1311))</f>
        <v/>
      </c>
      <c r="H1311" s="17" t="str">
        <f aca="false">IF(INDEX(選手一覧!$E$7:$E$2738,$F1311)="","",INDEX(選手一覧!$E$7:$E$2738,$F1311))</f>
        <v/>
      </c>
      <c r="I1311" s="16" t="str">
        <f aca="false">IF(INDEX(選手一覧!$J$7:$J$2738,$F1311)="","",INDEX(選手一覧!$J$7:$J$2738,$F1311))</f>
        <v/>
      </c>
      <c r="J1311" s="17" t="str">
        <f aca="false">IF(INDEX(選手一覧!$K$7:$K$2738,$F1311)="","",INDEX(選手一覧!$K$7:$K$2738,$F1311))</f>
        <v/>
      </c>
    </row>
    <row r="1312" customFormat="false" ht="15" hidden="false" customHeight="false" outlineLevel="0" collapsed="false">
      <c r="A1312" s="17" t="n">
        <v>1308</v>
      </c>
      <c r="B1312" s="12" t="s">
        <v>4035</v>
      </c>
      <c r="C1312" s="12" t="s">
        <v>4036</v>
      </c>
      <c r="D1312" s="16" t="n">
        <v>0.00856435185185185</v>
      </c>
      <c r="E1312" s="15" t="n">
        <f aca="false">ROUND((D1312-$D$5)*86400,2)</f>
        <v>200.94</v>
      </c>
      <c r="F1312" s="17" t="n">
        <v>2640</v>
      </c>
      <c r="G1312" s="16" t="str">
        <f aca="false">IF(INDEX(選手一覧!$D$7:$D$2738,$F1312)="","",INDEX(選手一覧!$D$7:$D$2738,$F1312))</f>
        <v/>
      </c>
      <c r="H1312" s="17" t="str">
        <f aca="false">IF(INDEX(選手一覧!$E$7:$E$2738,$F1312)="","",INDEX(選手一覧!$E$7:$E$2738,$F1312))</f>
        <v/>
      </c>
      <c r="I1312" s="16" t="str">
        <f aca="false">IF(INDEX(選手一覧!$J$7:$J$2738,$F1312)="","",INDEX(選手一覧!$J$7:$J$2738,$F1312))</f>
        <v/>
      </c>
      <c r="J1312" s="17" t="str">
        <f aca="false">IF(INDEX(選手一覧!$K$7:$K$2738,$F1312)="","",INDEX(選手一覧!$K$7:$K$2738,$F1312))</f>
        <v/>
      </c>
    </row>
    <row r="1313" customFormat="false" ht="15" hidden="false" customHeight="false" outlineLevel="0" collapsed="false">
      <c r="A1313" s="17" t="n">
        <v>1309</v>
      </c>
      <c r="B1313" s="12" t="s">
        <v>4038</v>
      </c>
      <c r="C1313" s="12" t="s">
        <v>4039</v>
      </c>
      <c r="D1313" s="16" t="n">
        <v>0.0085693287037037</v>
      </c>
      <c r="E1313" s="15" t="n">
        <f aca="false">ROUND((D1313-$D$5)*86400,2)</f>
        <v>201.37</v>
      </c>
      <c r="F1313" s="17" t="n">
        <v>2642</v>
      </c>
      <c r="G1313" s="16" t="str">
        <f aca="false">IF(INDEX(選手一覧!$D$7:$D$2738,$F1313)="","",INDEX(選手一覧!$D$7:$D$2738,$F1313))</f>
        <v/>
      </c>
      <c r="H1313" s="17" t="str">
        <f aca="false">IF(INDEX(選手一覧!$E$7:$E$2738,$F1313)="","",INDEX(選手一覧!$E$7:$E$2738,$F1313))</f>
        <v/>
      </c>
      <c r="I1313" s="16" t="str">
        <f aca="false">IF(INDEX(選手一覧!$J$7:$J$2738,$F1313)="","",INDEX(選手一覧!$J$7:$J$2738,$F1313))</f>
        <v/>
      </c>
      <c r="J1313" s="17" t="str">
        <f aca="false">IF(INDEX(選手一覧!$K$7:$K$2738,$F1313)="","",INDEX(選手一覧!$K$7:$K$2738,$F1313))</f>
        <v/>
      </c>
    </row>
    <row r="1314" customFormat="false" ht="15" hidden="false" customHeight="false" outlineLevel="0" collapsed="false">
      <c r="A1314" s="17" t="n">
        <v>1310</v>
      </c>
      <c r="B1314" s="12" t="s">
        <v>4042</v>
      </c>
      <c r="C1314" s="12" t="s">
        <v>4043</v>
      </c>
      <c r="D1314" s="16" t="n">
        <v>0.00857025462962963</v>
      </c>
      <c r="E1314" s="15" t="n">
        <f aca="false">ROUND((D1314-$D$5)*86400,2)</f>
        <v>201.45</v>
      </c>
      <c r="F1314" s="17" t="n">
        <v>2644</v>
      </c>
      <c r="G1314" s="16" t="str">
        <f aca="false">IF(INDEX(選手一覧!$D$7:$D$2738,$F1314)="","",INDEX(選手一覧!$D$7:$D$2738,$F1314))</f>
        <v/>
      </c>
      <c r="H1314" s="17" t="str">
        <f aca="false">IF(INDEX(選手一覧!$E$7:$E$2738,$F1314)="","",INDEX(選手一覧!$E$7:$E$2738,$F1314))</f>
        <v/>
      </c>
      <c r="I1314" s="16" t="str">
        <f aca="false">IF(INDEX(選手一覧!$J$7:$J$2738,$F1314)="","",INDEX(選手一覧!$J$7:$J$2738,$F1314))</f>
        <v/>
      </c>
      <c r="J1314" s="17" t="str">
        <f aca="false">IF(INDEX(選手一覧!$K$7:$K$2738,$F1314)="","",INDEX(選手一覧!$K$7:$K$2738,$F1314))</f>
        <v/>
      </c>
    </row>
    <row r="1315" customFormat="false" ht="15" hidden="false" customHeight="false" outlineLevel="0" collapsed="false">
      <c r="A1315" s="17" t="n">
        <v>1311</v>
      </c>
      <c r="B1315" s="12" t="s">
        <v>4044</v>
      </c>
      <c r="C1315" s="12" t="s">
        <v>4045</v>
      </c>
      <c r="D1315" s="16" t="n">
        <v>0.00857673611111111</v>
      </c>
      <c r="E1315" s="15" t="n">
        <f aca="false">ROUND((D1315-$D$5)*86400,2)</f>
        <v>202.01</v>
      </c>
      <c r="F1315" s="17" t="n">
        <v>2645</v>
      </c>
      <c r="G1315" s="16" t="str">
        <f aca="false">IF(INDEX(選手一覧!$D$7:$D$2738,$F1315)="","",INDEX(選手一覧!$D$7:$D$2738,$F1315))</f>
        <v/>
      </c>
      <c r="H1315" s="17" t="str">
        <f aca="false">IF(INDEX(選手一覧!$E$7:$E$2738,$F1315)="","",INDEX(選手一覧!$E$7:$E$2738,$F1315))</f>
        <v/>
      </c>
      <c r="I1315" s="16" t="str">
        <f aca="false">IF(INDEX(選手一覧!$J$7:$J$2738,$F1315)="","",INDEX(選手一覧!$J$7:$J$2738,$F1315))</f>
        <v/>
      </c>
      <c r="J1315" s="17" t="str">
        <f aca="false">IF(INDEX(選手一覧!$K$7:$K$2738,$F1315)="","",INDEX(選手一覧!$K$7:$K$2738,$F1315))</f>
        <v/>
      </c>
    </row>
    <row r="1316" customFormat="false" ht="15" hidden="false" customHeight="false" outlineLevel="0" collapsed="false">
      <c r="A1316" s="17" t="n">
        <v>1312</v>
      </c>
      <c r="B1316" s="12" t="s">
        <v>4046</v>
      </c>
      <c r="C1316" s="12" t="s">
        <v>2259</v>
      </c>
      <c r="D1316" s="16" t="n">
        <v>0.00857997685185185</v>
      </c>
      <c r="E1316" s="15" t="n">
        <f aca="false">ROUND((D1316-$D$5)*86400,2)</f>
        <v>202.29</v>
      </c>
      <c r="F1316" s="17" t="n">
        <v>2646</v>
      </c>
      <c r="G1316" s="16" t="str">
        <f aca="false">IF(INDEX(選手一覧!$D$7:$D$2738,$F1316)="","",INDEX(選手一覧!$D$7:$D$2738,$F1316))</f>
        <v/>
      </c>
      <c r="H1316" s="17" t="str">
        <f aca="false">IF(INDEX(選手一覧!$E$7:$E$2738,$F1316)="","",INDEX(選手一覧!$E$7:$E$2738,$F1316))</f>
        <v/>
      </c>
      <c r="I1316" s="16" t="str">
        <f aca="false">IF(INDEX(選手一覧!$J$7:$J$2738,$F1316)="","",INDEX(選手一覧!$J$7:$J$2738,$F1316))</f>
        <v/>
      </c>
      <c r="J1316" s="17" t="str">
        <f aca="false">IF(INDEX(選手一覧!$K$7:$K$2738,$F1316)="","",INDEX(選手一覧!$K$7:$K$2738,$F1316))</f>
        <v/>
      </c>
    </row>
    <row r="1317" customFormat="false" ht="15" hidden="false" customHeight="false" outlineLevel="0" collapsed="false">
      <c r="A1317" s="17" t="n">
        <v>1313</v>
      </c>
      <c r="B1317" s="12" t="s">
        <v>4049</v>
      </c>
      <c r="C1317" s="12" t="s">
        <v>3220</v>
      </c>
      <c r="D1317" s="16" t="n">
        <v>0.00858298611111111</v>
      </c>
      <c r="E1317" s="15" t="n">
        <f aca="false">ROUND((D1317-$D$5)*86400,2)</f>
        <v>202.55</v>
      </c>
      <c r="F1317" s="17" t="n">
        <v>2648</v>
      </c>
      <c r="G1317" s="16" t="str">
        <f aca="false">IF(INDEX(選手一覧!$D$7:$D$2738,$F1317)="","",INDEX(選手一覧!$D$7:$D$2738,$F1317))</f>
        <v/>
      </c>
      <c r="H1317" s="17" t="str">
        <f aca="false">IF(INDEX(選手一覧!$E$7:$E$2738,$F1317)="","",INDEX(選手一覧!$E$7:$E$2738,$F1317))</f>
        <v/>
      </c>
      <c r="I1317" s="16" t="str">
        <f aca="false">IF(INDEX(選手一覧!$J$7:$J$2738,$F1317)="","",INDEX(選手一覧!$J$7:$J$2738,$F1317))</f>
        <v/>
      </c>
      <c r="J1317" s="17" t="str">
        <f aca="false">IF(INDEX(選手一覧!$K$7:$K$2738,$F1317)="","",INDEX(選手一覧!$K$7:$K$2738,$F1317))</f>
        <v/>
      </c>
    </row>
    <row r="1318" customFormat="false" ht="15" hidden="false" customHeight="false" outlineLevel="0" collapsed="false">
      <c r="A1318" s="17" t="n">
        <v>1314</v>
      </c>
      <c r="B1318" s="12" t="s">
        <v>4050</v>
      </c>
      <c r="C1318" s="12" t="s">
        <v>4051</v>
      </c>
      <c r="D1318" s="16" t="n">
        <v>0.00860219907407408</v>
      </c>
      <c r="E1318" s="15" t="n">
        <f aca="false">ROUND((D1318-$D$5)*86400,2)</f>
        <v>204.21</v>
      </c>
      <c r="F1318" s="17" t="n">
        <v>2649</v>
      </c>
      <c r="G1318" s="16" t="str">
        <f aca="false">IF(INDEX(選手一覧!$D$7:$D$2738,$F1318)="","",INDEX(選手一覧!$D$7:$D$2738,$F1318))</f>
        <v/>
      </c>
      <c r="H1318" s="17" t="str">
        <f aca="false">IF(INDEX(選手一覧!$E$7:$E$2738,$F1318)="","",INDEX(選手一覧!$E$7:$E$2738,$F1318))</f>
        <v/>
      </c>
      <c r="I1318" s="16" t="str">
        <f aca="false">IF(INDEX(選手一覧!$J$7:$J$2738,$F1318)="","",INDEX(選手一覧!$J$7:$J$2738,$F1318))</f>
        <v/>
      </c>
      <c r="J1318" s="17" t="str">
        <f aca="false">IF(INDEX(選手一覧!$K$7:$K$2738,$F1318)="","",INDEX(選手一覧!$K$7:$K$2738,$F1318))</f>
        <v/>
      </c>
    </row>
    <row r="1319" customFormat="false" ht="15" hidden="false" customHeight="false" outlineLevel="0" collapsed="false">
      <c r="A1319" s="17" t="n">
        <v>1315</v>
      </c>
      <c r="B1319" s="12" t="s">
        <v>4054</v>
      </c>
      <c r="C1319" s="12" t="s">
        <v>2196</v>
      </c>
      <c r="D1319" s="16" t="n">
        <v>0.008609375</v>
      </c>
      <c r="E1319" s="15" t="n">
        <f aca="false">ROUND((D1319-$D$5)*86400,2)</f>
        <v>204.83</v>
      </c>
      <c r="F1319" s="17" t="n">
        <v>2651</v>
      </c>
      <c r="G1319" s="16" t="str">
        <f aca="false">IF(INDEX(選手一覧!$D$7:$D$2738,$F1319)="","",INDEX(選手一覧!$D$7:$D$2738,$F1319))</f>
        <v/>
      </c>
      <c r="H1319" s="17" t="str">
        <f aca="false">IF(INDEX(選手一覧!$E$7:$E$2738,$F1319)="","",INDEX(選手一覧!$E$7:$E$2738,$F1319))</f>
        <v/>
      </c>
      <c r="I1319" s="16" t="str">
        <f aca="false">IF(INDEX(選手一覧!$J$7:$J$2738,$F1319)="","",INDEX(選手一覧!$J$7:$J$2738,$F1319))</f>
        <v/>
      </c>
      <c r="J1319" s="17" t="str">
        <f aca="false">IF(INDEX(選手一覧!$K$7:$K$2738,$F1319)="","",INDEX(選手一覧!$K$7:$K$2738,$F1319))</f>
        <v/>
      </c>
    </row>
    <row r="1320" customFormat="false" ht="15" hidden="false" customHeight="false" outlineLevel="0" collapsed="false">
      <c r="A1320" s="17" t="n">
        <v>1316</v>
      </c>
      <c r="B1320" s="12" t="s">
        <v>4055</v>
      </c>
      <c r="C1320" s="12" t="s">
        <v>1599</v>
      </c>
      <c r="D1320" s="16" t="n">
        <v>0.00861840277777778</v>
      </c>
      <c r="E1320" s="15" t="n">
        <f aca="false">ROUND((D1320-$D$5)*86400,2)</f>
        <v>205.61</v>
      </c>
      <c r="F1320" s="17" t="n">
        <v>2652</v>
      </c>
      <c r="G1320" s="16" t="str">
        <f aca="false">IF(INDEX(選手一覧!$D$7:$D$2738,$F1320)="","",INDEX(選手一覧!$D$7:$D$2738,$F1320))</f>
        <v/>
      </c>
      <c r="H1320" s="17" t="str">
        <f aca="false">IF(INDEX(選手一覧!$E$7:$E$2738,$F1320)="","",INDEX(選手一覧!$E$7:$E$2738,$F1320))</f>
        <v/>
      </c>
      <c r="I1320" s="16" t="str">
        <f aca="false">IF(INDEX(選手一覧!$J$7:$J$2738,$F1320)="","",INDEX(選手一覧!$J$7:$J$2738,$F1320))</f>
        <v/>
      </c>
      <c r="J1320" s="17" t="str">
        <f aca="false">IF(INDEX(選手一覧!$K$7:$K$2738,$F1320)="","",INDEX(選手一覧!$K$7:$K$2738,$F1320))</f>
        <v/>
      </c>
    </row>
    <row r="1321" customFormat="false" ht="15" hidden="false" customHeight="false" outlineLevel="0" collapsed="false">
      <c r="A1321" s="17" t="n">
        <v>1317</v>
      </c>
      <c r="B1321" s="12" t="s">
        <v>4056</v>
      </c>
      <c r="C1321" s="12" t="s">
        <v>3172</v>
      </c>
      <c r="D1321" s="16" t="n">
        <v>0.0086212962962963</v>
      </c>
      <c r="E1321" s="15" t="n">
        <f aca="false">ROUND((D1321-$D$5)*86400,2)</f>
        <v>205.86</v>
      </c>
      <c r="F1321" s="17" t="n">
        <v>2653</v>
      </c>
      <c r="G1321" s="16" t="str">
        <f aca="false">IF(INDEX(選手一覧!$D$7:$D$2738,$F1321)="","",INDEX(選手一覧!$D$7:$D$2738,$F1321))</f>
        <v/>
      </c>
      <c r="H1321" s="17" t="str">
        <f aca="false">IF(INDEX(選手一覧!$E$7:$E$2738,$F1321)="","",INDEX(選手一覧!$E$7:$E$2738,$F1321))</f>
        <v/>
      </c>
      <c r="I1321" s="16" t="str">
        <f aca="false">IF(INDEX(選手一覧!$J$7:$J$2738,$F1321)="","",INDEX(選手一覧!$J$7:$J$2738,$F1321))</f>
        <v/>
      </c>
      <c r="J1321" s="17" t="str">
        <f aca="false">IF(INDEX(選手一覧!$K$7:$K$2738,$F1321)="","",INDEX(選手一覧!$K$7:$K$2738,$F1321))</f>
        <v/>
      </c>
    </row>
    <row r="1322" customFormat="false" ht="15" hidden="false" customHeight="false" outlineLevel="0" collapsed="false">
      <c r="A1322" s="17" t="n">
        <v>1318</v>
      </c>
      <c r="B1322" s="12" t="s">
        <v>4058</v>
      </c>
      <c r="C1322" s="12" t="s">
        <v>3455</v>
      </c>
      <c r="D1322" s="16" t="n">
        <v>0.0086337962962963</v>
      </c>
      <c r="E1322" s="15" t="n">
        <f aca="false">ROUND((D1322-$D$5)*86400,2)</f>
        <v>206.94</v>
      </c>
      <c r="F1322" s="17" t="n">
        <v>2655</v>
      </c>
      <c r="G1322" s="16" t="str">
        <f aca="false">IF(INDEX(選手一覧!$D$7:$D$2738,$F1322)="","",INDEX(選手一覧!$D$7:$D$2738,$F1322))</f>
        <v/>
      </c>
      <c r="H1322" s="17" t="str">
        <f aca="false">IF(INDEX(選手一覧!$E$7:$E$2738,$F1322)="","",INDEX(選手一覧!$E$7:$E$2738,$F1322))</f>
        <v/>
      </c>
      <c r="I1322" s="16" t="str">
        <f aca="false">IF(INDEX(選手一覧!$J$7:$J$2738,$F1322)="","",INDEX(選手一覧!$J$7:$J$2738,$F1322))</f>
        <v/>
      </c>
      <c r="J1322" s="17" t="str">
        <f aca="false">IF(INDEX(選手一覧!$K$7:$K$2738,$F1322)="","",INDEX(選手一覧!$K$7:$K$2738,$F1322))</f>
        <v/>
      </c>
    </row>
    <row r="1323" customFormat="false" ht="15" hidden="false" customHeight="false" outlineLevel="0" collapsed="false">
      <c r="A1323" s="17" t="n">
        <v>1319</v>
      </c>
      <c r="B1323" s="12" t="s">
        <v>4060</v>
      </c>
      <c r="C1323" s="12" t="s">
        <v>4061</v>
      </c>
      <c r="D1323" s="16" t="n">
        <v>0.00863530092592593</v>
      </c>
      <c r="E1323" s="15" t="n">
        <f aca="false">ROUND((D1323-$D$5)*86400,2)</f>
        <v>207.07</v>
      </c>
      <c r="F1323" s="17" t="n">
        <v>2657</v>
      </c>
      <c r="G1323" s="16" t="str">
        <f aca="false">IF(INDEX(選手一覧!$D$7:$D$2738,$F1323)="","",INDEX(選手一覧!$D$7:$D$2738,$F1323))</f>
        <v/>
      </c>
      <c r="H1323" s="17" t="str">
        <f aca="false">IF(INDEX(選手一覧!$E$7:$E$2738,$F1323)="","",INDEX(選手一覧!$E$7:$E$2738,$F1323))</f>
        <v/>
      </c>
      <c r="I1323" s="16" t="str">
        <f aca="false">IF(INDEX(選手一覧!$J$7:$J$2738,$F1323)="","",INDEX(選手一覧!$J$7:$J$2738,$F1323))</f>
        <v/>
      </c>
      <c r="J1323" s="17" t="str">
        <f aca="false">IF(INDEX(選手一覧!$K$7:$K$2738,$F1323)="","",INDEX(選手一覧!$K$7:$K$2738,$F1323))</f>
        <v/>
      </c>
    </row>
    <row r="1324" customFormat="false" ht="15" hidden="false" customHeight="false" outlineLevel="0" collapsed="false">
      <c r="A1324" s="17" t="n">
        <v>1320</v>
      </c>
      <c r="B1324" s="12" t="s">
        <v>4062</v>
      </c>
      <c r="C1324" s="12" t="s">
        <v>4063</v>
      </c>
      <c r="D1324" s="16" t="n">
        <v>0.00863703703703704</v>
      </c>
      <c r="E1324" s="15" t="n">
        <f aca="false">ROUND((D1324-$D$5)*86400,2)</f>
        <v>207.22</v>
      </c>
      <c r="F1324" s="17" t="n">
        <v>2658</v>
      </c>
      <c r="G1324" s="16" t="str">
        <f aca="false">IF(INDEX(選手一覧!$D$7:$D$2738,$F1324)="","",INDEX(選手一覧!$D$7:$D$2738,$F1324))</f>
        <v/>
      </c>
      <c r="H1324" s="17" t="str">
        <f aca="false">IF(INDEX(選手一覧!$E$7:$E$2738,$F1324)="","",INDEX(選手一覧!$E$7:$E$2738,$F1324))</f>
        <v/>
      </c>
      <c r="I1324" s="16" t="str">
        <f aca="false">IF(INDEX(選手一覧!$J$7:$J$2738,$F1324)="","",INDEX(選手一覧!$J$7:$J$2738,$F1324))</f>
        <v/>
      </c>
      <c r="J1324" s="17" t="str">
        <f aca="false">IF(INDEX(選手一覧!$K$7:$K$2738,$F1324)="","",INDEX(選手一覧!$K$7:$K$2738,$F1324))</f>
        <v/>
      </c>
    </row>
    <row r="1325" customFormat="false" ht="15" hidden="false" customHeight="false" outlineLevel="0" collapsed="false">
      <c r="A1325" s="17" t="n">
        <v>1321</v>
      </c>
      <c r="B1325" s="12" t="s">
        <v>4064</v>
      </c>
      <c r="C1325" s="12" t="s">
        <v>2073</v>
      </c>
      <c r="D1325" s="16" t="n">
        <v>0.0086375</v>
      </c>
      <c r="E1325" s="15" t="n">
        <f aca="false">ROUND((D1325-$D$5)*86400,2)</f>
        <v>207.26</v>
      </c>
      <c r="F1325" s="17" t="n">
        <v>2659</v>
      </c>
      <c r="G1325" s="16" t="str">
        <f aca="false">IF(INDEX(選手一覧!$D$7:$D$2738,$F1325)="","",INDEX(選手一覧!$D$7:$D$2738,$F1325))</f>
        <v/>
      </c>
      <c r="H1325" s="17" t="str">
        <f aca="false">IF(INDEX(選手一覧!$E$7:$E$2738,$F1325)="","",INDEX(選手一覧!$E$7:$E$2738,$F1325))</f>
        <v/>
      </c>
      <c r="I1325" s="16" t="str">
        <f aca="false">IF(INDEX(選手一覧!$J$7:$J$2738,$F1325)="","",INDEX(選手一覧!$J$7:$J$2738,$F1325))</f>
        <v/>
      </c>
      <c r="J1325" s="17" t="str">
        <f aca="false">IF(INDEX(選手一覧!$K$7:$K$2738,$F1325)="","",INDEX(選手一覧!$K$7:$K$2738,$F1325))</f>
        <v/>
      </c>
    </row>
    <row r="1326" customFormat="false" ht="15" hidden="false" customHeight="false" outlineLevel="0" collapsed="false">
      <c r="A1326" s="17" t="n">
        <v>1322</v>
      </c>
      <c r="B1326" s="12" t="s">
        <v>4067</v>
      </c>
      <c r="C1326" s="12" t="s">
        <v>4048</v>
      </c>
      <c r="D1326" s="16" t="n">
        <v>0.00864537037037037</v>
      </c>
      <c r="E1326" s="15" t="n">
        <f aca="false">ROUND((D1326-$D$5)*86400,2)</f>
        <v>207.94</v>
      </c>
      <c r="F1326" s="17" t="n">
        <v>2661</v>
      </c>
      <c r="G1326" s="16" t="str">
        <f aca="false">IF(INDEX(選手一覧!$D$7:$D$2738,$F1326)="","",INDEX(選手一覧!$D$7:$D$2738,$F1326))</f>
        <v/>
      </c>
      <c r="H1326" s="17" t="str">
        <f aca="false">IF(INDEX(選手一覧!$E$7:$E$2738,$F1326)="","",INDEX(選手一覧!$E$7:$E$2738,$F1326))</f>
        <v/>
      </c>
      <c r="I1326" s="16" t="str">
        <f aca="false">IF(INDEX(選手一覧!$J$7:$J$2738,$F1326)="","",INDEX(選手一覧!$J$7:$J$2738,$F1326))</f>
        <v/>
      </c>
      <c r="J1326" s="17" t="str">
        <f aca="false">IF(INDEX(選手一覧!$K$7:$K$2738,$F1326)="","",INDEX(選手一覧!$K$7:$K$2738,$F1326))</f>
        <v/>
      </c>
    </row>
    <row r="1327" customFormat="false" ht="15" hidden="false" customHeight="false" outlineLevel="0" collapsed="false">
      <c r="A1327" s="17" t="n">
        <v>1323</v>
      </c>
      <c r="B1327" s="12" t="s">
        <v>4069</v>
      </c>
      <c r="C1327" s="12" t="s">
        <v>1274</v>
      </c>
      <c r="D1327" s="16" t="n">
        <v>0.00864606481481482</v>
      </c>
      <c r="E1327" s="15" t="n">
        <f aca="false">ROUND((D1327-$D$5)*86400,2)</f>
        <v>208</v>
      </c>
      <c r="F1327" s="17" t="n">
        <v>2663</v>
      </c>
      <c r="G1327" s="16" t="str">
        <f aca="false">IF(INDEX(選手一覧!$D$7:$D$2738,$F1327)="","",INDEX(選手一覧!$D$7:$D$2738,$F1327))</f>
        <v/>
      </c>
      <c r="H1327" s="17" t="str">
        <f aca="false">IF(INDEX(選手一覧!$E$7:$E$2738,$F1327)="","",INDEX(選手一覧!$E$7:$E$2738,$F1327))</f>
        <v/>
      </c>
      <c r="I1327" s="16" t="str">
        <f aca="false">IF(INDEX(選手一覧!$J$7:$J$2738,$F1327)="","",INDEX(選手一覧!$J$7:$J$2738,$F1327))</f>
        <v/>
      </c>
      <c r="J1327" s="17" t="str">
        <f aca="false">IF(INDEX(選手一覧!$K$7:$K$2738,$F1327)="","",INDEX(選手一覧!$K$7:$K$2738,$F1327))</f>
        <v/>
      </c>
    </row>
    <row r="1328" customFormat="false" ht="15" hidden="false" customHeight="false" outlineLevel="0" collapsed="false">
      <c r="A1328" s="17" t="n">
        <v>1324</v>
      </c>
      <c r="B1328" s="12" t="s">
        <v>4070</v>
      </c>
      <c r="C1328" s="12" t="s">
        <v>4071</v>
      </c>
      <c r="D1328" s="16" t="n">
        <v>0.00865104166666667</v>
      </c>
      <c r="E1328" s="15" t="n">
        <f aca="false">ROUND((D1328-$D$5)*86400,2)</f>
        <v>208.43</v>
      </c>
      <c r="F1328" s="17" t="n">
        <v>2664</v>
      </c>
      <c r="G1328" s="16" t="str">
        <f aca="false">IF(INDEX(選手一覧!$D$7:$D$2738,$F1328)="","",INDEX(選手一覧!$D$7:$D$2738,$F1328))</f>
        <v/>
      </c>
      <c r="H1328" s="17" t="str">
        <f aca="false">IF(INDEX(選手一覧!$E$7:$E$2738,$F1328)="","",INDEX(選手一覧!$E$7:$E$2738,$F1328))</f>
        <v/>
      </c>
      <c r="I1328" s="16" t="str">
        <f aca="false">IF(INDEX(選手一覧!$J$7:$J$2738,$F1328)="","",INDEX(選手一覧!$J$7:$J$2738,$F1328))</f>
        <v/>
      </c>
      <c r="J1328" s="17" t="str">
        <f aca="false">IF(INDEX(選手一覧!$K$7:$K$2738,$F1328)="","",INDEX(選手一覧!$K$7:$K$2738,$F1328))</f>
        <v/>
      </c>
    </row>
    <row r="1329" customFormat="false" ht="15" hidden="false" customHeight="false" outlineLevel="0" collapsed="false">
      <c r="A1329" s="17" t="n">
        <v>1325</v>
      </c>
      <c r="B1329" s="12" t="s">
        <v>4072</v>
      </c>
      <c r="C1329" s="12" t="s">
        <v>3172</v>
      </c>
      <c r="D1329" s="16" t="n">
        <v>0.00865150462962963</v>
      </c>
      <c r="E1329" s="15" t="n">
        <f aca="false">ROUND((D1329-$D$5)*86400,2)</f>
        <v>208.47</v>
      </c>
      <c r="F1329" s="17" t="n">
        <v>2665</v>
      </c>
      <c r="G1329" s="16" t="str">
        <f aca="false">IF(INDEX(選手一覧!$D$7:$D$2738,$F1329)="","",INDEX(選手一覧!$D$7:$D$2738,$F1329))</f>
        <v/>
      </c>
      <c r="H1329" s="17" t="str">
        <f aca="false">IF(INDEX(選手一覧!$E$7:$E$2738,$F1329)="","",INDEX(選手一覧!$E$7:$E$2738,$F1329))</f>
        <v/>
      </c>
      <c r="I1329" s="16" t="str">
        <f aca="false">IF(INDEX(選手一覧!$J$7:$J$2738,$F1329)="","",INDEX(選手一覧!$J$7:$J$2738,$F1329))</f>
        <v/>
      </c>
      <c r="J1329" s="17" t="str">
        <f aca="false">IF(INDEX(選手一覧!$K$7:$K$2738,$F1329)="","",INDEX(選手一覧!$K$7:$K$2738,$F1329))</f>
        <v/>
      </c>
    </row>
    <row r="1330" customFormat="false" ht="15" hidden="false" customHeight="false" outlineLevel="0" collapsed="false">
      <c r="A1330" s="17" t="n">
        <v>1326</v>
      </c>
      <c r="B1330" s="12" t="s">
        <v>4074</v>
      </c>
      <c r="C1330" s="12" t="s">
        <v>4075</v>
      </c>
      <c r="D1330" s="16" t="n">
        <v>0.00866712962962963</v>
      </c>
      <c r="E1330" s="15" t="n">
        <f aca="false">ROUND((D1330-$D$5)*86400,2)</f>
        <v>209.82</v>
      </c>
      <c r="F1330" s="17" t="n">
        <v>2667</v>
      </c>
      <c r="G1330" s="16" t="str">
        <f aca="false">IF(INDEX(選手一覧!$D$7:$D$2738,$F1330)="","",INDEX(選手一覧!$D$7:$D$2738,$F1330))</f>
        <v/>
      </c>
      <c r="H1330" s="17" t="str">
        <f aca="false">IF(INDEX(選手一覧!$E$7:$E$2738,$F1330)="","",INDEX(選手一覧!$E$7:$E$2738,$F1330))</f>
        <v/>
      </c>
      <c r="I1330" s="16" t="str">
        <f aca="false">IF(INDEX(選手一覧!$J$7:$J$2738,$F1330)="","",INDEX(選手一覧!$J$7:$J$2738,$F1330))</f>
        <v/>
      </c>
      <c r="J1330" s="17" t="str">
        <f aca="false">IF(INDEX(選手一覧!$K$7:$K$2738,$F1330)="","",INDEX(選手一覧!$K$7:$K$2738,$F1330))</f>
        <v/>
      </c>
    </row>
    <row r="1331" customFormat="false" ht="15" hidden="false" customHeight="false" outlineLevel="0" collapsed="false">
      <c r="A1331" s="17" t="n">
        <v>1327</v>
      </c>
      <c r="B1331" s="12" t="s">
        <v>4076</v>
      </c>
      <c r="C1331" s="12" t="s">
        <v>1227</v>
      </c>
      <c r="D1331" s="16" t="n">
        <v>0.00869976851851852</v>
      </c>
      <c r="E1331" s="15" t="n">
        <f aca="false">ROUND((D1331-$D$5)*86400,2)</f>
        <v>212.64</v>
      </c>
      <c r="F1331" s="17" t="n">
        <v>2668</v>
      </c>
      <c r="G1331" s="16" t="str">
        <f aca="false">IF(INDEX(選手一覧!$D$7:$D$2738,$F1331)="","",INDEX(選手一覧!$D$7:$D$2738,$F1331))</f>
        <v/>
      </c>
      <c r="H1331" s="17" t="str">
        <f aca="false">IF(INDEX(選手一覧!$E$7:$E$2738,$F1331)="","",INDEX(選手一覧!$E$7:$E$2738,$F1331))</f>
        <v/>
      </c>
      <c r="I1331" s="16" t="str">
        <f aca="false">IF(INDEX(選手一覧!$J$7:$J$2738,$F1331)="","",INDEX(選手一覧!$J$7:$J$2738,$F1331))</f>
        <v/>
      </c>
      <c r="J1331" s="17" t="str">
        <f aca="false">IF(INDEX(選手一覧!$K$7:$K$2738,$F1331)="","",INDEX(選手一覧!$K$7:$K$2738,$F1331))</f>
        <v/>
      </c>
    </row>
    <row r="1332" customFormat="false" ht="15" hidden="false" customHeight="false" outlineLevel="0" collapsed="false">
      <c r="A1332" s="17" t="n">
        <v>1328</v>
      </c>
      <c r="B1332" s="12" t="s">
        <v>4078</v>
      </c>
      <c r="C1332" s="12" t="s">
        <v>4079</v>
      </c>
      <c r="D1332" s="16" t="n">
        <v>0.00870243055555556</v>
      </c>
      <c r="E1332" s="15" t="n">
        <f aca="false">ROUND((D1332-$D$5)*86400,2)</f>
        <v>212.87</v>
      </c>
      <c r="F1332" s="17" t="n">
        <v>2670</v>
      </c>
      <c r="G1332" s="16" t="str">
        <f aca="false">IF(INDEX(選手一覧!$D$7:$D$2738,$F1332)="","",INDEX(選手一覧!$D$7:$D$2738,$F1332))</f>
        <v/>
      </c>
      <c r="H1332" s="17" t="str">
        <f aca="false">IF(INDEX(選手一覧!$E$7:$E$2738,$F1332)="","",INDEX(選手一覧!$E$7:$E$2738,$F1332))</f>
        <v/>
      </c>
      <c r="I1332" s="16" t="str">
        <f aca="false">IF(INDEX(選手一覧!$J$7:$J$2738,$F1332)="","",INDEX(選手一覧!$J$7:$J$2738,$F1332))</f>
        <v/>
      </c>
      <c r="J1332" s="17" t="str">
        <f aca="false">IF(INDEX(選手一覧!$K$7:$K$2738,$F1332)="","",INDEX(選手一覧!$K$7:$K$2738,$F1332))</f>
        <v/>
      </c>
    </row>
    <row r="1333" customFormat="false" ht="15" hidden="false" customHeight="false" outlineLevel="0" collapsed="false">
      <c r="A1333" s="17" t="n">
        <v>1329</v>
      </c>
      <c r="B1333" s="12" t="s">
        <v>4080</v>
      </c>
      <c r="C1333" s="12" t="s">
        <v>4081</v>
      </c>
      <c r="D1333" s="16" t="n">
        <v>0.0087025462962963</v>
      </c>
      <c r="E1333" s="15" t="n">
        <f aca="false">ROUND((D1333-$D$5)*86400,2)</f>
        <v>212.88</v>
      </c>
      <c r="F1333" s="17" t="n">
        <v>2671</v>
      </c>
      <c r="G1333" s="16" t="str">
        <f aca="false">IF(INDEX(選手一覧!$D$7:$D$2738,$F1333)="","",INDEX(選手一覧!$D$7:$D$2738,$F1333))</f>
        <v/>
      </c>
      <c r="H1333" s="17" t="str">
        <f aca="false">IF(INDEX(選手一覧!$E$7:$E$2738,$F1333)="","",INDEX(選手一覧!$E$7:$E$2738,$F1333))</f>
        <v/>
      </c>
      <c r="I1333" s="16" t="str">
        <f aca="false">IF(INDEX(選手一覧!$J$7:$J$2738,$F1333)="","",INDEX(選手一覧!$J$7:$J$2738,$F1333))</f>
        <v/>
      </c>
      <c r="J1333" s="17" t="str">
        <f aca="false">IF(INDEX(選手一覧!$K$7:$K$2738,$F1333)="","",INDEX(選手一覧!$K$7:$K$2738,$F1333))</f>
        <v/>
      </c>
    </row>
    <row r="1334" customFormat="false" ht="15" hidden="false" customHeight="false" outlineLevel="0" collapsed="false">
      <c r="A1334" s="17" t="n">
        <v>1330</v>
      </c>
      <c r="B1334" s="12" t="s">
        <v>4082</v>
      </c>
      <c r="C1334" s="12" t="s">
        <v>4083</v>
      </c>
      <c r="D1334" s="16" t="n">
        <v>0.00871111111111111</v>
      </c>
      <c r="E1334" s="15" t="n">
        <f aca="false">ROUND((D1334-$D$5)*86400,2)</f>
        <v>213.62</v>
      </c>
      <c r="F1334" s="17" t="n">
        <v>2672</v>
      </c>
      <c r="G1334" s="16" t="str">
        <f aca="false">IF(INDEX(選手一覧!$D$7:$D$2738,$F1334)="","",INDEX(選手一覧!$D$7:$D$2738,$F1334))</f>
        <v/>
      </c>
      <c r="H1334" s="17" t="str">
        <f aca="false">IF(INDEX(選手一覧!$E$7:$E$2738,$F1334)="","",INDEX(選手一覧!$E$7:$E$2738,$F1334))</f>
        <v/>
      </c>
      <c r="I1334" s="16" t="str">
        <f aca="false">IF(INDEX(選手一覧!$J$7:$J$2738,$F1334)="","",INDEX(選手一覧!$J$7:$J$2738,$F1334))</f>
        <v/>
      </c>
      <c r="J1334" s="17" t="str">
        <f aca="false">IF(INDEX(選手一覧!$K$7:$K$2738,$F1334)="","",INDEX(選手一覧!$K$7:$K$2738,$F1334))</f>
        <v/>
      </c>
    </row>
    <row r="1335" customFormat="false" ht="15" hidden="false" customHeight="false" outlineLevel="0" collapsed="false">
      <c r="A1335" s="17" t="n">
        <v>1331</v>
      </c>
      <c r="B1335" s="12" t="s">
        <v>4084</v>
      </c>
      <c r="C1335" s="12" t="s">
        <v>2277</v>
      </c>
      <c r="D1335" s="16" t="n">
        <v>0.00872453703703704</v>
      </c>
      <c r="E1335" s="15" t="n">
        <f aca="false">ROUND((D1335-$D$5)*86400,2)</f>
        <v>214.78</v>
      </c>
      <c r="F1335" s="17" t="n">
        <v>2673</v>
      </c>
      <c r="G1335" s="16" t="str">
        <f aca="false">IF(INDEX(選手一覧!$D$7:$D$2738,$F1335)="","",INDEX(選手一覧!$D$7:$D$2738,$F1335))</f>
        <v/>
      </c>
      <c r="H1335" s="17" t="str">
        <f aca="false">IF(INDEX(選手一覧!$E$7:$E$2738,$F1335)="","",INDEX(選手一覧!$E$7:$E$2738,$F1335))</f>
        <v/>
      </c>
      <c r="I1335" s="16" t="str">
        <f aca="false">IF(INDEX(選手一覧!$J$7:$J$2738,$F1335)="","",INDEX(選手一覧!$J$7:$J$2738,$F1335))</f>
        <v/>
      </c>
      <c r="J1335" s="17" t="str">
        <f aca="false">IF(INDEX(選手一覧!$K$7:$K$2738,$F1335)="","",INDEX(選手一覧!$K$7:$K$2738,$F1335))</f>
        <v/>
      </c>
    </row>
    <row r="1336" customFormat="false" ht="15" hidden="false" customHeight="false" outlineLevel="0" collapsed="false">
      <c r="A1336" s="17" t="n">
        <v>1332</v>
      </c>
      <c r="B1336" s="12" t="s">
        <v>4086</v>
      </c>
      <c r="C1336" s="12" t="s">
        <v>4087</v>
      </c>
      <c r="D1336" s="16" t="n">
        <v>0.00872650462962963</v>
      </c>
      <c r="E1336" s="15" t="n">
        <f aca="false">ROUND((D1336-$D$5)*86400,2)</f>
        <v>214.95</v>
      </c>
      <c r="F1336" s="17" t="n">
        <v>2675</v>
      </c>
      <c r="G1336" s="16" t="str">
        <f aca="false">IF(INDEX(選手一覧!$D$7:$D$2738,$F1336)="","",INDEX(選手一覧!$D$7:$D$2738,$F1336))</f>
        <v/>
      </c>
      <c r="H1336" s="17" t="str">
        <f aca="false">IF(INDEX(選手一覧!$E$7:$E$2738,$F1336)="","",INDEX(選手一覧!$E$7:$E$2738,$F1336))</f>
        <v/>
      </c>
      <c r="I1336" s="16" t="str">
        <f aca="false">IF(INDEX(選手一覧!$J$7:$J$2738,$F1336)="","",INDEX(選手一覧!$J$7:$J$2738,$F1336))</f>
        <v/>
      </c>
      <c r="J1336" s="17" t="str">
        <f aca="false">IF(INDEX(選手一覧!$K$7:$K$2738,$F1336)="","",INDEX(選手一覧!$K$7:$K$2738,$F1336))</f>
        <v/>
      </c>
    </row>
    <row r="1337" customFormat="false" ht="15" hidden="false" customHeight="false" outlineLevel="0" collapsed="false">
      <c r="A1337" s="17" t="n">
        <v>1333</v>
      </c>
      <c r="B1337" s="12" t="s">
        <v>4088</v>
      </c>
      <c r="C1337" s="12" t="s">
        <v>4089</v>
      </c>
      <c r="D1337" s="16" t="n">
        <v>0.00873958333333333</v>
      </c>
      <c r="E1337" s="15" t="n">
        <f aca="false">ROUND((D1337-$D$5)*86400,2)</f>
        <v>216.08</v>
      </c>
      <c r="F1337" s="17" t="n">
        <v>2676</v>
      </c>
      <c r="G1337" s="16" t="str">
        <f aca="false">IF(INDEX(選手一覧!$D$7:$D$2738,$F1337)="","",INDEX(選手一覧!$D$7:$D$2738,$F1337))</f>
        <v/>
      </c>
      <c r="H1337" s="17" t="str">
        <f aca="false">IF(INDEX(選手一覧!$E$7:$E$2738,$F1337)="","",INDEX(選手一覧!$E$7:$E$2738,$F1337))</f>
        <v/>
      </c>
      <c r="I1337" s="16" t="str">
        <f aca="false">IF(INDEX(選手一覧!$J$7:$J$2738,$F1337)="","",INDEX(選手一覧!$J$7:$J$2738,$F1337))</f>
        <v/>
      </c>
      <c r="J1337" s="17" t="str">
        <f aca="false">IF(INDEX(選手一覧!$K$7:$K$2738,$F1337)="","",INDEX(選手一覧!$K$7:$K$2738,$F1337))</f>
        <v/>
      </c>
    </row>
    <row r="1338" customFormat="false" ht="15" hidden="false" customHeight="false" outlineLevel="0" collapsed="false">
      <c r="A1338" s="17" t="n">
        <v>1334</v>
      </c>
      <c r="B1338" s="12" t="s">
        <v>4090</v>
      </c>
      <c r="C1338" s="12" t="s">
        <v>3078</v>
      </c>
      <c r="D1338" s="16" t="n">
        <v>0.0087556712962963</v>
      </c>
      <c r="E1338" s="15" t="n">
        <f aca="false">ROUND((D1338-$D$5)*86400,2)</f>
        <v>217.47</v>
      </c>
      <c r="F1338" s="17" t="n">
        <v>2677</v>
      </c>
      <c r="G1338" s="16" t="str">
        <f aca="false">IF(INDEX(選手一覧!$D$7:$D$2738,$F1338)="","",INDEX(選手一覧!$D$7:$D$2738,$F1338))</f>
        <v/>
      </c>
      <c r="H1338" s="17" t="str">
        <f aca="false">IF(INDEX(選手一覧!$E$7:$E$2738,$F1338)="","",INDEX(選手一覧!$E$7:$E$2738,$F1338))</f>
        <v/>
      </c>
      <c r="I1338" s="16" t="str">
        <f aca="false">IF(INDEX(選手一覧!$J$7:$J$2738,$F1338)="","",INDEX(選手一覧!$J$7:$J$2738,$F1338))</f>
        <v/>
      </c>
      <c r="J1338" s="17" t="str">
        <f aca="false">IF(INDEX(選手一覧!$K$7:$K$2738,$F1338)="","",INDEX(選手一覧!$K$7:$K$2738,$F1338))</f>
        <v/>
      </c>
    </row>
    <row r="1339" customFormat="false" ht="15" hidden="false" customHeight="false" outlineLevel="0" collapsed="false">
      <c r="A1339" s="17" t="n">
        <v>1335</v>
      </c>
      <c r="B1339" s="12" t="s">
        <v>4092</v>
      </c>
      <c r="C1339" s="12" t="s">
        <v>4093</v>
      </c>
      <c r="D1339" s="16" t="n">
        <v>0.00876585648148148</v>
      </c>
      <c r="E1339" s="15" t="n">
        <f aca="false">ROUND((D1339-$D$5)*86400,2)</f>
        <v>218.35</v>
      </c>
      <c r="F1339" s="17" t="n">
        <v>2679</v>
      </c>
      <c r="G1339" s="16" t="str">
        <f aca="false">IF(INDEX(選手一覧!$D$7:$D$2738,$F1339)="","",INDEX(選手一覧!$D$7:$D$2738,$F1339))</f>
        <v/>
      </c>
      <c r="H1339" s="17" t="str">
        <f aca="false">IF(INDEX(選手一覧!$E$7:$E$2738,$F1339)="","",INDEX(選手一覧!$E$7:$E$2738,$F1339))</f>
        <v/>
      </c>
      <c r="I1339" s="16" t="str">
        <f aca="false">IF(INDEX(選手一覧!$J$7:$J$2738,$F1339)="","",INDEX(選手一覧!$J$7:$J$2738,$F1339))</f>
        <v/>
      </c>
      <c r="J1339" s="17" t="str">
        <f aca="false">IF(INDEX(選手一覧!$K$7:$K$2738,$F1339)="","",INDEX(選手一覧!$K$7:$K$2738,$F1339))</f>
        <v/>
      </c>
    </row>
    <row r="1340" customFormat="false" ht="15" hidden="false" customHeight="false" outlineLevel="0" collapsed="false">
      <c r="A1340" s="17" t="n">
        <v>1336</v>
      </c>
      <c r="B1340" s="12" t="s">
        <v>4094</v>
      </c>
      <c r="C1340" s="12" t="s">
        <v>4095</v>
      </c>
      <c r="D1340" s="16" t="n">
        <v>0.00878009259259259</v>
      </c>
      <c r="E1340" s="15" t="n">
        <f aca="false">ROUND((D1340-$D$5)*86400,2)</f>
        <v>219.58</v>
      </c>
      <c r="F1340" s="17" t="n">
        <v>2680</v>
      </c>
      <c r="G1340" s="16" t="str">
        <f aca="false">IF(INDEX(選手一覧!$D$7:$D$2738,$F1340)="","",INDEX(選手一覧!$D$7:$D$2738,$F1340))</f>
        <v/>
      </c>
      <c r="H1340" s="17" t="str">
        <f aca="false">IF(INDEX(選手一覧!$E$7:$E$2738,$F1340)="","",INDEX(選手一覧!$E$7:$E$2738,$F1340))</f>
        <v/>
      </c>
      <c r="I1340" s="16" t="str">
        <f aca="false">IF(INDEX(選手一覧!$J$7:$J$2738,$F1340)="","",INDEX(選手一覧!$J$7:$J$2738,$F1340))</f>
        <v/>
      </c>
      <c r="J1340" s="17" t="str">
        <f aca="false">IF(INDEX(選手一覧!$K$7:$K$2738,$F1340)="","",INDEX(選手一覧!$K$7:$K$2738,$F1340))</f>
        <v/>
      </c>
    </row>
    <row r="1341" customFormat="false" ht="15" hidden="false" customHeight="false" outlineLevel="0" collapsed="false">
      <c r="A1341" s="17" t="n">
        <v>1337</v>
      </c>
      <c r="B1341" s="12" t="s">
        <v>4097</v>
      </c>
      <c r="C1341" s="12" t="s">
        <v>2564</v>
      </c>
      <c r="D1341" s="16" t="n">
        <v>0.00878275462962963</v>
      </c>
      <c r="E1341" s="15" t="n">
        <f aca="false">ROUND((D1341-$D$5)*86400,2)</f>
        <v>219.81</v>
      </c>
      <c r="F1341" s="17" t="n">
        <v>2682</v>
      </c>
      <c r="G1341" s="16" t="str">
        <f aca="false">IF(INDEX(選手一覧!$D$7:$D$2738,$F1341)="","",INDEX(選手一覧!$D$7:$D$2738,$F1341))</f>
        <v/>
      </c>
      <c r="H1341" s="17" t="str">
        <f aca="false">IF(INDEX(選手一覧!$E$7:$E$2738,$F1341)="","",INDEX(選手一覧!$E$7:$E$2738,$F1341))</f>
        <v/>
      </c>
      <c r="I1341" s="16" t="str">
        <f aca="false">IF(INDEX(選手一覧!$J$7:$J$2738,$F1341)="","",INDEX(選手一覧!$J$7:$J$2738,$F1341))</f>
        <v/>
      </c>
      <c r="J1341" s="17" t="str">
        <f aca="false">IF(INDEX(選手一覧!$K$7:$K$2738,$F1341)="","",INDEX(選手一覧!$K$7:$K$2738,$F1341))</f>
        <v/>
      </c>
    </row>
    <row r="1342" customFormat="false" ht="15" hidden="false" customHeight="false" outlineLevel="0" collapsed="false">
      <c r="A1342" s="17" t="n">
        <v>1338</v>
      </c>
      <c r="B1342" s="12" t="s">
        <v>4098</v>
      </c>
      <c r="C1342" s="12" t="s">
        <v>4099</v>
      </c>
      <c r="D1342" s="16" t="n">
        <v>0.00878865740740741</v>
      </c>
      <c r="E1342" s="15" t="n">
        <f aca="false">ROUND((D1342-$D$5)*86400,2)</f>
        <v>220.32</v>
      </c>
      <c r="F1342" s="17" t="n">
        <v>2683</v>
      </c>
      <c r="G1342" s="16" t="str">
        <f aca="false">IF(INDEX(選手一覧!$D$7:$D$2738,$F1342)="","",INDEX(選手一覧!$D$7:$D$2738,$F1342))</f>
        <v/>
      </c>
      <c r="H1342" s="17" t="str">
        <f aca="false">IF(INDEX(選手一覧!$E$7:$E$2738,$F1342)="","",INDEX(選手一覧!$E$7:$E$2738,$F1342))</f>
        <v/>
      </c>
      <c r="I1342" s="16" t="str">
        <f aca="false">IF(INDEX(選手一覧!$J$7:$J$2738,$F1342)="","",INDEX(選手一覧!$J$7:$J$2738,$F1342))</f>
        <v/>
      </c>
      <c r="J1342" s="17" t="str">
        <f aca="false">IF(INDEX(選手一覧!$K$7:$K$2738,$F1342)="","",INDEX(選手一覧!$K$7:$K$2738,$F1342))</f>
        <v/>
      </c>
    </row>
    <row r="1343" customFormat="false" ht="15" hidden="false" customHeight="false" outlineLevel="0" collapsed="false">
      <c r="A1343" s="17" t="n">
        <v>1339</v>
      </c>
      <c r="B1343" s="12" t="s">
        <v>4101</v>
      </c>
      <c r="C1343" s="12" t="s">
        <v>3564</v>
      </c>
      <c r="D1343" s="16" t="n">
        <v>0.00879212962962963</v>
      </c>
      <c r="E1343" s="15" t="n">
        <f aca="false">ROUND((D1343-$D$5)*86400,2)</f>
        <v>220.62</v>
      </c>
      <c r="F1343" s="17" t="n">
        <v>2685</v>
      </c>
      <c r="G1343" s="16" t="str">
        <f aca="false">IF(INDEX(選手一覧!$D$7:$D$2738,$F1343)="","",INDEX(選手一覧!$D$7:$D$2738,$F1343))</f>
        <v/>
      </c>
      <c r="H1343" s="17" t="str">
        <f aca="false">IF(INDEX(選手一覧!$E$7:$E$2738,$F1343)="","",INDEX(選手一覧!$E$7:$E$2738,$F1343))</f>
        <v/>
      </c>
      <c r="I1343" s="16" t="str">
        <f aca="false">IF(INDEX(選手一覧!$J$7:$J$2738,$F1343)="","",INDEX(選手一覧!$J$7:$J$2738,$F1343))</f>
        <v/>
      </c>
      <c r="J1343" s="17" t="str">
        <f aca="false">IF(INDEX(選手一覧!$K$7:$K$2738,$F1343)="","",INDEX(選手一覧!$K$7:$K$2738,$F1343))</f>
        <v/>
      </c>
    </row>
    <row r="1344" customFormat="false" ht="15" hidden="false" customHeight="false" outlineLevel="0" collapsed="false">
      <c r="A1344" s="17" t="n">
        <v>1340</v>
      </c>
      <c r="B1344" s="12" t="s">
        <v>4102</v>
      </c>
      <c r="C1344" s="12" t="s">
        <v>2192</v>
      </c>
      <c r="D1344" s="16" t="n">
        <v>0.00881018518518519</v>
      </c>
      <c r="E1344" s="15" t="n">
        <f aca="false">ROUND((D1344-$D$5)*86400,2)</f>
        <v>222.18</v>
      </c>
      <c r="F1344" s="17" t="n">
        <v>2686</v>
      </c>
      <c r="G1344" s="16" t="str">
        <f aca="false">IF(INDEX(選手一覧!$D$7:$D$2738,$F1344)="","",INDEX(選手一覧!$D$7:$D$2738,$F1344))</f>
        <v/>
      </c>
      <c r="H1344" s="17" t="str">
        <f aca="false">IF(INDEX(選手一覧!$E$7:$E$2738,$F1344)="","",INDEX(選手一覧!$E$7:$E$2738,$F1344))</f>
        <v/>
      </c>
      <c r="I1344" s="16" t="str">
        <f aca="false">IF(INDEX(選手一覧!$J$7:$J$2738,$F1344)="","",INDEX(選手一覧!$J$7:$J$2738,$F1344))</f>
        <v/>
      </c>
      <c r="J1344" s="17" t="str">
        <f aca="false">IF(INDEX(選手一覧!$K$7:$K$2738,$F1344)="","",INDEX(選手一覧!$K$7:$K$2738,$F1344))</f>
        <v/>
      </c>
    </row>
    <row r="1345" customFormat="false" ht="15" hidden="false" customHeight="false" outlineLevel="0" collapsed="false">
      <c r="A1345" s="17" t="n">
        <v>1341</v>
      </c>
      <c r="B1345" s="12" t="s">
        <v>4103</v>
      </c>
      <c r="C1345" s="12" t="s">
        <v>3719</v>
      </c>
      <c r="D1345" s="16" t="n">
        <v>0.00881296296296296</v>
      </c>
      <c r="E1345" s="15" t="n">
        <f aca="false">ROUND((D1345-$D$5)*86400,2)</f>
        <v>222.42</v>
      </c>
      <c r="F1345" s="17" t="n">
        <v>2687</v>
      </c>
      <c r="G1345" s="16" t="str">
        <f aca="false">IF(INDEX(選手一覧!$D$7:$D$2738,$F1345)="","",INDEX(選手一覧!$D$7:$D$2738,$F1345))</f>
        <v/>
      </c>
      <c r="H1345" s="17" t="str">
        <f aca="false">IF(INDEX(選手一覧!$E$7:$E$2738,$F1345)="","",INDEX(選手一覧!$E$7:$E$2738,$F1345))</f>
        <v/>
      </c>
      <c r="I1345" s="16" t="str">
        <f aca="false">IF(INDEX(選手一覧!$J$7:$J$2738,$F1345)="","",INDEX(選手一覧!$J$7:$J$2738,$F1345))</f>
        <v/>
      </c>
      <c r="J1345" s="17" t="str">
        <f aca="false">IF(INDEX(選手一覧!$K$7:$K$2738,$F1345)="","",INDEX(選手一覧!$K$7:$K$2738,$F1345))</f>
        <v/>
      </c>
    </row>
    <row r="1346" customFormat="false" ht="15" hidden="false" customHeight="false" outlineLevel="0" collapsed="false">
      <c r="A1346" s="17" t="n">
        <v>1342</v>
      </c>
      <c r="B1346" s="12" t="s">
        <v>4105</v>
      </c>
      <c r="C1346" s="12" t="s">
        <v>1847</v>
      </c>
      <c r="D1346" s="16" t="n">
        <v>0.00881550925925926</v>
      </c>
      <c r="E1346" s="15" t="n">
        <f aca="false">ROUND((D1346-$D$5)*86400,2)</f>
        <v>222.64</v>
      </c>
      <c r="F1346" s="17" t="n">
        <v>2689</v>
      </c>
      <c r="G1346" s="16" t="str">
        <f aca="false">IF(INDEX(選手一覧!$D$7:$D$2738,$F1346)="","",INDEX(選手一覧!$D$7:$D$2738,$F1346))</f>
        <v/>
      </c>
      <c r="H1346" s="17" t="str">
        <f aca="false">IF(INDEX(選手一覧!$E$7:$E$2738,$F1346)="","",INDEX(選手一覧!$E$7:$E$2738,$F1346))</f>
        <v/>
      </c>
      <c r="I1346" s="16" t="str">
        <f aca="false">IF(INDEX(選手一覧!$J$7:$J$2738,$F1346)="","",INDEX(選手一覧!$J$7:$J$2738,$F1346))</f>
        <v/>
      </c>
      <c r="J1346" s="17" t="str">
        <f aca="false">IF(INDEX(選手一覧!$K$7:$K$2738,$F1346)="","",INDEX(選手一覧!$K$7:$K$2738,$F1346))</f>
        <v/>
      </c>
    </row>
    <row r="1347" customFormat="false" ht="15" hidden="false" customHeight="false" outlineLevel="0" collapsed="false">
      <c r="A1347" s="17" t="n">
        <v>1343</v>
      </c>
      <c r="B1347" s="12" t="s">
        <v>4107</v>
      </c>
      <c r="C1347" s="12" t="s">
        <v>2899</v>
      </c>
      <c r="D1347" s="16" t="n">
        <v>0.00884328703703704</v>
      </c>
      <c r="E1347" s="15" t="n">
        <f aca="false">ROUND((D1347-$D$5)*86400,2)</f>
        <v>225.04</v>
      </c>
      <c r="F1347" s="17" t="n">
        <v>2691</v>
      </c>
      <c r="G1347" s="16" t="str">
        <f aca="false">IF(INDEX(選手一覧!$D$7:$D$2738,$F1347)="","",INDEX(選手一覧!$D$7:$D$2738,$F1347))</f>
        <v/>
      </c>
      <c r="H1347" s="17" t="str">
        <f aca="false">IF(INDEX(選手一覧!$E$7:$E$2738,$F1347)="","",INDEX(選手一覧!$E$7:$E$2738,$F1347))</f>
        <v/>
      </c>
      <c r="I1347" s="16" t="str">
        <f aca="false">IF(INDEX(選手一覧!$J$7:$J$2738,$F1347)="","",INDEX(選手一覧!$J$7:$J$2738,$F1347))</f>
        <v/>
      </c>
      <c r="J1347" s="17" t="str">
        <f aca="false">IF(INDEX(選手一覧!$K$7:$K$2738,$F1347)="","",INDEX(選手一覧!$K$7:$K$2738,$F1347))</f>
        <v/>
      </c>
    </row>
    <row r="1348" customFormat="false" ht="15" hidden="false" customHeight="false" outlineLevel="0" collapsed="false">
      <c r="A1348" s="17" t="n">
        <v>1344</v>
      </c>
      <c r="B1348" s="12" t="s">
        <v>4108</v>
      </c>
      <c r="C1348" s="12" t="s">
        <v>4109</v>
      </c>
      <c r="D1348" s="16" t="n">
        <v>0.00884664351851852</v>
      </c>
      <c r="E1348" s="15" t="n">
        <f aca="false">ROUND((D1348-$D$5)*86400,2)</f>
        <v>225.33</v>
      </c>
      <c r="F1348" s="17" t="n">
        <v>2692</v>
      </c>
      <c r="G1348" s="16" t="str">
        <f aca="false">IF(INDEX(選手一覧!$D$7:$D$2738,$F1348)="","",INDEX(選手一覧!$D$7:$D$2738,$F1348))</f>
        <v/>
      </c>
      <c r="H1348" s="17" t="str">
        <f aca="false">IF(INDEX(選手一覧!$E$7:$E$2738,$F1348)="","",INDEX(選手一覧!$E$7:$E$2738,$F1348))</f>
        <v/>
      </c>
      <c r="I1348" s="16" t="str">
        <f aca="false">IF(INDEX(選手一覧!$J$7:$J$2738,$F1348)="","",INDEX(選手一覧!$J$7:$J$2738,$F1348))</f>
        <v/>
      </c>
      <c r="J1348" s="17" t="str">
        <f aca="false">IF(INDEX(選手一覧!$K$7:$K$2738,$F1348)="","",INDEX(選手一覧!$K$7:$K$2738,$F1348))</f>
        <v/>
      </c>
    </row>
    <row r="1349" customFormat="false" ht="15" hidden="false" customHeight="false" outlineLevel="0" collapsed="false">
      <c r="A1349" s="17" t="n">
        <v>1345</v>
      </c>
      <c r="B1349" s="12" t="s">
        <v>4110</v>
      </c>
      <c r="C1349" s="12" t="s">
        <v>2283</v>
      </c>
      <c r="D1349" s="16" t="n">
        <v>0.0088494212962963</v>
      </c>
      <c r="E1349" s="15" t="n">
        <f aca="false">ROUND((D1349-$D$5)*86400,2)</f>
        <v>225.57</v>
      </c>
      <c r="F1349" s="17" t="n">
        <v>2693</v>
      </c>
      <c r="G1349" s="16" t="str">
        <f aca="false">IF(INDEX(選手一覧!$D$7:$D$2738,$F1349)="","",INDEX(選手一覧!$D$7:$D$2738,$F1349))</f>
        <v/>
      </c>
      <c r="H1349" s="17" t="str">
        <f aca="false">IF(INDEX(選手一覧!$E$7:$E$2738,$F1349)="","",INDEX(選手一覧!$E$7:$E$2738,$F1349))</f>
        <v/>
      </c>
      <c r="I1349" s="16" t="str">
        <f aca="false">IF(INDEX(選手一覧!$J$7:$J$2738,$F1349)="","",INDEX(選手一覧!$J$7:$J$2738,$F1349))</f>
        <v/>
      </c>
      <c r="J1349" s="17" t="str">
        <f aca="false">IF(INDEX(選手一覧!$K$7:$K$2738,$F1349)="","",INDEX(選手一覧!$K$7:$K$2738,$F1349))</f>
        <v/>
      </c>
    </row>
    <row r="1350" customFormat="false" ht="15" hidden="false" customHeight="false" outlineLevel="0" collapsed="false">
      <c r="A1350" s="17" t="n">
        <v>1346</v>
      </c>
      <c r="B1350" s="12" t="s">
        <v>4113</v>
      </c>
      <c r="C1350" s="12" t="s">
        <v>3882</v>
      </c>
      <c r="D1350" s="16" t="n">
        <v>0.00888935185185185</v>
      </c>
      <c r="E1350" s="15" t="n">
        <f aca="false">ROUND((D1350-$D$5)*86400,2)</f>
        <v>229.02</v>
      </c>
      <c r="F1350" s="17" t="n">
        <v>2695</v>
      </c>
      <c r="G1350" s="16" t="str">
        <f aca="false">IF(INDEX(選手一覧!$D$7:$D$2738,$F1350)="","",INDEX(選手一覧!$D$7:$D$2738,$F1350))</f>
        <v/>
      </c>
      <c r="H1350" s="17" t="str">
        <f aca="false">IF(INDEX(選手一覧!$E$7:$E$2738,$F1350)="","",INDEX(選手一覧!$E$7:$E$2738,$F1350))</f>
        <v/>
      </c>
      <c r="I1350" s="16" t="str">
        <f aca="false">IF(INDEX(選手一覧!$J$7:$J$2738,$F1350)="","",INDEX(選手一覧!$J$7:$J$2738,$F1350))</f>
        <v/>
      </c>
      <c r="J1350" s="17" t="str">
        <f aca="false">IF(INDEX(選手一覧!$K$7:$K$2738,$F1350)="","",INDEX(選手一覧!$K$7:$K$2738,$F1350))</f>
        <v/>
      </c>
    </row>
    <row r="1351" customFormat="false" ht="15" hidden="false" customHeight="false" outlineLevel="0" collapsed="false">
      <c r="A1351" s="17" t="n">
        <v>1347</v>
      </c>
      <c r="B1351" s="12" t="s">
        <v>4114</v>
      </c>
      <c r="C1351" s="12" t="s">
        <v>3493</v>
      </c>
      <c r="D1351" s="16" t="n">
        <v>0.00890381944444444</v>
      </c>
      <c r="E1351" s="15" t="n">
        <f aca="false">ROUND((D1351-$D$5)*86400,2)</f>
        <v>230.27</v>
      </c>
      <c r="F1351" s="17" t="n">
        <v>2696</v>
      </c>
      <c r="G1351" s="16" t="str">
        <f aca="false">IF(INDEX(選手一覧!$D$7:$D$2738,$F1351)="","",INDEX(選手一覧!$D$7:$D$2738,$F1351))</f>
        <v/>
      </c>
      <c r="H1351" s="17" t="str">
        <f aca="false">IF(INDEX(選手一覧!$E$7:$E$2738,$F1351)="","",INDEX(選手一覧!$E$7:$E$2738,$F1351))</f>
        <v/>
      </c>
      <c r="I1351" s="16" t="str">
        <f aca="false">IF(INDEX(選手一覧!$J$7:$J$2738,$F1351)="","",INDEX(選手一覧!$J$7:$J$2738,$F1351))</f>
        <v/>
      </c>
      <c r="J1351" s="17" t="str">
        <f aca="false">IF(INDEX(選手一覧!$K$7:$K$2738,$F1351)="","",INDEX(選手一覧!$K$7:$K$2738,$F1351))</f>
        <v/>
      </c>
    </row>
    <row r="1352" customFormat="false" ht="15" hidden="false" customHeight="false" outlineLevel="0" collapsed="false">
      <c r="A1352" s="17" t="n">
        <v>1348</v>
      </c>
      <c r="B1352" s="12" t="s">
        <v>4116</v>
      </c>
      <c r="C1352" s="12" t="s">
        <v>4117</v>
      </c>
      <c r="D1352" s="16" t="n">
        <v>0.00891770833333333</v>
      </c>
      <c r="E1352" s="15" t="n">
        <f aca="false">ROUND((D1352-$D$5)*86400,2)</f>
        <v>231.47</v>
      </c>
      <c r="F1352" s="17" t="n">
        <v>2698</v>
      </c>
      <c r="G1352" s="16" t="str">
        <f aca="false">IF(INDEX(選手一覧!$D$7:$D$2738,$F1352)="","",INDEX(選手一覧!$D$7:$D$2738,$F1352))</f>
        <v/>
      </c>
      <c r="H1352" s="17" t="str">
        <f aca="false">IF(INDEX(選手一覧!$E$7:$E$2738,$F1352)="","",INDEX(選手一覧!$E$7:$E$2738,$F1352))</f>
        <v/>
      </c>
      <c r="I1352" s="16" t="str">
        <f aca="false">IF(INDEX(選手一覧!$J$7:$J$2738,$F1352)="","",INDEX(選手一覧!$J$7:$J$2738,$F1352))</f>
        <v/>
      </c>
      <c r="J1352" s="17" t="str">
        <f aca="false">IF(INDEX(選手一覧!$K$7:$K$2738,$F1352)="","",INDEX(選手一覧!$K$7:$K$2738,$F1352))</f>
        <v/>
      </c>
    </row>
    <row r="1353" customFormat="false" ht="15" hidden="false" customHeight="false" outlineLevel="0" collapsed="false">
      <c r="A1353" s="17" t="n">
        <v>1349</v>
      </c>
      <c r="B1353" s="12" t="s">
        <v>4119</v>
      </c>
      <c r="C1353" s="12" t="s">
        <v>569</v>
      </c>
      <c r="D1353" s="16" t="n">
        <v>0.008946875</v>
      </c>
      <c r="E1353" s="15" t="n">
        <f aca="false">ROUND((D1353-$D$5)*86400,2)</f>
        <v>233.99</v>
      </c>
      <c r="F1353" s="17" t="n">
        <v>2700</v>
      </c>
      <c r="G1353" s="16" t="str">
        <f aca="false">IF(INDEX(選手一覧!$D$7:$D$2738,$F1353)="","",INDEX(選手一覧!$D$7:$D$2738,$F1353))</f>
        <v/>
      </c>
      <c r="H1353" s="17" t="str">
        <f aca="false">IF(INDEX(選手一覧!$E$7:$E$2738,$F1353)="","",INDEX(選手一覧!$E$7:$E$2738,$F1353))</f>
        <v/>
      </c>
      <c r="I1353" s="16" t="str">
        <f aca="false">IF(INDEX(選手一覧!$J$7:$J$2738,$F1353)="","",INDEX(選手一覧!$J$7:$J$2738,$F1353))</f>
        <v/>
      </c>
      <c r="J1353" s="17" t="str">
        <f aca="false">IF(INDEX(選手一覧!$K$7:$K$2738,$F1353)="","",INDEX(選手一覧!$K$7:$K$2738,$F1353))</f>
        <v/>
      </c>
    </row>
    <row r="1354" customFormat="false" ht="15" hidden="false" customHeight="false" outlineLevel="0" collapsed="false">
      <c r="A1354" s="17" t="n">
        <v>1350</v>
      </c>
      <c r="B1354" s="12" t="s">
        <v>4120</v>
      </c>
      <c r="C1354" s="12" t="s">
        <v>4121</v>
      </c>
      <c r="D1354" s="16" t="n">
        <v>0.00894965277777778</v>
      </c>
      <c r="E1354" s="15" t="n">
        <f aca="false">ROUND((D1354-$D$5)*86400,2)</f>
        <v>234.23</v>
      </c>
      <c r="F1354" s="17" t="n">
        <v>2701</v>
      </c>
      <c r="G1354" s="16" t="str">
        <f aca="false">IF(INDEX(選手一覧!$D$7:$D$2738,$F1354)="","",INDEX(選手一覧!$D$7:$D$2738,$F1354))</f>
        <v/>
      </c>
      <c r="H1354" s="17" t="str">
        <f aca="false">IF(INDEX(選手一覧!$E$7:$E$2738,$F1354)="","",INDEX(選手一覧!$E$7:$E$2738,$F1354))</f>
        <v/>
      </c>
      <c r="I1354" s="16" t="str">
        <f aca="false">IF(INDEX(選手一覧!$J$7:$J$2738,$F1354)="","",INDEX(選手一覧!$J$7:$J$2738,$F1354))</f>
        <v/>
      </c>
      <c r="J1354" s="17" t="str">
        <f aca="false">IF(INDEX(選手一覧!$K$7:$K$2738,$F1354)="","",INDEX(選手一覧!$K$7:$K$2738,$F1354))</f>
        <v/>
      </c>
    </row>
    <row r="1355" customFormat="false" ht="15" hidden="false" customHeight="false" outlineLevel="0" collapsed="false">
      <c r="A1355" s="17" t="n">
        <v>1351</v>
      </c>
      <c r="B1355" s="12" t="s">
        <v>4122</v>
      </c>
      <c r="C1355" s="12" t="s">
        <v>4123</v>
      </c>
      <c r="D1355" s="16" t="n">
        <v>0.00895011574074074</v>
      </c>
      <c r="E1355" s="15" t="n">
        <f aca="false">ROUND((D1355-$D$5)*86400,2)</f>
        <v>234.27</v>
      </c>
      <c r="F1355" s="17" t="n">
        <v>2702</v>
      </c>
      <c r="G1355" s="16" t="str">
        <f aca="false">IF(INDEX(選手一覧!$D$7:$D$2738,$F1355)="","",INDEX(選手一覧!$D$7:$D$2738,$F1355))</f>
        <v/>
      </c>
      <c r="H1355" s="17" t="str">
        <f aca="false">IF(INDEX(選手一覧!$E$7:$E$2738,$F1355)="","",INDEX(選手一覧!$E$7:$E$2738,$F1355))</f>
        <v/>
      </c>
      <c r="I1355" s="16" t="str">
        <f aca="false">IF(INDEX(選手一覧!$J$7:$J$2738,$F1355)="","",INDEX(選手一覧!$J$7:$J$2738,$F1355))</f>
        <v/>
      </c>
      <c r="J1355" s="17" t="str">
        <f aca="false">IF(INDEX(選手一覧!$K$7:$K$2738,$F1355)="","",INDEX(選手一覧!$K$7:$K$2738,$F1355))</f>
        <v/>
      </c>
    </row>
    <row r="1356" customFormat="false" ht="15" hidden="false" customHeight="false" outlineLevel="0" collapsed="false">
      <c r="A1356" s="17" t="n">
        <v>1352</v>
      </c>
      <c r="B1356" s="12" t="s">
        <v>4124</v>
      </c>
      <c r="C1356" s="12" t="s">
        <v>4125</v>
      </c>
      <c r="D1356" s="16" t="n">
        <v>0.00897789351851852</v>
      </c>
      <c r="E1356" s="15" t="n">
        <f aca="false">ROUND((D1356-$D$5)*86400,2)</f>
        <v>236.67</v>
      </c>
      <c r="F1356" s="17" t="n">
        <v>2703</v>
      </c>
      <c r="G1356" s="16" t="str">
        <f aca="false">IF(INDEX(選手一覧!$D$7:$D$2738,$F1356)="","",INDEX(選手一覧!$D$7:$D$2738,$F1356))</f>
        <v/>
      </c>
      <c r="H1356" s="17" t="str">
        <f aca="false">IF(INDEX(選手一覧!$E$7:$E$2738,$F1356)="","",INDEX(選手一覧!$E$7:$E$2738,$F1356))</f>
        <v/>
      </c>
      <c r="I1356" s="16" t="str">
        <f aca="false">IF(INDEX(選手一覧!$J$7:$J$2738,$F1356)="","",INDEX(選手一覧!$J$7:$J$2738,$F1356))</f>
        <v/>
      </c>
      <c r="J1356" s="17" t="str">
        <f aca="false">IF(INDEX(選手一覧!$K$7:$K$2738,$F1356)="","",INDEX(選手一覧!$K$7:$K$2738,$F1356))</f>
        <v/>
      </c>
    </row>
    <row r="1357" customFormat="false" ht="15" hidden="false" customHeight="false" outlineLevel="0" collapsed="false">
      <c r="A1357" s="17" t="n">
        <v>1353</v>
      </c>
      <c r="B1357" s="12" t="s">
        <v>4127</v>
      </c>
      <c r="C1357" s="12" t="s">
        <v>4048</v>
      </c>
      <c r="D1357" s="16" t="n">
        <v>0.009009375</v>
      </c>
      <c r="E1357" s="15" t="n">
        <f aca="false">ROUND((D1357-$D$5)*86400,2)</f>
        <v>239.39</v>
      </c>
      <c r="F1357" s="17" t="n">
        <v>2705</v>
      </c>
      <c r="G1357" s="16" t="str">
        <f aca="false">IF(INDEX(選手一覧!$D$7:$D$2738,$F1357)="","",INDEX(選手一覧!$D$7:$D$2738,$F1357))</f>
        <v/>
      </c>
      <c r="H1357" s="17" t="str">
        <f aca="false">IF(INDEX(選手一覧!$E$7:$E$2738,$F1357)="","",INDEX(選手一覧!$E$7:$E$2738,$F1357))</f>
        <v/>
      </c>
      <c r="I1357" s="16" t="str">
        <f aca="false">IF(INDEX(選手一覧!$J$7:$J$2738,$F1357)="","",INDEX(選手一覧!$J$7:$J$2738,$F1357))</f>
        <v/>
      </c>
      <c r="J1357" s="17" t="str">
        <f aca="false">IF(INDEX(選手一覧!$K$7:$K$2738,$F1357)="","",INDEX(選手一覧!$K$7:$K$2738,$F1357))</f>
        <v/>
      </c>
    </row>
    <row r="1358" customFormat="false" ht="15" hidden="false" customHeight="false" outlineLevel="0" collapsed="false">
      <c r="A1358" s="17" t="n">
        <v>1354</v>
      </c>
      <c r="B1358" s="12" t="s">
        <v>4129</v>
      </c>
      <c r="C1358" s="12" t="s">
        <v>2711</v>
      </c>
      <c r="D1358" s="16" t="n">
        <v>0.00901157407407408</v>
      </c>
      <c r="E1358" s="15" t="n">
        <f aca="false">ROUND((D1358-$D$5)*86400,2)</f>
        <v>239.58</v>
      </c>
      <c r="F1358" s="17" t="n">
        <v>2707</v>
      </c>
      <c r="G1358" s="16" t="str">
        <f aca="false">IF(INDEX(選手一覧!$D$7:$D$2738,$F1358)="","",INDEX(選手一覧!$D$7:$D$2738,$F1358))</f>
        <v/>
      </c>
      <c r="H1358" s="17" t="str">
        <f aca="false">IF(INDEX(選手一覧!$E$7:$E$2738,$F1358)="","",INDEX(選手一覧!$E$7:$E$2738,$F1358))</f>
        <v/>
      </c>
      <c r="I1358" s="16" t="str">
        <f aca="false">IF(INDEX(選手一覧!$J$7:$J$2738,$F1358)="","",INDEX(選手一覧!$J$7:$J$2738,$F1358))</f>
        <v/>
      </c>
      <c r="J1358" s="17" t="str">
        <f aca="false">IF(INDEX(選手一覧!$K$7:$K$2738,$F1358)="","",INDEX(選手一覧!$K$7:$K$2738,$F1358))</f>
        <v/>
      </c>
    </row>
    <row r="1359" customFormat="false" ht="15" hidden="false" customHeight="false" outlineLevel="0" collapsed="false">
      <c r="A1359" s="17" t="n">
        <v>1355</v>
      </c>
      <c r="B1359" s="12" t="s">
        <v>4132</v>
      </c>
      <c r="C1359" s="12" t="s">
        <v>478</v>
      </c>
      <c r="D1359" s="16" t="n">
        <v>0.00901863425925926</v>
      </c>
      <c r="E1359" s="15" t="n">
        <f aca="false">ROUND((D1359-$D$5)*86400,2)</f>
        <v>240.19</v>
      </c>
      <c r="F1359" s="17" t="n">
        <v>2709</v>
      </c>
      <c r="G1359" s="16" t="str">
        <f aca="false">IF(INDEX(選手一覧!$D$7:$D$2738,$F1359)="","",INDEX(選手一覧!$D$7:$D$2738,$F1359))</f>
        <v/>
      </c>
      <c r="H1359" s="17" t="str">
        <f aca="false">IF(INDEX(選手一覧!$E$7:$E$2738,$F1359)="","",INDEX(選手一覧!$E$7:$E$2738,$F1359))</f>
        <v/>
      </c>
      <c r="I1359" s="16" t="str">
        <f aca="false">IF(INDEX(選手一覧!$J$7:$J$2738,$F1359)="","",INDEX(選手一覧!$J$7:$J$2738,$F1359))</f>
        <v/>
      </c>
      <c r="J1359" s="17" t="str">
        <f aca="false">IF(INDEX(選手一覧!$K$7:$K$2738,$F1359)="","",INDEX(選手一覧!$K$7:$K$2738,$F1359))</f>
        <v/>
      </c>
    </row>
    <row r="1360" customFormat="false" ht="15" hidden="false" customHeight="false" outlineLevel="0" collapsed="false">
      <c r="A1360" s="17" t="n">
        <v>1356</v>
      </c>
      <c r="B1360" s="12" t="s">
        <v>4133</v>
      </c>
      <c r="C1360" s="12" t="s">
        <v>595</v>
      </c>
      <c r="D1360" s="16" t="n">
        <v>0.00903194444444445</v>
      </c>
      <c r="E1360" s="15" t="n">
        <f aca="false">ROUND((D1360-$D$5)*86400,2)</f>
        <v>241.34</v>
      </c>
      <c r="F1360" s="17" t="n">
        <v>2710</v>
      </c>
      <c r="G1360" s="16" t="str">
        <f aca="false">IF(INDEX(選手一覧!$D$7:$D$2738,$F1360)="","",INDEX(選手一覧!$D$7:$D$2738,$F1360))</f>
        <v/>
      </c>
      <c r="H1360" s="17" t="str">
        <f aca="false">IF(INDEX(選手一覧!$E$7:$E$2738,$F1360)="","",INDEX(選手一覧!$E$7:$E$2738,$F1360))</f>
        <v/>
      </c>
      <c r="I1360" s="16" t="str">
        <f aca="false">IF(INDEX(選手一覧!$J$7:$J$2738,$F1360)="","",INDEX(選手一覧!$J$7:$J$2738,$F1360))</f>
        <v/>
      </c>
      <c r="J1360" s="17" t="str">
        <f aca="false">IF(INDEX(選手一覧!$K$7:$K$2738,$F1360)="","",INDEX(選手一覧!$K$7:$K$2738,$F1360))</f>
        <v/>
      </c>
    </row>
    <row r="1361" customFormat="false" ht="15" hidden="false" customHeight="false" outlineLevel="0" collapsed="false">
      <c r="A1361" s="17" t="n">
        <v>1357</v>
      </c>
      <c r="B1361" s="12" t="s">
        <v>4134</v>
      </c>
      <c r="C1361" s="12" t="s">
        <v>1682</v>
      </c>
      <c r="D1361" s="16" t="n">
        <v>0.00903425925925926</v>
      </c>
      <c r="E1361" s="15" t="n">
        <f aca="false">ROUND((D1361-$D$5)*86400,2)</f>
        <v>241.54</v>
      </c>
      <c r="F1361" s="17" t="n">
        <v>2711</v>
      </c>
      <c r="G1361" s="16" t="str">
        <f aca="false">IF(INDEX(選手一覧!$D$7:$D$2738,$F1361)="","",INDEX(選手一覧!$D$7:$D$2738,$F1361))</f>
        <v/>
      </c>
      <c r="H1361" s="17" t="str">
        <f aca="false">IF(INDEX(選手一覧!$E$7:$E$2738,$F1361)="","",INDEX(選手一覧!$E$7:$E$2738,$F1361))</f>
        <v/>
      </c>
      <c r="I1361" s="16" t="str">
        <f aca="false">IF(INDEX(選手一覧!$J$7:$J$2738,$F1361)="","",INDEX(選手一覧!$J$7:$J$2738,$F1361))</f>
        <v/>
      </c>
      <c r="J1361" s="17" t="str">
        <f aca="false">IF(INDEX(選手一覧!$K$7:$K$2738,$F1361)="","",INDEX(選手一覧!$K$7:$K$2738,$F1361))</f>
        <v/>
      </c>
    </row>
    <row r="1362" customFormat="false" ht="15" hidden="false" customHeight="false" outlineLevel="0" collapsed="false">
      <c r="A1362" s="17" t="n">
        <v>1358</v>
      </c>
      <c r="B1362" s="12" t="s">
        <v>4136</v>
      </c>
      <c r="C1362" s="12" t="s">
        <v>4137</v>
      </c>
      <c r="D1362" s="16" t="n">
        <v>0.00903993055555556</v>
      </c>
      <c r="E1362" s="15" t="n">
        <f aca="false">ROUND((D1362-$D$5)*86400,2)</f>
        <v>242.03</v>
      </c>
      <c r="F1362" s="17" t="n">
        <v>2713</v>
      </c>
      <c r="G1362" s="16" t="str">
        <f aca="false">IF(INDEX(選手一覧!$D$7:$D$2738,$F1362)="","",INDEX(選手一覧!$D$7:$D$2738,$F1362))</f>
        <v/>
      </c>
      <c r="H1362" s="17" t="str">
        <f aca="false">IF(INDEX(選手一覧!$E$7:$E$2738,$F1362)="","",INDEX(選手一覧!$E$7:$E$2738,$F1362))</f>
        <v/>
      </c>
      <c r="I1362" s="16" t="str">
        <f aca="false">IF(INDEX(選手一覧!$J$7:$J$2738,$F1362)="","",INDEX(選手一覧!$J$7:$J$2738,$F1362))</f>
        <v/>
      </c>
      <c r="J1362" s="17" t="str">
        <f aca="false">IF(INDEX(選手一覧!$K$7:$K$2738,$F1362)="","",INDEX(選手一覧!$K$7:$K$2738,$F1362))</f>
        <v/>
      </c>
    </row>
    <row r="1363" customFormat="false" ht="15" hidden="false" customHeight="false" outlineLevel="0" collapsed="false">
      <c r="A1363" s="17" t="n">
        <v>1359</v>
      </c>
      <c r="B1363" s="12" t="s">
        <v>4138</v>
      </c>
      <c r="C1363" s="12" t="s">
        <v>4139</v>
      </c>
      <c r="D1363" s="16" t="n">
        <v>0.00908773148148148</v>
      </c>
      <c r="E1363" s="15" t="n">
        <f aca="false">ROUND((D1363-$D$5)*86400,2)</f>
        <v>246.16</v>
      </c>
      <c r="F1363" s="17" t="n">
        <v>2714</v>
      </c>
      <c r="G1363" s="16" t="str">
        <f aca="false">IF(INDEX(選手一覧!$D$7:$D$2738,$F1363)="","",INDEX(選手一覧!$D$7:$D$2738,$F1363))</f>
        <v/>
      </c>
      <c r="H1363" s="17" t="str">
        <f aca="false">IF(INDEX(選手一覧!$E$7:$E$2738,$F1363)="","",INDEX(選手一覧!$E$7:$E$2738,$F1363))</f>
        <v/>
      </c>
      <c r="I1363" s="16" t="str">
        <f aca="false">IF(INDEX(選手一覧!$J$7:$J$2738,$F1363)="","",INDEX(選手一覧!$J$7:$J$2738,$F1363))</f>
        <v/>
      </c>
      <c r="J1363" s="17" t="str">
        <f aca="false">IF(INDEX(選手一覧!$K$7:$K$2738,$F1363)="","",INDEX(選手一覧!$K$7:$K$2738,$F1363))</f>
        <v/>
      </c>
    </row>
    <row r="1364" customFormat="false" ht="15" hidden="false" customHeight="false" outlineLevel="0" collapsed="false">
      <c r="A1364" s="17" t="n">
        <v>1360</v>
      </c>
      <c r="B1364" s="12" t="s">
        <v>4140</v>
      </c>
      <c r="C1364" s="12" t="s">
        <v>2337</v>
      </c>
      <c r="D1364" s="16" t="n">
        <v>0.00909224537037037</v>
      </c>
      <c r="E1364" s="15" t="n">
        <f aca="false">ROUND((D1364-$D$5)*86400,2)</f>
        <v>246.55</v>
      </c>
      <c r="F1364" s="17" t="n">
        <v>2715</v>
      </c>
      <c r="G1364" s="16" t="str">
        <f aca="false">IF(INDEX(選手一覧!$D$7:$D$2738,$F1364)="","",INDEX(選手一覧!$D$7:$D$2738,$F1364))</f>
        <v/>
      </c>
      <c r="H1364" s="17" t="str">
        <f aca="false">IF(INDEX(選手一覧!$E$7:$E$2738,$F1364)="","",INDEX(選手一覧!$E$7:$E$2738,$F1364))</f>
        <v/>
      </c>
      <c r="I1364" s="16" t="str">
        <f aca="false">IF(INDEX(選手一覧!$J$7:$J$2738,$F1364)="","",INDEX(選手一覧!$J$7:$J$2738,$F1364))</f>
        <v/>
      </c>
      <c r="J1364" s="17" t="str">
        <f aca="false">IF(INDEX(選手一覧!$K$7:$K$2738,$F1364)="","",INDEX(選手一覧!$K$7:$K$2738,$F1364))</f>
        <v/>
      </c>
    </row>
    <row r="1365" customFormat="false" ht="15" hidden="false" customHeight="false" outlineLevel="0" collapsed="false">
      <c r="A1365" s="17" t="n">
        <v>1361</v>
      </c>
      <c r="B1365" s="12" t="s">
        <v>4141</v>
      </c>
      <c r="C1365" s="12" t="s">
        <v>4087</v>
      </c>
      <c r="D1365" s="16" t="n">
        <v>0.00909351851851852</v>
      </c>
      <c r="E1365" s="15" t="n">
        <f aca="false">ROUND((D1365-$D$5)*86400,2)</f>
        <v>246.66</v>
      </c>
      <c r="F1365" s="17" t="n">
        <v>2716</v>
      </c>
      <c r="G1365" s="16" t="str">
        <f aca="false">IF(INDEX(選手一覧!$D$7:$D$2738,$F1365)="","",INDEX(選手一覧!$D$7:$D$2738,$F1365))</f>
        <v/>
      </c>
      <c r="H1365" s="17" t="str">
        <f aca="false">IF(INDEX(選手一覧!$E$7:$E$2738,$F1365)="","",INDEX(選手一覧!$E$7:$E$2738,$F1365))</f>
        <v/>
      </c>
      <c r="I1365" s="16" t="str">
        <f aca="false">IF(INDEX(選手一覧!$J$7:$J$2738,$F1365)="","",INDEX(選手一覧!$J$7:$J$2738,$F1365))</f>
        <v/>
      </c>
      <c r="J1365" s="17" t="str">
        <f aca="false">IF(INDEX(選手一覧!$K$7:$K$2738,$F1365)="","",INDEX(選手一覧!$K$7:$K$2738,$F1365))</f>
        <v/>
      </c>
    </row>
    <row r="1366" customFormat="false" ht="15" hidden="false" customHeight="false" outlineLevel="0" collapsed="false">
      <c r="A1366" s="17" t="n">
        <v>1362</v>
      </c>
      <c r="B1366" s="12" t="s">
        <v>4142</v>
      </c>
      <c r="C1366" s="12" t="s">
        <v>4143</v>
      </c>
      <c r="D1366" s="16" t="n">
        <v>0.00909513888888889</v>
      </c>
      <c r="E1366" s="15" t="n">
        <f aca="false">ROUND((D1366-$D$5)*86400,2)</f>
        <v>246.8</v>
      </c>
      <c r="F1366" s="17" t="n">
        <v>2717</v>
      </c>
      <c r="G1366" s="16" t="str">
        <f aca="false">IF(INDEX(選手一覧!$D$7:$D$2738,$F1366)="","",INDEX(選手一覧!$D$7:$D$2738,$F1366))</f>
        <v/>
      </c>
      <c r="H1366" s="17" t="str">
        <f aca="false">IF(INDEX(選手一覧!$E$7:$E$2738,$F1366)="","",INDEX(選手一覧!$E$7:$E$2738,$F1366))</f>
        <v/>
      </c>
      <c r="I1366" s="16" t="str">
        <f aca="false">IF(INDEX(選手一覧!$J$7:$J$2738,$F1366)="","",INDEX(選手一覧!$J$7:$J$2738,$F1366))</f>
        <v/>
      </c>
      <c r="J1366" s="17" t="str">
        <f aca="false">IF(INDEX(選手一覧!$K$7:$K$2738,$F1366)="","",INDEX(選手一覧!$K$7:$K$2738,$F1366))</f>
        <v/>
      </c>
    </row>
    <row r="1367" customFormat="false" ht="15" hidden="false" customHeight="false" outlineLevel="0" collapsed="false">
      <c r="A1367" s="17" t="n">
        <v>1363</v>
      </c>
      <c r="B1367" s="12" t="s">
        <v>4144</v>
      </c>
      <c r="C1367" s="12" t="s">
        <v>749</v>
      </c>
      <c r="D1367" s="16" t="n">
        <v>0.00914594907407407</v>
      </c>
      <c r="E1367" s="15" t="n">
        <f aca="false">ROUND((D1367-$D$5)*86400,2)</f>
        <v>251.19</v>
      </c>
      <c r="F1367" s="17" t="n">
        <v>2718</v>
      </c>
      <c r="G1367" s="16" t="str">
        <f aca="false">IF(INDEX(選手一覧!$D$7:$D$2738,$F1367)="","",INDEX(選手一覧!$D$7:$D$2738,$F1367))</f>
        <v/>
      </c>
      <c r="H1367" s="17" t="str">
        <f aca="false">IF(INDEX(選手一覧!$E$7:$E$2738,$F1367)="","",INDEX(選手一覧!$E$7:$E$2738,$F1367))</f>
        <v/>
      </c>
      <c r="I1367" s="16" t="str">
        <f aca="false">IF(INDEX(選手一覧!$J$7:$J$2738,$F1367)="","",INDEX(選手一覧!$J$7:$J$2738,$F1367))</f>
        <v/>
      </c>
      <c r="J1367" s="17" t="str">
        <f aca="false">IF(INDEX(選手一覧!$K$7:$K$2738,$F1367)="","",INDEX(選手一覧!$K$7:$K$2738,$F1367))</f>
        <v/>
      </c>
    </row>
    <row r="1368" customFormat="false" ht="15" hidden="false" customHeight="false" outlineLevel="0" collapsed="false">
      <c r="A1368" s="17" t="n">
        <v>1364</v>
      </c>
      <c r="B1368" s="12" t="s">
        <v>4145</v>
      </c>
      <c r="C1368" s="12" t="s">
        <v>1491</v>
      </c>
      <c r="D1368" s="16" t="n">
        <v>0.00915092592592593</v>
      </c>
      <c r="E1368" s="15" t="n">
        <f aca="false">ROUND((D1368-$D$5)*86400,2)</f>
        <v>251.62</v>
      </c>
      <c r="F1368" s="17" t="n">
        <v>2719</v>
      </c>
      <c r="G1368" s="16" t="str">
        <f aca="false">IF(INDEX(選手一覧!$D$7:$D$2738,$F1368)="","",INDEX(選手一覧!$D$7:$D$2738,$F1368))</f>
        <v/>
      </c>
      <c r="H1368" s="17" t="str">
        <f aca="false">IF(INDEX(選手一覧!$E$7:$E$2738,$F1368)="","",INDEX(選手一覧!$E$7:$E$2738,$F1368))</f>
        <v/>
      </c>
      <c r="I1368" s="16" t="str">
        <f aca="false">IF(INDEX(選手一覧!$J$7:$J$2738,$F1368)="","",INDEX(選手一覧!$J$7:$J$2738,$F1368))</f>
        <v/>
      </c>
      <c r="J1368" s="17" t="str">
        <f aca="false">IF(INDEX(選手一覧!$K$7:$K$2738,$F1368)="","",INDEX(選手一覧!$K$7:$K$2738,$F1368))</f>
        <v/>
      </c>
    </row>
    <row r="1369" customFormat="false" ht="15" hidden="false" customHeight="false" outlineLevel="0" collapsed="false">
      <c r="A1369" s="17" t="n">
        <v>1365</v>
      </c>
      <c r="B1369" s="12" t="s">
        <v>4146</v>
      </c>
      <c r="C1369" s="12" t="s">
        <v>4048</v>
      </c>
      <c r="D1369" s="16" t="n">
        <v>0.00917615740740741</v>
      </c>
      <c r="E1369" s="15" t="n">
        <f aca="false">ROUND((D1369-$D$5)*86400,2)</f>
        <v>253.8</v>
      </c>
      <c r="F1369" s="17" t="n">
        <v>2720</v>
      </c>
      <c r="G1369" s="16" t="str">
        <f aca="false">IF(INDEX(選手一覧!$D$7:$D$2738,$F1369)="","",INDEX(選手一覧!$D$7:$D$2738,$F1369))</f>
        <v/>
      </c>
      <c r="H1369" s="17" t="str">
        <f aca="false">IF(INDEX(選手一覧!$E$7:$E$2738,$F1369)="","",INDEX(選手一覧!$E$7:$E$2738,$F1369))</f>
        <v/>
      </c>
      <c r="I1369" s="16" t="str">
        <f aca="false">IF(INDEX(選手一覧!$J$7:$J$2738,$F1369)="","",INDEX(選手一覧!$J$7:$J$2738,$F1369))</f>
        <v/>
      </c>
      <c r="J1369" s="17" t="str">
        <f aca="false">IF(INDEX(選手一覧!$K$7:$K$2738,$F1369)="","",INDEX(選手一覧!$K$7:$K$2738,$F1369))</f>
        <v/>
      </c>
    </row>
    <row r="1370" customFormat="false" ht="15" hidden="false" customHeight="false" outlineLevel="0" collapsed="false">
      <c r="A1370" s="17" t="n">
        <v>1366</v>
      </c>
      <c r="B1370" s="12" t="s">
        <v>4147</v>
      </c>
      <c r="C1370" s="12" t="s">
        <v>4139</v>
      </c>
      <c r="D1370" s="16" t="n">
        <v>0.00924594907407408</v>
      </c>
      <c r="E1370" s="15" t="n">
        <f aca="false">ROUND((D1370-$D$5)*86400,2)</f>
        <v>259.83</v>
      </c>
      <c r="F1370" s="17" t="n">
        <v>2721</v>
      </c>
      <c r="G1370" s="16" t="str">
        <f aca="false">IF(INDEX(選手一覧!$D$7:$D$2738,$F1370)="","",INDEX(選手一覧!$D$7:$D$2738,$F1370))</f>
        <v/>
      </c>
      <c r="H1370" s="17" t="str">
        <f aca="false">IF(INDEX(選手一覧!$E$7:$E$2738,$F1370)="","",INDEX(選手一覧!$E$7:$E$2738,$F1370))</f>
        <v/>
      </c>
      <c r="I1370" s="16" t="str">
        <f aca="false">IF(INDEX(選手一覧!$J$7:$J$2738,$F1370)="","",INDEX(選手一覧!$J$7:$J$2738,$F1370))</f>
        <v/>
      </c>
      <c r="J1370" s="17" t="str">
        <f aca="false">IF(INDEX(選手一覧!$K$7:$K$2738,$F1370)="","",INDEX(選手一覧!$K$7:$K$2738,$F1370))</f>
        <v/>
      </c>
    </row>
    <row r="1371" customFormat="false" ht="15" hidden="false" customHeight="false" outlineLevel="0" collapsed="false">
      <c r="A1371" s="17" t="n">
        <v>1367</v>
      </c>
      <c r="B1371" s="12" t="s">
        <v>4148</v>
      </c>
      <c r="C1371" s="12" t="s">
        <v>4149</v>
      </c>
      <c r="D1371" s="16" t="n">
        <v>0.00924618055555556</v>
      </c>
      <c r="E1371" s="15" t="n">
        <f aca="false">ROUND((D1371-$D$5)*86400,2)</f>
        <v>259.85</v>
      </c>
      <c r="F1371" s="17" t="n">
        <v>2722</v>
      </c>
      <c r="G1371" s="16" t="str">
        <f aca="false">IF(INDEX(選手一覧!$D$7:$D$2738,$F1371)="","",INDEX(選手一覧!$D$7:$D$2738,$F1371))</f>
        <v/>
      </c>
      <c r="H1371" s="17" t="str">
        <f aca="false">IF(INDEX(選手一覧!$E$7:$E$2738,$F1371)="","",INDEX(選手一覧!$E$7:$E$2738,$F1371))</f>
        <v/>
      </c>
      <c r="I1371" s="16" t="str">
        <f aca="false">IF(INDEX(選手一覧!$J$7:$J$2738,$F1371)="","",INDEX(選手一覧!$J$7:$J$2738,$F1371))</f>
        <v/>
      </c>
      <c r="J1371" s="17" t="str">
        <f aca="false">IF(INDEX(選手一覧!$K$7:$K$2738,$F1371)="","",INDEX(選手一覧!$K$7:$K$2738,$F1371))</f>
        <v/>
      </c>
    </row>
    <row r="1372" customFormat="false" ht="15" hidden="false" customHeight="false" outlineLevel="0" collapsed="false">
      <c r="A1372" s="17" t="n">
        <v>1368</v>
      </c>
      <c r="B1372" s="12" t="s">
        <v>4150</v>
      </c>
      <c r="C1372" s="12" t="s">
        <v>3760</v>
      </c>
      <c r="D1372" s="16" t="n">
        <v>0.00928900462962963</v>
      </c>
      <c r="E1372" s="15" t="n">
        <f aca="false">ROUND((D1372-$D$5)*86400,2)</f>
        <v>263.55</v>
      </c>
      <c r="F1372" s="17" t="n">
        <v>2723</v>
      </c>
      <c r="G1372" s="16" t="str">
        <f aca="false">IF(INDEX(選手一覧!$D$7:$D$2738,$F1372)="","",INDEX(選手一覧!$D$7:$D$2738,$F1372))</f>
        <v/>
      </c>
      <c r="H1372" s="17" t="str">
        <f aca="false">IF(INDEX(選手一覧!$E$7:$E$2738,$F1372)="","",INDEX(選手一覧!$E$7:$E$2738,$F1372))</f>
        <v/>
      </c>
      <c r="I1372" s="16" t="str">
        <f aca="false">IF(INDEX(選手一覧!$J$7:$J$2738,$F1372)="","",INDEX(選手一覧!$J$7:$J$2738,$F1372))</f>
        <v/>
      </c>
      <c r="J1372" s="17" t="str">
        <f aca="false">IF(INDEX(選手一覧!$K$7:$K$2738,$F1372)="","",INDEX(選手一覧!$K$7:$K$2738,$F1372))</f>
        <v/>
      </c>
    </row>
    <row r="1373" customFormat="false" ht="15" hidden="false" customHeight="false" outlineLevel="0" collapsed="false">
      <c r="A1373" s="17" t="n">
        <v>1369</v>
      </c>
      <c r="B1373" s="12" t="s">
        <v>4151</v>
      </c>
      <c r="C1373" s="12" t="s">
        <v>4152</v>
      </c>
      <c r="D1373" s="16" t="n">
        <v>0.00930740740740741</v>
      </c>
      <c r="E1373" s="15" t="n">
        <f aca="false">ROUND((D1373-$D$5)*86400,2)</f>
        <v>265.14</v>
      </c>
      <c r="F1373" s="17" t="n">
        <v>2724</v>
      </c>
      <c r="G1373" s="16" t="str">
        <f aca="false">IF(INDEX(選手一覧!$D$7:$D$2738,$F1373)="","",INDEX(選手一覧!$D$7:$D$2738,$F1373))</f>
        <v/>
      </c>
      <c r="H1373" s="17" t="str">
        <f aca="false">IF(INDEX(選手一覧!$E$7:$E$2738,$F1373)="","",INDEX(選手一覧!$E$7:$E$2738,$F1373))</f>
        <v/>
      </c>
      <c r="I1373" s="16" t="str">
        <f aca="false">IF(INDEX(選手一覧!$J$7:$J$2738,$F1373)="","",INDEX(選手一覧!$J$7:$J$2738,$F1373))</f>
        <v/>
      </c>
      <c r="J1373" s="17" t="str">
        <f aca="false">IF(INDEX(選手一覧!$K$7:$K$2738,$F1373)="","",INDEX(選手一覧!$K$7:$K$2738,$F1373))</f>
        <v/>
      </c>
    </row>
    <row r="1374" customFormat="false" ht="15" hidden="false" customHeight="false" outlineLevel="0" collapsed="false">
      <c r="A1374" s="17" t="n">
        <v>1370</v>
      </c>
      <c r="B1374" s="12" t="s">
        <v>4153</v>
      </c>
      <c r="C1374" s="12" t="s">
        <v>2982</v>
      </c>
      <c r="D1374" s="16" t="n">
        <v>0.00931400462962963</v>
      </c>
      <c r="E1374" s="15" t="n">
        <f aca="false">ROUND((D1374-$D$5)*86400,2)</f>
        <v>265.71</v>
      </c>
      <c r="F1374" s="17" t="n">
        <v>2725</v>
      </c>
      <c r="G1374" s="16" t="str">
        <f aca="false">IF(INDEX(選手一覧!$D$7:$D$2738,$F1374)="","",INDEX(選手一覧!$D$7:$D$2738,$F1374))</f>
        <v/>
      </c>
      <c r="H1374" s="17" t="str">
        <f aca="false">IF(INDEX(選手一覧!$E$7:$E$2738,$F1374)="","",INDEX(選手一覧!$E$7:$E$2738,$F1374))</f>
        <v/>
      </c>
      <c r="I1374" s="16" t="str">
        <f aca="false">IF(INDEX(選手一覧!$J$7:$J$2738,$F1374)="","",INDEX(選手一覧!$J$7:$J$2738,$F1374))</f>
        <v/>
      </c>
      <c r="J1374" s="17" t="str">
        <f aca="false">IF(INDEX(選手一覧!$K$7:$K$2738,$F1374)="","",INDEX(選手一覧!$K$7:$K$2738,$F1374))</f>
        <v/>
      </c>
    </row>
    <row r="1375" customFormat="false" ht="15" hidden="false" customHeight="false" outlineLevel="0" collapsed="false">
      <c r="A1375" s="17" t="n">
        <v>1371</v>
      </c>
      <c r="B1375" s="12" t="s">
        <v>4154</v>
      </c>
      <c r="C1375" s="12" t="s">
        <v>4155</v>
      </c>
      <c r="D1375" s="16" t="n">
        <v>0.009334375</v>
      </c>
      <c r="E1375" s="15" t="n">
        <f aca="false">ROUND((D1375-$D$5)*86400,2)</f>
        <v>267.47</v>
      </c>
      <c r="F1375" s="17" t="n">
        <v>2726</v>
      </c>
      <c r="G1375" s="16" t="str">
        <f aca="false">IF(INDEX(選手一覧!$D$7:$D$2738,$F1375)="","",INDEX(選手一覧!$D$7:$D$2738,$F1375))</f>
        <v/>
      </c>
      <c r="H1375" s="17" t="str">
        <f aca="false">IF(INDEX(選手一覧!$E$7:$E$2738,$F1375)="","",INDEX(選手一覧!$E$7:$E$2738,$F1375))</f>
        <v/>
      </c>
      <c r="I1375" s="16" t="str">
        <f aca="false">IF(INDEX(選手一覧!$J$7:$J$2738,$F1375)="","",INDEX(選手一覧!$J$7:$J$2738,$F1375))</f>
        <v/>
      </c>
      <c r="J1375" s="17" t="str">
        <f aca="false">IF(INDEX(選手一覧!$K$7:$K$2738,$F1375)="","",INDEX(選手一覧!$K$7:$K$2738,$F1375))</f>
        <v/>
      </c>
    </row>
    <row r="1376" customFormat="false" ht="15" hidden="false" customHeight="false" outlineLevel="0" collapsed="false">
      <c r="A1376" s="17" t="n">
        <v>1372</v>
      </c>
      <c r="B1376" s="12" t="s">
        <v>4156</v>
      </c>
      <c r="C1376" s="12" t="s">
        <v>4157</v>
      </c>
      <c r="D1376" s="16" t="n">
        <v>0.00941574074074074</v>
      </c>
      <c r="E1376" s="15" t="n">
        <f aca="false">ROUND((D1376-$D$5)*86400,2)</f>
        <v>274.5</v>
      </c>
      <c r="F1376" s="17" t="n">
        <v>2727</v>
      </c>
      <c r="G1376" s="16" t="str">
        <f aca="false">IF(INDEX(選手一覧!$D$7:$D$2738,$F1376)="","",INDEX(選手一覧!$D$7:$D$2738,$F1376))</f>
        <v/>
      </c>
      <c r="H1376" s="17" t="str">
        <f aca="false">IF(INDEX(選手一覧!$E$7:$E$2738,$F1376)="","",INDEX(選手一覧!$E$7:$E$2738,$F1376))</f>
        <v/>
      </c>
      <c r="I1376" s="16" t="str">
        <f aca="false">IF(INDEX(選手一覧!$J$7:$J$2738,$F1376)="","",INDEX(選手一覧!$J$7:$J$2738,$F1376))</f>
        <v/>
      </c>
      <c r="J1376" s="17" t="str">
        <f aca="false">IF(INDEX(選手一覧!$K$7:$K$2738,$F1376)="","",INDEX(選手一覧!$K$7:$K$2738,$F1376))</f>
        <v/>
      </c>
    </row>
    <row r="1377" customFormat="false" ht="15" hidden="false" customHeight="false" outlineLevel="0" collapsed="false">
      <c r="A1377" s="17" t="n">
        <v>1373</v>
      </c>
      <c r="B1377" s="12" t="s">
        <v>4158</v>
      </c>
      <c r="C1377" s="12" t="s">
        <v>4159</v>
      </c>
      <c r="D1377" s="16" t="n">
        <v>0.00948449074074074</v>
      </c>
      <c r="E1377" s="15" t="n">
        <f aca="false">ROUND((D1377-$D$5)*86400,2)</f>
        <v>280.44</v>
      </c>
      <c r="F1377" s="17" t="n">
        <v>2728</v>
      </c>
      <c r="G1377" s="16" t="str">
        <f aca="false">IF(INDEX(選手一覧!$D$7:$D$2738,$F1377)="","",INDEX(選手一覧!$D$7:$D$2738,$F1377))</f>
        <v/>
      </c>
      <c r="H1377" s="17" t="str">
        <f aca="false">IF(INDEX(選手一覧!$E$7:$E$2738,$F1377)="","",INDEX(選手一覧!$E$7:$E$2738,$F1377))</f>
        <v/>
      </c>
      <c r="I1377" s="16" t="str">
        <f aca="false">IF(INDEX(選手一覧!$J$7:$J$2738,$F1377)="","",INDEX(選手一覧!$J$7:$J$2738,$F1377))</f>
        <v/>
      </c>
      <c r="J1377" s="17" t="str">
        <f aca="false">IF(INDEX(選手一覧!$K$7:$K$2738,$F1377)="","",INDEX(選手一覧!$K$7:$K$2738,$F1377))</f>
        <v/>
      </c>
    </row>
    <row r="1378" customFormat="false" ht="15" hidden="false" customHeight="false" outlineLevel="0" collapsed="false">
      <c r="A1378" s="17" t="n">
        <v>1374</v>
      </c>
      <c r="B1378" s="12" t="s">
        <v>4160</v>
      </c>
      <c r="C1378" s="12" t="s">
        <v>3765</v>
      </c>
      <c r="D1378" s="16" t="n">
        <v>0.0099724537037037</v>
      </c>
      <c r="E1378" s="15" t="n">
        <f aca="false">ROUND((D1378-$D$5)*86400,2)</f>
        <v>322.6</v>
      </c>
      <c r="F1378" s="17" t="n">
        <v>2729</v>
      </c>
      <c r="G1378" s="16" t="str">
        <f aca="false">IF(INDEX(選手一覧!$D$7:$D$2738,$F1378)="","",INDEX(選手一覧!$D$7:$D$2738,$F1378))</f>
        <v/>
      </c>
      <c r="H1378" s="17" t="str">
        <f aca="false">IF(INDEX(選手一覧!$E$7:$E$2738,$F1378)="","",INDEX(選手一覧!$E$7:$E$2738,$F1378))</f>
        <v/>
      </c>
      <c r="I1378" s="16" t="str">
        <f aca="false">IF(INDEX(選手一覧!$J$7:$J$2738,$F1378)="","",INDEX(選手一覧!$J$7:$J$2738,$F1378))</f>
        <v/>
      </c>
      <c r="J1378" s="17" t="str">
        <f aca="false">IF(INDEX(選手一覧!$K$7:$K$2738,$F1378)="","",INDEX(選手一覧!$K$7:$K$2738,$F1378))</f>
        <v/>
      </c>
    </row>
    <row r="1379" customFormat="false" ht="15" hidden="false" customHeight="false" outlineLevel="0" collapsed="false">
      <c r="A1379" s="17" t="n">
        <v>1375</v>
      </c>
      <c r="B1379" s="12" t="s">
        <v>4161</v>
      </c>
      <c r="C1379" s="12" t="s">
        <v>4162</v>
      </c>
      <c r="D1379" s="16" t="n">
        <v>0.0103003472222222</v>
      </c>
      <c r="E1379" s="15" t="n">
        <f aca="false">ROUND((D1379-$D$5)*86400,2)</f>
        <v>350.93</v>
      </c>
      <c r="F1379" s="17" t="n">
        <v>2730</v>
      </c>
      <c r="G1379" s="16" t="str">
        <f aca="false">IF(INDEX(選手一覧!$D$7:$D$2738,$F1379)="","",INDEX(選手一覧!$D$7:$D$2738,$F1379))</f>
        <v/>
      </c>
      <c r="H1379" s="17" t="str">
        <f aca="false">IF(INDEX(選手一覧!$E$7:$E$2738,$F1379)="","",INDEX(選手一覧!$E$7:$E$2738,$F1379))</f>
        <v/>
      </c>
      <c r="I1379" s="16" t="str">
        <f aca="false">IF(INDEX(選手一覧!$J$7:$J$2738,$F1379)="","",INDEX(選手一覧!$J$7:$J$2738,$F1379))</f>
        <v/>
      </c>
      <c r="J1379" s="17" t="str">
        <f aca="false">IF(INDEX(選手一覧!$K$7:$K$2738,$F1379)="","",INDEX(選手一覧!$K$7:$K$2738,$F1379))</f>
        <v/>
      </c>
    </row>
    <row r="1380" customFormat="false" ht="15" hidden="false" customHeight="false" outlineLevel="0" collapsed="false">
      <c r="A1380" s="17" t="n">
        <v>1376</v>
      </c>
      <c r="B1380" s="12" t="s">
        <v>4163</v>
      </c>
      <c r="C1380" s="12" t="s">
        <v>4164</v>
      </c>
      <c r="D1380" s="16" t="n">
        <v>0.0104084490740741</v>
      </c>
      <c r="E1380" s="15" t="n">
        <f aca="false">ROUND((D1380-$D$5)*86400,2)</f>
        <v>360.27</v>
      </c>
      <c r="F1380" s="17" t="n">
        <v>2731</v>
      </c>
      <c r="G1380" s="16" t="str">
        <f aca="false">IF(INDEX(選手一覧!$D$7:$D$2738,$F1380)="","",INDEX(選手一覧!$D$7:$D$2738,$F1380))</f>
        <v/>
      </c>
      <c r="H1380" s="17" t="str">
        <f aca="false">IF(INDEX(選手一覧!$E$7:$E$2738,$F1380)="","",INDEX(選手一覧!$E$7:$E$2738,$F1380))</f>
        <v/>
      </c>
      <c r="I1380" s="16" t="str">
        <f aca="false">IF(INDEX(選手一覧!$J$7:$J$2738,$F1380)="","",INDEX(選手一覧!$J$7:$J$2738,$F1380))</f>
        <v/>
      </c>
      <c r="J1380" s="17" t="str">
        <f aca="false">IF(INDEX(選手一覧!$K$7:$K$2738,$F1380)="","",INDEX(選手一覧!$K$7:$K$2738,$F1380))</f>
        <v/>
      </c>
    </row>
    <row r="1381" customFormat="false" ht="15" hidden="false" customHeight="false" outlineLevel="0" collapsed="false">
      <c r="A1381" s="17" t="n">
        <v>1377</v>
      </c>
      <c r="B1381" s="12" t="s">
        <v>4165</v>
      </c>
      <c r="C1381" s="12" t="s">
        <v>2899</v>
      </c>
      <c r="D1381" s="16" t="n">
        <v>0.0107068287037037</v>
      </c>
      <c r="E1381" s="15" t="n">
        <f aca="false">ROUND((D1381-$D$5)*86400,2)</f>
        <v>386.05</v>
      </c>
      <c r="F1381" s="17" t="n">
        <v>2732</v>
      </c>
      <c r="G1381" s="16" t="str">
        <f aca="false">IF(INDEX(選手一覧!$D$7:$D$2738,$F1381)="","",INDEX(選手一覧!$D$7:$D$2738,$F1381))</f>
        <v/>
      </c>
      <c r="H1381" s="17" t="str">
        <f aca="false">IF(INDEX(選手一覧!$E$7:$E$2738,$F1381)="","",INDEX(選手一覧!$E$7:$E$2738,$F1381))</f>
        <v/>
      </c>
      <c r="I1381" s="16" t="str">
        <f aca="false">IF(INDEX(選手一覧!$J$7:$J$2738,$F1381)="","",INDEX(選手一覧!$J$7:$J$2738,$F1381))</f>
        <v/>
      </c>
      <c r="J1381" s="17" t="str">
        <f aca="false">IF(INDEX(選手一覧!$K$7:$K$2738,$F1381)="","",INDEX(選手一覧!$K$7:$K$2738,$F1381))</f>
        <v/>
      </c>
    </row>
  </sheetData>
  <autoFilter ref="A4:J1381"/>
  <conditionalFormatting sqref="A5:A1381 H5:H1381 J5:J1381">
    <cfRule type="cellIs" priority="2" operator="lessThanOrEqual" aboveAverage="0" equalAverage="0" bottom="0" percent="0" rank="0" text="" dxfId="9">
      <formula>10</formula>
    </cfRule>
    <cfRule type="cellIs" priority="3" operator="lessThanOrEqual" aboveAverage="0" equalAverage="0" bottom="0" percent="0" rank="0" text="" dxfId="10">
      <formula>50</formula>
    </cfRule>
    <cfRule type="cellIs" priority="4" operator="lessThanOrEqual" aboveAverage="0" equalAverage="0" bottom="0" percent="0" rank="0" text="" dxfId="11">
      <formula>100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36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4" min="4" style="0" width="10"/>
    <col collapsed="false" customWidth="true" hidden="false" outlineLevel="0" max="5" min="5" style="0" width="9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8"/>
    <col collapsed="false" customWidth="true" hidden="false" outlineLevel="0" max="9" min="9" style="0" width="10"/>
    <col collapsed="false" customWidth="true" hidden="false" outlineLevel="0" max="10" min="10" style="0" width="8"/>
  </cols>
  <sheetData>
    <row r="1" customFormat="false" ht="19.4" hidden="false" customHeight="false" outlineLevel="0" collapsed="false">
      <c r="A1" s="1" t="s">
        <v>4766</v>
      </c>
    </row>
    <row r="2" customFormat="false" ht="15" hidden="false" customHeight="false" outlineLevel="0" collapsed="false">
      <c r="A2" s="2" t="s">
        <v>4767</v>
      </c>
    </row>
    <row r="4" customFormat="false" ht="33.75" hidden="false" customHeight="true" outlineLevel="0" collapsed="false">
      <c r="A4" s="8" t="s">
        <v>4168</v>
      </c>
      <c r="B4" s="8" t="s">
        <v>8</v>
      </c>
      <c r="C4" s="8" t="s">
        <v>9</v>
      </c>
      <c r="D4" s="8" t="s">
        <v>4169</v>
      </c>
      <c r="E4" s="8" t="s">
        <v>4170</v>
      </c>
      <c r="F4" s="7" t="s">
        <v>7</v>
      </c>
      <c r="G4" s="7" t="s">
        <v>4761</v>
      </c>
      <c r="H4" s="7" t="s">
        <v>4762</v>
      </c>
      <c r="I4" s="7" t="s">
        <v>14</v>
      </c>
      <c r="J4" s="7" t="s">
        <v>15</v>
      </c>
    </row>
    <row r="5" customFormat="false" ht="15" hidden="false" customHeight="false" outlineLevel="0" collapsed="false">
      <c r="A5" s="17" t="n">
        <v>1</v>
      </c>
      <c r="B5" s="12" t="s">
        <v>26</v>
      </c>
      <c r="C5" s="12" t="s">
        <v>27</v>
      </c>
      <c r="D5" s="16" t="n">
        <v>0.00260451388888889</v>
      </c>
      <c r="E5" s="15" t="n">
        <f aca="false">ROUND((D5-$D$5)*86400,2)</f>
        <v>0</v>
      </c>
      <c r="F5" s="17" t="n">
        <v>2</v>
      </c>
      <c r="G5" s="16" t="n">
        <f aca="false">IF(INDEX(選手一覧!$D$7:$D$2738,$F5)="","",INDEX(選手一覧!$D$7:$D$2738,$F5))</f>
        <v>0.00964340277777778</v>
      </c>
      <c r="H5" s="17" t="n">
        <f aca="false">IF(INDEX(選手一覧!$E$7:$E$2738,$F5)="","",INDEX(選手一覧!$E$7:$E$2738,$F5))</f>
        <v>2</v>
      </c>
      <c r="I5" s="16" t="n">
        <f aca="false">IF(INDEX(選手一覧!$H$7:$H$2738,$F5)="","",INDEX(選手一覧!$H$7:$H$2738,$F5))</f>
        <v>0.00642048611111111</v>
      </c>
      <c r="J5" s="17" t="n">
        <f aca="false">IF(INDEX(選手一覧!$I$7:$I$2738,$F5)="","",INDEX(選手一覧!$I$7:$I$2738,$F5))</f>
        <v>19</v>
      </c>
    </row>
    <row r="6" customFormat="false" ht="15" hidden="false" customHeight="false" outlineLevel="0" collapsed="false">
      <c r="A6" s="17" t="n">
        <v>2</v>
      </c>
      <c r="B6" s="12" t="s">
        <v>29</v>
      </c>
      <c r="C6" s="12" t="s">
        <v>27</v>
      </c>
      <c r="D6" s="16" t="n">
        <v>0.00262800925925926</v>
      </c>
      <c r="E6" s="15" t="n">
        <f aca="false">ROUND((D6-$D$5)*86400,2)</f>
        <v>2.03</v>
      </c>
      <c r="F6" s="17" t="n">
        <v>3</v>
      </c>
      <c r="G6" s="16" t="n">
        <f aca="false">IF(INDEX(選手一覧!$D$7:$D$2738,$F6)="","",INDEX(選手一覧!$D$7:$D$2738,$F6))</f>
        <v>0.00968773148148148</v>
      </c>
      <c r="H6" s="17" t="n">
        <f aca="false">IF(INDEX(選手一覧!$E$7:$E$2738,$F6)="","",INDEX(選手一覧!$E$7:$E$2738,$F6))</f>
        <v>3</v>
      </c>
      <c r="I6" s="16" t="str">
        <f aca="false">IF(INDEX(選手一覧!$H$7:$H$2738,$F6)="","",INDEX(選手一覧!$H$7:$H$2738,$F6))</f>
        <v/>
      </c>
      <c r="J6" s="17" t="str">
        <f aca="false">IF(INDEX(選手一覧!$I$7:$I$2738,$F6)="","",INDEX(選手一覧!$I$7:$I$2738,$F6))</f>
        <v/>
      </c>
    </row>
    <row r="7" customFormat="false" ht="15" hidden="false" customHeight="false" outlineLevel="0" collapsed="false">
      <c r="A7" s="17" t="n">
        <v>3</v>
      </c>
      <c r="B7" s="12" t="s">
        <v>24</v>
      </c>
      <c r="C7" s="12" t="s">
        <v>25</v>
      </c>
      <c r="D7" s="16" t="n">
        <v>0.00264097222222222</v>
      </c>
      <c r="E7" s="15" t="n">
        <f aca="false">ROUND((D7-$D$5)*86400,2)</f>
        <v>3.15</v>
      </c>
      <c r="F7" s="17" t="n">
        <v>1</v>
      </c>
      <c r="G7" s="16" t="n">
        <f aca="false">IF(INDEX(選手一覧!$D$7:$D$2738,$F7)="","",INDEX(選手一覧!$D$7:$D$2738,$F7))</f>
        <v>0.00914050925925926</v>
      </c>
      <c r="H7" s="17" t="n">
        <f aca="false">IF(INDEX(選手一覧!$E$7:$E$2738,$F7)="","",INDEX(選手一覧!$E$7:$E$2738,$F7))</f>
        <v>1</v>
      </c>
      <c r="I7" s="16" t="str">
        <f aca="false">IF(INDEX(選手一覧!$H$7:$H$2738,$F7)="","",INDEX(選手一覧!$H$7:$H$2738,$F7))</f>
        <v/>
      </c>
      <c r="J7" s="17" t="str">
        <f aca="false">IF(INDEX(選手一覧!$I$7:$I$2738,$F7)="","",INDEX(選手一覧!$I$7:$I$2738,$F7))</f>
        <v/>
      </c>
    </row>
    <row r="8" customFormat="false" ht="15" hidden="false" customHeight="false" outlineLevel="0" collapsed="false">
      <c r="A8" s="17" t="n">
        <v>4</v>
      </c>
      <c r="B8" s="12" t="s">
        <v>2041</v>
      </c>
      <c r="C8" s="12" t="s">
        <v>37</v>
      </c>
      <c r="D8" s="16" t="n">
        <v>0.00265011574074074</v>
      </c>
      <c r="E8" s="15" t="n">
        <f aca="false">ROUND((D8-$D$5)*86400,2)</f>
        <v>3.94</v>
      </c>
      <c r="F8" s="17" t="n">
        <v>1291</v>
      </c>
      <c r="G8" s="16" t="str">
        <f aca="false">IF(INDEX(選手一覧!$D$7:$D$2738,$F8)="","",INDEX(選手一覧!$D$7:$D$2738,$F8))</f>
        <v/>
      </c>
      <c r="H8" s="17" t="str">
        <f aca="false">IF(INDEX(選手一覧!$E$7:$E$2738,$F8)="","",INDEX(選手一覧!$E$7:$E$2738,$F8))</f>
        <v/>
      </c>
      <c r="I8" s="16" t="str">
        <f aca="false">IF(INDEX(選手一覧!$H$7:$H$2738,$F8)="","",INDEX(選手一覧!$H$7:$H$2738,$F8))</f>
        <v/>
      </c>
      <c r="J8" s="17" t="str">
        <f aca="false">IF(INDEX(選手一覧!$I$7:$I$2738,$F8)="","",INDEX(選手一覧!$I$7:$I$2738,$F8))</f>
        <v/>
      </c>
    </row>
    <row r="9" customFormat="false" ht="15" hidden="false" customHeight="false" outlineLevel="0" collapsed="false">
      <c r="A9" s="17" t="n">
        <v>5</v>
      </c>
      <c r="B9" s="12" t="s">
        <v>1303</v>
      </c>
      <c r="C9" s="12" t="s">
        <v>179</v>
      </c>
      <c r="D9" s="16" t="n">
        <v>0.00266215277777778</v>
      </c>
      <c r="E9" s="15" t="n">
        <f aca="false">ROUND((D9-$D$5)*86400,2)</f>
        <v>4.98</v>
      </c>
      <c r="F9" s="17" t="n">
        <v>783</v>
      </c>
      <c r="G9" s="16" t="n">
        <f aca="false">IF(INDEX(選手一覧!$D$7:$D$2738,$F9)="","",INDEX(選手一覧!$D$7:$D$2738,$F9))</f>
        <v>0.0108256944444445</v>
      </c>
      <c r="H9" s="17" t="n">
        <f aca="false">IF(INDEX(選手一覧!$E$7:$E$2738,$F9)="","",INDEX(選手一覧!$E$7:$E$2738,$F9))</f>
        <v>784</v>
      </c>
      <c r="I9" s="16" t="str">
        <f aca="false">IF(INDEX(選手一覧!$H$7:$H$2738,$F9)="","",INDEX(選手一覧!$H$7:$H$2738,$F9))</f>
        <v/>
      </c>
      <c r="J9" s="17" t="str">
        <f aca="false">IF(INDEX(選手一覧!$I$7:$I$2738,$F9)="","",INDEX(選手一覧!$I$7:$I$2738,$F9))</f>
        <v/>
      </c>
    </row>
    <row r="10" customFormat="false" ht="15" hidden="false" customHeight="false" outlineLevel="0" collapsed="false">
      <c r="A10" s="17" t="n">
        <v>6</v>
      </c>
      <c r="B10" s="12" t="s">
        <v>439</v>
      </c>
      <c r="C10" s="12" t="s">
        <v>440</v>
      </c>
      <c r="D10" s="16" t="n">
        <v>0.0026662037037037</v>
      </c>
      <c r="E10" s="15" t="n">
        <f aca="false">ROUND((D10-$D$5)*86400,2)</f>
        <v>5.33</v>
      </c>
      <c r="F10" s="17" t="n">
        <v>225</v>
      </c>
      <c r="G10" s="16" t="n">
        <f aca="false">IF(INDEX(選手一覧!$D$7:$D$2738,$F10)="","",INDEX(選手一覧!$D$7:$D$2738,$F10))</f>
        <v>0.0103711805555556</v>
      </c>
      <c r="H10" s="17" t="n">
        <f aca="false">IF(INDEX(選手一覧!$E$7:$E$2738,$F10)="","",INDEX(選手一覧!$E$7:$E$2738,$F10))</f>
        <v>226</v>
      </c>
      <c r="I10" s="16" t="str">
        <f aca="false">IF(INDEX(選手一覧!$H$7:$H$2738,$F10)="","",INDEX(選手一覧!$H$7:$H$2738,$F10))</f>
        <v/>
      </c>
      <c r="J10" s="17" t="str">
        <f aca="false">IF(INDEX(選手一覧!$I$7:$I$2738,$F10)="","",INDEX(選手一覧!$I$7:$I$2738,$F10))</f>
        <v/>
      </c>
    </row>
    <row r="11" customFormat="false" ht="15" hidden="false" customHeight="false" outlineLevel="0" collapsed="false">
      <c r="A11" s="17" t="n">
        <v>7</v>
      </c>
      <c r="B11" s="12" t="s">
        <v>79</v>
      </c>
      <c r="C11" s="12" t="s">
        <v>80</v>
      </c>
      <c r="D11" s="16" t="n">
        <v>0.00267071759259259</v>
      </c>
      <c r="E11" s="15" t="n">
        <f aca="false">ROUND((D11-$D$5)*86400,2)</f>
        <v>5.72</v>
      </c>
      <c r="F11" s="17" t="n">
        <v>25</v>
      </c>
      <c r="G11" s="16" t="n">
        <f aca="false">IF(INDEX(選手一覧!$D$7:$D$2738,$F11)="","",INDEX(選手一覧!$D$7:$D$2738,$F11))</f>
        <v>0.010022337962963</v>
      </c>
      <c r="H11" s="17" t="n">
        <f aca="false">IF(INDEX(選手一覧!$E$7:$E$2738,$F11)="","",INDEX(選手一覧!$E$7:$E$2738,$F11))</f>
        <v>26</v>
      </c>
      <c r="I11" s="16" t="str">
        <f aca="false">IF(INDEX(選手一覧!$H$7:$H$2738,$F11)="","",INDEX(選手一覧!$H$7:$H$2738,$F11))</f>
        <v/>
      </c>
      <c r="J11" s="17" t="str">
        <f aca="false">IF(INDEX(選手一覧!$I$7:$I$2738,$F11)="","",INDEX(選手一覧!$I$7:$I$2738,$F11))</f>
        <v/>
      </c>
    </row>
    <row r="12" customFormat="false" ht="15" hidden="false" customHeight="false" outlineLevel="0" collapsed="false">
      <c r="A12" s="17" t="n">
        <v>8</v>
      </c>
      <c r="B12" s="12" t="s">
        <v>50</v>
      </c>
      <c r="C12" s="12" t="s">
        <v>51</v>
      </c>
      <c r="D12" s="16" t="n">
        <v>0.00267592592592593</v>
      </c>
      <c r="E12" s="15" t="n">
        <f aca="false">ROUND((D12-$D$5)*86400,2)</f>
        <v>6.17</v>
      </c>
      <c r="F12" s="17" t="n">
        <v>12</v>
      </c>
      <c r="G12" s="16" t="n">
        <f aca="false">IF(INDEX(選手一覧!$D$7:$D$2738,$F12)="","",INDEX(選手一覧!$D$7:$D$2738,$F12))</f>
        <v>0.00987303240740741</v>
      </c>
      <c r="H12" s="17" t="n">
        <f aca="false">IF(INDEX(選手一覧!$E$7:$E$2738,$F12)="","",INDEX(選手一覧!$E$7:$E$2738,$F12))</f>
        <v>12</v>
      </c>
      <c r="I12" s="16" t="str">
        <f aca="false">IF(INDEX(選手一覧!$H$7:$H$2738,$F12)="","",INDEX(選手一覧!$H$7:$H$2738,$F12))</f>
        <v/>
      </c>
      <c r="J12" s="17" t="str">
        <f aca="false">IF(INDEX(選手一覧!$I$7:$I$2738,$F12)="","",INDEX(選手一覧!$I$7:$I$2738,$F12))</f>
        <v/>
      </c>
    </row>
    <row r="13" customFormat="false" ht="15" hidden="false" customHeight="false" outlineLevel="0" collapsed="false">
      <c r="A13" s="17" t="n">
        <v>9</v>
      </c>
      <c r="B13" s="12" t="s">
        <v>76</v>
      </c>
      <c r="C13" s="12" t="s">
        <v>77</v>
      </c>
      <c r="D13" s="16" t="n">
        <v>0.00267650462962963</v>
      </c>
      <c r="E13" s="15" t="n">
        <f aca="false">ROUND((D13-$D$5)*86400,2)</f>
        <v>6.22</v>
      </c>
      <c r="F13" s="17" t="n">
        <v>24</v>
      </c>
      <c r="G13" s="16" t="n">
        <f aca="false">IF(INDEX(選手一覧!$D$7:$D$2738,$F13)="","",INDEX(選手一覧!$D$7:$D$2738,$F13))</f>
        <v>0.0100194444444444</v>
      </c>
      <c r="H13" s="17" t="n">
        <f aca="false">IF(INDEX(選手一覧!$E$7:$E$2738,$F13)="","",INDEX(選手一覧!$E$7:$E$2738,$F13))</f>
        <v>25</v>
      </c>
      <c r="I13" s="16" t="str">
        <f aca="false">IF(INDEX(選手一覧!$H$7:$H$2738,$F13)="","",INDEX(選手一覧!$H$7:$H$2738,$F13))</f>
        <v/>
      </c>
      <c r="J13" s="17" t="str">
        <f aca="false">IF(INDEX(選手一覧!$I$7:$I$2738,$F13)="","",INDEX(選手一覧!$I$7:$I$2738,$F13))</f>
        <v/>
      </c>
    </row>
    <row r="14" customFormat="false" ht="15" hidden="false" customHeight="false" outlineLevel="0" collapsed="false">
      <c r="A14" s="17" t="n">
        <v>10</v>
      </c>
      <c r="B14" s="12" t="s">
        <v>1077</v>
      </c>
      <c r="C14" s="12" t="s">
        <v>595</v>
      </c>
      <c r="D14" s="16" t="n">
        <v>0.00267708333333333</v>
      </c>
      <c r="E14" s="15" t="n">
        <f aca="false">ROUND((D14-$D$5)*86400,2)</f>
        <v>6.27</v>
      </c>
      <c r="F14" s="17" t="n">
        <v>632</v>
      </c>
      <c r="G14" s="16" t="n">
        <f aca="false">IF(INDEX(選手一覧!$D$7:$D$2738,$F14)="","",INDEX(選手一覧!$D$7:$D$2738,$F14))</f>
        <v>0.0107309027777778</v>
      </c>
      <c r="H14" s="17" t="n">
        <f aca="false">IF(INDEX(選手一覧!$E$7:$E$2738,$F14)="","",INDEX(選手一覧!$E$7:$E$2738,$F14))</f>
        <v>633</v>
      </c>
      <c r="I14" s="16" t="str">
        <f aca="false">IF(INDEX(選手一覧!$H$7:$H$2738,$F14)="","",INDEX(選手一覧!$H$7:$H$2738,$F14))</f>
        <v/>
      </c>
      <c r="J14" s="17" t="str">
        <f aca="false">IF(INDEX(選手一覧!$I$7:$I$2738,$F14)="","",INDEX(選手一覧!$I$7:$I$2738,$F14))</f>
        <v/>
      </c>
    </row>
    <row r="15" customFormat="false" ht="15" hidden="false" customHeight="false" outlineLevel="0" collapsed="false">
      <c r="A15" s="17" t="n">
        <v>11</v>
      </c>
      <c r="B15" s="12" t="s">
        <v>213</v>
      </c>
      <c r="C15" s="12" t="s">
        <v>214</v>
      </c>
      <c r="D15" s="16" t="n">
        <v>0.00267743055555556</v>
      </c>
      <c r="E15" s="15" t="n">
        <f aca="false">ROUND((D15-$D$5)*86400,2)</f>
        <v>6.3</v>
      </c>
      <c r="F15" s="17" t="n">
        <v>97</v>
      </c>
      <c r="G15" s="16" t="n">
        <f aca="false">IF(INDEX(選手一覧!$D$7:$D$2738,$F15)="","",INDEX(選手一覧!$D$7:$D$2738,$F15))</f>
        <v>0.0102041666666667</v>
      </c>
      <c r="H15" s="17" t="n">
        <f aca="false">IF(INDEX(選手一覧!$E$7:$E$2738,$F15)="","",INDEX(選手一覧!$E$7:$E$2738,$F15))</f>
        <v>98</v>
      </c>
      <c r="I15" s="16" t="str">
        <f aca="false">IF(INDEX(選手一覧!$H$7:$H$2738,$F15)="","",INDEX(選手一覧!$H$7:$H$2738,$F15))</f>
        <v/>
      </c>
      <c r="J15" s="17" t="str">
        <f aca="false">IF(INDEX(選手一覧!$I$7:$I$2738,$F15)="","",INDEX(選手一覧!$I$7:$I$2738,$F15))</f>
        <v/>
      </c>
    </row>
    <row r="16" customFormat="false" ht="15" hidden="false" customHeight="false" outlineLevel="0" collapsed="false">
      <c r="A16" s="17" t="n">
        <v>12</v>
      </c>
      <c r="B16" s="12" t="s">
        <v>459</v>
      </c>
      <c r="C16" s="12" t="s">
        <v>4768</v>
      </c>
      <c r="D16" s="16" t="n">
        <v>0.00267881944444444</v>
      </c>
      <c r="E16" s="15" t="n">
        <f aca="false">ROUND((D16-$D$5)*86400,2)</f>
        <v>6.42</v>
      </c>
      <c r="F16" s="17" t="n">
        <v>235</v>
      </c>
      <c r="G16" s="16" t="n">
        <f aca="false">IF(INDEX(選手一覧!$D$7:$D$2738,$F16)="","",INDEX(選手一覧!$D$7:$D$2738,$F16))</f>
        <v>0.0103765046296296</v>
      </c>
      <c r="H16" s="17" t="n">
        <f aca="false">IF(INDEX(選手一覧!$E$7:$E$2738,$F16)="","",INDEX(選手一覧!$E$7:$E$2738,$F16))</f>
        <v>236</v>
      </c>
      <c r="I16" s="16" t="str">
        <f aca="false">IF(INDEX(選手一覧!$H$7:$H$2738,$F16)="","",INDEX(選手一覧!$H$7:$H$2738,$F16))</f>
        <v/>
      </c>
      <c r="J16" s="17" t="str">
        <f aca="false">IF(INDEX(選手一覧!$I$7:$I$2738,$F16)="","",INDEX(選手一覧!$I$7:$I$2738,$F16))</f>
        <v/>
      </c>
    </row>
    <row r="17" customFormat="false" ht="15" hidden="false" customHeight="false" outlineLevel="0" collapsed="false">
      <c r="A17" s="17" t="n">
        <v>13</v>
      </c>
      <c r="B17" s="12" t="s">
        <v>4769</v>
      </c>
      <c r="C17" s="12" t="s">
        <v>34</v>
      </c>
      <c r="D17" s="16" t="n">
        <v>0.00267881944444444</v>
      </c>
      <c r="E17" s="15" t="n">
        <f aca="false">ROUND((D17-$D$5)*86400,2)</f>
        <v>6.42</v>
      </c>
      <c r="F17" s="17" t="n">
        <v>5</v>
      </c>
      <c r="G17" s="16" t="n">
        <f aca="false">IF(INDEX(選手一覧!$D$7:$D$2738,$F17)="","",INDEX(選手一覧!$D$7:$D$2738,$F17))</f>
        <v>0.00974224537037037</v>
      </c>
      <c r="H17" s="17" t="n">
        <f aca="false">IF(INDEX(選手一覧!$E$7:$E$2738,$F17)="","",INDEX(選手一覧!$E$7:$E$2738,$F17))</f>
        <v>5</v>
      </c>
      <c r="I17" s="16" t="str">
        <f aca="false">IF(INDEX(選手一覧!$H$7:$H$2738,$F17)="","",INDEX(選手一覧!$H$7:$H$2738,$F17))</f>
        <v/>
      </c>
      <c r="J17" s="17" t="str">
        <f aca="false">IF(INDEX(選手一覧!$I$7:$I$2738,$F17)="","",INDEX(選手一覧!$I$7:$I$2738,$F17))</f>
        <v/>
      </c>
    </row>
    <row r="18" customFormat="false" ht="15" hidden="false" customHeight="false" outlineLevel="0" collapsed="false">
      <c r="A18" s="17" t="n">
        <v>14</v>
      </c>
      <c r="B18" s="12" t="s">
        <v>326</v>
      </c>
      <c r="C18" s="12" t="s">
        <v>313</v>
      </c>
      <c r="D18" s="16" t="n">
        <v>0.00268113425925926</v>
      </c>
      <c r="E18" s="15" t="n">
        <f aca="false">ROUND((D18-$D$5)*86400,2)</f>
        <v>6.62</v>
      </c>
      <c r="F18" s="17" t="n">
        <v>156</v>
      </c>
      <c r="G18" s="16" t="n">
        <f aca="false">IF(INDEX(選手一覧!$D$7:$D$2738,$F18)="","",INDEX(選手一覧!$D$7:$D$2738,$F18))</f>
        <v>0.0102939814814815</v>
      </c>
      <c r="H18" s="17" t="n">
        <f aca="false">IF(INDEX(選手一覧!$E$7:$E$2738,$F18)="","",INDEX(選手一覧!$E$7:$E$2738,$F18))</f>
        <v>157</v>
      </c>
      <c r="I18" s="16" t="str">
        <f aca="false">IF(INDEX(選手一覧!$H$7:$H$2738,$F18)="","",INDEX(選手一覧!$H$7:$H$2738,$F18))</f>
        <v/>
      </c>
      <c r="J18" s="17" t="str">
        <f aca="false">IF(INDEX(選手一覧!$I$7:$I$2738,$F18)="","",INDEX(選手一覧!$I$7:$I$2738,$F18))</f>
        <v/>
      </c>
    </row>
    <row r="19" customFormat="false" ht="15" hidden="false" customHeight="false" outlineLevel="0" collapsed="false">
      <c r="A19" s="17" t="n">
        <v>15</v>
      </c>
      <c r="B19" s="12" t="s">
        <v>185</v>
      </c>
      <c r="C19" s="12" t="s">
        <v>186</v>
      </c>
      <c r="D19" s="16" t="n">
        <v>0.00268391203703704</v>
      </c>
      <c r="E19" s="15" t="n">
        <f aca="false">ROUND((D19-$D$5)*86400,2)</f>
        <v>6.86</v>
      </c>
      <c r="F19" s="17" t="n">
        <v>81</v>
      </c>
      <c r="G19" s="16" t="n">
        <f aca="false">IF(INDEX(選手一覧!$D$7:$D$2738,$F19)="","",INDEX(選手一覧!$D$7:$D$2738,$F19))</f>
        <v>0.0101737268518519</v>
      </c>
      <c r="H19" s="17" t="n">
        <f aca="false">IF(INDEX(選手一覧!$E$7:$E$2738,$F19)="","",INDEX(選手一覧!$E$7:$E$2738,$F19))</f>
        <v>82</v>
      </c>
      <c r="I19" s="16" t="str">
        <f aca="false">IF(INDEX(選手一覧!$H$7:$H$2738,$F19)="","",INDEX(選手一覧!$H$7:$H$2738,$F19))</f>
        <v/>
      </c>
      <c r="J19" s="17" t="str">
        <f aca="false">IF(INDEX(選手一覧!$I$7:$I$2738,$F19)="","",INDEX(選手一覧!$I$7:$I$2738,$F19))</f>
        <v/>
      </c>
    </row>
    <row r="20" customFormat="false" ht="15" hidden="false" customHeight="false" outlineLevel="0" collapsed="false">
      <c r="A20" s="17" t="n">
        <v>16</v>
      </c>
      <c r="B20" s="12" t="s">
        <v>139</v>
      </c>
      <c r="C20" s="12" t="s">
        <v>129</v>
      </c>
      <c r="D20" s="16" t="n">
        <v>0.00268472222222222</v>
      </c>
      <c r="E20" s="15" t="n">
        <f aca="false">ROUND((D20-$D$5)*86400,2)</f>
        <v>6.93</v>
      </c>
      <c r="F20" s="17" t="n">
        <v>57</v>
      </c>
      <c r="G20" s="16" t="n">
        <f aca="false">IF(INDEX(選手一覧!$D$7:$D$2738,$F20)="","",INDEX(選手一覧!$D$7:$D$2738,$F20))</f>
        <v>0.0101146990740741</v>
      </c>
      <c r="H20" s="17" t="n">
        <f aca="false">IF(INDEX(選手一覧!$E$7:$E$2738,$F20)="","",INDEX(選手一覧!$E$7:$E$2738,$F20))</f>
        <v>58</v>
      </c>
      <c r="I20" s="16" t="str">
        <f aca="false">IF(INDEX(選手一覧!$H$7:$H$2738,$F20)="","",INDEX(選手一覧!$H$7:$H$2738,$F20))</f>
        <v/>
      </c>
      <c r="J20" s="17" t="str">
        <f aca="false">IF(INDEX(選手一覧!$I$7:$I$2738,$F20)="","",INDEX(選手一覧!$I$7:$I$2738,$F20))</f>
        <v/>
      </c>
    </row>
    <row r="21" customFormat="false" ht="15" hidden="false" customHeight="false" outlineLevel="0" collapsed="false">
      <c r="A21" s="17" t="n">
        <v>17</v>
      </c>
      <c r="B21" s="12" t="s">
        <v>335</v>
      </c>
      <c r="C21" s="12" t="s">
        <v>77</v>
      </c>
      <c r="D21" s="16" t="n">
        <v>0.00268900462962963</v>
      </c>
      <c r="E21" s="15" t="n">
        <f aca="false">ROUND((D21-$D$5)*86400,2)</f>
        <v>7.3</v>
      </c>
      <c r="F21" s="17" t="n">
        <v>161</v>
      </c>
      <c r="G21" s="16" t="n">
        <f aca="false">IF(INDEX(選手一覧!$D$7:$D$2738,$F21)="","",INDEX(選手一覧!$D$7:$D$2738,$F21))</f>
        <v>0.0103006944444444</v>
      </c>
      <c r="H21" s="17" t="n">
        <f aca="false">IF(INDEX(選手一覧!$E$7:$E$2738,$F21)="","",INDEX(選手一覧!$E$7:$E$2738,$F21))</f>
        <v>162</v>
      </c>
      <c r="I21" s="16" t="str">
        <f aca="false">IF(INDEX(選手一覧!$H$7:$H$2738,$F21)="","",INDEX(選手一覧!$H$7:$H$2738,$F21))</f>
        <v/>
      </c>
      <c r="J21" s="17" t="str">
        <f aca="false">IF(INDEX(選手一覧!$I$7:$I$2738,$F21)="","",INDEX(選手一覧!$I$7:$I$2738,$F21))</f>
        <v/>
      </c>
    </row>
    <row r="22" customFormat="false" ht="15" hidden="false" customHeight="false" outlineLevel="0" collapsed="false">
      <c r="A22" s="17" t="n">
        <v>18</v>
      </c>
      <c r="B22" s="12" t="s">
        <v>53</v>
      </c>
      <c r="C22" s="12" t="s">
        <v>54</v>
      </c>
      <c r="D22" s="16" t="n">
        <v>0.00268946759259259</v>
      </c>
      <c r="E22" s="15" t="n">
        <f aca="false">ROUND((D22-$D$5)*86400,2)</f>
        <v>7.34</v>
      </c>
      <c r="F22" s="17" t="n">
        <v>13</v>
      </c>
      <c r="G22" s="16" t="n">
        <f aca="false">IF(INDEX(選手一覧!$D$7:$D$2738,$F22)="","",INDEX(選手一覧!$D$7:$D$2738,$F22))</f>
        <v>0.00990069444444445</v>
      </c>
      <c r="H22" s="17" t="n">
        <f aca="false">IF(INDEX(選手一覧!$E$7:$E$2738,$F22)="","",INDEX(選手一覧!$E$7:$E$2738,$F22))</f>
        <v>14</v>
      </c>
      <c r="I22" s="16" t="str">
        <f aca="false">IF(INDEX(選手一覧!$H$7:$H$2738,$F22)="","",INDEX(選手一覧!$H$7:$H$2738,$F22))</f>
        <v/>
      </c>
      <c r="J22" s="17" t="str">
        <f aca="false">IF(INDEX(選手一覧!$I$7:$I$2738,$F22)="","",INDEX(選手一覧!$I$7:$I$2738,$F22))</f>
        <v/>
      </c>
    </row>
    <row r="23" customFormat="false" ht="15" hidden="false" customHeight="false" outlineLevel="0" collapsed="false">
      <c r="A23" s="17" t="n">
        <v>19</v>
      </c>
      <c r="B23" s="12" t="s">
        <v>151</v>
      </c>
      <c r="C23" s="12" t="s">
        <v>152</v>
      </c>
      <c r="D23" s="16" t="n">
        <v>0.00269143518518519</v>
      </c>
      <c r="E23" s="15" t="n">
        <f aca="false">ROUND((D23-$D$5)*86400,2)</f>
        <v>7.51</v>
      </c>
      <c r="F23" s="17" t="n">
        <v>64</v>
      </c>
      <c r="G23" s="16" t="n">
        <f aca="false">IF(INDEX(選手一覧!$D$7:$D$2738,$F23)="","",INDEX(選手一覧!$D$7:$D$2738,$F23))</f>
        <v>0.0101371527777778</v>
      </c>
      <c r="H23" s="17" t="n">
        <f aca="false">IF(INDEX(選手一覧!$E$7:$E$2738,$F23)="","",INDEX(選手一覧!$E$7:$E$2738,$F23))</f>
        <v>65</v>
      </c>
      <c r="I23" s="16" t="str">
        <f aca="false">IF(INDEX(選手一覧!$H$7:$H$2738,$F23)="","",INDEX(選手一覧!$H$7:$H$2738,$F23))</f>
        <v/>
      </c>
      <c r="J23" s="17" t="str">
        <f aca="false">IF(INDEX(選手一覧!$I$7:$I$2738,$F23)="","",INDEX(選手一覧!$I$7:$I$2738,$F23))</f>
        <v/>
      </c>
    </row>
    <row r="24" customFormat="false" ht="15" hidden="false" customHeight="false" outlineLevel="0" collapsed="false">
      <c r="A24" s="17" t="n">
        <v>20</v>
      </c>
      <c r="B24" s="12" t="s">
        <v>2042</v>
      </c>
      <c r="C24" s="12" t="s">
        <v>875</v>
      </c>
      <c r="D24" s="16" t="n">
        <v>0.00269189814814815</v>
      </c>
      <c r="E24" s="15" t="n">
        <f aca="false">ROUND((D24-$D$5)*86400,2)</f>
        <v>7.55</v>
      </c>
      <c r="F24" s="17" t="n">
        <v>1292</v>
      </c>
      <c r="G24" s="16" t="str">
        <f aca="false">IF(INDEX(選手一覧!$D$7:$D$2738,$F24)="","",INDEX(選手一覧!$D$7:$D$2738,$F24))</f>
        <v/>
      </c>
      <c r="H24" s="17" t="str">
        <f aca="false">IF(INDEX(選手一覧!$E$7:$E$2738,$F24)="","",INDEX(選手一覧!$E$7:$E$2738,$F24))</f>
        <v/>
      </c>
      <c r="I24" s="16" t="str">
        <f aca="false">IF(INDEX(選手一覧!$H$7:$H$2738,$F24)="","",INDEX(選手一覧!$H$7:$H$2738,$F24))</f>
        <v/>
      </c>
      <c r="J24" s="17" t="str">
        <f aca="false">IF(INDEX(選手一覧!$I$7:$I$2738,$F24)="","",INDEX(選手一覧!$I$7:$I$2738,$F24))</f>
        <v/>
      </c>
    </row>
    <row r="25" customFormat="false" ht="15" hidden="false" customHeight="false" outlineLevel="0" collapsed="false">
      <c r="A25" s="17" t="n">
        <v>21</v>
      </c>
      <c r="B25" s="12" t="s">
        <v>317</v>
      </c>
      <c r="C25" s="12" t="s">
        <v>318</v>
      </c>
      <c r="D25" s="16" t="n">
        <v>0.00269259259259259</v>
      </c>
      <c r="E25" s="15" t="n">
        <f aca="false">ROUND((D25-$D$5)*86400,2)</f>
        <v>7.61</v>
      </c>
      <c r="F25" s="17" t="n">
        <v>152</v>
      </c>
      <c r="G25" s="16" t="n">
        <f aca="false">IF(INDEX(選手一覧!$D$7:$D$2738,$F25)="","",INDEX(選手一覧!$D$7:$D$2738,$F25))</f>
        <v>0.010284837962963</v>
      </c>
      <c r="H25" s="17" t="n">
        <f aca="false">IF(INDEX(選手一覧!$E$7:$E$2738,$F25)="","",INDEX(選手一覧!$E$7:$E$2738,$F25))</f>
        <v>153</v>
      </c>
      <c r="I25" s="16" t="str">
        <f aca="false">IF(INDEX(選手一覧!$H$7:$H$2738,$F25)="","",INDEX(選手一覧!$H$7:$H$2738,$F25))</f>
        <v/>
      </c>
      <c r="J25" s="17" t="str">
        <f aca="false">IF(INDEX(選手一覧!$I$7:$I$2738,$F25)="","",INDEX(選手一覧!$I$7:$I$2738,$F25))</f>
        <v/>
      </c>
    </row>
    <row r="26" customFormat="false" ht="15" hidden="false" customHeight="false" outlineLevel="0" collapsed="false">
      <c r="A26" s="17" t="n">
        <v>22</v>
      </c>
      <c r="B26" s="12" t="s">
        <v>124</v>
      </c>
      <c r="C26" s="12" t="s">
        <v>125</v>
      </c>
      <c r="D26" s="16" t="n">
        <v>0.0026931712962963</v>
      </c>
      <c r="E26" s="15" t="n">
        <f aca="false">ROUND((D26-$D$5)*86400,2)</f>
        <v>7.66</v>
      </c>
      <c r="F26" s="17" t="n">
        <v>49</v>
      </c>
      <c r="G26" s="16" t="n">
        <f aca="false">IF(INDEX(選手一覧!$D$7:$D$2738,$F26)="","",INDEX(選手一覧!$D$7:$D$2738,$F26))</f>
        <v>0.0100962962962963</v>
      </c>
      <c r="H26" s="17" t="n">
        <f aca="false">IF(INDEX(選手一覧!$E$7:$E$2738,$F26)="","",INDEX(選手一覧!$E$7:$E$2738,$F26))</f>
        <v>50</v>
      </c>
      <c r="I26" s="16" t="str">
        <f aca="false">IF(INDEX(選手一覧!$H$7:$H$2738,$F26)="","",INDEX(選手一覧!$H$7:$H$2738,$F26))</f>
        <v/>
      </c>
      <c r="J26" s="17" t="str">
        <f aca="false">IF(INDEX(選手一覧!$I$7:$I$2738,$F26)="","",INDEX(選手一覧!$I$7:$I$2738,$F26))</f>
        <v/>
      </c>
    </row>
    <row r="27" customFormat="false" ht="15" hidden="false" customHeight="false" outlineLevel="0" collapsed="false">
      <c r="A27" s="17" t="n">
        <v>23</v>
      </c>
      <c r="B27" s="12" t="s">
        <v>208</v>
      </c>
      <c r="C27" s="12" t="s">
        <v>209</v>
      </c>
      <c r="D27" s="16" t="n">
        <v>0.00269340277777778</v>
      </c>
      <c r="E27" s="15" t="n">
        <f aca="false">ROUND((D27-$D$5)*86400,2)</f>
        <v>7.68</v>
      </c>
      <c r="F27" s="17" t="n">
        <v>94</v>
      </c>
      <c r="G27" s="16" t="n">
        <f aca="false">IF(INDEX(選手一覧!$D$7:$D$2738,$F27)="","",INDEX(選手一覧!$D$7:$D$2738,$F27))</f>
        <v>0.0101960648148148</v>
      </c>
      <c r="H27" s="17" t="n">
        <f aca="false">IF(INDEX(選手一覧!$E$7:$E$2738,$F27)="","",INDEX(選手一覧!$E$7:$E$2738,$F27))</f>
        <v>95</v>
      </c>
      <c r="I27" s="16" t="str">
        <f aca="false">IF(INDEX(選手一覧!$H$7:$H$2738,$F27)="","",INDEX(選手一覧!$H$7:$H$2738,$F27))</f>
        <v/>
      </c>
      <c r="J27" s="17" t="str">
        <f aca="false">IF(INDEX(選手一覧!$I$7:$I$2738,$F27)="","",INDEX(選手一覧!$I$7:$I$2738,$F27))</f>
        <v/>
      </c>
    </row>
    <row r="28" customFormat="false" ht="15" hidden="false" customHeight="false" outlineLevel="0" collapsed="false">
      <c r="A28" s="17" t="n">
        <v>24</v>
      </c>
      <c r="B28" s="12" t="s">
        <v>42</v>
      </c>
      <c r="C28" s="12" t="s">
        <v>43</v>
      </c>
      <c r="D28" s="16" t="n">
        <v>0.00269803240740741</v>
      </c>
      <c r="E28" s="15" t="n">
        <f aca="false">ROUND((D28-$D$5)*86400,2)</f>
        <v>8.08</v>
      </c>
      <c r="F28" s="17" t="n">
        <v>8</v>
      </c>
      <c r="G28" s="16" t="n">
        <f aca="false">IF(INDEX(選手一覧!$D$7:$D$2738,$F28)="","",INDEX(選手一覧!$D$7:$D$2738,$F28))</f>
        <v>0.00981168981481482</v>
      </c>
      <c r="H28" s="17" t="n">
        <f aca="false">IF(INDEX(選手一覧!$E$7:$E$2738,$F28)="","",INDEX(選手一覧!$E$7:$E$2738,$F28))</f>
        <v>8</v>
      </c>
      <c r="I28" s="16" t="str">
        <f aca="false">IF(INDEX(選手一覧!$H$7:$H$2738,$F28)="","",INDEX(選手一覧!$H$7:$H$2738,$F28))</f>
        <v/>
      </c>
      <c r="J28" s="17" t="str">
        <f aca="false">IF(INDEX(選手一覧!$I$7:$I$2738,$F28)="","",INDEX(選手一覧!$I$7:$I$2738,$F28))</f>
        <v/>
      </c>
    </row>
    <row r="29" customFormat="false" ht="15" hidden="false" customHeight="false" outlineLevel="0" collapsed="false">
      <c r="A29" s="17" t="n">
        <v>25</v>
      </c>
      <c r="B29" s="12" t="s">
        <v>238</v>
      </c>
      <c r="C29" s="12" t="s">
        <v>155</v>
      </c>
      <c r="D29" s="16" t="n">
        <v>0.00269826388888889</v>
      </c>
      <c r="E29" s="15" t="n">
        <f aca="false">ROUND((D29-$D$5)*86400,2)</f>
        <v>8.1</v>
      </c>
      <c r="F29" s="17" t="n">
        <v>113</v>
      </c>
      <c r="G29" s="16" t="n">
        <f aca="false">IF(INDEX(選手一覧!$D$7:$D$2738,$F29)="","",INDEX(選手一覧!$D$7:$D$2738,$F29))</f>
        <v>0.0102357638888889</v>
      </c>
      <c r="H29" s="17" t="n">
        <f aca="false">IF(INDEX(選手一覧!$E$7:$E$2738,$F29)="","",INDEX(選手一覧!$E$7:$E$2738,$F29))</f>
        <v>114</v>
      </c>
      <c r="I29" s="16" t="n">
        <f aca="false">IF(INDEX(選手一覧!$H$7:$H$2738,$F29)="","",INDEX(選手一覧!$H$7:$H$2738,$F29))</f>
        <v>0.00656354166666667</v>
      </c>
      <c r="J29" s="17" t="n">
        <f aca="false">IF(INDEX(選手一覧!$I$7:$I$2738,$F29)="","",INDEX(選手一覧!$I$7:$I$2738,$F29))</f>
        <v>50</v>
      </c>
    </row>
    <row r="30" customFormat="false" ht="15" hidden="false" customHeight="false" outlineLevel="0" collapsed="false">
      <c r="A30" s="17" t="n">
        <v>26</v>
      </c>
      <c r="B30" s="12" t="s">
        <v>1490</v>
      </c>
      <c r="C30" s="12" t="s">
        <v>1491</v>
      </c>
      <c r="D30" s="16" t="n">
        <v>0.00270081018518519</v>
      </c>
      <c r="E30" s="15" t="n">
        <f aca="false">ROUND((D30-$D$5)*86400,2)</f>
        <v>8.32</v>
      </c>
      <c r="F30" s="17" t="n">
        <v>906</v>
      </c>
      <c r="G30" s="16" t="n">
        <f aca="false">IF(INDEX(選手一覧!$D$7:$D$2738,$F30)="","",INDEX(選手一覧!$D$7:$D$2738,$F30))</f>
        <v>0.0108923611111111</v>
      </c>
      <c r="H30" s="17" t="n">
        <f aca="false">IF(INDEX(選手一覧!$E$7:$E$2738,$F30)="","",INDEX(選手一覧!$E$7:$E$2738,$F30))</f>
        <v>907</v>
      </c>
      <c r="I30" s="16" t="str">
        <f aca="false">IF(INDEX(選手一覧!$H$7:$H$2738,$F30)="","",INDEX(選手一覧!$H$7:$H$2738,$F30))</f>
        <v/>
      </c>
      <c r="J30" s="17" t="str">
        <f aca="false">IF(INDEX(選手一覧!$I$7:$I$2738,$F30)="","",INDEX(選手一覧!$I$7:$I$2738,$F30))</f>
        <v/>
      </c>
    </row>
    <row r="31" customFormat="false" ht="15" hidden="false" customHeight="false" outlineLevel="0" collapsed="false">
      <c r="A31" s="17" t="n">
        <v>27</v>
      </c>
      <c r="B31" s="12" t="s">
        <v>196</v>
      </c>
      <c r="C31" s="12" t="s">
        <v>67</v>
      </c>
      <c r="D31" s="16" t="n">
        <v>0.00270231481481482</v>
      </c>
      <c r="E31" s="15" t="n">
        <f aca="false">ROUND((D31-$D$5)*86400,2)</f>
        <v>8.45</v>
      </c>
      <c r="F31" s="17" t="n">
        <v>87</v>
      </c>
      <c r="G31" s="16" t="n">
        <f aca="false">IF(INDEX(選手一覧!$D$7:$D$2738,$F31)="","",INDEX(選手一覧!$D$7:$D$2738,$F31))</f>
        <v>0.0101863425925926</v>
      </c>
      <c r="H31" s="17" t="n">
        <f aca="false">IF(INDEX(選手一覧!$E$7:$E$2738,$F31)="","",INDEX(選手一覧!$E$7:$E$2738,$F31))</f>
        <v>88</v>
      </c>
      <c r="I31" s="16" t="str">
        <f aca="false">IF(INDEX(選手一覧!$H$7:$H$2738,$F31)="","",INDEX(選手一覧!$H$7:$H$2738,$F31))</f>
        <v/>
      </c>
      <c r="J31" s="17" t="str">
        <f aca="false">IF(INDEX(選手一覧!$I$7:$I$2738,$F31)="","",INDEX(選手一覧!$I$7:$I$2738,$F31))</f>
        <v/>
      </c>
    </row>
    <row r="32" customFormat="false" ht="15" hidden="false" customHeight="false" outlineLevel="0" collapsed="false">
      <c r="A32" s="17" t="n">
        <v>28</v>
      </c>
      <c r="B32" s="12" t="s">
        <v>1492</v>
      </c>
      <c r="C32" s="12" t="s">
        <v>695</v>
      </c>
      <c r="D32" s="16" t="n">
        <v>0.00270462962962963</v>
      </c>
      <c r="E32" s="15" t="n">
        <f aca="false">ROUND((D32-$D$5)*86400,2)</f>
        <v>8.65</v>
      </c>
      <c r="F32" s="17" t="n">
        <v>907</v>
      </c>
      <c r="G32" s="16" t="n">
        <f aca="false">IF(INDEX(選手一覧!$D$7:$D$2738,$F32)="","",INDEX(選手一覧!$D$7:$D$2738,$F32))</f>
        <v>0.010893287037037</v>
      </c>
      <c r="H32" s="17" t="n">
        <f aca="false">IF(INDEX(選手一覧!$E$7:$E$2738,$F32)="","",INDEX(選手一覧!$E$7:$E$2738,$F32))</f>
        <v>908</v>
      </c>
      <c r="I32" s="16" t="str">
        <f aca="false">IF(INDEX(選手一覧!$H$7:$H$2738,$F32)="","",INDEX(選手一覧!$H$7:$H$2738,$F32))</f>
        <v/>
      </c>
      <c r="J32" s="17" t="str">
        <f aca="false">IF(INDEX(選手一覧!$I$7:$I$2738,$F32)="","",INDEX(選手一覧!$I$7:$I$2738,$F32))</f>
        <v/>
      </c>
    </row>
    <row r="33" customFormat="false" ht="15" hidden="false" customHeight="false" outlineLevel="0" collapsed="false">
      <c r="A33" s="17" t="n">
        <v>29</v>
      </c>
      <c r="B33" s="12" t="s">
        <v>84</v>
      </c>
      <c r="C33" s="12" t="s">
        <v>77</v>
      </c>
      <c r="D33" s="16" t="n">
        <v>0.00270590277777778</v>
      </c>
      <c r="E33" s="15" t="n">
        <f aca="false">ROUND((D33-$D$5)*86400,2)</f>
        <v>8.76</v>
      </c>
      <c r="F33" s="17" t="n">
        <v>28</v>
      </c>
      <c r="G33" s="16" t="n">
        <f aca="false">IF(INDEX(選手一覧!$D$7:$D$2738,$F33)="","",INDEX(選手一覧!$D$7:$D$2738,$F33))</f>
        <v>0.0100400462962963</v>
      </c>
      <c r="H33" s="17" t="n">
        <f aca="false">IF(INDEX(選手一覧!$E$7:$E$2738,$F33)="","",INDEX(選手一覧!$E$7:$E$2738,$F33))</f>
        <v>29</v>
      </c>
      <c r="I33" s="16" t="n">
        <f aca="false">IF(INDEX(選手一覧!$H$7:$H$2738,$F33)="","",INDEX(選手一覧!$H$7:$H$2738,$F33))</f>
        <v>0.00702037037037037</v>
      </c>
      <c r="J33" s="17" t="n">
        <f aca="false">IF(INDEX(選手一覧!$I$7:$I$2738,$F33)="","",INDEX(選手一覧!$I$7:$I$2738,$F33))</f>
        <v>355</v>
      </c>
    </row>
    <row r="34" customFormat="false" ht="15" hidden="false" customHeight="false" outlineLevel="0" collapsed="false">
      <c r="A34" s="17" t="n">
        <v>30</v>
      </c>
      <c r="B34" s="12" t="s">
        <v>539</v>
      </c>
      <c r="C34" s="12" t="s">
        <v>415</v>
      </c>
      <c r="D34" s="16" t="n">
        <v>0.00270625</v>
      </c>
      <c r="E34" s="15" t="n">
        <f aca="false">ROUND((D34-$D$5)*86400,2)</f>
        <v>8.79</v>
      </c>
      <c r="F34" s="17" t="n">
        <v>285</v>
      </c>
      <c r="G34" s="16" t="n">
        <f aca="false">IF(INDEX(選手一覧!$D$7:$D$2738,$F34)="","",INDEX(選手一覧!$D$7:$D$2738,$F34))</f>
        <v>0.0104215277777778</v>
      </c>
      <c r="H34" s="17" t="n">
        <f aca="false">IF(INDEX(選手一覧!$E$7:$E$2738,$F34)="","",INDEX(選手一覧!$E$7:$E$2738,$F34))</f>
        <v>286</v>
      </c>
      <c r="I34" s="16" t="str">
        <f aca="false">IF(INDEX(選手一覧!$H$7:$H$2738,$F34)="","",INDEX(選手一覧!$H$7:$H$2738,$F34))</f>
        <v/>
      </c>
      <c r="J34" s="17" t="str">
        <f aca="false">IF(INDEX(選手一覧!$I$7:$I$2738,$F34)="","",INDEX(選手一覧!$I$7:$I$2738,$F34))</f>
        <v/>
      </c>
    </row>
    <row r="35" customFormat="false" ht="15" hidden="false" customHeight="false" outlineLevel="0" collapsed="false">
      <c r="A35" s="17" t="n">
        <v>31</v>
      </c>
      <c r="B35" s="12" t="s">
        <v>294</v>
      </c>
      <c r="C35" s="12" t="s">
        <v>40</v>
      </c>
      <c r="D35" s="16" t="n">
        <v>0.00270763888888889</v>
      </c>
      <c r="E35" s="15" t="n">
        <f aca="false">ROUND((D35-$D$5)*86400,2)</f>
        <v>8.91</v>
      </c>
      <c r="F35" s="17" t="n">
        <v>140</v>
      </c>
      <c r="G35" s="16" t="n">
        <f aca="false">IF(INDEX(選手一覧!$D$7:$D$2738,$F35)="","",INDEX(選手一覧!$D$7:$D$2738,$F35))</f>
        <v>0.010275462962963</v>
      </c>
      <c r="H35" s="17" t="n">
        <f aca="false">IF(INDEX(選手一覧!$E$7:$E$2738,$F35)="","",INDEX(選手一覧!$E$7:$E$2738,$F35))</f>
        <v>141</v>
      </c>
      <c r="I35" s="16" t="str">
        <f aca="false">IF(INDEX(選手一覧!$H$7:$H$2738,$F35)="","",INDEX(選手一覧!$H$7:$H$2738,$F35))</f>
        <v/>
      </c>
      <c r="J35" s="17" t="str">
        <f aca="false">IF(INDEX(選手一覧!$I$7:$I$2738,$F35)="","",INDEX(選手一覧!$I$7:$I$2738,$F35))</f>
        <v/>
      </c>
    </row>
    <row r="36" customFormat="false" ht="15" hidden="false" customHeight="false" outlineLevel="0" collapsed="false">
      <c r="A36" s="17" t="n">
        <v>32</v>
      </c>
      <c r="B36" s="12" t="s">
        <v>173</v>
      </c>
      <c r="C36" s="12" t="s">
        <v>150</v>
      </c>
      <c r="D36" s="16" t="n">
        <v>0.00270787037037037</v>
      </c>
      <c r="E36" s="15" t="n">
        <f aca="false">ROUND((D36-$D$5)*86400,2)</f>
        <v>8.93</v>
      </c>
      <c r="F36" s="17" t="n">
        <v>74</v>
      </c>
      <c r="G36" s="16" t="n">
        <f aca="false">IF(INDEX(選手一覧!$D$7:$D$2738,$F36)="","",INDEX(選手一覧!$D$7:$D$2738,$F36))</f>
        <v>0.010158912037037</v>
      </c>
      <c r="H36" s="17" t="n">
        <f aca="false">IF(INDEX(選手一覧!$E$7:$E$2738,$F36)="","",INDEX(選手一覧!$E$7:$E$2738,$F36))</f>
        <v>75</v>
      </c>
      <c r="I36" s="16" t="str">
        <f aca="false">IF(INDEX(選手一覧!$H$7:$H$2738,$F36)="","",INDEX(選手一覧!$H$7:$H$2738,$F36))</f>
        <v/>
      </c>
      <c r="J36" s="17" t="str">
        <f aca="false">IF(INDEX(選手一覧!$I$7:$I$2738,$F36)="","",INDEX(選手一覧!$I$7:$I$2738,$F36))</f>
        <v/>
      </c>
    </row>
    <row r="37" customFormat="false" ht="15" hidden="false" customHeight="false" outlineLevel="0" collapsed="false">
      <c r="A37" s="17" t="n">
        <v>33</v>
      </c>
      <c r="B37" s="12" t="s">
        <v>597</v>
      </c>
      <c r="C37" s="12" t="s">
        <v>143</v>
      </c>
      <c r="D37" s="16" t="n">
        <v>0.00270844907407407</v>
      </c>
      <c r="E37" s="15" t="n">
        <f aca="false">ROUND((D37-$D$5)*86400,2)</f>
        <v>8.98</v>
      </c>
      <c r="F37" s="17" t="n">
        <v>319</v>
      </c>
      <c r="G37" s="16" t="n">
        <f aca="false">IF(INDEX(選手一覧!$D$7:$D$2738,$F37)="","",INDEX(選手一覧!$D$7:$D$2738,$F37))</f>
        <v>0.0104740740740741</v>
      </c>
      <c r="H37" s="17" t="n">
        <f aca="false">IF(INDEX(選手一覧!$E$7:$E$2738,$F37)="","",INDEX(選手一覧!$E$7:$E$2738,$F37))</f>
        <v>320</v>
      </c>
      <c r="I37" s="16" t="str">
        <f aca="false">IF(INDEX(選手一覧!$H$7:$H$2738,$F37)="","",INDEX(選手一覧!$H$7:$H$2738,$F37))</f>
        <v/>
      </c>
      <c r="J37" s="17" t="str">
        <f aca="false">IF(INDEX(選手一覧!$I$7:$I$2738,$F37)="","",INDEX(選手一覧!$I$7:$I$2738,$F37))</f>
        <v/>
      </c>
    </row>
    <row r="38" customFormat="false" ht="15" hidden="false" customHeight="false" outlineLevel="0" collapsed="false">
      <c r="A38" s="17" t="n">
        <v>34</v>
      </c>
      <c r="B38" s="12" t="s">
        <v>58</v>
      </c>
      <c r="C38" s="12" t="s">
        <v>59</v>
      </c>
      <c r="D38" s="16" t="n">
        <v>0.00270949074074074</v>
      </c>
      <c r="E38" s="15" t="n">
        <f aca="false">ROUND((D38-$D$5)*86400,2)</f>
        <v>9.07</v>
      </c>
      <c r="F38" s="17" t="n">
        <v>15</v>
      </c>
      <c r="G38" s="16" t="n">
        <f aca="false">IF(INDEX(選手一覧!$D$7:$D$2738,$F38)="","",INDEX(選手一覧!$D$7:$D$2738,$F38))</f>
        <v>0.00992893518518519</v>
      </c>
      <c r="H38" s="17" t="n">
        <f aca="false">IF(INDEX(選手一覧!$E$7:$E$2738,$F38)="","",INDEX(選手一覧!$E$7:$E$2738,$F38))</f>
        <v>16</v>
      </c>
      <c r="I38" s="16" t="str">
        <f aca="false">IF(INDEX(選手一覧!$H$7:$H$2738,$F38)="","",INDEX(選手一覧!$H$7:$H$2738,$F38))</f>
        <v/>
      </c>
      <c r="J38" s="17" t="str">
        <f aca="false">IF(INDEX(選手一覧!$I$7:$I$2738,$F38)="","",INDEX(選手一覧!$I$7:$I$2738,$F38))</f>
        <v/>
      </c>
    </row>
    <row r="39" customFormat="false" ht="15" hidden="false" customHeight="false" outlineLevel="0" collapsed="false">
      <c r="A39" s="17" t="n">
        <v>35</v>
      </c>
      <c r="B39" s="12" t="s">
        <v>814</v>
      </c>
      <c r="C39" s="12" t="s">
        <v>591</v>
      </c>
      <c r="D39" s="16" t="n">
        <v>0.00270983796296296</v>
      </c>
      <c r="E39" s="15" t="n">
        <f aca="false">ROUND((D39-$D$5)*86400,2)</f>
        <v>9.1</v>
      </c>
      <c r="F39" s="17" t="n">
        <v>460</v>
      </c>
      <c r="G39" s="16" t="n">
        <f aca="false">IF(INDEX(選手一覧!$D$7:$D$2738,$F39)="","",INDEX(選手一覧!$D$7:$D$2738,$F39))</f>
        <v>0.0105988425925926</v>
      </c>
      <c r="H39" s="17" t="n">
        <f aca="false">IF(INDEX(選手一覧!$E$7:$E$2738,$F39)="","",INDEX(選手一覧!$E$7:$E$2738,$F39))</f>
        <v>461</v>
      </c>
      <c r="I39" s="16" t="str">
        <f aca="false">IF(INDEX(選手一覧!$H$7:$H$2738,$F39)="","",INDEX(選手一覧!$H$7:$H$2738,$F39))</f>
        <v/>
      </c>
      <c r="J39" s="17" t="str">
        <f aca="false">IF(INDEX(選手一覧!$I$7:$I$2738,$F39)="","",INDEX(選手一覧!$I$7:$I$2738,$F39))</f>
        <v/>
      </c>
    </row>
    <row r="40" customFormat="false" ht="15" hidden="false" customHeight="false" outlineLevel="0" collapsed="false">
      <c r="A40" s="17" t="n">
        <v>36</v>
      </c>
      <c r="B40" s="12" t="s">
        <v>2043</v>
      </c>
      <c r="C40" s="12" t="s">
        <v>61</v>
      </c>
      <c r="D40" s="16" t="n">
        <v>0.00271087962962963</v>
      </c>
      <c r="E40" s="15" t="n">
        <f aca="false">ROUND((D40-$D$5)*86400,2)</f>
        <v>9.19</v>
      </c>
      <c r="F40" s="17" t="n">
        <v>1293</v>
      </c>
      <c r="G40" s="16" t="str">
        <f aca="false">IF(INDEX(選手一覧!$D$7:$D$2738,$F40)="","",INDEX(選手一覧!$D$7:$D$2738,$F40))</f>
        <v/>
      </c>
      <c r="H40" s="17" t="str">
        <f aca="false">IF(INDEX(選手一覧!$E$7:$E$2738,$F40)="","",INDEX(選手一覧!$E$7:$E$2738,$F40))</f>
        <v/>
      </c>
      <c r="I40" s="16" t="str">
        <f aca="false">IF(INDEX(選手一覧!$H$7:$H$2738,$F40)="","",INDEX(選手一覧!$H$7:$H$2738,$F40))</f>
        <v/>
      </c>
      <c r="J40" s="17" t="str">
        <f aca="false">IF(INDEX(選手一覧!$I$7:$I$2738,$F40)="","",INDEX(選手一覧!$I$7:$I$2738,$F40))</f>
        <v/>
      </c>
    </row>
    <row r="41" customFormat="false" ht="15" hidden="false" customHeight="false" outlineLevel="0" collapsed="false">
      <c r="A41" s="17" t="n">
        <v>37</v>
      </c>
      <c r="B41" s="12" t="s">
        <v>442</v>
      </c>
      <c r="C41" s="12" t="s">
        <v>193</v>
      </c>
      <c r="D41" s="16" t="n">
        <v>0.00271180555555556</v>
      </c>
      <c r="E41" s="15" t="n">
        <f aca="false">ROUND((D41-$D$5)*86400,2)</f>
        <v>9.27</v>
      </c>
      <c r="F41" s="17" t="n">
        <v>226</v>
      </c>
      <c r="G41" s="16" t="n">
        <f aca="false">IF(INDEX(選手一覧!$D$7:$D$2738,$F41)="","",INDEX(選手一覧!$D$7:$D$2738,$F41))</f>
        <v>0.0103731481481482</v>
      </c>
      <c r="H41" s="17" t="n">
        <f aca="false">IF(INDEX(選手一覧!$E$7:$E$2738,$F41)="","",INDEX(選手一覧!$E$7:$E$2738,$F41))</f>
        <v>227</v>
      </c>
      <c r="I41" s="16" t="str">
        <f aca="false">IF(INDEX(選手一覧!$H$7:$H$2738,$F41)="","",INDEX(選手一覧!$H$7:$H$2738,$F41))</f>
        <v/>
      </c>
      <c r="J41" s="17" t="str">
        <f aca="false">IF(INDEX(選手一覧!$I$7:$I$2738,$F41)="","",INDEX(選手一覧!$I$7:$I$2738,$F41))</f>
        <v/>
      </c>
    </row>
    <row r="42" customFormat="false" ht="15" hidden="false" customHeight="false" outlineLevel="0" collapsed="false">
      <c r="A42" s="17" t="n">
        <v>38</v>
      </c>
      <c r="B42" s="12" t="s">
        <v>116</v>
      </c>
      <c r="C42" s="12" t="s">
        <v>51</v>
      </c>
      <c r="D42" s="16" t="n">
        <v>0.00271238425925926</v>
      </c>
      <c r="E42" s="15" t="n">
        <f aca="false">ROUND((D42-$D$5)*86400,2)</f>
        <v>9.32</v>
      </c>
      <c r="F42" s="17" t="n">
        <v>45</v>
      </c>
      <c r="G42" s="16" t="n">
        <f aca="false">IF(INDEX(選手一覧!$D$7:$D$2738,$F42)="","",INDEX(選手一覧!$D$7:$D$2738,$F42))</f>
        <v>0.0100895833333333</v>
      </c>
      <c r="H42" s="17" t="n">
        <f aca="false">IF(INDEX(選手一覧!$E$7:$E$2738,$F42)="","",INDEX(選手一覧!$E$7:$E$2738,$F42))</f>
        <v>46</v>
      </c>
      <c r="I42" s="16" t="str">
        <f aca="false">IF(INDEX(選手一覧!$H$7:$H$2738,$F42)="","",INDEX(選手一覧!$H$7:$H$2738,$F42))</f>
        <v/>
      </c>
      <c r="J42" s="17" t="str">
        <f aca="false">IF(INDEX(選手一覧!$I$7:$I$2738,$F42)="","",INDEX(選手一覧!$I$7:$I$2738,$F42))</f>
        <v/>
      </c>
    </row>
    <row r="43" customFormat="false" ht="15" hidden="false" customHeight="false" outlineLevel="0" collapsed="false">
      <c r="A43" s="17" t="n">
        <v>39</v>
      </c>
      <c r="B43" s="12" t="s">
        <v>128</v>
      </c>
      <c r="C43" s="12" t="s">
        <v>129</v>
      </c>
      <c r="D43" s="16" t="n">
        <v>0.00271296296296296</v>
      </c>
      <c r="E43" s="15" t="n">
        <f aca="false">ROUND((D43-$D$5)*86400,2)</f>
        <v>9.37</v>
      </c>
      <c r="F43" s="17" t="n">
        <v>51</v>
      </c>
      <c r="G43" s="16" t="n">
        <f aca="false">IF(INDEX(選手一覧!$D$7:$D$2738,$F43)="","",INDEX(選手一覧!$D$7:$D$2738,$F43))</f>
        <v>0.0101003472222222</v>
      </c>
      <c r="H43" s="17" t="n">
        <f aca="false">IF(INDEX(選手一覧!$E$7:$E$2738,$F43)="","",INDEX(選手一覧!$E$7:$E$2738,$F43))</f>
        <v>52</v>
      </c>
      <c r="I43" s="16" t="str">
        <f aca="false">IF(INDEX(選手一覧!$H$7:$H$2738,$F43)="","",INDEX(選手一覧!$H$7:$H$2738,$F43))</f>
        <v/>
      </c>
      <c r="J43" s="17" t="str">
        <f aca="false">IF(INDEX(選手一覧!$I$7:$I$2738,$F43)="","",INDEX(選手一覧!$I$7:$I$2738,$F43))</f>
        <v/>
      </c>
    </row>
    <row r="44" customFormat="false" ht="15" hidden="false" customHeight="false" outlineLevel="0" collapsed="false">
      <c r="A44" s="17" t="n">
        <v>40</v>
      </c>
      <c r="B44" s="12" t="s">
        <v>957</v>
      </c>
      <c r="C44" s="12" t="s">
        <v>288</v>
      </c>
      <c r="D44" s="16" t="n">
        <v>0.0027130787037037</v>
      </c>
      <c r="E44" s="15" t="n">
        <f aca="false">ROUND((D44-$D$5)*86400,2)</f>
        <v>9.38</v>
      </c>
      <c r="F44" s="17" t="n">
        <v>547</v>
      </c>
      <c r="G44" s="16" t="n">
        <f aca="false">IF(INDEX(選手一覧!$D$7:$D$2738,$F44)="","",INDEX(選手一覧!$D$7:$D$2738,$F44))</f>
        <v>0.0106701388888889</v>
      </c>
      <c r="H44" s="17" t="n">
        <f aca="false">IF(INDEX(選手一覧!$E$7:$E$2738,$F44)="","",INDEX(選手一覧!$E$7:$E$2738,$F44))</f>
        <v>548</v>
      </c>
      <c r="I44" s="16" t="str">
        <f aca="false">IF(INDEX(選手一覧!$H$7:$H$2738,$F44)="","",INDEX(選手一覧!$H$7:$H$2738,$F44))</f>
        <v/>
      </c>
      <c r="J44" s="17" t="str">
        <f aca="false">IF(INDEX(選手一覧!$I$7:$I$2738,$F44)="","",INDEX(選手一覧!$I$7:$I$2738,$F44))</f>
        <v/>
      </c>
    </row>
    <row r="45" customFormat="false" ht="15" hidden="false" customHeight="false" outlineLevel="0" collapsed="false">
      <c r="A45" s="17" t="n">
        <v>41</v>
      </c>
      <c r="B45" s="12" t="s">
        <v>140</v>
      </c>
      <c r="C45" s="12" t="s">
        <v>141</v>
      </c>
      <c r="D45" s="16" t="n">
        <v>0.00271319444444444</v>
      </c>
      <c r="E45" s="15" t="n">
        <f aca="false">ROUND((D45-$D$5)*86400,2)</f>
        <v>9.39</v>
      </c>
      <c r="F45" s="17" t="n">
        <v>58</v>
      </c>
      <c r="G45" s="16" t="n">
        <f aca="false">IF(INDEX(選手一覧!$D$7:$D$2738,$F45)="","",INDEX(選手一覧!$D$7:$D$2738,$F45))</f>
        <v>0.010127662037037</v>
      </c>
      <c r="H45" s="17" t="n">
        <f aca="false">IF(INDEX(選手一覧!$E$7:$E$2738,$F45)="","",INDEX(選手一覧!$E$7:$E$2738,$F45))</f>
        <v>59</v>
      </c>
      <c r="I45" s="16" t="str">
        <f aca="false">IF(INDEX(選手一覧!$H$7:$H$2738,$F45)="","",INDEX(選手一覧!$H$7:$H$2738,$F45))</f>
        <v/>
      </c>
      <c r="J45" s="17" t="str">
        <f aca="false">IF(INDEX(選手一覧!$I$7:$I$2738,$F45)="","",INDEX(選手一覧!$I$7:$I$2738,$F45))</f>
        <v/>
      </c>
    </row>
    <row r="46" customFormat="false" ht="15" hidden="false" customHeight="false" outlineLevel="0" collapsed="false">
      <c r="A46" s="17" t="n">
        <v>42</v>
      </c>
      <c r="B46" s="12" t="s">
        <v>387</v>
      </c>
      <c r="C46" s="12" t="s">
        <v>351</v>
      </c>
      <c r="D46" s="16" t="n">
        <v>0.00271400462962963</v>
      </c>
      <c r="E46" s="15" t="n">
        <f aca="false">ROUND((D46-$D$5)*86400,2)</f>
        <v>9.46</v>
      </c>
      <c r="F46" s="17" t="n">
        <v>192</v>
      </c>
      <c r="G46" s="16" t="n">
        <f aca="false">IF(INDEX(選手一覧!$D$7:$D$2738,$F46)="","",INDEX(選手一覧!$D$7:$D$2738,$F46))</f>
        <v>0.0103403935185185</v>
      </c>
      <c r="H46" s="17" t="n">
        <f aca="false">IF(INDEX(選手一覧!$E$7:$E$2738,$F46)="","",INDEX(選手一覧!$E$7:$E$2738,$F46))</f>
        <v>193</v>
      </c>
      <c r="I46" s="16" t="str">
        <f aca="false">IF(INDEX(選手一覧!$H$7:$H$2738,$F46)="","",INDEX(選手一覧!$H$7:$H$2738,$F46))</f>
        <v/>
      </c>
      <c r="J46" s="17" t="str">
        <f aca="false">IF(INDEX(選手一覧!$I$7:$I$2738,$F46)="","",INDEX(選手一覧!$I$7:$I$2738,$F46))</f>
        <v/>
      </c>
    </row>
    <row r="47" customFormat="false" ht="15" hidden="false" customHeight="false" outlineLevel="0" collapsed="false">
      <c r="A47" s="17" t="n">
        <v>43</v>
      </c>
      <c r="B47" s="12" t="s">
        <v>1316</v>
      </c>
      <c r="C47" s="12" t="s">
        <v>269</v>
      </c>
      <c r="D47" s="16" t="n">
        <v>0.00271527777777778</v>
      </c>
      <c r="E47" s="15" t="n">
        <f aca="false">ROUND((D47-$D$5)*86400,2)</f>
        <v>9.57</v>
      </c>
      <c r="F47" s="17" t="n">
        <v>793</v>
      </c>
      <c r="G47" s="16" t="n">
        <f aca="false">IF(INDEX(選手一覧!$D$7:$D$2738,$F47)="","",INDEX(選手一覧!$D$7:$D$2738,$F47))</f>
        <v>0.0108314814814815</v>
      </c>
      <c r="H47" s="17" t="n">
        <f aca="false">IF(INDEX(選手一覧!$E$7:$E$2738,$F47)="","",INDEX(選手一覧!$E$7:$E$2738,$F47))</f>
        <v>794</v>
      </c>
      <c r="I47" s="16" t="str">
        <f aca="false">IF(INDEX(選手一覧!$H$7:$H$2738,$F47)="","",INDEX(選手一覧!$H$7:$H$2738,$F47))</f>
        <v/>
      </c>
      <c r="J47" s="17" t="str">
        <f aca="false">IF(INDEX(選手一覧!$I$7:$I$2738,$F47)="","",INDEX(選手一覧!$I$7:$I$2738,$F47))</f>
        <v/>
      </c>
    </row>
    <row r="48" customFormat="false" ht="15" hidden="false" customHeight="false" outlineLevel="0" collapsed="false">
      <c r="A48" s="17" t="n">
        <v>44</v>
      </c>
      <c r="B48" s="12" t="s">
        <v>265</v>
      </c>
      <c r="C48" s="12" t="s">
        <v>266</v>
      </c>
      <c r="D48" s="16" t="n">
        <v>0.00271724537037037</v>
      </c>
      <c r="E48" s="15" t="n">
        <f aca="false">ROUND((D48-$D$5)*86400,2)</f>
        <v>9.74</v>
      </c>
      <c r="F48" s="17" t="n">
        <v>125</v>
      </c>
      <c r="G48" s="16" t="n">
        <f aca="false">IF(INDEX(選手一覧!$D$7:$D$2738,$F48)="","",INDEX(選手一覧!$D$7:$D$2738,$F48))</f>
        <v>0.0102458333333333</v>
      </c>
      <c r="H48" s="17" t="n">
        <f aca="false">IF(INDEX(選手一覧!$E$7:$E$2738,$F48)="","",INDEX(選手一覧!$E$7:$E$2738,$F48))</f>
        <v>126</v>
      </c>
      <c r="I48" s="16" t="n">
        <f aca="false">IF(INDEX(選手一覧!$H$7:$H$2738,$F48)="","",INDEX(選手一覧!$H$7:$H$2738,$F48))</f>
        <v>0.00804594907407407</v>
      </c>
      <c r="J48" s="17" t="n">
        <f aca="false">IF(INDEX(選手一覧!$I$7:$I$2738,$F48)="","",INDEX(選手一覧!$I$7:$I$2738,$F48))</f>
        <v>1199</v>
      </c>
    </row>
    <row r="49" customFormat="false" ht="15" hidden="false" customHeight="false" outlineLevel="0" collapsed="false">
      <c r="A49" s="17" t="n">
        <v>45</v>
      </c>
      <c r="B49" s="12" t="s">
        <v>154</v>
      </c>
      <c r="C49" s="12" t="s">
        <v>155</v>
      </c>
      <c r="D49" s="16" t="n">
        <v>0.00271736111111111</v>
      </c>
      <c r="E49" s="15" t="n">
        <f aca="false">ROUND((D49-$D$5)*86400,2)</f>
        <v>9.75</v>
      </c>
      <c r="F49" s="17" t="n">
        <v>65</v>
      </c>
      <c r="G49" s="16" t="n">
        <f aca="false">IF(INDEX(選手一覧!$D$7:$D$2738,$F49)="","",INDEX(選手一覧!$D$7:$D$2738,$F49))</f>
        <v>0.0101373842592593</v>
      </c>
      <c r="H49" s="17" t="n">
        <f aca="false">IF(INDEX(選手一覧!$E$7:$E$2738,$F49)="","",INDEX(選手一覧!$E$7:$E$2738,$F49))</f>
        <v>66</v>
      </c>
      <c r="I49" s="16" t="str">
        <f aca="false">IF(INDEX(選手一覧!$H$7:$H$2738,$F49)="","",INDEX(選手一覧!$H$7:$H$2738,$F49))</f>
        <v/>
      </c>
      <c r="J49" s="17" t="str">
        <f aca="false">IF(INDEX(選手一覧!$I$7:$I$2738,$F49)="","",INDEX(選手一覧!$I$7:$I$2738,$F49))</f>
        <v/>
      </c>
    </row>
    <row r="50" customFormat="false" ht="15" hidden="false" customHeight="false" outlineLevel="0" collapsed="false">
      <c r="A50" s="17" t="n">
        <v>46</v>
      </c>
      <c r="B50" s="12" t="s">
        <v>102</v>
      </c>
      <c r="C50" s="12" t="s">
        <v>103</v>
      </c>
      <c r="D50" s="16" t="n">
        <v>0.00271759259259259</v>
      </c>
      <c r="E50" s="15" t="n">
        <f aca="false">ROUND((D50-$D$5)*86400,2)</f>
        <v>9.77</v>
      </c>
      <c r="F50" s="17" t="n">
        <v>37</v>
      </c>
      <c r="G50" s="16" t="n">
        <f aca="false">IF(INDEX(選手一覧!$D$7:$D$2738,$F50)="","",INDEX(選手一覧!$D$7:$D$2738,$F50))</f>
        <v>0.0100549768518519</v>
      </c>
      <c r="H50" s="17" t="n">
        <f aca="false">IF(INDEX(選手一覧!$E$7:$E$2738,$F50)="","",INDEX(選手一覧!$E$7:$E$2738,$F50))</f>
        <v>38</v>
      </c>
      <c r="I50" s="16" t="str">
        <f aca="false">IF(INDEX(選手一覧!$H$7:$H$2738,$F50)="","",INDEX(選手一覧!$H$7:$H$2738,$F50))</f>
        <v/>
      </c>
      <c r="J50" s="17" t="str">
        <f aca="false">IF(INDEX(選手一覧!$I$7:$I$2738,$F50)="","",INDEX(選手一覧!$I$7:$I$2738,$F50))</f>
        <v/>
      </c>
    </row>
    <row r="51" customFormat="false" ht="15" hidden="false" customHeight="false" outlineLevel="0" collapsed="false">
      <c r="A51" s="17" t="n">
        <v>47</v>
      </c>
      <c r="B51" s="12" t="s">
        <v>118</v>
      </c>
      <c r="C51" s="12" t="s">
        <v>32</v>
      </c>
      <c r="D51" s="16" t="n">
        <v>0.00271898148148148</v>
      </c>
      <c r="E51" s="15" t="n">
        <f aca="false">ROUND((D51-$D$5)*86400,2)</f>
        <v>9.89</v>
      </c>
      <c r="F51" s="17" t="n">
        <v>46</v>
      </c>
      <c r="G51" s="16" t="n">
        <f aca="false">IF(INDEX(選手一覧!$D$7:$D$2738,$F51)="","",INDEX(選手一覧!$D$7:$D$2738,$F51))</f>
        <v>0.0100917824074074</v>
      </c>
      <c r="H51" s="17" t="n">
        <f aca="false">IF(INDEX(選手一覧!$E$7:$E$2738,$F51)="","",INDEX(選手一覧!$E$7:$E$2738,$F51))</f>
        <v>47</v>
      </c>
      <c r="I51" s="16" t="str">
        <f aca="false">IF(INDEX(選手一覧!$H$7:$H$2738,$F51)="","",INDEX(選手一覧!$H$7:$H$2738,$F51))</f>
        <v/>
      </c>
      <c r="J51" s="17" t="str">
        <f aca="false">IF(INDEX(選手一覧!$I$7:$I$2738,$F51)="","",INDEX(選手一覧!$I$7:$I$2738,$F51))</f>
        <v/>
      </c>
    </row>
    <row r="52" customFormat="false" ht="15" hidden="false" customHeight="false" outlineLevel="0" collapsed="false">
      <c r="A52" s="17" t="n">
        <v>48</v>
      </c>
      <c r="B52" s="12" t="s">
        <v>82</v>
      </c>
      <c r="C52" s="12" t="s">
        <v>83</v>
      </c>
      <c r="D52" s="16" t="n">
        <v>0.00271909722222222</v>
      </c>
      <c r="E52" s="15" t="n">
        <f aca="false">ROUND((D52-$D$5)*86400,2)</f>
        <v>9.9</v>
      </c>
      <c r="F52" s="17" t="n">
        <v>27</v>
      </c>
      <c r="G52" s="16" t="n">
        <f aca="false">IF(INDEX(選手一覧!$D$7:$D$2738,$F52)="","",INDEX(選手一覧!$D$7:$D$2738,$F52))</f>
        <v>0.0100331018518519</v>
      </c>
      <c r="H52" s="17" t="n">
        <f aca="false">IF(INDEX(選手一覧!$E$7:$E$2738,$F52)="","",INDEX(選手一覧!$E$7:$E$2738,$F52))</f>
        <v>28</v>
      </c>
      <c r="I52" s="16" t="str">
        <f aca="false">IF(INDEX(選手一覧!$H$7:$H$2738,$F52)="","",INDEX(選手一覧!$H$7:$H$2738,$F52))</f>
        <v/>
      </c>
      <c r="J52" s="17" t="str">
        <f aca="false">IF(INDEX(選手一覧!$I$7:$I$2738,$F52)="","",INDEX(選手一覧!$I$7:$I$2738,$F52))</f>
        <v/>
      </c>
    </row>
    <row r="53" customFormat="false" ht="15" hidden="false" customHeight="false" outlineLevel="0" collapsed="false">
      <c r="A53" s="17" t="n">
        <v>49</v>
      </c>
      <c r="B53" s="12" t="s">
        <v>4171</v>
      </c>
      <c r="C53" s="12" t="s">
        <v>43</v>
      </c>
      <c r="D53" s="16" t="n">
        <v>0.00272118055555556</v>
      </c>
      <c r="E53" s="15" t="n">
        <f aca="false">ROUND((D53-$D$5)*86400,2)</f>
        <v>10.08</v>
      </c>
      <c r="F53" s="17" t="n">
        <v>8</v>
      </c>
      <c r="G53" s="16" t="n">
        <f aca="false">IF(INDEX(選手一覧!$D$7:$D$2738,$F53)="","",INDEX(選手一覧!$D$7:$D$2738,$F53))</f>
        <v>0.00981168981481482</v>
      </c>
      <c r="H53" s="17" t="n">
        <f aca="false">IF(INDEX(選手一覧!$E$7:$E$2738,$F53)="","",INDEX(選手一覧!$E$7:$E$2738,$F53))</f>
        <v>8</v>
      </c>
      <c r="I53" s="16" t="str">
        <f aca="false">IF(INDEX(選手一覧!$H$7:$H$2738,$F53)="","",INDEX(選手一覧!$H$7:$H$2738,$F53))</f>
        <v/>
      </c>
      <c r="J53" s="17" t="str">
        <f aca="false">IF(INDEX(選手一覧!$I$7:$I$2738,$F53)="","",INDEX(選手一覧!$I$7:$I$2738,$F53))</f>
        <v/>
      </c>
    </row>
    <row r="54" customFormat="false" ht="15" hidden="false" customHeight="false" outlineLevel="0" collapsed="false">
      <c r="A54" s="17" t="n">
        <v>50</v>
      </c>
      <c r="B54" s="12" t="s">
        <v>959</v>
      </c>
      <c r="C54" s="12" t="s">
        <v>316</v>
      </c>
      <c r="D54" s="16" t="n">
        <v>0.00272175925925926</v>
      </c>
      <c r="E54" s="15" t="n">
        <f aca="false">ROUND((D54-$D$5)*86400,2)</f>
        <v>10.13</v>
      </c>
      <c r="F54" s="17" t="n">
        <v>549</v>
      </c>
      <c r="G54" s="16" t="n">
        <f aca="false">IF(INDEX(選手一覧!$D$7:$D$2738,$F54)="","",INDEX(選手一覧!$D$7:$D$2738,$F54))</f>
        <v>0.010671412037037</v>
      </c>
      <c r="H54" s="17" t="n">
        <f aca="false">IF(INDEX(選手一覧!$E$7:$E$2738,$F54)="","",INDEX(選手一覧!$E$7:$E$2738,$F54))</f>
        <v>550</v>
      </c>
      <c r="I54" s="16" t="str">
        <f aca="false">IF(INDEX(選手一覧!$H$7:$H$2738,$F54)="","",INDEX(選手一覧!$H$7:$H$2738,$F54))</f>
        <v/>
      </c>
      <c r="J54" s="17" t="str">
        <f aca="false">IF(INDEX(選手一覧!$I$7:$I$2738,$F54)="","",INDEX(選手一覧!$I$7:$I$2738,$F54))</f>
        <v/>
      </c>
    </row>
    <row r="55" customFormat="false" ht="15" hidden="false" customHeight="false" outlineLevel="0" collapsed="false">
      <c r="A55" s="17" t="n">
        <v>51</v>
      </c>
      <c r="B55" s="12" t="s">
        <v>31</v>
      </c>
      <c r="C55" s="12" t="s">
        <v>32</v>
      </c>
      <c r="D55" s="16" t="n">
        <v>0.002721875</v>
      </c>
      <c r="E55" s="15" t="n">
        <f aca="false">ROUND((D55-$D$5)*86400,2)</f>
        <v>10.14</v>
      </c>
      <c r="F55" s="17" t="n">
        <v>4</v>
      </c>
      <c r="G55" s="16" t="n">
        <f aca="false">IF(INDEX(選手一覧!$D$7:$D$2738,$F55)="","",INDEX(選手一覧!$D$7:$D$2738,$F55))</f>
        <v>0.00971435185185185</v>
      </c>
      <c r="H55" s="17" t="n">
        <f aca="false">IF(INDEX(選手一覧!$E$7:$E$2738,$F55)="","",INDEX(選手一覧!$E$7:$E$2738,$F55))</f>
        <v>4</v>
      </c>
      <c r="I55" s="16" t="str">
        <f aca="false">IF(INDEX(選手一覧!$H$7:$H$2738,$F55)="","",INDEX(選手一覧!$H$7:$H$2738,$F55))</f>
        <v/>
      </c>
      <c r="J55" s="17" t="str">
        <f aca="false">IF(INDEX(選手一覧!$I$7:$I$2738,$F55)="","",INDEX(選手一覧!$I$7:$I$2738,$F55))</f>
        <v/>
      </c>
    </row>
    <row r="56" customFormat="false" ht="15" hidden="false" customHeight="false" outlineLevel="0" collapsed="false">
      <c r="A56" s="17" t="n">
        <v>52</v>
      </c>
      <c r="B56" s="12" t="s">
        <v>568</v>
      </c>
      <c r="C56" s="12" t="s">
        <v>569</v>
      </c>
      <c r="D56" s="16" t="n">
        <v>0.00272256944444444</v>
      </c>
      <c r="E56" s="15" t="n">
        <f aca="false">ROUND((D56-$D$5)*86400,2)</f>
        <v>10.2</v>
      </c>
      <c r="F56" s="17" t="n">
        <v>303</v>
      </c>
      <c r="G56" s="16" t="n">
        <f aca="false">IF(INDEX(選手一覧!$D$7:$D$2738,$F56)="","",INDEX(選手一覧!$D$7:$D$2738,$F56))</f>
        <v>0.0104509259259259</v>
      </c>
      <c r="H56" s="17" t="n">
        <f aca="false">IF(INDEX(選手一覧!$E$7:$E$2738,$F56)="","",INDEX(選手一覧!$E$7:$E$2738,$F56))</f>
        <v>304</v>
      </c>
      <c r="I56" s="16" t="str">
        <f aca="false">IF(INDEX(選手一覧!$H$7:$H$2738,$F56)="","",INDEX(選手一覧!$H$7:$H$2738,$F56))</f>
        <v/>
      </c>
      <c r="J56" s="17" t="str">
        <f aca="false">IF(INDEX(選手一覧!$I$7:$I$2738,$F56)="","",INDEX(選手一覧!$I$7:$I$2738,$F56))</f>
        <v/>
      </c>
    </row>
    <row r="57" customFormat="false" ht="15" hidden="false" customHeight="false" outlineLevel="0" collapsed="false">
      <c r="A57" s="17" t="n">
        <v>53</v>
      </c>
      <c r="B57" s="12" t="s">
        <v>1382</v>
      </c>
      <c r="C57" s="12" t="s">
        <v>1383</v>
      </c>
      <c r="D57" s="16" t="n">
        <v>0.00272280092592593</v>
      </c>
      <c r="E57" s="15" t="n">
        <f aca="false">ROUND((D57-$D$5)*86400,2)</f>
        <v>10.22</v>
      </c>
      <c r="F57" s="17" t="n">
        <v>836</v>
      </c>
      <c r="G57" s="16" t="n">
        <f aca="false">IF(INDEX(選手一覧!$D$7:$D$2738,$F57)="","",INDEX(選手一覧!$D$7:$D$2738,$F57))</f>
        <v>0.0108503472222222</v>
      </c>
      <c r="H57" s="17" t="n">
        <f aca="false">IF(INDEX(選手一覧!$E$7:$E$2738,$F57)="","",INDEX(選手一覧!$E$7:$E$2738,$F57))</f>
        <v>837</v>
      </c>
      <c r="I57" s="16" t="str">
        <f aca="false">IF(INDEX(選手一覧!$H$7:$H$2738,$F57)="","",INDEX(選手一覧!$H$7:$H$2738,$F57))</f>
        <v/>
      </c>
      <c r="J57" s="17" t="str">
        <f aca="false">IF(INDEX(選手一覧!$I$7:$I$2738,$F57)="","",INDEX(選手一覧!$I$7:$I$2738,$F57))</f>
        <v/>
      </c>
    </row>
    <row r="58" customFormat="false" ht="15" hidden="false" customHeight="false" outlineLevel="0" collapsed="false">
      <c r="A58" s="17" t="n">
        <v>54</v>
      </c>
      <c r="B58" s="12" t="s">
        <v>1000</v>
      </c>
      <c r="C58" s="12" t="s">
        <v>561</v>
      </c>
      <c r="D58" s="16" t="n">
        <v>0.00272337962962963</v>
      </c>
      <c r="E58" s="15" t="n">
        <f aca="false">ROUND((D58-$D$5)*86400,2)</f>
        <v>10.27</v>
      </c>
      <c r="F58" s="17" t="n">
        <v>577</v>
      </c>
      <c r="G58" s="16" t="n">
        <f aca="false">IF(INDEX(選手一覧!$D$7:$D$2738,$F58)="","",INDEX(選手一覧!$D$7:$D$2738,$F58))</f>
        <v>0.0106987268518519</v>
      </c>
      <c r="H58" s="17" t="n">
        <f aca="false">IF(INDEX(選手一覧!$E$7:$E$2738,$F58)="","",INDEX(選手一覧!$E$7:$E$2738,$F58))</f>
        <v>578</v>
      </c>
      <c r="I58" s="16" t="str">
        <f aca="false">IF(INDEX(選手一覧!$H$7:$H$2738,$F58)="","",INDEX(選手一覧!$H$7:$H$2738,$F58))</f>
        <v/>
      </c>
      <c r="J58" s="17" t="str">
        <f aca="false">IF(INDEX(選手一覧!$I$7:$I$2738,$F58)="","",INDEX(選手一覧!$I$7:$I$2738,$F58))</f>
        <v/>
      </c>
    </row>
    <row r="59" customFormat="false" ht="15" hidden="false" customHeight="false" outlineLevel="0" collapsed="false">
      <c r="A59" s="17" t="n">
        <v>55</v>
      </c>
      <c r="B59" s="12" t="s">
        <v>62</v>
      </c>
      <c r="C59" s="12" t="s">
        <v>63</v>
      </c>
      <c r="D59" s="16" t="n">
        <v>0.00272430555555556</v>
      </c>
      <c r="E59" s="15" t="n">
        <f aca="false">ROUND((D59-$D$5)*86400,2)</f>
        <v>10.35</v>
      </c>
      <c r="F59" s="17" t="n">
        <v>17</v>
      </c>
      <c r="G59" s="16" t="n">
        <f aca="false">IF(INDEX(選手一覧!$D$7:$D$2738,$F59)="","",INDEX(選手一覧!$D$7:$D$2738,$F59))</f>
        <v>0.0099462962962963</v>
      </c>
      <c r="H59" s="17" t="n">
        <f aca="false">IF(INDEX(選手一覧!$E$7:$E$2738,$F59)="","",INDEX(選手一覧!$E$7:$E$2738,$F59))</f>
        <v>18</v>
      </c>
      <c r="I59" s="16" t="str">
        <f aca="false">IF(INDEX(選手一覧!$H$7:$H$2738,$F59)="","",INDEX(選手一覧!$H$7:$H$2738,$F59))</f>
        <v/>
      </c>
      <c r="J59" s="17" t="str">
        <f aca="false">IF(INDEX(選手一覧!$I$7:$I$2738,$F59)="","",INDEX(選手一覧!$I$7:$I$2738,$F59))</f>
        <v/>
      </c>
    </row>
    <row r="60" customFormat="false" ht="15" hidden="false" customHeight="false" outlineLevel="0" collapsed="false">
      <c r="A60" s="17" t="n">
        <v>56</v>
      </c>
      <c r="B60" s="12" t="s">
        <v>68</v>
      </c>
      <c r="C60" s="12" t="s">
        <v>69</v>
      </c>
      <c r="D60" s="16" t="n">
        <v>0.0027244212962963</v>
      </c>
      <c r="E60" s="15" t="n">
        <f aca="false">ROUND((D60-$D$5)*86400,2)</f>
        <v>10.36</v>
      </c>
      <c r="F60" s="17" t="n">
        <v>20</v>
      </c>
      <c r="G60" s="16" t="n">
        <f aca="false">IF(INDEX(選手一覧!$D$7:$D$2738,$F60)="","",INDEX(選手一覧!$D$7:$D$2738,$F60))</f>
        <v>0.00997708333333333</v>
      </c>
      <c r="H60" s="17" t="n">
        <f aca="false">IF(INDEX(選手一覧!$E$7:$E$2738,$F60)="","",INDEX(選手一覧!$E$7:$E$2738,$F60))</f>
        <v>21</v>
      </c>
      <c r="I60" s="16" t="str">
        <f aca="false">IF(INDEX(選手一覧!$H$7:$H$2738,$F60)="","",INDEX(選手一覧!$H$7:$H$2738,$F60))</f>
        <v/>
      </c>
      <c r="J60" s="17" t="str">
        <f aca="false">IF(INDEX(選手一覧!$I$7:$I$2738,$F60)="","",INDEX(選手一覧!$I$7:$I$2738,$F60))</f>
        <v/>
      </c>
    </row>
    <row r="61" customFormat="false" ht="15" hidden="false" customHeight="false" outlineLevel="0" collapsed="false">
      <c r="A61" s="17" t="n">
        <v>57</v>
      </c>
      <c r="B61" s="12" t="s">
        <v>223</v>
      </c>
      <c r="C61" s="12" t="s">
        <v>141</v>
      </c>
      <c r="D61" s="16" t="n">
        <v>0.00272511574074074</v>
      </c>
      <c r="E61" s="15" t="n">
        <f aca="false">ROUND((D61-$D$5)*86400,2)</f>
        <v>10.42</v>
      </c>
      <c r="F61" s="17" t="n">
        <v>102</v>
      </c>
      <c r="G61" s="16" t="n">
        <f aca="false">IF(INDEX(選手一覧!$D$7:$D$2738,$F61)="","",INDEX(選手一覧!$D$7:$D$2738,$F61))</f>
        <v>0.0102142361111111</v>
      </c>
      <c r="H61" s="17" t="n">
        <f aca="false">IF(INDEX(選手一覧!$E$7:$E$2738,$F61)="","",INDEX(選手一覧!$E$7:$E$2738,$F61))</f>
        <v>103</v>
      </c>
      <c r="I61" s="16" t="str">
        <f aca="false">IF(INDEX(選手一覧!$H$7:$H$2738,$F61)="","",INDEX(選手一覧!$H$7:$H$2738,$F61))</f>
        <v/>
      </c>
      <c r="J61" s="17" t="str">
        <f aca="false">IF(INDEX(選手一覧!$I$7:$I$2738,$F61)="","",INDEX(選手一覧!$I$7:$I$2738,$F61))</f>
        <v/>
      </c>
    </row>
    <row r="62" customFormat="false" ht="15" hidden="false" customHeight="false" outlineLevel="0" collapsed="false">
      <c r="A62" s="17" t="n">
        <v>58</v>
      </c>
      <c r="B62" s="12" t="s">
        <v>89</v>
      </c>
      <c r="C62" s="12" t="s">
        <v>90</v>
      </c>
      <c r="D62" s="16" t="n">
        <v>0.00272511574074074</v>
      </c>
      <c r="E62" s="15" t="n">
        <f aca="false">ROUND((D62-$D$5)*86400,2)</f>
        <v>10.42</v>
      </c>
      <c r="F62" s="17" t="n">
        <v>31</v>
      </c>
      <c r="G62" s="16" t="n">
        <f aca="false">IF(INDEX(選手一覧!$D$7:$D$2738,$F62)="","",INDEX(選手一覧!$D$7:$D$2738,$F62))</f>
        <v>0.0100430555555556</v>
      </c>
      <c r="H62" s="17" t="n">
        <f aca="false">IF(INDEX(選手一覧!$E$7:$E$2738,$F62)="","",INDEX(選手一覧!$E$7:$E$2738,$F62))</f>
        <v>32</v>
      </c>
      <c r="I62" s="16" t="str">
        <f aca="false">IF(INDEX(選手一覧!$H$7:$H$2738,$F62)="","",INDEX(選手一覧!$H$7:$H$2738,$F62))</f>
        <v/>
      </c>
      <c r="J62" s="17" t="str">
        <f aca="false">IF(INDEX(選手一覧!$I$7:$I$2738,$F62)="","",INDEX(選手一覧!$I$7:$I$2738,$F62))</f>
        <v/>
      </c>
    </row>
    <row r="63" customFormat="false" ht="15" hidden="false" customHeight="false" outlineLevel="0" collapsed="false">
      <c r="A63" s="17" t="n">
        <v>59</v>
      </c>
      <c r="B63" s="12" t="s">
        <v>1005</v>
      </c>
      <c r="C63" s="12" t="s">
        <v>1006</v>
      </c>
      <c r="D63" s="16" t="n">
        <v>0.00272546296296296</v>
      </c>
      <c r="E63" s="15" t="n">
        <f aca="false">ROUND((D63-$D$5)*86400,2)</f>
        <v>10.45</v>
      </c>
      <c r="F63" s="17" t="n">
        <v>580</v>
      </c>
      <c r="G63" s="16" t="n">
        <f aca="false">IF(INDEX(選手一覧!$D$7:$D$2738,$F63)="","",INDEX(選手一覧!$D$7:$D$2738,$F63))</f>
        <v>0.0106994212962963</v>
      </c>
      <c r="H63" s="17" t="n">
        <f aca="false">IF(INDEX(選手一覧!$E$7:$E$2738,$F63)="","",INDEX(選手一覧!$E$7:$E$2738,$F63))</f>
        <v>581</v>
      </c>
      <c r="I63" s="16" t="str">
        <f aca="false">IF(INDEX(選手一覧!$H$7:$H$2738,$F63)="","",INDEX(選手一覧!$H$7:$H$2738,$F63))</f>
        <v/>
      </c>
      <c r="J63" s="17" t="str">
        <f aca="false">IF(INDEX(選手一覧!$I$7:$I$2738,$F63)="","",INDEX(選手一覧!$I$7:$I$2738,$F63))</f>
        <v/>
      </c>
    </row>
    <row r="64" customFormat="false" ht="15" hidden="false" customHeight="false" outlineLevel="0" collapsed="false">
      <c r="A64" s="17" t="n">
        <v>60</v>
      </c>
      <c r="B64" s="12" t="s">
        <v>188</v>
      </c>
      <c r="C64" s="12" t="s">
        <v>150</v>
      </c>
      <c r="D64" s="16" t="n">
        <v>0.00272847222222222</v>
      </c>
      <c r="E64" s="15" t="n">
        <f aca="false">ROUND((D64-$D$5)*86400,2)</f>
        <v>10.71</v>
      </c>
      <c r="F64" s="17" t="n">
        <v>82</v>
      </c>
      <c r="G64" s="16" t="n">
        <f aca="false">IF(INDEX(選手一覧!$D$7:$D$2738,$F64)="","",INDEX(選手一覧!$D$7:$D$2738,$F64))</f>
        <v>0.0101766203703704</v>
      </c>
      <c r="H64" s="17" t="n">
        <f aca="false">IF(INDEX(選手一覧!$E$7:$E$2738,$F64)="","",INDEX(選手一覧!$E$7:$E$2738,$F64))</f>
        <v>83</v>
      </c>
      <c r="I64" s="16" t="str">
        <f aca="false">IF(INDEX(選手一覧!$H$7:$H$2738,$F64)="","",INDEX(選手一覧!$H$7:$H$2738,$F64))</f>
        <v/>
      </c>
      <c r="J64" s="17" t="str">
        <f aca="false">IF(INDEX(選手一覧!$I$7:$I$2738,$F64)="","",INDEX(選手一覧!$I$7:$I$2738,$F64))</f>
        <v/>
      </c>
    </row>
    <row r="65" customFormat="false" ht="15" hidden="false" customHeight="false" outlineLevel="0" collapsed="false">
      <c r="A65" s="17" t="n">
        <v>61</v>
      </c>
      <c r="B65" s="12" t="s">
        <v>1686</v>
      </c>
      <c r="C65" s="12" t="s">
        <v>143</v>
      </c>
      <c r="D65" s="16" t="n">
        <v>0.00272881944444445</v>
      </c>
      <c r="E65" s="15" t="n">
        <f aca="false">ROUND((D65-$D$5)*86400,2)</f>
        <v>10.74</v>
      </c>
      <c r="F65" s="17" t="n">
        <v>1040</v>
      </c>
      <c r="G65" s="16" t="n">
        <f aca="false">IF(INDEX(選手一覧!$D$7:$D$2738,$F65)="","",INDEX(選手一覧!$D$7:$D$2738,$F65))</f>
        <v>0.0109706018518519</v>
      </c>
      <c r="H65" s="17" t="n">
        <f aca="false">IF(INDEX(選手一覧!$E$7:$E$2738,$F65)="","",INDEX(選手一覧!$E$7:$E$2738,$F65))</f>
        <v>1041</v>
      </c>
      <c r="I65" s="16" t="str">
        <f aca="false">IF(INDEX(選手一覧!$H$7:$H$2738,$F65)="","",INDEX(選手一覧!$H$7:$H$2738,$F65))</f>
        <v/>
      </c>
      <c r="J65" s="17" t="str">
        <f aca="false">IF(INDEX(選手一覧!$I$7:$I$2738,$F65)="","",INDEX(選手一覧!$I$7:$I$2738,$F65))</f>
        <v/>
      </c>
    </row>
    <row r="66" customFormat="false" ht="15" hidden="false" customHeight="false" outlineLevel="0" collapsed="false">
      <c r="A66" s="17" t="n">
        <v>62</v>
      </c>
      <c r="B66" s="12" t="s">
        <v>122</v>
      </c>
      <c r="C66" s="12" t="s">
        <v>123</v>
      </c>
      <c r="D66" s="16" t="n">
        <v>0.00272893518518519</v>
      </c>
      <c r="E66" s="15" t="n">
        <f aca="false">ROUND((D66-$D$5)*86400,2)</f>
        <v>10.75</v>
      </c>
      <c r="F66" s="17" t="n">
        <v>48</v>
      </c>
      <c r="G66" s="16" t="n">
        <f aca="false">IF(INDEX(選手一覧!$D$7:$D$2738,$F66)="","",INDEX(選手一覧!$D$7:$D$2738,$F66))</f>
        <v>0.0100954861111111</v>
      </c>
      <c r="H66" s="17" t="n">
        <f aca="false">IF(INDEX(選手一覧!$E$7:$E$2738,$F66)="","",INDEX(選手一覧!$E$7:$E$2738,$F66))</f>
        <v>49</v>
      </c>
      <c r="I66" s="16" t="str">
        <f aca="false">IF(INDEX(選手一覧!$H$7:$H$2738,$F66)="","",INDEX(選手一覧!$H$7:$H$2738,$F66))</f>
        <v/>
      </c>
      <c r="J66" s="17" t="str">
        <f aca="false">IF(INDEX(選手一覧!$I$7:$I$2738,$F66)="","",INDEX(選手一覧!$I$7:$I$2738,$F66))</f>
        <v/>
      </c>
    </row>
    <row r="67" customFormat="false" ht="15" hidden="false" customHeight="false" outlineLevel="0" collapsed="false">
      <c r="A67" s="17" t="n">
        <v>63</v>
      </c>
      <c r="B67" s="12" t="s">
        <v>697</v>
      </c>
      <c r="C67" s="12" t="s">
        <v>698</v>
      </c>
      <c r="D67" s="16" t="n">
        <v>0.00272905092592593</v>
      </c>
      <c r="E67" s="15" t="n">
        <f aca="false">ROUND((D67-$D$5)*86400,2)</f>
        <v>10.76</v>
      </c>
      <c r="F67" s="17" t="n">
        <v>384</v>
      </c>
      <c r="G67" s="16" t="n">
        <f aca="false">IF(INDEX(選手一覧!$D$7:$D$2738,$F67)="","",INDEX(選手一覧!$D$7:$D$2738,$F67))</f>
        <v>0.0105398148148148</v>
      </c>
      <c r="H67" s="17" t="n">
        <f aca="false">IF(INDEX(選手一覧!$E$7:$E$2738,$F67)="","",INDEX(選手一覧!$E$7:$E$2738,$F67))</f>
        <v>385</v>
      </c>
      <c r="I67" s="16" t="n">
        <f aca="false">IF(INDEX(選手一覧!$H$7:$H$2738,$F67)="","",INDEX(選手一覧!$H$7:$H$2738,$F67))</f>
        <v>0.00639525462962963</v>
      </c>
      <c r="J67" s="17" t="n">
        <f aca="false">IF(INDEX(選手一覧!$I$7:$I$2738,$F67)="","",INDEX(選手一覧!$I$7:$I$2738,$F67))</f>
        <v>14</v>
      </c>
    </row>
    <row r="68" customFormat="false" ht="15" hidden="false" customHeight="false" outlineLevel="0" collapsed="false">
      <c r="A68" s="17" t="n">
        <v>64</v>
      </c>
      <c r="B68" s="12" t="s">
        <v>2020</v>
      </c>
      <c r="C68" s="12" t="s">
        <v>1315</v>
      </c>
      <c r="D68" s="16" t="n">
        <v>0.00272905092592593</v>
      </c>
      <c r="E68" s="15" t="n">
        <f aca="false">ROUND((D68-$D$5)*86400,2)</f>
        <v>10.76</v>
      </c>
      <c r="F68" s="17" t="n">
        <v>1275</v>
      </c>
      <c r="G68" s="16" t="n">
        <f aca="false">IF(INDEX(選手一覧!$D$7:$D$2738,$F68)="","",INDEX(選手一覧!$D$7:$D$2738,$F68))</f>
        <v>0.0111055555555556</v>
      </c>
      <c r="H68" s="17" t="n">
        <f aca="false">IF(INDEX(選手一覧!$E$7:$E$2738,$F68)="","",INDEX(選手一覧!$E$7:$E$2738,$F68))</f>
        <v>1276</v>
      </c>
      <c r="I68" s="16" t="str">
        <f aca="false">IF(INDEX(選手一覧!$H$7:$H$2738,$F68)="","",INDEX(選手一覧!$H$7:$H$2738,$F68))</f>
        <v/>
      </c>
      <c r="J68" s="17" t="str">
        <f aca="false">IF(INDEX(選手一覧!$I$7:$I$2738,$F68)="","",INDEX(選手一覧!$I$7:$I$2738,$F68))</f>
        <v/>
      </c>
    </row>
    <row r="69" customFormat="false" ht="15" hidden="false" customHeight="false" outlineLevel="0" collapsed="false">
      <c r="A69" s="17" t="n">
        <v>65</v>
      </c>
      <c r="B69" s="12" t="s">
        <v>114</v>
      </c>
      <c r="C69" s="12" t="s">
        <v>115</v>
      </c>
      <c r="D69" s="16" t="n">
        <v>0.00272962962962963</v>
      </c>
      <c r="E69" s="15" t="n">
        <f aca="false">ROUND((D69-$D$5)*86400,2)</f>
        <v>10.81</v>
      </c>
      <c r="F69" s="17" t="n">
        <v>44</v>
      </c>
      <c r="G69" s="16" t="n">
        <f aca="false">IF(INDEX(選手一覧!$D$7:$D$2738,$F69)="","",INDEX(選手一覧!$D$7:$D$2738,$F69))</f>
        <v>0.0100890046296296</v>
      </c>
      <c r="H69" s="17" t="n">
        <f aca="false">IF(INDEX(選手一覧!$E$7:$E$2738,$F69)="","",INDEX(選手一覧!$E$7:$E$2738,$F69))</f>
        <v>45</v>
      </c>
      <c r="I69" s="16" t="str">
        <f aca="false">IF(INDEX(選手一覧!$H$7:$H$2738,$F69)="","",INDEX(選手一覧!$H$7:$H$2738,$F69))</f>
        <v/>
      </c>
      <c r="J69" s="17" t="str">
        <f aca="false">IF(INDEX(選手一覧!$I$7:$I$2738,$F69)="","",INDEX(選手一覧!$I$7:$I$2738,$F69))</f>
        <v/>
      </c>
    </row>
    <row r="70" customFormat="false" ht="15" hidden="false" customHeight="false" outlineLevel="0" collapsed="false">
      <c r="A70" s="17" t="n">
        <v>66</v>
      </c>
      <c r="B70" s="12" t="s">
        <v>1155</v>
      </c>
      <c r="C70" s="12" t="s">
        <v>40</v>
      </c>
      <c r="D70" s="16" t="n">
        <v>0.00273078703703704</v>
      </c>
      <c r="E70" s="15" t="n">
        <f aca="false">ROUND((D70-$D$5)*86400,2)</f>
        <v>10.91</v>
      </c>
      <c r="F70" s="17" t="n">
        <v>684</v>
      </c>
      <c r="G70" s="16" t="n">
        <f aca="false">IF(INDEX(選手一覧!$D$7:$D$2738,$F70)="","",INDEX(選手一覧!$D$7:$D$2738,$F70))</f>
        <v>0.0107623842592593</v>
      </c>
      <c r="H70" s="17" t="n">
        <f aca="false">IF(INDEX(選手一覧!$E$7:$E$2738,$F70)="","",INDEX(選手一覧!$E$7:$E$2738,$F70))</f>
        <v>685</v>
      </c>
      <c r="I70" s="16" t="str">
        <f aca="false">IF(INDEX(選手一覧!$H$7:$H$2738,$F70)="","",INDEX(選手一覧!$H$7:$H$2738,$F70))</f>
        <v/>
      </c>
      <c r="J70" s="17" t="str">
        <f aca="false">IF(INDEX(選手一覧!$I$7:$I$2738,$F70)="","",INDEX(選手一覧!$I$7:$I$2738,$F70))</f>
        <v/>
      </c>
    </row>
    <row r="71" customFormat="false" ht="15" hidden="false" customHeight="false" outlineLevel="0" collapsed="false">
      <c r="A71" s="17" t="n">
        <v>67</v>
      </c>
      <c r="B71" s="12" t="s">
        <v>2051</v>
      </c>
      <c r="C71" s="12" t="s">
        <v>2052</v>
      </c>
      <c r="D71" s="16" t="n">
        <v>0.00273125</v>
      </c>
      <c r="E71" s="15" t="n">
        <f aca="false">ROUND((D71-$D$5)*86400,2)</f>
        <v>10.95</v>
      </c>
      <c r="F71" s="17" t="n">
        <v>1298</v>
      </c>
      <c r="G71" s="16" t="str">
        <f aca="false">IF(INDEX(選手一覧!$D$7:$D$2738,$F71)="","",INDEX(選手一覧!$D$7:$D$2738,$F71))</f>
        <v/>
      </c>
      <c r="H71" s="17" t="str">
        <f aca="false">IF(INDEX(選手一覧!$E$7:$E$2738,$F71)="","",INDEX(選手一覧!$E$7:$E$2738,$F71))</f>
        <v/>
      </c>
      <c r="I71" s="16" t="str">
        <f aca="false">IF(INDEX(選手一覧!$H$7:$H$2738,$F71)="","",INDEX(選手一覧!$H$7:$H$2738,$F71))</f>
        <v/>
      </c>
      <c r="J71" s="17" t="str">
        <f aca="false">IF(INDEX(選手一覧!$I$7:$I$2738,$F71)="","",INDEX(選手一覧!$I$7:$I$2738,$F71))</f>
        <v/>
      </c>
    </row>
    <row r="72" customFormat="false" ht="15" hidden="false" customHeight="false" outlineLevel="0" collapsed="false">
      <c r="A72" s="17" t="n">
        <v>68</v>
      </c>
      <c r="B72" s="12" t="s">
        <v>952</v>
      </c>
      <c r="C72" s="12" t="s">
        <v>953</v>
      </c>
      <c r="D72" s="16" t="n">
        <v>0.00273206018518519</v>
      </c>
      <c r="E72" s="15" t="n">
        <f aca="false">ROUND((D72-$D$5)*86400,2)</f>
        <v>11.02</v>
      </c>
      <c r="F72" s="17" t="n">
        <v>543</v>
      </c>
      <c r="G72" s="16" t="n">
        <f aca="false">IF(INDEX(選手一覧!$D$7:$D$2738,$F72)="","",INDEX(選手一覧!$D$7:$D$2738,$F72))</f>
        <v>0.0106686342592593</v>
      </c>
      <c r="H72" s="17" t="n">
        <f aca="false">IF(INDEX(選手一覧!$E$7:$E$2738,$F72)="","",INDEX(選手一覧!$E$7:$E$2738,$F72))</f>
        <v>544</v>
      </c>
      <c r="I72" s="16" t="n">
        <f aca="false">IF(INDEX(選手一覧!$H$7:$H$2738,$F72)="","",INDEX(選手一覧!$H$7:$H$2738,$F72))</f>
        <v>0.00648645833333333</v>
      </c>
      <c r="J72" s="17" t="n">
        <f aca="false">IF(INDEX(選手一覧!$I$7:$I$2738,$F72)="","",INDEX(選手一覧!$I$7:$I$2738,$F72))</f>
        <v>32</v>
      </c>
    </row>
    <row r="73" customFormat="false" ht="15" hidden="false" customHeight="false" outlineLevel="0" collapsed="false">
      <c r="A73" s="17" t="n">
        <v>69</v>
      </c>
      <c r="B73" s="12" t="s">
        <v>810</v>
      </c>
      <c r="C73" s="12" t="s">
        <v>515</v>
      </c>
      <c r="D73" s="16" t="n">
        <v>0.00273240740740741</v>
      </c>
      <c r="E73" s="15" t="n">
        <f aca="false">ROUND((D73-$D$5)*86400,2)</f>
        <v>11.05</v>
      </c>
      <c r="F73" s="17" t="n">
        <v>457</v>
      </c>
      <c r="G73" s="16" t="n">
        <f aca="false">IF(INDEX(選手一覧!$D$7:$D$2738,$F73)="","",INDEX(選手一覧!$D$7:$D$2738,$F73))</f>
        <v>0.0105918981481482</v>
      </c>
      <c r="H73" s="17" t="n">
        <f aca="false">IF(INDEX(選手一覧!$E$7:$E$2738,$F73)="","",INDEX(選手一覧!$E$7:$E$2738,$F73))</f>
        <v>458</v>
      </c>
      <c r="I73" s="16" t="str">
        <f aca="false">IF(INDEX(選手一覧!$H$7:$H$2738,$F73)="","",INDEX(選手一覧!$H$7:$H$2738,$F73))</f>
        <v/>
      </c>
      <c r="J73" s="17" t="str">
        <f aca="false">IF(INDEX(選手一覧!$I$7:$I$2738,$F73)="","",INDEX(選手一覧!$I$7:$I$2738,$F73))</f>
        <v/>
      </c>
    </row>
    <row r="74" customFormat="false" ht="15" hidden="false" customHeight="false" outlineLevel="0" collapsed="false">
      <c r="A74" s="17" t="n">
        <v>70</v>
      </c>
      <c r="B74" s="12" t="s">
        <v>64</v>
      </c>
      <c r="C74" s="12" t="s">
        <v>65</v>
      </c>
      <c r="D74" s="16" t="n">
        <v>0.00273252314814815</v>
      </c>
      <c r="E74" s="15" t="n">
        <f aca="false">ROUND((D74-$D$5)*86400,2)</f>
        <v>11.06</v>
      </c>
      <c r="F74" s="17" t="n">
        <v>18</v>
      </c>
      <c r="G74" s="16" t="n">
        <f aca="false">IF(INDEX(選手一覧!$D$7:$D$2738,$F74)="","",INDEX(選手一覧!$D$7:$D$2738,$F74))</f>
        <v>0.00997210648148148</v>
      </c>
      <c r="H74" s="17" t="n">
        <f aca="false">IF(INDEX(選手一覧!$E$7:$E$2738,$F74)="","",INDEX(選手一覧!$E$7:$E$2738,$F74))</f>
        <v>19</v>
      </c>
      <c r="I74" s="16" t="str">
        <f aca="false">IF(INDEX(選手一覧!$H$7:$H$2738,$F74)="","",INDEX(選手一覧!$H$7:$H$2738,$F74))</f>
        <v/>
      </c>
      <c r="J74" s="17" t="str">
        <f aca="false">IF(INDEX(選手一覧!$I$7:$I$2738,$F74)="","",INDEX(選手一覧!$I$7:$I$2738,$F74))</f>
        <v/>
      </c>
    </row>
    <row r="75" customFormat="false" ht="15" hidden="false" customHeight="false" outlineLevel="0" collapsed="false">
      <c r="A75" s="17" t="n">
        <v>71</v>
      </c>
      <c r="B75" s="12" t="s">
        <v>861</v>
      </c>
      <c r="C75" s="12" t="s">
        <v>240</v>
      </c>
      <c r="D75" s="16" t="n">
        <v>0.00273449074074074</v>
      </c>
      <c r="E75" s="15" t="n">
        <f aca="false">ROUND((D75-$D$5)*86400,2)</f>
        <v>11.23</v>
      </c>
      <c r="F75" s="17" t="n">
        <v>490</v>
      </c>
      <c r="G75" s="16" t="n">
        <f aca="false">IF(INDEX(選手一覧!$D$7:$D$2738,$F75)="","",INDEX(選手一覧!$D$7:$D$2738,$F75))</f>
        <v>0.0106170138888889</v>
      </c>
      <c r="H75" s="17" t="n">
        <f aca="false">IF(INDEX(選手一覧!$E$7:$E$2738,$F75)="","",INDEX(選手一覧!$E$7:$E$2738,$F75))</f>
        <v>491</v>
      </c>
      <c r="I75" s="16" t="str">
        <f aca="false">IF(INDEX(選手一覧!$H$7:$H$2738,$F75)="","",INDEX(選手一覧!$H$7:$H$2738,$F75))</f>
        <v/>
      </c>
      <c r="J75" s="17" t="str">
        <f aca="false">IF(INDEX(選手一覧!$I$7:$I$2738,$F75)="","",INDEX(選手一覧!$I$7:$I$2738,$F75))</f>
        <v/>
      </c>
    </row>
    <row r="76" customFormat="false" ht="15" hidden="false" customHeight="false" outlineLevel="0" collapsed="false">
      <c r="A76" s="17" t="n">
        <v>72</v>
      </c>
      <c r="B76" s="12" t="s">
        <v>843</v>
      </c>
      <c r="C76" s="12" t="s">
        <v>127</v>
      </c>
      <c r="D76" s="16" t="n">
        <v>0.00273506944444444</v>
      </c>
      <c r="E76" s="15" t="n">
        <f aca="false">ROUND((D76-$D$5)*86400,2)</f>
        <v>11.28</v>
      </c>
      <c r="F76" s="17" t="n">
        <v>479</v>
      </c>
      <c r="G76" s="16" t="n">
        <f aca="false">IF(INDEX(選手一覧!$D$7:$D$2738,$F76)="","",INDEX(選手一覧!$D$7:$D$2738,$F76))</f>
        <v>0.0106119212962963</v>
      </c>
      <c r="H76" s="17" t="n">
        <f aca="false">IF(INDEX(選手一覧!$E$7:$E$2738,$F76)="","",INDEX(選手一覧!$E$7:$E$2738,$F76))</f>
        <v>480</v>
      </c>
      <c r="I76" s="16" t="str">
        <f aca="false">IF(INDEX(選手一覧!$H$7:$H$2738,$F76)="","",INDEX(選手一覧!$H$7:$H$2738,$F76))</f>
        <v/>
      </c>
      <c r="J76" s="17" t="str">
        <f aca="false">IF(INDEX(選手一覧!$I$7:$I$2738,$F76)="","",INDEX(選手一覧!$I$7:$I$2738,$F76))</f>
        <v/>
      </c>
    </row>
    <row r="77" customFormat="false" ht="15" hidden="false" customHeight="false" outlineLevel="0" collapsed="false">
      <c r="A77" s="17" t="n">
        <v>73</v>
      </c>
      <c r="B77" s="12" t="s">
        <v>552</v>
      </c>
      <c r="C77" s="12" t="s">
        <v>99</v>
      </c>
      <c r="D77" s="16" t="n">
        <v>0.00273530092592593</v>
      </c>
      <c r="E77" s="15" t="n">
        <f aca="false">ROUND((D77-$D$5)*86400,2)</f>
        <v>11.3</v>
      </c>
      <c r="F77" s="17" t="n">
        <v>293</v>
      </c>
      <c r="G77" s="16" t="n">
        <f aca="false">IF(INDEX(選手一覧!$D$7:$D$2738,$F77)="","",INDEX(選手一覧!$D$7:$D$2738,$F77))</f>
        <v>0.0104302083333333</v>
      </c>
      <c r="H77" s="17" t="n">
        <f aca="false">IF(INDEX(選手一覧!$E$7:$E$2738,$F77)="","",INDEX(選手一覧!$E$7:$E$2738,$F77))</f>
        <v>294</v>
      </c>
      <c r="I77" s="16" t="str">
        <f aca="false">IF(INDEX(選手一覧!$H$7:$H$2738,$F77)="","",INDEX(選手一覧!$H$7:$H$2738,$F77))</f>
        <v/>
      </c>
      <c r="J77" s="17" t="str">
        <f aca="false">IF(INDEX(選手一覧!$I$7:$I$2738,$F77)="","",INDEX(選手一覧!$I$7:$I$2738,$F77))</f>
        <v/>
      </c>
    </row>
    <row r="78" customFormat="false" ht="15" hidden="false" customHeight="false" outlineLevel="0" collapsed="false">
      <c r="A78" s="17" t="n">
        <v>74</v>
      </c>
      <c r="B78" s="12" t="s">
        <v>66</v>
      </c>
      <c r="C78" s="12" t="s">
        <v>67</v>
      </c>
      <c r="D78" s="16" t="n">
        <v>0.00273564814814815</v>
      </c>
      <c r="E78" s="15" t="n">
        <f aca="false">ROUND((D78-$D$5)*86400,2)</f>
        <v>11.33</v>
      </c>
      <c r="F78" s="17" t="n">
        <v>19</v>
      </c>
      <c r="G78" s="16" t="n">
        <f aca="false">IF(INDEX(選手一覧!$D$7:$D$2738,$F78)="","",INDEX(選手一覧!$D$7:$D$2738,$F78))</f>
        <v>0.00997581018518519</v>
      </c>
      <c r="H78" s="17" t="n">
        <f aca="false">IF(INDEX(選手一覧!$E$7:$E$2738,$F78)="","",INDEX(選手一覧!$E$7:$E$2738,$F78))</f>
        <v>20</v>
      </c>
      <c r="I78" s="16" t="str">
        <f aca="false">IF(INDEX(選手一覧!$H$7:$H$2738,$F78)="","",INDEX(選手一覧!$H$7:$H$2738,$F78))</f>
        <v/>
      </c>
      <c r="J78" s="17" t="str">
        <f aca="false">IF(INDEX(選手一覧!$I$7:$I$2738,$F78)="","",INDEX(選手一覧!$I$7:$I$2738,$F78))</f>
        <v/>
      </c>
    </row>
    <row r="79" customFormat="false" ht="15" hidden="false" customHeight="false" outlineLevel="0" collapsed="false">
      <c r="A79" s="17" t="n">
        <v>75</v>
      </c>
      <c r="B79" s="12" t="s">
        <v>174</v>
      </c>
      <c r="C79" s="12" t="s">
        <v>165</v>
      </c>
      <c r="D79" s="16" t="n">
        <v>0.00273576388888889</v>
      </c>
      <c r="E79" s="15" t="n">
        <f aca="false">ROUND((D79-$D$5)*86400,2)</f>
        <v>11.34</v>
      </c>
      <c r="F79" s="17" t="n">
        <v>75</v>
      </c>
      <c r="G79" s="16" t="n">
        <f aca="false">IF(INDEX(選手一覧!$D$7:$D$2738,$F79)="","",INDEX(選手一覧!$D$7:$D$2738,$F79))</f>
        <v>0.010159837962963</v>
      </c>
      <c r="H79" s="17" t="n">
        <f aca="false">IF(INDEX(選手一覧!$E$7:$E$2738,$F79)="","",INDEX(選手一覧!$E$7:$E$2738,$F79))</f>
        <v>76</v>
      </c>
      <c r="I79" s="16" t="str">
        <f aca="false">IF(INDEX(選手一覧!$H$7:$H$2738,$F79)="","",INDEX(選手一覧!$H$7:$H$2738,$F79))</f>
        <v/>
      </c>
      <c r="J79" s="17" t="str">
        <f aca="false">IF(INDEX(選手一覧!$I$7:$I$2738,$F79)="","",INDEX(選手一覧!$I$7:$I$2738,$F79))</f>
        <v/>
      </c>
    </row>
    <row r="80" customFormat="false" ht="15" hidden="false" customHeight="false" outlineLevel="0" collapsed="false">
      <c r="A80" s="17" t="n">
        <v>76</v>
      </c>
      <c r="B80" s="12" t="s">
        <v>1446</v>
      </c>
      <c r="C80" s="12" t="s">
        <v>707</v>
      </c>
      <c r="D80" s="16" t="n">
        <v>0.00273611111111111</v>
      </c>
      <c r="E80" s="15" t="n">
        <f aca="false">ROUND((D80-$D$5)*86400,2)</f>
        <v>11.37</v>
      </c>
      <c r="F80" s="17" t="n">
        <v>877</v>
      </c>
      <c r="G80" s="16" t="n">
        <f aca="false">IF(INDEX(選手一覧!$D$7:$D$2738,$F80)="","",INDEX(選手一覧!$D$7:$D$2738,$F80))</f>
        <v>0.0108737268518519</v>
      </c>
      <c r="H80" s="17" t="n">
        <f aca="false">IF(INDEX(選手一覧!$E$7:$E$2738,$F80)="","",INDEX(選手一覧!$E$7:$E$2738,$F80))</f>
        <v>878</v>
      </c>
      <c r="I80" s="16" t="str">
        <f aca="false">IF(INDEX(選手一覧!$H$7:$H$2738,$F80)="","",INDEX(選手一覧!$H$7:$H$2738,$F80))</f>
        <v/>
      </c>
      <c r="J80" s="17" t="str">
        <f aca="false">IF(INDEX(選手一覧!$I$7:$I$2738,$F80)="","",INDEX(選手一覧!$I$7:$I$2738,$F80))</f>
        <v/>
      </c>
    </row>
    <row r="81" customFormat="false" ht="15" hidden="false" customHeight="false" outlineLevel="0" collapsed="false">
      <c r="A81" s="17" t="n">
        <v>77</v>
      </c>
      <c r="B81" s="12" t="s">
        <v>1029</v>
      </c>
      <c r="C81" s="12" t="s">
        <v>348</v>
      </c>
      <c r="D81" s="16" t="n">
        <v>0.00273611111111111</v>
      </c>
      <c r="E81" s="15" t="n">
        <f aca="false">ROUND((D81-$D$5)*86400,2)</f>
        <v>11.37</v>
      </c>
      <c r="F81" s="17" t="n">
        <v>596</v>
      </c>
      <c r="G81" s="16" t="n">
        <f aca="false">IF(INDEX(選手一覧!$D$7:$D$2738,$F81)="","",INDEX(選手一覧!$D$7:$D$2738,$F81))</f>
        <v>0.0107082175925926</v>
      </c>
      <c r="H81" s="17" t="n">
        <f aca="false">IF(INDEX(選手一覧!$E$7:$E$2738,$F81)="","",INDEX(選手一覧!$E$7:$E$2738,$F81))</f>
        <v>597</v>
      </c>
      <c r="I81" s="16" t="str">
        <f aca="false">IF(INDEX(選手一覧!$H$7:$H$2738,$F81)="","",INDEX(選手一覧!$H$7:$H$2738,$F81))</f>
        <v/>
      </c>
      <c r="J81" s="17" t="str">
        <f aca="false">IF(INDEX(選手一覧!$I$7:$I$2738,$F81)="","",INDEX(選手一覧!$I$7:$I$2738,$F81))</f>
        <v/>
      </c>
    </row>
    <row r="82" customFormat="false" ht="15" hidden="false" customHeight="false" outlineLevel="0" collapsed="false">
      <c r="A82" s="17" t="n">
        <v>78</v>
      </c>
      <c r="B82" s="12" t="s">
        <v>1223</v>
      </c>
      <c r="C82" s="12" t="s">
        <v>1224</v>
      </c>
      <c r="D82" s="16" t="n">
        <v>0.00273657407407407</v>
      </c>
      <c r="E82" s="15" t="n">
        <f aca="false">ROUND((D82-$D$5)*86400,2)</f>
        <v>11.41</v>
      </c>
      <c r="F82" s="17" t="n">
        <v>728</v>
      </c>
      <c r="G82" s="16" t="n">
        <f aca="false">IF(INDEX(選手一覧!$D$7:$D$2738,$F82)="","",INDEX(選手一覧!$D$7:$D$2738,$F82))</f>
        <v>0.0107920138888889</v>
      </c>
      <c r="H82" s="17" t="n">
        <f aca="false">IF(INDEX(選手一覧!$E$7:$E$2738,$F82)="","",INDEX(選手一覧!$E$7:$E$2738,$F82))</f>
        <v>729</v>
      </c>
      <c r="I82" s="16" t="str">
        <f aca="false">IF(INDEX(選手一覧!$H$7:$H$2738,$F82)="","",INDEX(選手一覧!$H$7:$H$2738,$F82))</f>
        <v/>
      </c>
      <c r="J82" s="17" t="str">
        <f aca="false">IF(INDEX(選手一覧!$I$7:$I$2738,$F82)="","",INDEX(選手一覧!$I$7:$I$2738,$F82))</f>
        <v/>
      </c>
    </row>
    <row r="83" customFormat="false" ht="15" hidden="false" customHeight="false" outlineLevel="0" collapsed="false">
      <c r="A83" s="17" t="n">
        <v>79</v>
      </c>
      <c r="B83" s="12" t="s">
        <v>278</v>
      </c>
      <c r="C83" s="12" t="s">
        <v>228</v>
      </c>
      <c r="D83" s="16" t="n">
        <v>0.00273703703703704</v>
      </c>
      <c r="E83" s="15" t="n">
        <f aca="false">ROUND((D83-$D$5)*86400,2)</f>
        <v>11.45</v>
      </c>
      <c r="F83" s="17" t="n">
        <v>131</v>
      </c>
      <c r="G83" s="16" t="n">
        <f aca="false">IF(INDEX(選手一覧!$D$7:$D$2738,$F83)="","",INDEX(選手一覧!$D$7:$D$2738,$F83))</f>
        <v>0.0102657407407407</v>
      </c>
      <c r="H83" s="17" t="n">
        <f aca="false">IF(INDEX(選手一覧!$E$7:$E$2738,$F83)="","",INDEX(選手一覧!$E$7:$E$2738,$F83))</f>
        <v>132</v>
      </c>
      <c r="I83" s="16" t="n">
        <f aca="false">IF(INDEX(選手一覧!$H$7:$H$2738,$F83)="","",INDEX(選手一覧!$H$7:$H$2738,$F83))</f>
        <v>0.00676458333333333</v>
      </c>
      <c r="J83" s="17" t="n">
        <f aca="false">IF(INDEX(選手一覧!$I$7:$I$2738,$F83)="","",INDEX(選手一覧!$I$7:$I$2738,$F83))</f>
        <v>141</v>
      </c>
    </row>
    <row r="84" customFormat="false" ht="15" hidden="false" customHeight="false" outlineLevel="0" collapsed="false">
      <c r="A84" s="17" t="n">
        <v>80</v>
      </c>
      <c r="B84" s="12" t="s">
        <v>146</v>
      </c>
      <c r="C84" s="12" t="s">
        <v>115</v>
      </c>
      <c r="D84" s="16" t="n">
        <v>0.00273715277777778</v>
      </c>
      <c r="E84" s="15" t="n">
        <f aca="false">ROUND((D84-$D$5)*86400,2)</f>
        <v>11.46</v>
      </c>
      <c r="F84" s="17" t="n">
        <v>61</v>
      </c>
      <c r="G84" s="16" t="n">
        <f aca="false">IF(INDEX(選手一覧!$D$7:$D$2738,$F84)="","",INDEX(選手一覧!$D$7:$D$2738,$F84))</f>
        <v>0.0101347222222222</v>
      </c>
      <c r="H84" s="17" t="n">
        <f aca="false">IF(INDEX(選手一覧!$E$7:$E$2738,$F84)="","",INDEX(選手一覧!$E$7:$E$2738,$F84))</f>
        <v>62</v>
      </c>
      <c r="I84" s="16" t="str">
        <f aca="false">IF(INDEX(選手一覧!$H$7:$H$2738,$F84)="","",INDEX(選手一覧!$H$7:$H$2738,$F84))</f>
        <v/>
      </c>
      <c r="J84" s="17" t="str">
        <f aca="false">IF(INDEX(選手一覧!$I$7:$I$2738,$F84)="","",INDEX(選手一覧!$I$7:$I$2738,$F84))</f>
        <v/>
      </c>
    </row>
    <row r="85" customFormat="false" ht="15" hidden="false" customHeight="false" outlineLevel="0" collapsed="false">
      <c r="A85" s="17" t="n">
        <v>81</v>
      </c>
      <c r="B85" s="12" t="s">
        <v>2055</v>
      </c>
      <c r="C85" s="12" t="s">
        <v>858</v>
      </c>
      <c r="D85" s="16" t="n">
        <v>0.00273796296296296</v>
      </c>
      <c r="E85" s="15" t="n">
        <f aca="false">ROUND((D85-$D$5)*86400,2)</f>
        <v>11.53</v>
      </c>
      <c r="F85" s="17" t="n">
        <v>1300</v>
      </c>
      <c r="G85" s="16" t="str">
        <f aca="false">IF(INDEX(選手一覧!$D$7:$D$2738,$F85)="","",INDEX(選手一覧!$D$7:$D$2738,$F85))</f>
        <v/>
      </c>
      <c r="H85" s="17" t="str">
        <f aca="false">IF(INDEX(選手一覧!$E$7:$E$2738,$F85)="","",INDEX(選手一覧!$E$7:$E$2738,$F85))</f>
        <v/>
      </c>
      <c r="I85" s="16" t="str">
        <f aca="false">IF(INDEX(選手一覧!$H$7:$H$2738,$F85)="","",INDEX(選手一覧!$H$7:$H$2738,$F85))</f>
        <v/>
      </c>
      <c r="J85" s="17" t="str">
        <f aca="false">IF(INDEX(選手一覧!$I$7:$I$2738,$F85)="","",INDEX(選手一覧!$I$7:$I$2738,$F85))</f>
        <v/>
      </c>
    </row>
    <row r="86" customFormat="false" ht="15" hidden="false" customHeight="false" outlineLevel="0" collapsed="false">
      <c r="A86" s="17" t="n">
        <v>82</v>
      </c>
      <c r="B86" s="12" t="s">
        <v>400</v>
      </c>
      <c r="C86" s="12" t="s">
        <v>401</v>
      </c>
      <c r="D86" s="16" t="n">
        <v>0.00273877314814815</v>
      </c>
      <c r="E86" s="15" t="n">
        <f aca="false">ROUND((D86-$D$5)*86400,2)</f>
        <v>11.6</v>
      </c>
      <c r="F86" s="17" t="n">
        <v>200</v>
      </c>
      <c r="G86" s="16" t="n">
        <f aca="false">IF(INDEX(選手一覧!$D$7:$D$2738,$F86)="","",INDEX(選手一覧!$D$7:$D$2738,$F86))</f>
        <v>0.0103481481481482</v>
      </c>
      <c r="H86" s="17" t="n">
        <f aca="false">IF(INDEX(選手一覧!$E$7:$E$2738,$F86)="","",INDEX(選手一覧!$E$7:$E$2738,$F86))</f>
        <v>201</v>
      </c>
      <c r="I86" s="16" t="n">
        <f aca="false">IF(INDEX(選手一覧!$H$7:$H$2738,$F86)="","",INDEX(選手一覧!$H$7:$H$2738,$F86))</f>
        <v>0.00630729166666667</v>
      </c>
      <c r="J86" s="17" t="n">
        <f aca="false">IF(INDEX(選手一覧!$I$7:$I$2738,$F86)="","",INDEX(選手一覧!$I$7:$I$2738,$F86))</f>
        <v>4</v>
      </c>
    </row>
    <row r="87" customFormat="false" ht="15" hidden="false" customHeight="false" outlineLevel="0" collapsed="false">
      <c r="A87" s="17" t="n">
        <v>83</v>
      </c>
      <c r="B87" s="12" t="s">
        <v>235</v>
      </c>
      <c r="C87" s="12" t="s">
        <v>236</v>
      </c>
      <c r="D87" s="16" t="n">
        <v>0.00273877314814815</v>
      </c>
      <c r="E87" s="15" t="n">
        <f aca="false">ROUND((D87-$D$5)*86400,2)</f>
        <v>11.6</v>
      </c>
      <c r="F87" s="17" t="n">
        <v>111</v>
      </c>
      <c r="G87" s="16" t="n">
        <f aca="false">IF(INDEX(選手一覧!$D$7:$D$2738,$F87)="","",INDEX(選手一覧!$D$7:$D$2738,$F87))</f>
        <v>0.0102315972222222</v>
      </c>
      <c r="H87" s="17" t="n">
        <f aca="false">IF(INDEX(選手一覧!$E$7:$E$2738,$F87)="","",INDEX(選手一覧!$E$7:$E$2738,$F87))</f>
        <v>112</v>
      </c>
      <c r="I87" s="16" t="str">
        <f aca="false">IF(INDEX(選手一覧!$H$7:$H$2738,$F87)="","",INDEX(選手一覧!$H$7:$H$2738,$F87))</f>
        <v/>
      </c>
      <c r="J87" s="17" t="str">
        <f aca="false">IF(INDEX(選手一覧!$I$7:$I$2738,$F87)="","",INDEX(選手一覧!$I$7:$I$2738,$F87))</f>
        <v/>
      </c>
    </row>
    <row r="88" customFormat="false" ht="15" hidden="false" customHeight="false" outlineLevel="0" collapsed="false">
      <c r="A88" s="17" t="n">
        <v>84</v>
      </c>
      <c r="B88" s="12" t="s">
        <v>91</v>
      </c>
      <c r="C88" s="12" t="s">
        <v>37</v>
      </c>
      <c r="D88" s="16" t="n">
        <v>0.00273946759259259</v>
      </c>
      <c r="E88" s="15" t="n">
        <f aca="false">ROUND((D88-$D$5)*86400,2)</f>
        <v>11.66</v>
      </c>
      <c r="F88" s="17" t="n">
        <v>32</v>
      </c>
      <c r="G88" s="16" t="n">
        <f aca="false">IF(INDEX(選手一覧!$D$7:$D$2738,$F88)="","",INDEX(選手一覧!$D$7:$D$2738,$F88))</f>
        <v>0.0100454861111111</v>
      </c>
      <c r="H88" s="17" t="n">
        <f aca="false">IF(INDEX(選手一覧!$E$7:$E$2738,$F88)="","",INDEX(選手一覧!$E$7:$E$2738,$F88))</f>
        <v>33</v>
      </c>
      <c r="I88" s="16" t="str">
        <f aca="false">IF(INDEX(選手一覧!$H$7:$H$2738,$F88)="","",INDEX(選手一覧!$H$7:$H$2738,$F88))</f>
        <v/>
      </c>
      <c r="J88" s="17" t="str">
        <f aca="false">IF(INDEX(選手一覧!$I$7:$I$2738,$F88)="","",INDEX(選手一覧!$I$7:$I$2738,$F88))</f>
        <v/>
      </c>
    </row>
    <row r="89" customFormat="false" ht="15" hidden="false" customHeight="false" outlineLevel="0" collapsed="false">
      <c r="A89" s="17" t="n">
        <v>85</v>
      </c>
      <c r="B89" s="12" t="s">
        <v>2056</v>
      </c>
      <c r="C89" s="12" t="s">
        <v>1259</v>
      </c>
      <c r="D89" s="16" t="n">
        <v>0.00273969907407407</v>
      </c>
      <c r="E89" s="15" t="n">
        <f aca="false">ROUND((D89-$D$5)*86400,2)</f>
        <v>11.68</v>
      </c>
      <c r="F89" s="17" t="n">
        <v>1301</v>
      </c>
      <c r="G89" s="16" t="str">
        <f aca="false">IF(INDEX(選手一覧!$D$7:$D$2738,$F89)="","",INDEX(選手一覧!$D$7:$D$2738,$F89))</f>
        <v/>
      </c>
      <c r="H89" s="17" t="str">
        <f aca="false">IF(INDEX(選手一覧!$E$7:$E$2738,$F89)="","",INDEX(選手一覧!$E$7:$E$2738,$F89))</f>
        <v/>
      </c>
      <c r="I89" s="16" t="str">
        <f aca="false">IF(INDEX(選手一覧!$H$7:$H$2738,$F89)="","",INDEX(選手一覧!$H$7:$H$2738,$F89))</f>
        <v/>
      </c>
      <c r="J89" s="17" t="str">
        <f aca="false">IF(INDEX(選手一覧!$I$7:$I$2738,$F89)="","",INDEX(選手一覧!$I$7:$I$2738,$F89))</f>
        <v/>
      </c>
    </row>
    <row r="90" customFormat="false" ht="15" hidden="false" customHeight="false" outlineLevel="0" collapsed="false">
      <c r="A90" s="17" t="n">
        <v>86</v>
      </c>
      <c r="B90" s="12" t="s">
        <v>166</v>
      </c>
      <c r="C90" s="12" t="s">
        <v>167</v>
      </c>
      <c r="D90" s="16" t="n">
        <v>0.00274097222222222</v>
      </c>
      <c r="E90" s="15" t="n">
        <f aca="false">ROUND((D90-$D$5)*86400,2)</f>
        <v>11.79</v>
      </c>
      <c r="F90" s="17" t="n">
        <v>71</v>
      </c>
      <c r="G90" s="16" t="n">
        <f aca="false">IF(INDEX(選手一覧!$D$7:$D$2738,$F90)="","",INDEX(選手一覧!$D$7:$D$2738,$F90))</f>
        <v>0.0101538194444444</v>
      </c>
      <c r="H90" s="17" t="n">
        <f aca="false">IF(INDEX(選手一覧!$E$7:$E$2738,$F90)="","",INDEX(選手一覧!$E$7:$E$2738,$F90))</f>
        <v>72</v>
      </c>
      <c r="I90" s="16" t="str">
        <f aca="false">IF(INDEX(選手一覧!$H$7:$H$2738,$F90)="","",INDEX(選手一覧!$H$7:$H$2738,$F90))</f>
        <v/>
      </c>
      <c r="J90" s="17" t="str">
        <f aca="false">IF(INDEX(選手一覧!$I$7:$I$2738,$F90)="","",INDEX(選手一覧!$I$7:$I$2738,$F90))</f>
        <v/>
      </c>
    </row>
    <row r="91" customFormat="false" ht="15" hidden="false" customHeight="false" outlineLevel="0" collapsed="false">
      <c r="A91" s="17" t="n">
        <v>87</v>
      </c>
      <c r="B91" s="12" t="s">
        <v>183</v>
      </c>
      <c r="C91" s="12" t="s">
        <v>129</v>
      </c>
      <c r="D91" s="16" t="n">
        <v>0.00274398148148148</v>
      </c>
      <c r="E91" s="15" t="n">
        <f aca="false">ROUND((D91-$D$5)*86400,2)</f>
        <v>12.05</v>
      </c>
      <c r="F91" s="17" t="n">
        <v>80</v>
      </c>
      <c r="G91" s="16" t="n">
        <f aca="false">IF(INDEX(選手一覧!$D$7:$D$2738,$F91)="","",INDEX(選手一覧!$D$7:$D$2738,$F91))</f>
        <v>0.0101733796296296</v>
      </c>
      <c r="H91" s="17" t="n">
        <f aca="false">IF(INDEX(選手一覧!$E$7:$E$2738,$F91)="","",INDEX(選手一覧!$E$7:$E$2738,$F91))</f>
        <v>81</v>
      </c>
      <c r="I91" s="16" t="str">
        <f aca="false">IF(INDEX(選手一覧!$H$7:$H$2738,$F91)="","",INDEX(選手一覧!$H$7:$H$2738,$F91))</f>
        <v/>
      </c>
      <c r="J91" s="17" t="str">
        <f aca="false">IF(INDEX(選手一覧!$I$7:$I$2738,$F91)="","",INDEX(選手一覧!$I$7:$I$2738,$F91))</f>
        <v/>
      </c>
    </row>
    <row r="92" customFormat="false" ht="15" hidden="false" customHeight="false" outlineLevel="0" collapsed="false">
      <c r="A92" s="17" t="n">
        <v>88</v>
      </c>
      <c r="B92" s="12" t="s">
        <v>142</v>
      </c>
      <c r="C92" s="12" t="s">
        <v>143</v>
      </c>
      <c r="D92" s="16" t="n">
        <v>0.00274467592592593</v>
      </c>
      <c r="E92" s="15" t="n">
        <f aca="false">ROUND((D92-$D$5)*86400,2)</f>
        <v>12.11</v>
      </c>
      <c r="F92" s="17" t="n">
        <v>59</v>
      </c>
      <c r="G92" s="16" t="n">
        <f aca="false">IF(INDEX(選手一覧!$D$7:$D$2738,$F92)="","",INDEX(選手一覧!$D$7:$D$2738,$F92))</f>
        <v>0.0101305555555556</v>
      </c>
      <c r="H92" s="17" t="n">
        <f aca="false">IF(INDEX(選手一覧!$E$7:$E$2738,$F92)="","",INDEX(選手一覧!$E$7:$E$2738,$F92))</f>
        <v>60</v>
      </c>
      <c r="I92" s="16" t="str">
        <f aca="false">IF(INDEX(選手一覧!$H$7:$H$2738,$F92)="","",INDEX(選手一覧!$H$7:$H$2738,$F92))</f>
        <v/>
      </c>
      <c r="J92" s="17" t="str">
        <f aca="false">IF(INDEX(選手一覧!$I$7:$I$2738,$F92)="","",INDEX(選手一覧!$I$7:$I$2738,$F92))</f>
        <v/>
      </c>
    </row>
    <row r="93" customFormat="false" ht="15" hidden="false" customHeight="false" outlineLevel="0" collapsed="false">
      <c r="A93" s="17" t="n">
        <v>89</v>
      </c>
      <c r="B93" s="12" t="s">
        <v>736</v>
      </c>
      <c r="C93" s="12" t="s">
        <v>737</v>
      </c>
      <c r="D93" s="16" t="n">
        <v>0.00274479166666667</v>
      </c>
      <c r="E93" s="15" t="n">
        <f aca="false">ROUND((D93-$D$5)*86400,2)</f>
        <v>12.12</v>
      </c>
      <c r="F93" s="17" t="n">
        <v>409</v>
      </c>
      <c r="G93" s="16" t="n">
        <f aca="false">IF(INDEX(選手一覧!$D$7:$D$2738,$F93)="","",INDEX(選手一覧!$D$7:$D$2738,$F93))</f>
        <v>0.0105601851851852</v>
      </c>
      <c r="H93" s="17" t="n">
        <f aca="false">IF(INDEX(選手一覧!$E$7:$E$2738,$F93)="","",INDEX(選手一覧!$E$7:$E$2738,$F93))</f>
        <v>410</v>
      </c>
      <c r="I93" s="16" t="str">
        <f aca="false">IF(INDEX(選手一覧!$H$7:$H$2738,$F93)="","",INDEX(選手一覧!$H$7:$H$2738,$F93))</f>
        <v/>
      </c>
      <c r="J93" s="17" t="str">
        <f aca="false">IF(INDEX(選手一覧!$I$7:$I$2738,$F93)="","",INDEX(選手一覧!$I$7:$I$2738,$F93))</f>
        <v/>
      </c>
    </row>
    <row r="94" customFormat="false" ht="15" hidden="false" customHeight="false" outlineLevel="0" collapsed="false">
      <c r="A94" s="17" t="n">
        <v>90</v>
      </c>
      <c r="B94" s="12" t="s">
        <v>95</v>
      </c>
      <c r="C94" s="12" t="s">
        <v>96</v>
      </c>
      <c r="D94" s="16" t="n">
        <v>0.00274490740740741</v>
      </c>
      <c r="E94" s="15" t="n">
        <f aca="false">ROUND((D94-$D$5)*86400,2)</f>
        <v>12.13</v>
      </c>
      <c r="F94" s="17" t="n">
        <v>34</v>
      </c>
      <c r="G94" s="16" t="n">
        <f aca="false">IF(INDEX(選手一覧!$D$7:$D$2738,$F94)="","",INDEX(選手一覧!$D$7:$D$2738,$F94))</f>
        <v>0.0100494212962963</v>
      </c>
      <c r="H94" s="17" t="n">
        <f aca="false">IF(INDEX(選手一覧!$E$7:$E$2738,$F94)="","",INDEX(選手一覧!$E$7:$E$2738,$F94))</f>
        <v>35</v>
      </c>
      <c r="I94" s="16" t="str">
        <f aca="false">IF(INDEX(選手一覧!$H$7:$H$2738,$F94)="","",INDEX(選手一覧!$H$7:$H$2738,$F94))</f>
        <v/>
      </c>
      <c r="J94" s="17" t="str">
        <f aca="false">IF(INDEX(選手一覧!$I$7:$I$2738,$F94)="","",INDEX(選手一覧!$I$7:$I$2738,$F94))</f>
        <v/>
      </c>
    </row>
    <row r="95" customFormat="false" ht="15" hidden="false" customHeight="false" outlineLevel="0" collapsed="false">
      <c r="A95" s="17" t="n">
        <v>91</v>
      </c>
      <c r="B95" s="12" t="s">
        <v>1032</v>
      </c>
      <c r="C95" s="12" t="s">
        <v>80</v>
      </c>
      <c r="D95" s="16" t="n">
        <v>0.00274537037037037</v>
      </c>
      <c r="E95" s="15" t="n">
        <f aca="false">ROUND((D95-$D$5)*86400,2)</f>
        <v>12.17</v>
      </c>
      <c r="F95" s="17" t="n">
        <v>598</v>
      </c>
      <c r="G95" s="16" t="n">
        <f aca="false">IF(INDEX(選手一覧!$D$7:$D$2738,$F95)="","",INDEX(選手一覧!$D$7:$D$2738,$F95))</f>
        <v>0.0107099537037037</v>
      </c>
      <c r="H95" s="17" t="n">
        <f aca="false">IF(INDEX(選手一覧!$E$7:$E$2738,$F95)="","",INDEX(選手一覧!$E$7:$E$2738,$F95))</f>
        <v>599</v>
      </c>
      <c r="I95" s="16" t="str">
        <f aca="false">IF(INDEX(選手一覧!$H$7:$H$2738,$F95)="","",INDEX(選手一覧!$H$7:$H$2738,$F95))</f>
        <v/>
      </c>
      <c r="J95" s="17" t="str">
        <f aca="false">IF(INDEX(選手一覧!$I$7:$I$2738,$F95)="","",INDEX(選手一覧!$I$7:$I$2738,$F95))</f>
        <v/>
      </c>
    </row>
    <row r="96" customFormat="false" ht="15" hidden="false" customHeight="false" outlineLevel="0" collapsed="false">
      <c r="A96" s="17" t="n">
        <v>92</v>
      </c>
      <c r="B96" s="12" t="s">
        <v>2057</v>
      </c>
      <c r="C96" s="12" t="s">
        <v>1760</v>
      </c>
      <c r="D96" s="16" t="n">
        <v>0.00274583333333333</v>
      </c>
      <c r="E96" s="15" t="n">
        <f aca="false">ROUND((D96-$D$5)*86400,2)</f>
        <v>12.21</v>
      </c>
      <c r="F96" s="17" t="n">
        <v>1302</v>
      </c>
      <c r="G96" s="16" t="str">
        <f aca="false">IF(INDEX(選手一覧!$D$7:$D$2738,$F96)="","",INDEX(選手一覧!$D$7:$D$2738,$F96))</f>
        <v/>
      </c>
      <c r="H96" s="17" t="str">
        <f aca="false">IF(INDEX(選手一覧!$E$7:$E$2738,$F96)="","",INDEX(選手一覧!$E$7:$E$2738,$F96))</f>
        <v/>
      </c>
      <c r="I96" s="16" t="str">
        <f aca="false">IF(INDEX(選手一覧!$H$7:$H$2738,$F96)="","",INDEX(選手一覧!$H$7:$H$2738,$F96))</f>
        <v/>
      </c>
      <c r="J96" s="17" t="str">
        <f aca="false">IF(INDEX(選手一覧!$I$7:$I$2738,$F96)="","",INDEX(選手一覧!$I$7:$I$2738,$F96))</f>
        <v/>
      </c>
    </row>
    <row r="97" customFormat="false" ht="15" hidden="false" customHeight="false" outlineLevel="0" collapsed="false">
      <c r="A97" s="17" t="n">
        <v>93</v>
      </c>
      <c r="B97" s="12" t="s">
        <v>2058</v>
      </c>
      <c r="C97" s="12" t="s">
        <v>599</v>
      </c>
      <c r="D97" s="16" t="n">
        <v>0.00274652777777778</v>
      </c>
      <c r="E97" s="15" t="n">
        <f aca="false">ROUND((D97-$D$5)*86400,2)</f>
        <v>12.27</v>
      </c>
      <c r="F97" s="17" t="n">
        <v>1303</v>
      </c>
      <c r="G97" s="16" t="str">
        <f aca="false">IF(INDEX(選手一覧!$D$7:$D$2738,$F97)="","",INDEX(選手一覧!$D$7:$D$2738,$F97))</f>
        <v/>
      </c>
      <c r="H97" s="17" t="str">
        <f aca="false">IF(INDEX(選手一覧!$E$7:$E$2738,$F97)="","",INDEX(選手一覧!$E$7:$E$2738,$F97))</f>
        <v/>
      </c>
      <c r="I97" s="16" t="str">
        <f aca="false">IF(INDEX(選手一覧!$H$7:$H$2738,$F97)="","",INDEX(選手一覧!$H$7:$H$2738,$F97))</f>
        <v/>
      </c>
      <c r="J97" s="17" t="str">
        <f aca="false">IF(INDEX(選手一覧!$I$7:$I$2738,$F97)="","",INDEX(選手一覧!$I$7:$I$2738,$F97))</f>
        <v/>
      </c>
    </row>
    <row r="98" customFormat="false" ht="15" hidden="false" customHeight="false" outlineLevel="0" collapsed="false">
      <c r="A98" s="17" t="n">
        <v>94</v>
      </c>
      <c r="B98" s="12" t="s">
        <v>300</v>
      </c>
      <c r="C98" s="12" t="s">
        <v>301</v>
      </c>
      <c r="D98" s="16" t="n">
        <v>0.00274710648148148</v>
      </c>
      <c r="E98" s="15" t="n">
        <f aca="false">ROUND((D98-$D$5)*86400,2)</f>
        <v>12.32</v>
      </c>
      <c r="F98" s="17" t="n">
        <v>143</v>
      </c>
      <c r="G98" s="16" t="n">
        <f aca="false">IF(INDEX(選手一覧!$D$7:$D$2738,$F98)="","",INDEX(選手一覧!$D$7:$D$2738,$F98))</f>
        <v>0.010277662037037</v>
      </c>
      <c r="H98" s="17" t="n">
        <f aca="false">IF(INDEX(選手一覧!$E$7:$E$2738,$F98)="","",INDEX(選手一覧!$E$7:$E$2738,$F98))</f>
        <v>144</v>
      </c>
      <c r="I98" s="16" t="str">
        <f aca="false">IF(INDEX(選手一覧!$H$7:$H$2738,$F98)="","",INDEX(選手一覧!$H$7:$H$2738,$F98))</f>
        <v/>
      </c>
      <c r="J98" s="17" t="str">
        <f aca="false">IF(INDEX(選手一覧!$I$7:$I$2738,$F98)="","",INDEX(選手一覧!$I$7:$I$2738,$F98))</f>
        <v/>
      </c>
    </row>
    <row r="99" customFormat="false" ht="15" hidden="false" customHeight="false" outlineLevel="0" collapsed="false">
      <c r="A99" s="17" t="n">
        <v>95</v>
      </c>
      <c r="B99" s="12" t="s">
        <v>496</v>
      </c>
      <c r="C99" s="12" t="s">
        <v>370</v>
      </c>
      <c r="D99" s="16" t="n">
        <v>0.00274768518518519</v>
      </c>
      <c r="E99" s="15" t="n">
        <f aca="false">ROUND((D99-$D$5)*86400,2)</f>
        <v>12.37</v>
      </c>
      <c r="F99" s="17" t="n">
        <v>258</v>
      </c>
      <c r="G99" s="16" t="n">
        <f aca="false">IF(INDEX(選手一覧!$D$7:$D$2738,$F99)="","",INDEX(選手一覧!$D$7:$D$2738,$F99))</f>
        <v>0.0103971064814815</v>
      </c>
      <c r="H99" s="17" t="n">
        <f aca="false">IF(INDEX(選手一覧!$E$7:$E$2738,$F99)="","",INDEX(選手一覧!$E$7:$E$2738,$F99))</f>
        <v>259</v>
      </c>
      <c r="I99" s="16" t="str">
        <f aca="false">IF(INDEX(選手一覧!$H$7:$H$2738,$F99)="","",INDEX(選手一覧!$H$7:$H$2738,$F99))</f>
        <v/>
      </c>
      <c r="J99" s="17" t="str">
        <f aca="false">IF(INDEX(選手一覧!$I$7:$I$2738,$F99)="","",INDEX(選手一覧!$I$7:$I$2738,$F99))</f>
        <v/>
      </c>
    </row>
    <row r="100" customFormat="false" ht="15" hidden="false" customHeight="false" outlineLevel="0" collapsed="false">
      <c r="A100" s="17" t="n">
        <v>96</v>
      </c>
      <c r="B100" s="12" t="s">
        <v>576</v>
      </c>
      <c r="C100" s="12" t="s">
        <v>577</v>
      </c>
      <c r="D100" s="16" t="n">
        <v>0.00274791666666667</v>
      </c>
      <c r="E100" s="15" t="n">
        <f aca="false">ROUND((D100-$D$5)*86400,2)</f>
        <v>12.39</v>
      </c>
      <c r="F100" s="17" t="n">
        <v>307</v>
      </c>
      <c r="G100" s="16" t="n">
        <f aca="false">IF(INDEX(選手一覧!$D$7:$D$2738,$F100)="","",INDEX(選手一覧!$D$7:$D$2738,$F100))</f>
        <v>0.0104578703703704</v>
      </c>
      <c r="H100" s="17" t="n">
        <f aca="false">IF(INDEX(選手一覧!$E$7:$E$2738,$F100)="","",INDEX(選手一覧!$E$7:$E$2738,$F100))</f>
        <v>308</v>
      </c>
      <c r="I100" s="16" t="str">
        <f aca="false">IF(INDEX(選手一覧!$H$7:$H$2738,$F100)="","",INDEX(選手一覧!$H$7:$H$2738,$F100))</f>
        <v/>
      </c>
      <c r="J100" s="17" t="str">
        <f aca="false">IF(INDEX(選手一覧!$I$7:$I$2738,$F100)="","",INDEX(選手一覧!$I$7:$I$2738,$F100))</f>
        <v/>
      </c>
    </row>
    <row r="101" customFormat="false" ht="15" hidden="false" customHeight="false" outlineLevel="0" collapsed="false">
      <c r="A101" s="17" t="n">
        <v>97</v>
      </c>
      <c r="B101" s="12" t="s">
        <v>227</v>
      </c>
      <c r="C101" s="12" t="s">
        <v>228</v>
      </c>
      <c r="D101" s="16" t="n">
        <v>0.00274849537037037</v>
      </c>
      <c r="E101" s="15" t="n">
        <f aca="false">ROUND((D101-$D$5)*86400,2)</f>
        <v>12.44</v>
      </c>
      <c r="F101" s="17" t="n">
        <v>106</v>
      </c>
      <c r="G101" s="16" t="n">
        <f aca="false">IF(INDEX(選手一覧!$D$7:$D$2738,$F101)="","",INDEX(選手一覧!$D$7:$D$2738,$F101))</f>
        <v>0.0102170138888889</v>
      </c>
      <c r="H101" s="17" t="n">
        <f aca="false">IF(INDEX(選手一覧!$E$7:$E$2738,$F101)="","",INDEX(選手一覧!$E$7:$E$2738,$F101))</f>
        <v>107</v>
      </c>
      <c r="I101" s="16" t="str">
        <f aca="false">IF(INDEX(選手一覧!$H$7:$H$2738,$F101)="","",INDEX(選手一覧!$H$7:$H$2738,$F101))</f>
        <v/>
      </c>
      <c r="J101" s="17" t="str">
        <f aca="false">IF(INDEX(選手一覧!$I$7:$I$2738,$F101)="","",INDEX(選手一覧!$I$7:$I$2738,$F101))</f>
        <v/>
      </c>
    </row>
    <row r="102" customFormat="false" ht="15" hidden="false" customHeight="false" outlineLevel="0" collapsed="false">
      <c r="A102" s="17" t="n">
        <v>98</v>
      </c>
      <c r="B102" s="12" t="s">
        <v>703</v>
      </c>
      <c r="C102" s="12" t="s">
        <v>491</v>
      </c>
      <c r="D102" s="16" t="n">
        <v>0.00274861111111111</v>
      </c>
      <c r="E102" s="15" t="n">
        <f aca="false">ROUND((D102-$D$5)*86400,2)</f>
        <v>12.45</v>
      </c>
      <c r="F102" s="17" t="n">
        <v>388</v>
      </c>
      <c r="G102" s="16" t="n">
        <f aca="false">IF(INDEX(選手一覧!$D$7:$D$2738,$F102)="","",INDEX(選手一覧!$D$7:$D$2738,$F102))</f>
        <v>0.0105414351851852</v>
      </c>
      <c r="H102" s="17" t="n">
        <f aca="false">IF(INDEX(選手一覧!$E$7:$E$2738,$F102)="","",INDEX(選手一覧!$E$7:$E$2738,$F102))</f>
        <v>389</v>
      </c>
      <c r="I102" s="16" t="str">
        <f aca="false">IF(INDEX(選手一覧!$H$7:$H$2738,$F102)="","",INDEX(選手一覧!$H$7:$H$2738,$F102))</f>
        <v/>
      </c>
      <c r="J102" s="17" t="str">
        <f aca="false">IF(INDEX(選手一覧!$I$7:$I$2738,$F102)="","",INDEX(選手一覧!$I$7:$I$2738,$F102))</f>
        <v/>
      </c>
    </row>
    <row r="103" customFormat="false" ht="15" hidden="false" customHeight="false" outlineLevel="0" collapsed="false">
      <c r="A103" s="17" t="n">
        <v>99</v>
      </c>
      <c r="B103" s="12" t="s">
        <v>258</v>
      </c>
      <c r="C103" s="12" t="s">
        <v>259</v>
      </c>
      <c r="D103" s="16" t="n">
        <v>0.00274872685185185</v>
      </c>
      <c r="E103" s="15" t="n">
        <f aca="false">ROUND((D103-$D$5)*86400,2)</f>
        <v>12.46</v>
      </c>
      <c r="F103" s="17" t="n">
        <v>122</v>
      </c>
      <c r="G103" s="16" t="n">
        <f aca="false">IF(INDEX(選手一覧!$D$7:$D$2738,$F103)="","",INDEX(選手一覧!$D$7:$D$2738,$F103))</f>
        <v>0.0102435185185185</v>
      </c>
      <c r="H103" s="17" t="n">
        <f aca="false">IF(INDEX(選手一覧!$E$7:$E$2738,$F103)="","",INDEX(選手一覧!$E$7:$E$2738,$F103))</f>
        <v>123</v>
      </c>
      <c r="I103" s="16" t="str">
        <f aca="false">IF(INDEX(選手一覧!$H$7:$H$2738,$F103)="","",INDEX(選手一覧!$H$7:$H$2738,$F103))</f>
        <v/>
      </c>
      <c r="J103" s="17" t="str">
        <f aca="false">IF(INDEX(選手一覧!$I$7:$I$2738,$F103)="","",INDEX(選手一覧!$I$7:$I$2738,$F103))</f>
        <v/>
      </c>
    </row>
    <row r="104" customFormat="false" ht="15" hidden="false" customHeight="false" outlineLevel="0" collapsed="false">
      <c r="A104" s="17" t="n">
        <v>100</v>
      </c>
      <c r="B104" s="12" t="s">
        <v>2061</v>
      </c>
      <c r="C104" s="12" t="s">
        <v>695</v>
      </c>
      <c r="D104" s="16" t="n">
        <v>0.00274872685185185</v>
      </c>
      <c r="E104" s="15" t="n">
        <f aca="false">ROUND((D104-$D$5)*86400,2)</f>
        <v>12.46</v>
      </c>
      <c r="F104" s="17" t="n">
        <v>1305</v>
      </c>
      <c r="G104" s="16" t="str">
        <f aca="false">IF(INDEX(選手一覧!$D$7:$D$2738,$F104)="","",INDEX(選手一覧!$D$7:$D$2738,$F104))</f>
        <v/>
      </c>
      <c r="H104" s="17" t="str">
        <f aca="false">IF(INDEX(選手一覧!$E$7:$E$2738,$F104)="","",INDEX(選手一覧!$E$7:$E$2738,$F104))</f>
        <v/>
      </c>
      <c r="I104" s="16" t="str">
        <f aca="false">IF(INDEX(選手一覧!$H$7:$H$2738,$F104)="","",INDEX(選手一覧!$H$7:$H$2738,$F104))</f>
        <v/>
      </c>
      <c r="J104" s="17" t="str">
        <f aca="false">IF(INDEX(選手一覧!$I$7:$I$2738,$F104)="","",INDEX(選手一覧!$I$7:$I$2738,$F104))</f>
        <v/>
      </c>
    </row>
    <row r="105" customFormat="false" ht="15" hidden="false" customHeight="false" outlineLevel="0" collapsed="false">
      <c r="A105" s="17" t="n">
        <v>101</v>
      </c>
      <c r="B105" s="12" t="s">
        <v>2062</v>
      </c>
      <c r="C105" s="12" t="s">
        <v>94</v>
      </c>
      <c r="D105" s="16" t="n">
        <v>0.00274895833333333</v>
      </c>
      <c r="E105" s="15" t="n">
        <f aca="false">ROUND((D105-$D$5)*86400,2)</f>
        <v>12.48</v>
      </c>
      <c r="F105" s="17" t="n">
        <v>1306</v>
      </c>
      <c r="G105" s="16" t="str">
        <f aca="false">IF(INDEX(選手一覧!$D$7:$D$2738,$F105)="","",INDEX(選手一覧!$D$7:$D$2738,$F105))</f>
        <v/>
      </c>
      <c r="H105" s="17" t="str">
        <f aca="false">IF(INDEX(選手一覧!$E$7:$E$2738,$F105)="","",INDEX(選手一覧!$E$7:$E$2738,$F105))</f>
        <v/>
      </c>
      <c r="I105" s="16" t="str">
        <f aca="false">IF(INDEX(選手一覧!$H$7:$H$2738,$F105)="","",INDEX(選手一覧!$H$7:$H$2738,$F105))</f>
        <v/>
      </c>
      <c r="J105" s="17" t="str">
        <f aca="false">IF(INDEX(選手一覧!$I$7:$I$2738,$F105)="","",INDEX(選手一覧!$I$7:$I$2738,$F105))</f>
        <v/>
      </c>
    </row>
    <row r="106" customFormat="false" ht="15" hidden="false" customHeight="false" outlineLevel="0" collapsed="false">
      <c r="A106" s="17" t="n">
        <v>102</v>
      </c>
      <c r="B106" s="12" t="s">
        <v>1118</v>
      </c>
      <c r="C106" s="12" t="s">
        <v>737</v>
      </c>
      <c r="D106" s="16" t="n">
        <v>0.00274930555555556</v>
      </c>
      <c r="E106" s="15" t="n">
        <f aca="false">ROUND((D106-$D$5)*86400,2)</f>
        <v>12.51</v>
      </c>
      <c r="F106" s="17" t="n">
        <v>663</v>
      </c>
      <c r="G106" s="16" t="n">
        <f aca="false">IF(INDEX(選手一覧!$D$7:$D$2738,$F106)="","",INDEX(選手一覧!$D$7:$D$2738,$F106))</f>
        <v>0.0107466435185185</v>
      </c>
      <c r="H106" s="17" t="n">
        <f aca="false">IF(INDEX(選手一覧!$E$7:$E$2738,$F106)="","",INDEX(選手一覧!$E$7:$E$2738,$F106))</f>
        <v>664</v>
      </c>
      <c r="I106" s="16" t="str">
        <f aca="false">IF(INDEX(選手一覧!$H$7:$H$2738,$F106)="","",INDEX(選手一覧!$H$7:$H$2738,$F106))</f>
        <v/>
      </c>
      <c r="J106" s="17" t="str">
        <f aca="false">IF(INDEX(選手一覧!$I$7:$I$2738,$F106)="","",INDEX(選手一覧!$I$7:$I$2738,$F106))</f>
        <v/>
      </c>
    </row>
    <row r="107" customFormat="false" ht="15" hidden="false" customHeight="false" outlineLevel="0" collapsed="false">
      <c r="A107" s="17" t="n">
        <v>103</v>
      </c>
      <c r="B107" s="12" t="s">
        <v>594</v>
      </c>
      <c r="C107" s="12" t="s">
        <v>595</v>
      </c>
      <c r="D107" s="16" t="n">
        <v>0.00274976851851852</v>
      </c>
      <c r="E107" s="15" t="n">
        <f aca="false">ROUND((D107-$D$5)*86400,2)</f>
        <v>12.55</v>
      </c>
      <c r="F107" s="17" t="n">
        <v>318</v>
      </c>
      <c r="G107" s="16" t="n">
        <f aca="false">IF(INDEX(選手一覧!$D$7:$D$2738,$F107)="","",INDEX(選手一覧!$D$7:$D$2738,$F107))</f>
        <v>0.0104733796296296</v>
      </c>
      <c r="H107" s="17" t="n">
        <f aca="false">IF(INDEX(選手一覧!$E$7:$E$2738,$F107)="","",INDEX(選手一覧!$E$7:$E$2738,$F107))</f>
        <v>319</v>
      </c>
      <c r="I107" s="16" t="str">
        <f aca="false">IF(INDEX(選手一覧!$H$7:$H$2738,$F107)="","",INDEX(選手一覧!$H$7:$H$2738,$F107))</f>
        <v/>
      </c>
      <c r="J107" s="17" t="str">
        <f aca="false">IF(INDEX(選手一覧!$I$7:$I$2738,$F107)="","",INDEX(選手一覧!$I$7:$I$2738,$F107))</f>
        <v/>
      </c>
    </row>
    <row r="108" customFormat="false" ht="15" hidden="false" customHeight="false" outlineLevel="0" collapsed="false">
      <c r="A108" s="17" t="n">
        <v>104</v>
      </c>
      <c r="B108" s="12" t="s">
        <v>307</v>
      </c>
      <c r="C108" s="12" t="s">
        <v>245</v>
      </c>
      <c r="D108" s="16" t="n">
        <v>0.00274988425925926</v>
      </c>
      <c r="E108" s="15" t="n">
        <f aca="false">ROUND((D108-$D$5)*86400,2)</f>
        <v>12.56</v>
      </c>
      <c r="F108" s="17" t="n">
        <v>147</v>
      </c>
      <c r="G108" s="16" t="n">
        <f aca="false">IF(INDEX(選手一覧!$D$7:$D$2738,$F108)="","",INDEX(選手一覧!$D$7:$D$2738,$F108))</f>
        <v>0.0102799768518519</v>
      </c>
      <c r="H108" s="17" t="n">
        <f aca="false">IF(INDEX(選手一覧!$E$7:$E$2738,$F108)="","",INDEX(選手一覧!$E$7:$E$2738,$F108))</f>
        <v>148</v>
      </c>
      <c r="I108" s="16" t="str">
        <f aca="false">IF(INDEX(選手一覧!$H$7:$H$2738,$F108)="","",INDEX(選手一覧!$H$7:$H$2738,$F108))</f>
        <v/>
      </c>
      <c r="J108" s="17" t="str">
        <f aca="false">IF(INDEX(選手一覧!$I$7:$I$2738,$F108)="","",INDEX(選手一覧!$I$7:$I$2738,$F108))</f>
        <v/>
      </c>
    </row>
    <row r="109" customFormat="false" ht="15" hidden="false" customHeight="false" outlineLevel="0" collapsed="false">
      <c r="A109" s="17" t="n">
        <v>105</v>
      </c>
      <c r="B109" s="12" t="s">
        <v>1533</v>
      </c>
      <c r="C109" s="12" t="s">
        <v>1392</v>
      </c>
      <c r="D109" s="16" t="n">
        <v>0.00275104166666667</v>
      </c>
      <c r="E109" s="15" t="n">
        <f aca="false">ROUND((D109-$D$5)*86400,2)</f>
        <v>12.66</v>
      </c>
      <c r="F109" s="17" t="n">
        <v>933</v>
      </c>
      <c r="G109" s="16" t="n">
        <f aca="false">IF(INDEX(選手一覧!$D$7:$D$2738,$F109)="","",INDEX(選手一覧!$D$7:$D$2738,$F109))</f>
        <v>0.0109083333333333</v>
      </c>
      <c r="H109" s="17" t="n">
        <f aca="false">IF(INDEX(選手一覧!$E$7:$E$2738,$F109)="","",INDEX(選手一覧!$E$7:$E$2738,$F109))</f>
        <v>934</v>
      </c>
      <c r="I109" s="16" t="str">
        <f aca="false">IF(INDEX(選手一覧!$H$7:$H$2738,$F109)="","",INDEX(選手一覧!$H$7:$H$2738,$F109))</f>
        <v/>
      </c>
      <c r="J109" s="17" t="str">
        <f aca="false">IF(INDEX(選手一覧!$I$7:$I$2738,$F109)="","",INDEX(選手一覧!$I$7:$I$2738,$F109))</f>
        <v/>
      </c>
    </row>
    <row r="110" customFormat="false" ht="15" hidden="false" customHeight="false" outlineLevel="0" collapsed="false">
      <c r="A110" s="17" t="n">
        <v>106</v>
      </c>
      <c r="B110" s="12" t="s">
        <v>1129</v>
      </c>
      <c r="C110" s="12" t="s">
        <v>936</v>
      </c>
      <c r="D110" s="16" t="n">
        <v>0.00275115740740741</v>
      </c>
      <c r="E110" s="15" t="n">
        <f aca="false">ROUND((D110-$D$5)*86400,2)</f>
        <v>12.67</v>
      </c>
      <c r="F110" s="17" t="n">
        <v>669</v>
      </c>
      <c r="G110" s="16" t="n">
        <f aca="false">IF(INDEX(選手一覧!$D$7:$D$2738,$F110)="","",INDEX(選手一覧!$D$7:$D$2738,$F110))</f>
        <v>0.0107515046296296</v>
      </c>
      <c r="H110" s="17" t="n">
        <f aca="false">IF(INDEX(選手一覧!$E$7:$E$2738,$F110)="","",INDEX(選手一覧!$E$7:$E$2738,$F110))</f>
        <v>670</v>
      </c>
      <c r="I110" s="16" t="str">
        <f aca="false">IF(INDEX(選手一覧!$H$7:$H$2738,$F110)="","",INDEX(選手一覧!$H$7:$H$2738,$F110))</f>
        <v/>
      </c>
      <c r="J110" s="17" t="str">
        <f aca="false">IF(INDEX(選手一覧!$I$7:$I$2738,$F110)="","",INDEX(選手一覧!$I$7:$I$2738,$F110))</f>
        <v/>
      </c>
    </row>
    <row r="111" customFormat="false" ht="15" hidden="false" customHeight="false" outlineLevel="0" collapsed="false">
      <c r="A111" s="17" t="n">
        <v>107</v>
      </c>
      <c r="B111" s="12" t="s">
        <v>771</v>
      </c>
      <c r="C111" s="12" t="s">
        <v>503</v>
      </c>
      <c r="D111" s="16" t="n">
        <v>0.00275185185185185</v>
      </c>
      <c r="E111" s="15" t="n">
        <f aca="false">ROUND((D111-$D$5)*86400,2)</f>
        <v>12.73</v>
      </c>
      <c r="F111" s="17" t="n">
        <v>430</v>
      </c>
      <c r="G111" s="16" t="n">
        <f aca="false">IF(INDEX(選手一覧!$D$7:$D$2738,$F111)="","",INDEX(選手一覧!$D$7:$D$2738,$F111))</f>
        <v>0.0105753472222222</v>
      </c>
      <c r="H111" s="17" t="n">
        <f aca="false">IF(INDEX(選手一覧!$E$7:$E$2738,$F111)="","",INDEX(選手一覧!$E$7:$E$2738,$F111))</f>
        <v>431</v>
      </c>
      <c r="I111" s="16" t="str">
        <f aca="false">IF(INDEX(選手一覧!$H$7:$H$2738,$F111)="","",INDEX(選手一覧!$H$7:$H$2738,$F111))</f>
        <v/>
      </c>
      <c r="J111" s="17" t="str">
        <f aca="false">IF(INDEX(選手一覧!$I$7:$I$2738,$F111)="","",INDEX(選手一覧!$I$7:$I$2738,$F111))</f>
        <v/>
      </c>
    </row>
    <row r="112" customFormat="false" ht="15" hidden="false" customHeight="false" outlineLevel="0" collapsed="false">
      <c r="A112" s="17" t="n">
        <v>108</v>
      </c>
      <c r="B112" s="12" t="s">
        <v>329</v>
      </c>
      <c r="C112" s="12" t="s">
        <v>150</v>
      </c>
      <c r="D112" s="16" t="n">
        <v>0.00275208333333333</v>
      </c>
      <c r="E112" s="15" t="n">
        <f aca="false">ROUND((D112-$D$5)*86400,2)</f>
        <v>12.75</v>
      </c>
      <c r="F112" s="17" t="n">
        <v>158</v>
      </c>
      <c r="G112" s="16" t="n">
        <f aca="false">IF(INDEX(選手一覧!$D$7:$D$2738,$F112)="","",INDEX(選手一覧!$D$7:$D$2738,$F112))</f>
        <v>0.0102987268518519</v>
      </c>
      <c r="H112" s="17" t="n">
        <f aca="false">IF(INDEX(選手一覧!$E$7:$E$2738,$F112)="","",INDEX(選手一覧!$E$7:$E$2738,$F112))</f>
        <v>159</v>
      </c>
      <c r="I112" s="16" t="str">
        <f aca="false">IF(INDEX(選手一覧!$H$7:$H$2738,$F112)="","",INDEX(選手一覧!$H$7:$H$2738,$F112))</f>
        <v/>
      </c>
      <c r="J112" s="17" t="str">
        <f aca="false">IF(INDEX(選手一覧!$I$7:$I$2738,$F112)="","",INDEX(選手一覧!$I$7:$I$2738,$F112))</f>
        <v/>
      </c>
    </row>
    <row r="113" customFormat="false" ht="15" hidden="false" customHeight="false" outlineLevel="0" collapsed="false">
      <c r="A113" s="17" t="n">
        <v>109</v>
      </c>
      <c r="B113" s="12" t="s">
        <v>651</v>
      </c>
      <c r="C113" s="12" t="s">
        <v>103</v>
      </c>
      <c r="D113" s="16" t="n">
        <v>0.00275243055555556</v>
      </c>
      <c r="E113" s="15" t="n">
        <f aca="false">ROUND((D113-$D$5)*86400,2)</f>
        <v>12.78</v>
      </c>
      <c r="F113" s="17" t="n">
        <v>354</v>
      </c>
      <c r="G113" s="16" t="n">
        <f aca="false">IF(INDEX(選手一覧!$D$7:$D$2738,$F113)="","",INDEX(選手一覧!$D$7:$D$2738,$F113))</f>
        <v>0.0105134259259259</v>
      </c>
      <c r="H113" s="17" t="n">
        <f aca="false">IF(INDEX(選手一覧!$E$7:$E$2738,$F113)="","",INDEX(選手一覧!$E$7:$E$2738,$F113))</f>
        <v>355</v>
      </c>
      <c r="I113" s="16" t="str">
        <f aca="false">IF(INDEX(選手一覧!$H$7:$H$2738,$F113)="","",INDEX(選手一覧!$H$7:$H$2738,$F113))</f>
        <v/>
      </c>
      <c r="J113" s="17" t="str">
        <f aca="false">IF(INDEX(選手一覧!$I$7:$I$2738,$F113)="","",INDEX(選手一覧!$I$7:$I$2738,$F113))</f>
        <v/>
      </c>
    </row>
    <row r="114" customFormat="false" ht="15" hidden="false" customHeight="false" outlineLevel="0" collapsed="false">
      <c r="A114" s="17" t="n">
        <v>110</v>
      </c>
      <c r="B114" s="12" t="s">
        <v>1809</v>
      </c>
      <c r="C114" s="12" t="s">
        <v>629</v>
      </c>
      <c r="D114" s="16" t="n">
        <v>0.00275289351851852</v>
      </c>
      <c r="E114" s="15" t="n">
        <f aca="false">ROUND((D114-$D$5)*86400,2)</f>
        <v>12.82</v>
      </c>
      <c r="F114" s="17" t="n">
        <v>1120</v>
      </c>
      <c r="G114" s="16" t="n">
        <f aca="false">IF(INDEX(選手一覧!$D$7:$D$2738,$F114)="","",INDEX(選手一覧!$D$7:$D$2738,$F114))</f>
        <v>0.0110163194444444</v>
      </c>
      <c r="H114" s="17" t="n">
        <f aca="false">IF(INDEX(選手一覧!$E$7:$E$2738,$F114)="","",INDEX(選手一覧!$E$7:$E$2738,$F114))</f>
        <v>1121</v>
      </c>
      <c r="I114" s="16" t="str">
        <f aca="false">IF(INDEX(選手一覧!$H$7:$H$2738,$F114)="","",INDEX(選手一覧!$H$7:$H$2738,$F114))</f>
        <v/>
      </c>
      <c r="J114" s="17" t="str">
        <f aca="false">IF(INDEX(選手一覧!$I$7:$I$2738,$F114)="","",INDEX(選手一覧!$I$7:$I$2738,$F114))</f>
        <v/>
      </c>
    </row>
    <row r="115" customFormat="false" ht="15" hidden="false" customHeight="false" outlineLevel="0" collapsed="false">
      <c r="A115" s="17" t="n">
        <v>111</v>
      </c>
      <c r="B115" s="12" t="s">
        <v>206</v>
      </c>
      <c r="C115" s="12" t="s">
        <v>207</v>
      </c>
      <c r="D115" s="16" t="n">
        <v>0.00275324074074074</v>
      </c>
      <c r="E115" s="15" t="n">
        <f aca="false">ROUND((D115-$D$5)*86400,2)</f>
        <v>12.85</v>
      </c>
      <c r="F115" s="17" t="n">
        <v>93</v>
      </c>
      <c r="G115" s="16" t="n">
        <f aca="false">IF(INDEX(選手一覧!$D$7:$D$2738,$F115)="","",INDEX(選手一覧!$D$7:$D$2738,$F115))</f>
        <v>0.0101935185185185</v>
      </c>
      <c r="H115" s="17" t="n">
        <f aca="false">IF(INDEX(選手一覧!$E$7:$E$2738,$F115)="","",INDEX(選手一覧!$E$7:$E$2738,$F115))</f>
        <v>94</v>
      </c>
      <c r="I115" s="16" t="str">
        <f aca="false">IF(INDEX(選手一覧!$H$7:$H$2738,$F115)="","",INDEX(選手一覧!$H$7:$H$2738,$F115))</f>
        <v/>
      </c>
      <c r="J115" s="17" t="str">
        <f aca="false">IF(INDEX(選手一覧!$I$7:$I$2738,$F115)="","",INDEX(選手一覧!$I$7:$I$2738,$F115))</f>
        <v/>
      </c>
    </row>
    <row r="116" customFormat="false" ht="15" hidden="false" customHeight="false" outlineLevel="0" collapsed="false">
      <c r="A116" s="17" t="n">
        <v>112</v>
      </c>
      <c r="B116" s="12" t="s">
        <v>705</v>
      </c>
      <c r="C116" s="12" t="s">
        <v>157</v>
      </c>
      <c r="D116" s="16" t="n">
        <v>0.0027537037037037</v>
      </c>
      <c r="E116" s="15" t="n">
        <f aca="false">ROUND((D116-$D$5)*86400,2)</f>
        <v>12.89</v>
      </c>
      <c r="F116" s="17" t="n">
        <v>390</v>
      </c>
      <c r="G116" s="16" t="n">
        <f aca="false">IF(INDEX(選手一覧!$D$7:$D$2738,$F116)="","",INDEX(選手一覧!$D$7:$D$2738,$F116))</f>
        <v>0.0105428240740741</v>
      </c>
      <c r="H116" s="17" t="n">
        <f aca="false">IF(INDEX(選手一覧!$E$7:$E$2738,$F116)="","",INDEX(選手一覧!$E$7:$E$2738,$F116))</f>
        <v>391</v>
      </c>
      <c r="I116" s="16" t="str">
        <f aca="false">IF(INDEX(選手一覧!$H$7:$H$2738,$F116)="","",INDEX(選手一覧!$H$7:$H$2738,$F116))</f>
        <v/>
      </c>
      <c r="J116" s="17" t="str">
        <f aca="false">IF(INDEX(選手一覧!$I$7:$I$2738,$F116)="","",INDEX(選手一覧!$I$7:$I$2738,$F116))</f>
        <v/>
      </c>
    </row>
    <row r="117" customFormat="false" ht="15" hidden="false" customHeight="false" outlineLevel="0" collapsed="false">
      <c r="A117" s="17" t="n">
        <v>113</v>
      </c>
      <c r="B117" s="12" t="s">
        <v>332</v>
      </c>
      <c r="C117" s="12" t="s">
        <v>333</v>
      </c>
      <c r="D117" s="16" t="n">
        <v>0.00275381944444445</v>
      </c>
      <c r="E117" s="15" t="n">
        <f aca="false">ROUND((D117-$D$5)*86400,2)</f>
        <v>12.9</v>
      </c>
      <c r="F117" s="17" t="n">
        <v>160</v>
      </c>
      <c r="G117" s="16" t="n">
        <f aca="false">IF(INDEX(選手一覧!$D$7:$D$2738,$F117)="","",INDEX(選手一覧!$D$7:$D$2738,$F117))</f>
        <v>0.0103003472222222</v>
      </c>
      <c r="H117" s="17" t="n">
        <f aca="false">IF(INDEX(選手一覧!$E$7:$E$2738,$F117)="","",INDEX(選手一覧!$E$7:$E$2738,$F117))</f>
        <v>161</v>
      </c>
      <c r="I117" s="16" t="n">
        <f aca="false">IF(INDEX(選手一覧!$H$7:$H$2738,$F117)="","",INDEX(選手一覧!$H$7:$H$2738,$F117))</f>
        <v>0.0070880787037037</v>
      </c>
      <c r="J117" s="17" t="n">
        <f aca="false">IF(INDEX(選手一覧!$I$7:$I$2738,$F117)="","",INDEX(選手一覧!$I$7:$I$2738,$F117))</f>
        <v>437</v>
      </c>
    </row>
    <row r="118" customFormat="false" ht="15" hidden="false" customHeight="false" outlineLevel="0" collapsed="false">
      <c r="A118" s="17" t="n">
        <v>114</v>
      </c>
      <c r="B118" s="12" t="s">
        <v>1634</v>
      </c>
      <c r="C118" s="12" t="s">
        <v>1231</v>
      </c>
      <c r="D118" s="16" t="n">
        <v>0.00275393518518519</v>
      </c>
      <c r="E118" s="15" t="n">
        <f aca="false">ROUND((D118-$D$5)*86400,2)</f>
        <v>12.91</v>
      </c>
      <c r="F118" s="17" t="n">
        <v>1005</v>
      </c>
      <c r="G118" s="16" t="n">
        <f aca="false">IF(INDEX(選手一覧!$D$7:$D$2738,$F118)="","",INDEX(選手一覧!$D$7:$D$2738,$F118))</f>
        <v>0.0109527777777778</v>
      </c>
      <c r="H118" s="17" t="n">
        <f aca="false">IF(INDEX(選手一覧!$E$7:$E$2738,$F118)="","",INDEX(選手一覧!$E$7:$E$2738,$F118))</f>
        <v>1006</v>
      </c>
      <c r="I118" s="16" t="str">
        <f aca="false">IF(INDEX(選手一覧!$H$7:$H$2738,$F118)="","",INDEX(選手一覧!$H$7:$H$2738,$F118))</f>
        <v/>
      </c>
      <c r="J118" s="17" t="str">
        <f aca="false">IF(INDEX(選手一覧!$I$7:$I$2738,$F118)="","",INDEX(選手一覧!$I$7:$I$2738,$F118))</f>
        <v/>
      </c>
    </row>
    <row r="119" customFormat="false" ht="15" hidden="false" customHeight="false" outlineLevel="0" collapsed="false">
      <c r="A119" s="17" t="n">
        <v>115</v>
      </c>
      <c r="B119" s="12" t="s">
        <v>796</v>
      </c>
      <c r="C119" s="12" t="s">
        <v>67</v>
      </c>
      <c r="D119" s="16" t="n">
        <v>0.00275428240740741</v>
      </c>
      <c r="E119" s="15" t="n">
        <f aca="false">ROUND((D119-$D$5)*86400,2)</f>
        <v>12.94</v>
      </c>
      <c r="F119" s="17" t="n">
        <v>446</v>
      </c>
      <c r="G119" s="16" t="n">
        <f aca="false">IF(INDEX(選手一覧!$D$7:$D$2738,$F119)="","",INDEX(選手一覧!$D$7:$D$2738,$F119))</f>
        <v>0.0105856481481482</v>
      </c>
      <c r="H119" s="17" t="n">
        <f aca="false">IF(INDEX(選手一覧!$E$7:$E$2738,$F119)="","",INDEX(選手一覧!$E$7:$E$2738,$F119))</f>
        <v>447</v>
      </c>
      <c r="I119" s="16" t="n">
        <f aca="false">IF(INDEX(選手一覧!$H$7:$H$2738,$F119)="","",INDEX(選手一覧!$H$7:$H$2738,$F119))</f>
        <v>0.00672800925925926</v>
      </c>
      <c r="J119" s="17" t="n">
        <f aca="false">IF(INDEX(選手一覧!$I$7:$I$2738,$F119)="","",INDEX(選手一覧!$I$7:$I$2738,$F119))</f>
        <v>118</v>
      </c>
    </row>
    <row r="120" customFormat="false" ht="15" hidden="false" customHeight="false" outlineLevel="0" collapsed="false">
      <c r="A120" s="17" t="n">
        <v>116</v>
      </c>
      <c r="B120" s="12" t="s">
        <v>2068</v>
      </c>
      <c r="C120" s="12" t="s">
        <v>595</v>
      </c>
      <c r="D120" s="16" t="n">
        <v>0.00275439814814815</v>
      </c>
      <c r="E120" s="15" t="n">
        <f aca="false">ROUND((D120-$D$5)*86400,2)</f>
        <v>12.95</v>
      </c>
      <c r="F120" s="17" t="n">
        <v>1310</v>
      </c>
      <c r="G120" s="16" t="str">
        <f aca="false">IF(INDEX(選手一覧!$D$7:$D$2738,$F120)="","",INDEX(選手一覧!$D$7:$D$2738,$F120))</f>
        <v/>
      </c>
      <c r="H120" s="17" t="str">
        <f aca="false">IF(INDEX(選手一覧!$E$7:$E$2738,$F120)="","",INDEX(選手一覧!$E$7:$E$2738,$F120))</f>
        <v/>
      </c>
      <c r="I120" s="16" t="str">
        <f aca="false">IF(INDEX(選手一覧!$H$7:$H$2738,$F120)="","",INDEX(選手一覧!$H$7:$H$2738,$F120))</f>
        <v/>
      </c>
      <c r="J120" s="17" t="str">
        <f aca="false">IF(INDEX(選手一覧!$I$7:$I$2738,$F120)="","",INDEX(選手一覧!$I$7:$I$2738,$F120))</f>
        <v/>
      </c>
    </row>
    <row r="121" customFormat="false" ht="15" hidden="false" customHeight="false" outlineLevel="0" collapsed="false">
      <c r="A121" s="17" t="n">
        <v>117</v>
      </c>
      <c r="B121" s="12" t="s">
        <v>2040</v>
      </c>
      <c r="C121" s="12" t="s">
        <v>601</v>
      </c>
      <c r="D121" s="16" t="n">
        <v>0.00275451388888889</v>
      </c>
      <c r="E121" s="15" t="n">
        <f aca="false">ROUND((D121-$D$5)*86400,2)</f>
        <v>12.96</v>
      </c>
      <c r="F121" s="17" t="n">
        <v>1290</v>
      </c>
      <c r="G121" s="16" t="n">
        <f aca="false">IF(INDEX(選手一覧!$D$7:$D$2738,$F121)="","",INDEX(選手一覧!$D$7:$D$2738,$F121))</f>
        <v>0.0111229166666667</v>
      </c>
      <c r="H121" s="17" t="n">
        <f aca="false">IF(INDEX(選手一覧!$E$7:$E$2738,$F121)="","",INDEX(選手一覧!$E$7:$E$2738,$F121))</f>
        <v>1291</v>
      </c>
      <c r="I121" s="16" t="str">
        <f aca="false">IF(INDEX(選手一覧!$H$7:$H$2738,$F121)="","",INDEX(選手一覧!$H$7:$H$2738,$F121))</f>
        <v/>
      </c>
      <c r="J121" s="17" t="str">
        <f aca="false">IF(INDEX(選手一覧!$I$7:$I$2738,$F121)="","",INDEX(選手一覧!$I$7:$I$2738,$F121))</f>
        <v/>
      </c>
    </row>
    <row r="122" customFormat="false" ht="15" hidden="false" customHeight="false" outlineLevel="0" collapsed="false">
      <c r="A122" s="17" t="n">
        <v>118</v>
      </c>
      <c r="B122" s="12" t="s">
        <v>302</v>
      </c>
      <c r="C122" s="12" t="s">
        <v>303</v>
      </c>
      <c r="D122" s="16" t="n">
        <v>0.00275451388888889</v>
      </c>
      <c r="E122" s="15" t="n">
        <f aca="false">ROUND((D122-$D$5)*86400,2)</f>
        <v>12.96</v>
      </c>
      <c r="F122" s="17" t="n">
        <v>144</v>
      </c>
      <c r="G122" s="16" t="n">
        <f aca="false">IF(INDEX(選手一覧!$D$7:$D$2738,$F122)="","",INDEX(選手一覧!$D$7:$D$2738,$F122))</f>
        <v>0.0102777777777778</v>
      </c>
      <c r="H122" s="17" t="n">
        <f aca="false">IF(INDEX(選手一覧!$E$7:$E$2738,$F122)="","",INDEX(選手一覧!$E$7:$E$2738,$F122))</f>
        <v>145</v>
      </c>
      <c r="I122" s="16" t="str">
        <f aca="false">IF(INDEX(選手一覧!$H$7:$H$2738,$F122)="","",INDEX(選手一覧!$H$7:$H$2738,$F122))</f>
        <v/>
      </c>
      <c r="J122" s="17" t="str">
        <f aca="false">IF(INDEX(選手一覧!$I$7:$I$2738,$F122)="","",INDEX(選手一覧!$I$7:$I$2738,$F122))</f>
        <v/>
      </c>
    </row>
    <row r="123" customFormat="false" ht="15" hidden="false" customHeight="false" outlineLevel="0" collapsed="false">
      <c r="A123" s="17" t="n">
        <v>119</v>
      </c>
      <c r="B123" s="12" t="s">
        <v>210</v>
      </c>
      <c r="C123" s="12" t="s">
        <v>87</v>
      </c>
      <c r="D123" s="16" t="n">
        <v>0.00275451388888889</v>
      </c>
      <c r="E123" s="15" t="n">
        <f aca="false">ROUND((D123-$D$5)*86400,2)</f>
        <v>12.96</v>
      </c>
      <c r="F123" s="17" t="n">
        <v>95</v>
      </c>
      <c r="G123" s="16" t="n">
        <f aca="false">IF(INDEX(選手一覧!$D$7:$D$2738,$F123)="","",INDEX(選手一覧!$D$7:$D$2738,$F123))</f>
        <v>0.0101975694444444</v>
      </c>
      <c r="H123" s="17" t="n">
        <f aca="false">IF(INDEX(選手一覧!$E$7:$E$2738,$F123)="","",INDEX(選手一覧!$E$7:$E$2738,$F123))</f>
        <v>96</v>
      </c>
      <c r="I123" s="16" t="str">
        <f aca="false">IF(INDEX(選手一覧!$H$7:$H$2738,$F123)="","",INDEX(選手一覧!$H$7:$H$2738,$F123))</f>
        <v/>
      </c>
      <c r="J123" s="17" t="str">
        <f aca="false">IF(INDEX(選手一覧!$I$7:$I$2738,$F123)="","",INDEX(選手一覧!$I$7:$I$2738,$F123))</f>
        <v/>
      </c>
    </row>
    <row r="124" customFormat="false" ht="15" hidden="false" customHeight="false" outlineLevel="0" collapsed="false">
      <c r="A124" s="17" t="n">
        <v>120</v>
      </c>
      <c r="B124" s="12" t="s">
        <v>211</v>
      </c>
      <c r="C124" s="12" t="s">
        <v>212</v>
      </c>
      <c r="D124" s="16" t="n">
        <v>0.00275451388888889</v>
      </c>
      <c r="E124" s="15" t="n">
        <f aca="false">ROUND((D124-$D$5)*86400,2)</f>
        <v>12.96</v>
      </c>
      <c r="F124" s="17" t="n">
        <v>96</v>
      </c>
      <c r="G124" s="16" t="n">
        <f aca="false">IF(INDEX(選手一覧!$D$7:$D$2738,$F124)="","",INDEX(選手一覧!$D$7:$D$2738,$F124))</f>
        <v>0.0102012731481482</v>
      </c>
      <c r="H124" s="17" t="n">
        <f aca="false">IF(INDEX(選手一覧!$E$7:$E$2738,$F124)="","",INDEX(選手一覧!$E$7:$E$2738,$F124))</f>
        <v>97</v>
      </c>
      <c r="I124" s="16" t="n">
        <f aca="false">IF(INDEX(選手一覧!$H$7:$H$2738,$F124)="","",INDEX(選手一覧!$H$7:$H$2738,$F124))</f>
        <v>0.00648483796296296</v>
      </c>
      <c r="J124" s="17" t="n">
        <f aca="false">IF(INDEX(選手一覧!$I$7:$I$2738,$F124)="","",INDEX(選手一覧!$I$7:$I$2738,$F124))</f>
        <v>31</v>
      </c>
    </row>
    <row r="125" customFormat="false" ht="15" hidden="false" customHeight="false" outlineLevel="0" collapsed="false">
      <c r="A125" s="17" t="n">
        <v>121</v>
      </c>
      <c r="B125" s="12" t="s">
        <v>414</v>
      </c>
      <c r="C125" s="12" t="s">
        <v>415</v>
      </c>
      <c r="D125" s="16" t="n">
        <v>0.00275543981481482</v>
      </c>
      <c r="E125" s="15" t="n">
        <f aca="false">ROUND((D125-$D$5)*86400,2)</f>
        <v>13.04</v>
      </c>
      <c r="F125" s="17" t="n">
        <v>208</v>
      </c>
      <c r="G125" s="16" t="n">
        <f aca="false">IF(INDEX(選手一覧!$D$7:$D$2738,$F125)="","",INDEX(選手一覧!$D$7:$D$2738,$F125))</f>
        <v>0.0103547453703704</v>
      </c>
      <c r="H125" s="17" t="n">
        <f aca="false">IF(INDEX(選手一覧!$E$7:$E$2738,$F125)="","",INDEX(選手一覧!$E$7:$E$2738,$F125))</f>
        <v>209</v>
      </c>
      <c r="I125" s="16" t="n">
        <f aca="false">IF(INDEX(選手一覧!$H$7:$H$2738,$F125)="","",INDEX(選手一覧!$H$7:$H$2738,$F125))</f>
        <v>0.0066412037037037</v>
      </c>
      <c r="J125" s="17" t="n">
        <f aca="false">IF(INDEX(選手一覧!$I$7:$I$2738,$F125)="","",INDEX(選手一覧!$I$7:$I$2738,$F125))</f>
        <v>79</v>
      </c>
    </row>
    <row r="126" customFormat="false" ht="15" hidden="false" customHeight="false" outlineLevel="0" collapsed="false">
      <c r="A126" s="17" t="n">
        <v>122</v>
      </c>
      <c r="B126" s="12" t="s">
        <v>1041</v>
      </c>
      <c r="C126" s="12" t="s">
        <v>125</v>
      </c>
      <c r="D126" s="16" t="n">
        <v>0.0027556712962963</v>
      </c>
      <c r="E126" s="15" t="n">
        <f aca="false">ROUND((D126-$D$5)*86400,2)</f>
        <v>13.06</v>
      </c>
      <c r="F126" s="17" t="n">
        <v>606</v>
      </c>
      <c r="G126" s="16" t="n">
        <f aca="false">IF(INDEX(選手一覧!$D$7:$D$2738,$F126)="","",INDEX(選手一覧!$D$7:$D$2738,$F126))</f>
        <v>0.0107158564814815</v>
      </c>
      <c r="H126" s="17" t="n">
        <f aca="false">IF(INDEX(選手一覧!$E$7:$E$2738,$F126)="","",INDEX(選手一覧!$E$7:$E$2738,$F126))</f>
        <v>607</v>
      </c>
      <c r="I126" s="16" t="str">
        <f aca="false">IF(INDEX(選手一覧!$H$7:$H$2738,$F126)="","",INDEX(選手一覧!$H$7:$H$2738,$F126))</f>
        <v/>
      </c>
      <c r="J126" s="17" t="str">
        <f aca="false">IF(INDEX(選手一覧!$I$7:$I$2738,$F126)="","",INDEX(選手一覧!$I$7:$I$2738,$F126))</f>
        <v/>
      </c>
    </row>
    <row r="127" customFormat="false" ht="15" hidden="false" customHeight="false" outlineLevel="0" collapsed="false">
      <c r="A127" s="17" t="n">
        <v>123</v>
      </c>
      <c r="B127" s="12" t="s">
        <v>1183</v>
      </c>
      <c r="C127" s="12" t="s">
        <v>1184</v>
      </c>
      <c r="D127" s="16" t="n">
        <v>0.00275601851851852</v>
      </c>
      <c r="E127" s="15" t="n">
        <f aca="false">ROUND((D127-$D$5)*86400,2)</f>
        <v>13.09</v>
      </c>
      <c r="F127" s="17" t="n">
        <v>703</v>
      </c>
      <c r="G127" s="16" t="n">
        <f aca="false">IF(INDEX(選手一覧!$D$7:$D$2738,$F127)="","",INDEX(選手一覧!$D$7:$D$2738,$F127))</f>
        <v>0.0107768518518519</v>
      </c>
      <c r="H127" s="17" t="n">
        <f aca="false">IF(INDEX(選手一覧!$E$7:$E$2738,$F127)="","",INDEX(選手一覧!$E$7:$E$2738,$F127))</f>
        <v>704</v>
      </c>
      <c r="I127" s="16" t="str">
        <f aca="false">IF(INDEX(選手一覧!$H$7:$H$2738,$F127)="","",INDEX(選手一覧!$H$7:$H$2738,$F127))</f>
        <v/>
      </c>
      <c r="J127" s="17" t="str">
        <f aca="false">IF(INDEX(選手一覧!$I$7:$I$2738,$F127)="","",INDEX(選手一覧!$I$7:$I$2738,$F127))</f>
        <v/>
      </c>
    </row>
    <row r="128" customFormat="false" ht="15" hidden="false" customHeight="false" outlineLevel="0" collapsed="false">
      <c r="A128" s="17" t="n">
        <v>124</v>
      </c>
      <c r="B128" s="12" t="s">
        <v>745</v>
      </c>
      <c r="C128" s="12" t="s">
        <v>285</v>
      </c>
      <c r="D128" s="16" t="n">
        <v>0.00275613425925926</v>
      </c>
      <c r="E128" s="15" t="n">
        <f aca="false">ROUND((D128-$D$5)*86400,2)</f>
        <v>13.1</v>
      </c>
      <c r="F128" s="17" t="n">
        <v>413</v>
      </c>
      <c r="G128" s="16" t="n">
        <f aca="false">IF(INDEX(選手一覧!$D$7:$D$2738,$F128)="","",INDEX(選手一覧!$D$7:$D$2738,$F128))</f>
        <v>0.010562962962963</v>
      </c>
      <c r="H128" s="17" t="n">
        <f aca="false">IF(INDEX(選手一覧!$E$7:$E$2738,$F128)="","",INDEX(選手一覧!$E$7:$E$2738,$F128))</f>
        <v>414</v>
      </c>
      <c r="I128" s="16" t="str">
        <f aca="false">IF(INDEX(選手一覧!$H$7:$H$2738,$F128)="","",INDEX(選手一覧!$H$7:$H$2738,$F128))</f>
        <v/>
      </c>
      <c r="J128" s="17" t="str">
        <f aca="false">IF(INDEX(選手一覧!$I$7:$I$2738,$F128)="","",INDEX(選手一覧!$I$7:$I$2738,$F128))</f>
        <v/>
      </c>
    </row>
    <row r="129" customFormat="false" ht="15" hidden="false" customHeight="false" outlineLevel="0" collapsed="false">
      <c r="A129" s="17" t="n">
        <v>125</v>
      </c>
      <c r="B129" s="12" t="s">
        <v>1207</v>
      </c>
      <c r="C129" s="12" t="s">
        <v>94</v>
      </c>
      <c r="D129" s="16" t="n">
        <v>0.00275671296296296</v>
      </c>
      <c r="E129" s="15" t="n">
        <f aca="false">ROUND((D129-$D$5)*86400,2)</f>
        <v>13.15</v>
      </c>
      <c r="F129" s="17" t="n">
        <v>718</v>
      </c>
      <c r="G129" s="16" t="n">
        <f aca="false">IF(INDEX(選手一覧!$D$7:$D$2738,$F129)="","",INDEX(選手一覧!$D$7:$D$2738,$F129))</f>
        <v>0.0107890046296296</v>
      </c>
      <c r="H129" s="17" t="n">
        <f aca="false">IF(INDEX(選手一覧!$E$7:$E$2738,$F129)="","",INDEX(選手一覧!$E$7:$E$2738,$F129))</f>
        <v>719</v>
      </c>
      <c r="I129" s="16" t="str">
        <f aca="false">IF(INDEX(選手一覧!$H$7:$H$2738,$F129)="","",INDEX(選手一覧!$H$7:$H$2738,$F129))</f>
        <v/>
      </c>
      <c r="J129" s="17" t="str">
        <f aca="false">IF(INDEX(選手一覧!$I$7:$I$2738,$F129)="","",INDEX(選手一覧!$I$7:$I$2738,$F129))</f>
        <v/>
      </c>
    </row>
    <row r="130" customFormat="false" ht="15" hidden="false" customHeight="false" outlineLevel="0" collapsed="false">
      <c r="A130" s="17" t="n">
        <v>126</v>
      </c>
      <c r="B130" s="12" t="s">
        <v>1048</v>
      </c>
      <c r="C130" s="12" t="s">
        <v>1049</v>
      </c>
      <c r="D130" s="16" t="n">
        <v>0.0027568287037037</v>
      </c>
      <c r="E130" s="15" t="n">
        <f aca="false">ROUND((D130-$D$5)*86400,2)</f>
        <v>13.16</v>
      </c>
      <c r="F130" s="17" t="n">
        <v>612</v>
      </c>
      <c r="G130" s="16" t="n">
        <f aca="false">IF(INDEX(選手一覧!$D$7:$D$2738,$F130)="","",INDEX(選手一覧!$D$7:$D$2738,$F130))</f>
        <v>0.0107209490740741</v>
      </c>
      <c r="H130" s="17" t="n">
        <f aca="false">IF(INDEX(選手一覧!$E$7:$E$2738,$F130)="","",INDEX(選手一覧!$E$7:$E$2738,$F130))</f>
        <v>613</v>
      </c>
      <c r="I130" s="16" t="str">
        <f aca="false">IF(INDEX(選手一覧!$H$7:$H$2738,$F130)="","",INDEX(選手一覧!$H$7:$H$2738,$F130))</f>
        <v/>
      </c>
      <c r="J130" s="17" t="str">
        <f aca="false">IF(INDEX(選手一覧!$I$7:$I$2738,$F130)="","",INDEX(選手一覧!$I$7:$I$2738,$F130))</f>
        <v/>
      </c>
    </row>
    <row r="131" customFormat="false" ht="15" hidden="false" customHeight="false" outlineLevel="0" collapsed="false">
      <c r="A131" s="17" t="n">
        <v>127</v>
      </c>
      <c r="B131" s="12" t="s">
        <v>158</v>
      </c>
      <c r="C131" s="12" t="s">
        <v>159</v>
      </c>
      <c r="D131" s="16" t="n">
        <v>0.0027568287037037</v>
      </c>
      <c r="E131" s="15" t="n">
        <f aca="false">ROUND((D131-$D$5)*86400,2)</f>
        <v>13.16</v>
      </c>
      <c r="F131" s="17" t="n">
        <v>67</v>
      </c>
      <c r="G131" s="16" t="n">
        <f aca="false">IF(INDEX(選手一覧!$D$7:$D$2738,$F131)="","",INDEX(選手一覧!$D$7:$D$2738,$F131))</f>
        <v>0.0101380787037037</v>
      </c>
      <c r="H131" s="17" t="n">
        <f aca="false">IF(INDEX(選手一覧!$E$7:$E$2738,$F131)="","",INDEX(選手一覧!$E$7:$E$2738,$F131))</f>
        <v>68</v>
      </c>
      <c r="I131" s="16" t="str">
        <f aca="false">IF(INDEX(選手一覧!$H$7:$H$2738,$F131)="","",INDEX(選手一覧!$H$7:$H$2738,$F131))</f>
        <v/>
      </c>
      <c r="J131" s="17" t="str">
        <f aca="false">IF(INDEX(選手一覧!$I$7:$I$2738,$F131)="","",INDEX(選手一覧!$I$7:$I$2738,$F131))</f>
        <v/>
      </c>
    </row>
    <row r="132" customFormat="false" ht="15" hidden="false" customHeight="false" outlineLevel="0" collapsed="false">
      <c r="A132" s="17" t="n">
        <v>128</v>
      </c>
      <c r="B132" s="12" t="s">
        <v>164</v>
      </c>
      <c r="C132" s="12" t="s">
        <v>165</v>
      </c>
      <c r="D132" s="16" t="n">
        <v>0.00275729166666667</v>
      </c>
      <c r="E132" s="15" t="n">
        <f aca="false">ROUND((D132-$D$5)*86400,2)</f>
        <v>13.2</v>
      </c>
      <c r="F132" s="17" t="n">
        <v>70</v>
      </c>
      <c r="G132" s="16" t="n">
        <f aca="false">IF(INDEX(選手一覧!$D$7:$D$2738,$F132)="","",INDEX(選手一覧!$D$7:$D$2738,$F132))</f>
        <v>0.0101478009259259</v>
      </c>
      <c r="H132" s="17" t="n">
        <f aca="false">IF(INDEX(選手一覧!$E$7:$E$2738,$F132)="","",INDEX(選手一覧!$E$7:$E$2738,$F132))</f>
        <v>71</v>
      </c>
      <c r="I132" s="16" t="n">
        <f aca="false">IF(INDEX(選手一覧!$H$7:$H$2738,$F132)="","",INDEX(選手一覧!$H$7:$H$2738,$F132))</f>
        <v>0.00698865740740741</v>
      </c>
      <c r="J132" s="17" t="n">
        <f aca="false">IF(INDEX(選手一覧!$I$7:$I$2738,$F132)="","",INDEX(選手一覧!$I$7:$I$2738,$F132))</f>
        <v>323</v>
      </c>
    </row>
    <row r="133" customFormat="false" ht="15" hidden="false" customHeight="false" outlineLevel="0" collapsed="false">
      <c r="A133" s="17" t="n">
        <v>129</v>
      </c>
      <c r="B133" s="12" t="s">
        <v>750</v>
      </c>
      <c r="C133" s="12" t="s">
        <v>155</v>
      </c>
      <c r="D133" s="16" t="n">
        <v>0.00275775462962963</v>
      </c>
      <c r="E133" s="15" t="n">
        <f aca="false">ROUND((D133-$D$5)*86400,2)</f>
        <v>13.24</v>
      </c>
      <c r="F133" s="17" t="n">
        <v>416</v>
      </c>
      <c r="G133" s="16" t="n">
        <f aca="false">IF(INDEX(選手一覧!$D$7:$D$2738,$F133)="","",INDEX(選手一覧!$D$7:$D$2738,$F133))</f>
        <v>0.0105644675925926</v>
      </c>
      <c r="H133" s="17" t="n">
        <f aca="false">IF(INDEX(選手一覧!$E$7:$E$2738,$F133)="","",INDEX(選手一覧!$E$7:$E$2738,$F133))</f>
        <v>417</v>
      </c>
      <c r="I133" s="16" t="str">
        <f aca="false">IF(INDEX(選手一覧!$H$7:$H$2738,$F133)="","",INDEX(選手一覧!$H$7:$H$2738,$F133))</f>
        <v/>
      </c>
      <c r="J133" s="17" t="str">
        <f aca="false">IF(INDEX(選手一覧!$I$7:$I$2738,$F133)="","",INDEX(選手一覧!$I$7:$I$2738,$F133))</f>
        <v/>
      </c>
    </row>
    <row r="134" customFormat="false" ht="15" hidden="false" customHeight="false" outlineLevel="0" collapsed="false">
      <c r="A134" s="17" t="n">
        <v>130</v>
      </c>
      <c r="B134" s="12" t="s">
        <v>431</v>
      </c>
      <c r="C134" s="12" t="s">
        <v>186</v>
      </c>
      <c r="D134" s="16" t="n">
        <v>0.00275833333333333</v>
      </c>
      <c r="E134" s="15" t="n">
        <f aca="false">ROUND((D134-$D$5)*86400,2)</f>
        <v>13.29</v>
      </c>
      <c r="F134" s="17" t="n">
        <v>221</v>
      </c>
      <c r="G134" s="16" t="n">
        <f aca="false">IF(INDEX(選手一覧!$D$7:$D$2738,$F134)="","",INDEX(選手一覧!$D$7:$D$2738,$F134))</f>
        <v>0.0103675925925926</v>
      </c>
      <c r="H134" s="17" t="n">
        <f aca="false">IF(INDEX(選手一覧!$E$7:$E$2738,$F134)="","",INDEX(選手一覧!$E$7:$E$2738,$F134))</f>
        <v>222</v>
      </c>
      <c r="I134" s="16" t="n">
        <f aca="false">IF(INDEX(選手一覧!$H$7:$H$2738,$F134)="","",INDEX(選手一覧!$H$7:$H$2738,$F134))</f>
        <v>0.0064625</v>
      </c>
      <c r="J134" s="17" t="n">
        <f aca="false">IF(INDEX(選手一覧!$I$7:$I$2738,$F134)="","",INDEX(選手一覧!$I$7:$I$2738,$F134))</f>
        <v>26</v>
      </c>
    </row>
    <row r="135" customFormat="false" ht="15" hidden="false" customHeight="false" outlineLevel="0" collapsed="false">
      <c r="A135" s="17" t="n">
        <v>131</v>
      </c>
      <c r="B135" s="12" t="s">
        <v>2000</v>
      </c>
      <c r="C135" s="12" t="s">
        <v>1482</v>
      </c>
      <c r="D135" s="16" t="n">
        <v>0.00275856481481482</v>
      </c>
      <c r="E135" s="15" t="n">
        <f aca="false">ROUND((D135-$D$5)*86400,2)</f>
        <v>13.31</v>
      </c>
      <c r="F135" s="17" t="n">
        <v>1256</v>
      </c>
      <c r="G135" s="16" t="n">
        <f aca="false">IF(INDEX(選手一覧!$D$7:$D$2738,$F135)="","",INDEX(選手一覧!$D$7:$D$2738,$F135))</f>
        <v>0.0110846064814815</v>
      </c>
      <c r="H135" s="17" t="n">
        <f aca="false">IF(INDEX(選手一覧!$E$7:$E$2738,$F135)="","",INDEX(選手一覧!$E$7:$E$2738,$F135))</f>
        <v>1257</v>
      </c>
      <c r="I135" s="16" t="str">
        <f aca="false">IF(INDEX(選手一覧!$H$7:$H$2738,$F135)="","",INDEX(選手一覧!$H$7:$H$2738,$F135))</f>
        <v/>
      </c>
      <c r="J135" s="17" t="str">
        <f aca="false">IF(INDEX(選手一覧!$I$7:$I$2738,$F135)="","",INDEX(選手一覧!$I$7:$I$2738,$F135))</f>
        <v/>
      </c>
    </row>
    <row r="136" customFormat="false" ht="15" hidden="false" customHeight="false" outlineLevel="0" collapsed="false">
      <c r="A136" s="17" t="n">
        <v>132</v>
      </c>
      <c r="B136" s="12" t="s">
        <v>48</v>
      </c>
      <c r="C136" s="12" t="s">
        <v>37</v>
      </c>
      <c r="D136" s="16" t="n">
        <v>0.00275902777777778</v>
      </c>
      <c r="E136" s="15" t="n">
        <f aca="false">ROUND((D136-$D$5)*86400,2)</f>
        <v>13.35</v>
      </c>
      <c r="F136" s="17" t="n">
        <v>11</v>
      </c>
      <c r="G136" s="16" t="n">
        <f aca="false">IF(INDEX(選手一覧!$D$7:$D$2738,$F136)="","",INDEX(選手一覧!$D$7:$D$2738,$F136))</f>
        <v>0.00987071759259259</v>
      </c>
      <c r="H136" s="17" t="n">
        <f aca="false">IF(INDEX(選手一覧!$E$7:$E$2738,$F136)="","",INDEX(選手一覧!$E$7:$E$2738,$F136))</f>
        <v>11</v>
      </c>
      <c r="I136" s="16" t="str">
        <f aca="false">IF(INDEX(選手一覧!$H$7:$H$2738,$F136)="","",INDEX(選手一覧!$H$7:$H$2738,$F136))</f>
        <v/>
      </c>
      <c r="J136" s="17" t="str">
        <f aca="false">IF(INDEX(選手一覧!$I$7:$I$2738,$F136)="","",INDEX(選手一覧!$I$7:$I$2738,$F136))</f>
        <v/>
      </c>
    </row>
    <row r="137" customFormat="false" ht="15" hidden="false" customHeight="false" outlineLevel="0" collapsed="false">
      <c r="A137" s="17" t="n">
        <v>133</v>
      </c>
      <c r="B137" s="12" t="s">
        <v>111</v>
      </c>
      <c r="C137" s="12" t="s">
        <v>25</v>
      </c>
      <c r="D137" s="16" t="n">
        <v>0.00275925925925926</v>
      </c>
      <c r="E137" s="15" t="n">
        <f aca="false">ROUND((D137-$D$5)*86400,2)</f>
        <v>13.37</v>
      </c>
      <c r="F137" s="17" t="n">
        <v>42</v>
      </c>
      <c r="G137" s="16" t="n">
        <f aca="false">IF(INDEX(選手一覧!$D$7:$D$2738,$F137)="","",INDEX(選手一覧!$D$7:$D$2738,$F137))</f>
        <v>0.0100761574074074</v>
      </c>
      <c r="H137" s="17" t="n">
        <f aca="false">IF(INDEX(選手一覧!$E$7:$E$2738,$F137)="","",INDEX(選手一覧!$E$7:$E$2738,$F137))</f>
        <v>43</v>
      </c>
      <c r="I137" s="16" t="str">
        <f aca="false">IF(INDEX(選手一覧!$H$7:$H$2738,$F137)="","",INDEX(選手一覧!$H$7:$H$2738,$F137))</f>
        <v/>
      </c>
      <c r="J137" s="17" t="str">
        <f aca="false">IF(INDEX(選手一覧!$I$7:$I$2738,$F137)="","",INDEX(選手一覧!$I$7:$I$2738,$F137))</f>
        <v/>
      </c>
    </row>
    <row r="138" customFormat="false" ht="15" hidden="false" customHeight="false" outlineLevel="0" collapsed="false">
      <c r="A138" s="17" t="n">
        <v>134</v>
      </c>
      <c r="B138" s="12" t="s">
        <v>1120</v>
      </c>
      <c r="C138" s="12" t="s">
        <v>1121</v>
      </c>
      <c r="D138" s="16" t="n">
        <v>0.00275949074074074</v>
      </c>
      <c r="E138" s="15" t="n">
        <f aca="false">ROUND((D138-$D$5)*86400,2)</f>
        <v>13.39</v>
      </c>
      <c r="F138" s="17" t="n">
        <v>664</v>
      </c>
      <c r="G138" s="16" t="n">
        <f aca="false">IF(INDEX(選手一覧!$D$7:$D$2738,$F138)="","",INDEX(選手一覧!$D$7:$D$2738,$F138))</f>
        <v>0.0107475694444445</v>
      </c>
      <c r="H138" s="17" t="n">
        <f aca="false">IF(INDEX(選手一覧!$E$7:$E$2738,$F138)="","",INDEX(選手一覧!$E$7:$E$2738,$F138))</f>
        <v>665</v>
      </c>
      <c r="I138" s="16" t="str">
        <f aca="false">IF(INDEX(選手一覧!$H$7:$H$2738,$F138)="","",INDEX(選手一覧!$H$7:$H$2738,$F138))</f>
        <v/>
      </c>
      <c r="J138" s="17" t="str">
        <f aca="false">IF(INDEX(選手一覧!$I$7:$I$2738,$F138)="","",INDEX(選手一覧!$I$7:$I$2738,$F138))</f>
        <v/>
      </c>
    </row>
    <row r="139" customFormat="false" ht="15" hidden="false" customHeight="false" outlineLevel="0" collapsed="false">
      <c r="A139" s="17" t="n">
        <v>135</v>
      </c>
      <c r="B139" s="12" t="s">
        <v>881</v>
      </c>
      <c r="C139" s="12" t="s">
        <v>460</v>
      </c>
      <c r="D139" s="16" t="n">
        <v>0.00275960648148148</v>
      </c>
      <c r="E139" s="15" t="n">
        <f aca="false">ROUND((D139-$D$5)*86400,2)</f>
        <v>13.4</v>
      </c>
      <c r="F139" s="17" t="n">
        <v>501</v>
      </c>
      <c r="G139" s="16" t="n">
        <f aca="false">IF(INDEX(選手一覧!$D$7:$D$2738,$F139)="","",INDEX(選手一覧!$D$7:$D$2738,$F139))</f>
        <v>0.0106239583333333</v>
      </c>
      <c r="H139" s="17" t="n">
        <f aca="false">IF(INDEX(選手一覧!$E$7:$E$2738,$F139)="","",INDEX(選手一覧!$E$7:$E$2738,$F139))</f>
        <v>502</v>
      </c>
      <c r="I139" s="16" t="n">
        <f aca="false">IF(INDEX(選手一覧!$H$7:$H$2738,$F139)="","",INDEX(選手一覧!$H$7:$H$2738,$F139))</f>
        <v>0.00656226851851852</v>
      </c>
      <c r="J139" s="17" t="n">
        <f aca="false">IF(INDEX(選手一覧!$I$7:$I$2738,$F139)="","",INDEX(選手一覧!$I$7:$I$2738,$F139))</f>
        <v>48</v>
      </c>
    </row>
    <row r="140" customFormat="false" ht="15" hidden="false" customHeight="false" outlineLevel="0" collapsed="false">
      <c r="A140" s="17" t="n">
        <v>136</v>
      </c>
      <c r="B140" s="12" t="s">
        <v>2074</v>
      </c>
      <c r="C140" s="12" t="s">
        <v>2075</v>
      </c>
      <c r="D140" s="16" t="n">
        <v>0.00276030092592593</v>
      </c>
      <c r="E140" s="15" t="n">
        <f aca="false">ROUND((D140-$D$5)*86400,2)</f>
        <v>13.46</v>
      </c>
      <c r="F140" s="17" t="n">
        <v>1315</v>
      </c>
      <c r="G140" s="16" t="str">
        <f aca="false">IF(INDEX(選手一覧!$D$7:$D$2738,$F140)="","",INDEX(選手一覧!$D$7:$D$2738,$F140))</f>
        <v/>
      </c>
      <c r="H140" s="17" t="str">
        <f aca="false">IF(INDEX(選手一覧!$E$7:$E$2738,$F140)="","",INDEX(選手一覧!$E$7:$E$2738,$F140))</f>
        <v/>
      </c>
      <c r="I140" s="16" t="str">
        <f aca="false">IF(INDEX(選手一覧!$H$7:$H$2738,$F140)="","",INDEX(選手一覧!$H$7:$H$2738,$F140))</f>
        <v/>
      </c>
      <c r="J140" s="17" t="str">
        <f aca="false">IF(INDEX(選手一覧!$I$7:$I$2738,$F140)="","",INDEX(選手一覧!$I$7:$I$2738,$F140))</f>
        <v/>
      </c>
    </row>
    <row r="141" customFormat="false" ht="15" hidden="false" customHeight="false" outlineLevel="0" collapsed="false">
      <c r="A141" s="17" t="n">
        <v>137</v>
      </c>
      <c r="B141" s="12" t="s">
        <v>247</v>
      </c>
      <c r="C141" s="12" t="s">
        <v>248</v>
      </c>
      <c r="D141" s="16" t="n">
        <v>0.00276053240740741</v>
      </c>
      <c r="E141" s="15" t="n">
        <f aca="false">ROUND((D141-$D$5)*86400,2)</f>
        <v>13.48</v>
      </c>
      <c r="F141" s="17" t="n">
        <v>117</v>
      </c>
      <c r="G141" s="16" t="n">
        <f aca="false">IF(INDEX(選手一覧!$D$7:$D$2738,$F141)="","",INDEX(選手一覧!$D$7:$D$2738,$F141))</f>
        <v>0.0102384259259259</v>
      </c>
      <c r="H141" s="17" t="n">
        <f aca="false">IF(INDEX(選手一覧!$E$7:$E$2738,$F141)="","",INDEX(選手一覧!$E$7:$E$2738,$F141))</f>
        <v>118</v>
      </c>
      <c r="I141" s="16" t="str">
        <f aca="false">IF(INDEX(選手一覧!$H$7:$H$2738,$F141)="","",INDEX(選手一覧!$H$7:$H$2738,$F141))</f>
        <v/>
      </c>
      <c r="J141" s="17" t="str">
        <f aca="false">IF(INDEX(選手一覧!$I$7:$I$2738,$F141)="","",INDEX(選手一覧!$I$7:$I$2738,$F141))</f>
        <v/>
      </c>
    </row>
    <row r="142" customFormat="false" ht="15" hidden="false" customHeight="false" outlineLevel="0" collapsed="false">
      <c r="A142" s="17" t="n">
        <v>138</v>
      </c>
      <c r="B142" s="12" t="s">
        <v>524</v>
      </c>
      <c r="C142" s="12" t="s">
        <v>525</v>
      </c>
      <c r="D142" s="16" t="n">
        <v>0.00276064814814815</v>
      </c>
      <c r="E142" s="15" t="n">
        <f aca="false">ROUND((D142-$D$5)*86400,2)</f>
        <v>13.49</v>
      </c>
      <c r="F142" s="17" t="n">
        <v>277</v>
      </c>
      <c r="G142" s="16" t="n">
        <f aca="false">IF(INDEX(選手一覧!$D$7:$D$2738,$F142)="","",INDEX(選手一覧!$D$7:$D$2738,$F142))</f>
        <v>0.0104116898148148</v>
      </c>
      <c r="H142" s="17" t="n">
        <f aca="false">IF(INDEX(選手一覧!$E$7:$E$2738,$F142)="","",INDEX(選手一覧!$E$7:$E$2738,$F142))</f>
        <v>278</v>
      </c>
      <c r="I142" s="16" t="str">
        <f aca="false">IF(INDEX(選手一覧!$H$7:$H$2738,$F142)="","",INDEX(選手一覧!$H$7:$H$2738,$F142))</f>
        <v/>
      </c>
      <c r="J142" s="17" t="str">
        <f aca="false">IF(INDEX(選手一覧!$I$7:$I$2738,$F142)="","",INDEX(選手一覧!$I$7:$I$2738,$F142))</f>
        <v/>
      </c>
    </row>
    <row r="143" customFormat="false" ht="15" hidden="false" customHeight="false" outlineLevel="0" collapsed="false">
      <c r="A143" s="17" t="n">
        <v>139</v>
      </c>
      <c r="B143" s="12" t="s">
        <v>119</v>
      </c>
      <c r="C143" s="12" t="s">
        <v>120</v>
      </c>
      <c r="D143" s="16" t="n">
        <v>0.00276203703703704</v>
      </c>
      <c r="E143" s="15" t="n">
        <f aca="false">ROUND((D143-$D$5)*86400,2)</f>
        <v>13.61</v>
      </c>
      <c r="F143" s="17" t="n">
        <v>47</v>
      </c>
      <c r="G143" s="16" t="n">
        <f aca="false">IF(INDEX(選手一覧!$D$7:$D$2738,$F143)="","",INDEX(選手一覧!$D$7:$D$2738,$F143))</f>
        <v>0.0100947916666667</v>
      </c>
      <c r="H143" s="17" t="n">
        <f aca="false">IF(INDEX(選手一覧!$E$7:$E$2738,$F143)="","",INDEX(選手一覧!$E$7:$E$2738,$F143))</f>
        <v>48</v>
      </c>
      <c r="I143" s="16" t="str">
        <f aca="false">IF(INDEX(選手一覧!$H$7:$H$2738,$F143)="","",INDEX(選手一覧!$H$7:$H$2738,$F143))</f>
        <v/>
      </c>
      <c r="J143" s="17" t="str">
        <f aca="false">IF(INDEX(選手一覧!$I$7:$I$2738,$F143)="","",INDEX(選手一覧!$I$7:$I$2738,$F143))</f>
        <v/>
      </c>
    </row>
    <row r="144" customFormat="false" ht="15" hidden="false" customHeight="false" outlineLevel="0" collapsed="false">
      <c r="A144" s="17" t="n">
        <v>140</v>
      </c>
      <c r="B144" s="12" t="s">
        <v>194</v>
      </c>
      <c r="C144" s="12" t="s">
        <v>195</v>
      </c>
      <c r="D144" s="16" t="n">
        <v>0.00276203703703704</v>
      </c>
      <c r="E144" s="15" t="n">
        <f aca="false">ROUND((D144-$D$5)*86400,2)</f>
        <v>13.61</v>
      </c>
      <c r="F144" s="17" t="n">
        <v>86</v>
      </c>
      <c r="G144" s="16" t="n">
        <f aca="false">IF(INDEX(選手一覧!$D$7:$D$2738,$F144)="","",INDEX(選手一覧!$D$7:$D$2738,$F144))</f>
        <v>0.0101858796296296</v>
      </c>
      <c r="H144" s="17" t="n">
        <f aca="false">IF(INDEX(選手一覧!$E$7:$E$2738,$F144)="","",INDEX(選手一覧!$E$7:$E$2738,$F144))</f>
        <v>87</v>
      </c>
      <c r="I144" s="16" t="str">
        <f aca="false">IF(INDEX(選手一覧!$H$7:$H$2738,$F144)="","",INDEX(選手一覧!$H$7:$H$2738,$F144))</f>
        <v/>
      </c>
      <c r="J144" s="17" t="str">
        <f aca="false">IF(INDEX(選手一覧!$I$7:$I$2738,$F144)="","",INDEX(選手一覧!$I$7:$I$2738,$F144))</f>
        <v/>
      </c>
    </row>
    <row r="145" customFormat="false" ht="15" hidden="false" customHeight="false" outlineLevel="0" collapsed="false">
      <c r="A145" s="17" t="n">
        <v>141</v>
      </c>
      <c r="B145" s="12" t="s">
        <v>884</v>
      </c>
      <c r="C145" s="12" t="s">
        <v>4770</v>
      </c>
      <c r="D145" s="16" t="n">
        <v>0.00276284722222222</v>
      </c>
      <c r="E145" s="15" t="n">
        <f aca="false">ROUND((D145-$D$5)*86400,2)</f>
        <v>13.68</v>
      </c>
      <c r="F145" s="17" t="n">
        <v>503</v>
      </c>
      <c r="G145" s="16" t="n">
        <f aca="false">IF(INDEX(選手一覧!$D$7:$D$2738,$F145)="","",INDEX(選手一覧!$D$7:$D$2738,$F145))</f>
        <v>0.0106296296296296</v>
      </c>
      <c r="H145" s="17" t="n">
        <f aca="false">IF(INDEX(選手一覧!$E$7:$E$2738,$F145)="","",INDEX(選手一覧!$E$7:$E$2738,$F145))</f>
        <v>504</v>
      </c>
      <c r="I145" s="16" t="str">
        <f aca="false">IF(INDEX(選手一覧!$H$7:$H$2738,$F145)="","",INDEX(選手一覧!$H$7:$H$2738,$F145))</f>
        <v/>
      </c>
      <c r="J145" s="17" t="str">
        <f aca="false">IF(INDEX(選手一覧!$I$7:$I$2738,$F145)="","",INDEX(選手一覧!$I$7:$I$2738,$F145))</f>
        <v/>
      </c>
    </row>
    <row r="146" customFormat="false" ht="15" hidden="false" customHeight="false" outlineLevel="0" collapsed="false">
      <c r="A146" s="17" t="n">
        <v>142</v>
      </c>
      <c r="B146" s="12" t="s">
        <v>305</v>
      </c>
      <c r="C146" s="12" t="s">
        <v>51</v>
      </c>
      <c r="D146" s="16" t="n">
        <v>0.0027630787037037</v>
      </c>
      <c r="E146" s="15" t="n">
        <f aca="false">ROUND((D146-$D$5)*86400,2)</f>
        <v>13.7</v>
      </c>
      <c r="F146" s="17" t="n">
        <v>146</v>
      </c>
      <c r="G146" s="16" t="n">
        <f aca="false">IF(INDEX(選手一覧!$D$7:$D$2738,$F146)="","",INDEX(選手一覧!$D$7:$D$2738,$F146))</f>
        <v>0.0102784722222222</v>
      </c>
      <c r="H146" s="17" t="n">
        <f aca="false">IF(INDEX(選手一覧!$E$7:$E$2738,$F146)="","",INDEX(選手一覧!$E$7:$E$2738,$F146))</f>
        <v>147</v>
      </c>
      <c r="I146" s="16" t="n">
        <f aca="false">IF(INDEX(選手一覧!$H$7:$H$2738,$F146)="","",INDEX(選手一覧!$H$7:$H$2738,$F146))</f>
        <v>0.00638402777777778</v>
      </c>
      <c r="J146" s="17" t="n">
        <f aca="false">IF(INDEX(選手一覧!$I$7:$I$2738,$F146)="","",INDEX(選手一覧!$I$7:$I$2738,$F146))</f>
        <v>12</v>
      </c>
    </row>
    <row r="147" customFormat="false" ht="15" hidden="false" customHeight="false" outlineLevel="0" collapsed="false">
      <c r="A147" s="17" t="n">
        <v>143</v>
      </c>
      <c r="B147" s="12" t="s">
        <v>462</v>
      </c>
      <c r="C147" s="12" t="s">
        <v>463</v>
      </c>
      <c r="D147" s="16" t="n">
        <v>0.00276319444444444</v>
      </c>
      <c r="E147" s="15" t="n">
        <f aca="false">ROUND((D147-$D$5)*86400,2)</f>
        <v>13.71</v>
      </c>
      <c r="F147" s="17" t="n">
        <v>236</v>
      </c>
      <c r="G147" s="16" t="n">
        <f aca="false">IF(INDEX(選手一覧!$D$7:$D$2738,$F147)="","",INDEX(選手一覧!$D$7:$D$2738,$F147))</f>
        <v>0.0103766203703704</v>
      </c>
      <c r="H147" s="17" t="n">
        <f aca="false">IF(INDEX(選手一覧!$E$7:$E$2738,$F147)="","",INDEX(選手一覧!$E$7:$E$2738,$F147))</f>
        <v>237</v>
      </c>
      <c r="I147" s="16" t="str">
        <f aca="false">IF(INDEX(選手一覧!$H$7:$H$2738,$F147)="","",INDEX(選手一覧!$H$7:$H$2738,$F147))</f>
        <v/>
      </c>
      <c r="J147" s="17" t="str">
        <f aca="false">IF(INDEX(選手一覧!$I$7:$I$2738,$F147)="","",INDEX(選手一覧!$I$7:$I$2738,$F147))</f>
        <v/>
      </c>
    </row>
    <row r="148" customFormat="false" ht="15" hidden="false" customHeight="false" outlineLevel="0" collapsed="false">
      <c r="A148" s="17" t="n">
        <v>144</v>
      </c>
      <c r="B148" s="12" t="s">
        <v>516</v>
      </c>
      <c r="C148" s="12" t="s">
        <v>54</v>
      </c>
      <c r="D148" s="16" t="n">
        <v>0.00276331018518519</v>
      </c>
      <c r="E148" s="15" t="n">
        <f aca="false">ROUND((D148-$D$5)*86400,2)</f>
        <v>13.72</v>
      </c>
      <c r="F148" s="17" t="n">
        <v>271</v>
      </c>
      <c r="G148" s="16" t="n">
        <f aca="false">IF(INDEX(選手一覧!$D$7:$D$2738,$F148)="","",INDEX(選手一覧!$D$7:$D$2738,$F148))</f>
        <v>0.0104083333333333</v>
      </c>
      <c r="H148" s="17" t="n">
        <f aca="false">IF(INDEX(選手一覧!$E$7:$E$2738,$F148)="","",INDEX(選手一覧!$E$7:$E$2738,$F148))</f>
        <v>272</v>
      </c>
      <c r="I148" s="16" t="str">
        <f aca="false">IF(INDEX(選手一覧!$H$7:$H$2738,$F148)="","",INDEX(選手一覧!$H$7:$H$2738,$F148))</f>
        <v/>
      </c>
      <c r="J148" s="17" t="str">
        <f aca="false">IF(INDEX(選手一覧!$I$7:$I$2738,$F148)="","",INDEX(選手一覧!$I$7:$I$2738,$F148))</f>
        <v/>
      </c>
    </row>
    <row r="149" customFormat="false" ht="15" hidden="false" customHeight="false" outlineLevel="0" collapsed="false">
      <c r="A149" s="17" t="n">
        <v>145</v>
      </c>
      <c r="B149" s="12" t="s">
        <v>2078</v>
      </c>
      <c r="C149" s="12" t="s">
        <v>4479</v>
      </c>
      <c r="D149" s="16" t="n">
        <v>0.00276412037037037</v>
      </c>
      <c r="E149" s="15" t="n">
        <f aca="false">ROUND((D149-$D$5)*86400,2)</f>
        <v>13.79</v>
      </c>
      <c r="F149" s="17" t="n">
        <v>1317</v>
      </c>
      <c r="G149" s="16" t="str">
        <f aca="false">IF(INDEX(選手一覧!$D$7:$D$2738,$F149)="","",INDEX(選手一覧!$D$7:$D$2738,$F149))</f>
        <v/>
      </c>
      <c r="H149" s="17" t="str">
        <f aca="false">IF(INDEX(選手一覧!$E$7:$E$2738,$F149)="","",INDEX(選手一覧!$E$7:$E$2738,$F149))</f>
        <v/>
      </c>
      <c r="I149" s="16" t="n">
        <f aca="false">IF(INDEX(選手一覧!$H$7:$H$2738,$F149)="","",INDEX(選手一覧!$H$7:$H$2738,$F149))</f>
        <v>0.00771712962962963</v>
      </c>
      <c r="J149" s="17" t="n">
        <f aca="false">IF(INDEX(選手一覧!$I$7:$I$2738,$F149)="","",INDEX(選手一覧!$I$7:$I$2738,$F149))</f>
        <v>1084</v>
      </c>
    </row>
    <row r="150" customFormat="false" ht="15" hidden="false" customHeight="false" outlineLevel="0" collapsed="false">
      <c r="A150" s="17" t="n">
        <v>146</v>
      </c>
      <c r="B150" s="12" t="s">
        <v>520</v>
      </c>
      <c r="C150" s="12" t="s">
        <v>94</v>
      </c>
      <c r="D150" s="16" t="n">
        <v>0.00276446759259259</v>
      </c>
      <c r="E150" s="15" t="n">
        <f aca="false">ROUND((D150-$D$5)*86400,2)</f>
        <v>13.82</v>
      </c>
      <c r="F150" s="17" t="n">
        <v>274</v>
      </c>
      <c r="G150" s="16" t="n">
        <f aca="false">IF(INDEX(選手一覧!$D$7:$D$2738,$F150)="","",INDEX(選手一覧!$D$7:$D$2738,$F150))</f>
        <v>0.0104099537037037</v>
      </c>
      <c r="H150" s="17" t="n">
        <f aca="false">IF(INDEX(選手一覧!$E$7:$E$2738,$F150)="","",INDEX(選手一覧!$E$7:$E$2738,$F150))</f>
        <v>275</v>
      </c>
      <c r="I150" s="16" t="str">
        <f aca="false">IF(INDEX(選手一覧!$H$7:$H$2738,$F150)="","",INDEX(選手一覧!$H$7:$H$2738,$F150))</f>
        <v/>
      </c>
      <c r="J150" s="17" t="str">
        <f aca="false">IF(INDEX(選手一覧!$I$7:$I$2738,$F150)="","",INDEX(選手一覧!$I$7:$I$2738,$F150))</f>
        <v/>
      </c>
    </row>
    <row r="151" customFormat="false" ht="15" hidden="false" customHeight="false" outlineLevel="0" collapsed="false">
      <c r="A151" s="17" t="n">
        <v>147</v>
      </c>
      <c r="B151" s="12" t="s">
        <v>425</v>
      </c>
      <c r="C151" s="12" t="s">
        <v>157</v>
      </c>
      <c r="D151" s="16" t="n">
        <v>0.00276469907407407</v>
      </c>
      <c r="E151" s="15" t="n">
        <f aca="false">ROUND((D151-$D$5)*86400,2)</f>
        <v>13.84</v>
      </c>
      <c r="F151" s="17" t="n">
        <v>216</v>
      </c>
      <c r="G151" s="16" t="n">
        <f aca="false">IF(INDEX(選手一覧!$D$7:$D$2738,$F151)="","",INDEX(選手一覧!$D$7:$D$2738,$F151))</f>
        <v>0.0103599537037037</v>
      </c>
      <c r="H151" s="17" t="n">
        <f aca="false">IF(INDEX(選手一覧!$E$7:$E$2738,$F151)="","",INDEX(選手一覧!$E$7:$E$2738,$F151))</f>
        <v>217</v>
      </c>
      <c r="I151" s="16" t="str">
        <f aca="false">IF(INDEX(選手一覧!$H$7:$H$2738,$F151)="","",INDEX(選手一覧!$H$7:$H$2738,$F151))</f>
        <v/>
      </c>
      <c r="J151" s="17" t="str">
        <f aca="false">IF(INDEX(選手一覧!$I$7:$I$2738,$F151)="","",INDEX(選手一覧!$I$7:$I$2738,$F151))</f>
        <v/>
      </c>
    </row>
    <row r="152" customFormat="false" ht="15" hidden="false" customHeight="false" outlineLevel="0" collapsed="false">
      <c r="A152" s="17" t="n">
        <v>148</v>
      </c>
      <c r="B152" s="12" t="s">
        <v>1089</v>
      </c>
      <c r="C152" s="12" t="s">
        <v>40</v>
      </c>
      <c r="D152" s="16" t="n">
        <v>0.00276481481481482</v>
      </c>
      <c r="E152" s="15" t="n">
        <f aca="false">ROUND((D152-$D$5)*86400,2)</f>
        <v>13.85</v>
      </c>
      <c r="F152" s="17" t="n">
        <v>642</v>
      </c>
      <c r="G152" s="16" t="n">
        <f aca="false">IF(INDEX(選手一覧!$D$7:$D$2738,$F152)="","",INDEX(選手一覧!$D$7:$D$2738,$F152))</f>
        <v>0.0107357638888889</v>
      </c>
      <c r="H152" s="17" t="n">
        <f aca="false">IF(INDEX(選手一覧!$E$7:$E$2738,$F152)="","",INDEX(選手一覧!$E$7:$E$2738,$F152))</f>
        <v>643</v>
      </c>
      <c r="I152" s="16" t="str">
        <f aca="false">IF(INDEX(選手一覧!$H$7:$H$2738,$F152)="","",INDEX(選手一覧!$H$7:$H$2738,$F152))</f>
        <v/>
      </c>
      <c r="J152" s="17" t="str">
        <f aca="false">IF(INDEX(選手一覧!$I$7:$I$2738,$F152)="","",INDEX(選手一覧!$I$7:$I$2738,$F152))</f>
        <v/>
      </c>
    </row>
    <row r="153" customFormat="false" ht="15" hidden="false" customHeight="false" outlineLevel="0" collapsed="false">
      <c r="A153" s="17" t="n">
        <v>149</v>
      </c>
      <c r="B153" s="12" t="s">
        <v>403</v>
      </c>
      <c r="C153" s="12" t="s">
        <v>290</v>
      </c>
      <c r="D153" s="16" t="n">
        <v>0.00276481481481482</v>
      </c>
      <c r="E153" s="15" t="n">
        <f aca="false">ROUND((D153-$D$5)*86400,2)</f>
        <v>13.85</v>
      </c>
      <c r="F153" s="17" t="n">
        <v>202</v>
      </c>
      <c r="G153" s="16" t="n">
        <f aca="false">IF(INDEX(選手一覧!$D$7:$D$2738,$F153)="","",INDEX(選手一覧!$D$7:$D$2738,$F153))</f>
        <v>0.0103505787037037</v>
      </c>
      <c r="H153" s="17" t="n">
        <f aca="false">IF(INDEX(選手一覧!$E$7:$E$2738,$F153)="","",INDEX(選手一覧!$E$7:$E$2738,$F153))</f>
        <v>203</v>
      </c>
      <c r="I153" s="16" t="n">
        <f aca="false">IF(INDEX(選手一覧!$H$7:$H$2738,$F153)="","",INDEX(選手一覧!$H$7:$H$2738,$F153))</f>
        <v>0.00669953703703704</v>
      </c>
      <c r="J153" s="17" t="n">
        <f aca="false">IF(INDEX(選手一覧!$I$7:$I$2738,$F153)="","",INDEX(選手一覧!$I$7:$I$2738,$F153))</f>
        <v>107</v>
      </c>
    </row>
    <row r="154" customFormat="false" ht="15" hidden="false" customHeight="false" outlineLevel="0" collapsed="false">
      <c r="A154" s="17" t="n">
        <v>150</v>
      </c>
      <c r="B154" s="12" t="s">
        <v>1200</v>
      </c>
      <c r="C154" s="12" t="s">
        <v>167</v>
      </c>
      <c r="D154" s="16" t="n">
        <v>0.00276516203703704</v>
      </c>
      <c r="E154" s="15" t="n">
        <f aca="false">ROUND((D154-$D$5)*86400,2)</f>
        <v>13.88</v>
      </c>
      <c r="F154" s="17" t="n">
        <v>713</v>
      </c>
      <c r="G154" s="16" t="n">
        <f aca="false">IF(INDEX(選手一覧!$D$7:$D$2738,$F154)="","",INDEX(選手一覧!$D$7:$D$2738,$F154))</f>
        <v>0.0107869212962963</v>
      </c>
      <c r="H154" s="17" t="n">
        <f aca="false">IF(INDEX(選手一覧!$E$7:$E$2738,$F154)="","",INDEX(選手一覧!$E$7:$E$2738,$F154))</f>
        <v>714</v>
      </c>
      <c r="I154" s="16" t="str">
        <f aca="false">IF(INDEX(選手一覧!$H$7:$H$2738,$F154)="","",INDEX(選手一覧!$H$7:$H$2738,$F154))</f>
        <v/>
      </c>
      <c r="J154" s="17" t="str">
        <f aca="false">IF(INDEX(選手一覧!$I$7:$I$2738,$F154)="","",INDEX(選手一覧!$I$7:$I$2738,$F154))</f>
        <v/>
      </c>
    </row>
    <row r="155" customFormat="false" ht="15" hidden="false" customHeight="false" outlineLevel="0" collapsed="false">
      <c r="A155" s="17" t="n">
        <v>151</v>
      </c>
      <c r="B155" s="12" t="s">
        <v>1019</v>
      </c>
      <c r="C155" s="12" t="s">
        <v>875</v>
      </c>
      <c r="D155" s="16" t="n">
        <v>0.00276585648148148</v>
      </c>
      <c r="E155" s="15" t="n">
        <f aca="false">ROUND((D155-$D$5)*86400,2)</f>
        <v>13.94</v>
      </c>
      <c r="F155" s="17" t="n">
        <v>589</v>
      </c>
      <c r="G155" s="16" t="n">
        <f aca="false">IF(INDEX(選手一覧!$D$7:$D$2738,$F155)="","",INDEX(選手一覧!$D$7:$D$2738,$F155))</f>
        <v>0.01070625</v>
      </c>
      <c r="H155" s="17" t="n">
        <f aca="false">IF(INDEX(選手一覧!$E$7:$E$2738,$F155)="","",INDEX(選手一覧!$E$7:$E$2738,$F155))</f>
        <v>590</v>
      </c>
      <c r="I155" s="16" t="str">
        <f aca="false">IF(INDEX(選手一覧!$H$7:$H$2738,$F155)="","",INDEX(選手一覧!$H$7:$H$2738,$F155))</f>
        <v/>
      </c>
      <c r="J155" s="17" t="str">
        <f aca="false">IF(INDEX(選手一覧!$I$7:$I$2738,$F155)="","",INDEX(選手一覧!$I$7:$I$2738,$F155))</f>
        <v/>
      </c>
    </row>
    <row r="156" customFormat="false" ht="15" hidden="false" customHeight="false" outlineLevel="0" collapsed="false">
      <c r="A156" s="17" t="n">
        <v>152</v>
      </c>
      <c r="B156" s="12" t="s">
        <v>272</v>
      </c>
      <c r="C156" s="12" t="s">
        <v>273</v>
      </c>
      <c r="D156" s="16" t="n">
        <v>0.00276655092592593</v>
      </c>
      <c r="E156" s="15" t="n">
        <f aca="false">ROUND((D156-$D$5)*86400,2)</f>
        <v>14</v>
      </c>
      <c r="F156" s="17" t="n">
        <v>128</v>
      </c>
      <c r="G156" s="16" t="n">
        <f aca="false">IF(INDEX(選手一覧!$D$7:$D$2738,$F156)="","",INDEX(選手一覧!$D$7:$D$2738,$F156))</f>
        <v>0.0102574074074074</v>
      </c>
      <c r="H156" s="17" t="n">
        <f aca="false">IF(INDEX(選手一覧!$E$7:$E$2738,$F156)="","",INDEX(選手一覧!$E$7:$E$2738,$F156))</f>
        <v>129</v>
      </c>
      <c r="I156" s="16" t="str">
        <f aca="false">IF(INDEX(選手一覧!$H$7:$H$2738,$F156)="","",INDEX(選手一覧!$H$7:$H$2738,$F156))</f>
        <v/>
      </c>
      <c r="J156" s="17" t="str">
        <f aca="false">IF(INDEX(選手一覧!$I$7:$I$2738,$F156)="","",INDEX(選手一覧!$I$7:$I$2738,$F156))</f>
        <v/>
      </c>
    </row>
    <row r="157" customFormat="false" ht="15" hidden="false" customHeight="false" outlineLevel="0" collapsed="false">
      <c r="A157" s="17" t="n">
        <v>153</v>
      </c>
      <c r="B157" s="12" t="s">
        <v>106</v>
      </c>
      <c r="C157" s="12" t="s">
        <v>107</v>
      </c>
      <c r="D157" s="16" t="n">
        <v>0.00276655092592593</v>
      </c>
      <c r="E157" s="15" t="n">
        <f aca="false">ROUND((D157-$D$5)*86400,2)</f>
        <v>14</v>
      </c>
      <c r="F157" s="17" t="n">
        <v>40</v>
      </c>
      <c r="G157" s="16" t="n">
        <f aca="false">IF(INDEX(選手一覧!$D$7:$D$2738,$F157)="","",INDEX(選手一覧!$D$7:$D$2738,$F157))</f>
        <v>0.0100755787037037</v>
      </c>
      <c r="H157" s="17" t="n">
        <f aca="false">IF(INDEX(選手一覧!$E$7:$E$2738,$F157)="","",INDEX(選手一覧!$E$7:$E$2738,$F157))</f>
        <v>41</v>
      </c>
      <c r="I157" s="16" t="str">
        <f aca="false">IF(INDEX(選手一覧!$H$7:$H$2738,$F157)="","",INDEX(選手一覧!$H$7:$H$2738,$F157))</f>
        <v/>
      </c>
      <c r="J157" s="17" t="str">
        <f aca="false">IF(INDEX(選手一覧!$I$7:$I$2738,$F157)="","",INDEX(選手一覧!$I$7:$I$2738,$F157))</f>
        <v/>
      </c>
    </row>
    <row r="158" customFormat="false" ht="15" hidden="false" customHeight="false" outlineLevel="0" collapsed="false">
      <c r="A158" s="17" t="n">
        <v>154</v>
      </c>
      <c r="B158" s="12" t="s">
        <v>661</v>
      </c>
      <c r="C158" s="12" t="s">
        <v>61</v>
      </c>
      <c r="D158" s="16" t="n">
        <v>0.00276666666666667</v>
      </c>
      <c r="E158" s="15" t="n">
        <f aca="false">ROUND((D158-$D$5)*86400,2)</f>
        <v>14.01</v>
      </c>
      <c r="F158" s="17" t="n">
        <v>361</v>
      </c>
      <c r="G158" s="16" t="n">
        <f aca="false">IF(INDEX(選手一覧!$D$7:$D$2738,$F158)="","",INDEX(選手一覧!$D$7:$D$2738,$F158))</f>
        <v>0.0105172453703704</v>
      </c>
      <c r="H158" s="17" t="n">
        <f aca="false">IF(INDEX(選手一覧!$E$7:$E$2738,$F158)="","",INDEX(選手一覧!$E$7:$E$2738,$F158))</f>
        <v>362</v>
      </c>
      <c r="I158" s="16" t="str">
        <f aca="false">IF(INDEX(選手一覧!$H$7:$H$2738,$F158)="","",INDEX(選手一覧!$H$7:$H$2738,$F158))</f>
        <v/>
      </c>
      <c r="J158" s="17" t="str">
        <f aca="false">IF(INDEX(選手一覧!$I$7:$I$2738,$F158)="","",INDEX(選手一覧!$I$7:$I$2738,$F158))</f>
        <v/>
      </c>
    </row>
    <row r="159" customFormat="false" ht="15" hidden="false" customHeight="false" outlineLevel="0" collapsed="false">
      <c r="A159" s="17" t="n">
        <v>155</v>
      </c>
      <c r="B159" s="12" t="s">
        <v>1173</v>
      </c>
      <c r="C159" s="12" t="s">
        <v>525</v>
      </c>
      <c r="D159" s="16" t="n">
        <v>0.00276678240740741</v>
      </c>
      <c r="E159" s="15" t="n">
        <f aca="false">ROUND((D159-$D$5)*86400,2)</f>
        <v>14.02</v>
      </c>
      <c r="F159" s="17" t="n">
        <v>696</v>
      </c>
      <c r="G159" s="16" t="n">
        <f aca="false">IF(INDEX(選手一覧!$D$7:$D$2738,$F159)="","",INDEX(選手一覧!$D$7:$D$2738,$F159))</f>
        <v>0.0107707175925926</v>
      </c>
      <c r="H159" s="17" t="n">
        <f aca="false">IF(INDEX(選手一覧!$E$7:$E$2738,$F159)="","",INDEX(選手一覧!$E$7:$E$2738,$F159))</f>
        <v>697</v>
      </c>
      <c r="I159" s="16" t="str">
        <f aca="false">IF(INDEX(選手一覧!$H$7:$H$2738,$F159)="","",INDEX(選手一覧!$H$7:$H$2738,$F159))</f>
        <v/>
      </c>
      <c r="J159" s="17" t="str">
        <f aca="false">IF(INDEX(選手一覧!$I$7:$I$2738,$F159)="","",INDEX(選手一覧!$I$7:$I$2738,$F159))</f>
        <v/>
      </c>
    </row>
    <row r="160" customFormat="false" ht="15" hidden="false" customHeight="false" outlineLevel="0" collapsed="false">
      <c r="A160" s="17" t="n">
        <v>156</v>
      </c>
      <c r="B160" s="12" t="s">
        <v>547</v>
      </c>
      <c r="C160" s="12" t="s">
        <v>548</v>
      </c>
      <c r="D160" s="16" t="n">
        <v>0.00276736111111111</v>
      </c>
      <c r="E160" s="15" t="n">
        <f aca="false">ROUND((D160-$D$5)*86400,2)</f>
        <v>14.07</v>
      </c>
      <c r="F160" s="17" t="n">
        <v>291</v>
      </c>
      <c r="G160" s="16" t="n">
        <f aca="false">IF(INDEX(選手一覧!$D$7:$D$2738,$F160)="","",INDEX(選手一覧!$D$7:$D$2738,$F160))</f>
        <v>0.0104265046296296</v>
      </c>
      <c r="H160" s="17" t="n">
        <f aca="false">IF(INDEX(選手一覧!$E$7:$E$2738,$F160)="","",INDEX(選手一覧!$E$7:$E$2738,$F160))</f>
        <v>292</v>
      </c>
      <c r="I160" s="16" t="str">
        <f aca="false">IF(INDEX(選手一覧!$H$7:$H$2738,$F160)="","",INDEX(選手一覧!$H$7:$H$2738,$F160))</f>
        <v/>
      </c>
      <c r="J160" s="17" t="str">
        <f aca="false">IF(INDEX(選手一覧!$I$7:$I$2738,$F160)="","",INDEX(選手一覧!$I$7:$I$2738,$F160))</f>
        <v/>
      </c>
    </row>
    <row r="161" customFormat="false" ht="15" hidden="false" customHeight="false" outlineLevel="0" collapsed="false">
      <c r="A161" s="17" t="n">
        <v>157</v>
      </c>
      <c r="B161" s="12" t="s">
        <v>2083</v>
      </c>
      <c r="C161" s="12" t="s">
        <v>1843</v>
      </c>
      <c r="D161" s="16" t="n">
        <v>0.00276805555555556</v>
      </c>
      <c r="E161" s="15" t="n">
        <f aca="false">ROUND((D161-$D$5)*86400,2)</f>
        <v>14.13</v>
      </c>
      <c r="F161" s="17" t="n">
        <v>1321</v>
      </c>
      <c r="G161" s="16" t="str">
        <f aca="false">IF(INDEX(選手一覧!$D$7:$D$2738,$F161)="","",INDEX(選手一覧!$D$7:$D$2738,$F161))</f>
        <v/>
      </c>
      <c r="H161" s="17" t="str">
        <f aca="false">IF(INDEX(選手一覧!$E$7:$E$2738,$F161)="","",INDEX(選手一覧!$E$7:$E$2738,$F161))</f>
        <v/>
      </c>
      <c r="I161" s="16" t="str">
        <f aca="false">IF(INDEX(選手一覧!$H$7:$H$2738,$F161)="","",INDEX(選手一覧!$H$7:$H$2738,$F161))</f>
        <v/>
      </c>
      <c r="J161" s="17" t="str">
        <f aca="false">IF(INDEX(選手一覧!$I$7:$I$2738,$F161)="","",INDEX(選手一覧!$I$7:$I$2738,$F161))</f>
        <v/>
      </c>
    </row>
    <row r="162" customFormat="false" ht="15" hidden="false" customHeight="false" outlineLevel="0" collapsed="false">
      <c r="A162" s="17" t="n">
        <v>158</v>
      </c>
      <c r="B162" s="12" t="s">
        <v>274</v>
      </c>
      <c r="C162" s="12" t="s">
        <v>4771</v>
      </c>
      <c r="D162" s="16" t="n">
        <v>0.0027681712962963</v>
      </c>
      <c r="E162" s="15" t="n">
        <f aca="false">ROUND((D162-$D$5)*86400,2)</f>
        <v>14.14</v>
      </c>
      <c r="F162" s="17" t="n">
        <v>129</v>
      </c>
      <c r="G162" s="16" t="n">
        <f aca="false">IF(INDEX(選手一覧!$D$7:$D$2738,$F162)="","",INDEX(選手一覧!$D$7:$D$2738,$F162))</f>
        <v>0.0102626157407407</v>
      </c>
      <c r="H162" s="17" t="n">
        <f aca="false">IF(INDEX(選手一覧!$E$7:$E$2738,$F162)="","",INDEX(選手一覧!$E$7:$E$2738,$F162))</f>
        <v>130</v>
      </c>
      <c r="I162" s="16" t="str">
        <f aca="false">IF(INDEX(選手一覧!$H$7:$H$2738,$F162)="","",INDEX(選手一覧!$H$7:$H$2738,$F162))</f>
        <v/>
      </c>
      <c r="J162" s="17" t="str">
        <f aca="false">IF(INDEX(選手一覧!$I$7:$I$2738,$F162)="","",INDEX(選手一覧!$I$7:$I$2738,$F162))</f>
        <v/>
      </c>
    </row>
    <row r="163" customFormat="false" ht="15" hidden="false" customHeight="false" outlineLevel="0" collapsed="false">
      <c r="A163" s="17" t="n">
        <v>159</v>
      </c>
      <c r="B163" s="12" t="s">
        <v>546</v>
      </c>
      <c r="C163" s="12" t="s">
        <v>145</v>
      </c>
      <c r="D163" s="16" t="n">
        <v>0.00276944444444445</v>
      </c>
      <c r="E163" s="15" t="n">
        <f aca="false">ROUND((D163-$D$5)*86400,2)</f>
        <v>14.25</v>
      </c>
      <c r="F163" s="17" t="n">
        <v>290</v>
      </c>
      <c r="G163" s="16" t="n">
        <f aca="false">IF(INDEX(選手一覧!$D$7:$D$2738,$F163)="","",INDEX(選手一覧!$D$7:$D$2738,$F163))</f>
        <v>0.0104261574074074</v>
      </c>
      <c r="H163" s="17" t="n">
        <f aca="false">IF(INDEX(選手一覧!$E$7:$E$2738,$F163)="","",INDEX(選手一覧!$E$7:$E$2738,$F163))</f>
        <v>291</v>
      </c>
      <c r="I163" s="16" t="str">
        <f aca="false">IF(INDEX(選手一覧!$H$7:$H$2738,$F163)="","",INDEX(選手一覧!$H$7:$H$2738,$F163))</f>
        <v/>
      </c>
      <c r="J163" s="17" t="str">
        <f aca="false">IF(INDEX(選手一覧!$I$7:$I$2738,$F163)="","",INDEX(選手一覧!$I$7:$I$2738,$F163))</f>
        <v/>
      </c>
    </row>
    <row r="164" customFormat="false" ht="15" hidden="false" customHeight="false" outlineLevel="0" collapsed="false">
      <c r="A164" s="17" t="n">
        <v>160</v>
      </c>
      <c r="B164" s="12" t="s">
        <v>2086</v>
      </c>
      <c r="C164" s="12" t="s">
        <v>1315</v>
      </c>
      <c r="D164" s="16" t="n">
        <v>0.00276979166666667</v>
      </c>
      <c r="E164" s="15" t="n">
        <f aca="false">ROUND((D164-$D$5)*86400,2)</f>
        <v>14.28</v>
      </c>
      <c r="F164" s="17" t="n">
        <v>1323</v>
      </c>
      <c r="G164" s="16" t="str">
        <f aca="false">IF(INDEX(選手一覧!$D$7:$D$2738,$F164)="","",INDEX(選手一覧!$D$7:$D$2738,$F164))</f>
        <v/>
      </c>
      <c r="H164" s="17" t="str">
        <f aca="false">IF(INDEX(選手一覧!$E$7:$E$2738,$F164)="","",INDEX(選手一覧!$E$7:$E$2738,$F164))</f>
        <v/>
      </c>
      <c r="I164" s="16" t="str">
        <f aca="false">IF(INDEX(選手一覧!$H$7:$H$2738,$F164)="","",INDEX(選手一覧!$H$7:$H$2738,$F164))</f>
        <v/>
      </c>
      <c r="J164" s="17" t="str">
        <f aca="false">IF(INDEX(選手一覧!$I$7:$I$2738,$F164)="","",INDEX(選手一覧!$I$7:$I$2738,$F164))</f>
        <v/>
      </c>
    </row>
    <row r="165" customFormat="false" ht="15" hidden="false" customHeight="false" outlineLevel="0" collapsed="false">
      <c r="A165" s="17" t="n">
        <v>161</v>
      </c>
      <c r="B165" s="12" t="s">
        <v>132</v>
      </c>
      <c r="C165" s="12" t="s">
        <v>127</v>
      </c>
      <c r="D165" s="16" t="n">
        <v>0.00276990740740741</v>
      </c>
      <c r="E165" s="15" t="n">
        <f aca="false">ROUND((D165-$D$5)*86400,2)</f>
        <v>14.29</v>
      </c>
      <c r="F165" s="17" t="n">
        <v>53</v>
      </c>
      <c r="G165" s="16" t="n">
        <f aca="false">IF(INDEX(選手一覧!$D$7:$D$2738,$F165)="","",INDEX(選手一覧!$D$7:$D$2738,$F165))</f>
        <v>0.0101061342592593</v>
      </c>
      <c r="H165" s="17" t="n">
        <f aca="false">IF(INDEX(選手一覧!$E$7:$E$2738,$F165)="","",INDEX(選手一覧!$E$7:$E$2738,$F165))</f>
        <v>54</v>
      </c>
      <c r="I165" s="16" t="str">
        <f aca="false">IF(INDEX(選手一覧!$H$7:$H$2738,$F165)="","",INDEX(選手一覧!$H$7:$H$2738,$F165))</f>
        <v/>
      </c>
      <c r="J165" s="17" t="str">
        <f aca="false">IF(INDEX(選手一覧!$I$7:$I$2738,$F165)="","",INDEX(選手一覧!$I$7:$I$2738,$F165))</f>
        <v/>
      </c>
    </row>
    <row r="166" customFormat="false" ht="15" hidden="false" customHeight="false" outlineLevel="0" collapsed="false">
      <c r="A166" s="17" t="n">
        <v>162</v>
      </c>
      <c r="B166" s="12" t="s">
        <v>2089</v>
      </c>
      <c r="C166" s="12" t="s">
        <v>989</v>
      </c>
      <c r="D166" s="16" t="n">
        <v>0.00276990740740741</v>
      </c>
      <c r="E166" s="15" t="n">
        <f aca="false">ROUND((D166-$D$5)*86400,2)</f>
        <v>14.29</v>
      </c>
      <c r="F166" s="17" t="n">
        <v>1326</v>
      </c>
      <c r="G166" s="16" t="str">
        <f aca="false">IF(INDEX(選手一覧!$D$7:$D$2738,$F166)="","",INDEX(選手一覧!$D$7:$D$2738,$F166))</f>
        <v/>
      </c>
      <c r="H166" s="17" t="str">
        <f aca="false">IF(INDEX(選手一覧!$E$7:$E$2738,$F166)="","",INDEX(選手一覧!$E$7:$E$2738,$F166))</f>
        <v/>
      </c>
      <c r="I166" s="16" t="str">
        <f aca="false">IF(INDEX(選手一覧!$H$7:$H$2738,$F166)="","",INDEX(選手一覧!$H$7:$H$2738,$F166))</f>
        <v/>
      </c>
      <c r="J166" s="17" t="str">
        <f aca="false">IF(INDEX(選手一覧!$I$7:$I$2738,$F166)="","",INDEX(選手一覧!$I$7:$I$2738,$F166))</f>
        <v/>
      </c>
    </row>
    <row r="167" customFormat="false" ht="15" hidden="false" customHeight="false" outlineLevel="0" collapsed="false">
      <c r="A167" s="17" t="n">
        <v>163</v>
      </c>
      <c r="B167" s="12" t="s">
        <v>2090</v>
      </c>
      <c r="C167" s="12" t="s">
        <v>2091</v>
      </c>
      <c r="D167" s="16" t="n">
        <v>0.00276990740740741</v>
      </c>
      <c r="E167" s="15" t="n">
        <f aca="false">ROUND((D167-$D$5)*86400,2)</f>
        <v>14.29</v>
      </c>
      <c r="F167" s="17" t="n">
        <v>1327</v>
      </c>
      <c r="G167" s="16" t="str">
        <f aca="false">IF(INDEX(選手一覧!$D$7:$D$2738,$F167)="","",INDEX(選手一覧!$D$7:$D$2738,$F167))</f>
        <v/>
      </c>
      <c r="H167" s="17" t="str">
        <f aca="false">IF(INDEX(選手一覧!$E$7:$E$2738,$F167)="","",INDEX(選手一覧!$E$7:$E$2738,$F167))</f>
        <v/>
      </c>
      <c r="I167" s="16" t="str">
        <f aca="false">IF(INDEX(選手一覧!$H$7:$H$2738,$F167)="","",INDEX(選手一覧!$H$7:$H$2738,$F167))</f>
        <v/>
      </c>
      <c r="J167" s="17" t="str">
        <f aca="false">IF(INDEX(選手一覧!$I$7:$I$2738,$F167)="","",INDEX(選手一覧!$I$7:$I$2738,$F167))</f>
        <v/>
      </c>
    </row>
    <row r="168" customFormat="false" ht="15" hidden="false" customHeight="false" outlineLevel="0" collapsed="false">
      <c r="A168" s="17" t="n">
        <v>164</v>
      </c>
      <c r="B168" s="12" t="s">
        <v>823</v>
      </c>
      <c r="C168" s="12" t="s">
        <v>824</v>
      </c>
      <c r="D168" s="16" t="n">
        <v>0.00277002314814815</v>
      </c>
      <c r="E168" s="15" t="n">
        <f aca="false">ROUND((D168-$D$5)*86400,2)</f>
        <v>14.3</v>
      </c>
      <c r="F168" s="17" t="n">
        <v>465</v>
      </c>
      <c r="G168" s="16" t="n">
        <f aca="false">IF(INDEX(選手一覧!$D$7:$D$2738,$F168)="","",INDEX(選手一覧!$D$7:$D$2738,$F168))</f>
        <v>0.0106023148148148</v>
      </c>
      <c r="H168" s="17" t="n">
        <f aca="false">IF(INDEX(選手一覧!$E$7:$E$2738,$F168)="","",INDEX(選手一覧!$E$7:$E$2738,$F168))</f>
        <v>466</v>
      </c>
      <c r="I168" s="16" t="str">
        <f aca="false">IF(INDEX(選手一覧!$H$7:$H$2738,$F168)="","",INDEX(選手一覧!$H$7:$H$2738,$F168))</f>
        <v/>
      </c>
      <c r="J168" s="17" t="str">
        <f aca="false">IF(INDEX(選手一覧!$I$7:$I$2738,$F168)="","",INDEX(選手一覧!$I$7:$I$2738,$F168))</f>
        <v/>
      </c>
    </row>
    <row r="169" customFormat="false" ht="15" hidden="false" customHeight="false" outlineLevel="0" collapsed="false">
      <c r="A169" s="17" t="n">
        <v>165</v>
      </c>
      <c r="B169" s="12" t="s">
        <v>1097</v>
      </c>
      <c r="C169" s="12" t="s">
        <v>648</v>
      </c>
      <c r="D169" s="16" t="n">
        <v>0.002771875</v>
      </c>
      <c r="E169" s="15" t="n">
        <f aca="false">ROUND((D169-$D$5)*86400,2)</f>
        <v>14.46</v>
      </c>
      <c r="F169" s="17" t="n">
        <v>647</v>
      </c>
      <c r="G169" s="16" t="n">
        <f aca="false">IF(INDEX(選手一覧!$D$7:$D$2738,$F169)="","",INDEX(選手一覧!$D$7:$D$2738,$F169))</f>
        <v>0.0107372685185185</v>
      </c>
      <c r="H169" s="17" t="n">
        <f aca="false">IF(INDEX(選手一覧!$E$7:$E$2738,$F169)="","",INDEX(選手一覧!$E$7:$E$2738,$F169))</f>
        <v>648</v>
      </c>
      <c r="I169" s="16" t="str">
        <f aca="false">IF(INDEX(選手一覧!$H$7:$H$2738,$F169)="","",INDEX(選手一覧!$H$7:$H$2738,$F169))</f>
        <v/>
      </c>
      <c r="J169" s="17" t="str">
        <f aca="false">IF(INDEX(選手一覧!$I$7:$I$2738,$F169)="","",INDEX(選手一覧!$I$7:$I$2738,$F169))</f>
        <v/>
      </c>
    </row>
    <row r="170" customFormat="false" ht="15" hidden="false" customHeight="false" outlineLevel="0" collapsed="false">
      <c r="A170" s="17" t="n">
        <v>166</v>
      </c>
      <c r="B170" s="12" t="s">
        <v>731</v>
      </c>
      <c r="C170" s="12" t="s">
        <v>732</v>
      </c>
      <c r="D170" s="16" t="n">
        <v>0.00277222222222222</v>
      </c>
      <c r="E170" s="15" t="n">
        <f aca="false">ROUND((D170-$D$5)*86400,2)</f>
        <v>14.49</v>
      </c>
      <c r="F170" s="17" t="n">
        <v>406</v>
      </c>
      <c r="G170" s="16" t="n">
        <f aca="false">IF(INDEX(選手一覧!$D$7:$D$2738,$F170)="","",INDEX(選手一覧!$D$7:$D$2738,$F170))</f>
        <v>0.0105568287037037</v>
      </c>
      <c r="H170" s="17" t="n">
        <f aca="false">IF(INDEX(選手一覧!$E$7:$E$2738,$F170)="","",INDEX(選手一覧!$E$7:$E$2738,$F170))</f>
        <v>407</v>
      </c>
      <c r="I170" s="16" t="str">
        <f aca="false">IF(INDEX(選手一覧!$H$7:$H$2738,$F170)="","",INDEX(選手一覧!$H$7:$H$2738,$F170))</f>
        <v/>
      </c>
      <c r="J170" s="17" t="str">
        <f aca="false">IF(INDEX(選手一覧!$I$7:$I$2738,$F170)="","",INDEX(選手一覧!$I$7:$I$2738,$F170))</f>
        <v/>
      </c>
    </row>
    <row r="171" customFormat="false" ht="15" hidden="false" customHeight="false" outlineLevel="0" collapsed="false">
      <c r="A171" s="17" t="n">
        <v>167</v>
      </c>
      <c r="B171" s="12" t="s">
        <v>2092</v>
      </c>
      <c r="C171" s="12" t="s">
        <v>1510</v>
      </c>
      <c r="D171" s="16" t="n">
        <v>0.00277280092592593</v>
      </c>
      <c r="E171" s="15" t="n">
        <f aca="false">ROUND((D171-$D$5)*86400,2)</f>
        <v>14.54</v>
      </c>
      <c r="F171" s="17" t="n">
        <v>1328</v>
      </c>
      <c r="G171" s="16" t="str">
        <f aca="false">IF(INDEX(選手一覧!$D$7:$D$2738,$F171)="","",INDEX(選手一覧!$D$7:$D$2738,$F171))</f>
        <v/>
      </c>
      <c r="H171" s="17" t="str">
        <f aca="false">IF(INDEX(選手一覧!$E$7:$E$2738,$F171)="","",INDEX(選手一覧!$E$7:$E$2738,$F171))</f>
        <v/>
      </c>
      <c r="I171" s="16" t="str">
        <f aca="false">IF(INDEX(選手一覧!$H$7:$H$2738,$F171)="","",INDEX(選手一覧!$H$7:$H$2738,$F171))</f>
        <v/>
      </c>
      <c r="J171" s="17" t="str">
        <f aca="false">IF(INDEX(選手一覧!$I$7:$I$2738,$F171)="","",INDEX(選手一覧!$I$7:$I$2738,$F171))</f>
        <v/>
      </c>
    </row>
    <row r="172" customFormat="false" ht="15" hidden="false" customHeight="false" outlineLevel="0" collapsed="false">
      <c r="A172" s="17" t="n">
        <v>168</v>
      </c>
      <c r="B172" s="12" t="s">
        <v>354</v>
      </c>
      <c r="C172" s="12" t="s">
        <v>303</v>
      </c>
      <c r="D172" s="16" t="n">
        <v>0.00277326388888889</v>
      </c>
      <c r="E172" s="15" t="n">
        <f aca="false">ROUND((D172-$D$5)*86400,2)</f>
        <v>14.58</v>
      </c>
      <c r="F172" s="17" t="n">
        <v>171</v>
      </c>
      <c r="G172" s="16" t="n">
        <f aca="false">IF(INDEX(選手一覧!$D$7:$D$2738,$F172)="","",INDEX(選手一覧!$D$7:$D$2738,$F172))</f>
        <v>0.0103181712962963</v>
      </c>
      <c r="H172" s="17" t="n">
        <f aca="false">IF(INDEX(選手一覧!$E$7:$E$2738,$F172)="","",INDEX(選手一覧!$E$7:$E$2738,$F172))</f>
        <v>172</v>
      </c>
      <c r="I172" s="16" t="n">
        <f aca="false">IF(INDEX(選手一覧!$H$7:$H$2738,$F172)="","",INDEX(選手一覧!$H$7:$H$2738,$F172))</f>
        <v>0.006540625</v>
      </c>
      <c r="J172" s="17" t="n">
        <f aca="false">IF(INDEX(選手一覧!$I$7:$I$2738,$F172)="","",INDEX(選手一覧!$I$7:$I$2738,$F172))</f>
        <v>43</v>
      </c>
    </row>
    <row r="173" customFormat="false" ht="15" hidden="false" customHeight="false" outlineLevel="0" collapsed="false">
      <c r="A173" s="17" t="n">
        <v>169</v>
      </c>
      <c r="B173" s="12" t="s">
        <v>2093</v>
      </c>
      <c r="C173" s="12" t="s">
        <v>94</v>
      </c>
      <c r="D173" s="16" t="n">
        <v>0.00277337962962963</v>
      </c>
      <c r="E173" s="15" t="n">
        <f aca="false">ROUND((D173-$D$5)*86400,2)</f>
        <v>14.59</v>
      </c>
      <c r="F173" s="17" t="n">
        <v>1329</v>
      </c>
      <c r="G173" s="16" t="str">
        <f aca="false">IF(INDEX(選手一覧!$D$7:$D$2738,$F173)="","",INDEX(選手一覧!$D$7:$D$2738,$F173))</f>
        <v/>
      </c>
      <c r="H173" s="17" t="str">
        <f aca="false">IF(INDEX(選手一覧!$E$7:$E$2738,$F173)="","",INDEX(選手一覧!$E$7:$E$2738,$F173))</f>
        <v/>
      </c>
      <c r="I173" s="16" t="str">
        <f aca="false">IF(INDEX(選手一覧!$H$7:$H$2738,$F173)="","",INDEX(選手一覧!$H$7:$H$2738,$F173))</f>
        <v/>
      </c>
      <c r="J173" s="17" t="str">
        <f aca="false">IF(INDEX(選手一覧!$I$7:$I$2738,$F173)="","",INDEX(選手一覧!$I$7:$I$2738,$F173))</f>
        <v/>
      </c>
    </row>
    <row r="174" customFormat="false" ht="15" hidden="false" customHeight="false" outlineLevel="0" collapsed="false">
      <c r="A174" s="17" t="n">
        <v>170</v>
      </c>
      <c r="B174" s="12" t="s">
        <v>270</v>
      </c>
      <c r="C174" s="12" t="s">
        <v>167</v>
      </c>
      <c r="D174" s="16" t="n">
        <v>0.00277349537037037</v>
      </c>
      <c r="E174" s="15" t="n">
        <f aca="false">ROUND((D174-$D$5)*86400,2)</f>
        <v>14.6</v>
      </c>
      <c r="F174" s="17" t="n">
        <v>127</v>
      </c>
      <c r="G174" s="16" t="n">
        <f aca="false">IF(INDEX(選手一覧!$D$7:$D$2738,$F174)="","",INDEX(選手一覧!$D$7:$D$2738,$F174))</f>
        <v>0.0102480324074074</v>
      </c>
      <c r="H174" s="17" t="n">
        <f aca="false">IF(INDEX(選手一覧!$E$7:$E$2738,$F174)="","",INDEX(選手一覧!$E$7:$E$2738,$F174))</f>
        <v>128</v>
      </c>
      <c r="I174" s="16" t="str">
        <f aca="false">IF(INDEX(選手一覧!$H$7:$H$2738,$F174)="","",INDEX(選手一覧!$H$7:$H$2738,$F174))</f>
        <v/>
      </c>
      <c r="J174" s="17" t="str">
        <f aca="false">IF(INDEX(選手一覧!$I$7:$I$2738,$F174)="","",INDEX(選手一覧!$I$7:$I$2738,$F174))</f>
        <v/>
      </c>
    </row>
    <row r="175" customFormat="false" ht="15" hidden="false" customHeight="false" outlineLevel="0" collapsed="false">
      <c r="A175" s="17" t="n">
        <v>171</v>
      </c>
      <c r="B175" s="12" t="s">
        <v>98</v>
      </c>
      <c r="C175" s="12" t="s">
        <v>99</v>
      </c>
      <c r="D175" s="16" t="n">
        <v>0.00277361111111111</v>
      </c>
      <c r="E175" s="15" t="n">
        <f aca="false">ROUND((D175-$D$5)*86400,2)</f>
        <v>14.61</v>
      </c>
      <c r="F175" s="17" t="n">
        <v>35</v>
      </c>
      <c r="G175" s="16" t="n">
        <f aca="false">IF(INDEX(選手一覧!$D$7:$D$2738,$F175)="","",INDEX(選手一覧!$D$7:$D$2738,$F175))</f>
        <v>0.0100496527777778</v>
      </c>
      <c r="H175" s="17" t="n">
        <f aca="false">IF(INDEX(選手一覧!$E$7:$E$2738,$F175)="","",INDEX(選手一覧!$E$7:$E$2738,$F175))</f>
        <v>36</v>
      </c>
      <c r="I175" s="16" t="str">
        <f aca="false">IF(INDEX(選手一覧!$H$7:$H$2738,$F175)="","",INDEX(選手一覧!$H$7:$H$2738,$F175))</f>
        <v/>
      </c>
      <c r="J175" s="17" t="str">
        <f aca="false">IF(INDEX(選手一覧!$I$7:$I$2738,$F175)="","",INDEX(選手一覧!$I$7:$I$2738,$F175))</f>
        <v/>
      </c>
    </row>
    <row r="176" customFormat="false" ht="15" hidden="false" customHeight="false" outlineLevel="0" collapsed="false">
      <c r="A176" s="17" t="n">
        <v>172</v>
      </c>
      <c r="B176" s="12" t="s">
        <v>455</v>
      </c>
      <c r="C176" s="12" t="s">
        <v>155</v>
      </c>
      <c r="D176" s="16" t="n">
        <v>0.00277407407407407</v>
      </c>
      <c r="E176" s="15" t="n">
        <f aca="false">ROUND((D176-$D$5)*86400,2)</f>
        <v>14.65</v>
      </c>
      <c r="F176" s="17" t="n">
        <v>232</v>
      </c>
      <c r="G176" s="16" t="n">
        <f aca="false">IF(INDEX(選手一覧!$D$7:$D$2738,$F176)="","",INDEX(選手一覧!$D$7:$D$2738,$F176))</f>
        <v>0.0103755787037037</v>
      </c>
      <c r="H176" s="17" t="n">
        <f aca="false">IF(INDEX(選手一覧!$E$7:$E$2738,$F176)="","",INDEX(選手一覧!$E$7:$E$2738,$F176))</f>
        <v>233</v>
      </c>
      <c r="I176" s="16" t="str">
        <f aca="false">IF(INDEX(選手一覧!$H$7:$H$2738,$F176)="","",INDEX(選手一覧!$H$7:$H$2738,$F176))</f>
        <v/>
      </c>
      <c r="J176" s="17" t="str">
        <f aca="false">IF(INDEX(選手一覧!$I$7:$I$2738,$F176)="","",INDEX(選手一覧!$I$7:$I$2738,$F176))</f>
        <v/>
      </c>
    </row>
    <row r="177" customFormat="false" ht="15" hidden="false" customHeight="false" outlineLevel="0" collapsed="false">
      <c r="A177" s="17" t="n">
        <v>173</v>
      </c>
      <c r="B177" s="12" t="s">
        <v>2094</v>
      </c>
      <c r="C177" s="12" t="s">
        <v>370</v>
      </c>
      <c r="D177" s="16" t="n">
        <v>0.0027744212962963</v>
      </c>
      <c r="E177" s="15" t="n">
        <f aca="false">ROUND((D177-$D$5)*86400,2)</f>
        <v>14.68</v>
      </c>
      <c r="F177" s="17" t="n">
        <v>1330</v>
      </c>
      <c r="G177" s="16" t="str">
        <f aca="false">IF(INDEX(選手一覧!$D$7:$D$2738,$F177)="","",INDEX(選手一覧!$D$7:$D$2738,$F177))</f>
        <v/>
      </c>
      <c r="H177" s="17" t="str">
        <f aca="false">IF(INDEX(選手一覧!$E$7:$E$2738,$F177)="","",INDEX(選手一覧!$E$7:$E$2738,$F177))</f>
        <v/>
      </c>
      <c r="I177" s="16" t="str">
        <f aca="false">IF(INDEX(選手一覧!$H$7:$H$2738,$F177)="","",INDEX(選手一覧!$H$7:$H$2738,$F177))</f>
        <v/>
      </c>
      <c r="J177" s="17" t="str">
        <f aca="false">IF(INDEX(選手一覧!$I$7:$I$2738,$F177)="","",INDEX(選手一覧!$I$7:$I$2738,$F177))</f>
        <v/>
      </c>
    </row>
    <row r="178" customFormat="false" ht="15" hidden="false" customHeight="false" outlineLevel="0" collapsed="false">
      <c r="A178" s="17" t="n">
        <v>174</v>
      </c>
      <c r="B178" s="12" t="s">
        <v>2097</v>
      </c>
      <c r="C178" s="12" t="s">
        <v>2075</v>
      </c>
      <c r="D178" s="16" t="n">
        <v>0.00277453703703704</v>
      </c>
      <c r="E178" s="15" t="n">
        <f aca="false">ROUND((D178-$D$5)*86400,2)</f>
        <v>14.69</v>
      </c>
      <c r="F178" s="17" t="n">
        <v>1332</v>
      </c>
      <c r="G178" s="16" t="str">
        <f aca="false">IF(INDEX(選手一覧!$D$7:$D$2738,$F178)="","",INDEX(選手一覧!$D$7:$D$2738,$F178))</f>
        <v/>
      </c>
      <c r="H178" s="17" t="str">
        <f aca="false">IF(INDEX(選手一覧!$E$7:$E$2738,$F178)="","",INDEX(選手一覧!$E$7:$E$2738,$F178))</f>
        <v/>
      </c>
      <c r="I178" s="16" t="str">
        <f aca="false">IF(INDEX(選手一覧!$H$7:$H$2738,$F178)="","",INDEX(選手一覧!$H$7:$H$2738,$F178))</f>
        <v/>
      </c>
      <c r="J178" s="17" t="str">
        <f aca="false">IF(INDEX(選手一覧!$I$7:$I$2738,$F178)="","",INDEX(選手一覧!$I$7:$I$2738,$F178))</f>
        <v/>
      </c>
    </row>
    <row r="179" customFormat="false" ht="15" hidden="false" customHeight="false" outlineLevel="0" collapsed="false">
      <c r="A179" s="17" t="n">
        <v>175</v>
      </c>
      <c r="B179" s="12" t="s">
        <v>504</v>
      </c>
      <c r="C179" s="12" t="s">
        <v>61</v>
      </c>
      <c r="D179" s="16" t="n">
        <v>0.00277476851851852</v>
      </c>
      <c r="E179" s="15" t="n">
        <f aca="false">ROUND((D179-$D$5)*86400,2)</f>
        <v>14.71</v>
      </c>
      <c r="F179" s="17" t="n">
        <v>263</v>
      </c>
      <c r="G179" s="16" t="n">
        <f aca="false">IF(INDEX(選手一覧!$D$7:$D$2738,$F179)="","",INDEX(選手一覧!$D$7:$D$2738,$F179))</f>
        <v>0.0104</v>
      </c>
      <c r="H179" s="17" t="n">
        <f aca="false">IF(INDEX(選手一覧!$E$7:$E$2738,$F179)="","",INDEX(選手一覧!$E$7:$E$2738,$F179))</f>
        <v>264</v>
      </c>
      <c r="I179" s="16" t="str">
        <f aca="false">IF(INDEX(選手一覧!$H$7:$H$2738,$F179)="","",INDEX(選手一覧!$H$7:$H$2738,$F179))</f>
        <v/>
      </c>
      <c r="J179" s="17" t="str">
        <f aca="false">IF(INDEX(選手一覧!$I$7:$I$2738,$F179)="","",INDEX(選手一覧!$I$7:$I$2738,$F179))</f>
        <v/>
      </c>
    </row>
    <row r="180" customFormat="false" ht="15" hidden="false" customHeight="false" outlineLevel="0" collapsed="false">
      <c r="A180" s="17" t="n">
        <v>176</v>
      </c>
      <c r="B180" s="12" t="s">
        <v>558</v>
      </c>
      <c r="C180" s="12" t="s">
        <v>559</v>
      </c>
      <c r="D180" s="16" t="n">
        <v>0.0027755787037037</v>
      </c>
      <c r="E180" s="15" t="n">
        <f aca="false">ROUND((D180-$D$5)*86400,2)</f>
        <v>14.78</v>
      </c>
      <c r="F180" s="17" t="n">
        <v>298</v>
      </c>
      <c r="G180" s="16" t="n">
        <f aca="false">IF(INDEX(選手一覧!$D$7:$D$2738,$F180)="","",INDEX(選手一覧!$D$7:$D$2738,$F180))</f>
        <v>0.010437962962963</v>
      </c>
      <c r="H180" s="17" t="n">
        <f aca="false">IF(INDEX(選手一覧!$E$7:$E$2738,$F180)="","",INDEX(選手一覧!$E$7:$E$2738,$F180))</f>
        <v>299</v>
      </c>
      <c r="I180" s="16" t="str">
        <f aca="false">IF(INDEX(選手一覧!$H$7:$H$2738,$F180)="","",INDEX(選手一覧!$H$7:$H$2738,$F180))</f>
        <v/>
      </c>
      <c r="J180" s="17" t="str">
        <f aca="false">IF(INDEX(選手一覧!$I$7:$I$2738,$F180)="","",INDEX(選手一覧!$I$7:$I$2738,$F180))</f>
        <v/>
      </c>
    </row>
    <row r="181" customFormat="false" ht="15" hidden="false" customHeight="false" outlineLevel="0" collapsed="false">
      <c r="A181" s="17" t="n">
        <v>177</v>
      </c>
      <c r="B181" s="12" t="s">
        <v>916</v>
      </c>
      <c r="C181" s="12" t="s">
        <v>917</v>
      </c>
      <c r="D181" s="16" t="n">
        <v>0.00277569444444444</v>
      </c>
      <c r="E181" s="15" t="n">
        <f aca="false">ROUND((D181-$D$5)*86400,2)</f>
        <v>14.79</v>
      </c>
      <c r="F181" s="17" t="n">
        <v>521</v>
      </c>
      <c r="G181" s="16" t="n">
        <f aca="false">IF(INDEX(選手一覧!$D$7:$D$2738,$F181)="","",INDEX(選手一覧!$D$7:$D$2738,$F181))</f>
        <v>0.0106484953703704</v>
      </c>
      <c r="H181" s="17" t="n">
        <f aca="false">IF(INDEX(選手一覧!$E$7:$E$2738,$F181)="","",INDEX(選手一覧!$E$7:$E$2738,$F181))</f>
        <v>522</v>
      </c>
      <c r="I181" s="16" t="str">
        <f aca="false">IF(INDEX(選手一覧!$H$7:$H$2738,$F181)="","",INDEX(選手一覧!$H$7:$H$2738,$F181))</f>
        <v/>
      </c>
      <c r="J181" s="17" t="str">
        <f aca="false">IF(INDEX(選手一覧!$I$7:$I$2738,$F181)="","",INDEX(選手一覧!$I$7:$I$2738,$F181))</f>
        <v/>
      </c>
    </row>
    <row r="182" customFormat="false" ht="15" hidden="false" customHeight="false" outlineLevel="0" collapsed="false">
      <c r="A182" s="17" t="n">
        <v>178</v>
      </c>
      <c r="B182" s="12" t="s">
        <v>2103</v>
      </c>
      <c r="C182" s="12" t="s">
        <v>1861</v>
      </c>
      <c r="D182" s="16" t="n">
        <v>0.00277569444444444</v>
      </c>
      <c r="E182" s="15" t="n">
        <f aca="false">ROUND((D182-$D$5)*86400,2)</f>
        <v>14.79</v>
      </c>
      <c r="F182" s="17" t="n">
        <v>1335</v>
      </c>
      <c r="G182" s="16" t="str">
        <f aca="false">IF(INDEX(選手一覧!$D$7:$D$2738,$F182)="","",INDEX(選手一覧!$D$7:$D$2738,$F182))</f>
        <v/>
      </c>
      <c r="H182" s="17" t="str">
        <f aca="false">IF(INDEX(選手一覧!$E$7:$E$2738,$F182)="","",INDEX(選手一覧!$E$7:$E$2738,$F182))</f>
        <v/>
      </c>
      <c r="I182" s="16" t="str">
        <f aca="false">IF(INDEX(選手一覧!$H$7:$H$2738,$F182)="","",INDEX(選手一覧!$H$7:$H$2738,$F182))</f>
        <v/>
      </c>
      <c r="J182" s="17" t="str">
        <f aca="false">IF(INDEX(選手一覧!$I$7:$I$2738,$F182)="","",INDEX(選手一覧!$I$7:$I$2738,$F182))</f>
        <v/>
      </c>
    </row>
    <row r="183" customFormat="false" ht="15" hidden="false" customHeight="false" outlineLevel="0" collapsed="false">
      <c r="A183" s="17" t="n">
        <v>179</v>
      </c>
      <c r="B183" s="12" t="s">
        <v>1454</v>
      </c>
      <c r="C183" s="12" t="s">
        <v>1455</v>
      </c>
      <c r="D183" s="16" t="n">
        <v>0.00277581018518519</v>
      </c>
      <c r="E183" s="15" t="n">
        <f aca="false">ROUND((D183-$D$5)*86400,2)</f>
        <v>14.8</v>
      </c>
      <c r="F183" s="17" t="n">
        <v>881</v>
      </c>
      <c r="G183" s="16" t="n">
        <f aca="false">IF(INDEX(選手一覧!$D$7:$D$2738,$F183)="","",INDEX(選手一覧!$D$7:$D$2738,$F183))</f>
        <v>0.010875462962963</v>
      </c>
      <c r="H183" s="17" t="n">
        <f aca="false">IF(INDEX(選手一覧!$E$7:$E$2738,$F183)="","",INDEX(選手一覧!$E$7:$E$2738,$F183))</f>
        <v>882</v>
      </c>
      <c r="I183" s="16" t="n">
        <f aca="false">IF(INDEX(選手一覧!$H$7:$H$2738,$F183)="","",INDEX(選手一覧!$H$7:$H$2738,$F183))</f>
        <v>0.00731689814814815</v>
      </c>
      <c r="J183" s="17" t="n">
        <f aca="false">IF(INDEX(選手一覧!$I$7:$I$2738,$F183)="","",INDEX(選手一覧!$I$7:$I$2738,$F183))</f>
        <v>664</v>
      </c>
    </row>
    <row r="184" customFormat="false" ht="15" hidden="false" customHeight="false" outlineLevel="0" collapsed="false">
      <c r="A184" s="17" t="n">
        <v>180</v>
      </c>
      <c r="B184" s="12" t="s">
        <v>1042</v>
      </c>
      <c r="C184" s="12" t="s">
        <v>193</v>
      </c>
      <c r="D184" s="16" t="n">
        <v>0.00277592592592593</v>
      </c>
      <c r="E184" s="15" t="n">
        <f aca="false">ROUND((D184-$D$5)*86400,2)</f>
        <v>14.81</v>
      </c>
      <c r="F184" s="17" t="n">
        <v>607</v>
      </c>
      <c r="G184" s="16" t="n">
        <f aca="false">IF(INDEX(選手一覧!$D$7:$D$2738,$F184)="","",INDEX(選手一覧!$D$7:$D$2738,$F184))</f>
        <v>0.010716087962963</v>
      </c>
      <c r="H184" s="17" t="n">
        <f aca="false">IF(INDEX(選手一覧!$E$7:$E$2738,$F184)="","",INDEX(選手一覧!$E$7:$E$2738,$F184))</f>
        <v>608</v>
      </c>
      <c r="I184" s="16" t="n">
        <f aca="false">IF(INDEX(選手一覧!$H$7:$H$2738,$F184)="","",INDEX(選手一覧!$H$7:$H$2738,$F184))</f>
        <v>0.00634525462962963</v>
      </c>
      <c r="J184" s="17" t="n">
        <f aca="false">IF(INDEX(選手一覧!$I$7:$I$2738,$F184)="","",INDEX(選手一覧!$I$7:$I$2738,$F184))</f>
        <v>9</v>
      </c>
    </row>
    <row r="185" customFormat="false" ht="15" hidden="false" customHeight="false" outlineLevel="0" collapsed="false">
      <c r="A185" s="17" t="n">
        <v>181</v>
      </c>
      <c r="B185" s="12" t="s">
        <v>471</v>
      </c>
      <c r="C185" s="12" t="s">
        <v>248</v>
      </c>
      <c r="D185" s="16" t="n">
        <v>0.00277592592592593</v>
      </c>
      <c r="E185" s="15" t="n">
        <f aca="false">ROUND((D185-$D$5)*86400,2)</f>
        <v>14.81</v>
      </c>
      <c r="F185" s="17" t="n">
        <v>241</v>
      </c>
      <c r="G185" s="16" t="n">
        <f aca="false">IF(INDEX(選手一覧!$D$7:$D$2738,$F185)="","",INDEX(選手一覧!$D$7:$D$2738,$F185))</f>
        <v>0.0103782407407407</v>
      </c>
      <c r="H185" s="17" t="n">
        <f aca="false">IF(INDEX(選手一覧!$E$7:$E$2738,$F185)="","",INDEX(選手一覧!$E$7:$E$2738,$F185))</f>
        <v>242</v>
      </c>
      <c r="I185" s="16" t="str">
        <f aca="false">IF(INDEX(選手一覧!$H$7:$H$2738,$F185)="","",INDEX(選手一覧!$H$7:$H$2738,$F185))</f>
        <v/>
      </c>
      <c r="J185" s="17" t="str">
        <f aca="false">IF(INDEX(選手一覧!$I$7:$I$2738,$F185)="","",INDEX(選手一覧!$I$7:$I$2738,$F185))</f>
        <v/>
      </c>
    </row>
    <row r="186" customFormat="false" ht="15" hidden="false" customHeight="false" outlineLevel="0" collapsed="false">
      <c r="A186" s="17" t="n">
        <v>182</v>
      </c>
      <c r="B186" s="12" t="s">
        <v>100</v>
      </c>
      <c r="C186" s="12" t="s">
        <v>101</v>
      </c>
      <c r="D186" s="16" t="n">
        <v>0.00277592592592593</v>
      </c>
      <c r="E186" s="15" t="n">
        <f aca="false">ROUND((D186-$D$5)*86400,2)</f>
        <v>14.81</v>
      </c>
      <c r="F186" s="17" t="n">
        <v>36</v>
      </c>
      <c r="G186" s="16" t="n">
        <f aca="false">IF(INDEX(選手一覧!$D$7:$D$2738,$F186)="","",INDEX(選手一覧!$D$7:$D$2738,$F186))</f>
        <v>0.0100549768518519</v>
      </c>
      <c r="H186" s="17" t="n">
        <f aca="false">IF(INDEX(選手一覧!$E$7:$E$2738,$F186)="","",INDEX(選手一覧!$E$7:$E$2738,$F186))</f>
        <v>37</v>
      </c>
      <c r="I186" s="16" t="str">
        <f aca="false">IF(INDEX(選手一覧!$H$7:$H$2738,$F186)="","",INDEX(選手一覧!$H$7:$H$2738,$F186))</f>
        <v/>
      </c>
      <c r="J186" s="17" t="str">
        <f aca="false">IF(INDEX(選手一覧!$I$7:$I$2738,$F186)="","",INDEX(選手一覧!$I$7:$I$2738,$F186))</f>
        <v/>
      </c>
    </row>
    <row r="187" customFormat="false" ht="15" hidden="false" customHeight="false" outlineLevel="0" collapsed="false">
      <c r="A187" s="17" t="n">
        <v>183</v>
      </c>
      <c r="B187" s="12" t="s">
        <v>677</v>
      </c>
      <c r="C187" s="12" t="s">
        <v>290</v>
      </c>
      <c r="D187" s="16" t="n">
        <v>0.00277627314814815</v>
      </c>
      <c r="E187" s="15" t="n">
        <f aca="false">ROUND((D187-$D$5)*86400,2)</f>
        <v>14.84</v>
      </c>
      <c r="F187" s="17" t="n">
        <v>372</v>
      </c>
      <c r="G187" s="16" t="n">
        <f aca="false">IF(INDEX(選手一覧!$D$7:$D$2738,$F187)="","",INDEX(選手一覧!$D$7:$D$2738,$F187))</f>
        <v>0.0105304398148148</v>
      </c>
      <c r="H187" s="17" t="n">
        <f aca="false">IF(INDEX(選手一覧!$E$7:$E$2738,$F187)="","",INDEX(選手一覧!$E$7:$E$2738,$F187))</f>
        <v>373</v>
      </c>
      <c r="I187" s="16" t="str">
        <f aca="false">IF(INDEX(選手一覧!$H$7:$H$2738,$F187)="","",INDEX(選手一覧!$H$7:$H$2738,$F187))</f>
        <v/>
      </c>
      <c r="J187" s="17" t="str">
        <f aca="false">IF(INDEX(選手一覧!$I$7:$I$2738,$F187)="","",INDEX(選手一覧!$I$7:$I$2738,$F187))</f>
        <v/>
      </c>
    </row>
    <row r="188" customFormat="false" ht="15" hidden="false" customHeight="false" outlineLevel="0" collapsed="false">
      <c r="A188" s="17" t="n">
        <v>184</v>
      </c>
      <c r="B188" s="12" t="s">
        <v>1502</v>
      </c>
      <c r="C188" s="12" t="s">
        <v>1503</v>
      </c>
      <c r="D188" s="16" t="n">
        <v>0.00277650462962963</v>
      </c>
      <c r="E188" s="15" t="n">
        <f aca="false">ROUND((D188-$D$5)*86400,2)</f>
        <v>14.86</v>
      </c>
      <c r="F188" s="17" t="n">
        <v>914</v>
      </c>
      <c r="G188" s="16" t="n">
        <f aca="false">IF(INDEX(選手一覧!$D$7:$D$2738,$F188)="","",INDEX(選手一覧!$D$7:$D$2738,$F188))</f>
        <v>0.0108959490740741</v>
      </c>
      <c r="H188" s="17" t="n">
        <f aca="false">IF(INDEX(選手一覧!$E$7:$E$2738,$F188)="","",INDEX(選手一覧!$E$7:$E$2738,$F188))</f>
        <v>915</v>
      </c>
      <c r="I188" s="16" t="n">
        <f aca="false">IF(INDEX(選手一覧!$H$7:$H$2738,$F188)="","",INDEX(選手一覧!$H$7:$H$2738,$F188))</f>
        <v>0.0066474537037037</v>
      </c>
      <c r="J188" s="17" t="n">
        <f aca="false">IF(INDEX(選手一覧!$I$7:$I$2738,$F188)="","",INDEX(選手一覧!$I$7:$I$2738,$F188))</f>
        <v>81</v>
      </c>
    </row>
    <row r="189" customFormat="false" ht="15" hidden="false" customHeight="false" outlineLevel="0" collapsed="false">
      <c r="A189" s="17" t="n">
        <v>185</v>
      </c>
      <c r="B189" s="12" t="s">
        <v>2106</v>
      </c>
      <c r="C189" s="12" t="s">
        <v>301</v>
      </c>
      <c r="D189" s="16" t="n">
        <v>0.00277673611111111</v>
      </c>
      <c r="E189" s="15" t="n">
        <f aca="false">ROUND((D189-$D$5)*86400,2)</f>
        <v>14.88</v>
      </c>
      <c r="F189" s="17" t="n">
        <v>1337</v>
      </c>
      <c r="G189" s="16" t="str">
        <f aca="false">IF(INDEX(選手一覧!$D$7:$D$2738,$F189)="","",INDEX(選手一覧!$D$7:$D$2738,$F189))</f>
        <v/>
      </c>
      <c r="H189" s="17" t="str">
        <f aca="false">IF(INDEX(選手一覧!$E$7:$E$2738,$F189)="","",INDEX(選手一覧!$E$7:$E$2738,$F189))</f>
        <v/>
      </c>
      <c r="I189" s="16" t="n">
        <f aca="false">IF(INDEX(選手一覧!$H$7:$H$2738,$F189)="","",INDEX(選手一覧!$H$7:$H$2738,$F189))</f>
        <v>0.00708506944444444</v>
      </c>
      <c r="J189" s="17" t="n">
        <f aca="false">IF(INDEX(選手一覧!$I$7:$I$2738,$F189)="","",INDEX(選手一覧!$I$7:$I$2738,$F189))</f>
        <v>433</v>
      </c>
    </row>
    <row r="190" customFormat="false" ht="15" hidden="false" customHeight="false" outlineLevel="0" collapsed="false">
      <c r="A190" s="17" t="n">
        <v>186</v>
      </c>
      <c r="B190" s="12" t="s">
        <v>804</v>
      </c>
      <c r="C190" s="12" t="s">
        <v>430</v>
      </c>
      <c r="D190" s="16" t="n">
        <v>0.00277696759259259</v>
      </c>
      <c r="E190" s="15" t="n">
        <f aca="false">ROUND((D190-$D$5)*86400,2)</f>
        <v>14.9</v>
      </c>
      <c r="F190" s="17" t="n">
        <v>452</v>
      </c>
      <c r="G190" s="16" t="n">
        <f aca="false">IF(INDEX(選手一覧!$D$7:$D$2738,$F190)="","",INDEX(選手一覧!$D$7:$D$2738,$F190))</f>
        <v>0.0105891203703704</v>
      </c>
      <c r="H190" s="17" t="n">
        <f aca="false">IF(INDEX(選手一覧!$E$7:$E$2738,$F190)="","",INDEX(選手一覧!$E$7:$E$2738,$F190))</f>
        <v>453</v>
      </c>
      <c r="I190" s="16" t="str">
        <f aca="false">IF(INDEX(選手一覧!$H$7:$H$2738,$F190)="","",INDEX(選手一覧!$H$7:$H$2738,$F190))</f>
        <v/>
      </c>
      <c r="J190" s="17" t="str">
        <f aca="false">IF(INDEX(選手一覧!$I$7:$I$2738,$F190)="","",INDEX(選手一覧!$I$7:$I$2738,$F190))</f>
        <v/>
      </c>
    </row>
    <row r="191" customFormat="false" ht="15" hidden="false" customHeight="false" outlineLevel="0" collapsed="false">
      <c r="A191" s="17" t="n">
        <v>187</v>
      </c>
      <c r="B191" s="12" t="s">
        <v>369</v>
      </c>
      <c r="C191" s="12" t="s">
        <v>370</v>
      </c>
      <c r="D191" s="16" t="n">
        <v>0.00277731481481482</v>
      </c>
      <c r="E191" s="15" t="n">
        <f aca="false">ROUND((D191-$D$5)*86400,2)</f>
        <v>14.93</v>
      </c>
      <c r="F191" s="17" t="n">
        <v>181</v>
      </c>
      <c r="G191" s="16" t="n">
        <f aca="false">IF(INDEX(選手一覧!$D$7:$D$2738,$F191)="","",INDEX(選手一覧!$D$7:$D$2738,$F191))</f>
        <v>0.0103303240740741</v>
      </c>
      <c r="H191" s="17" t="n">
        <f aca="false">IF(INDEX(選手一覧!$E$7:$E$2738,$F191)="","",INDEX(選手一覧!$E$7:$E$2738,$F191))</f>
        <v>182</v>
      </c>
      <c r="I191" s="16" t="n">
        <f aca="false">IF(INDEX(選手一覧!$H$7:$H$2738,$F191)="","",INDEX(選手一覧!$H$7:$H$2738,$F191))</f>
        <v>0.00704131944444445</v>
      </c>
      <c r="J191" s="17" t="n">
        <f aca="false">IF(INDEX(選手一覧!$I$7:$I$2738,$F191)="","",INDEX(選手一覧!$I$7:$I$2738,$F191))</f>
        <v>378</v>
      </c>
    </row>
    <row r="192" customFormat="false" ht="15" hidden="false" customHeight="false" outlineLevel="0" collapsed="false">
      <c r="A192" s="17" t="n">
        <v>188</v>
      </c>
      <c r="B192" s="12" t="s">
        <v>1124</v>
      </c>
      <c r="C192" s="12" t="s">
        <v>1125</v>
      </c>
      <c r="D192" s="16" t="n">
        <v>0.00277743055555556</v>
      </c>
      <c r="E192" s="15" t="n">
        <f aca="false">ROUND((D192-$D$5)*86400,2)</f>
        <v>14.94</v>
      </c>
      <c r="F192" s="17" t="n">
        <v>666</v>
      </c>
      <c r="G192" s="16" t="n">
        <f aca="false">IF(INDEX(選手一覧!$D$7:$D$2738,$F192)="","",INDEX(選手一覧!$D$7:$D$2738,$F192))</f>
        <v>0.0107502314814815</v>
      </c>
      <c r="H192" s="17" t="n">
        <f aca="false">IF(INDEX(選手一覧!$E$7:$E$2738,$F192)="","",INDEX(選手一覧!$E$7:$E$2738,$F192))</f>
        <v>667</v>
      </c>
      <c r="I192" s="16" t="str">
        <f aca="false">IF(INDEX(選手一覧!$H$7:$H$2738,$F192)="","",INDEX(選手一覧!$H$7:$H$2738,$F192))</f>
        <v/>
      </c>
      <c r="J192" s="17" t="str">
        <f aca="false">IF(INDEX(選手一覧!$I$7:$I$2738,$F192)="","",INDEX(選手一覧!$I$7:$I$2738,$F192))</f>
        <v/>
      </c>
    </row>
    <row r="193" customFormat="false" ht="15" hidden="false" customHeight="false" outlineLevel="0" collapsed="false">
      <c r="A193" s="17" t="n">
        <v>189</v>
      </c>
      <c r="B193" s="12" t="s">
        <v>993</v>
      </c>
      <c r="C193" s="12" t="s">
        <v>290</v>
      </c>
      <c r="D193" s="16" t="n">
        <v>0.00277777777777778</v>
      </c>
      <c r="E193" s="15" t="n">
        <f aca="false">ROUND((D193-$D$5)*86400,2)</f>
        <v>14.97</v>
      </c>
      <c r="F193" s="17" t="n">
        <v>572</v>
      </c>
      <c r="G193" s="16" t="n">
        <f aca="false">IF(INDEX(選手一覧!$D$7:$D$2738,$F193)="","",INDEX(選手一覧!$D$7:$D$2738,$F193))</f>
        <v>0.0106957175925926</v>
      </c>
      <c r="H193" s="17" t="n">
        <f aca="false">IF(INDEX(選手一覧!$E$7:$E$2738,$F193)="","",INDEX(選手一覧!$E$7:$E$2738,$F193))</f>
        <v>573</v>
      </c>
      <c r="I193" s="16" t="n">
        <f aca="false">IF(INDEX(選手一覧!$H$7:$H$2738,$F193)="","",INDEX(選手一覧!$H$7:$H$2738,$F193))</f>
        <v>0.0064099537037037</v>
      </c>
      <c r="J193" s="17" t="n">
        <f aca="false">IF(INDEX(選手一覧!$I$7:$I$2738,$F193)="","",INDEX(選手一覧!$I$7:$I$2738,$F193))</f>
        <v>16</v>
      </c>
    </row>
    <row r="194" customFormat="false" ht="15" hidden="false" customHeight="false" outlineLevel="0" collapsed="false">
      <c r="A194" s="17" t="n">
        <v>190</v>
      </c>
      <c r="B194" s="12" t="s">
        <v>328</v>
      </c>
      <c r="C194" s="12" t="s">
        <v>150</v>
      </c>
      <c r="D194" s="16" t="n">
        <v>0.00277789351851852</v>
      </c>
      <c r="E194" s="15" t="n">
        <f aca="false">ROUND((D194-$D$5)*86400,2)</f>
        <v>14.98</v>
      </c>
      <c r="F194" s="17" t="n">
        <v>157</v>
      </c>
      <c r="G194" s="16" t="n">
        <f aca="false">IF(INDEX(選手一覧!$D$7:$D$2738,$F194)="","",INDEX(選手一覧!$D$7:$D$2738,$F194))</f>
        <v>0.0102986111111111</v>
      </c>
      <c r="H194" s="17" t="n">
        <f aca="false">IF(INDEX(選手一覧!$E$7:$E$2738,$F194)="","",INDEX(選手一覧!$E$7:$E$2738,$F194))</f>
        <v>158</v>
      </c>
      <c r="I194" s="16" t="str">
        <f aca="false">IF(INDEX(選手一覧!$H$7:$H$2738,$F194)="","",INDEX(選手一覧!$H$7:$H$2738,$F194))</f>
        <v/>
      </c>
      <c r="J194" s="17" t="str">
        <f aca="false">IF(INDEX(選手一覧!$I$7:$I$2738,$F194)="","",INDEX(選手一覧!$I$7:$I$2738,$F194))</f>
        <v/>
      </c>
    </row>
    <row r="195" customFormat="false" ht="15" hidden="false" customHeight="false" outlineLevel="0" collapsed="false">
      <c r="A195" s="17" t="n">
        <v>191</v>
      </c>
      <c r="B195" s="12" t="s">
        <v>621</v>
      </c>
      <c r="C195" s="12" t="s">
        <v>245</v>
      </c>
      <c r="D195" s="16" t="n">
        <v>0.002778125</v>
      </c>
      <c r="E195" s="15" t="n">
        <f aca="false">ROUND((D195-$D$5)*86400,2)</f>
        <v>15</v>
      </c>
      <c r="F195" s="17" t="n">
        <v>335</v>
      </c>
      <c r="G195" s="16" t="n">
        <f aca="false">IF(INDEX(選手一覧!$D$7:$D$2738,$F195)="","",INDEX(選手一覧!$D$7:$D$2738,$F195))</f>
        <v>0.0104916666666667</v>
      </c>
      <c r="H195" s="17" t="n">
        <f aca="false">IF(INDEX(選手一覧!$E$7:$E$2738,$F195)="","",INDEX(選手一覧!$E$7:$E$2738,$F195))</f>
        <v>336</v>
      </c>
      <c r="I195" s="16" t="str">
        <f aca="false">IF(INDEX(選手一覧!$H$7:$H$2738,$F195)="","",INDEX(選手一覧!$H$7:$H$2738,$F195))</f>
        <v/>
      </c>
      <c r="J195" s="17" t="str">
        <f aca="false">IF(INDEX(選手一覧!$I$7:$I$2738,$F195)="","",INDEX(選手一覧!$I$7:$I$2738,$F195))</f>
        <v/>
      </c>
    </row>
    <row r="196" customFormat="false" ht="15" hidden="false" customHeight="false" outlineLevel="0" collapsed="false">
      <c r="A196" s="17" t="n">
        <v>192</v>
      </c>
      <c r="B196" s="12" t="s">
        <v>2115</v>
      </c>
      <c r="C196" s="12" t="s">
        <v>809</v>
      </c>
      <c r="D196" s="16" t="n">
        <v>0.00277824074074074</v>
      </c>
      <c r="E196" s="15" t="n">
        <f aca="false">ROUND((D196-$D$5)*86400,2)</f>
        <v>15.01</v>
      </c>
      <c r="F196" s="17" t="n">
        <v>1343</v>
      </c>
      <c r="G196" s="16" t="str">
        <f aca="false">IF(INDEX(選手一覧!$D$7:$D$2738,$F196)="","",INDEX(選手一覧!$D$7:$D$2738,$F196))</f>
        <v/>
      </c>
      <c r="H196" s="17" t="str">
        <f aca="false">IF(INDEX(選手一覧!$E$7:$E$2738,$F196)="","",INDEX(選手一覧!$E$7:$E$2738,$F196))</f>
        <v/>
      </c>
      <c r="I196" s="16" t="str">
        <f aca="false">IF(INDEX(選手一覧!$H$7:$H$2738,$F196)="","",INDEX(選手一覧!$H$7:$H$2738,$F196))</f>
        <v/>
      </c>
      <c r="J196" s="17" t="str">
        <f aca="false">IF(INDEX(選手一覧!$I$7:$I$2738,$F196)="","",INDEX(選手一覧!$I$7:$I$2738,$F196))</f>
        <v/>
      </c>
    </row>
    <row r="197" customFormat="false" ht="15" hidden="false" customHeight="false" outlineLevel="0" collapsed="false">
      <c r="A197" s="17" t="n">
        <v>193</v>
      </c>
      <c r="B197" s="12" t="s">
        <v>944</v>
      </c>
      <c r="C197" s="12" t="s">
        <v>248</v>
      </c>
      <c r="D197" s="16" t="n">
        <v>0.00277835648148148</v>
      </c>
      <c r="E197" s="15" t="n">
        <f aca="false">ROUND((D197-$D$5)*86400,2)</f>
        <v>15.02</v>
      </c>
      <c r="F197" s="17" t="n">
        <v>538</v>
      </c>
      <c r="G197" s="16" t="n">
        <f aca="false">IF(INDEX(選手一覧!$D$7:$D$2738,$F197)="","",INDEX(選手一覧!$D$7:$D$2738,$F197))</f>
        <v>0.010665162037037</v>
      </c>
      <c r="H197" s="17" t="n">
        <f aca="false">IF(INDEX(選手一覧!$E$7:$E$2738,$F197)="","",INDEX(選手一覧!$E$7:$E$2738,$F197))</f>
        <v>539</v>
      </c>
      <c r="I197" s="16" t="str">
        <f aca="false">IF(INDEX(選手一覧!$H$7:$H$2738,$F197)="","",INDEX(選手一覧!$H$7:$H$2738,$F197))</f>
        <v/>
      </c>
      <c r="J197" s="17" t="str">
        <f aca="false">IF(INDEX(選手一覧!$I$7:$I$2738,$F197)="","",INDEX(選手一覧!$I$7:$I$2738,$F197))</f>
        <v/>
      </c>
    </row>
    <row r="198" customFormat="false" ht="15" hidden="false" customHeight="false" outlineLevel="0" collapsed="false">
      <c r="A198" s="17" t="n">
        <v>194</v>
      </c>
      <c r="B198" s="12" t="s">
        <v>220</v>
      </c>
      <c r="C198" s="12" t="s">
        <v>71</v>
      </c>
      <c r="D198" s="16" t="n">
        <v>0.00277835648148148</v>
      </c>
      <c r="E198" s="15" t="n">
        <f aca="false">ROUND((D198-$D$5)*86400,2)</f>
        <v>15.02</v>
      </c>
      <c r="F198" s="17" t="n">
        <v>100</v>
      </c>
      <c r="G198" s="16" t="n">
        <f aca="false">IF(INDEX(選手一覧!$D$7:$D$2738,$F198)="","",INDEX(選手一覧!$D$7:$D$2738,$F198))</f>
        <v>0.0102111111111111</v>
      </c>
      <c r="H198" s="17" t="n">
        <f aca="false">IF(INDEX(選手一覧!$E$7:$E$2738,$F198)="","",INDEX(選手一覧!$E$7:$E$2738,$F198))</f>
        <v>101</v>
      </c>
      <c r="I198" s="16" t="str">
        <f aca="false">IF(INDEX(選手一覧!$H$7:$H$2738,$F198)="","",INDEX(選手一覧!$H$7:$H$2738,$F198))</f>
        <v/>
      </c>
      <c r="J198" s="17" t="str">
        <f aca="false">IF(INDEX(選手一覧!$I$7:$I$2738,$F198)="","",INDEX(選手一覧!$I$7:$I$2738,$F198))</f>
        <v/>
      </c>
    </row>
    <row r="199" customFormat="false" ht="15" hidden="false" customHeight="false" outlineLevel="0" collapsed="false">
      <c r="A199" s="17" t="n">
        <v>195</v>
      </c>
      <c r="B199" s="12" t="s">
        <v>2118</v>
      </c>
      <c r="C199" s="12" t="s">
        <v>2119</v>
      </c>
      <c r="D199" s="16" t="n">
        <v>0.0027787037037037</v>
      </c>
      <c r="E199" s="15" t="n">
        <f aca="false">ROUND((D199-$D$5)*86400,2)</f>
        <v>15.05</v>
      </c>
      <c r="F199" s="17" t="n">
        <v>1345</v>
      </c>
      <c r="G199" s="16" t="str">
        <f aca="false">IF(INDEX(選手一覧!$D$7:$D$2738,$F199)="","",INDEX(選手一覧!$D$7:$D$2738,$F199))</f>
        <v/>
      </c>
      <c r="H199" s="17" t="str">
        <f aca="false">IF(INDEX(選手一覧!$E$7:$E$2738,$F199)="","",INDEX(選手一覧!$E$7:$E$2738,$F199))</f>
        <v/>
      </c>
      <c r="I199" s="16" t="str">
        <f aca="false">IF(INDEX(選手一覧!$H$7:$H$2738,$F199)="","",INDEX(選手一覧!$H$7:$H$2738,$F199))</f>
        <v/>
      </c>
      <c r="J199" s="17" t="str">
        <f aca="false">IF(INDEX(選手一覧!$I$7:$I$2738,$F199)="","",INDEX(選手一覧!$I$7:$I$2738,$F199))</f>
        <v/>
      </c>
    </row>
    <row r="200" customFormat="false" ht="15" hidden="false" customHeight="false" outlineLevel="0" collapsed="false">
      <c r="A200" s="17" t="n">
        <v>196</v>
      </c>
      <c r="B200" s="12" t="s">
        <v>1378</v>
      </c>
      <c r="C200" s="12" t="s">
        <v>686</v>
      </c>
      <c r="D200" s="16" t="n">
        <v>0.00277916666666667</v>
      </c>
      <c r="E200" s="15" t="n">
        <f aca="false">ROUND((D200-$D$5)*86400,2)</f>
        <v>15.09</v>
      </c>
      <c r="F200" s="17" t="n">
        <v>833</v>
      </c>
      <c r="G200" s="16" t="n">
        <f aca="false">IF(INDEX(選手一覧!$D$7:$D$2738,$F200)="","",INDEX(選手一覧!$D$7:$D$2738,$F200))</f>
        <v>0.0108484953703704</v>
      </c>
      <c r="H200" s="17" t="n">
        <f aca="false">IF(INDEX(選手一覧!$E$7:$E$2738,$F200)="","",INDEX(選手一覧!$E$7:$E$2738,$F200))</f>
        <v>834</v>
      </c>
      <c r="I200" s="16" t="n">
        <f aca="false">IF(INDEX(選手一覧!$H$7:$H$2738,$F200)="","",INDEX(選手一覧!$H$7:$H$2738,$F200))</f>
        <v>0.00667592592592593</v>
      </c>
      <c r="J200" s="17" t="n">
        <f aca="false">IF(INDEX(選手一覧!$I$7:$I$2738,$F200)="","",INDEX(選手一覧!$I$7:$I$2738,$F200))</f>
        <v>95</v>
      </c>
    </row>
    <row r="201" customFormat="false" ht="15" hidden="false" customHeight="false" outlineLevel="0" collapsed="false">
      <c r="A201" s="17" t="n">
        <v>197</v>
      </c>
      <c r="B201" s="12" t="s">
        <v>2120</v>
      </c>
      <c r="C201" s="12" t="s">
        <v>2121</v>
      </c>
      <c r="D201" s="16" t="n">
        <v>0.00277928240740741</v>
      </c>
      <c r="E201" s="15" t="n">
        <f aca="false">ROUND((D201-$D$5)*86400,2)</f>
        <v>15.1</v>
      </c>
      <c r="F201" s="17" t="n">
        <v>1346</v>
      </c>
      <c r="G201" s="16" t="str">
        <f aca="false">IF(INDEX(選手一覧!$D$7:$D$2738,$F201)="","",INDEX(選手一覧!$D$7:$D$2738,$F201))</f>
        <v/>
      </c>
      <c r="H201" s="17" t="str">
        <f aca="false">IF(INDEX(選手一覧!$E$7:$E$2738,$F201)="","",INDEX(選手一覧!$E$7:$E$2738,$F201))</f>
        <v/>
      </c>
      <c r="I201" s="16" t="str">
        <f aca="false">IF(INDEX(選手一覧!$H$7:$H$2738,$F201)="","",INDEX(選手一覧!$H$7:$H$2738,$F201))</f>
        <v/>
      </c>
      <c r="J201" s="17" t="str">
        <f aca="false">IF(INDEX(選手一覧!$I$7:$I$2738,$F201)="","",INDEX(選手一覧!$I$7:$I$2738,$F201))</f>
        <v/>
      </c>
    </row>
    <row r="202" customFormat="false" ht="15" hidden="false" customHeight="false" outlineLevel="0" collapsed="false">
      <c r="A202" s="17" t="n">
        <v>198</v>
      </c>
      <c r="B202" s="12" t="s">
        <v>650</v>
      </c>
      <c r="C202" s="12" t="s">
        <v>469</v>
      </c>
      <c r="D202" s="16" t="n">
        <v>0.00277939814814815</v>
      </c>
      <c r="E202" s="15" t="n">
        <f aca="false">ROUND((D202-$D$5)*86400,2)</f>
        <v>15.11</v>
      </c>
      <c r="F202" s="17" t="n">
        <v>353</v>
      </c>
      <c r="G202" s="16" t="n">
        <f aca="false">IF(INDEX(選手一覧!$D$7:$D$2738,$F202)="","",INDEX(選手一覧!$D$7:$D$2738,$F202))</f>
        <v>0.0105118055555556</v>
      </c>
      <c r="H202" s="17" t="n">
        <f aca="false">IF(INDEX(選手一覧!$E$7:$E$2738,$F202)="","",INDEX(選手一覧!$E$7:$E$2738,$F202))</f>
        <v>354</v>
      </c>
      <c r="I202" s="16" t="str">
        <f aca="false">IF(INDEX(選手一覧!$H$7:$H$2738,$F202)="","",INDEX(選手一覧!$H$7:$H$2738,$F202))</f>
        <v/>
      </c>
      <c r="J202" s="17" t="str">
        <f aca="false">IF(INDEX(選手一覧!$I$7:$I$2738,$F202)="","",INDEX(選手一覧!$I$7:$I$2738,$F202))</f>
        <v/>
      </c>
    </row>
    <row r="203" customFormat="false" ht="15" hidden="false" customHeight="false" outlineLevel="0" collapsed="false">
      <c r="A203" s="17" t="n">
        <v>199</v>
      </c>
      <c r="B203" s="12" t="s">
        <v>344</v>
      </c>
      <c r="C203" s="12" t="s">
        <v>214</v>
      </c>
      <c r="D203" s="16" t="n">
        <v>0.00277951388888889</v>
      </c>
      <c r="E203" s="15" t="n">
        <f aca="false">ROUND((D203-$D$5)*86400,2)</f>
        <v>15.12</v>
      </c>
      <c r="F203" s="17" t="n">
        <v>166</v>
      </c>
      <c r="G203" s="16" t="n">
        <f aca="false">IF(INDEX(選手一覧!$D$7:$D$2738,$F203)="","",INDEX(選手一覧!$D$7:$D$2738,$F203))</f>
        <v>0.0103144675925926</v>
      </c>
      <c r="H203" s="17" t="n">
        <f aca="false">IF(INDEX(選手一覧!$E$7:$E$2738,$F203)="","",INDEX(選手一覧!$E$7:$E$2738,$F203))</f>
        <v>167</v>
      </c>
      <c r="I203" s="16" t="n">
        <f aca="false">IF(INDEX(選手一覧!$H$7:$H$2738,$F203)="","",INDEX(選手一覧!$H$7:$H$2738,$F203))</f>
        <v>0.00674305555555556</v>
      </c>
      <c r="J203" s="17" t="n">
        <f aca="false">IF(INDEX(選手一覧!$I$7:$I$2738,$F203)="","",INDEX(選手一覧!$I$7:$I$2738,$F203))</f>
        <v>123</v>
      </c>
    </row>
    <row r="204" customFormat="false" ht="15" hidden="false" customHeight="false" outlineLevel="0" collapsed="false">
      <c r="A204" s="17" t="n">
        <v>200</v>
      </c>
      <c r="B204" s="12" t="s">
        <v>46</v>
      </c>
      <c r="C204" s="12" t="s">
        <v>32</v>
      </c>
      <c r="D204" s="16" t="n">
        <v>0.00277962962962963</v>
      </c>
      <c r="E204" s="15" t="n">
        <f aca="false">ROUND((D204-$D$5)*86400,2)</f>
        <v>15.13</v>
      </c>
      <c r="F204" s="17" t="n">
        <v>9</v>
      </c>
      <c r="G204" s="16" t="n">
        <f aca="false">IF(INDEX(選手一覧!$D$7:$D$2738,$F204)="","",INDEX(選手一覧!$D$7:$D$2738,$F204))</f>
        <v>0.00981481481481481</v>
      </c>
      <c r="H204" s="17" t="n">
        <f aca="false">IF(INDEX(選手一覧!$E$7:$E$2738,$F204)="","",INDEX(選手一覧!$E$7:$E$2738,$F204))</f>
        <v>9</v>
      </c>
      <c r="I204" s="16" t="str">
        <f aca="false">IF(INDEX(選手一覧!$H$7:$H$2738,$F204)="","",INDEX(選手一覧!$H$7:$H$2738,$F204))</f>
        <v/>
      </c>
      <c r="J204" s="17" t="str">
        <f aca="false">IF(INDEX(選手一覧!$I$7:$I$2738,$F204)="","",INDEX(選手一覧!$I$7:$I$2738,$F204))</f>
        <v/>
      </c>
    </row>
    <row r="205" customFormat="false" ht="15" hidden="false" customHeight="false" outlineLevel="0" collapsed="false">
      <c r="A205" s="17" t="n">
        <v>201</v>
      </c>
      <c r="B205" s="12" t="s">
        <v>315</v>
      </c>
      <c r="C205" s="12" t="s">
        <v>316</v>
      </c>
      <c r="D205" s="16" t="n">
        <v>0.00278020833333333</v>
      </c>
      <c r="E205" s="15" t="n">
        <f aca="false">ROUND((D205-$D$5)*86400,2)</f>
        <v>15.18</v>
      </c>
      <c r="F205" s="17" t="n">
        <v>151</v>
      </c>
      <c r="G205" s="16" t="n">
        <f aca="false">IF(INDEX(選手一覧!$D$7:$D$2738,$F205)="","",INDEX(選手一覧!$D$7:$D$2738,$F205))</f>
        <v>0.0102828703703704</v>
      </c>
      <c r="H205" s="17" t="n">
        <f aca="false">IF(INDEX(選手一覧!$E$7:$E$2738,$F205)="","",INDEX(選手一覧!$E$7:$E$2738,$F205))</f>
        <v>152</v>
      </c>
      <c r="I205" s="16" t="n">
        <f aca="false">IF(INDEX(選手一覧!$H$7:$H$2738,$F205)="","",INDEX(選手一覧!$H$7:$H$2738,$F205))</f>
        <v>0.00644189814814815</v>
      </c>
      <c r="J205" s="17" t="n">
        <f aca="false">IF(INDEX(選手一覧!$I$7:$I$2738,$F205)="","",INDEX(選手一覧!$I$7:$I$2738,$F205))</f>
        <v>22</v>
      </c>
    </row>
    <row r="206" customFormat="false" ht="15" hidden="false" customHeight="false" outlineLevel="0" collapsed="false">
      <c r="A206" s="17" t="n">
        <v>202</v>
      </c>
      <c r="B206" s="12" t="s">
        <v>536</v>
      </c>
      <c r="C206" s="12" t="s">
        <v>537</v>
      </c>
      <c r="D206" s="16" t="n">
        <v>0.00278032407407407</v>
      </c>
      <c r="E206" s="15" t="n">
        <f aca="false">ROUND((D206-$D$5)*86400,2)</f>
        <v>15.19</v>
      </c>
      <c r="F206" s="17" t="n">
        <v>283</v>
      </c>
      <c r="G206" s="16" t="n">
        <f aca="false">IF(INDEX(選手一覧!$D$7:$D$2738,$F206)="","",INDEX(選手一覧!$D$7:$D$2738,$F206))</f>
        <v>0.0104189814814815</v>
      </c>
      <c r="H206" s="17" t="n">
        <f aca="false">IF(INDEX(選手一覧!$E$7:$E$2738,$F206)="","",INDEX(選手一覧!$E$7:$E$2738,$F206))</f>
        <v>284</v>
      </c>
      <c r="I206" s="16" t="str">
        <f aca="false">IF(INDEX(選手一覧!$H$7:$H$2738,$F206)="","",INDEX(選手一覧!$H$7:$H$2738,$F206))</f>
        <v/>
      </c>
      <c r="J206" s="17" t="str">
        <f aca="false">IF(INDEX(選手一覧!$I$7:$I$2738,$F206)="","",INDEX(選手一覧!$I$7:$I$2738,$F206))</f>
        <v/>
      </c>
    </row>
    <row r="207" customFormat="false" ht="15" hidden="false" customHeight="false" outlineLevel="0" collapsed="false">
      <c r="A207" s="17" t="n">
        <v>203</v>
      </c>
      <c r="B207" s="12" t="s">
        <v>1267</v>
      </c>
      <c r="C207" s="12" t="s">
        <v>214</v>
      </c>
      <c r="D207" s="16" t="n">
        <v>0.00278055555555556</v>
      </c>
      <c r="E207" s="15" t="n">
        <f aca="false">ROUND((D207-$D$5)*86400,2)</f>
        <v>15.21</v>
      </c>
      <c r="F207" s="17" t="n">
        <v>755</v>
      </c>
      <c r="G207" s="16" t="n">
        <f aca="false">IF(INDEX(選手一覧!$D$7:$D$2738,$F207)="","",INDEX(選手一覧!$D$7:$D$2738,$F207))</f>
        <v>0.0108065972222222</v>
      </c>
      <c r="H207" s="17" t="n">
        <f aca="false">IF(INDEX(選手一覧!$E$7:$E$2738,$F207)="","",INDEX(選手一覧!$E$7:$E$2738,$F207))</f>
        <v>756</v>
      </c>
      <c r="I207" s="16" t="str">
        <f aca="false">IF(INDEX(選手一覧!$H$7:$H$2738,$F207)="","",INDEX(選手一覧!$H$7:$H$2738,$F207))</f>
        <v/>
      </c>
      <c r="J207" s="17" t="str">
        <f aca="false">IF(INDEX(選手一覧!$I$7:$I$2738,$F207)="","",INDEX(選手一覧!$I$7:$I$2738,$F207))</f>
        <v/>
      </c>
    </row>
    <row r="208" customFormat="false" ht="15" hidden="false" customHeight="false" outlineLevel="0" collapsed="false">
      <c r="A208" s="17" t="n">
        <v>204</v>
      </c>
      <c r="B208" s="12" t="s">
        <v>1313</v>
      </c>
      <c r="C208" s="12" t="s">
        <v>1104</v>
      </c>
      <c r="D208" s="16" t="n">
        <v>0.00278055555555556</v>
      </c>
      <c r="E208" s="15" t="n">
        <f aca="false">ROUND((D208-$D$5)*86400,2)</f>
        <v>15.21</v>
      </c>
      <c r="F208" s="17" t="n">
        <v>791</v>
      </c>
      <c r="G208" s="16" t="n">
        <f aca="false">IF(INDEX(選手一覧!$D$7:$D$2738,$F208)="","",INDEX(選手一覧!$D$7:$D$2738,$F208))</f>
        <v>0.0108310185185185</v>
      </c>
      <c r="H208" s="17" t="n">
        <f aca="false">IF(INDEX(選手一覧!$E$7:$E$2738,$F208)="","",INDEX(選手一覧!$E$7:$E$2738,$F208))</f>
        <v>792</v>
      </c>
      <c r="I208" s="16" t="str">
        <f aca="false">IF(INDEX(選手一覧!$H$7:$H$2738,$F208)="","",INDEX(選手一覧!$H$7:$H$2738,$F208))</f>
        <v/>
      </c>
      <c r="J208" s="17" t="str">
        <f aca="false">IF(INDEX(選手一覧!$I$7:$I$2738,$F208)="","",INDEX(選手一覧!$I$7:$I$2738,$F208))</f>
        <v/>
      </c>
    </row>
    <row r="209" customFormat="false" ht="15" hidden="false" customHeight="false" outlineLevel="0" collapsed="false">
      <c r="A209" s="17" t="n">
        <v>205</v>
      </c>
      <c r="B209" s="12" t="s">
        <v>826</v>
      </c>
      <c r="C209" s="12" t="s">
        <v>186</v>
      </c>
      <c r="D209" s="16" t="n">
        <v>0.0027806712962963</v>
      </c>
      <c r="E209" s="15" t="n">
        <f aca="false">ROUND((D209-$D$5)*86400,2)</f>
        <v>15.22</v>
      </c>
      <c r="F209" s="17" t="n">
        <v>467</v>
      </c>
      <c r="G209" s="16" t="n">
        <f aca="false">IF(INDEX(選手一覧!$D$7:$D$2738,$F209)="","",INDEX(選手一覧!$D$7:$D$2738,$F209))</f>
        <v>0.0106052083333333</v>
      </c>
      <c r="H209" s="17" t="n">
        <f aca="false">IF(INDEX(選手一覧!$E$7:$E$2738,$F209)="","",INDEX(選手一覧!$E$7:$E$2738,$F209))</f>
        <v>468</v>
      </c>
      <c r="I209" s="16" t="n">
        <f aca="false">IF(INDEX(選手一覧!$H$7:$H$2738,$F209)="","",INDEX(選手一覧!$H$7:$H$2738,$F209))</f>
        <v>0.00659479166666667</v>
      </c>
      <c r="J209" s="17" t="n">
        <f aca="false">IF(INDEX(選手一覧!$I$7:$I$2738,$F209)="","",INDEX(選手一覧!$I$7:$I$2738,$F209))</f>
        <v>67</v>
      </c>
    </row>
    <row r="210" customFormat="false" ht="15" hidden="false" customHeight="false" outlineLevel="0" collapsed="false">
      <c r="A210" s="17" t="n">
        <v>206</v>
      </c>
      <c r="B210" s="12" t="s">
        <v>2129</v>
      </c>
      <c r="C210" s="12" t="s">
        <v>2130</v>
      </c>
      <c r="D210" s="16" t="n">
        <v>0.00278113425925926</v>
      </c>
      <c r="E210" s="15" t="n">
        <f aca="false">ROUND((D210-$D$5)*86400,2)</f>
        <v>15.26</v>
      </c>
      <c r="F210" s="17" t="n">
        <v>1351</v>
      </c>
      <c r="G210" s="16" t="str">
        <f aca="false">IF(INDEX(選手一覧!$D$7:$D$2738,$F210)="","",INDEX(選手一覧!$D$7:$D$2738,$F210))</f>
        <v/>
      </c>
      <c r="H210" s="17" t="str">
        <f aca="false">IF(INDEX(選手一覧!$E$7:$E$2738,$F210)="","",INDEX(選手一覧!$E$7:$E$2738,$F210))</f>
        <v/>
      </c>
      <c r="I210" s="16" t="str">
        <f aca="false">IF(INDEX(選手一覧!$H$7:$H$2738,$F210)="","",INDEX(選手一覧!$H$7:$H$2738,$F210))</f>
        <v/>
      </c>
      <c r="J210" s="17" t="str">
        <f aca="false">IF(INDEX(選手一覧!$I$7:$I$2738,$F210)="","",INDEX(選手一覧!$I$7:$I$2738,$F210))</f>
        <v/>
      </c>
    </row>
    <row r="211" customFormat="false" ht="15" hidden="false" customHeight="false" outlineLevel="0" collapsed="false">
      <c r="A211" s="17" t="n">
        <v>207</v>
      </c>
      <c r="B211" s="12" t="s">
        <v>1157</v>
      </c>
      <c r="C211" s="12" t="s">
        <v>595</v>
      </c>
      <c r="D211" s="16" t="n">
        <v>0.00278125</v>
      </c>
      <c r="E211" s="15" t="n">
        <f aca="false">ROUND((D211-$D$5)*86400,2)</f>
        <v>15.27</v>
      </c>
      <c r="F211" s="17" t="n">
        <v>685</v>
      </c>
      <c r="G211" s="16" t="n">
        <f aca="false">IF(INDEX(選手一覧!$D$7:$D$2738,$F211)="","",INDEX(選手一覧!$D$7:$D$2738,$F211))</f>
        <v>0.0107627314814815</v>
      </c>
      <c r="H211" s="17" t="n">
        <f aca="false">IF(INDEX(選手一覧!$E$7:$E$2738,$F211)="","",INDEX(選手一覧!$E$7:$E$2738,$F211))</f>
        <v>686</v>
      </c>
      <c r="I211" s="16" t="str">
        <f aca="false">IF(INDEX(選手一覧!$H$7:$H$2738,$F211)="","",INDEX(選手一覧!$H$7:$H$2738,$F211))</f>
        <v/>
      </c>
      <c r="J211" s="17" t="str">
        <f aca="false">IF(INDEX(選手一覧!$I$7:$I$2738,$F211)="","",INDEX(選手一覧!$I$7:$I$2738,$F211))</f>
        <v/>
      </c>
    </row>
    <row r="212" customFormat="false" ht="15" hidden="false" customHeight="false" outlineLevel="0" collapsed="false">
      <c r="A212" s="17" t="n">
        <v>208</v>
      </c>
      <c r="B212" s="12" t="s">
        <v>517</v>
      </c>
      <c r="C212" s="12" t="s">
        <v>316</v>
      </c>
      <c r="D212" s="16" t="n">
        <v>0.00278125</v>
      </c>
      <c r="E212" s="15" t="n">
        <f aca="false">ROUND((D212-$D$5)*86400,2)</f>
        <v>15.27</v>
      </c>
      <c r="F212" s="17" t="n">
        <v>272</v>
      </c>
      <c r="G212" s="16" t="n">
        <f aca="false">IF(INDEX(選手一覧!$D$7:$D$2738,$F212)="","",INDEX(選手一覧!$D$7:$D$2738,$F212))</f>
        <v>0.0104087962962963</v>
      </c>
      <c r="H212" s="17" t="n">
        <f aca="false">IF(INDEX(選手一覧!$E$7:$E$2738,$F212)="","",INDEX(選手一覧!$E$7:$E$2738,$F212))</f>
        <v>273</v>
      </c>
      <c r="I212" s="16" t="str">
        <f aca="false">IF(INDEX(選手一覧!$H$7:$H$2738,$F212)="","",INDEX(選手一覧!$H$7:$H$2738,$F212))</f>
        <v/>
      </c>
      <c r="J212" s="17" t="str">
        <f aca="false">IF(INDEX(選手一覧!$I$7:$I$2738,$F212)="","",INDEX(選手一覧!$I$7:$I$2738,$F212))</f>
        <v/>
      </c>
    </row>
    <row r="213" customFormat="false" ht="15" hidden="false" customHeight="false" outlineLevel="0" collapsed="false">
      <c r="A213" s="17" t="n">
        <v>209</v>
      </c>
      <c r="B213" s="12" t="s">
        <v>36</v>
      </c>
      <c r="C213" s="12" t="s">
        <v>37</v>
      </c>
      <c r="D213" s="16" t="n">
        <v>0.00278136574074074</v>
      </c>
      <c r="E213" s="15" t="n">
        <f aca="false">ROUND((D213-$D$5)*86400,2)</f>
        <v>15.28</v>
      </c>
      <c r="F213" s="17" t="n">
        <v>6</v>
      </c>
      <c r="G213" s="16" t="n">
        <f aca="false">IF(INDEX(選手一覧!$D$7:$D$2738,$F213)="","",INDEX(選手一覧!$D$7:$D$2738,$F213))</f>
        <v>0.00975914351851852</v>
      </c>
      <c r="H213" s="17" t="n">
        <f aca="false">IF(INDEX(選手一覧!$E$7:$E$2738,$F213)="","",INDEX(選手一覧!$E$7:$E$2738,$F213))</f>
        <v>6</v>
      </c>
      <c r="I213" s="16" t="n">
        <f aca="false">IF(INDEX(選手一覧!$H$7:$H$2738,$F213)="","",INDEX(選手一覧!$H$7:$H$2738,$F213))</f>
        <v>0.00626909722222222</v>
      </c>
      <c r="J213" s="17" t="n">
        <f aca="false">IF(INDEX(選手一覧!$I$7:$I$2738,$F213)="","",INDEX(選手一覧!$I$7:$I$2738,$F213))</f>
        <v>2</v>
      </c>
    </row>
    <row r="214" customFormat="false" ht="15" hidden="false" customHeight="false" outlineLevel="0" collapsed="false">
      <c r="A214" s="17" t="n">
        <v>210</v>
      </c>
      <c r="B214" s="12" t="s">
        <v>554</v>
      </c>
      <c r="C214" s="12" t="s">
        <v>71</v>
      </c>
      <c r="D214" s="16" t="n">
        <v>0.00278194444444445</v>
      </c>
      <c r="E214" s="15" t="n">
        <f aca="false">ROUND((D214-$D$5)*86400,2)</f>
        <v>15.33</v>
      </c>
      <c r="F214" s="17" t="n">
        <v>295</v>
      </c>
      <c r="G214" s="16" t="n">
        <f aca="false">IF(INDEX(選手一覧!$D$7:$D$2738,$F214)="","",INDEX(選手一覧!$D$7:$D$2738,$F214))</f>
        <v>0.0104322916666667</v>
      </c>
      <c r="H214" s="17" t="n">
        <f aca="false">IF(INDEX(選手一覧!$E$7:$E$2738,$F214)="","",INDEX(選手一覧!$E$7:$E$2738,$F214))</f>
        <v>296</v>
      </c>
      <c r="I214" s="16" t="str">
        <f aca="false">IF(INDEX(選手一覧!$H$7:$H$2738,$F214)="","",INDEX(選手一覧!$H$7:$H$2738,$F214))</f>
        <v/>
      </c>
      <c r="J214" s="17" t="str">
        <f aca="false">IF(INDEX(選手一覧!$I$7:$I$2738,$F214)="","",INDEX(選手一覧!$I$7:$I$2738,$F214))</f>
        <v/>
      </c>
    </row>
    <row r="215" customFormat="false" ht="15" hidden="false" customHeight="false" outlineLevel="0" collapsed="false">
      <c r="A215" s="17" t="n">
        <v>211</v>
      </c>
      <c r="B215" s="12" t="s">
        <v>2133</v>
      </c>
      <c r="C215" s="12" t="s">
        <v>167</v>
      </c>
      <c r="D215" s="16" t="n">
        <v>0.00278240740740741</v>
      </c>
      <c r="E215" s="15" t="n">
        <f aca="false">ROUND((D215-$D$5)*86400,2)</f>
        <v>15.37</v>
      </c>
      <c r="F215" s="17" t="n">
        <v>1353</v>
      </c>
      <c r="G215" s="16" t="str">
        <f aca="false">IF(INDEX(選手一覧!$D$7:$D$2738,$F215)="","",INDEX(選手一覧!$D$7:$D$2738,$F215))</f>
        <v/>
      </c>
      <c r="H215" s="17" t="str">
        <f aca="false">IF(INDEX(選手一覧!$E$7:$E$2738,$F215)="","",INDEX(選手一覧!$E$7:$E$2738,$F215))</f>
        <v/>
      </c>
      <c r="I215" s="16" t="str">
        <f aca="false">IF(INDEX(選手一覧!$H$7:$H$2738,$F215)="","",INDEX(選手一覧!$H$7:$H$2738,$F215))</f>
        <v/>
      </c>
      <c r="J215" s="17" t="str">
        <f aca="false">IF(INDEX(選手一覧!$I$7:$I$2738,$F215)="","",INDEX(選手一覧!$I$7:$I$2738,$F215))</f>
        <v/>
      </c>
    </row>
    <row r="216" customFormat="false" ht="15" hidden="false" customHeight="false" outlineLevel="0" collapsed="false">
      <c r="A216" s="17" t="n">
        <v>212</v>
      </c>
      <c r="B216" s="12" t="s">
        <v>337</v>
      </c>
      <c r="C216" s="12" t="s">
        <v>167</v>
      </c>
      <c r="D216" s="16" t="n">
        <v>0.00278275462962963</v>
      </c>
      <c r="E216" s="15" t="n">
        <f aca="false">ROUND((D216-$D$5)*86400,2)</f>
        <v>15.4</v>
      </c>
      <c r="F216" s="17" t="n">
        <v>162</v>
      </c>
      <c r="G216" s="16" t="n">
        <f aca="false">IF(INDEX(選手一覧!$D$7:$D$2738,$F216)="","",INDEX(選手一覧!$D$7:$D$2738,$F216))</f>
        <v>0.0103019675925926</v>
      </c>
      <c r="H216" s="17" t="n">
        <f aca="false">IF(INDEX(選手一覧!$E$7:$E$2738,$F216)="","",INDEX(選手一覧!$E$7:$E$2738,$F216))</f>
        <v>163</v>
      </c>
      <c r="I216" s="16" t="n">
        <f aca="false">IF(INDEX(選手一覧!$H$7:$H$2738,$F216)="","",INDEX(選手一覧!$H$7:$H$2738,$F216))</f>
        <v>0.00693576388888889</v>
      </c>
      <c r="J216" s="17" t="n">
        <f aca="false">IF(INDEX(選手一覧!$I$7:$I$2738,$F216)="","",INDEX(選手一覧!$I$7:$I$2738,$F216))</f>
        <v>278</v>
      </c>
    </row>
    <row r="217" customFormat="false" ht="15" hidden="false" customHeight="false" outlineLevel="0" collapsed="false">
      <c r="A217" s="17" t="n">
        <v>213</v>
      </c>
      <c r="B217" s="12" t="s">
        <v>909</v>
      </c>
      <c r="C217" s="12" t="s">
        <v>910</v>
      </c>
      <c r="D217" s="16" t="n">
        <v>0.00278333333333333</v>
      </c>
      <c r="E217" s="15" t="n">
        <f aca="false">ROUND((D217-$D$5)*86400,2)</f>
        <v>15.45</v>
      </c>
      <c r="F217" s="17" t="n">
        <v>517</v>
      </c>
      <c r="G217" s="16" t="n">
        <f aca="false">IF(INDEX(選手一覧!$D$7:$D$2738,$F217)="","",INDEX(選手一覧!$D$7:$D$2738,$F217))</f>
        <v>0.0106444444444444</v>
      </c>
      <c r="H217" s="17" t="n">
        <f aca="false">IF(INDEX(選手一覧!$E$7:$E$2738,$F217)="","",INDEX(選手一覧!$E$7:$E$2738,$F217))</f>
        <v>518</v>
      </c>
      <c r="I217" s="16" t="n">
        <f aca="false">IF(INDEX(選手一覧!$H$7:$H$2738,$F217)="","",INDEX(選手一覧!$H$7:$H$2738,$F217))</f>
        <v>0.00697905092592593</v>
      </c>
      <c r="J217" s="17" t="n">
        <f aca="false">IF(INDEX(選手一覧!$I$7:$I$2738,$F217)="","",INDEX(選手一覧!$I$7:$I$2738,$F217))</f>
        <v>311</v>
      </c>
    </row>
    <row r="218" customFormat="false" ht="15" hidden="false" customHeight="false" outlineLevel="0" collapsed="false">
      <c r="A218" s="17" t="n">
        <v>214</v>
      </c>
      <c r="B218" s="12" t="s">
        <v>1205</v>
      </c>
      <c r="C218" s="12" t="s">
        <v>619</v>
      </c>
      <c r="D218" s="16" t="n">
        <v>0.00278356481481482</v>
      </c>
      <c r="E218" s="15" t="n">
        <f aca="false">ROUND((D218-$D$5)*86400,2)</f>
        <v>15.47</v>
      </c>
      <c r="F218" s="17" t="n">
        <v>717</v>
      </c>
      <c r="G218" s="16" t="n">
        <f aca="false">IF(INDEX(選手一覧!$D$7:$D$2738,$F218)="","",INDEX(選手一覧!$D$7:$D$2738,$F218))</f>
        <v>0.0107881944444444</v>
      </c>
      <c r="H218" s="17" t="n">
        <f aca="false">IF(INDEX(選手一覧!$E$7:$E$2738,$F218)="","",INDEX(選手一覧!$E$7:$E$2738,$F218))</f>
        <v>718</v>
      </c>
      <c r="I218" s="16" t="n">
        <f aca="false">IF(INDEX(選手一覧!$H$7:$H$2738,$F218)="","",INDEX(選手一覧!$H$7:$H$2738,$F218))</f>
        <v>0.00738912037037037</v>
      </c>
      <c r="J218" s="17" t="n">
        <f aca="false">IF(INDEX(選手一覧!$I$7:$I$2738,$F218)="","",INDEX(選手一覧!$I$7:$I$2738,$F218))</f>
        <v>760</v>
      </c>
    </row>
    <row r="219" customFormat="false" ht="15" hidden="false" customHeight="false" outlineLevel="0" collapsed="false">
      <c r="A219" s="17" t="n">
        <v>215</v>
      </c>
      <c r="B219" s="12" t="s">
        <v>289</v>
      </c>
      <c r="C219" s="12" t="s">
        <v>290</v>
      </c>
      <c r="D219" s="16" t="n">
        <v>0.0027837962962963</v>
      </c>
      <c r="E219" s="15" t="n">
        <f aca="false">ROUND((D219-$D$5)*86400,2)</f>
        <v>15.49</v>
      </c>
      <c r="F219" s="17" t="n">
        <v>137</v>
      </c>
      <c r="G219" s="16" t="n">
        <f aca="false">IF(INDEX(選手一覧!$D$7:$D$2738,$F219)="","",INDEX(選手一覧!$D$7:$D$2738,$F219))</f>
        <v>0.010269212962963</v>
      </c>
      <c r="H219" s="17" t="n">
        <f aca="false">IF(INDEX(選手一覧!$E$7:$E$2738,$F219)="","",INDEX(選手一覧!$E$7:$E$2738,$F219))</f>
        <v>138</v>
      </c>
      <c r="I219" s="16" t="str">
        <f aca="false">IF(INDEX(選手一覧!$H$7:$H$2738,$F219)="","",INDEX(選手一覧!$H$7:$H$2738,$F219))</f>
        <v/>
      </c>
      <c r="J219" s="17" t="str">
        <f aca="false">IF(INDEX(選手一覧!$I$7:$I$2738,$F219)="","",INDEX(選手一覧!$I$7:$I$2738,$F219))</f>
        <v/>
      </c>
    </row>
    <row r="220" customFormat="false" ht="15" hidden="false" customHeight="false" outlineLevel="0" collapsed="false">
      <c r="A220" s="17" t="n">
        <v>216</v>
      </c>
      <c r="B220" s="12" t="s">
        <v>350</v>
      </c>
      <c r="C220" s="12" t="s">
        <v>351</v>
      </c>
      <c r="D220" s="16" t="n">
        <v>0.00278391203703704</v>
      </c>
      <c r="E220" s="15" t="n">
        <f aca="false">ROUND((D220-$D$5)*86400,2)</f>
        <v>15.5</v>
      </c>
      <c r="F220" s="17" t="n">
        <v>169</v>
      </c>
      <c r="G220" s="16" t="n">
        <f aca="false">IF(INDEX(選手一覧!$D$7:$D$2738,$F220)="","",INDEX(選手一覧!$D$7:$D$2738,$F220))</f>
        <v>0.0103172453703704</v>
      </c>
      <c r="H220" s="17" t="n">
        <f aca="false">IF(INDEX(選手一覧!$E$7:$E$2738,$F220)="","",INDEX(選手一覧!$E$7:$E$2738,$F220))</f>
        <v>170</v>
      </c>
      <c r="I220" s="16" t="n">
        <f aca="false">IF(INDEX(選手一覧!$H$7:$H$2738,$F220)="","",INDEX(選手一覧!$H$7:$H$2738,$F220))</f>
        <v>0.00654826388888889</v>
      </c>
      <c r="J220" s="17" t="n">
        <f aca="false">IF(INDEX(選手一覧!$I$7:$I$2738,$F220)="","",INDEX(選手一覧!$I$7:$I$2738,$F220))</f>
        <v>45</v>
      </c>
    </row>
    <row r="221" customFormat="false" ht="15" hidden="false" customHeight="false" outlineLevel="0" collapsed="false">
      <c r="A221" s="17" t="n">
        <v>217</v>
      </c>
      <c r="B221" s="12" t="s">
        <v>527</v>
      </c>
      <c r="C221" s="12" t="s">
        <v>348</v>
      </c>
      <c r="D221" s="16" t="n">
        <v>0.00278425925925926</v>
      </c>
      <c r="E221" s="15" t="n">
        <f aca="false">ROUND((D221-$D$5)*86400,2)</f>
        <v>15.53</v>
      </c>
      <c r="F221" s="17" t="n">
        <v>278</v>
      </c>
      <c r="G221" s="16" t="n">
        <f aca="false">IF(INDEX(選手一覧!$D$7:$D$2738,$F221)="","",INDEX(選手一覧!$D$7:$D$2738,$F221))</f>
        <v>0.0104118055555556</v>
      </c>
      <c r="H221" s="17" t="n">
        <f aca="false">IF(INDEX(選手一覧!$E$7:$E$2738,$F221)="","",INDEX(選手一覧!$E$7:$E$2738,$F221))</f>
        <v>279</v>
      </c>
      <c r="I221" s="16" t="n">
        <f aca="false">IF(INDEX(選手一覧!$H$7:$H$2738,$F221)="","",INDEX(選手一覧!$H$7:$H$2738,$F221))</f>
        <v>0.00650740740740741</v>
      </c>
      <c r="J221" s="17" t="n">
        <f aca="false">IF(INDEX(選手一覧!$I$7:$I$2738,$F221)="","",INDEX(選手一覧!$I$7:$I$2738,$F221))</f>
        <v>38</v>
      </c>
    </row>
    <row r="222" customFormat="false" ht="15" hidden="false" customHeight="false" outlineLevel="0" collapsed="false">
      <c r="A222" s="17" t="n">
        <v>218</v>
      </c>
      <c r="B222" s="12" t="s">
        <v>816</v>
      </c>
      <c r="C222" s="12" t="s">
        <v>817</v>
      </c>
      <c r="D222" s="16" t="n">
        <v>0.0027849537037037</v>
      </c>
      <c r="E222" s="15" t="n">
        <f aca="false">ROUND((D222-$D$5)*86400,2)</f>
        <v>15.59</v>
      </c>
      <c r="F222" s="17" t="n">
        <v>461</v>
      </c>
      <c r="G222" s="16" t="n">
        <f aca="false">IF(INDEX(選手一覧!$D$7:$D$2738,$F222)="","",INDEX(選手一覧!$D$7:$D$2738,$F222))</f>
        <v>0.0105994212962963</v>
      </c>
      <c r="H222" s="17" t="n">
        <f aca="false">IF(INDEX(選手一覧!$E$7:$E$2738,$F222)="","",INDEX(選手一覧!$E$7:$E$2738,$F222))</f>
        <v>462</v>
      </c>
      <c r="I222" s="16" t="str">
        <f aca="false">IF(INDEX(選手一覧!$H$7:$H$2738,$F222)="","",INDEX(選手一覧!$H$7:$H$2738,$F222))</f>
        <v/>
      </c>
      <c r="J222" s="17" t="str">
        <f aca="false">IF(INDEX(選手一覧!$I$7:$I$2738,$F222)="","",INDEX(選手一覧!$I$7:$I$2738,$F222))</f>
        <v/>
      </c>
    </row>
    <row r="223" customFormat="false" ht="15" hidden="false" customHeight="false" outlineLevel="0" collapsed="false">
      <c r="A223" s="17" t="n">
        <v>219</v>
      </c>
      <c r="B223" s="12" t="s">
        <v>1481</v>
      </c>
      <c r="C223" s="12" t="s">
        <v>1482</v>
      </c>
      <c r="D223" s="16" t="n">
        <v>0.00278506944444444</v>
      </c>
      <c r="E223" s="15" t="n">
        <f aca="false">ROUND((D223-$D$5)*86400,2)</f>
        <v>15.6</v>
      </c>
      <c r="F223" s="17" t="n">
        <v>899</v>
      </c>
      <c r="G223" s="16" t="n">
        <f aca="false">IF(INDEX(選手一覧!$D$7:$D$2738,$F223)="","",INDEX(選手一覧!$D$7:$D$2738,$F223))</f>
        <v>0.0108844907407407</v>
      </c>
      <c r="H223" s="17" t="n">
        <f aca="false">IF(INDEX(選手一覧!$E$7:$E$2738,$F223)="","",INDEX(選手一覧!$E$7:$E$2738,$F223))</f>
        <v>900</v>
      </c>
      <c r="I223" s="16" t="str">
        <f aca="false">IF(INDEX(選手一覧!$H$7:$H$2738,$F223)="","",INDEX(選手一覧!$H$7:$H$2738,$F223))</f>
        <v/>
      </c>
      <c r="J223" s="17" t="str">
        <f aca="false">IF(INDEX(選手一覧!$I$7:$I$2738,$F223)="","",INDEX(選手一覧!$I$7:$I$2738,$F223))</f>
        <v/>
      </c>
    </row>
    <row r="224" customFormat="false" ht="15" hidden="false" customHeight="false" outlineLevel="0" collapsed="false">
      <c r="A224" s="17" t="n">
        <v>220</v>
      </c>
      <c r="B224" s="12" t="s">
        <v>2140</v>
      </c>
      <c r="C224" s="12" t="s">
        <v>1503</v>
      </c>
      <c r="D224" s="16" t="n">
        <v>0.00278564814814815</v>
      </c>
      <c r="E224" s="15" t="n">
        <f aca="false">ROUND((D224-$D$5)*86400,2)</f>
        <v>15.65</v>
      </c>
      <c r="F224" s="17" t="n">
        <v>1357</v>
      </c>
      <c r="G224" s="16" t="str">
        <f aca="false">IF(INDEX(選手一覧!$D$7:$D$2738,$F224)="","",INDEX(選手一覧!$D$7:$D$2738,$F224))</f>
        <v/>
      </c>
      <c r="H224" s="17" t="str">
        <f aca="false">IF(INDEX(選手一覧!$E$7:$E$2738,$F224)="","",INDEX(選手一覧!$E$7:$E$2738,$F224))</f>
        <v/>
      </c>
      <c r="I224" s="16" t="n">
        <f aca="false">IF(INDEX(選手一覧!$H$7:$H$2738,$F224)="","",INDEX(選手一覧!$H$7:$H$2738,$F224))</f>
        <v>0.00692916666666667</v>
      </c>
      <c r="J224" s="17" t="n">
        <f aca="false">IF(INDEX(選手一覧!$I$7:$I$2738,$F224)="","",INDEX(選手一覧!$I$7:$I$2738,$F224))</f>
        <v>271</v>
      </c>
    </row>
    <row r="225" customFormat="false" ht="15" hidden="false" customHeight="false" outlineLevel="0" collapsed="false">
      <c r="A225" s="17" t="n">
        <v>221</v>
      </c>
      <c r="B225" s="12" t="s">
        <v>1528</v>
      </c>
      <c r="C225" s="12" t="s">
        <v>1141</v>
      </c>
      <c r="D225" s="16" t="n">
        <v>0.00278599537037037</v>
      </c>
      <c r="E225" s="15" t="n">
        <f aca="false">ROUND((D225-$D$5)*86400,2)</f>
        <v>15.68</v>
      </c>
      <c r="F225" s="17" t="n">
        <v>929</v>
      </c>
      <c r="G225" s="16" t="n">
        <f aca="false">IF(INDEX(選手一覧!$D$7:$D$2738,$F225)="","",INDEX(選手一覧!$D$7:$D$2738,$F225))</f>
        <v>0.0109063657407407</v>
      </c>
      <c r="H225" s="17" t="n">
        <f aca="false">IF(INDEX(選手一覧!$E$7:$E$2738,$F225)="","",INDEX(選手一覧!$E$7:$E$2738,$F225))</f>
        <v>930</v>
      </c>
      <c r="I225" s="16" t="str">
        <f aca="false">IF(INDEX(選手一覧!$H$7:$H$2738,$F225)="","",INDEX(選手一覧!$H$7:$H$2738,$F225))</f>
        <v/>
      </c>
      <c r="J225" s="17" t="str">
        <f aca="false">IF(INDEX(選手一覧!$I$7:$I$2738,$F225)="","",INDEX(選手一覧!$I$7:$I$2738,$F225))</f>
        <v/>
      </c>
    </row>
    <row r="226" customFormat="false" ht="15" hidden="false" customHeight="false" outlineLevel="0" collapsed="false">
      <c r="A226" s="17" t="n">
        <v>222</v>
      </c>
      <c r="B226" s="12" t="s">
        <v>689</v>
      </c>
      <c r="C226" s="12" t="s">
        <v>690</v>
      </c>
      <c r="D226" s="16" t="n">
        <v>0.00278622685185185</v>
      </c>
      <c r="E226" s="15" t="n">
        <f aca="false">ROUND((D226-$D$5)*86400,2)</f>
        <v>15.7</v>
      </c>
      <c r="F226" s="17" t="n">
        <v>379</v>
      </c>
      <c r="G226" s="16" t="n">
        <f aca="false">IF(INDEX(選手一覧!$D$7:$D$2738,$F226)="","",INDEX(選手一覧!$D$7:$D$2738,$F226))</f>
        <v>0.0105354166666667</v>
      </c>
      <c r="H226" s="17" t="n">
        <f aca="false">IF(INDEX(選手一覧!$E$7:$E$2738,$F226)="","",INDEX(選手一覧!$E$7:$E$2738,$F226))</f>
        <v>380</v>
      </c>
      <c r="I226" s="16" t="str">
        <f aca="false">IF(INDEX(選手一覧!$H$7:$H$2738,$F226)="","",INDEX(選手一覧!$H$7:$H$2738,$F226))</f>
        <v/>
      </c>
      <c r="J226" s="17" t="str">
        <f aca="false">IF(INDEX(選手一覧!$I$7:$I$2738,$F226)="","",INDEX(選手一覧!$I$7:$I$2738,$F226))</f>
        <v/>
      </c>
    </row>
    <row r="227" customFormat="false" ht="15" hidden="false" customHeight="false" outlineLevel="0" collapsed="false">
      <c r="A227" s="17" t="n">
        <v>223</v>
      </c>
      <c r="B227" s="12" t="s">
        <v>1428</v>
      </c>
      <c r="C227" s="12" t="s">
        <v>1429</v>
      </c>
      <c r="D227" s="16" t="n">
        <v>0.00278645833333333</v>
      </c>
      <c r="E227" s="15" t="n">
        <f aca="false">ROUND((D227-$D$5)*86400,2)</f>
        <v>15.72</v>
      </c>
      <c r="F227" s="17" t="n">
        <v>865</v>
      </c>
      <c r="G227" s="16" t="n">
        <f aca="false">IF(INDEX(選手一覧!$D$7:$D$2738,$F227)="","",INDEX(選手一覧!$D$7:$D$2738,$F227))</f>
        <v>0.0108675925925926</v>
      </c>
      <c r="H227" s="17" t="n">
        <f aca="false">IF(INDEX(選手一覧!$E$7:$E$2738,$F227)="","",INDEX(選手一覧!$E$7:$E$2738,$F227))</f>
        <v>866</v>
      </c>
      <c r="I227" s="16" t="str">
        <f aca="false">IF(INDEX(選手一覧!$H$7:$H$2738,$F227)="","",INDEX(選手一覧!$H$7:$H$2738,$F227))</f>
        <v/>
      </c>
      <c r="J227" s="17" t="str">
        <f aca="false">IF(INDEX(選手一覧!$I$7:$I$2738,$F227)="","",INDEX(選手一覧!$I$7:$I$2738,$F227))</f>
        <v/>
      </c>
    </row>
    <row r="228" customFormat="false" ht="15" hidden="false" customHeight="false" outlineLevel="0" collapsed="false">
      <c r="A228" s="17" t="n">
        <v>224</v>
      </c>
      <c r="B228" s="12" t="s">
        <v>2145</v>
      </c>
      <c r="C228" s="12" t="s">
        <v>1229</v>
      </c>
      <c r="D228" s="16" t="n">
        <v>0.00278645833333333</v>
      </c>
      <c r="E228" s="15" t="n">
        <f aca="false">ROUND((D228-$D$5)*86400,2)</f>
        <v>15.72</v>
      </c>
      <c r="F228" s="17" t="n">
        <v>1361</v>
      </c>
      <c r="G228" s="16" t="str">
        <f aca="false">IF(INDEX(選手一覧!$D$7:$D$2738,$F228)="","",INDEX(選手一覧!$D$7:$D$2738,$F228))</f>
        <v/>
      </c>
      <c r="H228" s="17" t="str">
        <f aca="false">IF(INDEX(選手一覧!$E$7:$E$2738,$F228)="","",INDEX(選手一覧!$E$7:$E$2738,$F228))</f>
        <v/>
      </c>
      <c r="I228" s="16" t="str">
        <f aca="false">IF(INDEX(選手一覧!$H$7:$H$2738,$F228)="","",INDEX(選手一覧!$H$7:$H$2738,$F228))</f>
        <v/>
      </c>
      <c r="J228" s="17" t="str">
        <f aca="false">IF(INDEX(選手一覧!$I$7:$I$2738,$F228)="","",INDEX(選手一覧!$I$7:$I$2738,$F228))</f>
        <v/>
      </c>
    </row>
    <row r="229" customFormat="false" ht="15" hidden="false" customHeight="false" outlineLevel="0" collapsed="false">
      <c r="A229" s="17" t="n">
        <v>225</v>
      </c>
      <c r="B229" s="12" t="s">
        <v>2146</v>
      </c>
      <c r="C229" s="12" t="s">
        <v>1049</v>
      </c>
      <c r="D229" s="16" t="n">
        <v>0.00278668981481482</v>
      </c>
      <c r="E229" s="15" t="n">
        <f aca="false">ROUND((D229-$D$5)*86400,2)</f>
        <v>15.74</v>
      </c>
      <c r="F229" s="17" t="n">
        <v>1362</v>
      </c>
      <c r="G229" s="16" t="str">
        <f aca="false">IF(INDEX(選手一覧!$D$7:$D$2738,$F229)="","",INDEX(選手一覧!$D$7:$D$2738,$F229))</f>
        <v/>
      </c>
      <c r="H229" s="17" t="str">
        <f aca="false">IF(INDEX(選手一覧!$E$7:$E$2738,$F229)="","",INDEX(選手一覧!$E$7:$E$2738,$F229))</f>
        <v/>
      </c>
      <c r="I229" s="16" t="n">
        <f aca="false">IF(INDEX(選手一覧!$H$7:$H$2738,$F229)="","",INDEX(選手一覧!$H$7:$H$2738,$F229))</f>
        <v>0.00802141203703704</v>
      </c>
      <c r="J229" s="17" t="n">
        <f aca="false">IF(INDEX(選手一覧!$I$7:$I$2738,$F229)="","",INDEX(選手一覧!$I$7:$I$2738,$F229))</f>
        <v>1195</v>
      </c>
    </row>
    <row r="230" customFormat="false" ht="15" hidden="false" customHeight="false" outlineLevel="0" collapsed="false">
      <c r="A230" s="17" t="n">
        <v>226</v>
      </c>
      <c r="B230" s="12" t="s">
        <v>2148</v>
      </c>
      <c r="C230" s="12" t="s">
        <v>2149</v>
      </c>
      <c r="D230" s="16" t="n">
        <v>0.00278668981481482</v>
      </c>
      <c r="E230" s="15" t="n">
        <f aca="false">ROUND((D230-$D$5)*86400,2)</f>
        <v>15.74</v>
      </c>
      <c r="F230" s="17" t="n">
        <v>1364</v>
      </c>
      <c r="G230" s="16" t="str">
        <f aca="false">IF(INDEX(選手一覧!$D$7:$D$2738,$F230)="","",INDEX(選手一覧!$D$7:$D$2738,$F230))</f>
        <v/>
      </c>
      <c r="H230" s="17" t="str">
        <f aca="false">IF(INDEX(選手一覧!$E$7:$E$2738,$F230)="","",INDEX(選手一覧!$E$7:$E$2738,$F230))</f>
        <v/>
      </c>
      <c r="I230" s="16" t="str">
        <f aca="false">IF(INDEX(選手一覧!$H$7:$H$2738,$F230)="","",INDEX(選手一覧!$H$7:$H$2738,$F230))</f>
        <v/>
      </c>
      <c r="J230" s="17" t="str">
        <f aca="false">IF(INDEX(選手一覧!$I$7:$I$2738,$F230)="","",INDEX(選手一覧!$I$7:$I$2738,$F230))</f>
        <v/>
      </c>
    </row>
    <row r="231" customFormat="false" ht="15" hidden="false" customHeight="false" outlineLevel="0" collapsed="false">
      <c r="A231" s="17" t="n">
        <v>227</v>
      </c>
      <c r="B231" s="12" t="s">
        <v>396</v>
      </c>
      <c r="C231" s="12" t="s">
        <v>397</v>
      </c>
      <c r="D231" s="16" t="n">
        <v>0.00278680555555556</v>
      </c>
      <c r="E231" s="15" t="n">
        <f aca="false">ROUND((D231-$D$5)*86400,2)</f>
        <v>15.75</v>
      </c>
      <c r="F231" s="17" t="n">
        <v>197</v>
      </c>
      <c r="G231" s="16" t="n">
        <f aca="false">IF(INDEX(選手一覧!$D$7:$D$2738,$F231)="","",INDEX(選手一覧!$D$7:$D$2738,$F231))</f>
        <v>0.0103467592592593</v>
      </c>
      <c r="H231" s="17" t="n">
        <f aca="false">IF(INDEX(選手一覧!$E$7:$E$2738,$F231)="","",INDEX(選手一覧!$E$7:$E$2738,$F231))</f>
        <v>198</v>
      </c>
      <c r="I231" s="16" t="str">
        <f aca="false">IF(INDEX(選手一覧!$H$7:$H$2738,$F231)="","",INDEX(選手一覧!$H$7:$H$2738,$F231))</f>
        <v/>
      </c>
      <c r="J231" s="17" t="str">
        <f aca="false">IF(INDEX(選手一覧!$I$7:$I$2738,$F231)="","",INDEX(選手一覧!$I$7:$I$2738,$F231))</f>
        <v/>
      </c>
    </row>
    <row r="232" customFormat="false" ht="15" hidden="false" customHeight="false" outlineLevel="0" collapsed="false">
      <c r="A232" s="17" t="n">
        <v>228</v>
      </c>
      <c r="B232" s="12" t="s">
        <v>2150</v>
      </c>
      <c r="C232" s="12" t="s">
        <v>2151</v>
      </c>
      <c r="D232" s="16" t="n">
        <v>0.00278680555555556</v>
      </c>
      <c r="E232" s="15" t="n">
        <f aca="false">ROUND((D232-$D$5)*86400,2)</f>
        <v>15.75</v>
      </c>
      <c r="F232" s="17" t="n">
        <v>1365</v>
      </c>
      <c r="G232" s="16" t="str">
        <f aca="false">IF(INDEX(選手一覧!$D$7:$D$2738,$F232)="","",INDEX(選手一覧!$D$7:$D$2738,$F232))</f>
        <v/>
      </c>
      <c r="H232" s="17" t="str">
        <f aca="false">IF(INDEX(選手一覧!$E$7:$E$2738,$F232)="","",INDEX(選手一覧!$E$7:$E$2738,$F232))</f>
        <v/>
      </c>
      <c r="I232" s="16" t="n">
        <f aca="false">IF(INDEX(選手一覧!$H$7:$H$2738,$F232)="","",INDEX(選手一覧!$H$7:$H$2738,$F232))</f>
        <v>0.006915625</v>
      </c>
      <c r="J232" s="17" t="n">
        <f aca="false">IF(INDEX(選手一覧!$I$7:$I$2738,$F232)="","",INDEX(選手一覧!$I$7:$I$2738,$F232))</f>
        <v>251</v>
      </c>
    </row>
    <row r="233" customFormat="false" ht="15" hidden="false" customHeight="false" outlineLevel="0" collapsed="false">
      <c r="A233" s="17" t="n">
        <v>229</v>
      </c>
      <c r="B233" s="12" t="s">
        <v>1529</v>
      </c>
      <c r="C233" s="12" t="s">
        <v>910</v>
      </c>
      <c r="D233" s="16" t="n">
        <v>0.00278680555555556</v>
      </c>
      <c r="E233" s="15" t="n">
        <f aca="false">ROUND((D233-$D$5)*86400,2)</f>
        <v>15.75</v>
      </c>
      <c r="F233" s="17" t="n">
        <v>930</v>
      </c>
      <c r="G233" s="16" t="n">
        <f aca="false">IF(INDEX(選手一覧!$D$7:$D$2738,$F233)="","",INDEX(選手一覧!$D$7:$D$2738,$F233))</f>
        <v>0.0109069444444444</v>
      </c>
      <c r="H233" s="17" t="n">
        <f aca="false">IF(INDEX(選手一覧!$E$7:$E$2738,$F233)="","",INDEX(選手一覧!$E$7:$E$2738,$F233))</f>
        <v>931</v>
      </c>
      <c r="I233" s="16" t="n">
        <f aca="false">IF(INDEX(選手一覧!$H$7:$H$2738,$F233)="","",INDEX(選手一覧!$H$7:$H$2738,$F233))</f>
        <v>0.00685810185185185</v>
      </c>
      <c r="J233" s="17" t="n">
        <f aca="false">IF(INDEX(選手一覧!$I$7:$I$2738,$F233)="","",INDEX(選手一覧!$I$7:$I$2738,$F233))</f>
        <v>209</v>
      </c>
    </row>
    <row r="234" customFormat="false" ht="15" hidden="false" customHeight="false" outlineLevel="0" collapsed="false">
      <c r="A234" s="17" t="n">
        <v>230</v>
      </c>
      <c r="B234" s="12" t="s">
        <v>808</v>
      </c>
      <c r="C234" s="12" t="s">
        <v>809</v>
      </c>
      <c r="D234" s="16" t="n">
        <v>0.00278680555555556</v>
      </c>
      <c r="E234" s="15" t="n">
        <f aca="false">ROUND((D234-$D$5)*86400,2)</f>
        <v>15.75</v>
      </c>
      <c r="F234" s="17" t="n">
        <v>456</v>
      </c>
      <c r="G234" s="16" t="n">
        <f aca="false">IF(INDEX(選手一覧!$D$7:$D$2738,$F234)="","",INDEX(選手一覧!$D$7:$D$2738,$F234))</f>
        <v>0.0105912037037037</v>
      </c>
      <c r="H234" s="17" t="n">
        <f aca="false">IF(INDEX(選手一覧!$E$7:$E$2738,$F234)="","",INDEX(選手一覧!$E$7:$E$2738,$F234))</f>
        <v>457</v>
      </c>
      <c r="I234" s="16" t="str">
        <f aca="false">IF(INDEX(選手一覧!$H$7:$H$2738,$F234)="","",INDEX(選手一覧!$H$7:$H$2738,$F234))</f>
        <v/>
      </c>
      <c r="J234" s="17" t="str">
        <f aca="false">IF(INDEX(選手一覧!$I$7:$I$2738,$F234)="","",INDEX(選手一覧!$I$7:$I$2738,$F234))</f>
        <v/>
      </c>
    </row>
    <row r="235" customFormat="false" ht="15" hidden="false" customHeight="false" outlineLevel="0" collapsed="false">
      <c r="A235" s="17" t="n">
        <v>231</v>
      </c>
      <c r="B235" s="12" t="s">
        <v>673</v>
      </c>
      <c r="C235" s="12" t="s">
        <v>674</v>
      </c>
      <c r="D235" s="16" t="n">
        <v>0.00278726851851852</v>
      </c>
      <c r="E235" s="15" t="n">
        <f aca="false">ROUND((D235-$D$5)*86400,2)</f>
        <v>15.79</v>
      </c>
      <c r="F235" s="17" t="n">
        <v>370</v>
      </c>
      <c r="G235" s="16" t="n">
        <f aca="false">IF(INDEX(選手一覧!$D$7:$D$2738,$F235)="","",INDEX(選手一覧!$D$7:$D$2738,$F235))</f>
        <v>0.0105298611111111</v>
      </c>
      <c r="H235" s="17" t="n">
        <f aca="false">IF(INDEX(選手一覧!$E$7:$E$2738,$F235)="","",INDEX(選手一覧!$E$7:$E$2738,$F235))</f>
        <v>371</v>
      </c>
      <c r="I235" s="16" t="str">
        <f aca="false">IF(INDEX(選手一覧!$H$7:$H$2738,$F235)="","",INDEX(選手一覧!$H$7:$H$2738,$F235))</f>
        <v/>
      </c>
      <c r="J235" s="17" t="str">
        <f aca="false">IF(INDEX(選手一覧!$I$7:$I$2738,$F235)="","",INDEX(選手一覧!$I$7:$I$2738,$F235))</f>
        <v/>
      </c>
    </row>
    <row r="236" customFormat="false" ht="15" hidden="false" customHeight="false" outlineLevel="0" collapsed="false">
      <c r="A236" s="17" t="n">
        <v>232</v>
      </c>
      <c r="B236" s="12" t="s">
        <v>1858</v>
      </c>
      <c r="C236" s="12" t="s">
        <v>1859</v>
      </c>
      <c r="D236" s="16" t="n">
        <v>0.0027875</v>
      </c>
      <c r="E236" s="15" t="n">
        <f aca="false">ROUND((D236-$D$5)*86400,2)</f>
        <v>15.81</v>
      </c>
      <c r="F236" s="17" t="n">
        <v>1154</v>
      </c>
      <c r="G236" s="16" t="n">
        <f aca="false">IF(INDEX(選手一覧!$D$7:$D$2738,$F236)="","",INDEX(選手一覧!$D$7:$D$2738,$F236))</f>
        <v>0.0110318287037037</v>
      </c>
      <c r="H236" s="17" t="n">
        <f aca="false">IF(INDEX(選手一覧!$E$7:$E$2738,$F236)="","",INDEX(選手一覧!$E$7:$E$2738,$F236))</f>
        <v>1155</v>
      </c>
      <c r="I236" s="16" t="str">
        <f aca="false">IF(INDEX(選手一覧!$H$7:$H$2738,$F236)="","",INDEX(選手一覧!$H$7:$H$2738,$F236))</f>
        <v/>
      </c>
      <c r="J236" s="17" t="str">
        <f aca="false">IF(INDEX(選手一覧!$I$7:$I$2738,$F236)="","",INDEX(選手一覧!$I$7:$I$2738,$F236))</f>
        <v/>
      </c>
    </row>
    <row r="237" customFormat="false" ht="15" hidden="false" customHeight="false" outlineLevel="0" collapsed="false">
      <c r="A237" s="17" t="n">
        <v>233</v>
      </c>
      <c r="B237" s="12" t="s">
        <v>312</v>
      </c>
      <c r="C237" s="12" t="s">
        <v>313</v>
      </c>
      <c r="D237" s="16" t="n">
        <v>0.00278773148148148</v>
      </c>
      <c r="E237" s="15" t="n">
        <f aca="false">ROUND((D237-$D$5)*86400,2)</f>
        <v>15.83</v>
      </c>
      <c r="F237" s="17" t="n">
        <v>150</v>
      </c>
      <c r="G237" s="16" t="n">
        <f aca="false">IF(INDEX(選手一覧!$D$7:$D$2738,$F237)="","",INDEX(選手一覧!$D$7:$D$2738,$F237))</f>
        <v>0.0102822916666667</v>
      </c>
      <c r="H237" s="17" t="n">
        <f aca="false">IF(INDEX(選手一覧!$E$7:$E$2738,$F237)="","",INDEX(選手一覧!$E$7:$E$2738,$F237))</f>
        <v>151</v>
      </c>
      <c r="I237" s="16" t="str">
        <f aca="false">IF(INDEX(選手一覧!$H$7:$H$2738,$F237)="","",INDEX(選手一覧!$H$7:$H$2738,$F237))</f>
        <v/>
      </c>
      <c r="J237" s="17" t="str">
        <f aca="false">IF(INDEX(選手一覧!$I$7:$I$2738,$F237)="","",INDEX(選手一覧!$I$7:$I$2738,$F237))</f>
        <v/>
      </c>
    </row>
    <row r="238" customFormat="false" ht="15" hidden="false" customHeight="false" outlineLevel="0" collapsed="false">
      <c r="A238" s="17" t="n">
        <v>234</v>
      </c>
      <c r="B238" s="12" t="s">
        <v>2157</v>
      </c>
      <c r="C238" s="12" t="s">
        <v>737</v>
      </c>
      <c r="D238" s="16" t="n">
        <v>0.00278819444444445</v>
      </c>
      <c r="E238" s="15" t="n">
        <f aca="false">ROUND((D238-$D$5)*86400,2)</f>
        <v>15.87</v>
      </c>
      <c r="F238" s="17" t="n">
        <v>1370</v>
      </c>
      <c r="G238" s="16" t="str">
        <f aca="false">IF(INDEX(選手一覧!$D$7:$D$2738,$F238)="","",INDEX(選手一覧!$D$7:$D$2738,$F238))</f>
        <v/>
      </c>
      <c r="H238" s="17" t="str">
        <f aca="false">IF(INDEX(選手一覧!$E$7:$E$2738,$F238)="","",INDEX(選手一覧!$E$7:$E$2738,$F238))</f>
        <v/>
      </c>
      <c r="I238" s="16" t="n">
        <f aca="false">IF(INDEX(選手一覧!$H$7:$H$2738,$F238)="","",INDEX(選手一覧!$H$7:$H$2738,$F238))</f>
        <v>0.00695833333333333</v>
      </c>
      <c r="J238" s="17" t="n">
        <f aca="false">IF(INDEX(選手一覧!$I$7:$I$2738,$F238)="","",INDEX(選手一覧!$I$7:$I$2738,$F238))</f>
        <v>291</v>
      </c>
    </row>
    <row r="239" customFormat="false" ht="15" hidden="false" customHeight="false" outlineLevel="0" collapsed="false">
      <c r="A239" s="17" t="n">
        <v>235</v>
      </c>
      <c r="B239" s="12" t="s">
        <v>2158</v>
      </c>
      <c r="C239" s="12" t="s">
        <v>1360</v>
      </c>
      <c r="D239" s="16" t="n">
        <v>0.00278842592592593</v>
      </c>
      <c r="E239" s="15" t="n">
        <f aca="false">ROUND((D239-$D$5)*86400,2)</f>
        <v>15.89</v>
      </c>
      <c r="F239" s="17" t="n">
        <v>1371</v>
      </c>
      <c r="G239" s="16" t="str">
        <f aca="false">IF(INDEX(選手一覧!$D$7:$D$2738,$F239)="","",INDEX(選手一覧!$D$7:$D$2738,$F239))</f>
        <v/>
      </c>
      <c r="H239" s="17" t="str">
        <f aca="false">IF(INDEX(選手一覧!$E$7:$E$2738,$F239)="","",INDEX(選手一覧!$E$7:$E$2738,$F239))</f>
        <v/>
      </c>
      <c r="I239" s="16" t="str">
        <f aca="false">IF(INDEX(選手一覧!$H$7:$H$2738,$F239)="","",INDEX(選手一覧!$H$7:$H$2738,$F239))</f>
        <v/>
      </c>
      <c r="J239" s="17" t="str">
        <f aca="false">IF(INDEX(選手一覧!$I$7:$I$2738,$F239)="","",INDEX(選手一覧!$I$7:$I$2738,$F239))</f>
        <v/>
      </c>
    </row>
    <row r="240" customFormat="false" ht="15" hidden="false" customHeight="false" outlineLevel="0" collapsed="false">
      <c r="A240" s="17" t="n">
        <v>236</v>
      </c>
      <c r="B240" s="12" t="s">
        <v>453</v>
      </c>
      <c r="C240" s="12" t="s">
        <v>454</v>
      </c>
      <c r="D240" s="16" t="n">
        <v>0.00278877314814815</v>
      </c>
      <c r="E240" s="15" t="n">
        <f aca="false">ROUND((D240-$D$5)*86400,2)</f>
        <v>15.92</v>
      </c>
      <c r="F240" s="17" t="n">
        <v>231</v>
      </c>
      <c r="G240" s="16" t="n">
        <f aca="false">IF(INDEX(選手一覧!$D$7:$D$2738,$F240)="","",INDEX(選手一覧!$D$7:$D$2738,$F240))</f>
        <v>0.0103755787037037</v>
      </c>
      <c r="H240" s="17" t="n">
        <f aca="false">IF(INDEX(選手一覧!$E$7:$E$2738,$F240)="","",INDEX(選手一覧!$E$7:$E$2738,$F240))</f>
        <v>232</v>
      </c>
      <c r="I240" s="16" t="str">
        <f aca="false">IF(INDEX(選手一覧!$H$7:$H$2738,$F240)="","",INDEX(選手一覧!$H$7:$H$2738,$F240))</f>
        <v/>
      </c>
      <c r="J240" s="17" t="str">
        <f aca="false">IF(INDEX(選手一覧!$I$7:$I$2738,$F240)="","",INDEX(選手一覧!$I$7:$I$2738,$F240))</f>
        <v/>
      </c>
    </row>
    <row r="241" customFormat="false" ht="15" hidden="false" customHeight="false" outlineLevel="0" collapsed="false">
      <c r="A241" s="17" t="n">
        <v>237</v>
      </c>
      <c r="B241" s="12" t="s">
        <v>493</v>
      </c>
      <c r="C241" s="12" t="s">
        <v>214</v>
      </c>
      <c r="D241" s="16" t="n">
        <v>0.00278912037037037</v>
      </c>
      <c r="E241" s="15" t="n">
        <f aca="false">ROUND((D241-$D$5)*86400,2)</f>
        <v>15.95</v>
      </c>
      <c r="F241" s="17" t="n">
        <v>255</v>
      </c>
      <c r="G241" s="16" t="n">
        <f aca="false">IF(INDEX(選手一覧!$D$7:$D$2738,$F241)="","",INDEX(選手一覧!$D$7:$D$2738,$F241))</f>
        <v>0.010396412037037</v>
      </c>
      <c r="H241" s="17" t="n">
        <f aca="false">IF(INDEX(選手一覧!$E$7:$E$2738,$F241)="","",INDEX(選手一覧!$E$7:$E$2738,$F241))</f>
        <v>256</v>
      </c>
      <c r="I241" s="16" t="n">
        <f aca="false">IF(INDEX(選手一覧!$H$7:$H$2738,$F241)="","",INDEX(選手一覧!$H$7:$H$2738,$F241))</f>
        <v>0.00652337962962963</v>
      </c>
      <c r="J241" s="17" t="n">
        <f aca="false">IF(INDEX(選手一覧!$I$7:$I$2738,$F241)="","",INDEX(選手一覧!$I$7:$I$2738,$F241))</f>
        <v>39</v>
      </c>
    </row>
    <row r="242" customFormat="false" ht="15" hidden="false" customHeight="false" outlineLevel="0" collapsed="false">
      <c r="A242" s="17" t="n">
        <v>238</v>
      </c>
      <c r="B242" s="12" t="s">
        <v>2162</v>
      </c>
      <c r="C242" s="12" t="s">
        <v>601</v>
      </c>
      <c r="D242" s="16" t="n">
        <v>0.00278923611111111</v>
      </c>
      <c r="E242" s="15" t="n">
        <f aca="false">ROUND((D242-$D$5)*86400,2)</f>
        <v>15.96</v>
      </c>
      <c r="F242" s="17" t="n">
        <v>1374</v>
      </c>
      <c r="G242" s="16" t="str">
        <f aca="false">IF(INDEX(選手一覧!$D$7:$D$2738,$F242)="","",INDEX(選手一覧!$D$7:$D$2738,$F242))</f>
        <v/>
      </c>
      <c r="H242" s="17" t="str">
        <f aca="false">IF(INDEX(選手一覧!$E$7:$E$2738,$F242)="","",INDEX(選手一覧!$E$7:$E$2738,$F242))</f>
        <v/>
      </c>
      <c r="I242" s="16" t="str">
        <f aca="false">IF(INDEX(選手一覧!$H$7:$H$2738,$F242)="","",INDEX(選手一覧!$H$7:$H$2738,$F242))</f>
        <v/>
      </c>
      <c r="J242" s="17" t="str">
        <f aca="false">IF(INDEX(選手一覧!$I$7:$I$2738,$F242)="","",INDEX(選手一覧!$I$7:$I$2738,$F242))</f>
        <v/>
      </c>
    </row>
    <row r="243" customFormat="false" ht="15" hidden="false" customHeight="false" outlineLevel="0" collapsed="false">
      <c r="A243" s="17" t="n">
        <v>239</v>
      </c>
      <c r="B243" s="12" t="s">
        <v>853</v>
      </c>
      <c r="C243" s="12" t="s">
        <v>103</v>
      </c>
      <c r="D243" s="16" t="n">
        <v>0.00279027777777778</v>
      </c>
      <c r="E243" s="15" t="n">
        <f aca="false">ROUND((D243-$D$5)*86400,2)</f>
        <v>16.05</v>
      </c>
      <c r="F243" s="17" t="n">
        <v>485</v>
      </c>
      <c r="G243" s="16" t="n">
        <f aca="false">IF(INDEX(選手一覧!$D$7:$D$2738,$F243)="","",INDEX(選手一覧!$D$7:$D$2738,$F243))</f>
        <v>0.010615625</v>
      </c>
      <c r="H243" s="17" t="n">
        <f aca="false">IF(INDEX(選手一覧!$E$7:$E$2738,$F243)="","",INDEX(選手一覧!$E$7:$E$2738,$F243))</f>
        <v>486</v>
      </c>
      <c r="I243" s="16" t="str">
        <f aca="false">IF(INDEX(選手一覧!$H$7:$H$2738,$F243)="","",INDEX(選手一覧!$H$7:$H$2738,$F243))</f>
        <v/>
      </c>
      <c r="J243" s="17" t="str">
        <f aca="false">IF(INDEX(選手一覧!$I$7:$I$2738,$F243)="","",INDEX(選手一覧!$I$7:$I$2738,$F243))</f>
        <v/>
      </c>
    </row>
    <row r="244" customFormat="false" ht="15" hidden="false" customHeight="false" outlineLevel="0" collapsed="false">
      <c r="A244" s="17" t="n">
        <v>240</v>
      </c>
      <c r="B244" s="12" t="s">
        <v>2163</v>
      </c>
      <c r="C244" s="12" t="s">
        <v>522</v>
      </c>
      <c r="D244" s="16" t="n">
        <v>0.00279027777777778</v>
      </c>
      <c r="E244" s="15" t="n">
        <f aca="false">ROUND((D244-$D$5)*86400,2)</f>
        <v>16.05</v>
      </c>
      <c r="F244" s="17" t="n">
        <v>1375</v>
      </c>
      <c r="G244" s="16" t="str">
        <f aca="false">IF(INDEX(選手一覧!$D$7:$D$2738,$F244)="","",INDEX(選手一覧!$D$7:$D$2738,$F244))</f>
        <v/>
      </c>
      <c r="H244" s="17" t="str">
        <f aca="false">IF(INDEX(選手一覧!$E$7:$E$2738,$F244)="","",INDEX(選手一覧!$E$7:$E$2738,$F244))</f>
        <v/>
      </c>
      <c r="I244" s="16" t="str">
        <f aca="false">IF(INDEX(選手一覧!$H$7:$H$2738,$F244)="","",INDEX(選手一覧!$H$7:$H$2738,$F244))</f>
        <v/>
      </c>
      <c r="J244" s="17" t="str">
        <f aca="false">IF(INDEX(選手一覧!$I$7:$I$2738,$F244)="","",INDEX(選手一覧!$I$7:$I$2738,$F244))</f>
        <v/>
      </c>
    </row>
    <row r="245" customFormat="false" ht="15" hidden="false" customHeight="false" outlineLevel="0" collapsed="false">
      <c r="A245" s="17" t="n">
        <v>241</v>
      </c>
      <c r="B245" s="12" t="s">
        <v>1238</v>
      </c>
      <c r="C245" s="12" t="s">
        <v>150</v>
      </c>
      <c r="D245" s="16" t="n">
        <v>0.00279027777777778</v>
      </c>
      <c r="E245" s="15" t="n">
        <f aca="false">ROUND((D245-$D$5)*86400,2)</f>
        <v>16.05</v>
      </c>
      <c r="F245" s="17" t="n">
        <v>737</v>
      </c>
      <c r="G245" s="16" t="n">
        <f aca="false">IF(INDEX(選手一覧!$D$7:$D$2738,$F245)="","",INDEX(選手一覧!$D$7:$D$2738,$F245))</f>
        <v>0.0107975694444444</v>
      </c>
      <c r="H245" s="17" t="n">
        <f aca="false">IF(INDEX(選手一覧!$E$7:$E$2738,$F245)="","",INDEX(選手一覧!$E$7:$E$2738,$F245))</f>
        <v>738</v>
      </c>
      <c r="I245" s="16" t="n">
        <f aca="false">IF(INDEX(選手一覧!$H$7:$H$2738,$F245)="","",INDEX(選手一覧!$H$7:$H$2738,$F245))</f>
        <v>0.00665</v>
      </c>
      <c r="J245" s="17" t="n">
        <f aca="false">IF(INDEX(選手一覧!$I$7:$I$2738,$F245)="","",INDEX(選手一覧!$I$7:$I$2738,$F245))</f>
        <v>83</v>
      </c>
    </row>
    <row r="246" customFormat="false" ht="15" hidden="false" customHeight="false" outlineLevel="0" collapsed="false">
      <c r="A246" s="17" t="n">
        <v>242</v>
      </c>
      <c r="B246" s="12" t="s">
        <v>2166</v>
      </c>
      <c r="C246" s="12" t="s">
        <v>195</v>
      </c>
      <c r="D246" s="16" t="n">
        <v>0.00279039351851852</v>
      </c>
      <c r="E246" s="15" t="n">
        <f aca="false">ROUND((D246-$D$5)*86400,2)</f>
        <v>16.06</v>
      </c>
      <c r="F246" s="17" t="n">
        <v>1377</v>
      </c>
      <c r="G246" s="16" t="str">
        <f aca="false">IF(INDEX(選手一覧!$D$7:$D$2738,$F246)="","",INDEX(選手一覧!$D$7:$D$2738,$F246))</f>
        <v/>
      </c>
      <c r="H246" s="17" t="str">
        <f aca="false">IF(INDEX(選手一覧!$E$7:$E$2738,$F246)="","",INDEX(選手一覧!$E$7:$E$2738,$F246))</f>
        <v/>
      </c>
      <c r="I246" s="16" t="str">
        <f aca="false">IF(INDEX(選手一覧!$H$7:$H$2738,$F246)="","",INDEX(選手一覧!$H$7:$H$2738,$F246))</f>
        <v/>
      </c>
      <c r="J246" s="17" t="str">
        <f aca="false">IF(INDEX(選手一覧!$I$7:$I$2738,$F246)="","",INDEX(選手一覧!$I$7:$I$2738,$F246))</f>
        <v/>
      </c>
    </row>
    <row r="247" customFormat="false" ht="15" hidden="false" customHeight="false" outlineLevel="0" collapsed="false">
      <c r="A247" s="17" t="n">
        <v>243</v>
      </c>
      <c r="B247" s="12" t="s">
        <v>376</v>
      </c>
      <c r="C247" s="12" t="s">
        <v>4772</v>
      </c>
      <c r="D247" s="16" t="n">
        <v>0.002790625</v>
      </c>
      <c r="E247" s="15" t="n">
        <f aca="false">ROUND((D247-$D$5)*86400,2)</f>
        <v>16.08</v>
      </c>
      <c r="F247" s="17" t="n">
        <v>185</v>
      </c>
      <c r="G247" s="16" t="n">
        <f aca="false">IF(INDEX(選手一覧!$D$7:$D$2738,$F247)="","",INDEX(選手一覧!$D$7:$D$2738,$F247))</f>
        <v>0.0103365740740741</v>
      </c>
      <c r="H247" s="17" t="n">
        <f aca="false">IF(INDEX(選手一覧!$E$7:$E$2738,$F247)="","",INDEX(選手一覧!$E$7:$E$2738,$F247))</f>
        <v>186</v>
      </c>
      <c r="I247" s="16" t="n">
        <f aca="false">IF(INDEX(選手一覧!$H$7:$H$2738,$F247)="","",INDEX(選手一覧!$H$7:$H$2738,$F247))</f>
        <v>0.00739351851851852</v>
      </c>
      <c r="J247" s="17" t="n">
        <f aca="false">IF(INDEX(選手一覧!$I$7:$I$2738,$F247)="","",INDEX(選手一覧!$I$7:$I$2738,$F247))</f>
        <v>765</v>
      </c>
    </row>
    <row r="248" customFormat="false" ht="15" hidden="false" customHeight="false" outlineLevel="0" collapsed="false">
      <c r="A248" s="17" t="n">
        <v>244</v>
      </c>
      <c r="B248" s="12" t="s">
        <v>647</v>
      </c>
      <c r="C248" s="12" t="s">
        <v>648</v>
      </c>
      <c r="D248" s="16" t="n">
        <v>0.00279097222222222</v>
      </c>
      <c r="E248" s="15" t="n">
        <f aca="false">ROUND((D248-$D$5)*86400,2)</f>
        <v>16.11</v>
      </c>
      <c r="F248" s="17" t="n">
        <v>352</v>
      </c>
      <c r="G248" s="16" t="n">
        <f aca="false">IF(INDEX(選手一覧!$D$7:$D$2738,$F248)="","",INDEX(選手一覧!$D$7:$D$2738,$F248))</f>
        <v>0.0105118055555556</v>
      </c>
      <c r="H248" s="17" t="n">
        <f aca="false">IF(INDEX(選手一覧!$E$7:$E$2738,$F248)="","",INDEX(選手一覧!$E$7:$E$2738,$F248))</f>
        <v>353</v>
      </c>
      <c r="I248" s="16" t="str">
        <f aca="false">IF(INDEX(選手一覧!$H$7:$H$2738,$F248)="","",INDEX(選手一覧!$H$7:$H$2738,$F248))</f>
        <v/>
      </c>
      <c r="J248" s="17" t="str">
        <f aca="false">IF(INDEX(選手一覧!$I$7:$I$2738,$F248)="","",INDEX(選手一覧!$I$7:$I$2738,$F248))</f>
        <v/>
      </c>
    </row>
    <row r="249" customFormat="false" ht="15" hidden="false" customHeight="false" outlineLevel="0" collapsed="false">
      <c r="A249" s="17" t="n">
        <v>245</v>
      </c>
      <c r="B249" s="12" t="s">
        <v>2169</v>
      </c>
      <c r="C249" s="12" t="s">
        <v>83</v>
      </c>
      <c r="D249" s="16" t="n">
        <v>0.0027912037037037</v>
      </c>
      <c r="E249" s="15" t="n">
        <f aca="false">ROUND((D249-$D$5)*86400,2)</f>
        <v>16.13</v>
      </c>
      <c r="F249" s="17" t="n">
        <v>1379</v>
      </c>
      <c r="G249" s="16" t="str">
        <f aca="false">IF(INDEX(選手一覧!$D$7:$D$2738,$F249)="","",INDEX(選手一覧!$D$7:$D$2738,$F249))</f>
        <v/>
      </c>
      <c r="H249" s="17" t="str">
        <f aca="false">IF(INDEX(選手一覧!$E$7:$E$2738,$F249)="","",INDEX(選手一覧!$E$7:$E$2738,$F249))</f>
        <v/>
      </c>
      <c r="I249" s="16" t="str">
        <f aca="false">IF(INDEX(選手一覧!$H$7:$H$2738,$F249)="","",INDEX(選手一覧!$H$7:$H$2738,$F249))</f>
        <v/>
      </c>
      <c r="J249" s="17" t="str">
        <f aca="false">IF(INDEX(選手一覧!$I$7:$I$2738,$F249)="","",INDEX(選手一覧!$I$7:$I$2738,$F249))</f>
        <v/>
      </c>
    </row>
    <row r="250" customFormat="false" ht="15" hidden="false" customHeight="false" outlineLevel="0" collapsed="false">
      <c r="A250" s="17" t="n">
        <v>246</v>
      </c>
      <c r="B250" s="12" t="s">
        <v>451</v>
      </c>
      <c r="C250" s="12" t="s">
        <v>167</v>
      </c>
      <c r="D250" s="16" t="n">
        <v>0.0027912037037037</v>
      </c>
      <c r="E250" s="15" t="n">
        <f aca="false">ROUND((D250-$D$5)*86400,2)</f>
        <v>16.13</v>
      </c>
      <c r="F250" s="17" t="n">
        <v>230</v>
      </c>
      <c r="G250" s="16" t="n">
        <f aca="false">IF(INDEX(選手一覧!$D$7:$D$2738,$F250)="","",INDEX(選手一覧!$D$7:$D$2738,$F250))</f>
        <v>0.0103753472222222</v>
      </c>
      <c r="H250" s="17" t="n">
        <f aca="false">IF(INDEX(選手一覧!$E$7:$E$2738,$F250)="","",INDEX(選手一覧!$E$7:$E$2738,$F250))</f>
        <v>231</v>
      </c>
      <c r="I250" s="16" t="str">
        <f aca="false">IF(INDEX(選手一覧!$H$7:$H$2738,$F250)="","",INDEX(選手一覧!$H$7:$H$2738,$F250))</f>
        <v/>
      </c>
      <c r="J250" s="17" t="str">
        <f aca="false">IF(INDEX(選手一覧!$I$7:$I$2738,$F250)="","",INDEX(選手一覧!$I$7:$I$2738,$F250))</f>
        <v/>
      </c>
    </row>
    <row r="251" customFormat="false" ht="15" hidden="false" customHeight="false" outlineLevel="0" collapsed="false">
      <c r="A251" s="17" t="n">
        <v>247</v>
      </c>
      <c r="B251" s="12" t="s">
        <v>664</v>
      </c>
      <c r="C251" s="12" t="s">
        <v>157</v>
      </c>
      <c r="D251" s="16" t="n">
        <v>0.00279178240740741</v>
      </c>
      <c r="E251" s="15" t="n">
        <f aca="false">ROUND((D251-$D$5)*86400,2)</f>
        <v>16.18</v>
      </c>
      <c r="F251" s="17" t="n">
        <v>364</v>
      </c>
      <c r="G251" s="16" t="n">
        <f aca="false">IF(INDEX(選手一覧!$D$7:$D$2738,$F251)="","",INDEX(選手一覧!$D$7:$D$2738,$F251))</f>
        <v>0.0105248842592593</v>
      </c>
      <c r="H251" s="17" t="n">
        <f aca="false">IF(INDEX(選手一覧!$E$7:$E$2738,$F251)="","",INDEX(選手一覧!$E$7:$E$2738,$F251))</f>
        <v>365</v>
      </c>
      <c r="I251" s="16" t="str">
        <f aca="false">IF(INDEX(選手一覧!$H$7:$H$2738,$F251)="","",INDEX(選手一覧!$H$7:$H$2738,$F251))</f>
        <v/>
      </c>
      <c r="J251" s="17" t="str">
        <f aca="false">IF(INDEX(選手一覧!$I$7:$I$2738,$F251)="","",INDEX(選手一覧!$I$7:$I$2738,$F251))</f>
        <v/>
      </c>
    </row>
    <row r="252" customFormat="false" ht="15" hidden="false" customHeight="false" outlineLevel="0" collapsed="false">
      <c r="A252" s="17" t="n">
        <v>248</v>
      </c>
      <c r="B252" s="12" t="s">
        <v>693</v>
      </c>
      <c r="C252" s="12" t="s">
        <v>301</v>
      </c>
      <c r="D252" s="16" t="n">
        <v>0.00279189814814815</v>
      </c>
      <c r="E252" s="15" t="n">
        <f aca="false">ROUND((D252-$D$5)*86400,2)</f>
        <v>16.19</v>
      </c>
      <c r="F252" s="17" t="n">
        <v>381</v>
      </c>
      <c r="G252" s="16" t="n">
        <f aca="false">IF(INDEX(選手一覧!$D$7:$D$2738,$F252)="","",INDEX(選手一覧!$D$7:$D$2738,$F252))</f>
        <v>0.0105369212962963</v>
      </c>
      <c r="H252" s="17" t="n">
        <f aca="false">IF(INDEX(選手一覧!$E$7:$E$2738,$F252)="","",INDEX(選手一覧!$E$7:$E$2738,$F252))</f>
        <v>382</v>
      </c>
      <c r="I252" s="16" t="str">
        <f aca="false">IF(INDEX(選手一覧!$H$7:$H$2738,$F252)="","",INDEX(選手一覧!$H$7:$H$2738,$F252))</f>
        <v/>
      </c>
      <c r="J252" s="17" t="str">
        <f aca="false">IF(INDEX(選手一覧!$I$7:$I$2738,$F252)="","",INDEX(選手一覧!$I$7:$I$2738,$F252))</f>
        <v/>
      </c>
    </row>
    <row r="253" customFormat="false" ht="15" hidden="false" customHeight="false" outlineLevel="0" collapsed="false">
      <c r="A253" s="17" t="n">
        <v>249</v>
      </c>
      <c r="B253" s="12" t="s">
        <v>109</v>
      </c>
      <c r="C253" s="12" t="s">
        <v>37</v>
      </c>
      <c r="D253" s="16" t="n">
        <v>0.00279201388888889</v>
      </c>
      <c r="E253" s="15" t="n">
        <f aca="false">ROUND((D253-$D$5)*86400,2)</f>
        <v>16.2</v>
      </c>
      <c r="F253" s="17" t="n">
        <v>41</v>
      </c>
      <c r="G253" s="16" t="n">
        <f aca="false">IF(INDEX(選手一覧!$D$7:$D$2738,$F253)="","",INDEX(選手一覧!$D$7:$D$2738,$F253))</f>
        <v>0.0100759259259259</v>
      </c>
      <c r="H253" s="17" t="n">
        <f aca="false">IF(INDEX(選手一覧!$E$7:$E$2738,$F253)="","",INDEX(選手一覧!$E$7:$E$2738,$F253))</f>
        <v>42</v>
      </c>
      <c r="I253" s="16" t="str">
        <f aca="false">IF(INDEX(選手一覧!$H$7:$H$2738,$F253)="","",INDEX(選手一覧!$H$7:$H$2738,$F253))</f>
        <v/>
      </c>
      <c r="J253" s="17" t="str">
        <f aca="false">IF(INDEX(選手一覧!$I$7:$I$2738,$F253)="","",INDEX(選手一覧!$I$7:$I$2738,$F253))</f>
        <v/>
      </c>
    </row>
    <row r="254" customFormat="false" ht="15" hidden="false" customHeight="false" outlineLevel="0" collapsed="false">
      <c r="A254" s="17" t="n">
        <v>250</v>
      </c>
      <c r="B254" s="12" t="s">
        <v>1361</v>
      </c>
      <c r="C254" s="12" t="s">
        <v>559</v>
      </c>
      <c r="D254" s="16" t="n">
        <v>0.00279305555555556</v>
      </c>
      <c r="E254" s="15" t="n">
        <f aca="false">ROUND((D254-$D$5)*86400,2)</f>
        <v>16.29</v>
      </c>
      <c r="F254" s="17" t="n">
        <v>822</v>
      </c>
      <c r="G254" s="16" t="n">
        <f aca="false">IF(INDEX(選手一覧!$D$7:$D$2738,$F254)="","",INDEX(選手一覧!$D$7:$D$2738,$F254))</f>
        <v>0.0108439814814815</v>
      </c>
      <c r="H254" s="17" t="n">
        <f aca="false">IF(INDEX(選手一覧!$E$7:$E$2738,$F254)="","",INDEX(選手一覧!$E$7:$E$2738,$F254))</f>
        <v>823</v>
      </c>
      <c r="I254" s="16" t="n">
        <f aca="false">IF(INDEX(選手一覧!$H$7:$H$2738,$F254)="","",INDEX(選手一覧!$H$7:$H$2738,$F254))</f>
        <v>0.00686076388888889</v>
      </c>
      <c r="J254" s="17" t="n">
        <f aca="false">IF(INDEX(選手一覧!$I$7:$I$2738,$F254)="","",INDEX(選手一覧!$I$7:$I$2738,$F254))</f>
        <v>210</v>
      </c>
    </row>
    <row r="255" customFormat="false" ht="15" hidden="false" customHeight="false" outlineLevel="0" collapsed="false">
      <c r="A255" s="17" t="n">
        <v>251</v>
      </c>
      <c r="B255" s="12" t="s">
        <v>593</v>
      </c>
      <c r="C255" s="12" t="s">
        <v>532</v>
      </c>
      <c r="D255" s="16" t="n">
        <v>0.00279351851851852</v>
      </c>
      <c r="E255" s="15" t="n">
        <f aca="false">ROUND((D255-$D$5)*86400,2)</f>
        <v>16.33</v>
      </c>
      <c r="F255" s="17" t="n">
        <v>317</v>
      </c>
      <c r="G255" s="16" t="n">
        <f aca="false">IF(INDEX(選手一覧!$D$7:$D$2738,$F255)="","",INDEX(選手一覧!$D$7:$D$2738,$F255))</f>
        <v>0.0104730324074074</v>
      </c>
      <c r="H255" s="17" t="n">
        <f aca="false">IF(INDEX(選手一覧!$E$7:$E$2738,$F255)="","",INDEX(選手一覧!$E$7:$E$2738,$F255))</f>
        <v>318</v>
      </c>
      <c r="I255" s="16" t="n">
        <f aca="false">IF(INDEX(選手一覧!$H$7:$H$2738,$F255)="","",INDEX(選手一覧!$H$7:$H$2738,$F255))</f>
        <v>0.00656898148148148</v>
      </c>
      <c r="J255" s="17" t="n">
        <f aca="false">IF(INDEX(選手一覧!$I$7:$I$2738,$F255)="","",INDEX(選手一覧!$I$7:$I$2738,$F255))</f>
        <v>57</v>
      </c>
    </row>
    <row r="256" customFormat="false" ht="15" hidden="false" customHeight="false" outlineLevel="0" collapsed="false">
      <c r="A256" s="17" t="n">
        <v>252</v>
      </c>
      <c r="B256" s="12" t="s">
        <v>230</v>
      </c>
      <c r="C256" s="12" t="s">
        <v>167</v>
      </c>
      <c r="D256" s="16" t="n">
        <v>0.00279363425925926</v>
      </c>
      <c r="E256" s="15" t="n">
        <f aca="false">ROUND((D256-$D$5)*86400,2)</f>
        <v>16.34</v>
      </c>
      <c r="F256" s="17" t="n">
        <v>107</v>
      </c>
      <c r="G256" s="16" t="n">
        <f aca="false">IF(INDEX(選手一覧!$D$7:$D$2738,$F256)="","",INDEX(選手一覧!$D$7:$D$2738,$F256))</f>
        <v>0.0102188657407407</v>
      </c>
      <c r="H256" s="17" t="n">
        <f aca="false">IF(INDEX(選手一覧!$E$7:$E$2738,$F256)="","",INDEX(選手一覧!$E$7:$E$2738,$F256))</f>
        <v>108</v>
      </c>
      <c r="I256" s="16" t="str">
        <f aca="false">IF(INDEX(選手一覧!$H$7:$H$2738,$F256)="","",INDEX(選手一覧!$H$7:$H$2738,$F256))</f>
        <v/>
      </c>
      <c r="J256" s="17" t="str">
        <f aca="false">IF(INDEX(選手一覧!$I$7:$I$2738,$F256)="","",INDEX(選手一覧!$I$7:$I$2738,$F256))</f>
        <v/>
      </c>
    </row>
    <row r="257" customFormat="false" ht="15" hidden="false" customHeight="false" outlineLevel="0" collapsed="false">
      <c r="A257" s="17" t="n">
        <v>253</v>
      </c>
      <c r="B257" s="12" t="s">
        <v>783</v>
      </c>
      <c r="C257" s="12" t="s">
        <v>561</v>
      </c>
      <c r="D257" s="16" t="n">
        <v>0.00279398148148148</v>
      </c>
      <c r="E257" s="15" t="n">
        <f aca="false">ROUND((D257-$D$5)*86400,2)</f>
        <v>16.37</v>
      </c>
      <c r="F257" s="17" t="n">
        <v>438</v>
      </c>
      <c r="G257" s="16" t="n">
        <f aca="false">IF(INDEX(選手一覧!$D$7:$D$2738,$F257)="","",INDEX(選手一覧!$D$7:$D$2738,$F257))</f>
        <v>0.0105828703703704</v>
      </c>
      <c r="H257" s="17" t="n">
        <f aca="false">IF(INDEX(選手一覧!$E$7:$E$2738,$F257)="","",INDEX(選手一覧!$E$7:$E$2738,$F257))</f>
        <v>439</v>
      </c>
      <c r="I257" s="16" t="str">
        <f aca="false">IF(INDEX(選手一覧!$H$7:$H$2738,$F257)="","",INDEX(選手一覧!$H$7:$H$2738,$F257))</f>
        <v/>
      </c>
      <c r="J257" s="17" t="str">
        <f aca="false">IF(INDEX(選手一覧!$I$7:$I$2738,$F257)="","",INDEX(選手一覧!$I$7:$I$2738,$F257))</f>
        <v/>
      </c>
    </row>
    <row r="258" customFormat="false" ht="15" hidden="false" customHeight="false" outlineLevel="0" collapsed="false">
      <c r="A258" s="17" t="n">
        <v>254</v>
      </c>
      <c r="B258" s="12" t="s">
        <v>2177</v>
      </c>
      <c r="C258" s="12" t="s">
        <v>742</v>
      </c>
      <c r="D258" s="16" t="n">
        <v>0.00279409722222222</v>
      </c>
      <c r="E258" s="15" t="n">
        <f aca="false">ROUND((D258-$D$5)*86400,2)</f>
        <v>16.38</v>
      </c>
      <c r="F258" s="17" t="n">
        <v>1384</v>
      </c>
      <c r="G258" s="16" t="str">
        <f aca="false">IF(INDEX(選手一覧!$D$7:$D$2738,$F258)="","",INDEX(選手一覧!$D$7:$D$2738,$F258))</f>
        <v/>
      </c>
      <c r="H258" s="17" t="str">
        <f aca="false">IF(INDEX(選手一覧!$E$7:$E$2738,$F258)="","",INDEX(選手一覧!$E$7:$E$2738,$F258))</f>
        <v/>
      </c>
      <c r="I258" s="16" t="str">
        <f aca="false">IF(INDEX(選手一覧!$H$7:$H$2738,$F258)="","",INDEX(選手一覧!$H$7:$H$2738,$F258))</f>
        <v/>
      </c>
      <c r="J258" s="17" t="str">
        <f aca="false">IF(INDEX(選手一覧!$I$7:$I$2738,$F258)="","",INDEX(選手一覧!$I$7:$I$2738,$F258))</f>
        <v/>
      </c>
    </row>
    <row r="259" customFormat="false" ht="15" hidden="false" customHeight="false" outlineLevel="0" collapsed="false">
      <c r="A259" s="17" t="n">
        <v>255</v>
      </c>
      <c r="B259" s="12" t="s">
        <v>2180</v>
      </c>
      <c r="C259" s="12" t="s">
        <v>320</v>
      </c>
      <c r="D259" s="16" t="n">
        <v>0.00279421296296296</v>
      </c>
      <c r="E259" s="15" t="n">
        <f aca="false">ROUND((D259-$D$5)*86400,2)</f>
        <v>16.39</v>
      </c>
      <c r="F259" s="17" t="n">
        <v>1386</v>
      </c>
      <c r="G259" s="16" t="str">
        <f aca="false">IF(INDEX(選手一覧!$D$7:$D$2738,$F259)="","",INDEX(選手一覧!$D$7:$D$2738,$F259))</f>
        <v/>
      </c>
      <c r="H259" s="17" t="str">
        <f aca="false">IF(INDEX(選手一覧!$E$7:$E$2738,$F259)="","",INDEX(選手一覧!$E$7:$E$2738,$F259))</f>
        <v/>
      </c>
      <c r="I259" s="16" t="str">
        <f aca="false">IF(INDEX(選手一覧!$H$7:$H$2738,$F259)="","",INDEX(選手一覧!$H$7:$H$2738,$F259))</f>
        <v/>
      </c>
      <c r="J259" s="17" t="str">
        <f aca="false">IF(INDEX(選手一覧!$I$7:$I$2738,$F259)="","",INDEX(選手一覧!$I$7:$I$2738,$F259))</f>
        <v/>
      </c>
    </row>
    <row r="260" customFormat="false" ht="15" hidden="false" customHeight="false" outlineLevel="0" collapsed="false">
      <c r="A260" s="17" t="n">
        <v>256</v>
      </c>
      <c r="B260" s="12" t="s">
        <v>2183</v>
      </c>
      <c r="C260" s="12" t="s">
        <v>214</v>
      </c>
      <c r="D260" s="16" t="n">
        <v>0.0027943287037037</v>
      </c>
      <c r="E260" s="15" t="n">
        <f aca="false">ROUND((D260-$D$5)*86400,2)</f>
        <v>16.4</v>
      </c>
      <c r="F260" s="17" t="n">
        <v>1388</v>
      </c>
      <c r="G260" s="16" t="str">
        <f aca="false">IF(INDEX(選手一覧!$D$7:$D$2738,$F260)="","",INDEX(選手一覧!$D$7:$D$2738,$F260))</f>
        <v/>
      </c>
      <c r="H260" s="17" t="str">
        <f aca="false">IF(INDEX(選手一覧!$E$7:$E$2738,$F260)="","",INDEX(選手一覧!$E$7:$E$2738,$F260))</f>
        <v/>
      </c>
      <c r="I260" s="16" t="str">
        <f aca="false">IF(INDEX(選手一覧!$H$7:$H$2738,$F260)="","",INDEX(選手一覧!$H$7:$H$2738,$F260))</f>
        <v/>
      </c>
      <c r="J260" s="17" t="str">
        <f aca="false">IF(INDEX(選手一覧!$I$7:$I$2738,$F260)="","",INDEX(選手一覧!$I$7:$I$2738,$F260))</f>
        <v/>
      </c>
    </row>
    <row r="261" customFormat="false" ht="15" hidden="false" customHeight="false" outlineLevel="0" collapsed="false">
      <c r="A261" s="17" t="n">
        <v>257</v>
      </c>
      <c r="B261" s="12" t="s">
        <v>1258</v>
      </c>
      <c r="C261" s="12" t="s">
        <v>1259</v>
      </c>
      <c r="D261" s="16" t="n">
        <v>0.00279456018518519</v>
      </c>
      <c r="E261" s="15" t="n">
        <f aca="false">ROUND((D261-$D$5)*86400,2)</f>
        <v>16.42</v>
      </c>
      <c r="F261" s="17" t="n">
        <v>750</v>
      </c>
      <c r="G261" s="16" t="n">
        <f aca="false">IF(INDEX(選手一覧!$D$7:$D$2738,$F261)="","",INDEX(選手一覧!$D$7:$D$2738,$F261))</f>
        <v>0.0108052083333333</v>
      </c>
      <c r="H261" s="17" t="n">
        <f aca="false">IF(INDEX(選手一覧!$E$7:$E$2738,$F261)="","",INDEX(選手一覧!$E$7:$E$2738,$F261))</f>
        <v>751</v>
      </c>
      <c r="I261" s="16" t="n">
        <f aca="false">IF(INDEX(選手一覧!$H$7:$H$2738,$F261)="","",INDEX(選手一覧!$H$7:$H$2738,$F261))</f>
        <v>0.00641087962962963</v>
      </c>
      <c r="J261" s="17" t="n">
        <f aca="false">IF(INDEX(選手一覧!$I$7:$I$2738,$F261)="","",INDEX(選手一覧!$I$7:$I$2738,$F261))</f>
        <v>17</v>
      </c>
    </row>
    <row r="262" customFormat="false" ht="15" hidden="false" customHeight="false" outlineLevel="0" collapsed="false">
      <c r="A262" s="17" t="n">
        <v>258</v>
      </c>
      <c r="B262" s="12" t="s">
        <v>1933</v>
      </c>
      <c r="C262" s="12" t="s">
        <v>1934</v>
      </c>
      <c r="D262" s="16" t="n">
        <v>0.00279490740740741</v>
      </c>
      <c r="E262" s="15" t="n">
        <f aca="false">ROUND((D262-$D$5)*86400,2)</f>
        <v>16.45</v>
      </c>
      <c r="F262" s="17" t="n">
        <v>1208</v>
      </c>
      <c r="G262" s="16" t="n">
        <f aca="false">IF(INDEX(選手一覧!$D$7:$D$2738,$F262)="","",INDEX(選手一覧!$D$7:$D$2738,$F262))</f>
        <v>0.0110541666666667</v>
      </c>
      <c r="H262" s="17" t="n">
        <f aca="false">IF(INDEX(選手一覧!$E$7:$E$2738,$F262)="","",INDEX(選手一覧!$E$7:$E$2738,$F262))</f>
        <v>1209</v>
      </c>
      <c r="I262" s="16" t="str">
        <f aca="false">IF(INDEX(選手一覧!$H$7:$H$2738,$F262)="","",INDEX(選手一覧!$H$7:$H$2738,$F262))</f>
        <v/>
      </c>
      <c r="J262" s="17" t="str">
        <f aca="false">IF(INDEX(選手一覧!$I$7:$I$2738,$F262)="","",INDEX(選手一覧!$I$7:$I$2738,$F262))</f>
        <v/>
      </c>
    </row>
    <row r="263" customFormat="false" ht="15" hidden="false" customHeight="false" outlineLevel="0" collapsed="false">
      <c r="A263" s="17" t="n">
        <v>259</v>
      </c>
      <c r="B263" s="12" t="s">
        <v>2185</v>
      </c>
      <c r="C263" s="12" t="s">
        <v>1106</v>
      </c>
      <c r="D263" s="16" t="n">
        <v>0.00279525462962963</v>
      </c>
      <c r="E263" s="15" t="n">
        <f aca="false">ROUND((D263-$D$5)*86400,2)</f>
        <v>16.48</v>
      </c>
      <c r="F263" s="17" t="n">
        <v>1390</v>
      </c>
      <c r="G263" s="16" t="str">
        <f aca="false">IF(INDEX(選手一覧!$D$7:$D$2738,$F263)="","",INDEX(選手一覧!$D$7:$D$2738,$F263))</f>
        <v/>
      </c>
      <c r="H263" s="17" t="str">
        <f aca="false">IF(INDEX(選手一覧!$E$7:$E$2738,$F263)="","",INDEX(選手一覧!$E$7:$E$2738,$F263))</f>
        <v/>
      </c>
      <c r="I263" s="16" t="str">
        <f aca="false">IF(INDEX(選手一覧!$H$7:$H$2738,$F263)="","",INDEX(選手一覧!$H$7:$H$2738,$F263))</f>
        <v/>
      </c>
      <c r="J263" s="17" t="str">
        <f aca="false">IF(INDEX(選手一覧!$I$7:$I$2738,$F263)="","",INDEX(選手一覧!$I$7:$I$2738,$F263))</f>
        <v/>
      </c>
    </row>
    <row r="264" customFormat="false" ht="15" hidden="false" customHeight="false" outlineLevel="0" collapsed="false">
      <c r="A264" s="17" t="n">
        <v>260</v>
      </c>
      <c r="B264" s="12" t="s">
        <v>1901</v>
      </c>
      <c r="C264" s="12" t="s">
        <v>145</v>
      </c>
      <c r="D264" s="16" t="n">
        <v>0.00279525462962963</v>
      </c>
      <c r="E264" s="15" t="n">
        <f aca="false">ROUND((D264-$D$5)*86400,2)</f>
        <v>16.48</v>
      </c>
      <c r="F264" s="17" t="n">
        <v>1184</v>
      </c>
      <c r="G264" s="16" t="n">
        <f aca="false">IF(INDEX(選手一覧!$D$7:$D$2738,$F264)="","",INDEX(選手一覧!$D$7:$D$2738,$F264))</f>
        <v>0.01104375</v>
      </c>
      <c r="H264" s="17" t="n">
        <f aca="false">IF(INDEX(選手一覧!$E$7:$E$2738,$F264)="","",INDEX(選手一覧!$E$7:$E$2738,$F264))</f>
        <v>1185</v>
      </c>
      <c r="I264" s="16" t="str">
        <f aca="false">IF(INDEX(選手一覧!$H$7:$H$2738,$F264)="","",INDEX(選手一覧!$H$7:$H$2738,$F264))</f>
        <v/>
      </c>
      <c r="J264" s="17" t="str">
        <f aca="false">IF(INDEX(選手一覧!$I$7:$I$2738,$F264)="","",INDEX(選手一覧!$I$7:$I$2738,$F264))</f>
        <v/>
      </c>
    </row>
    <row r="265" customFormat="false" ht="15" hidden="false" customHeight="false" outlineLevel="0" collapsed="false">
      <c r="A265" s="17" t="n">
        <v>261</v>
      </c>
      <c r="B265" s="12" t="s">
        <v>622</v>
      </c>
      <c r="C265" s="12" t="s">
        <v>623</v>
      </c>
      <c r="D265" s="16" t="n">
        <v>0.00279537037037037</v>
      </c>
      <c r="E265" s="15" t="n">
        <f aca="false">ROUND((D265-$D$5)*86400,2)</f>
        <v>16.49</v>
      </c>
      <c r="F265" s="17" t="n">
        <v>336</v>
      </c>
      <c r="G265" s="16" t="n">
        <f aca="false">IF(INDEX(選手一覧!$D$7:$D$2738,$F265)="","",INDEX(選手一覧!$D$7:$D$2738,$F265))</f>
        <v>0.0104947916666667</v>
      </c>
      <c r="H265" s="17" t="n">
        <f aca="false">IF(INDEX(選手一覧!$E$7:$E$2738,$F265)="","",INDEX(選手一覧!$E$7:$E$2738,$F265))</f>
        <v>337</v>
      </c>
      <c r="I265" s="16" t="str">
        <f aca="false">IF(INDEX(選手一覧!$H$7:$H$2738,$F265)="","",INDEX(選手一覧!$H$7:$H$2738,$F265))</f>
        <v/>
      </c>
      <c r="J265" s="17" t="str">
        <f aca="false">IF(INDEX(選手一覧!$I$7:$I$2738,$F265)="","",INDEX(選手一覧!$I$7:$I$2738,$F265))</f>
        <v/>
      </c>
    </row>
    <row r="266" customFormat="false" ht="15" hidden="false" customHeight="false" outlineLevel="0" collapsed="false">
      <c r="A266" s="17" t="n">
        <v>262</v>
      </c>
      <c r="B266" s="12" t="s">
        <v>1191</v>
      </c>
      <c r="C266" s="12" t="s">
        <v>1192</v>
      </c>
      <c r="D266" s="16" t="n">
        <v>0.00279560185185185</v>
      </c>
      <c r="E266" s="15" t="n">
        <f aca="false">ROUND((D266-$D$5)*86400,2)</f>
        <v>16.51</v>
      </c>
      <c r="F266" s="17" t="n">
        <v>707</v>
      </c>
      <c r="G266" s="16" t="n">
        <f aca="false">IF(INDEX(選手一覧!$D$7:$D$2738,$F266)="","",INDEX(選手一覧!$D$7:$D$2738,$F266))</f>
        <v>0.0107810185185185</v>
      </c>
      <c r="H266" s="17" t="n">
        <f aca="false">IF(INDEX(選手一覧!$E$7:$E$2738,$F266)="","",INDEX(選手一覧!$E$7:$E$2738,$F266))</f>
        <v>708</v>
      </c>
      <c r="I266" s="16" t="str">
        <f aca="false">IF(INDEX(選手一覧!$H$7:$H$2738,$F266)="","",INDEX(選手一覧!$H$7:$H$2738,$F266))</f>
        <v/>
      </c>
      <c r="J266" s="17" t="str">
        <f aca="false">IF(INDEX(選手一覧!$I$7:$I$2738,$F266)="","",INDEX(選手一覧!$I$7:$I$2738,$F266))</f>
        <v/>
      </c>
    </row>
    <row r="267" customFormat="false" ht="15" hidden="false" customHeight="false" outlineLevel="0" collapsed="false">
      <c r="A267" s="17" t="n">
        <v>263</v>
      </c>
      <c r="B267" s="12" t="s">
        <v>1105</v>
      </c>
      <c r="C267" s="12" t="s">
        <v>1106</v>
      </c>
      <c r="D267" s="16" t="n">
        <v>0.00279560185185185</v>
      </c>
      <c r="E267" s="15" t="n">
        <f aca="false">ROUND((D267-$D$5)*86400,2)</f>
        <v>16.51</v>
      </c>
      <c r="F267" s="17" t="n">
        <v>654</v>
      </c>
      <c r="G267" s="16" t="n">
        <f aca="false">IF(INDEX(選手一覧!$D$7:$D$2738,$F267)="","",INDEX(選手一覧!$D$7:$D$2738,$F267))</f>
        <v>0.0107415509259259</v>
      </c>
      <c r="H267" s="17" t="n">
        <f aca="false">IF(INDEX(選手一覧!$E$7:$E$2738,$F267)="","",INDEX(選手一覧!$E$7:$E$2738,$F267))</f>
        <v>655</v>
      </c>
      <c r="I267" s="16" t="str">
        <f aca="false">IF(INDEX(選手一覧!$H$7:$H$2738,$F267)="","",INDEX(選手一覧!$H$7:$H$2738,$F267))</f>
        <v/>
      </c>
      <c r="J267" s="17" t="str">
        <f aca="false">IF(INDEX(選手一覧!$I$7:$I$2738,$F267)="","",INDEX(選手一覧!$I$7:$I$2738,$F267))</f>
        <v/>
      </c>
    </row>
    <row r="268" customFormat="false" ht="15" hidden="false" customHeight="false" outlineLevel="0" collapsed="false">
      <c r="A268" s="17" t="n">
        <v>264</v>
      </c>
      <c r="B268" s="12" t="s">
        <v>1254</v>
      </c>
      <c r="C268" s="12" t="s">
        <v>1255</v>
      </c>
      <c r="D268" s="16" t="n">
        <v>0.00279560185185185</v>
      </c>
      <c r="E268" s="15" t="n">
        <f aca="false">ROUND((D268-$D$5)*86400,2)</f>
        <v>16.51</v>
      </c>
      <c r="F268" s="17" t="n">
        <v>748</v>
      </c>
      <c r="G268" s="16" t="n">
        <f aca="false">IF(INDEX(選手一覧!$D$7:$D$2738,$F268)="","",INDEX(選手一覧!$D$7:$D$2738,$F268))</f>
        <v>0.010803125</v>
      </c>
      <c r="H268" s="17" t="n">
        <f aca="false">IF(INDEX(選手一覧!$E$7:$E$2738,$F268)="","",INDEX(選手一覧!$E$7:$E$2738,$F268))</f>
        <v>749</v>
      </c>
      <c r="I268" s="16" t="str">
        <f aca="false">IF(INDEX(選手一覧!$H$7:$H$2738,$F268)="","",INDEX(選手一覧!$H$7:$H$2738,$F268))</f>
        <v/>
      </c>
      <c r="J268" s="17" t="str">
        <f aca="false">IF(INDEX(選手一覧!$I$7:$I$2738,$F268)="","",INDEX(選手一覧!$I$7:$I$2738,$F268))</f>
        <v/>
      </c>
    </row>
    <row r="269" customFormat="false" ht="15" hidden="false" customHeight="false" outlineLevel="0" collapsed="false">
      <c r="A269" s="17" t="n">
        <v>265</v>
      </c>
      <c r="B269" s="12" t="s">
        <v>2195</v>
      </c>
      <c r="C269" s="12" t="s">
        <v>2196</v>
      </c>
      <c r="D269" s="16" t="n">
        <v>0.00279606481481482</v>
      </c>
      <c r="E269" s="15" t="n">
        <f aca="false">ROUND((D269-$D$5)*86400,2)</f>
        <v>16.55</v>
      </c>
      <c r="F269" s="17" t="n">
        <v>1397</v>
      </c>
      <c r="G269" s="16" t="str">
        <f aca="false">IF(INDEX(選手一覧!$D$7:$D$2738,$F269)="","",INDEX(選手一覧!$D$7:$D$2738,$F269))</f>
        <v/>
      </c>
      <c r="H269" s="17" t="str">
        <f aca="false">IF(INDEX(選手一覧!$E$7:$E$2738,$F269)="","",INDEX(選手一覧!$E$7:$E$2738,$F269))</f>
        <v/>
      </c>
      <c r="I269" s="16" t="str">
        <f aca="false">IF(INDEX(選手一覧!$H$7:$H$2738,$F269)="","",INDEX(選手一覧!$H$7:$H$2738,$F269))</f>
        <v/>
      </c>
      <c r="J269" s="17" t="str">
        <f aca="false">IF(INDEX(選手一覧!$I$7:$I$2738,$F269)="","",INDEX(選手一覧!$I$7:$I$2738,$F269))</f>
        <v/>
      </c>
    </row>
    <row r="270" customFormat="false" ht="15" hidden="false" customHeight="false" outlineLevel="0" collapsed="false">
      <c r="A270" s="17" t="n">
        <v>266</v>
      </c>
      <c r="B270" s="12" t="s">
        <v>287</v>
      </c>
      <c r="C270" s="12" t="s">
        <v>288</v>
      </c>
      <c r="D270" s="16" t="n">
        <v>0.00279618055555556</v>
      </c>
      <c r="E270" s="15" t="n">
        <f aca="false">ROUND((D270-$D$5)*86400,2)</f>
        <v>16.56</v>
      </c>
      <c r="F270" s="17" t="n">
        <v>136</v>
      </c>
      <c r="G270" s="16" t="n">
        <f aca="false">IF(INDEX(選手一覧!$D$7:$D$2738,$F270)="","",INDEX(選手一覧!$D$7:$D$2738,$F270))</f>
        <v>0.01026875</v>
      </c>
      <c r="H270" s="17" t="n">
        <f aca="false">IF(INDEX(選手一覧!$E$7:$E$2738,$F270)="","",INDEX(選手一覧!$E$7:$E$2738,$F270))</f>
        <v>137</v>
      </c>
      <c r="I270" s="16" t="str">
        <f aca="false">IF(INDEX(選手一覧!$H$7:$H$2738,$F270)="","",INDEX(選手一覧!$H$7:$H$2738,$F270))</f>
        <v/>
      </c>
      <c r="J270" s="17" t="str">
        <f aca="false">IF(INDEX(選手一覧!$I$7:$I$2738,$F270)="","",INDEX(選手一覧!$I$7:$I$2738,$F270))</f>
        <v/>
      </c>
    </row>
    <row r="271" customFormat="false" ht="15" hidden="false" customHeight="false" outlineLevel="0" collapsed="false">
      <c r="A271" s="17" t="n">
        <v>267</v>
      </c>
      <c r="B271" s="12" t="s">
        <v>640</v>
      </c>
      <c r="C271" s="12" t="s">
        <v>195</v>
      </c>
      <c r="D271" s="16" t="n">
        <v>0.00279618055555556</v>
      </c>
      <c r="E271" s="15" t="n">
        <f aca="false">ROUND((D271-$D$5)*86400,2)</f>
        <v>16.56</v>
      </c>
      <c r="F271" s="17" t="n">
        <v>347</v>
      </c>
      <c r="G271" s="16" t="n">
        <f aca="false">IF(INDEX(選手一覧!$D$7:$D$2738,$F271)="","",INDEX(選手一覧!$D$7:$D$2738,$F271))</f>
        <v>0.0105081018518519</v>
      </c>
      <c r="H271" s="17" t="n">
        <f aca="false">IF(INDEX(選手一覧!$E$7:$E$2738,$F271)="","",INDEX(選手一覧!$E$7:$E$2738,$F271))</f>
        <v>348</v>
      </c>
      <c r="I271" s="16" t="str">
        <f aca="false">IF(INDEX(選手一覧!$H$7:$H$2738,$F271)="","",INDEX(選手一覧!$H$7:$H$2738,$F271))</f>
        <v/>
      </c>
      <c r="J271" s="17" t="str">
        <f aca="false">IF(INDEX(選手一覧!$I$7:$I$2738,$F271)="","",INDEX(選手一覧!$I$7:$I$2738,$F271))</f>
        <v/>
      </c>
    </row>
    <row r="272" customFormat="false" ht="15" hidden="false" customHeight="false" outlineLevel="0" collapsed="false">
      <c r="A272" s="17" t="n">
        <v>268</v>
      </c>
      <c r="B272" s="12" t="s">
        <v>252</v>
      </c>
      <c r="C272" s="12" t="s">
        <v>253</v>
      </c>
      <c r="D272" s="16" t="n">
        <v>0.00279675925925926</v>
      </c>
      <c r="E272" s="15" t="n">
        <f aca="false">ROUND((D272-$D$5)*86400,2)</f>
        <v>16.61</v>
      </c>
      <c r="F272" s="17" t="n">
        <v>119</v>
      </c>
      <c r="G272" s="16" t="n">
        <f aca="false">IF(INDEX(選手一覧!$D$7:$D$2738,$F272)="","",INDEX(選手一覧!$D$7:$D$2738,$F272))</f>
        <v>0.0102403935185185</v>
      </c>
      <c r="H272" s="17" t="n">
        <f aca="false">IF(INDEX(選手一覧!$E$7:$E$2738,$F272)="","",INDEX(選手一覧!$E$7:$E$2738,$F272))</f>
        <v>120</v>
      </c>
      <c r="I272" s="16" t="str">
        <f aca="false">IF(INDEX(選手一覧!$H$7:$H$2738,$F272)="","",INDEX(選手一覧!$H$7:$H$2738,$F272))</f>
        <v/>
      </c>
      <c r="J272" s="17" t="str">
        <f aca="false">IF(INDEX(選手一覧!$I$7:$I$2738,$F272)="","",INDEX(選手一覧!$I$7:$I$2738,$F272))</f>
        <v/>
      </c>
    </row>
    <row r="273" customFormat="false" ht="15" hidden="false" customHeight="false" outlineLevel="0" collapsed="false">
      <c r="A273" s="17" t="n">
        <v>269</v>
      </c>
      <c r="B273" s="12" t="s">
        <v>511</v>
      </c>
      <c r="C273" s="12" t="s">
        <v>152</v>
      </c>
      <c r="D273" s="16" t="n">
        <v>0.002796875</v>
      </c>
      <c r="E273" s="15" t="n">
        <f aca="false">ROUND((D273-$D$5)*86400,2)</f>
        <v>16.62</v>
      </c>
      <c r="F273" s="17" t="n">
        <v>268</v>
      </c>
      <c r="G273" s="16" t="n">
        <f aca="false">IF(INDEX(選手一覧!$D$7:$D$2738,$F273)="","",INDEX(選手一覧!$D$7:$D$2738,$F273))</f>
        <v>0.0104037037037037</v>
      </c>
      <c r="H273" s="17" t="n">
        <f aca="false">IF(INDEX(選手一覧!$E$7:$E$2738,$F273)="","",INDEX(選手一覧!$E$7:$E$2738,$F273))</f>
        <v>269</v>
      </c>
      <c r="I273" s="16" t="str">
        <f aca="false">IF(INDEX(選手一覧!$H$7:$H$2738,$F273)="","",INDEX(選手一覧!$H$7:$H$2738,$F273))</f>
        <v/>
      </c>
      <c r="J273" s="17" t="str">
        <f aca="false">IF(INDEX(選手一覧!$I$7:$I$2738,$F273)="","",INDEX(選手一覧!$I$7:$I$2738,$F273))</f>
        <v/>
      </c>
    </row>
    <row r="274" customFormat="false" ht="15" hidden="false" customHeight="false" outlineLevel="0" collapsed="false">
      <c r="A274" s="17" t="n">
        <v>270</v>
      </c>
      <c r="B274" s="12" t="s">
        <v>1065</v>
      </c>
      <c r="C274" s="12" t="s">
        <v>515</v>
      </c>
      <c r="D274" s="16" t="n">
        <v>0.00279710648148148</v>
      </c>
      <c r="E274" s="15" t="n">
        <f aca="false">ROUND((D274-$D$5)*86400,2)</f>
        <v>16.64</v>
      </c>
      <c r="F274" s="17" t="n">
        <v>624</v>
      </c>
      <c r="G274" s="16" t="n">
        <f aca="false">IF(INDEX(選手一覧!$D$7:$D$2738,$F274)="","",INDEX(選手一覧!$D$7:$D$2738,$F274))</f>
        <v>0.0107273148148148</v>
      </c>
      <c r="H274" s="17" t="n">
        <f aca="false">IF(INDEX(選手一覧!$E$7:$E$2738,$F274)="","",INDEX(選手一覧!$E$7:$E$2738,$F274))</f>
        <v>625</v>
      </c>
      <c r="I274" s="16" t="str">
        <f aca="false">IF(INDEX(選手一覧!$H$7:$H$2738,$F274)="","",INDEX(選手一覧!$H$7:$H$2738,$F274))</f>
        <v/>
      </c>
      <c r="J274" s="17" t="str">
        <f aca="false">IF(INDEX(選手一覧!$I$7:$I$2738,$F274)="","",INDEX(選手一覧!$I$7:$I$2738,$F274))</f>
        <v/>
      </c>
    </row>
    <row r="275" customFormat="false" ht="15" hidden="false" customHeight="false" outlineLevel="0" collapsed="false">
      <c r="A275" s="17" t="n">
        <v>271</v>
      </c>
      <c r="B275" s="12" t="s">
        <v>2200</v>
      </c>
      <c r="C275" s="12" t="s">
        <v>2201</v>
      </c>
      <c r="D275" s="16" t="n">
        <v>0.0027974537037037</v>
      </c>
      <c r="E275" s="15" t="n">
        <f aca="false">ROUND((D275-$D$5)*86400,2)</f>
        <v>16.67</v>
      </c>
      <c r="F275" s="17" t="n">
        <v>1401</v>
      </c>
      <c r="G275" s="16" t="str">
        <f aca="false">IF(INDEX(選手一覧!$D$7:$D$2738,$F275)="","",INDEX(選手一覧!$D$7:$D$2738,$F275))</f>
        <v/>
      </c>
      <c r="H275" s="17" t="str">
        <f aca="false">IF(INDEX(選手一覧!$E$7:$E$2738,$F275)="","",INDEX(選手一覧!$E$7:$E$2738,$F275))</f>
        <v/>
      </c>
      <c r="I275" s="16" t="str">
        <f aca="false">IF(INDEX(選手一覧!$H$7:$H$2738,$F275)="","",INDEX(選手一覧!$H$7:$H$2738,$F275))</f>
        <v/>
      </c>
      <c r="J275" s="17" t="str">
        <f aca="false">IF(INDEX(選手一覧!$I$7:$I$2738,$F275)="","",INDEX(選手一覧!$I$7:$I$2738,$F275))</f>
        <v/>
      </c>
    </row>
    <row r="276" customFormat="false" ht="15" hidden="false" customHeight="false" outlineLevel="0" collapsed="false">
      <c r="A276" s="17" t="n">
        <v>272</v>
      </c>
      <c r="B276" s="12" t="s">
        <v>834</v>
      </c>
      <c r="C276" s="12" t="s">
        <v>67</v>
      </c>
      <c r="D276" s="16" t="n">
        <v>0.00279756944444445</v>
      </c>
      <c r="E276" s="15" t="n">
        <f aca="false">ROUND((D276-$D$5)*86400,2)</f>
        <v>16.68</v>
      </c>
      <c r="F276" s="17" t="n">
        <v>473</v>
      </c>
      <c r="G276" s="16" t="n">
        <f aca="false">IF(INDEX(選手一覧!$D$7:$D$2738,$F276)="","",INDEX(選手一覧!$D$7:$D$2738,$F276))</f>
        <v>0.0106086805555556</v>
      </c>
      <c r="H276" s="17" t="n">
        <f aca="false">IF(INDEX(選手一覧!$E$7:$E$2738,$F276)="","",INDEX(選手一覧!$E$7:$E$2738,$F276))</f>
        <v>474</v>
      </c>
      <c r="I276" s="16" t="n">
        <f aca="false">IF(INDEX(選手一覧!$H$7:$H$2738,$F276)="","",INDEX(選手一覧!$H$7:$H$2738,$F276))</f>
        <v>0.00698622685185185</v>
      </c>
      <c r="J276" s="17" t="n">
        <f aca="false">IF(INDEX(選手一覧!$I$7:$I$2738,$F276)="","",INDEX(選手一覧!$I$7:$I$2738,$F276))</f>
        <v>321</v>
      </c>
    </row>
    <row r="277" customFormat="false" ht="15" hidden="false" customHeight="false" outlineLevel="0" collapsed="false">
      <c r="A277" s="17" t="n">
        <v>273</v>
      </c>
      <c r="B277" s="12" t="s">
        <v>1145</v>
      </c>
      <c r="C277" s="12" t="s">
        <v>1146</v>
      </c>
      <c r="D277" s="16" t="n">
        <v>0.00279768518518519</v>
      </c>
      <c r="E277" s="15" t="n">
        <f aca="false">ROUND((D277-$D$5)*86400,2)</f>
        <v>16.69</v>
      </c>
      <c r="F277" s="17" t="n">
        <v>678</v>
      </c>
      <c r="G277" s="16" t="n">
        <f aca="false">IF(INDEX(選手一覧!$D$7:$D$2738,$F277)="","",INDEX(選手一覧!$D$7:$D$2738,$F277))</f>
        <v>0.0107601851851852</v>
      </c>
      <c r="H277" s="17" t="n">
        <f aca="false">IF(INDEX(選手一覧!$E$7:$E$2738,$F277)="","",INDEX(選手一覧!$E$7:$E$2738,$F277))</f>
        <v>679</v>
      </c>
      <c r="I277" s="16" t="n">
        <f aca="false">IF(INDEX(選手一覧!$H$7:$H$2738,$F277)="","",INDEX(選手一覧!$H$7:$H$2738,$F277))</f>
        <v>0.00667858796296296</v>
      </c>
      <c r="J277" s="17" t="n">
        <f aca="false">IF(INDEX(選手一覧!$I$7:$I$2738,$F277)="","",INDEX(選手一覧!$I$7:$I$2738,$F277))</f>
        <v>97</v>
      </c>
    </row>
    <row r="278" customFormat="false" ht="15" hidden="false" customHeight="false" outlineLevel="0" collapsed="false">
      <c r="A278" s="17" t="n">
        <v>274</v>
      </c>
      <c r="B278" s="12" t="s">
        <v>1518</v>
      </c>
      <c r="C278" s="12" t="s">
        <v>795</v>
      </c>
      <c r="D278" s="16" t="n">
        <v>0.00279780092592593</v>
      </c>
      <c r="E278" s="15" t="n">
        <f aca="false">ROUND((D278-$D$5)*86400,2)</f>
        <v>16.7</v>
      </c>
      <c r="F278" s="17" t="n">
        <v>923</v>
      </c>
      <c r="G278" s="16" t="n">
        <f aca="false">IF(INDEX(選手一覧!$D$7:$D$2738,$F278)="","",INDEX(選手一覧!$D$7:$D$2738,$F278))</f>
        <v>0.0109027777777778</v>
      </c>
      <c r="H278" s="17" t="n">
        <f aca="false">IF(INDEX(選手一覧!$E$7:$E$2738,$F278)="","",INDEX(選手一覧!$E$7:$E$2738,$F278))</f>
        <v>924</v>
      </c>
      <c r="I278" s="16" t="str">
        <f aca="false">IF(INDEX(選手一覧!$H$7:$H$2738,$F278)="","",INDEX(選手一覧!$H$7:$H$2738,$F278))</f>
        <v/>
      </c>
      <c r="J278" s="17" t="str">
        <f aca="false">IF(INDEX(選手一覧!$I$7:$I$2738,$F278)="","",INDEX(選手一覧!$I$7:$I$2738,$F278))</f>
        <v/>
      </c>
    </row>
    <row r="279" customFormat="false" ht="15" hidden="false" customHeight="false" outlineLevel="0" collapsed="false">
      <c r="A279" s="17" t="n">
        <v>275</v>
      </c>
      <c r="B279" s="12" t="s">
        <v>1268</v>
      </c>
      <c r="C279" s="12" t="s">
        <v>1269</v>
      </c>
      <c r="D279" s="16" t="n">
        <v>0.00279814814814815</v>
      </c>
      <c r="E279" s="15" t="n">
        <f aca="false">ROUND((D279-$D$5)*86400,2)</f>
        <v>16.73</v>
      </c>
      <c r="F279" s="17" t="n">
        <v>756</v>
      </c>
      <c r="G279" s="16" t="n">
        <f aca="false">IF(INDEX(選手一覧!$D$7:$D$2738,$F279)="","",INDEX(選手一覧!$D$7:$D$2738,$F279))</f>
        <v>0.0108070601851852</v>
      </c>
      <c r="H279" s="17" t="n">
        <f aca="false">IF(INDEX(選手一覧!$E$7:$E$2738,$F279)="","",INDEX(選手一覧!$E$7:$E$2738,$F279))</f>
        <v>757</v>
      </c>
      <c r="I279" s="16" t="str">
        <f aca="false">IF(INDEX(選手一覧!$H$7:$H$2738,$F279)="","",INDEX(選手一覧!$H$7:$H$2738,$F279))</f>
        <v/>
      </c>
      <c r="J279" s="17" t="str">
        <f aca="false">IF(INDEX(選手一覧!$I$7:$I$2738,$F279)="","",INDEX(選手一覧!$I$7:$I$2738,$F279))</f>
        <v/>
      </c>
    </row>
    <row r="280" customFormat="false" ht="15" hidden="false" customHeight="false" outlineLevel="0" collapsed="false">
      <c r="A280" s="17" t="n">
        <v>276</v>
      </c>
      <c r="B280" s="12" t="s">
        <v>607</v>
      </c>
      <c r="C280" s="12" t="s">
        <v>4763</v>
      </c>
      <c r="D280" s="16" t="n">
        <v>0.00279872685185185</v>
      </c>
      <c r="E280" s="15" t="n">
        <f aca="false">ROUND((D280-$D$5)*86400,2)</f>
        <v>16.78</v>
      </c>
      <c r="F280" s="17" t="n">
        <v>326</v>
      </c>
      <c r="G280" s="16" t="n">
        <f aca="false">IF(INDEX(選手一覧!$D$7:$D$2738,$F280)="","",INDEX(選手一覧!$D$7:$D$2738,$F280))</f>
        <v>0.0104842592592593</v>
      </c>
      <c r="H280" s="17" t="n">
        <f aca="false">IF(INDEX(選手一覧!$E$7:$E$2738,$F280)="","",INDEX(選手一覧!$E$7:$E$2738,$F280))</f>
        <v>327</v>
      </c>
      <c r="I280" s="16" t="str">
        <f aca="false">IF(INDEX(選手一覧!$H$7:$H$2738,$F280)="","",INDEX(選手一覧!$H$7:$H$2738,$F280))</f>
        <v/>
      </c>
      <c r="J280" s="17" t="str">
        <f aca="false">IF(INDEX(選手一覧!$I$7:$I$2738,$F280)="","",INDEX(選手一覧!$I$7:$I$2738,$F280))</f>
        <v/>
      </c>
    </row>
    <row r="281" customFormat="false" ht="15" hidden="false" customHeight="false" outlineLevel="0" collapsed="false">
      <c r="A281" s="17" t="n">
        <v>277</v>
      </c>
      <c r="B281" s="12" t="s">
        <v>408</v>
      </c>
      <c r="C281" s="12" t="s">
        <v>409</v>
      </c>
      <c r="D281" s="16" t="n">
        <v>0.00279907407407407</v>
      </c>
      <c r="E281" s="15" t="n">
        <f aca="false">ROUND((D281-$D$5)*86400,2)</f>
        <v>16.81</v>
      </c>
      <c r="F281" s="17" t="n">
        <v>204</v>
      </c>
      <c r="G281" s="16" t="n">
        <f aca="false">IF(INDEX(選手一覧!$D$7:$D$2738,$F281)="","",INDEX(選手一覧!$D$7:$D$2738,$F281))</f>
        <v>0.0103510416666667</v>
      </c>
      <c r="H281" s="17" t="n">
        <f aca="false">IF(INDEX(選手一覧!$E$7:$E$2738,$F281)="","",INDEX(選手一覧!$E$7:$E$2738,$F281))</f>
        <v>205</v>
      </c>
      <c r="I281" s="16" t="str">
        <f aca="false">IF(INDEX(選手一覧!$H$7:$H$2738,$F281)="","",INDEX(選手一覧!$H$7:$H$2738,$F281))</f>
        <v/>
      </c>
      <c r="J281" s="17" t="str">
        <f aca="false">IF(INDEX(選手一覧!$I$7:$I$2738,$F281)="","",INDEX(選手一覧!$I$7:$I$2738,$F281))</f>
        <v/>
      </c>
    </row>
    <row r="282" customFormat="false" ht="15" hidden="false" customHeight="false" outlineLevel="0" collapsed="false">
      <c r="A282" s="17" t="n">
        <v>278</v>
      </c>
      <c r="B282" s="12" t="s">
        <v>1189</v>
      </c>
      <c r="C282" s="12" t="s">
        <v>1190</v>
      </c>
      <c r="D282" s="16" t="n">
        <v>0.00279907407407407</v>
      </c>
      <c r="E282" s="15" t="n">
        <f aca="false">ROUND((D282-$D$5)*86400,2)</f>
        <v>16.81</v>
      </c>
      <c r="F282" s="17" t="n">
        <v>706</v>
      </c>
      <c r="G282" s="16" t="n">
        <f aca="false">IF(INDEX(選手一覧!$D$7:$D$2738,$F282)="","",INDEX(選手一覧!$D$7:$D$2738,$F282))</f>
        <v>0.0107804398148148</v>
      </c>
      <c r="H282" s="17" t="n">
        <f aca="false">IF(INDEX(選手一覧!$E$7:$E$2738,$F282)="","",INDEX(選手一覧!$E$7:$E$2738,$F282))</f>
        <v>707</v>
      </c>
      <c r="I282" s="16" t="str">
        <f aca="false">IF(INDEX(選手一覧!$H$7:$H$2738,$F282)="","",INDEX(選手一覧!$H$7:$H$2738,$F282))</f>
        <v/>
      </c>
      <c r="J282" s="17" t="str">
        <f aca="false">IF(INDEX(選手一覧!$I$7:$I$2738,$F282)="","",INDEX(選手一覧!$I$7:$I$2738,$F282))</f>
        <v/>
      </c>
    </row>
    <row r="283" customFormat="false" ht="15" hidden="false" customHeight="false" outlineLevel="0" collapsed="false">
      <c r="A283" s="17" t="n">
        <v>279</v>
      </c>
      <c r="B283" s="12" t="s">
        <v>358</v>
      </c>
      <c r="C283" s="12" t="s">
        <v>323</v>
      </c>
      <c r="D283" s="16" t="n">
        <v>0.00279930555555556</v>
      </c>
      <c r="E283" s="15" t="n">
        <f aca="false">ROUND((D283-$D$5)*86400,2)</f>
        <v>16.83</v>
      </c>
      <c r="F283" s="17" t="n">
        <v>174</v>
      </c>
      <c r="G283" s="16" t="n">
        <f aca="false">IF(INDEX(選手一覧!$D$7:$D$2738,$F283)="","",INDEX(選手一覧!$D$7:$D$2738,$F283))</f>
        <v>0.0103246527777778</v>
      </c>
      <c r="H283" s="17" t="n">
        <f aca="false">IF(INDEX(選手一覧!$E$7:$E$2738,$F283)="","",INDEX(選手一覧!$E$7:$E$2738,$F283))</f>
        <v>175</v>
      </c>
      <c r="I283" s="16" t="n">
        <f aca="false">IF(INDEX(選手一覧!$H$7:$H$2738,$F283)="","",INDEX(選手一覧!$H$7:$H$2738,$F283))</f>
        <v>0.00648136574074074</v>
      </c>
      <c r="J283" s="17" t="n">
        <f aca="false">IF(INDEX(選手一覧!$I$7:$I$2738,$F283)="","",INDEX(選手一覧!$I$7:$I$2738,$F283))</f>
        <v>30</v>
      </c>
    </row>
    <row r="284" customFormat="false" ht="15" hidden="false" customHeight="false" outlineLevel="0" collapsed="false">
      <c r="A284" s="17" t="n">
        <v>280</v>
      </c>
      <c r="B284" s="12" t="s">
        <v>2209</v>
      </c>
      <c r="C284" s="12" t="s">
        <v>1469</v>
      </c>
      <c r="D284" s="16" t="n">
        <v>0.0027994212962963</v>
      </c>
      <c r="E284" s="15" t="n">
        <f aca="false">ROUND((D284-$D$5)*86400,2)</f>
        <v>16.84</v>
      </c>
      <c r="F284" s="17" t="n">
        <v>1407</v>
      </c>
      <c r="G284" s="16" t="str">
        <f aca="false">IF(INDEX(選手一覧!$D$7:$D$2738,$F284)="","",INDEX(選手一覧!$D$7:$D$2738,$F284))</f>
        <v/>
      </c>
      <c r="H284" s="17" t="str">
        <f aca="false">IF(INDEX(選手一覧!$E$7:$E$2738,$F284)="","",INDEX(選手一覧!$E$7:$E$2738,$F284))</f>
        <v/>
      </c>
      <c r="I284" s="16" t="str">
        <f aca="false">IF(INDEX(選手一覧!$H$7:$H$2738,$F284)="","",INDEX(選手一覧!$H$7:$H$2738,$F284))</f>
        <v/>
      </c>
      <c r="J284" s="17" t="str">
        <f aca="false">IF(INDEX(選手一覧!$I$7:$I$2738,$F284)="","",INDEX(選手一覧!$I$7:$I$2738,$F284))</f>
        <v/>
      </c>
    </row>
    <row r="285" customFormat="false" ht="15" hidden="false" customHeight="false" outlineLevel="0" collapsed="false">
      <c r="A285" s="17" t="n">
        <v>281</v>
      </c>
      <c r="B285" s="12" t="s">
        <v>681</v>
      </c>
      <c r="C285" s="12" t="s">
        <v>167</v>
      </c>
      <c r="D285" s="16" t="n">
        <v>0.00279965277777778</v>
      </c>
      <c r="E285" s="15" t="n">
        <f aca="false">ROUND((D285-$D$5)*86400,2)</f>
        <v>16.86</v>
      </c>
      <c r="F285" s="17" t="n">
        <v>374</v>
      </c>
      <c r="G285" s="16" t="n">
        <f aca="false">IF(INDEX(選手一覧!$D$7:$D$2738,$F285)="","",INDEX(選手一覧!$D$7:$D$2738,$F285))</f>
        <v>0.0105329861111111</v>
      </c>
      <c r="H285" s="17" t="n">
        <f aca="false">IF(INDEX(選手一覧!$E$7:$E$2738,$F285)="","",INDEX(選手一覧!$E$7:$E$2738,$F285))</f>
        <v>375</v>
      </c>
      <c r="I285" s="16" t="str">
        <f aca="false">IF(INDEX(選手一覧!$H$7:$H$2738,$F285)="","",INDEX(選手一覧!$H$7:$H$2738,$F285))</f>
        <v/>
      </c>
      <c r="J285" s="17" t="str">
        <f aca="false">IF(INDEX(選手一覧!$I$7:$I$2738,$F285)="","",INDEX(選手一覧!$I$7:$I$2738,$F285))</f>
        <v/>
      </c>
    </row>
    <row r="286" customFormat="false" ht="15" hidden="false" customHeight="false" outlineLevel="0" collapsed="false">
      <c r="A286" s="17" t="n">
        <v>282</v>
      </c>
      <c r="B286" s="12" t="s">
        <v>612</v>
      </c>
      <c r="C286" s="12" t="s">
        <v>613</v>
      </c>
      <c r="D286" s="16" t="n">
        <v>0.00279965277777778</v>
      </c>
      <c r="E286" s="15" t="n">
        <f aca="false">ROUND((D286-$D$5)*86400,2)</f>
        <v>16.86</v>
      </c>
      <c r="F286" s="17" t="n">
        <v>330</v>
      </c>
      <c r="G286" s="16" t="n">
        <f aca="false">IF(INDEX(選手一覧!$D$7:$D$2738,$F286)="","",INDEX(選手一覧!$D$7:$D$2738,$F286))</f>
        <v>0.0104891203703704</v>
      </c>
      <c r="H286" s="17" t="n">
        <f aca="false">IF(INDEX(選手一覧!$E$7:$E$2738,$F286)="","",INDEX(選手一覧!$E$7:$E$2738,$F286))</f>
        <v>331</v>
      </c>
      <c r="I286" s="16" t="str">
        <f aca="false">IF(INDEX(選手一覧!$H$7:$H$2738,$F286)="","",INDEX(選手一覧!$H$7:$H$2738,$F286))</f>
        <v/>
      </c>
      <c r="J286" s="17" t="str">
        <f aca="false">IF(INDEX(選手一覧!$I$7:$I$2738,$F286)="","",INDEX(選手一覧!$I$7:$I$2738,$F286))</f>
        <v/>
      </c>
    </row>
    <row r="287" customFormat="false" ht="15" hidden="false" customHeight="false" outlineLevel="0" collapsed="false">
      <c r="A287" s="17" t="n">
        <v>283</v>
      </c>
      <c r="B287" s="12" t="s">
        <v>1545</v>
      </c>
      <c r="C287" s="12" t="s">
        <v>1385</v>
      </c>
      <c r="D287" s="16" t="n">
        <v>0.00279988425925926</v>
      </c>
      <c r="E287" s="15" t="n">
        <f aca="false">ROUND((D287-$D$5)*86400,2)</f>
        <v>16.88</v>
      </c>
      <c r="F287" s="17" t="n">
        <v>943</v>
      </c>
      <c r="G287" s="16" t="n">
        <f aca="false">IF(INDEX(選手一覧!$D$7:$D$2738,$F287)="","",INDEX(選手一覧!$D$7:$D$2738,$F287))</f>
        <v>0.0109134259259259</v>
      </c>
      <c r="H287" s="17" t="n">
        <f aca="false">IF(INDEX(選手一覧!$E$7:$E$2738,$F287)="","",INDEX(選手一覧!$E$7:$E$2738,$F287))</f>
        <v>944</v>
      </c>
      <c r="I287" s="16" t="str">
        <f aca="false">IF(INDEX(選手一覧!$H$7:$H$2738,$F287)="","",INDEX(選手一覧!$H$7:$H$2738,$F287))</f>
        <v/>
      </c>
      <c r="J287" s="17" t="str">
        <f aca="false">IF(INDEX(選手一覧!$I$7:$I$2738,$F287)="","",INDEX(選手一覧!$I$7:$I$2738,$F287))</f>
        <v/>
      </c>
    </row>
    <row r="288" customFormat="false" ht="15" hidden="false" customHeight="false" outlineLevel="0" collapsed="false">
      <c r="A288" s="17" t="n">
        <v>284</v>
      </c>
      <c r="B288" s="12" t="s">
        <v>570</v>
      </c>
      <c r="C288" s="12" t="s">
        <v>4763</v>
      </c>
      <c r="D288" s="16" t="n">
        <v>0.00279988425925926</v>
      </c>
      <c r="E288" s="15" t="n">
        <f aca="false">ROUND((D288-$D$5)*86400,2)</f>
        <v>16.88</v>
      </c>
      <c r="F288" s="17" t="n">
        <v>304</v>
      </c>
      <c r="G288" s="16" t="n">
        <f aca="false">IF(INDEX(選手一覧!$D$7:$D$2738,$F288)="","",INDEX(選手一覧!$D$7:$D$2738,$F288))</f>
        <v>0.0104532407407407</v>
      </c>
      <c r="H288" s="17" t="n">
        <f aca="false">IF(INDEX(選手一覧!$E$7:$E$2738,$F288)="","",INDEX(選手一覧!$E$7:$E$2738,$F288))</f>
        <v>305</v>
      </c>
      <c r="I288" s="16" t="str">
        <f aca="false">IF(INDEX(選手一覧!$H$7:$H$2738,$F288)="","",INDEX(選手一覧!$H$7:$H$2738,$F288))</f>
        <v/>
      </c>
      <c r="J288" s="17" t="str">
        <f aca="false">IF(INDEX(選手一覧!$I$7:$I$2738,$F288)="","",INDEX(選手一覧!$I$7:$I$2738,$F288))</f>
        <v/>
      </c>
    </row>
    <row r="289" customFormat="false" ht="15" hidden="false" customHeight="false" outlineLevel="0" collapsed="false">
      <c r="A289" s="17" t="n">
        <v>285</v>
      </c>
      <c r="B289" s="12" t="s">
        <v>800</v>
      </c>
      <c r="C289" s="12" t="s">
        <v>290</v>
      </c>
      <c r="D289" s="16" t="n">
        <v>0.0028005787037037</v>
      </c>
      <c r="E289" s="15" t="n">
        <f aca="false">ROUND((D289-$D$5)*86400,2)</f>
        <v>16.94</v>
      </c>
      <c r="F289" s="17" t="n">
        <v>449</v>
      </c>
      <c r="G289" s="16" t="n">
        <f aca="false">IF(INDEX(選手一覧!$D$7:$D$2738,$F289)="","",INDEX(選手一覧!$D$7:$D$2738,$F289))</f>
        <v>0.0105872685185185</v>
      </c>
      <c r="H289" s="17" t="n">
        <f aca="false">IF(INDEX(選手一覧!$E$7:$E$2738,$F289)="","",INDEX(選手一覧!$E$7:$E$2738,$F289))</f>
        <v>450</v>
      </c>
      <c r="I289" s="16" t="str">
        <f aca="false">IF(INDEX(選手一覧!$H$7:$H$2738,$F289)="","",INDEX(選手一覧!$H$7:$H$2738,$F289))</f>
        <v/>
      </c>
      <c r="J289" s="17" t="str">
        <f aca="false">IF(INDEX(選手一覧!$I$7:$I$2738,$F289)="","",INDEX(選手一覧!$I$7:$I$2738,$F289))</f>
        <v/>
      </c>
    </row>
    <row r="290" customFormat="false" ht="15" hidden="false" customHeight="false" outlineLevel="0" collapsed="false">
      <c r="A290" s="17" t="n">
        <v>286</v>
      </c>
      <c r="B290" s="12" t="s">
        <v>2218</v>
      </c>
      <c r="C290" s="12" t="s">
        <v>301</v>
      </c>
      <c r="D290" s="16" t="n">
        <v>0.0028005787037037</v>
      </c>
      <c r="E290" s="15" t="n">
        <f aca="false">ROUND((D290-$D$5)*86400,2)</f>
        <v>16.94</v>
      </c>
      <c r="F290" s="17" t="n">
        <v>1413</v>
      </c>
      <c r="G290" s="16" t="str">
        <f aca="false">IF(INDEX(選手一覧!$D$7:$D$2738,$F290)="","",INDEX(選手一覧!$D$7:$D$2738,$F290))</f>
        <v/>
      </c>
      <c r="H290" s="17" t="str">
        <f aca="false">IF(INDEX(選手一覧!$E$7:$E$2738,$F290)="","",INDEX(選手一覧!$E$7:$E$2738,$F290))</f>
        <v/>
      </c>
      <c r="I290" s="16" t="str">
        <f aca="false">IF(INDEX(選手一覧!$H$7:$H$2738,$F290)="","",INDEX(選手一覧!$H$7:$H$2738,$F290))</f>
        <v/>
      </c>
      <c r="J290" s="17" t="str">
        <f aca="false">IF(INDEX(選手一覧!$I$7:$I$2738,$F290)="","",INDEX(選手一覧!$I$7:$I$2738,$F290))</f>
        <v/>
      </c>
    </row>
    <row r="291" customFormat="false" ht="15" hidden="false" customHeight="false" outlineLevel="0" collapsed="false">
      <c r="A291" s="17" t="n">
        <v>287</v>
      </c>
      <c r="B291" s="12" t="s">
        <v>1836</v>
      </c>
      <c r="C291" s="12" t="s">
        <v>698</v>
      </c>
      <c r="D291" s="16" t="n">
        <v>0.00280104166666667</v>
      </c>
      <c r="E291" s="15" t="n">
        <f aca="false">ROUND((D291-$D$5)*86400,2)</f>
        <v>16.98</v>
      </c>
      <c r="F291" s="17" t="n">
        <v>1139</v>
      </c>
      <c r="G291" s="16" t="n">
        <f aca="false">IF(INDEX(選手一覧!$D$7:$D$2738,$F291)="","",INDEX(選手一覧!$D$7:$D$2738,$F291))</f>
        <v>0.0110256944444444</v>
      </c>
      <c r="H291" s="17" t="n">
        <f aca="false">IF(INDEX(選手一覧!$E$7:$E$2738,$F291)="","",INDEX(選手一覧!$E$7:$E$2738,$F291))</f>
        <v>1140</v>
      </c>
      <c r="I291" s="16" t="n">
        <f aca="false">IF(INDEX(選手一覧!$H$7:$H$2738,$F291)="","",INDEX(選手一覧!$H$7:$H$2738,$F291))</f>
        <v>0.00750810185185185</v>
      </c>
      <c r="J291" s="17" t="n">
        <f aca="false">IF(INDEX(選手一覧!$I$7:$I$2738,$F291)="","",INDEX(選手一覧!$I$7:$I$2738,$F291))</f>
        <v>897</v>
      </c>
    </row>
    <row r="292" customFormat="false" ht="15" hidden="false" customHeight="false" outlineLevel="0" collapsed="false">
      <c r="A292" s="17" t="n">
        <v>288</v>
      </c>
      <c r="B292" s="12" t="s">
        <v>1860</v>
      </c>
      <c r="C292" s="12" t="s">
        <v>1861</v>
      </c>
      <c r="D292" s="16" t="n">
        <v>0.00280162037037037</v>
      </c>
      <c r="E292" s="15" t="n">
        <f aca="false">ROUND((D292-$D$5)*86400,2)</f>
        <v>17.03</v>
      </c>
      <c r="F292" s="17" t="n">
        <v>1155</v>
      </c>
      <c r="G292" s="16" t="n">
        <f aca="false">IF(INDEX(選手一覧!$D$7:$D$2738,$F292)="","",INDEX(選手一覧!$D$7:$D$2738,$F292))</f>
        <v>0.0110321759259259</v>
      </c>
      <c r="H292" s="17" t="n">
        <f aca="false">IF(INDEX(選手一覧!$E$7:$E$2738,$F292)="","",INDEX(選手一覧!$E$7:$E$2738,$F292))</f>
        <v>1156</v>
      </c>
      <c r="I292" s="16" t="str">
        <f aca="false">IF(INDEX(選手一覧!$H$7:$H$2738,$F292)="","",INDEX(選手一覧!$H$7:$H$2738,$F292))</f>
        <v/>
      </c>
      <c r="J292" s="17" t="str">
        <f aca="false">IF(INDEX(選手一覧!$I$7:$I$2738,$F292)="","",INDEX(選手一覧!$I$7:$I$2738,$F292))</f>
        <v/>
      </c>
    </row>
    <row r="293" customFormat="false" ht="15" hidden="false" customHeight="false" outlineLevel="0" collapsed="false">
      <c r="A293" s="17" t="n">
        <v>289</v>
      </c>
      <c r="B293" s="12" t="s">
        <v>416</v>
      </c>
      <c r="C293" s="12" t="s">
        <v>417</v>
      </c>
      <c r="D293" s="16" t="n">
        <v>0.00280162037037037</v>
      </c>
      <c r="E293" s="15" t="n">
        <f aca="false">ROUND((D293-$D$5)*86400,2)</f>
        <v>17.03</v>
      </c>
      <c r="F293" s="17" t="n">
        <v>209</v>
      </c>
      <c r="G293" s="16" t="n">
        <f aca="false">IF(INDEX(選手一覧!$D$7:$D$2738,$F293)="","",INDEX(選手一覧!$D$7:$D$2738,$F293))</f>
        <v>0.0103554398148148</v>
      </c>
      <c r="H293" s="17" t="n">
        <f aca="false">IF(INDEX(選手一覧!$E$7:$E$2738,$F293)="","",INDEX(選手一覧!$E$7:$E$2738,$F293))</f>
        <v>210</v>
      </c>
      <c r="I293" s="16" t="str">
        <f aca="false">IF(INDEX(選手一覧!$H$7:$H$2738,$F293)="","",INDEX(選手一覧!$H$7:$H$2738,$F293))</f>
        <v/>
      </c>
      <c r="J293" s="17" t="str">
        <f aca="false">IF(INDEX(選手一覧!$I$7:$I$2738,$F293)="","",INDEX(選手一覧!$I$7:$I$2738,$F293))</f>
        <v/>
      </c>
    </row>
    <row r="294" customFormat="false" ht="15" hidden="false" customHeight="false" outlineLevel="0" collapsed="false">
      <c r="A294" s="17" t="n">
        <v>290</v>
      </c>
      <c r="B294" s="12" t="s">
        <v>514</v>
      </c>
      <c r="C294" s="12" t="s">
        <v>515</v>
      </c>
      <c r="D294" s="16" t="n">
        <v>0.00280208333333333</v>
      </c>
      <c r="E294" s="15" t="n">
        <f aca="false">ROUND((D294-$D$5)*86400,2)</f>
        <v>17.07</v>
      </c>
      <c r="F294" s="17" t="n">
        <v>270</v>
      </c>
      <c r="G294" s="16" t="n">
        <f aca="false">IF(INDEX(選手一覧!$D$7:$D$2738,$F294)="","",INDEX(選手一覧!$D$7:$D$2738,$F294))</f>
        <v>0.0104074074074074</v>
      </c>
      <c r="H294" s="17" t="n">
        <f aca="false">IF(INDEX(選手一覧!$E$7:$E$2738,$F294)="","",INDEX(選手一覧!$E$7:$E$2738,$F294))</f>
        <v>271</v>
      </c>
      <c r="I294" s="16" t="str">
        <f aca="false">IF(INDEX(選手一覧!$H$7:$H$2738,$F294)="","",INDEX(選手一覧!$H$7:$H$2738,$F294))</f>
        <v/>
      </c>
      <c r="J294" s="17" t="str">
        <f aca="false">IF(INDEX(選手一覧!$I$7:$I$2738,$F294)="","",INDEX(選手一覧!$I$7:$I$2738,$F294))</f>
        <v/>
      </c>
    </row>
    <row r="295" customFormat="false" ht="15" hidden="false" customHeight="false" outlineLevel="0" collapsed="false">
      <c r="A295" s="17" t="n">
        <v>291</v>
      </c>
      <c r="B295" s="12" t="s">
        <v>764</v>
      </c>
      <c r="C295" s="12" t="s">
        <v>27</v>
      </c>
      <c r="D295" s="16" t="n">
        <v>0.00280208333333333</v>
      </c>
      <c r="E295" s="15" t="n">
        <f aca="false">ROUND((D295-$D$5)*86400,2)</f>
        <v>17.07</v>
      </c>
      <c r="F295" s="17" t="n">
        <v>425</v>
      </c>
      <c r="G295" s="16" t="n">
        <f aca="false">IF(INDEX(選手一覧!$D$7:$D$2738,$F295)="","",INDEX(選手一覧!$D$7:$D$2738,$F295))</f>
        <v>0.010571875</v>
      </c>
      <c r="H295" s="17" t="n">
        <f aca="false">IF(INDEX(選手一覧!$E$7:$E$2738,$F295)="","",INDEX(選手一覧!$E$7:$E$2738,$F295))</f>
        <v>426</v>
      </c>
      <c r="I295" s="16" t="str">
        <f aca="false">IF(INDEX(選手一覧!$H$7:$H$2738,$F295)="","",INDEX(選手一覧!$H$7:$H$2738,$F295))</f>
        <v/>
      </c>
      <c r="J295" s="17" t="str">
        <f aca="false">IF(INDEX(選手一覧!$I$7:$I$2738,$F295)="","",INDEX(選手一覧!$I$7:$I$2738,$F295))</f>
        <v/>
      </c>
    </row>
    <row r="296" customFormat="false" ht="15" hidden="false" customHeight="false" outlineLevel="0" collapsed="false">
      <c r="A296" s="17" t="n">
        <v>292</v>
      </c>
      <c r="B296" s="12" t="s">
        <v>2223</v>
      </c>
      <c r="C296" s="12" t="s">
        <v>632</v>
      </c>
      <c r="D296" s="16" t="n">
        <v>0.00280243055555556</v>
      </c>
      <c r="E296" s="15" t="n">
        <f aca="false">ROUND((D296-$D$5)*86400,2)</f>
        <v>17.1</v>
      </c>
      <c r="F296" s="17" t="n">
        <v>1416</v>
      </c>
      <c r="G296" s="16" t="str">
        <f aca="false">IF(INDEX(選手一覧!$D$7:$D$2738,$F296)="","",INDEX(選手一覧!$D$7:$D$2738,$F296))</f>
        <v/>
      </c>
      <c r="H296" s="17" t="str">
        <f aca="false">IF(INDEX(選手一覧!$E$7:$E$2738,$F296)="","",INDEX(選手一覧!$E$7:$E$2738,$F296))</f>
        <v/>
      </c>
      <c r="I296" s="16" t="str">
        <f aca="false">IF(INDEX(選手一覧!$H$7:$H$2738,$F296)="","",INDEX(選手一覧!$H$7:$H$2738,$F296))</f>
        <v/>
      </c>
      <c r="J296" s="17" t="str">
        <f aca="false">IF(INDEX(選手一覧!$I$7:$I$2738,$F296)="","",INDEX(選手一覧!$I$7:$I$2738,$F296))</f>
        <v/>
      </c>
    </row>
    <row r="297" customFormat="false" ht="15" hidden="false" customHeight="false" outlineLevel="0" collapsed="false">
      <c r="A297" s="17" t="n">
        <v>293</v>
      </c>
      <c r="B297" s="12" t="s">
        <v>1744</v>
      </c>
      <c r="C297" s="12" t="s">
        <v>478</v>
      </c>
      <c r="D297" s="16" t="n">
        <v>0.00280266203703704</v>
      </c>
      <c r="E297" s="15" t="n">
        <f aca="false">ROUND((D297-$D$5)*86400,2)</f>
        <v>17.12</v>
      </c>
      <c r="F297" s="17" t="n">
        <v>1078</v>
      </c>
      <c r="G297" s="16" t="n">
        <f aca="false">IF(INDEX(選手一覧!$D$7:$D$2738,$F297)="","",INDEX(選手一覧!$D$7:$D$2738,$F297))</f>
        <v>0.0109903935185185</v>
      </c>
      <c r="H297" s="17" t="n">
        <f aca="false">IF(INDEX(選手一覧!$E$7:$E$2738,$F297)="","",INDEX(選手一覧!$E$7:$E$2738,$F297))</f>
        <v>1079</v>
      </c>
      <c r="I297" s="16" t="str">
        <f aca="false">IF(INDEX(選手一覧!$H$7:$H$2738,$F297)="","",INDEX(選手一覧!$H$7:$H$2738,$F297))</f>
        <v/>
      </c>
      <c r="J297" s="17" t="str">
        <f aca="false">IF(INDEX(選手一覧!$I$7:$I$2738,$F297)="","",INDEX(選手一覧!$I$7:$I$2738,$F297))</f>
        <v/>
      </c>
    </row>
    <row r="298" customFormat="false" ht="15" hidden="false" customHeight="false" outlineLevel="0" collapsed="false">
      <c r="A298" s="17" t="n">
        <v>294</v>
      </c>
      <c r="B298" s="12" t="s">
        <v>310</v>
      </c>
      <c r="C298" s="12" t="s">
        <v>311</v>
      </c>
      <c r="D298" s="16" t="n">
        <v>0.00280266203703704</v>
      </c>
      <c r="E298" s="15" t="n">
        <f aca="false">ROUND((D298-$D$5)*86400,2)</f>
        <v>17.12</v>
      </c>
      <c r="F298" s="17" t="n">
        <v>149</v>
      </c>
      <c r="G298" s="16" t="n">
        <f aca="false">IF(INDEX(選手一覧!$D$7:$D$2738,$F298)="","",INDEX(選手一覧!$D$7:$D$2738,$F298))</f>
        <v>0.0102821759259259</v>
      </c>
      <c r="H298" s="17" t="n">
        <f aca="false">IF(INDEX(選手一覧!$E$7:$E$2738,$F298)="","",INDEX(選手一覧!$E$7:$E$2738,$F298))</f>
        <v>150</v>
      </c>
      <c r="I298" s="16" t="str">
        <f aca="false">IF(INDEX(選手一覧!$H$7:$H$2738,$F298)="","",INDEX(選手一覧!$H$7:$H$2738,$F298))</f>
        <v/>
      </c>
      <c r="J298" s="17" t="str">
        <f aca="false">IF(INDEX(選手一覧!$I$7:$I$2738,$F298)="","",INDEX(選手一覧!$I$7:$I$2738,$F298))</f>
        <v/>
      </c>
    </row>
    <row r="299" customFormat="false" ht="15" hidden="false" customHeight="false" outlineLevel="0" collapsed="false">
      <c r="A299" s="17" t="n">
        <v>295</v>
      </c>
      <c r="B299" s="12" t="s">
        <v>540</v>
      </c>
      <c r="C299" s="12" t="s">
        <v>145</v>
      </c>
      <c r="D299" s="16" t="n">
        <v>0.00280300925925926</v>
      </c>
      <c r="E299" s="15" t="n">
        <f aca="false">ROUND((D299-$D$5)*86400,2)</f>
        <v>17.15</v>
      </c>
      <c r="F299" s="17" t="n">
        <v>286</v>
      </c>
      <c r="G299" s="16" t="n">
        <f aca="false">IF(INDEX(選手一覧!$D$7:$D$2738,$F299)="","",INDEX(選手一覧!$D$7:$D$2738,$F299))</f>
        <v>0.0104221064814815</v>
      </c>
      <c r="H299" s="17" t="n">
        <f aca="false">IF(INDEX(選手一覧!$E$7:$E$2738,$F299)="","",INDEX(選手一覧!$E$7:$E$2738,$F299))</f>
        <v>287</v>
      </c>
      <c r="I299" s="16" t="str">
        <f aca="false">IF(INDEX(選手一覧!$H$7:$H$2738,$F299)="","",INDEX(選手一覧!$H$7:$H$2738,$F299))</f>
        <v/>
      </c>
      <c r="J299" s="17" t="str">
        <f aca="false">IF(INDEX(選手一覧!$I$7:$I$2738,$F299)="","",INDEX(選手一覧!$I$7:$I$2738,$F299))</f>
        <v/>
      </c>
    </row>
    <row r="300" customFormat="false" ht="15" hidden="false" customHeight="false" outlineLevel="0" collapsed="false">
      <c r="A300" s="17" t="n">
        <v>296</v>
      </c>
      <c r="B300" s="12" t="s">
        <v>660</v>
      </c>
      <c r="C300" s="12" t="s">
        <v>417</v>
      </c>
      <c r="D300" s="16" t="n">
        <v>0.002803125</v>
      </c>
      <c r="E300" s="15" t="n">
        <f aca="false">ROUND((D300-$D$5)*86400,2)</f>
        <v>17.16</v>
      </c>
      <c r="F300" s="17" t="n">
        <v>360</v>
      </c>
      <c r="G300" s="16" t="n">
        <f aca="false">IF(INDEX(選手一覧!$D$7:$D$2738,$F300)="","",INDEX(選手一覧!$D$7:$D$2738,$F300))</f>
        <v>0.0105166666666667</v>
      </c>
      <c r="H300" s="17" t="n">
        <f aca="false">IF(INDEX(選手一覧!$E$7:$E$2738,$F300)="","",INDEX(選手一覧!$E$7:$E$2738,$F300))</f>
        <v>361</v>
      </c>
      <c r="I300" s="16" t="str">
        <f aca="false">IF(INDEX(選手一覧!$H$7:$H$2738,$F300)="","",INDEX(選手一覧!$H$7:$H$2738,$F300))</f>
        <v/>
      </c>
      <c r="J300" s="17" t="str">
        <f aca="false">IF(INDEX(選手一覧!$I$7:$I$2738,$F300)="","",INDEX(選手一覧!$I$7:$I$2738,$F300))</f>
        <v/>
      </c>
    </row>
    <row r="301" customFormat="false" ht="15" hidden="false" customHeight="false" outlineLevel="0" collapsed="false">
      <c r="A301" s="17" t="n">
        <v>297</v>
      </c>
      <c r="B301" s="12" t="s">
        <v>339</v>
      </c>
      <c r="C301" s="12" t="s">
        <v>340</v>
      </c>
      <c r="D301" s="16" t="n">
        <v>0.00280335648148148</v>
      </c>
      <c r="E301" s="15" t="n">
        <f aca="false">ROUND((D301-$D$5)*86400,2)</f>
        <v>17.18</v>
      </c>
      <c r="F301" s="17" t="n">
        <v>163</v>
      </c>
      <c r="G301" s="16" t="n">
        <f aca="false">IF(INDEX(選手一覧!$D$7:$D$2738,$F301)="","",INDEX(選手一覧!$D$7:$D$2738,$F301))</f>
        <v>0.0103054398148148</v>
      </c>
      <c r="H301" s="17" t="n">
        <f aca="false">IF(INDEX(選手一覧!$E$7:$E$2738,$F301)="","",INDEX(選手一覧!$E$7:$E$2738,$F301))</f>
        <v>164</v>
      </c>
      <c r="I301" s="16" t="str">
        <f aca="false">IF(INDEX(選手一覧!$H$7:$H$2738,$F301)="","",INDEX(選手一覧!$H$7:$H$2738,$F301))</f>
        <v/>
      </c>
      <c r="J301" s="17" t="str">
        <f aca="false">IF(INDEX(選手一覧!$I$7:$I$2738,$F301)="","",INDEX(選手一覧!$I$7:$I$2738,$F301))</f>
        <v/>
      </c>
    </row>
    <row r="302" customFormat="false" ht="15" hidden="false" customHeight="false" outlineLevel="0" collapsed="false">
      <c r="A302" s="17" t="n">
        <v>298</v>
      </c>
      <c r="B302" s="12" t="s">
        <v>2225</v>
      </c>
      <c r="C302" s="12" t="s">
        <v>2226</v>
      </c>
      <c r="D302" s="16" t="n">
        <v>0.00280358796296296</v>
      </c>
      <c r="E302" s="15" t="n">
        <f aca="false">ROUND((D302-$D$5)*86400,2)</f>
        <v>17.2</v>
      </c>
      <c r="F302" s="17" t="n">
        <v>1418</v>
      </c>
      <c r="G302" s="16" t="str">
        <f aca="false">IF(INDEX(選手一覧!$D$7:$D$2738,$F302)="","",INDEX(選手一覧!$D$7:$D$2738,$F302))</f>
        <v/>
      </c>
      <c r="H302" s="17" t="str">
        <f aca="false">IF(INDEX(選手一覧!$E$7:$E$2738,$F302)="","",INDEX(選手一覧!$E$7:$E$2738,$F302))</f>
        <v/>
      </c>
      <c r="I302" s="16" t="str">
        <f aca="false">IF(INDEX(選手一覧!$H$7:$H$2738,$F302)="","",INDEX(選手一覧!$H$7:$H$2738,$F302))</f>
        <v/>
      </c>
      <c r="J302" s="17" t="str">
        <f aca="false">IF(INDEX(選手一覧!$I$7:$I$2738,$F302)="","",INDEX(選手一覧!$I$7:$I$2738,$F302))</f>
        <v/>
      </c>
    </row>
    <row r="303" customFormat="false" ht="15" hidden="false" customHeight="false" outlineLevel="0" collapsed="false">
      <c r="A303" s="17" t="n">
        <v>299</v>
      </c>
      <c r="B303" s="12" t="s">
        <v>676</v>
      </c>
      <c r="C303" s="12" t="s">
        <v>115</v>
      </c>
      <c r="D303" s="16" t="n">
        <v>0.00280393518518519</v>
      </c>
      <c r="E303" s="15" t="n">
        <f aca="false">ROUND((D303-$D$5)*86400,2)</f>
        <v>17.23</v>
      </c>
      <c r="F303" s="17" t="n">
        <v>371</v>
      </c>
      <c r="G303" s="16" t="n">
        <f aca="false">IF(INDEX(選手一覧!$D$7:$D$2738,$F303)="","",INDEX(選手一覧!$D$7:$D$2738,$F303))</f>
        <v>0.0105300925925926</v>
      </c>
      <c r="H303" s="17" t="n">
        <f aca="false">IF(INDEX(選手一覧!$E$7:$E$2738,$F303)="","",INDEX(選手一覧!$E$7:$E$2738,$F303))</f>
        <v>372</v>
      </c>
      <c r="I303" s="16" t="n">
        <f aca="false">IF(INDEX(選手一覧!$H$7:$H$2738,$F303)="","",INDEX(選手一覧!$H$7:$H$2738,$F303))</f>
        <v>0.0068619212962963</v>
      </c>
      <c r="J303" s="17" t="n">
        <f aca="false">IF(INDEX(選手一覧!$I$7:$I$2738,$F303)="","",INDEX(選手一覧!$I$7:$I$2738,$F303))</f>
        <v>212</v>
      </c>
    </row>
    <row r="304" customFormat="false" ht="15" hidden="false" customHeight="false" outlineLevel="0" collapsed="false">
      <c r="A304" s="17" t="n">
        <v>300</v>
      </c>
      <c r="B304" s="12" t="s">
        <v>1168</v>
      </c>
      <c r="C304" s="12" t="s">
        <v>155</v>
      </c>
      <c r="D304" s="16" t="n">
        <v>0.00280405092592593</v>
      </c>
      <c r="E304" s="15" t="n">
        <f aca="false">ROUND((D304-$D$5)*86400,2)</f>
        <v>17.24</v>
      </c>
      <c r="F304" s="17" t="n">
        <v>691</v>
      </c>
      <c r="G304" s="16" t="n">
        <f aca="false">IF(INDEX(選手一覧!$D$7:$D$2738,$F304)="","",INDEX(選手一覧!$D$7:$D$2738,$F304))</f>
        <v>0.0107659722222222</v>
      </c>
      <c r="H304" s="17" t="n">
        <f aca="false">IF(INDEX(選手一覧!$E$7:$E$2738,$F304)="","",INDEX(選手一覧!$E$7:$E$2738,$F304))</f>
        <v>692</v>
      </c>
      <c r="I304" s="16" t="n">
        <f aca="false">IF(INDEX(選手一覧!$H$7:$H$2738,$F304)="","",INDEX(選手一覧!$H$7:$H$2738,$F304))</f>
        <v>0.00668391203703704</v>
      </c>
      <c r="J304" s="17" t="n">
        <f aca="false">IF(INDEX(選手一覧!$I$7:$I$2738,$F304)="","",INDEX(選手一覧!$I$7:$I$2738,$F304))</f>
        <v>101</v>
      </c>
    </row>
    <row r="305" customFormat="false" ht="15" hidden="false" customHeight="false" outlineLevel="0" collapsed="false">
      <c r="A305" s="17" t="n">
        <v>301</v>
      </c>
      <c r="B305" s="12" t="s">
        <v>1946</v>
      </c>
      <c r="C305" s="12" t="s">
        <v>219</v>
      </c>
      <c r="D305" s="16" t="n">
        <v>0.00280462962962963</v>
      </c>
      <c r="E305" s="15" t="n">
        <f aca="false">ROUND((D305-$D$5)*86400,2)</f>
        <v>17.29</v>
      </c>
      <c r="F305" s="17" t="n">
        <v>1217</v>
      </c>
      <c r="G305" s="16" t="n">
        <f aca="false">IF(INDEX(選手一覧!$D$7:$D$2738,$F305)="","",INDEX(選手一覧!$D$7:$D$2738,$F305))</f>
        <v>0.0110609953703704</v>
      </c>
      <c r="H305" s="17" t="n">
        <f aca="false">IF(INDEX(選手一覧!$E$7:$E$2738,$F305)="","",INDEX(選手一覧!$E$7:$E$2738,$F305))</f>
        <v>1218</v>
      </c>
      <c r="I305" s="16" t="str">
        <f aca="false">IF(INDEX(選手一覧!$H$7:$H$2738,$F305)="","",INDEX(選手一覧!$H$7:$H$2738,$F305))</f>
        <v/>
      </c>
      <c r="J305" s="17" t="str">
        <f aca="false">IF(INDEX(選手一覧!$I$7:$I$2738,$F305)="","",INDEX(選手一覧!$I$7:$I$2738,$F305))</f>
        <v/>
      </c>
    </row>
    <row r="306" customFormat="false" ht="15" hidden="false" customHeight="false" outlineLevel="0" collapsed="false">
      <c r="A306" s="17" t="n">
        <v>302</v>
      </c>
      <c r="B306" s="12" t="s">
        <v>967</v>
      </c>
      <c r="C306" s="12" t="s">
        <v>968</v>
      </c>
      <c r="D306" s="16" t="n">
        <v>0.00280497685185185</v>
      </c>
      <c r="E306" s="15" t="n">
        <f aca="false">ROUND((D306-$D$5)*86400,2)</f>
        <v>17.32</v>
      </c>
      <c r="F306" s="17" t="n">
        <v>554</v>
      </c>
      <c r="G306" s="16" t="n">
        <f aca="false">IF(INDEX(選手一覧!$D$7:$D$2738,$F306)="","",INDEX(選手一覧!$D$7:$D$2738,$F306))</f>
        <v>0.0106767361111111</v>
      </c>
      <c r="H306" s="17" t="n">
        <f aca="false">IF(INDEX(選手一覧!$E$7:$E$2738,$F306)="","",INDEX(選手一覧!$E$7:$E$2738,$F306))</f>
        <v>555</v>
      </c>
      <c r="I306" s="16" t="str">
        <f aca="false">IF(INDEX(選手一覧!$H$7:$H$2738,$F306)="","",INDEX(選手一覧!$H$7:$H$2738,$F306))</f>
        <v/>
      </c>
      <c r="J306" s="17" t="str">
        <f aca="false">IF(INDEX(選手一覧!$I$7:$I$2738,$F306)="","",INDEX(選手一覧!$I$7:$I$2738,$F306))</f>
        <v/>
      </c>
    </row>
    <row r="307" customFormat="false" ht="15" hidden="false" customHeight="false" outlineLevel="0" collapsed="false">
      <c r="A307" s="17" t="n">
        <v>303</v>
      </c>
      <c r="B307" s="12" t="s">
        <v>429</v>
      </c>
      <c r="C307" s="12" t="s">
        <v>430</v>
      </c>
      <c r="D307" s="16" t="n">
        <v>0.00280520833333333</v>
      </c>
      <c r="E307" s="15" t="n">
        <f aca="false">ROUND((D307-$D$5)*86400,2)</f>
        <v>17.34</v>
      </c>
      <c r="F307" s="17" t="n">
        <v>220</v>
      </c>
      <c r="G307" s="16" t="n">
        <f aca="false">IF(INDEX(選手一覧!$D$7:$D$2738,$F307)="","",INDEX(選手一覧!$D$7:$D$2738,$F307))</f>
        <v>0.0103642361111111</v>
      </c>
      <c r="H307" s="17" t="n">
        <f aca="false">IF(INDEX(選手一覧!$E$7:$E$2738,$F307)="","",INDEX(選手一覧!$E$7:$E$2738,$F307))</f>
        <v>221</v>
      </c>
      <c r="I307" s="16" t="str">
        <f aca="false">IF(INDEX(選手一覧!$H$7:$H$2738,$F307)="","",INDEX(選手一覧!$H$7:$H$2738,$F307))</f>
        <v/>
      </c>
      <c r="J307" s="17" t="str">
        <f aca="false">IF(INDEX(選手一覧!$I$7:$I$2738,$F307)="","",INDEX(選手一覧!$I$7:$I$2738,$F307))</f>
        <v/>
      </c>
    </row>
    <row r="308" customFormat="false" ht="15" hidden="false" customHeight="false" outlineLevel="0" collapsed="false">
      <c r="A308" s="17" t="n">
        <v>304</v>
      </c>
      <c r="B308" s="12" t="s">
        <v>603</v>
      </c>
      <c r="C308" s="12" t="s">
        <v>129</v>
      </c>
      <c r="D308" s="16" t="n">
        <v>0.00280532407407407</v>
      </c>
      <c r="E308" s="15" t="n">
        <f aca="false">ROUND((D308-$D$5)*86400,2)</f>
        <v>17.35</v>
      </c>
      <c r="F308" s="17" t="n">
        <v>323</v>
      </c>
      <c r="G308" s="16" t="n">
        <f aca="false">IF(INDEX(選手一覧!$D$7:$D$2738,$F308)="","",INDEX(選手一覧!$D$7:$D$2738,$F308))</f>
        <v>0.0104804398148148</v>
      </c>
      <c r="H308" s="17" t="n">
        <f aca="false">IF(INDEX(選手一覧!$E$7:$E$2738,$F308)="","",INDEX(選手一覧!$E$7:$E$2738,$F308))</f>
        <v>324</v>
      </c>
      <c r="I308" s="16" t="str">
        <f aca="false">IF(INDEX(選手一覧!$H$7:$H$2738,$F308)="","",INDEX(選手一覧!$H$7:$H$2738,$F308))</f>
        <v/>
      </c>
      <c r="J308" s="17" t="str">
        <f aca="false">IF(INDEX(選手一覧!$I$7:$I$2738,$F308)="","",INDEX(選手一覧!$I$7:$I$2738,$F308))</f>
        <v/>
      </c>
    </row>
    <row r="309" customFormat="false" ht="15" hidden="false" customHeight="false" outlineLevel="0" collapsed="false">
      <c r="A309" s="17" t="n">
        <v>305</v>
      </c>
      <c r="B309" s="12" t="s">
        <v>2059</v>
      </c>
      <c r="C309" s="12" t="s">
        <v>2060</v>
      </c>
      <c r="D309" s="16" t="n">
        <v>0.00280578703703704</v>
      </c>
      <c r="E309" s="15" t="n">
        <f aca="false">ROUND((D309-$D$5)*86400,2)</f>
        <v>17.39</v>
      </c>
      <c r="F309" s="17" t="n">
        <v>1304</v>
      </c>
      <c r="G309" s="16" t="str">
        <f aca="false">IF(INDEX(選手一覧!$D$7:$D$2738,$F309)="","",INDEX(選手一覧!$D$7:$D$2738,$F309))</f>
        <v/>
      </c>
      <c r="H309" s="17" t="str">
        <f aca="false">IF(INDEX(選手一覧!$E$7:$E$2738,$F309)="","",INDEX(選手一覧!$E$7:$E$2738,$F309))</f>
        <v/>
      </c>
      <c r="I309" s="16" t="n">
        <f aca="false">IF(INDEX(選手一覧!$H$7:$H$2738,$F309)="","",INDEX(選手一覧!$H$7:$H$2738,$F309))</f>
        <v>0.00668229166666667</v>
      </c>
      <c r="J309" s="17" t="n">
        <f aca="false">IF(INDEX(選手一覧!$I$7:$I$2738,$F309)="","",INDEX(選手一覧!$I$7:$I$2738,$F309))</f>
        <v>99</v>
      </c>
    </row>
    <row r="310" customFormat="false" ht="15" hidden="false" customHeight="false" outlineLevel="0" collapsed="false">
      <c r="A310" s="17" t="n">
        <v>306</v>
      </c>
      <c r="B310" s="12" t="s">
        <v>2232</v>
      </c>
      <c r="C310" s="12" t="s">
        <v>491</v>
      </c>
      <c r="D310" s="16" t="n">
        <v>0.00280578703703704</v>
      </c>
      <c r="E310" s="15" t="n">
        <f aca="false">ROUND((D310-$D$5)*86400,2)</f>
        <v>17.39</v>
      </c>
      <c r="F310" s="17" t="n">
        <v>1422</v>
      </c>
      <c r="G310" s="16" t="str">
        <f aca="false">IF(INDEX(選手一覧!$D$7:$D$2738,$F310)="","",INDEX(選手一覧!$D$7:$D$2738,$F310))</f>
        <v/>
      </c>
      <c r="H310" s="17" t="str">
        <f aca="false">IF(INDEX(選手一覧!$E$7:$E$2738,$F310)="","",INDEX(選手一覧!$E$7:$E$2738,$F310))</f>
        <v/>
      </c>
      <c r="I310" s="16" t="str">
        <f aca="false">IF(INDEX(選手一覧!$H$7:$H$2738,$F310)="","",INDEX(選手一覧!$H$7:$H$2738,$F310))</f>
        <v/>
      </c>
      <c r="J310" s="17" t="str">
        <f aca="false">IF(INDEX(選手一覧!$I$7:$I$2738,$F310)="","",INDEX(選手一覧!$I$7:$I$2738,$F310))</f>
        <v/>
      </c>
    </row>
    <row r="311" customFormat="false" ht="15" hidden="false" customHeight="false" outlineLevel="0" collapsed="false">
      <c r="A311" s="17" t="n">
        <v>307</v>
      </c>
      <c r="B311" s="12" t="s">
        <v>960</v>
      </c>
      <c r="C311" s="12" t="s">
        <v>961</v>
      </c>
      <c r="D311" s="16" t="n">
        <v>0.00280625</v>
      </c>
      <c r="E311" s="15" t="n">
        <f aca="false">ROUND((D311-$D$5)*86400,2)</f>
        <v>17.43</v>
      </c>
      <c r="F311" s="17" t="n">
        <v>550</v>
      </c>
      <c r="G311" s="16" t="n">
        <f aca="false">IF(INDEX(選手一覧!$D$7:$D$2738,$F311)="","",INDEX(選手一覧!$D$7:$D$2738,$F311))</f>
        <v>0.010672337962963</v>
      </c>
      <c r="H311" s="17" t="n">
        <f aca="false">IF(INDEX(選手一覧!$E$7:$E$2738,$F311)="","",INDEX(選手一覧!$E$7:$E$2738,$F311))</f>
        <v>551</v>
      </c>
      <c r="I311" s="16" t="str">
        <f aca="false">IF(INDEX(選手一覧!$H$7:$H$2738,$F311)="","",INDEX(選手一覧!$H$7:$H$2738,$F311))</f>
        <v/>
      </c>
      <c r="J311" s="17" t="str">
        <f aca="false">IF(INDEX(選手一覧!$I$7:$I$2738,$F311)="","",INDEX(選手一覧!$I$7:$I$2738,$F311))</f>
        <v/>
      </c>
    </row>
    <row r="312" customFormat="false" ht="15" hidden="false" customHeight="false" outlineLevel="0" collapsed="false">
      <c r="A312" s="17" t="n">
        <v>308</v>
      </c>
      <c r="B312" s="12" t="s">
        <v>448</v>
      </c>
      <c r="C312" s="12" t="s">
        <v>449</v>
      </c>
      <c r="D312" s="16" t="n">
        <v>0.00280636574074074</v>
      </c>
      <c r="E312" s="15" t="n">
        <f aca="false">ROUND((D312-$D$5)*86400,2)</f>
        <v>17.44</v>
      </c>
      <c r="F312" s="17" t="n">
        <v>229</v>
      </c>
      <c r="G312" s="16" t="n">
        <f aca="false">IF(INDEX(選手一覧!$D$7:$D$2738,$F312)="","",INDEX(選手一覧!$D$7:$D$2738,$F312))</f>
        <v>0.0103746527777778</v>
      </c>
      <c r="H312" s="17" t="n">
        <f aca="false">IF(INDEX(選手一覧!$E$7:$E$2738,$F312)="","",INDEX(選手一覧!$E$7:$E$2738,$F312))</f>
        <v>230</v>
      </c>
      <c r="I312" s="16" t="str">
        <f aca="false">IF(INDEX(選手一覧!$H$7:$H$2738,$F312)="","",INDEX(選手一覧!$H$7:$H$2738,$F312))</f>
        <v/>
      </c>
      <c r="J312" s="17" t="str">
        <f aca="false">IF(INDEX(選手一覧!$I$7:$I$2738,$F312)="","",INDEX(選手一覧!$I$7:$I$2738,$F312))</f>
        <v/>
      </c>
    </row>
    <row r="313" customFormat="false" ht="15" hidden="false" customHeight="false" outlineLevel="0" collapsed="false">
      <c r="A313" s="17" t="n">
        <v>309</v>
      </c>
      <c r="B313" s="12" t="s">
        <v>975</v>
      </c>
      <c r="C313" s="12" t="s">
        <v>34</v>
      </c>
      <c r="D313" s="16" t="n">
        <v>0.00280636574074074</v>
      </c>
      <c r="E313" s="15" t="n">
        <f aca="false">ROUND((D313-$D$5)*86400,2)</f>
        <v>17.44</v>
      </c>
      <c r="F313" s="17" t="n">
        <v>559</v>
      </c>
      <c r="G313" s="16" t="n">
        <f aca="false">IF(INDEX(選手一覧!$D$7:$D$2738,$F313)="","",INDEX(選手一覧!$D$7:$D$2738,$F313))</f>
        <v>0.0106862268518519</v>
      </c>
      <c r="H313" s="17" t="n">
        <f aca="false">IF(INDEX(選手一覧!$E$7:$E$2738,$F313)="","",INDEX(選手一覧!$E$7:$E$2738,$F313))</f>
        <v>560</v>
      </c>
      <c r="I313" s="16" t="str">
        <f aca="false">IF(INDEX(選手一覧!$H$7:$H$2738,$F313)="","",INDEX(選手一覧!$H$7:$H$2738,$F313))</f>
        <v/>
      </c>
      <c r="J313" s="17" t="str">
        <f aca="false">IF(INDEX(選手一覧!$I$7:$I$2738,$F313)="","",INDEX(選手一覧!$I$7:$I$2738,$F313))</f>
        <v/>
      </c>
    </row>
    <row r="314" customFormat="false" ht="15" hidden="false" customHeight="false" outlineLevel="0" collapsed="false">
      <c r="A314" s="17" t="n">
        <v>310</v>
      </c>
      <c r="B314" s="12" t="s">
        <v>1038</v>
      </c>
      <c r="C314" s="12" t="s">
        <v>65</v>
      </c>
      <c r="D314" s="16" t="n">
        <v>0.00280671296296296</v>
      </c>
      <c r="E314" s="15" t="n">
        <f aca="false">ROUND((D314-$D$5)*86400,2)</f>
        <v>17.47</v>
      </c>
      <c r="F314" s="17" t="n">
        <v>603</v>
      </c>
      <c r="G314" s="16" t="n">
        <f aca="false">IF(INDEX(選手一覧!$D$7:$D$2738,$F314)="","",INDEX(選手一覧!$D$7:$D$2738,$F314))</f>
        <v>0.0107144675925926</v>
      </c>
      <c r="H314" s="17" t="n">
        <f aca="false">IF(INDEX(選手一覧!$E$7:$E$2738,$F314)="","",INDEX(選手一覧!$E$7:$E$2738,$F314))</f>
        <v>604</v>
      </c>
      <c r="I314" s="16" t="str">
        <f aca="false">IF(INDEX(選手一覧!$H$7:$H$2738,$F314)="","",INDEX(選手一覧!$H$7:$H$2738,$F314))</f>
        <v/>
      </c>
      <c r="J314" s="17" t="str">
        <f aca="false">IF(INDEX(選手一覧!$I$7:$I$2738,$F314)="","",INDEX(選手一覧!$I$7:$I$2738,$F314))</f>
        <v/>
      </c>
    </row>
    <row r="315" customFormat="false" ht="15" hidden="false" customHeight="false" outlineLevel="0" collapsed="false">
      <c r="A315" s="17" t="n">
        <v>311</v>
      </c>
      <c r="B315" s="12" t="s">
        <v>2238</v>
      </c>
      <c r="C315" s="12" t="s">
        <v>2239</v>
      </c>
      <c r="D315" s="16" t="n">
        <v>0.00280671296296296</v>
      </c>
      <c r="E315" s="15" t="n">
        <f aca="false">ROUND((D315-$D$5)*86400,2)</f>
        <v>17.47</v>
      </c>
      <c r="F315" s="17" t="n">
        <v>1426</v>
      </c>
      <c r="G315" s="16" t="str">
        <f aca="false">IF(INDEX(選手一覧!$D$7:$D$2738,$F315)="","",INDEX(選手一覧!$D$7:$D$2738,$F315))</f>
        <v/>
      </c>
      <c r="H315" s="17" t="str">
        <f aca="false">IF(INDEX(選手一覧!$E$7:$E$2738,$F315)="","",INDEX(選手一覧!$E$7:$E$2738,$F315))</f>
        <v/>
      </c>
      <c r="I315" s="16" t="str">
        <f aca="false">IF(INDEX(選手一覧!$H$7:$H$2738,$F315)="","",INDEX(選手一覧!$H$7:$H$2738,$F315))</f>
        <v/>
      </c>
      <c r="J315" s="17" t="str">
        <f aca="false">IF(INDEX(選手一覧!$I$7:$I$2738,$F315)="","",INDEX(選手一覧!$I$7:$I$2738,$F315))</f>
        <v/>
      </c>
    </row>
    <row r="316" customFormat="false" ht="15" hidden="false" customHeight="false" outlineLevel="0" collapsed="false">
      <c r="A316" s="17" t="n">
        <v>312</v>
      </c>
      <c r="B316" s="12" t="s">
        <v>701</v>
      </c>
      <c r="C316" s="12" t="s">
        <v>137</v>
      </c>
      <c r="D316" s="16" t="n">
        <v>0.00280694444444444</v>
      </c>
      <c r="E316" s="15" t="n">
        <f aca="false">ROUND((D316-$D$5)*86400,2)</f>
        <v>17.49</v>
      </c>
      <c r="F316" s="17" t="n">
        <v>386</v>
      </c>
      <c r="G316" s="16" t="n">
        <f aca="false">IF(INDEX(選手一覧!$D$7:$D$2738,$F316)="","",INDEX(選手一覧!$D$7:$D$2738,$F316))</f>
        <v>0.0105403935185185</v>
      </c>
      <c r="H316" s="17" t="n">
        <f aca="false">IF(INDEX(選手一覧!$E$7:$E$2738,$F316)="","",INDEX(選手一覧!$E$7:$E$2738,$F316))</f>
        <v>387</v>
      </c>
      <c r="I316" s="16" t="str">
        <f aca="false">IF(INDEX(選手一覧!$H$7:$H$2738,$F316)="","",INDEX(選手一覧!$H$7:$H$2738,$F316))</f>
        <v/>
      </c>
      <c r="J316" s="17" t="str">
        <f aca="false">IF(INDEX(選手一覧!$I$7:$I$2738,$F316)="","",INDEX(選手一覧!$I$7:$I$2738,$F316))</f>
        <v/>
      </c>
    </row>
    <row r="317" customFormat="false" ht="15" hidden="false" customHeight="false" outlineLevel="0" collapsed="false">
      <c r="A317" s="17" t="n">
        <v>313</v>
      </c>
      <c r="B317" s="12" t="s">
        <v>319</v>
      </c>
      <c r="C317" s="12" t="s">
        <v>320</v>
      </c>
      <c r="D317" s="16" t="n">
        <v>0.00280694444444444</v>
      </c>
      <c r="E317" s="15" t="n">
        <f aca="false">ROUND((D317-$D$5)*86400,2)</f>
        <v>17.49</v>
      </c>
      <c r="F317" s="17" t="n">
        <v>153</v>
      </c>
      <c r="G317" s="16" t="n">
        <f aca="false">IF(INDEX(選手一覧!$D$7:$D$2738,$F317)="","",INDEX(選手一覧!$D$7:$D$2738,$F317))</f>
        <v>0.0102885416666667</v>
      </c>
      <c r="H317" s="17" t="n">
        <f aca="false">IF(INDEX(選手一覧!$E$7:$E$2738,$F317)="","",INDEX(選手一覧!$E$7:$E$2738,$F317))</f>
        <v>154</v>
      </c>
      <c r="I317" s="16" t="str">
        <f aca="false">IF(INDEX(選手一覧!$H$7:$H$2738,$F317)="","",INDEX(選手一覧!$H$7:$H$2738,$F317))</f>
        <v/>
      </c>
      <c r="J317" s="17" t="str">
        <f aca="false">IF(INDEX(選手一覧!$I$7:$I$2738,$F317)="","",INDEX(選手一覧!$I$7:$I$2738,$F317))</f>
        <v/>
      </c>
    </row>
    <row r="318" customFormat="false" ht="15" hidden="false" customHeight="false" outlineLevel="0" collapsed="false">
      <c r="A318" s="17" t="n">
        <v>314</v>
      </c>
      <c r="B318" s="12" t="s">
        <v>485</v>
      </c>
      <c r="C318" s="12" t="s">
        <v>486</v>
      </c>
      <c r="D318" s="16" t="n">
        <v>0.00280694444444444</v>
      </c>
      <c r="E318" s="15" t="n">
        <f aca="false">ROUND((D318-$D$5)*86400,2)</f>
        <v>17.49</v>
      </c>
      <c r="F318" s="17" t="n">
        <v>250</v>
      </c>
      <c r="G318" s="16" t="n">
        <f aca="false">IF(INDEX(選手一覧!$D$7:$D$2738,$F318)="","",INDEX(選手一覧!$D$7:$D$2738,$F318))</f>
        <v>0.0103915509259259</v>
      </c>
      <c r="H318" s="17" t="n">
        <f aca="false">IF(INDEX(選手一覧!$E$7:$E$2738,$F318)="","",INDEX(選手一覧!$E$7:$E$2738,$F318))</f>
        <v>251</v>
      </c>
      <c r="I318" s="16" t="str">
        <f aca="false">IF(INDEX(選手一覧!$H$7:$H$2738,$F318)="","",INDEX(選手一覧!$H$7:$H$2738,$F318))</f>
        <v/>
      </c>
      <c r="J318" s="17" t="str">
        <f aca="false">IF(INDEX(選手一覧!$I$7:$I$2738,$F318)="","",INDEX(選手一覧!$I$7:$I$2738,$F318))</f>
        <v/>
      </c>
    </row>
    <row r="319" customFormat="false" ht="15" hidden="false" customHeight="false" outlineLevel="0" collapsed="false">
      <c r="A319" s="17" t="n">
        <v>315</v>
      </c>
      <c r="B319" s="12" t="s">
        <v>2241</v>
      </c>
      <c r="C319" s="12" t="s">
        <v>2242</v>
      </c>
      <c r="D319" s="16" t="n">
        <v>0.00280740740740741</v>
      </c>
      <c r="E319" s="15" t="n">
        <f aca="false">ROUND((D319-$D$5)*86400,2)</f>
        <v>17.53</v>
      </c>
      <c r="F319" s="17" t="n">
        <v>1428</v>
      </c>
      <c r="G319" s="16" t="str">
        <f aca="false">IF(INDEX(選手一覧!$D$7:$D$2738,$F319)="","",INDEX(選手一覧!$D$7:$D$2738,$F319))</f>
        <v/>
      </c>
      <c r="H319" s="17" t="str">
        <f aca="false">IF(INDEX(選手一覧!$E$7:$E$2738,$F319)="","",INDEX(選手一覧!$E$7:$E$2738,$F319))</f>
        <v/>
      </c>
      <c r="I319" s="16" t="str">
        <f aca="false">IF(INDEX(選手一覧!$H$7:$H$2738,$F319)="","",INDEX(選手一覧!$H$7:$H$2738,$F319))</f>
        <v/>
      </c>
      <c r="J319" s="17" t="str">
        <f aca="false">IF(INDEX(選手一覧!$I$7:$I$2738,$F319)="","",INDEX(選手一覧!$I$7:$I$2738,$F319))</f>
        <v/>
      </c>
    </row>
    <row r="320" customFormat="false" ht="15" hidden="false" customHeight="false" outlineLevel="0" collapsed="false">
      <c r="A320" s="17" t="n">
        <v>316</v>
      </c>
      <c r="B320" s="12" t="s">
        <v>1076</v>
      </c>
      <c r="C320" s="12" t="s">
        <v>115</v>
      </c>
      <c r="D320" s="16" t="n">
        <v>0.00280740740740741</v>
      </c>
      <c r="E320" s="15" t="n">
        <f aca="false">ROUND((D320-$D$5)*86400,2)</f>
        <v>17.53</v>
      </c>
      <c r="F320" s="17" t="n">
        <v>631</v>
      </c>
      <c r="G320" s="16" t="n">
        <f aca="false">IF(INDEX(選手一覧!$D$7:$D$2738,$F320)="","",INDEX(選手一覧!$D$7:$D$2738,$F320))</f>
        <v>0.0107303240740741</v>
      </c>
      <c r="H320" s="17" t="n">
        <f aca="false">IF(INDEX(選手一覧!$E$7:$E$2738,$F320)="","",INDEX(選手一覧!$E$7:$E$2738,$F320))</f>
        <v>632</v>
      </c>
      <c r="I320" s="16" t="str">
        <f aca="false">IF(INDEX(選手一覧!$H$7:$H$2738,$F320)="","",INDEX(選手一覧!$H$7:$H$2738,$F320))</f>
        <v/>
      </c>
      <c r="J320" s="17" t="str">
        <f aca="false">IF(INDEX(選手一覧!$I$7:$I$2738,$F320)="","",INDEX(選手一覧!$I$7:$I$2738,$F320))</f>
        <v/>
      </c>
    </row>
    <row r="321" customFormat="false" ht="15" hidden="false" customHeight="false" outlineLevel="0" collapsed="false">
      <c r="A321" s="17" t="n">
        <v>317</v>
      </c>
      <c r="B321" s="12" t="s">
        <v>201</v>
      </c>
      <c r="C321" s="12" t="s">
        <v>199</v>
      </c>
      <c r="D321" s="16" t="n">
        <v>0.00280810185185185</v>
      </c>
      <c r="E321" s="15" t="n">
        <f aca="false">ROUND((D321-$D$5)*86400,2)</f>
        <v>17.59</v>
      </c>
      <c r="F321" s="17" t="n">
        <v>90</v>
      </c>
      <c r="G321" s="16" t="n">
        <f aca="false">IF(INDEX(選手一覧!$D$7:$D$2738,$F321)="","",INDEX(選手一覧!$D$7:$D$2738,$F321))</f>
        <v>0.0101881944444444</v>
      </c>
      <c r="H321" s="17" t="n">
        <f aca="false">IF(INDEX(選手一覧!$E$7:$E$2738,$F321)="","",INDEX(選手一覧!$E$7:$E$2738,$F321))</f>
        <v>91</v>
      </c>
      <c r="I321" s="16" t="n">
        <f aca="false">IF(INDEX(選手一覧!$H$7:$H$2738,$F321)="","",INDEX(選手一覧!$H$7:$H$2738,$F321))</f>
        <v>0.00665277777777778</v>
      </c>
      <c r="J321" s="17" t="n">
        <f aca="false">IF(INDEX(選手一覧!$I$7:$I$2738,$F321)="","",INDEX(選手一覧!$I$7:$I$2738,$F321))</f>
        <v>84</v>
      </c>
    </row>
    <row r="322" customFormat="false" ht="15" hidden="false" customHeight="false" outlineLevel="0" collapsed="false">
      <c r="A322" s="17" t="n">
        <v>318</v>
      </c>
      <c r="B322" s="12" t="s">
        <v>588</v>
      </c>
      <c r="C322" s="12" t="s">
        <v>589</v>
      </c>
      <c r="D322" s="16" t="n">
        <v>0.00280833333333333</v>
      </c>
      <c r="E322" s="15" t="n">
        <f aca="false">ROUND((D322-$D$5)*86400,2)</f>
        <v>17.61</v>
      </c>
      <c r="F322" s="17" t="n">
        <v>315</v>
      </c>
      <c r="G322" s="16" t="n">
        <f aca="false">IF(INDEX(選手一覧!$D$7:$D$2738,$F322)="","",INDEX(選手一覧!$D$7:$D$2738,$F322))</f>
        <v>0.0104655092592593</v>
      </c>
      <c r="H322" s="17" t="n">
        <f aca="false">IF(INDEX(選手一覧!$E$7:$E$2738,$F322)="","",INDEX(選手一覧!$E$7:$E$2738,$F322))</f>
        <v>316</v>
      </c>
      <c r="I322" s="16" t="n">
        <f aca="false">IF(INDEX(選手一覧!$H$7:$H$2738,$F322)="","",INDEX(選手一覧!$H$7:$H$2738,$F322))</f>
        <v>0.00672824074074074</v>
      </c>
      <c r="J322" s="17" t="n">
        <f aca="false">IF(INDEX(選手一覧!$I$7:$I$2738,$F322)="","",INDEX(選手一覧!$I$7:$I$2738,$F322))</f>
        <v>119</v>
      </c>
    </row>
    <row r="323" customFormat="false" ht="15" hidden="false" customHeight="false" outlineLevel="0" collapsed="false">
      <c r="A323" s="17" t="n">
        <v>319</v>
      </c>
      <c r="B323" s="12" t="s">
        <v>2250</v>
      </c>
      <c r="C323" s="12" t="s">
        <v>1315</v>
      </c>
      <c r="D323" s="16" t="n">
        <v>0.00280844907407407</v>
      </c>
      <c r="E323" s="15" t="n">
        <f aca="false">ROUND((D323-$D$5)*86400,2)</f>
        <v>17.62</v>
      </c>
      <c r="F323" s="17" t="n">
        <v>1433</v>
      </c>
      <c r="G323" s="16" t="str">
        <f aca="false">IF(INDEX(選手一覧!$D$7:$D$2738,$F323)="","",INDEX(選手一覧!$D$7:$D$2738,$F323))</f>
        <v/>
      </c>
      <c r="H323" s="17" t="str">
        <f aca="false">IF(INDEX(選手一覧!$E$7:$E$2738,$F323)="","",INDEX(選手一覧!$E$7:$E$2738,$F323))</f>
        <v/>
      </c>
      <c r="I323" s="16" t="str">
        <f aca="false">IF(INDEX(選手一覧!$H$7:$H$2738,$F323)="","",INDEX(選手一覧!$H$7:$H$2738,$F323))</f>
        <v/>
      </c>
      <c r="J323" s="17" t="str">
        <f aca="false">IF(INDEX(選手一覧!$I$7:$I$2738,$F323)="","",INDEX(選手一覧!$I$7:$I$2738,$F323))</f>
        <v/>
      </c>
    </row>
    <row r="324" customFormat="false" ht="15" hidden="false" customHeight="false" outlineLevel="0" collapsed="false">
      <c r="A324" s="17" t="n">
        <v>320</v>
      </c>
      <c r="B324" s="12" t="s">
        <v>74</v>
      </c>
      <c r="C324" s="12" t="s">
        <v>37</v>
      </c>
      <c r="D324" s="16" t="n">
        <v>0.00280856481481482</v>
      </c>
      <c r="E324" s="15" t="n">
        <f aca="false">ROUND((D324-$D$5)*86400,2)</f>
        <v>17.63</v>
      </c>
      <c r="F324" s="17" t="n">
        <v>23</v>
      </c>
      <c r="G324" s="16" t="n">
        <f aca="false">IF(INDEX(選手一覧!$D$7:$D$2738,$F324)="","",INDEX(選手一覧!$D$7:$D$2738,$F324))</f>
        <v>0.0100170138888889</v>
      </c>
      <c r="H324" s="17" t="n">
        <f aca="false">IF(INDEX(選手一覧!$E$7:$E$2738,$F324)="","",INDEX(選手一覧!$E$7:$E$2738,$F324))</f>
        <v>24</v>
      </c>
      <c r="I324" s="16" t="n">
        <f aca="false">IF(INDEX(選手一覧!$H$7:$H$2738,$F324)="","",INDEX(選手一覧!$H$7:$H$2738,$F324))</f>
        <v>0.00636747685185185</v>
      </c>
      <c r="J324" s="17" t="n">
        <f aca="false">IF(INDEX(選手一覧!$I$7:$I$2738,$F324)="","",INDEX(選手一覧!$I$7:$I$2738,$F324))</f>
        <v>11</v>
      </c>
    </row>
    <row r="325" customFormat="false" ht="15" hidden="false" customHeight="false" outlineLevel="0" collapsed="false">
      <c r="A325" s="17" t="n">
        <v>321</v>
      </c>
      <c r="B325" s="12" t="s">
        <v>714</v>
      </c>
      <c r="C325" s="12" t="s">
        <v>389</v>
      </c>
      <c r="D325" s="16" t="n">
        <v>0.0028087962962963</v>
      </c>
      <c r="E325" s="15" t="n">
        <f aca="false">ROUND((D325-$D$5)*86400,2)</f>
        <v>17.65</v>
      </c>
      <c r="F325" s="17" t="n">
        <v>395</v>
      </c>
      <c r="G325" s="16" t="n">
        <f aca="false">IF(INDEX(選手一覧!$D$7:$D$2738,$F325)="","",INDEX(選手一覧!$D$7:$D$2738,$F325))</f>
        <v>0.0105479166666667</v>
      </c>
      <c r="H325" s="17" t="n">
        <f aca="false">IF(INDEX(選手一覧!$E$7:$E$2738,$F325)="","",INDEX(選手一覧!$E$7:$E$2738,$F325))</f>
        <v>396</v>
      </c>
      <c r="I325" s="16" t="str">
        <f aca="false">IF(INDEX(選手一覧!$H$7:$H$2738,$F325)="","",INDEX(選手一覧!$H$7:$H$2738,$F325))</f>
        <v/>
      </c>
      <c r="J325" s="17" t="str">
        <f aca="false">IF(INDEX(選手一覧!$I$7:$I$2738,$F325)="","",INDEX(選手一覧!$I$7:$I$2738,$F325))</f>
        <v/>
      </c>
    </row>
    <row r="326" customFormat="false" ht="15" hidden="false" customHeight="false" outlineLevel="0" collapsed="false">
      <c r="A326" s="17" t="n">
        <v>322</v>
      </c>
      <c r="B326" s="12" t="s">
        <v>2251</v>
      </c>
      <c r="C326" s="12" t="s">
        <v>2252</v>
      </c>
      <c r="D326" s="16" t="n">
        <v>0.00280925925925926</v>
      </c>
      <c r="E326" s="15" t="n">
        <f aca="false">ROUND((D326-$D$5)*86400,2)</f>
        <v>17.69</v>
      </c>
      <c r="F326" s="17" t="n">
        <v>1434</v>
      </c>
      <c r="G326" s="16" t="str">
        <f aca="false">IF(INDEX(選手一覧!$D$7:$D$2738,$F326)="","",INDEX(選手一覧!$D$7:$D$2738,$F326))</f>
        <v/>
      </c>
      <c r="H326" s="17" t="str">
        <f aca="false">IF(INDEX(選手一覧!$E$7:$E$2738,$F326)="","",INDEX(選手一覧!$E$7:$E$2738,$F326))</f>
        <v/>
      </c>
      <c r="I326" s="16" t="str">
        <f aca="false">IF(INDEX(選手一覧!$H$7:$H$2738,$F326)="","",INDEX(選手一覧!$H$7:$H$2738,$F326))</f>
        <v/>
      </c>
      <c r="J326" s="17" t="str">
        <f aca="false">IF(INDEX(選手一覧!$I$7:$I$2738,$F326)="","",INDEX(選手一覧!$I$7:$I$2738,$F326))</f>
        <v/>
      </c>
    </row>
    <row r="327" customFormat="false" ht="15" hidden="false" customHeight="false" outlineLevel="0" collapsed="false">
      <c r="A327" s="17" t="n">
        <v>323</v>
      </c>
      <c r="B327" s="12" t="s">
        <v>1832</v>
      </c>
      <c r="C327" s="12" t="s">
        <v>1833</v>
      </c>
      <c r="D327" s="16" t="n">
        <v>0.00280960648148148</v>
      </c>
      <c r="E327" s="15" t="n">
        <f aca="false">ROUND((D327-$D$5)*86400,2)</f>
        <v>17.72</v>
      </c>
      <c r="F327" s="17" t="n">
        <v>1136</v>
      </c>
      <c r="G327" s="16" t="n">
        <f aca="false">IF(INDEX(選手一覧!$D$7:$D$2738,$F327)="","",INDEX(選手一覧!$D$7:$D$2738,$F327))</f>
        <v>0.011025</v>
      </c>
      <c r="H327" s="17" t="n">
        <f aca="false">IF(INDEX(選手一覧!$E$7:$E$2738,$F327)="","",INDEX(選手一覧!$E$7:$E$2738,$F327))</f>
        <v>1137</v>
      </c>
      <c r="I327" s="16" t="str">
        <f aca="false">IF(INDEX(選手一覧!$H$7:$H$2738,$F327)="","",INDEX(選手一覧!$H$7:$H$2738,$F327))</f>
        <v/>
      </c>
      <c r="J327" s="17" t="str">
        <f aca="false">IF(INDEX(選手一覧!$I$7:$I$2738,$F327)="","",INDEX(選手一覧!$I$7:$I$2738,$F327))</f>
        <v/>
      </c>
    </row>
    <row r="328" customFormat="false" ht="15" hidden="false" customHeight="false" outlineLevel="0" collapsed="false">
      <c r="A328" s="17" t="n">
        <v>324</v>
      </c>
      <c r="B328" s="12" t="s">
        <v>1176</v>
      </c>
      <c r="C328" s="12" t="s">
        <v>629</v>
      </c>
      <c r="D328" s="16" t="n">
        <v>0.00280983796296296</v>
      </c>
      <c r="E328" s="15" t="n">
        <f aca="false">ROUND((D328-$D$5)*86400,2)</f>
        <v>17.74</v>
      </c>
      <c r="F328" s="17" t="n">
        <v>698</v>
      </c>
      <c r="G328" s="16" t="n">
        <f aca="false">IF(INDEX(選手一覧!$D$7:$D$2738,$F328)="","",INDEX(選手一覧!$D$7:$D$2738,$F328))</f>
        <v>0.0107715277777778</v>
      </c>
      <c r="H328" s="17" t="n">
        <f aca="false">IF(INDEX(選手一覧!$E$7:$E$2738,$F328)="","",INDEX(選手一覧!$E$7:$E$2738,$F328))</f>
        <v>699</v>
      </c>
      <c r="I328" s="16" t="str">
        <f aca="false">IF(INDEX(選手一覧!$H$7:$H$2738,$F328)="","",INDEX(選手一覧!$H$7:$H$2738,$F328))</f>
        <v/>
      </c>
      <c r="J328" s="17" t="str">
        <f aca="false">IF(INDEX(選手一覧!$I$7:$I$2738,$F328)="","",INDEX(選手一覧!$I$7:$I$2738,$F328))</f>
        <v/>
      </c>
    </row>
    <row r="329" customFormat="false" ht="15" hidden="false" customHeight="false" outlineLevel="0" collapsed="false">
      <c r="A329" s="17" t="n">
        <v>325</v>
      </c>
      <c r="B329" s="12" t="s">
        <v>1177</v>
      </c>
      <c r="C329" s="12" t="s">
        <v>1178</v>
      </c>
      <c r="D329" s="16" t="n">
        <v>0.00281064814814815</v>
      </c>
      <c r="E329" s="15" t="n">
        <f aca="false">ROUND((D329-$D$5)*86400,2)</f>
        <v>17.81</v>
      </c>
      <c r="F329" s="17" t="n">
        <v>699</v>
      </c>
      <c r="G329" s="16" t="n">
        <f aca="false">IF(INDEX(選手一覧!$D$7:$D$2738,$F329)="","",INDEX(選手一覧!$D$7:$D$2738,$F329))</f>
        <v>0.0107717592592593</v>
      </c>
      <c r="H329" s="17" t="n">
        <f aca="false">IF(INDEX(選手一覧!$E$7:$E$2738,$F329)="","",INDEX(選手一覧!$E$7:$E$2738,$F329))</f>
        <v>700</v>
      </c>
      <c r="I329" s="16" t="str">
        <f aca="false">IF(INDEX(選手一覧!$H$7:$H$2738,$F329)="","",INDEX(選手一覧!$H$7:$H$2738,$F329))</f>
        <v/>
      </c>
      <c r="J329" s="17" t="str">
        <f aca="false">IF(INDEX(選手一覧!$I$7:$I$2738,$F329)="","",INDEX(選手一覧!$I$7:$I$2738,$F329))</f>
        <v/>
      </c>
    </row>
    <row r="330" customFormat="false" ht="15" hidden="false" customHeight="false" outlineLevel="0" collapsed="false">
      <c r="A330" s="17" t="n">
        <v>326</v>
      </c>
      <c r="B330" s="12" t="s">
        <v>656</v>
      </c>
      <c r="C330" s="12" t="s">
        <v>83</v>
      </c>
      <c r="D330" s="16" t="n">
        <v>0.00281076388888889</v>
      </c>
      <c r="E330" s="15" t="n">
        <f aca="false">ROUND((D330-$D$5)*86400,2)</f>
        <v>17.82</v>
      </c>
      <c r="F330" s="17" t="n">
        <v>357</v>
      </c>
      <c r="G330" s="16" t="n">
        <f aca="false">IF(INDEX(選手一覧!$D$7:$D$2738,$F330)="","",INDEX(選手一覧!$D$7:$D$2738,$F330))</f>
        <v>0.0105153935185185</v>
      </c>
      <c r="H330" s="17" t="n">
        <f aca="false">IF(INDEX(選手一覧!$E$7:$E$2738,$F330)="","",INDEX(選手一覧!$E$7:$E$2738,$F330))</f>
        <v>358</v>
      </c>
      <c r="I330" s="16" t="str">
        <f aca="false">IF(INDEX(選手一覧!$H$7:$H$2738,$F330)="","",INDEX(選手一覧!$H$7:$H$2738,$F330))</f>
        <v/>
      </c>
      <c r="J330" s="17" t="str">
        <f aca="false">IF(INDEX(選手一覧!$I$7:$I$2738,$F330)="","",INDEX(選手一覧!$I$7:$I$2738,$F330))</f>
        <v/>
      </c>
    </row>
    <row r="331" customFormat="false" ht="15" hidden="false" customHeight="false" outlineLevel="0" collapsed="false">
      <c r="A331" s="17" t="n">
        <v>327</v>
      </c>
      <c r="B331" s="12" t="s">
        <v>990</v>
      </c>
      <c r="C331" s="12" t="s">
        <v>585</v>
      </c>
      <c r="D331" s="16" t="n">
        <v>0.00281087962962963</v>
      </c>
      <c r="E331" s="15" t="n">
        <f aca="false">ROUND((D331-$D$5)*86400,2)</f>
        <v>17.83</v>
      </c>
      <c r="F331" s="17" t="n">
        <v>569</v>
      </c>
      <c r="G331" s="16" t="n">
        <f aca="false">IF(INDEX(選手一覧!$D$7:$D$2738,$F331)="","",INDEX(選手一覧!$D$7:$D$2738,$F331))</f>
        <v>0.0106944444444444</v>
      </c>
      <c r="H331" s="17" t="n">
        <f aca="false">IF(INDEX(選手一覧!$E$7:$E$2738,$F331)="","",INDEX(選手一覧!$E$7:$E$2738,$F331))</f>
        <v>570</v>
      </c>
      <c r="I331" s="16" t="str">
        <f aca="false">IF(INDEX(選手一覧!$H$7:$H$2738,$F331)="","",INDEX(選手一覧!$H$7:$H$2738,$F331))</f>
        <v/>
      </c>
      <c r="J331" s="17" t="str">
        <f aca="false">IF(INDEX(選手一覧!$I$7:$I$2738,$F331)="","",INDEX(選手一覧!$I$7:$I$2738,$F331))</f>
        <v/>
      </c>
    </row>
    <row r="332" customFormat="false" ht="15" hidden="false" customHeight="false" outlineLevel="0" collapsed="false">
      <c r="A332" s="17" t="n">
        <v>328</v>
      </c>
      <c r="B332" s="12" t="s">
        <v>1486</v>
      </c>
      <c r="C332" s="12" t="s">
        <v>186</v>
      </c>
      <c r="D332" s="16" t="n">
        <v>0.0028119212962963</v>
      </c>
      <c r="E332" s="15" t="n">
        <f aca="false">ROUND((D332-$D$5)*86400,2)</f>
        <v>17.92</v>
      </c>
      <c r="F332" s="17" t="n">
        <v>903</v>
      </c>
      <c r="G332" s="16" t="n">
        <f aca="false">IF(INDEX(選手一覧!$D$7:$D$2738,$F332)="","",INDEX(選手一覧!$D$7:$D$2738,$F332))</f>
        <v>0.0108903935185185</v>
      </c>
      <c r="H332" s="17" t="n">
        <f aca="false">IF(INDEX(選手一覧!$E$7:$E$2738,$F332)="","",INDEX(選手一覧!$E$7:$E$2738,$F332))</f>
        <v>904</v>
      </c>
      <c r="I332" s="16" t="str">
        <f aca="false">IF(INDEX(選手一覧!$H$7:$H$2738,$F332)="","",INDEX(選手一覧!$H$7:$H$2738,$F332))</f>
        <v/>
      </c>
      <c r="J332" s="17" t="str">
        <f aca="false">IF(INDEX(選手一覧!$I$7:$I$2738,$F332)="","",INDEX(選手一覧!$I$7:$I$2738,$F332))</f>
        <v/>
      </c>
    </row>
    <row r="333" customFormat="false" ht="15" hidden="false" customHeight="false" outlineLevel="0" collapsed="false">
      <c r="A333" s="17" t="n">
        <v>329</v>
      </c>
      <c r="B333" s="12" t="s">
        <v>384</v>
      </c>
      <c r="C333" s="12" t="s">
        <v>99</v>
      </c>
      <c r="D333" s="16" t="n">
        <v>0.0028119212962963</v>
      </c>
      <c r="E333" s="15" t="n">
        <f aca="false">ROUND((D333-$D$5)*86400,2)</f>
        <v>17.92</v>
      </c>
      <c r="F333" s="17" t="n">
        <v>189</v>
      </c>
      <c r="G333" s="16" t="n">
        <f aca="false">IF(INDEX(選手一覧!$D$7:$D$2738,$F333)="","",INDEX(選手一覧!$D$7:$D$2738,$F333))</f>
        <v>0.0103393518518519</v>
      </c>
      <c r="H333" s="17" t="n">
        <f aca="false">IF(INDEX(選手一覧!$E$7:$E$2738,$F333)="","",INDEX(選手一覧!$E$7:$E$2738,$F333))</f>
        <v>190</v>
      </c>
      <c r="I333" s="16" t="n">
        <f aca="false">IF(INDEX(選手一覧!$H$7:$H$2738,$F333)="","",INDEX(選手一覧!$H$7:$H$2738,$F333))</f>
        <v>0.00682673611111111</v>
      </c>
      <c r="J333" s="17" t="n">
        <f aca="false">IF(INDEX(選手一覧!$I$7:$I$2738,$F333)="","",INDEX(選手一覧!$I$7:$I$2738,$F333))</f>
        <v>190</v>
      </c>
    </row>
    <row r="334" customFormat="false" ht="15" hidden="false" customHeight="false" outlineLevel="0" collapsed="false">
      <c r="A334" s="17" t="n">
        <v>330</v>
      </c>
      <c r="B334" s="12" t="s">
        <v>818</v>
      </c>
      <c r="C334" s="12" t="s">
        <v>819</v>
      </c>
      <c r="D334" s="16" t="n">
        <v>0.0028119212962963</v>
      </c>
      <c r="E334" s="15" t="n">
        <f aca="false">ROUND((D334-$D$5)*86400,2)</f>
        <v>17.92</v>
      </c>
      <c r="F334" s="17" t="n">
        <v>462</v>
      </c>
      <c r="G334" s="16" t="n">
        <f aca="false">IF(INDEX(選手一覧!$D$7:$D$2738,$F334)="","",INDEX(選手一覧!$D$7:$D$2738,$F334))</f>
        <v>0.0105996527777778</v>
      </c>
      <c r="H334" s="17" t="n">
        <f aca="false">IF(INDEX(選手一覧!$E$7:$E$2738,$F334)="","",INDEX(選手一覧!$E$7:$E$2738,$F334))</f>
        <v>463</v>
      </c>
      <c r="I334" s="16" t="str">
        <f aca="false">IF(INDEX(選手一覧!$H$7:$H$2738,$F334)="","",INDEX(選手一覧!$H$7:$H$2738,$F334))</f>
        <v/>
      </c>
      <c r="J334" s="17" t="str">
        <f aca="false">IF(INDEX(選手一覧!$I$7:$I$2738,$F334)="","",INDEX(選手一覧!$I$7:$I$2738,$F334))</f>
        <v/>
      </c>
    </row>
    <row r="335" customFormat="false" ht="15" hidden="false" customHeight="false" outlineLevel="0" collapsed="false">
      <c r="A335" s="17" t="n">
        <v>331</v>
      </c>
      <c r="B335" s="12" t="s">
        <v>2262</v>
      </c>
      <c r="C335" s="12" t="s">
        <v>875</v>
      </c>
      <c r="D335" s="16" t="n">
        <v>0.00281273148148148</v>
      </c>
      <c r="E335" s="15" t="n">
        <f aca="false">ROUND((D335-$D$5)*86400,2)</f>
        <v>17.99</v>
      </c>
      <c r="F335" s="17" t="n">
        <v>1439</v>
      </c>
      <c r="G335" s="16" t="str">
        <f aca="false">IF(INDEX(選手一覧!$D$7:$D$2738,$F335)="","",INDEX(選手一覧!$D$7:$D$2738,$F335))</f>
        <v/>
      </c>
      <c r="H335" s="17" t="str">
        <f aca="false">IF(INDEX(選手一覧!$E$7:$E$2738,$F335)="","",INDEX(選手一覧!$E$7:$E$2738,$F335))</f>
        <v/>
      </c>
      <c r="I335" s="16" t="str">
        <f aca="false">IF(INDEX(選手一覧!$H$7:$H$2738,$F335)="","",INDEX(選手一覧!$H$7:$H$2738,$F335))</f>
        <v/>
      </c>
      <c r="J335" s="17" t="str">
        <f aca="false">IF(INDEX(選手一覧!$I$7:$I$2738,$F335)="","",INDEX(選手一覧!$I$7:$I$2738,$F335))</f>
        <v/>
      </c>
    </row>
    <row r="336" customFormat="false" ht="15" hidden="false" customHeight="false" outlineLevel="0" collapsed="false">
      <c r="A336" s="17" t="n">
        <v>332</v>
      </c>
      <c r="B336" s="12" t="s">
        <v>1088</v>
      </c>
      <c r="C336" s="12" t="s">
        <v>599</v>
      </c>
      <c r="D336" s="16" t="n">
        <v>0.00281284722222222</v>
      </c>
      <c r="E336" s="15" t="n">
        <f aca="false">ROUND((D336-$D$5)*86400,2)</f>
        <v>18</v>
      </c>
      <c r="F336" s="17" t="n">
        <v>641</v>
      </c>
      <c r="G336" s="16" t="n">
        <f aca="false">IF(INDEX(選手一覧!$D$7:$D$2738,$F336)="","",INDEX(選手一覧!$D$7:$D$2738,$F336))</f>
        <v>0.0107350694444444</v>
      </c>
      <c r="H336" s="17" t="n">
        <f aca="false">IF(INDEX(選手一覧!$E$7:$E$2738,$F336)="","",INDEX(選手一覧!$E$7:$E$2738,$F336))</f>
        <v>642</v>
      </c>
      <c r="I336" s="16" t="str">
        <f aca="false">IF(INDEX(選手一覧!$H$7:$H$2738,$F336)="","",INDEX(選手一覧!$H$7:$H$2738,$F336))</f>
        <v/>
      </c>
      <c r="J336" s="17" t="str">
        <f aca="false">IF(INDEX(選手一覧!$I$7:$I$2738,$F336)="","",INDEX(選手一覧!$I$7:$I$2738,$F336))</f>
        <v/>
      </c>
    </row>
    <row r="337" customFormat="false" ht="15" hidden="false" customHeight="false" outlineLevel="0" collapsed="false">
      <c r="A337" s="17" t="n">
        <v>333</v>
      </c>
      <c r="B337" s="12" t="s">
        <v>712</v>
      </c>
      <c r="C337" s="12" t="s">
        <v>544</v>
      </c>
      <c r="D337" s="16" t="n">
        <v>0.00281296296296296</v>
      </c>
      <c r="E337" s="15" t="n">
        <f aca="false">ROUND((D337-$D$5)*86400,2)</f>
        <v>18.01</v>
      </c>
      <c r="F337" s="17" t="n">
        <v>394</v>
      </c>
      <c r="G337" s="16" t="n">
        <f aca="false">IF(INDEX(選手一覧!$D$7:$D$2738,$F337)="","",INDEX(選手一覧!$D$7:$D$2738,$F337))</f>
        <v>0.0105478009259259</v>
      </c>
      <c r="H337" s="17" t="n">
        <f aca="false">IF(INDEX(選手一覧!$E$7:$E$2738,$F337)="","",INDEX(選手一覧!$E$7:$E$2738,$F337))</f>
        <v>395</v>
      </c>
      <c r="I337" s="16" t="n">
        <f aca="false">IF(INDEX(選手一覧!$H$7:$H$2738,$F337)="","",INDEX(選手一覧!$H$7:$H$2738,$F337))</f>
        <v>0.00705462962962963</v>
      </c>
      <c r="J337" s="17" t="n">
        <f aca="false">IF(INDEX(選手一覧!$I$7:$I$2738,$F337)="","",INDEX(選手一覧!$I$7:$I$2738,$F337))</f>
        <v>394</v>
      </c>
    </row>
    <row r="338" customFormat="false" ht="15" hidden="false" customHeight="false" outlineLevel="0" collapsed="false">
      <c r="A338" s="17" t="n">
        <v>334</v>
      </c>
      <c r="B338" s="12" t="s">
        <v>497</v>
      </c>
      <c r="C338" s="12" t="s">
        <v>245</v>
      </c>
      <c r="D338" s="16" t="n">
        <v>0.0028130787037037</v>
      </c>
      <c r="E338" s="15" t="n">
        <f aca="false">ROUND((D338-$D$5)*86400,2)</f>
        <v>18.02</v>
      </c>
      <c r="F338" s="17" t="n">
        <v>259</v>
      </c>
      <c r="G338" s="16" t="n">
        <f aca="false">IF(INDEX(選手一覧!$D$7:$D$2738,$F338)="","",INDEX(選手一覧!$D$7:$D$2738,$F338))</f>
        <v>0.0103972222222222</v>
      </c>
      <c r="H338" s="17" t="n">
        <f aca="false">IF(INDEX(選手一覧!$E$7:$E$2738,$F338)="","",INDEX(選手一覧!$E$7:$E$2738,$F338))</f>
        <v>260</v>
      </c>
      <c r="I338" s="16" t="str">
        <f aca="false">IF(INDEX(選手一覧!$H$7:$H$2738,$F338)="","",INDEX(選手一覧!$H$7:$H$2738,$F338))</f>
        <v/>
      </c>
      <c r="J338" s="17" t="str">
        <f aca="false">IF(INDEX(選手一覧!$I$7:$I$2738,$F338)="","",INDEX(選手一覧!$I$7:$I$2738,$F338))</f>
        <v/>
      </c>
    </row>
    <row r="339" customFormat="false" ht="15" hidden="false" customHeight="false" outlineLevel="0" collapsed="false">
      <c r="A339" s="17" t="n">
        <v>335</v>
      </c>
      <c r="B339" s="12" t="s">
        <v>1084</v>
      </c>
      <c r="C339" s="12" t="s">
        <v>503</v>
      </c>
      <c r="D339" s="16" t="n">
        <v>0.00281319444444445</v>
      </c>
      <c r="E339" s="15" t="n">
        <f aca="false">ROUND((D339-$D$5)*86400,2)</f>
        <v>18.03</v>
      </c>
      <c r="F339" s="17" t="n">
        <v>638</v>
      </c>
      <c r="G339" s="16" t="n">
        <f aca="false">IF(INDEX(選手一覧!$D$7:$D$2738,$F339)="","",INDEX(選手一覧!$D$7:$D$2738,$F339))</f>
        <v>0.0107329861111111</v>
      </c>
      <c r="H339" s="17" t="n">
        <f aca="false">IF(INDEX(選手一覧!$E$7:$E$2738,$F339)="","",INDEX(選手一覧!$E$7:$E$2738,$F339))</f>
        <v>639</v>
      </c>
      <c r="I339" s="16" t="str">
        <f aca="false">IF(INDEX(選手一覧!$H$7:$H$2738,$F339)="","",INDEX(選手一覧!$H$7:$H$2738,$F339))</f>
        <v/>
      </c>
      <c r="J339" s="17" t="str">
        <f aca="false">IF(INDEX(選手一覧!$I$7:$I$2738,$F339)="","",INDEX(選手一覧!$I$7:$I$2738,$F339))</f>
        <v/>
      </c>
    </row>
    <row r="340" customFormat="false" ht="15" hidden="false" customHeight="false" outlineLevel="0" collapsed="false">
      <c r="A340" s="17" t="n">
        <v>336</v>
      </c>
      <c r="B340" s="12" t="s">
        <v>655</v>
      </c>
      <c r="C340" s="12" t="s">
        <v>63</v>
      </c>
      <c r="D340" s="16" t="n">
        <v>0.00281331018518519</v>
      </c>
      <c r="E340" s="15" t="n">
        <f aca="false">ROUND((D340-$D$5)*86400,2)</f>
        <v>18.04</v>
      </c>
      <c r="F340" s="17" t="n">
        <v>356</v>
      </c>
      <c r="G340" s="16" t="n">
        <f aca="false">IF(INDEX(選手一覧!$D$7:$D$2738,$F340)="","",INDEX(選手一覧!$D$7:$D$2738,$F340))</f>
        <v>0.010515162037037</v>
      </c>
      <c r="H340" s="17" t="n">
        <f aca="false">IF(INDEX(選手一覧!$E$7:$E$2738,$F340)="","",INDEX(選手一覧!$E$7:$E$2738,$F340))</f>
        <v>357</v>
      </c>
      <c r="I340" s="16" t="str">
        <f aca="false">IF(INDEX(選手一覧!$H$7:$H$2738,$F340)="","",INDEX(選手一覧!$H$7:$H$2738,$F340))</f>
        <v/>
      </c>
      <c r="J340" s="17" t="str">
        <f aca="false">IF(INDEX(選手一覧!$I$7:$I$2738,$F340)="","",INDEX(選手一覧!$I$7:$I$2738,$F340))</f>
        <v/>
      </c>
    </row>
    <row r="341" customFormat="false" ht="15" hidden="false" customHeight="false" outlineLevel="0" collapsed="false">
      <c r="A341" s="17" t="n">
        <v>337</v>
      </c>
      <c r="B341" s="12" t="s">
        <v>837</v>
      </c>
      <c r="C341" s="12" t="s">
        <v>179</v>
      </c>
      <c r="D341" s="16" t="n">
        <v>0.00281331018518519</v>
      </c>
      <c r="E341" s="15" t="n">
        <f aca="false">ROUND((D341-$D$5)*86400,2)</f>
        <v>18.04</v>
      </c>
      <c r="F341" s="17" t="n">
        <v>475</v>
      </c>
      <c r="G341" s="16" t="n">
        <f aca="false">IF(INDEX(選手一覧!$D$7:$D$2738,$F341)="","",INDEX(選手一覧!$D$7:$D$2738,$F341))</f>
        <v>0.0106106481481482</v>
      </c>
      <c r="H341" s="17" t="n">
        <f aca="false">IF(INDEX(選手一覧!$E$7:$E$2738,$F341)="","",INDEX(選手一覧!$E$7:$E$2738,$F341))</f>
        <v>476</v>
      </c>
      <c r="I341" s="16" t="str">
        <f aca="false">IF(INDEX(選手一覧!$H$7:$H$2738,$F341)="","",INDEX(選手一覧!$H$7:$H$2738,$F341))</f>
        <v/>
      </c>
      <c r="J341" s="17" t="str">
        <f aca="false">IF(INDEX(選手一覧!$I$7:$I$2738,$F341)="","",INDEX(選手一覧!$I$7:$I$2738,$F341))</f>
        <v/>
      </c>
    </row>
    <row r="342" customFormat="false" ht="15" hidden="false" customHeight="false" outlineLevel="0" collapsed="false">
      <c r="A342" s="17" t="n">
        <v>338</v>
      </c>
      <c r="B342" s="12" t="s">
        <v>1087</v>
      </c>
      <c r="C342" s="12" t="s">
        <v>63</v>
      </c>
      <c r="D342" s="16" t="n">
        <v>0.00281354166666667</v>
      </c>
      <c r="E342" s="15" t="n">
        <f aca="false">ROUND((D342-$D$5)*86400,2)</f>
        <v>18.06</v>
      </c>
      <c r="F342" s="17" t="n">
        <v>640</v>
      </c>
      <c r="G342" s="16" t="n">
        <f aca="false">IF(INDEX(選手一覧!$D$7:$D$2738,$F342)="","",INDEX(選手一覧!$D$7:$D$2738,$F342))</f>
        <v>0.0107349537037037</v>
      </c>
      <c r="H342" s="17" t="n">
        <f aca="false">IF(INDEX(選手一覧!$E$7:$E$2738,$F342)="","",INDEX(選手一覧!$E$7:$E$2738,$F342))</f>
        <v>641</v>
      </c>
      <c r="I342" s="16" t="str">
        <f aca="false">IF(INDEX(選手一覧!$H$7:$H$2738,$F342)="","",INDEX(選手一覧!$H$7:$H$2738,$F342))</f>
        <v/>
      </c>
      <c r="J342" s="17" t="str">
        <f aca="false">IF(INDEX(選手一覧!$I$7:$I$2738,$F342)="","",INDEX(選手一覧!$I$7:$I$2738,$F342))</f>
        <v/>
      </c>
    </row>
    <row r="343" customFormat="false" ht="15" hidden="false" customHeight="false" outlineLevel="0" collapsed="false">
      <c r="A343" s="17" t="n">
        <v>339</v>
      </c>
      <c r="B343" s="12" t="s">
        <v>1696</v>
      </c>
      <c r="C343" s="12" t="s">
        <v>1697</v>
      </c>
      <c r="D343" s="16" t="n">
        <v>0.00281388888888889</v>
      </c>
      <c r="E343" s="15" t="n">
        <f aca="false">ROUND((D343-$D$5)*86400,2)</f>
        <v>18.09</v>
      </c>
      <c r="F343" s="17" t="n">
        <v>1046</v>
      </c>
      <c r="G343" s="16" t="n">
        <f aca="false">IF(INDEX(選手一覧!$D$7:$D$2738,$F343)="","",INDEX(選手一覧!$D$7:$D$2738,$F343))</f>
        <v>0.0109736111111111</v>
      </c>
      <c r="H343" s="17" t="n">
        <f aca="false">IF(INDEX(選手一覧!$E$7:$E$2738,$F343)="","",INDEX(選手一覧!$E$7:$E$2738,$F343))</f>
        <v>1047</v>
      </c>
      <c r="I343" s="16" t="str">
        <f aca="false">IF(INDEX(選手一覧!$H$7:$H$2738,$F343)="","",INDEX(選手一覧!$H$7:$H$2738,$F343))</f>
        <v/>
      </c>
      <c r="J343" s="17" t="str">
        <f aca="false">IF(INDEX(選手一覧!$I$7:$I$2738,$F343)="","",INDEX(選手一覧!$I$7:$I$2738,$F343))</f>
        <v/>
      </c>
    </row>
    <row r="344" customFormat="false" ht="15" hidden="false" customHeight="false" outlineLevel="0" collapsed="false">
      <c r="A344" s="17" t="n">
        <v>340</v>
      </c>
      <c r="B344" s="12" t="s">
        <v>131</v>
      </c>
      <c r="C344" s="12" t="s">
        <v>67</v>
      </c>
      <c r="D344" s="16" t="n">
        <v>0.00281412037037037</v>
      </c>
      <c r="E344" s="15" t="n">
        <f aca="false">ROUND((D344-$D$5)*86400,2)</f>
        <v>18.11</v>
      </c>
      <c r="F344" s="17" t="n">
        <v>52</v>
      </c>
      <c r="G344" s="16" t="n">
        <f aca="false">IF(INDEX(選手一覧!$D$7:$D$2738,$F344)="","",INDEX(選手一覧!$D$7:$D$2738,$F344))</f>
        <v>0.0101015046296296</v>
      </c>
      <c r="H344" s="17" t="n">
        <f aca="false">IF(INDEX(選手一覧!$E$7:$E$2738,$F344)="","",INDEX(選手一覧!$E$7:$E$2738,$F344))</f>
        <v>53</v>
      </c>
      <c r="I344" s="16" t="str">
        <f aca="false">IF(INDEX(選手一覧!$H$7:$H$2738,$F344)="","",INDEX(選手一覧!$H$7:$H$2738,$F344))</f>
        <v/>
      </c>
      <c r="J344" s="17" t="str">
        <f aca="false">IF(INDEX(選手一覧!$I$7:$I$2738,$F344)="","",INDEX(選手一覧!$I$7:$I$2738,$F344))</f>
        <v/>
      </c>
    </row>
    <row r="345" customFormat="false" ht="15" hidden="false" customHeight="false" outlineLevel="0" collapsed="false">
      <c r="A345" s="17" t="n">
        <v>341</v>
      </c>
      <c r="B345" s="12" t="s">
        <v>847</v>
      </c>
      <c r="C345" s="12" t="s">
        <v>463</v>
      </c>
      <c r="D345" s="16" t="n">
        <v>0.00281458333333333</v>
      </c>
      <c r="E345" s="15" t="n">
        <f aca="false">ROUND((D345-$D$5)*86400,2)</f>
        <v>18.15</v>
      </c>
      <c r="F345" s="17" t="n">
        <v>481</v>
      </c>
      <c r="G345" s="16" t="n">
        <f aca="false">IF(INDEX(選手一覧!$D$7:$D$2738,$F345)="","",INDEX(選手一覧!$D$7:$D$2738,$F345))</f>
        <v>0.0106128472222222</v>
      </c>
      <c r="H345" s="17" t="n">
        <f aca="false">IF(INDEX(選手一覧!$E$7:$E$2738,$F345)="","",INDEX(選手一覧!$E$7:$E$2738,$F345))</f>
        <v>482</v>
      </c>
      <c r="I345" s="16" t="n">
        <f aca="false">IF(INDEX(選手一覧!$H$7:$H$2738,$F345)="","",INDEX(選手一覧!$H$7:$H$2738,$F345))</f>
        <v>0.00723171296296296</v>
      </c>
      <c r="J345" s="17" t="n">
        <f aca="false">IF(INDEX(選手一覧!$I$7:$I$2738,$F345)="","",INDEX(選手一覧!$I$7:$I$2738,$F345))</f>
        <v>576</v>
      </c>
    </row>
    <row r="346" customFormat="false" ht="15" hidden="false" customHeight="false" outlineLevel="0" collapsed="false">
      <c r="A346" s="17" t="n">
        <v>342</v>
      </c>
      <c r="B346" s="12" t="s">
        <v>608</v>
      </c>
      <c r="C346" s="12" t="s">
        <v>609</v>
      </c>
      <c r="D346" s="16" t="n">
        <v>0.00281458333333333</v>
      </c>
      <c r="E346" s="15" t="n">
        <f aca="false">ROUND((D346-$D$5)*86400,2)</f>
        <v>18.15</v>
      </c>
      <c r="F346" s="17" t="n">
        <v>327</v>
      </c>
      <c r="G346" s="16" t="n">
        <f aca="false">IF(INDEX(選手一覧!$D$7:$D$2738,$F346)="","",INDEX(選手一覧!$D$7:$D$2738,$F346))</f>
        <v>0.0104847222222222</v>
      </c>
      <c r="H346" s="17" t="n">
        <f aca="false">IF(INDEX(選手一覧!$E$7:$E$2738,$F346)="","",INDEX(選手一覧!$E$7:$E$2738,$F346))</f>
        <v>328</v>
      </c>
      <c r="I346" s="16" t="n">
        <f aca="false">IF(INDEX(選手一覧!$H$7:$H$2738,$F346)="","",INDEX(選手一覧!$H$7:$H$2738,$F346))</f>
        <v>0.00649502314814815</v>
      </c>
      <c r="J346" s="17" t="n">
        <f aca="false">IF(INDEX(選手一覧!$I$7:$I$2738,$F346)="","",INDEX(選手一覧!$I$7:$I$2738,$F346))</f>
        <v>34</v>
      </c>
    </row>
    <row r="347" customFormat="false" ht="15" hidden="false" customHeight="false" outlineLevel="0" collapsed="false">
      <c r="A347" s="17" t="n">
        <v>343</v>
      </c>
      <c r="B347" s="12" t="s">
        <v>2274</v>
      </c>
      <c r="C347" s="12" t="s">
        <v>316</v>
      </c>
      <c r="D347" s="16" t="n">
        <v>0.00281493055555556</v>
      </c>
      <c r="E347" s="15" t="n">
        <f aca="false">ROUND((D347-$D$5)*86400,2)</f>
        <v>18.18</v>
      </c>
      <c r="F347" s="17" t="n">
        <v>1446</v>
      </c>
      <c r="G347" s="16" t="str">
        <f aca="false">IF(INDEX(選手一覧!$D$7:$D$2738,$F347)="","",INDEX(選手一覧!$D$7:$D$2738,$F347))</f>
        <v/>
      </c>
      <c r="H347" s="17" t="str">
        <f aca="false">IF(INDEX(選手一覧!$E$7:$E$2738,$F347)="","",INDEX(選手一覧!$E$7:$E$2738,$F347))</f>
        <v/>
      </c>
      <c r="I347" s="16" t="n">
        <f aca="false">IF(INDEX(選手一覧!$H$7:$H$2738,$F347)="","",INDEX(選手一覧!$H$7:$H$2738,$F347))</f>
        <v>0.00711736111111111</v>
      </c>
      <c r="J347" s="17" t="n">
        <f aca="false">IF(INDEX(選手一覧!$I$7:$I$2738,$F347)="","",INDEX(選手一覧!$I$7:$I$2738,$F347))</f>
        <v>463</v>
      </c>
    </row>
    <row r="348" customFormat="false" ht="15" hidden="false" customHeight="false" outlineLevel="0" collapsed="false">
      <c r="A348" s="17" t="n">
        <v>344</v>
      </c>
      <c r="B348" s="12" t="s">
        <v>683</v>
      </c>
      <c r="C348" s="12" t="s">
        <v>107</v>
      </c>
      <c r="D348" s="16" t="n">
        <v>0.00281574074074074</v>
      </c>
      <c r="E348" s="15" t="n">
        <f aca="false">ROUND((D348-$D$5)*86400,2)</f>
        <v>18.25</v>
      </c>
      <c r="F348" s="17" t="n">
        <v>376</v>
      </c>
      <c r="G348" s="16" t="n">
        <f aca="false">IF(INDEX(選手一覧!$D$7:$D$2738,$F348)="","",INDEX(選手一覧!$D$7:$D$2738,$F348))</f>
        <v>0.0105350694444444</v>
      </c>
      <c r="H348" s="17" t="n">
        <f aca="false">IF(INDEX(選手一覧!$E$7:$E$2738,$F348)="","",INDEX(選手一覧!$E$7:$E$2738,$F348))</f>
        <v>377</v>
      </c>
      <c r="I348" s="16" t="str">
        <f aca="false">IF(INDEX(選手一覧!$H$7:$H$2738,$F348)="","",INDEX(選手一覧!$H$7:$H$2738,$F348))</f>
        <v/>
      </c>
      <c r="J348" s="17" t="str">
        <f aca="false">IF(INDEX(選手一覧!$I$7:$I$2738,$F348)="","",INDEX(選手一覧!$I$7:$I$2738,$F348))</f>
        <v/>
      </c>
    </row>
    <row r="349" customFormat="false" ht="15" hidden="false" customHeight="false" outlineLevel="0" collapsed="false">
      <c r="A349" s="17" t="n">
        <v>345</v>
      </c>
      <c r="B349" s="12" t="s">
        <v>2278</v>
      </c>
      <c r="C349" s="12" t="s">
        <v>2279</v>
      </c>
      <c r="D349" s="16" t="n">
        <v>0.00281631944444445</v>
      </c>
      <c r="E349" s="15" t="n">
        <f aca="false">ROUND((D349-$D$5)*86400,2)</f>
        <v>18.3</v>
      </c>
      <c r="F349" s="17" t="n">
        <v>1449</v>
      </c>
      <c r="G349" s="16" t="str">
        <f aca="false">IF(INDEX(選手一覧!$D$7:$D$2738,$F349)="","",INDEX(選手一覧!$D$7:$D$2738,$F349))</f>
        <v/>
      </c>
      <c r="H349" s="17" t="str">
        <f aca="false">IF(INDEX(選手一覧!$E$7:$E$2738,$F349)="","",INDEX(選手一覧!$E$7:$E$2738,$F349))</f>
        <v/>
      </c>
      <c r="I349" s="16" t="str">
        <f aca="false">IF(INDEX(選手一覧!$H$7:$H$2738,$F349)="","",INDEX(選手一覧!$H$7:$H$2738,$F349))</f>
        <v/>
      </c>
      <c r="J349" s="17" t="str">
        <f aca="false">IF(INDEX(選手一覧!$I$7:$I$2738,$F349)="","",INDEX(選手一覧!$I$7:$I$2738,$F349))</f>
        <v/>
      </c>
    </row>
    <row r="350" customFormat="false" ht="15" hidden="false" customHeight="false" outlineLevel="0" collapsed="false">
      <c r="A350" s="17" t="n">
        <v>346</v>
      </c>
      <c r="B350" s="12" t="s">
        <v>233</v>
      </c>
      <c r="C350" s="12" t="s">
        <v>123</v>
      </c>
      <c r="D350" s="16" t="n">
        <v>0.00281643518518519</v>
      </c>
      <c r="E350" s="15" t="n">
        <f aca="false">ROUND((D350-$D$5)*86400,2)</f>
        <v>18.31</v>
      </c>
      <c r="F350" s="17" t="n">
        <v>110</v>
      </c>
      <c r="G350" s="16" t="n">
        <f aca="false">IF(INDEX(選手一覧!$D$7:$D$2738,$F350)="","",INDEX(選手一覧!$D$7:$D$2738,$F350))</f>
        <v>0.0102291666666667</v>
      </c>
      <c r="H350" s="17" t="n">
        <f aca="false">IF(INDEX(選手一覧!$E$7:$E$2738,$F350)="","",INDEX(選手一覧!$E$7:$E$2738,$F350))</f>
        <v>111</v>
      </c>
      <c r="I350" s="16" t="str">
        <f aca="false">IF(INDEX(選手一覧!$H$7:$H$2738,$F350)="","",INDEX(選手一覧!$H$7:$H$2738,$F350))</f>
        <v/>
      </c>
      <c r="J350" s="17" t="str">
        <f aca="false">IF(INDEX(選手一覧!$I$7:$I$2738,$F350)="","",INDEX(選手一覧!$I$7:$I$2738,$F350))</f>
        <v/>
      </c>
    </row>
    <row r="351" customFormat="false" ht="15" hidden="false" customHeight="false" outlineLevel="0" collapsed="false">
      <c r="A351" s="17" t="n">
        <v>347</v>
      </c>
      <c r="B351" s="12" t="s">
        <v>2084</v>
      </c>
      <c r="C351" s="12" t="s">
        <v>2085</v>
      </c>
      <c r="D351" s="16" t="n">
        <v>0.00281643518518519</v>
      </c>
      <c r="E351" s="15" t="n">
        <f aca="false">ROUND((D351-$D$5)*86400,2)</f>
        <v>18.31</v>
      </c>
      <c r="F351" s="17" t="n">
        <v>1322</v>
      </c>
      <c r="G351" s="16" t="str">
        <f aca="false">IF(INDEX(選手一覧!$D$7:$D$2738,$F351)="","",INDEX(選手一覧!$D$7:$D$2738,$F351))</f>
        <v/>
      </c>
      <c r="H351" s="17" t="str">
        <f aca="false">IF(INDEX(選手一覧!$E$7:$E$2738,$F351)="","",INDEX(選手一覧!$E$7:$E$2738,$F351))</f>
        <v/>
      </c>
      <c r="I351" s="16" t="n">
        <f aca="false">IF(INDEX(選手一覧!$H$7:$H$2738,$F351)="","",INDEX(選手一覧!$H$7:$H$2738,$F351))</f>
        <v>0.00678368055555556</v>
      </c>
      <c r="J351" s="17" t="n">
        <f aca="false">IF(INDEX(選手一覧!$I$7:$I$2738,$F351)="","",INDEX(選手一覧!$I$7:$I$2738,$F351))</f>
        <v>159</v>
      </c>
    </row>
    <row r="352" customFormat="false" ht="15" hidden="false" customHeight="false" outlineLevel="0" collapsed="false">
      <c r="A352" s="17" t="n">
        <v>348</v>
      </c>
      <c r="B352" s="12" t="s">
        <v>889</v>
      </c>
      <c r="C352" s="12" t="s">
        <v>37</v>
      </c>
      <c r="D352" s="16" t="n">
        <v>0.00281655092592593</v>
      </c>
      <c r="E352" s="15" t="n">
        <f aca="false">ROUND((D352-$D$5)*86400,2)</f>
        <v>18.32</v>
      </c>
      <c r="F352" s="17" t="n">
        <v>505</v>
      </c>
      <c r="G352" s="16" t="n">
        <f aca="false">IF(INDEX(選手一覧!$D$7:$D$2738,$F352)="","",INDEX(選手一覧!$D$7:$D$2738,$F352))</f>
        <v>0.0106325231481482</v>
      </c>
      <c r="H352" s="17" t="n">
        <f aca="false">IF(INDEX(選手一覧!$E$7:$E$2738,$F352)="","",INDEX(選手一覧!$E$7:$E$2738,$F352))</f>
        <v>506</v>
      </c>
      <c r="I352" s="16" t="str">
        <f aca="false">IF(INDEX(選手一覧!$H$7:$H$2738,$F352)="","",INDEX(選手一覧!$H$7:$H$2738,$F352))</f>
        <v/>
      </c>
      <c r="J352" s="17" t="str">
        <f aca="false">IF(INDEX(選手一覧!$I$7:$I$2738,$F352)="","",INDEX(選手一覧!$I$7:$I$2738,$F352))</f>
        <v/>
      </c>
    </row>
    <row r="353" customFormat="false" ht="15" hidden="false" customHeight="false" outlineLevel="0" collapsed="false">
      <c r="A353" s="17" t="n">
        <v>349</v>
      </c>
      <c r="B353" s="12" t="s">
        <v>2288</v>
      </c>
      <c r="C353" s="12" t="s">
        <v>2289</v>
      </c>
      <c r="D353" s="16" t="n">
        <v>0.00281689814814815</v>
      </c>
      <c r="E353" s="15" t="n">
        <f aca="false">ROUND((D353-$D$5)*86400,2)</f>
        <v>18.35</v>
      </c>
      <c r="F353" s="17" t="n">
        <v>1454</v>
      </c>
      <c r="G353" s="16" t="str">
        <f aca="false">IF(INDEX(選手一覧!$D$7:$D$2738,$F353)="","",INDEX(選手一覧!$D$7:$D$2738,$F353))</f>
        <v/>
      </c>
      <c r="H353" s="17" t="str">
        <f aca="false">IF(INDEX(選手一覧!$E$7:$E$2738,$F353)="","",INDEX(選手一覧!$E$7:$E$2738,$F353))</f>
        <v/>
      </c>
      <c r="I353" s="16" t="str">
        <f aca="false">IF(INDEX(選手一覧!$H$7:$H$2738,$F353)="","",INDEX(選手一覧!$H$7:$H$2738,$F353))</f>
        <v/>
      </c>
      <c r="J353" s="17" t="str">
        <f aca="false">IF(INDEX(選手一覧!$I$7:$I$2738,$F353)="","",INDEX(選手一覧!$I$7:$I$2738,$F353))</f>
        <v/>
      </c>
    </row>
    <row r="354" customFormat="false" ht="15" hidden="false" customHeight="false" outlineLevel="0" collapsed="false">
      <c r="A354" s="17" t="n">
        <v>350</v>
      </c>
      <c r="B354" s="12" t="s">
        <v>2292</v>
      </c>
      <c r="C354" s="12" t="s">
        <v>591</v>
      </c>
      <c r="D354" s="16" t="n">
        <v>0.00281689814814815</v>
      </c>
      <c r="E354" s="15" t="n">
        <f aca="false">ROUND((D354-$D$5)*86400,2)</f>
        <v>18.35</v>
      </c>
      <c r="F354" s="17" t="n">
        <v>1456</v>
      </c>
      <c r="G354" s="16" t="str">
        <f aca="false">IF(INDEX(選手一覧!$D$7:$D$2738,$F354)="","",INDEX(選手一覧!$D$7:$D$2738,$F354))</f>
        <v/>
      </c>
      <c r="H354" s="17" t="str">
        <f aca="false">IF(INDEX(選手一覧!$E$7:$E$2738,$F354)="","",INDEX(選手一覧!$E$7:$E$2738,$F354))</f>
        <v/>
      </c>
      <c r="I354" s="16" t="str">
        <f aca="false">IF(INDEX(選手一覧!$H$7:$H$2738,$F354)="","",INDEX(選手一覧!$H$7:$H$2738,$F354))</f>
        <v/>
      </c>
      <c r="J354" s="17" t="str">
        <f aca="false">IF(INDEX(選手一覧!$I$7:$I$2738,$F354)="","",INDEX(選手一覧!$I$7:$I$2738,$F354))</f>
        <v/>
      </c>
    </row>
    <row r="355" customFormat="false" ht="15" hidden="false" customHeight="false" outlineLevel="0" collapsed="false">
      <c r="A355" s="17" t="n">
        <v>351</v>
      </c>
      <c r="B355" s="12" t="s">
        <v>636</v>
      </c>
      <c r="C355" s="12" t="s">
        <v>37</v>
      </c>
      <c r="D355" s="16" t="n">
        <v>0.00281712962962963</v>
      </c>
      <c r="E355" s="15" t="n">
        <f aca="false">ROUND((D355-$D$5)*86400,2)</f>
        <v>18.37</v>
      </c>
      <c r="F355" s="17" t="n">
        <v>343</v>
      </c>
      <c r="G355" s="16" t="n">
        <f aca="false">IF(INDEX(選手一覧!$D$7:$D$2738,$F355)="","",INDEX(選手一覧!$D$7:$D$2738,$F355))</f>
        <v>0.0105041666666667</v>
      </c>
      <c r="H355" s="17" t="n">
        <f aca="false">IF(INDEX(選手一覧!$E$7:$E$2738,$F355)="","",INDEX(選手一覧!$E$7:$E$2738,$F355))</f>
        <v>344</v>
      </c>
      <c r="I355" s="16" t="str">
        <f aca="false">IF(INDEX(選手一覧!$H$7:$H$2738,$F355)="","",INDEX(選手一覧!$H$7:$H$2738,$F355))</f>
        <v/>
      </c>
      <c r="J355" s="17" t="str">
        <f aca="false">IF(INDEX(選手一覧!$I$7:$I$2738,$F355)="","",INDEX(選手一覧!$I$7:$I$2738,$F355))</f>
        <v/>
      </c>
    </row>
    <row r="356" customFormat="false" ht="15" hidden="false" customHeight="false" outlineLevel="0" collapsed="false">
      <c r="A356" s="17" t="n">
        <v>352</v>
      </c>
      <c r="B356" s="12" t="s">
        <v>2296</v>
      </c>
      <c r="C356" s="12" t="s">
        <v>212</v>
      </c>
      <c r="D356" s="16" t="n">
        <v>0.00281759259259259</v>
      </c>
      <c r="E356" s="15" t="n">
        <f aca="false">ROUND((D356-$D$5)*86400,2)</f>
        <v>18.41</v>
      </c>
      <c r="F356" s="17" t="n">
        <v>1459</v>
      </c>
      <c r="G356" s="16" t="str">
        <f aca="false">IF(INDEX(選手一覧!$D$7:$D$2738,$F356)="","",INDEX(選手一覧!$D$7:$D$2738,$F356))</f>
        <v/>
      </c>
      <c r="H356" s="17" t="str">
        <f aca="false">IF(INDEX(選手一覧!$E$7:$E$2738,$F356)="","",INDEX(選手一覧!$E$7:$E$2738,$F356))</f>
        <v/>
      </c>
      <c r="I356" s="16" t="str">
        <f aca="false">IF(INDEX(選手一覧!$H$7:$H$2738,$F356)="","",INDEX(選手一覧!$H$7:$H$2738,$F356))</f>
        <v/>
      </c>
      <c r="J356" s="17" t="str">
        <f aca="false">IF(INDEX(選手一覧!$I$7:$I$2738,$F356)="","",INDEX(選手一覧!$I$7:$I$2738,$F356))</f>
        <v/>
      </c>
    </row>
    <row r="357" customFormat="false" ht="15" hidden="false" customHeight="false" outlineLevel="0" collapsed="false">
      <c r="A357" s="17" t="n">
        <v>353</v>
      </c>
      <c r="B357" s="12" t="s">
        <v>1561</v>
      </c>
      <c r="C357" s="12" t="s">
        <v>323</v>
      </c>
      <c r="D357" s="16" t="n">
        <v>0.00281759259259259</v>
      </c>
      <c r="E357" s="15" t="n">
        <f aca="false">ROUND((D357-$D$5)*86400,2)</f>
        <v>18.41</v>
      </c>
      <c r="F357" s="17" t="n">
        <v>954</v>
      </c>
      <c r="G357" s="16" t="n">
        <f aca="false">IF(INDEX(選手一覧!$D$7:$D$2738,$F357)="","",INDEX(選手一覧!$D$7:$D$2738,$F357))</f>
        <v>0.0109229166666667</v>
      </c>
      <c r="H357" s="17" t="n">
        <f aca="false">IF(INDEX(選手一覧!$E$7:$E$2738,$F357)="","",INDEX(選手一覧!$E$7:$E$2738,$F357))</f>
        <v>955</v>
      </c>
      <c r="I357" s="16" t="n">
        <f aca="false">IF(INDEX(選手一覧!$H$7:$H$2738,$F357)="","",INDEX(選手一覧!$H$7:$H$2738,$F357))</f>
        <v>0.00720891203703704</v>
      </c>
      <c r="J357" s="17" t="n">
        <f aca="false">IF(INDEX(選手一覧!$I$7:$I$2738,$F357)="","",INDEX(選手一覧!$I$7:$I$2738,$F357))</f>
        <v>545</v>
      </c>
    </row>
    <row r="358" customFormat="false" ht="15" hidden="false" customHeight="false" outlineLevel="0" collapsed="false">
      <c r="A358" s="17" t="n">
        <v>354</v>
      </c>
      <c r="B358" s="12" t="s">
        <v>792</v>
      </c>
      <c r="C358" s="12" t="s">
        <v>589</v>
      </c>
      <c r="D358" s="16" t="n">
        <v>0.00281782407407407</v>
      </c>
      <c r="E358" s="15" t="n">
        <f aca="false">ROUND((D358-$D$5)*86400,2)</f>
        <v>18.43</v>
      </c>
      <c r="F358" s="17" t="n">
        <v>443</v>
      </c>
      <c r="G358" s="16" t="n">
        <f aca="false">IF(INDEX(選手一覧!$D$7:$D$2738,$F358)="","",INDEX(選手一覧!$D$7:$D$2738,$F358))</f>
        <v>0.0105849537037037</v>
      </c>
      <c r="H358" s="17" t="n">
        <f aca="false">IF(INDEX(選手一覧!$E$7:$E$2738,$F358)="","",INDEX(選手一覧!$E$7:$E$2738,$F358))</f>
        <v>444</v>
      </c>
      <c r="I358" s="16" t="str">
        <f aca="false">IF(INDEX(選手一覧!$H$7:$H$2738,$F358)="","",INDEX(選手一覧!$H$7:$H$2738,$F358))</f>
        <v/>
      </c>
      <c r="J358" s="17" t="str">
        <f aca="false">IF(INDEX(選手一覧!$I$7:$I$2738,$F358)="","",INDEX(選手一覧!$I$7:$I$2738,$F358))</f>
        <v/>
      </c>
    </row>
    <row r="359" customFormat="false" ht="15" hidden="false" customHeight="false" outlineLevel="0" collapsed="false">
      <c r="A359" s="17" t="n">
        <v>355</v>
      </c>
      <c r="B359" s="12" t="s">
        <v>202</v>
      </c>
      <c r="C359" s="12" t="s">
        <v>199</v>
      </c>
      <c r="D359" s="16" t="n">
        <v>0.0028181712962963</v>
      </c>
      <c r="E359" s="15" t="n">
        <f aca="false">ROUND((D359-$D$5)*86400,2)</f>
        <v>18.46</v>
      </c>
      <c r="F359" s="17" t="n">
        <v>91</v>
      </c>
      <c r="G359" s="16" t="n">
        <f aca="false">IF(INDEX(選手一覧!$D$7:$D$2738,$F359)="","",INDEX(選手一覧!$D$7:$D$2738,$F359))</f>
        <v>0.0101917824074074</v>
      </c>
      <c r="H359" s="17" t="n">
        <f aca="false">IF(INDEX(選手一覧!$E$7:$E$2738,$F359)="","",INDEX(選手一覧!$E$7:$E$2738,$F359))</f>
        <v>92</v>
      </c>
      <c r="I359" s="16" t="str">
        <f aca="false">IF(INDEX(選手一覧!$H$7:$H$2738,$F359)="","",INDEX(選手一覧!$H$7:$H$2738,$F359))</f>
        <v/>
      </c>
      <c r="J359" s="17" t="str">
        <f aca="false">IF(INDEX(選手一覧!$I$7:$I$2738,$F359)="","",INDEX(選手一覧!$I$7:$I$2738,$F359))</f>
        <v/>
      </c>
    </row>
    <row r="360" customFormat="false" ht="15" hidden="false" customHeight="false" outlineLevel="0" collapsed="false">
      <c r="A360" s="17" t="n">
        <v>356</v>
      </c>
      <c r="B360" s="12" t="s">
        <v>2299</v>
      </c>
      <c r="C360" s="12" t="s">
        <v>2300</v>
      </c>
      <c r="D360" s="16" t="n">
        <v>0.00281840277777778</v>
      </c>
      <c r="E360" s="15" t="n">
        <f aca="false">ROUND((D360-$D$5)*86400,2)</f>
        <v>18.48</v>
      </c>
      <c r="F360" s="17" t="n">
        <v>1461</v>
      </c>
      <c r="G360" s="16" t="str">
        <f aca="false">IF(INDEX(選手一覧!$D$7:$D$2738,$F360)="","",INDEX(選手一覧!$D$7:$D$2738,$F360))</f>
        <v/>
      </c>
      <c r="H360" s="17" t="str">
        <f aca="false">IF(INDEX(選手一覧!$E$7:$E$2738,$F360)="","",INDEX(選手一覧!$E$7:$E$2738,$F360))</f>
        <v/>
      </c>
      <c r="I360" s="16" t="str">
        <f aca="false">IF(INDEX(選手一覧!$H$7:$H$2738,$F360)="","",INDEX(選手一覧!$H$7:$H$2738,$F360))</f>
        <v/>
      </c>
      <c r="J360" s="17" t="str">
        <f aca="false">IF(INDEX(選手一覧!$I$7:$I$2738,$F360)="","",INDEX(選手一覧!$I$7:$I$2738,$F360))</f>
        <v/>
      </c>
    </row>
    <row r="361" customFormat="false" ht="15" hidden="false" customHeight="false" outlineLevel="0" collapsed="false">
      <c r="A361" s="17" t="n">
        <v>357</v>
      </c>
      <c r="B361" s="12" t="s">
        <v>923</v>
      </c>
      <c r="C361" s="12" t="s">
        <v>186</v>
      </c>
      <c r="D361" s="16" t="n">
        <v>0.00281875</v>
      </c>
      <c r="E361" s="15" t="n">
        <f aca="false">ROUND((D361-$D$5)*86400,2)</f>
        <v>18.51</v>
      </c>
      <c r="F361" s="17" t="n">
        <v>526</v>
      </c>
      <c r="G361" s="16" t="n">
        <f aca="false">IF(INDEX(選手一覧!$D$7:$D$2738,$F361)="","",INDEX(選手一覧!$D$7:$D$2738,$F361))</f>
        <v>0.0106516203703704</v>
      </c>
      <c r="H361" s="17" t="n">
        <f aca="false">IF(INDEX(選手一覧!$E$7:$E$2738,$F361)="","",INDEX(選手一覧!$E$7:$E$2738,$F361))</f>
        <v>527</v>
      </c>
      <c r="I361" s="16" t="str">
        <f aca="false">IF(INDEX(選手一覧!$H$7:$H$2738,$F361)="","",INDEX(選手一覧!$H$7:$H$2738,$F361))</f>
        <v/>
      </c>
      <c r="J361" s="17" t="str">
        <f aca="false">IF(INDEX(選手一覧!$I$7:$I$2738,$F361)="","",INDEX(選手一覧!$I$7:$I$2738,$F361))</f>
        <v/>
      </c>
    </row>
    <row r="362" customFormat="false" ht="15" hidden="false" customHeight="false" outlineLevel="0" collapsed="false">
      <c r="A362" s="17" t="n">
        <v>358</v>
      </c>
      <c r="B362" s="12" t="s">
        <v>1651</v>
      </c>
      <c r="C362" s="12" t="s">
        <v>1284</v>
      </c>
      <c r="D362" s="16" t="n">
        <v>0.00281886574074074</v>
      </c>
      <c r="E362" s="15" t="n">
        <f aca="false">ROUND((D362-$D$5)*86400,2)</f>
        <v>18.52</v>
      </c>
      <c r="F362" s="17" t="n">
        <v>1016</v>
      </c>
      <c r="G362" s="16" t="n">
        <f aca="false">IF(INDEX(選手一覧!$D$7:$D$2738,$F362)="","",INDEX(選手一覧!$D$7:$D$2738,$F362))</f>
        <v>0.0109570601851852</v>
      </c>
      <c r="H362" s="17" t="n">
        <f aca="false">IF(INDEX(選手一覧!$E$7:$E$2738,$F362)="","",INDEX(選手一覧!$E$7:$E$2738,$F362))</f>
        <v>1017</v>
      </c>
      <c r="I362" s="16" t="str">
        <f aca="false">IF(INDEX(選手一覧!$H$7:$H$2738,$F362)="","",INDEX(選手一覧!$H$7:$H$2738,$F362))</f>
        <v/>
      </c>
      <c r="J362" s="17" t="str">
        <f aca="false">IF(INDEX(選手一覧!$I$7:$I$2738,$F362)="","",INDEX(選手一覧!$I$7:$I$2738,$F362))</f>
        <v/>
      </c>
    </row>
    <row r="363" customFormat="false" ht="15" hidden="false" customHeight="false" outlineLevel="0" collapsed="false">
      <c r="A363" s="17" t="n">
        <v>359</v>
      </c>
      <c r="B363" s="12" t="s">
        <v>635</v>
      </c>
      <c r="C363" s="12" t="s">
        <v>135</v>
      </c>
      <c r="D363" s="16" t="n">
        <v>0.00281898148148148</v>
      </c>
      <c r="E363" s="15" t="n">
        <f aca="false">ROUND((D363-$D$5)*86400,2)</f>
        <v>18.53</v>
      </c>
      <c r="F363" s="17" t="n">
        <v>342</v>
      </c>
      <c r="G363" s="16" t="n">
        <f aca="false">IF(INDEX(選手一覧!$D$7:$D$2738,$F363)="","",INDEX(選手一覧!$D$7:$D$2738,$F363))</f>
        <v>0.0105037037037037</v>
      </c>
      <c r="H363" s="17" t="n">
        <f aca="false">IF(INDEX(選手一覧!$E$7:$E$2738,$F363)="","",INDEX(選手一覧!$E$7:$E$2738,$F363))</f>
        <v>343</v>
      </c>
      <c r="I363" s="16" t="n">
        <f aca="false">IF(INDEX(選手一覧!$H$7:$H$2738,$F363)="","",INDEX(選手一覧!$H$7:$H$2738,$F363))</f>
        <v>0.00676122685185185</v>
      </c>
      <c r="J363" s="17" t="n">
        <f aca="false">IF(INDEX(選手一覧!$I$7:$I$2738,$F363)="","",INDEX(選手一覧!$I$7:$I$2738,$F363))</f>
        <v>137</v>
      </c>
    </row>
    <row r="364" customFormat="false" ht="15" hidden="false" customHeight="false" outlineLevel="0" collapsed="false">
      <c r="A364" s="17" t="n">
        <v>360</v>
      </c>
      <c r="B364" s="12" t="s">
        <v>427</v>
      </c>
      <c r="C364" s="12" t="s">
        <v>199</v>
      </c>
      <c r="D364" s="16" t="n">
        <v>0.00281921296296296</v>
      </c>
      <c r="E364" s="15" t="n">
        <f aca="false">ROUND((D364-$D$5)*86400,2)</f>
        <v>18.55</v>
      </c>
      <c r="F364" s="17" t="n">
        <v>218</v>
      </c>
      <c r="G364" s="16" t="n">
        <f aca="false">IF(INDEX(選手一覧!$D$7:$D$2738,$F364)="","",INDEX(選手一覧!$D$7:$D$2738,$F364))</f>
        <v>0.0103614583333333</v>
      </c>
      <c r="H364" s="17" t="n">
        <f aca="false">IF(INDEX(選手一覧!$E$7:$E$2738,$F364)="","",INDEX(選手一覧!$E$7:$E$2738,$F364))</f>
        <v>219</v>
      </c>
      <c r="I364" s="16" t="str">
        <f aca="false">IF(INDEX(選手一覧!$H$7:$H$2738,$F364)="","",INDEX(選手一覧!$H$7:$H$2738,$F364))</f>
        <v/>
      </c>
      <c r="J364" s="17" t="str">
        <f aca="false">IF(INDEX(選手一覧!$I$7:$I$2738,$F364)="","",INDEX(選手一覧!$I$7:$I$2738,$F364))</f>
        <v/>
      </c>
    </row>
    <row r="365" customFormat="false" ht="15" hidden="false" customHeight="false" outlineLevel="0" collapsed="false">
      <c r="A365" s="17" t="n">
        <v>361</v>
      </c>
      <c r="B365" s="12" t="s">
        <v>1805</v>
      </c>
      <c r="C365" s="12" t="s">
        <v>1286</v>
      </c>
      <c r="D365" s="16" t="n">
        <v>0.00281956018518519</v>
      </c>
      <c r="E365" s="15" t="n">
        <f aca="false">ROUND((D365-$D$5)*86400,2)</f>
        <v>18.58</v>
      </c>
      <c r="F365" s="17" t="n">
        <v>1118</v>
      </c>
      <c r="G365" s="16" t="n">
        <f aca="false">IF(INDEX(選手一覧!$D$7:$D$2738,$F365)="","",INDEX(選手一覧!$D$7:$D$2738,$F365))</f>
        <v>0.0110159722222222</v>
      </c>
      <c r="H365" s="17" t="n">
        <f aca="false">IF(INDEX(選手一覧!$E$7:$E$2738,$F365)="","",INDEX(選手一覧!$E$7:$E$2738,$F365))</f>
        <v>1119</v>
      </c>
      <c r="I365" s="16" t="str">
        <f aca="false">IF(INDEX(選手一覧!$H$7:$H$2738,$F365)="","",INDEX(選手一覧!$H$7:$H$2738,$F365))</f>
        <v/>
      </c>
      <c r="J365" s="17" t="str">
        <f aca="false">IF(INDEX(選手一覧!$I$7:$I$2738,$F365)="","",INDEX(選手一覧!$I$7:$I$2738,$F365))</f>
        <v/>
      </c>
    </row>
    <row r="366" customFormat="false" ht="15" hidden="false" customHeight="false" outlineLevel="0" collapsed="false">
      <c r="A366" s="17" t="n">
        <v>362</v>
      </c>
      <c r="B366" s="12" t="s">
        <v>734</v>
      </c>
      <c r="C366" s="12" t="s">
        <v>123</v>
      </c>
      <c r="D366" s="16" t="n">
        <v>0.00281990740740741</v>
      </c>
      <c r="E366" s="15" t="n">
        <f aca="false">ROUND((D366-$D$5)*86400,2)</f>
        <v>18.61</v>
      </c>
      <c r="F366" s="17" t="n">
        <v>407</v>
      </c>
      <c r="G366" s="16" t="n">
        <f aca="false">IF(INDEX(選手一覧!$D$7:$D$2738,$F366)="","",INDEX(選手一覧!$D$7:$D$2738,$F366))</f>
        <v>0.010559375</v>
      </c>
      <c r="H366" s="17" t="n">
        <f aca="false">IF(INDEX(選手一覧!$E$7:$E$2738,$F366)="","",INDEX(選手一覧!$E$7:$E$2738,$F366))</f>
        <v>408</v>
      </c>
      <c r="I366" s="16" t="n">
        <f aca="false">IF(INDEX(選手一覧!$H$7:$H$2738,$F366)="","",INDEX(選手一覧!$H$7:$H$2738,$F366))</f>
        <v>0.006721875</v>
      </c>
      <c r="J366" s="17" t="n">
        <f aca="false">IF(INDEX(選手一覧!$I$7:$I$2738,$F366)="","",INDEX(選手一覧!$I$7:$I$2738,$F366))</f>
        <v>115</v>
      </c>
    </row>
    <row r="367" customFormat="false" ht="15" hidden="false" customHeight="false" outlineLevel="0" collapsed="false">
      <c r="A367" s="17" t="n">
        <v>363</v>
      </c>
      <c r="B367" s="12" t="s">
        <v>1848</v>
      </c>
      <c r="C367" s="12" t="s">
        <v>406</v>
      </c>
      <c r="D367" s="16" t="n">
        <v>0.00282037037037037</v>
      </c>
      <c r="E367" s="15" t="n">
        <f aca="false">ROUND((D367-$D$5)*86400,2)</f>
        <v>18.65</v>
      </c>
      <c r="F367" s="17" t="n">
        <v>1147</v>
      </c>
      <c r="G367" s="16" t="n">
        <f aca="false">IF(INDEX(選手一覧!$D$7:$D$2738,$F367)="","",INDEX(選手一覧!$D$7:$D$2738,$F367))</f>
        <v>0.0110284722222222</v>
      </c>
      <c r="H367" s="17" t="n">
        <f aca="false">IF(INDEX(選手一覧!$E$7:$E$2738,$F367)="","",INDEX(選手一覧!$E$7:$E$2738,$F367))</f>
        <v>1148</v>
      </c>
      <c r="I367" s="16" t="n">
        <f aca="false">IF(INDEX(選手一覧!$H$7:$H$2738,$F367)="","",INDEX(選手一覧!$H$7:$H$2738,$F367))</f>
        <v>0.00709537037037037</v>
      </c>
      <c r="J367" s="17" t="n">
        <f aca="false">IF(INDEX(選手一覧!$I$7:$I$2738,$F367)="","",INDEX(選手一覧!$I$7:$I$2738,$F367))</f>
        <v>443</v>
      </c>
    </row>
    <row r="368" customFormat="false" ht="15" hidden="false" customHeight="false" outlineLevel="0" collapsed="false">
      <c r="A368" s="17" t="n">
        <v>364</v>
      </c>
      <c r="B368" s="12" t="s">
        <v>897</v>
      </c>
      <c r="C368" s="12" t="s">
        <v>898</v>
      </c>
      <c r="D368" s="16" t="n">
        <v>0.00282048611111111</v>
      </c>
      <c r="E368" s="15" t="n">
        <f aca="false">ROUND((D368-$D$5)*86400,2)</f>
        <v>18.66</v>
      </c>
      <c r="F368" s="17" t="n">
        <v>510</v>
      </c>
      <c r="G368" s="16" t="n">
        <f aca="false">IF(INDEX(選手一覧!$D$7:$D$2738,$F368)="","",INDEX(選手一覧!$D$7:$D$2738,$F368))</f>
        <v>0.0106412037037037</v>
      </c>
      <c r="H368" s="17" t="n">
        <f aca="false">IF(INDEX(選手一覧!$E$7:$E$2738,$F368)="","",INDEX(選手一覧!$E$7:$E$2738,$F368))</f>
        <v>511</v>
      </c>
      <c r="I368" s="16" t="n">
        <f aca="false">IF(INDEX(選手一覧!$H$7:$H$2738,$F368)="","",INDEX(選手一覧!$H$7:$H$2738,$F368))</f>
        <v>0.00674803240740741</v>
      </c>
      <c r="J368" s="17" t="n">
        <f aca="false">IF(INDEX(選手一覧!$I$7:$I$2738,$F368)="","",INDEX(選手一覧!$I$7:$I$2738,$F368))</f>
        <v>126</v>
      </c>
    </row>
    <row r="369" customFormat="false" ht="15" hidden="false" customHeight="false" outlineLevel="0" collapsed="false">
      <c r="A369" s="17" t="n">
        <v>365</v>
      </c>
      <c r="B369" s="12" t="s">
        <v>911</v>
      </c>
      <c r="C369" s="12" t="s">
        <v>912</v>
      </c>
      <c r="D369" s="16" t="n">
        <v>0.00282071759259259</v>
      </c>
      <c r="E369" s="15" t="n">
        <f aca="false">ROUND((D369-$D$5)*86400,2)</f>
        <v>18.68</v>
      </c>
      <c r="F369" s="17" t="n">
        <v>518</v>
      </c>
      <c r="G369" s="16" t="n">
        <f aca="false">IF(INDEX(選手一覧!$D$7:$D$2738,$F369)="","",INDEX(選手一覧!$D$7:$D$2738,$F369))</f>
        <v>0.010646875</v>
      </c>
      <c r="H369" s="17" t="n">
        <f aca="false">IF(INDEX(選手一覧!$E$7:$E$2738,$F369)="","",INDEX(選手一覧!$E$7:$E$2738,$F369))</f>
        <v>519</v>
      </c>
      <c r="I369" s="16" t="n">
        <f aca="false">IF(INDEX(選手一覧!$H$7:$H$2738,$F369)="","",INDEX(選手一覧!$H$7:$H$2738,$F369))</f>
        <v>0.00665532407407407</v>
      </c>
      <c r="J369" s="17" t="n">
        <f aca="false">IF(INDEX(選手一覧!$I$7:$I$2738,$F369)="","",INDEX(選手一覧!$I$7:$I$2738,$F369))</f>
        <v>85</v>
      </c>
    </row>
    <row r="370" customFormat="false" ht="15" hidden="false" customHeight="false" outlineLevel="0" collapsed="false">
      <c r="A370" s="17" t="n">
        <v>366</v>
      </c>
      <c r="B370" s="12" t="s">
        <v>2314</v>
      </c>
      <c r="C370" s="12" t="s">
        <v>2315</v>
      </c>
      <c r="D370" s="16" t="n">
        <v>0.00282071759259259</v>
      </c>
      <c r="E370" s="15" t="n">
        <f aca="false">ROUND((D370-$D$5)*86400,2)</f>
        <v>18.68</v>
      </c>
      <c r="F370" s="17" t="n">
        <v>1470</v>
      </c>
      <c r="G370" s="16" t="str">
        <f aca="false">IF(INDEX(選手一覧!$D$7:$D$2738,$F370)="","",INDEX(選手一覧!$D$7:$D$2738,$F370))</f>
        <v/>
      </c>
      <c r="H370" s="17" t="str">
        <f aca="false">IF(INDEX(選手一覧!$E$7:$E$2738,$F370)="","",INDEX(選手一覧!$E$7:$E$2738,$F370))</f>
        <v/>
      </c>
      <c r="I370" s="16" t="str">
        <f aca="false">IF(INDEX(選手一覧!$H$7:$H$2738,$F370)="","",INDEX(選手一覧!$H$7:$H$2738,$F370))</f>
        <v/>
      </c>
      <c r="J370" s="17" t="str">
        <f aca="false">IF(INDEX(選手一覧!$I$7:$I$2738,$F370)="","",INDEX(選手一覧!$I$7:$I$2738,$F370))</f>
        <v/>
      </c>
    </row>
    <row r="371" customFormat="false" ht="15" hidden="false" customHeight="false" outlineLevel="0" collapsed="false">
      <c r="A371" s="17" t="n">
        <v>367</v>
      </c>
      <c r="B371" s="12" t="s">
        <v>47</v>
      </c>
      <c r="C371" s="12" t="s">
        <v>37</v>
      </c>
      <c r="D371" s="16" t="n">
        <v>0.00282071759259259</v>
      </c>
      <c r="E371" s="15" t="n">
        <f aca="false">ROUND((D371-$D$5)*86400,2)</f>
        <v>18.68</v>
      </c>
      <c r="F371" s="17" t="n">
        <v>10</v>
      </c>
      <c r="G371" s="16" t="n">
        <f aca="false">IF(INDEX(選手一覧!$D$7:$D$2738,$F371)="","",INDEX(選手一覧!$D$7:$D$2738,$F371))</f>
        <v>0.00986527777777778</v>
      </c>
      <c r="H371" s="17" t="n">
        <f aca="false">IF(INDEX(選手一覧!$E$7:$E$2738,$F371)="","",INDEX(選手一覧!$E$7:$E$2738,$F371))</f>
        <v>10</v>
      </c>
      <c r="I371" s="16" t="str">
        <f aca="false">IF(INDEX(選手一覧!$H$7:$H$2738,$F371)="","",INDEX(選手一覧!$H$7:$H$2738,$F371))</f>
        <v/>
      </c>
      <c r="J371" s="17" t="str">
        <f aca="false">IF(INDEX(選手一覧!$I$7:$I$2738,$F371)="","",INDEX(選手一覧!$I$7:$I$2738,$F371))</f>
        <v/>
      </c>
    </row>
    <row r="372" customFormat="false" ht="15" hidden="false" customHeight="false" outlineLevel="0" collapsed="false">
      <c r="A372" s="17" t="n">
        <v>368</v>
      </c>
      <c r="B372" s="12" t="s">
        <v>249</v>
      </c>
      <c r="C372" s="12" t="s">
        <v>1342</v>
      </c>
      <c r="D372" s="16" t="n">
        <v>0.00282083333333333</v>
      </c>
      <c r="E372" s="15" t="n">
        <f aca="false">ROUND((D372-$D$5)*86400,2)</f>
        <v>18.69</v>
      </c>
      <c r="F372" s="17" t="n">
        <v>118</v>
      </c>
      <c r="G372" s="16" t="n">
        <f aca="false">IF(INDEX(選手一覧!$D$7:$D$2738,$F372)="","",INDEX(選手一覧!$D$7:$D$2738,$F372))</f>
        <v>0.0102386574074074</v>
      </c>
      <c r="H372" s="17" t="n">
        <f aca="false">IF(INDEX(選手一覧!$E$7:$E$2738,$F372)="","",INDEX(選手一覧!$E$7:$E$2738,$F372))</f>
        <v>119</v>
      </c>
      <c r="I372" s="16" t="str">
        <f aca="false">IF(INDEX(選手一覧!$H$7:$H$2738,$F372)="","",INDEX(選手一覧!$H$7:$H$2738,$F372))</f>
        <v/>
      </c>
      <c r="J372" s="17" t="str">
        <f aca="false">IF(INDEX(選手一覧!$I$7:$I$2738,$F372)="","",INDEX(選手一覧!$I$7:$I$2738,$F372))</f>
        <v/>
      </c>
    </row>
    <row r="373" customFormat="false" ht="15" hidden="false" customHeight="false" outlineLevel="0" collapsed="false">
      <c r="A373" s="17" t="n">
        <v>369</v>
      </c>
      <c r="B373" s="12" t="s">
        <v>598</v>
      </c>
      <c r="C373" s="12" t="s">
        <v>599</v>
      </c>
      <c r="D373" s="16" t="n">
        <v>0.00282106481481482</v>
      </c>
      <c r="E373" s="15" t="n">
        <f aca="false">ROUND((D373-$D$5)*86400,2)</f>
        <v>18.71</v>
      </c>
      <c r="F373" s="17" t="n">
        <v>320</v>
      </c>
      <c r="G373" s="16" t="n">
        <f aca="false">IF(INDEX(選手一覧!$D$7:$D$2738,$F373)="","",INDEX(選手一覧!$D$7:$D$2738,$F373))</f>
        <v>0.0104758101851852</v>
      </c>
      <c r="H373" s="17" t="n">
        <f aca="false">IF(INDEX(選手一覧!$E$7:$E$2738,$F373)="","",INDEX(選手一覧!$E$7:$E$2738,$F373))</f>
        <v>321</v>
      </c>
      <c r="I373" s="16" t="n">
        <f aca="false">IF(INDEX(選手一覧!$H$7:$H$2738,$F373)="","",INDEX(選手一覧!$H$7:$H$2738,$F373))</f>
        <v>0.0064306712962963</v>
      </c>
      <c r="J373" s="17" t="n">
        <f aca="false">IF(INDEX(選手一覧!$I$7:$I$2738,$F373)="","",INDEX(選手一覧!$I$7:$I$2738,$F373))</f>
        <v>21</v>
      </c>
    </row>
    <row r="374" customFormat="false" ht="15" hidden="false" customHeight="false" outlineLevel="0" collapsed="false">
      <c r="A374" s="17" t="n">
        <v>370</v>
      </c>
      <c r="B374" s="12" t="s">
        <v>1057</v>
      </c>
      <c r="C374" s="12" t="s">
        <v>440</v>
      </c>
      <c r="D374" s="16" t="n">
        <v>0.00282118055555556</v>
      </c>
      <c r="E374" s="15" t="n">
        <f aca="false">ROUND((D374-$D$5)*86400,2)</f>
        <v>18.72</v>
      </c>
      <c r="F374" s="17" t="n">
        <v>618</v>
      </c>
      <c r="G374" s="16" t="n">
        <f aca="false">IF(INDEX(選手一覧!$D$7:$D$2738,$F374)="","",INDEX(選手一覧!$D$7:$D$2738,$F374))</f>
        <v>0.0107232638888889</v>
      </c>
      <c r="H374" s="17" t="n">
        <f aca="false">IF(INDEX(選手一覧!$E$7:$E$2738,$F374)="","",INDEX(選手一覧!$E$7:$E$2738,$F374))</f>
        <v>619</v>
      </c>
      <c r="I374" s="16" t="n">
        <f aca="false">IF(INDEX(選手一覧!$H$7:$H$2738,$F374)="","",INDEX(選手一覧!$H$7:$H$2738,$F374))</f>
        <v>0.00677303240740741</v>
      </c>
      <c r="J374" s="17" t="n">
        <f aca="false">IF(INDEX(選手一覧!$I$7:$I$2738,$F374)="","",INDEX(選手一覧!$I$7:$I$2738,$F374))</f>
        <v>150</v>
      </c>
    </row>
    <row r="375" customFormat="false" ht="15" hidden="false" customHeight="false" outlineLevel="0" collapsed="false">
      <c r="A375" s="17" t="n">
        <v>371</v>
      </c>
      <c r="B375" s="12" t="s">
        <v>1078</v>
      </c>
      <c r="C375" s="12" t="s">
        <v>281</v>
      </c>
      <c r="D375" s="16" t="n">
        <v>0.00282118055555556</v>
      </c>
      <c r="E375" s="15" t="n">
        <f aca="false">ROUND((D375-$D$5)*86400,2)</f>
        <v>18.72</v>
      </c>
      <c r="F375" s="17" t="n">
        <v>633</v>
      </c>
      <c r="G375" s="16" t="n">
        <f aca="false">IF(INDEX(選手一覧!$D$7:$D$2738,$F375)="","",INDEX(選手一覧!$D$7:$D$2738,$F375))</f>
        <v>0.0107315972222222</v>
      </c>
      <c r="H375" s="17" t="n">
        <f aca="false">IF(INDEX(選手一覧!$E$7:$E$2738,$F375)="","",INDEX(選手一覧!$E$7:$E$2738,$F375))</f>
        <v>634</v>
      </c>
      <c r="I375" s="16" t="str">
        <f aca="false">IF(INDEX(選手一覧!$H$7:$H$2738,$F375)="","",INDEX(選手一覧!$H$7:$H$2738,$F375))</f>
        <v/>
      </c>
      <c r="J375" s="17" t="str">
        <f aca="false">IF(INDEX(選手一覧!$I$7:$I$2738,$F375)="","",INDEX(選手一覧!$I$7:$I$2738,$F375))</f>
        <v/>
      </c>
    </row>
    <row r="376" customFormat="false" ht="15" hidden="false" customHeight="false" outlineLevel="0" collapsed="false">
      <c r="A376" s="17" t="n">
        <v>372</v>
      </c>
      <c r="B376" s="12" t="s">
        <v>410</v>
      </c>
      <c r="C376" s="12" t="s">
        <v>228</v>
      </c>
      <c r="D376" s="16" t="n">
        <v>0.00282152777777778</v>
      </c>
      <c r="E376" s="15" t="n">
        <f aca="false">ROUND((D376-$D$5)*86400,2)</f>
        <v>18.75</v>
      </c>
      <c r="F376" s="17" t="n">
        <v>205</v>
      </c>
      <c r="G376" s="16" t="n">
        <f aca="false">IF(INDEX(選手一覧!$D$7:$D$2738,$F376)="","",INDEX(選手一覧!$D$7:$D$2738,$F376))</f>
        <v>0.0103516203703704</v>
      </c>
      <c r="H376" s="17" t="n">
        <f aca="false">IF(INDEX(選手一覧!$E$7:$E$2738,$F376)="","",INDEX(選手一覧!$E$7:$E$2738,$F376))</f>
        <v>206</v>
      </c>
      <c r="I376" s="16" t="str">
        <f aca="false">IF(INDEX(選手一覧!$H$7:$H$2738,$F376)="","",INDEX(選手一覧!$H$7:$H$2738,$F376))</f>
        <v/>
      </c>
      <c r="J376" s="17" t="str">
        <f aca="false">IF(INDEX(選手一覧!$I$7:$I$2738,$F376)="","",INDEX(選手一覧!$I$7:$I$2738,$F376))</f>
        <v/>
      </c>
    </row>
    <row r="377" customFormat="false" ht="15" hidden="false" customHeight="false" outlineLevel="0" collapsed="false">
      <c r="A377" s="17" t="n">
        <v>373</v>
      </c>
      <c r="B377" s="12" t="s">
        <v>467</v>
      </c>
      <c r="C377" s="12" t="s">
        <v>150</v>
      </c>
      <c r="D377" s="16" t="n">
        <v>0.00282164351851852</v>
      </c>
      <c r="E377" s="15" t="n">
        <f aca="false">ROUND((D377-$D$5)*86400,2)</f>
        <v>18.76</v>
      </c>
      <c r="F377" s="17" t="n">
        <v>238</v>
      </c>
      <c r="G377" s="16" t="n">
        <f aca="false">IF(INDEX(選手一覧!$D$7:$D$2738,$F377)="","",INDEX(選手一覧!$D$7:$D$2738,$F377))</f>
        <v>0.0103777777777778</v>
      </c>
      <c r="H377" s="17" t="n">
        <f aca="false">IF(INDEX(選手一覧!$E$7:$E$2738,$F377)="","",INDEX(選手一覧!$E$7:$E$2738,$F377))</f>
        <v>239</v>
      </c>
      <c r="I377" s="16" t="str">
        <f aca="false">IF(INDEX(選手一覧!$H$7:$H$2738,$F377)="","",INDEX(選手一覧!$H$7:$H$2738,$F377))</f>
        <v/>
      </c>
      <c r="J377" s="17" t="str">
        <f aca="false">IF(INDEX(選手一覧!$I$7:$I$2738,$F377)="","",INDEX(選手一覧!$I$7:$I$2738,$F377))</f>
        <v/>
      </c>
    </row>
    <row r="378" customFormat="false" ht="15" hidden="false" customHeight="false" outlineLevel="0" collapsed="false">
      <c r="A378" s="17" t="n">
        <v>374</v>
      </c>
      <c r="B378" s="12" t="s">
        <v>2323</v>
      </c>
      <c r="C378" s="12" t="s">
        <v>1255</v>
      </c>
      <c r="D378" s="16" t="n">
        <v>0.00282199074074074</v>
      </c>
      <c r="E378" s="15" t="n">
        <f aca="false">ROUND((D378-$D$5)*86400,2)</f>
        <v>18.79</v>
      </c>
      <c r="F378" s="17" t="n">
        <v>1475</v>
      </c>
      <c r="G378" s="16" t="str">
        <f aca="false">IF(INDEX(選手一覧!$D$7:$D$2738,$F378)="","",INDEX(選手一覧!$D$7:$D$2738,$F378))</f>
        <v/>
      </c>
      <c r="H378" s="17" t="str">
        <f aca="false">IF(INDEX(選手一覧!$E$7:$E$2738,$F378)="","",INDEX(選手一覧!$E$7:$E$2738,$F378))</f>
        <v/>
      </c>
      <c r="I378" s="16" t="str">
        <f aca="false">IF(INDEX(選手一覧!$H$7:$H$2738,$F378)="","",INDEX(選手一覧!$H$7:$H$2738,$F378))</f>
        <v/>
      </c>
      <c r="J378" s="17" t="str">
        <f aca="false">IF(INDEX(選手一覧!$I$7:$I$2738,$F378)="","",INDEX(選手一覧!$I$7:$I$2738,$F378))</f>
        <v/>
      </c>
    </row>
    <row r="379" customFormat="false" ht="15" hidden="false" customHeight="false" outlineLevel="0" collapsed="false">
      <c r="A379" s="17" t="n">
        <v>375</v>
      </c>
      <c r="B379" s="12" t="s">
        <v>203</v>
      </c>
      <c r="C379" s="12" t="s">
        <v>204</v>
      </c>
      <c r="D379" s="16" t="n">
        <v>0.00282222222222222</v>
      </c>
      <c r="E379" s="15" t="n">
        <f aca="false">ROUND((D379-$D$5)*86400,2)</f>
        <v>18.81</v>
      </c>
      <c r="F379" s="17" t="n">
        <v>92</v>
      </c>
      <c r="G379" s="16" t="n">
        <f aca="false">IF(INDEX(選手一覧!$D$7:$D$2738,$F379)="","",INDEX(選手一覧!$D$7:$D$2738,$F379))</f>
        <v>0.0101918981481482</v>
      </c>
      <c r="H379" s="17" t="n">
        <f aca="false">IF(INDEX(選手一覧!$E$7:$E$2738,$F379)="","",INDEX(選手一覧!$E$7:$E$2738,$F379))</f>
        <v>93</v>
      </c>
      <c r="I379" s="16" t="str">
        <f aca="false">IF(INDEX(選手一覧!$H$7:$H$2738,$F379)="","",INDEX(選手一覧!$H$7:$H$2738,$F379))</f>
        <v/>
      </c>
      <c r="J379" s="17" t="str">
        <f aca="false">IF(INDEX(選手一覧!$I$7:$I$2738,$F379)="","",INDEX(選手一覧!$I$7:$I$2738,$F379))</f>
        <v/>
      </c>
    </row>
    <row r="380" customFormat="false" ht="15" hidden="false" customHeight="false" outlineLevel="0" collapsed="false">
      <c r="A380" s="17" t="n">
        <v>376</v>
      </c>
      <c r="B380" s="12" t="s">
        <v>1165</v>
      </c>
      <c r="C380" s="12" t="s">
        <v>1166</v>
      </c>
      <c r="D380" s="16" t="n">
        <v>0.00282233796296296</v>
      </c>
      <c r="E380" s="15" t="n">
        <f aca="false">ROUND((D380-$D$5)*86400,2)</f>
        <v>18.82</v>
      </c>
      <c r="F380" s="17" t="n">
        <v>690</v>
      </c>
      <c r="G380" s="16" t="n">
        <f aca="false">IF(INDEX(選手一覧!$D$7:$D$2738,$F380)="","",INDEX(選手一覧!$D$7:$D$2738,$F380))</f>
        <v>0.010765162037037</v>
      </c>
      <c r="H380" s="17" t="n">
        <f aca="false">IF(INDEX(選手一覧!$E$7:$E$2738,$F380)="","",INDEX(選手一覧!$E$7:$E$2738,$F380))</f>
        <v>691</v>
      </c>
      <c r="I380" s="16" t="str">
        <f aca="false">IF(INDEX(選手一覧!$H$7:$H$2738,$F380)="","",INDEX(選手一覧!$H$7:$H$2738,$F380))</f>
        <v/>
      </c>
      <c r="J380" s="17" t="str">
        <f aca="false">IF(INDEX(選手一覧!$I$7:$I$2738,$F380)="","",INDEX(選手一覧!$I$7:$I$2738,$F380))</f>
        <v/>
      </c>
    </row>
    <row r="381" customFormat="false" ht="15" hidden="false" customHeight="false" outlineLevel="0" collapsed="false">
      <c r="A381" s="17" t="n">
        <v>377</v>
      </c>
      <c r="B381" s="12" t="s">
        <v>2325</v>
      </c>
      <c r="C381" s="12" t="s">
        <v>885</v>
      </c>
      <c r="D381" s="16" t="n">
        <v>0.00282233796296296</v>
      </c>
      <c r="E381" s="15" t="n">
        <f aca="false">ROUND((D381-$D$5)*86400,2)</f>
        <v>18.82</v>
      </c>
      <c r="F381" s="17" t="n">
        <v>1477</v>
      </c>
      <c r="G381" s="16" t="str">
        <f aca="false">IF(INDEX(選手一覧!$D$7:$D$2738,$F381)="","",INDEX(選手一覧!$D$7:$D$2738,$F381))</f>
        <v/>
      </c>
      <c r="H381" s="17" t="str">
        <f aca="false">IF(INDEX(選手一覧!$E$7:$E$2738,$F381)="","",INDEX(選手一覧!$E$7:$E$2738,$F381))</f>
        <v/>
      </c>
      <c r="I381" s="16" t="str">
        <f aca="false">IF(INDEX(選手一覧!$H$7:$H$2738,$F381)="","",INDEX(選手一覧!$H$7:$H$2738,$F381))</f>
        <v/>
      </c>
      <c r="J381" s="17" t="str">
        <f aca="false">IF(INDEX(選手一覧!$I$7:$I$2738,$F381)="","",INDEX(選手一覧!$I$7:$I$2738,$F381))</f>
        <v/>
      </c>
    </row>
    <row r="382" customFormat="false" ht="15" hidden="false" customHeight="false" outlineLevel="0" collapsed="false">
      <c r="A382" s="17" t="n">
        <v>378</v>
      </c>
      <c r="B382" s="12" t="s">
        <v>628</v>
      </c>
      <c r="C382" s="12" t="s">
        <v>629</v>
      </c>
      <c r="D382" s="16" t="n">
        <v>0.00282233796296296</v>
      </c>
      <c r="E382" s="15" t="n">
        <f aca="false">ROUND((D382-$D$5)*86400,2)</f>
        <v>18.82</v>
      </c>
      <c r="F382" s="17" t="n">
        <v>339</v>
      </c>
      <c r="G382" s="16" t="n">
        <f aca="false">IF(INDEX(選手一覧!$D$7:$D$2738,$F382)="","",INDEX(選手一覧!$D$7:$D$2738,$F382))</f>
        <v>0.010499537037037</v>
      </c>
      <c r="H382" s="17" t="n">
        <f aca="false">IF(INDEX(選手一覧!$E$7:$E$2738,$F382)="","",INDEX(選手一覧!$E$7:$E$2738,$F382))</f>
        <v>340</v>
      </c>
      <c r="I382" s="16" t="n">
        <f aca="false">IF(INDEX(選手一覧!$H$7:$H$2738,$F382)="","",INDEX(選手一覧!$H$7:$H$2738,$F382))</f>
        <v>0.00748032407407407</v>
      </c>
      <c r="J382" s="17" t="n">
        <f aca="false">IF(INDEX(選手一覧!$I$7:$I$2738,$F382)="","",INDEX(選手一覧!$I$7:$I$2738,$F382))</f>
        <v>869</v>
      </c>
    </row>
    <row r="383" customFormat="false" ht="15" hidden="false" customHeight="false" outlineLevel="0" collapsed="false">
      <c r="A383" s="17" t="n">
        <v>379</v>
      </c>
      <c r="B383" s="12" t="s">
        <v>359</v>
      </c>
      <c r="C383" s="12" t="s">
        <v>360</v>
      </c>
      <c r="D383" s="16" t="n">
        <v>0.00282268518518519</v>
      </c>
      <c r="E383" s="15" t="n">
        <f aca="false">ROUND((D383-$D$5)*86400,2)</f>
        <v>18.85</v>
      </c>
      <c r="F383" s="17" t="n">
        <v>175</v>
      </c>
      <c r="G383" s="16" t="n">
        <f aca="false">IF(INDEX(選手一覧!$D$7:$D$2738,$F383)="","",INDEX(選手一覧!$D$7:$D$2738,$F383))</f>
        <v>0.0103251157407407</v>
      </c>
      <c r="H383" s="17" t="n">
        <f aca="false">IF(INDEX(選手一覧!$E$7:$E$2738,$F383)="","",INDEX(選手一覧!$E$7:$E$2738,$F383))</f>
        <v>176</v>
      </c>
      <c r="I383" s="16" t="str">
        <f aca="false">IF(INDEX(選手一覧!$H$7:$H$2738,$F383)="","",INDEX(選手一覧!$H$7:$H$2738,$F383))</f>
        <v/>
      </c>
      <c r="J383" s="17" t="str">
        <f aca="false">IF(INDEX(選手一覧!$I$7:$I$2738,$F383)="","",INDEX(選手一覧!$I$7:$I$2738,$F383))</f>
        <v/>
      </c>
    </row>
    <row r="384" customFormat="false" ht="15" hidden="false" customHeight="false" outlineLevel="0" collapsed="false">
      <c r="A384" s="17" t="n">
        <v>380</v>
      </c>
      <c r="B384" s="12" t="s">
        <v>2330</v>
      </c>
      <c r="C384" s="12" t="s">
        <v>2052</v>
      </c>
      <c r="D384" s="16" t="n">
        <v>0.00282280092592593</v>
      </c>
      <c r="E384" s="15" t="n">
        <f aca="false">ROUND((D384-$D$5)*86400,2)</f>
        <v>18.86</v>
      </c>
      <c r="F384" s="17" t="n">
        <v>1480</v>
      </c>
      <c r="G384" s="16" t="str">
        <f aca="false">IF(INDEX(選手一覧!$D$7:$D$2738,$F384)="","",INDEX(選手一覧!$D$7:$D$2738,$F384))</f>
        <v/>
      </c>
      <c r="H384" s="17" t="str">
        <f aca="false">IF(INDEX(選手一覧!$E$7:$E$2738,$F384)="","",INDEX(選手一覧!$E$7:$E$2738,$F384))</f>
        <v/>
      </c>
      <c r="I384" s="16" t="str">
        <f aca="false">IF(INDEX(選手一覧!$H$7:$H$2738,$F384)="","",INDEX(選手一覧!$H$7:$H$2738,$F384))</f>
        <v/>
      </c>
      <c r="J384" s="17" t="str">
        <f aca="false">IF(INDEX(選手一覧!$I$7:$I$2738,$F384)="","",INDEX(選手一覧!$I$7:$I$2738,$F384))</f>
        <v/>
      </c>
    </row>
    <row r="385" customFormat="false" ht="15" hidden="false" customHeight="false" outlineLevel="0" collapsed="false">
      <c r="A385" s="17" t="n">
        <v>381</v>
      </c>
      <c r="B385" s="12" t="s">
        <v>538</v>
      </c>
      <c r="C385" s="12" t="s">
        <v>32</v>
      </c>
      <c r="D385" s="16" t="n">
        <v>0.00282280092592593</v>
      </c>
      <c r="E385" s="15" t="n">
        <f aca="false">ROUND((D385-$D$5)*86400,2)</f>
        <v>18.86</v>
      </c>
      <c r="F385" s="17" t="n">
        <v>284</v>
      </c>
      <c r="G385" s="16" t="n">
        <f aca="false">IF(INDEX(選手一覧!$D$7:$D$2738,$F385)="","",INDEX(選手一覧!$D$7:$D$2738,$F385))</f>
        <v>0.0104209490740741</v>
      </c>
      <c r="H385" s="17" t="n">
        <f aca="false">IF(INDEX(選手一覧!$E$7:$E$2738,$F385)="","",INDEX(選手一覧!$E$7:$E$2738,$F385))</f>
        <v>285</v>
      </c>
      <c r="I385" s="16" t="str">
        <f aca="false">IF(INDEX(選手一覧!$H$7:$H$2738,$F385)="","",INDEX(選手一覧!$H$7:$H$2738,$F385))</f>
        <v/>
      </c>
      <c r="J385" s="17" t="str">
        <f aca="false">IF(INDEX(選手一覧!$I$7:$I$2738,$F385)="","",INDEX(選手一覧!$I$7:$I$2738,$F385))</f>
        <v/>
      </c>
    </row>
    <row r="386" customFormat="false" ht="15" hidden="false" customHeight="false" outlineLevel="0" collapsed="false">
      <c r="A386" s="17" t="n">
        <v>382</v>
      </c>
      <c r="B386" s="12" t="s">
        <v>372</v>
      </c>
      <c r="C386" s="12" t="s">
        <v>77</v>
      </c>
      <c r="D386" s="16" t="n">
        <v>0.00282314814814815</v>
      </c>
      <c r="E386" s="15" t="n">
        <f aca="false">ROUND((D386-$D$5)*86400,2)</f>
        <v>18.89</v>
      </c>
      <c r="F386" s="17" t="n">
        <v>183</v>
      </c>
      <c r="G386" s="16" t="n">
        <f aca="false">IF(INDEX(選手一覧!$D$7:$D$2738,$F386)="","",INDEX(選手一覧!$D$7:$D$2738,$F386))</f>
        <v>0.0103328703703704</v>
      </c>
      <c r="H386" s="17" t="n">
        <f aca="false">IF(INDEX(選手一覧!$E$7:$E$2738,$F386)="","",INDEX(選手一覧!$E$7:$E$2738,$F386))</f>
        <v>184</v>
      </c>
      <c r="I386" s="16" t="str">
        <f aca="false">IF(INDEX(選手一覧!$H$7:$H$2738,$F386)="","",INDEX(選手一覧!$H$7:$H$2738,$F386))</f>
        <v/>
      </c>
      <c r="J386" s="17" t="str">
        <f aca="false">IF(INDEX(選手一覧!$I$7:$I$2738,$F386)="","",INDEX(選手一覧!$I$7:$I$2738,$F386))</f>
        <v/>
      </c>
    </row>
    <row r="387" customFormat="false" ht="15" hidden="false" customHeight="false" outlineLevel="0" collapsed="false">
      <c r="A387" s="17" t="n">
        <v>383</v>
      </c>
      <c r="B387" s="12" t="s">
        <v>2334</v>
      </c>
      <c r="C387" s="12" t="s">
        <v>2335</v>
      </c>
      <c r="D387" s="16" t="n">
        <v>0.00282326388888889</v>
      </c>
      <c r="E387" s="15" t="n">
        <f aca="false">ROUND((D387-$D$5)*86400,2)</f>
        <v>18.9</v>
      </c>
      <c r="F387" s="17" t="n">
        <v>1483</v>
      </c>
      <c r="G387" s="16" t="str">
        <f aca="false">IF(INDEX(選手一覧!$D$7:$D$2738,$F387)="","",INDEX(選手一覧!$D$7:$D$2738,$F387))</f>
        <v/>
      </c>
      <c r="H387" s="17" t="str">
        <f aca="false">IF(INDEX(選手一覧!$E$7:$E$2738,$F387)="","",INDEX(選手一覧!$E$7:$E$2738,$F387))</f>
        <v/>
      </c>
      <c r="I387" s="16" t="str">
        <f aca="false">IF(INDEX(選手一覧!$H$7:$H$2738,$F387)="","",INDEX(選手一覧!$H$7:$H$2738,$F387))</f>
        <v/>
      </c>
      <c r="J387" s="17" t="str">
        <f aca="false">IF(INDEX(選手一覧!$I$7:$I$2738,$F387)="","",INDEX(選手一覧!$I$7:$I$2738,$F387))</f>
        <v/>
      </c>
    </row>
    <row r="388" customFormat="false" ht="15" hidden="false" customHeight="false" outlineLevel="0" collapsed="false">
      <c r="A388" s="17" t="n">
        <v>384</v>
      </c>
      <c r="B388" s="12" t="s">
        <v>2338</v>
      </c>
      <c r="C388" s="12" t="s">
        <v>711</v>
      </c>
      <c r="D388" s="16" t="n">
        <v>0.00282361111111111</v>
      </c>
      <c r="E388" s="15" t="n">
        <f aca="false">ROUND((D388-$D$5)*86400,2)</f>
        <v>18.93</v>
      </c>
      <c r="F388" s="17" t="n">
        <v>1485</v>
      </c>
      <c r="G388" s="16" t="str">
        <f aca="false">IF(INDEX(選手一覧!$D$7:$D$2738,$F388)="","",INDEX(選手一覧!$D$7:$D$2738,$F388))</f>
        <v/>
      </c>
      <c r="H388" s="17" t="str">
        <f aca="false">IF(INDEX(選手一覧!$E$7:$E$2738,$F388)="","",INDEX(選手一覧!$E$7:$E$2738,$F388))</f>
        <v/>
      </c>
      <c r="I388" s="16" t="str">
        <f aca="false">IF(INDEX(選手一覧!$H$7:$H$2738,$F388)="","",INDEX(選手一覧!$H$7:$H$2738,$F388))</f>
        <v/>
      </c>
      <c r="J388" s="17" t="str">
        <f aca="false">IF(INDEX(選手一覧!$I$7:$I$2738,$F388)="","",INDEX(選手一覧!$I$7:$I$2738,$F388))</f>
        <v/>
      </c>
    </row>
    <row r="389" customFormat="false" ht="15" hidden="false" customHeight="false" outlineLevel="0" collapsed="false">
      <c r="A389" s="17" t="n">
        <v>385</v>
      </c>
      <c r="B389" s="12" t="s">
        <v>1673</v>
      </c>
      <c r="C389" s="12" t="s">
        <v>591</v>
      </c>
      <c r="D389" s="16" t="n">
        <v>0.00282372685185185</v>
      </c>
      <c r="E389" s="15" t="n">
        <f aca="false">ROUND((D389-$D$5)*86400,2)</f>
        <v>18.94</v>
      </c>
      <c r="F389" s="17" t="n">
        <v>1031</v>
      </c>
      <c r="G389" s="16" t="n">
        <f aca="false">IF(INDEX(選手一覧!$D$7:$D$2738,$F389)="","",INDEX(選手一覧!$D$7:$D$2738,$F389))</f>
        <v>0.0109680555555556</v>
      </c>
      <c r="H389" s="17" t="n">
        <f aca="false">IF(INDEX(選手一覧!$E$7:$E$2738,$F389)="","",INDEX(選手一覧!$E$7:$E$2738,$F389))</f>
        <v>1032</v>
      </c>
      <c r="I389" s="16" t="str">
        <f aca="false">IF(INDEX(選手一覧!$H$7:$H$2738,$F389)="","",INDEX(選手一覧!$H$7:$H$2738,$F389))</f>
        <v/>
      </c>
      <c r="J389" s="17" t="str">
        <f aca="false">IF(INDEX(選手一覧!$I$7:$I$2738,$F389)="","",INDEX(選手一覧!$I$7:$I$2738,$F389))</f>
        <v/>
      </c>
    </row>
    <row r="390" customFormat="false" ht="15" hidden="false" customHeight="false" outlineLevel="0" collapsed="false">
      <c r="A390" s="17" t="n">
        <v>386</v>
      </c>
      <c r="B390" s="12" t="s">
        <v>1765</v>
      </c>
      <c r="C390" s="12" t="s">
        <v>1766</v>
      </c>
      <c r="D390" s="16" t="n">
        <v>0.00282384259259259</v>
      </c>
      <c r="E390" s="15" t="n">
        <f aca="false">ROUND((D390-$D$5)*86400,2)</f>
        <v>18.95</v>
      </c>
      <c r="F390" s="17" t="n">
        <v>1092</v>
      </c>
      <c r="G390" s="16" t="n">
        <f aca="false">IF(INDEX(選手一覧!$D$7:$D$2738,$F390)="","",INDEX(選手一覧!$D$7:$D$2738,$F390))</f>
        <v>0.0109971064814815</v>
      </c>
      <c r="H390" s="17" t="n">
        <f aca="false">IF(INDEX(選手一覧!$E$7:$E$2738,$F390)="","",INDEX(選手一覧!$E$7:$E$2738,$F390))</f>
        <v>1093</v>
      </c>
      <c r="I390" s="16" t="str">
        <f aca="false">IF(INDEX(選手一覧!$H$7:$H$2738,$F390)="","",INDEX(選手一覧!$H$7:$H$2738,$F390))</f>
        <v/>
      </c>
      <c r="J390" s="17" t="str">
        <f aca="false">IF(INDEX(選手一覧!$I$7:$I$2738,$F390)="","",INDEX(選手一覧!$I$7:$I$2738,$F390))</f>
        <v/>
      </c>
    </row>
    <row r="391" customFormat="false" ht="15" hidden="false" customHeight="false" outlineLevel="0" collapsed="false">
      <c r="A391" s="17" t="n">
        <v>387</v>
      </c>
      <c r="B391" s="12" t="s">
        <v>529</v>
      </c>
      <c r="C391" s="12" t="s">
        <v>530</v>
      </c>
      <c r="D391" s="16" t="n">
        <v>0.00282395833333333</v>
      </c>
      <c r="E391" s="15" t="n">
        <f aca="false">ROUND((D391-$D$5)*86400,2)</f>
        <v>18.96</v>
      </c>
      <c r="F391" s="17" t="n">
        <v>279</v>
      </c>
      <c r="G391" s="16" t="n">
        <f aca="false">IF(INDEX(選手一覧!$D$7:$D$2738,$F391)="","",INDEX(選手一覧!$D$7:$D$2738,$F391))</f>
        <v>0.0104148148148148</v>
      </c>
      <c r="H391" s="17" t="n">
        <f aca="false">IF(INDEX(選手一覧!$E$7:$E$2738,$F391)="","",INDEX(選手一覧!$E$7:$E$2738,$F391))</f>
        <v>280</v>
      </c>
      <c r="I391" s="16" t="str">
        <f aca="false">IF(INDEX(選手一覧!$H$7:$H$2738,$F391)="","",INDEX(選手一覧!$H$7:$H$2738,$F391))</f>
        <v/>
      </c>
      <c r="J391" s="17" t="str">
        <f aca="false">IF(INDEX(選手一覧!$I$7:$I$2738,$F391)="","",INDEX(選手一覧!$I$7:$I$2738,$F391))</f>
        <v/>
      </c>
    </row>
    <row r="392" customFormat="false" ht="15" hidden="false" customHeight="false" outlineLevel="0" collapsed="false">
      <c r="A392" s="17" t="n">
        <v>388</v>
      </c>
      <c r="B392" s="12" t="s">
        <v>2342</v>
      </c>
      <c r="C392" s="12" t="s">
        <v>898</v>
      </c>
      <c r="D392" s="16" t="n">
        <v>0.00282407407407407</v>
      </c>
      <c r="E392" s="15" t="n">
        <f aca="false">ROUND((D392-$D$5)*86400,2)</f>
        <v>18.97</v>
      </c>
      <c r="F392" s="17" t="n">
        <v>1489</v>
      </c>
      <c r="G392" s="16" t="str">
        <f aca="false">IF(INDEX(選手一覧!$D$7:$D$2738,$F392)="","",INDEX(選手一覧!$D$7:$D$2738,$F392))</f>
        <v/>
      </c>
      <c r="H392" s="17" t="str">
        <f aca="false">IF(INDEX(選手一覧!$E$7:$E$2738,$F392)="","",INDEX(選手一覧!$E$7:$E$2738,$F392))</f>
        <v/>
      </c>
      <c r="I392" s="16" t="str">
        <f aca="false">IF(INDEX(選手一覧!$H$7:$H$2738,$F392)="","",INDEX(選手一覧!$H$7:$H$2738,$F392))</f>
        <v/>
      </c>
      <c r="J392" s="17" t="str">
        <f aca="false">IF(INDEX(選手一覧!$I$7:$I$2738,$F392)="","",INDEX(選手一覧!$I$7:$I$2738,$F392))</f>
        <v/>
      </c>
    </row>
    <row r="393" customFormat="false" ht="15" hidden="false" customHeight="false" outlineLevel="0" collapsed="false">
      <c r="A393" s="17" t="n">
        <v>389</v>
      </c>
      <c r="B393" s="12" t="s">
        <v>363</v>
      </c>
      <c r="C393" s="12" t="s">
        <v>127</v>
      </c>
      <c r="D393" s="16" t="n">
        <v>0.00282430555555556</v>
      </c>
      <c r="E393" s="15" t="n">
        <f aca="false">ROUND((D393-$D$5)*86400,2)</f>
        <v>18.99</v>
      </c>
      <c r="F393" s="17" t="n">
        <v>177</v>
      </c>
      <c r="G393" s="16" t="n">
        <f aca="false">IF(INDEX(選手一覧!$D$7:$D$2738,$F393)="","",INDEX(選手一覧!$D$7:$D$2738,$F393))</f>
        <v>0.0103260416666667</v>
      </c>
      <c r="H393" s="17" t="n">
        <f aca="false">IF(INDEX(選手一覧!$E$7:$E$2738,$F393)="","",INDEX(選手一覧!$E$7:$E$2738,$F393))</f>
        <v>178</v>
      </c>
      <c r="I393" s="16" t="str">
        <f aca="false">IF(INDEX(選手一覧!$H$7:$H$2738,$F393)="","",INDEX(選手一覧!$H$7:$H$2738,$F393))</f>
        <v/>
      </c>
      <c r="J393" s="17" t="str">
        <f aca="false">IF(INDEX(選手一覧!$I$7:$I$2738,$F393)="","",INDEX(選手一覧!$I$7:$I$2738,$F393))</f>
        <v/>
      </c>
    </row>
    <row r="394" customFormat="false" ht="15" hidden="false" customHeight="false" outlineLevel="0" collapsed="false">
      <c r="A394" s="17" t="n">
        <v>390</v>
      </c>
      <c r="B394" s="12" t="s">
        <v>1603</v>
      </c>
      <c r="C394" s="12" t="s">
        <v>1604</v>
      </c>
      <c r="D394" s="16" t="n">
        <v>0.00282465277777778</v>
      </c>
      <c r="E394" s="15" t="n">
        <f aca="false">ROUND((D394-$D$5)*86400,2)</f>
        <v>19.02</v>
      </c>
      <c r="F394" s="17" t="n">
        <v>981</v>
      </c>
      <c r="G394" s="16" t="n">
        <f aca="false">IF(INDEX(選手一覧!$D$7:$D$2738,$F394)="","",INDEX(選手一覧!$D$7:$D$2738,$F394))</f>
        <v>0.0109412037037037</v>
      </c>
      <c r="H394" s="17" t="n">
        <f aca="false">IF(INDEX(選手一覧!$E$7:$E$2738,$F394)="","",INDEX(選手一覧!$E$7:$E$2738,$F394))</f>
        <v>982</v>
      </c>
      <c r="I394" s="16" t="str">
        <f aca="false">IF(INDEX(選手一覧!$H$7:$H$2738,$F394)="","",INDEX(選手一覧!$H$7:$H$2738,$F394))</f>
        <v/>
      </c>
      <c r="J394" s="17" t="str">
        <f aca="false">IF(INDEX(選手一覧!$I$7:$I$2738,$F394)="","",INDEX(選手一覧!$I$7:$I$2738,$F394))</f>
        <v/>
      </c>
    </row>
    <row r="395" customFormat="false" ht="15" hidden="false" customHeight="false" outlineLevel="0" collapsed="false">
      <c r="A395" s="17" t="n">
        <v>391</v>
      </c>
      <c r="B395" s="12" t="s">
        <v>296</v>
      </c>
      <c r="C395" s="12" t="s">
        <v>297</v>
      </c>
      <c r="D395" s="16" t="n">
        <v>0.00282476851851852</v>
      </c>
      <c r="E395" s="15" t="n">
        <f aca="false">ROUND((D395-$D$5)*86400,2)</f>
        <v>19.03</v>
      </c>
      <c r="F395" s="17" t="n">
        <v>141</v>
      </c>
      <c r="G395" s="16" t="n">
        <f aca="false">IF(INDEX(選手一覧!$D$7:$D$2738,$F395)="","",INDEX(選手一覧!$D$7:$D$2738,$F395))</f>
        <v>0.0102767361111111</v>
      </c>
      <c r="H395" s="17" t="n">
        <f aca="false">IF(INDEX(選手一覧!$E$7:$E$2738,$F395)="","",INDEX(選手一覧!$E$7:$E$2738,$F395))</f>
        <v>142</v>
      </c>
      <c r="I395" s="16" t="str">
        <f aca="false">IF(INDEX(選手一覧!$H$7:$H$2738,$F395)="","",INDEX(選手一覧!$H$7:$H$2738,$F395))</f>
        <v/>
      </c>
      <c r="J395" s="17" t="str">
        <f aca="false">IF(INDEX(選手一覧!$I$7:$I$2738,$F395)="","",INDEX(選手一覧!$I$7:$I$2738,$F395))</f>
        <v/>
      </c>
    </row>
    <row r="396" customFormat="false" ht="15" hidden="false" customHeight="false" outlineLevel="0" collapsed="false">
      <c r="A396" s="17" t="n">
        <v>392</v>
      </c>
      <c r="B396" s="12" t="s">
        <v>2346</v>
      </c>
      <c r="C396" s="12" t="s">
        <v>2347</v>
      </c>
      <c r="D396" s="16" t="n">
        <v>0.00282488425925926</v>
      </c>
      <c r="E396" s="15" t="n">
        <f aca="false">ROUND((D396-$D$5)*86400,2)</f>
        <v>19.04</v>
      </c>
      <c r="F396" s="17" t="n">
        <v>1493</v>
      </c>
      <c r="G396" s="16" t="str">
        <f aca="false">IF(INDEX(選手一覧!$D$7:$D$2738,$F396)="","",INDEX(選手一覧!$D$7:$D$2738,$F396))</f>
        <v/>
      </c>
      <c r="H396" s="17" t="str">
        <f aca="false">IF(INDEX(選手一覧!$E$7:$E$2738,$F396)="","",INDEX(選手一覧!$E$7:$E$2738,$F396))</f>
        <v/>
      </c>
      <c r="I396" s="16" t="str">
        <f aca="false">IF(INDEX(選手一覧!$H$7:$H$2738,$F396)="","",INDEX(選手一覧!$H$7:$H$2738,$F396))</f>
        <v/>
      </c>
      <c r="J396" s="17" t="str">
        <f aca="false">IF(INDEX(選手一覧!$I$7:$I$2738,$F396)="","",INDEX(選手一覧!$I$7:$I$2738,$F396))</f>
        <v/>
      </c>
    </row>
    <row r="397" customFormat="false" ht="15" hidden="false" customHeight="false" outlineLevel="0" collapsed="false">
      <c r="A397" s="17" t="n">
        <v>393</v>
      </c>
      <c r="B397" s="12" t="s">
        <v>1547</v>
      </c>
      <c r="C397" s="12" t="s">
        <v>1548</v>
      </c>
      <c r="D397" s="16" t="n">
        <v>0.00282488425925926</v>
      </c>
      <c r="E397" s="15" t="n">
        <f aca="false">ROUND((D397-$D$5)*86400,2)</f>
        <v>19.04</v>
      </c>
      <c r="F397" s="17" t="n">
        <v>945</v>
      </c>
      <c r="G397" s="16" t="n">
        <f aca="false">IF(INDEX(選手一覧!$D$7:$D$2738,$F397)="","",INDEX(選手一覧!$D$7:$D$2738,$F397))</f>
        <v>0.0109144675925926</v>
      </c>
      <c r="H397" s="17" t="n">
        <f aca="false">IF(INDEX(選手一覧!$E$7:$E$2738,$F397)="","",INDEX(選手一覧!$E$7:$E$2738,$F397))</f>
        <v>946</v>
      </c>
      <c r="I397" s="16" t="str">
        <f aca="false">IF(INDEX(選手一覧!$H$7:$H$2738,$F397)="","",INDEX(選手一覧!$H$7:$H$2738,$F397))</f>
        <v/>
      </c>
      <c r="J397" s="17" t="str">
        <f aca="false">IF(INDEX(選手一覧!$I$7:$I$2738,$F397)="","",INDEX(選手一覧!$I$7:$I$2738,$F397))</f>
        <v/>
      </c>
    </row>
    <row r="398" customFormat="false" ht="15" hidden="false" customHeight="false" outlineLevel="0" collapsed="false">
      <c r="A398" s="17" t="n">
        <v>394</v>
      </c>
      <c r="B398" s="12" t="s">
        <v>1521</v>
      </c>
      <c r="C398" s="12" t="s">
        <v>1522</v>
      </c>
      <c r="D398" s="16" t="n">
        <v>0.00282511574074074</v>
      </c>
      <c r="E398" s="15" t="n">
        <f aca="false">ROUND((D398-$D$5)*86400,2)</f>
        <v>19.06</v>
      </c>
      <c r="F398" s="17" t="n">
        <v>926</v>
      </c>
      <c r="G398" s="16" t="n">
        <f aca="false">IF(INDEX(選手一覧!$D$7:$D$2738,$F398)="","",INDEX(選手一覧!$D$7:$D$2738,$F398))</f>
        <v>0.0109045138888889</v>
      </c>
      <c r="H398" s="17" t="n">
        <f aca="false">IF(INDEX(選手一覧!$E$7:$E$2738,$F398)="","",INDEX(選手一覧!$E$7:$E$2738,$F398))</f>
        <v>927</v>
      </c>
      <c r="I398" s="16" t="str">
        <f aca="false">IF(INDEX(選手一覧!$H$7:$H$2738,$F398)="","",INDEX(選手一覧!$H$7:$H$2738,$F398))</f>
        <v/>
      </c>
      <c r="J398" s="17" t="str">
        <f aca="false">IF(INDEX(選手一覧!$I$7:$I$2738,$F398)="","",INDEX(選手一覧!$I$7:$I$2738,$F398))</f>
        <v/>
      </c>
    </row>
    <row r="399" customFormat="false" ht="15" hidden="false" customHeight="false" outlineLevel="0" collapsed="false">
      <c r="A399" s="17" t="n">
        <v>395</v>
      </c>
      <c r="B399" s="12" t="s">
        <v>261</v>
      </c>
      <c r="C399" s="12" t="s">
        <v>262</v>
      </c>
      <c r="D399" s="16" t="n">
        <v>0.00282534722222222</v>
      </c>
      <c r="E399" s="15" t="n">
        <f aca="false">ROUND((D399-$D$5)*86400,2)</f>
        <v>19.08</v>
      </c>
      <c r="F399" s="17" t="n">
        <v>123</v>
      </c>
      <c r="G399" s="16" t="n">
        <f aca="false">IF(INDEX(選手一覧!$D$7:$D$2738,$F399)="","",INDEX(選手一覧!$D$7:$D$2738,$F399))</f>
        <v>0.0102439814814815</v>
      </c>
      <c r="H399" s="17" t="n">
        <f aca="false">IF(INDEX(選手一覧!$E$7:$E$2738,$F399)="","",INDEX(選手一覧!$E$7:$E$2738,$F399))</f>
        <v>124</v>
      </c>
      <c r="I399" s="16" t="str">
        <f aca="false">IF(INDEX(選手一覧!$H$7:$H$2738,$F399)="","",INDEX(選手一覧!$H$7:$H$2738,$F399))</f>
        <v/>
      </c>
      <c r="J399" s="17" t="str">
        <f aca="false">IF(INDEX(選手一覧!$I$7:$I$2738,$F399)="","",INDEX(選手一覧!$I$7:$I$2738,$F399))</f>
        <v/>
      </c>
    </row>
    <row r="400" customFormat="false" ht="15" hidden="false" customHeight="false" outlineLevel="0" collapsed="false">
      <c r="A400" s="17" t="n">
        <v>396</v>
      </c>
      <c r="B400" s="12" t="s">
        <v>1341</v>
      </c>
      <c r="C400" s="12" t="s">
        <v>1342</v>
      </c>
      <c r="D400" s="16" t="n">
        <v>0.00282546296296296</v>
      </c>
      <c r="E400" s="15" t="n">
        <f aca="false">ROUND((D400-$D$5)*86400,2)</f>
        <v>19.09</v>
      </c>
      <c r="F400" s="17" t="n">
        <v>809</v>
      </c>
      <c r="G400" s="16" t="n">
        <f aca="false">IF(INDEX(選手一覧!$D$7:$D$2738,$F400)="","",INDEX(選手一覧!$D$7:$D$2738,$F400))</f>
        <v>0.0108386574074074</v>
      </c>
      <c r="H400" s="17" t="n">
        <f aca="false">IF(INDEX(選手一覧!$E$7:$E$2738,$F400)="","",INDEX(選手一覧!$E$7:$E$2738,$F400))</f>
        <v>810</v>
      </c>
      <c r="I400" s="16" t="str">
        <f aca="false">IF(INDEX(選手一覧!$H$7:$H$2738,$F400)="","",INDEX(選手一覧!$H$7:$H$2738,$F400))</f>
        <v/>
      </c>
      <c r="J400" s="17" t="str">
        <f aca="false">IF(INDEX(選手一覧!$I$7:$I$2738,$F400)="","",INDEX(選手一覧!$I$7:$I$2738,$F400))</f>
        <v/>
      </c>
    </row>
    <row r="401" customFormat="false" ht="15" hidden="false" customHeight="false" outlineLevel="0" collapsed="false">
      <c r="A401" s="17" t="n">
        <v>397</v>
      </c>
      <c r="B401" s="12" t="s">
        <v>2352</v>
      </c>
      <c r="C401" s="12" t="s">
        <v>573</v>
      </c>
      <c r="D401" s="16" t="n">
        <v>0.00282581018518519</v>
      </c>
      <c r="E401" s="15" t="n">
        <f aca="false">ROUND((D401-$D$5)*86400,2)</f>
        <v>19.12</v>
      </c>
      <c r="F401" s="17" t="n">
        <v>1496</v>
      </c>
      <c r="G401" s="16" t="str">
        <f aca="false">IF(INDEX(選手一覧!$D$7:$D$2738,$F401)="","",INDEX(選手一覧!$D$7:$D$2738,$F401))</f>
        <v/>
      </c>
      <c r="H401" s="17" t="str">
        <f aca="false">IF(INDEX(選手一覧!$E$7:$E$2738,$F401)="","",INDEX(選手一覧!$E$7:$E$2738,$F401))</f>
        <v/>
      </c>
      <c r="I401" s="16" t="str">
        <f aca="false">IF(INDEX(選手一覧!$H$7:$H$2738,$F401)="","",INDEX(選手一覧!$H$7:$H$2738,$F401))</f>
        <v/>
      </c>
      <c r="J401" s="17" t="str">
        <f aca="false">IF(INDEX(選手一覧!$I$7:$I$2738,$F401)="","",INDEX(選手一覧!$I$7:$I$2738,$F401))</f>
        <v/>
      </c>
    </row>
    <row r="402" customFormat="false" ht="15" hidden="false" customHeight="false" outlineLevel="0" collapsed="false">
      <c r="A402" s="17" t="n">
        <v>398</v>
      </c>
      <c r="B402" s="12" t="s">
        <v>499</v>
      </c>
      <c r="C402" s="12" t="s">
        <v>240</v>
      </c>
      <c r="D402" s="16" t="n">
        <v>0.00282592592592593</v>
      </c>
      <c r="E402" s="15" t="n">
        <f aca="false">ROUND((D402-$D$5)*86400,2)</f>
        <v>19.13</v>
      </c>
      <c r="F402" s="17" t="n">
        <v>260</v>
      </c>
      <c r="G402" s="16" t="n">
        <f aca="false">IF(INDEX(選手一覧!$D$7:$D$2738,$F402)="","",INDEX(選手一覧!$D$7:$D$2738,$F402))</f>
        <v>0.0103976851851852</v>
      </c>
      <c r="H402" s="17" t="n">
        <f aca="false">IF(INDEX(選手一覧!$E$7:$E$2738,$F402)="","",INDEX(選手一覧!$E$7:$E$2738,$F402))</f>
        <v>261</v>
      </c>
      <c r="I402" s="16" t="str">
        <f aca="false">IF(INDEX(選手一覧!$H$7:$H$2738,$F402)="","",INDEX(選手一覧!$H$7:$H$2738,$F402))</f>
        <v/>
      </c>
      <c r="J402" s="17" t="str">
        <f aca="false">IF(INDEX(選手一覧!$I$7:$I$2738,$F402)="","",INDEX(選手一覧!$I$7:$I$2738,$F402))</f>
        <v/>
      </c>
    </row>
    <row r="403" customFormat="false" ht="15" hidden="false" customHeight="false" outlineLevel="0" collapsed="false">
      <c r="A403" s="17" t="n">
        <v>399</v>
      </c>
      <c r="B403" s="12" t="s">
        <v>1099</v>
      </c>
      <c r="C403" s="12" t="s">
        <v>585</v>
      </c>
      <c r="D403" s="16" t="n">
        <v>0.00282615740740741</v>
      </c>
      <c r="E403" s="15" t="n">
        <f aca="false">ROUND((D403-$D$5)*86400,2)</f>
        <v>19.15</v>
      </c>
      <c r="F403" s="17" t="n">
        <v>649</v>
      </c>
      <c r="G403" s="16" t="n">
        <f aca="false">IF(INDEX(選手一覧!$D$7:$D$2738,$F403)="","",INDEX(選手一覧!$D$7:$D$2738,$F403))</f>
        <v>0.0107380787037037</v>
      </c>
      <c r="H403" s="17" t="n">
        <f aca="false">IF(INDEX(選手一覧!$E$7:$E$2738,$F403)="","",INDEX(選手一覧!$E$7:$E$2738,$F403))</f>
        <v>650</v>
      </c>
      <c r="I403" s="16" t="n">
        <f aca="false">IF(INDEX(選手一覧!$H$7:$H$2738,$F403)="","",INDEX(選手一覧!$H$7:$H$2738,$F403))</f>
        <v>0.00681689814814815</v>
      </c>
      <c r="J403" s="17" t="n">
        <f aca="false">IF(INDEX(選手一覧!$I$7:$I$2738,$F403)="","",INDEX(選手一覧!$I$7:$I$2738,$F403))</f>
        <v>183</v>
      </c>
    </row>
    <row r="404" customFormat="false" ht="15" hidden="false" customHeight="false" outlineLevel="0" collapsed="false">
      <c r="A404" s="17" t="n">
        <v>400</v>
      </c>
      <c r="B404" s="12" t="s">
        <v>2355</v>
      </c>
      <c r="C404" s="12" t="s">
        <v>2261</v>
      </c>
      <c r="D404" s="16" t="n">
        <v>0.00282627314814815</v>
      </c>
      <c r="E404" s="15" t="n">
        <f aca="false">ROUND((D404-$D$5)*86400,2)</f>
        <v>19.16</v>
      </c>
      <c r="F404" s="17" t="n">
        <v>1499</v>
      </c>
      <c r="G404" s="16" t="str">
        <f aca="false">IF(INDEX(選手一覧!$D$7:$D$2738,$F404)="","",INDEX(選手一覧!$D$7:$D$2738,$F404))</f>
        <v/>
      </c>
      <c r="H404" s="17" t="str">
        <f aca="false">IF(INDEX(選手一覧!$E$7:$E$2738,$F404)="","",INDEX(選手一覧!$E$7:$E$2738,$F404))</f>
        <v/>
      </c>
      <c r="I404" s="16" t="str">
        <f aca="false">IF(INDEX(選手一覧!$H$7:$H$2738,$F404)="","",INDEX(選手一覧!$H$7:$H$2738,$F404))</f>
        <v/>
      </c>
      <c r="J404" s="17" t="str">
        <f aca="false">IF(INDEX(選手一覧!$I$7:$I$2738,$F404)="","",INDEX(選手一覧!$I$7:$I$2738,$F404))</f>
        <v/>
      </c>
    </row>
    <row r="405" customFormat="false" ht="15" hidden="false" customHeight="false" outlineLevel="0" collapsed="false">
      <c r="A405" s="17" t="n">
        <v>401</v>
      </c>
      <c r="B405" s="12" t="s">
        <v>590</v>
      </c>
      <c r="C405" s="12" t="s">
        <v>591</v>
      </c>
      <c r="D405" s="16" t="n">
        <v>0.00282638888888889</v>
      </c>
      <c r="E405" s="15" t="n">
        <f aca="false">ROUND((D405-$D$5)*86400,2)</f>
        <v>19.17</v>
      </c>
      <c r="F405" s="17" t="n">
        <v>316</v>
      </c>
      <c r="G405" s="16" t="n">
        <f aca="false">IF(INDEX(選手一覧!$D$7:$D$2738,$F405)="","",INDEX(選手一覧!$D$7:$D$2738,$F405))</f>
        <v>0.0104688657407407</v>
      </c>
      <c r="H405" s="17" t="n">
        <f aca="false">IF(INDEX(選手一覧!$E$7:$E$2738,$F405)="","",INDEX(選手一覧!$E$7:$E$2738,$F405))</f>
        <v>317</v>
      </c>
      <c r="I405" s="16" t="str">
        <f aca="false">IF(INDEX(選手一覧!$H$7:$H$2738,$F405)="","",INDEX(選手一覧!$H$7:$H$2738,$F405))</f>
        <v/>
      </c>
      <c r="J405" s="17" t="str">
        <f aca="false">IF(INDEX(選手一覧!$I$7:$I$2738,$F405)="","",INDEX(選手一覧!$I$7:$I$2738,$F405))</f>
        <v/>
      </c>
    </row>
    <row r="406" customFormat="false" ht="15" hidden="false" customHeight="false" outlineLevel="0" collapsed="false">
      <c r="A406" s="17" t="n">
        <v>402</v>
      </c>
      <c r="B406" s="12" t="s">
        <v>856</v>
      </c>
      <c r="C406" s="12" t="s">
        <v>565</v>
      </c>
      <c r="D406" s="16" t="n">
        <v>0.00282650462962963</v>
      </c>
      <c r="E406" s="15" t="n">
        <f aca="false">ROUND((D406-$D$5)*86400,2)</f>
        <v>19.18</v>
      </c>
      <c r="F406" s="17" t="n">
        <v>487</v>
      </c>
      <c r="G406" s="16" t="n">
        <f aca="false">IF(INDEX(選手一覧!$D$7:$D$2738,$F406)="","",INDEX(選手一覧!$D$7:$D$2738,$F406))</f>
        <v>0.010616087962963</v>
      </c>
      <c r="H406" s="17" t="n">
        <f aca="false">IF(INDEX(選手一覧!$E$7:$E$2738,$F406)="","",INDEX(選手一覧!$E$7:$E$2738,$F406))</f>
        <v>488</v>
      </c>
      <c r="I406" s="16" t="str">
        <f aca="false">IF(INDEX(選手一覧!$H$7:$H$2738,$F406)="","",INDEX(選手一覧!$H$7:$H$2738,$F406))</f>
        <v/>
      </c>
      <c r="J406" s="17" t="str">
        <f aca="false">IF(INDEX(選手一覧!$I$7:$I$2738,$F406)="","",INDEX(選手一覧!$I$7:$I$2738,$F406))</f>
        <v/>
      </c>
    </row>
    <row r="407" customFormat="false" ht="15" hidden="false" customHeight="false" outlineLevel="0" collapsed="false">
      <c r="A407" s="17" t="n">
        <v>403</v>
      </c>
      <c r="B407" s="12" t="s">
        <v>477</v>
      </c>
      <c r="C407" s="12" t="s">
        <v>478</v>
      </c>
      <c r="D407" s="16" t="n">
        <v>0.00282662037037037</v>
      </c>
      <c r="E407" s="15" t="n">
        <f aca="false">ROUND((D407-$D$5)*86400,2)</f>
        <v>19.19</v>
      </c>
      <c r="F407" s="17" t="n">
        <v>246</v>
      </c>
      <c r="G407" s="16" t="n">
        <f aca="false">IF(INDEX(選手一覧!$D$7:$D$2738,$F407)="","",INDEX(選手一覧!$D$7:$D$2738,$F407))</f>
        <v>0.0103861111111111</v>
      </c>
      <c r="H407" s="17" t="n">
        <f aca="false">IF(INDEX(選手一覧!$E$7:$E$2738,$F407)="","",INDEX(選手一覧!$E$7:$E$2738,$F407))</f>
        <v>247</v>
      </c>
      <c r="I407" s="16" t="str">
        <f aca="false">IF(INDEX(選手一覧!$H$7:$H$2738,$F407)="","",INDEX(選手一覧!$H$7:$H$2738,$F407))</f>
        <v/>
      </c>
      <c r="J407" s="17" t="str">
        <f aca="false">IF(INDEX(選手一覧!$I$7:$I$2738,$F407)="","",INDEX(選手一覧!$I$7:$I$2738,$F407))</f>
        <v/>
      </c>
    </row>
    <row r="408" customFormat="false" ht="15" hidden="false" customHeight="false" outlineLevel="0" collapsed="false">
      <c r="A408" s="17" t="n">
        <v>404</v>
      </c>
      <c r="B408" s="12" t="s">
        <v>2361</v>
      </c>
      <c r="C408" s="12" t="s">
        <v>2362</v>
      </c>
      <c r="D408" s="16" t="n">
        <v>0.00282696759259259</v>
      </c>
      <c r="E408" s="15" t="n">
        <f aca="false">ROUND((D408-$D$5)*86400,2)</f>
        <v>19.22</v>
      </c>
      <c r="F408" s="17" t="n">
        <v>1503</v>
      </c>
      <c r="G408" s="16" t="str">
        <f aca="false">IF(INDEX(選手一覧!$D$7:$D$2738,$F408)="","",INDEX(選手一覧!$D$7:$D$2738,$F408))</f>
        <v/>
      </c>
      <c r="H408" s="17" t="str">
        <f aca="false">IF(INDEX(選手一覧!$E$7:$E$2738,$F408)="","",INDEX(選手一覧!$E$7:$E$2738,$F408))</f>
        <v/>
      </c>
      <c r="I408" s="16" t="str">
        <f aca="false">IF(INDEX(選手一覧!$H$7:$H$2738,$F408)="","",INDEX(選手一覧!$H$7:$H$2738,$F408))</f>
        <v/>
      </c>
      <c r="J408" s="17" t="str">
        <f aca="false">IF(INDEX(選手一覧!$I$7:$I$2738,$F408)="","",INDEX(選手一覧!$I$7:$I$2738,$F408))</f>
        <v/>
      </c>
    </row>
    <row r="409" customFormat="false" ht="15" hidden="false" customHeight="false" outlineLevel="0" collapsed="false">
      <c r="A409" s="17" t="n">
        <v>405</v>
      </c>
      <c r="B409" s="12" t="s">
        <v>1353</v>
      </c>
      <c r="C409" s="12" t="s">
        <v>1354</v>
      </c>
      <c r="D409" s="16" t="n">
        <v>0.00282708333333333</v>
      </c>
      <c r="E409" s="15" t="n">
        <f aca="false">ROUND((D409-$D$5)*86400,2)</f>
        <v>19.23</v>
      </c>
      <c r="F409" s="17" t="n">
        <v>817</v>
      </c>
      <c r="G409" s="16" t="n">
        <f aca="false">IF(INDEX(選手一覧!$D$7:$D$2738,$F409)="","",INDEX(選手一覧!$D$7:$D$2738,$F409))</f>
        <v>0.0108424768518519</v>
      </c>
      <c r="H409" s="17" t="n">
        <f aca="false">IF(INDEX(選手一覧!$E$7:$E$2738,$F409)="","",INDEX(選手一覧!$E$7:$E$2738,$F409))</f>
        <v>818</v>
      </c>
      <c r="I409" s="16" t="str">
        <f aca="false">IF(INDEX(選手一覧!$H$7:$H$2738,$F409)="","",INDEX(選手一覧!$H$7:$H$2738,$F409))</f>
        <v/>
      </c>
      <c r="J409" s="17" t="str">
        <f aca="false">IF(INDEX(選手一覧!$I$7:$I$2738,$F409)="","",INDEX(選手一覧!$I$7:$I$2738,$F409))</f>
        <v/>
      </c>
    </row>
    <row r="410" customFormat="false" ht="15" hidden="false" customHeight="false" outlineLevel="0" collapsed="false">
      <c r="A410" s="17" t="n">
        <v>406</v>
      </c>
      <c r="B410" s="12" t="s">
        <v>483</v>
      </c>
      <c r="C410" s="12" t="s">
        <v>484</v>
      </c>
      <c r="D410" s="16" t="n">
        <v>0.00282719907407407</v>
      </c>
      <c r="E410" s="15" t="n">
        <f aca="false">ROUND((D410-$D$5)*86400,2)</f>
        <v>19.24</v>
      </c>
      <c r="F410" s="17" t="n">
        <v>249</v>
      </c>
      <c r="G410" s="16" t="n">
        <f aca="false">IF(INDEX(選手一覧!$D$7:$D$2738,$F410)="","",INDEX(選手一覧!$D$7:$D$2738,$F410))</f>
        <v>0.0103887731481482</v>
      </c>
      <c r="H410" s="17" t="n">
        <f aca="false">IF(INDEX(選手一覧!$E$7:$E$2738,$F410)="","",INDEX(選手一覧!$E$7:$E$2738,$F410))</f>
        <v>250</v>
      </c>
      <c r="I410" s="16" t="str">
        <f aca="false">IF(INDEX(選手一覧!$H$7:$H$2738,$F410)="","",INDEX(選手一覧!$H$7:$H$2738,$F410))</f>
        <v/>
      </c>
      <c r="J410" s="17" t="str">
        <f aca="false">IF(INDEX(選手一覧!$I$7:$I$2738,$F410)="","",INDEX(選手一覧!$I$7:$I$2738,$F410))</f>
        <v/>
      </c>
    </row>
    <row r="411" customFormat="false" ht="15" hidden="false" customHeight="false" outlineLevel="0" collapsed="false">
      <c r="A411" s="17" t="n">
        <v>407</v>
      </c>
      <c r="B411" s="12" t="s">
        <v>2364</v>
      </c>
      <c r="C411" s="12" t="s">
        <v>2365</v>
      </c>
      <c r="D411" s="16" t="n">
        <v>0.00282719907407407</v>
      </c>
      <c r="E411" s="15" t="n">
        <f aca="false">ROUND((D411-$D$5)*86400,2)</f>
        <v>19.24</v>
      </c>
      <c r="F411" s="17" t="n">
        <v>1505</v>
      </c>
      <c r="G411" s="16" t="str">
        <f aca="false">IF(INDEX(選手一覧!$D$7:$D$2738,$F411)="","",INDEX(選手一覧!$D$7:$D$2738,$F411))</f>
        <v/>
      </c>
      <c r="H411" s="17" t="str">
        <f aca="false">IF(INDEX(選手一覧!$E$7:$E$2738,$F411)="","",INDEX(選手一覧!$E$7:$E$2738,$F411))</f>
        <v/>
      </c>
      <c r="I411" s="16" t="str">
        <f aca="false">IF(INDEX(選手一覧!$H$7:$H$2738,$F411)="","",INDEX(選手一覧!$H$7:$H$2738,$F411))</f>
        <v/>
      </c>
      <c r="J411" s="17" t="str">
        <f aca="false">IF(INDEX(選手一覧!$I$7:$I$2738,$F411)="","",INDEX(選手一覧!$I$7:$I$2738,$F411))</f>
        <v/>
      </c>
    </row>
    <row r="412" customFormat="false" ht="15" hidden="false" customHeight="false" outlineLevel="0" collapsed="false">
      <c r="A412" s="17" t="n">
        <v>408</v>
      </c>
      <c r="B412" s="12" t="s">
        <v>2367</v>
      </c>
      <c r="C412" s="12" t="s">
        <v>2368</v>
      </c>
      <c r="D412" s="16" t="n">
        <v>0.00282777777777778</v>
      </c>
      <c r="E412" s="15" t="n">
        <f aca="false">ROUND((D412-$D$5)*86400,2)</f>
        <v>19.29</v>
      </c>
      <c r="F412" s="17" t="n">
        <v>1507</v>
      </c>
      <c r="G412" s="16" t="str">
        <f aca="false">IF(INDEX(選手一覧!$D$7:$D$2738,$F412)="","",INDEX(選手一覧!$D$7:$D$2738,$F412))</f>
        <v/>
      </c>
      <c r="H412" s="17" t="str">
        <f aca="false">IF(INDEX(選手一覧!$E$7:$E$2738,$F412)="","",INDEX(選手一覧!$E$7:$E$2738,$F412))</f>
        <v/>
      </c>
      <c r="I412" s="16" t="str">
        <f aca="false">IF(INDEX(選手一覧!$H$7:$H$2738,$F412)="","",INDEX(選手一覧!$H$7:$H$2738,$F412))</f>
        <v/>
      </c>
      <c r="J412" s="17" t="str">
        <f aca="false">IF(INDEX(選手一覧!$I$7:$I$2738,$F412)="","",INDEX(選手一覧!$I$7:$I$2738,$F412))</f>
        <v/>
      </c>
    </row>
    <row r="413" customFormat="false" ht="15" hidden="false" customHeight="false" outlineLevel="0" collapsed="false">
      <c r="A413" s="17" t="n">
        <v>409</v>
      </c>
      <c r="B413" s="12" t="s">
        <v>1294</v>
      </c>
      <c r="C413" s="12" t="s">
        <v>382</v>
      </c>
      <c r="D413" s="16" t="n">
        <v>0.00282800925925926</v>
      </c>
      <c r="E413" s="15" t="n">
        <f aca="false">ROUND((D413-$D$5)*86400,2)</f>
        <v>19.31</v>
      </c>
      <c r="F413" s="17" t="n">
        <v>775</v>
      </c>
      <c r="G413" s="16" t="n">
        <f aca="false">IF(INDEX(選手一覧!$D$7:$D$2738,$F413)="","",INDEX(選手一覧!$D$7:$D$2738,$F413))</f>
        <v>0.01081875</v>
      </c>
      <c r="H413" s="17" t="n">
        <f aca="false">IF(INDEX(選手一覧!$E$7:$E$2738,$F413)="","",INDEX(選手一覧!$E$7:$E$2738,$F413))</f>
        <v>776</v>
      </c>
      <c r="I413" s="16" t="str">
        <f aca="false">IF(INDEX(選手一覧!$H$7:$H$2738,$F413)="","",INDEX(選手一覧!$H$7:$H$2738,$F413))</f>
        <v/>
      </c>
      <c r="J413" s="17" t="str">
        <f aca="false">IF(INDEX(選手一覧!$I$7:$I$2738,$F413)="","",INDEX(選手一覧!$I$7:$I$2738,$F413))</f>
        <v/>
      </c>
    </row>
    <row r="414" customFormat="false" ht="15" hidden="false" customHeight="false" outlineLevel="0" collapsed="false">
      <c r="A414" s="17" t="n">
        <v>410</v>
      </c>
      <c r="B414" s="12" t="s">
        <v>1373</v>
      </c>
      <c r="C414" s="12" t="s">
        <v>167</v>
      </c>
      <c r="D414" s="16" t="n">
        <v>0.00282800925925926</v>
      </c>
      <c r="E414" s="15" t="n">
        <f aca="false">ROUND((D414-$D$5)*86400,2)</f>
        <v>19.31</v>
      </c>
      <c r="F414" s="17" t="n">
        <v>829</v>
      </c>
      <c r="G414" s="16" t="n">
        <f aca="false">IF(INDEX(選手一覧!$D$7:$D$2738,$F414)="","",INDEX(選手一覧!$D$7:$D$2738,$F414))</f>
        <v>0.0108479166666667</v>
      </c>
      <c r="H414" s="17" t="n">
        <f aca="false">IF(INDEX(選手一覧!$E$7:$E$2738,$F414)="","",INDEX(選手一覧!$E$7:$E$2738,$F414))</f>
        <v>830</v>
      </c>
      <c r="I414" s="16" t="n">
        <f aca="false">IF(INDEX(選手一覧!$H$7:$H$2738,$F414)="","",INDEX(選手一覧!$H$7:$H$2738,$F414))</f>
        <v>0.00685613425925926</v>
      </c>
      <c r="J414" s="17" t="n">
        <f aca="false">IF(INDEX(選手一覧!$I$7:$I$2738,$F414)="","",INDEX(選手一覧!$I$7:$I$2738,$F414))</f>
        <v>206</v>
      </c>
    </row>
    <row r="415" customFormat="false" ht="15" hidden="false" customHeight="false" outlineLevel="0" collapsed="false">
      <c r="A415" s="17" t="n">
        <v>411</v>
      </c>
      <c r="B415" s="12" t="s">
        <v>2373</v>
      </c>
      <c r="C415" s="12" t="s">
        <v>2374</v>
      </c>
      <c r="D415" s="16" t="n">
        <v>0.002828125</v>
      </c>
      <c r="E415" s="15" t="n">
        <f aca="false">ROUND((D415-$D$5)*86400,2)</f>
        <v>19.32</v>
      </c>
      <c r="F415" s="17" t="n">
        <v>1510</v>
      </c>
      <c r="G415" s="16" t="str">
        <f aca="false">IF(INDEX(選手一覧!$D$7:$D$2738,$F415)="","",INDEX(選手一覧!$D$7:$D$2738,$F415))</f>
        <v/>
      </c>
      <c r="H415" s="17" t="str">
        <f aca="false">IF(INDEX(選手一覧!$E$7:$E$2738,$F415)="","",INDEX(選手一覧!$E$7:$E$2738,$F415))</f>
        <v/>
      </c>
      <c r="I415" s="16" t="str">
        <f aca="false">IF(INDEX(選手一覧!$H$7:$H$2738,$F415)="","",INDEX(選手一覧!$H$7:$H$2738,$F415))</f>
        <v/>
      </c>
      <c r="J415" s="17" t="str">
        <f aca="false">IF(INDEX(選手一覧!$I$7:$I$2738,$F415)="","",INDEX(選手一覧!$I$7:$I$2738,$F415))</f>
        <v/>
      </c>
    </row>
    <row r="416" customFormat="false" ht="15" hidden="false" customHeight="false" outlineLevel="0" collapsed="false">
      <c r="A416" s="17" t="n">
        <v>412</v>
      </c>
      <c r="B416" s="12" t="s">
        <v>1350</v>
      </c>
      <c r="C416" s="12" t="s">
        <v>240</v>
      </c>
      <c r="D416" s="16" t="n">
        <v>0.002828125</v>
      </c>
      <c r="E416" s="15" t="n">
        <f aca="false">ROUND((D416-$D$5)*86400,2)</f>
        <v>19.32</v>
      </c>
      <c r="F416" s="17" t="n">
        <v>814</v>
      </c>
      <c r="G416" s="16" t="n">
        <f aca="false">IF(INDEX(選手一覧!$D$7:$D$2738,$F416)="","",INDEX(選手一覧!$D$7:$D$2738,$F416))</f>
        <v>0.0108413194444445</v>
      </c>
      <c r="H416" s="17" t="n">
        <f aca="false">IF(INDEX(選手一覧!$E$7:$E$2738,$F416)="","",INDEX(選手一覧!$E$7:$E$2738,$F416))</f>
        <v>815</v>
      </c>
      <c r="I416" s="16" t="n">
        <f aca="false">IF(INDEX(選手一覧!$H$7:$H$2738,$F416)="","",INDEX(選手一覧!$H$7:$H$2738,$F416))</f>
        <v>0.00699918981481482</v>
      </c>
      <c r="J416" s="17" t="n">
        <f aca="false">IF(INDEX(選手一覧!$I$7:$I$2738,$F416)="","",INDEX(選手一覧!$I$7:$I$2738,$F416))</f>
        <v>334</v>
      </c>
    </row>
    <row r="417" customFormat="false" ht="15" hidden="false" customHeight="false" outlineLevel="0" collapsed="false">
      <c r="A417" s="17" t="n">
        <v>413</v>
      </c>
      <c r="B417" s="12" t="s">
        <v>587</v>
      </c>
      <c r="C417" s="12" t="s">
        <v>141</v>
      </c>
      <c r="D417" s="16" t="n">
        <v>0.00282824074074074</v>
      </c>
      <c r="E417" s="15" t="n">
        <f aca="false">ROUND((D417-$D$5)*86400,2)</f>
        <v>19.33</v>
      </c>
      <c r="F417" s="17" t="n">
        <v>314</v>
      </c>
      <c r="G417" s="16" t="n">
        <f aca="false">IF(INDEX(選手一覧!$D$7:$D$2738,$F417)="","",INDEX(選手一覧!$D$7:$D$2738,$F417))</f>
        <v>0.010465162037037</v>
      </c>
      <c r="H417" s="17" t="n">
        <f aca="false">IF(INDEX(選手一覧!$E$7:$E$2738,$F417)="","",INDEX(選手一覧!$E$7:$E$2738,$F417))</f>
        <v>315</v>
      </c>
      <c r="I417" s="16" t="n">
        <f aca="false">IF(INDEX(選手一覧!$H$7:$H$2738,$F417)="","",INDEX(選手一覧!$H$7:$H$2738,$F417))</f>
        <v>0.00664930555555556</v>
      </c>
      <c r="J417" s="17" t="n">
        <f aca="false">IF(INDEX(選手一覧!$I$7:$I$2738,$F417)="","",INDEX(選手一覧!$I$7:$I$2738,$F417))</f>
        <v>82</v>
      </c>
    </row>
    <row r="418" customFormat="false" ht="15" hidden="false" customHeight="false" outlineLevel="0" collapsed="false">
      <c r="A418" s="17" t="n">
        <v>414</v>
      </c>
      <c r="B418" s="12" t="s">
        <v>574</v>
      </c>
      <c r="C418" s="12" t="s">
        <v>575</v>
      </c>
      <c r="D418" s="16" t="n">
        <v>0.00282835648148148</v>
      </c>
      <c r="E418" s="15" t="n">
        <f aca="false">ROUND((D418-$D$5)*86400,2)</f>
        <v>19.34</v>
      </c>
      <c r="F418" s="17" t="n">
        <v>306</v>
      </c>
      <c r="G418" s="16" t="n">
        <f aca="false">IF(INDEX(選手一覧!$D$7:$D$2738,$F418)="","",INDEX(選手一覧!$D$7:$D$2738,$F418))</f>
        <v>0.0104564814814815</v>
      </c>
      <c r="H418" s="17" t="n">
        <f aca="false">IF(INDEX(選手一覧!$E$7:$E$2738,$F418)="","",INDEX(選手一覧!$E$7:$E$2738,$F418))</f>
        <v>307</v>
      </c>
      <c r="I418" s="16" t="str">
        <f aca="false">IF(INDEX(選手一覧!$H$7:$H$2738,$F418)="","",INDEX(選手一覧!$H$7:$H$2738,$F418))</f>
        <v/>
      </c>
      <c r="J418" s="17" t="str">
        <f aca="false">IF(INDEX(選手一覧!$I$7:$I$2738,$F418)="","",INDEX(選手一覧!$I$7:$I$2738,$F418))</f>
        <v/>
      </c>
    </row>
    <row r="419" customFormat="false" ht="15" hidden="false" customHeight="false" outlineLevel="0" collapsed="false">
      <c r="A419" s="17" t="n">
        <v>415</v>
      </c>
      <c r="B419" s="12" t="s">
        <v>2378</v>
      </c>
      <c r="C419" s="12" t="s">
        <v>2379</v>
      </c>
      <c r="D419" s="16" t="n">
        <v>0.00282858796296296</v>
      </c>
      <c r="E419" s="15" t="n">
        <f aca="false">ROUND((D419-$D$5)*86400,2)</f>
        <v>19.36</v>
      </c>
      <c r="F419" s="17" t="n">
        <v>1514</v>
      </c>
      <c r="G419" s="16" t="str">
        <f aca="false">IF(INDEX(選手一覧!$D$7:$D$2738,$F419)="","",INDEX(選手一覧!$D$7:$D$2738,$F419))</f>
        <v/>
      </c>
      <c r="H419" s="17" t="str">
        <f aca="false">IF(INDEX(選手一覧!$E$7:$E$2738,$F419)="","",INDEX(選手一覧!$E$7:$E$2738,$F419))</f>
        <v/>
      </c>
      <c r="I419" s="16" t="str">
        <f aca="false">IF(INDEX(選手一覧!$H$7:$H$2738,$F419)="","",INDEX(選手一覧!$H$7:$H$2738,$F419))</f>
        <v/>
      </c>
      <c r="J419" s="17" t="str">
        <f aca="false">IF(INDEX(選手一覧!$I$7:$I$2738,$F419)="","",INDEX(選手一覧!$I$7:$I$2738,$F419))</f>
        <v/>
      </c>
    </row>
    <row r="420" customFormat="false" ht="15" hidden="false" customHeight="false" outlineLevel="0" collapsed="false">
      <c r="A420" s="17" t="n">
        <v>416</v>
      </c>
      <c r="B420" s="12" t="s">
        <v>784</v>
      </c>
      <c r="C420" s="12" t="s">
        <v>785</v>
      </c>
      <c r="D420" s="16" t="n">
        <v>0.0028287037037037</v>
      </c>
      <c r="E420" s="15" t="n">
        <f aca="false">ROUND((D420-$D$5)*86400,2)</f>
        <v>19.37</v>
      </c>
      <c r="F420" s="17" t="n">
        <v>439</v>
      </c>
      <c r="G420" s="16" t="n">
        <f aca="false">IF(INDEX(選手一覧!$D$7:$D$2738,$F420)="","",INDEX(選手一覧!$D$7:$D$2738,$F420))</f>
        <v>0.0105834490740741</v>
      </c>
      <c r="H420" s="17" t="n">
        <f aca="false">IF(INDEX(選手一覧!$E$7:$E$2738,$F420)="","",INDEX(選手一覧!$E$7:$E$2738,$F420))</f>
        <v>440</v>
      </c>
      <c r="I420" s="16" t="str">
        <f aca="false">IF(INDEX(選手一覧!$H$7:$H$2738,$F420)="","",INDEX(選手一覧!$H$7:$H$2738,$F420))</f>
        <v/>
      </c>
      <c r="J420" s="17" t="str">
        <f aca="false">IF(INDEX(選手一覧!$I$7:$I$2738,$F420)="","",INDEX(選手一覧!$I$7:$I$2738,$F420))</f>
        <v/>
      </c>
    </row>
    <row r="421" customFormat="false" ht="15" hidden="false" customHeight="false" outlineLevel="0" collapsed="false">
      <c r="A421" s="17" t="n">
        <v>417</v>
      </c>
      <c r="B421" s="12" t="s">
        <v>2384</v>
      </c>
      <c r="C421" s="12" t="s">
        <v>2385</v>
      </c>
      <c r="D421" s="16" t="n">
        <v>0.00282881944444445</v>
      </c>
      <c r="E421" s="15" t="n">
        <f aca="false">ROUND((D421-$D$5)*86400,2)</f>
        <v>19.38</v>
      </c>
      <c r="F421" s="17" t="n">
        <v>1517</v>
      </c>
      <c r="G421" s="16" t="str">
        <f aca="false">IF(INDEX(選手一覧!$D$7:$D$2738,$F421)="","",INDEX(選手一覧!$D$7:$D$2738,$F421))</f>
        <v/>
      </c>
      <c r="H421" s="17" t="str">
        <f aca="false">IF(INDEX(選手一覧!$E$7:$E$2738,$F421)="","",INDEX(選手一覧!$E$7:$E$2738,$F421))</f>
        <v/>
      </c>
      <c r="I421" s="16" t="str">
        <f aca="false">IF(INDEX(選手一覧!$H$7:$H$2738,$F421)="","",INDEX(選手一覧!$H$7:$H$2738,$F421))</f>
        <v/>
      </c>
      <c r="J421" s="17" t="str">
        <f aca="false">IF(INDEX(選手一覧!$I$7:$I$2738,$F421)="","",INDEX(選手一覧!$I$7:$I$2738,$F421))</f>
        <v/>
      </c>
    </row>
    <row r="422" customFormat="false" ht="15" hidden="false" customHeight="false" outlineLevel="0" collapsed="false">
      <c r="A422" s="17" t="n">
        <v>418</v>
      </c>
      <c r="B422" s="12" t="s">
        <v>913</v>
      </c>
      <c r="C422" s="12" t="s">
        <v>623</v>
      </c>
      <c r="D422" s="16" t="n">
        <v>0.00282881944444445</v>
      </c>
      <c r="E422" s="15" t="n">
        <f aca="false">ROUND((D422-$D$5)*86400,2)</f>
        <v>19.38</v>
      </c>
      <c r="F422" s="17" t="n">
        <v>519</v>
      </c>
      <c r="G422" s="16" t="n">
        <f aca="false">IF(INDEX(選手一覧!$D$7:$D$2738,$F422)="","",INDEX(選手一覧!$D$7:$D$2738,$F422))</f>
        <v>0.0106479166666667</v>
      </c>
      <c r="H422" s="17" t="n">
        <f aca="false">IF(INDEX(選手一覧!$E$7:$E$2738,$F422)="","",INDEX(選手一覧!$E$7:$E$2738,$F422))</f>
        <v>520</v>
      </c>
      <c r="I422" s="16" t="str">
        <f aca="false">IF(INDEX(選手一覧!$H$7:$H$2738,$F422)="","",INDEX(選手一覧!$H$7:$H$2738,$F422))</f>
        <v/>
      </c>
      <c r="J422" s="17" t="str">
        <f aca="false">IF(INDEX(選手一覧!$I$7:$I$2738,$F422)="","",INDEX(選手一覧!$I$7:$I$2738,$F422))</f>
        <v/>
      </c>
    </row>
    <row r="423" customFormat="false" ht="15" hidden="false" customHeight="false" outlineLevel="0" collapsed="false">
      <c r="A423" s="17" t="n">
        <v>419</v>
      </c>
      <c r="B423" s="12" t="s">
        <v>616</v>
      </c>
      <c r="C423" s="12" t="s">
        <v>565</v>
      </c>
      <c r="D423" s="16" t="n">
        <v>0.00282905092592593</v>
      </c>
      <c r="E423" s="15" t="n">
        <f aca="false">ROUND((D423-$D$5)*86400,2)</f>
        <v>19.4</v>
      </c>
      <c r="F423" s="17" t="n">
        <v>332</v>
      </c>
      <c r="G423" s="16" t="n">
        <f aca="false">IF(INDEX(選手一覧!$D$7:$D$2738,$F423)="","",INDEX(選手一覧!$D$7:$D$2738,$F423))</f>
        <v>0.0104903935185185</v>
      </c>
      <c r="H423" s="17" t="n">
        <f aca="false">IF(INDEX(選手一覧!$E$7:$E$2738,$F423)="","",INDEX(選手一覧!$E$7:$E$2738,$F423))</f>
        <v>333</v>
      </c>
      <c r="I423" s="16" t="n">
        <f aca="false">IF(INDEX(選手一覧!$H$7:$H$2738,$F423)="","",INDEX(選手一覧!$H$7:$H$2738,$F423))</f>
        <v>0.00670543981481482</v>
      </c>
      <c r="J423" s="17" t="n">
        <f aca="false">IF(INDEX(選手一覧!$I$7:$I$2738,$F423)="","",INDEX(選手一覧!$I$7:$I$2738,$F423))</f>
        <v>111</v>
      </c>
    </row>
    <row r="424" customFormat="false" ht="15" hidden="false" customHeight="false" outlineLevel="0" collapsed="false">
      <c r="A424" s="17" t="n">
        <v>420</v>
      </c>
      <c r="B424" s="12" t="s">
        <v>436</v>
      </c>
      <c r="C424" s="12" t="s">
        <v>115</v>
      </c>
      <c r="D424" s="16" t="n">
        <v>0.00282905092592593</v>
      </c>
      <c r="E424" s="15" t="n">
        <f aca="false">ROUND((D424-$D$5)*86400,2)</f>
        <v>19.4</v>
      </c>
      <c r="F424" s="17" t="n">
        <v>223</v>
      </c>
      <c r="G424" s="16" t="n">
        <f aca="false">IF(INDEX(選手一覧!$D$7:$D$2738,$F424)="","",INDEX(選手一覧!$D$7:$D$2738,$F424))</f>
        <v>0.010369212962963</v>
      </c>
      <c r="H424" s="17" t="n">
        <f aca="false">IF(INDEX(選手一覧!$E$7:$E$2738,$F424)="","",INDEX(選手一覧!$E$7:$E$2738,$F424))</f>
        <v>224</v>
      </c>
      <c r="I424" s="16" t="str">
        <f aca="false">IF(INDEX(選手一覧!$H$7:$H$2738,$F424)="","",INDEX(選手一覧!$H$7:$H$2738,$F424))</f>
        <v/>
      </c>
      <c r="J424" s="17" t="str">
        <f aca="false">IF(INDEX(選手一覧!$I$7:$I$2738,$F424)="","",INDEX(選手一覧!$I$7:$I$2738,$F424))</f>
        <v/>
      </c>
    </row>
    <row r="425" customFormat="false" ht="15" hidden="false" customHeight="false" outlineLevel="0" collapsed="false">
      <c r="A425" s="17" t="n">
        <v>421</v>
      </c>
      <c r="B425" s="12" t="s">
        <v>2046</v>
      </c>
      <c r="C425" s="12" t="s">
        <v>2047</v>
      </c>
      <c r="D425" s="16" t="n">
        <v>0.00282916666666667</v>
      </c>
      <c r="E425" s="15" t="n">
        <f aca="false">ROUND((D425-$D$5)*86400,2)</f>
        <v>19.41</v>
      </c>
      <c r="F425" s="17" t="n">
        <v>1295</v>
      </c>
      <c r="G425" s="16" t="str">
        <f aca="false">IF(INDEX(選手一覧!$D$7:$D$2738,$F425)="","",INDEX(選手一覧!$D$7:$D$2738,$F425))</f>
        <v/>
      </c>
      <c r="H425" s="17" t="str">
        <f aca="false">IF(INDEX(選手一覧!$E$7:$E$2738,$F425)="","",INDEX(選手一覧!$E$7:$E$2738,$F425))</f>
        <v/>
      </c>
      <c r="I425" s="16" t="n">
        <f aca="false">IF(INDEX(選手一覧!$H$7:$H$2738,$F425)="","",INDEX(選手一覧!$H$7:$H$2738,$F425))</f>
        <v>0.00658125</v>
      </c>
      <c r="J425" s="17" t="n">
        <f aca="false">IF(INDEX(選手一覧!$I$7:$I$2738,$F425)="","",INDEX(選手一覧!$I$7:$I$2738,$F425))</f>
        <v>63</v>
      </c>
    </row>
    <row r="426" customFormat="false" ht="15" hidden="false" customHeight="false" outlineLevel="0" collapsed="false">
      <c r="A426" s="17" t="n">
        <v>422</v>
      </c>
      <c r="B426" s="12" t="s">
        <v>2388</v>
      </c>
      <c r="C426" s="12" t="s">
        <v>1798</v>
      </c>
      <c r="D426" s="16" t="n">
        <v>0.00282928240740741</v>
      </c>
      <c r="E426" s="15" t="n">
        <f aca="false">ROUND((D426-$D$5)*86400,2)</f>
        <v>19.42</v>
      </c>
      <c r="F426" s="17" t="n">
        <v>1520</v>
      </c>
      <c r="G426" s="16" t="str">
        <f aca="false">IF(INDEX(選手一覧!$D$7:$D$2738,$F426)="","",INDEX(選手一覧!$D$7:$D$2738,$F426))</f>
        <v/>
      </c>
      <c r="H426" s="17" t="str">
        <f aca="false">IF(INDEX(選手一覧!$E$7:$E$2738,$F426)="","",INDEX(選手一覧!$E$7:$E$2738,$F426))</f>
        <v/>
      </c>
      <c r="I426" s="16" t="str">
        <f aca="false">IF(INDEX(選手一覧!$H$7:$H$2738,$F426)="","",INDEX(選手一覧!$H$7:$H$2738,$F426))</f>
        <v/>
      </c>
      <c r="J426" s="17" t="str">
        <f aca="false">IF(INDEX(選手一覧!$I$7:$I$2738,$F426)="","",INDEX(選手一覧!$I$7:$I$2738,$F426))</f>
        <v/>
      </c>
    </row>
    <row r="427" customFormat="false" ht="15" hidden="false" customHeight="false" outlineLevel="0" collapsed="false">
      <c r="A427" s="17" t="n">
        <v>423</v>
      </c>
      <c r="B427" s="12" t="s">
        <v>2389</v>
      </c>
      <c r="C427" s="12" t="s">
        <v>209</v>
      </c>
      <c r="D427" s="16" t="n">
        <v>0.00282939814814815</v>
      </c>
      <c r="E427" s="15" t="n">
        <f aca="false">ROUND((D427-$D$5)*86400,2)</f>
        <v>19.43</v>
      </c>
      <c r="F427" s="17" t="n">
        <v>1521</v>
      </c>
      <c r="G427" s="16" t="str">
        <f aca="false">IF(INDEX(選手一覧!$D$7:$D$2738,$F427)="","",INDEX(選手一覧!$D$7:$D$2738,$F427))</f>
        <v/>
      </c>
      <c r="H427" s="17" t="str">
        <f aca="false">IF(INDEX(選手一覧!$E$7:$E$2738,$F427)="","",INDEX(選手一覧!$E$7:$E$2738,$F427))</f>
        <v/>
      </c>
      <c r="I427" s="16" t="n">
        <f aca="false">IF(INDEX(選手一覧!$H$7:$H$2738,$F427)="","",INDEX(選手一覧!$H$7:$H$2738,$F427))</f>
        <v>0.00794456018518519</v>
      </c>
      <c r="J427" s="17" t="n">
        <f aca="false">IF(INDEX(選手一覧!$I$7:$I$2738,$F427)="","",INDEX(選手一覧!$I$7:$I$2738,$F427))</f>
        <v>1178</v>
      </c>
    </row>
    <row r="428" customFormat="false" ht="15" hidden="false" customHeight="false" outlineLevel="0" collapsed="false">
      <c r="A428" s="17" t="n">
        <v>424</v>
      </c>
      <c r="B428" s="12" t="s">
        <v>1239</v>
      </c>
      <c r="C428" s="12" t="s">
        <v>150</v>
      </c>
      <c r="D428" s="16" t="n">
        <v>0.00282962962962963</v>
      </c>
      <c r="E428" s="15" t="n">
        <f aca="false">ROUND((D428-$D$5)*86400,2)</f>
        <v>19.45</v>
      </c>
      <c r="F428" s="17" t="n">
        <v>738</v>
      </c>
      <c r="G428" s="16" t="n">
        <f aca="false">IF(INDEX(選手一覧!$D$7:$D$2738,$F428)="","",INDEX(選手一覧!$D$7:$D$2738,$F428))</f>
        <v>0.0107994212962963</v>
      </c>
      <c r="H428" s="17" t="n">
        <f aca="false">IF(INDEX(選手一覧!$E$7:$E$2738,$F428)="","",INDEX(選手一覧!$E$7:$E$2738,$F428))</f>
        <v>739</v>
      </c>
      <c r="I428" s="16" t="n">
        <f aca="false">IF(INDEX(選手一覧!$H$7:$H$2738,$F428)="","",INDEX(選手一覧!$H$7:$H$2738,$F428))</f>
        <v>0.00673020833333333</v>
      </c>
      <c r="J428" s="17" t="n">
        <f aca="false">IF(INDEX(選手一覧!$I$7:$I$2738,$F428)="","",INDEX(選手一覧!$I$7:$I$2738,$F428))</f>
        <v>120</v>
      </c>
    </row>
    <row r="429" customFormat="false" ht="15" hidden="false" customHeight="false" outlineLevel="0" collapsed="false">
      <c r="A429" s="17" t="n">
        <v>425</v>
      </c>
      <c r="B429" s="12" t="s">
        <v>2394</v>
      </c>
      <c r="C429" s="12" t="s">
        <v>2395</v>
      </c>
      <c r="D429" s="16" t="n">
        <v>0.00282962962962963</v>
      </c>
      <c r="E429" s="15" t="n">
        <f aca="false">ROUND((D429-$D$5)*86400,2)</f>
        <v>19.45</v>
      </c>
      <c r="F429" s="17" t="n">
        <v>1525</v>
      </c>
      <c r="G429" s="16" t="str">
        <f aca="false">IF(INDEX(選手一覧!$D$7:$D$2738,$F429)="","",INDEX(選手一覧!$D$7:$D$2738,$F429))</f>
        <v/>
      </c>
      <c r="H429" s="17" t="str">
        <f aca="false">IF(INDEX(選手一覧!$E$7:$E$2738,$F429)="","",INDEX(選手一覧!$E$7:$E$2738,$F429))</f>
        <v/>
      </c>
      <c r="I429" s="16" t="str">
        <f aca="false">IF(INDEX(選手一覧!$H$7:$H$2738,$F429)="","",INDEX(選手一覧!$H$7:$H$2738,$F429))</f>
        <v/>
      </c>
      <c r="J429" s="17" t="str">
        <f aca="false">IF(INDEX(選手一覧!$I$7:$I$2738,$F429)="","",INDEX(選手一覧!$I$7:$I$2738,$F429))</f>
        <v/>
      </c>
    </row>
    <row r="430" customFormat="false" ht="15" hidden="false" customHeight="false" outlineLevel="0" collapsed="false">
      <c r="A430" s="17" t="n">
        <v>426</v>
      </c>
      <c r="B430" s="12" t="s">
        <v>1022</v>
      </c>
      <c r="C430" s="12" t="s">
        <v>137</v>
      </c>
      <c r="D430" s="16" t="n">
        <v>0.00282974537037037</v>
      </c>
      <c r="E430" s="15" t="n">
        <f aca="false">ROUND((D430-$D$5)*86400,2)</f>
        <v>19.46</v>
      </c>
      <c r="F430" s="17" t="n">
        <v>591</v>
      </c>
      <c r="G430" s="16" t="n">
        <f aca="false">IF(INDEX(選手一覧!$D$7:$D$2738,$F430)="","",INDEX(選手一覧!$D$7:$D$2738,$F430))</f>
        <v>0.0107072916666667</v>
      </c>
      <c r="H430" s="17" t="n">
        <f aca="false">IF(INDEX(選手一覧!$E$7:$E$2738,$F430)="","",INDEX(選手一覧!$E$7:$E$2738,$F430))</f>
        <v>592</v>
      </c>
      <c r="I430" s="16" t="n">
        <f aca="false">IF(INDEX(選手一覧!$H$7:$H$2738,$F430)="","",INDEX(選手一覧!$H$7:$H$2738,$F430))</f>
        <v>0.0071912037037037</v>
      </c>
      <c r="J430" s="17" t="n">
        <f aca="false">IF(INDEX(選手一覧!$I$7:$I$2738,$F430)="","",INDEX(選手一覧!$I$7:$I$2738,$F430))</f>
        <v>529</v>
      </c>
    </row>
    <row r="431" customFormat="false" ht="15" hidden="false" customHeight="false" outlineLevel="0" collapsed="false">
      <c r="A431" s="17" t="n">
        <v>427</v>
      </c>
      <c r="B431" s="12" t="s">
        <v>849</v>
      </c>
      <c r="C431" s="12" t="s">
        <v>380</v>
      </c>
      <c r="D431" s="16" t="n">
        <v>0.00282997685185185</v>
      </c>
      <c r="E431" s="15" t="n">
        <f aca="false">ROUND((D431-$D$5)*86400,2)</f>
        <v>19.48</v>
      </c>
      <c r="F431" s="17" t="n">
        <v>482</v>
      </c>
      <c r="G431" s="16" t="n">
        <f aca="false">IF(INDEX(選手一覧!$D$7:$D$2738,$F431)="","",INDEX(選手一覧!$D$7:$D$2738,$F431))</f>
        <v>0.0106130787037037</v>
      </c>
      <c r="H431" s="17" t="n">
        <f aca="false">IF(INDEX(選手一覧!$E$7:$E$2738,$F431)="","",INDEX(選手一覧!$E$7:$E$2738,$F431))</f>
        <v>483</v>
      </c>
      <c r="I431" s="16" t="str">
        <f aca="false">IF(INDEX(選手一覧!$H$7:$H$2738,$F431)="","",INDEX(選手一覧!$H$7:$H$2738,$F431))</f>
        <v/>
      </c>
      <c r="J431" s="17" t="str">
        <f aca="false">IF(INDEX(選手一覧!$I$7:$I$2738,$F431)="","",INDEX(選手一覧!$I$7:$I$2738,$F431))</f>
        <v/>
      </c>
    </row>
    <row r="432" customFormat="false" ht="15" hidden="false" customHeight="false" outlineLevel="0" collapsed="false">
      <c r="A432" s="17" t="n">
        <v>428</v>
      </c>
      <c r="B432" s="12" t="s">
        <v>1308</v>
      </c>
      <c r="C432" s="12" t="s">
        <v>397</v>
      </c>
      <c r="D432" s="16" t="n">
        <v>0.00283009259259259</v>
      </c>
      <c r="E432" s="15" t="n">
        <f aca="false">ROUND((D432-$D$5)*86400,2)</f>
        <v>19.49</v>
      </c>
      <c r="F432" s="17" t="n">
        <v>787</v>
      </c>
      <c r="G432" s="16" t="n">
        <f aca="false">IF(INDEX(選手一覧!$D$7:$D$2738,$F432)="","",INDEX(選手一覧!$D$7:$D$2738,$F432))</f>
        <v>0.0108291666666667</v>
      </c>
      <c r="H432" s="17" t="n">
        <f aca="false">IF(INDEX(選手一覧!$E$7:$E$2738,$F432)="","",INDEX(選手一覧!$E$7:$E$2738,$F432))</f>
        <v>788</v>
      </c>
      <c r="I432" s="16" t="str">
        <f aca="false">IF(INDEX(選手一覧!$H$7:$H$2738,$F432)="","",INDEX(選手一覧!$H$7:$H$2738,$F432))</f>
        <v/>
      </c>
      <c r="J432" s="17" t="str">
        <f aca="false">IF(INDEX(選手一覧!$I$7:$I$2738,$F432)="","",INDEX(選手一覧!$I$7:$I$2738,$F432))</f>
        <v/>
      </c>
    </row>
    <row r="433" customFormat="false" ht="15" hidden="false" customHeight="false" outlineLevel="0" collapsed="false">
      <c r="A433" s="17" t="n">
        <v>429</v>
      </c>
      <c r="B433" s="12" t="s">
        <v>342</v>
      </c>
      <c r="C433" s="12" t="s">
        <v>83</v>
      </c>
      <c r="D433" s="16" t="n">
        <v>0.00283043981481482</v>
      </c>
      <c r="E433" s="15" t="n">
        <f aca="false">ROUND((D433-$D$5)*86400,2)</f>
        <v>19.52</v>
      </c>
      <c r="F433" s="17" t="n">
        <v>165</v>
      </c>
      <c r="G433" s="16" t="n">
        <f aca="false">IF(INDEX(選手一覧!$D$7:$D$2738,$F433)="","",INDEX(選手一覧!$D$7:$D$2738,$F433))</f>
        <v>0.0103112268518519</v>
      </c>
      <c r="H433" s="17" t="n">
        <f aca="false">IF(INDEX(選手一覧!$E$7:$E$2738,$F433)="","",INDEX(選手一覧!$E$7:$E$2738,$F433))</f>
        <v>166</v>
      </c>
      <c r="I433" s="16" t="str">
        <f aca="false">IF(INDEX(選手一覧!$H$7:$H$2738,$F433)="","",INDEX(選手一覧!$H$7:$H$2738,$F433))</f>
        <v/>
      </c>
      <c r="J433" s="17" t="str">
        <f aca="false">IF(INDEX(選手一覧!$I$7:$I$2738,$F433)="","",INDEX(選手一覧!$I$7:$I$2738,$F433))</f>
        <v/>
      </c>
    </row>
    <row r="434" customFormat="false" ht="15" hidden="false" customHeight="false" outlineLevel="0" collapsed="false">
      <c r="A434" s="17" t="n">
        <v>430</v>
      </c>
      <c r="B434" s="12" t="s">
        <v>2072</v>
      </c>
      <c r="C434" s="12" t="s">
        <v>2073</v>
      </c>
      <c r="D434" s="16" t="n">
        <v>0.0028306712962963</v>
      </c>
      <c r="E434" s="15" t="n">
        <f aca="false">ROUND((D434-$D$5)*86400,2)</f>
        <v>19.54</v>
      </c>
      <c r="F434" s="17" t="n">
        <v>1314</v>
      </c>
      <c r="G434" s="16" t="str">
        <f aca="false">IF(INDEX(選手一覧!$D$7:$D$2738,$F434)="","",INDEX(選手一覧!$D$7:$D$2738,$F434))</f>
        <v/>
      </c>
      <c r="H434" s="17" t="str">
        <f aca="false">IF(INDEX(選手一覧!$E$7:$E$2738,$F434)="","",INDEX(選手一覧!$E$7:$E$2738,$F434))</f>
        <v/>
      </c>
      <c r="I434" s="16" t="n">
        <f aca="false">IF(INDEX(選手一覧!$H$7:$H$2738,$F434)="","",INDEX(選手一覧!$H$7:$H$2738,$F434))</f>
        <v>0.00675428240740741</v>
      </c>
      <c r="J434" s="17" t="n">
        <f aca="false">IF(INDEX(選手一覧!$I$7:$I$2738,$F434)="","",INDEX(選手一覧!$I$7:$I$2738,$F434))</f>
        <v>131</v>
      </c>
    </row>
    <row r="435" customFormat="false" ht="15" hidden="false" customHeight="false" outlineLevel="0" collapsed="false">
      <c r="A435" s="17" t="n">
        <v>431</v>
      </c>
      <c r="B435" s="12" t="s">
        <v>851</v>
      </c>
      <c r="C435" s="12" t="s">
        <v>852</v>
      </c>
      <c r="D435" s="16" t="n">
        <v>0.0028306712962963</v>
      </c>
      <c r="E435" s="15" t="n">
        <f aca="false">ROUND((D435-$D$5)*86400,2)</f>
        <v>19.54</v>
      </c>
      <c r="F435" s="17" t="n">
        <v>484</v>
      </c>
      <c r="G435" s="16" t="n">
        <f aca="false">IF(INDEX(選手一覧!$D$7:$D$2738,$F435)="","",INDEX(選手一覧!$D$7:$D$2738,$F435))</f>
        <v>0.0106138888888889</v>
      </c>
      <c r="H435" s="17" t="n">
        <f aca="false">IF(INDEX(選手一覧!$E$7:$E$2738,$F435)="","",INDEX(選手一覧!$E$7:$E$2738,$F435))</f>
        <v>485</v>
      </c>
      <c r="I435" s="16" t="str">
        <f aca="false">IF(INDEX(選手一覧!$H$7:$H$2738,$F435)="","",INDEX(選手一覧!$H$7:$H$2738,$F435))</f>
        <v/>
      </c>
      <c r="J435" s="17" t="str">
        <f aca="false">IF(INDEX(選手一覧!$I$7:$I$2738,$F435)="","",INDEX(選手一覧!$I$7:$I$2738,$F435))</f>
        <v/>
      </c>
    </row>
    <row r="436" customFormat="false" ht="15" hidden="false" customHeight="false" outlineLevel="0" collapsed="false">
      <c r="A436" s="17" t="n">
        <v>432</v>
      </c>
      <c r="B436" s="12" t="s">
        <v>1291</v>
      </c>
      <c r="C436" s="12" t="s">
        <v>1292</v>
      </c>
      <c r="D436" s="16" t="n">
        <v>0.00283078703703704</v>
      </c>
      <c r="E436" s="15" t="n">
        <f aca="false">ROUND((D436-$D$5)*86400,2)</f>
        <v>19.55</v>
      </c>
      <c r="F436" s="17" t="n">
        <v>773</v>
      </c>
      <c r="G436" s="16" t="n">
        <f aca="false">IF(INDEX(選手一覧!$D$7:$D$2738,$F436)="","",INDEX(選手一覧!$D$7:$D$2738,$F436))</f>
        <v>0.0108181712962963</v>
      </c>
      <c r="H436" s="17" t="n">
        <f aca="false">IF(INDEX(選手一覧!$E$7:$E$2738,$F436)="","",INDEX(選手一覧!$E$7:$E$2738,$F436))</f>
        <v>774</v>
      </c>
      <c r="I436" s="16" t="str">
        <f aca="false">IF(INDEX(選手一覧!$H$7:$H$2738,$F436)="","",INDEX(選手一覧!$H$7:$H$2738,$F436))</f>
        <v/>
      </c>
      <c r="J436" s="17" t="str">
        <f aca="false">IF(INDEX(選手一覧!$I$7:$I$2738,$F436)="","",INDEX(選手一覧!$I$7:$I$2738,$F436))</f>
        <v/>
      </c>
    </row>
    <row r="437" customFormat="false" ht="15" hidden="false" customHeight="false" outlineLevel="0" collapsed="false">
      <c r="A437" s="17" t="n">
        <v>433</v>
      </c>
      <c r="B437" s="12" t="s">
        <v>2402</v>
      </c>
      <c r="C437" s="12" t="s">
        <v>127</v>
      </c>
      <c r="D437" s="16" t="n">
        <v>0.00283101851851852</v>
      </c>
      <c r="E437" s="15" t="n">
        <f aca="false">ROUND((D437-$D$5)*86400,2)</f>
        <v>19.57</v>
      </c>
      <c r="F437" s="17" t="n">
        <v>1530</v>
      </c>
      <c r="G437" s="16" t="str">
        <f aca="false">IF(INDEX(選手一覧!$D$7:$D$2738,$F437)="","",INDEX(選手一覧!$D$7:$D$2738,$F437))</f>
        <v/>
      </c>
      <c r="H437" s="17" t="str">
        <f aca="false">IF(INDEX(選手一覧!$E$7:$E$2738,$F437)="","",INDEX(選手一覧!$E$7:$E$2738,$F437))</f>
        <v/>
      </c>
      <c r="I437" s="16" t="str">
        <f aca="false">IF(INDEX(選手一覧!$H$7:$H$2738,$F437)="","",INDEX(選手一覧!$H$7:$H$2738,$F437))</f>
        <v/>
      </c>
      <c r="J437" s="17" t="str">
        <f aca="false">IF(INDEX(選手一覧!$I$7:$I$2738,$F437)="","",INDEX(選手一覧!$I$7:$I$2738,$F437))</f>
        <v/>
      </c>
    </row>
    <row r="438" customFormat="false" ht="15" hidden="false" customHeight="false" outlineLevel="0" collapsed="false">
      <c r="A438" s="17" t="n">
        <v>434</v>
      </c>
      <c r="B438" s="12" t="s">
        <v>2405</v>
      </c>
      <c r="C438" s="12" t="s">
        <v>1284</v>
      </c>
      <c r="D438" s="16" t="n">
        <v>0.00283159722222222</v>
      </c>
      <c r="E438" s="15" t="n">
        <f aca="false">ROUND((D438-$D$5)*86400,2)</f>
        <v>19.62</v>
      </c>
      <c r="F438" s="17" t="n">
        <v>1532</v>
      </c>
      <c r="G438" s="16" t="str">
        <f aca="false">IF(INDEX(選手一覧!$D$7:$D$2738,$F438)="","",INDEX(選手一覧!$D$7:$D$2738,$F438))</f>
        <v/>
      </c>
      <c r="H438" s="17" t="str">
        <f aca="false">IF(INDEX(選手一覧!$E$7:$E$2738,$F438)="","",INDEX(選手一覧!$E$7:$E$2738,$F438))</f>
        <v/>
      </c>
      <c r="I438" s="16" t="str">
        <f aca="false">IF(INDEX(選手一覧!$H$7:$H$2738,$F438)="","",INDEX(選手一覧!$H$7:$H$2738,$F438))</f>
        <v/>
      </c>
      <c r="J438" s="17" t="str">
        <f aca="false">IF(INDEX(選手一覧!$I$7:$I$2738,$F438)="","",INDEX(選手一覧!$I$7:$I$2738,$F438))</f>
        <v/>
      </c>
    </row>
    <row r="439" customFormat="false" ht="15" hidden="false" customHeight="false" outlineLevel="0" collapsed="false">
      <c r="A439" s="17" t="n">
        <v>435</v>
      </c>
      <c r="B439" s="12" t="s">
        <v>1841</v>
      </c>
      <c r="C439" s="12" t="s">
        <v>120</v>
      </c>
      <c r="D439" s="16" t="n">
        <v>0.00283159722222222</v>
      </c>
      <c r="E439" s="15" t="n">
        <f aca="false">ROUND((D439-$D$5)*86400,2)</f>
        <v>19.62</v>
      </c>
      <c r="F439" s="17" t="n">
        <v>1143</v>
      </c>
      <c r="G439" s="16" t="n">
        <f aca="false">IF(INDEX(選手一覧!$D$7:$D$2738,$F439)="","",INDEX(選手一覧!$D$7:$D$2738,$F439))</f>
        <v>0.0110269675925926</v>
      </c>
      <c r="H439" s="17" t="n">
        <f aca="false">IF(INDEX(選手一覧!$E$7:$E$2738,$F439)="","",INDEX(選手一覧!$E$7:$E$2738,$F439))</f>
        <v>1144</v>
      </c>
      <c r="I439" s="16" t="str">
        <f aca="false">IF(INDEX(選手一覧!$H$7:$H$2738,$F439)="","",INDEX(選手一覧!$H$7:$H$2738,$F439))</f>
        <v/>
      </c>
      <c r="J439" s="17" t="str">
        <f aca="false">IF(INDEX(選手一覧!$I$7:$I$2738,$F439)="","",INDEX(選手一覧!$I$7:$I$2738,$F439))</f>
        <v/>
      </c>
    </row>
    <row r="440" customFormat="false" ht="15" hidden="false" customHeight="false" outlineLevel="0" collapsed="false">
      <c r="A440" s="17" t="n">
        <v>436</v>
      </c>
      <c r="B440" s="12" t="s">
        <v>755</v>
      </c>
      <c r="C440" s="12" t="s">
        <v>157</v>
      </c>
      <c r="D440" s="16" t="n">
        <v>0.00283171296296296</v>
      </c>
      <c r="E440" s="15" t="n">
        <f aca="false">ROUND((D440-$D$5)*86400,2)</f>
        <v>19.63</v>
      </c>
      <c r="F440" s="17" t="n">
        <v>419</v>
      </c>
      <c r="G440" s="16" t="n">
        <f aca="false">IF(INDEX(選手一覧!$D$7:$D$2738,$F440)="","",INDEX(選手一覧!$D$7:$D$2738,$F440))</f>
        <v>0.0105658564814815</v>
      </c>
      <c r="H440" s="17" t="n">
        <f aca="false">IF(INDEX(選手一覧!$E$7:$E$2738,$F440)="","",INDEX(選手一覧!$E$7:$E$2738,$F440))</f>
        <v>420</v>
      </c>
      <c r="I440" s="16" t="str">
        <f aca="false">IF(INDEX(選手一覧!$H$7:$H$2738,$F440)="","",INDEX(選手一覧!$H$7:$H$2738,$F440))</f>
        <v/>
      </c>
      <c r="J440" s="17" t="str">
        <f aca="false">IF(INDEX(選手一覧!$I$7:$I$2738,$F440)="","",INDEX(選手一覧!$I$7:$I$2738,$F440))</f>
        <v/>
      </c>
    </row>
    <row r="441" customFormat="false" ht="15" hidden="false" customHeight="false" outlineLevel="0" collapsed="false">
      <c r="A441" s="17" t="n">
        <v>437</v>
      </c>
      <c r="B441" s="12" t="s">
        <v>1410</v>
      </c>
      <c r="C441" s="12" t="s">
        <v>204</v>
      </c>
      <c r="D441" s="16" t="n">
        <v>0.00283171296296296</v>
      </c>
      <c r="E441" s="15" t="n">
        <f aca="false">ROUND((D441-$D$5)*86400,2)</f>
        <v>19.63</v>
      </c>
      <c r="F441" s="17" t="n">
        <v>854</v>
      </c>
      <c r="G441" s="16" t="n">
        <f aca="false">IF(INDEX(選手一覧!$D$7:$D$2738,$F441)="","",INDEX(選手一覧!$D$7:$D$2738,$F441))</f>
        <v>0.0108622685185185</v>
      </c>
      <c r="H441" s="17" t="n">
        <f aca="false">IF(INDEX(選手一覧!$E$7:$E$2738,$F441)="","",INDEX(選手一覧!$E$7:$E$2738,$F441))</f>
        <v>855</v>
      </c>
      <c r="I441" s="16" t="str">
        <f aca="false">IF(INDEX(選手一覧!$H$7:$H$2738,$F441)="","",INDEX(選手一覧!$H$7:$H$2738,$F441))</f>
        <v/>
      </c>
      <c r="J441" s="17" t="str">
        <f aca="false">IF(INDEX(選手一覧!$I$7:$I$2738,$F441)="","",INDEX(選手一覧!$I$7:$I$2738,$F441))</f>
        <v/>
      </c>
    </row>
    <row r="442" customFormat="false" ht="15" hidden="false" customHeight="false" outlineLevel="0" collapsed="false">
      <c r="A442" s="17" t="n">
        <v>438</v>
      </c>
      <c r="B442" s="12" t="s">
        <v>2408</v>
      </c>
      <c r="C442" s="12" t="s">
        <v>195</v>
      </c>
      <c r="D442" s="16" t="n">
        <v>0.0028318287037037</v>
      </c>
      <c r="E442" s="15" t="n">
        <f aca="false">ROUND((D442-$D$5)*86400,2)</f>
        <v>19.64</v>
      </c>
      <c r="F442" s="17" t="n">
        <v>1535</v>
      </c>
      <c r="G442" s="16" t="str">
        <f aca="false">IF(INDEX(選手一覧!$D$7:$D$2738,$F442)="","",INDEX(選手一覧!$D$7:$D$2738,$F442))</f>
        <v/>
      </c>
      <c r="H442" s="17" t="str">
        <f aca="false">IF(INDEX(選手一覧!$E$7:$E$2738,$F442)="","",INDEX(選手一覧!$E$7:$E$2738,$F442))</f>
        <v/>
      </c>
      <c r="I442" s="16" t="str">
        <f aca="false">IF(INDEX(選手一覧!$H$7:$H$2738,$F442)="","",INDEX(選手一覧!$H$7:$H$2738,$F442))</f>
        <v/>
      </c>
      <c r="J442" s="17" t="str">
        <f aca="false">IF(INDEX(選手一覧!$I$7:$I$2738,$F442)="","",INDEX(選手一覧!$I$7:$I$2738,$F442))</f>
        <v/>
      </c>
    </row>
    <row r="443" customFormat="false" ht="15" hidden="false" customHeight="false" outlineLevel="0" collapsed="false">
      <c r="A443" s="17" t="n">
        <v>439</v>
      </c>
      <c r="B443" s="12" t="s">
        <v>2410</v>
      </c>
      <c r="C443" s="12" t="s">
        <v>1106</v>
      </c>
      <c r="D443" s="16" t="n">
        <v>0.00283194444444445</v>
      </c>
      <c r="E443" s="15" t="n">
        <f aca="false">ROUND((D443-$D$5)*86400,2)</f>
        <v>19.65</v>
      </c>
      <c r="F443" s="17" t="n">
        <v>1537</v>
      </c>
      <c r="G443" s="16" t="str">
        <f aca="false">IF(INDEX(選手一覧!$D$7:$D$2738,$F443)="","",INDEX(選手一覧!$D$7:$D$2738,$F443))</f>
        <v/>
      </c>
      <c r="H443" s="17" t="str">
        <f aca="false">IF(INDEX(選手一覧!$E$7:$E$2738,$F443)="","",INDEX(選手一覧!$E$7:$E$2738,$F443))</f>
        <v/>
      </c>
      <c r="I443" s="16" t="str">
        <f aca="false">IF(INDEX(選手一覧!$H$7:$H$2738,$F443)="","",INDEX(選手一覧!$H$7:$H$2738,$F443))</f>
        <v/>
      </c>
      <c r="J443" s="17" t="str">
        <f aca="false">IF(INDEX(選手一覧!$I$7:$I$2738,$F443)="","",INDEX(選手一覧!$I$7:$I$2738,$F443))</f>
        <v/>
      </c>
    </row>
    <row r="444" customFormat="false" ht="15" hidden="false" customHeight="false" outlineLevel="0" collapsed="false">
      <c r="A444" s="17" t="n">
        <v>440</v>
      </c>
      <c r="B444" s="12" t="s">
        <v>2412</v>
      </c>
      <c r="C444" s="12" t="s">
        <v>1412</v>
      </c>
      <c r="D444" s="16" t="n">
        <v>0.00283217592592593</v>
      </c>
      <c r="E444" s="15" t="n">
        <f aca="false">ROUND((D444-$D$5)*86400,2)</f>
        <v>19.67</v>
      </c>
      <c r="F444" s="17" t="n">
        <v>1539</v>
      </c>
      <c r="G444" s="16" t="str">
        <f aca="false">IF(INDEX(選手一覧!$D$7:$D$2738,$F444)="","",INDEX(選手一覧!$D$7:$D$2738,$F444))</f>
        <v/>
      </c>
      <c r="H444" s="17" t="str">
        <f aca="false">IF(INDEX(選手一覧!$E$7:$E$2738,$F444)="","",INDEX(選手一覧!$E$7:$E$2738,$F444))</f>
        <v/>
      </c>
      <c r="I444" s="16" t="str">
        <f aca="false">IF(INDEX(選手一覧!$H$7:$H$2738,$F444)="","",INDEX(選手一覧!$H$7:$H$2738,$F444))</f>
        <v/>
      </c>
      <c r="J444" s="17" t="str">
        <f aca="false">IF(INDEX(選手一覧!$I$7:$I$2738,$F444)="","",INDEX(選手一覧!$I$7:$I$2738,$F444))</f>
        <v/>
      </c>
    </row>
    <row r="445" customFormat="false" ht="15" hidden="false" customHeight="false" outlineLevel="0" collapsed="false">
      <c r="A445" s="17" t="n">
        <v>441</v>
      </c>
      <c r="B445" s="12" t="s">
        <v>1596</v>
      </c>
      <c r="C445" s="12" t="s">
        <v>77</v>
      </c>
      <c r="D445" s="16" t="n">
        <v>0.00283229166666667</v>
      </c>
      <c r="E445" s="15" t="n">
        <f aca="false">ROUND((D445-$D$5)*86400,2)</f>
        <v>19.68</v>
      </c>
      <c r="F445" s="17" t="n">
        <v>977</v>
      </c>
      <c r="G445" s="16" t="n">
        <f aca="false">IF(INDEX(選手一覧!$D$7:$D$2738,$F445)="","",INDEX(選手一覧!$D$7:$D$2738,$F445))</f>
        <v>0.0109368055555556</v>
      </c>
      <c r="H445" s="17" t="n">
        <f aca="false">IF(INDEX(選手一覧!$E$7:$E$2738,$F445)="","",INDEX(選手一覧!$E$7:$E$2738,$F445))</f>
        <v>978</v>
      </c>
      <c r="I445" s="16" t="str">
        <f aca="false">IF(INDEX(選手一覧!$H$7:$H$2738,$F445)="","",INDEX(選手一覧!$H$7:$H$2738,$F445))</f>
        <v/>
      </c>
      <c r="J445" s="17" t="str">
        <f aca="false">IF(INDEX(選手一覧!$I$7:$I$2738,$F445)="","",INDEX(選手一覧!$I$7:$I$2738,$F445))</f>
        <v/>
      </c>
    </row>
    <row r="446" customFormat="false" ht="15" hidden="false" customHeight="false" outlineLevel="0" collapsed="false">
      <c r="A446" s="17" t="n">
        <v>442</v>
      </c>
      <c r="B446" s="12" t="s">
        <v>1600</v>
      </c>
      <c r="C446" s="12" t="s">
        <v>256</v>
      </c>
      <c r="D446" s="16" t="n">
        <v>0.00283229166666667</v>
      </c>
      <c r="E446" s="15" t="n">
        <f aca="false">ROUND((D446-$D$5)*86400,2)</f>
        <v>19.68</v>
      </c>
      <c r="F446" s="17" t="n">
        <v>979</v>
      </c>
      <c r="G446" s="16" t="n">
        <f aca="false">IF(INDEX(選手一覧!$D$7:$D$2738,$F446)="","",INDEX(選手一覧!$D$7:$D$2738,$F446))</f>
        <v>0.0109390046296296</v>
      </c>
      <c r="H446" s="17" t="n">
        <f aca="false">IF(INDEX(選手一覧!$E$7:$E$2738,$F446)="","",INDEX(選手一覧!$E$7:$E$2738,$F446))</f>
        <v>980</v>
      </c>
      <c r="I446" s="16" t="n">
        <f aca="false">IF(INDEX(選手一覧!$H$7:$H$2738,$F446)="","",INDEX(選手一覧!$H$7:$H$2738,$F446))</f>
        <v>0.0067556712962963</v>
      </c>
      <c r="J446" s="17" t="n">
        <f aca="false">IF(INDEX(選手一覧!$I$7:$I$2738,$F446)="","",INDEX(選手一覧!$I$7:$I$2738,$F446))</f>
        <v>133</v>
      </c>
    </row>
    <row r="447" customFormat="false" ht="15" hidden="false" customHeight="false" outlineLevel="0" collapsed="false">
      <c r="A447" s="17" t="n">
        <v>443</v>
      </c>
      <c r="B447" s="12" t="s">
        <v>825</v>
      </c>
      <c r="C447" s="12" t="s">
        <v>601</v>
      </c>
      <c r="D447" s="16" t="n">
        <v>0.00283263888888889</v>
      </c>
      <c r="E447" s="15" t="n">
        <f aca="false">ROUND((D447-$D$5)*86400,2)</f>
        <v>19.71</v>
      </c>
      <c r="F447" s="17" t="n">
        <v>466</v>
      </c>
      <c r="G447" s="16" t="n">
        <f aca="false">IF(INDEX(選手一覧!$D$7:$D$2738,$F447)="","",INDEX(選手一覧!$D$7:$D$2738,$F447))</f>
        <v>0.0106041666666667</v>
      </c>
      <c r="H447" s="17" t="n">
        <f aca="false">IF(INDEX(選手一覧!$E$7:$E$2738,$F447)="","",INDEX(選手一覧!$E$7:$E$2738,$F447))</f>
        <v>467</v>
      </c>
      <c r="I447" s="16" t="str">
        <f aca="false">IF(INDEX(選手一覧!$H$7:$H$2738,$F447)="","",INDEX(選手一覧!$H$7:$H$2738,$F447))</f>
        <v/>
      </c>
      <c r="J447" s="17" t="str">
        <f aca="false">IF(INDEX(選手一覧!$I$7:$I$2738,$F447)="","",INDEX(選手一覧!$I$7:$I$2738,$F447))</f>
        <v/>
      </c>
    </row>
    <row r="448" customFormat="false" ht="15" hidden="false" customHeight="false" outlineLevel="0" collapsed="false">
      <c r="A448" s="17" t="n">
        <v>444</v>
      </c>
      <c r="B448" s="12" t="s">
        <v>874</v>
      </c>
      <c r="C448" s="12" t="s">
        <v>875</v>
      </c>
      <c r="D448" s="16" t="n">
        <v>0.00283263888888889</v>
      </c>
      <c r="E448" s="15" t="n">
        <f aca="false">ROUND((D448-$D$5)*86400,2)</f>
        <v>19.71</v>
      </c>
      <c r="F448" s="17" t="n">
        <v>497</v>
      </c>
      <c r="G448" s="16" t="n">
        <f aca="false">IF(INDEX(選手一覧!$D$7:$D$2738,$F448)="","",INDEX(選手一覧!$D$7:$D$2738,$F448))</f>
        <v>0.0106210648148148</v>
      </c>
      <c r="H448" s="17" t="n">
        <f aca="false">IF(INDEX(選手一覧!$E$7:$E$2738,$F448)="","",INDEX(選手一覧!$E$7:$E$2738,$F448))</f>
        <v>498</v>
      </c>
      <c r="I448" s="16" t="str">
        <f aca="false">IF(INDEX(選手一覧!$H$7:$H$2738,$F448)="","",INDEX(選手一覧!$H$7:$H$2738,$F448))</f>
        <v/>
      </c>
      <c r="J448" s="17" t="str">
        <f aca="false">IF(INDEX(選手一覧!$I$7:$I$2738,$F448)="","",INDEX(選手一覧!$I$7:$I$2738,$F448))</f>
        <v/>
      </c>
    </row>
    <row r="449" customFormat="false" ht="15" hidden="false" customHeight="false" outlineLevel="0" collapsed="false">
      <c r="A449" s="17" t="n">
        <v>445</v>
      </c>
      <c r="B449" s="12" t="s">
        <v>2416</v>
      </c>
      <c r="C449" s="12" t="s">
        <v>690</v>
      </c>
      <c r="D449" s="16" t="n">
        <v>0.00283298611111111</v>
      </c>
      <c r="E449" s="15" t="n">
        <f aca="false">ROUND((D449-$D$5)*86400,2)</f>
        <v>19.74</v>
      </c>
      <c r="F449" s="17" t="n">
        <v>1542</v>
      </c>
      <c r="G449" s="16" t="str">
        <f aca="false">IF(INDEX(選手一覧!$D$7:$D$2738,$F449)="","",INDEX(選手一覧!$D$7:$D$2738,$F449))</f>
        <v/>
      </c>
      <c r="H449" s="17" t="str">
        <f aca="false">IF(INDEX(選手一覧!$E$7:$E$2738,$F449)="","",INDEX(選手一覧!$E$7:$E$2738,$F449))</f>
        <v/>
      </c>
      <c r="I449" s="16" t="str">
        <f aca="false">IF(INDEX(選手一覧!$H$7:$H$2738,$F449)="","",INDEX(選手一覧!$H$7:$H$2738,$F449))</f>
        <v/>
      </c>
      <c r="J449" s="17" t="str">
        <f aca="false">IF(INDEX(選手一覧!$I$7:$I$2738,$F449)="","",INDEX(選手一覧!$I$7:$I$2738,$F449))</f>
        <v/>
      </c>
    </row>
    <row r="450" customFormat="false" ht="15" hidden="false" customHeight="false" outlineLevel="0" collapsed="false">
      <c r="A450" s="17" t="n">
        <v>446</v>
      </c>
      <c r="B450" s="12" t="s">
        <v>1159</v>
      </c>
      <c r="C450" s="12" t="s">
        <v>1160</v>
      </c>
      <c r="D450" s="16" t="n">
        <v>0.00283310185185185</v>
      </c>
      <c r="E450" s="15" t="n">
        <f aca="false">ROUND((D450-$D$5)*86400,2)</f>
        <v>19.75</v>
      </c>
      <c r="F450" s="17" t="n">
        <v>686</v>
      </c>
      <c r="G450" s="16" t="n">
        <f aca="false">IF(INDEX(選手一覧!$D$7:$D$2738,$F450)="","",INDEX(選手一覧!$D$7:$D$2738,$F450))</f>
        <v>0.0107634259259259</v>
      </c>
      <c r="H450" s="17" t="n">
        <f aca="false">IF(INDEX(選手一覧!$E$7:$E$2738,$F450)="","",INDEX(選手一覧!$E$7:$E$2738,$F450))</f>
        <v>687</v>
      </c>
      <c r="I450" s="16" t="str">
        <f aca="false">IF(INDEX(選手一覧!$H$7:$H$2738,$F450)="","",INDEX(選手一覧!$H$7:$H$2738,$F450))</f>
        <v/>
      </c>
      <c r="J450" s="17" t="str">
        <f aca="false">IF(INDEX(選手一覧!$I$7:$I$2738,$F450)="","",INDEX(選手一覧!$I$7:$I$2738,$F450))</f>
        <v/>
      </c>
    </row>
    <row r="451" customFormat="false" ht="15" hidden="false" customHeight="false" outlineLevel="0" collapsed="false">
      <c r="A451" s="17" t="n">
        <v>447</v>
      </c>
      <c r="B451" s="12" t="s">
        <v>1897</v>
      </c>
      <c r="C451" s="12" t="s">
        <v>559</v>
      </c>
      <c r="D451" s="16" t="n">
        <v>0.00283356481481482</v>
      </c>
      <c r="E451" s="15" t="n">
        <f aca="false">ROUND((D451-$D$5)*86400,2)</f>
        <v>19.79</v>
      </c>
      <c r="F451" s="17" t="n">
        <v>1180</v>
      </c>
      <c r="G451" s="16" t="n">
        <f aca="false">IF(INDEX(選手一覧!$D$7:$D$2738,$F451)="","",INDEX(選手一覧!$D$7:$D$2738,$F451))</f>
        <v>0.011041087962963</v>
      </c>
      <c r="H451" s="17" t="n">
        <f aca="false">IF(INDEX(選手一覧!$E$7:$E$2738,$F451)="","",INDEX(選手一覧!$E$7:$E$2738,$F451))</f>
        <v>1181</v>
      </c>
      <c r="I451" s="16" t="n">
        <f aca="false">IF(INDEX(選手一覧!$H$7:$H$2738,$F451)="","",INDEX(選手一覧!$H$7:$H$2738,$F451))</f>
        <v>0.00696898148148148</v>
      </c>
      <c r="J451" s="17" t="n">
        <f aca="false">IF(INDEX(選手一覧!$I$7:$I$2738,$F451)="","",INDEX(選手一覧!$I$7:$I$2738,$F451))</f>
        <v>304</v>
      </c>
    </row>
    <row r="452" customFormat="false" ht="15" hidden="false" customHeight="false" outlineLevel="0" collapsed="false">
      <c r="A452" s="17" t="n">
        <v>448</v>
      </c>
      <c r="B452" s="12" t="s">
        <v>2393</v>
      </c>
      <c r="C452" s="12" t="s">
        <v>69</v>
      </c>
      <c r="D452" s="16" t="n">
        <v>0.00283368055555556</v>
      </c>
      <c r="E452" s="15" t="n">
        <f aca="false">ROUND((D452-$D$5)*86400,2)</f>
        <v>19.8</v>
      </c>
      <c r="F452" s="17" t="n">
        <v>1524</v>
      </c>
      <c r="G452" s="16" t="str">
        <f aca="false">IF(INDEX(選手一覧!$D$7:$D$2738,$F452)="","",INDEX(選手一覧!$D$7:$D$2738,$F452))</f>
        <v/>
      </c>
      <c r="H452" s="17" t="str">
        <f aca="false">IF(INDEX(選手一覧!$E$7:$E$2738,$F452)="","",INDEX(選手一覧!$E$7:$E$2738,$F452))</f>
        <v/>
      </c>
      <c r="I452" s="16" t="n">
        <f aca="false">IF(INDEX(選手一覧!$H$7:$H$2738,$F452)="","",INDEX(選手一覧!$H$7:$H$2738,$F452))</f>
        <v>0.00707777777777778</v>
      </c>
      <c r="J452" s="17" t="n">
        <f aca="false">IF(INDEX(選手一覧!$I$7:$I$2738,$F452)="","",INDEX(選手一覧!$I$7:$I$2738,$F452))</f>
        <v>425</v>
      </c>
    </row>
    <row r="453" customFormat="false" ht="15" hidden="false" customHeight="false" outlineLevel="0" collapsed="false">
      <c r="A453" s="17" t="n">
        <v>449</v>
      </c>
      <c r="B453" s="12" t="s">
        <v>2421</v>
      </c>
      <c r="C453" s="12" t="s">
        <v>989</v>
      </c>
      <c r="D453" s="16" t="n">
        <v>0.00283391203703704</v>
      </c>
      <c r="E453" s="15" t="n">
        <f aca="false">ROUND((D453-$D$5)*86400,2)</f>
        <v>19.82</v>
      </c>
      <c r="F453" s="17" t="n">
        <v>1546</v>
      </c>
      <c r="G453" s="16" t="str">
        <f aca="false">IF(INDEX(選手一覧!$D$7:$D$2738,$F453)="","",INDEX(選手一覧!$D$7:$D$2738,$F453))</f>
        <v/>
      </c>
      <c r="H453" s="17" t="str">
        <f aca="false">IF(INDEX(選手一覧!$E$7:$E$2738,$F453)="","",INDEX(選手一覧!$E$7:$E$2738,$F453))</f>
        <v/>
      </c>
      <c r="I453" s="16" t="str">
        <f aca="false">IF(INDEX(選手一覧!$H$7:$H$2738,$F453)="","",INDEX(選手一覧!$H$7:$H$2738,$F453))</f>
        <v/>
      </c>
      <c r="J453" s="17" t="str">
        <f aca="false">IF(INDEX(選手一覧!$I$7:$I$2738,$F453)="","",INDEX(選手一覧!$I$7:$I$2738,$F453))</f>
        <v/>
      </c>
    </row>
    <row r="454" customFormat="false" ht="15" hidden="false" customHeight="false" outlineLevel="0" collapsed="false">
      <c r="A454" s="17" t="n">
        <v>450</v>
      </c>
      <c r="B454" s="12" t="s">
        <v>2423</v>
      </c>
      <c r="C454" s="12" t="s">
        <v>1342</v>
      </c>
      <c r="D454" s="16" t="n">
        <v>0.00283414351851852</v>
      </c>
      <c r="E454" s="15" t="n">
        <f aca="false">ROUND((D454-$D$5)*86400,2)</f>
        <v>19.84</v>
      </c>
      <c r="F454" s="17" t="n">
        <v>1548</v>
      </c>
      <c r="G454" s="16" t="str">
        <f aca="false">IF(INDEX(選手一覧!$D$7:$D$2738,$F454)="","",INDEX(選手一覧!$D$7:$D$2738,$F454))</f>
        <v/>
      </c>
      <c r="H454" s="17" t="str">
        <f aca="false">IF(INDEX(選手一覧!$E$7:$E$2738,$F454)="","",INDEX(選手一覧!$E$7:$E$2738,$F454))</f>
        <v/>
      </c>
      <c r="I454" s="16" t="str">
        <f aca="false">IF(INDEX(選手一覧!$H$7:$H$2738,$F454)="","",INDEX(選手一覧!$H$7:$H$2738,$F454))</f>
        <v/>
      </c>
      <c r="J454" s="17" t="str">
        <f aca="false">IF(INDEX(選手一覧!$I$7:$I$2738,$F454)="","",INDEX(選手一覧!$I$7:$I$2738,$F454))</f>
        <v/>
      </c>
    </row>
    <row r="455" customFormat="false" ht="15" hidden="false" customHeight="false" outlineLevel="0" collapsed="false">
      <c r="A455" s="17" t="n">
        <v>451</v>
      </c>
      <c r="B455" s="12" t="s">
        <v>645</v>
      </c>
      <c r="C455" s="12" t="s">
        <v>245</v>
      </c>
      <c r="D455" s="16" t="n">
        <v>0.00283414351851852</v>
      </c>
      <c r="E455" s="15" t="n">
        <f aca="false">ROUND((D455-$D$5)*86400,2)</f>
        <v>19.84</v>
      </c>
      <c r="F455" s="17" t="n">
        <v>351</v>
      </c>
      <c r="G455" s="16" t="n">
        <f aca="false">IF(INDEX(選手一覧!$D$7:$D$2738,$F455)="","",INDEX(選手一覧!$D$7:$D$2738,$F455))</f>
        <v>0.0105116898148148</v>
      </c>
      <c r="H455" s="17" t="n">
        <f aca="false">IF(INDEX(選手一覧!$E$7:$E$2738,$F455)="","",INDEX(選手一覧!$E$7:$E$2738,$F455))</f>
        <v>352</v>
      </c>
      <c r="I455" s="16" t="n">
        <f aca="false">IF(INDEX(選手一覧!$H$7:$H$2738,$F455)="","",INDEX(選手一覧!$H$7:$H$2738,$F455))</f>
        <v>0.00655925925925926</v>
      </c>
      <c r="J455" s="17" t="n">
        <f aca="false">IF(INDEX(選手一覧!$I$7:$I$2738,$F455)="","",INDEX(選手一覧!$I$7:$I$2738,$F455))</f>
        <v>46</v>
      </c>
    </row>
    <row r="456" customFormat="false" ht="15" hidden="false" customHeight="false" outlineLevel="0" collapsed="false">
      <c r="A456" s="17" t="n">
        <v>452</v>
      </c>
      <c r="B456" s="12" t="s">
        <v>1423</v>
      </c>
      <c r="C456" s="12" t="s">
        <v>434</v>
      </c>
      <c r="D456" s="16" t="n">
        <v>0.002834375</v>
      </c>
      <c r="E456" s="15" t="n">
        <f aca="false">ROUND((D456-$D$5)*86400,2)</f>
        <v>19.86</v>
      </c>
      <c r="F456" s="17" t="n">
        <v>862</v>
      </c>
      <c r="G456" s="16" t="n">
        <f aca="false">IF(INDEX(選手一覧!$D$7:$D$2738,$F456)="","",INDEX(選手一覧!$D$7:$D$2738,$F456))</f>
        <v>0.0108665509259259</v>
      </c>
      <c r="H456" s="17" t="n">
        <f aca="false">IF(INDEX(選手一覧!$E$7:$E$2738,$F456)="","",INDEX(選手一覧!$E$7:$E$2738,$F456))</f>
        <v>863</v>
      </c>
      <c r="I456" s="16" t="str">
        <f aca="false">IF(INDEX(選手一覧!$H$7:$H$2738,$F456)="","",INDEX(選手一覧!$H$7:$H$2738,$F456))</f>
        <v/>
      </c>
      <c r="J456" s="17" t="str">
        <f aca="false">IF(INDEX(選手一覧!$I$7:$I$2738,$F456)="","",INDEX(選手一覧!$I$7:$I$2738,$F456))</f>
        <v/>
      </c>
    </row>
    <row r="457" customFormat="false" ht="15" hidden="false" customHeight="false" outlineLevel="0" collapsed="false">
      <c r="A457" s="17" t="n">
        <v>453</v>
      </c>
      <c r="B457" s="12" t="s">
        <v>688</v>
      </c>
      <c r="C457" s="12" t="s">
        <v>155</v>
      </c>
      <c r="D457" s="16" t="n">
        <v>0.00283449074074074</v>
      </c>
      <c r="E457" s="15" t="n">
        <f aca="false">ROUND((D457-$D$5)*86400,2)</f>
        <v>19.87</v>
      </c>
      <c r="F457" s="17" t="n">
        <v>378</v>
      </c>
      <c r="G457" s="16" t="n">
        <f aca="false">IF(INDEX(選手一覧!$D$7:$D$2738,$F457)="","",INDEX(選手一覧!$D$7:$D$2738,$F457))</f>
        <v>0.0105353009259259</v>
      </c>
      <c r="H457" s="17" t="n">
        <f aca="false">IF(INDEX(選手一覧!$E$7:$E$2738,$F457)="","",INDEX(選手一覧!$E$7:$E$2738,$F457))</f>
        <v>379</v>
      </c>
      <c r="I457" s="16" t="str">
        <f aca="false">IF(INDEX(選手一覧!$H$7:$H$2738,$F457)="","",INDEX(選手一覧!$H$7:$H$2738,$F457))</f>
        <v/>
      </c>
      <c r="J457" s="17" t="str">
        <f aca="false">IF(INDEX(選手一覧!$I$7:$I$2738,$F457)="","",INDEX(選手一覧!$I$7:$I$2738,$F457))</f>
        <v/>
      </c>
    </row>
    <row r="458" customFormat="false" ht="15" hidden="false" customHeight="false" outlineLevel="0" collapsed="false">
      <c r="A458" s="17" t="n">
        <v>454</v>
      </c>
      <c r="B458" s="12" t="s">
        <v>2249</v>
      </c>
      <c r="C458" s="12" t="s">
        <v>159</v>
      </c>
      <c r="D458" s="16" t="n">
        <v>0.00283460648148148</v>
      </c>
      <c r="E458" s="15" t="n">
        <f aca="false">ROUND((D458-$D$5)*86400,2)</f>
        <v>19.88</v>
      </c>
      <c r="F458" s="17" t="n">
        <v>1432</v>
      </c>
      <c r="G458" s="16" t="str">
        <f aca="false">IF(INDEX(選手一覧!$D$7:$D$2738,$F458)="","",INDEX(選手一覧!$D$7:$D$2738,$F458))</f>
        <v/>
      </c>
      <c r="H458" s="17" t="str">
        <f aca="false">IF(INDEX(選手一覧!$E$7:$E$2738,$F458)="","",INDEX(選手一覧!$E$7:$E$2738,$F458))</f>
        <v/>
      </c>
      <c r="I458" s="16" t="n">
        <f aca="false">IF(INDEX(選手一覧!$H$7:$H$2738,$F458)="","",INDEX(選手一覧!$H$7:$H$2738,$F458))</f>
        <v>0.00698356481481482</v>
      </c>
      <c r="J458" s="17" t="n">
        <f aca="false">IF(INDEX(選手一覧!$I$7:$I$2738,$F458)="","",INDEX(選手一覧!$I$7:$I$2738,$F458))</f>
        <v>319</v>
      </c>
    </row>
    <row r="459" customFormat="false" ht="15" hidden="false" customHeight="false" outlineLevel="0" collapsed="false">
      <c r="A459" s="17" t="n">
        <v>455</v>
      </c>
      <c r="B459" s="12" t="s">
        <v>905</v>
      </c>
      <c r="C459" s="12" t="s">
        <v>903</v>
      </c>
      <c r="D459" s="16" t="n">
        <v>0.00283460648148148</v>
      </c>
      <c r="E459" s="15" t="n">
        <f aca="false">ROUND((D459-$D$5)*86400,2)</f>
        <v>19.88</v>
      </c>
      <c r="F459" s="17" t="n">
        <v>515</v>
      </c>
      <c r="G459" s="16" t="n">
        <f aca="false">IF(INDEX(選手一覧!$D$7:$D$2738,$F459)="","",INDEX(選手一覧!$D$7:$D$2738,$F459))</f>
        <v>0.0106438657407407</v>
      </c>
      <c r="H459" s="17" t="n">
        <f aca="false">IF(INDEX(選手一覧!$E$7:$E$2738,$F459)="","",INDEX(選手一覧!$E$7:$E$2738,$F459))</f>
        <v>516</v>
      </c>
      <c r="I459" s="16" t="str">
        <f aca="false">IF(INDEX(選手一覧!$H$7:$H$2738,$F459)="","",INDEX(選手一覧!$H$7:$H$2738,$F459))</f>
        <v/>
      </c>
      <c r="J459" s="17" t="str">
        <f aca="false">IF(INDEX(選手一覧!$I$7:$I$2738,$F459)="","",INDEX(選手一覧!$I$7:$I$2738,$F459))</f>
        <v/>
      </c>
    </row>
    <row r="460" customFormat="false" ht="15" hidden="false" customHeight="false" outlineLevel="0" collapsed="false">
      <c r="A460" s="17" t="n">
        <v>456</v>
      </c>
      <c r="B460" s="12" t="s">
        <v>508</v>
      </c>
      <c r="C460" s="12" t="s">
        <v>245</v>
      </c>
      <c r="D460" s="16" t="n">
        <v>0.00283460648148148</v>
      </c>
      <c r="E460" s="15" t="n">
        <f aca="false">ROUND((D460-$D$5)*86400,2)</f>
        <v>19.88</v>
      </c>
      <c r="F460" s="17" t="n">
        <v>266</v>
      </c>
      <c r="G460" s="16" t="n">
        <f aca="false">IF(INDEX(選手一覧!$D$7:$D$2738,$F460)="","",INDEX(選手一覧!$D$7:$D$2738,$F460))</f>
        <v>0.0104005787037037</v>
      </c>
      <c r="H460" s="17" t="n">
        <f aca="false">IF(INDEX(選手一覧!$E$7:$E$2738,$F460)="","",INDEX(選手一覧!$E$7:$E$2738,$F460))</f>
        <v>267</v>
      </c>
      <c r="I460" s="16" t="n">
        <f aca="false">IF(INDEX(選手一覧!$H$7:$H$2738,$F460)="","",INDEX(選手一覧!$H$7:$H$2738,$F460))</f>
        <v>0.00673564814814815</v>
      </c>
      <c r="J460" s="17" t="n">
        <f aca="false">IF(INDEX(選手一覧!$I$7:$I$2738,$F460)="","",INDEX(選手一覧!$I$7:$I$2738,$F460))</f>
        <v>122</v>
      </c>
    </row>
    <row r="461" customFormat="false" ht="15" hidden="false" customHeight="false" outlineLevel="0" collapsed="false">
      <c r="A461" s="17" t="n">
        <v>457</v>
      </c>
      <c r="B461" s="12" t="s">
        <v>1468</v>
      </c>
      <c r="C461" s="12" t="s">
        <v>1469</v>
      </c>
      <c r="D461" s="16" t="n">
        <v>0.00283472222222222</v>
      </c>
      <c r="E461" s="15" t="n">
        <f aca="false">ROUND((D461-$D$5)*86400,2)</f>
        <v>19.89</v>
      </c>
      <c r="F461" s="17" t="n">
        <v>890</v>
      </c>
      <c r="G461" s="16" t="n">
        <f aca="false">IF(INDEX(選手一覧!$D$7:$D$2738,$F461)="","",INDEX(選手一覧!$D$7:$D$2738,$F461))</f>
        <v>0.0108811342592593</v>
      </c>
      <c r="H461" s="17" t="n">
        <f aca="false">IF(INDEX(選手一覧!$E$7:$E$2738,$F461)="","",INDEX(選手一覧!$E$7:$E$2738,$F461))</f>
        <v>891</v>
      </c>
      <c r="I461" s="16" t="str">
        <f aca="false">IF(INDEX(選手一覧!$H$7:$H$2738,$F461)="","",INDEX(選手一覧!$H$7:$H$2738,$F461))</f>
        <v/>
      </c>
      <c r="J461" s="17" t="str">
        <f aca="false">IF(INDEX(選手一覧!$I$7:$I$2738,$F461)="","",INDEX(選手一覧!$I$7:$I$2738,$F461))</f>
        <v/>
      </c>
    </row>
    <row r="462" customFormat="false" ht="15" hidden="false" customHeight="false" outlineLevel="0" collapsed="false">
      <c r="A462" s="17" t="n">
        <v>458</v>
      </c>
      <c r="B462" s="12" t="s">
        <v>1070</v>
      </c>
      <c r="C462" s="12" t="s">
        <v>1071</v>
      </c>
      <c r="D462" s="16" t="n">
        <v>0.00283472222222222</v>
      </c>
      <c r="E462" s="15" t="n">
        <f aca="false">ROUND((D462-$D$5)*86400,2)</f>
        <v>19.89</v>
      </c>
      <c r="F462" s="17" t="n">
        <v>627</v>
      </c>
      <c r="G462" s="16" t="n">
        <f aca="false">IF(INDEX(選手一覧!$D$7:$D$2738,$F462)="","",INDEX(選手一覧!$D$7:$D$2738,$F462))</f>
        <v>0.0107280092592593</v>
      </c>
      <c r="H462" s="17" t="n">
        <f aca="false">IF(INDEX(選手一覧!$E$7:$E$2738,$F462)="","",INDEX(選手一覧!$E$7:$E$2738,$F462))</f>
        <v>628</v>
      </c>
      <c r="I462" s="16" t="str">
        <f aca="false">IF(INDEX(選手一覧!$H$7:$H$2738,$F462)="","",INDEX(選手一覧!$H$7:$H$2738,$F462))</f>
        <v/>
      </c>
      <c r="J462" s="17" t="str">
        <f aca="false">IF(INDEX(選手一覧!$I$7:$I$2738,$F462)="","",INDEX(選手一覧!$I$7:$I$2738,$F462))</f>
        <v/>
      </c>
    </row>
    <row r="463" customFormat="false" ht="15" hidden="false" customHeight="false" outlineLevel="0" collapsed="false">
      <c r="A463" s="17" t="n">
        <v>459</v>
      </c>
      <c r="B463" s="12" t="s">
        <v>973</v>
      </c>
      <c r="C463" s="12" t="s">
        <v>447</v>
      </c>
      <c r="D463" s="16" t="n">
        <v>0.00283483796296296</v>
      </c>
      <c r="E463" s="15" t="n">
        <f aca="false">ROUND((D463-$D$5)*86400,2)</f>
        <v>19.9</v>
      </c>
      <c r="F463" s="17" t="n">
        <v>558</v>
      </c>
      <c r="G463" s="16" t="n">
        <f aca="false">IF(INDEX(選手一覧!$D$7:$D$2738,$F463)="","",INDEX(選手一覧!$D$7:$D$2738,$F463))</f>
        <v>0.0106834490740741</v>
      </c>
      <c r="H463" s="17" t="n">
        <f aca="false">IF(INDEX(選手一覧!$E$7:$E$2738,$F463)="","",INDEX(選手一覧!$E$7:$E$2738,$F463))</f>
        <v>559</v>
      </c>
      <c r="I463" s="16" t="str">
        <f aca="false">IF(INDEX(選手一覧!$H$7:$H$2738,$F463)="","",INDEX(選手一覧!$H$7:$H$2738,$F463))</f>
        <v/>
      </c>
      <c r="J463" s="17" t="str">
        <f aca="false">IF(INDEX(選手一覧!$I$7:$I$2738,$F463)="","",INDEX(選手一覧!$I$7:$I$2738,$F463))</f>
        <v/>
      </c>
    </row>
    <row r="464" customFormat="false" ht="15" hidden="false" customHeight="false" outlineLevel="0" collapsed="false">
      <c r="A464" s="17" t="n">
        <v>460</v>
      </c>
      <c r="B464" s="12" t="s">
        <v>1488</v>
      </c>
      <c r="C464" s="12" t="s">
        <v>819</v>
      </c>
      <c r="D464" s="16" t="n">
        <v>0.0028349537037037</v>
      </c>
      <c r="E464" s="15" t="n">
        <f aca="false">ROUND((D464-$D$5)*86400,2)</f>
        <v>19.91</v>
      </c>
      <c r="F464" s="17" t="n">
        <v>905</v>
      </c>
      <c r="G464" s="16" t="n">
        <f aca="false">IF(INDEX(選手一覧!$D$7:$D$2738,$F464)="","",INDEX(選手一覧!$D$7:$D$2738,$F464))</f>
        <v>0.0108916666666667</v>
      </c>
      <c r="H464" s="17" t="n">
        <f aca="false">IF(INDEX(選手一覧!$E$7:$E$2738,$F464)="","",INDEX(選手一覧!$E$7:$E$2738,$F464))</f>
        <v>906</v>
      </c>
      <c r="I464" s="16" t="str">
        <f aca="false">IF(INDEX(選手一覧!$H$7:$H$2738,$F464)="","",INDEX(選手一覧!$H$7:$H$2738,$F464))</f>
        <v/>
      </c>
      <c r="J464" s="17" t="str">
        <f aca="false">IF(INDEX(選手一覧!$I$7:$I$2738,$F464)="","",INDEX(選手一覧!$I$7:$I$2738,$F464))</f>
        <v/>
      </c>
    </row>
    <row r="465" customFormat="false" ht="15" hidden="false" customHeight="false" outlineLevel="0" collapsed="false">
      <c r="A465" s="17" t="n">
        <v>461</v>
      </c>
      <c r="B465" s="12" t="s">
        <v>405</v>
      </c>
      <c r="C465" s="12" t="s">
        <v>406</v>
      </c>
      <c r="D465" s="16" t="n">
        <v>0.0028349537037037</v>
      </c>
      <c r="E465" s="15" t="n">
        <f aca="false">ROUND((D465-$D$5)*86400,2)</f>
        <v>19.91</v>
      </c>
      <c r="F465" s="17" t="n">
        <v>203</v>
      </c>
      <c r="G465" s="16" t="n">
        <f aca="false">IF(INDEX(選手一覧!$D$7:$D$2738,$F465)="","",INDEX(選手一覧!$D$7:$D$2738,$F465))</f>
        <v>0.0103506944444444</v>
      </c>
      <c r="H465" s="17" t="n">
        <f aca="false">IF(INDEX(選手一覧!$E$7:$E$2738,$F465)="","",INDEX(選手一覧!$E$7:$E$2738,$F465))</f>
        <v>204</v>
      </c>
      <c r="I465" s="16" t="str">
        <f aca="false">IF(INDEX(選手一覧!$H$7:$H$2738,$F465)="","",INDEX(選手一覧!$H$7:$H$2738,$F465))</f>
        <v/>
      </c>
      <c r="J465" s="17" t="str">
        <f aca="false">IF(INDEX(選手一覧!$I$7:$I$2738,$F465)="","",INDEX(選手一覧!$I$7:$I$2738,$F465))</f>
        <v/>
      </c>
    </row>
    <row r="466" customFormat="false" ht="15" hidden="false" customHeight="false" outlineLevel="0" collapsed="false">
      <c r="A466" s="17" t="n">
        <v>462</v>
      </c>
      <c r="B466" s="12" t="s">
        <v>560</v>
      </c>
      <c r="C466" s="12" t="s">
        <v>561</v>
      </c>
      <c r="D466" s="16" t="n">
        <v>0.00283518518518519</v>
      </c>
      <c r="E466" s="15" t="n">
        <f aca="false">ROUND((D466-$D$5)*86400,2)</f>
        <v>19.93</v>
      </c>
      <c r="F466" s="17" t="n">
        <v>299</v>
      </c>
      <c r="G466" s="16" t="n">
        <f aca="false">IF(INDEX(選手一覧!$D$7:$D$2738,$F466)="","",INDEX(選手一覧!$D$7:$D$2738,$F466))</f>
        <v>0.0104451388888889</v>
      </c>
      <c r="H466" s="17" t="n">
        <f aca="false">IF(INDEX(選手一覧!$E$7:$E$2738,$F466)="","",INDEX(選手一覧!$E$7:$E$2738,$F466))</f>
        <v>300</v>
      </c>
      <c r="I466" s="16" t="str">
        <f aca="false">IF(INDEX(選手一覧!$H$7:$H$2738,$F466)="","",INDEX(選手一覧!$H$7:$H$2738,$F466))</f>
        <v/>
      </c>
      <c r="J466" s="17" t="str">
        <f aca="false">IF(INDEX(選手一覧!$I$7:$I$2738,$F466)="","",INDEX(選手一覧!$I$7:$I$2738,$F466))</f>
        <v/>
      </c>
    </row>
    <row r="467" customFormat="false" ht="15" hidden="false" customHeight="false" outlineLevel="0" collapsed="false">
      <c r="A467" s="17" t="n">
        <v>463</v>
      </c>
      <c r="B467" s="12" t="s">
        <v>2031</v>
      </c>
      <c r="C467" s="12" t="s">
        <v>61</v>
      </c>
      <c r="D467" s="16" t="n">
        <v>0.00283518518518519</v>
      </c>
      <c r="E467" s="15" t="n">
        <f aca="false">ROUND((D467-$D$5)*86400,2)</f>
        <v>19.93</v>
      </c>
      <c r="F467" s="17" t="n">
        <v>1283</v>
      </c>
      <c r="G467" s="16" t="n">
        <f aca="false">IF(INDEX(選手一覧!$D$7:$D$2738,$F467)="","",INDEX(選手一覧!$D$7:$D$2738,$F467))</f>
        <v>0.0111173611111111</v>
      </c>
      <c r="H467" s="17" t="n">
        <f aca="false">IF(INDEX(選手一覧!$E$7:$E$2738,$F467)="","",INDEX(選手一覧!$E$7:$E$2738,$F467))</f>
        <v>1284</v>
      </c>
      <c r="I467" s="16" t="str">
        <f aca="false">IF(INDEX(選手一覧!$H$7:$H$2738,$F467)="","",INDEX(選手一覧!$H$7:$H$2738,$F467))</f>
        <v/>
      </c>
      <c r="J467" s="17" t="str">
        <f aca="false">IF(INDEX(選手一覧!$I$7:$I$2738,$F467)="","",INDEX(選手一覧!$I$7:$I$2738,$F467))</f>
        <v/>
      </c>
    </row>
    <row r="468" customFormat="false" ht="15" hidden="false" customHeight="false" outlineLevel="0" collapsed="false">
      <c r="A468" s="17" t="n">
        <v>464</v>
      </c>
      <c r="B468" s="12" t="s">
        <v>1081</v>
      </c>
      <c r="C468" s="12" t="s">
        <v>61</v>
      </c>
      <c r="D468" s="16" t="n">
        <v>0.00283530092592593</v>
      </c>
      <c r="E468" s="15" t="n">
        <f aca="false">ROUND((D468-$D$5)*86400,2)</f>
        <v>19.94</v>
      </c>
      <c r="F468" s="17" t="n">
        <v>636</v>
      </c>
      <c r="G468" s="16" t="n">
        <f aca="false">IF(INDEX(選手一覧!$D$7:$D$2738,$F468)="","",INDEX(選手一覧!$D$7:$D$2738,$F468))</f>
        <v>0.0107318287037037</v>
      </c>
      <c r="H468" s="17" t="n">
        <f aca="false">IF(INDEX(選手一覧!$E$7:$E$2738,$F468)="","",INDEX(選手一覧!$E$7:$E$2738,$F468))</f>
        <v>637</v>
      </c>
      <c r="I468" s="16" t="n">
        <f aca="false">IF(INDEX(選手一覧!$H$7:$H$2738,$F468)="","",INDEX(選手一覧!$H$7:$H$2738,$F468))</f>
        <v>0.00700451388888889</v>
      </c>
      <c r="J468" s="17" t="n">
        <f aca="false">IF(INDEX(選手一覧!$I$7:$I$2738,$F468)="","",INDEX(選手一覧!$I$7:$I$2738,$F468))</f>
        <v>341</v>
      </c>
    </row>
    <row r="469" customFormat="false" ht="15" hidden="false" customHeight="false" outlineLevel="0" collapsed="false">
      <c r="A469" s="17" t="n">
        <v>465</v>
      </c>
      <c r="B469" s="12" t="s">
        <v>2435</v>
      </c>
      <c r="C469" s="12" t="s">
        <v>2436</v>
      </c>
      <c r="D469" s="16" t="n">
        <v>0.00283541666666667</v>
      </c>
      <c r="E469" s="15" t="n">
        <f aca="false">ROUND((D469-$D$5)*86400,2)</f>
        <v>19.95</v>
      </c>
      <c r="F469" s="17" t="n">
        <v>1555</v>
      </c>
      <c r="G469" s="16" t="str">
        <f aca="false">IF(INDEX(選手一覧!$D$7:$D$2738,$F469)="","",INDEX(選手一覧!$D$7:$D$2738,$F469))</f>
        <v/>
      </c>
      <c r="H469" s="17" t="str">
        <f aca="false">IF(INDEX(選手一覧!$E$7:$E$2738,$F469)="","",INDEX(選手一覧!$E$7:$E$2738,$F469))</f>
        <v/>
      </c>
      <c r="I469" s="16" t="str">
        <f aca="false">IF(INDEX(選手一覧!$H$7:$H$2738,$F469)="","",INDEX(選手一覧!$H$7:$H$2738,$F469))</f>
        <v/>
      </c>
      <c r="J469" s="17" t="str">
        <f aca="false">IF(INDEX(選手一覧!$I$7:$I$2738,$F469)="","",INDEX(選手一覧!$I$7:$I$2738,$F469))</f>
        <v/>
      </c>
    </row>
    <row r="470" customFormat="false" ht="15" hidden="false" customHeight="false" outlineLevel="0" collapsed="false">
      <c r="A470" s="17" t="n">
        <v>466</v>
      </c>
      <c r="B470" s="12" t="s">
        <v>1384</v>
      </c>
      <c r="C470" s="12" t="s">
        <v>1385</v>
      </c>
      <c r="D470" s="16" t="n">
        <v>0.00283553240740741</v>
      </c>
      <c r="E470" s="15" t="n">
        <f aca="false">ROUND((D470-$D$5)*86400,2)</f>
        <v>19.96</v>
      </c>
      <c r="F470" s="17" t="n">
        <v>837</v>
      </c>
      <c r="G470" s="16" t="n">
        <f aca="false">IF(INDEX(選手一覧!$D$7:$D$2738,$F470)="","",INDEX(選手一覧!$D$7:$D$2738,$F470))</f>
        <v>0.010850462962963</v>
      </c>
      <c r="H470" s="17" t="n">
        <f aca="false">IF(INDEX(選手一覧!$E$7:$E$2738,$F470)="","",INDEX(選手一覧!$E$7:$E$2738,$F470))</f>
        <v>838</v>
      </c>
      <c r="I470" s="16" t="str">
        <f aca="false">IF(INDEX(選手一覧!$H$7:$H$2738,$F470)="","",INDEX(選手一覧!$H$7:$H$2738,$F470))</f>
        <v/>
      </c>
      <c r="J470" s="17" t="str">
        <f aca="false">IF(INDEX(選手一覧!$I$7:$I$2738,$F470)="","",INDEX(選手一覧!$I$7:$I$2738,$F470))</f>
        <v/>
      </c>
    </row>
    <row r="471" customFormat="false" ht="15" hidden="false" customHeight="false" outlineLevel="0" collapsed="false">
      <c r="A471" s="17" t="n">
        <v>467</v>
      </c>
      <c r="B471" s="12" t="s">
        <v>2441</v>
      </c>
      <c r="C471" s="12" t="s">
        <v>2442</v>
      </c>
      <c r="D471" s="16" t="n">
        <v>0.00283564814814815</v>
      </c>
      <c r="E471" s="15" t="n">
        <f aca="false">ROUND((D471-$D$5)*86400,2)</f>
        <v>19.97</v>
      </c>
      <c r="F471" s="17" t="n">
        <v>1558</v>
      </c>
      <c r="G471" s="16" t="str">
        <f aca="false">IF(INDEX(選手一覧!$D$7:$D$2738,$F471)="","",INDEX(選手一覧!$D$7:$D$2738,$F471))</f>
        <v/>
      </c>
      <c r="H471" s="17" t="str">
        <f aca="false">IF(INDEX(選手一覧!$E$7:$E$2738,$F471)="","",INDEX(選手一覧!$E$7:$E$2738,$F471))</f>
        <v/>
      </c>
      <c r="I471" s="16" t="str">
        <f aca="false">IF(INDEX(選手一覧!$H$7:$H$2738,$F471)="","",INDEX(選手一覧!$H$7:$H$2738,$F471))</f>
        <v/>
      </c>
      <c r="J471" s="17" t="str">
        <f aca="false">IF(INDEX(選手一覧!$I$7:$I$2738,$F471)="","",INDEX(選手一覧!$I$7:$I$2738,$F471))</f>
        <v/>
      </c>
    </row>
    <row r="472" customFormat="false" ht="15" hidden="false" customHeight="false" outlineLevel="0" collapsed="false">
      <c r="A472" s="17" t="n">
        <v>468</v>
      </c>
      <c r="B472" s="12" t="s">
        <v>347</v>
      </c>
      <c r="C472" s="12" t="s">
        <v>348</v>
      </c>
      <c r="D472" s="16" t="n">
        <v>0.00283576388888889</v>
      </c>
      <c r="E472" s="15" t="n">
        <f aca="false">ROUND((D472-$D$5)*86400,2)</f>
        <v>19.98</v>
      </c>
      <c r="F472" s="17" t="n">
        <v>168</v>
      </c>
      <c r="G472" s="16" t="n">
        <f aca="false">IF(INDEX(選手一覧!$D$7:$D$2738,$F472)="","",INDEX(選手一覧!$D$7:$D$2738,$F472))</f>
        <v>0.0103164351851852</v>
      </c>
      <c r="H472" s="17" t="n">
        <f aca="false">IF(INDEX(選手一覧!$E$7:$E$2738,$F472)="","",INDEX(選手一覧!$E$7:$E$2738,$F472))</f>
        <v>169</v>
      </c>
      <c r="I472" s="16" t="str">
        <f aca="false">IF(INDEX(選手一覧!$H$7:$H$2738,$F472)="","",INDEX(選手一覧!$H$7:$H$2738,$F472))</f>
        <v/>
      </c>
      <c r="J472" s="17" t="str">
        <f aca="false">IF(INDEX(選手一覧!$I$7:$I$2738,$F472)="","",INDEX(選手一覧!$I$7:$I$2738,$F472))</f>
        <v/>
      </c>
    </row>
    <row r="473" customFormat="false" ht="15" hidden="false" customHeight="false" outlineLevel="0" collapsed="false">
      <c r="A473" s="17" t="n">
        <v>469</v>
      </c>
      <c r="B473" s="12" t="s">
        <v>1033</v>
      </c>
      <c r="C473" s="12" t="s">
        <v>199</v>
      </c>
      <c r="D473" s="16" t="n">
        <v>0.00283576388888889</v>
      </c>
      <c r="E473" s="15" t="n">
        <f aca="false">ROUND((D473-$D$5)*86400,2)</f>
        <v>19.98</v>
      </c>
      <c r="F473" s="17" t="n">
        <v>599</v>
      </c>
      <c r="G473" s="16" t="n">
        <f aca="false">IF(INDEX(選手一覧!$D$7:$D$2738,$F473)="","",INDEX(選手一覧!$D$7:$D$2738,$F473))</f>
        <v>0.0107121527777778</v>
      </c>
      <c r="H473" s="17" t="n">
        <f aca="false">IF(INDEX(選手一覧!$E$7:$E$2738,$F473)="","",INDEX(選手一覧!$E$7:$E$2738,$F473))</f>
        <v>600</v>
      </c>
      <c r="I473" s="16" t="str">
        <f aca="false">IF(INDEX(選手一覧!$H$7:$H$2738,$F473)="","",INDEX(選手一覧!$H$7:$H$2738,$F473))</f>
        <v/>
      </c>
      <c r="J473" s="17" t="str">
        <f aca="false">IF(INDEX(選手一覧!$I$7:$I$2738,$F473)="","",INDEX(選手一覧!$I$7:$I$2738,$F473))</f>
        <v/>
      </c>
    </row>
    <row r="474" customFormat="false" ht="15" hidden="false" customHeight="false" outlineLevel="0" collapsed="false">
      <c r="A474" s="17" t="n">
        <v>470</v>
      </c>
      <c r="B474" s="12" t="s">
        <v>1208</v>
      </c>
      <c r="C474" s="12" t="s">
        <v>1209</v>
      </c>
      <c r="D474" s="16" t="n">
        <v>0.00283587962962963</v>
      </c>
      <c r="E474" s="15" t="n">
        <f aca="false">ROUND((D474-$D$5)*86400,2)</f>
        <v>19.99</v>
      </c>
      <c r="F474" s="17" t="n">
        <v>719</v>
      </c>
      <c r="G474" s="16" t="n">
        <f aca="false">IF(INDEX(選手一覧!$D$7:$D$2738,$F474)="","",INDEX(選手一覧!$D$7:$D$2738,$F474))</f>
        <v>0.0107890046296296</v>
      </c>
      <c r="H474" s="17" t="n">
        <f aca="false">IF(INDEX(選手一覧!$E$7:$E$2738,$F474)="","",INDEX(選手一覧!$E$7:$E$2738,$F474))</f>
        <v>720</v>
      </c>
      <c r="I474" s="16" t="str">
        <f aca="false">IF(INDEX(選手一覧!$H$7:$H$2738,$F474)="","",INDEX(選手一覧!$H$7:$H$2738,$F474))</f>
        <v/>
      </c>
      <c r="J474" s="17" t="str">
        <f aca="false">IF(INDEX(選手一覧!$I$7:$I$2738,$F474)="","",INDEX(選手一覧!$I$7:$I$2738,$F474))</f>
        <v/>
      </c>
    </row>
    <row r="475" customFormat="false" ht="15" hidden="false" customHeight="false" outlineLevel="0" collapsed="false">
      <c r="A475" s="17" t="n">
        <v>471</v>
      </c>
      <c r="B475" s="12" t="s">
        <v>1012</v>
      </c>
      <c r="C475" s="12" t="s">
        <v>333</v>
      </c>
      <c r="D475" s="16" t="n">
        <v>0.00283611111111111</v>
      </c>
      <c r="E475" s="15" t="n">
        <f aca="false">ROUND((D475-$D$5)*86400,2)</f>
        <v>20.01</v>
      </c>
      <c r="F475" s="17" t="n">
        <v>584</v>
      </c>
      <c r="G475" s="16" t="n">
        <f aca="false">IF(INDEX(選手一覧!$D$7:$D$2738,$F475)="","",INDEX(選手一覧!$D$7:$D$2738,$F475))</f>
        <v>0.0107009259259259</v>
      </c>
      <c r="H475" s="17" t="n">
        <f aca="false">IF(INDEX(選手一覧!$E$7:$E$2738,$F475)="","",INDEX(選手一覧!$E$7:$E$2738,$F475))</f>
        <v>585</v>
      </c>
      <c r="I475" s="16" t="str">
        <f aca="false">IF(INDEX(選手一覧!$H$7:$H$2738,$F475)="","",INDEX(選手一覧!$H$7:$H$2738,$F475))</f>
        <v/>
      </c>
      <c r="J475" s="17" t="str">
        <f aca="false">IF(INDEX(選手一覧!$I$7:$I$2738,$F475)="","",INDEX(選手一覧!$I$7:$I$2738,$F475))</f>
        <v/>
      </c>
    </row>
    <row r="476" customFormat="false" ht="15" hidden="false" customHeight="false" outlineLevel="0" collapsed="false">
      <c r="A476" s="17" t="n">
        <v>472</v>
      </c>
      <c r="B476" s="12" t="s">
        <v>1842</v>
      </c>
      <c r="C476" s="12" t="s">
        <v>1843</v>
      </c>
      <c r="D476" s="16" t="n">
        <v>0.00283611111111111</v>
      </c>
      <c r="E476" s="15" t="n">
        <f aca="false">ROUND((D476-$D$5)*86400,2)</f>
        <v>20.01</v>
      </c>
      <c r="F476" s="17" t="n">
        <v>1144</v>
      </c>
      <c r="G476" s="16" t="n">
        <f aca="false">IF(INDEX(選手一覧!$D$7:$D$2738,$F476)="","",INDEX(選手一覧!$D$7:$D$2738,$F476))</f>
        <v>0.0110271990740741</v>
      </c>
      <c r="H476" s="17" t="n">
        <f aca="false">IF(INDEX(選手一覧!$E$7:$E$2738,$F476)="","",INDEX(選手一覧!$E$7:$E$2738,$F476))</f>
        <v>1145</v>
      </c>
      <c r="I476" s="16" t="str">
        <f aca="false">IF(INDEX(選手一覧!$H$7:$H$2738,$F476)="","",INDEX(選手一覧!$H$7:$H$2738,$F476))</f>
        <v/>
      </c>
      <c r="J476" s="17" t="str">
        <f aca="false">IF(INDEX(選手一覧!$I$7:$I$2738,$F476)="","",INDEX(選手一覧!$I$7:$I$2738,$F476))</f>
        <v/>
      </c>
    </row>
    <row r="477" customFormat="false" ht="15" hidden="false" customHeight="false" outlineLevel="0" collapsed="false">
      <c r="A477" s="17" t="n">
        <v>473</v>
      </c>
      <c r="B477" s="12" t="s">
        <v>2451</v>
      </c>
      <c r="C477" s="12" t="s">
        <v>281</v>
      </c>
      <c r="D477" s="16" t="n">
        <v>0.00283634259259259</v>
      </c>
      <c r="E477" s="15" t="n">
        <f aca="false">ROUND((D477-$D$5)*86400,2)</f>
        <v>20.03</v>
      </c>
      <c r="F477" s="17" t="n">
        <v>1564</v>
      </c>
      <c r="G477" s="16" t="str">
        <f aca="false">IF(INDEX(選手一覧!$D$7:$D$2738,$F477)="","",INDEX(選手一覧!$D$7:$D$2738,$F477))</f>
        <v/>
      </c>
      <c r="H477" s="17" t="str">
        <f aca="false">IF(INDEX(選手一覧!$E$7:$E$2738,$F477)="","",INDEX(選手一覧!$E$7:$E$2738,$F477))</f>
        <v/>
      </c>
      <c r="I477" s="16" t="str">
        <f aca="false">IF(INDEX(選手一覧!$H$7:$H$2738,$F477)="","",INDEX(選手一覧!$H$7:$H$2738,$F477))</f>
        <v/>
      </c>
      <c r="J477" s="17" t="str">
        <f aca="false">IF(INDEX(選手一覧!$I$7:$I$2738,$F477)="","",INDEX(選手一覧!$I$7:$I$2738,$F477))</f>
        <v/>
      </c>
    </row>
    <row r="478" customFormat="false" ht="15" hidden="false" customHeight="false" outlineLevel="0" collapsed="false">
      <c r="A478" s="17" t="n">
        <v>474</v>
      </c>
      <c r="B478" s="12" t="s">
        <v>1872</v>
      </c>
      <c r="C478" s="12" t="s">
        <v>478</v>
      </c>
      <c r="D478" s="16" t="n">
        <v>0.00283645833333333</v>
      </c>
      <c r="E478" s="15" t="n">
        <f aca="false">ROUND((D478-$D$5)*86400,2)</f>
        <v>20.04</v>
      </c>
      <c r="F478" s="17" t="n">
        <v>1163</v>
      </c>
      <c r="G478" s="16" t="n">
        <f aca="false">IF(INDEX(選手一覧!$D$7:$D$2738,$F478)="","",INDEX(選手一覧!$D$7:$D$2738,$F478))</f>
        <v>0.0110353009259259</v>
      </c>
      <c r="H478" s="17" t="n">
        <f aca="false">IF(INDEX(選手一覧!$E$7:$E$2738,$F478)="","",INDEX(選手一覧!$E$7:$E$2738,$F478))</f>
        <v>1164</v>
      </c>
      <c r="I478" s="16" t="str">
        <f aca="false">IF(INDEX(選手一覧!$H$7:$H$2738,$F478)="","",INDEX(選手一覧!$H$7:$H$2738,$F478))</f>
        <v/>
      </c>
      <c r="J478" s="17" t="str">
        <f aca="false">IF(INDEX(選手一覧!$I$7:$I$2738,$F478)="","",INDEX(選手一覧!$I$7:$I$2738,$F478))</f>
        <v/>
      </c>
    </row>
    <row r="479" customFormat="false" ht="15" hidden="false" customHeight="false" outlineLevel="0" collapsed="false">
      <c r="A479" s="17" t="n">
        <v>475</v>
      </c>
      <c r="B479" s="12" t="s">
        <v>2087</v>
      </c>
      <c r="C479" s="12" t="s">
        <v>619</v>
      </c>
      <c r="D479" s="16" t="n">
        <v>0.00283680555555556</v>
      </c>
      <c r="E479" s="15" t="n">
        <f aca="false">ROUND((D479-$D$5)*86400,2)</f>
        <v>20.07</v>
      </c>
      <c r="F479" s="17" t="n">
        <v>1324</v>
      </c>
      <c r="G479" s="16" t="str">
        <f aca="false">IF(INDEX(選手一覧!$D$7:$D$2738,$F479)="","",INDEX(選手一覧!$D$7:$D$2738,$F479))</f>
        <v/>
      </c>
      <c r="H479" s="17" t="str">
        <f aca="false">IF(INDEX(選手一覧!$E$7:$E$2738,$F479)="","",INDEX(選手一覧!$E$7:$E$2738,$F479))</f>
        <v/>
      </c>
      <c r="I479" s="16" t="n">
        <f aca="false">IF(INDEX(選手一覧!$H$7:$H$2738,$F479)="","",INDEX(選手一覧!$H$7:$H$2738,$F479))</f>
        <v>0.00678472222222222</v>
      </c>
      <c r="J479" s="17" t="n">
        <f aca="false">IF(INDEX(選手一覧!$I$7:$I$2738,$F479)="","",INDEX(選手一覧!$I$7:$I$2738,$F479))</f>
        <v>161</v>
      </c>
    </row>
    <row r="480" customFormat="false" ht="15" hidden="false" customHeight="false" outlineLevel="0" collapsed="false">
      <c r="A480" s="17" t="n">
        <v>476</v>
      </c>
      <c r="B480" s="12" t="s">
        <v>1685</v>
      </c>
      <c r="C480" s="12" t="s">
        <v>893</v>
      </c>
      <c r="D480" s="16" t="n">
        <v>0.00283680555555556</v>
      </c>
      <c r="E480" s="15" t="n">
        <f aca="false">ROUND((D480-$D$5)*86400,2)</f>
        <v>20.07</v>
      </c>
      <c r="F480" s="17" t="n">
        <v>1039</v>
      </c>
      <c r="G480" s="16" t="n">
        <f aca="false">IF(INDEX(選手一覧!$D$7:$D$2738,$F480)="","",INDEX(選手一覧!$D$7:$D$2738,$F480))</f>
        <v>0.0109703703703704</v>
      </c>
      <c r="H480" s="17" t="n">
        <f aca="false">IF(INDEX(選手一覧!$E$7:$E$2738,$F480)="","",INDEX(選手一覧!$E$7:$E$2738,$F480))</f>
        <v>1040</v>
      </c>
      <c r="I480" s="16" t="n">
        <f aca="false">IF(INDEX(選手一覧!$H$7:$H$2738,$F480)="","",INDEX(選手一覧!$H$7:$H$2738,$F480))</f>
        <v>0.00664293981481482</v>
      </c>
      <c r="J480" s="17" t="n">
        <f aca="false">IF(INDEX(選手一覧!$I$7:$I$2738,$F480)="","",INDEX(選手一覧!$I$7:$I$2738,$F480))</f>
        <v>80</v>
      </c>
    </row>
    <row r="481" customFormat="false" ht="15" hidden="false" customHeight="false" outlineLevel="0" collapsed="false">
      <c r="A481" s="17" t="n">
        <v>477</v>
      </c>
      <c r="B481" s="12" t="s">
        <v>2457</v>
      </c>
      <c r="C481" s="12" t="s">
        <v>2372</v>
      </c>
      <c r="D481" s="16" t="n">
        <v>0.00283680555555556</v>
      </c>
      <c r="E481" s="15" t="n">
        <f aca="false">ROUND((D481-$D$5)*86400,2)</f>
        <v>20.07</v>
      </c>
      <c r="F481" s="17" t="n">
        <v>1568</v>
      </c>
      <c r="G481" s="16" t="str">
        <f aca="false">IF(INDEX(選手一覧!$D$7:$D$2738,$F481)="","",INDEX(選手一覧!$D$7:$D$2738,$F481))</f>
        <v/>
      </c>
      <c r="H481" s="17" t="str">
        <f aca="false">IF(INDEX(選手一覧!$E$7:$E$2738,$F481)="","",INDEX(選手一覧!$E$7:$E$2738,$F481))</f>
        <v/>
      </c>
      <c r="I481" s="16" t="str">
        <f aca="false">IF(INDEX(選手一覧!$H$7:$H$2738,$F481)="","",INDEX(選手一覧!$H$7:$H$2738,$F481))</f>
        <v/>
      </c>
      <c r="J481" s="17" t="str">
        <f aca="false">IF(INDEX(選手一覧!$I$7:$I$2738,$F481)="","",INDEX(選手一覧!$I$7:$I$2738,$F481))</f>
        <v/>
      </c>
    </row>
    <row r="482" customFormat="false" ht="15" hidden="false" customHeight="false" outlineLevel="0" collapsed="false">
      <c r="A482" s="17" t="n">
        <v>478</v>
      </c>
      <c r="B482" s="12" t="s">
        <v>904</v>
      </c>
      <c r="C482" s="12" t="s">
        <v>351</v>
      </c>
      <c r="D482" s="16" t="n">
        <v>0.0028369212962963</v>
      </c>
      <c r="E482" s="15" t="n">
        <f aca="false">ROUND((D482-$D$5)*86400,2)</f>
        <v>20.08</v>
      </c>
      <c r="F482" s="17" t="n">
        <v>514</v>
      </c>
      <c r="G482" s="16" t="n">
        <f aca="false">IF(INDEX(選手一覧!$D$7:$D$2738,$F482)="","",INDEX(選手一覧!$D$7:$D$2738,$F482))</f>
        <v>0.0106431712962963</v>
      </c>
      <c r="H482" s="17" t="n">
        <f aca="false">IF(INDEX(選手一覧!$E$7:$E$2738,$F482)="","",INDEX(選手一覧!$E$7:$E$2738,$F482))</f>
        <v>515</v>
      </c>
      <c r="I482" s="16" t="str">
        <f aca="false">IF(INDEX(選手一覧!$H$7:$H$2738,$F482)="","",INDEX(選手一覧!$H$7:$H$2738,$F482))</f>
        <v/>
      </c>
      <c r="J482" s="17" t="str">
        <f aca="false">IF(INDEX(選手一覧!$I$7:$I$2738,$F482)="","",INDEX(選手一覧!$I$7:$I$2738,$F482))</f>
        <v/>
      </c>
    </row>
    <row r="483" customFormat="false" ht="15" hidden="false" customHeight="false" outlineLevel="0" collapsed="false">
      <c r="A483" s="17" t="n">
        <v>479</v>
      </c>
      <c r="B483" s="12" t="s">
        <v>468</v>
      </c>
      <c r="C483" s="12" t="s">
        <v>469</v>
      </c>
      <c r="D483" s="16" t="n">
        <v>0.0028369212962963</v>
      </c>
      <c r="E483" s="15" t="n">
        <f aca="false">ROUND((D483-$D$5)*86400,2)</f>
        <v>20.08</v>
      </c>
      <c r="F483" s="17" t="n">
        <v>239</v>
      </c>
      <c r="G483" s="16" t="n">
        <f aca="false">IF(INDEX(選手一覧!$D$7:$D$2738,$F483)="","",INDEX(選手一覧!$D$7:$D$2738,$F483))</f>
        <v>0.0103777777777778</v>
      </c>
      <c r="H483" s="17" t="n">
        <f aca="false">IF(INDEX(選手一覧!$E$7:$E$2738,$F483)="","",INDEX(選手一覧!$E$7:$E$2738,$F483))</f>
        <v>240</v>
      </c>
      <c r="I483" s="16" t="str">
        <f aca="false">IF(INDEX(選手一覧!$H$7:$H$2738,$F483)="","",INDEX(選手一覧!$H$7:$H$2738,$F483))</f>
        <v/>
      </c>
      <c r="J483" s="17" t="str">
        <f aca="false">IF(INDEX(選手一覧!$I$7:$I$2738,$F483)="","",INDEX(選手一覧!$I$7:$I$2738,$F483))</f>
        <v/>
      </c>
    </row>
    <row r="484" customFormat="false" ht="15" hidden="false" customHeight="false" outlineLevel="0" collapsed="false">
      <c r="A484" s="17" t="n">
        <v>480</v>
      </c>
      <c r="B484" s="12" t="s">
        <v>2463</v>
      </c>
      <c r="C484" s="12" t="s">
        <v>1964</v>
      </c>
      <c r="D484" s="16" t="n">
        <v>0.00283726851851852</v>
      </c>
      <c r="E484" s="15" t="n">
        <f aca="false">ROUND((D484-$D$5)*86400,2)</f>
        <v>20.11</v>
      </c>
      <c r="F484" s="17" t="n">
        <v>1572</v>
      </c>
      <c r="G484" s="16" t="str">
        <f aca="false">IF(INDEX(選手一覧!$D$7:$D$2738,$F484)="","",INDEX(選手一覧!$D$7:$D$2738,$F484))</f>
        <v/>
      </c>
      <c r="H484" s="17" t="str">
        <f aca="false">IF(INDEX(選手一覧!$E$7:$E$2738,$F484)="","",INDEX(選手一覧!$E$7:$E$2738,$F484))</f>
        <v/>
      </c>
      <c r="I484" s="16" t="str">
        <f aca="false">IF(INDEX(選手一覧!$H$7:$H$2738,$F484)="","",INDEX(選手一覧!$H$7:$H$2738,$F484))</f>
        <v/>
      </c>
      <c r="J484" s="17" t="str">
        <f aca="false">IF(INDEX(選手一覧!$I$7:$I$2738,$F484)="","",INDEX(選手一覧!$I$7:$I$2738,$F484))</f>
        <v/>
      </c>
    </row>
    <row r="485" customFormat="false" ht="15" hidden="false" customHeight="false" outlineLevel="0" collapsed="false">
      <c r="A485" s="17" t="n">
        <v>481</v>
      </c>
      <c r="B485" s="12" t="s">
        <v>2466</v>
      </c>
      <c r="C485" s="12" t="s">
        <v>2467</v>
      </c>
      <c r="D485" s="16" t="n">
        <v>0.0028375</v>
      </c>
      <c r="E485" s="15" t="n">
        <f aca="false">ROUND((D485-$D$5)*86400,2)</f>
        <v>20.13</v>
      </c>
      <c r="F485" s="17" t="n">
        <v>1574</v>
      </c>
      <c r="G485" s="16" t="str">
        <f aca="false">IF(INDEX(選手一覧!$D$7:$D$2738,$F485)="","",INDEX(選手一覧!$D$7:$D$2738,$F485))</f>
        <v/>
      </c>
      <c r="H485" s="17" t="str">
        <f aca="false">IF(INDEX(選手一覧!$E$7:$E$2738,$F485)="","",INDEX(選手一覧!$E$7:$E$2738,$F485))</f>
        <v/>
      </c>
      <c r="I485" s="16" t="str">
        <f aca="false">IF(INDEX(選手一覧!$H$7:$H$2738,$F485)="","",INDEX(選手一覧!$H$7:$H$2738,$F485))</f>
        <v/>
      </c>
      <c r="J485" s="17" t="str">
        <f aca="false">IF(INDEX(選手一覧!$I$7:$I$2738,$F485)="","",INDEX(選手一覧!$I$7:$I$2738,$F485))</f>
        <v/>
      </c>
    </row>
    <row r="486" customFormat="false" ht="15" hidden="false" customHeight="false" outlineLevel="0" collapsed="false">
      <c r="A486" s="17" t="n">
        <v>482</v>
      </c>
      <c r="B486" s="12" t="s">
        <v>766</v>
      </c>
      <c r="C486" s="12" t="s">
        <v>767</v>
      </c>
      <c r="D486" s="16" t="n">
        <v>0.00283784722222222</v>
      </c>
      <c r="E486" s="15" t="n">
        <f aca="false">ROUND((D486-$D$5)*86400,2)</f>
        <v>20.16</v>
      </c>
      <c r="F486" s="17" t="n">
        <v>427</v>
      </c>
      <c r="G486" s="16" t="n">
        <f aca="false">IF(INDEX(選手一覧!$D$7:$D$2738,$F486)="","",INDEX(選手一覧!$D$7:$D$2738,$F486))</f>
        <v>0.0105734953703704</v>
      </c>
      <c r="H486" s="17" t="n">
        <f aca="false">IF(INDEX(選手一覧!$E$7:$E$2738,$F486)="","",INDEX(選手一覧!$E$7:$E$2738,$F486))</f>
        <v>428</v>
      </c>
      <c r="I486" s="16" t="str">
        <f aca="false">IF(INDEX(選手一覧!$H$7:$H$2738,$F486)="","",INDEX(選手一覧!$H$7:$H$2738,$F486))</f>
        <v/>
      </c>
      <c r="J486" s="17" t="str">
        <f aca="false">IF(INDEX(選手一覧!$I$7:$I$2738,$F486)="","",INDEX(選手一覧!$I$7:$I$2738,$F486))</f>
        <v/>
      </c>
    </row>
    <row r="487" customFormat="false" ht="15" hidden="false" customHeight="false" outlineLevel="0" collapsed="false">
      <c r="A487" s="17" t="n">
        <v>483</v>
      </c>
      <c r="B487" s="12" t="s">
        <v>2044</v>
      </c>
      <c r="C487" s="12" t="s">
        <v>2045</v>
      </c>
      <c r="D487" s="16" t="n">
        <v>0.0028380787037037</v>
      </c>
      <c r="E487" s="15" t="n">
        <f aca="false">ROUND((D487-$D$5)*86400,2)</f>
        <v>20.18</v>
      </c>
      <c r="F487" s="17" t="n">
        <v>1294</v>
      </c>
      <c r="G487" s="16" t="str">
        <f aca="false">IF(INDEX(選手一覧!$D$7:$D$2738,$F487)="","",INDEX(選手一覧!$D$7:$D$2738,$F487))</f>
        <v/>
      </c>
      <c r="H487" s="17" t="str">
        <f aca="false">IF(INDEX(選手一覧!$E$7:$E$2738,$F487)="","",INDEX(選手一覧!$E$7:$E$2738,$F487))</f>
        <v/>
      </c>
      <c r="I487" s="16" t="n">
        <f aca="false">IF(INDEX(選手一覧!$H$7:$H$2738,$F487)="","",INDEX(選手一覧!$H$7:$H$2738,$F487))</f>
        <v>0.00656701388888889</v>
      </c>
      <c r="J487" s="17" t="n">
        <f aca="false">IF(INDEX(選手一覧!$I$7:$I$2738,$F487)="","",INDEX(選手一覧!$I$7:$I$2738,$F487))</f>
        <v>56</v>
      </c>
    </row>
    <row r="488" customFormat="false" ht="15" hidden="false" customHeight="false" outlineLevel="0" collapsed="false">
      <c r="A488" s="17" t="n">
        <v>484</v>
      </c>
      <c r="B488" s="12" t="s">
        <v>2472</v>
      </c>
      <c r="C488" s="12" t="s">
        <v>2473</v>
      </c>
      <c r="D488" s="16" t="n">
        <v>0.0028380787037037</v>
      </c>
      <c r="E488" s="15" t="n">
        <f aca="false">ROUND((D488-$D$5)*86400,2)</f>
        <v>20.18</v>
      </c>
      <c r="F488" s="17" t="n">
        <v>1578</v>
      </c>
      <c r="G488" s="16" t="str">
        <f aca="false">IF(INDEX(選手一覧!$D$7:$D$2738,$F488)="","",INDEX(選手一覧!$D$7:$D$2738,$F488))</f>
        <v/>
      </c>
      <c r="H488" s="17" t="str">
        <f aca="false">IF(INDEX(選手一覧!$E$7:$E$2738,$F488)="","",INDEX(選手一覧!$E$7:$E$2738,$F488))</f>
        <v/>
      </c>
      <c r="I488" s="16" t="str">
        <f aca="false">IF(INDEX(選手一覧!$H$7:$H$2738,$F488)="","",INDEX(選手一覧!$H$7:$H$2738,$F488))</f>
        <v/>
      </c>
      <c r="J488" s="17" t="str">
        <f aca="false">IF(INDEX(選手一覧!$I$7:$I$2738,$F488)="","",INDEX(選手一覧!$I$7:$I$2738,$F488))</f>
        <v/>
      </c>
    </row>
    <row r="489" customFormat="false" ht="15" hidden="false" customHeight="false" outlineLevel="0" collapsed="false">
      <c r="A489" s="17" t="n">
        <v>485</v>
      </c>
      <c r="B489" s="12" t="s">
        <v>723</v>
      </c>
      <c r="C489" s="12" t="s">
        <v>515</v>
      </c>
      <c r="D489" s="16" t="n">
        <v>0.00283819444444444</v>
      </c>
      <c r="E489" s="15" t="n">
        <f aca="false">ROUND((D489-$D$5)*86400,2)</f>
        <v>20.19</v>
      </c>
      <c r="F489" s="17" t="n">
        <v>401</v>
      </c>
      <c r="G489" s="16" t="n">
        <f aca="false">IF(INDEX(選手一覧!$D$7:$D$2738,$F489)="","",INDEX(選手一覧!$D$7:$D$2738,$F489))</f>
        <v>0.0105515046296296</v>
      </c>
      <c r="H489" s="17" t="n">
        <f aca="false">IF(INDEX(選手一覧!$E$7:$E$2738,$F489)="","",INDEX(選手一覧!$E$7:$E$2738,$F489))</f>
        <v>402</v>
      </c>
      <c r="I489" s="16" t="str">
        <f aca="false">IF(INDEX(選手一覧!$H$7:$H$2738,$F489)="","",INDEX(選手一覧!$H$7:$H$2738,$F489))</f>
        <v/>
      </c>
      <c r="J489" s="17" t="str">
        <f aca="false">IF(INDEX(選手一覧!$I$7:$I$2738,$F489)="","",INDEX(選手一覧!$I$7:$I$2738,$F489))</f>
        <v/>
      </c>
    </row>
    <row r="490" customFormat="false" ht="15" hidden="false" customHeight="false" outlineLevel="0" collapsed="false">
      <c r="A490" s="17" t="n">
        <v>486</v>
      </c>
      <c r="B490" s="12" t="s">
        <v>870</v>
      </c>
      <c r="C490" s="12" t="s">
        <v>297</v>
      </c>
      <c r="D490" s="16" t="n">
        <v>0.00283831018518519</v>
      </c>
      <c r="E490" s="15" t="n">
        <f aca="false">ROUND((D490-$D$5)*86400,2)</f>
        <v>20.2</v>
      </c>
      <c r="F490" s="17" t="n">
        <v>495</v>
      </c>
      <c r="G490" s="16" t="n">
        <f aca="false">IF(INDEX(選手一覧!$D$7:$D$2738,$F490)="","",INDEX(選手一覧!$D$7:$D$2738,$F490))</f>
        <v>0.0106185185185185</v>
      </c>
      <c r="H490" s="17" t="n">
        <f aca="false">IF(INDEX(選手一覧!$E$7:$E$2738,$F490)="","",INDEX(選手一覧!$E$7:$E$2738,$F490))</f>
        <v>496</v>
      </c>
      <c r="I490" s="16" t="str">
        <f aca="false">IF(INDEX(選手一覧!$H$7:$H$2738,$F490)="","",INDEX(選手一覧!$H$7:$H$2738,$F490))</f>
        <v/>
      </c>
      <c r="J490" s="17" t="str">
        <f aca="false">IF(INDEX(選手一覧!$I$7:$I$2738,$F490)="","",INDEX(選手一覧!$I$7:$I$2738,$F490))</f>
        <v/>
      </c>
    </row>
    <row r="491" customFormat="false" ht="15" hidden="false" customHeight="false" outlineLevel="0" collapsed="false">
      <c r="A491" s="17" t="n">
        <v>487</v>
      </c>
      <c r="B491" s="12" t="s">
        <v>2477</v>
      </c>
      <c r="C491" s="12" t="s">
        <v>577</v>
      </c>
      <c r="D491" s="16" t="n">
        <v>0.00283888888888889</v>
      </c>
      <c r="E491" s="15" t="n">
        <f aca="false">ROUND((D491-$D$5)*86400,2)</f>
        <v>20.25</v>
      </c>
      <c r="F491" s="17" t="n">
        <v>1582</v>
      </c>
      <c r="G491" s="16" t="str">
        <f aca="false">IF(INDEX(選手一覧!$D$7:$D$2738,$F491)="","",INDEX(選手一覧!$D$7:$D$2738,$F491))</f>
        <v/>
      </c>
      <c r="H491" s="17" t="str">
        <f aca="false">IF(INDEX(選手一覧!$E$7:$E$2738,$F491)="","",INDEX(選手一覧!$E$7:$E$2738,$F491))</f>
        <v/>
      </c>
      <c r="I491" s="16" t="str">
        <f aca="false">IF(INDEX(選手一覧!$H$7:$H$2738,$F491)="","",INDEX(選手一覧!$H$7:$H$2738,$F491))</f>
        <v/>
      </c>
      <c r="J491" s="17" t="str">
        <f aca="false">IF(INDEX(選手一覧!$I$7:$I$2738,$F491)="","",INDEX(選手一覧!$I$7:$I$2738,$F491))</f>
        <v/>
      </c>
    </row>
    <row r="492" customFormat="false" ht="15" hidden="false" customHeight="false" outlineLevel="0" collapsed="false">
      <c r="A492" s="17" t="n">
        <v>488</v>
      </c>
      <c r="B492" s="12" t="s">
        <v>2227</v>
      </c>
      <c r="C492" s="12" t="s">
        <v>2228</v>
      </c>
      <c r="D492" s="16" t="n">
        <v>0.00283912037037037</v>
      </c>
      <c r="E492" s="15" t="n">
        <f aca="false">ROUND((D492-$D$5)*86400,2)</f>
        <v>20.27</v>
      </c>
      <c r="F492" s="17" t="n">
        <v>1419</v>
      </c>
      <c r="G492" s="16" t="str">
        <f aca="false">IF(INDEX(選手一覧!$D$7:$D$2738,$F492)="","",INDEX(選手一覧!$D$7:$D$2738,$F492))</f>
        <v/>
      </c>
      <c r="H492" s="17" t="str">
        <f aca="false">IF(INDEX(選手一覧!$E$7:$E$2738,$F492)="","",INDEX(選手一覧!$E$7:$E$2738,$F492))</f>
        <v/>
      </c>
      <c r="I492" s="16" t="n">
        <f aca="false">IF(INDEX(選手一覧!$H$7:$H$2738,$F492)="","",INDEX(選手一覧!$H$7:$H$2738,$F492))</f>
        <v>0.00696678240740741</v>
      </c>
      <c r="J492" s="17" t="n">
        <f aca="false">IF(INDEX(選手一覧!$I$7:$I$2738,$F492)="","",INDEX(選手一覧!$I$7:$I$2738,$F492))</f>
        <v>299</v>
      </c>
    </row>
    <row r="493" customFormat="false" ht="15" hidden="false" customHeight="false" outlineLevel="0" collapsed="false">
      <c r="A493" s="17" t="n">
        <v>489</v>
      </c>
      <c r="B493" s="12" t="s">
        <v>2480</v>
      </c>
      <c r="C493" s="12" t="s">
        <v>2318</v>
      </c>
      <c r="D493" s="16" t="n">
        <v>0.00283912037037037</v>
      </c>
      <c r="E493" s="15" t="n">
        <f aca="false">ROUND((D493-$D$5)*86400,2)</f>
        <v>20.27</v>
      </c>
      <c r="F493" s="17" t="n">
        <v>1584</v>
      </c>
      <c r="G493" s="16" t="str">
        <f aca="false">IF(INDEX(選手一覧!$D$7:$D$2738,$F493)="","",INDEX(選手一覧!$D$7:$D$2738,$F493))</f>
        <v/>
      </c>
      <c r="H493" s="17" t="str">
        <f aca="false">IF(INDEX(選手一覧!$E$7:$E$2738,$F493)="","",INDEX(選手一覧!$E$7:$E$2738,$F493))</f>
        <v/>
      </c>
      <c r="I493" s="16" t="n">
        <f aca="false">IF(INDEX(選手一覧!$H$7:$H$2738,$F493)="","",INDEX(選手一覧!$H$7:$H$2738,$F493))</f>
        <v>0.00741527777777778</v>
      </c>
      <c r="J493" s="17" t="n">
        <f aca="false">IF(INDEX(選手一覧!$I$7:$I$2738,$F493)="","",INDEX(選手一覧!$I$7:$I$2738,$F493))</f>
        <v>788</v>
      </c>
    </row>
    <row r="494" customFormat="false" ht="15" hidden="false" customHeight="false" outlineLevel="0" collapsed="false">
      <c r="A494" s="17" t="n">
        <v>490</v>
      </c>
      <c r="B494" s="12" t="s">
        <v>1366</v>
      </c>
      <c r="C494" s="12" t="s">
        <v>1367</v>
      </c>
      <c r="D494" s="16" t="n">
        <v>0.00283935185185185</v>
      </c>
      <c r="E494" s="15" t="n">
        <f aca="false">ROUND((D494-$D$5)*86400,2)</f>
        <v>20.29</v>
      </c>
      <c r="F494" s="17" t="n">
        <v>825</v>
      </c>
      <c r="G494" s="16" t="n">
        <f aca="false">IF(INDEX(選手一覧!$D$7:$D$2738,$F494)="","",INDEX(選手一覧!$D$7:$D$2738,$F494))</f>
        <v>0.0108450231481482</v>
      </c>
      <c r="H494" s="17" t="n">
        <f aca="false">IF(INDEX(選手一覧!$E$7:$E$2738,$F494)="","",INDEX(選手一覧!$E$7:$E$2738,$F494))</f>
        <v>826</v>
      </c>
      <c r="I494" s="16" t="str">
        <f aca="false">IF(INDEX(選手一覧!$H$7:$H$2738,$F494)="","",INDEX(選手一覧!$H$7:$H$2738,$F494))</f>
        <v/>
      </c>
      <c r="J494" s="17" t="str">
        <f aca="false">IF(INDEX(選手一覧!$I$7:$I$2738,$F494)="","",INDEX(選手一覧!$I$7:$I$2738,$F494))</f>
        <v/>
      </c>
    </row>
    <row r="495" customFormat="false" ht="15" hidden="false" customHeight="false" outlineLevel="0" collapsed="false">
      <c r="A495" s="17" t="n">
        <v>491</v>
      </c>
      <c r="B495" s="12" t="s">
        <v>56</v>
      </c>
      <c r="C495" s="12" t="s">
        <v>51</v>
      </c>
      <c r="D495" s="16" t="n">
        <v>0.00283935185185185</v>
      </c>
      <c r="E495" s="15" t="n">
        <f aca="false">ROUND((D495-$D$5)*86400,2)</f>
        <v>20.29</v>
      </c>
      <c r="F495" s="17" t="n">
        <v>14</v>
      </c>
      <c r="G495" s="16" t="n">
        <f aca="false">IF(INDEX(選手一覧!$D$7:$D$2738,$F495)="","",INDEX(選手一覧!$D$7:$D$2738,$F495))</f>
        <v>0.00990787037037037</v>
      </c>
      <c r="H495" s="17" t="n">
        <f aca="false">IF(INDEX(選手一覧!$E$7:$E$2738,$F495)="","",INDEX(選手一覧!$E$7:$E$2738,$F495))</f>
        <v>15</v>
      </c>
      <c r="I495" s="16" t="str">
        <f aca="false">IF(INDEX(選手一覧!$H$7:$H$2738,$F495)="","",INDEX(選手一覧!$H$7:$H$2738,$F495))</f>
        <v/>
      </c>
      <c r="J495" s="17" t="str">
        <f aca="false">IF(INDEX(選手一覧!$I$7:$I$2738,$F495)="","",INDEX(選手一覧!$I$7:$I$2738,$F495))</f>
        <v/>
      </c>
    </row>
    <row r="496" customFormat="false" ht="15" hidden="false" customHeight="false" outlineLevel="0" collapsed="false">
      <c r="A496" s="17" t="n">
        <v>492</v>
      </c>
      <c r="B496" s="12" t="s">
        <v>134</v>
      </c>
      <c r="C496" s="12" t="s">
        <v>135</v>
      </c>
      <c r="D496" s="16" t="n">
        <v>0.00283935185185185</v>
      </c>
      <c r="E496" s="15" t="n">
        <f aca="false">ROUND((D496-$D$5)*86400,2)</f>
        <v>20.29</v>
      </c>
      <c r="F496" s="17" t="n">
        <v>54</v>
      </c>
      <c r="G496" s="16" t="n">
        <f aca="false">IF(INDEX(選手一覧!$D$7:$D$2738,$F496)="","",INDEX(選手一覧!$D$7:$D$2738,$F496))</f>
        <v>0.01010625</v>
      </c>
      <c r="H496" s="17" t="n">
        <f aca="false">IF(INDEX(選手一覧!$E$7:$E$2738,$F496)="","",INDEX(選手一覧!$E$7:$E$2738,$F496))</f>
        <v>55</v>
      </c>
      <c r="I496" s="16" t="str">
        <f aca="false">IF(INDEX(選手一覧!$H$7:$H$2738,$F496)="","",INDEX(選手一覧!$H$7:$H$2738,$F496))</f>
        <v/>
      </c>
      <c r="J496" s="17" t="str">
        <f aca="false">IF(INDEX(選手一覧!$I$7:$I$2738,$F496)="","",INDEX(選手一覧!$I$7:$I$2738,$F496))</f>
        <v/>
      </c>
    </row>
    <row r="497" customFormat="false" ht="15" hidden="false" customHeight="false" outlineLevel="0" collapsed="false">
      <c r="A497" s="17" t="n">
        <v>493</v>
      </c>
      <c r="B497" s="12" t="s">
        <v>1499</v>
      </c>
      <c r="C497" s="12" t="s">
        <v>1500</v>
      </c>
      <c r="D497" s="16" t="n">
        <v>0.00283946759259259</v>
      </c>
      <c r="E497" s="15" t="n">
        <f aca="false">ROUND((D497-$D$5)*86400,2)</f>
        <v>20.3</v>
      </c>
      <c r="F497" s="17" t="n">
        <v>912</v>
      </c>
      <c r="G497" s="16" t="n">
        <f aca="false">IF(INDEX(選手一覧!$D$7:$D$2738,$F497)="","",INDEX(選手一覧!$D$7:$D$2738,$F497))</f>
        <v>0.0108951388888889</v>
      </c>
      <c r="H497" s="17" t="n">
        <f aca="false">IF(INDEX(選手一覧!$E$7:$E$2738,$F497)="","",INDEX(選手一覧!$E$7:$E$2738,$F497))</f>
        <v>913</v>
      </c>
      <c r="I497" s="16" t="str">
        <f aca="false">IF(INDEX(選手一覧!$H$7:$H$2738,$F497)="","",INDEX(選手一覧!$H$7:$H$2738,$F497))</f>
        <v/>
      </c>
      <c r="J497" s="17" t="str">
        <f aca="false">IF(INDEX(選手一覧!$I$7:$I$2738,$F497)="","",INDEX(選手一覧!$I$7:$I$2738,$F497))</f>
        <v/>
      </c>
    </row>
    <row r="498" customFormat="false" ht="15" hidden="false" customHeight="false" outlineLevel="0" collapsed="false">
      <c r="A498" s="17" t="n">
        <v>494</v>
      </c>
      <c r="B498" s="12" t="s">
        <v>1306</v>
      </c>
      <c r="C498" s="12" t="s">
        <v>595</v>
      </c>
      <c r="D498" s="16" t="n">
        <v>0.00283958333333333</v>
      </c>
      <c r="E498" s="15" t="n">
        <f aca="false">ROUND((D498-$D$5)*86400,2)</f>
        <v>20.31</v>
      </c>
      <c r="F498" s="17" t="n">
        <v>785</v>
      </c>
      <c r="G498" s="16" t="n">
        <f aca="false">IF(INDEX(選手一覧!$D$7:$D$2738,$F498)="","",INDEX(選手一覧!$D$7:$D$2738,$F498))</f>
        <v>0.0108262731481482</v>
      </c>
      <c r="H498" s="17" t="n">
        <f aca="false">IF(INDEX(選手一覧!$E$7:$E$2738,$F498)="","",INDEX(選手一覧!$E$7:$E$2738,$F498))</f>
        <v>786</v>
      </c>
      <c r="I498" s="16" t="str">
        <f aca="false">IF(INDEX(選手一覧!$H$7:$H$2738,$F498)="","",INDEX(選手一覧!$H$7:$H$2738,$F498))</f>
        <v/>
      </c>
      <c r="J498" s="17" t="str">
        <f aca="false">IF(INDEX(選手一覧!$I$7:$I$2738,$F498)="","",INDEX(選手一覧!$I$7:$I$2738,$F498))</f>
        <v/>
      </c>
    </row>
    <row r="499" customFormat="false" ht="15" hidden="false" customHeight="false" outlineLevel="0" collapsed="false">
      <c r="A499" s="17" t="n">
        <v>495</v>
      </c>
      <c r="B499" s="12" t="s">
        <v>1978</v>
      </c>
      <c r="C499" s="12" t="s">
        <v>1315</v>
      </c>
      <c r="D499" s="16" t="n">
        <v>0.00283981481481482</v>
      </c>
      <c r="E499" s="15" t="n">
        <f aca="false">ROUND((D499-$D$5)*86400,2)</f>
        <v>20.33</v>
      </c>
      <c r="F499" s="17" t="n">
        <v>1240</v>
      </c>
      <c r="G499" s="16" t="n">
        <f aca="false">IF(INDEX(選手一覧!$D$7:$D$2738,$F499)="","",INDEX(選手一覧!$D$7:$D$2738,$F499))</f>
        <v>0.0110730324074074</v>
      </c>
      <c r="H499" s="17" t="n">
        <f aca="false">IF(INDEX(選手一覧!$E$7:$E$2738,$F499)="","",INDEX(選手一覧!$E$7:$E$2738,$F499))</f>
        <v>1241</v>
      </c>
      <c r="I499" s="16" t="str">
        <f aca="false">IF(INDEX(選手一覧!$H$7:$H$2738,$F499)="","",INDEX(選手一覧!$H$7:$H$2738,$F499))</f>
        <v/>
      </c>
      <c r="J499" s="17" t="str">
        <f aca="false">IF(INDEX(選手一覧!$I$7:$I$2738,$F499)="","",INDEX(選手一覧!$I$7:$I$2738,$F499))</f>
        <v/>
      </c>
    </row>
    <row r="500" customFormat="false" ht="15" hidden="false" customHeight="false" outlineLevel="0" collapsed="false">
      <c r="A500" s="17" t="n">
        <v>496</v>
      </c>
      <c r="B500" s="12" t="s">
        <v>662</v>
      </c>
      <c r="C500" s="12" t="s">
        <v>65</v>
      </c>
      <c r="D500" s="16" t="n">
        <v>0.00283993055555556</v>
      </c>
      <c r="E500" s="15" t="n">
        <f aca="false">ROUND((D500-$D$5)*86400,2)</f>
        <v>20.34</v>
      </c>
      <c r="F500" s="17" t="n">
        <v>362</v>
      </c>
      <c r="G500" s="16" t="n">
        <f aca="false">IF(INDEX(選手一覧!$D$7:$D$2738,$F500)="","",INDEX(選手一覧!$D$7:$D$2738,$F500))</f>
        <v>0.0105200231481482</v>
      </c>
      <c r="H500" s="17" t="n">
        <f aca="false">IF(INDEX(選手一覧!$E$7:$E$2738,$F500)="","",INDEX(選手一覧!$E$7:$E$2738,$F500))</f>
        <v>363</v>
      </c>
      <c r="I500" s="16" t="n">
        <f aca="false">IF(INDEX(選手一覧!$H$7:$H$2738,$F500)="","",INDEX(選手一覧!$H$7:$H$2738,$F500))</f>
        <v>0.00666423611111111</v>
      </c>
      <c r="J500" s="17" t="n">
        <f aca="false">IF(INDEX(選手一覧!$I$7:$I$2738,$F500)="","",INDEX(選手一覧!$I$7:$I$2738,$F500))</f>
        <v>89</v>
      </c>
    </row>
    <row r="501" customFormat="false" ht="15" hidden="false" customHeight="false" outlineLevel="0" collapsed="false">
      <c r="A501" s="17" t="n">
        <v>497</v>
      </c>
      <c r="B501" s="12" t="s">
        <v>1193</v>
      </c>
      <c r="C501" s="12" t="s">
        <v>207</v>
      </c>
      <c r="D501" s="16" t="n">
        <v>0.0028400462962963</v>
      </c>
      <c r="E501" s="15" t="n">
        <f aca="false">ROUND((D501-$D$5)*86400,2)</f>
        <v>20.35</v>
      </c>
      <c r="F501" s="17" t="n">
        <v>708</v>
      </c>
      <c r="G501" s="16" t="n">
        <f aca="false">IF(INDEX(選手一覧!$D$7:$D$2738,$F501)="","",INDEX(選手一覧!$D$7:$D$2738,$F501))</f>
        <v>0.0107821759259259</v>
      </c>
      <c r="H501" s="17" t="n">
        <f aca="false">IF(INDEX(選手一覧!$E$7:$E$2738,$F501)="","",INDEX(選手一覧!$E$7:$E$2738,$F501))</f>
        <v>709</v>
      </c>
      <c r="I501" s="16" t="str">
        <f aca="false">IF(INDEX(選手一覧!$H$7:$H$2738,$F501)="","",INDEX(選手一覧!$H$7:$H$2738,$F501))</f>
        <v/>
      </c>
      <c r="J501" s="17" t="str">
        <f aca="false">IF(INDEX(選手一覧!$I$7:$I$2738,$F501)="","",INDEX(選手一覧!$I$7:$I$2738,$F501))</f>
        <v/>
      </c>
    </row>
    <row r="502" customFormat="false" ht="15" hidden="false" customHeight="false" outlineLevel="0" collapsed="false">
      <c r="A502" s="17" t="n">
        <v>498</v>
      </c>
      <c r="B502" s="12" t="s">
        <v>1152</v>
      </c>
      <c r="C502" s="12" t="s">
        <v>824</v>
      </c>
      <c r="D502" s="16" t="n">
        <v>0.00284027777777778</v>
      </c>
      <c r="E502" s="15" t="n">
        <f aca="false">ROUND((D502-$D$5)*86400,2)</f>
        <v>20.37</v>
      </c>
      <c r="F502" s="17" t="n">
        <v>682</v>
      </c>
      <c r="G502" s="16" t="n">
        <f aca="false">IF(INDEX(選手一覧!$D$7:$D$2738,$F502)="","",INDEX(選手一覧!$D$7:$D$2738,$F502))</f>
        <v>0.0107611111111111</v>
      </c>
      <c r="H502" s="17" t="n">
        <f aca="false">IF(INDEX(選手一覧!$E$7:$E$2738,$F502)="","",INDEX(選手一覧!$E$7:$E$2738,$F502))</f>
        <v>683</v>
      </c>
      <c r="I502" s="16" t="n">
        <f aca="false">IF(INDEX(選手一覧!$H$7:$H$2738,$F502)="","",INDEX(選手一覧!$H$7:$H$2738,$F502))</f>
        <v>0.00724259259259259</v>
      </c>
      <c r="J502" s="17" t="n">
        <f aca="false">IF(INDEX(選手一覧!$I$7:$I$2738,$F502)="","",INDEX(選手一覧!$I$7:$I$2738,$F502))</f>
        <v>588</v>
      </c>
    </row>
    <row r="503" customFormat="false" ht="15" hidden="false" customHeight="false" outlineLevel="0" collapsed="false">
      <c r="A503" s="17" t="n">
        <v>499</v>
      </c>
      <c r="B503" s="12" t="s">
        <v>1130</v>
      </c>
      <c r="C503" s="12" t="s">
        <v>1131</v>
      </c>
      <c r="D503" s="16" t="n">
        <v>0.00284027777777778</v>
      </c>
      <c r="E503" s="15" t="n">
        <f aca="false">ROUND((D503-$D$5)*86400,2)</f>
        <v>20.37</v>
      </c>
      <c r="F503" s="17" t="n">
        <v>670</v>
      </c>
      <c r="G503" s="16" t="n">
        <f aca="false">IF(INDEX(選手一覧!$D$7:$D$2738,$F503)="","",INDEX(選手一覧!$D$7:$D$2738,$F503))</f>
        <v>0.010752662037037</v>
      </c>
      <c r="H503" s="17" t="n">
        <f aca="false">IF(INDEX(選手一覧!$E$7:$E$2738,$F503)="","",INDEX(選手一覧!$E$7:$E$2738,$F503))</f>
        <v>671</v>
      </c>
      <c r="I503" s="16" t="str">
        <f aca="false">IF(INDEX(選手一覧!$H$7:$H$2738,$F503)="","",INDEX(選手一覧!$H$7:$H$2738,$F503))</f>
        <v/>
      </c>
      <c r="J503" s="17" t="str">
        <f aca="false">IF(INDEX(選手一覧!$I$7:$I$2738,$F503)="","",INDEX(選手一覧!$I$7:$I$2738,$F503))</f>
        <v/>
      </c>
    </row>
    <row r="504" customFormat="false" ht="15" hidden="false" customHeight="false" outlineLevel="0" collapsed="false">
      <c r="A504" s="17" t="n">
        <v>500</v>
      </c>
      <c r="B504" s="12" t="s">
        <v>1472</v>
      </c>
      <c r="C504" s="12" t="s">
        <v>32</v>
      </c>
      <c r="D504" s="16" t="n">
        <v>0.00284027777777778</v>
      </c>
      <c r="E504" s="15" t="n">
        <f aca="false">ROUND((D504-$D$5)*86400,2)</f>
        <v>20.37</v>
      </c>
      <c r="F504" s="17" t="n">
        <v>893</v>
      </c>
      <c r="G504" s="16" t="n">
        <f aca="false">IF(INDEX(選手一覧!$D$7:$D$2738,$F504)="","",INDEX(選手一覧!$D$7:$D$2738,$F504))</f>
        <v>0.0108827546296296</v>
      </c>
      <c r="H504" s="17" t="n">
        <f aca="false">IF(INDEX(選手一覧!$E$7:$E$2738,$F504)="","",INDEX(選手一覧!$E$7:$E$2738,$F504))</f>
        <v>894</v>
      </c>
      <c r="I504" s="16" t="str">
        <f aca="false">IF(INDEX(選手一覧!$H$7:$H$2738,$F504)="","",INDEX(選手一覧!$H$7:$H$2738,$F504))</f>
        <v/>
      </c>
      <c r="J504" s="17" t="str">
        <f aca="false">IF(INDEX(選手一覧!$I$7:$I$2738,$F504)="","",INDEX(選手一覧!$I$7:$I$2738,$F504))</f>
        <v/>
      </c>
    </row>
    <row r="505" customFormat="false" ht="15" hidden="false" customHeight="false" outlineLevel="0" collapsed="false">
      <c r="A505" s="17" t="n">
        <v>501</v>
      </c>
      <c r="B505" s="12" t="s">
        <v>572</v>
      </c>
      <c r="C505" s="12" t="s">
        <v>573</v>
      </c>
      <c r="D505" s="16" t="n">
        <v>0.002840625</v>
      </c>
      <c r="E505" s="15" t="n">
        <f aca="false">ROUND((D505-$D$5)*86400,2)</f>
        <v>20.4</v>
      </c>
      <c r="F505" s="17" t="n">
        <v>305</v>
      </c>
      <c r="G505" s="16" t="n">
        <f aca="false">IF(INDEX(選手一覧!$D$7:$D$2738,$F505)="","",INDEX(選手一覧!$D$7:$D$2738,$F505))</f>
        <v>0.0104540509259259</v>
      </c>
      <c r="H505" s="17" t="n">
        <f aca="false">IF(INDEX(選手一覧!$E$7:$E$2738,$F505)="","",INDEX(選手一覧!$E$7:$E$2738,$F505))</f>
        <v>306</v>
      </c>
      <c r="I505" s="16" t="str">
        <f aca="false">IF(INDEX(選手一覧!$H$7:$H$2738,$F505)="","",INDEX(選手一覧!$H$7:$H$2738,$F505))</f>
        <v/>
      </c>
      <c r="J505" s="17" t="str">
        <f aca="false">IF(INDEX(選手一覧!$I$7:$I$2738,$F505)="","",INDEX(選手一覧!$I$7:$I$2738,$F505))</f>
        <v/>
      </c>
    </row>
    <row r="506" customFormat="false" ht="15" hidden="false" customHeight="false" outlineLevel="0" collapsed="false">
      <c r="A506" s="17" t="n">
        <v>502</v>
      </c>
      <c r="B506" s="12" t="s">
        <v>2233</v>
      </c>
      <c r="C506" s="12" t="s">
        <v>2234</v>
      </c>
      <c r="D506" s="16" t="n">
        <v>0.002840625</v>
      </c>
      <c r="E506" s="15" t="n">
        <f aca="false">ROUND((D506-$D$5)*86400,2)</f>
        <v>20.4</v>
      </c>
      <c r="F506" s="17" t="n">
        <v>1423</v>
      </c>
      <c r="G506" s="16" t="str">
        <f aca="false">IF(INDEX(選手一覧!$D$7:$D$2738,$F506)="","",INDEX(選手一覧!$D$7:$D$2738,$F506))</f>
        <v/>
      </c>
      <c r="H506" s="17" t="str">
        <f aca="false">IF(INDEX(選手一覧!$E$7:$E$2738,$F506)="","",INDEX(選手一覧!$E$7:$E$2738,$F506))</f>
        <v/>
      </c>
      <c r="I506" s="16" t="n">
        <f aca="false">IF(INDEX(選手一覧!$H$7:$H$2738,$F506)="","",INDEX(選手一覧!$H$7:$H$2738,$F506))</f>
        <v>0.0069712962962963</v>
      </c>
      <c r="J506" s="17" t="n">
        <f aca="false">IF(INDEX(選手一覧!$I$7:$I$2738,$F506)="","",INDEX(選手一覧!$I$7:$I$2738,$F506))</f>
        <v>307</v>
      </c>
    </row>
    <row r="507" customFormat="false" ht="15" hidden="false" customHeight="false" outlineLevel="0" collapsed="false">
      <c r="A507" s="17" t="n">
        <v>503</v>
      </c>
      <c r="B507" s="12" t="s">
        <v>494</v>
      </c>
      <c r="C507" s="12" t="s">
        <v>61</v>
      </c>
      <c r="D507" s="16" t="n">
        <v>0.00284085648148148</v>
      </c>
      <c r="E507" s="15" t="n">
        <f aca="false">ROUND((D507-$D$5)*86400,2)</f>
        <v>20.42</v>
      </c>
      <c r="F507" s="17" t="n">
        <v>256</v>
      </c>
      <c r="G507" s="16" t="n">
        <f aca="false">IF(INDEX(選手一覧!$D$7:$D$2738,$F507)="","",INDEX(選手一覧!$D$7:$D$2738,$F507))</f>
        <v>0.0103967592592593</v>
      </c>
      <c r="H507" s="17" t="n">
        <f aca="false">IF(INDEX(選手一覧!$E$7:$E$2738,$F507)="","",INDEX(選手一覧!$E$7:$E$2738,$F507))</f>
        <v>257</v>
      </c>
      <c r="I507" s="16" t="str">
        <f aca="false">IF(INDEX(選手一覧!$H$7:$H$2738,$F507)="","",INDEX(選手一覧!$H$7:$H$2738,$F507))</f>
        <v/>
      </c>
      <c r="J507" s="17" t="str">
        <f aca="false">IF(INDEX(選手一覧!$I$7:$I$2738,$F507)="","",INDEX(選手一覧!$I$7:$I$2738,$F507))</f>
        <v/>
      </c>
    </row>
    <row r="508" customFormat="false" ht="15" hidden="false" customHeight="false" outlineLevel="0" collapsed="false">
      <c r="A508" s="17" t="n">
        <v>504</v>
      </c>
      <c r="B508" s="12" t="s">
        <v>1484</v>
      </c>
      <c r="C508" s="12" t="s">
        <v>711</v>
      </c>
      <c r="D508" s="16" t="n">
        <v>0.00284085648148148</v>
      </c>
      <c r="E508" s="15" t="n">
        <f aca="false">ROUND((D508-$D$5)*86400,2)</f>
        <v>20.42</v>
      </c>
      <c r="F508" s="17" t="n">
        <v>901</v>
      </c>
      <c r="G508" s="16" t="n">
        <f aca="false">IF(INDEX(選手一覧!$D$7:$D$2738,$F508)="","",INDEX(選手一覧!$D$7:$D$2738,$F508))</f>
        <v>0.0108868055555556</v>
      </c>
      <c r="H508" s="17" t="n">
        <f aca="false">IF(INDEX(選手一覧!$E$7:$E$2738,$F508)="","",INDEX(選手一覧!$E$7:$E$2738,$F508))</f>
        <v>902</v>
      </c>
      <c r="I508" s="16" t="str">
        <f aca="false">IF(INDEX(選手一覧!$H$7:$H$2738,$F508)="","",INDEX(選手一覧!$H$7:$H$2738,$F508))</f>
        <v/>
      </c>
      <c r="J508" s="17" t="str">
        <f aca="false">IF(INDEX(選手一覧!$I$7:$I$2738,$F508)="","",INDEX(選手一覧!$I$7:$I$2738,$F508))</f>
        <v/>
      </c>
    </row>
    <row r="509" customFormat="false" ht="15" hidden="false" customHeight="false" outlineLevel="0" collapsed="false">
      <c r="A509" s="17" t="n">
        <v>505</v>
      </c>
      <c r="B509" s="12" t="s">
        <v>618</v>
      </c>
      <c r="C509" s="12" t="s">
        <v>619</v>
      </c>
      <c r="D509" s="16" t="n">
        <v>0.00284085648148148</v>
      </c>
      <c r="E509" s="15" t="n">
        <f aca="false">ROUND((D509-$D$5)*86400,2)</f>
        <v>20.42</v>
      </c>
      <c r="F509" s="17" t="n">
        <v>334</v>
      </c>
      <c r="G509" s="16" t="n">
        <f aca="false">IF(INDEX(選手一覧!$D$7:$D$2738,$F509)="","",INDEX(選手一覧!$D$7:$D$2738,$F509))</f>
        <v>0.0104908564814815</v>
      </c>
      <c r="H509" s="17" t="n">
        <f aca="false">IF(INDEX(選手一覧!$E$7:$E$2738,$F509)="","",INDEX(選手一覧!$E$7:$E$2738,$F509))</f>
        <v>335</v>
      </c>
      <c r="I509" s="16" t="str">
        <f aca="false">IF(INDEX(選手一覧!$H$7:$H$2738,$F509)="","",INDEX(選手一覧!$H$7:$H$2738,$F509))</f>
        <v/>
      </c>
      <c r="J509" s="17" t="str">
        <f aca="false">IF(INDEX(選手一覧!$I$7:$I$2738,$F509)="","",INDEX(選手一覧!$I$7:$I$2738,$F509))</f>
        <v/>
      </c>
    </row>
    <row r="510" customFormat="false" ht="15" hidden="false" customHeight="false" outlineLevel="0" collapsed="false">
      <c r="A510" s="17" t="n">
        <v>506</v>
      </c>
      <c r="B510" s="12" t="s">
        <v>1419</v>
      </c>
      <c r="C510" s="12" t="s">
        <v>1420</v>
      </c>
      <c r="D510" s="16" t="n">
        <v>0.00284097222222222</v>
      </c>
      <c r="E510" s="15" t="n">
        <f aca="false">ROUND((D510-$D$5)*86400,2)</f>
        <v>20.43</v>
      </c>
      <c r="F510" s="17" t="n">
        <v>859</v>
      </c>
      <c r="G510" s="16" t="n">
        <f aca="false">IF(INDEX(選手一覧!$D$7:$D$2738,$F510)="","",INDEX(選手一覧!$D$7:$D$2738,$F510))</f>
        <v>0.0108645833333333</v>
      </c>
      <c r="H510" s="17" t="n">
        <f aca="false">IF(INDEX(選手一覧!$E$7:$E$2738,$F510)="","",INDEX(選手一覧!$E$7:$E$2738,$F510))</f>
        <v>860</v>
      </c>
      <c r="I510" s="16" t="n">
        <f aca="false">IF(INDEX(選手一覧!$H$7:$H$2738,$F510)="","",INDEX(選手一覧!$H$7:$H$2738,$F510))</f>
        <v>0.00684953703703704</v>
      </c>
      <c r="J510" s="17" t="n">
        <f aca="false">IF(INDEX(選手一覧!$I$7:$I$2738,$F510)="","",INDEX(選手一覧!$I$7:$I$2738,$F510))</f>
        <v>203</v>
      </c>
    </row>
    <row r="511" customFormat="false" ht="15" hidden="false" customHeight="false" outlineLevel="0" collapsed="false">
      <c r="A511" s="17" t="n">
        <v>507</v>
      </c>
      <c r="B511" s="12" t="s">
        <v>1733</v>
      </c>
      <c r="C511" s="12" t="s">
        <v>1734</v>
      </c>
      <c r="D511" s="16" t="n">
        <v>0.00284097222222222</v>
      </c>
      <c r="E511" s="15" t="n">
        <f aca="false">ROUND((D511-$D$5)*86400,2)</f>
        <v>20.43</v>
      </c>
      <c r="F511" s="17" t="n">
        <v>1071</v>
      </c>
      <c r="G511" s="16" t="n">
        <f aca="false">IF(INDEX(選手一覧!$D$7:$D$2738,$F511)="","",INDEX(選手一覧!$D$7:$D$2738,$F511))</f>
        <v>0.0109864583333333</v>
      </c>
      <c r="H511" s="17" t="n">
        <f aca="false">IF(INDEX(選手一覧!$E$7:$E$2738,$F511)="","",INDEX(選手一覧!$E$7:$E$2738,$F511))</f>
        <v>1072</v>
      </c>
      <c r="I511" s="16" t="str">
        <f aca="false">IF(INDEX(選手一覧!$H$7:$H$2738,$F511)="","",INDEX(選手一覧!$H$7:$H$2738,$F511))</f>
        <v/>
      </c>
      <c r="J511" s="17" t="str">
        <f aca="false">IF(INDEX(選手一覧!$I$7:$I$2738,$F511)="","",INDEX(選手一覧!$I$7:$I$2738,$F511))</f>
        <v/>
      </c>
    </row>
    <row r="512" customFormat="false" ht="15" hidden="false" customHeight="false" outlineLevel="0" collapsed="false">
      <c r="A512" s="17" t="n">
        <v>508</v>
      </c>
      <c r="B512" s="12" t="s">
        <v>2032</v>
      </c>
      <c r="C512" s="12" t="s">
        <v>186</v>
      </c>
      <c r="D512" s="16" t="n">
        <v>0.00284097222222222</v>
      </c>
      <c r="E512" s="15" t="n">
        <f aca="false">ROUND((D512-$D$5)*86400,2)</f>
        <v>20.43</v>
      </c>
      <c r="F512" s="17" t="n">
        <v>1284</v>
      </c>
      <c r="G512" s="16" t="n">
        <f aca="false">IF(INDEX(選手一覧!$D$7:$D$2738,$F512)="","",INDEX(選手一覧!$D$7:$D$2738,$F512))</f>
        <v>0.0111184027777778</v>
      </c>
      <c r="H512" s="17" t="n">
        <f aca="false">IF(INDEX(選手一覧!$E$7:$E$2738,$F512)="","",INDEX(選手一覧!$E$7:$E$2738,$F512))</f>
        <v>1285</v>
      </c>
      <c r="I512" s="16" t="str">
        <f aca="false">IF(INDEX(選手一覧!$H$7:$H$2738,$F512)="","",INDEX(選手一覧!$H$7:$H$2738,$F512))</f>
        <v/>
      </c>
      <c r="J512" s="17" t="str">
        <f aca="false">IF(INDEX(選手一覧!$I$7:$I$2738,$F512)="","",INDEX(選手一覧!$I$7:$I$2738,$F512))</f>
        <v/>
      </c>
    </row>
    <row r="513" customFormat="false" ht="15" hidden="false" customHeight="false" outlineLevel="0" collapsed="false">
      <c r="A513" s="17" t="n">
        <v>509</v>
      </c>
      <c r="B513" s="12" t="s">
        <v>1986</v>
      </c>
      <c r="C513" s="12" t="s">
        <v>1650</v>
      </c>
      <c r="D513" s="16" t="n">
        <v>0.00284108796296296</v>
      </c>
      <c r="E513" s="15" t="n">
        <f aca="false">ROUND((D513-$D$5)*86400,2)</f>
        <v>20.44</v>
      </c>
      <c r="F513" s="17" t="n">
        <v>1246</v>
      </c>
      <c r="G513" s="16" t="n">
        <f aca="false">IF(INDEX(選手一覧!$D$7:$D$2738,$F513)="","",INDEX(選手一覧!$D$7:$D$2738,$F513))</f>
        <v>0.0110782407407407</v>
      </c>
      <c r="H513" s="17" t="n">
        <f aca="false">IF(INDEX(選手一覧!$E$7:$E$2738,$F513)="","",INDEX(選手一覧!$E$7:$E$2738,$F513))</f>
        <v>1247</v>
      </c>
      <c r="I513" s="16" t="str">
        <f aca="false">IF(INDEX(選手一覧!$H$7:$H$2738,$F513)="","",INDEX(選手一覧!$H$7:$H$2738,$F513))</f>
        <v/>
      </c>
      <c r="J513" s="17" t="str">
        <f aca="false">IF(INDEX(選手一覧!$I$7:$I$2738,$F513)="","",INDEX(選手一覧!$I$7:$I$2738,$F513))</f>
        <v/>
      </c>
    </row>
    <row r="514" customFormat="false" ht="15" hidden="false" customHeight="false" outlineLevel="0" collapsed="false">
      <c r="A514" s="17" t="n">
        <v>510</v>
      </c>
      <c r="B514" s="12" t="s">
        <v>2510</v>
      </c>
      <c r="C514" s="12" t="s">
        <v>161</v>
      </c>
      <c r="D514" s="16" t="n">
        <v>0.00284143518518519</v>
      </c>
      <c r="E514" s="15" t="n">
        <f aca="false">ROUND((D514-$D$5)*86400,2)</f>
        <v>20.47</v>
      </c>
      <c r="F514" s="17" t="n">
        <v>1601</v>
      </c>
      <c r="G514" s="16" t="str">
        <f aca="false">IF(INDEX(選手一覧!$D$7:$D$2738,$F514)="","",INDEX(選手一覧!$D$7:$D$2738,$F514))</f>
        <v/>
      </c>
      <c r="H514" s="17" t="str">
        <f aca="false">IF(INDEX(選手一覧!$E$7:$E$2738,$F514)="","",INDEX(選手一覧!$E$7:$E$2738,$F514))</f>
        <v/>
      </c>
      <c r="I514" s="16" t="str">
        <f aca="false">IF(INDEX(選手一覧!$H$7:$H$2738,$F514)="","",INDEX(選手一覧!$H$7:$H$2738,$F514))</f>
        <v/>
      </c>
      <c r="J514" s="17" t="str">
        <f aca="false">IF(INDEX(選手一覧!$I$7:$I$2738,$F514)="","",INDEX(選手一覧!$I$7:$I$2738,$F514))</f>
        <v/>
      </c>
    </row>
    <row r="515" customFormat="false" ht="15" hidden="false" customHeight="false" outlineLevel="0" collapsed="false">
      <c r="A515" s="17" t="n">
        <v>511</v>
      </c>
      <c r="B515" s="12" t="s">
        <v>691</v>
      </c>
      <c r="C515" s="12" t="s">
        <v>692</v>
      </c>
      <c r="D515" s="16" t="n">
        <v>0.00284155092592593</v>
      </c>
      <c r="E515" s="15" t="n">
        <f aca="false">ROUND((D515-$D$5)*86400,2)</f>
        <v>20.48</v>
      </c>
      <c r="F515" s="17" t="n">
        <v>380</v>
      </c>
      <c r="G515" s="16" t="n">
        <f aca="false">IF(INDEX(選手一覧!$D$7:$D$2738,$F515)="","",INDEX(選手一覧!$D$7:$D$2738,$F515))</f>
        <v>0.0105368055555556</v>
      </c>
      <c r="H515" s="17" t="n">
        <f aca="false">IF(INDEX(選手一覧!$E$7:$E$2738,$F515)="","",INDEX(選手一覧!$E$7:$E$2738,$F515))</f>
        <v>381</v>
      </c>
      <c r="I515" s="16" t="str">
        <f aca="false">IF(INDEX(選手一覧!$H$7:$H$2738,$F515)="","",INDEX(選手一覧!$H$7:$H$2738,$F515))</f>
        <v/>
      </c>
      <c r="J515" s="17" t="str">
        <f aca="false">IF(INDEX(選手一覧!$I$7:$I$2738,$F515)="","",INDEX(選手一覧!$I$7:$I$2738,$F515))</f>
        <v/>
      </c>
    </row>
    <row r="516" customFormat="false" ht="15" hidden="false" customHeight="false" outlineLevel="0" collapsed="false">
      <c r="A516" s="17" t="n">
        <v>512</v>
      </c>
      <c r="B516" s="12" t="s">
        <v>2513</v>
      </c>
      <c r="C516" s="12" t="s">
        <v>2514</v>
      </c>
      <c r="D516" s="16" t="n">
        <v>0.00284224537037037</v>
      </c>
      <c r="E516" s="15" t="n">
        <f aca="false">ROUND((D516-$D$5)*86400,2)</f>
        <v>20.54</v>
      </c>
      <c r="F516" s="17" t="n">
        <v>1603</v>
      </c>
      <c r="G516" s="16" t="str">
        <f aca="false">IF(INDEX(選手一覧!$D$7:$D$2738,$F516)="","",INDEX(選手一覧!$D$7:$D$2738,$F516))</f>
        <v/>
      </c>
      <c r="H516" s="17" t="str">
        <f aca="false">IF(INDEX(選手一覧!$E$7:$E$2738,$F516)="","",INDEX(選手一覧!$E$7:$E$2738,$F516))</f>
        <v/>
      </c>
      <c r="I516" s="16" t="n">
        <f aca="false">IF(INDEX(選手一覧!$H$7:$H$2738,$F516)="","",INDEX(選手一覧!$H$7:$H$2738,$F516))</f>
        <v>0.00752025462962963</v>
      </c>
      <c r="J516" s="17" t="n">
        <f aca="false">IF(INDEX(選手一覧!$I$7:$I$2738,$F516)="","",INDEX(選手一覧!$I$7:$I$2738,$F516))</f>
        <v>919</v>
      </c>
    </row>
    <row r="517" customFormat="false" ht="15" hidden="false" customHeight="false" outlineLevel="0" collapsed="false">
      <c r="A517" s="17" t="n">
        <v>513</v>
      </c>
      <c r="B517" s="12" t="s">
        <v>925</v>
      </c>
      <c r="C517" s="12" t="s">
        <v>32</v>
      </c>
      <c r="D517" s="16" t="n">
        <v>0.00284259259259259</v>
      </c>
      <c r="E517" s="15" t="n">
        <f aca="false">ROUND((D517-$D$5)*86400,2)</f>
        <v>20.57</v>
      </c>
      <c r="F517" s="17" t="n">
        <v>527</v>
      </c>
      <c r="G517" s="16" t="n">
        <f aca="false">IF(INDEX(選手一覧!$D$7:$D$2738,$F517)="","",INDEX(選手一覧!$D$7:$D$2738,$F517))</f>
        <v>0.0106527777777778</v>
      </c>
      <c r="H517" s="17" t="n">
        <f aca="false">IF(INDEX(選手一覧!$E$7:$E$2738,$F517)="","",INDEX(選手一覧!$E$7:$E$2738,$F517))</f>
        <v>528</v>
      </c>
      <c r="I517" s="16" t="str">
        <f aca="false">IF(INDEX(選手一覧!$H$7:$H$2738,$F517)="","",INDEX(選手一覧!$H$7:$H$2738,$F517))</f>
        <v/>
      </c>
      <c r="J517" s="17" t="str">
        <f aca="false">IF(INDEX(選手一覧!$I$7:$I$2738,$F517)="","",INDEX(選手一覧!$I$7:$I$2738,$F517))</f>
        <v/>
      </c>
    </row>
    <row r="518" customFormat="false" ht="15" hidden="false" customHeight="false" outlineLevel="0" collapsed="false">
      <c r="A518" s="17" t="n">
        <v>514</v>
      </c>
      <c r="B518" s="12" t="s">
        <v>1309</v>
      </c>
      <c r="C518" s="12" t="s">
        <v>1310</v>
      </c>
      <c r="D518" s="16" t="n">
        <v>0.00284259259259259</v>
      </c>
      <c r="E518" s="15" t="n">
        <f aca="false">ROUND((D518-$D$5)*86400,2)</f>
        <v>20.57</v>
      </c>
      <c r="F518" s="17" t="n">
        <v>788</v>
      </c>
      <c r="G518" s="16" t="n">
        <f aca="false">IF(INDEX(選手一覧!$D$7:$D$2738,$F518)="","",INDEX(選手一覧!$D$7:$D$2738,$F518))</f>
        <v>0.0108291666666667</v>
      </c>
      <c r="H518" s="17" t="n">
        <f aca="false">IF(INDEX(選手一覧!$E$7:$E$2738,$F518)="","",INDEX(選手一覧!$E$7:$E$2738,$F518))</f>
        <v>789</v>
      </c>
      <c r="I518" s="16" t="str">
        <f aca="false">IF(INDEX(選手一覧!$H$7:$H$2738,$F518)="","",INDEX(選手一覧!$H$7:$H$2738,$F518))</f>
        <v/>
      </c>
      <c r="J518" s="17" t="str">
        <f aca="false">IF(INDEX(選手一覧!$I$7:$I$2738,$F518)="","",INDEX(選手一覧!$I$7:$I$2738,$F518))</f>
        <v/>
      </c>
    </row>
    <row r="519" customFormat="false" ht="15" hidden="false" customHeight="false" outlineLevel="0" collapsed="false">
      <c r="A519" s="17" t="n">
        <v>515</v>
      </c>
      <c r="B519" s="12" t="s">
        <v>437</v>
      </c>
      <c r="C519" s="12" t="s">
        <v>438</v>
      </c>
      <c r="D519" s="16" t="n">
        <v>0.00284270833333333</v>
      </c>
      <c r="E519" s="15" t="n">
        <f aca="false">ROUND((D519-$D$5)*86400,2)</f>
        <v>20.58</v>
      </c>
      <c r="F519" s="17" t="n">
        <v>224</v>
      </c>
      <c r="G519" s="16" t="n">
        <f aca="false">IF(INDEX(選手一覧!$D$7:$D$2738,$F519)="","",INDEX(選手一覧!$D$7:$D$2738,$F519))</f>
        <v>0.0103697916666667</v>
      </c>
      <c r="H519" s="17" t="n">
        <f aca="false">IF(INDEX(選手一覧!$E$7:$E$2738,$F519)="","",INDEX(選手一覧!$E$7:$E$2738,$F519))</f>
        <v>225</v>
      </c>
      <c r="I519" s="16" t="str">
        <f aca="false">IF(INDEX(選手一覧!$H$7:$H$2738,$F519)="","",INDEX(選手一覧!$H$7:$H$2738,$F519))</f>
        <v/>
      </c>
      <c r="J519" s="17" t="str">
        <f aca="false">IF(INDEX(選手一覧!$I$7:$I$2738,$F519)="","",INDEX(選手一覧!$I$7:$I$2738,$F519))</f>
        <v/>
      </c>
    </row>
    <row r="520" customFormat="false" ht="15" hidden="false" customHeight="false" outlineLevel="0" collapsed="false">
      <c r="A520" s="17" t="n">
        <v>516</v>
      </c>
      <c r="B520" s="12" t="s">
        <v>862</v>
      </c>
      <c r="C520" s="12" t="s">
        <v>96</v>
      </c>
      <c r="D520" s="16" t="n">
        <v>0.00284305555555556</v>
      </c>
      <c r="E520" s="15" t="n">
        <f aca="false">ROUND((D520-$D$5)*86400,2)</f>
        <v>20.61</v>
      </c>
      <c r="F520" s="17" t="n">
        <v>491</v>
      </c>
      <c r="G520" s="16" t="n">
        <f aca="false">IF(INDEX(選手一覧!$D$7:$D$2738,$F520)="","",INDEX(選手一覧!$D$7:$D$2738,$F520))</f>
        <v>0.0106173611111111</v>
      </c>
      <c r="H520" s="17" t="n">
        <f aca="false">IF(INDEX(選手一覧!$E$7:$E$2738,$F520)="","",INDEX(選手一覧!$E$7:$E$2738,$F520))</f>
        <v>492</v>
      </c>
      <c r="I520" s="16" t="str">
        <f aca="false">IF(INDEX(選手一覧!$H$7:$H$2738,$F520)="","",INDEX(選手一覧!$H$7:$H$2738,$F520))</f>
        <v/>
      </c>
      <c r="J520" s="17" t="str">
        <f aca="false">IF(INDEX(選手一覧!$I$7:$I$2738,$F520)="","",INDEX(選手一覧!$I$7:$I$2738,$F520))</f>
        <v/>
      </c>
    </row>
    <row r="521" customFormat="false" ht="15" hidden="false" customHeight="false" outlineLevel="0" collapsed="false">
      <c r="A521" s="17" t="n">
        <v>517</v>
      </c>
      <c r="B521" s="12" t="s">
        <v>147</v>
      </c>
      <c r="C521" s="12" t="s">
        <v>96</v>
      </c>
      <c r="D521" s="16" t="n">
        <v>0.0028431712962963</v>
      </c>
      <c r="E521" s="15" t="n">
        <f aca="false">ROUND((D521-$D$5)*86400,2)</f>
        <v>20.62</v>
      </c>
      <c r="F521" s="17" t="n">
        <v>62</v>
      </c>
      <c r="G521" s="16" t="n">
        <f aca="false">IF(INDEX(選手一覧!$D$7:$D$2738,$F521)="","",INDEX(選手一覧!$D$7:$D$2738,$F521))</f>
        <v>0.0101351851851852</v>
      </c>
      <c r="H521" s="17" t="n">
        <f aca="false">IF(INDEX(選手一覧!$E$7:$E$2738,$F521)="","",INDEX(選手一覧!$E$7:$E$2738,$F521))</f>
        <v>63</v>
      </c>
      <c r="I521" s="16" t="str">
        <f aca="false">IF(INDEX(選手一覧!$H$7:$H$2738,$F521)="","",INDEX(選手一覧!$H$7:$H$2738,$F521))</f>
        <v/>
      </c>
      <c r="J521" s="17" t="str">
        <f aca="false">IF(INDEX(選手一覧!$I$7:$I$2738,$F521)="","",INDEX(選手一覧!$I$7:$I$2738,$F521))</f>
        <v/>
      </c>
    </row>
    <row r="522" customFormat="false" ht="15" hidden="false" customHeight="false" outlineLevel="0" collapsed="false">
      <c r="A522" s="17" t="n">
        <v>518</v>
      </c>
      <c r="B522" s="12" t="s">
        <v>402</v>
      </c>
      <c r="C522" s="12" t="s">
        <v>32</v>
      </c>
      <c r="D522" s="16" t="n">
        <v>0.0028431712962963</v>
      </c>
      <c r="E522" s="15" t="n">
        <f aca="false">ROUND((D522-$D$5)*86400,2)</f>
        <v>20.62</v>
      </c>
      <c r="F522" s="17" t="n">
        <v>201</v>
      </c>
      <c r="G522" s="16" t="n">
        <f aca="false">IF(INDEX(選手一覧!$D$7:$D$2738,$F522)="","",INDEX(選手一覧!$D$7:$D$2738,$F522))</f>
        <v>0.0103487268518519</v>
      </c>
      <c r="H522" s="17" t="n">
        <f aca="false">IF(INDEX(選手一覧!$E$7:$E$2738,$F522)="","",INDEX(選手一覧!$E$7:$E$2738,$F522))</f>
        <v>202</v>
      </c>
      <c r="I522" s="16" t="n">
        <f aca="false">IF(INDEX(選手一覧!$H$7:$H$2738,$F522)="","",INDEX(選手一覧!$H$7:$H$2738,$F522))</f>
        <v>0.00709699074074074</v>
      </c>
      <c r="J522" s="17" t="n">
        <f aca="false">IF(INDEX(選手一覧!$I$7:$I$2738,$F522)="","",INDEX(選手一覧!$I$7:$I$2738,$F522))</f>
        <v>444</v>
      </c>
    </row>
    <row r="523" customFormat="false" ht="15" hidden="false" customHeight="false" outlineLevel="0" collapsed="false">
      <c r="A523" s="17" t="n">
        <v>519</v>
      </c>
      <c r="B523" s="12" t="s">
        <v>1204</v>
      </c>
      <c r="C523" s="12" t="s">
        <v>1196</v>
      </c>
      <c r="D523" s="16" t="n">
        <v>0.00284340277777778</v>
      </c>
      <c r="E523" s="15" t="n">
        <f aca="false">ROUND((D523-$D$5)*86400,2)</f>
        <v>20.64</v>
      </c>
      <c r="F523" s="17" t="n">
        <v>716</v>
      </c>
      <c r="G523" s="16" t="n">
        <f aca="false">IF(INDEX(選手一覧!$D$7:$D$2738,$F523)="","",INDEX(選手一覧!$D$7:$D$2738,$F523))</f>
        <v>0.0107876157407407</v>
      </c>
      <c r="H523" s="17" t="n">
        <f aca="false">IF(INDEX(選手一覧!$E$7:$E$2738,$F523)="","",INDEX(選手一覧!$E$7:$E$2738,$F523))</f>
        <v>717</v>
      </c>
      <c r="I523" s="16" t="str">
        <f aca="false">IF(INDEX(選手一覧!$H$7:$H$2738,$F523)="","",INDEX(選手一覧!$H$7:$H$2738,$F523))</f>
        <v/>
      </c>
      <c r="J523" s="17" t="str">
        <f aca="false">IF(INDEX(選手一覧!$I$7:$I$2738,$F523)="","",INDEX(選手一覧!$I$7:$I$2738,$F523))</f>
        <v/>
      </c>
    </row>
    <row r="524" customFormat="false" ht="15" hidden="false" customHeight="false" outlineLevel="0" collapsed="false">
      <c r="A524" s="17" t="n">
        <v>520</v>
      </c>
      <c r="B524" s="12" t="s">
        <v>86</v>
      </c>
      <c r="C524" s="12" t="s">
        <v>87</v>
      </c>
      <c r="D524" s="16" t="n">
        <v>0.00284363425925926</v>
      </c>
      <c r="E524" s="15" t="n">
        <f aca="false">ROUND((D524-$D$5)*86400,2)</f>
        <v>20.66</v>
      </c>
      <c r="F524" s="17" t="n">
        <v>29</v>
      </c>
      <c r="G524" s="16" t="n">
        <f aca="false">IF(INDEX(選手一覧!$D$7:$D$2738,$F524)="","",INDEX(選手一覧!$D$7:$D$2738,$F524))</f>
        <v>0.010040162037037</v>
      </c>
      <c r="H524" s="17" t="n">
        <f aca="false">IF(INDEX(選手一覧!$E$7:$E$2738,$F524)="","",INDEX(選手一覧!$E$7:$E$2738,$F524))</f>
        <v>30</v>
      </c>
      <c r="I524" s="16" t="str">
        <f aca="false">IF(INDEX(選手一覧!$H$7:$H$2738,$F524)="","",INDEX(選手一覧!$H$7:$H$2738,$F524))</f>
        <v/>
      </c>
      <c r="J524" s="17" t="str">
        <f aca="false">IF(INDEX(選手一覧!$I$7:$I$2738,$F524)="","",INDEX(選手一覧!$I$7:$I$2738,$F524))</f>
        <v/>
      </c>
    </row>
    <row r="525" customFormat="false" ht="15" hidden="false" customHeight="false" outlineLevel="0" collapsed="false">
      <c r="A525" s="17" t="n">
        <v>521</v>
      </c>
      <c r="B525" s="12" t="s">
        <v>1479</v>
      </c>
      <c r="C525" s="12" t="s">
        <v>96</v>
      </c>
      <c r="D525" s="16" t="n">
        <v>0.00284363425925926</v>
      </c>
      <c r="E525" s="15" t="n">
        <f aca="false">ROUND((D525-$D$5)*86400,2)</f>
        <v>20.66</v>
      </c>
      <c r="F525" s="17" t="n">
        <v>898</v>
      </c>
      <c r="G525" s="16" t="n">
        <f aca="false">IF(INDEX(選手一覧!$D$7:$D$2738,$F525)="","",INDEX(選手一覧!$D$7:$D$2738,$F525))</f>
        <v>0.0108835648148148</v>
      </c>
      <c r="H525" s="17" t="n">
        <f aca="false">IF(INDEX(選手一覧!$E$7:$E$2738,$F525)="","",INDEX(選手一覧!$E$7:$E$2738,$F525))</f>
        <v>899</v>
      </c>
      <c r="I525" s="16" t="n">
        <f aca="false">IF(INDEX(選手一覧!$H$7:$H$2738,$F525)="","",INDEX(選手一覧!$H$7:$H$2738,$F525))</f>
        <v>0.00708460648148148</v>
      </c>
      <c r="J525" s="17" t="n">
        <f aca="false">IF(INDEX(選手一覧!$I$7:$I$2738,$F525)="","",INDEX(選手一覧!$I$7:$I$2738,$F525))</f>
        <v>432</v>
      </c>
    </row>
    <row r="526" customFormat="false" ht="15" hidden="false" customHeight="false" outlineLevel="0" collapsed="false">
      <c r="A526" s="17" t="n">
        <v>522</v>
      </c>
      <c r="B526" s="12" t="s">
        <v>176</v>
      </c>
      <c r="C526" s="12" t="s">
        <v>37</v>
      </c>
      <c r="D526" s="16" t="n">
        <v>0.00284363425925926</v>
      </c>
      <c r="E526" s="15" t="n">
        <f aca="false">ROUND((D526-$D$5)*86400,2)</f>
        <v>20.66</v>
      </c>
      <c r="F526" s="17" t="n">
        <v>77</v>
      </c>
      <c r="G526" s="16" t="n">
        <f aca="false">IF(INDEX(選手一覧!$D$7:$D$2738,$F526)="","",INDEX(選手一覧!$D$7:$D$2738,$F526))</f>
        <v>0.0101642361111111</v>
      </c>
      <c r="H526" s="17" t="n">
        <f aca="false">IF(INDEX(選手一覧!$E$7:$E$2738,$F526)="","",INDEX(選手一覧!$E$7:$E$2738,$F526))</f>
        <v>78</v>
      </c>
      <c r="I526" s="16" t="n">
        <f aca="false">IF(INDEX(選手一覧!$H$7:$H$2738,$F526)="","",INDEX(選手一覧!$H$7:$H$2738,$F526))</f>
        <v>0.00702662037037037</v>
      </c>
      <c r="J526" s="17" t="n">
        <f aca="false">IF(INDEX(選手一覧!$I$7:$I$2738,$F526)="","",INDEX(選手一覧!$I$7:$I$2738,$F526))</f>
        <v>360</v>
      </c>
    </row>
    <row r="527" customFormat="false" ht="15" hidden="false" customHeight="false" outlineLevel="0" collapsed="false">
      <c r="A527" s="17" t="n">
        <v>523</v>
      </c>
      <c r="B527" s="12" t="s">
        <v>1812</v>
      </c>
      <c r="C527" s="12" t="s">
        <v>1813</v>
      </c>
      <c r="D527" s="16" t="n">
        <v>0.00284386574074074</v>
      </c>
      <c r="E527" s="15" t="n">
        <f aca="false">ROUND((D527-$D$5)*86400,2)</f>
        <v>20.68</v>
      </c>
      <c r="F527" s="17" t="n">
        <v>1123</v>
      </c>
      <c r="G527" s="16" t="n">
        <f aca="false">IF(INDEX(選手一覧!$D$7:$D$2738,$F527)="","",INDEX(選手一覧!$D$7:$D$2738,$F527))</f>
        <v>0.0110175925925926</v>
      </c>
      <c r="H527" s="17" t="n">
        <f aca="false">IF(INDEX(選手一覧!$E$7:$E$2738,$F527)="","",INDEX(選手一覧!$E$7:$E$2738,$F527))</f>
        <v>1124</v>
      </c>
      <c r="I527" s="16" t="n">
        <f aca="false">IF(INDEX(選手一覧!$H$7:$H$2738,$F527)="","",INDEX(選手一覧!$H$7:$H$2738,$F527))</f>
        <v>0.00741400462962963</v>
      </c>
      <c r="J527" s="17" t="n">
        <f aca="false">IF(INDEX(選手一覧!$I$7:$I$2738,$F527)="","",INDEX(選手一覧!$I$7:$I$2738,$F527))</f>
        <v>786</v>
      </c>
    </row>
    <row r="528" customFormat="false" ht="15" hidden="false" customHeight="false" outlineLevel="0" collapsed="false">
      <c r="A528" s="17" t="n">
        <v>524</v>
      </c>
      <c r="B528" s="12" t="s">
        <v>1095</v>
      </c>
      <c r="C528" s="12" t="s">
        <v>1096</v>
      </c>
      <c r="D528" s="16" t="n">
        <v>0.00284386574074074</v>
      </c>
      <c r="E528" s="15" t="n">
        <f aca="false">ROUND((D528-$D$5)*86400,2)</f>
        <v>20.68</v>
      </c>
      <c r="F528" s="17" t="n">
        <v>646</v>
      </c>
      <c r="G528" s="16" t="n">
        <f aca="false">IF(INDEX(選手一覧!$D$7:$D$2738,$F528)="","",INDEX(選手一覧!$D$7:$D$2738,$F528))</f>
        <v>0.0107369212962963</v>
      </c>
      <c r="H528" s="17" t="n">
        <f aca="false">IF(INDEX(選手一覧!$E$7:$E$2738,$F528)="","",INDEX(選手一覧!$E$7:$E$2738,$F528))</f>
        <v>647</v>
      </c>
      <c r="I528" s="16" t="str">
        <f aca="false">IF(INDEX(選手一覧!$H$7:$H$2738,$F528)="","",INDEX(選手一覧!$H$7:$H$2738,$F528))</f>
        <v/>
      </c>
      <c r="J528" s="17" t="str">
        <f aca="false">IF(INDEX(選手一覧!$I$7:$I$2738,$F528)="","",INDEX(選手一覧!$I$7:$I$2738,$F528))</f>
        <v/>
      </c>
    </row>
    <row r="529" customFormat="false" ht="15" hidden="false" customHeight="false" outlineLevel="0" collapsed="false">
      <c r="A529" s="17" t="n">
        <v>525</v>
      </c>
      <c r="B529" s="12" t="s">
        <v>2535</v>
      </c>
      <c r="C529" s="12" t="s">
        <v>1913</v>
      </c>
      <c r="D529" s="16" t="n">
        <v>0.00284386574074074</v>
      </c>
      <c r="E529" s="15" t="n">
        <f aca="false">ROUND((D529-$D$5)*86400,2)</f>
        <v>20.68</v>
      </c>
      <c r="F529" s="17" t="n">
        <v>1616</v>
      </c>
      <c r="G529" s="16" t="str">
        <f aca="false">IF(INDEX(選手一覧!$D$7:$D$2738,$F529)="","",INDEX(選手一覧!$D$7:$D$2738,$F529))</f>
        <v/>
      </c>
      <c r="H529" s="17" t="str">
        <f aca="false">IF(INDEX(選手一覧!$E$7:$E$2738,$F529)="","",INDEX(選手一覧!$E$7:$E$2738,$F529))</f>
        <v/>
      </c>
      <c r="I529" s="16" t="str">
        <f aca="false">IF(INDEX(選手一覧!$H$7:$H$2738,$F529)="","",INDEX(選手一覧!$H$7:$H$2738,$F529))</f>
        <v/>
      </c>
      <c r="J529" s="17" t="str">
        <f aca="false">IF(INDEX(選手一覧!$I$7:$I$2738,$F529)="","",INDEX(選手一覧!$I$7:$I$2738,$F529))</f>
        <v/>
      </c>
    </row>
    <row r="530" customFormat="false" ht="15" hidden="false" customHeight="false" outlineLevel="0" collapsed="false">
      <c r="A530" s="17" t="n">
        <v>526</v>
      </c>
      <c r="B530" s="12" t="s">
        <v>611</v>
      </c>
      <c r="C530" s="12" t="s">
        <v>127</v>
      </c>
      <c r="D530" s="16" t="n">
        <v>0.00284398148148148</v>
      </c>
      <c r="E530" s="15" t="n">
        <f aca="false">ROUND((D530-$D$5)*86400,2)</f>
        <v>20.69</v>
      </c>
      <c r="F530" s="17" t="n">
        <v>329</v>
      </c>
      <c r="G530" s="16" t="n">
        <f aca="false">IF(INDEX(選手一覧!$D$7:$D$2738,$F530)="","",INDEX(選手一覧!$D$7:$D$2738,$F530))</f>
        <v>0.0104890046296296</v>
      </c>
      <c r="H530" s="17" t="n">
        <f aca="false">IF(INDEX(選手一覧!$E$7:$E$2738,$F530)="","",INDEX(選手一覧!$E$7:$E$2738,$F530))</f>
        <v>330</v>
      </c>
      <c r="I530" s="16" t="str">
        <f aca="false">IF(INDEX(選手一覧!$H$7:$H$2738,$F530)="","",INDEX(選手一覧!$H$7:$H$2738,$F530))</f>
        <v/>
      </c>
      <c r="J530" s="17" t="str">
        <f aca="false">IF(INDEX(選手一覧!$I$7:$I$2738,$F530)="","",INDEX(選手一覧!$I$7:$I$2738,$F530))</f>
        <v/>
      </c>
    </row>
    <row r="531" customFormat="false" ht="15" hidden="false" customHeight="false" outlineLevel="0" collapsed="false">
      <c r="A531" s="17" t="n">
        <v>527</v>
      </c>
      <c r="B531" s="12" t="s">
        <v>1718</v>
      </c>
      <c r="C531" s="12" t="s">
        <v>1184</v>
      </c>
      <c r="D531" s="16" t="n">
        <v>0.00284421296296296</v>
      </c>
      <c r="E531" s="15" t="n">
        <f aca="false">ROUND((D531-$D$5)*86400,2)</f>
        <v>20.71</v>
      </c>
      <c r="F531" s="17" t="n">
        <v>1061</v>
      </c>
      <c r="G531" s="16" t="n">
        <f aca="false">IF(INDEX(選手一覧!$D$7:$D$2738,$F531)="","",INDEX(選手一覧!$D$7:$D$2738,$F531))</f>
        <v>0.0109819444444445</v>
      </c>
      <c r="H531" s="17" t="n">
        <f aca="false">IF(INDEX(選手一覧!$E$7:$E$2738,$F531)="","",INDEX(選手一覧!$E$7:$E$2738,$F531))</f>
        <v>1062</v>
      </c>
      <c r="I531" s="16" t="n">
        <f aca="false">IF(INDEX(選手一覧!$H$7:$H$2738,$F531)="","",INDEX(選手一覧!$H$7:$H$2738,$F531))</f>
        <v>0.00695462962962963</v>
      </c>
      <c r="J531" s="17" t="n">
        <f aca="false">IF(INDEX(選手一覧!$I$7:$I$2738,$F531)="","",INDEX(選手一覧!$I$7:$I$2738,$F531))</f>
        <v>289</v>
      </c>
    </row>
    <row r="532" customFormat="false" ht="15" hidden="false" customHeight="false" outlineLevel="0" collapsed="false">
      <c r="A532" s="17" t="n">
        <v>528</v>
      </c>
      <c r="B532" s="12" t="s">
        <v>857</v>
      </c>
      <c r="C532" s="12" t="s">
        <v>858</v>
      </c>
      <c r="D532" s="16" t="n">
        <v>0.00284421296296296</v>
      </c>
      <c r="E532" s="15" t="n">
        <f aca="false">ROUND((D532-$D$5)*86400,2)</f>
        <v>20.71</v>
      </c>
      <c r="F532" s="17" t="n">
        <v>488</v>
      </c>
      <c r="G532" s="16" t="n">
        <f aca="false">IF(INDEX(選手一覧!$D$7:$D$2738,$F532)="","",INDEX(選手一覧!$D$7:$D$2738,$F532))</f>
        <v>0.0106162037037037</v>
      </c>
      <c r="H532" s="17" t="n">
        <f aca="false">IF(INDEX(選手一覧!$E$7:$E$2738,$F532)="","",INDEX(選手一覧!$E$7:$E$2738,$F532))</f>
        <v>489</v>
      </c>
      <c r="I532" s="16" t="n">
        <f aca="false">IF(INDEX(選手一覧!$H$7:$H$2738,$F532)="","",INDEX(選手一覧!$H$7:$H$2738,$F532))</f>
        <v>0.00656377314814815</v>
      </c>
      <c r="J532" s="17" t="n">
        <f aca="false">IF(INDEX(選手一覧!$I$7:$I$2738,$F532)="","",INDEX(選手一覧!$I$7:$I$2738,$F532))</f>
        <v>51</v>
      </c>
    </row>
    <row r="533" customFormat="false" ht="15" hidden="false" customHeight="false" outlineLevel="0" collapsed="false">
      <c r="A533" s="17" t="n">
        <v>529</v>
      </c>
      <c r="B533" s="12" t="s">
        <v>330</v>
      </c>
      <c r="C533" s="12" t="s">
        <v>245</v>
      </c>
      <c r="D533" s="16" t="n">
        <v>0.0028443287037037</v>
      </c>
      <c r="E533" s="15" t="n">
        <f aca="false">ROUND((D533-$D$5)*86400,2)</f>
        <v>20.72</v>
      </c>
      <c r="F533" s="17" t="n">
        <v>159</v>
      </c>
      <c r="G533" s="16" t="n">
        <f aca="false">IF(INDEX(選手一覧!$D$7:$D$2738,$F533)="","",INDEX(選手一覧!$D$7:$D$2738,$F533))</f>
        <v>0.0103002314814815</v>
      </c>
      <c r="H533" s="17" t="n">
        <f aca="false">IF(INDEX(選手一覧!$E$7:$E$2738,$F533)="","",INDEX(選手一覧!$E$7:$E$2738,$F533))</f>
        <v>160</v>
      </c>
      <c r="I533" s="16" t="n">
        <f aca="false">IF(INDEX(選手一覧!$H$7:$H$2738,$F533)="","",INDEX(選手一覧!$H$7:$H$2738,$F533))</f>
        <v>0.00701736111111111</v>
      </c>
      <c r="J533" s="17" t="n">
        <f aca="false">IF(INDEX(選手一覧!$I$7:$I$2738,$F533)="","",INDEX(選手一覧!$I$7:$I$2738,$F533))</f>
        <v>354</v>
      </c>
    </row>
    <row r="534" customFormat="false" ht="15" hidden="false" customHeight="false" outlineLevel="0" collapsed="false">
      <c r="A534" s="17" t="n">
        <v>530</v>
      </c>
      <c r="B534" s="12" t="s">
        <v>1943</v>
      </c>
      <c r="C534" s="12" t="s">
        <v>1944</v>
      </c>
      <c r="D534" s="16" t="n">
        <v>0.00284444444444444</v>
      </c>
      <c r="E534" s="15" t="n">
        <f aca="false">ROUND((D534-$D$5)*86400,2)</f>
        <v>20.73</v>
      </c>
      <c r="F534" s="17" t="n">
        <v>1215</v>
      </c>
      <c r="G534" s="16" t="n">
        <f aca="false">IF(INDEX(選手一覧!$D$7:$D$2738,$F534)="","",INDEX(選手一覧!$D$7:$D$2738,$F534))</f>
        <v>0.0110606481481482</v>
      </c>
      <c r="H534" s="17" t="n">
        <f aca="false">IF(INDEX(選手一覧!$E$7:$E$2738,$F534)="","",INDEX(選手一覧!$E$7:$E$2738,$F534))</f>
        <v>1216</v>
      </c>
      <c r="I534" s="16" t="str">
        <f aca="false">IF(INDEX(選手一覧!$H$7:$H$2738,$F534)="","",INDEX(選手一覧!$H$7:$H$2738,$F534))</f>
        <v/>
      </c>
      <c r="J534" s="17" t="str">
        <f aca="false">IF(INDEX(選手一覧!$I$7:$I$2738,$F534)="","",INDEX(選手一覧!$I$7:$I$2738,$F534))</f>
        <v/>
      </c>
    </row>
    <row r="535" customFormat="false" ht="15" hidden="false" customHeight="false" outlineLevel="0" collapsed="false">
      <c r="A535" s="17" t="n">
        <v>531</v>
      </c>
      <c r="B535" s="12" t="s">
        <v>659</v>
      </c>
      <c r="C535" s="12" t="s">
        <v>397</v>
      </c>
      <c r="D535" s="16" t="n">
        <v>0.00284456018518519</v>
      </c>
      <c r="E535" s="15" t="n">
        <f aca="false">ROUND((D535-$D$5)*86400,2)</f>
        <v>20.74</v>
      </c>
      <c r="F535" s="17" t="n">
        <v>359</v>
      </c>
      <c r="G535" s="16" t="n">
        <f aca="false">IF(INDEX(選手一覧!$D$7:$D$2738,$F535)="","",INDEX(選手一覧!$D$7:$D$2738,$F535))</f>
        <v>0.0105166666666667</v>
      </c>
      <c r="H535" s="17" t="n">
        <f aca="false">IF(INDEX(選手一覧!$E$7:$E$2738,$F535)="","",INDEX(選手一覧!$E$7:$E$2738,$F535))</f>
        <v>360</v>
      </c>
      <c r="I535" s="16" t="n">
        <f aca="false">IF(INDEX(選手一覧!$H$7:$H$2738,$F535)="","",INDEX(選手一覧!$H$7:$H$2738,$F535))</f>
        <v>0.00671261574074074</v>
      </c>
      <c r="J535" s="17" t="n">
        <f aca="false">IF(INDEX(選手一覧!$I$7:$I$2738,$F535)="","",INDEX(選手一覧!$I$7:$I$2738,$F535))</f>
        <v>112</v>
      </c>
    </row>
    <row r="536" customFormat="false" ht="15" hidden="false" customHeight="false" outlineLevel="0" collapsed="false">
      <c r="A536" s="17" t="n">
        <v>532</v>
      </c>
      <c r="B536" s="12" t="s">
        <v>801</v>
      </c>
      <c r="C536" s="12" t="s">
        <v>802</v>
      </c>
      <c r="D536" s="16" t="n">
        <v>0.00284467592592593</v>
      </c>
      <c r="E536" s="15" t="n">
        <f aca="false">ROUND((D536-$D$5)*86400,2)</f>
        <v>20.75</v>
      </c>
      <c r="F536" s="17" t="n">
        <v>450</v>
      </c>
      <c r="G536" s="16" t="n">
        <f aca="false">IF(INDEX(選手一覧!$D$7:$D$2738,$F536)="","",INDEX(選手一覧!$D$7:$D$2738,$F536))</f>
        <v>0.0105877314814815</v>
      </c>
      <c r="H536" s="17" t="n">
        <f aca="false">IF(INDEX(選手一覧!$E$7:$E$2738,$F536)="","",INDEX(選手一覧!$E$7:$E$2738,$F536))</f>
        <v>451</v>
      </c>
      <c r="I536" s="16" t="n">
        <f aca="false">IF(INDEX(選手一覧!$H$7:$H$2738,$F536)="","",INDEX(選手一覧!$H$7:$H$2738,$F536))</f>
        <v>0.00641585648148148</v>
      </c>
      <c r="J536" s="17" t="n">
        <f aca="false">IF(INDEX(選手一覧!$I$7:$I$2738,$F536)="","",INDEX(選手一覧!$I$7:$I$2738,$F536))</f>
        <v>18</v>
      </c>
    </row>
    <row r="537" customFormat="false" ht="15" hidden="false" customHeight="false" outlineLevel="0" collapsed="false">
      <c r="A537" s="17" t="n">
        <v>533</v>
      </c>
      <c r="B537" s="12" t="s">
        <v>421</v>
      </c>
      <c r="C537" s="12" t="s">
        <v>167</v>
      </c>
      <c r="D537" s="16" t="n">
        <v>0.00284479166666667</v>
      </c>
      <c r="E537" s="15" t="n">
        <f aca="false">ROUND((D537-$D$5)*86400,2)</f>
        <v>20.76</v>
      </c>
      <c r="F537" s="17" t="n">
        <v>213</v>
      </c>
      <c r="G537" s="16" t="n">
        <f aca="false">IF(INDEX(選手一覧!$D$7:$D$2738,$F537)="","",INDEX(選手一覧!$D$7:$D$2738,$F537))</f>
        <v>0.0103591435185185</v>
      </c>
      <c r="H537" s="17" t="n">
        <f aca="false">IF(INDEX(選手一覧!$E$7:$E$2738,$F537)="","",INDEX(選手一覧!$E$7:$E$2738,$F537))</f>
        <v>214</v>
      </c>
      <c r="I537" s="16" t="str">
        <f aca="false">IF(INDEX(選手一覧!$H$7:$H$2738,$F537)="","",INDEX(選手一覧!$H$7:$H$2738,$F537))</f>
        <v/>
      </c>
      <c r="J537" s="17" t="str">
        <f aca="false">IF(INDEX(選手一覧!$I$7:$I$2738,$F537)="","",INDEX(選手一覧!$I$7:$I$2738,$F537))</f>
        <v/>
      </c>
    </row>
    <row r="538" customFormat="false" ht="15" hidden="false" customHeight="false" outlineLevel="0" collapsed="false">
      <c r="A538" s="17" t="n">
        <v>534</v>
      </c>
      <c r="B538" s="12" t="s">
        <v>1960</v>
      </c>
      <c r="C538" s="12" t="s">
        <v>1961</v>
      </c>
      <c r="D538" s="16" t="n">
        <v>0.00284479166666667</v>
      </c>
      <c r="E538" s="15" t="n">
        <f aca="false">ROUND((D538-$D$5)*86400,2)</f>
        <v>20.76</v>
      </c>
      <c r="F538" s="17" t="n">
        <v>1227</v>
      </c>
      <c r="G538" s="16" t="n">
        <f aca="false">IF(INDEX(選手一覧!$D$7:$D$2738,$F538)="","",INDEX(選手一覧!$D$7:$D$2738,$F538))</f>
        <v>0.0110662037037037</v>
      </c>
      <c r="H538" s="17" t="n">
        <f aca="false">IF(INDEX(選手一覧!$E$7:$E$2738,$F538)="","",INDEX(選手一覧!$E$7:$E$2738,$F538))</f>
        <v>1228</v>
      </c>
      <c r="I538" s="16" t="str">
        <f aca="false">IF(INDEX(選手一覧!$H$7:$H$2738,$F538)="","",INDEX(選手一覧!$H$7:$H$2738,$F538))</f>
        <v/>
      </c>
      <c r="J538" s="17" t="str">
        <f aca="false">IF(INDEX(選手一覧!$I$7:$I$2738,$F538)="","",INDEX(選手一覧!$I$7:$I$2738,$F538))</f>
        <v/>
      </c>
    </row>
    <row r="539" customFormat="false" ht="15" hidden="false" customHeight="false" outlineLevel="0" collapsed="false">
      <c r="A539" s="17" t="n">
        <v>535</v>
      </c>
      <c r="B539" s="12" t="s">
        <v>255</v>
      </c>
      <c r="C539" s="12" t="s">
        <v>256</v>
      </c>
      <c r="D539" s="16" t="n">
        <v>0.00284490740740741</v>
      </c>
      <c r="E539" s="15" t="n">
        <f aca="false">ROUND((D539-$D$5)*86400,2)</f>
        <v>20.77</v>
      </c>
      <c r="F539" s="17" t="n">
        <v>120</v>
      </c>
      <c r="G539" s="16" t="n">
        <f aca="false">IF(INDEX(選手一覧!$D$7:$D$2738,$F539)="","",INDEX(選手一覧!$D$7:$D$2738,$F539))</f>
        <v>0.0102405092592593</v>
      </c>
      <c r="H539" s="17" t="n">
        <f aca="false">IF(INDEX(選手一覧!$E$7:$E$2738,$F539)="","",INDEX(選手一覧!$E$7:$E$2738,$F539))</f>
        <v>121</v>
      </c>
      <c r="I539" s="16" t="str">
        <f aca="false">IF(INDEX(選手一覧!$H$7:$H$2738,$F539)="","",INDEX(選手一覧!$H$7:$H$2738,$F539))</f>
        <v/>
      </c>
      <c r="J539" s="17" t="str">
        <f aca="false">IF(INDEX(選手一覧!$I$7:$I$2738,$F539)="","",INDEX(選手一覧!$I$7:$I$2738,$F539))</f>
        <v/>
      </c>
    </row>
    <row r="540" customFormat="false" ht="15" hidden="false" customHeight="false" outlineLevel="0" collapsed="false">
      <c r="A540" s="17" t="n">
        <v>536</v>
      </c>
      <c r="B540" s="12" t="s">
        <v>2547</v>
      </c>
      <c r="C540" s="12" t="s">
        <v>415</v>
      </c>
      <c r="D540" s="16" t="n">
        <v>0.00284490740740741</v>
      </c>
      <c r="E540" s="15" t="n">
        <f aca="false">ROUND((D540-$D$5)*86400,2)</f>
        <v>20.77</v>
      </c>
      <c r="F540" s="17" t="n">
        <v>1626</v>
      </c>
      <c r="G540" s="16" t="str">
        <f aca="false">IF(INDEX(選手一覧!$D$7:$D$2738,$F540)="","",INDEX(選手一覧!$D$7:$D$2738,$F540))</f>
        <v/>
      </c>
      <c r="H540" s="17" t="str">
        <f aca="false">IF(INDEX(選手一覧!$E$7:$E$2738,$F540)="","",INDEX(選手一覧!$E$7:$E$2738,$F540))</f>
        <v/>
      </c>
      <c r="I540" s="16" t="str">
        <f aca="false">IF(INDEX(選手一覧!$H$7:$H$2738,$F540)="","",INDEX(選手一覧!$H$7:$H$2738,$F540))</f>
        <v/>
      </c>
      <c r="J540" s="17" t="str">
        <f aca="false">IF(INDEX(選手一覧!$I$7:$I$2738,$F540)="","",INDEX(選手一覧!$I$7:$I$2738,$F540))</f>
        <v/>
      </c>
    </row>
    <row r="541" customFormat="false" ht="15" hidden="false" customHeight="false" outlineLevel="0" collapsed="false">
      <c r="A541" s="17" t="n">
        <v>537</v>
      </c>
      <c r="B541" s="12" t="s">
        <v>2549</v>
      </c>
      <c r="C541" s="12" t="s">
        <v>561</v>
      </c>
      <c r="D541" s="16" t="n">
        <v>0.00284513888888889</v>
      </c>
      <c r="E541" s="15" t="n">
        <f aca="false">ROUND((D541-$D$5)*86400,2)</f>
        <v>20.79</v>
      </c>
      <c r="F541" s="17" t="n">
        <v>1628</v>
      </c>
      <c r="G541" s="16" t="str">
        <f aca="false">IF(INDEX(選手一覧!$D$7:$D$2738,$F541)="","",INDEX(選手一覧!$D$7:$D$2738,$F541))</f>
        <v/>
      </c>
      <c r="H541" s="17" t="str">
        <f aca="false">IF(INDEX(選手一覧!$E$7:$E$2738,$F541)="","",INDEX(選手一覧!$E$7:$E$2738,$F541))</f>
        <v/>
      </c>
      <c r="I541" s="16" t="str">
        <f aca="false">IF(INDEX(選手一覧!$H$7:$H$2738,$F541)="","",INDEX(選手一覧!$H$7:$H$2738,$F541))</f>
        <v/>
      </c>
      <c r="J541" s="17" t="str">
        <f aca="false">IF(INDEX(選手一覧!$I$7:$I$2738,$F541)="","",INDEX(選手一覧!$I$7:$I$2738,$F541))</f>
        <v/>
      </c>
    </row>
    <row r="542" customFormat="false" ht="15" hidden="false" customHeight="false" outlineLevel="0" collapsed="false">
      <c r="A542" s="17" t="n">
        <v>538</v>
      </c>
      <c r="B542" s="12" t="s">
        <v>1391</v>
      </c>
      <c r="C542" s="12" t="s">
        <v>1392</v>
      </c>
      <c r="D542" s="16" t="n">
        <v>0.00284525462962963</v>
      </c>
      <c r="E542" s="15" t="n">
        <f aca="false">ROUND((D542-$D$5)*86400,2)</f>
        <v>20.8</v>
      </c>
      <c r="F542" s="17" t="n">
        <v>843</v>
      </c>
      <c r="G542" s="16" t="n">
        <f aca="false">IF(INDEX(選手一覧!$D$7:$D$2738,$F542)="","",INDEX(選手一覧!$D$7:$D$2738,$F542))</f>
        <v>0.01085625</v>
      </c>
      <c r="H542" s="17" t="n">
        <f aca="false">IF(INDEX(選手一覧!$E$7:$E$2738,$F542)="","",INDEX(選手一覧!$E$7:$E$2738,$F542))</f>
        <v>844</v>
      </c>
      <c r="I542" s="16" t="n">
        <f aca="false">IF(INDEX(選手一覧!$H$7:$H$2738,$F542)="","",INDEX(選手一覧!$H$7:$H$2738,$F542))</f>
        <v>0.00656909722222222</v>
      </c>
      <c r="J542" s="17" t="n">
        <f aca="false">IF(INDEX(選手一覧!$I$7:$I$2738,$F542)="","",INDEX(選手一覧!$I$7:$I$2738,$F542))</f>
        <v>58</v>
      </c>
    </row>
    <row r="543" customFormat="false" ht="15" hidden="false" customHeight="false" outlineLevel="0" collapsed="false">
      <c r="A543" s="17" t="n">
        <v>539</v>
      </c>
      <c r="B543" s="12" t="s">
        <v>605</v>
      </c>
      <c r="C543" s="12" t="s">
        <v>61</v>
      </c>
      <c r="D543" s="16" t="n">
        <v>0.00284537037037037</v>
      </c>
      <c r="E543" s="15" t="n">
        <f aca="false">ROUND((D543-$D$5)*86400,2)</f>
        <v>20.81</v>
      </c>
      <c r="F543" s="17" t="n">
        <v>324</v>
      </c>
      <c r="G543" s="16" t="n">
        <f aca="false">IF(INDEX(選手一覧!$D$7:$D$2738,$F543)="","",INDEX(選手一覧!$D$7:$D$2738,$F543))</f>
        <v>0.01048125</v>
      </c>
      <c r="H543" s="17" t="n">
        <f aca="false">IF(INDEX(選手一覧!$E$7:$E$2738,$F543)="","",INDEX(選手一覧!$E$7:$E$2738,$F543))</f>
        <v>325</v>
      </c>
      <c r="I543" s="16" t="str">
        <f aca="false">IF(INDEX(選手一覧!$H$7:$H$2738,$F543)="","",INDEX(選手一覧!$H$7:$H$2738,$F543))</f>
        <v/>
      </c>
      <c r="J543" s="17" t="str">
        <f aca="false">IF(INDEX(選手一覧!$I$7:$I$2738,$F543)="","",INDEX(選手一覧!$I$7:$I$2738,$F543))</f>
        <v/>
      </c>
    </row>
    <row r="544" customFormat="false" ht="15" hidden="false" customHeight="false" outlineLevel="0" collapsed="false">
      <c r="A544" s="17" t="n">
        <v>540</v>
      </c>
      <c r="B544" s="12" t="s">
        <v>2554</v>
      </c>
      <c r="C544" s="12" t="s">
        <v>2555</v>
      </c>
      <c r="D544" s="16" t="n">
        <v>0.00284594907407407</v>
      </c>
      <c r="E544" s="15" t="n">
        <f aca="false">ROUND((D544-$D$5)*86400,2)</f>
        <v>20.86</v>
      </c>
      <c r="F544" s="17" t="n">
        <v>1632</v>
      </c>
      <c r="G544" s="16" t="str">
        <f aca="false">IF(INDEX(選手一覧!$D$7:$D$2738,$F544)="","",INDEX(選手一覧!$D$7:$D$2738,$F544))</f>
        <v/>
      </c>
      <c r="H544" s="17" t="str">
        <f aca="false">IF(INDEX(選手一覧!$E$7:$E$2738,$F544)="","",INDEX(選手一覧!$E$7:$E$2738,$F544))</f>
        <v/>
      </c>
      <c r="I544" s="16" t="str">
        <f aca="false">IF(INDEX(選手一覧!$H$7:$H$2738,$F544)="","",INDEX(選手一覧!$H$7:$H$2738,$F544))</f>
        <v/>
      </c>
      <c r="J544" s="17" t="str">
        <f aca="false">IF(INDEX(選手一覧!$I$7:$I$2738,$F544)="","",INDEX(選手一覧!$I$7:$I$2738,$F544))</f>
        <v/>
      </c>
    </row>
    <row r="545" customFormat="false" ht="15" hidden="false" customHeight="false" outlineLevel="0" collapsed="false">
      <c r="A545" s="17" t="n">
        <v>541</v>
      </c>
      <c r="B545" s="12" t="s">
        <v>2556</v>
      </c>
      <c r="C545" s="12" t="s">
        <v>2557</v>
      </c>
      <c r="D545" s="16" t="n">
        <v>0.00284606481481482</v>
      </c>
      <c r="E545" s="15" t="n">
        <f aca="false">ROUND((D545-$D$5)*86400,2)</f>
        <v>20.87</v>
      </c>
      <c r="F545" s="17" t="n">
        <v>1633</v>
      </c>
      <c r="G545" s="16" t="str">
        <f aca="false">IF(INDEX(選手一覧!$D$7:$D$2738,$F545)="","",INDEX(選手一覧!$D$7:$D$2738,$F545))</f>
        <v/>
      </c>
      <c r="H545" s="17" t="str">
        <f aca="false">IF(INDEX(選手一覧!$E$7:$E$2738,$F545)="","",INDEX(選手一覧!$E$7:$E$2738,$F545))</f>
        <v/>
      </c>
      <c r="I545" s="16" t="str">
        <f aca="false">IF(INDEX(選手一覧!$H$7:$H$2738,$F545)="","",INDEX(選手一覧!$H$7:$H$2738,$F545))</f>
        <v/>
      </c>
      <c r="J545" s="17" t="str">
        <f aca="false">IF(INDEX(選手一覧!$I$7:$I$2738,$F545)="","",INDEX(選手一覧!$I$7:$I$2738,$F545))</f>
        <v/>
      </c>
    </row>
    <row r="546" customFormat="false" ht="15" hidden="false" customHeight="false" outlineLevel="0" collapsed="false">
      <c r="A546" s="17" t="n">
        <v>542</v>
      </c>
      <c r="B546" s="12" t="s">
        <v>1068</v>
      </c>
      <c r="C546" s="12" t="s">
        <v>1069</v>
      </c>
      <c r="D546" s="16" t="n">
        <v>0.00284606481481482</v>
      </c>
      <c r="E546" s="15" t="n">
        <f aca="false">ROUND((D546-$D$5)*86400,2)</f>
        <v>20.87</v>
      </c>
      <c r="F546" s="17" t="n">
        <v>626</v>
      </c>
      <c r="G546" s="16" t="n">
        <f aca="false">IF(INDEX(選手一覧!$D$7:$D$2738,$F546)="","",INDEX(選手一覧!$D$7:$D$2738,$F546))</f>
        <v>0.0107275462962963</v>
      </c>
      <c r="H546" s="17" t="n">
        <f aca="false">IF(INDEX(選手一覧!$E$7:$E$2738,$F546)="","",INDEX(選手一覧!$E$7:$E$2738,$F546))</f>
        <v>627</v>
      </c>
      <c r="I546" s="16" t="str">
        <f aca="false">IF(INDEX(選手一覧!$H$7:$H$2738,$F546)="","",INDEX(選手一覧!$H$7:$H$2738,$F546))</f>
        <v/>
      </c>
      <c r="J546" s="17" t="str">
        <f aca="false">IF(INDEX(選手一覧!$I$7:$I$2738,$F546)="","",INDEX(選手一覧!$I$7:$I$2738,$F546))</f>
        <v/>
      </c>
    </row>
    <row r="547" customFormat="false" ht="15" hidden="false" customHeight="false" outlineLevel="0" collapsed="false">
      <c r="A547" s="17" t="n">
        <v>543</v>
      </c>
      <c r="B547" s="12" t="s">
        <v>829</v>
      </c>
      <c r="C547" s="12" t="s">
        <v>830</v>
      </c>
      <c r="D547" s="16" t="n">
        <v>0.00284606481481482</v>
      </c>
      <c r="E547" s="15" t="n">
        <f aca="false">ROUND((D547-$D$5)*86400,2)</f>
        <v>20.87</v>
      </c>
      <c r="F547" s="17" t="n">
        <v>469</v>
      </c>
      <c r="G547" s="16" t="n">
        <f aca="false">IF(INDEX(選手一覧!$D$7:$D$2738,$F547)="","",INDEX(選手一覧!$D$7:$D$2738,$F547))</f>
        <v>0.01060625</v>
      </c>
      <c r="H547" s="17" t="n">
        <f aca="false">IF(INDEX(選手一覧!$E$7:$E$2738,$F547)="","",INDEX(選手一覧!$E$7:$E$2738,$F547))</f>
        <v>470</v>
      </c>
      <c r="I547" s="16" t="str">
        <f aca="false">IF(INDEX(選手一覧!$H$7:$H$2738,$F547)="","",INDEX(選手一覧!$H$7:$H$2738,$F547))</f>
        <v/>
      </c>
      <c r="J547" s="17" t="str">
        <f aca="false">IF(INDEX(選手一覧!$I$7:$I$2738,$F547)="","",INDEX(選手一覧!$I$7:$I$2738,$F547))</f>
        <v/>
      </c>
    </row>
    <row r="548" customFormat="false" ht="15" hidden="false" customHeight="false" outlineLevel="0" collapsed="false">
      <c r="A548" s="17" t="n">
        <v>544</v>
      </c>
      <c r="B548" s="12" t="s">
        <v>2357</v>
      </c>
      <c r="C548" s="12" t="s">
        <v>2358</v>
      </c>
      <c r="D548" s="16" t="n">
        <v>0.00284606481481482</v>
      </c>
      <c r="E548" s="15" t="n">
        <f aca="false">ROUND((D548-$D$5)*86400,2)</f>
        <v>20.87</v>
      </c>
      <c r="F548" s="17" t="n">
        <v>1501</v>
      </c>
      <c r="G548" s="16" t="str">
        <f aca="false">IF(INDEX(選手一覧!$D$7:$D$2738,$F548)="","",INDEX(選手一覧!$D$7:$D$2738,$F548))</f>
        <v/>
      </c>
      <c r="H548" s="17" t="str">
        <f aca="false">IF(INDEX(選手一覧!$E$7:$E$2738,$F548)="","",INDEX(選手一覧!$E$7:$E$2738,$F548))</f>
        <v/>
      </c>
      <c r="I548" s="16" t="n">
        <f aca="false">IF(INDEX(選手一覧!$H$7:$H$2738,$F548)="","",INDEX(選手一覧!$H$7:$H$2738,$F548))</f>
        <v>0.00706284722222222</v>
      </c>
      <c r="J548" s="17" t="n">
        <f aca="false">IF(INDEX(選手一覧!$I$7:$I$2738,$F548)="","",INDEX(選手一覧!$I$7:$I$2738,$F548))</f>
        <v>402</v>
      </c>
    </row>
    <row r="549" customFormat="false" ht="15" hidden="false" customHeight="false" outlineLevel="0" collapsed="false">
      <c r="A549" s="17" t="n">
        <v>545</v>
      </c>
      <c r="B549" s="12" t="s">
        <v>1293</v>
      </c>
      <c r="C549" s="12" t="s">
        <v>846</v>
      </c>
      <c r="D549" s="16" t="n">
        <v>0.00284618055555556</v>
      </c>
      <c r="E549" s="15" t="n">
        <f aca="false">ROUND((D549-$D$5)*86400,2)</f>
        <v>20.88</v>
      </c>
      <c r="F549" s="17" t="n">
        <v>774</v>
      </c>
      <c r="G549" s="16" t="n">
        <f aca="false">IF(INDEX(選手一覧!$D$7:$D$2738,$F549)="","",INDEX(選手一覧!$D$7:$D$2738,$F549))</f>
        <v>0.01081875</v>
      </c>
      <c r="H549" s="17" t="n">
        <f aca="false">IF(INDEX(選手一覧!$E$7:$E$2738,$F549)="","",INDEX(選手一覧!$E$7:$E$2738,$F549))</f>
        <v>775</v>
      </c>
      <c r="I549" s="16" t="str">
        <f aca="false">IF(INDEX(選手一覧!$H$7:$H$2738,$F549)="","",INDEX(選手一覧!$H$7:$H$2738,$F549))</f>
        <v/>
      </c>
      <c r="J549" s="17" t="str">
        <f aca="false">IF(INDEX(選手一覧!$I$7:$I$2738,$F549)="","",INDEX(選手一覧!$I$7:$I$2738,$F549))</f>
        <v/>
      </c>
    </row>
    <row r="550" customFormat="false" ht="15" hidden="false" customHeight="false" outlineLevel="0" collapsed="false">
      <c r="A550" s="17" t="n">
        <v>546</v>
      </c>
      <c r="B550" s="12" t="s">
        <v>966</v>
      </c>
      <c r="C550" s="12" t="s">
        <v>515</v>
      </c>
      <c r="D550" s="16" t="n">
        <v>0.0028462962962963</v>
      </c>
      <c r="E550" s="15" t="n">
        <f aca="false">ROUND((D550-$D$5)*86400,2)</f>
        <v>20.89</v>
      </c>
      <c r="F550" s="17" t="n">
        <v>553</v>
      </c>
      <c r="G550" s="16" t="n">
        <f aca="false">IF(INDEX(選手一覧!$D$7:$D$2738,$F550)="","",INDEX(選手一覧!$D$7:$D$2738,$F550))</f>
        <v>0.0106741898148148</v>
      </c>
      <c r="H550" s="17" t="n">
        <f aca="false">IF(INDEX(選手一覧!$E$7:$E$2738,$F550)="","",INDEX(選手一覧!$E$7:$E$2738,$F550))</f>
        <v>554</v>
      </c>
      <c r="I550" s="16" t="str">
        <f aca="false">IF(INDEX(選手一覧!$H$7:$H$2738,$F550)="","",INDEX(選手一覧!$H$7:$H$2738,$F550))</f>
        <v/>
      </c>
      <c r="J550" s="17" t="str">
        <f aca="false">IF(INDEX(選手一覧!$I$7:$I$2738,$F550)="","",INDEX(選手一覧!$I$7:$I$2738,$F550))</f>
        <v/>
      </c>
    </row>
    <row r="551" customFormat="false" ht="15" hidden="false" customHeight="false" outlineLevel="0" collapsed="false">
      <c r="A551" s="17" t="n">
        <v>547</v>
      </c>
      <c r="B551" s="12" t="s">
        <v>2565</v>
      </c>
      <c r="C551" s="12" t="s">
        <v>711</v>
      </c>
      <c r="D551" s="16" t="n">
        <v>0.00284641203703704</v>
      </c>
      <c r="E551" s="15" t="n">
        <f aca="false">ROUND((D551-$D$5)*86400,2)</f>
        <v>20.9</v>
      </c>
      <c r="F551" s="17" t="n">
        <v>1638</v>
      </c>
      <c r="G551" s="16" t="str">
        <f aca="false">IF(INDEX(選手一覧!$D$7:$D$2738,$F551)="","",INDEX(選手一覧!$D$7:$D$2738,$F551))</f>
        <v/>
      </c>
      <c r="H551" s="17" t="str">
        <f aca="false">IF(INDEX(選手一覧!$E$7:$E$2738,$F551)="","",INDEX(選手一覧!$E$7:$E$2738,$F551))</f>
        <v/>
      </c>
      <c r="I551" s="16" t="str">
        <f aca="false">IF(INDEX(選手一覧!$H$7:$H$2738,$F551)="","",INDEX(選手一覧!$H$7:$H$2738,$F551))</f>
        <v/>
      </c>
      <c r="J551" s="17" t="str">
        <f aca="false">IF(INDEX(選手一覧!$I$7:$I$2738,$F551)="","",INDEX(選手一覧!$I$7:$I$2738,$F551))</f>
        <v/>
      </c>
    </row>
    <row r="552" customFormat="false" ht="15" hidden="false" customHeight="false" outlineLevel="0" collapsed="false">
      <c r="A552" s="17" t="n">
        <v>548</v>
      </c>
      <c r="B552" s="12" t="s">
        <v>2567</v>
      </c>
      <c r="C552" s="12" t="s">
        <v>2568</v>
      </c>
      <c r="D552" s="16" t="n">
        <v>0.00284652777777778</v>
      </c>
      <c r="E552" s="15" t="n">
        <f aca="false">ROUND((D552-$D$5)*86400,2)</f>
        <v>20.91</v>
      </c>
      <c r="F552" s="17" t="n">
        <v>1640</v>
      </c>
      <c r="G552" s="16" t="str">
        <f aca="false">IF(INDEX(選手一覧!$D$7:$D$2738,$F552)="","",INDEX(選手一覧!$D$7:$D$2738,$F552))</f>
        <v/>
      </c>
      <c r="H552" s="17" t="str">
        <f aca="false">IF(INDEX(選手一覧!$E$7:$E$2738,$F552)="","",INDEX(選手一覧!$E$7:$E$2738,$F552))</f>
        <v/>
      </c>
      <c r="I552" s="16" t="str">
        <f aca="false">IF(INDEX(選手一覧!$H$7:$H$2738,$F552)="","",INDEX(選手一覧!$H$7:$H$2738,$F552))</f>
        <v/>
      </c>
      <c r="J552" s="17" t="str">
        <f aca="false">IF(INDEX(選手一覧!$I$7:$I$2738,$F552)="","",INDEX(選手一覧!$I$7:$I$2738,$F552))</f>
        <v/>
      </c>
    </row>
    <row r="553" customFormat="false" ht="15" hidden="false" customHeight="false" outlineLevel="0" collapsed="false">
      <c r="A553" s="17" t="n">
        <v>549</v>
      </c>
      <c r="B553" s="12" t="s">
        <v>2571</v>
      </c>
      <c r="C553" s="12" t="s">
        <v>2572</v>
      </c>
      <c r="D553" s="16" t="n">
        <v>0.00284675925925926</v>
      </c>
      <c r="E553" s="15" t="n">
        <f aca="false">ROUND((D553-$D$5)*86400,2)</f>
        <v>20.93</v>
      </c>
      <c r="F553" s="17" t="n">
        <v>1642</v>
      </c>
      <c r="G553" s="16" t="str">
        <f aca="false">IF(INDEX(選手一覧!$D$7:$D$2738,$F553)="","",INDEX(選手一覧!$D$7:$D$2738,$F553))</f>
        <v/>
      </c>
      <c r="H553" s="17" t="str">
        <f aca="false">IF(INDEX(選手一覧!$E$7:$E$2738,$F553)="","",INDEX(選手一覧!$E$7:$E$2738,$F553))</f>
        <v/>
      </c>
      <c r="I553" s="16" t="str">
        <f aca="false">IF(INDEX(選手一覧!$H$7:$H$2738,$F553)="","",INDEX(選手一覧!$H$7:$H$2738,$F553))</f>
        <v/>
      </c>
      <c r="J553" s="17" t="str">
        <f aca="false">IF(INDEX(選手一覧!$I$7:$I$2738,$F553)="","",INDEX(選手一覧!$I$7:$I$2738,$F553))</f>
        <v/>
      </c>
    </row>
    <row r="554" customFormat="false" ht="15" hidden="false" customHeight="false" outlineLevel="0" collapsed="false">
      <c r="A554" s="17" t="n">
        <v>550</v>
      </c>
      <c r="B554" s="12" t="s">
        <v>2573</v>
      </c>
      <c r="C554" s="12" t="s">
        <v>2574</v>
      </c>
      <c r="D554" s="16" t="n">
        <v>0.00284675925925926</v>
      </c>
      <c r="E554" s="15" t="n">
        <f aca="false">ROUND((D554-$D$5)*86400,2)</f>
        <v>20.93</v>
      </c>
      <c r="F554" s="17" t="n">
        <v>1643</v>
      </c>
      <c r="G554" s="16" t="str">
        <f aca="false">IF(INDEX(選手一覧!$D$7:$D$2738,$F554)="","",INDEX(選手一覧!$D$7:$D$2738,$F554))</f>
        <v/>
      </c>
      <c r="H554" s="17" t="str">
        <f aca="false">IF(INDEX(選手一覧!$E$7:$E$2738,$F554)="","",INDEX(選手一覧!$E$7:$E$2738,$F554))</f>
        <v/>
      </c>
      <c r="I554" s="16" t="str">
        <f aca="false">IF(INDEX(選手一覧!$H$7:$H$2738,$F554)="","",INDEX(選手一覧!$H$7:$H$2738,$F554))</f>
        <v/>
      </c>
      <c r="J554" s="17" t="str">
        <f aca="false">IF(INDEX(選手一覧!$I$7:$I$2738,$F554)="","",INDEX(選手一覧!$I$7:$I$2738,$F554))</f>
        <v/>
      </c>
    </row>
    <row r="555" customFormat="false" ht="15" hidden="false" customHeight="false" outlineLevel="0" collapsed="false">
      <c r="A555" s="17" t="n">
        <v>551</v>
      </c>
      <c r="B555" s="12" t="s">
        <v>1578</v>
      </c>
      <c r="C555" s="12" t="s">
        <v>1579</v>
      </c>
      <c r="D555" s="16" t="n">
        <v>0.002846875</v>
      </c>
      <c r="E555" s="15" t="n">
        <f aca="false">ROUND((D555-$D$5)*86400,2)</f>
        <v>20.94</v>
      </c>
      <c r="F555" s="17" t="n">
        <v>966</v>
      </c>
      <c r="G555" s="16" t="n">
        <f aca="false">IF(INDEX(選手一覧!$D$7:$D$2738,$F555)="","",INDEX(選手一覧!$D$7:$D$2738,$F555))</f>
        <v>0.0109299768518519</v>
      </c>
      <c r="H555" s="17" t="n">
        <f aca="false">IF(INDEX(選手一覧!$E$7:$E$2738,$F555)="","",INDEX(選手一覧!$E$7:$E$2738,$F555))</f>
        <v>967</v>
      </c>
      <c r="I555" s="16" t="str">
        <f aca="false">IF(INDEX(選手一覧!$H$7:$H$2738,$F555)="","",INDEX(選手一覧!$H$7:$H$2738,$F555))</f>
        <v/>
      </c>
      <c r="J555" s="17" t="str">
        <f aca="false">IF(INDEX(選手一覧!$I$7:$I$2738,$F555)="","",INDEX(選手一覧!$I$7:$I$2738,$F555))</f>
        <v/>
      </c>
    </row>
    <row r="556" customFormat="false" ht="15" hidden="false" customHeight="false" outlineLevel="0" collapsed="false">
      <c r="A556" s="17" t="n">
        <v>552</v>
      </c>
      <c r="B556" s="12" t="s">
        <v>1187</v>
      </c>
      <c r="C556" s="12" t="s">
        <v>1188</v>
      </c>
      <c r="D556" s="16" t="n">
        <v>0.00284722222222222</v>
      </c>
      <c r="E556" s="15" t="n">
        <f aca="false">ROUND((D556-$D$5)*86400,2)</f>
        <v>20.97</v>
      </c>
      <c r="F556" s="17" t="n">
        <v>705</v>
      </c>
      <c r="G556" s="16" t="n">
        <f aca="false">IF(INDEX(選手一覧!$D$7:$D$2738,$F556)="","",INDEX(選手一覧!$D$7:$D$2738,$F556))</f>
        <v>0.0107795138888889</v>
      </c>
      <c r="H556" s="17" t="n">
        <f aca="false">IF(INDEX(選手一覧!$E$7:$E$2738,$F556)="","",INDEX(選手一覧!$E$7:$E$2738,$F556))</f>
        <v>706</v>
      </c>
      <c r="I556" s="16" t="n">
        <f aca="false">IF(INDEX(選手一覧!$H$7:$H$2738,$F556)="","",INDEX(選手一覧!$H$7:$H$2738,$F556))</f>
        <v>0.00684710648148148</v>
      </c>
      <c r="J556" s="17" t="n">
        <f aca="false">IF(INDEX(選手一覧!$I$7:$I$2738,$F556)="","",INDEX(選手一覧!$I$7:$I$2738,$F556))</f>
        <v>201</v>
      </c>
    </row>
    <row r="557" customFormat="false" ht="15" hidden="false" customHeight="false" outlineLevel="0" collapsed="false">
      <c r="A557" s="17" t="n">
        <v>553</v>
      </c>
      <c r="B557" s="12" t="s">
        <v>2063</v>
      </c>
      <c r="C557" s="12" t="s">
        <v>2064</v>
      </c>
      <c r="D557" s="16" t="n">
        <v>0.00284722222222222</v>
      </c>
      <c r="E557" s="15" t="n">
        <f aca="false">ROUND((D557-$D$5)*86400,2)</f>
        <v>20.97</v>
      </c>
      <c r="F557" s="17" t="n">
        <v>1307</v>
      </c>
      <c r="G557" s="16" t="str">
        <f aca="false">IF(INDEX(選手一覧!$D$7:$D$2738,$F557)="","",INDEX(選手一覧!$D$7:$D$2738,$F557))</f>
        <v/>
      </c>
      <c r="H557" s="17" t="str">
        <f aca="false">IF(INDEX(選手一覧!$E$7:$E$2738,$F557)="","",INDEX(選手一覧!$E$7:$E$2738,$F557))</f>
        <v/>
      </c>
      <c r="I557" s="16" t="n">
        <f aca="false">IF(INDEX(選手一覧!$H$7:$H$2738,$F557)="","",INDEX(選手一覧!$H$7:$H$2738,$F557))</f>
        <v>0.00669270833333333</v>
      </c>
      <c r="J557" s="17" t="n">
        <f aca="false">IF(INDEX(選手一覧!$I$7:$I$2738,$F557)="","",INDEX(選手一覧!$I$7:$I$2738,$F557))</f>
        <v>105</v>
      </c>
    </row>
    <row r="558" customFormat="false" ht="15" hidden="false" customHeight="false" outlineLevel="0" collapsed="false">
      <c r="A558" s="17" t="n">
        <v>554</v>
      </c>
      <c r="B558" s="12" t="s">
        <v>667</v>
      </c>
      <c r="C558" s="12" t="s">
        <v>668</v>
      </c>
      <c r="D558" s="16" t="n">
        <v>0.00284733796296296</v>
      </c>
      <c r="E558" s="15" t="n">
        <f aca="false">ROUND((D558-$D$5)*86400,2)</f>
        <v>20.98</v>
      </c>
      <c r="F558" s="17" t="n">
        <v>366</v>
      </c>
      <c r="G558" s="16" t="n">
        <f aca="false">IF(INDEX(選手一覧!$D$7:$D$2738,$F558)="","",INDEX(選手一覧!$D$7:$D$2738,$F558))</f>
        <v>0.010525462962963</v>
      </c>
      <c r="H558" s="17" t="n">
        <f aca="false">IF(INDEX(選手一覧!$E$7:$E$2738,$F558)="","",INDEX(選手一覧!$E$7:$E$2738,$F558))</f>
        <v>367</v>
      </c>
      <c r="I558" s="16" t="str">
        <f aca="false">IF(INDEX(選手一覧!$H$7:$H$2738,$F558)="","",INDEX(選手一覧!$H$7:$H$2738,$F558))</f>
        <v/>
      </c>
      <c r="J558" s="17" t="str">
        <f aca="false">IF(INDEX(選手一覧!$I$7:$I$2738,$F558)="","",INDEX(選手一覧!$I$7:$I$2738,$F558))</f>
        <v/>
      </c>
    </row>
    <row r="559" customFormat="false" ht="15" hidden="false" customHeight="false" outlineLevel="0" collapsed="false">
      <c r="A559" s="17" t="n">
        <v>555</v>
      </c>
      <c r="B559" s="12" t="s">
        <v>557</v>
      </c>
      <c r="C559" s="12" t="s">
        <v>397</v>
      </c>
      <c r="D559" s="16" t="n">
        <v>0.00284768518518519</v>
      </c>
      <c r="E559" s="15" t="n">
        <f aca="false">ROUND((D559-$D$5)*86400,2)</f>
        <v>21.01</v>
      </c>
      <c r="F559" s="17" t="n">
        <v>297</v>
      </c>
      <c r="G559" s="16" t="n">
        <f aca="false">IF(INDEX(選手一覧!$D$7:$D$2738,$F559)="","",INDEX(選手一覧!$D$7:$D$2738,$F559))</f>
        <v>0.0104372685185185</v>
      </c>
      <c r="H559" s="17" t="n">
        <f aca="false">IF(INDEX(選手一覧!$E$7:$E$2738,$F559)="","",INDEX(選手一覧!$E$7:$E$2738,$F559))</f>
        <v>298</v>
      </c>
      <c r="I559" s="16" t="str">
        <f aca="false">IF(INDEX(選手一覧!$H$7:$H$2738,$F559)="","",INDEX(選手一覧!$H$7:$H$2738,$F559))</f>
        <v/>
      </c>
      <c r="J559" s="17" t="str">
        <f aca="false">IF(INDEX(選手一覧!$I$7:$I$2738,$F559)="","",INDEX(選手一覧!$I$7:$I$2738,$F559))</f>
        <v/>
      </c>
    </row>
    <row r="560" customFormat="false" ht="15" hidden="false" customHeight="false" outlineLevel="0" collapsed="false">
      <c r="A560" s="17" t="n">
        <v>556</v>
      </c>
      <c r="B560" s="12" t="s">
        <v>2585</v>
      </c>
      <c r="C560" s="12" t="s">
        <v>1692</v>
      </c>
      <c r="D560" s="16" t="n">
        <v>0.00284814814814815</v>
      </c>
      <c r="E560" s="15" t="n">
        <f aca="false">ROUND((D560-$D$5)*86400,2)</f>
        <v>21.05</v>
      </c>
      <c r="F560" s="17" t="n">
        <v>1650</v>
      </c>
      <c r="G560" s="16" t="str">
        <f aca="false">IF(INDEX(選手一覧!$D$7:$D$2738,$F560)="","",INDEX(選手一覧!$D$7:$D$2738,$F560))</f>
        <v/>
      </c>
      <c r="H560" s="17" t="str">
        <f aca="false">IF(INDEX(選手一覧!$E$7:$E$2738,$F560)="","",INDEX(選手一覧!$E$7:$E$2738,$F560))</f>
        <v/>
      </c>
      <c r="I560" s="16" t="str">
        <f aca="false">IF(INDEX(選手一覧!$H$7:$H$2738,$F560)="","",INDEX(選手一覧!$H$7:$H$2738,$F560))</f>
        <v/>
      </c>
      <c r="J560" s="17" t="str">
        <f aca="false">IF(INDEX(選手一覧!$I$7:$I$2738,$F560)="","",INDEX(選手一覧!$I$7:$I$2738,$F560))</f>
        <v/>
      </c>
    </row>
    <row r="561" customFormat="false" ht="15" hidden="false" customHeight="false" outlineLevel="0" collapsed="false">
      <c r="A561" s="17" t="n">
        <v>557</v>
      </c>
      <c r="B561" s="12" t="s">
        <v>1143</v>
      </c>
      <c r="C561" s="12" t="s">
        <v>1144</v>
      </c>
      <c r="D561" s="16" t="n">
        <v>0.00284837962962963</v>
      </c>
      <c r="E561" s="15" t="n">
        <f aca="false">ROUND((D561-$D$5)*86400,2)</f>
        <v>21.07</v>
      </c>
      <c r="F561" s="17" t="n">
        <v>677</v>
      </c>
      <c r="G561" s="16" t="n">
        <f aca="false">IF(INDEX(選手一覧!$D$7:$D$2738,$F561)="","",INDEX(選手一覧!$D$7:$D$2738,$F561))</f>
        <v>0.0107594907407407</v>
      </c>
      <c r="H561" s="17" t="n">
        <f aca="false">IF(INDEX(選手一覧!$E$7:$E$2738,$F561)="","",INDEX(選手一覧!$E$7:$E$2738,$F561))</f>
        <v>678</v>
      </c>
      <c r="I561" s="16" t="str">
        <f aca="false">IF(INDEX(選手一覧!$H$7:$H$2738,$F561)="","",INDEX(選手一覧!$H$7:$H$2738,$F561))</f>
        <v/>
      </c>
      <c r="J561" s="17" t="str">
        <f aca="false">IF(INDEX(選手一覧!$I$7:$I$2738,$F561)="","",INDEX(選手一覧!$I$7:$I$2738,$F561))</f>
        <v/>
      </c>
    </row>
    <row r="562" customFormat="false" ht="15" hidden="false" customHeight="false" outlineLevel="0" collapsed="false">
      <c r="A562" s="17" t="n">
        <v>558</v>
      </c>
      <c r="B562" s="12" t="s">
        <v>1217</v>
      </c>
      <c r="C562" s="12" t="s">
        <v>1218</v>
      </c>
      <c r="D562" s="16" t="n">
        <v>0.00284861111111111</v>
      </c>
      <c r="E562" s="15" t="n">
        <f aca="false">ROUND((D562-$D$5)*86400,2)</f>
        <v>21.09</v>
      </c>
      <c r="F562" s="17" t="n">
        <v>724</v>
      </c>
      <c r="G562" s="16" t="n">
        <f aca="false">IF(INDEX(選手一覧!$D$7:$D$2738,$F562)="","",INDEX(選手一覧!$D$7:$D$2738,$F562))</f>
        <v>0.0107909722222222</v>
      </c>
      <c r="H562" s="17" t="n">
        <f aca="false">IF(INDEX(選手一覧!$E$7:$E$2738,$F562)="","",INDEX(選手一覧!$E$7:$E$2738,$F562))</f>
        <v>725</v>
      </c>
      <c r="I562" s="16" t="n">
        <f aca="false">IF(INDEX(選手一覧!$H$7:$H$2738,$F562)="","",INDEX(選手一覧!$H$7:$H$2738,$F562))</f>
        <v>0.00711053240740741</v>
      </c>
      <c r="J562" s="17" t="n">
        <f aca="false">IF(INDEX(選手一覧!$I$7:$I$2738,$F562)="","",INDEX(選手一覧!$I$7:$I$2738,$F562))</f>
        <v>456</v>
      </c>
    </row>
    <row r="563" customFormat="false" ht="15" hidden="false" customHeight="false" outlineLevel="0" collapsed="false">
      <c r="A563" s="17" t="n">
        <v>559</v>
      </c>
      <c r="B563" s="12" t="s">
        <v>563</v>
      </c>
      <c r="C563" s="12" t="s">
        <v>125</v>
      </c>
      <c r="D563" s="16" t="n">
        <v>0.00284861111111111</v>
      </c>
      <c r="E563" s="15" t="n">
        <f aca="false">ROUND((D563-$D$5)*86400,2)</f>
        <v>21.09</v>
      </c>
      <c r="F563" s="17" t="n">
        <v>300</v>
      </c>
      <c r="G563" s="16" t="n">
        <f aca="false">IF(INDEX(選手一覧!$D$7:$D$2738,$F563)="","",INDEX(選手一覧!$D$7:$D$2738,$F563))</f>
        <v>0.0104480324074074</v>
      </c>
      <c r="H563" s="17" t="n">
        <f aca="false">IF(INDEX(選手一覧!$E$7:$E$2738,$F563)="","",INDEX(選手一覧!$E$7:$E$2738,$F563))</f>
        <v>301</v>
      </c>
      <c r="I563" s="16" t="n">
        <f aca="false">IF(INDEX(選手一覧!$H$7:$H$2738,$F563)="","",INDEX(選手一覧!$H$7:$H$2738,$F563))</f>
        <v>0.00657083333333333</v>
      </c>
      <c r="J563" s="17" t="n">
        <f aca="false">IF(INDEX(選手一覧!$I$7:$I$2738,$F563)="","",INDEX(選手一覧!$I$7:$I$2738,$F563))</f>
        <v>59</v>
      </c>
    </row>
    <row r="564" customFormat="false" ht="15" hidden="false" customHeight="false" outlineLevel="0" collapsed="false">
      <c r="A564" s="17" t="n">
        <v>560</v>
      </c>
      <c r="B564" s="12" t="s">
        <v>706</v>
      </c>
      <c r="C564" s="12" t="s">
        <v>707</v>
      </c>
      <c r="D564" s="16" t="n">
        <v>0.00284861111111111</v>
      </c>
      <c r="E564" s="15" t="n">
        <f aca="false">ROUND((D564-$D$5)*86400,2)</f>
        <v>21.09</v>
      </c>
      <c r="F564" s="17" t="n">
        <v>391</v>
      </c>
      <c r="G564" s="16" t="n">
        <f aca="false">IF(INDEX(選手一覧!$D$7:$D$2738,$F564)="","",INDEX(選手一覧!$D$7:$D$2738,$F564))</f>
        <v>0.010544212962963</v>
      </c>
      <c r="H564" s="17" t="n">
        <f aca="false">IF(INDEX(選手一覧!$E$7:$E$2738,$F564)="","",INDEX(選手一覧!$E$7:$E$2738,$F564))</f>
        <v>392</v>
      </c>
      <c r="I564" s="16" t="str">
        <f aca="false">IF(INDEX(選手一覧!$H$7:$H$2738,$F564)="","",INDEX(選手一覧!$H$7:$H$2738,$F564))</f>
        <v/>
      </c>
      <c r="J564" s="17" t="str">
        <f aca="false">IF(INDEX(選手一覧!$I$7:$I$2738,$F564)="","",INDEX(選手一覧!$I$7:$I$2738,$F564))</f>
        <v/>
      </c>
    </row>
    <row r="565" customFormat="false" ht="15" hidden="false" customHeight="false" outlineLevel="0" collapsed="false">
      <c r="A565" s="17" t="n">
        <v>561</v>
      </c>
      <c r="B565" s="12" t="s">
        <v>1222</v>
      </c>
      <c r="C565" s="12" t="s">
        <v>1049</v>
      </c>
      <c r="D565" s="16" t="n">
        <v>0.00284884259259259</v>
      </c>
      <c r="E565" s="15" t="n">
        <f aca="false">ROUND((D565-$D$5)*86400,2)</f>
        <v>21.11</v>
      </c>
      <c r="F565" s="17" t="n">
        <v>727</v>
      </c>
      <c r="G565" s="16" t="n">
        <f aca="false">IF(INDEX(選手一覧!$D$7:$D$2738,$F565)="","",INDEX(選手一覧!$D$7:$D$2738,$F565))</f>
        <v>0.0107917824074074</v>
      </c>
      <c r="H565" s="17" t="n">
        <f aca="false">IF(INDEX(選手一覧!$E$7:$E$2738,$F565)="","",INDEX(選手一覧!$E$7:$E$2738,$F565))</f>
        <v>728</v>
      </c>
      <c r="I565" s="16" t="str">
        <f aca="false">IF(INDEX(選手一覧!$H$7:$H$2738,$F565)="","",INDEX(選手一覧!$H$7:$H$2738,$F565))</f>
        <v/>
      </c>
      <c r="J565" s="17" t="str">
        <f aca="false">IF(INDEX(選手一覧!$I$7:$I$2738,$F565)="","",INDEX(選手一覧!$I$7:$I$2738,$F565))</f>
        <v/>
      </c>
    </row>
    <row r="566" customFormat="false" ht="15" hidden="false" customHeight="false" outlineLevel="0" collapsed="false">
      <c r="A566" s="17" t="n">
        <v>562</v>
      </c>
      <c r="B566" s="12" t="s">
        <v>2593</v>
      </c>
      <c r="C566" s="12" t="s">
        <v>2594</v>
      </c>
      <c r="D566" s="16" t="n">
        <v>0.00284884259259259</v>
      </c>
      <c r="E566" s="15" t="n">
        <f aca="false">ROUND((D566-$D$5)*86400,2)</f>
        <v>21.11</v>
      </c>
      <c r="F566" s="17" t="n">
        <v>1656</v>
      </c>
      <c r="G566" s="16" t="str">
        <f aca="false">IF(INDEX(選手一覧!$D$7:$D$2738,$F566)="","",INDEX(選手一覧!$D$7:$D$2738,$F566))</f>
        <v/>
      </c>
      <c r="H566" s="17" t="str">
        <f aca="false">IF(INDEX(選手一覧!$E$7:$E$2738,$F566)="","",INDEX(選手一覧!$E$7:$E$2738,$F566))</f>
        <v/>
      </c>
      <c r="I566" s="16" t="str">
        <f aca="false">IF(INDEX(選手一覧!$H$7:$H$2738,$F566)="","",INDEX(選手一覧!$H$7:$H$2738,$F566))</f>
        <v/>
      </c>
      <c r="J566" s="17" t="str">
        <f aca="false">IF(INDEX(選手一覧!$I$7:$I$2738,$F566)="","",INDEX(選手一覧!$I$7:$I$2738,$F566))</f>
        <v/>
      </c>
    </row>
    <row r="567" customFormat="false" ht="15" hidden="false" customHeight="false" outlineLevel="0" collapsed="false">
      <c r="A567" s="17" t="n">
        <v>563</v>
      </c>
      <c r="B567" s="12" t="s">
        <v>2597</v>
      </c>
      <c r="C567" s="12" t="s">
        <v>2598</v>
      </c>
      <c r="D567" s="16" t="n">
        <v>0.00284884259259259</v>
      </c>
      <c r="E567" s="15" t="n">
        <f aca="false">ROUND((D567-$D$5)*86400,2)</f>
        <v>21.11</v>
      </c>
      <c r="F567" s="17" t="n">
        <v>1658</v>
      </c>
      <c r="G567" s="16" t="str">
        <f aca="false">IF(INDEX(選手一覧!$D$7:$D$2738,$F567)="","",INDEX(選手一覧!$D$7:$D$2738,$F567))</f>
        <v/>
      </c>
      <c r="H567" s="17" t="str">
        <f aca="false">IF(INDEX(選手一覧!$E$7:$E$2738,$F567)="","",INDEX(選手一覧!$E$7:$E$2738,$F567))</f>
        <v/>
      </c>
      <c r="I567" s="16" t="str">
        <f aca="false">IF(INDEX(選手一覧!$H$7:$H$2738,$F567)="","",INDEX(選手一覧!$H$7:$H$2738,$F567))</f>
        <v/>
      </c>
      <c r="J567" s="17" t="str">
        <f aca="false">IF(INDEX(選手一覧!$I$7:$I$2738,$F567)="","",INDEX(選手一覧!$I$7:$I$2738,$F567))</f>
        <v/>
      </c>
    </row>
    <row r="568" customFormat="false" ht="15" hidden="false" customHeight="false" outlineLevel="0" collapsed="false">
      <c r="A568" s="17" t="n">
        <v>564</v>
      </c>
      <c r="B568" s="12" t="s">
        <v>1966</v>
      </c>
      <c r="C568" s="12" t="s">
        <v>648</v>
      </c>
      <c r="D568" s="16" t="n">
        <v>0.00284895833333333</v>
      </c>
      <c r="E568" s="15" t="n">
        <f aca="false">ROUND((D568-$D$5)*86400,2)</f>
        <v>21.12</v>
      </c>
      <c r="F568" s="17" t="n">
        <v>1231</v>
      </c>
      <c r="G568" s="16" t="n">
        <f aca="false">IF(INDEX(選手一覧!$D$7:$D$2738,$F568)="","",INDEX(選手一覧!$D$7:$D$2738,$F568))</f>
        <v>0.0110673611111111</v>
      </c>
      <c r="H568" s="17" t="n">
        <f aca="false">IF(INDEX(選手一覧!$E$7:$E$2738,$F568)="","",INDEX(選手一覧!$E$7:$E$2738,$F568))</f>
        <v>1232</v>
      </c>
      <c r="I568" s="16" t="str">
        <f aca="false">IF(INDEX(選手一覧!$H$7:$H$2738,$F568)="","",INDEX(選手一覧!$H$7:$H$2738,$F568))</f>
        <v/>
      </c>
      <c r="J568" s="17" t="str">
        <f aca="false">IF(INDEX(選手一覧!$I$7:$I$2738,$F568)="","",INDEX(選手一覧!$I$7:$I$2738,$F568))</f>
        <v/>
      </c>
    </row>
    <row r="569" customFormat="false" ht="15" hidden="false" customHeight="false" outlineLevel="0" collapsed="false">
      <c r="A569" s="17" t="n">
        <v>565</v>
      </c>
      <c r="B569" s="12" t="s">
        <v>2601</v>
      </c>
      <c r="C569" s="12" t="s">
        <v>1931</v>
      </c>
      <c r="D569" s="16" t="n">
        <v>0.00284895833333333</v>
      </c>
      <c r="E569" s="15" t="n">
        <f aca="false">ROUND((D569-$D$5)*86400,2)</f>
        <v>21.12</v>
      </c>
      <c r="F569" s="17" t="n">
        <v>1660</v>
      </c>
      <c r="G569" s="16" t="str">
        <f aca="false">IF(INDEX(選手一覧!$D$7:$D$2738,$F569)="","",INDEX(選手一覧!$D$7:$D$2738,$F569))</f>
        <v/>
      </c>
      <c r="H569" s="17" t="str">
        <f aca="false">IF(INDEX(選手一覧!$E$7:$E$2738,$F569)="","",INDEX(選手一覧!$E$7:$E$2738,$F569))</f>
        <v/>
      </c>
      <c r="I569" s="16" t="str">
        <f aca="false">IF(INDEX(選手一覧!$H$7:$H$2738,$F569)="","",INDEX(選手一覧!$H$7:$H$2738,$F569))</f>
        <v/>
      </c>
      <c r="J569" s="17" t="str">
        <f aca="false">IF(INDEX(選手一覧!$I$7:$I$2738,$F569)="","",INDEX(選手一覧!$I$7:$I$2738,$F569))</f>
        <v/>
      </c>
    </row>
    <row r="570" customFormat="false" ht="15" hidden="false" customHeight="false" outlineLevel="0" collapsed="false">
      <c r="A570" s="17" t="n">
        <v>566</v>
      </c>
      <c r="B570" s="12" t="s">
        <v>2603</v>
      </c>
      <c r="C570" s="12" t="s">
        <v>2442</v>
      </c>
      <c r="D570" s="16" t="n">
        <v>0.00284907407407407</v>
      </c>
      <c r="E570" s="15" t="n">
        <f aca="false">ROUND((D570-$D$5)*86400,2)</f>
        <v>21.13</v>
      </c>
      <c r="F570" s="17" t="n">
        <v>1662</v>
      </c>
      <c r="G570" s="16" t="str">
        <f aca="false">IF(INDEX(選手一覧!$D$7:$D$2738,$F570)="","",INDEX(選手一覧!$D$7:$D$2738,$F570))</f>
        <v/>
      </c>
      <c r="H570" s="17" t="str">
        <f aca="false">IF(INDEX(選手一覧!$E$7:$E$2738,$F570)="","",INDEX(選手一覧!$E$7:$E$2738,$F570))</f>
        <v/>
      </c>
      <c r="I570" s="16" t="str">
        <f aca="false">IF(INDEX(選手一覧!$H$7:$H$2738,$F570)="","",INDEX(選手一覧!$H$7:$H$2738,$F570))</f>
        <v/>
      </c>
      <c r="J570" s="17" t="str">
        <f aca="false">IF(INDEX(選手一覧!$I$7:$I$2738,$F570)="","",INDEX(選手一覧!$I$7:$I$2738,$F570))</f>
        <v/>
      </c>
    </row>
    <row r="571" customFormat="false" ht="15" hidden="false" customHeight="false" outlineLevel="0" collapsed="false">
      <c r="A571" s="17" t="n">
        <v>567</v>
      </c>
      <c r="B571" s="12" t="s">
        <v>1507</v>
      </c>
      <c r="C571" s="12" t="s">
        <v>103</v>
      </c>
      <c r="D571" s="16" t="n">
        <v>0.00284930555555556</v>
      </c>
      <c r="E571" s="15" t="n">
        <f aca="false">ROUND((D571-$D$5)*86400,2)</f>
        <v>21.15</v>
      </c>
      <c r="F571" s="17" t="n">
        <v>917</v>
      </c>
      <c r="G571" s="16" t="n">
        <f aca="false">IF(INDEX(選手一覧!$D$7:$D$2738,$F571)="","",INDEX(選手一覧!$D$7:$D$2738,$F571))</f>
        <v>0.0108980324074074</v>
      </c>
      <c r="H571" s="17" t="n">
        <f aca="false">IF(INDEX(選手一覧!$E$7:$E$2738,$F571)="","",INDEX(選手一覧!$E$7:$E$2738,$F571))</f>
        <v>918</v>
      </c>
      <c r="I571" s="16" t="str">
        <f aca="false">IF(INDEX(選手一覧!$H$7:$H$2738,$F571)="","",INDEX(選手一覧!$H$7:$H$2738,$F571))</f>
        <v/>
      </c>
      <c r="J571" s="17" t="str">
        <f aca="false">IF(INDEX(選手一覧!$I$7:$I$2738,$F571)="","",INDEX(選手一覧!$I$7:$I$2738,$F571))</f>
        <v/>
      </c>
    </row>
    <row r="572" customFormat="false" ht="15" hidden="false" customHeight="false" outlineLevel="0" collapsed="false">
      <c r="A572" s="17" t="n">
        <v>568</v>
      </c>
      <c r="B572" s="12" t="s">
        <v>1982</v>
      </c>
      <c r="C572" s="12" t="s">
        <v>1983</v>
      </c>
      <c r="D572" s="16" t="n">
        <v>0.0028494212962963</v>
      </c>
      <c r="E572" s="15" t="n">
        <f aca="false">ROUND((D572-$D$5)*86400,2)</f>
        <v>21.16</v>
      </c>
      <c r="F572" s="17" t="n">
        <v>1244</v>
      </c>
      <c r="G572" s="16" t="n">
        <f aca="false">IF(INDEX(選手一覧!$D$7:$D$2738,$F572)="","",INDEX(選手一覧!$D$7:$D$2738,$F572))</f>
        <v>0.0110770833333333</v>
      </c>
      <c r="H572" s="17" t="n">
        <f aca="false">IF(INDEX(選手一覧!$E$7:$E$2738,$F572)="","",INDEX(選手一覧!$E$7:$E$2738,$F572))</f>
        <v>1245</v>
      </c>
      <c r="I572" s="16" t="n">
        <f aca="false">IF(INDEX(選手一覧!$H$7:$H$2738,$F572)="","",INDEX(選手一覧!$H$7:$H$2738,$F572))</f>
        <v>0.00696886574074074</v>
      </c>
      <c r="J572" s="17" t="n">
        <f aca="false">IF(INDEX(選手一覧!$I$7:$I$2738,$F572)="","",INDEX(選手一覧!$I$7:$I$2738,$F572))</f>
        <v>303</v>
      </c>
    </row>
    <row r="573" customFormat="false" ht="15" hidden="false" customHeight="false" outlineLevel="0" collapsed="false">
      <c r="A573" s="17" t="n">
        <v>569</v>
      </c>
      <c r="B573" s="12" t="s">
        <v>322</v>
      </c>
      <c r="C573" s="12" t="s">
        <v>323</v>
      </c>
      <c r="D573" s="16" t="n">
        <v>0.00284988425925926</v>
      </c>
      <c r="E573" s="15" t="n">
        <f aca="false">ROUND((D573-$D$5)*86400,2)</f>
        <v>21.2</v>
      </c>
      <c r="F573" s="17" t="n">
        <v>154</v>
      </c>
      <c r="G573" s="16" t="n">
        <f aca="false">IF(INDEX(選手一覧!$D$7:$D$2738,$F573)="","",INDEX(選手一覧!$D$7:$D$2738,$F573))</f>
        <v>0.0102916666666667</v>
      </c>
      <c r="H573" s="17" t="n">
        <f aca="false">IF(INDEX(選手一覧!$E$7:$E$2738,$F573)="","",INDEX(選手一覧!$E$7:$E$2738,$F573))</f>
        <v>155</v>
      </c>
      <c r="I573" s="16" t="n">
        <f aca="false">IF(INDEX(選手一覧!$H$7:$H$2738,$F573)="","",INDEX(選手一覧!$H$7:$H$2738,$F573))</f>
        <v>0.00632650462962963</v>
      </c>
      <c r="J573" s="17" t="n">
        <f aca="false">IF(INDEX(選手一覧!$I$7:$I$2738,$F573)="","",INDEX(選手一覧!$I$7:$I$2738,$F573))</f>
        <v>5</v>
      </c>
    </row>
    <row r="574" customFormat="false" ht="15" hidden="false" customHeight="false" outlineLevel="0" collapsed="false">
      <c r="A574" s="17" t="n">
        <v>570</v>
      </c>
      <c r="B574" s="12" t="s">
        <v>741</v>
      </c>
      <c r="C574" s="12" t="s">
        <v>742</v>
      </c>
      <c r="D574" s="16" t="n">
        <v>0.00284988425925926</v>
      </c>
      <c r="E574" s="15" t="n">
        <f aca="false">ROUND((D574-$D$5)*86400,2)</f>
        <v>21.2</v>
      </c>
      <c r="F574" s="17" t="n">
        <v>411</v>
      </c>
      <c r="G574" s="16" t="n">
        <f aca="false">IF(INDEX(選手一覧!$D$7:$D$2738,$F574)="","",INDEX(選手一覧!$D$7:$D$2738,$F574))</f>
        <v>0.0105601851851852</v>
      </c>
      <c r="H574" s="17" t="n">
        <f aca="false">IF(INDEX(選手一覧!$E$7:$E$2738,$F574)="","",INDEX(選手一覧!$E$7:$E$2738,$F574))</f>
        <v>412</v>
      </c>
      <c r="I574" s="16" t="str">
        <f aca="false">IF(INDEX(選手一覧!$H$7:$H$2738,$F574)="","",INDEX(選手一覧!$H$7:$H$2738,$F574))</f>
        <v/>
      </c>
      <c r="J574" s="17" t="str">
        <f aca="false">IF(INDEX(選手一覧!$I$7:$I$2738,$F574)="","",INDEX(選手一覧!$I$7:$I$2738,$F574))</f>
        <v/>
      </c>
    </row>
    <row r="575" customFormat="false" ht="15" hidden="false" customHeight="false" outlineLevel="0" collapsed="false">
      <c r="A575" s="17" t="n">
        <v>571</v>
      </c>
      <c r="B575" s="12" t="s">
        <v>456</v>
      </c>
      <c r="C575" s="12" t="s">
        <v>457</v>
      </c>
      <c r="D575" s="16" t="n">
        <v>0.00285034722222222</v>
      </c>
      <c r="E575" s="15" t="n">
        <f aca="false">ROUND((D575-$D$5)*86400,2)</f>
        <v>21.24</v>
      </c>
      <c r="F575" s="17" t="n">
        <v>233</v>
      </c>
      <c r="G575" s="16" t="n">
        <f aca="false">IF(INDEX(選手一覧!$D$7:$D$2738,$F575)="","",INDEX(選手一覧!$D$7:$D$2738,$F575))</f>
        <v>0.0103759259259259</v>
      </c>
      <c r="H575" s="17" t="n">
        <f aca="false">IF(INDEX(選手一覧!$E$7:$E$2738,$F575)="","",INDEX(選手一覧!$E$7:$E$2738,$F575))</f>
        <v>234</v>
      </c>
      <c r="I575" s="16" t="str">
        <f aca="false">IF(INDEX(選手一覧!$H$7:$H$2738,$F575)="","",INDEX(選手一覧!$H$7:$H$2738,$F575))</f>
        <v/>
      </c>
      <c r="J575" s="17" t="str">
        <f aca="false">IF(INDEX(選手一覧!$I$7:$I$2738,$F575)="","",INDEX(選手一覧!$I$7:$I$2738,$F575))</f>
        <v/>
      </c>
    </row>
    <row r="576" customFormat="false" ht="15" hidden="false" customHeight="false" outlineLevel="0" collapsed="false">
      <c r="A576" s="17" t="n">
        <v>572</v>
      </c>
      <c r="B576" s="12" t="s">
        <v>1914</v>
      </c>
      <c r="C576" s="12" t="s">
        <v>1697</v>
      </c>
      <c r="D576" s="16" t="n">
        <v>0.0028505787037037</v>
      </c>
      <c r="E576" s="15" t="n">
        <f aca="false">ROUND((D576-$D$5)*86400,2)</f>
        <v>21.26</v>
      </c>
      <c r="F576" s="17" t="n">
        <v>1193</v>
      </c>
      <c r="G576" s="16" t="n">
        <f aca="false">IF(INDEX(選手一覧!$D$7:$D$2738,$F576)="","",INDEX(選手一覧!$D$7:$D$2738,$F576))</f>
        <v>0.011046875</v>
      </c>
      <c r="H576" s="17" t="n">
        <f aca="false">IF(INDEX(選手一覧!$E$7:$E$2738,$F576)="","",INDEX(選手一覧!$E$7:$E$2738,$F576))</f>
        <v>1194</v>
      </c>
      <c r="I576" s="16" t="str">
        <f aca="false">IF(INDEX(選手一覧!$H$7:$H$2738,$F576)="","",INDEX(選手一覧!$H$7:$H$2738,$F576))</f>
        <v/>
      </c>
      <c r="J576" s="17" t="str">
        <f aca="false">IF(INDEX(選手一覧!$I$7:$I$2738,$F576)="","",INDEX(選手一覧!$I$7:$I$2738,$F576))</f>
        <v/>
      </c>
    </row>
    <row r="577" customFormat="false" ht="15" hidden="false" customHeight="false" outlineLevel="0" collapsed="false">
      <c r="A577" s="17" t="n">
        <v>573</v>
      </c>
      <c r="B577" s="12" t="s">
        <v>2614</v>
      </c>
      <c r="C577" s="12" t="s">
        <v>290</v>
      </c>
      <c r="D577" s="16" t="n">
        <v>0.00285069444444445</v>
      </c>
      <c r="E577" s="15" t="n">
        <f aca="false">ROUND((D577-$D$5)*86400,2)</f>
        <v>21.27</v>
      </c>
      <c r="F577" s="17" t="n">
        <v>1670</v>
      </c>
      <c r="G577" s="16" t="str">
        <f aca="false">IF(INDEX(選手一覧!$D$7:$D$2738,$F577)="","",INDEX(選手一覧!$D$7:$D$2738,$F577))</f>
        <v/>
      </c>
      <c r="H577" s="17" t="str">
        <f aca="false">IF(INDEX(選手一覧!$E$7:$E$2738,$F577)="","",INDEX(選手一覧!$E$7:$E$2738,$F577))</f>
        <v/>
      </c>
      <c r="I577" s="16" t="str">
        <f aca="false">IF(INDEX(選手一覧!$H$7:$H$2738,$F577)="","",INDEX(選手一覧!$H$7:$H$2738,$F577))</f>
        <v/>
      </c>
      <c r="J577" s="17" t="str">
        <f aca="false">IF(INDEX(選手一覧!$I$7:$I$2738,$F577)="","",INDEX(選手一覧!$I$7:$I$2738,$F577))</f>
        <v/>
      </c>
    </row>
    <row r="578" customFormat="false" ht="15" hidden="false" customHeight="false" outlineLevel="0" collapsed="false">
      <c r="A578" s="17" t="n">
        <v>574</v>
      </c>
      <c r="B578" s="12" t="s">
        <v>995</v>
      </c>
      <c r="C578" s="12" t="s">
        <v>996</v>
      </c>
      <c r="D578" s="16" t="n">
        <v>0.00285069444444445</v>
      </c>
      <c r="E578" s="15" t="n">
        <f aca="false">ROUND((D578-$D$5)*86400,2)</f>
        <v>21.27</v>
      </c>
      <c r="F578" s="17" t="n">
        <v>573</v>
      </c>
      <c r="G578" s="16" t="n">
        <f aca="false">IF(INDEX(選手一覧!$D$7:$D$2738,$F578)="","",INDEX(選手一覧!$D$7:$D$2738,$F578))</f>
        <v>0.0106959490740741</v>
      </c>
      <c r="H578" s="17" t="n">
        <f aca="false">IF(INDEX(選手一覧!$E$7:$E$2738,$F578)="","",INDEX(選手一覧!$E$7:$E$2738,$F578))</f>
        <v>574</v>
      </c>
      <c r="I578" s="16" t="n">
        <f aca="false">IF(INDEX(選手一覧!$H$7:$H$2738,$F578)="","",INDEX(選手一覧!$H$7:$H$2738,$F578))</f>
        <v>0.00675868055555556</v>
      </c>
      <c r="J578" s="17" t="n">
        <f aca="false">IF(INDEX(選手一覧!$I$7:$I$2738,$F578)="","",INDEX(選手一覧!$I$7:$I$2738,$F578))</f>
        <v>134</v>
      </c>
    </row>
    <row r="579" customFormat="false" ht="15" hidden="false" customHeight="false" outlineLevel="0" collapsed="false">
      <c r="A579" s="17" t="n">
        <v>575</v>
      </c>
      <c r="B579" s="12" t="s">
        <v>2615</v>
      </c>
      <c r="C579" s="12" t="s">
        <v>2616</v>
      </c>
      <c r="D579" s="16" t="n">
        <v>0.00285092592592593</v>
      </c>
      <c r="E579" s="15" t="n">
        <f aca="false">ROUND((D579-$D$5)*86400,2)</f>
        <v>21.29</v>
      </c>
      <c r="F579" s="17" t="n">
        <v>1671</v>
      </c>
      <c r="G579" s="16" t="str">
        <f aca="false">IF(INDEX(選手一覧!$D$7:$D$2738,$F579)="","",INDEX(選手一覧!$D$7:$D$2738,$F579))</f>
        <v/>
      </c>
      <c r="H579" s="17" t="str">
        <f aca="false">IF(INDEX(選手一覧!$E$7:$E$2738,$F579)="","",INDEX(選手一覧!$E$7:$E$2738,$F579))</f>
        <v/>
      </c>
      <c r="I579" s="16" t="str">
        <f aca="false">IF(INDEX(選手一覧!$H$7:$H$2738,$F579)="","",INDEX(選手一覧!$H$7:$H$2738,$F579))</f>
        <v/>
      </c>
      <c r="J579" s="17" t="str">
        <f aca="false">IF(INDEX(選手一覧!$I$7:$I$2738,$F579)="","",INDEX(選手一覧!$I$7:$I$2738,$F579))</f>
        <v/>
      </c>
    </row>
    <row r="580" customFormat="false" ht="15" hidden="false" customHeight="false" outlineLevel="0" collapsed="false">
      <c r="A580" s="17" t="n">
        <v>576</v>
      </c>
      <c r="B580" s="12" t="s">
        <v>1025</v>
      </c>
      <c r="C580" s="12" t="s">
        <v>623</v>
      </c>
      <c r="D580" s="16" t="n">
        <v>0.00285115740740741</v>
      </c>
      <c r="E580" s="15" t="n">
        <f aca="false">ROUND((D580-$D$5)*86400,2)</f>
        <v>21.31</v>
      </c>
      <c r="F580" s="17" t="n">
        <v>594</v>
      </c>
      <c r="G580" s="16" t="n">
        <f aca="false">IF(INDEX(選手一覧!$D$7:$D$2738,$F580)="","",INDEX(選手一覧!$D$7:$D$2738,$F580))</f>
        <v>0.0107081018518519</v>
      </c>
      <c r="H580" s="17" t="n">
        <f aca="false">IF(INDEX(選手一覧!$E$7:$E$2738,$F580)="","",INDEX(選手一覧!$E$7:$E$2738,$F580))</f>
        <v>595</v>
      </c>
      <c r="I580" s="16" t="str">
        <f aca="false">IF(INDEX(選手一覧!$H$7:$H$2738,$F580)="","",INDEX(選手一覧!$H$7:$H$2738,$F580))</f>
        <v/>
      </c>
      <c r="J580" s="17" t="str">
        <f aca="false">IF(INDEX(選手一覧!$I$7:$I$2738,$F580)="","",INDEX(選手一覧!$I$7:$I$2738,$F580))</f>
        <v/>
      </c>
    </row>
    <row r="581" customFormat="false" ht="15" hidden="false" customHeight="false" outlineLevel="0" collapsed="false">
      <c r="A581" s="17" t="n">
        <v>577</v>
      </c>
      <c r="B581" s="12" t="s">
        <v>2618</v>
      </c>
      <c r="C581" s="12" t="s">
        <v>2619</v>
      </c>
      <c r="D581" s="16" t="n">
        <v>0.00285127314814815</v>
      </c>
      <c r="E581" s="15" t="n">
        <f aca="false">ROUND((D581-$D$5)*86400,2)</f>
        <v>21.32</v>
      </c>
      <c r="F581" s="17" t="n">
        <v>1673</v>
      </c>
      <c r="G581" s="16" t="str">
        <f aca="false">IF(INDEX(選手一覧!$D$7:$D$2738,$F581)="","",INDEX(選手一覧!$D$7:$D$2738,$F581))</f>
        <v/>
      </c>
      <c r="H581" s="17" t="str">
        <f aca="false">IF(INDEX(選手一覧!$E$7:$E$2738,$F581)="","",INDEX(選手一覧!$E$7:$E$2738,$F581))</f>
        <v/>
      </c>
      <c r="I581" s="16" t="str">
        <f aca="false">IF(INDEX(選手一覧!$H$7:$H$2738,$F581)="","",INDEX(選手一覧!$H$7:$H$2738,$F581))</f>
        <v/>
      </c>
      <c r="J581" s="17" t="str">
        <f aca="false">IF(INDEX(選手一覧!$I$7:$I$2738,$F581)="","",INDEX(選手一覧!$I$7:$I$2738,$F581))</f>
        <v/>
      </c>
    </row>
    <row r="582" customFormat="false" ht="15" hidden="false" customHeight="false" outlineLevel="0" collapsed="false">
      <c r="A582" s="17" t="n">
        <v>578</v>
      </c>
      <c r="B582" s="12" t="s">
        <v>1643</v>
      </c>
      <c r="C582" s="12" t="s">
        <v>591</v>
      </c>
      <c r="D582" s="16" t="n">
        <v>0.00285138888888889</v>
      </c>
      <c r="E582" s="15" t="n">
        <f aca="false">ROUND((D582-$D$5)*86400,2)</f>
        <v>21.33</v>
      </c>
      <c r="F582" s="17" t="n">
        <v>1011</v>
      </c>
      <c r="G582" s="16" t="n">
        <f aca="false">IF(INDEX(選手一覧!$D$7:$D$2738,$F582)="","",INDEX(選手一覧!$D$7:$D$2738,$F582))</f>
        <v>0.0109541666666667</v>
      </c>
      <c r="H582" s="17" t="n">
        <f aca="false">IF(INDEX(選手一覧!$E$7:$E$2738,$F582)="","",INDEX(選手一覧!$E$7:$E$2738,$F582))</f>
        <v>1012</v>
      </c>
      <c r="I582" s="16" t="n">
        <f aca="false">IF(INDEX(選手一覧!$H$7:$H$2738,$F582)="","",INDEX(選手一覧!$H$7:$H$2738,$F582))</f>
        <v>0.0069162037037037</v>
      </c>
      <c r="J582" s="17" t="n">
        <f aca="false">IF(INDEX(選手一覧!$I$7:$I$2738,$F582)="","",INDEX(選手一覧!$I$7:$I$2738,$F582))</f>
        <v>252</v>
      </c>
    </row>
    <row r="583" customFormat="false" ht="15" hidden="false" customHeight="false" outlineLevel="0" collapsed="false">
      <c r="A583" s="17" t="n">
        <v>579</v>
      </c>
      <c r="B583" s="12" t="s">
        <v>772</v>
      </c>
      <c r="C583" s="12" t="s">
        <v>351</v>
      </c>
      <c r="D583" s="16" t="n">
        <v>0.00285173611111111</v>
      </c>
      <c r="E583" s="15" t="n">
        <f aca="false">ROUND((D583-$D$5)*86400,2)</f>
        <v>21.36</v>
      </c>
      <c r="F583" s="17" t="n">
        <v>431</v>
      </c>
      <c r="G583" s="16" t="n">
        <f aca="false">IF(INDEX(選手一覧!$D$7:$D$2738,$F583)="","",INDEX(選手一覧!$D$7:$D$2738,$F583))</f>
        <v>0.0105770833333333</v>
      </c>
      <c r="H583" s="17" t="n">
        <f aca="false">IF(INDEX(選手一覧!$E$7:$E$2738,$F583)="","",INDEX(選手一覧!$E$7:$E$2738,$F583))</f>
        <v>432</v>
      </c>
      <c r="I583" s="16" t="str">
        <f aca="false">IF(INDEX(選手一覧!$H$7:$H$2738,$F583)="","",INDEX(選手一覧!$H$7:$H$2738,$F583))</f>
        <v/>
      </c>
      <c r="J583" s="17" t="str">
        <f aca="false">IF(INDEX(選手一覧!$I$7:$I$2738,$F583)="","",INDEX(選手一覧!$I$7:$I$2738,$F583))</f>
        <v/>
      </c>
    </row>
    <row r="584" customFormat="false" ht="15" hidden="false" customHeight="false" outlineLevel="0" collapsed="false">
      <c r="A584" s="17" t="n">
        <v>580</v>
      </c>
      <c r="B584" s="12" t="s">
        <v>2625</v>
      </c>
      <c r="C584" s="12" t="s">
        <v>1315</v>
      </c>
      <c r="D584" s="16" t="n">
        <v>0.00285185185185185</v>
      </c>
      <c r="E584" s="15" t="n">
        <f aca="false">ROUND((D584-$D$5)*86400,2)</f>
        <v>21.37</v>
      </c>
      <c r="F584" s="17" t="n">
        <v>1677</v>
      </c>
      <c r="G584" s="16" t="str">
        <f aca="false">IF(INDEX(選手一覧!$D$7:$D$2738,$F584)="","",INDEX(選手一覧!$D$7:$D$2738,$F584))</f>
        <v/>
      </c>
      <c r="H584" s="17" t="str">
        <f aca="false">IF(INDEX(選手一覧!$E$7:$E$2738,$F584)="","",INDEX(選手一覧!$E$7:$E$2738,$F584))</f>
        <v/>
      </c>
      <c r="I584" s="16" t="str">
        <f aca="false">IF(INDEX(選手一覧!$H$7:$H$2738,$F584)="","",INDEX(選手一覧!$H$7:$H$2738,$F584))</f>
        <v/>
      </c>
      <c r="J584" s="17" t="str">
        <f aca="false">IF(INDEX(選手一覧!$I$7:$I$2738,$F584)="","",INDEX(選手一覧!$I$7:$I$2738,$F584))</f>
        <v/>
      </c>
    </row>
    <row r="585" customFormat="false" ht="15" hidden="false" customHeight="false" outlineLevel="0" collapsed="false">
      <c r="A585" s="17" t="n">
        <v>581</v>
      </c>
      <c r="B585" s="12" t="s">
        <v>232</v>
      </c>
      <c r="C585" s="12" t="s">
        <v>155</v>
      </c>
      <c r="D585" s="16" t="n">
        <v>0.00285231481481482</v>
      </c>
      <c r="E585" s="15" t="n">
        <f aca="false">ROUND((D585-$D$5)*86400,2)</f>
        <v>21.41</v>
      </c>
      <c r="F585" s="17" t="n">
        <v>109</v>
      </c>
      <c r="G585" s="16" t="n">
        <f aca="false">IF(INDEX(選手一覧!$D$7:$D$2738,$F585)="","",INDEX(選手一覧!$D$7:$D$2738,$F585))</f>
        <v>0.0102280092592593</v>
      </c>
      <c r="H585" s="17" t="n">
        <f aca="false">IF(INDEX(選手一覧!$E$7:$E$2738,$F585)="","",INDEX(選手一覧!$E$7:$E$2738,$F585))</f>
        <v>110</v>
      </c>
      <c r="I585" s="16" t="str">
        <f aca="false">IF(INDEX(選手一覧!$H$7:$H$2738,$F585)="","",INDEX(選手一覧!$H$7:$H$2738,$F585))</f>
        <v/>
      </c>
      <c r="J585" s="17" t="str">
        <f aca="false">IF(INDEX(選手一覧!$I$7:$I$2738,$F585)="","",INDEX(選手一覧!$I$7:$I$2738,$F585))</f>
        <v/>
      </c>
    </row>
    <row r="586" customFormat="false" ht="15" hidden="false" customHeight="false" outlineLevel="0" collapsed="false">
      <c r="A586" s="17" t="n">
        <v>582</v>
      </c>
      <c r="B586" s="12" t="s">
        <v>781</v>
      </c>
      <c r="C586" s="12" t="s">
        <v>515</v>
      </c>
      <c r="D586" s="16" t="n">
        <v>0.00285243055555556</v>
      </c>
      <c r="E586" s="15" t="n">
        <f aca="false">ROUND((D586-$D$5)*86400,2)</f>
        <v>21.42</v>
      </c>
      <c r="F586" s="17" t="n">
        <v>436</v>
      </c>
      <c r="G586" s="16" t="n">
        <f aca="false">IF(INDEX(選手一覧!$D$7:$D$2738,$F586)="","",INDEX(選手一覧!$D$7:$D$2738,$F586))</f>
        <v>0.0105821759259259</v>
      </c>
      <c r="H586" s="17" t="n">
        <f aca="false">IF(INDEX(選手一覧!$E$7:$E$2738,$F586)="","",INDEX(選手一覧!$E$7:$E$2738,$F586))</f>
        <v>437</v>
      </c>
      <c r="I586" s="16" t="n">
        <f aca="false">IF(INDEX(選手一覧!$H$7:$H$2738,$F586)="","",INDEX(選手一覧!$H$7:$H$2738,$F586))</f>
        <v>0.00698576388888889</v>
      </c>
      <c r="J586" s="17" t="n">
        <f aca="false">IF(INDEX(選手一覧!$I$7:$I$2738,$F586)="","",INDEX(選手一覧!$I$7:$I$2738,$F586))</f>
        <v>320</v>
      </c>
    </row>
    <row r="587" customFormat="false" ht="15" hidden="false" customHeight="false" outlineLevel="0" collapsed="false">
      <c r="A587" s="17" t="n">
        <v>583</v>
      </c>
      <c r="B587" s="12" t="s">
        <v>954</v>
      </c>
      <c r="C587" s="12" t="s">
        <v>537</v>
      </c>
      <c r="D587" s="16" t="n">
        <v>0.0028525462962963</v>
      </c>
      <c r="E587" s="15" t="n">
        <f aca="false">ROUND((D587-$D$5)*86400,2)</f>
        <v>21.43</v>
      </c>
      <c r="F587" s="17" t="n">
        <v>544</v>
      </c>
      <c r="G587" s="16" t="n">
        <f aca="false">IF(INDEX(選手一覧!$D$7:$D$2738,$F587)="","",INDEX(選手一覧!$D$7:$D$2738,$F587))</f>
        <v>0.0106689814814815</v>
      </c>
      <c r="H587" s="17" t="n">
        <f aca="false">IF(INDEX(選手一覧!$E$7:$E$2738,$F587)="","",INDEX(選手一覧!$E$7:$E$2738,$F587))</f>
        <v>545</v>
      </c>
      <c r="I587" s="16" t="n">
        <f aca="false">IF(INDEX(選手一覧!$H$7:$H$2738,$F587)="","",INDEX(選手一覧!$H$7:$H$2738,$F587))</f>
        <v>0.0068630787037037</v>
      </c>
      <c r="J587" s="17" t="n">
        <f aca="false">IF(INDEX(選手一覧!$I$7:$I$2738,$F587)="","",INDEX(選手一覧!$I$7:$I$2738,$F587))</f>
        <v>214</v>
      </c>
    </row>
    <row r="588" customFormat="false" ht="15" hidden="false" customHeight="false" outlineLevel="0" collapsed="false">
      <c r="A588" s="17" t="n">
        <v>584</v>
      </c>
      <c r="B588" s="12" t="s">
        <v>727</v>
      </c>
      <c r="C588" s="12" t="s">
        <v>728</v>
      </c>
      <c r="D588" s="16" t="n">
        <v>0.00285266203703704</v>
      </c>
      <c r="E588" s="15" t="n">
        <f aca="false">ROUND((D588-$D$5)*86400,2)</f>
        <v>21.44</v>
      </c>
      <c r="F588" s="17" t="n">
        <v>404</v>
      </c>
      <c r="G588" s="16" t="n">
        <f aca="false">IF(INDEX(選手一覧!$D$7:$D$2738,$F588)="","",INDEX(選手一覧!$D$7:$D$2738,$F588))</f>
        <v>0.0105543981481482</v>
      </c>
      <c r="H588" s="17" t="n">
        <f aca="false">IF(INDEX(選手一覧!$E$7:$E$2738,$F588)="","",INDEX(選手一覧!$E$7:$E$2738,$F588))</f>
        <v>405</v>
      </c>
      <c r="I588" s="16" t="str">
        <f aca="false">IF(INDEX(選手一覧!$H$7:$H$2738,$F588)="","",INDEX(選手一覧!$H$7:$H$2738,$F588))</f>
        <v/>
      </c>
      <c r="J588" s="17" t="str">
        <f aca="false">IF(INDEX(選手一覧!$I$7:$I$2738,$F588)="","",INDEX(選手一覧!$I$7:$I$2738,$F588))</f>
        <v/>
      </c>
    </row>
    <row r="589" customFormat="false" ht="15" hidden="false" customHeight="false" outlineLevel="0" collapsed="false">
      <c r="A589" s="17" t="n">
        <v>585</v>
      </c>
      <c r="B589" s="12" t="s">
        <v>1893</v>
      </c>
      <c r="C589" s="12" t="s">
        <v>1705</v>
      </c>
      <c r="D589" s="16" t="n">
        <v>0.00285289351851852</v>
      </c>
      <c r="E589" s="15" t="n">
        <f aca="false">ROUND((D589-$D$5)*86400,2)</f>
        <v>21.46</v>
      </c>
      <c r="F589" s="17" t="n">
        <v>1177</v>
      </c>
      <c r="G589" s="16" t="n">
        <f aca="false">IF(INDEX(選手一覧!$D$7:$D$2738,$F589)="","",INDEX(選手一覧!$D$7:$D$2738,$F589))</f>
        <v>0.0110403935185185</v>
      </c>
      <c r="H589" s="17" t="n">
        <f aca="false">IF(INDEX(選手一覧!$E$7:$E$2738,$F589)="","",INDEX(選手一覧!$E$7:$E$2738,$F589))</f>
        <v>1178</v>
      </c>
      <c r="I589" s="16" t="str">
        <f aca="false">IF(INDEX(選手一覧!$H$7:$H$2738,$F589)="","",INDEX(選手一覧!$H$7:$H$2738,$F589))</f>
        <v/>
      </c>
      <c r="J589" s="17" t="str">
        <f aca="false">IF(INDEX(選手一覧!$I$7:$I$2738,$F589)="","",INDEX(選手一覧!$I$7:$I$2738,$F589))</f>
        <v/>
      </c>
    </row>
    <row r="590" customFormat="false" ht="15" hidden="false" customHeight="false" outlineLevel="0" collapsed="false">
      <c r="A590" s="17" t="n">
        <v>586</v>
      </c>
      <c r="B590" s="12" t="s">
        <v>1179</v>
      </c>
      <c r="C590" s="12" t="s">
        <v>711</v>
      </c>
      <c r="D590" s="16" t="n">
        <v>0.00285300925925926</v>
      </c>
      <c r="E590" s="15" t="n">
        <f aca="false">ROUND((D590-$D$5)*86400,2)</f>
        <v>21.47</v>
      </c>
      <c r="F590" s="17" t="n">
        <v>700</v>
      </c>
      <c r="G590" s="16" t="n">
        <f aca="false">IF(INDEX(選手一覧!$D$7:$D$2738,$F590)="","",INDEX(選手一覧!$D$7:$D$2738,$F590))</f>
        <v>0.010772337962963</v>
      </c>
      <c r="H590" s="17" t="n">
        <f aca="false">IF(INDEX(選手一覧!$E$7:$E$2738,$F590)="","",INDEX(選手一覧!$E$7:$E$2738,$F590))</f>
        <v>701</v>
      </c>
      <c r="I590" s="16" t="str">
        <f aca="false">IF(INDEX(選手一覧!$H$7:$H$2738,$F590)="","",INDEX(選手一覧!$H$7:$H$2738,$F590))</f>
        <v/>
      </c>
      <c r="J590" s="17" t="str">
        <f aca="false">IF(INDEX(選手一覧!$I$7:$I$2738,$F590)="","",INDEX(選手一覧!$I$7:$I$2738,$F590))</f>
        <v/>
      </c>
    </row>
    <row r="591" customFormat="false" ht="15" hidden="false" customHeight="false" outlineLevel="0" collapsed="false">
      <c r="A591" s="17" t="n">
        <v>587</v>
      </c>
      <c r="B591" s="12" t="s">
        <v>2069</v>
      </c>
      <c r="C591" s="12" t="s">
        <v>795</v>
      </c>
      <c r="D591" s="16" t="n">
        <v>0.00285335648148148</v>
      </c>
      <c r="E591" s="15" t="n">
        <f aca="false">ROUND((D591-$D$5)*86400,2)</f>
        <v>21.5</v>
      </c>
      <c r="F591" s="17" t="n">
        <v>1311</v>
      </c>
      <c r="G591" s="16" t="str">
        <f aca="false">IF(INDEX(選手一覧!$D$7:$D$2738,$F591)="","",INDEX(選手一覧!$D$7:$D$2738,$F591))</f>
        <v/>
      </c>
      <c r="H591" s="17" t="str">
        <f aca="false">IF(INDEX(選手一覧!$E$7:$E$2738,$F591)="","",INDEX(選手一覧!$E$7:$E$2738,$F591))</f>
        <v/>
      </c>
      <c r="I591" s="16" t="n">
        <f aca="false">IF(INDEX(選手一覧!$H$7:$H$2738,$F591)="","",INDEX(選手一覧!$H$7:$H$2738,$F591))</f>
        <v>0.00672592592592593</v>
      </c>
      <c r="J591" s="17" t="n">
        <f aca="false">IF(INDEX(選手一覧!$I$7:$I$2738,$F591)="","",INDEX(選手一覧!$I$7:$I$2738,$F591))</f>
        <v>117</v>
      </c>
    </row>
    <row r="592" customFormat="false" ht="15" hidden="false" customHeight="false" outlineLevel="0" collapsed="false">
      <c r="A592" s="17" t="n">
        <v>588</v>
      </c>
      <c r="B592" s="12" t="s">
        <v>391</v>
      </c>
      <c r="C592" s="12" t="s">
        <v>245</v>
      </c>
      <c r="D592" s="16" t="n">
        <v>0.00285347222222222</v>
      </c>
      <c r="E592" s="15" t="n">
        <f aca="false">ROUND((D592-$D$5)*86400,2)</f>
        <v>21.51</v>
      </c>
      <c r="F592" s="17" t="n">
        <v>194</v>
      </c>
      <c r="G592" s="16" t="n">
        <f aca="false">IF(INDEX(選手一覧!$D$7:$D$2738,$F592)="","",INDEX(選手一覧!$D$7:$D$2738,$F592))</f>
        <v>0.0103414351851852</v>
      </c>
      <c r="H592" s="17" t="n">
        <f aca="false">IF(INDEX(選手一覧!$E$7:$E$2738,$F592)="","",INDEX(選手一覧!$E$7:$E$2738,$F592))</f>
        <v>195</v>
      </c>
      <c r="I592" s="16" t="str">
        <f aca="false">IF(INDEX(選手一覧!$H$7:$H$2738,$F592)="","",INDEX(選手一覧!$H$7:$H$2738,$F592))</f>
        <v/>
      </c>
      <c r="J592" s="17" t="str">
        <f aca="false">IF(INDEX(選手一覧!$I$7:$I$2738,$F592)="","",INDEX(選手一覧!$I$7:$I$2738,$F592))</f>
        <v/>
      </c>
    </row>
    <row r="593" customFormat="false" ht="15" hidden="false" customHeight="false" outlineLevel="0" collapsed="false">
      <c r="A593" s="17" t="n">
        <v>589</v>
      </c>
      <c r="B593" s="12" t="s">
        <v>831</v>
      </c>
      <c r="C593" s="12" t="s">
        <v>438</v>
      </c>
      <c r="D593" s="16" t="n">
        <v>0.00285358796296296</v>
      </c>
      <c r="E593" s="15" t="n">
        <f aca="false">ROUND((D593-$D$5)*86400,2)</f>
        <v>21.52</v>
      </c>
      <c r="F593" s="17" t="n">
        <v>470</v>
      </c>
      <c r="G593" s="16" t="n">
        <f aca="false">IF(INDEX(選手一覧!$D$7:$D$2738,$F593)="","",INDEX(選手一覧!$D$7:$D$2738,$F593))</f>
        <v>0.0106065972222222</v>
      </c>
      <c r="H593" s="17" t="n">
        <f aca="false">IF(INDEX(選手一覧!$E$7:$E$2738,$F593)="","",INDEX(選手一覧!$E$7:$E$2738,$F593))</f>
        <v>471</v>
      </c>
      <c r="I593" s="16" t="str">
        <f aca="false">IF(INDEX(選手一覧!$H$7:$H$2738,$F593)="","",INDEX(選手一覧!$H$7:$H$2738,$F593))</f>
        <v/>
      </c>
      <c r="J593" s="17" t="str">
        <f aca="false">IF(INDEX(選手一覧!$I$7:$I$2738,$F593)="","",INDEX(選手一覧!$I$7:$I$2738,$F593))</f>
        <v/>
      </c>
    </row>
    <row r="594" customFormat="false" ht="15" hidden="false" customHeight="false" outlineLevel="0" collapsed="false">
      <c r="A594" s="17" t="n">
        <v>590</v>
      </c>
      <c r="B594" s="12" t="s">
        <v>225</v>
      </c>
      <c r="C594" s="12" t="s">
        <v>61</v>
      </c>
      <c r="D594" s="16" t="n">
        <v>0.00285358796296296</v>
      </c>
      <c r="E594" s="15" t="n">
        <f aca="false">ROUND((D594-$D$5)*86400,2)</f>
        <v>21.52</v>
      </c>
      <c r="F594" s="17" t="n">
        <v>104</v>
      </c>
      <c r="G594" s="16" t="n">
        <f aca="false">IF(INDEX(選手一覧!$D$7:$D$2738,$F594)="","",INDEX(選手一覧!$D$7:$D$2738,$F594))</f>
        <v>0.010215625</v>
      </c>
      <c r="H594" s="17" t="n">
        <f aca="false">IF(INDEX(選手一覧!$E$7:$E$2738,$F594)="","",INDEX(選手一覧!$E$7:$E$2738,$F594))</f>
        <v>105</v>
      </c>
      <c r="I594" s="16" t="str">
        <f aca="false">IF(INDEX(選手一覧!$H$7:$H$2738,$F594)="","",INDEX(選手一覧!$H$7:$H$2738,$F594))</f>
        <v/>
      </c>
      <c r="J594" s="17" t="str">
        <f aca="false">IF(INDEX(選手一覧!$I$7:$I$2738,$F594)="","",INDEX(選手一覧!$I$7:$I$2738,$F594))</f>
        <v/>
      </c>
    </row>
    <row r="595" customFormat="false" ht="15" hidden="false" customHeight="false" outlineLevel="0" collapsed="false">
      <c r="A595" s="17" t="n">
        <v>591</v>
      </c>
      <c r="B595" s="12" t="s">
        <v>1844</v>
      </c>
      <c r="C595" s="12" t="s">
        <v>1845</v>
      </c>
      <c r="D595" s="16" t="n">
        <v>0.00285358796296296</v>
      </c>
      <c r="E595" s="15" t="n">
        <f aca="false">ROUND((D595-$D$5)*86400,2)</f>
        <v>21.52</v>
      </c>
      <c r="F595" s="17" t="n">
        <v>1145</v>
      </c>
      <c r="G595" s="16" t="n">
        <f aca="false">IF(INDEX(選手一覧!$D$7:$D$2738,$F595)="","",INDEX(選手一覧!$D$7:$D$2738,$F595))</f>
        <v>0.0110280092592593</v>
      </c>
      <c r="H595" s="17" t="n">
        <f aca="false">IF(INDEX(選手一覧!$E$7:$E$2738,$F595)="","",INDEX(選手一覧!$E$7:$E$2738,$F595))</f>
        <v>1146</v>
      </c>
      <c r="I595" s="16" t="str">
        <f aca="false">IF(INDEX(選手一覧!$H$7:$H$2738,$F595)="","",INDEX(選手一覧!$H$7:$H$2738,$F595))</f>
        <v/>
      </c>
      <c r="J595" s="17" t="str">
        <f aca="false">IF(INDEX(選手一覧!$I$7:$I$2738,$F595)="","",INDEX(選手一覧!$I$7:$I$2738,$F595))</f>
        <v/>
      </c>
    </row>
    <row r="596" customFormat="false" ht="15" hidden="false" customHeight="false" outlineLevel="0" collapsed="false">
      <c r="A596" s="17" t="n">
        <v>592</v>
      </c>
      <c r="B596" s="12" t="s">
        <v>1338</v>
      </c>
      <c r="C596" s="12" t="s">
        <v>1339</v>
      </c>
      <c r="D596" s="16" t="n">
        <v>0.00285393518518519</v>
      </c>
      <c r="E596" s="15" t="n">
        <f aca="false">ROUND((D596-$D$5)*86400,2)</f>
        <v>21.55</v>
      </c>
      <c r="F596" s="17" t="n">
        <v>807</v>
      </c>
      <c r="G596" s="16" t="n">
        <f aca="false">IF(INDEX(選手一覧!$D$7:$D$2738,$F596)="","",INDEX(選手一覧!$D$7:$D$2738,$F596))</f>
        <v>0.0108384259259259</v>
      </c>
      <c r="H596" s="17" t="n">
        <f aca="false">IF(INDEX(選手一覧!$E$7:$E$2738,$F596)="","",INDEX(選手一覧!$E$7:$E$2738,$F596))</f>
        <v>808</v>
      </c>
      <c r="I596" s="16" t="n">
        <f aca="false">IF(INDEX(選手一覧!$H$7:$H$2738,$F596)="","",INDEX(選手一覧!$H$7:$H$2738,$F596))</f>
        <v>0.00706446759259259</v>
      </c>
      <c r="J596" s="17" t="n">
        <f aca="false">IF(INDEX(選手一覧!$I$7:$I$2738,$F596)="","",INDEX(選手一覧!$I$7:$I$2738,$F596))</f>
        <v>407</v>
      </c>
    </row>
    <row r="597" customFormat="false" ht="15" hidden="false" customHeight="false" outlineLevel="0" collapsed="false">
      <c r="A597" s="17" t="n">
        <v>593</v>
      </c>
      <c r="B597" s="12" t="s">
        <v>263</v>
      </c>
      <c r="C597" s="12" t="s">
        <v>51</v>
      </c>
      <c r="D597" s="16" t="n">
        <v>0.00285393518518519</v>
      </c>
      <c r="E597" s="15" t="n">
        <f aca="false">ROUND((D597-$D$5)*86400,2)</f>
        <v>21.55</v>
      </c>
      <c r="F597" s="17" t="n">
        <v>124</v>
      </c>
      <c r="G597" s="16" t="n">
        <f aca="false">IF(INDEX(選手一覧!$D$7:$D$2738,$F597)="","",INDEX(選手一覧!$D$7:$D$2738,$F597))</f>
        <v>0.0102445601851852</v>
      </c>
      <c r="H597" s="17" t="n">
        <f aca="false">IF(INDEX(選手一覧!$E$7:$E$2738,$F597)="","",INDEX(選手一覧!$E$7:$E$2738,$F597))</f>
        <v>125</v>
      </c>
      <c r="I597" s="16" t="str">
        <f aca="false">IF(INDEX(選手一覧!$H$7:$H$2738,$F597)="","",INDEX(選手一覧!$H$7:$H$2738,$F597))</f>
        <v/>
      </c>
      <c r="J597" s="17" t="str">
        <f aca="false">IF(INDEX(選手一覧!$I$7:$I$2738,$F597)="","",INDEX(選手一覧!$I$7:$I$2738,$F597))</f>
        <v/>
      </c>
    </row>
    <row r="598" customFormat="false" ht="15" hidden="false" customHeight="false" outlineLevel="0" collapsed="false">
      <c r="A598" s="17" t="n">
        <v>594</v>
      </c>
      <c r="B598" s="12" t="s">
        <v>2641</v>
      </c>
      <c r="C598" s="12" t="s">
        <v>2642</v>
      </c>
      <c r="D598" s="16" t="n">
        <v>0.00285405092592593</v>
      </c>
      <c r="E598" s="15" t="n">
        <f aca="false">ROUND((D598-$D$5)*86400,2)</f>
        <v>21.56</v>
      </c>
      <c r="F598" s="17" t="n">
        <v>1689</v>
      </c>
      <c r="G598" s="16" t="str">
        <f aca="false">IF(INDEX(選手一覧!$D$7:$D$2738,$F598)="","",INDEX(選手一覧!$D$7:$D$2738,$F598))</f>
        <v/>
      </c>
      <c r="H598" s="17" t="str">
        <f aca="false">IF(INDEX(選手一覧!$E$7:$E$2738,$F598)="","",INDEX(選手一覧!$E$7:$E$2738,$F598))</f>
        <v/>
      </c>
      <c r="I598" s="16" t="str">
        <f aca="false">IF(INDEX(選手一覧!$H$7:$H$2738,$F598)="","",INDEX(選手一覧!$H$7:$H$2738,$F598))</f>
        <v/>
      </c>
      <c r="J598" s="17" t="str">
        <f aca="false">IF(INDEX(選手一覧!$I$7:$I$2738,$F598)="","",INDEX(選手一覧!$I$7:$I$2738,$F598))</f>
        <v/>
      </c>
    </row>
    <row r="599" customFormat="false" ht="15" hidden="false" customHeight="false" outlineLevel="0" collapsed="false">
      <c r="A599" s="17" t="n">
        <v>595</v>
      </c>
      <c r="B599" s="12" t="s">
        <v>2645</v>
      </c>
      <c r="C599" s="12" t="s">
        <v>2646</v>
      </c>
      <c r="D599" s="16" t="n">
        <v>0.00285405092592593</v>
      </c>
      <c r="E599" s="15" t="n">
        <f aca="false">ROUND((D599-$D$5)*86400,2)</f>
        <v>21.56</v>
      </c>
      <c r="F599" s="17" t="n">
        <v>1691</v>
      </c>
      <c r="G599" s="16" t="str">
        <f aca="false">IF(INDEX(選手一覧!$D$7:$D$2738,$F599)="","",INDEX(選手一覧!$D$7:$D$2738,$F599))</f>
        <v/>
      </c>
      <c r="H599" s="17" t="str">
        <f aca="false">IF(INDEX(選手一覧!$E$7:$E$2738,$F599)="","",INDEX(選手一覧!$E$7:$E$2738,$F599))</f>
        <v/>
      </c>
      <c r="I599" s="16" t="str">
        <f aca="false">IF(INDEX(選手一覧!$H$7:$H$2738,$F599)="","",INDEX(選手一覧!$H$7:$H$2738,$F599))</f>
        <v/>
      </c>
      <c r="J599" s="17" t="str">
        <f aca="false">IF(INDEX(選手一覧!$I$7:$I$2738,$F599)="","",INDEX(選手一覧!$I$7:$I$2738,$F599))</f>
        <v/>
      </c>
    </row>
    <row r="600" customFormat="false" ht="15" hidden="false" customHeight="false" outlineLevel="0" collapsed="false">
      <c r="A600" s="17" t="n">
        <v>596</v>
      </c>
      <c r="B600" s="12" t="s">
        <v>418</v>
      </c>
      <c r="C600" s="12" t="s">
        <v>37</v>
      </c>
      <c r="D600" s="16" t="n">
        <v>0.00285416666666667</v>
      </c>
      <c r="E600" s="15" t="n">
        <f aca="false">ROUND((D600-$D$5)*86400,2)</f>
        <v>21.57</v>
      </c>
      <c r="F600" s="17" t="n">
        <v>210</v>
      </c>
      <c r="G600" s="16" t="n">
        <f aca="false">IF(INDEX(選手一覧!$D$7:$D$2738,$F600)="","",INDEX(選手一覧!$D$7:$D$2738,$F600))</f>
        <v>0.0103571759259259</v>
      </c>
      <c r="H600" s="17" t="n">
        <f aca="false">IF(INDEX(選手一覧!$E$7:$E$2738,$F600)="","",INDEX(選手一覧!$E$7:$E$2738,$F600))</f>
        <v>211</v>
      </c>
      <c r="I600" s="16" t="str">
        <f aca="false">IF(INDEX(選手一覧!$H$7:$H$2738,$F600)="","",INDEX(選手一覧!$H$7:$H$2738,$F600))</f>
        <v/>
      </c>
      <c r="J600" s="17" t="str">
        <f aca="false">IF(INDEX(選手一覧!$I$7:$I$2738,$F600)="","",INDEX(選手一覧!$I$7:$I$2738,$F600))</f>
        <v/>
      </c>
    </row>
    <row r="601" customFormat="false" ht="15" hidden="false" customHeight="false" outlineLevel="0" collapsed="false">
      <c r="A601" s="17" t="n">
        <v>597</v>
      </c>
      <c r="B601" s="12" t="s">
        <v>930</v>
      </c>
      <c r="C601" s="12" t="s">
        <v>259</v>
      </c>
      <c r="D601" s="16" t="n">
        <v>0.00285520833333333</v>
      </c>
      <c r="E601" s="15" t="n">
        <f aca="false">ROUND((D601-$D$5)*86400,2)</f>
        <v>21.66</v>
      </c>
      <c r="F601" s="17" t="n">
        <v>531</v>
      </c>
      <c r="G601" s="16" t="n">
        <f aca="false">IF(INDEX(選手一覧!$D$7:$D$2738,$F601)="","",INDEX(選手一覧!$D$7:$D$2738,$F601))</f>
        <v>0.0106579861111111</v>
      </c>
      <c r="H601" s="17" t="n">
        <f aca="false">IF(INDEX(選手一覧!$E$7:$E$2738,$F601)="","",INDEX(選手一覧!$E$7:$E$2738,$F601))</f>
        <v>532</v>
      </c>
      <c r="I601" s="16" t="str">
        <f aca="false">IF(INDEX(選手一覧!$H$7:$H$2738,$F601)="","",INDEX(選手一覧!$H$7:$H$2738,$F601))</f>
        <v/>
      </c>
      <c r="J601" s="17" t="str">
        <f aca="false">IF(INDEX(選手一覧!$I$7:$I$2738,$F601)="","",INDEX(選手一覧!$I$7:$I$2738,$F601))</f>
        <v/>
      </c>
    </row>
    <row r="602" customFormat="false" ht="15" hidden="false" customHeight="false" outlineLevel="0" collapsed="false">
      <c r="A602" s="17" t="n">
        <v>598</v>
      </c>
      <c r="B602" s="12" t="s">
        <v>355</v>
      </c>
      <c r="C602" s="12" t="s">
        <v>186</v>
      </c>
      <c r="D602" s="16" t="n">
        <v>0.00285532407407407</v>
      </c>
      <c r="E602" s="15" t="n">
        <f aca="false">ROUND((D602-$D$5)*86400,2)</f>
        <v>21.67</v>
      </c>
      <c r="F602" s="17" t="n">
        <v>172</v>
      </c>
      <c r="G602" s="16" t="n">
        <f aca="false">IF(INDEX(選手一覧!$D$7:$D$2738,$F602)="","",INDEX(選手一覧!$D$7:$D$2738,$F602))</f>
        <v>0.01031875</v>
      </c>
      <c r="H602" s="17" t="n">
        <f aca="false">IF(INDEX(選手一覧!$E$7:$E$2738,$F602)="","",INDEX(選手一覧!$E$7:$E$2738,$F602))</f>
        <v>173</v>
      </c>
      <c r="I602" s="16" t="str">
        <f aca="false">IF(INDEX(選手一覧!$H$7:$H$2738,$F602)="","",INDEX(選手一覧!$H$7:$H$2738,$F602))</f>
        <v/>
      </c>
      <c r="J602" s="17" t="str">
        <f aca="false">IF(INDEX(選手一覧!$I$7:$I$2738,$F602)="","",INDEX(選手一覧!$I$7:$I$2738,$F602))</f>
        <v/>
      </c>
    </row>
    <row r="603" customFormat="false" ht="15" hidden="false" customHeight="false" outlineLevel="0" collapsed="false">
      <c r="A603" s="17" t="n">
        <v>599</v>
      </c>
      <c r="B603" s="12" t="s">
        <v>840</v>
      </c>
      <c r="C603" s="12" t="s">
        <v>728</v>
      </c>
      <c r="D603" s="16" t="n">
        <v>0.00285543981481482</v>
      </c>
      <c r="E603" s="15" t="n">
        <f aca="false">ROUND((D603-$D$5)*86400,2)</f>
        <v>21.68</v>
      </c>
      <c r="F603" s="17" t="n">
        <v>477</v>
      </c>
      <c r="G603" s="16" t="n">
        <f aca="false">IF(INDEX(選手一覧!$D$7:$D$2738,$F603)="","",INDEX(選手一覧!$D$7:$D$2738,$F603))</f>
        <v>0.0106114583333333</v>
      </c>
      <c r="H603" s="17" t="n">
        <f aca="false">IF(INDEX(選手一覧!$E$7:$E$2738,$F603)="","",INDEX(選手一覧!$E$7:$E$2738,$F603))</f>
        <v>478</v>
      </c>
      <c r="I603" s="16" t="str">
        <f aca="false">IF(INDEX(選手一覧!$H$7:$H$2738,$F603)="","",INDEX(選手一覧!$H$7:$H$2738,$F603))</f>
        <v/>
      </c>
      <c r="J603" s="17" t="str">
        <f aca="false">IF(INDEX(選手一覧!$I$7:$I$2738,$F603)="","",INDEX(選手一覧!$I$7:$I$2738,$F603))</f>
        <v/>
      </c>
    </row>
    <row r="604" customFormat="false" ht="15" hidden="false" customHeight="false" outlineLevel="0" collapsed="false">
      <c r="A604" s="17" t="n">
        <v>600</v>
      </c>
      <c r="B604" s="12" t="s">
        <v>1126</v>
      </c>
      <c r="C604" s="12" t="s">
        <v>1127</v>
      </c>
      <c r="D604" s="16" t="n">
        <v>0.00285555555555556</v>
      </c>
      <c r="E604" s="15" t="n">
        <f aca="false">ROUND((D604-$D$5)*86400,2)</f>
        <v>21.69</v>
      </c>
      <c r="F604" s="17" t="n">
        <v>667</v>
      </c>
      <c r="G604" s="16" t="n">
        <f aca="false">IF(INDEX(選手一覧!$D$7:$D$2738,$F604)="","",INDEX(選手一覧!$D$7:$D$2738,$F604))</f>
        <v>0.0107510416666667</v>
      </c>
      <c r="H604" s="17" t="n">
        <f aca="false">IF(INDEX(選手一覧!$E$7:$E$2738,$F604)="","",INDEX(選手一覧!$E$7:$E$2738,$F604))</f>
        <v>668</v>
      </c>
      <c r="I604" s="16" t="n">
        <f aca="false">IF(INDEX(選手一覧!$H$7:$H$2738,$F604)="","",INDEX(選手一覧!$H$7:$H$2738,$F604))</f>
        <v>0.00711990740740741</v>
      </c>
      <c r="J604" s="17" t="n">
        <f aca="false">IF(INDEX(選手一覧!$I$7:$I$2738,$F604)="","",INDEX(選手一覧!$I$7:$I$2738,$F604))</f>
        <v>465</v>
      </c>
    </row>
    <row r="605" customFormat="false" ht="15" hidden="false" customHeight="false" outlineLevel="0" collapsed="false">
      <c r="A605" s="17" t="n">
        <v>601</v>
      </c>
      <c r="B605" s="12" t="s">
        <v>1728</v>
      </c>
      <c r="C605" s="12" t="s">
        <v>1729</v>
      </c>
      <c r="D605" s="16" t="n">
        <v>0.0028556712962963</v>
      </c>
      <c r="E605" s="15" t="n">
        <f aca="false">ROUND((D605-$D$5)*86400,2)</f>
        <v>21.7</v>
      </c>
      <c r="F605" s="17" t="n">
        <v>1068</v>
      </c>
      <c r="G605" s="16" t="n">
        <f aca="false">IF(INDEX(選手一覧!$D$7:$D$2738,$F605)="","",INDEX(選手一覧!$D$7:$D$2738,$F605))</f>
        <v>0.0109855324074074</v>
      </c>
      <c r="H605" s="17" t="n">
        <f aca="false">IF(INDEX(選手一覧!$E$7:$E$2738,$F605)="","",INDEX(選手一覧!$E$7:$E$2738,$F605))</f>
        <v>1069</v>
      </c>
      <c r="I605" s="16" t="n">
        <f aca="false">IF(INDEX(選手一覧!$H$7:$H$2738,$F605)="","",INDEX(選手一覧!$H$7:$H$2738,$F605))</f>
        <v>0.00734363425925926</v>
      </c>
      <c r="J605" s="17" t="n">
        <f aca="false">IF(INDEX(選手一覧!$I$7:$I$2738,$F605)="","",INDEX(選手一覧!$I$7:$I$2738,$F605))</f>
        <v>700</v>
      </c>
    </row>
    <row r="606" customFormat="false" ht="15" hidden="false" customHeight="false" outlineLevel="0" collapsed="false">
      <c r="A606" s="17" t="n">
        <v>602</v>
      </c>
      <c r="B606" s="12" t="s">
        <v>1256</v>
      </c>
      <c r="C606" s="12" t="s">
        <v>77</v>
      </c>
      <c r="D606" s="16" t="n">
        <v>0.0028556712962963</v>
      </c>
      <c r="E606" s="15" t="n">
        <f aca="false">ROUND((D606-$D$5)*86400,2)</f>
        <v>21.7</v>
      </c>
      <c r="F606" s="17" t="n">
        <v>749</v>
      </c>
      <c r="G606" s="16" t="n">
        <f aca="false">IF(INDEX(選手一覧!$D$7:$D$2738,$F606)="","",INDEX(選手一覧!$D$7:$D$2738,$F606))</f>
        <v>0.0108045138888889</v>
      </c>
      <c r="H606" s="17" t="n">
        <f aca="false">IF(INDEX(選手一覧!$E$7:$E$2738,$F606)="","",INDEX(選手一覧!$E$7:$E$2738,$F606))</f>
        <v>750</v>
      </c>
      <c r="I606" s="16" t="str">
        <f aca="false">IF(INDEX(選手一覧!$H$7:$H$2738,$F606)="","",INDEX(選手一覧!$H$7:$H$2738,$F606))</f>
        <v/>
      </c>
      <c r="J606" s="17" t="str">
        <f aca="false">IF(INDEX(選手一覧!$I$7:$I$2738,$F606)="","",INDEX(選手一覧!$I$7:$I$2738,$F606))</f>
        <v/>
      </c>
    </row>
    <row r="607" customFormat="false" ht="15" hidden="false" customHeight="false" outlineLevel="0" collapsed="false">
      <c r="A607" s="17" t="n">
        <v>603</v>
      </c>
      <c r="B607" s="12" t="s">
        <v>1417</v>
      </c>
      <c r="C607" s="12" t="s">
        <v>1418</v>
      </c>
      <c r="D607" s="16" t="n">
        <v>0.0028556712962963</v>
      </c>
      <c r="E607" s="15" t="n">
        <f aca="false">ROUND((D607-$D$5)*86400,2)</f>
        <v>21.7</v>
      </c>
      <c r="F607" s="17" t="n">
        <v>858</v>
      </c>
      <c r="G607" s="16" t="n">
        <f aca="false">IF(INDEX(選手一覧!$D$7:$D$2738,$F607)="","",INDEX(選手一覧!$D$7:$D$2738,$F607))</f>
        <v>0.0108643518518519</v>
      </c>
      <c r="H607" s="17" t="n">
        <f aca="false">IF(INDEX(選手一覧!$E$7:$E$2738,$F607)="","",INDEX(選手一覧!$E$7:$E$2738,$F607))</f>
        <v>859</v>
      </c>
      <c r="I607" s="16" t="n">
        <f aca="false">IF(INDEX(選手一覧!$H$7:$H$2738,$F607)="","",INDEX(選手一覧!$H$7:$H$2738,$F607))</f>
        <v>0.00756539351851852</v>
      </c>
      <c r="J607" s="17" t="n">
        <f aca="false">IF(INDEX(選手一覧!$I$7:$I$2738,$F607)="","",INDEX(選手一覧!$I$7:$I$2738,$F607))</f>
        <v>971</v>
      </c>
    </row>
    <row r="608" customFormat="false" ht="15" hidden="false" customHeight="false" outlineLevel="0" collapsed="false">
      <c r="A608" s="17" t="n">
        <v>604</v>
      </c>
      <c r="B608" s="12" t="s">
        <v>1557</v>
      </c>
      <c r="C608" s="12" t="s">
        <v>1558</v>
      </c>
      <c r="D608" s="16" t="n">
        <v>0.00285578703703704</v>
      </c>
      <c r="E608" s="15" t="n">
        <f aca="false">ROUND((D608-$D$5)*86400,2)</f>
        <v>21.71</v>
      </c>
      <c r="F608" s="17" t="n">
        <v>952</v>
      </c>
      <c r="G608" s="16" t="n">
        <f aca="false">IF(INDEX(選手一覧!$D$7:$D$2738,$F608)="","",INDEX(選手一覧!$D$7:$D$2738,$F608))</f>
        <v>0.0109225694444444</v>
      </c>
      <c r="H608" s="17" t="n">
        <f aca="false">IF(INDEX(選手一覧!$E$7:$E$2738,$F608)="","",INDEX(選手一覧!$E$7:$E$2738,$F608))</f>
        <v>953</v>
      </c>
      <c r="I608" s="16" t="str">
        <f aca="false">IF(INDEX(選手一覧!$H$7:$H$2738,$F608)="","",INDEX(選手一覧!$H$7:$H$2738,$F608))</f>
        <v/>
      </c>
      <c r="J608" s="17" t="str">
        <f aca="false">IF(INDEX(選手一覧!$I$7:$I$2738,$F608)="","",INDEX(選手一覧!$I$7:$I$2738,$F608))</f>
        <v/>
      </c>
    </row>
    <row r="609" customFormat="false" ht="15" hidden="false" customHeight="false" outlineLevel="0" collapsed="false">
      <c r="A609" s="17" t="n">
        <v>605</v>
      </c>
      <c r="B609" s="12" t="s">
        <v>244</v>
      </c>
      <c r="C609" s="12" t="s">
        <v>245</v>
      </c>
      <c r="D609" s="16" t="n">
        <v>0.00285590277777778</v>
      </c>
      <c r="E609" s="15" t="n">
        <f aca="false">ROUND((D609-$D$5)*86400,2)</f>
        <v>21.72</v>
      </c>
      <c r="F609" s="17" t="n">
        <v>116</v>
      </c>
      <c r="G609" s="16" t="n">
        <f aca="false">IF(INDEX(選手一覧!$D$7:$D$2738,$F609)="","",INDEX(選手一覧!$D$7:$D$2738,$F609))</f>
        <v>0.0102376157407407</v>
      </c>
      <c r="H609" s="17" t="n">
        <f aca="false">IF(INDEX(選手一覧!$E$7:$E$2738,$F609)="","",INDEX(選手一覧!$E$7:$E$2738,$F609))</f>
        <v>117</v>
      </c>
      <c r="I609" s="16" t="str">
        <f aca="false">IF(INDEX(選手一覧!$H$7:$H$2738,$F609)="","",INDEX(選手一覧!$H$7:$H$2738,$F609))</f>
        <v/>
      </c>
      <c r="J609" s="17" t="str">
        <f aca="false">IF(INDEX(選手一覧!$I$7:$I$2738,$F609)="","",INDEX(選手一覧!$I$7:$I$2738,$F609))</f>
        <v/>
      </c>
    </row>
    <row r="610" customFormat="false" ht="15" hidden="false" customHeight="false" outlineLevel="0" collapsed="false">
      <c r="A610" s="17" t="n">
        <v>606</v>
      </c>
      <c r="B610" s="12" t="s">
        <v>2660</v>
      </c>
      <c r="C610" s="12" t="s">
        <v>2621</v>
      </c>
      <c r="D610" s="16" t="n">
        <v>0.00285590277777778</v>
      </c>
      <c r="E610" s="15" t="n">
        <f aca="false">ROUND((D610-$D$5)*86400,2)</f>
        <v>21.72</v>
      </c>
      <c r="F610" s="17" t="n">
        <v>1702</v>
      </c>
      <c r="G610" s="16" t="str">
        <f aca="false">IF(INDEX(選手一覧!$D$7:$D$2738,$F610)="","",INDEX(選手一覧!$D$7:$D$2738,$F610))</f>
        <v/>
      </c>
      <c r="H610" s="17" t="str">
        <f aca="false">IF(INDEX(選手一覧!$E$7:$E$2738,$F610)="","",INDEX(選手一覧!$E$7:$E$2738,$F610))</f>
        <v/>
      </c>
      <c r="I610" s="16" t="str">
        <f aca="false">IF(INDEX(選手一覧!$H$7:$H$2738,$F610)="","",INDEX(選手一覧!$H$7:$H$2738,$F610))</f>
        <v/>
      </c>
      <c r="J610" s="17" t="str">
        <f aca="false">IF(INDEX(選手一覧!$I$7:$I$2738,$F610)="","",INDEX(選手一覧!$I$7:$I$2738,$F610))</f>
        <v/>
      </c>
    </row>
    <row r="611" customFormat="false" ht="15" hidden="false" customHeight="false" outlineLevel="0" collapsed="false">
      <c r="A611" s="17" t="n">
        <v>607</v>
      </c>
      <c r="B611" s="12" t="s">
        <v>160</v>
      </c>
      <c r="C611" s="12" t="s">
        <v>161</v>
      </c>
      <c r="D611" s="16" t="n">
        <v>0.00285590277777778</v>
      </c>
      <c r="E611" s="15" t="n">
        <f aca="false">ROUND((D611-$D$5)*86400,2)</f>
        <v>21.72</v>
      </c>
      <c r="F611" s="17" t="n">
        <v>68</v>
      </c>
      <c r="G611" s="16" t="n">
        <f aca="false">IF(INDEX(選手一覧!$D$7:$D$2738,$F611)="","",INDEX(選手一覧!$D$7:$D$2738,$F611))</f>
        <v>0.0101414351851852</v>
      </c>
      <c r="H611" s="17" t="n">
        <f aca="false">IF(INDEX(選手一覧!$E$7:$E$2738,$F611)="","",INDEX(選手一覧!$E$7:$E$2738,$F611))</f>
        <v>69</v>
      </c>
      <c r="I611" s="16" t="str">
        <f aca="false">IF(INDEX(選手一覧!$H$7:$H$2738,$F611)="","",INDEX(選手一覧!$H$7:$H$2738,$F611))</f>
        <v/>
      </c>
      <c r="J611" s="17" t="str">
        <f aca="false">IF(INDEX(選手一覧!$I$7:$I$2738,$F611)="","",INDEX(選手一覧!$I$7:$I$2738,$F611))</f>
        <v/>
      </c>
    </row>
    <row r="612" customFormat="false" ht="15" hidden="false" customHeight="false" outlineLevel="0" collapsed="false">
      <c r="A612" s="17" t="n">
        <v>608</v>
      </c>
      <c r="B612" s="12" t="s">
        <v>112</v>
      </c>
      <c r="C612" s="12" t="s">
        <v>96</v>
      </c>
      <c r="D612" s="16" t="n">
        <v>0.00285601851851852</v>
      </c>
      <c r="E612" s="15" t="n">
        <f aca="false">ROUND((D612-$D$5)*86400,2)</f>
        <v>21.73</v>
      </c>
      <c r="F612" s="17" t="n">
        <v>43</v>
      </c>
      <c r="G612" s="16" t="n">
        <f aca="false">IF(INDEX(選手一覧!$D$7:$D$2738,$F612)="","",INDEX(選手一覧!$D$7:$D$2738,$F612))</f>
        <v>0.010080787037037</v>
      </c>
      <c r="H612" s="17" t="n">
        <f aca="false">IF(INDEX(選手一覧!$E$7:$E$2738,$F612)="","",INDEX(選手一覧!$E$7:$E$2738,$F612))</f>
        <v>44</v>
      </c>
      <c r="I612" s="16" t="str">
        <f aca="false">IF(INDEX(選手一覧!$H$7:$H$2738,$F612)="","",INDEX(選手一覧!$H$7:$H$2738,$F612))</f>
        <v/>
      </c>
      <c r="J612" s="17" t="str">
        <f aca="false">IF(INDEX(選手一覧!$I$7:$I$2738,$F612)="","",INDEX(選手一覧!$I$7:$I$2738,$F612))</f>
        <v/>
      </c>
    </row>
    <row r="613" customFormat="false" ht="15" hidden="false" customHeight="false" outlineLevel="0" collapsed="false">
      <c r="A613" s="17" t="n">
        <v>609</v>
      </c>
      <c r="B613" s="12" t="s">
        <v>1681</v>
      </c>
      <c r="C613" s="12" t="s">
        <v>1682</v>
      </c>
      <c r="D613" s="16" t="n">
        <v>0.00285625</v>
      </c>
      <c r="E613" s="15" t="n">
        <f aca="false">ROUND((D613-$D$5)*86400,2)</f>
        <v>21.75</v>
      </c>
      <c r="F613" s="17" t="n">
        <v>1037</v>
      </c>
      <c r="G613" s="16" t="n">
        <f aca="false">IF(INDEX(選手一覧!$D$7:$D$2738,$F613)="","",INDEX(選手一覧!$D$7:$D$2738,$F613))</f>
        <v>0.0109695601851852</v>
      </c>
      <c r="H613" s="17" t="n">
        <f aca="false">IF(INDEX(選手一覧!$E$7:$E$2738,$F613)="","",INDEX(選手一覧!$E$7:$E$2738,$F613))</f>
        <v>1038</v>
      </c>
      <c r="I613" s="16" t="str">
        <f aca="false">IF(INDEX(選手一覧!$H$7:$H$2738,$F613)="","",INDEX(選手一覧!$H$7:$H$2738,$F613))</f>
        <v/>
      </c>
      <c r="J613" s="17" t="str">
        <f aca="false">IF(INDEX(選手一覧!$I$7:$I$2738,$F613)="","",INDEX(選手一覧!$I$7:$I$2738,$F613))</f>
        <v/>
      </c>
    </row>
    <row r="614" customFormat="false" ht="15" hidden="false" customHeight="false" outlineLevel="0" collapsed="false">
      <c r="A614" s="17" t="n">
        <v>610</v>
      </c>
      <c r="B614" s="12" t="s">
        <v>231</v>
      </c>
      <c r="C614" s="12" t="s">
        <v>32</v>
      </c>
      <c r="D614" s="16" t="n">
        <v>0.00285625</v>
      </c>
      <c r="E614" s="15" t="n">
        <f aca="false">ROUND((D614-$D$5)*86400,2)</f>
        <v>21.75</v>
      </c>
      <c r="F614" s="17" t="n">
        <v>108</v>
      </c>
      <c r="G614" s="16" t="n">
        <f aca="false">IF(INDEX(選手一覧!$D$7:$D$2738,$F614)="","",INDEX(選手一覧!$D$7:$D$2738,$F614))</f>
        <v>0.0102216435185185</v>
      </c>
      <c r="H614" s="17" t="n">
        <f aca="false">IF(INDEX(選手一覧!$E$7:$E$2738,$F614)="","",INDEX(選手一覧!$E$7:$E$2738,$F614))</f>
        <v>109</v>
      </c>
      <c r="I614" s="16" t="str">
        <f aca="false">IF(INDEX(選手一覧!$H$7:$H$2738,$F614)="","",INDEX(選手一覧!$H$7:$H$2738,$F614))</f>
        <v/>
      </c>
      <c r="J614" s="17" t="str">
        <f aca="false">IF(INDEX(選手一覧!$I$7:$I$2738,$F614)="","",INDEX(選手一覧!$I$7:$I$2738,$F614))</f>
        <v/>
      </c>
    </row>
    <row r="615" customFormat="false" ht="15" hidden="false" customHeight="false" outlineLevel="0" collapsed="false">
      <c r="A615" s="17" t="n">
        <v>611</v>
      </c>
      <c r="B615" s="12" t="s">
        <v>1828</v>
      </c>
      <c r="C615" s="12" t="s">
        <v>1829</v>
      </c>
      <c r="D615" s="16" t="n">
        <v>0.00285625</v>
      </c>
      <c r="E615" s="15" t="n">
        <f aca="false">ROUND((D615-$D$5)*86400,2)</f>
        <v>21.75</v>
      </c>
      <c r="F615" s="17" t="n">
        <v>1133</v>
      </c>
      <c r="G615" s="16" t="n">
        <f aca="false">IF(INDEX(選手一覧!$D$7:$D$2738,$F615)="","",INDEX(選手一覧!$D$7:$D$2738,$F615))</f>
        <v>0.0110221064814815</v>
      </c>
      <c r="H615" s="17" t="n">
        <f aca="false">IF(INDEX(選手一覧!$E$7:$E$2738,$F615)="","",INDEX(選手一覧!$E$7:$E$2738,$F615))</f>
        <v>1134</v>
      </c>
      <c r="I615" s="16" t="str">
        <f aca="false">IF(INDEX(選手一覧!$H$7:$H$2738,$F615)="","",INDEX(選手一覧!$H$7:$H$2738,$F615))</f>
        <v/>
      </c>
      <c r="J615" s="17" t="str">
        <f aca="false">IF(INDEX(選手一覧!$I$7:$I$2738,$F615)="","",INDEX(選手一覧!$I$7:$I$2738,$F615))</f>
        <v/>
      </c>
    </row>
    <row r="616" customFormat="false" ht="15" hidden="false" customHeight="false" outlineLevel="0" collapsed="false">
      <c r="A616" s="17" t="n">
        <v>612</v>
      </c>
      <c r="B616" s="12" t="s">
        <v>534</v>
      </c>
      <c r="C616" s="12" t="s">
        <v>107</v>
      </c>
      <c r="D616" s="16" t="n">
        <v>0.00285671296296296</v>
      </c>
      <c r="E616" s="15" t="n">
        <f aca="false">ROUND((D616-$D$5)*86400,2)</f>
        <v>21.79</v>
      </c>
      <c r="F616" s="17" t="n">
        <v>282</v>
      </c>
      <c r="G616" s="16" t="n">
        <f aca="false">IF(INDEX(選手一覧!$D$7:$D$2738,$F616)="","",INDEX(選手一覧!$D$7:$D$2738,$F616))</f>
        <v>0.0104184027777778</v>
      </c>
      <c r="H616" s="17" t="n">
        <f aca="false">IF(INDEX(選手一覧!$E$7:$E$2738,$F616)="","",INDEX(選手一覧!$E$7:$E$2738,$F616))</f>
        <v>283</v>
      </c>
      <c r="I616" s="16" t="n">
        <f aca="false">IF(INDEX(選手一覧!$H$7:$H$2738,$F616)="","",INDEX(選手一覧!$H$7:$H$2738,$F616))</f>
        <v>0.00663900462962963</v>
      </c>
      <c r="J616" s="17" t="n">
        <f aca="false">IF(INDEX(選手一覧!$I$7:$I$2738,$F616)="","",INDEX(選手一覧!$I$7:$I$2738,$F616))</f>
        <v>78</v>
      </c>
    </row>
    <row r="617" customFormat="false" ht="15" hidden="false" customHeight="false" outlineLevel="0" collapsed="false">
      <c r="A617" s="17" t="n">
        <v>613</v>
      </c>
      <c r="B617" s="12" t="s">
        <v>1219</v>
      </c>
      <c r="C617" s="12" t="s">
        <v>1220</v>
      </c>
      <c r="D617" s="16" t="n">
        <v>0.00285671296296296</v>
      </c>
      <c r="E617" s="15" t="n">
        <f aca="false">ROUND((D617-$D$5)*86400,2)</f>
        <v>21.79</v>
      </c>
      <c r="F617" s="17" t="n">
        <v>725</v>
      </c>
      <c r="G617" s="16" t="n">
        <f aca="false">IF(INDEX(選手一覧!$D$7:$D$2738,$F617)="","",INDEX(選手一覧!$D$7:$D$2738,$F617))</f>
        <v>0.0107912037037037</v>
      </c>
      <c r="H617" s="17" t="n">
        <f aca="false">IF(INDEX(選手一覧!$E$7:$E$2738,$F617)="","",INDEX(選手一覧!$E$7:$E$2738,$F617))</f>
        <v>726</v>
      </c>
      <c r="I617" s="16" t="str">
        <f aca="false">IF(INDEX(選手一覧!$H$7:$H$2738,$F617)="","",INDEX(選手一覧!$H$7:$H$2738,$F617))</f>
        <v/>
      </c>
      <c r="J617" s="17" t="str">
        <f aca="false">IF(INDEX(選手一覧!$I$7:$I$2738,$F617)="","",INDEX(選手一覧!$I$7:$I$2738,$F617))</f>
        <v/>
      </c>
    </row>
    <row r="618" customFormat="false" ht="15" hidden="false" customHeight="false" outlineLevel="0" collapsed="false">
      <c r="A618" s="17" t="n">
        <v>614</v>
      </c>
      <c r="B618" s="12" t="s">
        <v>812</v>
      </c>
      <c r="C618" s="12" t="s">
        <v>51</v>
      </c>
      <c r="D618" s="16" t="n">
        <v>0.0028568287037037</v>
      </c>
      <c r="E618" s="15" t="n">
        <f aca="false">ROUND((D618-$D$5)*86400,2)</f>
        <v>21.8</v>
      </c>
      <c r="F618" s="17" t="n">
        <v>459</v>
      </c>
      <c r="G618" s="16" t="n">
        <f aca="false">IF(INDEX(選手一覧!$D$7:$D$2738,$F618)="","",INDEX(選手一覧!$D$7:$D$2738,$F618))</f>
        <v>0.0105972222222222</v>
      </c>
      <c r="H618" s="17" t="n">
        <f aca="false">IF(INDEX(選手一覧!$E$7:$E$2738,$F618)="","",INDEX(選手一覧!$E$7:$E$2738,$F618))</f>
        <v>460</v>
      </c>
      <c r="I618" s="16" t="str">
        <f aca="false">IF(INDEX(選手一覧!$H$7:$H$2738,$F618)="","",INDEX(選手一覧!$H$7:$H$2738,$F618))</f>
        <v/>
      </c>
      <c r="J618" s="17" t="str">
        <f aca="false">IF(INDEX(選手一覧!$I$7:$I$2738,$F618)="","",INDEX(選手一覧!$I$7:$I$2738,$F618))</f>
        <v/>
      </c>
    </row>
    <row r="619" customFormat="false" ht="15" hidden="false" customHeight="false" outlineLevel="0" collapsed="false">
      <c r="A619" s="17" t="n">
        <v>615</v>
      </c>
      <c r="B619" s="12" t="s">
        <v>2676</v>
      </c>
      <c r="C619" s="12" t="s">
        <v>1458</v>
      </c>
      <c r="D619" s="16" t="n">
        <v>0.0028568287037037</v>
      </c>
      <c r="E619" s="15" t="n">
        <f aca="false">ROUND((D619-$D$5)*86400,2)</f>
        <v>21.8</v>
      </c>
      <c r="F619" s="17" t="n">
        <v>1712</v>
      </c>
      <c r="G619" s="16" t="str">
        <f aca="false">IF(INDEX(選手一覧!$D$7:$D$2738,$F619)="","",INDEX(選手一覧!$D$7:$D$2738,$F619))</f>
        <v/>
      </c>
      <c r="H619" s="17" t="str">
        <f aca="false">IF(INDEX(選手一覧!$E$7:$E$2738,$F619)="","",INDEX(選手一覧!$E$7:$E$2738,$F619))</f>
        <v/>
      </c>
      <c r="I619" s="16" t="str">
        <f aca="false">IF(INDEX(選手一覧!$H$7:$H$2738,$F619)="","",INDEX(選手一覧!$H$7:$H$2738,$F619))</f>
        <v/>
      </c>
      <c r="J619" s="17" t="str">
        <f aca="false">IF(INDEX(選手一覧!$I$7:$I$2738,$F619)="","",INDEX(選手一覧!$I$7:$I$2738,$F619))</f>
        <v/>
      </c>
    </row>
    <row r="620" customFormat="false" ht="15" hidden="false" customHeight="false" outlineLevel="0" collapsed="false">
      <c r="A620" s="17" t="n">
        <v>616</v>
      </c>
      <c r="B620" s="12" t="s">
        <v>890</v>
      </c>
      <c r="C620" s="12" t="s">
        <v>742</v>
      </c>
      <c r="D620" s="16" t="n">
        <v>0.00285717592592593</v>
      </c>
      <c r="E620" s="15" t="n">
        <f aca="false">ROUND((D620-$D$5)*86400,2)</f>
        <v>21.83</v>
      </c>
      <c r="F620" s="17" t="n">
        <v>506</v>
      </c>
      <c r="G620" s="16" t="n">
        <f aca="false">IF(INDEX(選手一覧!$D$7:$D$2738,$F620)="","",INDEX(選手一覧!$D$7:$D$2738,$F620))</f>
        <v>0.0106331018518519</v>
      </c>
      <c r="H620" s="17" t="n">
        <f aca="false">IF(INDEX(選手一覧!$E$7:$E$2738,$F620)="","",INDEX(選手一覧!$E$7:$E$2738,$F620))</f>
        <v>507</v>
      </c>
      <c r="I620" s="16" t="str">
        <f aca="false">IF(INDEX(選手一覧!$H$7:$H$2738,$F620)="","",INDEX(選手一覧!$H$7:$H$2738,$F620))</f>
        <v/>
      </c>
      <c r="J620" s="17" t="str">
        <f aca="false">IF(INDEX(選手一覧!$I$7:$I$2738,$F620)="","",INDEX(選手一覧!$I$7:$I$2738,$F620))</f>
        <v/>
      </c>
    </row>
    <row r="621" customFormat="false" ht="15" hidden="false" customHeight="false" outlineLevel="0" collapsed="false">
      <c r="A621" s="17" t="n">
        <v>617</v>
      </c>
      <c r="B621" s="12" t="s">
        <v>1988</v>
      </c>
      <c r="C621" s="12" t="s">
        <v>167</v>
      </c>
      <c r="D621" s="16" t="n">
        <v>0.00285729166666667</v>
      </c>
      <c r="E621" s="15" t="n">
        <f aca="false">ROUND((D621-$D$5)*86400,2)</f>
        <v>21.84</v>
      </c>
      <c r="F621" s="17" t="n">
        <v>1248</v>
      </c>
      <c r="G621" s="16" t="n">
        <f aca="false">IF(INDEX(選手一覧!$D$7:$D$2738,$F621)="","",INDEX(選手一覧!$D$7:$D$2738,$F621))</f>
        <v>0.0110791666666667</v>
      </c>
      <c r="H621" s="17" t="n">
        <f aca="false">IF(INDEX(選手一覧!$E$7:$E$2738,$F621)="","",INDEX(選手一覧!$E$7:$E$2738,$F621))</f>
        <v>1249</v>
      </c>
      <c r="I621" s="16" t="n">
        <f aca="false">IF(INDEX(選手一覧!$H$7:$H$2738,$F621)="","",INDEX(選手一覧!$H$7:$H$2738,$F621))</f>
        <v>0.00676053240740741</v>
      </c>
      <c r="J621" s="17" t="n">
        <f aca="false">IF(INDEX(選手一覧!$I$7:$I$2738,$F621)="","",INDEX(選手一覧!$I$7:$I$2738,$F621))</f>
        <v>135</v>
      </c>
    </row>
    <row r="622" customFormat="false" ht="15" hidden="false" customHeight="false" outlineLevel="0" collapsed="false">
      <c r="A622" s="17" t="n">
        <v>618</v>
      </c>
      <c r="B622" s="12" t="s">
        <v>1620</v>
      </c>
      <c r="C622" s="12" t="s">
        <v>1371</v>
      </c>
      <c r="D622" s="16" t="n">
        <v>0.00285740740740741</v>
      </c>
      <c r="E622" s="15" t="n">
        <f aca="false">ROUND((D622-$D$5)*86400,2)</f>
        <v>21.85</v>
      </c>
      <c r="F622" s="17" t="n">
        <v>995</v>
      </c>
      <c r="G622" s="16" t="n">
        <f aca="false">IF(INDEX(選手一覧!$D$7:$D$2738,$F622)="","",INDEX(選手一覧!$D$7:$D$2738,$F622))</f>
        <v>0.0109490740740741</v>
      </c>
      <c r="H622" s="17" t="n">
        <f aca="false">IF(INDEX(選手一覧!$E$7:$E$2738,$F622)="","",INDEX(選手一覧!$E$7:$E$2738,$F622))</f>
        <v>996</v>
      </c>
      <c r="I622" s="16" t="n">
        <f aca="false">IF(INDEX(選手一覧!$H$7:$H$2738,$F622)="","",INDEX(選手一覧!$H$7:$H$2738,$F622))</f>
        <v>0.00645844907407407</v>
      </c>
      <c r="J622" s="17" t="n">
        <f aca="false">IF(INDEX(選手一覧!$I$7:$I$2738,$F622)="","",INDEX(選手一覧!$I$7:$I$2738,$F622))</f>
        <v>24</v>
      </c>
    </row>
    <row r="623" customFormat="false" ht="15" hidden="false" customHeight="false" outlineLevel="0" collapsed="false">
      <c r="A623" s="17" t="n">
        <v>619</v>
      </c>
      <c r="B623" s="12" t="s">
        <v>2685</v>
      </c>
      <c r="C623" s="12" t="s">
        <v>2686</v>
      </c>
      <c r="D623" s="16" t="n">
        <v>0.00285740740740741</v>
      </c>
      <c r="E623" s="15" t="n">
        <f aca="false">ROUND((D623-$D$5)*86400,2)</f>
        <v>21.85</v>
      </c>
      <c r="F623" s="17" t="n">
        <v>1717</v>
      </c>
      <c r="G623" s="16" t="str">
        <f aca="false">IF(INDEX(選手一覧!$D$7:$D$2738,$F623)="","",INDEX(選手一覧!$D$7:$D$2738,$F623))</f>
        <v/>
      </c>
      <c r="H623" s="17" t="str">
        <f aca="false">IF(INDEX(選手一覧!$E$7:$E$2738,$F623)="","",INDEX(選手一覧!$E$7:$E$2738,$F623))</f>
        <v/>
      </c>
      <c r="I623" s="16" t="str">
        <f aca="false">IF(INDEX(選手一覧!$H$7:$H$2738,$F623)="","",INDEX(選手一覧!$H$7:$H$2738,$F623))</f>
        <v/>
      </c>
      <c r="J623" s="17" t="str">
        <f aca="false">IF(INDEX(選手一覧!$I$7:$I$2738,$F623)="","",INDEX(選手一覧!$I$7:$I$2738,$F623))</f>
        <v/>
      </c>
    </row>
    <row r="624" customFormat="false" ht="15" hidden="false" customHeight="false" outlineLevel="0" collapsed="false">
      <c r="A624" s="17" t="n">
        <v>620</v>
      </c>
      <c r="B624" s="12" t="s">
        <v>1896</v>
      </c>
      <c r="C624" s="12" t="s">
        <v>1154</v>
      </c>
      <c r="D624" s="16" t="n">
        <v>0.00285763888888889</v>
      </c>
      <c r="E624" s="15" t="n">
        <f aca="false">ROUND((D624-$D$5)*86400,2)</f>
        <v>21.87</v>
      </c>
      <c r="F624" s="17" t="n">
        <v>1179</v>
      </c>
      <c r="G624" s="16" t="n">
        <f aca="false">IF(INDEX(選手一覧!$D$7:$D$2738,$F624)="","",INDEX(選手一覧!$D$7:$D$2738,$F624))</f>
        <v>0.0110408564814815</v>
      </c>
      <c r="H624" s="17" t="n">
        <f aca="false">IF(INDEX(選手一覧!$E$7:$E$2738,$F624)="","",INDEX(選手一覧!$E$7:$E$2738,$F624))</f>
        <v>1180</v>
      </c>
      <c r="I624" s="16" t="str">
        <f aca="false">IF(INDEX(選手一覧!$H$7:$H$2738,$F624)="","",INDEX(選手一覧!$H$7:$H$2738,$F624))</f>
        <v/>
      </c>
      <c r="J624" s="17" t="str">
        <f aca="false">IF(INDEX(選手一覧!$I$7:$I$2738,$F624)="","",INDEX(選手一覧!$I$7:$I$2738,$F624))</f>
        <v/>
      </c>
    </row>
    <row r="625" customFormat="false" ht="15" hidden="false" customHeight="false" outlineLevel="0" collapsed="false">
      <c r="A625" s="17" t="n">
        <v>621</v>
      </c>
      <c r="B625" s="12" t="s">
        <v>1773</v>
      </c>
      <c r="C625" s="12" t="s">
        <v>127</v>
      </c>
      <c r="D625" s="16" t="n">
        <v>0.00285775462962963</v>
      </c>
      <c r="E625" s="15" t="n">
        <f aca="false">ROUND((D625-$D$5)*86400,2)</f>
        <v>21.88</v>
      </c>
      <c r="F625" s="17" t="n">
        <v>1097</v>
      </c>
      <c r="G625" s="16" t="n">
        <f aca="false">IF(INDEX(選手一覧!$D$7:$D$2738,$F625)="","",INDEX(選手一覧!$D$7:$D$2738,$F625))</f>
        <v>0.0110020833333333</v>
      </c>
      <c r="H625" s="17" t="n">
        <f aca="false">IF(INDEX(選手一覧!$E$7:$E$2738,$F625)="","",INDEX(選手一覧!$E$7:$E$2738,$F625))</f>
        <v>1098</v>
      </c>
      <c r="I625" s="16" t="n">
        <f aca="false">IF(INDEX(選手一覧!$H$7:$H$2738,$F625)="","",INDEX(選手一覧!$H$7:$H$2738,$F625))</f>
        <v>0.00689513888888889</v>
      </c>
      <c r="J625" s="17" t="n">
        <f aca="false">IF(INDEX(選手一覧!$I$7:$I$2738,$F625)="","",INDEX(選手一覧!$I$7:$I$2738,$F625))</f>
        <v>235</v>
      </c>
    </row>
    <row r="626" customFormat="false" ht="15" hidden="false" customHeight="false" outlineLevel="0" collapsed="false">
      <c r="A626" s="17" t="n">
        <v>622</v>
      </c>
      <c r="B626" s="12" t="s">
        <v>1052</v>
      </c>
      <c r="C626" s="12" t="s">
        <v>43</v>
      </c>
      <c r="D626" s="16" t="n">
        <v>0.00285810185185185</v>
      </c>
      <c r="E626" s="15" t="n">
        <f aca="false">ROUND((D626-$D$5)*86400,2)</f>
        <v>21.91</v>
      </c>
      <c r="F626" s="17" t="n">
        <v>614</v>
      </c>
      <c r="G626" s="16" t="n">
        <f aca="false">IF(INDEX(選手一覧!$D$7:$D$2738,$F626)="","",INDEX(選手一覧!$D$7:$D$2738,$F626))</f>
        <v>0.0107228009259259</v>
      </c>
      <c r="H626" s="17" t="n">
        <f aca="false">IF(INDEX(選手一覧!$E$7:$E$2738,$F626)="","",INDEX(選手一覧!$E$7:$E$2738,$F626))</f>
        <v>615</v>
      </c>
      <c r="I626" s="16" t="n">
        <f aca="false">IF(INDEX(選手一覧!$H$7:$H$2738,$F626)="","",INDEX(選手一覧!$H$7:$H$2738,$F626))</f>
        <v>0.00667372685185185</v>
      </c>
      <c r="J626" s="17" t="n">
        <f aca="false">IF(INDEX(選手一覧!$I$7:$I$2738,$F626)="","",INDEX(選手一覧!$I$7:$I$2738,$F626))</f>
        <v>93</v>
      </c>
    </row>
    <row r="627" customFormat="false" ht="15" hidden="false" customHeight="false" outlineLevel="0" collapsed="false">
      <c r="A627" s="17" t="n">
        <v>623</v>
      </c>
      <c r="B627" s="12" t="s">
        <v>553</v>
      </c>
      <c r="C627" s="12" t="s">
        <v>438</v>
      </c>
      <c r="D627" s="16" t="n">
        <v>0.00285821759259259</v>
      </c>
      <c r="E627" s="15" t="n">
        <f aca="false">ROUND((D627-$D$5)*86400,2)</f>
        <v>21.92</v>
      </c>
      <c r="F627" s="17" t="n">
        <v>294</v>
      </c>
      <c r="G627" s="16" t="n">
        <f aca="false">IF(INDEX(選手一覧!$D$7:$D$2738,$F627)="","",INDEX(選手一覧!$D$7:$D$2738,$F627))</f>
        <v>0.0104319444444445</v>
      </c>
      <c r="H627" s="17" t="n">
        <f aca="false">IF(INDEX(選手一覧!$E$7:$E$2738,$F627)="","",INDEX(選手一覧!$E$7:$E$2738,$F627))</f>
        <v>295</v>
      </c>
      <c r="I627" s="16" t="n">
        <f aca="false">IF(INDEX(選手一覧!$H$7:$H$2738,$F627)="","",INDEX(選手一覧!$H$7:$H$2738,$F627))</f>
        <v>0.00650046296296296</v>
      </c>
      <c r="J627" s="17" t="n">
        <f aca="false">IF(INDEX(選手一覧!$I$7:$I$2738,$F627)="","",INDEX(選手一覧!$I$7:$I$2738,$F627))</f>
        <v>36</v>
      </c>
    </row>
    <row r="628" customFormat="false" ht="15" hidden="false" customHeight="false" outlineLevel="0" collapsed="false">
      <c r="A628" s="17" t="n">
        <v>624</v>
      </c>
      <c r="B628" s="12" t="s">
        <v>1536</v>
      </c>
      <c r="C628" s="12" t="s">
        <v>101</v>
      </c>
      <c r="D628" s="16" t="n">
        <v>0.00285833333333333</v>
      </c>
      <c r="E628" s="15" t="n">
        <f aca="false">ROUND((D628-$D$5)*86400,2)</f>
        <v>21.93</v>
      </c>
      <c r="F628" s="17" t="n">
        <v>936</v>
      </c>
      <c r="G628" s="16" t="n">
        <f aca="false">IF(INDEX(選手一覧!$D$7:$D$2738,$F628)="","",INDEX(選手一覧!$D$7:$D$2738,$F628))</f>
        <v>0.0109090277777778</v>
      </c>
      <c r="H628" s="17" t="n">
        <f aca="false">IF(INDEX(選手一覧!$E$7:$E$2738,$F628)="","",INDEX(選手一覧!$E$7:$E$2738,$F628))</f>
        <v>937</v>
      </c>
      <c r="I628" s="16" t="n">
        <f aca="false">IF(INDEX(選手一覧!$H$7:$H$2738,$F628)="","",INDEX(選手一覧!$H$7:$H$2738,$F628))</f>
        <v>0.0069212962962963</v>
      </c>
      <c r="J628" s="17" t="n">
        <f aca="false">IF(INDEX(選手一覧!$I$7:$I$2738,$F628)="","",INDEX(選手一覧!$I$7:$I$2738,$F628))</f>
        <v>259</v>
      </c>
    </row>
    <row r="629" customFormat="false" ht="15" hidden="false" customHeight="false" outlineLevel="0" collapsed="false">
      <c r="A629" s="17" t="n">
        <v>625</v>
      </c>
      <c r="B629" s="12" t="s">
        <v>2693</v>
      </c>
      <c r="C629" s="12" t="s">
        <v>491</v>
      </c>
      <c r="D629" s="16" t="n">
        <v>0.00285868055555556</v>
      </c>
      <c r="E629" s="15" t="n">
        <f aca="false">ROUND((D629-$D$5)*86400,2)</f>
        <v>21.96</v>
      </c>
      <c r="F629" s="17" t="n">
        <v>1722</v>
      </c>
      <c r="G629" s="16" t="str">
        <f aca="false">IF(INDEX(選手一覧!$D$7:$D$2738,$F629)="","",INDEX(選手一覧!$D$7:$D$2738,$F629))</f>
        <v/>
      </c>
      <c r="H629" s="17" t="str">
        <f aca="false">IF(INDEX(選手一覧!$E$7:$E$2738,$F629)="","",INDEX(選手一覧!$E$7:$E$2738,$F629))</f>
        <v/>
      </c>
      <c r="I629" s="16" t="str">
        <f aca="false">IF(INDEX(選手一覧!$H$7:$H$2738,$F629)="","",INDEX(選手一覧!$H$7:$H$2738,$F629))</f>
        <v/>
      </c>
      <c r="J629" s="17" t="str">
        <f aca="false">IF(INDEX(選手一覧!$I$7:$I$2738,$F629)="","",INDEX(選手一覧!$I$7:$I$2738,$F629))</f>
        <v/>
      </c>
    </row>
    <row r="630" customFormat="false" ht="15" hidden="false" customHeight="false" outlineLevel="0" collapsed="false">
      <c r="A630" s="17" t="n">
        <v>626</v>
      </c>
      <c r="B630" s="12" t="s">
        <v>2695</v>
      </c>
      <c r="C630" s="12" t="s">
        <v>2125</v>
      </c>
      <c r="D630" s="16" t="n">
        <v>0.0028587962962963</v>
      </c>
      <c r="E630" s="15" t="n">
        <f aca="false">ROUND((D630-$D$5)*86400,2)</f>
        <v>21.97</v>
      </c>
      <c r="F630" s="17" t="n">
        <v>1724</v>
      </c>
      <c r="G630" s="16" t="str">
        <f aca="false">IF(INDEX(選手一覧!$D$7:$D$2738,$F630)="","",INDEX(選手一覧!$D$7:$D$2738,$F630))</f>
        <v/>
      </c>
      <c r="H630" s="17" t="str">
        <f aca="false">IF(INDEX(選手一覧!$E$7:$E$2738,$F630)="","",INDEX(選手一覧!$E$7:$E$2738,$F630))</f>
        <v/>
      </c>
      <c r="I630" s="16" t="str">
        <f aca="false">IF(INDEX(選手一覧!$H$7:$H$2738,$F630)="","",INDEX(選手一覧!$H$7:$H$2738,$F630))</f>
        <v/>
      </c>
      <c r="J630" s="17" t="str">
        <f aca="false">IF(INDEX(選手一覧!$I$7:$I$2738,$F630)="","",INDEX(選手一覧!$I$7:$I$2738,$F630))</f>
        <v/>
      </c>
    </row>
    <row r="631" customFormat="false" ht="15" hidden="false" customHeight="false" outlineLevel="0" collapsed="false">
      <c r="A631" s="17" t="n">
        <v>627</v>
      </c>
      <c r="B631" s="12" t="s">
        <v>1195</v>
      </c>
      <c r="C631" s="12" t="s">
        <v>1196</v>
      </c>
      <c r="D631" s="16" t="n">
        <v>0.0028587962962963</v>
      </c>
      <c r="E631" s="15" t="n">
        <f aca="false">ROUND((D631-$D$5)*86400,2)</f>
        <v>21.97</v>
      </c>
      <c r="F631" s="17" t="n">
        <v>710</v>
      </c>
      <c r="G631" s="16" t="n">
        <f aca="false">IF(INDEX(選手一覧!$D$7:$D$2738,$F631)="","",INDEX(選手一覧!$D$7:$D$2738,$F631))</f>
        <v>0.010783912037037</v>
      </c>
      <c r="H631" s="17" t="n">
        <f aca="false">IF(INDEX(選手一覧!$E$7:$E$2738,$F631)="","",INDEX(選手一覧!$E$7:$E$2738,$F631))</f>
        <v>711</v>
      </c>
      <c r="I631" s="16" t="str">
        <f aca="false">IF(INDEX(選手一覧!$H$7:$H$2738,$F631)="","",INDEX(選手一覧!$H$7:$H$2738,$F631))</f>
        <v/>
      </c>
      <c r="J631" s="17" t="str">
        <f aca="false">IF(INDEX(選手一覧!$I$7:$I$2738,$F631)="","",INDEX(選手一覧!$I$7:$I$2738,$F631))</f>
        <v/>
      </c>
    </row>
    <row r="632" customFormat="false" ht="15" hidden="false" customHeight="false" outlineLevel="0" collapsed="false">
      <c r="A632" s="17" t="n">
        <v>628</v>
      </c>
      <c r="B632" s="12" t="s">
        <v>1234</v>
      </c>
      <c r="C632" s="12" t="s">
        <v>623</v>
      </c>
      <c r="D632" s="16" t="n">
        <v>0.0028587962962963</v>
      </c>
      <c r="E632" s="15" t="n">
        <f aca="false">ROUND((D632-$D$5)*86400,2)</f>
        <v>21.97</v>
      </c>
      <c r="F632" s="17" t="n">
        <v>735</v>
      </c>
      <c r="G632" s="16" t="n">
        <f aca="false">IF(INDEX(選手一覧!$D$7:$D$2738,$F632)="","",INDEX(選手一覧!$D$7:$D$2738,$F632))</f>
        <v>0.010796875</v>
      </c>
      <c r="H632" s="17" t="n">
        <f aca="false">IF(INDEX(選手一覧!$E$7:$E$2738,$F632)="","",INDEX(選手一覧!$E$7:$E$2738,$F632))</f>
        <v>736</v>
      </c>
      <c r="I632" s="16" t="str">
        <f aca="false">IF(INDEX(選手一覧!$H$7:$H$2738,$F632)="","",INDEX(選手一覧!$H$7:$H$2738,$F632))</f>
        <v/>
      </c>
      <c r="J632" s="17" t="str">
        <f aca="false">IF(INDEX(選手一覧!$I$7:$I$2738,$F632)="","",INDEX(選手一覧!$I$7:$I$2738,$F632))</f>
        <v/>
      </c>
    </row>
    <row r="633" customFormat="false" ht="15" hidden="false" customHeight="false" outlineLevel="0" collapsed="false">
      <c r="A633" s="17" t="n">
        <v>629</v>
      </c>
      <c r="B633" s="12" t="s">
        <v>2699</v>
      </c>
      <c r="C633" s="12" t="s">
        <v>2541</v>
      </c>
      <c r="D633" s="16" t="n">
        <v>0.00285914351851852</v>
      </c>
      <c r="E633" s="15" t="n">
        <f aca="false">ROUND((D633-$D$5)*86400,2)</f>
        <v>22</v>
      </c>
      <c r="F633" s="17" t="n">
        <v>1727</v>
      </c>
      <c r="G633" s="16" t="str">
        <f aca="false">IF(INDEX(選手一覧!$D$7:$D$2738,$F633)="","",INDEX(選手一覧!$D$7:$D$2738,$F633))</f>
        <v/>
      </c>
      <c r="H633" s="17" t="str">
        <f aca="false">IF(INDEX(選手一覧!$E$7:$E$2738,$F633)="","",INDEX(選手一覧!$E$7:$E$2738,$F633))</f>
        <v/>
      </c>
      <c r="I633" s="16" t="str">
        <f aca="false">IF(INDEX(選手一覧!$H$7:$H$2738,$F633)="","",INDEX(選手一覧!$H$7:$H$2738,$F633))</f>
        <v/>
      </c>
      <c r="J633" s="17" t="str">
        <f aca="false">IF(INDEX(選手一覧!$I$7:$I$2738,$F633)="","",INDEX(選手一覧!$I$7:$I$2738,$F633))</f>
        <v/>
      </c>
    </row>
    <row r="634" customFormat="false" ht="15" hidden="false" customHeight="false" outlineLevel="0" collapsed="false">
      <c r="A634" s="17" t="n">
        <v>630</v>
      </c>
      <c r="B634" s="12" t="s">
        <v>221</v>
      </c>
      <c r="C634" s="12" t="s">
        <v>161</v>
      </c>
      <c r="D634" s="16" t="n">
        <v>0.00285925925925926</v>
      </c>
      <c r="E634" s="15" t="n">
        <f aca="false">ROUND((D634-$D$5)*86400,2)</f>
        <v>22.01</v>
      </c>
      <c r="F634" s="17" t="n">
        <v>101</v>
      </c>
      <c r="G634" s="16" t="n">
        <f aca="false">IF(INDEX(選手一覧!$D$7:$D$2738,$F634)="","",INDEX(選手一覧!$D$7:$D$2738,$F634))</f>
        <v>0.0102140046296296</v>
      </c>
      <c r="H634" s="17" t="n">
        <f aca="false">IF(INDEX(選手一覧!$E$7:$E$2738,$F634)="","",INDEX(選手一覧!$E$7:$E$2738,$F634))</f>
        <v>102</v>
      </c>
      <c r="I634" s="16" t="n">
        <f aca="false">IF(INDEX(選手一覧!$H$7:$H$2738,$F634)="","",INDEX(選手一覧!$H$7:$H$2738,$F634))</f>
        <v>0.00633553240740741</v>
      </c>
      <c r="J634" s="17" t="n">
        <f aca="false">IF(INDEX(選手一覧!$I$7:$I$2738,$F634)="","",INDEX(選手一覧!$I$7:$I$2738,$F634))</f>
        <v>6</v>
      </c>
    </row>
    <row r="635" customFormat="false" ht="15" hidden="false" customHeight="false" outlineLevel="0" collapsed="false">
      <c r="A635" s="17" t="n">
        <v>631</v>
      </c>
      <c r="B635" s="12" t="s">
        <v>2702</v>
      </c>
      <c r="C635" s="12" t="s">
        <v>873</v>
      </c>
      <c r="D635" s="16" t="n">
        <v>0.00285925925925926</v>
      </c>
      <c r="E635" s="15" t="n">
        <f aca="false">ROUND((D635-$D$5)*86400,2)</f>
        <v>22.01</v>
      </c>
      <c r="F635" s="17" t="n">
        <v>1729</v>
      </c>
      <c r="G635" s="16" t="str">
        <f aca="false">IF(INDEX(選手一覧!$D$7:$D$2738,$F635)="","",INDEX(選手一覧!$D$7:$D$2738,$F635))</f>
        <v/>
      </c>
      <c r="H635" s="17" t="str">
        <f aca="false">IF(INDEX(選手一覧!$E$7:$E$2738,$F635)="","",INDEX(選手一覧!$E$7:$E$2738,$F635))</f>
        <v/>
      </c>
      <c r="I635" s="16" t="str">
        <f aca="false">IF(INDEX(選手一覧!$H$7:$H$2738,$F635)="","",INDEX(選手一覧!$H$7:$H$2738,$F635))</f>
        <v/>
      </c>
      <c r="J635" s="17" t="str">
        <f aca="false">IF(INDEX(選手一覧!$I$7:$I$2738,$F635)="","",INDEX(選手一覧!$I$7:$I$2738,$F635))</f>
        <v/>
      </c>
    </row>
    <row r="636" customFormat="false" ht="15" hidden="false" customHeight="false" outlineLevel="0" collapsed="false">
      <c r="A636" s="17" t="n">
        <v>632</v>
      </c>
      <c r="B636" s="12" t="s">
        <v>1737</v>
      </c>
      <c r="C636" s="12" t="s">
        <v>1738</v>
      </c>
      <c r="D636" s="16" t="n">
        <v>0.00285983796296296</v>
      </c>
      <c r="E636" s="15" t="n">
        <f aca="false">ROUND((D636-$D$5)*86400,2)</f>
        <v>22.06</v>
      </c>
      <c r="F636" s="17" t="n">
        <v>1073</v>
      </c>
      <c r="G636" s="16" t="n">
        <f aca="false">IF(INDEX(選手一覧!$D$7:$D$2738,$F636)="","",INDEX(選手一覧!$D$7:$D$2738,$F636))</f>
        <v>0.0109866898148148</v>
      </c>
      <c r="H636" s="17" t="n">
        <f aca="false">IF(INDEX(選手一覧!$E$7:$E$2738,$F636)="","",INDEX(選手一覧!$E$7:$E$2738,$F636))</f>
        <v>1074</v>
      </c>
      <c r="I636" s="16" t="n">
        <f aca="false">IF(INDEX(選手一覧!$H$7:$H$2738,$F636)="","",INDEX(選手一覧!$H$7:$H$2738,$F636))</f>
        <v>0.00723148148148148</v>
      </c>
      <c r="J636" s="17" t="n">
        <f aca="false">IF(INDEX(選手一覧!$I$7:$I$2738,$F636)="","",INDEX(選手一覧!$I$7:$I$2738,$F636))</f>
        <v>575</v>
      </c>
    </row>
    <row r="637" customFormat="false" ht="15" hidden="false" customHeight="false" outlineLevel="0" collapsed="false">
      <c r="A637" s="17" t="n">
        <v>633</v>
      </c>
      <c r="B637" s="12" t="s">
        <v>887</v>
      </c>
      <c r="C637" s="12" t="s">
        <v>888</v>
      </c>
      <c r="D637" s="16" t="n">
        <v>0.00285983796296296</v>
      </c>
      <c r="E637" s="15" t="n">
        <f aca="false">ROUND((D637-$D$5)*86400,2)</f>
        <v>22.06</v>
      </c>
      <c r="F637" s="17" t="n">
        <v>504</v>
      </c>
      <c r="G637" s="16" t="n">
        <f aca="false">IF(INDEX(選手一覧!$D$7:$D$2738,$F637)="","",INDEX(選手一覧!$D$7:$D$2738,$F637))</f>
        <v>0.01063125</v>
      </c>
      <c r="H637" s="17" t="n">
        <f aca="false">IF(INDEX(選手一覧!$E$7:$E$2738,$F637)="","",INDEX(選手一覧!$E$7:$E$2738,$F637))</f>
        <v>505</v>
      </c>
      <c r="I637" s="16" t="n">
        <f aca="false">IF(INDEX(選手一覧!$H$7:$H$2738,$F637)="","",INDEX(選手一覧!$H$7:$H$2738,$F637))</f>
        <v>0.00687268518518519</v>
      </c>
      <c r="J637" s="17" t="n">
        <f aca="false">IF(INDEX(選手一覧!$I$7:$I$2738,$F637)="","",INDEX(選手一覧!$I$7:$I$2738,$F637))</f>
        <v>221</v>
      </c>
    </row>
    <row r="638" customFormat="false" ht="15" hidden="false" customHeight="false" outlineLevel="0" collapsed="false">
      <c r="A638" s="17" t="n">
        <v>634</v>
      </c>
      <c r="B638" s="12" t="s">
        <v>1778</v>
      </c>
      <c r="C638" s="12" t="s">
        <v>1590</v>
      </c>
      <c r="D638" s="16" t="n">
        <v>0.0028599537037037</v>
      </c>
      <c r="E638" s="15" t="n">
        <f aca="false">ROUND((D638-$D$5)*86400,2)</f>
        <v>22.07</v>
      </c>
      <c r="F638" s="17" t="n">
        <v>1100</v>
      </c>
      <c r="G638" s="16" t="n">
        <f aca="false">IF(INDEX(選手一覧!$D$7:$D$2738,$F638)="","",INDEX(選手一覧!$D$7:$D$2738,$F638))</f>
        <v>0.0110046296296296</v>
      </c>
      <c r="H638" s="17" t="n">
        <f aca="false">IF(INDEX(選手一覧!$E$7:$E$2738,$F638)="","",INDEX(選手一覧!$E$7:$E$2738,$F638))</f>
        <v>1101</v>
      </c>
      <c r="I638" s="16" t="str">
        <f aca="false">IF(INDEX(選手一覧!$H$7:$H$2738,$F638)="","",INDEX(選手一覧!$H$7:$H$2738,$F638))</f>
        <v/>
      </c>
      <c r="J638" s="17" t="str">
        <f aca="false">IF(INDEX(選手一覧!$I$7:$I$2738,$F638)="","",INDEX(選手一覧!$I$7:$I$2738,$F638))</f>
        <v/>
      </c>
    </row>
    <row r="639" customFormat="false" ht="15" hidden="false" customHeight="false" outlineLevel="0" collapsed="false">
      <c r="A639" s="17" t="n">
        <v>635</v>
      </c>
      <c r="B639" s="12" t="s">
        <v>807</v>
      </c>
      <c r="C639" s="12" t="s">
        <v>530</v>
      </c>
      <c r="D639" s="16" t="n">
        <v>0.00286006944444445</v>
      </c>
      <c r="E639" s="15" t="n">
        <f aca="false">ROUND((D639-$D$5)*86400,2)</f>
        <v>22.08</v>
      </c>
      <c r="F639" s="17" t="n">
        <v>455</v>
      </c>
      <c r="G639" s="16" t="n">
        <f aca="false">IF(INDEX(選手一覧!$D$7:$D$2738,$F639)="","",INDEX(選手一覧!$D$7:$D$2738,$F639))</f>
        <v>0.0105909722222222</v>
      </c>
      <c r="H639" s="17" t="n">
        <f aca="false">IF(INDEX(選手一覧!$E$7:$E$2738,$F639)="","",INDEX(選手一覧!$E$7:$E$2738,$F639))</f>
        <v>456</v>
      </c>
      <c r="I639" s="16" t="str">
        <f aca="false">IF(INDEX(選手一覧!$H$7:$H$2738,$F639)="","",INDEX(選手一覧!$H$7:$H$2738,$F639))</f>
        <v/>
      </c>
      <c r="J639" s="17" t="str">
        <f aca="false">IF(INDEX(選手一覧!$I$7:$I$2738,$F639)="","",INDEX(選手一覧!$I$7:$I$2738,$F639))</f>
        <v/>
      </c>
    </row>
    <row r="640" customFormat="false" ht="15" hidden="false" customHeight="false" outlineLevel="0" collapsed="false">
      <c r="A640" s="17" t="n">
        <v>636</v>
      </c>
      <c r="B640" s="12" t="s">
        <v>962</v>
      </c>
      <c r="C640" s="12" t="s">
        <v>96</v>
      </c>
      <c r="D640" s="16" t="n">
        <v>0.00286006944444445</v>
      </c>
      <c r="E640" s="15" t="n">
        <f aca="false">ROUND((D640-$D$5)*86400,2)</f>
        <v>22.08</v>
      </c>
      <c r="F640" s="17" t="n">
        <v>551</v>
      </c>
      <c r="G640" s="16" t="n">
        <f aca="false">IF(INDEX(選手一覧!$D$7:$D$2738,$F640)="","",INDEX(選手一覧!$D$7:$D$2738,$F640))</f>
        <v>0.0106728009259259</v>
      </c>
      <c r="H640" s="17" t="n">
        <f aca="false">IF(INDEX(選手一覧!$E$7:$E$2738,$F640)="","",INDEX(選手一覧!$E$7:$E$2738,$F640))</f>
        <v>552</v>
      </c>
      <c r="I640" s="16" t="n">
        <f aca="false">IF(INDEX(選手一覧!$H$7:$H$2738,$F640)="","",INDEX(選手一覧!$H$7:$H$2738,$F640))</f>
        <v>0.00665798611111111</v>
      </c>
      <c r="J640" s="17" t="n">
        <f aca="false">IF(INDEX(選手一覧!$I$7:$I$2738,$F640)="","",INDEX(選手一覧!$I$7:$I$2738,$F640))</f>
        <v>86</v>
      </c>
    </row>
    <row r="641" customFormat="false" ht="15" hidden="false" customHeight="false" outlineLevel="0" collapsed="false">
      <c r="A641" s="17" t="n">
        <v>637</v>
      </c>
      <c r="B641" s="12" t="s">
        <v>926</v>
      </c>
      <c r="C641" s="12" t="s">
        <v>728</v>
      </c>
      <c r="D641" s="16" t="n">
        <v>0.00286041666666667</v>
      </c>
      <c r="E641" s="15" t="n">
        <f aca="false">ROUND((D641-$D$5)*86400,2)</f>
        <v>22.11</v>
      </c>
      <c r="F641" s="17" t="n">
        <v>528</v>
      </c>
      <c r="G641" s="16" t="n">
        <f aca="false">IF(INDEX(選手一覧!$D$7:$D$2738,$F641)="","",INDEX(選手一覧!$D$7:$D$2738,$F641))</f>
        <v>0.0106528935185185</v>
      </c>
      <c r="H641" s="17" t="n">
        <f aca="false">IF(INDEX(選手一覧!$E$7:$E$2738,$F641)="","",INDEX(選手一覧!$E$7:$E$2738,$F641))</f>
        <v>529</v>
      </c>
      <c r="I641" s="16" t="str">
        <f aca="false">IF(INDEX(選手一覧!$H$7:$H$2738,$F641)="","",INDEX(選手一覧!$H$7:$H$2738,$F641))</f>
        <v/>
      </c>
      <c r="J641" s="17" t="str">
        <f aca="false">IF(INDEX(選手一覧!$I$7:$I$2738,$F641)="","",INDEX(選手一覧!$I$7:$I$2738,$F641))</f>
        <v/>
      </c>
    </row>
    <row r="642" customFormat="false" ht="15" hidden="false" customHeight="false" outlineLevel="0" collapsed="false">
      <c r="A642" s="17" t="n">
        <v>638</v>
      </c>
      <c r="B642" s="12" t="s">
        <v>2713</v>
      </c>
      <c r="C642" s="12" t="s">
        <v>1909</v>
      </c>
      <c r="D642" s="16" t="n">
        <v>0.00286087962962963</v>
      </c>
      <c r="E642" s="15" t="n">
        <f aca="false">ROUND((D642-$D$5)*86400,2)</f>
        <v>22.15</v>
      </c>
      <c r="F642" s="17" t="n">
        <v>1737</v>
      </c>
      <c r="G642" s="16" t="str">
        <f aca="false">IF(INDEX(選手一覧!$D$7:$D$2738,$F642)="","",INDEX(選手一覧!$D$7:$D$2738,$F642))</f>
        <v/>
      </c>
      <c r="H642" s="17" t="str">
        <f aca="false">IF(INDEX(選手一覧!$E$7:$E$2738,$F642)="","",INDEX(選手一覧!$E$7:$E$2738,$F642))</f>
        <v/>
      </c>
      <c r="I642" s="16" t="str">
        <f aca="false">IF(INDEX(選手一覧!$H$7:$H$2738,$F642)="","",INDEX(選手一覧!$H$7:$H$2738,$F642))</f>
        <v/>
      </c>
      <c r="J642" s="17" t="str">
        <f aca="false">IF(INDEX(選手一覧!$I$7:$I$2738,$F642)="","",INDEX(選手一覧!$I$7:$I$2738,$F642))</f>
        <v/>
      </c>
    </row>
    <row r="643" customFormat="false" ht="15" hidden="false" customHeight="false" outlineLevel="0" collapsed="false">
      <c r="A643" s="17" t="n">
        <v>639</v>
      </c>
      <c r="B643" s="12" t="s">
        <v>2715</v>
      </c>
      <c r="C643" s="12" t="s">
        <v>204</v>
      </c>
      <c r="D643" s="16" t="n">
        <v>0.00286099537037037</v>
      </c>
      <c r="E643" s="15" t="n">
        <f aca="false">ROUND((D643-$D$5)*86400,2)</f>
        <v>22.16</v>
      </c>
      <c r="F643" s="17" t="n">
        <v>1739</v>
      </c>
      <c r="G643" s="16" t="str">
        <f aca="false">IF(INDEX(選手一覧!$D$7:$D$2738,$F643)="","",INDEX(選手一覧!$D$7:$D$2738,$F643))</f>
        <v/>
      </c>
      <c r="H643" s="17" t="str">
        <f aca="false">IF(INDEX(選手一覧!$E$7:$E$2738,$F643)="","",INDEX(選手一覧!$E$7:$E$2738,$F643))</f>
        <v/>
      </c>
      <c r="I643" s="16" t="str">
        <f aca="false">IF(INDEX(選手一覧!$H$7:$H$2738,$F643)="","",INDEX(選手一覧!$H$7:$H$2738,$F643))</f>
        <v/>
      </c>
      <c r="J643" s="17" t="str">
        <f aca="false">IF(INDEX(選手一覧!$I$7:$I$2738,$F643)="","",INDEX(選手一覧!$I$7:$I$2738,$F643))</f>
        <v/>
      </c>
    </row>
    <row r="644" customFormat="false" ht="15" hidden="false" customHeight="false" outlineLevel="0" collapsed="false">
      <c r="A644" s="17" t="n">
        <v>640</v>
      </c>
      <c r="B644" s="12" t="s">
        <v>412</v>
      </c>
      <c r="C644" s="12" t="s">
        <v>37</v>
      </c>
      <c r="D644" s="16" t="n">
        <v>0.00286099537037037</v>
      </c>
      <c r="E644" s="15" t="n">
        <f aca="false">ROUND((D644-$D$5)*86400,2)</f>
        <v>22.16</v>
      </c>
      <c r="F644" s="17" t="n">
        <v>206</v>
      </c>
      <c r="G644" s="16" t="n">
        <f aca="false">IF(INDEX(選手一覧!$D$7:$D$2738,$F644)="","",INDEX(選手一覧!$D$7:$D$2738,$F644))</f>
        <v>0.0103527777777778</v>
      </c>
      <c r="H644" s="17" t="n">
        <f aca="false">IF(INDEX(選手一覧!$E$7:$E$2738,$F644)="","",INDEX(選手一覧!$E$7:$E$2738,$F644))</f>
        <v>207</v>
      </c>
      <c r="I644" s="16" t="str">
        <f aca="false">IF(INDEX(選手一覧!$H$7:$H$2738,$F644)="","",INDEX(選手一覧!$H$7:$H$2738,$F644))</f>
        <v/>
      </c>
      <c r="J644" s="17" t="str">
        <f aca="false">IF(INDEX(選手一覧!$I$7:$I$2738,$F644)="","",INDEX(選手一覧!$I$7:$I$2738,$F644))</f>
        <v/>
      </c>
    </row>
    <row r="645" customFormat="false" ht="15" hidden="false" customHeight="false" outlineLevel="0" collapsed="false">
      <c r="A645" s="17" t="n">
        <v>641</v>
      </c>
      <c r="B645" s="12" t="s">
        <v>1349</v>
      </c>
      <c r="C645" s="12" t="s">
        <v>454</v>
      </c>
      <c r="D645" s="16" t="n">
        <v>0.00286111111111111</v>
      </c>
      <c r="E645" s="15" t="n">
        <f aca="false">ROUND((D645-$D$5)*86400,2)</f>
        <v>22.17</v>
      </c>
      <c r="F645" s="17" t="n">
        <v>813</v>
      </c>
      <c r="G645" s="16" t="n">
        <f aca="false">IF(INDEX(選手一覧!$D$7:$D$2738,$F645)="","",INDEX(選手一覧!$D$7:$D$2738,$F645))</f>
        <v>0.0108413194444445</v>
      </c>
      <c r="H645" s="17" t="n">
        <f aca="false">IF(INDEX(選手一覧!$E$7:$E$2738,$F645)="","",INDEX(選手一覧!$E$7:$E$2738,$F645))</f>
        <v>814</v>
      </c>
      <c r="I645" s="16" t="str">
        <f aca="false">IF(INDEX(選手一覧!$H$7:$H$2738,$F645)="","",INDEX(選手一覧!$H$7:$H$2738,$F645))</f>
        <v/>
      </c>
      <c r="J645" s="17" t="str">
        <f aca="false">IF(INDEX(選手一覧!$I$7:$I$2738,$F645)="","",INDEX(選手一覧!$I$7:$I$2738,$F645))</f>
        <v/>
      </c>
    </row>
    <row r="646" customFormat="false" ht="15" hidden="false" customHeight="false" outlineLevel="0" collapsed="false">
      <c r="A646" s="17" t="n">
        <v>642</v>
      </c>
      <c r="B646" s="12" t="s">
        <v>2722</v>
      </c>
      <c r="C646" s="12" t="s">
        <v>2723</v>
      </c>
      <c r="D646" s="16" t="n">
        <v>0.00286134259259259</v>
      </c>
      <c r="E646" s="15" t="n">
        <f aca="false">ROUND((D646-$D$5)*86400,2)</f>
        <v>22.19</v>
      </c>
      <c r="F646" s="17" t="n">
        <v>1743</v>
      </c>
      <c r="G646" s="16" t="str">
        <f aca="false">IF(INDEX(選手一覧!$D$7:$D$2738,$F646)="","",INDEX(選手一覧!$D$7:$D$2738,$F646))</f>
        <v/>
      </c>
      <c r="H646" s="17" t="str">
        <f aca="false">IF(INDEX(選手一覧!$E$7:$E$2738,$F646)="","",INDEX(選手一覧!$E$7:$E$2738,$F646))</f>
        <v/>
      </c>
      <c r="I646" s="16" t="str">
        <f aca="false">IF(INDEX(選手一覧!$H$7:$H$2738,$F646)="","",INDEX(選手一覧!$H$7:$H$2738,$F646))</f>
        <v/>
      </c>
      <c r="J646" s="17" t="str">
        <f aca="false">IF(INDEX(選手一覧!$I$7:$I$2738,$F646)="","",INDEX(選手一覧!$I$7:$I$2738,$F646))</f>
        <v/>
      </c>
    </row>
    <row r="647" customFormat="false" ht="15" hidden="false" customHeight="false" outlineLevel="0" collapsed="false">
      <c r="A647" s="17" t="n">
        <v>643</v>
      </c>
      <c r="B647" s="12" t="s">
        <v>198</v>
      </c>
      <c r="C647" s="12" t="s">
        <v>199</v>
      </c>
      <c r="D647" s="16" t="n">
        <v>0.00286180555555556</v>
      </c>
      <c r="E647" s="15" t="n">
        <f aca="false">ROUND((D647-$D$5)*86400,2)</f>
        <v>22.23</v>
      </c>
      <c r="F647" s="17" t="n">
        <v>88</v>
      </c>
      <c r="G647" s="16" t="n">
        <f aca="false">IF(INDEX(選手一覧!$D$7:$D$2738,$F647)="","",INDEX(選手一覧!$D$7:$D$2738,$F647))</f>
        <v>0.0101872685185185</v>
      </c>
      <c r="H647" s="17" t="n">
        <f aca="false">IF(INDEX(選手一覧!$E$7:$E$2738,$F647)="","",INDEX(選手一覧!$E$7:$E$2738,$F647))</f>
        <v>89</v>
      </c>
      <c r="I647" s="16" t="str">
        <f aca="false">IF(INDEX(選手一覧!$H$7:$H$2738,$F647)="","",INDEX(選手一覧!$H$7:$H$2738,$F647))</f>
        <v/>
      </c>
      <c r="J647" s="17" t="str">
        <f aca="false">IF(INDEX(選手一覧!$I$7:$I$2738,$F647)="","",INDEX(選手一覧!$I$7:$I$2738,$F647))</f>
        <v/>
      </c>
    </row>
    <row r="648" customFormat="false" ht="15" hidden="false" customHeight="false" outlineLevel="0" collapsed="false">
      <c r="A648" s="17" t="n">
        <v>644</v>
      </c>
      <c r="B648" s="12" t="s">
        <v>1318</v>
      </c>
      <c r="C648" s="12" t="s">
        <v>561</v>
      </c>
      <c r="D648" s="16" t="n">
        <v>0.00286180555555556</v>
      </c>
      <c r="E648" s="15" t="n">
        <f aca="false">ROUND((D648-$D$5)*86400,2)</f>
        <v>22.23</v>
      </c>
      <c r="F648" s="17" t="n">
        <v>795</v>
      </c>
      <c r="G648" s="16" t="n">
        <f aca="false">IF(INDEX(選手一覧!$D$7:$D$2738,$F648)="","",INDEX(選手一覧!$D$7:$D$2738,$F648))</f>
        <v>0.0108318287037037</v>
      </c>
      <c r="H648" s="17" t="n">
        <f aca="false">IF(INDEX(選手一覧!$E$7:$E$2738,$F648)="","",INDEX(選手一覧!$E$7:$E$2738,$F648))</f>
        <v>796</v>
      </c>
      <c r="I648" s="16" t="str">
        <f aca="false">IF(INDEX(選手一覧!$H$7:$H$2738,$F648)="","",INDEX(選手一覧!$H$7:$H$2738,$F648))</f>
        <v/>
      </c>
      <c r="J648" s="17" t="str">
        <f aca="false">IF(INDEX(選手一覧!$I$7:$I$2738,$F648)="","",INDEX(選手一覧!$I$7:$I$2738,$F648))</f>
        <v/>
      </c>
    </row>
    <row r="649" customFormat="false" ht="15" hidden="false" customHeight="false" outlineLevel="0" collapsed="false">
      <c r="A649" s="17" t="n">
        <v>645</v>
      </c>
      <c r="B649" s="12" t="s">
        <v>2729</v>
      </c>
      <c r="C649" s="12" t="s">
        <v>2239</v>
      </c>
      <c r="D649" s="16" t="n">
        <v>0.0028619212962963</v>
      </c>
      <c r="E649" s="15" t="n">
        <f aca="false">ROUND((D649-$D$5)*86400,2)</f>
        <v>22.24</v>
      </c>
      <c r="F649" s="17" t="n">
        <v>1747</v>
      </c>
      <c r="G649" s="16" t="str">
        <f aca="false">IF(INDEX(選手一覧!$D$7:$D$2738,$F649)="","",INDEX(選手一覧!$D$7:$D$2738,$F649))</f>
        <v/>
      </c>
      <c r="H649" s="17" t="str">
        <f aca="false">IF(INDEX(選手一覧!$E$7:$E$2738,$F649)="","",INDEX(選手一覧!$E$7:$E$2738,$F649))</f>
        <v/>
      </c>
      <c r="I649" s="16" t="str">
        <f aca="false">IF(INDEX(選手一覧!$H$7:$H$2738,$F649)="","",INDEX(選手一覧!$H$7:$H$2738,$F649))</f>
        <v/>
      </c>
      <c r="J649" s="17" t="str">
        <f aca="false">IF(INDEX(選手一覧!$I$7:$I$2738,$F649)="","",INDEX(選手一覧!$I$7:$I$2738,$F649))</f>
        <v/>
      </c>
    </row>
    <row r="650" customFormat="false" ht="15" hidden="false" customHeight="false" outlineLevel="0" collapsed="false">
      <c r="A650" s="17" t="n">
        <v>646</v>
      </c>
      <c r="B650" s="12" t="s">
        <v>2730</v>
      </c>
      <c r="C650" s="12" t="s">
        <v>2731</v>
      </c>
      <c r="D650" s="16" t="n">
        <v>0.00286215277777778</v>
      </c>
      <c r="E650" s="15" t="n">
        <f aca="false">ROUND((D650-$D$5)*86400,2)</f>
        <v>22.26</v>
      </c>
      <c r="F650" s="17" t="n">
        <v>1748</v>
      </c>
      <c r="G650" s="16" t="str">
        <f aca="false">IF(INDEX(選手一覧!$D$7:$D$2738,$F650)="","",INDEX(選手一覧!$D$7:$D$2738,$F650))</f>
        <v/>
      </c>
      <c r="H650" s="17" t="str">
        <f aca="false">IF(INDEX(選手一覧!$E$7:$E$2738,$F650)="","",INDEX(選手一覧!$E$7:$E$2738,$F650))</f>
        <v/>
      </c>
      <c r="I650" s="16" t="str">
        <f aca="false">IF(INDEX(選手一覧!$H$7:$H$2738,$F650)="","",INDEX(選手一覧!$H$7:$H$2738,$F650))</f>
        <v/>
      </c>
      <c r="J650" s="17" t="str">
        <f aca="false">IF(INDEX(選手一覧!$I$7:$I$2738,$F650)="","",INDEX(選手一覧!$I$7:$I$2738,$F650))</f>
        <v/>
      </c>
    </row>
    <row r="651" customFormat="false" ht="15" hidden="false" customHeight="false" outlineLevel="0" collapsed="false">
      <c r="A651" s="17" t="n">
        <v>647</v>
      </c>
      <c r="B651" s="12" t="s">
        <v>1374</v>
      </c>
      <c r="C651" s="12" t="s">
        <v>382</v>
      </c>
      <c r="D651" s="16" t="n">
        <v>0.00286215277777778</v>
      </c>
      <c r="E651" s="15" t="n">
        <f aca="false">ROUND((D651-$D$5)*86400,2)</f>
        <v>22.26</v>
      </c>
      <c r="F651" s="17" t="n">
        <v>830</v>
      </c>
      <c r="G651" s="16" t="n">
        <f aca="false">IF(INDEX(選手一覧!$D$7:$D$2738,$F651)="","",INDEX(選手一覧!$D$7:$D$2738,$F651))</f>
        <v>0.0108479166666667</v>
      </c>
      <c r="H651" s="17" t="n">
        <f aca="false">IF(INDEX(選手一覧!$E$7:$E$2738,$F651)="","",INDEX(選手一覧!$E$7:$E$2738,$F651))</f>
        <v>831</v>
      </c>
      <c r="I651" s="16" t="str">
        <f aca="false">IF(INDEX(選手一覧!$H$7:$H$2738,$F651)="","",INDEX(選手一覧!$H$7:$H$2738,$F651))</f>
        <v/>
      </c>
      <c r="J651" s="17" t="str">
        <f aca="false">IF(INDEX(選手一覧!$I$7:$I$2738,$F651)="","",INDEX(選手一覧!$I$7:$I$2738,$F651))</f>
        <v/>
      </c>
    </row>
    <row r="652" customFormat="false" ht="15" hidden="false" customHeight="false" outlineLevel="0" collapsed="false">
      <c r="A652" s="17" t="n">
        <v>648</v>
      </c>
      <c r="B652" s="12" t="s">
        <v>787</v>
      </c>
      <c r="C652" s="12" t="s">
        <v>788</v>
      </c>
      <c r="D652" s="16" t="n">
        <v>0.00286226851851852</v>
      </c>
      <c r="E652" s="15" t="n">
        <f aca="false">ROUND((D652-$D$5)*86400,2)</f>
        <v>22.27</v>
      </c>
      <c r="F652" s="17" t="n">
        <v>440</v>
      </c>
      <c r="G652" s="16" t="n">
        <f aca="false">IF(INDEX(選手一覧!$D$7:$D$2738,$F652)="","",INDEX(選手一覧!$D$7:$D$2738,$F652))</f>
        <v>0.0105841435185185</v>
      </c>
      <c r="H652" s="17" t="n">
        <f aca="false">IF(INDEX(選手一覧!$E$7:$E$2738,$F652)="","",INDEX(選手一覧!$E$7:$E$2738,$F652))</f>
        <v>441</v>
      </c>
      <c r="I652" s="16" t="str">
        <f aca="false">IF(INDEX(選手一覧!$H$7:$H$2738,$F652)="","",INDEX(選手一覧!$H$7:$H$2738,$F652))</f>
        <v/>
      </c>
      <c r="J652" s="17" t="str">
        <f aca="false">IF(INDEX(選手一覧!$I$7:$I$2738,$F652)="","",INDEX(選手一覧!$I$7:$I$2738,$F652))</f>
        <v/>
      </c>
    </row>
    <row r="653" customFormat="false" ht="15" hidden="false" customHeight="false" outlineLevel="0" collapsed="false">
      <c r="A653" s="17" t="n">
        <v>649</v>
      </c>
      <c r="B653" s="12" t="s">
        <v>1680</v>
      </c>
      <c r="C653" s="12" t="s">
        <v>375</v>
      </c>
      <c r="D653" s="16" t="n">
        <v>0.00286226851851852</v>
      </c>
      <c r="E653" s="15" t="n">
        <f aca="false">ROUND((D653-$D$5)*86400,2)</f>
        <v>22.27</v>
      </c>
      <c r="F653" s="17" t="n">
        <v>1036</v>
      </c>
      <c r="G653" s="16" t="n">
        <f aca="false">IF(INDEX(選手一覧!$D$7:$D$2738,$F653)="","",INDEX(選手一覧!$D$7:$D$2738,$F653))</f>
        <v>0.0109695601851852</v>
      </c>
      <c r="H653" s="17" t="n">
        <f aca="false">IF(INDEX(選手一覧!$E$7:$E$2738,$F653)="","",INDEX(選手一覧!$E$7:$E$2738,$F653))</f>
        <v>1037</v>
      </c>
      <c r="I653" s="16" t="str">
        <f aca="false">IF(INDEX(選手一覧!$H$7:$H$2738,$F653)="","",INDEX(選手一覧!$H$7:$H$2738,$F653))</f>
        <v/>
      </c>
      <c r="J653" s="17" t="str">
        <f aca="false">IF(INDEX(選手一覧!$I$7:$I$2738,$F653)="","",INDEX(選手一覧!$I$7:$I$2738,$F653))</f>
        <v/>
      </c>
    </row>
    <row r="654" customFormat="false" ht="15" hidden="false" customHeight="false" outlineLevel="0" collapsed="false">
      <c r="A654" s="17" t="n">
        <v>650</v>
      </c>
      <c r="B654" s="12" t="s">
        <v>1398</v>
      </c>
      <c r="C654" s="12" t="s">
        <v>1399</v>
      </c>
      <c r="D654" s="16" t="n">
        <v>0.00286238425925926</v>
      </c>
      <c r="E654" s="15" t="n">
        <f aca="false">ROUND((D654-$D$5)*86400,2)</f>
        <v>22.28</v>
      </c>
      <c r="F654" s="17" t="n">
        <v>846</v>
      </c>
      <c r="G654" s="16" t="n">
        <f aca="false">IF(INDEX(選手一覧!$D$7:$D$2738,$F654)="","",INDEX(選手一覧!$D$7:$D$2738,$F654))</f>
        <v>0.0108596064814815</v>
      </c>
      <c r="H654" s="17" t="n">
        <f aca="false">IF(INDEX(選手一覧!$E$7:$E$2738,$F654)="","",INDEX(選手一覧!$E$7:$E$2738,$F654))</f>
        <v>847</v>
      </c>
      <c r="I654" s="16" t="n">
        <f aca="false">IF(INDEX(選手一覧!$H$7:$H$2738,$F654)="","",INDEX(選手一覧!$H$7:$H$2738,$F654))</f>
        <v>0.00684479166666667</v>
      </c>
      <c r="J654" s="17" t="n">
        <f aca="false">IF(INDEX(選手一覧!$I$7:$I$2738,$F654)="","",INDEX(選手一覧!$I$7:$I$2738,$F654))</f>
        <v>200</v>
      </c>
    </row>
    <row r="655" customFormat="false" ht="15" hidden="false" customHeight="false" outlineLevel="0" collapsed="false">
      <c r="A655" s="17" t="n">
        <v>651</v>
      </c>
      <c r="B655" s="12" t="s">
        <v>1343</v>
      </c>
      <c r="C655" s="12" t="s">
        <v>1344</v>
      </c>
      <c r="D655" s="16" t="n">
        <v>0.0028625</v>
      </c>
      <c r="E655" s="15" t="n">
        <f aca="false">ROUND((D655-$D$5)*86400,2)</f>
        <v>22.29</v>
      </c>
      <c r="F655" s="17" t="n">
        <v>810</v>
      </c>
      <c r="G655" s="16" t="n">
        <f aca="false">IF(INDEX(選手一覧!$D$7:$D$2738,$F655)="","",INDEX(選手一覧!$D$7:$D$2738,$F655))</f>
        <v>0.0108391203703704</v>
      </c>
      <c r="H655" s="17" t="n">
        <f aca="false">IF(INDEX(選手一覧!$E$7:$E$2738,$F655)="","",INDEX(選手一覧!$E$7:$E$2738,$F655))</f>
        <v>811</v>
      </c>
      <c r="I655" s="16" t="str">
        <f aca="false">IF(INDEX(選手一覧!$H$7:$H$2738,$F655)="","",INDEX(選手一覧!$H$7:$H$2738,$F655))</f>
        <v/>
      </c>
      <c r="J655" s="17" t="str">
        <f aca="false">IF(INDEX(選手一覧!$I$7:$I$2738,$F655)="","",INDEX(選手一覧!$I$7:$I$2738,$F655))</f>
        <v/>
      </c>
    </row>
    <row r="656" customFormat="false" ht="15" hidden="false" customHeight="false" outlineLevel="0" collapsed="false">
      <c r="A656" s="17" t="n">
        <v>652</v>
      </c>
      <c r="B656" s="12" t="s">
        <v>1317</v>
      </c>
      <c r="C656" s="12" t="s">
        <v>417</v>
      </c>
      <c r="D656" s="16" t="n">
        <v>0.00286261574074074</v>
      </c>
      <c r="E656" s="15" t="n">
        <f aca="false">ROUND((D656-$D$5)*86400,2)</f>
        <v>22.3</v>
      </c>
      <c r="F656" s="17" t="n">
        <v>794</v>
      </c>
      <c r="G656" s="16" t="n">
        <f aca="false">IF(INDEX(選手一覧!$D$7:$D$2738,$F656)="","",INDEX(選手一覧!$D$7:$D$2738,$F656))</f>
        <v>0.0108318287037037</v>
      </c>
      <c r="H656" s="17" t="n">
        <f aca="false">IF(INDEX(選手一覧!$E$7:$E$2738,$F656)="","",INDEX(選手一覧!$E$7:$E$2738,$F656))</f>
        <v>795</v>
      </c>
      <c r="I656" s="16" t="str">
        <f aca="false">IF(INDEX(選手一覧!$H$7:$H$2738,$F656)="","",INDEX(選手一覧!$H$7:$H$2738,$F656))</f>
        <v/>
      </c>
      <c r="J656" s="17" t="str">
        <f aca="false">IF(INDEX(選手一覧!$I$7:$I$2738,$F656)="","",INDEX(選手一覧!$I$7:$I$2738,$F656))</f>
        <v/>
      </c>
    </row>
    <row r="657" customFormat="false" ht="15" hidden="false" customHeight="false" outlineLevel="0" collapsed="false">
      <c r="A657" s="17" t="n">
        <v>653</v>
      </c>
      <c r="B657" s="12" t="s">
        <v>1824</v>
      </c>
      <c r="C657" s="12" t="s">
        <v>599</v>
      </c>
      <c r="D657" s="16" t="n">
        <v>0.00286261574074074</v>
      </c>
      <c r="E657" s="15" t="n">
        <f aca="false">ROUND((D657-$D$5)*86400,2)</f>
        <v>22.3</v>
      </c>
      <c r="F657" s="17" t="n">
        <v>1130</v>
      </c>
      <c r="G657" s="16" t="n">
        <f aca="false">IF(INDEX(選手一覧!$D$7:$D$2738,$F657)="","",INDEX(選手一覧!$D$7:$D$2738,$F657))</f>
        <v>0.0110209490740741</v>
      </c>
      <c r="H657" s="17" t="n">
        <f aca="false">IF(INDEX(選手一覧!$E$7:$E$2738,$F657)="","",INDEX(選手一覧!$E$7:$E$2738,$F657))</f>
        <v>1131</v>
      </c>
      <c r="I657" s="16" t="n">
        <f aca="false">IF(INDEX(選手一覧!$H$7:$H$2738,$F657)="","",INDEX(選手一覧!$H$7:$H$2738,$F657))</f>
        <v>0.00698761574074074</v>
      </c>
      <c r="J657" s="17" t="n">
        <f aca="false">IF(INDEX(選手一覧!$I$7:$I$2738,$F657)="","",INDEX(選手一覧!$I$7:$I$2738,$F657))</f>
        <v>322</v>
      </c>
    </row>
    <row r="658" customFormat="false" ht="15" hidden="false" customHeight="false" outlineLevel="0" collapsed="false">
      <c r="A658" s="17" t="n">
        <v>654</v>
      </c>
      <c r="B658" s="12" t="s">
        <v>224</v>
      </c>
      <c r="C658" s="12" t="s">
        <v>61</v>
      </c>
      <c r="D658" s="16" t="n">
        <v>0.00286273148148148</v>
      </c>
      <c r="E658" s="15" t="n">
        <f aca="false">ROUND((D658-$D$5)*86400,2)</f>
        <v>22.31</v>
      </c>
      <c r="F658" s="17" t="n">
        <v>103</v>
      </c>
      <c r="G658" s="16" t="n">
        <f aca="false">IF(INDEX(選手一覧!$D$7:$D$2738,$F658)="","",INDEX(選手一覧!$D$7:$D$2738,$F658))</f>
        <v>0.0102148148148148</v>
      </c>
      <c r="H658" s="17" t="n">
        <f aca="false">IF(INDEX(選手一覧!$E$7:$E$2738,$F658)="","",INDEX(選手一覧!$E$7:$E$2738,$F658))</f>
        <v>104</v>
      </c>
      <c r="I658" s="16" t="n">
        <f aca="false">IF(INDEX(選手一覧!$H$7:$H$2738,$F658)="","",INDEX(選手一覧!$H$7:$H$2738,$F658))</f>
        <v>0.00623865740740741</v>
      </c>
      <c r="J658" s="17" t="n">
        <f aca="false">IF(INDEX(選手一覧!$I$7:$I$2738,$F658)="","",INDEX(選手一覧!$I$7:$I$2738,$F658))</f>
        <v>1</v>
      </c>
    </row>
    <row r="659" customFormat="false" ht="15" hidden="false" customHeight="false" outlineLevel="0" collapsed="false">
      <c r="A659" s="17" t="n">
        <v>655</v>
      </c>
      <c r="B659" s="12" t="s">
        <v>1322</v>
      </c>
      <c r="C659" s="12" t="s">
        <v>864</v>
      </c>
      <c r="D659" s="16" t="n">
        <v>0.00286273148148148</v>
      </c>
      <c r="E659" s="15" t="n">
        <f aca="false">ROUND((D659-$D$5)*86400,2)</f>
        <v>22.31</v>
      </c>
      <c r="F659" s="17" t="n">
        <v>798</v>
      </c>
      <c r="G659" s="16" t="n">
        <f aca="false">IF(INDEX(選手一覧!$D$7:$D$2738,$F659)="","",INDEX(選手一覧!$D$7:$D$2738,$F659))</f>
        <v>0.0108329861111111</v>
      </c>
      <c r="H659" s="17" t="n">
        <f aca="false">IF(INDEX(選手一覧!$E$7:$E$2738,$F659)="","",INDEX(選手一覧!$E$7:$E$2738,$F659))</f>
        <v>799</v>
      </c>
      <c r="I659" s="16" t="n">
        <f aca="false">IF(INDEX(選手一覧!$H$7:$H$2738,$F659)="","",INDEX(選手一覧!$H$7:$H$2738,$F659))</f>
        <v>0.00678356481481482</v>
      </c>
      <c r="J659" s="17" t="n">
        <f aca="false">IF(INDEX(選手一覧!$I$7:$I$2738,$F659)="","",INDEX(選手一覧!$I$7:$I$2738,$F659))</f>
        <v>158</v>
      </c>
    </row>
    <row r="660" customFormat="false" ht="15" hidden="false" customHeight="false" outlineLevel="0" collapsed="false">
      <c r="A660" s="17" t="n">
        <v>656</v>
      </c>
      <c r="B660" s="12" t="s">
        <v>60</v>
      </c>
      <c r="C660" s="12" t="s">
        <v>61</v>
      </c>
      <c r="D660" s="16" t="n">
        <v>0.0028630787037037</v>
      </c>
      <c r="E660" s="15" t="n">
        <f aca="false">ROUND((D660-$D$5)*86400,2)</f>
        <v>22.34</v>
      </c>
      <c r="F660" s="17" t="n">
        <v>16</v>
      </c>
      <c r="G660" s="16" t="n">
        <f aca="false">IF(INDEX(選手一覧!$D$7:$D$2738,$F660)="","",INDEX(選手一覧!$D$7:$D$2738,$F660))</f>
        <v>0.00994131944444444</v>
      </c>
      <c r="H660" s="17" t="n">
        <f aca="false">IF(INDEX(選手一覧!$E$7:$E$2738,$F660)="","",INDEX(選手一覧!$E$7:$E$2738,$F660))</f>
        <v>17</v>
      </c>
      <c r="I660" s="16" t="str">
        <f aca="false">IF(INDEX(選手一覧!$H$7:$H$2738,$F660)="","",INDEX(選手一覧!$H$7:$H$2738,$F660))</f>
        <v/>
      </c>
      <c r="J660" s="17" t="str">
        <f aca="false">IF(INDEX(選手一覧!$I$7:$I$2738,$F660)="","",INDEX(選手一覧!$I$7:$I$2738,$F660))</f>
        <v/>
      </c>
    </row>
    <row r="661" customFormat="false" ht="15" hidden="false" customHeight="false" outlineLevel="0" collapsed="false">
      <c r="A661" s="17" t="n">
        <v>657</v>
      </c>
      <c r="B661" s="12" t="s">
        <v>2744</v>
      </c>
      <c r="C661" s="12" t="s">
        <v>127</v>
      </c>
      <c r="D661" s="16" t="n">
        <v>0.00286342592592593</v>
      </c>
      <c r="E661" s="15" t="n">
        <f aca="false">ROUND((D661-$D$5)*86400,2)</f>
        <v>22.37</v>
      </c>
      <c r="F661" s="17" t="n">
        <v>1756</v>
      </c>
      <c r="G661" s="16" t="str">
        <f aca="false">IF(INDEX(選手一覧!$D$7:$D$2738,$F661)="","",INDEX(選手一覧!$D$7:$D$2738,$F661))</f>
        <v/>
      </c>
      <c r="H661" s="17" t="str">
        <f aca="false">IF(INDEX(選手一覧!$E$7:$E$2738,$F661)="","",INDEX(選手一覧!$E$7:$E$2738,$F661))</f>
        <v/>
      </c>
      <c r="I661" s="16" t="str">
        <f aca="false">IF(INDEX(選手一覧!$H$7:$H$2738,$F661)="","",INDEX(選手一覧!$H$7:$H$2738,$F661))</f>
        <v/>
      </c>
      <c r="J661" s="17" t="str">
        <f aca="false">IF(INDEX(選手一覧!$I$7:$I$2738,$F661)="","",INDEX(選手一覧!$I$7:$I$2738,$F661))</f>
        <v/>
      </c>
    </row>
    <row r="662" customFormat="false" ht="15" hidden="false" customHeight="false" outlineLevel="0" collapsed="false">
      <c r="A662" s="17" t="n">
        <v>658</v>
      </c>
      <c r="B662" s="12" t="s">
        <v>922</v>
      </c>
      <c r="C662" s="12" t="s">
        <v>397</v>
      </c>
      <c r="D662" s="16" t="n">
        <v>0.00286354166666667</v>
      </c>
      <c r="E662" s="15" t="n">
        <f aca="false">ROUND((D662-$D$5)*86400,2)</f>
        <v>22.38</v>
      </c>
      <c r="F662" s="17" t="n">
        <v>525</v>
      </c>
      <c r="G662" s="16" t="n">
        <f aca="false">IF(INDEX(選手一覧!$D$7:$D$2738,$F662)="","",INDEX(選手一覧!$D$7:$D$2738,$F662))</f>
        <v>0.0106502314814815</v>
      </c>
      <c r="H662" s="17" t="n">
        <f aca="false">IF(INDEX(選手一覧!$E$7:$E$2738,$F662)="","",INDEX(選手一覧!$E$7:$E$2738,$F662))</f>
        <v>526</v>
      </c>
      <c r="I662" s="16" t="str">
        <f aca="false">IF(INDEX(選手一覧!$H$7:$H$2738,$F662)="","",INDEX(選手一覧!$H$7:$H$2738,$F662))</f>
        <v/>
      </c>
      <c r="J662" s="17" t="str">
        <f aca="false">IF(INDEX(選手一覧!$I$7:$I$2738,$F662)="","",INDEX(選手一覧!$I$7:$I$2738,$F662))</f>
        <v/>
      </c>
    </row>
    <row r="663" customFormat="false" ht="15" hidden="false" customHeight="false" outlineLevel="0" collapsed="false">
      <c r="A663" s="17" t="n">
        <v>659</v>
      </c>
      <c r="B663" s="12" t="s">
        <v>1691</v>
      </c>
      <c r="C663" s="12" t="s">
        <v>1692</v>
      </c>
      <c r="D663" s="16" t="n">
        <v>0.00286377314814815</v>
      </c>
      <c r="E663" s="15" t="n">
        <f aca="false">ROUND((D663-$D$5)*86400,2)</f>
        <v>22.4</v>
      </c>
      <c r="F663" s="17" t="n">
        <v>1043</v>
      </c>
      <c r="G663" s="16" t="n">
        <f aca="false">IF(INDEX(選手一覧!$D$7:$D$2738,$F663)="","",INDEX(選手一覧!$D$7:$D$2738,$F663))</f>
        <v>0.0109716435185185</v>
      </c>
      <c r="H663" s="17" t="n">
        <f aca="false">IF(INDEX(選手一覧!$E$7:$E$2738,$F663)="","",INDEX(選手一覧!$E$7:$E$2738,$F663))</f>
        <v>1044</v>
      </c>
      <c r="I663" s="16" t="str">
        <f aca="false">IF(INDEX(選手一覧!$H$7:$H$2738,$F663)="","",INDEX(選手一覧!$H$7:$H$2738,$F663))</f>
        <v/>
      </c>
      <c r="J663" s="17" t="str">
        <f aca="false">IF(INDEX(選手一覧!$I$7:$I$2738,$F663)="","",INDEX(選手一覧!$I$7:$I$2738,$F663))</f>
        <v/>
      </c>
    </row>
    <row r="664" customFormat="false" ht="15" hidden="false" customHeight="false" outlineLevel="0" collapsed="false">
      <c r="A664" s="17" t="n">
        <v>660</v>
      </c>
      <c r="B664" s="12" t="s">
        <v>2748</v>
      </c>
      <c r="C664" s="12" t="s">
        <v>1637</v>
      </c>
      <c r="D664" s="16" t="n">
        <v>0.00286400462962963</v>
      </c>
      <c r="E664" s="15" t="n">
        <f aca="false">ROUND((D664-$D$5)*86400,2)</f>
        <v>22.42</v>
      </c>
      <c r="F664" s="17" t="n">
        <v>1760</v>
      </c>
      <c r="G664" s="16" t="str">
        <f aca="false">IF(INDEX(選手一覧!$D$7:$D$2738,$F664)="","",INDEX(選手一覧!$D$7:$D$2738,$F664))</f>
        <v/>
      </c>
      <c r="H664" s="17" t="str">
        <f aca="false">IF(INDEX(選手一覧!$E$7:$E$2738,$F664)="","",INDEX(選手一覧!$E$7:$E$2738,$F664))</f>
        <v/>
      </c>
      <c r="I664" s="16" t="str">
        <f aca="false">IF(INDEX(選手一覧!$H$7:$H$2738,$F664)="","",INDEX(選手一覧!$H$7:$H$2738,$F664))</f>
        <v/>
      </c>
      <c r="J664" s="17" t="str">
        <f aca="false">IF(INDEX(選手一覧!$I$7:$I$2738,$F664)="","",INDEX(選手一覧!$I$7:$I$2738,$F664))</f>
        <v/>
      </c>
    </row>
    <row r="665" customFormat="false" ht="15" hidden="false" customHeight="false" outlineLevel="0" collapsed="false">
      <c r="A665" s="17" t="n">
        <v>661</v>
      </c>
      <c r="B665" s="12" t="s">
        <v>1108</v>
      </c>
      <c r="C665" s="12" t="s">
        <v>351</v>
      </c>
      <c r="D665" s="16" t="n">
        <v>0.00286423611111111</v>
      </c>
      <c r="E665" s="15" t="n">
        <f aca="false">ROUND((D665-$D$5)*86400,2)</f>
        <v>22.44</v>
      </c>
      <c r="F665" s="17" t="n">
        <v>656</v>
      </c>
      <c r="G665" s="16" t="n">
        <f aca="false">IF(INDEX(選手一覧!$D$7:$D$2738,$F665)="","",INDEX(選手一覧!$D$7:$D$2738,$F665))</f>
        <v>0.0107427083333333</v>
      </c>
      <c r="H665" s="17" t="n">
        <f aca="false">IF(INDEX(選手一覧!$E$7:$E$2738,$F665)="","",INDEX(選手一覧!$E$7:$E$2738,$F665))</f>
        <v>657</v>
      </c>
      <c r="I665" s="16" t="n">
        <f aca="false">IF(INDEX(選手一覧!$H$7:$H$2738,$F665)="","",INDEX(選手一覧!$H$7:$H$2738,$F665))</f>
        <v>0.00656342592592593</v>
      </c>
      <c r="J665" s="17" t="n">
        <f aca="false">IF(INDEX(選手一覧!$I$7:$I$2738,$F665)="","",INDEX(選手一覧!$I$7:$I$2738,$F665))</f>
        <v>49</v>
      </c>
    </row>
    <row r="666" customFormat="false" ht="15" hidden="false" customHeight="false" outlineLevel="0" collapsed="false">
      <c r="A666" s="17" t="n">
        <v>662</v>
      </c>
      <c r="B666" s="12" t="s">
        <v>2752</v>
      </c>
      <c r="C666" s="12" t="s">
        <v>2564</v>
      </c>
      <c r="D666" s="16" t="n">
        <v>0.00286446759259259</v>
      </c>
      <c r="E666" s="15" t="n">
        <f aca="false">ROUND((D666-$D$5)*86400,2)</f>
        <v>22.46</v>
      </c>
      <c r="F666" s="17" t="n">
        <v>1763</v>
      </c>
      <c r="G666" s="16" t="str">
        <f aca="false">IF(INDEX(選手一覧!$D$7:$D$2738,$F666)="","",INDEX(選手一覧!$D$7:$D$2738,$F666))</f>
        <v/>
      </c>
      <c r="H666" s="17" t="str">
        <f aca="false">IF(INDEX(選手一覧!$E$7:$E$2738,$F666)="","",INDEX(選手一覧!$E$7:$E$2738,$F666))</f>
        <v/>
      </c>
      <c r="I666" s="16" t="str">
        <f aca="false">IF(INDEX(選手一覧!$H$7:$H$2738,$F666)="","",INDEX(選手一覧!$H$7:$H$2738,$F666))</f>
        <v/>
      </c>
      <c r="J666" s="17" t="str">
        <f aca="false">IF(INDEX(選手一覧!$I$7:$I$2738,$F666)="","",INDEX(選手一覧!$I$7:$I$2738,$F666))</f>
        <v/>
      </c>
    </row>
    <row r="667" customFormat="false" ht="15" hidden="false" customHeight="false" outlineLevel="0" collapsed="false">
      <c r="A667" s="17" t="n">
        <v>663</v>
      </c>
      <c r="B667" s="12" t="s">
        <v>487</v>
      </c>
      <c r="C667" s="12" t="s">
        <v>488</v>
      </c>
      <c r="D667" s="16" t="n">
        <v>0.00286458333333333</v>
      </c>
      <c r="E667" s="15" t="n">
        <f aca="false">ROUND((D667-$D$5)*86400,2)</f>
        <v>22.47</v>
      </c>
      <c r="F667" s="17" t="n">
        <v>251</v>
      </c>
      <c r="G667" s="16" t="n">
        <f aca="false">IF(INDEX(選手一覧!$D$7:$D$2738,$F667)="","",INDEX(選手一覧!$D$7:$D$2738,$F667))</f>
        <v>0.0103917824074074</v>
      </c>
      <c r="H667" s="17" t="n">
        <f aca="false">IF(INDEX(選手一覧!$E$7:$E$2738,$F667)="","",INDEX(選手一覧!$E$7:$E$2738,$F667))</f>
        <v>252</v>
      </c>
      <c r="I667" s="16" t="n">
        <f aca="false">IF(INDEX(選手一覧!$H$7:$H$2738,$F667)="","",INDEX(選手一覧!$H$7:$H$2738,$F667))</f>
        <v>0.00646053240740741</v>
      </c>
      <c r="J667" s="17" t="n">
        <f aca="false">IF(INDEX(選手一覧!$I$7:$I$2738,$F667)="","",INDEX(選手一覧!$I$7:$I$2738,$F667))</f>
        <v>25</v>
      </c>
    </row>
    <row r="668" customFormat="false" ht="15" hidden="false" customHeight="false" outlineLevel="0" collapsed="false">
      <c r="A668" s="17" t="n">
        <v>664</v>
      </c>
      <c r="B668" s="12" t="s">
        <v>2024</v>
      </c>
      <c r="C668" s="12" t="s">
        <v>1465</v>
      </c>
      <c r="D668" s="16" t="n">
        <v>0.00286469907407407</v>
      </c>
      <c r="E668" s="15" t="n">
        <f aca="false">ROUND((D668-$D$5)*86400,2)</f>
        <v>22.48</v>
      </c>
      <c r="F668" s="17" t="n">
        <v>1278</v>
      </c>
      <c r="G668" s="16" t="n">
        <f aca="false">IF(INDEX(選手一覧!$D$7:$D$2738,$F668)="","",INDEX(選手一覧!$D$7:$D$2738,$F668))</f>
        <v>0.0111123842592593</v>
      </c>
      <c r="H668" s="17" t="n">
        <f aca="false">IF(INDEX(選手一覧!$E$7:$E$2738,$F668)="","",INDEX(選手一覧!$E$7:$E$2738,$F668))</f>
        <v>1279</v>
      </c>
      <c r="I668" s="16" t="str">
        <f aca="false">IF(INDEX(選手一覧!$H$7:$H$2738,$F668)="","",INDEX(選手一覧!$H$7:$H$2738,$F668))</f>
        <v/>
      </c>
      <c r="J668" s="17" t="str">
        <f aca="false">IF(INDEX(選手一覧!$I$7:$I$2738,$F668)="","",INDEX(選手一覧!$I$7:$I$2738,$F668))</f>
        <v/>
      </c>
    </row>
    <row r="669" customFormat="false" ht="15" hidden="false" customHeight="false" outlineLevel="0" collapsed="false">
      <c r="A669" s="17" t="n">
        <v>665</v>
      </c>
      <c r="B669" s="12" t="s">
        <v>2755</v>
      </c>
      <c r="C669" s="12" t="s">
        <v>2756</v>
      </c>
      <c r="D669" s="16" t="n">
        <v>0.00286481481481482</v>
      </c>
      <c r="E669" s="15" t="n">
        <f aca="false">ROUND((D669-$D$5)*86400,2)</f>
        <v>22.49</v>
      </c>
      <c r="F669" s="17" t="n">
        <v>1766</v>
      </c>
      <c r="G669" s="16" t="str">
        <f aca="false">IF(INDEX(選手一覧!$D$7:$D$2738,$F669)="","",INDEX(選手一覧!$D$7:$D$2738,$F669))</f>
        <v/>
      </c>
      <c r="H669" s="17" t="str">
        <f aca="false">IF(INDEX(選手一覧!$E$7:$E$2738,$F669)="","",INDEX(選手一覧!$E$7:$E$2738,$F669))</f>
        <v/>
      </c>
      <c r="I669" s="16" t="str">
        <f aca="false">IF(INDEX(選手一覧!$H$7:$H$2738,$F669)="","",INDEX(選手一覧!$H$7:$H$2738,$F669))</f>
        <v/>
      </c>
      <c r="J669" s="17" t="str">
        <f aca="false">IF(INDEX(選手一覧!$I$7:$I$2738,$F669)="","",INDEX(選手一覧!$I$7:$I$2738,$F669))</f>
        <v/>
      </c>
    </row>
    <row r="670" customFormat="false" ht="15" hidden="false" customHeight="false" outlineLevel="0" collapsed="false">
      <c r="A670" s="17" t="n">
        <v>666</v>
      </c>
      <c r="B670" s="12" t="s">
        <v>533</v>
      </c>
      <c r="C670" s="12" t="s">
        <v>137</v>
      </c>
      <c r="D670" s="16" t="n">
        <v>0.0028650462962963</v>
      </c>
      <c r="E670" s="15" t="n">
        <f aca="false">ROUND((D670-$D$5)*86400,2)</f>
        <v>22.51</v>
      </c>
      <c r="F670" s="17" t="n">
        <v>281</v>
      </c>
      <c r="G670" s="16" t="n">
        <f aca="false">IF(INDEX(選手一覧!$D$7:$D$2738,$F670)="","",INDEX(選手一覧!$D$7:$D$2738,$F670))</f>
        <v>0.010418287037037</v>
      </c>
      <c r="H670" s="17" t="n">
        <f aca="false">IF(INDEX(選手一覧!$E$7:$E$2738,$F670)="","",INDEX(選手一覧!$E$7:$E$2738,$F670))</f>
        <v>282</v>
      </c>
      <c r="I670" s="16" t="str">
        <f aca="false">IF(INDEX(選手一覧!$H$7:$H$2738,$F670)="","",INDEX(選手一覧!$H$7:$H$2738,$F670))</f>
        <v/>
      </c>
      <c r="J670" s="17" t="str">
        <f aca="false">IF(INDEX(選手一覧!$I$7:$I$2738,$F670)="","",INDEX(選手一覧!$I$7:$I$2738,$F670))</f>
        <v/>
      </c>
    </row>
    <row r="671" customFormat="false" ht="15" hidden="false" customHeight="false" outlineLevel="0" collapsed="false">
      <c r="A671" s="17" t="n">
        <v>667</v>
      </c>
      <c r="B671" s="12" t="s">
        <v>2761</v>
      </c>
      <c r="C671" s="12" t="s">
        <v>2279</v>
      </c>
      <c r="D671" s="16" t="n">
        <v>0.00286539351851852</v>
      </c>
      <c r="E671" s="15" t="n">
        <f aca="false">ROUND((D671-$D$5)*86400,2)</f>
        <v>22.54</v>
      </c>
      <c r="F671" s="17" t="n">
        <v>1769</v>
      </c>
      <c r="G671" s="16" t="str">
        <f aca="false">IF(INDEX(選手一覧!$D$7:$D$2738,$F671)="","",INDEX(選手一覧!$D$7:$D$2738,$F671))</f>
        <v/>
      </c>
      <c r="H671" s="17" t="str">
        <f aca="false">IF(INDEX(選手一覧!$E$7:$E$2738,$F671)="","",INDEX(選手一覧!$E$7:$E$2738,$F671))</f>
        <v/>
      </c>
      <c r="I671" s="16" t="str">
        <f aca="false">IF(INDEX(選手一覧!$H$7:$H$2738,$F671)="","",INDEX(選手一覧!$H$7:$H$2738,$F671))</f>
        <v/>
      </c>
      <c r="J671" s="17" t="str">
        <f aca="false">IF(INDEX(選手一覧!$I$7:$I$2738,$F671)="","",INDEX(選手一覧!$I$7:$I$2738,$F671))</f>
        <v/>
      </c>
    </row>
    <row r="672" customFormat="false" ht="15" hidden="false" customHeight="false" outlineLevel="0" collapsed="false">
      <c r="A672" s="17" t="n">
        <v>668</v>
      </c>
      <c r="B672" s="12" t="s">
        <v>190</v>
      </c>
      <c r="C672" s="12" t="s">
        <v>34</v>
      </c>
      <c r="D672" s="16" t="n">
        <v>0.002865625</v>
      </c>
      <c r="E672" s="15" t="n">
        <f aca="false">ROUND((D672-$D$5)*86400,2)</f>
        <v>22.56</v>
      </c>
      <c r="F672" s="17" t="n">
        <v>84</v>
      </c>
      <c r="G672" s="16" t="n">
        <f aca="false">IF(INDEX(選手一覧!$D$7:$D$2738,$F672)="","",INDEX(選手一覧!$D$7:$D$2738,$F672))</f>
        <v>0.0101798611111111</v>
      </c>
      <c r="H672" s="17" t="n">
        <f aca="false">IF(INDEX(選手一覧!$E$7:$E$2738,$F672)="","",INDEX(選手一覧!$E$7:$E$2738,$F672))</f>
        <v>85</v>
      </c>
      <c r="I672" s="16" t="str">
        <f aca="false">IF(INDEX(選手一覧!$H$7:$H$2738,$F672)="","",INDEX(選手一覧!$H$7:$H$2738,$F672))</f>
        <v/>
      </c>
      <c r="J672" s="17" t="str">
        <f aca="false">IF(INDEX(選手一覧!$I$7:$I$2738,$F672)="","",INDEX(選手一覧!$I$7:$I$2738,$F672))</f>
        <v/>
      </c>
    </row>
    <row r="673" customFormat="false" ht="15" hidden="false" customHeight="false" outlineLevel="0" collapsed="false">
      <c r="A673" s="17" t="n">
        <v>669</v>
      </c>
      <c r="B673" s="12" t="s">
        <v>896</v>
      </c>
      <c r="C673" s="12" t="s">
        <v>141</v>
      </c>
      <c r="D673" s="16" t="n">
        <v>0.00286574074074074</v>
      </c>
      <c r="E673" s="15" t="n">
        <f aca="false">ROUND((D673-$D$5)*86400,2)</f>
        <v>22.57</v>
      </c>
      <c r="F673" s="17" t="n">
        <v>509</v>
      </c>
      <c r="G673" s="16" t="n">
        <f aca="false">IF(INDEX(選手一覧!$D$7:$D$2738,$F673)="","",INDEX(選手一覧!$D$7:$D$2738,$F673))</f>
        <v>0.0106398148148148</v>
      </c>
      <c r="H673" s="17" t="n">
        <f aca="false">IF(INDEX(選手一覧!$E$7:$E$2738,$F673)="","",INDEX(選手一覧!$E$7:$E$2738,$F673))</f>
        <v>510</v>
      </c>
      <c r="I673" s="16" t="n">
        <f aca="false">IF(INDEX(選手一覧!$H$7:$H$2738,$F673)="","",INDEX(選手一覧!$H$7:$H$2738,$F673))</f>
        <v>0.00703703703703704</v>
      </c>
      <c r="J673" s="17" t="n">
        <f aca="false">IF(INDEX(選手一覧!$I$7:$I$2738,$F673)="","",INDEX(選手一覧!$I$7:$I$2738,$F673))</f>
        <v>368</v>
      </c>
    </row>
    <row r="674" customFormat="false" ht="15" hidden="false" customHeight="false" outlineLevel="0" collapsed="false">
      <c r="A674" s="17" t="n">
        <v>670</v>
      </c>
      <c r="B674" s="12" t="s">
        <v>366</v>
      </c>
      <c r="C674" s="12" t="s">
        <v>77</v>
      </c>
      <c r="D674" s="16" t="n">
        <v>0.00286608796296296</v>
      </c>
      <c r="E674" s="15" t="n">
        <f aca="false">ROUND((D674-$D$5)*86400,2)</f>
        <v>22.6</v>
      </c>
      <c r="F674" s="17" t="n">
        <v>179</v>
      </c>
      <c r="G674" s="16" t="n">
        <f aca="false">IF(INDEX(選手一覧!$D$7:$D$2738,$F674)="","",INDEX(選手一覧!$D$7:$D$2738,$F674))</f>
        <v>0.0103270833333333</v>
      </c>
      <c r="H674" s="17" t="n">
        <f aca="false">IF(INDEX(選手一覧!$E$7:$E$2738,$F674)="","",INDEX(選手一覧!$E$7:$E$2738,$F674))</f>
        <v>180</v>
      </c>
      <c r="I674" s="16" t="n">
        <f aca="false">IF(INDEX(選手一覧!$H$7:$H$2738,$F674)="","",INDEX(選手一覧!$H$7:$H$2738,$F674))</f>
        <v>0.00692604166666667</v>
      </c>
      <c r="J674" s="17" t="n">
        <f aca="false">IF(INDEX(選手一覧!$I$7:$I$2738,$F674)="","",INDEX(選手一覧!$I$7:$I$2738,$F674))</f>
        <v>266</v>
      </c>
    </row>
    <row r="675" customFormat="false" ht="15" hidden="false" customHeight="false" outlineLevel="0" collapsed="false">
      <c r="A675" s="17" t="n">
        <v>671</v>
      </c>
      <c r="B675" s="12" t="s">
        <v>2179</v>
      </c>
      <c r="C675" s="12" t="s">
        <v>1094</v>
      </c>
      <c r="D675" s="16" t="n">
        <v>0.0028662037037037</v>
      </c>
      <c r="E675" s="15" t="n">
        <f aca="false">ROUND((D675-$D$5)*86400,2)</f>
        <v>22.61</v>
      </c>
      <c r="F675" s="17" t="n">
        <v>1385</v>
      </c>
      <c r="G675" s="16" t="str">
        <f aca="false">IF(INDEX(選手一覧!$D$7:$D$2738,$F675)="","",INDEX(選手一覧!$D$7:$D$2738,$F675))</f>
        <v/>
      </c>
      <c r="H675" s="17" t="str">
        <f aca="false">IF(INDEX(選手一覧!$E$7:$E$2738,$F675)="","",INDEX(選手一覧!$E$7:$E$2738,$F675))</f>
        <v/>
      </c>
      <c r="I675" s="16" t="n">
        <f aca="false">IF(INDEX(選手一覧!$H$7:$H$2738,$F675)="","",INDEX(選手一覧!$H$7:$H$2738,$F675))</f>
        <v>0.0069193287037037</v>
      </c>
      <c r="J675" s="17" t="n">
        <f aca="false">IF(INDEX(選手一覧!$I$7:$I$2738,$F675)="","",INDEX(選手一覧!$I$7:$I$2738,$F675))</f>
        <v>255</v>
      </c>
    </row>
    <row r="676" customFormat="false" ht="15" hidden="false" customHeight="false" outlineLevel="0" collapsed="false">
      <c r="A676" s="17" t="n">
        <v>672</v>
      </c>
      <c r="B676" s="12" t="s">
        <v>2768</v>
      </c>
      <c r="C676" s="12" t="s">
        <v>2769</v>
      </c>
      <c r="D676" s="16" t="n">
        <v>0.00286643518518519</v>
      </c>
      <c r="E676" s="15" t="n">
        <f aca="false">ROUND((D676-$D$5)*86400,2)</f>
        <v>22.63</v>
      </c>
      <c r="F676" s="17" t="n">
        <v>1774</v>
      </c>
      <c r="G676" s="16" t="str">
        <f aca="false">IF(INDEX(選手一覧!$D$7:$D$2738,$F676)="","",INDEX(選手一覧!$D$7:$D$2738,$F676))</f>
        <v/>
      </c>
      <c r="H676" s="17" t="str">
        <f aca="false">IF(INDEX(選手一覧!$E$7:$E$2738,$F676)="","",INDEX(選手一覧!$E$7:$E$2738,$F676))</f>
        <v/>
      </c>
      <c r="I676" s="16" t="str">
        <f aca="false">IF(INDEX(選手一覧!$H$7:$H$2738,$F676)="","",INDEX(選手一覧!$H$7:$H$2738,$F676))</f>
        <v/>
      </c>
      <c r="J676" s="17" t="str">
        <f aca="false">IF(INDEX(選手一覧!$I$7:$I$2738,$F676)="","",INDEX(選手一覧!$I$7:$I$2738,$F676))</f>
        <v/>
      </c>
    </row>
    <row r="677" customFormat="false" ht="15" hidden="false" customHeight="false" outlineLevel="0" collapsed="false">
      <c r="A677" s="17" t="n">
        <v>673</v>
      </c>
      <c r="B677" s="12" t="s">
        <v>1103</v>
      </c>
      <c r="C677" s="12" t="s">
        <v>1104</v>
      </c>
      <c r="D677" s="16" t="n">
        <v>0.00286643518518519</v>
      </c>
      <c r="E677" s="15" t="n">
        <f aca="false">ROUND((D677-$D$5)*86400,2)</f>
        <v>22.63</v>
      </c>
      <c r="F677" s="17" t="n">
        <v>653</v>
      </c>
      <c r="G677" s="16" t="n">
        <f aca="false">IF(INDEX(選手一覧!$D$7:$D$2738,$F677)="","",INDEX(選手一覧!$D$7:$D$2738,$F677))</f>
        <v>0.010740625</v>
      </c>
      <c r="H677" s="17" t="n">
        <f aca="false">IF(INDEX(選手一覧!$E$7:$E$2738,$F677)="","",INDEX(選手一覧!$E$7:$E$2738,$F677))</f>
        <v>654</v>
      </c>
      <c r="I677" s="16" t="str">
        <f aca="false">IF(INDEX(選手一覧!$H$7:$H$2738,$F677)="","",INDEX(選手一覧!$H$7:$H$2738,$F677))</f>
        <v/>
      </c>
      <c r="J677" s="17" t="str">
        <f aca="false">IF(INDEX(選手一覧!$I$7:$I$2738,$F677)="","",INDEX(選手一覧!$I$7:$I$2738,$F677))</f>
        <v/>
      </c>
    </row>
    <row r="678" customFormat="false" ht="15" hidden="false" customHeight="false" outlineLevel="0" collapsed="false">
      <c r="A678" s="17" t="n">
        <v>674</v>
      </c>
      <c r="B678" s="12" t="s">
        <v>2774</v>
      </c>
      <c r="C678" s="12" t="s">
        <v>2222</v>
      </c>
      <c r="D678" s="16" t="n">
        <v>0.00286678240740741</v>
      </c>
      <c r="E678" s="15" t="n">
        <f aca="false">ROUND((D678-$D$5)*86400,2)</f>
        <v>22.66</v>
      </c>
      <c r="F678" s="17" t="n">
        <v>1777</v>
      </c>
      <c r="G678" s="16" t="str">
        <f aca="false">IF(INDEX(選手一覧!$D$7:$D$2738,$F678)="","",INDEX(選手一覧!$D$7:$D$2738,$F678))</f>
        <v/>
      </c>
      <c r="H678" s="17" t="str">
        <f aca="false">IF(INDEX(選手一覧!$E$7:$E$2738,$F678)="","",INDEX(選手一覧!$E$7:$E$2738,$F678))</f>
        <v/>
      </c>
      <c r="I678" s="16" t="str">
        <f aca="false">IF(INDEX(選手一覧!$H$7:$H$2738,$F678)="","",INDEX(選手一覧!$H$7:$H$2738,$F678))</f>
        <v/>
      </c>
      <c r="J678" s="17" t="str">
        <f aca="false">IF(INDEX(選手一覧!$I$7:$I$2738,$F678)="","",INDEX(選手一覧!$I$7:$I$2738,$F678))</f>
        <v/>
      </c>
    </row>
    <row r="679" customFormat="false" ht="15" hidden="false" customHeight="false" outlineLevel="0" collapsed="false">
      <c r="A679" s="17" t="n">
        <v>675</v>
      </c>
      <c r="B679" s="12" t="s">
        <v>2777</v>
      </c>
      <c r="C679" s="12" t="s">
        <v>2778</v>
      </c>
      <c r="D679" s="16" t="n">
        <v>0.00286712962962963</v>
      </c>
      <c r="E679" s="15" t="n">
        <f aca="false">ROUND((D679-$D$5)*86400,2)</f>
        <v>22.69</v>
      </c>
      <c r="F679" s="17" t="n">
        <v>1779</v>
      </c>
      <c r="G679" s="16" t="str">
        <f aca="false">IF(INDEX(選手一覧!$D$7:$D$2738,$F679)="","",INDEX(選手一覧!$D$7:$D$2738,$F679))</f>
        <v/>
      </c>
      <c r="H679" s="17" t="str">
        <f aca="false">IF(INDEX(選手一覧!$E$7:$E$2738,$F679)="","",INDEX(選手一覧!$E$7:$E$2738,$F679))</f>
        <v/>
      </c>
      <c r="I679" s="16" t="str">
        <f aca="false">IF(INDEX(選手一覧!$H$7:$H$2738,$F679)="","",INDEX(選手一覧!$H$7:$H$2738,$F679))</f>
        <v/>
      </c>
      <c r="J679" s="17" t="str">
        <f aca="false">IF(INDEX(選手一覧!$I$7:$I$2738,$F679)="","",INDEX(選手一覧!$I$7:$I$2738,$F679))</f>
        <v/>
      </c>
    </row>
    <row r="680" customFormat="false" ht="15" hidden="false" customHeight="false" outlineLevel="0" collapsed="false">
      <c r="A680" s="17" t="n">
        <v>676</v>
      </c>
      <c r="B680" s="12" t="s">
        <v>1278</v>
      </c>
      <c r="C680" s="12" t="s">
        <v>757</v>
      </c>
      <c r="D680" s="16" t="n">
        <v>0.00286712962962963</v>
      </c>
      <c r="E680" s="15" t="n">
        <f aca="false">ROUND((D680-$D$5)*86400,2)</f>
        <v>22.69</v>
      </c>
      <c r="F680" s="17" t="n">
        <v>763</v>
      </c>
      <c r="G680" s="16" t="n">
        <f aca="false">IF(INDEX(選手一覧!$D$7:$D$2738,$F680)="","",INDEX(選手一覧!$D$7:$D$2738,$F680))</f>
        <v>0.0108100694444445</v>
      </c>
      <c r="H680" s="17" t="n">
        <f aca="false">IF(INDEX(選手一覧!$E$7:$E$2738,$F680)="","",INDEX(選手一覧!$E$7:$E$2738,$F680))</f>
        <v>764</v>
      </c>
      <c r="I680" s="16" t="str">
        <f aca="false">IF(INDEX(選手一覧!$H$7:$H$2738,$F680)="","",INDEX(選手一覧!$H$7:$H$2738,$F680))</f>
        <v/>
      </c>
      <c r="J680" s="17" t="str">
        <f aca="false">IF(INDEX(選手一覧!$I$7:$I$2738,$F680)="","",INDEX(選手一覧!$I$7:$I$2738,$F680))</f>
        <v/>
      </c>
    </row>
    <row r="681" customFormat="false" ht="15" hidden="false" customHeight="false" outlineLevel="0" collapsed="false">
      <c r="A681" s="17" t="n">
        <v>677</v>
      </c>
      <c r="B681" s="12" t="s">
        <v>2783</v>
      </c>
      <c r="C681" s="12" t="s">
        <v>2522</v>
      </c>
      <c r="D681" s="16" t="n">
        <v>0.00286724537037037</v>
      </c>
      <c r="E681" s="15" t="n">
        <f aca="false">ROUND((D681-$D$5)*86400,2)</f>
        <v>22.7</v>
      </c>
      <c r="F681" s="17" t="n">
        <v>1782</v>
      </c>
      <c r="G681" s="16" t="str">
        <f aca="false">IF(INDEX(選手一覧!$D$7:$D$2738,$F681)="","",INDEX(選手一覧!$D$7:$D$2738,$F681))</f>
        <v/>
      </c>
      <c r="H681" s="17" t="str">
        <f aca="false">IF(INDEX(選手一覧!$E$7:$E$2738,$F681)="","",INDEX(選手一覧!$E$7:$E$2738,$F681))</f>
        <v/>
      </c>
      <c r="I681" s="16" t="str">
        <f aca="false">IF(INDEX(選手一覧!$H$7:$H$2738,$F681)="","",INDEX(選手一覧!$H$7:$H$2738,$F681))</f>
        <v/>
      </c>
      <c r="J681" s="17" t="str">
        <f aca="false">IF(INDEX(選手一覧!$I$7:$I$2738,$F681)="","",INDEX(選手一覧!$I$7:$I$2738,$F681))</f>
        <v/>
      </c>
    </row>
    <row r="682" customFormat="false" ht="15" hidden="false" customHeight="false" outlineLevel="0" collapsed="false">
      <c r="A682" s="17" t="n">
        <v>678</v>
      </c>
      <c r="B682" s="12" t="s">
        <v>2786</v>
      </c>
      <c r="C682" s="12" t="s">
        <v>2787</v>
      </c>
      <c r="D682" s="16" t="n">
        <v>0.00286724537037037</v>
      </c>
      <c r="E682" s="15" t="n">
        <f aca="false">ROUND((D682-$D$5)*86400,2)</f>
        <v>22.7</v>
      </c>
      <c r="F682" s="17" t="n">
        <v>1784</v>
      </c>
      <c r="G682" s="16" t="str">
        <f aca="false">IF(INDEX(選手一覧!$D$7:$D$2738,$F682)="","",INDEX(選手一覧!$D$7:$D$2738,$F682))</f>
        <v/>
      </c>
      <c r="H682" s="17" t="str">
        <f aca="false">IF(INDEX(選手一覧!$E$7:$E$2738,$F682)="","",INDEX(選手一覧!$E$7:$E$2738,$F682))</f>
        <v/>
      </c>
      <c r="I682" s="16" t="str">
        <f aca="false">IF(INDEX(選手一覧!$H$7:$H$2738,$F682)="","",INDEX(選手一覧!$H$7:$H$2738,$F682))</f>
        <v/>
      </c>
      <c r="J682" s="17" t="str">
        <f aca="false">IF(INDEX(選手一覧!$I$7:$I$2738,$F682)="","",INDEX(選手一覧!$I$7:$I$2738,$F682))</f>
        <v/>
      </c>
    </row>
    <row r="683" customFormat="false" ht="15" hidden="false" customHeight="false" outlineLevel="0" collapsed="false">
      <c r="A683" s="17" t="n">
        <v>679</v>
      </c>
      <c r="B683" s="12" t="s">
        <v>937</v>
      </c>
      <c r="C683" s="12" t="s">
        <v>115</v>
      </c>
      <c r="D683" s="16" t="n">
        <v>0.00286793981481482</v>
      </c>
      <c r="E683" s="15" t="n">
        <f aca="false">ROUND((D683-$D$5)*86400,2)</f>
        <v>22.76</v>
      </c>
      <c r="F683" s="17" t="n">
        <v>534</v>
      </c>
      <c r="G683" s="16" t="n">
        <f aca="false">IF(INDEX(選手一覧!$D$7:$D$2738,$F683)="","",INDEX(選手一覧!$D$7:$D$2738,$F683))</f>
        <v>0.0106601851851852</v>
      </c>
      <c r="H683" s="17" t="n">
        <f aca="false">IF(INDEX(選手一覧!$E$7:$E$2738,$F683)="","",INDEX(選手一覧!$E$7:$E$2738,$F683))</f>
        <v>535</v>
      </c>
      <c r="I683" s="16" t="str">
        <f aca="false">IF(INDEX(選手一覧!$H$7:$H$2738,$F683)="","",INDEX(選手一覧!$H$7:$H$2738,$F683))</f>
        <v/>
      </c>
      <c r="J683" s="17" t="str">
        <f aca="false">IF(INDEX(選手一覧!$I$7:$I$2738,$F683)="","",INDEX(選手一覧!$I$7:$I$2738,$F683))</f>
        <v/>
      </c>
    </row>
    <row r="684" customFormat="false" ht="15" hidden="false" customHeight="false" outlineLevel="0" collapsed="false">
      <c r="A684" s="17" t="n">
        <v>680</v>
      </c>
      <c r="B684" s="12" t="s">
        <v>828</v>
      </c>
      <c r="C684" s="12" t="s">
        <v>438</v>
      </c>
      <c r="D684" s="16" t="n">
        <v>0.00286805555555556</v>
      </c>
      <c r="E684" s="15" t="n">
        <f aca="false">ROUND((D684-$D$5)*86400,2)</f>
        <v>22.77</v>
      </c>
      <c r="F684" s="17" t="n">
        <v>468</v>
      </c>
      <c r="G684" s="16" t="n">
        <f aca="false">IF(INDEX(選手一覧!$D$7:$D$2738,$F684)="","",INDEX(選手一覧!$D$7:$D$2738,$F684))</f>
        <v>0.0106054398148148</v>
      </c>
      <c r="H684" s="17" t="n">
        <f aca="false">IF(INDEX(選手一覧!$E$7:$E$2738,$F684)="","",INDEX(選手一覧!$E$7:$E$2738,$F684))</f>
        <v>469</v>
      </c>
      <c r="I684" s="16" t="str">
        <f aca="false">IF(INDEX(選手一覧!$H$7:$H$2738,$F684)="","",INDEX(選手一覧!$H$7:$H$2738,$F684))</f>
        <v/>
      </c>
      <c r="J684" s="17" t="str">
        <f aca="false">IF(INDEX(選手一覧!$I$7:$I$2738,$F684)="","",INDEX(選手一覧!$I$7:$I$2738,$F684))</f>
        <v/>
      </c>
    </row>
    <row r="685" customFormat="false" ht="15" hidden="false" customHeight="false" outlineLevel="0" collapsed="false">
      <c r="A685" s="17" t="n">
        <v>681</v>
      </c>
      <c r="B685" s="12" t="s">
        <v>2790</v>
      </c>
      <c r="C685" s="12" t="s">
        <v>2791</v>
      </c>
      <c r="D685" s="16" t="n">
        <v>0.00286805555555556</v>
      </c>
      <c r="E685" s="15" t="n">
        <f aca="false">ROUND((D685-$D$5)*86400,2)</f>
        <v>22.77</v>
      </c>
      <c r="F685" s="17" t="n">
        <v>1787</v>
      </c>
      <c r="G685" s="16" t="str">
        <f aca="false">IF(INDEX(選手一覧!$D$7:$D$2738,$F685)="","",INDEX(選手一覧!$D$7:$D$2738,$F685))</f>
        <v/>
      </c>
      <c r="H685" s="17" t="str">
        <f aca="false">IF(INDEX(選手一覧!$E$7:$E$2738,$F685)="","",INDEX(選手一覧!$E$7:$E$2738,$F685))</f>
        <v/>
      </c>
      <c r="I685" s="16" t="str">
        <f aca="false">IF(INDEX(選手一覧!$H$7:$H$2738,$F685)="","",INDEX(選手一覧!$H$7:$H$2738,$F685))</f>
        <v/>
      </c>
      <c r="J685" s="17" t="str">
        <f aca="false">IF(INDEX(選手一覧!$I$7:$I$2738,$F685)="","",INDEX(選手一覧!$I$7:$I$2738,$F685))</f>
        <v/>
      </c>
    </row>
    <row r="686" customFormat="false" ht="15" hidden="false" customHeight="false" outlineLevel="0" collapsed="false">
      <c r="A686" s="17" t="n">
        <v>682</v>
      </c>
      <c r="B686" s="12" t="s">
        <v>1653</v>
      </c>
      <c r="C686" s="12" t="s">
        <v>1049</v>
      </c>
      <c r="D686" s="16" t="n">
        <v>0.0028681712962963</v>
      </c>
      <c r="E686" s="15" t="n">
        <f aca="false">ROUND((D686-$D$5)*86400,2)</f>
        <v>22.78</v>
      </c>
      <c r="F686" s="17" t="n">
        <v>1018</v>
      </c>
      <c r="G686" s="16" t="n">
        <f aca="false">IF(INDEX(選手一覧!$D$7:$D$2738,$F686)="","",INDEX(選手一覧!$D$7:$D$2738,$F686))</f>
        <v>0.0109579861111111</v>
      </c>
      <c r="H686" s="17" t="n">
        <f aca="false">IF(INDEX(選手一覧!$E$7:$E$2738,$F686)="","",INDEX(選手一覧!$E$7:$E$2738,$F686))</f>
        <v>1019</v>
      </c>
      <c r="I686" s="16" t="n">
        <f aca="false">IF(INDEX(選手一覧!$H$7:$H$2738,$F686)="","",INDEX(選手一覧!$H$7:$H$2738,$F686))</f>
        <v>0.00743009259259259</v>
      </c>
      <c r="J686" s="17" t="n">
        <f aca="false">IF(INDEX(選手一覧!$I$7:$I$2738,$F686)="","",INDEX(選手一覧!$I$7:$I$2738,$F686))</f>
        <v>805</v>
      </c>
    </row>
    <row r="687" customFormat="false" ht="15" hidden="false" customHeight="false" outlineLevel="0" collapsed="false">
      <c r="A687" s="17" t="n">
        <v>683</v>
      </c>
      <c r="B687" s="12" t="s">
        <v>2795</v>
      </c>
      <c r="C687" s="12" t="s">
        <v>2587</v>
      </c>
      <c r="D687" s="16" t="n">
        <v>0.00286828703703704</v>
      </c>
      <c r="E687" s="15" t="n">
        <f aca="false">ROUND((D687-$D$5)*86400,2)</f>
        <v>22.79</v>
      </c>
      <c r="F687" s="17" t="n">
        <v>1790</v>
      </c>
      <c r="G687" s="16" t="str">
        <f aca="false">IF(INDEX(選手一覧!$D$7:$D$2738,$F687)="","",INDEX(選手一覧!$D$7:$D$2738,$F687))</f>
        <v/>
      </c>
      <c r="H687" s="17" t="str">
        <f aca="false">IF(INDEX(選手一覧!$E$7:$E$2738,$F687)="","",INDEX(選手一覧!$E$7:$E$2738,$F687))</f>
        <v/>
      </c>
      <c r="I687" s="16" t="str">
        <f aca="false">IF(INDEX(選手一覧!$H$7:$H$2738,$F687)="","",INDEX(選手一覧!$H$7:$H$2738,$F687))</f>
        <v/>
      </c>
      <c r="J687" s="17" t="str">
        <f aca="false">IF(INDEX(選手一覧!$I$7:$I$2738,$F687)="","",INDEX(選手一覧!$I$7:$I$2738,$F687))</f>
        <v/>
      </c>
    </row>
    <row r="688" customFormat="false" ht="15" hidden="false" customHeight="false" outlineLevel="0" collapsed="false">
      <c r="A688" s="17" t="n">
        <v>684</v>
      </c>
      <c r="B688" s="12" t="s">
        <v>1100</v>
      </c>
      <c r="C688" s="12" t="s">
        <v>380</v>
      </c>
      <c r="D688" s="16" t="n">
        <v>0.00286828703703704</v>
      </c>
      <c r="E688" s="15" t="n">
        <f aca="false">ROUND((D688-$D$5)*86400,2)</f>
        <v>22.79</v>
      </c>
      <c r="F688" s="17" t="n">
        <v>650</v>
      </c>
      <c r="G688" s="16" t="n">
        <f aca="false">IF(INDEX(選手一覧!$D$7:$D$2738,$F688)="","",INDEX(選手一覧!$D$7:$D$2738,$F688))</f>
        <v>0.0107394675925926</v>
      </c>
      <c r="H688" s="17" t="n">
        <f aca="false">IF(INDEX(選手一覧!$E$7:$E$2738,$F688)="","",INDEX(選手一覧!$E$7:$E$2738,$F688))</f>
        <v>651</v>
      </c>
      <c r="I688" s="16" t="n">
        <f aca="false">IF(INDEX(選手一覧!$H$7:$H$2738,$F688)="","",INDEX(選手一覧!$H$7:$H$2738,$F688))</f>
        <v>0.00688576388888889</v>
      </c>
      <c r="J688" s="17" t="n">
        <f aca="false">IF(INDEX(選手一覧!$I$7:$I$2738,$F688)="","",INDEX(選手一覧!$I$7:$I$2738,$F688))</f>
        <v>226</v>
      </c>
    </row>
    <row r="689" customFormat="false" ht="15" hidden="false" customHeight="false" outlineLevel="0" collapsed="false">
      <c r="A689" s="17" t="n">
        <v>685</v>
      </c>
      <c r="B689" s="12" t="s">
        <v>521</v>
      </c>
      <c r="C689" s="12" t="s">
        <v>522</v>
      </c>
      <c r="D689" s="16" t="n">
        <v>0.00286875</v>
      </c>
      <c r="E689" s="15" t="n">
        <f aca="false">ROUND((D689-$D$5)*86400,2)</f>
        <v>22.83</v>
      </c>
      <c r="F689" s="17" t="n">
        <v>275</v>
      </c>
      <c r="G689" s="16" t="n">
        <f aca="false">IF(INDEX(選手一覧!$D$7:$D$2738,$F689)="","",INDEX(選手一覧!$D$7:$D$2738,$F689))</f>
        <v>0.0104104166666667</v>
      </c>
      <c r="H689" s="17" t="n">
        <f aca="false">IF(INDEX(選手一覧!$E$7:$E$2738,$F689)="","",INDEX(選手一覧!$E$7:$E$2738,$F689))</f>
        <v>276</v>
      </c>
      <c r="I689" s="16" t="str">
        <f aca="false">IF(INDEX(選手一覧!$H$7:$H$2738,$F689)="","",INDEX(選手一覧!$H$7:$H$2738,$F689))</f>
        <v/>
      </c>
      <c r="J689" s="17" t="str">
        <f aca="false">IF(INDEX(選手一覧!$I$7:$I$2738,$F689)="","",INDEX(選手一覧!$I$7:$I$2738,$F689))</f>
        <v/>
      </c>
    </row>
    <row r="690" customFormat="false" ht="15" hidden="false" customHeight="false" outlineLevel="0" collapsed="false">
      <c r="A690" s="17" t="n">
        <v>686</v>
      </c>
      <c r="B690" s="12" t="s">
        <v>1037</v>
      </c>
      <c r="C690" s="12" t="s">
        <v>290</v>
      </c>
      <c r="D690" s="16" t="n">
        <v>0.00286875</v>
      </c>
      <c r="E690" s="15" t="n">
        <f aca="false">ROUND((D690-$D$5)*86400,2)</f>
        <v>22.83</v>
      </c>
      <c r="F690" s="17" t="n">
        <v>602</v>
      </c>
      <c r="G690" s="16" t="n">
        <f aca="false">IF(INDEX(選手一覧!$D$7:$D$2738,$F690)="","",INDEX(選手一覧!$D$7:$D$2738,$F690))</f>
        <v>0.0107142361111111</v>
      </c>
      <c r="H690" s="17" t="n">
        <f aca="false">IF(INDEX(選手一覧!$E$7:$E$2738,$F690)="","",INDEX(選手一覧!$E$7:$E$2738,$F690))</f>
        <v>603</v>
      </c>
      <c r="I690" s="16" t="n">
        <f aca="false">IF(INDEX(選手一覧!$H$7:$H$2738,$F690)="","",INDEX(選手一覧!$H$7:$H$2738,$F690))</f>
        <v>0.00700081018518519</v>
      </c>
      <c r="J690" s="17" t="n">
        <f aca="false">IF(INDEX(選手一覧!$I$7:$I$2738,$F690)="","",INDEX(選手一覧!$I$7:$I$2738,$F690))</f>
        <v>338</v>
      </c>
    </row>
    <row r="691" customFormat="false" ht="15" hidden="false" customHeight="false" outlineLevel="0" collapsed="false">
      <c r="A691" s="17" t="n">
        <v>687</v>
      </c>
      <c r="B691" s="12" t="s">
        <v>395</v>
      </c>
      <c r="C691" s="12" t="s">
        <v>380</v>
      </c>
      <c r="D691" s="16" t="n">
        <v>0.00286898148148148</v>
      </c>
      <c r="E691" s="15" t="n">
        <f aca="false">ROUND((D691-$D$5)*86400,2)</f>
        <v>22.85</v>
      </c>
      <c r="F691" s="17" t="n">
        <v>196</v>
      </c>
      <c r="G691" s="16" t="n">
        <f aca="false">IF(INDEX(選手一覧!$D$7:$D$2738,$F691)="","",INDEX(選手一覧!$D$7:$D$2738,$F691))</f>
        <v>0.0103466435185185</v>
      </c>
      <c r="H691" s="17" t="n">
        <f aca="false">IF(INDEX(選手一覧!$E$7:$E$2738,$F691)="","",INDEX(選手一覧!$E$7:$E$2738,$F691))</f>
        <v>197</v>
      </c>
      <c r="I691" s="16" t="str">
        <f aca="false">IF(INDEX(選手一覧!$H$7:$H$2738,$F691)="","",INDEX(選手一覧!$H$7:$H$2738,$F691))</f>
        <v/>
      </c>
      <c r="J691" s="17" t="str">
        <f aca="false">IF(INDEX(選手一覧!$I$7:$I$2738,$F691)="","",INDEX(選手一覧!$I$7:$I$2738,$F691))</f>
        <v/>
      </c>
    </row>
    <row r="692" customFormat="false" ht="15" hidden="false" customHeight="false" outlineLevel="0" collapsed="false">
      <c r="A692" s="17" t="n">
        <v>688</v>
      </c>
      <c r="B692" s="12" t="s">
        <v>2216</v>
      </c>
      <c r="C692" s="12" t="s">
        <v>2217</v>
      </c>
      <c r="D692" s="16" t="n">
        <v>0.00286909722222222</v>
      </c>
      <c r="E692" s="15" t="n">
        <f aca="false">ROUND((D692-$D$5)*86400,2)</f>
        <v>22.86</v>
      </c>
      <c r="F692" s="17" t="n">
        <v>1412</v>
      </c>
      <c r="G692" s="16" t="str">
        <f aca="false">IF(INDEX(選手一覧!$D$7:$D$2738,$F692)="","",INDEX(選手一覧!$D$7:$D$2738,$F692))</f>
        <v/>
      </c>
      <c r="H692" s="17" t="str">
        <f aca="false">IF(INDEX(選手一覧!$E$7:$E$2738,$F692)="","",INDEX(選手一覧!$E$7:$E$2738,$F692))</f>
        <v/>
      </c>
      <c r="I692" s="16" t="n">
        <f aca="false">IF(INDEX(選手一覧!$H$7:$H$2738,$F692)="","",INDEX(選手一覧!$H$7:$H$2738,$F692))</f>
        <v>0.00695127314814815</v>
      </c>
      <c r="J692" s="17" t="n">
        <f aca="false">IF(INDEX(選手一覧!$I$7:$I$2738,$F692)="","",INDEX(選手一覧!$I$7:$I$2738,$F692))</f>
        <v>286</v>
      </c>
    </row>
    <row r="693" customFormat="false" ht="15" hidden="false" customHeight="false" outlineLevel="0" collapsed="false">
      <c r="A693" s="17" t="n">
        <v>689</v>
      </c>
      <c r="B693" s="12" t="s">
        <v>1745</v>
      </c>
      <c r="C693" s="12" t="s">
        <v>1746</v>
      </c>
      <c r="D693" s="16" t="n">
        <v>0.0028693287037037</v>
      </c>
      <c r="E693" s="15" t="n">
        <f aca="false">ROUND((D693-$D$5)*86400,2)</f>
        <v>22.88</v>
      </c>
      <c r="F693" s="17" t="n">
        <v>1079</v>
      </c>
      <c r="G693" s="16" t="n">
        <f aca="false">IF(INDEX(選手一覧!$D$7:$D$2738,$F693)="","",INDEX(選手一覧!$D$7:$D$2738,$F693))</f>
        <v>0.0109907407407407</v>
      </c>
      <c r="H693" s="17" t="n">
        <f aca="false">IF(INDEX(選手一覧!$E$7:$E$2738,$F693)="","",INDEX(選手一覧!$E$7:$E$2738,$F693))</f>
        <v>1080</v>
      </c>
      <c r="I693" s="16" t="str">
        <f aca="false">IF(INDEX(選手一覧!$H$7:$H$2738,$F693)="","",INDEX(選手一覧!$H$7:$H$2738,$F693))</f>
        <v/>
      </c>
      <c r="J693" s="17" t="str">
        <f aca="false">IF(INDEX(選手一覧!$I$7:$I$2738,$F693)="","",INDEX(選手一覧!$I$7:$I$2738,$F693))</f>
        <v/>
      </c>
    </row>
    <row r="694" customFormat="false" ht="15" hidden="false" customHeight="false" outlineLevel="0" collapsed="false">
      <c r="A694" s="17" t="n">
        <v>690</v>
      </c>
      <c r="B694" s="12" t="s">
        <v>2354</v>
      </c>
      <c r="C694" s="12" t="s">
        <v>1716</v>
      </c>
      <c r="D694" s="16" t="n">
        <v>0.00286956018518519</v>
      </c>
      <c r="E694" s="15" t="n">
        <f aca="false">ROUND((D694-$D$5)*86400,2)</f>
        <v>22.9</v>
      </c>
      <c r="F694" s="17" t="n">
        <v>1498</v>
      </c>
      <c r="G694" s="16" t="str">
        <f aca="false">IF(INDEX(選手一覧!$D$7:$D$2738,$F694)="","",INDEX(選手一覧!$D$7:$D$2738,$F694))</f>
        <v/>
      </c>
      <c r="H694" s="17" t="str">
        <f aca="false">IF(INDEX(選手一覧!$E$7:$E$2738,$F694)="","",INDEX(選手一覧!$E$7:$E$2738,$F694))</f>
        <v/>
      </c>
      <c r="I694" s="16" t="n">
        <f aca="false">IF(INDEX(選手一覧!$H$7:$H$2738,$F694)="","",INDEX(選手一覧!$H$7:$H$2738,$F694))</f>
        <v>0.00705925925925926</v>
      </c>
      <c r="J694" s="17" t="n">
        <f aca="false">IF(INDEX(選手一覧!$I$7:$I$2738,$F694)="","",INDEX(選手一覧!$I$7:$I$2738,$F694))</f>
        <v>400</v>
      </c>
    </row>
    <row r="695" customFormat="false" ht="15" hidden="false" customHeight="false" outlineLevel="0" collapsed="false">
      <c r="A695" s="17" t="n">
        <v>691</v>
      </c>
      <c r="B695" s="12" t="s">
        <v>564</v>
      </c>
      <c r="C695" s="12" t="s">
        <v>565</v>
      </c>
      <c r="D695" s="16" t="n">
        <v>0.00286956018518519</v>
      </c>
      <c r="E695" s="15" t="n">
        <f aca="false">ROUND((D695-$D$5)*86400,2)</f>
        <v>22.9</v>
      </c>
      <c r="F695" s="17" t="n">
        <v>301</v>
      </c>
      <c r="G695" s="16" t="n">
        <f aca="false">IF(INDEX(選手一覧!$D$7:$D$2738,$F695)="","",INDEX(選手一覧!$D$7:$D$2738,$F695))</f>
        <v>0.0104483796296296</v>
      </c>
      <c r="H695" s="17" t="n">
        <f aca="false">IF(INDEX(選手一覧!$E$7:$E$2738,$F695)="","",INDEX(選手一覧!$E$7:$E$2738,$F695))</f>
        <v>302</v>
      </c>
      <c r="I695" s="16" t="n">
        <f aca="false">IF(INDEX(選手一覧!$H$7:$H$2738,$F695)="","",INDEX(選手一覧!$H$7:$H$2738,$F695))</f>
        <v>0.00723009259259259</v>
      </c>
      <c r="J695" s="17" t="n">
        <f aca="false">IF(INDEX(選手一覧!$I$7:$I$2738,$F695)="","",INDEX(選手一覧!$I$7:$I$2738,$F695))</f>
        <v>574</v>
      </c>
    </row>
    <row r="696" customFormat="false" ht="15" hidden="false" customHeight="false" outlineLevel="0" collapsed="false">
      <c r="A696" s="17" t="n">
        <v>692</v>
      </c>
      <c r="B696" s="12" t="s">
        <v>2141</v>
      </c>
      <c r="C696" s="12" t="s">
        <v>1138</v>
      </c>
      <c r="D696" s="16" t="n">
        <v>0.00286956018518519</v>
      </c>
      <c r="E696" s="15" t="n">
        <f aca="false">ROUND((D696-$D$5)*86400,2)</f>
        <v>22.9</v>
      </c>
      <c r="F696" s="17" t="n">
        <v>1358</v>
      </c>
      <c r="G696" s="16" t="str">
        <f aca="false">IF(INDEX(選手一覧!$D$7:$D$2738,$F696)="","",INDEX(選手一覧!$D$7:$D$2738,$F696))</f>
        <v/>
      </c>
      <c r="H696" s="17" t="str">
        <f aca="false">IF(INDEX(選手一覧!$E$7:$E$2738,$F696)="","",INDEX(選手一覧!$E$7:$E$2738,$F696))</f>
        <v/>
      </c>
      <c r="I696" s="16" t="n">
        <f aca="false">IF(INDEX(選手一覧!$H$7:$H$2738,$F696)="","",INDEX(選手一覧!$H$7:$H$2738,$F696))</f>
        <v>0.00687916666666667</v>
      </c>
      <c r="J696" s="17" t="n">
        <f aca="false">IF(INDEX(選手一覧!$I$7:$I$2738,$F696)="","",INDEX(選手一覧!$I$7:$I$2738,$F696))</f>
        <v>222</v>
      </c>
    </row>
    <row r="697" customFormat="false" ht="15" hidden="false" customHeight="false" outlineLevel="0" collapsed="false">
      <c r="A697" s="17" t="n">
        <v>693</v>
      </c>
      <c r="B697" s="12" t="s">
        <v>2806</v>
      </c>
      <c r="C697" s="12" t="s">
        <v>2807</v>
      </c>
      <c r="D697" s="16" t="n">
        <v>0.00286956018518519</v>
      </c>
      <c r="E697" s="15" t="n">
        <f aca="false">ROUND((D697-$D$5)*86400,2)</f>
        <v>22.9</v>
      </c>
      <c r="F697" s="17" t="n">
        <v>1798</v>
      </c>
      <c r="G697" s="16" t="str">
        <f aca="false">IF(INDEX(選手一覧!$D$7:$D$2738,$F697)="","",INDEX(選手一覧!$D$7:$D$2738,$F697))</f>
        <v/>
      </c>
      <c r="H697" s="17" t="str">
        <f aca="false">IF(INDEX(選手一覧!$E$7:$E$2738,$F697)="","",INDEX(選手一覧!$E$7:$E$2738,$F697))</f>
        <v/>
      </c>
      <c r="I697" s="16" t="n">
        <f aca="false">IF(INDEX(選手一覧!$H$7:$H$2738,$F697)="","",INDEX(選手一覧!$H$7:$H$2738,$F697))</f>
        <v>0.00734178240740741</v>
      </c>
      <c r="J697" s="17" t="n">
        <f aca="false">IF(INDEX(選手一覧!$I$7:$I$2738,$F697)="","",INDEX(選手一覧!$I$7:$I$2738,$F697))</f>
        <v>698</v>
      </c>
    </row>
    <row r="698" customFormat="false" ht="15" hidden="false" customHeight="false" outlineLevel="0" collapsed="false">
      <c r="A698" s="17" t="n">
        <v>694</v>
      </c>
      <c r="B698" s="12" t="s">
        <v>1782</v>
      </c>
      <c r="C698" s="12" t="s">
        <v>1783</v>
      </c>
      <c r="D698" s="16" t="n">
        <v>0.00286990740740741</v>
      </c>
      <c r="E698" s="15" t="n">
        <f aca="false">ROUND((D698-$D$5)*86400,2)</f>
        <v>22.93</v>
      </c>
      <c r="F698" s="17" t="n">
        <v>1102</v>
      </c>
      <c r="G698" s="16" t="n">
        <f aca="false">IF(INDEX(選手一覧!$D$7:$D$2738,$F698)="","",INDEX(選手一覧!$D$7:$D$2738,$F698))</f>
        <v>0.01100625</v>
      </c>
      <c r="H698" s="17" t="n">
        <f aca="false">IF(INDEX(選手一覧!$E$7:$E$2738,$F698)="","",INDEX(選手一覧!$E$7:$E$2738,$F698))</f>
        <v>1103</v>
      </c>
      <c r="I698" s="16" t="str">
        <f aca="false">IF(INDEX(選手一覧!$H$7:$H$2738,$F698)="","",INDEX(選手一覧!$H$7:$H$2738,$F698))</f>
        <v/>
      </c>
      <c r="J698" s="17" t="str">
        <f aca="false">IF(INDEX(選手一覧!$I$7:$I$2738,$F698)="","",INDEX(選手一覧!$I$7:$I$2738,$F698))</f>
        <v/>
      </c>
    </row>
    <row r="699" customFormat="false" ht="15" hidden="false" customHeight="false" outlineLevel="0" collapsed="false">
      <c r="A699" s="17" t="n">
        <v>695</v>
      </c>
      <c r="B699" s="12" t="s">
        <v>2613</v>
      </c>
      <c r="C699" s="12" t="s">
        <v>1049</v>
      </c>
      <c r="D699" s="16" t="n">
        <v>0.00286990740740741</v>
      </c>
      <c r="E699" s="15" t="n">
        <f aca="false">ROUND((D699-$D$5)*86400,2)</f>
        <v>22.93</v>
      </c>
      <c r="F699" s="17" t="n">
        <v>1669</v>
      </c>
      <c r="G699" s="16" t="str">
        <f aca="false">IF(INDEX(選手一覧!$D$7:$D$2738,$F699)="","",INDEX(選手一覧!$D$7:$D$2738,$F699))</f>
        <v/>
      </c>
      <c r="H699" s="17" t="str">
        <f aca="false">IF(INDEX(選手一覧!$E$7:$E$2738,$F699)="","",INDEX(選手一覧!$E$7:$E$2738,$F699))</f>
        <v/>
      </c>
      <c r="I699" s="16" t="n">
        <f aca="false">IF(INDEX(選手一覧!$H$7:$H$2738,$F699)="","",INDEX(選手一覧!$H$7:$H$2738,$F699))</f>
        <v>0.00722951388888889</v>
      </c>
      <c r="J699" s="17" t="n">
        <f aca="false">IF(INDEX(選手一覧!$I$7:$I$2738,$F699)="","",INDEX(選手一覧!$I$7:$I$2738,$F699))</f>
        <v>573</v>
      </c>
    </row>
    <row r="700" customFormat="false" ht="15" hidden="false" customHeight="false" outlineLevel="0" collapsed="false">
      <c r="A700" s="17" t="n">
        <v>696</v>
      </c>
      <c r="B700" s="12" t="s">
        <v>2813</v>
      </c>
      <c r="C700" s="12" t="s">
        <v>2814</v>
      </c>
      <c r="D700" s="16" t="n">
        <v>0.00287013888888889</v>
      </c>
      <c r="E700" s="15" t="n">
        <f aca="false">ROUND((D700-$D$5)*86400,2)</f>
        <v>22.95</v>
      </c>
      <c r="F700" s="17" t="n">
        <v>1803</v>
      </c>
      <c r="G700" s="16" t="str">
        <f aca="false">IF(INDEX(選手一覧!$D$7:$D$2738,$F700)="","",INDEX(選手一覧!$D$7:$D$2738,$F700))</f>
        <v/>
      </c>
      <c r="H700" s="17" t="str">
        <f aca="false">IF(INDEX(選手一覧!$E$7:$E$2738,$F700)="","",INDEX(選手一覧!$E$7:$E$2738,$F700))</f>
        <v/>
      </c>
      <c r="I700" s="16" t="str">
        <f aca="false">IF(INDEX(選手一覧!$H$7:$H$2738,$F700)="","",INDEX(選手一覧!$H$7:$H$2738,$F700))</f>
        <v/>
      </c>
      <c r="J700" s="17" t="str">
        <f aca="false">IF(INDEX(選手一覧!$I$7:$I$2738,$F700)="","",INDEX(選手一覧!$I$7:$I$2738,$F700))</f>
        <v/>
      </c>
    </row>
    <row r="701" customFormat="false" ht="15" hidden="false" customHeight="false" outlineLevel="0" collapsed="false">
      <c r="A701" s="17" t="n">
        <v>697</v>
      </c>
      <c r="B701" s="12" t="s">
        <v>291</v>
      </c>
      <c r="C701" s="12" t="s">
        <v>27</v>
      </c>
      <c r="D701" s="16" t="n">
        <v>0.00287025462962963</v>
      </c>
      <c r="E701" s="15" t="n">
        <f aca="false">ROUND((D701-$D$5)*86400,2)</f>
        <v>22.96</v>
      </c>
      <c r="F701" s="17" t="n">
        <v>138</v>
      </c>
      <c r="G701" s="16" t="n">
        <f aca="false">IF(INDEX(選手一覧!$D$7:$D$2738,$F701)="","",INDEX(選手一覧!$D$7:$D$2738,$F701))</f>
        <v>0.0102702546296296</v>
      </c>
      <c r="H701" s="17" t="n">
        <f aca="false">IF(INDEX(選手一覧!$E$7:$E$2738,$F701)="","",INDEX(選手一覧!$E$7:$E$2738,$F701))</f>
        <v>139</v>
      </c>
      <c r="I701" s="16" t="str">
        <f aca="false">IF(INDEX(選手一覧!$H$7:$H$2738,$F701)="","",INDEX(選手一覧!$H$7:$H$2738,$F701))</f>
        <v/>
      </c>
      <c r="J701" s="17" t="str">
        <f aca="false">IF(INDEX(選手一覧!$I$7:$I$2738,$F701)="","",INDEX(選手一覧!$I$7:$I$2738,$F701))</f>
        <v/>
      </c>
    </row>
    <row r="702" customFormat="false" ht="15" hidden="false" customHeight="false" outlineLevel="0" collapsed="false">
      <c r="A702" s="17" t="n">
        <v>698</v>
      </c>
      <c r="B702" s="12" t="s">
        <v>1300</v>
      </c>
      <c r="C702" s="12" t="s">
        <v>51</v>
      </c>
      <c r="D702" s="16" t="n">
        <v>0.00287025462962963</v>
      </c>
      <c r="E702" s="15" t="n">
        <f aca="false">ROUND((D702-$D$5)*86400,2)</f>
        <v>22.96</v>
      </c>
      <c r="F702" s="17" t="n">
        <v>781</v>
      </c>
      <c r="G702" s="16" t="n">
        <f aca="false">IF(INDEX(選手一覧!$D$7:$D$2738,$F702)="","",INDEX(選手一覧!$D$7:$D$2738,$F702))</f>
        <v>0.0108236111111111</v>
      </c>
      <c r="H702" s="17" t="n">
        <f aca="false">IF(INDEX(選手一覧!$E$7:$E$2738,$F702)="","",INDEX(選手一覧!$E$7:$E$2738,$F702))</f>
        <v>782</v>
      </c>
      <c r="I702" s="16" t="str">
        <f aca="false">IF(INDEX(選手一覧!$H$7:$H$2738,$F702)="","",INDEX(選手一覧!$H$7:$H$2738,$F702))</f>
        <v/>
      </c>
      <c r="J702" s="17" t="str">
        <f aca="false">IF(INDEX(選手一覧!$I$7:$I$2738,$F702)="","",INDEX(選手一覧!$I$7:$I$2738,$F702))</f>
        <v/>
      </c>
    </row>
    <row r="703" customFormat="false" ht="15" hidden="false" customHeight="false" outlineLevel="0" collapsed="false">
      <c r="A703" s="17" t="n">
        <v>699</v>
      </c>
      <c r="B703" s="12" t="s">
        <v>2817</v>
      </c>
      <c r="C703" s="12" t="s">
        <v>2818</v>
      </c>
      <c r="D703" s="16" t="n">
        <v>0.00287048611111111</v>
      </c>
      <c r="E703" s="15" t="n">
        <f aca="false">ROUND((D703-$D$5)*86400,2)</f>
        <v>22.98</v>
      </c>
      <c r="F703" s="17" t="n">
        <v>1805</v>
      </c>
      <c r="G703" s="16" t="str">
        <f aca="false">IF(INDEX(選手一覧!$D$7:$D$2738,$F703)="","",INDEX(選手一覧!$D$7:$D$2738,$F703))</f>
        <v/>
      </c>
      <c r="H703" s="17" t="str">
        <f aca="false">IF(INDEX(選手一覧!$E$7:$E$2738,$F703)="","",INDEX(選手一覧!$E$7:$E$2738,$F703))</f>
        <v/>
      </c>
      <c r="I703" s="16" t="str">
        <f aca="false">IF(INDEX(選手一覧!$H$7:$H$2738,$F703)="","",INDEX(選手一覧!$H$7:$H$2738,$F703))</f>
        <v/>
      </c>
      <c r="J703" s="17" t="str">
        <f aca="false">IF(INDEX(選手一覧!$I$7:$I$2738,$F703)="","",INDEX(選手一覧!$I$7:$I$2738,$F703))</f>
        <v/>
      </c>
    </row>
    <row r="704" customFormat="false" ht="15" hidden="false" customHeight="false" outlineLevel="0" collapsed="false">
      <c r="A704" s="17" t="n">
        <v>700</v>
      </c>
      <c r="B704" s="12" t="s">
        <v>2819</v>
      </c>
      <c r="C704" s="12" t="s">
        <v>2820</v>
      </c>
      <c r="D704" s="16" t="n">
        <v>0.00287060185185185</v>
      </c>
      <c r="E704" s="15" t="n">
        <f aca="false">ROUND((D704-$D$5)*86400,2)</f>
        <v>22.99</v>
      </c>
      <c r="F704" s="17" t="n">
        <v>1806</v>
      </c>
      <c r="G704" s="16" t="str">
        <f aca="false">IF(INDEX(選手一覧!$D$7:$D$2738,$F704)="","",INDEX(選手一覧!$D$7:$D$2738,$F704))</f>
        <v/>
      </c>
      <c r="H704" s="17" t="str">
        <f aca="false">IF(INDEX(選手一覧!$E$7:$E$2738,$F704)="","",INDEX(選手一覧!$E$7:$E$2738,$F704))</f>
        <v/>
      </c>
      <c r="I704" s="16" t="str">
        <f aca="false">IF(INDEX(選手一覧!$H$7:$H$2738,$F704)="","",INDEX(選手一覧!$H$7:$H$2738,$F704))</f>
        <v/>
      </c>
      <c r="J704" s="17" t="str">
        <f aca="false">IF(INDEX(選手一覧!$I$7:$I$2738,$F704)="","",INDEX(選手一覧!$I$7:$I$2738,$F704))</f>
        <v/>
      </c>
    </row>
    <row r="705" customFormat="false" ht="15" hidden="false" customHeight="false" outlineLevel="0" collapsed="false">
      <c r="A705" s="17" t="n">
        <v>701</v>
      </c>
      <c r="B705" s="12" t="s">
        <v>625</v>
      </c>
      <c r="C705" s="12" t="s">
        <v>214</v>
      </c>
      <c r="D705" s="16" t="n">
        <v>0.00287071759259259</v>
      </c>
      <c r="E705" s="15" t="n">
        <f aca="false">ROUND((D705-$D$5)*86400,2)</f>
        <v>23</v>
      </c>
      <c r="F705" s="17" t="n">
        <v>337</v>
      </c>
      <c r="G705" s="16" t="n">
        <f aca="false">IF(INDEX(選手一覧!$D$7:$D$2738,$F705)="","",INDEX(選手一覧!$D$7:$D$2738,$F705))</f>
        <v>0.0104962962962963</v>
      </c>
      <c r="H705" s="17" t="n">
        <f aca="false">IF(INDEX(選手一覧!$E$7:$E$2738,$F705)="","",INDEX(選手一覧!$E$7:$E$2738,$F705))</f>
        <v>338</v>
      </c>
      <c r="I705" s="16" t="n">
        <f aca="false">IF(INDEX(選手一覧!$H$7:$H$2738,$F705)="","",INDEX(選手一覧!$H$7:$H$2738,$F705))</f>
        <v>0.00663680555555556</v>
      </c>
      <c r="J705" s="17" t="n">
        <f aca="false">IF(INDEX(選手一覧!$I$7:$I$2738,$F705)="","",INDEX(選手一覧!$I$7:$I$2738,$F705))</f>
        <v>76</v>
      </c>
    </row>
    <row r="706" customFormat="false" ht="15" hidden="false" customHeight="false" outlineLevel="0" collapsed="false">
      <c r="A706" s="17" t="n">
        <v>702</v>
      </c>
      <c r="B706" s="12" t="s">
        <v>820</v>
      </c>
      <c r="C706" s="12" t="s">
        <v>821</v>
      </c>
      <c r="D706" s="16" t="n">
        <v>0.00287071759259259</v>
      </c>
      <c r="E706" s="15" t="n">
        <f aca="false">ROUND((D706-$D$5)*86400,2)</f>
        <v>23</v>
      </c>
      <c r="F706" s="17" t="n">
        <v>463</v>
      </c>
      <c r="G706" s="16" t="n">
        <f aca="false">IF(INDEX(選手一覧!$D$7:$D$2738,$F706)="","",INDEX(選手一覧!$D$7:$D$2738,$F706))</f>
        <v>0.010600462962963</v>
      </c>
      <c r="H706" s="17" t="n">
        <f aca="false">IF(INDEX(選手一覧!$E$7:$E$2738,$F706)="","",INDEX(選手一覧!$E$7:$E$2738,$F706))</f>
        <v>464</v>
      </c>
      <c r="I706" s="16" t="n">
        <f aca="false">IF(INDEX(選手一覧!$H$7:$H$2738,$F706)="","",INDEX(選手一覧!$H$7:$H$2738,$F706))</f>
        <v>0.00713217592592593</v>
      </c>
      <c r="J706" s="17" t="n">
        <f aca="false">IF(INDEX(選手一覧!$I$7:$I$2738,$F706)="","",INDEX(選手一覧!$I$7:$I$2738,$F706))</f>
        <v>475</v>
      </c>
    </row>
    <row r="707" customFormat="false" ht="15" hidden="false" customHeight="false" outlineLevel="0" collapsed="false">
      <c r="A707" s="17" t="n">
        <v>703</v>
      </c>
      <c r="B707" s="12" t="s">
        <v>566</v>
      </c>
      <c r="C707" s="12" t="s">
        <v>285</v>
      </c>
      <c r="D707" s="16" t="n">
        <v>0.00287083333333333</v>
      </c>
      <c r="E707" s="15" t="n">
        <f aca="false">ROUND((D707-$D$5)*86400,2)</f>
        <v>23.01</v>
      </c>
      <c r="F707" s="17" t="n">
        <v>302</v>
      </c>
      <c r="G707" s="16" t="n">
        <f aca="false">IF(INDEX(選手一覧!$D$7:$D$2738,$F707)="","",INDEX(選手一覧!$D$7:$D$2738,$F707))</f>
        <v>0.0104486111111111</v>
      </c>
      <c r="H707" s="17" t="n">
        <f aca="false">IF(INDEX(選手一覧!$E$7:$E$2738,$F707)="","",INDEX(選手一覧!$E$7:$E$2738,$F707))</f>
        <v>303</v>
      </c>
      <c r="I707" s="16" t="n">
        <f aca="false">IF(INDEX(選手一覧!$H$7:$H$2738,$F707)="","",INDEX(選手一覧!$H$7:$H$2738,$F707))</f>
        <v>0.00772731481481481</v>
      </c>
      <c r="J707" s="17" t="n">
        <f aca="false">IF(INDEX(選手一覧!$I$7:$I$2738,$F707)="","",INDEX(選手一覧!$I$7:$I$2738,$F707))</f>
        <v>1094</v>
      </c>
    </row>
    <row r="708" customFormat="false" ht="15" hidden="false" customHeight="false" outlineLevel="0" collapsed="false">
      <c r="A708" s="17" t="n">
        <v>704</v>
      </c>
      <c r="B708" s="12" t="s">
        <v>1225</v>
      </c>
      <c r="C708" s="12" t="s">
        <v>515</v>
      </c>
      <c r="D708" s="16" t="n">
        <v>0.00287094907407407</v>
      </c>
      <c r="E708" s="15" t="n">
        <f aca="false">ROUND((D708-$D$5)*86400,2)</f>
        <v>23.02</v>
      </c>
      <c r="F708" s="17" t="n">
        <v>729</v>
      </c>
      <c r="G708" s="16" t="n">
        <f aca="false">IF(INDEX(選手一覧!$D$7:$D$2738,$F708)="","",INDEX(選手一覧!$D$7:$D$2738,$F708))</f>
        <v>0.0107921296296296</v>
      </c>
      <c r="H708" s="17" t="n">
        <f aca="false">IF(INDEX(選手一覧!$E$7:$E$2738,$F708)="","",INDEX(選手一覧!$E$7:$E$2738,$F708))</f>
        <v>730</v>
      </c>
      <c r="I708" s="16" t="n">
        <f aca="false">IF(INDEX(選手一覧!$H$7:$H$2738,$F708)="","",INDEX(選手一覧!$H$7:$H$2738,$F708))</f>
        <v>0.00704074074074074</v>
      </c>
      <c r="J708" s="17" t="n">
        <f aca="false">IF(INDEX(選手一覧!$I$7:$I$2738,$F708)="","",INDEX(選手一覧!$I$7:$I$2738,$F708))</f>
        <v>377</v>
      </c>
    </row>
    <row r="709" customFormat="false" ht="15" hidden="false" customHeight="false" outlineLevel="0" collapsed="false">
      <c r="A709" s="17" t="n">
        <v>705</v>
      </c>
      <c r="B709" s="12" t="s">
        <v>2827</v>
      </c>
      <c r="C709" s="12" t="s">
        <v>1552</v>
      </c>
      <c r="D709" s="16" t="n">
        <v>0.00287094907407407</v>
      </c>
      <c r="E709" s="15" t="n">
        <f aca="false">ROUND((D709-$D$5)*86400,2)</f>
        <v>23.02</v>
      </c>
      <c r="F709" s="17" t="n">
        <v>1811</v>
      </c>
      <c r="G709" s="16" t="str">
        <f aca="false">IF(INDEX(選手一覧!$D$7:$D$2738,$F709)="","",INDEX(選手一覧!$D$7:$D$2738,$F709))</f>
        <v/>
      </c>
      <c r="H709" s="17" t="str">
        <f aca="false">IF(INDEX(選手一覧!$E$7:$E$2738,$F709)="","",INDEX(選手一覧!$E$7:$E$2738,$F709))</f>
        <v/>
      </c>
      <c r="I709" s="16" t="str">
        <f aca="false">IF(INDEX(選手一覧!$H$7:$H$2738,$F709)="","",INDEX(選手一覧!$H$7:$H$2738,$F709))</f>
        <v/>
      </c>
      <c r="J709" s="17" t="str">
        <f aca="false">IF(INDEX(選手一覧!$I$7:$I$2738,$F709)="","",INDEX(選手一覧!$I$7:$I$2738,$F709))</f>
        <v/>
      </c>
    </row>
    <row r="710" customFormat="false" ht="15" hidden="false" customHeight="false" outlineLevel="0" collapsed="false">
      <c r="A710" s="17" t="n">
        <v>706</v>
      </c>
      <c r="B710" s="12" t="s">
        <v>1260</v>
      </c>
      <c r="C710" s="12" t="s">
        <v>3034</v>
      </c>
      <c r="D710" s="16" t="n">
        <v>0.00287106481481482</v>
      </c>
      <c r="E710" s="15" t="n">
        <f aca="false">ROUND((D710-$D$5)*86400,2)</f>
        <v>23.03</v>
      </c>
      <c r="F710" s="17" t="n">
        <v>751</v>
      </c>
      <c r="G710" s="16" t="n">
        <f aca="false">IF(INDEX(選手一覧!$D$7:$D$2738,$F710)="","",INDEX(選手一覧!$D$7:$D$2738,$F710))</f>
        <v>0.0108053240740741</v>
      </c>
      <c r="H710" s="17" t="n">
        <f aca="false">IF(INDEX(選手一覧!$E$7:$E$2738,$F710)="","",INDEX(選手一覧!$E$7:$E$2738,$F710))</f>
        <v>752</v>
      </c>
      <c r="I710" s="16" t="str">
        <f aca="false">IF(INDEX(選手一覧!$H$7:$H$2738,$F710)="","",INDEX(選手一覧!$H$7:$H$2738,$F710))</f>
        <v/>
      </c>
      <c r="J710" s="17" t="str">
        <f aca="false">IF(INDEX(選手一覧!$I$7:$I$2738,$F710)="","",INDEX(選手一覧!$I$7:$I$2738,$F710))</f>
        <v/>
      </c>
    </row>
    <row r="711" customFormat="false" ht="15" hidden="false" customHeight="false" outlineLevel="0" collapsed="false">
      <c r="A711" s="17" t="n">
        <v>707</v>
      </c>
      <c r="B711" s="12" t="s">
        <v>2829</v>
      </c>
      <c r="C711" s="12" t="s">
        <v>1847</v>
      </c>
      <c r="D711" s="16" t="n">
        <v>0.00287106481481482</v>
      </c>
      <c r="E711" s="15" t="n">
        <f aca="false">ROUND((D711-$D$5)*86400,2)</f>
        <v>23.03</v>
      </c>
      <c r="F711" s="17" t="n">
        <v>1813</v>
      </c>
      <c r="G711" s="16" t="str">
        <f aca="false">IF(INDEX(選手一覧!$D$7:$D$2738,$F711)="","",INDEX(選手一覧!$D$7:$D$2738,$F711))</f>
        <v/>
      </c>
      <c r="H711" s="17" t="str">
        <f aca="false">IF(INDEX(選手一覧!$E$7:$E$2738,$F711)="","",INDEX(選手一覧!$E$7:$E$2738,$F711))</f>
        <v/>
      </c>
      <c r="I711" s="16" t="str">
        <f aca="false">IF(INDEX(選手一覧!$H$7:$H$2738,$F711)="","",INDEX(選手一覧!$H$7:$H$2738,$F711))</f>
        <v/>
      </c>
      <c r="J711" s="17" t="str">
        <f aca="false">IF(INDEX(選手一覧!$I$7:$I$2738,$F711)="","",INDEX(選手一覧!$I$7:$I$2738,$F711))</f>
        <v/>
      </c>
    </row>
    <row r="712" customFormat="false" ht="15" hidden="false" customHeight="false" outlineLevel="0" collapsed="false">
      <c r="A712" s="17" t="n">
        <v>708</v>
      </c>
      <c r="B712" s="12" t="s">
        <v>2831</v>
      </c>
      <c r="C712" s="12" t="s">
        <v>457</v>
      </c>
      <c r="D712" s="16" t="n">
        <v>0.00287118055555556</v>
      </c>
      <c r="E712" s="15" t="n">
        <f aca="false">ROUND((D712-$D$5)*86400,2)</f>
        <v>23.04</v>
      </c>
      <c r="F712" s="17" t="n">
        <v>1815</v>
      </c>
      <c r="G712" s="16" t="str">
        <f aca="false">IF(INDEX(選手一覧!$D$7:$D$2738,$F712)="","",INDEX(選手一覧!$D$7:$D$2738,$F712))</f>
        <v/>
      </c>
      <c r="H712" s="17" t="str">
        <f aca="false">IF(INDEX(選手一覧!$E$7:$E$2738,$F712)="","",INDEX(選手一覧!$E$7:$E$2738,$F712))</f>
        <v/>
      </c>
      <c r="I712" s="16" t="str">
        <f aca="false">IF(INDEX(選手一覧!$H$7:$H$2738,$F712)="","",INDEX(選手一覧!$H$7:$H$2738,$F712))</f>
        <v/>
      </c>
      <c r="J712" s="17" t="str">
        <f aca="false">IF(INDEX(選手一覧!$I$7:$I$2738,$F712)="","",INDEX(選手一覧!$I$7:$I$2738,$F712))</f>
        <v/>
      </c>
    </row>
    <row r="713" customFormat="false" ht="15" hidden="false" customHeight="false" outlineLevel="0" collapsed="false">
      <c r="A713" s="17" t="n">
        <v>709</v>
      </c>
      <c r="B713" s="12" t="s">
        <v>353</v>
      </c>
      <c r="C713" s="12" t="s">
        <v>27</v>
      </c>
      <c r="D713" s="16" t="n">
        <v>0.0028712962962963</v>
      </c>
      <c r="E713" s="15" t="n">
        <f aca="false">ROUND((D713-$D$5)*86400,2)</f>
        <v>23.05</v>
      </c>
      <c r="F713" s="17" t="n">
        <v>170</v>
      </c>
      <c r="G713" s="16" t="n">
        <f aca="false">IF(INDEX(選手一覧!$D$7:$D$2738,$F713)="","",INDEX(選手一覧!$D$7:$D$2738,$F713))</f>
        <v>0.0103173611111111</v>
      </c>
      <c r="H713" s="17" t="n">
        <f aca="false">IF(INDEX(選手一覧!$E$7:$E$2738,$F713)="","",INDEX(選手一覧!$E$7:$E$2738,$F713))</f>
        <v>171</v>
      </c>
      <c r="I713" s="16" t="str">
        <f aca="false">IF(INDEX(選手一覧!$H$7:$H$2738,$F713)="","",INDEX(選手一覧!$H$7:$H$2738,$F713))</f>
        <v/>
      </c>
      <c r="J713" s="17" t="str">
        <f aca="false">IF(INDEX(選手一覧!$I$7:$I$2738,$F713)="","",INDEX(選手一覧!$I$7:$I$2738,$F713))</f>
        <v/>
      </c>
    </row>
    <row r="714" customFormat="false" ht="15" hidden="false" customHeight="false" outlineLevel="0" collapsed="false">
      <c r="A714" s="17" t="n">
        <v>710</v>
      </c>
      <c r="B714" s="12" t="s">
        <v>2836</v>
      </c>
      <c r="C714" s="12" t="s">
        <v>43</v>
      </c>
      <c r="D714" s="16" t="n">
        <v>0.00287141203703704</v>
      </c>
      <c r="E714" s="15" t="n">
        <f aca="false">ROUND((D714-$D$5)*86400,2)</f>
        <v>23.06</v>
      </c>
      <c r="F714" s="17" t="n">
        <v>1818</v>
      </c>
      <c r="G714" s="16" t="str">
        <f aca="false">IF(INDEX(選手一覧!$D$7:$D$2738,$F714)="","",INDEX(選手一覧!$D$7:$D$2738,$F714))</f>
        <v/>
      </c>
      <c r="H714" s="17" t="str">
        <f aca="false">IF(INDEX(選手一覧!$E$7:$E$2738,$F714)="","",INDEX(選手一覧!$E$7:$E$2738,$F714))</f>
        <v/>
      </c>
      <c r="I714" s="16" t="str">
        <f aca="false">IF(INDEX(選手一覧!$H$7:$H$2738,$F714)="","",INDEX(選手一覧!$H$7:$H$2738,$F714))</f>
        <v/>
      </c>
      <c r="J714" s="17" t="str">
        <f aca="false">IF(INDEX(選手一覧!$I$7:$I$2738,$F714)="","",INDEX(選手一覧!$I$7:$I$2738,$F714))</f>
        <v/>
      </c>
    </row>
    <row r="715" customFormat="false" ht="15" hidden="false" customHeight="false" outlineLevel="0" collapsed="false">
      <c r="A715" s="17" t="n">
        <v>711</v>
      </c>
      <c r="B715" s="12" t="s">
        <v>1459</v>
      </c>
      <c r="C715" s="12" t="s">
        <v>795</v>
      </c>
      <c r="D715" s="16" t="n">
        <v>0.00287141203703704</v>
      </c>
      <c r="E715" s="15" t="n">
        <f aca="false">ROUND((D715-$D$5)*86400,2)</f>
        <v>23.06</v>
      </c>
      <c r="F715" s="17" t="n">
        <v>884</v>
      </c>
      <c r="G715" s="16" t="n">
        <f aca="false">IF(INDEX(選手一覧!$D$7:$D$2738,$F715)="","",INDEX(選手一覧!$D$7:$D$2738,$F715))</f>
        <v>0.0108788194444444</v>
      </c>
      <c r="H715" s="17" t="n">
        <f aca="false">IF(INDEX(選手一覧!$E$7:$E$2738,$F715)="","",INDEX(選手一覧!$E$7:$E$2738,$F715))</f>
        <v>885</v>
      </c>
      <c r="I715" s="16" t="str">
        <f aca="false">IF(INDEX(選手一覧!$H$7:$H$2738,$F715)="","",INDEX(選手一覧!$H$7:$H$2738,$F715))</f>
        <v/>
      </c>
      <c r="J715" s="17" t="str">
        <f aca="false">IF(INDEX(選手一覧!$I$7:$I$2738,$F715)="","",INDEX(選手一覧!$I$7:$I$2738,$F715))</f>
        <v/>
      </c>
    </row>
    <row r="716" customFormat="false" ht="15" hidden="false" customHeight="false" outlineLevel="0" collapsed="false">
      <c r="A716" s="17" t="n">
        <v>712</v>
      </c>
      <c r="B716" s="12" t="s">
        <v>1437</v>
      </c>
      <c r="C716" s="12" t="s">
        <v>297</v>
      </c>
      <c r="D716" s="16" t="n">
        <v>0.00287152777777778</v>
      </c>
      <c r="E716" s="15" t="n">
        <f aca="false">ROUND((D716-$D$5)*86400,2)</f>
        <v>23.07</v>
      </c>
      <c r="F716" s="17" t="n">
        <v>870</v>
      </c>
      <c r="G716" s="16" t="n">
        <f aca="false">IF(INDEX(選手一覧!$D$7:$D$2738,$F716)="","",INDEX(選手一覧!$D$7:$D$2738,$F716))</f>
        <v>0.0108703703703704</v>
      </c>
      <c r="H716" s="17" t="n">
        <f aca="false">IF(INDEX(選手一覧!$E$7:$E$2738,$F716)="","",INDEX(選手一覧!$E$7:$E$2738,$F716))</f>
        <v>871</v>
      </c>
      <c r="I716" s="16" t="str">
        <f aca="false">IF(INDEX(選手一覧!$H$7:$H$2738,$F716)="","",INDEX(選手一覧!$H$7:$H$2738,$F716))</f>
        <v/>
      </c>
      <c r="J716" s="17" t="str">
        <f aca="false">IF(INDEX(選手一覧!$I$7:$I$2738,$F716)="","",INDEX(選手一覧!$I$7:$I$2738,$F716))</f>
        <v/>
      </c>
    </row>
    <row r="717" customFormat="false" ht="15" hidden="false" customHeight="false" outlineLevel="0" collapsed="false">
      <c r="A717" s="17" t="n">
        <v>713</v>
      </c>
      <c r="B717" s="12" t="s">
        <v>1441</v>
      </c>
      <c r="C717" s="12" t="s">
        <v>1348</v>
      </c>
      <c r="D717" s="16" t="n">
        <v>0.00287164351851852</v>
      </c>
      <c r="E717" s="15" t="n">
        <f aca="false">ROUND((D717-$D$5)*86400,2)</f>
        <v>23.08</v>
      </c>
      <c r="F717" s="17" t="n">
        <v>873</v>
      </c>
      <c r="G717" s="16" t="n">
        <f aca="false">IF(INDEX(選手一覧!$D$7:$D$2738,$F717)="","",INDEX(選手一覧!$D$7:$D$2738,$F717))</f>
        <v>0.0108729166666667</v>
      </c>
      <c r="H717" s="17" t="n">
        <f aca="false">IF(INDEX(選手一覧!$E$7:$E$2738,$F717)="","",INDEX(選手一覧!$E$7:$E$2738,$F717))</f>
        <v>874</v>
      </c>
      <c r="I717" s="16" t="str">
        <f aca="false">IF(INDEX(選手一覧!$H$7:$H$2738,$F717)="","",INDEX(選手一覧!$H$7:$H$2738,$F717))</f>
        <v/>
      </c>
      <c r="J717" s="17" t="str">
        <f aca="false">IF(INDEX(選手一覧!$I$7:$I$2738,$F717)="","",INDEX(選手一覧!$I$7:$I$2738,$F717))</f>
        <v/>
      </c>
    </row>
    <row r="718" customFormat="false" ht="15" hidden="false" customHeight="false" outlineLevel="0" collapsed="false">
      <c r="A718" s="17" t="n">
        <v>714</v>
      </c>
      <c r="B718" s="12" t="s">
        <v>2842</v>
      </c>
      <c r="C718" s="12" t="s">
        <v>1420</v>
      </c>
      <c r="D718" s="16" t="n">
        <v>0.00287164351851852</v>
      </c>
      <c r="E718" s="15" t="n">
        <f aca="false">ROUND((D718-$D$5)*86400,2)</f>
        <v>23.08</v>
      </c>
      <c r="F718" s="17" t="n">
        <v>1822</v>
      </c>
      <c r="G718" s="16" t="str">
        <f aca="false">IF(INDEX(選手一覧!$D$7:$D$2738,$F718)="","",INDEX(選手一覧!$D$7:$D$2738,$F718))</f>
        <v/>
      </c>
      <c r="H718" s="17" t="str">
        <f aca="false">IF(INDEX(選手一覧!$E$7:$E$2738,$F718)="","",INDEX(選手一覧!$E$7:$E$2738,$F718))</f>
        <v/>
      </c>
      <c r="I718" s="16" t="str">
        <f aca="false">IF(INDEX(選手一覧!$H$7:$H$2738,$F718)="","",INDEX(選手一覧!$H$7:$H$2738,$F718))</f>
        <v/>
      </c>
      <c r="J718" s="17" t="str">
        <f aca="false">IF(INDEX(選手一覧!$I$7:$I$2738,$F718)="","",INDEX(選手一覧!$I$7:$I$2738,$F718))</f>
        <v/>
      </c>
    </row>
    <row r="719" customFormat="false" ht="15" hidden="false" customHeight="false" outlineLevel="0" collapsed="false">
      <c r="A719" s="17" t="n">
        <v>715</v>
      </c>
      <c r="B719" s="12" t="s">
        <v>685</v>
      </c>
      <c r="C719" s="12" t="s">
        <v>686</v>
      </c>
      <c r="D719" s="16" t="n">
        <v>0.00287175925925926</v>
      </c>
      <c r="E719" s="15" t="n">
        <f aca="false">ROUND((D719-$D$5)*86400,2)</f>
        <v>23.09</v>
      </c>
      <c r="F719" s="17" t="n">
        <v>377</v>
      </c>
      <c r="G719" s="16" t="n">
        <f aca="false">IF(INDEX(選手一覧!$D$7:$D$2738,$F719)="","",INDEX(選手一覧!$D$7:$D$2738,$F719))</f>
        <v>0.0105351851851852</v>
      </c>
      <c r="H719" s="17" t="n">
        <f aca="false">IF(INDEX(選手一覧!$E$7:$E$2738,$F719)="","",INDEX(選手一覧!$E$7:$E$2738,$F719))</f>
        <v>378</v>
      </c>
      <c r="I719" s="16" t="str">
        <f aca="false">IF(INDEX(選手一覧!$H$7:$H$2738,$F719)="","",INDEX(選手一覧!$H$7:$H$2738,$F719))</f>
        <v/>
      </c>
      <c r="J719" s="17" t="str">
        <f aca="false">IF(INDEX(選手一覧!$I$7:$I$2738,$F719)="","",INDEX(選手一覧!$I$7:$I$2738,$F719))</f>
        <v/>
      </c>
    </row>
    <row r="720" customFormat="false" ht="15" hidden="false" customHeight="false" outlineLevel="0" collapsed="false">
      <c r="A720" s="17" t="n">
        <v>716</v>
      </c>
      <c r="B720" s="12" t="s">
        <v>2014</v>
      </c>
      <c r="C720" s="12" t="s">
        <v>1111</v>
      </c>
      <c r="D720" s="16" t="n">
        <v>0.002871875</v>
      </c>
      <c r="E720" s="15" t="n">
        <f aca="false">ROUND((D720-$D$5)*86400,2)</f>
        <v>23.1</v>
      </c>
      <c r="F720" s="17" t="n">
        <v>1269</v>
      </c>
      <c r="G720" s="16" t="n">
        <f aca="false">IF(INDEX(選手一覧!$D$7:$D$2738,$F720)="","",INDEX(選手一覧!$D$7:$D$2738,$F720))</f>
        <v>0.0110993055555556</v>
      </c>
      <c r="H720" s="17" t="n">
        <f aca="false">IF(INDEX(選手一覧!$E$7:$E$2738,$F720)="","",INDEX(選手一覧!$E$7:$E$2738,$F720))</f>
        <v>1270</v>
      </c>
      <c r="I720" s="16" t="str">
        <f aca="false">IF(INDEX(選手一覧!$H$7:$H$2738,$F720)="","",INDEX(選手一覧!$H$7:$H$2738,$F720))</f>
        <v/>
      </c>
      <c r="J720" s="17" t="str">
        <f aca="false">IF(INDEX(選手一覧!$I$7:$I$2738,$F720)="","",INDEX(選手一覧!$I$7:$I$2738,$F720))</f>
        <v/>
      </c>
    </row>
    <row r="721" customFormat="false" ht="15" hidden="false" customHeight="false" outlineLevel="0" collapsed="false">
      <c r="A721" s="17" t="n">
        <v>717</v>
      </c>
      <c r="B721" s="12" t="s">
        <v>999</v>
      </c>
      <c r="C721" s="12" t="s">
        <v>515</v>
      </c>
      <c r="D721" s="16" t="n">
        <v>0.00287222222222222</v>
      </c>
      <c r="E721" s="15" t="n">
        <f aca="false">ROUND((D721-$D$5)*86400,2)</f>
        <v>23.13</v>
      </c>
      <c r="F721" s="17" t="n">
        <v>576</v>
      </c>
      <c r="G721" s="16" t="n">
        <f aca="false">IF(INDEX(選手一覧!$D$7:$D$2738,$F721)="","",INDEX(選手一覧!$D$7:$D$2738,$F721))</f>
        <v>0.0106961805555556</v>
      </c>
      <c r="H721" s="17" t="n">
        <f aca="false">IF(INDEX(選手一覧!$E$7:$E$2738,$F721)="","",INDEX(選手一覧!$E$7:$E$2738,$F721))</f>
        <v>577</v>
      </c>
      <c r="I721" s="16" t="str">
        <f aca="false">IF(INDEX(選手一覧!$H$7:$H$2738,$F721)="","",INDEX(選手一覧!$H$7:$H$2738,$F721))</f>
        <v/>
      </c>
      <c r="J721" s="17" t="str">
        <f aca="false">IF(INDEX(選手一覧!$I$7:$I$2738,$F721)="","",INDEX(選手一覧!$I$7:$I$2738,$F721))</f>
        <v/>
      </c>
    </row>
    <row r="722" customFormat="false" ht="15" hidden="false" customHeight="false" outlineLevel="0" collapsed="false">
      <c r="A722" s="17" t="n">
        <v>718</v>
      </c>
      <c r="B722" s="12" t="s">
        <v>149</v>
      </c>
      <c r="C722" s="12" t="s">
        <v>150</v>
      </c>
      <c r="D722" s="16" t="n">
        <v>0.0028724537037037</v>
      </c>
      <c r="E722" s="15" t="n">
        <f aca="false">ROUND((D722-$D$5)*86400,2)</f>
        <v>23.15</v>
      </c>
      <c r="F722" s="17" t="n">
        <v>63</v>
      </c>
      <c r="G722" s="16" t="n">
        <f aca="false">IF(INDEX(選手一覧!$D$7:$D$2738,$F722)="","",INDEX(選手一覧!$D$7:$D$2738,$F722))</f>
        <v>0.0101362268518519</v>
      </c>
      <c r="H722" s="17" t="n">
        <f aca="false">IF(INDEX(選手一覧!$E$7:$E$2738,$F722)="","",INDEX(選手一覧!$E$7:$E$2738,$F722))</f>
        <v>64</v>
      </c>
      <c r="I722" s="16" t="n">
        <f aca="false">IF(INDEX(選手一覧!$H$7:$H$2738,$F722)="","",INDEX(選手一覧!$H$7:$H$2738,$F722))</f>
        <v>0.00668483796296296</v>
      </c>
      <c r="J722" s="17" t="n">
        <f aca="false">IF(INDEX(選手一覧!$I$7:$I$2738,$F722)="","",INDEX(選手一覧!$I$7:$I$2738,$F722))</f>
        <v>102</v>
      </c>
    </row>
    <row r="723" customFormat="false" ht="15" hidden="false" customHeight="false" outlineLevel="0" collapsed="false">
      <c r="A723" s="17" t="n">
        <v>719</v>
      </c>
      <c r="B723" s="12" t="s">
        <v>718</v>
      </c>
      <c r="C723" s="12" t="s">
        <v>228</v>
      </c>
      <c r="D723" s="16" t="n">
        <v>0.00287256944444445</v>
      </c>
      <c r="E723" s="15" t="n">
        <f aca="false">ROUND((D723-$D$5)*86400,2)</f>
        <v>23.16</v>
      </c>
      <c r="F723" s="17" t="n">
        <v>398</v>
      </c>
      <c r="G723" s="16" t="n">
        <f aca="false">IF(INDEX(選手一覧!$D$7:$D$2738,$F723)="","",INDEX(選手一覧!$D$7:$D$2738,$F723))</f>
        <v>0.0105503472222222</v>
      </c>
      <c r="H723" s="17" t="n">
        <f aca="false">IF(INDEX(選手一覧!$E$7:$E$2738,$F723)="","",INDEX(選手一覧!$E$7:$E$2738,$F723))</f>
        <v>399</v>
      </c>
      <c r="I723" s="16" t="n">
        <f aca="false">IF(INDEX(選手一覧!$H$7:$H$2738,$F723)="","",INDEX(選手一覧!$H$7:$H$2738,$F723))</f>
        <v>0.00646284722222222</v>
      </c>
      <c r="J723" s="17" t="n">
        <f aca="false">IF(INDEX(選手一覧!$I$7:$I$2738,$F723)="","",INDEX(選手一覧!$I$7:$I$2738,$F723))</f>
        <v>27</v>
      </c>
    </row>
    <row r="724" customFormat="false" ht="15" hidden="false" customHeight="false" outlineLevel="0" collapsed="false">
      <c r="A724" s="17" t="n">
        <v>720</v>
      </c>
      <c r="B724" s="12" t="s">
        <v>1818</v>
      </c>
      <c r="C724" s="12" t="s">
        <v>1819</v>
      </c>
      <c r="D724" s="16" t="n">
        <v>0.00287280092592593</v>
      </c>
      <c r="E724" s="15" t="n">
        <f aca="false">ROUND((D724-$D$5)*86400,2)</f>
        <v>23.18</v>
      </c>
      <c r="F724" s="17" t="n">
        <v>1126</v>
      </c>
      <c r="G724" s="16" t="n">
        <f aca="false">IF(INDEX(選手一覧!$D$7:$D$2738,$F724)="","",INDEX(選手一覧!$D$7:$D$2738,$F724))</f>
        <v>0.01101875</v>
      </c>
      <c r="H724" s="17" t="n">
        <f aca="false">IF(INDEX(選手一覧!$E$7:$E$2738,$F724)="","",INDEX(選手一覧!$E$7:$E$2738,$F724))</f>
        <v>1127</v>
      </c>
      <c r="I724" s="16" t="str">
        <f aca="false">IF(INDEX(選手一覧!$H$7:$H$2738,$F724)="","",INDEX(選手一覧!$H$7:$H$2738,$F724))</f>
        <v/>
      </c>
      <c r="J724" s="17" t="str">
        <f aca="false">IF(INDEX(選手一覧!$I$7:$I$2738,$F724)="","",INDEX(選手一覧!$I$7:$I$2738,$F724))</f>
        <v/>
      </c>
    </row>
    <row r="725" customFormat="false" ht="15" hidden="false" customHeight="false" outlineLevel="0" collapsed="false">
      <c r="A725" s="17" t="n">
        <v>721</v>
      </c>
      <c r="B725" s="12" t="s">
        <v>2171</v>
      </c>
      <c r="C725" s="12" t="s">
        <v>2172</v>
      </c>
      <c r="D725" s="16" t="n">
        <v>0.00287303240740741</v>
      </c>
      <c r="E725" s="15" t="n">
        <f aca="false">ROUND((D725-$D$5)*86400,2)</f>
        <v>23.2</v>
      </c>
      <c r="F725" s="17" t="n">
        <v>1381</v>
      </c>
      <c r="G725" s="16" t="str">
        <f aca="false">IF(INDEX(選手一覧!$D$7:$D$2738,$F725)="","",INDEX(選手一覧!$D$7:$D$2738,$F725))</f>
        <v/>
      </c>
      <c r="H725" s="17" t="str">
        <f aca="false">IF(INDEX(選手一覧!$E$7:$E$2738,$F725)="","",INDEX(選手一覧!$E$7:$E$2738,$F725))</f>
        <v/>
      </c>
      <c r="I725" s="16" t="n">
        <f aca="false">IF(INDEX(選手一覧!$H$7:$H$2738,$F725)="","",INDEX(選手一覧!$H$7:$H$2738,$F725))</f>
        <v>0.00690659722222222</v>
      </c>
      <c r="J725" s="17" t="n">
        <f aca="false">IF(INDEX(選手一覧!$I$7:$I$2738,$F725)="","",INDEX(選手一覧!$I$7:$I$2738,$F725))</f>
        <v>249</v>
      </c>
    </row>
    <row r="726" customFormat="false" ht="15" hidden="false" customHeight="false" outlineLevel="0" collapsed="false">
      <c r="A726" s="17" t="n">
        <v>722</v>
      </c>
      <c r="B726" s="12" t="s">
        <v>2853</v>
      </c>
      <c r="C726" s="12" t="s">
        <v>1510</v>
      </c>
      <c r="D726" s="16" t="n">
        <v>0.00287303240740741</v>
      </c>
      <c r="E726" s="15" t="n">
        <f aca="false">ROUND((D726-$D$5)*86400,2)</f>
        <v>23.2</v>
      </c>
      <c r="F726" s="17" t="n">
        <v>1829</v>
      </c>
      <c r="G726" s="16" t="str">
        <f aca="false">IF(INDEX(選手一覧!$D$7:$D$2738,$F726)="","",INDEX(選手一覧!$D$7:$D$2738,$F726))</f>
        <v/>
      </c>
      <c r="H726" s="17" t="str">
        <f aca="false">IF(INDEX(選手一覧!$E$7:$E$2738,$F726)="","",INDEX(選手一覧!$E$7:$E$2738,$F726))</f>
        <v/>
      </c>
      <c r="I726" s="16" t="str">
        <f aca="false">IF(INDEX(選手一覧!$H$7:$H$2738,$F726)="","",INDEX(選手一覧!$H$7:$H$2738,$F726))</f>
        <v/>
      </c>
      <c r="J726" s="17" t="str">
        <f aca="false">IF(INDEX(選手一覧!$I$7:$I$2738,$F726)="","",INDEX(選手一覧!$I$7:$I$2738,$F726))</f>
        <v/>
      </c>
    </row>
    <row r="727" customFormat="false" ht="15" hidden="false" customHeight="false" outlineLevel="0" collapsed="false">
      <c r="A727" s="17" t="n">
        <v>723</v>
      </c>
      <c r="B727" s="12" t="s">
        <v>2856</v>
      </c>
      <c r="C727" s="12" t="s">
        <v>382</v>
      </c>
      <c r="D727" s="16" t="n">
        <v>0.00287326388888889</v>
      </c>
      <c r="E727" s="15" t="n">
        <f aca="false">ROUND((D727-$D$5)*86400,2)</f>
        <v>23.22</v>
      </c>
      <c r="F727" s="17" t="n">
        <v>1831</v>
      </c>
      <c r="G727" s="16" t="str">
        <f aca="false">IF(INDEX(選手一覧!$D$7:$D$2738,$F727)="","",INDEX(選手一覧!$D$7:$D$2738,$F727))</f>
        <v/>
      </c>
      <c r="H727" s="17" t="str">
        <f aca="false">IF(INDEX(選手一覧!$E$7:$E$2738,$F727)="","",INDEX(選手一覧!$E$7:$E$2738,$F727))</f>
        <v/>
      </c>
      <c r="I727" s="16" t="str">
        <f aca="false">IF(INDEX(選手一覧!$H$7:$H$2738,$F727)="","",INDEX(選手一覧!$H$7:$H$2738,$F727))</f>
        <v/>
      </c>
      <c r="J727" s="17" t="str">
        <f aca="false">IF(INDEX(選手一覧!$I$7:$I$2738,$F727)="","",INDEX(選手一覧!$I$7:$I$2738,$F727))</f>
        <v/>
      </c>
    </row>
    <row r="728" customFormat="false" ht="15" hidden="false" customHeight="false" outlineLevel="0" collapsed="false">
      <c r="A728" s="17" t="n">
        <v>724</v>
      </c>
      <c r="B728" s="12" t="s">
        <v>1535</v>
      </c>
      <c r="C728" s="12" t="s">
        <v>193</v>
      </c>
      <c r="D728" s="16" t="n">
        <v>0.00287349537037037</v>
      </c>
      <c r="E728" s="15" t="n">
        <f aca="false">ROUND((D728-$D$5)*86400,2)</f>
        <v>23.24</v>
      </c>
      <c r="F728" s="17" t="n">
        <v>935</v>
      </c>
      <c r="G728" s="16" t="n">
        <f aca="false">IF(INDEX(選手一覧!$D$7:$D$2738,$F728)="","",INDEX(選手一覧!$D$7:$D$2738,$F728))</f>
        <v>0.0109087962962963</v>
      </c>
      <c r="H728" s="17" t="n">
        <f aca="false">IF(INDEX(選手一覧!$E$7:$E$2738,$F728)="","",INDEX(選手一覧!$E$7:$E$2738,$F728))</f>
        <v>936</v>
      </c>
      <c r="I728" s="16" t="str">
        <f aca="false">IF(INDEX(選手一覧!$H$7:$H$2738,$F728)="","",INDEX(選手一覧!$H$7:$H$2738,$F728))</f>
        <v/>
      </c>
      <c r="J728" s="17" t="str">
        <f aca="false">IF(INDEX(選手一覧!$I$7:$I$2738,$F728)="","",INDEX(選手一覧!$I$7:$I$2738,$F728))</f>
        <v/>
      </c>
    </row>
    <row r="729" customFormat="false" ht="15" hidden="false" customHeight="false" outlineLevel="0" collapsed="false">
      <c r="A729" s="17" t="n">
        <v>725</v>
      </c>
      <c r="B729" s="12" t="s">
        <v>2859</v>
      </c>
      <c r="C729" s="12" t="s">
        <v>2860</v>
      </c>
      <c r="D729" s="16" t="n">
        <v>0.00287372685185185</v>
      </c>
      <c r="E729" s="15" t="n">
        <f aca="false">ROUND((D729-$D$5)*86400,2)</f>
        <v>23.26</v>
      </c>
      <c r="F729" s="17" t="n">
        <v>1833</v>
      </c>
      <c r="G729" s="16" t="str">
        <f aca="false">IF(INDEX(選手一覧!$D$7:$D$2738,$F729)="","",INDEX(選手一覧!$D$7:$D$2738,$F729))</f>
        <v/>
      </c>
      <c r="H729" s="17" t="str">
        <f aca="false">IF(INDEX(選手一覧!$E$7:$E$2738,$F729)="","",INDEX(選手一覧!$E$7:$E$2738,$F729))</f>
        <v/>
      </c>
      <c r="I729" s="16" t="str">
        <f aca="false">IF(INDEX(選手一覧!$H$7:$H$2738,$F729)="","",INDEX(選手一覧!$H$7:$H$2738,$F729))</f>
        <v/>
      </c>
      <c r="J729" s="17" t="str">
        <f aca="false">IF(INDEX(選手一覧!$I$7:$I$2738,$F729)="","",INDEX(選手一覧!$I$7:$I$2738,$F729))</f>
        <v/>
      </c>
    </row>
    <row r="730" customFormat="false" ht="15" hidden="false" customHeight="false" outlineLevel="0" collapsed="false">
      <c r="A730" s="17" t="n">
        <v>726</v>
      </c>
      <c r="B730" s="12" t="s">
        <v>2862</v>
      </c>
      <c r="C730" s="12" t="s">
        <v>824</v>
      </c>
      <c r="D730" s="16" t="n">
        <v>0.00287384259259259</v>
      </c>
      <c r="E730" s="15" t="n">
        <f aca="false">ROUND((D730-$D$5)*86400,2)</f>
        <v>23.27</v>
      </c>
      <c r="F730" s="17" t="n">
        <v>1835</v>
      </c>
      <c r="G730" s="16" t="str">
        <f aca="false">IF(INDEX(選手一覧!$D$7:$D$2738,$F730)="","",INDEX(選手一覧!$D$7:$D$2738,$F730))</f>
        <v/>
      </c>
      <c r="H730" s="17" t="str">
        <f aca="false">IF(INDEX(選手一覧!$E$7:$E$2738,$F730)="","",INDEX(選手一覧!$E$7:$E$2738,$F730))</f>
        <v/>
      </c>
      <c r="I730" s="16" t="str">
        <f aca="false">IF(INDEX(選手一覧!$H$7:$H$2738,$F730)="","",INDEX(選手一覧!$H$7:$H$2738,$F730))</f>
        <v/>
      </c>
      <c r="J730" s="17" t="str">
        <f aca="false">IF(INDEX(選手一覧!$I$7:$I$2738,$F730)="","",INDEX(選手一覧!$I$7:$I$2738,$F730))</f>
        <v/>
      </c>
    </row>
    <row r="731" customFormat="false" ht="15" hidden="false" customHeight="false" outlineLevel="0" collapsed="false">
      <c r="A731" s="17" t="n">
        <v>727</v>
      </c>
      <c r="B731" s="12" t="s">
        <v>1601</v>
      </c>
      <c r="C731" s="12" t="s">
        <v>1602</v>
      </c>
      <c r="D731" s="16" t="n">
        <v>0.00287407407407407</v>
      </c>
      <c r="E731" s="15" t="n">
        <f aca="false">ROUND((D731-$D$5)*86400,2)</f>
        <v>23.29</v>
      </c>
      <c r="F731" s="17" t="n">
        <v>980</v>
      </c>
      <c r="G731" s="16" t="n">
        <f aca="false">IF(INDEX(選手一覧!$D$7:$D$2738,$F731)="","",INDEX(選手一覧!$D$7:$D$2738,$F731))</f>
        <v>0.0109394675925926</v>
      </c>
      <c r="H731" s="17" t="n">
        <f aca="false">IF(INDEX(選手一覧!$E$7:$E$2738,$F731)="","",INDEX(選手一覧!$E$7:$E$2738,$F731))</f>
        <v>981</v>
      </c>
      <c r="I731" s="16" t="n">
        <f aca="false">IF(INDEX(選手一覧!$H$7:$H$2738,$F731)="","",INDEX(選手一覧!$H$7:$H$2738,$F731))</f>
        <v>0.00730428240740741</v>
      </c>
      <c r="J731" s="17" t="n">
        <f aca="false">IF(INDEX(選手一覧!$I$7:$I$2738,$F731)="","",INDEX(選手一覧!$I$7:$I$2738,$F731))</f>
        <v>652</v>
      </c>
    </row>
    <row r="732" customFormat="false" ht="15" hidden="false" customHeight="false" outlineLevel="0" collapsed="false">
      <c r="A732" s="17" t="n">
        <v>728</v>
      </c>
      <c r="B732" s="12" t="s">
        <v>663</v>
      </c>
      <c r="C732" s="12" t="s">
        <v>145</v>
      </c>
      <c r="D732" s="16" t="n">
        <v>0.00287407407407407</v>
      </c>
      <c r="E732" s="15" t="n">
        <f aca="false">ROUND((D732-$D$5)*86400,2)</f>
        <v>23.29</v>
      </c>
      <c r="F732" s="17" t="n">
        <v>363</v>
      </c>
      <c r="G732" s="16" t="n">
        <f aca="false">IF(INDEX(選手一覧!$D$7:$D$2738,$F732)="","",INDEX(選手一覧!$D$7:$D$2738,$F732))</f>
        <v>0.0105216435185185</v>
      </c>
      <c r="H732" s="17" t="n">
        <f aca="false">IF(INDEX(選手一覧!$E$7:$E$2738,$F732)="","",INDEX(選手一覧!$E$7:$E$2738,$F732))</f>
        <v>364</v>
      </c>
      <c r="I732" s="16" t="n">
        <f aca="false">IF(INDEX(選手一覧!$H$7:$H$2738,$F732)="","",INDEX(選手一覧!$H$7:$H$2738,$F732))</f>
        <v>0.00690613425925926</v>
      </c>
      <c r="J732" s="17" t="n">
        <f aca="false">IF(INDEX(選手一覧!$I$7:$I$2738,$F732)="","",INDEX(選手一覧!$I$7:$I$2738,$F732))</f>
        <v>247</v>
      </c>
    </row>
    <row r="733" customFormat="false" ht="15" hidden="false" customHeight="false" outlineLevel="0" collapsed="false">
      <c r="A733" s="17" t="n">
        <v>729</v>
      </c>
      <c r="B733" s="12" t="s">
        <v>2868</v>
      </c>
      <c r="C733" s="12" t="s">
        <v>1166</v>
      </c>
      <c r="D733" s="16" t="n">
        <v>0.00287430555555556</v>
      </c>
      <c r="E733" s="15" t="n">
        <f aca="false">ROUND((D733-$D$5)*86400,2)</f>
        <v>23.31</v>
      </c>
      <c r="F733" s="17" t="n">
        <v>1839</v>
      </c>
      <c r="G733" s="16" t="str">
        <f aca="false">IF(INDEX(選手一覧!$D$7:$D$2738,$F733)="","",INDEX(選手一覧!$D$7:$D$2738,$F733))</f>
        <v/>
      </c>
      <c r="H733" s="17" t="str">
        <f aca="false">IF(INDEX(選手一覧!$E$7:$E$2738,$F733)="","",INDEX(選手一覧!$E$7:$E$2738,$F733))</f>
        <v/>
      </c>
      <c r="I733" s="16" t="str">
        <f aca="false">IF(INDEX(選手一覧!$H$7:$H$2738,$F733)="","",INDEX(選手一覧!$H$7:$H$2738,$F733))</f>
        <v/>
      </c>
      <c r="J733" s="17" t="str">
        <f aca="false">IF(INDEX(選手一覧!$I$7:$I$2738,$F733)="","",INDEX(選手一覧!$I$7:$I$2738,$F733))</f>
        <v/>
      </c>
    </row>
    <row r="734" customFormat="false" ht="15" hidden="false" customHeight="false" outlineLevel="0" collapsed="false">
      <c r="A734" s="17" t="n">
        <v>730</v>
      </c>
      <c r="B734" s="12" t="s">
        <v>2870</v>
      </c>
      <c r="C734" s="12" t="s">
        <v>2871</v>
      </c>
      <c r="D734" s="16" t="n">
        <v>0.00287453703703704</v>
      </c>
      <c r="E734" s="15" t="n">
        <f aca="false">ROUND((D734-$D$5)*86400,2)</f>
        <v>23.33</v>
      </c>
      <c r="F734" s="17" t="n">
        <v>1840</v>
      </c>
      <c r="G734" s="16" t="str">
        <f aca="false">IF(INDEX(選手一覧!$D$7:$D$2738,$F734)="","",INDEX(選手一覧!$D$7:$D$2738,$F734))</f>
        <v/>
      </c>
      <c r="H734" s="17" t="str">
        <f aca="false">IF(INDEX(選手一覧!$E$7:$E$2738,$F734)="","",INDEX(選手一覧!$E$7:$E$2738,$F734))</f>
        <v/>
      </c>
      <c r="I734" s="16" t="n">
        <f aca="false">IF(INDEX(選手一覧!$H$7:$H$2738,$F734)="","",INDEX(選手一覧!$H$7:$H$2738,$F734))</f>
        <v>0.00793425925925926</v>
      </c>
      <c r="J734" s="17" t="n">
        <f aca="false">IF(INDEX(選手一覧!$I$7:$I$2738,$F734)="","",INDEX(選手一覧!$I$7:$I$2738,$F734))</f>
        <v>1174</v>
      </c>
    </row>
    <row r="735" customFormat="false" ht="15" hidden="false" customHeight="false" outlineLevel="0" collapsed="false">
      <c r="A735" s="17" t="n">
        <v>731</v>
      </c>
      <c r="B735" s="12" t="s">
        <v>2876</v>
      </c>
      <c r="C735" s="12" t="s">
        <v>1950</v>
      </c>
      <c r="D735" s="16" t="n">
        <v>0.00287465277777778</v>
      </c>
      <c r="E735" s="15" t="n">
        <f aca="false">ROUND((D735-$D$5)*86400,2)</f>
        <v>23.34</v>
      </c>
      <c r="F735" s="17" t="n">
        <v>1843</v>
      </c>
      <c r="G735" s="16" t="str">
        <f aca="false">IF(INDEX(選手一覧!$D$7:$D$2738,$F735)="","",INDEX(選手一覧!$D$7:$D$2738,$F735))</f>
        <v/>
      </c>
      <c r="H735" s="17" t="str">
        <f aca="false">IF(INDEX(選手一覧!$E$7:$E$2738,$F735)="","",INDEX(選手一覧!$E$7:$E$2738,$F735))</f>
        <v/>
      </c>
      <c r="I735" s="16" t="str">
        <f aca="false">IF(INDEX(選手一覧!$H$7:$H$2738,$F735)="","",INDEX(選手一覧!$H$7:$H$2738,$F735))</f>
        <v/>
      </c>
      <c r="J735" s="17" t="str">
        <f aca="false">IF(INDEX(選手一覧!$I$7:$I$2738,$F735)="","",INDEX(選手一覧!$I$7:$I$2738,$F735))</f>
        <v/>
      </c>
    </row>
    <row r="736" customFormat="false" ht="15" hidden="false" customHeight="false" outlineLevel="0" collapsed="false">
      <c r="A736" s="17" t="n">
        <v>732</v>
      </c>
      <c r="B736" s="12" t="s">
        <v>2082</v>
      </c>
      <c r="C736" s="12" t="s">
        <v>953</v>
      </c>
      <c r="D736" s="16" t="n">
        <v>0.00287476851851852</v>
      </c>
      <c r="E736" s="15" t="n">
        <f aca="false">ROUND((D736-$D$5)*86400,2)</f>
        <v>23.35</v>
      </c>
      <c r="F736" s="17" t="n">
        <v>1320</v>
      </c>
      <c r="G736" s="16" t="str">
        <f aca="false">IF(INDEX(選手一覧!$D$7:$D$2738,$F736)="","",INDEX(選手一覧!$D$7:$D$2738,$F736))</f>
        <v/>
      </c>
      <c r="H736" s="17" t="str">
        <f aca="false">IF(INDEX(選手一覧!$E$7:$E$2738,$F736)="","",INDEX(選手一覧!$E$7:$E$2738,$F736))</f>
        <v/>
      </c>
      <c r="I736" s="16" t="n">
        <f aca="false">IF(INDEX(選手一覧!$H$7:$H$2738,$F736)="","",INDEX(選手一覧!$H$7:$H$2738,$F736))</f>
        <v>0.00677997685185185</v>
      </c>
      <c r="J736" s="17" t="n">
        <f aca="false">IF(INDEX(選手一覧!$I$7:$I$2738,$F736)="","",INDEX(選手一覧!$I$7:$I$2738,$F736))</f>
        <v>155</v>
      </c>
    </row>
    <row r="737" customFormat="false" ht="15" hidden="false" customHeight="false" outlineLevel="0" collapsed="false">
      <c r="A737" s="17" t="n">
        <v>733</v>
      </c>
      <c r="B737" s="12" t="s">
        <v>1405</v>
      </c>
      <c r="C737" s="12" t="s">
        <v>698</v>
      </c>
      <c r="D737" s="16" t="n">
        <v>0.00287476851851852</v>
      </c>
      <c r="E737" s="15" t="n">
        <f aca="false">ROUND((D737-$D$5)*86400,2)</f>
        <v>23.35</v>
      </c>
      <c r="F737" s="17" t="n">
        <v>851</v>
      </c>
      <c r="G737" s="16" t="n">
        <f aca="false">IF(INDEX(選手一覧!$D$7:$D$2738,$F737)="","",INDEX(選手一覧!$D$7:$D$2738,$F737))</f>
        <v>0.0108613425925926</v>
      </c>
      <c r="H737" s="17" t="n">
        <f aca="false">IF(INDEX(選手一覧!$E$7:$E$2738,$F737)="","",INDEX(選手一覧!$E$7:$E$2738,$F737))</f>
        <v>852</v>
      </c>
      <c r="I737" s="16" t="n">
        <f aca="false">IF(INDEX(選手一覧!$H$7:$H$2738,$F737)="","",INDEX(選手一覧!$H$7:$H$2738,$F737))</f>
        <v>0.00705833333333333</v>
      </c>
      <c r="J737" s="17" t="n">
        <f aca="false">IF(INDEX(選手一覧!$I$7:$I$2738,$F737)="","",INDEX(選手一覧!$I$7:$I$2738,$F737))</f>
        <v>399</v>
      </c>
    </row>
    <row r="738" customFormat="false" ht="15" hidden="false" customHeight="false" outlineLevel="0" collapsed="false">
      <c r="A738" s="17" t="n">
        <v>734</v>
      </c>
      <c r="B738" s="12" t="s">
        <v>626</v>
      </c>
      <c r="C738" s="12" t="s">
        <v>561</v>
      </c>
      <c r="D738" s="16" t="n">
        <v>0.00287488425925926</v>
      </c>
      <c r="E738" s="15" t="n">
        <f aca="false">ROUND((D738-$D$5)*86400,2)</f>
        <v>23.36</v>
      </c>
      <c r="F738" s="17" t="n">
        <v>338</v>
      </c>
      <c r="G738" s="16" t="n">
        <f aca="false">IF(INDEX(選手一覧!$D$7:$D$2738,$F738)="","",INDEX(選手一覧!$D$7:$D$2738,$F738))</f>
        <v>0.0104969907407407</v>
      </c>
      <c r="H738" s="17" t="n">
        <f aca="false">IF(INDEX(選手一覧!$E$7:$E$2738,$F738)="","",INDEX(選手一覧!$E$7:$E$2738,$F738))</f>
        <v>339</v>
      </c>
      <c r="I738" s="16" t="str">
        <f aca="false">IF(INDEX(選手一覧!$H$7:$H$2738,$F738)="","",INDEX(選手一覧!$H$7:$H$2738,$F738))</f>
        <v/>
      </c>
      <c r="J738" s="17" t="str">
        <f aca="false">IF(INDEX(選手一覧!$I$7:$I$2738,$F738)="","",INDEX(選手一覧!$I$7:$I$2738,$F738))</f>
        <v/>
      </c>
    </row>
    <row r="739" customFormat="false" ht="15" hidden="false" customHeight="false" outlineLevel="0" collapsed="false">
      <c r="A739" s="17" t="n">
        <v>735</v>
      </c>
      <c r="B739" s="12" t="s">
        <v>2881</v>
      </c>
      <c r="C739" s="12" t="s">
        <v>1212</v>
      </c>
      <c r="D739" s="16" t="n">
        <v>0.002875</v>
      </c>
      <c r="E739" s="15" t="n">
        <f aca="false">ROUND((D739-$D$5)*86400,2)</f>
        <v>23.37</v>
      </c>
      <c r="F739" s="17" t="n">
        <v>1848</v>
      </c>
      <c r="G739" s="16" t="str">
        <f aca="false">IF(INDEX(選手一覧!$D$7:$D$2738,$F739)="","",INDEX(選手一覧!$D$7:$D$2738,$F739))</f>
        <v/>
      </c>
      <c r="H739" s="17" t="str">
        <f aca="false">IF(INDEX(選手一覧!$E$7:$E$2738,$F739)="","",INDEX(選手一覧!$E$7:$E$2738,$F739))</f>
        <v/>
      </c>
      <c r="I739" s="16" t="str">
        <f aca="false">IF(INDEX(選手一覧!$H$7:$H$2738,$F739)="","",INDEX(選手一覧!$H$7:$H$2738,$F739))</f>
        <v/>
      </c>
      <c r="J739" s="17" t="str">
        <f aca="false">IF(INDEX(選手一覧!$I$7:$I$2738,$F739)="","",INDEX(選手一覧!$I$7:$I$2738,$F739))</f>
        <v/>
      </c>
    </row>
    <row r="740" customFormat="false" ht="15" hidden="false" customHeight="false" outlineLevel="0" collapsed="false">
      <c r="A740" s="17" t="n">
        <v>736</v>
      </c>
      <c r="B740" s="12" t="s">
        <v>2884</v>
      </c>
      <c r="C740" s="12" t="s">
        <v>1740</v>
      </c>
      <c r="D740" s="16" t="n">
        <v>0.00287523148148148</v>
      </c>
      <c r="E740" s="15" t="n">
        <f aca="false">ROUND((D740-$D$5)*86400,2)</f>
        <v>23.39</v>
      </c>
      <c r="F740" s="17" t="n">
        <v>1850</v>
      </c>
      <c r="G740" s="16" t="str">
        <f aca="false">IF(INDEX(選手一覧!$D$7:$D$2738,$F740)="","",INDEX(選手一覧!$D$7:$D$2738,$F740))</f>
        <v/>
      </c>
      <c r="H740" s="17" t="str">
        <f aca="false">IF(INDEX(選手一覧!$E$7:$E$2738,$F740)="","",INDEX(選手一覧!$E$7:$E$2738,$F740))</f>
        <v/>
      </c>
      <c r="I740" s="16" t="str">
        <f aca="false">IF(INDEX(選手一覧!$H$7:$H$2738,$F740)="","",INDEX(選手一覧!$H$7:$H$2738,$F740))</f>
        <v/>
      </c>
      <c r="J740" s="17" t="str">
        <f aca="false">IF(INDEX(選手一覧!$I$7:$I$2738,$F740)="","",INDEX(選手一覧!$I$7:$I$2738,$F740))</f>
        <v/>
      </c>
    </row>
    <row r="741" customFormat="false" ht="15" hidden="false" customHeight="false" outlineLevel="0" collapsed="false">
      <c r="A741" s="17" t="n">
        <v>737</v>
      </c>
      <c r="B741" s="12" t="s">
        <v>2885</v>
      </c>
      <c r="C741" s="12" t="s">
        <v>2886</v>
      </c>
      <c r="D741" s="16" t="n">
        <v>0.00287546296296296</v>
      </c>
      <c r="E741" s="15" t="n">
        <f aca="false">ROUND((D741-$D$5)*86400,2)</f>
        <v>23.41</v>
      </c>
      <c r="F741" s="17" t="n">
        <v>1851</v>
      </c>
      <c r="G741" s="16" t="str">
        <f aca="false">IF(INDEX(選手一覧!$D$7:$D$2738,$F741)="","",INDEX(選手一覧!$D$7:$D$2738,$F741))</f>
        <v/>
      </c>
      <c r="H741" s="17" t="str">
        <f aca="false">IF(INDEX(選手一覧!$E$7:$E$2738,$F741)="","",INDEX(選手一覧!$E$7:$E$2738,$F741))</f>
        <v/>
      </c>
      <c r="I741" s="16" t="str">
        <f aca="false">IF(INDEX(選手一覧!$H$7:$H$2738,$F741)="","",INDEX(選手一覧!$H$7:$H$2738,$F741))</f>
        <v/>
      </c>
      <c r="J741" s="17" t="str">
        <f aca="false">IF(INDEX(選手一覧!$I$7:$I$2738,$F741)="","",INDEX(選手一覧!$I$7:$I$2738,$F741))</f>
        <v/>
      </c>
    </row>
    <row r="742" customFormat="false" ht="15" hidden="false" customHeight="false" outlineLevel="0" collapsed="false">
      <c r="A742" s="17" t="n">
        <v>738</v>
      </c>
      <c r="B742" s="12" t="s">
        <v>866</v>
      </c>
      <c r="C742" s="12" t="s">
        <v>179</v>
      </c>
      <c r="D742" s="16" t="n">
        <v>0.00287581018518519</v>
      </c>
      <c r="E742" s="15" t="n">
        <f aca="false">ROUND((D742-$D$5)*86400,2)</f>
        <v>23.44</v>
      </c>
      <c r="F742" s="17" t="n">
        <v>493</v>
      </c>
      <c r="G742" s="16" t="n">
        <f aca="false">IF(INDEX(選手一覧!$D$7:$D$2738,$F742)="","",INDEX(選手一覧!$D$7:$D$2738,$F742))</f>
        <v>0.0106181712962963</v>
      </c>
      <c r="H742" s="17" t="n">
        <f aca="false">IF(INDEX(選手一覧!$E$7:$E$2738,$F742)="","",INDEX(選手一覧!$E$7:$E$2738,$F742))</f>
        <v>494</v>
      </c>
      <c r="I742" s="16" t="str">
        <f aca="false">IF(INDEX(選手一覧!$H$7:$H$2738,$F742)="","",INDEX(選手一覧!$H$7:$H$2738,$F742))</f>
        <v/>
      </c>
      <c r="J742" s="17" t="str">
        <f aca="false">IF(INDEX(選手一覧!$I$7:$I$2738,$F742)="","",INDEX(選手一覧!$I$7:$I$2738,$F742))</f>
        <v/>
      </c>
    </row>
    <row r="743" customFormat="false" ht="15" hidden="false" customHeight="false" outlineLevel="0" collapsed="false">
      <c r="A743" s="17" t="n">
        <v>739</v>
      </c>
      <c r="B743" s="12" t="s">
        <v>2889</v>
      </c>
      <c r="C743" s="12" t="s">
        <v>2890</v>
      </c>
      <c r="D743" s="16" t="n">
        <v>0.00287581018518519</v>
      </c>
      <c r="E743" s="15" t="n">
        <f aca="false">ROUND((D743-$D$5)*86400,2)</f>
        <v>23.44</v>
      </c>
      <c r="F743" s="17" t="n">
        <v>1854</v>
      </c>
      <c r="G743" s="16" t="str">
        <f aca="false">IF(INDEX(選手一覧!$D$7:$D$2738,$F743)="","",INDEX(選手一覧!$D$7:$D$2738,$F743))</f>
        <v/>
      </c>
      <c r="H743" s="17" t="str">
        <f aca="false">IF(INDEX(選手一覧!$E$7:$E$2738,$F743)="","",INDEX(選手一覧!$E$7:$E$2738,$F743))</f>
        <v/>
      </c>
      <c r="I743" s="16" t="str">
        <f aca="false">IF(INDEX(選手一覧!$H$7:$H$2738,$F743)="","",INDEX(選手一覧!$H$7:$H$2738,$F743))</f>
        <v/>
      </c>
      <c r="J743" s="17" t="str">
        <f aca="false">IF(INDEX(選手一覧!$I$7:$I$2738,$F743)="","",INDEX(選手一覧!$I$7:$I$2738,$F743))</f>
        <v/>
      </c>
    </row>
    <row r="744" customFormat="false" ht="15" hidden="false" customHeight="false" outlineLevel="0" collapsed="false">
      <c r="A744" s="17" t="n">
        <v>740</v>
      </c>
      <c r="B744" s="12" t="s">
        <v>2893</v>
      </c>
      <c r="C744" s="12" t="s">
        <v>2894</v>
      </c>
      <c r="D744" s="16" t="n">
        <v>0.00287592592592593</v>
      </c>
      <c r="E744" s="15" t="n">
        <f aca="false">ROUND((D744-$D$5)*86400,2)</f>
        <v>23.45</v>
      </c>
      <c r="F744" s="17" t="n">
        <v>1856</v>
      </c>
      <c r="G744" s="16" t="str">
        <f aca="false">IF(INDEX(選手一覧!$D$7:$D$2738,$F744)="","",INDEX(選手一覧!$D$7:$D$2738,$F744))</f>
        <v/>
      </c>
      <c r="H744" s="17" t="str">
        <f aca="false">IF(INDEX(選手一覧!$E$7:$E$2738,$F744)="","",INDEX(選手一覧!$E$7:$E$2738,$F744))</f>
        <v/>
      </c>
      <c r="I744" s="16" t="str">
        <f aca="false">IF(INDEX(選手一覧!$H$7:$H$2738,$F744)="","",INDEX(選手一覧!$H$7:$H$2738,$F744))</f>
        <v/>
      </c>
      <c r="J744" s="17" t="str">
        <f aca="false">IF(INDEX(選手一覧!$I$7:$I$2738,$F744)="","",INDEX(選手一覧!$I$7:$I$2738,$F744))</f>
        <v/>
      </c>
    </row>
    <row r="745" customFormat="false" ht="15" hidden="false" customHeight="false" outlineLevel="0" collapsed="false">
      <c r="A745" s="17" t="n">
        <v>741</v>
      </c>
      <c r="B745" s="12" t="s">
        <v>268</v>
      </c>
      <c r="C745" s="12" t="s">
        <v>269</v>
      </c>
      <c r="D745" s="16" t="n">
        <v>0.00287627314814815</v>
      </c>
      <c r="E745" s="15" t="n">
        <f aca="false">ROUND((D745-$D$5)*86400,2)</f>
        <v>23.48</v>
      </c>
      <c r="F745" s="17" t="n">
        <v>126</v>
      </c>
      <c r="G745" s="16" t="n">
        <f aca="false">IF(INDEX(選手一覧!$D$7:$D$2738,$F745)="","",INDEX(選手一覧!$D$7:$D$2738,$F745))</f>
        <v>0.0102467592592593</v>
      </c>
      <c r="H745" s="17" t="n">
        <f aca="false">IF(INDEX(選手一覧!$E$7:$E$2738,$F745)="","",INDEX(選手一覧!$E$7:$E$2738,$F745))</f>
        <v>127</v>
      </c>
      <c r="I745" s="16" t="str">
        <f aca="false">IF(INDEX(選手一覧!$H$7:$H$2738,$F745)="","",INDEX(選手一覧!$H$7:$H$2738,$F745))</f>
        <v/>
      </c>
      <c r="J745" s="17" t="str">
        <f aca="false">IF(INDEX(選手一覧!$I$7:$I$2738,$F745)="","",INDEX(選手一覧!$I$7:$I$2738,$F745))</f>
        <v/>
      </c>
    </row>
    <row r="746" customFormat="false" ht="15" hidden="false" customHeight="false" outlineLevel="0" collapsed="false">
      <c r="A746" s="17" t="n">
        <v>742</v>
      </c>
      <c r="B746" s="12" t="s">
        <v>2898</v>
      </c>
      <c r="C746" s="12" t="s">
        <v>2899</v>
      </c>
      <c r="D746" s="16" t="n">
        <v>0.00287638888888889</v>
      </c>
      <c r="E746" s="15" t="n">
        <f aca="false">ROUND((D746-$D$5)*86400,2)</f>
        <v>23.49</v>
      </c>
      <c r="F746" s="17" t="n">
        <v>1859</v>
      </c>
      <c r="G746" s="16" t="str">
        <f aca="false">IF(INDEX(選手一覧!$D$7:$D$2738,$F746)="","",INDEX(選手一覧!$D$7:$D$2738,$F746))</f>
        <v/>
      </c>
      <c r="H746" s="17" t="str">
        <f aca="false">IF(INDEX(選手一覧!$E$7:$E$2738,$F746)="","",INDEX(選手一覧!$E$7:$E$2738,$F746))</f>
        <v/>
      </c>
      <c r="I746" s="16" t="str">
        <f aca="false">IF(INDEX(選手一覧!$H$7:$H$2738,$F746)="","",INDEX(選手一覧!$H$7:$H$2738,$F746))</f>
        <v/>
      </c>
      <c r="J746" s="17" t="str">
        <f aca="false">IF(INDEX(選手一覧!$I$7:$I$2738,$F746)="","",INDEX(選手一覧!$I$7:$I$2738,$F746))</f>
        <v/>
      </c>
    </row>
    <row r="747" customFormat="false" ht="15" hidden="false" customHeight="false" outlineLevel="0" collapsed="false">
      <c r="A747" s="17" t="n">
        <v>743</v>
      </c>
      <c r="B747" s="12" t="s">
        <v>531</v>
      </c>
      <c r="C747" s="12" t="s">
        <v>532</v>
      </c>
      <c r="D747" s="16" t="n">
        <v>0.00287662037037037</v>
      </c>
      <c r="E747" s="15" t="n">
        <f aca="false">ROUND((D747-$D$5)*86400,2)</f>
        <v>23.51</v>
      </c>
      <c r="F747" s="17" t="n">
        <v>280</v>
      </c>
      <c r="G747" s="16" t="n">
        <f aca="false">IF(INDEX(選手一覧!$D$7:$D$2738,$F747)="","",INDEX(選手一覧!$D$7:$D$2738,$F747))</f>
        <v>0.0104148148148148</v>
      </c>
      <c r="H747" s="17" t="n">
        <f aca="false">IF(INDEX(選手一覧!$E$7:$E$2738,$F747)="","",INDEX(選手一覧!$E$7:$E$2738,$F747))</f>
        <v>281</v>
      </c>
      <c r="I747" s="16" t="n">
        <f aca="false">IF(INDEX(選手一覧!$H$7:$H$2738,$F747)="","",INDEX(選手一覧!$H$7:$H$2738,$F747))</f>
        <v>0.00688854166666667</v>
      </c>
      <c r="J747" s="17" t="n">
        <f aca="false">IF(INDEX(選手一覧!$I$7:$I$2738,$F747)="","",INDEX(選手一覧!$I$7:$I$2738,$F747))</f>
        <v>230</v>
      </c>
    </row>
    <row r="748" customFormat="false" ht="15" hidden="false" customHeight="false" outlineLevel="0" collapsed="false">
      <c r="A748" s="17" t="n">
        <v>744</v>
      </c>
      <c r="B748" s="12" t="s">
        <v>2902</v>
      </c>
      <c r="C748" s="12" t="s">
        <v>2903</v>
      </c>
      <c r="D748" s="16" t="n">
        <v>0.00287673611111111</v>
      </c>
      <c r="E748" s="15" t="n">
        <f aca="false">ROUND((D748-$D$5)*86400,2)</f>
        <v>23.52</v>
      </c>
      <c r="F748" s="17" t="n">
        <v>1861</v>
      </c>
      <c r="G748" s="16" t="str">
        <f aca="false">IF(INDEX(選手一覧!$D$7:$D$2738,$F748)="","",INDEX(選手一覧!$D$7:$D$2738,$F748))</f>
        <v/>
      </c>
      <c r="H748" s="17" t="str">
        <f aca="false">IF(INDEX(選手一覧!$E$7:$E$2738,$F748)="","",INDEX(選手一覧!$E$7:$E$2738,$F748))</f>
        <v/>
      </c>
      <c r="I748" s="16" t="str">
        <f aca="false">IF(INDEX(選手一覧!$H$7:$H$2738,$F748)="","",INDEX(選手一覧!$H$7:$H$2738,$F748))</f>
        <v/>
      </c>
      <c r="J748" s="17" t="str">
        <f aca="false">IF(INDEX(選手一覧!$I$7:$I$2738,$F748)="","",INDEX(選手一覧!$I$7:$I$2738,$F748))</f>
        <v/>
      </c>
    </row>
    <row r="749" customFormat="false" ht="15" hidden="false" customHeight="false" outlineLevel="0" collapsed="false">
      <c r="A749" s="17" t="n">
        <v>745</v>
      </c>
      <c r="B749" s="12" t="s">
        <v>1031</v>
      </c>
      <c r="C749" s="12" t="s">
        <v>648</v>
      </c>
      <c r="D749" s="16" t="n">
        <v>0.00287673611111111</v>
      </c>
      <c r="E749" s="15" t="n">
        <f aca="false">ROUND((D749-$D$5)*86400,2)</f>
        <v>23.52</v>
      </c>
      <c r="F749" s="17" t="n">
        <v>597</v>
      </c>
      <c r="G749" s="16" t="n">
        <f aca="false">IF(INDEX(選手一覧!$D$7:$D$2738,$F749)="","",INDEX(選手一覧!$D$7:$D$2738,$F749))</f>
        <v>0.010708912037037</v>
      </c>
      <c r="H749" s="17" t="n">
        <f aca="false">IF(INDEX(選手一覧!$E$7:$E$2738,$F749)="","",INDEX(選手一覧!$E$7:$E$2738,$F749))</f>
        <v>598</v>
      </c>
      <c r="I749" s="16" t="str">
        <f aca="false">IF(INDEX(選手一覧!$H$7:$H$2738,$F749)="","",INDEX(選手一覧!$H$7:$H$2738,$F749))</f>
        <v/>
      </c>
      <c r="J749" s="17" t="str">
        <f aca="false">IF(INDEX(選手一覧!$I$7:$I$2738,$F749)="","",INDEX(選手一覧!$I$7:$I$2738,$F749))</f>
        <v/>
      </c>
    </row>
    <row r="750" customFormat="false" ht="15" hidden="false" customHeight="false" outlineLevel="0" collapsed="false">
      <c r="A750" s="17" t="n">
        <v>746</v>
      </c>
      <c r="B750" s="12" t="s">
        <v>1994</v>
      </c>
      <c r="C750" s="12" t="s">
        <v>195</v>
      </c>
      <c r="D750" s="16" t="n">
        <v>0.00287696759259259</v>
      </c>
      <c r="E750" s="15" t="n">
        <f aca="false">ROUND((D750-$D$5)*86400,2)</f>
        <v>23.54</v>
      </c>
      <c r="F750" s="17" t="n">
        <v>1251</v>
      </c>
      <c r="G750" s="16" t="n">
        <f aca="false">IF(INDEX(選手一覧!$D$7:$D$2738,$F750)="","",INDEX(選手一覧!$D$7:$D$2738,$F750))</f>
        <v>0.011080787037037</v>
      </c>
      <c r="H750" s="17" t="n">
        <f aca="false">IF(INDEX(選手一覧!$E$7:$E$2738,$F750)="","",INDEX(選手一覧!$E$7:$E$2738,$F750))</f>
        <v>1252</v>
      </c>
      <c r="I750" s="16" t="str">
        <f aca="false">IF(INDEX(選手一覧!$H$7:$H$2738,$F750)="","",INDEX(選手一覧!$H$7:$H$2738,$F750))</f>
        <v/>
      </c>
      <c r="J750" s="17" t="str">
        <f aca="false">IF(INDEX(選手一覧!$I$7:$I$2738,$F750)="","",INDEX(選手一覧!$I$7:$I$2738,$F750))</f>
        <v/>
      </c>
    </row>
    <row r="751" customFormat="false" ht="15" hidden="false" customHeight="false" outlineLevel="0" collapsed="false">
      <c r="A751" s="17" t="n">
        <v>747</v>
      </c>
      <c r="B751" s="12" t="s">
        <v>433</v>
      </c>
      <c r="C751" s="12" t="s">
        <v>434</v>
      </c>
      <c r="D751" s="16" t="n">
        <v>0.00287696759259259</v>
      </c>
      <c r="E751" s="15" t="n">
        <f aca="false">ROUND((D751-$D$5)*86400,2)</f>
        <v>23.54</v>
      </c>
      <c r="F751" s="17" t="n">
        <v>222</v>
      </c>
      <c r="G751" s="16" t="n">
        <f aca="false">IF(INDEX(選手一覧!$D$7:$D$2738,$F751)="","",INDEX(選手一覧!$D$7:$D$2738,$F751))</f>
        <v>0.0103679398148148</v>
      </c>
      <c r="H751" s="17" t="n">
        <f aca="false">IF(INDEX(選手一覧!$E$7:$E$2738,$F751)="","",INDEX(選手一覧!$E$7:$E$2738,$F751))</f>
        <v>223</v>
      </c>
      <c r="I751" s="16" t="str">
        <f aca="false">IF(INDEX(選手一覧!$H$7:$H$2738,$F751)="","",INDEX(選手一覧!$H$7:$H$2738,$F751))</f>
        <v/>
      </c>
      <c r="J751" s="17" t="str">
        <f aca="false">IF(INDEX(選手一覧!$I$7:$I$2738,$F751)="","",INDEX(選手一覧!$I$7:$I$2738,$F751))</f>
        <v/>
      </c>
    </row>
    <row r="752" customFormat="false" ht="15" hidden="false" customHeight="false" outlineLevel="0" collapsed="false">
      <c r="A752" s="17" t="n">
        <v>748</v>
      </c>
      <c r="B752" s="12" t="s">
        <v>2910</v>
      </c>
      <c r="C752" s="12" t="s">
        <v>2911</v>
      </c>
      <c r="D752" s="16" t="n">
        <v>0.00287708333333333</v>
      </c>
      <c r="E752" s="15" t="n">
        <f aca="false">ROUND((D752-$D$5)*86400,2)</f>
        <v>23.55</v>
      </c>
      <c r="F752" s="17" t="n">
        <v>1866</v>
      </c>
      <c r="G752" s="16" t="str">
        <f aca="false">IF(INDEX(選手一覧!$D$7:$D$2738,$F752)="","",INDEX(選手一覧!$D$7:$D$2738,$F752))</f>
        <v/>
      </c>
      <c r="H752" s="17" t="str">
        <f aca="false">IF(INDEX(選手一覧!$E$7:$E$2738,$F752)="","",INDEX(選手一覧!$E$7:$E$2738,$F752))</f>
        <v/>
      </c>
      <c r="I752" s="16" t="str">
        <f aca="false">IF(INDEX(選手一覧!$H$7:$H$2738,$F752)="","",INDEX(選手一覧!$H$7:$H$2738,$F752))</f>
        <v/>
      </c>
      <c r="J752" s="17" t="str">
        <f aca="false">IF(INDEX(選手一覧!$I$7:$I$2738,$F752)="","",INDEX(選手一覧!$I$7:$I$2738,$F752))</f>
        <v/>
      </c>
    </row>
    <row r="753" customFormat="false" ht="15" hidden="false" customHeight="false" outlineLevel="0" collapsed="false">
      <c r="A753" s="17" t="n">
        <v>749</v>
      </c>
      <c r="B753" s="12" t="s">
        <v>292</v>
      </c>
      <c r="C753" s="12" t="s">
        <v>228</v>
      </c>
      <c r="D753" s="16" t="n">
        <v>0.00287731481481482</v>
      </c>
      <c r="E753" s="15" t="n">
        <f aca="false">ROUND((D753-$D$5)*86400,2)</f>
        <v>23.57</v>
      </c>
      <c r="F753" s="17" t="n">
        <v>139</v>
      </c>
      <c r="G753" s="16" t="n">
        <f aca="false">IF(INDEX(選手一覧!$D$7:$D$2738,$F753)="","",INDEX(選手一覧!$D$7:$D$2738,$F753))</f>
        <v>0.0102734953703704</v>
      </c>
      <c r="H753" s="17" t="n">
        <f aca="false">IF(INDEX(選手一覧!$E$7:$E$2738,$F753)="","",INDEX(選手一覧!$E$7:$E$2738,$F753))</f>
        <v>140</v>
      </c>
      <c r="I753" s="16" t="str">
        <f aca="false">IF(INDEX(選手一覧!$H$7:$H$2738,$F753)="","",INDEX(選手一覧!$H$7:$H$2738,$F753))</f>
        <v/>
      </c>
      <c r="J753" s="17" t="str">
        <f aca="false">IF(INDEX(選手一覧!$I$7:$I$2738,$F753)="","",INDEX(選手一覧!$I$7:$I$2738,$F753))</f>
        <v/>
      </c>
    </row>
    <row r="754" customFormat="false" ht="15" hidden="false" customHeight="false" outlineLevel="0" collapsed="false">
      <c r="A754" s="17" t="n">
        <v>750</v>
      </c>
      <c r="B754" s="12" t="s">
        <v>2915</v>
      </c>
      <c r="C754" s="12" t="s">
        <v>2916</v>
      </c>
      <c r="D754" s="16" t="n">
        <v>0.00287777777777778</v>
      </c>
      <c r="E754" s="15" t="n">
        <f aca="false">ROUND((D754-$D$5)*86400,2)</f>
        <v>23.61</v>
      </c>
      <c r="F754" s="17" t="n">
        <v>1869</v>
      </c>
      <c r="G754" s="16" t="str">
        <f aca="false">IF(INDEX(選手一覧!$D$7:$D$2738,$F754)="","",INDEX(選手一覧!$D$7:$D$2738,$F754))</f>
        <v/>
      </c>
      <c r="H754" s="17" t="str">
        <f aca="false">IF(INDEX(選手一覧!$E$7:$E$2738,$F754)="","",INDEX(選手一覧!$E$7:$E$2738,$F754))</f>
        <v/>
      </c>
      <c r="I754" s="16" t="str">
        <f aca="false">IF(INDEX(選手一覧!$H$7:$H$2738,$F754)="","",INDEX(選手一覧!$H$7:$H$2738,$F754))</f>
        <v/>
      </c>
      <c r="J754" s="17" t="str">
        <f aca="false">IF(INDEX(選手一覧!$I$7:$I$2738,$F754)="","",INDEX(選手一覧!$I$7:$I$2738,$F754))</f>
        <v/>
      </c>
    </row>
    <row r="755" customFormat="false" ht="15" hidden="false" customHeight="false" outlineLevel="0" collapsed="false">
      <c r="A755" s="17" t="n">
        <v>751</v>
      </c>
      <c r="B755" s="12" t="s">
        <v>1831</v>
      </c>
      <c r="C755" s="12" t="s">
        <v>873</v>
      </c>
      <c r="D755" s="16" t="n">
        <v>0.00287777777777778</v>
      </c>
      <c r="E755" s="15" t="n">
        <f aca="false">ROUND((D755-$D$5)*86400,2)</f>
        <v>23.61</v>
      </c>
      <c r="F755" s="17" t="n">
        <v>1135</v>
      </c>
      <c r="G755" s="16" t="n">
        <f aca="false">IF(INDEX(選手一覧!$D$7:$D$2738,$F755)="","",INDEX(選手一覧!$D$7:$D$2738,$F755))</f>
        <v>0.0110234953703704</v>
      </c>
      <c r="H755" s="17" t="n">
        <f aca="false">IF(INDEX(選手一覧!$E$7:$E$2738,$F755)="","",INDEX(選手一覧!$E$7:$E$2738,$F755))</f>
        <v>1136</v>
      </c>
      <c r="I755" s="16" t="str">
        <f aca="false">IF(INDEX(選手一覧!$H$7:$H$2738,$F755)="","",INDEX(選手一覧!$H$7:$H$2738,$F755))</f>
        <v/>
      </c>
      <c r="J755" s="17" t="str">
        <f aca="false">IF(INDEX(選手一覧!$I$7:$I$2738,$F755)="","",INDEX(選手一覧!$I$7:$I$2738,$F755))</f>
        <v/>
      </c>
    </row>
    <row r="756" customFormat="false" ht="15" hidden="false" customHeight="false" outlineLevel="0" collapsed="false">
      <c r="A756" s="17" t="n">
        <v>752</v>
      </c>
      <c r="B756" s="12" t="s">
        <v>2920</v>
      </c>
      <c r="C756" s="12" t="s">
        <v>2921</v>
      </c>
      <c r="D756" s="16" t="n">
        <v>0.00287789351851852</v>
      </c>
      <c r="E756" s="15" t="n">
        <f aca="false">ROUND((D756-$D$5)*86400,2)</f>
        <v>23.62</v>
      </c>
      <c r="F756" s="17" t="n">
        <v>1872</v>
      </c>
      <c r="G756" s="16" t="str">
        <f aca="false">IF(INDEX(選手一覧!$D$7:$D$2738,$F756)="","",INDEX(選手一覧!$D$7:$D$2738,$F756))</f>
        <v/>
      </c>
      <c r="H756" s="17" t="str">
        <f aca="false">IF(INDEX(選手一覧!$E$7:$E$2738,$F756)="","",INDEX(選手一覧!$E$7:$E$2738,$F756))</f>
        <v/>
      </c>
      <c r="I756" s="16" t="str">
        <f aca="false">IF(INDEX(選手一覧!$H$7:$H$2738,$F756)="","",INDEX(選手一覧!$H$7:$H$2738,$F756))</f>
        <v/>
      </c>
      <c r="J756" s="17" t="str">
        <f aca="false">IF(INDEX(選手一覧!$I$7:$I$2738,$F756)="","",INDEX(選手一覧!$I$7:$I$2738,$F756))</f>
        <v/>
      </c>
    </row>
    <row r="757" customFormat="false" ht="15" hidden="false" customHeight="false" outlineLevel="0" collapsed="false">
      <c r="A757" s="17" t="n">
        <v>753</v>
      </c>
      <c r="B757" s="12" t="s">
        <v>1171</v>
      </c>
      <c r="C757" s="12" t="s">
        <v>250</v>
      </c>
      <c r="D757" s="16" t="n">
        <v>0.00287800925925926</v>
      </c>
      <c r="E757" s="15" t="n">
        <f aca="false">ROUND((D757-$D$5)*86400,2)</f>
        <v>23.63</v>
      </c>
      <c r="F757" s="17" t="n">
        <v>694</v>
      </c>
      <c r="G757" s="16" t="n">
        <f aca="false">IF(INDEX(選手一覧!$D$7:$D$2738,$F757)="","",INDEX(選手一覧!$D$7:$D$2738,$F757))</f>
        <v>0.0107696759259259</v>
      </c>
      <c r="H757" s="17" t="n">
        <f aca="false">IF(INDEX(選手一覧!$E$7:$E$2738,$F757)="","",INDEX(選手一覧!$E$7:$E$2738,$F757))</f>
        <v>695</v>
      </c>
      <c r="I757" s="16" t="str">
        <f aca="false">IF(INDEX(選手一覧!$H$7:$H$2738,$F757)="","",INDEX(選手一覧!$H$7:$H$2738,$F757))</f>
        <v/>
      </c>
      <c r="J757" s="17" t="str">
        <f aca="false">IF(INDEX(選手一覧!$I$7:$I$2738,$F757)="","",INDEX(選手一覧!$I$7:$I$2738,$F757))</f>
        <v/>
      </c>
    </row>
    <row r="758" customFormat="false" ht="15" hidden="false" customHeight="false" outlineLevel="0" collapsed="false">
      <c r="A758" s="17" t="n">
        <v>754</v>
      </c>
      <c r="B758" s="12" t="s">
        <v>2926</v>
      </c>
      <c r="C758" s="12" t="s">
        <v>2927</v>
      </c>
      <c r="D758" s="16" t="n">
        <v>0.002878125</v>
      </c>
      <c r="E758" s="15" t="n">
        <f aca="false">ROUND((D758-$D$5)*86400,2)</f>
        <v>23.64</v>
      </c>
      <c r="F758" s="17" t="n">
        <v>1875</v>
      </c>
      <c r="G758" s="16" t="str">
        <f aca="false">IF(INDEX(選手一覧!$D$7:$D$2738,$F758)="","",INDEX(選手一覧!$D$7:$D$2738,$F758))</f>
        <v/>
      </c>
      <c r="H758" s="17" t="str">
        <f aca="false">IF(INDEX(選手一覧!$E$7:$E$2738,$F758)="","",INDEX(選手一覧!$E$7:$E$2738,$F758))</f>
        <v/>
      </c>
      <c r="I758" s="16" t="str">
        <f aca="false">IF(INDEX(選手一覧!$H$7:$H$2738,$F758)="","",INDEX(選手一覧!$H$7:$H$2738,$F758))</f>
        <v/>
      </c>
      <c r="J758" s="17" t="str">
        <f aca="false">IF(INDEX(選手一覧!$I$7:$I$2738,$F758)="","",INDEX(選手一覧!$I$7:$I$2738,$F758))</f>
        <v/>
      </c>
    </row>
    <row r="759" customFormat="false" ht="15" hidden="false" customHeight="false" outlineLevel="0" collapsed="false">
      <c r="A759" s="17" t="n">
        <v>755</v>
      </c>
      <c r="B759" s="12" t="s">
        <v>1556</v>
      </c>
      <c r="C759" s="12" t="s">
        <v>565</v>
      </c>
      <c r="D759" s="16" t="n">
        <v>0.00287835648148148</v>
      </c>
      <c r="E759" s="15" t="n">
        <f aca="false">ROUND((D759-$D$5)*86400,2)</f>
        <v>23.66</v>
      </c>
      <c r="F759" s="17" t="n">
        <v>951</v>
      </c>
      <c r="G759" s="16" t="n">
        <f aca="false">IF(INDEX(選手一覧!$D$7:$D$2738,$F759)="","",INDEX(選手一覧!$D$7:$D$2738,$F759))</f>
        <v>0.0109219907407407</v>
      </c>
      <c r="H759" s="17" t="n">
        <f aca="false">IF(INDEX(選手一覧!$E$7:$E$2738,$F759)="","",INDEX(選手一覧!$E$7:$E$2738,$F759))</f>
        <v>952</v>
      </c>
      <c r="I759" s="16" t="n">
        <f aca="false">IF(INDEX(選手一覧!$H$7:$H$2738,$F759)="","",INDEX(選手一覧!$H$7:$H$2738,$F759))</f>
        <v>0.00695462962962963</v>
      </c>
      <c r="J759" s="17" t="n">
        <f aca="false">IF(INDEX(選手一覧!$I$7:$I$2738,$F759)="","",INDEX(選手一覧!$I$7:$I$2738,$F759))</f>
        <v>288</v>
      </c>
    </row>
    <row r="760" customFormat="false" ht="15" hidden="false" customHeight="false" outlineLevel="0" collapsed="false">
      <c r="A760" s="17" t="n">
        <v>756</v>
      </c>
      <c r="B760" s="12" t="s">
        <v>1215</v>
      </c>
      <c r="C760" s="12" t="s">
        <v>1216</v>
      </c>
      <c r="D760" s="16" t="n">
        <v>0.00287835648148148</v>
      </c>
      <c r="E760" s="15" t="n">
        <f aca="false">ROUND((D760-$D$5)*86400,2)</f>
        <v>23.66</v>
      </c>
      <c r="F760" s="17" t="n">
        <v>723</v>
      </c>
      <c r="G760" s="16" t="n">
        <f aca="false">IF(INDEX(選手一覧!$D$7:$D$2738,$F760)="","",INDEX(選手一覧!$D$7:$D$2738,$F760))</f>
        <v>0.0107907407407407</v>
      </c>
      <c r="H760" s="17" t="n">
        <f aca="false">IF(INDEX(選手一覧!$E$7:$E$2738,$F760)="","",INDEX(選手一覧!$E$7:$E$2738,$F760))</f>
        <v>724</v>
      </c>
      <c r="I760" s="16" t="str">
        <f aca="false">IF(INDEX(選手一覧!$H$7:$H$2738,$F760)="","",INDEX(選手一覧!$H$7:$H$2738,$F760))</f>
        <v/>
      </c>
      <c r="J760" s="17" t="str">
        <f aca="false">IF(INDEX(選手一覧!$I$7:$I$2738,$F760)="","",INDEX(選手一覧!$I$7:$I$2738,$F760))</f>
        <v/>
      </c>
    </row>
    <row r="761" customFormat="false" ht="15" hidden="false" customHeight="false" outlineLevel="0" collapsed="false">
      <c r="A761" s="17" t="n">
        <v>757</v>
      </c>
      <c r="B761" s="12" t="s">
        <v>778</v>
      </c>
      <c r="C761" s="12" t="s">
        <v>779</v>
      </c>
      <c r="D761" s="16" t="n">
        <v>0.00287847222222222</v>
      </c>
      <c r="E761" s="15" t="n">
        <f aca="false">ROUND((D761-$D$5)*86400,2)</f>
        <v>23.67</v>
      </c>
      <c r="F761" s="17" t="n">
        <v>434</v>
      </c>
      <c r="G761" s="16" t="n">
        <f aca="false">IF(INDEX(選手一覧!$D$7:$D$2738,$F761)="","",INDEX(選手一覧!$D$7:$D$2738,$F761))</f>
        <v>0.0105814814814815</v>
      </c>
      <c r="H761" s="17" t="n">
        <f aca="false">IF(INDEX(選手一覧!$E$7:$E$2738,$F761)="","",INDEX(選手一覧!$E$7:$E$2738,$F761))</f>
        <v>435</v>
      </c>
      <c r="I761" s="16" t="str">
        <f aca="false">IF(INDEX(選手一覧!$H$7:$H$2738,$F761)="","",INDEX(選手一覧!$H$7:$H$2738,$F761))</f>
        <v/>
      </c>
      <c r="J761" s="17" t="str">
        <f aca="false">IF(INDEX(選手一覧!$I$7:$I$2738,$F761)="","",INDEX(選手一覧!$I$7:$I$2738,$F761))</f>
        <v/>
      </c>
    </row>
    <row r="762" customFormat="false" ht="15" hidden="false" customHeight="false" outlineLevel="0" collapsed="false">
      <c r="A762" s="17" t="n">
        <v>758</v>
      </c>
      <c r="B762" s="12" t="s">
        <v>2935</v>
      </c>
      <c r="C762" s="12" t="s">
        <v>2936</v>
      </c>
      <c r="D762" s="16" t="n">
        <v>0.00287847222222222</v>
      </c>
      <c r="E762" s="15" t="n">
        <f aca="false">ROUND((D762-$D$5)*86400,2)</f>
        <v>23.67</v>
      </c>
      <c r="F762" s="17" t="n">
        <v>1880</v>
      </c>
      <c r="G762" s="16" t="str">
        <f aca="false">IF(INDEX(選手一覧!$D$7:$D$2738,$F762)="","",INDEX(選手一覧!$D$7:$D$2738,$F762))</f>
        <v/>
      </c>
      <c r="H762" s="17" t="str">
        <f aca="false">IF(INDEX(選手一覧!$E$7:$E$2738,$F762)="","",INDEX(選手一覧!$E$7:$E$2738,$F762))</f>
        <v/>
      </c>
      <c r="I762" s="16" t="str">
        <f aca="false">IF(INDEX(選手一覧!$H$7:$H$2738,$F762)="","",INDEX(選手一覧!$H$7:$H$2738,$F762))</f>
        <v/>
      </c>
      <c r="J762" s="17" t="str">
        <f aca="false">IF(INDEX(選手一覧!$I$7:$I$2738,$F762)="","",INDEX(選手一覧!$I$7:$I$2738,$F762))</f>
        <v/>
      </c>
    </row>
    <row r="763" customFormat="false" ht="15" hidden="false" customHeight="false" outlineLevel="0" collapsed="false">
      <c r="A763" s="17" t="n">
        <v>759</v>
      </c>
      <c r="B763" s="12" t="s">
        <v>1539</v>
      </c>
      <c r="C763" s="12" t="s">
        <v>1540</v>
      </c>
      <c r="D763" s="16" t="n">
        <v>0.00287858796296296</v>
      </c>
      <c r="E763" s="15" t="n">
        <f aca="false">ROUND((D763-$D$5)*86400,2)</f>
        <v>23.68</v>
      </c>
      <c r="F763" s="17" t="n">
        <v>938</v>
      </c>
      <c r="G763" s="16" t="n">
        <f aca="false">IF(INDEX(選手一覧!$D$7:$D$2738,$F763)="","",INDEX(選手一覧!$D$7:$D$2738,$F763))</f>
        <v>0.0109113425925926</v>
      </c>
      <c r="H763" s="17" t="n">
        <f aca="false">IF(INDEX(選手一覧!$E$7:$E$2738,$F763)="","",INDEX(選手一覧!$E$7:$E$2738,$F763))</f>
        <v>939</v>
      </c>
      <c r="I763" s="16" t="str">
        <f aca="false">IF(INDEX(選手一覧!$H$7:$H$2738,$F763)="","",INDEX(選手一覧!$H$7:$H$2738,$F763))</f>
        <v/>
      </c>
      <c r="J763" s="17" t="str">
        <f aca="false">IF(INDEX(選手一覧!$I$7:$I$2738,$F763)="","",INDEX(選手一覧!$I$7:$I$2738,$F763))</f>
        <v/>
      </c>
    </row>
    <row r="764" customFormat="false" ht="15" hidden="false" customHeight="false" outlineLevel="0" collapsed="false">
      <c r="A764" s="17" t="n">
        <v>760</v>
      </c>
      <c r="B764" s="12" t="s">
        <v>2939</v>
      </c>
      <c r="C764" s="12" t="s">
        <v>2940</v>
      </c>
      <c r="D764" s="16" t="n">
        <v>0.0028787037037037</v>
      </c>
      <c r="E764" s="15" t="n">
        <f aca="false">ROUND((D764-$D$5)*86400,2)</f>
        <v>23.69</v>
      </c>
      <c r="F764" s="17" t="n">
        <v>1882</v>
      </c>
      <c r="G764" s="16" t="str">
        <f aca="false">IF(INDEX(選手一覧!$D$7:$D$2738,$F764)="","",INDEX(選手一覧!$D$7:$D$2738,$F764))</f>
        <v/>
      </c>
      <c r="H764" s="17" t="str">
        <f aca="false">IF(INDEX(選手一覧!$E$7:$E$2738,$F764)="","",INDEX(選手一覧!$E$7:$E$2738,$F764))</f>
        <v/>
      </c>
      <c r="I764" s="16" t="str">
        <f aca="false">IF(INDEX(選手一覧!$H$7:$H$2738,$F764)="","",INDEX(選手一覧!$H$7:$H$2738,$F764))</f>
        <v/>
      </c>
      <c r="J764" s="17" t="str">
        <f aca="false">IF(INDEX(選手一覧!$I$7:$I$2738,$F764)="","",INDEX(選手一覧!$I$7:$I$2738,$F764))</f>
        <v/>
      </c>
    </row>
    <row r="765" customFormat="false" ht="15" hidden="false" customHeight="false" outlineLevel="0" collapsed="false">
      <c r="A765" s="17" t="n">
        <v>761</v>
      </c>
      <c r="B765" s="12" t="s">
        <v>1867</v>
      </c>
      <c r="C765" s="12" t="s">
        <v>157</v>
      </c>
      <c r="D765" s="16" t="n">
        <v>0.00287893518518519</v>
      </c>
      <c r="E765" s="15" t="n">
        <f aca="false">ROUND((D765-$D$5)*86400,2)</f>
        <v>23.71</v>
      </c>
      <c r="F765" s="17" t="n">
        <v>1159</v>
      </c>
      <c r="G765" s="16" t="n">
        <f aca="false">IF(INDEX(選手一覧!$D$7:$D$2738,$F765)="","",INDEX(選手一覧!$D$7:$D$2738,$F765))</f>
        <v>0.0110341435185185</v>
      </c>
      <c r="H765" s="17" t="n">
        <f aca="false">IF(INDEX(選手一覧!$E$7:$E$2738,$F765)="","",INDEX(選手一覧!$E$7:$E$2738,$F765))</f>
        <v>1160</v>
      </c>
      <c r="I765" s="16" t="str">
        <f aca="false">IF(INDEX(選手一覧!$H$7:$H$2738,$F765)="","",INDEX(選手一覧!$H$7:$H$2738,$F765))</f>
        <v/>
      </c>
      <c r="J765" s="17" t="str">
        <f aca="false">IF(INDEX(選手一覧!$I$7:$I$2738,$F765)="","",INDEX(選手一覧!$I$7:$I$2738,$F765))</f>
        <v/>
      </c>
    </row>
    <row r="766" customFormat="false" ht="15" hidden="false" customHeight="false" outlineLevel="0" collapsed="false">
      <c r="A766" s="17" t="n">
        <v>762</v>
      </c>
      <c r="B766" s="12" t="s">
        <v>2943</v>
      </c>
      <c r="C766" s="12" t="s">
        <v>269</v>
      </c>
      <c r="D766" s="16" t="n">
        <v>0.00287905092592593</v>
      </c>
      <c r="E766" s="15" t="n">
        <f aca="false">ROUND((D766-$D$5)*86400,2)</f>
        <v>23.72</v>
      </c>
      <c r="F766" s="17" t="n">
        <v>1885</v>
      </c>
      <c r="G766" s="16" t="str">
        <f aca="false">IF(INDEX(選手一覧!$D$7:$D$2738,$F766)="","",INDEX(選手一覧!$D$7:$D$2738,$F766))</f>
        <v/>
      </c>
      <c r="H766" s="17" t="str">
        <f aca="false">IF(INDEX(選手一覧!$E$7:$E$2738,$F766)="","",INDEX(選手一覧!$E$7:$E$2738,$F766))</f>
        <v/>
      </c>
      <c r="I766" s="16" t="str">
        <f aca="false">IF(INDEX(選手一覧!$H$7:$H$2738,$F766)="","",INDEX(選手一覧!$H$7:$H$2738,$F766))</f>
        <v/>
      </c>
      <c r="J766" s="17" t="str">
        <f aca="false">IF(INDEX(選手一覧!$I$7:$I$2738,$F766)="","",INDEX(選手一覧!$I$7:$I$2738,$F766))</f>
        <v/>
      </c>
    </row>
    <row r="767" customFormat="false" ht="15" hidden="false" customHeight="false" outlineLevel="0" collapsed="false">
      <c r="A767" s="17" t="n">
        <v>763</v>
      </c>
      <c r="B767" s="12" t="s">
        <v>2946</v>
      </c>
      <c r="C767" s="12" t="s">
        <v>980</v>
      </c>
      <c r="D767" s="16" t="n">
        <v>0.00287916666666667</v>
      </c>
      <c r="E767" s="15" t="n">
        <f aca="false">ROUND((D767-$D$5)*86400,2)</f>
        <v>23.73</v>
      </c>
      <c r="F767" s="17" t="n">
        <v>1887</v>
      </c>
      <c r="G767" s="16" t="str">
        <f aca="false">IF(INDEX(選手一覧!$D$7:$D$2738,$F767)="","",INDEX(選手一覧!$D$7:$D$2738,$F767))</f>
        <v/>
      </c>
      <c r="H767" s="17" t="str">
        <f aca="false">IF(INDEX(選手一覧!$E$7:$E$2738,$F767)="","",INDEX(選手一覧!$E$7:$E$2738,$F767))</f>
        <v/>
      </c>
      <c r="I767" s="16" t="str">
        <f aca="false">IF(INDEX(選手一覧!$H$7:$H$2738,$F767)="","",INDEX(選手一覧!$H$7:$H$2738,$F767))</f>
        <v/>
      </c>
      <c r="J767" s="17" t="str">
        <f aca="false">IF(INDEX(選手一覧!$I$7:$I$2738,$F767)="","",INDEX(選手一覧!$I$7:$I$2738,$F767))</f>
        <v/>
      </c>
    </row>
    <row r="768" customFormat="false" ht="15" hidden="false" customHeight="false" outlineLevel="0" collapsed="false">
      <c r="A768" s="17" t="n">
        <v>764</v>
      </c>
      <c r="B768" s="12" t="s">
        <v>2948</v>
      </c>
      <c r="C768" s="12" t="s">
        <v>157</v>
      </c>
      <c r="D768" s="16" t="n">
        <v>0.00287916666666667</v>
      </c>
      <c r="E768" s="15" t="n">
        <f aca="false">ROUND((D768-$D$5)*86400,2)</f>
        <v>23.73</v>
      </c>
      <c r="F768" s="17" t="n">
        <v>1889</v>
      </c>
      <c r="G768" s="16" t="str">
        <f aca="false">IF(INDEX(選手一覧!$D$7:$D$2738,$F768)="","",INDEX(選手一覧!$D$7:$D$2738,$F768))</f>
        <v/>
      </c>
      <c r="H768" s="17" t="str">
        <f aca="false">IF(INDEX(選手一覧!$E$7:$E$2738,$F768)="","",INDEX(選手一覧!$E$7:$E$2738,$F768))</f>
        <v/>
      </c>
      <c r="I768" s="16" t="str">
        <f aca="false">IF(INDEX(選手一覧!$H$7:$H$2738,$F768)="","",INDEX(選手一覧!$H$7:$H$2738,$F768))</f>
        <v/>
      </c>
      <c r="J768" s="17" t="str">
        <f aca="false">IF(INDEX(選手一覧!$I$7:$I$2738,$F768)="","",INDEX(選手一覧!$I$7:$I$2738,$F768))</f>
        <v/>
      </c>
    </row>
    <row r="769" customFormat="false" ht="15" hidden="false" customHeight="false" outlineLevel="0" collapsed="false">
      <c r="A769" s="17" t="n">
        <v>765</v>
      </c>
      <c r="B769" s="12" t="s">
        <v>2949</v>
      </c>
      <c r="C769" s="12" t="s">
        <v>159</v>
      </c>
      <c r="D769" s="16" t="n">
        <v>0.00287951388888889</v>
      </c>
      <c r="E769" s="15" t="n">
        <f aca="false">ROUND((D769-$D$5)*86400,2)</f>
        <v>23.76</v>
      </c>
      <c r="F769" s="17" t="n">
        <v>1890</v>
      </c>
      <c r="G769" s="16" t="str">
        <f aca="false">IF(INDEX(選手一覧!$D$7:$D$2738,$F769)="","",INDEX(選手一覧!$D$7:$D$2738,$F769))</f>
        <v/>
      </c>
      <c r="H769" s="17" t="str">
        <f aca="false">IF(INDEX(選手一覧!$E$7:$E$2738,$F769)="","",INDEX(選手一覧!$E$7:$E$2738,$F769))</f>
        <v/>
      </c>
      <c r="I769" s="16" t="str">
        <f aca="false">IF(INDEX(選手一覧!$H$7:$H$2738,$F769)="","",INDEX(選手一覧!$H$7:$H$2738,$F769))</f>
        <v/>
      </c>
      <c r="J769" s="17" t="str">
        <f aca="false">IF(INDEX(選手一覧!$I$7:$I$2738,$F769)="","",INDEX(選手一覧!$I$7:$I$2738,$F769))</f>
        <v/>
      </c>
    </row>
    <row r="770" customFormat="false" ht="15" hidden="false" customHeight="false" outlineLevel="0" collapsed="false">
      <c r="A770" s="17" t="n">
        <v>766</v>
      </c>
      <c r="B770" s="12" t="s">
        <v>2952</v>
      </c>
      <c r="C770" s="12" t="s">
        <v>290</v>
      </c>
      <c r="D770" s="16" t="n">
        <v>0.00287974537037037</v>
      </c>
      <c r="E770" s="15" t="n">
        <f aca="false">ROUND((D770-$D$5)*86400,2)</f>
        <v>23.78</v>
      </c>
      <c r="F770" s="17" t="n">
        <v>1892</v>
      </c>
      <c r="G770" s="16" t="str">
        <f aca="false">IF(INDEX(選手一覧!$D$7:$D$2738,$F770)="","",INDEX(選手一覧!$D$7:$D$2738,$F770))</f>
        <v/>
      </c>
      <c r="H770" s="17" t="str">
        <f aca="false">IF(INDEX(選手一覧!$E$7:$E$2738,$F770)="","",INDEX(選手一覧!$E$7:$E$2738,$F770))</f>
        <v/>
      </c>
      <c r="I770" s="16" t="str">
        <f aca="false">IF(INDEX(選手一覧!$H$7:$H$2738,$F770)="","",INDEX(選手一覧!$H$7:$H$2738,$F770))</f>
        <v/>
      </c>
      <c r="J770" s="17" t="str">
        <f aca="false">IF(INDEX(選手一覧!$I$7:$I$2738,$F770)="","",INDEX(選手一覧!$I$7:$I$2738,$F770))</f>
        <v/>
      </c>
    </row>
    <row r="771" customFormat="false" ht="15" hidden="false" customHeight="false" outlineLevel="0" collapsed="false">
      <c r="A771" s="17" t="n">
        <v>767</v>
      </c>
      <c r="B771" s="12" t="s">
        <v>2954</v>
      </c>
      <c r="C771" s="12" t="s">
        <v>875</v>
      </c>
      <c r="D771" s="16" t="n">
        <v>0.00287974537037037</v>
      </c>
      <c r="E771" s="15" t="n">
        <f aca="false">ROUND((D771-$D$5)*86400,2)</f>
        <v>23.78</v>
      </c>
      <c r="F771" s="17" t="n">
        <v>1894</v>
      </c>
      <c r="G771" s="16" t="str">
        <f aca="false">IF(INDEX(選手一覧!$D$7:$D$2738,$F771)="","",INDEX(選手一覧!$D$7:$D$2738,$F771))</f>
        <v/>
      </c>
      <c r="H771" s="17" t="str">
        <f aca="false">IF(INDEX(選手一覧!$E$7:$E$2738,$F771)="","",INDEX(選手一覧!$E$7:$E$2738,$F771))</f>
        <v/>
      </c>
      <c r="I771" s="16" t="str">
        <f aca="false">IF(INDEX(選手一覧!$H$7:$H$2738,$F771)="","",INDEX(選手一覧!$H$7:$H$2738,$F771))</f>
        <v/>
      </c>
      <c r="J771" s="17" t="str">
        <f aca="false">IF(INDEX(選手一覧!$I$7:$I$2738,$F771)="","",INDEX(選手一覧!$I$7:$I$2738,$F771))</f>
        <v/>
      </c>
    </row>
    <row r="772" customFormat="false" ht="15" hidden="false" customHeight="false" outlineLevel="0" collapsed="false">
      <c r="A772" s="17" t="n">
        <v>768</v>
      </c>
      <c r="B772" s="12" t="s">
        <v>2840</v>
      </c>
      <c r="C772" s="12" t="s">
        <v>1803</v>
      </c>
      <c r="D772" s="16" t="n">
        <v>0.00287974537037037</v>
      </c>
      <c r="E772" s="15" t="n">
        <f aca="false">ROUND((D772-$D$5)*86400,2)</f>
        <v>23.78</v>
      </c>
      <c r="F772" s="17" t="n">
        <v>1821</v>
      </c>
      <c r="G772" s="16" t="str">
        <f aca="false">IF(INDEX(選手一覧!$D$7:$D$2738,$F772)="","",INDEX(選手一覧!$D$7:$D$2738,$F772))</f>
        <v/>
      </c>
      <c r="H772" s="17" t="str">
        <f aca="false">IF(INDEX(選手一覧!$E$7:$E$2738,$F772)="","",INDEX(選手一覧!$E$7:$E$2738,$F772))</f>
        <v/>
      </c>
      <c r="I772" s="16" t="n">
        <f aca="false">IF(INDEX(選手一覧!$H$7:$H$2738,$F772)="","",INDEX(選手一覧!$H$7:$H$2738,$F772))</f>
        <v>0.00735289351851852</v>
      </c>
      <c r="J772" s="17" t="n">
        <f aca="false">IF(INDEX(選手一覧!$I$7:$I$2738,$F772)="","",INDEX(選手一覧!$I$7:$I$2738,$F772))</f>
        <v>713</v>
      </c>
    </row>
    <row r="773" customFormat="false" ht="15" hidden="false" customHeight="false" outlineLevel="0" collapsed="false">
      <c r="A773" s="17" t="n">
        <v>769</v>
      </c>
      <c r="B773" s="12" t="s">
        <v>774</v>
      </c>
      <c r="C773" s="12" t="s">
        <v>123</v>
      </c>
      <c r="D773" s="16" t="n">
        <v>0.00287986111111111</v>
      </c>
      <c r="E773" s="15" t="n">
        <f aca="false">ROUND((D773-$D$5)*86400,2)</f>
        <v>23.79</v>
      </c>
      <c r="F773" s="17" t="n">
        <v>432</v>
      </c>
      <c r="G773" s="16" t="n">
        <f aca="false">IF(INDEX(選手一覧!$D$7:$D$2738,$F773)="","",INDEX(選手一覧!$D$7:$D$2738,$F773))</f>
        <v>0.0105804398148148</v>
      </c>
      <c r="H773" s="17" t="n">
        <f aca="false">IF(INDEX(選手一覧!$E$7:$E$2738,$F773)="","",INDEX(選手一覧!$E$7:$E$2738,$F773))</f>
        <v>433</v>
      </c>
      <c r="I773" s="16" t="n">
        <f aca="false">IF(INDEX(選手一覧!$H$7:$H$2738,$F773)="","",INDEX(選手一覧!$H$7:$H$2738,$F773))</f>
        <v>0.00656412037037037</v>
      </c>
      <c r="J773" s="17" t="n">
        <f aca="false">IF(INDEX(選手一覧!$I$7:$I$2738,$F773)="","",INDEX(選手一覧!$I$7:$I$2738,$F773))</f>
        <v>53</v>
      </c>
    </row>
    <row r="774" customFormat="false" ht="15" hidden="false" customHeight="false" outlineLevel="0" collapsed="false">
      <c r="A774" s="17" t="n">
        <v>770</v>
      </c>
      <c r="B774" s="12" t="s">
        <v>1080</v>
      </c>
      <c r="C774" s="12" t="s">
        <v>77</v>
      </c>
      <c r="D774" s="16" t="n">
        <v>0.00287986111111111</v>
      </c>
      <c r="E774" s="15" t="n">
        <f aca="false">ROUND((D774-$D$5)*86400,2)</f>
        <v>23.79</v>
      </c>
      <c r="F774" s="17" t="n">
        <v>635</v>
      </c>
      <c r="G774" s="16" t="n">
        <f aca="false">IF(INDEX(選手一覧!$D$7:$D$2738,$F774)="","",INDEX(選手一覧!$D$7:$D$2738,$F774))</f>
        <v>0.0107318287037037</v>
      </c>
      <c r="H774" s="17" t="n">
        <f aca="false">IF(INDEX(選手一覧!$E$7:$E$2738,$F774)="","",INDEX(選手一覧!$E$7:$E$2738,$F774))</f>
        <v>636</v>
      </c>
      <c r="I774" s="16" t="n">
        <f aca="false">IF(INDEX(選手一覧!$H$7:$H$2738,$F774)="","",INDEX(選手一覧!$H$7:$H$2738,$F774))</f>
        <v>0.00653611111111111</v>
      </c>
      <c r="J774" s="17" t="n">
        <f aca="false">IF(INDEX(選手一覧!$I$7:$I$2738,$F774)="","",INDEX(選手一覧!$I$7:$I$2738,$F774))</f>
        <v>41</v>
      </c>
    </row>
    <row r="775" customFormat="false" ht="15" hidden="false" customHeight="false" outlineLevel="0" collapsed="false">
      <c r="A775" s="17" t="n">
        <v>771</v>
      </c>
      <c r="B775" s="12" t="s">
        <v>1460</v>
      </c>
      <c r="C775" s="12" t="s">
        <v>1461</v>
      </c>
      <c r="D775" s="16" t="n">
        <v>0.00287986111111111</v>
      </c>
      <c r="E775" s="15" t="n">
        <f aca="false">ROUND((D775-$D$5)*86400,2)</f>
        <v>23.79</v>
      </c>
      <c r="F775" s="17" t="n">
        <v>885</v>
      </c>
      <c r="G775" s="16" t="n">
        <f aca="false">IF(INDEX(選手一覧!$D$7:$D$2738,$F775)="","",INDEX(選手一覧!$D$7:$D$2738,$F775))</f>
        <v>0.0108791666666667</v>
      </c>
      <c r="H775" s="17" t="n">
        <f aca="false">IF(INDEX(選手一覧!$E$7:$E$2738,$F775)="","",INDEX(選手一覧!$E$7:$E$2738,$F775))</f>
        <v>886</v>
      </c>
      <c r="I775" s="16" t="str">
        <f aca="false">IF(INDEX(選手一覧!$H$7:$H$2738,$F775)="","",INDEX(選手一覧!$H$7:$H$2738,$F775))</f>
        <v/>
      </c>
      <c r="J775" s="17" t="str">
        <f aca="false">IF(INDEX(選手一覧!$I$7:$I$2738,$F775)="","",INDEX(選手一覧!$I$7:$I$2738,$F775))</f>
        <v/>
      </c>
    </row>
    <row r="776" customFormat="false" ht="15" hidden="false" customHeight="false" outlineLevel="0" collapsed="false">
      <c r="A776" s="17" t="n">
        <v>772</v>
      </c>
      <c r="B776" s="12" t="s">
        <v>2963</v>
      </c>
      <c r="C776" s="12" t="s">
        <v>2793</v>
      </c>
      <c r="D776" s="16" t="n">
        <v>0.00288032407407407</v>
      </c>
      <c r="E776" s="15" t="n">
        <f aca="false">ROUND((D776-$D$5)*86400,2)</f>
        <v>23.83</v>
      </c>
      <c r="F776" s="17" t="n">
        <v>1900</v>
      </c>
      <c r="G776" s="16" t="str">
        <f aca="false">IF(INDEX(選手一覧!$D$7:$D$2738,$F776)="","",INDEX(選手一覧!$D$7:$D$2738,$F776))</f>
        <v/>
      </c>
      <c r="H776" s="17" t="str">
        <f aca="false">IF(INDEX(選手一覧!$E$7:$E$2738,$F776)="","",INDEX(選手一覧!$E$7:$E$2738,$F776))</f>
        <v/>
      </c>
      <c r="I776" s="16" t="str">
        <f aca="false">IF(INDEX(選手一覧!$H$7:$H$2738,$F776)="","",INDEX(選手一覧!$H$7:$H$2738,$F776))</f>
        <v/>
      </c>
      <c r="J776" s="17" t="str">
        <f aca="false">IF(INDEX(選手一覧!$I$7:$I$2738,$F776)="","",INDEX(選手一覧!$I$7:$I$2738,$F776))</f>
        <v/>
      </c>
    </row>
    <row r="777" customFormat="false" ht="15" hidden="false" customHeight="false" outlineLevel="0" collapsed="false">
      <c r="A777" s="17" t="n">
        <v>773</v>
      </c>
      <c r="B777" s="12" t="s">
        <v>2964</v>
      </c>
      <c r="C777" s="12" t="s">
        <v>2965</v>
      </c>
      <c r="D777" s="16" t="n">
        <v>0.00288032407407407</v>
      </c>
      <c r="E777" s="15" t="n">
        <f aca="false">ROUND((D777-$D$5)*86400,2)</f>
        <v>23.83</v>
      </c>
      <c r="F777" s="17" t="n">
        <v>1901</v>
      </c>
      <c r="G777" s="16" t="str">
        <f aca="false">IF(INDEX(選手一覧!$D$7:$D$2738,$F777)="","",INDEX(選手一覧!$D$7:$D$2738,$F777))</f>
        <v/>
      </c>
      <c r="H777" s="17" t="str">
        <f aca="false">IF(INDEX(選手一覧!$E$7:$E$2738,$F777)="","",INDEX(選手一覧!$E$7:$E$2738,$F777))</f>
        <v/>
      </c>
      <c r="I777" s="16" t="str">
        <f aca="false">IF(INDEX(選手一覧!$H$7:$H$2738,$F777)="","",INDEX(選手一覧!$H$7:$H$2738,$F777))</f>
        <v/>
      </c>
      <c r="J777" s="17" t="str">
        <f aca="false">IF(INDEX(選手一覧!$I$7:$I$2738,$F777)="","",INDEX(選手一覧!$I$7:$I$2738,$F777))</f>
        <v/>
      </c>
    </row>
    <row r="778" customFormat="false" ht="15" hidden="false" customHeight="false" outlineLevel="0" collapsed="false">
      <c r="A778" s="17" t="n">
        <v>774</v>
      </c>
      <c r="B778" s="12" t="s">
        <v>2968</v>
      </c>
      <c r="C778" s="12" t="s">
        <v>1229</v>
      </c>
      <c r="D778" s="16" t="n">
        <v>0.00288055555555556</v>
      </c>
      <c r="E778" s="15" t="n">
        <f aca="false">ROUND((D778-$D$5)*86400,2)</f>
        <v>23.85</v>
      </c>
      <c r="F778" s="17" t="n">
        <v>1903</v>
      </c>
      <c r="G778" s="16" t="str">
        <f aca="false">IF(INDEX(選手一覧!$D$7:$D$2738,$F778)="","",INDEX(選手一覧!$D$7:$D$2738,$F778))</f>
        <v/>
      </c>
      <c r="H778" s="17" t="str">
        <f aca="false">IF(INDEX(選手一覧!$E$7:$E$2738,$F778)="","",INDEX(選手一覧!$E$7:$E$2738,$F778))</f>
        <v/>
      </c>
      <c r="I778" s="16" t="str">
        <f aca="false">IF(INDEX(選手一覧!$H$7:$H$2738,$F778)="","",INDEX(選手一覧!$H$7:$H$2738,$F778))</f>
        <v/>
      </c>
      <c r="J778" s="17" t="str">
        <f aca="false">IF(INDEX(選手一覧!$I$7:$I$2738,$F778)="","",INDEX(選手一覧!$I$7:$I$2738,$F778))</f>
        <v/>
      </c>
    </row>
    <row r="779" customFormat="false" ht="15" hidden="false" customHeight="false" outlineLevel="0" collapsed="false">
      <c r="A779" s="17" t="n">
        <v>775</v>
      </c>
      <c r="B779" s="12" t="s">
        <v>1584</v>
      </c>
      <c r="C779" s="12" t="s">
        <v>159</v>
      </c>
      <c r="D779" s="16" t="n">
        <v>0.0028806712962963</v>
      </c>
      <c r="E779" s="15" t="n">
        <f aca="false">ROUND((D779-$D$5)*86400,2)</f>
        <v>23.86</v>
      </c>
      <c r="F779" s="17" t="n">
        <v>970</v>
      </c>
      <c r="G779" s="16" t="n">
        <f aca="false">IF(INDEX(選手一覧!$D$7:$D$2738,$F779)="","",INDEX(選手一覧!$D$7:$D$2738,$F779))</f>
        <v>0.0109322916666667</v>
      </c>
      <c r="H779" s="17" t="n">
        <f aca="false">IF(INDEX(選手一覧!$E$7:$E$2738,$F779)="","",INDEX(選手一覧!$E$7:$E$2738,$F779))</f>
        <v>971</v>
      </c>
      <c r="I779" s="16" t="n">
        <f aca="false">IF(INDEX(選手一覧!$H$7:$H$2738,$F779)="","",INDEX(選手一覧!$H$7:$H$2738,$F779))</f>
        <v>0.00676782407407408</v>
      </c>
      <c r="J779" s="17" t="n">
        <f aca="false">IF(INDEX(選手一覧!$I$7:$I$2738,$F779)="","",INDEX(選手一覧!$I$7:$I$2738,$F779))</f>
        <v>146</v>
      </c>
    </row>
    <row r="780" customFormat="false" ht="15" hidden="false" customHeight="false" outlineLevel="0" collapsed="false">
      <c r="A780" s="17" t="n">
        <v>776</v>
      </c>
      <c r="B780" s="12" t="s">
        <v>2972</v>
      </c>
      <c r="C780" s="12" t="s">
        <v>1637</v>
      </c>
      <c r="D780" s="16" t="n">
        <v>0.00288090277777778</v>
      </c>
      <c r="E780" s="15" t="n">
        <f aca="false">ROUND((D780-$D$5)*86400,2)</f>
        <v>23.88</v>
      </c>
      <c r="F780" s="17" t="n">
        <v>1906</v>
      </c>
      <c r="G780" s="16" t="str">
        <f aca="false">IF(INDEX(選手一覧!$D$7:$D$2738,$F780)="","",INDEX(選手一覧!$D$7:$D$2738,$F780))</f>
        <v/>
      </c>
      <c r="H780" s="17" t="str">
        <f aca="false">IF(INDEX(選手一覧!$E$7:$E$2738,$F780)="","",INDEX(選手一覧!$E$7:$E$2738,$F780))</f>
        <v/>
      </c>
      <c r="I780" s="16" t="str">
        <f aca="false">IF(INDEX(選手一覧!$H$7:$H$2738,$F780)="","",INDEX(選手一覧!$H$7:$H$2738,$F780))</f>
        <v/>
      </c>
      <c r="J780" s="17" t="str">
        <f aca="false">IF(INDEX(選手一覧!$I$7:$I$2738,$F780)="","",INDEX(選手一覧!$I$7:$I$2738,$F780))</f>
        <v/>
      </c>
    </row>
    <row r="781" customFormat="false" ht="15" hidden="false" customHeight="false" outlineLevel="0" collapsed="false">
      <c r="A781" s="17" t="n">
        <v>777</v>
      </c>
      <c r="B781" s="12" t="s">
        <v>948</v>
      </c>
      <c r="C781" s="12" t="s">
        <v>949</v>
      </c>
      <c r="D781" s="16" t="n">
        <v>0.00288101851851852</v>
      </c>
      <c r="E781" s="15" t="n">
        <f aca="false">ROUND((D781-$D$5)*86400,2)</f>
        <v>23.89</v>
      </c>
      <c r="F781" s="17" t="n">
        <v>541</v>
      </c>
      <c r="G781" s="16" t="n">
        <f aca="false">IF(INDEX(選手一覧!$D$7:$D$2738,$F781)="","",INDEX(選手一覧!$D$7:$D$2738,$F781))</f>
        <v>0.0106663194444445</v>
      </c>
      <c r="H781" s="17" t="n">
        <f aca="false">IF(INDEX(選手一覧!$E$7:$E$2738,$F781)="","",INDEX(選手一覧!$E$7:$E$2738,$F781))</f>
        <v>542</v>
      </c>
      <c r="I781" s="16" t="str">
        <f aca="false">IF(INDEX(選手一覧!$H$7:$H$2738,$F781)="","",INDEX(選手一覧!$H$7:$H$2738,$F781))</f>
        <v/>
      </c>
      <c r="J781" s="17" t="str">
        <f aca="false">IF(INDEX(選手一覧!$I$7:$I$2738,$F781)="","",INDEX(選手一覧!$I$7:$I$2738,$F781))</f>
        <v/>
      </c>
    </row>
    <row r="782" customFormat="false" ht="15" hidden="false" customHeight="false" outlineLevel="0" collapsed="false">
      <c r="A782" s="17" t="n">
        <v>778</v>
      </c>
      <c r="B782" s="12" t="s">
        <v>309</v>
      </c>
      <c r="C782" s="12" t="s">
        <v>207</v>
      </c>
      <c r="D782" s="16" t="n">
        <v>0.00288113425925926</v>
      </c>
      <c r="E782" s="15" t="n">
        <f aca="false">ROUND((D782-$D$5)*86400,2)</f>
        <v>23.9</v>
      </c>
      <c r="F782" s="17" t="n">
        <v>148</v>
      </c>
      <c r="G782" s="16" t="n">
        <f aca="false">IF(INDEX(選手一覧!$D$7:$D$2738,$F782)="","",INDEX(選手一覧!$D$7:$D$2738,$F782))</f>
        <v>0.0102820601851852</v>
      </c>
      <c r="H782" s="17" t="n">
        <f aca="false">IF(INDEX(選手一覧!$E$7:$E$2738,$F782)="","",INDEX(選手一覧!$E$7:$E$2738,$F782))</f>
        <v>149</v>
      </c>
      <c r="I782" s="16" t="n">
        <f aca="false">IF(INDEX(選手一覧!$H$7:$H$2738,$F782)="","",INDEX(選手一覧!$H$7:$H$2738,$F782))</f>
        <v>0.00693680555555556</v>
      </c>
      <c r="J782" s="17" t="n">
        <f aca="false">IF(INDEX(選手一覧!$I$7:$I$2738,$F782)="","",INDEX(選手一覧!$I$7:$I$2738,$F782))</f>
        <v>280</v>
      </c>
    </row>
    <row r="783" customFormat="false" ht="15" hidden="false" customHeight="false" outlineLevel="0" collapsed="false">
      <c r="A783" s="17" t="n">
        <v>779</v>
      </c>
      <c r="B783" s="12" t="s">
        <v>2976</v>
      </c>
      <c r="C783" s="12" t="s">
        <v>1255</v>
      </c>
      <c r="D783" s="16" t="n">
        <v>0.00288113425925926</v>
      </c>
      <c r="E783" s="15" t="n">
        <f aca="false">ROUND((D783-$D$5)*86400,2)</f>
        <v>23.9</v>
      </c>
      <c r="F783" s="17" t="n">
        <v>1909</v>
      </c>
      <c r="G783" s="16" t="str">
        <f aca="false">IF(INDEX(選手一覧!$D$7:$D$2738,$F783)="","",INDEX(選手一覧!$D$7:$D$2738,$F783))</f>
        <v/>
      </c>
      <c r="H783" s="17" t="str">
        <f aca="false">IF(INDEX(選手一覧!$E$7:$E$2738,$F783)="","",INDEX(選手一覧!$E$7:$E$2738,$F783))</f>
        <v/>
      </c>
      <c r="I783" s="16" t="str">
        <f aca="false">IF(INDEX(選手一覧!$H$7:$H$2738,$F783)="","",INDEX(選手一覧!$H$7:$H$2738,$F783))</f>
        <v/>
      </c>
      <c r="J783" s="17" t="str">
        <f aca="false">IF(INDEX(選手一覧!$I$7:$I$2738,$F783)="","",INDEX(選手一覧!$I$7:$I$2738,$F783))</f>
        <v/>
      </c>
    </row>
    <row r="784" customFormat="false" ht="15" hidden="false" customHeight="false" outlineLevel="0" collapsed="false">
      <c r="A784" s="17" t="n">
        <v>780</v>
      </c>
      <c r="B784" s="12" t="s">
        <v>2978</v>
      </c>
      <c r="C784" s="12" t="s">
        <v>1705</v>
      </c>
      <c r="D784" s="16" t="n">
        <v>0.00288125</v>
      </c>
      <c r="E784" s="15" t="n">
        <f aca="false">ROUND((D784-$D$5)*86400,2)</f>
        <v>23.91</v>
      </c>
      <c r="F784" s="17" t="n">
        <v>1911</v>
      </c>
      <c r="G784" s="16" t="str">
        <f aca="false">IF(INDEX(選手一覧!$D$7:$D$2738,$F784)="","",INDEX(選手一覧!$D$7:$D$2738,$F784))</f>
        <v/>
      </c>
      <c r="H784" s="17" t="str">
        <f aca="false">IF(INDEX(選手一覧!$E$7:$E$2738,$F784)="","",INDEX(選手一覧!$E$7:$E$2738,$F784))</f>
        <v/>
      </c>
      <c r="I784" s="16" t="str">
        <f aca="false">IF(INDEX(選手一覧!$H$7:$H$2738,$F784)="","",INDEX(選手一覧!$H$7:$H$2738,$F784))</f>
        <v/>
      </c>
      <c r="J784" s="17" t="str">
        <f aca="false">IF(INDEX(選手一覧!$I$7:$I$2738,$F784)="","",INDEX(選手一覧!$I$7:$I$2738,$F784))</f>
        <v/>
      </c>
    </row>
    <row r="785" customFormat="false" ht="15" hidden="false" customHeight="false" outlineLevel="0" collapsed="false">
      <c r="A785" s="17" t="n">
        <v>781</v>
      </c>
      <c r="B785" s="12" t="s">
        <v>1592</v>
      </c>
      <c r="C785" s="12" t="s">
        <v>103</v>
      </c>
      <c r="D785" s="16" t="n">
        <v>0.00288136574074074</v>
      </c>
      <c r="E785" s="15" t="n">
        <f aca="false">ROUND((D785-$D$5)*86400,2)</f>
        <v>23.92</v>
      </c>
      <c r="F785" s="17" t="n">
        <v>975</v>
      </c>
      <c r="G785" s="16" t="n">
        <f aca="false">IF(INDEX(選手一覧!$D$7:$D$2738,$F785)="","",INDEX(選手一覧!$D$7:$D$2738,$F785))</f>
        <v>0.0109353009259259</v>
      </c>
      <c r="H785" s="17" t="n">
        <f aca="false">IF(INDEX(選手一覧!$E$7:$E$2738,$F785)="","",INDEX(選手一覧!$E$7:$E$2738,$F785))</f>
        <v>976</v>
      </c>
      <c r="I785" s="16" t="n">
        <f aca="false">IF(INDEX(選手一覧!$H$7:$H$2738,$F785)="","",INDEX(選手一覧!$H$7:$H$2738,$F785))</f>
        <v>0.00680972222222222</v>
      </c>
      <c r="J785" s="17" t="n">
        <f aca="false">IF(INDEX(選手一覧!$I$7:$I$2738,$F785)="","",INDEX(選手一覧!$I$7:$I$2738,$F785))</f>
        <v>180</v>
      </c>
    </row>
    <row r="786" customFormat="false" ht="15" hidden="false" customHeight="false" outlineLevel="0" collapsed="false">
      <c r="A786" s="17" t="n">
        <v>782</v>
      </c>
      <c r="B786" s="12" t="s">
        <v>2980</v>
      </c>
      <c r="C786" s="12" t="s">
        <v>1859</v>
      </c>
      <c r="D786" s="16" t="n">
        <v>0.00288136574074074</v>
      </c>
      <c r="E786" s="15" t="n">
        <f aca="false">ROUND((D786-$D$5)*86400,2)</f>
        <v>23.92</v>
      </c>
      <c r="F786" s="17" t="n">
        <v>1913</v>
      </c>
      <c r="G786" s="16" t="str">
        <f aca="false">IF(INDEX(選手一覧!$D$7:$D$2738,$F786)="","",INDEX(選手一覧!$D$7:$D$2738,$F786))</f>
        <v/>
      </c>
      <c r="H786" s="17" t="str">
        <f aca="false">IF(INDEX(選手一覧!$E$7:$E$2738,$F786)="","",INDEX(選手一覧!$E$7:$E$2738,$F786))</f>
        <v/>
      </c>
      <c r="I786" s="16" t="str">
        <f aca="false">IF(INDEX(選手一覧!$H$7:$H$2738,$F786)="","",INDEX(選手一覧!$H$7:$H$2738,$F786))</f>
        <v/>
      </c>
      <c r="J786" s="17" t="str">
        <f aca="false">IF(INDEX(選手一覧!$I$7:$I$2738,$F786)="","",INDEX(選手一覧!$I$7:$I$2738,$F786))</f>
        <v/>
      </c>
    </row>
    <row r="787" customFormat="false" ht="15" hidden="false" customHeight="false" outlineLevel="0" collapsed="false">
      <c r="A787" s="17" t="n">
        <v>783</v>
      </c>
      <c r="B787" s="12" t="s">
        <v>1543</v>
      </c>
      <c r="C787" s="12" t="s">
        <v>214</v>
      </c>
      <c r="D787" s="16" t="n">
        <v>0.00288148148148148</v>
      </c>
      <c r="E787" s="15" t="n">
        <f aca="false">ROUND((D787-$D$5)*86400,2)</f>
        <v>23.93</v>
      </c>
      <c r="F787" s="17" t="n">
        <v>941</v>
      </c>
      <c r="G787" s="16" t="n">
        <f aca="false">IF(INDEX(選手一覧!$D$7:$D$2738,$F787)="","",INDEX(選手一覧!$D$7:$D$2738,$F787))</f>
        <v>0.0109127314814815</v>
      </c>
      <c r="H787" s="17" t="n">
        <f aca="false">IF(INDEX(選手一覧!$E$7:$E$2738,$F787)="","",INDEX(選手一覧!$E$7:$E$2738,$F787))</f>
        <v>942</v>
      </c>
      <c r="I787" s="16" t="n">
        <f aca="false">IF(INDEX(選手一覧!$H$7:$H$2738,$F787)="","",INDEX(選手一覧!$H$7:$H$2738,$F787))</f>
        <v>0.00679247685185185</v>
      </c>
      <c r="J787" s="17" t="n">
        <f aca="false">IF(INDEX(選手一覧!$I$7:$I$2738,$F787)="","",INDEX(選手一覧!$I$7:$I$2738,$F787))</f>
        <v>164</v>
      </c>
    </row>
    <row r="788" customFormat="false" ht="15" hidden="false" customHeight="false" outlineLevel="0" collapsed="false">
      <c r="A788" s="17" t="n">
        <v>784</v>
      </c>
      <c r="B788" s="12" t="s">
        <v>446</v>
      </c>
      <c r="C788" s="12" t="s">
        <v>447</v>
      </c>
      <c r="D788" s="16" t="n">
        <v>0.00288148148148148</v>
      </c>
      <c r="E788" s="15" t="n">
        <f aca="false">ROUND((D788-$D$5)*86400,2)</f>
        <v>23.93</v>
      </c>
      <c r="F788" s="17" t="n">
        <v>228</v>
      </c>
      <c r="G788" s="16" t="n">
        <f aca="false">IF(INDEX(選手一覧!$D$7:$D$2738,$F788)="","",INDEX(選手一覧!$D$7:$D$2738,$F788))</f>
        <v>0.0103741898148148</v>
      </c>
      <c r="H788" s="17" t="n">
        <f aca="false">IF(INDEX(選手一覧!$E$7:$E$2738,$F788)="","",INDEX(選手一覧!$E$7:$E$2738,$F788))</f>
        <v>229</v>
      </c>
      <c r="I788" s="16" t="n">
        <f aca="false">IF(INDEX(選手一覧!$H$7:$H$2738,$F788)="","",INDEX(選手一覧!$H$7:$H$2738,$F788))</f>
        <v>0.00650520833333333</v>
      </c>
      <c r="J788" s="17" t="n">
        <f aca="false">IF(INDEX(選手一覧!$I$7:$I$2738,$F788)="","",INDEX(選手一覧!$I$7:$I$2738,$F788))</f>
        <v>37</v>
      </c>
    </row>
    <row r="789" customFormat="false" ht="15" hidden="false" customHeight="false" outlineLevel="0" collapsed="false">
      <c r="A789" s="17" t="n">
        <v>785</v>
      </c>
      <c r="B789" s="12" t="s">
        <v>178</v>
      </c>
      <c r="C789" s="12" t="s">
        <v>179</v>
      </c>
      <c r="D789" s="16" t="n">
        <v>0.00288171296296296</v>
      </c>
      <c r="E789" s="15" t="n">
        <f aca="false">ROUND((D789-$D$5)*86400,2)</f>
        <v>23.95</v>
      </c>
      <c r="F789" s="17" t="n">
        <v>78</v>
      </c>
      <c r="G789" s="16" t="n">
        <f aca="false">IF(INDEX(選手一覧!$D$7:$D$2738,$F789)="","",INDEX(選手一覧!$D$7:$D$2738,$F789))</f>
        <v>0.0101675925925926</v>
      </c>
      <c r="H789" s="17" t="n">
        <f aca="false">IF(INDEX(選手一覧!$E$7:$E$2738,$F789)="","",INDEX(選手一覧!$E$7:$E$2738,$F789))</f>
        <v>79</v>
      </c>
      <c r="I789" s="16" t="str">
        <f aca="false">IF(INDEX(選手一覧!$H$7:$H$2738,$F789)="","",INDEX(選手一覧!$H$7:$H$2738,$F789))</f>
        <v/>
      </c>
      <c r="J789" s="17" t="str">
        <f aca="false">IF(INDEX(選手一覧!$I$7:$I$2738,$F789)="","",INDEX(選手一覧!$I$7:$I$2738,$F789))</f>
        <v/>
      </c>
    </row>
    <row r="790" customFormat="false" ht="15" hidden="false" customHeight="false" outlineLevel="0" collapsed="false">
      <c r="A790" s="17" t="n">
        <v>786</v>
      </c>
      <c r="B790" s="12" t="s">
        <v>2985</v>
      </c>
      <c r="C790" s="12" t="s">
        <v>648</v>
      </c>
      <c r="D790" s="16" t="n">
        <v>0.00288171296296296</v>
      </c>
      <c r="E790" s="15" t="n">
        <f aca="false">ROUND((D790-$D$5)*86400,2)</f>
        <v>23.95</v>
      </c>
      <c r="F790" s="17" t="n">
        <v>1917</v>
      </c>
      <c r="G790" s="16" t="str">
        <f aca="false">IF(INDEX(選手一覧!$D$7:$D$2738,$F790)="","",INDEX(選手一覧!$D$7:$D$2738,$F790))</f>
        <v/>
      </c>
      <c r="H790" s="17" t="str">
        <f aca="false">IF(INDEX(選手一覧!$E$7:$E$2738,$F790)="","",INDEX(選手一覧!$E$7:$E$2738,$F790))</f>
        <v/>
      </c>
      <c r="I790" s="16" t="str">
        <f aca="false">IF(INDEX(選手一覧!$H$7:$H$2738,$F790)="","",INDEX(選手一覧!$H$7:$H$2738,$F790))</f>
        <v/>
      </c>
      <c r="J790" s="17" t="str">
        <f aca="false">IF(INDEX(選手一覧!$I$7:$I$2738,$F790)="","",INDEX(選手一覧!$I$7:$I$2738,$F790))</f>
        <v/>
      </c>
    </row>
    <row r="791" customFormat="false" ht="15" hidden="false" customHeight="false" outlineLevel="0" collapsed="false">
      <c r="A791" s="17" t="n">
        <v>787</v>
      </c>
      <c r="B791" s="12" t="s">
        <v>156</v>
      </c>
      <c r="C791" s="12" t="s">
        <v>157</v>
      </c>
      <c r="D791" s="16" t="n">
        <v>0.0028818287037037</v>
      </c>
      <c r="E791" s="15" t="n">
        <f aca="false">ROUND((D791-$D$5)*86400,2)</f>
        <v>23.96</v>
      </c>
      <c r="F791" s="17" t="n">
        <v>66</v>
      </c>
      <c r="G791" s="16" t="n">
        <f aca="false">IF(INDEX(選手一覧!$D$7:$D$2738,$F791)="","",INDEX(選手一覧!$D$7:$D$2738,$F791))</f>
        <v>0.0101377314814815</v>
      </c>
      <c r="H791" s="17" t="n">
        <f aca="false">IF(INDEX(選手一覧!$E$7:$E$2738,$F791)="","",INDEX(選手一覧!$E$7:$E$2738,$F791))</f>
        <v>67</v>
      </c>
      <c r="I791" s="16" t="n">
        <f aca="false">IF(INDEX(選手一覧!$H$7:$H$2738,$F791)="","",INDEX(選手一覧!$H$7:$H$2738,$F791))</f>
        <v>0.00634039351851852</v>
      </c>
      <c r="J791" s="17" t="n">
        <f aca="false">IF(INDEX(選手一覧!$I$7:$I$2738,$F791)="","",INDEX(選手一覧!$I$7:$I$2738,$F791))</f>
        <v>7</v>
      </c>
    </row>
    <row r="792" customFormat="false" ht="15" hidden="false" customHeight="false" outlineLevel="0" collapsed="false">
      <c r="A792" s="17" t="n">
        <v>788</v>
      </c>
      <c r="B792" s="12" t="s">
        <v>2987</v>
      </c>
      <c r="C792" s="12" t="s">
        <v>2572</v>
      </c>
      <c r="D792" s="16" t="n">
        <v>0.00288194444444444</v>
      </c>
      <c r="E792" s="15" t="n">
        <f aca="false">ROUND((D792-$D$5)*86400,2)</f>
        <v>23.97</v>
      </c>
      <c r="F792" s="17" t="n">
        <v>1919</v>
      </c>
      <c r="G792" s="16" t="str">
        <f aca="false">IF(INDEX(選手一覧!$D$7:$D$2738,$F792)="","",INDEX(選手一覧!$D$7:$D$2738,$F792))</f>
        <v/>
      </c>
      <c r="H792" s="17" t="str">
        <f aca="false">IF(INDEX(選手一覧!$E$7:$E$2738,$F792)="","",INDEX(選手一覧!$E$7:$E$2738,$F792))</f>
        <v/>
      </c>
      <c r="I792" s="16" t="str">
        <f aca="false">IF(INDEX(選手一覧!$H$7:$H$2738,$F792)="","",INDEX(選手一覧!$H$7:$H$2738,$F792))</f>
        <v/>
      </c>
      <c r="J792" s="17" t="str">
        <f aca="false">IF(INDEX(選手一覧!$I$7:$I$2738,$F792)="","",INDEX(選手一覧!$I$7:$I$2738,$F792))</f>
        <v/>
      </c>
    </row>
    <row r="793" customFormat="false" ht="15" hidden="false" customHeight="false" outlineLevel="0" collapsed="false">
      <c r="A793" s="17" t="n">
        <v>789</v>
      </c>
      <c r="B793" s="12" t="s">
        <v>2990</v>
      </c>
      <c r="C793" s="12" t="s">
        <v>444</v>
      </c>
      <c r="D793" s="16" t="n">
        <v>0.00288194444444444</v>
      </c>
      <c r="E793" s="15" t="n">
        <f aca="false">ROUND((D793-$D$5)*86400,2)</f>
        <v>23.97</v>
      </c>
      <c r="F793" s="17" t="n">
        <v>1921</v>
      </c>
      <c r="G793" s="16" t="str">
        <f aca="false">IF(INDEX(選手一覧!$D$7:$D$2738,$F793)="","",INDEX(選手一覧!$D$7:$D$2738,$F793))</f>
        <v/>
      </c>
      <c r="H793" s="17" t="str">
        <f aca="false">IF(INDEX(選手一覧!$E$7:$E$2738,$F793)="","",INDEX(選手一覧!$E$7:$E$2738,$F793))</f>
        <v/>
      </c>
      <c r="I793" s="16" t="str">
        <f aca="false">IF(INDEX(選手一覧!$H$7:$H$2738,$F793)="","",INDEX(選手一覧!$H$7:$H$2738,$F793))</f>
        <v/>
      </c>
      <c r="J793" s="17" t="str">
        <f aca="false">IF(INDEX(選手一覧!$I$7:$I$2738,$F793)="","",INDEX(選手一覧!$I$7:$I$2738,$F793))</f>
        <v/>
      </c>
    </row>
    <row r="794" customFormat="false" ht="15" hidden="false" customHeight="false" outlineLevel="0" collapsed="false">
      <c r="A794" s="17" t="n">
        <v>790</v>
      </c>
      <c r="B794" s="12" t="s">
        <v>1921</v>
      </c>
      <c r="C794" s="12" t="s">
        <v>1764</v>
      </c>
      <c r="D794" s="16" t="n">
        <v>0.00288194444444444</v>
      </c>
      <c r="E794" s="15" t="n">
        <f aca="false">ROUND((D794-$D$5)*86400,2)</f>
        <v>23.97</v>
      </c>
      <c r="F794" s="17" t="n">
        <v>1199</v>
      </c>
      <c r="G794" s="16" t="n">
        <f aca="false">IF(INDEX(選手一覧!$D$7:$D$2738,$F794)="","",INDEX(選手一覧!$D$7:$D$2738,$F794))</f>
        <v>0.0110517361111111</v>
      </c>
      <c r="H794" s="17" t="n">
        <f aca="false">IF(INDEX(選手一覧!$E$7:$E$2738,$F794)="","",INDEX(選手一覧!$E$7:$E$2738,$F794))</f>
        <v>1200</v>
      </c>
      <c r="I794" s="16" t="n">
        <f aca="false">IF(INDEX(選手一覧!$H$7:$H$2738,$F794)="","",INDEX(選手一覧!$H$7:$H$2738,$F794))</f>
        <v>0.00734594907407408</v>
      </c>
      <c r="J794" s="17" t="n">
        <f aca="false">IF(INDEX(選手一覧!$I$7:$I$2738,$F794)="","",INDEX(選手一覧!$I$7:$I$2738,$F794))</f>
        <v>706</v>
      </c>
    </row>
    <row r="795" customFormat="false" ht="15" hidden="false" customHeight="false" outlineLevel="0" collapsed="false">
      <c r="A795" s="17" t="n">
        <v>791</v>
      </c>
      <c r="B795" s="12" t="s">
        <v>1252</v>
      </c>
      <c r="C795" s="12" t="s">
        <v>214</v>
      </c>
      <c r="D795" s="16" t="n">
        <v>0.00288194444444444</v>
      </c>
      <c r="E795" s="15" t="n">
        <f aca="false">ROUND((D795-$D$5)*86400,2)</f>
        <v>23.97</v>
      </c>
      <c r="F795" s="17" t="n">
        <v>746</v>
      </c>
      <c r="G795" s="16" t="n">
        <f aca="false">IF(INDEX(選手一覧!$D$7:$D$2738,$F795)="","",INDEX(選手一覧!$D$7:$D$2738,$F795))</f>
        <v>0.0108023148148148</v>
      </c>
      <c r="H795" s="17" t="n">
        <f aca="false">IF(INDEX(選手一覧!$E$7:$E$2738,$F795)="","",INDEX(選手一覧!$E$7:$E$2738,$F795))</f>
        <v>747</v>
      </c>
      <c r="I795" s="16" t="n">
        <f aca="false">IF(INDEX(選手一覧!$H$7:$H$2738,$F795)="","",INDEX(選手一覧!$H$7:$H$2738,$F795))</f>
        <v>0.00692986111111111</v>
      </c>
      <c r="J795" s="17" t="n">
        <f aca="false">IF(INDEX(選手一覧!$I$7:$I$2738,$F795)="","",INDEX(選手一覧!$I$7:$I$2738,$F795))</f>
        <v>273</v>
      </c>
    </row>
    <row r="796" customFormat="false" ht="15" hidden="false" customHeight="false" outlineLevel="0" collapsed="false">
      <c r="A796" s="17" t="n">
        <v>792</v>
      </c>
      <c r="B796" s="12" t="s">
        <v>2995</v>
      </c>
      <c r="C796" s="12" t="s">
        <v>59</v>
      </c>
      <c r="D796" s="16" t="n">
        <v>0.00288194444444444</v>
      </c>
      <c r="E796" s="15" t="n">
        <f aca="false">ROUND((D796-$D$5)*86400,2)</f>
        <v>23.97</v>
      </c>
      <c r="F796" s="17" t="n">
        <v>1925</v>
      </c>
      <c r="G796" s="16" t="str">
        <f aca="false">IF(INDEX(選手一覧!$D$7:$D$2738,$F796)="","",INDEX(選手一覧!$D$7:$D$2738,$F796))</f>
        <v/>
      </c>
      <c r="H796" s="17" t="str">
        <f aca="false">IF(INDEX(選手一覧!$E$7:$E$2738,$F796)="","",INDEX(選手一覧!$E$7:$E$2738,$F796))</f>
        <v/>
      </c>
      <c r="I796" s="16" t="str">
        <f aca="false">IF(INDEX(選手一覧!$H$7:$H$2738,$F796)="","",INDEX(選手一覧!$H$7:$H$2738,$F796))</f>
        <v/>
      </c>
      <c r="J796" s="17" t="str">
        <f aca="false">IF(INDEX(選手一覧!$I$7:$I$2738,$F796)="","",INDEX(選手一覧!$I$7:$I$2738,$F796))</f>
        <v/>
      </c>
    </row>
    <row r="797" customFormat="false" ht="15" hidden="false" customHeight="false" outlineLevel="0" collapsed="false">
      <c r="A797" s="17" t="n">
        <v>793</v>
      </c>
      <c r="B797" s="12" t="s">
        <v>1311</v>
      </c>
      <c r="C797" s="12" t="s">
        <v>692</v>
      </c>
      <c r="D797" s="16" t="n">
        <v>0.00288206018518519</v>
      </c>
      <c r="E797" s="15" t="n">
        <f aca="false">ROUND((D797-$D$5)*86400,2)</f>
        <v>23.98</v>
      </c>
      <c r="F797" s="17" t="n">
        <v>789</v>
      </c>
      <c r="G797" s="16" t="n">
        <f aca="false">IF(INDEX(選手一覧!$D$7:$D$2738,$F797)="","",INDEX(選手一覧!$D$7:$D$2738,$F797))</f>
        <v>0.0108306712962963</v>
      </c>
      <c r="H797" s="17" t="n">
        <f aca="false">IF(INDEX(選手一覧!$E$7:$E$2738,$F797)="","",INDEX(選手一覧!$E$7:$E$2738,$F797))</f>
        <v>790</v>
      </c>
      <c r="I797" s="16" t="str">
        <f aca="false">IF(INDEX(選手一覧!$H$7:$H$2738,$F797)="","",INDEX(選手一覧!$H$7:$H$2738,$F797))</f>
        <v/>
      </c>
      <c r="J797" s="17" t="str">
        <f aca="false">IF(INDEX(選手一覧!$I$7:$I$2738,$F797)="","",INDEX(選手一覧!$I$7:$I$2738,$F797))</f>
        <v/>
      </c>
    </row>
    <row r="798" customFormat="false" ht="15" hidden="false" customHeight="false" outlineLevel="0" collapsed="false">
      <c r="A798" s="17" t="n">
        <v>794</v>
      </c>
      <c r="B798" s="12" t="s">
        <v>2424</v>
      </c>
      <c r="C798" s="12" t="s">
        <v>2425</v>
      </c>
      <c r="D798" s="16" t="n">
        <v>0.00288206018518519</v>
      </c>
      <c r="E798" s="15" t="n">
        <f aca="false">ROUND((D798-$D$5)*86400,2)</f>
        <v>23.98</v>
      </c>
      <c r="F798" s="17" t="n">
        <v>1549</v>
      </c>
      <c r="G798" s="16" t="str">
        <f aca="false">IF(INDEX(選手一覧!$D$7:$D$2738,$F798)="","",INDEX(選手一覧!$D$7:$D$2738,$F798))</f>
        <v/>
      </c>
      <c r="H798" s="17" t="str">
        <f aca="false">IF(INDEX(選手一覧!$E$7:$E$2738,$F798)="","",INDEX(選手一覧!$E$7:$E$2738,$F798))</f>
        <v/>
      </c>
      <c r="I798" s="16" t="n">
        <f aca="false">IF(INDEX(選手一覧!$H$7:$H$2738,$F798)="","",INDEX(選手一覧!$H$7:$H$2738,$F798))</f>
        <v>0.00710266203703704</v>
      </c>
      <c r="J798" s="17" t="n">
        <f aca="false">IF(INDEX(選手一覧!$I$7:$I$2738,$F798)="","",INDEX(選手一覧!$I$7:$I$2738,$F798))</f>
        <v>451</v>
      </c>
    </row>
    <row r="799" customFormat="false" ht="15" hidden="false" customHeight="false" outlineLevel="0" collapsed="false">
      <c r="A799" s="17" t="n">
        <v>795</v>
      </c>
      <c r="B799" s="12" t="s">
        <v>2999</v>
      </c>
      <c r="C799" s="12" t="s">
        <v>297</v>
      </c>
      <c r="D799" s="16" t="n">
        <v>0.00288217592592593</v>
      </c>
      <c r="E799" s="15" t="n">
        <f aca="false">ROUND((D799-$D$5)*86400,2)</f>
        <v>23.99</v>
      </c>
      <c r="F799" s="17" t="n">
        <v>1928</v>
      </c>
      <c r="G799" s="16" t="str">
        <f aca="false">IF(INDEX(選手一覧!$D$7:$D$2738,$F799)="","",INDEX(選手一覧!$D$7:$D$2738,$F799))</f>
        <v/>
      </c>
      <c r="H799" s="17" t="str">
        <f aca="false">IF(INDEX(選手一覧!$E$7:$E$2738,$F799)="","",INDEX(選手一覧!$E$7:$E$2738,$F799))</f>
        <v/>
      </c>
      <c r="I799" s="16" t="str">
        <f aca="false">IF(INDEX(選手一覧!$H$7:$H$2738,$F799)="","",INDEX(選手一覧!$H$7:$H$2738,$F799))</f>
        <v/>
      </c>
      <c r="J799" s="17" t="str">
        <f aca="false">IF(INDEX(選手一覧!$I$7:$I$2738,$F799)="","",INDEX(選手一覧!$I$7:$I$2738,$F799))</f>
        <v/>
      </c>
    </row>
    <row r="800" customFormat="false" ht="15" hidden="false" customHeight="false" outlineLevel="0" collapsed="false">
      <c r="A800" s="17" t="n">
        <v>796</v>
      </c>
      <c r="B800" s="12" t="s">
        <v>3001</v>
      </c>
      <c r="C800" s="12" t="s">
        <v>301</v>
      </c>
      <c r="D800" s="16" t="n">
        <v>0.00288240740740741</v>
      </c>
      <c r="E800" s="15" t="n">
        <f aca="false">ROUND((D800-$D$5)*86400,2)</f>
        <v>24.01</v>
      </c>
      <c r="F800" s="17" t="n">
        <v>1930</v>
      </c>
      <c r="G800" s="16" t="str">
        <f aca="false">IF(INDEX(選手一覧!$D$7:$D$2738,$F800)="","",INDEX(選手一覧!$D$7:$D$2738,$F800))</f>
        <v/>
      </c>
      <c r="H800" s="17" t="str">
        <f aca="false">IF(INDEX(選手一覧!$E$7:$E$2738,$F800)="","",INDEX(選手一覧!$E$7:$E$2738,$F800))</f>
        <v/>
      </c>
      <c r="I800" s="16" t="str">
        <f aca="false">IF(INDEX(選手一覧!$H$7:$H$2738,$F800)="","",INDEX(選手一覧!$H$7:$H$2738,$F800))</f>
        <v/>
      </c>
      <c r="J800" s="17" t="str">
        <f aca="false">IF(INDEX(選手一覧!$I$7:$I$2738,$F800)="","",INDEX(選手一覧!$I$7:$I$2738,$F800))</f>
        <v/>
      </c>
    </row>
    <row r="801" customFormat="false" ht="15" hidden="false" customHeight="false" outlineLevel="0" collapsed="false">
      <c r="A801" s="17" t="n">
        <v>797</v>
      </c>
      <c r="B801" s="12" t="s">
        <v>1172</v>
      </c>
      <c r="C801" s="12" t="s">
        <v>515</v>
      </c>
      <c r="D801" s="16" t="n">
        <v>0.00288263888888889</v>
      </c>
      <c r="E801" s="15" t="n">
        <f aca="false">ROUND((D801-$D$5)*86400,2)</f>
        <v>24.03</v>
      </c>
      <c r="F801" s="17" t="n">
        <v>695</v>
      </c>
      <c r="G801" s="16" t="n">
        <f aca="false">IF(INDEX(選手一覧!$D$7:$D$2738,$F801)="","",INDEX(選手一覧!$D$7:$D$2738,$F801))</f>
        <v>0.0107704861111111</v>
      </c>
      <c r="H801" s="17" t="n">
        <f aca="false">IF(INDEX(選手一覧!$E$7:$E$2738,$F801)="","",INDEX(選手一覧!$E$7:$E$2738,$F801))</f>
        <v>696</v>
      </c>
      <c r="I801" s="16" t="n">
        <f aca="false">IF(INDEX(選手一覧!$H$7:$H$2738,$F801)="","",INDEX(選手一覧!$H$7:$H$2738,$F801))</f>
        <v>0.008159375</v>
      </c>
      <c r="J801" s="17" t="n">
        <f aca="false">IF(INDEX(選手一覧!$I$7:$I$2738,$F801)="","",INDEX(選手一覧!$I$7:$I$2738,$F801))</f>
        <v>1223</v>
      </c>
    </row>
    <row r="802" customFormat="false" ht="15" hidden="false" customHeight="false" outlineLevel="0" collapsed="false">
      <c r="A802" s="17" t="n">
        <v>798</v>
      </c>
      <c r="B802" s="12" t="s">
        <v>584</v>
      </c>
      <c r="C802" s="12" t="s">
        <v>256</v>
      </c>
      <c r="D802" s="16" t="n">
        <v>0.00288263888888889</v>
      </c>
      <c r="E802" s="15" t="n">
        <f aca="false">ROUND((D802-$D$5)*86400,2)</f>
        <v>24.03</v>
      </c>
      <c r="F802" s="17" t="n">
        <v>1932</v>
      </c>
      <c r="G802" s="16" t="str">
        <f aca="false">IF(INDEX(選手一覧!$D$7:$D$2738,$F802)="","",INDEX(選手一覧!$D$7:$D$2738,$F802))</f>
        <v/>
      </c>
      <c r="H802" s="17" t="str">
        <f aca="false">IF(INDEX(選手一覧!$E$7:$E$2738,$F802)="","",INDEX(選手一覧!$E$7:$E$2738,$F802))</f>
        <v/>
      </c>
      <c r="I802" s="16" t="str">
        <f aca="false">IF(INDEX(選手一覧!$H$7:$H$2738,$F802)="","",INDEX(選手一覧!$H$7:$H$2738,$F802))</f>
        <v/>
      </c>
      <c r="J802" s="17" t="str">
        <f aca="false">IF(INDEX(選手一覧!$I$7:$I$2738,$F802)="","",INDEX(選手一覧!$I$7:$I$2738,$F802))</f>
        <v/>
      </c>
    </row>
    <row r="803" customFormat="false" ht="15" hidden="false" customHeight="false" outlineLevel="0" collapsed="false">
      <c r="A803" s="17" t="n">
        <v>799</v>
      </c>
      <c r="B803" s="12" t="s">
        <v>1240</v>
      </c>
      <c r="C803" s="12" t="s">
        <v>1216</v>
      </c>
      <c r="D803" s="16" t="n">
        <v>0.00288263888888889</v>
      </c>
      <c r="E803" s="15" t="n">
        <f aca="false">ROUND((D803-$D$5)*86400,2)</f>
        <v>24.03</v>
      </c>
      <c r="F803" s="17" t="n">
        <v>739</v>
      </c>
      <c r="G803" s="16" t="n">
        <f aca="false">IF(INDEX(選手一覧!$D$7:$D$2738,$F803)="","",INDEX(選手一覧!$D$7:$D$2738,$F803))</f>
        <v>0.0108002314814815</v>
      </c>
      <c r="H803" s="17" t="n">
        <f aca="false">IF(INDEX(選手一覧!$E$7:$E$2738,$F803)="","",INDEX(選手一覧!$E$7:$E$2738,$F803))</f>
        <v>740</v>
      </c>
      <c r="I803" s="16" t="str">
        <f aca="false">IF(INDEX(選手一覧!$H$7:$H$2738,$F803)="","",INDEX(選手一覧!$H$7:$H$2738,$F803))</f>
        <v/>
      </c>
      <c r="J803" s="17" t="str">
        <f aca="false">IF(INDEX(選手一覧!$I$7:$I$2738,$F803)="","",INDEX(選手一覧!$I$7:$I$2738,$F803))</f>
        <v/>
      </c>
    </row>
    <row r="804" customFormat="false" ht="15" hidden="false" customHeight="false" outlineLevel="0" collapsed="false">
      <c r="A804" s="17" t="n">
        <v>800</v>
      </c>
      <c r="B804" s="12" t="s">
        <v>3007</v>
      </c>
      <c r="C804" s="12" t="s">
        <v>69</v>
      </c>
      <c r="D804" s="16" t="n">
        <v>0.00288275462962963</v>
      </c>
      <c r="E804" s="15" t="n">
        <f aca="false">ROUND((D804-$D$5)*86400,2)</f>
        <v>24.04</v>
      </c>
      <c r="F804" s="17" t="n">
        <v>1935</v>
      </c>
      <c r="G804" s="16" t="str">
        <f aca="false">IF(INDEX(選手一覧!$D$7:$D$2738,$F804)="","",INDEX(選手一覧!$D$7:$D$2738,$F804))</f>
        <v/>
      </c>
      <c r="H804" s="17" t="str">
        <f aca="false">IF(INDEX(選手一覧!$E$7:$E$2738,$F804)="","",INDEX(選手一覧!$E$7:$E$2738,$F804))</f>
        <v/>
      </c>
      <c r="I804" s="16" t="str">
        <f aca="false">IF(INDEX(選手一覧!$H$7:$H$2738,$F804)="","",INDEX(選手一覧!$H$7:$H$2738,$F804))</f>
        <v/>
      </c>
      <c r="J804" s="17" t="str">
        <f aca="false">IF(INDEX(選手一覧!$I$7:$I$2738,$F804)="","",INDEX(選手一覧!$I$7:$I$2738,$F804))</f>
        <v/>
      </c>
    </row>
    <row r="805" customFormat="false" ht="15" hidden="false" customHeight="false" outlineLevel="0" collapsed="false">
      <c r="A805" s="17" t="n">
        <v>801</v>
      </c>
      <c r="B805" s="12" t="s">
        <v>1743</v>
      </c>
      <c r="C805" s="12" t="s">
        <v>77</v>
      </c>
      <c r="D805" s="16" t="n">
        <v>0.00288287037037037</v>
      </c>
      <c r="E805" s="15" t="n">
        <f aca="false">ROUND((D805-$D$5)*86400,2)</f>
        <v>24.05</v>
      </c>
      <c r="F805" s="17" t="n">
        <v>1077</v>
      </c>
      <c r="G805" s="16" t="n">
        <f aca="false">IF(INDEX(選手一覧!$D$7:$D$2738,$F805)="","",INDEX(選手一覧!$D$7:$D$2738,$F805))</f>
        <v>0.0109891203703704</v>
      </c>
      <c r="H805" s="17" t="n">
        <f aca="false">IF(INDEX(選手一覧!$E$7:$E$2738,$F805)="","",INDEX(選手一覧!$E$7:$E$2738,$F805))</f>
        <v>1078</v>
      </c>
      <c r="I805" s="16" t="str">
        <f aca="false">IF(INDEX(選手一覧!$H$7:$H$2738,$F805)="","",INDEX(選手一覧!$H$7:$H$2738,$F805))</f>
        <v/>
      </c>
      <c r="J805" s="17" t="str">
        <f aca="false">IF(INDEX(選手一覧!$I$7:$I$2738,$F805)="","",INDEX(選手一覧!$I$7:$I$2738,$F805))</f>
        <v/>
      </c>
    </row>
    <row r="806" customFormat="false" ht="15" hidden="false" customHeight="false" outlineLevel="0" collapsed="false">
      <c r="A806" s="17" t="n">
        <v>802</v>
      </c>
      <c r="B806" s="12" t="s">
        <v>383</v>
      </c>
      <c r="C806" s="12" t="s">
        <v>37</v>
      </c>
      <c r="D806" s="16" t="n">
        <v>0.00288298611111111</v>
      </c>
      <c r="E806" s="15" t="n">
        <f aca="false">ROUND((D806-$D$5)*86400,2)</f>
        <v>24.06</v>
      </c>
      <c r="F806" s="17" t="n">
        <v>188</v>
      </c>
      <c r="G806" s="16" t="n">
        <f aca="false">IF(INDEX(選手一覧!$D$7:$D$2738,$F806)="","",INDEX(選手一覧!$D$7:$D$2738,$F806))</f>
        <v>0.0103387731481482</v>
      </c>
      <c r="H806" s="17" t="n">
        <f aca="false">IF(INDEX(選手一覧!$E$7:$E$2738,$F806)="","",INDEX(選手一覧!$E$7:$E$2738,$F806))</f>
        <v>189</v>
      </c>
      <c r="I806" s="16" t="str">
        <f aca="false">IF(INDEX(選手一覧!$H$7:$H$2738,$F806)="","",INDEX(選手一覧!$H$7:$H$2738,$F806))</f>
        <v/>
      </c>
      <c r="J806" s="17" t="str">
        <f aca="false">IF(INDEX(選手一覧!$I$7:$I$2738,$F806)="","",INDEX(選手一覧!$I$7:$I$2738,$F806))</f>
        <v/>
      </c>
    </row>
    <row r="807" customFormat="false" ht="15" hidden="false" customHeight="false" outlineLevel="0" collapsed="false">
      <c r="A807" s="17" t="n">
        <v>803</v>
      </c>
      <c r="B807" s="12" t="s">
        <v>1002</v>
      </c>
      <c r="C807" s="12" t="s">
        <v>290</v>
      </c>
      <c r="D807" s="16" t="n">
        <v>0.00288356481481481</v>
      </c>
      <c r="E807" s="15" t="n">
        <f aca="false">ROUND((D807-$D$5)*86400,2)</f>
        <v>24.11</v>
      </c>
      <c r="F807" s="17" t="n">
        <v>578</v>
      </c>
      <c r="G807" s="16" t="n">
        <f aca="false">IF(INDEX(選手一覧!$D$7:$D$2738,$F807)="","",INDEX(選手一覧!$D$7:$D$2738,$F807))</f>
        <v>0.0106987268518519</v>
      </c>
      <c r="H807" s="17" t="n">
        <f aca="false">IF(INDEX(選手一覧!$E$7:$E$2738,$F807)="","",INDEX(選手一覧!$E$7:$E$2738,$F807))</f>
        <v>579</v>
      </c>
      <c r="I807" s="16" t="n">
        <f aca="false">IF(INDEX(選手一覧!$H$7:$H$2738,$F807)="","",INDEX(選手一覧!$H$7:$H$2738,$F807))</f>
        <v>0.00680717592592593</v>
      </c>
      <c r="J807" s="17" t="n">
        <f aca="false">IF(INDEX(選手一覧!$I$7:$I$2738,$F807)="","",INDEX(選手一覧!$I$7:$I$2738,$F807))</f>
        <v>178</v>
      </c>
    </row>
    <row r="808" customFormat="false" ht="15" hidden="false" customHeight="false" outlineLevel="0" collapsed="false">
      <c r="A808" s="17" t="n">
        <v>804</v>
      </c>
      <c r="B808" s="12" t="s">
        <v>1228</v>
      </c>
      <c r="C808" s="12" t="s">
        <v>1229</v>
      </c>
      <c r="D808" s="16" t="n">
        <v>0.00288356481481481</v>
      </c>
      <c r="E808" s="15" t="n">
        <f aca="false">ROUND((D808-$D$5)*86400,2)</f>
        <v>24.11</v>
      </c>
      <c r="F808" s="17" t="n">
        <v>731</v>
      </c>
      <c r="G808" s="16" t="n">
        <f aca="false">IF(INDEX(選手一覧!$D$7:$D$2738,$F808)="","",INDEX(選手一覧!$D$7:$D$2738,$F808))</f>
        <v>0.0107929398148148</v>
      </c>
      <c r="H808" s="17" t="n">
        <f aca="false">IF(INDEX(選手一覧!$E$7:$E$2738,$F808)="","",INDEX(選手一覧!$E$7:$E$2738,$F808))</f>
        <v>732</v>
      </c>
      <c r="I808" s="16" t="n">
        <f aca="false">IF(INDEX(選手一覧!$H$7:$H$2738,$F808)="","",INDEX(選手一覧!$H$7:$H$2738,$F808))</f>
        <v>0.00706365740740741</v>
      </c>
      <c r="J808" s="17" t="n">
        <f aca="false">IF(INDEX(選手一覧!$I$7:$I$2738,$F808)="","",INDEX(選手一覧!$I$7:$I$2738,$F808))</f>
        <v>406</v>
      </c>
    </row>
    <row r="809" customFormat="false" ht="15" hidden="false" customHeight="false" outlineLevel="0" collapsed="false">
      <c r="A809" s="17" t="n">
        <v>805</v>
      </c>
      <c r="B809" s="12" t="s">
        <v>3013</v>
      </c>
      <c r="C809" s="12" t="s">
        <v>1269</v>
      </c>
      <c r="D809" s="16" t="n">
        <v>0.00288368055555556</v>
      </c>
      <c r="E809" s="15" t="n">
        <f aca="false">ROUND((D809-$D$5)*86400,2)</f>
        <v>24.12</v>
      </c>
      <c r="F809" s="17" t="n">
        <v>1939</v>
      </c>
      <c r="G809" s="16" t="str">
        <f aca="false">IF(INDEX(選手一覧!$D$7:$D$2738,$F809)="","",INDEX(選手一覧!$D$7:$D$2738,$F809))</f>
        <v/>
      </c>
      <c r="H809" s="17" t="str">
        <f aca="false">IF(INDEX(選手一覧!$E$7:$E$2738,$F809)="","",INDEX(選手一覧!$E$7:$E$2738,$F809))</f>
        <v/>
      </c>
      <c r="I809" s="16" t="str">
        <f aca="false">IF(INDEX(選手一覧!$H$7:$H$2738,$F809)="","",INDEX(選手一覧!$H$7:$H$2738,$F809))</f>
        <v/>
      </c>
      <c r="J809" s="17" t="str">
        <f aca="false">IF(INDEX(選手一覧!$I$7:$I$2738,$F809)="","",INDEX(選手一覧!$I$7:$I$2738,$F809))</f>
        <v/>
      </c>
    </row>
    <row r="810" customFormat="false" ht="15" hidden="false" customHeight="false" outlineLevel="0" collapsed="false">
      <c r="A810" s="17" t="n">
        <v>806</v>
      </c>
      <c r="B810" s="12" t="s">
        <v>3015</v>
      </c>
      <c r="C810" s="12" t="s">
        <v>3016</v>
      </c>
      <c r="D810" s="16" t="n">
        <v>0.0028837962962963</v>
      </c>
      <c r="E810" s="15" t="n">
        <f aca="false">ROUND((D810-$D$5)*86400,2)</f>
        <v>24.13</v>
      </c>
      <c r="F810" s="17" t="n">
        <v>1941</v>
      </c>
      <c r="G810" s="16" t="str">
        <f aca="false">IF(INDEX(選手一覧!$D$7:$D$2738,$F810)="","",INDEX(選手一覧!$D$7:$D$2738,$F810))</f>
        <v/>
      </c>
      <c r="H810" s="17" t="str">
        <f aca="false">IF(INDEX(選手一覧!$E$7:$E$2738,$F810)="","",INDEX(選手一覧!$E$7:$E$2738,$F810))</f>
        <v/>
      </c>
      <c r="I810" s="16" t="str">
        <f aca="false">IF(INDEX(選手一覧!$H$7:$H$2738,$F810)="","",INDEX(選手一覧!$H$7:$H$2738,$F810))</f>
        <v/>
      </c>
      <c r="J810" s="17" t="str">
        <f aca="false">IF(INDEX(選手一覧!$I$7:$I$2738,$F810)="","",INDEX(選手一覧!$I$7:$I$2738,$F810))</f>
        <v/>
      </c>
    </row>
    <row r="811" customFormat="false" ht="15" hidden="false" customHeight="false" outlineLevel="0" collapsed="false">
      <c r="A811" s="17" t="n">
        <v>807</v>
      </c>
      <c r="B811" s="12" t="s">
        <v>3019</v>
      </c>
      <c r="C811" s="12" t="s">
        <v>674</v>
      </c>
      <c r="D811" s="16" t="n">
        <v>0.00288391203703704</v>
      </c>
      <c r="E811" s="15" t="n">
        <f aca="false">ROUND((D811-$D$5)*86400,2)</f>
        <v>24.14</v>
      </c>
      <c r="F811" s="17" t="n">
        <v>1943</v>
      </c>
      <c r="G811" s="16" t="str">
        <f aca="false">IF(INDEX(選手一覧!$D$7:$D$2738,$F811)="","",INDEX(選手一覧!$D$7:$D$2738,$F811))</f>
        <v/>
      </c>
      <c r="H811" s="17" t="str">
        <f aca="false">IF(INDEX(選手一覧!$E$7:$E$2738,$F811)="","",INDEX(選手一覧!$E$7:$E$2738,$F811))</f>
        <v/>
      </c>
      <c r="I811" s="16" t="str">
        <f aca="false">IF(INDEX(選手一覧!$H$7:$H$2738,$F811)="","",INDEX(選手一覧!$H$7:$H$2738,$F811))</f>
        <v/>
      </c>
      <c r="J811" s="17" t="str">
        <f aca="false">IF(INDEX(選手一覧!$I$7:$I$2738,$F811)="","",INDEX(選手一覧!$I$7:$I$2738,$F811))</f>
        <v/>
      </c>
    </row>
    <row r="812" customFormat="false" ht="15" hidden="false" customHeight="false" outlineLevel="0" collapsed="false">
      <c r="A812" s="17" t="n">
        <v>808</v>
      </c>
      <c r="B812" s="12" t="s">
        <v>2104</v>
      </c>
      <c r="C812" s="12" t="s">
        <v>2105</v>
      </c>
      <c r="D812" s="16" t="n">
        <v>0.00288391203703704</v>
      </c>
      <c r="E812" s="15" t="n">
        <f aca="false">ROUND((D812-$D$5)*86400,2)</f>
        <v>24.14</v>
      </c>
      <c r="F812" s="17" t="n">
        <v>1336</v>
      </c>
      <c r="G812" s="16" t="str">
        <f aca="false">IF(INDEX(選手一覧!$D$7:$D$2738,$F812)="","",INDEX(選手一覧!$D$7:$D$2738,$F812))</f>
        <v/>
      </c>
      <c r="H812" s="17" t="str">
        <f aca="false">IF(INDEX(選手一覧!$E$7:$E$2738,$F812)="","",INDEX(選手一覧!$E$7:$E$2738,$F812))</f>
        <v/>
      </c>
      <c r="I812" s="16" t="n">
        <f aca="false">IF(INDEX(選手一覧!$H$7:$H$2738,$F812)="","",INDEX(選手一覧!$H$7:$H$2738,$F812))</f>
        <v>0.0068150462962963</v>
      </c>
      <c r="J812" s="17" t="n">
        <f aca="false">IF(INDEX(選手一覧!$I$7:$I$2738,$F812)="","",INDEX(選手一覧!$I$7:$I$2738,$F812))</f>
        <v>182</v>
      </c>
    </row>
    <row r="813" customFormat="false" ht="15" hidden="false" customHeight="false" outlineLevel="0" collapsed="false">
      <c r="A813" s="17" t="n">
        <v>809</v>
      </c>
      <c r="B813" s="12" t="s">
        <v>2025</v>
      </c>
      <c r="C813" s="12" t="s">
        <v>1229</v>
      </c>
      <c r="D813" s="16" t="n">
        <v>0.00288425925925926</v>
      </c>
      <c r="E813" s="15" t="n">
        <f aca="false">ROUND((D813-$D$5)*86400,2)</f>
        <v>24.17</v>
      </c>
      <c r="F813" s="17" t="n">
        <v>1279</v>
      </c>
      <c r="G813" s="16" t="n">
        <f aca="false">IF(INDEX(選手一覧!$D$7:$D$2738,$F813)="","",INDEX(選手一覧!$D$7:$D$2738,$F813))</f>
        <v>0.0111150462962963</v>
      </c>
      <c r="H813" s="17" t="n">
        <f aca="false">IF(INDEX(選手一覧!$E$7:$E$2738,$F813)="","",INDEX(選手一覧!$E$7:$E$2738,$F813))</f>
        <v>1280</v>
      </c>
      <c r="I813" s="16" t="str">
        <f aca="false">IF(INDEX(選手一覧!$H$7:$H$2738,$F813)="","",INDEX(選手一覧!$H$7:$H$2738,$F813))</f>
        <v/>
      </c>
      <c r="J813" s="17" t="str">
        <f aca="false">IF(INDEX(選手一覧!$I$7:$I$2738,$F813)="","",INDEX(選手一覧!$I$7:$I$2738,$F813))</f>
        <v/>
      </c>
    </row>
    <row r="814" customFormat="false" ht="15" hidden="false" customHeight="false" outlineLevel="0" collapsed="false">
      <c r="A814" s="17" t="n">
        <v>810</v>
      </c>
      <c r="B814" s="12" t="s">
        <v>1250</v>
      </c>
      <c r="C814" s="12" t="s">
        <v>980</v>
      </c>
      <c r="D814" s="16" t="n">
        <v>0.00288425925925926</v>
      </c>
      <c r="E814" s="15" t="n">
        <f aca="false">ROUND((D814-$D$5)*86400,2)</f>
        <v>24.17</v>
      </c>
      <c r="F814" s="17" t="n">
        <v>745</v>
      </c>
      <c r="G814" s="16" t="n">
        <f aca="false">IF(INDEX(選手一覧!$D$7:$D$2738,$F814)="","",INDEX(選手一覧!$D$7:$D$2738,$F814))</f>
        <v>0.0108021990740741</v>
      </c>
      <c r="H814" s="17" t="n">
        <f aca="false">IF(INDEX(選手一覧!$E$7:$E$2738,$F814)="","",INDEX(選手一覧!$E$7:$E$2738,$F814))</f>
        <v>746</v>
      </c>
      <c r="I814" s="16" t="str">
        <f aca="false">IF(INDEX(選手一覧!$H$7:$H$2738,$F814)="","",INDEX(選手一覧!$H$7:$H$2738,$F814))</f>
        <v/>
      </c>
      <c r="J814" s="17" t="str">
        <f aca="false">IF(INDEX(選手一覧!$I$7:$I$2738,$F814)="","",INDEX(選手一覧!$I$7:$I$2738,$F814))</f>
        <v/>
      </c>
    </row>
    <row r="815" customFormat="false" ht="15" hidden="false" customHeight="false" outlineLevel="0" collapsed="false">
      <c r="A815" s="17" t="n">
        <v>811</v>
      </c>
      <c r="B815" s="12" t="s">
        <v>894</v>
      </c>
      <c r="C815" s="12" t="s">
        <v>623</v>
      </c>
      <c r="D815" s="16" t="n">
        <v>0.002884375</v>
      </c>
      <c r="E815" s="15" t="n">
        <f aca="false">ROUND((D815-$D$5)*86400,2)</f>
        <v>24.18</v>
      </c>
      <c r="F815" s="17" t="n">
        <v>508</v>
      </c>
      <c r="G815" s="16" t="n">
        <f aca="false">IF(INDEX(選手一覧!$D$7:$D$2738,$F815)="","",INDEX(選手一覧!$D$7:$D$2738,$F815))</f>
        <v>0.0106396990740741</v>
      </c>
      <c r="H815" s="17" t="n">
        <f aca="false">IF(INDEX(選手一覧!$E$7:$E$2738,$F815)="","",INDEX(選手一覧!$E$7:$E$2738,$F815))</f>
        <v>509</v>
      </c>
      <c r="I815" s="16" t="n">
        <f aca="false">IF(INDEX(選手一覧!$H$7:$H$2738,$F815)="","",INDEX(選手一覧!$H$7:$H$2738,$F815))</f>
        <v>0.00661840277777778</v>
      </c>
      <c r="J815" s="17" t="n">
        <f aca="false">IF(INDEX(選手一覧!$I$7:$I$2738,$F815)="","",INDEX(選手一覧!$I$7:$I$2738,$F815))</f>
        <v>71</v>
      </c>
    </row>
    <row r="816" customFormat="false" ht="15" hidden="false" customHeight="false" outlineLevel="0" collapsed="false">
      <c r="A816" s="17" t="n">
        <v>812</v>
      </c>
      <c r="B816" s="12" t="s">
        <v>3030</v>
      </c>
      <c r="C816" s="12" t="s">
        <v>94</v>
      </c>
      <c r="D816" s="16" t="n">
        <v>0.00288460648148148</v>
      </c>
      <c r="E816" s="15" t="n">
        <f aca="false">ROUND((D816-$D$5)*86400,2)</f>
        <v>24.2</v>
      </c>
      <c r="F816" s="17" t="n">
        <v>1949</v>
      </c>
      <c r="G816" s="16" t="str">
        <f aca="false">IF(INDEX(選手一覧!$D$7:$D$2738,$F816)="","",INDEX(選手一覧!$D$7:$D$2738,$F816))</f>
        <v/>
      </c>
      <c r="H816" s="17" t="str">
        <f aca="false">IF(INDEX(選手一覧!$E$7:$E$2738,$F816)="","",INDEX(選手一覧!$E$7:$E$2738,$F816))</f>
        <v/>
      </c>
      <c r="I816" s="16" t="str">
        <f aca="false">IF(INDEX(選手一覧!$H$7:$H$2738,$F816)="","",INDEX(選手一覧!$H$7:$H$2738,$F816))</f>
        <v/>
      </c>
      <c r="J816" s="17" t="str">
        <f aca="false">IF(INDEX(選手一覧!$I$7:$I$2738,$F816)="","",INDEX(選手一覧!$I$7:$I$2738,$F816))</f>
        <v/>
      </c>
    </row>
    <row r="817" customFormat="false" ht="15" hidden="false" customHeight="false" outlineLevel="0" collapsed="false">
      <c r="A817" s="17" t="n">
        <v>813</v>
      </c>
      <c r="B817" s="12" t="s">
        <v>1598</v>
      </c>
      <c r="C817" s="12" t="s">
        <v>1599</v>
      </c>
      <c r="D817" s="16" t="n">
        <v>0.00288472222222222</v>
      </c>
      <c r="E817" s="15" t="n">
        <f aca="false">ROUND((D817-$D$5)*86400,2)</f>
        <v>24.21</v>
      </c>
      <c r="F817" s="17" t="n">
        <v>978</v>
      </c>
      <c r="G817" s="16" t="n">
        <f aca="false">IF(INDEX(選手一覧!$D$7:$D$2738,$F817)="","",INDEX(選手一覧!$D$7:$D$2738,$F817))</f>
        <v>0.0109369212962963</v>
      </c>
      <c r="H817" s="17" t="n">
        <f aca="false">IF(INDEX(選手一覧!$E$7:$E$2738,$F817)="","",INDEX(選手一覧!$E$7:$E$2738,$F817))</f>
        <v>979</v>
      </c>
      <c r="I817" s="16" t="str">
        <f aca="false">IF(INDEX(選手一覧!$H$7:$H$2738,$F817)="","",INDEX(選手一覧!$H$7:$H$2738,$F817))</f>
        <v/>
      </c>
      <c r="J817" s="17" t="str">
        <f aca="false">IF(INDEX(選手一覧!$I$7:$I$2738,$F817)="","",INDEX(選手一覧!$I$7:$I$2738,$F817))</f>
        <v/>
      </c>
    </row>
    <row r="818" customFormat="false" ht="15" hidden="false" customHeight="false" outlineLevel="0" collapsed="false">
      <c r="A818" s="17" t="n">
        <v>814</v>
      </c>
      <c r="B818" s="12" t="s">
        <v>1150</v>
      </c>
      <c r="C818" s="12" t="s">
        <v>1151</v>
      </c>
      <c r="D818" s="16" t="n">
        <v>0.00288472222222222</v>
      </c>
      <c r="E818" s="15" t="n">
        <f aca="false">ROUND((D818-$D$5)*86400,2)</f>
        <v>24.21</v>
      </c>
      <c r="F818" s="17" t="n">
        <v>681</v>
      </c>
      <c r="G818" s="16" t="n">
        <f aca="false">IF(INDEX(選手一覧!$D$7:$D$2738,$F818)="","",INDEX(選手一覧!$D$7:$D$2738,$F818))</f>
        <v>0.0107611111111111</v>
      </c>
      <c r="H818" s="17" t="n">
        <f aca="false">IF(INDEX(選手一覧!$E$7:$E$2738,$F818)="","",INDEX(選手一覧!$E$7:$E$2738,$F818))</f>
        <v>682</v>
      </c>
      <c r="I818" s="16" t="str">
        <f aca="false">IF(INDEX(選手一覧!$H$7:$H$2738,$F818)="","",INDEX(選手一覧!$H$7:$H$2738,$F818))</f>
        <v/>
      </c>
      <c r="J818" s="17" t="str">
        <f aca="false">IF(INDEX(選手一覧!$I$7:$I$2738,$F818)="","",INDEX(選手一覧!$I$7:$I$2738,$F818))</f>
        <v/>
      </c>
    </row>
    <row r="819" customFormat="false" ht="15" hidden="false" customHeight="false" outlineLevel="0" collapsed="false">
      <c r="A819" s="17" t="n">
        <v>815</v>
      </c>
      <c r="B819" s="12" t="s">
        <v>1444</v>
      </c>
      <c r="C819" s="12" t="s">
        <v>1445</v>
      </c>
      <c r="D819" s="16" t="n">
        <v>0.00288483796296296</v>
      </c>
      <c r="E819" s="15" t="n">
        <f aca="false">ROUND((D819-$D$5)*86400,2)</f>
        <v>24.22</v>
      </c>
      <c r="F819" s="17" t="n">
        <v>876</v>
      </c>
      <c r="G819" s="16" t="n">
        <f aca="false">IF(INDEX(選手一覧!$D$7:$D$2738,$F819)="","",INDEX(選手一覧!$D$7:$D$2738,$F819))</f>
        <v>0.0108736111111111</v>
      </c>
      <c r="H819" s="17" t="n">
        <f aca="false">IF(INDEX(選手一覧!$E$7:$E$2738,$F819)="","",INDEX(選手一覧!$E$7:$E$2738,$F819))</f>
        <v>877</v>
      </c>
      <c r="I819" s="16" t="str">
        <f aca="false">IF(INDEX(選手一覧!$H$7:$H$2738,$F819)="","",INDEX(選手一覧!$H$7:$H$2738,$F819))</f>
        <v/>
      </c>
      <c r="J819" s="17" t="str">
        <f aca="false">IF(INDEX(選手一覧!$I$7:$I$2738,$F819)="","",INDEX(選手一覧!$I$7:$I$2738,$F819))</f>
        <v/>
      </c>
    </row>
    <row r="820" customFormat="false" ht="15" hidden="false" customHeight="false" outlineLevel="0" collapsed="false">
      <c r="A820" s="17" t="n">
        <v>816</v>
      </c>
      <c r="B820" s="12" t="s">
        <v>3036</v>
      </c>
      <c r="C820" s="12" t="s">
        <v>2222</v>
      </c>
      <c r="D820" s="16" t="n">
        <v>0.00288506944444444</v>
      </c>
      <c r="E820" s="15" t="n">
        <f aca="false">ROUND((D820-$D$5)*86400,2)</f>
        <v>24.24</v>
      </c>
      <c r="F820" s="17" t="n">
        <v>1954</v>
      </c>
      <c r="G820" s="16" t="str">
        <f aca="false">IF(INDEX(選手一覧!$D$7:$D$2738,$F820)="","",INDEX(選手一覧!$D$7:$D$2738,$F820))</f>
        <v/>
      </c>
      <c r="H820" s="17" t="str">
        <f aca="false">IF(INDEX(選手一覧!$E$7:$E$2738,$F820)="","",INDEX(選手一覧!$E$7:$E$2738,$F820))</f>
        <v/>
      </c>
      <c r="I820" s="16" t="str">
        <f aca="false">IF(INDEX(選手一覧!$H$7:$H$2738,$F820)="","",INDEX(選手一覧!$H$7:$H$2738,$F820))</f>
        <v/>
      </c>
      <c r="J820" s="17" t="str">
        <f aca="false">IF(INDEX(選手一覧!$I$7:$I$2738,$F820)="","",INDEX(選手一覧!$I$7:$I$2738,$F820))</f>
        <v/>
      </c>
    </row>
    <row r="821" customFormat="false" ht="15" hidden="false" customHeight="false" outlineLevel="0" collapsed="false">
      <c r="A821" s="17" t="n">
        <v>817</v>
      </c>
      <c r="B821" s="12" t="s">
        <v>1509</v>
      </c>
      <c r="C821" s="12" t="s">
        <v>1510</v>
      </c>
      <c r="D821" s="16" t="n">
        <v>0.00288506944444444</v>
      </c>
      <c r="E821" s="15" t="n">
        <f aca="false">ROUND((D821-$D$5)*86400,2)</f>
        <v>24.24</v>
      </c>
      <c r="F821" s="17" t="n">
        <v>918</v>
      </c>
      <c r="G821" s="16" t="n">
        <f aca="false">IF(INDEX(選手一覧!$D$7:$D$2738,$F821)="","",INDEX(選手一覧!$D$7:$D$2738,$F821))</f>
        <v>0.0108982638888889</v>
      </c>
      <c r="H821" s="17" t="n">
        <f aca="false">IF(INDEX(選手一覧!$E$7:$E$2738,$F821)="","",INDEX(選手一覧!$E$7:$E$2738,$F821))</f>
        <v>919</v>
      </c>
      <c r="I821" s="16" t="str">
        <f aca="false">IF(INDEX(選手一覧!$H$7:$H$2738,$F821)="","",INDEX(選手一覧!$H$7:$H$2738,$F821))</f>
        <v/>
      </c>
      <c r="J821" s="17" t="str">
        <f aca="false">IF(INDEX(選手一覧!$I$7:$I$2738,$F821)="","",INDEX(選手一覧!$I$7:$I$2738,$F821))</f>
        <v/>
      </c>
    </row>
    <row r="822" customFormat="false" ht="15" hidden="false" customHeight="false" outlineLevel="0" collapsed="false">
      <c r="A822" s="17" t="n">
        <v>818</v>
      </c>
      <c r="B822" s="12" t="s">
        <v>3041</v>
      </c>
      <c r="C822" s="12" t="s">
        <v>1843</v>
      </c>
      <c r="D822" s="16" t="n">
        <v>0.00288518518518519</v>
      </c>
      <c r="E822" s="15" t="n">
        <f aca="false">ROUND((D822-$D$5)*86400,2)</f>
        <v>24.25</v>
      </c>
      <c r="F822" s="17" t="n">
        <v>1957</v>
      </c>
      <c r="G822" s="16" t="str">
        <f aca="false">IF(INDEX(選手一覧!$D$7:$D$2738,$F822)="","",INDEX(選手一覧!$D$7:$D$2738,$F822))</f>
        <v/>
      </c>
      <c r="H822" s="17" t="str">
        <f aca="false">IF(INDEX(選手一覧!$E$7:$E$2738,$F822)="","",INDEX(選手一覧!$E$7:$E$2738,$F822))</f>
        <v/>
      </c>
      <c r="I822" s="16" t="str">
        <f aca="false">IF(INDEX(選手一覧!$H$7:$H$2738,$F822)="","",INDEX(選手一覧!$H$7:$H$2738,$F822))</f>
        <v/>
      </c>
      <c r="J822" s="17" t="str">
        <f aca="false">IF(INDEX(選手一覧!$I$7:$I$2738,$F822)="","",INDEX(選手一覧!$I$7:$I$2738,$F822))</f>
        <v/>
      </c>
    </row>
    <row r="823" customFormat="false" ht="15" hidden="false" customHeight="false" outlineLevel="0" collapsed="false">
      <c r="A823" s="17" t="n">
        <v>819</v>
      </c>
      <c r="B823" s="12" t="s">
        <v>2175</v>
      </c>
      <c r="C823" s="12" t="s">
        <v>2176</v>
      </c>
      <c r="D823" s="16" t="n">
        <v>0.00288518518518519</v>
      </c>
      <c r="E823" s="15" t="n">
        <f aca="false">ROUND((D823-$D$5)*86400,2)</f>
        <v>24.25</v>
      </c>
      <c r="F823" s="17" t="n">
        <v>1383</v>
      </c>
      <c r="G823" s="16" t="str">
        <f aca="false">IF(INDEX(選手一覧!$D$7:$D$2738,$F823)="","",INDEX(選手一覧!$D$7:$D$2738,$F823))</f>
        <v/>
      </c>
      <c r="H823" s="17" t="str">
        <f aca="false">IF(INDEX(選手一覧!$E$7:$E$2738,$F823)="","",INDEX(選手一覧!$E$7:$E$2738,$F823))</f>
        <v/>
      </c>
      <c r="I823" s="16" t="n">
        <f aca="false">IF(INDEX(選手一覧!$H$7:$H$2738,$F823)="","",INDEX(選手一覧!$H$7:$H$2738,$F823))</f>
        <v>0.00691747685185185</v>
      </c>
      <c r="J823" s="17" t="n">
        <f aca="false">IF(INDEX(選手一覧!$I$7:$I$2738,$F823)="","",INDEX(選手一覧!$I$7:$I$2738,$F823))</f>
        <v>253</v>
      </c>
    </row>
    <row r="824" customFormat="false" ht="15" hidden="false" customHeight="false" outlineLevel="0" collapsed="false">
      <c r="A824" s="17" t="n">
        <v>820</v>
      </c>
      <c r="B824" s="12" t="s">
        <v>935</v>
      </c>
      <c r="C824" s="12" t="s">
        <v>936</v>
      </c>
      <c r="D824" s="16" t="n">
        <v>0.00288518518518519</v>
      </c>
      <c r="E824" s="15" t="n">
        <f aca="false">ROUND((D824-$D$5)*86400,2)</f>
        <v>24.25</v>
      </c>
      <c r="F824" s="17" t="n">
        <v>533</v>
      </c>
      <c r="G824" s="16" t="n">
        <f aca="false">IF(INDEX(選手一覧!$D$7:$D$2738,$F824)="","",INDEX(選手一覧!$D$7:$D$2738,$F824))</f>
        <v>0.0106591435185185</v>
      </c>
      <c r="H824" s="17" t="n">
        <f aca="false">IF(INDEX(選手一覧!$E$7:$E$2738,$F824)="","",INDEX(選手一覧!$E$7:$E$2738,$F824))</f>
        <v>534</v>
      </c>
      <c r="I824" s="16" t="n">
        <f aca="false">IF(INDEX(選手一覧!$H$7:$H$2738,$F824)="","",INDEX(選手一覧!$H$7:$H$2738,$F824))</f>
        <v>0.00670185185185185</v>
      </c>
      <c r="J824" s="17" t="n">
        <f aca="false">IF(INDEX(選手一覧!$I$7:$I$2738,$F824)="","",INDEX(選手一覧!$I$7:$I$2738,$F824))</f>
        <v>109</v>
      </c>
    </row>
    <row r="825" customFormat="false" ht="15" hidden="false" customHeight="false" outlineLevel="0" collapsed="false">
      <c r="A825" s="17" t="n">
        <v>821</v>
      </c>
      <c r="B825" s="12" t="s">
        <v>964</v>
      </c>
      <c r="C825" s="12" t="s">
        <v>965</v>
      </c>
      <c r="D825" s="16" t="n">
        <v>0.00288541666666667</v>
      </c>
      <c r="E825" s="15" t="n">
        <f aca="false">ROUND((D825-$D$5)*86400,2)</f>
        <v>24.27</v>
      </c>
      <c r="F825" s="17" t="n">
        <v>552</v>
      </c>
      <c r="G825" s="16" t="n">
        <f aca="false">IF(INDEX(選手一覧!$D$7:$D$2738,$F825)="","",INDEX(選手一覧!$D$7:$D$2738,$F825))</f>
        <v>0.0106737268518519</v>
      </c>
      <c r="H825" s="17" t="n">
        <f aca="false">IF(INDEX(選手一覧!$E$7:$E$2738,$F825)="","",INDEX(選手一覧!$E$7:$E$2738,$F825))</f>
        <v>553</v>
      </c>
      <c r="I825" s="16" t="n">
        <f aca="false">IF(INDEX(選手一覧!$H$7:$H$2738,$F825)="","",INDEX(選手一覧!$H$7:$H$2738,$F825))</f>
        <v>0.00646342592592593</v>
      </c>
      <c r="J825" s="17" t="n">
        <f aca="false">IF(INDEX(選手一覧!$I$7:$I$2738,$F825)="","",INDEX(選手一覧!$I$7:$I$2738,$F825))</f>
        <v>28</v>
      </c>
    </row>
    <row r="826" customFormat="false" ht="15" hidden="false" customHeight="false" outlineLevel="0" collapsed="false">
      <c r="A826" s="17" t="n">
        <v>822</v>
      </c>
      <c r="B826" s="12" t="s">
        <v>365</v>
      </c>
      <c r="C826" s="12" t="s">
        <v>54</v>
      </c>
      <c r="D826" s="16" t="n">
        <v>0.00288576388888889</v>
      </c>
      <c r="E826" s="15" t="n">
        <f aca="false">ROUND((D826-$D$5)*86400,2)</f>
        <v>24.3</v>
      </c>
      <c r="F826" s="17" t="n">
        <v>178</v>
      </c>
      <c r="G826" s="16" t="n">
        <f aca="false">IF(INDEX(選手一覧!$D$7:$D$2738,$F826)="","",INDEX(選手一覧!$D$7:$D$2738,$F826))</f>
        <v>0.0103261574074074</v>
      </c>
      <c r="H826" s="17" t="n">
        <f aca="false">IF(INDEX(選手一覧!$E$7:$E$2738,$F826)="","",INDEX(選手一覧!$E$7:$E$2738,$F826))</f>
        <v>179</v>
      </c>
      <c r="I826" s="16" t="str">
        <f aca="false">IF(INDEX(選手一覧!$H$7:$H$2738,$F826)="","",INDEX(選手一覧!$H$7:$H$2738,$F826))</f>
        <v/>
      </c>
      <c r="J826" s="17" t="str">
        <f aca="false">IF(INDEX(選手一覧!$I$7:$I$2738,$F826)="","",INDEX(選手一覧!$I$7:$I$2738,$F826))</f>
        <v/>
      </c>
    </row>
    <row r="827" customFormat="false" ht="15" hidden="false" customHeight="false" outlineLevel="0" collapsed="false">
      <c r="A827" s="17" t="n">
        <v>823</v>
      </c>
      <c r="B827" s="12" t="s">
        <v>2039</v>
      </c>
      <c r="C827" s="12" t="s">
        <v>601</v>
      </c>
      <c r="D827" s="16" t="n">
        <v>0.00288576388888889</v>
      </c>
      <c r="E827" s="15" t="n">
        <f aca="false">ROUND((D827-$D$5)*86400,2)</f>
        <v>24.3</v>
      </c>
      <c r="F827" s="17" t="n">
        <v>1289</v>
      </c>
      <c r="G827" s="16" t="n">
        <f aca="false">IF(INDEX(選手一覧!$D$7:$D$2738,$F827)="","",INDEX(選手一覧!$D$7:$D$2738,$F827))</f>
        <v>0.0111222222222222</v>
      </c>
      <c r="H827" s="17" t="n">
        <f aca="false">IF(INDEX(選手一覧!$E$7:$E$2738,$F827)="","",INDEX(選手一覧!$E$7:$E$2738,$F827))</f>
        <v>1290</v>
      </c>
      <c r="I827" s="16" t="str">
        <f aca="false">IF(INDEX(選手一覧!$H$7:$H$2738,$F827)="","",INDEX(選手一覧!$H$7:$H$2738,$F827))</f>
        <v/>
      </c>
      <c r="J827" s="17" t="str">
        <f aca="false">IF(INDEX(選手一覧!$I$7:$I$2738,$F827)="","",INDEX(選手一覧!$I$7:$I$2738,$F827))</f>
        <v/>
      </c>
    </row>
    <row r="828" customFormat="false" ht="15" hidden="false" customHeight="false" outlineLevel="0" collapsed="false">
      <c r="A828" s="17" t="n">
        <v>824</v>
      </c>
      <c r="B828" s="12" t="s">
        <v>1440</v>
      </c>
      <c r="C828" s="12" t="s">
        <v>311</v>
      </c>
      <c r="D828" s="16" t="n">
        <v>0.00288599537037037</v>
      </c>
      <c r="E828" s="15" t="n">
        <f aca="false">ROUND((D828-$D$5)*86400,2)</f>
        <v>24.32</v>
      </c>
      <c r="F828" s="17" t="n">
        <v>872</v>
      </c>
      <c r="G828" s="16" t="n">
        <f aca="false">IF(INDEX(選手一覧!$D$7:$D$2738,$F828)="","",INDEX(選手一覧!$D$7:$D$2738,$F828))</f>
        <v>0.0108726851851852</v>
      </c>
      <c r="H828" s="17" t="n">
        <f aca="false">IF(INDEX(選手一覧!$E$7:$E$2738,$F828)="","",INDEX(選手一覧!$E$7:$E$2738,$F828))</f>
        <v>873</v>
      </c>
      <c r="I828" s="16" t="str">
        <f aca="false">IF(INDEX(選手一覧!$H$7:$H$2738,$F828)="","",INDEX(選手一覧!$H$7:$H$2738,$F828))</f>
        <v/>
      </c>
      <c r="J828" s="17" t="str">
        <f aca="false">IF(INDEX(選手一覧!$I$7:$I$2738,$F828)="","",INDEX(選手一覧!$I$7:$I$2738,$F828))</f>
        <v/>
      </c>
    </row>
    <row r="829" customFormat="false" ht="15" hidden="false" customHeight="false" outlineLevel="0" collapsed="false">
      <c r="A829" s="17" t="n">
        <v>825</v>
      </c>
      <c r="B829" s="12" t="s">
        <v>3051</v>
      </c>
      <c r="C829" s="12" t="s">
        <v>204</v>
      </c>
      <c r="D829" s="16" t="n">
        <v>0.00288611111111111</v>
      </c>
      <c r="E829" s="15" t="n">
        <f aca="false">ROUND((D829-$D$5)*86400,2)</f>
        <v>24.33</v>
      </c>
      <c r="F829" s="17" t="n">
        <v>1965</v>
      </c>
      <c r="G829" s="16" t="str">
        <f aca="false">IF(INDEX(選手一覧!$D$7:$D$2738,$F829)="","",INDEX(選手一覧!$D$7:$D$2738,$F829))</f>
        <v/>
      </c>
      <c r="H829" s="17" t="str">
        <f aca="false">IF(INDEX(選手一覧!$E$7:$E$2738,$F829)="","",INDEX(選手一覧!$E$7:$E$2738,$F829))</f>
        <v/>
      </c>
      <c r="I829" s="16" t="str">
        <f aca="false">IF(INDEX(選手一覧!$H$7:$H$2738,$F829)="","",INDEX(選手一覧!$H$7:$H$2738,$F829))</f>
        <v/>
      </c>
      <c r="J829" s="17" t="str">
        <f aca="false">IF(INDEX(選手一覧!$I$7:$I$2738,$F829)="","",INDEX(選手一覧!$I$7:$I$2738,$F829))</f>
        <v/>
      </c>
    </row>
    <row r="830" customFormat="false" ht="15" hidden="false" customHeight="false" outlineLevel="0" collapsed="false">
      <c r="A830" s="17" t="n">
        <v>826</v>
      </c>
      <c r="B830" s="12" t="s">
        <v>386</v>
      </c>
      <c r="C830" s="12" t="s">
        <v>157</v>
      </c>
      <c r="D830" s="16" t="n">
        <v>0.00288611111111111</v>
      </c>
      <c r="E830" s="15" t="n">
        <f aca="false">ROUND((D830-$D$5)*86400,2)</f>
        <v>24.33</v>
      </c>
      <c r="F830" s="17" t="n">
        <v>191</v>
      </c>
      <c r="G830" s="16" t="n">
        <f aca="false">IF(INDEX(選手一覧!$D$7:$D$2738,$F830)="","",INDEX(選手一覧!$D$7:$D$2738,$F830))</f>
        <v>0.010340162037037</v>
      </c>
      <c r="H830" s="17" t="n">
        <f aca="false">IF(INDEX(選手一覧!$E$7:$E$2738,$F830)="","",INDEX(選手一覧!$E$7:$E$2738,$F830))</f>
        <v>192</v>
      </c>
      <c r="I830" s="16" t="str">
        <f aca="false">IF(INDEX(選手一覧!$H$7:$H$2738,$F830)="","",INDEX(選手一覧!$H$7:$H$2738,$F830))</f>
        <v/>
      </c>
      <c r="J830" s="17" t="str">
        <f aca="false">IF(INDEX(選手一覧!$I$7:$I$2738,$F830)="","",INDEX(選手一覧!$I$7:$I$2738,$F830))</f>
        <v/>
      </c>
    </row>
    <row r="831" customFormat="false" ht="15" hidden="false" customHeight="false" outlineLevel="0" collapsed="false">
      <c r="A831" s="17" t="n">
        <v>827</v>
      </c>
      <c r="B831" s="12" t="s">
        <v>3053</v>
      </c>
      <c r="C831" s="12" t="s">
        <v>2114</v>
      </c>
      <c r="D831" s="16" t="n">
        <v>0.00288657407407407</v>
      </c>
      <c r="E831" s="15" t="n">
        <f aca="false">ROUND((D831-$D$5)*86400,2)</f>
        <v>24.37</v>
      </c>
      <c r="F831" s="17" t="n">
        <v>1967</v>
      </c>
      <c r="G831" s="16" t="str">
        <f aca="false">IF(INDEX(選手一覧!$D$7:$D$2738,$F831)="","",INDEX(選手一覧!$D$7:$D$2738,$F831))</f>
        <v/>
      </c>
      <c r="H831" s="17" t="str">
        <f aca="false">IF(INDEX(選手一覧!$E$7:$E$2738,$F831)="","",INDEX(選手一覧!$E$7:$E$2738,$F831))</f>
        <v/>
      </c>
      <c r="I831" s="16" t="n">
        <f aca="false">IF(INDEX(選手一覧!$H$7:$H$2738,$F831)="","",INDEX(選手一覧!$H$7:$H$2738,$F831))</f>
        <v>0.00825486111111111</v>
      </c>
      <c r="J831" s="17" t="n">
        <f aca="false">IF(INDEX(選手一覧!$I$7:$I$2738,$F831)="","",INDEX(選手一覧!$I$7:$I$2738,$F831))</f>
        <v>1244</v>
      </c>
    </row>
    <row r="832" customFormat="false" ht="15" hidden="false" customHeight="false" outlineLevel="0" collapsed="false">
      <c r="A832" s="17" t="n">
        <v>828</v>
      </c>
      <c r="B832" s="12" t="s">
        <v>1475</v>
      </c>
      <c r="C832" s="12" t="s">
        <v>1476</v>
      </c>
      <c r="D832" s="16" t="n">
        <v>0.00288657407407407</v>
      </c>
      <c r="E832" s="15" t="n">
        <f aca="false">ROUND((D832-$D$5)*86400,2)</f>
        <v>24.37</v>
      </c>
      <c r="F832" s="17" t="n">
        <v>896</v>
      </c>
      <c r="G832" s="16" t="n">
        <f aca="false">IF(INDEX(選手一覧!$D$7:$D$2738,$F832)="","",INDEX(選手一覧!$D$7:$D$2738,$F832))</f>
        <v>0.0108834490740741</v>
      </c>
      <c r="H832" s="17" t="n">
        <f aca="false">IF(INDEX(選手一覧!$E$7:$E$2738,$F832)="","",INDEX(選手一覧!$E$7:$E$2738,$F832))</f>
        <v>897</v>
      </c>
      <c r="I832" s="16" t="str">
        <f aca="false">IF(INDEX(選手一覧!$H$7:$H$2738,$F832)="","",INDEX(選手一覧!$H$7:$H$2738,$F832))</f>
        <v/>
      </c>
      <c r="J832" s="17" t="str">
        <f aca="false">IF(INDEX(選手一覧!$I$7:$I$2738,$F832)="","",INDEX(選手一覧!$I$7:$I$2738,$F832))</f>
        <v/>
      </c>
    </row>
    <row r="833" customFormat="false" ht="15" hidden="false" customHeight="false" outlineLevel="0" collapsed="false">
      <c r="A833" s="17" t="n">
        <v>829</v>
      </c>
      <c r="B833" s="12" t="s">
        <v>710</v>
      </c>
      <c r="C833" s="12" t="s">
        <v>711</v>
      </c>
      <c r="D833" s="16" t="n">
        <v>0.00288657407407407</v>
      </c>
      <c r="E833" s="15" t="n">
        <f aca="false">ROUND((D833-$D$5)*86400,2)</f>
        <v>24.37</v>
      </c>
      <c r="F833" s="17" t="n">
        <v>393</v>
      </c>
      <c r="G833" s="16" t="n">
        <f aca="false">IF(INDEX(選手一覧!$D$7:$D$2738,$F833)="","",INDEX(選手一覧!$D$7:$D$2738,$F833))</f>
        <v>0.0105475694444444</v>
      </c>
      <c r="H833" s="17" t="n">
        <f aca="false">IF(INDEX(選手一覧!$E$7:$E$2738,$F833)="","",INDEX(選手一覧!$E$7:$E$2738,$F833))</f>
        <v>394</v>
      </c>
      <c r="I833" s="16" t="str">
        <f aca="false">IF(INDEX(選手一覧!$H$7:$H$2738,$F833)="","",INDEX(選手一覧!$H$7:$H$2738,$F833))</f>
        <v/>
      </c>
      <c r="J833" s="17" t="str">
        <f aca="false">IF(INDEX(選手一覧!$I$7:$I$2738,$F833)="","",INDEX(選手一覧!$I$7:$I$2738,$F833))</f>
        <v/>
      </c>
    </row>
    <row r="834" customFormat="false" ht="15" hidden="false" customHeight="false" outlineLevel="0" collapsed="false">
      <c r="A834" s="17" t="n">
        <v>830</v>
      </c>
      <c r="B834" s="12" t="s">
        <v>3061</v>
      </c>
      <c r="C834" s="12" t="s">
        <v>3062</v>
      </c>
      <c r="D834" s="16" t="n">
        <v>0.00288668981481482</v>
      </c>
      <c r="E834" s="15" t="n">
        <f aca="false">ROUND((D834-$D$5)*86400,2)</f>
        <v>24.38</v>
      </c>
      <c r="F834" s="17" t="n">
        <v>1972</v>
      </c>
      <c r="G834" s="16" t="str">
        <f aca="false">IF(INDEX(選手一覧!$D$7:$D$2738,$F834)="","",INDEX(選手一覧!$D$7:$D$2738,$F834))</f>
        <v/>
      </c>
      <c r="H834" s="17" t="str">
        <f aca="false">IF(INDEX(選手一覧!$E$7:$E$2738,$F834)="","",INDEX(選手一覧!$E$7:$E$2738,$F834))</f>
        <v/>
      </c>
      <c r="I834" s="16" t="str">
        <f aca="false">IF(INDEX(選手一覧!$H$7:$H$2738,$F834)="","",INDEX(選手一覧!$H$7:$H$2738,$F834))</f>
        <v/>
      </c>
      <c r="J834" s="17" t="str">
        <f aca="false">IF(INDEX(選手一覧!$I$7:$I$2738,$F834)="","",INDEX(選手一覧!$I$7:$I$2738,$F834))</f>
        <v/>
      </c>
    </row>
    <row r="835" customFormat="false" ht="15" hidden="false" customHeight="false" outlineLevel="0" collapsed="false">
      <c r="A835" s="17" t="n">
        <v>831</v>
      </c>
      <c r="B835" s="12" t="s">
        <v>3065</v>
      </c>
      <c r="C835" s="12" t="s">
        <v>532</v>
      </c>
      <c r="D835" s="16" t="n">
        <v>0.00288680555555556</v>
      </c>
      <c r="E835" s="15" t="n">
        <f aca="false">ROUND((D835-$D$5)*86400,2)</f>
        <v>24.39</v>
      </c>
      <c r="F835" s="17" t="n">
        <v>1974</v>
      </c>
      <c r="G835" s="16" t="str">
        <f aca="false">IF(INDEX(選手一覧!$D$7:$D$2738,$F835)="","",INDEX(選手一覧!$D$7:$D$2738,$F835))</f>
        <v/>
      </c>
      <c r="H835" s="17" t="str">
        <f aca="false">IF(INDEX(選手一覧!$E$7:$E$2738,$F835)="","",INDEX(選手一覧!$E$7:$E$2738,$F835))</f>
        <v/>
      </c>
      <c r="I835" s="16" t="str">
        <f aca="false">IF(INDEX(選手一覧!$H$7:$H$2738,$F835)="","",INDEX(選手一覧!$H$7:$H$2738,$F835))</f>
        <v/>
      </c>
      <c r="J835" s="17" t="str">
        <f aca="false">IF(INDEX(選手一覧!$I$7:$I$2738,$F835)="","",INDEX(選手一覧!$I$7:$I$2738,$F835))</f>
        <v/>
      </c>
    </row>
    <row r="836" customFormat="false" ht="15" hidden="false" customHeight="false" outlineLevel="0" collapsed="false">
      <c r="A836" s="17" t="n">
        <v>832</v>
      </c>
      <c r="B836" s="12" t="s">
        <v>2759</v>
      </c>
      <c r="C836" s="12" t="s">
        <v>1721</v>
      </c>
      <c r="D836" s="16" t="n">
        <v>0.0028869212962963</v>
      </c>
      <c r="E836" s="15" t="n">
        <f aca="false">ROUND((D836-$D$5)*86400,2)</f>
        <v>24.4</v>
      </c>
      <c r="F836" s="17" t="n">
        <v>1768</v>
      </c>
      <c r="G836" s="16" t="str">
        <f aca="false">IF(INDEX(選手一覧!$D$7:$D$2738,$F836)="","",INDEX(選手一覧!$D$7:$D$2738,$F836))</f>
        <v/>
      </c>
      <c r="H836" s="17" t="str">
        <f aca="false">IF(INDEX(選手一覧!$E$7:$E$2738,$F836)="","",INDEX(選手一覧!$E$7:$E$2738,$F836))</f>
        <v/>
      </c>
      <c r="I836" s="16" t="n">
        <f aca="false">IF(INDEX(選手一覧!$H$7:$H$2738,$F836)="","",INDEX(選手一覧!$H$7:$H$2738,$F836))</f>
        <v>0.00731782407407407</v>
      </c>
      <c r="J836" s="17" t="n">
        <f aca="false">IF(INDEX(選手一覧!$I$7:$I$2738,$F836)="","",INDEX(選手一覧!$I$7:$I$2738,$F836))</f>
        <v>667</v>
      </c>
    </row>
    <row r="837" customFormat="false" ht="15" hidden="false" customHeight="false" outlineLevel="0" collapsed="false">
      <c r="A837" s="17" t="n">
        <v>833</v>
      </c>
      <c r="B837" s="12" t="s">
        <v>1820</v>
      </c>
      <c r="C837" s="12" t="s">
        <v>1821</v>
      </c>
      <c r="D837" s="16" t="n">
        <v>0.0028869212962963</v>
      </c>
      <c r="E837" s="15" t="n">
        <f aca="false">ROUND((D837-$D$5)*86400,2)</f>
        <v>24.4</v>
      </c>
      <c r="F837" s="17" t="n">
        <v>1127</v>
      </c>
      <c r="G837" s="16" t="n">
        <f aca="false">IF(INDEX(選手一覧!$D$7:$D$2738,$F837)="","",INDEX(選手一覧!$D$7:$D$2738,$F837))</f>
        <v>0.0110190972222222</v>
      </c>
      <c r="H837" s="17" t="n">
        <f aca="false">IF(INDEX(選手一覧!$E$7:$E$2738,$F837)="","",INDEX(選手一覧!$E$7:$E$2738,$F837))</f>
        <v>1128</v>
      </c>
      <c r="I837" s="16" t="str">
        <f aca="false">IF(INDEX(選手一覧!$H$7:$H$2738,$F837)="","",INDEX(選手一覧!$H$7:$H$2738,$F837))</f>
        <v/>
      </c>
      <c r="J837" s="17" t="str">
        <f aca="false">IF(INDEX(選手一覧!$I$7:$I$2738,$F837)="","",INDEX(選手一覧!$I$7:$I$2738,$F837))</f>
        <v/>
      </c>
    </row>
    <row r="838" customFormat="false" ht="15" hidden="false" customHeight="false" outlineLevel="0" collapsed="false">
      <c r="A838" s="17" t="n">
        <v>834</v>
      </c>
      <c r="B838" s="12" t="s">
        <v>3070</v>
      </c>
      <c r="C838" s="12" t="s">
        <v>2504</v>
      </c>
      <c r="D838" s="16" t="n">
        <v>0.00288703703703704</v>
      </c>
      <c r="E838" s="15" t="n">
        <f aca="false">ROUND((D838-$D$5)*86400,2)</f>
        <v>24.41</v>
      </c>
      <c r="F838" s="17" t="n">
        <v>1978</v>
      </c>
      <c r="G838" s="16" t="str">
        <f aca="false">IF(INDEX(選手一覧!$D$7:$D$2738,$F838)="","",INDEX(選手一覧!$D$7:$D$2738,$F838))</f>
        <v/>
      </c>
      <c r="H838" s="17" t="str">
        <f aca="false">IF(INDEX(選手一覧!$E$7:$E$2738,$F838)="","",INDEX(選手一覧!$E$7:$E$2738,$F838))</f>
        <v/>
      </c>
      <c r="I838" s="16" t="str">
        <f aca="false">IF(INDEX(選手一覧!$H$7:$H$2738,$F838)="","",INDEX(選手一覧!$H$7:$H$2738,$F838))</f>
        <v/>
      </c>
      <c r="J838" s="17" t="str">
        <f aca="false">IF(INDEX(選手一覧!$I$7:$I$2738,$F838)="","",INDEX(選手一覧!$I$7:$I$2738,$F838))</f>
        <v/>
      </c>
    </row>
    <row r="839" customFormat="false" ht="15" hidden="false" customHeight="false" outlineLevel="0" collapsed="false">
      <c r="A839" s="17" t="n">
        <v>835</v>
      </c>
      <c r="B839" s="12" t="s">
        <v>1203</v>
      </c>
      <c r="C839" s="12" t="s">
        <v>757</v>
      </c>
      <c r="D839" s="16" t="n">
        <v>0.00288703703703704</v>
      </c>
      <c r="E839" s="15" t="n">
        <f aca="false">ROUND((D839-$D$5)*86400,2)</f>
        <v>24.41</v>
      </c>
      <c r="F839" s="17" t="n">
        <v>715</v>
      </c>
      <c r="G839" s="16" t="n">
        <f aca="false">IF(INDEX(選手一覧!$D$7:$D$2738,$F839)="","",INDEX(選手一覧!$D$7:$D$2738,$F839))</f>
        <v>0.0107875</v>
      </c>
      <c r="H839" s="17" t="n">
        <f aca="false">IF(INDEX(選手一覧!$E$7:$E$2738,$F839)="","",INDEX(選手一覧!$E$7:$E$2738,$F839))</f>
        <v>716</v>
      </c>
      <c r="I839" s="16" t="str">
        <f aca="false">IF(INDEX(選手一覧!$H$7:$H$2738,$F839)="","",INDEX(選手一覧!$H$7:$H$2738,$F839))</f>
        <v/>
      </c>
      <c r="J839" s="17" t="str">
        <f aca="false">IF(INDEX(選手一覧!$I$7:$I$2738,$F839)="","",INDEX(選手一覧!$I$7:$I$2738,$F839))</f>
        <v/>
      </c>
    </row>
    <row r="840" customFormat="false" ht="15" hidden="false" customHeight="false" outlineLevel="0" collapsed="false">
      <c r="A840" s="17" t="n">
        <v>836</v>
      </c>
      <c r="B840" s="12" t="s">
        <v>3074</v>
      </c>
      <c r="C840" s="12" t="s">
        <v>152</v>
      </c>
      <c r="D840" s="16" t="n">
        <v>0.00288703703703704</v>
      </c>
      <c r="E840" s="15" t="n">
        <f aca="false">ROUND((D840-$D$5)*86400,2)</f>
        <v>24.41</v>
      </c>
      <c r="F840" s="17" t="n">
        <v>1981</v>
      </c>
      <c r="G840" s="16" t="str">
        <f aca="false">IF(INDEX(選手一覧!$D$7:$D$2738,$F840)="","",INDEX(選手一覧!$D$7:$D$2738,$F840))</f>
        <v/>
      </c>
      <c r="H840" s="17" t="str">
        <f aca="false">IF(INDEX(選手一覧!$E$7:$E$2738,$F840)="","",INDEX(選手一覧!$E$7:$E$2738,$F840))</f>
        <v/>
      </c>
      <c r="I840" s="16" t="str">
        <f aca="false">IF(INDEX(選手一覧!$H$7:$H$2738,$F840)="","",INDEX(選手一覧!$H$7:$H$2738,$F840))</f>
        <v/>
      </c>
      <c r="J840" s="17" t="str">
        <f aca="false">IF(INDEX(選手一覧!$I$7:$I$2738,$F840)="","",INDEX(選手一覧!$I$7:$I$2738,$F840))</f>
        <v/>
      </c>
    </row>
    <row r="841" customFormat="false" ht="15" hidden="false" customHeight="false" outlineLevel="0" collapsed="false">
      <c r="A841" s="17" t="n">
        <v>837</v>
      </c>
      <c r="B841" s="12" t="s">
        <v>932</v>
      </c>
      <c r="C841" s="12" t="s">
        <v>933</v>
      </c>
      <c r="D841" s="16" t="n">
        <v>0.00288715277777778</v>
      </c>
      <c r="E841" s="15" t="n">
        <f aca="false">ROUND((D841-$D$5)*86400,2)</f>
        <v>24.42</v>
      </c>
      <c r="F841" s="17" t="n">
        <v>532</v>
      </c>
      <c r="G841" s="16" t="n">
        <f aca="false">IF(INDEX(選手一覧!$D$7:$D$2738,$F841)="","",INDEX(選手一覧!$D$7:$D$2738,$F841))</f>
        <v>0.0106582175925926</v>
      </c>
      <c r="H841" s="17" t="n">
        <f aca="false">IF(INDEX(選手一覧!$E$7:$E$2738,$F841)="","",INDEX(選手一覧!$E$7:$E$2738,$F841))</f>
        <v>533</v>
      </c>
      <c r="I841" s="16" t="str">
        <f aca="false">IF(INDEX(選手一覧!$H$7:$H$2738,$F841)="","",INDEX(選手一覧!$H$7:$H$2738,$F841))</f>
        <v/>
      </c>
      <c r="J841" s="17" t="str">
        <f aca="false">IF(INDEX(選手一覧!$I$7:$I$2738,$F841)="","",INDEX(選手一覧!$I$7:$I$2738,$F841))</f>
        <v/>
      </c>
    </row>
    <row r="842" customFormat="false" ht="15" hidden="false" customHeight="false" outlineLevel="0" collapsed="false">
      <c r="A842" s="17" t="n">
        <v>838</v>
      </c>
      <c r="B842" s="12" t="s">
        <v>3079</v>
      </c>
      <c r="C842" s="12" t="s">
        <v>1141</v>
      </c>
      <c r="D842" s="16" t="n">
        <v>0.00288738425925926</v>
      </c>
      <c r="E842" s="15" t="n">
        <f aca="false">ROUND((D842-$D$5)*86400,2)</f>
        <v>24.44</v>
      </c>
      <c r="F842" s="17" t="n">
        <v>1984</v>
      </c>
      <c r="G842" s="16" t="str">
        <f aca="false">IF(INDEX(選手一覧!$D$7:$D$2738,$F842)="","",INDEX(選手一覧!$D$7:$D$2738,$F842))</f>
        <v/>
      </c>
      <c r="H842" s="17" t="str">
        <f aca="false">IF(INDEX(選手一覧!$E$7:$E$2738,$F842)="","",INDEX(選手一覧!$E$7:$E$2738,$F842))</f>
        <v/>
      </c>
      <c r="I842" s="16" t="str">
        <f aca="false">IF(INDEX(選手一覧!$H$7:$H$2738,$F842)="","",INDEX(選手一覧!$H$7:$H$2738,$F842))</f>
        <v/>
      </c>
      <c r="J842" s="17" t="str">
        <f aca="false">IF(INDEX(選手一覧!$I$7:$I$2738,$F842)="","",INDEX(選手一覧!$I$7:$I$2738,$F842))</f>
        <v/>
      </c>
    </row>
    <row r="843" customFormat="false" ht="15" hidden="false" customHeight="false" outlineLevel="0" collapsed="false">
      <c r="A843" s="17" t="n">
        <v>839</v>
      </c>
      <c r="B843" s="12" t="s">
        <v>1553</v>
      </c>
      <c r="C843" s="12" t="s">
        <v>440</v>
      </c>
      <c r="D843" s="16" t="n">
        <v>0.0028875</v>
      </c>
      <c r="E843" s="15" t="n">
        <f aca="false">ROUND((D843-$D$5)*86400,2)</f>
        <v>24.45</v>
      </c>
      <c r="F843" s="17" t="n">
        <v>949</v>
      </c>
      <c r="G843" s="16" t="n">
        <f aca="false">IF(INDEX(選手一覧!$D$7:$D$2738,$F843)="","",INDEX(選手一覧!$D$7:$D$2738,$F843))</f>
        <v>0.0109190972222222</v>
      </c>
      <c r="H843" s="17" t="n">
        <f aca="false">IF(INDEX(選手一覧!$E$7:$E$2738,$F843)="","",INDEX(選手一覧!$E$7:$E$2738,$F843))</f>
        <v>950</v>
      </c>
      <c r="I843" s="16" t="str">
        <f aca="false">IF(INDEX(選手一覧!$H$7:$H$2738,$F843)="","",INDEX(選手一覧!$H$7:$H$2738,$F843))</f>
        <v/>
      </c>
      <c r="J843" s="17" t="str">
        <f aca="false">IF(INDEX(選手一覧!$I$7:$I$2738,$F843)="","",INDEX(選手一覧!$I$7:$I$2738,$F843))</f>
        <v/>
      </c>
    </row>
    <row r="844" customFormat="false" ht="15" hidden="false" customHeight="false" outlineLevel="0" collapsed="false">
      <c r="A844" s="17" t="n">
        <v>840</v>
      </c>
      <c r="B844" s="12" t="s">
        <v>2210</v>
      </c>
      <c r="C844" s="12" t="s">
        <v>80</v>
      </c>
      <c r="D844" s="16" t="n">
        <v>0.00288761574074074</v>
      </c>
      <c r="E844" s="15" t="n">
        <f aca="false">ROUND((D844-$D$5)*86400,2)</f>
        <v>24.46</v>
      </c>
      <c r="F844" s="17" t="n">
        <v>1408</v>
      </c>
      <c r="G844" s="16" t="str">
        <f aca="false">IF(INDEX(選手一覧!$D$7:$D$2738,$F844)="","",INDEX(選手一覧!$D$7:$D$2738,$F844))</f>
        <v/>
      </c>
      <c r="H844" s="17" t="str">
        <f aca="false">IF(INDEX(選手一覧!$E$7:$E$2738,$F844)="","",INDEX(選手一覧!$E$7:$E$2738,$F844))</f>
        <v/>
      </c>
      <c r="I844" s="16" t="n">
        <f aca="false">IF(INDEX(選手一覧!$H$7:$H$2738,$F844)="","",INDEX(選手一覧!$H$7:$H$2738,$F844))</f>
        <v>0.00693865740740741</v>
      </c>
      <c r="J844" s="17" t="n">
        <f aca="false">IF(INDEX(選手一覧!$I$7:$I$2738,$F844)="","",INDEX(選手一覧!$I$7:$I$2738,$F844))</f>
        <v>281</v>
      </c>
    </row>
    <row r="845" customFormat="false" ht="15" hidden="false" customHeight="false" outlineLevel="0" collapsed="false">
      <c r="A845" s="17" t="n">
        <v>841</v>
      </c>
      <c r="B845" s="12" t="s">
        <v>1908</v>
      </c>
      <c r="C845" s="12" t="s">
        <v>1909</v>
      </c>
      <c r="D845" s="16" t="n">
        <v>0.00288773148148148</v>
      </c>
      <c r="E845" s="15" t="n">
        <f aca="false">ROUND((D845-$D$5)*86400,2)</f>
        <v>24.47</v>
      </c>
      <c r="F845" s="17" t="n">
        <v>1189</v>
      </c>
      <c r="G845" s="16" t="n">
        <f aca="false">IF(INDEX(選手一覧!$D$7:$D$2738,$F845)="","",INDEX(選手一覧!$D$7:$D$2738,$F845))</f>
        <v>0.0110453703703704</v>
      </c>
      <c r="H845" s="17" t="n">
        <f aca="false">IF(INDEX(選手一覧!$E$7:$E$2738,$F845)="","",INDEX(選手一覧!$E$7:$E$2738,$F845))</f>
        <v>1190</v>
      </c>
      <c r="I845" s="16" t="str">
        <f aca="false">IF(INDEX(選手一覧!$H$7:$H$2738,$F845)="","",INDEX(選手一覧!$H$7:$H$2738,$F845))</f>
        <v/>
      </c>
      <c r="J845" s="17" t="str">
        <f aca="false">IF(INDEX(選手一覧!$I$7:$I$2738,$F845)="","",INDEX(選手一覧!$I$7:$I$2738,$F845))</f>
        <v/>
      </c>
    </row>
    <row r="846" customFormat="false" ht="15" hidden="false" customHeight="false" outlineLevel="0" collapsed="false">
      <c r="A846" s="17" t="n">
        <v>842</v>
      </c>
      <c r="B846" s="12" t="s">
        <v>3084</v>
      </c>
      <c r="C846" s="12" t="s">
        <v>1729</v>
      </c>
      <c r="D846" s="16" t="n">
        <v>0.00288773148148148</v>
      </c>
      <c r="E846" s="15" t="n">
        <f aca="false">ROUND((D846-$D$5)*86400,2)</f>
        <v>24.47</v>
      </c>
      <c r="F846" s="17" t="n">
        <v>1987</v>
      </c>
      <c r="G846" s="16" t="str">
        <f aca="false">IF(INDEX(選手一覧!$D$7:$D$2738,$F846)="","",INDEX(選手一覧!$D$7:$D$2738,$F846))</f>
        <v/>
      </c>
      <c r="H846" s="17" t="str">
        <f aca="false">IF(INDEX(選手一覧!$E$7:$E$2738,$F846)="","",INDEX(選手一覧!$E$7:$E$2738,$F846))</f>
        <v/>
      </c>
      <c r="I846" s="16" t="str">
        <f aca="false">IF(INDEX(選手一覧!$H$7:$H$2738,$F846)="","",INDEX(選手一覧!$H$7:$H$2738,$F846))</f>
        <v/>
      </c>
      <c r="J846" s="17" t="str">
        <f aca="false">IF(INDEX(選手一覧!$I$7:$I$2738,$F846)="","",INDEX(選手一覧!$I$7:$I$2738,$F846))</f>
        <v/>
      </c>
    </row>
    <row r="847" customFormat="false" ht="15" hidden="false" customHeight="false" outlineLevel="0" collapsed="false">
      <c r="A847" s="17" t="n">
        <v>843</v>
      </c>
      <c r="B847" s="12" t="s">
        <v>3086</v>
      </c>
      <c r="C847" s="12" t="s">
        <v>3087</v>
      </c>
      <c r="D847" s="16" t="n">
        <v>0.00288784722222222</v>
      </c>
      <c r="E847" s="15" t="n">
        <f aca="false">ROUND((D847-$D$5)*86400,2)</f>
        <v>24.48</v>
      </c>
      <c r="F847" s="17" t="n">
        <v>1989</v>
      </c>
      <c r="G847" s="16" t="str">
        <f aca="false">IF(INDEX(選手一覧!$D$7:$D$2738,$F847)="","",INDEX(選手一覧!$D$7:$D$2738,$F847))</f>
        <v/>
      </c>
      <c r="H847" s="17" t="str">
        <f aca="false">IF(INDEX(選手一覧!$E$7:$E$2738,$F847)="","",INDEX(選手一覧!$E$7:$E$2738,$F847))</f>
        <v/>
      </c>
      <c r="I847" s="16" t="str">
        <f aca="false">IF(INDEX(選手一覧!$H$7:$H$2738,$F847)="","",INDEX(選手一覧!$H$7:$H$2738,$F847))</f>
        <v/>
      </c>
      <c r="J847" s="17" t="str">
        <f aca="false">IF(INDEX(選手一覧!$I$7:$I$2738,$F847)="","",INDEX(選手一覧!$I$7:$I$2738,$F847))</f>
        <v/>
      </c>
    </row>
    <row r="848" customFormat="false" ht="15" hidden="false" customHeight="false" outlineLevel="0" collapsed="false">
      <c r="A848" s="17" t="n">
        <v>844</v>
      </c>
      <c r="B848" s="12" t="s">
        <v>1624</v>
      </c>
      <c r="C848" s="12" t="s">
        <v>1625</v>
      </c>
      <c r="D848" s="16" t="n">
        <v>0.00288784722222222</v>
      </c>
      <c r="E848" s="15" t="n">
        <f aca="false">ROUND((D848-$D$5)*86400,2)</f>
        <v>24.48</v>
      </c>
      <c r="F848" s="17" t="n">
        <v>998</v>
      </c>
      <c r="G848" s="16" t="n">
        <f aca="false">IF(INDEX(選手一覧!$D$7:$D$2738,$F848)="","",INDEX(選手一覧!$D$7:$D$2738,$F848))</f>
        <v>0.0109497685185185</v>
      </c>
      <c r="H848" s="17" t="n">
        <f aca="false">IF(INDEX(選手一覧!$E$7:$E$2738,$F848)="","",INDEX(選手一覧!$E$7:$E$2738,$F848))</f>
        <v>999</v>
      </c>
      <c r="I848" s="16" t="str">
        <f aca="false">IF(INDEX(選手一覧!$H$7:$H$2738,$F848)="","",INDEX(選手一覧!$H$7:$H$2738,$F848))</f>
        <v/>
      </c>
      <c r="J848" s="17" t="str">
        <f aca="false">IF(INDEX(選手一覧!$I$7:$I$2738,$F848)="","",INDEX(選手一覧!$I$7:$I$2738,$F848))</f>
        <v/>
      </c>
    </row>
    <row r="849" customFormat="false" ht="15" hidden="false" customHeight="false" outlineLevel="0" collapsed="false">
      <c r="A849" s="17" t="n">
        <v>845</v>
      </c>
      <c r="B849" s="12" t="s">
        <v>1101</v>
      </c>
      <c r="C849" s="12" t="s">
        <v>695</v>
      </c>
      <c r="D849" s="16" t="n">
        <v>0.00288784722222222</v>
      </c>
      <c r="E849" s="15" t="n">
        <f aca="false">ROUND((D849-$D$5)*86400,2)</f>
        <v>24.48</v>
      </c>
      <c r="F849" s="17" t="n">
        <v>651</v>
      </c>
      <c r="G849" s="16" t="n">
        <f aca="false">IF(INDEX(選手一覧!$D$7:$D$2738,$F849)="","",INDEX(選手一覧!$D$7:$D$2738,$F849))</f>
        <v>0.0107398148148148</v>
      </c>
      <c r="H849" s="17" t="n">
        <f aca="false">IF(INDEX(選手一覧!$E$7:$E$2738,$F849)="","",INDEX(選手一覧!$E$7:$E$2738,$F849))</f>
        <v>652</v>
      </c>
      <c r="I849" s="16" t="n">
        <f aca="false">IF(INDEX(選手一覧!$H$7:$H$2738,$F849)="","",INDEX(選手一覧!$H$7:$H$2738,$F849))</f>
        <v>0.00695972222222222</v>
      </c>
      <c r="J849" s="17" t="n">
        <f aca="false">IF(INDEX(選手一覧!$I$7:$I$2738,$F849)="","",INDEX(選手一覧!$I$7:$I$2738,$F849))</f>
        <v>293</v>
      </c>
    </row>
    <row r="850" customFormat="false" ht="15" hidden="false" customHeight="false" outlineLevel="0" collapsed="false">
      <c r="A850" s="17" t="n">
        <v>846</v>
      </c>
      <c r="B850" s="12" t="s">
        <v>3092</v>
      </c>
      <c r="C850" s="12" t="s">
        <v>1697</v>
      </c>
      <c r="D850" s="16" t="n">
        <v>0.00288784722222222</v>
      </c>
      <c r="E850" s="15" t="n">
        <f aca="false">ROUND((D850-$D$5)*86400,2)</f>
        <v>24.48</v>
      </c>
      <c r="F850" s="17" t="n">
        <v>1993</v>
      </c>
      <c r="G850" s="16" t="str">
        <f aca="false">IF(INDEX(選手一覧!$D$7:$D$2738,$F850)="","",INDEX(選手一覧!$D$7:$D$2738,$F850))</f>
        <v/>
      </c>
      <c r="H850" s="17" t="str">
        <f aca="false">IF(INDEX(選手一覧!$E$7:$E$2738,$F850)="","",INDEX(選手一覧!$E$7:$E$2738,$F850))</f>
        <v/>
      </c>
      <c r="I850" s="16" t="str">
        <f aca="false">IF(INDEX(選手一覧!$H$7:$H$2738,$F850)="","",INDEX(選手一覧!$H$7:$H$2738,$F850))</f>
        <v/>
      </c>
      <c r="J850" s="17" t="str">
        <f aca="false">IF(INDEX(選手一覧!$I$7:$I$2738,$F850)="","",INDEX(選手一覧!$I$7:$I$2738,$F850))</f>
        <v/>
      </c>
    </row>
    <row r="851" customFormat="false" ht="15" hidden="false" customHeight="false" outlineLevel="0" collapsed="false">
      <c r="A851" s="17" t="n">
        <v>847</v>
      </c>
      <c r="B851" s="12" t="s">
        <v>1660</v>
      </c>
      <c r="C851" s="12" t="s">
        <v>1661</v>
      </c>
      <c r="D851" s="16" t="n">
        <v>0.00288796296296296</v>
      </c>
      <c r="E851" s="15" t="n">
        <f aca="false">ROUND((D851-$D$5)*86400,2)</f>
        <v>24.49</v>
      </c>
      <c r="F851" s="17" t="n">
        <v>1022</v>
      </c>
      <c r="G851" s="16" t="n">
        <f aca="false">IF(INDEX(選手一覧!$D$7:$D$2738,$F851)="","",INDEX(選手一覧!$D$7:$D$2738,$F851))</f>
        <v>0.0109631944444445</v>
      </c>
      <c r="H851" s="17" t="n">
        <f aca="false">IF(INDEX(選手一覧!$E$7:$E$2738,$F851)="","",INDEX(選手一覧!$E$7:$E$2738,$F851))</f>
        <v>1023</v>
      </c>
      <c r="I851" s="16" t="str">
        <f aca="false">IF(INDEX(選手一覧!$H$7:$H$2738,$F851)="","",INDEX(選手一覧!$H$7:$H$2738,$F851))</f>
        <v/>
      </c>
      <c r="J851" s="17" t="str">
        <f aca="false">IF(INDEX(選手一覧!$I$7:$I$2738,$F851)="","",INDEX(選手一覧!$I$7:$I$2738,$F851))</f>
        <v/>
      </c>
    </row>
    <row r="852" customFormat="false" ht="15" hidden="false" customHeight="false" outlineLevel="0" collapsed="false">
      <c r="A852" s="17" t="n">
        <v>848</v>
      </c>
      <c r="B852" s="12" t="s">
        <v>928</v>
      </c>
      <c r="C852" s="12" t="s">
        <v>929</v>
      </c>
      <c r="D852" s="16" t="n">
        <v>0.0028880787037037</v>
      </c>
      <c r="E852" s="15" t="n">
        <f aca="false">ROUND((D852-$D$5)*86400,2)</f>
        <v>24.5</v>
      </c>
      <c r="F852" s="17" t="n">
        <v>530</v>
      </c>
      <c r="G852" s="16" t="n">
        <f aca="false">IF(INDEX(選手一覧!$D$7:$D$2738,$F852)="","",INDEX(選手一覧!$D$7:$D$2738,$F852))</f>
        <v>0.0106542824074074</v>
      </c>
      <c r="H852" s="17" t="n">
        <f aca="false">IF(INDEX(選手一覧!$E$7:$E$2738,$F852)="","",INDEX(選手一覧!$E$7:$E$2738,$F852))</f>
        <v>531</v>
      </c>
      <c r="I852" s="16" t="n">
        <f aca="false">IF(INDEX(選手一覧!$H$7:$H$2738,$F852)="","",INDEX(選手一覧!$H$7:$H$2738,$F852))</f>
        <v>0.00679710648148148</v>
      </c>
      <c r="J852" s="17" t="n">
        <f aca="false">IF(INDEX(選手一覧!$I$7:$I$2738,$F852)="","",INDEX(選手一覧!$I$7:$I$2738,$F852))</f>
        <v>168</v>
      </c>
    </row>
    <row r="853" customFormat="false" ht="15" hidden="false" customHeight="false" outlineLevel="0" collapsed="false">
      <c r="A853" s="17" t="n">
        <v>849</v>
      </c>
      <c r="B853" s="12" t="s">
        <v>3099</v>
      </c>
      <c r="C853" s="12" t="s">
        <v>34</v>
      </c>
      <c r="D853" s="16" t="n">
        <v>0.00288819444444445</v>
      </c>
      <c r="E853" s="15" t="n">
        <f aca="false">ROUND((D853-$D$5)*86400,2)</f>
        <v>24.51</v>
      </c>
      <c r="F853" s="17" t="n">
        <v>1997</v>
      </c>
      <c r="G853" s="16" t="str">
        <f aca="false">IF(INDEX(選手一覧!$D$7:$D$2738,$F853)="","",INDEX(選手一覧!$D$7:$D$2738,$F853))</f>
        <v/>
      </c>
      <c r="H853" s="17" t="str">
        <f aca="false">IF(INDEX(選手一覧!$E$7:$E$2738,$F853)="","",INDEX(選手一覧!$E$7:$E$2738,$F853))</f>
        <v/>
      </c>
      <c r="I853" s="16" t="str">
        <f aca="false">IF(INDEX(選手一覧!$H$7:$H$2738,$F853)="","",INDEX(選手一覧!$H$7:$H$2738,$F853))</f>
        <v/>
      </c>
      <c r="J853" s="17" t="str">
        <f aca="false">IF(INDEX(選手一覧!$I$7:$I$2738,$F853)="","",INDEX(選手一覧!$I$7:$I$2738,$F853))</f>
        <v/>
      </c>
    </row>
    <row r="854" customFormat="false" ht="15" hidden="false" customHeight="false" outlineLevel="0" collapsed="false">
      <c r="A854" s="17" t="n">
        <v>850</v>
      </c>
      <c r="B854" s="12" t="s">
        <v>3101</v>
      </c>
      <c r="C854" s="12" t="s">
        <v>3102</v>
      </c>
      <c r="D854" s="16" t="n">
        <v>0.00288819444444445</v>
      </c>
      <c r="E854" s="15" t="n">
        <f aca="false">ROUND((D854-$D$5)*86400,2)</f>
        <v>24.51</v>
      </c>
      <c r="F854" s="17" t="n">
        <v>1999</v>
      </c>
      <c r="G854" s="16" t="str">
        <f aca="false">IF(INDEX(選手一覧!$D$7:$D$2738,$F854)="","",INDEX(選手一覧!$D$7:$D$2738,$F854))</f>
        <v/>
      </c>
      <c r="H854" s="17" t="str">
        <f aca="false">IF(INDEX(選手一覧!$E$7:$E$2738,$F854)="","",INDEX(選手一覧!$E$7:$E$2738,$F854))</f>
        <v/>
      </c>
      <c r="I854" s="16" t="str">
        <f aca="false">IF(INDEX(選手一覧!$H$7:$H$2738,$F854)="","",INDEX(選手一覧!$H$7:$H$2738,$F854))</f>
        <v/>
      </c>
      <c r="J854" s="17" t="str">
        <f aca="false">IF(INDEX(選手一覧!$I$7:$I$2738,$F854)="","",INDEX(選手一覧!$I$7:$I$2738,$F854))</f>
        <v/>
      </c>
    </row>
    <row r="855" customFormat="false" ht="15" hidden="false" customHeight="false" outlineLevel="0" collapsed="false">
      <c r="A855" s="17" t="n">
        <v>851</v>
      </c>
      <c r="B855" s="12" t="s">
        <v>1149</v>
      </c>
      <c r="C855" s="12" t="s">
        <v>1047</v>
      </c>
      <c r="D855" s="16" t="n">
        <v>0.00288842592592593</v>
      </c>
      <c r="E855" s="15" t="n">
        <f aca="false">ROUND((D855-$D$5)*86400,2)</f>
        <v>24.53</v>
      </c>
      <c r="F855" s="17" t="n">
        <v>680</v>
      </c>
      <c r="G855" s="16" t="n">
        <f aca="false">IF(INDEX(選手一覧!$D$7:$D$2738,$F855)="","",INDEX(選手一覧!$D$7:$D$2738,$F855))</f>
        <v>0.0107609953703704</v>
      </c>
      <c r="H855" s="17" t="n">
        <f aca="false">IF(INDEX(選手一覧!$E$7:$E$2738,$F855)="","",INDEX(選手一覧!$E$7:$E$2738,$F855))</f>
        <v>681</v>
      </c>
      <c r="I855" s="16" t="str">
        <f aca="false">IF(INDEX(選手一覧!$H$7:$H$2738,$F855)="","",INDEX(選手一覧!$H$7:$H$2738,$F855))</f>
        <v/>
      </c>
      <c r="J855" s="17" t="str">
        <f aca="false">IF(INDEX(選手一覧!$I$7:$I$2738,$F855)="","",INDEX(選手一覧!$I$7:$I$2738,$F855))</f>
        <v/>
      </c>
    </row>
    <row r="856" customFormat="false" ht="15" hidden="false" customHeight="false" outlineLevel="0" collapsed="false">
      <c r="A856" s="17" t="n">
        <v>852</v>
      </c>
      <c r="B856" s="12" t="s">
        <v>481</v>
      </c>
      <c r="C856" s="12" t="s">
        <v>127</v>
      </c>
      <c r="D856" s="16" t="n">
        <v>0.00288842592592593</v>
      </c>
      <c r="E856" s="15" t="n">
        <f aca="false">ROUND((D856-$D$5)*86400,2)</f>
        <v>24.53</v>
      </c>
      <c r="F856" s="17" t="n">
        <v>248</v>
      </c>
      <c r="G856" s="16" t="n">
        <f aca="false">IF(INDEX(選手一覧!$D$7:$D$2738,$F856)="","",INDEX(選手一覧!$D$7:$D$2738,$F856))</f>
        <v>0.0103880787037037</v>
      </c>
      <c r="H856" s="17" t="n">
        <f aca="false">IF(INDEX(選手一覧!$E$7:$E$2738,$F856)="","",INDEX(選手一覧!$E$7:$E$2738,$F856))</f>
        <v>249</v>
      </c>
      <c r="I856" s="16" t="str">
        <f aca="false">IF(INDEX(選手一覧!$H$7:$H$2738,$F856)="","",INDEX(選手一覧!$H$7:$H$2738,$F856))</f>
        <v/>
      </c>
      <c r="J856" s="17" t="str">
        <f aca="false">IF(INDEX(選手一覧!$I$7:$I$2738,$F856)="","",INDEX(選手一覧!$I$7:$I$2738,$F856))</f>
        <v/>
      </c>
    </row>
    <row r="857" customFormat="false" ht="15" hidden="false" customHeight="false" outlineLevel="0" collapsed="false">
      <c r="A857" s="17" t="n">
        <v>853</v>
      </c>
      <c r="B857" s="12" t="s">
        <v>780</v>
      </c>
      <c r="C857" s="12" t="s">
        <v>457</v>
      </c>
      <c r="D857" s="16" t="n">
        <v>0.00288854166666667</v>
      </c>
      <c r="E857" s="15" t="n">
        <f aca="false">ROUND((D857-$D$5)*86400,2)</f>
        <v>24.54</v>
      </c>
      <c r="F857" s="17" t="n">
        <v>435</v>
      </c>
      <c r="G857" s="16" t="n">
        <f aca="false">IF(INDEX(選手一覧!$D$7:$D$2738,$F857)="","",INDEX(選手一覧!$D$7:$D$2738,$F857))</f>
        <v>0.0105820601851852</v>
      </c>
      <c r="H857" s="17" t="n">
        <f aca="false">IF(INDEX(選手一覧!$E$7:$E$2738,$F857)="","",INDEX(選手一覧!$E$7:$E$2738,$F857))</f>
        <v>436</v>
      </c>
      <c r="I857" s="16" t="str">
        <f aca="false">IF(INDEX(選手一覧!$H$7:$H$2738,$F857)="","",INDEX(選手一覧!$H$7:$H$2738,$F857))</f>
        <v/>
      </c>
      <c r="J857" s="17" t="str">
        <f aca="false">IF(INDEX(選手一覧!$I$7:$I$2738,$F857)="","",INDEX(選手一覧!$I$7:$I$2738,$F857))</f>
        <v/>
      </c>
    </row>
    <row r="858" customFormat="false" ht="15" hidden="false" customHeight="false" outlineLevel="0" collapsed="false">
      <c r="A858" s="17" t="n">
        <v>854</v>
      </c>
      <c r="B858" s="12" t="s">
        <v>892</v>
      </c>
      <c r="C858" s="12" t="s">
        <v>893</v>
      </c>
      <c r="D858" s="16" t="n">
        <v>0.00288888888888889</v>
      </c>
      <c r="E858" s="15" t="n">
        <f aca="false">ROUND((D858-$D$5)*86400,2)</f>
        <v>24.57</v>
      </c>
      <c r="F858" s="17" t="n">
        <v>507</v>
      </c>
      <c r="G858" s="16" t="n">
        <f aca="false">IF(INDEX(選手一覧!$D$7:$D$2738,$F858)="","",INDEX(選手一覧!$D$7:$D$2738,$F858))</f>
        <v>0.0106396990740741</v>
      </c>
      <c r="H858" s="17" t="n">
        <f aca="false">IF(INDEX(選手一覧!$E$7:$E$2738,$F858)="","",INDEX(選手一覧!$E$7:$E$2738,$F858))</f>
        <v>508</v>
      </c>
      <c r="I858" s="16" t="str">
        <f aca="false">IF(INDEX(選手一覧!$H$7:$H$2738,$F858)="","",INDEX(選手一覧!$H$7:$H$2738,$F858))</f>
        <v/>
      </c>
      <c r="J858" s="17" t="str">
        <f aca="false">IF(INDEX(選手一覧!$I$7:$I$2738,$F858)="","",INDEX(選手一覧!$I$7:$I$2738,$F858))</f>
        <v/>
      </c>
    </row>
    <row r="859" customFormat="false" ht="15" hidden="false" customHeight="false" outlineLevel="0" collapsed="false">
      <c r="A859" s="17" t="n">
        <v>855</v>
      </c>
      <c r="B859" s="12" t="s">
        <v>1674</v>
      </c>
      <c r="C859" s="12" t="s">
        <v>1675</v>
      </c>
      <c r="D859" s="16" t="n">
        <v>0.00288900462962963</v>
      </c>
      <c r="E859" s="15" t="n">
        <f aca="false">ROUND((D859-$D$5)*86400,2)</f>
        <v>24.58</v>
      </c>
      <c r="F859" s="17" t="n">
        <v>1032</v>
      </c>
      <c r="G859" s="16" t="n">
        <f aca="false">IF(INDEX(選手一覧!$D$7:$D$2738,$F859)="","",INDEX(選手一覧!$D$7:$D$2738,$F859))</f>
        <v>0.0109680555555556</v>
      </c>
      <c r="H859" s="17" t="n">
        <f aca="false">IF(INDEX(選手一覧!$E$7:$E$2738,$F859)="","",INDEX(選手一覧!$E$7:$E$2738,$F859))</f>
        <v>1033</v>
      </c>
      <c r="I859" s="16" t="n">
        <f aca="false">IF(INDEX(選手一覧!$H$7:$H$2738,$F859)="","",INDEX(選手一覧!$H$7:$H$2738,$F859))</f>
        <v>0.00723611111111111</v>
      </c>
      <c r="J859" s="17" t="n">
        <f aca="false">IF(INDEX(選手一覧!$I$7:$I$2738,$F859)="","",INDEX(選手一覧!$I$7:$I$2738,$F859))</f>
        <v>581</v>
      </c>
    </row>
    <row r="860" customFormat="false" ht="15" hidden="false" customHeight="false" outlineLevel="0" collapsed="false">
      <c r="A860" s="17" t="n">
        <v>856</v>
      </c>
      <c r="B860" s="12" t="s">
        <v>3112</v>
      </c>
      <c r="C860" s="12" t="s">
        <v>3113</v>
      </c>
      <c r="D860" s="16" t="n">
        <v>0.00288912037037037</v>
      </c>
      <c r="E860" s="15" t="n">
        <f aca="false">ROUND((D860-$D$5)*86400,2)</f>
        <v>24.59</v>
      </c>
      <c r="F860" s="17" t="n">
        <v>2006</v>
      </c>
      <c r="G860" s="16" t="str">
        <f aca="false">IF(INDEX(選手一覧!$D$7:$D$2738,$F860)="","",INDEX(選手一覧!$D$7:$D$2738,$F860))</f>
        <v/>
      </c>
      <c r="H860" s="17" t="str">
        <f aca="false">IF(INDEX(選手一覧!$E$7:$E$2738,$F860)="","",INDEX(選手一覧!$E$7:$E$2738,$F860))</f>
        <v/>
      </c>
      <c r="I860" s="16" t="str">
        <f aca="false">IF(INDEX(選手一覧!$H$7:$H$2738,$F860)="","",INDEX(選手一覧!$H$7:$H$2738,$F860))</f>
        <v/>
      </c>
      <c r="J860" s="17" t="str">
        <f aca="false">IF(INDEX(選手一覧!$I$7:$I$2738,$F860)="","",INDEX(選手一覧!$I$7:$I$2738,$F860))</f>
        <v/>
      </c>
    </row>
    <row r="861" customFormat="false" ht="15" hidden="false" customHeight="false" outlineLevel="0" collapsed="false">
      <c r="A861" s="17" t="n">
        <v>857</v>
      </c>
      <c r="B861" s="12" t="s">
        <v>2380</v>
      </c>
      <c r="C861" s="12" t="s">
        <v>2381</v>
      </c>
      <c r="D861" s="16" t="n">
        <v>0.00288923611111111</v>
      </c>
      <c r="E861" s="15" t="n">
        <f aca="false">ROUND((D861-$D$5)*86400,2)</f>
        <v>24.6</v>
      </c>
      <c r="F861" s="17" t="n">
        <v>1515</v>
      </c>
      <c r="G861" s="16" t="str">
        <f aca="false">IF(INDEX(選手一覧!$D$7:$D$2738,$F861)="","",INDEX(選手一覧!$D$7:$D$2738,$F861))</f>
        <v/>
      </c>
      <c r="H861" s="17" t="str">
        <f aca="false">IF(INDEX(選手一覧!$E$7:$E$2738,$F861)="","",INDEX(選手一覧!$E$7:$E$2738,$F861))</f>
        <v/>
      </c>
      <c r="I861" s="16" t="n">
        <f aca="false">IF(INDEX(選手一覧!$H$7:$H$2738,$F861)="","",INDEX(選手一覧!$H$7:$H$2738,$F861))</f>
        <v>0.00707083333333333</v>
      </c>
      <c r="J861" s="17" t="n">
        <f aca="false">IF(INDEX(選手一覧!$I$7:$I$2738,$F861)="","",INDEX(選手一覧!$I$7:$I$2738,$F861))</f>
        <v>416</v>
      </c>
    </row>
    <row r="862" customFormat="false" ht="15" hidden="false" customHeight="false" outlineLevel="0" collapsed="false">
      <c r="A862" s="17" t="n">
        <v>858</v>
      </c>
      <c r="B862" s="12" t="s">
        <v>696</v>
      </c>
      <c r="C862" s="12" t="s">
        <v>207</v>
      </c>
      <c r="D862" s="16" t="n">
        <v>0.00288923611111111</v>
      </c>
      <c r="E862" s="15" t="n">
        <f aca="false">ROUND((D862-$D$5)*86400,2)</f>
        <v>24.6</v>
      </c>
      <c r="F862" s="17" t="n">
        <v>383</v>
      </c>
      <c r="G862" s="16" t="n">
        <f aca="false">IF(INDEX(選手一覧!$D$7:$D$2738,$F862)="","",INDEX(選手一覧!$D$7:$D$2738,$F862))</f>
        <v>0.0105391203703704</v>
      </c>
      <c r="H862" s="17" t="n">
        <f aca="false">IF(INDEX(選手一覧!$E$7:$E$2738,$F862)="","",INDEX(選手一覧!$E$7:$E$2738,$F862))</f>
        <v>384</v>
      </c>
      <c r="I862" s="16" t="str">
        <f aca="false">IF(INDEX(選手一覧!$H$7:$H$2738,$F862)="","",INDEX(選手一覧!$H$7:$H$2738,$F862))</f>
        <v/>
      </c>
      <c r="J862" s="17" t="str">
        <f aca="false">IF(INDEX(選手一覧!$I$7:$I$2738,$F862)="","",INDEX(選手一覧!$I$7:$I$2738,$F862))</f>
        <v/>
      </c>
    </row>
    <row r="863" customFormat="false" ht="15" hidden="false" customHeight="false" outlineLevel="0" collapsed="false">
      <c r="A863" s="17" t="n">
        <v>859</v>
      </c>
      <c r="B863" s="12" t="s">
        <v>1372</v>
      </c>
      <c r="C863" s="12" t="s">
        <v>123</v>
      </c>
      <c r="D863" s="16" t="n">
        <v>0.00288935185185185</v>
      </c>
      <c r="E863" s="15" t="n">
        <f aca="false">ROUND((D863-$D$5)*86400,2)</f>
        <v>24.61</v>
      </c>
      <c r="F863" s="17" t="n">
        <v>828</v>
      </c>
      <c r="G863" s="16" t="n">
        <f aca="false">IF(INDEX(選手一覧!$D$7:$D$2738,$F863)="","",INDEX(選手一覧!$D$7:$D$2738,$F863))</f>
        <v>0.0108478009259259</v>
      </c>
      <c r="H863" s="17" t="n">
        <f aca="false">IF(INDEX(選手一覧!$E$7:$E$2738,$F863)="","",INDEX(選手一覧!$E$7:$E$2738,$F863))</f>
        <v>829</v>
      </c>
      <c r="I863" s="16" t="str">
        <f aca="false">IF(INDEX(選手一覧!$H$7:$H$2738,$F863)="","",INDEX(選手一覧!$H$7:$H$2738,$F863))</f>
        <v/>
      </c>
      <c r="J863" s="17" t="str">
        <f aca="false">IF(INDEX(選手一覧!$I$7:$I$2738,$F863)="","",INDEX(選手一覧!$I$7:$I$2738,$F863))</f>
        <v/>
      </c>
    </row>
    <row r="864" customFormat="false" ht="15" hidden="false" customHeight="false" outlineLevel="0" collapsed="false">
      <c r="A864" s="17" t="n">
        <v>860</v>
      </c>
      <c r="B864" s="12" t="s">
        <v>3117</v>
      </c>
      <c r="C864" s="12" t="s">
        <v>382</v>
      </c>
      <c r="D864" s="16" t="n">
        <v>0.00288946759259259</v>
      </c>
      <c r="E864" s="15" t="n">
        <f aca="false">ROUND((D864-$D$5)*86400,2)</f>
        <v>24.62</v>
      </c>
      <c r="F864" s="17" t="n">
        <v>2010</v>
      </c>
      <c r="G864" s="16" t="str">
        <f aca="false">IF(INDEX(選手一覧!$D$7:$D$2738,$F864)="","",INDEX(選手一覧!$D$7:$D$2738,$F864))</f>
        <v/>
      </c>
      <c r="H864" s="17" t="str">
        <f aca="false">IF(INDEX(選手一覧!$E$7:$E$2738,$F864)="","",INDEX(選手一覧!$E$7:$E$2738,$F864))</f>
        <v/>
      </c>
      <c r="I864" s="16" t="str">
        <f aca="false">IF(INDEX(選手一覧!$H$7:$H$2738,$F864)="","",INDEX(選手一覧!$H$7:$H$2738,$F864))</f>
        <v/>
      </c>
      <c r="J864" s="17" t="str">
        <f aca="false">IF(INDEX(選手一覧!$I$7:$I$2738,$F864)="","",INDEX(選手一覧!$I$7:$I$2738,$F864))</f>
        <v/>
      </c>
    </row>
    <row r="865" customFormat="false" ht="15" hidden="false" customHeight="false" outlineLevel="0" collapsed="false">
      <c r="A865" s="17" t="n">
        <v>861</v>
      </c>
      <c r="B865" s="12" t="s">
        <v>3119</v>
      </c>
      <c r="C865" s="12" t="s">
        <v>1330</v>
      </c>
      <c r="D865" s="16" t="n">
        <v>0.00288958333333333</v>
      </c>
      <c r="E865" s="15" t="n">
        <f aca="false">ROUND((D865-$D$5)*86400,2)</f>
        <v>24.63</v>
      </c>
      <c r="F865" s="17" t="n">
        <v>2012</v>
      </c>
      <c r="G865" s="16" t="str">
        <f aca="false">IF(INDEX(選手一覧!$D$7:$D$2738,$F865)="","",INDEX(選手一覧!$D$7:$D$2738,$F865))</f>
        <v/>
      </c>
      <c r="H865" s="17" t="str">
        <f aca="false">IF(INDEX(選手一覧!$E$7:$E$2738,$F865)="","",INDEX(選手一覧!$E$7:$E$2738,$F865))</f>
        <v/>
      </c>
      <c r="I865" s="16" t="str">
        <f aca="false">IF(INDEX(選手一覧!$H$7:$H$2738,$F865)="","",INDEX(選手一覧!$H$7:$H$2738,$F865))</f>
        <v/>
      </c>
      <c r="J865" s="17" t="str">
        <f aca="false">IF(INDEX(選手一覧!$I$7:$I$2738,$F865)="","",INDEX(選手一覧!$I$7:$I$2738,$F865))</f>
        <v/>
      </c>
    </row>
    <row r="866" customFormat="false" ht="15" hidden="false" customHeight="false" outlineLevel="0" collapsed="false">
      <c r="A866" s="17" t="n">
        <v>862</v>
      </c>
      <c r="B866" s="12" t="s">
        <v>981</v>
      </c>
      <c r="C866" s="12" t="s">
        <v>982</v>
      </c>
      <c r="D866" s="16" t="n">
        <v>0.00288969907407407</v>
      </c>
      <c r="E866" s="15" t="n">
        <f aca="false">ROUND((D866-$D$5)*86400,2)</f>
        <v>24.64</v>
      </c>
      <c r="F866" s="17" t="n">
        <v>563</v>
      </c>
      <c r="G866" s="16" t="n">
        <f aca="false">IF(INDEX(選手一覧!$D$7:$D$2738,$F866)="","",INDEX(選手一覧!$D$7:$D$2738,$F866))</f>
        <v>0.0106871527777778</v>
      </c>
      <c r="H866" s="17" t="n">
        <f aca="false">IF(INDEX(選手一覧!$E$7:$E$2738,$F866)="","",INDEX(選手一覧!$E$7:$E$2738,$F866))</f>
        <v>564</v>
      </c>
      <c r="I866" s="16" t="n">
        <f aca="false">IF(INDEX(選手一覧!$H$7:$H$2738,$F866)="","",INDEX(選手一覧!$H$7:$H$2738,$F866))</f>
        <v>0.00728587962962963</v>
      </c>
      <c r="J866" s="17" t="n">
        <f aca="false">IF(INDEX(選手一覧!$I$7:$I$2738,$F866)="","",INDEX(選手一覧!$I$7:$I$2738,$F866))</f>
        <v>628</v>
      </c>
    </row>
    <row r="867" customFormat="false" ht="15" hidden="false" customHeight="false" outlineLevel="0" collapsed="false">
      <c r="A867" s="17" t="n">
        <v>863</v>
      </c>
      <c r="B867" s="12" t="s">
        <v>3123</v>
      </c>
      <c r="C867" s="12" t="s">
        <v>273</v>
      </c>
      <c r="D867" s="16" t="n">
        <v>0.00288981481481482</v>
      </c>
      <c r="E867" s="15" t="n">
        <f aca="false">ROUND((D867-$D$5)*86400,2)</f>
        <v>24.65</v>
      </c>
      <c r="F867" s="17" t="n">
        <v>2015</v>
      </c>
      <c r="G867" s="16" t="str">
        <f aca="false">IF(INDEX(選手一覧!$D$7:$D$2738,$F867)="","",INDEX(選手一覧!$D$7:$D$2738,$F867))</f>
        <v/>
      </c>
      <c r="H867" s="17" t="str">
        <f aca="false">IF(INDEX(選手一覧!$E$7:$E$2738,$F867)="","",INDEX(選手一覧!$E$7:$E$2738,$F867))</f>
        <v/>
      </c>
      <c r="I867" s="16" t="str">
        <f aca="false">IF(INDEX(選手一覧!$H$7:$H$2738,$F867)="","",INDEX(選手一覧!$H$7:$H$2738,$F867))</f>
        <v/>
      </c>
      <c r="J867" s="17" t="str">
        <f aca="false">IF(INDEX(選手一覧!$I$7:$I$2738,$F867)="","",INDEX(選手一覧!$I$7:$I$2738,$F867))</f>
        <v/>
      </c>
    </row>
    <row r="868" customFormat="false" ht="15" hidden="false" customHeight="false" outlineLevel="0" collapsed="false">
      <c r="A868" s="17" t="n">
        <v>864</v>
      </c>
      <c r="B868" s="12" t="s">
        <v>1735</v>
      </c>
      <c r="C868" s="12" t="s">
        <v>67</v>
      </c>
      <c r="D868" s="16" t="n">
        <v>0.00288993055555556</v>
      </c>
      <c r="E868" s="15" t="n">
        <f aca="false">ROUND((D868-$D$5)*86400,2)</f>
        <v>24.66</v>
      </c>
      <c r="F868" s="17" t="n">
        <v>1072</v>
      </c>
      <c r="G868" s="16" t="n">
        <f aca="false">IF(INDEX(選手一覧!$D$7:$D$2738,$F868)="","",INDEX(選手一覧!$D$7:$D$2738,$F868))</f>
        <v>0.0109865740740741</v>
      </c>
      <c r="H868" s="17" t="n">
        <f aca="false">IF(INDEX(選手一覧!$E$7:$E$2738,$F868)="","",INDEX(選手一覧!$E$7:$E$2738,$F868))</f>
        <v>1073</v>
      </c>
      <c r="I868" s="16" t="n">
        <f aca="false">IF(INDEX(選手一覧!$H$7:$H$2738,$F868)="","",INDEX(選手一覧!$H$7:$H$2738,$F868))</f>
        <v>0.00661006944444444</v>
      </c>
      <c r="J868" s="17" t="n">
        <f aca="false">IF(INDEX(選手一覧!$I$7:$I$2738,$F868)="","",INDEX(選手一覧!$I$7:$I$2738,$F868))</f>
        <v>70</v>
      </c>
    </row>
    <row r="869" customFormat="false" ht="15" hidden="false" customHeight="false" outlineLevel="0" collapsed="false">
      <c r="A869" s="17" t="n">
        <v>865</v>
      </c>
      <c r="B869" s="12" t="s">
        <v>3126</v>
      </c>
      <c r="C869" s="12" t="s">
        <v>370</v>
      </c>
      <c r="D869" s="16" t="n">
        <v>0.00288993055555556</v>
      </c>
      <c r="E869" s="15" t="n">
        <f aca="false">ROUND((D869-$D$5)*86400,2)</f>
        <v>24.66</v>
      </c>
      <c r="F869" s="17" t="n">
        <v>2018</v>
      </c>
      <c r="G869" s="16" t="str">
        <f aca="false">IF(INDEX(選手一覧!$D$7:$D$2738,$F869)="","",INDEX(選手一覧!$D$7:$D$2738,$F869))</f>
        <v/>
      </c>
      <c r="H869" s="17" t="str">
        <f aca="false">IF(INDEX(選手一覧!$E$7:$E$2738,$F869)="","",INDEX(選手一覧!$E$7:$E$2738,$F869))</f>
        <v/>
      </c>
      <c r="I869" s="16" t="str">
        <f aca="false">IF(INDEX(選手一覧!$H$7:$H$2738,$F869)="","",INDEX(選手一覧!$H$7:$H$2738,$F869))</f>
        <v/>
      </c>
      <c r="J869" s="17" t="str">
        <f aca="false">IF(INDEX(選手一覧!$I$7:$I$2738,$F869)="","",INDEX(選手一覧!$I$7:$I$2738,$F869))</f>
        <v/>
      </c>
    </row>
    <row r="870" customFormat="false" ht="15" hidden="false" customHeight="false" outlineLevel="0" collapsed="false">
      <c r="A870" s="17" t="n">
        <v>866</v>
      </c>
      <c r="B870" s="12" t="s">
        <v>1414</v>
      </c>
      <c r="C870" s="12" t="s">
        <v>1415</v>
      </c>
      <c r="D870" s="16" t="n">
        <v>0.00289016203703704</v>
      </c>
      <c r="E870" s="15" t="n">
        <f aca="false">ROUND((D870-$D$5)*86400,2)</f>
        <v>24.68</v>
      </c>
      <c r="F870" s="17" t="n">
        <v>857</v>
      </c>
      <c r="G870" s="16" t="n">
        <f aca="false">IF(INDEX(選手一覧!$D$7:$D$2738,$F870)="","",INDEX(選手一覧!$D$7:$D$2738,$F870))</f>
        <v>0.0108633101851852</v>
      </c>
      <c r="H870" s="17" t="n">
        <f aca="false">IF(INDEX(選手一覧!$E$7:$E$2738,$F870)="","",INDEX(選手一覧!$E$7:$E$2738,$F870))</f>
        <v>858</v>
      </c>
      <c r="I870" s="16" t="str">
        <f aca="false">IF(INDEX(選手一覧!$H$7:$H$2738,$F870)="","",INDEX(選手一覧!$H$7:$H$2738,$F870))</f>
        <v/>
      </c>
      <c r="J870" s="17" t="str">
        <f aca="false">IF(INDEX(選手一覧!$I$7:$I$2738,$F870)="","",INDEX(選手一覧!$I$7:$I$2738,$F870))</f>
        <v/>
      </c>
    </row>
    <row r="871" customFormat="false" ht="15" hidden="false" customHeight="false" outlineLevel="0" collapsed="false">
      <c r="A871" s="17" t="n">
        <v>867</v>
      </c>
      <c r="B871" s="12" t="s">
        <v>3130</v>
      </c>
      <c r="C871" s="12" t="s">
        <v>980</v>
      </c>
      <c r="D871" s="16" t="n">
        <v>0.00289016203703704</v>
      </c>
      <c r="E871" s="15" t="n">
        <f aca="false">ROUND((D871-$D$5)*86400,2)</f>
        <v>24.68</v>
      </c>
      <c r="F871" s="17" t="n">
        <v>2021</v>
      </c>
      <c r="G871" s="16" t="str">
        <f aca="false">IF(INDEX(選手一覧!$D$7:$D$2738,$F871)="","",INDEX(選手一覧!$D$7:$D$2738,$F871))</f>
        <v/>
      </c>
      <c r="H871" s="17" t="str">
        <f aca="false">IF(INDEX(選手一覧!$E$7:$E$2738,$F871)="","",INDEX(選手一覧!$E$7:$E$2738,$F871))</f>
        <v/>
      </c>
      <c r="I871" s="16" t="str">
        <f aca="false">IF(INDEX(選手一覧!$H$7:$H$2738,$F871)="","",INDEX(選手一覧!$H$7:$H$2738,$F871))</f>
        <v/>
      </c>
      <c r="J871" s="17" t="str">
        <f aca="false">IF(INDEX(選手一覧!$I$7:$I$2738,$F871)="","",INDEX(選手一覧!$I$7:$I$2738,$F871))</f>
        <v/>
      </c>
    </row>
    <row r="872" customFormat="false" ht="15" hidden="false" customHeight="false" outlineLevel="0" collapsed="false">
      <c r="A872" s="17" t="n">
        <v>868</v>
      </c>
      <c r="B872" s="12" t="s">
        <v>914</v>
      </c>
      <c r="C872" s="12" t="s">
        <v>915</v>
      </c>
      <c r="D872" s="16" t="n">
        <v>0.00289027777777778</v>
      </c>
      <c r="E872" s="15" t="n">
        <f aca="false">ROUND((D872-$D$5)*86400,2)</f>
        <v>24.69</v>
      </c>
      <c r="F872" s="17" t="n">
        <v>520</v>
      </c>
      <c r="G872" s="16" t="n">
        <f aca="false">IF(INDEX(選手一覧!$D$7:$D$2738,$F872)="","",INDEX(選手一覧!$D$7:$D$2738,$F872))</f>
        <v>0.0106481481481482</v>
      </c>
      <c r="H872" s="17" t="n">
        <f aca="false">IF(INDEX(選手一覧!$E$7:$E$2738,$F872)="","",INDEX(選手一覧!$E$7:$E$2738,$F872))</f>
        <v>521</v>
      </c>
      <c r="I872" s="16" t="str">
        <f aca="false">IF(INDEX(選手一覧!$H$7:$H$2738,$F872)="","",INDEX(選手一覧!$H$7:$H$2738,$F872))</f>
        <v/>
      </c>
      <c r="J872" s="17" t="str">
        <f aca="false">IF(INDEX(選手一覧!$I$7:$I$2738,$F872)="","",INDEX(選手一覧!$I$7:$I$2738,$F872))</f>
        <v/>
      </c>
    </row>
    <row r="873" customFormat="false" ht="15" hidden="false" customHeight="false" outlineLevel="0" collapsed="false">
      <c r="A873" s="17" t="n">
        <v>869</v>
      </c>
      <c r="B873" s="12" t="s">
        <v>3134</v>
      </c>
      <c r="C873" s="12" t="s">
        <v>3135</v>
      </c>
      <c r="D873" s="16" t="n">
        <v>0.00289027777777778</v>
      </c>
      <c r="E873" s="15" t="n">
        <f aca="false">ROUND((D873-$D$5)*86400,2)</f>
        <v>24.69</v>
      </c>
      <c r="F873" s="17" t="n">
        <v>2023</v>
      </c>
      <c r="G873" s="16" t="str">
        <f aca="false">IF(INDEX(選手一覧!$D$7:$D$2738,$F873)="","",INDEX(選手一覧!$D$7:$D$2738,$F873))</f>
        <v/>
      </c>
      <c r="H873" s="17" t="str">
        <f aca="false">IF(INDEX(選手一覧!$E$7:$E$2738,$F873)="","",INDEX(選手一覧!$E$7:$E$2738,$F873))</f>
        <v/>
      </c>
      <c r="I873" s="16" t="str">
        <f aca="false">IF(INDEX(選手一覧!$H$7:$H$2738,$F873)="","",INDEX(選手一覧!$H$7:$H$2738,$F873))</f>
        <v/>
      </c>
      <c r="J873" s="17" t="str">
        <f aca="false">IF(INDEX(選手一覧!$I$7:$I$2738,$F873)="","",INDEX(選手一覧!$I$7:$I$2738,$F873))</f>
        <v/>
      </c>
    </row>
    <row r="874" customFormat="false" ht="15" hidden="false" customHeight="false" outlineLevel="0" collapsed="false">
      <c r="A874" s="17" t="n">
        <v>870</v>
      </c>
      <c r="B874" s="12" t="s">
        <v>3138</v>
      </c>
      <c r="C874" s="12" t="s">
        <v>1330</v>
      </c>
      <c r="D874" s="16" t="n">
        <v>0.00289039351851852</v>
      </c>
      <c r="E874" s="15" t="n">
        <f aca="false">ROUND((D874-$D$5)*86400,2)</f>
        <v>24.7</v>
      </c>
      <c r="F874" s="17" t="n">
        <v>2025</v>
      </c>
      <c r="G874" s="16" t="str">
        <f aca="false">IF(INDEX(選手一覧!$D$7:$D$2738,$F874)="","",INDEX(選手一覧!$D$7:$D$2738,$F874))</f>
        <v/>
      </c>
      <c r="H874" s="17" t="str">
        <f aca="false">IF(INDEX(選手一覧!$E$7:$E$2738,$F874)="","",INDEX(選手一覧!$E$7:$E$2738,$F874))</f>
        <v/>
      </c>
      <c r="I874" s="16" t="str">
        <f aca="false">IF(INDEX(選手一覧!$H$7:$H$2738,$F874)="","",INDEX(選手一覧!$H$7:$H$2738,$F874))</f>
        <v/>
      </c>
      <c r="J874" s="17" t="str">
        <f aca="false">IF(INDEX(選手一覧!$I$7:$I$2738,$F874)="","",INDEX(選手一覧!$I$7:$I$2738,$F874))</f>
        <v/>
      </c>
    </row>
    <row r="875" customFormat="false" ht="15" hidden="false" customHeight="false" outlineLevel="0" collapsed="false">
      <c r="A875" s="17" t="n">
        <v>871</v>
      </c>
      <c r="B875" s="12" t="s">
        <v>200</v>
      </c>
      <c r="C875" s="12" t="s">
        <v>155</v>
      </c>
      <c r="D875" s="16" t="n">
        <v>0.00289039351851852</v>
      </c>
      <c r="E875" s="15" t="n">
        <f aca="false">ROUND((D875-$D$5)*86400,2)</f>
        <v>24.7</v>
      </c>
      <c r="F875" s="17" t="n">
        <v>89</v>
      </c>
      <c r="G875" s="16" t="n">
        <f aca="false">IF(INDEX(選手一覧!$D$7:$D$2738,$F875)="","",INDEX(選手一覧!$D$7:$D$2738,$F875))</f>
        <v>0.0101877314814815</v>
      </c>
      <c r="H875" s="17" t="n">
        <f aca="false">IF(INDEX(選手一覧!$E$7:$E$2738,$F875)="","",INDEX(選手一覧!$E$7:$E$2738,$F875))</f>
        <v>90</v>
      </c>
      <c r="I875" s="16" t="str">
        <f aca="false">IF(INDEX(選手一覧!$H$7:$H$2738,$F875)="","",INDEX(選手一覧!$H$7:$H$2738,$F875))</f>
        <v/>
      </c>
      <c r="J875" s="17" t="str">
        <f aca="false">IF(INDEX(選手一覧!$I$7:$I$2738,$F875)="","",INDEX(選手一覧!$I$7:$I$2738,$F875))</f>
        <v/>
      </c>
    </row>
    <row r="876" customFormat="false" ht="15" hidden="false" customHeight="false" outlineLevel="0" collapsed="false">
      <c r="A876" s="17" t="n">
        <v>872</v>
      </c>
      <c r="B876" s="12" t="s">
        <v>2076</v>
      </c>
      <c r="C876" s="12" t="s">
        <v>2077</v>
      </c>
      <c r="D876" s="16" t="n">
        <v>0.00289074074074074</v>
      </c>
      <c r="E876" s="15" t="n">
        <f aca="false">ROUND((D876-$D$5)*86400,2)</f>
        <v>24.73</v>
      </c>
      <c r="F876" s="17" t="n">
        <v>1316</v>
      </c>
      <c r="G876" s="16" t="str">
        <f aca="false">IF(INDEX(選手一覧!$D$7:$D$2738,$F876)="","",INDEX(選手一覧!$D$7:$D$2738,$F876))</f>
        <v/>
      </c>
      <c r="H876" s="17" t="str">
        <f aca="false">IF(INDEX(選手一覧!$E$7:$E$2738,$F876)="","",INDEX(選手一覧!$E$7:$E$2738,$F876))</f>
        <v/>
      </c>
      <c r="I876" s="16" t="n">
        <f aca="false">IF(INDEX(選手一覧!$H$7:$H$2738,$F876)="","",INDEX(選手一覧!$H$7:$H$2738,$F876))</f>
        <v>0.00676597222222222</v>
      </c>
      <c r="J876" s="17" t="n">
        <f aca="false">IF(INDEX(選手一覧!$I$7:$I$2738,$F876)="","",INDEX(選手一覧!$I$7:$I$2738,$F876))</f>
        <v>143</v>
      </c>
    </row>
    <row r="877" customFormat="false" ht="15" hidden="false" customHeight="false" outlineLevel="0" collapsed="false">
      <c r="A877" s="17" t="n">
        <v>873</v>
      </c>
      <c r="B877" s="12" t="s">
        <v>3145</v>
      </c>
      <c r="C877" s="12" t="s">
        <v>1803</v>
      </c>
      <c r="D877" s="16" t="n">
        <v>0.00289085648148148</v>
      </c>
      <c r="E877" s="15" t="n">
        <f aca="false">ROUND((D877-$D$5)*86400,2)</f>
        <v>24.74</v>
      </c>
      <c r="F877" s="17" t="n">
        <v>2029</v>
      </c>
      <c r="G877" s="16" t="str">
        <f aca="false">IF(INDEX(選手一覧!$D$7:$D$2738,$F877)="","",INDEX(選手一覧!$D$7:$D$2738,$F877))</f>
        <v/>
      </c>
      <c r="H877" s="17" t="str">
        <f aca="false">IF(INDEX(選手一覧!$E$7:$E$2738,$F877)="","",INDEX(選手一覧!$E$7:$E$2738,$F877))</f>
        <v/>
      </c>
      <c r="I877" s="16" t="str">
        <f aca="false">IF(INDEX(選手一覧!$H$7:$H$2738,$F877)="","",INDEX(選手一覧!$H$7:$H$2738,$F877))</f>
        <v/>
      </c>
      <c r="J877" s="17" t="str">
        <f aca="false">IF(INDEX(選手一覧!$I$7:$I$2738,$F877)="","",INDEX(選手一覧!$I$7:$I$2738,$F877))</f>
        <v/>
      </c>
    </row>
    <row r="878" customFormat="false" ht="15" hidden="false" customHeight="false" outlineLevel="0" collapsed="false">
      <c r="A878" s="17" t="n">
        <v>874</v>
      </c>
      <c r="B878" s="12" t="s">
        <v>3149</v>
      </c>
      <c r="C878" s="12" t="s">
        <v>2114</v>
      </c>
      <c r="D878" s="16" t="n">
        <v>0.00289085648148148</v>
      </c>
      <c r="E878" s="15" t="n">
        <f aca="false">ROUND((D878-$D$5)*86400,2)</f>
        <v>24.74</v>
      </c>
      <c r="F878" s="17" t="n">
        <v>2031</v>
      </c>
      <c r="G878" s="16" t="str">
        <f aca="false">IF(INDEX(選手一覧!$D$7:$D$2738,$F878)="","",INDEX(選手一覧!$D$7:$D$2738,$F878))</f>
        <v/>
      </c>
      <c r="H878" s="17" t="str">
        <f aca="false">IF(INDEX(選手一覧!$E$7:$E$2738,$F878)="","",INDEX(選手一覧!$E$7:$E$2738,$F878))</f>
        <v/>
      </c>
      <c r="I878" s="16" t="str">
        <f aca="false">IF(INDEX(選手一覧!$H$7:$H$2738,$F878)="","",INDEX(選手一覧!$H$7:$H$2738,$F878))</f>
        <v/>
      </c>
      <c r="J878" s="17" t="str">
        <f aca="false">IF(INDEX(選手一覧!$I$7:$I$2738,$F878)="","",INDEX(選手一覧!$I$7:$I$2738,$F878))</f>
        <v/>
      </c>
    </row>
    <row r="879" customFormat="false" ht="15" hidden="false" customHeight="false" outlineLevel="0" collapsed="false">
      <c r="A879" s="17" t="n">
        <v>875</v>
      </c>
      <c r="B879" s="12" t="s">
        <v>920</v>
      </c>
      <c r="C879" s="12" t="s">
        <v>561</v>
      </c>
      <c r="D879" s="16" t="n">
        <v>0.00289097222222222</v>
      </c>
      <c r="E879" s="15" t="n">
        <f aca="false">ROUND((D879-$D$5)*86400,2)</f>
        <v>24.75</v>
      </c>
      <c r="F879" s="17" t="n">
        <v>524</v>
      </c>
      <c r="G879" s="16" t="n">
        <f aca="false">IF(INDEX(選手一覧!$D$7:$D$2738,$F879)="","",INDEX(選手一覧!$D$7:$D$2738,$F879))</f>
        <v>0.0106498842592593</v>
      </c>
      <c r="H879" s="17" t="n">
        <f aca="false">IF(INDEX(選手一覧!$E$7:$E$2738,$F879)="","",INDEX(選手一覧!$E$7:$E$2738,$F879))</f>
        <v>525</v>
      </c>
      <c r="I879" s="16" t="n">
        <f aca="false">IF(INDEX(選手一覧!$H$7:$H$2738,$F879)="","",INDEX(選手一覧!$H$7:$H$2738,$F879))</f>
        <v>0.006834375</v>
      </c>
      <c r="J879" s="17" t="n">
        <f aca="false">IF(INDEX(選手一覧!$I$7:$I$2738,$F879)="","",INDEX(選手一覧!$I$7:$I$2738,$F879))</f>
        <v>196</v>
      </c>
    </row>
    <row r="880" customFormat="false" ht="15" hidden="false" customHeight="false" outlineLevel="0" collapsed="false">
      <c r="A880" s="17" t="n">
        <v>876</v>
      </c>
      <c r="B880" s="12" t="s">
        <v>3155</v>
      </c>
      <c r="C880" s="12" t="s">
        <v>1997</v>
      </c>
      <c r="D880" s="16" t="n">
        <v>0.00289108796296296</v>
      </c>
      <c r="E880" s="15" t="n">
        <f aca="false">ROUND((D880-$D$5)*86400,2)</f>
        <v>24.76</v>
      </c>
      <c r="F880" s="17" t="n">
        <v>2034</v>
      </c>
      <c r="G880" s="16" t="str">
        <f aca="false">IF(INDEX(選手一覧!$D$7:$D$2738,$F880)="","",INDEX(選手一覧!$D$7:$D$2738,$F880))</f>
        <v/>
      </c>
      <c r="H880" s="17" t="str">
        <f aca="false">IF(INDEX(選手一覧!$E$7:$E$2738,$F880)="","",INDEX(選手一覧!$E$7:$E$2738,$F880))</f>
        <v/>
      </c>
      <c r="I880" s="16" t="str">
        <f aca="false">IF(INDEX(選手一覧!$H$7:$H$2738,$F880)="","",INDEX(選手一覧!$H$7:$H$2738,$F880))</f>
        <v/>
      </c>
      <c r="J880" s="17" t="str">
        <f aca="false">IF(INDEX(選手一覧!$I$7:$I$2738,$F880)="","",INDEX(選手一覧!$I$7:$I$2738,$F880))</f>
        <v/>
      </c>
    </row>
    <row r="881" customFormat="false" ht="15" hidden="false" customHeight="false" outlineLevel="0" collapsed="false">
      <c r="A881" s="17" t="n">
        <v>877</v>
      </c>
      <c r="B881" s="12" t="s">
        <v>3158</v>
      </c>
      <c r="C881" s="12" t="s">
        <v>3159</v>
      </c>
      <c r="D881" s="16" t="n">
        <v>0.00289108796296296</v>
      </c>
      <c r="E881" s="15" t="n">
        <f aca="false">ROUND((D881-$D$5)*86400,2)</f>
        <v>24.76</v>
      </c>
      <c r="F881" s="17" t="n">
        <v>2036</v>
      </c>
      <c r="G881" s="16" t="str">
        <f aca="false">IF(INDEX(選手一覧!$D$7:$D$2738,$F881)="","",INDEX(選手一覧!$D$7:$D$2738,$F881))</f>
        <v/>
      </c>
      <c r="H881" s="17" t="str">
        <f aca="false">IF(INDEX(選手一覧!$E$7:$E$2738,$F881)="","",INDEX(選手一覧!$E$7:$E$2738,$F881))</f>
        <v/>
      </c>
      <c r="I881" s="16" t="str">
        <f aca="false">IF(INDEX(選手一覧!$H$7:$H$2738,$F881)="","",INDEX(選手一覧!$H$7:$H$2738,$F881))</f>
        <v/>
      </c>
      <c r="J881" s="17" t="str">
        <f aca="false">IF(INDEX(選手一覧!$I$7:$I$2738,$F881)="","",INDEX(選手一覧!$I$7:$I$2738,$F881))</f>
        <v/>
      </c>
    </row>
    <row r="882" customFormat="false" ht="15" hidden="false" customHeight="false" outlineLevel="0" collapsed="false">
      <c r="A882" s="17" t="n">
        <v>878</v>
      </c>
      <c r="B882" s="12" t="s">
        <v>868</v>
      </c>
      <c r="C882" s="12" t="s">
        <v>869</v>
      </c>
      <c r="D882" s="16" t="n">
        <v>0.0028912037037037</v>
      </c>
      <c r="E882" s="15" t="n">
        <f aca="false">ROUND((D882-$D$5)*86400,2)</f>
        <v>24.77</v>
      </c>
      <c r="F882" s="17" t="n">
        <v>494</v>
      </c>
      <c r="G882" s="16" t="n">
        <f aca="false">IF(INDEX(選手一覧!$D$7:$D$2738,$F882)="","",INDEX(選手一覧!$D$7:$D$2738,$F882))</f>
        <v>0.0106184027777778</v>
      </c>
      <c r="H882" s="17" t="n">
        <f aca="false">IF(INDEX(選手一覧!$E$7:$E$2738,$F882)="","",INDEX(選手一覧!$E$7:$E$2738,$F882))</f>
        <v>495</v>
      </c>
      <c r="I882" s="16" t="n">
        <f aca="false">IF(INDEX(選手一覧!$H$7:$H$2738,$F882)="","",INDEX(選手一覧!$H$7:$H$2738,$F882))</f>
        <v>0.00649166666666667</v>
      </c>
      <c r="J882" s="17" t="n">
        <f aca="false">IF(INDEX(選手一覧!$I$7:$I$2738,$F882)="","",INDEX(選手一覧!$I$7:$I$2738,$F882))</f>
        <v>33</v>
      </c>
    </row>
    <row r="883" customFormat="false" ht="15" hidden="false" customHeight="false" outlineLevel="0" collapsed="false">
      <c r="A883" s="17" t="n">
        <v>879</v>
      </c>
      <c r="B883" s="12" t="s">
        <v>1140</v>
      </c>
      <c r="C883" s="12" t="s">
        <v>1141</v>
      </c>
      <c r="D883" s="16" t="n">
        <v>0.00289131944444445</v>
      </c>
      <c r="E883" s="15" t="n">
        <f aca="false">ROUND((D883-$D$5)*86400,2)</f>
        <v>24.78</v>
      </c>
      <c r="F883" s="17" t="n">
        <v>675</v>
      </c>
      <c r="G883" s="16" t="n">
        <f aca="false">IF(INDEX(選手一覧!$D$7:$D$2738,$F883)="","",INDEX(選手一覧!$D$7:$D$2738,$F883))</f>
        <v>0.0107561342592593</v>
      </c>
      <c r="H883" s="17" t="n">
        <f aca="false">IF(INDEX(選手一覧!$E$7:$E$2738,$F883)="","",INDEX(選手一覧!$E$7:$E$2738,$F883))</f>
        <v>676</v>
      </c>
      <c r="I883" s="16" t="str">
        <f aca="false">IF(INDEX(選手一覧!$H$7:$H$2738,$F883)="","",INDEX(選手一覧!$H$7:$H$2738,$F883))</f>
        <v/>
      </c>
      <c r="J883" s="17" t="str">
        <f aca="false">IF(INDEX(選手一覧!$I$7:$I$2738,$F883)="","",INDEX(選手一覧!$I$7:$I$2738,$F883))</f>
        <v/>
      </c>
    </row>
    <row r="884" customFormat="false" ht="15" hidden="false" customHeight="false" outlineLevel="0" collapsed="false">
      <c r="A884" s="17" t="n">
        <v>880</v>
      </c>
      <c r="B884" s="12" t="s">
        <v>1891</v>
      </c>
      <c r="C884" s="12" t="s">
        <v>1892</v>
      </c>
      <c r="D884" s="16" t="n">
        <v>0.00289143518518519</v>
      </c>
      <c r="E884" s="15" t="n">
        <f aca="false">ROUND((D884-$D$5)*86400,2)</f>
        <v>24.79</v>
      </c>
      <c r="F884" s="17" t="n">
        <v>1176</v>
      </c>
      <c r="G884" s="16" t="n">
        <f aca="false">IF(INDEX(選手一覧!$D$7:$D$2738,$F884)="","",INDEX(選手一覧!$D$7:$D$2738,$F884))</f>
        <v>0.0110396990740741</v>
      </c>
      <c r="H884" s="17" t="n">
        <f aca="false">IF(INDEX(選手一覧!$E$7:$E$2738,$F884)="","",INDEX(選手一覧!$E$7:$E$2738,$F884))</f>
        <v>1177</v>
      </c>
      <c r="I884" s="16" t="n">
        <f aca="false">IF(INDEX(選手一覧!$H$7:$H$2738,$F884)="","",INDEX(選手一覧!$H$7:$H$2738,$F884))</f>
        <v>0.00704016203703704</v>
      </c>
      <c r="J884" s="17" t="n">
        <f aca="false">IF(INDEX(選手一覧!$I$7:$I$2738,$F884)="","",INDEX(選手一覧!$I$7:$I$2738,$F884))</f>
        <v>375</v>
      </c>
    </row>
    <row r="885" customFormat="false" ht="15" hidden="false" customHeight="false" outlineLevel="0" collapsed="false">
      <c r="A885" s="17" t="n">
        <v>881</v>
      </c>
      <c r="B885" s="12" t="s">
        <v>582</v>
      </c>
      <c r="C885" s="12" t="s">
        <v>77</v>
      </c>
      <c r="D885" s="16" t="n">
        <v>0.00289143518518519</v>
      </c>
      <c r="E885" s="15" t="n">
        <f aca="false">ROUND((D885-$D$5)*86400,2)</f>
        <v>24.79</v>
      </c>
      <c r="F885" s="17" t="n">
        <v>311</v>
      </c>
      <c r="G885" s="16" t="n">
        <f aca="false">IF(INDEX(選手一覧!$D$7:$D$2738,$F885)="","",INDEX(選手一覧!$D$7:$D$2738,$F885))</f>
        <v>0.0104619212962963</v>
      </c>
      <c r="H885" s="17" t="n">
        <f aca="false">IF(INDEX(選手一覧!$E$7:$E$2738,$F885)="","",INDEX(選手一覧!$E$7:$E$2738,$F885))</f>
        <v>312</v>
      </c>
      <c r="I885" s="16" t="str">
        <f aca="false">IF(INDEX(選手一覧!$H$7:$H$2738,$F885)="","",INDEX(選手一覧!$H$7:$H$2738,$F885))</f>
        <v/>
      </c>
      <c r="J885" s="17" t="str">
        <f aca="false">IF(INDEX(選手一覧!$I$7:$I$2738,$F885)="","",INDEX(選手一覧!$I$7:$I$2738,$F885))</f>
        <v/>
      </c>
    </row>
    <row r="886" customFormat="false" ht="15" hidden="false" customHeight="false" outlineLevel="0" collapsed="false">
      <c r="A886" s="17" t="n">
        <v>882</v>
      </c>
      <c r="B886" s="12" t="s">
        <v>3168</v>
      </c>
      <c r="C886" s="12" t="s">
        <v>1934</v>
      </c>
      <c r="D886" s="16" t="n">
        <v>0.00289143518518519</v>
      </c>
      <c r="E886" s="15" t="n">
        <f aca="false">ROUND((D886-$D$5)*86400,2)</f>
        <v>24.79</v>
      </c>
      <c r="F886" s="17" t="n">
        <v>2042</v>
      </c>
      <c r="G886" s="16" t="str">
        <f aca="false">IF(INDEX(選手一覧!$D$7:$D$2738,$F886)="","",INDEX(選手一覧!$D$7:$D$2738,$F886))</f>
        <v/>
      </c>
      <c r="H886" s="17" t="str">
        <f aca="false">IF(INDEX(選手一覧!$E$7:$E$2738,$F886)="","",INDEX(選手一覧!$E$7:$E$2738,$F886))</f>
        <v/>
      </c>
      <c r="I886" s="16" t="str">
        <f aca="false">IF(INDEX(選手一覧!$H$7:$H$2738,$F886)="","",INDEX(選手一覧!$H$7:$H$2738,$F886))</f>
        <v/>
      </c>
      <c r="J886" s="17" t="str">
        <f aca="false">IF(INDEX(選手一覧!$I$7:$I$2738,$F886)="","",INDEX(選手一覧!$I$7:$I$2738,$F886))</f>
        <v/>
      </c>
    </row>
    <row r="887" customFormat="false" ht="15" hidden="false" customHeight="false" outlineLevel="0" collapsed="false">
      <c r="A887" s="17" t="n">
        <v>883</v>
      </c>
      <c r="B887" s="12" t="s">
        <v>987</v>
      </c>
      <c r="C887" s="12" t="s">
        <v>732</v>
      </c>
      <c r="D887" s="16" t="n">
        <v>0.00289143518518519</v>
      </c>
      <c r="E887" s="15" t="n">
        <f aca="false">ROUND((D887-$D$5)*86400,2)</f>
        <v>24.79</v>
      </c>
      <c r="F887" s="17" t="n">
        <v>567</v>
      </c>
      <c r="G887" s="16" t="n">
        <f aca="false">IF(INDEX(選手一覧!$D$7:$D$2738,$F887)="","",INDEX(選手一覧!$D$7:$D$2738,$F887))</f>
        <v>0.01069375</v>
      </c>
      <c r="H887" s="17" t="n">
        <f aca="false">IF(INDEX(選手一覧!$E$7:$E$2738,$F887)="","",INDEX(選手一覧!$E$7:$E$2738,$F887))</f>
        <v>568</v>
      </c>
      <c r="I887" s="16" t="str">
        <f aca="false">IF(INDEX(選手一覧!$H$7:$H$2738,$F887)="","",INDEX(選手一覧!$H$7:$H$2738,$F887))</f>
        <v/>
      </c>
      <c r="J887" s="17" t="str">
        <f aca="false">IF(INDEX(選手一覧!$I$7:$I$2738,$F887)="","",INDEX(選手一覧!$I$7:$I$2738,$F887))</f>
        <v/>
      </c>
    </row>
    <row r="888" customFormat="false" ht="15" hidden="false" customHeight="false" outlineLevel="0" collapsed="false">
      <c r="A888" s="17" t="n">
        <v>884</v>
      </c>
      <c r="B888" s="12" t="s">
        <v>1541</v>
      </c>
      <c r="C888" s="12" t="s">
        <v>478</v>
      </c>
      <c r="D888" s="16" t="n">
        <v>0.00289166666666667</v>
      </c>
      <c r="E888" s="15" t="n">
        <f aca="false">ROUND((D888-$D$5)*86400,2)</f>
        <v>24.81</v>
      </c>
      <c r="F888" s="17" t="n">
        <v>939</v>
      </c>
      <c r="G888" s="16" t="n">
        <f aca="false">IF(INDEX(選手一覧!$D$7:$D$2738,$F888)="","",INDEX(選手一覧!$D$7:$D$2738,$F888))</f>
        <v>0.0109114583333333</v>
      </c>
      <c r="H888" s="17" t="n">
        <f aca="false">IF(INDEX(選手一覧!$E$7:$E$2738,$F888)="","",INDEX(選手一覧!$E$7:$E$2738,$F888))</f>
        <v>940</v>
      </c>
      <c r="I888" s="16" t="n">
        <f aca="false">IF(INDEX(選手一覧!$H$7:$H$2738,$F888)="","",INDEX(選手一覧!$H$7:$H$2738,$F888))</f>
        <v>0.00692696759259259</v>
      </c>
      <c r="J888" s="17" t="n">
        <f aca="false">IF(INDEX(選手一覧!$I$7:$I$2738,$F888)="","",INDEX(選手一覧!$I$7:$I$2738,$F888))</f>
        <v>267</v>
      </c>
    </row>
    <row r="889" customFormat="false" ht="15" hidden="false" customHeight="false" outlineLevel="0" collapsed="false">
      <c r="A889" s="17" t="n">
        <v>885</v>
      </c>
      <c r="B889" s="12" t="s">
        <v>3173</v>
      </c>
      <c r="C889" s="12" t="s">
        <v>3174</v>
      </c>
      <c r="D889" s="16" t="n">
        <v>0.00289178240740741</v>
      </c>
      <c r="E889" s="15" t="n">
        <f aca="false">ROUND((D889-$D$5)*86400,2)</f>
        <v>24.82</v>
      </c>
      <c r="F889" s="17" t="n">
        <v>2046</v>
      </c>
      <c r="G889" s="16" t="str">
        <f aca="false">IF(INDEX(選手一覧!$D$7:$D$2738,$F889)="","",INDEX(選手一覧!$D$7:$D$2738,$F889))</f>
        <v/>
      </c>
      <c r="H889" s="17" t="str">
        <f aca="false">IF(INDEX(選手一覧!$E$7:$E$2738,$F889)="","",INDEX(選手一覧!$E$7:$E$2738,$F889))</f>
        <v/>
      </c>
      <c r="I889" s="16" t="str">
        <f aca="false">IF(INDEX(選手一覧!$H$7:$H$2738,$F889)="","",INDEX(選手一覧!$H$7:$H$2738,$F889))</f>
        <v/>
      </c>
      <c r="J889" s="17" t="str">
        <f aca="false">IF(INDEX(選手一覧!$I$7:$I$2738,$F889)="","",INDEX(選手一覧!$I$7:$I$2738,$F889))</f>
        <v/>
      </c>
    </row>
    <row r="890" customFormat="false" ht="15" hidden="false" customHeight="false" outlineLevel="0" collapsed="false">
      <c r="A890" s="17" t="n">
        <v>886</v>
      </c>
      <c r="B890" s="12" t="s">
        <v>1413</v>
      </c>
      <c r="C890" s="12" t="s">
        <v>1049</v>
      </c>
      <c r="D890" s="16" t="n">
        <v>0.00289189814814815</v>
      </c>
      <c r="E890" s="15" t="n">
        <f aca="false">ROUND((D890-$D$5)*86400,2)</f>
        <v>24.83</v>
      </c>
      <c r="F890" s="17" t="n">
        <v>856</v>
      </c>
      <c r="G890" s="16" t="n">
        <f aca="false">IF(INDEX(選手一覧!$D$7:$D$2738,$F890)="","",INDEX(選手一覧!$D$7:$D$2738,$F890))</f>
        <v>0.0108631944444444</v>
      </c>
      <c r="H890" s="17" t="n">
        <f aca="false">IF(INDEX(選手一覧!$E$7:$E$2738,$F890)="","",INDEX(選手一覧!$E$7:$E$2738,$F890))</f>
        <v>857</v>
      </c>
      <c r="I890" s="16" t="str">
        <f aca="false">IF(INDEX(選手一覧!$H$7:$H$2738,$F890)="","",INDEX(選手一覧!$H$7:$H$2738,$F890))</f>
        <v/>
      </c>
      <c r="J890" s="17" t="str">
        <f aca="false">IF(INDEX(選手一覧!$I$7:$I$2738,$F890)="","",INDEX(選手一覧!$I$7:$I$2738,$F890))</f>
        <v/>
      </c>
    </row>
    <row r="891" customFormat="false" ht="15" hidden="false" customHeight="false" outlineLevel="0" collapsed="false">
      <c r="A891" s="17" t="n">
        <v>887</v>
      </c>
      <c r="B891" s="12" t="s">
        <v>1497</v>
      </c>
      <c r="C891" s="12" t="s">
        <v>1094</v>
      </c>
      <c r="D891" s="16" t="n">
        <v>0.00289201388888889</v>
      </c>
      <c r="E891" s="15" t="n">
        <f aca="false">ROUND((D891-$D$5)*86400,2)</f>
        <v>24.84</v>
      </c>
      <c r="F891" s="17" t="n">
        <v>910</v>
      </c>
      <c r="G891" s="16" t="n">
        <f aca="false">IF(INDEX(選手一覧!$D$7:$D$2738,$F891)="","",INDEX(選手一覧!$D$7:$D$2738,$F891))</f>
        <v>0.0108950231481482</v>
      </c>
      <c r="H891" s="17" t="n">
        <f aca="false">IF(INDEX(選手一覧!$E$7:$E$2738,$F891)="","",INDEX(選手一覧!$E$7:$E$2738,$F891))</f>
        <v>911</v>
      </c>
      <c r="I891" s="16" t="str">
        <f aca="false">IF(INDEX(選手一覧!$H$7:$H$2738,$F891)="","",INDEX(選手一覧!$H$7:$H$2738,$F891))</f>
        <v/>
      </c>
      <c r="J891" s="17" t="str">
        <f aca="false">IF(INDEX(選手一覧!$I$7:$I$2738,$F891)="","",INDEX(選手一覧!$I$7:$I$2738,$F891))</f>
        <v/>
      </c>
    </row>
    <row r="892" customFormat="false" ht="15" hidden="false" customHeight="false" outlineLevel="0" collapsed="false">
      <c r="A892" s="17" t="n">
        <v>888</v>
      </c>
      <c r="B892" s="12" t="s">
        <v>3178</v>
      </c>
      <c r="C892" s="12" t="s">
        <v>2667</v>
      </c>
      <c r="D892" s="16" t="n">
        <v>0.00289201388888889</v>
      </c>
      <c r="E892" s="15" t="n">
        <f aca="false">ROUND((D892-$D$5)*86400,2)</f>
        <v>24.84</v>
      </c>
      <c r="F892" s="17" t="n">
        <v>2050</v>
      </c>
      <c r="G892" s="16" t="str">
        <f aca="false">IF(INDEX(選手一覧!$D$7:$D$2738,$F892)="","",INDEX(選手一覧!$D$7:$D$2738,$F892))</f>
        <v/>
      </c>
      <c r="H892" s="17" t="str">
        <f aca="false">IF(INDEX(選手一覧!$E$7:$E$2738,$F892)="","",INDEX(選手一覧!$E$7:$E$2738,$F892))</f>
        <v/>
      </c>
      <c r="I892" s="16" t="str">
        <f aca="false">IF(INDEX(選手一覧!$H$7:$H$2738,$F892)="","",INDEX(選手一覧!$H$7:$H$2738,$F892))</f>
        <v/>
      </c>
      <c r="J892" s="17" t="str">
        <f aca="false">IF(INDEX(選手一覧!$I$7:$I$2738,$F892)="","",INDEX(選手一覧!$I$7:$I$2738,$F892))</f>
        <v/>
      </c>
    </row>
    <row r="893" customFormat="false" ht="15" hidden="false" customHeight="false" outlineLevel="0" collapsed="false">
      <c r="A893" s="17" t="n">
        <v>889</v>
      </c>
      <c r="B893" s="12" t="s">
        <v>3180</v>
      </c>
      <c r="C893" s="12" t="s">
        <v>3181</v>
      </c>
      <c r="D893" s="16" t="n">
        <v>0.00289201388888889</v>
      </c>
      <c r="E893" s="15" t="n">
        <f aca="false">ROUND((D893-$D$5)*86400,2)</f>
        <v>24.84</v>
      </c>
      <c r="F893" s="17" t="n">
        <v>2052</v>
      </c>
      <c r="G893" s="16" t="str">
        <f aca="false">IF(INDEX(選手一覧!$D$7:$D$2738,$F893)="","",INDEX(選手一覧!$D$7:$D$2738,$F893))</f>
        <v/>
      </c>
      <c r="H893" s="17" t="str">
        <f aca="false">IF(INDEX(選手一覧!$E$7:$E$2738,$F893)="","",INDEX(選手一覧!$E$7:$E$2738,$F893))</f>
        <v/>
      </c>
      <c r="I893" s="16" t="str">
        <f aca="false">IF(INDEX(選手一覧!$H$7:$H$2738,$F893)="","",INDEX(選手一覧!$H$7:$H$2738,$F893))</f>
        <v/>
      </c>
      <c r="J893" s="17" t="str">
        <f aca="false">IF(INDEX(選手一覧!$I$7:$I$2738,$F893)="","",INDEX(選手一覧!$I$7:$I$2738,$F893))</f>
        <v/>
      </c>
    </row>
    <row r="894" customFormat="false" ht="15" hidden="false" customHeight="false" outlineLevel="0" collapsed="false">
      <c r="A894" s="17" t="n">
        <v>890</v>
      </c>
      <c r="B894" s="12" t="s">
        <v>1972</v>
      </c>
      <c r="C894" s="12" t="s">
        <v>1212</v>
      </c>
      <c r="D894" s="16" t="n">
        <v>0.00289212962962963</v>
      </c>
      <c r="E894" s="15" t="n">
        <f aca="false">ROUND((D894-$D$5)*86400,2)</f>
        <v>24.85</v>
      </c>
      <c r="F894" s="17" t="n">
        <v>1235</v>
      </c>
      <c r="G894" s="16" t="n">
        <f aca="false">IF(INDEX(選手一覧!$D$7:$D$2738,$F894)="","",INDEX(選手一覧!$D$7:$D$2738,$F894))</f>
        <v>0.0110709490740741</v>
      </c>
      <c r="H894" s="17" t="n">
        <f aca="false">IF(INDEX(選手一覧!$E$7:$E$2738,$F894)="","",INDEX(選手一覧!$E$7:$E$2738,$F894))</f>
        <v>1236</v>
      </c>
      <c r="I894" s="16" t="str">
        <f aca="false">IF(INDEX(選手一覧!$H$7:$H$2738,$F894)="","",INDEX(選手一覧!$H$7:$H$2738,$F894))</f>
        <v/>
      </c>
      <c r="J894" s="17" t="str">
        <f aca="false">IF(INDEX(選手一覧!$I$7:$I$2738,$F894)="","",INDEX(選手一覧!$I$7:$I$2738,$F894))</f>
        <v/>
      </c>
    </row>
    <row r="895" customFormat="false" ht="15" hidden="false" customHeight="false" outlineLevel="0" collapsed="false">
      <c r="A895" s="17" t="n">
        <v>891</v>
      </c>
      <c r="B895" s="12" t="s">
        <v>669</v>
      </c>
      <c r="C895" s="12" t="s">
        <v>167</v>
      </c>
      <c r="D895" s="16" t="n">
        <v>0.00289212962962963</v>
      </c>
      <c r="E895" s="15" t="n">
        <f aca="false">ROUND((D895-$D$5)*86400,2)</f>
        <v>24.85</v>
      </c>
      <c r="F895" s="17" t="n">
        <v>367</v>
      </c>
      <c r="G895" s="16" t="n">
        <f aca="false">IF(INDEX(選手一覧!$D$7:$D$2738,$F895)="","",INDEX(選手一覧!$D$7:$D$2738,$F895))</f>
        <v>0.0105259259259259</v>
      </c>
      <c r="H895" s="17" t="n">
        <f aca="false">IF(INDEX(選手一覧!$E$7:$E$2738,$F895)="","",INDEX(選手一覧!$E$7:$E$2738,$F895))</f>
        <v>368</v>
      </c>
      <c r="I895" s="16" t="str">
        <f aca="false">IF(INDEX(選手一覧!$H$7:$H$2738,$F895)="","",INDEX(選手一覧!$H$7:$H$2738,$F895))</f>
        <v/>
      </c>
      <c r="J895" s="17" t="str">
        <f aca="false">IF(INDEX(選手一覧!$I$7:$I$2738,$F895)="","",INDEX(選手一覧!$I$7:$I$2738,$F895))</f>
        <v/>
      </c>
    </row>
    <row r="896" customFormat="false" ht="15" hidden="false" customHeight="false" outlineLevel="0" collapsed="false">
      <c r="A896" s="17" t="n">
        <v>892</v>
      </c>
      <c r="B896" s="12" t="s">
        <v>1741</v>
      </c>
      <c r="C896" s="12" t="s">
        <v>145</v>
      </c>
      <c r="D896" s="16" t="n">
        <v>0.00289212962962963</v>
      </c>
      <c r="E896" s="15" t="n">
        <f aca="false">ROUND((D896-$D$5)*86400,2)</f>
        <v>24.85</v>
      </c>
      <c r="F896" s="17" t="n">
        <v>1075</v>
      </c>
      <c r="G896" s="16" t="n">
        <f aca="false">IF(INDEX(選手一覧!$D$7:$D$2738,$F896)="","",INDEX(選手一覧!$D$7:$D$2738,$F896))</f>
        <v>0.0109872685185185</v>
      </c>
      <c r="H896" s="17" t="n">
        <f aca="false">IF(INDEX(選手一覧!$E$7:$E$2738,$F896)="","",INDEX(選手一覧!$E$7:$E$2738,$F896))</f>
        <v>1076</v>
      </c>
      <c r="I896" s="16" t="n">
        <f aca="false">IF(INDEX(選手一覧!$H$7:$H$2738,$F896)="","",INDEX(選手一覧!$H$7:$H$2738,$F896))</f>
        <v>0.00740451388888889</v>
      </c>
      <c r="J896" s="17" t="n">
        <f aca="false">IF(INDEX(選手一覧!$I$7:$I$2738,$F896)="","",INDEX(選手一覧!$I$7:$I$2738,$F896))</f>
        <v>777</v>
      </c>
    </row>
    <row r="897" customFormat="false" ht="15" hidden="false" customHeight="false" outlineLevel="0" collapsed="false">
      <c r="A897" s="17" t="n">
        <v>893</v>
      </c>
      <c r="B897" s="12" t="s">
        <v>1753</v>
      </c>
      <c r="C897" s="12" t="s">
        <v>1049</v>
      </c>
      <c r="D897" s="16" t="n">
        <v>0.00289224537037037</v>
      </c>
      <c r="E897" s="15" t="n">
        <f aca="false">ROUND((D897-$D$5)*86400,2)</f>
        <v>24.86</v>
      </c>
      <c r="F897" s="17" t="n">
        <v>1083</v>
      </c>
      <c r="G897" s="16" t="n">
        <f aca="false">IF(INDEX(選手一覧!$D$7:$D$2738,$F897)="","",INDEX(選手一覧!$D$7:$D$2738,$F897))</f>
        <v>0.0109925925925926</v>
      </c>
      <c r="H897" s="17" t="n">
        <f aca="false">IF(INDEX(選手一覧!$E$7:$E$2738,$F897)="","",INDEX(選手一覧!$E$7:$E$2738,$F897))</f>
        <v>1084</v>
      </c>
      <c r="I897" s="16" t="n">
        <f aca="false">IF(INDEX(選手一覧!$H$7:$H$2738,$F897)="","",INDEX(選手一覧!$H$7:$H$2738,$F897))</f>
        <v>0.00699201388888889</v>
      </c>
      <c r="J897" s="17" t="n">
        <f aca="false">IF(INDEX(選手一覧!$I$7:$I$2738,$F897)="","",INDEX(選手一覧!$I$7:$I$2738,$F897))</f>
        <v>326</v>
      </c>
    </row>
    <row r="898" customFormat="false" ht="15" hidden="false" customHeight="false" outlineLevel="0" collapsed="false">
      <c r="A898" s="17" t="n">
        <v>894</v>
      </c>
      <c r="B898" s="12" t="s">
        <v>3189</v>
      </c>
      <c r="C898" s="12" t="s">
        <v>3190</v>
      </c>
      <c r="D898" s="16" t="n">
        <v>0.00289247685185185</v>
      </c>
      <c r="E898" s="15" t="n">
        <f aca="false">ROUND((D898-$D$5)*86400,2)</f>
        <v>24.88</v>
      </c>
      <c r="F898" s="17" t="n">
        <v>2058</v>
      </c>
      <c r="G898" s="16" t="str">
        <f aca="false">IF(INDEX(選手一覧!$D$7:$D$2738,$F898)="","",INDEX(選手一覧!$D$7:$D$2738,$F898))</f>
        <v/>
      </c>
      <c r="H898" s="17" t="str">
        <f aca="false">IF(INDEX(選手一覧!$E$7:$E$2738,$F898)="","",INDEX(選手一覧!$E$7:$E$2738,$F898))</f>
        <v/>
      </c>
      <c r="I898" s="16" t="str">
        <f aca="false">IF(INDEX(選手一覧!$H$7:$H$2738,$F898)="","",INDEX(選手一覧!$H$7:$H$2738,$F898))</f>
        <v/>
      </c>
      <c r="J898" s="17" t="str">
        <f aca="false">IF(INDEX(選手一覧!$I$7:$I$2738,$F898)="","",INDEX(選手一覧!$I$7:$I$2738,$F898))</f>
        <v/>
      </c>
    </row>
    <row r="899" customFormat="false" ht="15" hidden="false" customHeight="false" outlineLevel="0" collapsed="false">
      <c r="A899" s="17" t="n">
        <v>895</v>
      </c>
      <c r="B899" s="12" t="s">
        <v>1211</v>
      </c>
      <c r="C899" s="12" t="s">
        <v>1212</v>
      </c>
      <c r="D899" s="16" t="n">
        <v>0.00289259259259259</v>
      </c>
      <c r="E899" s="15" t="n">
        <f aca="false">ROUND((D899-$D$5)*86400,2)</f>
        <v>24.89</v>
      </c>
      <c r="F899" s="17" t="n">
        <v>720</v>
      </c>
      <c r="G899" s="16" t="n">
        <f aca="false">IF(INDEX(選手一覧!$D$7:$D$2738,$F899)="","",INDEX(選手一覧!$D$7:$D$2738,$F899))</f>
        <v>0.0107894675925926</v>
      </c>
      <c r="H899" s="17" t="n">
        <f aca="false">IF(INDEX(選手一覧!$E$7:$E$2738,$F899)="","",INDEX(選手一覧!$E$7:$E$2738,$F899))</f>
        <v>721</v>
      </c>
      <c r="I899" s="16" t="str">
        <f aca="false">IF(INDEX(選手一覧!$H$7:$H$2738,$F899)="","",INDEX(選手一覧!$H$7:$H$2738,$F899))</f>
        <v/>
      </c>
      <c r="J899" s="17" t="str">
        <f aca="false">IF(INDEX(選手一覧!$I$7:$I$2738,$F899)="","",INDEX(選手一覧!$I$7:$I$2738,$F899))</f>
        <v/>
      </c>
    </row>
    <row r="900" customFormat="false" ht="15" hidden="false" customHeight="false" outlineLevel="0" collapsed="false">
      <c r="A900" s="17" t="n">
        <v>896</v>
      </c>
      <c r="B900" s="12" t="s">
        <v>3195</v>
      </c>
      <c r="C900" s="12" t="s">
        <v>3196</v>
      </c>
      <c r="D900" s="16" t="n">
        <v>0.00289293981481482</v>
      </c>
      <c r="E900" s="15" t="n">
        <f aca="false">ROUND((D900-$D$5)*86400,2)</f>
        <v>24.92</v>
      </c>
      <c r="F900" s="17" t="n">
        <v>2061</v>
      </c>
      <c r="G900" s="16" t="str">
        <f aca="false">IF(INDEX(選手一覧!$D$7:$D$2738,$F900)="","",INDEX(選手一覧!$D$7:$D$2738,$F900))</f>
        <v/>
      </c>
      <c r="H900" s="17" t="str">
        <f aca="false">IF(INDEX(選手一覧!$E$7:$E$2738,$F900)="","",INDEX(選手一覧!$E$7:$E$2738,$F900))</f>
        <v/>
      </c>
      <c r="I900" s="16" t="str">
        <f aca="false">IF(INDEX(選手一覧!$H$7:$H$2738,$F900)="","",INDEX(選手一覧!$H$7:$H$2738,$F900))</f>
        <v/>
      </c>
      <c r="J900" s="17" t="str">
        <f aca="false">IF(INDEX(選手一覧!$I$7:$I$2738,$F900)="","",INDEX(選手一覧!$I$7:$I$2738,$F900))</f>
        <v/>
      </c>
    </row>
    <row r="901" customFormat="false" ht="15" hidden="false" customHeight="false" outlineLevel="0" collapsed="false">
      <c r="A901" s="17" t="n">
        <v>897</v>
      </c>
      <c r="B901" s="12" t="s">
        <v>3197</v>
      </c>
      <c r="C901" s="12" t="s">
        <v>2192</v>
      </c>
      <c r="D901" s="16" t="n">
        <v>0.00289293981481482</v>
      </c>
      <c r="E901" s="15" t="n">
        <f aca="false">ROUND((D901-$D$5)*86400,2)</f>
        <v>24.92</v>
      </c>
      <c r="F901" s="17" t="n">
        <v>2062</v>
      </c>
      <c r="G901" s="16" t="str">
        <f aca="false">IF(INDEX(選手一覧!$D$7:$D$2738,$F901)="","",INDEX(選手一覧!$D$7:$D$2738,$F901))</f>
        <v/>
      </c>
      <c r="H901" s="17" t="str">
        <f aca="false">IF(INDEX(選手一覧!$E$7:$E$2738,$F901)="","",INDEX(選手一覧!$E$7:$E$2738,$F901))</f>
        <v/>
      </c>
      <c r="I901" s="16" t="str">
        <f aca="false">IF(INDEX(選手一覧!$H$7:$H$2738,$F901)="","",INDEX(選手一覧!$H$7:$H$2738,$F901))</f>
        <v/>
      </c>
      <c r="J901" s="17" t="str">
        <f aca="false">IF(INDEX(選手一覧!$I$7:$I$2738,$F901)="","",INDEX(選手一覧!$I$7:$I$2738,$F901))</f>
        <v/>
      </c>
    </row>
    <row r="902" customFormat="false" ht="15" hidden="false" customHeight="false" outlineLevel="0" collapsed="false">
      <c r="A902" s="17" t="n">
        <v>898</v>
      </c>
      <c r="B902" s="12" t="s">
        <v>398</v>
      </c>
      <c r="C902" s="12" t="s">
        <v>256</v>
      </c>
      <c r="D902" s="16" t="n">
        <v>0.00289305555555556</v>
      </c>
      <c r="E902" s="15" t="n">
        <f aca="false">ROUND((D902-$D$5)*86400,2)</f>
        <v>24.93</v>
      </c>
      <c r="F902" s="17" t="n">
        <v>198</v>
      </c>
      <c r="G902" s="16" t="n">
        <f aca="false">IF(INDEX(選手一覧!$D$7:$D$2738,$F902)="","",INDEX(選手一覧!$D$7:$D$2738,$F902))</f>
        <v>0.010347337962963</v>
      </c>
      <c r="H902" s="17" t="n">
        <f aca="false">IF(INDEX(選手一覧!$E$7:$E$2738,$F902)="","",INDEX(選手一覧!$E$7:$E$2738,$F902))</f>
        <v>199</v>
      </c>
      <c r="I902" s="16" t="str">
        <f aca="false">IF(INDEX(選手一覧!$H$7:$H$2738,$F902)="","",INDEX(選手一覧!$H$7:$H$2738,$F902))</f>
        <v/>
      </c>
      <c r="J902" s="17" t="str">
        <f aca="false">IF(INDEX(選手一覧!$I$7:$I$2738,$F902)="","",INDEX(選手一覧!$I$7:$I$2738,$F902))</f>
        <v/>
      </c>
    </row>
    <row r="903" customFormat="false" ht="15" hidden="false" customHeight="false" outlineLevel="0" collapsed="false">
      <c r="A903" s="17" t="n">
        <v>899</v>
      </c>
      <c r="B903" s="12" t="s">
        <v>927</v>
      </c>
      <c r="C903" s="12" t="s">
        <v>61</v>
      </c>
      <c r="D903" s="16" t="n">
        <v>0.00289328703703704</v>
      </c>
      <c r="E903" s="15" t="n">
        <f aca="false">ROUND((D903-$D$5)*86400,2)</f>
        <v>24.95</v>
      </c>
      <c r="F903" s="17" t="n">
        <v>529</v>
      </c>
      <c r="G903" s="16" t="n">
        <f aca="false">IF(INDEX(選手一覧!$D$7:$D$2738,$F903)="","",INDEX(選手一覧!$D$7:$D$2738,$F903))</f>
        <v>0.010653125</v>
      </c>
      <c r="H903" s="17" t="n">
        <f aca="false">IF(INDEX(選手一覧!$E$7:$E$2738,$F903)="","",INDEX(選手一覧!$E$7:$E$2738,$F903))</f>
        <v>530</v>
      </c>
      <c r="I903" s="16" t="str">
        <f aca="false">IF(INDEX(選手一覧!$H$7:$H$2738,$F903)="","",INDEX(選手一覧!$H$7:$H$2738,$F903))</f>
        <v/>
      </c>
      <c r="J903" s="17" t="str">
        <f aca="false">IF(INDEX(選手一覧!$I$7:$I$2738,$F903)="","",INDEX(選手一覧!$I$7:$I$2738,$F903))</f>
        <v/>
      </c>
    </row>
    <row r="904" customFormat="false" ht="15" hidden="false" customHeight="false" outlineLevel="0" collapsed="false">
      <c r="A904" s="17" t="n">
        <v>900</v>
      </c>
      <c r="B904" s="12" t="s">
        <v>3203</v>
      </c>
      <c r="C904" s="12" t="s">
        <v>3204</v>
      </c>
      <c r="D904" s="16" t="n">
        <v>0.00289340277777778</v>
      </c>
      <c r="E904" s="15" t="n">
        <f aca="false">ROUND((D904-$D$5)*86400,2)</f>
        <v>24.96</v>
      </c>
      <c r="F904" s="17" t="n">
        <v>2066</v>
      </c>
      <c r="G904" s="16" t="str">
        <f aca="false">IF(INDEX(選手一覧!$D$7:$D$2738,$F904)="","",INDEX(選手一覧!$D$7:$D$2738,$F904))</f>
        <v/>
      </c>
      <c r="H904" s="17" t="str">
        <f aca="false">IF(INDEX(選手一覧!$E$7:$E$2738,$F904)="","",INDEX(選手一覧!$E$7:$E$2738,$F904))</f>
        <v/>
      </c>
      <c r="I904" s="16" t="str">
        <f aca="false">IF(INDEX(選手一覧!$H$7:$H$2738,$F904)="","",INDEX(選手一覧!$H$7:$H$2738,$F904))</f>
        <v/>
      </c>
      <c r="J904" s="17" t="str">
        <f aca="false">IF(INDEX(選手一覧!$I$7:$I$2738,$F904)="","",INDEX(選手一覧!$I$7:$I$2738,$F904))</f>
        <v/>
      </c>
    </row>
    <row r="905" customFormat="false" ht="15" hidden="false" customHeight="false" outlineLevel="0" collapsed="false">
      <c r="A905" s="17" t="n">
        <v>901</v>
      </c>
      <c r="B905" s="12" t="s">
        <v>1079</v>
      </c>
      <c r="C905" s="12" t="s">
        <v>99</v>
      </c>
      <c r="D905" s="16" t="n">
        <v>0.00289351851851852</v>
      </c>
      <c r="E905" s="15" t="n">
        <f aca="false">ROUND((D905-$D$5)*86400,2)</f>
        <v>24.97</v>
      </c>
      <c r="F905" s="17" t="n">
        <v>634</v>
      </c>
      <c r="G905" s="16" t="n">
        <f aca="false">IF(INDEX(選手一覧!$D$7:$D$2738,$F905)="","",INDEX(選手一覧!$D$7:$D$2738,$F905))</f>
        <v>0.010731712962963</v>
      </c>
      <c r="H905" s="17" t="n">
        <f aca="false">IF(INDEX(選手一覧!$E$7:$E$2738,$F905)="","",INDEX(選手一覧!$E$7:$E$2738,$F905))</f>
        <v>635</v>
      </c>
      <c r="I905" s="16" t="n">
        <f aca="false">IF(INDEX(選手一覧!$H$7:$H$2738,$F905)="","",INDEX(選手一覧!$H$7:$H$2738,$F905))</f>
        <v>0.00675474537037037</v>
      </c>
      <c r="J905" s="17" t="n">
        <f aca="false">IF(INDEX(選手一覧!$I$7:$I$2738,$F905)="","",INDEX(選手一覧!$I$7:$I$2738,$F905))</f>
        <v>132</v>
      </c>
    </row>
    <row r="906" customFormat="false" ht="15" hidden="false" customHeight="false" outlineLevel="0" collapsed="false">
      <c r="A906" s="17" t="n">
        <v>902</v>
      </c>
      <c r="B906" s="12" t="s">
        <v>3209</v>
      </c>
      <c r="C906" s="12" t="s">
        <v>3210</v>
      </c>
      <c r="D906" s="16" t="n">
        <v>0.00289351851851852</v>
      </c>
      <c r="E906" s="15" t="n">
        <f aca="false">ROUND((D906-$D$5)*86400,2)</f>
        <v>24.97</v>
      </c>
      <c r="F906" s="17" t="n">
        <v>2069</v>
      </c>
      <c r="G906" s="16" t="str">
        <f aca="false">IF(INDEX(選手一覧!$D$7:$D$2738,$F906)="","",INDEX(選手一覧!$D$7:$D$2738,$F906))</f>
        <v/>
      </c>
      <c r="H906" s="17" t="str">
        <f aca="false">IF(INDEX(選手一覧!$E$7:$E$2738,$F906)="","",INDEX(選手一覧!$E$7:$E$2738,$F906))</f>
        <v/>
      </c>
      <c r="I906" s="16" t="str">
        <f aca="false">IF(INDEX(選手一覧!$H$7:$H$2738,$F906)="","",INDEX(選手一覧!$H$7:$H$2738,$F906))</f>
        <v/>
      </c>
      <c r="J906" s="17" t="str">
        <f aca="false">IF(INDEX(選手一覧!$I$7:$I$2738,$F906)="","",INDEX(選手一覧!$I$7:$I$2738,$F906))</f>
        <v/>
      </c>
    </row>
    <row r="907" customFormat="false" ht="15" hidden="false" customHeight="false" outlineLevel="0" collapsed="false">
      <c r="A907" s="17" t="n">
        <v>903</v>
      </c>
      <c r="B907" s="12" t="s">
        <v>3213</v>
      </c>
      <c r="C907" s="12" t="s">
        <v>3214</v>
      </c>
      <c r="D907" s="16" t="n">
        <v>0.00289363425925926</v>
      </c>
      <c r="E907" s="15" t="n">
        <f aca="false">ROUND((D907-$D$5)*86400,2)</f>
        <v>24.98</v>
      </c>
      <c r="F907" s="17" t="n">
        <v>2071</v>
      </c>
      <c r="G907" s="16" t="str">
        <f aca="false">IF(INDEX(選手一覧!$D$7:$D$2738,$F907)="","",INDEX(選手一覧!$D$7:$D$2738,$F907))</f>
        <v/>
      </c>
      <c r="H907" s="17" t="str">
        <f aca="false">IF(INDEX(選手一覧!$E$7:$E$2738,$F907)="","",INDEX(選手一覧!$E$7:$E$2738,$F907))</f>
        <v/>
      </c>
      <c r="I907" s="16" t="str">
        <f aca="false">IF(INDEX(選手一覧!$H$7:$H$2738,$F907)="","",INDEX(選手一覧!$H$7:$H$2738,$F907))</f>
        <v/>
      </c>
      <c r="J907" s="17" t="str">
        <f aca="false">IF(INDEX(選手一覧!$I$7:$I$2738,$F907)="","",INDEX(選手一覧!$I$7:$I$2738,$F907))</f>
        <v/>
      </c>
    </row>
    <row r="908" customFormat="false" ht="15" hidden="false" customHeight="false" outlineLevel="0" collapsed="false">
      <c r="A908" s="17" t="n">
        <v>904</v>
      </c>
      <c r="B908" s="12" t="s">
        <v>1712</v>
      </c>
      <c r="C908" s="12" t="s">
        <v>406</v>
      </c>
      <c r="D908" s="16" t="n">
        <v>0.00289398148148148</v>
      </c>
      <c r="E908" s="15" t="n">
        <f aca="false">ROUND((D908-$D$5)*86400,2)</f>
        <v>25.01</v>
      </c>
      <c r="F908" s="17" t="n">
        <v>1056</v>
      </c>
      <c r="G908" s="16" t="n">
        <f aca="false">IF(INDEX(選手一覧!$D$7:$D$2738,$F908)="","",INDEX(選手一覧!$D$7:$D$2738,$F908))</f>
        <v>0.010980787037037</v>
      </c>
      <c r="H908" s="17" t="n">
        <f aca="false">IF(INDEX(選手一覧!$E$7:$E$2738,$F908)="","",INDEX(選手一覧!$E$7:$E$2738,$F908))</f>
        <v>1057</v>
      </c>
      <c r="I908" s="16" t="str">
        <f aca="false">IF(INDEX(選手一覧!$H$7:$H$2738,$F908)="","",INDEX(選手一覧!$H$7:$H$2738,$F908))</f>
        <v/>
      </c>
      <c r="J908" s="17" t="str">
        <f aca="false">IF(INDEX(選手一覧!$I$7:$I$2738,$F908)="","",INDEX(選手一覧!$I$7:$I$2738,$F908))</f>
        <v/>
      </c>
    </row>
    <row r="909" customFormat="false" ht="15" hidden="false" customHeight="false" outlineLevel="0" collapsed="false">
      <c r="A909" s="17" t="n">
        <v>905</v>
      </c>
      <c r="B909" s="12" t="s">
        <v>2919</v>
      </c>
      <c r="C909" s="12" t="s">
        <v>1775</v>
      </c>
      <c r="D909" s="16" t="n">
        <v>0.00289409722222222</v>
      </c>
      <c r="E909" s="15" t="n">
        <f aca="false">ROUND((D909-$D$5)*86400,2)</f>
        <v>25.02</v>
      </c>
      <c r="F909" s="17" t="n">
        <v>1871</v>
      </c>
      <c r="G909" s="16" t="str">
        <f aca="false">IF(INDEX(選手一覧!$D$7:$D$2738,$F909)="","",INDEX(選手一覧!$D$7:$D$2738,$F909))</f>
        <v/>
      </c>
      <c r="H909" s="17" t="str">
        <f aca="false">IF(INDEX(選手一覧!$E$7:$E$2738,$F909)="","",INDEX(選手一覧!$E$7:$E$2738,$F909))</f>
        <v/>
      </c>
      <c r="I909" s="16" t="n">
        <f aca="false">IF(INDEX(選手一覧!$H$7:$H$2738,$F909)="","",INDEX(選手一覧!$H$7:$H$2738,$F909))</f>
        <v>0.00738032407407407</v>
      </c>
      <c r="J909" s="17" t="n">
        <f aca="false">IF(INDEX(選手一覧!$I$7:$I$2738,$F909)="","",INDEX(選手一覧!$I$7:$I$2738,$F909))</f>
        <v>752</v>
      </c>
    </row>
    <row r="910" customFormat="false" ht="15" hidden="false" customHeight="false" outlineLevel="0" collapsed="false">
      <c r="A910" s="17" t="n">
        <v>906</v>
      </c>
      <c r="B910" s="12" t="s">
        <v>806</v>
      </c>
      <c r="C910" s="12" t="s">
        <v>65</v>
      </c>
      <c r="D910" s="16" t="n">
        <v>0.00289444444444445</v>
      </c>
      <c r="E910" s="15" t="n">
        <f aca="false">ROUND((D910-$D$5)*86400,2)</f>
        <v>25.05</v>
      </c>
      <c r="F910" s="17" t="n">
        <v>454</v>
      </c>
      <c r="G910" s="16" t="n">
        <f aca="false">IF(INDEX(選手一覧!$D$7:$D$2738,$F910)="","",INDEX(選手一覧!$D$7:$D$2738,$F910))</f>
        <v>0.010590625</v>
      </c>
      <c r="H910" s="17" t="n">
        <f aca="false">IF(INDEX(選手一覧!$E$7:$E$2738,$F910)="","",INDEX(選手一覧!$E$7:$E$2738,$F910))</f>
        <v>455</v>
      </c>
      <c r="I910" s="16" t="str">
        <f aca="false">IF(INDEX(選手一覧!$H$7:$H$2738,$F910)="","",INDEX(選手一覧!$H$7:$H$2738,$F910))</f>
        <v/>
      </c>
      <c r="J910" s="17" t="str">
        <f aca="false">IF(INDEX(選手一覧!$I$7:$I$2738,$F910)="","",INDEX(選手一覧!$I$7:$I$2738,$F910))</f>
        <v/>
      </c>
    </row>
    <row r="911" customFormat="false" ht="15" hidden="false" customHeight="false" outlineLevel="0" collapsed="false">
      <c r="A911" s="17" t="n">
        <v>907</v>
      </c>
      <c r="B911" s="12" t="s">
        <v>3221</v>
      </c>
      <c r="C911" s="12" t="s">
        <v>3222</v>
      </c>
      <c r="D911" s="16" t="n">
        <v>0.00289444444444445</v>
      </c>
      <c r="E911" s="15" t="n">
        <f aca="false">ROUND((D911-$D$5)*86400,2)</f>
        <v>25.05</v>
      </c>
      <c r="F911" s="17" t="n">
        <v>2076</v>
      </c>
      <c r="G911" s="16" t="str">
        <f aca="false">IF(INDEX(選手一覧!$D$7:$D$2738,$F911)="","",INDEX(選手一覧!$D$7:$D$2738,$F911))</f>
        <v/>
      </c>
      <c r="H911" s="17" t="str">
        <f aca="false">IF(INDEX(選手一覧!$E$7:$E$2738,$F911)="","",INDEX(選手一覧!$E$7:$E$2738,$F911))</f>
        <v/>
      </c>
      <c r="I911" s="16" t="str">
        <f aca="false">IF(INDEX(選手一覧!$H$7:$H$2738,$F911)="","",INDEX(選手一覧!$H$7:$H$2738,$F911))</f>
        <v/>
      </c>
      <c r="J911" s="17" t="str">
        <f aca="false">IF(INDEX(選手一覧!$I$7:$I$2738,$F911)="","",INDEX(選手一覧!$I$7:$I$2738,$F911))</f>
        <v/>
      </c>
    </row>
    <row r="912" customFormat="false" ht="15" hidden="false" customHeight="false" outlineLevel="0" collapsed="false">
      <c r="A912" s="17" t="n">
        <v>908</v>
      </c>
      <c r="B912" s="12" t="s">
        <v>1273</v>
      </c>
      <c r="C912" s="12" t="s">
        <v>1274</v>
      </c>
      <c r="D912" s="16" t="n">
        <v>0.00289467592592593</v>
      </c>
      <c r="E912" s="15" t="n">
        <f aca="false">ROUND((D912-$D$5)*86400,2)</f>
        <v>25.07</v>
      </c>
      <c r="F912" s="17" t="n">
        <v>760</v>
      </c>
      <c r="G912" s="16" t="n">
        <f aca="false">IF(INDEX(選手一覧!$D$7:$D$2738,$F912)="","",INDEX(選手一覧!$D$7:$D$2738,$F912))</f>
        <v>0.0108081018518519</v>
      </c>
      <c r="H912" s="17" t="n">
        <f aca="false">IF(INDEX(選手一覧!$E$7:$E$2738,$F912)="","",INDEX(選手一覧!$E$7:$E$2738,$F912))</f>
        <v>761</v>
      </c>
      <c r="I912" s="16" t="str">
        <f aca="false">IF(INDEX(選手一覧!$H$7:$H$2738,$F912)="","",INDEX(選手一覧!$H$7:$H$2738,$F912))</f>
        <v/>
      </c>
      <c r="J912" s="17" t="str">
        <f aca="false">IF(INDEX(選手一覧!$I$7:$I$2738,$F912)="","",INDEX(選手一覧!$I$7:$I$2738,$F912))</f>
        <v/>
      </c>
    </row>
    <row r="913" customFormat="false" ht="15" hidden="false" customHeight="false" outlineLevel="0" collapsed="false">
      <c r="A913" s="17" t="n">
        <v>909</v>
      </c>
      <c r="B913" s="12" t="s">
        <v>3227</v>
      </c>
      <c r="C913" s="12" t="s">
        <v>629</v>
      </c>
      <c r="D913" s="16" t="n">
        <v>0.00289467592592593</v>
      </c>
      <c r="E913" s="15" t="n">
        <f aca="false">ROUND((D913-$D$5)*86400,2)</f>
        <v>25.07</v>
      </c>
      <c r="F913" s="17" t="n">
        <v>2079</v>
      </c>
      <c r="G913" s="16" t="str">
        <f aca="false">IF(INDEX(選手一覧!$D$7:$D$2738,$F913)="","",INDEX(選手一覧!$D$7:$D$2738,$F913))</f>
        <v/>
      </c>
      <c r="H913" s="17" t="str">
        <f aca="false">IF(INDEX(選手一覧!$E$7:$E$2738,$F913)="","",INDEX(選手一覧!$E$7:$E$2738,$F913))</f>
        <v/>
      </c>
      <c r="I913" s="16" t="str">
        <f aca="false">IF(INDEX(選手一覧!$H$7:$H$2738,$F913)="","",INDEX(選手一覧!$H$7:$H$2738,$F913))</f>
        <v/>
      </c>
      <c r="J913" s="17" t="str">
        <f aca="false">IF(INDEX(選手一覧!$I$7:$I$2738,$F913)="","",INDEX(選手一覧!$I$7:$I$2738,$F913))</f>
        <v/>
      </c>
    </row>
    <row r="914" customFormat="false" ht="15" hidden="false" customHeight="false" outlineLevel="0" collapsed="false">
      <c r="A914" s="17" t="n">
        <v>910</v>
      </c>
      <c r="B914" s="12" t="s">
        <v>665</v>
      </c>
      <c r="C914" s="12" t="s">
        <v>544</v>
      </c>
      <c r="D914" s="16" t="n">
        <v>0.00289467592592593</v>
      </c>
      <c r="E914" s="15" t="n">
        <f aca="false">ROUND((D914-$D$5)*86400,2)</f>
        <v>25.07</v>
      </c>
      <c r="F914" s="17" t="n">
        <v>365</v>
      </c>
      <c r="G914" s="16" t="n">
        <f aca="false">IF(INDEX(選手一覧!$D$7:$D$2738,$F914)="","",INDEX(選手一覧!$D$7:$D$2738,$F914))</f>
        <v>0.0105252314814815</v>
      </c>
      <c r="H914" s="17" t="n">
        <f aca="false">IF(INDEX(選手一覧!$E$7:$E$2738,$F914)="","",INDEX(選手一覧!$E$7:$E$2738,$F914))</f>
        <v>366</v>
      </c>
      <c r="I914" s="16" t="n">
        <f aca="false">IF(INDEX(選手一覧!$H$7:$H$2738,$F914)="","",INDEX(選手一覧!$H$7:$H$2738,$F914))</f>
        <v>0.00732141203703704</v>
      </c>
      <c r="J914" s="17" t="n">
        <f aca="false">IF(INDEX(選手一覧!$I$7:$I$2738,$F914)="","",INDEX(選手一覧!$I$7:$I$2738,$F914))</f>
        <v>671</v>
      </c>
    </row>
    <row r="915" customFormat="false" ht="15" hidden="false" customHeight="false" outlineLevel="0" collapsed="false">
      <c r="A915" s="17" t="n">
        <v>911</v>
      </c>
      <c r="B915" s="12" t="s">
        <v>3230</v>
      </c>
      <c r="C915" s="12" t="s">
        <v>2257</v>
      </c>
      <c r="D915" s="16" t="n">
        <v>0.00289490740740741</v>
      </c>
      <c r="E915" s="15" t="n">
        <f aca="false">ROUND((D915-$D$5)*86400,2)</f>
        <v>25.09</v>
      </c>
      <c r="F915" s="17" t="n">
        <v>2082</v>
      </c>
      <c r="G915" s="16" t="str">
        <f aca="false">IF(INDEX(選手一覧!$D$7:$D$2738,$F915)="","",INDEX(選手一覧!$D$7:$D$2738,$F915))</f>
        <v/>
      </c>
      <c r="H915" s="17" t="str">
        <f aca="false">IF(INDEX(選手一覧!$E$7:$E$2738,$F915)="","",INDEX(選手一覧!$E$7:$E$2738,$F915))</f>
        <v/>
      </c>
      <c r="I915" s="16" t="str">
        <f aca="false">IF(INDEX(選手一覧!$H$7:$H$2738,$F915)="","",INDEX(選手一覧!$H$7:$H$2738,$F915))</f>
        <v/>
      </c>
      <c r="J915" s="17" t="str">
        <f aca="false">IF(INDEX(選手一覧!$I$7:$I$2738,$F915)="","",INDEX(選手一覧!$I$7:$I$2738,$F915))</f>
        <v/>
      </c>
    </row>
    <row r="916" customFormat="false" ht="15" hidden="false" customHeight="false" outlineLevel="0" collapsed="false">
      <c r="A916" s="17" t="n">
        <v>912</v>
      </c>
      <c r="B916" s="12" t="s">
        <v>1090</v>
      </c>
      <c r="C916" s="12" t="s">
        <v>120</v>
      </c>
      <c r="D916" s="16" t="n">
        <v>0.00289490740740741</v>
      </c>
      <c r="E916" s="15" t="n">
        <f aca="false">ROUND((D916-$D$5)*86400,2)</f>
        <v>25.09</v>
      </c>
      <c r="F916" s="17" t="n">
        <v>643</v>
      </c>
      <c r="G916" s="16" t="n">
        <f aca="false">IF(INDEX(選手一覧!$D$7:$D$2738,$F916)="","",INDEX(選手一覧!$D$7:$D$2738,$F916))</f>
        <v>0.0107358796296296</v>
      </c>
      <c r="H916" s="17" t="n">
        <f aca="false">IF(INDEX(選手一覧!$E$7:$E$2738,$F916)="","",INDEX(選手一覧!$E$7:$E$2738,$F916))</f>
        <v>644</v>
      </c>
      <c r="I916" s="16" t="str">
        <f aca="false">IF(INDEX(選手一覧!$H$7:$H$2738,$F916)="","",INDEX(選手一覧!$H$7:$H$2738,$F916))</f>
        <v/>
      </c>
      <c r="J916" s="17" t="str">
        <f aca="false">IF(INDEX(選手一覧!$I$7:$I$2738,$F916)="","",INDEX(選手一覧!$I$7:$I$2738,$F916))</f>
        <v/>
      </c>
    </row>
    <row r="917" customFormat="false" ht="15" hidden="false" customHeight="false" outlineLevel="0" collapsed="false">
      <c r="A917" s="17" t="n">
        <v>913</v>
      </c>
      <c r="B917" s="12" t="s">
        <v>257</v>
      </c>
      <c r="C917" s="12" t="s">
        <v>37</v>
      </c>
      <c r="D917" s="16" t="n">
        <v>0.00289537037037037</v>
      </c>
      <c r="E917" s="15" t="n">
        <f aca="false">ROUND((D917-$D$5)*86400,2)</f>
        <v>25.13</v>
      </c>
      <c r="F917" s="17" t="n">
        <v>121</v>
      </c>
      <c r="G917" s="16" t="n">
        <f aca="false">IF(INDEX(選手一覧!$D$7:$D$2738,$F917)="","",INDEX(選手一覧!$D$7:$D$2738,$F917))</f>
        <v>0.0102427083333333</v>
      </c>
      <c r="H917" s="17" t="n">
        <f aca="false">IF(INDEX(選手一覧!$E$7:$E$2738,$F917)="","",INDEX(選手一覧!$E$7:$E$2738,$F917))</f>
        <v>122</v>
      </c>
      <c r="I917" s="16" t="str">
        <f aca="false">IF(INDEX(選手一覧!$H$7:$H$2738,$F917)="","",INDEX(選手一覧!$H$7:$H$2738,$F917))</f>
        <v/>
      </c>
      <c r="J917" s="17" t="str">
        <f aca="false">IF(INDEX(選手一覧!$I$7:$I$2738,$F917)="","",INDEX(選手一覧!$I$7:$I$2738,$F917))</f>
        <v/>
      </c>
    </row>
    <row r="918" customFormat="false" ht="15" hidden="false" customHeight="false" outlineLevel="0" collapsed="false">
      <c r="A918" s="17" t="n">
        <v>914</v>
      </c>
      <c r="B918" s="12" t="s">
        <v>3236</v>
      </c>
      <c r="C918" s="12" t="s">
        <v>1552</v>
      </c>
      <c r="D918" s="16" t="n">
        <v>0.00289537037037037</v>
      </c>
      <c r="E918" s="15" t="n">
        <f aca="false">ROUND((D918-$D$5)*86400,2)</f>
        <v>25.13</v>
      </c>
      <c r="F918" s="17" t="n">
        <v>2086</v>
      </c>
      <c r="G918" s="16" t="str">
        <f aca="false">IF(INDEX(選手一覧!$D$7:$D$2738,$F918)="","",INDEX(選手一覧!$D$7:$D$2738,$F918))</f>
        <v/>
      </c>
      <c r="H918" s="17" t="str">
        <f aca="false">IF(INDEX(選手一覧!$E$7:$E$2738,$F918)="","",INDEX(選手一覧!$E$7:$E$2738,$F918))</f>
        <v/>
      </c>
      <c r="I918" s="16" t="str">
        <f aca="false">IF(INDEX(選手一覧!$H$7:$H$2738,$F918)="","",INDEX(選手一覧!$H$7:$H$2738,$F918))</f>
        <v/>
      </c>
      <c r="J918" s="17" t="str">
        <f aca="false">IF(INDEX(選手一覧!$I$7:$I$2738,$F918)="","",INDEX(選手一覧!$I$7:$I$2738,$F918))</f>
        <v/>
      </c>
    </row>
    <row r="919" customFormat="false" ht="15" hidden="false" customHeight="false" outlineLevel="0" collapsed="false">
      <c r="A919" s="17" t="n">
        <v>915</v>
      </c>
      <c r="B919" s="12" t="s">
        <v>3239</v>
      </c>
      <c r="C919" s="12" t="s">
        <v>875</v>
      </c>
      <c r="D919" s="16" t="n">
        <v>0.00289548611111111</v>
      </c>
      <c r="E919" s="15" t="n">
        <f aca="false">ROUND((D919-$D$5)*86400,2)</f>
        <v>25.14</v>
      </c>
      <c r="F919" s="17" t="n">
        <v>2088</v>
      </c>
      <c r="G919" s="16" t="str">
        <f aca="false">IF(INDEX(選手一覧!$D$7:$D$2738,$F919)="","",INDEX(選手一覧!$D$7:$D$2738,$F919))</f>
        <v/>
      </c>
      <c r="H919" s="17" t="str">
        <f aca="false">IF(INDEX(選手一覧!$E$7:$E$2738,$F919)="","",INDEX(選手一覧!$E$7:$E$2738,$F919))</f>
        <v/>
      </c>
      <c r="I919" s="16" t="str">
        <f aca="false">IF(INDEX(選手一覧!$H$7:$H$2738,$F919)="","",INDEX(選手一覧!$H$7:$H$2738,$F919))</f>
        <v/>
      </c>
      <c r="J919" s="17" t="str">
        <f aca="false">IF(INDEX(選手一覧!$I$7:$I$2738,$F919)="","",INDEX(選手一覧!$I$7:$I$2738,$F919))</f>
        <v/>
      </c>
    </row>
    <row r="920" customFormat="false" ht="15" hidden="false" customHeight="false" outlineLevel="0" collapsed="false">
      <c r="A920" s="17" t="n">
        <v>916</v>
      </c>
      <c r="B920" s="12" t="s">
        <v>2591</v>
      </c>
      <c r="C920" s="12" t="s">
        <v>1315</v>
      </c>
      <c r="D920" s="16" t="n">
        <v>0.00289560185185185</v>
      </c>
      <c r="E920" s="15" t="n">
        <f aca="false">ROUND((D920-$D$5)*86400,2)</f>
        <v>25.15</v>
      </c>
      <c r="F920" s="17" t="n">
        <v>1654</v>
      </c>
      <c r="G920" s="16" t="str">
        <f aca="false">IF(INDEX(選手一覧!$D$7:$D$2738,$F920)="","",INDEX(選手一覧!$D$7:$D$2738,$F920))</f>
        <v/>
      </c>
      <c r="H920" s="17" t="str">
        <f aca="false">IF(INDEX(選手一覧!$E$7:$E$2738,$F920)="","",INDEX(選手一覧!$E$7:$E$2738,$F920))</f>
        <v/>
      </c>
      <c r="I920" s="16" t="n">
        <f aca="false">IF(INDEX(選手一覧!$H$7:$H$2738,$F920)="","",INDEX(選手一覧!$H$7:$H$2738,$F920))</f>
        <v>0.00722106481481482</v>
      </c>
      <c r="J920" s="17" t="n">
        <f aca="false">IF(INDEX(選手一覧!$I$7:$I$2738,$F920)="","",INDEX(選手一覧!$I$7:$I$2738,$F920))</f>
        <v>561</v>
      </c>
    </row>
    <row r="921" customFormat="false" ht="15" hidden="false" customHeight="false" outlineLevel="0" collapsed="false">
      <c r="A921" s="17" t="n">
        <v>917</v>
      </c>
      <c r="B921" s="12" t="s">
        <v>3244</v>
      </c>
      <c r="C921" s="12" t="s">
        <v>1346</v>
      </c>
      <c r="D921" s="16" t="n">
        <v>0.00289571759259259</v>
      </c>
      <c r="E921" s="15" t="n">
        <f aca="false">ROUND((D921-$D$5)*86400,2)</f>
        <v>25.16</v>
      </c>
      <c r="F921" s="17" t="n">
        <v>2091</v>
      </c>
      <c r="G921" s="16" t="str">
        <f aca="false">IF(INDEX(選手一覧!$D$7:$D$2738,$F921)="","",INDEX(選手一覧!$D$7:$D$2738,$F921))</f>
        <v/>
      </c>
      <c r="H921" s="17" t="str">
        <f aca="false">IF(INDEX(選手一覧!$E$7:$E$2738,$F921)="","",INDEX(選手一覧!$E$7:$E$2738,$F921))</f>
        <v/>
      </c>
      <c r="I921" s="16" t="str">
        <f aca="false">IF(INDEX(選手一覧!$H$7:$H$2738,$F921)="","",INDEX(選手一覧!$H$7:$H$2738,$F921))</f>
        <v/>
      </c>
      <c r="J921" s="17" t="str">
        <f aca="false">IF(INDEX(選手一覧!$I$7:$I$2738,$F921)="","",INDEX(選手一覧!$I$7:$I$2738,$F921))</f>
        <v/>
      </c>
    </row>
    <row r="922" customFormat="false" ht="15" hidden="false" customHeight="false" outlineLevel="0" collapsed="false">
      <c r="A922" s="17" t="n">
        <v>918</v>
      </c>
      <c r="B922" s="12" t="s">
        <v>3246</v>
      </c>
      <c r="C922" s="12" t="s">
        <v>2222</v>
      </c>
      <c r="D922" s="16" t="n">
        <v>0.00289571759259259</v>
      </c>
      <c r="E922" s="15" t="n">
        <f aca="false">ROUND((D922-$D$5)*86400,2)</f>
        <v>25.16</v>
      </c>
      <c r="F922" s="17" t="n">
        <v>2093</v>
      </c>
      <c r="G922" s="16" t="str">
        <f aca="false">IF(INDEX(選手一覧!$D$7:$D$2738,$F922)="","",INDEX(選手一覧!$D$7:$D$2738,$F922))</f>
        <v/>
      </c>
      <c r="H922" s="17" t="str">
        <f aca="false">IF(INDEX(選手一覧!$E$7:$E$2738,$F922)="","",INDEX(選手一覧!$E$7:$E$2738,$F922))</f>
        <v/>
      </c>
      <c r="I922" s="16" t="str">
        <f aca="false">IF(INDEX(選手一覧!$H$7:$H$2738,$F922)="","",INDEX(選手一覧!$H$7:$H$2738,$F922))</f>
        <v/>
      </c>
      <c r="J922" s="17" t="str">
        <f aca="false">IF(INDEX(選手一覧!$I$7:$I$2738,$F922)="","",INDEX(選手一覧!$I$7:$I$2738,$F922))</f>
        <v/>
      </c>
    </row>
    <row r="923" customFormat="false" ht="15" hidden="false" customHeight="false" outlineLevel="0" collapsed="false">
      <c r="A923" s="17" t="n">
        <v>919</v>
      </c>
      <c r="B923" s="12" t="s">
        <v>3247</v>
      </c>
      <c r="C923" s="12" t="s">
        <v>2651</v>
      </c>
      <c r="D923" s="16" t="n">
        <v>0.00289583333333333</v>
      </c>
      <c r="E923" s="15" t="n">
        <f aca="false">ROUND((D923-$D$5)*86400,2)</f>
        <v>25.17</v>
      </c>
      <c r="F923" s="17" t="n">
        <v>2094</v>
      </c>
      <c r="G923" s="16" t="str">
        <f aca="false">IF(INDEX(選手一覧!$D$7:$D$2738,$F923)="","",INDEX(選手一覧!$D$7:$D$2738,$F923))</f>
        <v/>
      </c>
      <c r="H923" s="17" t="str">
        <f aca="false">IF(INDEX(選手一覧!$E$7:$E$2738,$F923)="","",INDEX(選手一覧!$E$7:$E$2738,$F923))</f>
        <v/>
      </c>
      <c r="I923" s="16" t="str">
        <f aca="false">IF(INDEX(選手一覧!$H$7:$H$2738,$F923)="","",INDEX(選手一覧!$H$7:$H$2738,$F923))</f>
        <v/>
      </c>
      <c r="J923" s="17" t="str">
        <f aca="false">IF(INDEX(選手一覧!$I$7:$I$2738,$F923)="","",INDEX(選手一覧!$I$7:$I$2738,$F923))</f>
        <v/>
      </c>
    </row>
    <row r="924" customFormat="false" ht="15" hidden="false" customHeight="false" outlineLevel="0" collapsed="false">
      <c r="A924" s="17" t="n">
        <v>920</v>
      </c>
      <c r="B924" s="12" t="s">
        <v>756</v>
      </c>
      <c r="C924" s="12" t="s">
        <v>757</v>
      </c>
      <c r="D924" s="16" t="n">
        <v>0.00289583333333333</v>
      </c>
      <c r="E924" s="15" t="n">
        <f aca="false">ROUND((D924-$D$5)*86400,2)</f>
        <v>25.17</v>
      </c>
      <c r="F924" s="17" t="n">
        <v>420</v>
      </c>
      <c r="G924" s="16" t="n">
        <f aca="false">IF(INDEX(選手一覧!$D$7:$D$2738,$F924)="","",INDEX(選手一覧!$D$7:$D$2738,$F924))</f>
        <v>0.0105694444444445</v>
      </c>
      <c r="H924" s="17" t="n">
        <f aca="false">IF(INDEX(選手一覧!$E$7:$E$2738,$F924)="","",INDEX(選手一覧!$E$7:$E$2738,$F924))</f>
        <v>421</v>
      </c>
      <c r="I924" s="16" t="str">
        <f aca="false">IF(INDEX(選手一覧!$H$7:$H$2738,$F924)="","",INDEX(選手一覧!$H$7:$H$2738,$F924))</f>
        <v/>
      </c>
      <c r="J924" s="17" t="str">
        <f aca="false">IF(INDEX(選手一覧!$I$7:$I$2738,$F924)="","",INDEX(選手一覧!$I$7:$I$2738,$F924))</f>
        <v/>
      </c>
    </row>
    <row r="925" customFormat="false" ht="15" hidden="false" customHeight="false" outlineLevel="0" collapsed="false">
      <c r="A925" s="17" t="n">
        <v>921</v>
      </c>
      <c r="B925" s="12" t="s">
        <v>765</v>
      </c>
      <c r="C925" s="12" t="s">
        <v>290</v>
      </c>
      <c r="D925" s="16" t="n">
        <v>0.00289594907407407</v>
      </c>
      <c r="E925" s="15" t="n">
        <f aca="false">ROUND((D925-$D$5)*86400,2)</f>
        <v>25.18</v>
      </c>
      <c r="F925" s="17" t="n">
        <v>426</v>
      </c>
      <c r="G925" s="16" t="n">
        <f aca="false">IF(INDEX(選手一覧!$D$7:$D$2738,$F925)="","",INDEX(選手一覧!$D$7:$D$2738,$F925))</f>
        <v>0.0105721064814815</v>
      </c>
      <c r="H925" s="17" t="n">
        <f aca="false">IF(INDEX(選手一覧!$E$7:$E$2738,$F925)="","",INDEX(選手一覧!$E$7:$E$2738,$F925))</f>
        <v>427</v>
      </c>
      <c r="I925" s="16" t="str">
        <f aca="false">IF(INDEX(選手一覧!$H$7:$H$2738,$F925)="","",INDEX(選手一覧!$H$7:$H$2738,$F925))</f>
        <v/>
      </c>
      <c r="J925" s="17" t="str">
        <f aca="false">IF(INDEX(選手一覧!$I$7:$I$2738,$F925)="","",INDEX(選手一覧!$I$7:$I$2738,$F925))</f>
        <v/>
      </c>
    </row>
    <row r="926" customFormat="false" ht="15" hidden="false" customHeight="false" outlineLevel="0" collapsed="false">
      <c r="A926" s="17" t="n">
        <v>922</v>
      </c>
      <c r="B926" s="12" t="s">
        <v>744</v>
      </c>
      <c r="C926" s="12" t="s">
        <v>248</v>
      </c>
      <c r="D926" s="16" t="n">
        <v>0.00289606481481482</v>
      </c>
      <c r="E926" s="15" t="n">
        <f aca="false">ROUND((D926-$D$5)*86400,2)</f>
        <v>25.19</v>
      </c>
      <c r="F926" s="17" t="n">
        <v>412</v>
      </c>
      <c r="G926" s="16" t="n">
        <f aca="false">IF(INDEX(選手一覧!$D$7:$D$2738,$F926)="","",INDEX(選手一覧!$D$7:$D$2738,$F926))</f>
        <v>0.0105621527777778</v>
      </c>
      <c r="H926" s="17" t="n">
        <f aca="false">IF(INDEX(選手一覧!$E$7:$E$2738,$F926)="","",INDEX(選手一覧!$E$7:$E$2738,$F926))</f>
        <v>413</v>
      </c>
      <c r="I926" s="16" t="str">
        <f aca="false">IF(INDEX(選手一覧!$H$7:$H$2738,$F926)="","",INDEX(選手一覧!$H$7:$H$2738,$F926))</f>
        <v/>
      </c>
      <c r="J926" s="17" t="str">
        <f aca="false">IF(INDEX(選手一覧!$I$7:$I$2738,$F926)="","",INDEX(選手一覧!$I$7:$I$2738,$F926))</f>
        <v/>
      </c>
    </row>
    <row r="927" customFormat="false" ht="15" hidden="false" customHeight="false" outlineLevel="0" collapsed="false">
      <c r="A927" s="17" t="n">
        <v>923</v>
      </c>
      <c r="B927" s="12" t="s">
        <v>3254</v>
      </c>
      <c r="C927" s="12" t="s">
        <v>1415</v>
      </c>
      <c r="D927" s="16" t="n">
        <v>0.00289618055555556</v>
      </c>
      <c r="E927" s="15" t="n">
        <f aca="false">ROUND((D927-$D$5)*86400,2)</f>
        <v>25.2</v>
      </c>
      <c r="F927" s="17" t="n">
        <v>2098</v>
      </c>
      <c r="G927" s="16" t="str">
        <f aca="false">IF(INDEX(選手一覧!$D$7:$D$2738,$F927)="","",INDEX(選手一覧!$D$7:$D$2738,$F927))</f>
        <v/>
      </c>
      <c r="H927" s="17" t="str">
        <f aca="false">IF(INDEX(選手一覧!$E$7:$E$2738,$F927)="","",INDEX(選手一覧!$E$7:$E$2738,$F927))</f>
        <v/>
      </c>
      <c r="I927" s="16" t="str">
        <f aca="false">IF(INDEX(選手一覧!$H$7:$H$2738,$F927)="","",INDEX(選手一覧!$H$7:$H$2738,$F927))</f>
        <v/>
      </c>
      <c r="J927" s="17" t="str">
        <f aca="false">IF(INDEX(選手一覧!$I$7:$I$2738,$F927)="","",INDEX(選手一覧!$I$7:$I$2738,$F927))</f>
        <v/>
      </c>
    </row>
    <row r="928" customFormat="false" ht="15" hidden="false" customHeight="false" outlineLevel="0" collapsed="false">
      <c r="A928" s="17" t="n">
        <v>924</v>
      </c>
      <c r="B928" s="12" t="s">
        <v>3258</v>
      </c>
      <c r="C928" s="12" t="s">
        <v>1315</v>
      </c>
      <c r="D928" s="16" t="n">
        <v>0.00289652777777778</v>
      </c>
      <c r="E928" s="15" t="n">
        <f aca="false">ROUND((D928-$D$5)*86400,2)</f>
        <v>25.23</v>
      </c>
      <c r="F928" s="17" t="n">
        <v>2100</v>
      </c>
      <c r="G928" s="16" t="str">
        <f aca="false">IF(INDEX(選手一覧!$D$7:$D$2738,$F928)="","",INDEX(選手一覧!$D$7:$D$2738,$F928))</f>
        <v/>
      </c>
      <c r="H928" s="17" t="str">
        <f aca="false">IF(INDEX(選手一覧!$E$7:$E$2738,$F928)="","",INDEX(選手一覧!$E$7:$E$2738,$F928))</f>
        <v/>
      </c>
      <c r="I928" s="16" t="str">
        <f aca="false">IF(INDEX(選手一覧!$H$7:$H$2738,$F928)="","",INDEX(選手一覧!$H$7:$H$2738,$F928))</f>
        <v/>
      </c>
      <c r="J928" s="17" t="str">
        <f aca="false">IF(INDEX(選手一覧!$I$7:$I$2738,$F928)="","",INDEX(選手一覧!$I$7:$I$2738,$F928))</f>
        <v/>
      </c>
    </row>
    <row r="929" customFormat="false" ht="15" hidden="false" customHeight="false" outlineLevel="0" collapsed="false">
      <c r="A929" s="17" t="n">
        <v>925</v>
      </c>
      <c r="B929" s="12" t="s">
        <v>3259</v>
      </c>
      <c r="C929" s="12" t="s">
        <v>1190</v>
      </c>
      <c r="D929" s="16" t="n">
        <v>0.00289722222222222</v>
      </c>
      <c r="E929" s="15" t="n">
        <f aca="false">ROUND((D929-$D$5)*86400,2)</f>
        <v>25.29</v>
      </c>
      <c r="F929" s="17" t="n">
        <v>2101</v>
      </c>
      <c r="G929" s="16" t="str">
        <f aca="false">IF(INDEX(選手一覧!$D$7:$D$2738,$F929)="","",INDEX(選手一覧!$D$7:$D$2738,$F929))</f>
        <v/>
      </c>
      <c r="H929" s="17" t="str">
        <f aca="false">IF(INDEX(選手一覧!$E$7:$E$2738,$F929)="","",INDEX(選手一覧!$E$7:$E$2738,$F929))</f>
        <v/>
      </c>
      <c r="I929" s="16" t="str">
        <f aca="false">IF(INDEX(選手一覧!$H$7:$H$2738,$F929)="","",INDEX(選手一覧!$H$7:$H$2738,$F929))</f>
        <v/>
      </c>
      <c r="J929" s="17" t="str">
        <f aca="false">IF(INDEX(選手一覧!$I$7:$I$2738,$F929)="","",INDEX(選手一覧!$I$7:$I$2738,$F929))</f>
        <v/>
      </c>
    </row>
    <row r="930" customFormat="false" ht="15" hidden="false" customHeight="false" outlineLevel="0" collapsed="false">
      <c r="A930" s="17" t="n">
        <v>926</v>
      </c>
      <c r="B930" s="12" t="s">
        <v>1573</v>
      </c>
      <c r="C930" s="12" t="s">
        <v>1574</v>
      </c>
      <c r="D930" s="16" t="n">
        <v>0.00289722222222222</v>
      </c>
      <c r="E930" s="15" t="n">
        <f aca="false">ROUND((D930-$D$5)*86400,2)</f>
        <v>25.29</v>
      </c>
      <c r="F930" s="17" t="n">
        <v>963</v>
      </c>
      <c r="G930" s="16" t="n">
        <f aca="false">IF(INDEX(選手一覧!$D$7:$D$2738,$F930)="","",INDEX(選手一覧!$D$7:$D$2738,$F930))</f>
        <v>0.0109287037037037</v>
      </c>
      <c r="H930" s="17" t="n">
        <f aca="false">IF(INDEX(選手一覧!$E$7:$E$2738,$F930)="","",INDEX(選手一覧!$E$7:$E$2738,$F930))</f>
        <v>964</v>
      </c>
      <c r="I930" s="16" t="str">
        <f aca="false">IF(INDEX(選手一覧!$H$7:$H$2738,$F930)="","",INDEX(選手一覧!$H$7:$H$2738,$F930))</f>
        <v/>
      </c>
      <c r="J930" s="17" t="str">
        <f aca="false">IF(INDEX(選手一覧!$I$7:$I$2738,$F930)="","",INDEX(選手一覧!$I$7:$I$2738,$F930))</f>
        <v/>
      </c>
    </row>
    <row r="931" customFormat="false" ht="15" hidden="false" customHeight="false" outlineLevel="0" collapsed="false">
      <c r="A931" s="17" t="n">
        <v>927</v>
      </c>
      <c r="B931" s="12" t="s">
        <v>1197</v>
      </c>
      <c r="C931" s="12" t="s">
        <v>77</v>
      </c>
      <c r="D931" s="16" t="n">
        <v>0.00289733796296296</v>
      </c>
      <c r="E931" s="15" t="n">
        <f aca="false">ROUND((D931-$D$5)*86400,2)</f>
        <v>25.3</v>
      </c>
      <c r="F931" s="17" t="n">
        <v>711</v>
      </c>
      <c r="G931" s="16" t="n">
        <f aca="false">IF(INDEX(選手一覧!$D$7:$D$2738,$F931)="","",INDEX(選手一覧!$D$7:$D$2738,$F931))</f>
        <v>0.0107847222222222</v>
      </c>
      <c r="H931" s="17" t="n">
        <f aca="false">IF(INDEX(選手一覧!$E$7:$E$2738,$F931)="","",INDEX(選手一覧!$E$7:$E$2738,$F931))</f>
        <v>712</v>
      </c>
      <c r="I931" s="16" t="n">
        <f aca="false">IF(INDEX(選手一覧!$H$7:$H$2738,$F931)="","",INDEX(選手一覧!$H$7:$H$2738,$F931))</f>
        <v>0.0072994212962963</v>
      </c>
      <c r="J931" s="17" t="n">
        <f aca="false">IF(INDEX(選手一覧!$I$7:$I$2738,$F931)="","",INDEX(選手一覧!$I$7:$I$2738,$F931))</f>
        <v>646</v>
      </c>
    </row>
    <row r="932" customFormat="false" ht="15" hidden="false" customHeight="false" outlineLevel="0" collapsed="false">
      <c r="A932" s="17" t="n">
        <v>928</v>
      </c>
      <c r="B932" s="12" t="s">
        <v>617</v>
      </c>
      <c r="C932" s="12" t="s">
        <v>599</v>
      </c>
      <c r="D932" s="16" t="n">
        <v>0.00289733796296296</v>
      </c>
      <c r="E932" s="15" t="n">
        <f aca="false">ROUND((D932-$D$5)*86400,2)</f>
        <v>25.3</v>
      </c>
      <c r="F932" s="17" t="n">
        <v>333</v>
      </c>
      <c r="G932" s="16" t="n">
        <f aca="false">IF(INDEX(選手一覧!$D$7:$D$2738,$F932)="","",INDEX(選手一覧!$D$7:$D$2738,$F932))</f>
        <v>0.0104907407407407</v>
      </c>
      <c r="H932" s="17" t="n">
        <f aca="false">IF(INDEX(選手一覧!$E$7:$E$2738,$F932)="","",INDEX(選手一覧!$E$7:$E$2738,$F932))</f>
        <v>334</v>
      </c>
      <c r="I932" s="16" t="n">
        <f aca="false">IF(INDEX(選手一覧!$H$7:$H$2738,$F932)="","",INDEX(選手一覧!$H$7:$H$2738,$F932))</f>
        <v>0.00690219907407407</v>
      </c>
      <c r="J932" s="17" t="n">
        <f aca="false">IF(INDEX(選手一覧!$I$7:$I$2738,$F932)="","",INDEX(選手一覧!$I$7:$I$2738,$F932))</f>
        <v>245</v>
      </c>
    </row>
    <row r="933" customFormat="false" ht="15" hidden="false" customHeight="false" outlineLevel="0" collapsed="false">
      <c r="A933" s="17" t="n">
        <v>929</v>
      </c>
      <c r="B933" s="12" t="s">
        <v>839</v>
      </c>
      <c r="C933" s="12" t="s">
        <v>54</v>
      </c>
      <c r="D933" s="16" t="n">
        <v>0.00289733796296296</v>
      </c>
      <c r="E933" s="15" t="n">
        <f aca="false">ROUND((D933-$D$5)*86400,2)</f>
        <v>25.3</v>
      </c>
      <c r="F933" s="17" t="n">
        <v>476</v>
      </c>
      <c r="G933" s="16" t="n">
        <f aca="false">IF(INDEX(選手一覧!$D$7:$D$2738,$F933)="","",INDEX(選手一覧!$D$7:$D$2738,$F933))</f>
        <v>0.0106108796296296</v>
      </c>
      <c r="H933" s="17" t="n">
        <f aca="false">IF(INDEX(選手一覧!$E$7:$E$2738,$F933)="","",INDEX(選手一覧!$E$7:$E$2738,$F933))</f>
        <v>477</v>
      </c>
      <c r="I933" s="16" t="n">
        <f aca="false">IF(INDEX(選手一覧!$H$7:$H$2738,$F933)="","",INDEX(選手一覧!$H$7:$H$2738,$F933))</f>
        <v>0.00667673611111111</v>
      </c>
      <c r="J933" s="17" t="n">
        <f aca="false">IF(INDEX(選手一覧!$I$7:$I$2738,$F933)="","",INDEX(選手一覧!$I$7:$I$2738,$F933))</f>
        <v>96</v>
      </c>
    </row>
    <row r="934" customFormat="false" ht="15" hidden="false" customHeight="false" outlineLevel="0" collapsed="false">
      <c r="A934" s="17" t="n">
        <v>930</v>
      </c>
      <c r="B934" s="12" t="s">
        <v>3265</v>
      </c>
      <c r="C934" s="12" t="s">
        <v>3266</v>
      </c>
      <c r="D934" s="16" t="n">
        <v>0.0028974537037037</v>
      </c>
      <c r="E934" s="15" t="n">
        <f aca="false">ROUND((D934-$D$5)*86400,2)</f>
        <v>25.31</v>
      </c>
      <c r="F934" s="17" t="n">
        <v>2106</v>
      </c>
      <c r="G934" s="16" t="str">
        <f aca="false">IF(INDEX(選手一覧!$D$7:$D$2738,$F934)="","",INDEX(選手一覧!$D$7:$D$2738,$F934))</f>
        <v/>
      </c>
      <c r="H934" s="17" t="str">
        <f aca="false">IF(INDEX(選手一覧!$E$7:$E$2738,$F934)="","",INDEX(選手一覧!$E$7:$E$2738,$F934))</f>
        <v/>
      </c>
      <c r="I934" s="16" t="str">
        <f aca="false">IF(INDEX(選手一覧!$H$7:$H$2738,$F934)="","",INDEX(選手一覧!$H$7:$H$2738,$F934))</f>
        <v/>
      </c>
      <c r="J934" s="17" t="str">
        <f aca="false">IF(INDEX(選手一覧!$I$7:$I$2738,$F934)="","",INDEX(選手一覧!$I$7:$I$2738,$F934))</f>
        <v/>
      </c>
    </row>
    <row r="935" customFormat="false" ht="15" hidden="false" customHeight="false" outlineLevel="0" collapsed="false">
      <c r="A935" s="17" t="n">
        <v>931</v>
      </c>
      <c r="B935" s="12" t="s">
        <v>1299</v>
      </c>
      <c r="C935" s="12" t="s">
        <v>34</v>
      </c>
      <c r="D935" s="16" t="n">
        <v>0.0028974537037037</v>
      </c>
      <c r="E935" s="15" t="n">
        <f aca="false">ROUND((D935-$D$5)*86400,2)</f>
        <v>25.31</v>
      </c>
      <c r="F935" s="17" t="n">
        <v>780</v>
      </c>
      <c r="G935" s="16" t="n">
        <f aca="false">IF(INDEX(選手一覧!$D$7:$D$2738,$F935)="","",INDEX(選手一覧!$D$7:$D$2738,$F935))</f>
        <v>0.0108229166666667</v>
      </c>
      <c r="H935" s="17" t="n">
        <f aca="false">IF(INDEX(選手一覧!$E$7:$E$2738,$F935)="","",INDEX(選手一覧!$E$7:$E$2738,$F935))</f>
        <v>781</v>
      </c>
      <c r="I935" s="16" t="str">
        <f aca="false">IF(INDEX(選手一覧!$H$7:$H$2738,$F935)="","",INDEX(選手一覧!$H$7:$H$2738,$F935))</f>
        <v/>
      </c>
      <c r="J935" s="17" t="str">
        <f aca="false">IF(INDEX(選手一覧!$I$7:$I$2738,$F935)="","",INDEX(選手一覧!$I$7:$I$2738,$F935))</f>
        <v/>
      </c>
    </row>
    <row r="936" customFormat="false" ht="15" hidden="false" customHeight="false" outlineLevel="0" collapsed="false">
      <c r="A936" s="17" t="n">
        <v>932</v>
      </c>
      <c r="B936" s="12" t="s">
        <v>518</v>
      </c>
      <c r="C936" s="12" t="s">
        <v>43</v>
      </c>
      <c r="D936" s="16" t="n">
        <v>0.0028974537037037</v>
      </c>
      <c r="E936" s="15" t="n">
        <f aca="false">ROUND((D936-$D$5)*86400,2)</f>
        <v>25.31</v>
      </c>
      <c r="F936" s="17" t="n">
        <v>273</v>
      </c>
      <c r="G936" s="16" t="n">
        <f aca="false">IF(INDEX(選手一覧!$D$7:$D$2738,$F936)="","",INDEX(選手一覧!$D$7:$D$2738,$F936))</f>
        <v>0.010409375</v>
      </c>
      <c r="H936" s="17" t="n">
        <f aca="false">IF(INDEX(選手一覧!$E$7:$E$2738,$F936)="","",INDEX(選手一覧!$E$7:$E$2738,$F936))</f>
        <v>274</v>
      </c>
      <c r="I936" s="16" t="str">
        <f aca="false">IF(INDEX(選手一覧!$H$7:$H$2738,$F936)="","",INDEX(選手一覧!$H$7:$H$2738,$F936))</f>
        <v/>
      </c>
      <c r="J936" s="17" t="str">
        <f aca="false">IF(INDEX(選手一覧!$I$7:$I$2738,$F936)="","",INDEX(選手一覧!$I$7:$I$2738,$F936))</f>
        <v/>
      </c>
    </row>
    <row r="937" customFormat="false" ht="15" hidden="false" customHeight="false" outlineLevel="0" collapsed="false">
      <c r="A937" s="17" t="n">
        <v>933</v>
      </c>
      <c r="B937" s="12" t="s">
        <v>3272</v>
      </c>
      <c r="C937" s="12" t="s">
        <v>3273</v>
      </c>
      <c r="D937" s="16" t="n">
        <v>0.00289814814814815</v>
      </c>
      <c r="E937" s="15" t="n">
        <f aca="false">ROUND((D937-$D$5)*86400,2)</f>
        <v>25.37</v>
      </c>
      <c r="F937" s="17" t="n">
        <v>2110</v>
      </c>
      <c r="G937" s="16" t="str">
        <f aca="false">IF(INDEX(選手一覧!$D$7:$D$2738,$F937)="","",INDEX(選手一覧!$D$7:$D$2738,$F937))</f>
        <v/>
      </c>
      <c r="H937" s="17" t="str">
        <f aca="false">IF(INDEX(選手一覧!$E$7:$E$2738,$F937)="","",INDEX(選手一覧!$E$7:$E$2738,$F937))</f>
        <v/>
      </c>
      <c r="I937" s="16" t="str">
        <f aca="false">IF(INDEX(選手一覧!$H$7:$H$2738,$F937)="","",INDEX(選手一覧!$H$7:$H$2738,$F937))</f>
        <v/>
      </c>
      <c r="J937" s="17" t="str">
        <f aca="false">IF(INDEX(選手一覧!$I$7:$I$2738,$F937)="","",INDEX(選手一覧!$I$7:$I$2738,$F937))</f>
        <v/>
      </c>
    </row>
    <row r="938" customFormat="false" ht="15" hidden="false" customHeight="false" outlineLevel="0" collapsed="false">
      <c r="A938" s="17" t="n">
        <v>934</v>
      </c>
      <c r="B938" s="12" t="s">
        <v>1011</v>
      </c>
      <c r="C938" s="12" t="s">
        <v>32</v>
      </c>
      <c r="D938" s="16" t="n">
        <v>0.00289814814814815</v>
      </c>
      <c r="E938" s="15" t="n">
        <f aca="false">ROUND((D938-$D$5)*86400,2)</f>
        <v>25.37</v>
      </c>
      <c r="F938" s="17" t="n">
        <v>583</v>
      </c>
      <c r="G938" s="16" t="n">
        <f aca="false">IF(INDEX(選手一覧!$D$7:$D$2738,$F938)="","",INDEX(選手一覧!$D$7:$D$2738,$F938))</f>
        <v>0.0107001157407407</v>
      </c>
      <c r="H938" s="17" t="n">
        <f aca="false">IF(INDEX(選手一覧!$E$7:$E$2738,$F938)="","",INDEX(選手一覧!$E$7:$E$2738,$F938))</f>
        <v>584</v>
      </c>
      <c r="I938" s="16" t="str">
        <f aca="false">IF(INDEX(選手一覧!$H$7:$H$2738,$F938)="","",INDEX(選手一覧!$H$7:$H$2738,$F938))</f>
        <v/>
      </c>
      <c r="J938" s="17" t="str">
        <f aca="false">IF(INDEX(選手一覧!$I$7:$I$2738,$F938)="","",INDEX(選手一覧!$I$7:$I$2738,$F938))</f>
        <v/>
      </c>
    </row>
    <row r="939" customFormat="false" ht="15" hidden="false" customHeight="false" outlineLevel="0" collapsed="false">
      <c r="A939" s="17" t="n">
        <v>935</v>
      </c>
      <c r="B939" s="12" t="s">
        <v>1792</v>
      </c>
      <c r="C939" s="12" t="s">
        <v>1450</v>
      </c>
      <c r="D939" s="16" t="n">
        <v>0.00289837962962963</v>
      </c>
      <c r="E939" s="15" t="n">
        <f aca="false">ROUND((D939-$D$5)*86400,2)</f>
        <v>25.39</v>
      </c>
      <c r="F939" s="17" t="n">
        <v>1111</v>
      </c>
      <c r="G939" s="16" t="n">
        <f aca="false">IF(INDEX(選手一覧!$D$7:$D$2738,$F939)="","",INDEX(選手一覧!$D$7:$D$2738,$F939))</f>
        <v>0.0110112268518519</v>
      </c>
      <c r="H939" s="17" t="n">
        <f aca="false">IF(INDEX(選手一覧!$E$7:$E$2738,$F939)="","",INDEX(選手一覧!$E$7:$E$2738,$F939))</f>
        <v>1112</v>
      </c>
      <c r="I939" s="16" t="n">
        <f aca="false">IF(INDEX(選手一覧!$H$7:$H$2738,$F939)="","",INDEX(選手一覧!$H$7:$H$2738,$F939))</f>
        <v>0.00706909722222222</v>
      </c>
      <c r="J939" s="17" t="n">
        <f aca="false">IF(INDEX(選手一覧!$I$7:$I$2738,$F939)="","",INDEX(選手一覧!$I$7:$I$2738,$F939))</f>
        <v>413</v>
      </c>
    </row>
    <row r="940" customFormat="false" ht="15" hidden="false" customHeight="false" outlineLevel="0" collapsed="false">
      <c r="A940" s="17" t="n">
        <v>936</v>
      </c>
      <c r="B940" s="12" t="s">
        <v>3279</v>
      </c>
      <c r="C940" s="12" t="s">
        <v>3280</v>
      </c>
      <c r="D940" s="16" t="n">
        <v>0.00289849537037037</v>
      </c>
      <c r="E940" s="15" t="n">
        <f aca="false">ROUND((D940-$D$5)*86400,2)</f>
        <v>25.4</v>
      </c>
      <c r="F940" s="17" t="n">
        <v>2114</v>
      </c>
      <c r="G940" s="16" t="str">
        <f aca="false">IF(INDEX(選手一覧!$D$7:$D$2738,$F940)="","",INDEX(選手一覧!$D$7:$D$2738,$F940))</f>
        <v/>
      </c>
      <c r="H940" s="17" t="str">
        <f aca="false">IF(INDEX(選手一覧!$E$7:$E$2738,$F940)="","",INDEX(選手一覧!$E$7:$E$2738,$F940))</f>
        <v/>
      </c>
      <c r="I940" s="16" t="str">
        <f aca="false">IF(INDEX(選手一覧!$H$7:$H$2738,$F940)="","",INDEX(選手一覧!$H$7:$H$2738,$F940))</f>
        <v/>
      </c>
      <c r="J940" s="17" t="str">
        <f aca="false">IF(INDEX(選手一覧!$I$7:$I$2738,$F940)="","",INDEX(選手一覧!$I$7:$I$2738,$F940))</f>
        <v/>
      </c>
    </row>
    <row r="941" customFormat="false" ht="15" hidden="false" customHeight="false" outlineLevel="0" collapsed="false">
      <c r="A941" s="17" t="n">
        <v>937</v>
      </c>
      <c r="B941" s="12" t="s">
        <v>3282</v>
      </c>
      <c r="C941" s="12" t="s">
        <v>370</v>
      </c>
      <c r="D941" s="16" t="n">
        <v>0.00289849537037037</v>
      </c>
      <c r="E941" s="15" t="n">
        <f aca="false">ROUND((D941-$D$5)*86400,2)</f>
        <v>25.4</v>
      </c>
      <c r="F941" s="17" t="n">
        <v>2116</v>
      </c>
      <c r="G941" s="16" t="str">
        <f aca="false">IF(INDEX(選手一覧!$D$7:$D$2738,$F941)="","",INDEX(選手一覧!$D$7:$D$2738,$F941))</f>
        <v/>
      </c>
      <c r="H941" s="17" t="str">
        <f aca="false">IF(INDEX(選手一覧!$E$7:$E$2738,$F941)="","",INDEX(選手一覧!$E$7:$E$2738,$F941))</f>
        <v/>
      </c>
      <c r="I941" s="16" t="str">
        <f aca="false">IF(INDEX(選手一覧!$H$7:$H$2738,$F941)="","",INDEX(選手一覧!$H$7:$H$2738,$F941))</f>
        <v/>
      </c>
      <c r="J941" s="17" t="str">
        <f aca="false">IF(INDEX(選手一覧!$I$7:$I$2738,$F941)="","",INDEX(選手一覧!$I$7:$I$2738,$F941))</f>
        <v/>
      </c>
    </row>
    <row r="942" customFormat="false" ht="15" hidden="false" customHeight="false" outlineLevel="0" collapsed="false">
      <c r="A942" s="17" t="n">
        <v>938</v>
      </c>
      <c r="B942" s="12" t="s">
        <v>1185</v>
      </c>
      <c r="C942" s="12" t="s">
        <v>629</v>
      </c>
      <c r="D942" s="16" t="n">
        <v>0.00289895833333333</v>
      </c>
      <c r="E942" s="15" t="n">
        <f aca="false">ROUND((D942-$D$5)*86400,2)</f>
        <v>25.44</v>
      </c>
      <c r="F942" s="17" t="n">
        <v>704</v>
      </c>
      <c r="G942" s="16" t="n">
        <f aca="false">IF(INDEX(選手一覧!$D$7:$D$2738,$F942)="","",INDEX(選手一覧!$D$7:$D$2738,$F942))</f>
        <v>0.0107778935185185</v>
      </c>
      <c r="H942" s="17" t="n">
        <f aca="false">IF(INDEX(選手一覧!$E$7:$E$2738,$F942)="","",INDEX(選手一覧!$E$7:$E$2738,$F942))</f>
        <v>705</v>
      </c>
      <c r="I942" s="16" t="n">
        <f aca="false">IF(INDEX(選手一覧!$H$7:$H$2738,$F942)="","",INDEX(選手一覧!$H$7:$H$2738,$F942))</f>
        <v>0.0066275462962963</v>
      </c>
      <c r="J942" s="17" t="n">
        <f aca="false">IF(INDEX(選手一覧!$I$7:$I$2738,$F942)="","",INDEX(選手一覧!$I$7:$I$2738,$F942))</f>
        <v>73</v>
      </c>
    </row>
    <row r="943" customFormat="false" ht="15" hidden="false" customHeight="false" outlineLevel="0" collapsed="false">
      <c r="A943" s="17" t="n">
        <v>939</v>
      </c>
      <c r="B943" s="12" t="s">
        <v>2113</v>
      </c>
      <c r="C943" s="12" t="s">
        <v>2114</v>
      </c>
      <c r="D943" s="16" t="n">
        <v>0.00289930555555556</v>
      </c>
      <c r="E943" s="15" t="n">
        <f aca="false">ROUND((D943-$D$5)*86400,2)</f>
        <v>25.47</v>
      </c>
      <c r="F943" s="17" t="n">
        <v>1342</v>
      </c>
      <c r="G943" s="16" t="str">
        <f aca="false">IF(INDEX(選手一覧!$D$7:$D$2738,$F943)="","",INDEX(選手一覧!$D$7:$D$2738,$F943))</f>
        <v/>
      </c>
      <c r="H943" s="17" t="str">
        <f aca="false">IF(INDEX(選手一覧!$E$7:$E$2738,$F943)="","",INDEX(選手一覧!$E$7:$E$2738,$F943))</f>
        <v/>
      </c>
      <c r="I943" s="16" t="n">
        <f aca="false">IF(INDEX(選手一覧!$H$7:$H$2738,$F943)="","",INDEX(選手一覧!$H$7:$H$2738,$F943))</f>
        <v>0.00682673611111111</v>
      </c>
      <c r="J943" s="17" t="n">
        <f aca="false">IF(INDEX(選手一覧!$I$7:$I$2738,$F943)="","",INDEX(選手一覧!$I$7:$I$2738,$F943))</f>
        <v>189</v>
      </c>
    </row>
    <row r="944" customFormat="false" ht="15" hidden="false" customHeight="false" outlineLevel="0" collapsed="false">
      <c r="A944" s="17" t="n">
        <v>940</v>
      </c>
      <c r="B944" s="12" t="s">
        <v>3286</v>
      </c>
      <c r="C944" s="12" t="s">
        <v>288</v>
      </c>
      <c r="D944" s="16" t="n">
        <v>0.00289953703703704</v>
      </c>
      <c r="E944" s="15" t="n">
        <f aca="false">ROUND((D944-$D$5)*86400,2)</f>
        <v>25.49</v>
      </c>
      <c r="F944" s="17" t="n">
        <v>2119</v>
      </c>
      <c r="G944" s="16" t="str">
        <f aca="false">IF(INDEX(選手一覧!$D$7:$D$2738,$F944)="","",INDEX(選手一覧!$D$7:$D$2738,$F944))</f>
        <v/>
      </c>
      <c r="H944" s="17" t="str">
        <f aca="false">IF(INDEX(選手一覧!$E$7:$E$2738,$F944)="","",INDEX(選手一覧!$E$7:$E$2738,$F944))</f>
        <v/>
      </c>
      <c r="I944" s="16" t="str">
        <f aca="false">IF(INDEX(選手一覧!$H$7:$H$2738,$F944)="","",INDEX(選手一覧!$H$7:$H$2738,$F944))</f>
        <v/>
      </c>
      <c r="J944" s="17" t="str">
        <f aca="false">IF(INDEX(選手一覧!$I$7:$I$2738,$F944)="","",INDEX(選手一覧!$I$7:$I$2738,$F944))</f>
        <v/>
      </c>
    </row>
    <row r="945" customFormat="false" ht="15" hidden="false" customHeight="false" outlineLevel="0" collapsed="false">
      <c r="A945" s="17" t="n">
        <v>941</v>
      </c>
      <c r="B945" s="12" t="s">
        <v>324</v>
      </c>
      <c r="C945" s="12" t="s">
        <v>320</v>
      </c>
      <c r="D945" s="16" t="n">
        <v>0.00289953703703704</v>
      </c>
      <c r="E945" s="15" t="n">
        <f aca="false">ROUND((D945-$D$5)*86400,2)</f>
        <v>25.49</v>
      </c>
      <c r="F945" s="17" t="n">
        <v>155</v>
      </c>
      <c r="G945" s="16" t="n">
        <f aca="false">IF(INDEX(選手一覧!$D$7:$D$2738,$F945)="","",INDEX(選手一覧!$D$7:$D$2738,$F945))</f>
        <v>0.0102929398148148</v>
      </c>
      <c r="H945" s="17" t="n">
        <f aca="false">IF(INDEX(選手一覧!$E$7:$E$2738,$F945)="","",INDEX(選手一覧!$E$7:$E$2738,$F945))</f>
        <v>156</v>
      </c>
      <c r="I945" s="16" t="n">
        <f aca="false">IF(INDEX(選手一覧!$H$7:$H$2738,$F945)="","",INDEX(選手一覧!$H$7:$H$2738,$F945))</f>
        <v>0.00667303240740741</v>
      </c>
      <c r="J945" s="17" t="n">
        <f aca="false">IF(INDEX(選手一覧!$I$7:$I$2738,$F945)="","",INDEX(選手一覧!$I$7:$I$2738,$F945))</f>
        <v>92</v>
      </c>
    </row>
    <row r="946" customFormat="false" ht="15" hidden="false" customHeight="false" outlineLevel="0" collapsed="false">
      <c r="A946" s="17" t="n">
        <v>942</v>
      </c>
      <c r="B946" s="12" t="s">
        <v>1973</v>
      </c>
      <c r="C946" s="12" t="s">
        <v>1974</v>
      </c>
      <c r="D946" s="16" t="n">
        <v>0.00289965277777778</v>
      </c>
      <c r="E946" s="15" t="n">
        <f aca="false">ROUND((D946-$D$5)*86400,2)</f>
        <v>25.5</v>
      </c>
      <c r="F946" s="17" t="n">
        <v>1236</v>
      </c>
      <c r="G946" s="16" t="n">
        <f aca="false">IF(INDEX(選手一覧!$D$7:$D$2738,$F946)="","",INDEX(選手一覧!$D$7:$D$2738,$F946))</f>
        <v>0.0110717592592593</v>
      </c>
      <c r="H946" s="17" t="n">
        <f aca="false">IF(INDEX(選手一覧!$E$7:$E$2738,$F946)="","",INDEX(選手一覧!$E$7:$E$2738,$F946))</f>
        <v>1237</v>
      </c>
      <c r="I946" s="16" t="str">
        <f aca="false">IF(INDEX(選手一覧!$H$7:$H$2738,$F946)="","",INDEX(選手一覧!$H$7:$H$2738,$F946))</f>
        <v/>
      </c>
      <c r="J946" s="17" t="str">
        <f aca="false">IF(INDEX(選手一覧!$I$7:$I$2738,$F946)="","",INDEX(選手一覧!$I$7:$I$2738,$F946))</f>
        <v/>
      </c>
    </row>
    <row r="947" customFormat="false" ht="15" hidden="false" customHeight="false" outlineLevel="0" collapsed="false">
      <c r="A947" s="17" t="n">
        <v>943</v>
      </c>
      <c r="B947" s="12" t="s">
        <v>3293</v>
      </c>
      <c r="C947" s="12" t="s">
        <v>3294</v>
      </c>
      <c r="D947" s="16" t="n">
        <v>0.00289976851851852</v>
      </c>
      <c r="E947" s="15" t="n">
        <f aca="false">ROUND((D947-$D$5)*86400,2)</f>
        <v>25.51</v>
      </c>
      <c r="F947" s="17" t="n">
        <v>2123</v>
      </c>
      <c r="G947" s="16" t="str">
        <f aca="false">IF(INDEX(選手一覧!$D$7:$D$2738,$F947)="","",INDEX(選手一覧!$D$7:$D$2738,$F947))</f>
        <v/>
      </c>
      <c r="H947" s="17" t="str">
        <f aca="false">IF(INDEX(選手一覧!$E$7:$E$2738,$F947)="","",INDEX(選手一覧!$E$7:$E$2738,$F947))</f>
        <v/>
      </c>
      <c r="I947" s="16" t="str">
        <f aca="false">IF(INDEX(選手一覧!$H$7:$H$2738,$F947)="","",INDEX(選手一覧!$H$7:$H$2738,$F947))</f>
        <v/>
      </c>
      <c r="J947" s="17" t="str">
        <f aca="false">IF(INDEX(選手一覧!$I$7:$I$2738,$F947)="","",INDEX(選手一覧!$I$7:$I$2738,$F947))</f>
        <v/>
      </c>
    </row>
    <row r="948" customFormat="false" ht="15" hidden="false" customHeight="false" outlineLevel="0" collapsed="false">
      <c r="A948" s="17" t="n">
        <v>944</v>
      </c>
      <c r="B948" s="12" t="s">
        <v>1034</v>
      </c>
      <c r="C948" s="12" t="s">
        <v>1035</v>
      </c>
      <c r="D948" s="16" t="n">
        <v>0.00289988425925926</v>
      </c>
      <c r="E948" s="15" t="n">
        <f aca="false">ROUND((D948-$D$5)*86400,2)</f>
        <v>25.52</v>
      </c>
      <c r="F948" s="17" t="n">
        <v>600</v>
      </c>
      <c r="G948" s="16" t="n">
        <f aca="false">IF(INDEX(選手一覧!$D$7:$D$2738,$F948)="","",INDEX(選手一覧!$D$7:$D$2738,$F948))</f>
        <v>0.0107128472222222</v>
      </c>
      <c r="H948" s="17" t="n">
        <f aca="false">IF(INDEX(選手一覧!$E$7:$E$2738,$F948)="","",INDEX(選手一覧!$E$7:$E$2738,$F948))</f>
        <v>601</v>
      </c>
      <c r="I948" s="16" t="str">
        <f aca="false">IF(INDEX(選手一覧!$H$7:$H$2738,$F948)="","",INDEX(選手一覧!$H$7:$H$2738,$F948))</f>
        <v/>
      </c>
      <c r="J948" s="17" t="str">
        <f aca="false">IF(INDEX(選手一覧!$I$7:$I$2738,$F948)="","",INDEX(選手一覧!$I$7:$I$2738,$F948))</f>
        <v/>
      </c>
    </row>
    <row r="949" customFormat="false" ht="15" hidden="false" customHeight="false" outlineLevel="0" collapsed="false">
      <c r="A949" s="17" t="n">
        <v>945</v>
      </c>
      <c r="B949" s="12" t="s">
        <v>3299</v>
      </c>
      <c r="C949" s="12" t="s">
        <v>1590</v>
      </c>
      <c r="D949" s="16" t="n">
        <v>0.00289988425925926</v>
      </c>
      <c r="E949" s="15" t="n">
        <f aca="false">ROUND((D949-$D$5)*86400,2)</f>
        <v>25.52</v>
      </c>
      <c r="F949" s="17" t="n">
        <v>2126</v>
      </c>
      <c r="G949" s="16" t="str">
        <f aca="false">IF(INDEX(選手一覧!$D$7:$D$2738,$F949)="","",INDEX(選手一覧!$D$7:$D$2738,$F949))</f>
        <v/>
      </c>
      <c r="H949" s="17" t="str">
        <f aca="false">IF(INDEX(選手一覧!$E$7:$E$2738,$F949)="","",INDEX(選手一覧!$E$7:$E$2738,$F949))</f>
        <v/>
      </c>
      <c r="I949" s="16" t="str">
        <f aca="false">IF(INDEX(選手一覧!$H$7:$H$2738,$F949)="","",INDEX(選手一覧!$H$7:$H$2738,$F949))</f>
        <v/>
      </c>
      <c r="J949" s="17" t="str">
        <f aca="false">IF(INDEX(選手一覧!$I$7:$I$2738,$F949)="","",INDEX(選手一覧!$I$7:$I$2738,$F949))</f>
        <v/>
      </c>
    </row>
    <row r="950" customFormat="false" ht="15" hidden="false" customHeight="false" outlineLevel="0" collapsed="false">
      <c r="A950" s="17" t="n">
        <v>946</v>
      </c>
      <c r="B950" s="12" t="s">
        <v>1015</v>
      </c>
      <c r="C950" s="12" t="s">
        <v>129</v>
      </c>
      <c r="D950" s="16" t="n">
        <v>0.00289988425925926</v>
      </c>
      <c r="E950" s="15" t="n">
        <f aca="false">ROUND((D950-$D$5)*86400,2)</f>
        <v>25.52</v>
      </c>
      <c r="F950" s="17" t="n">
        <v>586</v>
      </c>
      <c r="G950" s="16" t="n">
        <f aca="false">IF(INDEX(選手一覧!$D$7:$D$2738,$F950)="","",INDEX(選手一覧!$D$7:$D$2738,$F950))</f>
        <v>0.0107016203703704</v>
      </c>
      <c r="H950" s="17" t="n">
        <f aca="false">IF(INDEX(選手一覧!$E$7:$E$2738,$F950)="","",INDEX(選手一覧!$E$7:$E$2738,$F950))</f>
        <v>587</v>
      </c>
      <c r="I950" s="16" t="n">
        <f aca="false">IF(INDEX(選手一覧!$H$7:$H$2738,$F950)="","",INDEX(選手一覧!$H$7:$H$2738,$F950))</f>
        <v>0.00677569444444444</v>
      </c>
      <c r="J950" s="17" t="n">
        <f aca="false">IF(INDEX(選手一覧!$I$7:$I$2738,$F950)="","",INDEX(選手一覧!$I$7:$I$2738,$F950))</f>
        <v>152</v>
      </c>
    </row>
    <row r="951" customFormat="false" ht="15" hidden="false" customHeight="false" outlineLevel="0" collapsed="false">
      <c r="A951" s="17" t="n">
        <v>947</v>
      </c>
      <c r="B951" s="12" t="s">
        <v>1351</v>
      </c>
      <c r="C951" s="12" t="s">
        <v>561</v>
      </c>
      <c r="D951" s="16" t="n">
        <v>0.00289988425925926</v>
      </c>
      <c r="E951" s="15" t="n">
        <f aca="false">ROUND((D951-$D$5)*86400,2)</f>
        <v>25.52</v>
      </c>
      <c r="F951" s="17" t="n">
        <v>815</v>
      </c>
      <c r="G951" s="16" t="n">
        <f aca="false">IF(INDEX(選手一覧!$D$7:$D$2738,$F951)="","",INDEX(選手一覧!$D$7:$D$2738,$F951))</f>
        <v>0.0108416666666667</v>
      </c>
      <c r="H951" s="17" t="n">
        <f aca="false">IF(INDEX(選手一覧!$E$7:$E$2738,$F951)="","",INDEX(選手一覧!$E$7:$E$2738,$F951))</f>
        <v>816</v>
      </c>
      <c r="I951" s="16" t="str">
        <f aca="false">IF(INDEX(選手一覧!$H$7:$H$2738,$F951)="","",INDEX(選手一覧!$H$7:$H$2738,$F951))</f>
        <v/>
      </c>
      <c r="J951" s="17" t="str">
        <f aca="false">IF(INDEX(選手一覧!$I$7:$I$2738,$F951)="","",INDEX(選手一覧!$I$7:$I$2738,$F951))</f>
        <v/>
      </c>
    </row>
    <row r="952" customFormat="false" ht="15" hidden="false" customHeight="false" outlineLevel="0" collapsed="false">
      <c r="A952" s="17" t="n">
        <v>948</v>
      </c>
      <c r="B952" s="12" t="s">
        <v>2316</v>
      </c>
      <c r="C952" s="12" t="s">
        <v>69</v>
      </c>
      <c r="D952" s="16" t="n">
        <v>0.00290023148148148</v>
      </c>
      <c r="E952" s="15" t="n">
        <f aca="false">ROUND((D952-$D$5)*86400,2)</f>
        <v>25.55</v>
      </c>
      <c r="F952" s="17" t="n">
        <v>1471</v>
      </c>
      <c r="G952" s="16" t="str">
        <f aca="false">IF(INDEX(選手一覧!$D$7:$D$2738,$F952)="","",INDEX(選手一覧!$D$7:$D$2738,$F952))</f>
        <v/>
      </c>
      <c r="H952" s="17" t="str">
        <f aca="false">IF(INDEX(選手一覧!$E$7:$E$2738,$F952)="","",INDEX(選手一覧!$E$7:$E$2738,$F952))</f>
        <v/>
      </c>
      <c r="I952" s="16" t="n">
        <f aca="false">IF(INDEX(選手一覧!$H$7:$H$2738,$F952)="","",INDEX(選手一覧!$H$7:$H$2738,$F952))</f>
        <v>0.00703738425925926</v>
      </c>
      <c r="J952" s="17" t="n">
        <f aca="false">IF(INDEX(選手一覧!$I$7:$I$2738,$F952)="","",INDEX(選手一覧!$I$7:$I$2738,$F952))</f>
        <v>369</v>
      </c>
    </row>
    <row r="953" customFormat="false" ht="15" hidden="false" customHeight="false" outlineLevel="0" collapsed="false">
      <c r="A953" s="17" t="n">
        <v>949</v>
      </c>
      <c r="B953" s="12" t="s">
        <v>3307</v>
      </c>
      <c r="C953" s="12" t="s">
        <v>204</v>
      </c>
      <c r="D953" s="16" t="n">
        <v>0.00290023148148148</v>
      </c>
      <c r="E953" s="15" t="n">
        <f aca="false">ROUND((D953-$D$5)*86400,2)</f>
        <v>25.55</v>
      </c>
      <c r="F953" s="17" t="n">
        <v>2131</v>
      </c>
      <c r="G953" s="16" t="str">
        <f aca="false">IF(INDEX(選手一覧!$D$7:$D$2738,$F953)="","",INDEX(選手一覧!$D$7:$D$2738,$F953))</f>
        <v/>
      </c>
      <c r="H953" s="17" t="str">
        <f aca="false">IF(INDEX(選手一覧!$E$7:$E$2738,$F953)="","",INDEX(選手一覧!$E$7:$E$2738,$F953))</f>
        <v/>
      </c>
      <c r="I953" s="16" t="str">
        <f aca="false">IF(INDEX(選手一覧!$H$7:$H$2738,$F953)="","",INDEX(選手一覧!$H$7:$H$2738,$F953))</f>
        <v/>
      </c>
      <c r="J953" s="17" t="str">
        <f aca="false">IF(INDEX(選手一覧!$I$7:$I$2738,$F953)="","",INDEX(選手一覧!$I$7:$I$2738,$F953))</f>
        <v/>
      </c>
    </row>
    <row r="954" customFormat="false" ht="15" hidden="false" customHeight="false" outlineLevel="0" collapsed="false">
      <c r="A954" s="17" t="n">
        <v>950</v>
      </c>
      <c r="B954" s="12" t="s">
        <v>1430</v>
      </c>
      <c r="C954" s="12" t="s">
        <v>1431</v>
      </c>
      <c r="D954" s="16" t="n">
        <v>0.00290034722222222</v>
      </c>
      <c r="E954" s="15" t="n">
        <f aca="false">ROUND((D954-$D$5)*86400,2)</f>
        <v>25.56</v>
      </c>
      <c r="F954" s="17" t="n">
        <v>866</v>
      </c>
      <c r="G954" s="16" t="n">
        <f aca="false">IF(INDEX(選手一覧!$D$7:$D$2738,$F954)="","",INDEX(選手一覧!$D$7:$D$2738,$F954))</f>
        <v>0.0108677083333333</v>
      </c>
      <c r="H954" s="17" t="n">
        <f aca="false">IF(INDEX(選手一覧!$E$7:$E$2738,$F954)="","",INDEX(選手一覧!$E$7:$E$2738,$F954))</f>
        <v>867</v>
      </c>
      <c r="I954" s="16" t="n">
        <f aca="false">IF(INDEX(選手一覧!$H$7:$H$2738,$F954)="","",INDEX(選手一覧!$H$7:$H$2738,$F954))</f>
        <v>0.00735300925925926</v>
      </c>
      <c r="J954" s="17" t="n">
        <f aca="false">IF(INDEX(選手一覧!$I$7:$I$2738,$F954)="","",INDEX(選手一覧!$I$7:$I$2738,$F954))</f>
        <v>714</v>
      </c>
    </row>
    <row r="955" customFormat="false" ht="15" hidden="false" customHeight="false" outlineLevel="0" collapsed="false">
      <c r="A955" s="17" t="n">
        <v>951</v>
      </c>
      <c r="B955" s="12" t="s">
        <v>1633</v>
      </c>
      <c r="C955" s="12" t="s">
        <v>250</v>
      </c>
      <c r="D955" s="16" t="n">
        <v>0.0029005787037037</v>
      </c>
      <c r="E955" s="15" t="n">
        <f aca="false">ROUND((D955-$D$5)*86400,2)</f>
        <v>25.58</v>
      </c>
      <c r="F955" s="17" t="n">
        <v>1004</v>
      </c>
      <c r="G955" s="16" t="n">
        <f aca="false">IF(INDEX(選手一覧!$D$7:$D$2738,$F955)="","",INDEX(選手一覧!$D$7:$D$2738,$F955))</f>
        <v>0.0109524305555556</v>
      </c>
      <c r="H955" s="17" t="n">
        <f aca="false">IF(INDEX(選手一覧!$E$7:$E$2738,$F955)="","",INDEX(選手一覧!$E$7:$E$2738,$F955))</f>
        <v>1005</v>
      </c>
      <c r="I955" s="16" t="str">
        <f aca="false">IF(INDEX(選手一覧!$H$7:$H$2738,$F955)="","",INDEX(選手一覧!$H$7:$H$2738,$F955))</f>
        <v/>
      </c>
      <c r="J955" s="17" t="str">
        <f aca="false">IF(INDEX(選手一覧!$I$7:$I$2738,$F955)="","",INDEX(選手一覧!$I$7:$I$2738,$F955))</f>
        <v/>
      </c>
    </row>
    <row r="956" customFormat="false" ht="15" hidden="false" customHeight="false" outlineLevel="0" collapsed="false">
      <c r="A956" s="17" t="n">
        <v>952</v>
      </c>
      <c r="B956" s="12" t="s">
        <v>3312</v>
      </c>
      <c r="C956" s="12" t="s">
        <v>1431</v>
      </c>
      <c r="D956" s="16" t="n">
        <v>0.0029005787037037</v>
      </c>
      <c r="E956" s="15" t="n">
        <f aca="false">ROUND((D956-$D$5)*86400,2)</f>
        <v>25.58</v>
      </c>
      <c r="F956" s="17" t="n">
        <v>2135</v>
      </c>
      <c r="G956" s="16" t="str">
        <f aca="false">IF(INDEX(選手一覧!$D$7:$D$2738,$F956)="","",INDEX(選手一覧!$D$7:$D$2738,$F956))</f>
        <v/>
      </c>
      <c r="H956" s="17" t="str">
        <f aca="false">IF(INDEX(選手一覧!$E$7:$E$2738,$F956)="","",INDEX(選手一覧!$E$7:$E$2738,$F956))</f>
        <v/>
      </c>
      <c r="I956" s="16" t="str">
        <f aca="false">IF(INDEX(選手一覧!$H$7:$H$2738,$F956)="","",INDEX(選手一覧!$H$7:$H$2738,$F956))</f>
        <v/>
      </c>
      <c r="J956" s="17" t="str">
        <f aca="false">IF(INDEX(選手一覧!$I$7:$I$2738,$F956)="","",INDEX(選手一覧!$I$7:$I$2738,$F956))</f>
        <v/>
      </c>
    </row>
    <row r="957" customFormat="false" ht="15" hidden="false" customHeight="false" outlineLevel="0" collapsed="false">
      <c r="A957" s="17" t="n">
        <v>953</v>
      </c>
      <c r="B957" s="12" t="s">
        <v>1569</v>
      </c>
      <c r="C957" s="12" t="s">
        <v>1570</v>
      </c>
      <c r="D957" s="16" t="n">
        <v>0.00290069444444444</v>
      </c>
      <c r="E957" s="15" t="n">
        <f aca="false">ROUND((D957-$D$5)*86400,2)</f>
        <v>25.59</v>
      </c>
      <c r="F957" s="17" t="n">
        <v>960</v>
      </c>
      <c r="G957" s="16" t="n">
        <f aca="false">IF(INDEX(選手一覧!$D$7:$D$2738,$F957)="","",INDEX(選手一覧!$D$7:$D$2738,$F957))</f>
        <v>0.0109266203703704</v>
      </c>
      <c r="H957" s="17" t="n">
        <f aca="false">IF(INDEX(選手一覧!$E$7:$E$2738,$F957)="","",INDEX(選手一覧!$E$7:$E$2738,$F957))</f>
        <v>961</v>
      </c>
      <c r="I957" s="16" t="str">
        <f aca="false">IF(INDEX(選手一覧!$H$7:$H$2738,$F957)="","",INDEX(選手一覧!$H$7:$H$2738,$F957))</f>
        <v/>
      </c>
      <c r="J957" s="17" t="str">
        <f aca="false">IF(INDEX(選手一覧!$I$7:$I$2738,$F957)="","",INDEX(選手一覧!$I$7:$I$2738,$F957))</f>
        <v/>
      </c>
    </row>
    <row r="958" customFormat="false" ht="15" hidden="false" customHeight="false" outlineLevel="0" collapsed="false">
      <c r="A958" s="17" t="n">
        <v>954</v>
      </c>
      <c r="B958" s="12" t="s">
        <v>918</v>
      </c>
      <c r="C958" s="12" t="s">
        <v>256</v>
      </c>
      <c r="D958" s="16" t="n">
        <v>0.00290081018518519</v>
      </c>
      <c r="E958" s="15" t="n">
        <f aca="false">ROUND((D958-$D$5)*86400,2)</f>
        <v>25.6</v>
      </c>
      <c r="F958" s="17" t="n">
        <v>522</v>
      </c>
      <c r="G958" s="16" t="n">
        <f aca="false">IF(INDEX(選手一覧!$D$7:$D$2738,$F958)="","",INDEX(選手一覧!$D$7:$D$2738,$F958))</f>
        <v>0.0106486111111111</v>
      </c>
      <c r="H958" s="17" t="n">
        <f aca="false">IF(INDEX(選手一覧!$E$7:$E$2738,$F958)="","",INDEX(選手一覧!$E$7:$E$2738,$F958))</f>
        <v>523</v>
      </c>
      <c r="I958" s="16" t="str">
        <f aca="false">IF(INDEX(選手一覧!$H$7:$H$2738,$F958)="","",INDEX(選手一覧!$H$7:$H$2738,$F958))</f>
        <v/>
      </c>
      <c r="J958" s="17" t="str">
        <f aca="false">IF(INDEX(選手一覧!$I$7:$I$2738,$F958)="","",INDEX(選手一覧!$I$7:$I$2738,$F958))</f>
        <v/>
      </c>
    </row>
    <row r="959" customFormat="false" ht="15" hidden="false" customHeight="false" outlineLevel="0" collapsed="false">
      <c r="A959" s="17" t="n">
        <v>955</v>
      </c>
      <c r="B959" s="12" t="s">
        <v>3316</v>
      </c>
      <c r="C959" s="12" t="s">
        <v>3317</v>
      </c>
      <c r="D959" s="16" t="n">
        <v>0.00290104166666667</v>
      </c>
      <c r="E959" s="15" t="n">
        <f aca="false">ROUND((D959-$D$5)*86400,2)</f>
        <v>25.62</v>
      </c>
      <c r="F959" s="17" t="n">
        <v>2139</v>
      </c>
      <c r="G959" s="16" t="str">
        <f aca="false">IF(INDEX(選手一覧!$D$7:$D$2738,$F959)="","",INDEX(選手一覧!$D$7:$D$2738,$F959))</f>
        <v/>
      </c>
      <c r="H959" s="17" t="str">
        <f aca="false">IF(INDEX(選手一覧!$E$7:$E$2738,$F959)="","",INDEX(選手一覧!$E$7:$E$2738,$F959))</f>
        <v/>
      </c>
      <c r="I959" s="16" t="str">
        <f aca="false">IF(INDEX(選手一覧!$H$7:$H$2738,$F959)="","",INDEX(選手一覧!$H$7:$H$2738,$F959))</f>
        <v/>
      </c>
      <c r="J959" s="17" t="str">
        <f aca="false">IF(INDEX(選手一覧!$I$7:$I$2738,$F959)="","",INDEX(選手一覧!$I$7:$I$2738,$F959))</f>
        <v/>
      </c>
    </row>
    <row r="960" customFormat="false" ht="15" hidden="false" customHeight="false" outlineLevel="0" collapsed="false">
      <c r="A960" s="17" t="n">
        <v>956</v>
      </c>
      <c r="B960" s="12" t="s">
        <v>1233</v>
      </c>
      <c r="C960" s="12" t="s">
        <v>240</v>
      </c>
      <c r="D960" s="16" t="n">
        <v>0.00290115740740741</v>
      </c>
      <c r="E960" s="15" t="n">
        <f aca="false">ROUND((D960-$D$5)*86400,2)</f>
        <v>25.63</v>
      </c>
      <c r="F960" s="17" t="n">
        <v>734</v>
      </c>
      <c r="G960" s="16" t="n">
        <f aca="false">IF(INDEX(選手一覧!$D$7:$D$2738,$F960)="","",INDEX(選手一覧!$D$7:$D$2738,$F960))</f>
        <v>0.0107954861111111</v>
      </c>
      <c r="H960" s="17" t="n">
        <f aca="false">IF(INDEX(選手一覧!$E$7:$E$2738,$F960)="","",INDEX(選手一覧!$E$7:$E$2738,$F960))</f>
        <v>735</v>
      </c>
      <c r="I960" s="16" t="n">
        <f aca="false">IF(INDEX(選手一覧!$H$7:$H$2738,$F960)="","",INDEX(選手一覧!$H$7:$H$2738,$F960))</f>
        <v>0.00638576388888889</v>
      </c>
      <c r="J960" s="17" t="n">
        <f aca="false">IF(INDEX(選手一覧!$I$7:$I$2738,$F960)="","",INDEX(選手一覧!$I$7:$I$2738,$F960))</f>
        <v>13</v>
      </c>
    </row>
    <row r="961" customFormat="false" ht="15" hidden="false" customHeight="false" outlineLevel="0" collapsed="false">
      <c r="A961" s="17" t="n">
        <v>957</v>
      </c>
      <c r="B961" s="12" t="s">
        <v>3319</v>
      </c>
      <c r="C961" s="12" t="s">
        <v>320</v>
      </c>
      <c r="D961" s="16" t="n">
        <v>0.00290138888888889</v>
      </c>
      <c r="E961" s="15" t="n">
        <f aca="false">ROUND((D961-$D$5)*86400,2)</f>
        <v>25.65</v>
      </c>
      <c r="F961" s="17" t="n">
        <v>2141</v>
      </c>
      <c r="G961" s="16" t="str">
        <f aca="false">IF(INDEX(選手一覧!$D$7:$D$2738,$F961)="","",INDEX(選手一覧!$D$7:$D$2738,$F961))</f>
        <v/>
      </c>
      <c r="H961" s="17" t="str">
        <f aca="false">IF(INDEX(選手一覧!$E$7:$E$2738,$F961)="","",INDEX(選手一覧!$E$7:$E$2738,$F961))</f>
        <v/>
      </c>
      <c r="I961" s="16" t="str">
        <f aca="false">IF(INDEX(選手一覧!$H$7:$H$2738,$F961)="","",INDEX(選手一覧!$H$7:$H$2738,$F961))</f>
        <v/>
      </c>
      <c r="J961" s="17" t="str">
        <f aca="false">IF(INDEX(選手一覧!$I$7:$I$2738,$F961)="","",INDEX(選手一覧!$I$7:$I$2738,$F961))</f>
        <v/>
      </c>
    </row>
    <row r="962" customFormat="false" ht="15" hidden="false" customHeight="false" outlineLevel="0" collapsed="false">
      <c r="A962" s="17" t="n">
        <v>958</v>
      </c>
      <c r="B962" s="12" t="s">
        <v>1755</v>
      </c>
      <c r="C962" s="12" t="s">
        <v>1756</v>
      </c>
      <c r="D962" s="16" t="n">
        <v>0.00290150462962963</v>
      </c>
      <c r="E962" s="15" t="n">
        <f aca="false">ROUND((D962-$D$5)*86400,2)</f>
        <v>25.66</v>
      </c>
      <c r="F962" s="17" t="n">
        <v>1085</v>
      </c>
      <c r="G962" s="16" t="n">
        <f aca="false">IF(INDEX(選手一覧!$D$7:$D$2738,$F962)="","",INDEX(選手一覧!$D$7:$D$2738,$F962))</f>
        <v>0.0109936342592593</v>
      </c>
      <c r="H962" s="17" t="n">
        <f aca="false">IF(INDEX(選手一覧!$E$7:$E$2738,$F962)="","",INDEX(選手一覧!$E$7:$E$2738,$F962))</f>
        <v>1086</v>
      </c>
      <c r="I962" s="16" t="n">
        <f aca="false">IF(INDEX(選手一覧!$H$7:$H$2738,$F962)="","",INDEX(選手一覧!$H$7:$H$2738,$F962))</f>
        <v>0.00649803240740741</v>
      </c>
      <c r="J962" s="17" t="n">
        <f aca="false">IF(INDEX(選手一覧!$I$7:$I$2738,$F962)="","",INDEX(選手一覧!$I$7:$I$2738,$F962))</f>
        <v>35</v>
      </c>
    </row>
    <row r="963" customFormat="false" ht="15" hidden="false" customHeight="false" outlineLevel="0" collapsed="false">
      <c r="A963" s="17" t="n">
        <v>959</v>
      </c>
      <c r="B963" s="12" t="s">
        <v>3324</v>
      </c>
      <c r="C963" s="12" t="s">
        <v>3040</v>
      </c>
      <c r="D963" s="16" t="n">
        <v>0.00290162037037037</v>
      </c>
      <c r="E963" s="15" t="n">
        <f aca="false">ROUND((D963-$D$5)*86400,2)</f>
        <v>25.67</v>
      </c>
      <c r="F963" s="17" t="n">
        <v>2144</v>
      </c>
      <c r="G963" s="16" t="str">
        <f aca="false">IF(INDEX(選手一覧!$D$7:$D$2738,$F963)="","",INDEX(選手一覧!$D$7:$D$2738,$F963))</f>
        <v/>
      </c>
      <c r="H963" s="17" t="str">
        <f aca="false">IF(INDEX(選手一覧!$E$7:$E$2738,$F963)="","",INDEX(選手一覧!$E$7:$E$2738,$F963))</f>
        <v/>
      </c>
      <c r="I963" s="16" t="str">
        <f aca="false">IF(INDEX(選手一覧!$H$7:$H$2738,$F963)="","",INDEX(選手一覧!$H$7:$H$2738,$F963))</f>
        <v/>
      </c>
      <c r="J963" s="17" t="str">
        <f aca="false">IF(INDEX(選手一覧!$I$7:$I$2738,$F963)="","",INDEX(選手一覧!$I$7:$I$2738,$F963))</f>
        <v/>
      </c>
    </row>
    <row r="964" customFormat="false" ht="15" hidden="false" customHeight="false" outlineLevel="0" collapsed="false">
      <c r="A964" s="17" t="n">
        <v>960</v>
      </c>
      <c r="B964" s="12" t="s">
        <v>855</v>
      </c>
      <c r="C964" s="12" t="s">
        <v>711</v>
      </c>
      <c r="D964" s="16" t="n">
        <v>0.00290162037037037</v>
      </c>
      <c r="E964" s="15" t="n">
        <f aca="false">ROUND((D964-$D$5)*86400,2)</f>
        <v>25.67</v>
      </c>
      <c r="F964" s="17" t="n">
        <v>486</v>
      </c>
      <c r="G964" s="16" t="n">
        <f aca="false">IF(INDEX(選手一覧!$D$7:$D$2738,$F964)="","",INDEX(選手一覧!$D$7:$D$2738,$F964))</f>
        <v>0.0106157407407407</v>
      </c>
      <c r="H964" s="17" t="n">
        <f aca="false">IF(INDEX(選手一覧!$E$7:$E$2738,$F964)="","",INDEX(選手一覧!$E$7:$E$2738,$F964))</f>
        <v>487</v>
      </c>
      <c r="I964" s="16" t="n">
        <f aca="false">IF(INDEX(選手一覧!$H$7:$H$2738,$F964)="","",INDEX(選手一覧!$H$7:$H$2738,$F964))</f>
        <v>0.00645543981481482</v>
      </c>
      <c r="J964" s="17" t="n">
        <f aca="false">IF(INDEX(選手一覧!$I$7:$I$2738,$F964)="","",INDEX(選手一覧!$I$7:$I$2738,$F964))</f>
        <v>23</v>
      </c>
    </row>
    <row r="965" customFormat="false" ht="15" hidden="false" customHeight="false" outlineLevel="0" collapsed="false">
      <c r="A965" s="17" t="n">
        <v>961</v>
      </c>
      <c r="B965" s="12" t="s">
        <v>2647</v>
      </c>
      <c r="C965" s="12" t="s">
        <v>1697</v>
      </c>
      <c r="D965" s="16" t="n">
        <v>0.00290162037037037</v>
      </c>
      <c r="E965" s="15" t="n">
        <f aca="false">ROUND((D965-$D$5)*86400,2)</f>
        <v>25.67</v>
      </c>
      <c r="F965" s="17" t="n">
        <v>1692</v>
      </c>
      <c r="G965" s="16" t="str">
        <f aca="false">IF(INDEX(選手一覧!$D$7:$D$2738,$F965)="","",INDEX(選手一覧!$D$7:$D$2738,$F965))</f>
        <v/>
      </c>
      <c r="H965" s="17" t="str">
        <f aca="false">IF(INDEX(選手一覧!$E$7:$E$2738,$F965)="","",INDEX(選手一覧!$E$7:$E$2738,$F965))</f>
        <v/>
      </c>
      <c r="I965" s="16" t="n">
        <f aca="false">IF(INDEX(選手一覧!$H$7:$H$2738,$F965)="","",INDEX(選手一覧!$H$7:$H$2738,$F965))</f>
        <v>0.00724826388888889</v>
      </c>
      <c r="J965" s="17" t="n">
        <f aca="false">IF(INDEX(選手一覧!$I$7:$I$2738,$F965)="","",INDEX(選手一覧!$I$7:$I$2738,$F965))</f>
        <v>596</v>
      </c>
    </row>
    <row r="966" customFormat="false" ht="15" hidden="false" customHeight="false" outlineLevel="0" collapsed="false">
      <c r="A966" s="17" t="n">
        <v>962</v>
      </c>
      <c r="B966" s="12" t="s">
        <v>2749</v>
      </c>
      <c r="C966" s="12" t="s">
        <v>2726</v>
      </c>
      <c r="D966" s="16" t="n">
        <v>0.00290173611111111</v>
      </c>
      <c r="E966" s="15" t="n">
        <f aca="false">ROUND((D966-$D$5)*86400,2)</f>
        <v>25.68</v>
      </c>
      <c r="F966" s="17" t="n">
        <v>1761</v>
      </c>
      <c r="G966" s="16" t="str">
        <f aca="false">IF(INDEX(選手一覧!$D$7:$D$2738,$F966)="","",INDEX(選手一覧!$D$7:$D$2738,$F966))</f>
        <v/>
      </c>
      <c r="H966" s="17" t="str">
        <f aca="false">IF(INDEX(選手一覧!$E$7:$E$2738,$F966)="","",INDEX(選手一覧!$E$7:$E$2738,$F966))</f>
        <v/>
      </c>
      <c r="I966" s="16" t="n">
        <f aca="false">IF(INDEX(選手一覧!$H$7:$H$2738,$F966)="","",INDEX(選手一覧!$H$7:$H$2738,$F966))</f>
        <v>0.00731400462962963</v>
      </c>
      <c r="J966" s="17" t="n">
        <f aca="false">IF(INDEX(選手一覧!$I$7:$I$2738,$F966)="","",INDEX(選手一覧!$I$7:$I$2738,$F966))</f>
        <v>661</v>
      </c>
    </row>
    <row r="967" customFormat="false" ht="15" hidden="false" customHeight="false" outlineLevel="0" collapsed="false">
      <c r="A967" s="17" t="n">
        <v>963</v>
      </c>
      <c r="B967" s="12" t="s">
        <v>3331</v>
      </c>
      <c r="C967" s="12" t="s">
        <v>3332</v>
      </c>
      <c r="D967" s="16" t="n">
        <v>0.00290173611111111</v>
      </c>
      <c r="E967" s="15" t="n">
        <f aca="false">ROUND((D967-$D$5)*86400,2)</f>
        <v>25.68</v>
      </c>
      <c r="F967" s="17" t="n">
        <v>2149</v>
      </c>
      <c r="G967" s="16" t="str">
        <f aca="false">IF(INDEX(選手一覧!$D$7:$D$2738,$F967)="","",INDEX(選手一覧!$D$7:$D$2738,$F967))</f>
        <v/>
      </c>
      <c r="H967" s="17" t="str">
        <f aca="false">IF(INDEX(選手一覧!$E$7:$E$2738,$F967)="","",INDEX(選手一覧!$E$7:$E$2738,$F967))</f>
        <v/>
      </c>
      <c r="I967" s="16" t="str">
        <f aca="false">IF(INDEX(選手一覧!$H$7:$H$2738,$F967)="","",INDEX(選手一覧!$H$7:$H$2738,$F967))</f>
        <v/>
      </c>
      <c r="J967" s="17" t="str">
        <f aca="false">IF(INDEX(選手一覧!$I$7:$I$2738,$F967)="","",INDEX(選手一覧!$I$7:$I$2738,$F967))</f>
        <v/>
      </c>
    </row>
    <row r="968" customFormat="false" ht="15" hidden="false" customHeight="false" outlineLevel="0" collapsed="false">
      <c r="A968" s="17" t="n">
        <v>964</v>
      </c>
      <c r="B968" s="12" t="s">
        <v>379</v>
      </c>
      <c r="C968" s="12" t="s">
        <v>380</v>
      </c>
      <c r="D968" s="16" t="n">
        <v>0.00290196759259259</v>
      </c>
      <c r="E968" s="15" t="n">
        <f aca="false">ROUND((D968-$D$5)*86400,2)</f>
        <v>25.7</v>
      </c>
      <c r="F968" s="17" t="n">
        <v>186</v>
      </c>
      <c r="G968" s="16" t="n">
        <f aca="false">IF(INDEX(選手一覧!$D$7:$D$2738,$F968)="","",INDEX(選手一覧!$D$7:$D$2738,$F968))</f>
        <v>0.0103375</v>
      </c>
      <c r="H968" s="17" t="n">
        <f aca="false">IF(INDEX(選手一覧!$E$7:$E$2738,$F968)="","",INDEX(選手一覧!$E$7:$E$2738,$F968))</f>
        <v>187</v>
      </c>
      <c r="I968" s="16" t="n">
        <f aca="false">IF(INDEX(選手一覧!$H$7:$H$2738,$F968)="","",INDEX(選手一覧!$H$7:$H$2738,$F968))</f>
        <v>0.00693090277777778</v>
      </c>
      <c r="J968" s="17" t="n">
        <f aca="false">IF(INDEX(選手一覧!$I$7:$I$2738,$F968)="","",INDEX(選手一覧!$I$7:$I$2738,$F968))</f>
        <v>274</v>
      </c>
    </row>
    <row r="969" customFormat="false" ht="15" hidden="false" customHeight="false" outlineLevel="0" collapsed="false">
      <c r="A969" s="17" t="n">
        <v>965</v>
      </c>
      <c r="B969" s="12" t="s">
        <v>1356</v>
      </c>
      <c r="C969" s="12" t="s">
        <v>1357</v>
      </c>
      <c r="D969" s="16" t="n">
        <v>0.00290208333333333</v>
      </c>
      <c r="E969" s="15" t="n">
        <f aca="false">ROUND((D969-$D$5)*86400,2)</f>
        <v>25.71</v>
      </c>
      <c r="F969" s="17" t="n">
        <v>819</v>
      </c>
      <c r="G969" s="16" t="n">
        <f aca="false">IF(INDEX(選手一覧!$D$7:$D$2738,$F969)="","",INDEX(選手一覧!$D$7:$D$2738,$F969))</f>
        <v>0.0108435185185185</v>
      </c>
      <c r="H969" s="17" t="n">
        <f aca="false">IF(INDEX(選手一覧!$E$7:$E$2738,$F969)="","",INDEX(選手一覧!$E$7:$E$2738,$F969))</f>
        <v>820</v>
      </c>
      <c r="I969" s="16" t="str">
        <f aca="false">IF(INDEX(選手一覧!$H$7:$H$2738,$F969)="","",INDEX(選手一覧!$H$7:$H$2738,$F969))</f>
        <v/>
      </c>
      <c r="J969" s="17" t="str">
        <f aca="false">IF(INDEX(選手一覧!$I$7:$I$2738,$F969)="","",INDEX(選手一覧!$I$7:$I$2738,$F969))</f>
        <v/>
      </c>
    </row>
    <row r="970" customFormat="false" ht="15" hidden="false" customHeight="false" outlineLevel="0" collapsed="false">
      <c r="A970" s="17" t="n">
        <v>966</v>
      </c>
      <c r="B970" s="12" t="s">
        <v>3338</v>
      </c>
      <c r="C970" s="12" t="s">
        <v>1269</v>
      </c>
      <c r="D970" s="16" t="n">
        <v>0.00290231481481482</v>
      </c>
      <c r="E970" s="15" t="n">
        <f aca="false">ROUND((D970-$D$5)*86400,2)</f>
        <v>25.73</v>
      </c>
      <c r="F970" s="17" t="n">
        <v>2153</v>
      </c>
      <c r="G970" s="16" t="str">
        <f aca="false">IF(INDEX(選手一覧!$D$7:$D$2738,$F970)="","",INDEX(選手一覧!$D$7:$D$2738,$F970))</f>
        <v/>
      </c>
      <c r="H970" s="17" t="str">
        <f aca="false">IF(INDEX(選手一覧!$E$7:$E$2738,$F970)="","",INDEX(選手一覧!$E$7:$E$2738,$F970))</f>
        <v/>
      </c>
      <c r="I970" s="16" t="str">
        <f aca="false">IF(INDEX(選手一覧!$H$7:$H$2738,$F970)="","",INDEX(選手一覧!$H$7:$H$2738,$F970))</f>
        <v/>
      </c>
      <c r="J970" s="17" t="str">
        <f aca="false">IF(INDEX(選手一覧!$I$7:$I$2738,$F970)="","",INDEX(選手一覧!$I$7:$I$2738,$F970))</f>
        <v/>
      </c>
    </row>
    <row r="971" customFormat="false" ht="15" hidden="false" customHeight="false" outlineLevel="0" collapsed="false">
      <c r="A971" s="17" t="n">
        <v>967</v>
      </c>
      <c r="B971" s="12" t="s">
        <v>2095</v>
      </c>
      <c r="C971" s="12" t="s">
        <v>2096</v>
      </c>
      <c r="D971" s="16" t="n">
        <v>0.0029025462962963</v>
      </c>
      <c r="E971" s="15" t="n">
        <f aca="false">ROUND((D971-$D$5)*86400,2)</f>
        <v>25.75</v>
      </c>
      <c r="F971" s="17" t="n">
        <v>1331</v>
      </c>
      <c r="G971" s="16" t="str">
        <f aca="false">IF(INDEX(選手一覧!$D$7:$D$2738,$F971)="","",INDEX(選手一覧!$D$7:$D$2738,$F971))</f>
        <v/>
      </c>
      <c r="H971" s="17" t="str">
        <f aca="false">IF(INDEX(選手一覧!$E$7:$E$2738,$F971)="","",INDEX(選手一覧!$E$7:$E$2738,$F971))</f>
        <v/>
      </c>
      <c r="I971" s="16" t="n">
        <f aca="false">IF(INDEX(選手一覧!$H$7:$H$2738,$F971)="","",INDEX(選手一覧!$H$7:$H$2738,$F971))</f>
        <v>0.00680185185185185</v>
      </c>
      <c r="J971" s="17" t="n">
        <f aca="false">IF(INDEX(選手一覧!$I$7:$I$2738,$F971)="","",INDEX(選手一覧!$I$7:$I$2738,$F971))</f>
        <v>174</v>
      </c>
    </row>
    <row r="972" customFormat="false" ht="15" hidden="false" customHeight="false" outlineLevel="0" collapsed="false">
      <c r="A972" s="17" t="n">
        <v>968</v>
      </c>
      <c r="B972" s="12" t="s">
        <v>3343</v>
      </c>
      <c r="C972" s="12" t="s">
        <v>3210</v>
      </c>
      <c r="D972" s="16" t="n">
        <v>0.00290266203703704</v>
      </c>
      <c r="E972" s="15" t="n">
        <f aca="false">ROUND((D972-$D$5)*86400,2)</f>
        <v>25.76</v>
      </c>
      <c r="F972" s="17" t="n">
        <v>2156</v>
      </c>
      <c r="G972" s="16" t="str">
        <f aca="false">IF(INDEX(選手一覧!$D$7:$D$2738,$F972)="","",INDEX(選手一覧!$D$7:$D$2738,$F972))</f>
        <v/>
      </c>
      <c r="H972" s="17" t="str">
        <f aca="false">IF(INDEX(選手一覧!$E$7:$E$2738,$F972)="","",INDEX(選手一覧!$E$7:$E$2738,$F972))</f>
        <v/>
      </c>
      <c r="I972" s="16" t="str">
        <f aca="false">IF(INDEX(選手一覧!$H$7:$H$2738,$F972)="","",INDEX(選手一覧!$H$7:$H$2738,$F972))</f>
        <v/>
      </c>
      <c r="J972" s="17" t="str">
        <f aca="false">IF(INDEX(選手一覧!$I$7:$I$2738,$F972)="","",INDEX(選手一覧!$I$7:$I$2738,$F972))</f>
        <v/>
      </c>
    </row>
    <row r="973" customFormat="false" ht="15" hidden="false" customHeight="false" outlineLevel="0" collapsed="false">
      <c r="A973" s="17" t="n">
        <v>969</v>
      </c>
      <c r="B973" s="12" t="s">
        <v>3346</v>
      </c>
      <c r="C973" s="12" t="s">
        <v>3347</v>
      </c>
      <c r="D973" s="16" t="n">
        <v>0.00290277777777778</v>
      </c>
      <c r="E973" s="15" t="n">
        <f aca="false">ROUND((D973-$D$5)*86400,2)</f>
        <v>25.77</v>
      </c>
      <c r="F973" s="17" t="n">
        <v>2158</v>
      </c>
      <c r="G973" s="16" t="str">
        <f aca="false">IF(INDEX(選手一覧!$D$7:$D$2738,$F973)="","",INDEX(選手一覧!$D$7:$D$2738,$F973))</f>
        <v/>
      </c>
      <c r="H973" s="17" t="str">
        <f aca="false">IF(INDEX(選手一覧!$E$7:$E$2738,$F973)="","",INDEX(選手一覧!$E$7:$E$2738,$F973))</f>
        <v/>
      </c>
      <c r="I973" s="16" t="str">
        <f aca="false">IF(INDEX(選手一覧!$H$7:$H$2738,$F973)="","",INDEX(選手一覧!$H$7:$H$2738,$F973))</f>
        <v/>
      </c>
      <c r="J973" s="17" t="str">
        <f aca="false">IF(INDEX(選手一覧!$I$7:$I$2738,$F973)="","",INDEX(選手一覧!$I$7:$I$2738,$F973))</f>
        <v/>
      </c>
    </row>
    <row r="974" customFormat="false" ht="15" hidden="false" customHeight="false" outlineLevel="0" collapsed="false">
      <c r="A974" s="17" t="n">
        <v>970</v>
      </c>
      <c r="B974" s="12" t="s">
        <v>776</v>
      </c>
      <c r="C974" s="12" t="s">
        <v>406</v>
      </c>
      <c r="D974" s="16" t="n">
        <v>0.00290289351851852</v>
      </c>
      <c r="E974" s="15" t="n">
        <f aca="false">ROUND((D974-$D$5)*86400,2)</f>
        <v>25.78</v>
      </c>
      <c r="F974" s="17" t="n">
        <v>433</v>
      </c>
      <c r="G974" s="16" t="n">
        <f aca="false">IF(INDEX(選手一覧!$D$7:$D$2738,$F974)="","",INDEX(選手一覧!$D$7:$D$2738,$F974))</f>
        <v>0.010580787037037</v>
      </c>
      <c r="H974" s="17" t="n">
        <f aca="false">IF(INDEX(選手一覧!$E$7:$E$2738,$F974)="","",INDEX(選手一覧!$E$7:$E$2738,$F974))</f>
        <v>434</v>
      </c>
      <c r="I974" s="16" t="str">
        <f aca="false">IF(INDEX(選手一覧!$H$7:$H$2738,$F974)="","",INDEX(選手一覧!$H$7:$H$2738,$F974))</f>
        <v/>
      </c>
      <c r="J974" s="17" t="str">
        <f aca="false">IF(INDEX(選手一覧!$I$7:$I$2738,$F974)="","",INDEX(選手一覧!$I$7:$I$2738,$F974))</f>
        <v/>
      </c>
    </row>
    <row r="975" customFormat="false" ht="15" hidden="false" customHeight="false" outlineLevel="0" collapsed="false">
      <c r="A975" s="17" t="n">
        <v>971</v>
      </c>
      <c r="B975" s="12" t="s">
        <v>3350</v>
      </c>
      <c r="C975" s="12" t="s">
        <v>2060</v>
      </c>
      <c r="D975" s="16" t="n">
        <v>0.00290289351851852</v>
      </c>
      <c r="E975" s="15" t="n">
        <f aca="false">ROUND((D975-$D$5)*86400,2)</f>
        <v>25.78</v>
      </c>
      <c r="F975" s="17" t="n">
        <v>2160</v>
      </c>
      <c r="G975" s="16" t="str">
        <f aca="false">IF(INDEX(選手一覧!$D$7:$D$2738,$F975)="","",INDEX(選手一覧!$D$7:$D$2738,$F975))</f>
        <v/>
      </c>
      <c r="H975" s="17" t="str">
        <f aca="false">IF(INDEX(選手一覧!$E$7:$E$2738,$F975)="","",INDEX(選手一覧!$E$7:$E$2738,$F975))</f>
        <v/>
      </c>
      <c r="I975" s="16" t="str">
        <f aca="false">IF(INDEX(選手一覧!$H$7:$H$2738,$F975)="","",INDEX(選手一覧!$H$7:$H$2738,$F975))</f>
        <v/>
      </c>
      <c r="J975" s="17" t="str">
        <f aca="false">IF(INDEX(選手一覧!$I$7:$I$2738,$F975)="","",INDEX(選手一覧!$I$7:$I$2738,$F975))</f>
        <v/>
      </c>
    </row>
    <row r="976" customFormat="false" ht="15" hidden="false" customHeight="false" outlineLevel="0" collapsed="false">
      <c r="A976" s="17" t="n">
        <v>972</v>
      </c>
      <c r="B976" s="12" t="s">
        <v>3352</v>
      </c>
      <c r="C976" s="12" t="s">
        <v>599</v>
      </c>
      <c r="D976" s="16" t="n">
        <v>0.00290324074074074</v>
      </c>
      <c r="E976" s="15" t="n">
        <f aca="false">ROUND((D976-$D$5)*86400,2)</f>
        <v>25.81</v>
      </c>
      <c r="F976" s="17" t="n">
        <v>2162</v>
      </c>
      <c r="G976" s="16" t="str">
        <f aca="false">IF(INDEX(選手一覧!$D$7:$D$2738,$F976)="","",INDEX(選手一覧!$D$7:$D$2738,$F976))</f>
        <v/>
      </c>
      <c r="H976" s="17" t="str">
        <f aca="false">IF(INDEX(選手一覧!$E$7:$E$2738,$F976)="","",INDEX(選手一覧!$E$7:$E$2738,$F976))</f>
        <v/>
      </c>
      <c r="I976" s="16" t="str">
        <f aca="false">IF(INDEX(選手一覧!$H$7:$H$2738,$F976)="","",INDEX(選手一覧!$H$7:$H$2738,$F976))</f>
        <v/>
      </c>
      <c r="J976" s="17" t="str">
        <f aca="false">IF(INDEX(選手一覧!$I$7:$I$2738,$F976)="","",INDEX(選手一覧!$I$7:$I$2738,$F976))</f>
        <v/>
      </c>
    </row>
    <row r="977" customFormat="false" ht="15" hidden="false" customHeight="false" outlineLevel="0" collapsed="false">
      <c r="A977" s="17" t="n">
        <v>973</v>
      </c>
      <c r="B977" s="12" t="s">
        <v>3354</v>
      </c>
      <c r="C977" s="12" t="s">
        <v>573</v>
      </c>
      <c r="D977" s="16" t="n">
        <v>0.00290324074074074</v>
      </c>
      <c r="E977" s="15" t="n">
        <f aca="false">ROUND((D977-$D$5)*86400,2)</f>
        <v>25.81</v>
      </c>
      <c r="F977" s="17" t="n">
        <v>2164</v>
      </c>
      <c r="G977" s="16" t="str">
        <f aca="false">IF(INDEX(選手一覧!$D$7:$D$2738,$F977)="","",INDEX(選手一覧!$D$7:$D$2738,$F977))</f>
        <v/>
      </c>
      <c r="H977" s="17" t="str">
        <f aca="false">IF(INDEX(選手一覧!$E$7:$E$2738,$F977)="","",INDEX(選手一覧!$E$7:$E$2738,$F977))</f>
        <v/>
      </c>
      <c r="I977" s="16" t="str">
        <f aca="false">IF(INDEX(選手一覧!$H$7:$H$2738,$F977)="","",INDEX(選手一覧!$H$7:$H$2738,$F977))</f>
        <v/>
      </c>
      <c r="J977" s="17" t="str">
        <f aca="false">IF(INDEX(選手一覧!$I$7:$I$2738,$F977)="","",INDEX(選手一覧!$I$7:$I$2738,$F977))</f>
        <v/>
      </c>
    </row>
    <row r="978" customFormat="false" ht="15" hidden="false" customHeight="false" outlineLevel="0" collapsed="false">
      <c r="A978" s="17" t="n">
        <v>974</v>
      </c>
      <c r="B978" s="12" t="s">
        <v>3356</v>
      </c>
      <c r="C978" s="12" t="s">
        <v>864</v>
      </c>
      <c r="D978" s="16" t="n">
        <v>0.00290335648148148</v>
      </c>
      <c r="E978" s="15" t="n">
        <f aca="false">ROUND((D978-$D$5)*86400,2)</f>
        <v>25.82</v>
      </c>
      <c r="F978" s="17" t="n">
        <v>2166</v>
      </c>
      <c r="G978" s="16" t="str">
        <f aca="false">IF(INDEX(選手一覧!$D$7:$D$2738,$F978)="","",INDEX(選手一覧!$D$7:$D$2738,$F978))</f>
        <v/>
      </c>
      <c r="H978" s="17" t="str">
        <f aca="false">IF(INDEX(選手一覧!$E$7:$E$2738,$F978)="","",INDEX(選手一覧!$E$7:$E$2738,$F978))</f>
        <v/>
      </c>
      <c r="I978" s="16" t="str">
        <f aca="false">IF(INDEX(選手一覧!$H$7:$H$2738,$F978)="","",INDEX(選手一覧!$H$7:$H$2738,$F978))</f>
        <v/>
      </c>
      <c r="J978" s="17" t="str">
        <f aca="false">IF(INDEX(選手一覧!$I$7:$I$2738,$F978)="","",INDEX(選手一覧!$I$7:$I$2738,$F978))</f>
        <v/>
      </c>
    </row>
    <row r="979" customFormat="false" ht="15" hidden="false" customHeight="false" outlineLevel="0" collapsed="false">
      <c r="A979" s="17" t="n">
        <v>975</v>
      </c>
      <c r="B979" s="12" t="s">
        <v>1046</v>
      </c>
      <c r="C979" s="12" t="s">
        <v>1047</v>
      </c>
      <c r="D979" s="16" t="n">
        <v>0.00290347222222222</v>
      </c>
      <c r="E979" s="15" t="n">
        <f aca="false">ROUND((D979-$D$5)*86400,2)</f>
        <v>25.83</v>
      </c>
      <c r="F979" s="17" t="n">
        <v>611</v>
      </c>
      <c r="G979" s="16" t="n">
        <f aca="false">IF(INDEX(選手一覧!$D$7:$D$2738,$F979)="","",INDEX(選手一覧!$D$7:$D$2738,$F979))</f>
        <v>0.010719212962963</v>
      </c>
      <c r="H979" s="17" t="n">
        <f aca="false">IF(INDEX(選手一覧!$E$7:$E$2738,$F979)="","",INDEX(選手一覧!$E$7:$E$2738,$F979))</f>
        <v>612</v>
      </c>
      <c r="I979" s="16" t="str">
        <f aca="false">IF(INDEX(選手一覧!$H$7:$H$2738,$F979)="","",INDEX(選手一覧!$H$7:$H$2738,$F979))</f>
        <v/>
      </c>
      <c r="J979" s="17" t="str">
        <f aca="false">IF(INDEX(選手一覧!$I$7:$I$2738,$F979)="","",INDEX(選手一覧!$I$7:$I$2738,$F979))</f>
        <v/>
      </c>
    </row>
    <row r="980" customFormat="false" ht="15" hidden="false" customHeight="false" outlineLevel="0" collapsed="false">
      <c r="A980" s="17" t="n">
        <v>976</v>
      </c>
      <c r="B980" s="12" t="s">
        <v>1470</v>
      </c>
      <c r="C980" s="12" t="s">
        <v>67</v>
      </c>
      <c r="D980" s="16" t="n">
        <v>0.00290358796296296</v>
      </c>
      <c r="E980" s="15" t="n">
        <f aca="false">ROUND((D980-$D$5)*86400,2)</f>
        <v>25.84</v>
      </c>
      <c r="F980" s="17" t="n">
        <v>891</v>
      </c>
      <c r="G980" s="16" t="n">
        <f aca="false">IF(INDEX(選手一覧!$D$7:$D$2738,$F980)="","",INDEX(選手一覧!$D$7:$D$2738,$F980))</f>
        <v>0.01088125</v>
      </c>
      <c r="H980" s="17" t="n">
        <f aca="false">IF(INDEX(選手一覧!$E$7:$E$2738,$F980)="","",INDEX(選手一覧!$E$7:$E$2738,$F980))</f>
        <v>892</v>
      </c>
      <c r="I980" s="16" t="str">
        <f aca="false">IF(INDEX(選手一覧!$H$7:$H$2738,$F980)="","",INDEX(選手一覧!$H$7:$H$2738,$F980))</f>
        <v/>
      </c>
      <c r="J980" s="17" t="str">
        <f aca="false">IF(INDEX(選手一覧!$I$7:$I$2738,$F980)="","",INDEX(選手一覧!$I$7:$I$2738,$F980))</f>
        <v/>
      </c>
    </row>
    <row r="981" customFormat="false" ht="15" hidden="false" customHeight="false" outlineLevel="0" collapsed="false">
      <c r="A981" s="17" t="n">
        <v>977</v>
      </c>
      <c r="B981" s="12" t="s">
        <v>3361</v>
      </c>
      <c r="C981" s="12" t="s">
        <v>3362</v>
      </c>
      <c r="D981" s="16" t="n">
        <v>0.00290393518518519</v>
      </c>
      <c r="E981" s="15" t="n">
        <f aca="false">ROUND((D981-$D$5)*86400,2)</f>
        <v>25.87</v>
      </c>
      <c r="F981" s="17" t="n">
        <v>2170</v>
      </c>
      <c r="G981" s="16" t="str">
        <f aca="false">IF(INDEX(選手一覧!$D$7:$D$2738,$F981)="","",INDEX(選手一覧!$D$7:$D$2738,$F981))</f>
        <v/>
      </c>
      <c r="H981" s="17" t="str">
        <f aca="false">IF(INDEX(選手一覧!$E$7:$E$2738,$F981)="","",INDEX(選手一覧!$E$7:$E$2738,$F981))</f>
        <v/>
      </c>
      <c r="I981" s="16" t="str">
        <f aca="false">IF(INDEX(選手一覧!$H$7:$H$2738,$F981)="","",INDEX(選手一覧!$H$7:$H$2738,$F981))</f>
        <v/>
      </c>
      <c r="J981" s="17" t="str">
        <f aca="false">IF(INDEX(選手一覧!$I$7:$I$2738,$F981)="","",INDEX(選手一覧!$I$7:$I$2738,$F981))</f>
        <v/>
      </c>
    </row>
    <row r="982" customFormat="false" ht="15" hidden="false" customHeight="false" outlineLevel="0" collapsed="false">
      <c r="A982" s="17" t="n">
        <v>978</v>
      </c>
      <c r="B982" s="12" t="s">
        <v>3364</v>
      </c>
      <c r="C982" s="12" t="s">
        <v>301</v>
      </c>
      <c r="D982" s="16" t="n">
        <v>0.00290405092592593</v>
      </c>
      <c r="E982" s="15" t="n">
        <f aca="false">ROUND((D982-$D$5)*86400,2)</f>
        <v>25.88</v>
      </c>
      <c r="F982" s="17" t="n">
        <v>2172</v>
      </c>
      <c r="G982" s="16" t="str">
        <f aca="false">IF(INDEX(選手一覧!$D$7:$D$2738,$F982)="","",INDEX(選手一覧!$D$7:$D$2738,$F982))</f>
        <v/>
      </c>
      <c r="H982" s="17" t="str">
        <f aca="false">IF(INDEX(選手一覧!$E$7:$E$2738,$F982)="","",INDEX(選手一覧!$E$7:$E$2738,$F982))</f>
        <v/>
      </c>
      <c r="I982" s="16" t="str">
        <f aca="false">IF(INDEX(選手一覧!$H$7:$H$2738,$F982)="","",INDEX(選手一覧!$H$7:$H$2738,$F982))</f>
        <v/>
      </c>
      <c r="J982" s="17" t="str">
        <f aca="false">IF(INDEX(選手一覧!$I$7:$I$2738,$F982)="","",INDEX(選手一覧!$I$7:$I$2738,$F982))</f>
        <v/>
      </c>
    </row>
    <row r="983" customFormat="false" ht="15" hidden="false" customHeight="false" outlineLevel="0" collapsed="false">
      <c r="A983" s="17" t="n">
        <v>979</v>
      </c>
      <c r="B983" s="12" t="s">
        <v>3367</v>
      </c>
      <c r="C983" s="12" t="s">
        <v>3104</v>
      </c>
      <c r="D983" s="16" t="n">
        <v>0.00290405092592593</v>
      </c>
      <c r="E983" s="15" t="n">
        <f aca="false">ROUND((D983-$D$5)*86400,2)</f>
        <v>25.88</v>
      </c>
      <c r="F983" s="17" t="n">
        <v>2174</v>
      </c>
      <c r="G983" s="16" t="str">
        <f aca="false">IF(INDEX(選手一覧!$D$7:$D$2738,$F983)="","",INDEX(選手一覧!$D$7:$D$2738,$F983))</f>
        <v/>
      </c>
      <c r="H983" s="17" t="str">
        <f aca="false">IF(INDEX(選手一覧!$E$7:$E$2738,$F983)="","",INDEX(選手一覧!$E$7:$E$2738,$F983))</f>
        <v/>
      </c>
      <c r="I983" s="16" t="str">
        <f aca="false">IF(INDEX(選手一覧!$H$7:$H$2738,$F983)="","",INDEX(選手一覧!$H$7:$H$2738,$F983))</f>
        <v/>
      </c>
      <c r="J983" s="17" t="str">
        <f aca="false">IF(INDEX(選手一覧!$I$7:$I$2738,$F983)="","",INDEX(選手一覧!$I$7:$I$2738,$F983))</f>
        <v/>
      </c>
    </row>
    <row r="984" customFormat="false" ht="15" hidden="false" customHeight="false" outlineLevel="0" collapsed="false">
      <c r="A984" s="17" t="n">
        <v>980</v>
      </c>
      <c r="B984" s="12" t="s">
        <v>850</v>
      </c>
      <c r="C984" s="12" t="s">
        <v>380</v>
      </c>
      <c r="D984" s="16" t="n">
        <v>0.00290416666666667</v>
      </c>
      <c r="E984" s="15" t="n">
        <f aca="false">ROUND((D984-$D$5)*86400,2)</f>
        <v>25.89</v>
      </c>
      <c r="F984" s="17" t="n">
        <v>483</v>
      </c>
      <c r="G984" s="16" t="n">
        <f aca="false">IF(INDEX(選手一覧!$D$7:$D$2738,$F984)="","",INDEX(選手一覧!$D$7:$D$2738,$F984))</f>
        <v>0.0106134259259259</v>
      </c>
      <c r="H984" s="17" t="n">
        <f aca="false">IF(INDEX(選手一覧!$E$7:$E$2738,$F984)="","",INDEX(選手一覧!$E$7:$E$2738,$F984))</f>
        <v>484</v>
      </c>
      <c r="I984" s="16" t="str">
        <f aca="false">IF(INDEX(選手一覧!$H$7:$H$2738,$F984)="","",INDEX(選手一覧!$H$7:$H$2738,$F984))</f>
        <v/>
      </c>
      <c r="J984" s="17" t="str">
        <f aca="false">IF(INDEX(選手一覧!$I$7:$I$2738,$F984)="","",INDEX(選手一覧!$I$7:$I$2738,$F984))</f>
        <v/>
      </c>
    </row>
    <row r="985" customFormat="false" ht="15" hidden="false" customHeight="false" outlineLevel="0" collapsed="false">
      <c r="A985" s="17" t="n">
        <v>981</v>
      </c>
      <c r="B985" s="12" t="s">
        <v>1526</v>
      </c>
      <c r="C985" s="12" t="s">
        <v>1527</v>
      </c>
      <c r="D985" s="16" t="n">
        <v>0.00290416666666667</v>
      </c>
      <c r="E985" s="15" t="n">
        <f aca="false">ROUND((D985-$D$5)*86400,2)</f>
        <v>25.89</v>
      </c>
      <c r="F985" s="17" t="n">
        <v>928</v>
      </c>
      <c r="G985" s="16" t="n">
        <f aca="false">IF(INDEX(選手一覧!$D$7:$D$2738,$F985)="","",INDEX(選手一覧!$D$7:$D$2738,$F985))</f>
        <v>0.0109052083333333</v>
      </c>
      <c r="H985" s="17" t="n">
        <f aca="false">IF(INDEX(選手一覧!$E$7:$E$2738,$F985)="","",INDEX(選手一覧!$E$7:$E$2738,$F985))</f>
        <v>929</v>
      </c>
      <c r="I985" s="16" t="str">
        <f aca="false">IF(INDEX(選手一覧!$H$7:$H$2738,$F985)="","",INDEX(選手一覧!$H$7:$H$2738,$F985))</f>
        <v/>
      </c>
      <c r="J985" s="17" t="str">
        <f aca="false">IF(INDEX(選手一覧!$I$7:$I$2738,$F985)="","",INDEX(選手一覧!$I$7:$I$2738,$F985))</f>
        <v/>
      </c>
    </row>
    <row r="986" customFormat="false" ht="15" hidden="false" customHeight="false" outlineLevel="0" collapsed="false">
      <c r="A986" s="17" t="n">
        <v>982</v>
      </c>
      <c r="B986" s="12" t="s">
        <v>1427</v>
      </c>
      <c r="C986" s="12" t="s">
        <v>157</v>
      </c>
      <c r="D986" s="16" t="n">
        <v>0.00290486111111111</v>
      </c>
      <c r="E986" s="15" t="n">
        <f aca="false">ROUND((D986-$D$5)*86400,2)</f>
        <v>25.95</v>
      </c>
      <c r="F986" s="17" t="n">
        <v>864</v>
      </c>
      <c r="G986" s="16" t="n">
        <f aca="false">IF(INDEX(選手一覧!$D$7:$D$2738,$F986)="","",INDEX(選手一覧!$D$7:$D$2738,$F986))</f>
        <v>0.0108675925925926</v>
      </c>
      <c r="H986" s="17" t="n">
        <f aca="false">IF(INDEX(選手一覧!$E$7:$E$2738,$F986)="","",INDEX(選手一覧!$E$7:$E$2738,$F986))</f>
        <v>865</v>
      </c>
      <c r="I986" s="16" t="str">
        <f aca="false">IF(INDEX(選手一覧!$H$7:$H$2738,$F986)="","",INDEX(選手一覧!$H$7:$H$2738,$F986))</f>
        <v/>
      </c>
      <c r="J986" s="17" t="str">
        <f aca="false">IF(INDEX(選手一覧!$I$7:$I$2738,$F986)="","",INDEX(選手一覧!$I$7:$I$2738,$F986))</f>
        <v/>
      </c>
    </row>
    <row r="987" customFormat="false" ht="15" hidden="false" customHeight="false" outlineLevel="0" collapsed="false">
      <c r="A987" s="17" t="n">
        <v>983</v>
      </c>
      <c r="B987" s="12" t="s">
        <v>641</v>
      </c>
      <c r="C987" s="12" t="s">
        <v>575</v>
      </c>
      <c r="D987" s="16" t="n">
        <v>0.00290497685185185</v>
      </c>
      <c r="E987" s="15" t="n">
        <f aca="false">ROUND((D987-$D$5)*86400,2)</f>
        <v>25.96</v>
      </c>
      <c r="F987" s="17" t="n">
        <v>348</v>
      </c>
      <c r="G987" s="16" t="n">
        <f aca="false">IF(INDEX(選手一覧!$D$7:$D$2738,$F987)="","",INDEX(選手一覧!$D$7:$D$2738,$F987))</f>
        <v>0.0105109953703704</v>
      </c>
      <c r="H987" s="17" t="n">
        <f aca="false">IF(INDEX(選手一覧!$E$7:$E$2738,$F987)="","",INDEX(選手一覧!$E$7:$E$2738,$F987))</f>
        <v>349</v>
      </c>
      <c r="I987" s="16" t="str">
        <f aca="false">IF(INDEX(選手一覧!$H$7:$H$2738,$F987)="","",INDEX(選手一覧!$H$7:$H$2738,$F987))</f>
        <v/>
      </c>
      <c r="J987" s="17" t="str">
        <f aca="false">IF(INDEX(選手一覧!$I$7:$I$2738,$F987)="","",INDEX(選手一覧!$I$7:$I$2738,$F987))</f>
        <v/>
      </c>
    </row>
    <row r="988" customFormat="false" ht="15" hidden="false" customHeight="false" outlineLevel="0" collapsed="false">
      <c r="A988" s="17" t="n">
        <v>984</v>
      </c>
      <c r="B988" s="12" t="s">
        <v>2432</v>
      </c>
      <c r="C988" s="12" t="s">
        <v>1212</v>
      </c>
      <c r="D988" s="16" t="n">
        <v>0.00290520833333333</v>
      </c>
      <c r="E988" s="15" t="n">
        <f aca="false">ROUND((D988-$D$5)*86400,2)</f>
        <v>25.98</v>
      </c>
      <c r="F988" s="17" t="n">
        <v>1553</v>
      </c>
      <c r="G988" s="16" t="str">
        <f aca="false">IF(INDEX(選手一覧!$D$7:$D$2738,$F988)="","",INDEX(選手一覧!$D$7:$D$2738,$F988))</f>
        <v/>
      </c>
      <c r="H988" s="17" t="str">
        <f aca="false">IF(INDEX(選手一覧!$E$7:$E$2738,$F988)="","",INDEX(選手一覧!$E$7:$E$2738,$F988))</f>
        <v/>
      </c>
      <c r="I988" s="16" t="n">
        <f aca="false">IF(INDEX(選手一覧!$H$7:$H$2738,$F988)="","",INDEX(選手一覧!$H$7:$H$2738,$F988))</f>
        <v>0.00711643518518519</v>
      </c>
      <c r="J988" s="17" t="n">
        <f aca="false">IF(INDEX(選手一覧!$I$7:$I$2738,$F988)="","",INDEX(選手一覧!$I$7:$I$2738,$F988))</f>
        <v>461</v>
      </c>
    </row>
    <row r="989" customFormat="false" ht="15" hidden="false" customHeight="false" outlineLevel="0" collapsed="false">
      <c r="A989" s="17" t="n">
        <v>985</v>
      </c>
      <c r="B989" s="12" t="s">
        <v>1449</v>
      </c>
      <c r="C989" s="12" t="s">
        <v>1450</v>
      </c>
      <c r="D989" s="16" t="n">
        <v>0.00290520833333333</v>
      </c>
      <c r="E989" s="15" t="n">
        <f aca="false">ROUND((D989-$D$5)*86400,2)</f>
        <v>25.98</v>
      </c>
      <c r="F989" s="17" t="n">
        <v>879</v>
      </c>
      <c r="G989" s="16" t="n">
        <f aca="false">IF(INDEX(選手一覧!$D$7:$D$2738,$F989)="","",INDEX(選手一覧!$D$7:$D$2738,$F989))</f>
        <v>0.0108746527777778</v>
      </c>
      <c r="H989" s="17" t="n">
        <f aca="false">IF(INDEX(選手一覧!$E$7:$E$2738,$F989)="","",INDEX(選手一覧!$E$7:$E$2738,$F989))</f>
        <v>880</v>
      </c>
      <c r="I989" s="16" t="str">
        <f aca="false">IF(INDEX(選手一覧!$H$7:$H$2738,$F989)="","",INDEX(選手一覧!$H$7:$H$2738,$F989))</f>
        <v/>
      </c>
      <c r="J989" s="17" t="str">
        <f aca="false">IF(INDEX(選手一覧!$I$7:$I$2738,$F989)="","",INDEX(選手一覧!$I$7:$I$2738,$F989))</f>
        <v/>
      </c>
    </row>
    <row r="990" customFormat="false" ht="15" hidden="false" customHeight="false" outlineLevel="0" collapsed="false">
      <c r="A990" s="17" t="n">
        <v>986</v>
      </c>
      <c r="B990" s="12" t="s">
        <v>393</v>
      </c>
      <c r="C990" s="12" t="s">
        <v>127</v>
      </c>
      <c r="D990" s="16" t="n">
        <v>0.00290543981481482</v>
      </c>
      <c r="E990" s="15" t="n">
        <f aca="false">ROUND((D990-$D$5)*86400,2)</f>
        <v>26</v>
      </c>
      <c r="F990" s="17" t="n">
        <v>195</v>
      </c>
      <c r="G990" s="16" t="n">
        <f aca="false">IF(INDEX(選手一覧!$D$7:$D$2738,$F990)="","",INDEX(選手一覧!$D$7:$D$2738,$F990))</f>
        <v>0.0103417824074074</v>
      </c>
      <c r="H990" s="17" t="n">
        <f aca="false">IF(INDEX(選手一覧!$E$7:$E$2738,$F990)="","",INDEX(選手一覧!$E$7:$E$2738,$F990))</f>
        <v>196</v>
      </c>
      <c r="I990" s="16" t="str">
        <f aca="false">IF(INDEX(選手一覧!$H$7:$H$2738,$F990)="","",INDEX(選手一覧!$H$7:$H$2738,$F990))</f>
        <v/>
      </c>
      <c r="J990" s="17" t="str">
        <f aca="false">IF(INDEX(選手一覧!$I$7:$I$2738,$F990)="","",INDEX(選手一覧!$I$7:$I$2738,$F990))</f>
        <v/>
      </c>
    </row>
    <row r="991" customFormat="false" ht="15" hidden="false" customHeight="false" outlineLevel="0" collapsed="false">
      <c r="A991" s="17" t="n">
        <v>987</v>
      </c>
      <c r="B991" s="12" t="s">
        <v>3377</v>
      </c>
      <c r="C991" s="12" t="s">
        <v>2279</v>
      </c>
      <c r="D991" s="16" t="n">
        <v>0.00290543981481482</v>
      </c>
      <c r="E991" s="15" t="n">
        <f aca="false">ROUND((D991-$D$5)*86400,2)</f>
        <v>26</v>
      </c>
      <c r="F991" s="17" t="n">
        <v>2182</v>
      </c>
      <c r="G991" s="16" t="str">
        <f aca="false">IF(INDEX(選手一覧!$D$7:$D$2738,$F991)="","",INDEX(選手一覧!$D$7:$D$2738,$F991))</f>
        <v/>
      </c>
      <c r="H991" s="17" t="str">
        <f aca="false">IF(INDEX(選手一覧!$E$7:$E$2738,$F991)="","",INDEX(選手一覧!$E$7:$E$2738,$F991))</f>
        <v/>
      </c>
      <c r="I991" s="16" t="str">
        <f aca="false">IF(INDEX(選手一覧!$H$7:$H$2738,$F991)="","",INDEX(選手一覧!$H$7:$H$2738,$F991))</f>
        <v/>
      </c>
      <c r="J991" s="17" t="str">
        <f aca="false">IF(INDEX(選手一覧!$I$7:$I$2738,$F991)="","",INDEX(選手一覧!$I$7:$I$2738,$F991))</f>
        <v/>
      </c>
    </row>
    <row r="992" customFormat="false" ht="15" hidden="false" customHeight="false" outlineLevel="0" collapsed="false">
      <c r="A992" s="17" t="n">
        <v>988</v>
      </c>
      <c r="B992" s="12" t="s">
        <v>1214</v>
      </c>
      <c r="C992" s="12" t="s">
        <v>120</v>
      </c>
      <c r="D992" s="16" t="n">
        <v>0.00290555555555556</v>
      </c>
      <c r="E992" s="15" t="n">
        <f aca="false">ROUND((D992-$D$5)*86400,2)</f>
        <v>26.01</v>
      </c>
      <c r="F992" s="17" t="n">
        <v>722</v>
      </c>
      <c r="G992" s="16" t="n">
        <f aca="false">IF(INDEX(選手一覧!$D$7:$D$2738,$F992)="","",INDEX(選手一覧!$D$7:$D$2738,$F992))</f>
        <v>0.0107907407407407</v>
      </c>
      <c r="H992" s="17" t="n">
        <f aca="false">IF(INDEX(選手一覧!$E$7:$E$2738,$F992)="","",INDEX(選手一覧!$E$7:$E$2738,$F992))</f>
        <v>723</v>
      </c>
      <c r="I992" s="16" t="str">
        <f aca="false">IF(INDEX(選手一覧!$H$7:$H$2738,$F992)="","",INDEX(選手一覧!$H$7:$H$2738,$F992))</f>
        <v/>
      </c>
      <c r="J992" s="17" t="str">
        <f aca="false">IF(INDEX(選手一覧!$I$7:$I$2738,$F992)="","",INDEX(選手一覧!$I$7:$I$2738,$F992))</f>
        <v/>
      </c>
    </row>
    <row r="993" customFormat="false" ht="15" hidden="false" customHeight="false" outlineLevel="0" collapsed="false">
      <c r="A993" s="17" t="n">
        <v>989</v>
      </c>
      <c r="B993" s="12" t="s">
        <v>3382</v>
      </c>
      <c r="C993" s="12" t="s">
        <v>3383</v>
      </c>
      <c r="D993" s="16" t="n">
        <v>0.00290601851851852</v>
      </c>
      <c r="E993" s="15" t="n">
        <f aca="false">ROUND((D993-$D$5)*86400,2)</f>
        <v>26.05</v>
      </c>
      <c r="F993" s="17" t="n">
        <v>2185</v>
      </c>
      <c r="G993" s="16" t="str">
        <f aca="false">IF(INDEX(選手一覧!$D$7:$D$2738,$F993)="","",INDEX(選手一覧!$D$7:$D$2738,$F993))</f>
        <v/>
      </c>
      <c r="H993" s="17" t="str">
        <f aca="false">IF(INDEX(選手一覧!$E$7:$E$2738,$F993)="","",INDEX(選手一覧!$E$7:$E$2738,$F993))</f>
        <v/>
      </c>
      <c r="I993" s="16" t="str">
        <f aca="false">IF(INDEX(選手一覧!$H$7:$H$2738,$F993)="","",INDEX(選手一覧!$H$7:$H$2738,$F993))</f>
        <v/>
      </c>
      <c r="J993" s="17" t="str">
        <f aca="false">IF(INDEX(選手一覧!$I$7:$I$2738,$F993)="","",INDEX(選手一覧!$I$7:$I$2738,$F993))</f>
        <v/>
      </c>
    </row>
    <row r="994" customFormat="false" ht="15" hidden="false" customHeight="false" outlineLevel="0" collapsed="false">
      <c r="A994" s="17" t="n">
        <v>990</v>
      </c>
      <c r="B994" s="12" t="s">
        <v>1549</v>
      </c>
      <c r="C994" s="12" t="s">
        <v>1231</v>
      </c>
      <c r="D994" s="16" t="n">
        <v>0.00290625</v>
      </c>
      <c r="E994" s="15" t="n">
        <f aca="false">ROUND((D994-$D$5)*86400,2)</f>
        <v>26.07</v>
      </c>
      <c r="F994" s="17" t="n">
        <v>946</v>
      </c>
      <c r="G994" s="16" t="n">
        <f aca="false">IF(INDEX(選手一覧!$D$7:$D$2738,$F994)="","",INDEX(選手一覧!$D$7:$D$2738,$F994))</f>
        <v>0.0109165509259259</v>
      </c>
      <c r="H994" s="17" t="n">
        <f aca="false">IF(INDEX(選手一覧!$E$7:$E$2738,$F994)="","",INDEX(選手一覧!$E$7:$E$2738,$F994))</f>
        <v>947</v>
      </c>
      <c r="I994" s="16" t="n">
        <f aca="false">IF(INDEX(選手一覧!$H$7:$H$2738,$F994)="","",INDEX(選手一覧!$H$7:$H$2738,$F994))</f>
        <v>0.00716053240740741</v>
      </c>
      <c r="J994" s="17" t="n">
        <f aca="false">IF(INDEX(選手一覧!$I$7:$I$2738,$F994)="","",INDEX(選手一覧!$I$7:$I$2738,$F994))</f>
        <v>495</v>
      </c>
    </row>
    <row r="995" customFormat="false" ht="15" hidden="false" customHeight="false" outlineLevel="0" collapsed="false">
      <c r="A995" s="17" t="n">
        <v>991</v>
      </c>
      <c r="B995" s="12" t="s">
        <v>1435</v>
      </c>
      <c r="C995" s="12" t="s">
        <v>266</v>
      </c>
      <c r="D995" s="16" t="n">
        <v>0.00290625</v>
      </c>
      <c r="E995" s="15" t="n">
        <f aca="false">ROUND((D995-$D$5)*86400,2)</f>
        <v>26.07</v>
      </c>
      <c r="F995" s="17" t="n">
        <v>869</v>
      </c>
      <c r="G995" s="16" t="n">
        <f aca="false">IF(INDEX(選手一覧!$D$7:$D$2738,$F995)="","",INDEX(選手一覧!$D$7:$D$2738,$F995))</f>
        <v>0.0108693287037037</v>
      </c>
      <c r="H995" s="17" t="n">
        <f aca="false">IF(INDEX(選手一覧!$E$7:$E$2738,$F995)="","",INDEX(選手一覧!$E$7:$E$2738,$F995))</f>
        <v>870</v>
      </c>
      <c r="I995" s="16" t="str">
        <f aca="false">IF(INDEX(選手一覧!$H$7:$H$2738,$F995)="","",INDEX(選手一覧!$H$7:$H$2738,$F995))</f>
        <v/>
      </c>
      <c r="J995" s="17" t="str">
        <f aca="false">IF(INDEX(選手一覧!$I$7:$I$2738,$F995)="","",INDEX(選手一覧!$I$7:$I$2738,$F995))</f>
        <v/>
      </c>
    </row>
    <row r="996" customFormat="false" ht="15" hidden="false" customHeight="false" outlineLevel="0" collapsed="false">
      <c r="A996" s="17" t="n">
        <v>992</v>
      </c>
      <c r="B996" s="12" t="s">
        <v>811</v>
      </c>
      <c r="C996" s="12" t="s">
        <v>27</v>
      </c>
      <c r="D996" s="16" t="n">
        <v>0.00290636574074074</v>
      </c>
      <c r="E996" s="15" t="n">
        <f aca="false">ROUND((D996-$D$5)*86400,2)</f>
        <v>26.08</v>
      </c>
      <c r="F996" s="17" t="n">
        <v>458</v>
      </c>
      <c r="G996" s="16" t="n">
        <f aca="false">IF(INDEX(選手一覧!$D$7:$D$2738,$F996)="","",INDEX(選手一覧!$D$7:$D$2738,$F996))</f>
        <v>0.0105923611111111</v>
      </c>
      <c r="H996" s="17" t="n">
        <f aca="false">IF(INDEX(選手一覧!$E$7:$E$2738,$F996)="","",INDEX(選手一覧!$E$7:$E$2738,$F996))</f>
        <v>459</v>
      </c>
      <c r="I996" s="16" t="str">
        <f aca="false">IF(INDEX(選手一覧!$H$7:$H$2738,$F996)="","",INDEX(選手一覧!$H$7:$H$2738,$F996))</f>
        <v/>
      </c>
      <c r="J996" s="17" t="str">
        <f aca="false">IF(INDEX(選手一覧!$I$7:$I$2738,$F996)="","",INDEX(選手一覧!$I$7:$I$2738,$F996))</f>
        <v/>
      </c>
    </row>
    <row r="997" customFormat="false" ht="15" hidden="false" customHeight="false" outlineLevel="0" collapsed="false">
      <c r="A997" s="17" t="n">
        <v>993</v>
      </c>
      <c r="B997" s="12" t="s">
        <v>1998</v>
      </c>
      <c r="C997" s="12" t="s">
        <v>1334</v>
      </c>
      <c r="D997" s="16" t="n">
        <v>0.00290636574074074</v>
      </c>
      <c r="E997" s="15" t="n">
        <f aca="false">ROUND((D997-$D$5)*86400,2)</f>
        <v>26.08</v>
      </c>
      <c r="F997" s="17" t="n">
        <v>1254</v>
      </c>
      <c r="G997" s="16" t="n">
        <f aca="false">IF(INDEX(選手一覧!$D$7:$D$2738,$F997)="","",INDEX(選手一覧!$D$7:$D$2738,$F997))</f>
        <v>0.0110810185185185</v>
      </c>
      <c r="H997" s="17" t="n">
        <f aca="false">IF(INDEX(選手一覧!$E$7:$E$2738,$F997)="","",INDEX(選手一覧!$E$7:$E$2738,$F997))</f>
        <v>1255</v>
      </c>
      <c r="I997" s="16" t="n">
        <f aca="false">IF(INDEX(選手一覧!$H$7:$H$2738,$F997)="","",INDEX(選手一覧!$H$7:$H$2738,$F997))</f>
        <v>0.00678206018518519</v>
      </c>
      <c r="J997" s="17" t="n">
        <f aca="false">IF(INDEX(選手一覧!$I$7:$I$2738,$F997)="","",INDEX(選手一覧!$I$7:$I$2738,$F997))</f>
        <v>157</v>
      </c>
    </row>
    <row r="998" customFormat="false" ht="15" hidden="false" customHeight="false" outlineLevel="0" collapsed="false">
      <c r="A998" s="17" t="n">
        <v>994</v>
      </c>
      <c r="B998" s="12" t="s">
        <v>3394</v>
      </c>
      <c r="C998" s="12" t="s">
        <v>3395</v>
      </c>
      <c r="D998" s="16" t="n">
        <v>0.00290659722222222</v>
      </c>
      <c r="E998" s="15" t="n">
        <f aca="false">ROUND((D998-$D$5)*86400,2)</f>
        <v>26.1</v>
      </c>
      <c r="F998" s="17" t="n">
        <v>2191</v>
      </c>
      <c r="G998" s="16" t="str">
        <f aca="false">IF(INDEX(選手一覧!$D$7:$D$2738,$F998)="","",INDEX(選手一覧!$D$7:$D$2738,$F998))</f>
        <v/>
      </c>
      <c r="H998" s="17" t="str">
        <f aca="false">IF(INDEX(選手一覧!$E$7:$E$2738,$F998)="","",INDEX(選手一覧!$E$7:$E$2738,$F998))</f>
        <v/>
      </c>
      <c r="I998" s="16" t="str">
        <f aca="false">IF(INDEX(選手一覧!$H$7:$H$2738,$F998)="","",INDEX(選手一覧!$H$7:$H$2738,$F998))</f>
        <v/>
      </c>
      <c r="J998" s="17" t="str">
        <f aca="false">IF(INDEX(選手一覧!$I$7:$I$2738,$F998)="","",INDEX(選手一覧!$I$7:$I$2738,$F998))</f>
        <v/>
      </c>
    </row>
    <row r="999" customFormat="false" ht="15" hidden="false" customHeight="false" outlineLevel="0" collapsed="false">
      <c r="A999" s="17" t="n">
        <v>995</v>
      </c>
      <c r="B999" s="12" t="s">
        <v>2863</v>
      </c>
      <c r="C999" s="12" t="s">
        <v>1069</v>
      </c>
      <c r="D999" s="16" t="n">
        <v>0.00290729166666667</v>
      </c>
      <c r="E999" s="15" t="n">
        <f aca="false">ROUND((D999-$D$5)*86400,2)</f>
        <v>26.16</v>
      </c>
      <c r="F999" s="17" t="n">
        <v>1836</v>
      </c>
      <c r="G999" s="16" t="str">
        <f aca="false">IF(INDEX(選手一覧!$D$7:$D$2738,$F999)="","",INDEX(選手一覧!$D$7:$D$2738,$F999))</f>
        <v/>
      </c>
      <c r="H999" s="17" t="str">
        <f aca="false">IF(INDEX(選手一覧!$E$7:$E$2738,$F999)="","",INDEX(選手一覧!$E$7:$E$2738,$F999))</f>
        <v/>
      </c>
      <c r="I999" s="16" t="n">
        <f aca="false">IF(INDEX(選手一覧!$H$7:$H$2738,$F999)="","",INDEX(選手一覧!$H$7:$H$2738,$F999))</f>
        <v>0.00736446759259259</v>
      </c>
      <c r="J999" s="17" t="n">
        <f aca="false">IF(INDEX(選手一覧!$I$7:$I$2738,$F999)="","",INDEX(選手一覧!$I$7:$I$2738,$F999))</f>
        <v>727</v>
      </c>
    </row>
    <row r="1000" customFormat="false" ht="15" hidden="false" customHeight="false" outlineLevel="0" collapsed="false">
      <c r="A1000" s="17" t="n">
        <v>996</v>
      </c>
      <c r="B1000" s="12" t="s">
        <v>1443</v>
      </c>
      <c r="C1000" s="12" t="s">
        <v>245</v>
      </c>
      <c r="D1000" s="16" t="n">
        <v>0.00290752314814815</v>
      </c>
      <c r="E1000" s="15" t="n">
        <f aca="false">ROUND((D1000-$D$5)*86400,2)</f>
        <v>26.18</v>
      </c>
      <c r="F1000" s="17" t="n">
        <v>875</v>
      </c>
      <c r="G1000" s="16" t="n">
        <f aca="false">IF(INDEX(選手一覧!$D$7:$D$2738,$F1000)="","",INDEX(選手一覧!$D$7:$D$2738,$F1000))</f>
        <v>0.0108732638888889</v>
      </c>
      <c r="H1000" s="17" t="n">
        <f aca="false">IF(INDEX(選手一覧!$E$7:$E$2738,$F1000)="","",INDEX(選手一覧!$E$7:$E$2738,$F1000))</f>
        <v>876</v>
      </c>
      <c r="I1000" s="16" t="str">
        <f aca="false">IF(INDEX(選手一覧!$H$7:$H$2738,$F1000)="","",INDEX(選手一覧!$H$7:$H$2738,$F1000))</f>
        <v/>
      </c>
      <c r="J1000" s="17" t="str">
        <f aca="false">IF(INDEX(選手一覧!$I$7:$I$2738,$F1000)="","",INDEX(選手一覧!$I$7:$I$2738,$F1000))</f>
        <v/>
      </c>
    </row>
    <row r="1001" customFormat="false" ht="15" hidden="false" customHeight="false" outlineLevel="0" collapsed="false">
      <c r="A1001" s="17" t="n">
        <v>997</v>
      </c>
      <c r="B1001" s="12" t="s">
        <v>1368</v>
      </c>
      <c r="C1001" s="12" t="s">
        <v>947</v>
      </c>
      <c r="D1001" s="16" t="n">
        <v>0.00290763888888889</v>
      </c>
      <c r="E1001" s="15" t="n">
        <f aca="false">ROUND((D1001-$D$5)*86400,2)</f>
        <v>26.19</v>
      </c>
      <c r="F1001" s="17" t="n">
        <v>826</v>
      </c>
      <c r="G1001" s="16" t="n">
        <f aca="false">IF(INDEX(選手一覧!$D$7:$D$2738,$F1001)="","",INDEX(選手一覧!$D$7:$D$2738,$F1001))</f>
        <v>0.010846412037037</v>
      </c>
      <c r="H1001" s="17" t="n">
        <f aca="false">IF(INDEX(選手一覧!$E$7:$E$2738,$F1001)="","",INDEX(選手一覧!$E$7:$E$2738,$F1001))</f>
        <v>827</v>
      </c>
      <c r="I1001" s="16" t="n">
        <f aca="false">IF(INDEX(選手一覧!$H$7:$H$2738,$F1001)="","",INDEX(選手一覧!$H$7:$H$2738,$F1001))</f>
        <v>0.0066087962962963</v>
      </c>
      <c r="J1001" s="17" t="n">
        <f aca="false">IF(INDEX(選手一覧!$I$7:$I$2738,$F1001)="","",INDEX(選手一覧!$I$7:$I$2738,$F1001))</f>
        <v>69</v>
      </c>
    </row>
    <row r="1002" customFormat="false" ht="15" hidden="false" customHeight="false" outlineLevel="0" collapsed="false">
      <c r="A1002" s="17" t="n">
        <v>998</v>
      </c>
      <c r="B1002" s="12" t="s">
        <v>1638</v>
      </c>
      <c r="C1002" s="12" t="s">
        <v>1639</v>
      </c>
      <c r="D1002" s="16" t="n">
        <v>0.00290775462962963</v>
      </c>
      <c r="E1002" s="15" t="n">
        <f aca="false">ROUND((D1002-$D$5)*86400,2)</f>
        <v>26.2</v>
      </c>
      <c r="F1002" s="17" t="n">
        <v>1008</v>
      </c>
      <c r="G1002" s="16" t="n">
        <f aca="false">IF(INDEX(選手一覧!$D$7:$D$2738,$F1002)="","",INDEX(選手一覧!$D$7:$D$2738,$F1002))</f>
        <v>0.0109534722222222</v>
      </c>
      <c r="H1002" s="17" t="n">
        <f aca="false">IF(INDEX(選手一覧!$E$7:$E$2738,$F1002)="","",INDEX(選手一覧!$E$7:$E$2738,$F1002))</f>
        <v>1009</v>
      </c>
      <c r="I1002" s="16" t="str">
        <f aca="false">IF(INDEX(選手一覧!$H$7:$H$2738,$F1002)="","",INDEX(選手一覧!$H$7:$H$2738,$F1002))</f>
        <v/>
      </c>
      <c r="J1002" s="17" t="str">
        <f aca="false">IF(INDEX(選手一覧!$I$7:$I$2738,$F1002)="","",INDEX(選手一覧!$I$7:$I$2738,$F1002))</f>
        <v/>
      </c>
    </row>
    <row r="1003" customFormat="false" ht="15" hidden="false" customHeight="false" outlineLevel="0" collapsed="false">
      <c r="A1003" s="17" t="n">
        <v>999</v>
      </c>
      <c r="B1003" s="12" t="s">
        <v>739</v>
      </c>
      <c r="C1003" s="12" t="s">
        <v>127</v>
      </c>
      <c r="D1003" s="16" t="n">
        <v>0.00290775462962963</v>
      </c>
      <c r="E1003" s="15" t="n">
        <f aca="false">ROUND((D1003-$D$5)*86400,2)</f>
        <v>26.2</v>
      </c>
      <c r="F1003" s="17" t="n">
        <v>410</v>
      </c>
      <c r="G1003" s="16" t="n">
        <f aca="false">IF(INDEX(選手一覧!$D$7:$D$2738,$F1003)="","",INDEX(選手一覧!$D$7:$D$2738,$F1003))</f>
        <v>0.0105601851851852</v>
      </c>
      <c r="H1003" s="17" t="n">
        <f aca="false">IF(INDEX(選手一覧!$E$7:$E$2738,$F1003)="","",INDEX(選手一覧!$E$7:$E$2738,$F1003))</f>
        <v>411</v>
      </c>
      <c r="I1003" s="16" t="n">
        <f aca="false">IF(INDEX(選手一覧!$H$7:$H$2738,$F1003)="","",INDEX(選手一覧!$H$7:$H$2738,$F1003))</f>
        <v>0.00656631944444445</v>
      </c>
      <c r="J1003" s="17" t="n">
        <f aca="false">IF(INDEX(選手一覧!$I$7:$I$2738,$F1003)="","",INDEX(選手一覧!$I$7:$I$2738,$F1003))</f>
        <v>54</v>
      </c>
    </row>
    <row r="1004" customFormat="false" ht="15" hidden="false" customHeight="false" outlineLevel="0" collapsed="false">
      <c r="A1004" s="17" t="n">
        <v>1000</v>
      </c>
      <c r="B1004" s="12" t="s">
        <v>1102</v>
      </c>
      <c r="C1004" s="12" t="s">
        <v>303</v>
      </c>
      <c r="D1004" s="16" t="n">
        <v>0.00290787037037037</v>
      </c>
      <c r="E1004" s="15" t="n">
        <f aca="false">ROUND((D1004-$D$5)*86400,2)</f>
        <v>26.21</v>
      </c>
      <c r="F1004" s="17" t="n">
        <v>652</v>
      </c>
      <c r="G1004" s="16" t="n">
        <f aca="false">IF(INDEX(選手一覧!$D$7:$D$2738,$F1004)="","",INDEX(選手一覧!$D$7:$D$2738,$F1004))</f>
        <v>0.010740625</v>
      </c>
      <c r="H1004" s="17" t="n">
        <f aca="false">IF(INDEX(選手一覧!$E$7:$E$2738,$F1004)="","",INDEX(選手一覧!$E$7:$E$2738,$F1004))</f>
        <v>653</v>
      </c>
      <c r="I1004" s="16" t="str">
        <f aca="false">IF(INDEX(選手一覧!$H$7:$H$2738,$F1004)="","",INDEX(選手一覧!$H$7:$H$2738,$F1004))</f>
        <v/>
      </c>
      <c r="J1004" s="17" t="str">
        <f aca="false">IF(INDEX(選手一覧!$I$7:$I$2738,$F1004)="","",INDEX(選手一覧!$I$7:$I$2738,$F1004))</f>
        <v/>
      </c>
    </row>
    <row r="1005" customFormat="false" ht="15" hidden="false" customHeight="false" outlineLevel="0" collapsed="false">
      <c r="A1005" s="17" t="n">
        <v>1001</v>
      </c>
      <c r="B1005" s="12" t="s">
        <v>3404</v>
      </c>
      <c r="C1005" s="12" t="s">
        <v>3405</v>
      </c>
      <c r="D1005" s="16" t="n">
        <v>0.00290798611111111</v>
      </c>
      <c r="E1005" s="15" t="n">
        <f aca="false">ROUND((D1005-$D$5)*86400,2)</f>
        <v>26.22</v>
      </c>
      <c r="F1005" s="17" t="n">
        <v>2199</v>
      </c>
      <c r="G1005" s="16" t="str">
        <f aca="false">IF(INDEX(選手一覧!$D$7:$D$2738,$F1005)="","",INDEX(選手一覧!$D$7:$D$2738,$F1005))</f>
        <v/>
      </c>
      <c r="H1005" s="17" t="str">
        <f aca="false">IF(INDEX(選手一覧!$E$7:$E$2738,$F1005)="","",INDEX(選手一覧!$E$7:$E$2738,$F1005))</f>
        <v/>
      </c>
      <c r="I1005" s="16" t="str">
        <f aca="false">IF(INDEX(選手一覧!$H$7:$H$2738,$F1005)="","",INDEX(選手一覧!$H$7:$H$2738,$F1005))</f>
        <v/>
      </c>
      <c r="J1005" s="17" t="str">
        <f aca="false">IF(INDEX(選手一覧!$I$7:$I$2738,$F1005)="","",INDEX(選手一覧!$I$7:$I$2738,$F1005))</f>
        <v/>
      </c>
    </row>
    <row r="1006" customFormat="false" ht="15" hidden="false" customHeight="false" outlineLevel="0" collapsed="false">
      <c r="A1006" s="17" t="n">
        <v>1002</v>
      </c>
      <c r="B1006" s="12" t="s">
        <v>3407</v>
      </c>
      <c r="C1006" s="12" t="s">
        <v>939</v>
      </c>
      <c r="D1006" s="16" t="n">
        <v>0.00290821759259259</v>
      </c>
      <c r="E1006" s="15" t="n">
        <f aca="false">ROUND((D1006-$D$5)*86400,2)</f>
        <v>26.24</v>
      </c>
      <c r="F1006" s="17" t="n">
        <v>2201</v>
      </c>
      <c r="G1006" s="16" t="str">
        <f aca="false">IF(INDEX(選手一覧!$D$7:$D$2738,$F1006)="","",INDEX(選手一覧!$D$7:$D$2738,$F1006))</f>
        <v/>
      </c>
      <c r="H1006" s="17" t="str">
        <f aca="false">IF(INDEX(選手一覧!$E$7:$E$2738,$F1006)="","",INDEX(選手一覧!$E$7:$E$2738,$F1006))</f>
        <v/>
      </c>
      <c r="I1006" s="16" t="str">
        <f aca="false">IF(INDEX(選手一覧!$H$7:$H$2738,$F1006)="","",INDEX(選手一覧!$H$7:$H$2738,$F1006))</f>
        <v/>
      </c>
      <c r="J1006" s="17" t="str">
        <f aca="false">IF(INDEX(選手一覧!$I$7:$I$2738,$F1006)="","",INDEX(選手一覧!$I$7:$I$2738,$F1006))</f>
        <v/>
      </c>
    </row>
    <row r="1007" customFormat="false" ht="15" hidden="false" customHeight="false" outlineLevel="0" collapsed="false">
      <c r="A1007" s="17" t="n">
        <v>1003</v>
      </c>
      <c r="B1007" s="12" t="s">
        <v>882</v>
      </c>
      <c r="C1007" s="12" t="s">
        <v>253</v>
      </c>
      <c r="D1007" s="16" t="n">
        <v>0.00290821759259259</v>
      </c>
      <c r="E1007" s="15" t="n">
        <f aca="false">ROUND((D1007-$D$5)*86400,2)</f>
        <v>26.24</v>
      </c>
      <c r="F1007" s="17" t="n">
        <v>502</v>
      </c>
      <c r="G1007" s="16" t="n">
        <f aca="false">IF(INDEX(選手一覧!$D$7:$D$2738,$F1007)="","",INDEX(選手一覧!$D$7:$D$2738,$F1007))</f>
        <v>0.0106248842592593</v>
      </c>
      <c r="H1007" s="17" t="n">
        <f aca="false">IF(INDEX(選手一覧!$E$7:$E$2738,$F1007)="","",INDEX(選手一覧!$E$7:$E$2738,$F1007))</f>
        <v>503</v>
      </c>
      <c r="I1007" s="16" t="str">
        <f aca="false">IF(INDEX(選手一覧!$H$7:$H$2738,$F1007)="","",INDEX(選手一覧!$H$7:$H$2738,$F1007))</f>
        <v/>
      </c>
      <c r="J1007" s="17" t="str">
        <f aca="false">IF(INDEX(選手一覧!$I$7:$I$2738,$F1007)="","",INDEX(選手一覧!$I$7:$I$2738,$F1007))</f>
        <v/>
      </c>
    </row>
    <row r="1008" customFormat="false" ht="15" hidden="false" customHeight="false" outlineLevel="0" collapsed="false">
      <c r="A1008" s="17" t="n">
        <v>1004</v>
      </c>
      <c r="B1008" s="12" t="s">
        <v>3412</v>
      </c>
      <c r="C1008" s="12" t="s">
        <v>3413</v>
      </c>
      <c r="D1008" s="16" t="n">
        <v>0.00290833333333333</v>
      </c>
      <c r="E1008" s="15" t="n">
        <f aca="false">ROUND((D1008-$D$5)*86400,2)</f>
        <v>26.25</v>
      </c>
      <c r="F1008" s="17" t="n">
        <v>2204</v>
      </c>
      <c r="G1008" s="16" t="str">
        <f aca="false">IF(INDEX(選手一覧!$D$7:$D$2738,$F1008)="","",INDEX(選手一覧!$D$7:$D$2738,$F1008))</f>
        <v/>
      </c>
      <c r="H1008" s="17" t="str">
        <f aca="false">IF(INDEX(選手一覧!$E$7:$E$2738,$F1008)="","",INDEX(選手一覧!$E$7:$E$2738,$F1008))</f>
        <v/>
      </c>
      <c r="I1008" s="16" t="str">
        <f aca="false">IF(INDEX(選手一覧!$H$7:$H$2738,$F1008)="","",INDEX(選手一覧!$H$7:$H$2738,$F1008))</f>
        <v/>
      </c>
      <c r="J1008" s="17" t="str">
        <f aca="false">IF(INDEX(選手一覧!$I$7:$I$2738,$F1008)="","",INDEX(選手一覧!$I$7:$I$2738,$F1008))</f>
        <v/>
      </c>
    </row>
    <row r="1009" customFormat="false" ht="15" hidden="false" customHeight="false" outlineLevel="0" collapsed="false">
      <c r="A1009" s="17" t="n">
        <v>1005</v>
      </c>
      <c r="B1009" s="12" t="s">
        <v>3333</v>
      </c>
      <c r="C1009" s="12" t="s">
        <v>3334</v>
      </c>
      <c r="D1009" s="16" t="n">
        <v>0.00290856481481482</v>
      </c>
      <c r="E1009" s="15" t="n">
        <f aca="false">ROUND((D1009-$D$5)*86400,2)</f>
        <v>26.27</v>
      </c>
      <c r="F1009" s="17" t="n">
        <v>2150</v>
      </c>
      <c r="G1009" s="16" t="str">
        <f aca="false">IF(INDEX(選手一覧!$D$7:$D$2738,$F1009)="","",INDEX(選手一覧!$D$7:$D$2738,$F1009))</f>
        <v/>
      </c>
      <c r="H1009" s="17" t="str">
        <f aca="false">IF(INDEX(選手一覧!$E$7:$E$2738,$F1009)="","",INDEX(選手一覧!$E$7:$E$2738,$F1009))</f>
        <v/>
      </c>
      <c r="I1009" s="16" t="n">
        <f aca="false">IF(INDEX(選手一覧!$H$7:$H$2738,$F1009)="","",INDEX(選手一覧!$H$7:$H$2738,$F1009))</f>
        <v>0.00756030092592593</v>
      </c>
      <c r="J1009" s="17" t="n">
        <f aca="false">IF(INDEX(選手一覧!$I$7:$I$2738,$F1009)="","",INDEX(選手一覧!$I$7:$I$2738,$F1009))</f>
        <v>964</v>
      </c>
    </row>
    <row r="1010" customFormat="false" ht="15" hidden="false" customHeight="false" outlineLevel="0" collapsed="false">
      <c r="A1010" s="17" t="n">
        <v>1006</v>
      </c>
      <c r="B1010" s="12" t="s">
        <v>3416</v>
      </c>
      <c r="C1010" s="12" t="s">
        <v>1957</v>
      </c>
      <c r="D1010" s="16" t="n">
        <v>0.00290856481481482</v>
      </c>
      <c r="E1010" s="15" t="n">
        <f aca="false">ROUND((D1010-$D$5)*86400,2)</f>
        <v>26.27</v>
      </c>
      <c r="F1010" s="17" t="n">
        <v>2207</v>
      </c>
      <c r="G1010" s="16" t="str">
        <f aca="false">IF(INDEX(選手一覧!$D$7:$D$2738,$F1010)="","",INDEX(選手一覧!$D$7:$D$2738,$F1010))</f>
        <v/>
      </c>
      <c r="H1010" s="17" t="str">
        <f aca="false">IF(INDEX(選手一覧!$E$7:$E$2738,$F1010)="","",INDEX(選手一覧!$E$7:$E$2738,$F1010))</f>
        <v/>
      </c>
      <c r="I1010" s="16" t="str">
        <f aca="false">IF(INDEX(選手一覧!$H$7:$H$2738,$F1010)="","",INDEX(選手一覧!$H$7:$H$2738,$F1010))</f>
        <v/>
      </c>
      <c r="J1010" s="17" t="str">
        <f aca="false">IF(INDEX(選手一覧!$I$7:$I$2738,$F1010)="","",INDEX(選手一覧!$I$7:$I$2738,$F1010))</f>
        <v/>
      </c>
    </row>
    <row r="1011" customFormat="false" ht="15" hidden="false" customHeight="false" outlineLevel="0" collapsed="false">
      <c r="A1011" s="17" t="n">
        <v>1007</v>
      </c>
      <c r="B1011" s="12" t="s">
        <v>3418</v>
      </c>
      <c r="C1011" s="12" t="s">
        <v>167</v>
      </c>
      <c r="D1011" s="16" t="n">
        <v>0.00290868055555556</v>
      </c>
      <c r="E1011" s="15" t="n">
        <f aca="false">ROUND((D1011-$D$5)*86400,2)</f>
        <v>26.28</v>
      </c>
      <c r="F1011" s="17" t="n">
        <v>2209</v>
      </c>
      <c r="G1011" s="16" t="str">
        <f aca="false">IF(INDEX(選手一覧!$D$7:$D$2738,$F1011)="","",INDEX(選手一覧!$D$7:$D$2738,$F1011))</f>
        <v/>
      </c>
      <c r="H1011" s="17" t="str">
        <f aca="false">IF(INDEX(選手一覧!$E$7:$E$2738,$F1011)="","",INDEX(選手一覧!$E$7:$E$2738,$F1011))</f>
        <v/>
      </c>
      <c r="I1011" s="16" t="str">
        <f aca="false">IF(INDEX(選手一覧!$H$7:$H$2738,$F1011)="","",INDEX(選手一覧!$H$7:$H$2738,$F1011))</f>
        <v/>
      </c>
      <c r="J1011" s="17" t="str">
        <f aca="false">IF(INDEX(選手一覧!$I$7:$I$2738,$F1011)="","",INDEX(選手一覧!$I$7:$I$2738,$F1011))</f>
        <v/>
      </c>
    </row>
    <row r="1012" customFormat="false" ht="15" hidden="false" customHeight="false" outlineLevel="0" collapsed="false">
      <c r="A1012" s="17" t="n">
        <v>1008</v>
      </c>
      <c r="B1012" s="12" t="s">
        <v>3420</v>
      </c>
      <c r="C1012" s="12" t="s">
        <v>1570</v>
      </c>
      <c r="D1012" s="16" t="n">
        <v>0.0029087962962963</v>
      </c>
      <c r="E1012" s="15" t="n">
        <f aca="false">ROUND((D1012-$D$5)*86400,2)</f>
        <v>26.29</v>
      </c>
      <c r="F1012" s="17" t="n">
        <v>2211</v>
      </c>
      <c r="G1012" s="16" t="str">
        <f aca="false">IF(INDEX(選手一覧!$D$7:$D$2738,$F1012)="","",INDEX(選手一覧!$D$7:$D$2738,$F1012))</f>
        <v/>
      </c>
      <c r="H1012" s="17" t="str">
        <f aca="false">IF(INDEX(選手一覧!$E$7:$E$2738,$F1012)="","",INDEX(選手一覧!$E$7:$E$2738,$F1012))</f>
        <v/>
      </c>
      <c r="I1012" s="16" t="str">
        <f aca="false">IF(INDEX(選手一覧!$H$7:$H$2738,$F1012)="","",INDEX(選手一覧!$H$7:$H$2738,$F1012))</f>
        <v/>
      </c>
      <c r="J1012" s="17" t="str">
        <f aca="false">IF(INDEX(選手一覧!$I$7:$I$2738,$F1012)="","",INDEX(選手一覧!$I$7:$I$2738,$F1012))</f>
        <v/>
      </c>
    </row>
    <row r="1013" customFormat="false" ht="15" hidden="false" customHeight="false" outlineLevel="0" collapsed="false">
      <c r="A1013" s="17" t="n">
        <v>1009</v>
      </c>
      <c r="B1013" s="12" t="s">
        <v>356</v>
      </c>
      <c r="C1013" s="12" t="s">
        <v>179</v>
      </c>
      <c r="D1013" s="16" t="n">
        <v>0.00290902777777778</v>
      </c>
      <c r="E1013" s="15" t="n">
        <f aca="false">ROUND((D1013-$D$5)*86400,2)</f>
        <v>26.31</v>
      </c>
      <c r="F1013" s="17" t="n">
        <v>173</v>
      </c>
      <c r="G1013" s="16" t="n">
        <f aca="false">IF(INDEX(選手一覧!$D$7:$D$2738,$F1013)="","",INDEX(選手一覧!$D$7:$D$2738,$F1013))</f>
        <v>0.0103224537037037</v>
      </c>
      <c r="H1013" s="17" t="n">
        <f aca="false">IF(INDEX(選手一覧!$E$7:$E$2738,$F1013)="","",INDEX(選手一覧!$E$7:$E$2738,$F1013))</f>
        <v>174</v>
      </c>
      <c r="I1013" s="16" t="str">
        <f aca="false">IF(INDEX(選手一覧!$H$7:$H$2738,$F1013)="","",INDEX(選手一覧!$H$7:$H$2738,$F1013))</f>
        <v/>
      </c>
      <c r="J1013" s="17" t="str">
        <f aca="false">IF(INDEX(選手一覧!$I$7:$I$2738,$F1013)="","",INDEX(選手一覧!$I$7:$I$2738,$F1013))</f>
        <v/>
      </c>
    </row>
    <row r="1014" customFormat="false" ht="15" hidden="false" customHeight="false" outlineLevel="0" collapsed="false">
      <c r="A1014" s="17" t="n">
        <v>1010</v>
      </c>
      <c r="B1014" s="12" t="s">
        <v>3424</v>
      </c>
      <c r="C1014" s="12" t="s">
        <v>2222</v>
      </c>
      <c r="D1014" s="16" t="n">
        <v>0.00290902777777778</v>
      </c>
      <c r="E1014" s="15" t="n">
        <f aca="false">ROUND((D1014-$D$5)*86400,2)</f>
        <v>26.31</v>
      </c>
      <c r="F1014" s="17" t="n">
        <v>2214</v>
      </c>
      <c r="G1014" s="16" t="str">
        <f aca="false">IF(INDEX(選手一覧!$D$7:$D$2738,$F1014)="","",INDEX(選手一覧!$D$7:$D$2738,$F1014))</f>
        <v/>
      </c>
      <c r="H1014" s="17" t="str">
        <f aca="false">IF(INDEX(選手一覧!$E$7:$E$2738,$F1014)="","",INDEX(選手一覧!$E$7:$E$2738,$F1014))</f>
        <v/>
      </c>
      <c r="I1014" s="16" t="str">
        <f aca="false">IF(INDEX(選手一覧!$H$7:$H$2738,$F1014)="","",INDEX(選手一覧!$H$7:$H$2738,$F1014))</f>
        <v/>
      </c>
      <c r="J1014" s="17" t="str">
        <f aca="false">IF(INDEX(選手一覧!$I$7:$I$2738,$F1014)="","",INDEX(選手一覧!$I$7:$I$2738,$F1014))</f>
        <v/>
      </c>
    </row>
    <row r="1015" customFormat="false" ht="15" hidden="false" customHeight="false" outlineLevel="0" collapsed="false">
      <c r="A1015" s="17" t="n">
        <v>1011</v>
      </c>
      <c r="B1015" s="12" t="s">
        <v>3427</v>
      </c>
      <c r="C1015" s="12" t="s">
        <v>2196</v>
      </c>
      <c r="D1015" s="16" t="n">
        <v>0.00290914351851852</v>
      </c>
      <c r="E1015" s="15" t="n">
        <f aca="false">ROUND((D1015-$D$5)*86400,2)</f>
        <v>26.32</v>
      </c>
      <c r="F1015" s="17" t="n">
        <v>2216</v>
      </c>
      <c r="G1015" s="16" t="str">
        <f aca="false">IF(INDEX(選手一覧!$D$7:$D$2738,$F1015)="","",INDEX(選手一覧!$D$7:$D$2738,$F1015))</f>
        <v/>
      </c>
      <c r="H1015" s="17" t="str">
        <f aca="false">IF(INDEX(選手一覧!$E$7:$E$2738,$F1015)="","",INDEX(選手一覧!$E$7:$E$2738,$F1015))</f>
        <v/>
      </c>
      <c r="I1015" s="16" t="str">
        <f aca="false">IF(INDEX(選手一覧!$H$7:$H$2738,$F1015)="","",INDEX(選手一覧!$H$7:$H$2738,$F1015))</f>
        <v/>
      </c>
      <c r="J1015" s="17" t="str">
        <f aca="false">IF(INDEX(選手一覧!$I$7:$I$2738,$F1015)="","",INDEX(選手一覧!$I$7:$I$2738,$F1015))</f>
        <v/>
      </c>
    </row>
    <row r="1016" customFormat="false" ht="15" hidden="false" customHeight="false" outlineLevel="0" collapsed="false">
      <c r="A1016" s="17" t="n">
        <v>1012</v>
      </c>
      <c r="B1016" s="12" t="s">
        <v>2679</v>
      </c>
      <c r="C1016" s="12" t="s">
        <v>2680</v>
      </c>
      <c r="D1016" s="16" t="n">
        <v>0.002909375</v>
      </c>
      <c r="E1016" s="15" t="n">
        <f aca="false">ROUND((D1016-$D$5)*86400,2)</f>
        <v>26.34</v>
      </c>
      <c r="F1016" s="17" t="n">
        <v>1714</v>
      </c>
      <c r="G1016" s="16" t="str">
        <f aca="false">IF(INDEX(選手一覧!$D$7:$D$2738,$F1016)="","",INDEX(選手一覧!$D$7:$D$2738,$F1016))</f>
        <v/>
      </c>
      <c r="H1016" s="17" t="str">
        <f aca="false">IF(INDEX(選手一覧!$E$7:$E$2738,$F1016)="","",INDEX(選手一覧!$E$7:$E$2738,$F1016))</f>
        <v/>
      </c>
      <c r="I1016" s="16" t="n">
        <f aca="false">IF(INDEX(選手一覧!$H$7:$H$2738,$F1016)="","",INDEX(選手一覧!$H$7:$H$2738,$F1016))</f>
        <v>0.00727025462962963</v>
      </c>
      <c r="J1016" s="17" t="n">
        <f aca="false">IF(INDEX(選手一覧!$I$7:$I$2738,$F1016)="","",INDEX(選手一覧!$I$7:$I$2738,$F1016))</f>
        <v>617</v>
      </c>
    </row>
    <row r="1017" customFormat="false" ht="15" hidden="false" customHeight="false" outlineLevel="0" collapsed="false">
      <c r="A1017" s="17" t="n">
        <v>1013</v>
      </c>
      <c r="B1017" s="12" t="s">
        <v>1838</v>
      </c>
      <c r="C1017" s="12" t="s">
        <v>1839</v>
      </c>
      <c r="D1017" s="16" t="n">
        <v>0.00290949074074074</v>
      </c>
      <c r="E1017" s="15" t="n">
        <f aca="false">ROUND((D1017-$D$5)*86400,2)</f>
        <v>26.35</v>
      </c>
      <c r="F1017" s="17" t="n">
        <v>1141</v>
      </c>
      <c r="G1017" s="16" t="n">
        <f aca="false">IF(INDEX(選手一覧!$D$7:$D$2738,$F1017)="","",INDEX(選手一覧!$D$7:$D$2738,$F1017))</f>
        <v>0.0110261574074074</v>
      </c>
      <c r="H1017" s="17" t="n">
        <f aca="false">IF(INDEX(選手一覧!$E$7:$E$2738,$F1017)="","",INDEX(選手一覧!$E$7:$E$2738,$F1017))</f>
        <v>1142</v>
      </c>
      <c r="I1017" s="16" t="str">
        <f aca="false">IF(INDEX(選手一覧!$H$7:$H$2738,$F1017)="","",INDEX(選手一覧!$H$7:$H$2738,$F1017))</f>
        <v/>
      </c>
      <c r="J1017" s="17" t="str">
        <f aca="false">IF(INDEX(選手一覧!$I$7:$I$2738,$F1017)="","",INDEX(選手一覧!$I$7:$I$2738,$F1017))</f>
        <v/>
      </c>
    </row>
    <row r="1018" customFormat="false" ht="15" hidden="false" customHeight="false" outlineLevel="0" collapsed="false">
      <c r="A1018" s="17" t="n">
        <v>1014</v>
      </c>
      <c r="B1018" s="12" t="s">
        <v>3431</v>
      </c>
      <c r="C1018" s="12" t="s">
        <v>3432</v>
      </c>
      <c r="D1018" s="16" t="n">
        <v>0.00290960648148148</v>
      </c>
      <c r="E1018" s="15" t="n">
        <f aca="false">ROUND((D1018-$D$5)*86400,2)</f>
        <v>26.36</v>
      </c>
      <c r="F1018" s="17" t="n">
        <v>2220</v>
      </c>
      <c r="G1018" s="16" t="str">
        <f aca="false">IF(INDEX(選手一覧!$D$7:$D$2738,$F1018)="","",INDEX(選手一覧!$D$7:$D$2738,$F1018))</f>
        <v/>
      </c>
      <c r="H1018" s="17" t="str">
        <f aca="false">IF(INDEX(選手一覧!$E$7:$E$2738,$F1018)="","",INDEX(選手一覧!$E$7:$E$2738,$F1018))</f>
        <v/>
      </c>
      <c r="I1018" s="16" t="str">
        <f aca="false">IF(INDEX(選手一覧!$H$7:$H$2738,$F1018)="","",INDEX(選手一覧!$H$7:$H$2738,$F1018))</f>
        <v/>
      </c>
      <c r="J1018" s="17" t="str">
        <f aca="false">IF(INDEX(選手一覧!$I$7:$I$2738,$F1018)="","",INDEX(選手一覧!$I$7:$I$2738,$F1018))</f>
        <v/>
      </c>
    </row>
    <row r="1019" customFormat="false" ht="15" hidden="false" customHeight="false" outlineLevel="0" collapsed="false">
      <c r="A1019" s="17" t="n">
        <v>1015</v>
      </c>
      <c r="B1019" s="12" t="s">
        <v>1213</v>
      </c>
      <c r="C1019" s="12" t="s">
        <v>532</v>
      </c>
      <c r="D1019" s="16" t="n">
        <v>0.00290972222222222</v>
      </c>
      <c r="E1019" s="15" t="n">
        <f aca="false">ROUND((D1019-$D$5)*86400,2)</f>
        <v>26.37</v>
      </c>
      <c r="F1019" s="17" t="n">
        <v>721</v>
      </c>
      <c r="G1019" s="16" t="n">
        <f aca="false">IF(INDEX(選手一覧!$D$7:$D$2738,$F1019)="","",INDEX(選手一覧!$D$7:$D$2738,$F1019))</f>
        <v>0.0107895833333333</v>
      </c>
      <c r="H1019" s="17" t="n">
        <f aca="false">IF(INDEX(選手一覧!$E$7:$E$2738,$F1019)="","",INDEX(選手一覧!$E$7:$E$2738,$F1019))</f>
        <v>722</v>
      </c>
      <c r="I1019" s="16" t="str">
        <f aca="false">IF(INDEX(選手一覧!$H$7:$H$2738,$F1019)="","",INDEX(選手一覧!$H$7:$H$2738,$F1019))</f>
        <v/>
      </c>
      <c r="J1019" s="17" t="str">
        <f aca="false">IF(INDEX(選手一覧!$I$7:$I$2738,$F1019)="","",INDEX(選手一覧!$I$7:$I$2738,$F1019))</f>
        <v/>
      </c>
    </row>
    <row r="1020" customFormat="false" ht="15" hidden="false" customHeight="false" outlineLevel="0" collapsed="false">
      <c r="A1020" s="17" t="n">
        <v>1016</v>
      </c>
      <c r="B1020" s="12" t="s">
        <v>3436</v>
      </c>
      <c r="C1020" s="12" t="s">
        <v>3437</v>
      </c>
      <c r="D1020" s="16" t="n">
        <v>0.00290972222222222</v>
      </c>
      <c r="E1020" s="15" t="n">
        <f aca="false">ROUND((D1020-$D$5)*86400,2)</f>
        <v>26.37</v>
      </c>
      <c r="F1020" s="17" t="n">
        <v>2223</v>
      </c>
      <c r="G1020" s="16" t="str">
        <f aca="false">IF(INDEX(選手一覧!$D$7:$D$2738,$F1020)="","",INDEX(選手一覧!$D$7:$D$2738,$F1020))</f>
        <v/>
      </c>
      <c r="H1020" s="17" t="str">
        <f aca="false">IF(INDEX(選手一覧!$E$7:$E$2738,$F1020)="","",INDEX(選手一覧!$E$7:$E$2738,$F1020))</f>
        <v/>
      </c>
      <c r="I1020" s="16" t="str">
        <f aca="false">IF(INDEX(選手一覧!$H$7:$H$2738,$F1020)="","",INDEX(選手一覧!$H$7:$H$2738,$F1020))</f>
        <v/>
      </c>
      <c r="J1020" s="17" t="str">
        <f aca="false">IF(INDEX(選手一覧!$I$7:$I$2738,$F1020)="","",INDEX(選手一覧!$I$7:$I$2738,$F1020))</f>
        <v/>
      </c>
    </row>
    <row r="1021" customFormat="false" ht="15" hidden="false" customHeight="false" outlineLevel="0" collapsed="false">
      <c r="A1021" s="17" t="n">
        <v>1017</v>
      </c>
      <c r="B1021" s="12" t="s">
        <v>3440</v>
      </c>
      <c r="C1021" s="12" t="s">
        <v>311</v>
      </c>
      <c r="D1021" s="16" t="n">
        <v>0.00290972222222222</v>
      </c>
      <c r="E1021" s="15" t="n">
        <f aca="false">ROUND((D1021-$D$5)*86400,2)</f>
        <v>26.37</v>
      </c>
      <c r="F1021" s="17" t="n">
        <v>2225</v>
      </c>
      <c r="G1021" s="16" t="str">
        <f aca="false">IF(INDEX(選手一覧!$D$7:$D$2738,$F1021)="","",INDEX(選手一覧!$D$7:$D$2738,$F1021))</f>
        <v/>
      </c>
      <c r="H1021" s="17" t="str">
        <f aca="false">IF(INDEX(選手一覧!$E$7:$E$2738,$F1021)="","",INDEX(選手一覧!$E$7:$E$2738,$F1021))</f>
        <v/>
      </c>
      <c r="I1021" s="16" t="str">
        <f aca="false">IF(INDEX(選手一覧!$H$7:$H$2738,$F1021)="","",INDEX(選手一覧!$H$7:$H$2738,$F1021))</f>
        <v/>
      </c>
      <c r="J1021" s="17" t="str">
        <f aca="false">IF(INDEX(選手一覧!$I$7:$I$2738,$F1021)="","",INDEX(選手一覧!$I$7:$I$2738,$F1021))</f>
        <v/>
      </c>
    </row>
    <row r="1022" customFormat="false" ht="15" hidden="false" customHeight="false" outlineLevel="0" collapsed="false">
      <c r="A1022" s="17" t="n">
        <v>1018</v>
      </c>
      <c r="B1022" s="12" t="s">
        <v>2306</v>
      </c>
      <c r="C1022" s="12" t="s">
        <v>2307</v>
      </c>
      <c r="D1022" s="16" t="n">
        <v>0.00290983796296296</v>
      </c>
      <c r="E1022" s="15" t="n">
        <f aca="false">ROUND((D1022-$D$5)*86400,2)</f>
        <v>26.38</v>
      </c>
      <c r="F1022" s="17" t="n">
        <v>1465</v>
      </c>
      <c r="G1022" s="16" t="str">
        <f aca="false">IF(INDEX(選手一覧!$D$7:$D$2738,$F1022)="","",INDEX(選手一覧!$D$7:$D$2738,$F1022))</f>
        <v/>
      </c>
      <c r="H1022" s="17" t="str">
        <f aca="false">IF(INDEX(選手一覧!$E$7:$E$2738,$F1022)="","",INDEX(選手一覧!$E$7:$E$2738,$F1022))</f>
        <v/>
      </c>
      <c r="I1022" s="16" t="n">
        <f aca="false">IF(INDEX(選手一覧!$H$7:$H$2738,$F1022)="","",INDEX(選手一覧!$H$7:$H$2738,$F1022))</f>
        <v>0.00702708333333333</v>
      </c>
      <c r="J1022" s="17" t="n">
        <f aca="false">IF(INDEX(選手一覧!$I$7:$I$2738,$F1022)="","",INDEX(選手一覧!$I$7:$I$2738,$F1022))</f>
        <v>362</v>
      </c>
    </row>
    <row r="1023" customFormat="false" ht="15" hidden="false" customHeight="false" outlineLevel="0" collapsed="false">
      <c r="A1023" s="17" t="n">
        <v>1019</v>
      </c>
      <c r="B1023" s="12" t="s">
        <v>4175</v>
      </c>
      <c r="C1023" s="12" t="s">
        <v>1510</v>
      </c>
      <c r="D1023" s="16" t="n">
        <v>0.0029099537037037</v>
      </c>
      <c r="E1023" s="15" t="n">
        <f aca="false">ROUND((D1023-$D$5)*86400,2)</f>
        <v>26.39</v>
      </c>
      <c r="F1023" s="17" t="n">
        <v>1028</v>
      </c>
      <c r="G1023" s="16" t="n">
        <f aca="false">IF(INDEX(選手一覧!$D$7:$D$2738,$F1023)="","",INDEX(選手一覧!$D$7:$D$2738,$F1023))</f>
        <v>0.0109672453703704</v>
      </c>
      <c r="H1023" s="17" t="n">
        <f aca="false">IF(INDEX(選手一覧!$E$7:$E$2738,$F1023)="","",INDEX(選手一覧!$E$7:$E$2738,$F1023))</f>
        <v>1029</v>
      </c>
      <c r="I1023" s="16" t="n">
        <f aca="false">IF(INDEX(選手一覧!$H$7:$H$2738,$F1023)="","",INDEX(選手一覧!$H$7:$H$2738,$F1023))</f>
        <v>0.00675219907407407</v>
      </c>
      <c r="J1023" s="17" t="n">
        <f aca="false">IF(INDEX(選手一覧!$I$7:$I$2738,$F1023)="","",INDEX(選手一覧!$I$7:$I$2738,$F1023))</f>
        <v>130</v>
      </c>
    </row>
    <row r="1024" customFormat="false" ht="15" hidden="false" customHeight="false" outlineLevel="0" collapsed="false">
      <c r="A1024" s="17" t="n">
        <v>1020</v>
      </c>
      <c r="B1024" s="12" t="s">
        <v>3447</v>
      </c>
      <c r="C1024" s="12" t="s">
        <v>2119</v>
      </c>
      <c r="D1024" s="16" t="n">
        <v>0.00291006944444445</v>
      </c>
      <c r="E1024" s="15" t="n">
        <f aca="false">ROUND((D1024-$D$5)*86400,2)</f>
        <v>26.4</v>
      </c>
      <c r="F1024" s="17" t="n">
        <v>2229</v>
      </c>
      <c r="G1024" s="16" t="str">
        <f aca="false">IF(INDEX(選手一覧!$D$7:$D$2738,$F1024)="","",INDEX(選手一覧!$D$7:$D$2738,$F1024))</f>
        <v/>
      </c>
      <c r="H1024" s="17" t="str">
        <f aca="false">IF(INDEX(選手一覧!$E$7:$E$2738,$F1024)="","",INDEX(選手一覧!$E$7:$E$2738,$F1024))</f>
        <v/>
      </c>
      <c r="I1024" s="16" t="str">
        <f aca="false">IF(INDEX(選手一覧!$H$7:$H$2738,$F1024)="","",INDEX(選手一覧!$H$7:$H$2738,$F1024))</f>
        <v/>
      </c>
      <c r="J1024" s="17" t="str">
        <f aca="false">IF(INDEX(選手一覧!$I$7:$I$2738,$F1024)="","",INDEX(選手一覧!$I$7:$I$2738,$F1024))</f>
        <v/>
      </c>
    </row>
    <row r="1025" customFormat="false" ht="15" hidden="false" customHeight="false" outlineLevel="0" collapsed="false">
      <c r="A1025" s="17" t="n">
        <v>1021</v>
      </c>
      <c r="B1025" s="12" t="s">
        <v>3449</v>
      </c>
      <c r="C1025" s="12" t="s">
        <v>3450</v>
      </c>
      <c r="D1025" s="16" t="n">
        <v>0.00291006944444445</v>
      </c>
      <c r="E1025" s="15" t="n">
        <f aca="false">ROUND((D1025-$D$5)*86400,2)</f>
        <v>26.4</v>
      </c>
      <c r="F1025" s="17" t="n">
        <v>2231</v>
      </c>
      <c r="G1025" s="16" t="str">
        <f aca="false">IF(INDEX(選手一覧!$D$7:$D$2738,$F1025)="","",INDEX(選手一覧!$D$7:$D$2738,$F1025))</f>
        <v/>
      </c>
      <c r="H1025" s="17" t="str">
        <f aca="false">IF(INDEX(選手一覧!$E$7:$E$2738,$F1025)="","",INDEX(選手一覧!$E$7:$E$2738,$F1025))</f>
        <v/>
      </c>
      <c r="I1025" s="16" t="str">
        <f aca="false">IF(INDEX(選手一覧!$H$7:$H$2738,$F1025)="","",INDEX(選手一覧!$H$7:$H$2738,$F1025))</f>
        <v/>
      </c>
      <c r="J1025" s="17" t="str">
        <f aca="false">IF(INDEX(選手一覧!$I$7:$I$2738,$F1025)="","",INDEX(選手一覧!$I$7:$I$2738,$F1025))</f>
        <v/>
      </c>
    </row>
    <row r="1026" customFormat="false" ht="15" hidden="false" customHeight="false" outlineLevel="0" collapsed="false">
      <c r="A1026" s="17" t="n">
        <v>1022</v>
      </c>
      <c r="B1026" s="12" t="s">
        <v>3453</v>
      </c>
      <c r="C1026" s="12" t="s">
        <v>2899</v>
      </c>
      <c r="D1026" s="16" t="n">
        <v>0.00291030092592593</v>
      </c>
      <c r="E1026" s="15" t="n">
        <f aca="false">ROUND((D1026-$D$5)*86400,2)</f>
        <v>26.42</v>
      </c>
      <c r="F1026" s="17" t="n">
        <v>2233</v>
      </c>
      <c r="G1026" s="16" t="str">
        <f aca="false">IF(INDEX(選手一覧!$D$7:$D$2738,$F1026)="","",INDEX(選手一覧!$D$7:$D$2738,$F1026))</f>
        <v/>
      </c>
      <c r="H1026" s="17" t="str">
        <f aca="false">IF(INDEX(選手一覧!$E$7:$E$2738,$F1026)="","",INDEX(選手一覧!$E$7:$E$2738,$F1026))</f>
        <v/>
      </c>
      <c r="I1026" s="16" t="str">
        <f aca="false">IF(INDEX(選手一覧!$H$7:$H$2738,$F1026)="","",INDEX(選手一覧!$H$7:$H$2738,$F1026))</f>
        <v/>
      </c>
      <c r="J1026" s="17" t="str">
        <f aca="false">IF(INDEX(選手一覧!$I$7:$I$2738,$F1026)="","",INDEX(選手一覧!$I$7:$I$2738,$F1026))</f>
        <v/>
      </c>
    </row>
    <row r="1027" customFormat="false" ht="15" hidden="false" customHeight="false" outlineLevel="0" collapsed="false">
      <c r="A1027" s="17" t="n">
        <v>1023</v>
      </c>
      <c r="B1027" s="12" t="s">
        <v>3456</v>
      </c>
      <c r="C1027" s="12" t="s">
        <v>3457</v>
      </c>
      <c r="D1027" s="16" t="n">
        <v>0.00291030092592593</v>
      </c>
      <c r="E1027" s="15" t="n">
        <f aca="false">ROUND((D1027-$D$5)*86400,2)</f>
        <v>26.42</v>
      </c>
      <c r="F1027" s="17" t="n">
        <v>2235</v>
      </c>
      <c r="G1027" s="16" t="str">
        <f aca="false">IF(INDEX(選手一覧!$D$7:$D$2738,$F1027)="","",INDEX(選手一覧!$D$7:$D$2738,$F1027))</f>
        <v/>
      </c>
      <c r="H1027" s="17" t="str">
        <f aca="false">IF(INDEX(選手一覧!$E$7:$E$2738,$F1027)="","",INDEX(選手一覧!$E$7:$E$2738,$F1027))</f>
        <v/>
      </c>
      <c r="I1027" s="16" t="str">
        <f aca="false">IF(INDEX(選手一覧!$H$7:$H$2738,$F1027)="","",INDEX(選手一覧!$H$7:$H$2738,$F1027))</f>
        <v/>
      </c>
      <c r="J1027" s="17" t="str">
        <f aca="false">IF(INDEX(選手一覧!$I$7:$I$2738,$F1027)="","",INDEX(選手一覧!$I$7:$I$2738,$F1027))</f>
        <v/>
      </c>
    </row>
    <row r="1028" customFormat="false" ht="15" hidden="false" customHeight="false" outlineLevel="0" collapsed="false">
      <c r="A1028" s="17" t="n">
        <v>1024</v>
      </c>
      <c r="B1028" s="12" t="s">
        <v>1133</v>
      </c>
      <c r="C1028" s="12" t="s">
        <v>351</v>
      </c>
      <c r="D1028" s="16" t="n">
        <v>0.00291041666666667</v>
      </c>
      <c r="E1028" s="15" t="n">
        <f aca="false">ROUND((D1028-$D$5)*86400,2)</f>
        <v>26.43</v>
      </c>
      <c r="F1028" s="17" t="n">
        <v>671</v>
      </c>
      <c r="G1028" s="16" t="n">
        <f aca="false">IF(INDEX(選手一覧!$D$7:$D$2738,$F1028)="","",INDEX(選手一覧!$D$7:$D$2738,$F1028))</f>
        <v>0.010753125</v>
      </c>
      <c r="H1028" s="17" t="n">
        <f aca="false">IF(INDEX(選手一覧!$E$7:$E$2738,$F1028)="","",INDEX(選手一覧!$E$7:$E$2738,$F1028))</f>
        <v>672</v>
      </c>
      <c r="I1028" s="16" t="n">
        <f aca="false">IF(INDEX(選手一覧!$H$7:$H$2738,$F1028)="","",INDEX(選手一覧!$H$7:$H$2738,$F1028))</f>
        <v>0.00746712962962963</v>
      </c>
      <c r="J1028" s="17" t="n">
        <f aca="false">IF(INDEX(選手一覧!$I$7:$I$2738,$F1028)="","",INDEX(選手一覧!$I$7:$I$2738,$F1028))</f>
        <v>857</v>
      </c>
    </row>
    <row r="1029" customFormat="false" ht="15" hidden="false" customHeight="false" outlineLevel="0" collapsed="false">
      <c r="A1029" s="17" t="n">
        <v>1025</v>
      </c>
      <c r="B1029" s="12" t="s">
        <v>1244</v>
      </c>
      <c r="C1029" s="12" t="s">
        <v>1245</v>
      </c>
      <c r="D1029" s="16" t="n">
        <v>0.00291041666666667</v>
      </c>
      <c r="E1029" s="15" t="n">
        <f aca="false">ROUND((D1029-$D$5)*86400,2)</f>
        <v>26.43</v>
      </c>
      <c r="F1029" s="17" t="n">
        <v>742</v>
      </c>
      <c r="G1029" s="16" t="n">
        <f aca="false">IF(INDEX(選手一覧!$D$7:$D$2738,$F1029)="","",INDEX(選手一覧!$D$7:$D$2738,$F1029))</f>
        <v>0.0108010416666667</v>
      </c>
      <c r="H1029" s="17" t="n">
        <f aca="false">IF(INDEX(選手一覧!$E$7:$E$2738,$F1029)="","",INDEX(選手一覧!$E$7:$E$2738,$F1029))</f>
        <v>743</v>
      </c>
      <c r="I1029" s="16" t="str">
        <f aca="false">IF(INDEX(選手一覧!$H$7:$H$2738,$F1029)="","",INDEX(選手一覧!$H$7:$H$2738,$F1029))</f>
        <v/>
      </c>
      <c r="J1029" s="17" t="str">
        <f aca="false">IF(INDEX(選手一覧!$I$7:$I$2738,$F1029)="","",INDEX(選手一覧!$I$7:$I$2738,$F1029))</f>
        <v/>
      </c>
    </row>
    <row r="1030" customFormat="false" ht="15" hidden="false" customHeight="false" outlineLevel="0" collapsed="false">
      <c r="A1030" s="17" t="n">
        <v>1026</v>
      </c>
      <c r="B1030" s="12" t="s">
        <v>1774</v>
      </c>
      <c r="C1030" s="12" t="s">
        <v>1775</v>
      </c>
      <c r="D1030" s="16" t="n">
        <v>0.00291053240740741</v>
      </c>
      <c r="E1030" s="15" t="n">
        <f aca="false">ROUND((D1030-$D$5)*86400,2)</f>
        <v>26.44</v>
      </c>
      <c r="F1030" s="17" t="n">
        <v>1098</v>
      </c>
      <c r="G1030" s="16" t="n">
        <f aca="false">IF(INDEX(選手一覧!$D$7:$D$2738,$F1030)="","",INDEX(選手一覧!$D$7:$D$2738,$F1030))</f>
        <v>0.0110024305555556</v>
      </c>
      <c r="H1030" s="17" t="n">
        <f aca="false">IF(INDEX(選手一覧!$E$7:$E$2738,$F1030)="","",INDEX(選手一覧!$E$7:$E$2738,$F1030))</f>
        <v>1099</v>
      </c>
      <c r="I1030" s="16" t="str">
        <f aca="false">IF(INDEX(選手一覧!$H$7:$H$2738,$F1030)="","",INDEX(選手一覧!$H$7:$H$2738,$F1030))</f>
        <v/>
      </c>
      <c r="J1030" s="17" t="str">
        <f aca="false">IF(INDEX(選手一覧!$I$7:$I$2738,$F1030)="","",INDEX(選手一覧!$I$7:$I$2738,$F1030))</f>
        <v/>
      </c>
    </row>
    <row r="1031" customFormat="false" ht="15" hidden="false" customHeight="false" outlineLevel="0" collapsed="false">
      <c r="A1031" s="17" t="n">
        <v>1027</v>
      </c>
      <c r="B1031" s="12" t="s">
        <v>1162</v>
      </c>
      <c r="C1031" s="12" t="s">
        <v>51</v>
      </c>
      <c r="D1031" s="16" t="n">
        <v>0.00291087962962963</v>
      </c>
      <c r="E1031" s="15" t="n">
        <f aca="false">ROUND((D1031-$D$5)*86400,2)</f>
        <v>26.47</v>
      </c>
      <c r="F1031" s="17" t="n">
        <v>688</v>
      </c>
      <c r="G1031" s="16" t="n">
        <f aca="false">IF(INDEX(選手一覧!$D$7:$D$2738,$F1031)="","",INDEX(選手一覧!$D$7:$D$2738,$F1031))</f>
        <v>0.0107644675925926</v>
      </c>
      <c r="H1031" s="17" t="n">
        <f aca="false">IF(INDEX(選手一覧!$E$7:$E$2738,$F1031)="","",INDEX(選手一覧!$E$7:$E$2738,$F1031))</f>
        <v>689</v>
      </c>
      <c r="I1031" s="16" t="str">
        <f aca="false">IF(INDEX(選手一覧!$H$7:$H$2738,$F1031)="","",INDEX(選手一覧!$H$7:$H$2738,$F1031))</f>
        <v/>
      </c>
      <c r="J1031" s="17" t="str">
        <f aca="false">IF(INDEX(選手一覧!$I$7:$I$2738,$F1031)="","",INDEX(選手一覧!$I$7:$I$2738,$F1031))</f>
        <v/>
      </c>
    </row>
    <row r="1032" customFormat="false" ht="15" hidden="false" customHeight="false" outlineLevel="0" collapsed="false">
      <c r="A1032" s="17" t="n">
        <v>1028</v>
      </c>
      <c r="B1032" s="12" t="s">
        <v>283</v>
      </c>
      <c r="C1032" s="12" t="s">
        <v>135</v>
      </c>
      <c r="D1032" s="16" t="n">
        <v>0.00291087962962963</v>
      </c>
      <c r="E1032" s="15" t="n">
        <f aca="false">ROUND((D1032-$D$5)*86400,2)</f>
        <v>26.47</v>
      </c>
      <c r="F1032" s="17" t="n">
        <v>134</v>
      </c>
      <c r="G1032" s="16" t="n">
        <f aca="false">IF(INDEX(選手一覧!$D$7:$D$2738,$F1032)="","",INDEX(選手一覧!$D$7:$D$2738,$F1032))</f>
        <v>0.0102670138888889</v>
      </c>
      <c r="H1032" s="17" t="n">
        <f aca="false">IF(INDEX(選手一覧!$E$7:$E$2738,$F1032)="","",INDEX(選手一覧!$E$7:$E$2738,$F1032))</f>
        <v>135</v>
      </c>
      <c r="I1032" s="16" t="n">
        <f aca="false">IF(INDEX(選手一覧!$H$7:$H$2738,$F1032)="","",INDEX(選手一覧!$H$7:$H$2738,$F1032))</f>
        <v>0.00697407407407407</v>
      </c>
      <c r="J1032" s="17" t="n">
        <f aca="false">IF(INDEX(選手一覧!$I$7:$I$2738,$F1032)="","",INDEX(選手一覧!$I$7:$I$2738,$F1032))</f>
        <v>308</v>
      </c>
    </row>
    <row r="1033" customFormat="false" ht="15" hidden="false" customHeight="false" outlineLevel="0" collapsed="false">
      <c r="A1033" s="17" t="n">
        <v>1029</v>
      </c>
      <c r="B1033" s="12" t="s">
        <v>550</v>
      </c>
      <c r="C1033" s="12" t="s">
        <v>551</v>
      </c>
      <c r="D1033" s="16" t="n">
        <v>0.00291111111111111</v>
      </c>
      <c r="E1033" s="15" t="n">
        <f aca="false">ROUND((D1033-$D$5)*86400,2)</f>
        <v>26.49</v>
      </c>
      <c r="F1033" s="17" t="n">
        <v>292</v>
      </c>
      <c r="G1033" s="16" t="n">
        <f aca="false">IF(INDEX(選手一覧!$D$7:$D$2738,$F1033)="","",INDEX(選手一覧!$D$7:$D$2738,$F1033))</f>
        <v>0.0104300925925926</v>
      </c>
      <c r="H1033" s="17" t="n">
        <f aca="false">IF(INDEX(選手一覧!$E$7:$E$2738,$F1033)="","",INDEX(選手一覧!$E$7:$E$2738,$F1033))</f>
        <v>293</v>
      </c>
      <c r="I1033" s="16" t="str">
        <f aca="false">IF(INDEX(選手一覧!$H$7:$H$2738,$F1033)="","",INDEX(選手一覧!$H$7:$H$2738,$F1033))</f>
        <v/>
      </c>
      <c r="J1033" s="17" t="str">
        <f aca="false">IF(INDEX(選手一覧!$I$7:$I$2738,$F1033)="","",INDEX(選手一覧!$I$7:$I$2738,$F1033))</f>
        <v/>
      </c>
    </row>
    <row r="1034" customFormat="false" ht="15" hidden="false" customHeight="false" outlineLevel="0" collapsed="false">
      <c r="A1034" s="17" t="n">
        <v>1030</v>
      </c>
      <c r="B1034" s="12" t="s">
        <v>2700</v>
      </c>
      <c r="C1034" s="12" t="s">
        <v>2701</v>
      </c>
      <c r="D1034" s="16" t="n">
        <v>0.00291111111111111</v>
      </c>
      <c r="E1034" s="15" t="n">
        <f aca="false">ROUND((D1034-$D$5)*86400,2)</f>
        <v>26.49</v>
      </c>
      <c r="F1034" s="17" t="n">
        <v>1728</v>
      </c>
      <c r="G1034" s="16" t="str">
        <f aca="false">IF(INDEX(選手一覧!$D$7:$D$2738,$F1034)="","",INDEX(選手一覧!$D$7:$D$2738,$F1034))</f>
        <v/>
      </c>
      <c r="H1034" s="17" t="str">
        <f aca="false">IF(INDEX(選手一覧!$E$7:$E$2738,$F1034)="","",INDEX(選手一覧!$E$7:$E$2738,$F1034))</f>
        <v/>
      </c>
      <c r="I1034" s="16" t="n">
        <f aca="false">IF(INDEX(選手一覧!$H$7:$H$2738,$F1034)="","",INDEX(選手一覧!$H$7:$H$2738,$F1034))</f>
        <v>0.00729085648148148</v>
      </c>
      <c r="J1034" s="17" t="n">
        <f aca="false">IF(INDEX(選手一覧!$I$7:$I$2738,$F1034)="","",INDEX(選手一覧!$I$7:$I$2738,$F1034))</f>
        <v>631</v>
      </c>
    </row>
    <row r="1035" customFormat="false" ht="15" hidden="false" customHeight="false" outlineLevel="0" collapsed="false">
      <c r="A1035" s="17" t="n">
        <v>1031</v>
      </c>
      <c r="B1035" s="12" t="s">
        <v>3472</v>
      </c>
      <c r="C1035" s="12" t="s">
        <v>3473</v>
      </c>
      <c r="D1035" s="16" t="n">
        <v>0.00291134259259259</v>
      </c>
      <c r="E1035" s="15" t="n">
        <f aca="false">ROUND((D1035-$D$5)*86400,2)</f>
        <v>26.51</v>
      </c>
      <c r="F1035" s="17" t="n">
        <v>2244</v>
      </c>
      <c r="G1035" s="16" t="str">
        <f aca="false">IF(INDEX(選手一覧!$D$7:$D$2738,$F1035)="","",INDEX(選手一覧!$D$7:$D$2738,$F1035))</f>
        <v/>
      </c>
      <c r="H1035" s="17" t="str">
        <f aca="false">IF(INDEX(選手一覧!$E$7:$E$2738,$F1035)="","",INDEX(選手一覧!$E$7:$E$2738,$F1035))</f>
        <v/>
      </c>
      <c r="I1035" s="16" t="str">
        <f aca="false">IF(INDEX(選手一覧!$H$7:$H$2738,$F1035)="","",INDEX(選手一覧!$H$7:$H$2738,$F1035))</f>
        <v/>
      </c>
      <c r="J1035" s="17" t="str">
        <f aca="false">IF(INDEX(選手一覧!$I$7:$I$2738,$F1035)="","",INDEX(選手一覧!$I$7:$I$2738,$F1035))</f>
        <v/>
      </c>
    </row>
    <row r="1036" customFormat="false" ht="15" hidden="false" customHeight="false" outlineLevel="0" collapsed="false">
      <c r="A1036" s="17" t="n">
        <v>1032</v>
      </c>
      <c r="B1036" s="12" t="s">
        <v>1889</v>
      </c>
      <c r="C1036" s="12" t="s">
        <v>1890</v>
      </c>
      <c r="D1036" s="16" t="n">
        <v>0.00291145833333333</v>
      </c>
      <c r="E1036" s="15" t="n">
        <f aca="false">ROUND((D1036-$D$5)*86400,2)</f>
        <v>26.52</v>
      </c>
      <c r="F1036" s="17" t="n">
        <v>1175</v>
      </c>
      <c r="G1036" s="16" t="n">
        <f aca="false">IF(INDEX(選手一覧!$D$7:$D$2738,$F1036)="","",INDEX(選手一覧!$D$7:$D$2738,$F1036))</f>
        <v>0.0110391203703704</v>
      </c>
      <c r="H1036" s="17" t="n">
        <f aca="false">IF(INDEX(選手一覧!$E$7:$E$2738,$F1036)="","",INDEX(選手一覧!$E$7:$E$2738,$F1036))</f>
        <v>1176</v>
      </c>
      <c r="I1036" s="16" t="str">
        <f aca="false">IF(INDEX(選手一覧!$H$7:$H$2738,$F1036)="","",INDEX(選手一覧!$H$7:$H$2738,$F1036))</f>
        <v/>
      </c>
      <c r="J1036" s="17" t="str">
        <f aca="false">IF(INDEX(選手一覧!$I$7:$I$2738,$F1036)="","",INDEX(選手一覧!$I$7:$I$2738,$F1036))</f>
        <v/>
      </c>
    </row>
    <row r="1037" customFormat="false" ht="15" hidden="false" customHeight="false" outlineLevel="0" collapsed="false">
      <c r="A1037" s="17" t="n">
        <v>1033</v>
      </c>
      <c r="B1037" s="12" t="s">
        <v>1180</v>
      </c>
      <c r="C1037" s="12" t="s">
        <v>1181</v>
      </c>
      <c r="D1037" s="16" t="n">
        <v>0.00291145833333333</v>
      </c>
      <c r="E1037" s="15" t="n">
        <f aca="false">ROUND((D1037-$D$5)*86400,2)</f>
        <v>26.52</v>
      </c>
      <c r="F1037" s="17" t="n">
        <v>701</v>
      </c>
      <c r="G1037" s="16" t="n">
        <f aca="false">IF(INDEX(選手一覧!$D$7:$D$2738,$F1037)="","",INDEX(選手一覧!$D$7:$D$2738,$F1037))</f>
        <v>0.0107753472222222</v>
      </c>
      <c r="H1037" s="17" t="n">
        <f aca="false">IF(INDEX(選手一覧!$E$7:$E$2738,$F1037)="","",INDEX(選手一覧!$E$7:$E$2738,$F1037))</f>
        <v>702</v>
      </c>
      <c r="I1037" s="16" t="str">
        <f aca="false">IF(INDEX(選手一覧!$H$7:$H$2738,$F1037)="","",INDEX(選手一覧!$H$7:$H$2738,$F1037))</f>
        <v/>
      </c>
      <c r="J1037" s="17" t="str">
        <f aca="false">IF(INDEX(選手一覧!$I$7:$I$2738,$F1037)="","",INDEX(選手一覧!$I$7:$I$2738,$F1037))</f>
        <v/>
      </c>
    </row>
    <row r="1038" customFormat="false" ht="15" hidden="false" customHeight="false" outlineLevel="0" collapsed="false">
      <c r="A1038" s="17" t="n">
        <v>1034</v>
      </c>
      <c r="B1038" s="12" t="s">
        <v>3211</v>
      </c>
      <c r="C1038" s="12" t="s">
        <v>3479</v>
      </c>
      <c r="D1038" s="16" t="n">
        <v>0.00291157407407407</v>
      </c>
      <c r="E1038" s="15" t="n">
        <f aca="false">ROUND((D1038-$D$5)*86400,2)</f>
        <v>26.53</v>
      </c>
      <c r="F1038" s="17" t="n">
        <v>2248</v>
      </c>
      <c r="G1038" s="16" t="str">
        <f aca="false">IF(INDEX(選手一覧!$D$7:$D$2738,$F1038)="","",INDEX(選手一覧!$D$7:$D$2738,$F1038))</f>
        <v/>
      </c>
      <c r="H1038" s="17" t="str">
        <f aca="false">IF(INDEX(選手一覧!$E$7:$E$2738,$F1038)="","",INDEX(選手一覧!$E$7:$E$2738,$F1038))</f>
        <v/>
      </c>
      <c r="I1038" s="16" t="str">
        <f aca="false">IF(INDEX(選手一覧!$H$7:$H$2738,$F1038)="","",INDEX(選手一覧!$H$7:$H$2738,$F1038))</f>
        <v/>
      </c>
      <c r="J1038" s="17" t="str">
        <f aca="false">IF(INDEX(選手一覧!$I$7:$I$2738,$F1038)="","",INDEX(選手一覧!$I$7:$I$2738,$F1038))</f>
        <v/>
      </c>
    </row>
    <row r="1039" customFormat="false" ht="15" hidden="false" customHeight="false" outlineLevel="0" collapsed="false">
      <c r="A1039" s="17" t="n">
        <v>1035</v>
      </c>
      <c r="B1039" s="12" t="s">
        <v>3482</v>
      </c>
      <c r="C1039" s="12" t="s">
        <v>1315</v>
      </c>
      <c r="D1039" s="16" t="n">
        <v>0.00291157407407407</v>
      </c>
      <c r="E1039" s="15" t="n">
        <f aca="false">ROUND((D1039-$D$5)*86400,2)</f>
        <v>26.53</v>
      </c>
      <c r="F1039" s="17" t="n">
        <v>2250</v>
      </c>
      <c r="G1039" s="16" t="str">
        <f aca="false">IF(INDEX(選手一覧!$D$7:$D$2738,$F1039)="","",INDEX(選手一覧!$D$7:$D$2738,$F1039))</f>
        <v/>
      </c>
      <c r="H1039" s="17" t="str">
        <f aca="false">IF(INDEX(選手一覧!$E$7:$E$2738,$F1039)="","",INDEX(選手一覧!$E$7:$E$2738,$F1039))</f>
        <v/>
      </c>
      <c r="I1039" s="16" t="str">
        <f aca="false">IF(INDEX(選手一覧!$H$7:$H$2738,$F1039)="","",INDEX(選手一覧!$H$7:$H$2738,$F1039))</f>
        <v/>
      </c>
      <c r="J1039" s="17" t="str">
        <f aca="false">IF(INDEX(選手一覧!$I$7:$I$2738,$F1039)="","",INDEX(選手一覧!$I$7:$I$2738,$F1039))</f>
        <v/>
      </c>
    </row>
    <row r="1040" customFormat="false" ht="15" hidden="false" customHeight="false" outlineLevel="0" collapsed="false">
      <c r="A1040" s="17" t="n">
        <v>1036</v>
      </c>
      <c r="B1040" s="12" t="s">
        <v>3484</v>
      </c>
      <c r="C1040" s="12" t="s">
        <v>3485</v>
      </c>
      <c r="D1040" s="16" t="n">
        <v>0.00291180555555556</v>
      </c>
      <c r="E1040" s="15" t="n">
        <f aca="false">ROUND((D1040-$D$5)*86400,2)</f>
        <v>26.55</v>
      </c>
      <c r="F1040" s="17" t="n">
        <v>2252</v>
      </c>
      <c r="G1040" s="16" t="str">
        <f aca="false">IF(INDEX(選手一覧!$D$7:$D$2738,$F1040)="","",INDEX(選手一覧!$D$7:$D$2738,$F1040))</f>
        <v/>
      </c>
      <c r="H1040" s="17" t="str">
        <f aca="false">IF(INDEX(選手一覧!$E$7:$E$2738,$F1040)="","",INDEX(選手一覧!$E$7:$E$2738,$F1040))</f>
        <v/>
      </c>
      <c r="I1040" s="16" t="str">
        <f aca="false">IF(INDEX(選手一覧!$H$7:$H$2738,$F1040)="","",INDEX(選手一覧!$H$7:$H$2738,$F1040))</f>
        <v/>
      </c>
      <c r="J1040" s="17" t="str">
        <f aca="false">IF(INDEX(選手一覧!$I$7:$I$2738,$F1040)="","",INDEX(選手一覧!$I$7:$I$2738,$F1040))</f>
        <v/>
      </c>
    </row>
    <row r="1041" customFormat="false" ht="15" hidden="false" customHeight="false" outlineLevel="0" collapsed="false">
      <c r="A1041" s="17" t="n">
        <v>1037</v>
      </c>
      <c r="B1041" s="12" t="s">
        <v>3487</v>
      </c>
      <c r="C1041" s="12" t="s">
        <v>873</v>
      </c>
      <c r="D1041" s="16" t="n">
        <v>0.00291180555555556</v>
      </c>
      <c r="E1041" s="15" t="n">
        <f aca="false">ROUND((D1041-$D$5)*86400,2)</f>
        <v>26.55</v>
      </c>
      <c r="F1041" s="17" t="n">
        <v>2254</v>
      </c>
      <c r="G1041" s="16" t="str">
        <f aca="false">IF(INDEX(選手一覧!$D$7:$D$2738,$F1041)="","",INDEX(選手一覧!$D$7:$D$2738,$F1041))</f>
        <v/>
      </c>
      <c r="H1041" s="17" t="str">
        <f aca="false">IF(INDEX(選手一覧!$E$7:$E$2738,$F1041)="","",INDEX(選手一覧!$E$7:$E$2738,$F1041))</f>
        <v/>
      </c>
      <c r="I1041" s="16" t="str">
        <f aca="false">IF(INDEX(選手一覧!$H$7:$H$2738,$F1041)="","",INDEX(選手一覧!$H$7:$H$2738,$F1041))</f>
        <v/>
      </c>
      <c r="J1041" s="17" t="str">
        <f aca="false">IF(INDEX(選手一覧!$I$7:$I$2738,$F1041)="","",INDEX(選手一覧!$I$7:$I$2738,$F1041))</f>
        <v/>
      </c>
    </row>
    <row r="1042" customFormat="false" ht="15" hidden="false" customHeight="false" outlineLevel="0" collapsed="false">
      <c r="A1042" s="17" t="n">
        <v>1038</v>
      </c>
      <c r="B1042" s="12" t="s">
        <v>2160</v>
      </c>
      <c r="C1042" s="12" t="s">
        <v>2161</v>
      </c>
      <c r="D1042" s="16" t="n">
        <v>0.00291215277777778</v>
      </c>
      <c r="E1042" s="15" t="n">
        <f aca="false">ROUND((D1042-$D$5)*86400,2)</f>
        <v>26.58</v>
      </c>
      <c r="F1042" s="17" t="n">
        <v>1373</v>
      </c>
      <c r="G1042" s="16" t="str">
        <f aca="false">IF(INDEX(選手一覧!$D$7:$D$2738,$F1042)="","",INDEX(選手一覧!$D$7:$D$2738,$F1042))</f>
        <v/>
      </c>
      <c r="H1042" s="17" t="str">
        <f aca="false">IF(INDEX(選手一覧!$E$7:$E$2738,$F1042)="","",INDEX(選手一覧!$E$7:$E$2738,$F1042))</f>
        <v/>
      </c>
      <c r="I1042" s="16" t="n">
        <f aca="false">IF(INDEX(選手一覧!$H$7:$H$2738,$F1042)="","",INDEX(選手一覧!$H$7:$H$2738,$F1042))</f>
        <v>0.00689710648148148</v>
      </c>
      <c r="J1042" s="17" t="n">
        <f aca="false">IF(INDEX(選手一覧!$I$7:$I$2738,$F1042)="","",INDEX(選手一覧!$I$7:$I$2738,$F1042))</f>
        <v>238</v>
      </c>
    </row>
    <row r="1043" customFormat="false" ht="15" hidden="false" customHeight="false" outlineLevel="0" collapsed="false">
      <c r="A1043" s="17" t="n">
        <v>1039</v>
      </c>
      <c r="B1043" s="12" t="s">
        <v>3490</v>
      </c>
      <c r="C1043" s="12" t="s">
        <v>3491</v>
      </c>
      <c r="D1043" s="16" t="n">
        <v>0.00291226851851852</v>
      </c>
      <c r="E1043" s="15" t="n">
        <f aca="false">ROUND((D1043-$D$5)*86400,2)</f>
        <v>26.59</v>
      </c>
      <c r="F1043" s="17" t="n">
        <v>2257</v>
      </c>
      <c r="G1043" s="16" t="str">
        <f aca="false">IF(INDEX(選手一覧!$D$7:$D$2738,$F1043)="","",INDEX(選手一覧!$D$7:$D$2738,$F1043))</f>
        <v/>
      </c>
      <c r="H1043" s="17" t="str">
        <f aca="false">IF(INDEX(選手一覧!$E$7:$E$2738,$F1043)="","",INDEX(選手一覧!$E$7:$E$2738,$F1043))</f>
        <v/>
      </c>
      <c r="I1043" s="16" t="str">
        <f aca="false">IF(INDEX(選手一覧!$H$7:$H$2738,$F1043)="","",INDEX(選手一覧!$H$7:$H$2738,$F1043))</f>
        <v/>
      </c>
      <c r="J1043" s="17" t="str">
        <f aca="false">IF(INDEX(選手一覧!$I$7:$I$2738,$F1043)="","",INDEX(選手一覧!$I$7:$I$2738,$F1043))</f>
        <v/>
      </c>
    </row>
    <row r="1044" customFormat="false" ht="15" hidden="false" customHeight="false" outlineLevel="0" collapsed="false">
      <c r="A1044" s="17" t="n">
        <v>1040</v>
      </c>
      <c r="B1044" s="12" t="s">
        <v>1402</v>
      </c>
      <c r="C1044" s="12" t="s">
        <v>127</v>
      </c>
      <c r="D1044" s="16" t="n">
        <v>0.0029125</v>
      </c>
      <c r="E1044" s="15" t="n">
        <f aca="false">ROUND((D1044-$D$5)*86400,2)</f>
        <v>26.61</v>
      </c>
      <c r="F1044" s="17" t="n">
        <v>848</v>
      </c>
      <c r="G1044" s="16" t="n">
        <f aca="false">IF(INDEX(選手一覧!$D$7:$D$2738,$F1044)="","",INDEX(選手一覧!$D$7:$D$2738,$F1044))</f>
        <v>0.0108604166666667</v>
      </c>
      <c r="H1044" s="17" t="n">
        <f aca="false">IF(INDEX(選手一覧!$E$7:$E$2738,$F1044)="","",INDEX(選手一覧!$E$7:$E$2738,$F1044))</f>
        <v>849</v>
      </c>
      <c r="I1044" s="16" t="str">
        <f aca="false">IF(INDEX(選手一覧!$H$7:$H$2738,$F1044)="","",INDEX(選手一覧!$H$7:$H$2738,$F1044))</f>
        <v/>
      </c>
      <c r="J1044" s="17" t="str">
        <f aca="false">IF(INDEX(選手一覧!$I$7:$I$2738,$F1044)="","",INDEX(選手一覧!$I$7:$I$2738,$F1044))</f>
        <v/>
      </c>
    </row>
    <row r="1045" customFormat="false" ht="15" hidden="false" customHeight="false" outlineLevel="0" collapsed="false">
      <c r="A1045" s="17" t="n">
        <v>1041</v>
      </c>
      <c r="B1045" s="12" t="s">
        <v>3495</v>
      </c>
      <c r="C1045" s="12" t="s">
        <v>96</v>
      </c>
      <c r="D1045" s="16" t="n">
        <v>0.00291273148148148</v>
      </c>
      <c r="E1045" s="15" t="n">
        <f aca="false">ROUND((D1045-$D$5)*86400,2)</f>
        <v>26.63</v>
      </c>
      <c r="F1045" s="17" t="n">
        <v>2260</v>
      </c>
      <c r="G1045" s="16" t="str">
        <f aca="false">IF(INDEX(選手一覧!$D$7:$D$2738,$F1045)="","",INDEX(選手一覧!$D$7:$D$2738,$F1045))</f>
        <v/>
      </c>
      <c r="H1045" s="17" t="str">
        <f aca="false">IF(INDEX(選手一覧!$E$7:$E$2738,$F1045)="","",INDEX(選手一覧!$E$7:$E$2738,$F1045))</f>
        <v/>
      </c>
      <c r="I1045" s="16" t="str">
        <f aca="false">IF(INDEX(選手一覧!$H$7:$H$2738,$F1045)="","",INDEX(選手一覧!$H$7:$H$2738,$F1045))</f>
        <v/>
      </c>
      <c r="J1045" s="17" t="str">
        <f aca="false">IF(INDEX(選手一覧!$I$7:$I$2738,$F1045)="","",INDEX(選手一覧!$I$7:$I$2738,$F1045))</f>
        <v/>
      </c>
    </row>
    <row r="1046" customFormat="false" ht="15" hidden="false" customHeight="false" outlineLevel="0" collapsed="false">
      <c r="A1046" s="17" t="n">
        <v>1042</v>
      </c>
      <c r="B1046" s="12" t="s">
        <v>958</v>
      </c>
      <c r="C1046" s="12" t="s">
        <v>63</v>
      </c>
      <c r="D1046" s="16" t="n">
        <v>0.00291284722222222</v>
      </c>
      <c r="E1046" s="15" t="n">
        <f aca="false">ROUND((D1046-$D$5)*86400,2)</f>
        <v>26.64</v>
      </c>
      <c r="F1046" s="17" t="n">
        <v>548</v>
      </c>
      <c r="G1046" s="16" t="n">
        <f aca="false">IF(INDEX(選手一覧!$D$7:$D$2738,$F1046)="","",INDEX(選手一覧!$D$7:$D$2738,$F1046))</f>
        <v>0.0106704861111111</v>
      </c>
      <c r="H1046" s="17" t="n">
        <f aca="false">IF(INDEX(選手一覧!$E$7:$E$2738,$F1046)="","",INDEX(選手一覧!$E$7:$E$2738,$F1046))</f>
        <v>549</v>
      </c>
      <c r="I1046" s="16" t="n">
        <f aca="false">IF(INDEX(選手一覧!$H$7:$H$2738,$F1046)="","",INDEX(選手一覧!$H$7:$H$2738,$F1046))</f>
        <v>0.00736342592592593</v>
      </c>
      <c r="J1046" s="17" t="n">
        <f aca="false">IF(INDEX(選手一覧!$I$7:$I$2738,$F1046)="","",INDEX(選手一覧!$I$7:$I$2738,$F1046))</f>
        <v>725</v>
      </c>
    </row>
    <row r="1047" customFormat="false" ht="15" hidden="false" customHeight="false" outlineLevel="0" collapsed="false">
      <c r="A1047" s="17" t="n">
        <v>1043</v>
      </c>
      <c r="B1047" s="12" t="s">
        <v>977</v>
      </c>
      <c r="C1047" s="12" t="s">
        <v>978</v>
      </c>
      <c r="D1047" s="16" t="n">
        <v>0.00291319444444444</v>
      </c>
      <c r="E1047" s="15" t="n">
        <f aca="false">ROUND((D1047-$D$5)*86400,2)</f>
        <v>26.67</v>
      </c>
      <c r="F1047" s="17" t="n">
        <v>561</v>
      </c>
      <c r="G1047" s="16" t="n">
        <f aca="false">IF(INDEX(選手一覧!$D$7:$D$2738,$F1047)="","",INDEX(選手一覧!$D$7:$D$2738,$F1047))</f>
        <v>0.0106869212962963</v>
      </c>
      <c r="H1047" s="17" t="n">
        <f aca="false">IF(INDEX(選手一覧!$E$7:$E$2738,$F1047)="","",INDEX(選手一覧!$E$7:$E$2738,$F1047))</f>
        <v>562</v>
      </c>
      <c r="I1047" s="16" t="str">
        <f aca="false">IF(INDEX(選手一覧!$H$7:$H$2738,$F1047)="","",INDEX(選手一覧!$H$7:$H$2738,$F1047))</f>
        <v/>
      </c>
      <c r="J1047" s="17" t="str">
        <f aca="false">IF(INDEX(選手一覧!$I$7:$I$2738,$F1047)="","",INDEX(選手一覧!$I$7:$I$2738,$F1047))</f>
        <v/>
      </c>
    </row>
    <row r="1048" customFormat="false" ht="15" hidden="false" customHeight="false" outlineLevel="0" collapsed="false">
      <c r="A1048" s="17" t="n">
        <v>1044</v>
      </c>
      <c r="B1048" s="12" t="s">
        <v>3500</v>
      </c>
      <c r="C1048" s="12" t="s">
        <v>2285</v>
      </c>
      <c r="D1048" s="16" t="n">
        <v>0.00291331018518519</v>
      </c>
      <c r="E1048" s="15" t="n">
        <f aca="false">ROUND((D1048-$D$5)*86400,2)</f>
        <v>26.68</v>
      </c>
      <c r="F1048" s="17" t="n">
        <v>2264</v>
      </c>
      <c r="G1048" s="16" t="str">
        <f aca="false">IF(INDEX(選手一覧!$D$7:$D$2738,$F1048)="","",INDEX(選手一覧!$D$7:$D$2738,$F1048))</f>
        <v/>
      </c>
      <c r="H1048" s="17" t="str">
        <f aca="false">IF(INDEX(選手一覧!$E$7:$E$2738,$F1048)="","",INDEX(選手一覧!$E$7:$E$2738,$F1048))</f>
        <v/>
      </c>
      <c r="I1048" s="16" t="str">
        <f aca="false">IF(INDEX(選手一覧!$H$7:$H$2738,$F1048)="","",INDEX(選手一覧!$H$7:$H$2738,$F1048))</f>
        <v/>
      </c>
      <c r="J1048" s="17" t="str">
        <f aca="false">IF(INDEX(選手一覧!$I$7:$I$2738,$F1048)="","",INDEX(選手一覧!$I$7:$I$2738,$F1048))</f>
        <v/>
      </c>
    </row>
    <row r="1049" customFormat="false" ht="15" hidden="false" customHeight="false" outlineLevel="0" collapsed="false">
      <c r="A1049" s="17" t="n">
        <v>1045</v>
      </c>
      <c r="B1049" s="12" t="s">
        <v>3502</v>
      </c>
      <c r="C1049" s="12" t="s">
        <v>2918</v>
      </c>
      <c r="D1049" s="16" t="n">
        <v>0.00291331018518519</v>
      </c>
      <c r="E1049" s="15" t="n">
        <f aca="false">ROUND((D1049-$D$5)*86400,2)</f>
        <v>26.68</v>
      </c>
      <c r="F1049" s="17" t="n">
        <v>2266</v>
      </c>
      <c r="G1049" s="16" t="str">
        <f aca="false">IF(INDEX(選手一覧!$D$7:$D$2738,$F1049)="","",INDEX(選手一覧!$D$7:$D$2738,$F1049))</f>
        <v/>
      </c>
      <c r="H1049" s="17" t="str">
        <f aca="false">IF(INDEX(選手一覧!$E$7:$E$2738,$F1049)="","",INDEX(選手一覧!$E$7:$E$2738,$F1049))</f>
        <v/>
      </c>
      <c r="I1049" s="16" t="str">
        <f aca="false">IF(INDEX(選手一覧!$H$7:$H$2738,$F1049)="","",INDEX(選手一覧!$H$7:$H$2738,$F1049))</f>
        <v/>
      </c>
      <c r="J1049" s="17" t="str">
        <f aca="false">IF(INDEX(選手一覧!$I$7:$I$2738,$F1049)="","",INDEX(選手一覧!$I$7:$I$2738,$F1049))</f>
        <v/>
      </c>
    </row>
    <row r="1050" customFormat="false" ht="15" hidden="false" customHeight="false" outlineLevel="0" collapsed="false">
      <c r="A1050" s="17" t="n">
        <v>1046</v>
      </c>
      <c r="B1050" s="12" t="s">
        <v>1230</v>
      </c>
      <c r="C1050" s="12" t="s">
        <v>1231</v>
      </c>
      <c r="D1050" s="16" t="n">
        <v>0.00291354166666667</v>
      </c>
      <c r="E1050" s="15" t="n">
        <f aca="false">ROUND((D1050-$D$5)*86400,2)</f>
        <v>26.7</v>
      </c>
      <c r="F1050" s="17" t="n">
        <v>732</v>
      </c>
      <c r="G1050" s="16" t="n">
        <f aca="false">IF(INDEX(選手一覧!$D$7:$D$2738,$F1050)="","",INDEX(選手一覧!$D$7:$D$2738,$F1050))</f>
        <v>0.010794212962963</v>
      </c>
      <c r="H1050" s="17" t="n">
        <f aca="false">IF(INDEX(選手一覧!$E$7:$E$2738,$F1050)="","",INDEX(選手一覧!$E$7:$E$2738,$F1050))</f>
        <v>733</v>
      </c>
      <c r="I1050" s="16" t="n">
        <f aca="false">IF(INDEX(選手一覧!$H$7:$H$2738,$F1050)="","",INDEX(選手一覧!$H$7:$H$2738,$F1050))</f>
        <v>0.00658078703703704</v>
      </c>
      <c r="J1050" s="17" t="n">
        <f aca="false">IF(INDEX(選手一覧!$I$7:$I$2738,$F1050)="","",INDEX(選手一覧!$I$7:$I$2738,$F1050))</f>
        <v>62</v>
      </c>
    </row>
    <row r="1051" customFormat="false" ht="15" hidden="false" customHeight="false" outlineLevel="0" collapsed="false">
      <c r="A1051" s="17" t="n">
        <v>1047</v>
      </c>
      <c r="B1051" s="12" t="s">
        <v>3507</v>
      </c>
      <c r="C1051" s="12" t="s">
        <v>648</v>
      </c>
      <c r="D1051" s="16" t="n">
        <v>0.00291365740740741</v>
      </c>
      <c r="E1051" s="15" t="n">
        <f aca="false">ROUND((D1051-$D$5)*86400,2)</f>
        <v>26.71</v>
      </c>
      <c r="F1051" s="17" t="n">
        <v>2269</v>
      </c>
      <c r="G1051" s="16" t="str">
        <f aca="false">IF(INDEX(選手一覧!$D$7:$D$2738,$F1051)="","",INDEX(選手一覧!$D$7:$D$2738,$F1051))</f>
        <v/>
      </c>
      <c r="H1051" s="17" t="str">
        <f aca="false">IF(INDEX(選手一覧!$E$7:$E$2738,$F1051)="","",INDEX(選手一覧!$E$7:$E$2738,$F1051))</f>
        <v/>
      </c>
      <c r="I1051" s="16" t="str">
        <f aca="false">IF(INDEX(選手一覧!$H$7:$H$2738,$F1051)="","",INDEX(選手一覧!$H$7:$H$2738,$F1051))</f>
        <v/>
      </c>
      <c r="J1051" s="17" t="str">
        <f aca="false">IF(INDEX(選手一覧!$I$7:$I$2738,$F1051)="","",INDEX(選手一覧!$I$7:$I$2738,$F1051))</f>
        <v/>
      </c>
    </row>
    <row r="1052" customFormat="false" ht="15" hidden="false" customHeight="false" outlineLevel="0" collapsed="false">
      <c r="A1052" s="17" t="n">
        <v>1048</v>
      </c>
      <c r="B1052" s="12" t="s">
        <v>1758</v>
      </c>
      <c r="C1052" s="12" t="s">
        <v>1269</v>
      </c>
      <c r="D1052" s="16" t="n">
        <v>0.00291365740740741</v>
      </c>
      <c r="E1052" s="15" t="n">
        <f aca="false">ROUND((D1052-$D$5)*86400,2)</f>
        <v>26.71</v>
      </c>
      <c r="F1052" s="17" t="n">
        <v>1087</v>
      </c>
      <c r="G1052" s="16" t="n">
        <f aca="false">IF(INDEX(選手一覧!$D$7:$D$2738,$F1052)="","",INDEX(選手一覧!$D$7:$D$2738,$F1052))</f>
        <v>0.0109949074074074</v>
      </c>
      <c r="H1052" s="17" t="n">
        <f aca="false">IF(INDEX(選手一覧!$E$7:$E$2738,$F1052)="","",INDEX(選手一覧!$E$7:$E$2738,$F1052))</f>
        <v>1088</v>
      </c>
      <c r="I1052" s="16" t="n">
        <f aca="false">IF(INDEX(選手一覧!$H$7:$H$2738,$F1052)="","",INDEX(選手一覧!$H$7:$H$2738,$F1052))</f>
        <v>0.00703831018518519</v>
      </c>
      <c r="J1052" s="17" t="n">
        <f aca="false">IF(INDEX(選手一覧!$I$7:$I$2738,$F1052)="","",INDEX(選手一覧!$I$7:$I$2738,$F1052))</f>
        <v>370</v>
      </c>
    </row>
    <row r="1053" customFormat="false" ht="15" hidden="false" customHeight="false" outlineLevel="0" collapsed="false">
      <c r="A1053" s="17" t="n">
        <v>1049</v>
      </c>
      <c r="B1053" s="12" t="s">
        <v>1241</v>
      </c>
      <c r="C1053" s="12" t="s">
        <v>115</v>
      </c>
      <c r="D1053" s="16" t="n">
        <v>0.00291377314814815</v>
      </c>
      <c r="E1053" s="15" t="n">
        <f aca="false">ROUND((D1053-$D$5)*86400,2)</f>
        <v>26.72</v>
      </c>
      <c r="F1053" s="17" t="n">
        <v>740</v>
      </c>
      <c r="G1053" s="16" t="n">
        <f aca="false">IF(INDEX(選手一覧!$D$7:$D$2738,$F1053)="","",INDEX(選手一覧!$D$7:$D$2738,$F1053))</f>
        <v>0.0108009259259259</v>
      </c>
      <c r="H1053" s="17" t="n">
        <f aca="false">IF(INDEX(選手一覧!$E$7:$E$2738,$F1053)="","",INDEX(選手一覧!$E$7:$E$2738,$F1053))</f>
        <v>741</v>
      </c>
      <c r="I1053" s="16" t="str">
        <f aca="false">IF(INDEX(選手一覧!$H$7:$H$2738,$F1053)="","",INDEX(選手一覧!$H$7:$H$2738,$F1053))</f>
        <v/>
      </c>
      <c r="J1053" s="17" t="str">
        <f aca="false">IF(INDEX(選手一覧!$I$7:$I$2738,$F1053)="","",INDEX(選手一覧!$I$7:$I$2738,$F1053))</f>
        <v/>
      </c>
    </row>
    <row r="1054" customFormat="false" ht="15" hidden="false" customHeight="false" outlineLevel="0" collapsed="false">
      <c r="A1054" s="17" t="n">
        <v>1050</v>
      </c>
      <c r="B1054" s="12" t="s">
        <v>983</v>
      </c>
      <c r="C1054" s="12" t="s">
        <v>301</v>
      </c>
      <c r="D1054" s="16" t="n">
        <v>0.00291388888888889</v>
      </c>
      <c r="E1054" s="15" t="n">
        <f aca="false">ROUND((D1054-$D$5)*86400,2)</f>
        <v>26.73</v>
      </c>
      <c r="F1054" s="17" t="n">
        <v>564</v>
      </c>
      <c r="G1054" s="16" t="n">
        <f aca="false">IF(INDEX(選手一覧!$D$7:$D$2738,$F1054)="","",INDEX(選手一覧!$D$7:$D$2738,$F1054))</f>
        <v>0.0106880787037037</v>
      </c>
      <c r="H1054" s="17" t="n">
        <f aca="false">IF(INDEX(選手一覧!$E$7:$E$2738,$F1054)="","",INDEX(選手一覧!$E$7:$E$2738,$F1054))</f>
        <v>565</v>
      </c>
      <c r="I1054" s="16" t="n">
        <f aca="false">IF(INDEX(選手一覧!$H$7:$H$2738,$F1054)="","",INDEX(選手一覧!$H$7:$H$2738,$F1054))</f>
        <v>0.00703842592592593</v>
      </c>
      <c r="J1054" s="17" t="n">
        <f aca="false">IF(INDEX(選手一覧!$I$7:$I$2738,$F1054)="","",INDEX(選手一覧!$I$7:$I$2738,$F1054))</f>
        <v>371</v>
      </c>
    </row>
    <row r="1055" customFormat="false" ht="15" hidden="false" customHeight="false" outlineLevel="0" collapsed="false">
      <c r="A1055" s="17" t="n">
        <v>1051</v>
      </c>
      <c r="B1055" s="12" t="s">
        <v>2012</v>
      </c>
      <c r="C1055" s="12" t="s">
        <v>103</v>
      </c>
      <c r="D1055" s="16" t="n">
        <v>0.00291412037037037</v>
      </c>
      <c r="E1055" s="15" t="n">
        <f aca="false">ROUND((D1055-$D$5)*86400,2)</f>
        <v>26.75</v>
      </c>
      <c r="F1055" s="17" t="n">
        <v>1267</v>
      </c>
      <c r="G1055" s="16" t="n">
        <f aca="false">IF(INDEX(選手一覧!$D$7:$D$2738,$F1055)="","",INDEX(選手一覧!$D$7:$D$2738,$F1055))</f>
        <v>0.0110979166666667</v>
      </c>
      <c r="H1055" s="17" t="n">
        <f aca="false">IF(INDEX(選手一覧!$E$7:$E$2738,$F1055)="","",INDEX(選手一覧!$E$7:$E$2738,$F1055))</f>
        <v>1268</v>
      </c>
      <c r="I1055" s="16" t="n">
        <f aca="false">IF(INDEX(選手一覧!$H$7:$H$2738,$F1055)="","",INDEX(選手一覧!$H$7:$H$2738,$F1055))</f>
        <v>0.00742951388888889</v>
      </c>
      <c r="J1055" s="17" t="n">
        <f aca="false">IF(INDEX(選手一覧!$I$7:$I$2738,$F1055)="","",INDEX(選手一覧!$I$7:$I$2738,$F1055))</f>
        <v>804</v>
      </c>
    </row>
    <row r="1056" customFormat="false" ht="15" hidden="false" customHeight="false" outlineLevel="0" collapsed="false">
      <c r="A1056" s="17" t="n">
        <v>1052</v>
      </c>
      <c r="B1056" s="12" t="s">
        <v>3516</v>
      </c>
      <c r="C1056" s="12" t="s">
        <v>3517</v>
      </c>
      <c r="D1056" s="16" t="n">
        <v>0.00291435185185185</v>
      </c>
      <c r="E1056" s="15" t="n">
        <f aca="false">ROUND((D1056-$D$5)*86400,2)</f>
        <v>26.77</v>
      </c>
      <c r="F1056" s="17" t="n">
        <v>2275</v>
      </c>
      <c r="G1056" s="16" t="str">
        <f aca="false">IF(INDEX(選手一覧!$D$7:$D$2738,$F1056)="","",INDEX(選手一覧!$D$7:$D$2738,$F1056))</f>
        <v/>
      </c>
      <c r="H1056" s="17" t="str">
        <f aca="false">IF(INDEX(選手一覧!$E$7:$E$2738,$F1056)="","",INDEX(選手一覧!$E$7:$E$2738,$F1056))</f>
        <v/>
      </c>
      <c r="I1056" s="16" t="str">
        <f aca="false">IF(INDEX(選手一覧!$H$7:$H$2738,$F1056)="","",INDEX(選手一覧!$H$7:$H$2738,$F1056))</f>
        <v/>
      </c>
      <c r="J1056" s="17" t="str">
        <f aca="false">IF(INDEX(選手一覧!$I$7:$I$2738,$F1056)="","",INDEX(選手一覧!$I$7:$I$2738,$F1056))</f>
        <v/>
      </c>
    </row>
    <row r="1057" customFormat="false" ht="15" hidden="false" customHeight="false" outlineLevel="0" collapsed="false">
      <c r="A1057" s="17" t="n">
        <v>1053</v>
      </c>
      <c r="B1057" s="12" t="s">
        <v>1362</v>
      </c>
      <c r="C1057" s="12" t="s">
        <v>1363</v>
      </c>
      <c r="D1057" s="16" t="n">
        <v>0.00291481481481482</v>
      </c>
      <c r="E1057" s="15" t="n">
        <f aca="false">ROUND((D1057-$D$5)*86400,2)</f>
        <v>26.81</v>
      </c>
      <c r="F1057" s="17" t="n">
        <v>823</v>
      </c>
      <c r="G1057" s="16" t="n">
        <f aca="false">IF(INDEX(選手一覧!$D$7:$D$2738,$F1057)="","",INDEX(選手一覧!$D$7:$D$2738,$F1057))</f>
        <v>0.0108440972222222</v>
      </c>
      <c r="H1057" s="17" t="n">
        <f aca="false">IF(INDEX(選手一覧!$E$7:$E$2738,$F1057)="","",INDEX(選手一覧!$E$7:$E$2738,$F1057))</f>
        <v>824</v>
      </c>
      <c r="I1057" s="16" t="str">
        <f aca="false">IF(INDEX(選手一覧!$H$7:$H$2738,$F1057)="","",INDEX(選手一覧!$H$7:$H$2738,$F1057))</f>
        <v/>
      </c>
      <c r="J1057" s="17" t="str">
        <f aca="false">IF(INDEX(選手一覧!$I$7:$I$2738,$F1057)="","",INDEX(選手一覧!$I$7:$I$2738,$F1057))</f>
        <v/>
      </c>
    </row>
    <row r="1058" customFormat="false" ht="15" hidden="false" customHeight="false" outlineLevel="0" collapsed="false">
      <c r="A1058" s="17" t="n">
        <v>1054</v>
      </c>
      <c r="B1058" s="12" t="s">
        <v>3520</v>
      </c>
      <c r="C1058" s="12" t="s">
        <v>2807</v>
      </c>
      <c r="D1058" s="16" t="n">
        <v>0.00291493055555556</v>
      </c>
      <c r="E1058" s="15" t="n">
        <f aca="false">ROUND((D1058-$D$5)*86400,2)</f>
        <v>26.82</v>
      </c>
      <c r="F1058" s="17" t="n">
        <v>2278</v>
      </c>
      <c r="G1058" s="16" t="str">
        <f aca="false">IF(INDEX(選手一覧!$D$7:$D$2738,$F1058)="","",INDEX(選手一覧!$D$7:$D$2738,$F1058))</f>
        <v/>
      </c>
      <c r="H1058" s="17" t="str">
        <f aca="false">IF(INDEX(選手一覧!$E$7:$E$2738,$F1058)="","",INDEX(選手一覧!$E$7:$E$2738,$F1058))</f>
        <v/>
      </c>
      <c r="I1058" s="16" t="str">
        <f aca="false">IF(INDEX(選手一覧!$H$7:$H$2738,$F1058)="","",INDEX(選手一覧!$H$7:$H$2738,$F1058))</f>
        <v/>
      </c>
      <c r="J1058" s="17" t="str">
        <f aca="false">IF(INDEX(選手一覧!$I$7:$I$2738,$F1058)="","",INDEX(選手一覧!$I$7:$I$2738,$F1058))</f>
        <v/>
      </c>
    </row>
    <row r="1059" customFormat="false" ht="15" hidden="false" customHeight="false" outlineLevel="0" collapsed="false">
      <c r="A1059" s="17" t="n">
        <v>1055</v>
      </c>
      <c r="B1059" s="12" t="s">
        <v>1715</v>
      </c>
      <c r="C1059" s="12" t="s">
        <v>1716</v>
      </c>
      <c r="D1059" s="16" t="n">
        <v>0.00291550925925926</v>
      </c>
      <c r="E1059" s="15" t="n">
        <f aca="false">ROUND((D1059-$D$5)*86400,2)</f>
        <v>26.87</v>
      </c>
      <c r="F1059" s="17" t="n">
        <v>1059</v>
      </c>
      <c r="G1059" s="16" t="n">
        <f aca="false">IF(INDEX(選手一覧!$D$7:$D$2738,$F1059)="","",INDEX(選手一覧!$D$7:$D$2738,$F1059))</f>
        <v>0.01098125</v>
      </c>
      <c r="H1059" s="17" t="n">
        <f aca="false">IF(INDEX(選手一覧!$E$7:$E$2738,$F1059)="","",INDEX(選手一覧!$E$7:$E$2738,$F1059))</f>
        <v>1060</v>
      </c>
      <c r="I1059" s="16" t="n">
        <f aca="false">IF(INDEX(選手一覧!$H$7:$H$2738,$F1059)="","",INDEX(選手一覧!$H$7:$H$2738,$F1059))</f>
        <v>0.00697002314814815</v>
      </c>
      <c r="J1059" s="17" t="n">
        <f aca="false">IF(INDEX(選手一覧!$I$7:$I$2738,$F1059)="","",INDEX(選手一覧!$I$7:$I$2738,$F1059))</f>
        <v>305</v>
      </c>
    </row>
    <row r="1060" customFormat="false" ht="15" hidden="false" customHeight="false" outlineLevel="0" collapsed="false">
      <c r="A1060" s="17" t="n">
        <v>1056</v>
      </c>
      <c r="B1060" s="12" t="s">
        <v>748</v>
      </c>
      <c r="C1060" s="12" t="s">
        <v>749</v>
      </c>
      <c r="D1060" s="16" t="n">
        <v>0.00291550925925926</v>
      </c>
      <c r="E1060" s="15" t="n">
        <f aca="false">ROUND((D1060-$D$5)*86400,2)</f>
        <v>26.87</v>
      </c>
      <c r="F1060" s="17" t="n">
        <v>415</v>
      </c>
      <c r="G1060" s="16" t="n">
        <f aca="false">IF(INDEX(選手一覧!$D$7:$D$2738,$F1060)="","",INDEX(選手一覧!$D$7:$D$2738,$F1060))</f>
        <v>0.0105638888888889</v>
      </c>
      <c r="H1060" s="17" t="n">
        <f aca="false">IF(INDEX(選手一覧!$E$7:$E$2738,$F1060)="","",INDEX(選手一覧!$E$7:$E$2738,$F1060))</f>
        <v>416</v>
      </c>
      <c r="I1060" s="16" t="str">
        <f aca="false">IF(INDEX(選手一覧!$H$7:$H$2738,$F1060)="","",INDEX(選手一覧!$H$7:$H$2738,$F1060))</f>
        <v/>
      </c>
      <c r="J1060" s="17" t="str">
        <f aca="false">IF(INDEX(選手一覧!$I$7:$I$2738,$F1060)="","",INDEX(選手一覧!$I$7:$I$2738,$F1060))</f>
        <v/>
      </c>
    </row>
    <row r="1061" customFormat="false" ht="15" hidden="false" customHeight="false" outlineLevel="0" collapsed="false">
      <c r="A1061" s="17" t="n">
        <v>1057</v>
      </c>
      <c r="B1061" s="12" t="s">
        <v>1575</v>
      </c>
      <c r="C1061" s="12" t="s">
        <v>1576</v>
      </c>
      <c r="D1061" s="16" t="n">
        <v>0.002915625</v>
      </c>
      <c r="E1061" s="15" t="n">
        <f aca="false">ROUND((D1061-$D$5)*86400,2)</f>
        <v>26.88</v>
      </c>
      <c r="F1061" s="17" t="n">
        <v>964</v>
      </c>
      <c r="G1061" s="16" t="n">
        <f aca="false">IF(INDEX(選手一覧!$D$7:$D$2738,$F1061)="","",INDEX(選手一覧!$D$7:$D$2738,$F1061))</f>
        <v>0.0109290509259259</v>
      </c>
      <c r="H1061" s="17" t="n">
        <f aca="false">IF(INDEX(選手一覧!$E$7:$E$2738,$F1061)="","",INDEX(選手一覧!$E$7:$E$2738,$F1061))</f>
        <v>965</v>
      </c>
      <c r="I1061" s="16" t="str">
        <f aca="false">IF(INDEX(選手一覧!$H$7:$H$2738,$F1061)="","",INDEX(選手一覧!$H$7:$H$2738,$F1061))</f>
        <v/>
      </c>
      <c r="J1061" s="17" t="str">
        <f aca="false">IF(INDEX(選手一覧!$I$7:$I$2738,$F1061)="","",INDEX(選手一覧!$I$7:$I$2738,$F1061))</f>
        <v/>
      </c>
    </row>
    <row r="1062" customFormat="false" ht="15" hidden="false" customHeight="false" outlineLevel="0" collapsed="false">
      <c r="A1062" s="17" t="n">
        <v>1058</v>
      </c>
      <c r="B1062" s="12" t="s">
        <v>3524</v>
      </c>
      <c r="C1062" s="12" t="s">
        <v>537</v>
      </c>
      <c r="D1062" s="16" t="n">
        <v>0.00291597222222222</v>
      </c>
      <c r="E1062" s="15" t="n">
        <f aca="false">ROUND((D1062-$D$5)*86400,2)</f>
        <v>26.91</v>
      </c>
      <c r="F1062" s="17" t="n">
        <v>2282</v>
      </c>
      <c r="G1062" s="16" t="str">
        <f aca="false">IF(INDEX(選手一覧!$D$7:$D$2738,$F1062)="","",INDEX(選手一覧!$D$7:$D$2738,$F1062))</f>
        <v/>
      </c>
      <c r="H1062" s="17" t="str">
        <f aca="false">IF(INDEX(選手一覧!$E$7:$E$2738,$F1062)="","",INDEX(選手一覧!$E$7:$E$2738,$F1062))</f>
        <v/>
      </c>
      <c r="I1062" s="16" t="str">
        <f aca="false">IF(INDEX(選手一覧!$H$7:$H$2738,$F1062)="","",INDEX(選手一覧!$H$7:$H$2738,$F1062))</f>
        <v/>
      </c>
      <c r="J1062" s="17" t="str">
        <f aca="false">IF(INDEX(選手一覧!$I$7:$I$2738,$F1062)="","",INDEX(選手一覧!$I$7:$I$2738,$F1062))</f>
        <v/>
      </c>
    </row>
    <row r="1063" customFormat="false" ht="15" hidden="false" customHeight="false" outlineLevel="0" collapsed="false">
      <c r="A1063" s="17" t="n">
        <v>1059</v>
      </c>
      <c r="B1063" s="12" t="s">
        <v>1055</v>
      </c>
      <c r="C1063" s="12" t="s">
        <v>595</v>
      </c>
      <c r="D1063" s="16" t="n">
        <v>0.00291608796296296</v>
      </c>
      <c r="E1063" s="15" t="n">
        <f aca="false">ROUND((D1063-$D$5)*86400,2)</f>
        <v>26.92</v>
      </c>
      <c r="F1063" s="17" t="n">
        <v>616</v>
      </c>
      <c r="G1063" s="16" t="n">
        <f aca="false">IF(INDEX(選手一覧!$D$7:$D$2738,$F1063)="","",INDEX(選手一覧!$D$7:$D$2738,$F1063))</f>
        <v>0.0107229166666667</v>
      </c>
      <c r="H1063" s="17" t="n">
        <f aca="false">IF(INDEX(選手一覧!$E$7:$E$2738,$F1063)="","",INDEX(選手一覧!$E$7:$E$2738,$F1063))</f>
        <v>617</v>
      </c>
      <c r="I1063" s="16" t="n">
        <f aca="false">IF(INDEX(選手一覧!$H$7:$H$2738,$F1063)="","",INDEX(選手一覧!$H$7:$H$2738,$F1063))</f>
        <v>0.00666805555555556</v>
      </c>
      <c r="J1063" s="17" t="n">
        <f aca="false">IF(INDEX(選手一覧!$I$7:$I$2738,$F1063)="","",INDEX(選手一覧!$I$7:$I$2738,$F1063))</f>
        <v>91</v>
      </c>
    </row>
    <row r="1064" customFormat="false" ht="15" hidden="false" customHeight="false" outlineLevel="0" collapsed="false">
      <c r="A1064" s="17" t="n">
        <v>1060</v>
      </c>
      <c r="B1064" s="12" t="s">
        <v>1056</v>
      </c>
      <c r="C1064" s="12" t="s">
        <v>648</v>
      </c>
      <c r="D1064" s="16" t="n">
        <v>0.0029162037037037</v>
      </c>
      <c r="E1064" s="15" t="n">
        <f aca="false">ROUND((D1064-$D$5)*86400,2)</f>
        <v>26.93</v>
      </c>
      <c r="F1064" s="17" t="n">
        <v>617</v>
      </c>
      <c r="G1064" s="16" t="n">
        <f aca="false">IF(INDEX(選手一覧!$D$7:$D$2738,$F1064)="","",INDEX(選手一覧!$D$7:$D$2738,$F1064))</f>
        <v>0.0107231481481482</v>
      </c>
      <c r="H1064" s="17" t="n">
        <f aca="false">IF(INDEX(選手一覧!$E$7:$E$2738,$F1064)="","",INDEX(選手一覧!$E$7:$E$2738,$F1064))</f>
        <v>618</v>
      </c>
      <c r="I1064" s="16" t="n">
        <f aca="false">IF(INDEX(選手一覧!$H$7:$H$2738,$F1064)="","",INDEX(選手一覧!$H$7:$H$2738,$F1064))</f>
        <v>0.00752777777777778</v>
      </c>
      <c r="J1064" s="17" t="n">
        <f aca="false">IF(INDEX(選手一覧!$I$7:$I$2738,$F1064)="","",INDEX(選手一覧!$I$7:$I$2738,$F1064))</f>
        <v>928</v>
      </c>
    </row>
    <row r="1065" customFormat="false" ht="15" hidden="false" customHeight="false" outlineLevel="0" collapsed="false">
      <c r="A1065" s="17" t="n">
        <v>1061</v>
      </c>
      <c r="B1065" s="12" t="s">
        <v>3529</v>
      </c>
      <c r="C1065" s="12" t="s">
        <v>3530</v>
      </c>
      <c r="D1065" s="16" t="n">
        <v>0.00291631944444444</v>
      </c>
      <c r="E1065" s="15" t="n">
        <f aca="false">ROUND((D1065-$D$5)*86400,2)</f>
        <v>26.94</v>
      </c>
      <c r="F1065" s="17" t="n">
        <v>2286</v>
      </c>
      <c r="G1065" s="16" t="str">
        <f aca="false">IF(INDEX(選手一覧!$D$7:$D$2738,$F1065)="","",INDEX(選手一覧!$D$7:$D$2738,$F1065))</f>
        <v/>
      </c>
      <c r="H1065" s="17" t="str">
        <f aca="false">IF(INDEX(選手一覧!$E$7:$E$2738,$F1065)="","",INDEX(選手一覧!$E$7:$E$2738,$F1065))</f>
        <v/>
      </c>
      <c r="I1065" s="16" t="str">
        <f aca="false">IF(INDEX(選手一覧!$H$7:$H$2738,$F1065)="","",INDEX(選手一覧!$H$7:$H$2738,$F1065))</f>
        <v/>
      </c>
      <c r="J1065" s="17" t="str">
        <f aca="false">IF(INDEX(選手一覧!$I$7:$I$2738,$F1065)="","",INDEX(選手一覧!$I$7:$I$2738,$F1065))</f>
        <v/>
      </c>
    </row>
    <row r="1066" customFormat="false" ht="15" hidden="false" customHeight="false" outlineLevel="0" collapsed="false">
      <c r="A1066" s="17" t="n">
        <v>1062</v>
      </c>
      <c r="B1066" s="12" t="s">
        <v>3532</v>
      </c>
      <c r="C1066" s="12" t="s">
        <v>3457</v>
      </c>
      <c r="D1066" s="16" t="n">
        <v>0.00291631944444444</v>
      </c>
      <c r="E1066" s="15" t="n">
        <f aca="false">ROUND((D1066-$D$5)*86400,2)</f>
        <v>26.94</v>
      </c>
      <c r="F1066" s="17" t="n">
        <v>2288</v>
      </c>
      <c r="G1066" s="16" t="str">
        <f aca="false">IF(INDEX(選手一覧!$D$7:$D$2738,$F1066)="","",INDEX(選手一覧!$D$7:$D$2738,$F1066))</f>
        <v/>
      </c>
      <c r="H1066" s="17" t="str">
        <f aca="false">IF(INDEX(選手一覧!$E$7:$E$2738,$F1066)="","",INDEX(選手一覧!$E$7:$E$2738,$F1066))</f>
        <v/>
      </c>
      <c r="I1066" s="16" t="str">
        <f aca="false">IF(INDEX(選手一覧!$H$7:$H$2738,$F1066)="","",INDEX(選手一覧!$H$7:$H$2738,$F1066))</f>
        <v/>
      </c>
      <c r="J1066" s="17" t="str">
        <f aca="false">IF(INDEX(選手一覧!$I$7:$I$2738,$F1066)="","",INDEX(選手一覧!$I$7:$I$2738,$F1066))</f>
        <v/>
      </c>
    </row>
    <row r="1067" customFormat="false" ht="15" hidden="false" customHeight="false" outlineLevel="0" collapsed="false">
      <c r="A1067" s="17" t="n">
        <v>1063</v>
      </c>
      <c r="B1067" s="12" t="s">
        <v>501</v>
      </c>
      <c r="C1067" s="12" t="s">
        <v>143</v>
      </c>
      <c r="D1067" s="16" t="n">
        <v>0.00291655092592593</v>
      </c>
      <c r="E1067" s="15" t="n">
        <f aca="false">ROUND((D1067-$D$5)*86400,2)</f>
        <v>26.96</v>
      </c>
      <c r="F1067" s="17" t="n">
        <v>261</v>
      </c>
      <c r="G1067" s="16" t="n">
        <f aca="false">IF(INDEX(選手一覧!$D$7:$D$2738,$F1067)="","",INDEX(選手一覧!$D$7:$D$2738,$F1067))</f>
        <v>0.0103980324074074</v>
      </c>
      <c r="H1067" s="17" t="n">
        <f aca="false">IF(INDEX(選手一覧!$E$7:$E$2738,$F1067)="","",INDEX(選手一覧!$E$7:$E$2738,$F1067))</f>
        <v>262</v>
      </c>
      <c r="I1067" s="16" t="str">
        <f aca="false">IF(INDEX(選手一覧!$H$7:$H$2738,$F1067)="","",INDEX(選手一覧!$H$7:$H$2738,$F1067))</f>
        <v/>
      </c>
      <c r="J1067" s="17" t="str">
        <f aca="false">IF(INDEX(選手一覧!$I$7:$I$2738,$F1067)="","",INDEX(選手一覧!$I$7:$I$2738,$F1067))</f>
        <v/>
      </c>
    </row>
    <row r="1068" customFormat="false" ht="15" hidden="false" customHeight="false" outlineLevel="0" collapsed="false">
      <c r="A1068" s="17" t="n">
        <v>1064</v>
      </c>
      <c r="B1068" s="12" t="s">
        <v>859</v>
      </c>
      <c r="C1068" s="12" t="s">
        <v>860</v>
      </c>
      <c r="D1068" s="16" t="n">
        <v>0.00291678240740741</v>
      </c>
      <c r="E1068" s="15" t="n">
        <f aca="false">ROUND((D1068-$D$5)*86400,2)</f>
        <v>26.98</v>
      </c>
      <c r="F1068" s="17" t="n">
        <v>489</v>
      </c>
      <c r="G1068" s="16" t="n">
        <f aca="false">IF(INDEX(選手一覧!$D$7:$D$2738,$F1068)="","",INDEX(選手一覧!$D$7:$D$2738,$F1068))</f>
        <v>0.0106164351851852</v>
      </c>
      <c r="H1068" s="17" t="n">
        <f aca="false">IF(INDEX(選手一覧!$E$7:$E$2738,$F1068)="","",INDEX(選手一覧!$E$7:$E$2738,$F1068))</f>
        <v>490</v>
      </c>
      <c r="I1068" s="16" t="n">
        <f aca="false">IF(INDEX(選手一覧!$H$7:$H$2738,$F1068)="","",INDEX(選手一覧!$H$7:$H$2738,$F1068))</f>
        <v>0.00720949074074074</v>
      </c>
      <c r="J1068" s="17" t="n">
        <f aca="false">IF(INDEX(選手一覧!$I$7:$I$2738,$F1068)="","",INDEX(選手一覧!$I$7:$I$2738,$F1068))</f>
        <v>546</v>
      </c>
    </row>
    <row r="1069" customFormat="false" ht="15" hidden="false" customHeight="false" outlineLevel="0" collapsed="false">
      <c r="A1069" s="17" t="n">
        <v>1065</v>
      </c>
      <c r="B1069" s="12" t="s">
        <v>3536</v>
      </c>
      <c r="C1069" s="12" t="s">
        <v>2444</v>
      </c>
      <c r="D1069" s="16" t="n">
        <v>0.00291689814814815</v>
      </c>
      <c r="E1069" s="15" t="n">
        <f aca="false">ROUND((D1069-$D$5)*86400,2)</f>
        <v>26.99</v>
      </c>
      <c r="F1069" s="17" t="n">
        <v>2291</v>
      </c>
      <c r="G1069" s="16" t="str">
        <f aca="false">IF(INDEX(選手一覧!$D$7:$D$2738,$F1069)="","",INDEX(選手一覧!$D$7:$D$2738,$F1069))</f>
        <v/>
      </c>
      <c r="H1069" s="17" t="str">
        <f aca="false">IF(INDEX(選手一覧!$E$7:$E$2738,$F1069)="","",INDEX(選手一覧!$E$7:$E$2738,$F1069))</f>
        <v/>
      </c>
      <c r="I1069" s="16" t="str">
        <f aca="false">IF(INDEX(選手一覧!$H$7:$H$2738,$F1069)="","",INDEX(選手一覧!$H$7:$H$2738,$F1069))</f>
        <v/>
      </c>
      <c r="J1069" s="17" t="str">
        <f aca="false">IF(INDEX(選手一覧!$I$7:$I$2738,$F1069)="","",INDEX(選手一覧!$I$7:$I$2738,$F1069))</f>
        <v/>
      </c>
    </row>
    <row r="1070" customFormat="false" ht="15" hidden="false" customHeight="false" outlineLevel="0" collapsed="false">
      <c r="A1070" s="17" t="n">
        <v>1066</v>
      </c>
      <c r="B1070" s="12" t="s">
        <v>1202</v>
      </c>
      <c r="C1070" s="12" t="s">
        <v>303</v>
      </c>
      <c r="D1070" s="16" t="n">
        <v>0.00291689814814815</v>
      </c>
      <c r="E1070" s="15" t="n">
        <f aca="false">ROUND((D1070-$D$5)*86400,2)</f>
        <v>26.99</v>
      </c>
      <c r="F1070" s="17" t="n">
        <v>714</v>
      </c>
      <c r="G1070" s="16" t="n">
        <f aca="false">IF(INDEX(選手一覧!$D$7:$D$2738,$F1070)="","",INDEX(選手一覧!$D$7:$D$2738,$F1070))</f>
        <v>0.0107873842592593</v>
      </c>
      <c r="H1070" s="17" t="n">
        <f aca="false">IF(INDEX(選手一覧!$E$7:$E$2738,$F1070)="","",INDEX(選手一覧!$E$7:$E$2738,$F1070))</f>
        <v>715</v>
      </c>
      <c r="I1070" s="16" t="str">
        <f aca="false">IF(INDEX(選手一覧!$H$7:$H$2738,$F1070)="","",INDEX(選手一覧!$H$7:$H$2738,$F1070))</f>
        <v/>
      </c>
      <c r="J1070" s="17" t="str">
        <f aca="false">IF(INDEX(選手一覧!$I$7:$I$2738,$F1070)="","",INDEX(選手一覧!$I$7:$I$2738,$F1070))</f>
        <v/>
      </c>
    </row>
    <row r="1071" customFormat="false" ht="15" hidden="false" customHeight="false" outlineLevel="0" collapsed="false">
      <c r="A1071" s="17" t="n">
        <v>1067</v>
      </c>
      <c r="B1071" s="12" t="s">
        <v>1683</v>
      </c>
      <c r="C1071" s="12" t="s">
        <v>1684</v>
      </c>
      <c r="D1071" s="16" t="n">
        <v>0.00291712962962963</v>
      </c>
      <c r="E1071" s="15" t="n">
        <f aca="false">ROUND((D1071-$D$5)*86400,2)</f>
        <v>27.01</v>
      </c>
      <c r="F1071" s="17" t="n">
        <v>1038</v>
      </c>
      <c r="G1071" s="16" t="n">
        <f aca="false">IF(INDEX(選手一覧!$D$7:$D$2738,$F1071)="","",INDEX(選手一覧!$D$7:$D$2738,$F1071))</f>
        <v>0.0109696759259259</v>
      </c>
      <c r="H1071" s="17" t="n">
        <f aca="false">IF(INDEX(選手一覧!$E$7:$E$2738,$F1071)="","",INDEX(選手一覧!$E$7:$E$2738,$F1071))</f>
        <v>1039</v>
      </c>
      <c r="I1071" s="16" t="str">
        <f aca="false">IF(INDEX(選手一覧!$H$7:$H$2738,$F1071)="","",INDEX(選手一覧!$H$7:$H$2738,$F1071))</f>
        <v/>
      </c>
      <c r="J1071" s="17" t="str">
        <f aca="false">IF(INDEX(選手一覧!$I$7:$I$2738,$F1071)="","",INDEX(選手一覧!$I$7:$I$2738,$F1071))</f>
        <v/>
      </c>
    </row>
    <row r="1072" customFormat="false" ht="15" hidden="false" customHeight="false" outlineLevel="0" collapsed="false">
      <c r="A1072" s="17" t="n">
        <v>1068</v>
      </c>
      <c r="B1072" s="12" t="s">
        <v>1585</v>
      </c>
      <c r="C1072" s="12" t="s">
        <v>1586</v>
      </c>
      <c r="D1072" s="16" t="n">
        <v>0.00291712962962963</v>
      </c>
      <c r="E1072" s="15" t="n">
        <f aca="false">ROUND((D1072-$D$5)*86400,2)</f>
        <v>27.01</v>
      </c>
      <c r="F1072" s="17" t="n">
        <v>971</v>
      </c>
      <c r="G1072" s="16" t="n">
        <f aca="false">IF(INDEX(選手一覧!$D$7:$D$2738,$F1072)="","",INDEX(選手一覧!$D$7:$D$2738,$F1072))</f>
        <v>0.0109325231481482</v>
      </c>
      <c r="H1072" s="17" t="n">
        <f aca="false">IF(INDEX(選手一覧!$E$7:$E$2738,$F1072)="","",INDEX(選手一覧!$E$7:$E$2738,$F1072))</f>
        <v>972</v>
      </c>
      <c r="I1072" s="16" t="str">
        <f aca="false">IF(INDEX(選手一覧!$H$7:$H$2738,$F1072)="","",INDEX(選手一覧!$H$7:$H$2738,$F1072))</f>
        <v/>
      </c>
      <c r="J1072" s="17" t="str">
        <f aca="false">IF(INDEX(選手一覧!$I$7:$I$2738,$F1072)="","",INDEX(選手一覧!$I$7:$I$2738,$F1072))</f>
        <v/>
      </c>
    </row>
    <row r="1073" customFormat="false" ht="15" hidden="false" customHeight="false" outlineLevel="0" collapsed="false">
      <c r="A1073" s="17" t="n">
        <v>1069</v>
      </c>
      <c r="B1073" s="12" t="s">
        <v>3543</v>
      </c>
      <c r="C1073" s="12" t="s">
        <v>3544</v>
      </c>
      <c r="D1073" s="16" t="n">
        <v>0.00291724537037037</v>
      </c>
      <c r="E1073" s="15" t="n">
        <f aca="false">ROUND((D1073-$D$5)*86400,2)</f>
        <v>27.02</v>
      </c>
      <c r="F1073" s="17" t="n">
        <v>2295</v>
      </c>
      <c r="G1073" s="16" t="str">
        <f aca="false">IF(INDEX(選手一覧!$D$7:$D$2738,$F1073)="","",INDEX(選手一覧!$D$7:$D$2738,$F1073))</f>
        <v/>
      </c>
      <c r="H1073" s="17" t="str">
        <f aca="false">IF(INDEX(選手一覧!$E$7:$E$2738,$F1073)="","",INDEX(選手一覧!$E$7:$E$2738,$F1073))</f>
        <v/>
      </c>
      <c r="I1073" s="16" t="str">
        <f aca="false">IF(INDEX(選手一覧!$H$7:$H$2738,$F1073)="","",INDEX(選手一覧!$H$7:$H$2738,$F1073))</f>
        <v/>
      </c>
      <c r="J1073" s="17" t="str">
        <f aca="false">IF(INDEX(選手一覧!$I$7:$I$2738,$F1073)="","",INDEX(選手一覧!$I$7:$I$2738,$F1073))</f>
        <v/>
      </c>
    </row>
    <row r="1074" customFormat="false" ht="15" hidden="false" customHeight="false" outlineLevel="0" collapsed="false">
      <c r="A1074" s="17" t="n">
        <v>1070</v>
      </c>
      <c r="B1074" s="12" t="s">
        <v>2116</v>
      </c>
      <c r="C1074" s="12" t="s">
        <v>2117</v>
      </c>
      <c r="D1074" s="16" t="n">
        <v>0.00291747685185185</v>
      </c>
      <c r="E1074" s="15" t="n">
        <f aca="false">ROUND((D1074-$D$5)*86400,2)</f>
        <v>27.04</v>
      </c>
      <c r="F1074" s="17" t="n">
        <v>1344</v>
      </c>
      <c r="G1074" s="16" t="str">
        <f aca="false">IF(INDEX(選手一覧!$D$7:$D$2738,$F1074)="","",INDEX(選手一覧!$D$7:$D$2738,$F1074))</f>
        <v/>
      </c>
      <c r="H1074" s="17" t="str">
        <f aca="false">IF(INDEX(選手一覧!$E$7:$E$2738,$F1074)="","",INDEX(選手一覧!$E$7:$E$2738,$F1074))</f>
        <v/>
      </c>
      <c r="I1074" s="16" t="n">
        <f aca="false">IF(INDEX(選手一覧!$H$7:$H$2738,$F1074)="","",INDEX(選手一覧!$H$7:$H$2738,$F1074))</f>
        <v>0.00682905092592593</v>
      </c>
      <c r="J1074" s="17" t="n">
        <f aca="false">IF(INDEX(選手一覧!$I$7:$I$2738,$F1074)="","",INDEX(選手一覧!$I$7:$I$2738,$F1074))</f>
        <v>193</v>
      </c>
    </row>
    <row r="1075" customFormat="false" ht="15" hidden="false" customHeight="false" outlineLevel="0" collapsed="false">
      <c r="A1075" s="17" t="n">
        <v>1071</v>
      </c>
      <c r="B1075" s="12" t="s">
        <v>2098</v>
      </c>
      <c r="C1075" s="12" t="s">
        <v>2099</v>
      </c>
      <c r="D1075" s="16" t="n">
        <v>0.00291759259259259</v>
      </c>
      <c r="E1075" s="15" t="n">
        <f aca="false">ROUND((D1075-$D$5)*86400,2)</f>
        <v>27.05</v>
      </c>
      <c r="F1075" s="17" t="n">
        <v>1333</v>
      </c>
      <c r="G1075" s="16" t="str">
        <f aca="false">IF(INDEX(選手一覧!$D$7:$D$2738,$F1075)="","",INDEX(選手一覧!$D$7:$D$2738,$F1075))</f>
        <v/>
      </c>
      <c r="H1075" s="17" t="str">
        <f aca="false">IF(INDEX(選手一覧!$E$7:$E$2738,$F1075)="","",INDEX(選手一覧!$E$7:$E$2738,$F1075))</f>
        <v/>
      </c>
      <c r="I1075" s="16" t="n">
        <f aca="false">IF(INDEX(選手一覧!$H$7:$H$2738,$F1075)="","",INDEX(選手一覧!$H$7:$H$2738,$F1075))</f>
        <v>0.00680416666666667</v>
      </c>
      <c r="J1075" s="17" t="n">
        <f aca="false">IF(INDEX(選手一覧!$I$7:$I$2738,$F1075)="","",INDEX(選手一覧!$I$7:$I$2738,$F1075))</f>
        <v>175</v>
      </c>
    </row>
    <row r="1076" customFormat="false" ht="15" hidden="false" customHeight="false" outlineLevel="0" collapsed="false">
      <c r="A1076" s="17" t="n">
        <v>1072</v>
      </c>
      <c r="B1076" s="12" t="s">
        <v>3550</v>
      </c>
      <c r="C1076" s="12" t="s">
        <v>3026</v>
      </c>
      <c r="D1076" s="16" t="n">
        <v>0.00291759259259259</v>
      </c>
      <c r="E1076" s="15" t="n">
        <f aca="false">ROUND((D1076-$D$5)*86400,2)</f>
        <v>27.05</v>
      </c>
      <c r="F1076" s="17" t="n">
        <v>2299</v>
      </c>
      <c r="G1076" s="16" t="str">
        <f aca="false">IF(INDEX(選手一覧!$D$7:$D$2738,$F1076)="","",INDEX(選手一覧!$D$7:$D$2738,$F1076))</f>
        <v/>
      </c>
      <c r="H1076" s="17" t="str">
        <f aca="false">IF(INDEX(選手一覧!$E$7:$E$2738,$F1076)="","",INDEX(選手一覧!$E$7:$E$2738,$F1076))</f>
        <v/>
      </c>
      <c r="I1076" s="16" t="str">
        <f aca="false">IF(INDEX(選手一覧!$H$7:$H$2738,$F1076)="","",INDEX(選手一覧!$H$7:$H$2738,$F1076))</f>
        <v/>
      </c>
      <c r="J1076" s="17" t="str">
        <f aca="false">IF(INDEX(選手一覧!$I$7:$I$2738,$F1076)="","",INDEX(選手一覧!$I$7:$I$2738,$F1076))</f>
        <v/>
      </c>
    </row>
    <row r="1077" customFormat="false" ht="15" hidden="false" customHeight="false" outlineLevel="0" collapsed="false">
      <c r="A1077" s="17" t="n">
        <v>1073</v>
      </c>
      <c r="B1077" s="12" t="s">
        <v>3552</v>
      </c>
      <c r="C1077" s="12" t="s">
        <v>2628</v>
      </c>
      <c r="D1077" s="16" t="n">
        <v>0.00291782407407407</v>
      </c>
      <c r="E1077" s="15" t="n">
        <f aca="false">ROUND((D1077-$D$5)*86400,2)</f>
        <v>27.07</v>
      </c>
      <c r="F1077" s="17" t="n">
        <v>2301</v>
      </c>
      <c r="G1077" s="16" t="str">
        <f aca="false">IF(INDEX(選手一覧!$D$7:$D$2738,$F1077)="","",INDEX(選手一覧!$D$7:$D$2738,$F1077))</f>
        <v/>
      </c>
      <c r="H1077" s="17" t="str">
        <f aca="false">IF(INDEX(選手一覧!$E$7:$E$2738,$F1077)="","",INDEX(選手一覧!$E$7:$E$2738,$F1077))</f>
        <v/>
      </c>
      <c r="I1077" s="16" t="str">
        <f aca="false">IF(INDEX(選手一覧!$H$7:$H$2738,$F1077)="","",INDEX(選手一覧!$H$7:$H$2738,$F1077))</f>
        <v/>
      </c>
      <c r="J1077" s="17" t="str">
        <f aca="false">IF(INDEX(選手一覧!$I$7:$I$2738,$F1077)="","",INDEX(選手一覧!$I$7:$I$2738,$F1077))</f>
        <v/>
      </c>
    </row>
    <row r="1078" customFormat="false" ht="15" hidden="false" customHeight="false" outlineLevel="0" collapsed="false">
      <c r="A1078" s="17" t="n">
        <v>1074</v>
      </c>
      <c r="B1078" s="12" t="s">
        <v>3555</v>
      </c>
      <c r="C1078" s="12" t="s">
        <v>2372</v>
      </c>
      <c r="D1078" s="16" t="n">
        <v>0.00291793981481482</v>
      </c>
      <c r="E1078" s="15" t="n">
        <f aca="false">ROUND((D1078-$D$5)*86400,2)</f>
        <v>27.08</v>
      </c>
      <c r="F1078" s="17" t="n">
        <v>2303</v>
      </c>
      <c r="G1078" s="16" t="str">
        <f aca="false">IF(INDEX(選手一覧!$D$7:$D$2738,$F1078)="","",INDEX(選手一覧!$D$7:$D$2738,$F1078))</f>
        <v/>
      </c>
      <c r="H1078" s="17" t="str">
        <f aca="false">IF(INDEX(選手一覧!$E$7:$E$2738,$F1078)="","",INDEX(選手一覧!$E$7:$E$2738,$F1078))</f>
        <v/>
      </c>
      <c r="I1078" s="16" t="str">
        <f aca="false">IF(INDEX(選手一覧!$H$7:$H$2738,$F1078)="","",INDEX(選手一覧!$H$7:$H$2738,$F1078))</f>
        <v/>
      </c>
      <c r="J1078" s="17" t="str">
        <f aca="false">IF(INDEX(選手一覧!$I$7:$I$2738,$F1078)="","",INDEX(選手一覧!$I$7:$I$2738,$F1078))</f>
        <v/>
      </c>
    </row>
    <row r="1079" customFormat="false" ht="15" hidden="false" customHeight="false" outlineLevel="0" collapsed="false">
      <c r="A1079" s="17" t="n">
        <v>1075</v>
      </c>
      <c r="B1079" s="12" t="s">
        <v>3558</v>
      </c>
      <c r="C1079" s="12" t="s">
        <v>3559</v>
      </c>
      <c r="D1079" s="16" t="n">
        <v>0.00291805555555556</v>
      </c>
      <c r="E1079" s="15" t="n">
        <f aca="false">ROUND((D1079-$D$5)*86400,2)</f>
        <v>27.09</v>
      </c>
      <c r="F1079" s="17" t="n">
        <v>2305</v>
      </c>
      <c r="G1079" s="16" t="str">
        <f aca="false">IF(INDEX(選手一覧!$D$7:$D$2738,$F1079)="","",INDEX(選手一覧!$D$7:$D$2738,$F1079))</f>
        <v/>
      </c>
      <c r="H1079" s="17" t="str">
        <f aca="false">IF(INDEX(選手一覧!$E$7:$E$2738,$F1079)="","",INDEX(選手一覧!$E$7:$E$2738,$F1079))</f>
        <v/>
      </c>
      <c r="I1079" s="16" t="str">
        <f aca="false">IF(INDEX(選手一覧!$H$7:$H$2738,$F1079)="","",INDEX(選手一覧!$H$7:$H$2738,$F1079))</f>
        <v/>
      </c>
      <c r="J1079" s="17" t="str">
        <f aca="false">IF(INDEX(選手一覧!$I$7:$I$2738,$F1079)="","",INDEX(選手一覧!$I$7:$I$2738,$F1079))</f>
        <v/>
      </c>
    </row>
    <row r="1080" customFormat="false" ht="15" hidden="false" customHeight="false" outlineLevel="0" collapsed="false">
      <c r="A1080" s="17" t="n">
        <v>1076</v>
      </c>
      <c r="B1080" s="12" t="s">
        <v>2187</v>
      </c>
      <c r="C1080" s="12" t="s">
        <v>2188</v>
      </c>
      <c r="D1080" s="16" t="n">
        <v>0.00291805555555556</v>
      </c>
      <c r="E1080" s="15" t="n">
        <f aca="false">ROUND((D1080-$D$5)*86400,2)</f>
        <v>27.09</v>
      </c>
      <c r="F1080" s="17" t="n">
        <v>1392</v>
      </c>
      <c r="G1080" s="16" t="str">
        <f aca="false">IF(INDEX(選手一覧!$D$7:$D$2738,$F1080)="","",INDEX(選手一覧!$D$7:$D$2738,$F1080))</f>
        <v/>
      </c>
      <c r="H1080" s="17" t="str">
        <f aca="false">IF(INDEX(選手一覧!$E$7:$E$2738,$F1080)="","",INDEX(選手一覧!$E$7:$E$2738,$F1080))</f>
        <v/>
      </c>
      <c r="I1080" s="16" t="n">
        <f aca="false">IF(INDEX(選手一覧!$H$7:$H$2738,$F1080)="","",INDEX(選手一覧!$H$7:$H$2738,$F1080))</f>
        <v>0.00692268518518519</v>
      </c>
      <c r="J1080" s="17" t="n">
        <f aca="false">IF(INDEX(選手一覧!$I$7:$I$2738,$F1080)="","",INDEX(選手一覧!$I$7:$I$2738,$F1080))</f>
        <v>261</v>
      </c>
    </row>
    <row r="1081" customFormat="false" ht="15" hidden="false" customHeight="false" outlineLevel="0" collapsed="false">
      <c r="A1081" s="17" t="n">
        <v>1077</v>
      </c>
      <c r="B1081" s="12" t="s">
        <v>3562</v>
      </c>
      <c r="C1081" s="12" t="s">
        <v>3469</v>
      </c>
      <c r="D1081" s="16" t="n">
        <v>0.00291828703703704</v>
      </c>
      <c r="E1081" s="15" t="n">
        <f aca="false">ROUND((D1081-$D$5)*86400,2)</f>
        <v>27.11</v>
      </c>
      <c r="F1081" s="17" t="n">
        <v>2308</v>
      </c>
      <c r="G1081" s="16" t="str">
        <f aca="false">IF(INDEX(選手一覧!$D$7:$D$2738,$F1081)="","",INDEX(選手一覧!$D$7:$D$2738,$F1081))</f>
        <v/>
      </c>
      <c r="H1081" s="17" t="str">
        <f aca="false">IF(INDEX(選手一覧!$E$7:$E$2738,$F1081)="","",INDEX(選手一覧!$E$7:$E$2738,$F1081))</f>
        <v/>
      </c>
      <c r="I1081" s="16" t="str">
        <f aca="false">IF(INDEX(選手一覧!$H$7:$H$2738,$F1081)="","",INDEX(選手一覧!$H$7:$H$2738,$F1081))</f>
        <v/>
      </c>
      <c r="J1081" s="17" t="str">
        <f aca="false">IF(INDEX(選手一覧!$I$7:$I$2738,$F1081)="","",INDEX(選手一覧!$I$7:$I$2738,$F1081))</f>
        <v/>
      </c>
    </row>
    <row r="1082" customFormat="false" ht="15" hidden="false" customHeight="false" outlineLevel="0" collapsed="false">
      <c r="A1082" s="17" t="n">
        <v>1078</v>
      </c>
      <c r="B1082" s="12" t="s">
        <v>2320</v>
      </c>
      <c r="C1082" s="12" t="s">
        <v>1697</v>
      </c>
      <c r="D1082" s="16" t="n">
        <v>0.00291840277777778</v>
      </c>
      <c r="E1082" s="15" t="n">
        <f aca="false">ROUND((D1082-$D$5)*86400,2)</f>
        <v>27.12</v>
      </c>
      <c r="F1082" s="17" t="n">
        <v>1473</v>
      </c>
      <c r="G1082" s="16" t="str">
        <f aca="false">IF(INDEX(選手一覧!$D$7:$D$2738,$F1082)="","",INDEX(選手一覧!$D$7:$D$2738,$F1082))</f>
        <v/>
      </c>
      <c r="H1082" s="17" t="str">
        <f aca="false">IF(INDEX(選手一覧!$E$7:$E$2738,$F1082)="","",INDEX(選手一覧!$E$7:$E$2738,$F1082))</f>
        <v/>
      </c>
      <c r="I1082" s="16" t="n">
        <f aca="false">IF(INDEX(選手一覧!$H$7:$H$2738,$F1082)="","",INDEX(選手一覧!$H$7:$H$2738,$F1082))</f>
        <v>0.00703935185185185</v>
      </c>
      <c r="J1082" s="17" t="n">
        <f aca="false">IF(INDEX(選手一覧!$I$7:$I$2738,$F1082)="","",INDEX(選手一覧!$I$7:$I$2738,$F1082))</f>
        <v>373</v>
      </c>
    </row>
    <row r="1083" customFormat="false" ht="15" hidden="false" customHeight="false" outlineLevel="0" collapsed="false">
      <c r="A1083" s="17" t="n">
        <v>1079</v>
      </c>
      <c r="B1083" s="12" t="s">
        <v>3566</v>
      </c>
      <c r="C1083" s="12" t="s">
        <v>1184</v>
      </c>
      <c r="D1083" s="16" t="n">
        <v>0.00291851851851852</v>
      </c>
      <c r="E1083" s="15" t="n">
        <f aca="false">ROUND((D1083-$D$5)*86400,2)</f>
        <v>27.13</v>
      </c>
      <c r="F1083" s="17" t="n">
        <v>2311</v>
      </c>
      <c r="G1083" s="16" t="str">
        <f aca="false">IF(INDEX(選手一覧!$D$7:$D$2738,$F1083)="","",INDEX(選手一覧!$D$7:$D$2738,$F1083))</f>
        <v/>
      </c>
      <c r="H1083" s="17" t="str">
        <f aca="false">IF(INDEX(選手一覧!$E$7:$E$2738,$F1083)="","",INDEX(選手一覧!$E$7:$E$2738,$F1083))</f>
        <v/>
      </c>
      <c r="I1083" s="16" t="str">
        <f aca="false">IF(INDEX(選手一覧!$H$7:$H$2738,$F1083)="","",INDEX(選手一覧!$H$7:$H$2738,$F1083))</f>
        <v/>
      </c>
      <c r="J1083" s="17" t="str">
        <f aca="false">IF(INDEX(選手一覧!$I$7:$I$2738,$F1083)="","",INDEX(選手一覧!$I$7:$I$2738,$F1083))</f>
        <v/>
      </c>
    </row>
    <row r="1084" customFormat="false" ht="15" hidden="false" customHeight="false" outlineLevel="0" collapsed="false">
      <c r="A1084" s="17" t="n">
        <v>1080</v>
      </c>
      <c r="B1084" s="12" t="s">
        <v>513</v>
      </c>
      <c r="C1084" s="12" t="s">
        <v>25</v>
      </c>
      <c r="D1084" s="16" t="n">
        <v>0.00291875</v>
      </c>
      <c r="E1084" s="15" t="n">
        <f aca="false">ROUND((D1084-$D$5)*86400,2)</f>
        <v>27.15</v>
      </c>
      <c r="F1084" s="17" t="n">
        <v>269</v>
      </c>
      <c r="G1084" s="16" t="n">
        <f aca="false">IF(INDEX(選手一覧!$D$7:$D$2738,$F1084)="","",INDEX(選手一覧!$D$7:$D$2738,$F1084))</f>
        <v>0.01040625</v>
      </c>
      <c r="H1084" s="17" t="n">
        <f aca="false">IF(INDEX(選手一覧!$E$7:$E$2738,$F1084)="","",INDEX(選手一覧!$E$7:$E$2738,$F1084))</f>
        <v>270</v>
      </c>
      <c r="I1084" s="16" t="n">
        <f aca="false">IF(INDEX(選手一覧!$H$7:$H$2738,$F1084)="","",INDEX(選手一覧!$H$7:$H$2738,$F1084))</f>
        <v>0.00686087962962963</v>
      </c>
      <c r="J1084" s="17" t="n">
        <f aca="false">IF(INDEX(選手一覧!$I$7:$I$2738,$F1084)="","",INDEX(選手一覧!$I$7:$I$2738,$F1084))</f>
        <v>211</v>
      </c>
    </row>
    <row r="1085" customFormat="false" ht="15" hidden="false" customHeight="false" outlineLevel="0" collapsed="false">
      <c r="A1085" s="17" t="n">
        <v>1081</v>
      </c>
      <c r="B1085" s="12" t="s">
        <v>1616</v>
      </c>
      <c r="C1085" s="12" t="s">
        <v>648</v>
      </c>
      <c r="D1085" s="16" t="n">
        <v>0.00291875</v>
      </c>
      <c r="E1085" s="15" t="n">
        <f aca="false">ROUND((D1085-$D$5)*86400,2)</f>
        <v>27.15</v>
      </c>
      <c r="F1085" s="17" t="n">
        <v>992</v>
      </c>
      <c r="G1085" s="16" t="n">
        <f aca="false">IF(INDEX(選手一覧!$D$7:$D$2738,$F1085)="","",INDEX(選手一覧!$D$7:$D$2738,$F1085))</f>
        <v>0.0109480324074074</v>
      </c>
      <c r="H1085" s="17" t="n">
        <f aca="false">IF(INDEX(選手一覧!$E$7:$E$2738,$F1085)="","",INDEX(選手一覧!$E$7:$E$2738,$F1085))</f>
        <v>993</v>
      </c>
      <c r="I1085" s="16" t="n">
        <f aca="false">IF(INDEX(選手一覧!$H$7:$H$2738,$F1085)="","",INDEX(選手一覧!$H$7:$H$2738,$F1085))</f>
        <v>0.00679340277777778</v>
      </c>
      <c r="J1085" s="17" t="n">
        <f aca="false">IF(INDEX(選手一覧!$I$7:$I$2738,$F1085)="","",INDEX(選手一覧!$I$7:$I$2738,$F1085))</f>
        <v>165</v>
      </c>
    </row>
    <row r="1086" customFormat="false" ht="15" hidden="false" customHeight="false" outlineLevel="0" collapsed="false">
      <c r="A1086" s="17" t="n">
        <v>1082</v>
      </c>
      <c r="B1086" s="12" t="s">
        <v>1727</v>
      </c>
      <c r="C1086" s="12" t="s">
        <v>61</v>
      </c>
      <c r="D1086" s="16" t="n">
        <v>0.00291886574074074</v>
      </c>
      <c r="E1086" s="15" t="n">
        <f aca="false">ROUND((D1086-$D$5)*86400,2)</f>
        <v>27.16</v>
      </c>
      <c r="F1086" s="17" t="n">
        <v>1067</v>
      </c>
      <c r="G1086" s="16" t="n">
        <f aca="false">IF(INDEX(選手一覧!$D$7:$D$2738,$F1086)="","",INDEX(選手一覧!$D$7:$D$2738,$F1086))</f>
        <v>0.0109853009259259</v>
      </c>
      <c r="H1086" s="17" t="n">
        <f aca="false">IF(INDEX(選手一覧!$E$7:$E$2738,$F1086)="","",INDEX(選手一覧!$E$7:$E$2738,$F1086))</f>
        <v>1068</v>
      </c>
      <c r="I1086" s="16" t="str">
        <f aca="false">IF(INDEX(選手一覧!$H$7:$H$2738,$F1086)="","",INDEX(選手一覧!$H$7:$H$2738,$F1086))</f>
        <v/>
      </c>
      <c r="J1086" s="17" t="str">
        <f aca="false">IF(INDEX(選手一覧!$I$7:$I$2738,$F1086)="","",INDEX(選手一覧!$I$7:$I$2738,$F1086))</f>
        <v/>
      </c>
    </row>
    <row r="1087" customFormat="false" ht="15" hidden="false" customHeight="false" outlineLevel="0" collapsed="false">
      <c r="A1087" s="17" t="n">
        <v>1083</v>
      </c>
      <c r="B1087" s="12" t="s">
        <v>583</v>
      </c>
      <c r="C1087" s="12" t="s">
        <v>214</v>
      </c>
      <c r="D1087" s="16" t="n">
        <v>0.00291898148148148</v>
      </c>
      <c r="E1087" s="15" t="n">
        <f aca="false">ROUND((D1087-$D$5)*86400,2)</f>
        <v>27.17</v>
      </c>
      <c r="F1087" s="17" t="n">
        <v>312</v>
      </c>
      <c r="G1087" s="16" t="n">
        <f aca="false">IF(INDEX(選手一覧!$D$7:$D$2738,$F1087)="","",INDEX(選手一覧!$D$7:$D$2738,$F1087))</f>
        <v>0.010462962962963</v>
      </c>
      <c r="H1087" s="17" t="n">
        <f aca="false">IF(INDEX(選手一覧!$E$7:$E$2738,$F1087)="","",INDEX(選手一覧!$E$7:$E$2738,$F1087))</f>
        <v>313</v>
      </c>
      <c r="I1087" s="16" t="str">
        <f aca="false">IF(INDEX(選手一覧!$H$7:$H$2738,$F1087)="","",INDEX(選手一覧!$H$7:$H$2738,$F1087))</f>
        <v/>
      </c>
      <c r="J1087" s="17" t="str">
        <f aca="false">IF(INDEX(選手一覧!$I$7:$I$2738,$F1087)="","",INDEX(選手一覧!$I$7:$I$2738,$F1087))</f>
        <v/>
      </c>
    </row>
    <row r="1088" customFormat="false" ht="15" hidden="false" customHeight="false" outlineLevel="0" collapsed="false">
      <c r="A1088" s="17" t="n">
        <v>1084</v>
      </c>
      <c r="B1088" s="12" t="s">
        <v>3572</v>
      </c>
      <c r="C1088" s="12" t="s">
        <v>2196</v>
      </c>
      <c r="D1088" s="16" t="n">
        <v>0.00291898148148148</v>
      </c>
      <c r="E1088" s="15" t="n">
        <f aca="false">ROUND((D1088-$D$5)*86400,2)</f>
        <v>27.17</v>
      </c>
      <c r="F1088" s="17" t="n">
        <v>2316</v>
      </c>
      <c r="G1088" s="16" t="str">
        <f aca="false">IF(INDEX(選手一覧!$D$7:$D$2738,$F1088)="","",INDEX(選手一覧!$D$7:$D$2738,$F1088))</f>
        <v/>
      </c>
      <c r="H1088" s="17" t="str">
        <f aca="false">IF(INDEX(選手一覧!$E$7:$E$2738,$F1088)="","",INDEX(選手一覧!$E$7:$E$2738,$F1088))</f>
        <v/>
      </c>
      <c r="I1088" s="16" t="str">
        <f aca="false">IF(INDEX(選手一覧!$H$7:$H$2738,$F1088)="","",INDEX(選手一覧!$H$7:$H$2738,$F1088))</f>
        <v/>
      </c>
      <c r="J1088" s="17" t="str">
        <f aca="false">IF(INDEX(選手一覧!$I$7:$I$2738,$F1088)="","",INDEX(選手一覧!$I$7:$I$2738,$F1088))</f>
        <v/>
      </c>
    </row>
    <row r="1089" customFormat="false" ht="15" hidden="false" customHeight="false" outlineLevel="0" collapsed="false">
      <c r="A1089" s="17" t="n">
        <v>1085</v>
      </c>
      <c r="B1089" s="12" t="s">
        <v>682</v>
      </c>
      <c r="C1089" s="12" t="s">
        <v>532</v>
      </c>
      <c r="D1089" s="16" t="n">
        <v>0.00291921296296296</v>
      </c>
      <c r="E1089" s="15" t="n">
        <f aca="false">ROUND((D1089-$D$5)*86400,2)</f>
        <v>27.19</v>
      </c>
      <c r="F1089" s="17" t="n">
        <v>375</v>
      </c>
      <c r="G1089" s="16" t="n">
        <f aca="false">IF(INDEX(選手一覧!$D$7:$D$2738,$F1089)="","",INDEX(選手一覧!$D$7:$D$2738,$F1089))</f>
        <v>0.0105346064814815</v>
      </c>
      <c r="H1089" s="17" t="n">
        <f aca="false">IF(INDEX(選手一覧!$E$7:$E$2738,$F1089)="","",INDEX(選手一覧!$E$7:$E$2738,$F1089))</f>
        <v>376</v>
      </c>
      <c r="I1089" s="16" t="n">
        <f aca="false">IF(INDEX(選手一覧!$H$7:$H$2738,$F1089)="","",INDEX(選手一覧!$H$7:$H$2738,$F1089))</f>
        <v>0.00715509259259259</v>
      </c>
      <c r="J1089" s="17" t="n">
        <f aca="false">IF(INDEX(選手一覧!$I$7:$I$2738,$F1089)="","",INDEX(選手一覧!$I$7:$I$2738,$F1089))</f>
        <v>491</v>
      </c>
    </row>
    <row r="1090" customFormat="false" ht="15" hidden="false" customHeight="false" outlineLevel="0" collapsed="false">
      <c r="A1090" s="17" t="n">
        <v>1086</v>
      </c>
      <c r="B1090" s="12" t="s">
        <v>3575</v>
      </c>
      <c r="C1090" s="12" t="s">
        <v>3576</v>
      </c>
      <c r="D1090" s="16" t="n">
        <v>0.0029193287037037</v>
      </c>
      <c r="E1090" s="15" t="n">
        <f aca="false">ROUND((D1090-$D$5)*86400,2)</f>
        <v>27.2</v>
      </c>
      <c r="F1090" s="17" t="n">
        <v>2319</v>
      </c>
      <c r="G1090" s="16" t="str">
        <f aca="false">IF(INDEX(選手一覧!$D$7:$D$2738,$F1090)="","",INDEX(選手一覧!$D$7:$D$2738,$F1090))</f>
        <v/>
      </c>
      <c r="H1090" s="17" t="str">
        <f aca="false">IF(INDEX(選手一覧!$E$7:$E$2738,$F1090)="","",INDEX(選手一覧!$E$7:$E$2738,$F1090))</f>
        <v/>
      </c>
      <c r="I1090" s="16" t="str">
        <f aca="false">IF(INDEX(選手一覧!$H$7:$H$2738,$F1090)="","",INDEX(選手一覧!$H$7:$H$2738,$F1090))</f>
        <v/>
      </c>
      <c r="J1090" s="17" t="str">
        <f aca="false">IF(INDEX(選手一覧!$I$7:$I$2738,$F1090)="","",INDEX(選手一覧!$I$7:$I$2738,$F1090))</f>
        <v/>
      </c>
    </row>
    <row r="1091" customFormat="false" ht="15" hidden="false" customHeight="false" outlineLevel="0" collapsed="false">
      <c r="A1091" s="17" t="n">
        <v>1087</v>
      </c>
      <c r="B1091" s="12" t="s">
        <v>3579</v>
      </c>
      <c r="C1091" s="12" t="s">
        <v>3148</v>
      </c>
      <c r="D1091" s="16" t="n">
        <v>0.0029193287037037</v>
      </c>
      <c r="E1091" s="15" t="n">
        <f aca="false">ROUND((D1091-$D$5)*86400,2)</f>
        <v>27.2</v>
      </c>
      <c r="F1091" s="17" t="n">
        <v>2321</v>
      </c>
      <c r="G1091" s="16" t="str">
        <f aca="false">IF(INDEX(選手一覧!$D$7:$D$2738,$F1091)="","",INDEX(選手一覧!$D$7:$D$2738,$F1091))</f>
        <v/>
      </c>
      <c r="H1091" s="17" t="str">
        <f aca="false">IF(INDEX(選手一覧!$E$7:$E$2738,$F1091)="","",INDEX(選手一覧!$E$7:$E$2738,$F1091))</f>
        <v/>
      </c>
      <c r="I1091" s="16" t="str">
        <f aca="false">IF(INDEX(選手一覧!$H$7:$H$2738,$F1091)="","",INDEX(選手一覧!$H$7:$H$2738,$F1091))</f>
        <v/>
      </c>
      <c r="J1091" s="17" t="str">
        <f aca="false">IF(INDEX(選手一覧!$I$7:$I$2738,$F1091)="","",INDEX(選手一覧!$I$7:$I$2738,$F1091))</f>
        <v/>
      </c>
    </row>
    <row r="1092" customFormat="false" ht="15" hidden="false" customHeight="false" outlineLevel="0" collapsed="false">
      <c r="A1092" s="17" t="n">
        <v>1088</v>
      </c>
      <c r="B1092" s="12" t="s">
        <v>304</v>
      </c>
      <c r="C1092" s="12" t="s">
        <v>219</v>
      </c>
      <c r="D1092" s="16" t="n">
        <v>0.0029193287037037</v>
      </c>
      <c r="E1092" s="15" t="n">
        <f aca="false">ROUND((D1092-$D$5)*86400,2)</f>
        <v>27.2</v>
      </c>
      <c r="F1092" s="17" t="n">
        <v>145</v>
      </c>
      <c r="G1092" s="16" t="n">
        <f aca="false">IF(INDEX(選手一覧!$D$7:$D$2738,$F1092)="","",INDEX(選手一覧!$D$7:$D$2738,$F1092))</f>
        <v>0.0102784722222222</v>
      </c>
      <c r="H1092" s="17" t="n">
        <f aca="false">IF(INDEX(選手一覧!$E$7:$E$2738,$F1092)="","",INDEX(選手一覧!$E$7:$E$2738,$F1092))</f>
        <v>146</v>
      </c>
      <c r="I1092" s="16" t="n">
        <f aca="false">IF(INDEX(選手一覧!$H$7:$H$2738,$F1092)="","",INDEX(選手一覧!$H$7:$H$2738,$F1092))</f>
        <v>0.00627025462962963</v>
      </c>
      <c r="J1092" s="17" t="n">
        <f aca="false">IF(INDEX(選手一覧!$I$7:$I$2738,$F1092)="","",INDEX(選手一覧!$I$7:$I$2738,$F1092))</f>
        <v>3</v>
      </c>
    </row>
    <row r="1093" customFormat="false" ht="15" hidden="false" customHeight="false" outlineLevel="0" collapsed="false">
      <c r="A1093" s="17" t="n">
        <v>1089</v>
      </c>
      <c r="B1093" s="12" t="s">
        <v>3583</v>
      </c>
      <c r="C1093" s="12" t="s">
        <v>3584</v>
      </c>
      <c r="D1093" s="16" t="n">
        <v>0.00291944444444445</v>
      </c>
      <c r="E1093" s="15" t="n">
        <f aca="false">ROUND((D1093-$D$5)*86400,2)</f>
        <v>27.21</v>
      </c>
      <c r="F1093" s="17" t="n">
        <v>2324</v>
      </c>
      <c r="G1093" s="16" t="str">
        <f aca="false">IF(INDEX(選手一覧!$D$7:$D$2738,$F1093)="","",INDEX(選手一覧!$D$7:$D$2738,$F1093))</f>
        <v/>
      </c>
      <c r="H1093" s="17" t="str">
        <f aca="false">IF(INDEX(選手一覧!$E$7:$E$2738,$F1093)="","",INDEX(選手一覧!$E$7:$E$2738,$F1093))</f>
        <v/>
      </c>
      <c r="I1093" s="16" t="str">
        <f aca="false">IF(INDEX(選手一覧!$H$7:$H$2738,$F1093)="","",INDEX(選手一覧!$H$7:$H$2738,$F1093))</f>
        <v/>
      </c>
      <c r="J1093" s="17" t="str">
        <f aca="false">IF(INDEX(選手一覧!$I$7:$I$2738,$F1093)="","",INDEX(選手一覧!$I$7:$I$2738,$F1093))</f>
        <v/>
      </c>
    </row>
    <row r="1094" customFormat="false" ht="15" hidden="false" customHeight="false" outlineLevel="0" collapsed="false">
      <c r="A1094" s="17" t="n">
        <v>1090</v>
      </c>
      <c r="B1094" s="12" t="s">
        <v>1788</v>
      </c>
      <c r="C1094" s="12" t="s">
        <v>1154</v>
      </c>
      <c r="D1094" s="16" t="n">
        <v>0.00291956018518519</v>
      </c>
      <c r="E1094" s="15" t="n">
        <f aca="false">ROUND((D1094-$D$5)*86400,2)</f>
        <v>27.22</v>
      </c>
      <c r="F1094" s="17" t="n">
        <v>1107</v>
      </c>
      <c r="G1094" s="16" t="n">
        <f aca="false">IF(INDEX(選手一覧!$D$7:$D$2738,$F1094)="","",INDEX(選手一覧!$D$7:$D$2738,$F1094))</f>
        <v>0.0110085648148148</v>
      </c>
      <c r="H1094" s="17" t="n">
        <f aca="false">IF(INDEX(選手一覧!$E$7:$E$2738,$F1094)="","",INDEX(選手一覧!$E$7:$E$2738,$F1094))</f>
        <v>1108</v>
      </c>
      <c r="I1094" s="16" t="str">
        <f aca="false">IF(INDEX(選手一覧!$H$7:$H$2738,$F1094)="","",INDEX(選手一覧!$H$7:$H$2738,$F1094))</f>
        <v/>
      </c>
      <c r="J1094" s="17" t="str">
        <f aca="false">IF(INDEX(選手一覧!$I$7:$I$2738,$F1094)="","",INDEX(選手一覧!$I$7:$I$2738,$F1094))</f>
        <v/>
      </c>
    </row>
    <row r="1095" customFormat="false" ht="15" hidden="false" customHeight="false" outlineLevel="0" collapsed="false">
      <c r="A1095" s="17" t="n">
        <v>1091</v>
      </c>
      <c r="B1095" s="12" t="s">
        <v>1091</v>
      </c>
      <c r="C1095" s="12" t="s">
        <v>1092</v>
      </c>
      <c r="D1095" s="16" t="n">
        <v>0.00291956018518519</v>
      </c>
      <c r="E1095" s="15" t="n">
        <f aca="false">ROUND((D1095-$D$5)*86400,2)</f>
        <v>27.22</v>
      </c>
      <c r="F1095" s="17" t="n">
        <v>644</v>
      </c>
      <c r="G1095" s="16" t="n">
        <f aca="false">IF(INDEX(選手一覧!$D$7:$D$2738,$F1095)="","",INDEX(選手一覧!$D$7:$D$2738,$F1095))</f>
        <v>0.0107362268518519</v>
      </c>
      <c r="H1095" s="17" t="n">
        <f aca="false">IF(INDEX(選手一覧!$E$7:$E$2738,$F1095)="","",INDEX(選手一覧!$E$7:$E$2738,$F1095))</f>
        <v>645</v>
      </c>
      <c r="I1095" s="16" t="str">
        <f aca="false">IF(INDEX(選手一覧!$H$7:$H$2738,$F1095)="","",INDEX(選手一覧!$H$7:$H$2738,$F1095))</f>
        <v/>
      </c>
      <c r="J1095" s="17" t="str">
        <f aca="false">IF(INDEX(選手一覧!$I$7:$I$2738,$F1095)="","",INDEX(選手一覧!$I$7:$I$2738,$F1095))</f>
        <v/>
      </c>
    </row>
    <row r="1096" customFormat="false" ht="15" hidden="false" customHeight="false" outlineLevel="0" collapsed="false">
      <c r="A1096" s="17" t="n">
        <v>1092</v>
      </c>
      <c r="B1096" s="12" t="s">
        <v>3588</v>
      </c>
      <c r="C1096" s="12" t="s">
        <v>565</v>
      </c>
      <c r="D1096" s="16" t="n">
        <v>0.00291967592592593</v>
      </c>
      <c r="E1096" s="15" t="n">
        <f aca="false">ROUND((D1096-$D$5)*86400,2)</f>
        <v>27.23</v>
      </c>
      <c r="F1096" s="17" t="n">
        <v>2327</v>
      </c>
      <c r="G1096" s="16" t="str">
        <f aca="false">IF(INDEX(選手一覧!$D$7:$D$2738,$F1096)="","",INDEX(選手一覧!$D$7:$D$2738,$F1096))</f>
        <v/>
      </c>
      <c r="H1096" s="17" t="str">
        <f aca="false">IF(INDEX(選手一覧!$E$7:$E$2738,$F1096)="","",INDEX(選手一覧!$E$7:$E$2738,$F1096))</f>
        <v/>
      </c>
      <c r="I1096" s="16" t="str">
        <f aca="false">IF(INDEX(選手一覧!$H$7:$H$2738,$F1096)="","",INDEX(選手一覧!$H$7:$H$2738,$F1096))</f>
        <v/>
      </c>
      <c r="J1096" s="17" t="str">
        <f aca="false">IF(INDEX(選手一覧!$I$7:$I$2738,$F1096)="","",INDEX(選手一覧!$I$7:$I$2738,$F1096))</f>
        <v/>
      </c>
    </row>
    <row r="1097" customFormat="false" ht="15" hidden="false" customHeight="false" outlineLevel="0" collapsed="false">
      <c r="A1097" s="17" t="n">
        <v>1093</v>
      </c>
      <c r="B1097" s="12" t="s">
        <v>3591</v>
      </c>
      <c r="C1097" s="12" t="s">
        <v>3592</v>
      </c>
      <c r="D1097" s="16" t="n">
        <v>0.00291979166666667</v>
      </c>
      <c r="E1097" s="15" t="n">
        <f aca="false">ROUND((D1097-$D$5)*86400,2)</f>
        <v>27.24</v>
      </c>
      <c r="F1097" s="17" t="n">
        <v>2329</v>
      </c>
      <c r="G1097" s="16" t="str">
        <f aca="false">IF(INDEX(選手一覧!$D$7:$D$2738,$F1097)="","",INDEX(選手一覧!$D$7:$D$2738,$F1097))</f>
        <v/>
      </c>
      <c r="H1097" s="17" t="str">
        <f aca="false">IF(INDEX(選手一覧!$E$7:$E$2738,$F1097)="","",INDEX(選手一覧!$E$7:$E$2738,$F1097))</f>
        <v/>
      </c>
      <c r="I1097" s="16" t="str">
        <f aca="false">IF(INDEX(選手一覧!$H$7:$H$2738,$F1097)="","",INDEX(選手一覧!$H$7:$H$2738,$F1097))</f>
        <v/>
      </c>
      <c r="J1097" s="17" t="str">
        <f aca="false">IF(INDEX(選手一覧!$I$7:$I$2738,$F1097)="","",INDEX(選手一覧!$I$7:$I$2738,$F1097))</f>
        <v/>
      </c>
    </row>
    <row r="1098" customFormat="false" ht="15" hidden="false" customHeight="false" outlineLevel="0" collapsed="false">
      <c r="A1098" s="17" t="n">
        <v>1094</v>
      </c>
      <c r="B1098" s="12" t="s">
        <v>3593</v>
      </c>
      <c r="C1098" s="12" t="s">
        <v>3334</v>
      </c>
      <c r="D1098" s="16" t="n">
        <v>0.00291990740740741</v>
      </c>
      <c r="E1098" s="15" t="n">
        <f aca="false">ROUND((D1098-$D$5)*86400,2)</f>
        <v>27.25</v>
      </c>
      <c r="F1098" s="17" t="n">
        <v>2330</v>
      </c>
      <c r="G1098" s="16" t="str">
        <f aca="false">IF(INDEX(選手一覧!$D$7:$D$2738,$F1098)="","",INDEX(選手一覧!$D$7:$D$2738,$F1098))</f>
        <v/>
      </c>
      <c r="H1098" s="17" t="str">
        <f aca="false">IF(INDEX(選手一覧!$E$7:$E$2738,$F1098)="","",INDEX(選手一覧!$E$7:$E$2738,$F1098))</f>
        <v/>
      </c>
      <c r="I1098" s="16" t="str">
        <f aca="false">IF(INDEX(選手一覧!$H$7:$H$2738,$F1098)="","",INDEX(選手一覧!$H$7:$H$2738,$F1098))</f>
        <v/>
      </c>
      <c r="J1098" s="17" t="str">
        <f aca="false">IF(INDEX(選手一覧!$I$7:$I$2738,$F1098)="","",INDEX(選手一覧!$I$7:$I$2738,$F1098))</f>
        <v/>
      </c>
    </row>
    <row r="1099" customFormat="false" ht="15" hidden="false" customHeight="false" outlineLevel="0" collapsed="false">
      <c r="A1099" s="17" t="n">
        <v>1095</v>
      </c>
      <c r="B1099" s="12" t="s">
        <v>2153</v>
      </c>
      <c r="C1099" s="12" t="s">
        <v>2154</v>
      </c>
      <c r="D1099" s="16" t="n">
        <v>0.00291990740740741</v>
      </c>
      <c r="E1099" s="15" t="n">
        <f aca="false">ROUND((D1099-$D$5)*86400,2)</f>
        <v>27.25</v>
      </c>
      <c r="F1099" s="17" t="n">
        <v>1367</v>
      </c>
      <c r="G1099" s="16" t="str">
        <f aca="false">IF(INDEX(選手一覧!$D$7:$D$2738,$F1099)="","",INDEX(選手一覧!$D$7:$D$2738,$F1099))</f>
        <v/>
      </c>
      <c r="H1099" s="17" t="str">
        <f aca="false">IF(INDEX(選手一覧!$E$7:$E$2738,$F1099)="","",INDEX(選手一覧!$E$7:$E$2738,$F1099))</f>
        <v/>
      </c>
      <c r="I1099" s="16" t="n">
        <f aca="false">IF(INDEX(選手一覧!$H$7:$H$2738,$F1099)="","",INDEX(選手一覧!$H$7:$H$2738,$F1099))</f>
        <v>0.00689131944444444</v>
      </c>
      <c r="J1099" s="17" t="n">
        <f aca="false">IF(INDEX(選手一覧!$I$7:$I$2738,$F1099)="","",INDEX(選手一覧!$I$7:$I$2738,$F1099))</f>
        <v>231</v>
      </c>
    </row>
    <row r="1100" customFormat="false" ht="15" hidden="false" customHeight="false" outlineLevel="0" collapsed="false">
      <c r="A1100" s="17" t="n">
        <v>1096</v>
      </c>
      <c r="B1100" s="12" t="s">
        <v>3597</v>
      </c>
      <c r="C1100" s="12" t="s">
        <v>3598</v>
      </c>
      <c r="D1100" s="16" t="n">
        <v>0.00292002314814815</v>
      </c>
      <c r="E1100" s="15" t="n">
        <f aca="false">ROUND((D1100-$D$5)*86400,2)</f>
        <v>27.26</v>
      </c>
      <c r="F1100" s="17" t="n">
        <v>2333</v>
      </c>
      <c r="G1100" s="16" t="str">
        <f aca="false">IF(INDEX(選手一覧!$D$7:$D$2738,$F1100)="","",INDEX(選手一覧!$D$7:$D$2738,$F1100))</f>
        <v/>
      </c>
      <c r="H1100" s="17" t="str">
        <f aca="false">IF(INDEX(選手一覧!$E$7:$E$2738,$F1100)="","",INDEX(選手一覧!$E$7:$E$2738,$F1100))</f>
        <v/>
      </c>
      <c r="I1100" s="16" t="str">
        <f aca="false">IF(INDEX(選手一覧!$H$7:$H$2738,$F1100)="","",INDEX(選手一覧!$H$7:$H$2738,$F1100))</f>
        <v/>
      </c>
      <c r="J1100" s="17" t="str">
        <f aca="false">IF(INDEX(選手一覧!$I$7:$I$2738,$F1100)="","",INDEX(選手一覧!$I$7:$I$2738,$F1100))</f>
        <v/>
      </c>
    </row>
    <row r="1101" customFormat="false" ht="15" hidden="false" customHeight="false" outlineLevel="0" collapsed="false">
      <c r="A1101" s="17" t="n">
        <v>1097</v>
      </c>
      <c r="B1101" s="12" t="s">
        <v>3601</v>
      </c>
      <c r="C1101" s="12" t="s">
        <v>1746</v>
      </c>
      <c r="D1101" s="16" t="n">
        <v>0.00292002314814815</v>
      </c>
      <c r="E1101" s="15" t="n">
        <f aca="false">ROUND((D1101-$D$5)*86400,2)</f>
        <v>27.26</v>
      </c>
      <c r="F1101" s="17" t="n">
        <v>2335</v>
      </c>
      <c r="G1101" s="16" t="str">
        <f aca="false">IF(INDEX(選手一覧!$D$7:$D$2738,$F1101)="","",INDEX(選手一覧!$D$7:$D$2738,$F1101))</f>
        <v/>
      </c>
      <c r="H1101" s="17" t="str">
        <f aca="false">IF(INDEX(選手一覧!$E$7:$E$2738,$F1101)="","",INDEX(選手一覧!$E$7:$E$2738,$F1101))</f>
        <v/>
      </c>
      <c r="I1101" s="16" t="str">
        <f aca="false">IF(INDEX(選手一覧!$H$7:$H$2738,$F1101)="","",INDEX(選手一覧!$H$7:$H$2738,$F1101))</f>
        <v/>
      </c>
      <c r="J1101" s="17" t="str">
        <f aca="false">IF(INDEX(選手一覧!$I$7:$I$2738,$F1101)="","",INDEX(選手一覧!$I$7:$I$2738,$F1101))</f>
        <v/>
      </c>
    </row>
    <row r="1102" customFormat="false" ht="15" hidden="false" customHeight="false" outlineLevel="0" collapsed="false">
      <c r="A1102" s="17" t="n">
        <v>1098</v>
      </c>
      <c r="B1102" s="12" t="s">
        <v>1283</v>
      </c>
      <c r="C1102" s="12" t="s">
        <v>1284</v>
      </c>
      <c r="D1102" s="16" t="n">
        <v>0.00292013888888889</v>
      </c>
      <c r="E1102" s="15" t="n">
        <f aca="false">ROUND((D1102-$D$5)*86400,2)</f>
        <v>27.27</v>
      </c>
      <c r="F1102" s="17" t="n">
        <v>767</v>
      </c>
      <c r="G1102" s="16" t="n">
        <f aca="false">IF(INDEX(選手一覧!$D$7:$D$2738,$F1102)="","",INDEX(選手一覧!$D$7:$D$2738,$F1102))</f>
        <v>0.0108137731481482</v>
      </c>
      <c r="H1102" s="17" t="n">
        <f aca="false">IF(INDEX(選手一覧!$E$7:$E$2738,$F1102)="","",INDEX(選手一覧!$E$7:$E$2738,$F1102))</f>
        <v>768</v>
      </c>
      <c r="I1102" s="16" t="str">
        <f aca="false">IF(INDEX(選手一覧!$H$7:$H$2738,$F1102)="","",INDEX(選手一覧!$H$7:$H$2738,$F1102))</f>
        <v/>
      </c>
      <c r="J1102" s="17" t="str">
        <f aca="false">IF(INDEX(選手一覧!$I$7:$I$2738,$F1102)="","",INDEX(選手一覧!$I$7:$I$2738,$F1102))</f>
        <v/>
      </c>
    </row>
    <row r="1103" customFormat="false" ht="15" hidden="false" customHeight="false" outlineLevel="0" collapsed="false">
      <c r="A1103" s="17" t="n">
        <v>1099</v>
      </c>
      <c r="B1103" s="12" t="s">
        <v>3605</v>
      </c>
      <c r="C1103" s="12" t="s">
        <v>2619</v>
      </c>
      <c r="D1103" s="16" t="n">
        <v>0.00292025462962963</v>
      </c>
      <c r="E1103" s="15" t="n">
        <f aca="false">ROUND((D1103-$D$5)*86400,2)</f>
        <v>27.28</v>
      </c>
      <c r="F1103" s="17" t="n">
        <v>2338</v>
      </c>
      <c r="G1103" s="16" t="str">
        <f aca="false">IF(INDEX(選手一覧!$D$7:$D$2738,$F1103)="","",INDEX(選手一覧!$D$7:$D$2738,$F1103))</f>
        <v/>
      </c>
      <c r="H1103" s="17" t="str">
        <f aca="false">IF(INDEX(選手一覧!$E$7:$E$2738,$F1103)="","",INDEX(選手一覧!$E$7:$E$2738,$F1103))</f>
        <v/>
      </c>
      <c r="I1103" s="16" t="str">
        <f aca="false">IF(INDEX(選手一覧!$H$7:$H$2738,$F1103)="","",INDEX(選手一覧!$H$7:$H$2738,$F1103))</f>
        <v/>
      </c>
      <c r="J1103" s="17" t="str">
        <f aca="false">IF(INDEX(選手一覧!$I$7:$I$2738,$F1103)="","",INDEX(選手一覧!$I$7:$I$2738,$F1103))</f>
        <v/>
      </c>
    </row>
    <row r="1104" customFormat="false" ht="15" hidden="false" customHeight="false" outlineLevel="0" collapsed="false">
      <c r="A1104" s="17" t="n">
        <v>1100</v>
      </c>
      <c r="B1104" s="12" t="s">
        <v>1851</v>
      </c>
      <c r="C1104" s="12" t="s">
        <v>1852</v>
      </c>
      <c r="D1104" s="16" t="n">
        <v>0.00292025462962963</v>
      </c>
      <c r="E1104" s="15" t="n">
        <f aca="false">ROUND((D1104-$D$5)*86400,2)</f>
        <v>27.28</v>
      </c>
      <c r="F1104" s="17" t="n">
        <v>1150</v>
      </c>
      <c r="G1104" s="16" t="n">
        <f aca="false">IF(INDEX(選手一覧!$D$7:$D$2738,$F1104)="","",INDEX(選手一覧!$D$7:$D$2738,$F1104))</f>
        <v>0.0110297453703704</v>
      </c>
      <c r="H1104" s="17" t="n">
        <f aca="false">IF(INDEX(選手一覧!$E$7:$E$2738,$F1104)="","",INDEX(選手一覧!$E$7:$E$2738,$F1104))</f>
        <v>1151</v>
      </c>
      <c r="I1104" s="16" t="n">
        <f aca="false">IF(INDEX(選手一覧!$H$7:$H$2738,$F1104)="","",INDEX(選手一覧!$H$7:$H$2738,$F1104))</f>
        <v>0.00723888888888889</v>
      </c>
      <c r="J1104" s="17" t="n">
        <f aca="false">IF(INDEX(選手一覧!$I$7:$I$2738,$F1104)="","",INDEX(選手一覧!$I$7:$I$2738,$F1104))</f>
        <v>586</v>
      </c>
    </row>
    <row r="1105" customFormat="false" ht="15" hidden="false" customHeight="false" outlineLevel="0" collapsed="false">
      <c r="A1105" s="17" t="n">
        <v>1101</v>
      </c>
      <c r="B1105" s="12" t="s">
        <v>3608</v>
      </c>
      <c r="C1105" s="12" t="s">
        <v>1510</v>
      </c>
      <c r="D1105" s="16" t="n">
        <v>0.00292025462962963</v>
      </c>
      <c r="E1105" s="15" t="n">
        <f aca="false">ROUND((D1105-$D$5)*86400,2)</f>
        <v>27.28</v>
      </c>
      <c r="F1105" s="17" t="n">
        <v>2341</v>
      </c>
      <c r="G1105" s="16" t="str">
        <f aca="false">IF(INDEX(選手一覧!$D$7:$D$2738,$F1105)="","",INDEX(選手一覧!$D$7:$D$2738,$F1105))</f>
        <v/>
      </c>
      <c r="H1105" s="17" t="str">
        <f aca="false">IF(INDEX(選手一覧!$E$7:$E$2738,$F1105)="","",INDEX(選手一覧!$E$7:$E$2738,$F1105))</f>
        <v/>
      </c>
      <c r="I1105" s="16" t="str">
        <f aca="false">IF(INDEX(選手一覧!$H$7:$H$2738,$F1105)="","",INDEX(選手一覧!$H$7:$H$2738,$F1105))</f>
        <v/>
      </c>
      <c r="J1105" s="17" t="str">
        <f aca="false">IF(INDEX(選手一覧!$I$7:$I$2738,$F1105)="","",INDEX(選手一覧!$I$7:$I$2738,$F1105))</f>
        <v/>
      </c>
    </row>
    <row r="1106" customFormat="false" ht="15" hidden="false" customHeight="false" outlineLevel="0" collapsed="false">
      <c r="A1106" s="17" t="n">
        <v>1102</v>
      </c>
      <c r="B1106" s="12" t="s">
        <v>2066</v>
      </c>
      <c r="C1106" s="12" t="s">
        <v>2067</v>
      </c>
      <c r="D1106" s="16" t="n">
        <v>0.00292025462962963</v>
      </c>
      <c r="E1106" s="15" t="n">
        <f aca="false">ROUND((D1106-$D$5)*86400,2)</f>
        <v>27.28</v>
      </c>
      <c r="F1106" s="17" t="n">
        <v>1309</v>
      </c>
      <c r="G1106" s="16" t="str">
        <f aca="false">IF(INDEX(選手一覧!$D$7:$D$2738,$F1106)="","",INDEX(選手一覧!$D$7:$D$2738,$F1106))</f>
        <v/>
      </c>
      <c r="H1106" s="17" t="str">
        <f aca="false">IF(INDEX(選手一覧!$E$7:$E$2738,$F1106)="","",INDEX(選手一覧!$E$7:$E$2738,$F1106))</f>
        <v/>
      </c>
      <c r="I1106" s="16" t="n">
        <f aca="false">IF(INDEX(選手一覧!$H$7:$H$2738,$F1106)="","",INDEX(選手一覧!$H$7:$H$2738,$F1106))</f>
        <v>0.00670486111111111</v>
      </c>
      <c r="J1106" s="17" t="n">
        <f aca="false">IF(INDEX(選手一覧!$I$7:$I$2738,$F1106)="","",INDEX(選手一覧!$I$7:$I$2738,$F1106))</f>
        <v>110</v>
      </c>
    </row>
    <row r="1107" customFormat="false" ht="15" hidden="false" customHeight="false" outlineLevel="0" collapsed="false">
      <c r="A1107" s="17" t="n">
        <v>1103</v>
      </c>
      <c r="B1107" s="12" t="s">
        <v>3612</v>
      </c>
      <c r="C1107" s="12" t="s">
        <v>2050</v>
      </c>
      <c r="D1107" s="16" t="n">
        <v>0.00292025462962963</v>
      </c>
      <c r="E1107" s="15" t="n">
        <f aca="false">ROUND((D1107-$D$5)*86400,2)</f>
        <v>27.28</v>
      </c>
      <c r="F1107" s="17" t="n">
        <v>2344</v>
      </c>
      <c r="G1107" s="16" t="str">
        <f aca="false">IF(INDEX(選手一覧!$D$7:$D$2738,$F1107)="","",INDEX(選手一覧!$D$7:$D$2738,$F1107))</f>
        <v/>
      </c>
      <c r="H1107" s="17" t="str">
        <f aca="false">IF(INDEX(選手一覧!$E$7:$E$2738,$F1107)="","",INDEX(選手一覧!$E$7:$E$2738,$F1107))</f>
        <v/>
      </c>
      <c r="I1107" s="16" t="str">
        <f aca="false">IF(INDEX(選手一覧!$H$7:$H$2738,$F1107)="","",INDEX(選手一覧!$H$7:$H$2738,$F1107))</f>
        <v/>
      </c>
      <c r="J1107" s="17" t="str">
        <f aca="false">IF(INDEX(選手一覧!$I$7:$I$2738,$F1107)="","",INDEX(選手一覧!$I$7:$I$2738,$F1107))</f>
        <v/>
      </c>
    </row>
    <row r="1108" customFormat="false" ht="15" hidden="false" customHeight="false" outlineLevel="0" collapsed="false">
      <c r="A1108" s="17" t="n">
        <v>1104</v>
      </c>
      <c r="B1108" s="12" t="s">
        <v>3615</v>
      </c>
      <c r="C1108" s="12" t="s">
        <v>3081</v>
      </c>
      <c r="D1108" s="16" t="n">
        <v>0.00292037037037037</v>
      </c>
      <c r="E1108" s="15" t="n">
        <f aca="false">ROUND((D1108-$D$5)*86400,2)</f>
        <v>27.29</v>
      </c>
      <c r="F1108" s="17" t="n">
        <v>2346</v>
      </c>
      <c r="G1108" s="16" t="str">
        <f aca="false">IF(INDEX(選手一覧!$D$7:$D$2738,$F1108)="","",INDEX(選手一覧!$D$7:$D$2738,$F1108))</f>
        <v/>
      </c>
      <c r="H1108" s="17" t="str">
        <f aca="false">IF(INDEX(選手一覧!$E$7:$E$2738,$F1108)="","",INDEX(選手一覧!$E$7:$E$2738,$F1108))</f>
        <v/>
      </c>
      <c r="I1108" s="16" t="str">
        <f aca="false">IF(INDEX(選手一覧!$H$7:$H$2738,$F1108)="","",INDEX(選手一覧!$H$7:$H$2738,$F1108))</f>
        <v/>
      </c>
      <c r="J1108" s="17" t="str">
        <f aca="false">IF(INDEX(選手一覧!$I$7:$I$2738,$F1108)="","",INDEX(選手一覧!$I$7:$I$2738,$F1108))</f>
        <v/>
      </c>
    </row>
    <row r="1109" customFormat="false" ht="15" hidden="false" customHeight="false" outlineLevel="0" collapsed="false">
      <c r="A1109" s="17" t="n">
        <v>1105</v>
      </c>
      <c r="B1109" s="12" t="s">
        <v>730</v>
      </c>
      <c r="C1109" s="12" t="s">
        <v>32</v>
      </c>
      <c r="D1109" s="16" t="n">
        <v>0.00292060185185185</v>
      </c>
      <c r="E1109" s="15" t="n">
        <f aca="false">ROUND((D1109-$D$5)*86400,2)</f>
        <v>27.31</v>
      </c>
      <c r="F1109" s="17" t="n">
        <v>405</v>
      </c>
      <c r="G1109" s="16" t="n">
        <f aca="false">IF(INDEX(選手一覧!$D$7:$D$2738,$F1109)="","",INDEX(選手一覧!$D$7:$D$2738,$F1109))</f>
        <v>0.0105568287037037</v>
      </c>
      <c r="H1109" s="17" t="n">
        <f aca="false">IF(INDEX(選手一覧!$E$7:$E$2738,$F1109)="","",INDEX(選手一覧!$E$7:$E$2738,$F1109))</f>
        <v>406</v>
      </c>
      <c r="I1109" s="16" t="str">
        <f aca="false">IF(INDEX(選手一覧!$H$7:$H$2738,$F1109)="","",INDEX(選手一覧!$H$7:$H$2738,$F1109))</f>
        <v/>
      </c>
      <c r="J1109" s="17" t="str">
        <f aca="false">IF(INDEX(選手一覧!$I$7:$I$2738,$F1109)="","",INDEX(選手一覧!$I$7:$I$2738,$F1109))</f>
        <v/>
      </c>
    </row>
    <row r="1110" customFormat="false" ht="15" hidden="false" customHeight="false" outlineLevel="0" collapsed="false">
      <c r="A1110" s="17" t="n">
        <v>1106</v>
      </c>
      <c r="B1110" s="12" t="s">
        <v>1582</v>
      </c>
      <c r="C1110" s="12" t="s">
        <v>1583</v>
      </c>
      <c r="D1110" s="16" t="n">
        <v>0.00292060185185185</v>
      </c>
      <c r="E1110" s="15" t="n">
        <f aca="false">ROUND((D1110-$D$5)*86400,2)</f>
        <v>27.31</v>
      </c>
      <c r="F1110" s="17" t="n">
        <v>969</v>
      </c>
      <c r="G1110" s="16" t="n">
        <f aca="false">IF(INDEX(選手一覧!$D$7:$D$2738,$F1110)="","",INDEX(選手一覧!$D$7:$D$2738,$F1110))</f>
        <v>0.0109322916666667</v>
      </c>
      <c r="H1110" s="17" t="n">
        <f aca="false">IF(INDEX(選手一覧!$E$7:$E$2738,$F1110)="","",INDEX(選手一覧!$E$7:$E$2738,$F1110))</f>
        <v>970</v>
      </c>
      <c r="I1110" s="16" t="str">
        <f aca="false">IF(INDEX(選手一覧!$H$7:$H$2738,$F1110)="","",INDEX(選手一覧!$H$7:$H$2738,$F1110))</f>
        <v/>
      </c>
      <c r="J1110" s="17" t="str">
        <f aca="false">IF(INDEX(選手一覧!$I$7:$I$2738,$F1110)="","",INDEX(選手一覧!$I$7:$I$2738,$F1110))</f>
        <v/>
      </c>
    </row>
    <row r="1111" customFormat="false" ht="15" hidden="false" customHeight="false" outlineLevel="0" collapsed="false">
      <c r="A1111" s="17" t="n">
        <v>1107</v>
      </c>
      <c r="B1111" s="12" t="s">
        <v>1924</v>
      </c>
      <c r="C1111" s="12" t="s">
        <v>544</v>
      </c>
      <c r="D1111" s="16" t="n">
        <v>0.00292071759259259</v>
      </c>
      <c r="E1111" s="15" t="n">
        <f aca="false">ROUND((D1111-$D$5)*86400,2)</f>
        <v>27.32</v>
      </c>
      <c r="F1111" s="17" t="n">
        <v>1202</v>
      </c>
      <c r="G1111" s="16" t="n">
        <f aca="false">IF(INDEX(選手一覧!$D$7:$D$2738,$F1111)="","",INDEX(選手一覧!$D$7:$D$2738,$F1111))</f>
        <v>0.0110524305555556</v>
      </c>
      <c r="H1111" s="17" t="n">
        <f aca="false">IF(INDEX(選手一覧!$E$7:$E$2738,$F1111)="","",INDEX(選手一覧!$E$7:$E$2738,$F1111))</f>
        <v>1203</v>
      </c>
      <c r="I1111" s="16" t="n">
        <f aca="false">IF(INDEX(選手一覧!$H$7:$H$2738,$F1111)="","",INDEX(選手一覧!$H$7:$H$2738,$F1111))</f>
        <v>0.00715798611111111</v>
      </c>
      <c r="J1111" s="17" t="n">
        <f aca="false">IF(INDEX(選手一覧!$I$7:$I$2738,$F1111)="","",INDEX(選手一覧!$I$7:$I$2738,$F1111))</f>
        <v>494</v>
      </c>
    </row>
    <row r="1112" customFormat="false" ht="15" hidden="false" customHeight="false" outlineLevel="0" collapsed="false">
      <c r="A1112" s="17" t="n">
        <v>1108</v>
      </c>
      <c r="B1112" s="12" t="s">
        <v>3622</v>
      </c>
      <c r="C1112" s="12" t="s">
        <v>3623</v>
      </c>
      <c r="D1112" s="16" t="n">
        <v>0.00292106481481482</v>
      </c>
      <c r="E1112" s="15" t="n">
        <f aca="false">ROUND((D1112-$D$5)*86400,2)</f>
        <v>27.35</v>
      </c>
      <c r="F1112" s="17" t="n">
        <v>2351</v>
      </c>
      <c r="G1112" s="16" t="str">
        <f aca="false">IF(INDEX(選手一覧!$D$7:$D$2738,$F1112)="","",INDEX(選手一覧!$D$7:$D$2738,$F1112))</f>
        <v/>
      </c>
      <c r="H1112" s="17" t="str">
        <f aca="false">IF(INDEX(選手一覧!$E$7:$E$2738,$F1112)="","",INDEX(選手一覧!$E$7:$E$2738,$F1112))</f>
        <v/>
      </c>
      <c r="I1112" s="16" t="str">
        <f aca="false">IF(INDEX(選手一覧!$H$7:$H$2738,$F1112)="","",INDEX(選手一覧!$H$7:$H$2738,$F1112))</f>
        <v/>
      </c>
      <c r="J1112" s="17" t="str">
        <f aca="false">IF(INDEX(選手一覧!$I$7:$I$2738,$F1112)="","",INDEX(選手一覧!$I$7:$I$2738,$F1112))</f>
        <v/>
      </c>
    </row>
    <row r="1113" customFormat="false" ht="15" hidden="false" customHeight="false" outlineLevel="0" collapsed="false">
      <c r="A1113" s="17" t="n">
        <v>1109</v>
      </c>
      <c r="B1113" s="12" t="s">
        <v>3625</v>
      </c>
      <c r="C1113" s="12" t="s">
        <v>3626</v>
      </c>
      <c r="D1113" s="16" t="n">
        <v>0.00292118055555556</v>
      </c>
      <c r="E1113" s="15" t="n">
        <f aca="false">ROUND((D1113-$D$5)*86400,2)</f>
        <v>27.36</v>
      </c>
      <c r="F1113" s="17" t="n">
        <v>2353</v>
      </c>
      <c r="G1113" s="16" t="str">
        <f aca="false">IF(INDEX(選手一覧!$D$7:$D$2738,$F1113)="","",INDEX(選手一覧!$D$7:$D$2738,$F1113))</f>
        <v/>
      </c>
      <c r="H1113" s="17" t="str">
        <f aca="false">IF(INDEX(選手一覧!$E$7:$E$2738,$F1113)="","",INDEX(選手一覧!$E$7:$E$2738,$F1113))</f>
        <v/>
      </c>
      <c r="I1113" s="16" t="str">
        <f aca="false">IF(INDEX(選手一覧!$H$7:$H$2738,$F1113)="","",INDEX(選手一覧!$H$7:$H$2738,$F1113))</f>
        <v/>
      </c>
      <c r="J1113" s="17" t="str">
        <f aca="false">IF(INDEX(選手一覧!$I$7:$I$2738,$F1113)="","",INDEX(選手一覧!$I$7:$I$2738,$F1113))</f>
        <v/>
      </c>
    </row>
    <row r="1114" customFormat="false" ht="15" hidden="false" customHeight="false" outlineLevel="0" collapsed="false">
      <c r="A1114" s="17" t="n">
        <v>1110</v>
      </c>
      <c r="B1114" s="12" t="s">
        <v>3628</v>
      </c>
      <c r="C1114" s="12" t="s">
        <v>3040</v>
      </c>
      <c r="D1114" s="16" t="n">
        <v>0.00292141203703704</v>
      </c>
      <c r="E1114" s="15" t="n">
        <f aca="false">ROUND((D1114-$D$5)*86400,2)</f>
        <v>27.38</v>
      </c>
      <c r="F1114" s="17" t="n">
        <v>2355</v>
      </c>
      <c r="G1114" s="16" t="str">
        <f aca="false">IF(INDEX(選手一覧!$D$7:$D$2738,$F1114)="","",INDEX(選手一覧!$D$7:$D$2738,$F1114))</f>
        <v/>
      </c>
      <c r="H1114" s="17" t="str">
        <f aca="false">IF(INDEX(選手一覧!$E$7:$E$2738,$F1114)="","",INDEX(選手一覧!$E$7:$E$2738,$F1114))</f>
        <v/>
      </c>
      <c r="I1114" s="16" t="str">
        <f aca="false">IF(INDEX(選手一覧!$H$7:$H$2738,$F1114)="","",INDEX(選手一覧!$H$7:$H$2738,$F1114))</f>
        <v/>
      </c>
      <c r="J1114" s="17" t="str">
        <f aca="false">IF(INDEX(選手一覧!$I$7:$I$2738,$F1114)="","",INDEX(選手一覧!$I$7:$I$2738,$F1114))</f>
        <v/>
      </c>
    </row>
    <row r="1115" customFormat="false" ht="15" hidden="false" customHeight="false" outlineLevel="0" collapsed="false">
      <c r="A1115" s="17" t="n">
        <v>1111</v>
      </c>
      <c r="B1115" s="12" t="s">
        <v>1846</v>
      </c>
      <c r="C1115" s="12" t="s">
        <v>1847</v>
      </c>
      <c r="D1115" s="16" t="n">
        <v>0.00292141203703704</v>
      </c>
      <c r="E1115" s="15" t="n">
        <f aca="false">ROUND((D1115-$D$5)*86400,2)</f>
        <v>27.38</v>
      </c>
      <c r="F1115" s="17" t="n">
        <v>1146</v>
      </c>
      <c r="G1115" s="16" t="n">
        <f aca="false">IF(INDEX(選手一覧!$D$7:$D$2738,$F1115)="","",INDEX(選手一覧!$D$7:$D$2738,$F1115))</f>
        <v>0.0110283564814815</v>
      </c>
      <c r="H1115" s="17" t="n">
        <f aca="false">IF(INDEX(選手一覧!$E$7:$E$2738,$F1115)="","",INDEX(選手一覧!$E$7:$E$2738,$F1115))</f>
        <v>1147</v>
      </c>
      <c r="I1115" s="16" t="str">
        <f aca="false">IF(INDEX(選手一覧!$H$7:$H$2738,$F1115)="","",INDEX(選手一覧!$H$7:$H$2738,$F1115))</f>
        <v/>
      </c>
      <c r="J1115" s="17" t="str">
        <f aca="false">IF(INDEX(選手一覧!$I$7:$I$2738,$F1115)="","",INDEX(選手一覧!$I$7:$I$2738,$F1115))</f>
        <v/>
      </c>
    </row>
    <row r="1116" customFormat="false" ht="15" hidden="false" customHeight="false" outlineLevel="0" collapsed="false">
      <c r="A1116" s="17" t="n">
        <v>1112</v>
      </c>
      <c r="B1116" s="12" t="s">
        <v>1935</v>
      </c>
      <c r="C1116" s="12" t="s">
        <v>1852</v>
      </c>
      <c r="D1116" s="16" t="n">
        <v>0.00292199074074074</v>
      </c>
      <c r="E1116" s="15" t="n">
        <f aca="false">ROUND((D1116-$D$5)*86400,2)</f>
        <v>27.43</v>
      </c>
      <c r="F1116" s="17" t="n">
        <v>1209</v>
      </c>
      <c r="G1116" s="16" t="n">
        <f aca="false">IF(INDEX(選手一覧!$D$7:$D$2738,$F1116)="","",INDEX(選手一覧!$D$7:$D$2738,$F1116))</f>
        <v>0.0110561342592593</v>
      </c>
      <c r="H1116" s="17" t="n">
        <f aca="false">IF(INDEX(選手一覧!$E$7:$E$2738,$F1116)="","",INDEX(選手一覧!$E$7:$E$2738,$F1116))</f>
        <v>1210</v>
      </c>
      <c r="I1116" s="16" t="str">
        <f aca="false">IF(INDEX(選手一覧!$H$7:$H$2738,$F1116)="","",INDEX(選手一覧!$H$7:$H$2738,$F1116))</f>
        <v/>
      </c>
      <c r="J1116" s="17" t="str">
        <f aca="false">IF(INDEX(選手一覧!$I$7:$I$2738,$F1116)="","",INDEX(選手一覧!$I$7:$I$2738,$F1116))</f>
        <v/>
      </c>
    </row>
    <row r="1117" customFormat="false" ht="15" hidden="false" customHeight="false" outlineLevel="0" collapsed="false">
      <c r="A1117" s="17" t="n">
        <v>1113</v>
      </c>
      <c r="B1117" s="12" t="s">
        <v>2265</v>
      </c>
      <c r="C1117" s="12" t="s">
        <v>2266</v>
      </c>
      <c r="D1117" s="16" t="n">
        <v>0.00292199074074074</v>
      </c>
      <c r="E1117" s="15" t="n">
        <f aca="false">ROUND((D1117-$D$5)*86400,2)</f>
        <v>27.43</v>
      </c>
      <c r="F1117" s="17" t="n">
        <v>1441</v>
      </c>
      <c r="G1117" s="16" t="str">
        <f aca="false">IF(INDEX(選手一覧!$D$7:$D$2738,$F1117)="","",INDEX(選手一覧!$D$7:$D$2738,$F1117))</f>
        <v/>
      </c>
      <c r="H1117" s="17" t="str">
        <f aca="false">IF(INDEX(選手一覧!$E$7:$E$2738,$F1117)="","",INDEX(選手一覧!$E$7:$E$2738,$F1117))</f>
        <v/>
      </c>
      <c r="I1117" s="16" t="n">
        <f aca="false">IF(INDEX(選手一覧!$H$7:$H$2738,$F1117)="","",INDEX(選手一覧!$H$7:$H$2738,$F1117))</f>
        <v>0.00699722222222222</v>
      </c>
      <c r="J1117" s="17" t="n">
        <f aca="false">IF(INDEX(選手一覧!$I$7:$I$2738,$F1117)="","",INDEX(選手一覧!$I$7:$I$2738,$F1117))</f>
        <v>333</v>
      </c>
    </row>
    <row r="1118" customFormat="false" ht="15" hidden="false" customHeight="false" outlineLevel="0" collapsed="false">
      <c r="A1118" s="17" t="n">
        <v>1114</v>
      </c>
      <c r="B1118" s="12" t="s">
        <v>2558</v>
      </c>
      <c r="C1118" s="12" t="s">
        <v>1510</v>
      </c>
      <c r="D1118" s="16" t="n">
        <v>0.00292210648148148</v>
      </c>
      <c r="E1118" s="15" t="n">
        <f aca="false">ROUND((D1118-$D$5)*86400,2)</f>
        <v>27.44</v>
      </c>
      <c r="F1118" s="17" t="n">
        <v>1634</v>
      </c>
      <c r="G1118" s="16" t="str">
        <f aca="false">IF(INDEX(選手一覧!$D$7:$D$2738,$F1118)="","",INDEX(選手一覧!$D$7:$D$2738,$F1118))</f>
        <v/>
      </c>
      <c r="H1118" s="17" t="str">
        <f aca="false">IF(INDEX(選手一覧!$E$7:$E$2738,$F1118)="","",INDEX(選手一覧!$E$7:$E$2738,$F1118))</f>
        <v/>
      </c>
      <c r="I1118" s="16" t="n">
        <f aca="false">IF(INDEX(選手一覧!$H$7:$H$2738,$F1118)="","",INDEX(選手一覧!$H$7:$H$2738,$F1118))</f>
        <v>0.00720474537037037</v>
      </c>
      <c r="J1118" s="17" t="n">
        <f aca="false">IF(INDEX(選手一覧!$I$7:$I$2738,$F1118)="","",INDEX(選手一覧!$I$7:$I$2738,$F1118))</f>
        <v>542</v>
      </c>
    </row>
    <row r="1119" customFormat="false" ht="15" hidden="false" customHeight="false" outlineLevel="0" collapsed="false">
      <c r="A1119" s="17" t="n">
        <v>1115</v>
      </c>
      <c r="B1119" s="12" t="s">
        <v>1054</v>
      </c>
      <c r="C1119" s="12" t="s">
        <v>532</v>
      </c>
      <c r="D1119" s="16" t="n">
        <v>0.00292210648148148</v>
      </c>
      <c r="E1119" s="15" t="n">
        <f aca="false">ROUND((D1119-$D$5)*86400,2)</f>
        <v>27.44</v>
      </c>
      <c r="F1119" s="17" t="n">
        <v>615</v>
      </c>
      <c r="G1119" s="16" t="n">
        <f aca="false">IF(INDEX(選手一覧!$D$7:$D$2738,$F1119)="","",INDEX(選手一覧!$D$7:$D$2738,$F1119))</f>
        <v>0.0107228009259259</v>
      </c>
      <c r="H1119" s="17" t="n">
        <f aca="false">IF(INDEX(選手一覧!$E$7:$E$2738,$F1119)="","",INDEX(選手一覧!$E$7:$E$2738,$F1119))</f>
        <v>616</v>
      </c>
      <c r="I1119" s="16" t="n">
        <f aca="false">IF(INDEX(選手一覧!$H$7:$H$2738,$F1119)="","",INDEX(選手一覧!$H$7:$H$2738,$F1119))</f>
        <v>0.00680914351851852</v>
      </c>
      <c r="J1119" s="17" t="n">
        <f aca="false">IF(INDEX(選手一覧!$I$7:$I$2738,$F1119)="","",INDEX(選手一覧!$I$7:$I$2738,$F1119))</f>
        <v>179</v>
      </c>
    </row>
    <row r="1120" customFormat="false" ht="15" hidden="false" customHeight="false" outlineLevel="0" collapsed="false">
      <c r="A1120" s="17" t="n">
        <v>1116</v>
      </c>
      <c r="B1120" s="12" t="s">
        <v>803</v>
      </c>
      <c r="C1120" s="12" t="s">
        <v>71</v>
      </c>
      <c r="D1120" s="16" t="n">
        <v>0.00292222222222222</v>
      </c>
      <c r="E1120" s="15" t="n">
        <f aca="false">ROUND((D1120-$D$5)*86400,2)</f>
        <v>27.45</v>
      </c>
      <c r="F1120" s="17" t="n">
        <v>451</v>
      </c>
      <c r="G1120" s="16" t="n">
        <f aca="false">IF(INDEX(選手一覧!$D$7:$D$2738,$F1120)="","",INDEX(選手一覧!$D$7:$D$2738,$F1120))</f>
        <v>0.0105880787037037</v>
      </c>
      <c r="H1120" s="17" t="n">
        <f aca="false">IF(INDEX(選手一覧!$E$7:$E$2738,$F1120)="","",INDEX(選手一覧!$E$7:$E$2738,$F1120))</f>
        <v>452</v>
      </c>
      <c r="I1120" s="16" t="str">
        <f aca="false">IF(INDEX(選手一覧!$H$7:$H$2738,$F1120)="","",INDEX(選手一覧!$H$7:$H$2738,$F1120))</f>
        <v/>
      </c>
      <c r="J1120" s="17" t="str">
        <f aca="false">IF(INDEX(選手一覧!$I$7:$I$2738,$F1120)="","",INDEX(選手一覧!$I$7:$I$2738,$F1120))</f>
        <v/>
      </c>
    </row>
    <row r="1121" customFormat="false" ht="15" hidden="false" customHeight="false" outlineLevel="0" collapsed="false">
      <c r="A1121" s="17" t="n">
        <v>1117</v>
      </c>
      <c r="B1121" s="12" t="s">
        <v>3639</v>
      </c>
      <c r="C1121" s="12" t="s">
        <v>297</v>
      </c>
      <c r="D1121" s="16" t="n">
        <v>0.00292233796296296</v>
      </c>
      <c r="E1121" s="15" t="n">
        <f aca="false">ROUND((D1121-$D$5)*86400,2)</f>
        <v>27.46</v>
      </c>
      <c r="F1121" s="17" t="n">
        <v>2363</v>
      </c>
      <c r="G1121" s="16" t="str">
        <f aca="false">IF(INDEX(選手一覧!$D$7:$D$2738,$F1121)="","",INDEX(選手一覧!$D$7:$D$2738,$F1121))</f>
        <v/>
      </c>
      <c r="H1121" s="17" t="str">
        <f aca="false">IF(INDEX(選手一覧!$E$7:$E$2738,$F1121)="","",INDEX(選手一覧!$E$7:$E$2738,$F1121))</f>
        <v/>
      </c>
      <c r="I1121" s="16" t="str">
        <f aca="false">IF(INDEX(選手一覧!$H$7:$H$2738,$F1121)="","",INDEX(選手一覧!$H$7:$H$2738,$F1121))</f>
        <v/>
      </c>
      <c r="J1121" s="17" t="str">
        <f aca="false">IF(INDEX(選手一覧!$I$7:$I$2738,$F1121)="","",INDEX(選手一覧!$I$7:$I$2738,$F1121))</f>
        <v/>
      </c>
    </row>
    <row r="1122" customFormat="false" ht="15" hidden="false" customHeight="false" outlineLevel="0" collapsed="false">
      <c r="A1122" s="17" t="n">
        <v>1118</v>
      </c>
      <c r="B1122" s="12" t="s">
        <v>3641</v>
      </c>
      <c r="C1122" s="12" t="s">
        <v>3642</v>
      </c>
      <c r="D1122" s="16" t="n">
        <v>0.00292233796296296</v>
      </c>
      <c r="E1122" s="15" t="n">
        <f aca="false">ROUND((D1122-$D$5)*86400,2)</f>
        <v>27.46</v>
      </c>
      <c r="F1122" s="17" t="n">
        <v>2365</v>
      </c>
      <c r="G1122" s="16" t="str">
        <f aca="false">IF(INDEX(選手一覧!$D$7:$D$2738,$F1122)="","",INDEX(選手一覧!$D$7:$D$2738,$F1122))</f>
        <v/>
      </c>
      <c r="H1122" s="17" t="str">
        <f aca="false">IF(INDEX(選手一覧!$E$7:$E$2738,$F1122)="","",INDEX(選手一覧!$E$7:$E$2738,$F1122))</f>
        <v/>
      </c>
      <c r="I1122" s="16" t="str">
        <f aca="false">IF(INDEX(選手一覧!$H$7:$H$2738,$F1122)="","",INDEX(選手一覧!$H$7:$H$2738,$F1122))</f>
        <v/>
      </c>
      <c r="J1122" s="17" t="str">
        <f aca="false">IF(INDEX(選手一覧!$I$7:$I$2738,$F1122)="","",INDEX(選手一覧!$I$7:$I$2738,$F1122))</f>
        <v/>
      </c>
    </row>
    <row r="1123" customFormat="false" ht="15" hidden="false" customHeight="false" outlineLevel="0" collapsed="false">
      <c r="A1123" s="17" t="n">
        <v>1119</v>
      </c>
      <c r="B1123" s="12" t="s">
        <v>542</v>
      </c>
      <c r="C1123" s="12" t="s">
        <v>69</v>
      </c>
      <c r="D1123" s="16" t="n">
        <v>0.0029224537037037</v>
      </c>
      <c r="E1123" s="15" t="n">
        <f aca="false">ROUND((D1123-$D$5)*86400,2)</f>
        <v>27.47</v>
      </c>
      <c r="F1123" s="17" t="n">
        <v>288</v>
      </c>
      <c r="G1123" s="16" t="n">
        <f aca="false">IF(INDEX(選手一覧!$D$7:$D$2738,$F1123)="","",INDEX(選手一覧!$D$7:$D$2738,$F1123))</f>
        <v>0.0104248842592593</v>
      </c>
      <c r="H1123" s="17" t="n">
        <f aca="false">IF(INDEX(選手一覧!$E$7:$E$2738,$F1123)="","",INDEX(選手一覧!$E$7:$E$2738,$F1123))</f>
        <v>289</v>
      </c>
      <c r="I1123" s="16" t="str">
        <f aca="false">IF(INDEX(選手一覧!$H$7:$H$2738,$F1123)="","",INDEX(選手一覧!$H$7:$H$2738,$F1123))</f>
        <v/>
      </c>
      <c r="J1123" s="17" t="str">
        <f aca="false">IF(INDEX(選手一覧!$I$7:$I$2738,$F1123)="","",INDEX(選手一覧!$I$7:$I$2738,$F1123))</f>
        <v/>
      </c>
    </row>
    <row r="1124" customFormat="false" ht="15" hidden="false" customHeight="false" outlineLevel="0" collapsed="false">
      <c r="A1124" s="17" t="n">
        <v>1120</v>
      </c>
      <c r="B1124" s="12" t="s">
        <v>3647</v>
      </c>
      <c r="C1124" s="12" t="s">
        <v>3648</v>
      </c>
      <c r="D1124" s="16" t="n">
        <v>0.00292256944444444</v>
      </c>
      <c r="E1124" s="15" t="n">
        <f aca="false">ROUND((D1124-$D$5)*86400,2)</f>
        <v>27.48</v>
      </c>
      <c r="F1124" s="17" t="n">
        <v>2368</v>
      </c>
      <c r="G1124" s="16" t="str">
        <f aca="false">IF(INDEX(選手一覧!$D$7:$D$2738,$F1124)="","",INDEX(選手一覧!$D$7:$D$2738,$F1124))</f>
        <v/>
      </c>
      <c r="H1124" s="17" t="str">
        <f aca="false">IF(INDEX(選手一覧!$E$7:$E$2738,$F1124)="","",INDEX(選手一覧!$E$7:$E$2738,$F1124))</f>
        <v/>
      </c>
      <c r="I1124" s="16" t="str">
        <f aca="false">IF(INDEX(選手一覧!$H$7:$H$2738,$F1124)="","",INDEX(選手一覧!$H$7:$H$2738,$F1124))</f>
        <v/>
      </c>
      <c r="J1124" s="17" t="str">
        <f aca="false">IF(INDEX(選手一覧!$I$7:$I$2738,$F1124)="","",INDEX(選手一覧!$I$7:$I$2738,$F1124))</f>
        <v/>
      </c>
    </row>
    <row r="1125" customFormat="false" ht="15" hidden="false" customHeight="false" outlineLevel="0" collapsed="false">
      <c r="A1125" s="17" t="n">
        <v>1121</v>
      </c>
      <c r="B1125" s="12" t="s">
        <v>3651</v>
      </c>
      <c r="C1125" s="12" t="s">
        <v>3652</v>
      </c>
      <c r="D1125" s="16" t="n">
        <v>0.00292256944444444</v>
      </c>
      <c r="E1125" s="15" t="n">
        <f aca="false">ROUND((D1125-$D$5)*86400,2)</f>
        <v>27.48</v>
      </c>
      <c r="F1125" s="17" t="n">
        <v>2370</v>
      </c>
      <c r="G1125" s="16" t="str">
        <f aca="false">IF(INDEX(選手一覧!$D$7:$D$2738,$F1125)="","",INDEX(選手一覧!$D$7:$D$2738,$F1125))</f>
        <v/>
      </c>
      <c r="H1125" s="17" t="str">
        <f aca="false">IF(INDEX(選手一覧!$E$7:$E$2738,$F1125)="","",INDEX(選手一覧!$E$7:$E$2738,$F1125))</f>
        <v/>
      </c>
      <c r="I1125" s="16" t="str">
        <f aca="false">IF(INDEX(選手一覧!$H$7:$H$2738,$F1125)="","",INDEX(選手一覧!$H$7:$H$2738,$F1125))</f>
        <v/>
      </c>
      <c r="J1125" s="17" t="str">
        <f aca="false">IF(INDEX(選手一覧!$I$7:$I$2738,$F1125)="","",INDEX(選手一覧!$I$7:$I$2738,$F1125))</f>
        <v/>
      </c>
    </row>
    <row r="1126" customFormat="false" ht="15" hidden="false" customHeight="false" outlineLevel="0" collapsed="false">
      <c r="A1126" s="17" t="n">
        <v>1122</v>
      </c>
      <c r="B1126" s="12" t="s">
        <v>3654</v>
      </c>
      <c r="C1126" s="12" t="s">
        <v>3655</v>
      </c>
      <c r="D1126" s="16" t="n">
        <v>0.00292256944444444</v>
      </c>
      <c r="E1126" s="15" t="n">
        <f aca="false">ROUND((D1126-$D$5)*86400,2)</f>
        <v>27.48</v>
      </c>
      <c r="F1126" s="17" t="n">
        <v>2372</v>
      </c>
      <c r="G1126" s="16" t="str">
        <f aca="false">IF(INDEX(選手一覧!$D$7:$D$2738,$F1126)="","",INDEX(選手一覧!$D$7:$D$2738,$F1126))</f>
        <v/>
      </c>
      <c r="H1126" s="17" t="str">
        <f aca="false">IF(INDEX(選手一覧!$E$7:$E$2738,$F1126)="","",INDEX(選手一覧!$E$7:$E$2738,$F1126))</f>
        <v/>
      </c>
      <c r="I1126" s="16" t="str">
        <f aca="false">IF(INDEX(選手一覧!$H$7:$H$2738,$F1126)="","",INDEX(選手一覧!$H$7:$H$2738,$F1126))</f>
        <v/>
      </c>
      <c r="J1126" s="17" t="str">
        <f aca="false">IF(INDEX(選手一覧!$I$7:$I$2738,$F1126)="","",INDEX(選手一覧!$I$7:$I$2738,$F1126))</f>
        <v/>
      </c>
    </row>
    <row r="1127" customFormat="false" ht="15" hidden="false" customHeight="false" outlineLevel="0" collapsed="false">
      <c r="A1127" s="17" t="n">
        <v>1123</v>
      </c>
      <c r="B1127" s="12" t="s">
        <v>2015</v>
      </c>
      <c r="C1127" s="12" t="s">
        <v>1465</v>
      </c>
      <c r="D1127" s="16" t="n">
        <v>0.00292291666666667</v>
      </c>
      <c r="E1127" s="15" t="n">
        <f aca="false">ROUND((D1127-$D$5)*86400,2)</f>
        <v>27.51</v>
      </c>
      <c r="F1127" s="17" t="n">
        <v>1270</v>
      </c>
      <c r="G1127" s="16" t="n">
        <f aca="false">IF(INDEX(選手一覧!$D$7:$D$2738,$F1127)="","",INDEX(選手一覧!$D$7:$D$2738,$F1127))</f>
        <v>0.0111005787037037</v>
      </c>
      <c r="H1127" s="17" t="n">
        <f aca="false">IF(INDEX(選手一覧!$E$7:$E$2738,$F1127)="","",INDEX(選手一覧!$E$7:$E$2738,$F1127))</f>
        <v>1271</v>
      </c>
      <c r="I1127" s="16" t="str">
        <f aca="false">IF(INDEX(選手一覧!$H$7:$H$2738,$F1127)="","",INDEX(選手一覧!$H$7:$H$2738,$F1127))</f>
        <v/>
      </c>
      <c r="J1127" s="17" t="str">
        <f aca="false">IF(INDEX(選手一覧!$I$7:$I$2738,$F1127)="","",INDEX(選手一覧!$I$7:$I$2738,$F1127))</f>
        <v/>
      </c>
    </row>
    <row r="1128" customFormat="false" ht="15" hidden="false" customHeight="false" outlineLevel="0" collapsed="false">
      <c r="A1128" s="17" t="n">
        <v>1124</v>
      </c>
      <c r="B1128" s="12" t="s">
        <v>1064</v>
      </c>
      <c r="C1128" s="12" t="s">
        <v>159</v>
      </c>
      <c r="D1128" s="16" t="n">
        <v>0.00292291666666667</v>
      </c>
      <c r="E1128" s="15" t="n">
        <f aca="false">ROUND((D1128-$D$5)*86400,2)</f>
        <v>27.51</v>
      </c>
      <c r="F1128" s="17" t="n">
        <v>623</v>
      </c>
      <c r="G1128" s="16" t="n">
        <f aca="false">IF(INDEX(選手一覧!$D$7:$D$2738,$F1128)="","",INDEX(選手一覧!$D$7:$D$2738,$F1128))</f>
        <v>0.0107270833333333</v>
      </c>
      <c r="H1128" s="17" t="n">
        <f aca="false">IF(INDEX(選手一覧!$E$7:$E$2738,$F1128)="","",INDEX(選手一覧!$E$7:$E$2738,$F1128))</f>
        <v>624</v>
      </c>
      <c r="I1128" s="16" t="str">
        <f aca="false">IF(INDEX(選手一覧!$H$7:$H$2738,$F1128)="","",INDEX(選手一覧!$H$7:$H$2738,$F1128))</f>
        <v/>
      </c>
      <c r="J1128" s="17" t="str">
        <f aca="false">IF(INDEX(選手一覧!$I$7:$I$2738,$F1128)="","",INDEX(選手一覧!$I$7:$I$2738,$F1128))</f>
        <v/>
      </c>
    </row>
    <row r="1129" customFormat="false" ht="15" hidden="false" customHeight="false" outlineLevel="0" collapsed="false">
      <c r="A1129" s="17" t="n">
        <v>1125</v>
      </c>
      <c r="B1129" s="12" t="s">
        <v>3662</v>
      </c>
      <c r="C1129" s="12" t="s">
        <v>1692</v>
      </c>
      <c r="D1129" s="16" t="n">
        <v>0.00292303240740741</v>
      </c>
      <c r="E1129" s="15" t="n">
        <f aca="false">ROUND((D1129-$D$5)*86400,2)</f>
        <v>27.52</v>
      </c>
      <c r="F1129" s="17" t="n">
        <v>2376</v>
      </c>
      <c r="G1129" s="16" t="str">
        <f aca="false">IF(INDEX(選手一覧!$D$7:$D$2738,$F1129)="","",INDEX(選手一覧!$D$7:$D$2738,$F1129))</f>
        <v/>
      </c>
      <c r="H1129" s="17" t="str">
        <f aca="false">IF(INDEX(選手一覧!$E$7:$E$2738,$F1129)="","",INDEX(選手一覧!$E$7:$E$2738,$F1129))</f>
        <v/>
      </c>
      <c r="I1129" s="16" t="str">
        <f aca="false">IF(INDEX(選手一覧!$H$7:$H$2738,$F1129)="","",INDEX(選手一覧!$H$7:$H$2738,$F1129))</f>
        <v/>
      </c>
      <c r="J1129" s="17" t="str">
        <f aca="false">IF(INDEX(選手一覧!$I$7:$I$2738,$F1129)="","",INDEX(選手一覧!$I$7:$I$2738,$F1129))</f>
        <v/>
      </c>
    </row>
    <row r="1130" customFormat="false" ht="15" hidden="false" customHeight="false" outlineLevel="0" collapsed="false">
      <c r="A1130" s="17" t="n">
        <v>1126</v>
      </c>
      <c r="B1130" s="12" t="s">
        <v>1305</v>
      </c>
      <c r="C1130" s="12" t="s">
        <v>61</v>
      </c>
      <c r="D1130" s="16" t="n">
        <v>0.00292303240740741</v>
      </c>
      <c r="E1130" s="15" t="n">
        <f aca="false">ROUND((D1130-$D$5)*86400,2)</f>
        <v>27.52</v>
      </c>
      <c r="F1130" s="17" t="n">
        <v>784</v>
      </c>
      <c r="G1130" s="16" t="n">
        <f aca="false">IF(INDEX(選手一覧!$D$7:$D$2738,$F1130)="","",INDEX(選手一覧!$D$7:$D$2738,$F1130))</f>
        <v>0.0108256944444445</v>
      </c>
      <c r="H1130" s="17" t="n">
        <f aca="false">IF(INDEX(選手一覧!$E$7:$E$2738,$F1130)="","",INDEX(選手一覧!$E$7:$E$2738,$F1130))</f>
        <v>785</v>
      </c>
      <c r="I1130" s="16" t="str">
        <f aca="false">IF(INDEX(選手一覧!$H$7:$H$2738,$F1130)="","",INDEX(選手一覧!$H$7:$H$2738,$F1130))</f>
        <v/>
      </c>
      <c r="J1130" s="17" t="str">
        <f aca="false">IF(INDEX(選手一覧!$I$7:$I$2738,$F1130)="","",INDEX(選手一覧!$I$7:$I$2738,$F1130))</f>
        <v/>
      </c>
    </row>
    <row r="1131" customFormat="false" ht="15" hidden="false" customHeight="false" outlineLevel="0" collapsed="false">
      <c r="A1131" s="17" t="n">
        <v>1127</v>
      </c>
      <c r="B1131" s="12" t="s">
        <v>3664</v>
      </c>
      <c r="C1131" s="12" t="s">
        <v>619</v>
      </c>
      <c r="D1131" s="16" t="n">
        <v>0.00292314814814815</v>
      </c>
      <c r="E1131" s="15" t="n">
        <f aca="false">ROUND((D1131-$D$5)*86400,2)</f>
        <v>27.53</v>
      </c>
      <c r="F1131" s="17" t="n">
        <v>2378</v>
      </c>
      <c r="G1131" s="16" t="str">
        <f aca="false">IF(INDEX(選手一覧!$D$7:$D$2738,$F1131)="","",INDEX(選手一覧!$D$7:$D$2738,$F1131))</f>
        <v/>
      </c>
      <c r="H1131" s="17" t="str">
        <f aca="false">IF(INDEX(選手一覧!$E$7:$E$2738,$F1131)="","",INDEX(選手一覧!$E$7:$E$2738,$F1131))</f>
        <v/>
      </c>
      <c r="I1131" s="16" t="str">
        <f aca="false">IF(INDEX(選手一覧!$H$7:$H$2738,$F1131)="","",INDEX(選手一覧!$H$7:$H$2738,$F1131))</f>
        <v/>
      </c>
      <c r="J1131" s="17" t="str">
        <f aca="false">IF(INDEX(選手一覧!$I$7:$I$2738,$F1131)="","",INDEX(選手一覧!$I$7:$I$2738,$F1131))</f>
        <v/>
      </c>
    </row>
    <row r="1132" customFormat="false" ht="15" hidden="false" customHeight="false" outlineLevel="0" collapsed="false">
      <c r="A1132" s="17" t="n">
        <v>1128</v>
      </c>
      <c r="B1132" s="12" t="s">
        <v>3666</v>
      </c>
      <c r="C1132" s="12" t="s">
        <v>1071</v>
      </c>
      <c r="D1132" s="16" t="n">
        <v>0.00292326388888889</v>
      </c>
      <c r="E1132" s="15" t="n">
        <f aca="false">ROUND((D1132-$D$5)*86400,2)</f>
        <v>27.54</v>
      </c>
      <c r="F1132" s="17" t="n">
        <v>2380</v>
      </c>
      <c r="G1132" s="16" t="str">
        <f aca="false">IF(INDEX(選手一覧!$D$7:$D$2738,$F1132)="","",INDEX(選手一覧!$D$7:$D$2738,$F1132))</f>
        <v/>
      </c>
      <c r="H1132" s="17" t="str">
        <f aca="false">IF(INDEX(選手一覧!$E$7:$E$2738,$F1132)="","",INDEX(選手一覧!$E$7:$E$2738,$F1132))</f>
        <v/>
      </c>
      <c r="I1132" s="16" t="str">
        <f aca="false">IF(INDEX(選手一覧!$H$7:$H$2738,$F1132)="","",INDEX(選手一覧!$H$7:$H$2738,$F1132))</f>
        <v/>
      </c>
      <c r="J1132" s="17" t="str">
        <f aca="false">IF(INDEX(選手一覧!$I$7:$I$2738,$F1132)="","",INDEX(選手一覧!$I$7:$I$2738,$F1132))</f>
        <v/>
      </c>
    </row>
    <row r="1133" customFormat="false" ht="15" hidden="false" customHeight="false" outlineLevel="0" collapsed="false">
      <c r="A1133" s="17" t="n">
        <v>1129</v>
      </c>
      <c r="B1133" s="12" t="s">
        <v>479</v>
      </c>
      <c r="C1133" s="12" t="s">
        <v>161</v>
      </c>
      <c r="D1133" s="16" t="n">
        <v>0.00292326388888889</v>
      </c>
      <c r="E1133" s="15" t="n">
        <f aca="false">ROUND((D1133-$D$5)*86400,2)</f>
        <v>27.54</v>
      </c>
      <c r="F1133" s="17" t="n">
        <v>247</v>
      </c>
      <c r="G1133" s="16" t="n">
        <f aca="false">IF(INDEX(選手一覧!$D$7:$D$2738,$F1133)="","",INDEX(選手一覧!$D$7:$D$2738,$F1133))</f>
        <v>0.010387962962963</v>
      </c>
      <c r="H1133" s="17" t="n">
        <f aca="false">IF(INDEX(選手一覧!$E$7:$E$2738,$F1133)="","",INDEX(選手一覧!$E$7:$E$2738,$F1133))</f>
        <v>248</v>
      </c>
      <c r="I1133" s="16" t="n">
        <f aca="false">IF(INDEX(選手一覧!$H$7:$H$2738,$F1133)="","",INDEX(選手一覧!$H$7:$H$2738,$F1133))</f>
        <v>0.00696041666666667</v>
      </c>
      <c r="J1133" s="17" t="n">
        <f aca="false">IF(INDEX(選手一覧!$I$7:$I$2738,$F1133)="","",INDEX(選手一覧!$I$7:$I$2738,$F1133))</f>
        <v>294</v>
      </c>
    </row>
    <row r="1134" customFormat="false" ht="15" hidden="false" customHeight="false" outlineLevel="0" collapsed="false">
      <c r="A1134" s="17" t="n">
        <v>1130</v>
      </c>
      <c r="B1134" s="12" t="s">
        <v>3671</v>
      </c>
      <c r="C1134" s="12" t="s">
        <v>3672</v>
      </c>
      <c r="D1134" s="16" t="n">
        <v>0.00292326388888889</v>
      </c>
      <c r="E1134" s="15" t="n">
        <f aca="false">ROUND((D1134-$D$5)*86400,2)</f>
        <v>27.54</v>
      </c>
      <c r="F1134" s="17" t="n">
        <v>2383</v>
      </c>
      <c r="G1134" s="16" t="str">
        <f aca="false">IF(INDEX(選手一覧!$D$7:$D$2738,$F1134)="","",INDEX(選手一覧!$D$7:$D$2738,$F1134))</f>
        <v/>
      </c>
      <c r="H1134" s="17" t="str">
        <f aca="false">IF(INDEX(選手一覧!$E$7:$E$2738,$F1134)="","",INDEX(選手一覧!$E$7:$E$2738,$F1134))</f>
        <v/>
      </c>
      <c r="I1134" s="16" t="str">
        <f aca="false">IF(INDEX(選手一覧!$H$7:$H$2738,$F1134)="","",INDEX(選手一覧!$H$7:$H$2738,$F1134))</f>
        <v/>
      </c>
      <c r="J1134" s="17" t="str">
        <f aca="false">IF(INDEX(選手一覧!$I$7:$I$2738,$F1134)="","",INDEX(選手一覧!$I$7:$I$2738,$F1134))</f>
        <v/>
      </c>
    </row>
    <row r="1135" customFormat="false" ht="15" hidden="false" customHeight="false" outlineLevel="0" collapsed="false">
      <c r="A1135" s="17" t="n">
        <v>1131</v>
      </c>
      <c r="B1135" s="12" t="s">
        <v>3674</v>
      </c>
      <c r="C1135" s="12" t="s">
        <v>3675</v>
      </c>
      <c r="D1135" s="16" t="n">
        <v>0.00292326388888889</v>
      </c>
      <c r="E1135" s="15" t="n">
        <f aca="false">ROUND((D1135-$D$5)*86400,2)</f>
        <v>27.54</v>
      </c>
      <c r="F1135" s="17" t="n">
        <v>2385</v>
      </c>
      <c r="G1135" s="16" t="str">
        <f aca="false">IF(INDEX(選手一覧!$D$7:$D$2738,$F1135)="","",INDEX(選手一覧!$D$7:$D$2738,$F1135))</f>
        <v/>
      </c>
      <c r="H1135" s="17" t="str">
        <f aca="false">IF(INDEX(選手一覧!$E$7:$E$2738,$F1135)="","",INDEX(選手一覧!$E$7:$E$2738,$F1135))</f>
        <v/>
      </c>
      <c r="I1135" s="16" t="str">
        <f aca="false">IF(INDEX(選手一覧!$H$7:$H$2738,$F1135)="","",INDEX(選手一覧!$H$7:$H$2738,$F1135))</f>
        <v/>
      </c>
      <c r="J1135" s="17" t="str">
        <f aca="false">IF(INDEX(選手一覧!$I$7:$I$2738,$F1135)="","",INDEX(選手一覧!$I$7:$I$2738,$F1135))</f>
        <v/>
      </c>
    </row>
    <row r="1136" customFormat="false" ht="15" hidden="false" customHeight="false" outlineLevel="0" collapsed="false">
      <c r="A1136" s="17" t="n">
        <v>1132</v>
      </c>
      <c r="B1136" s="12" t="s">
        <v>3678</v>
      </c>
      <c r="C1136" s="12" t="s">
        <v>795</v>
      </c>
      <c r="D1136" s="16" t="n">
        <v>0.00292337962962963</v>
      </c>
      <c r="E1136" s="15" t="n">
        <f aca="false">ROUND((D1136-$D$5)*86400,2)</f>
        <v>27.55</v>
      </c>
      <c r="F1136" s="17" t="n">
        <v>2387</v>
      </c>
      <c r="G1136" s="16" t="str">
        <f aca="false">IF(INDEX(選手一覧!$D$7:$D$2738,$F1136)="","",INDEX(選手一覧!$D$7:$D$2738,$F1136))</f>
        <v/>
      </c>
      <c r="H1136" s="17" t="str">
        <f aca="false">IF(INDEX(選手一覧!$E$7:$E$2738,$F1136)="","",INDEX(選手一覧!$E$7:$E$2738,$F1136))</f>
        <v/>
      </c>
      <c r="I1136" s="16" t="str">
        <f aca="false">IF(INDEX(選手一覧!$H$7:$H$2738,$F1136)="","",INDEX(選手一覧!$H$7:$H$2738,$F1136))</f>
        <v/>
      </c>
      <c r="J1136" s="17" t="str">
        <f aca="false">IF(INDEX(選手一覧!$I$7:$I$2738,$F1136)="","",INDEX(選手一覧!$I$7:$I$2738,$F1136))</f>
        <v/>
      </c>
    </row>
    <row r="1137" customFormat="false" ht="15" hidden="false" customHeight="false" outlineLevel="0" collapsed="false">
      <c r="A1137" s="17" t="n">
        <v>1133</v>
      </c>
      <c r="B1137" s="12" t="s">
        <v>1802</v>
      </c>
      <c r="C1137" s="12" t="s">
        <v>1803</v>
      </c>
      <c r="D1137" s="16" t="n">
        <v>0.00292349537037037</v>
      </c>
      <c r="E1137" s="15" t="n">
        <f aca="false">ROUND((D1137-$D$5)*86400,2)</f>
        <v>27.56</v>
      </c>
      <c r="F1137" s="17" t="n">
        <v>1117</v>
      </c>
      <c r="G1137" s="16" t="n">
        <f aca="false">IF(INDEX(選手一覧!$D$7:$D$2738,$F1137)="","",INDEX(選手一覧!$D$7:$D$2738,$F1137))</f>
        <v>0.011015162037037</v>
      </c>
      <c r="H1137" s="17" t="n">
        <f aca="false">IF(INDEX(選手一覧!$E$7:$E$2738,$F1137)="","",INDEX(選手一覧!$E$7:$E$2738,$F1137))</f>
        <v>1118</v>
      </c>
      <c r="I1137" s="16" t="n">
        <f aca="false">IF(INDEX(選手一覧!$H$7:$H$2738,$F1137)="","",INDEX(選手一覧!$H$7:$H$2738,$F1137))</f>
        <v>0.00704675925925926</v>
      </c>
      <c r="J1137" s="17" t="n">
        <f aca="false">IF(INDEX(選手一覧!$I$7:$I$2738,$F1137)="","",INDEX(選手一覧!$I$7:$I$2738,$F1137))</f>
        <v>387</v>
      </c>
    </row>
    <row r="1138" customFormat="false" ht="15" hidden="false" customHeight="false" outlineLevel="0" collapsed="false">
      <c r="A1138" s="17" t="n">
        <v>1134</v>
      </c>
      <c r="B1138" s="12" t="s">
        <v>2415</v>
      </c>
      <c r="C1138" s="12" t="s">
        <v>61</v>
      </c>
      <c r="D1138" s="16" t="n">
        <v>0.00292361111111111</v>
      </c>
      <c r="E1138" s="15" t="n">
        <f aca="false">ROUND((D1138-$D$5)*86400,2)</f>
        <v>27.57</v>
      </c>
      <c r="F1138" s="17" t="n">
        <v>1541</v>
      </c>
      <c r="G1138" s="16" t="str">
        <f aca="false">IF(INDEX(選手一覧!$D$7:$D$2738,$F1138)="","",INDEX(選手一覧!$D$7:$D$2738,$F1138))</f>
        <v/>
      </c>
      <c r="H1138" s="17" t="str">
        <f aca="false">IF(INDEX(選手一覧!$E$7:$E$2738,$F1138)="","",INDEX(選手一覧!$E$7:$E$2738,$F1138))</f>
        <v/>
      </c>
      <c r="I1138" s="16" t="n">
        <f aca="false">IF(INDEX(選手一覧!$H$7:$H$2738,$F1138)="","",INDEX(選手一覧!$H$7:$H$2738,$F1138))</f>
        <v>0.00709722222222222</v>
      </c>
      <c r="J1138" s="17" t="n">
        <f aca="false">IF(INDEX(選手一覧!$I$7:$I$2738,$F1138)="","",INDEX(選手一覧!$I$7:$I$2738,$F1138))</f>
        <v>445</v>
      </c>
    </row>
    <row r="1139" customFormat="false" ht="15" hidden="false" customHeight="false" outlineLevel="0" collapsed="false">
      <c r="A1139" s="17" t="n">
        <v>1135</v>
      </c>
      <c r="B1139" s="12" t="s">
        <v>3684</v>
      </c>
      <c r="C1139" s="12" t="s">
        <v>3685</v>
      </c>
      <c r="D1139" s="16" t="n">
        <v>0.00292395833333333</v>
      </c>
      <c r="E1139" s="15" t="n">
        <f aca="false">ROUND((D1139-$D$5)*86400,2)</f>
        <v>27.6</v>
      </c>
      <c r="F1139" s="17" t="n">
        <v>2391</v>
      </c>
      <c r="G1139" s="16" t="str">
        <f aca="false">IF(INDEX(選手一覧!$D$7:$D$2738,$F1139)="","",INDEX(選手一覧!$D$7:$D$2738,$F1139))</f>
        <v/>
      </c>
      <c r="H1139" s="17" t="str">
        <f aca="false">IF(INDEX(選手一覧!$E$7:$E$2738,$F1139)="","",INDEX(選手一覧!$E$7:$E$2738,$F1139))</f>
        <v/>
      </c>
      <c r="I1139" s="16" t="str">
        <f aca="false">IF(INDEX(選手一覧!$H$7:$H$2738,$F1139)="","",INDEX(選手一覧!$H$7:$H$2738,$F1139))</f>
        <v/>
      </c>
      <c r="J1139" s="17" t="str">
        <f aca="false">IF(INDEX(選手一覧!$I$7:$I$2738,$F1139)="","",INDEX(選手一覧!$I$7:$I$2738,$F1139))</f>
        <v/>
      </c>
    </row>
    <row r="1140" customFormat="false" ht="15" hidden="false" customHeight="false" outlineLevel="0" collapsed="false">
      <c r="A1140" s="17" t="n">
        <v>1136</v>
      </c>
      <c r="B1140" s="12" t="s">
        <v>1345</v>
      </c>
      <c r="C1140" s="12" t="s">
        <v>1346</v>
      </c>
      <c r="D1140" s="16" t="n">
        <v>0.00292395833333333</v>
      </c>
      <c r="E1140" s="15" t="n">
        <f aca="false">ROUND((D1140-$D$5)*86400,2)</f>
        <v>27.6</v>
      </c>
      <c r="F1140" s="17" t="n">
        <v>811</v>
      </c>
      <c r="G1140" s="16" t="n">
        <f aca="false">IF(INDEX(選手一覧!$D$7:$D$2738,$F1140)="","",INDEX(選手一覧!$D$7:$D$2738,$F1140))</f>
        <v>0.0108391203703704</v>
      </c>
      <c r="H1140" s="17" t="n">
        <f aca="false">IF(INDEX(選手一覧!$E$7:$E$2738,$F1140)="","",INDEX(選手一覧!$E$7:$E$2738,$F1140))</f>
        <v>812</v>
      </c>
      <c r="I1140" s="16" t="n">
        <f aca="false">IF(INDEX(選手一覧!$H$7:$H$2738,$F1140)="","",INDEX(選手一覧!$H$7:$H$2738,$F1140))</f>
        <v>0.00707430555555556</v>
      </c>
      <c r="J1140" s="17" t="n">
        <f aca="false">IF(INDEX(選手一覧!$I$7:$I$2738,$F1140)="","",INDEX(選手一覧!$I$7:$I$2738,$F1140))</f>
        <v>420</v>
      </c>
    </row>
    <row r="1141" customFormat="false" ht="15" hidden="false" customHeight="false" outlineLevel="0" collapsed="false">
      <c r="A1141" s="17" t="n">
        <v>1137</v>
      </c>
      <c r="B1141" s="12" t="s">
        <v>3688</v>
      </c>
      <c r="C1141" s="12" t="s">
        <v>3689</v>
      </c>
      <c r="D1141" s="16" t="n">
        <v>0.00292395833333333</v>
      </c>
      <c r="E1141" s="15" t="n">
        <f aca="false">ROUND((D1141-$D$5)*86400,2)</f>
        <v>27.6</v>
      </c>
      <c r="F1141" s="17" t="n">
        <v>2393</v>
      </c>
      <c r="G1141" s="16" t="str">
        <f aca="false">IF(INDEX(選手一覧!$D$7:$D$2738,$F1141)="","",INDEX(選手一覧!$D$7:$D$2738,$F1141))</f>
        <v/>
      </c>
      <c r="H1141" s="17" t="str">
        <f aca="false">IF(INDEX(選手一覧!$E$7:$E$2738,$F1141)="","",INDEX(選手一覧!$E$7:$E$2738,$F1141))</f>
        <v/>
      </c>
      <c r="I1141" s="16" t="str">
        <f aca="false">IF(INDEX(選手一覧!$H$7:$H$2738,$F1141)="","",INDEX(選手一覧!$H$7:$H$2738,$F1141))</f>
        <v/>
      </c>
      <c r="J1141" s="17" t="str">
        <f aca="false">IF(INDEX(選手一覧!$I$7:$I$2738,$F1141)="","",INDEX(選手一覧!$I$7:$I$2738,$F1141))</f>
        <v/>
      </c>
    </row>
    <row r="1142" customFormat="false" ht="15" hidden="false" customHeight="false" outlineLevel="0" collapsed="false">
      <c r="A1142" s="17" t="n">
        <v>1138</v>
      </c>
      <c r="B1142" s="12" t="s">
        <v>541</v>
      </c>
      <c r="C1142" s="12" t="s">
        <v>63</v>
      </c>
      <c r="D1142" s="16" t="n">
        <v>0.00292418981481482</v>
      </c>
      <c r="E1142" s="15" t="n">
        <f aca="false">ROUND((D1142-$D$5)*86400,2)</f>
        <v>27.62</v>
      </c>
      <c r="F1142" s="17" t="n">
        <v>287</v>
      </c>
      <c r="G1142" s="16" t="n">
        <f aca="false">IF(INDEX(選手一覧!$D$7:$D$2738,$F1142)="","",INDEX(選手一覧!$D$7:$D$2738,$F1142))</f>
        <v>0.0104231481481482</v>
      </c>
      <c r="H1142" s="17" t="n">
        <f aca="false">IF(INDEX(選手一覧!$E$7:$E$2738,$F1142)="","",INDEX(選手一覧!$E$7:$E$2738,$F1142))</f>
        <v>288</v>
      </c>
      <c r="I1142" s="16" t="str">
        <f aca="false">IF(INDEX(選手一覧!$H$7:$H$2738,$F1142)="","",INDEX(選手一覧!$H$7:$H$2738,$F1142))</f>
        <v/>
      </c>
      <c r="J1142" s="17" t="str">
        <f aca="false">IF(INDEX(選手一覧!$I$7:$I$2738,$F1142)="","",INDEX(選手一覧!$I$7:$I$2738,$F1142))</f>
        <v/>
      </c>
    </row>
    <row r="1143" customFormat="false" ht="15" hidden="false" customHeight="false" outlineLevel="0" collapsed="false">
      <c r="A1143" s="17" t="n">
        <v>1139</v>
      </c>
      <c r="B1143" s="12" t="s">
        <v>3573</v>
      </c>
      <c r="C1143" s="12" t="s">
        <v>2174</v>
      </c>
      <c r="D1143" s="16" t="n">
        <v>0.00292418981481482</v>
      </c>
      <c r="E1143" s="15" t="n">
        <f aca="false">ROUND((D1143-$D$5)*86400,2)</f>
        <v>27.62</v>
      </c>
      <c r="F1143" s="17" t="n">
        <v>2317</v>
      </c>
      <c r="G1143" s="16" t="str">
        <f aca="false">IF(INDEX(選手一覧!$D$7:$D$2738,$F1143)="","",INDEX(選手一覧!$D$7:$D$2738,$F1143))</f>
        <v/>
      </c>
      <c r="H1143" s="17" t="str">
        <f aca="false">IF(INDEX(選手一覧!$E$7:$E$2738,$F1143)="","",INDEX(選手一覧!$E$7:$E$2738,$F1143))</f>
        <v/>
      </c>
      <c r="I1143" s="16" t="n">
        <f aca="false">IF(INDEX(選手一覧!$H$7:$H$2738,$F1143)="","",INDEX(選手一覧!$H$7:$H$2738,$F1143))</f>
        <v>0.0077193287037037</v>
      </c>
      <c r="J1143" s="17" t="n">
        <f aca="false">IF(INDEX(選手一覧!$I$7:$I$2738,$F1143)="","",INDEX(選手一覧!$I$7:$I$2738,$F1143))</f>
        <v>1085</v>
      </c>
    </row>
    <row r="1144" customFormat="false" ht="15" hidden="false" customHeight="false" outlineLevel="0" collapsed="false">
      <c r="A1144" s="17" t="n">
        <v>1140</v>
      </c>
      <c r="B1144" s="12" t="s">
        <v>1110</v>
      </c>
      <c r="C1144" s="12" t="s">
        <v>1111</v>
      </c>
      <c r="D1144" s="16" t="n">
        <v>0.00292465277777778</v>
      </c>
      <c r="E1144" s="15" t="n">
        <f aca="false">ROUND((D1144-$D$5)*86400,2)</f>
        <v>27.66</v>
      </c>
      <c r="F1144" s="17" t="n">
        <v>657</v>
      </c>
      <c r="G1144" s="16" t="n">
        <f aca="false">IF(INDEX(選手一覧!$D$7:$D$2738,$F1144)="","",INDEX(選手一覧!$D$7:$D$2738,$F1144))</f>
        <v>0.0107445601851852</v>
      </c>
      <c r="H1144" s="17" t="n">
        <f aca="false">IF(INDEX(選手一覧!$E$7:$E$2738,$F1144)="","",INDEX(選手一覧!$E$7:$E$2738,$F1144))</f>
        <v>658</v>
      </c>
      <c r="I1144" s="16" t="str">
        <f aca="false">IF(INDEX(選手一覧!$H$7:$H$2738,$F1144)="","",INDEX(選手一覧!$H$7:$H$2738,$F1144))</f>
        <v/>
      </c>
      <c r="J1144" s="17" t="str">
        <f aca="false">IF(INDEX(選手一覧!$I$7:$I$2738,$F1144)="","",INDEX(選手一覧!$I$7:$I$2738,$F1144))</f>
        <v/>
      </c>
    </row>
    <row r="1145" customFormat="false" ht="15" hidden="false" customHeight="false" outlineLevel="0" collapsed="false">
      <c r="A1145" s="17" t="n">
        <v>1141</v>
      </c>
      <c r="B1145" s="12" t="s">
        <v>3695</v>
      </c>
      <c r="C1145" s="12" t="s">
        <v>3696</v>
      </c>
      <c r="D1145" s="16" t="n">
        <v>0.00292465277777778</v>
      </c>
      <c r="E1145" s="15" t="n">
        <f aca="false">ROUND((D1145-$D$5)*86400,2)</f>
        <v>27.66</v>
      </c>
      <c r="F1145" s="17" t="n">
        <v>2398</v>
      </c>
      <c r="G1145" s="16" t="str">
        <f aca="false">IF(INDEX(選手一覧!$D$7:$D$2738,$F1145)="","",INDEX(選手一覧!$D$7:$D$2738,$F1145))</f>
        <v/>
      </c>
      <c r="H1145" s="17" t="str">
        <f aca="false">IF(INDEX(選手一覧!$E$7:$E$2738,$F1145)="","",INDEX(選手一覧!$E$7:$E$2738,$F1145))</f>
        <v/>
      </c>
      <c r="I1145" s="16" t="str">
        <f aca="false">IF(INDEX(選手一覧!$H$7:$H$2738,$F1145)="","",INDEX(選手一覧!$H$7:$H$2738,$F1145))</f>
        <v/>
      </c>
      <c r="J1145" s="17" t="str">
        <f aca="false">IF(INDEX(選手一覧!$I$7:$I$2738,$F1145)="","",INDEX(選手一覧!$I$7:$I$2738,$F1145))</f>
        <v/>
      </c>
    </row>
    <row r="1146" customFormat="false" ht="15" hidden="false" customHeight="false" outlineLevel="0" collapsed="false">
      <c r="A1146" s="17" t="n">
        <v>1142</v>
      </c>
      <c r="B1146" s="12" t="s">
        <v>192</v>
      </c>
      <c r="C1146" s="12" t="s">
        <v>193</v>
      </c>
      <c r="D1146" s="16" t="n">
        <v>0.00292476851851852</v>
      </c>
      <c r="E1146" s="15" t="n">
        <f aca="false">ROUND((D1146-$D$5)*86400,2)</f>
        <v>27.67</v>
      </c>
      <c r="F1146" s="17" t="n">
        <v>85</v>
      </c>
      <c r="G1146" s="16" t="n">
        <f aca="false">IF(INDEX(選手一覧!$D$7:$D$2738,$F1146)="","",INDEX(選手一覧!$D$7:$D$2738,$F1146))</f>
        <v>0.0101837962962963</v>
      </c>
      <c r="H1146" s="17" t="n">
        <f aca="false">IF(INDEX(選手一覧!$E$7:$E$2738,$F1146)="","",INDEX(選手一覧!$E$7:$E$2738,$F1146))</f>
        <v>86</v>
      </c>
      <c r="I1146" s="16" t="str">
        <f aca="false">IF(INDEX(選手一覧!$H$7:$H$2738,$F1146)="","",INDEX(選手一覧!$H$7:$H$2738,$F1146))</f>
        <v/>
      </c>
      <c r="J1146" s="17" t="str">
        <f aca="false">IF(INDEX(選手一覧!$I$7:$I$2738,$F1146)="","",INDEX(選手一覧!$I$7:$I$2738,$F1146))</f>
        <v/>
      </c>
    </row>
    <row r="1147" customFormat="false" ht="15" hidden="false" customHeight="false" outlineLevel="0" collapsed="false">
      <c r="A1147" s="17" t="n">
        <v>1143</v>
      </c>
      <c r="B1147" s="12" t="s">
        <v>797</v>
      </c>
      <c r="C1147" s="12" t="s">
        <v>256</v>
      </c>
      <c r="D1147" s="16" t="n">
        <v>0.00292476851851852</v>
      </c>
      <c r="E1147" s="15" t="n">
        <f aca="false">ROUND((D1147-$D$5)*86400,2)</f>
        <v>27.67</v>
      </c>
      <c r="F1147" s="17" t="n">
        <v>447</v>
      </c>
      <c r="G1147" s="16" t="n">
        <f aca="false">IF(INDEX(選手一覧!$D$7:$D$2738,$F1147)="","",INDEX(選手一覧!$D$7:$D$2738,$F1147))</f>
        <v>0.0105861111111111</v>
      </c>
      <c r="H1147" s="17" t="n">
        <f aca="false">IF(INDEX(選手一覧!$E$7:$E$2738,$F1147)="","",INDEX(選手一覧!$E$7:$E$2738,$F1147))</f>
        <v>448</v>
      </c>
      <c r="I1147" s="16" t="str">
        <f aca="false">IF(INDEX(選手一覧!$H$7:$H$2738,$F1147)="","",INDEX(選手一覧!$H$7:$H$2738,$F1147))</f>
        <v/>
      </c>
      <c r="J1147" s="17" t="str">
        <f aca="false">IF(INDEX(選手一覧!$I$7:$I$2738,$F1147)="","",INDEX(選手一覧!$I$7:$I$2738,$F1147))</f>
        <v/>
      </c>
    </row>
    <row r="1148" customFormat="false" ht="15" hidden="false" customHeight="false" outlineLevel="0" collapsed="false">
      <c r="A1148" s="17" t="n">
        <v>1144</v>
      </c>
      <c r="B1148" s="12" t="s">
        <v>1325</v>
      </c>
      <c r="C1148" s="12" t="s">
        <v>51</v>
      </c>
      <c r="D1148" s="16" t="n">
        <v>0.00292476851851852</v>
      </c>
      <c r="E1148" s="15" t="n">
        <f aca="false">ROUND((D1148-$D$5)*86400,2)</f>
        <v>27.67</v>
      </c>
      <c r="F1148" s="17" t="n">
        <v>800</v>
      </c>
      <c r="G1148" s="16" t="n">
        <f aca="false">IF(INDEX(選手一覧!$D$7:$D$2738,$F1148)="","",INDEX(選手一覧!$D$7:$D$2738,$F1148))</f>
        <v>0.0108334490740741</v>
      </c>
      <c r="H1148" s="17" t="n">
        <f aca="false">IF(INDEX(選手一覧!$E$7:$E$2738,$F1148)="","",INDEX(選手一覧!$E$7:$E$2738,$F1148))</f>
        <v>801</v>
      </c>
      <c r="I1148" s="16" t="str">
        <f aca="false">IF(INDEX(選手一覧!$H$7:$H$2738,$F1148)="","",INDEX(選手一覧!$H$7:$H$2738,$F1148))</f>
        <v/>
      </c>
      <c r="J1148" s="17" t="str">
        <f aca="false">IF(INDEX(選手一覧!$I$7:$I$2738,$F1148)="","",INDEX(選手一覧!$I$7:$I$2738,$F1148))</f>
        <v/>
      </c>
    </row>
    <row r="1149" customFormat="false" ht="15" hidden="false" customHeight="false" outlineLevel="0" collapsed="false">
      <c r="A1149" s="17" t="n">
        <v>1145</v>
      </c>
      <c r="B1149" s="12" t="s">
        <v>2525</v>
      </c>
      <c r="C1149" s="12" t="s">
        <v>2526</v>
      </c>
      <c r="D1149" s="16" t="n">
        <v>0.00292488425925926</v>
      </c>
      <c r="E1149" s="15" t="n">
        <f aca="false">ROUND((D1149-$D$5)*86400,2)</f>
        <v>27.68</v>
      </c>
      <c r="F1149" s="17" t="n">
        <v>1610</v>
      </c>
      <c r="G1149" s="16" t="str">
        <f aca="false">IF(INDEX(選手一覧!$D$7:$D$2738,$F1149)="","",INDEX(選手一覧!$D$7:$D$2738,$F1149))</f>
        <v/>
      </c>
      <c r="H1149" s="17" t="str">
        <f aca="false">IF(INDEX(選手一覧!$E$7:$E$2738,$F1149)="","",INDEX(選手一覧!$E$7:$E$2738,$F1149))</f>
        <v/>
      </c>
      <c r="I1149" s="16" t="n">
        <f aca="false">IF(INDEX(選手一覧!$H$7:$H$2738,$F1149)="","",INDEX(選手一覧!$H$7:$H$2738,$F1149))</f>
        <v>0.00718032407407407</v>
      </c>
      <c r="J1149" s="17" t="n">
        <f aca="false">IF(INDEX(選手一覧!$I$7:$I$2738,$F1149)="","",INDEX(選手一覧!$I$7:$I$2738,$F1149))</f>
        <v>519</v>
      </c>
    </row>
    <row r="1150" customFormat="false" ht="15" hidden="false" customHeight="false" outlineLevel="0" collapsed="false">
      <c r="A1150" s="17" t="n">
        <v>1146</v>
      </c>
      <c r="B1150" s="12" t="s">
        <v>2211</v>
      </c>
      <c r="C1150" s="12" t="s">
        <v>2212</v>
      </c>
      <c r="D1150" s="16" t="n">
        <v>0.00292488425925926</v>
      </c>
      <c r="E1150" s="15" t="n">
        <f aca="false">ROUND((D1150-$D$5)*86400,2)</f>
        <v>27.68</v>
      </c>
      <c r="F1150" s="17" t="n">
        <v>1409</v>
      </c>
      <c r="G1150" s="16" t="str">
        <f aca="false">IF(INDEX(選手一覧!$D$7:$D$2738,$F1150)="","",INDEX(選手一覧!$D$7:$D$2738,$F1150))</f>
        <v/>
      </c>
      <c r="H1150" s="17" t="str">
        <f aca="false">IF(INDEX(選手一覧!$E$7:$E$2738,$F1150)="","",INDEX(選手一覧!$E$7:$E$2738,$F1150))</f>
        <v/>
      </c>
      <c r="I1150" s="16" t="n">
        <f aca="false">IF(INDEX(選手一覧!$H$7:$H$2738,$F1150)="","",INDEX(選手一覧!$H$7:$H$2738,$F1150))</f>
        <v>0.00693888888888889</v>
      </c>
      <c r="J1150" s="17" t="n">
        <f aca="false">IF(INDEX(選手一覧!$I$7:$I$2738,$F1150)="","",INDEX(選手一覧!$I$7:$I$2738,$F1150))</f>
        <v>282</v>
      </c>
    </row>
    <row r="1151" customFormat="false" ht="15" hidden="false" customHeight="false" outlineLevel="0" collapsed="false">
      <c r="A1151" s="17" t="n">
        <v>1147</v>
      </c>
      <c r="B1151" s="12" t="s">
        <v>2030</v>
      </c>
      <c r="C1151" s="12" t="s">
        <v>907</v>
      </c>
      <c r="D1151" s="16" t="n">
        <v>0.00292488425925926</v>
      </c>
      <c r="E1151" s="15" t="n">
        <f aca="false">ROUND((D1151-$D$5)*86400,2)</f>
        <v>27.68</v>
      </c>
      <c r="F1151" s="17" t="n">
        <v>1282</v>
      </c>
      <c r="G1151" s="16" t="n">
        <f aca="false">IF(INDEX(選手一覧!$D$7:$D$2738,$F1151)="","",INDEX(選手一覧!$D$7:$D$2738,$F1151))</f>
        <v>0.0111163194444444</v>
      </c>
      <c r="H1151" s="17" t="n">
        <f aca="false">IF(INDEX(選手一覧!$E$7:$E$2738,$F1151)="","",INDEX(選手一覧!$E$7:$E$2738,$F1151))</f>
        <v>1283</v>
      </c>
      <c r="I1151" s="16" t="str">
        <f aca="false">IF(INDEX(選手一覧!$H$7:$H$2738,$F1151)="","",INDEX(選手一覧!$H$7:$H$2738,$F1151))</f>
        <v/>
      </c>
      <c r="J1151" s="17" t="str">
        <f aca="false">IF(INDEX(選手一覧!$I$7:$I$2738,$F1151)="","",INDEX(選手一覧!$I$7:$I$2738,$F1151))</f>
        <v/>
      </c>
    </row>
    <row r="1152" customFormat="false" ht="15" hidden="false" customHeight="false" outlineLevel="0" collapsed="false">
      <c r="A1152" s="17" t="n">
        <v>1148</v>
      </c>
      <c r="B1152" s="12" t="s">
        <v>3709</v>
      </c>
      <c r="C1152" s="12" t="s">
        <v>1096</v>
      </c>
      <c r="D1152" s="16" t="n">
        <v>0.00292488425925926</v>
      </c>
      <c r="E1152" s="15" t="n">
        <f aca="false">ROUND((D1152-$D$5)*86400,2)</f>
        <v>27.68</v>
      </c>
      <c r="F1152" s="17" t="n">
        <v>2406</v>
      </c>
      <c r="G1152" s="16" t="str">
        <f aca="false">IF(INDEX(選手一覧!$D$7:$D$2738,$F1152)="","",INDEX(選手一覧!$D$7:$D$2738,$F1152))</f>
        <v/>
      </c>
      <c r="H1152" s="17" t="str">
        <f aca="false">IF(INDEX(選手一覧!$E$7:$E$2738,$F1152)="","",INDEX(選手一覧!$E$7:$E$2738,$F1152))</f>
        <v/>
      </c>
      <c r="I1152" s="16" t="str">
        <f aca="false">IF(INDEX(選手一覧!$H$7:$H$2738,$F1152)="","",INDEX(選手一覧!$H$7:$H$2738,$F1152))</f>
        <v/>
      </c>
      <c r="J1152" s="17" t="str">
        <f aca="false">IF(INDEX(選手一覧!$I$7:$I$2738,$F1152)="","",INDEX(選手一覧!$I$7:$I$2738,$F1152))</f>
        <v/>
      </c>
    </row>
    <row r="1153" customFormat="false" ht="15" hidden="false" customHeight="false" outlineLevel="0" collapsed="false">
      <c r="A1153" s="17" t="n">
        <v>1149</v>
      </c>
      <c r="B1153" s="12" t="s">
        <v>1333</v>
      </c>
      <c r="C1153" s="12" t="s">
        <v>1334</v>
      </c>
      <c r="D1153" s="16" t="n">
        <v>0.002925</v>
      </c>
      <c r="E1153" s="15" t="n">
        <f aca="false">ROUND((D1153-$D$5)*86400,2)</f>
        <v>27.69</v>
      </c>
      <c r="F1153" s="17" t="n">
        <v>804</v>
      </c>
      <c r="G1153" s="16" t="n">
        <f aca="false">IF(INDEX(選手一覧!$D$7:$D$2738,$F1153)="","",INDEX(選手一覧!$D$7:$D$2738,$F1153))</f>
        <v>0.0108373842592593</v>
      </c>
      <c r="H1153" s="17" t="n">
        <f aca="false">IF(INDEX(選手一覧!$E$7:$E$2738,$F1153)="","",INDEX(選手一覧!$E$7:$E$2738,$F1153))</f>
        <v>805</v>
      </c>
      <c r="I1153" s="16" t="n">
        <f aca="false">IF(INDEX(選手一覧!$H$7:$H$2738,$F1153)="","",INDEX(選手一覧!$H$7:$H$2738,$F1153))</f>
        <v>0.00711782407407407</v>
      </c>
      <c r="J1153" s="17" t="n">
        <f aca="false">IF(INDEX(選手一覧!$I$7:$I$2738,$F1153)="","",INDEX(選手一覧!$I$7:$I$2738,$F1153))</f>
        <v>464</v>
      </c>
    </row>
    <row r="1154" customFormat="false" ht="15" hidden="false" customHeight="false" outlineLevel="0" collapsed="false">
      <c r="A1154" s="17" t="n">
        <v>1150</v>
      </c>
      <c r="B1154" s="12" t="s">
        <v>3713</v>
      </c>
      <c r="C1154" s="12" t="s">
        <v>3714</v>
      </c>
      <c r="D1154" s="16" t="n">
        <v>0.002925</v>
      </c>
      <c r="E1154" s="15" t="n">
        <f aca="false">ROUND((D1154-$D$5)*86400,2)</f>
        <v>27.69</v>
      </c>
      <c r="F1154" s="17" t="n">
        <v>2409</v>
      </c>
      <c r="G1154" s="16" t="str">
        <f aca="false">IF(INDEX(選手一覧!$D$7:$D$2738,$F1154)="","",INDEX(選手一覧!$D$7:$D$2738,$F1154))</f>
        <v/>
      </c>
      <c r="H1154" s="17" t="str">
        <f aca="false">IF(INDEX(選手一覧!$E$7:$E$2738,$F1154)="","",INDEX(選手一覧!$E$7:$E$2738,$F1154))</f>
        <v/>
      </c>
      <c r="I1154" s="16" t="str">
        <f aca="false">IF(INDEX(選手一覧!$H$7:$H$2738,$F1154)="","",INDEX(選手一覧!$H$7:$H$2738,$F1154))</f>
        <v/>
      </c>
      <c r="J1154" s="17" t="str">
        <f aca="false">IF(INDEX(選手一覧!$I$7:$I$2738,$F1154)="","",INDEX(選手一覧!$I$7:$I$2738,$F1154))</f>
        <v/>
      </c>
    </row>
    <row r="1155" customFormat="false" ht="15" hidden="false" customHeight="false" outlineLevel="0" collapsed="false">
      <c r="A1155" s="17" t="n">
        <v>1151</v>
      </c>
      <c r="B1155" s="12" t="s">
        <v>3716</v>
      </c>
      <c r="C1155" s="12" t="s">
        <v>1415</v>
      </c>
      <c r="D1155" s="16" t="n">
        <v>0.00292534722222222</v>
      </c>
      <c r="E1155" s="15" t="n">
        <f aca="false">ROUND((D1155-$D$5)*86400,2)</f>
        <v>27.72</v>
      </c>
      <c r="F1155" s="17" t="n">
        <v>2411</v>
      </c>
      <c r="G1155" s="16" t="str">
        <f aca="false">IF(INDEX(選手一覧!$D$7:$D$2738,$F1155)="","",INDEX(選手一覧!$D$7:$D$2738,$F1155))</f>
        <v/>
      </c>
      <c r="H1155" s="17" t="str">
        <f aca="false">IF(INDEX(選手一覧!$E$7:$E$2738,$F1155)="","",INDEX(選手一覧!$E$7:$E$2738,$F1155))</f>
        <v/>
      </c>
      <c r="I1155" s="16" t="str">
        <f aca="false">IF(INDEX(選手一覧!$H$7:$H$2738,$F1155)="","",INDEX(選手一覧!$H$7:$H$2738,$F1155))</f>
        <v/>
      </c>
      <c r="J1155" s="17" t="str">
        <f aca="false">IF(INDEX(選手一覧!$I$7:$I$2738,$F1155)="","",INDEX(選手一覧!$I$7:$I$2738,$F1155))</f>
        <v/>
      </c>
    </row>
    <row r="1156" customFormat="false" ht="15" hidden="false" customHeight="false" outlineLevel="0" collapsed="false">
      <c r="A1156" s="17" t="n">
        <v>1152</v>
      </c>
      <c r="B1156" s="12" t="s">
        <v>1932</v>
      </c>
      <c r="C1156" s="12" t="s">
        <v>137</v>
      </c>
      <c r="D1156" s="16" t="n">
        <v>0.00292546296296296</v>
      </c>
      <c r="E1156" s="15" t="n">
        <f aca="false">ROUND((D1156-$D$5)*86400,2)</f>
        <v>27.73</v>
      </c>
      <c r="F1156" s="17" t="n">
        <v>1207</v>
      </c>
      <c r="G1156" s="16" t="n">
        <f aca="false">IF(INDEX(選手一覧!$D$7:$D$2738,$F1156)="","",INDEX(選手一覧!$D$7:$D$2738,$F1156))</f>
        <v>0.0110539351851852</v>
      </c>
      <c r="H1156" s="17" t="n">
        <f aca="false">IF(INDEX(選手一覧!$E$7:$E$2738,$F1156)="","",INDEX(選手一覧!$E$7:$E$2738,$F1156))</f>
        <v>1208</v>
      </c>
      <c r="I1156" s="16" t="str">
        <f aca="false">IF(INDEX(選手一覧!$H$7:$H$2738,$F1156)="","",INDEX(選手一覧!$H$7:$H$2738,$F1156))</f>
        <v/>
      </c>
      <c r="J1156" s="17" t="str">
        <f aca="false">IF(INDEX(選手一覧!$I$7:$I$2738,$F1156)="","",INDEX(選手一覧!$I$7:$I$2738,$F1156))</f>
        <v/>
      </c>
    </row>
    <row r="1157" customFormat="false" ht="15" hidden="false" customHeight="false" outlineLevel="0" collapsed="false">
      <c r="A1157" s="17" t="n">
        <v>1153</v>
      </c>
      <c r="B1157" s="12" t="s">
        <v>1977</v>
      </c>
      <c r="C1157" s="12" t="s">
        <v>1625</v>
      </c>
      <c r="D1157" s="16" t="n">
        <v>0.00292546296296296</v>
      </c>
      <c r="E1157" s="15" t="n">
        <f aca="false">ROUND((D1157-$D$5)*86400,2)</f>
        <v>27.73</v>
      </c>
      <c r="F1157" s="17" t="n">
        <v>1239</v>
      </c>
      <c r="G1157" s="16" t="n">
        <f aca="false">IF(INDEX(選手一覧!$D$7:$D$2738,$F1157)="","",INDEX(選手一覧!$D$7:$D$2738,$F1157))</f>
        <v>0.011072337962963</v>
      </c>
      <c r="H1157" s="17" t="n">
        <f aca="false">IF(INDEX(選手一覧!$E$7:$E$2738,$F1157)="","",INDEX(選手一覧!$E$7:$E$2738,$F1157))</f>
        <v>1240</v>
      </c>
      <c r="I1157" s="16" t="str">
        <f aca="false">IF(INDEX(選手一覧!$H$7:$H$2738,$F1157)="","",INDEX(選手一覧!$H$7:$H$2738,$F1157))</f>
        <v/>
      </c>
      <c r="J1157" s="17" t="str">
        <f aca="false">IF(INDEX(選手一覧!$I$7:$I$2738,$F1157)="","",INDEX(選手一覧!$I$7:$I$2738,$F1157))</f>
        <v/>
      </c>
    </row>
    <row r="1158" customFormat="false" ht="15" hidden="false" customHeight="false" outlineLevel="0" collapsed="false">
      <c r="A1158" s="17" t="n">
        <v>1154</v>
      </c>
      <c r="B1158" s="12" t="s">
        <v>3722</v>
      </c>
      <c r="C1158" s="12" t="s">
        <v>2096</v>
      </c>
      <c r="D1158" s="16" t="n">
        <v>0.00292546296296296</v>
      </c>
      <c r="E1158" s="15" t="n">
        <f aca="false">ROUND((D1158-$D$5)*86400,2)</f>
        <v>27.73</v>
      </c>
      <c r="F1158" s="17" t="n">
        <v>2415</v>
      </c>
      <c r="G1158" s="16" t="str">
        <f aca="false">IF(INDEX(選手一覧!$D$7:$D$2738,$F1158)="","",INDEX(選手一覧!$D$7:$D$2738,$F1158))</f>
        <v/>
      </c>
      <c r="H1158" s="17" t="str">
        <f aca="false">IF(INDEX(選手一覧!$E$7:$E$2738,$F1158)="","",INDEX(選手一覧!$E$7:$E$2738,$F1158))</f>
        <v/>
      </c>
      <c r="I1158" s="16" t="str">
        <f aca="false">IF(INDEX(選手一覧!$H$7:$H$2738,$F1158)="","",INDEX(選手一覧!$H$7:$H$2738,$F1158))</f>
        <v/>
      </c>
      <c r="J1158" s="17" t="str">
        <f aca="false">IF(INDEX(選手一覧!$I$7:$I$2738,$F1158)="","",INDEX(選手一覧!$I$7:$I$2738,$F1158))</f>
        <v/>
      </c>
    </row>
    <row r="1159" customFormat="false" ht="15" hidden="false" customHeight="false" outlineLevel="0" collapsed="false">
      <c r="A1159" s="17" t="n">
        <v>1155</v>
      </c>
      <c r="B1159" s="12" t="s">
        <v>1840</v>
      </c>
      <c r="C1159" s="12" t="s">
        <v>478</v>
      </c>
      <c r="D1159" s="16" t="n">
        <v>0.00292569444444444</v>
      </c>
      <c r="E1159" s="15" t="n">
        <f aca="false">ROUND((D1159-$D$5)*86400,2)</f>
        <v>27.75</v>
      </c>
      <c r="F1159" s="17" t="n">
        <v>1142</v>
      </c>
      <c r="G1159" s="16" t="n">
        <f aca="false">IF(INDEX(選手一覧!$D$7:$D$2738,$F1159)="","",INDEX(選手一覧!$D$7:$D$2738,$F1159))</f>
        <v>0.0110262731481482</v>
      </c>
      <c r="H1159" s="17" t="n">
        <f aca="false">IF(INDEX(選手一覧!$E$7:$E$2738,$F1159)="","",INDEX(選手一覧!$E$7:$E$2738,$F1159))</f>
        <v>1143</v>
      </c>
      <c r="I1159" s="16" t="n">
        <f aca="false">IF(INDEX(選手一覧!$H$7:$H$2738,$F1159)="","",INDEX(選手一覧!$H$7:$H$2738,$F1159))</f>
        <v>0.00707962962962963</v>
      </c>
      <c r="J1159" s="17" t="n">
        <f aca="false">IF(INDEX(選手一覧!$I$7:$I$2738,$F1159)="","",INDEX(選手一覧!$I$7:$I$2738,$F1159))</f>
        <v>427</v>
      </c>
    </row>
    <row r="1160" customFormat="false" ht="15" hidden="false" customHeight="false" outlineLevel="0" collapsed="false">
      <c r="A1160" s="17" t="n">
        <v>1156</v>
      </c>
      <c r="B1160" s="12" t="s">
        <v>782</v>
      </c>
      <c r="C1160" s="12" t="s">
        <v>96</v>
      </c>
      <c r="D1160" s="16" t="n">
        <v>0.00292581018518519</v>
      </c>
      <c r="E1160" s="15" t="n">
        <f aca="false">ROUND((D1160-$D$5)*86400,2)</f>
        <v>27.76</v>
      </c>
      <c r="F1160" s="17" t="n">
        <v>437</v>
      </c>
      <c r="G1160" s="16" t="n">
        <f aca="false">IF(INDEX(選手一覧!$D$7:$D$2738,$F1160)="","",INDEX(選手一覧!$D$7:$D$2738,$F1160))</f>
        <v>0.0105828703703704</v>
      </c>
      <c r="H1160" s="17" t="n">
        <f aca="false">IF(INDEX(選手一覧!$E$7:$E$2738,$F1160)="","",INDEX(選手一覧!$E$7:$E$2738,$F1160))</f>
        <v>438</v>
      </c>
      <c r="I1160" s="16" t="str">
        <f aca="false">IF(INDEX(選手一覧!$H$7:$H$2738,$F1160)="","",INDEX(選手一覧!$H$7:$H$2738,$F1160))</f>
        <v/>
      </c>
      <c r="J1160" s="17" t="str">
        <f aca="false">IF(INDEX(選手一覧!$I$7:$I$2738,$F1160)="","",INDEX(選手一覧!$I$7:$I$2738,$F1160))</f>
        <v/>
      </c>
    </row>
    <row r="1161" customFormat="false" ht="15" hidden="false" customHeight="false" outlineLevel="0" collapsed="false">
      <c r="A1161" s="17" t="n">
        <v>1157</v>
      </c>
      <c r="B1161" s="12" t="s">
        <v>3727</v>
      </c>
      <c r="C1161" s="12" t="s">
        <v>3728</v>
      </c>
      <c r="D1161" s="16" t="n">
        <v>0.00292592592592593</v>
      </c>
      <c r="E1161" s="15" t="n">
        <f aca="false">ROUND((D1161-$D$5)*86400,2)</f>
        <v>27.77</v>
      </c>
      <c r="F1161" s="17" t="n">
        <v>2419</v>
      </c>
      <c r="G1161" s="16" t="str">
        <f aca="false">IF(INDEX(選手一覧!$D$7:$D$2738,$F1161)="","",INDEX(選手一覧!$D$7:$D$2738,$F1161))</f>
        <v/>
      </c>
      <c r="H1161" s="17" t="str">
        <f aca="false">IF(INDEX(選手一覧!$E$7:$E$2738,$F1161)="","",INDEX(選手一覧!$E$7:$E$2738,$F1161))</f>
        <v/>
      </c>
      <c r="I1161" s="16" t="str">
        <f aca="false">IF(INDEX(選手一覧!$H$7:$H$2738,$F1161)="","",INDEX(選手一覧!$H$7:$H$2738,$F1161))</f>
        <v/>
      </c>
      <c r="J1161" s="17" t="str">
        <f aca="false">IF(INDEX(選手一覧!$I$7:$I$2738,$F1161)="","",INDEX(選手一覧!$I$7:$I$2738,$F1161))</f>
        <v/>
      </c>
    </row>
    <row r="1162" customFormat="false" ht="15" hidden="false" customHeight="false" outlineLevel="0" collapsed="false">
      <c r="A1162" s="17" t="n">
        <v>1158</v>
      </c>
      <c r="B1162" s="12" t="s">
        <v>2767</v>
      </c>
      <c r="C1162" s="12" t="s">
        <v>2370</v>
      </c>
      <c r="D1162" s="16" t="n">
        <v>0.00292604166666667</v>
      </c>
      <c r="E1162" s="15" t="n">
        <f aca="false">ROUND((D1162-$D$5)*86400,2)</f>
        <v>27.78</v>
      </c>
      <c r="F1162" s="17" t="n">
        <v>1773</v>
      </c>
      <c r="G1162" s="16" t="str">
        <f aca="false">IF(INDEX(選手一覧!$D$7:$D$2738,$F1162)="","",INDEX(選手一覧!$D$7:$D$2738,$F1162))</f>
        <v/>
      </c>
      <c r="H1162" s="17" t="str">
        <f aca="false">IF(INDEX(選手一覧!$E$7:$E$2738,$F1162)="","",INDEX(選手一覧!$E$7:$E$2738,$F1162))</f>
        <v/>
      </c>
      <c r="I1162" s="16" t="n">
        <f aca="false">IF(INDEX(選手一覧!$H$7:$H$2738,$F1162)="","",INDEX(選手一覧!$H$7:$H$2738,$F1162))</f>
        <v>0.00732141203703704</v>
      </c>
      <c r="J1162" s="17" t="n">
        <f aca="false">IF(INDEX(選手一覧!$I$7:$I$2738,$F1162)="","",INDEX(選手一覧!$I$7:$I$2738,$F1162))</f>
        <v>672</v>
      </c>
    </row>
    <row r="1163" customFormat="false" ht="15" hidden="false" customHeight="false" outlineLevel="0" collapsed="false">
      <c r="A1163" s="17" t="n">
        <v>1159</v>
      </c>
      <c r="B1163" s="12" t="s">
        <v>3732</v>
      </c>
      <c r="C1163" s="12" t="s">
        <v>3733</v>
      </c>
      <c r="D1163" s="16" t="n">
        <v>0.00292615740740741</v>
      </c>
      <c r="E1163" s="15" t="n">
        <f aca="false">ROUND((D1163-$D$5)*86400,2)</f>
        <v>27.79</v>
      </c>
      <c r="F1163" s="17" t="n">
        <v>2422</v>
      </c>
      <c r="G1163" s="16" t="str">
        <f aca="false">IF(INDEX(選手一覧!$D$7:$D$2738,$F1163)="","",INDEX(選手一覧!$D$7:$D$2738,$F1163))</f>
        <v/>
      </c>
      <c r="H1163" s="17" t="str">
        <f aca="false">IF(INDEX(選手一覧!$E$7:$E$2738,$F1163)="","",INDEX(選手一覧!$E$7:$E$2738,$F1163))</f>
        <v/>
      </c>
      <c r="I1163" s="16" t="str">
        <f aca="false">IF(INDEX(選手一覧!$H$7:$H$2738,$F1163)="","",INDEX(選手一覧!$H$7:$H$2738,$F1163))</f>
        <v/>
      </c>
      <c r="J1163" s="17" t="str">
        <f aca="false">IF(INDEX(選手一覧!$I$7:$I$2738,$F1163)="","",INDEX(選手一覧!$I$7:$I$2738,$F1163))</f>
        <v/>
      </c>
    </row>
    <row r="1164" customFormat="false" ht="15" hidden="false" customHeight="false" outlineLevel="0" collapsed="false">
      <c r="A1164" s="17" t="n">
        <v>1160</v>
      </c>
      <c r="B1164" s="12" t="s">
        <v>3735</v>
      </c>
      <c r="C1164" s="12" t="s">
        <v>2027</v>
      </c>
      <c r="D1164" s="16" t="n">
        <v>0.00292627314814815</v>
      </c>
      <c r="E1164" s="15" t="n">
        <f aca="false">ROUND((D1164-$D$5)*86400,2)</f>
        <v>27.8</v>
      </c>
      <c r="F1164" s="17" t="n">
        <v>2424</v>
      </c>
      <c r="G1164" s="16" t="str">
        <f aca="false">IF(INDEX(選手一覧!$D$7:$D$2738,$F1164)="","",INDEX(選手一覧!$D$7:$D$2738,$F1164))</f>
        <v/>
      </c>
      <c r="H1164" s="17" t="str">
        <f aca="false">IF(INDEX(選手一覧!$E$7:$E$2738,$F1164)="","",INDEX(選手一覧!$E$7:$E$2738,$F1164))</f>
        <v/>
      </c>
      <c r="I1164" s="16" t="str">
        <f aca="false">IF(INDEX(選手一覧!$H$7:$H$2738,$F1164)="","",INDEX(選手一覧!$H$7:$H$2738,$F1164))</f>
        <v/>
      </c>
      <c r="J1164" s="17" t="str">
        <f aca="false">IF(INDEX(選手一覧!$I$7:$I$2738,$F1164)="","",INDEX(選手一覧!$I$7:$I$2738,$F1164))</f>
        <v/>
      </c>
    </row>
    <row r="1165" customFormat="false" ht="15" hidden="false" customHeight="false" outlineLevel="0" collapsed="false">
      <c r="A1165" s="17" t="n">
        <v>1161</v>
      </c>
      <c r="B1165" s="12" t="s">
        <v>3738</v>
      </c>
      <c r="C1165" s="12" t="s">
        <v>3739</v>
      </c>
      <c r="D1165" s="16" t="n">
        <v>0.00292627314814815</v>
      </c>
      <c r="E1165" s="15" t="n">
        <f aca="false">ROUND((D1165-$D$5)*86400,2)</f>
        <v>27.8</v>
      </c>
      <c r="F1165" s="17" t="n">
        <v>2426</v>
      </c>
      <c r="G1165" s="16" t="str">
        <f aca="false">IF(INDEX(選手一覧!$D$7:$D$2738,$F1165)="","",INDEX(選手一覧!$D$7:$D$2738,$F1165))</f>
        <v/>
      </c>
      <c r="H1165" s="17" t="str">
        <f aca="false">IF(INDEX(選手一覧!$E$7:$E$2738,$F1165)="","",INDEX(選手一覧!$E$7:$E$2738,$F1165))</f>
        <v/>
      </c>
      <c r="I1165" s="16" t="str">
        <f aca="false">IF(INDEX(選手一覧!$H$7:$H$2738,$F1165)="","",INDEX(選手一覧!$H$7:$H$2738,$F1165))</f>
        <v/>
      </c>
      <c r="J1165" s="17" t="str">
        <f aca="false">IF(INDEX(選手一覧!$I$7:$I$2738,$F1165)="","",INDEX(選手一覧!$I$7:$I$2738,$F1165))</f>
        <v/>
      </c>
    </row>
    <row r="1166" customFormat="false" ht="15" hidden="false" customHeight="false" outlineLevel="0" collapsed="false">
      <c r="A1166" s="17" t="n">
        <v>1162</v>
      </c>
      <c r="B1166" s="12" t="s">
        <v>1699</v>
      </c>
      <c r="C1166" s="12" t="s">
        <v>1700</v>
      </c>
      <c r="D1166" s="16" t="n">
        <v>0.00292638888888889</v>
      </c>
      <c r="E1166" s="15" t="n">
        <f aca="false">ROUND((D1166-$D$5)*86400,2)</f>
        <v>27.81</v>
      </c>
      <c r="F1166" s="17" t="n">
        <v>1048</v>
      </c>
      <c r="G1166" s="16" t="n">
        <f aca="false">IF(INDEX(選手一覧!$D$7:$D$2738,$F1166)="","",INDEX(選手一覧!$D$7:$D$2738,$F1166))</f>
        <v>0.0109747685185185</v>
      </c>
      <c r="H1166" s="17" t="n">
        <f aca="false">IF(INDEX(選手一覧!$E$7:$E$2738,$F1166)="","",INDEX(選手一覧!$E$7:$E$2738,$F1166))</f>
        <v>1049</v>
      </c>
      <c r="I1166" s="16" t="str">
        <f aca="false">IF(INDEX(選手一覧!$H$7:$H$2738,$F1166)="","",INDEX(選手一覧!$H$7:$H$2738,$F1166))</f>
        <v/>
      </c>
      <c r="J1166" s="17" t="str">
        <f aca="false">IF(INDEX(選手一覧!$I$7:$I$2738,$F1166)="","",INDEX(選手一覧!$I$7:$I$2738,$F1166))</f>
        <v/>
      </c>
    </row>
    <row r="1167" customFormat="false" ht="15" hidden="false" customHeight="false" outlineLevel="0" collapsed="false">
      <c r="A1167" s="17" t="n">
        <v>1163</v>
      </c>
      <c r="B1167" s="12" t="s">
        <v>3741</v>
      </c>
      <c r="C1167" s="12" t="s">
        <v>3742</v>
      </c>
      <c r="D1167" s="16" t="n">
        <v>0.00292673611111111</v>
      </c>
      <c r="E1167" s="15" t="n">
        <f aca="false">ROUND((D1167-$D$5)*86400,2)</f>
        <v>27.84</v>
      </c>
      <c r="F1167" s="17" t="n">
        <v>2428</v>
      </c>
      <c r="G1167" s="16" t="str">
        <f aca="false">IF(INDEX(選手一覧!$D$7:$D$2738,$F1167)="","",INDEX(選手一覧!$D$7:$D$2738,$F1167))</f>
        <v/>
      </c>
      <c r="H1167" s="17" t="str">
        <f aca="false">IF(INDEX(選手一覧!$E$7:$E$2738,$F1167)="","",INDEX(選手一覧!$E$7:$E$2738,$F1167))</f>
        <v/>
      </c>
      <c r="I1167" s="16" t="str">
        <f aca="false">IF(INDEX(選手一覧!$H$7:$H$2738,$F1167)="","",INDEX(選手一覧!$H$7:$H$2738,$F1167))</f>
        <v/>
      </c>
      <c r="J1167" s="17" t="str">
        <f aca="false">IF(INDEX(選手一覧!$I$7:$I$2738,$F1167)="","",INDEX(選手一覧!$I$7:$I$2738,$F1167))</f>
        <v/>
      </c>
    </row>
    <row r="1168" customFormat="false" ht="15" hidden="false" customHeight="false" outlineLevel="0" collapsed="false">
      <c r="A1168" s="17" t="n">
        <v>1164</v>
      </c>
      <c r="B1168" s="12" t="s">
        <v>3744</v>
      </c>
      <c r="C1168" s="12" t="s">
        <v>779</v>
      </c>
      <c r="D1168" s="16" t="n">
        <v>0.00292731481481482</v>
      </c>
      <c r="E1168" s="15" t="n">
        <f aca="false">ROUND((D1168-$D$5)*86400,2)</f>
        <v>27.89</v>
      </c>
      <c r="F1168" s="17" t="n">
        <v>2430</v>
      </c>
      <c r="G1168" s="16" t="str">
        <f aca="false">IF(INDEX(選手一覧!$D$7:$D$2738,$F1168)="","",INDEX(選手一覧!$D$7:$D$2738,$F1168))</f>
        <v/>
      </c>
      <c r="H1168" s="17" t="str">
        <f aca="false">IF(INDEX(選手一覧!$E$7:$E$2738,$F1168)="","",INDEX(選手一覧!$E$7:$E$2738,$F1168))</f>
        <v/>
      </c>
      <c r="I1168" s="16" t="str">
        <f aca="false">IF(INDEX(選手一覧!$H$7:$H$2738,$F1168)="","",INDEX(選手一覧!$H$7:$H$2738,$F1168))</f>
        <v/>
      </c>
      <c r="J1168" s="17" t="str">
        <f aca="false">IF(INDEX(選手一覧!$I$7:$I$2738,$F1168)="","",INDEX(選手一覧!$I$7:$I$2738,$F1168))</f>
        <v/>
      </c>
    </row>
    <row r="1169" customFormat="false" ht="15" hidden="false" customHeight="false" outlineLevel="0" collapsed="false">
      <c r="A1169" s="17" t="n">
        <v>1165</v>
      </c>
      <c r="B1169" s="12" t="s">
        <v>3746</v>
      </c>
      <c r="C1169" s="12" t="s">
        <v>3747</v>
      </c>
      <c r="D1169" s="16" t="n">
        <v>0.00292731481481482</v>
      </c>
      <c r="E1169" s="15" t="n">
        <f aca="false">ROUND((D1169-$D$5)*86400,2)</f>
        <v>27.89</v>
      </c>
      <c r="F1169" s="17" t="n">
        <v>2432</v>
      </c>
      <c r="G1169" s="16" t="str">
        <f aca="false">IF(INDEX(選手一覧!$D$7:$D$2738,$F1169)="","",INDEX(選手一覧!$D$7:$D$2738,$F1169))</f>
        <v/>
      </c>
      <c r="H1169" s="17" t="str">
        <f aca="false">IF(INDEX(選手一覧!$E$7:$E$2738,$F1169)="","",INDEX(選手一覧!$E$7:$E$2738,$F1169))</f>
        <v/>
      </c>
      <c r="I1169" s="16" t="str">
        <f aca="false">IF(INDEX(選手一覧!$H$7:$H$2738,$F1169)="","",INDEX(選手一覧!$H$7:$H$2738,$F1169))</f>
        <v/>
      </c>
      <c r="J1169" s="17" t="str">
        <f aca="false">IF(INDEX(選手一覧!$I$7:$I$2738,$F1169)="","",INDEX(選手一覧!$I$7:$I$2738,$F1169))</f>
        <v/>
      </c>
    </row>
    <row r="1170" customFormat="false" ht="15" hidden="false" customHeight="false" outlineLevel="0" collapsed="false">
      <c r="A1170" s="17" t="n">
        <v>1166</v>
      </c>
      <c r="B1170" s="12" t="s">
        <v>1404</v>
      </c>
      <c r="C1170" s="12" t="s">
        <v>281</v>
      </c>
      <c r="D1170" s="16" t="n">
        <v>0.0029275462962963</v>
      </c>
      <c r="E1170" s="15" t="n">
        <f aca="false">ROUND((D1170-$D$5)*86400,2)</f>
        <v>27.91</v>
      </c>
      <c r="F1170" s="17" t="n">
        <v>850</v>
      </c>
      <c r="G1170" s="16" t="n">
        <f aca="false">IF(INDEX(選手一覧!$D$7:$D$2738,$F1170)="","",INDEX(選手一覧!$D$7:$D$2738,$F1170))</f>
        <v>0.0108612268518519</v>
      </c>
      <c r="H1170" s="17" t="n">
        <f aca="false">IF(INDEX(選手一覧!$E$7:$E$2738,$F1170)="","",INDEX(選手一覧!$E$7:$E$2738,$F1170))</f>
        <v>851</v>
      </c>
      <c r="I1170" s="16" t="str">
        <f aca="false">IF(INDEX(選手一覧!$H$7:$H$2738,$F1170)="","",INDEX(選手一覧!$H$7:$H$2738,$F1170))</f>
        <v/>
      </c>
      <c r="J1170" s="17" t="str">
        <f aca="false">IF(INDEX(選手一覧!$I$7:$I$2738,$F1170)="","",INDEX(選手一覧!$I$7:$I$2738,$F1170))</f>
        <v/>
      </c>
    </row>
    <row r="1171" customFormat="false" ht="15" hidden="false" customHeight="false" outlineLevel="0" collapsed="false">
      <c r="A1171" s="17" t="n">
        <v>1167</v>
      </c>
      <c r="B1171" s="12" t="s">
        <v>3751</v>
      </c>
      <c r="C1171" s="12" t="s">
        <v>3752</v>
      </c>
      <c r="D1171" s="16" t="n">
        <v>0.00292766203703704</v>
      </c>
      <c r="E1171" s="15" t="n">
        <f aca="false">ROUND((D1171-$D$5)*86400,2)</f>
        <v>27.92</v>
      </c>
      <c r="F1171" s="17" t="n">
        <v>2435</v>
      </c>
      <c r="G1171" s="16" t="str">
        <f aca="false">IF(INDEX(選手一覧!$D$7:$D$2738,$F1171)="","",INDEX(選手一覧!$D$7:$D$2738,$F1171))</f>
        <v/>
      </c>
      <c r="H1171" s="17" t="str">
        <f aca="false">IF(INDEX(選手一覧!$E$7:$E$2738,$F1171)="","",INDEX(選手一覧!$E$7:$E$2738,$F1171))</f>
        <v/>
      </c>
      <c r="I1171" s="16" t="str">
        <f aca="false">IF(INDEX(選手一覧!$H$7:$H$2738,$F1171)="","",INDEX(選手一覧!$H$7:$H$2738,$F1171))</f>
        <v/>
      </c>
      <c r="J1171" s="17" t="str">
        <f aca="false">IF(INDEX(選手一覧!$I$7:$I$2738,$F1171)="","",INDEX(選手一覧!$I$7:$I$2738,$F1171))</f>
        <v/>
      </c>
    </row>
    <row r="1172" customFormat="false" ht="15" hidden="false" customHeight="false" outlineLevel="0" collapsed="false">
      <c r="A1172" s="17" t="n">
        <v>1168</v>
      </c>
      <c r="B1172" s="12" t="s">
        <v>2531</v>
      </c>
      <c r="C1172" s="12" t="s">
        <v>2532</v>
      </c>
      <c r="D1172" s="16" t="n">
        <v>0.00292824074074074</v>
      </c>
      <c r="E1172" s="15" t="n">
        <f aca="false">ROUND((D1172-$D$5)*86400,2)</f>
        <v>27.97</v>
      </c>
      <c r="F1172" s="17" t="n">
        <v>1614</v>
      </c>
      <c r="G1172" s="16" t="str">
        <f aca="false">IF(INDEX(選手一覧!$D$7:$D$2738,$F1172)="","",INDEX(選手一覧!$D$7:$D$2738,$F1172))</f>
        <v/>
      </c>
      <c r="H1172" s="17" t="str">
        <f aca="false">IF(INDEX(選手一覧!$E$7:$E$2738,$F1172)="","",INDEX(選手一覧!$E$7:$E$2738,$F1172))</f>
        <v/>
      </c>
      <c r="I1172" s="16" t="n">
        <f aca="false">IF(INDEX(選手一覧!$H$7:$H$2738,$F1172)="","",INDEX(選手一覧!$H$7:$H$2738,$F1172))</f>
        <v>0.00718472222222222</v>
      </c>
      <c r="J1172" s="17" t="n">
        <f aca="false">IF(INDEX(選手一覧!$I$7:$I$2738,$F1172)="","",INDEX(選手一覧!$I$7:$I$2738,$F1172))</f>
        <v>524</v>
      </c>
    </row>
    <row r="1173" customFormat="false" ht="15" hidden="false" customHeight="false" outlineLevel="0" collapsed="false">
      <c r="A1173" s="17" t="n">
        <v>1169</v>
      </c>
      <c r="B1173" s="12" t="s">
        <v>3757</v>
      </c>
      <c r="C1173" s="12" t="s">
        <v>2959</v>
      </c>
      <c r="D1173" s="16" t="n">
        <v>0.00292835648148148</v>
      </c>
      <c r="E1173" s="15" t="n">
        <f aca="false">ROUND((D1173-$D$5)*86400,2)</f>
        <v>27.98</v>
      </c>
      <c r="F1173" s="17" t="n">
        <v>2438</v>
      </c>
      <c r="G1173" s="16" t="str">
        <f aca="false">IF(INDEX(選手一覧!$D$7:$D$2738,$F1173)="","",INDEX(選手一覧!$D$7:$D$2738,$F1173))</f>
        <v/>
      </c>
      <c r="H1173" s="17" t="str">
        <f aca="false">IF(INDEX(選手一覧!$E$7:$E$2738,$F1173)="","",INDEX(選手一覧!$E$7:$E$2738,$F1173))</f>
        <v/>
      </c>
      <c r="I1173" s="16" t="str">
        <f aca="false">IF(INDEX(選手一覧!$H$7:$H$2738,$F1173)="","",INDEX(選手一覧!$H$7:$H$2738,$F1173))</f>
        <v/>
      </c>
      <c r="J1173" s="17" t="str">
        <f aca="false">IF(INDEX(選手一覧!$I$7:$I$2738,$F1173)="","",INDEX(選手一覧!$I$7:$I$2738,$F1173))</f>
        <v/>
      </c>
    </row>
    <row r="1174" customFormat="false" ht="15" hidden="false" customHeight="false" outlineLevel="0" collapsed="false">
      <c r="A1174" s="17" t="n">
        <v>1170</v>
      </c>
      <c r="B1174" s="12" t="s">
        <v>3116</v>
      </c>
      <c r="C1174" s="12" t="s">
        <v>2203</v>
      </c>
      <c r="D1174" s="16" t="n">
        <v>0.00292881944444444</v>
      </c>
      <c r="E1174" s="15" t="n">
        <f aca="false">ROUND((D1174-$D$5)*86400,2)</f>
        <v>28.02</v>
      </c>
      <c r="F1174" s="17" t="n">
        <v>2009</v>
      </c>
      <c r="G1174" s="16" t="str">
        <f aca="false">IF(INDEX(選手一覧!$D$7:$D$2738,$F1174)="","",INDEX(選手一覧!$D$7:$D$2738,$F1174))</f>
        <v/>
      </c>
      <c r="H1174" s="17" t="str">
        <f aca="false">IF(INDEX(選手一覧!$E$7:$E$2738,$F1174)="","",INDEX(選手一覧!$E$7:$E$2738,$F1174))</f>
        <v/>
      </c>
      <c r="I1174" s="16" t="n">
        <f aca="false">IF(INDEX(選手一覧!$H$7:$H$2738,$F1174)="","",INDEX(選手一覧!$H$7:$H$2738,$F1174))</f>
        <v>0.00747141203703704</v>
      </c>
      <c r="J1174" s="17" t="n">
        <f aca="false">IF(INDEX(選手一覧!$I$7:$I$2738,$F1174)="","",INDEX(選手一覧!$I$7:$I$2738,$F1174))</f>
        <v>860</v>
      </c>
    </row>
    <row r="1175" customFormat="false" ht="15" hidden="false" customHeight="false" outlineLevel="0" collapsed="false">
      <c r="A1175" s="17" t="n">
        <v>1171</v>
      </c>
      <c r="B1175" s="12" t="s">
        <v>495</v>
      </c>
      <c r="C1175" s="12" t="s">
        <v>63</v>
      </c>
      <c r="D1175" s="16" t="n">
        <v>0.00292951388888889</v>
      </c>
      <c r="E1175" s="15" t="n">
        <f aca="false">ROUND((D1175-$D$5)*86400,2)</f>
        <v>28.08</v>
      </c>
      <c r="F1175" s="17" t="n">
        <v>257</v>
      </c>
      <c r="G1175" s="16" t="n">
        <f aca="false">IF(INDEX(選手一覧!$D$7:$D$2738,$F1175)="","",INDEX(選手一覧!$D$7:$D$2738,$F1175))</f>
        <v>0.010396875</v>
      </c>
      <c r="H1175" s="17" t="n">
        <f aca="false">IF(INDEX(選手一覧!$E$7:$E$2738,$F1175)="","",INDEX(選手一覧!$E$7:$E$2738,$F1175))</f>
        <v>258</v>
      </c>
      <c r="I1175" s="16" t="str">
        <f aca="false">IF(INDEX(選手一覧!$H$7:$H$2738,$F1175)="","",INDEX(選手一覧!$H$7:$H$2738,$F1175))</f>
        <v/>
      </c>
      <c r="J1175" s="17" t="str">
        <f aca="false">IF(INDEX(選手一覧!$I$7:$I$2738,$F1175)="","",INDEX(選手一覧!$I$7:$I$2738,$F1175))</f>
        <v/>
      </c>
    </row>
    <row r="1176" customFormat="false" ht="15" hidden="false" customHeight="false" outlineLevel="0" collapsed="false">
      <c r="A1176" s="17" t="n">
        <v>1172</v>
      </c>
      <c r="B1176" s="12" t="s">
        <v>3762</v>
      </c>
      <c r="C1176" s="12" t="s">
        <v>953</v>
      </c>
      <c r="D1176" s="16" t="n">
        <v>0.00292951388888889</v>
      </c>
      <c r="E1176" s="15" t="n">
        <f aca="false">ROUND((D1176-$D$5)*86400,2)</f>
        <v>28.08</v>
      </c>
      <c r="F1176" s="17" t="n">
        <v>2442</v>
      </c>
      <c r="G1176" s="16" t="str">
        <f aca="false">IF(INDEX(選手一覧!$D$7:$D$2738,$F1176)="","",INDEX(選手一覧!$D$7:$D$2738,$F1176))</f>
        <v/>
      </c>
      <c r="H1176" s="17" t="str">
        <f aca="false">IF(INDEX(選手一覧!$E$7:$E$2738,$F1176)="","",INDEX(選手一覧!$E$7:$E$2738,$F1176))</f>
        <v/>
      </c>
      <c r="I1176" s="16" t="str">
        <f aca="false">IF(INDEX(選手一覧!$H$7:$H$2738,$F1176)="","",INDEX(選手一覧!$H$7:$H$2738,$F1176))</f>
        <v/>
      </c>
      <c r="J1176" s="17" t="str">
        <f aca="false">IF(INDEX(選手一覧!$I$7:$I$2738,$F1176)="","",INDEX(選手一覧!$I$7:$I$2738,$F1176))</f>
        <v/>
      </c>
    </row>
    <row r="1177" customFormat="false" ht="15" hidden="false" customHeight="false" outlineLevel="0" collapsed="false">
      <c r="A1177" s="17" t="n">
        <v>1173</v>
      </c>
      <c r="B1177" s="12" t="s">
        <v>299</v>
      </c>
      <c r="C1177" s="12" t="s">
        <v>54</v>
      </c>
      <c r="D1177" s="16" t="n">
        <v>0.00292951388888889</v>
      </c>
      <c r="E1177" s="15" t="n">
        <f aca="false">ROUND((D1177-$D$5)*86400,2)</f>
        <v>28.08</v>
      </c>
      <c r="F1177" s="17" t="n">
        <v>142</v>
      </c>
      <c r="G1177" s="16" t="n">
        <f aca="false">IF(INDEX(選手一覧!$D$7:$D$2738,$F1177)="","",INDEX(選手一覧!$D$7:$D$2738,$F1177))</f>
        <v>0.0102770833333333</v>
      </c>
      <c r="H1177" s="17" t="n">
        <f aca="false">IF(INDEX(選手一覧!$E$7:$E$2738,$F1177)="","",INDEX(選手一覧!$E$7:$E$2738,$F1177))</f>
        <v>143</v>
      </c>
      <c r="I1177" s="16" t="str">
        <f aca="false">IF(INDEX(選手一覧!$H$7:$H$2738,$F1177)="","",INDEX(選手一覧!$H$7:$H$2738,$F1177))</f>
        <v/>
      </c>
      <c r="J1177" s="17" t="str">
        <f aca="false">IF(INDEX(選手一覧!$I$7:$I$2738,$F1177)="","",INDEX(選手一覧!$I$7:$I$2738,$F1177))</f>
        <v/>
      </c>
    </row>
    <row r="1178" customFormat="false" ht="15" hidden="false" customHeight="false" outlineLevel="0" collapsed="false">
      <c r="A1178" s="17" t="n">
        <v>1174</v>
      </c>
      <c r="B1178" s="12" t="s">
        <v>1811</v>
      </c>
      <c r="C1178" s="12" t="s">
        <v>297</v>
      </c>
      <c r="D1178" s="16" t="n">
        <v>0.00293009259259259</v>
      </c>
      <c r="E1178" s="15" t="n">
        <f aca="false">ROUND((D1178-$D$5)*86400,2)</f>
        <v>28.13</v>
      </c>
      <c r="F1178" s="17" t="n">
        <v>1122</v>
      </c>
      <c r="G1178" s="16" t="n">
        <f aca="false">IF(INDEX(選手一覧!$D$7:$D$2738,$F1178)="","",INDEX(選手一覧!$D$7:$D$2738,$F1178))</f>
        <v>0.0110174768518519</v>
      </c>
      <c r="H1178" s="17" t="n">
        <f aca="false">IF(INDEX(選手一覧!$E$7:$E$2738,$F1178)="","",INDEX(選手一覧!$E$7:$E$2738,$F1178))</f>
        <v>1123</v>
      </c>
      <c r="I1178" s="16" t="str">
        <f aca="false">IF(INDEX(選手一覧!$H$7:$H$2738,$F1178)="","",INDEX(選手一覧!$H$7:$H$2738,$F1178))</f>
        <v/>
      </c>
      <c r="J1178" s="17" t="str">
        <f aca="false">IF(INDEX(選手一覧!$I$7:$I$2738,$F1178)="","",INDEX(選手一覧!$I$7:$I$2738,$F1178))</f>
        <v/>
      </c>
    </row>
    <row r="1179" customFormat="false" ht="15" hidden="false" customHeight="false" outlineLevel="0" collapsed="false">
      <c r="A1179" s="17" t="n">
        <v>1175</v>
      </c>
      <c r="B1179" s="12" t="s">
        <v>3766</v>
      </c>
      <c r="C1179" s="12" t="s">
        <v>1682</v>
      </c>
      <c r="D1179" s="16" t="n">
        <v>0.00293090277777778</v>
      </c>
      <c r="E1179" s="15" t="n">
        <f aca="false">ROUND((D1179-$D$5)*86400,2)</f>
        <v>28.2</v>
      </c>
      <c r="F1179" s="17" t="n">
        <v>2445</v>
      </c>
      <c r="G1179" s="16" t="str">
        <f aca="false">IF(INDEX(選手一覧!$D$7:$D$2738,$F1179)="","",INDEX(選手一覧!$D$7:$D$2738,$F1179))</f>
        <v/>
      </c>
      <c r="H1179" s="17" t="str">
        <f aca="false">IF(INDEX(選手一覧!$E$7:$E$2738,$F1179)="","",INDEX(選手一覧!$E$7:$E$2738,$F1179))</f>
        <v/>
      </c>
      <c r="I1179" s="16" t="str">
        <f aca="false">IF(INDEX(選手一覧!$H$7:$H$2738,$F1179)="","",INDEX(選手一覧!$H$7:$H$2738,$F1179))</f>
        <v/>
      </c>
      <c r="J1179" s="17" t="str">
        <f aca="false">IF(INDEX(選手一覧!$I$7:$I$2738,$F1179)="","",INDEX(選手一覧!$I$7:$I$2738,$F1179))</f>
        <v/>
      </c>
    </row>
    <row r="1180" customFormat="false" ht="15" hidden="false" customHeight="false" outlineLevel="0" collapsed="false">
      <c r="A1180" s="17" t="n">
        <v>1176</v>
      </c>
      <c r="B1180" s="12" t="s">
        <v>3768</v>
      </c>
      <c r="C1180" s="12" t="s">
        <v>1199</v>
      </c>
      <c r="D1180" s="16" t="n">
        <v>0.00293148148148148</v>
      </c>
      <c r="E1180" s="15" t="n">
        <f aca="false">ROUND((D1180-$D$5)*86400,2)</f>
        <v>28.25</v>
      </c>
      <c r="F1180" s="17" t="n">
        <v>2447</v>
      </c>
      <c r="G1180" s="16" t="str">
        <f aca="false">IF(INDEX(選手一覧!$D$7:$D$2738,$F1180)="","",INDEX(選手一覧!$D$7:$D$2738,$F1180))</f>
        <v/>
      </c>
      <c r="H1180" s="17" t="str">
        <f aca="false">IF(INDEX(選手一覧!$E$7:$E$2738,$F1180)="","",INDEX(選手一覧!$E$7:$E$2738,$F1180))</f>
        <v/>
      </c>
      <c r="I1180" s="16" t="str">
        <f aca="false">IF(INDEX(選手一覧!$H$7:$H$2738,$F1180)="","",INDEX(選手一覧!$H$7:$H$2738,$F1180))</f>
        <v/>
      </c>
      <c r="J1180" s="17" t="str">
        <f aca="false">IF(INDEX(選手一覧!$I$7:$I$2738,$F1180)="","",INDEX(選手一覧!$I$7:$I$2738,$F1180))</f>
        <v/>
      </c>
    </row>
    <row r="1181" customFormat="false" ht="15" hidden="false" customHeight="false" outlineLevel="0" collapsed="false">
      <c r="A1181" s="17" t="n">
        <v>1177</v>
      </c>
      <c r="B1181" s="12" t="s">
        <v>239</v>
      </c>
      <c r="C1181" s="12" t="s">
        <v>240</v>
      </c>
      <c r="D1181" s="16" t="n">
        <v>0.0029318287037037</v>
      </c>
      <c r="E1181" s="15" t="n">
        <f aca="false">ROUND((D1181-$D$5)*86400,2)</f>
        <v>28.28</v>
      </c>
      <c r="F1181" s="17" t="n">
        <v>114</v>
      </c>
      <c r="G1181" s="16" t="n">
        <f aca="false">IF(INDEX(選手一覧!$D$7:$D$2738,$F1181)="","",INDEX(選手一覧!$D$7:$D$2738,$F1181))</f>
        <v>0.0102358796296296</v>
      </c>
      <c r="H1181" s="17" t="n">
        <f aca="false">IF(INDEX(選手一覧!$E$7:$E$2738,$F1181)="","",INDEX(選手一覧!$E$7:$E$2738,$F1181))</f>
        <v>115</v>
      </c>
      <c r="I1181" s="16" t="str">
        <f aca="false">IF(INDEX(選手一覧!$H$7:$H$2738,$F1181)="","",INDEX(選手一覧!$H$7:$H$2738,$F1181))</f>
        <v/>
      </c>
      <c r="J1181" s="17" t="str">
        <f aca="false">IF(INDEX(選手一覧!$I$7:$I$2738,$F1181)="","",INDEX(選手一覧!$I$7:$I$2738,$F1181))</f>
        <v/>
      </c>
    </row>
    <row r="1182" customFormat="false" ht="15" hidden="false" customHeight="false" outlineLevel="0" collapsed="false">
      <c r="A1182" s="17" t="n">
        <v>1178</v>
      </c>
      <c r="B1182" s="12" t="s">
        <v>1474</v>
      </c>
      <c r="C1182" s="12" t="s">
        <v>1315</v>
      </c>
      <c r="D1182" s="16" t="n">
        <v>0.0029318287037037</v>
      </c>
      <c r="E1182" s="15" t="n">
        <f aca="false">ROUND((D1182-$D$5)*86400,2)</f>
        <v>28.28</v>
      </c>
      <c r="F1182" s="17" t="n">
        <v>895</v>
      </c>
      <c r="G1182" s="16" t="n">
        <f aca="false">IF(INDEX(選手一覧!$D$7:$D$2738,$F1182)="","",INDEX(選手一覧!$D$7:$D$2738,$F1182))</f>
        <v>0.0108831018518519</v>
      </c>
      <c r="H1182" s="17" t="n">
        <f aca="false">IF(INDEX(選手一覧!$E$7:$E$2738,$F1182)="","",INDEX(選手一覧!$E$7:$E$2738,$F1182))</f>
        <v>896</v>
      </c>
      <c r="I1182" s="16" t="str">
        <f aca="false">IF(INDEX(選手一覧!$H$7:$H$2738,$F1182)="","",INDEX(選手一覧!$H$7:$H$2738,$F1182))</f>
        <v/>
      </c>
      <c r="J1182" s="17" t="str">
        <f aca="false">IF(INDEX(選手一覧!$I$7:$I$2738,$F1182)="","",INDEX(選手一覧!$I$7:$I$2738,$F1182))</f>
        <v/>
      </c>
    </row>
    <row r="1183" customFormat="false" ht="15" hidden="false" customHeight="false" outlineLevel="0" collapsed="false">
      <c r="A1183" s="17" t="n">
        <v>1179</v>
      </c>
      <c r="B1183" s="12" t="s">
        <v>3771</v>
      </c>
      <c r="C1183" s="12" t="s">
        <v>2176</v>
      </c>
      <c r="D1183" s="16" t="n">
        <v>0.00293206018518519</v>
      </c>
      <c r="E1183" s="15" t="n">
        <f aca="false">ROUND((D1183-$D$5)*86400,2)</f>
        <v>28.3</v>
      </c>
      <c r="F1183" s="17" t="n">
        <v>2450</v>
      </c>
      <c r="G1183" s="16" t="str">
        <f aca="false">IF(INDEX(選手一覧!$D$7:$D$2738,$F1183)="","",INDEX(選手一覧!$D$7:$D$2738,$F1183))</f>
        <v/>
      </c>
      <c r="H1183" s="17" t="str">
        <f aca="false">IF(INDEX(選手一覧!$E$7:$E$2738,$F1183)="","",INDEX(選手一覧!$E$7:$E$2738,$F1183))</f>
        <v/>
      </c>
      <c r="I1183" s="16" t="str">
        <f aca="false">IF(INDEX(選手一覧!$H$7:$H$2738,$F1183)="","",INDEX(選手一覧!$H$7:$H$2738,$F1183))</f>
        <v/>
      </c>
      <c r="J1183" s="17" t="str">
        <f aca="false">IF(INDEX(選手一覧!$I$7:$I$2738,$F1183)="","",INDEX(選手一覧!$I$7:$I$2738,$F1183))</f>
        <v/>
      </c>
    </row>
    <row r="1184" customFormat="false" ht="15" hidden="false" customHeight="false" outlineLevel="0" collapsed="false">
      <c r="A1184" s="17" t="n">
        <v>1180</v>
      </c>
      <c r="B1184" s="12" t="s">
        <v>1996</v>
      </c>
      <c r="C1184" s="12" t="s">
        <v>1997</v>
      </c>
      <c r="D1184" s="16" t="n">
        <v>0.00293252314814815</v>
      </c>
      <c r="E1184" s="15" t="n">
        <f aca="false">ROUND((D1184-$D$5)*86400,2)</f>
        <v>28.34</v>
      </c>
      <c r="F1184" s="17" t="n">
        <v>1253</v>
      </c>
      <c r="G1184" s="16" t="n">
        <f aca="false">IF(INDEX(選手一覧!$D$7:$D$2738,$F1184)="","",INDEX(選手一覧!$D$7:$D$2738,$F1184))</f>
        <v>0.0110809027777778</v>
      </c>
      <c r="H1184" s="17" t="n">
        <f aca="false">IF(INDEX(選手一覧!$E$7:$E$2738,$F1184)="","",INDEX(選手一覧!$E$7:$E$2738,$F1184))</f>
        <v>1254</v>
      </c>
      <c r="I1184" s="16" t="str">
        <f aca="false">IF(INDEX(選手一覧!$H$7:$H$2738,$F1184)="","",INDEX(選手一覧!$H$7:$H$2738,$F1184))</f>
        <v/>
      </c>
      <c r="J1184" s="17" t="str">
        <f aca="false">IF(INDEX(選手一覧!$I$7:$I$2738,$F1184)="","",INDEX(選手一覧!$I$7:$I$2738,$F1184))</f>
        <v/>
      </c>
    </row>
    <row r="1185" customFormat="false" ht="15" hidden="false" customHeight="false" outlineLevel="0" collapsed="false">
      <c r="A1185" s="17" t="n">
        <v>1181</v>
      </c>
      <c r="B1185" s="12" t="s">
        <v>1717</v>
      </c>
      <c r="C1185" s="12" t="s">
        <v>240</v>
      </c>
      <c r="D1185" s="16" t="n">
        <v>0.00293321759259259</v>
      </c>
      <c r="E1185" s="15" t="n">
        <f aca="false">ROUND((D1185-$D$5)*86400,2)</f>
        <v>28.4</v>
      </c>
      <c r="F1185" s="17" t="n">
        <v>1060</v>
      </c>
      <c r="G1185" s="16" t="n">
        <f aca="false">IF(INDEX(選手一覧!$D$7:$D$2738,$F1185)="","",INDEX(選手一覧!$D$7:$D$2738,$F1185))</f>
        <v>0.0109813657407407</v>
      </c>
      <c r="H1185" s="17" t="n">
        <f aca="false">IF(INDEX(選手一覧!$E$7:$E$2738,$F1185)="","",INDEX(選手一覧!$E$7:$E$2738,$F1185))</f>
        <v>1061</v>
      </c>
      <c r="I1185" s="16" t="n">
        <f aca="false">IF(INDEX(選手一覧!$H$7:$H$2738,$F1185)="","",INDEX(選手一覧!$H$7:$H$2738,$F1185))</f>
        <v>0.00770127314814815</v>
      </c>
      <c r="J1185" s="17" t="n">
        <f aca="false">IF(INDEX(選手一覧!$I$7:$I$2738,$F1185)="","",INDEX(選手一覧!$I$7:$I$2738,$F1185))</f>
        <v>1068</v>
      </c>
    </row>
    <row r="1186" customFormat="false" ht="15" hidden="false" customHeight="false" outlineLevel="0" collapsed="false">
      <c r="A1186" s="17" t="n">
        <v>1182</v>
      </c>
      <c r="B1186" s="12" t="s">
        <v>643</v>
      </c>
      <c r="C1186" s="12" t="s">
        <v>77</v>
      </c>
      <c r="D1186" s="16" t="n">
        <v>0.00293391203703704</v>
      </c>
      <c r="E1186" s="15" t="n">
        <f aca="false">ROUND((D1186-$D$5)*86400,2)</f>
        <v>28.46</v>
      </c>
      <c r="F1186" s="17" t="n">
        <v>350</v>
      </c>
      <c r="G1186" s="16" t="n">
        <f aca="false">IF(INDEX(選手一覧!$D$7:$D$2738,$F1186)="","",INDEX(選手一覧!$D$7:$D$2738,$F1186))</f>
        <v>0.0105115740740741</v>
      </c>
      <c r="H1186" s="17" t="n">
        <f aca="false">IF(INDEX(選手一覧!$E$7:$E$2738,$F1186)="","",INDEX(選手一覧!$E$7:$E$2738,$F1186))</f>
        <v>351</v>
      </c>
      <c r="I1186" s="16" t="n">
        <f aca="false">IF(INDEX(選手一覧!$H$7:$H$2738,$F1186)="","",INDEX(選手一覧!$H$7:$H$2738,$F1186))</f>
        <v>0.006559375</v>
      </c>
      <c r="J1186" s="17" t="n">
        <f aca="false">IF(INDEX(選手一覧!$I$7:$I$2738,$F1186)="","",INDEX(選手一覧!$I$7:$I$2738,$F1186))</f>
        <v>47</v>
      </c>
    </row>
    <row r="1187" customFormat="false" ht="15" hidden="false" customHeight="false" outlineLevel="0" collapsed="false">
      <c r="A1187" s="17" t="n">
        <v>1183</v>
      </c>
      <c r="B1187" s="12" t="s">
        <v>717</v>
      </c>
      <c r="C1187" s="12" t="s">
        <v>323</v>
      </c>
      <c r="D1187" s="16" t="n">
        <v>0.00293402777777778</v>
      </c>
      <c r="E1187" s="15" t="n">
        <f aca="false">ROUND((D1187-$D$5)*86400,2)</f>
        <v>28.47</v>
      </c>
      <c r="F1187" s="17" t="n">
        <v>397</v>
      </c>
      <c r="G1187" s="16" t="n">
        <f aca="false">IF(INDEX(選手一覧!$D$7:$D$2738,$F1187)="","",INDEX(選手一覧!$D$7:$D$2738,$F1187))</f>
        <v>0.0105496527777778</v>
      </c>
      <c r="H1187" s="17" t="n">
        <f aca="false">IF(INDEX(選手一覧!$E$7:$E$2738,$F1187)="","",INDEX(選手一覧!$E$7:$E$2738,$F1187))</f>
        <v>398</v>
      </c>
      <c r="I1187" s="16" t="n">
        <f aca="false">IF(INDEX(選手一覧!$H$7:$H$2738,$F1187)="","",INDEX(選手一覧!$H$7:$H$2738,$F1187))</f>
        <v>0.00659895833333333</v>
      </c>
      <c r="J1187" s="17" t="n">
        <f aca="false">IF(INDEX(選手一覧!$I$7:$I$2738,$F1187)="","",INDEX(選手一覧!$I$7:$I$2738,$F1187))</f>
        <v>68</v>
      </c>
    </row>
    <row r="1188" customFormat="false" ht="15" hidden="false" customHeight="false" outlineLevel="0" collapsed="false">
      <c r="A1188" s="17" t="n">
        <v>1184</v>
      </c>
      <c r="B1188" s="12" t="s">
        <v>3781</v>
      </c>
      <c r="C1188" s="12" t="s">
        <v>961</v>
      </c>
      <c r="D1188" s="16" t="n">
        <v>0.00293472222222222</v>
      </c>
      <c r="E1188" s="15" t="n">
        <f aca="false">ROUND((D1188-$D$5)*86400,2)</f>
        <v>28.53</v>
      </c>
      <c r="F1188" s="17" t="n">
        <v>2456</v>
      </c>
      <c r="G1188" s="16" t="str">
        <f aca="false">IF(INDEX(選手一覧!$D$7:$D$2738,$F1188)="","",INDEX(選手一覧!$D$7:$D$2738,$F1188))</f>
        <v/>
      </c>
      <c r="H1188" s="17" t="str">
        <f aca="false">IF(INDEX(選手一覧!$E$7:$E$2738,$F1188)="","",INDEX(選手一覧!$E$7:$E$2738,$F1188))</f>
        <v/>
      </c>
      <c r="I1188" s="16" t="str">
        <f aca="false">IF(INDEX(選手一覧!$H$7:$H$2738,$F1188)="","",INDEX(選手一覧!$H$7:$H$2738,$F1188))</f>
        <v/>
      </c>
      <c r="J1188" s="17" t="str">
        <f aca="false">IF(INDEX(選手一覧!$I$7:$I$2738,$F1188)="","",INDEX(選手一覧!$I$7:$I$2738,$F1188))</f>
        <v/>
      </c>
    </row>
    <row r="1189" customFormat="false" ht="15" hidden="false" customHeight="false" outlineLevel="0" collapsed="false">
      <c r="A1189" s="17" t="n">
        <v>1185</v>
      </c>
      <c r="B1189" s="12" t="s">
        <v>1024</v>
      </c>
      <c r="C1189" s="12" t="s">
        <v>240</v>
      </c>
      <c r="D1189" s="16" t="n">
        <v>0.00293472222222222</v>
      </c>
      <c r="E1189" s="15" t="n">
        <f aca="false">ROUND((D1189-$D$5)*86400,2)</f>
        <v>28.53</v>
      </c>
      <c r="F1189" s="17" t="n">
        <v>593</v>
      </c>
      <c r="G1189" s="16" t="n">
        <f aca="false">IF(INDEX(選手一覧!$D$7:$D$2738,$F1189)="","",INDEX(選手一覧!$D$7:$D$2738,$F1189))</f>
        <v>0.0107076388888889</v>
      </c>
      <c r="H1189" s="17" t="n">
        <f aca="false">IF(INDEX(選手一覧!$E$7:$E$2738,$F1189)="","",INDEX(選手一覧!$E$7:$E$2738,$F1189))</f>
        <v>594</v>
      </c>
      <c r="I1189" s="16" t="n">
        <f aca="false">IF(INDEX(選手一覧!$H$7:$H$2738,$F1189)="","",INDEX(選手一覧!$H$7:$H$2738,$F1189))</f>
        <v>0.00700706018518519</v>
      </c>
      <c r="J1189" s="17" t="n">
        <f aca="false">IF(INDEX(選手一覧!$I$7:$I$2738,$F1189)="","",INDEX(選手一覧!$I$7:$I$2738,$F1189))</f>
        <v>345</v>
      </c>
    </row>
    <row r="1190" customFormat="false" ht="15" hidden="false" customHeight="false" outlineLevel="0" collapsed="false">
      <c r="A1190" s="17" t="n">
        <v>1186</v>
      </c>
      <c r="B1190" s="12" t="s">
        <v>3784</v>
      </c>
      <c r="C1190" s="12" t="s">
        <v>569</v>
      </c>
      <c r="D1190" s="16" t="n">
        <v>0.00293483796296296</v>
      </c>
      <c r="E1190" s="15" t="n">
        <f aca="false">ROUND((D1190-$D$5)*86400,2)</f>
        <v>28.54</v>
      </c>
      <c r="F1190" s="17" t="n">
        <v>2459</v>
      </c>
      <c r="G1190" s="16" t="str">
        <f aca="false">IF(INDEX(選手一覧!$D$7:$D$2738,$F1190)="","",INDEX(選手一覧!$D$7:$D$2738,$F1190))</f>
        <v/>
      </c>
      <c r="H1190" s="17" t="str">
        <f aca="false">IF(INDEX(選手一覧!$E$7:$E$2738,$F1190)="","",INDEX(選手一覧!$E$7:$E$2738,$F1190))</f>
        <v/>
      </c>
      <c r="I1190" s="16" t="str">
        <f aca="false">IF(INDEX(選手一覧!$H$7:$H$2738,$F1190)="","",INDEX(選手一覧!$H$7:$H$2738,$F1190))</f>
        <v/>
      </c>
      <c r="J1190" s="17" t="str">
        <f aca="false">IF(INDEX(選手一覧!$I$7:$I$2738,$F1190)="","",INDEX(選手一覧!$I$7:$I$2738,$F1190))</f>
        <v/>
      </c>
    </row>
    <row r="1191" customFormat="false" ht="15" hidden="false" customHeight="false" outlineLevel="0" collapsed="false">
      <c r="A1191" s="17" t="n">
        <v>1187</v>
      </c>
      <c r="B1191" s="12" t="s">
        <v>3787</v>
      </c>
      <c r="C1191" s="12" t="s">
        <v>3788</v>
      </c>
      <c r="D1191" s="16" t="n">
        <v>0.0029349537037037</v>
      </c>
      <c r="E1191" s="15" t="n">
        <f aca="false">ROUND((D1191-$D$5)*86400,2)</f>
        <v>28.55</v>
      </c>
      <c r="F1191" s="17" t="n">
        <v>2461</v>
      </c>
      <c r="G1191" s="16" t="str">
        <f aca="false">IF(INDEX(選手一覧!$D$7:$D$2738,$F1191)="","",INDEX(選手一覧!$D$7:$D$2738,$F1191))</f>
        <v/>
      </c>
      <c r="H1191" s="17" t="str">
        <f aca="false">IF(INDEX(選手一覧!$E$7:$E$2738,$F1191)="","",INDEX(選手一覧!$E$7:$E$2738,$F1191))</f>
        <v/>
      </c>
      <c r="I1191" s="16" t="str">
        <f aca="false">IF(INDEX(選手一覧!$H$7:$H$2738,$F1191)="","",INDEX(選手一覧!$H$7:$H$2738,$F1191))</f>
        <v/>
      </c>
      <c r="J1191" s="17" t="str">
        <f aca="false">IF(INDEX(選手一覧!$I$7:$I$2738,$F1191)="","",INDEX(選手一覧!$I$7:$I$2738,$F1191))</f>
        <v/>
      </c>
    </row>
    <row r="1192" customFormat="false" ht="15" hidden="false" customHeight="false" outlineLevel="0" collapsed="false">
      <c r="A1192" s="17" t="n">
        <v>1188</v>
      </c>
      <c r="B1192" s="12" t="s">
        <v>3791</v>
      </c>
      <c r="C1192" s="12" t="s">
        <v>3792</v>
      </c>
      <c r="D1192" s="16" t="n">
        <v>0.00293564814814815</v>
      </c>
      <c r="E1192" s="15" t="n">
        <f aca="false">ROUND((D1192-$D$5)*86400,2)</f>
        <v>28.61</v>
      </c>
      <c r="F1192" s="17" t="n">
        <v>2463</v>
      </c>
      <c r="G1192" s="16" t="str">
        <f aca="false">IF(INDEX(選手一覧!$D$7:$D$2738,$F1192)="","",INDEX(選手一覧!$D$7:$D$2738,$F1192))</f>
        <v/>
      </c>
      <c r="H1192" s="17" t="str">
        <f aca="false">IF(INDEX(選手一覧!$E$7:$E$2738,$F1192)="","",INDEX(選手一覧!$E$7:$E$2738,$F1192))</f>
        <v/>
      </c>
      <c r="I1192" s="16" t="str">
        <f aca="false">IF(INDEX(選手一覧!$H$7:$H$2738,$F1192)="","",INDEX(選手一覧!$H$7:$H$2738,$F1192))</f>
        <v/>
      </c>
      <c r="J1192" s="17" t="str">
        <f aca="false">IF(INDEX(選手一覧!$I$7:$I$2738,$F1192)="","",INDEX(選手一覧!$I$7:$I$2738,$F1192))</f>
        <v/>
      </c>
    </row>
    <row r="1193" customFormat="false" ht="15" hidden="false" customHeight="false" outlineLevel="0" collapsed="false">
      <c r="A1193" s="17" t="n">
        <v>1189</v>
      </c>
      <c r="B1193" s="12" t="s">
        <v>3794</v>
      </c>
      <c r="C1193" s="12" t="s">
        <v>2916</v>
      </c>
      <c r="D1193" s="16" t="n">
        <v>0.00293611111111111</v>
      </c>
      <c r="E1193" s="15" t="n">
        <f aca="false">ROUND((D1193-$D$5)*86400,2)</f>
        <v>28.65</v>
      </c>
      <c r="F1193" s="17" t="n">
        <v>2465</v>
      </c>
      <c r="G1193" s="16" t="str">
        <f aca="false">IF(INDEX(選手一覧!$D$7:$D$2738,$F1193)="","",INDEX(選手一覧!$D$7:$D$2738,$F1193))</f>
        <v/>
      </c>
      <c r="H1193" s="17" t="str">
        <f aca="false">IF(INDEX(選手一覧!$E$7:$E$2738,$F1193)="","",INDEX(選手一覧!$E$7:$E$2738,$F1193))</f>
        <v/>
      </c>
      <c r="I1193" s="16" t="str">
        <f aca="false">IF(INDEX(選手一覧!$H$7:$H$2738,$F1193)="","",INDEX(選手一覧!$H$7:$H$2738,$F1193))</f>
        <v/>
      </c>
      <c r="J1193" s="17" t="str">
        <f aca="false">IF(INDEX(選手一覧!$I$7:$I$2738,$F1193)="","",INDEX(選手一覧!$I$7:$I$2738,$F1193))</f>
        <v/>
      </c>
    </row>
    <row r="1194" customFormat="false" ht="15" hidden="false" customHeight="false" outlineLevel="0" collapsed="false">
      <c r="A1194" s="17" t="n">
        <v>1190</v>
      </c>
      <c r="B1194" s="12" t="s">
        <v>3796</v>
      </c>
      <c r="C1194" s="12" t="s">
        <v>3797</v>
      </c>
      <c r="D1194" s="16" t="n">
        <v>0.00293634259259259</v>
      </c>
      <c r="E1194" s="15" t="n">
        <f aca="false">ROUND((D1194-$D$5)*86400,2)</f>
        <v>28.67</v>
      </c>
      <c r="F1194" s="17" t="n">
        <v>2467</v>
      </c>
      <c r="G1194" s="16" t="str">
        <f aca="false">IF(INDEX(選手一覧!$D$7:$D$2738,$F1194)="","",INDEX(選手一覧!$D$7:$D$2738,$F1194))</f>
        <v/>
      </c>
      <c r="H1194" s="17" t="str">
        <f aca="false">IF(INDEX(選手一覧!$E$7:$E$2738,$F1194)="","",INDEX(選手一覧!$E$7:$E$2738,$F1194))</f>
        <v/>
      </c>
      <c r="I1194" s="16" t="str">
        <f aca="false">IF(INDEX(選手一覧!$H$7:$H$2738,$F1194)="","",INDEX(選手一覧!$H$7:$H$2738,$F1194))</f>
        <v/>
      </c>
      <c r="J1194" s="17" t="str">
        <f aca="false">IF(INDEX(選手一覧!$I$7:$I$2738,$F1194)="","",INDEX(選手一覧!$I$7:$I$2738,$F1194))</f>
        <v/>
      </c>
    </row>
    <row r="1195" customFormat="false" ht="15" hidden="false" customHeight="false" outlineLevel="0" collapsed="false">
      <c r="A1195" s="17" t="n">
        <v>1191</v>
      </c>
      <c r="B1195" s="12" t="s">
        <v>3799</v>
      </c>
      <c r="C1195" s="12" t="s">
        <v>873</v>
      </c>
      <c r="D1195" s="16" t="n">
        <v>0.00293680555555556</v>
      </c>
      <c r="E1195" s="15" t="n">
        <f aca="false">ROUND((D1195-$D$5)*86400,2)</f>
        <v>28.71</v>
      </c>
      <c r="F1195" s="17" t="n">
        <v>2469</v>
      </c>
      <c r="G1195" s="16" t="str">
        <f aca="false">IF(INDEX(選手一覧!$D$7:$D$2738,$F1195)="","",INDEX(選手一覧!$D$7:$D$2738,$F1195))</f>
        <v/>
      </c>
      <c r="H1195" s="17" t="str">
        <f aca="false">IF(INDEX(選手一覧!$E$7:$E$2738,$F1195)="","",INDEX(選手一覧!$E$7:$E$2738,$F1195))</f>
        <v/>
      </c>
      <c r="I1195" s="16" t="str">
        <f aca="false">IF(INDEX(選手一覧!$H$7:$H$2738,$F1195)="","",INDEX(選手一覧!$H$7:$H$2738,$F1195))</f>
        <v/>
      </c>
      <c r="J1195" s="17" t="str">
        <f aca="false">IF(INDEX(選手一覧!$I$7:$I$2738,$F1195)="","",INDEX(選手一覧!$I$7:$I$2738,$F1195))</f>
        <v/>
      </c>
    </row>
    <row r="1196" customFormat="false" ht="15" hidden="false" customHeight="false" outlineLevel="0" collapsed="false">
      <c r="A1196" s="17" t="n">
        <v>1192</v>
      </c>
      <c r="B1196" s="12" t="s">
        <v>3802</v>
      </c>
      <c r="C1196" s="12" t="s">
        <v>127</v>
      </c>
      <c r="D1196" s="16" t="n">
        <v>0.00293680555555556</v>
      </c>
      <c r="E1196" s="15" t="n">
        <f aca="false">ROUND((D1196-$D$5)*86400,2)</f>
        <v>28.71</v>
      </c>
      <c r="F1196" s="17" t="n">
        <v>2471</v>
      </c>
      <c r="G1196" s="16" t="str">
        <f aca="false">IF(INDEX(選手一覧!$D$7:$D$2738,$F1196)="","",INDEX(選手一覧!$D$7:$D$2738,$F1196))</f>
        <v/>
      </c>
      <c r="H1196" s="17" t="str">
        <f aca="false">IF(INDEX(選手一覧!$E$7:$E$2738,$F1196)="","",INDEX(選手一覧!$E$7:$E$2738,$F1196))</f>
        <v/>
      </c>
      <c r="I1196" s="16" t="str">
        <f aca="false">IF(INDEX(選手一覧!$H$7:$H$2738,$F1196)="","",INDEX(選手一覧!$H$7:$H$2738,$F1196))</f>
        <v/>
      </c>
      <c r="J1196" s="17" t="str">
        <f aca="false">IF(INDEX(選手一覧!$I$7:$I$2738,$F1196)="","",INDEX(選手一覧!$I$7:$I$2738,$F1196))</f>
        <v/>
      </c>
    </row>
    <row r="1197" customFormat="false" ht="15" hidden="false" customHeight="false" outlineLevel="0" collapsed="false">
      <c r="A1197" s="17" t="n">
        <v>1193</v>
      </c>
      <c r="B1197" s="12" t="s">
        <v>3805</v>
      </c>
      <c r="C1197" s="12" t="s">
        <v>240</v>
      </c>
      <c r="D1197" s="16" t="n">
        <v>0.00293680555555556</v>
      </c>
      <c r="E1197" s="15" t="n">
        <f aca="false">ROUND((D1197-$D$5)*86400,2)</f>
        <v>28.71</v>
      </c>
      <c r="F1197" s="17" t="n">
        <v>2473</v>
      </c>
      <c r="G1197" s="16" t="str">
        <f aca="false">IF(INDEX(選手一覧!$D$7:$D$2738,$F1197)="","",INDEX(選手一覧!$D$7:$D$2738,$F1197))</f>
        <v/>
      </c>
      <c r="H1197" s="17" t="str">
        <f aca="false">IF(INDEX(選手一覧!$E$7:$E$2738,$F1197)="","",INDEX(選手一覧!$E$7:$E$2738,$F1197))</f>
        <v/>
      </c>
      <c r="I1197" s="16" t="str">
        <f aca="false">IF(INDEX(選手一覧!$H$7:$H$2738,$F1197)="","",INDEX(選手一覧!$H$7:$H$2738,$F1197))</f>
        <v/>
      </c>
      <c r="J1197" s="17" t="str">
        <f aca="false">IF(INDEX(選手一覧!$I$7:$I$2738,$F1197)="","",INDEX(選手一覧!$I$7:$I$2738,$F1197))</f>
        <v/>
      </c>
    </row>
    <row r="1198" customFormat="false" ht="15" hidden="false" customHeight="false" outlineLevel="0" collapsed="false">
      <c r="A1198" s="17" t="n">
        <v>1194</v>
      </c>
      <c r="B1198" s="12" t="s">
        <v>3807</v>
      </c>
      <c r="C1198" s="12" t="s">
        <v>3808</v>
      </c>
      <c r="D1198" s="16" t="n">
        <v>0.00293715277777778</v>
      </c>
      <c r="E1198" s="15" t="n">
        <f aca="false">ROUND((D1198-$D$5)*86400,2)</f>
        <v>28.74</v>
      </c>
      <c r="F1198" s="17" t="n">
        <v>2475</v>
      </c>
      <c r="G1198" s="16" t="str">
        <f aca="false">IF(INDEX(選手一覧!$D$7:$D$2738,$F1198)="","",INDEX(選手一覧!$D$7:$D$2738,$F1198))</f>
        <v/>
      </c>
      <c r="H1198" s="17" t="str">
        <f aca="false">IF(INDEX(選手一覧!$E$7:$E$2738,$F1198)="","",INDEX(選手一覧!$E$7:$E$2738,$F1198))</f>
        <v/>
      </c>
      <c r="I1198" s="16" t="str">
        <f aca="false">IF(INDEX(選手一覧!$H$7:$H$2738,$F1198)="","",INDEX(選手一覧!$H$7:$H$2738,$F1198))</f>
        <v/>
      </c>
      <c r="J1198" s="17" t="str">
        <f aca="false">IF(INDEX(選手一覧!$I$7:$I$2738,$F1198)="","",INDEX(選手一覧!$I$7:$I$2738,$F1198))</f>
        <v/>
      </c>
    </row>
    <row r="1199" customFormat="false" ht="15" hidden="false" customHeight="false" outlineLevel="0" collapsed="false">
      <c r="A1199" s="17" t="n">
        <v>1195</v>
      </c>
      <c r="B1199" s="12" t="s">
        <v>1711</v>
      </c>
      <c r="C1199" s="12" t="s">
        <v>846</v>
      </c>
      <c r="D1199" s="16" t="n">
        <v>0.00293715277777778</v>
      </c>
      <c r="E1199" s="15" t="n">
        <f aca="false">ROUND((D1199-$D$5)*86400,2)</f>
        <v>28.74</v>
      </c>
      <c r="F1199" s="17" t="n">
        <v>1055</v>
      </c>
      <c r="G1199" s="16" t="n">
        <f aca="false">IF(INDEX(選手一覧!$D$7:$D$2738,$F1199)="","",INDEX(選手一覧!$D$7:$D$2738,$F1199))</f>
        <v>0.0109800925925926</v>
      </c>
      <c r="H1199" s="17" t="n">
        <f aca="false">IF(INDEX(選手一覧!$E$7:$E$2738,$F1199)="","",INDEX(選手一覧!$E$7:$E$2738,$F1199))</f>
        <v>1056</v>
      </c>
      <c r="I1199" s="16" t="str">
        <f aca="false">IF(INDEX(選手一覧!$H$7:$H$2738,$F1199)="","",INDEX(選手一覧!$H$7:$H$2738,$F1199))</f>
        <v/>
      </c>
      <c r="J1199" s="17" t="str">
        <f aca="false">IF(INDEX(選手一覧!$I$7:$I$2738,$F1199)="","",INDEX(選手一覧!$I$7:$I$2738,$F1199))</f>
        <v/>
      </c>
    </row>
    <row r="1200" customFormat="false" ht="15" hidden="false" customHeight="false" outlineLevel="0" collapsed="false">
      <c r="A1200" s="17" t="n">
        <v>1196</v>
      </c>
      <c r="B1200" s="12" t="s">
        <v>3811</v>
      </c>
      <c r="C1200" s="12" t="s">
        <v>3812</v>
      </c>
      <c r="D1200" s="16" t="n">
        <v>0.0029375</v>
      </c>
      <c r="E1200" s="15" t="n">
        <f aca="false">ROUND((D1200-$D$5)*86400,2)</f>
        <v>28.77</v>
      </c>
      <c r="F1200" s="17" t="n">
        <v>2477</v>
      </c>
      <c r="G1200" s="16" t="str">
        <f aca="false">IF(INDEX(選手一覧!$D$7:$D$2738,$F1200)="","",INDEX(選手一覧!$D$7:$D$2738,$F1200))</f>
        <v/>
      </c>
      <c r="H1200" s="17" t="str">
        <f aca="false">IF(INDEX(選手一覧!$E$7:$E$2738,$F1200)="","",INDEX(選手一覧!$E$7:$E$2738,$F1200))</f>
        <v/>
      </c>
      <c r="I1200" s="16" t="str">
        <f aca="false">IF(INDEX(選手一覧!$H$7:$H$2738,$F1200)="","",INDEX(選手一覧!$H$7:$H$2738,$F1200))</f>
        <v/>
      </c>
      <c r="J1200" s="17" t="str">
        <f aca="false">IF(INDEX(選手一覧!$I$7:$I$2738,$F1200)="","",INDEX(選手一覧!$I$7:$I$2738,$F1200))</f>
        <v/>
      </c>
    </row>
    <row r="1201" customFormat="false" ht="15" hidden="false" customHeight="false" outlineLevel="0" collapsed="false">
      <c r="A1201" s="17" t="n">
        <v>1197</v>
      </c>
      <c r="B1201" s="12" t="s">
        <v>70</v>
      </c>
      <c r="C1201" s="12" t="s">
        <v>71</v>
      </c>
      <c r="D1201" s="16" t="n">
        <v>0.00293900462962963</v>
      </c>
      <c r="E1201" s="15" t="n">
        <f aca="false">ROUND((D1201-$D$5)*86400,2)</f>
        <v>28.9</v>
      </c>
      <c r="F1201" s="17" t="n">
        <v>21</v>
      </c>
      <c r="G1201" s="16" t="n">
        <f aca="false">IF(INDEX(選手一覧!$D$7:$D$2738,$F1201)="","",INDEX(選手一覧!$D$7:$D$2738,$F1201))</f>
        <v>0.0100024305555556</v>
      </c>
      <c r="H1201" s="17" t="n">
        <f aca="false">IF(INDEX(選手一覧!$E$7:$E$2738,$F1201)="","",INDEX(選手一覧!$E$7:$E$2738,$F1201))</f>
        <v>22</v>
      </c>
      <c r="I1201" s="16" t="str">
        <f aca="false">IF(INDEX(選手一覧!$H$7:$H$2738,$F1201)="","",INDEX(選手一覧!$H$7:$H$2738,$F1201))</f>
        <v/>
      </c>
      <c r="J1201" s="17" t="str">
        <f aca="false">IF(INDEX(選手一覧!$I$7:$I$2738,$F1201)="","",INDEX(選手一覧!$I$7:$I$2738,$F1201))</f>
        <v/>
      </c>
    </row>
    <row r="1202" customFormat="false" ht="15" hidden="false" customHeight="false" outlineLevel="0" collapsed="false">
      <c r="A1202" s="17" t="n">
        <v>1198</v>
      </c>
      <c r="B1202" s="12" t="s">
        <v>1814</v>
      </c>
      <c r="C1202" s="12" t="s">
        <v>2268</v>
      </c>
      <c r="D1202" s="16" t="n">
        <v>0.00293923611111111</v>
      </c>
      <c r="E1202" s="15" t="n">
        <f aca="false">ROUND((D1202-$D$5)*86400,2)</f>
        <v>28.92</v>
      </c>
      <c r="F1202" s="17" t="n">
        <v>2480</v>
      </c>
      <c r="G1202" s="16" t="str">
        <f aca="false">IF(INDEX(選手一覧!$D$7:$D$2738,$F1202)="","",INDEX(選手一覧!$D$7:$D$2738,$F1202))</f>
        <v/>
      </c>
      <c r="H1202" s="17" t="str">
        <f aca="false">IF(INDEX(選手一覧!$E$7:$E$2738,$F1202)="","",INDEX(選手一覧!$E$7:$E$2738,$F1202))</f>
        <v/>
      </c>
      <c r="I1202" s="16" t="str">
        <f aca="false">IF(INDEX(選手一覧!$H$7:$H$2738,$F1202)="","",INDEX(選手一覧!$H$7:$H$2738,$F1202))</f>
        <v/>
      </c>
      <c r="J1202" s="17" t="str">
        <f aca="false">IF(INDEX(選手一覧!$I$7:$I$2738,$F1202)="","",INDEX(選手一覧!$I$7:$I$2738,$F1202))</f>
        <v/>
      </c>
    </row>
    <row r="1203" customFormat="false" ht="15" hidden="false" customHeight="false" outlineLevel="0" collapsed="false">
      <c r="A1203" s="17" t="n">
        <v>1199</v>
      </c>
      <c r="B1203" s="12" t="s">
        <v>1563</v>
      </c>
      <c r="C1203" s="12" t="s">
        <v>599</v>
      </c>
      <c r="D1203" s="16" t="n">
        <v>0.00293958333333333</v>
      </c>
      <c r="E1203" s="15" t="n">
        <f aca="false">ROUND((D1203-$D$5)*86400,2)</f>
        <v>28.95</v>
      </c>
      <c r="F1203" s="17" t="n">
        <v>956</v>
      </c>
      <c r="G1203" s="16" t="n">
        <f aca="false">IF(INDEX(選手一覧!$D$7:$D$2738,$F1203)="","",INDEX(選手一覧!$D$7:$D$2738,$F1203))</f>
        <v>0.0109230324074074</v>
      </c>
      <c r="H1203" s="17" t="n">
        <f aca="false">IF(INDEX(選手一覧!$E$7:$E$2738,$F1203)="","",INDEX(選手一覧!$E$7:$E$2738,$F1203))</f>
        <v>957</v>
      </c>
      <c r="I1203" s="16" t="str">
        <f aca="false">IF(INDEX(選手一覧!$H$7:$H$2738,$F1203)="","",INDEX(選手一覧!$H$7:$H$2738,$F1203))</f>
        <v/>
      </c>
      <c r="J1203" s="17" t="str">
        <f aca="false">IF(INDEX(選手一覧!$I$7:$I$2738,$F1203)="","",INDEX(選手一覧!$I$7:$I$2738,$F1203))</f>
        <v/>
      </c>
    </row>
    <row r="1204" customFormat="false" ht="15" hidden="false" customHeight="false" outlineLevel="0" collapsed="false">
      <c r="A1204" s="17" t="n">
        <v>1200</v>
      </c>
      <c r="B1204" s="12" t="s">
        <v>2326</v>
      </c>
      <c r="C1204" s="12" t="s">
        <v>2327</v>
      </c>
      <c r="D1204" s="16" t="n">
        <v>0.0029400462962963</v>
      </c>
      <c r="E1204" s="15" t="n">
        <f aca="false">ROUND((D1204-$D$5)*86400,2)</f>
        <v>28.99</v>
      </c>
      <c r="F1204" s="17" t="n">
        <v>1478</v>
      </c>
      <c r="G1204" s="16" t="str">
        <f aca="false">IF(INDEX(選手一覧!$D$7:$D$2738,$F1204)="","",INDEX(選手一覧!$D$7:$D$2738,$F1204))</f>
        <v/>
      </c>
      <c r="H1204" s="17" t="str">
        <f aca="false">IF(INDEX(選手一覧!$E$7:$E$2738,$F1204)="","",INDEX(選手一覧!$E$7:$E$2738,$F1204))</f>
        <v/>
      </c>
      <c r="I1204" s="16" t="n">
        <f aca="false">IF(INDEX(選手一覧!$H$7:$H$2738,$F1204)="","",INDEX(選手一覧!$H$7:$H$2738,$F1204))</f>
        <v>0.00704143518518519</v>
      </c>
      <c r="J1204" s="17" t="n">
        <f aca="false">IF(INDEX(選手一覧!$I$7:$I$2738,$F1204)="","",INDEX(選手一覧!$I$7:$I$2738,$F1204))</f>
        <v>379</v>
      </c>
    </row>
    <row r="1205" customFormat="false" ht="15" hidden="false" customHeight="false" outlineLevel="0" collapsed="false">
      <c r="A1205" s="17" t="n">
        <v>1201</v>
      </c>
      <c r="B1205" s="12" t="s">
        <v>637</v>
      </c>
      <c r="C1205" s="12" t="s">
        <v>601</v>
      </c>
      <c r="D1205" s="16" t="n">
        <v>0.002940625</v>
      </c>
      <c r="E1205" s="15" t="n">
        <f aca="false">ROUND((D1205-$D$5)*86400,2)</f>
        <v>29.04</v>
      </c>
      <c r="F1205" s="17" t="n">
        <v>344</v>
      </c>
      <c r="G1205" s="16" t="n">
        <f aca="false">IF(INDEX(選手一覧!$D$7:$D$2738,$F1205)="","",INDEX(選手一覧!$D$7:$D$2738,$F1205))</f>
        <v>0.0105046296296296</v>
      </c>
      <c r="H1205" s="17" t="n">
        <f aca="false">IF(INDEX(選手一覧!$E$7:$E$2738,$F1205)="","",INDEX(選手一覧!$E$7:$E$2738,$F1205))</f>
        <v>345</v>
      </c>
      <c r="I1205" s="16" t="str">
        <f aca="false">IF(INDEX(選手一覧!$H$7:$H$2738,$F1205)="","",INDEX(選手一覧!$H$7:$H$2738,$F1205))</f>
        <v/>
      </c>
      <c r="J1205" s="17" t="str">
        <f aca="false">IF(INDEX(選手一覧!$I$7:$I$2738,$F1205)="","",INDEX(選手一覧!$I$7:$I$2738,$F1205))</f>
        <v/>
      </c>
    </row>
    <row r="1206" customFormat="false" ht="15" hidden="false" customHeight="false" outlineLevel="0" collapsed="false">
      <c r="A1206" s="17" t="n">
        <v>1202</v>
      </c>
      <c r="B1206" s="12" t="s">
        <v>3819</v>
      </c>
      <c r="C1206" s="12" t="s">
        <v>444</v>
      </c>
      <c r="D1206" s="16" t="n">
        <v>0.00294097222222222</v>
      </c>
      <c r="E1206" s="15" t="n">
        <f aca="false">ROUND((D1206-$D$5)*86400,2)</f>
        <v>29.07</v>
      </c>
      <c r="F1206" s="17" t="n">
        <v>2484</v>
      </c>
      <c r="G1206" s="16" t="str">
        <f aca="false">IF(INDEX(選手一覧!$D$7:$D$2738,$F1206)="","",INDEX(選手一覧!$D$7:$D$2738,$F1206))</f>
        <v/>
      </c>
      <c r="H1206" s="17" t="str">
        <f aca="false">IF(INDEX(選手一覧!$E$7:$E$2738,$F1206)="","",INDEX(選手一覧!$E$7:$E$2738,$F1206))</f>
        <v/>
      </c>
      <c r="I1206" s="16" t="str">
        <f aca="false">IF(INDEX(選手一覧!$H$7:$H$2738,$F1206)="","",INDEX(選手一覧!$H$7:$H$2738,$F1206))</f>
        <v/>
      </c>
      <c r="J1206" s="17" t="str">
        <f aca="false">IF(INDEX(選手一覧!$I$7:$I$2738,$F1206)="","",INDEX(選手一覧!$I$7:$I$2738,$F1206))</f>
        <v/>
      </c>
    </row>
    <row r="1207" customFormat="false" ht="15" hidden="false" customHeight="false" outlineLevel="0" collapsed="false">
      <c r="A1207" s="17" t="n">
        <v>1203</v>
      </c>
      <c r="B1207" s="12" t="s">
        <v>1074</v>
      </c>
      <c r="C1207" s="12" t="s">
        <v>939</v>
      </c>
      <c r="D1207" s="16" t="n">
        <v>0.0029412037037037</v>
      </c>
      <c r="E1207" s="15" t="n">
        <f aca="false">ROUND((D1207-$D$5)*86400,2)</f>
        <v>29.09</v>
      </c>
      <c r="F1207" s="17" t="n">
        <v>630</v>
      </c>
      <c r="G1207" s="16" t="n">
        <f aca="false">IF(INDEX(選手一覧!$D$7:$D$2738,$F1207)="","",INDEX(選手一覧!$D$7:$D$2738,$F1207))</f>
        <v>0.0107291666666667</v>
      </c>
      <c r="H1207" s="17" t="n">
        <f aca="false">IF(INDEX(選手一覧!$E$7:$E$2738,$F1207)="","",INDEX(選手一覧!$E$7:$E$2738,$F1207))</f>
        <v>631</v>
      </c>
      <c r="I1207" s="16" t="str">
        <f aca="false">IF(INDEX(選手一覧!$H$7:$H$2738,$F1207)="","",INDEX(選手一覧!$H$7:$H$2738,$F1207))</f>
        <v/>
      </c>
      <c r="J1207" s="17" t="str">
        <f aca="false">IF(INDEX(選手一覧!$I$7:$I$2738,$F1207)="","",INDEX(選手一覧!$I$7:$I$2738,$F1207))</f>
        <v/>
      </c>
    </row>
    <row r="1208" customFormat="false" ht="15" hidden="false" customHeight="false" outlineLevel="0" collapsed="false">
      <c r="A1208" s="17" t="n">
        <v>1204</v>
      </c>
      <c r="B1208" s="12" t="s">
        <v>3335</v>
      </c>
      <c r="C1208" s="12" t="s">
        <v>434</v>
      </c>
      <c r="D1208" s="16" t="n">
        <v>0.00294131944444444</v>
      </c>
      <c r="E1208" s="15" t="n">
        <f aca="false">ROUND((D1208-$D$5)*86400,2)</f>
        <v>29.1</v>
      </c>
      <c r="F1208" s="17" t="n">
        <v>2151</v>
      </c>
      <c r="G1208" s="16" t="str">
        <f aca="false">IF(INDEX(選手一覧!$D$7:$D$2738,$F1208)="","",INDEX(選手一覧!$D$7:$D$2738,$F1208))</f>
        <v/>
      </c>
      <c r="H1208" s="17" t="str">
        <f aca="false">IF(INDEX(選手一覧!$E$7:$E$2738,$F1208)="","",INDEX(選手一覧!$E$7:$E$2738,$F1208))</f>
        <v/>
      </c>
      <c r="I1208" s="16" t="n">
        <f aca="false">IF(INDEX(選手一覧!$H$7:$H$2738,$F1208)="","",INDEX(選手一覧!$H$7:$H$2738,$F1208))</f>
        <v>0.00756261574074074</v>
      </c>
      <c r="J1208" s="17" t="n">
        <f aca="false">IF(INDEX(選手一覧!$I$7:$I$2738,$F1208)="","",INDEX(選手一覧!$I$7:$I$2738,$F1208))</f>
        <v>965</v>
      </c>
    </row>
    <row r="1209" customFormat="false" ht="15" hidden="false" customHeight="false" outlineLevel="0" collapsed="false">
      <c r="A1209" s="17" t="n">
        <v>1205</v>
      </c>
      <c r="B1209" s="12" t="s">
        <v>3825</v>
      </c>
      <c r="C1209" s="12" t="s">
        <v>3826</v>
      </c>
      <c r="D1209" s="16" t="n">
        <v>0.00294155092592593</v>
      </c>
      <c r="E1209" s="15" t="n">
        <f aca="false">ROUND((D1209-$D$5)*86400,2)</f>
        <v>29.12</v>
      </c>
      <c r="F1209" s="17" t="n">
        <v>2488</v>
      </c>
      <c r="G1209" s="16" t="str">
        <f aca="false">IF(INDEX(選手一覧!$D$7:$D$2738,$F1209)="","",INDEX(選手一覧!$D$7:$D$2738,$F1209))</f>
        <v/>
      </c>
      <c r="H1209" s="17" t="str">
        <f aca="false">IF(INDEX(選手一覧!$E$7:$E$2738,$F1209)="","",INDEX(選手一覧!$E$7:$E$2738,$F1209))</f>
        <v/>
      </c>
      <c r="I1209" s="16" t="str">
        <f aca="false">IF(INDEX(選手一覧!$H$7:$H$2738,$F1209)="","",INDEX(選手一覧!$H$7:$H$2738,$F1209))</f>
        <v/>
      </c>
      <c r="J1209" s="17" t="str">
        <f aca="false">IF(INDEX(選手一覧!$I$7:$I$2738,$F1209)="","",INDEX(選手一覧!$I$7:$I$2738,$F1209))</f>
        <v/>
      </c>
    </row>
    <row r="1210" customFormat="false" ht="15" hidden="false" customHeight="false" outlineLevel="0" collapsed="false">
      <c r="A1210" s="17" t="n">
        <v>1206</v>
      </c>
      <c r="B1210" s="12" t="s">
        <v>1882</v>
      </c>
      <c r="C1210" s="12" t="s">
        <v>1883</v>
      </c>
      <c r="D1210" s="16" t="n">
        <v>0.00294166666666667</v>
      </c>
      <c r="E1210" s="15" t="n">
        <f aca="false">ROUND((D1210-$D$5)*86400,2)</f>
        <v>29.13</v>
      </c>
      <c r="F1210" s="17" t="n">
        <v>1170</v>
      </c>
      <c r="G1210" s="16" t="n">
        <f aca="false">IF(INDEX(選手一覧!$D$7:$D$2738,$F1210)="","",INDEX(選手一覧!$D$7:$D$2738,$F1210))</f>
        <v>0.0110373842592593</v>
      </c>
      <c r="H1210" s="17" t="n">
        <f aca="false">IF(INDEX(選手一覧!$E$7:$E$2738,$F1210)="","",INDEX(選手一覧!$E$7:$E$2738,$F1210))</f>
        <v>1171</v>
      </c>
      <c r="I1210" s="16" t="n">
        <f aca="false">IF(INDEX(選手一覧!$H$7:$H$2738,$F1210)="","",INDEX(選手一覧!$H$7:$H$2738,$F1210))</f>
        <v>0.00721666666666667</v>
      </c>
      <c r="J1210" s="17" t="n">
        <f aca="false">IF(INDEX(選手一覧!$I$7:$I$2738,$F1210)="","",INDEX(選手一覧!$I$7:$I$2738,$F1210))</f>
        <v>557</v>
      </c>
    </row>
    <row r="1211" customFormat="false" ht="15" hidden="false" customHeight="false" outlineLevel="0" collapsed="false">
      <c r="A1211" s="17" t="n">
        <v>1207</v>
      </c>
      <c r="B1211" s="12" t="s">
        <v>2445</v>
      </c>
      <c r="C1211" s="12" t="s">
        <v>2446</v>
      </c>
      <c r="D1211" s="16" t="n">
        <v>0.00294166666666667</v>
      </c>
      <c r="E1211" s="15" t="n">
        <f aca="false">ROUND((D1211-$D$5)*86400,2)</f>
        <v>29.13</v>
      </c>
      <c r="F1211" s="17" t="n">
        <v>1560</v>
      </c>
      <c r="G1211" s="16" t="str">
        <f aca="false">IF(INDEX(選手一覧!$D$7:$D$2738,$F1211)="","",INDEX(選手一覧!$D$7:$D$2738,$F1211))</f>
        <v/>
      </c>
      <c r="H1211" s="17" t="str">
        <f aca="false">IF(INDEX(選手一覧!$E$7:$E$2738,$F1211)="","",INDEX(選手一覧!$E$7:$E$2738,$F1211))</f>
        <v/>
      </c>
      <c r="I1211" s="16" t="n">
        <f aca="false">IF(INDEX(選手一覧!$H$7:$H$2738,$F1211)="","",INDEX(選手一覧!$H$7:$H$2738,$F1211))</f>
        <v>0.007125</v>
      </c>
      <c r="J1211" s="17" t="n">
        <f aca="false">IF(INDEX(選手一覧!$I$7:$I$2738,$F1211)="","",INDEX(選手一覧!$I$7:$I$2738,$F1211))</f>
        <v>469</v>
      </c>
    </row>
    <row r="1212" customFormat="false" ht="15" hidden="false" customHeight="false" outlineLevel="0" collapsed="false">
      <c r="A1212" s="17" t="n">
        <v>1208</v>
      </c>
      <c r="B1212" s="12" t="s">
        <v>3832</v>
      </c>
      <c r="C1212" s="12" t="s">
        <v>2741</v>
      </c>
      <c r="D1212" s="16" t="n">
        <v>0.00294189814814815</v>
      </c>
      <c r="E1212" s="15" t="n">
        <f aca="false">ROUND((D1212-$D$5)*86400,2)</f>
        <v>29.15</v>
      </c>
      <c r="F1212" s="17" t="n">
        <v>2492</v>
      </c>
      <c r="G1212" s="16" t="str">
        <f aca="false">IF(INDEX(選手一覧!$D$7:$D$2738,$F1212)="","",INDEX(選手一覧!$D$7:$D$2738,$F1212))</f>
        <v/>
      </c>
      <c r="H1212" s="17" t="str">
        <f aca="false">IF(INDEX(選手一覧!$E$7:$E$2738,$F1212)="","",INDEX(選手一覧!$E$7:$E$2738,$F1212))</f>
        <v/>
      </c>
      <c r="I1212" s="16" t="str">
        <f aca="false">IF(INDEX(選手一覧!$H$7:$H$2738,$F1212)="","",INDEX(選手一覧!$H$7:$H$2738,$F1212))</f>
        <v/>
      </c>
      <c r="J1212" s="17" t="str">
        <f aca="false">IF(INDEX(選手一覧!$I$7:$I$2738,$F1212)="","",INDEX(選手一覧!$I$7:$I$2738,$F1212))</f>
        <v/>
      </c>
    </row>
    <row r="1213" customFormat="false" ht="15" hidden="false" customHeight="false" outlineLevel="0" collapsed="false">
      <c r="A1213" s="17" t="n">
        <v>1209</v>
      </c>
      <c r="B1213" s="12" t="s">
        <v>3834</v>
      </c>
      <c r="C1213" s="12" t="s">
        <v>3668</v>
      </c>
      <c r="D1213" s="16" t="n">
        <v>0.00294247685185185</v>
      </c>
      <c r="E1213" s="15" t="n">
        <f aca="false">ROUND((D1213-$D$5)*86400,2)</f>
        <v>29.2</v>
      </c>
      <c r="F1213" s="17" t="n">
        <v>2494</v>
      </c>
      <c r="G1213" s="16" t="str">
        <f aca="false">IF(INDEX(選手一覧!$D$7:$D$2738,$F1213)="","",INDEX(選手一覧!$D$7:$D$2738,$F1213))</f>
        <v/>
      </c>
      <c r="H1213" s="17" t="str">
        <f aca="false">IF(INDEX(選手一覧!$E$7:$E$2738,$F1213)="","",INDEX(選手一覧!$E$7:$E$2738,$F1213))</f>
        <v/>
      </c>
      <c r="I1213" s="16" t="str">
        <f aca="false">IF(INDEX(選手一覧!$H$7:$H$2738,$F1213)="","",INDEX(選手一覧!$H$7:$H$2738,$F1213))</f>
        <v/>
      </c>
      <c r="J1213" s="17" t="str">
        <f aca="false">IF(INDEX(選手一覧!$I$7:$I$2738,$F1213)="","",INDEX(選手一覧!$I$7:$I$2738,$F1213))</f>
        <v/>
      </c>
    </row>
    <row r="1214" customFormat="false" ht="15" hidden="false" customHeight="false" outlineLevel="0" collapsed="false">
      <c r="A1214" s="17" t="n">
        <v>1210</v>
      </c>
      <c r="B1214" s="12" t="s">
        <v>2264</v>
      </c>
      <c r="C1214" s="12" t="s">
        <v>382</v>
      </c>
      <c r="D1214" s="16" t="n">
        <v>0.00294293981481482</v>
      </c>
      <c r="E1214" s="15" t="n">
        <f aca="false">ROUND((D1214-$D$5)*86400,2)</f>
        <v>29.24</v>
      </c>
      <c r="F1214" s="17" t="n">
        <v>1440</v>
      </c>
      <c r="G1214" s="16" t="str">
        <f aca="false">IF(INDEX(選手一覧!$D$7:$D$2738,$F1214)="","",INDEX(選手一覧!$D$7:$D$2738,$F1214))</f>
        <v/>
      </c>
      <c r="H1214" s="17" t="str">
        <f aca="false">IF(INDEX(選手一覧!$E$7:$E$2738,$F1214)="","",INDEX(選手一覧!$E$7:$E$2738,$F1214))</f>
        <v/>
      </c>
      <c r="I1214" s="16" t="n">
        <f aca="false">IF(INDEX(選手一覧!$H$7:$H$2738,$F1214)="","",INDEX(選手一覧!$H$7:$H$2738,$F1214))</f>
        <v>0.00699675925925926</v>
      </c>
      <c r="J1214" s="17" t="n">
        <f aca="false">IF(INDEX(選手一覧!$I$7:$I$2738,$F1214)="","",INDEX(選手一覧!$I$7:$I$2738,$F1214))</f>
        <v>332</v>
      </c>
    </row>
    <row r="1215" customFormat="false" ht="15" hidden="false" customHeight="false" outlineLevel="0" collapsed="false">
      <c r="A1215" s="17" t="n">
        <v>1211</v>
      </c>
      <c r="B1215" s="12" t="s">
        <v>3838</v>
      </c>
      <c r="C1215" s="12" t="s">
        <v>3437</v>
      </c>
      <c r="D1215" s="16" t="n">
        <v>0.00294293981481482</v>
      </c>
      <c r="E1215" s="15" t="n">
        <f aca="false">ROUND((D1215-$D$5)*86400,2)</f>
        <v>29.24</v>
      </c>
      <c r="F1215" s="17" t="n">
        <v>2497</v>
      </c>
      <c r="G1215" s="16" t="str">
        <f aca="false">IF(INDEX(選手一覧!$D$7:$D$2738,$F1215)="","",INDEX(選手一覧!$D$7:$D$2738,$F1215))</f>
        <v/>
      </c>
      <c r="H1215" s="17" t="str">
        <f aca="false">IF(INDEX(選手一覧!$E$7:$E$2738,$F1215)="","",INDEX(選手一覧!$E$7:$E$2738,$F1215))</f>
        <v/>
      </c>
      <c r="I1215" s="16" t="str">
        <f aca="false">IF(INDEX(選手一覧!$H$7:$H$2738,$F1215)="","",INDEX(選手一覧!$H$7:$H$2738,$F1215))</f>
        <v/>
      </c>
      <c r="J1215" s="17" t="str">
        <f aca="false">IF(INDEX(選手一覧!$I$7:$I$2738,$F1215)="","",INDEX(選手一覧!$I$7:$I$2738,$F1215))</f>
        <v/>
      </c>
    </row>
    <row r="1216" customFormat="false" ht="15" hidden="false" customHeight="false" outlineLevel="0" collapsed="false">
      <c r="A1216" s="17" t="n">
        <v>1212</v>
      </c>
      <c r="B1216" s="12" t="s">
        <v>3840</v>
      </c>
      <c r="C1216" s="12" t="s">
        <v>135</v>
      </c>
      <c r="D1216" s="16" t="n">
        <v>0.0029431712962963</v>
      </c>
      <c r="E1216" s="15" t="n">
        <f aca="false">ROUND((D1216-$D$5)*86400,2)</f>
        <v>29.26</v>
      </c>
      <c r="F1216" s="17" t="n">
        <v>2499</v>
      </c>
      <c r="G1216" s="16" t="str">
        <f aca="false">IF(INDEX(選手一覧!$D$7:$D$2738,$F1216)="","",INDEX(選手一覧!$D$7:$D$2738,$F1216))</f>
        <v/>
      </c>
      <c r="H1216" s="17" t="str">
        <f aca="false">IF(INDEX(選手一覧!$E$7:$E$2738,$F1216)="","",INDEX(選手一覧!$E$7:$E$2738,$F1216))</f>
        <v/>
      </c>
      <c r="I1216" s="16" t="str">
        <f aca="false">IF(INDEX(選手一覧!$H$7:$H$2738,$F1216)="","",INDEX(選手一覧!$H$7:$H$2738,$F1216))</f>
        <v/>
      </c>
      <c r="J1216" s="17" t="str">
        <f aca="false">IF(INDEX(選手一覧!$I$7:$I$2738,$F1216)="","",INDEX(選手一覧!$I$7:$I$2738,$F1216))</f>
        <v/>
      </c>
    </row>
    <row r="1217" customFormat="false" ht="15" hidden="false" customHeight="false" outlineLevel="0" collapsed="false">
      <c r="A1217" s="17" t="n">
        <v>1213</v>
      </c>
      <c r="B1217" s="12" t="s">
        <v>1662</v>
      </c>
      <c r="C1217" s="12" t="s">
        <v>1127</v>
      </c>
      <c r="D1217" s="16" t="n">
        <v>0.00294328703703704</v>
      </c>
      <c r="E1217" s="15" t="n">
        <f aca="false">ROUND((D1217-$D$5)*86400,2)</f>
        <v>29.27</v>
      </c>
      <c r="F1217" s="17" t="n">
        <v>1023</v>
      </c>
      <c r="G1217" s="16" t="n">
        <f aca="false">IF(INDEX(選手一覧!$D$7:$D$2738,$F1217)="","",INDEX(選手一覧!$D$7:$D$2738,$F1217))</f>
        <v>0.0109635416666667</v>
      </c>
      <c r="H1217" s="17" t="n">
        <f aca="false">IF(INDEX(選手一覧!$E$7:$E$2738,$F1217)="","",INDEX(選手一覧!$E$7:$E$2738,$F1217))</f>
        <v>1024</v>
      </c>
      <c r="I1217" s="16" t="n">
        <f aca="false">IF(INDEX(選手一覧!$H$7:$H$2738,$F1217)="","",INDEX(選手一覧!$H$7:$H$2738,$F1217))</f>
        <v>0.00733854166666667</v>
      </c>
      <c r="J1217" s="17" t="n">
        <f aca="false">IF(INDEX(選手一覧!$I$7:$I$2738,$F1217)="","",INDEX(選手一覧!$I$7:$I$2738,$F1217))</f>
        <v>692</v>
      </c>
    </row>
    <row r="1218" customFormat="false" ht="15" hidden="false" customHeight="false" outlineLevel="0" collapsed="false">
      <c r="A1218" s="17" t="n">
        <v>1214</v>
      </c>
      <c r="B1218" s="12" t="s">
        <v>492</v>
      </c>
      <c r="C1218" s="12" t="s">
        <v>77</v>
      </c>
      <c r="D1218" s="16" t="n">
        <v>0.00294351851851852</v>
      </c>
      <c r="E1218" s="15" t="n">
        <f aca="false">ROUND((D1218-$D$5)*86400,2)</f>
        <v>29.29</v>
      </c>
      <c r="F1218" s="17" t="n">
        <v>254</v>
      </c>
      <c r="G1218" s="16" t="n">
        <f aca="false">IF(INDEX(選手一覧!$D$7:$D$2738,$F1218)="","",INDEX(選手一覧!$D$7:$D$2738,$F1218))</f>
        <v>0.0103954861111111</v>
      </c>
      <c r="H1218" s="17" t="n">
        <f aca="false">IF(INDEX(選手一覧!$E$7:$E$2738,$F1218)="","",INDEX(選手一覧!$E$7:$E$2738,$F1218))</f>
        <v>255</v>
      </c>
      <c r="I1218" s="16" t="str">
        <f aca="false">IF(INDEX(選手一覧!$H$7:$H$2738,$F1218)="","",INDEX(選手一覧!$H$7:$H$2738,$F1218))</f>
        <v/>
      </c>
      <c r="J1218" s="17" t="str">
        <f aca="false">IF(INDEX(選手一覧!$I$7:$I$2738,$F1218)="","",INDEX(選手一覧!$I$7:$I$2738,$F1218))</f>
        <v/>
      </c>
    </row>
    <row r="1219" customFormat="false" ht="15" hidden="false" customHeight="false" outlineLevel="0" collapsed="false">
      <c r="A1219" s="17" t="n">
        <v>1215</v>
      </c>
      <c r="B1219" s="12" t="s">
        <v>3845</v>
      </c>
      <c r="C1219" s="12" t="s">
        <v>2892</v>
      </c>
      <c r="D1219" s="16" t="n">
        <v>0.00294375</v>
      </c>
      <c r="E1219" s="15" t="n">
        <f aca="false">ROUND((D1219-$D$5)*86400,2)</f>
        <v>29.31</v>
      </c>
      <c r="F1219" s="17" t="n">
        <v>2503</v>
      </c>
      <c r="G1219" s="16" t="str">
        <f aca="false">IF(INDEX(選手一覧!$D$7:$D$2738,$F1219)="","",INDEX(選手一覧!$D$7:$D$2738,$F1219))</f>
        <v/>
      </c>
      <c r="H1219" s="17" t="str">
        <f aca="false">IF(INDEX(選手一覧!$E$7:$E$2738,$F1219)="","",INDEX(選手一覧!$E$7:$E$2738,$F1219))</f>
        <v/>
      </c>
      <c r="I1219" s="16" t="str">
        <f aca="false">IF(INDEX(選手一覧!$H$7:$H$2738,$F1219)="","",INDEX(選手一覧!$H$7:$H$2738,$F1219))</f>
        <v/>
      </c>
      <c r="J1219" s="17" t="str">
        <f aca="false">IF(INDEX(選手一覧!$I$7:$I$2738,$F1219)="","",INDEX(選手一覧!$I$7:$I$2738,$F1219))</f>
        <v/>
      </c>
    </row>
    <row r="1220" customFormat="false" ht="15" hidden="false" customHeight="false" outlineLevel="0" collapsed="false">
      <c r="A1220" s="17" t="n">
        <v>1216</v>
      </c>
      <c r="B1220" s="12" t="s">
        <v>1611</v>
      </c>
      <c r="C1220" s="12" t="s">
        <v>1154</v>
      </c>
      <c r="D1220" s="16" t="n">
        <v>0.00294479166666667</v>
      </c>
      <c r="E1220" s="15" t="n">
        <f aca="false">ROUND((D1220-$D$5)*86400,2)</f>
        <v>29.4</v>
      </c>
      <c r="F1220" s="17" t="n">
        <v>988</v>
      </c>
      <c r="G1220" s="16" t="n">
        <f aca="false">IF(INDEX(選手一覧!$D$7:$D$2738,$F1220)="","",INDEX(選手一覧!$D$7:$D$2738,$F1220))</f>
        <v>0.0109439814814815</v>
      </c>
      <c r="H1220" s="17" t="n">
        <f aca="false">IF(INDEX(選手一覧!$E$7:$E$2738,$F1220)="","",INDEX(選手一覧!$E$7:$E$2738,$F1220))</f>
        <v>989</v>
      </c>
      <c r="I1220" s="16" t="str">
        <f aca="false">IF(INDEX(選手一覧!$H$7:$H$2738,$F1220)="","",INDEX(選手一覧!$H$7:$H$2738,$F1220))</f>
        <v/>
      </c>
      <c r="J1220" s="17" t="str">
        <f aca="false">IF(INDEX(選手一覧!$I$7:$I$2738,$F1220)="","",INDEX(選手一覧!$I$7:$I$2738,$F1220))</f>
        <v/>
      </c>
    </row>
    <row r="1221" customFormat="false" ht="15" hidden="false" customHeight="false" outlineLevel="0" collapsed="false">
      <c r="A1221" s="17" t="n">
        <v>1217</v>
      </c>
      <c r="B1221" s="12" t="s">
        <v>3848</v>
      </c>
      <c r="C1221" s="12" t="s">
        <v>1705</v>
      </c>
      <c r="D1221" s="16" t="n">
        <v>0.00294502314814815</v>
      </c>
      <c r="E1221" s="15" t="n">
        <f aca="false">ROUND((D1221-$D$5)*86400,2)</f>
        <v>29.42</v>
      </c>
      <c r="F1221" s="17" t="n">
        <v>2506</v>
      </c>
      <c r="G1221" s="16" t="str">
        <f aca="false">IF(INDEX(選手一覧!$D$7:$D$2738,$F1221)="","",INDEX(選手一覧!$D$7:$D$2738,$F1221))</f>
        <v/>
      </c>
      <c r="H1221" s="17" t="str">
        <f aca="false">IF(INDEX(選手一覧!$E$7:$E$2738,$F1221)="","",INDEX(選手一覧!$E$7:$E$2738,$F1221))</f>
        <v/>
      </c>
      <c r="I1221" s="16" t="str">
        <f aca="false">IF(INDEX(選手一覧!$H$7:$H$2738,$F1221)="","",INDEX(選手一覧!$H$7:$H$2738,$F1221))</f>
        <v/>
      </c>
      <c r="J1221" s="17" t="str">
        <f aca="false">IF(INDEX(選手一覧!$I$7:$I$2738,$F1221)="","",INDEX(選手一覧!$I$7:$I$2738,$F1221))</f>
        <v/>
      </c>
    </row>
    <row r="1222" customFormat="false" ht="15" hidden="false" customHeight="false" outlineLevel="0" collapsed="false">
      <c r="A1222" s="17" t="n">
        <v>1218</v>
      </c>
      <c r="B1222" s="12" t="s">
        <v>506</v>
      </c>
      <c r="C1222" s="12" t="s">
        <v>507</v>
      </c>
      <c r="D1222" s="16" t="n">
        <v>0.00294560185185185</v>
      </c>
      <c r="E1222" s="15" t="n">
        <f aca="false">ROUND((D1222-$D$5)*86400,2)</f>
        <v>29.47</v>
      </c>
      <c r="F1222" s="17" t="n">
        <v>265</v>
      </c>
      <c r="G1222" s="16" t="n">
        <f aca="false">IF(INDEX(選手一覧!$D$7:$D$2738,$F1222)="","",INDEX(選手一覧!$D$7:$D$2738,$F1222))</f>
        <v>0.0104003472222222</v>
      </c>
      <c r="H1222" s="17" t="n">
        <f aca="false">IF(INDEX(選手一覧!$E$7:$E$2738,$F1222)="","",INDEX(選手一覧!$E$7:$E$2738,$F1222))</f>
        <v>266</v>
      </c>
      <c r="I1222" s="16" t="str">
        <f aca="false">IF(INDEX(選手一覧!$H$7:$H$2738,$F1222)="","",INDEX(選手一覧!$H$7:$H$2738,$F1222))</f>
        <v/>
      </c>
      <c r="J1222" s="17" t="str">
        <f aca="false">IF(INDEX(選手一覧!$I$7:$I$2738,$F1222)="","",INDEX(選手一覧!$I$7:$I$2738,$F1222))</f>
        <v/>
      </c>
    </row>
    <row r="1223" customFormat="false" ht="15" hidden="false" customHeight="false" outlineLevel="0" collapsed="false">
      <c r="A1223" s="17" t="n">
        <v>1219</v>
      </c>
      <c r="B1223" s="12" t="s">
        <v>2008</v>
      </c>
      <c r="C1223" s="12" t="s">
        <v>167</v>
      </c>
      <c r="D1223" s="16" t="n">
        <v>0.00294571759259259</v>
      </c>
      <c r="E1223" s="15" t="n">
        <f aca="false">ROUND((D1223-$D$5)*86400,2)</f>
        <v>29.48</v>
      </c>
      <c r="F1223" s="17" t="n">
        <v>1263</v>
      </c>
      <c r="G1223" s="16" t="n">
        <f aca="false">IF(INDEX(選手一覧!$D$7:$D$2738,$F1223)="","",INDEX(選手一覧!$D$7:$D$2738,$F1223))</f>
        <v>0.0110935185185185</v>
      </c>
      <c r="H1223" s="17" t="n">
        <f aca="false">IF(INDEX(選手一覧!$E$7:$E$2738,$F1223)="","",INDEX(選手一覧!$E$7:$E$2738,$F1223))</f>
        <v>1264</v>
      </c>
      <c r="I1223" s="16" t="str">
        <f aca="false">IF(INDEX(選手一覧!$H$7:$H$2738,$F1223)="","",INDEX(選手一覧!$H$7:$H$2738,$F1223))</f>
        <v/>
      </c>
      <c r="J1223" s="17" t="str">
        <f aca="false">IF(INDEX(選手一覧!$I$7:$I$2738,$F1223)="","",INDEX(選手一覧!$I$7:$I$2738,$F1223))</f>
        <v/>
      </c>
    </row>
    <row r="1224" customFormat="false" ht="15" hidden="false" customHeight="false" outlineLevel="0" collapsed="false">
      <c r="A1224" s="17" t="n">
        <v>1220</v>
      </c>
      <c r="B1224" s="12" t="s">
        <v>3851</v>
      </c>
      <c r="C1224" s="12" t="s">
        <v>3852</v>
      </c>
      <c r="D1224" s="16" t="n">
        <v>0.0029462962962963</v>
      </c>
      <c r="E1224" s="15" t="n">
        <f aca="false">ROUND((D1224-$D$5)*86400,2)</f>
        <v>29.53</v>
      </c>
      <c r="F1224" s="17" t="n">
        <v>2509</v>
      </c>
      <c r="G1224" s="16" t="str">
        <f aca="false">IF(INDEX(選手一覧!$D$7:$D$2738,$F1224)="","",INDEX(選手一覧!$D$7:$D$2738,$F1224))</f>
        <v/>
      </c>
      <c r="H1224" s="17" t="str">
        <f aca="false">IF(INDEX(選手一覧!$E$7:$E$2738,$F1224)="","",INDEX(選手一覧!$E$7:$E$2738,$F1224))</f>
        <v/>
      </c>
      <c r="I1224" s="16" t="str">
        <f aca="false">IF(INDEX(選手一覧!$H$7:$H$2738,$F1224)="","",INDEX(選手一覧!$H$7:$H$2738,$F1224))</f>
        <v/>
      </c>
      <c r="J1224" s="17" t="str">
        <f aca="false">IF(INDEX(選手一覧!$I$7:$I$2738,$F1224)="","",INDEX(選手一覧!$I$7:$I$2738,$F1224))</f>
        <v/>
      </c>
    </row>
    <row r="1225" customFormat="false" ht="15" hidden="false" customHeight="false" outlineLevel="0" collapsed="false">
      <c r="A1225" s="17" t="n">
        <v>1221</v>
      </c>
      <c r="B1225" s="12" t="s">
        <v>3854</v>
      </c>
      <c r="C1225" s="12" t="s">
        <v>795</v>
      </c>
      <c r="D1225" s="16" t="n">
        <v>0.002946875</v>
      </c>
      <c r="E1225" s="15" t="n">
        <f aca="false">ROUND((D1225-$D$5)*86400,2)</f>
        <v>29.58</v>
      </c>
      <c r="F1225" s="17" t="n">
        <v>2511</v>
      </c>
      <c r="G1225" s="16" t="str">
        <f aca="false">IF(INDEX(選手一覧!$D$7:$D$2738,$F1225)="","",INDEX(選手一覧!$D$7:$D$2738,$F1225))</f>
        <v/>
      </c>
      <c r="H1225" s="17" t="str">
        <f aca="false">IF(INDEX(選手一覧!$E$7:$E$2738,$F1225)="","",INDEX(選手一覧!$E$7:$E$2738,$F1225))</f>
        <v/>
      </c>
      <c r="I1225" s="16" t="str">
        <f aca="false">IF(INDEX(選手一覧!$H$7:$H$2738,$F1225)="","",INDEX(選手一覧!$H$7:$H$2738,$F1225))</f>
        <v/>
      </c>
      <c r="J1225" s="17" t="str">
        <f aca="false">IF(INDEX(選手一覧!$I$7:$I$2738,$F1225)="","",INDEX(選手一覧!$I$7:$I$2738,$F1225))</f>
        <v/>
      </c>
    </row>
    <row r="1226" customFormat="false" ht="15" hidden="false" customHeight="false" outlineLevel="0" collapsed="false">
      <c r="A1226" s="17" t="n">
        <v>1222</v>
      </c>
      <c r="B1226" s="12" t="s">
        <v>3857</v>
      </c>
      <c r="C1226" s="12" t="s">
        <v>3708</v>
      </c>
      <c r="D1226" s="16" t="n">
        <v>0.00294699074074074</v>
      </c>
      <c r="E1226" s="15" t="n">
        <f aca="false">ROUND((D1226-$D$5)*86400,2)</f>
        <v>29.59</v>
      </c>
      <c r="F1226" s="17" t="n">
        <v>2513</v>
      </c>
      <c r="G1226" s="16" t="str">
        <f aca="false">IF(INDEX(選手一覧!$D$7:$D$2738,$F1226)="","",INDEX(選手一覧!$D$7:$D$2738,$F1226))</f>
        <v/>
      </c>
      <c r="H1226" s="17" t="str">
        <f aca="false">IF(INDEX(選手一覧!$E$7:$E$2738,$F1226)="","",INDEX(選手一覧!$E$7:$E$2738,$F1226))</f>
        <v/>
      </c>
      <c r="I1226" s="16" t="str">
        <f aca="false">IF(INDEX(選手一覧!$H$7:$H$2738,$F1226)="","",INDEX(選手一覧!$H$7:$H$2738,$F1226))</f>
        <v/>
      </c>
      <c r="J1226" s="17" t="str">
        <f aca="false">IF(INDEX(選手一覧!$I$7:$I$2738,$F1226)="","",INDEX(選手一覧!$I$7:$I$2738,$F1226))</f>
        <v/>
      </c>
    </row>
    <row r="1227" customFormat="false" ht="15" hidden="false" customHeight="false" outlineLevel="0" collapsed="false">
      <c r="A1227" s="17" t="n">
        <v>1223</v>
      </c>
      <c r="B1227" s="12" t="s">
        <v>938</v>
      </c>
      <c r="C1227" s="12" t="s">
        <v>939</v>
      </c>
      <c r="D1227" s="16" t="n">
        <v>0.00294699074074074</v>
      </c>
      <c r="E1227" s="15" t="n">
        <f aca="false">ROUND((D1227-$D$5)*86400,2)</f>
        <v>29.59</v>
      </c>
      <c r="F1227" s="17" t="n">
        <v>535</v>
      </c>
      <c r="G1227" s="16" t="n">
        <f aca="false">IF(INDEX(選手一覧!$D$7:$D$2738,$F1227)="","",INDEX(選手一覧!$D$7:$D$2738,$F1227))</f>
        <v>0.0106615740740741</v>
      </c>
      <c r="H1227" s="17" t="n">
        <f aca="false">IF(INDEX(選手一覧!$E$7:$E$2738,$F1227)="","",INDEX(選手一覧!$E$7:$E$2738,$F1227))</f>
        <v>536</v>
      </c>
      <c r="I1227" s="16" t="str">
        <f aca="false">IF(INDEX(選手一覧!$H$7:$H$2738,$F1227)="","",INDEX(選手一覧!$H$7:$H$2738,$F1227))</f>
        <v/>
      </c>
      <c r="J1227" s="17" t="str">
        <f aca="false">IF(INDEX(選手一覧!$I$7:$I$2738,$F1227)="","",INDEX(選手一覧!$I$7:$I$2738,$F1227))</f>
        <v/>
      </c>
    </row>
    <row r="1228" customFormat="false" ht="15" hidden="false" customHeight="false" outlineLevel="0" collapsed="false">
      <c r="A1228" s="17" t="n">
        <v>1224</v>
      </c>
      <c r="B1228" s="12" t="s">
        <v>1039</v>
      </c>
      <c r="C1228" s="12" t="s">
        <v>401</v>
      </c>
      <c r="D1228" s="16" t="n">
        <v>0.00294710648148148</v>
      </c>
      <c r="E1228" s="15" t="n">
        <f aca="false">ROUND((D1228-$D$5)*86400,2)</f>
        <v>29.6</v>
      </c>
      <c r="F1228" s="17" t="n">
        <v>604</v>
      </c>
      <c r="G1228" s="16" t="n">
        <f aca="false">IF(INDEX(選手一覧!$D$7:$D$2738,$F1228)="","",INDEX(選手一覧!$D$7:$D$2738,$F1228))</f>
        <v>0.0107153935185185</v>
      </c>
      <c r="H1228" s="17" t="n">
        <f aca="false">IF(INDEX(選手一覧!$E$7:$E$2738,$F1228)="","",INDEX(選手一覧!$E$7:$E$2738,$F1228))</f>
        <v>605</v>
      </c>
      <c r="I1228" s="16" t="str">
        <f aca="false">IF(INDEX(選手一覧!$H$7:$H$2738,$F1228)="","",INDEX(選手一覧!$H$7:$H$2738,$F1228))</f>
        <v/>
      </c>
      <c r="J1228" s="17" t="str">
        <f aca="false">IF(INDEX(選手一覧!$I$7:$I$2738,$F1228)="","",INDEX(選手一覧!$I$7:$I$2738,$F1228))</f>
        <v/>
      </c>
    </row>
    <row r="1229" customFormat="false" ht="15" hidden="false" customHeight="false" outlineLevel="0" collapsed="false">
      <c r="A1229" s="17" t="n">
        <v>1225</v>
      </c>
      <c r="B1229" s="12" t="s">
        <v>725</v>
      </c>
      <c r="C1229" s="12" t="s">
        <v>40</v>
      </c>
      <c r="D1229" s="16" t="n">
        <v>0.00294768518518519</v>
      </c>
      <c r="E1229" s="15" t="n">
        <f aca="false">ROUND((D1229-$D$5)*86400,2)</f>
        <v>29.65</v>
      </c>
      <c r="F1229" s="17" t="n">
        <v>403</v>
      </c>
      <c r="G1229" s="16" t="n">
        <f aca="false">IF(INDEX(選手一覧!$D$7:$D$2738,$F1229)="","",INDEX(選手一覧!$D$7:$D$2738,$F1229))</f>
        <v>0.0105528935185185</v>
      </c>
      <c r="H1229" s="17" t="n">
        <f aca="false">IF(INDEX(選手一覧!$E$7:$E$2738,$F1229)="","",INDEX(選手一覧!$E$7:$E$2738,$F1229))</f>
        <v>404</v>
      </c>
      <c r="I1229" s="16" t="n">
        <f aca="false">IF(INDEX(選手一覧!$H$7:$H$2738,$F1229)="","",INDEX(選手一覧!$H$7:$H$2738,$F1229))</f>
        <v>0.00656655092592593</v>
      </c>
      <c r="J1229" s="17" t="n">
        <f aca="false">IF(INDEX(選手一覧!$I$7:$I$2738,$F1229)="","",INDEX(選手一覧!$I$7:$I$2738,$F1229))</f>
        <v>55</v>
      </c>
    </row>
    <row r="1230" customFormat="false" ht="15" hidden="false" customHeight="false" outlineLevel="0" collapsed="false">
      <c r="A1230" s="17" t="n">
        <v>1226</v>
      </c>
      <c r="B1230" s="12" t="s">
        <v>3861</v>
      </c>
      <c r="C1230" s="12" t="s">
        <v>589</v>
      </c>
      <c r="D1230" s="16" t="n">
        <v>0.00294780092592593</v>
      </c>
      <c r="E1230" s="15" t="n">
        <f aca="false">ROUND((D1230-$D$5)*86400,2)</f>
        <v>29.66</v>
      </c>
      <c r="F1230" s="17" t="n">
        <v>2517</v>
      </c>
      <c r="G1230" s="16" t="str">
        <f aca="false">IF(INDEX(選手一覧!$D$7:$D$2738,$F1230)="","",INDEX(選手一覧!$D$7:$D$2738,$F1230))</f>
        <v/>
      </c>
      <c r="H1230" s="17" t="str">
        <f aca="false">IF(INDEX(選手一覧!$E$7:$E$2738,$F1230)="","",INDEX(選手一覧!$E$7:$E$2738,$F1230))</f>
        <v/>
      </c>
      <c r="I1230" s="16" t="str">
        <f aca="false">IF(INDEX(選手一覧!$H$7:$H$2738,$F1230)="","",INDEX(選手一覧!$H$7:$H$2738,$F1230))</f>
        <v/>
      </c>
      <c r="J1230" s="17" t="str">
        <f aca="false">IF(INDEX(選手一覧!$I$7:$I$2738,$F1230)="","",INDEX(選手一覧!$I$7:$I$2738,$F1230))</f>
        <v/>
      </c>
    </row>
    <row r="1231" customFormat="false" ht="15" hidden="false" customHeight="false" outlineLevel="0" collapsed="false">
      <c r="A1231" s="17" t="n">
        <v>1227</v>
      </c>
      <c r="B1231" s="12" t="s">
        <v>3863</v>
      </c>
      <c r="C1231" s="12" t="s">
        <v>3864</v>
      </c>
      <c r="D1231" s="16" t="n">
        <v>0.00294791666666667</v>
      </c>
      <c r="E1231" s="15" t="n">
        <f aca="false">ROUND((D1231-$D$5)*86400,2)</f>
        <v>29.67</v>
      </c>
      <c r="F1231" s="17" t="n">
        <v>2519</v>
      </c>
      <c r="G1231" s="16" t="str">
        <f aca="false">IF(INDEX(選手一覧!$D$7:$D$2738,$F1231)="","",INDEX(選手一覧!$D$7:$D$2738,$F1231))</f>
        <v/>
      </c>
      <c r="H1231" s="17" t="str">
        <f aca="false">IF(INDEX(選手一覧!$E$7:$E$2738,$F1231)="","",INDEX(選手一覧!$E$7:$E$2738,$F1231))</f>
        <v/>
      </c>
      <c r="I1231" s="16" t="str">
        <f aca="false">IF(INDEX(選手一覧!$H$7:$H$2738,$F1231)="","",INDEX(選手一覧!$H$7:$H$2738,$F1231))</f>
        <v/>
      </c>
      <c r="J1231" s="17" t="str">
        <f aca="false">IF(INDEX(選手一覧!$I$7:$I$2738,$F1231)="","",INDEX(選手一覧!$I$7:$I$2738,$F1231))</f>
        <v/>
      </c>
    </row>
    <row r="1232" customFormat="false" ht="15" hidden="false" customHeight="false" outlineLevel="0" collapsed="false">
      <c r="A1232" s="17" t="n">
        <v>1228</v>
      </c>
      <c r="B1232" s="12" t="s">
        <v>1264</v>
      </c>
      <c r="C1232" s="12" t="s">
        <v>1265</v>
      </c>
      <c r="D1232" s="16" t="n">
        <v>0.00294814814814815</v>
      </c>
      <c r="E1232" s="15" t="n">
        <f aca="false">ROUND((D1232-$D$5)*86400,2)</f>
        <v>29.69</v>
      </c>
      <c r="F1232" s="17" t="n">
        <v>753</v>
      </c>
      <c r="G1232" s="16" t="n">
        <f aca="false">IF(INDEX(選手一覧!$D$7:$D$2738,$F1232)="","",INDEX(選手一覧!$D$7:$D$2738,$F1232))</f>
        <v>0.0108061342592593</v>
      </c>
      <c r="H1232" s="17" t="n">
        <f aca="false">IF(INDEX(選手一覧!$E$7:$E$2738,$F1232)="","",INDEX(選手一覧!$E$7:$E$2738,$F1232))</f>
        <v>754</v>
      </c>
      <c r="I1232" s="16" t="str">
        <f aca="false">IF(INDEX(選手一覧!$H$7:$H$2738,$F1232)="","",INDEX(選手一覧!$H$7:$H$2738,$F1232))</f>
        <v/>
      </c>
      <c r="J1232" s="17" t="str">
        <f aca="false">IF(INDEX(選手一覧!$I$7:$I$2738,$F1232)="","",INDEX(選手一覧!$I$7:$I$2738,$F1232))</f>
        <v/>
      </c>
    </row>
    <row r="1233" customFormat="false" ht="15" hidden="false" customHeight="false" outlineLevel="0" collapsed="false">
      <c r="A1233" s="17" t="n">
        <v>1229</v>
      </c>
      <c r="B1233" s="12" t="s">
        <v>3868</v>
      </c>
      <c r="C1233" s="12" t="s">
        <v>3869</v>
      </c>
      <c r="D1233" s="16" t="n">
        <v>0.00294826388888889</v>
      </c>
      <c r="E1233" s="15" t="n">
        <f aca="false">ROUND((D1233-$D$5)*86400,2)</f>
        <v>29.7</v>
      </c>
      <c r="F1233" s="17" t="n">
        <v>2522</v>
      </c>
      <c r="G1233" s="16" t="str">
        <f aca="false">IF(INDEX(選手一覧!$D$7:$D$2738,$F1233)="","",INDEX(選手一覧!$D$7:$D$2738,$F1233))</f>
        <v/>
      </c>
      <c r="H1233" s="17" t="str">
        <f aca="false">IF(INDEX(選手一覧!$E$7:$E$2738,$F1233)="","",INDEX(選手一覧!$E$7:$E$2738,$F1233))</f>
        <v/>
      </c>
      <c r="I1233" s="16" t="str">
        <f aca="false">IF(INDEX(選手一覧!$H$7:$H$2738,$F1233)="","",INDEX(選手一覧!$H$7:$H$2738,$F1233))</f>
        <v/>
      </c>
      <c r="J1233" s="17" t="str">
        <f aca="false">IF(INDEX(選手一覧!$I$7:$I$2738,$F1233)="","",INDEX(選手一覧!$I$7:$I$2738,$F1233))</f>
        <v/>
      </c>
    </row>
    <row r="1234" customFormat="false" ht="15" hidden="false" customHeight="false" outlineLevel="0" collapsed="false">
      <c r="A1234" s="17" t="n">
        <v>1230</v>
      </c>
      <c r="B1234" s="12" t="s">
        <v>3871</v>
      </c>
      <c r="C1234" s="12" t="s">
        <v>2226</v>
      </c>
      <c r="D1234" s="16" t="n">
        <v>0.00294849537037037</v>
      </c>
      <c r="E1234" s="15" t="n">
        <f aca="false">ROUND((D1234-$D$5)*86400,2)</f>
        <v>29.72</v>
      </c>
      <c r="F1234" s="17" t="n">
        <v>2524</v>
      </c>
      <c r="G1234" s="16" t="str">
        <f aca="false">IF(INDEX(選手一覧!$D$7:$D$2738,$F1234)="","",INDEX(選手一覧!$D$7:$D$2738,$F1234))</f>
        <v/>
      </c>
      <c r="H1234" s="17" t="str">
        <f aca="false">IF(INDEX(選手一覧!$E$7:$E$2738,$F1234)="","",INDEX(選手一覧!$E$7:$E$2738,$F1234))</f>
        <v/>
      </c>
      <c r="I1234" s="16" t="str">
        <f aca="false">IF(INDEX(選手一覧!$H$7:$H$2738,$F1234)="","",INDEX(選手一覧!$H$7:$H$2738,$F1234))</f>
        <v/>
      </c>
      <c r="J1234" s="17" t="str">
        <f aca="false">IF(INDEX(選手一覧!$I$7:$I$2738,$F1234)="","",INDEX(選手一覧!$I$7:$I$2738,$F1234))</f>
        <v/>
      </c>
    </row>
    <row r="1235" customFormat="false" ht="15" hidden="false" customHeight="false" outlineLevel="0" collapsed="false">
      <c r="A1235" s="17" t="n">
        <v>1231</v>
      </c>
      <c r="B1235" s="12" t="s">
        <v>3874</v>
      </c>
      <c r="C1235" s="12" t="s">
        <v>25</v>
      </c>
      <c r="D1235" s="16" t="n">
        <v>0.00294872685185185</v>
      </c>
      <c r="E1235" s="15" t="n">
        <f aca="false">ROUND((D1235-$D$5)*86400,2)</f>
        <v>29.74</v>
      </c>
      <c r="F1235" s="17" t="n">
        <v>2526</v>
      </c>
      <c r="G1235" s="16" t="str">
        <f aca="false">IF(INDEX(選手一覧!$D$7:$D$2738,$F1235)="","",INDEX(選手一覧!$D$7:$D$2738,$F1235))</f>
        <v/>
      </c>
      <c r="H1235" s="17" t="str">
        <f aca="false">IF(INDEX(選手一覧!$E$7:$E$2738,$F1235)="","",INDEX(選手一覧!$E$7:$E$2738,$F1235))</f>
        <v/>
      </c>
      <c r="I1235" s="16" t="str">
        <f aca="false">IF(INDEX(選手一覧!$H$7:$H$2738,$F1235)="","",INDEX(選手一覧!$H$7:$H$2738,$F1235))</f>
        <v/>
      </c>
      <c r="J1235" s="17" t="str">
        <f aca="false">IF(INDEX(選手一覧!$I$7:$I$2738,$F1235)="","",INDEX(選手一覧!$I$7:$I$2738,$F1235))</f>
        <v/>
      </c>
    </row>
    <row r="1236" customFormat="false" ht="15" hidden="false" customHeight="false" outlineLevel="0" collapsed="false">
      <c r="A1236" s="17" t="n">
        <v>1232</v>
      </c>
      <c r="B1236" s="12" t="s">
        <v>3877</v>
      </c>
      <c r="C1236" s="12" t="s">
        <v>3831</v>
      </c>
      <c r="D1236" s="16" t="n">
        <v>0.00294907407407407</v>
      </c>
      <c r="E1236" s="15" t="n">
        <f aca="false">ROUND((D1236-$D$5)*86400,2)</f>
        <v>29.77</v>
      </c>
      <c r="F1236" s="17" t="n">
        <v>2528</v>
      </c>
      <c r="G1236" s="16" t="str">
        <f aca="false">IF(INDEX(選手一覧!$D$7:$D$2738,$F1236)="","",INDEX(選手一覧!$D$7:$D$2738,$F1236))</f>
        <v/>
      </c>
      <c r="H1236" s="17" t="str">
        <f aca="false">IF(INDEX(選手一覧!$E$7:$E$2738,$F1236)="","",INDEX(選手一覧!$E$7:$E$2738,$F1236))</f>
        <v/>
      </c>
      <c r="I1236" s="16" t="str">
        <f aca="false">IF(INDEX(選手一覧!$H$7:$H$2738,$F1236)="","",INDEX(選手一覧!$H$7:$H$2738,$F1236))</f>
        <v/>
      </c>
      <c r="J1236" s="17" t="str">
        <f aca="false">IF(INDEX(選手一覧!$I$7:$I$2738,$F1236)="","",INDEX(選手一覧!$I$7:$I$2738,$F1236))</f>
        <v/>
      </c>
    </row>
    <row r="1237" customFormat="false" ht="15" hidden="false" customHeight="false" outlineLevel="0" collapsed="false">
      <c r="A1237" s="17" t="n">
        <v>1233</v>
      </c>
      <c r="B1237" s="12" t="s">
        <v>3879</v>
      </c>
      <c r="C1237" s="12" t="s">
        <v>1688</v>
      </c>
      <c r="D1237" s="16" t="n">
        <v>0.00294907407407407</v>
      </c>
      <c r="E1237" s="15" t="n">
        <f aca="false">ROUND((D1237-$D$5)*86400,2)</f>
        <v>29.77</v>
      </c>
      <c r="F1237" s="17" t="n">
        <v>2530</v>
      </c>
      <c r="G1237" s="16" t="str">
        <f aca="false">IF(INDEX(選手一覧!$D$7:$D$2738,$F1237)="","",INDEX(選手一覧!$D$7:$D$2738,$F1237))</f>
        <v/>
      </c>
      <c r="H1237" s="17" t="str">
        <f aca="false">IF(INDEX(選手一覧!$E$7:$E$2738,$F1237)="","",INDEX(選手一覧!$E$7:$E$2738,$F1237))</f>
        <v/>
      </c>
      <c r="I1237" s="16" t="str">
        <f aca="false">IF(INDEX(選手一覧!$H$7:$H$2738,$F1237)="","",INDEX(選手一覧!$H$7:$H$2738,$F1237))</f>
        <v/>
      </c>
      <c r="J1237" s="17" t="str">
        <f aca="false">IF(INDEX(選手一覧!$I$7:$I$2738,$F1237)="","",INDEX(選手一覧!$I$7:$I$2738,$F1237))</f>
        <v/>
      </c>
    </row>
    <row r="1238" customFormat="false" ht="15" hidden="false" customHeight="false" outlineLevel="0" collapsed="false">
      <c r="A1238" s="17" t="n">
        <v>1234</v>
      </c>
      <c r="B1238" s="12" t="s">
        <v>1794</v>
      </c>
      <c r="C1238" s="12" t="s">
        <v>103</v>
      </c>
      <c r="D1238" s="16" t="n">
        <v>0.00294918981481482</v>
      </c>
      <c r="E1238" s="15" t="n">
        <f aca="false">ROUND((D1238-$D$5)*86400,2)</f>
        <v>29.78</v>
      </c>
      <c r="F1238" s="17" t="n">
        <v>1112</v>
      </c>
      <c r="G1238" s="16" t="n">
        <f aca="false">IF(INDEX(選手一覧!$D$7:$D$2738,$F1238)="","",INDEX(選手一覧!$D$7:$D$2738,$F1238))</f>
        <v>0.0110116898148148</v>
      </c>
      <c r="H1238" s="17" t="n">
        <f aca="false">IF(INDEX(選手一覧!$E$7:$E$2738,$F1238)="","",INDEX(選手一覧!$E$7:$E$2738,$F1238))</f>
        <v>1113</v>
      </c>
      <c r="I1238" s="16" t="n">
        <f aca="false">IF(INDEX(選手一覧!$H$7:$H$2738,$F1238)="","",INDEX(選手一覧!$H$7:$H$2738,$F1238))</f>
        <v>0.0073724537037037</v>
      </c>
      <c r="J1238" s="17" t="n">
        <f aca="false">IF(INDEX(選手一覧!$I$7:$I$2738,$F1238)="","",INDEX(選手一覧!$I$7:$I$2738,$F1238))</f>
        <v>737</v>
      </c>
    </row>
    <row r="1239" customFormat="false" ht="15" hidden="false" customHeight="false" outlineLevel="0" collapsed="false">
      <c r="A1239" s="17" t="n">
        <v>1235</v>
      </c>
      <c r="B1239" s="12" t="s">
        <v>3884</v>
      </c>
      <c r="C1239" s="12" t="s">
        <v>3885</v>
      </c>
      <c r="D1239" s="16" t="n">
        <v>0.00294930555555556</v>
      </c>
      <c r="E1239" s="15" t="n">
        <f aca="false">ROUND((D1239-$D$5)*86400,2)</f>
        <v>29.79</v>
      </c>
      <c r="F1239" s="17" t="n">
        <v>2533</v>
      </c>
      <c r="G1239" s="16" t="str">
        <f aca="false">IF(INDEX(選手一覧!$D$7:$D$2738,$F1239)="","",INDEX(選手一覧!$D$7:$D$2738,$F1239))</f>
        <v/>
      </c>
      <c r="H1239" s="17" t="str">
        <f aca="false">IF(INDEX(選手一覧!$E$7:$E$2738,$F1239)="","",INDEX(選手一覧!$E$7:$E$2738,$F1239))</f>
        <v/>
      </c>
      <c r="I1239" s="16" t="str">
        <f aca="false">IF(INDEX(選手一覧!$H$7:$H$2738,$F1239)="","",INDEX(選手一覧!$H$7:$H$2738,$F1239))</f>
        <v/>
      </c>
      <c r="J1239" s="17" t="str">
        <f aca="false">IF(INDEX(選手一覧!$I$7:$I$2738,$F1239)="","",INDEX(選手一覧!$I$7:$I$2738,$F1239))</f>
        <v/>
      </c>
    </row>
    <row r="1240" customFormat="false" ht="15" hidden="false" customHeight="false" outlineLevel="0" collapsed="false">
      <c r="A1240" s="17" t="n">
        <v>1236</v>
      </c>
      <c r="B1240" s="12" t="s">
        <v>3888</v>
      </c>
      <c r="C1240" s="12" t="s">
        <v>3889</v>
      </c>
      <c r="D1240" s="16" t="n">
        <v>0.00294988425925926</v>
      </c>
      <c r="E1240" s="15" t="n">
        <f aca="false">ROUND((D1240-$D$5)*86400,2)</f>
        <v>29.84</v>
      </c>
      <c r="F1240" s="17" t="n">
        <v>2535</v>
      </c>
      <c r="G1240" s="16" t="str">
        <f aca="false">IF(INDEX(選手一覧!$D$7:$D$2738,$F1240)="","",INDEX(選手一覧!$D$7:$D$2738,$F1240))</f>
        <v/>
      </c>
      <c r="H1240" s="17" t="str">
        <f aca="false">IF(INDEX(選手一覧!$E$7:$E$2738,$F1240)="","",INDEX(選手一覧!$E$7:$E$2738,$F1240))</f>
        <v/>
      </c>
      <c r="I1240" s="16" t="str">
        <f aca="false">IF(INDEX(選手一覧!$H$7:$H$2738,$F1240)="","",INDEX(選手一覧!$H$7:$H$2738,$F1240))</f>
        <v/>
      </c>
      <c r="J1240" s="17" t="str">
        <f aca="false">IF(INDEX(選手一覧!$I$7:$I$2738,$F1240)="","",INDEX(選手一覧!$I$7:$I$2738,$F1240))</f>
        <v/>
      </c>
    </row>
    <row r="1241" customFormat="false" ht="15" hidden="false" customHeight="false" outlineLevel="0" collapsed="false">
      <c r="A1241" s="17" t="n">
        <v>1237</v>
      </c>
      <c r="B1241" s="12" t="s">
        <v>1559</v>
      </c>
      <c r="C1241" s="12" t="s">
        <v>1560</v>
      </c>
      <c r="D1241" s="16" t="n">
        <v>0.00295</v>
      </c>
      <c r="E1241" s="15" t="n">
        <f aca="false">ROUND((D1241-$D$5)*86400,2)</f>
        <v>29.85</v>
      </c>
      <c r="F1241" s="17" t="n">
        <v>953</v>
      </c>
      <c r="G1241" s="16" t="n">
        <f aca="false">IF(INDEX(選手一覧!$D$7:$D$2738,$F1241)="","",INDEX(選手一覧!$D$7:$D$2738,$F1241))</f>
        <v>0.0109225694444444</v>
      </c>
      <c r="H1241" s="17" t="n">
        <f aca="false">IF(INDEX(選手一覧!$E$7:$E$2738,$F1241)="","",INDEX(選手一覧!$E$7:$E$2738,$F1241))</f>
        <v>954</v>
      </c>
      <c r="I1241" s="16" t="n">
        <f aca="false">IF(INDEX(選手一覧!$H$7:$H$2738,$F1241)="","",INDEX(選手一覧!$H$7:$H$2738,$F1241))</f>
        <v>0.00734189814814815</v>
      </c>
      <c r="J1241" s="17" t="n">
        <f aca="false">IF(INDEX(選手一覧!$I$7:$I$2738,$F1241)="","",INDEX(選手一覧!$I$7:$I$2738,$F1241))</f>
        <v>699</v>
      </c>
    </row>
    <row r="1242" customFormat="false" ht="15" hidden="false" customHeight="false" outlineLevel="0" collapsed="false">
      <c r="A1242" s="17" t="n">
        <v>1238</v>
      </c>
      <c r="B1242" s="12" t="s">
        <v>3893</v>
      </c>
      <c r="C1242" s="12" t="s">
        <v>3831</v>
      </c>
      <c r="D1242" s="16" t="n">
        <v>0.00295011574074074</v>
      </c>
      <c r="E1242" s="15" t="n">
        <f aca="false">ROUND((D1242-$D$5)*86400,2)</f>
        <v>29.86</v>
      </c>
      <c r="F1242" s="17" t="n">
        <v>2538</v>
      </c>
      <c r="G1242" s="16" t="str">
        <f aca="false">IF(INDEX(選手一覧!$D$7:$D$2738,$F1242)="","",INDEX(選手一覧!$D$7:$D$2738,$F1242))</f>
        <v/>
      </c>
      <c r="H1242" s="17" t="str">
        <f aca="false">IF(INDEX(選手一覧!$E$7:$E$2738,$F1242)="","",INDEX(選手一覧!$E$7:$E$2738,$F1242))</f>
        <v/>
      </c>
      <c r="I1242" s="16" t="str">
        <f aca="false">IF(INDEX(選手一覧!$H$7:$H$2738,$F1242)="","",INDEX(選手一覧!$H$7:$H$2738,$F1242))</f>
        <v/>
      </c>
      <c r="J1242" s="17" t="str">
        <f aca="false">IF(INDEX(選手一覧!$I$7:$I$2738,$F1242)="","",INDEX(選手一覧!$I$7:$I$2738,$F1242))</f>
        <v/>
      </c>
    </row>
    <row r="1243" customFormat="false" ht="15" hidden="false" customHeight="false" outlineLevel="0" collapsed="false">
      <c r="A1243" s="17" t="n">
        <v>1239</v>
      </c>
      <c r="B1243" s="12" t="s">
        <v>1551</v>
      </c>
      <c r="C1243" s="12" t="s">
        <v>1552</v>
      </c>
      <c r="D1243" s="16" t="n">
        <v>0.00295023148148148</v>
      </c>
      <c r="E1243" s="15" t="n">
        <f aca="false">ROUND((D1243-$D$5)*86400,2)</f>
        <v>29.87</v>
      </c>
      <c r="F1243" s="17" t="n">
        <v>948</v>
      </c>
      <c r="G1243" s="16" t="n">
        <f aca="false">IF(INDEX(選手一覧!$D$7:$D$2738,$F1243)="","",INDEX(選手一覧!$D$7:$D$2738,$F1243))</f>
        <v>0.0109172453703704</v>
      </c>
      <c r="H1243" s="17" t="n">
        <f aca="false">IF(INDEX(選手一覧!$E$7:$E$2738,$F1243)="","",INDEX(選手一覧!$E$7:$E$2738,$F1243))</f>
        <v>949</v>
      </c>
      <c r="I1243" s="16" t="str">
        <f aca="false">IF(INDEX(選手一覧!$H$7:$H$2738,$F1243)="","",INDEX(選手一覧!$H$7:$H$2738,$F1243))</f>
        <v/>
      </c>
      <c r="J1243" s="17" t="str">
        <f aca="false">IF(INDEX(選手一覧!$I$7:$I$2738,$F1243)="","",INDEX(選手一覧!$I$7:$I$2738,$F1243))</f>
        <v/>
      </c>
    </row>
    <row r="1244" customFormat="false" ht="15" hidden="false" customHeight="false" outlineLevel="0" collapsed="false">
      <c r="A1244" s="17" t="n">
        <v>1240</v>
      </c>
      <c r="B1244" s="12" t="s">
        <v>3898</v>
      </c>
      <c r="C1244" s="12" t="s">
        <v>193</v>
      </c>
      <c r="D1244" s="16" t="n">
        <v>0.00295023148148148</v>
      </c>
      <c r="E1244" s="15" t="n">
        <f aca="false">ROUND((D1244-$D$5)*86400,2)</f>
        <v>29.87</v>
      </c>
      <c r="F1244" s="17" t="n">
        <v>2541</v>
      </c>
      <c r="G1244" s="16" t="str">
        <f aca="false">IF(INDEX(選手一覧!$D$7:$D$2738,$F1244)="","",INDEX(選手一覧!$D$7:$D$2738,$F1244))</f>
        <v/>
      </c>
      <c r="H1244" s="17" t="str">
        <f aca="false">IF(INDEX(選手一覧!$E$7:$E$2738,$F1244)="","",INDEX(選手一覧!$E$7:$E$2738,$F1244))</f>
        <v/>
      </c>
      <c r="I1244" s="16" t="str">
        <f aca="false">IF(INDEX(選手一覧!$H$7:$H$2738,$F1244)="","",INDEX(選手一覧!$H$7:$H$2738,$F1244))</f>
        <v/>
      </c>
      <c r="J1244" s="17" t="str">
        <f aca="false">IF(INDEX(選手一覧!$I$7:$I$2738,$F1244)="","",INDEX(選手一覧!$I$7:$I$2738,$F1244))</f>
        <v/>
      </c>
    </row>
    <row r="1245" customFormat="false" ht="15" hidden="false" customHeight="false" outlineLevel="0" collapsed="false">
      <c r="A1245" s="17" t="n">
        <v>1241</v>
      </c>
      <c r="B1245" s="12" t="s">
        <v>3901</v>
      </c>
      <c r="C1245" s="12" t="s">
        <v>83</v>
      </c>
      <c r="D1245" s="16" t="n">
        <v>0.00295034722222222</v>
      </c>
      <c r="E1245" s="15" t="n">
        <f aca="false">ROUND((D1245-$D$5)*86400,2)</f>
        <v>29.88</v>
      </c>
      <c r="F1245" s="17" t="n">
        <v>2543</v>
      </c>
      <c r="G1245" s="16" t="str">
        <f aca="false">IF(INDEX(選手一覧!$D$7:$D$2738,$F1245)="","",INDEX(選手一覧!$D$7:$D$2738,$F1245))</f>
        <v/>
      </c>
      <c r="H1245" s="17" t="str">
        <f aca="false">IF(INDEX(選手一覧!$E$7:$E$2738,$F1245)="","",INDEX(選手一覧!$E$7:$E$2738,$F1245))</f>
        <v/>
      </c>
      <c r="I1245" s="16" t="str">
        <f aca="false">IF(INDEX(選手一覧!$H$7:$H$2738,$F1245)="","",INDEX(選手一覧!$H$7:$H$2738,$F1245))</f>
        <v/>
      </c>
      <c r="J1245" s="17" t="str">
        <f aca="false">IF(INDEX(選手一覧!$I$7:$I$2738,$F1245)="","",INDEX(選手一覧!$I$7:$I$2738,$F1245))</f>
        <v/>
      </c>
    </row>
    <row r="1246" customFormat="false" ht="15" hidden="false" customHeight="false" outlineLevel="0" collapsed="false">
      <c r="A1246" s="17" t="n">
        <v>1242</v>
      </c>
      <c r="B1246" s="12" t="s">
        <v>3903</v>
      </c>
      <c r="C1246" s="12" t="s">
        <v>3904</v>
      </c>
      <c r="D1246" s="16" t="n">
        <v>0.0029505787037037</v>
      </c>
      <c r="E1246" s="15" t="n">
        <f aca="false">ROUND((D1246-$D$5)*86400,2)</f>
        <v>29.9</v>
      </c>
      <c r="F1246" s="17" t="n">
        <v>2545</v>
      </c>
      <c r="G1246" s="16" t="str">
        <f aca="false">IF(INDEX(選手一覧!$D$7:$D$2738,$F1246)="","",INDEX(選手一覧!$D$7:$D$2738,$F1246))</f>
        <v/>
      </c>
      <c r="H1246" s="17" t="str">
        <f aca="false">IF(INDEX(選手一覧!$E$7:$E$2738,$F1246)="","",INDEX(選手一覧!$E$7:$E$2738,$F1246))</f>
        <v/>
      </c>
      <c r="I1246" s="16" t="str">
        <f aca="false">IF(INDEX(選手一覧!$H$7:$H$2738,$F1246)="","",INDEX(選手一覧!$H$7:$H$2738,$F1246))</f>
        <v/>
      </c>
      <c r="J1246" s="17" t="str">
        <f aca="false">IF(INDEX(選手一覧!$I$7:$I$2738,$F1246)="","",INDEX(選手一覧!$I$7:$I$2738,$F1246))</f>
        <v/>
      </c>
    </row>
    <row r="1247" customFormat="false" ht="15" hidden="false" customHeight="false" outlineLevel="0" collapsed="false">
      <c r="A1247" s="17" t="n">
        <v>1243</v>
      </c>
      <c r="B1247" s="12" t="s">
        <v>3056</v>
      </c>
      <c r="C1247" s="12" t="s">
        <v>3057</v>
      </c>
      <c r="D1247" s="16" t="n">
        <v>0.00295092592592593</v>
      </c>
      <c r="E1247" s="15" t="n">
        <f aca="false">ROUND((D1247-$D$5)*86400,2)</f>
        <v>29.93</v>
      </c>
      <c r="F1247" s="17" t="n">
        <v>1969</v>
      </c>
      <c r="G1247" s="16" t="str">
        <f aca="false">IF(INDEX(選手一覧!$D$7:$D$2738,$F1247)="","",INDEX(選手一覧!$D$7:$D$2738,$F1247))</f>
        <v/>
      </c>
      <c r="H1247" s="17" t="str">
        <f aca="false">IF(INDEX(選手一覧!$E$7:$E$2738,$F1247)="","",INDEX(選手一覧!$E$7:$E$2738,$F1247))</f>
        <v/>
      </c>
      <c r="I1247" s="16" t="n">
        <f aca="false">IF(INDEX(選手一覧!$H$7:$H$2738,$F1247)="","",INDEX(選手一覧!$H$7:$H$2738,$F1247))</f>
        <v>0.00744872685185185</v>
      </c>
      <c r="J1247" s="17" t="n">
        <f aca="false">IF(INDEX(選手一覧!$I$7:$I$2738,$F1247)="","",INDEX(選手一覧!$I$7:$I$2738,$F1247))</f>
        <v>828</v>
      </c>
    </row>
    <row r="1248" customFormat="false" ht="15" hidden="false" customHeight="false" outlineLevel="0" collapsed="false">
      <c r="A1248" s="17" t="n">
        <v>1244</v>
      </c>
      <c r="B1248" s="12" t="s">
        <v>1871</v>
      </c>
      <c r="C1248" s="12" t="s">
        <v>65</v>
      </c>
      <c r="D1248" s="16" t="n">
        <v>0.00295104166666667</v>
      </c>
      <c r="E1248" s="15" t="n">
        <f aca="false">ROUND((D1248-$D$5)*86400,2)</f>
        <v>29.94</v>
      </c>
      <c r="F1248" s="17" t="n">
        <v>1162</v>
      </c>
      <c r="G1248" s="16" t="n">
        <f aca="false">IF(INDEX(選手一覧!$D$7:$D$2738,$F1248)="","",INDEX(選手一覧!$D$7:$D$2738,$F1248))</f>
        <v>0.0110351851851852</v>
      </c>
      <c r="H1248" s="17" t="n">
        <f aca="false">IF(INDEX(選手一覧!$E$7:$E$2738,$F1248)="","",INDEX(選手一覧!$E$7:$E$2738,$F1248))</f>
        <v>1163</v>
      </c>
      <c r="I1248" s="16" t="str">
        <f aca="false">IF(INDEX(選手一覧!$H$7:$H$2738,$F1248)="","",INDEX(選手一覧!$H$7:$H$2738,$F1248))</f>
        <v/>
      </c>
      <c r="J1248" s="17" t="str">
        <f aca="false">IF(INDEX(選手一覧!$I$7:$I$2738,$F1248)="","",INDEX(選手一覧!$I$7:$I$2738,$F1248))</f>
        <v/>
      </c>
    </row>
    <row r="1249" customFormat="false" ht="15" hidden="false" customHeight="false" outlineLevel="0" collapsed="false">
      <c r="A1249" s="17" t="n">
        <v>1245</v>
      </c>
      <c r="B1249" s="12" t="s">
        <v>3907</v>
      </c>
      <c r="C1249" s="12" t="s">
        <v>3908</v>
      </c>
      <c r="D1249" s="16" t="n">
        <v>0.00295185185185185</v>
      </c>
      <c r="E1249" s="15" t="n">
        <f aca="false">ROUND((D1249-$D$5)*86400,2)</f>
        <v>30.01</v>
      </c>
      <c r="F1249" s="17" t="n">
        <v>2548</v>
      </c>
      <c r="G1249" s="16" t="str">
        <f aca="false">IF(INDEX(選手一覧!$D$7:$D$2738,$F1249)="","",INDEX(選手一覧!$D$7:$D$2738,$F1249))</f>
        <v/>
      </c>
      <c r="H1249" s="17" t="str">
        <f aca="false">IF(INDEX(選手一覧!$E$7:$E$2738,$F1249)="","",INDEX(選手一覧!$E$7:$E$2738,$F1249))</f>
        <v/>
      </c>
      <c r="I1249" s="16" t="str">
        <f aca="false">IF(INDEX(選手一覧!$H$7:$H$2738,$F1249)="","",INDEX(選手一覧!$H$7:$H$2738,$F1249))</f>
        <v/>
      </c>
      <c r="J1249" s="17" t="str">
        <f aca="false">IF(INDEX(選手一覧!$I$7:$I$2738,$F1249)="","",INDEX(選手一覧!$I$7:$I$2738,$F1249))</f>
        <v/>
      </c>
    </row>
    <row r="1250" customFormat="false" ht="15" hidden="false" customHeight="false" outlineLevel="0" collapsed="false">
      <c r="A1250" s="17" t="n">
        <v>1246</v>
      </c>
      <c r="B1250" s="12" t="s">
        <v>3910</v>
      </c>
      <c r="C1250" s="12" t="s">
        <v>219</v>
      </c>
      <c r="D1250" s="16" t="n">
        <v>0.00295208333333333</v>
      </c>
      <c r="E1250" s="15" t="n">
        <f aca="false">ROUND((D1250-$D$5)*86400,2)</f>
        <v>30.03</v>
      </c>
      <c r="F1250" s="17" t="n">
        <v>2550</v>
      </c>
      <c r="G1250" s="16" t="str">
        <f aca="false">IF(INDEX(選手一覧!$D$7:$D$2738,$F1250)="","",INDEX(選手一覧!$D$7:$D$2738,$F1250))</f>
        <v/>
      </c>
      <c r="H1250" s="17" t="str">
        <f aca="false">IF(INDEX(選手一覧!$E$7:$E$2738,$F1250)="","",INDEX(選手一覧!$E$7:$E$2738,$F1250))</f>
        <v/>
      </c>
      <c r="I1250" s="16" t="str">
        <f aca="false">IF(INDEX(選手一覧!$H$7:$H$2738,$F1250)="","",INDEX(選手一覧!$H$7:$H$2738,$F1250))</f>
        <v/>
      </c>
      <c r="J1250" s="17" t="str">
        <f aca="false">IF(INDEX(選手一覧!$I$7:$I$2738,$F1250)="","",INDEX(選手一覧!$I$7:$I$2738,$F1250))</f>
        <v/>
      </c>
    </row>
    <row r="1251" customFormat="false" ht="15" hidden="false" customHeight="false" outlineLevel="0" collapsed="false">
      <c r="A1251" s="17" t="n">
        <v>1247</v>
      </c>
      <c r="B1251" s="12" t="s">
        <v>3913</v>
      </c>
      <c r="C1251" s="12" t="s">
        <v>143</v>
      </c>
      <c r="D1251" s="16" t="n">
        <v>0.00295231481481482</v>
      </c>
      <c r="E1251" s="15" t="n">
        <f aca="false">ROUND((D1251-$D$5)*86400,2)</f>
        <v>30.05</v>
      </c>
      <c r="F1251" s="17" t="n">
        <v>2552</v>
      </c>
      <c r="G1251" s="16" t="str">
        <f aca="false">IF(INDEX(選手一覧!$D$7:$D$2738,$F1251)="","",INDEX(選手一覧!$D$7:$D$2738,$F1251))</f>
        <v/>
      </c>
      <c r="H1251" s="17" t="str">
        <f aca="false">IF(INDEX(選手一覧!$E$7:$E$2738,$F1251)="","",INDEX(選手一覧!$E$7:$E$2738,$F1251))</f>
        <v/>
      </c>
      <c r="I1251" s="16" t="str">
        <f aca="false">IF(INDEX(選手一覧!$H$7:$H$2738,$F1251)="","",INDEX(選手一覧!$H$7:$H$2738,$F1251))</f>
        <v/>
      </c>
      <c r="J1251" s="17" t="str">
        <f aca="false">IF(INDEX(選手一覧!$I$7:$I$2738,$F1251)="","",INDEX(選手一覧!$I$7:$I$2738,$F1251))</f>
        <v/>
      </c>
    </row>
    <row r="1252" customFormat="false" ht="15" hidden="false" customHeight="false" outlineLevel="0" collapsed="false">
      <c r="A1252" s="17" t="n">
        <v>1248</v>
      </c>
      <c r="B1252" s="12" t="s">
        <v>2142</v>
      </c>
      <c r="C1252" s="12" t="s">
        <v>1458</v>
      </c>
      <c r="D1252" s="16" t="n">
        <v>0.00295289351851852</v>
      </c>
      <c r="E1252" s="15" t="n">
        <f aca="false">ROUND((D1252-$D$5)*86400,2)</f>
        <v>30.1</v>
      </c>
      <c r="F1252" s="17" t="n">
        <v>1359</v>
      </c>
      <c r="G1252" s="16" t="str">
        <f aca="false">IF(INDEX(選手一覧!$D$7:$D$2738,$F1252)="","",INDEX(選手一覧!$D$7:$D$2738,$F1252))</f>
        <v/>
      </c>
      <c r="H1252" s="17" t="str">
        <f aca="false">IF(INDEX(選手一覧!$E$7:$E$2738,$F1252)="","",INDEX(選手一覧!$E$7:$E$2738,$F1252))</f>
        <v/>
      </c>
      <c r="I1252" s="16" t="n">
        <f aca="false">IF(INDEX(選手一覧!$H$7:$H$2738,$F1252)="","",INDEX(選手一覧!$H$7:$H$2738,$F1252))</f>
        <v>0.00688032407407407</v>
      </c>
      <c r="J1252" s="17" t="n">
        <f aca="false">IF(INDEX(選手一覧!$I$7:$I$2738,$F1252)="","",INDEX(選手一覧!$I$7:$I$2738,$F1252))</f>
        <v>223</v>
      </c>
    </row>
    <row r="1253" customFormat="false" ht="15" hidden="false" customHeight="false" outlineLevel="0" collapsed="false">
      <c r="A1253" s="17" t="n">
        <v>1249</v>
      </c>
      <c r="B1253" s="12" t="s">
        <v>3916</v>
      </c>
      <c r="C1253" s="12" t="s">
        <v>301</v>
      </c>
      <c r="D1253" s="16" t="n">
        <v>0.00295347222222222</v>
      </c>
      <c r="E1253" s="15" t="n">
        <f aca="false">ROUND((D1253-$D$5)*86400,2)</f>
        <v>30.15</v>
      </c>
      <c r="F1253" s="17" t="n">
        <v>2555</v>
      </c>
      <c r="G1253" s="16" t="str">
        <f aca="false">IF(INDEX(選手一覧!$D$7:$D$2738,$F1253)="","",INDEX(選手一覧!$D$7:$D$2738,$F1253))</f>
        <v/>
      </c>
      <c r="H1253" s="17" t="str">
        <f aca="false">IF(INDEX(選手一覧!$E$7:$E$2738,$F1253)="","",INDEX(選手一覧!$E$7:$E$2738,$F1253))</f>
        <v/>
      </c>
      <c r="I1253" s="16" t="str">
        <f aca="false">IF(INDEX(選手一覧!$H$7:$H$2738,$F1253)="","",INDEX(選手一覧!$H$7:$H$2738,$F1253))</f>
        <v/>
      </c>
      <c r="J1253" s="17" t="str">
        <f aca="false">IF(INDEX(選手一覧!$I$7:$I$2738,$F1253)="","",INDEX(選手一覧!$I$7:$I$2738,$F1253))</f>
        <v/>
      </c>
    </row>
    <row r="1254" customFormat="false" ht="15" hidden="false" customHeight="false" outlineLevel="0" collapsed="false">
      <c r="A1254" s="17" t="n">
        <v>1250</v>
      </c>
      <c r="B1254" s="12" t="s">
        <v>3919</v>
      </c>
      <c r="C1254" s="12" t="s">
        <v>1705</v>
      </c>
      <c r="D1254" s="16" t="n">
        <v>0.0029537037037037</v>
      </c>
      <c r="E1254" s="15" t="n">
        <f aca="false">ROUND((D1254-$D$5)*86400,2)</f>
        <v>30.17</v>
      </c>
      <c r="F1254" s="17" t="n">
        <v>2557</v>
      </c>
      <c r="G1254" s="16" t="str">
        <f aca="false">IF(INDEX(選手一覧!$D$7:$D$2738,$F1254)="","",INDEX(選手一覧!$D$7:$D$2738,$F1254))</f>
        <v/>
      </c>
      <c r="H1254" s="17" t="str">
        <f aca="false">IF(INDEX(選手一覧!$E$7:$E$2738,$F1254)="","",INDEX(選手一覧!$E$7:$E$2738,$F1254))</f>
        <v/>
      </c>
      <c r="I1254" s="16" t="str">
        <f aca="false">IF(INDEX(選手一覧!$H$7:$H$2738,$F1254)="","",INDEX(選手一覧!$H$7:$H$2738,$F1254))</f>
        <v/>
      </c>
      <c r="J1254" s="17" t="str">
        <f aca="false">IF(INDEX(選手一覧!$I$7:$I$2738,$F1254)="","",INDEX(選手一覧!$I$7:$I$2738,$F1254))</f>
        <v/>
      </c>
    </row>
    <row r="1255" customFormat="false" ht="15" hidden="false" customHeight="false" outlineLevel="0" collapsed="false">
      <c r="A1255" s="17" t="n">
        <v>1251</v>
      </c>
      <c r="B1255" s="12" t="s">
        <v>2070</v>
      </c>
      <c r="C1255" s="12" t="s">
        <v>1344</v>
      </c>
      <c r="D1255" s="16" t="n">
        <v>0.00295428240740741</v>
      </c>
      <c r="E1255" s="15" t="n">
        <f aca="false">ROUND((D1255-$D$5)*86400,2)</f>
        <v>30.22</v>
      </c>
      <c r="F1255" s="17" t="n">
        <v>1312</v>
      </c>
      <c r="G1255" s="16" t="str">
        <f aca="false">IF(INDEX(選手一覧!$D$7:$D$2738,$F1255)="","",INDEX(選手一覧!$D$7:$D$2738,$F1255))</f>
        <v/>
      </c>
      <c r="H1255" s="17" t="str">
        <f aca="false">IF(INDEX(選手一覧!$E$7:$E$2738,$F1255)="","",INDEX(選手一覧!$E$7:$E$2738,$F1255))</f>
        <v/>
      </c>
      <c r="I1255" s="16" t="n">
        <f aca="false">IF(INDEX(選手一覧!$H$7:$H$2738,$F1255)="","",INDEX(選手一覧!$H$7:$H$2738,$F1255))</f>
        <v>0.00674641203703704</v>
      </c>
      <c r="J1255" s="17" t="n">
        <f aca="false">IF(INDEX(選手一覧!$I$7:$I$2738,$F1255)="","",INDEX(選手一覧!$I$7:$I$2738,$F1255))</f>
        <v>125</v>
      </c>
    </row>
    <row r="1256" customFormat="false" ht="15" hidden="false" customHeight="false" outlineLevel="0" collapsed="false">
      <c r="A1256" s="17" t="n">
        <v>1252</v>
      </c>
      <c r="B1256" s="12" t="s">
        <v>104</v>
      </c>
      <c r="C1256" s="12" t="s">
        <v>25</v>
      </c>
      <c r="D1256" s="16" t="n">
        <v>0.00295462962962963</v>
      </c>
      <c r="E1256" s="15" t="n">
        <f aca="false">ROUND((D1256-$D$5)*86400,2)</f>
        <v>30.25</v>
      </c>
      <c r="F1256" s="17" t="n">
        <v>38</v>
      </c>
      <c r="G1256" s="16" t="n">
        <f aca="false">IF(INDEX(選手一覧!$D$7:$D$2738,$F1256)="","",INDEX(選手一覧!$D$7:$D$2738,$F1256))</f>
        <v>0.010055787037037</v>
      </c>
      <c r="H1256" s="17" t="n">
        <f aca="false">IF(INDEX(選手一覧!$E$7:$E$2738,$F1256)="","",INDEX(選手一覧!$E$7:$E$2738,$F1256))</f>
        <v>39</v>
      </c>
      <c r="I1256" s="16" t="str">
        <f aca="false">IF(INDEX(選手一覧!$H$7:$H$2738,$F1256)="","",INDEX(選手一覧!$H$7:$H$2738,$F1256))</f>
        <v/>
      </c>
      <c r="J1256" s="17" t="str">
        <f aca="false">IF(INDEX(選手一覧!$I$7:$I$2738,$F1256)="","",INDEX(選手一覧!$I$7:$I$2738,$F1256))</f>
        <v/>
      </c>
    </row>
    <row r="1257" customFormat="false" ht="15" hidden="false" customHeight="false" outlineLevel="0" collapsed="false">
      <c r="A1257" s="17" t="n">
        <v>1253</v>
      </c>
      <c r="B1257" s="12" t="s">
        <v>3925</v>
      </c>
      <c r="C1257" s="12" t="s">
        <v>3926</v>
      </c>
      <c r="D1257" s="16" t="n">
        <v>0.00295532407407407</v>
      </c>
      <c r="E1257" s="15" t="n">
        <f aca="false">ROUND((D1257-$D$5)*86400,2)</f>
        <v>30.31</v>
      </c>
      <c r="F1257" s="17" t="n">
        <v>2561</v>
      </c>
      <c r="G1257" s="16" t="str">
        <f aca="false">IF(INDEX(選手一覧!$D$7:$D$2738,$F1257)="","",INDEX(選手一覧!$D$7:$D$2738,$F1257))</f>
        <v/>
      </c>
      <c r="H1257" s="17" t="str">
        <f aca="false">IF(INDEX(選手一覧!$E$7:$E$2738,$F1257)="","",INDEX(選手一覧!$E$7:$E$2738,$F1257))</f>
        <v/>
      </c>
      <c r="I1257" s="16" t="str">
        <f aca="false">IF(INDEX(選手一覧!$H$7:$H$2738,$F1257)="","",INDEX(選手一覧!$H$7:$H$2738,$F1257))</f>
        <v/>
      </c>
      <c r="J1257" s="17" t="str">
        <f aca="false">IF(INDEX(選手一覧!$I$7:$I$2738,$F1257)="","",INDEX(選手一覧!$I$7:$I$2738,$F1257))</f>
        <v/>
      </c>
    </row>
    <row r="1258" customFormat="false" ht="15" hidden="false" customHeight="false" outlineLevel="0" collapsed="false">
      <c r="A1258" s="17" t="n">
        <v>1254</v>
      </c>
      <c r="B1258" s="12" t="s">
        <v>2143</v>
      </c>
      <c r="C1258" s="12" t="s">
        <v>2144</v>
      </c>
      <c r="D1258" s="16" t="n">
        <v>0.00295532407407407</v>
      </c>
      <c r="E1258" s="15" t="n">
        <f aca="false">ROUND((D1258-$D$5)*86400,2)</f>
        <v>30.31</v>
      </c>
      <c r="F1258" s="17" t="n">
        <v>1360</v>
      </c>
      <c r="G1258" s="16" t="str">
        <f aca="false">IF(INDEX(選手一覧!$D$7:$D$2738,$F1258)="","",INDEX(選手一覧!$D$7:$D$2738,$F1258))</f>
        <v/>
      </c>
      <c r="H1258" s="17" t="str">
        <f aca="false">IF(INDEX(選手一覧!$E$7:$E$2738,$F1258)="","",INDEX(選手一覧!$E$7:$E$2738,$F1258))</f>
        <v/>
      </c>
      <c r="I1258" s="16" t="n">
        <f aca="false">IF(INDEX(選手一覧!$H$7:$H$2738,$F1258)="","",INDEX(選手一覧!$H$7:$H$2738,$F1258))</f>
        <v>0.00688159722222222</v>
      </c>
      <c r="J1258" s="17" t="n">
        <f aca="false">IF(INDEX(選手一覧!$I$7:$I$2738,$F1258)="","",INDEX(選手一覧!$I$7:$I$2738,$F1258))</f>
        <v>224</v>
      </c>
    </row>
    <row r="1259" customFormat="false" ht="15" hidden="false" customHeight="false" outlineLevel="0" collapsed="false">
      <c r="A1259" s="17" t="n">
        <v>1255</v>
      </c>
      <c r="B1259" s="12" t="s">
        <v>3930</v>
      </c>
      <c r="C1259" s="12" t="s">
        <v>824</v>
      </c>
      <c r="D1259" s="16" t="n">
        <v>0.00295555555555556</v>
      </c>
      <c r="E1259" s="15" t="n">
        <f aca="false">ROUND((D1259-$D$5)*86400,2)</f>
        <v>30.33</v>
      </c>
      <c r="F1259" s="17" t="n">
        <v>2564</v>
      </c>
      <c r="G1259" s="16" t="str">
        <f aca="false">IF(INDEX(選手一覧!$D$7:$D$2738,$F1259)="","",INDEX(選手一覧!$D$7:$D$2738,$F1259))</f>
        <v/>
      </c>
      <c r="H1259" s="17" t="str">
        <f aca="false">IF(INDEX(選手一覧!$E$7:$E$2738,$F1259)="","",INDEX(選手一覧!$E$7:$E$2738,$F1259))</f>
        <v/>
      </c>
      <c r="I1259" s="16" t="str">
        <f aca="false">IF(INDEX(選手一覧!$H$7:$H$2738,$F1259)="","",INDEX(選手一覧!$H$7:$H$2738,$F1259))</f>
        <v/>
      </c>
      <c r="J1259" s="17" t="str">
        <f aca="false">IF(INDEX(選手一覧!$I$7:$I$2738,$F1259)="","",INDEX(選手一覧!$I$7:$I$2738,$F1259))</f>
        <v/>
      </c>
    </row>
    <row r="1260" customFormat="false" ht="15" hidden="false" customHeight="false" outlineLevel="0" collapsed="false">
      <c r="A1260" s="17" t="n">
        <v>1256</v>
      </c>
      <c r="B1260" s="12" t="s">
        <v>3932</v>
      </c>
      <c r="C1260" s="12" t="s">
        <v>2787</v>
      </c>
      <c r="D1260" s="16" t="n">
        <v>0.0029556712962963</v>
      </c>
      <c r="E1260" s="15" t="n">
        <f aca="false">ROUND((D1260-$D$5)*86400,2)</f>
        <v>30.34</v>
      </c>
      <c r="F1260" s="17" t="n">
        <v>2566</v>
      </c>
      <c r="G1260" s="16" t="str">
        <f aca="false">IF(INDEX(選手一覧!$D$7:$D$2738,$F1260)="","",INDEX(選手一覧!$D$7:$D$2738,$F1260))</f>
        <v/>
      </c>
      <c r="H1260" s="17" t="str">
        <f aca="false">IF(INDEX(選手一覧!$E$7:$E$2738,$F1260)="","",INDEX(選手一覧!$E$7:$E$2738,$F1260))</f>
        <v/>
      </c>
      <c r="I1260" s="16" t="str">
        <f aca="false">IF(INDEX(選手一覧!$H$7:$H$2738,$F1260)="","",INDEX(選手一覧!$H$7:$H$2738,$F1260))</f>
        <v/>
      </c>
      <c r="J1260" s="17" t="str">
        <f aca="false">IF(INDEX(選手一覧!$I$7:$I$2738,$F1260)="","",INDEX(選手一覧!$I$7:$I$2738,$F1260))</f>
        <v/>
      </c>
    </row>
    <row r="1261" customFormat="false" ht="15" hidden="false" customHeight="false" outlineLevel="0" collapsed="false">
      <c r="A1261" s="17" t="n">
        <v>1257</v>
      </c>
      <c r="B1261" s="12" t="s">
        <v>3289</v>
      </c>
      <c r="C1261" s="12" t="s">
        <v>3290</v>
      </c>
      <c r="D1261" s="16" t="n">
        <v>0.00295590277777778</v>
      </c>
      <c r="E1261" s="15" t="n">
        <f aca="false">ROUND((D1261-$D$5)*86400,2)</f>
        <v>30.36</v>
      </c>
      <c r="F1261" s="17" t="n">
        <v>2121</v>
      </c>
      <c r="G1261" s="16" t="str">
        <f aca="false">IF(INDEX(選手一覧!$D$7:$D$2738,$F1261)="","",INDEX(選手一覧!$D$7:$D$2738,$F1261))</f>
        <v/>
      </c>
      <c r="H1261" s="17" t="str">
        <f aca="false">IF(INDEX(選手一覧!$E$7:$E$2738,$F1261)="","",INDEX(選手一覧!$E$7:$E$2738,$F1261))</f>
        <v/>
      </c>
      <c r="I1261" s="16" t="n">
        <f aca="false">IF(INDEX(選手一覧!$H$7:$H$2738,$F1261)="","",INDEX(選手一覧!$H$7:$H$2738,$F1261))</f>
        <v>0.00753773148148148</v>
      </c>
      <c r="J1261" s="17" t="n">
        <f aca="false">IF(INDEX(選手一覧!$I$7:$I$2738,$F1261)="","",INDEX(選手一覧!$I$7:$I$2738,$F1261))</f>
        <v>942</v>
      </c>
    </row>
    <row r="1262" customFormat="false" ht="15" hidden="false" customHeight="false" outlineLevel="0" collapsed="false">
      <c r="A1262" s="17" t="n">
        <v>1258</v>
      </c>
      <c r="B1262" s="12" t="s">
        <v>1609</v>
      </c>
      <c r="C1262" s="12" t="s">
        <v>728</v>
      </c>
      <c r="D1262" s="16" t="n">
        <v>0.00295613425925926</v>
      </c>
      <c r="E1262" s="15" t="n">
        <f aca="false">ROUND((D1262-$D$5)*86400,2)</f>
        <v>30.38</v>
      </c>
      <c r="F1262" s="17" t="n">
        <v>986</v>
      </c>
      <c r="G1262" s="16" t="n">
        <f aca="false">IF(INDEX(選手一覧!$D$7:$D$2738,$F1262)="","",INDEX(選手一覧!$D$7:$D$2738,$F1262))</f>
        <v>0.0109427083333333</v>
      </c>
      <c r="H1262" s="17" t="n">
        <f aca="false">IF(INDEX(選手一覧!$E$7:$E$2738,$F1262)="","",INDEX(選手一覧!$E$7:$E$2738,$F1262))</f>
        <v>987</v>
      </c>
      <c r="I1262" s="16" t="str">
        <f aca="false">IF(INDEX(選手一覧!$H$7:$H$2738,$F1262)="","",INDEX(選手一覧!$H$7:$H$2738,$F1262))</f>
        <v/>
      </c>
      <c r="J1262" s="17" t="str">
        <f aca="false">IF(INDEX(選手一覧!$I$7:$I$2738,$F1262)="","",INDEX(選手一覧!$I$7:$I$2738,$F1262))</f>
        <v/>
      </c>
    </row>
    <row r="1263" customFormat="false" ht="15" hidden="false" customHeight="false" outlineLevel="0" collapsed="false">
      <c r="A1263" s="17" t="n">
        <v>1259</v>
      </c>
      <c r="B1263" s="12" t="s">
        <v>2420</v>
      </c>
      <c r="C1263" s="12" t="s">
        <v>2119</v>
      </c>
      <c r="D1263" s="16" t="n">
        <v>0.00295694444444444</v>
      </c>
      <c r="E1263" s="15" t="n">
        <f aca="false">ROUND((D1263-$D$5)*86400,2)</f>
        <v>30.45</v>
      </c>
      <c r="F1263" s="17" t="n">
        <v>1545</v>
      </c>
      <c r="G1263" s="16" t="str">
        <f aca="false">IF(INDEX(選手一覧!$D$7:$D$2738,$F1263)="","",INDEX(選手一覧!$D$7:$D$2738,$F1263))</f>
        <v/>
      </c>
      <c r="H1263" s="17" t="str">
        <f aca="false">IF(INDEX(選手一覧!$E$7:$E$2738,$F1263)="","",INDEX(選手一覧!$E$7:$E$2738,$F1263))</f>
        <v/>
      </c>
      <c r="I1263" s="16" t="n">
        <f aca="false">IF(INDEX(選手一覧!$H$7:$H$2738,$F1263)="","",INDEX(選手一覧!$H$7:$H$2738,$F1263))</f>
        <v>0.00709849537037037</v>
      </c>
      <c r="J1263" s="17" t="n">
        <f aca="false">IF(INDEX(選手一覧!$I$7:$I$2738,$F1263)="","",INDEX(選手一覧!$I$7:$I$2738,$F1263))</f>
        <v>449</v>
      </c>
    </row>
    <row r="1264" customFormat="false" ht="15" hidden="false" customHeight="false" outlineLevel="0" collapsed="false">
      <c r="A1264" s="17" t="n">
        <v>1260</v>
      </c>
      <c r="B1264" s="12" t="s">
        <v>3938</v>
      </c>
      <c r="C1264" s="12" t="s">
        <v>1420</v>
      </c>
      <c r="D1264" s="16" t="n">
        <v>0.00295706018518519</v>
      </c>
      <c r="E1264" s="15" t="n">
        <f aca="false">ROUND((D1264-$D$5)*86400,2)</f>
        <v>30.46</v>
      </c>
      <c r="F1264" s="17" t="n">
        <v>2571</v>
      </c>
      <c r="G1264" s="16" t="str">
        <f aca="false">IF(INDEX(選手一覧!$D$7:$D$2738,$F1264)="","",INDEX(選手一覧!$D$7:$D$2738,$F1264))</f>
        <v/>
      </c>
      <c r="H1264" s="17" t="str">
        <f aca="false">IF(INDEX(選手一覧!$E$7:$E$2738,$F1264)="","",INDEX(選手一覧!$E$7:$E$2738,$F1264))</f>
        <v/>
      </c>
      <c r="I1264" s="16" t="str">
        <f aca="false">IF(INDEX(選手一覧!$H$7:$H$2738,$F1264)="","",INDEX(選手一覧!$H$7:$H$2738,$F1264))</f>
        <v/>
      </c>
      <c r="J1264" s="17" t="str">
        <f aca="false">IF(INDEX(選手一覧!$I$7:$I$2738,$F1264)="","",INDEX(選手一覧!$I$7:$I$2738,$F1264))</f>
        <v/>
      </c>
    </row>
    <row r="1265" customFormat="false" ht="15" hidden="false" customHeight="false" outlineLevel="0" collapsed="false">
      <c r="A1265" s="17" t="n">
        <v>1261</v>
      </c>
      <c r="B1265" s="12" t="s">
        <v>3940</v>
      </c>
      <c r="C1265" s="12" t="s">
        <v>537</v>
      </c>
      <c r="D1265" s="16" t="n">
        <v>0.00295787037037037</v>
      </c>
      <c r="E1265" s="15" t="n">
        <f aca="false">ROUND((D1265-$D$5)*86400,2)</f>
        <v>30.53</v>
      </c>
      <c r="F1265" s="17" t="n">
        <v>2573</v>
      </c>
      <c r="G1265" s="16" t="str">
        <f aca="false">IF(INDEX(選手一覧!$D$7:$D$2738,$F1265)="","",INDEX(選手一覧!$D$7:$D$2738,$F1265))</f>
        <v/>
      </c>
      <c r="H1265" s="17" t="str">
        <f aca="false">IF(INDEX(選手一覧!$E$7:$E$2738,$F1265)="","",INDEX(選手一覧!$E$7:$E$2738,$F1265))</f>
        <v/>
      </c>
      <c r="I1265" s="16" t="str">
        <f aca="false">IF(INDEX(選手一覧!$H$7:$H$2738,$F1265)="","",INDEX(選手一覧!$H$7:$H$2738,$F1265))</f>
        <v/>
      </c>
      <c r="J1265" s="17" t="str">
        <f aca="false">IF(INDEX(選手一覧!$I$7:$I$2738,$F1265)="","",INDEX(選手一覧!$I$7:$I$2738,$F1265))</f>
        <v/>
      </c>
    </row>
    <row r="1266" customFormat="false" ht="15" hidden="false" customHeight="false" outlineLevel="0" collapsed="false">
      <c r="A1266" s="17" t="n">
        <v>1262</v>
      </c>
      <c r="B1266" s="12" t="s">
        <v>371</v>
      </c>
      <c r="C1266" s="12" t="s">
        <v>143</v>
      </c>
      <c r="D1266" s="16" t="n">
        <v>0.00295821759259259</v>
      </c>
      <c r="E1266" s="15" t="n">
        <f aca="false">ROUND((D1266-$D$5)*86400,2)</f>
        <v>30.56</v>
      </c>
      <c r="F1266" s="17" t="n">
        <v>182</v>
      </c>
      <c r="G1266" s="16" t="n">
        <f aca="false">IF(INDEX(選手一覧!$D$7:$D$2738,$F1266)="","",INDEX(選手一覧!$D$7:$D$2738,$F1266))</f>
        <v>0.0103304398148148</v>
      </c>
      <c r="H1266" s="17" t="n">
        <f aca="false">IF(INDEX(選手一覧!$E$7:$E$2738,$F1266)="","",INDEX(選手一覧!$E$7:$E$2738,$F1266))</f>
        <v>183</v>
      </c>
      <c r="I1266" s="16" t="str">
        <f aca="false">IF(INDEX(選手一覧!$H$7:$H$2738,$F1266)="","",INDEX(選手一覧!$H$7:$H$2738,$F1266))</f>
        <v/>
      </c>
      <c r="J1266" s="17" t="str">
        <f aca="false">IF(INDEX(選手一覧!$I$7:$I$2738,$F1266)="","",INDEX(選手一覧!$I$7:$I$2738,$F1266))</f>
        <v/>
      </c>
    </row>
    <row r="1267" customFormat="false" ht="15" hidden="false" customHeight="false" outlineLevel="0" collapsed="false">
      <c r="A1267" s="17" t="n">
        <v>1263</v>
      </c>
      <c r="B1267" s="12" t="s">
        <v>1922</v>
      </c>
      <c r="C1267" s="12" t="s">
        <v>1892</v>
      </c>
      <c r="D1267" s="16" t="n">
        <v>0.00295844907407407</v>
      </c>
      <c r="E1267" s="15" t="n">
        <f aca="false">ROUND((D1267-$D$5)*86400,2)</f>
        <v>30.58</v>
      </c>
      <c r="F1267" s="17" t="n">
        <v>1200</v>
      </c>
      <c r="G1267" s="16" t="n">
        <f aca="false">IF(INDEX(選手一覧!$D$7:$D$2738,$F1267)="","",INDEX(選手一覧!$D$7:$D$2738,$F1267))</f>
        <v>0.0110520833333333</v>
      </c>
      <c r="H1267" s="17" t="n">
        <f aca="false">IF(INDEX(選手一覧!$E$7:$E$2738,$F1267)="","",INDEX(選手一覧!$E$7:$E$2738,$F1267))</f>
        <v>1201</v>
      </c>
      <c r="I1267" s="16" t="str">
        <f aca="false">IF(INDEX(選手一覧!$H$7:$H$2738,$F1267)="","",INDEX(選手一覧!$H$7:$H$2738,$F1267))</f>
        <v/>
      </c>
      <c r="J1267" s="17" t="str">
        <f aca="false">IF(INDEX(選手一覧!$I$7:$I$2738,$F1267)="","",INDEX(選手一覧!$I$7:$I$2738,$F1267))</f>
        <v/>
      </c>
    </row>
    <row r="1268" customFormat="false" ht="15" hidden="false" customHeight="false" outlineLevel="0" collapsed="false">
      <c r="A1268" s="17" t="n">
        <v>1264</v>
      </c>
      <c r="B1268" s="12" t="s">
        <v>3363</v>
      </c>
      <c r="C1268" s="12" t="s">
        <v>1049</v>
      </c>
      <c r="D1268" s="16" t="n">
        <v>0.00295902777777778</v>
      </c>
      <c r="E1268" s="15" t="n">
        <f aca="false">ROUND((D1268-$D$5)*86400,2)</f>
        <v>30.63</v>
      </c>
      <c r="F1268" s="17" t="n">
        <v>2171</v>
      </c>
      <c r="G1268" s="16" t="str">
        <f aca="false">IF(INDEX(選手一覧!$D$7:$D$2738,$F1268)="","",INDEX(選手一覧!$D$7:$D$2738,$F1268))</f>
        <v/>
      </c>
      <c r="H1268" s="17" t="str">
        <f aca="false">IF(INDEX(選手一覧!$E$7:$E$2738,$F1268)="","",INDEX(選手一覧!$E$7:$E$2738,$F1268))</f>
        <v/>
      </c>
      <c r="I1268" s="16" t="n">
        <f aca="false">IF(INDEX(選手一覧!$H$7:$H$2738,$F1268)="","",INDEX(選手一覧!$H$7:$H$2738,$F1268))</f>
        <v>0.00757627314814815</v>
      </c>
      <c r="J1268" s="17" t="n">
        <f aca="false">IF(INDEX(選手一覧!$I$7:$I$2738,$F1268)="","",INDEX(選手一覧!$I$7:$I$2738,$F1268))</f>
        <v>978</v>
      </c>
    </row>
    <row r="1269" customFormat="false" ht="15" hidden="false" customHeight="false" outlineLevel="0" collapsed="false">
      <c r="A1269" s="17" t="n">
        <v>1265</v>
      </c>
      <c r="B1269" s="12" t="s">
        <v>3947</v>
      </c>
      <c r="C1269" s="12" t="s">
        <v>83</v>
      </c>
      <c r="D1269" s="16" t="n">
        <v>0.00295914351851852</v>
      </c>
      <c r="E1269" s="15" t="n">
        <f aca="false">ROUND((D1269-$D$5)*86400,2)</f>
        <v>30.64</v>
      </c>
      <c r="F1269" s="17" t="n">
        <v>2578</v>
      </c>
      <c r="G1269" s="16" t="str">
        <f aca="false">IF(INDEX(選手一覧!$D$7:$D$2738,$F1269)="","",INDEX(選手一覧!$D$7:$D$2738,$F1269))</f>
        <v/>
      </c>
      <c r="H1269" s="17" t="str">
        <f aca="false">IF(INDEX(選手一覧!$E$7:$E$2738,$F1269)="","",INDEX(選手一覧!$E$7:$E$2738,$F1269))</f>
        <v/>
      </c>
      <c r="I1269" s="16" t="str">
        <f aca="false">IF(INDEX(選手一覧!$H$7:$H$2738,$F1269)="","",INDEX(選手一覧!$H$7:$H$2738,$F1269))</f>
        <v/>
      </c>
      <c r="J1269" s="17" t="str">
        <f aca="false">IF(INDEX(選手一覧!$I$7:$I$2738,$F1269)="","",INDEX(選手一覧!$I$7:$I$2738,$F1269))</f>
        <v/>
      </c>
    </row>
    <row r="1270" customFormat="false" ht="15" hidden="false" customHeight="false" outlineLevel="0" collapsed="false">
      <c r="A1270" s="17" t="n">
        <v>1266</v>
      </c>
      <c r="B1270" s="12" t="s">
        <v>2348</v>
      </c>
      <c r="C1270" s="12" t="s">
        <v>2349</v>
      </c>
      <c r="D1270" s="16" t="n">
        <v>0.00295925925925926</v>
      </c>
      <c r="E1270" s="15" t="n">
        <f aca="false">ROUND((D1270-$D$5)*86400,2)</f>
        <v>30.65</v>
      </c>
      <c r="F1270" s="17" t="n">
        <v>1494</v>
      </c>
      <c r="G1270" s="16" t="str">
        <f aca="false">IF(INDEX(選手一覧!$D$7:$D$2738,$F1270)="","",INDEX(選手一覧!$D$7:$D$2738,$F1270))</f>
        <v/>
      </c>
      <c r="H1270" s="17" t="str">
        <f aca="false">IF(INDEX(選手一覧!$E$7:$E$2738,$F1270)="","",INDEX(選手一覧!$E$7:$E$2738,$F1270))</f>
        <v/>
      </c>
      <c r="I1270" s="16" t="n">
        <f aca="false">IF(INDEX(選手一覧!$H$7:$H$2738,$F1270)="","",INDEX(選手一覧!$H$7:$H$2738,$F1270))</f>
        <v>0.00705416666666667</v>
      </c>
      <c r="J1270" s="17" t="n">
        <f aca="false">IF(INDEX(選手一覧!$I$7:$I$2738,$F1270)="","",INDEX(選手一覧!$I$7:$I$2738,$F1270))</f>
        <v>393</v>
      </c>
    </row>
    <row r="1271" customFormat="false" ht="15" hidden="false" customHeight="false" outlineLevel="0" collapsed="false">
      <c r="A1271" s="17" t="n">
        <v>1267</v>
      </c>
      <c r="B1271" s="12" t="s">
        <v>3952</v>
      </c>
      <c r="C1271" s="12" t="s">
        <v>2631</v>
      </c>
      <c r="D1271" s="16" t="n">
        <v>0.002959375</v>
      </c>
      <c r="E1271" s="15" t="n">
        <f aca="false">ROUND((D1271-$D$5)*86400,2)</f>
        <v>30.66</v>
      </c>
      <c r="F1271" s="17" t="n">
        <v>2581</v>
      </c>
      <c r="G1271" s="16" t="str">
        <f aca="false">IF(INDEX(選手一覧!$D$7:$D$2738,$F1271)="","",INDEX(選手一覧!$D$7:$D$2738,$F1271))</f>
        <v/>
      </c>
      <c r="H1271" s="17" t="str">
        <f aca="false">IF(INDEX(選手一覧!$E$7:$E$2738,$F1271)="","",INDEX(選手一覧!$E$7:$E$2738,$F1271))</f>
        <v/>
      </c>
      <c r="I1271" s="16" t="str">
        <f aca="false">IF(INDEX(選手一覧!$H$7:$H$2738,$F1271)="","",INDEX(選手一覧!$H$7:$H$2738,$F1271))</f>
        <v/>
      </c>
      <c r="J1271" s="17" t="str">
        <f aca="false">IF(INDEX(選手一覧!$I$7:$I$2738,$F1271)="","",INDEX(選手一覧!$I$7:$I$2738,$F1271))</f>
        <v/>
      </c>
    </row>
    <row r="1272" customFormat="false" ht="15" hidden="false" customHeight="false" outlineLevel="0" collapsed="false">
      <c r="A1272" s="17" t="n">
        <v>1268</v>
      </c>
      <c r="B1272" s="12" t="s">
        <v>3954</v>
      </c>
      <c r="C1272" s="12" t="s">
        <v>3955</v>
      </c>
      <c r="D1272" s="16" t="n">
        <v>0.00295949074074074</v>
      </c>
      <c r="E1272" s="15" t="n">
        <f aca="false">ROUND((D1272-$D$5)*86400,2)</f>
        <v>30.67</v>
      </c>
      <c r="F1272" s="17" t="n">
        <v>2583</v>
      </c>
      <c r="G1272" s="16" t="str">
        <f aca="false">IF(INDEX(選手一覧!$D$7:$D$2738,$F1272)="","",INDEX(選手一覧!$D$7:$D$2738,$F1272))</f>
        <v/>
      </c>
      <c r="H1272" s="17" t="str">
        <f aca="false">IF(INDEX(選手一覧!$E$7:$E$2738,$F1272)="","",INDEX(選手一覧!$E$7:$E$2738,$F1272))</f>
        <v/>
      </c>
      <c r="I1272" s="16" t="str">
        <f aca="false">IF(INDEX(選手一覧!$H$7:$H$2738,$F1272)="","",INDEX(選手一覧!$H$7:$H$2738,$F1272))</f>
        <v/>
      </c>
      <c r="J1272" s="17" t="str">
        <f aca="false">IF(INDEX(選手一覧!$I$7:$I$2738,$F1272)="","",INDEX(選手一覧!$I$7:$I$2738,$F1272))</f>
        <v/>
      </c>
    </row>
    <row r="1273" customFormat="false" ht="15" hidden="false" customHeight="false" outlineLevel="0" collapsed="false">
      <c r="A1273" s="17" t="n">
        <v>1269</v>
      </c>
      <c r="B1273" s="12" t="s">
        <v>3957</v>
      </c>
      <c r="C1273" s="12" t="s">
        <v>2826</v>
      </c>
      <c r="D1273" s="16" t="n">
        <v>0.00295972222222222</v>
      </c>
      <c r="E1273" s="15" t="n">
        <f aca="false">ROUND((D1273-$D$5)*86400,2)</f>
        <v>30.69</v>
      </c>
      <c r="F1273" s="17" t="n">
        <v>2585</v>
      </c>
      <c r="G1273" s="16" t="str">
        <f aca="false">IF(INDEX(選手一覧!$D$7:$D$2738,$F1273)="","",INDEX(選手一覧!$D$7:$D$2738,$F1273))</f>
        <v/>
      </c>
      <c r="H1273" s="17" t="str">
        <f aca="false">IF(INDEX(選手一覧!$E$7:$E$2738,$F1273)="","",INDEX(選手一覧!$E$7:$E$2738,$F1273))</f>
        <v/>
      </c>
      <c r="I1273" s="16" t="str">
        <f aca="false">IF(INDEX(選手一覧!$H$7:$H$2738,$F1273)="","",INDEX(選手一覧!$H$7:$H$2738,$F1273))</f>
        <v/>
      </c>
      <c r="J1273" s="17" t="str">
        <f aca="false">IF(INDEX(選手一覧!$I$7:$I$2738,$F1273)="","",INDEX(選手一覧!$I$7:$I$2738,$F1273))</f>
        <v/>
      </c>
    </row>
    <row r="1274" customFormat="false" ht="15" hidden="false" customHeight="false" outlineLevel="0" collapsed="false">
      <c r="A1274" s="17" t="n">
        <v>1270</v>
      </c>
      <c r="B1274" s="12" t="s">
        <v>1588</v>
      </c>
      <c r="C1274" s="12" t="s">
        <v>1265</v>
      </c>
      <c r="D1274" s="16" t="n">
        <v>0.00295972222222222</v>
      </c>
      <c r="E1274" s="15" t="n">
        <f aca="false">ROUND((D1274-$D$5)*86400,2)</f>
        <v>30.69</v>
      </c>
      <c r="F1274" s="17" t="n">
        <v>973</v>
      </c>
      <c r="G1274" s="16" t="n">
        <f aca="false">IF(INDEX(選手一覧!$D$7:$D$2738,$F1274)="","",INDEX(選手一覧!$D$7:$D$2738,$F1274))</f>
        <v>0.0109337962962963</v>
      </c>
      <c r="H1274" s="17" t="n">
        <f aca="false">IF(INDEX(選手一覧!$E$7:$E$2738,$F1274)="","",INDEX(選手一覧!$E$7:$E$2738,$F1274))</f>
        <v>974</v>
      </c>
      <c r="I1274" s="16" t="str">
        <f aca="false">IF(INDEX(選手一覧!$H$7:$H$2738,$F1274)="","",INDEX(選手一覧!$H$7:$H$2738,$F1274))</f>
        <v/>
      </c>
      <c r="J1274" s="17" t="str">
        <f aca="false">IF(INDEX(選手一覧!$I$7:$I$2738,$F1274)="","",INDEX(選手一覧!$I$7:$I$2738,$F1274))</f>
        <v/>
      </c>
    </row>
    <row r="1275" customFormat="false" ht="15" hidden="false" customHeight="false" outlineLevel="0" collapsed="false">
      <c r="A1275" s="17" t="n">
        <v>1271</v>
      </c>
      <c r="B1275" s="12" t="s">
        <v>1059</v>
      </c>
      <c r="C1275" s="12" t="s">
        <v>99</v>
      </c>
      <c r="D1275" s="16" t="n">
        <v>0.00295983796296296</v>
      </c>
      <c r="E1275" s="15" t="n">
        <f aca="false">ROUND((D1275-$D$5)*86400,2)</f>
        <v>30.7</v>
      </c>
      <c r="F1275" s="17" t="n">
        <v>619</v>
      </c>
      <c r="G1275" s="16" t="n">
        <f aca="false">IF(INDEX(選手一覧!$D$7:$D$2738,$F1275)="","",INDEX(選手一覧!$D$7:$D$2738,$F1275))</f>
        <v>0.0107236111111111</v>
      </c>
      <c r="H1275" s="17" t="n">
        <f aca="false">IF(INDEX(選手一覧!$E$7:$E$2738,$F1275)="","",INDEX(選手一覧!$E$7:$E$2738,$F1275))</f>
        <v>620</v>
      </c>
      <c r="I1275" s="16" t="n">
        <f aca="false">IF(INDEX(選手一覧!$H$7:$H$2738,$F1275)="","",INDEX(選手一覧!$H$7:$H$2738,$F1275))</f>
        <v>0.00674884259259259</v>
      </c>
      <c r="J1275" s="17" t="n">
        <f aca="false">IF(INDEX(選手一覧!$I$7:$I$2738,$F1275)="","",INDEX(選手一覧!$I$7:$I$2738,$F1275))</f>
        <v>127</v>
      </c>
    </row>
    <row r="1276" customFormat="false" ht="15" hidden="false" customHeight="false" outlineLevel="0" collapsed="false">
      <c r="A1276" s="17" t="n">
        <v>1272</v>
      </c>
      <c r="B1276" s="12" t="s">
        <v>3962</v>
      </c>
      <c r="C1276" s="12" t="s">
        <v>2741</v>
      </c>
      <c r="D1276" s="16" t="n">
        <v>0.00296006944444444</v>
      </c>
      <c r="E1276" s="15" t="n">
        <f aca="false">ROUND((D1276-$D$5)*86400,2)</f>
        <v>30.72</v>
      </c>
      <c r="F1276" s="17" t="n">
        <v>2589</v>
      </c>
      <c r="G1276" s="16" t="str">
        <f aca="false">IF(INDEX(選手一覧!$D$7:$D$2738,$F1276)="","",INDEX(選手一覧!$D$7:$D$2738,$F1276))</f>
        <v/>
      </c>
      <c r="H1276" s="17" t="str">
        <f aca="false">IF(INDEX(選手一覧!$E$7:$E$2738,$F1276)="","",INDEX(選手一覧!$E$7:$E$2738,$F1276))</f>
        <v/>
      </c>
      <c r="I1276" s="16" t="str">
        <f aca="false">IF(INDEX(選手一覧!$H$7:$H$2738,$F1276)="","",INDEX(選手一覧!$H$7:$H$2738,$F1276))</f>
        <v/>
      </c>
      <c r="J1276" s="17" t="str">
        <f aca="false">IF(INDEX(選手一覧!$I$7:$I$2738,$F1276)="","",INDEX(選手一覧!$I$7:$I$2738,$F1276))</f>
        <v/>
      </c>
    </row>
    <row r="1277" customFormat="false" ht="15" hidden="false" customHeight="false" outlineLevel="0" collapsed="false">
      <c r="A1277" s="17" t="n">
        <v>1273</v>
      </c>
      <c r="B1277" s="12" t="s">
        <v>362</v>
      </c>
      <c r="C1277" s="12" t="s">
        <v>311</v>
      </c>
      <c r="D1277" s="16" t="n">
        <v>0.00296030092592593</v>
      </c>
      <c r="E1277" s="15" t="n">
        <f aca="false">ROUND((D1277-$D$5)*86400,2)</f>
        <v>30.74</v>
      </c>
      <c r="F1277" s="17" t="n">
        <v>176</v>
      </c>
      <c r="G1277" s="16" t="n">
        <f aca="false">IF(INDEX(選手一覧!$D$7:$D$2738,$F1277)="","",INDEX(選手一覧!$D$7:$D$2738,$F1277))</f>
        <v>0.0103259259259259</v>
      </c>
      <c r="H1277" s="17" t="n">
        <f aca="false">IF(INDEX(選手一覧!$E$7:$E$2738,$F1277)="","",INDEX(選手一覧!$E$7:$E$2738,$F1277))</f>
        <v>177</v>
      </c>
      <c r="I1277" s="16" t="str">
        <f aca="false">IF(INDEX(選手一覧!$H$7:$H$2738,$F1277)="","",INDEX(選手一覧!$H$7:$H$2738,$F1277))</f>
        <v/>
      </c>
      <c r="J1277" s="17" t="str">
        <f aca="false">IF(INDEX(選手一覧!$I$7:$I$2738,$F1277)="","",INDEX(選手一覧!$I$7:$I$2738,$F1277))</f>
        <v/>
      </c>
    </row>
    <row r="1278" customFormat="false" ht="15" hidden="false" customHeight="false" outlineLevel="0" collapsed="false">
      <c r="A1278" s="17" t="n">
        <v>1274</v>
      </c>
      <c r="B1278" s="12" t="s">
        <v>1780</v>
      </c>
      <c r="C1278" s="12" t="s">
        <v>1781</v>
      </c>
      <c r="D1278" s="16" t="n">
        <v>0.00296041666666667</v>
      </c>
      <c r="E1278" s="15" t="n">
        <f aca="false">ROUND((D1278-$D$5)*86400,2)</f>
        <v>30.75</v>
      </c>
      <c r="F1278" s="17" t="n">
        <v>1101</v>
      </c>
      <c r="G1278" s="16" t="n">
        <f aca="false">IF(INDEX(選手一覧!$D$7:$D$2738,$F1278)="","",INDEX(選手一覧!$D$7:$D$2738,$F1278))</f>
        <v>0.0110052083333333</v>
      </c>
      <c r="H1278" s="17" t="n">
        <f aca="false">IF(INDEX(選手一覧!$E$7:$E$2738,$F1278)="","",INDEX(選手一覧!$E$7:$E$2738,$F1278))</f>
        <v>1102</v>
      </c>
      <c r="I1278" s="16" t="str">
        <f aca="false">IF(INDEX(選手一覧!$H$7:$H$2738,$F1278)="","",INDEX(選手一覧!$H$7:$H$2738,$F1278))</f>
        <v/>
      </c>
      <c r="J1278" s="17" t="str">
        <f aca="false">IF(INDEX(選手一覧!$I$7:$I$2738,$F1278)="","",INDEX(選手一覧!$I$7:$I$2738,$F1278))</f>
        <v/>
      </c>
    </row>
    <row r="1279" customFormat="false" ht="15" hidden="false" customHeight="false" outlineLevel="0" collapsed="false">
      <c r="A1279" s="17" t="n">
        <v>1275</v>
      </c>
      <c r="B1279" s="12" t="s">
        <v>3968</v>
      </c>
      <c r="C1279" s="12" t="s">
        <v>3210</v>
      </c>
      <c r="D1279" s="16" t="n">
        <v>0.00296053240740741</v>
      </c>
      <c r="E1279" s="15" t="n">
        <f aca="false">ROUND((D1279-$D$5)*86400,2)</f>
        <v>30.76</v>
      </c>
      <c r="F1279" s="17" t="n">
        <v>2593</v>
      </c>
      <c r="G1279" s="16" t="str">
        <f aca="false">IF(INDEX(選手一覧!$D$7:$D$2738,$F1279)="","",INDEX(選手一覧!$D$7:$D$2738,$F1279))</f>
        <v/>
      </c>
      <c r="H1279" s="17" t="str">
        <f aca="false">IF(INDEX(選手一覧!$E$7:$E$2738,$F1279)="","",INDEX(選手一覧!$E$7:$E$2738,$F1279))</f>
        <v/>
      </c>
      <c r="I1279" s="16" t="str">
        <f aca="false">IF(INDEX(選手一覧!$H$7:$H$2738,$F1279)="","",INDEX(選手一覧!$H$7:$H$2738,$F1279))</f>
        <v/>
      </c>
      <c r="J1279" s="17" t="str">
        <f aca="false">IF(INDEX(選手一覧!$I$7:$I$2738,$F1279)="","",INDEX(選手一覧!$I$7:$I$2738,$F1279))</f>
        <v/>
      </c>
    </row>
    <row r="1280" customFormat="false" ht="15" hidden="false" customHeight="false" outlineLevel="0" collapsed="false">
      <c r="A1280" s="17" t="n">
        <v>1276</v>
      </c>
      <c r="B1280" s="12" t="s">
        <v>3970</v>
      </c>
      <c r="C1280" s="12" t="s">
        <v>159</v>
      </c>
      <c r="D1280" s="16" t="n">
        <v>0.00296122685185185</v>
      </c>
      <c r="E1280" s="15" t="n">
        <f aca="false">ROUND((D1280-$D$5)*86400,2)</f>
        <v>30.82</v>
      </c>
      <c r="F1280" s="17" t="n">
        <v>2595</v>
      </c>
      <c r="G1280" s="16" t="str">
        <f aca="false">IF(INDEX(選手一覧!$D$7:$D$2738,$F1280)="","",INDEX(選手一覧!$D$7:$D$2738,$F1280))</f>
        <v/>
      </c>
      <c r="H1280" s="17" t="str">
        <f aca="false">IF(INDEX(選手一覧!$E$7:$E$2738,$F1280)="","",INDEX(選手一覧!$E$7:$E$2738,$F1280))</f>
        <v/>
      </c>
      <c r="I1280" s="16" t="str">
        <f aca="false">IF(INDEX(選手一覧!$H$7:$H$2738,$F1280)="","",INDEX(選手一覧!$H$7:$H$2738,$F1280))</f>
        <v/>
      </c>
      <c r="J1280" s="17" t="str">
        <f aca="false">IF(INDEX(選手一覧!$I$7:$I$2738,$F1280)="","",INDEX(選手一覧!$I$7:$I$2738,$F1280))</f>
        <v/>
      </c>
    </row>
    <row r="1281" customFormat="false" ht="15" hidden="false" customHeight="false" outlineLevel="0" collapsed="false">
      <c r="A1281" s="17" t="n">
        <v>1277</v>
      </c>
      <c r="B1281" s="12" t="s">
        <v>419</v>
      </c>
      <c r="C1281" s="12" t="s">
        <v>143</v>
      </c>
      <c r="D1281" s="16" t="n">
        <v>0.00296122685185185</v>
      </c>
      <c r="E1281" s="15" t="n">
        <f aca="false">ROUND((D1281-$D$5)*86400,2)</f>
        <v>30.82</v>
      </c>
      <c r="F1281" s="17" t="n">
        <v>211</v>
      </c>
      <c r="G1281" s="16" t="n">
        <f aca="false">IF(INDEX(選手一覧!$D$7:$D$2738,$F1281)="","",INDEX(選手一覧!$D$7:$D$2738,$F1281))</f>
        <v>0.0103578703703704</v>
      </c>
      <c r="H1281" s="17" t="n">
        <f aca="false">IF(INDEX(選手一覧!$E$7:$E$2738,$F1281)="","",INDEX(選手一覧!$E$7:$E$2738,$F1281))</f>
        <v>212</v>
      </c>
      <c r="I1281" s="16" t="str">
        <f aca="false">IF(INDEX(選手一覧!$H$7:$H$2738,$F1281)="","",INDEX(選手一覧!$H$7:$H$2738,$F1281))</f>
        <v/>
      </c>
      <c r="J1281" s="17" t="str">
        <f aca="false">IF(INDEX(選手一覧!$I$7:$I$2738,$F1281)="","",INDEX(選手一覧!$I$7:$I$2738,$F1281))</f>
        <v/>
      </c>
    </row>
    <row r="1282" customFormat="false" ht="15" hidden="false" customHeight="false" outlineLevel="0" collapsed="false">
      <c r="A1282" s="17" t="n">
        <v>1278</v>
      </c>
      <c r="B1282" s="12" t="s">
        <v>1153</v>
      </c>
      <c r="C1282" s="12" t="s">
        <v>1154</v>
      </c>
      <c r="D1282" s="16" t="n">
        <v>0.00296215277777778</v>
      </c>
      <c r="E1282" s="15" t="n">
        <f aca="false">ROUND((D1282-$D$5)*86400,2)</f>
        <v>30.9</v>
      </c>
      <c r="F1282" s="17" t="n">
        <v>683</v>
      </c>
      <c r="G1282" s="16" t="n">
        <f aca="false">IF(INDEX(選手一覧!$D$7:$D$2738,$F1282)="","",INDEX(選手一覧!$D$7:$D$2738,$F1282))</f>
        <v>0.0107622685185185</v>
      </c>
      <c r="H1282" s="17" t="n">
        <f aca="false">IF(INDEX(選手一覧!$E$7:$E$2738,$F1282)="","",INDEX(選手一覧!$E$7:$E$2738,$F1282))</f>
        <v>684</v>
      </c>
      <c r="I1282" s="16" t="n">
        <f aca="false">IF(INDEX(選手一覧!$H$7:$H$2738,$F1282)="","",INDEX(選手一覧!$H$7:$H$2738,$F1282))</f>
        <v>0.00711643518518519</v>
      </c>
      <c r="J1282" s="17" t="n">
        <f aca="false">IF(INDEX(選手一覧!$I$7:$I$2738,$F1282)="","",INDEX(選手一覧!$I$7:$I$2738,$F1282))</f>
        <v>460</v>
      </c>
    </row>
    <row r="1283" customFormat="false" ht="15" hidden="false" customHeight="false" outlineLevel="0" collapsed="false">
      <c r="A1283" s="17" t="n">
        <v>1279</v>
      </c>
      <c r="B1283" s="12" t="s">
        <v>3976</v>
      </c>
      <c r="C1283" s="12" t="s">
        <v>947</v>
      </c>
      <c r="D1283" s="16" t="n">
        <v>0.00296238425925926</v>
      </c>
      <c r="E1283" s="15" t="n">
        <f aca="false">ROUND((D1283-$D$5)*86400,2)</f>
        <v>30.92</v>
      </c>
      <c r="F1283" s="17" t="n">
        <v>2599</v>
      </c>
      <c r="G1283" s="16" t="str">
        <f aca="false">IF(INDEX(選手一覧!$D$7:$D$2738,$F1283)="","",INDEX(選手一覧!$D$7:$D$2738,$F1283))</f>
        <v/>
      </c>
      <c r="H1283" s="17" t="str">
        <f aca="false">IF(INDEX(選手一覧!$E$7:$E$2738,$F1283)="","",INDEX(選手一覧!$E$7:$E$2738,$F1283))</f>
        <v/>
      </c>
      <c r="I1283" s="16" t="str">
        <f aca="false">IF(INDEX(選手一覧!$H$7:$H$2738,$F1283)="","",INDEX(選手一覧!$H$7:$H$2738,$F1283))</f>
        <v/>
      </c>
      <c r="J1283" s="17" t="str">
        <f aca="false">IF(INDEX(選手一覧!$I$7:$I$2738,$F1283)="","",INDEX(選手一覧!$I$7:$I$2738,$F1283))</f>
        <v/>
      </c>
    </row>
    <row r="1284" customFormat="false" ht="15" hidden="false" customHeight="false" outlineLevel="0" collapsed="false">
      <c r="A1284" s="17" t="n">
        <v>1280</v>
      </c>
      <c r="B1284" s="12" t="s">
        <v>1912</v>
      </c>
      <c r="C1284" s="12" t="s">
        <v>1913</v>
      </c>
      <c r="D1284" s="16" t="n">
        <v>0.00296238425925926</v>
      </c>
      <c r="E1284" s="15" t="n">
        <f aca="false">ROUND((D1284-$D$5)*86400,2)</f>
        <v>30.92</v>
      </c>
      <c r="F1284" s="17" t="n">
        <v>1192</v>
      </c>
      <c r="G1284" s="16" t="n">
        <f aca="false">IF(INDEX(選手一覧!$D$7:$D$2738,$F1284)="","",INDEX(選手一覧!$D$7:$D$2738,$F1284))</f>
        <v>0.0110465277777778</v>
      </c>
      <c r="H1284" s="17" t="n">
        <f aca="false">IF(INDEX(選手一覧!$E$7:$E$2738,$F1284)="","",INDEX(選手一覧!$E$7:$E$2738,$F1284))</f>
        <v>1193</v>
      </c>
      <c r="I1284" s="16" t="str">
        <f aca="false">IF(INDEX(選手一覧!$H$7:$H$2738,$F1284)="","",INDEX(選手一覧!$H$7:$H$2738,$F1284))</f>
        <v/>
      </c>
      <c r="J1284" s="17" t="str">
        <f aca="false">IF(INDEX(選手一覧!$I$7:$I$2738,$F1284)="","",INDEX(選手一覧!$I$7:$I$2738,$F1284))</f>
        <v/>
      </c>
    </row>
    <row r="1285" customFormat="false" ht="15" hidden="false" customHeight="false" outlineLevel="0" collapsed="false">
      <c r="A1285" s="17" t="n">
        <v>1281</v>
      </c>
      <c r="B1285" s="12" t="s">
        <v>3981</v>
      </c>
      <c r="C1285" s="12" t="s">
        <v>711</v>
      </c>
      <c r="D1285" s="16" t="n">
        <v>0.0029625</v>
      </c>
      <c r="E1285" s="15" t="n">
        <f aca="false">ROUND((D1285-$D$5)*86400,2)</f>
        <v>30.93</v>
      </c>
      <c r="F1285" s="17" t="n">
        <v>2602</v>
      </c>
      <c r="G1285" s="16" t="str">
        <f aca="false">IF(INDEX(選手一覧!$D$7:$D$2738,$F1285)="","",INDEX(選手一覧!$D$7:$D$2738,$F1285))</f>
        <v/>
      </c>
      <c r="H1285" s="17" t="str">
        <f aca="false">IF(INDEX(選手一覧!$E$7:$E$2738,$F1285)="","",INDEX(選手一覧!$E$7:$E$2738,$F1285))</f>
        <v/>
      </c>
      <c r="I1285" s="16" t="str">
        <f aca="false">IF(INDEX(選手一覧!$H$7:$H$2738,$F1285)="","",INDEX(選手一覧!$H$7:$H$2738,$F1285))</f>
        <v/>
      </c>
      <c r="J1285" s="17" t="str">
        <f aca="false">IF(INDEX(選手一覧!$I$7:$I$2738,$F1285)="","",INDEX(選手一覧!$I$7:$I$2738,$F1285))</f>
        <v/>
      </c>
    </row>
    <row r="1286" customFormat="false" ht="15" hidden="false" customHeight="false" outlineLevel="0" collapsed="false">
      <c r="A1286" s="17" t="n">
        <v>1282</v>
      </c>
      <c r="B1286" s="12" t="s">
        <v>2788</v>
      </c>
      <c r="C1286" s="12" t="s">
        <v>2067</v>
      </c>
      <c r="D1286" s="16" t="n">
        <v>0.00296273148148148</v>
      </c>
      <c r="E1286" s="15" t="n">
        <f aca="false">ROUND((D1286-$D$5)*86400,2)</f>
        <v>30.95</v>
      </c>
      <c r="F1286" s="17" t="n">
        <v>1785</v>
      </c>
      <c r="G1286" s="16" t="str">
        <f aca="false">IF(INDEX(選手一覧!$D$7:$D$2738,$F1286)="","",INDEX(選手一覧!$D$7:$D$2738,$F1286))</f>
        <v/>
      </c>
      <c r="H1286" s="17" t="str">
        <f aca="false">IF(INDEX(選手一覧!$E$7:$E$2738,$F1286)="","",INDEX(選手一覧!$E$7:$E$2738,$F1286))</f>
        <v/>
      </c>
      <c r="I1286" s="16" t="n">
        <f aca="false">IF(INDEX(選手一覧!$H$7:$H$2738,$F1286)="","",INDEX(選手一覧!$H$7:$H$2738,$F1286))</f>
        <v>0.00732719907407408</v>
      </c>
      <c r="J1286" s="17" t="n">
        <f aca="false">IF(INDEX(選手一覧!$I$7:$I$2738,$F1286)="","",INDEX(選手一覧!$I$7:$I$2738,$F1286))</f>
        <v>679</v>
      </c>
    </row>
    <row r="1287" customFormat="false" ht="15" hidden="false" customHeight="false" outlineLevel="0" collapsed="false">
      <c r="A1287" s="17" t="n">
        <v>1283</v>
      </c>
      <c r="B1287" s="12" t="s">
        <v>2001</v>
      </c>
      <c r="C1287" s="12" t="s">
        <v>1049</v>
      </c>
      <c r="D1287" s="16" t="n">
        <v>0.00296331018518519</v>
      </c>
      <c r="E1287" s="15" t="n">
        <f aca="false">ROUND((D1287-$D$5)*86400,2)</f>
        <v>31</v>
      </c>
      <c r="F1287" s="17" t="n">
        <v>1257</v>
      </c>
      <c r="G1287" s="16" t="n">
        <f aca="false">IF(INDEX(選手一覧!$D$7:$D$2738,$F1287)="","",INDEX(選手一覧!$D$7:$D$2738,$F1287))</f>
        <v>0.0110859953703704</v>
      </c>
      <c r="H1287" s="17" t="n">
        <f aca="false">IF(INDEX(選手一覧!$E$7:$E$2738,$F1287)="","",INDEX(選手一覧!$E$7:$E$2738,$F1287))</f>
        <v>1258</v>
      </c>
      <c r="I1287" s="16" t="str">
        <f aca="false">IF(INDEX(選手一覧!$H$7:$H$2738,$F1287)="","",INDEX(選手一覧!$H$7:$H$2738,$F1287))</f>
        <v/>
      </c>
      <c r="J1287" s="17" t="str">
        <f aca="false">IF(INDEX(選手一覧!$I$7:$I$2738,$F1287)="","",INDEX(選手一覧!$I$7:$I$2738,$F1287))</f>
        <v/>
      </c>
    </row>
    <row r="1288" customFormat="false" ht="15" hidden="false" customHeight="false" outlineLevel="0" collapsed="false">
      <c r="A1288" s="17" t="n">
        <v>1284</v>
      </c>
      <c r="B1288" s="12" t="s">
        <v>2026</v>
      </c>
      <c r="C1288" s="12" t="s">
        <v>2027</v>
      </c>
      <c r="D1288" s="16" t="n">
        <v>0.00296331018518519</v>
      </c>
      <c r="E1288" s="15" t="n">
        <f aca="false">ROUND((D1288-$D$5)*86400,2)</f>
        <v>31</v>
      </c>
      <c r="F1288" s="17" t="n">
        <v>1280</v>
      </c>
      <c r="G1288" s="16" t="n">
        <f aca="false">IF(INDEX(選手一覧!$D$7:$D$2738,$F1288)="","",INDEX(選手一覧!$D$7:$D$2738,$F1288))</f>
        <v>0.0111152777777778</v>
      </c>
      <c r="H1288" s="17" t="n">
        <f aca="false">IF(INDEX(選手一覧!$E$7:$E$2738,$F1288)="","",INDEX(選手一覧!$E$7:$E$2738,$F1288))</f>
        <v>1281</v>
      </c>
      <c r="I1288" s="16" t="str">
        <f aca="false">IF(INDEX(選手一覧!$H$7:$H$2738,$F1288)="","",INDEX(選手一覧!$H$7:$H$2738,$F1288))</f>
        <v/>
      </c>
      <c r="J1288" s="17" t="str">
        <f aca="false">IF(INDEX(選手一覧!$I$7:$I$2738,$F1288)="","",INDEX(選手一覧!$I$7:$I$2738,$F1288))</f>
        <v/>
      </c>
    </row>
    <row r="1289" customFormat="false" ht="15" hidden="false" customHeight="false" outlineLevel="0" collapsed="false">
      <c r="A1289" s="17" t="n">
        <v>1285</v>
      </c>
      <c r="B1289" s="12" t="s">
        <v>3985</v>
      </c>
      <c r="C1289" s="12" t="s">
        <v>2064</v>
      </c>
      <c r="D1289" s="16" t="n">
        <v>0.00296342592592593</v>
      </c>
      <c r="E1289" s="15" t="n">
        <f aca="false">ROUND((D1289-$D$5)*86400,2)</f>
        <v>31.01</v>
      </c>
      <c r="F1289" s="17" t="n">
        <v>2606</v>
      </c>
      <c r="G1289" s="16" t="str">
        <f aca="false">IF(INDEX(選手一覧!$D$7:$D$2738,$F1289)="","",INDEX(選手一覧!$D$7:$D$2738,$F1289))</f>
        <v/>
      </c>
      <c r="H1289" s="17" t="str">
        <f aca="false">IF(INDEX(選手一覧!$E$7:$E$2738,$F1289)="","",INDEX(選手一覧!$E$7:$E$2738,$F1289))</f>
        <v/>
      </c>
      <c r="I1289" s="16" t="str">
        <f aca="false">IF(INDEX(選手一覧!$H$7:$H$2738,$F1289)="","",INDEX(選手一覧!$H$7:$H$2738,$F1289))</f>
        <v/>
      </c>
      <c r="J1289" s="17" t="str">
        <f aca="false">IF(INDEX(選手一覧!$I$7:$I$2738,$F1289)="","",INDEX(選手一覧!$I$7:$I$2738,$F1289))</f>
        <v/>
      </c>
    </row>
    <row r="1290" customFormat="false" ht="15" hidden="false" customHeight="false" outlineLevel="0" collapsed="false">
      <c r="A1290" s="17" t="n">
        <v>1286</v>
      </c>
      <c r="B1290" s="12" t="s">
        <v>423</v>
      </c>
      <c r="C1290" s="12" t="s">
        <v>61</v>
      </c>
      <c r="D1290" s="16" t="n">
        <v>0.00296354166666667</v>
      </c>
      <c r="E1290" s="15" t="n">
        <f aca="false">ROUND((D1290-$D$5)*86400,2)</f>
        <v>31.02</v>
      </c>
      <c r="F1290" s="17" t="n">
        <v>214</v>
      </c>
      <c r="G1290" s="16" t="n">
        <f aca="false">IF(INDEX(選手一覧!$D$7:$D$2738,$F1290)="","",INDEX(選手一覧!$D$7:$D$2738,$F1290))</f>
        <v>0.010359375</v>
      </c>
      <c r="H1290" s="17" t="n">
        <f aca="false">IF(INDEX(選手一覧!$E$7:$E$2738,$F1290)="","",INDEX(選手一覧!$E$7:$E$2738,$F1290))</f>
        <v>215</v>
      </c>
      <c r="I1290" s="16" t="str">
        <f aca="false">IF(INDEX(選手一覧!$H$7:$H$2738,$F1290)="","",INDEX(選手一覧!$H$7:$H$2738,$F1290))</f>
        <v/>
      </c>
      <c r="J1290" s="17" t="str">
        <f aca="false">IF(INDEX(選手一覧!$I$7:$I$2738,$F1290)="","",INDEX(選手一覧!$I$7:$I$2738,$F1290))</f>
        <v/>
      </c>
    </row>
    <row r="1291" customFormat="false" ht="15" hidden="false" customHeight="false" outlineLevel="0" collapsed="false">
      <c r="A1291" s="17" t="n">
        <v>1287</v>
      </c>
      <c r="B1291" s="12" t="s">
        <v>3989</v>
      </c>
      <c r="C1291" s="12" t="s">
        <v>864</v>
      </c>
      <c r="D1291" s="16" t="n">
        <v>0.00296388888888889</v>
      </c>
      <c r="E1291" s="15" t="n">
        <f aca="false">ROUND((D1291-$D$5)*86400,2)</f>
        <v>31.05</v>
      </c>
      <c r="F1291" s="17" t="n">
        <v>2609</v>
      </c>
      <c r="G1291" s="16" t="str">
        <f aca="false">IF(INDEX(選手一覧!$D$7:$D$2738,$F1291)="","",INDEX(選手一覧!$D$7:$D$2738,$F1291))</f>
        <v/>
      </c>
      <c r="H1291" s="17" t="str">
        <f aca="false">IF(INDEX(選手一覧!$E$7:$E$2738,$F1291)="","",INDEX(選手一覧!$E$7:$E$2738,$F1291))</f>
        <v/>
      </c>
      <c r="I1291" s="16" t="str">
        <f aca="false">IF(INDEX(選手一覧!$H$7:$H$2738,$F1291)="","",INDEX(選手一覧!$H$7:$H$2738,$F1291))</f>
        <v/>
      </c>
      <c r="J1291" s="17" t="str">
        <f aca="false">IF(INDEX(選手一覧!$I$7:$I$2738,$F1291)="","",INDEX(選手一覧!$I$7:$I$2738,$F1291))</f>
        <v/>
      </c>
    </row>
    <row r="1292" customFormat="false" ht="15" hidden="false" customHeight="false" outlineLevel="0" collapsed="false">
      <c r="A1292" s="17" t="n">
        <v>1288</v>
      </c>
      <c r="B1292" s="12" t="s">
        <v>3993</v>
      </c>
      <c r="C1292" s="12" t="s">
        <v>2704</v>
      </c>
      <c r="D1292" s="16" t="n">
        <v>0.00296435185185185</v>
      </c>
      <c r="E1292" s="15" t="n">
        <f aca="false">ROUND((D1292-$D$5)*86400,2)</f>
        <v>31.09</v>
      </c>
      <c r="F1292" s="17" t="n">
        <v>2611</v>
      </c>
      <c r="G1292" s="16" t="str">
        <f aca="false">IF(INDEX(選手一覧!$D$7:$D$2738,$F1292)="","",INDEX(選手一覧!$D$7:$D$2738,$F1292))</f>
        <v/>
      </c>
      <c r="H1292" s="17" t="str">
        <f aca="false">IF(INDEX(選手一覧!$E$7:$E$2738,$F1292)="","",INDEX(選手一覧!$E$7:$E$2738,$F1292))</f>
        <v/>
      </c>
      <c r="I1292" s="16" t="str">
        <f aca="false">IF(INDEX(選手一覧!$H$7:$H$2738,$F1292)="","",INDEX(選手一覧!$H$7:$H$2738,$F1292))</f>
        <v/>
      </c>
      <c r="J1292" s="17" t="str">
        <f aca="false">IF(INDEX(選手一覧!$I$7:$I$2738,$F1292)="","",INDEX(選手一覧!$I$7:$I$2738,$F1292))</f>
        <v/>
      </c>
    </row>
    <row r="1293" customFormat="false" ht="15" hidden="false" customHeight="false" outlineLevel="0" collapsed="false">
      <c r="A1293" s="17" t="n">
        <v>1289</v>
      </c>
      <c r="B1293" s="12" t="s">
        <v>845</v>
      </c>
      <c r="C1293" s="12" t="s">
        <v>846</v>
      </c>
      <c r="D1293" s="16" t="n">
        <v>0.00296493055555556</v>
      </c>
      <c r="E1293" s="15" t="n">
        <f aca="false">ROUND((D1293-$D$5)*86400,2)</f>
        <v>31.14</v>
      </c>
      <c r="F1293" s="17" t="n">
        <v>480</v>
      </c>
      <c r="G1293" s="16" t="n">
        <f aca="false">IF(INDEX(選手一覧!$D$7:$D$2738,$F1293)="","",INDEX(選手一覧!$D$7:$D$2738,$F1293))</f>
        <v>0.0106123842592593</v>
      </c>
      <c r="H1293" s="17" t="n">
        <f aca="false">IF(INDEX(選手一覧!$E$7:$E$2738,$F1293)="","",INDEX(選手一覧!$E$7:$E$2738,$F1293))</f>
        <v>481</v>
      </c>
      <c r="I1293" s="16" t="str">
        <f aca="false">IF(INDEX(選手一覧!$H$7:$H$2738,$F1293)="","",INDEX(選手一覧!$H$7:$H$2738,$F1293))</f>
        <v/>
      </c>
      <c r="J1293" s="17" t="str">
        <f aca="false">IF(INDEX(選手一覧!$I$7:$I$2738,$F1293)="","",INDEX(選手一覧!$I$7:$I$2738,$F1293))</f>
        <v/>
      </c>
    </row>
    <row r="1294" customFormat="false" ht="15" hidden="false" customHeight="false" outlineLevel="0" collapsed="false">
      <c r="A1294" s="17" t="n">
        <v>1290</v>
      </c>
      <c r="B1294" s="12" t="s">
        <v>1232</v>
      </c>
      <c r="C1294" s="12" t="s">
        <v>1049</v>
      </c>
      <c r="D1294" s="16" t="n">
        <v>0.00296493055555556</v>
      </c>
      <c r="E1294" s="15" t="n">
        <f aca="false">ROUND((D1294-$D$5)*86400,2)</f>
        <v>31.14</v>
      </c>
      <c r="F1294" s="17" t="n">
        <v>733</v>
      </c>
      <c r="G1294" s="16" t="n">
        <f aca="false">IF(INDEX(選手一覧!$D$7:$D$2738,$F1294)="","",INDEX(選手一覧!$D$7:$D$2738,$F1294))</f>
        <v>0.0107952546296296</v>
      </c>
      <c r="H1294" s="17" t="n">
        <f aca="false">IF(INDEX(選手一覧!$E$7:$E$2738,$F1294)="","",INDEX(選手一覧!$E$7:$E$2738,$F1294))</f>
        <v>734</v>
      </c>
      <c r="I1294" s="16" t="n">
        <f aca="false">IF(INDEX(選手一覧!$H$7:$H$2738,$F1294)="","",INDEX(選手一覧!$H$7:$H$2738,$F1294))</f>
        <v>0.00722488425925926</v>
      </c>
      <c r="J1294" s="17" t="n">
        <f aca="false">IF(INDEX(選手一覧!$I$7:$I$2738,$F1294)="","",INDEX(選手一覧!$I$7:$I$2738,$F1294))</f>
        <v>565</v>
      </c>
    </row>
    <row r="1295" customFormat="false" ht="15" hidden="false" customHeight="false" outlineLevel="0" collapsed="false">
      <c r="A1295" s="17" t="n">
        <v>1291</v>
      </c>
      <c r="B1295" s="12" t="s">
        <v>3998</v>
      </c>
      <c r="C1295" s="12" t="s">
        <v>155</v>
      </c>
      <c r="D1295" s="16" t="n">
        <v>0.00296527777777778</v>
      </c>
      <c r="E1295" s="15" t="n">
        <f aca="false">ROUND((D1295-$D$5)*86400,2)</f>
        <v>31.17</v>
      </c>
      <c r="F1295" s="17" t="n">
        <v>2615</v>
      </c>
      <c r="G1295" s="16" t="str">
        <f aca="false">IF(INDEX(選手一覧!$D$7:$D$2738,$F1295)="","",INDEX(選手一覧!$D$7:$D$2738,$F1295))</f>
        <v/>
      </c>
      <c r="H1295" s="17" t="str">
        <f aca="false">IF(INDEX(選手一覧!$E$7:$E$2738,$F1295)="","",INDEX(選手一覧!$E$7:$E$2738,$F1295))</f>
        <v/>
      </c>
      <c r="I1295" s="16" t="str">
        <f aca="false">IF(INDEX(選手一覧!$H$7:$H$2738,$F1295)="","",INDEX(選手一覧!$H$7:$H$2738,$F1295))</f>
        <v/>
      </c>
      <c r="J1295" s="17" t="str">
        <f aca="false">IF(INDEX(選手一覧!$I$7:$I$2738,$F1295)="","",INDEX(選手一覧!$I$7:$I$2738,$F1295))</f>
        <v/>
      </c>
    </row>
    <row r="1296" customFormat="false" ht="15" hidden="false" customHeight="false" outlineLevel="0" collapsed="false">
      <c r="A1296" s="17" t="n">
        <v>1292</v>
      </c>
      <c r="B1296" s="12" t="s">
        <v>4001</v>
      </c>
      <c r="C1296" s="12" t="s">
        <v>3452</v>
      </c>
      <c r="D1296" s="16" t="n">
        <v>0.00296550925925926</v>
      </c>
      <c r="E1296" s="15" t="n">
        <f aca="false">ROUND((D1296-$D$5)*86400,2)</f>
        <v>31.19</v>
      </c>
      <c r="F1296" s="17" t="n">
        <v>2617</v>
      </c>
      <c r="G1296" s="16" t="str">
        <f aca="false">IF(INDEX(選手一覧!$D$7:$D$2738,$F1296)="","",INDEX(選手一覧!$D$7:$D$2738,$F1296))</f>
        <v/>
      </c>
      <c r="H1296" s="17" t="str">
        <f aca="false">IF(INDEX(選手一覧!$E$7:$E$2738,$F1296)="","",INDEX(選手一覧!$E$7:$E$2738,$F1296))</f>
        <v/>
      </c>
      <c r="I1296" s="16" t="str">
        <f aca="false">IF(INDEX(選手一覧!$H$7:$H$2738,$F1296)="","",INDEX(選手一覧!$H$7:$H$2738,$F1296))</f>
        <v/>
      </c>
      <c r="J1296" s="17" t="str">
        <f aca="false">IF(INDEX(選手一覧!$I$7:$I$2738,$F1296)="","",INDEX(選手一覧!$I$7:$I$2738,$F1296))</f>
        <v/>
      </c>
    </row>
    <row r="1297" customFormat="false" ht="15" hidden="false" customHeight="false" outlineLevel="0" collapsed="false">
      <c r="A1297" s="17" t="n">
        <v>1293</v>
      </c>
      <c r="B1297" s="12" t="s">
        <v>4003</v>
      </c>
      <c r="C1297" s="12" t="s">
        <v>65</v>
      </c>
      <c r="D1297" s="16" t="n">
        <v>0.00296550925925926</v>
      </c>
      <c r="E1297" s="15" t="n">
        <f aca="false">ROUND((D1297-$D$5)*86400,2)</f>
        <v>31.19</v>
      </c>
      <c r="F1297" s="17" t="n">
        <v>2619</v>
      </c>
      <c r="G1297" s="16" t="str">
        <f aca="false">IF(INDEX(選手一覧!$D$7:$D$2738,$F1297)="","",INDEX(選手一覧!$D$7:$D$2738,$F1297))</f>
        <v/>
      </c>
      <c r="H1297" s="17" t="str">
        <f aca="false">IF(INDEX(選手一覧!$E$7:$E$2738,$F1297)="","",INDEX(選手一覧!$E$7:$E$2738,$F1297))</f>
        <v/>
      </c>
      <c r="I1297" s="16" t="str">
        <f aca="false">IF(INDEX(選手一覧!$H$7:$H$2738,$F1297)="","",INDEX(選手一覧!$H$7:$H$2738,$F1297))</f>
        <v/>
      </c>
      <c r="J1297" s="17" t="str">
        <f aca="false">IF(INDEX(選手一覧!$I$7:$I$2738,$F1297)="","",INDEX(選手一覧!$I$7:$I$2738,$F1297))</f>
        <v/>
      </c>
    </row>
    <row r="1298" customFormat="false" ht="15" hidden="false" customHeight="false" outlineLevel="0" collapsed="false">
      <c r="A1298" s="17" t="n">
        <v>1294</v>
      </c>
      <c r="B1298" s="12" t="s">
        <v>1905</v>
      </c>
      <c r="C1298" s="12" t="s">
        <v>80</v>
      </c>
      <c r="D1298" s="16" t="n">
        <v>0.00296585648148148</v>
      </c>
      <c r="E1298" s="15" t="n">
        <f aca="false">ROUND((D1298-$D$5)*86400,2)</f>
        <v>31.22</v>
      </c>
      <c r="F1298" s="17" t="n">
        <v>1187</v>
      </c>
      <c r="G1298" s="16" t="n">
        <f aca="false">IF(INDEX(選手一覧!$D$7:$D$2738,$F1298)="","",INDEX(選手一覧!$D$7:$D$2738,$F1298))</f>
        <v>0.0110440972222222</v>
      </c>
      <c r="H1298" s="17" t="n">
        <f aca="false">IF(INDEX(選手一覧!$E$7:$E$2738,$F1298)="","",INDEX(選手一覧!$E$7:$E$2738,$F1298))</f>
        <v>1188</v>
      </c>
      <c r="I1298" s="16" t="str">
        <f aca="false">IF(INDEX(選手一覧!$H$7:$H$2738,$F1298)="","",INDEX(選手一覧!$H$7:$H$2738,$F1298))</f>
        <v/>
      </c>
      <c r="J1298" s="17" t="str">
        <f aca="false">IF(INDEX(選手一覧!$I$7:$I$2738,$F1298)="","",INDEX(選手一覧!$I$7:$I$2738,$F1298))</f>
        <v/>
      </c>
    </row>
    <row r="1299" customFormat="false" ht="15" hidden="false" customHeight="false" outlineLevel="0" collapsed="false">
      <c r="A1299" s="17" t="n">
        <v>1295</v>
      </c>
      <c r="B1299" s="12" t="s">
        <v>2219</v>
      </c>
      <c r="C1299" s="12" t="s">
        <v>2220</v>
      </c>
      <c r="D1299" s="16" t="n">
        <v>0.00296608796296296</v>
      </c>
      <c r="E1299" s="15" t="n">
        <f aca="false">ROUND((D1299-$D$5)*86400,2)</f>
        <v>31.24</v>
      </c>
      <c r="F1299" s="17" t="n">
        <v>1414</v>
      </c>
      <c r="G1299" s="16" t="str">
        <f aca="false">IF(INDEX(選手一覧!$D$7:$D$2738,$F1299)="","",INDEX(選手一覧!$D$7:$D$2738,$F1299))</f>
        <v/>
      </c>
      <c r="H1299" s="17" t="str">
        <f aca="false">IF(INDEX(選手一覧!$E$7:$E$2738,$F1299)="","",INDEX(選手一覧!$E$7:$E$2738,$F1299))</f>
        <v/>
      </c>
      <c r="I1299" s="16" t="n">
        <f aca="false">IF(INDEX(選手一覧!$H$7:$H$2738,$F1299)="","",INDEX(選手一覧!$H$7:$H$2738,$F1299))</f>
        <v>0.00695752314814815</v>
      </c>
      <c r="J1299" s="17" t="n">
        <f aca="false">IF(INDEX(選手一覧!$I$7:$I$2738,$F1299)="","",INDEX(選手一覧!$I$7:$I$2738,$F1299))</f>
        <v>290</v>
      </c>
    </row>
    <row r="1300" customFormat="false" ht="15" hidden="false" customHeight="false" outlineLevel="0" collapsed="false">
      <c r="A1300" s="17" t="n">
        <v>1296</v>
      </c>
      <c r="B1300" s="12" t="s">
        <v>2682</v>
      </c>
      <c r="C1300" s="12" t="s">
        <v>4000</v>
      </c>
      <c r="D1300" s="16" t="n">
        <v>0.00296631944444445</v>
      </c>
      <c r="E1300" s="15" t="n">
        <f aca="false">ROUND((D1300-$D$5)*86400,2)</f>
        <v>31.26</v>
      </c>
      <c r="F1300" s="17" t="n">
        <v>1716</v>
      </c>
      <c r="G1300" s="16" t="str">
        <f aca="false">IF(INDEX(選手一覧!$D$7:$D$2738,$F1300)="","",INDEX(選手一覧!$D$7:$D$2738,$F1300))</f>
        <v/>
      </c>
      <c r="H1300" s="17" t="str">
        <f aca="false">IF(INDEX(選手一覧!$E$7:$E$2738,$F1300)="","",INDEX(選手一覧!$E$7:$E$2738,$F1300))</f>
        <v/>
      </c>
      <c r="I1300" s="16" t="n">
        <f aca="false">IF(INDEX(選手一覧!$H$7:$H$2738,$F1300)="","",INDEX(選手一覧!$H$7:$H$2738,$F1300))</f>
        <v>0.007278125</v>
      </c>
      <c r="J1300" s="17" t="n">
        <f aca="false">IF(INDEX(選手一覧!$I$7:$I$2738,$F1300)="","",INDEX(選手一覧!$I$7:$I$2738,$F1300))</f>
        <v>619</v>
      </c>
    </row>
    <row r="1301" customFormat="false" ht="15" hidden="false" customHeight="false" outlineLevel="0" collapsed="false">
      <c r="A1301" s="17" t="n">
        <v>1297</v>
      </c>
      <c r="B1301" s="12" t="s">
        <v>474</v>
      </c>
      <c r="C1301" s="12" t="s">
        <v>434</v>
      </c>
      <c r="D1301" s="16" t="n">
        <v>0.00296643518518519</v>
      </c>
      <c r="E1301" s="15" t="n">
        <f aca="false">ROUND((D1301-$D$5)*86400,2)</f>
        <v>31.27</v>
      </c>
      <c r="F1301" s="17" t="n">
        <v>244</v>
      </c>
      <c r="G1301" s="16" t="n">
        <f aca="false">IF(INDEX(選手一覧!$D$7:$D$2738,$F1301)="","",INDEX(選手一覧!$D$7:$D$2738,$F1301))</f>
        <v>0.0103844907407407</v>
      </c>
      <c r="H1301" s="17" t="n">
        <f aca="false">IF(INDEX(選手一覧!$E$7:$E$2738,$F1301)="","",INDEX(選手一覧!$E$7:$E$2738,$F1301))</f>
        <v>245</v>
      </c>
      <c r="I1301" s="16" t="n">
        <f aca="false">IF(INDEX(選手一覧!$H$7:$H$2738,$F1301)="","",INDEX(選手一覧!$H$7:$H$2738,$F1301))</f>
        <v>0.0072037037037037</v>
      </c>
      <c r="J1301" s="17" t="n">
        <f aca="false">IF(INDEX(選手一覧!$I$7:$I$2738,$F1301)="","",INDEX(選手一覧!$I$7:$I$2738,$F1301))</f>
        <v>541</v>
      </c>
    </row>
    <row r="1302" customFormat="false" ht="15" hidden="false" customHeight="false" outlineLevel="0" collapsed="false">
      <c r="A1302" s="17" t="n">
        <v>1298</v>
      </c>
      <c r="B1302" s="12" t="s">
        <v>1949</v>
      </c>
      <c r="C1302" s="12" t="s">
        <v>1950</v>
      </c>
      <c r="D1302" s="16" t="n">
        <v>0.00296643518518519</v>
      </c>
      <c r="E1302" s="15" t="n">
        <f aca="false">ROUND((D1302-$D$5)*86400,2)</f>
        <v>31.27</v>
      </c>
      <c r="F1302" s="17" t="n">
        <v>1219</v>
      </c>
      <c r="G1302" s="16" t="n">
        <f aca="false">IF(INDEX(選手一覧!$D$7:$D$2738,$F1302)="","",INDEX(選手一覧!$D$7:$D$2738,$F1302))</f>
        <v>0.0110612268518519</v>
      </c>
      <c r="H1302" s="17" t="n">
        <f aca="false">IF(INDEX(選手一覧!$E$7:$E$2738,$F1302)="","",INDEX(選手一覧!$E$7:$E$2738,$F1302))</f>
        <v>1220</v>
      </c>
      <c r="I1302" s="16" t="n">
        <f aca="false">IF(INDEX(選手一覧!$H$7:$H$2738,$F1302)="","",INDEX(選手一覧!$H$7:$H$2738,$F1302))</f>
        <v>0.00689340277777778</v>
      </c>
      <c r="J1302" s="17" t="n">
        <f aca="false">IF(INDEX(選手一覧!$I$7:$I$2738,$F1302)="","",INDEX(選手一覧!$I$7:$I$2738,$F1302))</f>
        <v>234</v>
      </c>
    </row>
    <row r="1303" customFormat="false" ht="15" hidden="false" customHeight="false" outlineLevel="0" collapsed="false">
      <c r="A1303" s="17" t="n">
        <v>1299</v>
      </c>
      <c r="B1303" s="12" t="s">
        <v>4011</v>
      </c>
      <c r="C1303" s="12" t="s">
        <v>214</v>
      </c>
      <c r="D1303" s="16" t="n">
        <v>0.00296701388888889</v>
      </c>
      <c r="E1303" s="15" t="n">
        <f aca="false">ROUND((D1303-$D$5)*86400,2)</f>
        <v>31.32</v>
      </c>
      <c r="F1303" s="17" t="n">
        <v>2626</v>
      </c>
      <c r="G1303" s="16" t="str">
        <f aca="false">IF(INDEX(選手一覧!$D$7:$D$2738,$F1303)="","",INDEX(選手一覧!$D$7:$D$2738,$F1303))</f>
        <v/>
      </c>
      <c r="H1303" s="17" t="str">
        <f aca="false">IF(INDEX(選手一覧!$E$7:$E$2738,$F1303)="","",INDEX(選手一覧!$E$7:$E$2738,$F1303))</f>
        <v/>
      </c>
      <c r="I1303" s="16" t="str">
        <f aca="false">IF(INDEX(選手一覧!$H$7:$H$2738,$F1303)="","",INDEX(選手一覧!$H$7:$H$2738,$F1303))</f>
        <v/>
      </c>
      <c r="J1303" s="17" t="str">
        <f aca="false">IF(INDEX(選手一覧!$I$7:$I$2738,$F1303)="","",INDEX(選手一覧!$I$7:$I$2738,$F1303))</f>
        <v/>
      </c>
    </row>
    <row r="1304" customFormat="false" ht="15" hidden="false" customHeight="false" outlineLevel="0" collapsed="false">
      <c r="A1304" s="17" t="n">
        <v>1300</v>
      </c>
      <c r="B1304" s="12" t="s">
        <v>465</v>
      </c>
      <c r="C1304" s="12" t="s">
        <v>127</v>
      </c>
      <c r="D1304" s="16" t="n">
        <v>0.00296747685185185</v>
      </c>
      <c r="E1304" s="15" t="n">
        <f aca="false">ROUND((D1304-$D$5)*86400,2)</f>
        <v>31.36</v>
      </c>
      <c r="F1304" s="17" t="n">
        <v>237</v>
      </c>
      <c r="G1304" s="16" t="n">
        <f aca="false">IF(INDEX(選手一覧!$D$7:$D$2738,$F1304)="","",INDEX(選手一覧!$D$7:$D$2738,$F1304))</f>
        <v>0.0103774305555556</v>
      </c>
      <c r="H1304" s="17" t="n">
        <f aca="false">IF(INDEX(選手一覧!$E$7:$E$2738,$F1304)="","",INDEX(選手一覧!$E$7:$E$2738,$F1304))</f>
        <v>238</v>
      </c>
      <c r="I1304" s="16" t="n">
        <f aca="false">IF(INDEX(選手一覧!$H$7:$H$2738,$F1304)="","",INDEX(選手一覧!$H$7:$H$2738,$F1304))</f>
        <v>0.006659375</v>
      </c>
      <c r="J1304" s="17" t="n">
        <f aca="false">IF(INDEX(選手一覧!$I$7:$I$2738,$F1304)="","",INDEX(選手一覧!$I$7:$I$2738,$F1304))</f>
        <v>88</v>
      </c>
    </row>
    <row r="1305" customFormat="false" ht="15" hidden="false" customHeight="false" outlineLevel="0" collapsed="false">
      <c r="A1305" s="17" t="n">
        <v>1301</v>
      </c>
      <c r="B1305" s="12" t="s">
        <v>4016</v>
      </c>
      <c r="C1305" s="12" t="s">
        <v>2270</v>
      </c>
      <c r="D1305" s="16" t="n">
        <v>0.00296759259259259</v>
      </c>
      <c r="E1305" s="15" t="n">
        <f aca="false">ROUND((D1305-$D$5)*86400,2)</f>
        <v>31.37</v>
      </c>
      <c r="F1305" s="17" t="n">
        <v>2629</v>
      </c>
      <c r="G1305" s="16" t="str">
        <f aca="false">IF(INDEX(選手一覧!$D$7:$D$2738,$F1305)="","",INDEX(選手一覧!$D$7:$D$2738,$F1305))</f>
        <v/>
      </c>
      <c r="H1305" s="17" t="str">
        <f aca="false">IF(INDEX(選手一覧!$E$7:$E$2738,$F1305)="","",INDEX(選手一覧!$E$7:$E$2738,$F1305))</f>
        <v/>
      </c>
      <c r="I1305" s="16" t="str">
        <f aca="false">IF(INDEX(選手一覧!$H$7:$H$2738,$F1305)="","",INDEX(選手一覧!$H$7:$H$2738,$F1305))</f>
        <v/>
      </c>
      <c r="J1305" s="17" t="str">
        <f aca="false">IF(INDEX(選手一覧!$I$7:$I$2738,$F1305)="","",INDEX(選手一覧!$I$7:$I$2738,$F1305))</f>
        <v/>
      </c>
    </row>
    <row r="1306" customFormat="false" ht="15" hidden="false" customHeight="false" outlineLevel="0" collapsed="false">
      <c r="A1306" s="17" t="n">
        <v>1302</v>
      </c>
      <c r="B1306" s="12" t="s">
        <v>4019</v>
      </c>
      <c r="C1306" s="12" t="s">
        <v>2372</v>
      </c>
      <c r="D1306" s="16" t="n">
        <v>0.00296782407407407</v>
      </c>
      <c r="E1306" s="15" t="n">
        <f aca="false">ROUND((D1306-$D$5)*86400,2)</f>
        <v>31.39</v>
      </c>
      <c r="F1306" s="17" t="n">
        <v>2631</v>
      </c>
      <c r="G1306" s="16" t="str">
        <f aca="false">IF(INDEX(選手一覧!$D$7:$D$2738,$F1306)="","",INDEX(選手一覧!$D$7:$D$2738,$F1306))</f>
        <v/>
      </c>
      <c r="H1306" s="17" t="str">
        <f aca="false">IF(INDEX(選手一覧!$E$7:$E$2738,$F1306)="","",INDEX(選手一覧!$E$7:$E$2738,$F1306))</f>
        <v/>
      </c>
      <c r="I1306" s="16" t="str">
        <f aca="false">IF(INDEX(選手一覧!$H$7:$H$2738,$F1306)="","",INDEX(選手一覧!$H$7:$H$2738,$F1306))</f>
        <v/>
      </c>
      <c r="J1306" s="17" t="str">
        <f aca="false">IF(INDEX(選手一覧!$I$7:$I$2738,$F1306)="","",INDEX(選手一覧!$I$7:$I$2738,$F1306))</f>
        <v/>
      </c>
    </row>
    <row r="1307" customFormat="false" ht="15" hidden="false" customHeight="false" outlineLevel="0" collapsed="false">
      <c r="A1307" s="17" t="n">
        <v>1303</v>
      </c>
      <c r="B1307" s="12" t="s">
        <v>4022</v>
      </c>
      <c r="C1307" s="12" t="s">
        <v>4023</v>
      </c>
      <c r="D1307" s="16" t="n">
        <v>0.00296863425925926</v>
      </c>
      <c r="E1307" s="15" t="n">
        <f aca="false">ROUND((D1307-$D$5)*86400,2)</f>
        <v>31.46</v>
      </c>
      <c r="F1307" s="17" t="n">
        <v>2633</v>
      </c>
      <c r="G1307" s="16" t="str">
        <f aca="false">IF(INDEX(選手一覧!$D$7:$D$2738,$F1307)="","",INDEX(選手一覧!$D$7:$D$2738,$F1307))</f>
        <v/>
      </c>
      <c r="H1307" s="17" t="str">
        <f aca="false">IF(INDEX(選手一覧!$E$7:$E$2738,$F1307)="","",INDEX(選手一覧!$E$7:$E$2738,$F1307))</f>
        <v/>
      </c>
      <c r="I1307" s="16" t="str">
        <f aca="false">IF(INDEX(選手一覧!$H$7:$H$2738,$F1307)="","",INDEX(選手一覧!$H$7:$H$2738,$F1307))</f>
        <v/>
      </c>
      <c r="J1307" s="17" t="str">
        <f aca="false">IF(INDEX(選手一覧!$I$7:$I$2738,$F1307)="","",INDEX(選手一覧!$I$7:$I$2738,$F1307))</f>
        <v/>
      </c>
    </row>
    <row r="1308" customFormat="false" ht="15" hidden="false" customHeight="false" outlineLevel="0" collapsed="false">
      <c r="A1308" s="17" t="n">
        <v>1304</v>
      </c>
      <c r="B1308" s="12" t="s">
        <v>4026</v>
      </c>
      <c r="C1308" s="12" t="s">
        <v>4027</v>
      </c>
      <c r="D1308" s="16" t="n">
        <v>0.00296875</v>
      </c>
      <c r="E1308" s="15" t="n">
        <f aca="false">ROUND((D1308-$D$5)*86400,2)</f>
        <v>31.47</v>
      </c>
      <c r="F1308" s="17" t="n">
        <v>2635</v>
      </c>
      <c r="G1308" s="16" t="str">
        <f aca="false">IF(INDEX(選手一覧!$D$7:$D$2738,$F1308)="","",INDEX(選手一覧!$D$7:$D$2738,$F1308))</f>
        <v/>
      </c>
      <c r="H1308" s="17" t="str">
        <f aca="false">IF(INDEX(選手一覧!$E$7:$E$2738,$F1308)="","",INDEX(選手一覧!$E$7:$E$2738,$F1308))</f>
        <v/>
      </c>
      <c r="I1308" s="16" t="str">
        <f aca="false">IF(INDEX(選手一覧!$H$7:$H$2738,$F1308)="","",INDEX(選手一覧!$H$7:$H$2738,$F1308))</f>
        <v/>
      </c>
      <c r="J1308" s="17" t="str">
        <f aca="false">IF(INDEX(選手一覧!$I$7:$I$2738,$F1308)="","",INDEX(選手一覧!$I$7:$I$2738,$F1308))</f>
        <v/>
      </c>
    </row>
    <row r="1309" customFormat="false" ht="15" hidden="false" customHeight="false" outlineLevel="0" collapsed="false">
      <c r="A1309" s="17" t="n">
        <v>1305</v>
      </c>
      <c r="B1309" s="12" t="s">
        <v>443</v>
      </c>
      <c r="C1309" s="12" t="s">
        <v>444</v>
      </c>
      <c r="D1309" s="16" t="n">
        <v>0.00296898148148148</v>
      </c>
      <c r="E1309" s="15" t="n">
        <f aca="false">ROUND((D1309-$D$5)*86400,2)</f>
        <v>31.49</v>
      </c>
      <c r="F1309" s="17" t="n">
        <v>227</v>
      </c>
      <c r="G1309" s="16" t="n">
        <f aca="false">IF(INDEX(選手一覧!$D$7:$D$2738,$F1309)="","",INDEX(選手一覧!$D$7:$D$2738,$F1309))</f>
        <v>0.0103738425925926</v>
      </c>
      <c r="H1309" s="17" t="n">
        <f aca="false">IF(INDEX(選手一覧!$E$7:$E$2738,$F1309)="","",INDEX(選手一覧!$E$7:$E$2738,$F1309))</f>
        <v>228</v>
      </c>
      <c r="I1309" s="16" t="str">
        <f aca="false">IF(INDEX(選手一覧!$H$7:$H$2738,$F1309)="","",INDEX(選手一覧!$H$7:$H$2738,$F1309))</f>
        <v/>
      </c>
      <c r="J1309" s="17" t="str">
        <f aca="false">IF(INDEX(選手一覧!$I$7:$I$2738,$F1309)="","",INDEX(選手一覧!$I$7:$I$2738,$F1309))</f>
        <v/>
      </c>
    </row>
    <row r="1310" customFormat="false" ht="15" hidden="false" customHeight="false" outlineLevel="0" collapsed="false">
      <c r="A1310" s="17" t="n">
        <v>1306</v>
      </c>
      <c r="B1310" s="12" t="s">
        <v>4031</v>
      </c>
      <c r="C1310" s="12" t="s">
        <v>4032</v>
      </c>
      <c r="D1310" s="16" t="n">
        <v>0.00296921296296296</v>
      </c>
      <c r="E1310" s="15" t="n">
        <f aca="false">ROUND((D1310-$D$5)*86400,2)</f>
        <v>31.51</v>
      </c>
      <c r="F1310" s="17" t="n">
        <v>2638</v>
      </c>
      <c r="G1310" s="16" t="str">
        <f aca="false">IF(INDEX(選手一覧!$D$7:$D$2738,$F1310)="","",INDEX(選手一覧!$D$7:$D$2738,$F1310))</f>
        <v/>
      </c>
      <c r="H1310" s="17" t="str">
        <f aca="false">IF(INDEX(選手一覧!$E$7:$E$2738,$F1310)="","",INDEX(選手一覧!$E$7:$E$2738,$F1310))</f>
        <v/>
      </c>
      <c r="I1310" s="16" t="str">
        <f aca="false">IF(INDEX(選手一覧!$H$7:$H$2738,$F1310)="","",INDEX(選手一覧!$H$7:$H$2738,$F1310))</f>
        <v/>
      </c>
      <c r="J1310" s="17" t="str">
        <f aca="false">IF(INDEX(選手一覧!$I$7:$I$2738,$F1310)="","",INDEX(選手一覧!$I$7:$I$2738,$F1310))</f>
        <v/>
      </c>
    </row>
    <row r="1311" customFormat="false" ht="15" hidden="false" customHeight="false" outlineLevel="0" collapsed="false">
      <c r="A1311" s="17" t="n">
        <v>1307</v>
      </c>
      <c r="B1311" s="12" t="s">
        <v>2156</v>
      </c>
      <c r="C1311" s="12" t="s">
        <v>737</v>
      </c>
      <c r="D1311" s="16" t="n">
        <v>0.0029693287037037</v>
      </c>
      <c r="E1311" s="15" t="n">
        <f aca="false">ROUND((D1311-$D$5)*86400,2)</f>
        <v>31.52</v>
      </c>
      <c r="F1311" s="17" t="n">
        <v>1369</v>
      </c>
      <c r="G1311" s="16" t="str">
        <f aca="false">IF(INDEX(選手一覧!$D$7:$D$2738,$F1311)="","",INDEX(選手一覧!$D$7:$D$2738,$F1311))</f>
        <v/>
      </c>
      <c r="H1311" s="17" t="str">
        <f aca="false">IF(INDEX(選手一覧!$E$7:$E$2738,$F1311)="","",INDEX(選手一覧!$E$7:$E$2738,$F1311))</f>
        <v/>
      </c>
      <c r="I1311" s="16" t="n">
        <f aca="false">IF(INDEX(選手一覧!$H$7:$H$2738,$F1311)="","",INDEX(選手一覧!$H$7:$H$2738,$F1311))</f>
        <v>0.00689236111111111</v>
      </c>
      <c r="J1311" s="17" t="n">
        <f aca="false">IF(INDEX(選手一覧!$I$7:$I$2738,$F1311)="","",INDEX(選手一覧!$I$7:$I$2738,$F1311))</f>
        <v>233</v>
      </c>
    </row>
    <row r="1312" customFormat="false" ht="15" hidden="false" customHeight="false" outlineLevel="0" collapsed="false">
      <c r="A1312" s="17" t="n">
        <v>1308</v>
      </c>
      <c r="B1312" s="12" t="s">
        <v>4037</v>
      </c>
      <c r="C1312" s="12" t="s">
        <v>2923</v>
      </c>
      <c r="D1312" s="16" t="n">
        <v>0.00296944444444444</v>
      </c>
      <c r="E1312" s="15" t="n">
        <f aca="false">ROUND((D1312-$D$5)*86400,2)</f>
        <v>31.53</v>
      </c>
      <c r="F1312" s="17" t="n">
        <v>2641</v>
      </c>
      <c r="G1312" s="16" t="str">
        <f aca="false">IF(INDEX(選手一覧!$D$7:$D$2738,$F1312)="","",INDEX(選手一覧!$D$7:$D$2738,$F1312))</f>
        <v/>
      </c>
      <c r="H1312" s="17" t="str">
        <f aca="false">IF(INDEX(選手一覧!$E$7:$E$2738,$F1312)="","",INDEX(選手一覧!$E$7:$E$2738,$F1312))</f>
        <v/>
      </c>
      <c r="I1312" s="16" t="str">
        <f aca="false">IF(INDEX(選手一覧!$H$7:$H$2738,$F1312)="","",INDEX(選手一覧!$H$7:$H$2738,$F1312))</f>
        <v/>
      </c>
      <c r="J1312" s="17" t="str">
        <f aca="false">IF(INDEX(選手一覧!$I$7:$I$2738,$F1312)="","",INDEX(選手一覧!$I$7:$I$2738,$F1312))</f>
        <v/>
      </c>
    </row>
    <row r="1313" customFormat="false" ht="15" hidden="false" customHeight="false" outlineLevel="0" collapsed="false">
      <c r="A1313" s="17" t="n">
        <v>1309</v>
      </c>
      <c r="B1313" s="12" t="s">
        <v>4040</v>
      </c>
      <c r="C1313" s="12" t="s">
        <v>4041</v>
      </c>
      <c r="D1313" s="16" t="n">
        <v>0.00296956018518519</v>
      </c>
      <c r="E1313" s="15" t="n">
        <f aca="false">ROUND((D1313-$D$5)*86400,2)</f>
        <v>31.54</v>
      </c>
      <c r="F1313" s="17" t="n">
        <v>2643</v>
      </c>
      <c r="G1313" s="16" t="str">
        <f aca="false">IF(INDEX(選手一覧!$D$7:$D$2738,$F1313)="","",INDEX(選手一覧!$D$7:$D$2738,$F1313))</f>
        <v/>
      </c>
      <c r="H1313" s="17" t="str">
        <f aca="false">IF(INDEX(選手一覧!$E$7:$E$2738,$F1313)="","",INDEX(選手一覧!$E$7:$E$2738,$F1313))</f>
        <v/>
      </c>
      <c r="I1313" s="16" t="str">
        <f aca="false">IF(INDEX(選手一覧!$H$7:$H$2738,$F1313)="","",INDEX(選手一覧!$H$7:$H$2738,$F1313))</f>
        <v/>
      </c>
      <c r="J1313" s="17" t="str">
        <f aca="false">IF(INDEX(選手一覧!$I$7:$I$2738,$F1313)="","",INDEX(選手一覧!$I$7:$I$2738,$F1313))</f>
        <v/>
      </c>
    </row>
    <row r="1314" customFormat="false" ht="15" hidden="false" customHeight="false" outlineLevel="0" collapsed="false">
      <c r="A1314" s="17" t="n">
        <v>1310</v>
      </c>
      <c r="B1314" s="12" t="s">
        <v>175</v>
      </c>
      <c r="C1314" s="12" t="s">
        <v>25</v>
      </c>
      <c r="D1314" s="16" t="n">
        <v>0.00296979166666667</v>
      </c>
      <c r="E1314" s="15" t="n">
        <f aca="false">ROUND((D1314-$D$5)*86400,2)</f>
        <v>31.56</v>
      </c>
      <c r="F1314" s="17" t="n">
        <v>76</v>
      </c>
      <c r="G1314" s="16" t="n">
        <f aca="false">IF(INDEX(選手一覧!$D$7:$D$2738,$F1314)="","",INDEX(選手一覧!$D$7:$D$2738,$F1314))</f>
        <v>0.0101636574074074</v>
      </c>
      <c r="H1314" s="17" t="n">
        <f aca="false">IF(INDEX(選手一覧!$E$7:$E$2738,$F1314)="","",INDEX(選手一覧!$E$7:$E$2738,$F1314))</f>
        <v>77</v>
      </c>
      <c r="I1314" s="16" t="n">
        <f aca="false">IF(INDEX(選手一覧!$H$7:$H$2738,$F1314)="","",INDEX(選手一覧!$H$7:$H$2738,$F1314))</f>
        <v>0.00668576388888889</v>
      </c>
      <c r="J1314" s="17" t="n">
        <f aca="false">IF(INDEX(選手一覧!$I$7:$I$2738,$F1314)="","",INDEX(選手一覧!$I$7:$I$2738,$F1314))</f>
        <v>103</v>
      </c>
    </row>
    <row r="1315" customFormat="false" ht="15" hidden="false" customHeight="false" outlineLevel="0" collapsed="false">
      <c r="A1315" s="17" t="n">
        <v>1311</v>
      </c>
      <c r="B1315" s="12" t="s">
        <v>1923</v>
      </c>
      <c r="C1315" s="12" t="s">
        <v>737</v>
      </c>
      <c r="D1315" s="16" t="n">
        <v>0.00297037037037037</v>
      </c>
      <c r="E1315" s="15" t="n">
        <f aca="false">ROUND((D1315-$D$5)*86400,2)</f>
        <v>31.61</v>
      </c>
      <c r="F1315" s="17" t="n">
        <v>1201</v>
      </c>
      <c r="G1315" s="16" t="n">
        <f aca="false">IF(INDEX(選手一覧!$D$7:$D$2738,$F1315)="","",INDEX(選手一覧!$D$7:$D$2738,$F1315))</f>
        <v>0.0110524305555556</v>
      </c>
      <c r="H1315" s="17" t="n">
        <f aca="false">IF(INDEX(選手一覧!$E$7:$E$2738,$F1315)="","",INDEX(選手一覧!$E$7:$E$2738,$F1315))</f>
        <v>1202</v>
      </c>
      <c r="I1315" s="16" t="n">
        <f aca="false">IF(INDEX(選手一覧!$H$7:$H$2738,$F1315)="","",INDEX(選手一覧!$H$7:$H$2738,$F1315))</f>
        <v>0.00676064814814815</v>
      </c>
      <c r="J1315" s="17" t="n">
        <f aca="false">IF(INDEX(選手一覧!$I$7:$I$2738,$F1315)="","",INDEX(選手一覧!$I$7:$I$2738,$F1315))</f>
        <v>136</v>
      </c>
    </row>
    <row r="1316" customFormat="false" ht="15" hidden="false" customHeight="false" outlineLevel="0" collapsed="false">
      <c r="A1316" s="17" t="n">
        <v>1312</v>
      </c>
      <c r="B1316" s="12" t="s">
        <v>4047</v>
      </c>
      <c r="C1316" s="12" t="s">
        <v>4048</v>
      </c>
      <c r="D1316" s="16" t="n">
        <v>0.00297060185185185</v>
      </c>
      <c r="E1316" s="15" t="n">
        <f aca="false">ROUND((D1316-$D$5)*86400,2)</f>
        <v>31.63</v>
      </c>
      <c r="F1316" s="17" t="n">
        <v>2647</v>
      </c>
      <c r="G1316" s="16" t="str">
        <f aca="false">IF(INDEX(選手一覧!$D$7:$D$2738,$F1316)="","",INDEX(選手一覧!$D$7:$D$2738,$F1316))</f>
        <v/>
      </c>
      <c r="H1316" s="17" t="str">
        <f aca="false">IF(INDEX(選手一覧!$E$7:$E$2738,$F1316)="","",INDEX(選手一覧!$E$7:$E$2738,$F1316))</f>
        <v/>
      </c>
      <c r="I1316" s="16" t="str">
        <f aca="false">IF(INDEX(選手一覧!$H$7:$H$2738,$F1316)="","",INDEX(選手一覧!$H$7:$H$2738,$F1316))</f>
        <v/>
      </c>
      <c r="J1316" s="17" t="str">
        <f aca="false">IF(INDEX(選手一覧!$I$7:$I$2738,$F1316)="","",INDEX(選手一覧!$I$7:$I$2738,$F1316))</f>
        <v/>
      </c>
    </row>
    <row r="1317" customFormat="false" ht="15" hidden="false" customHeight="false" outlineLevel="0" collapsed="false">
      <c r="A1317" s="17" t="n">
        <v>1313</v>
      </c>
      <c r="B1317" s="12" t="s">
        <v>1704</v>
      </c>
      <c r="C1317" s="12" t="s">
        <v>1705</v>
      </c>
      <c r="D1317" s="16" t="n">
        <v>0.00297152777777778</v>
      </c>
      <c r="E1317" s="15" t="n">
        <f aca="false">ROUND((D1317-$D$5)*86400,2)</f>
        <v>31.71</v>
      </c>
      <c r="F1317" s="17" t="n">
        <v>1051</v>
      </c>
      <c r="G1317" s="16" t="n">
        <f aca="false">IF(INDEX(選手一覧!$D$7:$D$2738,$F1317)="","",INDEX(選手一覧!$D$7:$D$2738,$F1317))</f>
        <v>0.0109778935185185</v>
      </c>
      <c r="H1317" s="17" t="n">
        <f aca="false">IF(INDEX(選手一覧!$E$7:$E$2738,$F1317)="","",INDEX(選手一覧!$E$7:$E$2738,$F1317))</f>
        <v>1052</v>
      </c>
      <c r="I1317" s="16" t="str">
        <f aca="false">IF(INDEX(選手一覧!$H$7:$H$2738,$F1317)="","",INDEX(選手一覧!$H$7:$H$2738,$F1317))</f>
        <v/>
      </c>
      <c r="J1317" s="17" t="str">
        <f aca="false">IF(INDEX(選手一覧!$I$7:$I$2738,$F1317)="","",INDEX(選手一覧!$I$7:$I$2738,$F1317))</f>
        <v/>
      </c>
    </row>
    <row r="1318" customFormat="false" ht="15" hidden="false" customHeight="false" outlineLevel="0" collapsed="false">
      <c r="A1318" s="17" t="n">
        <v>1314</v>
      </c>
      <c r="B1318" s="12" t="s">
        <v>4052</v>
      </c>
      <c r="C1318" s="12" t="s">
        <v>4053</v>
      </c>
      <c r="D1318" s="16" t="n">
        <v>0.00297152777777778</v>
      </c>
      <c r="E1318" s="15" t="n">
        <f aca="false">ROUND((D1318-$D$5)*86400,2)</f>
        <v>31.71</v>
      </c>
      <c r="F1318" s="17" t="n">
        <v>2650</v>
      </c>
      <c r="G1318" s="16" t="str">
        <f aca="false">IF(INDEX(選手一覧!$D$7:$D$2738,$F1318)="","",INDEX(選手一覧!$D$7:$D$2738,$F1318))</f>
        <v/>
      </c>
      <c r="H1318" s="17" t="str">
        <f aca="false">IF(INDEX(選手一覧!$E$7:$E$2738,$F1318)="","",INDEX(選手一覧!$E$7:$E$2738,$F1318))</f>
        <v/>
      </c>
      <c r="I1318" s="16" t="str">
        <f aca="false">IF(INDEX(選手一覧!$H$7:$H$2738,$F1318)="","",INDEX(選手一覧!$H$7:$H$2738,$F1318))</f>
        <v/>
      </c>
      <c r="J1318" s="17" t="str">
        <f aca="false">IF(INDEX(選手一覧!$I$7:$I$2738,$F1318)="","",INDEX(選手一覧!$I$7:$I$2738,$F1318))</f>
        <v/>
      </c>
    </row>
    <row r="1319" customFormat="false" ht="15" hidden="false" customHeight="false" outlineLevel="0" collapsed="false">
      <c r="A1319" s="17" t="n">
        <v>1315</v>
      </c>
      <c r="B1319" s="12" t="s">
        <v>1810</v>
      </c>
      <c r="C1319" s="12" t="s">
        <v>65</v>
      </c>
      <c r="D1319" s="16" t="n">
        <v>0.00297152777777778</v>
      </c>
      <c r="E1319" s="15" t="n">
        <f aca="false">ROUND((D1319-$D$5)*86400,2)</f>
        <v>31.71</v>
      </c>
      <c r="F1319" s="17" t="n">
        <v>1121</v>
      </c>
      <c r="G1319" s="16" t="n">
        <f aca="false">IF(INDEX(選手一覧!$D$7:$D$2738,$F1319)="","",INDEX(選手一覧!$D$7:$D$2738,$F1319))</f>
        <v>0.0110171296296296</v>
      </c>
      <c r="H1319" s="17" t="n">
        <f aca="false">IF(INDEX(選手一覧!$E$7:$E$2738,$F1319)="","",INDEX(選手一覧!$E$7:$E$2738,$F1319))</f>
        <v>1122</v>
      </c>
      <c r="I1319" s="16" t="n">
        <f aca="false">IF(INDEX(選手一覧!$H$7:$H$2738,$F1319)="","",INDEX(選手一覧!$H$7:$H$2738,$F1319))</f>
        <v>0.00709490740740741</v>
      </c>
      <c r="J1319" s="17" t="n">
        <f aca="false">IF(INDEX(選手一覧!$I$7:$I$2738,$F1319)="","",INDEX(選手一覧!$I$7:$I$2738,$F1319))</f>
        <v>442</v>
      </c>
    </row>
    <row r="1320" customFormat="false" ht="15" hidden="false" customHeight="false" outlineLevel="0" collapsed="false">
      <c r="A1320" s="17" t="n">
        <v>1316</v>
      </c>
      <c r="B1320" s="12" t="s">
        <v>1537</v>
      </c>
      <c r="C1320" s="12" t="s">
        <v>1538</v>
      </c>
      <c r="D1320" s="16" t="n">
        <v>0.00297164351851852</v>
      </c>
      <c r="E1320" s="15" t="n">
        <f aca="false">ROUND((D1320-$D$5)*86400,2)</f>
        <v>31.72</v>
      </c>
      <c r="F1320" s="17" t="n">
        <v>937</v>
      </c>
      <c r="G1320" s="16" t="n">
        <f aca="false">IF(INDEX(選手一覧!$D$7:$D$2738,$F1320)="","",INDEX(選手一覧!$D$7:$D$2738,$F1320))</f>
        <v>0.0109100694444444</v>
      </c>
      <c r="H1320" s="17" t="n">
        <f aca="false">IF(INDEX(選手一覧!$E$7:$E$2738,$F1320)="","",INDEX(選手一覧!$E$7:$E$2738,$F1320))</f>
        <v>938</v>
      </c>
      <c r="I1320" s="16" t="n">
        <f aca="false">IF(INDEX(選手一覧!$H$7:$H$2738,$F1320)="","",INDEX(選手一覧!$H$7:$H$2738,$F1320))</f>
        <v>0.00687256944444444</v>
      </c>
      <c r="J1320" s="17" t="n">
        <f aca="false">IF(INDEX(選手一覧!$I$7:$I$2738,$F1320)="","",INDEX(選手一覧!$I$7:$I$2738,$F1320))</f>
        <v>220</v>
      </c>
    </row>
    <row r="1321" customFormat="false" ht="15" hidden="false" customHeight="false" outlineLevel="0" collapsed="false">
      <c r="A1321" s="17" t="n">
        <v>1317</v>
      </c>
      <c r="B1321" s="12" t="s">
        <v>4057</v>
      </c>
      <c r="C1321" s="12" t="s">
        <v>2310</v>
      </c>
      <c r="D1321" s="16" t="n">
        <v>0.00297175925925926</v>
      </c>
      <c r="E1321" s="15" t="n">
        <f aca="false">ROUND((D1321-$D$5)*86400,2)</f>
        <v>31.73</v>
      </c>
      <c r="F1321" s="17" t="n">
        <v>2654</v>
      </c>
      <c r="G1321" s="16" t="str">
        <f aca="false">IF(INDEX(選手一覧!$D$7:$D$2738,$F1321)="","",INDEX(選手一覧!$D$7:$D$2738,$F1321))</f>
        <v/>
      </c>
      <c r="H1321" s="17" t="str">
        <f aca="false">IF(INDEX(選手一覧!$E$7:$E$2738,$F1321)="","",INDEX(選手一覧!$E$7:$E$2738,$F1321))</f>
        <v/>
      </c>
      <c r="I1321" s="16" t="str">
        <f aca="false">IF(INDEX(選手一覧!$H$7:$H$2738,$F1321)="","",INDEX(選手一覧!$H$7:$H$2738,$F1321))</f>
        <v/>
      </c>
      <c r="J1321" s="17" t="str">
        <f aca="false">IF(INDEX(選手一覧!$I$7:$I$2738,$F1321)="","",INDEX(選手一覧!$I$7:$I$2738,$F1321))</f>
        <v/>
      </c>
    </row>
    <row r="1322" customFormat="false" ht="15" hidden="false" customHeight="false" outlineLevel="0" collapsed="false">
      <c r="A1322" s="17" t="n">
        <v>1318</v>
      </c>
      <c r="B1322" s="12" t="s">
        <v>4059</v>
      </c>
      <c r="C1322" s="12" t="s">
        <v>297</v>
      </c>
      <c r="D1322" s="16" t="n">
        <v>0.00297222222222222</v>
      </c>
      <c r="E1322" s="15" t="n">
        <f aca="false">ROUND((D1322-$D$5)*86400,2)</f>
        <v>31.77</v>
      </c>
      <c r="F1322" s="17" t="n">
        <v>2656</v>
      </c>
      <c r="G1322" s="16" t="str">
        <f aca="false">IF(INDEX(選手一覧!$D$7:$D$2738,$F1322)="","",INDEX(選手一覧!$D$7:$D$2738,$F1322))</f>
        <v/>
      </c>
      <c r="H1322" s="17" t="str">
        <f aca="false">IF(INDEX(選手一覧!$E$7:$E$2738,$F1322)="","",INDEX(選手一覧!$E$7:$E$2738,$F1322))</f>
        <v/>
      </c>
      <c r="I1322" s="16" t="str">
        <f aca="false">IF(INDEX(選手一覧!$H$7:$H$2738,$F1322)="","",INDEX(選手一覧!$H$7:$H$2738,$F1322))</f>
        <v/>
      </c>
      <c r="J1322" s="17" t="str">
        <f aca="false">IF(INDEX(選手一覧!$I$7:$I$2738,$F1322)="","",INDEX(選手一覧!$I$7:$I$2738,$F1322))</f>
        <v/>
      </c>
    </row>
    <row r="1323" customFormat="false" ht="15" hidden="false" customHeight="false" outlineLevel="0" collapsed="false">
      <c r="A1323" s="17" t="n">
        <v>1319</v>
      </c>
      <c r="B1323" s="12" t="s">
        <v>1587</v>
      </c>
      <c r="C1323" s="12" t="s">
        <v>522</v>
      </c>
      <c r="D1323" s="16" t="n">
        <v>0.00297222222222222</v>
      </c>
      <c r="E1323" s="15" t="n">
        <f aca="false">ROUND((D1323-$D$5)*86400,2)</f>
        <v>31.77</v>
      </c>
      <c r="F1323" s="17" t="n">
        <v>972</v>
      </c>
      <c r="G1323" s="16" t="n">
        <f aca="false">IF(INDEX(選手一覧!$D$7:$D$2738,$F1323)="","",INDEX(選手一覧!$D$7:$D$2738,$F1323))</f>
        <v>0.0109334490740741</v>
      </c>
      <c r="H1323" s="17" t="n">
        <f aca="false">IF(INDEX(選手一覧!$E$7:$E$2738,$F1323)="","",INDEX(選手一覧!$E$7:$E$2738,$F1323))</f>
        <v>973</v>
      </c>
      <c r="I1323" s="16" t="str">
        <f aca="false">IF(INDEX(選手一覧!$H$7:$H$2738,$F1323)="","",INDEX(選手一覧!$H$7:$H$2738,$F1323))</f>
        <v/>
      </c>
      <c r="J1323" s="17" t="str">
        <f aca="false">IF(INDEX(選手一覧!$I$7:$I$2738,$F1323)="","",INDEX(選手一覧!$I$7:$I$2738,$F1323))</f>
        <v/>
      </c>
    </row>
    <row r="1324" customFormat="false" ht="15" hidden="false" customHeight="false" outlineLevel="0" collapsed="false">
      <c r="A1324" s="17" t="n">
        <v>1320</v>
      </c>
      <c r="B1324" s="12" t="s">
        <v>1530</v>
      </c>
      <c r="C1324" s="12" t="s">
        <v>1111</v>
      </c>
      <c r="D1324" s="16" t="n">
        <v>0.00297268518518519</v>
      </c>
      <c r="E1324" s="15" t="n">
        <f aca="false">ROUND((D1324-$D$5)*86400,2)</f>
        <v>31.81</v>
      </c>
      <c r="F1324" s="17" t="n">
        <v>931</v>
      </c>
      <c r="G1324" s="16" t="n">
        <f aca="false">IF(INDEX(選手一覧!$D$7:$D$2738,$F1324)="","",INDEX(選手一覧!$D$7:$D$2738,$F1324))</f>
        <v>0.0109074074074074</v>
      </c>
      <c r="H1324" s="17" t="n">
        <f aca="false">IF(INDEX(選手一覧!$E$7:$E$2738,$F1324)="","",INDEX(選手一覧!$E$7:$E$2738,$F1324))</f>
        <v>932</v>
      </c>
      <c r="I1324" s="16" t="n">
        <f aca="false">IF(INDEX(選手一覧!$H$7:$H$2738,$F1324)="","",INDEX(選手一覧!$H$7:$H$2738,$F1324))</f>
        <v>0.0076775462962963</v>
      </c>
      <c r="J1324" s="17" t="n">
        <f aca="false">IF(INDEX(選手一覧!$I$7:$I$2738,$F1324)="","",INDEX(選手一覧!$I$7:$I$2738,$F1324))</f>
        <v>1056</v>
      </c>
    </row>
    <row r="1325" customFormat="false" ht="15" hidden="false" customHeight="false" outlineLevel="0" collapsed="false">
      <c r="A1325" s="17" t="n">
        <v>1321</v>
      </c>
      <c r="B1325" s="12" t="s">
        <v>4065</v>
      </c>
      <c r="C1325" s="12" t="s">
        <v>4066</v>
      </c>
      <c r="D1325" s="16" t="n">
        <v>0.00297337962962963</v>
      </c>
      <c r="E1325" s="15" t="n">
        <f aca="false">ROUND((D1325-$D$5)*86400,2)</f>
        <v>31.87</v>
      </c>
      <c r="F1325" s="17" t="n">
        <v>2660</v>
      </c>
      <c r="G1325" s="16" t="str">
        <f aca="false">IF(INDEX(選手一覧!$D$7:$D$2738,$F1325)="","",INDEX(選手一覧!$D$7:$D$2738,$F1325))</f>
        <v/>
      </c>
      <c r="H1325" s="17" t="str">
        <f aca="false">IF(INDEX(選手一覧!$E$7:$E$2738,$F1325)="","",INDEX(選手一覧!$E$7:$E$2738,$F1325))</f>
        <v/>
      </c>
      <c r="I1325" s="16" t="str">
        <f aca="false">IF(INDEX(選手一覧!$H$7:$H$2738,$F1325)="","",INDEX(選手一覧!$H$7:$H$2738,$F1325))</f>
        <v/>
      </c>
      <c r="J1325" s="17" t="str">
        <f aca="false">IF(INDEX(選手一覧!$I$7:$I$2738,$F1325)="","",INDEX(選手一覧!$I$7:$I$2738,$F1325))</f>
        <v/>
      </c>
    </row>
    <row r="1326" customFormat="false" ht="15" hidden="false" customHeight="false" outlineLevel="0" collapsed="false">
      <c r="A1326" s="17" t="n">
        <v>1322</v>
      </c>
      <c r="B1326" s="12" t="s">
        <v>4068</v>
      </c>
      <c r="C1326" s="12" t="s">
        <v>2300</v>
      </c>
      <c r="D1326" s="16" t="n">
        <v>0.00297372685185185</v>
      </c>
      <c r="E1326" s="15" t="n">
        <f aca="false">ROUND((D1326-$D$5)*86400,2)</f>
        <v>31.9</v>
      </c>
      <c r="F1326" s="17" t="n">
        <v>2662</v>
      </c>
      <c r="G1326" s="16" t="str">
        <f aca="false">IF(INDEX(選手一覧!$D$7:$D$2738,$F1326)="","",INDEX(選手一覧!$D$7:$D$2738,$F1326))</f>
        <v/>
      </c>
      <c r="H1326" s="17" t="str">
        <f aca="false">IF(INDEX(選手一覧!$E$7:$E$2738,$F1326)="","",INDEX(選手一覧!$E$7:$E$2738,$F1326))</f>
        <v/>
      </c>
      <c r="I1326" s="16" t="str">
        <f aca="false">IF(INDEX(選手一覧!$H$7:$H$2738,$F1326)="","",INDEX(選手一覧!$H$7:$H$2738,$F1326))</f>
        <v/>
      </c>
      <c r="J1326" s="17" t="str">
        <f aca="false">IF(INDEX(選手一覧!$I$7:$I$2738,$F1326)="","",INDEX(選手一覧!$I$7:$I$2738,$F1326))</f>
        <v/>
      </c>
    </row>
    <row r="1327" customFormat="false" ht="15" hidden="false" customHeight="false" outlineLevel="0" collapsed="false">
      <c r="A1327" s="17" t="n">
        <v>1323</v>
      </c>
      <c r="B1327" s="12" t="s">
        <v>1564</v>
      </c>
      <c r="C1327" s="12" t="s">
        <v>949</v>
      </c>
      <c r="D1327" s="16" t="n">
        <v>0.00297407407407407</v>
      </c>
      <c r="E1327" s="15" t="n">
        <f aca="false">ROUND((D1327-$D$5)*86400,2)</f>
        <v>31.93</v>
      </c>
      <c r="F1327" s="17" t="n">
        <v>957</v>
      </c>
      <c r="G1327" s="16" t="n">
        <f aca="false">IF(INDEX(選手一覧!$D$7:$D$2738,$F1327)="","",INDEX(選手一覧!$D$7:$D$2738,$F1327))</f>
        <v>0.0109230324074074</v>
      </c>
      <c r="H1327" s="17" t="n">
        <f aca="false">IF(INDEX(選手一覧!$E$7:$E$2738,$F1327)="","",INDEX(選手一覧!$E$7:$E$2738,$F1327))</f>
        <v>958</v>
      </c>
      <c r="I1327" s="16" t="str">
        <f aca="false">IF(INDEX(選手一覧!$H$7:$H$2738,$F1327)="","",INDEX(選手一覧!$H$7:$H$2738,$F1327))</f>
        <v/>
      </c>
      <c r="J1327" s="17" t="str">
        <f aca="false">IF(INDEX(選手一覧!$I$7:$I$2738,$F1327)="","",INDEX(選手一覧!$I$7:$I$2738,$F1327))</f>
        <v/>
      </c>
    </row>
    <row r="1328" customFormat="false" ht="15" hidden="false" customHeight="false" outlineLevel="0" collapsed="false">
      <c r="A1328" s="17" t="n">
        <v>1324</v>
      </c>
      <c r="B1328" s="12" t="s">
        <v>1919</v>
      </c>
      <c r="C1328" s="12" t="s">
        <v>417</v>
      </c>
      <c r="D1328" s="16" t="n">
        <v>0.00297430555555556</v>
      </c>
      <c r="E1328" s="15" t="n">
        <f aca="false">ROUND((D1328-$D$5)*86400,2)</f>
        <v>31.95</v>
      </c>
      <c r="F1328" s="17" t="n">
        <v>1197</v>
      </c>
      <c r="G1328" s="16" t="n">
        <f aca="false">IF(INDEX(選手一覧!$D$7:$D$2738,$F1328)="","",INDEX(選手一覧!$D$7:$D$2738,$F1328))</f>
        <v>0.011050462962963</v>
      </c>
      <c r="H1328" s="17" t="n">
        <f aca="false">IF(INDEX(選手一覧!$E$7:$E$2738,$F1328)="","",INDEX(選手一覧!$E$7:$E$2738,$F1328))</f>
        <v>1198</v>
      </c>
      <c r="I1328" s="16" t="str">
        <f aca="false">IF(INDEX(選手一覧!$H$7:$H$2738,$F1328)="","",INDEX(選手一覧!$H$7:$H$2738,$F1328))</f>
        <v/>
      </c>
      <c r="J1328" s="17" t="str">
        <f aca="false">IF(INDEX(選手一覧!$I$7:$I$2738,$F1328)="","",INDEX(選手一覧!$I$7:$I$2738,$F1328))</f>
        <v/>
      </c>
    </row>
    <row r="1329" customFormat="false" ht="15" hidden="false" customHeight="false" outlineLevel="0" collapsed="false">
      <c r="A1329" s="17" t="n">
        <v>1325</v>
      </c>
      <c r="B1329" s="12" t="s">
        <v>4073</v>
      </c>
      <c r="C1329" s="12" t="s">
        <v>3277</v>
      </c>
      <c r="D1329" s="16" t="n">
        <v>0.00297465277777778</v>
      </c>
      <c r="E1329" s="15" t="n">
        <f aca="false">ROUND((D1329-$D$5)*86400,2)</f>
        <v>31.98</v>
      </c>
      <c r="F1329" s="17" t="n">
        <v>2666</v>
      </c>
      <c r="G1329" s="16" t="str">
        <f aca="false">IF(INDEX(選手一覧!$D$7:$D$2738,$F1329)="","",INDEX(選手一覧!$D$7:$D$2738,$F1329))</f>
        <v/>
      </c>
      <c r="H1329" s="17" t="str">
        <f aca="false">IF(INDEX(選手一覧!$E$7:$E$2738,$F1329)="","",INDEX(選手一覧!$E$7:$E$2738,$F1329))</f>
        <v/>
      </c>
      <c r="I1329" s="16" t="str">
        <f aca="false">IF(INDEX(選手一覧!$H$7:$H$2738,$F1329)="","",INDEX(選手一覧!$H$7:$H$2738,$F1329))</f>
        <v/>
      </c>
      <c r="J1329" s="17" t="str">
        <f aca="false">IF(INDEX(選手一覧!$I$7:$I$2738,$F1329)="","",INDEX(選手一覧!$I$7:$I$2738,$F1329))</f>
        <v/>
      </c>
    </row>
    <row r="1330" customFormat="false" ht="15" hidden="false" customHeight="false" outlineLevel="0" collapsed="false">
      <c r="A1330" s="17" t="n">
        <v>1326</v>
      </c>
      <c r="B1330" s="12" t="s">
        <v>2561</v>
      </c>
      <c r="C1330" s="12" t="s">
        <v>2562</v>
      </c>
      <c r="D1330" s="16" t="n">
        <v>0.00297523148148148</v>
      </c>
      <c r="E1330" s="15" t="n">
        <f aca="false">ROUND((D1330-$D$5)*86400,2)</f>
        <v>32.03</v>
      </c>
      <c r="F1330" s="17" t="n">
        <v>1636</v>
      </c>
      <c r="G1330" s="16" t="str">
        <f aca="false">IF(INDEX(選手一覧!$D$7:$D$2738,$F1330)="","",INDEX(選手一覧!$D$7:$D$2738,$F1330))</f>
        <v/>
      </c>
      <c r="H1330" s="17" t="str">
        <f aca="false">IF(INDEX(選手一覧!$E$7:$E$2738,$F1330)="","",INDEX(選手一覧!$E$7:$E$2738,$F1330))</f>
        <v/>
      </c>
      <c r="I1330" s="16" t="n">
        <f aca="false">IF(INDEX(選手一覧!$H$7:$H$2738,$F1330)="","",INDEX(選手一覧!$H$7:$H$2738,$F1330))</f>
        <v>0.00720856481481482</v>
      </c>
      <c r="J1330" s="17" t="n">
        <f aca="false">IF(INDEX(選手一覧!$I$7:$I$2738,$F1330)="","",INDEX(選手一覧!$I$7:$I$2738,$F1330))</f>
        <v>544</v>
      </c>
    </row>
    <row r="1331" customFormat="false" ht="15" hidden="false" customHeight="false" outlineLevel="0" collapsed="false">
      <c r="A1331" s="17" t="n">
        <v>1327</v>
      </c>
      <c r="B1331" s="12" t="s">
        <v>4077</v>
      </c>
      <c r="C1331" s="12" t="s">
        <v>219</v>
      </c>
      <c r="D1331" s="16" t="n">
        <v>0.00297523148148148</v>
      </c>
      <c r="E1331" s="15" t="n">
        <f aca="false">ROUND((D1331-$D$5)*86400,2)</f>
        <v>32.03</v>
      </c>
      <c r="F1331" s="17" t="n">
        <v>2669</v>
      </c>
      <c r="G1331" s="16" t="str">
        <f aca="false">IF(INDEX(選手一覧!$D$7:$D$2738,$F1331)="","",INDEX(選手一覧!$D$7:$D$2738,$F1331))</f>
        <v/>
      </c>
      <c r="H1331" s="17" t="str">
        <f aca="false">IF(INDEX(選手一覧!$E$7:$E$2738,$F1331)="","",INDEX(選手一覧!$E$7:$E$2738,$F1331))</f>
        <v/>
      </c>
      <c r="I1331" s="16" t="str">
        <f aca="false">IF(INDEX(選手一覧!$H$7:$H$2738,$F1331)="","",INDEX(選手一覧!$H$7:$H$2738,$F1331))</f>
        <v/>
      </c>
      <c r="J1331" s="17" t="str">
        <f aca="false">IF(INDEX(選手一覧!$I$7:$I$2738,$F1331)="","",INDEX(選手一覧!$I$7:$I$2738,$F1331))</f>
        <v/>
      </c>
    </row>
    <row r="1332" customFormat="false" ht="15" hidden="false" customHeight="false" outlineLevel="0" collapsed="false">
      <c r="A1332" s="17" t="n">
        <v>1328</v>
      </c>
      <c r="B1332" s="12" t="s">
        <v>1390</v>
      </c>
      <c r="C1332" s="12" t="s">
        <v>444</v>
      </c>
      <c r="D1332" s="16" t="n">
        <v>0.00297523148148148</v>
      </c>
      <c r="E1332" s="15" t="n">
        <f aca="false">ROUND((D1332-$D$5)*86400,2)</f>
        <v>32.03</v>
      </c>
      <c r="F1332" s="17" t="n">
        <v>842</v>
      </c>
      <c r="G1332" s="16" t="n">
        <f aca="false">IF(INDEX(選手一覧!$D$7:$D$2738,$F1332)="","",INDEX(選手一覧!$D$7:$D$2738,$F1332))</f>
        <v>0.0108545138888889</v>
      </c>
      <c r="H1332" s="17" t="n">
        <f aca="false">IF(INDEX(選手一覧!$E$7:$E$2738,$F1332)="","",INDEX(選手一覧!$E$7:$E$2738,$F1332))</f>
        <v>843</v>
      </c>
      <c r="I1332" s="16" t="str">
        <f aca="false">IF(INDEX(選手一覧!$H$7:$H$2738,$F1332)="","",INDEX(選手一覧!$H$7:$H$2738,$F1332))</f>
        <v/>
      </c>
      <c r="J1332" s="17" t="str">
        <f aca="false">IF(INDEX(選手一覧!$I$7:$I$2738,$F1332)="","",INDEX(選手一覧!$I$7:$I$2738,$F1332))</f>
        <v/>
      </c>
    </row>
    <row r="1333" customFormat="false" ht="15" hidden="false" customHeight="false" outlineLevel="0" collapsed="false">
      <c r="A1333" s="17" t="n">
        <v>1329</v>
      </c>
      <c r="B1333" s="12" t="s">
        <v>2550</v>
      </c>
      <c r="C1333" s="12" t="s">
        <v>561</v>
      </c>
      <c r="D1333" s="16" t="n">
        <v>0.0029755787037037</v>
      </c>
      <c r="E1333" s="15" t="n">
        <f aca="false">ROUND((D1333-$D$5)*86400,2)</f>
        <v>32.06</v>
      </c>
      <c r="F1333" s="17" t="n">
        <v>1629</v>
      </c>
      <c r="G1333" s="16" t="str">
        <f aca="false">IF(INDEX(選手一覧!$D$7:$D$2738,$F1333)="","",INDEX(選手一覧!$D$7:$D$2738,$F1333))</f>
        <v/>
      </c>
      <c r="H1333" s="17" t="str">
        <f aca="false">IF(INDEX(選手一覧!$E$7:$E$2738,$F1333)="","",INDEX(選手一覧!$E$7:$E$2738,$F1333))</f>
        <v/>
      </c>
      <c r="I1333" s="16" t="n">
        <f aca="false">IF(INDEX(選手一覧!$H$7:$H$2738,$F1333)="","",INDEX(選手一覧!$H$7:$H$2738,$F1333))</f>
        <v>0.00720127314814815</v>
      </c>
      <c r="J1333" s="17" t="n">
        <f aca="false">IF(INDEX(選手一覧!$I$7:$I$2738,$F1333)="","",INDEX(選手一覧!$I$7:$I$2738,$F1333))</f>
        <v>538</v>
      </c>
    </row>
    <row r="1334" customFormat="false" ht="15" hidden="false" customHeight="false" outlineLevel="0" collapsed="false">
      <c r="A1334" s="17" t="n">
        <v>1330</v>
      </c>
      <c r="B1334" s="12" t="s">
        <v>1128</v>
      </c>
      <c r="C1334" s="12" t="s">
        <v>25</v>
      </c>
      <c r="D1334" s="16" t="n">
        <v>0.00297569444444445</v>
      </c>
      <c r="E1334" s="15" t="n">
        <f aca="false">ROUND((D1334-$D$5)*86400,2)</f>
        <v>32.07</v>
      </c>
      <c r="F1334" s="17" t="n">
        <v>668</v>
      </c>
      <c r="G1334" s="16" t="n">
        <f aca="false">IF(INDEX(選手一覧!$D$7:$D$2738,$F1334)="","",INDEX(選手一覧!$D$7:$D$2738,$F1334))</f>
        <v>0.0107510416666667</v>
      </c>
      <c r="H1334" s="17" t="n">
        <f aca="false">IF(INDEX(選手一覧!$E$7:$E$2738,$F1334)="","",INDEX(選手一覧!$E$7:$E$2738,$F1334))</f>
        <v>669</v>
      </c>
      <c r="I1334" s="16" t="str">
        <f aca="false">IF(INDEX(選手一覧!$H$7:$H$2738,$F1334)="","",INDEX(選手一覧!$H$7:$H$2738,$F1334))</f>
        <v/>
      </c>
      <c r="J1334" s="17" t="str">
        <f aca="false">IF(INDEX(選手一覧!$I$7:$I$2738,$F1334)="","",INDEX(選手一覧!$I$7:$I$2738,$F1334))</f>
        <v/>
      </c>
    </row>
    <row r="1335" customFormat="false" ht="15" hidden="false" customHeight="false" outlineLevel="0" collapsed="false">
      <c r="A1335" s="17" t="n">
        <v>1331</v>
      </c>
      <c r="B1335" s="12" t="s">
        <v>4085</v>
      </c>
      <c r="C1335" s="12" t="s">
        <v>1538</v>
      </c>
      <c r="D1335" s="16" t="n">
        <v>0.00297569444444445</v>
      </c>
      <c r="E1335" s="15" t="n">
        <f aca="false">ROUND((D1335-$D$5)*86400,2)</f>
        <v>32.07</v>
      </c>
      <c r="F1335" s="17" t="n">
        <v>2674</v>
      </c>
      <c r="G1335" s="16" t="str">
        <f aca="false">IF(INDEX(選手一覧!$D$7:$D$2738,$F1335)="","",INDEX(選手一覧!$D$7:$D$2738,$F1335))</f>
        <v/>
      </c>
      <c r="H1335" s="17" t="str">
        <f aca="false">IF(INDEX(選手一覧!$E$7:$E$2738,$F1335)="","",INDEX(選手一覧!$E$7:$E$2738,$F1335))</f>
        <v/>
      </c>
      <c r="I1335" s="16" t="str">
        <f aca="false">IF(INDEX(選手一覧!$H$7:$H$2738,$F1335)="","",INDEX(選手一覧!$H$7:$H$2738,$F1335))</f>
        <v/>
      </c>
      <c r="J1335" s="17" t="str">
        <f aca="false">IF(INDEX(選手一覧!$I$7:$I$2738,$F1335)="","",INDEX(選手一覧!$I$7:$I$2738,$F1335))</f>
        <v/>
      </c>
    </row>
    <row r="1336" customFormat="false" ht="15" hidden="false" customHeight="false" outlineLevel="0" collapsed="false">
      <c r="A1336" s="17" t="n">
        <v>1332</v>
      </c>
      <c r="B1336" s="12" t="s">
        <v>1487</v>
      </c>
      <c r="C1336" s="12" t="s">
        <v>155</v>
      </c>
      <c r="D1336" s="16" t="n">
        <v>0.00297569444444445</v>
      </c>
      <c r="E1336" s="15" t="n">
        <f aca="false">ROUND((D1336-$D$5)*86400,2)</f>
        <v>32.07</v>
      </c>
      <c r="F1336" s="17" t="n">
        <v>904</v>
      </c>
      <c r="G1336" s="16" t="n">
        <f aca="false">IF(INDEX(選手一覧!$D$7:$D$2738,$F1336)="","",INDEX(選手一覧!$D$7:$D$2738,$F1336))</f>
        <v>0.0108908564814815</v>
      </c>
      <c r="H1336" s="17" t="n">
        <f aca="false">IF(INDEX(選手一覧!$E$7:$E$2738,$F1336)="","",INDEX(選手一覧!$E$7:$E$2738,$F1336))</f>
        <v>905</v>
      </c>
      <c r="I1336" s="16" t="str">
        <f aca="false">IF(INDEX(選手一覧!$H$7:$H$2738,$F1336)="","",INDEX(選手一覧!$H$7:$H$2738,$F1336))</f>
        <v/>
      </c>
      <c r="J1336" s="17" t="str">
        <f aca="false">IF(INDEX(選手一覧!$I$7:$I$2738,$F1336)="","",INDEX(選手一覧!$I$7:$I$2738,$F1336))</f>
        <v/>
      </c>
    </row>
    <row r="1337" customFormat="false" ht="15" hidden="false" customHeight="false" outlineLevel="0" collapsed="false">
      <c r="A1337" s="17" t="n">
        <v>1333</v>
      </c>
      <c r="B1337" s="12" t="s">
        <v>2942</v>
      </c>
      <c r="C1337" s="12" t="s">
        <v>486</v>
      </c>
      <c r="D1337" s="16" t="n">
        <v>0.00297581018518519</v>
      </c>
      <c r="E1337" s="15" t="n">
        <f aca="false">ROUND((D1337-$D$5)*86400,2)</f>
        <v>32.08</v>
      </c>
      <c r="F1337" s="17" t="n">
        <v>1884</v>
      </c>
      <c r="G1337" s="16" t="str">
        <f aca="false">IF(INDEX(選手一覧!$D$7:$D$2738,$F1337)="","",INDEX(選手一覧!$D$7:$D$2738,$F1337))</f>
        <v/>
      </c>
      <c r="H1337" s="17" t="str">
        <f aca="false">IF(INDEX(選手一覧!$E$7:$E$2738,$F1337)="","",INDEX(選手一覧!$E$7:$E$2738,$F1337))</f>
        <v/>
      </c>
      <c r="I1337" s="16" t="n">
        <f aca="false">IF(INDEX(選手一覧!$H$7:$H$2738,$F1337)="","",INDEX(選手一覧!$H$7:$H$2738,$F1337))</f>
        <v>0.00738969907407408</v>
      </c>
      <c r="J1337" s="17" t="n">
        <f aca="false">IF(INDEX(選手一覧!$I$7:$I$2738,$F1337)="","",INDEX(選手一覧!$I$7:$I$2738,$F1337))</f>
        <v>762</v>
      </c>
    </row>
    <row r="1338" customFormat="false" ht="15" hidden="false" customHeight="false" outlineLevel="0" collapsed="false">
      <c r="A1338" s="17" t="n">
        <v>1334</v>
      </c>
      <c r="B1338" s="12" t="s">
        <v>4091</v>
      </c>
      <c r="C1338" s="12" t="s">
        <v>707</v>
      </c>
      <c r="D1338" s="16" t="n">
        <v>0.00297604166666667</v>
      </c>
      <c r="E1338" s="15" t="n">
        <f aca="false">ROUND((D1338-$D$5)*86400,2)</f>
        <v>32.1</v>
      </c>
      <c r="F1338" s="17" t="n">
        <v>2678</v>
      </c>
      <c r="G1338" s="16" t="str">
        <f aca="false">IF(INDEX(選手一覧!$D$7:$D$2738,$F1338)="","",INDEX(選手一覧!$D$7:$D$2738,$F1338))</f>
        <v/>
      </c>
      <c r="H1338" s="17" t="str">
        <f aca="false">IF(INDEX(選手一覧!$E$7:$E$2738,$F1338)="","",INDEX(選手一覧!$E$7:$E$2738,$F1338))</f>
        <v/>
      </c>
      <c r="I1338" s="16" t="str">
        <f aca="false">IF(INDEX(選手一覧!$H$7:$H$2738,$F1338)="","",INDEX(選手一覧!$H$7:$H$2738,$F1338))</f>
        <v/>
      </c>
      <c r="J1338" s="17" t="str">
        <f aca="false">IF(INDEX(選手一覧!$I$7:$I$2738,$F1338)="","",INDEX(選手一覧!$I$7:$I$2738,$F1338))</f>
        <v/>
      </c>
    </row>
    <row r="1339" customFormat="false" ht="15" hidden="false" customHeight="false" outlineLevel="0" collapsed="false">
      <c r="A1339" s="17" t="n">
        <v>1335</v>
      </c>
      <c r="B1339" s="12" t="s">
        <v>791</v>
      </c>
      <c r="C1339" s="12" t="s">
        <v>585</v>
      </c>
      <c r="D1339" s="16" t="n">
        <v>0.00297615740740741</v>
      </c>
      <c r="E1339" s="15" t="n">
        <f aca="false">ROUND((D1339-$D$5)*86400,2)</f>
        <v>32.11</v>
      </c>
      <c r="F1339" s="17" t="n">
        <v>442</v>
      </c>
      <c r="G1339" s="16" t="n">
        <f aca="false">IF(INDEX(選手一覧!$D$7:$D$2738,$F1339)="","",INDEX(選手一覧!$D$7:$D$2738,$F1339))</f>
        <v>0.0105847222222222</v>
      </c>
      <c r="H1339" s="17" t="n">
        <f aca="false">IF(INDEX(選手一覧!$E$7:$E$2738,$F1339)="","",INDEX(選手一覧!$E$7:$E$2738,$F1339))</f>
        <v>443</v>
      </c>
      <c r="I1339" s="16" t="n">
        <f aca="false">IF(INDEX(選手一覧!$H$7:$H$2738,$F1339)="","",INDEX(選手一覧!$H$7:$H$2738,$F1339))</f>
        <v>0.00725046296296296</v>
      </c>
      <c r="J1339" s="17" t="n">
        <f aca="false">IF(INDEX(選手一覧!$I$7:$I$2738,$F1339)="","",INDEX(選手一覧!$I$7:$I$2738,$F1339))</f>
        <v>597</v>
      </c>
    </row>
    <row r="1340" customFormat="false" ht="15" hidden="false" customHeight="false" outlineLevel="0" collapsed="false">
      <c r="A1340" s="17" t="n">
        <v>1336</v>
      </c>
      <c r="B1340" s="12" t="s">
        <v>4096</v>
      </c>
      <c r="C1340" s="12" t="s">
        <v>370</v>
      </c>
      <c r="D1340" s="16" t="n">
        <v>0.00297627314814815</v>
      </c>
      <c r="E1340" s="15" t="n">
        <f aca="false">ROUND((D1340-$D$5)*86400,2)</f>
        <v>32.12</v>
      </c>
      <c r="F1340" s="17" t="n">
        <v>2681</v>
      </c>
      <c r="G1340" s="16" t="str">
        <f aca="false">IF(INDEX(選手一覧!$D$7:$D$2738,$F1340)="","",INDEX(選手一覧!$D$7:$D$2738,$F1340))</f>
        <v/>
      </c>
      <c r="H1340" s="17" t="str">
        <f aca="false">IF(INDEX(選手一覧!$E$7:$E$2738,$F1340)="","",INDEX(選手一覧!$E$7:$E$2738,$F1340))</f>
        <v/>
      </c>
      <c r="I1340" s="16" t="str">
        <f aca="false">IF(INDEX(選手一覧!$H$7:$H$2738,$F1340)="","",INDEX(選手一覧!$H$7:$H$2738,$F1340))</f>
        <v/>
      </c>
      <c r="J1340" s="17" t="str">
        <f aca="false">IF(INDEX(選手一覧!$I$7:$I$2738,$F1340)="","",INDEX(選手一覧!$I$7:$I$2738,$F1340))</f>
        <v/>
      </c>
    </row>
    <row r="1341" customFormat="false" ht="15" hidden="false" customHeight="false" outlineLevel="0" collapsed="false">
      <c r="A1341" s="17" t="n">
        <v>1337</v>
      </c>
      <c r="B1341" s="12" t="s">
        <v>1577</v>
      </c>
      <c r="C1341" s="12" t="s">
        <v>515</v>
      </c>
      <c r="D1341" s="16" t="n">
        <v>0.00297673611111111</v>
      </c>
      <c r="E1341" s="15" t="n">
        <f aca="false">ROUND((D1341-$D$5)*86400,2)</f>
        <v>32.16</v>
      </c>
      <c r="F1341" s="17" t="n">
        <v>965</v>
      </c>
      <c r="G1341" s="16" t="n">
        <f aca="false">IF(INDEX(選手一覧!$D$7:$D$2738,$F1341)="","",INDEX(選手一覧!$D$7:$D$2738,$F1341))</f>
        <v>0.0109295138888889</v>
      </c>
      <c r="H1341" s="17" t="n">
        <f aca="false">IF(INDEX(選手一覧!$E$7:$E$2738,$F1341)="","",INDEX(選手一覧!$E$7:$E$2738,$F1341))</f>
        <v>966</v>
      </c>
      <c r="I1341" s="16" t="n">
        <f aca="false">IF(INDEX(選手一覧!$H$7:$H$2738,$F1341)="","",INDEX(選手一覧!$H$7:$H$2738,$F1341))</f>
        <v>0.00689884259259259</v>
      </c>
      <c r="J1341" s="17" t="n">
        <f aca="false">IF(INDEX(選手一覧!$I$7:$I$2738,$F1341)="","",INDEX(選手一覧!$I$7:$I$2738,$F1341))</f>
        <v>239</v>
      </c>
    </row>
    <row r="1342" customFormat="false" ht="15" hidden="false" customHeight="false" outlineLevel="0" collapsed="false">
      <c r="A1342" s="17" t="n">
        <v>1338</v>
      </c>
      <c r="B1342" s="12" t="s">
        <v>4100</v>
      </c>
      <c r="C1342" s="12" t="s">
        <v>2222</v>
      </c>
      <c r="D1342" s="16" t="n">
        <v>0.00297673611111111</v>
      </c>
      <c r="E1342" s="15" t="n">
        <f aca="false">ROUND((D1342-$D$5)*86400,2)</f>
        <v>32.16</v>
      </c>
      <c r="F1342" s="17" t="n">
        <v>2684</v>
      </c>
      <c r="G1342" s="16" t="str">
        <f aca="false">IF(INDEX(選手一覧!$D$7:$D$2738,$F1342)="","",INDEX(選手一覧!$D$7:$D$2738,$F1342))</f>
        <v/>
      </c>
      <c r="H1342" s="17" t="str">
        <f aca="false">IF(INDEX(選手一覧!$E$7:$E$2738,$F1342)="","",INDEX(選手一覧!$E$7:$E$2738,$F1342))</f>
        <v/>
      </c>
      <c r="I1342" s="16" t="str">
        <f aca="false">IF(INDEX(選手一覧!$H$7:$H$2738,$F1342)="","",INDEX(選手一覧!$H$7:$H$2738,$F1342))</f>
        <v/>
      </c>
      <c r="J1342" s="17" t="str">
        <f aca="false">IF(INDEX(選手一覧!$I$7:$I$2738,$F1342)="","",INDEX(選手一覧!$I$7:$I$2738,$F1342))</f>
        <v/>
      </c>
    </row>
    <row r="1343" customFormat="false" ht="15" hidden="false" customHeight="false" outlineLevel="0" collapsed="false">
      <c r="A1343" s="17" t="n">
        <v>1339</v>
      </c>
      <c r="B1343" s="12" t="s">
        <v>1061</v>
      </c>
      <c r="C1343" s="12" t="s">
        <v>243</v>
      </c>
      <c r="D1343" s="16" t="n">
        <v>0.00297673611111111</v>
      </c>
      <c r="E1343" s="15" t="n">
        <f aca="false">ROUND((D1343-$D$5)*86400,2)</f>
        <v>32.16</v>
      </c>
      <c r="F1343" s="17" t="n">
        <v>621</v>
      </c>
      <c r="G1343" s="16" t="n">
        <f aca="false">IF(INDEX(選手一覧!$D$7:$D$2738,$F1343)="","",INDEX(選手一覧!$D$7:$D$2738,$F1343))</f>
        <v>0.0107248842592593</v>
      </c>
      <c r="H1343" s="17" t="n">
        <f aca="false">IF(INDEX(選手一覧!$E$7:$E$2738,$F1343)="","",INDEX(選手一覧!$E$7:$E$2738,$F1343))</f>
        <v>622</v>
      </c>
      <c r="I1343" s="16" t="str">
        <f aca="false">IF(INDEX(選手一覧!$H$7:$H$2738,$F1343)="","",INDEX(選手一覧!$H$7:$H$2738,$F1343))</f>
        <v/>
      </c>
      <c r="J1343" s="17" t="str">
        <f aca="false">IF(INDEX(選手一覧!$I$7:$I$2738,$F1343)="","",INDEX(選手一覧!$I$7:$I$2738,$F1343))</f>
        <v/>
      </c>
    </row>
    <row r="1344" customFormat="false" ht="15" hidden="false" customHeight="false" outlineLevel="0" collapsed="false">
      <c r="A1344" s="17" t="n">
        <v>1340</v>
      </c>
      <c r="B1344" s="12" t="s">
        <v>1335</v>
      </c>
      <c r="C1344" s="12" t="s">
        <v>397</v>
      </c>
      <c r="D1344" s="16" t="n">
        <v>0.00297685185185185</v>
      </c>
      <c r="E1344" s="15" t="n">
        <f aca="false">ROUND((D1344-$D$5)*86400,2)</f>
        <v>32.17</v>
      </c>
      <c r="F1344" s="17" t="n">
        <v>805</v>
      </c>
      <c r="G1344" s="16" t="n">
        <f aca="false">IF(INDEX(選手一覧!$D$7:$D$2738,$F1344)="","",INDEX(選手一覧!$D$7:$D$2738,$F1344))</f>
        <v>0.0108377314814815</v>
      </c>
      <c r="H1344" s="17" t="n">
        <f aca="false">IF(INDEX(選手一覧!$E$7:$E$2738,$F1344)="","",INDEX(選手一覧!$E$7:$E$2738,$F1344))</f>
        <v>806</v>
      </c>
      <c r="I1344" s="16" t="str">
        <f aca="false">IF(INDEX(選手一覧!$H$7:$H$2738,$F1344)="","",INDEX(選手一覧!$H$7:$H$2738,$F1344))</f>
        <v/>
      </c>
      <c r="J1344" s="17" t="str">
        <f aca="false">IF(INDEX(選手一覧!$I$7:$I$2738,$F1344)="","",INDEX(選手一覧!$I$7:$I$2738,$F1344))</f>
        <v/>
      </c>
    </row>
    <row r="1345" customFormat="false" ht="15" hidden="false" customHeight="false" outlineLevel="0" collapsed="false">
      <c r="A1345" s="17" t="n">
        <v>1341</v>
      </c>
      <c r="B1345" s="12" t="s">
        <v>4104</v>
      </c>
      <c r="C1345" s="12" t="s">
        <v>1009</v>
      </c>
      <c r="D1345" s="16" t="n">
        <v>0.00297719907407407</v>
      </c>
      <c r="E1345" s="15" t="n">
        <f aca="false">ROUND((D1345-$D$5)*86400,2)</f>
        <v>32.2</v>
      </c>
      <c r="F1345" s="17" t="n">
        <v>2688</v>
      </c>
      <c r="G1345" s="16" t="str">
        <f aca="false">IF(INDEX(選手一覧!$D$7:$D$2738,$F1345)="","",INDEX(選手一覧!$D$7:$D$2738,$F1345))</f>
        <v/>
      </c>
      <c r="H1345" s="17" t="str">
        <f aca="false">IF(INDEX(選手一覧!$E$7:$E$2738,$F1345)="","",INDEX(選手一覧!$E$7:$E$2738,$F1345))</f>
        <v/>
      </c>
      <c r="I1345" s="16" t="str">
        <f aca="false">IF(INDEX(選手一覧!$H$7:$H$2738,$F1345)="","",INDEX(選手一覧!$H$7:$H$2738,$F1345))</f>
        <v/>
      </c>
      <c r="J1345" s="17" t="str">
        <f aca="false">IF(INDEX(選手一覧!$I$7:$I$2738,$F1345)="","",INDEX(選手一覧!$I$7:$I$2738,$F1345))</f>
        <v/>
      </c>
    </row>
    <row r="1346" customFormat="false" ht="15" hidden="false" customHeight="false" outlineLevel="0" collapsed="false">
      <c r="A1346" s="17" t="n">
        <v>1342</v>
      </c>
      <c r="B1346" s="12" t="s">
        <v>4106</v>
      </c>
      <c r="C1346" s="12" t="s">
        <v>2312</v>
      </c>
      <c r="D1346" s="16" t="n">
        <v>0.00297731481481482</v>
      </c>
      <c r="E1346" s="15" t="n">
        <f aca="false">ROUND((D1346-$D$5)*86400,2)</f>
        <v>32.21</v>
      </c>
      <c r="F1346" s="17" t="n">
        <v>2690</v>
      </c>
      <c r="G1346" s="16" t="str">
        <f aca="false">IF(INDEX(選手一覧!$D$7:$D$2738,$F1346)="","",INDEX(選手一覧!$D$7:$D$2738,$F1346))</f>
        <v/>
      </c>
      <c r="H1346" s="17" t="str">
        <f aca="false">IF(INDEX(選手一覧!$E$7:$E$2738,$F1346)="","",INDEX(選手一覧!$E$7:$E$2738,$F1346))</f>
        <v/>
      </c>
      <c r="I1346" s="16" t="str">
        <f aca="false">IF(INDEX(選手一覧!$H$7:$H$2738,$F1346)="","",INDEX(選手一覧!$H$7:$H$2738,$F1346))</f>
        <v/>
      </c>
      <c r="J1346" s="17" t="str">
        <f aca="false">IF(INDEX(選手一覧!$I$7:$I$2738,$F1346)="","",INDEX(選手一覧!$I$7:$I$2738,$F1346))</f>
        <v/>
      </c>
    </row>
    <row r="1347" customFormat="false" ht="15" hidden="false" customHeight="false" outlineLevel="0" collapsed="false">
      <c r="A1347" s="17" t="n">
        <v>1343</v>
      </c>
      <c r="B1347" s="12" t="s">
        <v>1992</v>
      </c>
      <c r="C1347" s="12" t="s">
        <v>1993</v>
      </c>
      <c r="D1347" s="16" t="n">
        <v>0.00297743055555556</v>
      </c>
      <c r="E1347" s="15" t="n">
        <f aca="false">ROUND((D1347-$D$5)*86400,2)</f>
        <v>32.22</v>
      </c>
      <c r="F1347" s="17" t="n">
        <v>1250</v>
      </c>
      <c r="G1347" s="16" t="n">
        <f aca="false">IF(INDEX(選手一覧!$D$7:$D$2738,$F1347)="","",INDEX(選手一覧!$D$7:$D$2738,$F1347))</f>
        <v>0.0110798611111111</v>
      </c>
      <c r="H1347" s="17" t="n">
        <f aca="false">IF(INDEX(選手一覧!$E$7:$E$2738,$F1347)="","",INDEX(選手一覧!$E$7:$E$2738,$F1347))</f>
        <v>1251</v>
      </c>
      <c r="I1347" s="16" t="n">
        <f aca="false">IF(INDEX(選手一覧!$H$7:$H$2738,$F1347)="","",INDEX(選手一覧!$H$7:$H$2738,$F1347))</f>
        <v>0.00696331018518519</v>
      </c>
      <c r="J1347" s="17" t="n">
        <f aca="false">IF(INDEX(選手一覧!$I$7:$I$2738,$F1347)="","",INDEX(選手一覧!$I$7:$I$2738,$F1347))</f>
        <v>297</v>
      </c>
    </row>
    <row r="1348" customFormat="false" ht="15" hidden="false" customHeight="false" outlineLevel="0" collapsed="false">
      <c r="A1348" s="17" t="n">
        <v>1344</v>
      </c>
      <c r="B1348" s="12" t="s">
        <v>1279</v>
      </c>
      <c r="C1348" s="12" t="s">
        <v>351</v>
      </c>
      <c r="D1348" s="16" t="n">
        <v>0.0029775462962963</v>
      </c>
      <c r="E1348" s="15" t="n">
        <f aca="false">ROUND((D1348-$D$5)*86400,2)</f>
        <v>32.23</v>
      </c>
      <c r="F1348" s="17" t="n">
        <v>764</v>
      </c>
      <c r="G1348" s="16" t="n">
        <f aca="false">IF(INDEX(選手一覧!$D$7:$D$2738,$F1348)="","",INDEX(選手一覧!$D$7:$D$2738,$F1348))</f>
        <v>0.0108108796296296</v>
      </c>
      <c r="H1348" s="17" t="n">
        <f aca="false">IF(INDEX(選手一覧!$E$7:$E$2738,$F1348)="","",INDEX(選手一覧!$E$7:$E$2738,$F1348))</f>
        <v>765</v>
      </c>
      <c r="I1348" s="16" t="str">
        <f aca="false">IF(INDEX(選手一覧!$H$7:$H$2738,$F1348)="","",INDEX(選手一覧!$H$7:$H$2738,$F1348))</f>
        <v/>
      </c>
      <c r="J1348" s="17" t="str">
        <f aca="false">IF(INDEX(選手一覧!$I$7:$I$2738,$F1348)="","",INDEX(選手一覧!$I$7:$I$2738,$F1348))</f>
        <v/>
      </c>
    </row>
    <row r="1349" customFormat="false" ht="15" hidden="false" customHeight="false" outlineLevel="0" collapsed="false">
      <c r="A1349" s="17" t="n">
        <v>1345</v>
      </c>
      <c r="B1349" s="12" t="s">
        <v>4111</v>
      </c>
      <c r="C1349" s="12" t="s">
        <v>4112</v>
      </c>
      <c r="D1349" s="16" t="n">
        <v>0.002978125</v>
      </c>
      <c r="E1349" s="15" t="n">
        <f aca="false">ROUND((D1349-$D$5)*86400,2)</f>
        <v>32.28</v>
      </c>
      <c r="F1349" s="17" t="n">
        <v>2694</v>
      </c>
      <c r="G1349" s="16" t="str">
        <f aca="false">IF(INDEX(選手一覧!$D$7:$D$2738,$F1349)="","",INDEX(選手一覧!$D$7:$D$2738,$F1349))</f>
        <v/>
      </c>
      <c r="H1349" s="17" t="str">
        <f aca="false">IF(INDEX(選手一覧!$E$7:$E$2738,$F1349)="","",INDEX(選手一覧!$E$7:$E$2738,$F1349))</f>
        <v/>
      </c>
      <c r="I1349" s="16" t="str">
        <f aca="false">IF(INDEX(選手一覧!$H$7:$H$2738,$F1349)="","",INDEX(選手一覧!$H$7:$H$2738,$F1349))</f>
        <v/>
      </c>
      <c r="J1349" s="17" t="str">
        <f aca="false">IF(INDEX(選手一覧!$I$7:$I$2738,$F1349)="","",INDEX(選手一覧!$I$7:$I$2738,$F1349))</f>
        <v/>
      </c>
    </row>
    <row r="1350" customFormat="false" ht="15" hidden="false" customHeight="false" outlineLevel="0" collapsed="false">
      <c r="A1350" s="17" t="n">
        <v>1346</v>
      </c>
      <c r="B1350" s="12" t="s">
        <v>600</v>
      </c>
      <c r="C1350" s="12" t="s">
        <v>601</v>
      </c>
      <c r="D1350" s="16" t="n">
        <v>0.00297835648148148</v>
      </c>
      <c r="E1350" s="15" t="n">
        <f aca="false">ROUND((D1350-$D$5)*86400,2)</f>
        <v>32.3</v>
      </c>
      <c r="F1350" s="17" t="n">
        <v>321</v>
      </c>
      <c r="G1350" s="16" t="n">
        <f aca="false">IF(INDEX(選手一覧!$D$7:$D$2738,$F1350)="","",INDEX(選手一覧!$D$7:$D$2738,$F1350))</f>
        <v>0.0104766203703704</v>
      </c>
      <c r="H1350" s="17" t="n">
        <f aca="false">IF(INDEX(選手一覧!$E$7:$E$2738,$F1350)="","",INDEX(選手一覧!$E$7:$E$2738,$F1350))</f>
        <v>322</v>
      </c>
      <c r="I1350" s="16" t="str">
        <f aca="false">IF(INDEX(選手一覧!$H$7:$H$2738,$F1350)="","",INDEX(選手一覧!$H$7:$H$2738,$F1350))</f>
        <v/>
      </c>
      <c r="J1350" s="17" t="str">
        <f aca="false">IF(INDEX(選手一覧!$I$7:$I$2738,$F1350)="","",INDEX(選手一覧!$I$7:$I$2738,$F1350))</f>
        <v/>
      </c>
    </row>
    <row r="1351" customFormat="false" ht="15" hidden="false" customHeight="false" outlineLevel="0" collapsed="false">
      <c r="A1351" s="17" t="n">
        <v>1347</v>
      </c>
      <c r="B1351" s="12" t="s">
        <v>4115</v>
      </c>
      <c r="C1351" s="12" t="s">
        <v>382</v>
      </c>
      <c r="D1351" s="16" t="n">
        <v>0.00297847222222222</v>
      </c>
      <c r="E1351" s="15" t="n">
        <f aca="false">ROUND((D1351-$D$5)*86400,2)</f>
        <v>32.31</v>
      </c>
      <c r="F1351" s="17" t="n">
        <v>2697</v>
      </c>
      <c r="G1351" s="16" t="str">
        <f aca="false">IF(INDEX(選手一覧!$D$7:$D$2738,$F1351)="","",INDEX(選手一覧!$D$7:$D$2738,$F1351))</f>
        <v/>
      </c>
      <c r="H1351" s="17" t="str">
        <f aca="false">IF(INDEX(選手一覧!$E$7:$E$2738,$F1351)="","",INDEX(選手一覧!$E$7:$E$2738,$F1351))</f>
        <v/>
      </c>
      <c r="I1351" s="16" t="str">
        <f aca="false">IF(INDEX(選手一覧!$H$7:$H$2738,$F1351)="","",INDEX(選手一覧!$H$7:$H$2738,$F1351))</f>
        <v/>
      </c>
      <c r="J1351" s="17" t="str">
        <f aca="false">IF(INDEX(選手一覧!$I$7:$I$2738,$F1351)="","",INDEX(選手一覧!$I$7:$I$2738,$F1351))</f>
        <v/>
      </c>
    </row>
    <row r="1352" customFormat="false" ht="15" hidden="false" customHeight="false" outlineLevel="0" collapsed="false">
      <c r="A1352" s="17" t="n">
        <v>1348</v>
      </c>
      <c r="B1352" s="12" t="s">
        <v>4118</v>
      </c>
      <c r="C1352" s="12" t="s">
        <v>1570</v>
      </c>
      <c r="D1352" s="16" t="n">
        <v>0.00297893518518519</v>
      </c>
      <c r="E1352" s="15" t="n">
        <f aca="false">ROUND((D1352-$D$5)*86400,2)</f>
        <v>32.35</v>
      </c>
      <c r="F1352" s="17" t="n">
        <v>2699</v>
      </c>
      <c r="G1352" s="16" t="str">
        <f aca="false">IF(INDEX(選手一覧!$D$7:$D$2738,$F1352)="","",INDEX(選手一覧!$D$7:$D$2738,$F1352))</f>
        <v/>
      </c>
      <c r="H1352" s="17" t="str">
        <f aca="false">IF(INDEX(選手一覧!$E$7:$E$2738,$F1352)="","",INDEX(選手一覧!$E$7:$E$2738,$F1352))</f>
        <v/>
      </c>
      <c r="I1352" s="16" t="str">
        <f aca="false">IF(INDEX(選手一覧!$H$7:$H$2738,$F1352)="","",INDEX(選手一覧!$H$7:$H$2738,$F1352))</f>
        <v/>
      </c>
      <c r="J1352" s="17" t="str">
        <f aca="false">IF(INDEX(選手一覧!$I$7:$I$2738,$F1352)="","",INDEX(選手一覧!$I$7:$I$2738,$F1352))</f>
        <v/>
      </c>
    </row>
    <row r="1353" customFormat="false" ht="15" hidden="false" customHeight="false" outlineLevel="0" collapsed="false">
      <c r="A1353" s="17" t="n">
        <v>1349</v>
      </c>
      <c r="B1353" s="12" t="s">
        <v>1644</v>
      </c>
      <c r="C1353" s="12" t="s">
        <v>1166</v>
      </c>
      <c r="D1353" s="16" t="n">
        <v>0.00297916666666667</v>
      </c>
      <c r="E1353" s="15" t="n">
        <f aca="false">ROUND((D1353-$D$5)*86400,2)</f>
        <v>32.37</v>
      </c>
      <c r="F1353" s="17" t="n">
        <v>1012</v>
      </c>
      <c r="G1353" s="16" t="n">
        <f aca="false">IF(INDEX(選手一覧!$D$7:$D$2738,$F1353)="","",INDEX(選手一覧!$D$7:$D$2738,$F1353))</f>
        <v>0.0109548611111111</v>
      </c>
      <c r="H1353" s="17" t="n">
        <f aca="false">IF(INDEX(選手一覧!$E$7:$E$2738,$F1353)="","",INDEX(選手一覧!$E$7:$E$2738,$F1353))</f>
        <v>1013</v>
      </c>
      <c r="I1353" s="16" t="str">
        <f aca="false">IF(INDEX(選手一覧!$H$7:$H$2738,$F1353)="","",INDEX(選手一覧!$H$7:$H$2738,$F1353))</f>
        <v/>
      </c>
      <c r="J1353" s="17" t="str">
        <f aca="false">IF(INDEX(選手一覧!$I$7:$I$2738,$F1353)="","",INDEX(選手一覧!$I$7:$I$2738,$F1353))</f>
        <v/>
      </c>
    </row>
    <row r="1354" customFormat="false" ht="15" hidden="false" customHeight="false" outlineLevel="0" collapsed="false">
      <c r="A1354" s="17" t="n">
        <v>1350</v>
      </c>
      <c r="B1354" s="12" t="s">
        <v>581</v>
      </c>
      <c r="C1354" s="12" t="s">
        <v>71</v>
      </c>
      <c r="D1354" s="16" t="n">
        <v>0.00297962962962963</v>
      </c>
      <c r="E1354" s="15" t="n">
        <f aca="false">ROUND((D1354-$D$5)*86400,2)</f>
        <v>32.41</v>
      </c>
      <c r="F1354" s="17" t="n">
        <v>310</v>
      </c>
      <c r="G1354" s="16" t="n">
        <f aca="false">IF(INDEX(選手一覧!$D$7:$D$2738,$F1354)="","",INDEX(選手一覧!$D$7:$D$2738,$F1354))</f>
        <v>0.0104604166666667</v>
      </c>
      <c r="H1354" s="17" t="n">
        <f aca="false">IF(INDEX(選手一覧!$E$7:$E$2738,$F1354)="","",INDEX(選手一覧!$E$7:$E$2738,$F1354))</f>
        <v>311</v>
      </c>
      <c r="I1354" s="16" t="str">
        <f aca="false">IF(INDEX(選手一覧!$H$7:$H$2738,$F1354)="","",INDEX(選手一覧!$H$7:$H$2738,$F1354))</f>
        <v/>
      </c>
      <c r="J1354" s="17" t="str">
        <f aca="false">IF(INDEX(選手一覧!$I$7:$I$2738,$F1354)="","",INDEX(選手一覧!$I$7:$I$2738,$F1354))</f>
        <v/>
      </c>
    </row>
    <row r="1355" customFormat="false" ht="15" hidden="false" customHeight="false" outlineLevel="0" collapsed="false">
      <c r="A1355" s="17" t="n">
        <v>1351</v>
      </c>
      <c r="B1355" s="12" t="s">
        <v>880</v>
      </c>
      <c r="C1355" s="12" t="s">
        <v>375</v>
      </c>
      <c r="D1355" s="16" t="n">
        <v>0.00297962962962963</v>
      </c>
      <c r="E1355" s="15" t="n">
        <f aca="false">ROUND((D1355-$D$5)*86400,2)</f>
        <v>32.41</v>
      </c>
      <c r="F1355" s="17" t="n">
        <v>500</v>
      </c>
      <c r="G1355" s="16" t="n">
        <f aca="false">IF(INDEX(選手一覧!$D$7:$D$2738,$F1355)="","",INDEX(選手一覧!$D$7:$D$2738,$F1355))</f>
        <v>0.0106230324074074</v>
      </c>
      <c r="H1355" s="17" t="n">
        <f aca="false">IF(INDEX(選手一覧!$E$7:$E$2738,$F1355)="","",INDEX(選手一覧!$E$7:$E$2738,$F1355))</f>
        <v>501</v>
      </c>
      <c r="I1355" s="16" t="str">
        <f aca="false">IF(INDEX(選手一覧!$H$7:$H$2738,$F1355)="","",INDEX(選手一覧!$H$7:$H$2738,$F1355))</f>
        <v/>
      </c>
      <c r="J1355" s="17" t="str">
        <f aca="false">IF(INDEX(選手一覧!$I$7:$I$2738,$F1355)="","",INDEX(選手一覧!$I$7:$I$2738,$F1355))</f>
        <v/>
      </c>
    </row>
    <row r="1356" customFormat="false" ht="15" hidden="false" customHeight="false" outlineLevel="0" collapsed="false">
      <c r="A1356" s="17" t="n">
        <v>1352</v>
      </c>
      <c r="B1356" s="12" t="s">
        <v>4126</v>
      </c>
      <c r="C1356" s="12" t="s">
        <v>2073</v>
      </c>
      <c r="D1356" s="16" t="n">
        <v>0.00297997685185185</v>
      </c>
      <c r="E1356" s="15" t="n">
        <f aca="false">ROUND((D1356-$D$5)*86400,2)</f>
        <v>32.44</v>
      </c>
      <c r="F1356" s="17" t="n">
        <v>2704</v>
      </c>
      <c r="G1356" s="16" t="str">
        <f aca="false">IF(INDEX(選手一覧!$D$7:$D$2738,$F1356)="","",INDEX(選手一覧!$D$7:$D$2738,$F1356))</f>
        <v/>
      </c>
      <c r="H1356" s="17" t="str">
        <f aca="false">IF(INDEX(選手一覧!$E$7:$E$2738,$F1356)="","",INDEX(選手一覧!$E$7:$E$2738,$F1356))</f>
        <v/>
      </c>
      <c r="I1356" s="16" t="str">
        <f aca="false">IF(INDEX(選手一覧!$H$7:$H$2738,$F1356)="","",INDEX(選手一覧!$H$7:$H$2738,$F1356))</f>
        <v/>
      </c>
      <c r="J1356" s="17" t="str">
        <f aca="false">IF(INDEX(選手一覧!$I$7:$I$2738,$F1356)="","",INDEX(選手一覧!$I$7:$I$2738,$F1356))</f>
        <v/>
      </c>
    </row>
    <row r="1357" customFormat="false" ht="15" hidden="false" customHeight="false" outlineLevel="0" collapsed="false">
      <c r="A1357" s="17" t="n">
        <v>1353</v>
      </c>
      <c r="B1357" s="12" t="s">
        <v>4128</v>
      </c>
      <c r="C1357" s="12" t="s">
        <v>3467</v>
      </c>
      <c r="D1357" s="16" t="n">
        <v>0.00297997685185185</v>
      </c>
      <c r="E1357" s="15" t="n">
        <f aca="false">ROUND((D1357-$D$5)*86400,2)</f>
        <v>32.44</v>
      </c>
      <c r="F1357" s="17" t="n">
        <v>2706</v>
      </c>
      <c r="G1357" s="16" t="str">
        <f aca="false">IF(INDEX(選手一覧!$D$7:$D$2738,$F1357)="","",INDEX(選手一覧!$D$7:$D$2738,$F1357))</f>
        <v/>
      </c>
      <c r="H1357" s="17" t="str">
        <f aca="false">IF(INDEX(選手一覧!$E$7:$E$2738,$F1357)="","",INDEX(選手一覧!$E$7:$E$2738,$F1357))</f>
        <v/>
      </c>
      <c r="I1357" s="16" t="str">
        <f aca="false">IF(INDEX(選手一覧!$H$7:$H$2738,$F1357)="","",INDEX(選手一覧!$H$7:$H$2738,$F1357))</f>
        <v/>
      </c>
      <c r="J1357" s="17" t="str">
        <f aca="false">IF(INDEX(選手一覧!$I$7:$I$2738,$F1357)="","",INDEX(選手一覧!$I$7:$I$2738,$F1357))</f>
        <v/>
      </c>
    </row>
    <row r="1358" customFormat="false" ht="15" hidden="false" customHeight="false" outlineLevel="0" collapsed="false">
      <c r="A1358" s="17" t="n">
        <v>1354</v>
      </c>
      <c r="B1358" s="12" t="s">
        <v>4130</v>
      </c>
      <c r="C1358" s="12" t="s">
        <v>4131</v>
      </c>
      <c r="D1358" s="16" t="n">
        <v>0.00297997685185185</v>
      </c>
      <c r="E1358" s="15" t="n">
        <f aca="false">ROUND((D1358-$D$5)*86400,2)</f>
        <v>32.44</v>
      </c>
      <c r="F1358" s="17" t="n">
        <v>2708</v>
      </c>
      <c r="G1358" s="16" t="str">
        <f aca="false">IF(INDEX(選手一覧!$D$7:$D$2738,$F1358)="","",INDEX(選手一覧!$D$7:$D$2738,$F1358))</f>
        <v/>
      </c>
      <c r="H1358" s="17" t="str">
        <f aca="false">IF(INDEX(選手一覧!$E$7:$E$2738,$F1358)="","",INDEX(選手一覧!$E$7:$E$2738,$F1358))</f>
        <v/>
      </c>
      <c r="I1358" s="16" t="str">
        <f aca="false">IF(INDEX(選手一覧!$H$7:$H$2738,$F1358)="","",INDEX(選手一覧!$H$7:$H$2738,$F1358))</f>
        <v/>
      </c>
      <c r="J1358" s="17" t="str">
        <f aca="false">IF(INDEX(選手一覧!$I$7:$I$2738,$F1358)="","",INDEX(選手一覧!$I$7:$I$2738,$F1358))</f>
        <v/>
      </c>
    </row>
    <row r="1359" customFormat="false" ht="15" hidden="false" customHeight="false" outlineLevel="0" collapsed="false">
      <c r="A1359" s="17" t="n">
        <v>1355</v>
      </c>
      <c r="B1359" s="12" t="s">
        <v>399</v>
      </c>
      <c r="C1359" s="12" t="s">
        <v>214</v>
      </c>
      <c r="D1359" s="16" t="n">
        <v>0.00298055555555556</v>
      </c>
      <c r="E1359" s="15" t="n">
        <f aca="false">ROUND((D1359-$D$5)*86400,2)</f>
        <v>32.49</v>
      </c>
      <c r="F1359" s="17" t="n">
        <v>199</v>
      </c>
      <c r="G1359" s="16" t="n">
        <f aca="false">IF(INDEX(選手一覧!$D$7:$D$2738,$F1359)="","",INDEX(選手一覧!$D$7:$D$2738,$F1359))</f>
        <v>0.0103476851851852</v>
      </c>
      <c r="H1359" s="17" t="n">
        <f aca="false">IF(INDEX(選手一覧!$E$7:$E$2738,$F1359)="","",INDEX(選手一覧!$E$7:$E$2738,$F1359))</f>
        <v>200</v>
      </c>
      <c r="I1359" s="16" t="str">
        <f aca="false">IF(INDEX(選手一覧!$H$7:$H$2738,$F1359)="","",INDEX(選手一覧!$H$7:$H$2738,$F1359))</f>
        <v/>
      </c>
      <c r="J1359" s="17" t="str">
        <f aca="false">IF(INDEX(選手一覧!$I$7:$I$2738,$F1359)="","",INDEX(選手一覧!$I$7:$I$2738,$F1359))</f>
        <v/>
      </c>
    </row>
    <row r="1360" customFormat="false" ht="15" hidden="false" customHeight="false" outlineLevel="0" collapsed="false">
      <c r="A1360" s="17" t="n">
        <v>1356</v>
      </c>
      <c r="B1360" s="12" t="s">
        <v>1723</v>
      </c>
      <c r="C1360" s="12" t="s">
        <v>1724</v>
      </c>
      <c r="D1360" s="16" t="n">
        <v>0.00298101851851852</v>
      </c>
      <c r="E1360" s="15" t="n">
        <f aca="false">ROUND((D1360-$D$5)*86400,2)</f>
        <v>32.53</v>
      </c>
      <c r="F1360" s="17" t="n">
        <v>1064</v>
      </c>
      <c r="G1360" s="16" t="n">
        <f aca="false">IF(INDEX(選手一覧!$D$7:$D$2738,$F1360)="","",INDEX(選手一覧!$D$7:$D$2738,$F1360))</f>
        <v>0.0109840277777778</v>
      </c>
      <c r="H1360" s="17" t="n">
        <f aca="false">IF(INDEX(選手一覧!$E$7:$E$2738,$F1360)="","",INDEX(選手一覧!$E$7:$E$2738,$F1360))</f>
        <v>1065</v>
      </c>
      <c r="I1360" s="16" t="n">
        <f aca="false">IF(INDEX(選手一覧!$H$7:$H$2738,$F1360)="","",INDEX(選手一覧!$H$7:$H$2738,$F1360))</f>
        <v>0.00675092592592593</v>
      </c>
      <c r="J1360" s="17" t="n">
        <f aca="false">IF(INDEX(選手一覧!$I$7:$I$2738,$F1360)="","",INDEX(選手一覧!$I$7:$I$2738,$F1360))</f>
        <v>129</v>
      </c>
    </row>
    <row r="1361" customFormat="false" ht="15" hidden="false" customHeight="false" outlineLevel="0" collapsed="false">
      <c r="A1361" s="17" t="n">
        <v>1357</v>
      </c>
      <c r="B1361" s="12" t="s">
        <v>4135</v>
      </c>
      <c r="C1361" s="12" t="s">
        <v>1465</v>
      </c>
      <c r="D1361" s="16" t="n">
        <v>0.00298101851851852</v>
      </c>
      <c r="E1361" s="15" t="n">
        <f aca="false">ROUND((D1361-$D$5)*86400,2)</f>
        <v>32.53</v>
      </c>
      <c r="F1361" s="17" t="n">
        <v>2712</v>
      </c>
      <c r="G1361" s="16" t="str">
        <f aca="false">IF(INDEX(選手一覧!$D$7:$D$2738,$F1361)="","",INDEX(選手一覧!$D$7:$D$2738,$F1361))</f>
        <v/>
      </c>
      <c r="H1361" s="17" t="str">
        <f aca="false">IF(INDEX(選手一覧!$E$7:$E$2738,$F1361)="","",INDEX(選手一覧!$E$7:$E$2738,$F1361))</f>
        <v/>
      </c>
      <c r="I1361" s="16" t="str">
        <f aca="false">IF(INDEX(選手一覧!$H$7:$H$2738,$F1361)="","",INDEX(選手一覧!$H$7:$H$2738,$F1361))</f>
        <v/>
      </c>
      <c r="J1361" s="17" t="str">
        <f aca="false">IF(INDEX(選手一覧!$I$7:$I$2738,$F1361)="","",INDEX(選手一覧!$I$7:$I$2738,$F1361))</f>
        <v/>
      </c>
    </row>
  </sheetData>
  <autoFilter ref="A4:J1361"/>
  <conditionalFormatting sqref="A5:A1361 H5:H1361 J5:J1361">
    <cfRule type="cellIs" priority="2" operator="lessThanOrEqual" aboveAverage="0" equalAverage="0" bottom="0" percent="0" rank="0" text="" dxfId="9">
      <formula>10</formula>
    </cfRule>
    <cfRule type="cellIs" priority="3" operator="lessThanOrEqual" aboveAverage="0" equalAverage="0" bottom="0" percent="0" rank="0" text="" dxfId="10">
      <formula>50</formula>
    </cfRule>
    <cfRule type="cellIs" priority="4" operator="lessThanOrEqual" aboveAverage="0" equalAverage="0" bottom="0" percent="0" rank="0" text="" dxfId="11">
      <formula>100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2026-10-18T05:44:57Z</dcterms:created>
  <dc:creator>openpyxl</dc:creator>
  <dc:description/>
  <dc:language>en-US</dc:language>
  <cp:lastModifiedBy/>
  <dcterms:modified xsi:type="dcterms:W3CDTF">2026-10-18T05:45:00Z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